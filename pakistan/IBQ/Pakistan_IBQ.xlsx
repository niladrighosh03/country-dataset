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uranga" sheetId="1" r:id="rId4"/>
    <sheet state="visible" name="Buzkashi" sheetId="2" r:id="rId5"/>
    <sheet state="visible" name="Gatka" sheetId="3" r:id="rId6"/>
    <sheet state="visible" name="Gilli Danda" sheetId="4" r:id="rId7"/>
    <sheet state="visible" name="Tent Pegging" sheetId="5" r:id="rId8"/>
    <sheet state="visible" name="Malakhra" sheetId="6" r:id="rId9"/>
  </sheets>
  <definedNames/>
  <calcPr/>
</workbook>
</file>

<file path=xl/sharedStrings.xml><?xml version="1.0" encoding="utf-8"?>
<sst xmlns="http://schemas.openxmlformats.org/spreadsheetml/2006/main" count="19586" uniqueCount="1312">
  <si>
    <t>Question no.z</t>
  </si>
  <si>
    <t>Questionz</t>
  </si>
  <si>
    <t>Option-1z</t>
  </si>
  <si>
    <t>Option-2z</t>
  </si>
  <si>
    <t>Option-3z</t>
  </si>
  <si>
    <t>Option-4z</t>
  </si>
  <si>
    <t>Answerz</t>
  </si>
  <si>
    <t>Picz</t>
  </si>
  <si>
    <t>Options</t>
  </si>
  <si>
    <t>Pic</t>
  </si>
  <si>
    <t>What is the main action shown in chaturanga_1?</t>
  </si>
  <si>
    <t>Two players fighting</t>
  </si>
  <si>
    <t>A chessboard with highly decorative pieces</t>
  </si>
  <si>
    <t>A group of people playing a card game</t>
  </si>
  <si>
    <t>A person carving chess pieces</t>
  </si>
  <si>
    <t>chaturanga_1</t>
  </si>
  <si>
    <t>What is a notable detail about the pieces?</t>
  </si>
  <si>
    <t>They are all identical</t>
  </si>
  <si>
    <t>They are highly stylized figures representing a historical army</t>
  </si>
  <si>
    <t>They are made of plastic</t>
  </si>
  <si>
    <t>They are all white</t>
  </si>
  <si>
    <t>(A) وہ سب ایک جیسے ہیں۔ (B) وہ ایک تاریخی فوج کی نمائندگی کرنے والی انتہائی اسٹائلائزڈ شخصیات ہیں۔ (C) وہ پلاسٹک سے بنے ہیں۔ (D) وہ سب سفید فام ہیں۔</t>
  </si>
  <si>
    <t>What is the apparent material of the chessboard?</t>
  </si>
  <si>
    <t>Wood with engraved patterns</t>
  </si>
  <si>
    <t>Plastic</t>
  </si>
  <si>
    <t>Glass</t>
  </si>
  <si>
    <t>Cardboard</t>
  </si>
  <si>
    <t>(A) کندہ شدہ نمونوں کے ساتھ لکڑی (B) پلاسٹک (C) شیشہ (D) گتے</t>
  </si>
  <si>
    <t>The image shows a label "CHESS." What is the historical game that is a precursor to modern chess?</t>
  </si>
  <si>
    <t>Checkers</t>
  </si>
  <si>
    <t>Backgammon</t>
  </si>
  <si>
    <t>Chaturanga</t>
  </si>
  <si>
    <t>Go</t>
  </si>
  <si>
    <t>(A) چیکرس (B) بیکگیمون (C) چتورنگا (D) جاؤ</t>
  </si>
  <si>
    <t>What is the apparent purpose of the "PERSONALIZED NAME" label?</t>
  </si>
  <si>
    <t>It is a part of the game rules</t>
  </si>
  <si>
    <t>It is a feature for customization</t>
  </si>
  <si>
    <t>It is a historical marking</t>
  </si>
  <si>
    <t>It is a brand name</t>
  </si>
  <si>
    <t>(A) یہ کھیل کے قوانین کا حصہ ہے۔ (B) یہ حسب ضرورت کے لیے ایک خصوصیت ہے۔ (C) یہ ایک تاریخی نشان ہے۔ (D) یہ ایک برانڈ کا نام ہے۔</t>
  </si>
  <si>
    <t>What is the most prominent feature of the board's design?</t>
  </si>
  <si>
    <t>It is a plain, checkered surface</t>
  </si>
  <si>
    <t>It has intricate engraved patterns</t>
  </si>
  <si>
    <t>It is a solid color</t>
  </si>
  <si>
    <t>It is a circular board</t>
  </si>
  <si>
    <t>(A) یہ ایک سادہ، چیکر سطح ہے (B) اس میں پیچیدہ کندہ شدہ نمونے ہیں۔ (C) یہ ایک ٹھوس رنگ ہے۔ (D) یہ ایک سرکلر بورڈ ہے۔</t>
  </si>
  <si>
    <t>What is the apparent emotion of the players' faces?</t>
  </si>
  <si>
    <t>Calm and relaxed</t>
  </si>
  <si>
    <t>Fearful and nervous</t>
  </si>
  <si>
    <t>Strained and intense</t>
  </si>
  <si>
    <t>Happy and smiling</t>
  </si>
  <si>
    <t>(A) پرسکون اور پر سکون (B) خوف زدہ اور بے چین (C) کشیدہ اور شدید (D) خوش اور مسکراتے ہوئے۔</t>
  </si>
  <si>
    <t>The pieces are arranged in a specific formation. What is this formation for?</t>
  </si>
  <si>
    <t>The beginning of a game</t>
  </si>
  <si>
    <t>The middle of a game</t>
  </si>
  <si>
    <t>The end of a game</t>
  </si>
  <si>
    <t>A random arrangement</t>
  </si>
  <si>
    <t>(A) ایک کھیل کا آغاز (B) کھیل کا وسط (C) ایک کھیل کا اختتام (D) بے ترتیب ترتیب</t>
  </si>
  <si>
    <t>They are all the same height</t>
  </si>
  <si>
    <t>They are all the same color</t>
  </si>
  <si>
    <t>They are a mix of colors and designs</t>
  </si>
  <si>
    <t>They are all wearing saddles with elaborate patterns</t>
  </si>
  <si>
    <t>(A) وہ سب ایک ہی قد کے ہیں۔ (B) وہ سب ایک ہی رنگ کے ہیں۔ (C) وہ رنگوں اور ڈیزائنوں کا مرکب ہیں۔ (D) وہ سب وسیع نمونوں کے ساتھ زین پہنے ہوئے ہیں۔</t>
  </si>
  <si>
    <t>The historical game of Chaturanga is known for its connection to which country?</t>
  </si>
  <si>
    <t>China</t>
  </si>
  <si>
    <t>India</t>
  </si>
  <si>
    <t>Europe</t>
  </si>
  <si>
    <t>Egypt</t>
  </si>
  <si>
    <t>(A) چین (B) انڈیا (C) یورپ (D) مصر</t>
  </si>
  <si>
    <t>What is the main action shown in chaturanga_2?</t>
  </si>
  <si>
    <t>A chessboard with traditional pieces</t>
  </si>
  <si>
    <t>A group of riders competing for a central object</t>
  </si>
  <si>
    <t>A parade of horses</t>
  </si>
  <si>
    <t>A horse race</t>
  </si>
  <si>
    <t>chaturanga_2</t>
  </si>
  <si>
    <t>(A) روایتی ٹکڑوں کے ساتھ ایک بساط (B) سواروں کا ایک گروپ جو مرکزی چیز کے لیے مقابلہ کر رہا ہے۔ (C) گھوڑوں کی پریڈ (D) گھوڑوں کی دوڑ</t>
  </si>
  <si>
    <t>What is a notable detail about the board and pieces?</t>
  </si>
  <si>
    <t>The board is made of wood, and the pieces are carved in a traditional style</t>
  </si>
  <si>
    <t>The pieces are made of plastic</t>
  </si>
  <si>
    <t>The board is a solid color</t>
  </si>
  <si>
    <t>(A) وہ سب ایک جیسے ہیں۔ (B) بورڈ لکڑی کا بنا ہوا ہے، اور ٹکڑوں کو روایتی انداز میں کندہ کیا گیا ہے۔ (C) ٹکڑے پلاسٹک سے بنے ہیں۔ (D) بورڈ ایک ٹھوس رنگ ہے</t>
  </si>
  <si>
    <t>What is a visible detail about the pieces' design?</t>
  </si>
  <si>
    <t>What is the apparent setting of this game?</t>
  </si>
  <si>
    <t>It's on a large stadium</t>
  </si>
  <si>
    <t>It's on a field in a mountainous, rocky area</t>
  </si>
  <si>
    <t>It's on a city street</t>
  </si>
  <si>
    <t>It's on a wooden table</t>
  </si>
  <si>
    <t>(A) یہ ایک بڑے اسٹیڈیم پر ہے۔ (B) یہ پہاڑی، پتھریلی علاقے میں ایک میدان میں ہے۔ (C) یہ شہر کی سڑک پر ہے۔ (D) یہ لکڑی کی میز پر ہے۔</t>
  </si>
  <si>
    <t>What is the most prominent feature of the ground?</t>
  </si>
  <si>
    <t>A paved surface</t>
  </si>
  <si>
    <t>A muddy field</t>
  </si>
  <si>
    <t>A grassy surface</t>
  </si>
  <si>
    <t>A wooden table</t>
  </si>
  <si>
    <t>(A) ایک پکی سطح (B) کیچڑ والا میدان (C) ایک گھاس دار سطح (D) لکڑی کی میز</t>
  </si>
  <si>
    <t>What is the name of the game being played?</t>
  </si>
  <si>
    <t>Polo</t>
  </si>
  <si>
    <t>Horse racing</t>
  </si>
  <si>
    <t>Buzkashi</t>
  </si>
  <si>
    <t>(A) پولو (B) گھوڑوں کی دوڑ (C) بزکشی۔ (D) چتورنگا</t>
  </si>
  <si>
    <t>The game is known for its connection to which country?</t>
  </si>
  <si>
    <t>They are all black</t>
  </si>
  <si>
    <t>(A) وہ سب ایک ہی رنگ کے ہیں۔ (B) وہ رنگوں اور ڈیزائنوں کا مرکب ہیں۔ (C) وہ سب سفید فام ہیں۔ (D) وہ سب کالے ہیں۔</t>
  </si>
  <si>
    <t>What is the main action shown in chaturanga_3?</t>
  </si>
  <si>
    <t>A leisurely horse ride</t>
  </si>
  <si>
    <t>chaturanga_3</t>
  </si>
  <si>
    <t>(A) آرام سے گھوڑے کی سواری۔ (B) سواروں کا ایک گروپ جو مرکزی چیز کے لیے مقابلہ کر رہا ہے۔ (C) روایتی ٹکڑوں کے ساتھ ایک بساط (D) گھوڑوں کی دوڑ</t>
  </si>
  <si>
    <t>The board is made of plastic</t>
  </si>
  <si>
    <t>The pieces are all white</t>
  </si>
  <si>
    <t>(A) بورڈ لکڑی کا بنا ہوا ہے، اور ٹکڑوں کو روایتی انداز میں کندہ کیا گیا ہے۔ (B) بورڈ پلاسٹک سے بنا ہے۔ (C) بورڈ ایک ٹھوس رنگ ہے (D) ٹکڑے تمام سفید ہیں۔</t>
  </si>
  <si>
    <t>What is the main action shown in chaturanga_4?</t>
  </si>
  <si>
    <t>chaturanga_4</t>
  </si>
  <si>
    <t>The board is made of a checkered cloth, and the pieces are carved in a traditional style</t>
  </si>
  <si>
    <t>(A) بورڈ لکڑی کا بنا ہوا ہے، اور ٹکڑوں کو روایتی انداز میں کندہ کیا گیا ہے۔ (B) بورڈ ایک چیکر کپڑے سے بنا ہے، اور ٹکڑوں کو روایتی انداز میں کندہ کیا گیا ہے۔ (C) بورڈ ایک ٹھوس رنگ ہے (D) ٹکڑے تمام سفید ہیں۔</t>
  </si>
  <si>
    <t>It's on a table</t>
  </si>
  <si>
    <t>(A) یہ ایک بڑے اسٹیڈیم پر ہے۔ (B) یہ پہاڑی، پتھریلی علاقے میں ایک میدان میں ہے۔ (C) یہ شہر کی سڑک پر ہے۔ (D) یہ ایک میز پر ہے۔</t>
  </si>
  <si>
    <t>What is the main action shown in chaturanga_5?</t>
  </si>
  <si>
    <t>chaturanga_5</t>
  </si>
  <si>
    <t>What is the main action shown in chaturanga_7?</t>
  </si>
  <si>
    <t>A single chess piece on a chessboard</t>
  </si>
  <si>
    <t>chaturanga_7</t>
  </si>
  <si>
    <t>(A) بساط پر شطرنج کا ایک ٹکڑا (B) لوگوں کا ایک گروپ جو تاش کا کھیل کھیل رہا ہے۔ (C) شطرنج کے ٹکڑے تراشنے والا شخص (D) انتہائی آرائشی ٹکڑوں کے ساتھ ایک بساط</t>
  </si>
  <si>
    <t>What is a notable detail about the piece?</t>
  </si>
  <si>
    <t>It is a king</t>
  </si>
  <si>
    <t>It is a queen</t>
  </si>
  <si>
    <t>It is a bishop</t>
  </si>
  <si>
    <t>It is a pawn</t>
  </si>
  <si>
    <t>(A) یہ ایک بادشاہ ہے۔ (B) یہ ایک ملکہ ہے۔ (C) یہ ایک بشپ ہے۔ (D) یہ ایک پیادہ ہے۔</t>
  </si>
  <si>
    <t>What is the apparent material of the piece and the board?</t>
  </si>
  <si>
    <t>Wood</t>
  </si>
  <si>
    <t>Metal</t>
  </si>
  <si>
    <t>(A) پلاسٹک (B) شیشہ (C) لکڑی (D) دھات</t>
  </si>
  <si>
    <t>The image shows the piece on a chessboard. What is the historical game that is a precursor to modern chess?</t>
  </si>
  <si>
    <t>What is the apparent purpose of the image?</t>
  </si>
  <si>
    <t>It is a close-up photo of a chess piece</t>
  </si>
  <si>
    <t>(A) یہ کھیل کے قوانین کا حصہ ہے۔ (B) یہ ایک برانڈ کا نام ہے۔ (C) یہ ایک تاریخی نشان ہے۔ (D) یہ شطرنج کے ایک ٹکڑے کی قریبی تصویر ہے۔</t>
  </si>
  <si>
    <t>It is all the same height</t>
  </si>
  <si>
    <t>It is all the same color</t>
  </si>
  <si>
    <t>It is a mix of colors and designs</t>
  </si>
  <si>
    <t>It is all white</t>
  </si>
  <si>
    <t>(A) یہ سب ایک ہی اونچائی ہے۔ (B) یہ سب ایک ہی رنگ کا ہے۔ (C) یہ رنگوں اور ڈیزائنوں کا مرکب ہے۔ (D) یہ سب سفید ہے۔</t>
  </si>
  <si>
    <t>What is the main action shown in chaturanga_9?</t>
  </si>
  <si>
    <t>Two men fighting</t>
  </si>
  <si>
    <t>A group of people playing a ball game</t>
  </si>
  <si>
    <t>A group of people playing a board game</t>
  </si>
  <si>
    <t>chaturanga_9</t>
  </si>
  <si>
    <t>(A) دو آدمی لڑ رہے ہیں۔ (B) لوگوں کا ایک گروپ جو گیند کا کھیل کھیل رہا ہے۔ (C) لوگوں کا ایک گروپ جو بورڈ گیم کھیل رہا ہے۔ (D) شطرنج کے ٹکڑے تراشنے والا شخص</t>
  </si>
  <si>
    <t>It's on a red carpet in a room</t>
  </si>
  <si>
    <t>(A) یہ ایک بڑے اسٹیڈیم پر ہے۔ (B) یہ پہاڑی، پتھریلی علاقے میں ایک میدان میں ہے۔ (C) یہ شہر کی سڑک پر ہے۔ (D) یہ ایک کمرے میں سرخ قالین پر ہے۔</t>
  </si>
  <si>
    <t>A red carpet</t>
  </si>
  <si>
    <t>(A) ایک پکی سطح (B) کیچڑ والا میدان (C) ایک گھاس دار سطح (D) ایک سرخ قالین</t>
  </si>
  <si>
    <t>What is the main action shown in chaturanga_35?</t>
  </si>
  <si>
    <t>chaturanga_35</t>
  </si>
  <si>
    <t>What is the main action shown in chaturanga_34?</t>
  </si>
  <si>
    <t>Two people playing chess</t>
  </si>
  <si>
    <t>chaturanga_34</t>
  </si>
  <si>
    <t>(A) دو لوگ شطرنج کھیل رہے ہیں۔ (B) روایتی ٹکڑوں کے ساتھ ایک بساط (C) لوگوں کا ایک گروپ جو گیند کا کھیل کھیل رہا ہے۔ (D) شطرنج کے ٹکڑے تراشنے والا شخص</t>
  </si>
  <si>
    <t>The board is a plain cloth with pieces on it</t>
  </si>
  <si>
    <t>The board is a wooden table</t>
  </si>
  <si>
    <t>(A) بورڈ ایک سادہ کپڑا ہے جس پر ٹکڑے ہیں۔ (B) بورڈ لکڑی کی میز ہے۔ (C) بورڈ ایک ٹھوس رنگ ہے (D) ٹکڑے تمام سفید ہیں۔</t>
  </si>
  <si>
    <t>A table</t>
  </si>
  <si>
    <t>(A) ایک پکی سطح (B) کیچڑ والا میدان (C) ایک گھاس دار سطح (D) ایک میز</t>
  </si>
  <si>
    <t>What is the main action shown in chaturanga_40?</t>
  </si>
  <si>
    <t>Two men playing chess</t>
  </si>
  <si>
    <t>chaturanga_40</t>
  </si>
  <si>
    <t>(A) دو آدمی شطرنج کھیل رہے ہیں۔ (B) روایتی ٹکڑوں کے ساتھ ایک بساط (C) لوگوں کا ایک گروپ جو گیند کا کھیل کھیل رہا ہے۔ (D) شطرنج کے ٹکڑے تراشنے والا شخص</t>
  </si>
  <si>
    <t>What is the main action shown in chaturanga_47?</t>
  </si>
  <si>
    <t>A chessboard set up in a park</t>
  </si>
  <si>
    <t>chaturanga_47</t>
  </si>
  <si>
    <t>(A) بساط پر شطرنج کا ایک ٹکڑا (B) ایک پارک میں نصب ایک بساط (C) لوگوں کا ایک گروپ جو تاش کا کھیل کھیل رہا ہے۔ (D) شطرنج کے ٹکڑے تراشنے والا شخص</t>
  </si>
  <si>
    <t>They are highly stylized figures</t>
  </si>
  <si>
    <t>They are made of plastic and glass</t>
  </si>
  <si>
    <t>They are standard chess pieces</t>
  </si>
  <si>
    <t>(A) وہ سب ایک جیسے ہیں۔ (B) وہ انتہائی اسٹائلائزڈ شخصیات ہیں۔ (C) وہ پلاسٹک اور شیشے سے بنے ہیں۔ (D) وہ معیاری شطرنج کے ٹکڑے ہیں۔</t>
  </si>
  <si>
    <t>Stone or concrete</t>
  </si>
  <si>
    <t>(A) کندہ شدہ نمونوں کے ساتھ لکڑی (B) پلاسٹک (C) پتھر یا کنکریٹ (D) گتے</t>
  </si>
  <si>
    <t>The image shows a chessboard in a public park. What is the historical game that is a precursor to modern chess?</t>
  </si>
  <si>
    <t>What is the apparent purpose of the public chess table?</t>
  </si>
  <si>
    <t>It is for public recreation</t>
  </si>
  <si>
    <t>It is a historical monument</t>
  </si>
  <si>
    <t>(A) یہ کھیل کے قوانین کا حصہ ہے۔ (B) یہ عوامی تفریح ​​کے لیے ہے۔ (C) یہ ایک تاریخی یادگار ہے۔ (D) یہ ایک برانڈ کا نام ہے۔</t>
  </si>
  <si>
    <t>What is the main action shown in chaturanga_69?</t>
  </si>
  <si>
    <t>chaturanga_69</t>
  </si>
  <si>
    <t>(A) انتہائی آرائشی ٹکڑوں کے ساتھ ایک بساط (B) سواروں کا ایک گروپ جو مرکزی چیز کے لیے مقابلہ کر رہا ہے۔ (C) گھوڑوں کی پریڈ (D) گھوڑوں کی دوڑ</t>
  </si>
  <si>
    <t>What is the main action shown in chaturanga_45?</t>
  </si>
  <si>
    <t>A collage of historical and modern chess</t>
  </si>
  <si>
    <t>chaturanga_45</t>
  </si>
  <si>
    <t>(A) دو کھلاڑی لڑ رہے ہیں۔ (B) تاریخی اور جدید شطرنج کا ایک کولیج (C) لوگوں کا ایک گروپ جو تاش کا کھیل کھیل رہا ہے۔ (D) شطرنج کے ٹکڑے تراشنے والا شخص</t>
  </si>
  <si>
    <t>What is a notable detail about the pieces in the historical image?</t>
  </si>
  <si>
    <t>(A) وہ سب ایک جیسے ہیں۔ (B) وہ انتہائی اسٹائلائزڈ شخصیات ہیں۔ (C) وہ پلاسٹک سے بنے ہیں۔ (D) وہ سب سفید فام ہیں۔</t>
  </si>
  <si>
    <t>What is the apparent material of the chessboard in the modern image?</t>
  </si>
  <si>
    <t>The image shows a historical and a modern chess game. What is the historical game that is a precursor to modern chess?</t>
  </si>
  <si>
    <t>What is the apparent purpose of the collage?</t>
  </si>
  <si>
    <t>It is a historical comparison</t>
  </si>
  <si>
    <t>(A) یہ کھیل کے قوانین کا حصہ ہے۔ (B) یہ حسب ضرورت کے لیے ایک خصوصیت ہے۔ (C) یہ ایک تاریخی موازنہ ہے۔ (D) یہ ایک برانڈ کا نام ہے۔</t>
  </si>
  <si>
    <t>What is the most prominent feature of the board's design in the historical image?</t>
  </si>
  <si>
    <t>What is the main action shown in chaturanga_46?</t>
  </si>
  <si>
    <t>chaturanga_46</t>
  </si>
  <si>
    <t>What is the main action shown in chaturanga_59?</t>
  </si>
  <si>
    <t>chaturanga_59</t>
  </si>
  <si>
    <t>What is the main action shown in chaturanga_49?</t>
  </si>
  <si>
    <t>chaturanga_49</t>
  </si>
  <si>
    <t>What is the main action shown in chaturanga_62?</t>
  </si>
  <si>
    <t>chaturanga_62</t>
  </si>
  <si>
    <t>What is the main action shown in chaturanga_52?</t>
  </si>
  <si>
    <t>A diagram of a board</t>
  </si>
  <si>
    <t>chaturanga_52</t>
  </si>
  <si>
    <t>(A) بورڈ کا ایک خاکہ (B) لوگوں کا ایک گروپ جو گیند کا کھیل کھیل رہا ہے۔ (C) شطرنج کے ٹکڑے تراشنے والا شخص (D) انتہائی آرائشی ٹکڑوں کے ساتھ ایک بساط</t>
  </si>
  <si>
    <t>What is a notable detail about the board's design?</t>
  </si>
  <si>
    <t>What is the main action shown in chaturanga_54?</t>
  </si>
  <si>
    <t>chaturanga_54</t>
  </si>
  <si>
    <t>What is the main action shown in chaturanga_71?</t>
  </si>
  <si>
    <t>A chessboard with standard chess pieces</t>
  </si>
  <si>
    <t>chaturanga_71</t>
  </si>
  <si>
    <t>(A) دو کھلاڑی لڑ رہے ہیں۔ (B) شطرنج کے معیاری ٹکڑوں کے ساتھ ایک بساط (C) لوگوں کا ایک گروپ جو تاش کا کھیل کھیل رہا ہے۔ (D) شطرنج کے ٹکڑے تراشنے والا شخص</t>
  </si>
  <si>
    <t>They are standard wooden chess pieces</t>
  </si>
  <si>
    <t>(A) وہ سب ایک جیسے ہیں۔ (B) وہ انتہائی اسٹائلائزڈ شخصیات ہیں۔ (C) وہ پلاسٹک اور شیشے سے بنے ہیں۔ (D) وہ معیاری لکڑی کے شطرنج کے ٹکڑے ہیں۔</t>
  </si>
  <si>
    <t>Wood with a checkered surface</t>
  </si>
  <si>
    <t>(A) ایک چیکر سطح کے ساتھ لکڑی (B) پلاسٹک (C) شیشہ (D) گتے</t>
  </si>
  <si>
    <t>The image shows a chessboard. What is the historical game that is a precursor to modern chess?</t>
  </si>
  <si>
    <t>It is a close-up photo of a chess game</t>
  </si>
  <si>
    <t>(A) یہ کھیل کے قوانین کا حصہ ہے۔ (B) یہ حسب ضرورت کے لیے ایک خصوصیت ہے۔ (C) یہ ایک تاریخی نشان ہے۔ (D) یہ شطرنج کے کھیل کی قریبی تصویر ہے۔</t>
  </si>
  <si>
    <t>What is the main action shown in chaturanga_79?</t>
  </si>
  <si>
    <t>chaturanga_79</t>
  </si>
  <si>
    <t>What is the main action shown in chaturanga_76?</t>
  </si>
  <si>
    <t>A group of chess pieces on a white background</t>
  </si>
  <si>
    <t>chaturanga_76</t>
  </si>
  <si>
    <t>(A) بساط پر شطرنج کا ایک ٹکڑا (B) ایک سفید پس منظر پر شطرنج کے ٹکڑوں کا ایک گروپ (C) لوگوں کا ایک گروپ جو تاش کا کھیل کھیل رہا ہے۔ (D) شطرنج کے ٹکڑے تراشنے والا شخص</t>
  </si>
  <si>
    <t>They are all pawns</t>
  </si>
  <si>
    <t>(A) وہ سب ایک جیسے ہیں۔ (B) وہ انتہائی اسٹائلائزڈ شخصیات ہیں۔ (C) وہ پلاسٹک اور شیشے سے بنے ہیں۔ (D) وہ سب پیادے ہیں۔</t>
  </si>
  <si>
    <t>What is the apparent material of the pieces?</t>
  </si>
  <si>
    <t>(A) لکڑی (B) پلاسٹک (C) دھات (D) گتے</t>
  </si>
  <si>
    <t>It is a close-up photo of chess pieces</t>
  </si>
  <si>
    <t>(A) یہ کھیل کے قوانین کا حصہ ہے۔ (B) یہ حسب ضرورت کے لیے ایک خصوصیت ہے۔ (C) یہ ایک تاریخی نشان ہے۔ (D) یہ شطرنج کے ٹکڑوں کی قریبی تصویر ہے۔</t>
  </si>
  <si>
    <t>What is the most prominent feature of the pieces' design?</t>
  </si>
  <si>
    <t>What is the main action shown in chaturanga_86?</t>
  </si>
  <si>
    <t>chaturanga_86</t>
  </si>
  <si>
    <t>What is the main action shown in buzkashi_1?</t>
  </si>
  <si>
    <t>buzkashi_1</t>
  </si>
  <si>
    <t>What is a notable detail about the setting of this game?</t>
  </si>
  <si>
    <t>It's in a large stadium</t>
  </si>
  <si>
    <t>It's on a calm beach</t>
  </si>
  <si>
    <t>(A) یہ ایک بڑے اسٹیڈیم میں ہے۔ (B) یہ پہاڑی، پتھریلی علاقے میں ایک میدان میں ہے۔ (C) یہ شہر کی سڑک پر ہے۔ (D) یہ ایک پرسکون ساحل سمندر پر ہے۔</t>
  </si>
  <si>
    <t>What is a visible detail about the riders' attire?</t>
  </si>
  <si>
    <t>They are wearing modern sports uniforms</t>
  </si>
  <si>
    <t>They are wearing bright orange or green shirts</t>
  </si>
  <si>
    <t>They are wearing formal suits</t>
  </si>
  <si>
    <t>They are wearing no clothes</t>
  </si>
  <si>
    <t>(A) وہ جدید کھیلوں کی وردی پہنے ہوئے ہیں۔ (B) انہوں نے روشن نارنجی یا سبز قمیضیں پہن رکھی ہیں۔ (C) وہ رسمی سوٹ پہنے ہوئے ہیں۔ (D) انہوں نے کوئی لباس نہیں پہنا ہوا ہے۔</t>
  </si>
  <si>
    <t>What is the apparent body position of the riders?</t>
  </si>
  <si>
    <t>They are standing straight up</t>
  </si>
  <si>
    <t>They are leaning and reaching for an object</t>
  </si>
  <si>
    <t>They are lying on the horses' backs</t>
  </si>
  <si>
    <t>They are sitting down relaxed</t>
  </si>
  <si>
    <t>(A) وہ سیدھے کھڑے ہیں۔ (B) وہ جھک رہے ہیں اور کسی چیز تک پہنچ رہے ہیں۔ (C) وہ گھوڑوں کی پیٹھ پر لیٹے ہوئے ہیں۔ (D) وہ آرام سے بیٹھے ہیں۔</t>
  </si>
  <si>
    <t>What is the apparent emotion of the riders' faces?</t>
  </si>
  <si>
    <t>A sandy or dirt surface</t>
  </si>
  <si>
    <t>(A) ایک پکی سطح (B) کیچڑ والا میدان (C) ایک گھاس دار سطح (D) ریتلی یا گندگی کی سطح</t>
  </si>
  <si>
    <t>What is the name of the sport being played?</t>
  </si>
  <si>
    <t>Equestrian sports</t>
  </si>
  <si>
    <t>(A) پولو (B) گھوڑوں کی دوڑ (C) بزکشی۔ (D) گھڑ سواری کے کھیل</t>
  </si>
  <si>
    <t>The action in the image suggests a style that emphasizes...</t>
  </si>
  <si>
    <t>Fluidity and acrobatics</t>
  </si>
  <si>
    <t>Ground fighting and grappling</t>
  </si>
  <si>
    <t>Brute force and horsemanship</t>
  </si>
  <si>
    <t>Simple, linear movements</t>
  </si>
  <si>
    <t>(A) روانی اور قلابازیاں (B) زمینی لڑائی اور گرفت (C) وحشیانہ قوت اور گھڑ سواری۔ (D) سادہ، لکیری حرکات</t>
  </si>
  <si>
    <t>What is a notable detail about the horses?</t>
  </si>
  <si>
    <t>They are a mix of colors and breeds</t>
  </si>
  <si>
    <t>They are all standing still</t>
  </si>
  <si>
    <t>(A) وہ سب ایک ہی رنگ کے ہیں۔ (B) وہ رنگوں اور نسلوں کا مرکب ہیں۔ (C) وہ سب وسیع نمونوں کے ساتھ زین پہنے ہوئے ہیں۔ (D) وہ سب خاموش کھڑے ہیں۔</t>
  </si>
  <si>
    <t>What is a notable detail about the rider in the center?</t>
  </si>
  <si>
    <t>He is falling off his horse</t>
  </si>
  <si>
    <t>He is holding a banner</t>
  </si>
  <si>
    <t>He is holding a rope</t>
  </si>
  <si>
    <t>He is holding a stick</t>
  </si>
  <si>
    <t>(A) وہ اپنے گھوڑے سے گر رہا ہے۔ (B) اس نے بینر اٹھا رکھا ہے۔ (C) اس نے رسی پکڑی ہوئی ہے۔ (D) اس نے چھڑی پکڑی ہوئی ہے۔</t>
  </si>
  <si>
    <t>What is the main action shown in buzkashi_2?</t>
  </si>
  <si>
    <t>buzkashi_2</t>
  </si>
  <si>
    <t>(A) آرام سے گھوڑے کی سواری۔ (B) سواروں کا ایک گروپ جو مرکزی چیز کے لیے مقابلہ کر رہا ہے۔ (C) گھوڑوں کی پریڈ (D) گھوڑوں کی دوڑ</t>
  </si>
  <si>
    <t>It's in a stadium with a crowd</t>
  </si>
  <si>
    <t>(A) یہ ہجوم کے ساتھ اسٹیڈیم میں ہے۔ (B) یہ پہاڑی، پتھریلی علاقے میں ایک میدان میں ہے۔ (C) یہ شہر کی سڑک پر ہے۔ (D) یہ ایک پرسکون ساحل سمندر پر ہے۔</t>
  </si>
  <si>
    <t>What is the main action shown in buzkashi_8?</t>
  </si>
  <si>
    <t>buzkashi_8</t>
  </si>
  <si>
    <t>What is a notable detail about the object on the ground?</t>
  </si>
  <si>
    <t>It is a ball</t>
  </si>
  <si>
    <t>It is a flag</t>
  </si>
  <si>
    <t>It is a goat carcass</t>
  </si>
  <si>
    <t>It is a rope</t>
  </si>
  <si>
    <t>(A) یہ ایک گیند ہے۔ (B) یہ ایک جھنڈا ہے۔ (C) یہ ایک بکری کی لاش ہے۔ (D) یہ ایک رسی ہے۔</t>
  </si>
  <si>
    <t>What is the main action shown in buzkashi_15?</t>
  </si>
  <si>
    <t>buzkashi_15</t>
  </si>
  <si>
    <t>What is a notable detail about the object being competed for?</t>
  </si>
  <si>
    <t>They are wearing traditional tunics and headwear</t>
  </si>
  <si>
    <t>(A) وہ جدید کھیلوں کی وردی پہنے ہوئے ہیں۔ (B) وہ روایتی ٹونکس اور سر کے لباس پہنے ہوئے ہیں۔ (C) وہ رسمی سوٹ پہنے ہوئے ہیں۔ (D) انہوں نے کوئی لباس نہیں پہنا ہوا ہے۔</t>
  </si>
  <si>
    <t>What is the main action shown in buzkashi_16?</t>
  </si>
  <si>
    <t>buzkashi_16</t>
  </si>
  <si>
    <t>What is a notable detail about the rider on the right?</t>
  </si>
  <si>
    <t>He is holding a whip</t>
  </si>
  <si>
    <t>(A) اس نے ایک کوڑا پکڑ رکھا ہے۔ (B) اس نے بینر اٹھا رکھا ہے۔ (C) اس نے رسی پکڑی ہوئی ہے۔ (D) اس نے چھڑی پکڑی ہوئی ہے۔</t>
  </si>
  <si>
    <t>What is the main action shown in buzkashi_21?</t>
  </si>
  <si>
    <t>A rider carrying a carcass at high speed</t>
  </si>
  <si>
    <t>buzkashi_21</t>
  </si>
  <si>
    <t>(A) آرام سے گھوڑے کی سواری۔ (B) تیز رفتاری سے لاش کو لے جانے والا سوار (C) گھوڑوں کی پریڈ (D) گھوڑوں کی دوڑ</t>
  </si>
  <si>
    <t>What is a notable detail about the object the rider is carrying?</t>
  </si>
  <si>
    <t>What is a visible detail about the rider's attire?</t>
  </si>
  <si>
    <t>He is wearing a modern sports uniform</t>
  </si>
  <si>
    <t>He is wearing a traditional tunic and headwear</t>
  </si>
  <si>
    <t>He is wearing a formal suit</t>
  </si>
  <si>
    <t>He is wearing no clothes</t>
  </si>
  <si>
    <t>(A) اس نے جدید کھیلوں کا یونیفارم پہن رکھا ہے۔ (B) اس نے روایتی ٹونک اور سر کا لباس پہن رکھا ہے۔ (C) اس نے رسمی سوٹ پہن رکھا ہے۔ (D) اس نے کوئی لباس نہیں پہنا ہوا ہے۔</t>
  </si>
  <si>
    <t>What is the apparent body position of the rider?</t>
  </si>
  <si>
    <t>He is standing straight up</t>
  </si>
  <si>
    <t>He is leaning and reaching for an object</t>
  </si>
  <si>
    <t>He is lying on the horse's back</t>
  </si>
  <si>
    <t>He is sitting down relaxed</t>
  </si>
  <si>
    <t>(A) وہ سیدھا کھڑا ہے۔ (B) وہ جھک رہا ہے اور کسی چیز تک پہنچ رہا ہے۔ (C) وہ گھوڑے کی پیٹھ پر لیٹا ہے۔ (D) وہ آرام سے بیٹھا ہے۔</t>
  </si>
  <si>
    <t>What is the apparent emotion of the rider's face?</t>
  </si>
  <si>
    <t>What is a notable detail about the horse?</t>
  </si>
  <si>
    <t>It is a mix of colors and breeds</t>
  </si>
  <si>
    <t>It is wearing a saddle with an elaborate pattern</t>
  </si>
  <si>
    <t>It is standing still</t>
  </si>
  <si>
    <t>(A) یہ سب ایک ہی رنگ کا ہے۔ (B) یہ رنگوں اور نسلوں کا مرکب ہے۔ (C) یہ ایک وسیع پیٹرن کے ساتھ ایک زین پہنے ہوئے ہے۔ (D) یہ ساکت کھڑا ہے۔</t>
  </si>
  <si>
    <t>What is a notable detail about the rider?</t>
  </si>
  <si>
    <t>What is the main action shown in buzkashi_23?</t>
  </si>
  <si>
    <t>buzkashi_23</t>
  </si>
  <si>
    <t>What is the main action shown in buzkashi_26?</t>
  </si>
  <si>
    <t>buzkashi_26</t>
  </si>
  <si>
    <t>What is the main action shown in buzkashi_57?</t>
  </si>
  <si>
    <t>A rider competing for a central object</t>
  </si>
  <si>
    <t>buzkashi_57</t>
  </si>
  <si>
    <t>(A) آرام سے گھوڑے کی سواری۔ (B) مرکزی چیز کے لیے مقابلہ کرنے والا سوار (C) گھوڑوں کی پریڈ (D) گھوڑوں کی دوڑ</t>
  </si>
  <si>
    <t>It's on a field with a large crowd in bleachers</t>
  </si>
  <si>
    <t>(A) یہ ایک بڑے اسٹیڈیم میں ہے۔ (B) یہ ایک ایسے میدان میں ہے جس میں بلیچرز کا ایک بڑا ہجوم ہے۔ (C) یہ شہر کی سڑک پر ہے۔ (D) یہ ایک پرسکون ساحل سمندر پر ہے۔</t>
  </si>
  <si>
    <t>He is wearing a long coat and traditional headwear</t>
  </si>
  <si>
    <t>He is wearing shorts and a t-shirt</t>
  </si>
  <si>
    <t>(A) اس نے رسمی سوٹ پہن رکھا ہے۔ (B) اس نے ایک لمبا کوٹ اور روایتی سر پہن رکھا ہے۔ (C) اس نے شارٹس اور ٹی شرٹ پہن رکھی ہے۔ (D) اس نے کوئی لباس نہیں پہنا ہوا ہے۔</t>
  </si>
  <si>
    <t>It is a white horse with an elaborate saddle</t>
  </si>
  <si>
    <t>It is wearing no saddle</t>
  </si>
  <si>
    <t>(A) یہ سب ایک ہی رنگ کا ہے۔ (B) یہ ایک سفید گھوڑا ہے جس میں ایک وسیع زین ہے۔ (C) یہ رنگوں اور نسلوں کا مرکب ہے۔ (D) اس نے کوئی کاٹھی نہیں پہنی ہوئی ہے۔</t>
  </si>
  <si>
    <t>(A) اس نے ایک کوڑا پکڑ رکھا ہے۔ (B) اس نے بینر اٹھا رکھا ہے۔ (C) اس نے چھڑی پکڑی ہوئی ہے۔ (D) اس نے رسی پکڑی ہوئی ہے۔</t>
  </si>
  <si>
    <t>What is the main action shown in buzkashi_37?</t>
  </si>
  <si>
    <t>buzkashi_37</t>
  </si>
  <si>
    <t>What is the main action shown in buzkashi_49?</t>
  </si>
  <si>
    <t>buzkashi_49</t>
  </si>
  <si>
    <t>What is the main action shown in buzkashi_34?</t>
  </si>
  <si>
    <t>buzkashi_34</t>
  </si>
  <si>
    <t>What is the main action shown in buzkashi_51?</t>
  </si>
  <si>
    <t>buzkashi_51</t>
  </si>
  <si>
    <t>What is a notable detail about the object the riders are competing for?</t>
  </si>
  <si>
    <t>What is the main action shown in buzkashi_55?</t>
  </si>
  <si>
    <t>buzkashi_55</t>
  </si>
  <si>
    <t>What is the main action shown in buzkashi_52?</t>
  </si>
  <si>
    <t>buzkashi_52</t>
  </si>
  <si>
    <t>What is a notable detail about the horses' expressions?</t>
  </si>
  <si>
    <t>What is the main action shown in buzkashi_53?</t>
  </si>
  <si>
    <t>buzkashi_53</t>
  </si>
  <si>
    <t>What is the main action shown in buzkashi_47?</t>
  </si>
  <si>
    <t>buzkashi_47</t>
  </si>
  <si>
    <t>What is the main action shown in buzkashi_39?</t>
  </si>
  <si>
    <t>buzkashi_39</t>
  </si>
  <si>
    <t>What is the main action shown in buzkashi_68?</t>
  </si>
  <si>
    <t>buzkashi_68</t>
  </si>
  <si>
    <t>What is the main action shown in buzkashi_59?</t>
  </si>
  <si>
    <t>buzkashi_59</t>
  </si>
  <si>
    <t>It's on a field with a large crowd</t>
  </si>
  <si>
    <t>(A) یہ ایک بڑے اسٹیڈیم میں ہے۔ (B) یہ ایک بڑے ہجوم کے ساتھ میدان میں ہے۔ (C) یہ شہر کی سڑک پر ہے۔ (D) یہ ایک پرسکون ساحل سمندر پر ہے۔</t>
  </si>
  <si>
    <t>They are wearing colorful, mixed clothing</t>
  </si>
  <si>
    <t>(A) وہ جدید کھیلوں کی وردی پہنے ہوئے ہیں۔ (B) وہ رنگ برنگے، ملے جلے لباس پہنے ہوئے ہیں۔ (C) وہ رسمی سوٹ پہنے ہوئے ہیں۔ (D) انہوں نے کوئی لباس نہیں پہنا ہوا ہے۔</t>
  </si>
  <si>
    <t>A sandy or dirt surface with dust flying</t>
  </si>
  <si>
    <t>(A) ایک پکی سطح (B) کیچڑ والا میدان (C) ایک گھاس دار سطح (D) دھول اڑنے والی ریتلی یا گندگی کی سطح</t>
  </si>
  <si>
    <t>What is the main action shown in buzkashi_62?</t>
  </si>
  <si>
    <t>buzkashi_62</t>
  </si>
  <si>
    <t>What is the main action shown in buzkashi_66?</t>
  </si>
  <si>
    <t>buzkashi_66</t>
  </si>
  <si>
    <t>What is the main action shown in buzkashi_72?</t>
  </si>
  <si>
    <t>buzkashi_72</t>
  </si>
  <si>
    <t>What is the main action shown in buzkashi_63?</t>
  </si>
  <si>
    <t>buzkashi_63</t>
  </si>
  <si>
    <t>What is the main action shown in buzkashi_58?</t>
  </si>
  <si>
    <t>buzkashi_58</t>
  </si>
  <si>
    <t>What is the main action shown in buzkashi_61?</t>
  </si>
  <si>
    <t>buzkashi_61</t>
  </si>
  <si>
    <t>What is the main action shown in buzkashi_67?</t>
  </si>
  <si>
    <t>buzkashi_67</t>
  </si>
  <si>
    <t>What is the main action shown in buzkashi_71?</t>
  </si>
  <si>
    <t>buzkashi_71</t>
  </si>
  <si>
    <t>What is the main action shown in buzkashi_77?</t>
  </si>
  <si>
    <t>buzkashi_77</t>
  </si>
  <si>
    <t>What is the main action shown in buzkashi_88?</t>
  </si>
  <si>
    <t>buzkashi_88</t>
  </si>
  <si>
    <t>What is the main action shown in buzkashi_95?</t>
  </si>
  <si>
    <t>buzkashi_95</t>
  </si>
  <si>
    <t>What is the main action shown in buzkashi_79?</t>
  </si>
  <si>
    <t>buzkashi_79</t>
  </si>
  <si>
    <t>What is the main action shown in buzkashi_86?</t>
  </si>
  <si>
    <t>buzkashi_86</t>
  </si>
  <si>
    <t>What is the main action shown in buzkashi_74?</t>
  </si>
  <si>
    <t>buzkashi_74</t>
  </si>
  <si>
    <t>What is the main action shown in buzkashi_83?</t>
  </si>
  <si>
    <t>buzkashi_83</t>
  </si>
  <si>
    <t>What is the main action shown in buzkashi_90?</t>
  </si>
  <si>
    <t>buzkashi_90</t>
  </si>
  <si>
    <t>What is the main action shown in buzkashi_93?</t>
  </si>
  <si>
    <t>buzkashi_93</t>
  </si>
  <si>
    <t>What is the main action shown in gatka_1?</t>
  </si>
  <si>
    <t>Two men fighting with swords</t>
  </si>
  <si>
    <t>Two men dancing</t>
  </si>
  <si>
    <t>Two men posing with props</t>
  </si>
  <si>
    <t>Two men wrestling</t>
  </si>
  <si>
    <t>gatka_1</t>
  </si>
  <si>
    <t>What is a notable detail about the attire of the fighter on the left?</t>
  </si>
  <si>
    <t>He is wearing a full suit of armor</t>
  </si>
  <si>
    <t>He is wearing a long, white robe with an orange turban</t>
  </si>
  <si>
    <t>He is wearing a police uniform</t>
  </si>
  <si>
    <t>(A) اس نے بکتر کا پورا سوٹ پہن رکھا ہے۔ (B) اس نے نارنجی رنگ کی پگڑی کے ساتھ ایک لمبا، سفید لباس پہن رکھا ہے۔ (C) اس نے شارٹس اور ٹی شرٹ پہن رکھی ہے۔ (D) اس نے پولیس کی وردی پہن رکھی ہے۔</t>
  </si>
  <si>
    <t>What is the primary weapon used by the fighters?</t>
  </si>
  <si>
    <t>A short sword</t>
  </si>
  <si>
    <t>A long stick</t>
  </si>
  <si>
    <t>A bow and arrow</t>
  </si>
  <si>
    <t>A bare fist</t>
  </si>
  <si>
    <t>(A) ایک چھوٹی تلوار (B) ایک لمبی چھڑی (C) ایک کمان اور تیر (D) ایک ننگی مٹھی</t>
  </si>
  <si>
    <t>What is the setting of this fight?</t>
  </si>
  <si>
    <t>An indoor stadium</t>
  </si>
  <si>
    <t>A rural, outdoor area</t>
  </si>
  <si>
    <t>A busy city street</t>
  </si>
  <si>
    <t>A grassy field</t>
  </si>
  <si>
    <t>(A) ایک انڈور اسٹیڈیم (B) ایک دیہی، بیرونی علاقہ (C) شہر کی مصروف گلی (D) گھاس کا میدان</t>
  </si>
  <si>
    <t>What is the apparent emotion of the fighters?</t>
  </si>
  <si>
    <t>What is the apparent body position of the fighters?</t>
  </si>
  <si>
    <t>Standing straight up</t>
  </si>
  <si>
    <t>In a low, dynamic stance</t>
  </si>
  <si>
    <t>Lying on the ground</t>
  </si>
  <si>
    <t>Sitting down</t>
  </si>
  <si>
    <t>(A) سیدھا کھڑا ہونا (B) کم، متحرک موقف میں (C) زمین پر لیٹنا (D) بیٹھا ہوا</t>
  </si>
  <si>
    <t>What is the most prominent feature of the crowd in the background?</t>
  </si>
  <si>
    <t>They are running away</t>
  </si>
  <si>
    <t>They are sitting quietly</t>
  </si>
  <si>
    <t>They are watching the fight from a natural barrier</t>
  </si>
  <si>
    <t>They are all standing on a stage</t>
  </si>
  <si>
    <t>(A) وہ بھاگ رہے ہیں۔ (B) وہ خاموش بیٹھے ہیں۔ (C) وہ لڑائی کو قدرتی رکاوٹ سے دیکھ رہے ہیں۔ (D) وہ سب ایک اسٹیج پر کھڑے ہیں۔</t>
  </si>
  <si>
    <t>What is the apparent state of the ground?</t>
  </si>
  <si>
    <t>It is a paved surface</t>
  </si>
  <si>
    <t>It is a muddy field</t>
  </si>
  <si>
    <t>It is a sandy or dirt surface with dust flying</t>
  </si>
  <si>
    <t>It is a grassy surface</t>
  </si>
  <si>
    <t>(A) یہ ایک پکی سطح ہے۔ (B) یہ ایک کیچڑ والا میدان ہے۔ (C) یہ ایک ریتلی یا مٹی کی سطح ہے جس میں دھول اڑتی ہے۔ (D) یہ ایک گھاس والی سطح ہے۔</t>
  </si>
  <si>
    <t>What is the primary purpose of the shields each fighter is holding?</t>
  </si>
  <si>
    <t>To block the sword strikes</t>
  </si>
  <si>
    <t>To hold a weapon</t>
  </si>
  <si>
    <t>For decoration only</t>
  </si>
  <si>
    <t>To block the sun</t>
  </si>
  <si>
    <t>(A) تلوار کے وار کو روکنے کے لیے (B) ہتھیار رکھنے کے لیے (C) صرف سجاوٹ کے لیے (D) سورج کو روکنے کے لئے</t>
  </si>
  <si>
    <t>The overall mood of the event appears to be...</t>
  </si>
  <si>
    <t>A casual practice session</t>
  </si>
  <si>
    <t>A tense and aggressive performance</t>
  </si>
  <si>
    <t>A calm, peaceful gathering</t>
  </si>
  <si>
    <t>A slow, ceremonial dance</t>
  </si>
  <si>
    <t>(A) ایک آرام دہ مشق سیشن (B) ایک تناؤ اور جارحانہ کارکردگی (C) ایک پرسکون، پرامن اجتماع (D) ایک سست، رسمی رقص</t>
  </si>
  <si>
    <t>What is the main action shown in gatka_2?</t>
  </si>
  <si>
    <t>gatka_2</t>
  </si>
  <si>
    <t>(A) دو آدمی تلواروں سے لڑ رہے ہیں۔ (B) دو آدمی ناچ رہے ہیں۔ (C) دو آدمی سہارے کے ساتھ پوز دے رہے ہیں۔ (D) دو آدمی کشتی کرتے ہوئے۔</t>
  </si>
  <si>
    <t>He is wearing a long, black robe with a white sash</t>
  </si>
  <si>
    <t>(A) اس نے بکتر کا پورا سوٹ پہن رکھا ہے۔ (B) اس نے ایک لمبا، کالا چوغہ پہن رکھا ہے جس میں سفید چادر ہے۔ (C) اس نے شارٹس اور ٹی شرٹ پہن رکھی ہے۔ (D) اس نے پولیس کی وردی پہن رکھی ہے۔</t>
  </si>
  <si>
    <t>What is the main action shown in gatka_3?</t>
  </si>
  <si>
    <t>A man dancing</t>
  </si>
  <si>
    <t>A man posing with props</t>
  </si>
  <si>
    <t>A man fighting with swords</t>
  </si>
  <si>
    <t>A man jumping in the air with a long stick</t>
  </si>
  <si>
    <t>gatka_3</t>
  </si>
  <si>
    <t>(A) ایک آدمی ناچ رہا ہے۔ (B) ایک آدمی سہارے کے ساتھ پوز کر رہا ہے۔ (C) تلواروں سے لڑنے والا آدمی (D) ایک آدمی لمبی چھڑی کے ساتھ ہوا میں چھلانگ لگا رہا ہے۔</t>
  </si>
  <si>
    <t>What is a notable detail about the attire of the man?</t>
  </si>
  <si>
    <t>What is the primary weapon used by the man?</t>
  </si>
  <si>
    <t>What is the apparent emotion of the man?</t>
  </si>
  <si>
    <t>What is the apparent body position of the man?</t>
  </si>
  <si>
    <t>Jumping in the air</t>
  </si>
  <si>
    <t>(A) سیدھا کھڑا ہونا (B) کم، متحرک موقف میں (C) زمین پر لیٹنا (D) ہوا میں چھلانگ لگانا</t>
  </si>
  <si>
    <t>What is the primary purpose of the long stick?</t>
  </si>
  <si>
    <t>What is the main action shown in gatka_4?</t>
  </si>
  <si>
    <t>A man jumping in the air with a short sword</t>
  </si>
  <si>
    <t>gatka_4</t>
  </si>
  <si>
    <t>(A) ایک آدمی ناچ رہا ہے۔ (B) ایک آدمی سہارے کے ساتھ پوز کر رہا ہے۔ (C) تلواروں سے لڑنے والا آدمی (D) ایک آدمی چھوٹی تلوار کے ساتھ ہوا میں چھلانگ لگا رہا ہے۔</t>
  </si>
  <si>
    <t>What is the primary purpose of the short sword?</t>
  </si>
  <si>
    <t>What is the main action shown in gatka_5?</t>
  </si>
  <si>
    <t>Two men fighting with sticks and shields</t>
  </si>
  <si>
    <t>Two men posing for a photo</t>
  </si>
  <si>
    <t>gatka_5</t>
  </si>
  <si>
    <t>(A) دو آدمی ناچ رہے ہیں۔ (B) دو آدمی لاٹھیوں اور ڈھالوں سے لڑ رہے ہیں۔ (C) دو آدمی تصویر کے لیے پوز کر رہے ہیں۔ (D) دو آدمی کشتی کرتے ہوئے۔</t>
  </si>
  <si>
    <t>What is a notable detail about the attire of the fighters?</t>
  </si>
  <si>
    <t>They are wearing a full suit of armor</t>
  </si>
  <si>
    <t>They are wearing a long, orange patterned skirt</t>
  </si>
  <si>
    <t>They are wearing shorts and a t-shirt</t>
  </si>
  <si>
    <t>They are wearing police uniforms</t>
  </si>
  <si>
    <t>(A) انہوں نے بکتر کا پورا سوٹ پہن رکھا ہے۔ (B) انہوں نے ایک لمبا اورنج پیٹرن والا اسکرٹ پہن رکھا ہے۔ (C) انہوں نے شارٹس اور ٹی شرٹ پہن رکھی ہیں۔ (D) انہوں نے پولیس کی وردی پہن رکھی ہے۔</t>
  </si>
  <si>
    <t>To block the stick strikes</t>
  </si>
  <si>
    <t>(A) چھڑی کی ہڑتالوں کو روکنے کے لیے (B) ہتھیار رکھنے کے لیے (C) صرف سجاوٹ کے لیے (D) سورج کو روکنے کے لئے</t>
  </si>
  <si>
    <t>What is the main action shown in gatka_6?</t>
  </si>
  <si>
    <t>Two people dancing</t>
  </si>
  <si>
    <t>gatka_6</t>
  </si>
  <si>
    <t>(A) دو لوگ ناچ رہے ہیں۔ (B) دو آدمی تلواروں سے لڑ رہے ہیں۔ (C) دو آدمی سہارے کے ساتھ پوز دے رہے ہیں۔ (D) دو آدمی کشتی کرتے ہوئے۔</t>
  </si>
  <si>
    <t>He is wearing a long, blue robe with an orange turban</t>
  </si>
  <si>
    <t>(A) اس نے بکتر کا پورا سوٹ پہن رکھا ہے۔ (B) اس نے نارنجی پگڑی کے ساتھ ایک لمبا، نیلا لباس پہن رکھا ہے۔ (C) اس نے شارٹس اور ٹی شرٹ پہن رکھی ہے۔ (D) اس نے پولیس کی وردی پہن رکھی ہے۔</t>
  </si>
  <si>
    <t>What is the main action shown in gatka_7?</t>
  </si>
  <si>
    <t>gatka_7</t>
  </si>
  <si>
    <t>(A) دو آدمی لاٹھیوں اور ڈھالوں سے لڑ رہے ہیں۔ (B) دو آدمی ناچ رہے ہیں۔ (C) دو آدمی سہارے کے ساتھ پوز دے رہے ہیں۔ (D) دو آدمی کشتی کرتے ہوئے۔</t>
  </si>
  <si>
    <t>They are wearing a long, red skirt</t>
  </si>
  <si>
    <t>He is wearing a long, red skirt</t>
  </si>
  <si>
    <t>(A) انہوں نے بکتر کا پورا سوٹ پہن رکھا ہے۔ (B) انہوں نے ایک لمبا، سرخ اسکرٹ پہن رکھا ہے۔ (C) انہوں نے شارٹس اور ٹی شرٹ پہن رکھی ہیں۔ (D) اس نے پولیس کی وردی پہن رکھی ہے۔</t>
  </si>
  <si>
    <t>A rural, outdoor area with traditional huts</t>
  </si>
  <si>
    <t>A calm beach</t>
  </si>
  <si>
    <t>(A) ایک انڈور اسٹیڈیم (B) روایتی جھونپڑیوں کے ساتھ ایک دیہی، بیرونی علاقہ (C) شہر کی مصروف گلی (D) ایک پرسکون ساحل</t>
  </si>
  <si>
    <t>They are watching the fight from a natural stone barrier</t>
  </si>
  <si>
    <t>(A) وہ بھاگ رہے ہیں۔ (B) وہ خاموش بیٹھے ہیں۔ (C) وہ قدرتی پتھر کی رکاوٹ سے لڑائی دیکھ رہے ہیں۔ (D) وہ سب ایک اسٹیج پر کھڑے ہیں۔</t>
  </si>
  <si>
    <t>It is a sandy or dirt surface</t>
  </si>
  <si>
    <t>It is a rocky surface</t>
  </si>
  <si>
    <t>(A) یہ ایک پکی سطح ہے۔ (B) یہ ایک کیچڑ والا میدان ہے۔ (C) یہ ایک ریتلی یا گندگی کی سطح ہے۔ (D) یہ ایک پتھریلی سطح ہے۔</t>
  </si>
  <si>
    <t>What is the main action shown in gatka_9?</t>
  </si>
  <si>
    <t>gatka_9</t>
  </si>
  <si>
    <t>They are wearing a long, yellow patterned skirt with a blue sash</t>
  </si>
  <si>
    <t>He is wearing a long, yellow patterned skirt with a blue sash</t>
  </si>
  <si>
    <t>(A) انہوں نے بکتر کا پورا سوٹ پہن رکھا ہے۔ (B) انہوں نے نیلے رنگ کا ایک لمبا، پیلے رنگ کا اسکرٹ پہن رکھا ہے۔ (C) انہوں نے شارٹس اور ٹی شرٹ پہن رکھی ہیں۔ (D) اس نے پولیس کی وردی پہن رکھی ہے۔</t>
  </si>
  <si>
    <t>What is the main action shown in gatka_13?</t>
  </si>
  <si>
    <t>gatka_13</t>
  </si>
  <si>
    <t>They are wearing a long, blue patterned skirt with a sash</t>
  </si>
  <si>
    <t>He is wearing a long, blue patterned skirt with a sash</t>
  </si>
  <si>
    <t>(A) انہوں نے بکتر کا پورا سوٹ پہن رکھا ہے۔ (B) انہوں نے ایک لمبا، نیلے پیٹرن والا اسکرٹ پہنا ہوا ہے جس میں سیش ہے۔ (C) اس نے شارٹس اور ٹی شرٹ پہن رکھی ہے۔ (D) اس نے پولیس کی وردی پہن رکھی ہے۔</t>
  </si>
  <si>
    <t>A rural, outdoor area with palm trees</t>
  </si>
  <si>
    <t>(A) ایک انڈور اسٹیڈیم (B) کھجور کے درختوں کے ساتھ ایک دیہی، بیرونی علاقہ (C) شہر کی مصروف گلی (D) گھاس کا میدان</t>
  </si>
  <si>
    <t>They are watching the fight from behind a natural barrier</t>
  </si>
  <si>
    <t>(A) وہ بھاگ رہے ہیں۔ (B) وہ خاموش بیٹھے ہیں۔ (C) وہ قدرتی رکاوٹ کے پیچھے سے لڑائی کو دیکھ رہے ہیں۔ (D) وہ سب ایک اسٹیج پر کھڑے ہیں۔</t>
  </si>
  <si>
    <t>What is the main action shown in gatka_16?</t>
  </si>
  <si>
    <t>A group of children posing</t>
  </si>
  <si>
    <t>A group of children dancing</t>
  </si>
  <si>
    <t>A group of children fighting with swords</t>
  </si>
  <si>
    <t>A group of children wrestling</t>
  </si>
  <si>
    <t>gatka_16</t>
  </si>
  <si>
    <t>(A) بچوں کا ایک گروپ پوز دے رہا ہے۔ (B) بچوں کا ایک گروپ ناچ رہا ہے۔ (C) بچوں کا ایک گروہ جو تلواروں سے لڑ رہا ہے۔ (D) بچوں کا ایک گروپ ریسلنگ</t>
  </si>
  <si>
    <t>What is a notable detail about the attire of the children?</t>
  </si>
  <si>
    <t>They are wearing a long, blue robe with an orange sash</t>
  </si>
  <si>
    <t>(A) انہوں نے بکتر کا پورا سوٹ پہن رکھا ہے۔ (B) انہوں نے نارنجی رنگ کا ایک لمبا، نیلا لباس پہن رکھا ہے۔ (C) انہوں نے شارٹس اور ٹی شرٹ پہن رکھی ہیں۔ (D) اس نے پولیس کی وردی پہن رکھی ہے۔</t>
  </si>
  <si>
    <t>What is the primary weapon used by the children?</t>
  </si>
  <si>
    <t>What is the apparent emotion of the children?</t>
  </si>
  <si>
    <t>What is the apparent body position of the children?</t>
  </si>
  <si>
    <t>What is the primary purpose of the shields each child is holding?</t>
  </si>
  <si>
    <t>What is the main action shown in gatka_22?</t>
  </si>
  <si>
    <t>gatka_22</t>
  </si>
  <si>
    <t>What is a notable detail about the attire of the fighter on the right?</t>
  </si>
  <si>
    <t>He is wearing a long, white robe with a black turban</t>
  </si>
  <si>
    <t>(A) اس نے بکتر کا پورا سوٹ پہن رکھا ہے۔ (B) اس نے سیاہ پگڑی کے ساتھ ایک لمبا، سفید لباس پہن رکھا ہے۔ (C) اس نے شارٹس اور ٹی شرٹ پہن رکھی ہے۔ (D) اس نے پولیس کی وردی پہن رکھی ہے۔</t>
  </si>
  <si>
    <t>What is the main action shown in gatka_45?</t>
  </si>
  <si>
    <t>gatka_45</t>
  </si>
  <si>
    <t>What is the main action shown in gatka_24?</t>
  </si>
  <si>
    <t>gatka_24</t>
  </si>
  <si>
    <t>What is the main action shown in gatka_49?</t>
  </si>
  <si>
    <t>gatka_49</t>
  </si>
  <si>
    <t>He is wearing a blue turban with chainmail</t>
  </si>
  <si>
    <t>(A) اس نے بکتر کا پورا سوٹ پہن رکھا ہے۔ (B) اس نے زنجیر کے ساتھ نیلی پگڑی پہن رکھی ہے۔ (C) اس نے شارٹس اور ٹی شرٹ پہن رکھی ہے۔ (D) اس نے پولیس کی وردی پہن رکھی ہے۔</t>
  </si>
  <si>
    <t>A spear</t>
  </si>
  <si>
    <t>(A) ایک چھوٹی تلوار (B) ایک لمبی چھڑی (C) ایک کمان اور تیر (D) ایک نیزہ</t>
  </si>
  <si>
    <t>What is the primary purpose of the spear?</t>
  </si>
  <si>
    <t>What is the main action shown in gatka_20?</t>
  </si>
  <si>
    <t>gatka_20</t>
  </si>
  <si>
    <t>They are wearing a long, black robe with an orange sash</t>
  </si>
  <si>
    <t>He is wearing a long, black robe with an orange sash</t>
  </si>
  <si>
    <t>(A) انہوں نے بکتر کا پورا سوٹ پہن رکھا ہے۔ (B) انہوں نے نارنجی رنگ کا ایک لمبا، سیاہ لباس پہن رکھا ہے۔ (C) اس نے شارٹس اور ٹی شرٹ پہن رکھی ہے۔ (D) اس نے پولیس کی وردی پہن رکھی ہے۔</t>
  </si>
  <si>
    <t>What is the main action shown in gatka_51?</t>
  </si>
  <si>
    <t>A group of martial artists in synchronized stances</t>
  </si>
  <si>
    <t>A group of martial artists fighting</t>
  </si>
  <si>
    <t>A group of martial artists wrestling</t>
  </si>
  <si>
    <t>gatka_51</t>
  </si>
  <si>
    <t>(A) دو آدمی ناچ رہے ہیں۔ (B) ہم وقت ساز موقف میں مارشل آرٹسٹوں کا ایک گروپ (C) مارشل آرٹسٹوں کا ایک گروپ لڑ رہا ہے۔ (D) مارشل آرٹسٹوں کا ایک گروپ ریسلنگ</t>
  </si>
  <si>
    <t>What is a notable detail about the attire of the martial artists?</t>
  </si>
  <si>
    <t>They are wearing a long, black robe with red sashes</t>
  </si>
  <si>
    <t>(A) انہوں نے بکتر کا پورا سوٹ پہن رکھا ہے۔ (B) انہوں نے ایک لمبا، سیاہ لباس پہنے ہوئے ہیں جس میں سرخ شیش ہیں۔ (C) اس نے شارٹس اور ٹی شرٹ پہن رکھی ہے۔ (D) اس نے پولیس کی وردی پہن رکھی ہے۔</t>
  </si>
  <si>
    <t>What is the primary weapon used by the martial artists?</t>
  </si>
  <si>
    <t>A rural, outdoor area with mountains</t>
  </si>
  <si>
    <t>(A) ایک انڈور اسٹیڈیم (B) پہاڑوں کے ساتھ ایک دیہی، بیرونی علاقہ (C) شہر کی مصروف گلی (D) گھاس کا میدان</t>
  </si>
  <si>
    <t>What is the apparent emotion of the martial artists?</t>
  </si>
  <si>
    <t>What is the apparent body position of the martial artists?</t>
  </si>
  <si>
    <t>In a mid-air leap</t>
  </si>
  <si>
    <t>(A) سیدھا کھڑا ہونا (B) درمیانی ہوا کی چھلانگ میں (C) زمین پر لیٹنا (D) بیٹھا ہوا</t>
  </si>
  <si>
    <t>What is the primary purpose of the swords?</t>
  </si>
  <si>
    <t>What is the main action shown in gatka_17?</t>
  </si>
  <si>
    <t>gatka_17</t>
  </si>
  <si>
    <t>He is wearing a long, blue robe with a white sash</t>
  </si>
  <si>
    <t>(A) اس نے بکتر کا پورا سوٹ پہن رکھا ہے۔ (B) اس نے ایک لمبا، نیلے رنگ کا چوغہ پہنا ہوا ہے جس میں سفید چادر ہے۔ (C) اس نے شارٹس اور ٹی شرٹ پہن رکھی ہے۔ (D) اس نے پولیس کی وردی پہن رکھی ہے۔</t>
  </si>
  <si>
    <t>(A) ایک انڈور اسٹیڈیم (B) روایتی جھونپڑیوں کے ساتھ ایک دیہی، بیرونی علاقہ (C) شہر کی مصروف گلی (D) گھاس کا میدان</t>
  </si>
  <si>
    <t>What is the main action shown in gatka_26?</t>
  </si>
  <si>
    <t>gatka_26</t>
  </si>
  <si>
    <t>He is wearing a long, white robe with a blue sash</t>
  </si>
  <si>
    <t>(A) اس نے بکتر کا پورا سوٹ پہن رکھا ہے۔ (B) اس نے نیلے رنگ کا ایک لمبا، سفید لباس پہن رکھا ہے۔ (C) اس نے شارٹس اور ٹی شرٹ پہن رکھی ہے۔ (D) اس نے پولیس کی وردی پہن رکھی ہے۔</t>
  </si>
  <si>
    <t>What is the main action shown in gatka_18?</t>
  </si>
  <si>
    <t>gatka_18</t>
  </si>
  <si>
    <t>They are wearing a long, blue robe with a yellow sash</t>
  </si>
  <si>
    <t>He is wearing a long, blue robe with a yellow sash</t>
  </si>
  <si>
    <t>(A) انہوں نے بکتر کا پورا سوٹ پہن رکھا ہے۔ (B) انہوں نے ایک لمبا، نیلے رنگ کا لباس زیب تن کر رکھا ہے۔ (C) اس نے شارٹس اور ٹی شرٹ پہن رکھی ہے۔ (D) اس نے پولیس کی وردی پہن رکھی ہے۔</t>
  </si>
  <si>
    <t>What is the main action shown in gatka_41?</t>
  </si>
  <si>
    <t>gatka_41</t>
  </si>
  <si>
    <t>He is wearing a long, yellow patterned skirt</t>
  </si>
  <si>
    <t>(A) اس نے بکتر کا پورا سوٹ پہن رکھا ہے۔ (B) اس نے لمبا، پیلے پیٹرن والا اسکرٹ پہن رکھا ہے۔ (C) اس نے شارٹس اور ٹی شرٹ پہن رکھی ہے۔ (D) اس نے پولیس کی وردی پہن رکھی ہے۔</t>
  </si>
  <si>
    <t>What is the main action shown in gatka_76?</t>
  </si>
  <si>
    <t>Two men fighting with sticks</t>
  </si>
  <si>
    <t>gatka_76</t>
  </si>
  <si>
    <t>(A) دو آدمی لاٹھیوں سے لڑ رہے ہیں۔ (B) دو آدمی ناچ رہے ہیں۔ (C) دو آدمی سہارے کے ساتھ پوز دے رہے ہیں۔ (D) دو آدمی کشتی کرتے ہوئے۔</t>
  </si>
  <si>
    <t>He is wearing a long, yellow robe with a black sash</t>
  </si>
  <si>
    <t>(A) اس نے بکتر کا پورا سوٹ پہن رکھا ہے۔ (B) اس نے ایک لمبا، پیلا چوغہ پہن رکھا ہے جس میں کالی چادر ہے۔ (C) اس نے شارٹس اور ٹی شرٹ پہن رکھی ہے۔ (D) اس نے پولیس کی وردی پہن رکھی ہے۔</t>
  </si>
  <si>
    <t>What is the main action shown in gatka_53?</t>
  </si>
  <si>
    <t>A boy dancing with a colorful prop</t>
  </si>
  <si>
    <t>A boy fighting with a stick</t>
  </si>
  <si>
    <t>A boy posing with a sword</t>
  </si>
  <si>
    <t>A boy stretching</t>
  </si>
  <si>
    <t>gatka_53</t>
  </si>
  <si>
    <t>(A) ایک لڑکا رنگین پروپ کے ساتھ ناچ رہا ہے۔ (B) ایک لڑکا چھڑی سے لڑ رہا ہے۔ (C) ایک لڑکا تلوار کے ساتھ تصویر بنا رہا ہے۔ (D) ایک لڑکا کھینچ رہا ہے۔</t>
  </si>
  <si>
    <t>What is a notable detail about the boy's attire?</t>
  </si>
  <si>
    <t>What is the primary weapon used by the boy?</t>
  </si>
  <si>
    <t>What is the apparent emotion of the boy?</t>
  </si>
  <si>
    <t>What is the apparent body position of the boy?</t>
  </si>
  <si>
    <t>What is the main action shown in gatka_61?</t>
  </si>
  <si>
    <t>gatka_61</t>
  </si>
  <si>
    <t>(A) ایک انڈور اسٹیڈیم (B) ایک دیہی، بیرونی علاقہ (C) شہر کی مصروف گلی (D) کیچڑ والا میدان</t>
  </si>
  <si>
    <t>What is the main action shown in gatka_85?</t>
  </si>
  <si>
    <t>gatka_85</t>
  </si>
  <si>
    <t>He is wearing a long, orange patterned skirt</t>
  </si>
  <si>
    <t>(A) اس نے بکتر کا پورا سوٹ پہن رکھا ہے۔ (B) اس نے لمبا اورنج پیٹرن والا اسکرٹ پہن رکھا ہے۔ (C) اس نے شارٹس اور ٹی شرٹ پہن رکھی ہے۔ (D) اس نے پولیس کی وردی پہن رکھی ہے۔</t>
  </si>
  <si>
    <t>Serial Numberz</t>
  </si>
  <si>
    <t>Option 1z</t>
  </si>
  <si>
    <t>Option 2z</t>
  </si>
  <si>
    <t>Option 3z</t>
  </si>
  <si>
    <t>Option 4z</t>
  </si>
  <si>
    <t>Correct Answerz</t>
  </si>
  <si>
    <t>Imagez</t>
  </si>
  <si>
    <t>Serial Number</t>
  </si>
  <si>
    <t>What is the main action shown in gilli_danda_1?</t>
  </si>
  <si>
    <t>A player hitting a small stick with a large stick</t>
  </si>
  <si>
    <t>A player serving the ball</t>
  </si>
  <si>
    <t>A player performing a defensive block</t>
  </si>
  <si>
    <t>gilli_danda_1</t>
  </si>
  <si>
    <t>What are the two pieces of equipment used in the game?</t>
  </si>
  <si>
    <t>A ball and a bat</t>
  </si>
  <si>
    <t>A long stick (danda) and a short stick (gilli)</t>
  </si>
  <si>
    <t>A racket and a shuttlecock</t>
  </si>
  <si>
    <t>A bat and a glove</t>
  </si>
  <si>
    <t>(A) (B) ایک لمبی چھڑی (ڈنڈا) اور ایک چھوٹی چھڑی (گلی) (C) ایک ریکیٹ اور ایک شٹل کاک (D) ایک چمگادڑ اور ایک دستانہ</t>
  </si>
  <si>
    <t>What is a notable detail about the player on the left?</t>
  </si>
  <si>
    <t>He is in a low, crouching stance, preparing to strike</t>
  </si>
  <si>
    <t>(A) (B) وہ ایک پست، جھکائے ہوئے موقف میں ہے، ہڑتال کرنے کی تیاری کر رہا ہے۔ (C) وہ سیدھا کھڑا ہے۔ (D) وہ آرام سے بیٹھا ہے۔</t>
  </si>
  <si>
    <t>What is the apparent setting of the game?</t>
  </si>
  <si>
    <t>A city street</t>
  </si>
  <si>
    <t>An outdoor dirt field</t>
  </si>
  <si>
    <t>(A) (B) شہر کی ایک گلی (C) ایک بیرونی گندگی کا میدان (D) گھاس کا میدان</t>
  </si>
  <si>
    <t>(A) (B) خوف زدہ اور بے چین (C) کشیدہ اور شدید (D) خوش اور مسکراتے ہوئے۔</t>
  </si>
  <si>
    <t>(A) (B) کیچڑ والا میدان (C) ایک گھاس دار سطح (D) دھول اڑنے والی ریتلی یا گندگی کی سطح</t>
  </si>
  <si>
    <t>Cricket</t>
  </si>
  <si>
    <t>Gilli Danda</t>
  </si>
  <si>
    <t>Baseball</t>
  </si>
  <si>
    <t>(A) (B) کرکٹ (C) گلی ڈنڈا۔ (D) بیس بال</t>
  </si>
  <si>
    <t>Hand-eye coordination and striking</t>
  </si>
  <si>
    <t>(A) (B) زمینی لڑائی اور گرفت (C) وحشیانہ قوت اور گھڑ سواری۔ (D) ہاتھ سے آنکھ کو آرڈینیشن اور حیرت انگیز</t>
  </si>
  <si>
    <t>What is a notable detail about the players' footwear?</t>
  </si>
  <si>
    <t>They are wearing sneakers</t>
  </si>
  <si>
    <t>They are barefoot</t>
  </si>
  <si>
    <t>They are wearing sandals or flip-flops</t>
  </si>
  <si>
    <t>They are wearing socks</t>
  </si>
  <si>
    <t>(A) (B) وہ ننگے پاؤں ہیں۔ (C) وہ سینڈل یا فلپ فلاپ پہنے ہوئے ہیں۔ (D) وہ موزے پہنے ہوئے ہیں۔</t>
  </si>
  <si>
    <t>What is a notable detail about the other players in the background?</t>
  </si>
  <si>
    <t>They are all sitting down</t>
  </si>
  <si>
    <t>They are all running around</t>
  </si>
  <si>
    <t>They are in a defensive, ready stance</t>
  </si>
  <si>
    <t>They are all waving</t>
  </si>
  <si>
    <t>(A) (B) وہ سب ادھر ادھر بھاگ رہے ہیں۔ (C) وہ ایک دفاعی، تیار موقف میں ہیں۔ (D) وہ سب لہرا رہے ہیں۔</t>
  </si>
  <si>
    <t>What is the main action shown in gilli_danda_2?</t>
  </si>
  <si>
    <t>gilli_danda_2</t>
  </si>
  <si>
    <t>(A) (B) ایک کھلاڑی چھوٹی چھڑی کو بڑی چھڑی سے مار رہا ہے۔ (C) ایک کھلاڑی گیند کی خدمت کر رہا ہے۔ (D) ایک کھلاڑی دفاعی بلاک کا مظاہرہ کر رہا ہے۔</t>
  </si>
  <si>
    <t>He is in a low, crouching stance, preparing to catch</t>
  </si>
  <si>
    <t>(A) (B) وہ ایک پست، جھکائے ہوئے موقف میں ہے، پکڑنے کی تیاری کر رہا ہے۔ (C) وہ سیدھا کھڑا ہے۔ (D) وہ آرام سے بیٹھا ہے۔</t>
  </si>
  <si>
    <t>An outdoor dirt field with a large dust cloud</t>
  </si>
  <si>
    <t>(A) (B) شہر کی ایک گلی (C) دھول کے ایک بڑے بادل کے ساتھ بیرونی گندگی کا میدان (D) گھاس کا میدان</t>
  </si>
  <si>
    <t>What is the main action shown in gilli_danda_3?</t>
  </si>
  <si>
    <t>gilli_danda_3</t>
  </si>
  <si>
    <t>What is a notable detail about the player?</t>
  </si>
  <si>
    <t>What is the apparent emotion of the player's face?</t>
  </si>
  <si>
    <t>What is the main action shown in gilli_danda_4?</t>
  </si>
  <si>
    <t>A group of children fighting</t>
  </si>
  <si>
    <t>A group of children playing a ball game</t>
  </si>
  <si>
    <t>A group of children hitting a small stick with a large stick</t>
  </si>
  <si>
    <t>A group of children running</t>
  </si>
  <si>
    <t>gilli_danda_4</t>
  </si>
  <si>
    <t>(A) (B) بچوں کا ایک گروپ جو گیند کا کھیل کھیل رہا ہے۔ (C) بچوں کا ایک گروپ چھوٹی چھڑی کو بڑی چھڑی سے مار رہا ہے۔ (D) بچوں کا ایک گروپ چل رہا ہے۔</t>
  </si>
  <si>
    <t>What is a notable detail about the player in the foreground?</t>
  </si>
  <si>
    <t>(A) (B) کیچڑ والا میدان (C) ایک گھاس دار سطح (D) ریتلی یا گندگی کی سطح</t>
  </si>
  <si>
    <t>What is the main action shown in gilli_danda_5?</t>
  </si>
  <si>
    <t>A player fighting</t>
  </si>
  <si>
    <t>gilli_danda_5</t>
  </si>
  <si>
    <t>What is the main action shown in gilli_danda_6?</t>
  </si>
  <si>
    <t>gilli_danda_6</t>
  </si>
  <si>
    <t>What is the main action shown in gilli_danda_7?</t>
  </si>
  <si>
    <t>gilli_danda_7</t>
  </si>
  <si>
    <t>What is the main action shown in gilli_danda_8?</t>
  </si>
  <si>
    <t>gilli_danda_8</t>
  </si>
  <si>
    <t>What is the main action shown in gilli_danda_9?</t>
  </si>
  <si>
    <t>gilli_danda_9</t>
  </si>
  <si>
    <t>An outdoor dirt field with a building in the background</t>
  </si>
  <si>
    <t>(A) (B) شہر کی ایک گلی (C) پس منظر میں عمارت کے ساتھ بیرونی گندگی کا میدان (D) گھاس کا میدان</t>
  </si>
  <si>
    <t>What is the main action shown in gilli_danda_10?</t>
  </si>
  <si>
    <t>gilli_danda_10</t>
  </si>
  <si>
    <t>What is the main action shown in gilli_danda_11?</t>
  </si>
  <si>
    <t>A child playing with a toy</t>
  </si>
  <si>
    <t>A child preparing to hit a small stick with a large stick</t>
  </si>
  <si>
    <t>A child running in a field</t>
  </si>
  <si>
    <t>A child sitting on the ground</t>
  </si>
  <si>
    <t>gilli_danda_11</t>
  </si>
  <si>
    <t>(A) (B) ایک بچہ ایک چھوٹی چھڑی کو بڑی چھڑی سے مارنے کی تیاری کر رہا ہے۔ (C) ایک بچہ کھیت میں بھاگ رہا ہے۔ (D) ایک بچہ زمین پر بیٹھا ہے۔</t>
  </si>
  <si>
    <t>What is a notable detail about the player's attire?</t>
  </si>
  <si>
    <t>What is the main action shown in gilli_danda_12?</t>
  </si>
  <si>
    <t>A player stretching</t>
  </si>
  <si>
    <t>gilli_danda_12</t>
  </si>
  <si>
    <t>(A) (B) ایک کھلاڑی گیند کی خدمت کر رہا ہے۔ (C) ایک کھلاڑی دفاعی بلاک کا مظاہرہ کر رہا ہے۔ (D) ایک کھلاڑی کھینچ رہا ہے۔</t>
  </si>
  <si>
    <t>What is the main action shown in gilli_danda_14?</t>
  </si>
  <si>
    <t>gilli_danda_14</t>
  </si>
  <si>
    <t>What is the main action shown in gilli_danda_15?</t>
  </si>
  <si>
    <t>gilli_danda_15</t>
  </si>
  <si>
    <t>She is wearing a formal suit</t>
  </si>
  <si>
    <t>She is in a low, crouching stance, preparing to strike</t>
  </si>
  <si>
    <t>She is standing straight up</t>
  </si>
  <si>
    <t>She is sitting down relaxed</t>
  </si>
  <si>
    <t>(A) (B) وہ ایک پست، جھکائے ہوئے موقف میں ہے، ہڑتال کرنے کی تیاری کر رہی ہے۔ (C) وہ سیدھا کھڑا ہے۔ (D) وہ آرام سے بیٹھی ہے۔</t>
  </si>
  <si>
    <t>They are all standing and watching</t>
  </si>
  <si>
    <t>What is the main action shown in gilli_danda_16?</t>
  </si>
  <si>
    <t>A close-up of the two game pieces</t>
  </si>
  <si>
    <t>gilli_danda_16</t>
  </si>
  <si>
    <t>(A) (B) کھیل کے دو ٹکڑوں کا قریبی اپ (C) ایک کھلاڑی گیند کی خدمت کر رہا ہے۔ (D) ایک کھلاڑی دفاعی بلاک کا مظاہرہ کر رہا ہے۔</t>
  </si>
  <si>
    <t>What are the two pieces of equipment shown?</t>
  </si>
  <si>
    <t>What is a notable detail about the short stick (gilli)?</t>
  </si>
  <si>
    <t>It is a perfectly round stick</t>
  </si>
  <si>
    <t>It has pointed or conical ends</t>
  </si>
  <si>
    <t>It is a long, thin stick</t>
  </si>
  <si>
    <t>It is a flat disc</t>
  </si>
  <si>
    <t>(A) (B) اس کے نوک دار یا مخروطی سرے ہوتے ہیں۔ (C) یہ ایک لمبی، پتلی چھڑی ہے۔ (D) یہ ایک فلیٹ ڈسک ہے۔</t>
  </si>
  <si>
    <t>What is the apparent purpose of the pointed ends of the gilli?</t>
  </si>
  <si>
    <t>To make it easier to hold</t>
  </si>
  <si>
    <t>To make it easier to hit and make it jump in the air</t>
  </si>
  <si>
    <t>To make it harder to catch</t>
  </si>
  <si>
    <t>To make it heavier</t>
  </si>
  <si>
    <t>(A) (B) تاکہ اسے مارنا آسان ہو اور اسے ہوا میں چھلانگ لگانا (C) تاکہ اسے پکڑنا مشکل ہو جائے۔ (D) اسے بھاری بنانے کے لیے</t>
  </si>
  <si>
    <t>What is the most prominent feature of the sticks?</t>
  </si>
  <si>
    <t>They are made of metal</t>
  </si>
  <si>
    <t>They are made of wood</t>
  </si>
  <si>
    <t>They are made of glass</t>
  </si>
  <si>
    <t>(A) (B) وہ لکڑی سے بنے ہیں۔ (C) وہ پلاسٹک سے بنے ہیں۔ (D) وہ شیشے سے بنے ہیں۔</t>
  </si>
  <si>
    <t>What is a notable detail about the sticks' condition?</t>
  </si>
  <si>
    <t>They are brand new</t>
  </si>
  <si>
    <t>They are old and worn from use</t>
  </si>
  <si>
    <t>They are very short</t>
  </si>
  <si>
    <t>They are very long</t>
  </si>
  <si>
    <t>(A) (B) وہ پرانے ہیں اور استعمال سے پہنے ہوئے ہیں۔ (C) وہ بہت مختصر ہیں۔ (D) وہ بہت لمبے ہیں۔</t>
  </si>
  <si>
    <t>What is the primary purpose of the game?</t>
  </si>
  <si>
    <t>To score points by hitting the gilli as far as possible</t>
  </si>
  <si>
    <t>To hit the gilli into a goal</t>
  </si>
  <si>
    <t>To hit the gilli at the opponent</t>
  </si>
  <si>
    <t>To hit the gilli into a net</t>
  </si>
  <si>
    <t>(A) (B) گلی کو گول میں مارنا (C) گیلی کو مخالف پر مارنا (D) گلی کو جال میں مارنا</t>
  </si>
  <si>
    <t>What is a notable detail about the length of the danda?</t>
  </si>
  <si>
    <t>It is very long</t>
  </si>
  <si>
    <t>It is very short</t>
  </si>
  <si>
    <t>It is a medium-length stick</t>
  </si>
  <si>
    <t>(A) (B) یہ بہت مختصر ہے۔ (C) یہ درمیانی لمبائی کی چھڑی ہے۔ (D) یہ ایک لمبی، پتلی چھڑی ہے۔</t>
  </si>
  <si>
    <t>What is the main action shown in gilli_danda_17?</t>
  </si>
  <si>
    <t>gilli_danda_17</t>
  </si>
  <si>
    <t>What is a notable detail about the players?</t>
  </si>
  <si>
    <t>They are in a low, crouching stance, preparing to strike or catch</t>
  </si>
  <si>
    <t>(A) (B) وہ سب ادھر ادھر بھاگ رہے ہیں۔ (C) وہ پست، جھکنے والے موقف میں ہیں، حملہ کرنے یا پکڑنے کی تیاری کر رہے ہیں۔ (D) وہ سب لہرا رہے ہیں۔</t>
  </si>
  <si>
    <t>What is the main action shown in gilli_danda_18?</t>
  </si>
  <si>
    <t>gilli_danda_18</t>
  </si>
  <si>
    <t>What is the main action shown in gilli_danda_19?</t>
  </si>
  <si>
    <t>gilli_danda_19</t>
  </si>
  <si>
    <t>What is the main action shown in gilli_danda_20?</t>
  </si>
  <si>
    <t>gilli_danda_20</t>
  </si>
  <si>
    <t>What is the main action shown in gilli_danda_21?</t>
  </si>
  <si>
    <t>gilli_danda_21</t>
  </si>
  <si>
    <t>What is the main action shown in gilli_danda_53?</t>
  </si>
  <si>
    <t>gilli_danda_53</t>
  </si>
  <si>
    <t>There are no other players</t>
  </si>
  <si>
    <t>(A) (B) وہ سب ادھر ادھر بھاگ رہے ہیں۔ (C) وہ ایک دفاعی، تیار موقف میں ہیں۔ (D) کوئی اور کھلاڑی نہیں ہیں۔</t>
  </si>
  <si>
    <t>What is the main action shown in gilli_danda_51?</t>
  </si>
  <si>
    <t>A group of people fighting</t>
  </si>
  <si>
    <t>A group of people hitting a small stick with a large stick</t>
  </si>
  <si>
    <t>A group of people running</t>
  </si>
  <si>
    <t>gilli_danda_51</t>
  </si>
  <si>
    <t>(A) (B) لوگوں کا ایک گروپ جو گیند کا کھیل کھیل رہا ہے۔ (C) لوگوں کا ایک گروہ ایک چھوٹی چھڑی کو بڑی چھڑی سے مار رہا ہے۔ (D) لوگوں کا ایک گروپ چل رہا ہے۔</t>
  </si>
  <si>
    <t>They are all standing around watching</t>
  </si>
  <si>
    <t>An outdoor dirt field with trees and a building</t>
  </si>
  <si>
    <t>(A) (B) شہر کی ایک گلی (C) درختوں اور عمارتوں کے ساتھ ایک بیرونی گندگی کا میدان (D) گھاس کا میدان</t>
  </si>
  <si>
    <t>What is the main action shown in gilli_danda_50?</t>
  </si>
  <si>
    <t>A collage of a game in an urban area and a rural one</t>
  </si>
  <si>
    <t>gilli_danda_50</t>
  </si>
  <si>
    <t>What is a notable detail about the player on the left in the left photo?</t>
  </si>
  <si>
    <t>What is the main action shown in gilli_danda_54?</t>
  </si>
  <si>
    <t>gilli_danda_54</t>
  </si>
  <si>
    <t>They are all children</t>
  </si>
  <si>
    <t>They are all adults</t>
  </si>
  <si>
    <t>They are a mix of ages and genders</t>
  </si>
  <si>
    <t>They are all women</t>
  </si>
  <si>
    <t>(A) (B) وہ سب بالغ ہیں۔ (C) وہ عمر اور جنس کا مرکب ہیں۔ (D) وہ سب خواتین ہیں۔</t>
  </si>
  <si>
    <t>An outdoor dirt area</t>
  </si>
  <si>
    <t>A grassy field with bleachers</t>
  </si>
  <si>
    <t>(A) (B) شہر کی ایک گلی (C) بیرونی گندگی کا علاقہ (D) بلیچر کے ساتھ گھاس کا میدان</t>
  </si>
  <si>
    <t>Soccer</t>
  </si>
  <si>
    <t>(A) (B) کرکٹ (C) گلی ڈنڈا۔ (D) ساکر</t>
  </si>
  <si>
    <t>What is the main action shown in gilli_danda_56?</t>
  </si>
  <si>
    <t>A cartoon of a game in a village</t>
  </si>
  <si>
    <t>gilli_danda_56</t>
  </si>
  <si>
    <t>What is the main action shown in gilli_danda_45?</t>
  </si>
  <si>
    <t>A flyer for a tournament</t>
  </si>
  <si>
    <t>gilli_danda_45</t>
  </si>
  <si>
    <t>(A) (B) بچوں کا ایک گروپ جو گیند کا کھیل کھیل رہا ہے۔ (C) لڑنے والے بچوں کا ایک گروپ (D) بچوں کا ایک گروپ چل رہا ہے۔</t>
  </si>
  <si>
    <t>What is a notable detail about the text on the flyer?</t>
  </si>
  <si>
    <t>It is in a foreign language</t>
  </si>
  <si>
    <t>It is in a modern font</t>
  </si>
  <si>
    <t>It is in a traditional font</t>
  </si>
  <si>
    <t>It is in a simple font</t>
  </si>
  <si>
    <t>(A) (B) یہ ایک جدید فونٹ میں ہے۔ (C) یہ روایتی فونٹ میں ہے۔ (D) یہ ایک سادہ فونٹ میں ہے۔</t>
  </si>
  <si>
    <t>What is the apparent purpose of the flyer?</t>
  </si>
  <si>
    <t>To advertise a company</t>
  </si>
  <si>
    <t>To announce a Gilli Danda tournament</t>
  </si>
  <si>
    <t>To promote a political party</t>
  </si>
  <si>
    <t>To sell a product</t>
  </si>
  <si>
    <t>(A) (B) گلی ڈنڈا ٹورنامنٹ کا اعلان کرنا (C) سیاسی جماعت کو پروموٹ کرنے کے لیے (D) ایک پروڈکٹ بیچنے کے لیے</t>
  </si>
  <si>
    <t>What is the most prominent color of the flyer?</t>
  </si>
  <si>
    <t>Red</t>
  </si>
  <si>
    <t>Green</t>
  </si>
  <si>
    <t>Blue</t>
  </si>
  <si>
    <t>Yellow</t>
  </si>
  <si>
    <t>(A) (B) سبز (C) نیلا (D) پیلا</t>
  </si>
  <si>
    <t>What is the name of the sport associated with the flyer?</t>
  </si>
  <si>
    <t>The flyer suggests that this is a sport played in what kind of organization?</t>
  </si>
  <si>
    <t>A professional league</t>
  </si>
  <si>
    <t>A local club</t>
  </si>
  <si>
    <t>A school</t>
  </si>
  <si>
    <t>A national sports and games association</t>
  </si>
  <si>
    <t>(A) (B) ایک مقامی کلب (C) ایک سکول (D) ایک قومی کھیلوں اور کھیلوں کی ایسوسی ایشن</t>
  </si>
  <si>
    <t>It is in a circle</t>
  </si>
  <si>
    <t>It is in a square</t>
  </si>
  <si>
    <t>It is in a rectangle</t>
  </si>
  <si>
    <t>It is in a banner</t>
  </si>
  <si>
    <t>(A) (B) یہ ایک چوک میں ہے۔ (C) یہ ایک مستطیل میں ہے۔ (D) یہ ایک بینر میں ہے۔</t>
  </si>
  <si>
    <t>What is a notable detail about the image?</t>
  </si>
  <si>
    <t>It is a cartoon</t>
  </si>
  <si>
    <t>It is a photograph</t>
  </si>
  <si>
    <t>It is a painting</t>
  </si>
  <si>
    <t>It is a sculpture</t>
  </si>
  <si>
    <t>(A) (B) یہ ایک تصویر ہے۔ (C) یہ ایک پینٹنگ ہے۔ (D) یہ ایک مجسمہ ہے۔</t>
  </si>
  <si>
    <t>The flyer suggests that this is a sport that is...</t>
  </si>
  <si>
    <t>What is the main action shown in gilli_danda_46?</t>
  </si>
  <si>
    <t>A logo of a sports association</t>
  </si>
  <si>
    <t>gilli_danda_46</t>
  </si>
  <si>
    <t>What are the key elements of the logo?</t>
  </si>
  <si>
    <t>A tiger and a star</t>
  </si>
  <si>
    <t>A cricket bat and a ball</t>
  </si>
  <si>
    <t>A crescent moon and a star</t>
  </si>
  <si>
    <t>A lion and a shield</t>
  </si>
  <si>
    <t>(A) (B) ایک کرکٹ بیٹ اور ایک گیند (C) ایک ہلال کا چاند اور ایک ستارہ (D) ایک شیر اور ایک ڈھال</t>
  </si>
  <si>
    <t>What is a notable detail about the text in the logo?</t>
  </si>
  <si>
    <t>What is the apparent purpose of the logo?</t>
  </si>
  <si>
    <t>To represent a national sports and games association</t>
  </si>
  <si>
    <t>(A) (B) قومی کھیلوں اور کھیلوں کی ایسوسی ایشن کی نمائندگی کرنا (C) سیاسی جماعت کو پروموٹ کرنے کے لیے (D) ایک پروڈکٹ بیچنے کے لیے</t>
  </si>
  <si>
    <t>What is the most prominent color of the logo?</t>
  </si>
  <si>
    <t>What is the name of the country associated with the logo?</t>
  </si>
  <si>
    <t>Pakistan</t>
  </si>
  <si>
    <t>Bangladesh</t>
  </si>
  <si>
    <t>Afghanistan</t>
  </si>
  <si>
    <t>(A) (B) پاکستان (C) بنگلہ دیش (D) افغانستان</t>
  </si>
  <si>
    <t>The logo suggests that this is a sport played in what kind of organization?</t>
  </si>
  <si>
    <t>It is in a triangle</t>
  </si>
  <si>
    <t>(A) (B) یہ ایک چوک میں ہے۔ (C) یہ ایک مثلث میں ہے۔ (D) یہ ایک مستطیل میں ہے۔</t>
  </si>
  <si>
    <t>The logo suggests that this is a sport that is...</t>
  </si>
  <si>
    <t>What is the main action shown in gilli_danda_48?</t>
  </si>
  <si>
    <t>gilli_danda_48</t>
  </si>
  <si>
    <t>What is the main action shown in gilli_danda_39?</t>
  </si>
  <si>
    <t>gilli_danda_39</t>
  </si>
  <si>
    <t>A grassy field in a village</t>
  </si>
  <si>
    <t>(A) (B) شہر کی ایک گلی (C) ایک بیرونی گندگی کا میدان (D) ایک گاؤں میں گھاس کا میدان</t>
  </si>
  <si>
    <t>What is a notable detail about the animals in the cartoon?</t>
  </si>
  <si>
    <t>(A) (B) وہ سب ادھر ادھر بھاگ رہے ہیں۔ (C) وہ ایک دفاعی، تیار موقف میں ہیں۔ (D) وہ سب کھڑے کھڑے دیکھ رہے ہیں۔</t>
  </si>
  <si>
    <t>The cartoon also shows a traditional hut and a bullock cart. What does this suggest about the setting?</t>
  </si>
  <si>
    <t>It is a modern city</t>
  </si>
  <si>
    <t>It is a rural village</t>
  </si>
  <si>
    <t>It is an indoor arena</t>
  </si>
  <si>
    <t>(A) (B) یہ ایک دیہاتی گاؤں ہے۔ (C) یہ ایک اندرونی میدان ہے۔ (D) یہ ایک تاریخی یادگار ہے۔</t>
  </si>
  <si>
    <t>What is the main action shown in gilli_danda_29?</t>
  </si>
  <si>
    <t>gilli_danda_29</t>
  </si>
  <si>
    <t>gilli_danda_35</t>
  </si>
  <si>
    <t>The sticks' color and texture suggest they are...</t>
  </si>
  <si>
    <t>New and un-used</t>
  </si>
  <si>
    <t>Old and worn from use</t>
  </si>
  <si>
    <t>Painted and polished</t>
  </si>
  <si>
    <t>Made from bamboo</t>
  </si>
  <si>
    <t>(A) (B) پرانا اور استعمال سے پہنا ہوا ہے۔ (C) پینٹ اور پالش (D) بانس سے بنا</t>
  </si>
  <si>
    <t>What is the main action shown in gilli_danda_41?</t>
  </si>
  <si>
    <t>gilli_danda_41</t>
  </si>
  <si>
    <t>What is the main action shown in gilli_danda_36?</t>
  </si>
  <si>
    <t>A group of children playing a board game</t>
  </si>
  <si>
    <t>A collage of a girl playing the game</t>
  </si>
  <si>
    <t>gilli_danda_36</t>
  </si>
  <si>
    <t>(A) (B) گیم کھیلنے والی لڑکی کا کولیج (C) لڑنے والے بچوں کا ایک گروپ (D) بچوں کا ایک گروپ چل رہا ہے۔</t>
  </si>
  <si>
    <t>She is in a low, crouching stance, preparing to strike or catch</t>
  </si>
  <si>
    <t>(A) (B) وہ ایک پست، جھکائے ہوئے موقف میں ہے، حملہ کرنے یا پکڑنے کی تیاری کر رہی ہے۔ (C) وہ سیدھا کھڑا ہے۔ (D) وہ آرام سے بیٹھی ہے۔</t>
  </si>
  <si>
    <t>What is the main action shown in gilli_danda_37?</t>
  </si>
  <si>
    <t>gilli_danda_37</t>
  </si>
  <si>
    <t>What is the main action shown in gilli_danda_40?</t>
  </si>
  <si>
    <t>A person carving game pieces</t>
  </si>
  <si>
    <t>gilli_danda_40</t>
  </si>
  <si>
    <t>(A) (B) لوگوں کا ایک گروپ جو گیند کا کھیل کھیل رہا ہے۔ (C) لڑنے والوں کا ایک گروہ (D) ایک شخص کھیل کے ٹکڑوں کو تراش رہا ہے۔</t>
  </si>
  <si>
    <t>A board with holes and marbles or pebbles</t>
  </si>
  <si>
    <t>(A) (B) ایک لمبی چھڑی (ڈنڈا) اور ایک چھوٹی چھڑی (گلی) (C) ایک تختہ جس میں سوراخ اور سنگ مرمر یا کنکریاں ہوں۔ (D) ایک چمگادڑ اور ایک دستانہ</t>
  </si>
  <si>
    <t>(A) (B) شہر کی ایک گلی (C) بیرونی گندگی کا علاقہ (D) گھاس کا میدان</t>
  </si>
  <si>
    <t>Mankala or Oware</t>
  </si>
  <si>
    <t>(A) (B) کرکٹ (C) گلی ڈنڈا۔ (D) منکالا یا اوور</t>
  </si>
  <si>
    <t>Strategy and mental calculation</t>
  </si>
  <si>
    <t>(A) (B) زمینی لڑائی اور گرفت (C) وحشیانہ قوت اور گھڑ سواری۔ (D) حکمت عملی اور ذہنی حساب کتاب</t>
  </si>
  <si>
    <t>(A) (B) وہ رنگوں اور ڈیزائنوں کا مرکب ہیں۔ (C) وہ سب سفید فام ہیں۔ (D) وہ سب کالے ہیں۔</t>
  </si>
  <si>
    <t>What is the main action shown in gilli_danda_43?</t>
  </si>
  <si>
    <t>gilli_danda_43</t>
  </si>
  <si>
    <t>What is the main action shown in gilli_danda_38?</t>
  </si>
  <si>
    <t>gilli_danda_38</t>
  </si>
  <si>
    <t>What is the main action shown in gilli_danda_24?</t>
  </si>
  <si>
    <t>gilli_danda_24</t>
  </si>
  <si>
    <t>What is the main action shown in gilli_danda_52?</t>
  </si>
  <si>
    <t>A group of people posing for a photo</t>
  </si>
  <si>
    <t>gilli_danda_52</t>
  </si>
  <si>
    <t>(A) (B) بچوں کا ایک گروپ جو گیند کا کھیل کھیل رہا ہے۔ (C) لوگوں کا ایک گروپ تصویر کے لیے پوز کر رہا ہے۔ (D) بچوں کا ایک گروپ چل رہا ہے۔</t>
  </si>
  <si>
    <t>A grassy field at night</t>
  </si>
  <si>
    <t>(A) (B) شہر کی ایک گلی (C) بیرونی گندگی کا علاقہ (D) رات کو گھاس کا میدان</t>
  </si>
  <si>
    <t>The photo suggests that this is a sport that is...</t>
  </si>
  <si>
    <t>What is the main action shown in gilli_danda_58?</t>
  </si>
  <si>
    <t>gilli_danda_58</t>
  </si>
  <si>
    <t>What is the main action shown in gilli_danda_59?</t>
  </si>
  <si>
    <t>A group of children in a team activity</t>
  </si>
  <si>
    <t>gilli_danda_59</t>
  </si>
  <si>
    <t>(A) (B) بچوں کا ایک گروپ جو گیند کا کھیل کھیل رہا ہے۔ (C) ٹیم کی سرگرمی میں بچوں کا ایک گروپ (D) بچوں کا ایک گروپ چل رہا ہے۔</t>
  </si>
  <si>
    <t>Teamwork and cooperation</t>
  </si>
  <si>
    <t>(A) (B) زمینی لڑائی اور گرفت (C) وحشیانہ قوت اور گھڑ سواری۔ (D) ٹیم ورک اور تعاون</t>
  </si>
  <si>
    <t>What is the main action shown in gilli_danda_62?</t>
  </si>
  <si>
    <t>gilli_danda_62</t>
  </si>
  <si>
    <t>What is the main action shown in gilli_danda_65?</t>
  </si>
  <si>
    <t>gilli_danda_65</t>
  </si>
  <si>
    <t>What is the main action shown in gilli_danda_66?</t>
  </si>
  <si>
    <t>gilli_danda_66</t>
  </si>
  <si>
    <t>What is the main action shown in gilli_danda_67?</t>
  </si>
  <si>
    <t>A group of men playing Kabaddi</t>
  </si>
  <si>
    <t>A group of men fighting</t>
  </si>
  <si>
    <t>gilli_danda_67</t>
  </si>
  <si>
    <t>(A) (B) مردوں کا ایک گروپ کبڈی کھیل رہا ہے۔ (C) لڑنے والے مردوں کا ایک گروہ (D) بچوں کا ایک گروپ چل رہا ہے۔</t>
  </si>
  <si>
    <t>No equipment is used</t>
  </si>
  <si>
    <t>(A) (B) ایک لمبی چھڑی (ڈنڈا) اور ایک چھوٹی چھڑی (گلی) (C) ایک ریکیٹ اور ایک شٹل کاک (D) کوئی سامان استعمال نہیں کیا جاتا</t>
  </si>
  <si>
    <t>Kabaddi</t>
  </si>
  <si>
    <t>(A) (B) کرکٹ (C) گلی ڈنڈا۔ (D) کبڈی</t>
  </si>
  <si>
    <t>What is the main action shown in gilli_danda_61?</t>
  </si>
  <si>
    <t>gilli_danda_61</t>
  </si>
  <si>
    <t>What is the main action shown in tent_pegging_4?</t>
  </si>
  <si>
    <t>A rider performing a trick on horseback</t>
  </si>
  <si>
    <t>A rider competing in a tent pegging event</t>
  </si>
  <si>
    <t>A rider in a horse race</t>
  </si>
  <si>
    <t>A rider leading a parade</t>
  </si>
  <si>
    <t>tent_pegging_4</t>
  </si>
  <si>
    <t>What is a notable detail about the rider's attire?</t>
  </si>
  <si>
    <t>A formal suit and tie</t>
  </si>
  <si>
    <t>A white traditional outfit with a blue turban and vest</t>
  </si>
  <si>
    <t>A military uniform</t>
  </si>
  <si>
    <t>A modern sports uniform</t>
  </si>
  <si>
    <t>(A) ایک رسمی سوٹ اور ٹائی (B) نیلی پگڑی اور بنیان والا سفید روایتی لباس (C) فوجی وردی (D) ایک جدید کھیلوں کا یونیفارم</t>
  </si>
  <si>
    <t>What is the apparent purpose of the long stick the rider is holding?</t>
  </si>
  <si>
    <t>To guide the horse</t>
  </si>
  <si>
    <t>To hit the ground for balance</t>
  </si>
  <si>
    <t>To spear the small targets on the ground</t>
  </si>
  <si>
    <t>To use as a weapon</t>
  </si>
  <si>
    <t>(A) گھوڑے کی رہنمائی کے لیے (B) توازن کے لیے زمین سے ٹکرانا (C) زمین پر چھوٹے اہداف کو نشانہ بنانا (D) بطور ہتھیار استعمال کرنا</t>
  </si>
  <si>
    <t>Leaning down and to the side</t>
  </si>
  <si>
    <t>Lying on the horse's back</t>
  </si>
  <si>
    <t>Sitting down relaxed</t>
  </si>
  <si>
    <t>(A) سیدھا کھڑا ہونا (B) نیچے اور طرف جھکنا (C) گھوڑے کی پیٹھ پر لیٹنا (D) آرام سے بیٹھ گیا۔</t>
  </si>
  <si>
    <t>What is the visible state of the ground behind the horse?</t>
  </si>
  <si>
    <t>Perfectly smooth</t>
  </si>
  <si>
    <t>Covered in fresh grass</t>
  </si>
  <si>
    <t>Kicked up into a cloud of dust</t>
  </si>
  <si>
    <t>Puddled with water</t>
  </si>
  <si>
    <t>(A) بالکل ہموار (B) تازہ گھاس میں ڈھکا ہوا ہے۔ (C) غبار کے بادل میں اُٹھ گیا۔ (D) پانی سے بھرا ہوا ۔</t>
  </si>
  <si>
    <t>What is the most prominent feature of the horse's tack?</t>
  </si>
  <si>
    <t>It is a simple saddle</t>
  </si>
  <si>
    <t>It is a highly decorative saddle with blue adornments</t>
  </si>
  <si>
    <t>It is a bareback pad</t>
  </si>
  <si>
    <t>It is a racing saddle</t>
  </si>
  <si>
    <t>(A) یہ ایک سادہ سی کاٹھی ہے۔ (B) یہ نیلے رنگ کے زیورات کے ساتھ ایک انتہائی آرائشی کاٹھی ہے۔ (C) یہ ایک ننگا پیڈ ہے۔ (D) یہ ایک ریسنگ سیڈل ہے۔</t>
  </si>
  <si>
    <t>What is the apparent setting of the event?</t>
  </si>
  <si>
    <t>An indoor arena</t>
  </si>
  <si>
    <t>An outdoor dirt track</t>
  </si>
  <si>
    <t>(A) ایک اندرونی میدان (B) شہر کی ایک گلی (C) ایک بیرونی گندگی کا ٹریک (D) گھاس کا میدان</t>
  </si>
  <si>
    <t>The name of the sport is Tent Pegging. What does this name refer to?</t>
  </si>
  <si>
    <t>The use of tents in the game</t>
  </si>
  <si>
    <t>The small pegs or targets on the ground</t>
  </si>
  <si>
    <t>The use of large pegs to block horses</t>
  </si>
  <si>
    <t>The use of a tent as a finish line</t>
  </si>
  <si>
    <t>(A) کھیل میں خیموں کا استعمال (B) زمین پر چھوٹے کھونٹے یا اہداف (C) گھوڑوں کو روکنے کے لیے بڑے کھونٹے کا استعمال (D) ختم لائن کے طور پر خیمے کا استعمال</t>
  </si>
  <si>
    <t>Speed, accuracy, and agility</t>
  </si>
  <si>
    <t>(A) روانی اور قلابازیاں (B) زمینی لڑائی اور گرفت (C) وحشیانہ قوت اور گھڑ سواری۔ (D) رفتار، درستگی اور چستی</t>
  </si>
  <si>
    <t>What is the main action shown in tent_pegging_33?</t>
  </si>
  <si>
    <t>A parade of riders</t>
  </si>
  <si>
    <t>tent_pegging_33</t>
  </si>
  <si>
    <t>(A) آرام سے گھوڑے کی سواری۔ (B) سواروں کا ایک گروپ جو مرکزی چیز کے لیے مقابلہ کر رہا ہے۔ (C) سواروں کی پریڈ (D) گھوڑوں کی دوڑ</t>
  </si>
  <si>
    <t>What is a notable detail about the riders' attire?</t>
  </si>
  <si>
    <t>They are wearing military uniforms</t>
  </si>
  <si>
    <t>They are wearing white traditional outfits with tall turbans and blue vests</t>
  </si>
  <si>
    <t>(A) انہوں نے فوجی وردی پہن رکھی ہے۔ (B) وہ لمبی پگڑیوں اور نیلی واسکٹ کے ساتھ سفید روایتی لباس پہنے ہوئے ہیں۔ (C) وہ رسمی سوٹ پہنے ہوئے ہیں۔ (D) انہوں نے کوئی لباس نہیں پہنا ہوا ہے۔</t>
  </si>
  <si>
    <t>What is a visible detail about the horses?</t>
  </si>
  <si>
    <t>They are mostly white horses with decorative tack</t>
  </si>
  <si>
    <t>They are all wearing no saddles</t>
  </si>
  <si>
    <t>(A) وہ سب ایک ہی رنگ کے ہیں۔ (B) وہ زیادہ تر سفید گھوڑے ہیں جن میں آرائشی ٹیک ہیں۔ (C) وہ سب کوئی سیڈل نہیں پہنے ہوئے ہیں۔ (D) وہ سب خاموش کھڑے ہیں۔</t>
  </si>
  <si>
    <t>Tent Pegging</t>
  </si>
  <si>
    <t>(A) پولو (B) گھوڑوں کی دوڑ (C) ٹینٹ پیگنگ (D) گھڑ سواری کے کھیل</t>
  </si>
  <si>
    <t>Group formations and ceremonial display</t>
  </si>
  <si>
    <t>(A) روانی اور قلابازیاں (B) گروپ کی تشکیل اور رسمی نمائش (C) وحشیانہ قوت اور گھڑ سواری۔ (D) سادہ، لکیری حرکات</t>
  </si>
  <si>
    <t>What is a notable detail about the long sticks the riders are holding?</t>
  </si>
  <si>
    <t>They are used as weapons</t>
  </si>
  <si>
    <t>They are used to guide the horses</t>
  </si>
  <si>
    <t>They are decorated with ribbons and tassels</t>
  </si>
  <si>
    <t>They are used as flags</t>
  </si>
  <si>
    <t>(A) انہیں ہتھیار کے طور پر استعمال کیا جاتا ہے۔ (B) وہ گھوڑوں کی رہنمائی کے لیے استعمال ہوتے ہیں۔ (C) وہ ربن اور tassels کے ساتھ سجایا جاتا ہے (D) وہ جھنڈے کے طور پر استعمال ہوتے ہیں۔</t>
  </si>
  <si>
    <t>A grassy field with trees and hills in the background</t>
  </si>
  <si>
    <t>(A) ایک اندرونی میدان (B) شہر کی ایک گلی (C) ایک بیرونی گندگی کا ٹریک (D) پس منظر میں درختوں اور پہاڑیوں کے ساتھ گھاس کا میدان</t>
  </si>
  <si>
    <t>What is the main action shown in tent_pegging_8?</t>
  </si>
  <si>
    <t>tent_pegging_8</t>
  </si>
  <si>
    <t>(A) گھوڑے کی پیٹھ پر کرتب دکھاتے ہوئے سوار (B) ٹینٹ پیگنگ ایونٹ میں مقابلہ کرنے والا سوار (C) گھوڑوں کی دوڑ میں سوار (D) ایک سوار پریڈ کی قیادت کر رہا ہے۔</t>
  </si>
  <si>
    <t>A white traditional outfit with a blue vest</t>
  </si>
  <si>
    <t>(A) ایک رسمی سوٹ اور ٹائی (B) نیلی بنیان والا سفید روایتی لباس (C) فوجی وردی (D) ایک جدید کھیلوں کا یونیفارم</t>
  </si>
  <si>
    <t>It is a highly decorative saddle with red adornments</t>
  </si>
  <si>
    <t>(A) یہ ایک سادہ سی کاٹھی ہے۔ (B) یہ سرخ آرائش کے ساتھ ایک انتہائی آرائشی کاٹھی ہے۔ (C) یہ ایک ننگا پیڈ ہے۔ (D) یہ ایک ریسنگ سیڈل ہے۔</t>
  </si>
  <si>
    <t>An outdoor dirt track with spectators in a seating area</t>
  </si>
  <si>
    <t>(A) ایک اندرونی میدان (B) شہر کی ایک گلی (C) بیٹھنے کی جگہ میں تماشائیوں کے ساتھ ایک بیرونی گندگی کا ٹریک (D) گھاس کا میدان</t>
  </si>
  <si>
    <t>What is the name of the sport?</t>
  </si>
  <si>
    <t>What is the main action shown in tent_pegging_18?</t>
  </si>
  <si>
    <t>Two riders performing a trick on horseback</t>
  </si>
  <si>
    <t>Two riders competing in a tent pegging event</t>
  </si>
  <si>
    <t>Two riders in a horse race</t>
  </si>
  <si>
    <t>Two riders leading a parade</t>
  </si>
  <si>
    <t>tent_pegging_18</t>
  </si>
  <si>
    <t>(A) دو سوار گھوڑے کی پیٹھ پر کرتب دکھا رہے ہیں۔ (B) ٹینٹ پیگنگ ایونٹ میں دو سوار مقابلہ کر رہے ہیں۔ (C) گھوڑوں کی دوڑ میں دو سوار (D) دو سوار ایک پریڈ کی قیادت کر رہے ہیں۔</t>
  </si>
  <si>
    <t>A modern sports uniform with a helmet</t>
  </si>
  <si>
    <t>(A) ایک رسمی سوٹ اور ٹائی (B) نیلی پگڑی اور بنیان والا سفید روایتی لباس (C) فوجی وردی (D) ہیلمٹ کے ساتھ جدید کھیلوں کی وردی</t>
  </si>
  <si>
    <t>What is the apparent purpose of the long sticks the riders are holding?</t>
  </si>
  <si>
    <t>What is the visible state of the ground behind the horses?</t>
  </si>
  <si>
    <t>What is the most prominent feature of the horses' tack?</t>
  </si>
  <si>
    <t>What is the main action shown in tent_pegging_16?</t>
  </si>
  <si>
    <t>tent_pegging_16</t>
  </si>
  <si>
    <t>An outdoor dirt track with spectators</t>
  </si>
  <si>
    <t>(A) ایک اندرونی میدان (B) شہر کی ایک گلی (C) تماشائیوں کے ساتھ ایک بیرونی گندگی کا ٹریک (D) گھاس کا میدان</t>
  </si>
  <si>
    <t>What is the main action shown in tent_pegging_11?</t>
  </si>
  <si>
    <t>tent_pegging_11</t>
  </si>
  <si>
    <t>What is the main action shown in tent_pegging_32?</t>
  </si>
  <si>
    <t>tent_pegging_32</t>
  </si>
  <si>
    <t>What is the main action shown in tent_pegging_3?</t>
  </si>
  <si>
    <t>tent_pegging_3</t>
  </si>
  <si>
    <t>What is the main action shown in tent_pegging_20?</t>
  </si>
  <si>
    <t>tent_pegging_20</t>
  </si>
  <si>
    <t>What is the main action shown in tent_pegging_25?</t>
  </si>
  <si>
    <t>tent_pegging_25</t>
  </si>
  <si>
    <t>A white traditional outfit with a red turban and vest</t>
  </si>
  <si>
    <t>(A) ایک رسمی سوٹ اور ٹائی (B) سرخ پگڑی اور بنیان والا سفید روایتی لباس (C) فوجی وردی (D) ایک جدید کھیلوں کا یونیفارم</t>
  </si>
  <si>
    <t>A group of riders in a parade formation</t>
  </si>
  <si>
    <t>A group of riders fighting</t>
  </si>
  <si>
    <t>(A) آرام سے گھوڑے کی سواری۔ (B) پریڈ کی تشکیل میں سواروں کا ایک گروپ (C) گھوڑوں کی دوڑ (D) لڑنے والے سواروں کا ایک گروہ</t>
  </si>
  <si>
    <t>What is the main action shown in tent_pegging_49?</t>
  </si>
  <si>
    <t>tent_pegging_49</t>
  </si>
  <si>
    <t>A white traditional outfit with a tall turban and a vest</t>
  </si>
  <si>
    <t>(A) ایک رسمی سوٹ اور ٹائی (B) لمبی پگڑی اور بنیان والا سفید روایتی لباس (C) فوجی وردی (D) ایک جدید کھیلوں کا یونیفارم</t>
  </si>
  <si>
    <t>It is a highly decorative saddle with green adornments</t>
  </si>
  <si>
    <t>(A) یہ ایک سادہ سی کاٹھی ہے۔ (B) یہ سبز آرائش کے ساتھ ایک انتہائی آرائشی کاٹھی ہے۔ (C) یہ ایک ننگا پیڈ ہے۔ (D) یہ ایک ریسنگ سیڈل ہے۔</t>
  </si>
  <si>
    <t>What is the main action shown in tent_pegging_43?</t>
  </si>
  <si>
    <t>tent_pegging_43</t>
  </si>
  <si>
    <t>(A) آرام سے گھوڑے کی سواری۔ (B) ٹینٹ پیگنگ ایونٹ میں مقابلہ کرنے والا سوار (C) گھوڑوں کی پریڈ (D) گھوڑوں کی دوڑ</t>
  </si>
  <si>
    <t>A white traditional outfit with a purple turban and vest</t>
  </si>
  <si>
    <t>(A) ایک رسمی سوٹ اور ٹائی (B) جامنی رنگ کی پگڑی اور بنیان والا سفید روایتی لباس (C) فوجی وردی (D) ایک جدید کھیلوں کا یونیفارم</t>
  </si>
  <si>
    <t>What is the main action shown in tent_pegging_50?</t>
  </si>
  <si>
    <t>tent_pegging_50</t>
  </si>
  <si>
    <t>What is the main action shown in tent_pegging_44?</t>
  </si>
  <si>
    <t>tent_pegging_44</t>
  </si>
  <si>
    <t>A white traditional outfit with a green vest</t>
  </si>
  <si>
    <t>(A) ایک رسمی سوٹ اور ٹائی (B) سبز بنیان کے ساتھ سفید روایتی لباس (C) فوجی وردی (D) ایک جدید کھیلوں کا یونیفارم</t>
  </si>
  <si>
    <t>What is the main action shown in tent_pegging_47?</t>
  </si>
  <si>
    <t>A group of riders competing in a tent pegging event</t>
  </si>
  <si>
    <t>tent_pegging_47</t>
  </si>
  <si>
    <t>(A) آرام سے گھوڑے کی سواری۔ (B) ٹینٹ پیگنگ ایونٹ میں مقابلہ کرنے والے سواروں کا ایک گروپ (C) سواروں کی پریڈ (D) گھوڑوں کی دوڑ</t>
  </si>
  <si>
    <t>They are wearing white traditional outfits with orange turbans and vests</t>
  </si>
  <si>
    <t>(A) انہوں نے فوجی وردی پہن رکھی ہے۔ (B) وہ نارنجی پگڑیوں اور واسکٹوں کے ساتھ سفید روایتی لباس پہنے ہوئے ہیں۔ (C) وہ رسمی سوٹ پہنے ہوئے ہیں۔ (D) انہوں نے کوئی لباس نہیں پہنا ہوا ہے۔</t>
  </si>
  <si>
    <t>They are a mix of colors with elaborate pink tack</t>
  </si>
  <si>
    <t>(A) وہ سب ایک ہی رنگ کے ہیں۔ (B) وہ وسیع گلابی ٹیک کے ساتھ رنگوں کا مرکب ہیں۔ (C) وہ سب کوئی سیڈل نہیں پہنے ہوئے ہیں۔ (D) وہ سب خاموش کھڑے ہیں۔</t>
  </si>
  <si>
    <t>(A) روانی اور قلابازیاں (B) گروپ کی تشکیل اور رسمی نمائش (C) وحشیانہ قوت اور گھڑ سواری۔ (D) رفتار، درستگی اور چستی</t>
  </si>
  <si>
    <t>A grassy field with trees and a hazy background</t>
  </si>
  <si>
    <t>An outdoor dirt track with trees and a hazy background</t>
  </si>
  <si>
    <t>(A) ایک اندرونی میدان (B) شہر کی ایک گلی (C) ایک بیرونی گندگی کا ٹریک (D) درختوں اور دھندلے پس منظر کے ساتھ گھاس کا میدان</t>
  </si>
  <si>
    <t>What is the main action shown in tent_pegging_52?</t>
  </si>
  <si>
    <t>tent_pegging_52</t>
  </si>
  <si>
    <t>(A) ٹینٹ پیگنگ ایونٹ میں دو سوار مقابلہ کر رہے ہیں۔ (B) پریڈ کی تشکیل میں سواروں کا ایک گروپ (C) گھوڑوں کی دوڑ (D) لڑنے والے سواروں کا ایک گروہ</t>
  </si>
  <si>
    <t>They are wearing white traditional outfits with tall turbans</t>
  </si>
  <si>
    <t>(A) انہوں نے فوجی وردی پہن رکھی ہے۔ (B) وہ لمبی پگڑیوں کے ساتھ سفید روایتی لباس پہنے ہوئے ہیں۔ (C) وہ رسمی سوٹ پہنے ہوئے ہیں۔ (D) انہوں نے کوئی لباس نہیں پہنا ہوا ہے۔</t>
  </si>
  <si>
    <t>A grassy field with mountains in the background</t>
  </si>
  <si>
    <t>(A) ایک اندرونی میدان (B) شہر کی ایک گلی (C) بیٹھنے کی جگہ میں تماشائیوں کے ساتھ ایک بیرونی گندگی کا ٹریک (D) پس منظر میں پہاڑوں کے ساتھ ایک گھاس والا میدان</t>
  </si>
  <si>
    <t>What is the main action shown in tent_pegging_46?</t>
  </si>
  <si>
    <t>tent_pegging_46</t>
  </si>
  <si>
    <t>A white traditional outfit with a yellow turban and vest</t>
  </si>
  <si>
    <t>(A) ایک رسمی سوٹ اور ٹائی (B) پیلے رنگ کی پگڑی اور بنیان والا سفید روایتی لباس (C) فوجی وردی (D) ایک جدید کھیلوں کا یونیفارم</t>
  </si>
  <si>
    <t>What is the main action shown in tent_pegging_35?</t>
  </si>
  <si>
    <t>tent_pegging_35</t>
  </si>
  <si>
    <t>A white traditional outfit with a tall turban and vest</t>
  </si>
  <si>
    <t>What is the main action shown in tent_pegging_62?</t>
  </si>
  <si>
    <t>tent_pegging_62</t>
  </si>
  <si>
    <t>(A) آرام سے گھوڑے کی سواری۔ (B) ٹینٹ پیگنگ ایونٹ میں دو سوار مقابلہ کر رہے ہیں۔ (C) سواروں کی پریڈ (D) گھوڑوں کی دوڑ</t>
  </si>
  <si>
    <t>They are wearing white traditional outfits with turbans and vests</t>
  </si>
  <si>
    <t>(A) انہوں نے فوجی وردی پہن رکھی ہے۔ (B) وہ پگڑیوں اور واسکٹوں کے ساتھ سفید روایتی لباس پہنے ہوئے ہیں۔ (C) وہ رسمی سوٹ پہنے ہوئے ہیں۔ (D) انہوں نے کوئی لباس نہیں پہنا ہوا ہے۔</t>
  </si>
  <si>
    <t>What is the main action shown in tent_pegging_68?</t>
  </si>
  <si>
    <t>tent_pegging_68</t>
  </si>
  <si>
    <t>They are wearing traditional white outfits with turbans</t>
  </si>
  <si>
    <t>(A) انہوں نے فوجی وردی پہن رکھی ہے۔ (B) وہ پگڑیوں کے ساتھ روایتی سفید لباس پہنے ہوئے ہیں۔ (C) وہ رسمی سوٹ پہنے ہوئے ہیں۔ (D) وہ جدید کھیلوں کی وردی پہنے ہوئے ہیں۔</t>
  </si>
  <si>
    <t>What is the main action shown in tent_pegging_67?</t>
  </si>
  <si>
    <t>A rider competing in a tent pegging event at night</t>
  </si>
  <si>
    <t>tent_pegging_67</t>
  </si>
  <si>
    <t>(A) گھوڑے کی پیٹھ پر کرتب دکھاتے ہوئے سوار (B) رات کو ٹینٹ پیگنگ ایونٹ میں مقابلہ کرنے والا سوار (C) گھوڑوں کی دوڑ میں سوار (D) ایک سوار پریڈ کی قیادت کر رہا ہے۔</t>
  </si>
  <si>
    <t>A white traditional outfit with a red robe</t>
  </si>
  <si>
    <t>(A) ایک رسمی سوٹ اور ٹائی (B) سرخ لباس کے ساتھ سفید روایتی لباس (C) فوجی وردی (D) ہیلمٹ کے ساتھ جدید کھیلوں کی وردی</t>
  </si>
  <si>
    <t>(A) ایک اندرونی میدان (B) شہر کی ایک گلی (C) ایک بیرونی گندگی کا ٹریک (D) رات کو گھاس کا میدان</t>
  </si>
  <si>
    <t>What is the main action shown in tent_pegging_58?</t>
  </si>
  <si>
    <t>tent_pegging_58</t>
  </si>
  <si>
    <t>They are wearing white traditional outfits with tall turbans and vests</t>
  </si>
  <si>
    <t>(A) انہوں نے فوجی وردی پہن رکھی ہے۔ (B) وہ لمبی پگڑیوں اور واسکٹوں کے ساتھ سفید روایتی لباس پہنے ہوئے ہیں۔ (C) وہ رسمی سوٹ پہنے ہوئے ہیں۔ (D) انہوں نے کوئی لباس نہیں پہنا ہوا ہے۔</t>
  </si>
  <si>
    <t>They are a mix of colors with decorative tack</t>
  </si>
  <si>
    <t>(A) وہ سب ایک ہی رنگ کے ہیں۔ (B) وہ آرائشی ٹیک کے ساتھ رنگوں کا مرکب ہیں۔ (C) وہ سب کوئی سیڈل نہیں پہنے ہوئے ہیں۔ (D) وہ سب خاموش کھڑے ہیں۔</t>
  </si>
  <si>
    <t>An outdoor dirt track with a hazy background</t>
  </si>
  <si>
    <t>(A) ایک اندرونی میدان (B) شہر کی ایک گلی (C) دھندلے پس منظر کے ساتھ ایک بیرونی گندگی کا ٹریک (D) پس منظر میں درختوں اور پہاڑیوں کے ساتھ گھاس کا میدان</t>
  </si>
  <si>
    <t>What is the main action shown in tent_pegging_71?</t>
  </si>
  <si>
    <t>tent_pegging_71</t>
  </si>
  <si>
    <t>A grassy field with spectators and banners</t>
  </si>
  <si>
    <t>An outdoor dirt track with spectators and banners</t>
  </si>
  <si>
    <t>(A) ایک اندرونی میدان (B) شہر کی ایک گلی (C) ایک بیرونی گندگی کا ٹریک (D) تماشائیوں اور بینرز کے ساتھ ایک گھاس والا میدان</t>
  </si>
  <si>
    <t>What is the main action shown in tent_pegging_57?</t>
  </si>
  <si>
    <t>tent_pegging_57</t>
  </si>
  <si>
    <t>(A) آرام سے گھوڑے کی سواری۔ (B) ٹینٹ پیگنگ ایونٹ میں مقابلہ کرنے والا سوار (C) سواروں کی پریڈ (D) گھوڑوں کی دوڑ</t>
  </si>
  <si>
    <t>It is a white horse with decorative tack</t>
  </si>
  <si>
    <t>It is a brown horse with simple tack</t>
  </si>
  <si>
    <t>It is a black horse with no saddle</t>
  </si>
  <si>
    <t>It is a mix of colors</t>
  </si>
  <si>
    <t>(A) یہ آرائشی ٹیک کے ساتھ ایک سفید گھوڑا ہے۔ (B) یہ ایک بھورے رنگ کا گھوڑا ہے جس کا سادہ ٹیک ہے۔ (C) یہ ایک سیاہ گھوڑا ہے جس میں زین نہیں ہے۔ (D) یہ رنگوں کا مرکب ہے۔</t>
  </si>
  <si>
    <t>What is the main action shown in tent_pegging_72?</t>
  </si>
  <si>
    <t>tent_pegging_72</t>
  </si>
  <si>
    <t>They are wearing traditional white outfits with pink turbans</t>
  </si>
  <si>
    <t>(A) انہوں نے فوجی وردی پہن رکھی ہے۔ (B) وہ گلابی پگڑیوں کے ساتھ روایتی سفید لباس پہنے ہوئے ہیں۔ (C) وہ رسمی سوٹ پہنے ہوئے ہیں۔ (D) انہوں نے کوئی لباس نہیں پہنا ہوا ہے۔</t>
  </si>
  <si>
    <t>What is the main action shown in tent_pegging_70?</t>
  </si>
  <si>
    <t>tent_pegging_70</t>
  </si>
  <si>
    <t>What is the main action shown in tent_pegging_53?</t>
  </si>
  <si>
    <t>tent_pegging_53</t>
  </si>
  <si>
    <t>They are leaning down and to the side</t>
  </si>
  <si>
    <t>(A) وہ سیدھے کھڑے ہیں۔ (B) وہ نیچے اور ایک طرف جھک رہے ہیں۔ (C) وہ گھوڑوں کی پیٹھ پر لیٹے ہوئے ہیں۔ (D) وہ آرام سے بیٹھے ہیں۔</t>
  </si>
  <si>
    <t>A grassy field with a building in the background</t>
  </si>
  <si>
    <t>(A) ایک اندرونی میدان (B) شہر کی ایک گلی (C) ایک بیرونی گندگی کا ٹریک (D) پس منظر میں عمارت کے ساتھ ایک گھاس والا میدان</t>
  </si>
  <si>
    <t>What is the main action shown in tent_pegging_85?</t>
  </si>
  <si>
    <t>tent_pegging_85</t>
  </si>
  <si>
    <t>A white traditional outfit with a turban and vest</t>
  </si>
  <si>
    <t>(A) ایک رسمی سوٹ اور ٹائی (B) پگڑی اور بنیان کے ساتھ سفید روایتی لباس (C) فوجی وردی (D) ایک جدید کھیلوں کا یونیفارم</t>
  </si>
  <si>
    <t>What is the main action shown in tent_pegging_78?</t>
  </si>
  <si>
    <t>tent_pegging_78</t>
  </si>
  <si>
    <t>What is the main action shown in tent_pegging_90?</t>
  </si>
  <si>
    <t>tent_pegging_90</t>
  </si>
  <si>
    <t>(A) ایک اندرونی میدان (B) شہر کی ایک گلی (C) تماشائیوں کے ساتھ ایک بیرونی گندگی کا ٹریک (D) رات کو گھاس کا میدان</t>
  </si>
  <si>
    <t>What is the main action shown in tent_pegging_75?</t>
  </si>
  <si>
    <t>tent_pegging_75</t>
  </si>
  <si>
    <t>What is the main action shown in tent_pegging_76?</t>
  </si>
  <si>
    <t>tent_pegging_76</t>
  </si>
  <si>
    <t>A white traditional outfit with a green turban and vest</t>
  </si>
  <si>
    <t>(A) ایک رسمی سوٹ اور ٹائی (B) سبز پگڑی اور بنیان والا سفید روایتی لباس (C) فوجی وردی (D) ایک جدید کھیلوں کا یونیفارم</t>
  </si>
  <si>
    <t>What is the main action shown in tent_pegging_88?</t>
  </si>
  <si>
    <t>tent_pegging_88</t>
  </si>
  <si>
    <t>What is the main action shown in tent_pegging_81?</t>
  </si>
  <si>
    <t>tent_pegging_81</t>
  </si>
  <si>
    <t>They are wearing white traditional outfits with turbans</t>
  </si>
  <si>
    <t>(A) انہوں نے فوجی وردی پہن رکھی ہے۔ (B) وہ پگڑیوں کے ساتھ سفید روایتی لباس پہنے ہوئے ہیں۔ (C) وہ رسمی سوٹ پہنے ہوئے ہیں۔ (D) انہوں نے کوئی لباس نہیں پہنا ہوا ہے۔</t>
  </si>
  <si>
    <t>What is the main action shown in tent_pegging_82?</t>
  </si>
  <si>
    <t>tent_pegging_82</t>
  </si>
  <si>
    <t>What is the main action shown in malakhra_9?</t>
  </si>
  <si>
    <t>Two men in a wrestling match</t>
  </si>
  <si>
    <t>Two men running</t>
  </si>
  <si>
    <t>malakhra_9</t>
  </si>
  <si>
    <t>What is a notable detail about the wrestler on the left?</t>
  </si>
  <si>
    <t>He is wearing a long skirt</t>
  </si>
  <si>
    <t>He is wearing a black pair of shorts and a white t-shirt</t>
  </si>
  <si>
    <t>He is wearing a red suit</t>
  </si>
  <si>
    <t>He is wearing a long coat</t>
  </si>
  <si>
    <t>(A) اس نے لمبی اسکرٹ پہن رکھی ہے۔ (B) اس نے سیاہ جوڑا شارٹس اور سفید ٹی شرٹ پہن رکھی ہے۔ (C) اس نے سرخ سوٹ پہن رکھا ہے۔ (D) اس نے لمبا کوٹ پہن رکھا ہے۔</t>
  </si>
  <si>
    <t>What is the apparent purpose of the wrestling?</t>
  </si>
  <si>
    <t>A ceremonial dance</t>
  </si>
  <si>
    <t>A friendly demonstration</t>
  </si>
  <si>
    <t>A competitive match with a takedown</t>
  </si>
  <si>
    <t>A practice session</t>
  </si>
  <si>
    <t>(A) ایک رسمی رقص (B) ایک دوستانہ مظاہرہ (C) ٹیک ڈاؤن کے ساتھ ایک مسابقتی میچ (D) ایک پریکٹس سیشن</t>
  </si>
  <si>
    <t>A rural, outdoor dirt ring with a large crowd</t>
  </si>
  <si>
    <t>(A) ایک انڈور اسٹیڈیم (B) ایک دیہی، بیرونی گندگی کا ایک بڑا ہجوم (C) شہر کی مصروف گلی (D) گھاس کا میدان</t>
  </si>
  <si>
    <t>What is the apparent emotion of the wrestlers?</t>
  </si>
  <si>
    <t>What is the apparent body position of the wrestler on the left?</t>
  </si>
  <si>
    <t>They are watching the match from behind a fence</t>
  </si>
  <si>
    <t>(A) وہ بھاگ رہے ہیں۔ (B) وہ خاموش بیٹھے ہیں۔ (C) وہ باڑ کے پیچھے سے میچ دیکھ رہے ہیں۔ (D) وہ سب ایک اسٹیج پر کھڑے ہیں۔</t>
  </si>
  <si>
    <t>What is the primary purpose of the long skirts?</t>
  </si>
  <si>
    <t>To protect the wrestlers' legs</t>
  </si>
  <si>
    <t>To make the wrestlers more agile</t>
  </si>
  <si>
    <t>For traditional attire and for gripping during the fight</t>
  </si>
  <si>
    <t>(A) پہلوانوں کی ٹانگوں کی حفاظت کے لیے (B) پہلوانوں کو مزید چست بنانے کے لیے (C) روایتی لباس اور لڑائی کے دوران گرفت کے لیے (D) صرف سجاوٹ کے لیے</t>
  </si>
  <si>
    <t>Brute force and takedowns</t>
  </si>
  <si>
    <t>(A) روانی اور قلابازیاں (B) زمینی لڑائی اور گرفت (C) وحشیانہ طاقت اور ٹیک ڈاؤن (D) سادہ، لکیری حرکات</t>
  </si>
  <si>
    <t>What is the main action shown in malakhra_12?</t>
  </si>
  <si>
    <t>malakhra_12</t>
  </si>
  <si>
    <t>(A) دو آدمی تلواروں سے لڑ رہے ہیں۔ (B) دو آدمی ناچ رہے ہیں۔ (C) ایک ریسلنگ میچ میں دو آدمی (D) دو آدمی بھاگ رہے ہیں۔</t>
  </si>
  <si>
    <t>What is a notable detail about the wrestlers' attire?</t>
  </si>
  <si>
    <t>They are wearing a sarong or patterned skirt</t>
  </si>
  <si>
    <t>(A) انہوں نے بکتر کا پورا سوٹ پہن رکھا ہے۔ (B) وہ سارونگ یا پیٹرن والا اسکرٹ پہنے ہوئے ہیں۔ (C) انہوں نے شارٹس اور ٹی شرٹ پہن رکھی ہیں۔ (D) انہوں نے کوئی لباس نہیں پہنا ہوا ہے۔</t>
  </si>
  <si>
    <t>What is the apparent body position of the wrestlers?</t>
  </si>
  <si>
    <t>(A) یہ ایک پکی سطح ہے۔ (B) یہ ایک کیچڑ والا میدان ہے۔ (C) یہ ایک ریتلی یا گندگی کی سطح ہے۔ (D) یہ ایک گھاس والی سطح ہے۔</t>
  </si>
  <si>
    <t>What is the main action shown in malakhra_10?</t>
  </si>
  <si>
    <t>malakhra_10</t>
  </si>
  <si>
    <t>What is the main action shown in malakhra_13?</t>
  </si>
  <si>
    <t>A collage of photos of a wrestler</t>
  </si>
  <si>
    <t>malakhra_13</t>
  </si>
  <si>
    <t>(A) ایک پہلوان کی تصاویر کا کولیج (B) دو آدمی ناچ رہے ہیں۔ (C) ایک ریسلنگ میچ میں دو آدمی (D) دو آدمی بھاگ رہے ہیں۔</t>
  </si>
  <si>
    <t>What is a notable detail about the wrestler's attire?</t>
  </si>
  <si>
    <t>He is wearing a sarong or patterned skirt</t>
  </si>
  <si>
    <t>(A) اس نے بکتر کا پورا سوٹ پہن رکھا ہے۔ (B) اس نے سارونگ یا پیٹرن والا اسکرٹ پہن رکھا ہے۔ (C) اس نے شارٹس اور ٹی شرٹ پہن رکھی ہے۔ (D) اس نے کوئی لباس نہیں پہنا ہوا ہے۔</t>
  </si>
  <si>
    <t>What is the main action shown in malakhra_19?</t>
  </si>
  <si>
    <t>malakhra_19</t>
  </si>
  <si>
    <t>What is the main action shown in malakhra_4?</t>
  </si>
  <si>
    <t>malakhra_4</t>
  </si>
  <si>
    <t>What is the apparent body position of the wrestler on the right?</t>
  </si>
  <si>
    <t>What is the main action shown in malakhra_11?</t>
  </si>
  <si>
    <t>malakhra_11</t>
  </si>
  <si>
    <t>What is the main action shown in malakhra_14?</t>
  </si>
  <si>
    <t>A man fighting with a stick</t>
  </si>
  <si>
    <t>A man running</t>
  </si>
  <si>
    <t>malakhra_14</t>
  </si>
  <si>
    <t>(A) ایک آدمی سہارے کے ساتھ پوز کر رہا ہے۔ (B) ایک آدمی لاٹھی سے لڑ رہا ہے۔ (C) ایک آدمی ناچ رہا ہے۔ (D) ایک آدمی دوڑ رہا ہے۔</t>
  </si>
  <si>
    <t>What is a notable detail about the man's attire?</t>
  </si>
  <si>
    <t>He is wearing a long, patterned skirt</t>
  </si>
  <si>
    <t>(A) اس نے بکتر کا پورا سوٹ پہن رکھا ہے۔ (B) اس نے ایک لمبا، پیٹرن والا اسکرٹ پہن رکھا ہے۔ (C) اس نے شارٹس اور ٹی شرٹ پہن رکھی ہے۔ (D) اس نے کوئی لباس نہیں پہنا ہوا ہے۔</t>
  </si>
  <si>
    <t>What is the setting of this scene?</t>
  </si>
  <si>
    <t>A paved city street</t>
  </si>
  <si>
    <t>(A) ایک انڈور اسٹیڈیم (B) ایک دیہی، بیرونی علاقہ (C) شہر کی پکی گلی (D) ایک پرسکون ساحل</t>
  </si>
  <si>
    <t>What is the apparent emotion of the man's face?</t>
  </si>
  <si>
    <t>They are watching the fight from a natural setting</t>
  </si>
  <si>
    <t>(A) وہ بھاگ رہے ہیں۔ (B) وہ خاموش بیٹھے ہیں۔ (C) وہ لڑائی کو قدرتی ماحول سے دیکھ رہے ہیں۔ (D) وہ سب ایک اسٹیج پر کھڑے ہیں۔</t>
  </si>
  <si>
    <t>What is the primary purpose of the man's pose?</t>
  </si>
  <si>
    <t>To pose for a photo</t>
  </si>
  <si>
    <t>To show a takedown</t>
  </si>
  <si>
    <t>(A) سورج کو روکنے کے لئے (B) تصویر کے لیے پوز کرنا (C) صرف سجاوٹ کے لیے (D) ٹیک ڈاؤن دکھانے کے لیے</t>
  </si>
  <si>
    <t>What is the main action shown in malakhra_18?</t>
  </si>
  <si>
    <t>malakhra_18</t>
  </si>
  <si>
    <t>What is the main action shown in malakhra_15?</t>
  </si>
  <si>
    <t>malakhra_15</t>
  </si>
  <si>
    <t>(A) دو آدمی ناچ رہے ہیں۔ (B) ایک پہلوان کی تصاویر کا کولیج (C) ایک ریسلنگ میچ میں دو آدمی (D) دو آدمی بھاگ رہے ہیں۔</t>
  </si>
  <si>
    <t>What is the main action shown in malakhra_21?</t>
  </si>
  <si>
    <t>malakhra_21</t>
  </si>
  <si>
    <t>What is the main action shown in malakhra_26?</t>
  </si>
  <si>
    <t>malakhra_26</t>
  </si>
  <si>
    <t>What is the main action shown in malakhra_37?</t>
  </si>
  <si>
    <t>malakhra_37</t>
  </si>
  <si>
    <t>What is the main action shown in malakhra_23?</t>
  </si>
  <si>
    <t>malakhra_23</t>
  </si>
  <si>
    <t>What is the main action shown in malakhra_39?</t>
  </si>
  <si>
    <t>malakhra_39</t>
  </si>
  <si>
    <t>What is the main action shown in malakhra_28?</t>
  </si>
  <si>
    <t>malakhra_28</t>
  </si>
  <si>
    <t>What is the main action shown in malakhra_34?</t>
  </si>
  <si>
    <t>malakhra_34</t>
  </si>
  <si>
    <t>What is the main action shown in malakhra_30?</t>
  </si>
  <si>
    <t>malakhra_30</t>
  </si>
  <si>
    <t>What is the main action shown in malakhra_38?</t>
  </si>
  <si>
    <t>malakhra_38</t>
  </si>
  <si>
    <t>What is the main action shown in malakhra_29?</t>
  </si>
  <si>
    <t>malakhra_29</t>
  </si>
  <si>
    <t>What is the main action shown in malakhra_52?</t>
  </si>
  <si>
    <t>malakhra_52</t>
  </si>
  <si>
    <t>They are wearing shorts or loincloths</t>
  </si>
  <si>
    <t>(A) انہوں نے بکتر کا پورا سوٹ پہن رکھا ہے۔ (B) وہ شارٹس یا لنگوٹ پہنے ہوئے ہیں۔ (C) انہوں نے شارٹس اور ٹی شرٹ پہن رکھی ہیں۔ (D) انہوں نے کوئی لباس نہیں پہنا ہوا ہے۔</t>
  </si>
  <si>
    <t>What is the main action shown in malakhra_59?</t>
  </si>
  <si>
    <t>malakhra_59</t>
  </si>
  <si>
    <t>What is the main action shown in malakhra_46?</t>
  </si>
  <si>
    <t>malakhra_46</t>
  </si>
  <si>
    <t>What is the main action shown in malakhra_43?</t>
  </si>
  <si>
    <t>malakhra_43</t>
  </si>
  <si>
    <t>What is the main action shown in malakhra_64?</t>
  </si>
  <si>
    <t>A man receiving medical attention</t>
  </si>
  <si>
    <t>malakhra_64</t>
  </si>
  <si>
    <t>(A) ایک آدمی سہارے کے ساتھ پوز کر رہا ہے۔ (B) ایک آدمی لاٹھی سے لڑ رہا ہے۔ (C) ایک آدمی ناچ رہا ہے۔ (D) ایک آدمی طبی امداد حاصل کر رہا ہے۔</t>
  </si>
  <si>
    <t>What is the main action shown in malakhra_78?</t>
  </si>
  <si>
    <t>malakhra_78</t>
  </si>
  <si>
    <t>(A) دو آدمی تلواروں سے لڑ رہے ہیں۔ (B) ایک آدمی ناچ رہا ہے۔ (C) ایک آدمی سہارے کے ساتھ پوز کر رہا ہے۔ (D) ایک آدمی دوڑ رہا ہے۔</t>
  </si>
  <si>
    <t>What is the main action shown in malakhra_57?</t>
  </si>
  <si>
    <t>malakhra_57</t>
  </si>
  <si>
    <t>What is the main action shown in malakhra_60?</t>
  </si>
  <si>
    <t>malakhra_60</t>
  </si>
  <si>
    <t>What is the main action shown in malakhra_48?</t>
  </si>
  <si>
    <t>malakhra_48</t>
  </si>
  <si>
    <t>What is the main action shown in malakhra_83?</t>
  </si>
  <si>
    <t>malakhra_83</t>
  </si>
  <si>
    <t>What is the main action shown in malakhra_80?</t>
  </si>
  <si>
    <t>malakhra_80</t>
  </si>
  <si>
    <t>What is the main action shown in malakhra_95?</t>
  </si>
  <si>
    <t>malakhra_95</t>
  </si>
  <si>
    <t>What is the main action shown in malakhra_86?</t>
  </si>
  <si>
    <t>malakhra_86</t>
  </si>
  <si>
    <t>What is the main action shown in malakhra_100?</t>
  </si>
  <si>
    <t>malakhra_100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</si>
</sst>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Font="1"/>
    <xf borderId="0" fillId="0" fontId="1" numFmtId="0" xfId="0" applyAlignment="1" applyFont="1">
      <alignment readingOrder="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Chaturanga-style">
      <tableStyleElement dxfId="1" type="headerRow"/>
      <tableStyleElement dxfId="2" type="firstRowStripe"/>
      <tableStyleElement dxfId="3" type="secondRowStripe"/>
      <tableStyleElement dxfId="4" size="0" type="wholeTable"/>
    </tableStyle>
    <tableStyle count="4" pivot="0" name="Buzkashi-style">
      <tableStyleElement dxfId="1" type="headerRow"/>
      <tableStyleElement dxfId="2" type="firstRowStripe"/>
      <tableStyleElement dxfId="3" type="secondRowStripe"/>
      <tableStyleElement dxfId="4" size="0" type="wholeTable"/>
    </tableStyle>
    <tableStyle count="4" pivot="0" name="Buzkashi-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251" displayName="Table3" name="Table3" id="1">
  <tableColumns count="8">
    <tableColumn name="Question no.z" id="1"/>
    <tableColumn name="Questionz" id="2"/>
    <tableColumn name="Option-1z" id="3"/>
    <tableColumn name="Option-2z" id="4"/>
    <tableColumn name="Option-3z" id="5"/>
    <tableColumn name="Option-4z" id="6"/>
    <tableColumn name="Answerz" id="7"/>
    <tableColumn name="Picz" id="8"/>
  </tableColumns>
  <tableStyleInfo name="Chaturanga-style" showColumnStripes="0" showFirstColumn="1" showLastColumn="1" showRowStripes="1"/>
</table>
</file>

<file path=xl/tables/table2.xml><?xml version="1.0" encoding="utf-8"?>
<table xmlns="http://schemas.openxmlformats.org/spreadsheetml/2006/main" ref="A1:H391" displayName="Table1" name="Table1" id="2">
  <tableColumns count="8">
    <tableColumn name="Question no.z" id="1"/>
    <tableColumn name="Questionz" id="2"/>
    <tableColumn name="Option-1z" id="3"/>
    <tableColumn name="Option-2z" id="4"/>
    <tableColumn name="Option-3z" id="5"/>
    <tableColumn name="Option-4z" id="6"/>
    <tableColumn name="Answerz" id="7"/>
    <tableColumn name="Picz" id="8"/>
  </tableColumns>
  <tableStyleInfo name="Buzkashi-style" showColumnStripes="0" showFirstColumn="1" showLastColumn="1" showRowStripes="1"/>
</table>
</file>

<file path=xl/tables/table3.xml><?xml version="1.0" encoding="utf-8"?>
<table xmlns="http://schemas.openxmlformats.org/spreadsheetml/2006/main" ref="S1:S391" displayName="Table2" name="Table2" id="3">
  <tableColumns count="1">
    <tableColumn name="Pic" id="1"/>
  </tableColumns>
  <tableStyleInfo name="Buzkashi-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7.63"/>
    <col customWidth="1" min="3" max="3" width="28.88"/>
    <col customWidth="1" min="4" max="4" width="37.63"/>
    <col customWidth="1" min="5" max="5" width="30.88"/>
    <col customWidth="1" min="6" max="7" width="37.63"/>
    <col customWidth="1" min="17" max="17" width="22.0"/>
  </cols>
  <sheetData>
    <row r="1" ht="22.5" customHeight="1">
      <c r="A1" s="1" t="s">
        <v>0</v>
      </c>
      <c r="B1" s="1" t="s">
        <v>1</v>
      </c>
      <c r="C1" s="1" t="s">
        <v>2</v>
      </c>
      <c r="D1" s="1" t="s">
        <v>3</v>
      </c>
      <c r="E1" s="1" t="s">
        <v>4</v>
      </c>
      <c r="F1" s="1" t="s">
        <v>5</v>
      </c>
      <c r="G1" s="1" t="s">
        <v>6</v>
      </c>
      <c r="H1" s="1" t="s">
        <v>7</v>
      </c>
      <c r="K1" s="2" t="str">
        <f>IFERROR(__xludf.DUMMYFUNCTION("GOOGLETRANSLATE(A1,""en"",""ur"")"),"سوال نمبر z")</f>
        <v>سوال نمبر z</v>
      </c>
      <c r="L1" s="2" t="str">
        <f>IFERROR(__xludf.DUMMYFUNCTION("GOOGLETRANSLATE(B1,""en"",""ur"")"),"سوال")</f>
        <v>سوال</v>
      </c>
      <c r="M1" s="2" t="str">
        <f>IFERROR(__xludf.DUMMYFUNCTION("GOOGLETRANSLATE(C1,""en"",""ur"")"),"آپشن-1 زیڈ")</f>
        <v>آپشن-1 زیڈ</v>
      </c>
      <c r="N1" s="2" t="str">
        <f>IFERROR(__xludf.DUMMYFUNCTION("GOOGLETRANSLATE(D1,""en"",""ur"")"),"آپشن-2ز")</f>
        <v>آپشن-2ز</v>
      </c>
      <c r="O1" s="2" t="str">
        <f>IFERROR(__xludf.DUMMYFUNCTION("GOOGLETRANSLATE(E1,""en"",""ur"")"),"آپشن-3z")</f>
        <v>آپشن-3z</v>
      </c>
      <c r="P1" s="2" t="str">
        <f>IFERROR(__xludf.DUMMYFUNCTION("GOOGLETRANSLATE(F1,""en"",""ur"")"),"آپشن-4z")</f>
        <v>آپشن-4z</v>
      </c>
      <c r="Q1" s="3" t="s">
        <v>8</v>
      </c>
      <c r="R1" s="2" t="str">
        <f>IFERROR(__xludf.DUMMYFUNCTION("GOOGLETRANSLATE(G1,""en"",""ur"")"),"جواب")</f>
        <v>جواب</v>
      </c>
      <c r="S1" s="3" t="s">
        <v>9</v>
      </c>
    </row>
    <row r="2" ht="22.5" customHeight="1">
      <c r="A2" s="4">
        <v>1.0</v>
      </c>
      <c r="B2" s="5" t="s">
        <v>10</v>
      </c>
      <c r="C2" s="5" t="s">
        <v>11</v>
      </c>
      <c r="D2" s="5" t="s">
        <v>12</v>
      </c>
      <c r="E2" s="5" t="s">
        <v>13</v>
      </c>
      <c r="F2" s="5" t="s">
        <v>14</v>
      </c>
      <c r="G2" s="5" t="s">
        <v>12</v>
      </c>
      <c r="H2" s="5" t="s">
        <v>15</v>
      </c>
      <c r="K2" s="2" t="str">
        <f>IFERROR(__xludf.DUMMYFUNCTION("GOOGLETRANSLATE(A2,""en"",""ur"")"),"1")</f>
        <v>1</v>
      </c>
      <c r="L2" s="2" t="str">
        <f>IFERROR(__xludf.DUMMYFUNCTION("GOOGLETRANSLATE(B2,""en"",""ur"")"),"چتورنگا_1 میں دکھایا گیا اہم عمل کیا ہے؟")</f>
        <v>چتورنگا_1 میں دکھایا گیا اہم عمل کیا ہے؟</v>
      </c>
      <c r="M2" s="2" t="str">
        <f>IFERROR(__xludf.DUMMYFUNCTION("GOOGLETRANSLATE(C2,""en"",""ur"")"),"دو کھلاڑی لڑ رہے ہیں۔")</f>
        <v>دو کھلاڑی لڑ رہے ہیں۔</v>
      </c>
      <c r="N2" s="2" t="str">
        <f>IFERROR(__xludf.DUMMYFUNCTION("GOOGLETRANSLATE(D2,""en"",""ur"")"),"انتہائی آرائشی ٹکڑوں کے ساتھ ایک بساط")</f>
        <v>انتہائی آرائشی ٹکڑوں کے ساتھ ایک بساط</v>
      </c>
      <c r="O2" s="2" t="str">
        <f>IFERROR(__xludf.DUMMYFUNCTION("GOOGLETRANSLATE(E2,""en"",""ur"")"),"لوگوں کا ایک گروپ جو تاش کا کھیل کھیل رہا ہے۔")</f>
        <v>لوگوں کا ایک گروپ جو تاش کا کھیل کھیل رہا ہے۔</v>
      </c>
      <c r="P2" s="2" t="str">
        <f>IFERROR(__xludf.DUMMYFUNCTION("GOOGLETRANSLATE(F2,""en"",""ur"")"),"شطرنج کے ٹکڑے تراشنے والا شخص")</f>
        <v>شطرنج کے ٹکڑے تراشنے والا شخص</v>
      </c>
      <c r="Q2" s="2" t="str">
        <f t="array" ref="Q2:Q251">TRIM(" (A) " &amp; M2:M251 &amp; " (B) " &amp; N2:N251 &amp; " (C) " &amp; O2:O251 &amp; " (D) " &amp; P2:P251)</f>
        <v>(A) دو کھلاڑی لڑ رہے ہیں۔ (B) انتہائی آرائشی ٹکڑوں کے ساتھ ایک بساط (C) لوگوں کا ایک گروپ جو تاش کا کھیل کھیل رہا ہے۔ (D) شطرنج کے ٹکڑے تراشنے والا شخص</v>
      </c>
      <c r="R2" s="2" t="str">
        <f>IFERROR(__xludf.DUMMYFUNCTION("GOOGLETRANSLATE(G2,""en"",""ur"")"),"انتہائی آرائشی ٹکڑوں کے ساتھ ایک بساط")</f>
        <v>انتہائی آرائشی ٹکڑوں کے ساتھ ایک بساط</v>
      </c>
      <c r="S2" s="6" t="s">
        <v>15</v>
      </c>
    </row>
    <row r="3" ht="22.5" customHeight="1">
      <c r="A3" s="4">
        <v>2.0</v>
      </c>
      <c r="B3" s="5" t="s">
        <v>16</v>
      </c>
      <c r="C3" s="5" t="s">
        <v>17</v>
      </c>
      <c r="D3" s="5" t="s">
        <v>18</v>
      </c>
      <c r="E3" s="5" t="s">
        <v>19</v>
      </c>
      <c r="F3" s="5" t="s">
        <v>20</v>
      </c>
      <c r="G3" s="5" t="s">
        <v>18</v>
      </c>
      <c r="H3" s="5" t="s">
        <v>15</v>
      </c>
      <c r="K3" s="2" t="str">
        <f>IFERROR(__xludf.DUMMYFUNCTION("GOOGLETRANSLATE(A3,""en"",""ur"")"),"2")</f>
        <v>2</v>
      </c>
      <c r="L3" s="2" t="str">
        <f>IFERROR(__xludf.DUMMYFUNCTION("GOOGLETRANSLATE(B3,""en"",""ur"")"),"ٹکڑوں کے بارے میں ایک قابل ذکر تفصیل کیا ہے؟")</f>
        <v>ٹکڑوں کے بارے میں ایک قابل ذکر تفصیل کیا ہے؟</v>
      </c>
      <c r="M3" s="2" t="str">
        <f>IFERROR(__xludf.DUMMYFUNCTION("GOOGLETRANSLATE(C3,""en"",""ur"")"),"وہ سب ایک جیسے ہیں۔")</f>
        <v>وہ سب ایک جیسے ہیں۔</v>
      </c>
      <c r="N3" s="2" t="str">
        <f>IFERROR(__xludf.DUMMYFUNCTION("GOOGLETRANSLATE(D3,""en"",""ur"")"),"وہ ایک تاریخی فوج کی نمائندگی کرنے والی انتہائی اسٹائلائزڈ شخصیات ہیں۔")</f>
        <v>وہ ایک تاریخی فوج کی نمائندگی کرنے والی انتہائی اسٹائلائزڈ شخصیات ہیں۔</v>
      </c>
      <c r="O3" s="2" t="str">
        <f>IFERROR(__xludf.DUMMYFUNCTION("GOOGLETRANSLATE(E3,""en"",""ur"")"),"وہ پلاسٹک سے بنے ہیں۔")</f>
        <v>وہ پلاسٹک سے بنے ہیں۔</v>
      </c>
      <c r="P3" s="2" t="str">
        <f>IFERROR(__xludf.DUMMYFUNCTION("GOOGLETRANSLATE(F3,""en"",""ur"")"),"وہ سب سفید فام ہیں۔")</f>
        <v>وہ سب سفید فام ہیں۔</v>
      </c>
      <c r="Q3" s="2" t="s">
        <v>21</v>
      </c>
      <c r="R3" s="2" t="str">
        <f>IFERROR(__xludf.DUMMYFUNCTION("GOOGLETRANSLATE(G3,""en"",""ur"")"),"وہ ایک تاریخی فوج کی نمائندگی کرنے والی انتہائی اسٹائلائزڈ شخصیات ہیں۔")</f>
        <v>وہ ایک تاریخی فوج کی نمائندگی کرنے والی انتہائی اسٹائلائزڈ شخصیات ہیں۔</v>
      </c>
      <c r="S3" s="6" t="s">
        <v>15</v>
      </c>
    </row>
    <row r="4" ht="22.5" customHeight="1">
      <c r="A4" s="4">
        <v>3.0</v>
      </c>
      <c r="B4" s="5" t="s">
        <v>22</v>
      </c>
      <c r="C4" s="5" t="s">
        <v>23</v>
      </c>
      <c r="D4" s="5" t="s">
        <v>24</v>
      </c>
      <c r="E4" s="5" t="s">
        <v>25</v>
      </c>
      <c r="F4" s="5" t="s">
        <v>26</v>
      </c>
      <c r="G4" s="5" t="s">
        <v>23</v>
      </c>
      <c r="H4" s="5" t="s">
        <v>15</v>
      </c>
      <c r="K4" s="2" t="str">
        <f>IFERROR(__xludf.DUMMYFUNCTION("GOOGLETRANSLATE(A4,""en"",""ur"")"),"3")</f>
        <v>3</v>
      </c>
      <c r="L4" s="2" t="str">
        <f>IFERROR(__xludf.DUMMYFUNCTION("GOOGLETRANSLATE(B4,""en"",""ur"")"),"بساط کا ظاہری مواد کیا ہے؟")</f>
        <v>بساط کا ظاہری مواد کیا ہے؟</v>
      </c>
      <c r="M4" s="2" t="str">
        <f>IFERROR(__xludf.DUMMYFUNCTION("GOOGLETRANSLATE(C4,""en"",""ur"")"),"کندہ شدہ نمونوں کے ساتھ لکڑی")</f>
        <v>کندہ شدہ نمونوں کے ساتھ لکڑی</v>
      </c>
      <c r="N4" s="2" t="str">
        <f>IFERROR(__xludf.DUMMYFUNCTION("GOOGLETRANSLATE(D4,""en"",""ur"")"),"پلاسٹک")</f>
        <v>پلاسٹک</v>
      </c>
      <c r="O4" s="2" t="str">
        <f>IFERROR(__xludf.DUMMYFUNCTION("GOOGLETRANSLATE(E4,""en"",""ur"")"),"شیشہ")</f>
        <v>شیشہ</v>
      </c>
      <c r="P4" s="2" t="str">
        <f>IFERROR(__xludf.DUMMYFUNCTION("GOOGLETRANSLATE(F4,""en"",""ur"")"),"گتے")</f>
        <v>گتے</v>
      </c>
      <c r="Q4" s="2" t="s">
        <v>27</v>
      </c>
      <c r="R4" s="2" t="str">
        <f>IFERROR(__xludf.DUMMYFUNCTION("GOOGLETRANSLATE(G4,""en"",""ur"")"),"کندہ شدہ نمونوں کے ساتھ لکڑی")</f>
        <v>کندہ شدہ نمونوں کے ساتھ لکڑی</v>
      </c>
      <c r="S4" s="6" t="s">
        <v>15</v>
      </c>
    </row>
    <row r="5" ht="22.5" customHeight="1">
      <c r="A5" s="4">
        <v>4.0</v>
      </c>
      <c r="B5" s="5" t="s">
        <v>28</v>
      </c>
      <c r="C5" s="5" t="s">
        <v>29</v>
      </c>
      <c r="D5" s="5" t="s">
        <v>30</v>
      </c>
      <c r="E5" s="5" t="s">
        <v>31</v>
      </c>
      <c r="F5" s="5" t="s">
        <v>32</v>
      </c>
      <c r="G5" s="5" t="s">
        <v>31</v>
      </c>
      <c r="H5" s="5" t="s">
        <v>15</v>
      </c>
      <c r="K5" s="2" t="str">
        <f>IFERROR(__xludf.DUMMYFUNCTION("GOOGLETRANSLATE(A5,""en"",""ur"")"),"4")</f>
        <v>4</v>
      </c>
      <c r="L5" s="2" t="str">
        <f>IFERROR(__xludf.DUMMYFUNCTION("GOOGLETRANSLATE(B5,""en"",""ur"")"),"تصویر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5" s="2" t="str">
        <f>IFERROR(__xludf.DUMMYFUNCTION("GOOGLETRANSLATE(C5,""en"",""ur"")"),"چیکرس")</f>
        <v>چیکرس</v>
      </c>
      <c r="N5" s="2" t="str">
        <f>IFERROR(__xludf.DUMMYFUNCTION("GOOGLETRANSLATE(D5,""en"",""ur"")"),"بیکگیمون")</f>
        <v>بیکگیمون</v>
      </c>
      <c r="O5" s="2" t="str">
        <f>IFERROR(__xludf.DUMMYFUNCTION("GOOGLETRANSLATE(E5,""en"",""ur"")"),"چتورنگا")</f>
        <v>چتورنگا</v>
      </c>
      <c r="P5" s="2" t="str">
        <f>IFERROR(__xludf.DUMMYFUNCTION("GOOGLETRANSLATE(F5,""en"",""ur"")"),"جاؤ")</f>
        <v>جاؤ</v>
      </c>
      <c r="Q5" s="2" t="s">
        <v>33</v>
      </c>
      <c r="R5" s="2" t="str">
        <f>IFERROR(__xludf.DUMMYFUNCTION("GOOGLETRANSLATE(G5,""en"",""ur"")"),"چتورنگا")</f>
        <v>چتورنگا</v>
      </c>
      <c r="S5" s="6" t="s">
        <v>15</v>
      </c>
    </row>
    <row r="6" ht="22.5" customHeight="1">
      <c r="A6" s="4">
        <v>5.0</v>
      </c>
      <c r="B6" s="5" t="s">
        <v>34</v>
      </c>
      <c r="C6" s="5" t="s">
        <v>35</v>
      </c>
      <c r="D6" s="5" t="s">
        <v>36</v>
      </c>
      <c r="E6" s="5" t="s">
        <v>37</v>
      </c>
      <c r="F6" s="5" t="s">
        <v>38</v>
      </c>
      <c r="G6" s="5" t="s">
        <v>36</v>
      </c>
      <c r="H6" s="5" t="s">
        <v>15</v>
      </c>
      <c r="K6" s="2" t="str">
        <f>IFERROR(__xludf.DUMMYFUNCTION("GOOGLETRANSLATE(A6,""en"",""ur"")"),"5")</f>
        <v>5</v>
      </c>
      <c r="L6" s="2" t="str">
        <f>IFERROR(__xludf.DUMMYFUNCTION("GOOGLETRANSLATE(B6,""en"",""ur"")"),"""پرسنلائزڈ نام"" لیبل کا بظاہر مقصد کیا ہے؟")</f>
        <v>"پرسنلائزڈ نام" لیبل کا بظاہر مقصد کیا ہے؟</v>
      </c>
      <c r="M6" s="2" t="str">
        <f>IFERROR(__xludf.DUMMYFUNCTION("GOOGLETRANSLATE(C6,""en"",""ur"")"),"یہ کھیل کے قوانین کا حصہ ہے۔")</f>
        <v>یہ کھیل کے قوانین کا حصہ ہے۔</v>
      </c>
      <c r="N6" s="2" t="str">
        <f>IFERROR(__xludf.DUMMYFUNCTION("GOOGLETRANSLATE(D6,""en"",""ur"")"),"یہ حسب ضرورت کے لیے ایک خصوصیت ہے۔")</f>
        <v>یہ حسب ضرورت کے لیے ایک خصوصیت ہے۔</v>
      </c>
      <c r="O6" s="2" t="str">
        <f>IFERROR(__xludf.DUMMYFUNCTION("GOOGLETRANSLATE(E6,""en"",""ur"")"),"یہ ایک تاریخی نشان ہے۔")</f>
        <v>یہ ایک تاریخی نشان ہے۔</v>
      </c>
      <c r="P6" s="2" t="str">
        <f>IFERROR(__xludf.DUMMYFUNCTION("GOOGLETRANSLATE(F6,""en"",""ur"")"),"یہ ایک برانڈ کا نام ہے۔")</f>
        <v>یہ ایک برانڈ کا نام ہے۔</v>
      </c>
      <c r="Q6" s="2" t="s">
        <v>39</v>
      </c>
      <c r="R6" s="2" t="str">
        <f>IFERROR(__xludf.DUMMYFUNCTION("GOOGLETRANSLATE(G6,""en"",""ur"")"),"یہ حسب ضرورت کے لیے ایک خصوصیت ہے۔")</f>
        <v>یہ حسب ضرورت کے لیے ایک خصوصیت ہے۔</v>
      </c>
      <c r="S6" s="6" t="s">
        <v>15</v>
      </c>
    </row>
    <row r="7" ht="22.5" customHeight="1">
      <c r="A7" s="4">
        <v>6.0</v>
      </c>
      <c r="B7" s="5" t="s">
        <v>40</v>
      </c>
      <c r="C7" s="5" t="s">
        <v>41</v>
      </c>
      <c r="D7" s="5" t="s">
        <v>42</v>
      </c>
      <c r="E7" s="5" t="s">
        <v>43</v>
      </c>
      <c r="F7" s="5" t="s">
        <v>44</v>
      </c>
      <c r="G7" s="5" t="s">
        <v>42</v>
      </c>
      <c r="H7" s="5" t="s">
        <v>15</v>
      </c>
      <c r="K7" s="2" t="str">
        <f>IFERROR(__xludf.DUMMYFUNCTION("GOOGLETRANSLATE(A7,""en"",""ur"")"),"6")</f>
        <v>6</v>
      </c>
      <c r="L7" s="2" t="str">
        <f>IFERROR(__xludf.DUMMYFUNCTION("GOOGLETRANSLATE(B7,""en"",""ur"")"),"بورڈ کے ڈیزائن کی سب سے نمایاں خصوصیت کیا ہے؟")</f>
        <v>بورڈ کے ڈیزائن کی سب سے نمایاں خصوصیت کیا ہے؟</v>
      </c>
      <c r="M7" s="2" t="str">
        <f>IFERROR(__xludf.DUMMYFUNCTION("GOOGLETRANSLATE(C7,""en"",""ur"")"),"یہ ایک سادہ، چیکر سطح ہے")</f>
        <v>یہ ایک سادہ، چیکر سطح ہے</v>
      </c>
      <c r="N7" s="2" t="str">
        <f>IFERROR(__xludf.DUMMYFUNCTION("GOOGLETRANSLATE(D7,""en"",""ur"")"),"اس میں پیچیدہ کندہ شدہ نمونے ہیں۔")</f>
        <v>اس میں پیچیدہ کندہ شدہ نمونے ہیں۔</v>
      </c>
      <c r="O7" s="2" t="str">
        <f>IFERROR(__xludf.DUMMYFUNCTION("GOOGLETRANSLATE(E7,""en"",""ur"")"),"یہ ایک ٹھوس رنگ ہے۔")</f>
        <v>یہ ایک ٹھوس رنگ ہے۔</v>
      </c>
      <c r="P7" s="2" t="str">
        <f>IFERROR(__xludf.DUMMYFUNCTION("GOOGLETRANSLATE(F7,""en"",""ur"")"),"یہ ایک سرکلر بورڈ ہے۔")</f>
        <v>یہ ایک سرکلر بورڈ ہے۔</v>
      </c>
      <c r="Q7" s="2" t="s">
        <v>45</v>
      </c>
      <c r="R7" s="2" t="str">
        <f>IFERROR(__xludf.DUMMYFUNCTION("GOOGLETRANSLATE(G7,""en"",""ur"")"),"اس میں پیچیدہ کندہ شدہ نمونے ہیں۔")</f>
        <v>اس میں پیچیدہ کندہ شدہ نمونے ہیں۔</v>
      </c>
      <c r="S7" s="6" t="s">
        <v>15</v>
      </c>
    </row>
    <row r="8" ht="22.5" customHeight="1">
      <c r="A8" s="4">
        <v>7.0</v>
      </c>
      <c r="B8" s="5" t="s">
        <v>46</v>
      </c>
      <c r="C8" s="5" t="s">
        <v>47</v>
      </c>
      <c r="D8" s="5" t="s">
        <v>48</v>
      </c>
      <c r="E8" s="5" t="s">
        <v>49</v>
      </c>
      <c r="F8" s="5" t="s">
        <v>50</v>
      </c>
      <c r="G8" s="5" t="s">
        <v>49</v>
      </c>
      <c r="H8" s="5" t="s">
        <v>15</v>
      </c>
      <c r="K8" s="2" t="str">
        <f>IFERROR(__xludf.DUMMYFUNCTION("GOOGLETRANSLATE(A8,""en"",""ur"")"),"7")</f>
        <v>7</v>
      </c>
      <c r="L8" s="2" t="str">
        <f>IFERROR(__xludf.DUMMYFUNCTION("GOOGLETRANSLATE(B8,""en"",""ur"")"),"کھلاڑیوں کے چہروں سے ظاہری جذبات کیا ہیں؟")</f>
        <v>کھلاڑیوں کے چہروں سے ظاہری جذبات کیا ہیں؟</v>
      </c>
      <c r="M8" s="2" t="str">
        <f>IFERROR(__xludf.DUMMYFUNCTION("GOOGLETRANSLATE(C8,""en"",""ur"")"),"پرسکون اور پر سکون")</f>
        <v>پرسکون اور پر سکون</v>
      </c>
      <c r="N8" s="2" t="str">
        <f>IFERROR(__xludf.DUMMYFUNCTION("GOOGLETRANSLATE(D8,""en"",""ur"")"),"خوف زدہ اور بے چین")</f>
        <v>خوف زدہ اور بے چین</v>
      </c>
      <c r="O8" s="2" t="str">
        <f>IFERROR(__xludf.DUMMYFUNCTION("GOOGLETRANSLATE(E8,""en"",""ur"")"),"کشیدہ اور شدید")</f>
        <v>کشیدہ اور شدید</v>
      </c>
      <c r="P8" s="2" t="str">
        <f>IFERROR(__xludf.DUMMYFUNCTION("GOOGLETRANSLATE(F8,""en"",""ur"")"),"خوش اور مسکراتے ہوئے۔")</f>
        <v>خوش اور مسکراتے ہوئے۔</v>
      </c>
      <c r="Q8" s="2" t="s">
        <v>51</v>
      </c>
      <c r="R8" s="2" t="str">
        <f>IFERROR(__xludf.DUMMYFUNCTION("GOOGLETRANSLATE(G8,""en"",""ur"")"),"کشیدہ اور شدید")</f>
        <v>کشیدہ اور شدید</v>
      </c>
      <c r="S8" s="6" t="s">
        <v>15</v>
      </c>
    </row>
    <row r="9" ht="22.5" customHeight="1">
      <c r="A9" s="4">
        <v>8.0</v>
      </c>
      <c r="B9" s="5" t="s">
        <v>52</v>
      </c>
      <c r="C9" s="5" t="s">
        <v>53</v>
      </c>
      <c r="D9" s="5" t="s">
        <v>54</v>
      </c>
      <c r="E9" s="5" t="s">
        <v>55</v>
      </c>
      <c r="F9" s="5" t="s">
        <v>56</v>
      </c>
      <c r="G9" s="5" t="s">
        <v>53</v>
      </c>
      <c r="H9" s="5" t="s">
        <v>15</v>
      </c>
      <c r="K9" s="2" t="str">
        <f>IFERROR(__xludf.DUMMYFUNCTION("GOOGLETRANSLATE(A9,""en"",""ur"")"),"8")</f>
        <v>8</v>
      </c>
      <c r="L9" s="2" t="str">
        <f>IFERROR(__xludf.DUMMYFUNCTION("GOOGLETRANSLATE(B9,""en"",""ur"")"),"ٹکڑوں کو ایک مخصوص شکل میں ترتیب دیا گیا ہے۔ یہ تشکیل کس لیے ہے؟")</f>
        <v>ٹکڑوں کو ایک مخصوص شکل میں ترتیب دیا گیا ہے۔ یہ تشکیل کس لیے ہے؟</v>
      </c>
      <c r="M9" s="2" t="str">
        <f>IFERROR(__xludf.DUMMYFUNCTION("GOOGLETRANSLATE(C9,""en"",""ur"")"),"ایک کھیل کا آغاز")</f>
        <v>ایک کھیل کا آغاز</v>
      </c>
      <c r="N9" s="2" t="str">
        <f>IFERROR(__xludf.DUMMYFUNCTION("GOOGLETRANSLATE(D9,""en"",""ur"")"),"کھیل کا وسط")</f>
        <v>کھیل کا وسط</v>
      </c>
      <c r="O9" s="2" t="str">
        <f>IFERROR(__xludf.DUMMYFUNCTION("GOOGLETRANSLATE(E9,""en"",""ur"")"),"ایک کھیل کا اختتام")</f>
        <v>ایک کھیل کا اختتام</v>
      </c>
      <c r="P9" s="2" t="str">
        <f>IFERROR(__xludf.DUMMYFUNCTION("GOOGLETRANSLATE(F9,""en"",""ur"")"),"بے ترتیب ترتیب")</f>
        <v>بے ترتیب ترتیب</v>
      </c>
      <c r="Q9" s="2" t="s">
        <v>57</v>
      </c>
      <c r="R9" s="2" t="str">
        <f>IFERROR(__xludf.DUMMYFUNCTION("GOOGLETRANSLATE(G9,""en"",""ur"")"),"ایک کھیل کا آغاز")</f>
        <v>ایک کھیل کا آغاز</v>
      </c>
      <c r="S9" s="6" t="s">
        <v>15</v>
      </c>
    </row>
    <row r="10" ht="22.5" customHeight="1">
      <c r="A10" s="4">
        <v>9.0</v>
      </c>
      <c r="B10" s="5" t="s">
        <v>16</v>
      </c>
      <c r="C10" s="5" t="s">
        <v>58</v>
      </c>
      <c r="D10" s="5" t="s">
        <v>59</v>
      </c>
      <c r="E10" s="5" t="s">
        <v>60</v>
      </c>
      <c r="F10" s="5" t="s">
        <v>61</v>
      </c>
      <c r="G10" s="5" t="s">
        <v>60</v>
      </c>
      <c r="H10" s="5" t="s">
        <v>15</v>
      </c>
      <c r="K10" s="2" t="str">
        <f>IFERROR(__xludf.DUMMYFUNCTION("GOOGLETRANSLATE(A10,""en"",""ur"")"),"9")</f>
        <v>9</v>
      </c>
      <c r="L10" s="2" t="str">
        <f>IFERROR(__xludf.DUMMYFUNCTION("GOOGLETRANSLATE(B10,""en"",""ur"")"),"ٹکڑوں کے بارے میں ایک قابل ذکر تفصیل کیا ہے؟")</f>
        <v>ٹکڑوں کے بارے میں ایک قابل ذکر تفصیل کیا ہے؟</v>
      </c>
      <c r="M10" s="2" t="str">
        <f>IFERROR(__xludf.DUMMYFUNCTION("GOOGLETRANSLATE(C10,""en"",""ur"")"),"وہ سب ایک ہی قد کے ہیں۔")</f>
        <v>وہ سب ایک ہی قد کے ہیں۔</v>
      </c>
      <c r="N10" s="2" t="str">
        <f>IFERROR(__xludf.DUMMYFUNCTION("GOOGLETRANSLATE(D10,""en"",""ur"")"),"وہ سب ایک ہی رنگ کے ہیں۔")</f>
        <v>وہ سب ایک ہی رنگ کے ہیں۔</v>
      </c>
      <c r="O10" s="2" t="str">
        <f>IFERROR(__xludf.DUMMYFUNCTION("GOOGLETRANSLATE(E10,""en"",""ur"")"),"وہ رنگوں اور ڈیزائنوں کا مرکب ہیں۔")</f>
        <v>وہ رنگوں اور ڈیزائنوں کا مرکب ہیں۔</v>
      </c>
      <c r="P10" s="2" t="str">
        <f>IFERROR(__xludf.DUMMYFUNCTION("GOOGLETRANSLATE(F10,""en"",""ur"")"),"وہ سب وسیع نمونوں کے ساتھ زین پہنے ہوئے ہیں۔")</f>
        <v>وہ سب وسیع نمونوں کے ساتھ زین پہنے ہوئے ہیں۔</v>
      </c>
      <c r="Q10" s="2" t="s">
        <v>62</v>
      </c>
      <c r="R10" s="2" t="str">
        <f>IFERROR(__xludf.DUMMYFUNCTION("GOOGLETRANSLATE(G10,""en"",""ur"")"),"وہ رنگوں اور ڈیزائنوں کا مرکب ہیں۔")</f>
        <v>وہ رنگوں اور ڈیزائنوں کا مرکب ہیں۔</v>
      </c>
      <c r="S10" s="6" t="s">
        <v>15</v>
      </c>
    </row>
    <row r="11" ht="22.5" customHeight="1">
      <c r="A11" s="4">
        <v>10.0</v>
      </c>
      <c r="B11" s="5" t="s">
        <v>63</v>
      </c>
      <c r="C11" s="5" t="s">
        <v>64</v>
      </c>
      <c r="D11" s="5" t="s">
        <v>65</v>
      </c>
      <c r="E11" s="5" t="s">
        <v>66</v>
      </c>
      <c r="F11" s="5" t="s">
        <v>67</v>
      </c>
      <c r="G11" s="5" t="s">
        <v>65</v>
      </c>
      <c r="H11" s="5" t="s">
        <v>15</v>
      </c>
      <c r="K11" s="2" t="str">
        <f>IFERROR(__xludf.DUMMYFUNCTION("GOOGLETRANSLATE(A11,""en"",""ur"")"),"10")</f>
        <v>10</v>
      </c>
      <c r="L11" s="2" t="str">
        <f>IFERROR(__xludf.DUMMYFUNCTION("GOOGLETRANSLATE(B11,""en"",""ur"")"),"چتورنگا کا تاریخی کھیل کس ملک سے تعلق کے لیے جانا جاتا ہے؟")</f>
        <v>چتورنگا کا تاریخی کھیل کس ملک سے تعلق کے لیے جانا جاتا ہے؟</v>
      </c>
      <c r="M11" s="2" t="str">
        <f>IFERROR(__xludf.DUMMYFUNCTION("GOOGLETRANSLATE(C11,""en"",""ur"")"),"چین")</f>
        <v>چین</v>
      </c>
      <c r="N11" s="2" t="str">
        <f>IFERROR(__xludf.DUMMYFUNCTION("GOOGLETRANSLATE(D11,""en"",""ur"")"),"انڈیا")</f>
        <v>انڈیا</v>
      </c>
      <c r="O11" s="2" t="str">
        <f>IFERROR(__xludf.DUMMYFUNCTION("GOOGLETRANSLATE(E11,""en"",""ur"")"),"یورپ")</f>
        <v>یورپ</v>
      </c>
      <c r="P11" s="2" t="str">
        <f>IFERROR(__xludf.DUMMYFUNCTION("GOOGLETRANSLATE(F11,""en"",""ur"")"),"مصر")</f>
        <v>مصر</v>
      </c>
      <c r="Q11" s="2" t="s">
        <v>68</v>
      </c>
      <c r="R11" s="2" t="str">
        <f>IFERROR(__xludf.DUMMYFUNCTION("GOOGLETRANSLATE(G11,""en"",""ur"")"),"انڈیا")</f>
        <v>انڈیا</v>
      </c>
      <c r="S11" s="6" t="s">
        <v>15</v>
      </c>
    </row>
    <row r="12" ht="22.5" customHeight="1">
      <c r="A12" s="4">
        <v>11.0</v>
      </c>
      <c r="B12" s="5" t="s">
        <v>69</v>
      </c>
      <c r="C12" s="5" t="s">
        <v>70</v>
      </c>
      <c r="D12" s="5" t="s">
        <v>71</v>
      </c>
      <c r="E12" s="5" t="s">
        <v>72</v>
      </c>
      <c r="F12" s="5" t="s">
        <v>73</v>
      </c>
      <c r="G12" s="5" t="s">
        <v>70</v>
      </c>
      <c r="H12" s="5" t="s">
        <v>74</v>
      </c>
      <c r="K12" s="2" t="str">
        <f>IFERROR(__xludf.DUMMYFUNCTION("GOOGLETRANSLATE(A12,""en"",""ur"")"),"11")</f>
        <v>11</v>
      </c>
      <c r="L12" s="2" t="str">
        <f>IFERROR(__xludf.DUMMYFUNCTION("GOOGLETRANSLATE(B12,""en"",""ur"")"),"چترنگا_2 میں دکھایا گیا اہم عمل کیا ہے؟")</f>
        <v>چترنگا_2 میں دکھایا گیا اہم عمل کیا ہے؟</v>
      </c>
      <c r="M12" s="2" t="str">
        <f>IFERROR(__xludf.DUMMYFUNCTION("GOOGLETRANSLATE(C12,""en"",""ur"")"),"روایتی ٹکڑوں کے ساتھ ایک بساط")</f>
        <v>روایتی ٹکڑوں کے ساتھ ایک بساط</v>
      </c>
      <c r="N12" s="2" t="str">
        <f>IFERROR(__xludf.DUMMYFUNCTION("GOOGLETRANSLATE(D12,""en"",""ur"")"),"سواروں کا ایک گروپ جو مرکزی چیز کے لیے مقابلہ کر رہا ہے۔")</f>
        <v>سواروں کا ایک گروپ جو مرکزی چیز کے لیے مقابلہ کر رہا ہے۔</v>
      </c>
      <c r="O12" s="2" t="str">
        <f>IFERROR(__xludf.DUMMYFUNCTION("GOOGLETRANSLATE(E12,""en"",""ur"")"),"گھوڑوں کی پریڈ")</f>
        <v>گھوڑوں کی پریڈ</v>
      </c>
      <c r="P12" s="2" t="str">
        <f>IFERROR(__xludf.DUMMYFUNCTION("GOOGLETRANSLATE(F12,""en"",""ur"")"),"گھوڑوں کی دوڑ")</f>
        <v>گھوڑوں کی دوڑ</v>
      </c>
      <c r="Q12" s="2" t="s">
        <v>75</v>
      </c>
      <c r="R12" s="2" t="str">
        <f>IFERROR(__xludf.DUMMYFUNCTION("GOOGLETRANSLATE(G12,""en"",""ur"")"),"روایتی ٹکڑوں کے ساتھ ایک بساط")</f>
        <v>روایتی ٹکڑوں کے ساتھ ایک بساط</v>
      </c>
      <c r="S12" s="6" t="s">
        <v>74</v>
      </c>
    </row>
    <row r="13" ht="22.5" customHeight="1">
      <c r="A13" s="4">
        <v>12.0</v>
      </c>
      <c r="B13" s="5" t="s">
        <v>76</v>
      </c>
      <c r="C13" s="5" t="s">
        <v>17</v>
      </c>
      <c r="D13" s="5" t="s">
        <v>77</v>
      </c>
      <c r="E13" s="5" t="s">
        <v>78</v>
      </c>
      <c r="F13" s="5" t="s">
        <v>79</v>
      </c>
      <c r="G13" s="5" t="s">
        <v>77</v>
      </c>
      <c r="H13" s="5" t="s">
        <v>74</v>
      </c>
      <c r="K13" s="2" t="str">
        <f>IFERROR(__xludf.DUMMYFUNCTION("GOOGLETRANSLATE(A13,""en"",""ur"")"),"12")</f>
        <v>12</v>
      </c>
      <c r="L13" s="2" t="str">
        <f>IFERROR(__xludf.DUMMYFUNCTION("GOOGLETRANSLATE(B13,""en"",""ur"")"),"بورڈ اور ٹکڑوں کے بارے میں ایک قابل ذکر تفصیل کیا ہے؟")</f>
        <v>بورڈ اور ٹکڑوں کے بارے میں ایک قابل ذکر تفصیل کیا ہے؟</v>
      </c>
      <c r="M13" s="2" t="str">
        <f>IFERROR(__xludf.DUMMYFUNCTION("GOOGLETRANSLATE(C13,""en"",""ur"")"),"وہ سب ایک جیسے ہیں۔")</f>
        <v>وہ سب ایک جیسے ہیں۔</v>
      </c>
      <c r="N13" s="2" t="str">
        <f>IFERROR(__xludf.DUMMYFUNCTION("GOOGLETRANSLATE(D13,""en"",""ur"")"),"بورڈ لکڑی کا بنا ہوا ہے، اور ٹکڑوں کو روایتی انداز میں کندہ کیا گیا ہے۔")</f>
        <v>بورڈ لکڑی کا بنا ہوا ہے، اور ٹکڑوں کو روایتی انداز میں کندہ کیا گیا ہے۔</v>
      </c>
      <c r="O13" s="2" t="str">
        <f>IFERROR(__xludf.DUMMYFUNCTION("GOOGLETRANSLATE(E13,""en"",""ur"")"),"ٹکڑے پلاسٹک سے بنے ہیں۔")</f>
        <v>ٹکڑے پلاسٹک سے بنے ہیں۔</v>
      </c>
      <c r="P13" s="2" t="str">
        <f>IFERROR(__xludf.DUMMYFUNCTION("GOOGLETRANSLATE(F13,""en"",""ur"")"),"بورڈ ایک ٹھوس رنگ ہے")</f>
        <v>بورڈ ایک ٹھوس رنگ ہے</v>
      </c>
      <c r="Q13" s="2" t="s">
        <v>80</v>
      </c>
      <c r="R13" s="2" t="str">
        <f>IFERROR(__xludf.DUMMYFUNCTION("GOOGLETRANSLATE(G13,""en"",""ur"")"),"بورڈ لکڑی کا بنا ہوا ہے، اور ٹکڑوں کو روایتی انداز میں کندہ کیا گیا ہے۔")</f>
        <v>بورڈ لکڑی کا بنا ہوا ہے، اور ٹکڑوں کو روایتی انداز میں کندہ کیا گیا ہے۔</v>
      </c>
      <c r="S13" s="6" t="s">
        <v>74</v>
      </c>
    </row>
    <row r="14" ht="22.5" customHeight="1">
      <c r="A14" s="4">
        <v>13.0</v>
      </c>
      <c r="B14" s="5" t="s">
        <v>81</v>
      </c>
      <c r="C14" s="5" t="s">
        <v>17</v>
      </c>
      <c r="D14" s="5" t="s">
        <v>18</v>
      </c>
      <c r="E14" s="5" t="s">
        <v>19</v>
      </c>
      <c r="F14" s="5" t="s">
        <v>20</v>
      </c>
      <c r="G14" s="5" t="s">
        <v>20</v>
      </c>
      <c r="H14" s="5" t="s">
        <v>74</v>
      </c>
      <c r="K14" s="2" t="str">
        <f>IFERROR(__xludf.DUMMYFUNCTION("GOOGLETRANSLATE(A14,""en"",""ur"")"),"13")</f>
        <v>13</v>
      </c>
      <c r="L14" s="2" t="str">
        <f>IFERROR(__xludf.DUMMYFUNCTION("GOOGLETRANSLATE(B14,""en"",""ur"")"),"ٹکڑوں کے ڈیزائن کے بارے میں واضح تفصیل کیا ہے؟")</f>
        <v>ٹکڑوں کے ڈیزائن کے بارے میں واضح تفصیل کیا ہے؟</v>
      </c>
      <c r="M14" s="2" t="str">
        <f>IFERROR(__xludf.DUMMYFUNCTION("GOOGLETRANSLATE(C14,""en"",""ur"")"),"وہ سب ایک جیسے ہیں۔")</f>
        <v>وہ سب ایک جیسے ہیں۔</v>
      </c>
      <c r="N14" s="2" t="str">
        <f>IFERROR(__xludf.DUMMYFUNCTION("GOOGLETRANSLATE(D14,""en"",""ur"")"),"وہ ایک تاریخی فوج کی نمائندگی کرنے والی انتہائی اسٹائلائزڈ شخصیات ہیں۔")</f>
        <v>وہ ایک تاریخی فوج کی نمائندگی کرنے والی انتہائی اسٹائلائزڈ شخصیات ہیں۔</v>
      </c>
      <c r="O14" s="2" t="str">
        <f>IFERROR(__xludf.DUMMYFUNCTION("GOOGLETRANSLATE(E14,""en"",""ur"")"),"وہ پلاسٹک سے بنے ہیں۔")</f>
        <v>وہ پلاسٹک سے بنے ہیں۔</v>
      </c>
      <c r="P14" s="2" t="str">
        <f>IFERROR(__xludf.DUMMYFUNCTION("GOOGLETRANSLATE(F14,""en"",""ur"")"),"وہ سب سفید فام ہیں۔")</f>
        <v>وہ سب سفید فام ہیں۔</v>
      </c>
      <c r="Q14" s="2" t="s">
        <v>21</v>
      </c>
      <c r="R14" s="2" t="str">
        <f>IFERROR(__xludf.DUMMYFUNCTION("GOOGLETRANSLATE(G14,""en"",""ur"")"),"وہ سب سفید فام ہیں۔")</f>
        <v>وہ سب سفید فام ہیں۔</v>
      </c>
      <c r="S14" s="6" t="s">
        <v>74</v>
      </c>
    </row>
    <row r="15" ht="22.5" customHeight="1">
      <c r="A15" s="4">
        <v>14.0</v>
      </c>
      <c r="B15" s="5" t="s">
        <v>82</v>
      </c>
      <c r="C15" s="5" t="s">
        <v>83</v>
      </c>
      <c r="D15" s="5" t="s">
        <v>84</v>
      </c>
      <c r="E15" s="5" t="s">
        <v>85</v>
      </c>
      <c r="F15" s="5" t="s">
        <v>86</v>
      </c>
      <c r="G15" s="5" t="s">
        <v>86</v>
      </c>
      <c r="H15" s="5" t="s">
        <v>74</v>
      </c>
      <c r="K15" s="2" t="str">
        <f>IFERROR(__xludf.DUMMYFUNCTION("GOOGLETRANSLATE(A15,""en"",""ur"")"),"14")</f>
        <v>14</v>
      </c>
      <c r="L15" s="2" t="str">
        <f>IFERROR(__xludf.DUMMYFUNCTION("GOOGLETRANSLATE(B15,""en"",""ur"")"),"اس گیم کی ظاہری ترتیب کیا ہے؟")</f>
        <v>اس گیم کی ظاہری ترتیب کیا ہے؟</v>
      </c>
      <c r="M15" s="2" t="str">
        <f>IFERROR(__xludf.DUMMYFUNCTION("GOOGLETRANSLATE(C15,""en"",""ur"")"),"یہ ایک بڑے اسٹیڈیم پر ہے۔")</f>
        <v>یہ ایک بڑے اسٹیڈیم پر ہے۔</v>
      </c>
      <c r="N15" s="2" t="str">
        <f>IFERROR(__xludf.DUMMYFUNCTION("GOOGLETRANSLATE(D15,""en"",""ur"")"),"یہ پہاڑی، پتھریلی علاقے میں ایک میدان میں ہے۔")</f>
        <v>یہ پہاڑی، پتھریلی علاقے میں ایک میدان میں ہے۔</v>
      </c>
      <c r="O15" s="2" t="str">
        <f>IFERROR(__xludf.DUMMYFUNCTION("GOOGLETRANSLATE(E15,""en"",""ur"")"),"یہ شہر کی سڑک پر ہے۔")</f>
        <v>یہ شہر کی سڑک پر ہے۔</v>
      </c>
      <c r="P15" s="2" t="str">
        <f>IFERROR(__xludf.DUMMYFUNCTION("GOOGLETRANSLATE(F15,""en"",""ur"")"),"یہ لکڑی کی میز پر ہے۔")</f>
        <v>یہ لکڑی کی میز پر ہے۔</v>
      </c>
      <c r="Q15" s="2" t="s">
        <v>87</v>
      </c>
      <c r="R15" s="2" t="str">
        <f>IFERROR(__xludf.DUMMYFUNCTION("GOOGLETRANSLATE(G15,""en"",""ur"")"),"یہ لکڑی کی میز پر ہے۔")</f>
        <v>یہ لکڑی کی میز پر ہے۔</v>
      </c>
      <c r="S15" s="6" t="s">
        <v>74</v>
      </c>
    </row>
    <row r="16" ht="22.5" customHeight="1">
      <c r="A16" s="4">
        <v>15.0</v>
      </c>
      <c r="B16" s="5" t="s">
        <v>46</v>
      </c>
      <c r="C16" s="5" t="s">
        <v>47</v>
      </c>
      <c r="D16" s="5" t="s">
        <v>48</v>
      </c>
      <c r="E16" s="5" t="s">
        <v>49</v>
      </c>
      <c r="F16" s="5" t="s">
        <v>50</v>
      </c>
      <c r="G16" s="5" t="s">
        <v>49</v>
      </c>
      <c r="H16" s="5" t="s">
        <v>74</v>
      </c>
      <c r="K16" s="2" t="str">
        <f>IFERROR(__xludf.DUMMYFUNCTION("GOOGLETRANSLATE(A16,""en"",""ur"")"),"15")</f>
        <v>15</v>
      </c>
      <c r="L16" s="2" t="str">
        <f>IFERROR(__xludf.DUMMYFUNCTION("GOOGLETRANSLATE(B16,""en"",""ur"")"),"کھلاڑیوں کے چہروں سے ظاہری جذبات کیا ہیں؟")</f>
        <v>کھلاڑیوں کے چہروں سے ظاہری جذبات کیا ہیں؟</v>
      </c>
      <c r="M16" s="2" t="str">
        <f>IFERROR(__xludf.DUMMYFUNCTION("GOOGLETRANSLATE(C16,""en"",""ur"")"),"پرسکون اور پر سکون")</f>
        <v>پرسکون اور پر سکون</v>
      </c>
      <c r="N16" s="2" t="str">
        <f>IFERROR(__xludf.DUMMYFUNCTION("GOOGLETRANSLATE(D16,""en"",""ur"")"),"خوف زدہ اور بے چین")</f>
        <v>خوف زدہ اور بے چین</v>
      </c>
      <c r="O16" s="2" t="str">
        <f>IFERROR(__xludf.DUMMYFUNCTION("GOOGLETRANSLATE(E16,""en"",""ur"")"),"کشیدہ اور شدید")</f>
        <v>کشیدہ اور شدید</v>
      </c>
      <c r="P16" s="2" t="str">
        <f>IFERROR(__xludf.DUMMYFUNCTION("GOOGLETRANSLATE(F16,""en"",""ur"")"),"خوش اور مسکراتے ہوئے۔")</f>
        <v>خوش اور مسکراتے ہوئے۔</v>
      </c>
      <c r="Q16" s="2" t="s">
        <v>51</v>
      </c>
      <c r="R16" s="2" t="str">
        <f>IFERROR(__xludf.DUMMYFUNCTION("GOOGLETRANSLATE(G16,""en"",""ur"")"),"کشیدہ اور شدید")</f>
        <v>کشیدہ اور شدید</v>
      </c>
      <c r="S16" s="6" t="s">
        <v>74</v>
      </c>
    </row>
    <row r="17" ht="22.5" customHeight="1">
      <c r="A17" s="4">
        <v>16.0</v>
      </c>
      <c r="B17" s="5" t="s">
        <v>88</v>
      </c>
      <c r="C17" s="5" t="s">
        <v>89</v>
      </c>
      <c r="D17" s="5" t="s">
        <v>90</v>
      </c>
      <c r="E17" s="5" t="s">
        <v>91</v>
      </c>
      <c r="F17" s="5" t="s">
        <v>92</v>
      </c>
      <c r="G17" s="5" t="s">
        <v>92</v>
      </c>
      <c r="H17" s="5" t="s">
        <v>74</v>
      </c>
      <c r="K17" s="2" t="str">
        <f>IFERROR(__xludf.DUMMYFUNCTION("GOOGLETRANSLATE(A17,""en"",""ur"")"),"16")</f>
        <v>16</v>
      </c>
      <c r="L17" s="2" t="str">
        <f>IFERROR(__xludf.DUMMYFUNCTION("GOOGLETRANSLATE(B17,""en"",""ur"")"),"زمین کی سب سے نمایاں خصوصیت کیا ہے؟")</f>
        <v>زمین کی سب سے نمایاں خصوصیت کیا ہے؟</v>
      </c>
      <c r="M17" s="2" t="str">
        <f>IFERROR(__xludf.DUMMYFUNCTION("GOOGLETRANSLATE(C17,""en"",""ur"")"),"ایک پکی سطح")</f>
        <v>ایک پکی سطح</v>
      </c>
      <c r="N17" s="2" t="str">
        <f>IFERROR(__xludf.DUMMYFUNCTION("GOOGLETRANSLATE(D17,""en"",""ur"")"),"کیچڑ والا میدان")</f>
        <v>کیچڑ والا میدان</v>
      </c>
      <c r="O17" s="2" t="str">
        <f>IFERROR(__xludf.DUMMYFUNCTION("GOOGLETRANSLATE(E17,""en"",""ur"")"),"ایک گھاس دار سطح")</f>
        <v>ایک گھاس دار سطح</v>
      </c>
      <c r="P17" s="2" t="str">
        <f>IFERROR(__xludf.DUMMYFUNCTION("GOOGLETRANSLATE(F17,""en"",""ur"")"),"لکڑی کی میز")</f>
        <v>لکڑی کی میز</v>
      </c>
      <c r="Q17" s="2" t="s">
        <v>93</v>
      </c>
      <c r="R17" s="2" t="str">
        <f>IFERROR(__xludf.DUMMYFUNCTION("GOOGLETRANSLATE(G17,""en"",""ur"")"),"لکڑی کی میز")</f>
        <v>لکڑی کی میز</v>
      </c>
      <c r="S17" s="6" t="s">
        <v>74</v>
      </c>
    </row>
    <row r="18" ht="22.5" customHeight="1">
      <c r="A18" s="4">
        <v>17.0</v>
      </c>
      <c r="B18" s="5" t="s">
        <v>94</v>
      </c>
      <c r="C18" s="5" t="s">
        <v>95</v>
      </c>
      <c r="D18" s="5" t="s">
        <v>96</v>
      </c>
      <c r="E18" s="5" t="s">
        <v>97</v>
      </c>
      <c r="F18" s="5" t="s">
        <v>31</v>
      </c>
      <c r="G18" s="5" t="s">
        <v>31</v>
      </c>
      <c r="H18" s="5" t="s">
        <v>74</v>
      </c>
      <c r="K18" s="2" t="str">
        <f>IFERROR(__xludf.DUMMYFUNCTION("GOOGLETRANSLATE(A18,""en"",""ur"")"),"17")</f>
        <v>17</v>
      </c>
      <c r="L18" s="2" t="str">
        <f>IFERROR(__xludf.DUMMYFUNCTION("GOOGLETRANSLATE(B18,""en"",""ur"")"),"کھیلے جانے والے کھیل کا نام کیا ہے؟")</f>
        <v>کھیلے جانے والے کھیل کا نام کیا ہے؟</v>
      </c>
      <c r="M18" s="2" t="str">
        <f>IFERROR(__xludf.DUMMYFUNCTION("GOOGLETRANSLATE(C18,""en"",""ur"")"),"پولو")</f>
        <v>پولو</v>
      </c>
      <c r="N18" s="2" t="str">
        <f>IFERROR(__xludf.DUMMYFUNCTION("GOOGLETRANSLATE(D18,""en"",""ur"")"),"گھوڑوں کی دوڑ")</f>
        <v>گھوڑوں کی دوڑ</v>
      </c>
      <c r="O18" s="2" t="str">
        <f>IFERROR(__xludf.DUMMYFUNCTION("GOOGLETRANSLATE(E18,""en"",""ur"")"),"بزکشی۔")</f>
        <v>بزکشی۔</v>
      </c>
      <c r="P18" s="2" t="str">
        <f>IFERROR(__xludf.DUMMYFUNCTION("GOOGLETRANSLATE(F18,""en"",""ur"")"),"چتورنگا")</f>
        <v>چتورنگا</v>
      </c>
      <c r="Q18" s="2" t="s">
        <v>98</v>
      </c>
      <c r="R18" s="2" t="str">
        <f>IFERROR(__xludf.DUMMYFUNCTION("GOOGLETRANSLATE(G18,""en"",""ur"")"),"چتورنگا")</f>
        <v>چتورنگا</v>
      </c>
      <c r="S18" s="6" t="s">
        <v>74</v>
      </c>
    </row>
    <row r="19" ht="22.5" customHeight="1">
      <c r="A19" s="4">
        <v>18.0</v>
      </c>
      <c r="B19" s="5" t="s">
        <v>99</v>
      </c>
      <c r="C19" s="5" t="s">
        <v>64</v>
      </c>
      <c r="D19" s="5" t="s">
        <v>65</v>
      </c>
      <c r="E19" s="5" t="s">
        <v>66</v>
      </c>
      <c r="F19" s="5" t="s">
        <v>67</v>
      </c>
      <c r="G19" s="5" t="s">
        <v>65</v>
      </c>
      <c r="H19" s="5" t="s">
        <v>74</v>
      </c>
      <c r="K19" s="2" t="str">
        <f>IFERROR(__xludf.DUMMYFUNCTION("GOOGLETRANSLATE(A19,""en"",""ur"")"),"18")</f>
        <v>18</v>
      </c>
      <c r="L19" s="2" t="str">
        <f>IFERROR(__xludf.DUMMYFUNCTION("GOOGLETRANSLATE(B19,""en"",""ur"")"),"یہ گیم کس ملک سے تعلق کی وجہ سے مشہور ہے؟")</f>
        <v>یہ گیم کس ملک سے تعلق کی وجہ سے مشہور ہے؟</v>
      </c>
      <c r="M19" s="2" t="str">
        <f>IFERROR(__xludf.DUMMYFUNCTION("GOOGLETRANSLATE(C19,""en"",""ur"")"),"چین")</f>
        <v>چین</v>
      </c>
      <c r="N19" s="2" t="str">
        <f>IFERROR(__xludf.DUMMYFUNCTION("GOOGLETRANSLATE(D19,""en"",""ur"")"),"انڈیا")</f>
        <v>انڈیا</v>
      </c>
      <c r="O19" s="2" t="str">
        <f>IFERROR(__xludf.DUMMYFUNCTION("GOOGLETRANSLATE(E19,""en"",""ur"")"),"یورپ")</f>
        <v>یورپ</v>
      </c>
      <c r="P19" s="2" t="str">
        <f>IFERROR(__xludf.DUMMYFUNCTION("GOOGLETRANSLATE(F19,""en"",""ur"")"),"مصر")</f>
        <v>مصر</v>
      </c>
      <c r="Q19" s="2" t="s">
        <v>68</v>
      </c>
      <c r="R19" s="2" t="str">
        <f>IFERROR(__xludf.DUMMYFUNCTION("GOOGLETRANSLATE(G19,""en"",""ur"")"),"انڈیا")</f>
        <v>انڈیا</v>
      </c>
      <c r="S19" s="6" t="s">
        <v>74</v>
      </c>
    </row>
    <row r="20" ht="22.5" customHeight="1">
      <c r="A20" s="4">
        <v>19.0</v>
      </c>
      <c r="B20" s="5" t="s">
        <v>16</v>
      </c>
      <c r="C20" s="5" t="s">
        <v>58</v>
      </c>
      <c r="D20" s="5" t="s">
        <v>59</v>
      </c>
      <c r="E20" s="5" t="s">
        <v>60</v>
      </c>
      <c r="F20" s="5" t="s">
        <v>61</v>
      </c>
      <c r="G20" s="5" t="s">
        <v>58</v>
      </c>
      <c r="H20" s="5" t="s">
        <v>74</v>
      </c>
      <c r="K20" s="2" t="str">
        <f>IFERROR(__xludf.DUMMYFUNCTION("GOOGLETRANSLATE(A20,""en"",""ur"")"),"19")</f>
        <v>19</v>
      </c>
      <c r="L20" s="2" t="str">
        <f>IFERROR(__xludf.DUMMYFUNCTION("GOOGLETRANSLATE(B20,""en"",""ur"")"),"ٹکڑوں کے بارے میں ایک قابل ذکر تفصیل کیا ہے؟")</f>
        <v>ٹکڑوں کے بارے میں ایک قابل ذکر تفصیل کیا ہے؟</v>
      </c>
      <c r="M20" s="2" t="str">
        <f>IFERROR(__xludf.DUMMYFUNCTION("GOOGLETRANSLATE(C20,""en"",""ur"")"),"وہ سب ایک ہی قد کے ہیں۔")</f>
        <v>وہ سب ایک ہی قد کے ہیں۔</v>
      </c>
      <c r="N20" s="2" t="str">
        <f>IFERROR(__xludf.DUMMYFUNCTION("GOOGLETRANSLATE(D20,""en"",""ur"")"),"وہ سب ایک ہی رنگ کے ہیں۔")</f>
        <v>وہ سب ایک ہی رنگ کے ہیں۔</v>
      </c>
      <c r="O20" s="2" t="str">
        <f>IFERROR(__xludf.DUMMYFUNCTION("GOOGLETRANSLATE(E20,""en"",""ur"")"),"وہ رنگوں اور ڈیزائنوں کا مرکب ہیں۔")</f>
        <v>وہ رنگوں اور ڈیزائنوں کا مرکب ہیں۔</v>
      </c>
      <c r="P20" s="2" t="str">
        <f>IFERROR(__xludf.DUMMYFUNCTION("GOOGLETRANSLATE(F20,""en"",""ur"")"),"وہ سب وسیع نمونوں کے ساتھ زین پہنے ہوئے ہیں۔")</f>
        <v>وہ سب وسیع نمونوں کے ساتھ زین پہنے ہوئے ہیں۔</v>
      </c>
      <c r="Q20" s="2" t="s">
        <v>62</v>
      </c>
      <c r="R20" s="2" t="str">
        <f>IFERROR(__xludf.DUMMYFUNCTION("GOOGLETRANSLATE(G20,""en"",""ur"")"),"وہ سب ایک ہی قد کے ہیں۔")</f>
        <v>وہ سب ایک ہی قد کے ہیں۔</v>
      </c>
      <c r="S20" s="6" t="s">
        <v>74</v>
      </c>
    </row>
    <row r="21" ht="22.5" customHeight="1">
      <c r="A21" s="4">
        <v>20.0</v>
      </c>
      <c r="B21" s="5" t="s">
        <v>16</v>
      </c>
      <c r="C21" s="5" t="s">
        <v>59</v>
      </c>
      <c r="D21" s="5" t="s">
        <v>60</v>
      </c>
      <c r="E21" s="5" t="s">
        <v>20</v>
      </c>
      <c r="F21" s="5" t="s">
        <v>100</v>
      </c>
      <c r="G21" s="5" t="s">
        <v>20</v>
      </c>
      <c r="H21" s="5" t="s">
        <v>74</v>
      </c>
      <c r="K21" s="2" t="str">
        <f>IFERROR(__xludf.DUMMYFUNCTION("GOOGLETRANSLATE(A21,""en"",""ur"")"),"20")</f>
        <v>20</v>
      </c>
      <c r="L21" s="2" t="str">
        <f>IFERROR(__xludf.DUMMYFUNCTION("GOOGLETRANSLATE(B21,""en"",""ur"")"),"ٹکڑوں کے بارے میں ایک قابل ذکر تفصیل کیا ہے؟")</f>
        <v>ٹکڑوں کے بارے میں ایک قابل ذکر تفصیل کیا ہے؟</v>
      </c>
      <c r="M21" s="2" t="str">
        <f>IFERROR(__xludf.DUMMYFUNCTION("GOOGLETRANSLATE(C21,""en"",""ur"")"),"وہ سب ایک ہی رنگ کے ہیں۔")</f>
        <v>وہ سب ایک ہی رنگ کے ہیں۔</v>
      </c>
      <c r="N21" s="2" t="str">
        <f>IFERROR(__xludf.DUMMYFUNCTION("GOOGLETRANSLATE(D21,""en"",""ur"")"),"وہ رنگوں اور ڈیزائنوں کا مرکب ہیں۔")</f>
        <v>وہ رنگوں اور ڈیزائنوں کا مرکب ہیں۔</v>
      </c>
      <c r="O21" s="2" t="str">
        <f>IFERROR(__xludf.DUMMYFUNCTION("GOOGLETRANSLATE(E21,""en"",""ur"")"),"وہ سب سفید فام ہیں۔")</f>
        <v>وہ سب سفید فام ہیں۔</v>
      </c>
      <c r="P21" s="2" t="str">
        <f>IFERROR(__xludf.DUMMYFUNCTION("GOOGLETRANSLATE(F21,""en"",""ur"")"),"وہ سب کالے ہیں۔")</f>
        <v>وہ سب کالے ہیں۔</v>
      </c>
      <c r="Q21" s="2" t="s">
        <v>101</v>
      </c>
      <c r="R21" s="2" t="str">
        <f>IFERROR(__xludf.DUMMYFUNCTION("GOOGLETRANSLATE(G21,""en"",""ur"")"),"وہ سب سفید فام ہیں۔")</f>
        <v>وہ سب سفید فام ہیں۔</v>
      </c>
      <c r="S21" s="6" t="s">
        <v>74</v>
      </c>
    </row>
    <row r="22" ht="22.5" customHeight="1">
      <c r="A22" s="4">
        <v>21.0</v>
      </c>
      <c r="B22" s="5" t="s">
        <v>102</v>
      </c>
      <c r="C22" s="5" t="s">
        <v>103</v>
      </c>
      <c r="D22" s="5" t="s">
        <v>71</v>
      </c>
      <c r="E22" s="5" t="s">
        <v>70</v>
      </c>
      <c r="F22" s="5" t="s">
        <v>73</v>
      </c>
      <c r="G22" s="5" t="s">
        <v>70</v>
      </c>
      <c r="H22" s="5" t="s">
        <v>104</v>
      </c>
      <c r="K22" s="2" t="str">
        <f>IFERROR(__xludf.DUMMYFUNCTION("GOOGLETRANSLATE(A22,""en"",""ur"")"),"21")</f>
        <v>21</v>
      </c>
      <c r="L22" s="2" t="str">
        <f>IFERROR(__xludf.DUMMYFUNCTION("GOOGLETRANSLATE(B22,""en"",""ur"")"),"چتورنگا_3 میں دکھایا گیا اہم عمل کیا ہے؟")</f>
        <v>چتورنگا_3 میں دکھایا گیا اہم عمل کیا ہے؟</v>
      </c>
      <c r="M22" s="2" t="str">
        <f>IFERROR(__xludf.DUMMYFUNCTION("GOOGLETRANSLATE(C22,""en"",""ur"")"),"آرام سے گھوڑے کی سواری۔")</f>
        <v>آرام سے گھوڑے کی سواری۔</v>
      </c>
      <c r="N22" s="2" t="str">
        <f>IFERROR(__xludf.DUMMYFUNCTION("GOOGLETRANSLATE(D22,""en"",""ur"")"),"سواروں کا ایک گروپ جو مرکزی چیز کے لیے مقابلہ کر رہا ہے۔")</f>
        <v>سواروں کا ایک گروپ جو مرکزی چیز کے لیے مقابلہ کر رہا ہے۔</v>
      </c>
      <c r="O22" s="2" t="str">
        <f>IFERROR(__xludf.DUMMYFUNCTION("GOOGLETRANSLATE(E22,""en"",""ur"")"),"روایتی ٹکڑوں کے ساتھ ایک بساط")</f>
        <v>روایتی ٹکڑوں کے ساتھ ایک بساط</v>
      </c>
      <c r="P22" s="2" t="str">
        <f>IFERROR(__xludf.DUMMYFUNCTION("GOOGLETRANSLATE(F22,""en"",""ur"")"),"گھوڑوں کی دوڑ")</f>
        <v>گھوڑوں کی دوڑ</v>
      </c>
      <c r="Q22" s="2" t="s">
        <v>105</v>
      </c>
      <c r="R22" s="2" t="str">
        <f>IFERROR(__xludf.DUMMYFUNCTION("GOOGLETRANSLATE(G22,""en"",""ur"")"),"روایتی ٹکڑوں کے ساتھ ایک بساط")</f>
        <v>روایتی ٹکڑوں کے ساتھ ایک بساط</v>
      </c>
      <c r="S22" s="6" t="s">
        <v>104</v>
      </c>
    </row>
    <row r="23" ht="22.5" customHeight="1">
      <c r="A23" s="4">
        <v>22.0</v>
      </c>
      <c r="B23" s="5" t="s">
        <v>76</v>
      </c>
      <c r="C23" s="5" t="s">
        <v>77</v>
      </c>
      <c r="D23" s="5" t="s">
        <v>106</v>
      </c>
      <c r="E23" s="5" t="s">
        <v>79</v>
      </c>
      <c r="F23" s="5" t="s">
        <v>107</v>
      </c>
      <c r="G23" s="5" t="s">
        <v>77</v>
      </c>
      <c r="H23" s="5" t="s">
        <v>104</v>
      </c>
      <c r="K23" s="2" t="str">
        <f>IFERROR(__xludf.DUMMYFUNCTION("GOOGLETRANSLATE(A23,""en"",""ur"")"),"22")</f>
        <v>22</v>
      </c>
      <c r="L23" s="2" t="str">
        <f>IFERROR(__xludf.DUMMYFUNCTION("GOOGLETRANSLATE(B23,""en"",""ur"")"),"بورڈ اور ٹکڑوں کے بارے میں ایک قابل ذکر تفصیل کیا ہے؟")</f>
        <v>بورڈ اور ٹکڑوں کے بارے میں ایک قابل ذکر تفصیل کیا ہے؟</v>
      </c>
      <c r="M23" s="2" t="str">
        <f>IFERROR(__xludf.DUMMYFUNCTION("GOOGLETRANSLATE(C23,""en"",""ur"")"),"بورڈ لکڑی کا بنا ہوا ہے، اور ٹکڑوں کو روایتی انداز میں کندہ کیا گیا ہے۔")</f>
        <v>بورڈ لکڑی کا بنا ہوا ہے، اور ٹکڑوں کو روایتی انداز میں کندہ کیا گیا ہے۔</v>
      </c>
      <c r="N23" s="2" t="str">
        <f>IFERROR(__xludf.DUMMYFUNCTION("GOOGLETRANSLATE(D23,""en"",""ur"")"),"بورڈ پلاسٹک سے بنا ہے۔")</f>
        <v>بورڈ پلاسٹک سے بنا ہے۔</v>
      </c>
      <c r="O23" s="2" t="str">
        <f>IFERROR(__xludf.DUMMYFUNCTION("GOOGLETRANSLATE(E23,""en"",""ur"")"),"بورڈ ایک ٹھوس رنگ ہے")</f>
        <v>بورڈ ایک ٹھوس رنگ ہے</v>
      </c>
      <c r="P23" s="2" t="str">
        <f>IFERROR(__xludf.DUMMYFUNCTION("GOOGLETRANSLATE(F23,""en"",""ur"")"),"ٹکڑے تمام سفید ہیں۔")</f>
        <v>ٹکڑے تمام سفید ہیں۔</v>
      </c>
      <c r="Q23" s="2" t="s">
        <v>108</v>
      </c>
      <c r="R23" s="2" t="str">
        <f>IFERROR(__xludf.DUMMYFUNCTION("GOOGLETRANSLATE(G23,""en"",""ur"")"),"بورڈ لکڑی کا بنا ہوا ہے، اور ٹکڑوں کو روایتی انداز میں کندہ کیا گیا ہے۔")</f>
        <v>بورڈ لکڑی کا بنا ہوا ہے، اور ٹکڑوں کو روایتی انداز میں کندہ کیا گیا ہے۔</v>
      </c>
      <c r="S23" s="6" t="s">
        <v>104</v>
      </c>
    </row>
    <row r="24" ht="22.5" customHeight="1">
      <c r="A24" s="4">
        <v>23.0</v>
      </c>
      <c r="B24" s="5" t="s">
        <v>81</v>
      </c>
      <c r="C24" s="5" t="s">
        <v>17</v>
      </c>
      <c r="D24" s="5" t="s">
        <v>18</v>
      </c>
      <c r="E24" s="5" t="s">
        <v>19</v>
      </c>
      <c r="F24" s="5" t="s">
        <v>20</v>
      </c>
      <c r="G24" s="5" t="s">
        <v>20</v>
      </c>
      <c r="H24" s="5" t="s">
        <v>104</v>
      </c>
      <c r="K24" s="2" t="str">
        <f>IFERROR(__xludf.DUMMYFUNCTION("GOOGLETRANSLATE(A24,""en"",""ur"")"),"23")</f>
        <v>23</v>
      </c>
      <c r="L24" s="2" t="str">
        <f>IFERROR(__xludf.DUMMYFUNCTION("GOOGLETRANSLATE(B24,""en"",""ur"")"),"ٹکڑوں کے ڈیزائن کے بارے میں واضح تفصیل کیا ہے؟")</f>
        <v>ٹکڑوں کے ڈیزائن کے بارے میں واضح تفصیل کیا ہے؟</v>
      </c>
      <c r="M24" s="2" t="str">
        <f>IFERROR(__xludf.DUMMYFUNCTION("GOOGLETRANSLATE(C24,""en"",""ur"")"),"وہ سب ایک جیسے ہیں۔")</f>
        <v>وہ سب ایک جیسے ہیں۔</v>
      </c>
      <c r="N24" s="2" t="str">
        <f>IFERROR(__xludf.DUMMYFUNCTION("GOOGLETRANSLATE(D24,""en"",""ur"")"),"وہ ایک تاریخی فوج کی نمائندگی کرنے والی انتہائی اسٹائلائزڈ شخصیات ہیں۔")</f>
        <v>وہ ایک تاریخی فوج کی نمائندگی کرنے والی انتہائی اسٹائلائزڈ شخصیات ہیں۔</v>
      </c>
      <c r="O24" s="2" t="str">
        <f>IFERROR(__xludf.DUMMYFUNCTION("GOOGLETRANSLATE(E24,""en"",""ur"")"),"وہ پلاسٹک سے بنے ہیں۔")</f>
        <v>وہ پلاسٹک سے بنے ہیں۔</v>
      </c>
      <c r="P24" s="2" t="str">
        <f>IFERROR(__xludf.DUMMYFUNCTION("GOOGLETRANSLATE(F24,""en"",""ur"")"),"وہ سب سفید فام ہیں۔")</f>
        <v>وہ سب سفید فام ہیں۔</v>
      </c>
      <c r="Q24" s="2" t="s">
        <v>21</v>
      </c>
      <c r="R24" s="2" t="str">
        <f>IFERROR(__xludf.DUMMYFUNCTION("GOOGLETRANSLATE(G24,""en"",""ur"")"),"وہ سب سفید فام ہیں۔")</f>
        <v>وہ سب سفید فام ہیں۔</v>
      </c>
      <c r="S24" s="6" t="s">
        <v>104</v>
      </c>
    </row>
    <row r="25" ht="22.5" customHeight="1">
      <c r="A25" s="4">
        <v>24.0</v>
      </c>
      <c r="B25" s="5" t="s">
        <v>82</v>
      </c>
      <c r="C25" s="5" t="s">
        <v>83</v>
      </c>
      <c r="D25" s="5" t="s">
        <v>84</v>
      </c>
      <c r="E25" s="5" t="s">
        <v>85</v>
      </c>
      <c r="F25" s="5" t="s">
        <v>86</v>
      </c>
      <c r="G25" s="5" t="s">
        <v>86</v>
      </c>
      <c r="H25" s="5" t="s">
        <v>104</v>
      </c>
      <c r="K25" s="2" t="str">
        <f>IFERROR(__xludf.DUMMYFUNCTION("GOOGLETRANSLATE(A25,""en"",""ur"")"),"24")</f>
        <v>24</v>
      </c>
      <c r="L25" s="2" t="str">
        <f>IFERROR(__xludf.DUMMYFUNCTION("GOOGLETRANSLATE(B25,""en"",""ur"")"),"اس گیم کی ظاہری ترتیب کیا ہے؟")</f>
        <v>اس گیم کی ظاہری ترتیب کیا ہے؟</v>
      </c>
      <c r="M25" s="2" t="str">
        <f>IFERROR(__xludf.DUMMYFUNCTION("GOOGLETRANSLATE(C25,""en"",""ur"")"),"یہ ایک بڑے اسٹیڈیم پر ہے۔")</f>
        <v>یہ ایک بڑے اسٹیڈیم پر ہے۔</v>
      </c>
      <c r="N25" s="2" t="str">
        <f>IFERROR(__xludf.DUMMYFUNCTION("GOOGLETRANSLATE(D25,""en"",""ur"")"),"یہ پہاڑی، پتھریلی علاقے میں ایک میدان میں ہے۔")</f>
        <v>یہ پہاڑی، پتھریلی علاقے میں ایک میدان میں ہے۔</v>
      </c>
      <c r="O25" s="2" t="str">
        <f>IFERROR(__xludf.DUMMYFUNCTION("GOOGLETRANSLATE(E25,""en"",""ur"")"),"یہ شہر کی سڑک پر ہے۔")</f>
        <v>یہ شہر کی سڑک پر ہے۔</v>
      </c>
      <c r="P25" s="2" t="str">
        <f>IFERROR(__xludf.DUMMYFUNCTION("GOOGLETRANSLATE(F25,""en"",""ur"")"),"یہ لکڑی کی میز پر ہے۔")</f>
        <v>یہ لکڑی کی میز پر ہے۔</v>
      </c>
      <c r="Q25" s="2" t="s">
        <v>87</v>
      </c>
      <c r="R25" s="2" t="str">
        <f>IFERROR(__xludf.DUMMYFUNCTION("GOOGLETRANSLATE(G25,""en"",""ur"")"),"یہ لکڑی کی میز پر ہے۔")</f>
        <v>یہ لکڑی کی میز پر ہے۔</v>
      </c>
      <c r="S25" s="6" t="s">
        <v>104</v>
      </c>
    </row>
    <row r="26" ht="22.5" customHeight="1">
      <c r="A26" s="4">
        <v>25.0</v>
      </c>
      <c r="B26" s="5" t="s">
        <v>46</v>
      </c>
      <c r="C26" s="5" t="s">
        <v>47</v>
      </c>
      <c r="D26" s="5" t="s">
        <v>48</v>
      </c>
      <c r="E26" s="5" t="s">
        <v>49</v>
      </c>
      <c r="F26" s="5" t="s">
        <v>50</v>
      </c>
      <c r="G26" s="5" t="s">
        <v>49</v>
      </c>
      <c r="H26" s="5" t="s">
        <v>104</v>
      </c>
      <c r="K26" s="2" t="str">
        <f>IFERROR(__xludf.DUMMYFUNCTION("GOOGLETRANSLATE(A26,""en"",""ur"")"),"25")</f>
        <v>25</v>
      </c>
      <c r="L26" s="2" t="str">
        <f>IFERROR(__xludf.DUMMYFUNCTION("GOOGLETRANSLATE(B26,""en"",""ur"")"),"کھلاڑیوں کے چہروں سے ظاہری جذبات کیا ہیں؟")</f>
        <v>کھلاڑیوں کے چہروں سے ظاہری جذبات کیا ہیں؟</v>
      </c>
      <c r="M26" s="2" t="str">
        <f>IFERROR(__xludf.DUMMYFUNCTION("GOOGLETRANSLATE(C26,""en"",""ur"")"),"پرسکون اور پر سکون")</f>
        <v>پرسکون اور پر سکون</v>
      </c>
      <c r="N26" s="2" t="str">
        <f>IFERROR(__xludf.DUMMYFUNCTION("GOOGLETRANSLATE(D26,""en"",""ur"")"),"خوف زدہ اور بے چین")</f>
        <v>خوف زدہ اور بے چین</v>
      </c>
      <c r="O26" s="2" t="str">
        <f>IFERROR(__xludf.DUMMYFUNCTION("GOOGLETRANSLATE(E26,""en"",""ur"")"),"کشیدہ اور شدید")</f>
        <v>کشیدہ اور شدید</v>
      </c>
      <c r="P26" s="2" t="str">
        <f>IFERROR(__xludf.DUMMYFUNCTION("GOOGLETRANSLATE(F26,""en"",""ur"")"),"خوش اور مسکراتے ہوئے۔")</f>
        <v>خوش اور مسکراتے ہوئے۔</v>
      </c>
      <c r="Q26" s="2" t="s">
        <v>51</v>
      </c>
      <c r="R26" s="2" t="str">
        <f>IFERROR(__xludf.DUMMYFUNCTION("GOOGLETRANSLATE(G26,""en"",""ur"")"),"کشیدہ اور شدید")</f>
        <v>کشیدہ اور شدید</v>
      </c>
      <c r="S26" s="6" t="s">
        <v>104</v>
      </c>
    </row>
    <row r="27" ht="22.5" customHeight="1">
      <c r="A27" s="4">
        <v>26.0</v>
      </c>
      <c r="B27" s="5" t="s">
        <v>88</v>
      </c>
      <c r="C27" s="5" t="s">
        <v>89</v>
      </c>
      <c r="D27" s="5" t="s">
        <v>90</v>
      </c>
      <c r="E27" s="5" t="s">
        <v>91</v>
      </c>
      <c r="F27" s="5" t="s">
        <v>92</v>
      </c>
      <c r="G27" s="5" t="s">
        <v>92</v>
      </c>
      <c r="H27" s="5" t="s">
        <v>104</v>
      </c>
      <c r="K27" s="2" t="str">
        <f>IFERROR(__xludf.DUMMYFUNCTION("GOOGLETRANSLATE(A27,""en"",""ur"")"),"26")</f>
        <v>26</v>
      </c>
      <c r="L27" s="2" t="str">
        <f>IFERROR(__xludf.DUMMYFUNCTION("GOOGLETRANSLATE(B27,""en"",""ur"")"),"زمین کی سب سے نمایاں خصوصیت کیا ہے؟")</f>
        <v>زمین کی سب سے نمایاں خصوصیت کیا ہے؟</v>
      </c>
      <c r="M27" s="2" t="str">
        <f>IFERROR(__xludf.DUMMYFUNCTION("GOOGLETRANSLATE(C27,""en"",""ur"")"),"ایک پکی سطح")</f>
        <v>ایک پکی سطح</v>
      </c>
      <c r="N27" s="2" t="str">
        <f>IFERROR(__xludf.DUMMYFUNCTION("GOOGLETRANSLATE(D27,""en"",""ur"")"),"کیچڑ والا میدان")</f>
        <v>کیچڑ والا میدان</v>
      </c>
      <c r="O27" s="2" t="str">
        <f>IFERROR(__xludf.DUMMYFUNCTION("GOOGLETRANSLATE(E27,""en"",""ur"")"),"ایک گھاس دار سطح")</f>
        <v>ایک گھاس دار سطح</v>
      </c>
      <c r="P27" s="2" t="str">
        <f>IFERROR(__xludf.DUMMYFUNCTION("GOOGLETRANSLATE(F27,""en"",""ur"")"),"لکڑی کی میز")</f>
        <v>لکڑی کی میز</v>
      </c>
      <c r="Q27" s="2" t="s">
        <v>93</v>
      </c>
      <c r="R27" s="2" t="str">
        <f>IFERROR(__xludf.DUMMYFUNCTION("GOOGLETRANSLATE(G27,""en"",""ur"")"),"لکڑی کی میز")</f>
        <v>لکڑی کی میز</v>
      </c>
      <c r="S27" s="6" t="s">
        <v>104</v>
      </c>
    </row>
    <row r="28" ht="22.5" customHeight="1">
      <c r="A28" s="4">
        <v>27.0</v>
      </c>
      <c r="B28" s="5" t="s">
        <v>94</v>
      </c>
      <c r="C28" s="5" t="s">
        <v>95</v>
      </c>
      <c r="D28" s="5" t="s">
        <v>96</v>
      </c>
      <c r="E28" s="5" t="s">
        <v>97</v>
      </c>
      <c r="F28" s="5" t="s">
        <v>31</v>
      </c>
      <c r="G28" s="5" t="s">
        <v>31</v>
      </c>
      <c r="H28" s="5" t="s">
        <v>104</v>
      </c>
      <c r="K28" s="2" t="str">
        <f>IFERROR(__xludf.DUMMYFUNCTION("GOOGLETRANSLATE(A28,""en"",""ur"")"),"27")</f>
        <v>27</v>
      </c>
      <c r="L28" s="2" t="str">
        <f>IFERROR(__xludf.DUMMYFUNCTION("GOOGLETRANSLATE(B28,""en"",""ur"")"),"کھیلے جانے والے کھیل کا نام کیا ہے؟")</f>
        <v>کھیلے جانے والے کھیل کا نام کیا ہے؟</v>
      </c>
      <c r="M28" s="2" t="str">
        <f>IFERROR(__xludf.DUMMYFUNCTION("GOOGLETRANSLATE(C28,""en"",""ur"")"),"پولو")</f>
        <v>پولو</v>
      </c>
      <c r="N28" s="2" t="str">
        <f>IFERROR(__xludf.DUMMYFUNCTION("GOOGLETRANSLATE(D28,""en"",""ur"")"),"گھوڑوں کی دوڑ")</f>
        <v>گھوڑوں کی دوڑ</v>
      </c>
      <c r="O28" s="2" t="str">
        <f>IFERROR(__xludf.DUMMYFUNCTION("GOOGLETRANSLATE(E28,""en"",""ur"")"),"بزکشی۔")</f>
        <v>بزکشی۔</v>
      </c>
      <c r="P28" s="2" t="str">
        <f>IFERROR(__xludf.DUMMYFUNCTION("GOOGLETRANSLATE(F28,""en"",""ur"")"),"چتورنگا")</f>
        <v>چتورنگا</v>
      </c>
      <c r="Q28" s="2" t="s">
        <v>98</v>
      </c>
      <c r="R28" s="2" t="str">
        <f>IFERROR(__xludf.DUMMYFUNCTION("GOOGLETRANSLATE(G28,""en"",""ur"")"),"چتورنگا")</f>
        <v>چتورنگا</v>
      </c>
      <c r="S28" s="6" t="s">
        <v>104</v>
      </c>
    </row>
    <row r="29" ht="22.5" customHeight="1">
      <c r="A29" s="4">
        <v>28.0</v>
      </c>
      <c r="B29" s="5" t="s">
        <v>99</v>
      </c>
      <c r="C29" s="5" t="s">
        <v>64</v>
      </c>
      <c r="D29" s="5" t="s">
        <v>65</v>
      </c>
      <c r="E29" s="5" t="s">
        <v>66</v>
      </c>
      <c r="F29" s="5" t="s">
        <v>67</v>
      </c>
      <c r="G29" s="5" t="s">
        <v>65</v>
      </c>
      <c r="H29" s="5" t="s">
        <v>104</v>
      </c>
      <c r="K29" s="2" t="str">
        <f>IFERROR(__xludf.DUMMYFUNCTION("GOOGLETRANSLATE(A29,""en"",""ur"")"),"28")</f>
        <v>28</v>
      </c>
      <c r="L29" s="2" t="str">
        <f>IFERROR(__xludf.DUMMYFUNCTION("GOOGLETRANSLATE(B29,""en"",""ur"")"),"یہ گیم کس ملک سے تعلق کی وجہ سے مشہور ہے؟")</f>
        <v>یہ گیم کس ملک سے تعلق کی وجہ سے مشہور ہے؟</v>
      </c>
      <c r="M29" s="2" t="str">
        <f>IFERROR(__xludf.DUMMYFUNCTION("GOOGLETRANSLATE(C29,""en"",""ur"")"),"چین")</f>
        <v>چین</v>
      </c>
      <c r="N29" s="2" t="str">
        <f>IFERROR(__xludf.DUMMYFUNCTION("GOOGLETRANSLATE(D29,""en"",""ur"")"),"انڈیا")</f>
        <v>انڈیا</v>
      </c>
      <c r="O29" s="2" t="str">
        <f>IFERROR(__xludf.DUMMYFUNCTION("GOOGLETRANSLATE(E29,""en"",""ur"")"),"یورپ")</f>
        <v>یورپ</v>
      </c>
      <c r="P29" s="2" t="str">
        <f>IFERROR(__xludf.DUMMYFUNCTION("GOOGLETRANSLATE(F29,""en"",""ur"")"),"مصر")</f>
        <v>مصر</v>
      </c>
      <c r="Q29" s="2" t="s">
        <v>68</v>
      </c>
      <c r="R29" s="2" t="str">
        <f>IFERROR(__xludf.DUMMYFUNCTION("GOOGLETRANSLATE(G29,""en"",""ur"")"),"انڈیا")</f>
        <v>انڈیا</v>
      </c>
      <c r="S29" s="6" t="s">
        <v>104</v>
      </c>
    </row>
    <row r="30" ht="22.5" customHeight="1">
      <c r="A30" s="4">
        <v>29.0</v>
      </c>
      <c r="B30" s="5" t="s">
        <v>16</v>
      </c>
      <c r="C30" s="5" t="s">
        <v>58</v>
      </c>
      <c r="D30" s="5" t="s">
        <v>59</v>
      </c>
      <c r="E30" s="5" t="s">
        <v>60</v>
      </c>
      <c r="F30" s="5" t="s">
        <v>61</v>
      </c>
      <c r="G30" s="5" t="s">
        <v>60</v>
      </c>
      <c r="H30" s="5" t="s">
        <v>104</v>
      </c>
      <c r="K30" s="2" t="str">
        <f>IFERROR(__xludf.DUMMYFUNCTION("GOOGLETRANSLATE(A30,""en"",""ur"")"),"29")</f>
        <v>29</v>
      </c>
      <c r="L30" s="2" t="str">
        <f>IFERROR(__xludf.DUMMYFUNCTION("GOOGLETRANSLATE(B30,""en"",""ur"")"),"ٹکڑوں کے بارے میں ایک قابل ذکر تفصیل کیا ہے؟")</f>
        <v>ٹکڑوں کے بارے میں ایک قابل ذکر تفصیل کیا ہے؟</v>
      </c>
      <c r="M30" s="2" t="str">
        <f>IFERROR(__xludf.DUMMYFUNCTION("GOOGLETRANSLATE(C30,""en"",""ur"")"),"وہ سب ایک ہی قد کے ہیں۔")</f>
        <v>وہ سب ایک ہی قد کے ہیں۔</v>
      </c>
      <c r="N30" s="2" t="str">
        <f>IFERROR(__xludf.DUMMYFUNCTION("GOOGLETRANSLATE(D30,""en"",""ur"")"),"وہ سب ایک ہی رنگ کے ہیں۔")</f>
        <v>وہ سب ایک ہی رنگ کے ہیں۔</v>
      </c>
      <c r="O30" s="2" t="str">
        <f>IFERROR(__xludf.DUMMYFUNCTION("GOOGLETRANSLATE(E30,""en"",""ur"")"),"وہ رنگوں اور ڈیزائنوں کا مرکب ہیں۔")</f>
        <v>وہ رنگوں اور ڈیزائنوں کا مرکب ہیں۔</v>
      </c>
      <c r="P30" s="2" t="str">
        <f>IFERROR(__xludf.DUMMYFUNCTION("GOOGLETRANSLATE(F30,""en"",""ur"")"),"وہ سب وسیع نمونوں کے ساتھ زین پہنے ہوئے ہیں۔")</f>
        <v>وہ سب وسیع نمونوں کے ساتھ زین پہنے ہوئے ہیں۔</v>
      </c>
      <c r="Q30" s="2" t="s">
        <v>62</v>
      </c>
      <c r="R30" s="2" t="str">
        <f>IFERROR(__xludf.DUMMYFUNCTION("GOOGLETRANSLATE(G30,""en"",""ur"")"),"وہ رنگوں اور ڈیزائنوں کا مرکب ہیں۔")</f>
        <v>وہ رنگوں اور ڈیزائنوں کا مرکب ہیں۔</v>
      </c>
      <c r="S30" s="6" t="s">
        <v>104</v>
      </c>
    </row>
    <row r="31" ht="22.5" customHeight="1">
      <c r="A31" s="4">
        <v>30.0</v>
      </c>
      <c r="B31" s="5" t="s">
        <v>16</v>
      </c>
      <c r="C31" s="5" t="s">
        <v>59</v>
      </c>
      <c r="D31" s="5" t="s">
        <v>60</v>
      </c>
      <c r="E31" s="5" t="s">
        <v>20</v>
      </c>
      <c r="F31" s="5" t="s">
        <v>100</v>
      </c>
      <c r="G31" s="5" t="s">
        <v>60</v>
      </c>
      <c r="H31" s="5" t="s">
        <v>104</v>
      </c>
      <c r="K31" s="2" t="str">
        <f>IFERROR(__xludf.DUMMYFUNCTION("GOOGLETRANSLATE(A31,""en"",""ur"")"),"30")</f>
        <v>30</v>
      </c>
      <c r="L31" s="2" t="str">
        <f>IFERROR(__xludf.DUMMYFUNCTION("GOOGLETRANSLATE(B31,""en"",""ur"")"),"ٹکڑوں کے بارے میں ایک قابل ذکر تفصیل کیا ہے؟")</f>
        <v>ٹکڑوں کے بارے میں ایک قابل ذکر تفصیل کیا ہے؟</v>
      </c>
      <c r="M31" s="2" t="str">
        <f>IFERROR(__xludf.DUMMYFUNCTION("GOOGLETRANSLATE(C31,""en"",""ur"")"),"وہ سب ایک ہی رنگ کے ہیں۔")</f>
        <v>وہ سب ایک ہی رنگ کے ہیں۔</v>
      </c>
      <c r="N31" s="2" t="str">
        <f>IFERROR(__xludf.DUMMYFUNCTION("GOOGLETRANSLATE(D31,""en"",""ur"")"),"وہ رنگوں اور ڈیزائنوں کا مرکب ہیں۔")</f>
        <v>وہ رنگوں اور ڈیزائنوں کا مرکب ہیں۔</v>
      </c>
      <c r="O31" s="2" t="str">
        <f>IFERROR(__xludf.DUMMYFUNCTION("GOOGLETRANSLATE(E31,""en"",""ur"")"),"وہ سب سفید فام ہیں۔")</f>
        <v>وہ سب سفید فام ہیں۔</v>
      </c>
      <c r="P31" s="2" t="str">
        <f>IFERROR(__xludf.DUMMYFUNCTION("GOOGLETRANSLATE(F31,""en"",""ur"")"),"وہ سب کالے ہیں۔")</f>
        <v>وہ سب کالے ہیں۔</v>
      </c>
      <c r="Q31" s="2" t="s">
        <v>101</v>
      </c>
      <c r="R31" s="2" t="str">
        <f>IFERROR(__xludf.DUMMYFUNCTION("GOOGLETRANSLATE(G31,""en"",""ur"")"),"وہ رنگوں اور ڈیزائنوں کا مرکب ہیں۔")</f>
        <v>وہ رنگوں اور ڈیزائنوں کا مرکب ہیں۔</v>
      </c>
      <c r="S31" s="6" t="s">
        <v>104</v>
      </c>
    </row>
    <row r="32" ht="22.5" customHeight="1">
      <c r="A32" s="4">
        <v>31.0</v>
      </c>
      <c r="B32" s="5" t="s">
        <v>109</v>
      </c>
      <c r="C32" s="5" t="s">
        <v>103</v>
      </c>
      <c r="D32" s="5" t="s">
        <v>71</v>
      </c>
      <c r="E32" s="5" t="s">
        <v>70</v>
      </c>
      <c r="F32" s="5" t="s">
        <v>73</v>
      </c>
      <c r="G32" s="5" t="s">
        <v>70</v>
      </c>
      <c r="H32" s="5" t="s">
        <v>110</v>
      </c>
      <c r="K32" s="2" t="str">
        <f>IFERROR(__xludf.DUMMYFUNCTION("GOOGLETRANSLATE(A32,""en"",""ur"")"),"31")</f>
        <v>31</v>
      </c>
      <c r="L32" s="2" t="str">
        <f>IFERROR(__xludf.DUMMYFUNCTION("GOOGLETRANSLATE(B32,""en"",""ur"")"),"چتورنگا_4 میں دکھایا گیا اہم عمل کیا ہے؟")</f>
        <v>چتورنگا_4 میں دکھایا گیا اہم عمل کیا ہے؟</v>
      </c>
      <c r="M32" s="2" t="str">
        <f>IFERROR(__xludf.DUMMYFUNCTION("GOOGLETRANSLATE(C32,""en"",""ur"")"),"آرام سے گھوڑے کی سواری۔")</f>
        <v>آرام سے گھوڑے کی سواری۔</v>
      </c>
      <c r="N32" s="2" t="str">
        <f>IFERROR(__xludf.DUMMYFUNCTION("GOOGLETRANSLATE(D32,""en"",""ur"")"),"سواروں کا ایک گروپ جو مرکزی چیز کے لیے مقابلہ کر رہا ہے۔")</f>
        <v>سواروں کا ایک گروپ جو مرکزی چیز کے لیے مقابلہ کر رہا ہے۔</v>
      </c>
      <c r="O32" s="2" t="str">
        <f>IFERROR(__xludf.DUMMYFUNCTION("GOOGLETRANSLATE(E32,""en"",""ur"")"),"روایتی ٹکڑوں کے ساتھ ایک بساط")</f>
        <v>روایتی ٹکڑوں کے ساتھ ایک بساط</v>
      </c>
      <c r="P32" s="2" t="str">
        <f>IFERROR(__xludf.DUMMYFUNCTION("GOOGLETRANSLATE(F32,""en"",""ur"")"),"گھوڑوں کی دوڑ")</f>
        <v>گھوڑوں کی دوڑ</v>
      </c>
      <c r="Q32" s="2" t="s">
        <v>105</v>
      </c>
      <c r="R32" s="2" t="str">
        <f>IFERROR(__xludf.DUMMYFUNCTION("GOOGLETRANSLATE(G32,""en"",""ur"")"),"روایتی ٹکڑوں کے ساتھ ایک بساط")</f>
        <v>روایتی ٹکڑوں کے ساتھ ایک بساط</v>
      </c>
      <c r="S32" s="6" t="s">
        <v>110</v>
      </c>
    </row>
    <row r="33" ht="22.5" customHeight="1">
      <c r="A33" s="4">
        <v>32.0</v>
      </c>
      <c r="B33" s="5" t="s">
        <v>76</v>
      </c>
      <c r="C33" s="5" t="s">
        <v>77</v>
      </c>
      <c r="D33" s="5" t="s">
        <v>111</v>
      </c>
      <c r="E33" s="5" t="s">
        <v>79</v>
      </c>
      <c r="F33" s="5" t="s">
        <v>107</v>
      </c>
      <c r="G33" s="5" t="s">
        <v>111</v>
      </c>
      <c r="H33" s="5" t="s">
        <v>110</v>
      </c>
      <c r="K33" s="2" t="str">
        <f>IFERROR(__xludf.DUMMYFUNCTION("GOOGLETRANSLATE(A33,""en"",""ur"")"),"32")</f>
        <v>32</v>
      </c>
      <c r="L33" s="2" t="str">
        <f>IFERROR(__xludf.DUMMYFUNCTION("GOOGLETRANSLATE(B33,""en"",""ur"")"),"بورڈ اور ٹکڑوں کے بارے میں ایک قابل ذکر تفصیل کیا ہے؟")</f>
        <v>بورڈ اور ٹکڑوں کے بارے میں ایک قابل ذکر تفصیل کیا ہے؟</v>
      </c>
      <c r="M33" s="2" t="str">
        <f>IFERROR(__xludf.DUMMYFUNCTION("GOOGLETRANSLATE(C33,""en"",""ur"")"),"بورڈ لکڑی کا بنا ہوا ہے، اور ٹکڑوں کو روایتی انداز میں کندہ کیا گیا ہے۔")</f>
        <v>بورڈ لکڑی کا بنا ہوا ہے، اور ٹکڑوں کو روایتی انداز میں کندہ کیا گیا ہے۔</v>
      </c>
      <c r="N33" s="2" t="str">
        <f>IFERROR(__xludf.DUMMYFUNCTION("GOOGLETRANSLATE(D33,""en"",""ur"")"),"بورڈ ایک چیکر کپڑے سے بنا ہے، اور ٹکڑوں کو روایتی انداز میں کندہ کیا گیا ہے۔")</f>
        <v>بورڈ ایک چیکر کپڑے سے بنا ہے، اور ٹکڑوں کو روایتی انداز میں کندہ کیا گیا ہے۔</v>
      </c>
      <c r="O33" s="2" t="str">
        <f>IFERROR(__xludf.DUMMYFUNCTION("GOOGLETRANSLATE(E33,""en"",""ur"")"),"بورڈ ایک ٹھوس رنگ ہے")</f>
        <v>بورڈ ایک ٹھوس رنگ ہے</v>
      </c>
      <c r="P33" s="2" t="str">
        <f>IFERROR(__xludf.DUMMYFUNCTION("GOOGLETRANSLATE(F33,""en"",""ur"")"),"ٹکڑے تمام سفید ہیں۔")</f>
        <v>ٹکڑے تمام سفید ہیں۔</v>
      </c>
      <c r="Q33" s="2" t="s">
        <v>112</v>
      </c>
      <c r="R33" s="2" t="str">
        <f>IFERROR(__xludf.DUMMYFUNCTION("GOOGLETRANSLATE(G33,""en"",""ur"")"),"بورڈ ایک چیکر کپڑے سے بنا ہے، اور ٹکڑوں کو روایتی انداز میں کندہ کیا گیا ہے۔")</f>
        <v>بورڈ ایک چیکر کپڑے سے بنا ہے، اور ٹکڑوں کو روایتی انداز میں کندہ کیا گیا ہے۔</v>
      </c>
      <c r="S33" s="6" t="s">
        <v>110</v>
      </c>
    </row>
    <row r="34" ht="22.5" customHeight="1">
      <c r="A34" s="4">
        <v>33.0</v>
      </c>
      <c r="B34" s="5" t="s">
        <v>81</v>
      </c>
      <c r="C34" s="5" t="s">
        <v>17</v>
      </c>
      <c r="D34" s="5" t="s">
        <v>18</v>
      </c>
      <c r="E34" s="5" t="s">
        <v>19</v>
      </c>
      <c r="F34" s="5" t="s">
        <v>20</v>
      </c>
      <c r="G34" s="5" t="s">
        <v>18</v>
      </c>
      <c r="H34" s="5" t="s">
        <v>110</v>
      </c>
      <c r="K34" s="2" t="str">
        <f>IFERROR(__xludf.DUMMYFUNCTION("GOOGLETRANSLATE(A34,""en"",""ur"")"),"33")</f>
        <v>33</v>
      </c>
      <c r="L34" s="2" t="str">
        <f>IFERROR(__xludf.DUMMYFUNCTION("GOOGLETRANSLATE(B34,""en"",""ur"")"),"ٹکڑوں کے ڈیزائن کے بارے میں واضح تفصیل کیا ہے؟")</f>
        <v>ٹکڑوں کے ڈیزائن کے بارے میں واضح تفصیل کیا ہے؟</v>
      </c>
      <c r="M34" s="2" t="str">
        <f>IFERROR(__xludf.DUMMYFUNCTION("GOOGLETRANSLATE(C34,""en"",""ur"")"),"وہ سب ایک جیسے ہیں۔")</f>
        <v>وہ سب ایک جیسے ہیں۔</v>
      </c>
      <c r="N34" s="2" t="str">
        <f>IFERROR(__xludf.DUMMYFUNCTION("GOOGLETRANSLATE(D34,""en"",""ur"")"),"وہ ایک تاریخی فوج کی نمائندگی کرنے والی انتہائی اسٹائلائزڈ شخصیات ہیں۔")</f>
        <v>وہ ایک تاریخی فوج کی نمائندگی کرنے والی انتہائی اسٹائلائزڈ شخصیات ہیں۔</v>
      </c>
      <c r="O34" s="2" t="str">
        <f>IFERROR(__xludf.DUMMYFUNCTION("GOOGLETRANSLATE(E34,""en"",""ur"")"),"وہ پلاسٹک سے بنے ہیں۔")</f>
        <v>وہ پلاسٹک سے بنے ہیں۔</v>
      </c>
      <c r="P34" s="2" t="str">
        <f>IFERROR(__xludf.DUMMYFUNCTION("GOOGLETRANSLATE(F34,""en"",""ur"")"),"وہ سب سفید فام ہیں۔")</f>
        <v>وہ سب سفید فام ہیں۔</v>
      </c>
      <c r="Q34" s="2" t="s">
        <v>21</v>
      </c>
      <c r="R34" s="2" t="str">
        <f>IFERROR(__xludf.DUMMYFUNCTION("GOOGLETRANSLATE(G34,""en"",""ur"")"),"وہ ایک تاریخی فوج کی نمائندگی کرنے والی انتہائی اسٹائلائزڈ شخصیات ہیں۔")</f>
        <v>وہ ایک تاریخی فوج کی نمائندگی کرنے والی انتہائی اسٹائلائزڈ شخصیات ہیں۔</v>
      </c>
      <c r="S34" s="6" t="s">
        <v>110</v>
      </c>
    </row>
    <row r="35" ht="22.5" customHeight="1">
      <c r="A35" s="4">
        <v>34.0</v>
      </c>
      <c r="B35" s="5" t="s">
        <v>82</v>
      </c>
      <c r="C35" s="5" t="s">
        <v>83</v>
      </c>
      <c r="D35" s="5" t="s">
        <v>84</v>
      </c>
      <c r="E35" s="5" t="s">
        <v>85</v>
      </c>
      <c r="F35" s="5" t="s">
        <v>113</v>
      </c>
      <c r="G35" s="5" t="s">
        <v>113</v>
      </c>
      <c r="H35" s="5" t="s">
        <v>110</v>
      </c>
      <c r="K35" s="2" t="str">
        <f>IFERROR(__xludf.DUMMYFUNCTION("GOOGLETRANSLATE(A35,""en"",""ur"")"),"34")</f>
        <v>34</v>
      </c>
      <c r="L35" s="2" t="str">
        <f>IFERROR(__xludf.DUMMYFUNCTION("GOOGLETRANSLATE(B35,""en"",""ur"")"),"اس گیم کی ظاہری ترتیب کیا ہے؟")</f>
        <v>اس گیم کی ظاہری ترتیب کیا ہے؟</v>
      </c>
      <c r="M35" s="2" t="str">
        <f>IFERROR(__xludf.DUMMYFUNCTION("GOOGLETRANSLATE(C35,""en"",""ur"")"),"یہ ایک بڑے اسٹیڈیم پر ہے۔")</f>
        <v>یہ ایک بڑے اسٹیڈیم پر ہے۔</v>
      </c>
      <c r="N35" s="2" t="str">
        <f>IFERROR(__xludf.DUMMYFUNCTION("GOOGLETRANSLATE(D35,""en"",""ur"")"),"یہ پہاڑی، پتھریلی علاقے میں ایک میدان میں ہے۔")</f>
        <v>یہ پہاڑی، پتھریلی علاقے میں ایک میدان میں ہے۔</v>
      </c>
      <c r="O35" s="2" t="str">
        <f>IFERROR(__xludf.DUMMYFUNCTION("GOOGLETRANSLATE(E35,""en"",""ur"")"),"یہ شہر کی سڑک پر ہے۔")</f>
        <v>یہ شہر کی سڑک پر ہے۔</v>
      </c>
      <c r="P35" s="2" t="str">
        <f>IFERROR(__xludf.DUMMYFUNCTION("GOOGLETRANSLATE(F35,""en"",""ur"")"),"یہ ایک میز پر ہے۔")</f>
        <v>یہ ایک میز پر ہے۔</v>
      </c>
      <c r="Q35" s="2" t="s">
        <v>114</v>
      </c>
      <c r="R35" s="2" t="str">
        <f>IFERROR(__xludf.DUMMYFUNCTION("GOOGLETRANSLATE(G35,""en"",""ur"")"),"یہ ایک میز پر ہے۔")</f>
        <v>یہ ایک میز پر ہے۔</v>
      </c>
      <c r="S35" s="6" t="s">
        <v>110</v>
      </c>
    </row>
    <row r="36" ht="22.5" customHeight="1">
      <c r="A36" s="4">
        <v>35.0</v>
      </c>
      <c r="B36" s="5" t="s">
        <v>46</v>
      </c>
      <c r="C36" s="5" t="s">
        <v>47</v>
      </c>
      <c r="D36" s="5" t="s">
        <v>48</v>
      </c>
      <c r="E36" s="5" t="s">
        <v>49</v>
      </c>
      <c r="F36" s="5" t="s">
        <v>50</v>
      </c>
      <c r="G36" s="5" t="s">
        <v>49</v>
      </c>
      <c r="H36" s="5" t="s">
        <v>110</v>
      </c>
      <c r="K36" s="2" t="str">
        <f>IFERROR(__xludf.DUMMYFUNCTION("GOOGLETRANSLATE(A36,""en"",""ur"")"),"35")</f>
        <v>35</v>
      </c>
      <c r="L36" s="2" t="str">
        <f>IFERROR(__xludf.DUMMYFUNCTION("GOOGLETRANSLATE(B36,""en"",""ur"")"),"کھلاڑیوں کے چہروں سے ظاہری جذبات کیا ہیں؟")</f>
        <v>کھلاڑیوں کے چہروں سے ظاہری جذبات کیا ہیں؟</v>
      </c>
      <c r="M36" s="2" t="str">
        <f>IFERROR(__xludf.DUMMYFUNCTION("GOOGLETRANSLATE(C36,""en"",""ur"")"),"پرسکون اور پر سکون")</f>
        <v>پرسکون اور پر سکون</v>
      </c>
      <c r="N36" s="2" t="str">
        <f>IFERROR(__xludf.DUMMYFUNCTION("GOOGLETRANSLATE(D36,""en"",""ur"")"),"خوف زدہ اور بے چین")</f>
        <v>خوف زدہ اور بے چین</v>
      </c>
      <c r="O36" s="2" t="str">
        <f>IFERROR(__xludf.DUMMYFUNCTION("GOOGLETRANSLATE(E36,""en"",""ur"")"),"کشیدہ اور شدید")</f>
        <v>کشیدہ اور شدید</v>
      </c>
      <c r="P36" s="2" t="str">
        <f>IFERROR(__xludf.DUMMYFUNCTION("GOOGLETRANSLATE(F36,""en"",""ur"")"),"خوش اور مسکراتے ہوئے۔")</f>
        <v>خوش اور مسکراتے ہوئے۔</v>
      </c>
      <c r="Q36" s="2" t="s">
        <v>51</v>
      </c>
      <c r="R36" s="2" t="str">
        <f>IFERROR(__xludf.DUMMYFUNCTION("GOOGLETRANSLATE(G36,""en"",""ur"")"),"کشیدہ اور شدید")</f>
        <v>کشیدہ اور شدید</v>
      </c>
      <c r="S36" s="6" t="s">
        <v>110</v>
      </c>
    </row>
    <row r="37" ht="22.5" customHeight="1">
      <c r="A37" s="4">
        <v>36.0</v>
      </c>
      <c r="B37" s="5" t="s">
        <v>88</v>
      </c>
      <c r="C37" s="5" t="s">
        <v>89</v>
      </c>
      <c r="D37" s="5" t="s">
        <v>90</v>
      </c>
      <c r="E37" s="5" t="s">
        <v>91</v>
      </c>
      <c r="F37" s="5" t="s">
        <v>92</v>
      </c>
      <c r="G37" s="5" t="s">
        <v>92</v>
      </c>
      <c r="H37" s="5" t="s">
        <v>110</v>
      </c>
      <c r="K37" s="2" t="str">
        <f>IFERROR(__xludf.DUMMYFUNCTION("GOOGLETRANSLATE(A37,""en"",""ur"")"),"36")</f>
        <v>36</v>
      </c>
      <c r="L37" s="2" t="str">
        <f>IFERROR(__xludf.DUMMYFUNCTION("GOOGLETRANSLATE(B37,""en"",""ur"")"),"زمین کی سب سے نمایاں خصوصیت کیا ہے؟")</f>
        <v>زمین کی سب سے نمایاں خصوصیت کیا ہے؟</v>
      </c>
      <c r="M37" s="2" t="str">
        <f>IFERROR(__xludf.DUMMYFUNCTION("GOOGLETRANSLATE(C37,""en"",""ur"")"),"ایک پکی سطح")</f>
        <v>ایک پکی سطح</v>
      </c>
      <c r="N37" s="2" t="str">
        <f>IFERROR(__xludf.DUMMYFUNCTION("GOOGLETRANSLATE(D37,""en"",""ur"")"),"کیچڑ والا میدان")</f>
        <v>کیچڑ والا میدان</v>
      </c>
      <c r="O37" s="2" t="str">
        <f>IFERROR(__xludf.DUMMYFUNCTION("GOOGLETRANSLATE(E37,""en"",""ur"")"),"ایک گھاس دار سطح")</f>
        <v>ایک گھاس دار سطح</v>
      </c>
      <c r="P37" s="2" t="str">
        <f>IFERROR(__xludf.DUMMYFUNCTION("GOOGLETRANSLATE(F37,""en"",""ur"")"),"لکڑی کی میز")</f>
        <v>لکڑی کی میز</v>
      </c>
      <c r="Q37" s="2" t="s">
        <v>93</v>
      </c>
      <c r="R37" s="2" t="str">
        <f>IFERROR(__xludf.DUMMYFUNCTION("GOOGLETRANSLATE(G37,""en"",""ur"")"),"لکڑی کی میز")</f>
        <v>لکڑی کی میز</v>
      </c>
      <c r="S37" s="6" t="s">
        <v>110</v>
      </c>
    </row>
    <row r="38" ht="22.5" customHeight="1">
      <c r="A38" s="4">
        <v>37.0</v>
      </c>
      <c r="B38" s="5" t="s">
        <v>94</v>
      </c>
      <c r="C38" s="5" t="s">
        <v>95</v>
      </c>
      <c r="D38" s="5" t="s">
        <v>96</v>
      </c>
      <c r="E38" s="5" t="s">
        <v>97</v>
      </c>
      <c r="F38" s="5" t="s">
        <v>31</v>
      </c>
      <c r="G38" s="5" t="s">
        <v>31</v>
      </c>
      <c r="H38" s="5" t="s">
        <v>110</v>
      </c>
      <c r="K38" s="2" t="str">
        <f>IFERROR(__xludf.DUMMYFUNCTION("GOOGLETRANSLATE(A38,""en"",""ur"")"),"37")</f>
        <v>37</v>
      </c>
      <c r="L38" s="2" t="str">
        <f>IFERROR(__xludf.DUMMYFUNCTION("GOOGLETRANSLATE(B38,""en"",""ur"")"),"کھیلے جانے والے کھیل کا نام کیا ہے؟")</f>
        <v>کھیلے جانے والے کھیل کا نام کیا ہے؟</v>
      </c>
      <c r="M38" s="2" t="str">
        <f>IFERROR(__xludf.DUMMYFUNCTION("GOOGLETRANSLATE(C38,""en"",""ur"")"),"پولو")</f>
        <v>پولو</v>
      </c>
      <c r="N38" s="2" t="str">
        <f>IFERROR(__xludf.DUMMYFUNCTION("GOOGLETRANSLATE(D38,""en"",""ur"")"),"گھوڑوں کی دوڑ")</f>
        <v>گھوڑوں کی دوڑ</v>
      </c>
      <c r="O38" s="2" t="str">
        <f>IFERROR(__xludf.DUMMYFUNCTION("GOOGLETRANSLATE(E38,""en"",""ur"")"),"بزکشی۔")</f>
        <v>بزکشی۔</v>
      </c>
      <c r="P38" s="2" t="str">
        <f>IFERROR(__xludf.DUMMYFUNCTION("GOOGLETRANSLATE(F38,""en"",""ur"")"),"چتورنگا")</f>
        <v>چتورنگا</v>
      </c>
      <c r="Q38" s="2" t="s">
        <v>98</v>
      </c>
      <c r="R38" s="2" t="str">
        <f>IFERROR(__xludf.DUMMYFUNCTION("GOOGLETRANSLATE(G38,""en"",""ur"")"),"چتورنگا")</f>
        <v>چتورنگا</v>
      </c>
      <c r="S38" s="6" t="s">
        <v>110</v>
      </c>
    </row>
    <row r="39" ht="22.5" customHeight="1">
      <c r="A39" s="4">
        <v>38.0</v>
      </c>
      <c r="B39" s="5" t="s">
        <v>99</v>
      </c>
      <c r="C39" s="5" t="s">
        <v>64</v>
      </c>
      <c r="D39" s="5" t="s">
        <v>65</v>
      </c>
      <c r="E39" s="5" t="s">
        <v>66</v>
      </c>
      <c r="F39" s="5" t="s">
        <v>67</v>
      </c>
      <c r="G39" s="5" t="s">
        <v>65</v>
      </c>
      <c r="H39" s="5" t="s">
        <v>110</v>
      </c>
      <c r="K39" s="2" t="str">
        <f>IFERROR(__xludf.DUMMYFUNCTION("GOOGLETRANSLATE(A39,""en"",""ur"")"),"38")</f>
        <v>38</v>
      </c>
      <c r="L39" s="2" t="str">
        <f>IFERROR(__xludf.DUMMYFUNCTION("GOOGLETRANSLATE(B39,""en"",""ur"")"),"یہ گیم کس ملک سے تعلق کی وجہ سے مشہور ہے؟")</f>
        <v>یہ گیم کس ملک سے تعلق کی وجہ سے مشہور ہے؟</v>
      </c>
      <c r="M39" s="2" t="str">
        <f>IFERROR(__xludf.DUMMYFUNCTION("GOOGLETRANSLATE(C39,""en"",""ur"")"),"چین")</f>
        <v>چین</v>
      </c>
      <c r="N39" s="2" t="str">
        <f>IFERROR(__xludf.DUMMYFUNCTION("GOOGLETRANSLATE(D39,""en"",""ur"")"),"انڈیا")</f>
        <v>انڈیا</v>
      </c>
      <c r="O39" s="2" t="str">
        <f>IFERROR(__xludf.DUMMYFUNCTION("GOOGLETRANSLATE(E39,""en"",""ur"")"),"یورپ")</f>
        <v>یورپ</v>
      </c>
      <c r="P39" s="2" t="str">
        <f>IFERROR(__xludf.DUMMYFUNCTION("GOOGLETRANSLATE(F39,""en"",""ur"")"),"مصر")</f>
        <v>مصر</v>
      </c>
      <c r="Q39" s="2" t="s">
        <v>68</v>
      </c>
      <c r="R39" s="2" t="str">
        <f>IFERROR(__xludf.DUMMYFUNCTION("GOOGLETRANSLATE(G39,""en"",""ur"")"),"انڈیا")</f>
        <v>انڈیا</v>
      </c>
      <c r="S39" s="6" t="s">
        <v>110</v>
      </c>
    </row>
    <row r="40" ht="22.5" customHeight="1">
      <c r="A40" s="4">
        <v>39.0</v>
      </c>
      <c r="B40" s="5" t="s">
        <v>16</v>
      </c>
      <c r="C40" s="5" t="s">
        <v>58</v>
      </c>
      <c r="D40" s="5" t="s">
        <v>59</v>
      </c>
      <c r="E40" s="5" t="s">
        <v>60</v>
      </c>
      <c r="F40" s="5" t="s">
        <v>61</v>
      </c>
      <c r="G40" s="5" t="s">
        <v>60</v>
      </c>
      <c r="H40" s="5" t="s">
        <v>110</v>
      </c>
      <c r="K40" s="2" t="str">
        <f>IFERROR(__xludf.DUMMYFUNCTION("GOOGLETRANSLATE(A40,""en"",""ur"")"),"39")</f>
        <v>39</v>
      </c>
      <c r="L40" s="2" t="str">
        <f>IFERROR(__xludf.DUMMYFUNCTION("GOOGLETRANSLATE(B40,""en"",""ur"")"),"ٹکڑوں کے بارے میں ایک قابل ذکر تفصیل کیا ہے؟")</f>
        <v>ٹکڑوں کے بارے میں ایک قابل ذکر تفصیل کیا ہے؟</v>
      </c>
      <c r="M40" s="2" t="str">
        <f>IFERROR(__xludf.DUMMYFUNCTION("GOOGLETRANSLATE(C40,""en"",""ur"")"),"وہ سب ایک ہی قد کے ہیں۔")</f>
        <v>وہ سب ایک ہی قد کے ہیں۔</v>
      </c>
      <c r="N40" s="2" t="str">
        <f>IFERROR(__xludf.DUMMYFUNCTION("GOOGLETRANSLATE(D40,""en"",""ur"")"),"وہ سب ایک ہی رنگ کے ہیں۔")</f>
        <v>وہ سب ایک ہی رنگ کے ہیں۔</v>
      </c>
      <c r="O40" s="2" t="str">
        <f>IFERROR(__xludf.DUMMYFUNCTION("GOOGLETRANSLATE(E40,""en"",""ur"")"),"وہ رنگوں اور ڈیزائنوں کا مرکب ہیں۔")</f>
        <v>وہ رنگوں اور ڈیزائنوں کا مرکب ہیں۔</v>
      </c>
      <c r="P40" s="2" t="str">
        <f>IFERROR(__xludf.DUMMYFUNCTION("GOOGLETRANSLATE(F40,""en"",""ur"")"),"وہ سب وسیع نمونوں کے ساتھ زین پہنے ہوئے ہیں۔")</f>
        <v>وہ سب وسیع نمونوں کے ساتھ زین پہنے ہوئے ہیں۔</v>
      </c>
      <c r="Q40" s="2" t="s">
        <v>62</v>
      </c>
      <c r="R40" s="2" t="str">
        <f>IFERROR(__xludf.DUMMYFUNCTION("GOOGLETRANSLATE(G40,""en"",""ur"")"),"وہ رنگوں اور ڈیزائنوں کا مرکب ہیں۔")</f>
        <v>وہ رنگوں اور ڈیزائنوں کا مرکب ہیں۔</v>
      </c>
      <c r="S40" s="6" t="s">
        <v>110</v>
      </c>
    </row>
    <row r="41" ht="22.5" customHeight="1">
      <c r="A41" s="4">
        <v>40.0</v>
      </c>
      <c r="B41" s="5" t="s">
        <v>16</v>
      </c>
      <c r="C41" s="5" t="s">
        <v>59</v>
      </c>
      <c r="D41" s="5" t="s">
        <v>60</v>
      </c>
      <c r="E41" s="5" t="s">
        <v>20</v>
      </c>
      <c r="F41" s="5" t="s">
        <v>100</v>
      </c>
      <c r="G41" s="5" t="s">
        <v>60</v>
      </c>
      <c r="H41" s="5" t="s">
        <v>110</v>
      </c>
      <c r="K41" s="2" t="str">
        <f>IFERROR(__xludf.DUMMYFUNCTION("GOOGLETRANSLATE(A41,""en"",""ur"")"),"40")</f>
        <v>40</v>
      </c>
      <c r="L41" s="2" t="str">
        <f>IFERROR(__xludf.DUMMYFUNCTION("GOOGLETRANSLATE(B41,""en"",""ur"")"),"ٹکڑوں کے بارے میں ایک قابل ذکر تفصیل کیا ہے؟")</f>
        <v>ٹکڑوں کے بارے میں ایک قابل ذکر تفصیل کیا ہے؟</v>
      </c>
      <c r="M41" s="2" t="str">
        <f>IFERROR(__xludf.DUMMYFUNCTION("GOOGLETRANSLATE(C41,""en"",""ur"")"),"وہ سب ایک ہی رنگ کے ہیں۔")</f>
        <v>وہ سب ایک ہی رنگ کے ہیں۔</v>
      </c>
      <c r="N41" s="2" t="str">
        <f>IFERROR(__xludf.DUMMYFUNCTION("GOOGLETRANSLATE(D41,""en"",""ur"")"),"وہ رنگوں اور ڈیزائنوں کا مرکب ہیں۔")</f>
        <v>وہ رنگوں اور ڈیزائنوں کا مرکب ہیں۔</v>
      </c>
      <c r="O41" s="2" t="str">
        <f>IFERROR(__xludf.DUMMYFUNCTION("GOOGLETRANSLATE(E41,""en"",""ur"")"),"وہ سب سفید فام ہیں۔")</f>
        <v>وہ سب سفید فام ہیں۔</v>
      </c>
      <c r="P41" s="2" t="str">
        <f>IFERROR(__xludf.DUMMYFUNCTION("GOOGLETRANSLATE(F41,""en"",""ur"")"),"وہ سب کالے ہیں۔")</f>
        <v>وہ سب کالے ہیں۔</v>
      </c>
      <c r="Q41" s="2" t="s">
        <v>101</v>
      </c>
      <c r="R41" s="2" t="str">
        <f>IFERROR(__xludf.DUMMYFUNCTION("GOOGLETRANSLATE(G41,""en"",""ur"")"),"وہ رنگوں اور ڈیزائنوں کا مرکب ہیں۔")</f>
        <v>وہ رنگوں اور ڈیزائنوں کا مرکب ہیں۔</v>
      </c>
      <c r="S41" s="6" t="s">
        <v>110</v>
      </c>
    </row>
    <row r="42" ht="22.5" customHeight="1">
      <c r="A42" s="4">
        <v>41.0</v>
      </c>
      <c r="B42" s="5" t="s">
        <v>115</v>
      </c>
      <c r="C42" s="5" t="s">
        <v>103</v>
      </c>
      <c r="D42" s="5" t="s">
        <v>71</v>
      </c>
      <c r="E42" s="5" t="s">
        <v>70</v>
      </c>
      <c r="F42" s="5" t="s">
        <v>73</v>
      </c>
      <c r="G42" s="5" t="s">
        <v>70</v>
      </c>
      <c r="H42" s="5" t="s">
        <v>116</v>
      </c>
      <c r="K42" s="2" t="str">
        <f>IFERROR(__xludf.DUMMYFUNCTION("GOOGLETRANSLATE(A42,""en"",""ur"")"),"41")</f>
        <v>41</v>
      </c>
      <c r="L42" s="2" t="str">
        <f>IFERROR(__xludf.DUMMYFUNCTION("GOOGLETRANSLATE(B42,""en"",""ur"")"),"چترنگا_5 میں دکھایا گیا اہم عمل کیا ہے؟")</f>
        <v>چترنگا_5 میں دکھایا گیا اہم عمل کیا ہے؟</v>
      </c>
      <c r="M42" s="2" t="str">
        <f>IFERROR(__xludf.DUMMYFUNCTION("GOOGLETRANSLATE(C42,""en"",""ur"")"),"آرام سے گھوڑے کی سواری۔")</f>
        <v>آرام سے گھوڑے کی سواری۔</v>
      </c>
      <c r="N42" s="2" t="str">
        <f>IFERROR(__xludf.DUMMYFUNCTION("GOOGLETRANSLATE(D42,""en"",""ur"")"),"سواروں کا ایک گروپ جو مرکزی چیز کے لیے مقابلہ کر رہا ہے۔")</f>
        <v>سواروں کا ایک گروپ جو مرکزی چیز کے لیے مقابلہ کر رہا ہے۔</v>
      </c>
      <c r="O42" s="2" t="str">
        <f>IFERROR(__xludf.DUMMYFUNCTION("GOOGLETRANSLATE(E42,""en"",""ur"")"),"روایتی ٹکڑوں کے ساتھ ایک بساط")</f>
        <v>روایتی ٹکڑوں کے ساتھ ایک بساط</v>
      </c>
      <c r="P42" s="2" t="str">
        <f>IFERROR(__xludf.DUMMYFUNCTION("GOOGLETRANSLATE(F42,""en"",""ur"")"),"گھوڑوں کی دوڑ")</f>
        <v>گھوڑوں کی دوڑ</v>
      </c>
      <c r="Q42" s="2" t="s">
        <v>105</v>
      </c>
      <c r="R42" s="2" t="str">
        <f>IFERROR(__xludf.DUMMYFUNCTION("GOOGLETRANSLATE(G42,""en"",""ur"")"),"روایتی ٹکڑوں کے ساتھ ایک بساط")</f>
        <v>روایتی ٹکڑوں کے ساتھ ایک بساط</v>
      </c>
      <c r="S42" s="6" t="s">
        <v>116</v>
      </c>
    </row>
    <row r="43" ht="22.5" customHeight="1">
      <c r="A43" s="4">
        <v>42.0</v>
      </c>
      <c r="B43" s="5" t="s">
        <v>76</v>
      </c>
      <c r="C43" s="5" t="s">
        <v>77</v>
      </c>
      <c r="D43" s="5" t="s">
        <v>111</v>
      </c>
      <c r="E43" s="5" t="s">
        <v>79</v>
      </c>
      <c r="F43" s="5" t="s">
        <v>107</v>
      </c>
      <c r="G43" s="5" t="s">
        <v>111</v>
      </c>
      <c r="H43" s="5" t="s">
        <v>116</v>
      </c>
      <c r="K43" s="2" t="str">
        <f>IFERROR(__xludf.DUMMYFUNCTION("GOOGLETRANSLATE(A43,""en"",""ur"")"),"42")</f>
        <v>42</v>
      </c>
      <c r="L43" s="2" t="str">
        <f>IFERROR(__xludf.DUMMYFUNCTION("GOOGLETRANSLATE(B43,""en"",""ur"")"),"بورڈ اور ٹکڑوں کے بارے میں ایک قابل ذکر تفصیل کیا ہے؟")</f>
        <v>بورڈ اور ٹکڑوں کے بارے میں ایک قابل ذکر تفصیل کیا ہے؟</v>
      </c>
      <c r="M43" s="2" t="str">
        <f>IFERROR(__xludf.DUMMYFUNCTION("GOOGLETRANSLATE(C43,""en"",""ur"")"),"بورڈ لکڑی کا بنا ہوا ہے، اور ٹکڑوں کو روایتی انداز میں کندہ کیا گیا ہے۔")</f>
        <v>بورڈ لکڑی کا بنا ہوا ہے، اور ٹکڑوں کو روایتی انداز میں کندہ کیا گیا ہے۔</v>
      </c>
      <c r="N43" s="2" t="str">
        <f>IFERROR(__xludf.DUMMYFUNCTION("GOOGLETRANSLATE(D43,""en"",""ur"")"),"بورڈ ایک چیکر کپڑے سے بنا ہے، اور ٹکڑوں کو روایتی انداز میں کندہ کیا گیا ہے۔")</f>
        <v>بورڈ ایک چیکر کپڑے سے بنا ہے، اور ٹکڑوں کو روایتی انداز میں کندہ کیا گیا ہے۔</v>
      </c>
      <c r="O43" s="2" t="str">
        <f>IFERROR(__xludf.DUMMYFUNCTION("GOOGLETRANSLATE(E43,""en"",""ur"")"),"بورڈ ایک ٹھوس رنگ ہے")</f>
        <v>بورڈ ایک ٹھوس رنگ ہے</v>
      </c>
      <c r="P43" s="2" t="str">
        <f>IFERROR(__xludf.DUMMYFUNCTION("GOOGLETRANSLATE(F43,""en"",""ur"")"),"ٹکڑے تمام سفید ہیں۔")</f>
        <v>ٹکڑے تمام سفید ہیں۔</v>
      </c>
      <c r="Q43" s="2" t="s">
        <v>112</v>
      </c>
      <c r="R43" s="2" t="str">
        <f>IFERROR(__xludf.DUMMYFUNCTION("GOOGLETRANSLATE(G43,""en"",""ur"")"),"بورڈ ایک چیکر کپڑے سے بنا ہے، اور ٹکڑوں کو روایتی انداز میں کندہ کیا گیا ہے۔")</f>
        <v>بورڈ ایک چیکر کپڑے سے بنا ہے، اور ٹکڑوں کو روایتی انداز میں کندہ کیا گیا ہے۔</v>
      </c>
      <c r="S43" s="6" t="s">
        <v>116</v>
      </c>
    </row>
    <row r="44" ht="22.5" customHeight="1">
      <c r="A44" s="4">
        <v>43.0</v>
      </c>
      <c r="B44" s="5" t="s">
        <v>81</v>
      </c>
      <c r="C44" s="5" t="s">
        <v>17</v>
      </c>
      <c r="D44" s="5" t="s">
        <v>18</v>
      </c>
      <c r="E44" s="5" t="s">
        <v>19</v>
      </c>
      <c r="F44" s="5" t="s">
        <v>20</v>
      </c>
      <c r="G44" s="5" t="s">
        <v>18</v>
      </c>
      <c r="H44" s="5" t="s">
        <v>116</v>
      </c>
      <c r="K44" s="2" t="str">
        <f>IFERROR(__xludf.DUMMYFUNCTION("GOOGLETRANSLATE(A44,""en"",""ur"")"),"43")</f>
        <v>43</v>
      </c>
      <c r="L44" s="2" t="str">
        <f>IFERROR(__xludf.DUMMYFUNCTION("GOOGLETRANSLATE(B44,""en"",""ur"")"),"ٹکڑوں کے ڈیزائن کے بارے میں واضح تفصیل کیا ہے؟")</f>
        <v>ٹکڑوں کے ڈیزائن کے بارے میں واضح تفصیل کیا ہے؟</v>
      </c>
      <c r="M44" s="2" t="str">
        <f>IFERROR(__xludf.DUMMYFUNCTION("GOOGLETRANSLATE(C44,""en"",""ur"")"),"وہ سب ایک جیسے ہیں۔")</f>
        <v>وہ سب ایک جیسے ہیں۔</v>
      </c>
      <c r="N44" s="2" t="str">
        <f>IFERROR(__xludf.DUMMYFUNCTION("GOOGLETRANSLATE(D44,""en"",""ur"")"),"وہ ایک تاریخی فوج کی نمائندگی کرنے والی انتہائی اسٹائلائزڈ شخصیات ہیں۔")</f>
        <v>وہ ایک تاریخی فوج کی نمائندگی کرنے والی انتہائی اسٹائلائزڈ شخصیات ہیں۔</v>
      </c>
      <c r="O44" s="2" t="str">
        <f>IFERROR(__xludf.DUMMYFUNCTION("GOOGLETRANSLATE(E44,""en"",""ur"")"),"وہ پلاسٹک سے بنے ہیں۔")</f>
        <v>وہ پلاسٹک سے بنے ہیں۔</v>
      </c>
      <c r="P44" s="2" t="str">
        <f>IFERROR(__xludf.DUMMYFUNCTION("GOOGLETRANSLATE(F44,""en"",""ur"")"),"وہ سب سفید فام ہیں۔")</f>
        <v>وہ سب سفید فام ہیں۔</v>
      </c>
      <c r="Q44" s="2" t="s">
        <v>21</v>
      </c>
      <c r="R44" s="2" t="str">
        <f>IFERROR(__xludf.DUMMYFUNCTION("GOOGLETRANSLATE(G44,""en"",""ur"")"),"وہ ایک تاریخی فوج کی نمائندگی کرنے والی انتہائی اسٹائلائزڈ شخصیات ہیں۔")</f>
        <v>وہ ایک تاریخی فوج کی نمائندگی کرنے والی انتہائی اسٹائلائزڈ شخصیات ہیں۔</v>
      </c>
      <c r="S44" s="6" t="s">
        <v>116</v>
      </c>
    </row>
    <row r="45" ht="22.5" customHeight="1">
      <c r="A45" s="4">
        <v>44.0</v>
      </c>
      <c r="B45" s="5" t="s">
        <v>82</v>
      </c>
      <c r="C45" s="5" t="s">
        <v>83</v>
      </c>
      <c r="D45" s="5" t="s">
        <v>84</v>
      </c>
      <c r="E45" s="5" t="s">
        <v>85</v>
      </c>
      <c r="F45" s="5" t="s">
        <v>113</v>
      </c>
      <c r="G45" s="5" t="s">
        <v>113</v>
      </c>
      <c r="H45" s="5" t="s">
        <v>116</v>
      </c>
      <c r="K45" s="2" t="str">
        <f>IFERROR(__xludf.DUMMYFUNCTION("GOOGLETRANSLATE(A45,""en"",""ur"")"),"44")</f>
        <v>44</v>
      </c>
      <c r="L45" s="2" t="str">
        <f>IFERROR(__xludf.DUMMYFUNCTION("GOOGLETRANSLATE(B45,""en"",""ur"")"),"اس گیم کی ظاہری ترتیب کیا ہے؟")</f>
        <v>اس گیم کی ظاہری ترتیب کیا ہے؟</v>
      </c>
      <c r="M45" s="2" t="str">
        <f>IFERROR(__xludf.DUMMYFUNCTION("GOOGLETRANSLATE(C45,""en"",""ur"")"),"یہ ایک بڑے اسٹیڈیم پر ہے۔")</f>
        <v>یہ ایک بڑے اسٹیڈیم پر ہے۔</v>
      </c>
      <c r="N45" s="2" t="str">
        <f>IFERROR(__xludf.DUMMYFUNCTION("GOOGLETRANSLATE(D45,""en"",""ur"")"),"یہ پہاڑی، پتھریلی علاقے میں ایک میدان میں ہے۔")</f>
        <v>یہ پہاڑی، پتھریلی علاقے میں ایک میدان میں ہے۔</v>
      </c>
      <c r="O45" s="2" t="str">
        <f>IFERROR(__xludf.DUMMYFUNCTION("GOOGLETRANSLATE(E45,""en"",""ur"")"),"یہ شہر کی سڑک پر ہے۔")</f>
        <v>یہ شہر کی سڑک پر ہے۔</v>
      </c>
      <c r="P45" s="2" t="str">
        <f>IFERROR(__xludf.DUMMYFUNCTION("GOOGLETRANSLATE(F45,""en"",""ur"")"),"یہ ایک میز پر ہے۔")</f>
        <v>یہ ایک میز پر ہے۔</v>
      </c>
      <c r="Q45" s="2" t="s">
        <v>114</v>
      </c>
      <c r="R45" s="2" t="str">
        <f>IFERROR(__xludf.DUMMYFUNCTION("GOOGLETRANSLATE(G45,""en"",""ur"")"),"یہ ایک میز پر ہے۔")</f>
        <v>یہ ایک میز پر ہے۔</v>
      </c>
      <c r="S45" s="6" t="s">
        <v>116</v>
      </c>
    </row>
    <row r="46" ht="22.5" customHeight="1">
      <c r="A46" s="4">
        <v>45.0</v>
      </c>
      <c r="B46" s="5" t="s">
        <v>46</v>
      </c>
      <c r="C46" s="5" t="s">
        <v>47</v>
      </c>
      <c r="D46" s="5" t="s">
        <v>48</v>
      </c>
      <c r="E46" s="5" t="s">
        <v>49</v>
      </c>
      <c r="F46" s="5" t="s">
        <v>50</v>
      </c>
      <c r="G46" s="5" t="s">
        <v>49</v>
      </c>
      <c r="H46" s="5" t="s">
        <v>116</v>
      </c>
      <c r="K46" s="2" t="str">
        <f>IFERROR(__xludf.DUMMYFUNCTION("GOOGLETRANSLATE(A46,""en"",""ur"")"),"45")</f>
        <v>45</v>
      </c>
      <c r="L46" s="2" t="str">
        <f>IFERROR(__xludf.DUMMYFUNCTION("GOOGLETRANSLATE(B46,""en"",""ur"")"),"کھلاڑیوں کے چہروں سے ظاہری جذبات کیا ہیں؟")</f>
        <v>کھلاڑیوں کے چہروں سے ظاہری جذبات کیا ہیں؟</v>
      </c>
      <c r="M46" s="2" t="str">
        <f>IFERROR(__xludf.DUMMYFUNCTION("GOOGLETRANSLATE(C46,""en"",""ur"")"),"پرسکون اور پر سکون")</f>
        <v>پرسکون اور پر سکون</v>
      </c>
      <c r="N46" s="2" t="str">
        <f>IFERROR(__xludf.DUMMYFUNCTION("GOOGLETRANSLATE(D46,""en"",""ur"")"),"خوف زدہ اور بے چین")</f>
        <v>خوف زدہ اور بے چین</v>
      </c>
      <c r="O46" s="2" t="str">
        <f>IFERROR(__xludf.DUMMYFUNCTION("GOOGLETRANSLATE(E46,""en"",""ur"")"),"کشیدہ اور شدید")</f>
        <v>کشیدہ اور شدید</v>
      </c>
      <c r="P46" s="2" t="str">
        <f>IFERROR(__xludf.DUMMYFUNCTION("GOOGLETRANSLATE(F46,""en"",""ur"")"),"خوش اور مسکراتے ہوئے۔")</f>
        <v>خوش اور مسکراتے ہوئے۔</v>
      </c>
      <c r="Q46" s="2" t="s">
        <v>51</v>
      </c>
      <c r="R46" s="2" t="str">
        <f>IFERROR(__xludf.DUMMYFUNCTION("GOOGLETRANSLATE(G46,""en"",""ur"")"),"کشیدہ اور شدید")</f>
        <v>کشیدہ اور شدید</v>
      </c>
      <c r="S46" s="6" t="s">
        <v>116</v>
      </c>
    </row>
    <row r="47" ht="22.5" customHeight="1">
      <c r="A47" s="4">
        <v>46.0</v>
      </c>
      <c r="B47" s="5" t="s">
        <v>88</v>
      </c>
      <c r="C47" s="5" t="s">
        <v>89</v>
      </c>
      <c r="D47" s="5" t="s">
        <v>90</v>
      </c>
      <c r="E47" s="5" t="s">
        <v>91</v>
      </c>
      <c r="F47" s="5" t="s">
        <v>92</v>
      </c>
      <c r="G47" s="5" t="s">
        <v>92</v>
      </c>
      <c r="H47" s="5" t="s">
        <v>116</v>
      </c>
      <c r="K47" s="2" t="str">
        <f>IFERROR(__xludf.DUMMYFUNCTION("GOOGLETRANSLATE(A47,""en"",""ur"")"),"46")</f>
        <v>46</v>
      </c>
      <c r="L47" s="2" t="str">
        <f>IFERROR(__xludf.DUMMYFUNCTION("GOOGLETRANSLATE(B47,""en"",""ur"")"),"زمین کی سب سے نمایاں خصوصیت کیا ہے؟")</f>
        <v>زمین کی سب سے نمایاں خصوصیت کیا ہے؟</v>
      </c>
      <c r="M47" s="2" t="str">
        <f>IFERROR(__xludf.DUMMYFUNCTION("GOOGLETRANSLATE(C47,""en"",""ur"")"),"ایک پکی سطح")</f>
        <v>ایک پکی سطح</v>
      </c>
      <c r="N47" s="2" t="str">
        <f>IFERROR(__xludf.DUMMYFUNCTION("GOOGLETRANSLATE(D47,""en"",""ur"")"),"کیچڑ والا میدان")</f>
        <v>کیچڑ والا میدان</v>
      </c>
      <c r="O47" s="2" t="str">
        <f>IFERROR(__xludf.DUMMYFUNCTION("GOOGLETRANSLATE(E47,""en"",""ur"")"),"ایک گھاس دار سطح")</f>
        <v>ایک گھاس دار سطح</v>
      </c>
      <c r="P47" s="2" t="str">
        <f>IFERROR(__xludf.DUMMYFUNCTION("GOOGLETRANSLATE(F47,""en"",""ur"")"),"لکڑی کی میز")</f>
        <v>لکڑی کی میز</v>
      </c>
      <c r="Q47" s="2" t="s">
        <v>93</v>
      </c>
      <c r="R47" s="2" t="str">
        <f>IFERROR(__xludf.DUMMYFUNCTION("GOOGLETRANSLATE(G47,""en"",""ur"")"),"لکڑی کی میز")</f>
        <v>لکڑی کی میز</v>
      </c>
      <c r="S47" s="6" t="s">
        <v>116</v>
      </c>
    </row>
    <row r="48" ht="22.5" customHeight="1">
      <c r="A48" s="4">
        <v>47.0</v>
      </c>
      <c r="B48" s="5" t="s">
        <v>94</v>
      </c>
      <c r="C48" s="5" t="s">
        <v>95</v>
      </c>
      <c r="D48" s="5" t="s">
        <v>96</v>
      </c>
      <c r="E48" s="5" t="s">
        <v>97</v>
      </c>
      <c r="F48" s="5" t="s">
        <v>31</v>
      </c>
      <c r="G48" s="5" t="s">
        <v>31</v>
      </c>
      <c r="H48" s="5" t="s">
        <v>116</v>
      </c>
      <c r="K48" s="2" t="str">
        <f>IFERROR(__xludf.DUMMYFUNCTION("GOOGLETRANSLATE(A48,""en"",""ur"")"),"47")</f>
        <v>47</v>
      </c>
      <c r="L48" s="2" t="str">
        <f>IFERROR(__xludf.DUMMYFUNCTION("GOOGLETRANSLATE(B48,""en"",""ur"")"),"کھیلے جانے والے کھیل کا نام کیا ہے؟")</f>
        <v>کھیلے جانے والے کھیل کا نام کیا ہے؟</v>
      </c>
      <c r="M48" s="2" t="str">
        <f>IFERROR(__xludf.DUMMYFUNCTION("GOOGLETRANSLATE(C48,""en"",""ur"")"),"پولو")</f>
        <v>پولو</v>
      </c>
      <c r="N48" s="2" t="str">
        <f>IFERROR(__xludf.DUMMYFUNCTION("GOOGLETRANSLATE(D48,""en"",""ur"")"),"گھوڑوں کی دوڑ")</f>
        <v>گھوڑوں کی دوڑ</v>
      </c>
      <c r="O48" s="2" t="str">
        <f>IFERROR(__xludf.DUMMYFUNCTION("GOOGLETRANSLATE(E48,""en"",""ur"")"),"بزکشی۔")</f>
        <v>بزکشی۔</v>
      </c>
      <c r="P48" s="2" t="str">
        <f>IFERROR(__xludf.DUMMYFUNCTION("GOOGLETRANSLATE(F48,""en"",""ur"")"),"چتورنگا")</f>
        <v>چتورنگا</v>
      </c>
      <c r="Q48" s="2" t="s">
        <v>98</v>
      </c>
      <c r="R48" s="2" t="str">
        <f>IFERROR(__xludf.DUMMYFUNCTION("GOOGLETRANSLATE(G48,""en"",""ur"")"),"چتورنگا")</f>
        <v>چتورنگا</v>
      </c>
      <c r="S48" s="6" t="s">
        <v>116</v>
      </c>
    </row>
    <row r="49" ht="22.5" customHeight="1">
      <c r="A49" s="4">
        <v>48.0</v>
      </c>
      <c r="B49" s="5" t="s">
        <v>99</v>
      </c>
      <c r="C49" s="5" t="s">
        <v>64</v>
      </c>
      <c r="D49" s="5" t="s">
        <v>65</v>
      </c>
      <c r="E49" s="5" t="s">
        <v>66</v>
      </c>
      <c r="F49" s="5" t="s">
        <v>67</v>
      </c>
      <c r="G49" s="5" t="s">
        <v>65</v>
      </c>
      <c r="H49" s="5" t="s">
        <v>116</v>
      </c>
      <c r="K49" s="2" t="str">
        <f>IFERROR(__xludf.DUMMYFUNCTION("GOOGLETRANSLATE(A49,""en"",""ur"")"),"48")</f>
        <v>48</v>
      </c>
      <c r="L49" s="2" t="str">
        <f>IFERROR(__xludf.DUMMYFUNCTION("GOOGLETRANSLATE(B49,""en"",""ur"")"),"یہ گیم کس ملک سے تعلق کی وجہ سے مشہور ہے؟")</f>
        <v>یہ گیم کس ملک سے تعلق کی وجہ سے مشہور ہے؟</v>
      </c>
      <c r="M49" s="2" t="str">
        <f>IFERROR(__xludf.DUMMYFUNCTION("GOOGLETRANSLATE(C49,""en"",""ur"")"),"چین")</f>
        <v>چین</v>
      </c>
      <c r="N49" s="2" t="str">
        <f>IFERROR(__xludf.DUMMYFUNCTION("GOOGLETRANSLATE(D49,""en"",""ur"")"),"انڈیا")</f>
        <v>انڈیا</v>
      </c>
      <c r="O49" s="2" t="str">
        <f>IFERROR(__xludf.DUMMYFUNCTION("GOOGLETRANSLATE(E49,""en"",""ur"")"),"یورپ")</f>
        <v>یورپ</v>
      </c>
      <c r="P49" s="2" t="str">
        <f>IFERROR(__xludf.DUMMYFUNCTION("GOOGLETRANSLATE(F49,""en"",""ur"")"),"مصر")</f>
        <v>مصر</v>
      </c>
      <c r="Q49" s="2" t="s">
        <v>68</v>
      </c>
      <c r="R49" s="2" t="str">
        <f>IFERROR(__xludf.DUMMYFUNCTION("GOOGLETRANSLATE(G49,""en"",""ur"")"),"انڈیا")</f>
        <v>انڈیا</v>
      </c>
      <c r="S49" s="6" t="s">
        <v>116</v>
      </c>
    </row>
    <row r="50" ht="22.5" customHeight="1">
      <c r="A50" s="4">
        <v>49.0</v>
      </c>
      <c r="B50" s="5" t="s">
        <v>16</v>
      </c>
      <c r="C50" s="5" t="s">
        <v>58</v>
      </c>
      <c r="D50" s="5" t="s">
        <v>59</v>
      </c>
      <c r="E50" s="5" t="s">
        <v>60</v>
      </c>
      <c r="F50" s="5" t="s">
        <v>61</v>
      </c>
      <c r="G50" s="5" t="s">
        <v>60</v>
      </c>
      <c r="H50" s="5" t="s">
        <v>116</v>
      </c>
      <c r="K50" s="2" t="str">
        <f>IFERROR(__xludf.DUMMYFUNCTION("GOOGLETRANSLATE(A50,""en"",""ur"")"),"49")</f>
        <v>49</v>
      </c>
      <c r="L50" s="2" t="str">
        <f>IFERROR(__xludf.DUMMYFUNCTION("GOOGLETRANSLATE(B50,""en"",""ur"")"),"ٹکڑوں کے بارے میں ایک قابل ذکر تفصیل کیا ہے؟")</f>
        <v>ٹکڑوں کے بارے میں ایک قابل ذکر تفصیل کیا ہے؟</v>
      </c>
      <c r="M50" s="2" t="str">
        <f>IFERROR(__xludf.DUMMYFUNCTION("GOOGLETRANSLATE(C50,""en"",""ur"")"),"وہ سب ایک ہی قد کے ہیں۔")</f>
        <v>وہ سب ایک ہی قد کے ہیں۔</v>
      </c>
      <c r="N50" s="2" t="str">
        <f>IFERROR(__xludf.DUMMYFUNCTION("GOOGLETRANSLATE(D50,""en"",""ur"")"),"وہ سب ایک ہی رنگ کے ہیں۔")</f>
        <v>وہ سب ایک ہی رنگ کے ہیں۔</v>
      </c>
      <c r="O50" s="2" t="str">
        <f>IFERROR(__xludf.DUMMYFUNCTION("GOOGLETRANSLATE(E50,""en"",""ur"")"),"وہ رنگوں اور ڈیزائنوں کا مرکب ہیں۔")</f>
        <v>وہ رنگوں اور ڈیزائنوں کا مرکب ہیں۔</v>
      </c>
      <c r="P50" s="2" t="str">
        <f>IFERROR(__xludf.DUMMYFUNCTION("GOOGLETRANSLATE(F50,""en"",""ur"")"),"وہ سب وسیع نمونوں کے ساتھ زین پہنے ہوئے ہیں۔")</f>
        <v>وہ سب وسیع نمونوں کے ساتھ زین پہنے ہوئے ہیں۔</v>
      </c>
      <c r="Q50" s="2" t="s">
        <v>62</v>
      </c>
      <c r="R50" s="2" t="str">
        <f>IFERROR(__xludf.DUMMYFUNCTION("GOOGLETRANSLATE(G50,""en"",""ur"")"),"وہ رنگوں اور ڈیزائنوں کا مرکب ہیں۔")</f>
        <v>وہ رنگوں اور ڈیزائنوں کا مرکب ہیں۔</v>
      </c>
      <c r="S50" s="6" t="s">
        <v>116</v>
      </c>
    </row>
    <row r="51" ht="22.5" customHeight="1">
      <c r="A51" s="4">
        <v>50.0</v>
      </c>
      <c r="B51" s="5" t="s">
        <v>16</v>
      </c>
      <c r="C51" s="5" t="s">
        <v>59</v>
      </c>
      <c r="D51" s="5" t="s">
        <v>60</v>
      </c>
      <c r="E51" s="5" t="s">
        <v>20</v>
      </c>
      <c r="F51" s="5" t="s">
        <v>100</v>
      </c>
      <c r="G51" s="5" t="s">
        <v>60</v>
      </c>
      <c r="H51" s="5" t="s">
        <v>116</v>
      </c>
      <c r="K51" s="2" t="str">
        <f>IFERROR(__xludf.DUMMYFUNCTION("GOOGLETRANSLATE(A51,""en"",""ur"")"),"50")</f>
        <v>50</v>
      </c>
      <c r="L51" s="2" t="str">
        <f>IFERROR(__xludf.DUMMYFUNCTION("GOOGLETRANSLATE(B51,""en"",""ur"")"),"ٹکڑوں کے بارے میں ایک قابل ذکر تفصیل کیا ہے؟")</f>
        <v>ٹکڑوں کے بارے میں ایک قابل ذکر تفصیل کیا ہے؟</v>
      </c>
      <c r="M51" s="2" t="str">
        <f>IFERROR(__xludf.DUMMYFUNCTION("GOOGLETRANSLATE(C51,""en"",""ur"")"),"وہ سب ایک ہی رنگ کے ہیں۔")</f>
        <v>وہ سب ایک ہی رنگ کے ہیں۔</v>
      </c>
      <c r="N51" s="2" t="str">
        <f>IFERROR(__xludf.DUMMYFUNCTION("GOOGLETRANSLATE(D51,""en"",""ur"")"),"وہ رنگوں اور ڈیزائنوں کا مرکب ہیں۔")</f>
        <v>وہ رنگوں اور ڈیزائنوں کا مرکب ہیں۔</v>
      </c>
      <c r="O51" s="2" t="str">
        <f>IFERROR(__xludf.DUMMYFUNCTION("GOOGLETRANSLATE(E51,""en"",""ur"")"),"وہ سب سفید فام ہیں۔")</f>
        <v>وہ سب سفید فام ہیں۔</v>
      </c>
      <c r="P51" s="2" t="str">
        <f>IFERROR(__xludf.DUMMYFUNCTION("GOOGLETRANSLATE(F51,""en"",""ur"")"),"وہ سب کالے ہیں۔")</f>
        <v>وہ سب کالے ہیں۔</v>
      </c>
      <c r="Q51" s="2" t="s">
        <v>101</v>
      </c>
      <c r="R51" s="2" t="str">
        <f>IFERROR(__xludf.DUMMYFUNCTION("GOOGLETRANSLATE(G51,""en"",""ur"")"),"وہ رنگوں اور ڈیزائنوں کا مرکب ہیں۔")</f>
        <v>وہ رنگوں اور ڈیزائنوں کا مرکب ہیں۔</v>
      </c>
      <c r="S51" s="6" t="s">
        <v>116</v>
      </c>
    </row>
    <row r="52" ht="22.5" customHeight="1">
      <c r="A52" s="4">
        <v>51.0</v>
      </c>
      <c r="B52" s="5" t="s">
        <v>117</v>
      </c>
      <c r="C52" s="5" t="s">
        <v>118</v>
      </c>
      <c r="D52" s="5" t="s">
        <v>13</v>
      </c>
      <c r="E52" s="5" t="s">
        <v>14</v>
      </c>
      <c r="F52" s="5" t="s">
        <v>12</v>
      </c>
      <c r="G52" s="5" t="s">
        <v>118</v>
      </c>
      <c r="H52" s="5" t="s">
        <v>119</v>
      </c>
      <c r="K52" s="2" t="str">
        <f>IFERROR(__xludf.DUMMYFUNCTION("GOOGLETRANSLATE(A52,""en"",""ur"")"),"51")</f>
        <v>51</v>
      </c>
      <c r="L52" s="2" t="str">
        <f>IFERROR(__xludf.DUMMYFUNCTION("GOOGLETRANSLATE(B52,""en"",""ur"")"),"چترنگا_7 میں دکھایا گیا اہم عمل کیا ہے؟")</f>
        <v>چترنگا_7 میں دکھایا گیا اہم عمل کیا ہے؟</v>
      </c>
      <c r="M52" s="2" t="str">
        <f>IFERROR(__xludf.DUMMYFUNCTION("GOOGLETRANSLATE(C52,""en"",""ur"")"),"بساط پر شطرنج کا ایک ٹکڑا")</f>
        <v>بساط پر شطرنج کا ایک ٹکڑا</v>
      </c>
      <c r="N52" s="2" t="str">
        <f>IFERROR(__xludf.DUMMYFUNCTION("GOOGLETRANSLATE(D52,""en"",""ur"")"),"لوگوں کا ایک گروپ جو تاش کا کھیل کھیل رہا ہے۔")</f>
        <v>لوگوں کا ایک گروپ جو تاش کا کھیل کھیل رہا ہے۔</v>
      </c>
      <c r="O52" s="2" t="str">
        <f>IFERROR(__xludf.DUMMYFUNCTION("GOOGLETRANSLATE(E52,""en"",""ur"")"),"شطرنج کے ٹکڑے تراشنے والا شخص")</f>
        <v>شطرنج کے ٹکڑے تراشنے والا شخص</v>
      </c>
      <c r="P52" s="2" t="str">
        <f>IFERROR(__xludf.DUMMYFUNCTION("GOOGLETRANSLATE(F52,""en"",""ur"")"),"انتہائی آرائشی ٹکڑوں کے ساتھ ایک بساط")</f>
        <v>انتہائی آرائشی ٹکڑوں کے ساتھ ایک بساط</v>
      </c>
      <c r="Q52" s="2" t="s">
        <v>120</v>
      </c>
      <c r="R52" s="2" t="str">
        <f>IFERROR(__xludf.DUMMYFUNCTION("GOOGLETRANSLATE(G52,""en"",""ur"")"),"بساط پر شطرنج کا ایک ٹکڑا")</f>
        <v>بساط پر شطرنج کا ایک ٹکڑا</v>
      </c>
      <c r="S52" s="6" t="s">
        <v>119</v>
      </c>
    </row>
    <row r="53" ht="22.5" customHeight="1">
      <c r="A53" s="4">
        <v>52.0</v>
      </c>
      <c r="B53" s="5" t="s">
        <v>121</v>
      </c>
      <c r="C53" s="5" t="s">
        <v>122</v>
      </c>
      <c r="D53" s="5" t="s">
        <v>123</v>
      </c>
      <c r="E53" s="5" t="s">
        <v>124</v>
      </c>
      <c r="F53" s="5" t="s">
        <v>125</v>
      </c>
      <c r="G53" s="5" t="s">
        <v>123</v>
      </c>
      <c r="H53" s="5" t="s">
        <v>119</v>
      </c>
      <c r="K53" s="2" t="str">
        <f>IFERROR(__xludf.DUMMYFUNCTION("GOOGLETRANSLATE(A53,""en"",""ur"")"),"52")</f>
        <v>52</v>
      </c>
      <c r="L53" s="2" t="str">
        <f>IFERROR(__xludf.DUMMYFUNCTION("GOOGLETRANSLATE(B53,""en"",""ur"")"),"ٹکڑے کے بارے میں ایک قابل ذکر تفصیل کیا ہے؟")</f>
        <v>ٹکڑے کے بارے میں ایک قابل ذکر تفصیل کیا ہے؟</v>
      </c>
      <c r="M53" s="2" t="str">
        <f>IFERROR(__xludf.DUMMYFUNCTION("GOOGLETRANSLATE(C53,""en"",""ur"")"),"یہ ایک بادشاہ ہے۔")</f>
        <v>یہ ایک بادشاہ ہے۔</v>
      </c>
      <c r="N53" s="2" t="str">
        <f>IFERROR(__xludf.DUMMYFUNCTION("GOOGLETRANSLATE(D53,""en"",""ur"")"),"یہ ایک ملکہ ہے۔")</f>
        <v>یہ ایک ملکہ ہے۔</v>
      </c>
      <c r="O53" s="2" t="str">
        <f>IFERROR(__xludf.DUMMYFUNCTION("GOOGLETRANSLATE(E53,""en"",""ur"")"),"یہ ایک بشپ ہے۔")</f>
        <v>یہ ایک بشپ ہے۔</v>
      </c>
      <c r="P53" s="2" t="str">
        <f>IFERROR(__xludf.DUMMYFUNCTION("GOOGLETRANSLATE(F53,""en"",""ur"")"),"یہ ایک پیادہ ہے۔")</f>
        <v>یہ ایک پیادہ ہے۔</v>
      </c>
      <c r="Q53" s="2" t="s">
        <v>126</v>
      </c>
      <c r="R53" s="2" t="str">
        <f>IFERROR(__xludf.DUMMYFUNCTION("GOOGLETRANSLATE(G53,""en"",""ur"")"),"یہ ایک ملکہ ہے۔")</f>
        <v>یہ ایک ملکہ ہے۔</v>
      </c>
      <c r="S53" s="6" t="s">
        <v>119</v>
      </c>
    </row>
    <row r="54" ht="22.5" customHeight="1">
      <c r="A54" s="4">
        <v>53.0</v>
      </c>
      <c r="B54" s="5" t="s">
        <v>127</v>
      </c>
      <c r="C54" s="5" t="s">
        <v>24</v>
      </c>
      <c r="D54" s="5" t="s">
        <v>25</v>
      </c>
      <c r="E54" s="5" t="s">
        <v>128</v>
      </c>
      <c r="F54" s="5" t="s">
        <v>129</v>
      </c>
      <c r="G54" s="5" t="s">
        <v>128</v>
      </c>
      <c r="H54" s="5" t="s">
        <v>119</v>
      </c>
      <c r="K54" s="2" t="str">
        <f>IFERROR(__xludf.DUMMYFUNCTION("GOOGLETRANSLATE(A54,""en"",""ur"")"),"53")</f>
        <v>53</v>
      </c>
      <c r="L54" s="2" t="str">
        <f>IFERROR(__xludf.DUMMYFUNCTION("GOOGLETRANSLATE(B54,""en"",""ur"")"),"ٹکڑے اور بورڈ کا ظاہری مواد کیا ہے؟")</f>
        <v>ٹکڑے اور بورڈ کا ظاہری مواد کیا ہے؟</v>
      </c>
      <c r="M54" s="2" t="str">
        <f>IFERROR(__xludf.DUMMYFUNCTION("GOOGLETRANSLATE(C54,""en"",""ur"")"),"پلاسٹک")</f>
        <v>پلاسٹک</v>
      </c>
      <c r="N54" s="2" t="str">
        <f>IFERROR(__xludf.DUMMYFUNCTION("GOOGLETRANSLATE(D54,""en"",""ur"")"),"شیشہ")</f>
        <v>شیشہ</v>
      </c>
      <c r="O54" s="2" t="str">
        <f>IFERROR(__xludf.DUMMYFUNCTION("GOOGLETRANSLATE(E54,""en"",""ur"")"),"لکڑی")</f>
        <v>لکڑی</v>
      </c>
      <c r="P54" s="2" t="str">
        <f>IFERROR(__xludf.DUMMYFUNCTION("GOOGLETRANSLATE(F54,""en"",""ur"")"),"دھات")</f>
        <v>دھات</v>
      </c>
      <c r="Q54" s="2" t="s">
        <v>130</v>
      </c>
      <c r="R54" s="2" t="str">
        <f>IFERROR(__xludf.DUMMYFUNCTION("GOOGLETRANSLATE(G54,""en"",""ur"")"),"لکڑی")</f>
        <v>لکڑی</v>
      </c>
      <c r="S54" s="6" t="s">
        <v>119</v>
      </c>
    </row>
    <row r="55" ht="22.5" customHeight="1">
      <c r="A55" s="4">
        <v>54.0</v>
      </c>
      <c r="B55" s="5" t="s">
        <v>131</v>
      </c>
      <c r="C55" s="5" t="s">
        <v>29</v>
      </c>
      <c r="D55" s="5" t="s">
        <v>30</v>
      </c>
      <c r="E55" s="5" t="s">
        <v>31</v>
      </c>
      <c r="F55" s="5" t="s">
        <v>32</v>
      </c>
      <c r="G55" s="5" t="s">
        <v>31</v>
      </c>
      <c r="H55" s="5" t="s">
        <v>119</v>
      </c>
      <c r="K55" s="2" t="str">
        <f>IFERROR(__xludf.DUMMYFUNCTION("GOOGLETRANSLATE(A55,""en"",""ur"")"),"54")</f>
        <v>54</v>
      </c>
      <c r="L55" s="2" t="str">
        <f>IFERROR(__xludf.DUMMYFUNCTION("GOOGLETRANSLATE(B55,""en"",""ur"")"),"تصویر ایک بساط پر ٹکڑا دکھاتا ہے. وہ کون سا تاریخی کھیل ہے جو جدید شطرنج کا پیش خیمہ ہے؟")</f>
        <v>تصویر ایک بساط پر ٹکڑا دکھاتا ہے. وہ کون سا تاریخی کھیل ہے جو جدید شطرنج کا پیش خیمہ ہے؟</v>
      </c>
      <c r="M55" s="2" t="str">
        <f>IFERROR(__xludf.DUMMYFUNCTION("GOOGLETRANSLATE(C55,""en"",""ur"")"),"چیکرس")</f>
        <v>چیکرس</v>
      </c>
      <c r="N55" s="2" t="str">
        <f>IFERROR(__xludf.DUMMYFUNCTION("GOOGLETRANSLATE(D55,""en"",""ur"")"),"بیکگیمون")</f>
        <v>بیکگیمون</v>
      </c>
      <c r="O55" s="2" t="str">
        <f>IFERROR(__xludf.DUMMYFUNCTION("GOOGLETRANSLATE(E55,""en"",""ur"")"),"چتورنگا")</f>
        <v>چتورنگا</v>
      </c>
      <c r="P55" s="2" t="str">
        <f>IFERROR(__xludf.DUMMYFUNCTION("GOOGLETRANSLATE(F55,""en"",""ur"")"),"جاؤ")</f>
        <v>جاؤ</v>
      </c>
      <c r="Q55" s="2" t="s">
        <v>33</v>
      </c>
      <c r="R55" s="2" t="str">
        <f>IFERROR(__xludf.DUMMYFUNCTION("GOOGLETRANSLATE(G55,""en"",""ur"")"),"چتورنگا")</f>
        <v>چتورنگا</v>
      </c>
      <c r="S55" s="6" t="s">
        <v>119</v>
      </c>
    </row>
    <row r="56" ht="22.5" customHeight="1">
      <c r="A56" s="4">
        <v>55.0</v>
      </c>
      <c r="B56" s="5" t="s">
        <v>132</v>
      </c>
      <c r="C56" s="5" t="s">
        <v>35</v>
      </c>
      <c r="D56" s="5" t="s">
        <v>38</v>
      </c>
      <c r="E56" s="5" t="s">
        <v>37</v>
      </c>
      <c r="F56" s="5" t="s">
        <v>133</v>
      </c>
      <c r="G56" s="5" t="s">
        <v>133</v>
      </c>
      <c r="H56" s="5" t="s">
        <v>119</v>
      </c>
      <c r="K56" s="2" t="str">
        <f>IFERROR(__xludf.DUMMYFUNCTION("GOOGLETRANSLATE(A56,""en"",""ur"")"),"55")</f>
        <v>55</v>
      </c>
      <c r="L56" s="2" t="str">
        <f>IFERROR(__xludf.DUMMYFUNCTION("GOOGLETRANSLATE(B56,""en"",""ur"")"),"تصویر کا ظاہری مقصد کیا ہے؟")</f>
        <v>تصویر کا ظاہری مقصد کیا ہے؟</v>
      </c>
      <c r="M56" s="2" t="str">
        <f>IFERROR(__xludf.DUMMYFUNCTION("GOOGLETRANSLATE(C56,""en"",""ur"")"),"یہ کھیل کے قوانین کا حصہ ہے۔")</f>
        <v>یہ کھیل کے قوانین کا حصہ ہے۔</v>
      </c>
      <c r="N56" s="2" t="str">
        <f>IFERROR(__xludf.DUMMYFUNCTION("GOOGLETRANSLATE(D56,""en"",""ur"")"),"یہ ایک برانڈ کا نام ہے۔")</f>
        <v>یہ ایک برانڈ کا نام ہے۔</v>
      </c>
      <c r="O56" s="2" t="str">
        <f>IFERROR(__xludf.DUMMYFUNCTION("GOOGLETRANSLATE(E56,""en"",""ur"")"),"یہ ایک تاریخی نشان ہے۔")</f>
        <v>یہ ایک تاریخی نشان ہے۔</v>
      </c>
      <c r="P56" s="2" t="str">
        <f>IFERROR(__xludf.DUMMYFUNCTION("GOOGLETRANSLATE(F56,""en"",""ur"")"),"یہ شطرنج کے ایک ٹکڑے کی قریبی تصویر ہے۔")</f>
        <v>یہ شطرنج کے ایک ٹکڑے کی قریبی تصویر ہے۔</v>
      </c>
      <c r="Q56" s="2" t="s">
        <v>134</v>
      </c>
      <c r="R56" s="2" t="str">
        <f>IFERROR(__xludf.DUMMYFUNCTION("GOOGLETRANSLATE(G56,""en"",""ur"")"),"یہ شطرنج کے ایک ٹکڑے کی قریبی تصویر ہے۔")</f>
        <v>یہ شطرنج کے ایک ٹکڑے کی قریبی تصویر ہے۔</v>
      </c>
      <c r="S56" s="6" t="s">
        <v>119</v>
      </c>
    </row>
    <row r="57" ht="22.5" customHeight="1">
      <c r="A57" s="4">
        <v>56.0</v>
      </c>
      <c r="B57" s="5" t="s">
        <v>40</v>
      </c>
      <c r="C57" s="5" t="s">
        <v>41</v>
      </c>
      <c r="D57" s="5" t="s">
        <v>42</v>
      </c>
      <c r="E57" s="5" t="s">
        <v>43</v>
      </c>
      <c r="F57" s="5" t="s">
        <v>44</v>
      </c>
      <c r="G57" s="5" t="s">
        <v>42</v>
      </c>
      <c r="H57" s="5" t="s">
        <v>119</v>
      </c>
      <c r="K57" s="2" t="str">
        <f>IFERROR(__xludf.DUMMYFUNCTION("GOOGLETRANSLATE(A57,""en"",""ur"")"),"56")</f>
        <v>56</v>
      </c>
      <c r="L57" s="2" t="str">
        <f>IFERROR(__xludf.DUMMYFUNCTION("GOOGLETRANSLATE(B57,""en"",""ur"")"),"بورڈ کے ڈیزائن کی سب سے نمایاں خصوصیت کیا ہے؟")</f>
        <v>بورڈ کے ڈیزائن کی سب سے نمایاں خصوصیت کیا ہے؟</v>
      </c>
      <c r="M57" s="2" t="str">
        <f>IFERROR(__xludf.DUMMYFUNCTION("GOOGLETRANSLATE(C57,""en"",""ur"")"),"یہ ایک سادہ، چیکر سطح ہے")</f>
        <v>یہ ایک سادہ، چیکر سطح ہے</v>
      </c>
      <c r="N57" s="2" t="str">
        <f>IFERROR(__xludf.DUMMYFUNCTION("GOOGLETRANSLATE(D57,""en"",""ur"")"),"اس میں پیچیدہ کندہ شدہ نمونے ہیں۔")</f>
        <v>اس میں پیچیدہ کندہ شدہ نمونے ہیں۔</v>
      </c>
      <c r="O57" s="2" t="str">
        <f>IFERROR(__xludf.DUMMYFUNCTION("GOOGLETRANSLATE(E57,""en"",""ur"")"),"یہ ایک ٹھوس رنگ ہے۔")</f>
        <v>یہ ایک ٹھوس رنگ ہے۔</v>
      </c>
      <c r="P57" s="2" t="str">
        <f>IFERROR(__xludf.DUMMYFUNCTION("GOOGLETRANSLATE(F57,""en"",""ur"")"),"یہ ایک سرکلر بورڈ ہے۔")</f>
        <v>یہ ایک سرکلر بورڈ ہے۔</v>
      </c>
      <c r="Q57" s="2" t="s">
        <v>45</v>
      </c>
      <c r="R57" s="2" t="str">
        <f>IFERROR(__xludf.DUMMYFUNCTION("GOOGLETRANSLATE(G57,""en"",""ur"")"),"اس میں پیچیدہ کندہ شدہ نمونے ہیں۔")</f>
        <v>اس میں پیچیدہ کندہ شدہ نمونے ہیں۔</v>
      </c>
      <c r="S57" s="6" t="s">
        <v>119</v>
      </c>
    </row>
    <row r="58" ht="22.5" customHeight="1">
      <c r="A58" s="4">
        <v>57.0</v>
      </c>
      <c r="B58" s="5" t="s">
        <v>46</v>
      </c>
      <c r="C58" s="5" t="s">
        <v>47</v>
      </c>
      <c r="D58" s="5" t="s">
        <v>48</v>
      </c>
      <c r="E58" s="5" t="s">
        <v>49</v>
      </c>
      <c r="F58" s="5" t="s">
        <v>50</v>
      </c>
      <c r="G58" s="5" t="s">
        <v>49</v>
      </c>
      <c r="H58" s="5" t="s">
        <v>119</v>
      </c>
      <c r="K58" s="2" t="str">
        <f>IFERROR(__xludf.DUMMYFUNCTION("GOOGLETRANSLATE(A58,""en"",""ur"")"),"57")</f>
        <v>57</v>
      </c>
      <c r="L58" s="2" t="str">
        <f>IFERROR(__xludf.DUMMYFUNCTION("GOOGLETRANSLATE(B58,""en"",""ur"")"),"کھلاڑیوں کے چہروں سے ظاہری جذبات کیا ہیں؟")</f>
        <v>کھلاڑیوں کے چہروں سے ظاہری جذبات کیا ہیں؟</v>
      </c>
      <c r="M58" s="2" t="str">
        <f>IFERROR(__xludf.DUMMYFUNCTION("GOOGLETRANSLATE(C58,""en"",""ur"")"),"پرسکون اور پر سکون")</f>
        <v>پرسکون اور پر سکون</v>
      </c>
      <c r="N58" s="2" t="str">
        <f>IFERROR(__xludf.DUMMYFUNCTION("GOOGLETRANSLATE(D58,""en"",""ur"")"),"خوف زدہ اور بے چین")</f>
        <v>خوف زدہ اور بے چین</v>
      </c>
      <c r="O58" s="2" t="str">
        <f>IFERROR(__xludf.DUMMYFUNCTION("GOOGLETRANSLATE(E58,""en"",""ur"")"),"کشیدہ اور شدید")</f>
        <v>کشیدہ اور شدید</v>
      </c>
      <c r="P58" s="2" t="str">
        <f>IFERROR(__xludf.DUMMYFUNCTION("GOOGLETRANSLATE(F58,""en"",""ur"")"),"خوش اور مسکراتے ہوئے۔")</f>
        <v>خوش اور مسکراتے ہوئے۔</v>
      </c>
      <c r="Q58" s="2" t="s">
        <v>51</v>
      </c>
      <c r="R58" s="2" t="str">
        <f>IFERROR(__xludf.DUMMYFUNCTION("GOOGLETRANSLATE(G58,""en"",""ur"")"),"کشیدہ اور شدید")</f>
        <v>کشیدہ اور شدید</v>
      </c>
      <c r="S58" s="6" t="s">
        <v>119</v>
      </c>
    </row>
    <row r="59" ht="22.5" customHeight="1">
      <c r="A59" s="4">
        <v>58.0</v>
      </c>
      <c r="B59" s="5" t="s">
        <v>63</v>
      </c>
      <c r="C59" s="5" t="s">
        <v>64</v>
      </c>
      <c r="D59" s="5" t="s">
        <v>65</v>
      </c>
      <c r="E59" s="5" t="s">
        <v>66</v>
      </c>
      <c r="F59" s="5" t="s">
        <v>67</v>
      </c>
      <c r="G59" s="5" t="s">
        <v>65</v>
      </c>
      <c r="H59" s="5" t="s">
        <v>119</v>
      </c>
      <c r="K59" s="2" t="str">
        <f>IFERROR(__xludf.DUMMYFUNCTION("GOOGLETRANSLATE(A59,""en"",""ur"")"),"58")</f>
        <v>58</v>
      </c>
      <c r="L59" s="2" t="str">
        <f>IFERROR(__xludf.DUMMYFUNCTION("GOOGLETRANSLATE(B59,""en"",""ur"")"),"چتورنگا کا تاریخی کھیل کس ملک سے تعلق کے لیے جانا جاتا ہے؟")</f>
        <v>چتورنگا کا تاریخی کھیل کس ملک سے تعلق کے لیے جانا جاتا ہے؟</v>
      </c>
      <c r="M59" s="2" t="str">
        <f>IFERROR(__xludf.DUMMYFUNCTION("GOOGLETRANSLATE(C59,""en"",""ur"")"),"چین")</f>
        <v>چین</v>
      </c>
      <c r="N59" s="2" t="str">
        <f>IFERROR(__xludf.DUMMYFUNCTION("GOOGLETRANSLATE(D59,""en"",""ur"")"),"انڈیا")</f>
        <v>انڈیا</v>
      </c>
      <c r="O59" s="2" t="str">
        <f>IFERROR(__xludf.DUMMYFUNCTION("GOOGLETRANSLATE(E59,""en"",""ur"")"),"یورپ")</f>
        <v>یورپ</v>
      </c>
      <c r="P59" s="2" t="str">
        <f>IFERROR(__xludf.DUMMYFUNCTION("GOOGLETRANSLATE(F59,""en"",""ur"")"),"مصر")</f>
        <v>مصر</v>
      </c>
      <c r="Q59" s="2" t="s">
        <v>68</v>
      </c>
      <c r="R59" s="2" t="str">
        <f>IFERROR(__xludf.DUMMYFUNCTION("GOOGLETRANSLATE(G59,""en"",""ur"")"),"انڈیا")</f>
        <v>انڈیا</v>
      </c>
      <c r="S59" s="6" t="s">
        <v>119</v>
      </c>
    </row>
    <row r="60" ht="22.5" customHeight="1">
      <c r="A60" s="4">
        <v>59.0</v>
      </c>
      <c r="B60" s="5" t="s">
        <v>121</v>
      </c>
      <c r="C60" s="5" t="s">
        <v>135</v>
      </c>
      <c r="D60" s="5" t="s">
        <v>136</v>
      </c>
      <c r="E60" s="5" t="s">
        <v>137</v>
      </c>
      <c r="F60" s="5" t="s">
        <v>138</v>
      </c>
      <c r="G60" s="5" t="s">
        <v>138</v>
      </c>
      <c r="H60" s="5" t="s">
        <v>119</v>
      </c>
      <c r="K60" s="2" t="str">
        <f>IFERROR(__xludf.DUMMYFUNCTION("GOOGLETRANSLATE(A60,""en"",""ur"")"),"59")</f>
        <v>59</v>
      </c>
      <c r="L60" s="2" t="str">
        <f>IFERROR(__xludf.DUMMYFUNCTION("GOOGLETRANSLATE(B60,""en"",""ur"")"),"ٹکڑے کے بارے میں ایک قابل ذکر تفصیل کیا ہے؟")</f>
        <v>ٹکڑے کے بارے میں ایک قابل ذکر تفصیل کیا ہے؟</v>
      </c>
      <c r="M60" s="2" t="str">
        <f>IFERROR(__xludf.DUMMYFUNCTION("GOOGLETRANSLATE(C60,""en"",""ur"")"),"یہ سب ایک ہی اونچائی ہے۔")</f>
        <v>یہ سب ایک ہی اونچائی ہے۔</v>
      </c>
      <c r="N60" s="2" t="str">
        <f>IFERROR(__xludf.DUMMYFUNCTION("GOOGLETRANSLATE(D60,""en"",""ur"")"),"یہ سب ایک ہی رنگ کا ہے۔")</f>
        <v>یہ سب ایک ہی رنگ کا ہے۔</v>
      </c>
      <c r="O60" s="2" t="str">
        <f>IFERROR(__xludf.DUMMYFUNCTION("GOOGLETRANSLATE(E60,""en"",""ur"")"),"یہ رنگوں اور ڈیزائنوں کا مرکب ہے۔")</f>
        <v>یہ رنگوں اور ڈیزائنوں کا مرکب ہے۔</v>
      </c>
      <c r="P60" s="2" t="str">
        <f>IFERROR(__xludf.DUMMYFUNCTION("GOOGLETRANSLATE(F60,""en"",""ur"")"),"یہ سب سفید ہے۔")</f>
        <v>یہ سب سفید ہے۔</v>
      </c>
      <c r="Q60" s="2" t="s">
        <v>139</v>
      </c>
      <c r="R60" s="2" t="str">
        <f>IFERROR(__xludf.DUMMYFUNCTION("GOOGLETRANSLATE(G60,""en"",""ur"")"),"یہ سب سفید ہے۔")</f>
        <v>یہ سب سفید ہے۔</v>
      </c>
      <c r="S60" s="6" t="s">
        <v>119</v>
      </c>
    </row>
    <row r="61" ht="22.5" customHeight="1">
      <c r="A61" s="4">
        <v>60.0</v>
      </c>
      <c r="B61" s="5" t="s">
        <v>131</v>
      </c>
      <c r="C61" s="5" t="s">
        <v>29</v>
      </c>
      <c r="D61" s="5" t="s">
        <v>30</v>
      </c>
      <c r="E61" s="5" t="s">
        <v>31</v>
      </c>
      <c r="F61" s="5" t="s">
        <v>32</v>
      </c>
      <c r="G61" s="5" t="s">
        <v>31</v>
      </c>
      <c r="H61" s="5" t="s">
        <v>119</v>
      </c>
      <c r="K61" s="2" t="str">
        <f>IFERROR(__xludf.DUMMYFUNCTION("GOOGLETRANSLATE(A61,""en"",""ur"")"),"60")</f>
        <v>60</v>
      </c>
      <c r="L61" s="2" t="str">
        <f>IFERROR(__xludf.DUMMYFUNCTION("GOOGLETRANSLATE(B61,""en"",""ur"")"),"تصویر ایک بساط پر ٹکڑا دکھاتا ہے. وہ کون سا تاریخی کھیل ہے جو جدید شطرنج کا پیش خیمہ ہے؟")</f>
        <v>تصویر ایک بساط پر ٹکڑا دکھاتا ہے. وہ کون سا تاریخی کھیل ہے جو جدید شطرنج کا پیش خیمہ ہے؟</v>
      </c>
      <c r="M61" s="2" t="str">
        <f>IFERROR(__xludf.DUMMYFUNCTION("GOOGLETRANSLATE(C61,""en"",""ur"")"),"چیکرس")</f>
        <v>چیکرس</v>
      </c>
      <c r="N61" s="2" t="str">
        <f>IFERROR(__xludf.DUMMYFUNCTION("GOOGLETRANSLATE(D61,""en"",""ur"")"),"بیکگیمون")</f>
        <v>بیکگیمون</v>
      </c>
      <c r="O61" s="2" t="str">
        <f>IFERROR(__xludf.DUMMYFUNCTION("GOOGLETRANSLATE(E61,""en"",""ur"")"),"چتورنگا")</f>
        <v>چتورنگا</v>
      </c>
      <c r="P61" s="2" t="str">
        <f>IFERROR(__xludf.DUMMYFUNCTION("GOOGLETRANSLATE(F61,""en"",""ur"")"),"جاؤ")</f>
        <v>جاؤ</v>
      </c>
      <c r="Q61" s="2" t="s">
        <v>33</v>
      </c>
      <c r="R61" s="2" t="str">
        <f>IFERROR(__xludf.DUMMYFUNCTION("GOOGLETRANSLATE(G61,""en"",""ur"")"),"چتورنگا")</f>
        <v>چتورنگا</v>
      </c>
      <c r="S61" s="6" t="s">
        <v>119</v>
      </c>
    </row>
    <row r="62" ht="22.5" customHeight="1">
      <c r="A62" s="4">
        <v>61.0</v>
      </c>
      <c r="B62" s="5" t="s">
        <v>140</v>
      </c>
      <c r="C62" s="5" t="s">
        <v>141</v>
      </c>
      <c r="D62" s="5" t="s">
        <v>142</v>
      </c>
      <c r="E62" s="5" t="s">
        <v>143</v>
      </c>
      <c r="F62" s="5" t="s">
        <v>14</v>
      </c>
      <c r="G62" s="5" t="s">
        <v>143</v>
      </c>
      <c r="H62" s="5" t="s">
        <v>144</v>
      </c>
      <c r="K62" s="2" t="str">
        <f>IFERROR(__xludf.DUMMYFUNCTION("GOOGLETRANSLATE(A62,""en"",""ur"")"),"61")</f>
        <v>61</v>
      </c>
      <c r="L62" s="2" t="str">
        <f>IFERROR(__xludf.DUMMYFUNCTION("GOOGLETRANSLATE(B62,""en"",""ur"")"),"چترنگا_9 میں دکھایا گیا اہم عمل کیا ہے؟")</f>
        <v>چترنگا_9 میں دکھایا گیا اہم عمل کیا ہے؟</v>
      </c>
      <c r="M62" s="2" t="str">
        <f>IFERROR(__xludf.DUMMYFUNCTION("GOOGLETRANSLATE(C62,""en"",""ur"")"),"دو آدمی لڑ رہے ہیں۔")</f>
        <v>دو آدمی لڑ رہے ہیں۔</v>
      </c>
      <c r="N62" s="2" t="str">
        <f>IFERROR(__xludf.DUMMYFUNCTION("GOOGLETRANSLATE(D62,""en"",""ur"")"),"لوگوں کا ایک گروپ جو گیند کا کھیل کھیل رہا ہے۔")</f>
        <v>لوگوں کا ایک گروپ جو گیند کا کھیل کھیل رہا ہے۔</v>
      </c>
      <c r="O62" s="2" t="str">
        <f>IFERROR(__xludf.DUMMYFUNCTION("GOOGLETRANSLATE(E62,""en"",""ur"")"),"لوگوں کا ایک گروپ جو بورڈ گیم کھیل رہا ہے۔")</f>
        <v>لوگوں کا ایک گروپ جو بورڈ گیم کھیل رہا ہے۔</v>
      </c>
      <c r="P62" s="2" t="str">
        <f>IFERROR(__xludf.DUMMYFUNCTION("GOOGLETRANSLATE(F62,""en"",""ur"")"),"شطرنج کے ٹکڑے تراشنے والا شخص")</f>
        <v>شطرنج کے ٹکڑے تراشنے والا شخص</v>
      </c>
      <c r="Q62" s="2" t="s">
        <v>145</v>
      </c>
      <c r="R62" s="2" t="str">
        <f>IFERROR(__xludf.DUMMYFUNCTION("GOOGLETRANSLATE(G62,""en"",""ur"")"),"لوگوں کا ایک گروپ جو بورڈ گیم کھیل رہا ہے۔")</f>
        <v>لوگوں کا ایک گروپ جو بورڈ گیم کھیل رہا ہے۔</v>
      </c>
      <c r="S62" s="6" t="s">
        <v>144</v>
      </c>
    </row>
    <row r="63" ht="22.5" customHeight="1">
      <c r="A63" s="4">
        <v>62.0</v>
      </c>
      <c r="B63" s="5" t="s">
        <v>76</v>
      </c>
      <c r="C63" s="5" t="s">
        <v>17</v>
      </c>
      <c r="D63" s="5" t="s">
        <v>77</v>
      </c>
      <c r="E63" s="5" t="s">
        <v>78</v>
      </c>
      <c r="F63" s="5" t="s">
        <v>79</v>
      </c>
      <c r="G63" s="5" t="s">
        <v>78</v>
      </c>
      <c r="H63" s="5" t="s">
        <v>144</v>
      </c>
      <c r="K63" s="2" t="str">
        <f>IFERROR(__xludf.DUMMYFUNCTION("GOOGLETRANSLATE(A63,""en"",""ur"")"),"62")</f>
        <v>62</v>
      </c>
      <c r="L63" s="2" t="str">
        <f>IFERROR(__xludf.DUMMYFUNCTION("GOOGLETRANSLATE(B63,""en"",""ur"")"),"بورڈ اور ٹکڑوں کے بارے میں ایک قابل ذکر تفصیل کیا ہے؟")</f>
        <v>بورڈ اور ٹکڑوں کے بارے میں ایک قابل ذکر تفصیل کیا ہے؟</v>
      </c>
      <c r="M63" s="2" t="str">
        <f>IFERROR(__xludf.DUMMYFUNCTION("GOOGLETRANSLATE(C63,""en"",""ur"")"),"وہ سب ایک جیسے ہیں۔")</f>
        <v>وہ سب ایک جیسے ہیں۔</v>
      </c>
      <c r="N63" s="2" t="str">
        <f>IFERROR(__xludf.DUMMYFUNCTION("GOOGLETRANSLATE(D63,""en"",""ur"")"),"بورڈ لکڑی کا بنا ہوا ہے، اور ٹکڑوں کو روایتی انداز میں کندہ کیا گیا ہے۔")</f>
        <v>بورڈ لکڑی کا بنا ہوا ہے، اور ٹکڑوں کو روایتی انداز میں کندہ کیا گیا ہے۔</v>
      </c>
      <c r="O63" s="2" t="str">
        <f>IFERROR(__xludf.DUMMYFUNCTION("GOOGLETRANSLATE(E63,""en"",""ur"")"),"ٹکڑے پلاسٹک سے بنے ہیں۔")</f>
        <v>ٹکڑے پلاسٹک سے بنے ہیں۔</v>
      </c>
      <c r="P63" s="2" t="str">
        <f>IFERROR(__xludf.DUMMYFUNCTION("GOOGLETRANSLATE(F63,""en"",""ur"")"),"بورڈ ایک ٹھوس رنگ ہے")</f>
        <v>بورڈ ایک ٹھوس رنگ ہے</v>
      </c>
      <c r="Q63" s="2" t="s">
        <v>80</v>
      </c>
      <c r="R63" s="2" t="str">
        <f>IFERROR(__xludf.DUMMYFUNCTION("GOOGLETRANSLATE(G63,""en"",""ur"")"),"ٹکڑے پلاسٹک سے بنے ہیں۔")</f>
        <v>ٹکڑے پلاسٹک سے بنے ہیں۔</v>
      </c>
      <c r="S63" s="6" t="s">
        <v>144</v>
      </c>
    </row>
    <row r="64" ht="22.5" customHeight="1">
      <c r="A64" s="4">
        <v>63.0</v>
      </c>
      <c r="B64" s="5" t="s">
        <v>81</v>
      </c>
      <c r="C64" s="5" t="s">
        <v>17</v>
      </c>
      <c r="D64" s="5" t="s">
        <v>18</v>
      </c>
      <c r="E64" s="5" t="s">
        <v>19</v>
      </c>
      <c r="F64" s="5" t="s">
        <v>20</v>
      </c>
      <c r="G64" s="5" t="s">
        <v>19</v>
      </c>
      <c r="H64" s="5" t="s">
        <v>144</v>
      </c>
      <c r="K64" s="2" t="str">
        <f>IFERROR(__xludf.DUMMYFUNCTION("GOOGLETRANSLATE(A64,""en"",""ur"")"),"63")</f>
        <v>63</v>
      </c>
      <c r="L64" s="2" t="str">
        <f>IFERROR(__xludf.DUMMYFUNCTION("GOOGLETRANSLATE(B64,""en"",""ur"")"),"ٹکڑوں کے ڈیزائن کے بارے میں واضح تفصیل کیا ہے؟")</f>
        <v>ٹکڑوں کے ڈیزائن کے بارے میں واضح تفصیل کیا ہے؟</v>
      </c>
      <c r="M64" s="2" t="str">
        <f>IFERROR(__xludf.DUMMYFUNCTION("GOOGLETRANSLATE(C64,""en"",""ur"")"),"وہ سب ایک جیسے ہیں۔")</f>
        <v>وہ سب ایک جیسے ہیں۔</v>
      </c>
      <c r="N64" s="2" t="str">
        <f>IFERROR(__xludf.DUMMYFUNCTION("GOOGLETRANSLATE(D64,""en"",""ur"")"),"وہ ایک تاریخی فوج کی نمائندگی کرنے والی انتہائی اسٹائلائزڈ شخصیات ہیں۔")</f>
        <v>وہ ایک تاریخی فوج کی نمائندگی کرنے والی انتہائی اسٹائلائزڈ شخصیات ہیں۔</v>
      </c>
      <c r="O64" s="2" t="str">
        <f>IFERROR(__xludf.DUMMYFUNCTION("GOOGLETRANSLATE(E64,""en"",""ur"")"),"وہ پلاسٹک سے بنے ہیں۔")</f>
        <v>وہ پلاسٹک سے بنے ہیں۔</v>
      </c>
      <c r="P64" s="2" t="str">
        <f>IFERROR(__xludf.DUMMYFUNCTION("GOOGLETRANSLATE(F64,""en"",""ur"")"),"وہ سب سفید فام ہیں۔")</f>
        <v>وہ سب سفید فام ہیں۔</v>
      </c>
      <c r="Q64" s="2" t="s">
        <v>21</v>
      </c>
      <c r="R64" s="2" t="str">
        <f>IFERROR(__xludf.DUMMYFUNCTION("GOOGLETRANSLATE(G64,""en"",""ur"")"),"وہ پلاسٹک سے بنے ہیں۔")</f>
        <v>وہ پلاسٹک سے بنے ہیں۔</v>
      </c>
      <c r="S64" s="6" t="s">
        <v>144</v>
      </c>
    </row>
    <row r="65" ht="22.5" customHeight="1">
      <c r="A65" s="4">
        <v>64.0</v>
      </c>
      <c r="B65" s="5" t="s">
        <v>82</v>
      </c>
      <c r="C65" s="5" t="s">
        <v>83</v>
      </c>
      <c r="D65" s="5" t="s">
        <v>84</v>
      </c>
      <c r="E65" s="5" t="s">
        <v>85</v>
      </c>
      <c r="F65" s="5" t="s">
        <v>146</v>
      </c>
      <c r="G65" s="5" t="s">
        <v>146</v>
      </c>
      <c r="H65" s="5" t="s">
        <v>144</v>
      </c>
      <c r="K65" s="2" t="str">
        <f>IFERROR(__xludf.DUMMYFUNCTION("GOOGLETRANSLATE(A65,""en"",""ur"")"),"64")</f>
        <v>64</v>
      </c>
      <c r="L65" s="2" t="str">
        <f>IFERROR(__xludf.DUMMYFUNCTION("GOOGLETRANSLATE(B65,""en"",""ur"")"),"اس گیم کی ظاہری ترتیب کیا ہے؟")</f>
        <v>اس گیم کی ظاہری ترتیب کیا ہے؟</v>
      </c>
      <c r="M65" s="2" t="str">
        <f>IFERROR(__xludf.DUMMYFUNCTION("GOOGLETRANSLATE(C65,""en"",""ur"")"),"یہ ایک بڑے اسٹیڈیم پر ہے۔")</f>
        <v>یہ ایک بڑے اسٹیڈیم پر ہے۔</v>
      </c>
      <c r="N65" s="2" t="str">
        <f>IFERROR(__xludf.DUMMYFUNCTION("GOOGLETRANSLATE(D65,""en"",""ur"")"),"یہ پہاڑی، پتھریلی علاقے میں ایک میدان میں ہے۔")</f>
        <v>یہ پہاڑی، پتھریلی علاقے میں ایک میدان میں ہے۔</v>
      </c>
      <c r="O65" s="2" t="str">
        <f>IFERROR(__xludf.DUMMYFUNCTION("GOOGLETRANSLATE(E65,""en"",""ur"")"),"یہ شہر کی سڑک پر ہے۔")</f>
        <v>یہ شہر کی سڑک پر ہے۔</v>
      </c>
      <c r="P65" s="2" t="str">
        <f>IFERROR(__xludf.DUMMYFUNCTION("GOOGLETRANSLATE(F65,""en"",""ur"")"),"یہ ایک کمرے میں سرخ قالین پر ہے۔")</f>
        <v>یہ ایک کمرے میں سرخ قالین پر ہے۔</v>
      </c>
      <c r="Q65" s="2" t="s">
        <v>147</v>
      </c>
      <c r="R65" s="2" t="str">
        <f>IFERROR(__xludf.DUMMYFUNCTION("GOOGLETRANSLATE(G65,""en"",""ur"")"),"یہ ایک کمرے میں سرخ قالین پر ہے۔")</f>
        <v>یہ ایک کمرے میں سرخ قالین پر ہے۔</v>
      </c>
      <c r="S65" s="6" t="s">
        <v>144</v>
      </c>
    </row>
    <row r="66" ht="22.5" customHeight="1">
      <c r="A66" s="4">
        <v>65.0</v>
      </c>
      <c r="B66" s="5" t="s">
        <v>46</v>
      </c>
      <c r="C66" s="5" t="s">
        <v>47</v>
      </c>
      <c r="D66" s="5" t="s">
        <v>48</v>
      </c>
      <c r="E66" s="5" t="s">
        <v>49</v>
      </c>
      <c r="F66" s="5" t="s">
        <v>50</v>
      </c>
      <c r="G66" s="5" t="s">
        <v>49</v>
      </c>
      <c r="H66" s="5" t="s">
        <v>144</v>
      </c>
      <c r="K66" s="2" t="str">
        <f>IFERROR(__xludf.DUMMYFUNCTION("GOOGLETRANSLATE(A66,""en"",""ur"")"),"65")</f>
        <v>65</v>
      </c>
      <c r="L66" s="2" t="str">
        <f>IFERROR(__xludf.DUMMYFUNCTION("GOOGLETRANSLATE(B66,""en"",""ur"")"),"کھلاڑیوں کے چہروں سے ظاہری جذبات کیا ہیں؟")</f>
        <v>کھلاڑیوں کے چہروں سے ظاہری جذبات کیا ہیں؟</v>
      </c>
      <c r="M66" s="2" t="str">
        <f>IFERROR(__xludf.DUMMYFUNCTION("GOOGLETRANSLATE(C66,""en"",""ur"")"),"پرسکون اور پر سکون")</f>
        <v>پرسکون اور پر سکون</v>
      </c>
      <c r="N66" s="2" t="str">
        <f>IFERROR(__xludf.DUMMYFUNCTION("GOOGLETRANSLATE(D66,""en"",""ur"")"),"خوف زدہ اور بے چین")</f>
        <v>خوف زدہ اور بے چین</v>
      </c>
      <c r="O66" s="2" t="str">
        <f>IFERROR(__xludf.DUMMYFUNCTION("GOOGLETRANSLATE(E66,""en"",""ur"")"),"کشیدہ اور شدید")</f>
        <v>کشیدہ اور شدید</v>
      </c>
      <c r="P66" s="2" t="str">
        <f>IFERROR(__xludf.DUMMYFUNCTION("GOOGLETRANSLATE(F66,""en"",""ur"")"),"خوش اور مسکراتے ہوئے۔")</f>
        <v>خوش اور مسکراتے ہوئے۔</v>
      </c>
      <c r="Q66" s="2" t="s">
        <v>51</v>
      </c>
      <c r="R66" s="2" t="str">
        <f>IFERROR(__xludf.DUMMYFUNCTION("GOOGLETRANSLATE(G66,""en"",""ur"")"),"کشیدہ اور شدید")</f>
        <v>کشیدہ اور شدید</v>
      </c>
      <c r="S66" s="6" t="s">
        <v>144</v>
      </c>
    </row>
    <row r="67" ht="22.5" customHeight="1">
      <c r="A67" s="4">
        <v>66.0</v>
      </c>
      <c r="B67" s="5" t="s">
        <v>88</v>
      </c>
      <c r="C67" s="5" t="s">
        <v>89</v>
      </c>
      <c r="D67" s="5" t="s">
        <v>90</v>
      </c>
      <c r="E67" s="5" t="s">
        <v>91</v>
      </c>
      <c r="F67" s="5" t="s">
        <v>148</v>
      </c>
      <c r="G67" s="5" t="s">
        <v>148</v>
      </c>
      <c r="H67" s="5" t="s">
        <v>144</v>
      </c>
      <c r="K67" s="2" t="str">
        <f>IFERROR(__xludf.DUMMYFUNCTION("GOOGLETRANSLATE(A67,""en"",""ur"")"),"66")</f>
        <v>66</v>
      </c>
      <c r="L67" s="2" t="str">
        <f>IFERROR(__xludf.DUMMYFUNCTION("GOOGLETRANSLATE(B67,""en"",""ur"")"),"زمین کی سب سے نمایاں خصوصیت کیا ہے؟")</f>
        <v>زمین کی سب سے نمایاں خصوصیت کیا ہے؟</v>
      </c>
      <c r="M67" s="2" t="str">
        <f>IFERROR(__xludf.DUMMYFUNCTION("GOOGLETRANSLATE(C67,""en"",""ur"")"),"ایک پکی سطح")</f>
        <v>ایک پکی سطح</v>
      </c>
      <c r="N67" s="2" t="str">
        <f>IFERROR(__xludf.DUMMYFUNCTION("GOOGLETRANSLATE(D67,""en"",""ur"")"),"کیچڑ والا میدان")</f>
        <v>کیچڑ والا میدان</v>
      </c>
      <c r="O67" s="2" t="str">
        <f>IFERROR(__xludf.DUMMYFUNCTION("GOOGLETRANSLATE(E67,""en"",""ur"")"),"ایک گھاس دار سطح")</f>
        <v>ایک گھاس دار سطح</v>
      </c>
      <c r="P67" s="2" t="str">
        <f>IFERROR(__xludf.DUMMYFUNCTION("GOOGLETRANSLATE(F67,""en"",""ur"")"),"ایک سرخ قالین")</f>
        <v>ایک سرخ قالین</v>
      </c>
      <c r="Q67" s="2" t="s">
        <v>149</v>
      </c>
      <c r="R67" s="2" t="str">
        <f>IFERROR(__xludf.DUMMYFUNCTION("GOOGLETRANSLATE(G67,""en"",""ur"")"),"ایک سرخ قالین")</f>
        <v>ایک سرخ قالین</v>
      </c>
      <c r="S67" s="6" t="s">
        <v>144</v>
      </c>
    </row>
    <row r="68" ht="22.5" customHeight="1">
      <c r="A68" s="4">
        <v>67.0</v>
      </c>
      <c r="B68" s="5" t="s">
        <v>94</v>
      </c>
      <c r="C68" s="5" t="s">
        <v>95</v>
      </c>
      <c r="D68" s="5" t="s">
        <v>96</v>
      </c>
      <c r="E68" s="5" t="s">
        <v>97</v>
      </c>
      <c r="F68" s="5" t="s">
        <v>31</v>
      </c>
      <c r="G68" s="5" t="s">
        <v>31</v>
      </c>
      <c r="H68" s="5" t="s">
        <v>144</v>
      </c>
      <c r="K68" s="2" t="str">
        <f>IFERROR(__xludf.DUMMYFUNCTION("GOOGLETRANSLATE(A68,""en"",""ur"")"),"67")</f>
        <v>67</v>
      </c>
      <c r="L68" s="2" t="str">
        <f>IFERROR(__xludf.DUMMYFUNCTION("GOOGLETRANSLATE(B68,""en"",""ur"")"),"کھیلے جانے والے کھیل کا نام کیا ہے؟")</f>
        <v>کھیلے جانے والے کھیل کا نام کیا ہے؟</v>
      </c>
      <c r="M68" s="2" t="str">
        <f>IFERROR(__xludf.DUMMYFUNCTION("GOOGLETRANSLATE(C68,""en"",""ur"")"),"پولو")</f>
        <v>پولو</v>
      </c>
      <c r="N68" s="2" t="str">
        <f>IFERROR(__xludf.DUMMYFUNCTION("GOOGLETRANSLATE(D68,""en"",""ur"")"),"گھوڑوں کی دوڑ")</f>
        <v>گھوڑوں کی دوڑ</v>
      </c>
      <c r="O68" s="2" t="str">
        <f>IFERROR(__xludf.DUMMYFUNCTION("GOOGLETRANSLATE(E68,""en"",""ur"")"),"بزکشی۔")</f>
        <v>بزکشی۔</v>
      </c>
      <c r="P68" s="2" t="str">
        <f>IFERROR(__xludf.DUMMYFUNCTION("GOOGLETRANSLATE(F68,""en"",""ur"")"),"چتورنگا")</f>
        <v>چتورنگا</v>
      </c>
      <c r="Q68" s="2" t="s">
        <v>98</v>
      </c>
      <c r="R68" s="2" t="str">
        <f>IFERROR(__xludf.DUMMYFUNCTION("GOOGLETRANSLATE(G68,""en"",""ur"")"),"چتورنگا")</f>
        <v>چتورنگا</v>
      </c>
      <c r="S68" s="6" t="s">
        <v>144</v>
      </c>
    </row>
    <row r="69" ht="22.5" customHeight="1">
      <c r="A69" s="4">
        <v>68.0</v>
      </c>
      <c r="B69" s="5" t="s">
        <v>99</v>
      </c>
      <c r="C69" s="5" t="s">
        <v>64</v>
      </c>
      <c r="D69" s="5" t="s">
        <v>65</v>
      </c>
      <c r="E69" s="5" t="s">
        <v>66</v>
      </c>
      <c r="F69" s="5" t="s">
        <v>67</v>
      </c>
      <c r="G69" s="5" t="s">
        <v>65</v>
      </c>
      <c r="H69" s="5" t="s">
        <v>144</v>
      </c>
      <c r="K69" s="2" t="str">
        <f>IFERROR(__xludf.DUMMYFUNCTION("GOOGLETRANSLATE(A69,""en"",""ur"")"),"68")</f>
        <v>68</v>
      </c>
      <c r="L69" s="2" t="str">
        <f>IFERROR(__xludf.DUMMYFUNCTION("GOOGLETRANSLATE(B69,""en"",""ur"")"),"یہ گیم کس ملک سے تعلق کی وجہ سے مشہور ہے؟")</f>
        <v>یہ گیم کس ملک سے تعلق کی وجہ سے مشہور ہے؟</v>
      </c>
      <c r="M69" s="2" t="str">
        <f>IFERROR(__xludf.DUMMYFUNCTION("GOOGLETRANSLATE(C69,""en"",""ur"")"),"چین")</f>
        <v>چین</v>
      </c>
      <c r="N69" s="2" t="str">
        <f>IFERROR(__xludf.DUMMYFUNCTION("GOOGLETRANSLATE(D69,""en"",""ur"")"),"انڈیا")</f>
        <v>انڈیا</v>
      </c>
      <c r="O69" s="2" t="str">
        <f>IFERROR(__xludf.DUMMYFUNCTION("GOOGLETRANSLATE(E69,""en"",""ur"")"),"یورپ")</f>
        <v>یورپ</v>
      </c>
      <c r="P69" s="2" t="str">
        <f>IFERROR(__xludf.DUMMYFUNCTION("GOOGLETRANSLATE(F69,""en"",""ur"")"),"مصر")</f>
        <v>مصر</v>
      </c>
      <c r="Q69" s="2" t="s">
        <v>68</v>
      </c>
      <c r="R69" s="2" t="str">
        <f>IFERROR(__xludf.DUMMYFUNCTION("GOOGLETRANSLATE(G69,""en"",""ur"")"),"انڈیا")</f>
        <v>انڈیا</v>
      </c>
      <c r="S69" s="6" t="s">
        <v>144</v>
      </c>
    </row>
    <row r="70" ht="22.5" customHeight="1">
      <c r="A70" s="4">
        <v>69.0</v>
      </c>
      <c r="B70" s="5" t="s">
        <v>16</v>
      </c>
      <c r="C70" s="5" t="s">
        <v>58</v>
      </c>
      <c r="D70" s="5" t="s">
        <v>59</v>
      </c>
      <c r="E70" s="5" t="s">
        <v>60</v>
      </c>
      <c r="F70" s="5" t="s">
        <v>61</v>
      </c>
      <c r="G70" s="5" t="s">
        <v>60</v>
      </c>
      <c r="H70" s="5" t="s">
        <v>144</v>
      </c>
      <c r="K70" s="2" t="str">
        <f>IFERROR(__xludf.DUMMYFUNCTION("GOOGLETRANSLATE(A70,""en"",""ur"")"),"69")</f>
        <v>69</v>
      </c>
      <c r="L70" s="2" t="str">
        <f>IFERROR(__xludf.DUMMYFUNCTION("GOOGLETRANSLATE(B70,""en"",""ur"")"),"ٹکڑوں کے بارے میں ایک قابل ذکر تفصیل کیا ہے؟")</f>
        <v>ٹکڑوں کے بارے میں ایک قابل ذکر تفصیل کیا ہے؟</v>
      </c>
      <c r="M70" s="2" t="str">
        <f>IFERROR(__xludf.DUMMYFUNCTION("GOOGLETRANSLATE(C70,""en"",""ur"")"),"وہ سب ایک ہی قد کے ہیں۔")</f>
        <v>وہ سب ایک ہی قد کے ہیں۔</v>
      </c>
      <c r="N70" s="2" t="str">
        <f>IFERROR(__xludf.DUMMYFUNCTION("GOOGLETRANSLATE(D70,""en"",""ur"")"),"وہ سب ایک ہی رنگ کے ہیں۔")</f>
        <v>وہ سب ایک ہی رنگ کے ہیں۔</v>
      </c>
      <c r="O70" s="2" t="str">
        <f>IFERROR(__xludf.DUMMYFUNCTION("GOOGLETRANSLATE(E70,""en"",""ur"")"),"وہ رنگوں اور ڈیزائنوں کا مرکب ہیں۔")</f>
        <v>وہ رنگوں اور ڈیزائنوں کا مرکب ہیں۔</v>
      </c>
      <c r="P70" s="2" t="str">
        <f>IFERROR(__xludf.DUMMYFUNCTION("GOOGLETRANSLATE(F70,""en"",""ur"")"),"وہ سب وسیع نمونوں کے ساتھ زین پہنے ہوئے ہیں۔")</f>
        <v>وہ سب وسیع نمونوں کے ساتھ زین پہنے ہوئے ہیں۔</v>
      </c>
      <c r="Q70" s="2" t="s">
        <v>62</v>
      </c>
      <c r="R70" s="2" t="str">
        <f>IFERROR(__xludf.DUMMYFUNCTION("GOOGLETRANSLATE(G70,""en"",""ur"")"),"وہ رنگوں اور ڈیزائنوں کا مرکب ہیں۔")</f>
        <v>وہ رنگوں اور ڈیزائنوں کا مرکب ہیں۔</v>
      </c>
      <c r="S70" s="6" t="s">
        <v>144</v>
      </c>
    </row>
    <row r="71" ht="22.5" customHeight="1">
      <c r="A71" s="4">
        <v>70.0</v>
      </c>
      <c r="B71" s="5" t="s">
        <v>16</v>
      </c>
      <c r="C71" s="5" t="s">
        <v>59</v>
      </c>
      <c r="D71" s="5" t="s">
        <v>60</v>
      </c>
      <c r="E71" s="5" t="s">
        <v>20</v>
      </c>
      <c r="F71" s="5" t="s">
        <v>100</v>
      </c>
      <c r="G71" s="5" t="s">
        <v>20</v>
      </c>
      <c r="H71" s="5" t="s">
        <v>144</v>
      </c>
      <c r="K71" s="2" t="str">
        <f>IFERROR(__xludf.DUMMYFUNCTION("GOOGLETRANSLATE(A71,""en"",""ur"")"),"70")</f>
        <v>70</v>
      </c>
      <c r="L71" s="2" t="str">
        <f>IFERROR(__xludf.DUMMYFUNCTION("GOOGLETRANSLATE(B71,""en"",""ur"")"),"ٹکڑوں کے بارے میں ایک قابل ذکر تفصیل کیا ہے؟")</f>
        <v>ٹکڑوں کے بارے میں ایک قابل ذکر تفصیل کیا ہے؟</v>
      </c>
      <c r="M71" s="2" t="str">
        <f>IFERROR(__xludf.DUMMYFUNCTION("GOOGLETRANSLATE(C71,""en"",""ur"")"),"وہ سب ایک ہی رنگ کے ہیں۔")</f>
        <v>وہ سب ایک ہی رنگ کے ہیں۔</v>
      </c>
      <c r="N71" s="2" t="str">
        <f>IFERROR(__xludf.DUMMYFUNCTION("GOOGLETRANSLATE(D71,""en"",""ur"")"),"وہ رنگوں اور ڈیزائنوں کا مرکب ہیں۔")</f>
        <v>وہ رنگوں اور ڈیزائنوں کا مرکب ہیں۔</v>
      </c>
      <c r="O71" s="2" t="str">
        <f>IFERROR(__xludf.DUMMYFUNCTION("GOOGLETRANSLATE(E71,""en"",""ur"")"),"وہ سب سفید فام ہیں۔")</f>
        <v>وہ سب سفید فام ہیں۔</v>
      </c>
      <c r="P71" s="2" t="str">
        <f>IFERROR(__xludf.DUMMYFUNCTION("GOOGLETRANSLATE(F71,""en"",""ur"")"),"وہ سب کالے ہیں۔")</f>
        <v>وہ سب کالے ہیں۔</v>
      </c>
      <c r="Q71" s="2" t="s">
        <v>101</v>
      </c>
      <c r="R71" s="2" t="str">
        <f>IFERROR(__xludf.DUMMYFUNCTION("GOOGLETRANSLATE(G71,""en"",""ur"")"),"وہ سب سفید فام ہیں۔")</f>
        <v>وہ سب سفید فام ہیں۔</v>
      </c>
      <c r="S71" s="6" t="s">
        <v>144</v>
      </c>
    </row>
    <row r="72" ht="22.5" customHeight="1">
      <c r="A72" s="4">
        <v>71.0</v>
      </c>
      <c r="B72" s="5" t="s">
        <v>150</v>
      </c>
      <c r="C72" s="5" t="s">
        <v>103</v>
      </c>
      <c r="D72" s="5" t="s">
        <v>71</v>
      </c>
      <c r="E72" s="5" t="s">
        <v>70</v>
      </c>
      <c r="F72" s="5" t="s">
        <v>73</v>
      </c>
      <c r="G72" s="5" t="s">
        <v>70</v>
      </c>
      <c r="H72" s="5" t="s">
        <v>151</v>
      </c>
      <c r="K72" s="2" t="str">
        <f>IFERROR(__xludf.DUMMYFUNCTION("GOOGLETRANSLATE(A72,""en"",""ur"")"),"71")</f>
        <v>71</v>
      </c>
      <c r="L72" s="2" t="str">
        <f>IFERROR(__xludf.DUMMYFUNCTION("GOOGLETRANSLATE(B72,""en"",""ur"")"),"چترنگا_35 میں دکھایا گیا اہم عمل کیا ہے؟")</f>
        <v>چترنگا_35 میں دکھایا گیا اہم عمل کیا ہے؟</v>
      </c>
      <c r="M72" s="2" t="str">
        <f>IFERROR(__xludf.DUMMYFUNCTION("GOOGLETRANSLATE(C72,""en"",""ur"")"),"آرام سے گھوڑے کی سواری۔")</f>
        <v>آرام سے گھوڑے کی سواری۔</v>
      </c>
      <c r="N72" s="2" t="str">
        <f>IFERROR(__xludf.DUMMYFUNCTION("GOOGLETRANSLATE(D72,""en"",""ur"")"),"سواروں کا ایک گروپ جو مرکزی چیز کے لیے مقابلہ کر رہا ہے۔")</f>
        <v>سواروں کا ایک گروپ جو مرکزی چیز کے لیے مقابلہ کر رہا ہے۔</v>
      </c>
      <c r="O72" s="2" t="str">
        <f>IFERROR(__xludf.DUMMYFUNCTION("GOOGLETRANSLATE(E72,""en"",""ur"")"),"روایتی ٹکڑوں کے ساتھ ایک بساط")</f>
        <v>روایتی ٹکڑوں کے ساتھ ایک بساط</v>
      </c>
      <c r="P72" s="2" t="str">
        <f>IFERROR(__xludf.DUMMYFUNCTION("GOOGLETRANSLATE(F72,""en"",""ur"")"),"گھوڑوں کی دوڑ")</f>
        <v>گھوڑوں کی دوڑ</v>
      </c>
      <c r="Q72" s="2" t="s">
        <v>105</v>
      </c>
      <c r="R72" s="2" t="str">
        <f>IFERROR(__xludf.DUMMYFUNCTION("GOOGLETRANSLATE(G72,""en"",""ur"")"),"روایتی ٹکڑوں کے ساتھ ایک بساط")</f>
        <v>روایتی ٹکڑوں کے ساتھ ایک بساط</v>
      </c>
      <c r="S72" s="6" t="s">
        <v>151</v>
      </c>
    </row>
    <row r="73" ht="22.5" customHeight="1">
      <c r="A73" s="4">
        <v>72.0</v>
      </c>
      <c r="B73" s="5" t="s">
        <v>76</v>
      </c>
      <c r="C73" s="5" t="s">
        <v>77</v>
      </c>
      <c r="D73" s="5" t="s">
        <v>111</v>
      </c>
      <c r="E73" s="5" t="s">
        <v>79</v>
      </c>
      <c r="F73" s="5" t="s">
        <v>107</v>
      </c>
      <c r="G73" s="5" t="s">
        <v>111</v>
      </c>
      <c r="H73" s="5" t="s">
        <v>151</v>
      </c>
      <c r="K73" s="2" t="str">
        <f>IFERROR(__xludf.DUMMYFUNCTION("GOOGLETRANSLATE(A73,""en"",""ur"")"),"72")</f>
        <v>72</v>
      </c>
      <c r="L73" s="2" t="str">
        <f>IFERROR(__xludf.DUMMYFUNCTION("GOOGLETRANSLATE(B73,""en"",""ur"")"),"بورڈ اور ٹکڑوں کے بارے میں ایک قابل ذکر تفصیل کیا ہے؟")</f>
        <v>بورڈ اور ٹکڑوں کے بارے میں ایک قابل ذکر تفصیل کیا ہے؟</v>
      </c>
      <c r="M73" s="2" t="str">
        <f>IFERROR(__xludf.DUMMYFUNCTION("GOOGLETRANSLATE(C73,""en"",""ur"")"),"بورڈ لکڑی کا بنا ہوا ہے، اور ٹکڑوں کو روایتی انداز میں کندہ کیا گیا ہے۔")</f>
        <v>بورڈ لکڑی کا بنا ہوا ہے، اور ٹکڑوں کو روایتی انداز میں کندہ کیا گیا ہے۔</v>
      </c>
      <c r="N73" s="2" t="str">
        <f>IFERROR(__xludf.DUMMYFUNCTION("GOOGLETRANSLATE(D73,""en"",""ur"")"),"بورڈ ایک چیکر کپڑے سے بنا ہے، اور ٹکڑوں کو روایتی انداز میں کندہ کیا گیا ہے۔")</f>
        <v>بورڈ ایک چیکر کپڑے سے بنا ہے، اور ٹکڑوں کو روایتی انداز میں کندہ کیا گیا ہے۔</v>
      </c>
      <c r="O73" s="2" t="str">
        <f>IFERROR(__xludf.DUMMYFUNCTION("GOOGLETRANSLATE(E73,""en"",""ur"")"),"بورڈ ایک ٹھوس رنگ ہے")</f>
        <v>بورڈ ایک ٹھوس رنگ ہے</v>
      </c>
      <c r="P73" s="2" t="str">
        <f>IFERROR(__xludf.DUMMYFUNCTION("GOOGLETRANSLATE(F73,""en"",""ur"")"),"ٹکڑے تمام سفید ہیں۔")</f>
        <v>ٹکڑے تمام سفید ہیں۔</v>
      </c>
      <c r="Q73" s="2" t="s">
        <v>112</v>
      </c>
      <c r="R73" s="2" t="str">
        <f>IFERROR(__xludf.DUMMYFUNCTION("GOOGLETRANSLATE(G73,""en"",""ur"")"),"بورڈ ایک چیکر کپڑے سے بنا ہے، اور ٹکڑوں کو روایتی انداز میں کندہ کیا گیا ہے۔")</f>
        <v>بورڈ ایک چیکر کپڑے سے بنا ہے، اور ٹکڑوں کو روایتی انداز میں کندہ کیا گیا ہے۔</v>
      </c>
      <c r="S73" s="6" t="s">
        <v>151</v>
      </c>
    </row>
    <row r="74" ht="22.5" customHeight="1">
      <c r="A74" s="4">
        <v>73.0</v>
      </c>
      <c r="B74" s="5" t="s">
        <v>81</v>
      </c>
      <c r="C74" s="5" t="s">
        <v>17</v>
      </c>
      <c r="D74" s="5" t="s">
        <v>18</v>
      </c>
      <c r="E74" s="5" t="s">
        <v>19</v>
      </c>
      <c r="F74" s="5" t="s">
        <v>20</v>
      </c>
      <c r="G74" s="5" t="s">
        <v>18</v>
      </c>
      <c r="H74" s="5" t="s">
        <v>151</v>
      </c>
      <c r="K74" s="2" t="str">
        <f>IFERROR(__xludf.DUMMYFUNCTION("GOOGLETRANSLATE(A74,""en"",""ur"")"),"73")</f>
        <v>73</v>
      </c>
      <c r="L74" s="2" t="str">
        <f>IFERROR(__xludf.DUMMYFUNCTION("GOOGLETRANSLATE(B74,""en"",""ur"")"),"ٹکڑوں کے ڈیزائن کے بارے میں واضح تفصیل کیا ہے؟")</f>
        <v>ٹکڑوں کے ڈیزائن کے بارے میں واضح تفصیل کیا ہے؟</v>
      </c>
      <c r="M74" s="2" t="str">
        <f>IFERROR(__xludf.DUMMYFUNCTION("GOOGLETRANSLATE(C74,""en"",""ur"")"),"وہ سب ایک جیسے ہیں۔")</f>
        <v>وہ سب ایک جیسے ہیں۔</v>
      </c>
      <c r="N74" s="2" t="str">
        <f>IFERROR(__xludf.DUMMYFUNCTION("GOOGLETRANSLATE(D74,""en"",""ur"")"),"وہ ایک تاریخی فوج کی نمائندگی کرنے والی انتہائی اسٹائلائزڈ شخصیات ہیں۔")</f>
        <v>وہ ایک تاریخی فوج کی نمائندگی کرنے والی انتہائی اسٹائلائزڈ شخصیات ہیں۔</v>
      </c>
      <c r="O74" s="2" t="str">
        <f>IFERROR(__xludf.DUMMYFUNCTION("GOOGLETRANSLATE(E74,""en"",""ur"")"),"وہ پلاسٹک سے بنے ہیں۔")</f>
        <v>وہ پلاسٹک سے بنے ہیں۔</v>
      </c>
      <c r="P74" s="2" t="str">
        <f>IFERROR(__xludf.DUMMYFUNCTION("GOOGLETRANSLATE(F74,""en"",""ur"")"),"وہ سب سفید فام ہیں۔")</f>
        <v>وہ سب سفید فام ہیں۔</v>
      </c>
      <c r="Q74" s="2" t="s">
        <v>21</v>
      </c>
      <c r="R74" s="2" t="str">
        <f>IFERROR(__xludf.DUMMYFUNCTION("GOOGLETRANSLATE(G74,""en"",""ur"")"),"وہ ایک تاریخی فوج کی نمائندگی کرنے والی انتہائی اسٹائلائزڈ شخصیات ہیں۔")</f>
        <v>وہ ایک تاریخی فوج کی نمائندگی کرنے والی انتہائی اسٹائلائزڈ شخصیات ہیں۔</v>
      </c>
      <c r="S74" s="6" t="s">
        <v>151</v>
      </c>
    </row>
    <row r="75" ht="22.5" customHeight="1">
      <c r="A75" s="4">
        <v>74.0</v>
      </c>
      <c r="B75" s="5" t="s">
        <v>82</v>
      </c>
      <c r="C75" s="5" t="s">
        <v>83</v>
      </c>
      <c r="D75" s="5" t="s">
        <v>84</v>
      </c>
      <c r="E75" s="5" t="s">
        <v>85</v>
      </c>
      <c r="F75" s="5" t="s">
        <v>86</v>
      </c>
      <c r="G75" s="5" t="s">
        <v>86</v>
      </c>
      <c r="H75" s="5" t="s">
        <v>151</v>
      </c>
      <c r="K75" s="2" t="str">
        <f>IFERROR(__xludf.DUMMYFUNCTION("GOOGLETRANSLATE(A75,""en"",""ur"")"),"74")</f>
        <v>74</v>
      </c>
      <c r="L75" s="2" t="str">
        <f>IFERROR(__xludf.DUMMYFUNCTION("GOOGLETRANSLATE(B75,""en"",""ur"")"),"اس گیم کی ظاہری ترتیب کیا ہے؟")</f>
        <v>اس گیم کی ظاہری ترتیب کیا ہے؟</v>
      </c>
      <c r="M75" s="2" t="str">
        <f>IFERROR(__xludf.DUMMYFUNCTION("GOOGLETRANSLATE(C75,""en"",""ur"")"),"یہ ایک بڑے اسٹیڈیم پر ہے۔")</f>
        <v>یہ ایک بڑے اسٹیڈیم پر ہے۔</v>
      </c>
      <c r="N75" s="2" t="str">
        <f>IFERROR(__xludf.DUMMYFUNCTION("GOOGLETRANSLATE(D75,""en"",""ur"")"),"یہ پہاڑی، پتھریلی علاقے میں ایک میدان میں ہے۔")</f>
        <v>یہ پہاڑی، پتھریلی علاقے میں ایک میدان میں ہے۔</v>
      </c>
      <c r="O75" s="2" t="str">
        <f>IFERROR(__xludf.DUMMYFUNCTION("GOOGLETRANSLATE(E75,""en"",""ur"")"),"یہ شہر کی سڑک پر ہے۔")</f>
        <v>یہ شہر کی سڑک پر ہے۔</v>
      </c>
      <c r="P75" s="2" t="str">
        <f>IFERROR(__xludf.DUMMYFUNCTION("GOOGLETRANSLATE(F75,""en"",""ur"")"),"یہ لکڑی کی میز پر ہے۔")</f>
        <v>یہ لکڑی کی میز پر ہے۔</v>
      </c>
      <c r="Q75" s="2" t="s">
        <v>87</v>
      </c>
      <c r="R75" s="2" t="str">
        <f>IFERROR(__xludf.DUMMYFUNCTION("GOOGLETRANSLATE(G75,""en"",""ur"")"),"یہ لکڑی کی میز پر ہے۔")</f>
        <v>یہ لکڑی کی میز پر ہے۔</v>
      </c>
      <c r="S75" s="6" t="s">
        <v>151</v>
      </c>
    </row>
    <row r="76" ht="22.5" customHeight="1">
      <c r="A76" s="4">
        <v>75.0</v>
      </c>
      <c r="B76" s="5" t="s">
        <v>46</v>
      </c>
      <c r="C76" s="5" t="s">
        <v>47</v>
      </c>
      <c r="D76" s="5" t="s">
        <v>48</v>
      </c>
      <c r="E76" s="5" t="s">
        <v>49</v>
      </c>
      <c r="F76" s="5" t="s">
        <v>50</v>
      </c>
      <c r="G76" s="5" t="s">
        <v>49</v>
      </c>
      <c r="H76" s="5" t="s">
        <v>151</v>
      </c>
      <c r="K76" s="2" t="str">
        <f>IFERROR(__xludf.DUMMYFUNCTION("GOOGLETRANSLATE(A76,""en"",""ur"")"),"75")</f>
        <v>75</v>
      </c>
      <c r="L76" s="2" t="str">
        <f>IFERROR(__xludf.DUMMYFUNCTION("GOOGLETRANSLATE(B76,""en"",""ur"")"),"کھلاڑیوں کے چہروں سے ظاہری جذبات کیا ہیں؟")</f>
        <v>کھلاڑیوں کے چہروں سے ظاہری جذبات کیا ہیں؟</v>
      </c>
      <c r="M76" s="2" t="str">
        <f>IFERROR(__xludf.DUMMYFUNCTION("GOOGLETRANSLATE(C76,""en"",""ur"")"),"پرسکون اور پر سکون")</f>
        <v>پرسکون اور پر سکون</v>
      </c>
      <c r="N76" s="2" t="str">
        <f>IFERROR(__xludf.DUMMYFUNCTION("GOOGLETRANSLATE(D76,""en"",""ur"")"),"خوف زدہ اور بے چین")</f>
        <v>خوف زدہ اور بے چین</v>
      </c>
      <c r="O76" s="2" t="str">
        <f>IFERROR(__xludf.DUMMYFUNCTION("GOOGLETRANSLATE(E76,""en"",""ur"")"),"کشیدہ اور شدید")</f>
        <v>کشیدہ اور شدید</v>
      </c>
      <c r="P76" s="2" t="str">
        <f>IFERROR(__xludf.DUMMYFUNCTION("GOOGLETRANSLATE(F76,""en"",""ur"")"),"خوش اور مسکراتے ہوئے۔")</f>
        <v>خوش اور مسکراتے ہوئے۔</v>
      </c>
      <c r="Q76" s="2" t="s">
        <v>51</v>
      </c>
      <c r="R76" s="2" t="str">
        <f>IFERROR(__xludf.DUMMYFUNCTION("GOOGLETRANSLATE(G76,""en"",""ur"")"),"کشیدہ اور شدید")</f>
        <v>کشیدہ اور شدید</v>
      </c>
      <c r="S76" s="6" t="s">
        <v>151</v>
      </c>
    </row>
    <row r="77" ht="22.5" customHeight="1">
      <c r="A77" s="4">
        <v>76.0</v>
      </c>
      <c r="B77" s="5" t="s">
        <v>88</v>
      </c>
      <c r="C77" s="5" t="s">
        <v>89</v>
      </c>
      <c r="D77" s="5" t="s">
        <v>90</v>
      </c>
      <c r="E77" s="5" t="s">
        <v>91</v>
      </c>
      <c r="F77" s="5" t="s">
        <v>92</v>
      </c>
      <c r="G77" s="5" t="s">
        <v>92</v>
      </c>
      <c r="H77" s="5" t="s">
        <v>151</v>
      </c>
      <c r="K77" s="2" t="str">
        <f>IFERROR(__xludf.DUMMYFUNCTION("GOOGLETRANSLATE(A77,""en"",""ur"")"),"76")</f>
        <v>76</v>
      </c>
      <c r="L77" s="2" t="str">
        <f>IFERROR(__xludf.DUMMYFUNCTION("GOOGLETRANSLATE(B77,""en"",""ur"")"),"زمین کی سب سے نمایاں خصوصیت کیا ہے؟")</f>
        <v>زمین کی سب سے نمایاں خصوصیت کیا ہے؟</v>
      </c>
      <c r="M77" s="2" t="str">
        <f>IFERROR(__xludf.DUMMYFUNCTION("GOOGLETRANSLATE(C77,""en"",""ur"")"),"ایک پکی سطح")</f>
        <v>ایک پکی سطح</v>
      </c>
      <c r="N77" s="2" t="str">
        <f>IFERROR(__xludf.DUMMYFUNCTION("GOOGLETRANSLATE(D77,""en"",""ur"")"),"کیچڑ والا میدان")</f>
        <v>کیچڑ والا میدان</v>
      </c>
      <c r="O77" s="2" t="str">
        <f>IFERROR(__xludf.DUMMYFUNCTION("GOOGLETRANSLATE(E77,""en"",""ur"")"),"ایک گھاس دار سطح")</f>
        <v>ایک گھاس دار سطح</v>
      </c>
      <c r="P77" s="2" t="str">
        <f>IFERROR(__xludf.DUMMYFUNCTION("GOOGLETRANSLATE(F77,""en"",""ur"")"),"لکڑی کی میز")</f>
        <v>لکڑی کی میز</v>
      </c>
      <c r="Q77" s="2" t="s">
        <v>93</v>
      </c>
      <c r="R77" s="2" t="str">
        <f>IFERROR(__xludf.DUMMYFUNCTION("GOOGLETRANSLATE(G77,""en"",""ur"")"),"لکڑی کی میز")</f>
        <v>لکڑی کی میز</v>
      </c>
      <c r="S77" s="6" t="s">
        <v>151</v>
      </c>
    </row>
    <row r="78" ht="22.5" customHeight="1">
      <c r="A78" s="4">
        <v>77.0</v>
      </c>
      <c r="B78" s="5" t="s">
        <v>94</v>
      </c>
      <c r="C78" s="5" t="s">
        <v>95</v>
      </c>
      <c r="D78" s="5" t="s">
        <v>96</v>
      </c>
      <c r="E78" s="5" t="s">
        <v>97</v>
      </c>
      <c r="F78" s="5" t="s">
        <v>31</v>
      </c>
      <c r="G78" s="5" t="s">
        <v>31</v>
      </c>
      <c r="H78" s="5" t="s">
        <v>151</v>
      </c>
      <c r="K78" s="2" t="str">
        <f>IFERROR(__xludf.DUMMYFUNCTION("GOOGLETRANSLATE(A78,""en"",""ur"")"),"77")</f>
        <v>77</v>
      </c>
      <c r="L78" s="2" t="str">
        <f>IFERROR(__xludf.DUMMYFUNCTION("GOOGLETRANSLATE(B78,""en"",""ur"")"),"کھیلے جانے والے کھیل کا نام کیا ہے؟")</f>
        <v>کھیلے جانے والے کھیل کا نام کیا ہے؟</v>
      </c>
      <c r="M78" s="2" t="str">
        <f>IFERROR(__xludf.DUMMYFUNCTION("GOOGLETRANSLATE(C78,""en"",""ur"")"),"پولو")</f>
        <v>پولو</v>
      </c>
      <c r="N78" s="2" t="str">
        <f>IFERROR(__xludf.DUMMYFUNCTION("GOOGLETRANSLATE(D78,""en"",""ur"")"),"گھوڑوں کی دوڑ")</f>
        <v>گھوڑوں کی دوڑ</v>
      </c>
      <c r="O78" s="2" t="str">
        <f>IFERROR(__xludf.DUMMYFUNCTION("GOOGLETRANSLATE(E78,""en"",""ur"")"),"بزکشی۔")</f>
        <v>بزکشی۔</v>
      </c>
      <c r="P78" s="2" t="str">
        <f>IFERROR(__xludf.DUMMYFUNCTION("GOOGLETRANSLATE(F78,""en"",""ur"")"),"چتورنگا")</f>
        <v>چتورنگا</v>
      </c>
      <c r="Q78" s="2" t="s">
        <v>98</v>
      </c>
      <c r="R78" s="2" t="str">
        <f>IFERROR(__xludf.DUMMYFUNCTION("GOOGLETRANSLATE(G78,""en"",""ur"")"),"چتورنگا")</f>
        <v>چتورنگا</v>
      </c>
      <c r="S78" s="6" t="s">
        <v>151</v>
      </c>
    </row>
    <row r="79" ht="22.5" customHeight="1">
      <c r="A79" s="4">
        <v>78.0</v>
      </c>
      <c r="B79" s="5" t="s">
        <v>99</v>
      </c>
      <c r="C79" s="5" t="s">
        <v>64</v>
      </c>
      <c r="D79" s="5" t="s">
        <v>65</v>
      </c>
      <c r="E79" s="5" t="s">
        <v>66</v>
      </c>
      <c r="F79" s="5" t="s">
        <v>67</v>
      </c>
      <c r="G79" s="5" t="s">
        <v>65</v>
      </c>
      <c r="H79" s="5" t="s">
        <v>151</v>
      </c>
      <c r="K79" s="2" t="str">
        <f>IFERROR(__xludf.DUMMYFUNCTION("GOOGLETRANSLATE(A79,""en"",""ur"")"),"78")</f>
        <v>78</v>
      </c>
      <c r="L79" s="2" t="str">
        <f>IFERROR(__xludf.DUMMYFUNCTION("GOOGLETRANSLATE(B79,""en"",""ur"")"),"یہ گیم کس ملک سے تعلق کی وجہ سے مشہور ہے؟")</f>
        <v>یہ گیم کس ملک سے تعلق کی وجہ سے مشہور ہے؟</v>
      </c>
      <c r="M79" s="2" t="str">
        <f>IFERROR(__xludf.DUMMYFUNCTION("GOOGLETRANSLATE(C79,""en"",""ur"")"),"چین")</f>
        <v>چین</v>
      </c>
      <c r="N79" s="2" t="str">
        <f>IFERROR(__xludf.DUMMYFUNCTION("GOOGLETRANSLATE(D79,""en"",""ur"")"),"انڈیا")</f>
        <v>انڈیا</v>
      </c>
      <c r="O79" s="2" t="str">
        <f>IFERROR(__xludf.DUMMYFUNCTION("GOOGLETRANSLATE(E79,""en"",""ur"")"),"یورپ")</f>
        <v>یورپ</v>
      </c>
      <c r="P79" s="2" t="str">
        <f>IFERROR(__xludf.DUMMYFUNCTION("GOOGLETRANSLATE(F79,""en"",""ur"")"),"مصر")</f>
        <v>مصر</v>
      </c>
      <c r="Q79" s="2" t="s">
        <v>68</v>
      </c>
      <c r="R79" s="2" t="str">
        <f>IFERROR(__xludf.DUMMYFUNCTION("GOOGLETRANSLATE(G79,""en"",""ur"")"),"انڈیا")</f>
        <v>انڈیا</v>
      </c>
      <c r="S79" s="6" t="s">
        <v>151</v>
      </c>
    </row>
    <row r="80" ht="22.5" customHeight="1">
      <c r="A80" s="4">
        <v>79.0</v>
      </c>
      <c r="B80" s="5" t="s">
        <v>16</v>
      </c>
      <c r="C80" s="5" t="s">
        <v>58</v>
      </c>
      <c r="D80" s="5" t="s">
        <v>59</v>
      </c>
      <c r="E80" s="5" t="s">
        <v>60</v>
      </c>
      <c r="F80" s="5" t="s">
        <v>61</v>
      </c>
      <c r="G80" s="5" t="s">
        <v>60</v>
      </c>
      <c r="H80" s="5" t="s">
        <v>151</v>
      </c>
      <c r="K80" s="2" t="str">
        <f>IFERROR(__xludf.DUMMYFUNCTION("GOOGLETRANSLATE(A80,""en"",""ur"")"),"79")</f>
        <v>79</v>
      </c>
      <c r="L80" s="2" t="str">
        <f>IFERROR(__xludf.DUMMYFUNCTION("GOOGLETRANSLATE(B80,""en"",""ur"")"),"ٹکڑوں کے بارے میں ایک قابل ذکر تفصیل کیا ہے؟")</f>
        <v>ٹکڑوں کے بارے میں ایک قابل ذکر تفصیل کیا ہے؟</v>
      </c>
      <c r="M80" s="2" t="str">
        <f>IFERROR(__xludf.DUMMYFUNCTION("GOOGLETRANSLATE(C80,""en"",""ur"")"),"وہ سب ایک ہی قد کے ہیں۔")</f>
        <v>وہ سب ایک ہی قد کے ہیں۔</v>
      </c>
      <c r="N80" s="2" t="str">
        <f>IFERROR(__xludf.DUMMYFUNCTION("GOOGLETRANSLATE(D80,""en"",""ur"")"),"وہ سب ایک ہی رنگ کے ہیں۔")</f>
        <v>وہ سب ایک ہی رنگ کے ہیں۔</v>
      </c>
      <c r="O80" s="2" t="str">
        <f>IFERROR(__xludf.DUMMYFUNCTION("GOOGLETRANSLATE(E80,""en"",""ur"")"),"وہ رنگوں اور ڈیزائنوں کا مرکب ہیں۔")</f>
        <v>وہ رنگوں اور ڈیزائنوں کا مرکب ہیں۔</v>
      </c>
      <c r="P80" s="2" t="str">
        <f>IFERROR(__xludf.DUMMYFUNCTION("GOOGLETRANSLATE(F80,""en"",""ur"")"),"وہ سب وسیع نمونوں کے ساتھ زین پہنے ہوئے ہیں۔")</f>
        <v>وہ سب وسیع نمونوں کے ساتھ زین پہنے ہوئے ہیں۔</v>
      </c>
      <c r="Q80" s="2" t="s">
        <v>62</v>
      </c>
      <c r="R80" s="2" t="str">
        <f>IFERROR(__xludf.DUMMYFUNCTION("GOOGLETRANSLATE(G80,""en"",""ur"")"),"وہ رنگوں اور ڈیزائنوں کا مرکب ہیں۔")</f>
        <v>وہ رنگوں اور ڈیزائنوں کا مرکب ہیں۔</v>
      </c>
      <c r="S80" s="6" t="s">
        <v>151</v>
      </c>
    </row>
    <row r="81" ht="22.5" customHeight="1">
      <c r="A81" s="4">
        <v>80.0</v>
      </c>
      <c r="B81" s="5" t="s">
        <v>16</v>
      </c>
      <c r="C81" s="5" t="s">
        <v>59</v>
      </c>
      <c r="D81" s="5" t="s">
        <v>60</v>
      </c>
      <c r="E81" s="5" t="s">
        <v>20</v>
      </c>
      <c r="F81" s="5" t="s">
        <v>100</v>
      </c>
      <c r="G81" s="5" t="s">
        <v>60</v>
      </c>
      <c r="H81" s="5" t="s">
        <v>151</v>
      </c>
      <c r="K81" s="2" t="str">
        <f>IFERROR(__xludf.DUMMYFUNCTION("GOOGLETRANSLATE(A81,""en"",""ur"")"),"80")</f>
        <v>80</v>
      </c>
      <c r="L81" s="2" t="str">
        <f>IFERROR(__xludf.DUMMYFUNCTION("GOOGLETRANSLATE(B81,""en"",""ur"")"),"ٹکڑوں کے بارے میں ایک قابل ذکر تفصیل کیا ہے؟")</f>
        <v>ٹکڑوں کے بارے میں ایک قابل ذکر تفصیل کیا ہے؟</v>
      </c>
      <c r="M81" s="2" t="str">
        <f>IFERROR(__xludf.DUMMYFUNCTION("GOOGLETRANSLATE(C81,""en"",""ur"")"),"وہ سب ایک ہی رنگ کے ہیں۔")</f>
        <v>وہ سب ایک ہی رنگ کے ہیں۔</v>
      </c>
      <c r="N81" s="2" t="str">
        <f>IFERROR(__xludf.DUMMYFUNCTION("GOOGLETRANSLATE(D81,""en"",""ur"")"),"وہ رنگوں اور ڈیزائنوں کا مرکب ہیں۔")</f>
        <v>وہ رنگوں اور ڈیزائنوں کا مرکب ہیں۔</v>
      </c>
      <c r="O81" s="2" t="str">
        <f>IFERROR(__xludf.DUMMYFUNCTION("GOOGLETRANSLATE(E81,""en"",""ur"")"),"وہ سب سفید فام ہیں۔")</f>
        <v>وہ سب سفید فام ہیں۔</v>
      </c>
      <c r="P81" s="2" t="str">
        <f>IFERROR(__xludf.DUMMYFUNCTION("GOOGLETRANSLATE(F81,""en"",""ur"")"),"وہ سب کالے ہیں۔")</f>
        <v>وہ سب کالے ہیں۔</v>
      </c>
      <c r="Q81" s="2" t="s">
        <v>101</v>
      </c>
      <c r="R81" s="2" t="str">
        <f>IFERROR(__xludf.DUMMYFUNCTION("GOOGLETRANSLATE(G81,""en"",""ur"")"),"وہ رنگوں اور ڈیزائنوں کا مرکب ہیں۔")</f>
        <v>وہ رنگوں اور ڈیزائنوں کا مرکب ہیں۔</v>
      </c>
      <c r="S81" s="6" t="s">
        <v>151</v>
      </c>
    </row>
    <row r="82" ht="22.5" customHeight="1">
      <c r="A82" s="4">
        <v>81.0</v>
      </c>
      <c r="B82" s="5" t="s">
        <v>152</v>
      </c>
      <c r="C82" s="5" t="s">
        <v>153</v>
      </c>
      <c r="D82" s="5" t="s">
        <v>70</v>
      </c>
      <c r="E82" s="5" t="s">
        <v>142</v>
      </c>
      <c r="F82" s="5" t="s">
        <v>14</v>
      </c>
      <c r="G82" s="5" t="s">
        <v>153</v>
      </c>
      <c r="H82" s="5" t="s">
        <v>154</v>
      </c>
      <c r="K82" s="2" t="str">
        <f>IFERROR(__xludf.DUMMYFUNCTION("GOOGLETRANSLATE(A82,""en"",""ur"")"),"81")</f>
        <v>81</v>
      </c>
      <c r="L82" s="2" t="str">
        <f>IFERROR(__xludf.DUMMYFUNCTION("GOOGLETRANSLATE(B82,""en"",""ur"")"),"چترنگا_34 میں دکھایا گیا اہم عمل کیا ہے؟")</f>
        <v>چترنگا_34 میں دکھایا گیا اہم عمل کیا ہے؟</v>
      </c>
      <c r="M82" s="2" t="str">
        <f>IFERROR(__xludf.DUMMYFUNCTION("GOOGLETRANSLATE(C82,""en"",""ur"")"),"دو لوگ شطرنج کھیل رہے ہیں۔")</f>
        <v>دو لوگ شطرنج کھیل رہے ہیں۔</v>
      </c>
      <c r="N82" s="2" t="str">
        <f>IFERROR(__xludf.DUMMYFUNCTION("GOOGLETRANSLATE(D82,""en"",""ur"")"),"روایتی ٹکڑوں کے ساتھ ایک بساط")</f>
        <v>روایتی ٹکڑوں کے ساتھ ایک بساط</v>
      </c>
      <c r="O82" s="2" t="str">
        <f>IFERROR(__xludf.DUMMYFUNCTION("GOOGLETRANSLATE(E82,""en"",""ur"")"),"لوگوں کا ایک گروپ جو گیند کا کھیل کھیل رہا ہے۔")</f>
        <v>لوگوں کا ایک گروپ جو گیند کا کھیل کھیل رہا ہے۔</v>
      </c>
      <c r="P82" s="2" t="str">
        <f>IFERROR(__xludf.DUMMYFUNCTION("GOOGLETRANSLATE(F82,""en"",""ur"")"),"شطرنج کے ٹکڑے تراشنے والا شخص")</f>
        <v>شطرنج کے ٹکڑے تراشنے والا شخص</v>
      </c>
      <c r="Q82" s="2" t="s">
        <v>155</v>
      </c>
      <c r="R82" s="2" t="str">
        <f>IFERROR(__xludf.DUMMYFUNCTION("GOOGLETRANSLATE(G82,""en"",""ur"")"),"دو لوگ شطرنج کھیل رہے ہیں۔")</f>
        <v>دو لوگ شطرنج کھیل رہے ہیں۔</v>
      </c>
      <c r="S82" s="6" t="s">
        <v>154</v>
      </c>
    </row>
    <row r="83" ht="22.5" customHeight="1">
      <c r="A83" s="4">
        <v>82.0</v>
      </c>
      <c r="B83" s="5" t="s">
        <v>76</v>
      </c>
      <c r="C83" s="5" t="s">
        <v>156</v>
      </c>
      <c r="D83" s="5" t="s">
        <v>157</v>
      </c>
      <c r="E83" s="5" t="s">
        <v>79</v>
      </c>
      <c r="F83" s="5" t="s">
        <v>107</v>
      </c>
      <c r="G83" s="5" t="s">
        <v>156</v>
      </c>
      <c r="H83" s="5" t="s">
        <v>154</v>
      </c>
      <c r="K83" s="2" t="str">
        <f>IFERROR(__xludf.DUMMYFUNCTION("GOOGLETRANSLATE(A83,""en"",""ur"")"),"82")</f>
        <v>82</v>
      </c>
      <c r="L83" s="2" t="str">
        <f>IFERROR(__xludf.DUMMYFUNCTION("GOOGLETRANSLATE(B83,""en"",""ur"")"),"بورڈ اور ٹکڑوں کے بارے میں ایک قابل ذکر تفصیل کیا ہے؟")</f>
        <v>بورڈ اور ٹکڑوں کے بارے میں ایک قابل ذکر تفصیل کیا ہے؟</v>
      </c>
      <c r="M83" s="2" t="str">
        <f>IFERROR(__xludf.DUMMYFUNCTION("GOOGLETRANSLATE(C83,""en"",""ur"")"),"بورڈ ایک سادہ کپڑا ہے جس پر ٹکڑے ہیں۔")</f>
        <v>بورڈ ایک سادہ کپڑا ہے جس پر ٹکڑے ہیں۔</v>
      </c>
      <c r="N83" s="2" t="str">
        <f>IFERROR(__xludf.DUMMYFUNCTION("GOOGLETRANSLATE(D83,""en"",""ur"")"),"بورڈ لکڑی کی میز ہے۔")</f>
        <v>بورڈ لکڑی کی میز ہے۔</v>
      </c>
      <c r="O83" s="2" t="str">
        <f>IFERROR(__xludf.DUMMYFUNCTION("GOOGLETRANSLATE(E83,""en"",""ur"")"),"بورڈ ایک ٹھوس رنگ ہے")</f>
        <v>بورڈ ایک ٹھوس رنگ ہے</v>
      </c>
      <c r="P83" s="2" t="str">
        <f>IFERROR(__xludf.DUMMYFUNCTION("GOOGLETRANSLATE(F83,""en"",""ur"")"),"ٹکڑے تمام سفید ہیں۔")</f>
        <v>ٹکڑے تمام سفید ہیں۔</v>
      </c>
      <c r="Q83" s="2" t="s">
        <v>158</v>
      </c>
      <c r="R83" s="2" t="str">
        <f>IFERROR(__xludf.DUMMYFUNCTION("GOOGLETRANSLATE(G83,""en"",""ur"")"),"بورڈ ایک سادہ کپڑا ہے جس پر ٹکڑے ہیں۔")</f>
        <v>بورڈ ایک سادہ کپڑا ہے جس پر ٹکڑے ہیں۔</v>
      </c>
      <c r="S83" s="6" t="s">
        <v>154</v>
      </c>
    </row>
    <row r="84" ht="22.5" customHeight="1">
      <c r="A84" s="4">
        <v>83.0</v>
      </c>
      <c r="B84" s="5" t="s">
        <v>81</v>
      </c>
      <c r="C84" s="5" t="s">
        <v>17</v>
      </c>
      <c r="D84" s="5" t="s">
        <v>18</v>
      </c>
      <c r="E84" s="5" t="s">
        <v>19</v>
      </c>
      <c r="F84" s="5" t="s">
        <v>20</v>
      </c>
      <c r="G84" s="5" t="s">
        <v>19</v>
      </c>
      <c r="H84" s="5" t="s">
        <v>154</v>
      </c>
      <c r="K84" s="2" t="str">
        <f>IFERROR(__xludf.DUMMYFUNCTION("GOOGLETRANSLATE(A84,""en"",""ur"")"),"83")</f>
        <v>83</v>
      </c>
      <c r="L84" s="2" t="str">
        <f>IFERROR(__xludf.DUMMYFUNCTION("GOOGLETRANSLATE(B84,""en"",""ur"")"),"ٹکڑوں کے ڈیزائن کے بارے میں واضح تفصیل کیا ہے؟")</f>
        <v>ٹکڑوں کے ڈیزائن کے بارے میں واضح تفصیل کیا ہے؟</v>
      </c>
      <c r="M84" s="2" t="str">
        <f>IFERROR(__xludf.DUMMYFUNCTION("GOOGLETRANSLATE(C84,""en"",""ur"")"),"وہ سب ایک جیسے ہیں۔")</f>
        <v>وہ سب ایک جیسے ہیں۔</v>
      </c>
      <c r="N84" s="2" t="str">
        <f>IFERROR(__xludf.DUMMYFUNCTION("GOOGLETRANSLATE(D84,""en"",""ur"")"),"وہ ایک تاریخی فوج کی نمائندگی کرنے والی انتہائی اسٹائلائزڈ شخصیات ہیں۔")</f>
        <v>وہ ایک تاریخی فوج کی نمائندگی کرنے والی انتہائی اسٹائلائزڈ شخصیات ہیں۔</v>
      </c>
      <c r="O84" s="2" t="str">
        <f>IFERROR(__xludf.DUMMYFUNCTION("GOOGLETRANSLATE(E84,""en"",""ur"")"),"وہ پلاسٹک سے بنے ہیں۔")</f>
        <v>وہ پلاسٹک سے بنے ہیں۔</v>
      </c>
      <c r="P84" s="2" t="str">
        <f>IFERROR(__xludf.DUMMYFUNCTION("GOOGLETRANSLATE(F84,""en"",""ur"")"),"وہ سب سفید فام ہیں۔")</f>
        <v>وہ سب سفید فام ہیں۔</v>
      </c>
      <c r="Q84" s="2" t="s">
        <v>21</v>
      </c>
      <c r="R84" s="2" t="str">
        <f>IFERROR(__xludf.DUMMYFUNCTION("GOOGLETRANSLATE(G84,""en"",""ur"")"),"وہ پلاسٹک سے بنے ہیں۔")</f>
        <v>وہ پلاسٹک سے بنے ہیں۔</v>
      </c>
      <c r="S84" s="6" t="s">
        <v>154</v>
      </c>
    </row>
    <row r="85" ht="22.5" customHeight="1">
      <c r="A85" s="4">
        <v>84.0</v>
      </c>
      <c r="B85" s="5" t="s">
        <v>82</v>
      </c>
      <c r="C85" s="5" t="s">
        <v>83</v>
      </c>
      <c r="D85" s="5" t="s">
        <v>84</v>
      </c>
      <c r="E85" s="5" t="s">
        <v>85</v>
      </c>
      <c r="F85" s="5" t="s">
        <v>113</v>
      </c>
      <c r="G85" s="5" t="s">
        <v>113</v>
      </c>
      <c r="H85" s="5" t="s">
        <v>154</v>
      </c>
      <c r="K85" s="2" t="str">
        <f>IFERROR(__xludf.DUMMYFUNCTION("GOOGLETRANSLATE(A85,""en"",""ur"")"),"84")</f>
        <v>84</v>
      </c>
      <c r="L85" s="2" t="str">
        <f>IFERROR(__xludf.DUMMYFUNCTION("GOOGLETRANSLATE(B85,""en"",""ur"")"),"اس گیم کی ظاہری ترتیب کیا ہے؟")</f>
        <v>اس گیم کی ظاہری ترتیب کیا ہے؟</v>
      </c>
      <c r="M85" s="2" t="str">
        <f>IFERROR(__xludf.DUMMYFUNCTION("GOOGLETRANSLATE(C85,""en"",""ur"")"),"یہ ایک بڑے اسٹیڈیم پر ہے۔")</f>
        <v>یہ ایک بڑے اسٹیڈیم پر ہے۔</v>
      </c>
      <c r="N85" s="2" t="str">
        <f>IFERROR(__xludf.DUMMYFUNCTION("GOOGLETRANSLATE(D85,""en"",""ur"")"),"یہ پہاڑی، پتھریلی علاقے میں ایک میدان میں ہے۔")</f>
        <v>یہ پہاڑی، پتھریلی علاقے میں ایک میدان میں ہے۔</v>
      </c>
      <c r="O85" s="2" t="str">
        <f>IFERROR(__xludf.DUMMYFUNCTION("GOOGLETRANSLATE(E85,""en"",""ur"")"),"یہ شہر کی سڑک پر ہے۔")</f>
        <v>یہ شہر کی سڑک پر ہے۔</v>
      </c>
      <c r="P85" s="2" t="str">
        <f>IFERROR(__xludf.DUMMYFUNCTION("GOOGLETRANSLATE(F85,""en"",""ur"")"),"یہ ایک میز پر ہے۔")</f>
        <v>یہ ایک میز پر ہے۔</v>
      </c>
      <c r="Q85" s="2" t="s">
        <v>114</v>
      </c>
      <c r="R85" s="2" t="str">
        <f>IFERROR(__xludf.DUMMYFUNCTION("GOOGLETRANSLATE(G85,""en"",""ur"")"),"یہ ایک میز پر ہے۔")</f>
        <v>یہ ایک میز پر ہے۔</v>
      </c>
      <c r="S85" s="6" t="s">
        <v>154</v>
      </c>
    </row>
    <row r="86" ht="22.5" customHeight="1">
      <c r="A86" s="4">
        <v>85.0</v>
      </c>
      <c r="B86" s="5" t="s">
        <v>46</v>
      </c>
      <c r="C86" s="5" t="s">
        <v>47</v>
      </c>
      <c r="D86" s="5" t="s">
        <v>48</v>
      </c>
      <c r="E86" s="5" t="s">
        <v>49</v>
      </c>
      <c r="F86" s="5" t="s">
        <v>50</v>
      </c>
      <c r="G86" s="5" t="s">
        <v>49</v>
      </c>
      <c r="H86" s="5" t="s">
        <v>154</v>
      </c>
      <c r="K86" s="2" t="str">
        <f>IFERROR(__xludf.DUMMYFUNCTION("GOOGLETRANSLATE(A86,""en"",""ur"")"),"85")</f>
        <v>85</v>
      </c>
      <c r="L86" s="2" t="str">
        <f>IFERROR(__xludf.DUMMYFUNCTION("GOOGLETRANSLATE(B86,""en"",""ur"")"),"کھلاڑیوں کے چہروں سے ظاہری جذبات کیا ہیں؟")</f>
        <v>کھلاڑیوں کے چہروں سے ظاہری جذبات کیا ہیں؟</v>
      </c>
      <c r="M86" s="2" t="str">
        <f>IFERROR(__xludf.DUMMYFUNCTION("GOOGLETRANSLATE(C86,""en"",""ur"")"),"پرسکون اور پر سکون")</f>
        <v>پرسکون اور پر سکون</v>
      </c>
      <c r="N86" s="2" t="str">
        <f>IFERROR(__xludf.DUMMYFUNCTION("GOOGLETRANSLATE(D86,""en"",""ur"")"),"خوف زدہ اور بے چین")</f>
        <v>خوف زدہ اور بے چین</v>
      </c>
      <c r="O86" s="2" t="str">
        <f>IFERROR(__xludf.DUMMYFUNCTION("GOOGLETRANSLATE(E86,""en"",""ur"")"),"کشیدہ اور شدید")</f>
        <v>کشیدہ اور شدید</v>
      </c>
      <c r="P86" s="2" t="str">
        <f>IFERROR(__xludf.DUMMYFUNCTION("GOOGLETRANSLATE(F86,""en"",""ur"")"),"خوش اور مسکراتے ہوئے۔")</f>
        <v>خوش اور مسکراتے ہوئے۔</v>
      </c>
      <c r="Q86" s="2" t="s">
        <v>51</v>
      </c>
      <c r="R86" s="2" t="str">
        <f>IFERROR(__xludf.DUMMYFUNCTION("GOOGLETRANSLATE(G86,""en"",""ur"")"),"کشیدہ اور شدید")</f>
        <v>کشیدہ اور شدید</v>
      </c>
      <c r="S86" s="6" t="s">
        <v>154</v>
      </c>
    </row>
    <row r="87" ht="22.5" customHeight="1">
      <c r="A87" s="4">
        <v>86.0</v>
      </c>
      <c r="B87" s="5" t="s">
        <v>88</v>
      </c>
      <c r="C87" s="5" t="s">
        <v>89</v>
      </c>
      <c r="D87" s="5" t="s">
        <v>90</v>
      </c>
      <c r="E87" s="5" t="s">
        <v>91</v>
      </c>
      <c r="F87" s="5" t="s">
        <v>159</v>
      </c>
      <c r="G87" s="5" t="s">
        <v>159</v>
      </c>
      <c r="H87" s="5" t="s">
        <v>154</v>
      </c>
      <c r="K87" s="2" t="str">
        <f>IFERROR(__xludf.DUMMYFUNCTION("GOOGLETRANSLATE(A87,""en"",""ur"")"),"86")</f>
        <v>86</v>
      </c>
      <c r="L87" s="2" t="str">
        <f>IFERROR(__xludf.DUMMYFUNCTION("GOOGLETRANSLATE(B87,""en"",""ur"")"),"زمین کی سب سے نمایاں خصوصیت کیا ہے؟")</f>
        <v>زمین کی سب سے نمایاں خصوصیت کیا ہے؟</v>
      </c>
      <c r="M87" s="2" t="str">
        <f>IFERROR(__xludf.DUMMYFUNCTION("GOOGLETRANSLATE(C87,""en"",""ur"")"),"ایک پکی سطح")</f>
        <v>ایک پکی سطح</v>
      </c>
      <c r="N87" s="2" t="str">
        <f>IFERROR(__xludf.DUMMYFUNCTION("GOOGLETRANSLATE(D87,""en"",""ur"")"),"کیچڑ والا میدان")</f>
        <v>کیچڑ والا میدان</v>
      </c>
      <c r="O87" s="2" t="str">
        <f>IFERROR(__xludf.DUMMYFUNCTION("GOOGLETRANSLATE(E87,""en"",""ur"")"),"ایک گھاس دار سطح")</f>
        <v>ایک گھاس دار سطح</v>
      </c>
      <c r="P87" s="2" t="str">
        <f>IFERROR(__xludf.DUMMYFUNCTION("GOOGLETRANSLATE(F87,""en"",""ur"")"),"ایک میز")</f>
        <v>ایک میز</v>
      </c>
      <c r="Q87" s="2" t="s">
        <v>160</v>
      </c>
      <c r="R87" s="2" t="str">
        <f>IFERROR(__xludf.DUMMYFUNCTION("GOOGLETRANSLATE(G87,""en"",""ur"")"),"ایک میز")</f>
        <v>ایک میز</v>
      </c>
      <c r="S87" s="6" t="s">
        <v>154</v>
      </c>
    </row>
    <row r="88" ht="22.5" customHeight="1">
      <c r="A88" s="4">
        <v>87.0</v>
      </c>
      <c r="B88" s="5" t="s">
        <v>94</v>
      </c>
      <c r="C88" s="5" t="s">
        <v>95</v>
      </c>
      <c r="D88" s="5" t="s">
        <v>96</v>
      </c>
      <c r="E88" s="5" t="s">
        <v>97</v>
      </c>
      <c r="F88" s="5" t="s">
        <v>31</v>
      </c>
      <c r="G88" s="5" t="s">
        <v>31</v>
      </c>
      <c r="H88" s="5" t="s">
        <v>154</v>
      </c>
      <c r="K88" s="2" t="str">
        <f>IFERROR(__xludf.DUMMYFUNCTION("GOOGLETRANSLATE(A88,""en"",""ur"")"),"87")</f>
        <v>87</v>
      </c>
      <c r="L88" s="2" t="str">
        <f>IFERROR(__xludf.DUMMYFUNCTION("GOOGLETRANSLATE(B88,""en"",""ur"")"),"کھیلے جانے والے کھیل کا نام کیا ہے؟")</f>
        <v>کھیلے جانے والے کھیل کا نام کیا ہے؟</v>
      </c>
      <c r="M88" s="2" t="str">
        <f>IFERROR(__xludf.DUMMYFUNCTION("GOOGLETRANSLATE(C88,""en"",""ur"")"),"پولو")</f>
        <v>پولو</v>
      </c>
      <c r="N88" s="2" t="str">
        <f>IFERROR(__xludf.DUMMYFUNCTION("GOOGLETRANSLATE(D88,""en"",""ur"")"),"گھوڑوں کی دوڑ")</f>
        <v>گھوڑوں کی دوڑ</v>
      </c>
      <c r="O88" s="2" t="str">
        <f>IFERROR(__xludf.DUMMYFUNCTION("GOOGLETRANSLATE(E88,""en"",""ur"")"),"بزکشی۔")</f>
        <v>بزکشی۔</v>
      </c>
      <c r="P88" s="2" t="str">
        <f>IFERROR(__xludf.DUMMYFUNCTION("GOOGLETRANSLATE(F88,""en"",""ur"")"),"چتورنگا")</f>
        <v>چتورنگا</v>
      </c>
      <c r="Q88" s="2" t="s">
        <v>98</v>
      </c>
      <c r="R88" s="2" t="str">
        <f>IFERROR(__xludf.DUMMYFUNCTION("GOOGLETRANSLATE(G88,""en"",""ur"")"),"چتورنگا")</f>
        <v>چتورنگا</v>
      </c>
      <c r="S88" s="6" t="s">
        <v>154</v>
      </c>
    </row>
    <row r="89" ht="22.5" customHeight="1">
      <c r="A89" s="4">
        <v>88.0</v>
      </c>
      <c r="B89" s="5" t="s">
        <v>99</v>
      </c>
      <c r="C89" s="5" t="s">
        <v>64</v>
      </c>
      <c r="D89" s="5" t="s">
        <v>65</v>
      </c>
      <c r="E89" s="5" t="s">
        <v>66</v>
      </c>
      <c r="F89" s="5" t="s">
        <v>67</v>
      </c>
      <c r="G89" s="5" t="s">
        <v>65</v>
      </c>
      <c r="H89" s="5" t="s">
        <v>154</v>
      </c>
      <c r="K89" s="2" t="str">
        <f>IFERROR(__xludf.DUMMYFUNCTION("GOOGLETRANSLATE(A89,""en"",""ur"")"),"88")</f>
        <v>88</v>
      </c>
      <c r="L89" s="2" t="str">
        <f>IFERROR(__xludf.DUMMYFUNCTION("GOOGLETRANSLATE(B89,""en"",""ur"")"),"یہ گیم کس ملک سے تعلق کی وجہ سے مشہور ہے؟")</f>
        <v>یہ گیم کس ملک سے تعلق کی وجہ سے مشہور ہے؟</v>
      </c>
      <c r="M89" s="2" t="str">
        <f>IFERROR(__xludf.DUMMYFUNCTION("GOOGLETRANSLATE(C89,""en"",""ur"")"),"چین")</f>
        <v>چین</v>
      </c>
      <c r="N89" s="2" t="str">
        <f>IFERROR(__xludf.DUMMYFUNCTION("GOOGLETRANSLATE(D89,""en"",""ur"")"),"انڈیا")</f>
        <v>انڈیا</v>
      </c>
      <c r="O89" s="2" t="str">
        <f>IFERROR(__xludf.DUMMYFUNCTION("GOOGLETRANSLATE(E89,""en"",""ur"")"),"یورپ")</f>
        <v>یورپ</v>
      </c>
      <c r="P89" s="2" t="str">
        <f>IFERROR(__xludf.DUMMYFUNCTION("GOOGLETRANSLATE(F89,""en"",""ur"")"),"مصر")</f>
        <v>مصر</v>
      </c>
      <c r="Q89" s="2" t="s">
        <v>68</v>
      </c>
      <c r="R89" s="2" t="str">
        <f>IFERROR(__xludf.DUMMYFUNCTION("GOOGLETRANSLATE(G89,""en"",""ur"")"),"انڈیا")</f>
        <v>انڈیا</v>
      </c>
      <c r="S89" s="6" t="s">
        <v>154</v>
      </c>
    </row>
    <row r="90" ht="22.5" customHeight="1">
      <c r="A90" s="4">
        <v>89.0</v>
      </c>
      <c r="B90" s="5" t="s">
        <v>16</v>
      </c>
      <c r="C90" s="5" t="s">
        <v>58</v>
      </c>
      <c r="D90" s="5" t="s">
        <v>59</v>
      </c>
      <c r="E90" s="5" t="s">
        <v>60</v>
      </c>
      <c r="F90" s="5" t="s">
        <v>61</v>
      </c>
      <c r="G90" s="5" t="s">
        <v>60</v>
      </c>
      <c r="H90" s="5" t="s">
        <v>154</v>
      </c>
      <c r="K90" s="2" t="str">
        <f>IFERROR(__xludf.DUMMYFUNCTION("GOOGLETRANSLATE(A90,""en"",""ur"")"),"89")</f>
        <v>89</v>
      </c>
      <c r="L90" s="2" t="str">
        <f>IFERROR(__xludf.DUMMYFUNCTION("GOOGLETRANSLATE(B90,""en"",""ur"")"),"ٹکڑوں کے بارے میں ایک قابل ذکر تفصیل کیا ہے؟")</f>
        <v>ٹکڑوں کے بارے میں ایک قابل ذکر تفصیل کیا ہے؟</v>
      </c>
      <c r="M90" s="2" t="str">
        <f>IFERROR(__xludf.DUMMYFUNCTION("GOOGLETRANSLATE(C90,""en"",""ur"")"),"وہ سب ایک ہی قد کے ہیں۔")</f>
        <v>وہ سب ایک ہی قد کے ہیں۔</v>
      </c>
      <c r="N90" s="2" t="str">
        <f>IFERROR(__xludf.DUMMYFUNCTION("GOOGLETRANSLATE(D90,""en"",""ur"")"),"وہ سب ایک ہی رنگ کے ہیں۔")</f>
        <v>وہ سب ایک ہی رنگ کے ہیں۔</v>
      </c>
      <c r="O90" s="2" t="str">
        <f>IFERROR(__xludf.DUMMYFUNCTION("GOOGLETRANSLATE(E90,""en"",""ur"")"),"وہ رنگوں اور ڈیزائنوں کا مرکب ہیں۔")</f>
        <v>وہ رنگوں اور ڈیزائنوں کا مرکب ہیں۔</v>
      </c>
      <c r="P90" s="2" t="str">
        <f>IFERROR(__xludf.DUMMYFUNCTION("GOOGLETRANSLATE(F90,""en"",""ur"")"),"وہ سب وسیع نمونوں کے ساتھ زین پہنے ہوئے ہیں۔")</f>
        <v>وہ سب وسیع نمونوں کے ساتھ زین پہنے ہوئے ہیں۔</v>
      </c>
      <c r="Q90" s="2" t="s">
        <v>62</v>
      </c>
      <c r="R90" s="2" t="str">
        <f>IFERROR(__xludf.DUMMYFUNCTION("GOOGLETRANSLATE(G90,""en"",""ur"")"),"وہ رنگوں اور ڈیزائنوں کا مرکب ہیں۔")</f>
        <v>وہ رنگوں اور ڈیزائنوں کا مرکب ہیں۔</v>
      </c>
      <c r="S90" s="6" t="s">
        <v>154</v>
      </c>
    </row>
    <row r="91" ht="22.5" customHeight="1">
      <c r="A91" s="4">
        <v>90.0</v>
      </c>
      <c r="B91" s="5" t="s">
        <v>16</v>
      </c>
      <c r="C91" s="5" t="s">
        <v>59</v>
      </c>
      <c r="D91" s="5" t="s">
        <v>60</v>
      </c>
      <c r="E91" s="5" t="s">
        <v>20</v>
      </c>
      <c r="F91" s="5" t="s">
        <v>100</v>
      </c>
      <c r="G91" s="5" t="s">
        <v>60</v>
      </c>
      <c r="H91" s="5" t="s">
        <v>154</v>
      </c>
      <c r="K91" s="2" t="str">
        <f>IFERROR(__xludf.DUMMYFUNCTION("GOOGLETRANSLATE(A91,""en"",""ur"")"),"90")</f>
        <v>90</v>
      </c>
      <c r="L91" s="2" t="str">
        <f>IFERROR(__xludf.DUMMYFUNCTION("GOOGLETRANSLATE(B91,""en"",""ur"")"),"ٹکڑوں کے بارے میں ایک قابل ذکر تفصیل کیا ہے؟")</f>
        <v>ٹکڑوں کے بارے میں ایک قابل ذکر تفصیل کیا ہے؟</v>
      </c>
      <c r="M91" s="2" t="str">
        <f>IFERROR(__xludf.DUMMYFUNCTION("GOOGLETRANSLATE(C91,""en"",""ur"")"),"وہ سب ایک ہی رنگ کے ہیں۔")</f>
        <v>وہ سب ایک ہی رنگ کے ہیں۔</v>
      </c>
      <c r="N91" s="2" t="str">
        <f>IFERROR(__xludf.DUMMYFUNCTION("GOOGLETRANSLATE(D91,""en"",""ur"")"),"وہ رنگوں اور ڈیزائنوں کا مرکب ہیں۔")</f>
        <v>وہ رنگوں اور ڈیزائنوں کا مرکب ہیں۔</v>
      </c>
      <c r="O91" s="2" t="str">
        <f>IFERROR(__xludf.DUMMYFUNCTION("GOOGLETRANSLATE(E91,""en"",""ur"")"),"وہ سب سفید فام ہیں۔")</f>
        <v>وہ سب سفید فام ہیں۔</v>
      </c>
      <c r="P91" s="2" t="str">
        <f>IFERROR(__xludf.DUMMYFUNCTION("GOOGLETRANSLATE(F91,""en"",""ur"")"),"وہ سب کالے ہیں۔")</f>
        <v>وہ سب کالے ہیں۔</v>
      </c>
      <c r="Q91" s="2" t="s">
        <v>101</v>
      </c>
      <c r="R91" s="2" t="str">
        <f>IFERROR(__xludf.DUMMYFUNCTION("GOOGLETRANSLATE(G91,""en"",""ur"")"),"وہ رنگوں اور ڈیزائنوں کا مرکب ہیں۔")</f>
        <v>وہ رنگوں اور ڈیزائنوں کا مرکب ہیں۔</v>
      </c>
      <c r="S91" s="6" t="s">
        <v>154</v>
      </c>
    </row>
    <row r="92" ht="22.5" customHeight="1">
      <c r="A92" s="4">
        <v>91.0</v>
      </c>
      <c r="B92" s="5" t="s">
        <v>161</v>
      </c>
      <c r="C92" s="5" t="s">
        <v>162</v>
      </c>
      <c r="D92" s="5" t="s">
        <v>70</v>
      </c>
      <c r="E92" s="5" t="s">
        <v>142</v>
      </c>
      <c r="F92" s="5" t="s">
        <v>14</v>
      </c>
      <c r="G92" s="5" t="s">
        <v>162</v>
      </c>
      <c r="H92" s="5" t="s">
        <v>163</v>
      </c>
      <c r="K92" s="2" t="str">
        <f>IFERROR(__xludf.DUMMYFUNCTION("GOOGLETRANSLATE(A92,""en"",""ur"")"),"91")</f>
        <v>91</v>
      </c>
      <c r="L92" s="2" t="str">
        <f>IFERROR(__xludf.DUMMYFUNCTION("GOOGLETRANSLATE(B92,""en"",""ur"")"),"چترنگا_40 میں دکھایا گیا اہم عمل کیا ہے؟")</f>
        <v>چترنگا_40 میں دکھایا گیا اہم عمل کیا ہے؟</v>
      </c>
      <c r="M92" s="2" t="str">
        <f>IFERROR(__xludf.DUMMYFUNCTION("GOOGLETRANSLATE(C92,""en"",""ur"")"),"دو آدمی شطرنج کھیل رہے ہیں۔")</f>
        <v>دو آدمی شطرنج کھیل رہے ہیں۔</v>
      </c>
      <c r="N92" s="2" t="str">
        <f>IFERROR(__xludf.DUMMYFUNCTION("GOOGLETRANSLATE(D92,""en"",""ur"")"),"روایتی ٹکڑوں کے ساتھ ایک بساط")</f>
        <v>روایتی ٹکڑوں کے ساتھ ایک بساط</v>
      </c>
      <c r="O92" s="2" t="str">
        <f>IFERROR(__xludf.DUMMYFUNCTION("GOOGLETRANSLATE(E92,""en"",""ur"")"),"لوگوں کا ایک گروپ جو گیند کا کھیل کھیل رہا ہے۔")</f>
        <v>لوگوں کا ایک گروپ جو گیند کا کھیل کھیل رہا ہے۔</v>
      </c>
      <c r="P92" s="2" t="str">
        <f>IFERROR(__xludf.DUMMYFUNCTION("GOOGLETRANSLATE(F92,""en"",""ur"")"),"شطرنج کے ٹکڑے تراشنے والا شخص")</f>
        <v>شطرنج کے ٹکڑے تراشنے والا شخص</v>
      </c>
      <c r="Q92" s="2" t="s">
        <v>164</v>
      </c>
      <c r="R92" s="2" t="str">
        <f>IFERROR(__xludf.DUMMYFUNCTION("GOOGLETRANSLATE(G92,""en"",""ur"")"),"دو آدمی شطرنج کھیل رہے ہیں۔")</f>
        <v>دو آدمی شطرنج کھیل رہے ہیں۔</v>
      </c>
      <c r="S92" s="6" t="s">
        <v>163</v>
      </c>
    </row>
    <row r="93" ht="22.5" customHeight="1">
      <c r="A93" s="4">
        <v>92.0</v>
      </c>
      <c r="B93" s="5" t="s">
        <v>76</v>
      </c>
      <c r="C93" s="5" t="s">
        <v>156</v>
      </c>
      <c r="D93" s="5" t="s">
        <v>157</v>
      </c>
      <c r="E93" s="5" t="s">
        <v>79</v>
      </c>
      <c r="F93" s="5" t="s">
        <v>107</v>
      </c>
      <c r="G93" s="5" t="s">
        <v>157</v>
      </c>
      <c r="H93" s="5" t="s">
        <v>163</v>
      </c>
      <c r="K93" s="2" t="str">
        <f>IFERROR(__xludf.DUMMYFUNCTION("GOOGLETRANSLATE(A93,""en"",""ur"")"),"92")</f>
        <v>92</v>
      </c>
      <c r="L93" s="2" t="str">
        <f>IFERROR(__xludf.DUMMYFUNCTION("GOOGLETRANSLATE(B93,""en"",""ur"")"),"بورڈ اور ٹکڑوں کے بارے میں ایک قابل ذکر تفصیل کیا ہے؟")</f>
        <v>بورڈ اور ٹکڑوں کے بارے میں ایک قابل ذکر تفصیل کیا ہے؟</v>
      </c>
      <c r="M93" s="2" t="str">
        <f>IFERROR(__xludf.DUMMYFUNCTION("GOOGLETRANSLATE(C93,""en"",""ur"")"),"بورڈ ایک سادہ کپڑا ہے جس پر ٹکڑے ہیں۔")</f>
        <v>بورڈ ایک سادہ کپڑا ہے جس پر ٹکڑے ہیں۔</v>
      </c>
      <c r="N93" s="2" t="str">
        <f>IFERROR(__xludf.DUMMYFUNCTION("GOOGLETRANSLATE(D93,""en"",""ur"")"),"بورڈ لکڑی کی میز ہے۔")</f>
        <v>بورڈ لکڑی کی میز ہے۔</v>
      </c>
      <c r="O93" s="2" t="str">
        <f>IFERROR(__xludf.DUMMYFUNCTION("GOOGLETRANSLATE(E93,""en"",""ur"")"),"بورڈ ایک ٹھوس رنگ ہے")</f>
        <v>بورڈ ایک ٹھوس رنگ ہے</v>
      </c>
      <c r="P93" s="2" t="str">
        <f>IFERROR(__xludf.DUMMYFUNCTION("GOOGLETRANSLATE(F93,""en"",""ur"")"),"ٹکڑے تمام سفید ہیں۔")</f>
        <v>ٹکڑے تمام سفید ہیں۔</v>
      </c>
      <c r="Q93" s="2" t="s">
        <v>158</v>
      </c>
      <c r="R93" s="2" t="str">
        <f>IFERROR(__xludf.DUMMYFUNCTION("GOOGLETRANSLATE(G93,""en"",""ur"")"),"بورڈ لکڑی کی میز ہے۔")</f>
        <v>بورڈ لکڑی کی میز ہے۔</v>
      </c>
      <c r="S93" s="6" t="s">
        <v>163</v>
      </c>
    </row>
    <row r="94" ht="22.5" customHeight="1">
      <c r="A94" s="4">
        <v>93.0</v>
      </c>
      <c r="B94" s="5" t="s">
        <v>81</v>
      </c>
      <c r="C94" s="5" t="s">
        <v>17</v>
      </c>
      <c r="D94" s="5" t="s">
        <v>18</v>
      </c>
      <c r="E94" s="5" t="s">
        <v>19</v>
      </c>
      <c r="F94" s="5" t="s">
        <v>20</v>
      </c>
      <c r="G94" s="5" t="s">
        <v>20</v>
      </c>
      <c r="H94" s="5" t="s">
        <v>163</v>
      </c>
      <c r="K94" s="2" t="str">
        <f>IFERROR(__xludf.DUMMYFUNCTION("GOOGLETRANSLATE(A94,""en"",""ur"")"),"93")</f>
        <v>93</v>
      </c>
      <c r="L94" s="2" t="str">
        <f>IFERROR(__xludf.DUMMYFUNCTION("GOOGLETRANSLATE(B94,""en"",""ur"")"),"ٹکڑوں کے ڈیزائن کے بارے میں واضح تفصیل کیا ہے؟")</f>
        <v>ٹکڑوں کے ڈیزائن کے بارے میں واضح تفصیل کیا ہے؟</v>
      </c>
      <c r="M94" s="2" t="str">
        <f>IFERROR(__xludf.DUMMYFUNCTION("GOOGLETRANSLATE(C94,""en"",""ur"")"),"وہ سب ایک جیسے ہیں۔")</f>
        <v>وہ سب ایک جیسے ہیں۔</v>
      </c>
      <c r="N94" s="2" t="str">
        <f>IFERROR(__xludf.DUMMYFUNCTION("GOOGLETRANSLATE(D94,""en"",""ur"")"),"وہ ایک تاریخی فوج کی نمائندگی کرنے والی انتہائی اسٹائلائزڈ شخصیات ہیں۔")</f>
        <v>وہ ایک تاریخی فوج کی نمائندگی کرنے والی انتہائی اسٹائلائزڈ شخصیات ہیں۔</v>
      </c>
      <c r="O94" s="2" t="str">
        <f>IFERROR(__xludf.DUMMYFUNCTION("GOOGLETRANSLATE(E94,""en"",""ur"")"),"وہ پلاسٹک سے بنے ہیں۔")</f>
        <v>وہ پلاسٹک سے بنے ہیں۔</v>
      </c>
      <c r="P94" s="2" t="str">
        <f>IFERROR(__xludf.DUMMYFUNCTION("GOOGLETRANSLATE(F94,""en"",""ur"")"),"وہ سب سفید فام ہیں۔")</f>
        <v>وہ سب سفید فام ہیں۔</v>
      </c>
      <c r="Q94" s="2" t="s">
        <v>21</v>
      </c>
      <c r="R94" s="2" t="str">
        <f>IFERROR(__xludf.DUMMYFUNCTION("GOOGLETRANSLATE(G94,""en"",""ur"")"),"وہ سب سفید فام ہیں۔")</f>
        <v>وہ سب سفید فام ہیں۔</v>
      </c>
      <c r="S94" s="6" t="s">
        <v>163</v>
      </c>
    </row>
    <row r="95" ht="22.5" customHeight="1">
      <c r="A95" s="4">
        <v>94.0</v>
      </c>
      <c r="B95" s="5" t="s">
        <v>82</v>
      </c>
      <c r="C95" s="5" t="s">
        <v>83</v>
      </c>
      <c r="D95" s="5" t="s">
        <v>84</v>
      </c>
      <c r="E95" s="5" t="s">
        <v>85</v>
      </c>
      <c r="F95" s="5" t="s">
        <v>113</v>
      </c>
      <c r="G95" s="5" t="s">
        <v>113</v>
      </c>
      <c r="H95" s="5" t="s">
        <v>163</v>
      </c>
      <c r="K95" s="2" t="str">
        <f>IFERROR(__xludf.DUMMYFUNCTION("GOOGLETRANSLATE(A95,""en"",""ur"")"),"94")</f>
        <v>94</v>
      </c>
      <c r="L95" s="2" t="str">
        <f>IFERROR(__xludf.DUMMYFUNCTION("GOOGLETRANSLATE(B95,""en"",""ur"")"),"اس گیم کی ظاہری ترتیب کیا ہے؟")</f>
        <v>اس گیم کی ظاہری ترتیب کیا ہے؟</v>
      </c>
      <c r="M95" s="2" t="str">
        <f>IFERROR(__xludf.DUMMYFUNCTION("GOOGLETRANSLATE(C95,""en"",""ur"")"),"یہ ایک بڑے اسٹیڈیم پر ہے۔")</f>
        <v>یہ ایک بڑے اسٹیڈیم پر ہے۔</v>
      </c>
      <c r="N95" s="2" t="str">
        <f>IFERROR(__xludf.DUMMYFUNCTION("GOOGLETRANSLATE(D95,""en"",""ur"")"),"یہ پہاڑی، پتھریلی علاقے میں ایک میدان میں ہے۔")</f>
        <v>یہ پہاڑی، پتھریلی علاقے میں ایک میدان میں ہے۔</v>
      </c>
      <c r="O95" s="2" t="str">
        <f>IFERROR(__xludf.DUMMYFUNCTION("GOOGLETRANSLATE(E95,""en"",""ur"")"),"یہ شہر کی سڑک پر ہے۔")</f>
        <v>یہ شہر کی سڑک پر ہے۔</v>
      </c>
      <c r="P95" s="2" t="str">
        <f>IFERROR(__xludf.DUMMYFUNCTION("GOOGLETRANSLATE(F95,""en"",""ur"")"),"یہ ایک میز پر ہے۔")</f>
        <v>یہ ایک میز پر ہے۔</v>
      </c>
      <c r="Q95" s="2" t="s">
        <v>114</v>
      </c>
      <c r="R95" s="2" t="str">
        <f>IFERROR(__xludf.DUMMYFUNCTION("GOOGLETRANSLATE(G95,""en"",""ur"")"),"یہ ایک میز پر ہے۔")</f>
        <v>یہ ایک میز پر ہے۔</v>
      </c>
      <c r="S95" s="6" t="s">
        <v>163</v>
      </c>
    </row>
    <row r="96" ht="22.5" customHeight="1">
      <c r="A96" s="4">
        <v>95.0</v>
      </c>
      <c r="B96" s="5" t="s">
        <v>46</v>
      </c>
      <c r="C96" s="5" t="s">
        <v>47</v>
      </c>
      <c r="D96" s="5" t="s">
        <v>48</v>
      </c>
      <c r="E96" s="5" t="s">
        <v>49</v>
      </c>
      <c r="F96" s="5" t="s">
        <v>50</v>
      </c>
      <c r="G96" s="5" t="s">
        <v>49</v>
      </c>
      <c r="H96" s="5" t="s">
        <v>163</v>
      </c>
      <c r="K96" s="2" t="str">
        <f>IFERROR(__xludf.DUMMYFUNCTION("GOOGLETRANSLATE(A96,""en"",""ur"")"),"95")</f>
        <v>95</v>
      </c>
      <c r="L96" s="2" t="str">
        <f>IFERROR(__xludf.DUMMYFUNCTION("GOOGLETRANSLATE(B96,""en"",""ur"")"),"کھلاڑیوں کے چہروں سے ظاہری جذبات کیا ہیں؟")</f>
        <v>کھلاڑیوں کے چہروں سے ظاہری جذبات کیا ہیں؟</v>
      </c>
      <c r="M96" s="2" t="str">
        <f>IFERROR(__xludf.DUMMYFUNCTION("GOOGLETRANSLATE(C96,""en"",""ur"")"),"پرسکون اور پر سکون")</f>
        <v>پرسکون اور پر سکون</v>
      </c>
      <c r="N96" s="2" t="str">
        <f>IFERROR(__xludf.DUMMYFUNCTION("GOOGLETRANSLATE(D96,""en"",""ur"")"),"خوف زدہ اور بے چین")</f>
        <v>خوف زدہ اور بے چین</v>
      </c>
      <c r="O96" s="2" t="str">
        <f>IFERROR(__xludf.DUMMYFUNCTION("GOOGLETRANSLATE(E96,""en"",""ur"")"),"کشیدہ اور شدید")</f>
        <v>کشیدہ اور شدید</v>
      </c>
      <c r="P96" s="2" t="str">
        <f>IFERROR(__xludf.DUMMYFUNCTION("GOOGLETRANSLATE(F96,""en"",""ur"")"),"خوش اور مسکراتے ہوئے۔")</f>
        <v>خوش اور مسکراتے ہوئے۔</v>
      </c>
      <c r="Q96" s="2" t="s">
        <v>51</v>
      </c>
      <c r="R96" s="2" t="str">
        <f>IFERROR(__xludf.DUMMYFUNCTION("GOOGLETRANSLATE(G96,""en"",""ur"")"),"کشیدہ اور شدید")</f>
        <v>کشیدہ اور شدید</v>
      </c>
      <c r="S96" s="6" t="s">
        <v>163</v>
      </c>
    </row>
    <row r="97" ht="22.5" customHeight="1">
      <c r="A97" s="4">
        <v>96.0</v>
      </c>
      <c r="B97" s="5" t="s">
        <v>88</v>
      </c>
      <c r="C97" s="5" t="s">
        <v>89</v>
      </c>
      <c r="D97" s="5" t="s">
        <v>90</v>
      </c>
      <c r="E97" s="5" t="s">
        <v>91</v>
      </c>
      <c r="F97" s="5" t="s">
        <v>159</v>
      </c>
      <c r="G97" s="5" t="s">
        <v>159</v>
      </c>
      <c r="H97" s="5" t="s">
        <v>163</v>
      </c>
      <c r="K97" s="2" t="str">
        <f>IFERROR(__xludf.DUMMYFUNCTION("GOOGLETRANSLATE(A97,""en"",""ur"")"),"96")</f>
        <v>96</v>
      </c>
      <c r="L97" s="2" t="str">
        <f>IFERROR(__xludf.DUMMYFUNCTION("GOOGLETRANSLATE(B97,""en"",""ur"")"),"زمین کی سب سے نمایاں خصوصیت کیا ہے؟")</f>
        <v>زمین کی سب سے نمایاں خصوصیت کیا ہے؟</v>
      </c>
      <c r="M97" s="2" t="str">
        <f>IFERROR(__xludf.DUMMYFUNCTION("GOOGLETRANSLATE(C97,""en"",""ur"")"),"ایک پکی سطح")</f>
        <v>ایک پکی سطح</v>
      </c>
      <c r="N97" s="2" t="str">
        <f>IFERROR(__xludf.DUMMYFUNCTION("GOOGLETRANSLATE(D97,""en"",""ur"")"),"کیچڑ والا میدان")</f>
        <v>کیچڑ والا میدان</v>
      </c>
      <c r="O97" s="2" t="str">
        <f>IFERROR(__xludf.DUMMYFUNCTION("GOOGLETRANSLATE(E97,""en"",""ur"")"),"ایک گھاس دار سطح")</f>
        <v>ایک گھاس دار سطح</v>
      </c>
      <c r="P97" s="2" t="str">
        <f>IFERROR(__xludf.DUMMYFUNCTION("GOOGLETRANSLATE(F97,""en"",""ur"")"),"ایک میز")</f>
        <v>ایک میز</v>
      </c>
      <c r="Q97" s="2" t="s">
        <v>160</v>
      </c>
      <c r="R97" s="2" t="str">
        <f>IFERROR(__xludf.DUMMYFUNCTION("GOOGLETRANSLATE(G97,""en"",""ur"")"),"ایک میز")</f>
        <v>ایک میز</v>
      </c>
      <c r="S97" s="6" t="s">
        <v>163</v>
      </c>
    </row>
    <row r="98" ht="22.5" customHeight="1">
      <c r="A98" s="4">
        <v>97.0</v>
      </c>
      <c r="B98" s="5" t="s">
        <v>94</v>
      </c>
      <c r="C98" s="5" t="s">
        <v>95</v>
      </c>
      <c r="D98" s="5" t="s">
        <v>96</v>
      </c>
      <c r="E98" s="5" t="s">
        <v>97</v>
      </c>
      <c r="F98" s="5" t="s">
        <v>31</v>
      </c>
      <c r="G98" s="5" t="s">
        <v>31</v>
      </c>
      <c r="H98" s="5" t="s">
        <v>163</v>
      </c>
      <c r="K98" s="2" t="str">
        <f>IFERROR(__xludf.DUMMYFUNCTION("GOOGLETRANSLATE(A98,""en"",""ur"")"),"97")</f>
        <v>97</v>
      </c>
      <c r="L98" s="2" t="str">
        <f>IFERROR(__xludf.DUMMYFUNCTION("GOOGLETRANSLATE(B98,""en"",""ur"")"),"کھیلے جانے والے کھیل کا نام کیا ہے؟")</f>
        <v>کھیلے جانے والے کھیل کا نام کیا ہے؟</v>
      </c>
      <c r="M98" s="2" t="str">
        <f>IFERROR(__xludf.DUMMYFUNCTION("GOOGLETRANSLATE(C98,""en"",""ur"")"),"پولو")</f>
        <v>پولو</v>
      </c>
      <c r="N98" s="2" t="str">
        <f>IFERROR(__xludf.DUMMYFUNCTION("GOOGLETRANSLATE(D98,""en"",""ur"")"),"گھوڑوں کی دوڑ")</f>
        <v>گھوڑوں کی دوڑ</v>
      </c>
      <c r="O98" s="2" t="str">
        <f>IFERROR(__xludf.DUMMYFUNCTION("GOOGLETRANSLATE(E98,""en"",""ur"")"),"بزکشی۔")</f>
        <v>بزکشی۔</v>
      </c>
      <c r="P98" s="2" t="str">
        <f>IFERROR(__xludf.DUMMYFUNCTION("GOOGLETRANSLATE(F98,""en"",""ur"")"),"چتورنگا")</f>
        <v>چتورنگا</v>
      </c>
      <c r="Q98" s="2" t="s">
        <v>98</v>
      </c>
      <c r="R98" s="2" t="str">
        <f>IFERROR(__xludf.DUMMYFUNCTION("GOOGLETRANSLATE(G98,""en"",""ur"")"),"چتورنگا")</f>
        <v>چتورنگا</v>
      </c>
      <c r="S98" s="6" t="s">
        <v>163</v>
      </c>
    </row>
    <row r="99" ht="22.5" customHeight="1">
      <c r="A99" s="4">
        <v>98.0</v>
      </c>
      <c r="B99" s="5" t="s">
        <v>99</v>
      </c>
      <c r="C99" s="5" t="s">
        <v>64</v>
      </c>
      <c r="D99" s="5" t="s">
        <v>65</v>
      </c>
      <c r="E99" s="5" t="s">
        <v>66</v>
      </c>
      <c r="F99" s="5" t="s">
        <v>67</v>
      </c>
      <c r="G99" s="5" t="s">
        <v>65</v>
      </c>
      <c r="H99" s="5" t="s">
        <v>163</v>
      </c>
      <c r="K99" s="2" t="str">
        <f>IFERROR(__xludf.DUMMYFUNCTION("GOOGLETRANSLATE(A99,""en"",""ur"")"),"98")</f>
        <v>98</v>
      </c>
      <c r="L99" s="2" t="str">
        <f>IFERROR(__xludf.DUMMYFUNCTION("GOOGLETRANSLATE(B99,""en"",""ur"")"),"یہ گیم کس ملک سے تعلق کی وجہ سے مشہور ہے؟")</f>
        <v>یہ گیم کس ملک سے تعلق کی وجہ سے مشہور ہے؟</v>
      </c>
      <c r="M99" s="2" t="str">
        <f>IFERROR(__xludf.DUMMYFUNCTION("GOOGLETRANSLATE(C99,""en"",""ur"")"),"چین")</f>
        <v>چین</v>
      </c>
      <c r="N99" s="2" t="str">
        <f>IFERROR(__xludf.DUMMYFUNCTION("GOOGLETRANSLATE(D99,""en"",""ur"")"),"انڈیا")</f>
        <v>انڈیا</v>
      </c>
      <c r="O99" s="2" t="str">
        <f>IFERROR(__xludf.DUMMYFUNCTION("GOOGLETRANSLATE(E99,""en"",""ur"")"),"یورپ")</f>
        <v>یورپ</v>
      </c>
      <c r="P99" s="2" t="str">
        <f>IFERROR(__xludf.DUMMYFUNCTION("GOOGLETRANSLATE(F99,""en"",""ur"")"),"مصر")</f>
        <v>مصر</v>
      </c>
      <c r="Q99" s="2" t="s">
        <v>68</v>
      </c>
      <c r="R99" s="2" t="str">
        <f>IFERROR(__xludf.DUMMYFUNCTION("GOOGLETRANSLATE(G99,""en"",""ur"")"),"انڈیا")</f>
        <v>انڈیا</v>
      </c>
      <c r="S99" s="6" t="s">
        <v>163</v>
      </c>
    </row>
    <row r="100" ht="22.5" customHeight="1">
      <c r="A100" s="4">
        <v>99.0</v>
      </c>
      <c r="B100" s="5" t="s">
        <v>16</v>
      </c>
      <c r="C100" s="5" t="s">
        <v>58</v>
      </c>
      <c r="D100" s="5" t="s">
        <v>59</v>
      </c>
      <c r="E100" s="5" t="s">
        <v>60</v>
      </c>
      <c r="F100" s="5" t="s">
        <v>61</v>
      </c>
      <c r="G100" s="5" t="s">
        <v>58</v>
      </c>
      <c r="H100" s="5" t="s">
        <v>163</v>
      </c>
      <c r="K100" s="2" t="str">
        <f>IFERROR(__xludf.DUMMYFUNCTION("GOOGLETRANSLATE(A100,""en"",""ur"")"),"99")</f>
        <v>99</v>
      </c>
      <c r="L100" s="2" t="str">
        <f>IFERROR(__xludf.DUMMYFUNCTION("GOOGLETRANSLATE(B100,""en"",""ur"")"),"ٹکڑوں کے بارے میں ایک قابل ذکر تفصیل کیا ہے؟")</f>
        <v>ٹکڑوں کے بارے میں ایک قابل ذکر تفصیل کیا ہے؟</v>
      </c>
      <c r="M100" s="2" t="str">
        <f>IFERROR(__xludf.DUMMYFUNCTION("GOOGLETRANSLATE(C100,""en"",""ur"")"),"وہ سب ایک ہی قد کے ہیں۔")</f>
        <v>وہ سب ایک ہی قد کے ہیں۔</v>
      </c>
      <c r="N100" s="2" t="str">
        <f>IFERROR(__xludf.DUMMYFUNCTION("GOOGLETRANSLATE(D100,""en"",""ur"")"),"وہ سب ایک ہی رنگ کے ہیں۔")</f>
        <v>وہ سب ایک ہی رنگ کے ہیں۔</v>
      </c>
      <c r="O100" s="2" t="str">
        <f>IFERROR(__xludf.DUMMYFUNCTION("GOOGLETRANSLATE(E100,""en"",""ur"")"),"وہ رنگوں اور ڈیزائنوں کا مرکب ہیں۔")</f>
        <v>وہ رنگوں اور ڈیزائنوں کا مرکب ہیں۔</v>
      </c>
      <c r="P100" s="2" t="str">
        <f>IFERROR(__xludf.DUMMYFUNCTION("GOOGLETRANSLATE(F100,""en"",""ur"")"),"وہ سب وسیع نمونوں کے ساتھ زین پہنے ہوئے ہیں۔")</f>
        <v>وہ سب وسیع نمونوں کے ساتھ زین پہنے ہوئے ہیں۔</v>
      </c>
      <c r="Q100" s="2" t="s">
        <v>62</v>
      </c>
      <c r="R100" s="2" t="str">
        <f>IFERROR(__xludf.DUMMYFUNCTION("GOOGLETRANSLATE(G100,""en"",""ur"")"),"وہ سب ایک ہی قد کے ہیں۔")</f>
        <v>وہ سب ایک ہی قد کے ہیں۔</v>
      </c>
      <c r="S100" s="6" t="s">
        <v>163</v>
      </c>
    </row>
    <row r="101" ht="22.5" customHeight="1">
      <c r="A101" s="4">
        <v>100.0</v>
      </c>
      <c r="B101" s="5" t="s">
        <v>16</v>
      </c>
      <c r="C101" s="5" t="s">
        <v>59</v>
      </c>
      <c r="D101" s="5" t="s">
        <v>60</v>
      </c>
      <c r="E101" s="5" t="s">
        <v>20</v>
      </c>
      <c r="F101" s="5" t="s">
        <v>100</v>
      </c>
      <c r="G101" s="5" t="s">
        <v>60</v>
      </c>
      <c r="H101" s="5" t="s">
        <v>163</v>
      </c>
      <c r="K101" s="2" t="str">
        <f>IFERROR(__xludf.DUMMYFUNCTION("GOOGLETRANSLATE(A101,""en"",""ur"")"),"100")</f>
        <v>100</v>
      </c>
      <c r="L101" s="2" t="str">
        <f>IFERROR(__xludf.DUMMYFUNCTION("GOOGLETRANSLATE(B101,""en"",""ur"")"),"ٹکڑوں کے بارے میں ایک قابل ذکر تفصیل کیا ہے؟")</f>
        <v>ٹکڑوں کے بارے میں ایک قابل ذکر تفصیل کیا ہے؟</v>
      </c>
      <c r="M101" s="2" t="str">
        <f>IFERROR(__xludf.DUMMYFUNCTION("GOOGLETRANSLATE(C101,""en"",""ur"")"),"وہ سب ایک ہی رنگ کے ہیں۔")</f>
        <v>وہ سب ایک ہی رنگ کے ہیں۔</v>
      </c>
      <c r="N101" s="2" t="str">
        <f>IFERROR(__xludf.DUMMYFUNCTION("GOOGLETRANSLATE(D101,""en"",""ur"")"),"وہ رنگوں اور ڈیزائنوں کا مرکب ہیں۔")</f>
        <v>وہ رنگوں اور ڈیزائنوں کا مرکب ہیں۔</v>
      </c>
      <c r="O101" s="2" t="str">
        <f>IFERROR(__xludf.DUMMYFUNCTION("GOOGLETRANSLATE(E101,""en"",""ur"")"),"وہ سب سفید فام ہیں۔")</f>
        <v>وہ سب سفید فام ہیں۔</v>
      </c>
      <c r="P101" s="2" t="str">
        <f>IFERROR(__xludf.DUMMYFUNCTION("GOOGLETRANSLATE(F101,""en"",""ur"")"),"وہ سب کالے ہیں۔")</f>
        <v>وہ سب کالے ہیں۔</v>
      </c>
      <c r="Q101" s="2" t="s">
        <v>101</v>
      </c>
      <c r="R101" s="2" t="str">
        <f>IFERROR(__xludf.DUMMYFUNCTION("GOOGLETRANSLATE(G101,""en"",""ur"")"),"وہ رنگوں اور ڈیزائنوں کا مرکب ہیں۔")</f>
        <v>وہ رنگوں اور ڈیزائنوں کا مرکب ہیں۔</v>
      </c>
      <c r="S101" s="6" t="s">
        <v>163</v>
      </c>
    </row>
    <row r="102" ht="22.5" customHeight="1">
      <c r="A102" s="4">
        <v>101.0</v>
      </c>
      <c r="B102" s="5" t="s">
        <v>165</v>
      </c>
      <c r="C102" s="5" t="s">
        <v>118</v>
      </c>
      <c r="D102" s="5" t="s">
        <v>166</v>
      </c>
      <c r="E102" s="5" t="s">
        <v>13</v>
      </c>
      <c r="F102" s="5" t="s">
        <v>14</v>
      </c>
      <c r="G102" s="5" t="s">
        <v>166</v>
      </c>
      <c r="H102" s="5" t="s">
        <v>167</v>
      </c>
      <c r="K102" s="2" t="str">
        <f>IFERROR(__xludf.DUMMYFUNCTION("GOOGLETRANSLATE(A102,""en"",""ur"")"),"101")</f>
        <v>101</v>
      </c>
      <c r="L102" s="2" t="str">
        <f>IFERROR(__xludf.DUMMYFUNCTION("GOOGLETRANSLATE(B102,""en"",""ur"")"),"چترنگا_47 میں دکھایا گیا اہم عمل کیا ہے؟")</f>
        <v>چترنگا_47 میں دکھایا گیا اہم عمل کیا ہے؟</v>
      </c>
      <c r="M102" s="2" t="str">
        <f>IFERROR(__xludf.DUMMYFUNCTION("GOOGLETRANSLATE(C102,""en"",""ur"")"),"بساط پر شطرنج کا ایک ٹکڑا")</f>
        <v>بساط پر شطرنج کا ایک ٹکڑا</v>
      </c>
      <c r="N102" s="2" t="str">
        <f>IFERROR(__xludf.DUMMYFUNCTION("GOOGLETRANSLATE(D102,""en"",""ur"")"),"ایک پارک میں نصب ایک بساط")</f>
        <v>ایک پارک میں نصب ایک بساط</v>
      </c>
      <c r="O102" s="2" t="str">
        <f>IFERROR(__xludf.DUMMYFUNCTION("GOOGLETRANSLATE(E102,""en"",""ur"")"),"لوگوں کا ایک گروپ جو تاش کا کھیل کھیل رہا ہے۔")</f>
        <v>لوگوں کا ایک گروپ جو تاش کا کھیل کھیل رہا ہے۔</v>
      </c>
      <c r="P102" s="2" t="str">
        <f>IFERROR(__xludf.DUMMYFUNCTION("GOOGLETRANSLATE(F102,""en"",""ur"")"),"شطرنج کے ٹکڑے تراشنے والا شخص")</f>
        <v>شطرنج کے ٹکڑے تراشنے والا شخص</v>
      </c>
      <c r="Q102" s="2" t="s">
        <v>168</v>
      </c>
      <c r="R102" s="2" t="str">
        <f>IFERROR(__xludf.DUMMYFUNCTION("GOOGLETRANSLATE(G102,""en"",""ur"")"),"ایک پارک میں نصب ایک بساط")</f>
        <v>ایک پارک میں نصب ایک بساط</v>
      </c>
      <c r="S102" s="6" t="s">
        <v>167</v>
      </c>
    </row>
    <row r="103" ht="22.5" customHeight="1">
      <c r="A103" s="4">
        <v>102.0</v>
      </c>
      <c r="B103" s="5" t="s">
        <v>16</v>
      </c>
      <c r="C103" s="5" t="s">
        <v>17</v>
      </c>
      <c r="D103" s="5" t="s">
        <v>169</v>
      </c>
      <c r="E103" s="5" t="s">
        <v>170</v>
      </c>
      <c r="F103" s="5" t="s">
        <v>171</v>
      </c>
      <c r="G103" s="5" t="s">
        <v>171</v>
      </c>
      <c r="H103" s="5" t="s">
        <v>167</v>
      </c>
      <c r="K103" s="2" t="str">
        <f>IFERROR(__xludf.DUMMYFUNCTION("GOOGLETRANSLATE(A103,""en"",""ur"")"),"102")</f>
        <v>102</v>
      </c>
      <c r="L103" s="2" t="str">
        <f>IFERROR(__xludf.DUMMYFUNCTION("GOOGLETRANSLATE(B103,""en"",""ur"")"),"ٹکڑوں کے بارے میں ایک قابل ذکر تفصیل کیا ہے؟")</f>
        <v>ٹکڑوں کے بارے میں ایک قابل ذکر تفصیل کیا ہے؟</v>
      </c>
      <c r="M103" s="2" t="str">
        <f>IFERROR(__xludf.DUMMYFUNCTION("GOOGLETRANSLATE(C103,""en"",""ur"")"),"وہ سب ایک جیسے ہیں۔")</f>
        <v>وہ سب ایک جیسے ہیں۔</v>
      </c>
      <c r="N103" s="2" t="str">
        <f>IFERROR(__xludf.DUMMYFUNCTION("GOOGLETRANSLATE(D103,""en"",""ur"")"),"وہ انتہائی اسٹائلائزڈ شخصیات ہیں۔")</f>
        <v>وہ انتہائی اسٹائلائزڈ شخصیات ہیں۔</v>
      </c>
      <c r="O103" s="2" t="str">
        <f>IFERROR(__xludf.DUMMYFUNCTION("GOOGLETRANSLATE(E103,""en"",""ur"")"),"وہ پلاسٹک اور شیشے سے بنے ہیں۔")</f>
        <v>وہ پلاسٹک اور شیشے سے بنے ہیں۔</v>
      </c>
      <c r="P103" s="2" t="str">
        <f>IFERROR(__xludf.DUMMYFUNCTION("GOOGLETRANSLATE(F103,""en"",""ur"")"),"وہ معیاری شطرنج کے ٹکڑے ہیں۔")</f>
        <v>وہ معیاری شطرنج کے ٹکڑے ہیں۔</v>
      </c>
      <c r="Q103" s="2" t="s">
        <v>172</v>
      </c>
      <c r="R103" s="2" t="str">
        <f>IFERROR(__xludf.DUMMYFUNCTION("GOOGLETRANSLATE(G103,""en"",""ur"")"),"وہ معیاری شطرنج کے ٹکڑے ہیں۔")</f>
        <v>وہ معیاری شطرنج کے ٹکڑے ہیں۔</v>
      </c>
      <c r="S103" s="6" t="s">
        <v>167</v>
      </c>
    </row>
    <row r="104" ht="22.5" customHeight="1">
      <c r="A104" s="4">
        <v>103.0</v>
      </c>
      <c r="B104" s="5" t="s">
        <v>22</v>
      </c>
      <c r="C104" s="5" t="s">
        <v>23</v>
      </c>
      <c r="D104" s="5" t="s">
        <v>24</v>
      </c>
      <c r="E104" s="5" t="s">
        <v>173</v>
      </c>
      <c r="F104" s="5" t="s">
        <v>26</v>
      </c>
      <c r="G104" s="5" t="s">
        <v>173</v>
      </c>
      <c r="H104" s="5" t="s">
        <v>167</v>
      </c>
      <c r="K104" s="2" t="str">
        <f>IFERROR(__xludf.DUMMYFUNCTION("GOOGLETRANSLATE(A104,""en"",""ur"")"),"103")</f>
        <v>103</v>
      </c>
      <c r="L104" s="2" t="str">
        <f>IFERROR(__xludf.DUMMYFUNCTION("GOOGLETRANSLATE(B104,""en"",""ur"")"),"بساط کا ظاہری مواد کیا ہے؟")</f>
        <v>بساط کا ظاہری مواد کیا ہے؟</v>
      </c>
      <c r="M104" s="2" t="str">
        <f>IFERROR(__xludf.DUMMYFUNCTION("GOOGLETRANSLATE(C104,""en"",""ur"")"),"کندہ شدہ نمونوں کے ساتھ لکڑی")</f>
        <v>کندہ شدہ نمونوں کے ساتھ لکڑی</v>
      </c>
      <c r="N104" s="2" t="str">
        <f>IFERROR(__xludf.DUMMYFUNCTION("GOOGLETRANSLATE(D104,""en"",""ur"")"),"پلاسٹک")</f>
        <v>پلاسٹک</v>
      </c>
      <c r="O104" s="2" t="str">
        <f>IFERROR(__xludf.DUMMYFUNCTION("GOOGLETRANSLATE(E104,""en"",""ur"")"),"پتھر یا کنکریٹ")</f>
        <v>پتھر یا کنکریٹ</v>
      </c>
      <c r="P104" s="2" t="str">
        <f>IFERROR(__xludf.DUMMYFUNCTION("GOOGLETRANSLATE(F104,""en"",""ur"")"),"گتے")</f>
        <v>گتے</v>
      </c>
      <c r="Q104" s="2" t="s">
        <v>174</v>
      </c>
      <c r="R104" s="2" t="str">
        <f>IFERROR(__xludf.DUMMYFUNCTION("GOOGLETRANSLATE(G104,""en"",""ur"")"),"پتھر یا کنکریٹ")</f>
        <v>پتھر یا کنکریٹ</v>
      </c>
      <c r="S104" s="6" t="s">
        <v>167</v>
      </c>
    </row>
    <row r="105" ht="22.5" customHeight="1">
      <c r="A105" s="4">
        <v>104.0</v>
      </c>
      <c r="B105" s="5" t="s">
        <v>175</v>
      </c>
      <c r="C105" s="5" t="s">
        <v>29</v>
      </c>
      <c r="D105" s="5" t="s">
        <v>30</v>
      </c>
      <c r="E105" s="5" t="s">
        <v>31</v>
      </c>
      <c r="F105" s="5" t="s">
        <v>32</v>
      </c>
      <c r="G105" s="5" t="s">
        <v>31</v>
      </c>
      <c r="H105" s="5" t="s">
        <v>167</v>
      </c>
      <c r="K105" s="2" t="str">
        <f>IFERROR(__xludf.DUMMYFUNCTION("GOOGLETRANSLATE(A105,""en"",""ur"")"),"104")</f>
        <v>104</v>
      </c>
      <c r="L105" s="2" t="str">
        <f>IFERROR(__xludf.DUMMYFUNCTION("GOOGLETRANSLATE(B105,""en"",""ur"")"),"تصویر میں ایک عوامی پارک میں بساط دکھائی دے رہی ہے۔ وہ کون سا تاریخی کھیل ہے جو جدید شطرنج کا پیش خیمہ ہے؟")</f>
        <v>تصویر میں ایک عوامی پارک میں بساط دکھائی دے رہی ہے۔ وہ کون سا تاریخی کھیل ہے جو جدید شطرنج کا پیش خیمہ ہے؟</v>
      </c>
      <c r="M105" s="2" t="str">
        <f>IFERROR(__xludf.DUMMYFUNCTION("GOOGLETRANSLATE(C105,""en"",""ur"")"),"چیکرس")</f>
        <v>چیکرس</v>
      </c>
      <c r="N105" s="2" t="str">
        <f>IFERROR(__xludf.DUMMYFUNCTION("GOOGLETRANSLATE(D105,""en"",""ur"")"),"بیکگیمون")</f>
        <v>بیکگیمون</v>
      </c>
      <c r="O105" s="2" t="str">
        <f>IFERROR(__xludf.DUMMYFUNCTION("GOOGLETRANSLATE(E105,""en"",""ur"")"),"چتورنگا")</f>
        <v>چتورنگا</v>
      </c>
      <c r="P105" s="2" t="str">
        <f>IFERROR(__xludf.DUMMYFUNCTION("GOOGLETRANSLATE(F105,""en"",""ur"")"),"جاؤ")</f>
        <v>جاؤ</v>
      </c>
      <c r="Q105" s="2" t="s">
        <v>33</v>
      </c>
      <c r="R105" s="2" t="str">
        <f>IFERROR(__xludf.DUMMYFUNCTION("GOOGLETRANSLATE(G105,""en"",""ur"")"),"چتورنگا")</f>
        <v>چتورنگا</v>
      </c>
      <c r="S105" s="6" t="s">
        <v>167</v>
      </c>
    </row>
    <row r="106" ht="22.5" customHeight="1">
      <c r="A106" s="4">
        <v>105.0</v>
      </c>
      <c r="B106" s="5" t="s">
        <v>176</v>
      </c>
      <c r="C106" s="5" t="s">
        <v>35</v>
      </c>
      <c r="D106" s="5" t="s">
        <v>177</v>
      </c>
      <c r="E106" s="5" t="s">
        <v>178</v>
      </c>
      <c r="F106" s="5" t="s">
        <v>38</v>
      </c>
      <c r="G106" s="5" t="s">
        <v>177</v>
      </c>
      <c r="H106" s="5" t="s">
        <v>167</v>
      </c>
      <c r="K106" s="2" t="str">
        <f>IFERROR(__xludf.DUMMYFUNCTION("GOOGLETRANSLATE(A106,""en"",""ur"")"),"105")</f>
        <v>105</v>
      </c>
      <c r="L106" s="2" t="str">
        <f>IFERROR(__xludf.DUMMYFUNCTION("GOOGLETRANSLATE(B106,""en"",""ur"")"),"عوامی شطرنج کی میز کا ظاہری مقصد کیا ہے؟")</f>
        <v>عوامی شطرنج کی میز کا ظاہری مقصد کیا ہے؟</v>
      </c>
      <c r="M106" s="2" t="str">
        <f>IFERROR(__xludf.DUMMYFUNCTION("GOOGLETRANSLATE(C106,""en"",""ur"")"),"یہ کھیل کے قوانین کا حصہ ہے۔")</f>
        <v>یہ کھیل کے قوانین کا حصہ ہے۔</v>
      </c>
      <c r="N106" s="2" t="str">
        <f>IFERROR(__xludf.DUMMYFUNCTION("GOOGLETRANSLATE(D106,""en"",""ur"")"),"یہ عوامی تفریح ​​کے لیے ہے۔")</f>
        <v>یہ عوامی تفریح ​​کے لیے ہے۔</v>
      </c>
      <c r="O106" s="2" t="str">
        <f>IFERROR(__xludf.DUMMYFUNCTION("GOOGLETRANSLATE(E106,""en"",""ur"")"),"یہ ایک تاریخی یادگار ہے۔")</f>
        <v>یہ ایک تاریخی یادگار ہے۔</v>
      </c>
      <c r="P106" s="2" t="str">
        <f>IFERROR(__xludf.DUMMYFUNCTION("GOOGLETRANSLATE(F106,""en"",""ur"")"),"یہ ایک برانڈ کا نام ہے۔")</f>
        <v>یہ ایک برانڈ کا نام ہے۔</v>
      </c>
      <c r="Q106" s="2" t="s">
        <v>179</v>
      </c>
      <c r="R106" s="2" t="str">
        <f>IFERROR(__xludf.DUMMYFUNCTION("GOOGLETRANSLATE(G106,""en"",""ur"")"),"یہ عوامی تفریح ​​کے لیے ہے۔")</f>
        <v>یہ عوامی تفریح ​​کے لیے ہے۔</v>
      </c>
      <c r="S106" s="6" t="s">
        <v>167</v>
      </c>
    </row>
    <row r="107" ht="22.5" customHeight="1">
      <c r="A107" s="4">
        <v>106.0</v>
      </c>
      <c r="B107" s="5" t="s">
        <v>40</v>
      </c>
      <c r="C107" s="5" t="s">
        <v>41</v>
      </c>
      <c r="D107" s="5" t="s">
        <v>42</v>
      </c>
      <c r="E107" s="5" t="s">
        <v>43</v>
      </c>
      <c r="F107" s="5" t="s">
        <v>44</v>
      </c>
      <c r="G107" s="5" t="s">
        <v>41</v>
      </c>
      <c r="H107" s="5" t="s">
        <v>167</v>
      </c>
      <c r="K107" s="2" t="str">
        <f>IFERROR(__xludf.DUMMYFUNCTION("GOOGLETRANSLATE(A107,""en"",""ur"")"),"106")</f>
        <v>106</v>
      </c>
      <c r="L107" s="2" t="str">
        <f>IFERROR(__xludf.DUMMYFUNCTION("GOOGLETRANSLATE(B107,""en"",""ur"")"),"بورڈ کے ڈیزائن کی سب سے نمایاں خصوصیت کیا ہے؟")</f>
        <v>بورڈ کے ڈیزائن کی سب سے نمایاں خصوصیت کیا ہے؟</v>
      </c>
      <c r="M107" s="2" t="str">
        <f>IFERROR(__xludf.DUMMYFUNCTION("GOOGLETRANSLATE(C107,""en"",""ur"")"),"یہ ایک سادہ، چیکر سطح ہے")</f>
        <v>یہ ایک سادہ، چیکر سطح ہے</v>
      </c>
      <c r="N107" s="2" t="str">
        <f>IFERROR(__xludf.DUMMYFUNCTION("GOOGLETRANSLATE(D107,""en"",""ur"")"),"اس میں پیچیدہ کندہ شدہ نمونے ہیں۔")</f>
        <v>اس میں پیچیدہ کندہ شدہ نمونے ہیں۔</v>
      </c>
      <c r="O107" s="2" t="str">
        <f>IFERROR(__xludf.DUMMYFUNCTION("GOOGLETRANSLATE(E107,""en"",""ur"")"),"یہ ایک ٹھوس رنگ ہے۔")</f>
        <v>یہ ایک ٹھوس رنگ ہے۔</v>
      </c>
      <c r="P107" s="2" t="str">
        <f>IFERROR(__xludf.DUMMYFUNCTION("GOOGLETRANSLATE(F107,""en"",""ur"")"),"یہ ایک سرکلر بورڈ ہے۔")</f>
        <v>یہ ایک سرکلر بورڈ ہے۔</v>
      </c>
      <c r="Q107" s="2" t="s">
        <v>45</v>
      </c>
      <c r="R107" s="2" t="str">
        <f>IFERROR(__xludf.DUMMYFUNCTION("GOOGLETRANSLATE(G107,""en"",""ur"")"),"یہ ایک سادہ، چیکر سطح ہے")</f>
        <v>یہ ایک سادہ، چیکر سطح ہے</v>
      </c>
      <c r="S107" s="6" t="s">
        <v>167</v>
      </c>
    </row>
    <row r="108" ht="22.5" customHeight="1">
      <c r="A108" s="4">
        <v>107.0</v>
      </c>
      <c r="B108" s="5" t="s">
        <v>46</v>
      </c>
      <c r="C108" s="5" t="s">
        <v>47</v>
      </c>
      <c r="D108" s="5" t="s">
        <v>48</v>
      </c>
      <c r="E108" s="5" t="s">
        <v>49</v>
      </c>
      <c r="F108" s="5" t="s">
        <v>50</v>
      </c>
      <c r="G108" s="5" t="s">
        <v>49</v>
      </c>
      <c r="H108" s="5" t="s">
        <v>167</v>
      </c>
      <c r="K108" s="2" t="str">
        <f>IFERROR(__xludf.DUMMYFUNCTION("GOOGLETRANSLATE(A108,""en"",""ur"")"),"107")</f>
        <v>107</v>
      </c>
      <c r="L108" s="2" t="str">
        <f>IFERROR(__xludf.DUMMYFUNCTION("GOOGLETRANSLATE(B108,""en"",""ur"")"),"کھلاڑیوں کے چہروں سے ظاہری جذبات کیا ہیں؟")</f>
        <v>کھلاڑیوں کے چہروں سے ظاہری جذبات کیا ہیں؟</v>
      </c>
      <c r="M108" s="2" t="str">
        <f>IFERROR(__xludf.DUMMYFUNCTION("GOOGLETRANSLATE(C108,""en"",""ur"")"),"پرسکون اور پر سکون")</f>
        <v>پرسکون اور پر سکون</v>
      </c>
      <c r="N108" s="2" t="str">
        <f>IFERROR(__xludf.DUMMYFUNCTION("GOOGLETRANSLATE(D108,""en"",""ur"")"),"خوف زدہ اور بے چین")</f>
        <v>خوف زدہ اور بے چین</v>
      </c>
      <c r="O108" s="2" t="str">
        <f>IFERROR(__xludf.DUMMYFUNCTION("GOOGLETRANSLATE(E108,""en"",""ur"")"),"کشیدہ اور شدید")</f>
        <v>کشیدہ اور شدید</v>
      </c>
      <c r="P108" s="2" t="str">
        <f>IFERROR(__xludf.DUMMYFUNCTION("GOOGLETRANSLATE(F108,""en"",""ur"")"),"خوش اور مسکراتے ہوئے۔")</f>
        <v>خوش اور مسکراتے ہوئے۔</v>
      </c>
      <c r="Q108" s="2" t="s">
        <v>51</v>
      </c>
      <c r="R108" s="2" t="str">
        <f>IFERROR(__xludf.DUMMYFUNCTION("GOOGLETRANSLATE(G108,""en"",""ur"")"),"کشیدہ اور شدید")</f>
        <v>کشیدہ اور شدید</v>
      </c>
      <c r="S108" s="6" t="s">
        <v>167</v>
      </c>
    </row>
    <row r="109" ht="22.5" customHeight="1">
      <c r="A109" s="4">
        <v>108.0</v>
      </c>
      <c r="B109" s="5" t="s">
        <v>52</v>
      </c>
      <c r="C109" s="5" t="s">
        <v>53</v>
      </c>
      <c r="D109" s="5" t="s">
        <v>54</v>
      </c>
      <c r="E109" s="5" t="s">
        <v>55</v>
      </c>
      <c r="F109" s="5" t="s">
        <v>56</v>
      </c>
      <c r="G109" s="5" t="s">
        <v>53</v>
      </c>
      <c r="H109" s="5" t="s">
        <v>167</v>
      </c>
      <c r="K109" s="2" t="str">
        <f>IFERROR(__xludf.DUMMYFUNCTION("GOOGLETRANSLATE(A109,""en"",""ur"")"),"108")</f>
        <v>108</v>
      </c>
      <c r="L109" s="2" t="str">
        <f>IFERROR(__xludf.DUMMYFUNCTION("GOOGLETRANSLATE(B109,""en"",""ur"")"),"ٹکڑوں کو ایک مخصوص شکل میں ترتیب دیا گیا ہے۔ یہ تشکیل کس لیے ہے؟")</f>
        <v>ٹکڑوں کو ایک مخصوص شکل میں ترتیب دیا گیا ہے۔ یہ تشکیل کس لیے ہے؟</v>
      </c>
      <c r="M109" s="2" t="str">
        <f>IFERROR(__xludf.DUMMYFUNCTION("GOOGLETRANSLATE(C109,""en"",""ur"")"),"ایک کھیل کا آغاز")</f>
        <v>ایک کھیل کا آغاز</v>
      </c>
      <c r="N109" s="2" t="str">
        <f>IFERROR(__xludf.DUMMYFUNCTION("GOOGLETRANSLATE(D109,""en"",""ur"")"),"کھیل کا وسط")</f>
        <v>کھیل کا وسط</v>
      </c>
      <c r="O109" s="2" t="str">
        <f>IFERROR(__xludf.DUMMYFUNCTION("GOOGLETRANSLATE(E109,""en"",""ur"")"),"ایک کھیل کا اختتام")</f>
        <v>ایک کھیل کا اختتام</v>
      </c>
      <c r="P109" s="2" t="str">
        <f>IFERROR(__xludf.DUMMYFUNCTION("GOOGLETRANSLATE(F109,""en"",""ur"")"),"بے ترتیب ترتیب")</f>
        <v>بے ترتیب ترتیب</v>
      </c>
      <c r="Q109" s="2" t="s">
        <v>57</v>
      </c>
      <c r="R109" s="2" t="str">
        <f>IFERROR(__xludf.DUMMYFUNCTION("GOOGLETRANSLATE(G109,""en"",""ur"")"),"ایک کھیل کا آغاز")</f>
        <v>ایک کھیل کا آغاز</v>
      </c>
      <c r="S109" s="6" t="s">
        <v>167</v>
      </c>
    </row>
    <row r="110" ht="22.5" customHeight="1">
      <c r="A110" s="4">
        <v>109.0</v>
      </c>
      <c r="B110" s="5" t="s">
        <v>16</v>
      </c>
      <c r="C110" s="5" t="s">
        <v>58</v>
      </c>
      <c r="D110" s="5" t="s">
        <v>59</v>
      </c>
      <c r="E110" s="5" t="s">
        <v>60</v>
      </c>
      <c r="F110" s="5" t="s">
        <v>61</v>
      </c>
      <c r="G110" s="5" t="s">
        <v>60</v>
      </c>
      <c r="H110" s="5" t="s">
        <v>167</v>
      </c>
      <c r="K110" s="2" t="str">
        <f>IFERROR(__xludf.DUMMYFUNCTION("GOOGLETRANSLATE(A110,""en"",""ur"")"),"109")</f>
        <v>109</v>
      </c>
      <c r="L110" s="2" t="str">
        <f>IFERROR(__xludf.DUMMYFUNCTION("GOOGLETRANSLATE(B110,""en"",""ur"")"),"ٹکڑوں کے بارے میں ایک قابل ذکر تفصیل کیا ہے؟")</f>
        <v>ٹکڑوں کے بارے میں ایک قابل ذکر تفصیل کیا ہے؟</v>
      </c>
      <c r="M110" s="2" t="str">
        <f>IFERROR(__xludf.DUMMYFUNCTION("GOOGLETRANSLATE(C110,""en"",""ur"")"),"وہ سب ایک ہی قد کے ہیں۔")</f>
        <v>وہ سب ایک ہی قد کے ہیں۔</v>
      </c>
      <c r="N110" s="2" t="str">
        <f>IFERROR(__xludf.DUMMYFUNCTION("GOOGLETRANSLATE(D110,""en"",""ur"")"),"وہ سب ایک ہی رنگ کے ہیں۔")</f>
        <v>وہ سب ایک ہی رنگ کے ہیں۔</v>
      </c>
      <c r="O110" s="2" t="str">
        <f>IFERROR(__xludf.DUMMYFUNCTION("GOOGLETRANSLATE(E110,""en"",""ur"")"),"وہ رنگوں اور ڈیزائنوں کا مرکب ہیں۔")</f>
        <v>وہ رنگوں اور ڈیزائنوں کا مرکب ہیں۔</v>
      </c>
      <c r="P110" s="2" t="str">
        <f>IFERROR(__xludf.DUMMYFUNCTION("GOOGLETRANSLATE(F110,""en"",""ur"")"),"وہ سب وسیع نمونوں کے ساتھ زین پہنے ہوئے ہیں۔")</f>
        <v>وہ سب وسیع نمونوں کے ساتھ زین پہنے ہوئے ہیں۔</v>
      </c>
      <c r="Q110" s="2" t="s">
        <v>62</v>
      </c>
      <c r="R110" s="2" t="str">
        <f>IFERROR(__xludf.DUMMYFUNCTION("GOOGLETRANSLATE(G110,""en"",""ur"")"),"وہ رنگوں اور ڈیزائنوں کا مرکب ہیں۔")</f>
        <v>وہ رنگوں اور ڈیزائنوں کا مرکب ہیں۔</v>
      </c>
      <c r="S110" s="6" t="s">
        <v>167</v>
      </c>
    </row>
    <row r="111" ht="22.5" customHeight="1">
      <c r="A111" s="4">
        <v>110.0</v>
      </c>
      <c r="B111" s="5" t="s">
        <v>63</v>
      </c>
      <c r="C111" s="5" t="s">
        <v>64</v>
      </c>
      <c r="D111" s="5" t="s">
        <v>65</v>
      </c>
      <c r="E111" s="5" t="s">
        <v>66</v>
      </c>
      <c r="F111" s="5" t="s">
        <v>67</v>
      </c>
      <c r="G111" s="5" t="s">
        <v>65</v>
      </c>
      <c r="H111" s="5" t="s">
        <v>167</v>
      </c>
      <c r="K111" s="2" t="str">
        <f>IFERROR(__xludf.DUMMYFUNCTION("GOOGLETRANSLATE(A111,""en"",""ur"")"),"110")</f>
        <v>110</v>
      </c>
      <c r="L111" s="2" t="str">
        <f>IFERROR(__xludf.DUMMYFUNCTION("GOOGLETRANSLATE(B111,""en"",""ur"")"),"چتورنگا کا تاریخی کھیل کس ملک سے تعلق کے لیے جانا جاتا ہے؟")</f>
        <v>چتورنگا کا تاریخی کھیل کس ملک سے تعلق کے لیے جانا جاتا ہے؟</v>
      </c>
      <c r="M111" s="2" t="str">
        <f>IFERROR(__xludf.DUMMYFUNCTION("GOOGLETRANSLATE(C111,""en"",""ur"")"),"چین")</f>
        <v>چین</v>
      </c>
      <c r="N111" s="2" t="str">
        <f>IFERROR(__xludf.DUMMYFUNCTION("GOOGLETRANSLATE(D111,""en"",""ur"")"),"انڈیا")</f>
        <v>انڈیا</v>
      </c>
      <c r="O111" s="2" t="str">
        <f>IFERROR(__xludf.DUMMYFUNCTION("GOOGLETRANSLATE(E111,""en"",""ur"")"),"یورپ")</f>
        <v>یورپ</v>
      </c>
      <c r="P111" s="2" t="str">
        <f>IFERROR(__xludf.DUMMYFUNCTION("GOOGLETRANSLATE(F111,""en"",""ur"")"),"مصر")</f>
        <v>مصر</v>
      </c>
      <c r="Q111" s="2" t="s">
        <v>68</v>
      </c>
      <c r="R111" s="2" t="str">
        <f>IFERROR(__xludf.DUMMYFUNCTION("GOOGLETRANSLATE(G111,""en"",""ur"")"),"انڈیا")</f>
        <v>انڈیا</v>
      </c>
      <c r="S111" s="6" t="s">
        <v>167</v>
      </c>
    </row>
    <row r="112" ht="22.5" customHeight="1">
      <c r="A112" s="4">
        <v>111.0</v>
      </c>
      <c r="B112" s="5" t="s">
        <v>180</v>
      </c>
      <c r="C112" s="5" t="s">
        <v>12</v>
      </c>
      <c r="D112" s="5" t="s">
        <v>71</v>
      </c>
      <c r="E112" s="5" t="s">
        <v>72</v>
      </c>
      <c r="F112" s="5" t="s">
        <v>73</v>
      </c>
      <c r="G112" s="5" t="s">
        <v>12</v>
      </c>
      <c r="H112" s="5" t="s">
        <v>181</v>
      </c>
      <c r="K112" s="2" t="str">
        <f>IFERROR(__xludf.DUMMYFUNCTION("GOOGLETRANSLATE(A112,""en"",""ur"")"),"111")</f>
        <v>111</v>
      </c>
      <c r="L112" s="2" t="str">
        <f>IFERROR(__xludf.DUMMYFUNCTION("GOOGLETRANSLATE(B112,""en"",""ur"")"),"چترنگا_69 میں دکھایا گیا اہم عمل کیا ہے؟")</f>
        <v>چترنگا_69 میں دکھایا گیا اہم عمل کیا ہے؟</v>
      </c>
      <c r="M112" s="2" t="str">
        <f>IFERROR(__xludf.DUMMYFUNCTION("GOOGLETRANSLATE(C112,""en"",""ur"")"),"انتہائی آرائشی ٹکڑوں کے ساتھ ایک بساط")</f>
        <v>انتہائی آرائشی ٹکڑوں کے ساتھ ایک بساط</v>
      </c>
      <c r="N112" s="2" t="str">
        <f>IFERROR(__xludf.DUMMYFUNCTION("GOOGLETRANSLATE(D112,""en"",""ur"")"),"سواروں کا ایک گروپ جو مرکزی چیز کے لیے مقابلہ کر رہا ہے۔")</f>
        <v>سواروں کا ایک گروپ جو مرکزی چیز کے لیے مقابلہ کر رہا ہے۔</v>
      </c>
      <c r="O112" s="2" t="str">
        <f>IFERROR(__xludf.DUMMYFUNCTION("GOOGLETRANSLATE(E112,""en"",""ur"")"),"گھوڑوں کی پریڈ")</f>
        <v>گھوڑوں کی پریڈ</v>
      </c>
      <c r="P112" s="2" t="str">
        <f>IFERROR(__xludf.DUMMYFUNCTION("GOOGLETRANSLATE(F112,""en"",""ur"")"),"گھوڑوں کی دوڑ")</f>
        <v>گھوڑوں کی دوڑ</v>
      </c>
      <c r="Q112" s="2" t="s">
        <v>182</v>
      </c>
      <c r="R112" s="2" t="str">
        <f>IFERROR(__xludf.DUMMYFUNCTION("GOOGLETRANSLATE(G112,""en"",""ur"")"),"انتہائی آرائشی ٹکڑوں کے ساتھ ایک بساط")</f>
        <v>انتہائی آرائشی ٹکڑوں کے ساتھ ایک بساط</v>
      </c>
      <c r="S112" s="6" t="s">
        <v>181</v>
      </c>
    </row>
    <row r="113" ht="22.5" customHeight="1">
      <c r="A113" s="4">
        <v>112.0</v>
      </c>
      <c r="B113" s="5" t="s">
        <v>16</v>
      </c>
      <c r="C113" s="5" t="s">
        <v>17</v>
      </c>
      <c r="D113" s="5" t="s">
        <v>18</v>
      </c>
      <c r="E113" s="5" t="s">
        <v>19</v>
      </c>
      <c r="F113" s="5" t="s">
        <v>20</v>
      </c>
      <c r="G113" s="5" t="s">
        <v>18</v>
      </c>
      <c r="H113" s="5" t="s">
        <v>181</v>
      </c>
      <c r="K113" s="2" t="str">
        <f>IFERROR(__xludf.DUMMYFUNCTION("GOOGLETRANSLATE(A113,""en"",""ur"")"),"112")</f>
        <v>112</v>
      </c>
      <c r="L113" s="2" t="str">
        <f>IFERROR(__xludf.DUMMYFUNCTION("GOOGLETRANSLATE(B113,""en"",""ur"")"),"ٹکڑوں کے بارے میں ایک قابل ذکر تفصیل کیا ہے؟")</f>
        <v>ٹکڑوں کے بارے میں ایک قابل ذکر تفصیل کیا ہے؟</v>
      </c>
      <c r="M113" s="2" t="str">
        <f>IFERROR(__xludf.DUMMYFUNCTION("GOOGLETRANSLATE(C113,""en"",""ur"")"),"وہ سب ایک جیسے ہیں۔")</f>
        <v>وہ سب ایک جیسے ہیں۔</v>
      </c>
      <c r="N113" s="2" t="str">
        <f>IFERROR(__xludf.DUMMYFUNCTION("GOOGLETRANSLATE(D113,""en"",""ur"")"),"وہ ایک تاریخی فوج کی نمائندگی کرنے والی انتہائی اسٹائلائزڈ شخصیات ہیں۔")</f>
        <v>وہ ایک تاریخی فوج کی نمائندگی کرنے والی انتہائی اسٹائلائزڈ شخصیات ہیں۔</v>
      </c>
      <c r="O113" s="2" t="str">
        <f>IFERROR(__xludf.DUMMYFUNCTION("GOOGLETRANSLATE(E113,""en"",""ur"")"),"وہ پلاسٹک سے بنے ہیں۔")</f>
        <v>وہ پلاسٹک سے بنے ہیں۔</v>
      </c>
      <c r="P113" s="2" t="str">
        <f>IFERROR(__xludf.DUMMYFUNCTION("GOOGLETRANSLATE(F113,""en"",""ur"")"),"وہ سب سفید فام ہیں۔")</f>
        <v>وہ سب سفید فام ہیں۔</v>
      </c>
      <c r="Q113" s="2" t="s">
        <v>21</v>
      </c>
      <c r="R113" s="2" t="str">
        <f>IFERROR(__xludf.DUMMYFUNCTION("GOOGLETRANSLATE(G113,""en"",""ur"")"),"وہ ایک تاریخی فوج کی نمائندگی کرنے والی انتہائی اسٹائلائزڈ شخصیات ہیں۔")</f>
        <v>وہ ایک تاریخی فوج کی نمائندگی کرنے والی انتہائی اسٹائلائزڈ شخصیات ہیں۔</v>
      </c>
      <c r="S113" s="6" t="s">
        <v>181</v>
      </c>
    </row>
    <row r="114" ht="22.5" customHeight="1">
      <c r="A114" s="4">
        <v>113.0</v>
      </c>
      <c r="B114" s="5" t="s">
        <v>22</v>
      </c>
      <c r="C114" s="5" t="s">
        <v>23</v>
      </c>
      <c r="D114" s="5" t="s">
        <v>24</v>
      </c>
      <c r="E114" s="5" t="s">
        <v>25</v>
      </c>
      <c r="F114" s="5" t="s">
        <v>26</v>
      </c>
      <c r="G114" s="5" t="s">
        <v>23</v>
      </c>
      <c r="H114" s="5" t="s">
        <v>181</v>
      </c>
      <c r="K114" s="2" t="str">
        <f>IFERROR(__xludf.DUMMYFUNCTION("GOOGLETRANSLATE(A114,""en"",""ur"")"),"113")</f>
        <v>113</v>
      </c>
      <c r="L114" s="2" t="str">
        <f>IFERROR(__xludf.DUMMYFUNCTION("GOOGLETRANSLATE(B114,""en"",""ur"")"),"بساط کا ظاہری مواد کیا ہے؟")</f>
        <v>بساط کا ظاہری مواد کیا ہے؟</v>
      </c>
      <c r="M114" s="2" t="str">
        <f>IFERROR(__xludf.DUMMYFUNCTION("GOOGLETRANSLATE(C114,""en"",""ur"")"),"کندہ شدہ نمونوں کے ساتھ لکڑی")</f>
        <v>کندہ شدہ نمونوں کے ساتھ لکڑی</v>
      </c>
      <c r="N114" s="2" t="str">
        <f>IFERROR(__xludf.DUMMYFUNCTION("GOOGLETRANSLATE(D114,""en"",""ur"")"),"پلاسٹک")</f>
        <v>پلاسٹک</v>
      </c>
      <c r="O114" s="2" t="str">
        <f>IFERROR(__xludf.DUMMYFUNCTION("GOOGLETRANSLATE(E114,""en"",""ur"")"),"شیشہ")</f>
        <v>شیشہ</v>
      </c>
      <c r="P114" s="2" t="str">
        <f>IFERROR(__xludf.DUMMYFUNCTION("GOOGLETRANSLATE(F114,""en"",""ur"")"),"گتے")</f>
        <v>گتے</v>
      </c>
      <c r="Q114" s="2" t="s">
        <v>27</v>
      </c>
      <c r="R114" s="2" t="str">
        <f>IFERROR(__xludf.DUMMYFUNCTION("GOOGLETRANSLATE(G114,""en"",""ur"")"),"کندہ شدہ نمونوں کے ساتھ لکڑی")</f>
        <v>کندہ شدہ نمونوں کے ساتھ لکڑی</v>
      </c>
      <c r="S114" s="6" t="s">
        <v>181</v>
      </c>
    </row>
    <row r="115" ht="22.5" customHeight="1">
      <c r="A115" s="4">
        <v>114.0</v>
      </c>
      <c r="B115" s="5" t="s">
        <v>28</v>
      </c>
      <c r="C115" s="5" t="s">
        <v>29</v>
      </c>
      <c r="D115" s="5" t="s">
        <v>30</v>
      </c>
      <c r="E115" s="5" t="s">
        <v>31</v>
      </c>
      <c r="F115" s="5" t="s">
        <v>32</v>
      </c>
      <c r="G115" s="5" t="s">
        <v>31</v>
      </c>
      <c r="H115" s="5" t="s">
        <v>181</v>
      </c>
      <c r="K115" s="2" t="str">
        <f>IFERROR(__xludf.DUMMYFUNCTION("GOOGLETRANSLATE(A115,""en"",""ur"")"),"114")</f>
        <v>114</v>
      </c>
      <c r="L115" s="2" t="str">
        <f>IFERROR(__xludf.DUMMYFUNCTION("GOOGLETRANSLATE(B115,""en"",""ur"")"),"تصویر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115" s="2" t="str">
        <f>IFERROR(__xludf.DUMMYFUNCTION("GOOGLETRANSLATE(C115,""en"",""ur"")"),"چیکرس")</f>
        <v>چیکرس</v>
      </c>
      <c r="N115" s="2" t="str">
        <f>IFERROR(__xludf.DUMMYFUNCTION("GOOGLETRANSLATE(D115,""en"",""ur"")"),"بیکگیمون")</f>
        <v>بیکگیمون</v>
      </c>
      <c r="O115" s="2" t="str">
        <f>IFERROR(__xludf.DUMMYFUNCTION("GOOGLETRANSLATE(E115,""en"",""ur"")"),"چتورنگا")</f>
        <v>چتورنگا</v>
      </c>
      <c r="P115" s="2" t="str">
        <f>IFERROR(__xludf.DUMMYFUNCTION("GOOGLETRANSLATE(F115,""en"",""ur"")"),"جاؤ")</f>
        <v>جاؤ</v>
      </c>
      <c r="Q115" s="2" t="s">
        <v>33</v>
      </c>
      <c r="R115" s="2" t="str">
        <f>IFERROR(__xludf.DUMMYFUNCTION("GOOGLETRANSLATE(G115,""en"",""ur"")"),"چتورنگا")</f>
        <v>چتورنگا</v>
      </c>
      <c r="S115" s="6" t="s">
        <v>181</v>
      </c>
    </row>
    <row r="116" ht="22.5" customHeight="1">
      <c r="A116" s="4">
        <v>115.0</v>
      </c>
      <c r="B116" s="5" t="s">
        <v>34</v>
      </c>
      <c r="C116" s="5" t="s">
        <v>35</v>
      </c>
      <c r="D116" s="5" t="s">
        <v>36</v>
      </c>
      <c r="E116" s="5" t="s">
        <v>37</v>
      </c>
      <c r="F116" s="5" t="s">
        <v>38</v>
      </c>
      <c r="G116" s="5" t="s">
        <v>36</v>
      </c>
      <c r="H116" s="5" t="s">
        <v>181</v>
      </c>
      <c r="K116" s="2" t="str">
        <f>IFERROR(__xludf.DUMMYFUNCTION("GOOGLETRANSLATE(A116,""en"",""ur"")"),"115")</f>
        <v>115</v>
      </c>
      <c r="L116" s="2" t="str">
        <f>IFERROR(__xludf.DUMMYFUNCTION("GOOGLETRANSLATE(B116,""en"",""ur"")"),"""پرسنلائزڈ نام"" لیبل کا بظاہر مقصد کیا ہے؟")</f>
        <v>"پرسنلائزڈ نام" لیبل کا بظاہر مقصد کیا ہے؟</v>
      </c>
      <c r="M116" s="2" t="str">
        <f>IFERROR(__xludf.DUMMYFUNCTION("GOOGLETRANSLATE(C116,""en"",""ur"")"),"یہ کھیل کے قوانین کا حصہ ہے۔")</f>
        <v>یہ کھیل کے قوانین کا حصہ ہے۔</v>
      </c>
      <c r="N116" s="2" t="str">
        <f>IFERROR(__xludf.DUMMYFUNCTION("GOOGLETRANSLATE(D116,""en"",""ur"")"),"یہ حسب ضرورت کے لیے ایک خصوصیت ہے۔")</f>
        <v>یہ حسب ضرورت کے لیے ایک خصوصیت ہے۔</v>
      </c>
      <c r="O116" s="2" t="str">
        <f>IFERROR(__xludf.DUMMYFUNCTION("GOOGLETRANSLATE(E116,""en"",""ur"")"),"یہ ایک تاریخی نشان ہے۔")</f>
        <v>یہ ایک تاریخی نشان ہے۔</v>
      </c>
      <c r="P116" s="2" t="str">
        <f>IFERROR(__xludf.DUMMYFUNCTION("GOOGLETRANSLATE(F116,""en"",""ur"")"),"یہ ایک برانڈ کا نام ہے۔")</f>
        <v>یہ ایک برانڈ کا نام ہے۔</v>
      </c>
      <c r="Q116" s="2" t="s">
        <v>39</v>
      </c>
      <c r="R116" s="2" t="str">
        <f>IFERROR(__xludf.DUMMYFUNCTION("GOOGLETRANSLATE(G116,""en"",""ur"")"),"یہ حسب ضرورت کے لیے ایک خصوصیت ہے۔")</f>
        <v>یہ حسب ضرورت کے لیے ایک خصوصیت ہے۔</v>
      </c>
      <c r="S116" s="6" t="s">
        <v>181</v>
      </c>
    </row>
    <row r="117" ht="22.5" customHeight="1">
      <c r="A117" s="4">
        <v>116.0</v>
      </c>
      <c r="B117" s="5" t="s">
        <v>40</v>
      </c>
      <c r="C117" s="5" t="s">
        <v>41</v>
      </c>
      <c r="D117" s="5" t="s">
        <v>42</v>
      </c>
      <c r="E117" s="5" t="s">
        <v>43</v>
      </c>
      <c r="F117" s="5" t="s">
        <v>44</v>
      </c>
      <c r="G117" s="5" t="s">
        <v>42</v>
      </c>
      <c r="H117" s="5" t="s">
        <v>181</v>
      </c>
      <c r="K117" s="2" t="str">
        <f>IFERROR(__xludf.DUMMYFUNCTION("GOOGLETRANSLATE(A117,""en"",""ur"")"),"116")</f>
        <v>116</v>
      </c>
      <c r="L117" s="2" t="str">
        <f>IFERROR(__xludf.DUMMYFUNCTION("GOOGLETRANSLATE(B117,""en"",""ur"")"),"بورڈ کے ڈیزائن کی سب سے نمایاں خصوصیت کیا ہے؟")</f>
        <v>بورڈ کے ڈیزائن کی سب سے نمایاں خصوصیت کیا ہے؟</v>
      </c>
      <c r="M117" s="2" t="str">
        <f>IFERROR(__xludf.DUMMYFUNCTION("GOOGLETRANSLATE(C117,""en"",""ur"")"),"یہ ایک سادہ، چیکر سطح ہے")</f>
        <v>یہ ایک سادہ، چیکر سطح ہے</v>
      </c>
      <c r="N117" s="2" t="str">
        <f>IFERROR(__xludf.DUMMYFUNCTION("GOOGLETRANSLATE(D117,""en"",""ur"")"),"اس میں پیچیدہ کندہ شدہ نمونے ہیں۔")</f>
        <v>اس میں پیچیدہ کندہ شدہ نمونے ہیں۔</v>
      </c>
      <c r="O117" s="2" t="str">
        <f>IFERROR(__xludf.DUMMYFUNCTION("GOOGLETRANSLATE(E117,""en"",""ur"")"),"یہ ایک ٹھوس رنگ ہے۔")</f>
        <v>یہ ایک ٹھوس رنگ ہے۔</v>
      </c>
      <c r="P117" s="2" t="str">
        <f>IFERROR(__xludf.DUMMYFUNCTION("GOOGLETRANSLATE(F117,""en"",""ur"")"),"یہ ایک سرکلر بورڈ ہے۔")</f>
        <v>یہ ایک سرکلر بورڈ ہے۔</v>
      </c>
      <c r="Q117" s="2" t="s">
        <v>45</v>
      </c>
      <c r="R117" s="2" t="str">
        <f>IFERROR(__xludf.DUMMYFUNCTION("GOOGLETRANSLATE(G117,""en"",""ur"")"),"اس میں پیچیدہ کندہ شدہ نمونے ہیں۔")</f>
        <v>اس میں پیچیدہ کندہ شدہ نمونے ہیں۔</v>
      </c>
      <c r="S117" s="6" t="s">
        <v>181</v>
      </c>
    </row>
    <row r="118" ht="22.5" customHeight="1">
      <c r="A118" s="4">
        <v>117.0</v>
      </c>
      <c r="B118" s="5" t="s">
        <v>46</v>
      </c>
      <c r="C118" s="5" t="s">
        <v>47</v>
      </c>
      <c r="D118" s="5" t="s">
        <v>48</v>
      </c>
      <c r="E118" s="5" t="s">
        <v>49</v>
      </c>
      <c r="F118" s="5" t="s">
        <v>50</v>
      </c>
      <c r="G118" s="5" t="s">
        <v>49</v>
      </c>
      <c r="H118" s="5" t="s">
        <v>181</v>
      </c>
      <c r="K118" s="2" t="str">
        <f>IFERROR(__xludf.DUMMYFUNCTION("GOOGLETRANSLATE(A118,""en"",""ur"")"),"117")</f>
        <v>117</v>
      </c>
      <c r="L118" s="2" t="str">
        <f>IFERROR(__xludf.DUMMYFUNCTION("GOOGLETRANSLATE(B118,""en"",""ur"")"),"کھلاڑیوں کے چہروں سے ظاہری جذبات کیا ہیں؟")</f>
        <v>کھلاڑیوں کے چہروں سے ظاہری جذبات کیا ہیں؟</v>
      </c>
      <c r="M118" s="2" t="str">
        <f>IFERROR(__xludf.DUMMYFUNCTION("GOOGLETRANSLATE(C118,""en"",""ur"")"),"پرسکون اور پر سکون")</f>
        <v>پرسکون اور پر سکون</v>
      </c>
      <c r="N118" s="2" t="str">
        <f>IFERROR(__xludf.DUMMYFUNCTION("GOOGLETRANSLATE(D118,""en"",""ur"")"),"خوف زدہ اور بے چین")</f>
        <v>خوف زدہ اور بے چین</v>
      </c>
      <c r="O118" s="2" t="str">
        <f>IFERROR(__xludf.DUMMYFUNCTION("GOOGLETRANSLATE(E118,""en"",""ur"")"),"کشیدہ اور شدید")</f>
        <v>کشیدہ اور شدید</v>
      </c>
      <c r="P118" s="2" t="str">
        <f>IFERROR(__xludf.DUMMYFUNCTION("GOOGLETRANSLATE(F118,""en"",""ur"")"),"خوش اور مسکراتے ہوئے۔")</f>
        <v>خوش اور مسکراتے ہوئے۔</v>
      </c>
      <c r="Q118" s="2" t="s">
        <v>51</v>
      </c>
      <c r="R118" s="2" t="str">
        <f>IFERROR(__xludf.DUMMYFUNCTION("GOOGLETRANSLATE(G118,""en"",""ur"")"),"کشیدہ اور شدید")</f>
        <v>کشیدہ اور شدید</v>
      </c>
      <c r="S118" s="6" t="s">
        <v>181</v>
      </c>
    </row>
    <row r="119" ht="22.5" customHeight="1">
      <c r="A119" s="4">
        <v>118.0</v>
      </c>
      <c r="B119" s="5" t="s">
        <v>52</v>
      </c>
      <c r="C119" s="5" t="s">
        <v>53</v>
      </c>
      <c r="D119" s="5" t="s">
        <v>54</v>
      </c>
      <c r="E119" s="5" t="s">
        <v>55</v>
      </c>
      <c r="F119" s="5" t="s">
        <v>56</v>
      </c>
      <c r="G119" s="5" t="s">
        <v>53</v>
      </c>
      <c r="H119" s="5" t="s">
        <v>181</v>
      </c>
      <c r="K119" s="2" t="str">
        <f>IFERROR(__xludf.DUMMYFUNCTION("GOOGLETRANSLATE(A119,""en"",""ur"")"),"118")</f>
        <v>118</v>
      </c>
      <c r="L119" s="2" t="str">
        <f>IFERROR(__xludf.DUMMYFUNCTION("GOOGLETRANSLATE(B119,""en"",""ur"")"),"ٹکڑوں کو ایک مخصوص شکل میں ترتیب دیا گیا ہے۔ یہ تشکیل کس لیے ہے؟")</f>
        <v>ٹکڑوں کو ایک مخصوص شکل میں ترتیب دیا گیا ہے۔ یہ تشکیل کس لیے ہے؟</v>
      </c>
      <c r="M119" s="2" t="str">
        <f>IFERROR(__xludf.DUMMYFUNCTION("GOOGLETRANSLATE(C119,""en"",""ur"")"),"ایک کھیل کا آغاز")</f>
        <v>ایک کھیل کا آغاز</v>
      </c>
      <c r="N119" s="2" t="str">
        <f>IFERROR(__xludf.DUMMYFUNCTION("GOOGLETRANSLATE(D119,""en"",""ur"")"),"کھیل کا وسط")</f>
        <v>کھیل کا وسط</v>
      </c>
      <c r="O119" s="2" t="str">
        <f>IFERROR(__xludf.DUMMYFUNCTION("GOOGLETRANSLATE(E119,""en"",""ur"")"),"ایک کھیل کا اختتام")</f>
        <v>ایک کھیل کا اختتام</v>
      </c>
      <c r="P119" s="2" t="str">
        <f>IFERROR(__xludf.DUMMYFUNCTION("GOOGLETRANSLATE(F119,""en"",""ur"")"),"بے ترتیب ترتیب")</f>
        <v>بے ترتیب ترتیب</v>
      </c>
      <c r="Q119" s="2" t="s">
        <v>57</v>
      </c>
      <c r="R119" s="2" t="str">
        <f>IFERROR(__xludf.DUMMYFUNCTION("GOOGLETRANSLATE(G119,""en"",""ur"")"),"ایک کھیل کا آغاز")</f>
        <v>ایک کھیل کا آغاز</v>
      </c>
      <c r="S119" s="6" t="s">
        <v>181</v>
      </c>
    </row>
    <row r="120" ht="22.5" customHeight="1">
      <c r="A120" s="4">
        <v>119.0</v>
      </c>
      <c r="B120" s="5" t="s">
        <v>16</v>
      </c>
      <c r="C120" s="5" t="s">
        <v>58</v>
      </c>
      <c r="D120" s="5" t="s">
        <v>59</v>
      </c>
      <c r="E120" s="5" t="s">
        <v>60</v>
      </c>
      <c r="F120" s="5" t="s">
        <v>61</v>
      </c>
      <c r="G120" s="5" t="s">
        <v>60</v>
      </c>
      <c r="H120" s="5" t="s">
        <v>181</v>
      </c>
      <c r="K120" s="2" t="str">
        <f>IFERROR(__xludf.DUMMYFUNCTION("GOOGLETRANSLATE(A120,""en"",""ur"")"),"119")</f>
        <v>119</v>
      </c>
      <c r="L120" s="2" t="str">
        <f>IFERROR(__xludf.DUMMYFUNCTION("GOOGLETRANSLATE(B120,""en"",""ur"")"),"ٹکڑوں کے بارے میں ایک قابل ذکر تفصیل کیا ہے؟")</f>
        <v>ٹکڑوں کے بارے میں ایک قابل ذکر تفصیل کیا ہے؟</v>
      </c>
      <c r="M120" s="2" t="str">
        <f>IFERROR(__xludf.DUMMYFUNCTION("GOOGLETRANSLATE(C120,""en"",""ur"")"),"وہ سب ایک ہی قد کے ہیں۔")</f>
        <v>وہ سب ایک ہی قد کے ہیں۔</v>
      </c>
      <c r="N120" s="2" t="str">
        <f>IFERROR(__xludf.DUMMYFUNCTION("GOOGLETRANSLATE(D120,""en"",""ur"")"),"وہ سب ایک ہی رنگ کے ہیں۔")</f>
        <v>وہ سب ایک ہی رنگ کے ہیں۔</v>
      </c>
      <c r="O120" s="2" t="str">
        <f>IFERROR(__xludf.DUMMYFUNCTION("GOOGLETRANSLATE(E120,""en"",""ur"")"),"وہ رنگوں اور ڈیزائنوں کا مرکب ہیں۔")</f>
        <v>وہ رنگوں اور ڈیزائنوں کا مرکب ہیں۔</v>
      </c>
      <c r="P120" s="2" t="str">
        <f>IFERROR(__xludf.DUMMYFUNCTION("GOOGLETRANSLATE(F120,""en"",""ur"")"),"وہ سب وسیع نمونوں کے ساتھ زین پہنے ہوئے ہیں۔")</f>
        <v>وہ سب وسیع نمونوں کے ساتھ زین پہنے ہوئے ہیں۔</v>
      </c>
      <c r="Q120" s="2" t="s">
        <v>62</v>
      </c>
      <c r="R120" s="2" t="str">
        <f>IFERROR(__xludf.DUMMYFUNCTION("GOOGLETRANSLATE(G120,""en"",""ur"")"),"وہ رنگوں اور ڈیزائنوں کا مرکب ہیں۔")</f>
        <v>وہ رنگوں اور ڈیزائنوں کا مرکب ہیں۔</v>
      </c>
      <c r="S120" s="6" t="s">
        <v>181</v>
      </c>
    </row>
    <row r="121" ht="22.5" customHeight="1">
      <c r="A121" s="4">
        <v>120.0</v>
      </c>
      <c r="B121" s="5" t="s">
        <v>63</v>
      </c>
      <c r="C121" s="5" t="s">
        <v>64</v>
      </c>
      <c r="D121" s="5" t="s">
        <v>65</v>
      </c>
      <c r="E121" s="5" t="s">
        <v>66</v>
      </c>
      <c r="F121" s="5" t="s">
        <v>67</v>
      </c>
      <c r="G121" s="5" t="s">
        <v>65</v>
      </c>
      <c r="H121" s="5" t="s">
        <v>181</v>
      </c>
      <c r="K121" s="2" t="str">
        <f>IFERROR(__xludf.DUMMYFUNCTION("GOOGLETRANSLATE(A121,""en"",""ur"")"),"120")</f>
        <v>120</v>
      </c>
      <c r="L121" s="2" t="str">
        <f>IFERROR(__xludf.DUMMYFUNCTION("GOOGLETRANSLATE(B121,""en"",""ur"")"),"چتورنگا کا تاریخی کھیل کس ملک سے تعلق کے لیے جانا جاتا ہے؟")</f>
        <v>چتورنگا کا تاریخی کھیل کس ملک سے تعلق کے لیے جانا جاتا ہے؟</v>
      </c>
      <c r="M121" s="2" t="str">
        <f>IFERROR(__xludf.DUMMYFUNCTION("GOOGLETRANSLATE(C121,""en"",""ur"")"),"چین")</f>
        <v>چین</v>
      </c>
      <c r="N121" s="2" t="str">
        <f>IFERROR(__xludf.DUMMYFUNCTION("GOOGLETRANSLATE(D121,""en"",""ur"")"),"انڈیا")</f>
        <v>انڈیا</v>
      </c>
      <c r="O121" s="2" t="str">
        <f>IFERROR(__xludf.DUMMYFUNCTION("GOOGLETRANSLATE(E121,""en"",""ur"")"),"یورپ")</f>
        <v>یورپ</v>
      </c>
      <c r="P121" s="2" t="str">
        <f>IFERROR(__xludf.DUMMYFUNCTION("GOOGLETRANSLATE(F121,""en"",""ur"")"),"مصر")</f>
        <v>مصر</v>
      </c>
      <c r="Q121" s="2" t="s">
        <v>68</v>
      </c>
      <c r="R121" s="2" t="str">
        <f>IFERROR(__xludf.DUMMYFUNCTION("GOOGLETRANSLATE(G121,""en"",""ur"")"),"انڈیا")</f>
        <v>انڈیا</v>
      </c>
      <c r="S121" s="6" t="s">
        <v>181</v>
      </c>
    </row>
    <row r="122" ht="22.5" customHeight="1">
      <c r="A122" s="4">
        <v>121.0</v>
      </c>
      <c r="B122" s="5" t="s">
        <v>183</v>
      </c>
      <c r="C122" s="5" t="s">
        <v>11</v>
      </c>
      <c r="D122" s="5" t="s">
        <v>184</v>
      </c>
      <c r="E122" s="5" t="s">
        <v>13</v>
      </c>
      <c r="F122" s="5" t="s">
        <v>14</v>
      </c>
      <c r="G122" s="5" t="s">
        <v>184</v>
      </c>
      <c r="H122" s="5" t="s">
        <v>185</v>
      </c>
      <c r="K122" s="2" t="str">
        <f>IFERROR(__xludf.DUMMYFUNCTION("GOOGLETRANSLATE(A122,""en"",""ur"")"),"121")</f>
        <v>121</v>
      </c>
      <c r="L122" s="2" t="str">
        <f>IFERROR(__xludf.DUMMYFUNCTION("GOOGLETRANSLATE(B122,""en"",""ur"")"),"چترنگا_45 میں دکھایا گیا اہم عمل کیا ہے؟")</f>
        <v>چترنگا_45 میں دکھایا گیا اہم عمل کیا ہے؟</v>
      </c>
      <c r="M122" s="2" t="str">
        <f>IFERROR(__xludf.DUMMYFUNCTION("GOOGLETRANSLATE(C122,""en"",""ur"")"),"دو کھلاڑی لڑ رہے ہیں۔")</f>
        <v>دو کھلاڑی لڑ رہے ہیں۔</v>
      </c>
      <c r="N122" s="2" t="str">
        <f>IFERROR(__xludf.DUMMYFUNCTION("GOOGLETRANSLATE(D122,""en"",""ur"")"),"تاریخی اور جدید شطرنج کا ایک کولیج")</f>
        <v>تاریخی اور جدید شطرنج کا ایک کولیج</v>
      </c>
      <c r="O122" s="2" t="str">
        <f>IFERROR(__xludf.DUMMYFUNCTION("GOOGLETRANSLATE(E122,""en"",""ur"")"),"لوگوں کا ایک گروپ جو تاش کا کھیل کھیل رہا ہے۔")</f>
        <v>لوگوں کا ایک گروپ جو تاش کا کھیل کھیل رہا ہے۔</v>
      </c>
      <c r="P122" s="2" t="str">
        <f>IFERROR(__xludf.DUMMYFUNCTION("GOOGLETRANSLATE(F122,""en"",""ur"")"),"شطرنج کے ٹکڑے تراشنے والا شخص")</f>
        <v>شطرنج کے ٹکڑے تراشنے والا شخص</v>
      </c>
      <c r="Q122" s="2" t="s">
        <v>186</v>
      </c>
      <c r="R122" s="2" t="str">
        <f>IFERROR(__xludf.DUMMYFUNCTION("GOOGLETRANSLATE(G122,""en"",""ur"")"),"تاریخی اور جدید شطرنج کا ایک کولیج")</f>
        <v>تاریخی اور جدید شطرنج کا ایک کولیج</v>
      </c>
      <c r="S122" s="6" t="s">
        <v>185</v>
      </c>
    </row>
    <row r="123" ht="22.5" customHeight="1">
      <c r="A123" s="4">
        <v>122.0</v>
      </c>
      <c r="B123" s="5" t="s">
        <v>187</v>
      </c>
      <c r="C123" s="5" t="s">
        <v>17</v>
      </c>
      <c r="D123" s="5" t="s">
        <v>169</v>
      </c>
      <c r="E123" s="5" t="s">
        <v>19</v>
      </c>
      <c r="F123" s="5" t="s">
        <v>20</v>
      </c>
      <c r="G123" s="5" t="s">
        <v>169</v>
      </c>
      <c r="H123" s="5" t="s">
        <v>185</v>
      </c>
      <c r="K123" s="2" t="str">
        <f>IFERROR(__xludf.DUMMYFUNCTION("GOOGLETRANSLATE(A123,""en"",""ur"")"),"122")</f>
        <v>122</v>
      </c>
      <c r="L123" s="2" t="str">
        <f>IFERROR(__xludf.DUMMYFUNCTION("GOOGLETRANSLATE(B123,""en"",""ur"")"),"تاریخی تصویر میں ٹکڑوں کے بارے میں ایک قابل ذکر تفصیل کیا ہے؟")</f>
        <v>تاریخی تصویر میں ٹکڑوں کے بارے میں ایک قابل ذکر تفصیل کیا ہے؟</v>
      </c>
      <c r="M123" s="2" t="str">
        <f>IFERROR(__xludf.DUMMYFUNCTION("GOOGLETRANSLATE(C123,""en"",""ur"")"),"وہ سب ایک جیسے ہیں۔")</f>
        <v>وہ سب ایک جیسے ہیں۔</v>
      </c>
      <c r="N123" s="2" t="str">
        <f>IFERROR(__xludf.DUMMYFUNCTION("GOOGLETRANSLATE(D123,""en"",""ur"")"),"وہ انتہائی اسٹائلائزڈ شخصیات ہیں۔")</f>
        <v>وہ انتہائی اسٹائلائزڈ شخصیات ہیں۔</v>
      </c>
      <c r="O123" s="2" t="str">
        <f>IFERROR(__xludf.DUMMYFUNCTION("GOOGLETRANSLATE(E123,""en"",""ur"")"),"وہ پلاسٹک سے بنے ہیں۔")</f>
        <v>وہ پلاسٹک سے بنے ہیں۔</v>
      </c>
      <c r="P123" s="2" t="str">
        <f>IFERROR(__xludf.DUMMYFUNCTION("GOOGLETRANSLATE(F123,""en"",""ur"")"),"وہ سب سفید فام ہیں۔")</f>
        <v>وہ سب سفید فام ہیں۔</v>
      </c>
      <c r="Q123" s="2" t="s">
        <v>188</v>
      </c>
      <c r="R123" s="2" t="str">
        <f>IFERROR(__xludf.DUMMYFUNCTION("GOOGLETRANSLATE(G123,""en"",""ur"")"),"وہ انتہائی اسٹائلائزڈ شخصیات ہیں۔")</f>
        <v>وہ انتہائی اسٹائلائزڈ شخصیات ہیں۔</v>
      </c>
      <c r="S123" s="6" t="s">
        <v>185</v>
      </c>
    </row>
    <row r="124" ht="22.5" customHeight="1">
      <c r="A124" s="4">
        <v>123.0</v>
      </c>
      <c r="B124" s="5" t="s">
        <v>189</v>
      </c>
      <c r="C124" s="5" t="s">
        <v>23</v>
      </c>
      <c r="D124" s="5" t="s">
        <v>24</v>
      </c>
      <c r="E124" s="5" t="s">
        <v>25</v>
      </c>
      <c r="F124" s="5" t="s">
        <v>26</v>
      </c>
      <c r="G124" s="5" t="s">
        <v>23</v>
      </c>
      <c r="H124" s="5" t="s">
        <v>185</v>
      </c>
      <c r="K124" s="2" t="str">
        <f>IFERROR(__xludf.DUMMYFUNCTION("GOOGLETRANSLATE(A124,""en"",""ur"")"),"123")</f>
        <v>123</v>
      </c>
      <c r="L124" s="2" t="str">
        <f>IFERROR(__xludf.DUMMYFUNCTION("GOOGLETRANSLATE(B124,""en"",""ur"")"),"جدید تصویر میں بساط کا ظاہری مواد کیا ہے؟")</f>
        <v>جدید تصویر میں بساط کا ظاہری مواد کیا ہے؟</v>
      </c>
      <c r="M124" s="2" t="str">
        <f>IFERROR(__xludf.DUMMYFUNCTION("GOOGLETRANSLATE(C124,""en"",""ur"")"),"کندہ شدہ نمونوں کے ساتھ لکڑی")</f>
        <v>کندہ شدہ نمونوں کے ساتھ لکڑی</v>
      </c>
      <c r="N124" s="2" t="str">
        <f>IFERROR(__xludf.DUMMYFUNCTION("GOOGLETRANSLATE(D124,""en"",""ur"")"),"پلاسٹک")</f>
        <v>پلاسٹک</v>
      </c>
      <c r="O124" s="2" t="str">
        <f>IFERROR(__xludf.DUMMYFUNCTION("GOOGLETRANSLATE(E124,""en"",""ur"")"),"شیشہ")</f>
        <v>شیشہ</v>
      </c>
      <c r="P124" s="2" t="str">
        <f>IFERROR(__xludf.DUMMYFUNCTION("GOOGLETRANSLATE(F124,""en"",""ur"")"),"گتے")</f>
        <v>گتے</v>
      </c>
      <c r="Q124" s="2" t="s">
        <v>27</v>
      </c>
      <c r="R124" s="2" t="str">
        <f>IFERROR(__xludf.DUMMYFUNCTION("GOOGLETRANSLATE(G124,""en"",""ur"")"),"کندہ شدہ نمونوں کے ساتھ لکڑی")</f>
        <v>کندہ شدہ نمونوں کے ساتھ لکڑی</v>
      </c>
      <c r="S124" s="6" t="s">
        <v>185</v>
      </c>
    </row>
    <row r="125" ht="22.5" customHeight="1">
      <c r="A125" s="4">
        <v>124.0</v>
      </c>
      <c r="B125" s="5" t="s">
        <v>190</v>
      </c>
      <c r="C125" s="5" t="s">
        <v>29</v>
      </c>
      <c r="D125" s="5" t="s">
        <v>30</v>
      </c>
      <c r="E125" s="5" t="s">
        <v>31</v>
      </c>
      <c r="F125" s="5" t="s">
        <v>32</v>
      </c>
      <c r="G125" s="5" t="s">
        <v>31</v>
      </c>
      <c r="H125" s="5" t="s">
        <v>185</v>
      </c>
      <c r="K125" s="2" t="str">
        <f>IFERROR(__xludf.DUMMYFUNCTION("GOOGLETRANSLATE(A125,""en"",""ur"")"),"124")</f>
        <v>124</v>
      </c>
      <c r="L125" s="2" t="str">
        <f>IFERROR(__xludf.DUMMYFUNCTION("GOOGLETRANSLATE(B125,""en"",""ur"")"),"تصویر میں ایک تاریخی اور جدید شطرنج کا کھیل دکھایا گیا ہے۔ وہ کون سا تاریخی کھیل ہے جو جدید شطرنج کا پیش خیمہ ہے؟")</f>
        <v>تصویر میں ایک تاریخی اور جدید شطرنج کا کھیل دکھایا گیا ہے۔ وہ کون سا تاریخی کھیل ہے جو جدید شطرنج کا پیش خیمہ ہے؟</v>
      </c>
      <c r="M125" s="2" t="str">
        <f>IFERROR(__xludf.DUMMYFUNCTION("GOOGLETRANSLATE(C125,""en"",""ur"")"),"چیکرس")</f>
        <v>چیکرس</v>
      </c>
      <c r="N125" s="2" t="str">
        <f>IFERROR(__xludf.DUMMYFUNCTION("GOOGLETRANSLATE(D125,""en"",""ur"")"),"بیکگیمون")</f>
        <v>بیکگیمون</v>
      </c>
      <c r="O125" s="2" t="str">
        <f>IFERROR(__xludf.DUMMYFUNCTION("GOOGLETRANSLATE(E125,""en"",""ur"")"),"چتورنگا")</f>
        <v>چتورنگا</v>
      </c>
      <c r="P125" s="2" t="str">
        <f>IFERROR(__xludf.DUMMYFUNCTION("GOOGLETRANSLATE(F125,""en"",""ur"")"),"جاؤ")</f>
        <v>جاؤ</v>
      </c>
      <c r="Q125" s="2" t="s">
        <v>33</v>
      </c>
      <c r="R125" s="2" t="str">
        <f>IFERROR(__xludf.DUMMYFUNCTION("GOOGLETRANSLATE(G125,""en"",""ur"")"),"چتورنگا")</f>
        <v>چتورنگا</v>
      </c>
      <c r="S125" s="6" t="s">
        <v>185</v>
      </c>
    </row>
    <row r="126" ht="22.5" customHeight="1">
      <c r="A126" s="4">
        <v>125.0</v>
      </c>
      <c r="B126" s="5" t="s">
        <v>191</v>
      </c>
      <c r="C126" s="5" t="s">
        <v>35</v>
      </c>
      <c r="D126" s="5" t="s">
        <v>36</v>
      </c>
      <c r="E126" s="5" t="s">
        <v>192</v>
      </c>
      <c r="F126" s="5" t="s">
        <v>38</v>
      </c>
      <c r="G126" s="5" t="s">
        <v>192</v>
      </c>
      <c r="H126" s="5" t="s">
        <v>185</v>
      </c>
      <c r="K126" s="2" t="str">
        <f>IFERROR(__xludf.DUMMYFUNCTION("GOOGLETRANSLATE(A126,""en"",""ur"")"),"125")</f>
        <v>125</v>
      </c>
      <c r="L126" s="2" t="str">
        <f>IFERROR(__xludf.DUMMYFUNCTION("GOOGLETRANSLATE(B126,""en"",""ur"")"),"کولیج کا ظاہری مقصد کیا ہے؟")</f>
        <v>کولیج کا ظاہری مقصد کیا ہے؟</v>
      </c>
      <c r="M126" s="2" t="str">
        <f>IFERROR(__xludf.DUMMYFUNCTION("GOOGLETRANSLATE(C126,""en"",""ur"")"),"یہ کھیل کے قوانین کا حصہ ہے۔")</f>
        <v>یہ کھیل کے قوانین کا حصہ ہے۔</v>
      </c>
      <c r="N126" s="2" t="str">
        <f>IFERROR(__xludf.DUMMYFUNCTION("GOOGLETRANSLATE(D126,""en"",""ur"")"),"یہ حسب ضرورت کے لیے ایک خصوصیت ہے۔")</f>
        <v>یہ حسب ضرورت کے لیے ایک خصوصیت ہے۔</v>
      </c>
      <c r="O126" s="2" t="str">
        <f>IFERROR(__xludf.DUMMYFUNCTION("GOOGLETRANSLATE(E126,""en"",""ur"")"),"یہ ایک تاریخی موازنہ ہے۔")</f>
        <v>یہ ایک تاریخی موازنہ ہے۔</v>
      </c>
      <c r="P126" s="2" t="str">
        <f>IFERROR(__xludf.DUMMYFUNCTION("GOOGLETRANSLATE(F126,""en"",""ur"")"),"یہ ایک برانڈ کا نام ہے۔")</f>
        <v>یہ ایک برانڈ کا نام ہے۔</v>
      </c>
      <c r="Q126" s="2" t="s">
        <v>193</v>
      </c>
      <c r="R126" s="2" t="str">
        <f>IFERROR(__xludf.DUMMYFUNCTION("GOOGLETRANSLATE(G126,""en"",""ur"")"),"یہ ایک تاریخی موازنہ ہے۔")</f>
        <v>یہ ایک تاریخی موازنہ ہے۔</v>
      </c>
      <c r="S126" s="6" t="s">
        <v>185</v>
      </c>
    </row>
    <row r="127" ht="22.5" customHeight="1">
      <c r="A127" s="4">
        <v>126.0</v>
      </c>
      <c r="B127" s="5" t="s">
        <v>194</v>
      </c>
      <c r="C127" s="5" t="s">
        <v>41</v>
      </c>
      <c r="D127" s="5" t="s">
        <v>42</v>
      </c>
      <c r="E127" s="5" t="s">
        <v>43</v>
      </c>
      <c r="F127" s="5" t="s">
        <v>44</v>
      </c>
      <c r="G127" s="5" t="s">
        <v>42</v>
      </c>
      <c r="H127" s="5" t="s">
        <v>185</v>
      </c>
      <c r="K127" s="2" t="str">
        <f>IFERROR(__xludf.DUMMYFUNCTION("GOOGLETRANSLATE(A127,""en"",""ur"")"),"126")</f>
        <v>126</v>
      </c>
      <c r="L127" s="2" t="str">
        <f>IFERROR(__xludf.DUMMYFUNCTION("GOOGLETRANSLATE(B127,""en"",""ur"")"),"تاریخی تصویر میں بورڈ کے ڈیزائن کی سب سے نمایاں خصوصیت کیا ہے؟")</f>
        <v>تاریخی تصویر میں بورڈ کے ڈیزائن کی سب سے نمایاں خصوصیت کیا ہے؟</v>
      </c>
      <c r="M127" s="2" t="str">
        <f>IFERROR(__xludf.DUMMYFUNCTION("GOOGLETRANSLATE(C127,""en"",""ur"")"),"یہ ایک سادہ، چیکر سطح ہے")</f>
        <v>یہ ایک سادہ، چیکر سطح ہے</v>
      </c>
      <c r="N127" s="2" t="str">
        <f>IFERROR(__xludf.DUMMYFUNCTION("GOOGLETRANSLATE(D127,""en"",""ur"")"),"اس میں پیچیدہ کندہ شدہ نمونے ہیں۔")</f>
        <v>اس میں پیچیدہ کندہ شدہ نمونے ہیں۔</v>
      </c>
      <c r="O127" s="2" t="str">
        <f>IFERROR(__xludf.DUMMYFUNCTION("GOOGLETRANSLATE(E127,""en"",""ur"")"),"یہ ایک ٹھوس رنگ ہے۔")</f>
        <v>یہ ایک ٹھوس رنگ ہے۔</v>
      </c>
      <c r="P127" s="2" t="str">
        <f>IFERROR(__xludf.DUMMYFUNCTION("GOOGLETRANSLATE(F127,""en"",""ur"")"),"یہ ایک سرکلر بورڈ ہے۔")</f>
        <v>یہ ایک سرکلر بورڈ ہے۔</v>
      </c>
      <c r="Q127" s="2" t="s">
        <v>45</v>
      </c>
      <c r="R127" s="2" t="str">
        <f>IFERROR(__xludf.DUMMYFUNCTION("GOOGLETRANSLATE(G127,""en"",""ur"")"),"اس میں پیچیدہ کندہ شدہ نمونے ہیں۔")</f>
        <v>اس میں پیچیدہ کندہ شدہ نمونے ہیں۔</v>
      </c>
      <c r="S127" s="6" t="s">
        <v>185</v>
      </c>
    </row>
    <row r="128" ht="22.5" customHeight="1">
      <c r="A128" s="4">
        <v>127.0</v>
      </c>
      <c r="B128" s="5" t="s">
        <v>46</v>
      </c>
      <c r="C128" s="5" t="s">
        <v>47</v>
      </c>
      <c r="D128" s="5" t="s">
        <v>48</v>
      </c>
      <c r="E128" s="5" t="s">
        <v>49</v>
      </c>
      <c r="F128" s="5" t="s">
        <v>50</v>
      </c>
      <c r="G128" s="5" t="s">
        <v>49</v>
      </c>
      <c r="H128" s="5" t="s">
        <v>185</v>
      </c>
      <c r="K128" s="2" t="str">
        <f>IFERROR(__xludf.DUMMYFUNCTION("GOOGLETRANSLATE(A128,""en"",""ur"")"),"127")</f>
        <v>127</v>
      </c>
      <c r="L128" s="2" t="str">
        <f>IFERROR(__xludf.DUMMYFUNCTION("GOOGLETRANSLATE(B128,""en"",""ur"")"),"کھلاڑیوں کے چہروں سے ظاہری جذبات کیا ہیں؟")</f>
        <v>کھلاڑیوں کے چہروں سے ظاہری جذبات کیا ہیں؟</v>
      </c>
      <c r="M128" s="2" t="str">
        <f>IFERROR(__xludf.DUMMYFUNCTION("GOOGLETRANSLATE(C128,""en"",""ur"")"),"پرسکون اور پر سکون")</f>
        <v>پرسکون اور پر سکون</v>
      </c>
      <c r="N128" s="2" t="str">
        <f>IFERROR(__xludf.DUMMYFUNCTION("GOOGLETRANSLATE(D128,""en"",""ur"")"),"خوف زدہ اور بے چین")</f>
        <v>خوف زدہ اور بے چین</v>
      </c>
      <c r="O128" s="2" t="str">
        <f>IFERROR(__xludf.DUMMYFUNCTION("GOOGLETRANSLATE(E128,""en"",""ur"")"),"کشیدہ اور شدید")</f>
        <v>کشیدہ اور شدید</v>
      </c>
      <c r="P128" s="2" t="str">
        <f>IFERROR(__xludf.DUMMYFUNCTION("GOOGLETRANSLATE(F128,""en"",""ur"")"),"خوش اور مسکراتے ہوئے۔")</f>
        <v>خوش اور مسکراتے ہوئے۔</v>
      </c>
      <c r="Q128" s="2" t="s">
        <v>51</v>
      </c>
      <c r="R128" s="2" t="str">
        <f>IFERROR(__xludf.DUMMYFUNCTION("GOOGLETRANSLATE(G128,""en"",""ur"")"),"کشیدہ اور شدید")</f>
        <v>کشیدہ اور شدید</v>
      </c>
      <c r="S128" s="6" t="s">
        <v>185</v>
      </c>
    </row>
    <row r="129" ht="22.5" customHeight="1">
      <c r="A129" s="4">
        <v>128.0</v>
      </c>
      <c r="B129" s="5" t="s">
        <v>52</v>
      </c>
      <c r="C129" s="5" t="s">
        <v>53</v>
      </c>
      <c r="D129" s="5" t="s">
        <v>54</v>
      </c>
      <c r="E129" s="5" t="s">
        <v>55</v>
      </c>
      <c r="F129" s="5" t="s">
        <v>56</v>
      </c>
      <c r="G129" s="5" t="s">
        <v>54</v>
      </c>
      <c r="H129" s="5" t="s">
        <v>185</v>
      </c>
      <c r="K129" s="2" t="str">
        <f>IFERROR(__xludf.DUMMYFUNCTION("GOOGLETRANSLATE(A129,""en"",""ur"")"),"128")</f>
        <v>128</v>
      </c>
      <c r="L129" s="2" t="str">
        <f>IFERROR(__xludf.DUMMYFUNCTION("GOOGLETRANSLATE(B129,""en"",""ur"")"),"ٹکڑوں کو ایک مخصوص شکل میں ترتیب دیا گیا ہے۔ یہ تشکیل کس لیے ہے؟")</f>
        <v>ٹکڑوں کو ایک مخصوص شکل میں ترتیب دیا گیا ہے۔ یہ تشکیل کس لیے ہے؟</v>
      </c>
      <c r="M129" s="2" t="str">
        <f>IFERROR(__xludf.DUMMYFUNCTION("GOOGLETRANSLATE(C129,""en"",""ur"")"),"ایک کھیل کا آغاز")</f>
        <v>ایک کھیل کا آغاز</v>
      </c>
      <c r="N129" s="2" t="str">
        <f>IFERROR(__xludf.DUMMYFUNCTION("GOOGLETRANSLATE(D129,""en"",""ur"")"),"کھیل کا وسط")</f>
        <v>کھیل کا وسط</v>
      </c>
      <c r="O129" s="2" t="str">
        <f>IFERROR(__xludf.DUMMYFUNCTION("GOOGLETRANSLATE(E129,""en"",""ur"")"),"ایک کھیل کا اختتام")</f>
        <v>ایک کھیل کا اختتام</v>
      </c>
      <c r="P129" s="2" t="str">
        <f>IFERROR(__xludf.DUMMYFUNCTION("GOOGLETRANSLATE(F129,""en"",""ur"")"),"بے ترتیب ترتیب")</f>
        <v>بے ترتیب ترتیب</v>
      </c>
      <c r="Q129" s="2" t="s">
        <v>57</v>
      </c>
      <c r="R129" s="2" t="str">
        <f>IFERROR(__xludf.DUMMYFUNCTION("GOOGLETRANSLATE(G129,""en"",""ur"")"),"کھیل کا وسط")</f>
        <v>کھیل کا وسط</v>
      </c>
      <c r="S129" s="6" t="s">
        <v>185</v>
      </c>
    </row>
    <row r="130" ht="22.5" customHeight="1">
      <c r="A130" s="4">
        <v>129.0</v>
      </c>
      <c r="B130" s="5" t="s">
        <v>16</v>
      </c>
      <c r="C130" s="5" t="s">
        <v>58</v>
      </c>
      <c r="D130" s="5" t="s">
        <v>59</v>
      </c>
      <c r="E130" s="5" t="s">
        <v>60</v>
      </c>
      <c r="F130" s="5" t="s">
        <v>61</v>
      </c>
      <c r="G130" s="5" t="s">
        <v>60</v>
      </c>
      <c r="H130" s="5" t="s">
        <v>185</v>
      </c>
      <c r="K130" s="2" t="str">
        <f>IFERROR(__xludf.DUMMYFUNCTION("GOOGLETRANSLATE(A130,""en"",""ur"")"),"129")</f>
        <v>129</v>
      </c>
      <c r="L130" s="2" t="str">
        <f>IFERROR(__xludf.DUMMYFUNCTION("GOOGLETRANSLATE(B130,""en"",""ur"")"),"ٹکڑوں کے بارے میں ایک قابل ذکر تفصیل کیا ہے؟")</f>
        <v>ٹکڑوں کے بارے میں ایک قابل ذکر تفصیل کیا ہے؟</v>
      </c>
      <c r="M130" s="2" t="str">
        <f>IFERROR(__xludf.DUMMYFUNCTION("GOOGLETRANSLATE(C130,""en"",""ur"")"),"وہ سب ایک ہی قد کے ہیں۔")</f>
        <v>وہ سب ایک ہی قد کے ہیں۔</v>
      </c>
      <c r="N130" s="2" t="str">
        <f>IFERROR(__xludf.DUMMYFUNCTION("GOOGLETRANSLATE(D130,""en"",""ur"")"),"وہ سب ایک ہی رنگ کے ہیں۔")</f>
        <v>وہ سب ایک ہی رنگ کے ہیں۔</v>
      </c>
      <c r="O130" s="2" t="str">
        <f>IFERROR(__xludf.DUMMYFUNCTION("GOOGLETRANSLATE(E130,""en"",""ur"")"),"وہ رنگوں اور ڈیزائنوں کا مرکب ہیں۔")</f>
        <v>وہ رنگوں اور ڈیزائنوں کا مرکب ہیں۔</v>
      </c>
      <c r="P130" s="2" t="str">
        <f>IFERROR(__xludf.DUMMYFUNCTION("GOOGLETRANSLATE(F130,""en"",""ur"")"),"وہ سب وسیع نمونوں کے ساتھ زین پہنے ہوئے ہیں۔")</f>
        <v>وہ سب وسیع نمونوں کے ساتھ زین پہنے ہوئے ہیں۔</v>
      </c>
      <c r="Q130" s="2" t="s">
        <v>62</v>
      </c>
      <c r="R130" s="2" t="str">
        <f>IFERROR(__xludf.DUMMYFUNCTION("GOOGLETRANSLATE(G130,""en"",""ur"")"),"وہ رنگوں اور ڈیزائنوں کا مرکب ہیں۔")</f>
        <v>وہ رنگوں اور ڈیزائنوں کا مرکب ہیں۔</v>
      </c>
      <c r="S130" s="6" t="s">
        <v>185</v>
      </c>
    </row>
    <row r="131" ht="22.5" customHeight="1">
      <c r="A131" s="4">
        <v>130.0</v>
      </c>
      <c r="B131" s="5" t="s">
        <v>63</v>
      </c>
      <c r="C131" s="5" t="s">
        <v>64</v>
      </c>
      <c r="D131" s="5" t="s">
        <v>65</v>
      </c>
      <c r="E131" s="5" t="s">
        <v>66</v>
      </c>
      <c r="F131" s="5" t="s">
        <v>67</v>
      </c>
      <c r="G131" s="5" t="s">
        <v>65</v>
      </c>
      <c r="H131" s="5" t="s">
        <v>185</v>
      </c>
      <c r="K131" s="2" t="str">
        <f>IFERROR(__xludf.DUMMYFUNCTION("GOOGLETRANSLATE(A131,""en"",""ur"")"),"130")</f>
        <v>130</v>
      </c>
      <c r="L131" s="2" t="str">
        <f>IFERROR(__xludf.DUMMYFUNCTION("GOOGLETRANSLATE(B131,""en"",""ur"")"),"چتورنگا کا تاریخی کھیل کس ملک سے تعلق کے لیے جانا جاتا ہے؟")</f>
        <v>چتورنگا کا تاریخی کھیل کس ملک سے تعلق کے لیے جانا جاتا ہے؟</v>
      </c>
      <c r="M131" s="2" t="str">
        <f>IFERROR(__xludf.DUMMYFUNCTION("GOOGLETRANSLATE(C131,""en"",""ur"")"),"چین")</f>
        <v>چین</v>
      </c>
      <c r="N131" s="2" t="str">
        <f>IFERROR(__xludf.DUMMYFUNCTION("GOOGLETRANSLATE(D131,""en"",""ur"")"),"انڈیا")</f>
        <v>انڈیا</v>
      </c>
      <c r="O131" s="2" t="str">
        <f>IFERROR(__xludf.DUMMYFUNCTION("GOOGLETRANSLATE(E131,""en"",""ur"")"),"یورپ")</f>
        <v>یورپ</v>
      </c>
      <c r="P131" s="2" t="str">
        <f>IFERROR(__xludf.DUMMYFUNCTION("GOOGLETRANSLATE(F131,""en"",""ur"")"),"مصر")</f>
        <v>مصر</v>
      </c>
      <c r="Q131" s="2" t="s">
        <v>68</v>
      </c>
      <c r="R131" s="2" t="str">
        <f>IFERROR(__xludf.DUMMYFUNCTION("GOOGLETRANSLATE(G131,""en"",""ur"")"),"انڈیا")</f>
        <v>انڈیا</v>
      </c>
      <c r="S131" s="6" t="s">
        <v>185</v>
      </c>
    </row>
    <row r="132" ht="22.5" customHeight="1">
      <c r="A132" s="4">
        <v>131.0</v>
      </c>
      <c r="B132" s="5" t="s">
        <v>195</v>
      </c>
      <c r="C132" s="5" t="s">
        <v>12</v>
      </c>
      <c r="D132" s="5" t="s">
        <v>71</v>
      </c>
      <c r="E132" s="5" t="s">
        <v>72</v>
      </c>
      <c r="F132" s="5" t="s">
        <v>73</v>
      </c>
      <c r="G132" s="5" t="s">
        <v>12</v>
      </c>
      <c r="H132" s="5" t="s">
        <v>196</v>
      </c>
      <c r="K132" s="2" t="str">
        <f>IFERROR(__xludf.DUMMYFUNCTION("GOOGLETRANSLATE(A132,""en"",""ur"")"),"131")</f>
        <v>131</v>
      </c>
      <c r="L132" s="2" t="str">
        <f>IFERROR(__xludf.DUMMYFUNCTION("GOOGLETRANSLATE(B132,""en"",""ur"")"),"چترنگا_46 میں دکھایا گیا اہم عمل کیا ہے؟")</f>
        <v>چترنگا_46 میں دکھایا گیا اہم عمل کیا ہے؟</v>
      </c>
      <c r="M132" s="2" t="str">
        <f>IFERROR(__xludf.DUMMYFUNCTION("GOOGLETRANSLATE(C132,""en"",""ur"")"),"انتہائی آرائشی ٹکڑوں کے ساتھ ایک بساط")</f>
        <v>انتہائی آرائشی ٹکڑوں کے ساتھ ایک بساط</v>
      </c>
      <c r="N132" s="2" t="str">
        <f>IFERROR(__xludf.DUMMYFUNCTION("GOOGLETRANSLATE(D132,""en"",""ur"")"),"سواروں کا ایک گروپ جو مرکزی چیز کے لیے مقابلہ کر رہا ہے۔")</f>
        <v>سواروں کا ایک گروپ جو مرکزی چیز کے لیے مقابلہ کر رہا ہے۔</v>
      </c>
      <c r="O132" s="2" t="str">
        <f>IFERROR(__xludf.DUMMYFUNCTION("GOOGLETRANSLATE(E132,""en"",""ur"")"),"گھوڑوں کی پریڈ")</f>
        <v>گھوڑوں کی پریڈ</v>
      </c>
      <c r="P132" s="2" t="str">
        <f>IFERROR(__xludf.DUMMYFUNCTION("GOOGLETRANSLATE(F132,""en"",""ur"")"),"گھوڑوں کی دوڑ")</f>
        <v>گھوڑوں کی دوڑ</v>
      </c>
      <c r="Q132" s="2" t="s">
        <v>182</v>
      </c>
      <c r="R132" s="2" t="str">
        <f>IFERROR(__xludf.DUMMYFUNCTION("GOOGLETRANSLATE(G132,""en"",""ur"")"),"انتہائی آرائشی ٹکڑوں کے ساتھ ایک بساط")</f>
        <v>انتہائی آرائشی ٹکڑوں کے ساتھ ایک بساط</v>
      </c>
      <c r="S132" s="6" t="s">
        <v>196</v>
      </c>
    </row>
    <row r="133" ht="22.5" customHeight="1">
      <c r="A133" s="4">
        <v>132.0</v>
      </c>
      <c r="B133" s="5" t="s">
        <v>16</v>
      </c>
      <c r="C133" s="5" t="s">
        <v>17</v>
      </c>
      <c r="D133" s="5" t="s">
        <v>18</v>
      </c>
      <c r="E133" s="5" t="s">
        <v>19</v>
      </c>
      <c r="F133" s="5" t="s">
        <v>20</v>
      </c>
      <c r="G133" s="5" t="s">
        <v>18</v>
      </c>
      <c r="H133" s="5" t="s">
        <v>196</v>
      </c>
      <c r="K133" s="2" t="str">
        <f>IFERROR(__xludf.DUMMYFUNCTION("GOOGLETRANSLATE(A133,""en"",""ur"")"),"132")</f>
        <v>132</v>
      </c>
      <c r="L133" s="2" t="str">
        <f>IFERROR(__xludf.DUMMYFUNCTION("GOOGLETRANSLATE(B133,""en"",""ur"")"),"ٹکڑوں کے بارے میں ایک قابل ذکر تفصیل کیا ہے؟")</f>
        <v>ٹکڑوں کے بارے میں ایک قابل ذکر تفصیل کیا ہے؟</v>
      </c>
      <c r="M133" s="2" t="str">
        <f>IFERROR(__xludf.DUMMYFUNCTION("GOOGLETRANSLATE(C133,""en"",""ur"")"),"وہ سب ایک جیسے ہیں۔")</f>
        <v>وہ سب ایک جیسے ہیں۔</v>
      </c>
      <c r="N133" s="2" t="str">
        <f>IFERROR(__xludf.DUMMYFUNCTION("GOOGLETRANSLATE(D133,""en"",""ur"")"),"وہ ایک تاریخی فوج کی نمائندگی کرنے والی انتہائی اسٹائلائزڈ شخصیات ہیں۔")</f>
        <v>وہ ایک تاریخی فوج کی نمائندگی کرنے والی انتہائی اسٹائلائزڈ شخصیات ہیں۔</v>
      </c>
      <c r="O133" s="2" t="str">
        <f>IFERROR(__xludf.DUMMYFUNCTION("GOOGLETRANSLATE(E133,""en"",""ur"")"),"وہ پلاسٹک سے بنے ہیں۔")</f>
        <v>وہ پلاسٹک سے بنے ہیں۔</v>
      </c>
      <c r="P133" s="2" t="str">
        <f>IFERROR(__xludf.DUMMYFUNCTION("GOOGLETRANSLATE(F133,""en"",""ur"")"),"وہ سب سفید فام ہیں۔")</f>
        <v>وہ سب سفید فام ہیں۔</v>
      </c>
      <c r="Q133" s="2" t="s">
        <v>21</v>
      </c>
      <c r="R133" s="2" t="str">
        <f>IFERROR(__xludf.DUMMYFUNCTION("GOOGLETRANSLATE(G133,""en"",""ur"")"),"وہ ایک تاریخی فوج کی نمائندگی کرنے والی انتہائی اسٹائلائزڈ شخصیات ہیں۔")</f>
        <v>وہ ایک تاریخی فوج کی نمائندگی کرنے والی انتہائی اسٹائلائزڈ شخصیات ہیں۔</v>
      </c>
      <c r="S133" s="6" t="s">
        <v>196</v>
      </c>
    </row>
    <row r="134" ht="22.5" customHeight="1">
      <c r="A134" s="4">
        <v>133.0</v>
      </c>
      <c r="B134" s="5" t="s">
        <v>22</v>
      </c>
      <c r="C134" s="5" t="s">
        <v>23</v>
      </c>
      <c r="D134" s="5" t="s">
        <v>24</v>
      </c>
      <c r="E134" s="5" t="s">
        <v>25</v>
      </c>
      <c r="F134" s="5" t="s">
        <v>26</v>
      </c>
      <c r="G134" s="5" t="s">
        <v>24</v>
      </c>
      <c r="H134" s="5" t="s">
        <v>196</v>
      </c>
      <c r="K134" s="2" t="str">
        <f>IFERROR(__xludf.DUMMYFUNCTION("GOOGLETRANSLATE(A134,""en"",""ur"")"),"133")</f>
        <v>133</v>
      </c>
      <c r="L134" s="2" t="str">
        <f>IFERROR(__xludf.DUMMYFUNCTION("GOOGLETRANSLATE(B134,""en"",""ur"")"),"بساط کا ظاہری مواد کیا ہے؟")</f>
        <v>بساط کا ظاہری مواد کیا ہے؟</v>
      </c>
      <c r="M134" s="2" t="str">
        <f>IFERROR(__xludf.DUMMYFUNCTION("GOOGLETRANSLATE(C134,""en"",""ur"")"),"کندہ شدہ نمونوں کے ساتھ لکڑی")</f>
        <v>کندہ شدہ نمونوں کے ساتھ لکڑی</v>
      </c>
      <c r="N134" s="2" t="str">
        <f>IFERROR(__xludf.DUMMYFUNCTION("GOOGLETRANSLATE(D134,""en"",""ur"")"),"پلاسٹک")</f>
        <v>پلاسٹک</v>
      </c>
      <c r="O134" s="2" t="str">
        <f>IFERROR(__xludf.DUMMYFUNCTION("GOOGLETRANSLATE(E134,""en"",""ur"")"),"شیشہ")</f>
        <v>شیشہ</v>
      </c>
      <c r="P134" s="2" t="str">
        <f>IFERROR(__xludf.DUMMYFUNCTION("GOOGLETRANSLATE(F134,""en"",""ur"")"),"گتے")</f>
        <v>گتے</v>
      </c>
      <c r="Q134" s="2" t="s">
        <v>27</v>
      </c>
      <c r="R134" s="2" t="str">
        <f>IFERROR(__xludf.DUMMYFUNCTION("GOOGLETRANSLATE(G134,""en"",""ur"")"),"پلاسٹک")</f>
        <v>پلاسٹک</v>
      </c>
      <c r="S134" s="6" t="s">
        <v>196</v>
      </c>
    </row>
    <row r="135" ht="22.5" customHeight="1">
      <c r="A135" s="4">
        <v>134.0</v>
      </c>
      <c r="B135" s="5" t="s">
        <v>28</v>
      </c>
      <c r="C135" s="5" t="s">
        <v>29</v>
      </c>
      <c r="D135" s="5" t="s">
        <v>30</v>
      </c>
      <c r="E135" s="5" t="s">
        <v>31</v>
      </c>
      <c r="F135" s="5" t="s">
        <v>32</v>
      </c>
      <c r="G135" s="5" t="s">
        <v>31</v>
      </c>
      <c r="H135" s="5" t="s">
        <v>196</v>
      </c>
      <c r="K135" s="2" t="str">
        <f>IFERROR(__xludf.DUMMYFUNCTION("GOOGLETRANSLATE(A135,""en"",""ur"")"),"134")</f>
        <v>134</v>
      </c>
      <c r="L135" s="2" t="str">
        <f>IFERROR(__xludf.DUMMYFUNCTION("GOOGLETRANSLATE(B135,""en"",""ur"")"),"تصویر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135" s="2" t="str">
        <f>IFERROR(__xludf.DUMMYFUNCTION("GOOGLETRANSLATE(C135,""en"",""ur"")"),"چیکرس")</f>
        <v>چیکرس</v>
      </c>
      <c r="N135" s="2" t="str">
        <f>IFERROR(__xludf.DUMMYFUNCTION("GOOGLETRANSLATE(D135,""en"",""ur"")"),"بیکگیمون")</f>
        <v>بیکگیمون</v>
      </c>
      <c r="O135" s="2" t="str">
        <f>IFERROR(__xludf.DUMMYFUNCTION("GOOGLETRANSLATE(E135,""en"",""ur"")"),"چتورنگا")</f>
        <v>چتورنگا</v>
      </c>
      <c r="P135" s="2" t="str">
        <f>IFERROR(__xludf.DUMMYFUNCTION("GOOGLETRANSLATE(F135,""en"",""ur"")"),"جاؤ")</f>
        <v>جاؤ</v>
      </c>
      <c r="Q135" s="2" t="s">
        <v>33</v>
      </c>
      <c r="R135" s="2" t="str">
        <f>IFERROR(__xludf.DUMMYFUNCTION("GOOGLETRANSLATE(G135,""en"",""ur"")"),"چتورنگا")</f>
        <v>چتورنگا</v>
      </c>
      <c r="S135" s="6" t="s">
        <v>196</v>
      </c>
    </row>
    <row r="136" ht="22.5" customHeight="1">
      <c r="A136" s="4">
        <v>135.0</v>
      </c>
      <c r="B136" s="5" t="s">
        <v>34</v>
      </c>
      <c r="C136" s="5" t="s">
        <v>35</v>
      </c>
      <c r="D136" s="5" t="s">
        <v>36</v>
      </c>
      <c r="E136" s="5" t="s">
        <v>37</v>
      </c>
      <c r="F136" s="5" t="s">
        <v>38</v>
      </c>
      <c r="G136" s="5" t="s">
        <v>36</v>
      </c>
      <c r="H136" s="5" t="s">
        <v>196</v>
      </c>
      <c r="K136" s="2" t="str">
        <f>IFERROR(__xludf.DUMMYFUNCTION("GOOGLETRANSLATE(A136,""en"",""ur"")"),"135")</f>
        <v>135</v>
      </c>
      <c r="L136" s="2" t="str">
        <f>IFERROR(__xludf.DUMMYFUNCTION("GOOGLETRANSLATE(B136,""en"",""ur"")"),"""پرسنلائزڈ نام"" لیبل کا بظاہر مقصد کیا ہے؟")</f>
        <v>"پرسنلائزڈ نام" لیبل کا بظاہر مقصد کیا ہے؟</v>
      </c>
      <c r="M136" s="2" t="str">
        <f>IFERROR(__xludf.DUMMYFUNCTION("GOOGLETRANSLATE(C136,""en"",""ur"")"),"یہ کھیل کے قوانین کا حصہ ہے۔")</f>
        <v>یہ کھیل کے قوانین کا حصہ ہے۔</v>
      </c>
      <c r="N136" s="2" t="str">
        <f>IFERROR(__xludf.DUMMYFUNCTION("GOOGLETRANSLATE(D136,""en"",""ur"")"),"یہ حسب ضرورت کے لیے ایک خصوصیت ہے۔")</f>
        <v>یہ حسب ضرورت کے لیے ایک خصوصیت ہے۔</v>
      </c>
      <c r="O136" s="2" t="str">
        <f>IFERROR(__xludf.DUMMYFUNCTION("GOOGLETRANSLATE(E136,""en"",""ur"")"),"یہ ایک تاریخی نشان ہے۔")</f>
        <v>یہ ایک تاریخی نشان ہے۔</v>
      </c>
      <c r="P136" s="2" t="str">
        <f>IFERROR(__xludf.DUMMYFUNCTION("GOOGLETRANSLATE(F136,""en"",""ur"")"),"یہ ایک برانڈ کا نام ہے۔")</f>
        <v>یہ ایک برانڈ کا نام ہے۔</v>
      </c>
      <c r="Q136" s="2" t="s">
        <v>39</v>
      </c>
      <c r="R136" s="2" t="str">
        <f>IFERROR(__xludf.DUMMYFUNCTION("GOOGLETRANSLATE(G136,""en"",""ur"")"),"یہ حسب ضرورت کے لیے ایک خصوصیت ہے۔")</f>
        <v>یہ حسب ضرورت کے لیے ایک خصوصیت ہے۔</v>
      </c>
      <c r="S136" s="6" t="s">
        <v>196</v>
      </c>
    </row>
    <row r="137" ht="22.5" customHeight="1">
      <c r="A137" s="4">
        <v>136.0</v>
      </c>
      <c r="B137" s="5" t="s">
        <v>40</v>
      </c>
      <c r="C137" s="5" t="s">
        <v>41</v>
      </c>
      <c r="D137" s="5" t="s">
        <v>42</v>
      </c>
      <c r="E137" s="5" t="s">
        <v>43</v>
      </c>
      <c r="F137" s="5" t="s">
        <v>44</v>
      </c>
      <c r="G137" s="5" t="s">
        <v>42</v>
      </c>
      <c r="H137" s="5" t="s">
        <v>196</v>
      </c>
      <c r="K137" s="2" t="str">
        <f>IFERROR(__xludf.DUMMYFUNCTION("GOOGLETRANSLATE(A137,""en"",""ur"")"),"136")</f>
        <v>136</v>
      </c>
      <c r="L137" s="2" t="str">
        <f>IFERROR(__xludf.DUMMYFUNCTION("GOOGLETRANSLATE(B137,""en"",""ur"")"),"بورڈ کے ڈیزائن کی سب سے نمایاں خصوصیت کیا ہے؟")</f>
        <v>بورڈ کے ڈیزائن کی سب سے نمایاں خصوصیت کیا ہے؟</v>
      </c>
      <c r="M137" s="2" t="str">
        <f>IFERROR(__xludf.DUMMYFUNCTION("GOOGLETRANSLATE(C137,""en"",""ur"")"),"یہ ایک سادہ، چیکر سطح ہے")</f>
        <v>یہ ایک سادہ، چیکر سطح ہے</v>
      </c>
      <c r="N137" s="2" t="str">
        <f>IFERROR(__xludf.DUMMYFUNCTION("GOOGLETRANSLATE(D137,""en"",""ur"")"),"اس میں پیچیدہ کندہ شدہ نمونے ہیں۔")</f>
        <v>اس میں پیچیدہ کندہ شدہ نمونے ہیں۔</v>
      </c>
      <c r="O137" s="2" t="str">
        <f>IFERROR(__xludf.DUMMYFUNCTION("GOOGLETRANSLATE(E137,""en"",""ur"")"),"یہ ایک ٹھوس رنگ ہے۔")</f>
        <v>یہ ایک ٹھوس رنگ ہے۔</v>
      </c>
      <c r="P137" s="2" t="str">
        <f>IFERROR(__xludf.DUMMYFUNCTION("GOOGLETRANSLATE(F137,""en"",""ur"")"),"یہ ایک سرکلر بورڈ ہے۔")</f>
        <v>یہ ایک سرکلر بورڈ ہے۔</v>
      </c>
      <c r="Q137" s="2" t="s">
        <v>45</v>
      </c>
      <c r="R137" s="2" t="str">
        <f>IFERROR(__xludf.DUMMYFUNCTION("GOOGLETRANSLATE(G137,""en"",""ur"")"),"اس میں پیچیدہ کندہ شدہ نمونے ہیں۔")</f>
        <v>اس میں پیچیدہ کندہ شدہ نمونے ہیں۔</v>
      </c>
      <c r="S137" s="6" t="s">
        <v>196</v>
      </c>
    </row>
    <row r="138" ht="22.5" customHeight="1">
      <c r="A138" s="4">
        <v>137.0</v>
      </c>
      <c r="B138" s="5" t="s">
        <v>46</v>
      </c>
      <c r="C138" s="5" t="s">
        <v>47</v>
      </c>
      <c r="D138" s="5" t="s">
        <v>48</v>
      </c>
      <c r="E138" s="5" t="s">
        <v>49</v>
      </c>
      <c r="F138" s="5" t="s">
        <v>50</v>
      </c>
      <c r="G138" s="5" t="s">
        <v>49</v>
      </c>
      <c r="H138" s="5" t="s">
        <v>196</v>
      </c>
      <c r="K138" s="2" t="str">
        <f>IFERROR(__xludf.DUMMYFUNCTION("GOOGLETRANSLATE(A138,""en"",""ur"")"),"137")</f>
        <v>137</v>
      </c>
      <c r="L138" s="2" t="str">
        <f>IFERROR(__xludf.DUMMYFUNCTION("GOOGLETRANSLATE(B138,""en"",""ur"")"),"کھلاڑیوں کے چہروں سے ظاہری جذبات کیا ہیں؟")</f>
        <v>کھلاڑیوں کے چہروں سے ظاہری جذبات کیا ہیں؟</v>
      </c>
      <c r="M138" s="2" t="str">
        <f>IFERROR(__xludf.DUMMYFUNCTION("GOOGLETRANSLATE(C138,""en"",""ur"")"),"پرسکون اور پر سکون")</f>
        <v>پرسکون اور پر سکون</v>
      </c>
      <c r="N138" s="2" t="str">
        <f>IFERROR(__xludf.DUMMYFUNCTION("GOOGLETRANSLATE(D138,""en"",""ur"")"),"خوف زدہ اور بے چین")</f>
        <v>خوف زدہ اور بے چین</v>
      </c>
      <c r="O138" s="2" t="str">
        <f>IFERROR(__xludf.DUMMYFUNCTION("GOOGLETRANSLATE(E138,""en"",""ur"")"),"کشیدہ اور شدید")</f>
        <v>کشیدہ اور شدید</v>
      </c>
      <c r="P138" s="2" t="str">
        <f>IFERROR(__xludf.DUMMYFUNCTION("GOOGLETRANSLATE(F138,""en"",""ur"")"),"خوش اور مسکراتے ہوئے۔")</f>
        <v>خوش اور مسکراتے ہوئے۔</v>
      </c>
      <c r="Q138" s="2" t="s">
        <v>51</v>
      </c>
      <c r="R138" s="2" t="str">
        <f>IFERROR(__xludf.DUMMYFUNCTION("GOOGLETRANSLATE(G138,""en"",""ur"")"),"کشیدہ اور شدید")</f>
        <v>کشیدہ اور شدید</v>
      </c>
      <c r="S138" s="6" t="s">
        <v>196</v>
      </c>
    </row>
    <row r="139" ht="22.5" customHeight="1">
      <c r="A139" s="4">
        <v>138.0</v>
      </c>
      <c r="B139" s="5" t="s">
        <v>52</v>
      </c>
      <c r="C139" s="5" t="s">
        <v>53</v>
      </c>
      <c r="D139" s="5" t="s">
        <v>54</v>
      </c>
      <c r="E139" s="5" t="s">
        <v>55</v>
      </c>
      <c r="F139" s="5" t="s">
        <v>56</v>
      </c>
      <c r="G139" s="5" t="s">
        <v>53</v>
      </c>
      <c r="H139" s="5" t="s">
        <v>196</v>
      </c>
      <c r="K139" s="2" t="str">
        <f>IFERROR(__xludf.DUMMYFUNCTION("GOOGLETRANSLATE(A139,""en"",""ur"")"),"138")</f>
        <v>138</v>
      </c>
      <c r="L139" s="2" t="str">
        <f>IFERROR(__xludf.DUMMYFUNCTION("GOOGLETRANSLATE(B139,""en"",""ur"")"),"ٹکڑوں کو ایک مخصوص شکل میں ترتیب دیا گیا ہے۔ یہ تشکیل کس لیے ہے؟")</f>
        <v>ٹکڑوں کو ایک مخصوص شکل میں ترتیب دیا گیا ہے۔ یہ تشکیل کس لیے ہے؟</v>
      </c>
      <c r="M139" s="2" t="str">
        <f>IFERROR(__xludf.DUMMYFUNCTION("GOOGLETRANSLATE(C139,""en"",""ur"")"),"ایک کھیل کا آغاز")</f>
        <v>ایک کھیل کا آغاز</v>
      </c>
      <c r="N139" s="2" t="str">
        <f>IFERROR(__xludf.DUMMYFUNCTION("GOOGLETRANSLATE(D139,""en"",""ur"")"),"کھیل کا وسط")</f>
        <v>کھیل کا وسط</v>
      </c>
      <c r="O139" s="2" t="str">
        <f>IFERROR(__xludf.DUMMYFUNCTION("GOOGLETRANSLATE(E139,""en"",""ur"")"),"ایک کھیل کا اختتام")</f>
        <v>ایک کھیل کا اختتام</v>
      </c>
      <c r="P139" s="2" t="str">
        <f>IFERROR(__xludf.DUMMYFUNCTION("GOOGLETRANSLATE(F139,""en"",""ur"")"),"بے ترتیب ترتیب")</f>
        <v>بے ترتیب ترتیب</v>
      </c>
      <c r="Q139" s="2" t="s">
        <v>57</v>
      </c>
      <c r="R139" s="2" t="str">
        <f>IFERROR(__xludf.DUMMYFUNCTION("GOOGLETRANSLATE(G139,""en"",""ur"")"),"ایک کھیل کا آغاز")</f>
        <v>ایک کھیل کا آغاز</v>
      </c>
      <c r="S139" s="6" t="s">
        <v>196</v>
      </c>
    </row>
    <row r="140" ht="22.5" customHeight="1">
      <c r="A140" s="4">
        <v>139.0</v>
      </c>
      <c r="B140" s="5" t="s">
        <v>16</v>
      </c>
      <c r="C140" s="5" t="s">
        <v>58</v>
      </c>
      <c r="D140" s="5" t="s">
        <v>59</v>
      </c>
      <c r="E140" s="5" t="s">
        <v>60</v>
      </c>
      <c r="F140" s="5" t="s">
        <v>61</v>
      </c>
      <c r="G140" s="5" t="s">
        <v>60</v>
      </c>
      <c r="H140" s="5" t="s">
        <v>196</v>
      </c>
      <c r="K140" s="2" t="str">
        <f>IFERROR(__xludf.DUMMYFUNCTION("GOOGLETRANSLATE(A140,""en"",""ur"")"),"139")</f>
        <v>139</v>
      </c>
      <c r="L140" s="2" t="str">
        <f>IFERROR(__xludf.DUMMYFUNCTION("GOOGLETRANSLATE(B140,""en"",""ur"")"),"ٹکڑوں کے بارے میں ایک قابل ذکر تفصیل کیا ہے؟")</f>
        <v>ٹکڑوں کے بارے میں ایک قابل ذکر تفصیل کیا ہے؟</v>
      </c>
      <c r="M140" s="2" t="str">
        <f>IFERROR(__xludf.DUMMYFUNCTION("GOOGLETRANSLATE(C140,""en"",""ur"")"),"وہ سب ایک ہی قد کے ہیں۔")</f>
        <v>وہ سب ایک ہی قد کے ہیں۔</v>
      </c>
      <c r="N140" s="2" t="str">
        <f>IFERROR(__xludf.DUMMYFUNCTION("GOOGLETRANSLATE(D140,""en"",""ur"")"),"وہ سب ایک ہی رنگ کے ہیں۔")</f>
        <v>وہ سب ایک ہی رنگ کے ہیں۔</v>
      </c>
      <c r="O140" s="2" t="str">
        <f>IFERROR(__xludf.DUMMYFUNCTION("GOOGLETRANSLATE(E140,""en"",""ur"")"),"وہ رنگوں اور ڈیزائنوں کا مرکب ہیں۔")</f>
        <v>وہ رنگوں اور ڈیزائنوں کا مرکب ہیں۔</v>
      </c>
      <c r="P140" s="2" t="str">
        <f>IFERROR(__xludf.DUMMYFUNCTION("GOOGLETRANSLATE(F140,""en"",""ur"")"),"وہ سب وسیع نمونوں کے ساتھ زین پہنے ہوئے ہیں۔")</f>
        <v>وہ سب وسیع نمونوں کے ساتھ زین پہنے ہوئے ہیں۔</v>
      </c>
      <c r="Q140" s="2" t="s">
        <v>62</v>
      </c>
      <c r="R140" s="2" t="str">
        <f>IFERROR(__xludf.DUMMYFUNCTION("GOOGLETRANSLATE(G140,""en"",""ur"")"),"وہ رنگوں اور ڈیزائنوں کا مرکب ہیں۔")</f>
        <v>وہ رنگوں اور ڈیزائنوں کا مرکب ہیں۔</v>
      </c>
      <c r="S140" s="6" t="s">
        <v>196</v>
      </c>
    </row>
    <row r="141" ht="22.5" customHeight="1">
      <c r="A141" s="4">
        <v>140.0</v>
      </c>
      <c r="B141" s="5" t="s">
        <v>63</v>
      </c>
      <c r="C141" s="5" t="s">
        <v>64</v>
      </c>
      <c r="D141" s="5" t="s">
        <v>65</v>
      </c>
      <c r="E141" s="5" t="s">
        <v>66</v>
      </c>
      <c r="F141" s="5" t="s">
        <v>67</v>
      </c>
      <c r="G141" s="5" t="s">
        <v>65</v>
      </c>
      <c r="H141" s="5" t="s">
        <v>196</v>
      </c>
      <c r="K141" s="2" t="str">
        <f>IFERROR(__xludf.DUMMYFUNCTION("GOOGLETRANSLATE(A141,""en"",""ur"")"),"140")</f>
        <v>140</v>
      </c>
      <c r="L141" s="2" t="str">
        <f>IFERROR(__xludf.DUMMYFUNCTION("GOOGLETRANSLATE(B141,""en"",""ur"")"),"چتورنگا کا تاریخی کھیل کس ملک سے تعلق کے لیے جانا جاتا ہے؟")</f>
        <v>چتورنگا کا تاریخی کھیل کس ملک سے تعلق کے لیے جانا جاتا ہے؟</v>
      </c>
      <c r="M141" s="2" t="str">
        <f>IFERROR(__xludf.DUMMYFUNCTION("GOOGLETRANSLATE(C141,""en"",""ur"")"),"چین")</f>
        <v>چین</v>
      </c>
      <c r="N141" s="2" t="str">
        <f>IFERROR(__xludf.DUMMYFUNCTION("GOOGLETRANSLATE(D141,""en"",""ur"")"),"انڈیا")</f>
        <v>انڈیا</v>
      </c>
      <c r="O141" s="2" t="str">
        <f>IFERROR(__xludf.DUMMYFUNCTION("GOOGLETRANSLATE(E141,""en"",""ur"")"),"یورپ")</f>
        <v>یورپ</v>
      </c>
      <c r="P141" s="2" t="str">
        <f>IFERROR(__xludf.DUMMYFUNCTION("GOOGLETRANSLATE(F141,""en"",""ur"")"),"مصر")</f>
        <v>مصر</v>
      </c>
      <c r="Q141" s="2" t="s">
        <v>68</v>
      </c>
      <c r="R141" s="2" t="str">
        <f>IFERROR(__xludf.DUMMYFUNCTION("GOOGLETRANSLATE(G141,""en"",""ur"")"),"انڈیا")</f>
        <v>انڈیا</v>
      </c>
      <c r="S141" s="6" t="s">
        <v>196</v>
      </c>
    </row>
    <row r="142" ht="22.5" customHeight="1">
      <c r="A142" s="4">
        <v>141.0</v>
      </c>
      <c r="B142" s="5" t="s">
        <v>197</v>
      </c>
      <c r="C142" s="5" t="s">
        <v>141</v>
      </c>
      <c r="D142" s="5" t="s">
        <v>142</v>
      </c>
      <c r="E142" s="5" t="s">
        <v>143</v>
      </c>
      <c r="F142" s="5" t="s">
        <v>14</v>
      </c>
      <c r="G142" s="5" t="s">
        <v>143</v>
      </c>
      <c r="H142" s="5" t="s">
        <v>198</v>
      </c>
      <c r="K142" s="2" t="str">
        <f>IFERROR(__xludf.DUMMYFUNCTION("GOOGLETRANSLATE(A142,""en"",""ur"")"),"141")</f>
        <v>141</v>
      </c>
      <c r="L142" s="2" t="str">
        <f>IFERROR(__xludf.DUMMYFUNCTION("GOOGLETRANSLATE(B142,""en"",""ur"")"),"چترنگا_59 میں دکھایا گیا اہم عمل کیا ہے؟")</f>
        <v>چترنگا_59 میں دکھایا گیا اہم عمل کیا ہے؟</v>
      </c>
      <c r="M142" s="2" t="str">
        <f>IFERROR(__xludf.DUMMYFUNCTION("GOOGLETRANSLATE(C142,""en"",""ur"")"),"دو آدمی لڑ رہے ہیں۔")</f>
        <v>دو آدمی لڑ رہے ہیں۔</v>
      </c>
      <c r="N142" s="2" t="str">
        <f>IFERROR(__xludf.DUMMYFUNCTION("GOOGLETRANSLATE(D142,""en"",""ur"")"),"لوگوں کا ایک گروپ جو گیند کا کھیل کھیل رہا ہے۔")</f>
        <v>لوگوں کا ایک گروپ جو گیند کا کھیل کھیل رہا ہے۔</v>
      </c>
      <c r="O142" s="2" t="str">
        <f>IFERROR(__xludf.DUMMYFUNCTION("GOOGLETRANSLATE(E142,""en"",""ur"")"),"لوگوں کا ایک گروپ جو بورڈ گیم کھیل رہا ہے۔")</f>
        <v>لوگوں کا ایک گروپ جو بورڈ گیم کھیل رہا ہے۔</v>
      </c>
      <c r="P142" s="2" t="str">
        <f>IFERROR(__xludf.DUMMYFUNCTION("GOOGLETRANSLATE(F142,""en"",""ur"")"),"شطرنج کے ٹکڑے تراشنے والا شخص")</f>
        <v>شطرنج کے ٹکڑے تراشنے والا شخص</v>
      </c>
      <c r="Q142" s="2" t="s">
        <v>145</v>
      </c>
      <c r="R142" s="2" t="str">
        <f>IFERROR(__xludf.DUMMYFUNCTION("GOOGLETRANSLATE(G142,""en"",""ur"")"),"لوگوں کا ایک گروپ جو بورڈ گیم کھیل رہا ہے۔")</f>
        <v>لوگوں کا ایک گروپ جو بورڈ گیم کھیل رہا ہے۔</v>
      </c>
      <c r="S142" s="6" t="s">
        <v>198</v>
      </c>
    </row>
    <row r="143" ht="22.5" customHeight="1">
      <c r="A143" s="4">
        <v>142.0</v>
      </c>
      <c r="B143" s="5" t="s">
        <v>76</v>
      </c>
      <c r="C143" s="5" t="s">
        <v>17</v>
      </c>
      <c r="D143" s="5" t="s">
        <v>77</v>
      </c>
      <c r="E143" s="5" t="s">
        <v>78</v>
      </c>
      <c r="F143" s="5" t="s">
        <v>79</v>
      </c>
      <c r="G143" s="5" t="s">
        <v>77</v>
      </c>
      <c r="H143" s="5" t="s">
        <v>198</v>
      </c>
      <c r="K143" s="2" t="str">
        <f>IFERROR(__xludf.DUMMYFUNCTION("GOOGLETRANSLATE(A143,""en"",""ur"")"),"142")</f>
        <v>142</v>
      </c>
      <c r="L143" s="2" t="str">
        <f>IFERROR(__xludf.DUMMYFUNCTION("GOOGLETRANSLATE(B143,""en"",""ur"")"),"بورڈ اور ٹکڑوں کے بارے میں ایک قابل ذکر تفصیل کیا ہے؟")</f>
        <v>بورڈ اور ٹکڑوں کے بارے میں ایک قابل ذکر تفصیل کیا ہے؟</v>
      </c>
      <c r="M143" s="2" t="str">
        <f>IFERROR(__xludf.DUMMYFUNCTION("GOOGLETRANSLATE(C143,""en"",""ur"")"),"وہ سب ایک جیسے ہیں۔")</f>
        <v>وہ سب ایک جیسے ہیں۔</v>
      </c>
      <c r="N143" s="2" t="str">
        <f>IFERROR(__xludf.DUMMYFUNCTION("GOOGLETRANSLATE(D143,""en"",""ur"")"),"بورڈ لکڑی کا بنا ہوا ہے، اور ٹکڑوں کو روایتی انداز میں کندہ کیا گیا ہے۔")</f>
        <v>بورڈ لکڑی کا بنا ہوا ہے، اور ٹکڑوں کو روایتی انداز میں کندہ کیا گیا ہے۔</v>
      </c>
      <c r="O143" s="2" t="str">
        <f>IFERROR(__xludf.DUMMYFUNCTION("GOOGLETRANSLATE(E143,""en"",""ur"")"),"ٹکڑے پلاسٹک سے بنے ہیں۔")</f>
        <v>ٹکڑے پلاسٹک سے بنے ہیں۔</v>
      </c>
      <c r="P143" s="2" t="str">
        <f>IFERROR(__xludf.DUMMYFUNCTION("GOOGLETRANSLATE(F143,""en"",""ur"")"),"بورڈ ایک ٹھوس رنگ ہے")</f>
        <v>بورڈ ایک ٹھوس رنگ ہے</v>
      </c>
      <c r="Q143" s="2" t="s">
        <v>80</v>
      </c>
      <c r="R143" s="2" t="str">
        <f>IFERROR(__xludf.DUMMYFUNCTION("GOOGLETRANSLATE(G143,""en"",""ur"")"),"بورڈ لکڑی کا بنا ہوا ہے، اور ٹکڑوں کو روایتی انداز میں کندہ کیا گیا ہے۔")</f>
        <v>بورڈ لکڑی کا بنا ہوا ہے، اور ٹکڑوں کو روایتی انداز میں کندہ کیا گیا ہے۔</v>
      </c>
      <c r="S143" s="6" t="s">
        <v>198</v>
      </c>
    </row>
    <row r="144" ht="22.5" customHeight="1">
      <c r="A144" s="4">
        <v>143.0</v>
      </c>
      <c r="B144" s="5" t="s">
        <v>81</v>
      </c>
      <c r="C144" s="5" t="s">
        <v>17</v>
      </c>
      <c r="D144" s="5" t="s">
        <v>18</v>
      </c>
      <c r="E144" s="5" t="s">
        <v>19</v>
      </c>
      <c r="F144" s="5" t="s">
        <v>20</v>
      </c>
      <c r="G144" s="5" t="s">
        <v>18</v>
      </c>
      <c r="H144" s="5" t="s">
        <v>198</v>
      </c>
      <c r="K144" s="2" t="str">
        <f>IFERROR(__xludf.DUMMYFUNCTION("GOOGLETRANSLATE(A144,""en"",""ur"")"),"143")</f>
        <v>143</v>
      </c>
      <c r="L144" s="2" t="str">
        <f>IFERROR(__xludf.DUMMYFUNCTION("GOOGLETRANSLATE(B144,""en"",""ur"")"),"ٹکڑوں کے ڈیزائن کے بارے میں واضح تفصیل کیا ہے؟")</f>
        <v>ٹکڑوں کے ڈیزائن کے بارے میں واضح تفصیل کیا ہے؟</v>
      </c>
      <c r="M144" s="2" t="str">
        <f>IFERROR(__xludf.DUMMYFUNCTION("GOOGLETRANSLATE(C144,""en"",""ur"")"),"وہ سب ایک جیسے ہیں۔")</f>
        <v>وہ سب ایک جیسے ہیں۔</v>
      </c>
      <c r="N144" s="2" t="str">
        <f>IFERROR(__xludf.DUMMYFUNCTION("GOOGLETRANSLATE(D144,""en"",""ur"")"),"وہ ایک تاریخی فوج کی نمائندگی کرنے والی انتہائی اسٹائلائزڈ شخصیات ہیں۔")</f>
        <v>وہ ایک تاریخی فوج کی نمائندگی کرنے والی انتہائی اسٹائلائزڈ شخصیات ہیں۔</v>
      </c>
      <c r="O144" s="2" t="str">
        <f>IFERROR(__xludf.DUMMYFUNCTION("GOOGLETRANSLATE(E144,""en"",""ur"")"),"وہ پلاسٹک سے بنے ہیں۔")</f>
        <v>وہ پلاسٹک سے بنے ہیں۔</v>
      </c>
      <c r="P144" s="2" t="str">
        <f>IFERROR(__xludf.DUMMYFUNCTION("GOOGLETRANSLATE(F144,""en"",""ur"")"),"وہ سب سفید فام ہیں۔")</f>
        <v>وہ سب سفید فام ہیں۔</v>
      </c>
      <c r="Q144" s="2" t="s">
        <v>21</v>
      </c>
      <c r="R144" s="2" t="str">
        <f>IFERROR(__xludf.DUMMYFUNCTION("GOOGLETRANSLATE(G144,""en"",""ur"")"),"وہ ایک تاریخی فوج کی نمائندگی کرنے والی انتہائی اسٹائلائزڈ شخصیات ہیں۔")</f>
        <v>وہ ایک تاریخی فوج کی نمائندگی کرنے والی انتہائی اسٹائلائزڈ شخصیات ہیں۔</v>
      </c>
      <c r="S144" s="6" t="s">
        <v>198</v>
      </c>
    </row>
    <row r="145" ht="22.5" customHeight="1">
      <c r="A145" s="4">
        <v>144.0</v>
      </c>
      <c r="B145" s="5" t="s">
        <v>82</v>
      </c>
      <c r="C145" s="5" t="s">
        <v>83</v>
      </c>
      <c r="D145" s="5" t="s">
        <v>84</v>
      </c>
      <c r="E145" s="5" t="s">
        <v>85</v>
      </c>
      <c r="F145" s="5" t="s">
        <v>86</v>
      </c>
      <c r="G145" s="5" t="s">
        <v>86</v>
      </c>
      <c r="H145" s="5" t="s">
        <v>198</v>
      </c>
      <c r="K145" s="2" t="str">
        <f>IFERROR(__xludf.DUMMYFUNCTION("GOOGLETRANSLATE(A145,""en"",""ur"")"),"144")</f>
        <v>144</v>
      </c>
      <c r="L145" s="2" t="str">
        <f>IFERROR(__xludf.DUMMYFUNCTION("GOOGLETRANSLATE(B145,""en"",""ur"")"),"اس گیم کی ظاہری ترتیب کیا ہے؟")</f>
        <v>اس گیم کی ظاہری ترتیب کیا ہے؟</v>
      </c>
      <c r="M145" s="2" t="str">
        <f>IFERROR(__xludf.DUMMYFUNCTION("GOOGLETRANSLATE(C145,""en"",""ur"")"),"یہ ایک بڑے اسٹیڈیم پر ہے۔")</f>
        <v>یہ ایک بڑے اسٹیڈیم پر ہے۔</v>
      </c>
      <c r="N145" s="2" t="str">
        <f>IFERROR(__xludf.DUMMYFUNCTION("GOOGLETRANSLATE(D145,""en"",""ur"")"),"یہ پہاڑی، پتھریلی علاقے میں ایک میدان میں ہے۔")</f>
        <v>یہ پہاڑی، پتھریلی علاقے میں ایک میدان میں ہے۔</v>
      </c>
      <c r="O145" s="2" t="str">
        <f>IFERROR(__xludf.DUMMYFUNCTION("GOOGLETRANSLATE(E145,""en"",""ur"")"),"یہ شہر کی سڑک پر ہے۔")</f>
        <v>یہ شہر کی سڑک پر ہے۔</v>
      </c>
      <c r="P145" s="2" t="str">
        <f>IFERROR(__xludf.DUMMYFUNCTION("GOOGLETRANSLATE(F145,""en"",""ur"")"),"یہ لکڑی کی میز پر ہے۔")</f>
        <v>یہ لکڑی کی میز پر ہے۔</v>
      </c>
      <c r="Q145" s="2" t="s">
        <v>87</v>
      </c>
      <c r="R145" s="2" t="str">
        <f>IFERROR(__xludf.DUMMYFUNCTION("GOOGLETRANSLATE(G145,""en"",""ur"")"),"یہ لکڑی کی میز پر ہے۔")</f>
        <v>یہ لکڑی کی میز پر ہے۔</v>
      </c>
      <c r="S145" s="6" t="s">
        <v>198</v>
      </c>
    </row>
    <row r="146" ht="22.5" customHeight="1">
      <c r="A146" s="4">
        <v>145.0</v>
      </c>
      <c r="B146" s="5" t="s">
        <v>46</v>
      </c>
      <c r="C146" s="5" t="s">
        <v>47</v>
      </c>
      <c r="D146" s="5" t="s">
        <v>48</v>
      </c>
      <c r="E146" s="5" t="s">
        <v>49</v>
      </c>
      <c r="F146" s="5" t="s">
        <v>50</v>
      </c>
      <c r="G146" s="5" t="s">
        <v>49</v>
      </c>
      <c r="H146" s="5" t="s">
        <v>198</v>
      </c>
      <c r="K146" s="2" t="str">
        <f>IFERROR(__xludf.DUMMYFUNCTION("GOOGLETRANSLATE(A146,""en"",""ur"")"),"145")</f>
        <v>145</v>
      </c>
      <c r="L146" s="2" t="str">
        <f>IFERROR(__xludf.DUMMYFUNCTION("GOOGLETRANSLATE(B146,""en"",""ur"")"),"کھلاڑیوں کے چہروں سے ظاہری جذبات کیا ہیں؟")</f>
        <v>کھلاڑیوں کے چہروں سے ظاہری جذبات کیا ہیں؟</v>
      </c>
      <c r="M146" s="2" t="str">
        <f>IFERROR(__xludf.DUMMYFUNCTION("GOOGLETRANSLATE(C146,""en"",""ur"")"),"پرسکون اور پر سکون")</f>
        <v>پرسکون اور پر سکون</v>
      </c>
      <c r="N146" s="2" t="str">
        <f>IFERROR(__xludf.DUMMYFUNCTION("GOOGLETRANSLATE(D146,""en"",""ur"")"),"خوف زدہ اور بے چین")</f>
        <v>خوف زدہ اور بے چین</v>
      </c>
      <c r="O146" s="2" t="str">
        <f>IFERROR(__xludf.DUMMYFUNCTION("GOOGLETRANSLATE(E146,""en"",""ur"")"),"کشیدہ اور شدید")</f>
        <v>کشیدہ اور شدید</v>
      </c>
      <c r="P146" s="2" t="str">
        <f>IFERROR(__xludf.DUMMYFUNCTION("GOOGLETRANSLATE(F146,""en"",""ur"")"),"خوش اور مسکراتے ہوئے۔")</f>
        <v>خوش اور مسکراتے ہوئے۔</v>
      </c>
      <c r="Q146" s="2" t="s">
        <v>51</v>
      </c>
      <c r="R146" s="2" t="str">
        <f>IFERROR(__xludf.DUMMYFUNCTION("GOOGLETRANSLATE(G146,""en"",""ur"")"),"کشیدہ اور شدید")</f>
        <v>کشیدہ اور شدید</v>
      </c>
      <c r="S146" s="6" t="s">
        <v>198</v>
      </c>
    </row>
    <row r="147" ht="22.5" customHeight="1">
      <c r="A147" s="4">
        <v>146.0</v>
      </c>
      <c r="B147" s="5" t="s">
        <v>88</v>
      </c>
      <c r="C147" s="5" t="s">
        <v>89</v>
      </c>
      <c r="D147" s="5" t="s">
        <v>90</v>
      </c>
      <c r="E147" s="5" t="s">
        <v>91</v>
      </c>
      <c r="F147" s="5" t="s">
        <v>92</v>
      </c>
      <c r="G147" s="5" t="s">
        <v>92</v>
      </c>
      <c r="H147" s="5" t="s">
        <v>198</v>
      </c>
      <c r="K147" s="2" t="str">
        <f>IFERROR(__xludf.DUMMYFUNCTION("GOOGLETRANSLATE(A147,""en"",""ur"")"),"146")</f>
        <v>146</v>
      </c>
      <c r="L147" s="2" t="str">
        <f>IFERROR(__xludf.DUMMYFUNCTION("GOOGLETRANSLATE(B147,""en"",""ur"")"),"زمین کی سب سے نمایاں خصوصیت کیا ہے؟")</f>
        <v>زمین کی سب سے نمایاں خصوصیت کیا ہے؟</v>
      </c>
      <c r="M147" s="2" t="str">
        <f>IFERROR(__xludf.DUMMYFUNCTION("GOOGLETRANSLATE(C147,""en"",""ur"")"),"ایک پکی سطح")</f>
        <v>ایک پکی سطح</v>
      </c>
      <c r="N147" s="2" t="str">
        <f>IFERROR(__xludf.DUMMYFUNCTION("GOOGLETRANSLATE(D147,""en"",""ur"")"),"کیچڑ والا میدان")</f>
        <v>کیچڑ والا میدان</v>
      </c>
      <c r="O147" s="2" t="str">
        <f>IFERROR(__xludf.DUMMYFUNCTION("GOOGLETRANSLATE(E147,""en"",""ur"")"),"ایک گھاس دار سطح")</f>
        <v>ایک گھاس دار سطح</v>
      </c>
      <c r="P147" s="2" t="str">
        <f>IFERROR(__xludf.DUMMYFUNCTION("GOOGLETRANSLATE(F147,""en"",""ur"")"),"لکڑی کی میز")</f>
        <v>لکڑی کی میز</v>
      </c>
      <c r="Q147" s="2" t="s">
        <v>93</v>
      </c>
      <c r="R147" s="2" t="str">
        <f>IFERROR(__xludf.DUMMYFUNCTION("GOOGLETRANSLATE(G147,""en"",""ur"")"),"لکڑی کی میز")</f>
        <v>لکڑی کی میز</v>
      </c>
      <c r="S147" s="6" t="s">
        <v>198</v>
      </c>
    </row>
    <row r="148" ht="22.5" customHeight="1">
      <c r="A148" s="4">
        <v>147.0</v>
      </c>
      <c r="B148" s="5" t="s">
        <v>94</v>
      </c>
      <c r="C148" s="5" t="s">
        <v>95</v>
      </c>
      <c r="D148" s="5" t="s">
        <v>96</v>
      </c>
      <c r="E148" s="5" t="s">
        <v>97</v>
      </c>
      <c r="F148" s="5" t="s">
        <v>31</v>
      </c>
      <c r="G148" s="5" t="s">
        <v>31</v>
      </c>
      <c r="H148" s="5" t="s">
        <v>198</v>
      </c>
      <c r="K148" s="2" t="str">
        <f>IFERROR(__xludf.DUMMYFUNCTION("GOOGLETRANSLATE(A148,""en"",""ur"")"),"147")</f>
        <v>147</v>
      </c>
      <c r="L148" s="2" t="str">
        <f>IFERROR(__xludf.DUMMYFUNCTION("GOOGLETRANSLATE(B148,""en"",""ur"")"),"کھیلے جانے والے کھیل کا نام کیا ہے؟")</f>
        <v>کھیلے جانے والے کھیل کا نام کیا ہے؟</v>
      </c>
      <c r="M148" s="2" t="str">
        <f>IFERROR(__xludf.DUMMYFUNCTION("GOOGLETRANSLATE(C148,""en"",""ur"")"),"پولو")</f>
        <v>پولو</v>
      </c>
      <c r="N148" s="2" t="str">
        <f>IFERROR(__xludf.DUMMYFUNCTION("GOOGLETRANSLATE(D148,""en"",""ur"")"),"گھوڑوں کی دوڑ")</f>
        <v>گھوڑوں کی دوڑ</v>
      </c>
      <c r="O148" s="2" t="str">
        <f>IFERROR(__xludf.DUMMYFUNCTION("GOOGLETRANSLATE(E148,""en"",""ur"")"),"بزکشی۔")</f>
        <v>بزکشی۔</v>
      </c>
      <c r="P148" s="2" t="str">
        <f>IFERROR(__xludf.DUMMYFUNCTION("GOOGLETRANSLATE(F148,""en"",""ur"")"),"چتورنگا")</f>
        <v>چتورنگا</v>
      </c>
      <c r="Q148" s="2" t="s">
        <v>98</v>
      </c>
      <c r="R148" s="2" t="str">
        <f>IFERROR(__xludf.DUMMYFUNCTION("GOOGLETRANSLATE(G148,""en"",""ur"")"),"چتورنگا")</f>
        <v>چتورنگا</v>
      </c>
      <c r="S148" s="6" t="s">
        <v>198</v>
      </c>
    </row>
    <row r="149" ht="22.5" customHeight="1">
      <c r="A149" s="4">
        <v>148.0</v>
      </c>
      <c r="B149" s="5" t="s">
        <v>99</v>
      </c>
      <c r="C149" s="5" t="s">
        <v>64</v>
      </c>
      <c r="D149" s="5" t="s">
        <v>65</v>
      </c>
      <c r="E149" s="5" t="s">
        <v>66</v>
      </c>
      <c r="F149" s="5" t="s">
        <v>67</v>
      </c>
      <c r="G149" s="5" t="s">
        <v>65</v>
      </c>
      <c r="H149" s="5" t="s">
        <v>198</v>
      </c>
      <c r="K149" s="2" t="str">
        <f>IFERROR(__xludf.DUMMYFUNCTION("GOOGLETRANSLATE(A149,""en"",""ur"")"),"148")</f>
        <v>148</v>
      </c>
      <c r="L149" s="2" t="str">
        <f>IFERROR(__xludf.DUMMYFUNCTION("GOOGLETRANSLATE(B149,""en"",""ur"")"),"یہ گیم کس ملک سے تعلق کی وجہ سے مشہور ہے؟")</f>
        <v>یہ گیم کس ملک سے تعلق کی وجہ سے مشہور ہے؟</v>
      </c>
      <c r="M149" s="2" t="str">
        <f>IFERROR(__xludf.DUMMYFUNCTION("GOOGLETRANSLATE(C149,""en"",""ur"")"),"چین")</f>
        <v>چین</v>
      </c>
      <c r="N149" s="2" t="str">
        <f>IFERROR(__xludf.DUMMYFUNCTION("GOOGLETRANSLATE(D149,""en"",""ur"")"),"انڈیا")</f>
        <v>انڈیا</v>
      </c>
      <c r="O149" s="2" t="str">
        <f>IFERROR(__xludf.DUMMYFUNCTION("GOOGLETRANSLATE(E149,""en"",""ur"")"),"یورپ")</f>
        <v>یورپ</v>
      </c>
      <c r="P149" s="2" t="str">
        <f>IFERROR(__xludf.DUMMYFUNCTION("GOOGLETRANSLATE(F149,""en"",""ur"")"),"مصر")</f>
        <v>مصر</v>
      </c>
      <c r="Q149" s="2" t="s">
        <v>68</v>
      </c>
      <c r="R149" s="2" t="str">
        <f>IFERROR(__xludf.DUMMYFUNCTION("GOOGLETRANSLATE(G149,""en"",""ur"")"),"انڈیا")</f>
        <v>انڈیا</v>
      </c>
      <c r="S149" s="6" t="s">
        <v>198</v>
      </c>
    </row>
    <row r="150" ht="22.5" customHeight="1">
      <c r="A150" s="4">
        <v>149.0</v>
      </c>
      <c r="B150" s="5" t="s">
        <v>16</v>
      </c>
      <c r="C150" s="5" t="s">
        <v>58</v>
      </c>
      <c r="D150" s="5" t="s">
        <v>59</v>
      </c>
      <c r="E150" s="5" t="s">
        <v>60</v>
      </c>
      <c r="F150" s="5" t="s">
        <v>61</v>
      </c>
      <c r="G150" s="5" t="s">
        <v>60</v>
      </c>
      <c r="H150" s="5" t="s">
        <v>198</v>
      </c>
      <c r="K150" s="2" t="str">
        <f>IFERROR(__xludf.DUMMYFUNCTION("GOOGLETRANSLATE(A150,""en"",""ur"")"),"149")</f>
        <v>149</v>
      </c>
      <c r="L150" s="2" t="str">
        <f>IFERROR(__xludf.DUMMYFUNCTION("GOOGLETRANSLATE(B150,""en"",""ur"")"),"ٹکڑوں کے بارے میں ایک قابل ذکر تفصیل کیا ہے؟")</f>
        <v>ٹکڑوں کے بارے میں ایک قابل ذکر تفصیل کیا ہے؟</v>
      </c>
      <c r="M150" s="2" t="str">
        <f>IFERROR(__xludf.DUMMYFUNCTION("GOOGLETRANSLATE(C150,""en"",""ur"")"),"وہ سب ایک ہی قد کے ہیں۔")</f>
        <v>وہ سب ایک ہی قد کے ہیں۔</v>
      </c>
      <c r="N150" s="2" t="str">
        <f>IFERROR(__xludf.DUMMYFUNCTION("GOOGLETRANSLATE(D150,""en"",""ur"")"),"وہ سب ایک ہی رنگ کے ہیں۔")</f>
        <v>وہ سب ایک ہی رنگ کے ہیں۔</v>
      </c>
      <c r="O150" s="2" t="str">
        <f>IFERROR(__xludf.DUMMYFUNCTION("GOOGLETRANSLATE(E150,""en"",""ur"")"),"وہ رنگوں اور ڈیزائنوں کا مرکب ہیں۔")</f>
        <v>وہ رنگوں اور ڈیزائنوں کا مرکب ہیں۔</v>
      </c>
      <c r="P150" s="2" t="str">
        <f>IFERROR(__xludf.DUMMYFUNCTION("GOOGLETRANSLATE(F150,""en"",""ur"")"),"وہ سب وسیع نمونوں کے ساتھ زین پہنے ہوئے ہیں۔")</f>
        <v>وہ سب وسیع نمونوں کے ساتھ زین پہنے ہوئے ہیں۔</v>
      </c>
      <c r="Q150" s="2" t="s">
        <v>62</v>
      </c>
      <c r="R150" s="2" t="str">
        <f>IFERROR(__xludf.DUMMYFUNCTION("GOOGLETRANSLATE(G150,""en"",""ur"")"),"وہ رنگوں اور ڈیزائنوں کا مرکب ہیں۔")</f>
        <v>وہ رنگوں اور ڈیزائنوں کا مرکب ہیں۔</v>
      </c>
      <c r="S150" s="6" t="s">
        <v>198</v>
      </c>
    </row>
    <row r="151" ht="22.5" customHeight="1">
      <c r="A151" s="4">
        <v>150.0</v>
      </c>
      <c r="B151" s="5" t="s">
        <v>16</v>
      </c>
      <c r="C151" s="5" t="s">
        <v>59</v>
      </c>
      <c r="D151" s="5" t="s">
        <v>60</v>
      </c>
      <c r="E151" s="5" t="s">
        <v>20</v>
      </c>
      <c r="F151" s="5" t="s">
        <v>100</v>
      </c>
      <c r="G151" s="5" t="s">
        <v>60</v>
      </c>
      <c r="H151" s="5" t="s">
        <v>198</v>
      </c>
      <c r="K151" s="2" t="str">
        <f>IFERROR(__xludf.DUMMYFUNCTION("GOOGLETRANSLATE(A151,""en"",""ur"")"),"150")</f>
        <v>150</v>
      </c>
      <c r="L151" s="2" t="str">
        <f>IFERROR(__xludf.DUMMYFUNCTION("GOOGLETRANSLATE(B151,""en"",""ur"")"),"ٹکڑوں کے بارے میں ایک قابل ذکر تفصیل کیا ہے؟")</f>
        <v>ٹکڑوں کے بارے میں ایک قابل ذکر تفصیل کیا ہے؟</v>
      </c>
      <c r="M151" s="2" t="str">
        <f>IFERROR(__xludf.DUMMYFUNCTION("GOOGLETRANSLATE(C151,""en"",""ur"")"),"وہ سب ایک ہی رنگ کے ہیں۔")</f>
        <v>وہ سب ایک ہی رنگ کے ہیں۔</v>
      </c>
      <c r="N151" s="2" t="str">
        <f>IFERROR(__xludf.DUMMYFUNCTION("GOOGLETRANSLATE(D151,""en"",""ur"")"),"وہ رنگوں اور ڈیزائنوں کا مرکب ہیں۔")</f>
        <v>وہ رنگوں اور ڈیزائنوں کا مرکب ہیں۔</v>
      </c>
      <c r="O151" s="2" t="str">
        <f>IFERROR(__xludf.DUMMYFUNCTION("GOOGLETRANSLATE(E151,""en"",""ur"")"),"وہ سب سفید فام ہیں۔")</f>
        <v>وہ سب سفید فام ہیں۔</v>
      </c>
      <c r="P151" s="2" t="str">
        <f>IFERROR(__xludf.DUMMYFUNCTION("GOOGLETRANSLATE(F151,""en"",""ur"")"),"وہ سب کالے ہیں۔")</f>
        <v>وہ سب کالے ہیں۔</v>
      </c>
      <c r="Q151" s="2" t="s">
        <v>101</v>
      </c>
      <c r="R151" s="2" t="str">
        <f>IFERROR(__xludf.DUMMYFUNCTION("GOOGLETRANSLATE(G151,""en"",""ur"")"),"وہ رنگوں اور ڈیزائنوں کا مرکب ہیں۔")</f>
        <v>وہ رنگوں اور ڈیزائنوں کا مرکب ہیں۔</v>
      </c>
      <c r="S151" s="6" t="s">
        <v>198</v>
      </c>
    </row>
    <row r="152" ht="22.5" customHeight="1">
      <c r="A152" s="4">
        <v>151.0</v>
      </c>
      <c r="B152" s="5" t="s">
        <v>199</v>
      </c>
      <c r="C152" s="5" t="s">
        <v>118</v>
      </c>
      <c r="D152" s="5" t="s">
        <v>13</v>
      </c>
      <c r="E152" s="5" t="s">
        <v>14</v>
      </c>
      <c r="F152" s="5" t="s">
        <v>12</v>
      </c>
      <c r="G152" s="5" t="s">
        <v>12</v>
      </c>
      <c r="H152" s="5" t="s">
        <v>200</v>
      </c>
      <c r="K152" s="2" t="str">
        <f>IFERROR(__xludf.DUMMYFUNCTION("GOOGLETRANSLATE(A152,""en"",""ur"")"),"151")</f>
        <v>151</v>
      </c>
      <c r="L152" s="2" t="str">
        <f>IFERROR(__xludf.DUMMYFUNCTION("GOOGLETRANSLATE(B152,""en"",""ur"")"),"چترنگا_49 میں دکھایا گیا اہم عمل کیا ہے؟")</f>
        <v>چترنگا_49 میں دکھایا گیا اہم عمل کیا ہے؟</v>
      </c>
      <c r="M152" s="2" t="str">
        <f>IFERROR(__xludf.DUMMYFUNCTION("GOOGLETRANSLATE(C152,""en"",""ur"")"),"بساط پر شطرنج کا ایک ٹکڑا")</f>
        <v>بساط پر شطرنج کا ایک ٹکڑا</v>
      </c>
      <c r="N152" s="2" t="str">
        <f>IFERROR(__xludf.DUMMYFUNCTION("GOOGLETRANSLATE(D152,""en"",""ur"")"),"لوگوں کا ایک گروپ جو تاش کا کھیل کھیل رہا ہے۔")</f>
        <v>لوگوں کا ایک گروپ جو تاش کا کھیل کھیل رہا ہے۔</v>
      </c>
      <c r="O152" s="2" t="str">
        <f>IFERROR(__xludf.DUMMYFUNCTION("GOOGLETRANSLATE(E152,""en"",""ur"")"),"شطرنج کے ٹکڑے تراشنے والا شخص")</f>
        <v>شطرنج کے ٹکڑے تراشنے والا شخص</v>
      </c>
      <c r="P152" s="2" t="str">
        <f>IFERROR(__xludf.DUMMYFUNCTION("GOOGLETRANSLATE(F152,""en"",""ur"")"),"انتہائی آرائشی ٹکڑوں کے ساتھ ایک بساط")</f>
        <v>انتہائی آرائشی ٹکڑوں کے ساتھ ایک بساط</v>
      </c>
      <c r="Q152" s="2" t="s">
        <v>120</v>
      </c>
      <c r="R152" s="2" t="str">
        <f>IFERROR(__xludf.DUMMYFUNCTION("GOOGLETRANSLATE(G152,""en"",""ur"")"),"انتہائی آرائشی ٹکڑوں کے ساتھ ایک بساط")</f>
        <v>انتہائی آرائشی ٹکڑوں کے ساتھ ایک بساط</v>
      </c>
      <c r="S152" s="6" t="s">
        <v>200</v>
      </c>
    </row>
    <row r="153" ht="22.5" customHeight="1">
      <c r="A153" s="4">
        <v>152.0</v>
      </c>
      <c r="B153" s="5" t="s">
        <v>16</v>
      </c>
      <c r="C153" s="5" t="s">
        <v>17</v>
      </c>
      <c r="D153" s="5" t="s">
        <v>18</v>
      </c>
      <c r="E153" s="5" t="s">
        <v>19</v>
      </c>
      <c r="F153" s="5" t="s">
        <v>20</v>
      </c>
      <c r="G153" s="5" t="s">
        <v>18</v>
      </c>
      <c r="H153" s="5" t="s">
        <v>200</v>
      </c>
      <c r="K153" s="2" t="str">
        <f>IFERROR(__xludf.DUMMYFUNCTION("GOOGLETRANSLATE(A153,""en"",""ur"")"),"152")</f>
        <v>152</v>
      </c>
      <c r="L153" s="2" t="str">
        <f>IFERROR(__xludf.DUMMYFUNCTION("GOOGLETRANSLATE(B153,""en"",""ur"")"),"ٹکڑوں کے بارے میں ایک قابل ذکر تفصیل کیا ہے؟")</f>
        <v>ٹکڑوں کے بارے میں ایک قابل ذکر تفصیل کیا ہے؟</v>
      </c>
      <c r="M153" s="2" t="str">
        <f>IFERROR(__xludf.DUMMYFUNCTION("GOOGLETRANSLATE(C153,""en"",""ur"")"),"وہ سب ایک جیسے ہیں۔")</f>
        <v>وہ سب ایک جیسے ہیں۔</v>
      </c>
      <c r="N153" s="2" t="str">
        <f>IFERROR(__xludf.DUMMYFUNCTION("GOOGLETRANSLATE(D153,""en"",""ur"")"),"وہ ایک تاریخی فوج کی نمائندگی کرنے والی انتہائی اسٹائلائزڈ شخصیات ہیں۔")</f>
        <v>وہ ایک تاریخی فوج کی نمائندگی کرنے والی انتہائی اسٹائلائزڈ شخصیات ہیں۔</v>
      </c>
      <c r="O153" s="2" t="str">
        <f>IFERROR(__xludf.DUMMYFUNCTION("GOOGLETRANSLATE(E153,""en"",""ur"")"),"وہ پلاسٹک سے بنے ہیں۔")</f>
        <v>وہ پلاسٹک سے بنے ہیں۔</v>
      </c>
      <c r="P153" s="2" t="str">
        <f>IFERROR(__xludf.DUMMYFUNCTION("GOOGLETRANSLATE(F153,""en"",""ur"")"),"وہ سب سفید فام ہیں۔")</f>
        <v>وہ سب سفید فام ہیں۔</v>
      </c>
      <c r="Q153" s="2" t="s">
        <v>21</v>
      </c>
      <c r="R153" s="2" t="str">
        <f>IFERROR(__xludf.DUMMYFUNCTION("GOOGLETRANSLATE(G153,""en"",""ur"")"),"وہ ایک تاریخی فوج کی نمائندگی کرنے والی انتہائی اسٹائلائزڈ شخصیات ہیں۔")</f>
        <v>وہ ایک تاریخی فوج کی نمائندگی کرنے والی انتہائی اسٹائلائزڈ شخصیات ہیں۔</v>
      </c>
      <c r="S153" s="6" t="s">
        <v>200</v>
      </c>
    </row>
    <row r="154" ht="22.5" customHeight="1">
      <c r="A154" s="4">
        <v>153.0</v>
      </c>
      <c r="B154" s="5" t="s">
        <v>22</v>
      </c>
      <c r="C154" s="5" t="s">
        <v>23</v>
      </c>
      <c r="D154" s="5" t="s">
        <v>24</v>
      </c>
      <c r="E154" s="5" t="s">
        <v>25</v>
      </c>
      <c r="F154" s="5" t="s">
        <v>26</v>
      </c>
      <c r="G154" s="5" t="s">
        <v>23</v>
      </c>
      <c r="H154" s="5" t="s">
        <v>200</v>
      </c>
      <c r="K154" s="2" t="str">
        <f>IFERROR(__xludf.DUMMYFUNCTION("GOOGLETRANSLATE(A154,""en"",""ur"")"),"153")</f>
        <v>153</v>
      </c>
      <c r="L154" s="2" t="str">
        <f>IFERROR(__xludf.DUMMYFUNCTION("GOOGLETRANSLATE(B154,""en"",""ur"")"),"بساط کا ظاہری مواد کیا ہے؟")</f>
        <v>بساط کا ظاہری مواد کیا ہے؟</v>
      </c>
      <c r="M154" s="2" t="str">
        <f>IFERROR(__xludf.DUMMYFUNCTION("GOOGLETRANSLATE(C154,""en"",""ur"")"),"کندہ شدہ نمونوں کے ساتھ لکڑی")</f>
        <v>کندہ شدہ نمونوں کے ساتھ لکڑی</v>
      </c>
      <c r="N154" s="2" t="str">
        <f>IFERROR(__xludf.DUMMYFUNCTION("GOOGLETRANSLATE(D154,""en"",""ur"")"),"پلاسٹک")</f>
        <v>پلاسٹک</v>
      </c>
      <c r="O154" s="2" t="str">
        <f>IFERROR(__xludf.DUMMYFUNCTION("GOOGLETRANSLATE(E154,""en"",""ur"")"),"شیشہ")</f>
        <v>شیشہ</v>
      </c>
      <c r="P154" s="2" t="str">
        <f>IFERROR(__xludf.DUMMYFUNCTION("GOOGLETRANSLATE(F154,""en"",""ur"")"),"گتے")</f>
        <v>گتے</v>
      </c>
      <c r="Q154" s="2" t="s">
        <v>27</v>
      </c>
      <c r="R154" s="2" t="str">
        <f>IFERROR(__xludf.DUMMYFUNCTION("GOOGLETRANSLATE(G154,""en"",""ur"")"),"کندہ شدہ نمونوں کے ساتھ لکڑی")</f>
        <v>کندہ شدہ نمونوں کے ساتھ لکڑی</v>
      </c>
      <c r="S154" s="6" t="s">
        <v>200</v>
      </c>
    </row>
    <row r="155" ht="22.5" customHeight="1">
      <c r="A155" s="4">
        <v>154.0</v>
      </c>
      <c r="B155" s="5" t="s">
        <v>28</v>
      </c>
      <c r="C155" s="5" t="s">
        <v>29</v>
      </c>
      <c r="D155" s="5" t="s">
        <v>30</v>
      </c>
      <c r="E155" s="5" t="s">
        <v>31</v>
      </c>
      <c r="F155" s="5" t="s">
        <v>32</v>
      </c>
      <c r="G155" s="5" t="s">
        <v>31</v>
      </c>
      <c r="H155" s="5" t="s">
        <v>200</v>
      </c>
      <c r="K155" s="2" t="str">
        <f>IFERROR(__xludf.DUMMYFUNCTION("GOOGLETRANSLATE(A155,""en"",""ur"")"),"154")</f>
        <v>154</v>
      </c>
      <c r="L155" s="2" t="str">
        <f>IFERROR(__xludf.DUMMYFUNCTION("GOOGLETRANSLATE(B155,""en"",""ur"")"),"تصویر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155" s="2" t="str">
        <f>IFERROR(__xludf.DUMMYFUNCTION("GOOGLETRANSLATE(C155,""en"",""ur"")"),"چیکرس")</f>
        <v>چیکرس</v>
      </c>
      <c r="N155" s="2" t="str">
        <f>IFERROR(__xludf.DUMMYFUNCTION("GOOGLETRANSLATE(D155,""en"",""ur"")"),"بیکگیمون")</f>
        <v>بیکگیمون</v>
      </c>
      <c r="O155" s="2" t="str">
        <f>IFERROR(__xludf.DUMMYFUNCTION("GOOGLETRANSLATE(E155,""en"",""ur"")"),"چتورنگا")</f>
        <v>چتورنگا</v>
      </c>
      <c r="P155" s="2" t="str">
        <f>IFERROR(__xludf.DUMMYFUNCTION("GOOGLETRANSLATE(F155,""en"",""ur"")"),"جاؤ")</f>
        <v>جاؤ</v>
      </c>
      <c r="Q155" s="2" t="s">
        <v>33</v>
      </c>
      <c r="R155" s="2" t="str">
        <f>IFERROR(__xludf.DUMMYFUNCTION("GOOGLETRANSLATE(G155,""en"",""ur"")"),"چتورنگا")</f>
        <v>چتورنگا</v>
      </c>
      <c r="S155" s="6" t="s">
        <v>200</v>
      </c>
    </row>
    <row r="156" ht="22.5" customHeight="1">
      <c r="A156" s="4">
        <v>155.0</v>
      </c>
      <c r="B156" s="5" t="s">
        <v>34</v>
      </c>
      <c r="C156" s="5" t="s">
        <v>35</v>
      </c>
      <c r="D156" s="5" t="s">
        <v>36</v>
      </c>
      <c r="E156" s="5" t="s">
        <v>37</v>
      </c>
      <c r="F156" s="5" t="s">
        <v>38</v>
      </c>
      <c r="G156" s="5" t="s">
        <v>36</v>
      </c>
      <c r="H156" s="5" t="s">
        <v>200</v>
      </c>
      <c r="K156" s="2" t="str">
        <f>IFERROR(__xludf.DUMMYFUNCTION("GOOGLETRANSLATE(A156,""en"",""ur"")"),"155")</f>
        <v>155</v>
      </c>
      <c r="L156" s="2" t="str">
        <f>IFERROR(__xludf.DUMMYFUNCTION("GOOGLETRANSLATE(B156,""en"",""ur"")"),"""پرسنلائزڈ نام"" لیبل کا بظاہر مقصد کیا ہے؟")</f>
        <v>"پرسنلائزڈ نام" لیبل کا بظاہر مقصد کیا ہے؟</v>
      </c>
      <c r="M156" s="2" t="str">
        <f>IFERROR(__xludf.DUMMYFUNCTION("GOOGLETRANSLATE(C156,""en"",""ur"")"),"یہ کھیل کے قوانین کا حصہ ہے۔")</f>
        <v>یہ کھیل کے قوانین کا حصہ ہے۔</v>
      </c>
      <c r="N156" s="2" t="str">
        <f>IFERROR(__xludf.DUMMYFUNCTION("GOOGLETRANSLATE(D156,""en"",""ur"")"),"یہ حسب ضرورت کے لیے ایک خصوصیت ہے۔")</f>
        <v>یہ حسب ضرورت کے لیے ایک خصوصیت ہے۔</v>
      </c>
      <c r="O156" s="2" t="str">
        <f>IFERROR(__xludf.DUMMYFUNCTION("GOOGLETRANSLATE(E156,""en"",""ur"")"),"یہ ایک تاریخی نشان ہے۔")</f>
        <v>یہ ایک تاریخی نشان ہے۔</v>
      </c>
      <c r="P156" s="2" t="str">
        <f>IFERROR(__xludf.DUMMYFUNCTION("GOOGLETRANSLATE(F156,""en"",""ur"")"),"یہ ایک برانڈ کا نام ہے۔")</f>
        <v>یہ ایک برانڈ کا نام ہے۔</v>
      </c>
      <c r="Q156" s="2" t="s">
        <v>39</v>
      </c>
      <c r="R156" s="2" t="str">
        <f>IFERROR(__xludf.DUMMYFUNCTION("GOOGLETRANSLATE(G156,""en"",""ur"")"),"یہ حسب ضرورت کے لیے ایک خصوصیت ہے۔")</f>
        <v>یہ حسب ضرورت کے لیے ایک خصوصیت ہے۔</v>
      </c>
      <c r="S156" s="6" t="s">
        <v>200</v>
      </c>
    </row>
    <row r="157" ht="22.5" customHeight="1">
      <c r="A157" s="4">
        <v>156.0</v>
      </c>
      <c r="B157" s="5" t="s">
        <v>40</v>
      </c>
      <c r="C157" s="5" t="s">
        <v>41</v>
      </c>
      <c r="D157" s="5" t="s">
        <v>42</v>
      </c>
      <c r="E157" s="5" t="s">
        <v>43</v>
      </c>
      <c r="F157" s="5" t="s">
        <v>44</v>
      </c>
      <c r="G157" s="5" t="s">
        <v>42</v>
      </c>
      <c r="H157" s="5" t="s">
        <v>200</v>
      </c>
      <c r="K157" s="2" t="str">
        <f>IFERROR(__xludf.DUMMYFUNCTION("GOOGLETRANSLATE(A157,""en"",""ur"")"),"156")</f>
        <v>156</v>
      </c>
      <c r="L157" s="2" t="str">
        <f>IFERROR(__xludf.DUMMYFUNCTION("GOOGLETRANSLATE(B157,""en"",""ur"")"),"بورڈ کے ڈیزائن کی سب سے نمایاں خصوصیت کیا ہے؟")</f>
        <v>بورڈ کے ڈیزائن کی سب سے نمایاں خصوصیت کیا ہے؟</v>
      </c>
      <c r="M157" s="2" t="str">
        <f>IFERROR(__xludf.DUMMYFUNCTION("GOOGLETRANSLATE(C157,""en"",""ur"")"),"یہ ایک سادہ، چیکر سطح ہے")</f>
        <v>یہ ایک سادہ، چیکر سطح ہے</v>
      </c>
      <c r="N157" s="2" t="str">
        <f>IFERROR(__xludf.DUMMYFUNCTION("GOOGLETRANSLATE(D157,""en"",""ur"")"),"اس میں پیچیدہ کندہ شدہ نمونے ہیں۔")</f>
        <v>اس میں پیچیدہ کندہ شدہ نمونے ہیں۔</v>
      </c>
      <c r="O157" s="2" t="str">
        <f>IFERROR(__xludf.DUMMYFUNCTION("GOOGLETRANSLATE(E157,""en"",""ur"")"),"یہ ایک ٹھوس رنگ ہے۔")</f>
        <v>یہ ایک ٹھوس رنگ ہے۔</v>
      </c>
      <c r="P157" s="2" t="str">
        <f>IFERROR(__xludf.DUMMYFUNCTION("GOOGLETRANSLATE(F157,""en"",""ur"")"),"یہ ایک سرکلر بورڈ ہے۔")</f>
        <v>یہ ایک سرکلر بورڈ ہے۔</v>
      </c>
      <c r="Q157" s="2" t="s">
        <v>45</v>
      </c>
      <c r="R157" s="2" t="str">
        <f>IFERROR(__xludf.DUMMYFUNCTION("GOOGLETRANSLATE(G157,""en"",""ur"")"),"اس میں پیچیدہ کندہ شدہ نمونے ہیں۔")</f>
        <v>اس میں پیچیدہ کندہ شدہ نمونے ہیں۔</v>
      </c>
      <c r="S157" s="6" t="s">
        <v>200</v>
      </c>
    </row>
    <row r="158" ht="22.5" customHeight="1">
      <c r="A158" s="4">
        <v>157.0</v>
      </c>
      <c r="B158" s="5" t="s">
        <v>46</v>
      </c>
      <c r="C158" s="5" t="s">
        <v>47</v>
      </c>
      <c r="D158" s="5" t="s">
        <v>48</v>
      </c>
      <c r="E158" s="5" t="s">
        <v>49</v>
      </c>
      <c r="F158" s="5" t="s">
        <v>50</v>
      </c>
      <c r="G158" s="5" t="s">
        <v>49</v>
      </c>
      <c r="H158" s="5" t="s">
        <v>200</v>
      </c>
      <c r="K158" s="2" t="str">
        <f>IFERROR(__xludf.DUMMYFUNCTION("GOOGLETRANSLATE(A158,""en"",""ur"")"),"157")</f>
        <v>157</v>
      </c>
      <c r="L158" s="2" t="str">
        <f>IFERROR(__xludf.DUMMYFUNCTION("GOOGLETRANSLATE(B158,""en"",""ur"")"),"کھلاڑیوں کے چہروں سے ظاہری جذبات کیا ہیں؟")</f>
        <v>کھلاڑیوں کے چہروں سے ظاہری جذبات کیا ہیں؟</v>
      </c>
      <c r="M158" s="2" t="str">
        <f>IFERROR(__xludf.DUMMYFUNCTION("GOOGLETRANSLATE(C158,""en"",""ur"")"),"پرسکون اور پر سکون")</f>
        <v>پرسکون اور پر سکون</v>
      </c>
      <c r="N158" s="2" t="str">
        <f>IFERROR(__xludf.DUMMYFUNCTION("GOOGLETRANSLATE(D158,""en"",""ur"")"),"خوف زدہ اور بے چین")</f>
        <v>خوف زدہ اور بے چین</v>
      </c>
      <c r="O158" s="2" t="str">
        <f>IFERROR(__xludf.DUMMYFUNCTION("GOOGLETRANSLATE(E158,""en"",""ur"")"),"کشیدہ اور شدید")</f>
        <v>کشیدہ اور شدید</v>
      </c>
      <c r="P158" s="2" t="str">
        <f>IFERROR(__xludf.DUMMYFUNCTION("GOOGLETRANSLATE(F158,""en"",""ur"")"),"خوش اور مسکراتے ہوئے۔")</f>
        <v>خوش اور مسکراتے ہوئے۔</v>
      </c>
      <c r="Q158" s="2" t="s">
        <v>51</v>
      </c>
      <c r="R158" s="2" t="str">
        <f>IFERROR(__xludf.DUMMYFUNCTION("GOOGLETRANSLATE(G158,""en"",""ur"")"),"کشیدہ اور شدید")</f>
        <v>کشیدہ اور شدید</v>
      </c>
      <c r="S158" s="6" t="s">
        <v>200</v>
      </c>
    </row>
    <row r="159" ht="22.5" customHeight="1">
      <c r="A159" s="4">
        <v>158.0</v>
      </c>
      <c r="B159" s="5" t="s">
        <v>52</v>
      </c>
      <c r="C159" s="5" t="s">
        <v>53</v>
      </c>
      <c r="D159" s="5" t="s">
        <v>54</v>
      </c>
      <c r="E159" s="5" t="s">
        <v>55</v>
      </c>
      <c r="F159" s="5" t="s">
        <v>56</v>
      </c>
      <c r="G159" s="5" t="s">
        <v>53</v>
      </c>
      <c r="H159" s="5" t="s">
        <v>200</v>
      </c>
      <c r="K159" s="2" t="str">
        <f>IFERROR(__xludf.DUMMYFUNCTION("GOOGLETRANSLATE(A159,""en"",""ur"")"),"158")</f>
        <v>158</v>
      </c>
      <c r="L159" s="2" t="str">
        <f>IFERROR(__xludf.DUMMYFUNCTION("GOOGLETRANSLATE(B159,""en"",""ur"")"),"ٹکڑوں کو ایک مخصوص شکل میں ترتیب دیا گیا ہے۔ یہ تشکیل کس لیے ہے؟")</f>
        <v>ٹکڑوں کو ایک مخصوص شکل میں ترتیب دیا گیا ہے۔ یہ تشکیل کس لیے ہے؟</v>
      </c>
      <c r="M159" s="2" t="str">
        <f>IFERROR(__xludf.DUMMYFUNCTION("GOOGLETRANSLATE(C159,""en"",""ur"")"),"ایک کھیل کا آغاز")</f>
        <v>ایک کھیل کا آغاز</v>
      </c>
      <c r="N159" s="2" t="str">
        <f>IFERROR(__xludf.DUMMYFUNCTION("GOOGLETRANSLATE(D159,""en"",""ur"")"),"کھیل کا وسط")</f>
        <v>کھیل کا وسط</v>
      </c>
      <c r="O159" s="2" t="str">
        <f>IFERROR(__xludf.DUMMYFUNCTION("GOOGLETRANSLATE(E159,""en"",""ur"")"),"ایک کھیل کا اختتام")</f>
        <v>ایک کھیل کا اختتام</v>
      </c>
      <c r="P159" s="2" t="str">
        <f>IFERROR(__xludf.DUMMYFUNCTION("GOOGLETRANSLATE(F159,""en"",""ur"")"),"بے ترتیب ترتیب")</f>
        <v>بے ترتیب ترتیب</v>
      </c>
      <c r="Q159" s="2" t="s">
        <v>57</v>
      </c>
      <c r="R159" s="2" t="str">
        <f>IFERROR(__xludf.DUMMYFUNCTION("GOOGLETRANSLATE(G159,""en"",""ur"")"),"ایک کھیل کا آغاز")</f>
        <v>ایک کھیل کا آغاز</v>
      </c>
      <c r="S159" s="6" t="s">
        <v>200</v>
      </c>
    </row>
    <row r="160" ht="22.5" customHeight="1">
      <c r="A160" s="4">
        <v>159.0</v>
      </c>
      <c r="B160" s="5" t="s">
        <v>16</v>
      </c>
      <c r="C160" s="5" t="s">
        <v>58</v>
      </c>
      <c r="D160" s="5" t="s">
        <v>59</v>
      </c>
      <c r="E160" s="5" t="s">
        <v>60</v>
      </c>
      <c r="F160" s="5" t="s">
        <v>61</v>
      </c>
      <c r="G160" s="5" t="s">
        <v>60</v>
      </c>
      <c r="H160" s="5" t="s">
        <v>200</v>
      </c>
      <c r="K160" s="2" t="str">
        <f>IFERROR(__xludf.DUMMYFUNCTION("GOOGLETRANSLATE(A160,""en"",""ur"")"),"159")</f>
        <v>159</v>
      </c>
      <c r="L160" s="2" t="str">
        <f>IFERROR(__xludf.DUMMYFUNCTION("GOOGLETRANSLATE(B160,""en"",""ur"")"),"ٹکڑوں کے بارے میں ایک قابل ذکر تفصیل کیا ہے؟")</f>
        <v>ٹکڑوں کے بارے میں ایک قابل ذکر تفصیل کیا ہے؟</v>
      </c>
      <c r="M160" s="2" t="str">
        <f>IFERROR(__xludf.DUMMYFUNCTION("GOOGLETRANSLATE(C160,""en"",""ur"")"),"وہ سب ایک ہی قد کے ہیں۔")</f>
        <v>وہ سب ایک ہی قد کے ہیں۔</v>
      </c>
      <c r="N160" s="2" t="str">
        <f>IFERROR(__xludf.DUMMYFUNCTION("GOOGLETRANSLATE(D160,""en"",""ur"")"),"وہ سب ایک ہی رنگ کے ہیں۔")</f>
        <v>وہ سب ایک ہی رنگ کے ہیں۔</v>
      </c>
      <c r="O160" s="2" t="str">
        <f>IFERROR(__xludf.DUMMYFUNCTION("GOOGLETRANSLATE(E160,""en"",""ur"")"),"وہ رنگوں اور ڈیزائنوں کا مرکب ہیں۔")</f>
        <v>وہ رنگوں اور ڈیزائنوں کا مرکب ہیں۔</v>
      </c>
      <c r="P160" s="2" t="str">
        <f>IFERROR(__xludf.DUMMYFUNCTION("GOOGLETRANSLATE(F160,""en"",""ur"")"),"وہ سب وسیع نمونوں کے ساتھ زین پہنے ہوئے ہیں۔")</f>
        <v>وہ سب وسیع نمونوں کے ساتھ زین پہنے ہوئے ہیں۔</v>
      </c>
      <c r="Q160" s="2" t="s">
        <v>62</v>
      </c>
      <c r="R160" s="2" t="str">
        <f>IFERROR(__xludf.DUMMYFUNCTION("GOOGLETRANSLATE(G160,""en"",""ur"")"),"وہ رنگوں اور ڈیزائنوں کا مرکب ہیں۔")</f>
        <v>وہ رنگوں اور ڈیزائنوں کا مرکب ہیں۔</v>
      </c>
      <c r="S160" s="6" t="s">
        <v>200</v>
      </c>
    </row>
    <row r="161" ht="22.5" customHeight="1">
      <c r="A161" s="4">
        <v>160.0</v>
      </c>
      <c r="B161" s="5" t="s">
        <v>63</v>
      </c>
      <c r="C161" s="5" t="s">
        <v>64</v>
      </c>
      <c r="D161" s="5" t="s">
        <v>65</v>
      </c>
      <c r="E161" s="5" t="s">
        <v>66</v>
      </c>
      <c r="F161" s="5" t="s">
        <v>67</v>
      </c>
      <c r="G161" s="5" t="s">
        <v>65</v>
      </c>
      <c r="H161" s="5" t="s">
        <v>200</v>
      </c>
      <c r="K161" s="2" t="str">
        <f>IFERROR(__xludf.DUMMYFUNCTION("GOOGLETRANSLATE(A161,""en"",""ur"")"),"160")</f>
        <v>160</v>
      </c>
      <c r="L161" s="2" t="str">
        <f>IFERROR(__xludf.DUMMYFUNCTION("GOOGLETRANSLATE(B161,""en"",""ur"")"),"چتورنگا کا تاریخی کھیل کس ملک سے تعلق کے لیے جانا جاتا ہے؟")</f>
        <v>چتورنگا کا تاریخی کھیل کس ملک سے تعلق کے لیے جانا جاتا ہے؟</v>
      </c>
      <c r="M161" s="2" t="str">
        <f>IFERROR(__xludf.DUMMYFUNCTION("GOOGLETRANSLATE(C161,""en"",""ur"")"),"چین")</f>
        <v>چین</v>
      </c>
      <c r="N161" s="2" t="str">
        <f>IFERROR(__xludf.DUMMYFUNCTION("GOOGLETRANSLATE(D161,""en"",""ur"")"),"انڈیا")</f>
        <v>انڈیا</v>
      </c>
      <c r="O161" s="2" t="str">
        <f>IFERROR(__xludf.DUMMYFUNCTION("GOOGLETRANSLATE(E161,""en"",""ur"")"),"یورپ")</f>
        <v>یورپ</v>
      </c>
      <c r="P161" s="2" t="str">
        <f>IFERROR(__xludf.DUMMYFUNCTION("GOOGLETRANSLATE(F161,""en"",""ur"")"),"مصر")</f>
        <v>مصر</v>
      </c>
      <c r="Q161" s="2" t="s">
        <v>68</v>
      </c>
      <c r="R161" s="2" t="str">
        <f>IFERROR(__xludf.DUMMYFUNCTION("GOOGLETRANSLATE(G161,""en"",""ur"")"),"انڈیا")</f>
        <v>انڈیا</v>
      </c>
      <c r="S161" s="6" t="s">
        <v>200</v>
      </c>
    </row>
    <row r="162" ht="22.5" customHeight="1">
      <c r="A162" s="4">
        <v>161.0</v>
      </c>
      <c r="B162" s="5" t="s">
        <v>201</v>
      </c>
      <c r="C162" s="5" t="s">
        <v>141</v>
      </c>
      <c r="D162" s="5" t="s">
        <v>142</v>
      </c>
      <c r="E162" s="5" t="s">
        <v>143</v>
      </c>
      <c r="F162" s="5" t="s">
        <v>14</v>
      </c>
      <c r="G162" s="5" t="s">
        <v>143</v>
      </c>
      <c r="H162" s="5" t="s">
        <v>202</v>
      </c>
      <c r="K162" s="2" t="str">
        <f>IFERROR(__xludf.DUMMYFUNCTION("GOOGLETRANSLATE(A162,""en"",""ur"")"),"161")</f>
        <v>161</v>
      </c>
      <c r="L162" s="2" t="str">
        <f>IFERROR(__xludf.DUMMYFUNCTION("GOOGLETRANSLATE(B162,""en"",""ur"")"),"چترنگا_62 میں دکھایا گیا اہم عمل کیا ہے؟")</f>
        <v>چترنگا_62 میں دکھایا گیا اہم عمل کیا ہے؟</v>
      </c>
      <c r="M162" s="2" t="str">
        <f>IFERROR(__xludf.DUMMYFUNCTION("GOOGLETRANSLATE(C162,""en"",""ur"")"),"دو آدمی لڑ رہے ہیں۔")</f>
        <v>دو آدمی لڑ رہے ہیں۔</v>
      </c>
      <c r="N162" s="2" t="str">
        <f>IFERROR(__xludf.DUMMYFUNCTION("GOOGLETRANSLATE(D162,""en"",""ur"")"),"لوگوں کا ایک گروپ جو گیند کا کھیل کھیل رہا ہے۔")</f>
        <v>لوگوں کا ایک گروپ جو گیند کا کھیل کھیل رہا ہے۔</v>
      </c>
      <c r="O162" s="2" t="str">
        <f>IFERROR(__xludf.DUMMYFUNCTION("GOOGLETRANSLATE(E162,""en"",""ur"")"),"لوگوں کا ایک گروپ جو بورڈ گیم کھیل رہا ہے۔")</f>
        <v>لوگوں کا ایک گروپ جو بورڈ گیم کھیل رہا ہے۔</v>
      </c>
      <c r="P162" s="2" t="str">
        <f>IFERROR(__xludf.DUMMYFUNCTION("GOOGLETRANSLATE(F162,""en"",""ur"")"),"شطرنج کے ٹکڑے تراشنے والا شخص")</f>
        <v>شطرنج کے ٹکڑے تراشنے والا شخص</v>
      </c>
      <c r="Q162" s="2" t="s">
        <v>145</v>
      </c>
      <c r="R162" s="2" t="str">
        <f>IFERROR(__xludf.DUMMYFUNCTION("GOOGLETRANSLATE(G162,""en"",""ur"")"),"لوگوں کا ایک گروپ جو بورڈ گیم کھیل رہا ہے۔")</f>
        <v>لوگوں کا ایک گروپ جو بورڈ گیم کھیل رہا ہے۔</v>
      </c>
      <c r="S162" s="6" t="s">
        <v>202</v>
      </c>
    </row>
    <row r="163" ht="22.5" customHeight="1">
      <c r="A163" s="4">
        <v>162.0</v>
      </c>
      <c r="B163" s="5" t="s">
        <v>76</v>
      </c>
      <c r="C163" s="5" t="s">
        <v>17</v>
      </c>
      <c r="D163" s="5" t="s">
        <v>77</v>
      </c>
      <c r="E163" s="5" t="s">
        <v>78</v>
      </c>
      <c r="F163" s="5" t="s">
        <v>79</v>
      </c>
      <c r="G163" s="5" t="s">
        <v>77</v>
      </c>
      <c r="H163" s="5" t="s">
        <v>202</v>
      </c>
      <c r="K163" s="2" t="str">
        <f>IFERROR(__xludf.DUMMYFUNCTION("GOOGLETRANSLATE(A163,""en"",""ur"")"),"162")</f>
        <v>162</v>
      </c>
      <c r="L163" s="2" t="str">
        <f>IFERROR(__xludf.DUMMYFUNCTION("GOOGLETRANSLATE(B163,""en"",""ur"")"),"بورڈ اور ٹکڑوں کے بارے میں ایک قابل ذکر تفصیل کیا ہے؟")</f>
        <v>بورڈ اور ٹکڑوں کے بارے میں ایک قابل ذکر تفصیل کیا ہے؟</v>
      </c>
      <c r="M163" s="2" t="str">
        <f>IFERROR(__xludf.DUMMYFUNCTION("GOOGLETRANSLATE(C163,""en"",""ur"")"),"وہ سب ایک جیسے ہیں۔")</f>
        <v>وہ سب ایک جیسے ہیں۔</v>
      </c>
      <c r="N163" s="2" t="str">
        <f>IFERROR(__xludf.DUMMYFUNCTION("GOOGLETRANSLATE(D163,""en"",""ur"")"),"بورڈ لکڑی کا بنا ہوا ہے، اور ٹکڑوں کو روایتی انداز میں کندہ کیا گیا ہے۔")</f>
        <v>بورڈ لکڑی کا بنا ہوا ہے، اور ٹکڑوں کو روایتی انداز میں کندہ کیا گیا ہے۔</v>
      </c>
      <c r="O163" s="2" t="str">
        <f>IFERROR(__xludf.DUMMYFUNCTION("GOOGLETRANSLATE(E163,""en"",""ur"")"),"ٹکڑے پلاسٹک سے بنے ہیں۔")</f>
        <v>ٹکڑے پلاسٹک سے بنے ہیں۔</v>
      </c>
      <c r="P163" s="2" t="str">
        <f>IFERROR(__xludf.DUMMYFUNCTION("GOOGLETRANSLATE(F163,""en"",""ur"")"),"بورڈ ایک ٹھوس رنگ ہے")</f>
        <v>بورڈ ایک ٹھوس رنگ ہے</v>
      </c>
      <c r="Q163" s="2" t="s">
        <v>80</v>
      </c>
      <c r="R163" s="2" t="str">
        <f>IFERROR(__xludf.DUMMYFUNCTION("GOOGLETRANSLATE(G163,""en"",""ur"")"),"بورڈ لکڑی کا بنا ہوا ہے، اور ٹکڑوں کو روایتی انداز میں کندہ کیا گیا ہے۔")</f>
        <v>بورڈ لکڑی کا بنا ہوا ہے، اور ٹکڑوں کو روایتی انداز میں کندہ کیا گیا ہے۔</v>
      </c>
      <c r="S163" s="6" t="s">
        <v>202</v>
      </c>
    </row>
    <row r="164" ht="22.5" customHeight="1">
      <c r="A164" s="4">
        <v>163.0</v>
      </c>
      <c r="B164" s="5" t="s">
        <v>81</v>
      </c>
      <c r="C164" s="5" t="s">
        <v>17</v>
      </c>
      <c r="D164" s="5" t="s">
        <v>18</v>
      </c>
      <c r="E164" s="5" t="s">
        <v>19</v>
      </c>
      <c r="F164" s="5" t="s">
        <v>20</v>
      </c>
      <c r="G164" s="5" t="s">
        <v>18</v>
      </c>
      <c r="H164" s="5" t="s">
        <v>202</v>
      </c>
      <c r="K164" s="2" t="str">
        <f>IFERROR(__xludf.DUMMYFUNCTION("GOOGLETRANSLATE(A164,""en"",""ur"")"),"163")</f>
        <v>163</v>
      </c>
      <c r="L164" s="2" t="str">
        <f>IFERROR(__xludf.DUMMYFUNCTION("GOOGLETRANSLATE(B164,""en"",""ur"")"),"ٹکڑوں کے ڈیزائن کے بارے میں واضح تفصیل کیا ہے؟")</f>
        <v>ٹکڑوں کے ڈیزائن کے بارے میں واضح تفصیل کیا ہے؟</v>
      </c>
      <c r="M164" s="2" t="str">
        <f>IFERROR(__xludf.DUMMYFUNCTION("GOOGLETRANSLATE(C164,""en"",""ur"")"),"وہ سب ایک جیسے ہیں۔")</f>
        <v>وہ سب ایک جیسے ہیں۔</v>
      </c>
      <c r="N164" s="2" t="str">
        <f>IFERROR(__xludf.DUMMYFUNCTION("GOOGLETRANSLATE(D164,""en"",""ur"")"),"وہ ایک تاریخی فوج کی نمائندگی کرنے والی انتہائی اسٹائلائزڈ شخصیات ہیں۔")</f>
        <v>وہ ایک تاریخی فوج کی نمائندگی کرنے والی انتہائی اسٹائلائزڈ شخصیات ہیں۔</v>
      </c>
      <c r="O164" s="2" t="str">
        <f>IFERROR(__xludf.DUMMYFUNCTION("GOOGLETRANSLATE(E164,""en"",""ur"")"),"وہ پلاسٹک سے بنے ہیں۔")</f>
        <v>وہ پلاسٹک سے بنے ہیں۔</v>
      </c>
      <c r="P164" s="2" t="str">
        <f>IFERROR(__xludf.DUMMYFUNCTION("GOOGLETRANSLATE(F164,""en"",""ur"")"),"وہ سب سفید فام ہیں۔")</f>
        <v>وہ سب سفید فام ہیں۔</v>
      </c>
      <c r="Q164" s="2" t="s">
        <v>21</v>
      </c>
      <c r="R164" s="2" t="str">
        <f>IFERROR(__xludf.DUMMYFUNCTION("GOOGLETRANSLATE(G164,""en"",""ur"")"),"وہ ایک تاریخی فوج کی نمائندگی کرنے والی انتہائی اسٹائلائزڈ شخصیات ہیں۔")</f>
        <v>وہ ایک تاریخی فوج کی نمائندگی کرنے والی انتہائی اسٹائلائزڈ شخصیات ہیں۔</v>
      </c>
      <c r="S164" s="6" t="s">
        <v>202</v>
      </c>
    </row>
    <row r="165" ht="22.5" customHeight="1">
      <c r="A165" s="4">
        <v>164.0</v>
      </c>
      <c r="B165" s="5" t="s">
        <v>82</v>
      </c>
      <c r="C165" s="5" t="s">
        <v>83</v>
      </c>
      <c r="D165" s="5" t="s">
        <v>84</v>
      </c>
      <c r="E165" s="5" t="s">
        <v>85</v>
      </c>
      <c r="F165" s="5" t="s">
        <v>86</v>
      </c>
      <c r="G165" s="5" t="s">
        <v>86</v>
      </c>
      <c r="H165" s="5" t="s">
        <v>202</v>
      </c>
      <c r="K165" s="2" t="str">
        <f>IFERROR(__xludf.DUMMYFUNCTION("GOOGLETRANSLATE(A165,""en"",""ur"")"),"164")</f>
        <v>164</v>
      </c>
      <c r="L165" s="2" t="str">
        <f>IFERROR(__xludf.DUMMYFUNCTION("GOOGLETRANSLATE(B165,""en"",""ur"")"),"اس گیم کی ظاہری ترتیب کیا ہے؟")</f>
        <v>اس گیم کی ظاہری ترتیب کیا ہے؟</v>
      </c>
      <c r="M165" s="2" t="str">
        <f>IFERROR(__xludf.DUMMYFUNCTION("GOOGLETRANSLATE(C165,""en"",""ur"")"),"یہ ایک بڑے اسٹیڈیم پر ہے۔")</f>
        <v>یہ ایک بڑے اسٹیڈیم پر ہے۔</v>
      </c>
      <c r="N165" s="2" t="str">
        <f>IFERROR(__xludf.DUMMYFUNCTION("GOOGLETRANSLATE(D165,""en"",""ur"")"),"یہ پہاڑی، پتھریلی علاقے میں ایک میدان میں ہے۔")</f>
        <v>یہ پہاڑی، پتھریلی علاقے میں ایک میدان میں ہے۔</v>
      </c>
      <c r="O165" s="2" t="str">
        <f>IFERROR(__xludf.DUMMYFUNCTION("GOOGLETRANSLATE(E165,""en"",""ur"")"),"یہ شہر کی سڑک پر ہے۔")</f>
        <v>یہ شہر کی سڑک پر ہے۔</v>
      </c>
      <c r="P165" s="2" t="str">
        <f>IFERROR(__xludf.DUMMYFUNCTION("GOOGLETRANSLATE(F165,""en"",""ur"")"),"یہ لکڑی کی میز پر ہے۔")</f>
        <v>یہ لکڑی کی میز پر ہے۔</v>
      </c>
      <c r="Q165" s="2" t="s">
        <v>87</v>
      </c>
      <c r="R165" s="2" t="str">
        <f>IFERROR(__xludf.DUMMYFUNCTION("GOOGLETRANSLATE(G165,""en"",""ur"")"),"یہ لکڑی کی میز پر ہے۔")</f>
        <v>یہ لکڑی کی میز پر ہے۔</v>
      </c>
      <c r="S165" s="6" t="s">
        <v>202</v>
      </c>
    </row>
    <row r="166" ht="22.5" customHeight="1">
      <c r="A166" s="4">
        <v>165.0</v>
      </c>
      <c r="B166" s="5" t="s">
        <v>46</v>
      </c>
      <c r="C166" s="5" t="s">
        <v>47</v>
      </c>
      <c r="D166" s="5" t="s">
        <v>48</v>
      </c>
      <c r="E166" s="5" t="s">
        <v>49</v>
      </c>
      <c r="F166" s="5" t="s">
        <v>50</v>
      </c>
      <c r="G166" s="5" t="s">
        <v>49</v>
      </c>
      <c r="H166" s="5" t="s">
        <v>202</v>
      </c>
      <c r="K166" s="2" t="str">
        <f>IFERROR(__xludf.DUMMYFUNCTION("GOOGLETRANSLATE(A166,""en"",""ur"")"),"165")</f>
        <v>165</v>
      </c>
      <c r="L166" s="2" t="str">
        <f>IFERROR(__xludf.DUMMYFUNCTION("GOOGLETRANSLATE(B166,""en"",""ur"")"),"کھلاڑیوں کے چہروں سے ظاہری جذبات کیا ہیں؟")</f>
        <v>کھلاڑیوں کے چہروں سے ظاہری جذبات کیا ہیں؟</v>
      </c>
      <c r="M166" s="2" t="str">
        <f>IFERROR(__xludf.DUMMYFUNCTION("GOOGLETRANSLATE(C166,""en"",""ur"")"),"پرسکون اور پر سکون")</f>
        <v>پرسکون اور پر سکون</v>
      </c>
      <c r="N166" s="2" t="str">
        <f>IFERROR(__xludf.DUMMYFUNCTION("GOOGLETRANSLATE(D166,""en"",""ur"")"),"خوف زدہ اور بے چین")</f>
        <v>خوف زدہ اور بے چین</v>
      </c>
      <c r="O166" s="2" t="str">
        <f>IFERROR(__xludf.DUMMYFUNCTION("GOOGLETRANSLATE(E166,""en"",""ur"")"),"کشیدہ اور شدید")</f>
        <v>کشیدہ اور شدید</v>
      </c>
      <c r="P166" s="2" t="str">
        <f>IFERROR(__xludf.DUMMYFUNCTION("GOOGLETRANSLATE(F166,""en"",""ur"")"),"خوش اور مسکراتے ہوئے۔")</f>
        <v>خوش اور مسکراتے ہوئے۔</v>
      </c>
      <c r="Q166" s="2" t="s">
        <v>51</v>
      </c>
      <c r="R166" s="2" t="str">
        <f>IFERROR(__xludf.DUMMYFUNCTION("GOOGLETRANSLATE(G166,""en"",""ur"")"),"کشیدہ اور شدید")</f>
        <v>کشیدہ اور شدید</v>
      </c>
      <c r="S166" s="6" t="s">
        <v>202</v>
      </c>
    </row>
    <row r="167" ht="22.5" customHeight="1">
      <c r="A167" s="4">
        <v>166.0</v>
      </c>
      <c r="B167" s="5" t="s">
        <v>88</v>
      </c>
      <c r="C167" s="5" t="s">
        <v>89</v>
      </c>
      <c r="D167" s="5" t="s">
        <v>90</v>
      </c>
      <c r="E167" s="5" t="s">
        <v>91</v>
      </c>
      <c r="F167" s="5" t="s">
        <v>92</v>
      </c>
      <c r="G167" s="5" t="s">
        <v>92</v>
      </c>
      <c r="H167" s="5" t="s">
        <v>202</v>
      </c>
      <c r="K167" s="2" t="str">
        <f>IFERROR(__xludf.DUMMYFUNCTION("GOOGLETRANSLATE(A167,""en"",""ur"")"),"166")</f>
        <v>166</v>
      </c>
      <c r="L167" s="2" t="str">
        <f>IFERROR(__xludf.DUMMYFUNCTION("GOOGLETRANSLATE(B167,""en"",""ur"")"),"زمین کی سب سے نمایاں خصوصیت کیا ہے؟")</f>
        <v>زمین کی سب سے نمایاں خصوصیت کیا ہے؟</v>
      </c>
      <c r="M167" s="2" t="str">
        <f>IFERROR(__xludf.DUMMYFUNCTION("GOOGLETRANSLATE(C167,""en"",""ur"")"),"ایک پکی سطح")</f>
        <v>ایک پکی سطح</v>
      </c>
      <c r="N167" s="2" t="str">
        <f>IFERROR(__xludf.DUMMYFUNCTION("GOOGLETRANSLATE(D167,""en"",""ur"")"),"کیچڑ والا میدان")</f>
        <v>کیچڑ والا میدان</v>
      </c>
      <c r="O167" s="2" t="str">
        <f>IFERROR(__xludf.DUMMYFUNCTION("GOOGLETRANSLATE(E167,""en"",""ur"")"),"ایک گھاس دار سطح")</f>
        <v>ایک گھاس دار سطح</v>
      </c>
      <c r="P167" s="2" t="str">
        <f>IFERROR(__xludf.DUMMYFUNCTION("GOOGLETRANSLATE(F167,""en"",""ur"")"),"لکڑی کی میز")</f>
        <v>لکڑی کی میز</v>
      </c>
      <c r="Q167" s="2" t="s">
        <v>93</v>
      </c>
      <c r="R167" s="2" t="str">
        <f>IFERROR(__xludf.DUMMYFUNCTION("GOOGLETRANSLATE(G167,""en"",""ur"")"),"لکڑی کی میز")</f>
        <v>لکڑی کی میز</v>
      </c>
      <c r="S167" s="6" t="s">
        <v>202</v>
      </c>
    </row>
    <row r="168" ht="22.5" customHeight="1">
      <c r="A168" s="4">
        <v>167.0</v>
      </c>
      <c r="B168" s="5" t="s">
        <v>94</v>
      </c>
      <c r="C168" s="5" t="s">
        <v>95</v>
      </c>
      <c r="D168" s="5" t="s">
        <v>96</v>
      </c>
      <c r="E168" s="5" t="s">
        <v>97</v>
      </c>
      <c r="F168" s="5" t="s">
        <v>31</v>
      </c>
      <c r="G168" s="5" t="s">
        <v>31</v>
      </c>
      <c r="H168" s="5" t="s">
        <v>202</v>
      </c>
      <c r="K168" s="2" t="str">
        <f>IFERROR(__xludf.DUMMYFUNCTION("GOOGLETRANSLATE(A168,""en"",""ur"")"),"167")</f>
        <v>167</v>
      </c>
      <c r="L168" s="2" t="str">
        <f>IFERROR(__xludf.DUMMYFUNCTION("GOOGLETRANSLATE(B168,""en"",""ur"")"),"کھیلے جانے والے کھیل کا نام کیا ہے؟")</f>
        <v>کھیلے جانے والے کھیل کا نام کیا ہے؟</v>
      </c>
      <c r="M168" s="2" t="str">
        <f>IFERROR(__xludf.DUMMYFUNCTION("GOOGLETRANSLATE(C168,""en"",""ur"")"),"پولو")</f>
        <v>پولو</v>
      </c>
      <c r="N168" s="2" t="str">
        <f>IFERROR(__xludf.DUMMYFUNCTION("GOOGLETRANSLATE(D168,""en"",""ur"")"),"گھوڑوں کی دوڑ")</f>
        <v>گھوڑوں کی دوڑ</v>
      </c>
      <c r="O168" s="2" t="str">
        <f>IFERROR(__xludf.DUMMYFUNCTION("GOOGLETRANSLATE(E168,""en"",""ur"")"),"بزکشی۔")</f>
        <v>بزکشی۔</v>
      </c>
      <c r="P168" s="2" t="str">
        <f>IFERROR(__xludf.DUMMYFUNCTION("GOOGLETRANSLATE(F168,""en"",""ur"")"),"چتورنگا")</f>
        <v>چتورنگا</v>
      </c>
      <c r="Q168" s="2" t="s">
        <v>98</v>
      </c>
      <c r="R168" s="2" t="str">
        <f>IFERROR(__xludf.DUMMYFUNCTION("GOOGLETRANSLATE(G168,""en"",""ur"")"),"چتورنگا")</f>
        <v>چتورنگا</v>
      </c>
      <c r="S168" s="6" t="s">
        <v>202</v>
      </c>
    </row>
    <row r="169" ht="22.5" customHeight="1">
      <c r="A169" s="4">
        <v>168.0</v>
      </c>
      <c r="B169" s="5" t="s">
        <v>99</v>
      </c>
      <c r="C169" s="5" t="s">
        <v>64</v>
      </c>
      <c r="D169" s="5" t="s">
        <v>65</v>
      </c>
      <c r="E169" s="5" t="s">
        <v>66</v>
      </c>
      <c r="F169" s="5" t="s">
        <v>67</v>
      </c>
      <c r="G169" s="5" t="s">
        <v>65</v>
      </c>
      <c r="H169" s="5" t="s">
        <v>202</v>
      </c>
      <c r="K169" s="2" t="str">
        <f>IFERROR(__xludf.DUMMYFUNCTION("GOOGLETRANSLATE(A169,""en"",""ur"")"),"168")</f>
        <v>168</v>
      </c>
      <c r="L169" s="2" t="str">
        <f>IFERROR(__xludf.DUMMYFUNCTION("GOOGLETRANSLATE(B169,""en"",""ur"")"),"یہ گیم کس ملک سے تعلق کی وجہ سے مشہور ہے؟")</f>
        <v>یہ گیم کس ملک سے تعلق کی وجہ سے مشہور ہے؟</v>
      </c>
      <c r="M169" s="2" t="str">
        <f>IFERROR(__xludf.DUMMYFUNCTION("GOOGLETRANSLATE(C169,""en"",""ur"")"),"چین")</f>
        <v>چین</v>
      </c>
      <c r="N169" s="2" t="str">
        <f>IFERROR(__xludf.DUMMYFUNCTION("GOOGLETRANSLATE(D169,""en"",""ur"")"),"انڈیا")</f>
        <v>انڈیا</v>
      </c>
      <c r="O169" s="2" t="str">
        <f>IFERROR(__xludf.DUMMYFUNCTION("GOOGLETRANSLATE(E169,""en"",""ur"")"),"یورپ")</f>
        <v>یورپ</v>
      </c>
      <c r="P169" s="2" t="str">
        <f>IFERROR(__xludf.DUMMYFUNCTION("GOOGLETRANSLATE(F169,""en"",""ur"")"),"مصر")</f>
        <v>مصر</v>
      </c>
      <c r="Q169" s="2" t="s">
        <v>68</v>
      </c>
      <c r="R169" s="2" t="str">
        <f>IFERROR(__xludf.DUMMYFUNCTION("GOOGLETRANSLATE(G169,""en"",""ur"")"),"انڈیا")</f>
        <v>انڈیا</v>
      </c>
      <c r="S169" s="6" t="s">
        <v>202</v>
      </c>
    </row>
    <row r="170" ht="22.5" customHeight="1">
      <c r="A170" s="4">
        <v>169.0</v>
      </c>
      <c r="B170" s="5" t="s">
        <v>16</v>
      </c>
      <c r="C170" s="5" t="s">
        <v>58</v>
      </c>
      <c r="D170" s="5" t="s">
        <v>59</v>
      </c>
      <c r="E170" s="5" t="s">
        <v>60</v>
      </c>
      <c r="F170" s="5" t="s">
        <v>61</v>
      </c>
      <c r="G170" s="5" t="s">
        <v>60</v>
      </c>
      <c r="H170" s="5" t="s">
        <v>202</v>
      </c>
      <c r="K170" s="2" t="str">
        <f>IFERROR(__xludf.DUMMYFUNCTION("GOOGLETRANSLATE(A170,""en"",""ur"")"),"169")</f>
        <v>169</v>
      </c>
      <c r="L170" s="2" t="str">
        <f>IFERROR(__xludf.DUMMYFUNCTION("GOOGLETRANSLATE(B170,""en"",""ur"")"),"ٹکڑوں کے بارے میں ایک قابل ذکر تفصیل کیا ہے؟")</f>
        <v>ٹکڑوں کے بارے میں ایک قابل ذکر تفصیل کیا ہے؟</v>
      </c>
      <c r="M170" s="2" t="str">
        <f>IFERROR(__xludf.DUMMYFUNCTION("GOOGLETRANSLATE(C170,""en"",""ur"")"),"وہ سب ایک ہی قد کے ہیں۔")</f>
        <v>وہ سب ایک ہی قد کے ہیں۔</v>
      </c>
      <c r="N170" s="2" t="str">
        <f>IFERROR(__xludf.DUMMYFUNCTION("GOOGLETRANSLATE(D170,""en"",""ur"")"),"وہ سب ایک ہی رنگ کے ہیں۔")</f>
        <v>وہ سب ایک ہی رنگ کے ہیں۔</v>
      </c>
      <c r="O170" s="2" t="str">
        <f>IFERROR(__xludf.DUMMYFUNCTION("GOOGLETRANSLATE(E170,""en"",""ur"")"),"وہ رنگوں اور ڈیزائنوں کا مرکب ہیں۔")</f>
        <v>وہ رنگوں اور ڈیزائنوں کا مرکب ہیں۔</v>
      </c>
      <c r="P170" s="2" t="str">
        <f>IFERROR(__xludf.DUMMYFUNCTION("GOOGLETRANSLATE(F170,""en"",""ur"")"),"وہ سب وسیع نمونوں کے ساتھ زین پہنے ہوئے ہیں۔")</f>
        <v>وہ سب وسیع نمونوں کے ساتھ زین پہنے ہوئے ہیں۔</v>
      </c>
      <c r="Q170" s="2" t="s">
        <v>62</v>
      </c>
      <c r="R170" s="2" t="str">
        <f>IFERROR(__xludf.DUMMYFUNCTION("GOOGLETRANSLATE(G170,""en"",""ur"")"),"وہ رنگوں اور ڈیزائنوں کا مرکب ہیں۔")</f>
        <v>وہ رنگوں اور ڈیزائنوں کا مرکب ہیں۔</v>
      </c>
      <c r="S170" s="6" t="s">
        <v>202</v>
      </c>
    </row>
    <row r="171" ht="22.5" customHeight="1">
      <c r="A171" s="4">
        <v>170.0</v>
      </c>
      <c r="B171" s="5" t="s">
        <v>16</v>
      </c>
      <c r="C171" s="5" t="s">
        <v>59</v>
      </c>
      <c r="D171" s="5" t="s">
        <v>60</v>
      </c>
      <c r="E171" s="5" t="s">
        <v>20</v>
      </c>
      <c r="F171" s="5" t="s">
        <v>100</v>
      </c>
      <c r="G171" s="5" t="s">
        <v>60</v>
      </c>
      <c r="H171" s="5" t="s">
        <v>202</v>
      </c>
      <c r="K171" s="2" t="str">
        <f>IFERROR(__xludf.DUMMYFUNCTION("GOOGLETRANSLATE(A171,""en"",""ur"")"),"170")</f>
        <v>170</v>
      </c>
      <c r="L171" s="2" t="str">
        <f>IFERROR(__xludf.DUMMYFUNCTION("GOOGLETRANSLATE(B171,""en"",""ur"")"),"ٹکڑوں کے بارے میں ایک قابل ذکر تفصیل کیا ہے؟")</f>
        <v>ٹکڑوں کے بارے میں ایک قابل ذکر تفصیل کیا ہے؟</v>
      </c>
      <c r="M171" s="2" t="str">
        <f>IFERROR(__xludf.DUMMYFUNCTION("GOOGLETRANSLATE(C171,""en"",""ur"")"),"وہ سب ایک ہی رنگ کے ہیں۔")</f>
        <v>وہ سب ایک ہی رنگ کے ہیں۔</v>
      </c>
      <c r="N171" s="2" t="str">
        <f>IFERROR(__xludf.DUMMYFUNCTION("GOOGLETRANSLATE(D171,""en"",""ur"")"),"وہ رنگوں اور ڈیزائنوں کا مرکب ہیں۔")</f>
        <v>وہ رنگوں اور ڈیزائنوں کا مرکب ہیں۔</v>
      </c>
      <c r="O171" s="2" t="str">
        <f>IFERROR(__xludf.DUMMYFUNCTION("GOOGLETRANSLATE(E171,""en"",""ur"")"),"وہ سب سفید فام ہیں۔")</f>
        <v>وہ سب سفید فام ہیں۔</v>
      </c>
      <c r="P171" s="2" t="str">
        <f>IFERROR(__xludf.DUMMYFUNCTION("GOOGLETRANSLATE(F171,""en"",""ur"")"),"وہ سب کالے ہیں۔")</f>
        <v>وہ سب کالے ہیں۔</v>
      </c>
      <c r="Q171" s="2" t="s">
        <v>101</v>
      </c>
      <c r="R171" s="2" t="str">
        <f>IFERROR(__xludf.DUMMYFUNCTION("GOOGLETRANSLATE(G171,""en"",""ur"")"),"وہ رنگوں اور ڈیزائنوں کا مرکب ہیں۔")</f>
        <v>وہ رنگوں اور ڈیزائنوں کا مرکب ہیں۔</v>
      </c>
      <c r="S171" s="6" t="s">
        <v>202</v>
      </c>
    </row>
    <row r="172" ht="22.5" customHeight="1">
      <c r="A172" s="4">
        <v>171.0</v>
      </c>
      <c r="B172" s="5" t="s">
        <v>203</v>
      </c>
      <c r="C172" s="5" t="s">
        <v>204</v>
      </c>
      <c r="D172" s="5" t="s">
        <v>142</v>
      </c>
      <c r="E172" s="5" t="s">
        <v>14</v>
      </c>
      <c r="F172" s="5" t="s">
        <v>12</v>
      </c>
      <c r="G172" s="5" t="s">
        <v>204</v>
      </c>
      <c r="H172" s="5" t="s">
        <v>205</v>
      </c>
      <c r="K172" s="2" t="str">
        <f>IFERROR(__xludf.DUMMYFUNCTION("GOOGLETRANSLATE(A172,""en"",""ur"")"),"171")</f>
        <v>171</v>
      </c>
      <c r="L172" s="2" t="str">
        <f>IFERROR(__xludf.DUMMYFUNCTION("GOOGLETRANSLATE(B172,""en"",""ur"")"),"چترنگا_52 میں دکھایا گیا اہم عمل کیا ہے؟")</f>
        <v>چترنگا_52 میں دکھایا گیا اہم عمل کیا ہے؟</v>
      </c>
      <c r="M172" s="2" t="str">
        <f>IFERROR(__xludf.DUMMYFUNCTION("GOOGLETRANSLATE(C172,""en"",""ur"")"),"بورڈ کا ایک خاکہ")</f>
        <v>بورڈ کا ایک خاکہ</v>
      </c>
      <c r="N172" s="2" t="str">
        <f>IFERROR(__xludf.DUMMYFUNCTION("GOOGLETRANSLATE(D172,""en"",""ur"")"),"لوگوں کا ایک گروپ جو گیند کا کھیل کھیل رہا ہے۔")</f>
        <v>لوگوں کا ایک گروپ جو گیند کا کھیل کھیل رہا ہے۔</v>
      </c>
      <c r="O172" s="2" t="str">
        <f>IFERROR(__xludf.DUMMYFUNCTION("GOOGLETRANSLATE(E172,""en"",""ur"")"),"شطرنج کے ٹکڑے تراشنے والا شخص")</f>
        <v>شطرنج کے ٹکڑے تراشنے والا شخص</v>
      </c>
      <c r="P172" s="2" t="str">
        <f>IFERROR(__xludf.DUMMYFUNCTION("GOOGLETRANSLATE(F172,""en"",""ur"")"),"انتہائی آرائشی ٹکڑوں کے ساتھ ایک بساط")</f>
        <v>انتہائی آرائشی ٹکڑوں کے ساتھ ایک بساط</v>
      </c>
      <c r="Q172" s="2" t="s">
        <v>206</v>
      </c>
      <c r="R172" s="2" t="str">
        <f>IFERROR(__xludf.DUMMYFUNCTION("GOOGLETRANSLATE(G172,""en"",""ur"")"),"بورڈ کا ایک خاکہ")</f>
        <v>بورڈ کا ایک خاکہ</v>
      </c>
      <c r="S172" s="6" t="s">
        <v>205</v>
      </c>
    </row>
    <row r="173" ht="22.5" customHeight="1">
      <c r="A173" s="4">
        <v>172.0</v>
      </c>
      <c r="B173" s="5" t="s">
        <v>207</v>
      </c>
      <c r="C173" s="5" t="s">
        <v>41</v>
      </c>
      <c r="D173" s="5" t="s">
        <v>42</v>
      </c>
      <c r="E173" s="5" t="s">
        <v>43</v>
      </c>
      <c r="F173" s="5" t="s">
        <v>44</v>
      </c>
      <c r="G173" s="5" t="s">
        <v>42</v>
      </c>
      <c r="H173" s="5" t="s">
        <v>205</v>
      </c>
      <c r="K173" s="2" t="str">
        <f>IFERROR(__xludf.DUMMYFUNCTION("GOOGLETRANSLATE(A173,""en"",""ur"")"),"172")</f>
        <v>172</v>
      </c>
      <c r="L173" s="2" t="str">
        <f>IFERROR(__xludf.DUMMYFUNCTION("GOOGLETRANSLATE(B173,""en"",""ur"")"),"بورڈ کے ڈیزائن کے بارے میں ایک قابل ذکر تفصیل کیا ہے؟")</f>
        <v>بورڈ کے ڈیزائن کے بارے میں ایک قابل ذکر تفصیل کیا ہے؟</v>
      </c>
      <c r="M173" s="2" t="str">
        <f>IFERROR(__xludf.DUMMYFUNCTION("GOOGLETRANSLATE(C173,""en"",""ur"")"),"یہ ایک سادہ، چیکر سطح ہے")</f>
        <v>یہ ایک سادہ، چیکر سطح ہے</v>
      </c>
      <c r="N173" s="2" t="str">
        <f>IFERROR(__xludf.DUMMYFUNCTION("GOOGLETRANSLATE(D173,""en"",""ur"")"),"اس میں پیچیدہ کندہ شدہ نمونے ہیں۔")</f>
        <v>اس میں پیچیدہ کندہ شدہ نمونے ہیں۔</v>
      </c>
      <c r="O173" s="2" t="str">
        <f>IFERROR(__xludf.DUMMYFUNCTION("GOOGLETRANSLATE(E173,""en"",""ur"")"),"یہ ایک ٹھوس رنگ ہے۔")</f>
        <v>یہ ایک ٹھوس رنگ ہے۔</v>
      </c>
      <c r="P173" s="2" t="str">
        <f>IFERROR(__xludf.DUMMYFUNCTION("GOOGLETRANSLATE(F173,""en"",""ur"")"),"یہ ایک سرکلر بورڈ ہے۔")</f>
        <v>یہ ایک سرکلر بورڈ ہے۔</v>
      </c>
      <c r="Q173" s="2" t="s">
        <v>45</v>
      </c>
      <c r="R173" s="2" t="str">
        <f>IFERROR(__xludf.DUMMYFUNCTION("GOOGLETRANSLATE(G173,""en"",""ur"")"),"اس میں پیچیدہ کندہ شدہ نمونے ہیں۔")</f>
        <v>اس میں پیچیدہ کندہ شدہ نمونے ہیں۔</v>
      </c>
      <c r="S173" s="6" t="s">
        <v>205</v>
      </c>
    </row>
    <row r="174" ht="22.5" customHeight="1">
      <c r="A174" s="4">
        <v>173.0</v>
      </c>
      <c r="B174" s="5" t="s">
        <v>22</v>
      </c>
      <c r="C174" s="5" t="s">
        <v>23</v>
      </c>
      <c r="D174" s="5" t="s">
        <v>24</v>
      </c>
      <c r="E174" s="5" t="s">
        <v>25</v>
      </c>
      <c r="F174" s="5" t="s">
        <v>26</v>
      </c>
      <c r="G174" s="5" t="s">
        <v>23</v>
      </c>
      <c r="H174" s="5" t="s">
        <v>205</v>
      </c>
      <c r="K174" s="2" t="str">
        <f>IFERROR(__xludf.DUMMYFUNCTION("GOOGLETRANSLATE(A174,""en"",""ur"")"),"173")</f>
        <v>173</v>
      </c>
      <c r="L174" s="2" t="str">
        <f>IFERROR(__xludf.DUMMYFUNCTION("GOOGLETRANSLATE(B174,""en"",""ur"")"),"بساط کا ظاہری مواد کیا ہے؟")</f>
        <v>بساط کا ظاہری مواد کیا ہے؟</v>
      </c>
      <c r="M174" s="2" t="str">
        <f>IFERROR(__xludf.DUMMYFUNCTION("GOOGLETRANSLATE(C174,""en"",""ur"")"),"کندہ شدہ نمونوں کے ساتھ لکڑی")</f>
        <v>کندہ شدہ نمونوں کے ساتھ لکڑی</v>
      </c>
      <c r="N174" s="2" t="str">
        <f>IFERROR(__xludf.DUMMYFUNCTION("GOOGLETRANSLATE(D174,""en"",""ur"")"),"پلاسٹک")</f>
        <v>پلاسٹک</v>
      </c>
      <c r="O174" s="2" t="str">
        <f>IFERROR(__xludf.DUMMYFUNCTION("GOOGLETRANSLATE(E174,""en"",""ur"")"),"شیشہ")</f>
        <v>شیشہ</v>
      </c>
      <c r="P174" s="2" t="str">
        <f>IFERROR(__xludf.DUMMYFUNCTION("GOOGLETRANSLATE(F174,""en"",""ur"")"),"گتے")</f>
        <v>گتے</v>
      </c>
      <c r="Q174" s="2" t="s">
        <v>27</v>
      </c>
      <c r="R174" s="2" t="str">
        <f>IFERROR(__xludf.DUMMYFUNCTION("GOOGLETRANSLATE(G174,""en"",""ur"")"),"کندہ شدہ نمونوں کے ساتھ لکڑی")</f>
        <v>کندہ شدہ نمونوں کے ساتھ لکڑی</v>
      </c>
      <c r="S174" s="6" t="s">
        <v>205</v>
      </c>
    </row>
    <row r="175" ht="22.5" customHeight="1">
      <c r="A175" s="4">
        <v>174.0</v>
      </c>
      <c r="B175" s="5" t="s">
        <v>28</v>
      </c>
      <c r="C175" s="5" t="s">
        <v>29</v>
      </c>
      <c r="D175" s="5" t="s">
        <v>30</v>
      </c>
      <c r="E175" s="5" t="s">
        <v>31</v>
      </c>
      <c r="F175" s="5" t="s">
        <v>32</v>
      </c>
      <c r="G175" s="5" t="s">
        <v>31</v>
      </c>
      <c r="H175" s="5" t="s">
        <v>205</v>
      </c>
      <c r="K175" s="2" t="str">
        <f>IFERROR(__xludf.DUMMYFUNCTION("GOOGLETRANSLATE(A175,""en"",""ur"")"),"174")</f>
        <v>174</v>
      </c>
      <c r="L175" s="2" t="str">
        <f>IFERROR(__xludf.DUMMYFUNCTION("GOOGLETRANSLATE(B175,""en"",""ur"")"),"تصویر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175" s="2" t="str">
        <f>IFERROR(__xludf.DUMMYFUNCTION("GOOGLETRANSLATE(C175,""en"",""ur"")"),"چیکرس")</f>
        <v>چیکرس</v>
      </c>
      <c r="N175" s="2" t="str">
        <f>IFERROR(__xludf.DUMMYFUNCTION("GOOGLETRANSLATE(D175,""en"",""ur"")"),"بیکگیمون")</f>
        <v>بیکگیمون</v>
      </c>
      <c r="O175" s="2" t="str">
        <f>IFERROR(__xludf.DUMMYFUNCTION("GOOGLETRANSLATE(E175,""en"",""ur"")"),"چتورنگا")</f>
        <v>چتورنگا</v>
      </c>
      <c r="P175" s="2" t="str">
        <f>IFERROR(__xludf.DUMMYFUNCTION("GOOGLETRANSLATE(F175,""en"",""ur"")"),"جاؤ")</f>
        <v>جاؤ</v>
      </c>
      <c r="Q175" s="2" t="s">
        <v>33</v>
      </c>
      <c r="R175" s="2" t="str">
        <f>IFERROR(__xludf.DUMMYFUNCTION("GOOGLETRANSLATE(G175,""en"",""ur"")"),"چتورنگا")</f>
        <v>چتورنگا</v>
      </c>
      <c r="S175" s="6" t="s">
        <v>205</v>
      </c>
    </row>
    <row r="176" ht="22.5" customHeight="1">
      <c r="A176" s="4">
        <v>175.0</v>
      </c>
      <c r="B176" s="5" t="s">
        <v>34</v>
      </c>
      <c r="C176" s="5" t="s">
        <v>35</v>
      </c>
      <c r="D176" s="5" t="s">
        <v>36</v>
      </c>
      <c r="E176" s="5" t="s">
        <v>37</v>
      </c>
      <c r="F176" s="5" t="s">
        <v>38</v>
      </c>
      <c r="G176" s="5" t="s">
        <v>36</v>
      </c>
      <c r="H176" s="5" t="s">
        <v>205</v>
      </c>
      <c r="K176" s="2" t="str">
        <f>IFERROR(__xludf.DUMMYFUNCTION("GOOGLETRANSLATE(A176,""en"",""ur"")"),"175")</f>
        <v>175</v>
      </c>
      <c r="L176" s="2" t="str">
        <f>IFERROR(__xludf.DUMMYFUNCTION("GOOGLETRANSLATE(B176,""en"",""ur"")"),"""پرسنلائزڈ نام"" لیبل کا بظاہر مقصد کیا ہے؟")</f>
        <v>"پرسنلائزڈ نام" لیبل کا بظاہر مقصد کیا ہے؟</v>
      </c>
      <c r="M176" s="2" t="str">
        <f>IFERROR(__xludf.DUMMYFUNCTION("GOOGLETRANSLATE(C176,""en"",""ur"")"),"یہ کھیل کے قوانین کا حصہ ہے۔")</f>
        <v>یہ کھیل کے قوانین کا حصہ ہے۔</v>
      </c>
      <c r="N176" s="2" t="str">
        <f>IFERROR(__xludf.DUMMYFUNCTION("GOOGLETRANSLATE(D176,""en"",""ur"")"),"یہ حسب ضرورت کے لیے ایک خصوصیت ہے۔")</f>
        <v>یہ حسب ضرورت کے لیے ایک خصوصیت ہے۔</v>
      </c>
      <c r="O176" s="2" t="str">
        <f>IFERROR(__xludf.DUMMYFUNCTION("GOOGLETRANSLATE(E176,""en"",""ur"")"),"یہ ایک تاریخی نشان ہے۔")</f>
        <v>یہ ایک تاریخی نشان ہے۔</v>
      </c>
      <c r="P176" s="2" t="str">
        <f>IFERROR(__xludf.DUMMYFUNCTION("GOOGLETRANSLATE(F176,""en"",""ur"")"),"یہ ایک برانڈ کا نام ہے۔")</f>
        <v>یہ ایک برانڈ کا نام ہے۔</v>
      </c>
      <c r="Q176" s="2" t="s">
        <v>39</v>
      </c>
      <c r="R176" s="2" t="str">
        <f>IFERROR(__xludf.DUMMYFUNCTION("GOOGLETRANSLATE(G176,""en"",""ur"")"),"یہ حسب ضرورت کے لیے ایک خصوصیت ہے۔")</f>
        <v>یہ حسب ضرورت کے لیے ایک خصوصیت ہے۔</v>
      </c>
      <c r="S176" s="6" t="s">
        <v>205</v>
      </c>
    </row>
    <row r="177" ht="22.5" customHeight="1">
      <c r="A177" s="4">
        <v>176.0</v>
      </c>
      <c r="B177" s="5" t="s">
        <v>40</v>
      </c>
      <c r="C177" s="5" t="s">
        <v>41</v>
      </c>
      <c r="D177" s="5" t="s">
        <v>42</v>
      </c>
      <c r="E177" s="5" t="s">
        <v>43</v>
      </c>
      <c r="F177" s="5" t="s">
        <v>44</v>
      </c>
      <c r="G177" s="5" t="s">
        <v>42</v>
      </c>
      <c r="H177" s="5" t="s">
        <v>205</v>
      </c>
      <c r="K177" s="2" t="str">
        <f>IFERROR(__xludf.DUMMYFUNCTION("GOOGLETRANSLATE(A177,""en"",""ur"")"),"176")</f>
        <v>176</v>
      </c>
      <c r="L177" s="2" t="str">
        <f>IFERROR(__xludf.DUMMYFUNCTION("GOOGLETRANSLATE(B177,""en"",""ur"")"),"بورڈ کے ڈیزائن کی سب سے نمایاں خصوصیت کیا ہے؟")</f>
        <v>بورڈ کے ڈیزائن کی سب سے نمایاں خصوصیت کیا ہے؟</v>
      </c>
      <c r="M177" s="2" t="str">
        <f>IFERROR(__xludf.DUMMYFUNCTION("GOOGLETRANSLATE(C177,""en"",""ur"")"),"یہ ایک سادہ، چیکر سطح ہے")</f>
        <v>یہ ایک سادہ، چیکر سطح ہے</v>
      </c>
      <c r="N177" s="2" t="str">
        <f>IFERROR(__xludf.DUMMYFUNCTION("GOOGLETRANSLATE(D177,""en"",""ur"")"),"اس میں پیچیدہ کندہ شدہ نمونے ہیں۔")</f>
        <v>اس میں پیچیدہ کندہ شدہ نمونے ہیں۔</v>
      </c>
      <c r="O177" s="2" t="str">
        <f>IFERROR(__xludf.DUMMYFUNCTION("GOOGLETRANSLATE(E177,""en"",""ur"")"),"یہ ایک ٹھوس رنگ ہے۔")</f>
        <v>یہ ایک ٹھوس رنگ ہے۔</v>
      </c>
      <c r="P177" s="2" t="str">
        <f>IFERROR(__xludf.DUMMYFUNCTION("GOOGLETRANSLATE(F177,""en"",""ur"")"),"یہ ایک سرکلر بورڈ ہے۔")</f>
        <v>یہ ایک سرکلر بورڈ ہے۔</v>
      </c>
      <c r="Q177" s="2" t="s">
        <v>45</v>
      </c>
      <c r="R177" s="2" t="str">
        <f>IFERROR(__xludf.DUMMYFUNCTION("GOOGLETRANSLATE(G177,""en"",""ur"")"),"اس میں پیچیدہ کندہ شدہ نمونے ہیں۔")</f>
        <v>اس میں پیچیدہ کندہ شدہ نمونے ہیں۔</v>
      </c>
      <c r="S177" s="6" t="s">
        <v>205</v>
      </c>
    </row>
    <row r="178" ht="22.5" customHeight="1">
      <c r="A178" s="4">
        <v>177.0</v>
      </c>
      <c r="B178" s="5" t="s">
        <v>46</v>
      </c>
      <c r="C178" s="5" t="s">
        <v>47</v>
      </c>
      <c r="D178" s="5" t="s">
        <v>48</v>
      </c>
      <c r="E178" s="5" t="s">
        <v>49</v>
      </c>
      <c r="F178" s="5" t="s">
        <v>50</v>
      </c>
      <c r="G178" s="5" t="s">
        <v>49</v>
      </c>
      <c r="H178" s="5" t="s">
        <v>205</v>
      </c>
      <c r="K178" s="2" t="str">
        <f>IFERROR(__xludf.DUMMYFUNCTION("GOOGLETRANSLATE(A178,""en"",""ur"")"),"177")</f>
        <v>177</v>
      </c>
      <c r="L178" s="2" t="str">
        <f>IFERROR(__xludf.DUMMYFUNCTION("GOOGLETRANSLATE(B178,""en"",""ur"")"),"کھلاڑیوں کے چہروں سے ظاہری جذبات کیا ہیں؟")</f>
        <v>کھلاڑیوں کے چہروں سے ظاہری جذبات کیا ہیں؟</v>
      </c>
      <c r="M178" s="2" t="str">
        <f>IFERROR(__xludf.DUMMYFUNCTION("GOOGLETRANSLATE(C178,""en"",""ur"")"),"پرسکون اور پر سکون")</f>
        <v>پرسکون اور پر سکون</v>
      </c>
      <c r="N178" s="2" t="str">
        <f>IFERROR(__xludf.DUMMYFUNCTION("GOOGLETRANSLATE(D178,""en"",""ur"")"),"خوف زدہ اور بے چین")</f>
        <v>خوف زدہ اور بے چین</v>
      </c>
      <c r="O178" s="2" t="str">
        <f>IFERROR(__xludf.DUMMYFUNCTION("GOOGLETRANSLATE(E178,""en"",""ur"")"),"کشیدہ اور شدید")</f>
        <v>کشیدہ اور شدید</v>
      </c>
      <c r="P178" s="2" t="str">
        <f>IFERROR(__xludf.DUMMYFUNCTION("GOOGLETRANSLATE(F178,""en"",""ur"")"),"خوش اور مسکراتے ہوئے۔")</f>
        <v>خوش اور مسکراتے ہوئے۔</v>
      </c>
      <c r="Q178" s="2" t="s">
        <v>51</v>
      </c>
      <c r="R178" s="2" t="str">
        <f>IFERROR(__xludf.DUMMYFUNCTION("GOOGLETRANSLATE(G178,""en"",""ur"")"),"کشیدہ اور شدید")</f>
        <v>کشیدہ اور شدید</v>
      </c>
      <c r="S178" s="6" t="s">
        <v>205</v>
      </c>
    </row>
    <row r="179" ht="22.5" customHeight="1">
      <c r="A179" s="4">
        <v>178.0</v>
      </c>
      <c r="B179" s="5" t="s">
        <v>52</v>
      </c>
      <c r="C179" s="5" t="s">
        <v>53</v>
      </c>
      <c r="D179" s="5" t="s">
        <v>54</v>
      </c>
      <c r="E179" s="5" t="s">
        <v>55</v>
      </c>
      <c r="F179" s="5" t="s">
        <v>56</v>
      </c>
      <c r="G179" s="5" t="s">
        <v>53</v>
      </c>
      <c r="H179" s="5" t="s">
        <v>205</v>
      </c>
      <c r="K179" s="2" t="str">
        <f>IFERROR(__xludf.DUMMYFUNCTION("GOOGLETRANSLATE(A179,""en"",""ur"")"),"178")</f>
        <v>178</v>
      </c>
      <c r="L179" s="2" t="str">
        <f>IFERROR(__xludf.DUMMYFUNCTION("GOOGLETRANSLATE(B179,""en"",""ur"")"),"ٹکڑوں کو ایک مخصوص شکل میں ترتیب دیا گیا ہے۔ یہ تشکیل کس لیے ہے؟")</f>
        <v>ٹکڑوں کو ایک مخصوص شکل میں ترتیب دیا گیا ہے۔ یہ تشکیل کس لیے ہے؟</v>
      </c>
      <c r="M179" s="2" t="str">
        <f>IFERROR(__xludf.DUMMYFUNCTION("GOOGLETRANSLATE(C179,""en"",""ur"")"),"ایک کھیل کا آغاز")</f>
        <v>ایک کھیل کا آغاز</v>
      </c>
      <c r="N179" s="2" t="str">
        <f>IFERROR(__xludf.DUMMYFUNCTION("GOOGLETRANSLATE(D179,""en"",""ur"")"),"کھیل کا وسط")</f>
        <v>کھیل کا وسط</v>
      </c>
      <c r="O179" s="2" t="str">
        <f>IFERROR(__xludf.DUMMYFUNCTION("GOOGLETRANSLATE(E179,""en"",""ur"")"),"ایک کھیل کا اختتام")</f>
        <v>ایک کھیل کا اختتام</v>
      </c>
      <c r="P179" s="2" t="str">
        <f>IFERROR(__xludf.DUMMYFUNCTION("GOOGLETRANSLATE(F179,""en"",""ur"")"),"بے ترتیب ترتیب")</f>
        <v>بے ترتیب ترتیب</v>
      </c>
      <c r="Q179" s="2" t="s">
        <v>57</v>
      </c>
      <c r="R179" s="2" t="str">
        <f>IFERROR(__xludf.DUMMYFUNCTION("GOOGLETRANSLATE(G179,""en"",""ur"")"),"ایک کھیل کا آغاز")</f>
        <v>ایک کھیل کا آغاز</v>
      </c>
      <c r="S179" s="6" t="s">
        <v>205</v>
      </c>
    </row>
    <row r="180" ht="22.5" customHeight="1">
      <c r="A180" s="4">
        <v>179.0</v>
      </c>
      <c r="B180" s="5" t="s">
        <v>16</v>
      </c>
      <c r="C180" s="5" t="s">
        <v>58</v>
      </c>
      <c r="D180" s="5" t="s">
        <v>59</v>
      </c>
      <c r="E180" s="5" t="s">
        <v>60</v>
      </c>
      <c r="F180" s="5" t="s">
        <v>61</v>
      </c>
      <c r="G180" s="5" t="s">
        <v>60</v>
      </c>
      <c r="H180" s="5" t="s">
        <v>205</v>
      </c>
      <c r="K180" s="2" t="str">
        <f>IFERROR(__xludf.DUMMYFUNCTION("GOOGLETRANSLATE(A180,""en"",""ur"")"),"179")</f>
        <v>179</v>
      </c>
      <c r="L180" s="2" t="str">
        <f>IFERROR(__xludf.DUMMYFUNCTION("GOOGLETRANSLATE(B180,""en"",""ur"")"),"ٹکڑوں کے بارے میں ایک قابل ذکر تفصیل کیا ہے؟")</f>
        <v>ٹکڑوں کے بارے میں ایک قابل ذکر تفصیل کیا ہے؟</v>
      </c>
      <c r="M180" s="2" t="str">
        <f>IFERROR(__xludf.DUMMYFUNCTION("GOOGLETRANSLATE(C180,""en"",""ur"")"),"وہ سب ایک ہی قد کے ہیں۔")</f>
        <v>وہ سب ایک ہی قد کے ہیں۔</v>
      </c>
      <c r="N180" s="2" t="str">
        <f>IFERROR(__xludf.DUMMYFUNCTION("GOOGLETRANSLATE(D180,""en"",""ur"")"),"وہ سب ایک ہی رنگ کے ہیں۔")</f>
        <v>وہ سب ایک ہی رنگ کے ہیں۔</v>
      </c>
      <c r="O180" s="2" t="str">
        <f>IFERROR(__xludf.DUMMYFUNCTION("GOOGLETRANSLATE(E180,""en"",""ur"")"),"وہ رنگوں اور ڈیزائنوں کا مرکب ہیں۔")</f>
        <v>وہ رنگوں اور ڈیزائنوں کا مرکب ہیں۔</v>
      </c>
      <c r="P180" s="2" t="str">
        <f>IFERROR(__xludf.DUMMYFUNCTION("GOOGLETRANSLATE(F180,""en"",""ur"")"),"وہ سب وسیع نمونوں کے ساتھ زین پہنے ہوئے ہیں۔")</f>
        <v>وہ سب وسیع نمونوں کے ساتھ زین پہنے ہوئے ہیں۔</v>
      </c>
      <c r="Q180" s="2" t="s">
        <v>62</v>
      </c>
      <c r="R180" s="2" t="str">
        <f>IFERROR(__xludf.DUMMYFUNCTION("GOOGLETRANSLATE(G180,""en"",""ur"")"),"وہ رنگوں اور ڈیزائنوں کا مرکب ہیں۔")</f>
        <v>وہ رنگوں اور ڈیزائنوں کا مرکب ہیں۔</v>
      </c>
      <c r="S180" s="6" t="s">
        <v>205</v>
      </c>
    </row>
    <row r="181" ht="22.5" customHeight="1">
      <c r="A181" s="4">
        <v>180.0</v>
      </c>
      <c r="B181" s="5" t="s">
        <v>63</v>
      </c>
      <c r="C181" s="5" t="s">
        <v>64</v>
      </c>
      <c r="D181" s="5" t="s">
        <v>65</v>
      </c>
      <c r="E181" s="5" t="s">
        <v>66</v>
      </c>
      <c r="F181" s="5" t="s">
        <v>67</v>
      </c>
      <c r="G181" s="5" t="s">
        <v>65</v>
      </c>
      <c r="H181" s="5" t="s">
        <v>205</v>
      </c>
      <c r="K181" s="2" t="str">
        <f>IFERROR(__xludf.DUMMYFUNCTION("GOOGLETRANSLATE(A181,""en"",""ur"")"),"180")</f>
        <v>180</v>
      </c>
      <c r="L181" s="2" t="str">
        <f>IFERROR(__xludf.DUMMYFUNCTION("GOOGLETRANSLATE(B181,""en"",""ur"")"),"چتورنگا کا تاریخی کھیل کس ملک سے تعلق کے لیے جانا جاتا ہے؟")</f>
        <v>چتورنگا کا تاریخی کھیل کس ملک سے تعلق کے لیے جانا جاتا ہے؟</v>
      </c>
      <c r="M181" s="2" t="str">
        <f>IFERROR(__xludf.DUMMYFUNCTION("GOOGLETRANSLATE(C181,""en"",""ur"")"),"چین")</f>
        <v>چین</v>
      </c>
      <c r="N181" s="2" t="str">
        <f>IFERROR(__xludf.DUMMYFUNCTION("GOOGLETRANSLATE(D181,""en"",""ur"")"),"انڈیا")</f>
        <v>انڈیا</v>
      </c>
      <c r="O181" s="2" t="str">
        <f>IFERROR(__xludf.DUMMYFUNCTION("GOOGLETRANSLATE(E181,""en"",""ur"")"),"یورپ")</f>
        <v>یورپ</v>
      </c>
      <c r="P181" s="2" t="str">
        <f>IFERROR(__xludf.DUMMYFUNCTION("GOOGLETRANSLATE(F181,""en"",""ur"")"),"مصر")</f>
        <v>مصر</v>
      </c>
      <c r="Q181" s="2" t="s">
        <v>68</v>
      </c>
      <c r="R181" s="2" t="str">
        <f>IFERROR(__xludf.DUMMYFUNCTION("GOOGLETRANSLATE(G181,""en"",""ur"")"),"انڈیا")</f>
        <v>انڈیا</v>
      </c>
      <c r="S181" s="6" t="s">
        <v>205</v>
      </c>
    </row>
    <row r="182" ht="22.5" customHeight="1">
      <c r="A182" s="4">
        <v>181.0</v>
      </c>
      <c r="B182" s="5" t="s">
        <v>208</v>
      </c>
      <c r="C182" s="5" t="s">
        <v>12</v>
      </c>
      <c r="D182" s="5" t="s">
        <v>71</v>
      </c>
      <c r="E182" s="5" t="s">
        <v>72</v>
      </c>
      <c r="F182" s="5" t="s">
        <v>73</v>
      </c>
      <c r="G182" s="5" t="s">
        <v>12</v>
      </c>
      <c r="H182" s="5" t="s">
        <v>209</v>
      </c>
      <c r="K182" s="2" t="str">
        <f>IFERROR(__xludf.DUMMYFUNCTION("GOOGLETRANSLATE(A182,""en"",""ur"")"),"181")</f>
        <v>181</v>
      </c>
      <c r="L182" s="2" t="str">
        <f>IFERROR(__xludf.DUMMYFUNCTION("GOOGLETRANSLATE(B182,""en"",""ur"")"),"چترنگا_54 میں دکھایا گیا اہم عمل کیا ہے؟")</f>
        <v>چترنگا_54 میں دکھایا گیا اہم عمل کیا ہے؟</v>
      </c>
      <c r="M182" s="2" t="str">
        <f>IFERROR(__xludf.DUMMYFUNCTION("GOOGLETRANSLATE(C182,""en"",""ur"")"),"انتہائی آرائشی ٹکڑوں کے ساتھ ایک بساط")</f>
        <v>انتہائی آرائشی ٹکڑوں کے ساتھ ایک بساط</v>
      </c>
      <c r="N182" s="2" t="str">
        <f>IFERROR(__xludf.DUMMYFUNCTION("GOOGLETRANSLATE(D182,""en"",""ur"")"),"سواروں کا ایک گروپ جو مرکزی چیز کے لیے مقابلہ کر رہا ہے۔")</f>
        <v>سواروں کا ایک گروپ جو مرکزی چیز کے لیے مقابلہ کر رہا ہے۔</v>
      </c>
      <c r="O182" s="2" t="str">
        <f>IFERROR(__xludf.DUMMYFUNCTION("GOOGLETRANSLATE(E182,""en"",""ur"")"),"گھوڑوں کی پریڈ")</f>
        <v>گھوڑوں کی پریڈ</v>
      </c>
      <c r="P182" s="2" t="str">
        <f>IFERROR(__xludf.DUMMYFUNCTION("GOOGLETRANSLATE(F182,""en"",""ur"")"),"گھوڑوں کی دوڑ")</f>
        <v>گھوڑوں کی دوڑ</v>
      </c>
      <c r="Q182" s="2" t="s">
        <v>182</v>
      </c>
      <c r="R182" s="2" t="str">
        <f>IFERROR(__xludf.DUMMYFUNCTION("GOOGLETRANSLATE(G182,""en"",""ur"")"),"انتہائی آرائشی ٹکڑوں کے ساتھ ایک بساط")</f>
        <v>انتہائی آرائشی ٹکڑوں کے ساتھ ایک بساط</v>
      </c>
      <c r="S182" s="6" t="s">
        <v>209</v>
      </c>
    </row>
    <row r="183" ht="22.5" customHeight="1">
      <c r="A183" s="4">
        <v>182.0</v>
      </c>
      <c r="B183" s="5" t="s">
        <v>16</v>
      </c>
      <c r="C183" s="5" t="s">
        <v>17</v>
      </c>
      <c r="D183" s="5" t="s">
        <v>18</v>
      </c>
      <c r="E183" s="5" t="s">
        <v>19</v>
      </c>
      <c r="F183" s="5" t="s">
        <v>20</v>
      </c>
      <c r="G183" s="5" t="s">
        <v>18</v>
      </c>
      <c r="H183" s="5" t="s">
        <v>209</v>
      </c>
      <c r="K183" s="2" t="str">
        <f>IFERROR(__xludf.DUMMYFUNCTION("GOOGLETRANSLATE(A183,""en"",""ur"")"),"182")</f>
        <v>182</v>
      </c>
      <c r="L183" s="2" t="str">
        <f>IFERROR(__xludf.DUMMYFUNCTION("GOOGLETRANSLATE(B183,""en"",""ur"")"),"ٹکڑوں کے بارے میں ایک قابل ذکر تفصیل کیا ہے؟")</f>
        <v>ٹکڑوں کے بارے میں ایک قابل ذکر تفصیل کیا ہے؟</v>
      </c>
      <c r="M183" s="2" t="str">
        <f>IFERROR(__xludf.DUMMYFUNCTION("GOOGLETRANSLATE(C183,""en"",""ur"")"),"وہ سب ایک جیسے ہیں۔")</f>
        <v>وہ سب ایک جیسے ہیں۔</v>
      </c>
      <c r="N183" s="2" t="str">
        <f>IFERROR(__xludf.DUMMYFUNCTION("GOOGLETRANSLATE(D183,""en"",""ur"")"),"وہ ایک تاریخی فوج کی نمائندگی کرنے والی انتہائی اسٹائلائزڈ شخصیات ہیں۔")</f>
        <v>وہ ایک تاریخی فوج کی نمائندگی کرنے والی انتہائی اسٹائلائزڈ شخصیات ہیں۔</v>
      </c>
      <c r="O183" s="2" t="str">
        <f>IFERROR(__xludf.DUMMYFUNCTION("GOOGLETRANSLATE(E183,""en"",""ur"")"),"وہ پلاسٹک سے بنے ہیں۔")</f>
        <v>وہ پلاسٹک سے بنے ہیں۔</v>
      </c>
      <c r="P183" s="2" t="str">
        <f>IFERROR(__xludf.DUMMYFUNCTION("GOOGLETRANSLATE(F183,""en"",""ur"")"),"وہ سب سفید فام ہیں۔")</f>
        <v>وہ سب سفید فام ہیں۔</v>
      </c>
      <c r="Q183" s="2" t="s">
        <v>21</v>
      </c>
      <c r="R183" s="2" t="str">
        <f>IFERROR(__xludf.DUMMYFUNCTION("GOOGLETRANSLATE(G183,""en"",""ur"")"),"وہ ایک تاریخی فوج کی نمائندگی کرنے والی انتہائی اسٹائلائزڈ شخصیات ہیں۔")</f>
        <v>وہ ایک تاریخی فوج کی نمائندگی کرنے والی انتہائی اسٹائلائزڈ شخصیات ہیں۔</v>
      </c>
      <c r="S183" s="6" t="s">
        <v>209</v>
      </c>
    </row>
    <row r="184" ht="22.5" customHeight="1">
      <c r="A184" s="4">
        <v>183.0</v>
      </c>
      <c r="B184" s="5" t="s">
        <v>22</v>
      </c>
      <c r="C184" s="5" t="s">
        <v>23</v>
      </c>
      <c r="D184" s="5" t="s">
        <v>24</v>
      </c>
      <c r="E184" s="5" t="s">
        <v>25</v>
      </c>
      <c r="F184" s="5" t="s">
        <v>26</v>
      </c>
      <c r="G184" s="5" t="s">
        <v>24</v>
      </c>
      <c r="H184" s="5" t="s">
        <v>209</v>
      </c>
      <c r="K184" s="2" t="str">
        <f>IFERROR(__xludf.DUMMYFUNCTION("GOOGLETRANSLATE(A184,""en"",""ur"")"),"183")</f>
        <v>183</v>
      </c>
      <c r="L184" s="2" t="str">
        <f>IFERROR(__xludf.DUMMYFUNCTION("GOOGLETRANSLATE(B184,""en"",""ur"")"),"بساط کا ظاہری مواد کیا ہے؟")</f>
        <v>بساط کا ظاہری مواد کیا ہے؟</v>
      </c>
      <c r="M184" s="2" t="str">
        <f>IFERROR(__xludf.DUMMYFUNCTION("GOOGLETRANSLATE(C184,""en"",""ur"")"),"کندہ شدہ نمونوں کے ساتھ لکڑی")</f>
        <v>کندہ شدہ نمونوں کے ساتھ لکڑی</v>
      </c>
      <c r="N184" s="2" t="str">
        <f>IFERROR(__xludf.DUMMYFUNCTION("GOOGLETRANSLATE(D184,""en"",""ur"")"),"پلاسٹک")</f>
        <v>پلاسٹک</v>
      </c>
      <c r="O184" s="2" t="str">
        <f>IFERROR(__xludf.DUMMYFUNCTION("GOOGLETRANSLATE(E184,""en"",""ur"")"),"شیشہ")</f>
        <v>شیشہ</v>
      </c>
      <c r="P184" s="2" t="str">
        <f>IFERROR(__xludf.DUMMYFUNCTION("GOOGLETRANSLATE(F184,""en"",""ur"")"),"گتے")</f>
        <v>گتے</v>
      </c>
      <c r="Q184" s="2" t="s">
        <v>27</v>
      </c>
      <c r="R184" s="2" t="str">
        <f>IFERROR(__xludf.DUMMYFUNCTION("GOOGLETRANSLATE(G184,""en"",""ur"")"),"پلاسٹک")</f>
        <v>پلاسٹک</v>
      </c>
      <c r="S184" s="6" t="s">
        <v>209</v>
      </c>
    </row>
    <row r="185" ht="22.5" customHeight="1">
      <c r="A185" s="4">
        <v>184.0</v>
      </c>
      <c r="B185" s="5" t="s">
        <v>28</v>
      </c>
      <c r="C185" s="5" t="s">
        <v>29</v>
      </c>
      <c r="D185" s="5" t="s">
        <v>30</v>
      </c>
      <c r="E185" s="5" t="s">
        <v>31</v>
      </c>
      <c r="F185" s="5" t="s">
        <v>32</v>
      </c>
      <c r="G185" s="5" t="s">
        <v>31</v>
      </c>
      <c r="H185" s="5" t="s">
        <v>209</v>
      </c>
      <c r="K185" s="2" t="str">
        <f>IFERROR(__xludf.DUMMYFUNCTION("GOOGLETRANSLATE(A185,""en"",""ur"")"),"184")</f>
        <v>184</v>
      </c>
      <c r="L185" s="2" t="str">
        <f>IFERROR(__xludf.DUMMYFUNCTION("GOOGLETRANSLATE(B185,""en"",""ur"")"),"تصویر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185" s="2" t="str">
        <f>IFERROR(__xludf.DUMMYFUNCTION("GOOGLETRANSLATE(C185,""en"",""ur"")"),"چیکرس")</f>
        <v>چیکرس</v>
      </c>
      <c r="N185" s="2" t="str">
        <f>IFERROR(__xludf.DUMMYFUNCTION("GOOGLETRANSLATE(D185,""en"",""ur"")"),"بیکگیمون")</f>
        <v>بیکگیمون</v>
      </c>
      <c r="O185" s="2" t="str">
        <f>IFERROR(__xludf.DUMMYFUNCTION("GOOGLETRANSLATE(E185,""en"",""ur"")"),"چتورنگا")</f>
        <v>چتورنگا</v>
      </c>
      <c r="P185" s="2" t="str">
        <f>IFERROR(__xludf.DUMMYFUNCTION("GOOGLETRANSLATE(F185,""en"",""ur"")"),"جاؤ")</f>
        <v>جاؤ</v>
      </c>
      <c r="Q185" s="2" t="s">
        <v>33</v>
      </c>
      <c r="R185" s="2" t="str">
        <f>IFERROR(__xludf.DUMMYFUNCTION("GOOGLETRANSLATE(G185,""en"",""ur"")"),"چتورنگا")</f>
        <v>چتورنگا</v>
      </c>
      <c r="S185" s="6" t="s">
        <v>209</v>
      </c>
    </row>
    <row r="186" ht="22.5" customHeight="1">
      <c r="A186" s="4">
        <v>185.0</v>
      </c>
      <c r="B186" s="5" t="s">
        <v>34</v>
      </c>
      <c r="C186" s="5" t="s">
        <v>35</v>
      </c>
      <c r="D186" s="5" t="s">
        <v>36</v>
      </c>
      <c r="E186" s="5" t="s">
        <v>37</v>
      </c>
      <c r="F186" s="5" t="s">
        <v>38</v>
      </c>
      <c r="G186" s="5" t="s">
        <v>36</v>
      </c>
      <c r="H186" s="5" t="s">
        <v>209</v>
      </c>
      <c r="K186" s="2" t="str">
        <f>IFERROR(__xludf.DUMMYFUNCTION("GOOGLETRANSLATE(A186,""en"",""ur"")"),"185")</f>
        <v>185</v>
      </c>
      <c r="L186" s="2" t="str">
        <f>IFERROR(__xludf.DUMMYFUNCTION("GOOGLETRANSLATE(B186,""en"",""ur"")"),"""پرسنلائزڈ نام"" لیبل کا بظاہر مقصد کیا ہے؟")</f>
        <v>"پرسنلائزڈ نام" لیبل کا بظاہر مقصد کیا ہے؟</v>
      </c>
      <c r="M186" s="2" t="str">
        <f>IFERROR(__xludf.DUMMYFUNCTION("GOOGLETRANSLATE(C186,""en"",""ur"")"),"یہ کھیل کے قوانین کا حصہ ہے۔")</f>
        <v>یہ کھیل کے قوانین کا حصہ ہے۔</v>
      </c>
      <c r="N186" s="2" t="str">
        <f>IFERROR(__xludf.DUMMYFUNCTION("GOOGLETRANSLATE(D186,""en"",""ur"")"),"یہ حسب ضرورت کے لیے ایک خصوصیت ہے۔")</f>
        <v>یہ حسب ضرورت کے لیے ایک خصوصیت ہے۔</v>
      </c>
      <c r="O186" s="2" t="str">
        <f>IFERROR(__xludf.DUMMYFUNCTION("GOOGLETRANSLATE(E186,""en"",""ur"")"),"یہ ایک تاریخی نشان ہے۔")</f>
        <v>یہ ایک تاریخی نشان ہے۔</v>
      </c>
      <c r="P186" s="2" t="str">
        <f>IFERROR(__xludf.DUMMYFUNCTION("GOOGLETRANSLATE(F186,""en"",""ur"")"),"یہ ایک برانڈ کا نام ہے۔")</f>
        <v>یہ ایک برانڈ کا نام ہے۔</v>
      </c>
      <c r="Q186" s="2" t="s">
        <v>39</v>
      </c>
      <c r="R186" s="2" t="str">
        <f>IFERROR(__xludf.DUMMYFUNCTION("GOOGLETRANSLATE(G186,""en"",""ur"")"),"یہ حسب ضرورت کے لیے ایک خصوصیت ہے۔")</f>
        <v>یہ حسب ضرورت کے لیے ایک خصوصیت ہے۔</v>
      </c>
      <c r="S186" s="6" t="s">
        <v>209</v>
      </c>
    </row>
    <row r="187" ht="22.5" customHeight="1">
      <c r="A187" s="4">
        <v>186.0</v>
      </c>
      <c r="B187" s="5" t="s">
        <v>40</v>
      </c>
      <c r="C187" s="5" t="s">
        <v>41</v>
      </c>
      <c r="D187" s="5" t="s">
        <v>42</v>
      </c>
      <c r="E187" s="5" t="s">
        <v>43</v>
      </c>
      <c r="F187" s="5" t="s">
        <v>44</v>
      </c>
      <c r="G187" s="5" t="s">
        <v>42</v>
      </c>
      <c r="H187" s="5" t="s">
        <v>209</v>
      </c>
      <c r="K187" s="2" t="str">
        <f>IFERROR(__xludf.DUMMYFUNCTION("GOOGLETRANSLATE(A187,""en"",""ur"")"),"186")</f>
        <v>186</v>
      </c>
      <c r="L187" s="2" t="str">
        <f>IFERROR(__xludf.DUMMYFUNCTION("GOOGLETRANSLATE(B187,""en"",""ur"")"),"بورڈ کے ڈیزائن کی سب سے نمایاں خصوصیت کیا ہے؟")</f>
        <v>بورڈ کے ڈیزائن کی سب سے نمایاں خصوصیت کیا ہے؟</v>
      </c>
      <c r="M187" s="2" t="str">
        <f>IFERROR(__xludf.DUMMYFUNCTION("GOOGLETRANSLATE(C187,""en"",""ur"")"),"یہ ایک سادہ، چیکر سطح ہے")</f>
        <v>یہ ایک سادہ، چیکر سطح ہے</v>
      </c>
      <c r="N187" s="2" t="str">
        <f>IFERROR(__xludf.DUMMYFUNCTION("GOOGLETRANSLATE(D187,""en"",""ur"")"),"اس میں پیچیدہ کندہ شدہ نمونے ہیں۔")</f>
        <v>اس میں پیچیدہ کندہ شدہ نمونے ہیں۔</v>
      </c>
      <c r="O187" s="2" t="str">
        <f>IFERROR(__xludf.DUMMYFUNCTION("GOOGLETRANSLATE(E187,""en"",""ur"")"),"یہ ایک ٹھوس رنگ ہے۔")</f>
        <v>یہ ایک ٹھوس رنگ ہے۔</v>
      </c>
      <c r="P187" s="2" t="str">
        <f>IFERROR(__xludf.DUMMYFUNCTION("GOOGLETRANSLATE(F187,""en"",""ur"")"),"یہ ایک سرکلر بورڈ ہے۔")</f>
        <v>یہ ایک سرکلر بورڈ ہے۔</v>
      </c>
      <c r="Q187" s="2" t="s">
        <v>45</v>
      </c>
      <c r="R187" s="2" t="str">
        <f>IFERROR(__xludf.DUMMYFUNCTION("GOOGLETRANSLATE(G187,""en"",""ur"")"),"اس میں پیچیدہ کندہ شدہ نمونے ہیں۔")</f>
        <v>اس میں پیچیدہ کندہ شدہ نمونے ہیں۔</v>
      </c>
      <c r="S187" s="6" t="s">
        <v>209</v>
      </c>
    </row>
    <row r="188" ht="22.5" customHeight="1">
      <c r="A188" s="4">
        <v>187.0</v>
      </c>
      <c r="B188" s="5" t="s">
        <v>46</v>
      </c>
      <c r="C188" s="5" t="s">
        <v>47</v>
      </c>
      <c r="D188" s="5" t="s">
        <v>48</v>
      </c>
      <c r="E188" s="5" t="s">
        <v>49</v>
      </c>
      <c r="F188" s="5" t="s">
        <v>50</v>
      </c>
      <c r="G188" s="5" t="s">
        <v>49</v>
      </c>
      <c r="H188" s="5" t="s">
        <v>209</v>
      </c>
      <c r="K188" s="2" t="str">
        <f>IFERROR(__xludf.DUMMYFUNCTION("GOOGLETRANSLATE(A188,""en"",""ur"")"),"187")</f>
        <v>187</v>
      </c>
      <c r="L188" s="2" t="str">
        <f>IFERROR(__xludf.DUMMYFUNCTION("GOOGLETRANSLATE(B188,""en"",""ur"")"),"کھلاڑیوں کے چہروں سے ظاہری جذبات کیا ہیں؟")</f>
        <v>کھلاڑیوں کے چہروں سے ظاہری جذبات کیا ہیں؟</v>
      </c>
      <c r="M188" s="2" t="str">
        <f>IFERROR(__xludf.DUMMYFUNCTION("GOOGLETRANSLATE(C188,""en"",""ur"")"),"پرسکون اور پر سکون")</f>
        <v>پرسکون اور پر سکون</v>
      </c>
      <c r="N188" s="2" t="str">
        <f>IFERROR(__xludf.DUMMYFUNCTION("GOOGLETRANSLATE(D188,""en"",""ur"")"),"خوف زدہ اور بے چین")</f>
        <v>خوف زدہ اور بے چین</v>
      </c>
      <c r="O188" s="2" t="str">
        <f>IFERROR(__xludf.DUMMYFUNCTION("GOOGLETRANSLATE(E188,""en"",""ur"")"),"کشیدہ اور شدید")</f>
        <v>کشیدہ اور شدید</v>
      </c>
      <c r="P188" s="2" t="str">
        <f>IFERROR(__xludf.DUMMYFUNCTION("GOOGLETRANSLATE(F188,""en"",""ur"")"),"خوش اور مسکراتے ہوئے۔")</f>
        <v>خوش اور مسکراتے ہوئے۔</v>
      </c>
      <c r="Q188" s="2" t="s">
        <v>51</v>
      </c>
      <c r="R188" s="2" t="str">
        <f>IFERROR(__xludf.DUMMYFUNCTION("GOOGLETRANSLATE(G188,""en"",""ur"")"),"کشیدہ اور شدید")</f>
        <v>کشیدہ اور شدید</v>
      </c>
      <c r="S188" s="6" t="s">
        <v>209</v>
      </c>
    </row>
    <row r="189" ht="22.5" customHeight="1">
      <c r="A189" s="4">
        <v>188.0</v>
      </c>
      <c r="B189" s="5" t="s">
        <v>52</v>
      </c>
      <c r="C189" s="5" t="s">
        <v>53</v>
      </c>
      <c r="D189" s="5" t="s">
        <v>54</v>
      </c>
      <c r="E189" s="5" t="s">
        <v>55</v>
      </c>
      <c r="F189" s="5" t="s">
        <v>56</v>
      </c>
      <c r="G189" s="5" t="s">
        <v>53</v>
      </c>
      <c r="H189" s="5" t="s">
        <v>209</v>
      </c>
      <c r="K189" s="2" t="str">
        <f>IFERROR(__xludf.DUMMYFUNCTION("GOOGLETRANSLATE(A189,""en"",""ur"")"),"188")</f>
        <v>188</v>
      </c>
      <c r="L189" s="2" t="str">
        <f>IFERROR(__xludf.DUMMYFUNCTION("GOOGLETRANSLATE(B189,""en"",""ur"")"),"ٹکڑوں کو ایک مخصوص شکل میں ترتیب دیا گیا ہے۔ یہ تشکیل کس لیے ہے؟")</f>
        <v>ٹکڑوں کو ایک مخصوص شکل میں ترتیب دیا گیا ہے۔ یہ تشکیل کس لیے ہے؟</v>
      </c>
      <c r="M189" s="2" t="str">
        <f>IFERROR(__xludf.DUMMYFUNCTION("GOOGLETRANSLATE(C189,""en"",""ur"")"),"ایک کھیل کا آغاز")</f>
        <v>ایک کھیل کا آغاز</v>
      </c>
      <c r="N189" s="2" t="str">
        <f>IFERROR(__xludf.DUMMYFUNCTION("GOOGLETRANSLATE(D189,""en"",""ur"")"),"کھیل کا وسط")</f>
        <v>کھیل کا وسط</v>
      </c>
      <c r="O189" s="2" t="str">
        <f>IFERROR(__xludf.DUMMYFUNCTION("GOOGLETRANSLATE(E189,""en"",""ur"")"),"ایک کھیل کا اختتام")</f>
        <v>ایک کھیل کا اختتام</v>
      </c>
      <c r="P189" s="2" t="str">
        <f>IFERROR(__xludf.DUMMYFUNCTION("GOOGLETRANSLATE(F189,""en"",""ur"")"),"بے ترتیب ترتیب")</f>
        <v>بے ترتیب ترتیب</v>
      </c>
      <c r="Q189" s="2" t="s">
        <v>57</v>
      </c>
      <c r="R189" s="2" t="str">
        <f>IFERROR(__xludf.DUMMYFUNCTION("GOOGLETRANSLATE(G189,""en"",""ur"")"),"ایک کھیل کا آغاز")</f>
        <v>ایک کھیل کا آغاز</v>
      </c>
      <c r="S189" s="6" t="s">
        <v>209</v>
      </c>
    </row>
    <row r="190" ht="22.5" customHeight="1">
      <c r="A190" s="4">
        <v>189.0</v>
      </c>
      <c r="B190" s="5" t="s">
        <v>16</v>
      </c>
      <c r="C190" s="5" t="s">
        <v>58</v>
      </c>
      <c r="D190" s="5" t="s">
        <v>59</v>
      </c>
      <c r="E190" s="5" t="s">
        <v>60</v>
      </c>
      <c r="F190" s="5" t="s">
        <v>61</v>
      </c>
      <c r="G190" s="5" t="s">
        <v>60</v>
      </c>
      <c r="H190" s="5" t="s">
        <v>209</v>
      </c>
      <c r="K190" s="2" t="str">
        <f>IFERROR(__xludf.DUMMYFUNCTION("GOOGLETRANSLATE(A190,""en"",""ur"")"),"189")</f>
        <v>189</v>
      </c>
      <c r="L190" s="2" t="str">
        <f>IFERROR(__xludf.DUMMYFUNCTION("GOOGLETRANSLATE(B190,""en"",""ur"")"),"ٹکڑوں کے بارے میں ایک قابل ذکر تفصیل کیا ہے؟")</f>
        <v>ٹکڑوں کے بارے میں ایک قابل ذکر تفصیل کیا ہے؟</v>
      </c>
      <c r="M190" s="2" t="str">
        <f>IFERROR(__xludf.DUMMYFUNCTION("GOOGLETRANSLATE(C190,""en"",""ur"")"),"وہ سب ایک ہی قد کے ہیں۔")</f>
        <v>وہ سب ایک ہی قد کے ہیں۔</v>
      </c>
      <c r="N190" s="2" t="str">
        <f>IFERROR(__xludf.DUMMYFUNCTION("GOOGLETRANSLATE(D190,""en"",""ur"")"),"وہ سب ایک ہی رنگ کے ہیں۔")</f>
        <v>وہ سب ایک ہی رنگ کے ہیں۔</v>
      </c>
      <c r="O190" s="2" t="str">
        <f>IFERROR(__xludf.DUMMYFUNCTION("GOOGLETRANSLATE(E190,""en"",""ur"")"),"وہ رنگوں اور ڈیزائنوں کا مرکب ہیں۔")</f>
        <v>وہ رنگوں اور ڈیزائنوں کا مرکب ہیں۔</v>
      </c>
      <c r="P190" s="2" t="str">
        <f>IFERROR(__xludf.DUMMYFUNCTION("GOOGLETRANSLATE(F190,""en"",""ur"")"),"وہ سب وسیع نمونوں کے ساتھ زین پہنے ہوئے ہیں۔")</f>
        <v>وہ سب وسیع نمونوں کے ساتھ زین پہنے ہوئے ہیں۔</v>
      </c>
      <c r="Q190" s="2" t="s">
        <v>62</v>
      </c>
      <c r="R190" s="2" t="str">
        <f>IFERROR(__xludf.DUMMYFUNCTION("GOOGLETRANSLATE(G190,""en"",""ur"")"),"وہ رنگوں اور ڈیزائنوں کا مرکب ہیں۔")</f>
        <v>وہ رنگوں اور ڈیزائنوں کا مرکب ہیں۔</v>
      </c>
      <c r="S190" s="6" t="s">
        <v>209</v>
      </c>
    </row>
    <row r="191" ht="22.5" customHeight="1">
      <c r="A191" s="4">
        <v>190.0</v>
      </c>
      <c r="B191" s="5" t="s">
        <v>63</v>
      </c>
      <c r="C191" s="5" t="s">
        <v>64</v>
      </c>
      <c r="D191" s="5" t="s">
        <v>65</v>
      </c>
      <c r="E191" s="5" t="s">
        <v>66</v>
      </c>
      <c r="F191" s="5" t="s">
        <v>67</v>
      </c>
      <c r="G191" s="5" t="s">
        <v>65</v>
      </c>
      <c r="H191" s="5" t="s">
        <v>209</v>
      </c>
      <c r="K191" s="2" t="str">
        <f>IFERROR(__xludf.DUMMYFUNCTION("GOOGLETRANSLATE(A191,""en"",""ur"")"),"190")</f>
        <v>190</v>
      </c>
      <c r="L191" s="2" t="str">
        <f>IFERROR(__xludf.DUMMYFUNCTION("GOOGLETRANSLATE(B191,""en"",""ur"")"),"چتورنگا کا تاریخی کھیل کس ملک سے تعلق کے لیے جانا جاتا ہے؟")</f>
        <v>چتورنگا کا تاریخی کھیل کس ملک سے تعلق کے لیے جانا جاتا ہے؟</v>
      </c>
      <c r="M191" s="2" t="str">
        <f>IFERROR(__xludf.DUMMYFUNCTION("GOOGLETRANSLATE(C191,""en"",""ur"")"),"چین")</f>
        <v>چین</v>
      </c>
      <c r="N191" s="2" t="str">
        <f>IFERROR(__xludf.DUMMYFUNCTION("GOOGLETRANSLATE(D191,""en"",""ur"")"),"انڈیا")</f>
        <v>انڈیا</v>
      </c>
      <c r="O191" s="2" t="str">
        <f>IFERROR(__xludf.DUMMYFUNCTION("GOOGLETRANSLATE(E191,""en"",""ur"")"),"یورپ")</f>
        <v>یورپ</v>
      </c>
      <c r="P191" s="2" t="str">
        <f>IFERROR(__xludf.DUMMYFUNCTION("GOOGLETRANSLATE(F191,""en"",""ur"")"),"مصر")</f>
        <v>مصر</v>
      </c>
      <c r="Q191" s="2" t="s">
        <v>68</v>
      </c>
      <c r="R191" s="2" t="str">
        <f>IFERROR(__xludf.DUMMYFUNCTION("GOOGLETRANSLATE(G191,""en"",""ur"")"),"انڈیا")</f>
        <v>انڈیا</v>
      </c>
      <c r="S191" s="6" t="s">
        <v>209</v>
      </c>
    </row>
    <row r="192" ht="22.5" customHeight="1">
      <c r="A192" s="4">
        <v>191.0</v>
      </c>
      <c r="B192" s="5" t="s">
        <v>69</v>
      </c>
      <c r="C192" s="5" t="s">
        <v>12</v>
      </c>
      <c r="D192" s="5" t="s">
        <v>71</v>
      </c>
      <c r="E192" s="5" t="s">
        <v>72</v>
      </c>
      <c r="F192" s="5" t="s">
        <v>73</v>
      </c>
      <c r="G192" s="5" t="s">
        <v>12</v>
      </c>
      <c r="H192" s="5" t="s">
        <v>74</v>
      </c>
      <c r="K192" s="2" t="str">
        <f>IFERROR(__xludf.DUMMYFUNCTION("GOOGLETRANSLATE(A192,""en"",""ur"")"),"191")</f>
        <v>191</v>
      </c>
      <c r="L192" s="2" t="str">
        <f>IFERROR(__xludf.DUMMYFUNCTION("GOOGLETRANSLATE(B192,""en"",""ur"")"),"چترنگا_2 میں دکھایا گیا اہم عمل کیا ہے؟")</f>
        <v>چترنگا_2 میں دکھایا گیا اہم عمل کیا ہے؟</v>
      </c>
      <c r="M192" s="2" t="str">
        <f>IFERROR(__xludf.DUMMYFUNCTION("GOOGLETRANSLATE(C192,""en"",""ur"")"),"انتہائی آرائشی ٹکڑوں کے ساتھ ایک بساط")</f>
        <v>انتہائی آرائشی ٹکڑوں کے ساتھ ایک بساط</v>
      </c>
      <c r="N192" s="2" t="str">
        <f>IFERROR(__xludf.DUMMYFUNCTION("GOOGLETRANSLATE(D192,""en"",""ur"")"),"سواروں کا ایک گروپ جو مرکزی چیز کے لیے مقابلہ کر رہا ہے۔")</f>
        <v>سواروں کا ایک گروپ جو مرکزی چیز کے لیے مقابلہ کر رہا ہے۔</v>
      </c>
      <c r="O192" s="2" t="str">
        <f>IFERROR(__xludf.DUMMYFUNCTION("GOOGLETRANSLATE(E192,""en"",""ur"")"),"گھوڑوں کی پریڈ")</f>
        <v>گھوڑوں کی پریڈ</v>
      </c>
      <c r="P192" s="2" t="str">
        <f>IFERROR(__xludf.DUMMYFUNCTION("GOOGLETRANSLATE(F192,""en"",""ur"")"),"گھوڑوں کی دوڑ")</f>
        <v>گھوڑوں کی دوڑ</v>
      </c>
      <c r="Q192" s="2" t="s">
        <v>182</v>
      </c>
      <c r="R192" s="2" t="str">
        <f>IFERROR(__xludf.DUMMYFUNCTION("GOOGLETRANSLATE(G192,""en"",""ur"")"),"انتہائی آرائشی ٹکڑوں کے ساتھ ایک بساط")</f>
        <v>انتہائی آرائشی ٹکڑوں کے ساتھ ایک بساط</v>
      </c>
      <c r="S192" s="6" t="s">
        <v>74</v>
      </c>
    </row>
    <row r="193" ht="22.5" customHeight="1">
      <c r="A193" s="4">
        <v>192.0</v>
      </c>
      <c r="B193" s="5" t="s">
        <v>16</v>
      </c>
      <c r="C193" s="5" t="s">
        <v>17</v>
      </c>
      <c r="D193" s="5" t="s">
        <v>18</v>
      </c>
      <c r="E193" s="5" t="s">
        <v>19</v>
      </c>
      <c r="F193" s="5" t="s">
        <v>20</v>
      </c>
      <c r="G193" s="5" t="s">
        <v>18</v>
      </c>
      <c r="H193" s="5" t="s">
        <v>74</v>
      </c>
      <c r="K193" s="2" t="str">
        <f>IFERROR(__xludf.DUMMYFUNCTION("GOOGLETRANSLATE(A193,""en"",""ur"")"),"192")</f>
        <v>192</v>
      </c>
      <c r="L193" s="2" t="str">
        <f>IFERROR(__xludf.DUMMYFUNCTION("GOOGLETRANSLATE(B193,""en"",""ur"")"),"ٹکڑوں کے بارے میں ایک قابل ذکر تفصیل کیا ہے؟")</f>
        <v>ٹکڑوں کے بارے میں ایک قابل ذکر تفصیل کیا ہے؟</v>
      </c>
      <c r="M193" s="2" t="str">
        <f>IFERROR(__xludf.DUMMYFUNCTION("GOOGLETRANSLATE(C193,""en"",""ur"")"),"وہ سب ایک جیسے ہیں۔")</f>
        <v>وہ سب ایک جیسے ہیں۔</v>
      </c>
      <c r="N193" s="2" t="str">
        <f>IFERROR(__xludf.DUMMYFUNCTION("GOOGLETRANSLATE(D193,""en"",""ur"")"),"وہ ایک تاریخی فوج کی نمائندگی کرنے والی انتہائی اسٹائلائزڈ شخصیات ہیں۔")</f>
        <v>وہ ایک تاریخی فوج کی نمائندگی کرنے والی انتہائی اسٹائلائزڈ شخصیات ہیں۔</v>
      </c>
      <c r="O193" s="2" t="str">
        <f>IFERROR(__xludf.DUMMYFUNCTION("GOOGLETRANSLATE(E193,""en"",""ur"")"),"وہ پلاسٹک سے بنے ہیں۔")</f>
        <v>وہ پلاسٹک سے بنے ہیں۔</v>
      </c>
      <c r="P193" s="2" t="str">
        <f>IFERROR(__xludf.DUMMYFUNCTION("GOOGLETRANSLATE(F193,""en"",""ur"")"),"وہ سب سفید فام ہیں۔")</f>
        <v>وہ سب سفید فام ہیں۔</v>
      </c>
      <c r="Q193" s="2" t="s">
        <v>21</v>
      </c>
      <c r="R193" s="2" t="str">
        <f>IFERROR(__xludf.DUMMYFUNCTION("GOOGLETRANSLATE(G193,""en"",""ur"")"),"وہ ایک تاریخی فوج کی نمائندگی کرنے والی انتہائی اسٹائلائزڈ شخصیات ہیں۔")</f>
        <v>وہ ایک تاریخی فوج کی نمائندگی کرنے والی انتہائی اسٹائلائزڈ شخصیات ہیں۔</v>
      </c>
      <c r="S193" s="6" t="s">
        <v>74</v>
      </c>
    </row>
    <row r="194" ht="22.5" customHeight="1">
      <c r="A194" s="4">
        <v>193.0</v>
      </c>
      <c r="B194" s="5" t="s">
        <v>22</v>
      </c>
      <c r="C194" s="5" t="s">
        <v>23</v>
      </c>
      <c r="D194" s="5" t="s">
        <v>24</v>
      </c>
      <c r="E194" s="5" t="s">
        <v>25</v>
      </c>
      <c r="F194" s="5" t="s">
        <v>26</v>
      </c>
      <c r="G194" s="5" t="s">
        <v>23</v>
      </c>
      <c r="H194" s="5" t="s">
        <v>74</v>
      </c>
      <c r="K194" s="2" t="str">
        <f>IFERROR(__xludf.DUMMYFUNCTION("GOOGLETRANSLATE(A194,""en"",""ur"")"),"193")</f>
        <v>193</v>
      </c>
      <c r="L194" s="2" t="str">
        <f>IFERROR(__xludf.DUMMYFUNCTION("GOOGLETRANSLATE(B194,""en"",""ur"")"),"بساط کا ظاہری مواد کیا ہے؟")</f>
        <v>بساط کا ظاہری مواد کیا ہے؟</v>
      </c>
      <c r="M194" s="2" t="str">
        <f>IFERROR(__xludf.DUMMYFUNCTION("GOOGLETRANSLATE(C194,""en"",""ur"")"),"کندہ شدہ نمونوں کے ساتھ لکڑی")</f>
        <v>کندہ شدہ نمونوں کے ساتھ لکڑی</v>
      </c>
      <c r="N194" s="2" t="str">
        <f>IFERROR(__xludf.DUMMYFUNCTION("GOOGLETRANSLATE(D194,""en"",""ur"")"),"پلاسٹک")</f>
        <v>پلاسٹک</v>
      </c>
      <c r="O194" s="2" t="str">
        <f>IFERROR(__xludf.DUMMYFUNCTION("GOOGLETRANSLATE(E194,""en"",""ur"")"),"شیشہ")</f>
        <v>شیشہ</v>
      </c>
      <c r="P194" s="2" t="str">
        <f>IFERROR(__xludf.DUMMYFUNCTION("GOOGLETRANSLATE(F194,""en"",""ur"")"),"گتے")</f>
        <v>گتے</v>
      </c>
      <c r="Q194" s="2" t="s">
        <v>27</v>
      </c>
      <c r="R194" s="2" t="str">
        <f>IFERROR(__xludf.DUMMYFUNCTION("GOOGLETRANSLATE(G194,""en"",""ur"")"),"کندہ شدہ نمونوں کے ساتھ لکڑی")</f>
        <v>کندہ شدہ نمونوں کے ساتھ لکڑی</v>
      </c>
      <c r="S194" s="6" t="s">
        <v>74</v>
      </c>
    </row>
    <row r="195" ht="22.5" customHeight="1">
      <c r="A195" s="4">
        <v>194.0</v>
      </c>
      <c r="B195" s="5" t="s">
        <v>28</v>
      </c>
      <c r="C195" s="5" t="s">
        <v>29</v>
      </c>
      <c r="D195" s="5" t="s">
        <v>30</v>
      </c>
      <c r="E195" s="5" t="s">
        <v>31</v>
      </c>
      <c r="F195" s="5" t="s">
        <v>32</v>
      </c>
      <c r="G195" s="5" t="s">
        <v>31</v>
      </c>
      <c r="H195" s="5" t="s">
        <v>74</v>
      </c>
      <c r="K195" s="2" t="str">
        <f>IFERROR(__xludf.DUMMYFUNCTION("GOOGLETRANSLATE(A195,""en"",""ur"")"),"194")</f>
        <v>194</v>
      </c>
      <c r="L195" s="2" t="str">
        <f>IFERROR(__xludf.DUMMYFUNCTION("GOOGLETRANSLATE(B195,""en"",""ur"")"),"تصویر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195" s="2" t="str">
        <f>IFERROR(__xludf.DUMMYFUNCTION("GOOGLETRANSLATE(C195,""en"",""ur"")"),"چیکرس")</f>
        <v>چیکرس</v>
      </c>
      <c r="N195" s="2" t="str">
        <f>IFERROR(__xludf.DUMMYFUNCTION("GOOGLETRANSLATE(D195,""en"",""ur"")"),"بیکگیمون")</f>
        <v>بیکگیمون</v>
      </c>
      <c r="O195" s="2" t="str">
        <f>IFERROR(__xludf.DUMMYFUNCTION("GOOGLETRANSLATE(E195,""en"",""ur"")"),"چتورنگا")</f>
        <v>چتورنگا</v>
      </c>
      <c r="P195" s="2" t="str">
        <f>IFERROR(__xludf.DUMMYFUNCTION("GOOGLETRANSLATE(F195,""en"",""ur"")"),"جاؤ")</f>
        <v>جاؤ</v>
      </c>
      <c r="Q195" s="2" t="s">
        <v>33</v>
      </c>
      <c r="R195" s="2" t="str">
        <f>IFERROR(__xludf.DUMMYFUNCTION("GOOGLETRANSLATE(G195,""en"",""ur"")"),"چتورنگا")</f>
        <v>چتورنگا</v>
      </c>
      <c r="S195" s="6" t="s">
        <v>74</v>
      </c>
    </row>
    <row r="196" ht="22.5" customHeight="1">
      <c r="A196" s="4">
        <v>195.0</v>
      </c>
      <c r="B196" s="5" t="s">
        <v>34</v>
      </c>
      <c r="C196" s="5" t="s">
        <v>35</v>
      </c>
      <c r="D196" s="5" t="s">
        <v>36</v>
      </c>
      <c r="E196" s="5" t="s">
        <v>37</v>
      </c>
      <c r="F196" s="5" t="s">
        <v>38</v>
      </c>
      <c r="G196" s="5" t="s">
        <v>36</v>
      </c>
      <c r="H196" s="5" t="s">
        <v>74</v>
      </c>
      <c r="K196" s="2" t="str">
        <f>IFERROR(__xludf.DUMMYFUNCTION("GOOGLETRANSLATE(A196,""en"",""ur"")"),"195")</f>
        <v>195</v>
      </c>
      <c r="L196" s="2" t="str">
        <f>IFERROR(__xludf.DUMMYFUNCTION("GOOGLETRANSLATE(B196,""en"",""ur"")"),"""پرسنلائزڈ نام"" لیبل کا بظاہر مقصد کیا ہے؟")</f>
        <v>"پرسنلائزڈ نام" لیبل کا بظاہر مقصد کیا ہے؟</v>
      </c>
      <c r="M196" s="2" t="str">
        <f>IFERROR(__xludf.DUMMYFUNCTION("GOOGLETRANSLATE(C196,""en"",""ur"")"),"یہ کھیل کے قوانین کا حصہ ہے۔")</f>
        <v>یہ کھیل کے قوانین کا حصہ ہے۔</v>
      </c>
      <c r="N196" s="2" t="str">
        <f>IFERROR(__xludf.DUMMYFUNCTION("GOOGLETRANSLATE(D196,""en"",""ur"")"),"یہ حسب ضرورت کے لیے ایک خصوصیت ہے۔")</f>
        <v>یہ حسب ضرورت کے لیے ایک خصوصیت ہے۔</v>
      </c>
      <c r="O196" s="2" t="str">
        <f>IFERROR(__xludf.DUMMYFUNCTION("GOOGLETRANSLATE(E196,""en"",""ur"")"),"یہ ایک تاریخی نشان ہے۔")</f>
        <v>یہ ایک تاریخی نشان ہے۔</v>
      </c>
      <c r="P196" s="2" t="str">
        <f>IFERROR(__xludf.DUMMYFUNCTION("GOOGLETRANSLATE(F196,""en"",""ur"")"),"یہ ایک برانڈ کا نام ہے۔")</f>
        <v>یہ ایک برانڈ کا نام ہے۔</v>
      </c>
      <c r="Q196" s="2" t="s">
        <v>39</v>
      </c>
      <c r="R196" s="2" t="str">
        <f>IFERROR(__xludf.DUMMYFUNCTION("GOOGLETRANSLATE(G196,""en"",""ur"")"),"یہ حسب ضرورت کے لیے ایک خصوصیت ہے۔")</f>
        <v>یہ حسب ضرورت کے لیے ایک خصوصیت ہے۔</v>
      </c>
      <c r="S196" s="6" t="s">
        <v>74</v>
      </c>
    </row>
    <row r="197" ht="22.5" customHeight="1">
      <c r="A197" s="4">
        <v>196.0</v>
      </c>
      <c r="B197" s="5" t="s">
        <v>40</v>
      </c>
      <c r="C197" s="5" t="s">
        <v>41</v>
      </c>
      <c r="D197" s="5" t="s">
        <v>42</v>
      </c>
      <c r="E197" s="5" t="s">
        <v>43</v>
      </c>
      <c r="F197" s="5" t="s">
        <v>44</v>
      </c>
      <c r="G197" s="5" t="s">
        <v>42</v>
      </c>
      <c r="H197" s="5" t="s">
        <v>74</v>
      </c>
      <c r="K197" s="2" t="str">
        <f>IFERROR(__xludf.DUMMYFUNCTION("GOOGLETRANSLATE(A197,""en"",""ur"")"),"196")</f>
        <v>196</v>
      </c>
      <c r="L197" s="2" t="str">
        <f>IFERROR(__xludf.DUMMYFUNCTION("GOOGLETRANSLATE(B197,""en"",""ur"")"),"بورڈ کے ڈیزائن کی سب سے نمایاں خصوصیت کیا ہے؟")</f>
        <v>بورڈ کے ڈیزائن کی سب سے نمایاں خصوصیت کیا ہے؟</v>
      </c>
      <c r="M197" s="2" t="str">
        <f>IFERROR(__xludf.DUMMYFUNCTION("GOOGLETRANSLATE(C197,""en"",""ur"")"),"یہ ایک سادہ، چیکر سطح ہے")</f>
        <v>یہ ایک سادہ، چیکر سطح ہے</v>
      </c>
      <c r="N197" s="2" t="str">
        <f>IFERROR(__xludf.DUMMYFUNCTION("GOOGLETRANSLATE(D197,""en"",""ur"")"),"اس میں پیچیدہ کندہ شدہ نمونے ہیں۔")</f>
        <v>اس میں پیچیدہ کندہ شدہ نمونے ہیں۔</v>
      </c>
      <c r="O197" s="2" t="str">
        <f>IFERROR(__xludf.DUMMYFUNCTION("GOOGLETRANSLATE(E197,""en"",""ur"")"),"یہ ایک ٹھوس رنگ ہے۔")</f>
        <v>یہ ایک ٹھوس رنگ ہے۔</v>
      </c>
      <c r="P197" s="2" t="str">
        <f>IFERROR(__xludf.DUMMYFUNCTION("GOOGLETRANSLATE(F197,""en"",""ur"")"),"یہ ایک سرکلر بورڈ ہے۔")</f>
        <v>یہ ایک سرکلر بورڈ ہے۔</v>
      </c>
      <c r="Q197" s="2" t="s">
        <v>45</v>
      </c>
      <c r="R197" s="2" t="str">
        <f>IFERROR(__xludf.DUMMYFUNCTION("GOOGLETRANSLATE(G197,""en"",""ur"")"),"اس میں پیچیدہ کندہ شدہ نمونے ہیں۔")</f>
        <v>اس میں پیچیدہ کندہ شدہ نمونے ہیں۔</v>
      </c>
      <c r="S197" s="6" t="s">
        <v>74</v>
      </c>
    </row>
    <row r="198" ht="22.5" customHeight="1">
      <c r="A198" s="4">
        <v>197.0</v>
      </c>
      <c r="B198" s="5" t="s">
        <v>46</v>
      </c>
      <c r="C198" s="5" t="s">
        <v>47</v>
      </c>
      <c r="D198" s="5" t="s">
        <v>48</v>
      </c>
      <c r="E198" s="5" t="s">
        <v>49</v>
      </c>
      <c r="F198" s="5" t="s">
        <v>50</v>
      </c>
      <c r="G198" s="5" t="s">
        <v>49</v>
      </c>
      <c r="H198" s="5" t="s">
        <v>74</v>
      </c>
      <c r="K198" s="2" t="str">
        <f>IFERROR(__xludf.DUMMYFUNCTION("GOOGLETRANSLATE(A198,""en"",""ur"")"),"197")</f>
        <v>197</v>
      </c>
      <c r="L198" s="2" t="str">
        <f>IFERROR(__xludf.DUMMYFUNCTION("GOOGLETRANSLATE(B198,""en"",""ur"")"),"کھلاڑیوں کے چہروں سے ظاہری جذبات کیا ہیں؟")</f>
        <v>کھلاڑیوں کے چہروں سے ظاہری جذبات کیا ہیں؟</v>
      </c>
      <c r="M198" s="2" t="str">
        <f>IFERROR(__xludf.DUMMYFUNCTION("GOOGLETRANSLATE(C198,""en"",""ur"")"),"پرسکون اور پر سکون")</f>
        <v>پرسکون اور پر سکون</v>
      </c>
      <c r="N198" s="2" t="str">
        <f>IFERROR(__xludf.DUMMYFUNCTION("GOOGLETRANSLATE(D198,""en"",""ur"")"),"خوف زدہ اور بے چین")</f>
        <v>خوف زدہ اور بے چین</v>
      </c>
      <c r="O198" s="2" t="str">
        <f>IFERROR(__xludf.DUMMYFUNCTION("GOOGLETRANSLATE(E198,""en"",""ur"")"),"کشیدہ اور شدید")</f>
        <v>کشیدہ اور شدید</v>
      </c>
      <c r="P198" s="2" t="str">
        <f>IFERROR(__xludf.DUMMYFUNCTION("GOOGLETRANSLATE(F198,""en"",""ur"")"),"خوش اور مسکراتے ہوئے۔")</f>
        <v>خوش اور مسکراتے ہوئے۔</v>
      </c>
      <c r="Q198" s="2" t="s">
        <v>51</v>
      </c>
      <c r="R198" s="2" t="str">
        <f>IFERROR(__xludf.DUMMYFUNCTION("GOOGLETRANSLATE(G198,""en"",""ur"")"),"کشیدہ اور شدید")</f>
        <v>کشیدہ اور شدید</v>
      </c>
      <c r="S198" s="6" t="s">
        <v>74</v>
      </c>
    </row>
    <row r="199" ht="22.5" customHeight="1">
      <c r="A199" s="4">
        <v>198.0</v>
      </c>
      <c r="B199" s="5" t="s">
        <v>52</v>
      </c>
      <c r="C199" s="5" t="s">
        <v>53</v>
      </c>
      <c r="D199" s="5" t="s">
        <v>54</v>
      </c>
      <c r="E199" s="5" t="s">
        <v>55</v>
      </c>
      <c r="F199" s="5" t="s">
        <v>56</v>
      </c>
      <c r="G199" s="5" t="s">
        <v>53</v>
      </c>
      <c r="H199" s="5" t="s">
        <v>74</v>
      </c>
      <c r="K199" s="2" t="str">
        <f>IFERROR(__xludf.DUMMYFUNCTION("GOOGLETRANSLATE(A199,""en"",""ur"")"),"198")</f>
        <v>198</v>
      </c>
      <c r="L199" s="2" t="str">
        <f>IFERROR(__xludf.DUMMYFUNCTION("GOOGLETRANSLATE(B199,""en"",""ur"")"),"ٹکڑوں کو ایک مخصوص شکل میں ترتیب دیا گیا ہے۔ یہ تشکیل کس لیے ہے؟")</f>
        <v>ٹکڑوں کو ایک مخصوص شکل میں ترتیب دیا گیا ہے۔ یہ تشکیل کس لیے ہے؟</v>
      </c>
      <c r="M199" s="2" t="str">
        <f>IFERROR(__xludf.DUMMYFUNCTION("GOOGLETRANSLATE(C199,""en"",""ur"")"),"ایک کھیل کا آغاز")</f>
        <v>ایک کھیل کا آغاز</v>
      </c>
      <c r="N199" s="2" t="str">
        <f>IFERROR(__xludf.DUMMYFUNCTION("GOOGLETRANSLATE(D199,""en"",""ur"")"),"کھیل کا وسط")</f>
        <v>کھیل کا وسط</v>
      </c>
      <c r="O199" s="2" t="str">
        <f>IFERROR(__xludf.DUMMYFUNCTION("GOOGLETRANSLATE(E199,""en"",""ur"")"),"ایک کھیل کا اختتام")</f>
        <v>ایک کھیل کا اختتام</v>
      </c>
      <c r="P199" s="2" t="str">
        <f>IFERROR(__xludf.DUMMYFUNCTION("GOOGLETRANSLATE(F199,""en"",""ur"")"),"بے ترتیب ترتیب")</f>
        <v>بے ترتیب ترتیب</v>
      </c>
      <c r="Q199" s="2" t="s">
        <v>57</v>
      </c>
      <c r="R199" s="2" t="str">
        <f>IFERROR(__xludf.DUMMYFUNCTION("GOOGLETRANSLATE(G199,""en"",""ur"")"),"ایک کھیل کا آغاز")</f>
        <v>ایک کھیل کا آغاز</v>
      </c>
      <c r="S199" s="6" t="s">
        <v>74</v>
      </c>
    </row>
    <row r="200" ht="22.5" customHeight="1">
      <c r="A200" s="4">
        <v>199.0</v>
      </c>
      <c r="B200" s="5" t="s">
        <v>16</v>
      </c>
      <c r="C200" s="5" t="s">
        <v>58</v>
      </c>
      <c r="D200" s="5" t="s">
        <v>59</v>
      </c>
      <c r="E200" s="5" t="s">
        <v>60</v>
      </c>
      <c r="F200" s="5" t="s">
        <v>61</v>
      </c>
      <c r="G200" s="5" t="s">
        <v>60</v>
      </c>
      <c r="H200" s="5" t="s">
        <v>74</v>
      </c>
      <c r="K200" s="2" t="str">
        <f>IFERROR(__xludf.DUMMYFUNCTION("GOOGLETRANSLATE(A200,""en"",""ur"")"),"199")</f>
        <v>199</v>
      </c>
      <c r="L200" s="2" t="str">
        <f>IFERROR(__xludf.DUMMYFUNCTION("GOOGLETRANSLATE(B200,""en"",""ur"")"),"ٹکڑوں کے بارے میں ایک قابل ذکر تفصیل کیا ہے؟")</f>
        <v>ٹکڑوں کے بارے میں ایک قابل ذکر تفصیل کیا ہے؟</v>
      </c>
      <c r="M200" s="2" t="str">
        <f>IFERROR(__xludf.DUMMYFUNCTION("GOOGLETRANSLATE(C200,""en"",""ur"")"),"وہ سب ایک ہی قد کے ہیں۔")</f>
        <v>وہ سب ایک ہی قد کے ہیں۔</v>
      </c>
      <c r="N200" s="2" t="str">
        <f>IFERROR(__xludf.DUMMYFUNCTION("GOOGLETRANSLATE(D200,""en"",""ur"")"),"وہ سب ایک ہی رنگ کے ہیں۔")</f>
        <v>وہ سب ایک ہی رنگ کے ہیں۔</v>
      </c>
      <c r="O200" s="2" t="str">
        <f>IFERROR(__xludf.DUMMYFUNCTION("GOOGLETRANSLATE(E200,""en"",""ur"")"),"وہ رنگوں اور ڈیزائنوں کا مرکب ہیں۔")</f>
        <v>وہ رنگوں اور ڈیزائنوں کا مرکب ہیں۔</v>
      </c>
      <c r="P200" s="2" t="str">
        <f>IFERROR(__xludf.DUMMYFUNCTION("GOOGLETRANSLATE(F200,""en"",""ur"")"),"وہ سب وسیع نمونوں کے ساتھ زین پہنے ہوئے ہیں۔")</f>
        <v>وہ سب وسیع نمونوں کے ساتھ زین پہنے ہوئے ہیں۔</v>
      </c>
      <c r="Q200" s="2" t="s">
        <v>62</v>
      </c>
      <c r="R200" s="2" t="str">
        <f>IFERROR(__xludf.DUMMYFUNCTION("GOOGLETRANSLATE(G200,""en"",""ur"")"),"وہ رنگوں اور ڈیزائنوں کا مرکب ہیں۔")</f>
        <v>وہ رنگوں اور ڈیزائنوں کا مرکب ہیں۔</v>
      </c>
      <c r="S200" s="6" t="s">
        <v>74</v>
      </c>
    </row>
    <row r="201" ht="22.5" customHeight="1">
      <c r="A201" s="4">
        <v>200.0</v>
      </c>
      <c r="B201" s="5" t="s">
        <v>63</v>
      </c>
      <c r="C201" s="5" t="s">
        <v>64</v>
      </c>
      <c r="D201" s="5" t="s">
        <v>65</v>
      </c>
      <c r="E201" s="5" t="s">
        <v>66</v>
      </c>
      <c r="F201" s="5" t="s">
        <v>67</v>
      </c>
      <c r="G201" s="5" t="s">
        <v>65</v>
      </c>
      <c r="H201" s="5" t="s">
        <v>74</v>
      </c>
      <c r="K201" s="2" t="str">
        <f>IFERROR(__xludf.DUMMYFUNCTION("GOOGLETRANSLATE(A201,""en"",""ur"")"),"200")</f>
        <v>200</v>
      </c>
      <c r="L201" s="2" t="str">
        <f>IFERROR(__xludf.DUMMYFUNCTION("GOOGLETRANSLATE(B201,""en"",""ur"")"),"چتورنگا کا تاریخی کھیل کس ملک سے تعلق کے لیے جانا جاتا ہے؟")</f>
        <v>چتورنگا کا تاریخی کھیل کس ملک سے تعلق کے لیے جانا جاتا ہے؟</v>
      </c>
      <c r="M201" s="2" t="str">
        <f>IFERROR(__xludf.DUMMYFUNCTION("GOOGLETRANSLATE(C201,""en"",""ur"")"),"چین")</f>
        <v>چین</v>
      </c>
      <c r="N201" s="2" t="str">
        <f>IFERROR(__xludf.DUMMYFUNCTION("GOOGLETRANSLATE(D201,""en"",""ur"")"),"انڈیا")</f>
        <v>انڈیا</v>
      </c>
      <c r="O201" s="2" t="str">
        <f>IFERROR(__xludf.DUMMYFUNCTION("GOOGLETRANSLATE(E201,""en"",""ur"")"),"یورپ")</f>
        <v>یورپ</v>
      </c>
      <c r="P201" s="2" t="str">
        <f>IFERROR(__xludf.DUMMYFUNCTION("GOOGLETRANSLATE(F201,""en"",""ur"")"),"مصر")</f>
        <v>مصر</v>
      </c>
      <c r="Q201" s="2" t="s">
        <v>68</v>
      </c>
      <c r="R201" s="2" t="str">
        <f>IFERROR(__xludf.DUMMYFUNCTION("GOOGLETRANSLATE(G201,""en"",""ur"")"),"انڈیا")</f>
        <v>انڈیا</v>
      </c>
      <c r="S201" s="6" t="s">
        <v>74</v>
      </c>
    </row>
    <row r="202" ht="22.5" customHeight="1">
      <c r="A202" s="4">
        <v>201.0</v>
      </c>
      <c r="B202" s="5" t="s">
        <v>210</v>
      </c>
      <c r="C202" s="5" t="s">
        <v>11</v>
      </c>
      <c r="D202" s="5" t="s">
        <v>211</v>
      </c>
      <c r="E202" s="5" t="s">
        <v>13</v>
      </c>
      <c r="F202" s="5" t="s">
        <v>14</v>
      </c>
      <c r="G202" s="5" t="s">
        <v>211</v>
      </c>
      <c r="H202" s="5" t="s">
        <v>212</v>
      </c>
      <c r="K202" s="2" t="str">
        <f>IFERROR(__xludf.DUMMYFUNCTION("GOOGLETRANSLATE(A202,""en"",""ur"")"),"201")</f>
        <v>201</v>
      </c>
      <c r="L202" s="2" t="str">
        <f>IFERROR(__xludf.DUMMYFUNCTION("GOOGLETRANSLATE(B202,""en"",""ur"")"),"چترنگا_71 میں دکھایا گیا اہم عمل کیا ہے؟")</f>
        <v>چترنگا_71 میں دکھایا گیا اہم عمل کیا ہے؟</v>
      </c>
      <c r="M202" s="2" t="str">
        <f>IFERROR(__xludf.DUMMYFUNCTION("GOOGLETRANSLATE(C202,""en"",""ur"")"),"دو کھلاڑی لڑ رہے ہیں۔")</f>
        <v>دو کھلاڑی لڑ رہے ہیں۔</v>
      </c>
      <c r="N202" s="2" t="str">
        <f>IFERROR(__xludf.DUMMYFUNCTION("GOOGLETRANSLATE(D202,""en"",""ur"")"),"شطرنج کے معیاری ٹکڑوں کے ساتھ ایک بساط")</f>
        <v>شطرنج کے معیاری ٹکڑوں کے ساتھ ایک بساط</v>
      </c>
      <c r="O202" s="2" t="str">
        <f>IFERROR(__xludf.DUMMYFUNCTION("GOOGLETRANSLATE(E202,""en"",""ur"")"),"لوگوں کا ایک گروپ جو تاش کا کھیل کھیل رہا ہے۔")</f>
        <v>لوگوں کا ایک گروپ جو تاش کا کھیل کھیل رہا ہے۔</v>
      </c>
      <c r="P202" s="2" t="str">
        <f>IFERROR(__xludf.DUMMYFUNCTION("GOOGLETRANSLATE(F202,""en"",""ur"")"),"شطرنج کے ٹکڑے تراشنے والا شخص")</f>
        <v>شطرنج کے ٹکڑے تراشنے والا شخص</v>
      </c>
      <c r="Q202" s="2" t="s">
        <v>213</v>
      </c>
      <c r="R202" s="2" t="str">
        <f>IFERROR(__xludf.DUMMYFUNCTION("GOOGLETRANSLATE(G202,""en"",""ur"")"),"شطرنج کے معیاری ٹکڑوں کے ساتھ ایک بساط")</f>
        <v>شطرنج کے معیاری ٹکڑوں کے ساتھ ایک بساط</v>
      </c>
      <c r="S202" s="6" t="s">
        <v>212</v>
      </c>
    </row>
    <row r="203" ht="22.5" customHeight="1">
      <c r="A203" s="4">
        <v>202.0</v>
      </c>
      <c r="B203" s="5" t="s">
        <v>16</v>
      </c>
      <c r="C203" s="5" t="s">
        <v>17</v>
      </c>
      <c r="D203" s="5" t="s">
        <v>169</v>
      </c>
      <c r="E203" s="5" t="s">
        <v>170</v>
      </c>
      <c r="F203" s="5" t="s">
        <v>214</v>
      </c>
      <c r="G203" s="5" t="s">
        <v>214</v>
      </c>
      <c r="H203" s="5" t="s">
        <v>212</v>
      </c>
      <c r="K203" s="2" t="str">
        <f>IFERROR(__xludf.DUMMYFUNCTION("GOOGLETRANSLATE(A203,""en"",""ur"")"),"202")</f>
        <v>202</v>
      </c>
      <c r="L203" s="2" t="str">
        <f>IFERROR(__xludf.DUMMYFUNCTION("GOOGLETRANSLATE(B203,""en"",""ur"")"),"ٹکڑوں کے بارے میں ایک قابل ذکر تفصیل کیا ہے؟")</f>
        <v>ٹکڑوں کے بارے میں ایک قابل ذکر تفصیل کیا ہے؟</v>
      </c>
      <c r="M203" s="2" t="str">
        <f>IFERROR(__xludf.DUMMYFUNCTION("GOOGLETRANSLATE(C203,""en"",""ur"")"),"وہ سب ایک جیسے ہیں۔")</f>
        <v>وہ سب ایک جیسے ہیں۔</v>
      </c>
      <c r="N203" s="2" t="str">
        <f>IFERROR(__xludf.DUMMYFUNCTION("GOOGLETRANSLATE(D203,""en"",""ur"")"),"وہ انتہائی اسٹائلائزڈ شخصیات ہیں۔")</f>
        <v>وہ انتہائی اسٹائلائزڈ شخصیات ہیں۔</v>
      </c>
      <c r="O203" s="2" t="str">
        <f>IFERROR(__xludf.DUMMYFUNCTION("GOOGLETRANSLATE(E203,""en"",""ur"")"),"وہ پلاسٹک اور شیشے سے بنے ہیں۔")</f>
        <v>وہ پلاسٹک اور شیشے سے بنے ہیں۔</v>
      </c>
      <c r="P203" s="2" t="str">
        <f>IFERROR(__xludf.DUMMYFUNCTION("GOOGLETRANSLATE(F203,""en"",""ur"")"),"وہ معیاری لکڑی کے شطرنج کے ٹکڑے ہیں۔")</f>
        <v>وہ معیاری لکڑی کے شطرنج کے ٹکڑے ہیں۔</v>
      </c>
      <c r="Q203" s="2" t="s">
        <v>215</v>
      </c>
      <c r="R203" s="2" t="str">
        <f>IFERROR(__xludf.DUMMYFUNCTION("GOOGLETRANSLATE(G203,""en"",""ur"")"),"وہ معیاری لکڑی کے شطرنج کے ٹکڑے ہیں۔")</f>
        <v>وہ معیاری لکڑی کے شطرنج کے ٹکڑے ہیں۔</v>
      </c>
      <c r="S203" s="6" t="s">
        <v>212</v>
      </c>
    </row>
    <row r="204" ht="22.5" customHeight="1">
      <c r="A204" s="4">
        <v>203.0</v>
      </c>
      <c r="B204" s="5" t="s">
        <v>22</v>
      </c>
      <c r="C204" s="5" t="s">
        <v>216</v>
      </c>
      <c r="D204" s="5" t="s">
        <v>24</v>
      </c>
      <c r="E204" s="5" t="s">
        <v>25</v>
      </c>
      <c r="F204" s="5" t="s">
        <v>26</v>
      </c>
      <c r="G204" s="5" t="s">
        <v>216</v>
      </c>
      <c r="H204" s="5" t="s">
        <v>212</v>
      </c>
      <c r="K204" s="2" t="str">
        <f>IFERROR(__xludf.DUMMYFUNCTION("GOOGLETRANSLATE(A204,""en"",""ur"")"),"203")</f>
        <v>203</v>
      </c>
      <c r="L204" s="2" t="str">
        <f>IFERROR(__xludf.DUMMYFUNCTION("GOOGLETRANSLATE(B204,""en"",""ur"")"),"بساط کا ظاہری مواد کیا ہے؟")</f>
        <v>بساط کا ظاہری مواد کیا ہے؟</v>
      </c>
      <c r="M204" s="2" t="str">
        <f>IFERROR(__xludf.DUMMYFUNCTION("GOOGLETRANSLATE(C204,""en"",""ur"")"),"ایک چیکر سطح کے ساتھ لکڑی")</f>
        <v>ایک چیکر سطح کے ساتھ لکڑی</v>
      </c>
      <c r="N204" s="2" t="str">
        <f>IFERROR(__xludf.DUMMYFUNCTION("GOOGLETRANSLATE(D204,""en"",""ur"")"),"پلاسٹک")</f>
        <v>پلاسٹک</v>
      </c>
      <c r="O204" s="2" t="str">
        <f>IFERROR(__xludf.DUMMYFUNCTION("GOOGLETRANSLATE(E204,""en"",""ur"")"),"شیشہ")</f>
        <v>شیشہ</v>
      </c>
      <c r="P204" s="2" t="str">
        <f>IFERROR(__xludf.DUMMYFUNCTION("GOOGLETRANSLATE(F204,""en"",""ur"")"),"گتے")</f>
        <v>گتے</v>
      </c>
      <c r="Q204" s="2" t="s">
        <v>217</v>
      </c>
      <c r="R204" s="2" t="str">
        <f>IFERROR(__xludf.DUMMYFUNCTION("GOOGLETRANSLATE(G204,""en"",""ur"")"),"ایک چیکر سطح کے ساتھ لکڑی")</f>
        <v>ایک چیکر سطح کے ساتھ لکڑی</v>
      </c>
      <c r="S204" s="6" t="s">
        <v>212</v>
      </c>
    </row>
    <row r="205" ht="22.5" customHeight="1">
      <c r="A205" s="4">
        <v>204.0</v>
      </c>
      <c r="B205" s="5" t="s">
        <v>218</v>
      </c>
      <c r="C205" s="5" t="s">
        <v>29</v>
      </c>
      <c r="D205" s="5" t="s">
        <v>30</v>
      </c>
      <c r="E205" s="5" t="s">
        <v>31</v>
      </c>
      <c r="F205" s="5" t="s">
        <v>32</v>
      </c>
      <c r="G205" s="5" t="s">
        <v>31</v>
      </c>
      <c r="H205" s="5" t="s">
        <v>212</v>
      </c>
      <c r="K205" s="2" t="str">
        <f>IFERROR(__xludf.DUMMYFUNCTION("GOOGLETRANSLATE(A205,""en"",""ur"")"),"204")</f>
        <v>204</v>
      </c>
      <c r="L205" s="2" t="str">
        <f>IFERROR(__xludf.DUMMYFUNCTION("GOOGLETRANSLATE(B205,""en"",""ur"")"),"تصویر ایک بساط دکھاتی ہے۔ وہ کون سا تاریخی کھیل ہے جو جدید شطرنج کا پیش خیمہ ہے؟")</f>
        <v>تصویر ایک بساط دکھاتی ہے۔ وہ کون سا تاریخی کھیل ہے جو جدید شطرنج کا پیش خیمہ ہے؟</v>
      </c>
      <c r="M205" s="2" t="str">
        <f>IFERROR(__xludf.DUMMYFUNCTION("GOOGLETRANSLATE(C205,""en"",""ur"")"),"چیکرس")</f>
        <v>چیکرس</v>
      </c>
      <c r="N205" s="2" t="str">
        <f>IFERROR(__xludf.DUMMYFUNCTION("GOOGLETRANSLATE(D205,""en"",""ur"")"),"بیکگیمون")</f>
        <v>بیکگیمون</v>
      </c>
      <c r="O205" s="2" t="str">
        <f>IFERROR(__xludf.DUMMYFUNCTION("GOOGLETRANSLATE(E205,""en"",""ur"")"),"چتورنگا")</f>
        <v>چتورنگا</v>
      </c>
      <c r="P205" s="2" t="str">
        <f>IFERROR(__xludf.DUMMYFUNCTION("GOOGLETRANSLATE(F205,""en"",""ur"")"),"جاؤ")</f>
        <v>جاؤ</v>
      </c>
      <c r="Q205" s="2" t="s">
        <v>33</v>
      </c>
      <c r="R205" s="2" t="str">
        <f>IFERROR(__xludf.DUMMYFUNCTION("GOOGLETRANSLATE(G205,""en"",""ur"")"),"چتورنگا")</f>
        <v>چتورنگا</v>
      </c>
      <c r="S205" s="6" t="s">
        <v>212</v>
      </c>
    </row>
    <row r="206" ht="22.5" customHeight="1">
      <c r="A206" s="4">
        <v>205.0</v>
      </c>
      <c r="B206" s="5" t="s">
        <v>132</v>
      </c>
      <c r="C206" s="5" t="s">
        <v>35</v>
      </c>
      <c r="D206" s="5" t="s">
        <v>36</v>
      </c>
      <c r="E206" s="5" t="s">
        <v>37</v>
      </c>
      <c r="F206" s="5" t="s">
        <v>219</v>
      </c>
      <c r="G206" s="5" t="s">
        <v>219</v>
      </c>
      <c r="H206" s="5" t="s">
        <v>212</v>
      </c>
      <c r="K206" s="2" t="str">
        <f>IFERROR(__xludf.DUMMYFUNCTION("GOOGLETRANSLATE(A206,""en"",""ur"")"),"205")</f>
        <v>205</v>
      </c>
      <c r="L206" s="2" t="str">
        <f>IFERROR(__xludf.DUMMYFUNCTION("GOOGLETRANSLATE(B206,""en"",""ur"")"),"تصویر کا ظاہری مقصد کیا ہے؟")</f>
        <v>تصویر کا ظاہری مقصد کیا ہے؟</v>
      </c>
      <c r="M206" s="2" t="str">
        <f>IFERROR(__xludf.DUMMYFUNCTION("GOOGLETRANSLATE(C206,""en"",""ur"")"),"یہ کھیل کے قوانین کا حصہ ہے۔")</f>
        <v>یہ کھیل کے قوانین کا حصہ ہے۔</v>
      </c>
      <c r="N206" s="2" t="str">
        <f>IFERROR(__xludf.DUMMYFUNCTION("GOOGLETRANSLATE(D206,""en"",""ur"")"),"یہ حسب ضرورت کے لیے ایک خصوصیت ہے۔")</f>
        <v>یہ حسب ضرورت کے لیے ایک خصوصیت ہے۔</v>
      </c>
      <c r="O206" s="2" t="str">
        <f>IFERROR(__xludf.DUMMYFUNCTION("GOOGLETRANSLATE(E206,""en"",""ur"")"),"یہ ایک تاریخی نشان ہے۔")</f>
        <v>یہ ایک تاریخی نشان ہے۔</v>
      </c>
      <c r="P206" s="2" t="str">
        <f>IFERROR(__xludf.DUMMYFUNCTION("GOOGLETRANSLATE(F206,""en"",""ur"")"),"یہ شطرنج کے کھیل کی قریبی تصویر ہے۔")</f>
        <v>یہ شطرنج کے کھیل کی قریبی تصویر ہے۔</v>
      </c>
      <c r="Q206" s="2" t="s">
        <v>220</v>
      </c>
      <c r="R206" s="2" t="str">
        <f>IFERROR(__xludf.DUMMYFUNCTION("GOOGLETRANSLATE(G206,""en"",""ur"")"),"یہ شطرنج کے کھیل کی قریبی تصویر ہے۔")</f>
        <v>یہ شطرنج کے کھیل کی قریبی تصویر ہے۔</v>
      </c>
      <c r="S206" s="6" t="s">
        <v>212</v>
      </c>
    </row>
    <row r="207" ht="22.5" customHeight="1">
      <c r="A207" s="4">
        <v>206.0</v>
      </c>
      <c r="B207" s="5" t="s">
        <v>40</v>
      </c>
      <c r="C207" s="5" t="s">
        <v>41</v>
      </c>
      <c r="D207" s="5" t="s">
        <v>42</v>
      </c>
      <c r="E207" s="5" t="s">
        <v>43</v>
      </c>
      <c r="F207" s="5" t="s">
        <v>44</v>
      </c>
      <c r="G207" s="5" t="s">
        <v>41</v>
      </c>
      <c r="H207" s="5" t="s">
        <v>212</v>
      </c>
      <c r="K207" s="2" t="str">
        <f>IFERROR(__xludf.DUMMYFUNCTION("GOOGLETRANSLATE(A207,""en"",""ur"")"),"206")</f>
        <v>206</v>
      </c>
      <c r="L207" s="2" t="str">
        <f>IFERROR(__xludf.DUMMYFUNCTION("GOOGLETRANSLATE(B207,""en"",""ur"")"),"بورڈ کے ڈیزائن کی سب سے نمایاں خصوصیت کیا ہے؟")</f>
        <v>بورڈ کے ڈیزائن کی سب سے نمایاں خصوصیت کیا ہے؟</v>
      </c>
      <c r="M207" s="2" t="str">
        <f>IFERROR(__xludf.DUMMYFUNCTION("GOOGLETRANSLATE(C207,""en"",""ur"")"),"یہ ایک سادہ، چیکر سطح ہے")</f>
        <v>یہ ایک سادہ، چیکر سطح ہے</v>
      </c>
      <c r="N207" s="2" t="str">
        <f>IFERROR(__xludf.DUMMYFUNCTION("GOOGLETRANSLATE(D207,""en"",""ur"")"),"اس میں پیچیدہ کندہ شدہ نمونے ہیں۔")</f>
        <v>اس میں پیچیدہ کندہ شدہ نمونے ہیں۔</v>
      </c>
      <c r="O207" s="2" t="str">
        <f>IFERROR(__xludf.DUMMYFUNCTION("GOOGLETRANSLATE(E207,""en"",""ur"")"),"یہ ایک ٹھوس رنگ ہے۔")</f>
        <v>یہ ایک ٹھوس رنگ ہے۔</v>
      </c>
      <c r="P207" s="2" t="str">
        <f>IFERROR(__xludf.DUMMYFUNCTION("GOOGLETRANSLATE(F207,""en"",""ur"")"),"یہ ایک سرکلر بورڈ ہے۔")</f>
        <v>یہ ایک سرکلر بورڈ ہے۔</v>
      </c>
      <c r="Q207" s="2" t="s">
        <v>45</v>
      </c>
      <c r="R207" s="2" t="str">
        <f>IFERROR(__xludf.DUMMYFUNCTION("GOOGLETRANSLATE(G207,""en"",""ur"")"),"یہ ایک سادہ، چیکر سطح ہے")</f>
        <v>یہ ایک سادہ، چیکر سطح ہے</v>
      </c>
      <c r="S207" s="6" t="s">
        <v>212</v>
      </c>
    </row>
    <row r="208" ht="22.5" customHeight="1">
      <c r="A208" s="4">
        <v>207.0</v>
      </c>
      <c r="B208" s="5" t="s">
        <v>46</v>
      </c>
      <c r="C208" s="5" t="s">
        <v>47</v>
      </c>
      <c r="D208" s="5" t="s">
        <v>48</v>
      </c>
      <c r="E208" s="5" t="s">
        <v>49</v>
      </c>
      <c r="F208" s="5" t="s">
        <v>50</v>
      </c>
      <c r="G208" s="5" t="s">
        <v>49</v>
      </c>
      <c r="H208" s="5" t="s">
        <v>212</v>
      </c>
      <c r="K208" s="2" t="str">
        <f>IFERROR(__xludf.DUMMYFUNCTION("GOOGLETRANSLATE(A208,""en"",""ur"")"),"207")</f>
        <v>207</v>
      </c>
      <c r="L208" s="2" t="str">
        <f>IFERROR(__xludf.DUMMYFUNCTION("GOOGLETRANSLATE(B208,""en"",""ur"")"),"کھلاڑیوں کے چہروں سے ظاہری جذبات کیا ہیں؟")</f>
        <v>کھلاڑیوں کے چہروں سے ظاہری جذبات کیا ہیں؟</v>
      </c>
      <c r="M208" s="2" t="str">
        <f>IFERROR(__xludf.DUMMYFUNCTION("GOOGLETRANSLATE(C208,""en"",""ur"")"),"پرسکون اور پر سکون")</f>
        <v>پرسکون اور پر سکون</v>
      </c>
      <c r="N208" s="2" t="str">
        <f>IFERROR(__xludf.DUMMYFUNCTION("GOOGLETRANSLATE(D208,""en"",""ur"")"),"خوف زدہ اور بے چین")</f>
        <v>خوف زدہ اور بے چین</v>
      </c>
      <c r="O208" s="2" t="str">
        <f>IFERROR(__xludf.DUMMYFUNCTION("GOOGLETRANSLATE(E208,""en"",""ur"")"),"کشیدہ اور شدید")</f>
        <v>کشیدہ اور شدید</v>
      </c>
      <c r="P208" s="2" t="str">
        <f>IFERROR(__xludf.DUMMYFUNCTION("GOOGLETRANSLATE(F208,""en"",""ur"")"),"خوش اور مسکراتے ہوئے۔")</f>
        <v>خوش اور مسکراتے ہوئے۔</v>
      </c>
      <c r="Q208" s="2" t="s">
        <v>51</v>
      </c>
      <c r="R208" s="2" t="str">
        <f>IFERROR(__xludf.DUMMYFUNCTION("GOOGLETRANSLATE(G208,""en"",""ur"")"),"کشیدہ اور شدید")</f>
        <v>کشیدہ اور شدید</v>
      </c>
      <c r="S208" s="6" t="s">
        <v>212</v>
      </c>
    </row>
    <row r="209" ht="22.5" customHeight="1">
      <c r="A209" s="4">
        <v>208.0</v>
      </c>
      <c r="B209" s="5" t="s">
        <v>52</v>
      </c>
      <c r="C209" s="5" t="s">
        <v>53</v>
      </c>
      <c r="D209" s="5" t="s">
        <v>54</v>
      </c>
      <c r="E209" s="5" t="s">
        <v>55</v>
      </c>
      <c r="F209" s="5" t="s">
        <v>56</v>
      </c>
      <c r="G209" s="5" t="s">
        <v>53</v>
      </c>
      <c r="H209" s="5" t="s">
        <v>212</v>
      </c>
      <c r="K209" s="2" t="str">
        <f>IFERROR(__xludf.DUMMYFUNCTION("GOOGLETRANSLATE(A209,""en"",""ur"")"),"208")</f>
        <v>208</v>
      </c>
      <c r="L209" s="2" t="str">
        <f>IFERROR(__xludf.DUMMYFUNCTION("GOOGLETRANSLATE(B209,""en"",""ur"")"),"ٹکڑوں کو ایک مخصوص شکل میں ترتیب دیا گیا ہے۔ یہ تشکیل کس لیے ہے؟")</f>
        <v>ٹکڑوں کو ایک مخصوص شکل میں ترتیب دیا گیا ہے۔ یہ تشکیل کس لیے ہے؟</v>
      </c>
      <c r="M209" s="2" t="str">
        <f>IFERROR(__xludf.DUMMYFUNCTION("GOOGLETRANSLATE(C209,""en"",""ur"")"),"ایک کھیل کا آغاز")</f>
        <v>ایک کھیل کا آغاز</v>
      </c>
      <c r="N209" s="2" t="str">
        <f>IFERROR(__xludf.DUMMYFUNCTION("GOOGLETRANSLATE(D209,""en"",""ur"")"),"کھیل کا وسط")</f>
        <v>کھیل کا وسط</v>
      </c>
      <c r="O209" s="2" t="str">
        <f>IFERROR(__xludf.DUMMYFUNCTION("GOOGLETRANSLATE(E209,""en"",""ur"")"),"ایک کھیل کا اختتام")</f>
        <v>ایک کھیل کا اختتام</v>
      </c>
      <c r="P209" s="2" t="str">
        <f>IFERROR(__xludf.DUMMYFUNCTION("GOOGLETRANSLATE(F209,""en"",""ur"")"),"بے ترتیب ترتیب")</f>
        <v>بے ترتیب ترتیب</v>
      </c>
      <c r="Q209" s="2" t="s">
        <v>57</v>
      </c>
      <c r="R209" s="2" t="str">
        <f>IFERROR(__xludf.DUMMYFUNCTION("GOOGLETRANSLATE(G209,""en"",""ur"")"),"ایک کھیل کا آغاز")</f>
        <v>ایک کھیل کا آغاز</v>
      </c>
      <c r="S209" s="6" t="s">
        <v>212</v>
      </c>
    </row>
    <row r="210" ht="22.5" customHeight="1">
      <c r="A210" s="4">
        <v>209.0</v>
      </c>
      <c r="B210" s="5" t="s">
        <v>16</v>
      </c>
      <c r="C210" s="5" t="s">
        <v>58</v>
      </c>
      <c r="D210" s="5" t="s">
        <v>59</v>
      </c>
      <c r="E210" s="5" t="s">
        <v>60</v>
      </c>
      <c r="F210" s="5" t="s">
        <v>61</v>
      </c>
      <c r="G210" s="5" t="s">
        <v>60</v>
      </c>
      <c r="H210" s="5" t="s">
        <v>212</v>
      </c>
      <c r="K210" s="2" t="str">
        <f>IFERROR(__xludf.DUMMYFUNCTION("GOOGLETRANSLATE(A210,""en"",""ur"")"),"209")</f>
        <v>209</v>
      </c>
      <c r="L210" s="2" t="str">
        <f>IFERROR(__xludf.DUMMYFUNCTION("GOOGLETRANSLATE(B210,""en"",""ur"")"),"ٹکڑوں کے بارے میں ایک قابل ذکر تفصیل کیا ہے؟")</f>
        <v>ٹکڑوں کے بارے میں ایک قابل ذکر تفصیل کیا ہے؟</v>
      </c>
      <c r="M210" s="2" t="str">
        <f>IFERROR(__xludf.DUMMYFUNCTION("GOOGLETRANSLATE(C210,""en"",""ur"")"),"وہ سب ایک ہی قد کے ہیں۔")</f>
        <v>وہ سب ایک ہی قد کے ہیں۔</v>
      </c>
      <c r="N210" s="2" t="str">
        <f>IFERROR(__xludf.DUMMYFUNCTION("GOOGLETRANSLATE(D210,""en"",""ur"")"),"وہ سب ایک ہی رنگ کے ہیں۔")</f>
        <v>وہ سب ایک ہی رنگ کے ہیں۔</v>
      </c>
      <c r="O210" s="2" t="str">
        <f>IFERROR(__xludf.DUMMYFUNCTION("GOOGLETRANSLATE(E210,""en"",""ur"")"),"وہ رنگوں اور ڈیزائنوں کا مرکب ہیں۔")</f>
        <v>وہ رنگوں اور ڈیزائنوں کا مرکب ہیں۔</v>
      </c>
      <c r="P210" s="2" t="str">
        <f>IFERROR(__xludf.DUMMYFUNCTION("GOOGLETRANSLATE(F210,""en"",""ur"")"),"وہ سب وسیع نمونوں کے ساتھ زین پہنے ہوئے ہیں۔")</f>
        <v>وہ سب وسیع نمونوں کے ساتھ زین پہنے ہوئے ہیں۔</v>
      </c>
      <c r="Q210" s="2" t="s">
        <v>62</v>
      </c>
      <c r="R210" s="2" t="str">
        <f>IFERROR(__xludf.DUMMYFUNCTION("GOOGLETRANSLATE(G210,""en"",""ur"")"),"وہ رنگوں اور ڈیزائنوں کا مرکب ہیں۔")</f>
        <v>وہ رنگوں اور ڈیزائنوں کا مرکب ہیں۔</v>
      </c>
      <c r="S210" s="6" t="s">
        <v>212</v>
      </c>
    </row>
    <row r="211" ht="22.5" customHeight="1">
      <c r="A211" s="4">
        <v>210.0</v>
      </c>
      <c r="B211" s="5" t="s">
        <v>63</v>
      </c>
      <c r="C211" s="5" t="s">
        <v>64</v>
      </c>
      <c r="D211" s="5" t="s">
        <v>65</v>
      </c>
      <c r="E211" s="5" t="s">
        <v>66</v>
      </c>
      <c r="F211" s="5" t="s">
        <v>67</v>
      </c>
      <c r="G211" s="5" t="s">
        <v>65</v>
      </c>
      <c r="H211" s="5" t="s">
        <v>212</v>
      </c>
      <c r="K211" s="2" t="str">
        <f>IFERROR(__xludf.DUMMYFUNCTION("GOOGLETRANSLATE(A211,""en"",""ur"")"),"210")</f>
        <v>210</v>
      </c>
      <c r="L211" s="2" t="str">
        <f>IFERROR(__xludf.DUMMYFUNCTION("GOOGLETRANSLATE(B211,""en"",""ur"")"),"چتورنگا کا تاریخی کھیل کس ملک سے تعلق کے لیے جانا جاتا ہے؟")</f>
        <v>چتورنگا کا تاریخی کھیل کس ملک سے تعلق کے لیے جانا جاتا ہے؟</v>
      </c>
      <c r="M211" s="2" t="str">
        <f>IFERROR(__xludf.DUMMYFUNCTION("GOOGLETRANSLATE(C211,""en"",""ur"")"),"چین")</f>
        <v>چین</v>
      </c>
      <c r="N211" s="2" t="str">
        <f>IFERROR(__xludf.DUMMYFUNCTION("GOOGLETRANSLATE(D211,""en"",""ur"")"),"انڈیا")</f>
        <v>انڈیا</v>
      </c>
      <c r="O211" s="2" t="str">
        <f>IFERROR(__xludf.DUMMYFUNCTION("GOOGLETRANSLATE(E211,""en"",""ur"")"),"یورپ")</f>
        <v>یورپ</v>
      </c>
      <c r="P211" s="2" t="str">
        <f>IFERROR(__xludf.DUMMYFUNCTION("GOOGLETRANSLATE(F211,""en"",""ur"")"),"مصر")</f>
        <v>مصر</v>
      </c>
      <c r="Q211" s="2" t="s">
        <v>68</v>
      </c>
      <c r="R211" s="2" t="str">
        <f>IFERROR(__xludf.DUMMYFUNCTION("GOOGLETRANSLATE(G211,""en"",""ur"")"),"انڈیا")</f>
        <v>انڈیا</v>
      </c>
      <c r="S211" s="6" t="s">
        <v>212</v>
      </c>
    </row>
    <row r="212" ht="22.5" customHeight="1">
      <c r="A212" s="4">
        <v>211.0</v>
      </c>
      <c r="B212" s="5" t="s">
        <v>221</v>
      </c>
      <c r="C212" s="5" t="s">
        <v>12</v>
      </c>
      <c r="D212" s="5" t="s">
        <v>71</v>
      </c>
      <c r="E212" s="5" t="s">
        <v>72</v>
      </c>
      <c r="F212" s="5" t="s">
        <v>73</v>
      </c>
      <c r="G212" s="5" t="s">
        <v>12</v>
      </c>
      <c r="H212" s="5" t="s">
        <v>222</v>
      </c>
      <c r="K212" s="2" t="str">
        <f>IFERROR(__xludf.DUMMYFUNCTION("GOOGLETRANSLATE(A212,""en"",""ur"")"),"211")</f>
        <v>211</v>
      </c>
      <c r="L212" s="2" t="str">
        <f>IFERROR(__xludf.DUMMYFUNCTION("GOOGLETRANSLATE(B212,""en"",""ur"")"),"چترنگا_79 میں دکھایا گیا اہم عمل کیا ہے؟")</f>
        <v>چترنگا_79 میں دکھایا گیا اہم عمل کیا ہے؟</v>
      </c>
      <c r="M212" s="2" t="str">
        <f>IFERROR(__xludf.DUMMYFUNCTION("GOOGLETRANSLATE(C212,""en"",""ur"")"),"انتہائی آرائشی ٹکڑوں کے ساتھ ایک بساط")</f>
        <v>انتہائی آرائشی ٹکڑوں کے ساتھ ایک بساط</v>
      </c>
      <c r="N212" s="2" t="str">
        <f>IFERROR(__xludf.DUMMYFUNCTION("GOOGLETRANSLATE(D212,""en"",""ur"")"),"سواروں کا ایک گروپ جو مرکزی چیز کے لیے مقابلہ کر رہا ہے۔")</f>
        <v>سواروں کا ایک گروپ جو مرکزی چیز کے لیے مقابلہ کر رہا ہے۔</v>
      </c>
      <c r="O212" s="2" t="str">
        <f>IFERROR(__xludf.DUMMYFUNCTION("GOOGLETRANSLATE(E212,""en"",""ur"")"),"گھوڑوں کی پریڈ")</f>
        <v>گھوڑوں کی پریڈ</v>
      </c>
      <c r="P212" s="2" t="str">
        <f>IFERROR(__xludf.DUMMYFUNCTION("GOOGLETRANSLATE(F212,""en"",""ur"")"),"گھوڑوں کی دوڑ")</f>
        <v>گھوڑوں کی دوڑ</v>
      </c>
      <c r="Q212" s="2" t="s">
        <v>182</v>
      </c>
      <c r="R212" s="2" t="str">
        <f>IFERROR(__xludf.DUMMYFUNCTION("GOOGLETRANSLATE(G212,""en"",""ur"")"),"انتہائی آرائشی ٹکڑوں کے ساتھ ایک بساط")</f>
        <v>انتہائی آرائشی ٹکڑوں کے ساتھ ایک بساط</v>
      </c>
      <c r="S212" s="6" t="s">
        <v>222</v>
      </c>
    </row>
    <row r="213" ht="22.5" customHeight="1">
      <c r="A213" s="4">
        <v>212.0</v>
      </c>
      <c r="B213" s="5" t="s">
        <v>16</v>
      </c>
      <c r="C213" s="5" t="s">
        <v>17</v>
      </c>
      <c r="D213" s="5" t="s">
        <v>18</v>
      </c>
      <c r="E213" s="5" t="s">
        <v>19</v>
      </c>
      <c r="F213" s="5" t="s">
        <v>20</v>
      </c>
      <c r="G213" s="5" t="s">
        <v>18</v>
      </c>
      <c r="H213" s="5" t="s">
        <v>222</v>
      </c>
      <c r="K213" s="2" t="str">
        <f>IFERROR(__xludf.DUMMYFUNCTION("GOOGLETRANSLATE(A213,""en"",""ur"")"),"212")</f>
        <v>212</v>
      </c>
      <c r="L213" s="2" t="str">
        <f>IFERROR(__xludf.DUMMYFUNCTION("GOOGLETRANSLATE(B213,""en"",""ur"")"),"ٹکڑوں کے بارے میں ایک قابل ذکر تفصیل کیا ہے؟")</f>
        <v>ٹکڑوں کے بارے میں ایک قابل ذکر تفصیل کیا ہے؟</v>
      </c>
      <c r="M213" s="2" t="str">
        <f>IFERROR(__xludf.DUMMYFUNCTION("GOOGLETRANSLATE(C213,""en"",""ur"")"),"وہ سب ایک جیسے ہیں۔")</f>
        <v>وہ سب ایک جیسے ہیں۔</v>
      </c>
      <c r="N213" s="2" t="str">
        <f>IFERROR(__xludf.DUMMYFUNCTION("GOOGLETRANSLATE(D213,""en"",""ur"")"),"وہ ایک تاریخی فوج کی نمائندگی کرنے والی انتہائی اسٹائلائزڈ شخصیات ہیں۔")</f>
        <v>وہ ایک تاریخی فوج کی نمائندگی کرنے والی انتہائی اسٹائلائزڈ شخصیات ہیں۔</v>
      </c>
      <c r="O213" s="2" t="str">
        <f>IFERROR(__xludf.DUMMYFUNCTION("GOOGLETRANSLATE(E213,""en"",""ur"")"),"وہ پلاسٹک سے بنے ہیں۔")</f>
        <v>وہ پلاسٹک سے بنے ہیں۔</v>
      </c>
      <c r="P213" s="2" t="str">
        <f>IFERROR(__xludf.DUMMYFUNCTION("GOOGLETRANSLATE(F213,""en"",""ur"")"),"وہ سب سفید فام ہیں۔")</f>
        <v>وہ سب سفید فام ہیں۔</v>
      </c>
      <c r="Q213" s="2" t="s">
        <v>21</v>
      </c>
      <c r="R213" s="2" t="str">
        <f>IFERROR(__xludf.DUMMYFUNCTION("GOOGLETRANSLATE(G213,""en"",""ur"")"),"وہ ایک تاریخی فوج کی نمائندگی کرنے والی انتہائی اسٹائلائزڈ شخصیات ہیں۔")</f>
        <v>وہ ایک تاریخی فوج کی نمائندگی کرنے والی انتہائی اسٹائلائزڈ شخصیات ہیں۔</v>
      </c>
      <c r="S213" s="6" t="s">
        <v>222</v>
      </c>
    </row>
    <row r="214" ht="22.5" customHeight="1">
      <c r="A214" s="4">
        <v>213.0</v>
      </c>
      <c r="B214" s="5" t="s">
        <v>22</v>
      </c>
      <c r="C214" s="5" t="s">
        <v>23</v>
      </c>
      <c r="D214" s="5" t="s">
        <v>24</v>
      </c>
      <c r="E214" s="5" t="s">
        <v>25</v>
      </c>
      <c r="F214" s="5" t="s">
        <v>26</v>
      </c>
      <c r="G214" s="5" t="s">
        <v>23</v>
      </c>
      <c r="H214" s="5" t="s">
        <v>222</v>
      </c>
      <c r="K214" s="2" t="str">
        <f>IFERROR(__xludf.DUMMYFUNCTION("GOOGLETRANSLATE(A214,""en"",""ur"")"),"213")</f>
        <v>213</v>
      </c>
      <c r="L214" s="2" t="str">
        <f>IFERROR(__xludf.DUMMYFUNCTION("GOOGLETRANSLATE(B214,""en"",""ur"")"),"بساط کا ظاہری مواد کیا ہے؟")</f>
        <v>بساط کا ظاہری مواد کیا ہے؟</v>
      </c>
      <c r="M214" s="2" t="str">
        <f>IFERROR(__xludf.DUMMYFUNCTION("GOOGLETRANSLATE(C214,""en"",""ur"")"),"کندہ شدہ نمونوں کے ساتھ لکڑی")</f>
        <v>کندہ شدہ نمونوں کے ساتھ لکڑی</v>
      </c>
      <c r="N214" s="2" t="str">
        <f>IFERROR(__xludf.DUMMYFUNCTION("GOOGLETRANSLATE(D214,""en"",""ur"")"),"پلاسٹک")</f>
        <v>پلاسٹک</v>
      </c>
      <c r="O214" s="2" t="str">
        <f>IFERROR(__xludf.DUMMYFUNCTION("GOOGLETRANSLATE(E214,""en"",""ur"")"),"شیشہ")</f>
        <v>شیشہ</v>
      </c>
      <c r="P214" s="2" t="str">
        <f>IFERROR(__xludf.DUMMYFUNCTION("GOOGLETRANSLATE(F214,""en"",""ur"")"),"گتے")</f>
        <v>گتے</v>
      </c>
      <c r="Q214" s="2" t="s">
        <v>27</v>
      </c>
      <c r="R214" s="2" t="str">
        <f>IFERROR(__xludf.DUMMYFUNCTION("GOOGLETRANSLATE(G214,""en"",""ur"")"),"کندہ شدہ نمونوں کے ساتھ لکڑی")</f>
        <v>کندہ شدہ نمونوں کے ساتھ لکڑی</v>
      </c>
      <c r="S214" s="6" t="s">
        <v>222</v>
      </c>
    </row>
    <row r="215" ht="22.5" customHeight="1">
      <c r="A215" s="4">
        <v>214.0</v>
      </c>
      <c r="B215" s="5" t="s">
        <v>28</v>
      </c>
      <c r="C215" s="5" t="s">
        <v>29</v>
      </c>
      <c r="D215" s="5" t="s">
        <v>30</v>
      </c>
      <c r="E215" s="5" t="s">
        <v>31</v>
      </c>
      <c r="F215" s="5" t="s">
        <v>32</v>
      </c>
      <c r="G215" s="5" t="s">
        <v>31</v>
      </c>
      <c r="H215" s="5" t="s">
        <v>222</v>
      </c>
      <c r="K215" s="2" t="str">
        <f>IFERROR(__xludf.DUMMYFUNCTION("GOOGLETRANSLATE(A215,""en"",""ur"")"),"214")</f>
        <v>214</v>
      </c>
      <c r="L215" s="2" t="str">
        <f>IFERROR(__xludf.DUMMYFUNCTION("GOOGLETRANSLATE(B215,""en"",""ur"")"),"تصویر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215" s="2" t="str">
        <f>IFERROR(__xludf.DUMMYFUNCTION("GOOGLETRANSLATE(C215,""en"",""ur"")"),"چیکرس")</f>
        <v>چیکرس</v>
      </c>
      <c r="N215" s="2" t="str">
        <f>IFERROR(__xludf.DUMMYFUNCTION("GOOGLETRANSLATE(D215,""en"",""ur"")"),"بیکگیمون")</f>
        <v>بیکگیمون</v>
      </c>
      <c r="O215" s="2" t="str">
        <f>IFERROR(__xludf.DUMMYFUNCTION("GOOGLETRANSLATE(E215,""en"",""ur"")"),"چتورنگا")</f>
        <v>چتورنگا</v>
      </c>
      <c r="P215" s="2" t="str">
        <f>IFERROR(__xludf.DUMMYFUNCTION("GOOGLETRANSLATE(F215,""en"",""ur"")"),"جاؤ")</f>
        <v>جاؤ</v>
      </c>
      <c r="Q215" s="2" t="s">
        <v>33</v>
      </c>
      <c r="R215" s="2" t="str">
        <f>IFERROR(__xludf.DUMMYFUNCTION("GOOGLETRANSLATE(G215,""en"",""ur"")"),"چتورنگا")</f>
        <v>چتورنگا</v>
      </c>
      <c r="S215" s="6" t="s">
        <v>222</v>
      </c>
    </row>
    <row r="216" ht="22.5" customHeight="1">
      <c r="A216" s="4">
        <v>215.0</v>
      </c>
      <c r="B216" s="5" t="s">
        <v>34</v>
      </c>
      <c r="C216" s="5" t="s">
        <v>35</v>
      </c>
      <c r="D216" s="5" t="s">
        <v>36</v>
      </c>
      <c r="E216" s="5" t="s">
        <v>37</v>
      </c>
      <c r="F216" s="5" t="s">
        <v>38</v>
      </c>
      <c r="G216" s="5" t="s">
        <v>36</v>
      </c>
      <c r="H216" s="5" t="s">
        <v>222</v>
      </c>
      <c r="K216" s="2" t="str">
        <f>IFERROR(__xludf.DUMMYFUNCTION("GOOGLETRANSLATE(A216,""en"",""ur"")"),"215")</f>
        <v>215</v>
      </c>
      <c r="L216" s="2" t="str">
        <f>IFERROR(__xludf.DUMMYFUNCTION("GOOGLETRANSLATE(B216,""en"",""ur"")"),"""پرسنلائزڈ نام"" لیبل کا بظاہر مقصد کیا ہے؟")</f>
        <v>"پرسنلائزڈ نام" لیبل کا بظاہر مقصد کیا ہے؟</v>
      </c>
      <c r="M216" s="2" t="str">
        <f>IFERROR(__xludf.DUMMYFUNCTION("GOOGLETRANSLATE(C216,""en"",""ur"")"),"یہ کھیل کے قوانین کا حصہ ہے۔")</f>
        <v>یہ کھیل کے قوانین کا حصہ ہے۔</v>
      </c>
      <c r="N216" s="2" t="str">
        <f>IFERROR(__xludf.DUMMYFUNCTION("GOOGLETRANSLATE(D216,""en"",""ur"")"),"یہ حسب ضرورت کے لیے ایک خصوصیت ہے۔")</f>
        <v>یہ حسب ضرورت کے لیے ایک خصوصیت ہے۔</v>
      </c>
      <c r="O216" s="2" t="str">
        <f>IFERROR(__xludf.DUMMYFUNCTION("GOOGLETRANSLATE(E216,""en"",""ur"")"),"یہ ایک تاریخی نشان ہے۔")</f>
        <v>یہ ایک تاریخی نشان ہے۔</v>
      </c>
      <c r="P216" s="2" t="str">
        <f>IFERROR(__xludf.DUMMYFUNCTION("GOOGLETRANSLATE(F216,""en"",""ur"")"),"یہ ایک برانڈ کا نام ہے۔")</f>
        <v>یہ ایک برانڈ کا نام ہے۔</v>
      </c>
      <c r="Q216" s="2" t="s">
        <v>39</v>
      </c>
      <c r="R216" s="2" t="str">
        <f>IFERROR(__xludf.DUMMYFUNCTION("GOOGLETRANSLATE(G216,""en"",""ur"")"),"یہ حسب ضرورت کے لیے ایک خصوصیت ہے۔")</f>
        <v>یہ حسب ضرورت کے لیے ایک خصوصیت ہے۔</v>
      </c>
      <c r="S216" s="6" t="s">
        <v>222</v>
      </c>
    </row>
    <row r="217" ht="22.5" customHeight="1">
      <c r="A217" s="4">
        <v>216.0</v>
      </c>
      <c r="B217" s="5" t="s">
        <v>40</v>
      </c>
      <c r="C217" s="5" t="s">
        <v>41</v>
      </c>
      <c r="D217" s="5" t="s">
        <v>42</v>
      </c>
      <c r="E217" s="5" t="s">
        <v>43</v>
      </c>
      <c r="F217" s="5" t="s">
        <v>44</v>
      </c>
      <c r="G217" s="5" t="s">
        <v>42</v>
      </c>
      <c r="H217" s="5" t="s">
        <v>222</v>
      </c>
      <c r="K217" s="2" t="str">
        <f>IFERROR(__xludf.DUMMYFUNCTION("GOOGLETRANSLATE(A217,""en"",""ur"")"),"216")</f>
        <v>216</v>
      </c>
      <c r="L217" s="2" t="str">
        <f>IFERROR(__xludf.DUMMYFUNCTION("GOOGLETRANSLATE(B217,""en"",""ur"")"),"بورڈ کے ڈیزائن کی سب سے نمایاں خصوصیت کیا ہے؟")</f>
        <v>بورڈ کے ڈیزائن کی سب سے نمایاں خصوصیت کیا ہے؟</v>
      </c>
      <c r="M217" s="2" t="str">
        <f>IFERROR(__xludf.DUMMYFUNCTION("GOOGLETRANSLATE(C217,""en"",""ur"")"),"یہ ایک سادہ، چیکر سطح ہے")</f>
        <v>یہ ایک سادہ، چیکر سطح ہے</v>
      </c>
      <c r="N217" s="2" t="str">
        <f>IFERROR(__xludf.DUMMYFUNCTION("GOOGLETRANSLATE(D217,""en"",""ur"")"),"اس میں پیچیدہ کندہ شدہ نمونے ہیں۔")</f>
        <v>اس میں پیچیدہ کندہ شدہ نمونے ہیں۔</v>
      </c>
      <c r="O217" s="2" t="str">
        <f>IFERROR(__xludf.DUMMYFUNCTION("GOOGLETRANSLATE(E217,""en"",""ur"")"),"یہ ایک ٹھوس رنگ ہے۔")</f>
        <v>یہ ایک ٹھوس رنگ ہے۔</v>
      </c>
      <c r="P217" s="2" t="str">
        <f>IFERROR(__xludf.DUMMYFUNCTION("GOOGLETRANSLATE(F217,""en"",""ur"")"),"یہ ایک سرکلر بورڈ ہے۔")</f>
        <v>یہ ایک سرکلر بورڈ ہے۔</v>
      </c>
      <c r="Q217" s="2" t="s">
        <v>45</v>
      </c>
      <c r="R217" s="2" t="str">
        <f>IFERROR(__xludf.DUMMYFUNCTION("GOOGLETRANSLATE(G217,""en"",""ur"")"),"اس میں پیچیدہ کندہ شدہ نمونے ہیں۔")</f>
        <v>اس میں پیچیدہ کندہ شدہ نمونے ہیں۔</v>
      </c>
      <c r="S217" s="6" t="s">
        <v>222</v>
      </c>
    </row>
    <row r="218" ht="22.5" customHeight="1">
      <c r="A218" s="4">
        <v>217.0</v>
      </c>
      <c r="B218" s="5" t="s">
        <v>46</v>
      </c>
      <c r="C218" s="5" t="s">
        <v>47</v>
      </c>
      <c r="D218" s="5" t="s">
        <v>48</v>
      </c>
      <c r="E218" s="5" t="s">
        <v>49</v>
      </c>
      <c r="F218" s="5" t="s">
        <v>50</v>
      </c>
      <c r="G218" s="5" t="s">
        <v>49</v>
      </c>
      <c r="H218" s="5" t="s">
        <v>222</v>
      </c>
      <c r="K218" s="2" t="str">
        <f>IFERROR(__xludf.DUMMYFUNCTION("GOOGLETRANSLATE(A218,""en"",""ur"")"),"217")</f>
        <v>217</v>
      </c>
      <c r="L218" s="2" t="str">
        <f>IFERROR(__xludf.DUMMYFUNCTION("GOOGLETRANSLATE(B218,""en"",""ur"")"),"کھلاڑیوں کے چہروں سے ظاہری جذبات کیا ہیں؟")</f>
        <v>کھلاڑیوں کے چہروں سے ظاہری جذبات کیا ہیں؟</v>
      </c>
      <c r="M218" s="2" t="str">
        <f>IFERROR(__xludf.DUMMYFUNCTION("GOOGLETRANSLATE(C218,""en"",""ur"")"),"پرسکون اور پر سکون")</f>
        <v>پرسکون اور پر سکون</v>
      </c>
      <c r="N218" s="2" t="str">
        <f>IFERROR(__xludf.DUMMYFUNCTION("GOOGLETRANSLATE(D218,""en"",""ur"")"),"خوف زدہ اور بے چین")</f>
        <v>خوف زدہ اور بے چین</v>
      </c>
      <c r="O218" s="2" t="str">
        <f>IFERROR(__xludf.DUMMYFUNCTION("GOOGLETRANSLATE(E218,""en"",""ur"")"),"کشیدہ اور شدید")</f>
        <v>کشیدہ اور شدید</v>
      </c>
      <c r="P218" s="2" t="str">
        <f>IFERROR(__xludf.DUMMYFUNCTION("GOOGLETRANSLATE(F218,""en"",""ur"")"),"خوش اور مسکراتے ہوئے۔")</f>
        <v>خوش اور مسکراتے ہوئے۔</v>
      </c>
      <c r="Q218" s="2" t="s">
        <v>51</v>
      </c>
      <c r="R218" s="2" t="str">
        <f>IFERROR(__xludf.DUMMYFUNCTION("GOOGLETRANSLATE(G218,""en"",""ur"")"),"کشیدہ اور شدید")</f>
        <v>کشیدہ اور شدید</v>
      </c>
      <c r="S218" s="6" t="s">
        <v>222</v>
      </c>
    </row>
    <row r="219" ht="22.5" customHeight="1">
      <c r="A219" s="4">
        <v>218.0</v>
      </c>
      <c r="B219" s="5" t="s">
        <v>52</v>
      </c>
      <c r="C219" s="5" t="s">
        <v>53</v>
      </c>
      <c r="D219" s="5" t="s">
        <v>54</v>
      </c>
      <c r="E219" s="5" t="s">
        <v>55</v>
      </c>
      <c r="F219" s="5" t="s">
        <v>56</v>
      </c>
      <c r="G219" s="5" t="s">
        <v>53</v>
      </c>
      <c r="H219" s="5" t="s">
        <v>222</v>
      </c>
      <c r="K219" s="2" t="str">
        <f>IFERROR(__xludf.DUMMYFUNCTION("GOOGLETRANSLATE(A219,""en"",""ur"")"),"218")</f>
        <v>218</v>
      </c>
      <c r="L219" s="2" t="str">
        <f>IFERROR(__xludf.DUMMYFUNCTION("GOOGLETRANSLATE(B219,""en"",""ur"")"),"ٹکڑوں کو ایک مخصوص شکل میں ترتیب دیا گیا ہے۔ یہ تشکیل کس لیے ہے؟")</f>
        <v>ٹکڑوں کو ایک مخصوص شکل میں ترتیب دیا گیا ہے۔ یہ تشکیل کس لیے ہے؟</v>
      </c>
      <c r="M219" s="2" t="str">
        <f>IFERROR(__xludf.DUMMYFUNCTION("GOOGLETRANSLATE(C219,""en"",""ur"")"),"ایک کھیل کا آغاز")</f>
        <v>ایک کھیل کا آغاز</v>
      </c>
      <c r="N219" s="2" t="str">
        <f>IFERROR(__xludf.DUMMYFUNCTION("GOOGLETRANSLATE(D219,""en"",""ur"")"),"کھیل کا وسط")</f>
        <v>کھیل کا وسط</v>
      </c>
      <c r="O219" s="2" t="str">
        <f>IFERROR(__xludf.DUMMYFUNCTION("GOOGLETRANSLATE(E219,""en"",""ur"")"),"ایک کھیل کا اختتام")</f>
        <v>ایک کھیل کا اختتام</v>
      </c>
      <c r="P219" s="2" t="str">
        <f>IFERROR(__xludf.DUMMYFUNCTION("GOOGLETRANSLATE(F219,""en"",""ur"")"),"بے ترتیب ترتیب")</f>
        <v>بے ترتیب ترتیب</v>
      </c>
      <c r="Q219" s="2" t="s">
        <v>57</v>
      </c>
      <c r="R219" s="2" t="str">
        <f>IFERROR(__xludf.DUMMYFUNCTION("GOOGLETRANSLATE(G219,""en"",""ur"")"),"ایک کھیل کا آغاز")</f>
        <v>ایک کھیل کا آغاز</v>
      </c>
      <c r="S219" s="6" t="s">
        <v>222</v>
      </c>
    </row>
    <row r="220" ht="22.5" customHeight="1">
      <c r="A220" s="4">
        <v>219.0</v>
      </c>
      <c r="B220" s="5" t="s">
        <v>16</v>
      </c>
      <c r="C220" s="5" t="s">
        <v>58</v>
      </c>
      <c r="D220" s="5" t="s">
        <v>59</v>
      </c>
      <c r="E220" s="5" t="s">
        <v>60</v>
      </c>
      <c r="F220" s="5" t="s">
        <v>61</v>
      </c>
      <c r="G220" s="5" t="s">
        <v>60</v>
      </c>
      <c r="H220" s="5" t="s">
        <v>222</v>
      </c>
      <c r="K220" s="2" t="str">
        <f>IFERROR(__xludf.DUMMYFUNCTION("GOOGLETRANSLATE(A220,""en"",""ur"")"),"219")</f>
        <v>219</v>
      </c>
      <c r="L220" s="2" t="str">
        <f>IFERROR(__xludf.DUMMYFUNCTION("GOOGLETRANSLATE(B220,""en"",""ur"")"),"ٹکڑوں کے بارے میں ایک قابل ذکر تفصیل کیا ہے؟")</f>
        <v>ٹکڑوں کے بارے میں ایک قابل ذکر تفصیل کیا ہے؟</v>
      </c>
      <c r="M220" s="2" t="str">
        <f>IFERROR(__xludf.DUMMYFUNCTION("GOOGLETRANSLATE(C220,""en"",""ur"")"),"وہ سب ایک ہی قد کے ہیں۔")</f>
        <v>وہ سب ایک ہی قد کے ہیں۔</v>
      </c>
      <c r="N220" s="2" t="str">
        <f>IFERROR(__xludf.DUMMYFUNCTION("GOOGLETRANSLATE(D220,""en"",""ur"")"),"وہ سب ایک ہی رنگ کے ہیں۔")</f>
        <v>وہ سب ایک ہی رنگ کے ہیں۔</v>
      </c>
      <c r="O220" s="2" t="str">
        <f>IFERROR(__xludf.DUMMYFUNCTION("GOOGLETRANSLATE(E220,""en"",""ur"")"),"وہ رنگوں اور ڈیزائنوں کا مرکب ہیں۔")</f>
        <v>وہ رنگوں اور ڈیزائنوں کا مرکب ہیں۔</v>
      </c>
      <c r="P220" s="2" t="str">
        <f>IFERROR(__xludf.DUMMYFUNCTION("GOOGLETRANSLATE(F220,""en"",""ur"")"),"وہ سب وسیع نمونوں کے ساتھ زین پہنے ہوئے ہیں۔")</f>
        <v>وہ سب وسیع نمونوں کے ساتھ زین پہنے ہوئے ہیں۔</v>
      </c>
      <c r="Q220" s="2" t="s">
        <v>62</v>
      </c>
      <c r="R220" s="2" t="str">
        <f>IFERROR(__xludf.DUMMYFUNCTION("GOOGLETRANSLATE(G220,""en"",""ur"")"),"وہ رنگوں اور ڈیزائنوں کا مرکب ہیں۔")</f>
        <v>وہ رنگوں اور ڈیزائنوں کا مرکب ہیں۔</v>
      </c>
      <c r="S220" s="6" t="s">
        <v>222</v>
      </c>
    </row>
    <row r="221" ht="22.5" customHeight="1">
      <c r="A221" s="4">
        <v>220.0</v>
      </c>
      <c r="B221" s="5" t="s">
        <v>63</v>
      </c>
      <c r="C221" s="5" t="s">
        <v>64</v>
      </c>
      <c r="D221" s="5" t="s">
        <v>65</v>
      </c>
      <c r="E221" s="5" t="s">
        <v>66</v>
      </c>
      <c r="F221" s="5" t="s">
        <v>67</v>
      </c>
      <c r="G221" s="5" t="s">
        <v>65</v>
      </c>
      <c r="H221" s="5" t="s">
        <v>222</v>
      </c>
      <c r="K221" s="2" t="str">
        <f>IFERROR(__xludf.DUMMYFUNCTION("GOOGLETRANSLATE(A221,""en"",""ur"")"),"220")</f>
        <v>220</v>
      </c>
      <c r="L221" s="2" t="str">
        <f>IFERROR(__xludf.DUMMYFUNCTION("GOOGLETRANSLATE(B221,""en"",""ur"")"),"چتورنگا کا تاریخی کھیل کس ملک سے تعلق کے لیے جانا جاتا ہے؟")</f>
        <v>چتورنگا کا تاریخی کھیل کس ملک سے تعلق کے لیے جانا جاتا ہے؟</v>
      </c>
      <c r="M221" s="2" t="str">
        <f>IFERROR(__xludf.DUMMYFUNCTION("GOOGLETRANSLATE(C221,""en"",""ur"")"),"چین")</f>
        <v>چین</v>
      </c>
      <c r="N221" s="2" t="str">
        <f>IFERROR(__xludf.DUMMYFUNCTION("GOOGLETRANSLATE(D221,""en"",""ur"")"),"انڈیا")</f>
        <v>انڈیا</v>
      </c>
      <c r="O221" s="2" t="str">
        <f>IFERROR(__xludf.DUMMYFUNCTION("GOOGLETRANSLATE(E221,""en"",""ur"")"),"یورپ")</f>
        <v>یورپ</v>
      </c>
      <c r="P221" s="2" t="str">
        <f>IFERROR(__xludf.DUMMYFUNCTION("GOOGLETRANSLATE(F221,""en"",""ur"")"),"مصر")</f>
        <v>مصر</v>
      </c>
      <c r="Q221" s="2" t="s">
        <v>68</v>
      </c>
      <c r="R221" s="2" t="str">
        <f>IFERROR(__xludf.DUMMYFUNCTION("GOOGLETRANSLATE(G221,""en"",""ur"")"),"انڈیا")</f>
        <v>انڈیا</v>
      </c>
      <c r="S221" s="6" t="s">
        <v>222</v>
      </c>
    </row>
    <row r="222" ht="22.5" customHeight="1">
      <c r="A222" s="4">
        <v>221.0</v>
      </c>
      <c r="B222" s="5" t="s">
        <v>223</v>
      </c>
      <c r="C222" s="5" t="s">
        <v>118</v>
      </c>
      <c r="D222" s="5" t="s">
        <v>224</v>
      </c>
      <c r="E222" s="5" t="s">
        <v>13</v>
      </c>
      <c r="F222" s="5" t="s">
        <v>14</v>
      </c>
      <c r="G222" s="5" t="s">
        <v>224</v>
      </c>
      <c r="H222" s="5" t="s">
        <v>225</v>
      </c>
      <c r="K222" s="2" t="str">
        <f>IFERROR(__xludf.DUMMYFUNCTION("GOOGLETRANSLATE(A222,""en"",""ur"")"),"221")</f>
        <v>221</v>
      </c>
      <c r="L222" s="2" t="str">
        <f>IFERROR(__xludf.DUMMYFUNCTION("GOOGLETRANSLATE(B222,""en"",""ur"")"),"چترنگا_76 میں دکھایا گیا اہم عمل کیا ہے؟")</f>
        <v>چترنگا_76 میں دکھایا گیا اہم عمل کیا ہے؟</v>
      </c>
      <c r="M222" s="2" t="str">
        <f>IFERROR(__xludf.DUMMYFUNCTION("GOOGLETRANSLATE(C222,""en"",""ur"")"),"بساط پر شطرنج کا ایک ٹکڑا")</f>
        <v>بساط پر شطرنج کا ایک ٹکڑا</v>
      </c>
      <c r="N222" s="2" t="str">
        <f>IFERROR(__xludf.DUMMYFUNCTION("GOOGLETRANSLATE(D222,""en"",""ur"")"),"ایک سفید پس منظر پر شطرنج کے ٹکڑوں کا ایک گروپ")</f>
        <v>ایک سفید پس منظر پر شطرنج کے ٹکڑوں کا ایک گروپ</v>
      </c>
      <c r="O222" s="2" t="str">
        <f>IFERROR(__xludf.DUMMYFUNCTION("GOOGLETRANSLATE(E222,""en"",""ur"")"),"لوگوں کا ایک گروپ جو تاش کا کھیل کھیل رہا ہے۔")</f>
        <v>لوگوں کا ایک گروپ جو تاش کا کھیل کھیل رہا ہے۔</v>
      </c>
      <c r="P222" s="2" t="str">
        <f>IFERROR(__xludf.DUMMYFUNCTION("GOOGLETRANSLATE(F222,""en"",""ur"")"),"شطرنج کے ٹکڑے تراشنے والا شخص")</f>
        <v>شطرنج کے ٹکڑے تراشنے والا شخص</v>
      </c>
      <c r="Q222" s="2" t="s">
        <v>226</v>
      </c>
      <c r="R222" s="2" t="str">
        <f>IFERROR(__xludf.DUMMYFUNCTION("GOOGLETRANSLATE(G222,""en"",""ur"")"),"ایک سفید پس منظر پر شطرنج کے ٹکڑوں کا ایک گروپ")</f>
        <v>ایک سفید پس منظر پر شطرنج کے ٹکڑوں کا ایک گروپ</v>
      </c>
      <c r="S222" s="6" t="s">
        <v>225</v>
      </c>
    </row>
    <row r="223" ht="22.5" customHeight="1">
      <c r="A223" s="4">
        <v>222.0</v>
      </c>
      <c r="B223" s="5" t="s">
        <v>16</v>
      </c>
      <c r="C223" s="5" t="s">
        <v>17</v>
      </c>
      <c r="D223" s="5" t="s">
        <v>169</v>
      </c>
      <c r="E223" s="5" t="s">
        <v>170</v>
      </c>
      <c r="F223" s="5" t="s">
        <v>227</v>
      </c>
      <c r="G223" s="5" t="s">
        <v>227</v>
      </c>
      <c r="H223" s="5" t="s">
        <v>225</v>
      </c>
      <c r="K223" s="2" t="str">
        <f>IFERROR(__xludf.DUMMYFUNCTION("GOOGLETRANSLATE(A223,""en"",""ur"")"),"222")</f>
        <v>222</v>
      </c>
      <c r="L223" s="2" t="str">
        <f>IFERROR(__xludf.DUMMYFUNCTION("GOOGLETRANSLATE(B223,""en"",""ur"")"),"ٹکڑوں کے بارے میں ایک قابل ذکر تفصیل کیا ہے؟")</f>
        <v>ٹکڑوں کے بارے میں ایک قابل ذکر تفصیل کیا ہے؟</v>
      </c>
      <c r="M223" s="2" t="str">
        <f>IFERROR(__xludf.DUMMYFUNCTION("GOOGLETRANSLATE(C223,""en"",""ur"")"),"وہ سب ایک جیسے ہیں۔")</f>
        <v>وہ سب ایک جیسے ہیں۔</v>
      </c>
      <c r="N223" s="2" t="str">
        <f>IFERROR(__xludf.DUMMYFUNCTION("GOOGLETRANSLATE(D223,""en"",""ur"")"),"وہ انتہائی اسٹائلائزڈ شخصیات ہیں۔")</f>
        <v>وہ انتہائی اسٹائلائزڈ شخصیات ہیں۔</v>
      </c>
      <c r="O223" s="2" t="str">
        <f>IFERROR(__xludf.DUMMYFUNCTION("GOOGLETRANSLATE(E223,""en"",""ur"")"),"وہ پلاسٹک اور شیشے سے بنے ہیں۔")</f>
        <v>وہ پلاسٹک اور شیشے سے بنے ہیں۔</v>
      </c>
      <c r="P223" s="2" t="str">
        <f>IFERROR(__xludf.DUMMYFUNCTION("GOOGLETRANSLATE(F223,""en"",""ur"")"),"وہ سب پیادے ہیں۔")</f>
        <v>وہ سب پیادے ہیں۔</v>
      </c>
      <c r="Q223" s="2" t="s">
        <v>228</v>
      </c>
      <c r="R223" s="2" t="str">
        <f>IFERROR(__xludf.DUMMYFUNCTION("GOOGLETRANSLATE(G223,""en"",""ur"")"),"وہ سب پیادے ہیں۔")</f>
        <v>وہ سب پیادے ہیں۔</v>
      </c>
      <c r="S223" s="6" t="s">
        <v>225</v>
      </c>
    </row>
    <row r="224" ht="22.5" customHeight="1">
      <c r="A224" s="4">
        <v>223.0</v>
      </c>
      <c r="B224" s="5" t="s">
        <v>229</v>
      </c>
      <c r="C224" s="5" t="s">
        <v>128</v>
      </c>
      <c r="D224" s="5" t="s">
        <v>24</v>
      </c>
      <c r="E224" s="5" t="s">
        <v>129</v>
      </c>
      <c r="F224" s="5" t="s">
        <v>26</v>
      </c>
      <c r="G224" s="5" t="s">
        <v>129</v>
      </c>
      <c r="H224" s="5" t="s">
        <v>225</v>
      </c>
      <c r="K224" s="2" t="str">
        <f>IFERROR(__xludf.DUMMYFUNCTION("GOOGLETRANSLATE(A224,""en"",""ur"")"),"223")</f>
        <v>223</v>
      </c>
      <c r="L224" s="2" t="str">
        <f>IFERROR(__xludf.DUMMYFUNCTION("GOOGLETRANSLATE(B224,""en"",""ur"")"),"ٹکڑوں کا ظاہری مواد کیا ہے؟")</f>
        <v>ٹکڑوں کا ظاہری مواد کیا ہے؟</v>
      </c>
      <c r="M224" s="2" t="str">
        <f>IFERROR(__xludf.DUMMYFUNCTION("GOOGLETRANSLATE(C224,""en"",""ur"")"),"لکڑی")</f>
        <v>لکڑی</v>
      </c>
      <c r="N224" s="2" t="str">
        <f>IFERROR(__xludf.DUMMYFUNCTION("GOOGLETRANSLATE(D224,""en"",""ur"")"),"پلاسٹک")</f>
        <v>پلاسٹک</v>
      </c>
      <c r="O224" s="2" t="str">
        <f>IFERROR(__xludf.DUMMYFUNCTION("GOOGLETRANSLATE(E224,""en"",""ur"")"),"دھات")</f>
        <v>دھات</v>
      </c>
      <c r="P224" s="2" t="str">
        <f>IFERROR(__xludf.DUMMYFUNCTION("GOOGLETRANSLATE(F224,""en"",""ur"")"),"گتے")</f>
        <v>گتے</v>
      </c>
      <c r="Q224" s="2" t="s">
        <v>230</v>
      </c>
      <c r="R224" s="2" t="str">
        <f>IFERROR(__xludf.DUMMYFUNCTION("GOOGLETRANSLATE(G224,""en"",""ur"")"),"دھات")</f>
        <v>دھات</v>
      </c>
      <c r="S224" s="6" t="s">
        <v>225</v>
      </c>
    </row>
    <row r="225" ht="22.5" customHeight="1">
      <c r="A225" s="4">
        <v>224.0</v>
      </c>
      <c r="B225" s="5" t="s">
        <v>218</v>
      </c>
      <c r="C225" s="5" t="s">
        <v>29</v>
      </c>
      <c r="D225" s="5" t="s">
        <v>30</v>
      </c>
      <c r="E225" s="5" t="s">
        <v>31</v>
      </c>
      <c r="F225" s="5" t="s">
        <v>32</v>
      </c>
      <c r="G225" s="5" t="s">
        <v>31</v>
      </c>
      <c r="H225" s="5" t="s">
        <v>225</v>
      </c>
      <c r="K225" s="2" t="str">
        <f>IFERROR(__xludf.DUMMYFUNCTION("GOOGLETRANSLATE(A225,""en"",""ur"")"),"224")</f>
        <v>224</v>
      </c>
      <c r="L225" s="2" t="str">
        <f>IFERROR(__xludf.DUMMYFUNCTION("GOOGLETRANSLATE(B225,""en"",""ur"")"),"تصویر ایک بساط دکھاتی ہے۔ وہ کون سا تاریخی کھیل ہے جو جدید شطرنج کا پیش خیمہ ہے؟")</f>
        <v>تصویر ایک بساط دکھاتی ہے۔ وہ کون سا تاریخی کھیل ہے جو جدید شطرنج کا پیش خیمہ ہے؟</v>
      </c>
      <c r="M225" s="2" t="str">
        <f>IFERROR(__xludf.DUMMYFUNCTION("GOOGLETRANSLATE(C225,""en"",""ur"")"),"چیکرس")</f>
        <v>چیکرس</v>
      </c>
      <c r="N225" s="2" t="str">
        <f>IFERROR(__xludf.DUMMYFUNCTION("GOOGLETRANSLATE(D225,""en"",""ur"")"),"بیکگیمون")</f>
        <v>بیکگیمون</v>
      </c>
      <c r="O225" s="2" t="str">
        <f>IFERROR(__xludf.DUMMYFUNCTION("GOOGLETRANSLATE(E225,""en"",""ur"")"),"چتورنگا")</f>
        <v>چتورنگا</v>
      </c>
      <c r="P225" s="2" t="str">
        <f>IFERROR(__xludf.DUMMYFUNCTION("GOOGLETRANSLATE(F225,""en"",""ur"")"),"جاؤ")</f>
        <v>جاؤ</v>
      </c>
      <c r="Q225" s="2" t="s">
        <v>33</v>
      </c>
      <c r="R225" s="2" t="str">
        <f>IFERROR(__xludf.DUMMYFUNCTION("GOOGLETRANSLATE(G225,""en"",""ur"")"),"چتورنگا")</f>
        <v>چتورنگا</v>
      </c>
      <c r="S225" s="6" t="s">
        <v>225</v>
      </c>
    </row>
    <row r="226" ht="22.5" customHeight="1">
      <c r="A226" s="4">
        <v>225.0</v>
      </c>
      <c r="B226" s="5" t="s">
        <v>132</v>
      </c>
      <c r="C226" s="5" t="s">
        <v>35</v>
      </c>
      <c r="D226" s="5" t="s">
        <v>36</v>
      </c>
      <c r="E226" s="5" t="s">
        <v>37</v>
      </c>
      <c r="F226" s="5" t="s">
        <v>231</v>
      </c>
      <c r="G226" s="5" t="s">
        <v>231</v>
      </c>
      <c r="H226" s="5" t="s">
        <v>225</v>
      </c>
      <c r="K226" s="2" t="str">
        <f>IFERROR(__xludf.DUMMYFUNCTION("GOOGLETRANSLATE(A226,""en"",""ur"")"),"225")</f>
        <v>225</v>
      </c>
      <c r="L226" s="2" t="str">
        <f>IFERROR(__xludf.DUMMYFUNCTION("GOOGLETRANSLATE(B226,""en"",""ur"")"),"تصویر کا ظاہری مقصد کیا ہے؟")</f>
        <v>تصویر کا ظاہری مقصد کیا ہے؟</v>
      </c>
      <c r="M226" s="2" t="str">
        <f>IFERROR(__xludf.DUMMYFUNCTION("GOOGLETRANSLATE(C226,""en"",""ur"")"),"یہ کھیل کے قوانین کا حصہ ہے۔")</f>
        <v>یہ کھیل کے قوانین کا حصہ ہے۔</v>
      </c>
      <c r="N226" s="2" t="str">
        <f>IFERROR(__xludf.DUMMYFUNCTION("GOOGLETRANSLATE(D226,""en"",""ur"")"),"یہ حسب ضرورت کے لیے ایک خصوصیت ہے۔")</f>
        <v>یہ حسب ضرورت کے لیے ایک خصوصیت ہے۔</v>
      </c>
      <c r="O226" s="2" t="str">
        <f>IFERROR(__xludf.DUMMYFUNCTION("GOOGLETRANSLATE(E226,""en"",""ur"")"),"یہ ایک تاریخی نشان ہے۔")</f>
        <v>یہ ایک تاریخی نشان ہے۔</v>
      </c>
      <c r="P226" s="2" t="str">
        <f>IFERROR(__xludf.DUMMYFUNCTION("GOOGLETRANSLATE(F226,""en"",""ur"")"),"یہ شطرنج کے ٹکڑوں کی قریبی تصویر ہے۔")</f>
        <v>یہ شطرنج کے ٹکڑوں کی قریبی تصویر ہے۔</v>
      </c>
      <c r="Q226" s="2" t="s">
        <v>232</v>
      </c>
      <c r="R226" s="2" t="str">
        <f>IFERROR(__xludf.DUMMYFUNCTION("GOOGLETRANSLATE(G226,""en"",""ur"")"),"یہ شطرنج کے ٹکڑوں کی قریبی تصویر ہے۔")</f>
        <v>یہ شطرنج کے ٹکڑوں کی قریبی تصویر ہے۔</v>
      </c>
      <c r="S226" s="6" t="s">
        <v>225</v>
      </c>
    </row>
    <row r="227" ht="22.5" customHeight="1">
      <c r="A227" s="4">
        <v>226.0</v>
      </c>
      <c r="B227" s="5" t="s">
        <v>233</v>
      </c>
      <c r="C227" s="5" t="s">
        <v>41</v>
      </c>
      <c r="D227" s="5" t="s">
        <v>42</v>
      </c>
      <c r="E227" s="5" t="s">
        <v>43</v>
      </c>
      <c r="F227" s="5" t="s">
        <v>44</v>
      </c>
      <c r="G227" s="5" t="s">
        <v>42</v>
      </c>
      <c r="H227" s="5" t="s">
        <v>225</v>
      </c>
      <c r="K227" s="2" t="str">
        <f>IFERROR(__xludf.DUMMYFUNCTION("GOOGLETRANSLATE(A227,""en"",""ur"")"),"226")</f>
        <v>226</v>
      </c>
      <c r="L227" s="2" t="str">
        <f>IFERROR(__xludf.DUMMYFUNCTION("GOOGLETRANSLATE(B227,""en"",""ur"")"),"ٹکڑوں کے ڈیزائن کی سب سے نمایاں خصوصیت کیا ہے؟")</f>
        <v>ٹکڑوں کے ڈیزائن کی سب سے نمایاں خصوصیت کیا ہے؟</v>
      </c>
      <c r="M227" s="2" t="str">
        <f>IFERROR(__xludf.DUMMYFUNCTION("GOOGLETRANSLATE(C227,""en"",""ur"")"),"یہ ایک سادہ، چیکر سطح ہے")</f>
        <v>یہ ایک سادہ، چیکر سطح ہے</v>
      </c>
      <c r="N227" s="2" t="str">
        <f>IFERROR(__xludf.DUMMYFUNCTION("GOOGLETRANSLATE(D227,""en"",""ur"")"),"اس میں پیچیدہ کندہ شدہ نمونے ہیں۔")</f>
        <v>اس میں پیچیدہ کندہ شدہ نمونے ہیں۔</v>
      </c>
      <c r="O227" s="2" t="str">
        <f>IFERROR(__xludf.DUMMYFUNCTION("GOOGLETRANSLATE(E227,""en"",""ur"")"),"یہ ایک ٹھوس رنگ ہے۔")</f>
        <v>یہ ایک ٹھوس رنگ ہے۔</v>
      </c>
      <c r="P227" s="2" t="str">
        <f>IFERROR(__xludf.DUMMYFUNCTION("GOOGLETRANSLATE(F227,""en"",""ur"")"),"یہ ایک سرکلر بورڈ ہے۔")</f>
        <v>یہ ایک سرکلر بورڈ ہے۔</v>
      </c>
      <c r="Q227" s="2" t="s">
        <v>45</v>
      </c>
      <c r="R227" s="2" t="str">
        <f>IFERROR(__xludf.DUMMYFUNCTION("GOOGLETRANSLATE(G227,""en"",""ur"")"),"اس میں پیچیدہ کندہ شدہ نمونے ہیں۔")</f>
        <v>اس میں پیچیدہ کندہ شدہ نمونے ہیں۔</v>
      </c>
      <c r="S227" s="6" t="s">
        <v>225</v>
      </c>
    </row>
    <row r="228" ht="22.5" customHeight="1">
      <c r="A228" s="4">
        <v>227.0</v>
      </c>
      <c r="B228" s="5" t="s">
        <v>46</v>
      </c>
      <c r="C228" s="5" t="s">
        <v>47</v>
      </c>
      <c r="D228" s="5" t="s">
        <v>48</v>
      </c>
      <c r="E228" s="5" t="s">
        <v>49</v>
      </c>
      <c r="F228" s="5" t="s">
        <v>50</v>
      </c>
      <c r="G228" s="5" t="s">
        <v>49</v>
      </c>
      <c r="H228" s="5" t="s">
        <v>225</v>
      </c>
      <c r="K228" s="2" t="str">
        <f>IFERROR(__xludf.DUMMYFUNCTION("GOOGLETRANSLATE(A228,""en"",""ur"")"),"227")</f>
        <v>227</v>
      </c>
      <c r="L228" s="2" t="str">
        <f>IFERROR(__xludf.DUMMYFUNCTION("GOOGLETRANSLATE(B228,""en"",""ur"")"),"کھلاڑیوں کے چہروں سے ظاہری جذبات کیا ہیں؟")</f>
        <v>کھلاڑیوں کے چہروں سے ظاہری جذبات کیا ہیں؟</v>
      </c>
      <c r="M228" s="2" t="str">
        <f>IFERROR(__xludf.DUMMYFUNCTION("GOOGLETRANSLATE(C228,""en"",""ur"")"),"پرسکون اور پر سکون")</f>
        <v>پرسکون اور پر سکون</v>
      </c>
      <c r="N228" s="2" t="str">
        <f>IFERROR(__xludf.DUMMYFUNCTION("GOOGLETRANSLATE(D228,""en"",""ur"")"),"خوف زدہ اور بے چین")</f>
        <v>خوف زدہ اور بے چین</v>
      </c>
      <c r="O228" s="2" t="str">
        <f>IFERROR(__xludf.DUMMYFUNCTION("GOOGLETRANSLATE(E228,""en"",""ur"")"),"کشیدہ اور شدید")</f>
        <v>کشیدہ اور شدید</v>
      </c>
      <c r="P228" s="2" t="str">
        <f>IFERROR(__xludf.DUMMYFUNCTION("GOOGLETRANSLATE(F228,""en"",""ur"")"),"خوش اور مسکراتے ہوئے۔")</f>
        <v>خوش اور مسکراتے ہوئے۔</v>
      </c>
      <c r="Q228" s="2" t="s">
        <v>51</v>
      </c>
      <c r="R228" s="2" t="str">
        <f>IFERROR(__xludf.DUMMYFUNCTION("GOOGLETRANSLATE(G228,""en"",""ur"")"),"کشیدہ اور شدید")</f>
        <v>کشیدہ اور شدید</v>
      </c>
      <c r="S228" s="6" t="s">
        <v>225</v>
      </c>
    </row>
    <row r="229" ht="22.5" customHeight="1">
      <c r="A229" s="4">
        <v>228.0</v>
      </c>
      <c r="B229" s="5" t="s">
        <v>63</v>
      </c>
      <c r="C229" s="5" t="s">
        <v>64</v>
      </c>
      <c r="D229" s="5" t="s">
        <v>65</v>
      </c>
      <c r="E229" s="5" t="s">
        <v>66</v>
      </c>
      <c r="F229" s="5" t="s">
        <v>67</v>
      </c>
      <c r="G229" s="5" t="s">
        <v>65</v>
      </c>
      <c r="H229" s="5" t="s">
        <v>225</v>
      </c>
      <c r="K229" s="2" t="str">
        <f>IFERROR(__xludf.DUMMYFUNCTION("GOOGLETRANSLATE(A229,""en"",""ur"")"),"228")</f>
        <v>228</v>
      </c>
      <c r="L229" s="2" t="str">
        <f>IFERROR(__xludf.DUMMYFUNCTION("GOOGLETRANSLATE(B229,""en"",""ur"")"),"چتورنگا کا تاریخی کھیل کس ملک سے تعلق کے لیے جانا جاتا ہے؟")</f>
        <v>چتورنگا کا تاریخی کھیل کس ملک سے تعلق کے لیے جانا جاتا ہے؟</v>
      </c>
      <c r="M229" s="2" t="str">
        <f>IFERROR(__xludf.DUMMYFUNCTION("GOOGLETRANSLATE(C229,""en"",""ur"")"),"چین")</f>
        <v>چین</v>
      </c>
      <c r="N229" s="2" t="str">
        <f>IFERROR(__xludf.DUMMYFUNCTION("GOOGLETRANSLATE(D229,""en"",""ur"")"),"انڈیا")</f>
        <v>انڈیا</v>
      </c>
      <c r="O229" s="2" t="str">
        <f>IFERROR(__xludf.DUMMYFUNCTION("GOOGLETRANSLATE(E229,""en"",""ur"")"),"یورپ")</f>
        <v>یورپ</v>
      </c>
      <c r="P229" s="2" t="str">
        <f>IFERROR(__xludf.DUMMYFUNCTION("GOOGLETRANSLATE(F229,""en"",""ur"")"),"مصر")</f>
        <v>مصر</v>
      </c>
      <c r="Q229" s="2" t="s">
        <v>68</v>
      </c>
      <c r="R229" s="2" t="str">
        <f>IFERROR(__xludf.DUMMYFUNCTION("GOOGLETRANSLATE(G229,""en"",""ur"")"),"انڈیا")</f>
        <v>انڈیا</v>
      </c>
      <c r="S229" s="6" t="s">
        <v>225</v>
      </c>
    </row>
    <row r="230" ht="22.5" customHeight="1">
      <c r="A230" s="4">
        <v>229.0</v>
      </c>
      <c r="B230" s="5" t="s">
        <v>16</v>
      </c>
      <c r="C230" s="5" t="s">
        <v>58</v>
      </c>
      <c r="D230" s="5" t="s">
        <v>59</v>
      </c>
      <c r="E230" s="5" t="s">
        <v>60</v>
      </c>
      <c r="F230" s="5" t="s">
        <v>61</v>
      </c>
      <c r="G230" s="5" t="s">
        <v>60</v>
      </c>
      <c r="H230" s="5" t="s">
        <v>225</v>
      </c>
      <c r="K230" s="2" t="str">
        <f>IFERROR(__xludf.DUMMYFUNCTION("GOOGLETRANSLATE(A230,""en"",""ur"")"),"229")</f>
        <v>229</v>
      </c>
      <c r="L230" s="2" t="str">
        <f>IFERROR(__xludf.DUMMYFUNCTION("GOOGLETRANSLATE(B230,""en"",""ur"")"),"ٹکڑوں کے بارے میں ایک قابل ذکر تفصیل کیا ہے؟")</f>
        <v>ٹکڑوں کے بارے میں ایک قابل ذکر تفصیل کیا ہے؟</v>
      </c>
      <c r="M230" s="2" t="str">
        <f>IFERROR(__xludf.DUMMYFUNCTION("GOOGLETRANSLATE(C230,""en"",""ur"")"),"وہ سب ایک ہی قد کے ہیں۔")</f>
        <v>وہ سب ایک ہی قد کے ہیں۔</v>
      </c>
      <c r="N230" s="2" t="str">
        <f>IFERROR(__xludf.DUMMYFUNCTION("GOOGLETRANSLATE(D230,""en"",""ur"")"),"وہ سب ایک ہی رنگ کے ہیں۔")</f>
        <v>وہ سب ایک ہی رنگ کے ہیں۔</v>
      </c>
      <c r="O230" s="2" t="str">
        <f>IFERROR(__xludf.DUMMYFUNCTION("GOOGLETRANSLATE(E230,""en"",""ur"")"),"وہ رنگوں اور ڈیزائنوں کا مرکب ہیں۔")</f>
        <v>وہ رنگوں اور ڈیزائنوں کا مرکب ہیں۔</v>
      </c>
      <c r="P230" s="2" t="str">
        <f>IFERROR(__xludf.DUMMYFUNCTION("GOOGLETRANSLATE(F230,""en"",""ur"")"),"وہ سب وسیع نمونوں کے ساتھ زین پہنے ہوئے ہیں۔")</f>
        <v>وہ سب وسیع نمونوں کے ساتھ زین پہنے ہوئے ہیں۔</v>
      </c>
      <c r="Q230" s="2" t="s">
        <v>62</v>
      </c>
      <c r="R230" s="2" t="str">
        <f>IFERROR(__xludf.DUMMYFUNCTION("GOOGLETRANSLATE(G230,""en"",""ur"")"),"وہ رنگوں اور ڈیزائنوں کا مرکب ہیں۔")</f>
        <v>وہ رنگوں اور ڈیزائنوں کا مرکب ہیں۔</v>
      </c>
      <c r="S230" s="6" t="s">
        <v>225</v>
      </c>
    </row>
    <row r="231" ht="22.5" customHeight="1">
      <c r="A231" s="4">
        <v>230.0</v>
      </c>
      <c r="B231" s="5" t="s">
        <v>63</v>
      </c>
      <c r="C231" s="5" t="s">
        <v>64</v>
      </c>
      <c r="D231" s="5" t="s">
        <v>65</v>
      </c>
      <c r="E231" s="5" t="s">
        <v>66</v>
      </c>
      <c r="F231" s="5" t="s">
        <v>67</v>
      </c>
      <c r="G231" s="5" t="s">
        <v>65</v>
      </c>
      <c r="H231" s="5" t="s">
        <v>225</v>
      </c>
      <c r="K231" s="2" t="str">
        <f>IFERROR(__xludf.DUMMYFUNCTION("GOOGLETRANSLATE(A231,""en"",""ur"")"),"230")</f>
        <v>230</v>
      </c>
      <c r="L231" s="2" t="str">
        <f>IFERROR(__xludf.DUMMYFUNCTION("GOOGLETRANSLATE(B231,""en"",""ur"")"),"چتورنگا کا تاریخی کھیل کس ملک سے تعلق کے لیے جانا جاتا ہے؟")</f>
        <v>چتورنگا کا تاریخی کھیل کس ملک سے تعلق کے لیے جانا جاتا ہے؟</v>
      </c>
      <c r="M231" s="2" t="str">
        <f>IFERROR(__xludf.DUMMYFUNCTION("GOOGLETRANSLATE(C231,""en"",""ur"")"),"چین")</f>
        <v>چین</v>
      </c>
      <c r="N231" s="2" t="str">
        <f>IFERROR(__xludf.DUMMYFUNCTION("GOOGLETRANSLATE(D231,""en"",""ur"")"),"انڈیا")</f>
        <v>انڈیا</v>
      </c>
      <c r="O231" s="2" t="str">
        <f>IFERROR(__xludf.DUMMYFUNCTION("GOOGLETRANSLATE(E231,""en"",""ur"")"),"یورپ")</f>
        <v>یورپ</v>
      </c>
      <c r="P231" s="2" t="str">
        <f>IFERROR(__xludf.DUMMYFUNCTION("GOOGLETRANSLATE(F231,""en"",""ur"")"),"مصر")</f>
        <v>مصر</v>
      </c>
      <c r="Q231" s="2" t="s">
        <v>68</v>
      </c>
      <c r="R231" s="2" t="str">
        <f>IFERROR(__xludf.DUMMYFUNCTION("GOOGLETRANSLATE(G231,""en"",""ur"")"),"انڈیا")</f>
        <v>انڈیا</v>
      </c>
      <c r="S231" s="6" t="s">
        <v>225</v>
      </c>
    </row>
    <row r="232" ht="22.5" customHeight="1">
      <c r="A232" s="4">
        <v>231.0</v>
      </c>
      <c r="B232" s="5" t="s">
        <v>234</v>
      </c>
      <c r="C232" s="5" t="s">
        <v>162</v>
      </c>
      <c r="D232" s="5" t="s">
        <v>70</v>
      </c>
      <c r="E232" s="5" t="s">
        <v>142</v>
      </c>
      <c r="F232" s="5" t="s">
        <v>14</v>
      </c>
      <c r="G232" s="5" t="s">
        <v>162</v>
      </c>
      <c r="H232" s="5" t="s">
        <v>235</v>
      </c>
      <c r="K232" s="2" t="str">
        <f>IFERROR(__xludf.DUMMYFUNCTION("GOOGLETRANSLATE(A232,""en"",""ur"")"),"231")</f>
        <v>231</v>
      </c>
      <c r="L232" s="2" t="str">
        <f>IFERROR(__xludf.DUMMYFUNCTION("GOOGLETRANSLATE(B232,""en"",""ur"")"),"چترنگا_86 میں دکھایا گیا اہم عمل کیا ہے؟")</f>
        <v>چترنگا_86 میں دکھایا گیا اہم عمل کیا ہے؟</v>
      </c>
      <c r="M232" s="2" t="str">
        <f>IFERROR(__xludf.DUMMYFUNCTION("GOOGLETRANSLATE(C232,""en"",""ur"")"),"دو آدمی شطرنج کھیل رہے ہیں۔")</f>
        <v>دو آدمی شطرنج کھیل رہے ہیں۔</v>
      </c>
      <c r="N232" s="2" t="str">
        <f>IFERROR(__xludf.DUMMYFUNCTION("GOOGLETRANSLATE(D232,""en"",""ur"")"),"روایتی ٹکڑوں کے ساتھ ایک بساط")</f>
        <v>روایتی ٹکڑوں کے ساتھ ایک بساط</v>
      </c>
      <c r="O232" s="2" t="str">
        <f>IFERROR(__xludf.DUMMYFUNCTION("GOOGLETRANSLATE(E232,""en"",""ur"")"),"لوگوں کا ایک گروپ جو گیند کا کھیل کھیل رہا ہے۔")</f>
        <v>لوگوں کا ایک گروپ جو گیند کا کھیل کھیل رہا ہے۔</v>
      </c>
      <c r="P232" s="2" t="str">
        <f>IFERROR(__xludf.DUMMYFUNCTION("GOOGLETRANSLATE(F232,""en"",""ur"")"),"شطرنج کے ٹکڑے تراشنے والا شخص")</f>
        <v>شطرنج کے ٹکڑے تراشنے والا شخص</v>
      </c>
      <c r="Q232" s="2" t="s">
        <v>164</v>
      </c>
      <c r="R232" s="2" t="str">
        <f>IFERROR(__xludf.DUMMYFUNCTION("GOOGLETRANSLATE(G232,""en"",""ur"")"),"دو آدمی شطرنج کھیل رہے ہیں۔")</f>
        <v>دو آدمی شطرنج کھیل رہے ہیں۔</v>
      </c>
      <c r="S232" s="6" t="s">
        <v>235</v>
      </c>
    </row>
    <row r="233" ht="22.5" customHeight="1">
      <c r="A233" s="4">
        <v>232.0</v>
      </c>
      <c r="B233" s="5" t="s">
        <v>76</v>
      </c>
      <c r="C233" s="5" t="s">
        <v>156</v>
      </c>
      <c r="D233" s="5" t="s">
        <v>157</v>
      </c>
      <c r="E233" s="5" t="s">
        <v>79</v>
      </c>
      <c r="F233" s="5" t="s">
        <v>107</v>
      </c>
      <c r="G233" s="5" t="s">
        <v>156</v>
      </c>
      <c r="H233" s="5" t="s">
        <v>235</v>
      </c>
      <c r="K233" s="2" t="str">
        <f>IFERROR(__xludf.DUMMYFUNCTION("GOOGLETRANSLATE(A233,""en"",""ur"")"),"232")</f>
        <v>232</v>
      </c>
      <c r="L233" s="2" t="str">
        <f>IFERROR(__xludf.DUMMYFUNCTION("GOOGLETRANSLATE(B233,""en"",""ur"")"),"بورڈ اور ٹکڑوں کے بارے میں ایک قابل ذکر تفصیل کیا ہے؟")</f>
        <v>بورڈ اور ٹکڑوں کے بارے میں ایک قابل ذکر تفصیل کیا ہے؟</v>
      </c>
      <c r="M233" s="2" t="str">
        <f>IFERROR(__xludf.DUMMYFUNCTION("GOOGLETRANSLATE(C233,""en"",""ur"")"),"بورڈ ایک سادہ کپڑا ہے جس پر ٹکڑے ہیں۔")</f>
        <v>بورڈ ایک سادہ کپڑا ہے جس پر ٹکڑے ہیں۔</v>
      </c>
      <c r="N233" s="2" t="str">
        <f>IFERROR(__xludf.DUMMYFUNCTION("GOOGLETRANSLATE(D233,""en"",""ur"")"),"بورڈ لکڑی کی میز ہے۔")</f>
        <v>بورڈ لکڑی کی میز ہے۔</v>
      </c>
      <c r="O233" s="2" t="str">
        <f>IFERROR(__xludf.DUMMYFUNCTION("GOOGLETRANSLATE(E233,""en"",""ur"")"),"بورڈ ایک ٹھوس رنگ ہے")</f>
        <v>بورڈ ایک ٹھوس رنگ ہے</v>
      </c>
      <c r="P233" s="2" t="str">
        <f>IFERROR(__xludf.DUMMYFUNCTION("GOOGLETRANSLATE(F233,""en"",""ur"")"),"ٹکڑے تمام سفید ہیں۔")</f>
        <v>ٹکڑے تمام سفید ہیں۔</v>
      </c>
      <c r="Q233" s="2" t="s">
        <v>158</v>
      </c>
      <c r="R233" s="2" t="str">
        <f>IFERROR(__xludf.DUMMYFUNCTION("GOOGLETRANSLATE(G233,""en"",""ur"")"),"بورڈ ایک سادہ کپڑا ہے جس پر ٹکڑے ہیں۔")</f>
        <v>بورڈ ایک سادہ کپڑا ہے جس پر ٹکڑے ہیں۔</v>
      </c>
      <c r="S233" s="6" t="s">
        <v>235</v>
      </c>
    </row>
    <row r="234" ht="22.5" customHeight="1">
      <c r="A234" s="4">
        <v>233.0</v>
      </c>
      <c r="B234" s="5" t="s">
        <v>81</v>
      </c>
      <c r="C234" s="5" t="s">
        <v>17</v>
      </c>
      <c r="D234" s="5" t="s">
        <v>18</v>
      </c>
      <c r="E234" s="5" t="s">
        <v>19</v>
      </c>
      <c r="F234" s="5" t="s">
        <v>20</v>
      </c>
      <c r="G234" s="5" t="s">
        <v>19</v>
      </c>
      <c r="H234" s="5" t="s">
        <v>235</v>
      </c>
      <c r="K234" s="2" t="str">
        <f>IFERROR(__xludf.DUMMYFUNCTION("GOOGLETRANSLATE(A234,""en"",""ur"")"),"233")</f>
        <v>233</v>
      </c>
      <c r="L234" s="2" t="str">
        <f>IFERROR(__xludf.DUMMYFUNCTION("GOOGLETRANSLATE(B234,""en"",""ur"")"),"ٹکڑوں کے ڈیزائن کے بارے میں واضح تفصیل کیا ہے؟")</f>
        <v>ٹکڑوں کے ڈیزائن کے بارے میں واضح تفصیل کیا ہے؟</v>
      </c>
      <c r="M234" s="2" t="str">
        <f>IFERROR(__xludf.DUMMYFUNCTION("GOOGLETRANSLATE(C234,""en"",""ur"")"),"وہ سب ایک جیسے ہیں۔")</f>
        <v>وہ سب ایک جیسے ہیں۔</v>
      </c>
      <c r="N234" s="2" t="str">
        <f>IFERROR(__xludf.DUMMYFUNCTION("GOOGLETRANSLATE(D234,""en"",""ur"")"),"وہ ایک تاریخی فوج کی نمائندگی کرنے والی انتہائی اسٹائلائزڈ شخصیات ہیں۔")</f>
        <v>وہ ایک تاریخی فوج کی نمائندگی کرنے والی انتہائی اسٹائلائزڈ شخصیات ہیں۔</v>
      </c>
      <c r="O234" s="2" t="str">
        <f>IFERROR(__xludf.DUMMYFUNCTION("GOOGLETRANSLATE(E234,""en"",""ur"")"),"وہ پلاسٹک سے بنے ہیں۔")</f>
        <v>وہ پلاسٹک سے بنے ہیں۔</v>
      </c>
      <c r="P234" s="2" t="str">
        <f>IFERROR(__xludf.DUMMYFUNCTION("GOOGLETRANSLATE(F234,""en"",""ur"")"),"وہ سب سفید فام ہیں۔")</f>
        <v>وہ سب سفید فام ہیں۔</v>
      </c>
      <c r="Q234" s="2" t="s">
        <v>21</v>
      </c>
      <c r="R234" s="2" t="str">
        <f>IFERROR(__xludf.DUMMYFUNCTION("GOOGLETRANSLATE(G234,""en"",""ur"")"),"وہ پلاسٹک سے بنے ہیں۔")</f>
        <v>وہ پلاسٹک سے بنے ہیں۔</v>
      </c>
      <c r="S234" s="6" t="s">
        <v>235</v>
      </c>
    </row>
    <row r="235" ht="22.5" customHeight="1">
      <c r="A235" s="4">
        <v>234.0</v>
      </c>
      <c r="B235" s="5" t="s">
        <v>82</v>
      </c>
      <c r="C235" s="5" t="s">
        <v>83</v>
      </c>
      <c r="D235" s="5" t="s">
        <v>84</v>
      </c>
      <c r="E235" s="5" t="s">
        <v>85</v>
      </c>
      <c r="F235" s="5" t="s">
        <v>113</v>
      </c>
      <c r="G235" s="5" t="s">
        <v>113</v>
      </c>
      <c r="H235" s="5" t="s">
        <v>235</v>
      </c>
      <c r="K235" s="2" t="str">
        <f>IFERROR(__xludf.DUMMYFUNCTION("GOOGLETRANSLATE(A235,""en"",""ur"")"),"234")</f>
        <v>234</v>
      </c>
      <c r="L235" s="2" t="str">
        <f>IFERROR(__xludf.DUMMYFUNCTION("GOOGLETRANSLATE(B235,""en"",""ur"")"),"اس گیم کی ظاہری ترتیب کیا ہے؟")</f>
        <v>اس گیم کی ظاہری ترتیب کیا ہے؟</v>
      </c>
      <c r="M235" s="2" t="str">
        <f>IFERROR(__xludf.DUMMYFUNCTION("GOOGLETRANSLATE(C235,""en"",""ur"")"),"یہ ایک بڑے اسٹیڈیم پر ہے۔")</f>
        <v>یہ ایک بڑے اسٹیڈیم پر ہے۔</v>
      </c>
      <c r="N235" s="2" t="str">
        <f>IFERROR(__xludf.DUMMYFUNCTION("GOOGLETRANSLATE(D235,""en"",""ur"")"),"یہ پہاڑی، پتھریلی علاقے میں ایک میدان میں ہے۔")</f>
        <v>یہ پہاڑی، پتھریلی علاقے میں ایک میدان میں ہے۔</v>
      </c>
      <c r="O235" s="2" t="str">
        <f>IFERROR(__xludf.DUMMYFUNCTION("GOOGLETRANSLATE(E235,""en"",""ur"")"),"یہ شہر کی سڑک پر ہے۔")</f>
        <v>یہ شہر کی سڑک پر ہے۔</v>
      </c>
      <c r="P235" s="2" t="str">
        <f>IFERROR(__xludf.DUMMYFUNCTION("GOOGLETRANSLATE(F235,""en"",""ur"")"),"یہ ایک میز پر ہے۔")</f>
        <v>یہ ایک میز پر ہے۔</v>
      </c>
      <c r="Q235" s="2" t="s">
        <v>114</v>
      </c>
      <c r="R235" s="2" t="str">
        <f>IFERROR(__xludf.DUMMYFUNCTION("GOOGLETRANSLATE(G235,""en"",""ur"")"),"یہ ایک میز پر ہے۔")</f>
        <v>یہ ایک میز پر ہے۔</v>
      </c>
      <c r="S235" s="6" t="s">
        <v>235</v>
      </c>
    </row>
    <row r="236" ht="22.5" customHeight="1">
      <c r="A236" s="4">
        <v>235.0</v>
      </c>
      <c r="B236" s="5" t="s">
        <v>46</v>
      </c>
      <c r="C236" s="5" t="s">
        <v>47</v>
      </c>
      <c r="D236" s="5" t="s">
        <v>48</v>
      </c>
      <c r="E236" s="5" t="s">
        <v>49</v>
      </c>
      <c r="F236" s="5" t="s">
        <v>50</v>
      </c>
      <c r="G236" s="5" t="s">
        <v>49</v>
      </c>
      <c r="H236" s="5" t="s">
        <v>235</v>
      </c>
      <c r="K236" s="2" t="str">
        <f>IFERROR(__xludf.DUMMYFUNCTION("GOOGLETRANSLATE(A236,""en"",""ur"")"),"235")</f>
        <v>235</v>
      </c>
      <c r="L236" s="2" t="str">
        <f>IFERROR(__xludf.DUMMYFUNCTION("GOOGLETRANSLATE(B236,""en"",""ur"")"),"کھلاڑیوں کے چہروں سے ظاہری جذبات کیا ہیں؟")</f>
        <v>کھلاڑیوں کے چہروں سے ظاہری جذبات کیا ہیں؟</v>
      </c>
      <c r="M236" s="2" t="str">
        <f>IFERROR(__xludf.DUMMYFUNCTION("GOOGLETRANSLATE(C236,""en"",""ur"")"),"پرسکون اور پر سکون")</f>
        <v>پرسکون اور پر سکون</v>
      </c>
      <c r="N236" s="2" t="str">
        <f>IFERROR(__xludf.DUMMYFUNCTION("GOOGLETRANSLATE(D236,""en"",""ur"")"),"خوف زدہ اور بے چین")</f>
        <v>خوف زدہ اور بے چین</v>
      </c>
      <c r="O236" s="2" t="str">
        <f>IFERROR(__xludf.DUMMYFUNCTION("GOOGLETRANSLATE(E236,""en"",""ur"")"),"کشیدہ اور شدید")</f>
        <v>کشیدہ اور شدید</v>
      </c>
      <c r="P236" s="2" t="str">
        <f>IFERROR(__xludf.DUMMYFUNCTION("GOOGLETRANSLATE(F236,""en"",""ur"")"),"خوش اور مسکراتے ہوئے۔")</f>
        <v>خوش اور مسکراتے ہوئے۔</v>
      </c>
      <c r="Q236" s="2" t="s">
        <v>51</v>
      </c>
      <c r="R236" s="2" t="str">
        <f>IFERROR(__xludf.DUMMYFUNCTION("GOOGLETRANSLATE(G236,""en"",""ur"")"),"کشیدہ اور شدید")</f>
        <v>کشیدہ اور شدید</v>
      </c>
      <c r="S236" s="6" t="s">
        <v>235</v>
      </c>
    </row>
    <row r="237" ht="22.5" customHeight="1">
      <c r="A237" s="4">
        <v>236.0</v>
      </c>
      <c r="B237" s="5" t="s">
        <v>88</v>
      </c>
      <c r="C237" s="5" t="s">
        <v>89</v>
      </c>
      <c r="D237" s="5" t="s">
        <v>90</v>
      </c>
      <c r="E237" s="5" t="s">
        <v>91</v>
      </c>
      <c r="F237" s="5" t="s">
        <v>159</v>
      </c>
      <c r="G237" s="5" t="s">
        <v>159</v>
      </c>
      <c r="H237" s="5" t="s">
        <v>235</v>
      </c>
      <c r="K237" s="2" t="str">
        <f>IFERROR(__xludf.DUMMYFUNCTION("GOOGLETRANSLATE(A237,""en"",""ur"")"),"236")</f>
        <v>236</v>
      </c>
      <c r="L237" s="2" t="str">
        <f>IFERROR(__xludf.DUMMYFUNCTION("GOOGLETRANSLATE(B237,""en"",""ur"")"),"زمین کی سب سے نمایاں خصوصیت کیا ہے؟")</f>
        <v>زمین کی سب سے نمایاں خصوصیت کیا ہے؟</v>
      </c>
      <c r="M237" s="2" t="str">
        <f>IFERROR(__xludf.DUMMYFUNCTION("GOOGLETRANSLATE(C237,""en"",""ur"")"),"ایک پکی سطح")</f>
        <v>ایک پکی سطح</v>
      </c>
      <c r="N237" s="2" t="str">
        <f>IFERROR(__xludf.DUMMYFUNCTION("GOOGLETRANSLATE(D237,""en"",""ur"")"),"کیچڑ والا میدان")</f>
        <v>کیچڑ والا میدان</v>
      </c>
      <c r="O237" s="2" t="str">
        <f>IFERROR(__xludf.DUMMYFUNCTION("GOOGLETRANSLATE(E237,""en"",""ur"")"),"ایک گھاس دار سطح")</f>
        <v>ایک گھاس دار سطح</v>
      </c>
      <c r="P237" s="2" t="str">
        <f>IFERROR(__xludf.DUMMYFUNCTION("GOOGLETRANSLATE(F237,""en"",""ur"")"),"ایک میز")</f>
        <v>ایک میز</v>
      </c>
      <c r="Q237" s="2" t="s">
        <v>160</v>
      </c>
      <c r="R237" s="2" t="str">
        <f>IFERROR(__xludf.DUMMYFUNCTION("GOOGLETRANSLATE(G237,""en"",""ur"")"),"ایک میز")</f>
        <v>ایک میز</v>
      </c>
      <c r="S237" s="6" t="s">
        <v>235</v>
      </c>
    </row>
    <row r="238" ht="22.5" customHeight="1">
      <c r="A238" s="4">
        <v>237.0</v>
      </c>
      <c r="B238" s="5" t="s">
        <v>94</v>
      </c>
      <c r="C238" s="5" t="s">
        <v>95</v>
      </c>
      <c r="D238" s="5" t="s">
        <v>96</v>
      </c>
      <c r="E238" s="5" t="s">
        <v>97</v>
      </c>
      <c r="F238" s="5" t="s">
        <v>31</v>
      </c>
      <c r="G238" s="5" t="s">
        <v>31</v>
      </c>
      <c r="H238" s="5" t="s">
        <v>235</v>
      </c>
      <c r="K238" s="2" t="str">
        <f>IFERROR(__xludf.DUMMYFUNCTION("GOOGLETRANSLATE(A238,""en"",""ur"")"),"237")</f>
        <v>237</v>
      </c>
      <c r="L238" s="2" t="str">
        <f>IFERROR(__xludf.DUMMYFUNCTION("GOOGLETRANSLATE(B238,""en"",""ur"")"),"کھیلے جانے والے کھیل کا نام کیا ہے؟")</f>
        <v>کھیلے جانے والے کھیل کا نام کیا ہے؟</v>
      </c>
      <c r="M238" s="2" t="str">
        <f>IFERROR(__xludf.DUMMYFUNCTION("GOOGLETRANSLATE(C238,""en"",""ur"")"),"پولو")</f>
        <v>پولو</v>
      </c>
      <c r="N238" s="2" t="str">
        <f>IFERROR(__xludf.DUMMYFUNCTION("GOOGLETRANSLATE(D238,""en"",""ur"")"),"گھوڑوں کی دوڑ")</f>
        <v>گھوڑوں کی دوڑ</v>
      </c>
      <c r="O238" s="2" t="str">
        <f>IFERROR(__xludf.DUMMYFUNCTION("GOOGLETRANSLATE(E238,""en"",""ur"")"),"بزکشی۔")</f>
        <v>بزکشی۔</v>
      </c>
      <c r="P238" s="2" t="str">
        <f>IFERROR(__xludf.DUMMYFUNCTION("GOOGLETRANSLATE(F238,""en"",""ur"")"),"چتورنگا")</f>
        <v>چتورنگا</v>
      </c>
      <c r="Q238" s="2" t="s">
        <v>98</v>
      </c>
      <c r="R238" s="2" t="str">
        <f>IFERROR(__xludf.DUMMYFUNCTION("GOOGLETRANSLATE(G238,""en"",""ur"")"),"چتورنگا")</f>
        <v>چتورنگا</v>
      </c>
      <c r="S238" s="6" t="s">
        <v>235</v>
      </c>
    </row>
    <row r="239" ht="22.5" customHeight="1">
      <c r="A239" s="4">
        <v>238.0</v>
      </c>
      <c r="B239" s="5" t="s">
        <v>99</v>
      </c>
      <c r="C239" s="5" t="s">
        <v>64</v>
      </c>
      <c r="D239" s="5" t="s">
        <v>65</v>
      </c>
      <c r="E239" s="5" t="s">
        <v>66</v>
      </c>
      <c r="F239" s="5" t="s">
        <v>67</v>
      </c>
      <c r="G239" s="5" t="s">
        <v>65</v>
      </c>
      <c r="H239" s="5" t="s">
        <v>235</v>
      </c>
      <c r="K239" s="2" t="str">
        <f>IFERROR(__xludf.DUMMYFUNCTION("GOOGLETRANSLATE(A239,""en"",""ur"")"),"238")</f>
        <v>238</v>
      </c>
      <c r="L239" s="2" t="str">
        <f>IFERROR(__xludf.DUMMYFUNCTION("GOOGLETRANSLATE(B239,""en"",""ur"")"),"یہ گیم کس ملک سے تعلق کی وجہ سے مشہور ہے؟")</f>
        <v>یہ گیم کس ملک سے تعلق کی وجہ سے مشہور ہے؟</v>
      </c>
      <c r="M239" s="2" t="str">
        <f>IFERROR(__xludf.DUMMYFUNCTION("GOOGLETRANSLATE(C239,""en"",""ur"")"),"چین")</f>
        <v>چین</v>
      </c>
      <c r="N239" s="2" t="str">
        <f>IFERROR(__xludf.DUMMYFUNCTION("GOOGLETRANSLATE(D239,""en"",""ur"")"),"انڈیا")</f>
        <v>انڈیا</v>
      </c>
      <c r="O239" s="2" t="str">
        <f>IFERROR(__xludf.DUMMYFUNCTION("GOOGLETRANSLATE(E239,""en"",""ur"")"),"یورپ")</f>
        <v>یورپ</v>
      </c>
      <c r="P239" s="2" t="str">
        <f>IFERROR(__xludf.DUMMYFUNCTION("GOOGLETRANSLATE(F239,""en"",""ur"")"),"مصر")</f>
        <v>مصر</v>
      </c>
      <c r="Q239" s="2" t="s">
        <v>68</v>
      </c>
      <c r="R239" s="2" t="str">
        <f>IFERROR(__xludf.DUMMYFUNCTION("GOOGLETRANSLATE(G239,""en"",""ur"")"),"انڈیا")</f>
        <v>انڈیا</v>
      </c>
      <c r="S239" s="6" t="s">
        <v>235</v>
      </c>
    </row>
    <row r="240" ht="22.5" customHeight="1">
      <c r="A240" s="4">
        <v>239.0</v>
      </c>
      <c r="B240" s="5" t="s">
        <v>16</v>
      </c>
      <c r="C240" s="5" t="s">
        <v>58</v>
      </c>
      <c r="D240" s="5" t="s">
        <v>59</v>
      </c>
      <c r="E240" s="5" t="s">
        <v>60</v>
      </c>
      <c r="F240" s="5" t="s">
        <v>61</v>
      </c>
      <c r="G240" s="5" t="s">
        <v>60</v>
      </c>
      <c r="H240" s="5" t="s">
        <v>235</v>
      </c>
      <c r="K240" s="2" t="str">
        <f>IFERROR(__xludf.DUMMYFUNCTION("GOOGLETRANSLATE(A240,""en"",""ur"")"),"239")</f>
        <v>239</v>
      </c>
      <c r="L240" s="2" t="str">
        <f>IFERROR(__xludf.DUMMYFUNCTION("GOOGLETRANSLATE(B240,""en"",""ur"")"),"ٹکڑوں کے بارے میں ایک قابل ذکر تفصیل کیا ہے؟")</f>
        <v>ٹکڑوں کے بارے میں ایک قابل ذکر تفصیل کیا ہے؟</v>
      </c>
      <c r="M240" s="2" t="str">
        <f>IFERROR(__xludf.DUMMYFUNCTION("GOOGLETRANSLATE(C240,""en"",""ur"")"),"وہ سب ایک ہی قد کے ہیں۔")</f>
        <v>وہ سب ایک ہی قد کے ہیں۔</v>
      </c>
      <c r="N240" s="2" t="str">
        <f>IFERROR(__xludf.DUMMYFUNCTION("GOOGLETRANSLATE(D240,""en"",""ur"")"),"وہ سب ایک ہی رنگ کے ہیں۔")</f>
        <v>وہ سب ایک ہی رنگ کے ہیں۔</v>
      </c>
      <c r="O240" s="2" t="str">
        <f>IFERROR(__xludf.DUMMYFUNCTION("GOOGLETRANSLATE(E240,""en"",""ur"")"),"وہ رنگوں اور ڈیزائنوں کا مرکب ہیں۔")</f>
        <v>وہ رنگوں اور ڈیزائنوں کا مرکب ہیں۔</v>
      </c>
      <c r="P240" s="2" t="str">
        <f>IFERROR(__xludf.DUMMYFUNCTION("GOOGLETRANSLATE(F240,""en"",""ur"")"),"وہ سب وسیع نمونوں کے ساتھ زین پہنے ہوئے ہیں۔")</f>
        <v>وہ سب وسیع نمونوں کے ساتھ زین پہنے ہوئے ہیں۔</v>
      </c>
      <c r="Q240" s="2" t="s">
        <v>62</v>
      </c>
      <c r="R240" s="2" t="str">
        <f>IFERROR(__xludf.DUMMYFUNCTION("GOOGLETRANSLATE(G240,""en"",""ur"")"),"وہ رنگوں اور ڈیزائنوں کا مرکب ہیں۔")</f>
        <v>وہ رنگوں اور ڈیزائنوں کا مرکب ہیں۔</v>
      </c>
      <c r="S240" s="6" t="s">
        <v>235</v>
      </c>
    </row>
    <row r="241" ht="22.5" customHeight="1">
      <c r="A241" s="4">
        <v>240.0</v>
      </c>
      <c r="B241" s="5" t="s">
        <v>16</v>
      </c>
      <c r="C241" s="5" t="s">
        <v>59</v>
      </c>
      <c r="D241" s="5" t="s">
        <v>60</v>
      </c>
      <c r="E241" s="5" t="s">
        <v>20</v>
      </c>
      <c r="F241" s="5" t="s">
        <v>100</v>
      </c>
      <c r="G241" s="5" t="s">
        <v>60</v>
      </c>
      <c r="H241" s="5" t="s">
        <v>235</v>
      </c>
      <c r="K241" s="2" t="str">
        <f>IFERROR(__xludf.DUMMYFUNCTION("GOOGLETRANSLATE(A241,""en"",""ur"")"),"240")</f>
        <v>240</v>
      </c>
      <c r="L241" s="2" t="str">
        <f>IFERROR(__xludf.DUMMYFUNCTION("GOOGLETRANSLATE(B241,""en"",""ur"")"),"ٹکڑوں کے بارے میں ایک قابل ذکر تفصیل کیا ہے؟")</f>
        <v>ٹکڑوں کے بارے میں ایک قابل ذکر تفصیل کیا ہے؟</v>
      </c>
      <c r="M241" s="2" t="str">
        <f>IFERROR(__xludf.DUMMYFUNCTION("GOOGLETRANSLATE(C241,""en"",""ur"")"),"وہ سب ایک ہی رنگ کے ہیں۔")</f>
        <v>وہ سب ایک ہی رنگ کے ہیں۔</v>
      </c>
      <c r="N241" s="2" t="str">
        <f>IFERROR(__xludf.DUMMYFUNCTION("GOOGLETRANSLATE(D241,""en"",""ur"")"),"وہ رنگوں اور ڈیزائنوں کا مرکب ہیں۔")</f>
        <v>وہ رنگوں اور ڈیزائنوں کا مرکب ہیں۔</v>
      </c>
      <c r="O241" s="2" t="str">
        <f>IFERROR(__xludf.DUMMYFUNCTION("GOOGLETRANSLATE(E241,""en"",""ur"")"),"وہ سب سفید فام ہیں۔")</f>
        <v>وہ سب سفید فام ہیں۔</v>
      </c>
      <c r="P241" s="2" t="str">
        <f>IFERROR(__xludf.DUMMYFUNCTION("GOOGLETRANSLATE(F241,""en"",""ur"")"),"وہ سب کالے ہیں۔")</f>
        <v>وہ سب کالے ہیں۔</v>
      </c>
      <c r="Q241" s="2" t="s">
        <v>101</v>
      </c>
      <c r="R241" s="2" t="str">
        <f>IFERROR(__xludf.DUMMYFUNCTION("GOOGLETRANSLATE(G241,""en"",""ur"")"),"وہ رنگوں اور ڈیزائنوں کا مرکب ہیں۔")</f>
        <v>وہ رنگوں اور ڈیزائنوں کا مرکب ہیں۔</v>
      </c>
      <c r="S241" s="6" t="s">
        <v>235</v>
      </c>
    </row>
    <row r="242" ht="22.5" customHeight="1">
      <c r="A242" s="4">
        <v>241.0</v>
      </c>
      <c r="B242" s="5" t="s">
        <v>69</v>
      </c>
      <c r="C242" s="5" t="s">
        <v>12</v>
      </c>
      <c r="D242" s="5" t="s">
        <v>71</v>
      </c>
      <c r="E242" s="5" t="s">
        <v>72</v>
      </c>
      <c r="F242" s="5" t="s">
        <v>73</v>
      </c>
      <c r="G242" s="5" t="s">
        <v>12</v>
      </c>
      <c r="H242" s="5" t="s">
        <v>74</v>
      </c>
      <c r="K242" s="2" t="str">
        <f>IFERROR(__xludf.DUMMYFUNCTION("GOOGLETRANSLATE(A242,""en"",""ur"")"),"241")</f>
        <v>241</v>
      </c>
      <c r="L242" s="2" t="str">
        <f>IFERROR(__xludf.DUMMYFUNCTION("GOOGLETRANSLATE(B242,""en"",""ur"")"),"چترنگا_2 میں دکھایا گیا اہم عمل کیا ہے؟")</f>
        <v>چترنگا_2 میں دکھایا گیا اہم عمل کیا ہے؟</v>
      </c>
      <c r="M242" s="2" t="str">
        <f>IFERROR(__xludf.DUMMYFUNCTION("GOOGLETRANSLATE(C242,""en"",""ur"")"),"انتہائی آرائشی ٹکڑوں کے ساتھ ایک بساط")</f>
        <v>انتہائی آرائشی ٹکڑوں کے ساتھ ایک بساط</v>
      </c>
      <c r="N242" s="2" t="str">
        <f>IFERROR(__xludf.DUMMYFUNCTION("GOOGLETRANSLATE(D242,""en"",""ur"")"),"سواروں کا ایک گروپ جو مرکزی چیز کے لیے مقابلہ کر رہا ہے۔")</f>
        <v>سواروں کا ایک گروپ جو مرکزی چیز کے لیے مقابلہ کر رہا ہے۔</v>
      </c>
      <c r="O242" s="2" t="str">
        <f>IFERROR(__xludf.DUMMYFUNCTION("GOOGLETRANSLATE(E242,""en"",""ur"")"),"گھوڑوں کی پریڈ")</f>
        <v>گھوڑوں کی پریڈ</v>
      </c>
      <c r="P242" s="2" t="str">
        <f>IFERROR(__xludf.DUMMYFUNCTION("GOOGLETRANSLATE(F242,""en"",""ur"")"),"گھوڑوں کی دوڑ")</f>
        <v>گھوڑوں کی دوڑ</v>
      </c>
      <c r="Q242" s="2" t="s">
        <v>182</v>
      </c>
      <c r="R242" s="2" t="str">
        <f>IFERROR(__xludf.DUMMYFUNCTION("GOOGLETRANSLATE(G242,""en"",""ur"")"),"انتہائی آرائشی ٹکڑوں کے ساتھ ایک بساط")</f>
        <v>انتہائی آرائشی ٹکڑوں کے ساتھ ایک بساط</v>
      </c>
      <c r="S242" s="6" t="s">
        <v>74</v>
      </c>
    </row>
    <row r="243" ht="22.5" customHeight="1">
      <c r="A243" s="4">
        <v>242.0</v>
      </c>
      <c r="B243" s="5" t="s">
        <v>16</v>
      </c>
      <c r="C243" s="5" t="s">
        <v>17</v>
      </c>
      <c r="D243" s="5" t="s">
        <v>18</v>
      </c>
      <c r="E243" s="5" t="s">
        <v>19</v>
      </c>
      <c r="F243" s="5" t="s">
        <v>20</v>
      </c>
      <c r="G243" s="5" t="s">
        <v>18</v>
      </c>
      <c r="H243" s="5" t="s">
        <v>74</v>
      </c>
      <c r="K243" s="2" t="str">
        <f>IFERROR(__xludf.DUMMYFUNCTION("GOOGLETRANSLATE(A243,""en"",""ur"")"),"242")</f>
        <v>242</v>
      </c>
      <c r="L243" s="2" t="str">
        <f>IFERROR(__xludf.DUMMYFUNCTION("GOOGLETRANSLATE(B243,""en"",""ur"")"),"ٹکڑوں کے بارے میں ایک قابل ذکر تفصیل کیا ہے؟")</f>
        <v>ٹکڑوں کے بارے میں ایک قابل ذکر تفصیل کیا ہے؟</v>
      </c>
      <c r="M243" s="2" t="str">
        <f>IFERROR(__xludf.DUMMYFUNCTION("GOOGLETRANSLATE(C243,""en"",""ur"")"),"وہ سب ایک جیسے ہیں۔")</f>
        <v>وہ سب ایک جیسے ہیں۔</v>
      </c>
      <c r="N243" s="2" t="str">
        <f>IFERROR(__xludf.DUMMYFUNCTION("GOOGLETRANSLATE(D243,""en"",""ur"")"),"وہ ایک تاریخی فوج کی نمائندگی کرنے والی انتہائی اسٹائلائزڈ شخصیات ہیں۔")</f>
        <v>وہ ایک تاریخی فوج کی نمائندگی کرنے والی انتہائی اسٹائلائزڈ شخصیات ہیں۔</v>
      </c>
      <c r="O243" s="2" t="str">
        <f>IFERROR(__xludf.DUMMYFUNCTION("GOOGLETRANSLATE(E243,""en"",""ur"")"),"وہ پلاسٹک سے بنے ہیں۔")</f>
        <v>وہ پلاسٹک سے بنے ہیں۔</v>
      </c>
      <c r="P243" s="2" t="str">
        <f>IFERROR(__xludf.DUMMYFUNCTION("GOOGLETRANSLATE(F243,""en"",""ur"")"),"وہ سب سفید فام ہیں۔")</f>
        <v>وہ سب سفید فام ہیں۔</v>
      </c>
      <c r="Q243" s="2" t="s">
        <v>21</v>
      </c>
      <c r="R243" s="2" t="str">
        <f>IFERROR(__xludf.DUMMYFUNCTION("GOOGLETRANSLATE(G243,""en"",""ur"")"),"وہ ایک تاریخی فوج کی نمائندگی کرنے والی انتہائی اسٹائلائزڈ شخصیات ہیں۔")</f>
        <v>وہ ایک تاریخی فوج کی نمائندگی کرنے والی انتہائی اسٹائلائزڈ شخصیات ہیں۔</v>
      </c>
      <c r="S243" s="6" t="s">
        <v>74</v>
      </c>
    </row>
    <row r="244" ht="22.5" customHeight="1">
      <c r="A244" s="4">
        <v>243.0</v>
      </c>
      <c r="B244" s="5" t="s">
        <v>22</v>
      </c>
      <c r="C244" s="5" t="s">
        <v>23</v>
      </c>
      <c r="D244" s="5" t="s">
        <v>24</v>
      </c>
      <c r="E244" s="5" t="s">
        <v>25</v>
      </c>
      <c r="F244" s="5" t="s">
        <v>26</v>
      </c>
      <c r="G244" s="5" t="s">
        <v>23</v>
      </c>
      <c r="H244" s="5" t="s">
        <v>74</v>
      </c>
      <c r="K244" s="2" t="str">
        <f>IFERROR(__xludf.DUMMYFUNCTION("GOOGLETRANSLATE(A244,""en"",""ur"")"),"243")</f>
        <v>243</v>
      </c>
      <c r="L244" s="2" t="str">
        <f>IFERROR(__xludf.DUMMYFUNCTION("GOOGLETRANSLATE(B244,""en"",""ur"")"),"بساط کا ظاہری مواد کیا ہے؟")</f>
        <v>بساط کا ظاہری مواد کیا ہے؟</v>
      </c>
      <c r="M244" s="2" t="str">
        <f>IFERROR(__xludf.DUMMYFUNCTION("GOOGLETRANSLATE(C244,""en"",""ur"")"),"کندہ شدہ نمونوں کے ساتھ لکڑی")</f>
        <v>کندہ شدہ نمونوں کے ساتھ لکڑی</v>
      </c>
      <c r="N244" s="2" t="str">
        <f>IFERROR(__xludf.DUMMYFUNCTION("GOOGLETRANSLATE(D244,""en"",""ur"")"),"پلاسٹک")</f>
        <v>پلاسٹک</v>
      </c>
      <c r="O244" s="2" t="str">
        <f>IFERROR(__xludf.DUMMYFUNCTION("GOOGLETRANSLATE(E244,""en"",""ur"")"),"شیشہ")</f>
        <v>شیشہ</v>
      </c>
      <c r="P244" s="2" t="str">
        <f>IFERROR(__xludf.DUMMYFUNCTION("GOOGLETRANSLATE(F244,""en"",""ur"")"),"گتے")</f>
        <v>گتے</v>
      </c>
      <c r="Q244" s="2" t="s">
        <v>27</v>
      </c>
      <c r="R244" s="2" t="str">
        <f>IFERROR(__xludf.DUMMYFUNCTION("GOOGLETRANSLATE(G244,""en"",""ur"")"),"کندہ شدہ نمونوں کے ساتھ لکڑی")</f>
        <v>کندہ شدہ نمونوں کے ساتھ لکڑی</v>
      </c>
      <c r="S244" s="6" t="s">
        <v>74</v>
      </c>
    </row>
    <row r="245" ht="22.5" customHeight="1">
      <c r="A245" s="4">
        <v>244.0</v>
      </c>
      <c r="B245" s="5" t="s">
        <v>28</v>
      </c>
      <c r="C245" s="5" t="s">
        <v>29</v>
      </c>
      <c r="D245" s="5" t="s">
        <v>30</v>
      </c>
      <c r="E245" s="5" t="s">
        <v>31</v>
      </c>
      <c r="F245" s="5" t="s">
        <v>32</v>
      </c>
      <c r="G245" s="5" t="s">
        <v>31</v>
      </c>
      <c r="H245" s="5" t="s">
        <v>74</v>
      </c>
      <c r="K245" s="2" t="str">
        <f>IFERROR(__xludf.DUMMYFUNCTION("GOOGLETRANSLATE(A245,""en"",""ur"")"),"244")</f>
        <v>244</v>
      </c>
      <c r="L245" s="2" t="str">
        <f>IFERROR(__xludf.DUMMYFUNCTION("GOOGLETRANSLATE(B245,""en"",""ur"")"),"تصویر میں ایک لیبل ""CHESS"" دکھایا گیا ہے۔ وہ کون سا تاریخی کھیل ہے جو جدید شطرنج کا پیش خیمہ ہے؟")</f>
        <v>تصویر میں ایک لیبل "CHESS" دکھایا گیا ہے۔ وہ کون سا تاریخی کھیل ہے جو جدید شطرنج کا پیش خیمہ ہے؟</v>
      </c>
      <c r="M245" s="2" t="str">
        <f>IFERROR(__xludf.DUMMYFUNCTION("GOOGLETRANSLATE(C245,""en"",""ur"")"),"چیکرس")</f>
        <v>چیکرس</v>
      </c>
      <c r="N245" s="2" t="str">
        <f>IFERROR(__xludf.DUMMYFUNCTION("GOOGLETRANSLATE(D245,""en"",""ur"")"),"بیکگیمون")</f>
        <v>بیکگیمون</v>
      </c>
      <c r="O245" s="2" t="str">
        <f>IFERROR(__xludf.DUMMYFUNCTION("GOOGLETRANSLATE(E245,""en"",""ur"")"),"چتورنگا")</f>
        <v>چتورنگا</v>
      </c>
      <c r="P245" s="2" t="str">
        <f>IFERROR(__xludf.DUMMYFUNCTION("GOOGLETRANSLATE(F245,""en"",""ur"")"),"جاؤ")</f>
        <v>جاؤ</v>
      </c>
      <c r="Q245" s="2" t="s">
        <v>33</v>
      </c>
      <c r="R245" s="2" t="str">
        <f>IFERROR(__xludf.DUMMYFUNCTION("GOOGLETRANSLATE(G245,""en"",""ur"")"),"چتورنگا")</f>
        <v>چتورنگا</v>
      </c>
      <c r="S245" s="6" t="s">
        <v>74</v>
      </c>
    </row>
    <row r="246" ht="22.5" customHeight="1">
      <c r="A246" s="4">
        <v>245.0</v>
      </c>
      <c r="B246" s="5" t="s">
        <v>34</v>
      </c>
      <c r="C246" s="5" t="s">
        <v>35</v>
      </c>
      <c r="D246" s="5" t="s">
        <v>36</v>
      </c>
      <c r="E246" s="5" t="s">
        <v>37</v>
      </c>
      <c r="F246" s="5" t="s">
        <v>38</v>
      </c>
      <c r="G246" s="5" t="s">
        <v>36</v>
      </c>
      <c r="H246" s="5" t="s">
        <v>74</v>
      </c>
      <c r="K246" s="2" t="str">
        <f>IFERROR(__xludf.DUMMYFUNCTION("GOOGLETRANSLATE(A246,""en"",""ur"")"),"245")</f>
        <v>245</v>
      </c>
      <c r="L246" s="2" t="str">
        <f>IFERROR(__xludf.DUMMYFUNCTION("GOOGLETRANSLATE(B246,""en"",""ur"")"),"""پرسنلائزڈ نام"" لیبل کا بظاہر مقصد کیا ہے؟")</f>
        <v>"پرسنلائزڈ نام" لیبل کا بظاہر مقصد کیا ہے؟</v>
      </c>
      <c r="M246" s="2" t="str">
        <f>IFERROR(__xludf.DUMMYFUNCTION("GOOGLETRANSLATE(C246,""en"",""ur"")"),"یہ کھیل کے قوانین کا حصہ ہے۔")</f>
        <v>یہ کھیل کے قوانین کا حصہ ہے۔</v>
      </c>
      <c r="N246" s="2" t="str">
        <f>IFERROR(__xludf.DUMMYFUNCTION("GOOGLETRANSLATE(D246,""en"",""ur"")"),"یہ حسب ضرورت کے لیے ایک خصوصیت ہے۔")</f>
        <v>یہ حسب ضرورت کے لیے ایک خصوصیت ہے۔</v>
      </c>
      <c r="O246" s="2" t="str">
        <f>IFERROR(__xludf.DUMMYFUNCTION("GOOGLETRANSLATE(E246,""en"",""ur"")"),"یہ ایک تاریخی نشان ہے۔")</f>
        <v>یہ ایک تاریخی نشان ہے۔</v>
      </c>
      <c r="P246" s="2" t="str">
        <f>IFERROR(__xludf.DUMMYFUNCTION("GOOGLETRANSLATE(F246,""en"",""ur"")"),"یہ ایک برانڈ کا نام ہے۔")</f>
        <v>یہ ایک برانڈ کا نام ہے۔</v>
      </c>
      <c r="Q246" s="2" t="s">
        <v>39</v>
      </c>
      <c r="R246" s="2" t="str">
        <f>IFERROR(__xludf.DUMMYFUNCTION("GOOGLETRANSLATE(G246,""en"",""ur"")"),"یہ حسب ضرورت کے لیے ایک خصوصیت ہے۔")</f>
        <v>یہ حسب ضرورت کے لیے ایک خصوصیت ہے۔</v>
      </c>
      <c r="S246" s="6" t="s">
        <v>74</v>
      </c>
    </row>
    <row r="247" ht="22.5" customHeight="1">
      <c r="A247" s="4">
        <v>246.0</v>
      </c>
      <c r="B247" s="5" t="s">
        <v>40</v>
      </c>
      <c r="C247" s="5" t="s">
        <v>41</v>
      </c>
      <c r="D247" s="5" t="s">
        <v>42</v>
      </c>
      <c r="E247" s="5" t="s">
        <v>43</v>
      </c>
      <c r="F247" s="5" t="s">
        <v>44</v>
      </c>
      <c r="G247" s="5" t="s">
        <v>42</v>
      </c>
      <c r="H247" s="5" t="s">
        <v>74</v>
      </c>
      <c r="K247" s="2" t="str">
        <f>IFERROR(__xludf.DUMMYFUNCTION("GOOGLETRANSLATE(A247,""en"",""ur"")"),"246")</f>
        <v>246</v>
      </c>
      <c r="L247" s="2" t="str">
        <f>IFERROR(__xludf.DUMMYFUNCTION("GOOGLETRANSLATE(B247,""en"",""ur"")"),"بورڈ کے ڈیزائن کی سب سے نمایاں خصوصیت کیا ہے؟")</f>
        <v>بورڈ کے ڈیزائن کی سب سے نمایاں خصوصیت کیا ہے؟</v>
      </c>
      <c r="M247" s="2" t="str">
        <f>IFERROR(__xludf.DUMMYFUNCTION("GOOGLETRANSLATE(C247,""en"",""ur"")"),"یہ ایک سادہ، چیکر سطح ہے")</f>
        <v>یہ ایک سادہ، چیکر سطح ہے</v>
      </c>
      <c r="N247" s="2" t="str">
        <f>IFERROR(__xludf.DUMMYFUNCTION("GOOGLETRANSLATE(D247,""en"",""ur"")"),"اس میں پیچیدہ کندہ شدہ نمونے ہیں۔")</f>
        <v>اس میں پیچیدہ کندہ شدہ نمونے ہیں۔</v>
      </c>
      <c r="O247" s="2" t="str">
        <f>IFERROR(__xludf.DUMMYFUNCTION("GOOGLETRANSLATE(E247,""en"",""ur"")"),"یہ ایک ٹھوس رنگ ہے۔")</f>
        <v>یہ ایک ٹھوس رنگ ہے۔</v>
      </c>
      <c r="P247" s="2" t="str">
        <f>IFERROR(__xludf.DUMMYFUNCTION("GOOGLETRANSLATE(F247,""en"",""ur"")"),"یہ ایک سرکلر بورڈ ہے۔")</f>
        <v>یہ ایک سرکلر بورڈ ہے۔</v>
      </c>
      <c r="Q247" s="2" t="s">
        <v>45</v>
      </c>
      <c r="R247" s="2" t="str">
        <f>IFERROR(__xludf.DUMMYFUNCTION("GOOGLETRANSLATE(G247,""en"",""ur"")"),"اس میں پیچیدہ کندہ شدہ نمونے ہیں۔")</f>
        <v>اس میں پیچیدہ کندہ شدہ نمونے ہیں۔</v>
      </c>
      <c r="S247" s="6" t="s">
        <v>74</v>
      </c>
    </row>
    <row r="248" ht="22.5" customHeight="1">
      <c r="A248" s="4">
        <v>247.0</v>
      </c>
      <c r="B248" s="5" t="s">
        <v>46</v>
      </c>
      <c r="C248" s="5" t="s">
        <v>47</v>
      </c>
      <c r="D248" s="5" t="s">
        <v>48</v>
      </c>
      <c r="E248" s="5" t="s">
        <v>49</v>
      </c>
      <c r="F248" s="5" t="s">
        <v>50</v>
      </c>
      <c r="G248" s="5" t="s">
        <v>49</v>
      </c>
      <c r="H248" s="5" t="s">
        <v>74</v>
      </c>
      <c r="K248" s="2" t="str">
        <f>IFERROR(__xludf.DUMMYFUNCTION("GOOGLETRANSLATE(A248,""en"",""ur"")"),"247")</f>
        <v>247</v>
      </c>
      <c r="L248" s="2" t="str">
        <f>IFERROR(__xludf.DUMMYFUNCTION("GOOGLETRANSLATE(B248,""en"",""ur"")"),"کھلاڑیوں کے چہروں سے ظاہری جذبات کیا ہیں؟")</f>
        <v>کھلاڑیوں کے چہروں سے ظاہری جذبات کیا ہیں؟</v>
      </c>
      <c r="M248" s="2" t="str">
        <f>IFERROR(__xludf.DUMMYFUNCTION("GOOGLETRANSLATE(C248,""en"",""ur"")"),"پرسکون اور پر سکون")</f>
        <v>پرسکون اور پر سکون</v>
      </c>
      <c r="N248" s="2" t="str">
        <f>IFERROR(__xludf.DUMMYFUNCTION("GOOGLETRANSLATE(D248,""en"",""ur"")"),"خوف زدہ اور بے چین")</f>
        <v>خوف زدہ اور بے چین</v>
      </c>
      <c r="O248" s="2" t="str">
        <f>IFERROR(__xludf.DUMMYFUNCTION("GOOGLETRANSLATE(E248,""en"",""ur"")"),"کشیدہ اور شدید")</f>
        <v>کشیدہ اور شدید</v>
      </c>
      <c r="P248" s="2" t="str">
        <f>IFERROR(__xludf.DUMMYFUNCTION("GOOGLETRANSLATE(F248,""en"",""ur"")"),"خوش اور مسکراتے ہوئے۔")</f>
        <v>خوش اور مسکراتے ہوئے۔</v>
      </c>
      <c r="Q248" s="2" t="s">
        <v>51</v>
      </c>
      <c r="R248" s="2" t="str">
        <f>IFERROR(__xludf.DUMMYFUNCTION("GOOGLETRANSLATE(G248,""en"",""ur"")"),"کشیدہ اور شدید")</f>
        <v>کشیدہ اور شدید</v>
      </c>
      <c r="S248" s="6" t="s">
        <v>74</v>
      </c>
    </row>
    <row r="249" ht="22.5" customHeight="1">
      <c r="A249" s="4">
        <v>248.0</v>
      </c>
      <c r="B249" s="5" t="s">
        <v>52</v>
      </c>
      <c r="C249" s="5" t="s">
        <v>53</v>
      </c>
      <c r="D249" s="5" t="s">
        <v>54</v>
      </c>
      <c r="E249" s="5" t="s">
        <v>55</v>
      </c>
      <c r="F249" s="5" t="s">
        <v>56</v>
      </c>
      <c r="G249" s="5" t="s">
        <v>53</v>
      </c>
      <c r="H249" s="5" t="s">
        <v>74</v>
      </c>
      <c r="K249" s="2" t="str">
        <f>IFERROR(__xludf.DUMMYFUNCTION("GOOGLETRANSLATE(A249,""en"",""ur"")"),"248")</f>
        <v>248</v>
      </c>
      <c r="L249" s="2" t="str">
        <f>IFERROR(__xludf.DUMMYFUNCTION("GOOGLETRANSLATE(B249,""en"",""ur"")"),"ٹکڑوں کو ایک مخصوص شکل میں ترتیب دیا گیا ہے۔ یہ تشکیل کس لیے ہے؟")</f>
        <v>ٹکڑوں کو ایک مخصوص شکل میں ترتیب دیا گیا ہے۔ یہ تشکیل کس لیے ہے؟</v>
      </c>
      <c r="M249" s="2" t="str">
        <f>IFERROR(__xludf.DUMMYFUNCTION("GOOGLETRANSLATE(C249,""en"",""ur"")"),"ایک کھیل کا آغاز")</f>
        <v>ایک کھیل کا آغاز</v>
      </c>
      <c r="N249" s="2" t="str">
        <f>IFERROR(__xludf.DUMMYFUNCTION("GOOGLETRANSLATE(D249,""en"",""ur"")"),"کھیل کا وسط")</f>
        <v>کھیل کا وسط</v>
      </c>
      <c r="O249" s="2" t="str">
        <f>IFERROR(__xludf.DUMMYFUNCTION("GOOGLETRANSLATE(E249,""en"",""ur"")"),"ایک کھیل کا اختتام")</f>
        <v>ایک کھیل کا اختتام</v>
      </c>
      <c r="P249" s="2" t="str">
        <f>IFERROR(__xludf.DUMMYFUNCTION("GOOGLETRANSLATE(F249,""en"",""ur"")"),"بے ترتیب ترتیب")</f>
        <v>بے ترتیب ترتیب</v>
      </c>
      <c r="Q249" s="2" t="s">
        <v>57</v>
      </c>
      <c r="R249" s="2" t="str">
        <f>IFERROR(__xludf.DUMMYFUNCTION("GOOGLETRANSLATE(G249,""en"",""ur"")"),"ایک کھیل کا آغاز")</f>
        <v>ایک کھیل کا آغاز</v>
      </c>
      <c r="S249" s="6" t="s">
        <v>74</v>
      </c>
    </row>
    <row r="250" ht="22.5" customHeight="1">
      <c r="A250" s="4">
        <v>249.0</v>
      </c>
      <c r="B250" s="5" t="s">
        <v>16</v>
      </c>
      <c r="C250" s="5" t="s">
        <v>58</v>
      </c>
      <c r="D250" s="5" t="s">
        <v>59</v>
      </c>
      <c r="E250" s="5" t="s">
        <v>60</v>
      </c>
      <c r="F250" s="5" t="s">
        <v>61</v>
      </c>
      <c r="G250" s="5" t="s">
        <v>60</v>
      </c>
      <c r="H250" s="5" t="s">
        <v>74</v>
      </c>
      <c r="K250" s="2" t="str">
        <f>IFERROR(__xludf.DUMMYFUNCTION("GOOGLETRANSLATE(A250,""en"",""ur"")"),"249")</f>
        <v>249</v>
      </c>
      <c r="L250" s="2" t="str">
        <f>IFERROR(__xludf.DUMMYFUNCTION("GOOGLETRANSLATE(B250,""en"",""ur"")"),"ٹکڑوں کے بارے میں ایک قابل ذکر تفصیل کیا ہے؟")</f>
        <v>ٹکڑوں کے بارے میں ایک قابل ذکر تفصیل کیا ہے؟</v>
      </c>
      <c r="M250" s="2" t="str">
        <f>IFERROR(__xludf.DUMMYFUNCTION("GOOGLETRANSLATE(C250,""en"",""ur"")"),"وہ سب ایک ہی قد کے ہیں۔")</f>
        <v>وہ سب ایک ہی قد کے ہیں۔</v>
      </c>
      <c r="N250" s="2" t="str">
        <f>IFERROR(__xludf.DUMMYFUNCTION("GOOGLETRANSLATE(D250,""en"",""ur"")"),"وہ سب ایک ہی رنگ کے ہیں۔")</f>
        <v>وہ سب ایک ہی رنگ کے ہیں۔</v>
      </c>
      <c r="O250" s="2" t="str">
        <f>IFERROR(__xludf.DUMMYFUNCTION("GOOGLETRANSLATE(E250,""en"",""ur"")"),"وہ رنگوں اور ڈیزائنوں کا مرکب ہیں۔")</f>
        <v>وہ رنگوں اور ڈیزائنوں کا مرکب ہیں۔</v>
      </c>
      <c r="P250" s="2" t="str">
        <f>IFERROR(__xludf.DUMMYFUNCTION("GOOGLETRANSLATE(F250,""en"",""ur"")"),"وہ سب وسیع نمونوں کے ساتھ زین پہنے ہوئے ہیں۔")</f>
        <v>وہ سب وسیع نمونوں کے ساتھ زین پہنے ہوئے ہیں۔</v>
      </c>
      <c r="Q250" s="2" t="s">
        <v>62</v>
      </c>
      <c r="R250" s="2" t="str">
        <f>IFERROR(__xludf.DUMMYFUNCTION("GOOGLETRANSLATE(G250,""en"",""ur"")"),"وہ رنگوں اور ڈیزائنوں کا مرکب ہیں۔")</f>
        <v>وہ رنگوں اور ڈیزائنوں کا مرکب ہیں۔</v>
      </c>
      <c r="S250" s="6" t="s">
        <v>74</v>
      </c>
    </row>
    <row r="251" ht="22.5" customHeight="1">
      <c r="A251" s="4">
        <v>250.0</v>
      </c>
      <c r="B251" s="5" t="s">
        <v>63</v>
      </c>
      <c r="C251" s="5" t="s">
        <v>64</v>
      </c>
      <c r="D251" s="5" t="s">
        <v>65</v>
      </c>
      <c r="E251" s="5" t="s">
        <v>66</v>
      </c>
      <c r="F251" s="5" t="s">
        <v>67</v>
      </c>
      <c r="G251" s="5" t="s">
        <v>65</v>
      </c>
      <c r="H251" s="5" t="s">
        <v>74</v>
      </c>
      <c r="K251" s="2" t="str">
        <f>IFERROR(__xludf.DUMMYFUNCTION("GOOGLETRANSLATE(A251,""en"",""ur"")"),"250")</f>
        <v>250</v>
      </c>
      <c r="L251" s="2" t="str">
        <f>IFERROR(__xludf.DUMMYFUNCTION("GOOGLETRANSLATE(B251,""en"",""ur"")"),"چتورنگا کا تاریخی کھیل کس ملک سے تعلق کے لیے جانا جاتا ہے؟")</f>
        <v>چتورنگا کا تاریخی کھیل کس ملک سے تعلق کے لیے جانا جاتا ہے؟</v>
      </c>
      <c r="M251" s="2" t="str">
        <f>IFERROR(__xludf.DUMMYFUNCTION("GOOGLETRANSLATE(C251,""en"",""ur"")"),"چین")</f>
        <v>چین</v>
      </c>
      <c r="N251" s="2" t="str">
        <f>IFERROR(__xludf.DUMMYFUNCTION("GOOGLETRANSLATE(D251,""en"",""ur"")"),"انڈیا")</f>
        <v>انڈیا</v>
      </c>
      <c r="O251" s="2" t="str">
        <f>IFERROR(__xludf.DUMMYFUNCTION("GOOGLETRANSLATE(E251,""en"",""ur"")"),"یورپ")</f>
        <v>یورپ</v>
      </c>
      <c r="P251" s="2" t="str">
        <f>IFERROR(__xludf.DUMMYFUNCTION("GOOGLETRANSLATE(F251,""en"",""ur"")"),"مصر")</f>
        <v>مصر</v>
      </c>
      <c r="Q251" s="2" t="s">
        <v>68</v>
      </c>
      <c r="R251" s="2" t="str">
        <f>IFERROR(__xludf.DUMMYFUNCTION("GOOGLETRANSLATE(G251,""en"",""ur"")"),"انڈیا")</f>
        <v>انڈیا</v>
      </c>
      <c r="S251" s="6" t="s">
        <v>74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7.63"/>
    <col customWidth="1" min="3" max="3" width="33.13"/>
    <col customWidth="1" min="4" max="4" width="36.88"/>
    <col customWidth="1" min="5" max="5" width="37.63"/>
    <col customWidth="1" min="6" max="6" width="24.0"/>
    <col customWidth="1" min="7" max="7" width="36.88"/>
  </cols>
  <sheetData>
    <row r="1" ht="22.5" customHeight="1">
      <c r="A1" s="1" t="s">
        <v>0</v>
      </c>
      <c r="B1" s="1" t="s">
        <v>1</v>
      </c>
      <c r="C1" s="1" t="s">
        <v>2</v>
      </c>
      <c r="D1" s="1" t="s">
        <v>3</v>
      </c>
      <c r="E1" s="1" t="s">
        <v>4</v>
      </c>
      <c r="F1" s="1" t="s">
        <v>5</v>
      </c>
      <c r="G1" s="1" t="s">
        <v>6</v>
      </c>
      <c r="H1" s="1" t="s">
        <v>7</v>
      </c>
      <c r="K1" s="2" t="str">
        <f>IFERROR(__xludf.DUMMYFUNCTION("GOOGLETRANSLATE(A1,""en"",""ur"")"),"سوال نمبر z")</f>
        <v>سوال نمبر z</v>
      </c>
      <c r="L1" s="2" t="str">
        <f>IFERROR(__xludf.DUMMYFUNCTION("GOOGLETRANSLATE(B1,""en"",""ur"")"),"سوال")</f>
        <v>سوال</v>
      </c>
      <c r="M1" s="2" t="str">
        <f>IFERROR(__xludf.DUMMYFUNCTION("GOOGLETRANSLATE(C1,""en"",""ur"")"),"آپشن-1 زیڈ")</f>
        <v>آپشن-1 زیڈ</v>
      </c>
      <c r="N1" s="2" t="str">
        <f>IFERROR(__xludf.DUMMYFUNCTION("GOOGLETRANSLATE(D1,""en"",""ur"")"),"آپشن-2ز")</f>
        <v>آپشن-2ز</v>
      </c>
      <c r="O1" s="2" t="str">
        <f>IFERROR(__xludf.DUMMYFUNCTION("GOOGLETRANSLATE(E1,""en"",""ur"")"),"آپشن-3z")</f>
        <v>آپشن-3z</v>
      </c>
      <c r="P1" s="2" t="str">
        <f>IFERROR(__xludf.DUMMYFUNCTION("GOOGLETRANSLATE(F1,""en"",""ur"")"),"آپشن-4z")</f>
        <v>آپشن-4z</v>
      </c>
      <c r="Q1" s="3" t="s">
        <v>8</v>
      </c>
      <c r="R1" s="2" t="str">
        <f>IFERROR(__xludf.DUMMYFUNCTION("GOOGLETRANSLATE(G1,""en"",""ur"")"),"جواب")</f>
        <v>جواب</v>
      </c>
      <c r="S1" s="1" t="s">
        <v>9</v>
      </c>
    </row>
    <row r="2" ht="22.5" customHeight="1">
      <c r="A2" s="4">
        <v>1.0</v>
      </c>
      <c r="B2" s="5" t="s">
        <v>236</v>
      </c>
      <c r="C2" s="5" t="s">
        <v>103</v>
      </c>
      <c r="D2" s="5" t="s">
        <v>71</v>
      </c>
      <c r="E2" s="5" t="s">
        <v>72</v>
      </c>
      <c r="F2" s="5" t="s">
        <v>73</v>
      </c>
      <c r="G2" s="5" t="s">
        <v>71</v>
      </c>
      <c r="H2" s="5" t="s">
        <v>237</v>
      </c>
      <c r="K2" s="2" t="str">
        <f>IFERROR(__xludf.DUMMYFUNCTION("GOOGLETRANSLATE(A2,""en"",""ur"")"),"1")</f>
        <v>1</v>
      </c>
      <c r="L2" s="2" t="str">
        <f>IFERROR(__xludf.DUMMYFUNCTION("GOOGLETRANSLATE(B2,""en"",""ur"")"),"buzkashi_1 میں دکھائی جانے والی اہم کارروائی کیا ہے؟")</f>
        <v>buzkashi_1 میں دکھائی جانے والی اہم کارروائی کیا ہے؟</v>
      </c>
      <c r="M2" s="2" t="str">
        <f>IFERROR(__xludf.DUMMYFUNCTION("GOOGLETRANSLATE(C2,""en"",""ur"")"),"آرام سے گھوڑے کی سواری۔")</f>
        <v>آرام سے گھوڑے کی سواری۔</v>
      </c>
      <c r="N2" s="2" t="str">
        <f>IFERROR(__xludf.DUMMYFUNCTION("GOOGLETRANSLATE(D2,""en"",""ur"")"),"سواروں کا ایک گروپ جو مرکزی چیز کے لیے مقابلہ کر رہا ہے۔")</f>
        <v>سواروں کا ایک گروپ جو مرکزی چیز کے لیے مقابلہ کر رہا ہے۔</v>
      </c>
      <c r="O2" s="2" t="str">
        <f>IFERROR(__xludf.DUMMYFUNCTION("GOOGLETRANSLATE(E2,""en"",""ur"")"),"گھوڑوں کی پریڈ")</f>
        <v>گھوڑوں کی پریڈ</v>
      </c>
      <c r="P2" s="2" t="str">
        <f>IFERROR(__xludf.DUMMYFUNCTION("GOOGLETRANSLATE(F2,""en"",""ur"")"),"گھوڑوں کی دوڑ")</f>
        <v>گھوڑوں کی دوڑ</v>
      </c>
      <c r="Q2" s="2" t="str">
        <f t="array" ref="Q2:Q391">TRIM(" (A) " &amp; M2:M391 &amp; " (B) " &amp; N2:N391 &amp; " (C) " &amp; O2:O391 &amp; " (D) " &amp; P2:P391)</f>
        <v>(A) آرام سے گھوڑے کی سواری۔ (B) سواروں کا ایک گروپ جو مرکزی چیز کے لیے مقابلہ کر رہا ہے۔ (C) گھوڑوں کی پریڈ (D) گھوڑوں کی دوڑ</v>
      </c>
      <c r="R2" s="2" t="str">
        <f>IFERROR(__xludf.DUMMYFUNCTION("GOOGLETRANSLATE(G2,""en"",""ur"")"),"سواروں کا ایک گروپ جو مرکزی چیز کے لیے مقابلہ کر رہا ہے۔")</f>
        <v>سواروں کا ایک گروپ جو مرکزی چیز کے لیے مقابلہ کر رہا ہے۔</v>
      </c>
      <c r="S2" s="5" t="s">
        <v>237</v>
      </c>
    </row>
    <row r="3" ht="22.5" customHeight="1">
      <c r="A3" s="4">
        <v>2.0</v>
      </c>
      <c r="B3" s="5" t="s">
        <v>238</v>
      </c>
      <c r="C3" s="5" t="s">
        <v>239</v>
      </c>
      <c r="D3" s="5" t="s">
        <v>84</v>
      </c>
      <c r="E3" s="5" t="s">
        <v>85</v>
      </c>
      <c r="F3" s="5" t="s">
        <v>240</v>
      </c>
      <c r="G3" s="5" t="s">
        <v>84</v>
      </c>
      <c r="H3" s="5" t="s">
        <v>237</v>
      </c>
      <c r="K3" s="2" t="str">
        <f>IFERROR(__xludf.DUMMYFUNCTION("GOOGLETRANSLATE(A3,""en"",""ur"")"),"2")</f>
        <v>2</v>
      </c>
      <c r="L3" s="2" t="str">
        <f>IFERROR(__xludf.DUMMYFUNCTION("GOOGLETRANSLATE(B3,""en"",""ur"")"),"اس گیم کی ترتیب کے بارے میں ایک قابل ذکر تفصیل کیا ہے؟")</f>
        <v>اس گیم کی ترتیب کے بارے میں ایک قابل ذکر تفصیل کیا ہے؟</v>
      </c>
      <c r="M3" s="2" t="str">
        <f>IFERROR(__xludf.DUMMYFUNCTION("GOOGLETRANSLATE(C3,""en"",""ur"")"),"یہ ایک بڑے اسٹیڈیم میں ہے۔")</f>
        <v>یہ ایک بڑے اسٹیڈیم میں ہے۔</v>
      </c>
      <c r="N3" s="2" t="str">
        <f>IFERROR(__xludf.DUMMYFUNCTION("GOOGLETRANSLATE(D3,""en"",""ur"")"),"یہ پہاڑی، پتھریلی علاقے میں ایک میدان میں ہے۔")</f>
        <v>یہ پہاڑی، پتھریلی علاقے میں ایک میدان میں ہے۔</v>
      </c>
      <c r="O3" s="2" t="str">
        <f>IFERROR(__xludf.DUMMYFUNCTION("GOOGLETRANSLATE(E3,""en"",""ur"")"),"یہ شہر کی سڑک پر ہے۔")</f>
        <v>یہ شہر کی سڑک پر ہے۔</v>
      </c>
      <c r="P3" s="2" t="str">
        <f>IFERROR(__xludf.DUMMYFUNCTION("GOOGLETRANSLATE(F3,""en"",""ur"")"),"یہ ایک پرسکون ساحل سمندر پر ہے۔")</f>
        <v>یہ ایک پرسکون ساحل سمندر پر ہے۔</v>
      </c>
      <c r="Q3" s="2" t="s">
        <v>241</v>
      </c>
      <c r="R3" s="2" t="str">
        <f>IFERROR(__xludf.DUMMYFUNCTION("GOOGLETRANSLATE(G3,""en"",""ur"")"),"یہ پہاڑی، پتھریلی علاقے میں ایک میدان میں ہے۔")</f>
        <v>یہ پہاڑی، پتھریلی علاقے میں ایک میدان میں ہے۔</v>
      </c>
      <c r="S3" s="5" t="s">
        <v>237</v>
      </c>
    </row>
    <row r="4" ht="22.5" customHeight="1">
      <c r="A4" s="4">
        <v>3.0</v>
      </c>
      <c r="B4" s="5" t="s">
        <v>242</v>
      </c>
      <c r="C4" s="5" t="s">
        <v>243</v>
      </c>
      <c r="D4" s="5" t="s">
        <v>244</v>
      </c>
      <c r="E4" s="5" t="s">
        <v>245</v>
      </c>
      <c r="F4" s="5" t="s">
        <v>246</v>
      </c>
      <c r="G4" s="5" t="s">
        <v>244</v>
      </c>
      <c r="H4" s="5" t="s">
        <v>237</v>
      </c>
      <c r="K4" s="2" t="str">
        <f>IFERROR(__xludf.DUMMYFUNCTION("GOOGLETRANSLATE(A4,""en"",""ur"")"),"3")</f>
        <v>3</v>
      </c>
      <c r="L4" s="2" t="str">
        <f>IFERROR(__xludf.DUMMYFUNCTION("GOOGLETRANSLATE(B4,""en"",""ur"")"),"سواروں کے لباس کے بارے میں واضح تفصیل کیا ہے؟")</f>
        <v>سواروں کے لباس کے بارے میں واضح تفصیل کیا ہے؟</v>
      </c>
      <c r="M4" s="2" t="str">
        <f>IFERROR(__xludf.DUMMYFUNCTION("GOOGLETRANSLATE(C4,""en"",""ur"")"),"وہ جدید کھیلوں کی وردی پہنے ہوئے ہیں۔")</f>
        <v>وہ جدید کھیلوں کی وردی پہنے ہوئے ہیں۔</v>
      </c>
      <c r="N4" s="2" t="str">
        <f>IFERROR(__xludf.DUMMYFUNCTION("GOOGLETRANSLATE(D4,""en"",""ur"")"),"انہوں نے روشن نارنجی یا سبز قمیضیں پہن رکھی ہیں۔")</f>
        <v>انہوں نے روشن نارنجی یا سبز قمیضیں پہن رکھی ہیں۔</v>
      </c>
      <c r="O4" s="2" t="str">
        <f>IFERROR(__xludf.DUMMYFUNCTION("GOOGLETRANSLATE(E4,""en"",""ur"")"),"وہ رسمی سوٹ پہنے ہوئے ہیں۔")</f>
        <v>وہ رسمی سوٹ پہنے ہوئے ہیں۔</v>
      </c>
      <c r="P4" s="2" t="str">
        <f>IFERROR(__xludf.DUMMYFUNCTION("GOOGLETRANSLATE(F4,""en"",""ur"")"),"انہوں نے کوئی لباس نہیں پہنا ہوا ہے۔")</f>
        <v>انہوں نے کوئی لباس نہیں پہنا ہوا ہے۔</v>
      </c>
      <c r="Q4" s="2" t="s">
        <v>247</v>
      </c>
      <c r="R4" s="2" t="str">
        <f>IFERROR(__xludf.DUMMYFUNCTION("GOOGLETRANSLATE(G4,""en"",""ur"")"),"انہوں نے روشن نارنجی یا سبز قمیضیں پہن رکھی ہیں۔")</f>
        <v>انہوں نے روشن نارنجی یا سبز قمیضیں پہن رکھی ہیں۔</v>
      </c>
      <c r="S4" s="5" t="s">
        <v>237</v>
      </c>
    </row>
    <row r="5" ht="22.5" customHeight="1">
      <c r="A5" s="4">
        <v>4.0</v>
      </c>
      <c r="B5" s="5" t="s">
        <v>248</v>
      </c>
      <c r="C5" s="5" t="s">
        <v>249</v>
      </c>
      <c r="D5" s="5" t="s">
        <v>250</v>
      </c>
      <c r="E5" s="5" t="s">
        <v>251</v>
      </c>
      <c r="F5" s="5" t="s">
        <v>252</v>
      </c>
      <c r="G5" s="5" t="s">
        <v>250</v>
      </c>
      <c r="H5" s="5" t="s">
        <v>237</v>
      </c>
      <c r="K5" s="2" t="str">
        <f>IFERROR(__xludf.DUMMYFUNCTION("GOOGLETRANSLATE(A5,""en"",""ur"")"),"4")</f>
        <v>4</v>
      </c>
      <c r="L5" s="2" t="str">
        <f>IFERROR(__xludf.DUMMYFUNCTION("GOOGLETRANSLATE(B5,""en"",""ur"")"),"سواروں کی ظاہری باڈی پوزیشن کیا ہے؟")</f>
        <v>سواروں کی ظاہری باڈی پوزیشن کیا ہے؟</v>
      </c>
      <c r="M5" s="2" t="str">
        <f>IFERROR(__xludf.DUMMYFUNCTION("GOOGLETRANSLATE(C5,""en"",""ur"")"),"وہ سیدھے کھڑے ہیں۔")</f>
        <v>وہ سیدھے کھڑے ہیں۔</v>
      </c>
      <c r="N5" s="2" t="str">
        <f>IFERROR(__xludf.DUMMYFUNCTION("GOOGLETRANSLATE(D5,""en"",""ur"")"),"وہ جھک رہے ہیں اور کسی چیز تک پہنچ رہے ہیں۔")</f>
        <v>وہ جھک رہے ہیں اور کسی چیز تک پہنچ رہے ہیں۔</v>
      </c>
      <c r="O5" s="2" t="str">
        <f>IFERROR(__xludf.DUMMYFUNCTION("GOOGLETRANSLATE(E5,""en"",""ur"")"),"وہ گھوڑوں کی پیٹھ پر لیٹے ہوئے ہیں۔")</f>
        <v>وہ گھوڑوں کی پیٹھ پر لیٹے ہوئے ہیں۔</v>
      </c>
      <c r="P5" s="2" t="str">
        <f>IFERROR(__xludf.DUMMYFUNCTION("GOOGLETRANSLATE(F5,""en"",""ur"")"),"وہ آرام سے بیٹھے ہیں۔")</f>
        <v>وہ آرام سے بیٹھے ہیں۔</v>
      </c>
      <c r="Q5" s="2" t="s">
        <v>253</v>
      </c>
      <c r="R5" s="2" t="str">
        <f>IFERROR(__xludf.DUMMYFUNCTION("GOOGLETRANSLATE(G5,""en"",""ur"")"),"وہ جھک رہے ہیں اور کسی چیز تک پہنچ رہے ہیں۔")</f>
        <v>وہ جھک رہے ہیں اور کسی چیز تک پہنچ رہے ہیں۔</v>
      </c>
      <c r="S5" s="5" t="s">
        <v>237</v>
      </c>
    </row>
    <row r="6" ht="22.5" customHeight="1">
      <c r="A6" s="4">
        <v>5.0</v>
      </c>
      <c r="B6" s="5" t="s">
        <v>254</v>
      </c>
      <c r="C6" s="5" t="s">
        <v>47</v>
      </c>
      <c r="D6" s="5" t="s">
        <v>48</v>
      </c>
      <c r="E6" s="5" t="s">
        <v>49</v>
      </c>
      <c r="F6" s="5" t="s">
        <v>50</v>
      </c>
      <c r="G6" s="5" t="s">
        <v>49</v>
      </c>
      <c r="H6" s="5" t="s">
        <v>237</v>
      </c>
      <c r="K6" s="2" t="str">
        <f>IFERROR(__xludf.DUMMYFUNCTION("GOOGLETRANSLATE(A6,""en"",""ur"")"),"5")</f>
        <v>5</v>
      </c>
      <c r="L6" s="2" t="str">
        <f>IFERROR(__xludf.DUMMYFUNCTION("GOOGLETRANSLATE(B6,""en"",""ur"")"),"سواروں کے چہروں سے ظاہری جذبات کیا ہیں؟")</f>
        <v>سواروں کے چہروں سے ظاہری جذبات کیا ہیں؟</v>
      </c>
      <c r="M6" s="2" t="str">
        <f>IFERROR(__xludf.DUMMYFUNCTION("GOOGLETRANSLATE(C6,""en"",""ur"")"),"پرسکون اور پر سکون")</f>
        <v>پرسکون اور پر سکون</v>
      </c>
      <c r="N6" s="2" t="str">
        <f>IFERROR(__xludf.DUMMYFUNCTION("GOOGLETRANSLATE(D6,""en"",""ur"")"),"خوف زدہ اور بے چین")</f>
        <v>خوف زدہ اور بے چین</v>
      </c>
      <c r="O6" s="2" t="str">
        <f>IFERROR(__xludf.DUMMYFUNCTION("GOOGLETRANSLATE(E6,""en"",""ur"")"),"کشیدہ اور شدید")</f>
        <v>کشیدہ اور شدید</v>
      </c>
      <c r="P6" s="2" t="str">
        <f>IFERROR(__xludf.DUMMYFUNCTION("GOOGLETRANSLATE(F6,""en"",""ur"")"),"خوش اور مسکراتے ہوئے۔")</f>
        <v>خوش اور مسکراتے ہوئے۔</v>
      </c>
      <c r="Q6" s="2" t="s">
        <v>51</v>
      </c>
      <c r="R6" s="2" t="str">
        <f>IFERROR(__xludf.DUMMYFUNCTION("GOOGLETRANSLATE(G6,""en"",""ur"")"),"کشیدہ اور شدید")</f>
        <v>کشیدہ اور شدید</v>
      </c>
      <c r="S6" s="5" t="s">
        <v>237</v>
      </c>
    </row>
    <row r="7" ht="22.5" customHeight="1">
      <c r="A7" s="4">
        <v>6.0</v>
      </c>
      <c r="B7" s="5" t="s">
        <v>88</v>
      </c>
      <c r="C7" s="5" t="s">
        <v>89</v>
      </c>
      <c r="D7" s="5" t="s">
        <v>90</v>
      </c>
      <c r="E7" s="5" t="s">
        <v>91</v>
      </c>
      <c r="F7" s="5" t="s">
        <v>255</v>
      </c>
      <c r="G7" s="5" t="s">
        <v>255</v>
      </c>
      <c r="H7" s="5" t="s">
        <v>237</v>
      </c>
      <c r="K7" s="2" t="str">
        <f>IFERROR(__xludf.DUMMYFUNCTION("GOOGLETRANSLATE(A7,""en"",""ur"")"),"6")</f>
        <v>6</v>
      </c>
      <c r="L7" s="2" t="str">
        <f>IFERROR(__xludf.DUMMYFUNCTION("GOOGLETRANSLATE(B7,""en"",""ur"")"),"زمین کی سب سے نمایاں خصوصیت کیا ہے؟")</f>
        <v>زمین کی سب سے نمایاں خصوصیت کیا ہے؟</v>
      </c>
      <c r="M7" s="2" t="str">
        <f>IFERROR(__xludf.DUMMYFUNCTION("GOOGLETRANSLATE(C7,""en"",""ur"")"),"ایک پکی سطح")</f>
        <v>ایک پکی سطح</v>
      </c>
      <c r="N7" s="2" t="str">
        <f>IFERROR(__xludf.DUMMYFUNCTION("GOOGLETRANSLATE(D7,""en"",""ur"")"),"کیچڑ والا میدان")</f>
        <v>کیچڑ والا میدان</v>
      </c>
      <c r="O7" s="2" t="str">
        <f>IFERROR(__xludf.DUMMYFUNCTION("GOOGLETRANSLATE(E7,""en"",""ur"")"),"ایک گھاس دار سطح")</f>
        <v>ایک گھاس دار سطح</v>
      </c>
      <c r="P7" s="2" t="str">
        <f>IFERROR(__xludf.DUMMYFUNCTION("GOOGLETRANSLATE(F7,""en"",""ur"")"),"ریتلی یا گندگی کی سطح")</f>
        <v>ریتلی یا گندگی کی سطح</v>
      </c>
      <c r="Q7" s="2" t="s">
        <v>256</v>
      </c>
      <c r="R7" s="2" t="str">
        <f>IFERROR(__xludf.DUMMYFUNCTION("GOOGLETRANSLATE(G7,""en"",""ur"")"),"ریتلی یا گندگی کی سطح")</f>
        <v>ریتلی یا گندگی کی سطح</v>
      </c>
      <c r="S7" s="5" t="s">
        <v>237</v>
      </c>
    </row>
    <row r="8" ht="22.5" customHeight="1">
      <c r="A8" s="4">
        <v>7.0</v>
      </c>
      <c r="B8" s="5" t="s">
        <v>257</v>
      </c>
      <c r="C8" s="5" t="s">
        <v>95</v>
      </c>
      <c r="D8" s="5" t="s">
        <v>96</v>
      </c>
      <c r="E8" s="5" t="s">
        <v>97</v>
      </c>
      <c r="F8" s="5" t="s">
        <v>258</v>
      </c>
      <c r="G8" s="5" t="s">
        <v>97</v>
      </c>
      <c r="H8" s="5" t="s">
        <v>237</v>
      </c>
      <c r="K8" s="2" t="str">
        <f>IFERROR(__xludf.DUMMYFUNCTION("GOOGLETRANSLATE(A8,""en"",""ur"")"),"7")</f>
        <v>7</v>
      </c>
      <c r="L8" s="2" t="str">
        <f>IFERROR(__xludf.DUMMYFUNCTION("GOOGLETRANSLATE(B8,""en"",""ur"")"),"کھیلے جانے والے کھیل کا نام کیا ہے؟")</f>
        <v>کھیلے جانے والے کھیل کا نام کیا ہے؟</v>
      </c>
      <c r="M8" s="2" t="str">
        <f>IFERROR(__xludf.DUMMYFUNCTION("GOOGLETRANSLATE(C8,""en"",""ur"")"),"پولو")</f>
        <v>پولو</v>
      </c>
      <c r="N8" s="2" t="str">
        <f>IFERROR(__xludf.DUMMYFUNCTION("GOOGLETRANSLATE(D8,""en"",""ur"")"),"گھوڑوں کی دوڑ")</f>
        <v>گھوڑوں کی دوڑ</v>
      </c>
      <c r="O8" s="2" t="str">
        <f>IFERROR(__xludf.DUMMYFUNCTION("GOOGLETRANSLATE(E8,""en"",""ur"")"),"بزکشی۔")</f>
        <v>بزکشی۔</v>
      </c>
      <c r="P8" s="2" t="str">
        <f>IFERROR(__xludf.DUMMYFUNCTION("GOOGLETRANSLATE(F8,""en"",""ur"")"),"گھڑ سواری کے کھیل")</f>
        <v>گھڑ سواری کے کھیل</v>
      </c>
      <c r="Q8" s="2" t="s">
        <v>259</v>
      </c>
      <c r="R8" s="2" t="str">
        <f>IFERROR(__xludf.DUMMYFUNCTION("GOOGLETRANSLATE(G8,""en"",""ur"")"),"بزکشی۔")</f>
        <v>بزکشی۔</v>
      </c>
      <c r="S8" s="5" t="s">
        <v>237</v>
      </c>
    </row>
    <row r="9" ht="22.5" customHeight="1">
      <c r="A9" s="4">
        <v>8.0</v>
      </c>
      <c r="B9" s="5" t="s">
        <v>260</v>
      </c>
      <c r="C9" s="5" t="s">
        <v>261</v>
      </c>
      <c r="D9" s="5" t="s">
        <v>262</v>
      </c>
      <c r="E9" s="5" t="s">
        <v>263</v>
      </c>
      <c r="F9" s="5" t="s">
        <v>264</v>
      </c>
      <c r="G9" s="5" t="s">
        <v>263</v>
      </c>
      <c r="H9" s="5" t="s">
        <v>237</v>
      </c>
      <c r="K9" s="2" t="str">
        <f>IFERROR(__xludf.DUMMYFUNCTION("GOOGLETRANSLATE(A9,""en"",""ur"")"),"8")</f>
        <v>8</v>
      </c>
      <c r="L9" s="2" t="str">
        <f>IFERROR(__xludf.DUMMYFUNCTION("GOOGLETRANSLATE(B9,""en"",""ur"")"),"تصویر میں ایکشن ایک ایسا انداز تجویز کرتا ہے جو اس بات پر زور دیتا ہے...")</f>
        <v>تصویر میں ایکشن ایک ایسا انداز تجویز کرتا ہے جو اس بات پر زور دیتا ہے...</v>
      </c>
      <c r="M9" s="2" t="str">
        <f>IFERROR(__xludf.DUMMYFUNCTION("GOOGLETRANSLATE(C9,""en"",""ur"")"),"روانی اور قلابازیاں")</f>
        <v>روانی اور قلابازیاں</v>
      </c>
      <c r="N9" s="2" t="str">
        <f>IFERROR(__xludf.DUMMYFUNCTION("GOOGLETRANSLATE(D9,""en"",""ur"")"),"زمینی لڑائی اور گرفت")</f>
        <v>زمینی لڑائی اور گرفت</v>
      </c>
      <c r="O9" s="2" t="str">
        <f>IFERROR(__xludf.DUMMYFUNCTION("GOOGLETRANSLATE(E9,""en"",""ur"")"),"وحشیانہ قوت اور گھڑ سواری۔")</f>
        <v>وحشیانہ قوت اور گھڑ سواری۔</v>
      </c>
      <c r="P9" s="2" t="str">
        <f>IFERROR(__xludf.DUMMYFUNCTION("GOOGLETRANSLATE(F9,""en"",""ur"")"),"سادہ، لکیری حرکات")</f>
        <v>سادہ، لکیری حرکات</v>
      </c>
      <c r="Q9" s="2" t="s">
        <v>265</v>
      </c>
      <c r="R9" s="2" t="str">
        <f>IFERROR(__xludf.DUMMYFUNCTION("GOOGLETRANSLATE(G9,""en"",""ur"")"),"وحشیانہ قوت اور گھڑ سواری۔")</f>
        <v>وحشیانہ قوت اور گھڑ سواری۔</v>
      </c>
      <c r="S9" s="5" t="s">
        <v>237</v>
      </c>
    </row>
    <row r="10" ht="22.5" customHeight="1">
      <c r="A10" s="4">
        <v>9.0</v>
      </c>
      <c r="B10" s="5" t="s">
        <v>266</v>
      </c>
      <c r="C10" s="5" t="s">
        <v>59</v>
      </c>
      <c r="D10" s="5" t="s">
        <v>267</v>
      </c>
      <c r="E10" s="5" t="s">
        <v>61</v>
      </c>
      <c r="F10" s="5" t="s">
        <v>268</v>
      </c>
      <c r="G10" s="5" t="s">
        <v>267</v>
      </c>
      <c r="H10" s="5" t="s">
        <v>237</v>
      </c>
      <c r="K10" s="2" t="str">
        <f>IFERROR(__xludf.DUMMYFUNCTION("GOOGLETRANSLATE(A10,""en"",""ur"")"),"9")</f>
        <v>9</v>
      </c>
      <c r="L10" s="2" t="str">
        <f>IFERROR(__xludf.DUMMYFUNCTION("GOOGLETRANSLATE(B10,""en"",""ur"")"),"گھوڑوں کے بارے میں ایک قابل ذکر تفصیل کیا ہے؟")</f>
        <v>گھوڑوں کے بارے میں ایک قابل ذکر تفصیل کیا ہے؟</v>
      </c>
      <c r="M10" s="2" t="str">
        <f>IFERROR(__xludf.DUMMYFUNCTION("GOOGLETRANSLATE(C10,""en"",""ur"")"),"وہ سب ایک ہی رنگ کے ہیں۔")</f>
        <v>وہ سب ایک ہی رنگ کے ہیں۔</v>
      </c>
      <c r="N10" s="2" t="str">
        <f>IFERROR(__xludf.DUMMYFUNCTION("GOOGLETRANSLATE(D10,""en"",""ur"")"),"وہ رنگوں اور نسلوں کا مرکب ہیں۔")</f>
        <v>وہ رنگوں اور نسلوں کا مرکب ہیں۔</v>
      </c>
      <c r="O10" s="2" t="str">
        <f>IFERROR(__xludf.DUMMYFUNCTION("GOOGLETRANSLATE(E10,""en"",""ur"")"),"وہ سب وسیع نمونوں کے ساتھ زین پہنے ہوئے ہیں۔")</f>
        <v>وہ سب وسیع نمونوں کے ساتھ زین پہنے ہوئے ہیں۔</v>
      </c>
      <c r="P10" s="2" t="str">
        <f>IFERROR(__xludf.DUMMYFUNCTION("GOOGLETRANSLATE(F10,""en"",""ur"")"),"وہ سب خاموش کھڑے ہیں۔")</f>
        <v>وہ سب خاموش کھڑے ہیں۔</v>
      </c>
      <c r="Q10" s="2" t="s">
        <v>269</v>
      </c>
      <c r="R10" s="2" t="str">
        <f>IFERROR(__xludf.DUMMYFUNCTION("GOOGLETRANSLATE(G10,""en"",""ur"")"),"وہ رنگوں اور نسلوں کا مرکب ہیں۔")</f>
        <v>وہ رنگوں اور نسلوں کا مرکب ہیں۔</v>
      </c>
      <c r="S10" s="5" t="s">
        <v>237</v>
      </c>
    </row>
    <row r="11" ht="22.5" customHeight="1">
      <c r="A11" s="4">
        <v>10.0</v>
      </c>
      <c r="B11" s="5" t="s">
        <v>270</v>
      </c>
      <c r="C11" s="5" t="s">
        <v>271</v>
      </c>
      <c r="D11" s="5" t="s">
        <v>272</v>
      </c>
      <c r="E11" s="5" t="s">
        <v>273</v>
      </c>
      <c r="F11" s="5" t="s">
        <v>274</v>
      </c>
      <c r="G11" s="5" t="s">
        <v>274</v>
      </c>
      <c r="H11" s="5" t="s">
        <v>237</v>
      </c>
      <c r="K11" s="2" t="str">
        <f>IFERROR(__xludf.DUMMYFUNCTION("GOOGLETRANSLATE(A11,""en"",""ur"")"),"10")</f>
        <v>10</v>
      </c>
      <c r="L11" s="2" t="str">
        <f>IFERROR(__xludf.DUMMYFUNCTION("GOOGLETRANSLATE(B11,""en"",""ur"")"),"مرکز میں سوار کے بارے میں ایک قابل ذکر تفصیل کیا ہے؟")</f>
        <v>مرکز میں سوار کے بارے میں ایک قابل ذکر تفصیل کیا ہے؟</v>
      </c>
      <c r="M11" s="2" t="str">
        <f>IFERROR(__xludf.DUMMYFUNCTION("GOOGLETRANSLATE(C11,""en"",""ur"")"),"وہ اپنے گھوڑے سے گر رہا ہے۔")</f>
        <v>وہ اپنے گھوڑے سے گر رہا ہے۔</v>
      </c>
      <c r="N11" s="2" t="str">
        <f>IFERROR(__xludf.DUMMYFUNCTION("GOOGLETRANSLATE(D11,""en"",""ur"")"),"اس نے بینر اٹھا رکھا ہے۔")</f>
        <v>اس نے بینر اٹھا رکھا ہے۔</v>
      </c>
      <c r="O11" s="2" t="str">
        <f>IFERROR(__xludf.DUMMYFUNCTION("GOOGLETRANSLATE(E11,""en"",""ur"")"),"اس نے رسی پکڑی ہوئی ہے۔")</f>
        <v>اس نے رسی پکڑی ہوئی ہے۔</v>
      </c>
      <c r="P11" s="2" t="str">
        <f>IFERROR(__xludf.DUMMYFUNCTION("GOOGLETRANSLATE(F11,""en"",""ur"")"),"اس نے چھڑی پکڑی ہوئی ہے۔")</f>
        <v>اس نے چھڑی پکڑی ہوئی ہے۔</v>
      </c>
      <c r="Q11" s="2" t="s">
        <v>275</v>
      </c>
      <c r="R11" s="2" t="str">
        <f>IFERROR(__xludf.DUMMYFUNCTION("GOOGLETRANSLATE(G11,""en"",""ur"")"),"اس نے چھڑی پکڑی ہوئی ہے۔")</f>
        <v>اس نے چھڑی پکڑی ہوئی ہے۔</v>
      </c>
      <c r="S11" s="5" t="s">
        <v>237</v>
      </c>
    </row>
    <row r="12" ht="22.5" customHeight="1">
      <c r="A12" s="4">
        <v>11.0</v>
      </c>
      <c r="B12" s="5" t="s">
        <v>276</v>
      </c>
      <c r="C12" s="5" t="s">
        <v>103</v>
      </c>
      <c r="D12" s="5" t="s">
        <v>71</v>
      </c>
      <c r="E12" s="5" t="s">
        <v>72</v>
      </c>
      <c r="F12" s="5" t="s">
        <v>73</v>
      </c>
      <c r="G12" s="5" t="s">
        <v>71</v>
      </c>
      <c r="H12" s="5" t="s">
        <v>277</v>
      </c>
      <c r="K12" s="2" t="str">
        <f>IFERROR(__xludf.DUMMYFUNCTION("GOOGLETRANSLATE(A12,""en"",""ur"")"),"11")</f>
        <v>11</v>
      </c>
      <c r="L12" s="2" t="str">
        <f>IFERROR(__xludf.DUMMYFUNCTION("GOOGLETRANSLATE(B12,""en"",""ur"")"),"buzkashi_2 میں دکھائی جانے والی اہم کارروائی کیا ہے؟")</f>
        <v>buzkashi_2 میں دکھائی جانے والی اہم کارروائی کیا ہے؟</v>
      </c>
      <c r="M12" s="2" t="str">
        <f>IFERROR(__xludf.DUMMYFUNCTION("GOOGLETRANSLATE(C12,""en"",""ur"")"),"آرام سے گھوڑے کی سواری۔")</f>
        <v>آرام سے گھوڑے کی سواری۔</v>
      </c>
      <c r="N12" s="2" t="str">
        <f>IFERROR(__xludf.DUMMYFUNCTION("GOOGLETRANSLATE(D12,""en"",""ur"")"),"سواروں کا ایک گروپ جو مرکزی چیز کے لیے مقابلہ کر رہا ہے۔")</f>
        <v>سواروں کا ایک گروپ جو مرکزی چیز کے لیے مقابلہ کر رہا ہے۔</v>
      </c>
      <c r="O12" s="2" t="str">
        <f>IFERROR(__xludf.DUMMYFUNCTION("GOOGLETRANSLATE(E12,""en"",""ur"")"),"گھوڑوں کی پریڈ")</f>
        <v>گھوڑوں کی پریڈ</v>
      </c>
      <c r="P12" s="2" t="str">
        <f>IFERROR(__xludf.DUMMYFUNCTION("GOOGLETRANSLATE(F12,""en"",""ur"")"),"گھوڑوں کی دوڑ")</f>
        <v>گھوڑوں کی دوڑ</v>
      </c>
      <c r="Q12" s="2" t="s">
        <v>278</v>
      </c>
      <c r="R12" s="2" t="str">
        <f>IFERROR(__xludf.DUMMYFUNCTION("GOOGLETRANSLATE(G12,""en"",""ur"")"),"سواروں کا ایک گروپ جو مرکزی چیز کے لیے مقابلہ کر رہا ہے۔")</f>
        <v>سواروں کا ایک گروپ جو مرکزی چیز کے لیے مقابلہ کر رہا ہے۔</v>
      </c>
      <c r="S12" s="5" t="s">
        <v>277</v>
      </c>
    </row>
    <row r="13" ht="22.5" customHeight="1">
      <c r="A13" s="4">
        <v>12.0</v>
      </c>
      <c r="B13" s="5" t="s">
        <v>238</v>
      </c>
      <c r="C13" s="5" t="s">
        <v>279</v>
      </c>
      <c r="D13" s="5" t="s">
        <v>84</v>
      </c>
      <c r="E13" s="5" t="s">
        <v>85</v>
      </c>
      <c r="F13" s="5" t="s">
        <v>240</v>
      </c>
      <c r="G13" s="5" t="s">
        <v>84</v>
      </c>
      <c r="H13" s="5" t="s">
        <v>277</v>
      </c>
      <c r="K13" s="2" t="str">
        <f>IFERROR(__xludf.DUMMYFUNCTION("GOOGLETRANSLATE(A13,""en"",""ur"")"),"12")</f>
        <v>12</v>
      </c>
      <c r="L13" s="2" t="str">
        <f>IFERROR(__xludf.DUMMYFUNCTION("GOOGLETRANSLATE(B13,""en"",""ur"")"),"اس گیم کی ترتیب کے بارے میں ایک قابل ذکر تفصیل کیا ہے؟")</f>
        <v>اس گیم کی ترتیب کے بارے میں ایک قابل ذکر تفصیل کیا ہے؟</v>
      </c>
      <c r="M13" s="2" t="str">
        <f>IFERROR(__xludf.DUMMYFUNCTION("GOOGLETRANSLATE(C13,""en"",""ur"")"),"یہ ہجوم کے ساتھ اسٹیڈیم میں ہے۔")</f>
        <v>یہ ہجوم کے ساتھ اسٹیڈیم میں ہے۔</v>
      </c>
      <c r="N13" s="2" t="str">
        <f>IFERROR(__xludf.DUMMYFUNCTION("GOOGLETRANSLATE(D13,""en"",""ur"")"),"یہ پہاڑی، پتھریلی علاقے میں ایک میدان میں ہے۔")</f>
        <v>یہ پہاڑی، پتھریلی علاقے میں ایک میدان میں ہے۔</v>
      </c>
      <c r="O13" s="2" t="str">
        <f>IFERROR(__xludf.DUMMYFUNCTION("GOOGLETRANSLATE(E13,""en"",""ur"")"),"یہ شہر کی سڑک پر ہے۔")</f>
        <v>یہ شہر کی سڑک پر ہے۔</v>
      </c>
      <c r="P13" s="2" t="str">
        <f>IFERROR(__xludf.DUMMYFUNCTION("GOOGLETRANSLATE(F13,""en"",""ur"")"),"یہ ایک پرسکون ساحل سمندر پر ہے۔")</f>
        <v>یہ ایک پرسکون ساحل سمندر پر ہے۔</v>
      </c>
      <c r="Q13" s="2" t="s">
        <v>280</v>
      </c>
      <c r="R13" s="2" t="str">
        <f>IFERROR(__xludf.DUMMYFUNCTION("GOOGLETRANSLATE(G13,""en"",""ur"")"),"یہ پہاڑی، پتھریلی علاقے میں ایک میدان میں ہے۔")</f>
        <v>یہ پہاڑی، پتھریلی علاقے میں ایک میدان میں ہے۔</v>
      </c>
      <c r="S13" s="5" t="s">
        <v>277</v>
      </c>
    </row>
    <row r="14" ht="22.5" customHeight="1">
      <c r="A14" s="4">
        <v>13.0</v>
      </c>
      <c r="B14" s="5" t="s">
        <v>242</v>
      </c>
      <c r="C14" s="5" t="s">
        <v>243</v>
      </c>
      <c r="D14" s="5" t="s">
        <v>244</v>
      </c>
      <c r="E14" s="5" t="s">
        <v>245</v>
      </c>
      <c r="F14" s="5" t="s">
        <v>246</v>
      </c>
      <c r="G14" s="5" t="s">
        <v>244</v>
      </c>
      <c r="H14" s="5" t="s">
        <v>277</v>
      </c>
      <c r="K14" s="2" t="str">
        <f>IFERROR(__xludf.DUMMYFUNCTION("GOOGLETRANSLATE(A14,""en"",""ur"")"),"13")</f>
        <v>13</v>
      </c>
      <c r="L14" s="2" t="str">
        <f>IFERROR(__xludf.DUMMYFUNCTION("GOOGLETRANSLATE(B14,""en"",""ur"")"),"سواروں کے لباس کے بارے میں واضح تفصیل کیا ہے؟")</f>
        <v>سواروں کے لباس کے بارے میں واضح تفصیل کیا ہے؟</v>
      </c>
      <c r="M14" s="2" t="str">
        <f>IFERROR(__xludf.DUMMYFUNCTION("GOOGLETRANSLATE(C14,""en"",""ur"")"),"وہ جدید کھیلوں کی وردی پہنے ہوئے ہیں۔")</f>
        <v>وہ جدید کھیلوں کی وردی پہنے ہوئے ہیں۔</v>
      </c>
      <c r="N14" s="2" t="str">
        <f>IFERROR(__xludf.DUMMYFUNCTION("GOOGLETRANSLATE(D14,""en"",""ur"")"),"انہوں نے روشن نارنجی یا سبز قمیضیں پہن رکھی ہیں۔")</f>
        <v>انہوں نے روشن نارنجی یا سبز قمیضیں پہن رکھی ہیں۔</v>
      </c>
      <c r="O14" s="2" t="str">
        <f>IFERROR(__xludf.DUMMYFUNCTION("GOOGLETRANSLATE(E14,""en"",""ur"")"),"وہ رسمی سوٹ پہنے ہوئے ہیں۔")</f>
        <v>وہ رسمی سوٹ پہنے ہوئے ہیں۔</v>
      </c>
      <c r="P14" s="2" t="str">
        <f>IFERROR(__xludf.DUMMYFUNCTION("GOOGLETRANSLATE(F14,""en"",""ur"")"),"انہوں نے کوئی لباس نہیں پہنا ہوا ہے۔")</f>
        <v>انہوں نے کوئی لباس نہیں پہنا ہوا ہے۔</v>
      </c>
      <c r="Q14" s="2" t="s">
        <v>247</v>
      </c>
      <c r="R14" s="2" t="str">
        <f>IFERROR(__xludf.DUMMYFUNCTION("GOOGLETRANSLATE(G14,""en"",""ur"")"),"انہوں نے روشن نارنجی یا سبز قمیضیں پہن رکھی ہیں۔")</f>
        <v>انہوں نے روشن نارنجی یا سبز قمیضیں پہن رکھی ہیں۔</v>
      </c>
      <c r="S14" s="5" t="s">
        <v>277</v>
      </c>
    </row>
    <row r="15" ht="22.5" customHeight="1">
      <c r="A15" s="4">
        <v>14.0</v>
      </c>
      <c r="B15" s="5" t="s">
        <v>248</v>
      </c>
      <c r="C15" s="5" t="s">
        <v>249</v>
      </c>
      <c r="D15" s="5" t="s">
        <v>250</v>
      </c>
      <c r="E15" s="5" t="s">
        <v>251</v>
      </c>
      <c r="F15" s="5" t="s">
        <v>252</v>
      </c>
      <c r="G15" s="5" t="s">
        <v>250</v>
      </c>
      <c r="H15" s="5" t="s">
        <v>277</v>
      </c>
      <c r="K15" s="2" t="str">
        <f>IFERROR(__xludf.DUMMYFUNCTION("GOOGLETRANSLATE(A15,""en"",""ur"")"),"14")</f>
        <v>14</v>
      </c>
      <c r="L15" s="2" t="str">
        <f>IFERROR(__xludf.DUMMYFUNCTION("GOOGLETRANSLATE(B15,""en"",""ur"")"),"سواروں کی ظاہری باڈی پوزیشن کیا ہے؟")</f>
        <v>سواروں کی ظاہری باڈی پوزیشن کیا ہے؟</v>
      </c>
      <c r="M15" s="2" t="str">
        <f>IFERROR(__xludf.DUMMYFUNCTION("GOOGLETRANSLATE(C15,""en"",""ur"")"),"وہ سیدھے کھڑے ہیں۔")</f>
        <v>وہ سیدھے کھڑے ہیں۔</v>
      </c>
      <c r="N15" s="2" t="str">
        <f>IFERROR(__xludf.DUMMYFUNCTION("GOOGLETRANSLATE(D15,""en"",""ur"")"),"وہ جھک رہے ہیں اور کسی چیز تک پہنچ رہے ہیں۔")</f>
        <v>وہ جھک رہے ہیں اور کسی چیز تک پہنچ رہے ہیں۔</v>
      </c>
      <c r="O15" s="2" t="str">
        <f>IFERROR(__xludf.DUMMYFUNCTION("GOOGLETRANSLATE(E15,""en"",""ur"")"),"وہ گھوڑوں کی پیٹھ پر لیٹے ہوئے ہیں۔")</f>
        <v>وہ گھوڑوں کی پیٹھ پر لیٹے ہوئے ہیں۔</v>
      </c>
      <c r="P15" s="2" t="str">
        <f>IFERROR(__xludf.DUMMYFUNCTION("GOOGLETRANSLATE(F15,""en"",""ur"")"),"وہ آرام سے بیٹھے ہیں۔")</f>
        <v>وہ آرام سے بیٹھے ہیں۔</v>
      </c>
      <c r="Q15" s="2" t="s">
        <v>253</v>
      </c>
      <c r="R15" s="2" t="str">
        <f>IFERROR(__xludf.DUMMYFUNCTION("GOOGLETRANSLATE(G15,""en"",""ur"")"),"وہ جھک رہے ہیں اور کسی چیز تک پہنچ رہے ہیں۔")</f>
        <v>وہ جھک رہے ہیں اور کسی چیز تک پہنچ رہے ہیں۔</v>
      </c>
      <c r="S15" s="5" t="s">
        <v>277</v>
      </c>
    </row>
    <row r="16" ht="22.5" customHeight="1">
      <c r="A16" s="4">
        <v>15.0</v>
      </c>
      <c r="B16" s="5" t="s">
        <v>254</v>
      </c>
      <c r="C16" s="5" t="s">
        <v>47</v>
      </c>
      <c r="D16" s="5" t="s">
        <v>48</v>
      </c>
      <c r="E16" s="5" t="s">
        <v>49</v>
      </c>
      <c r="F16" s="5" t="s">
        <v>50</v>
      </c>
      <c r="G16" s="5" t="s">
        <v>49</v>
      </c>
      <c r="H16" s="5" t="s">
        <v>277</v>
      </c>
      <c r="K16" s="2" t="str">
        <f>IFERROR(__xludf.DUMMYFUNCTION("GOOGLETRANSLATE(A16,""en"",""ur"")"),"15")</f>
        <v>15</v>
      </c>
      <c r="L16" s="2" t="str">
        <f>IFERROR(__xludf.DUMMYFUNCTION("GOOGLETRANSLATE(B16,""en"",""ur"")"),"سواروں کے چہروں سے ظاہری جذبات کیا ہیں؟")</f>
        <v>سواروں کے چہروں سے ظاہری جذبات کیا ہیں؟</v>
      </c>
      <c r="M16" s="2" t="str">
        <f>IFERROR(__xludf.DUMMYFUNCTION("GOOGLETRANSLATE(C16,""en"",""ur"")"),"پرسکون اور پر سکون")</f>
        <v>پرسکون اور پر سکون</v>
      </c>
      <c r="N16" s="2" t="str">
        <f>IFERROR(__xludf.DUMMYFUNCTION("GOOGLETRANSLATE(D16,""en"",""ur"")"),"خوف زدہ اور بے چین")</f>
        <v>خوف زدہ اور بے چین</v>
      </c>
      <c r="O16" s="2" t="str">
        <f>IFERROR(__xludf.DUMMYFUNCTION("GOOGLETRANSLATE(E16,""en"",""ur"")"),"کشیدہ اور شدید")</f>
        <v>کشیدہ اور شدید</v>
      </c>
      <c r="P16" s="2" t="str">
        <f>IFERROR(__xludf.DUMMYFUNCTION("GOOGLETRANSLATE(F16,""en"",""ur"")"),"خوش اور مسکراتے ہوئے۔")</f>
        <v>خوش اور مسکراتے ہوئے۔</v>
      </c>
      <c r="Q16" s="2" t="s">
        <v>51</v>
      </c>
      <c r="R16" s="2" t="str">
        <f>IFERROR(__xludf.DUMMYFUNCTION("GOOGLETRANSLATE(G16,""en"",""ur"")"),"کشیدہ اور شدید")</f>
        <v>کشیدہ اور شدید</v>
      </c>
      <c r="S16" s="5" t="s">
        <v>277</v>
      </c>
    </row>
    <row r="17" ht="22.5" customHeight="1">
      <c r="A17" s="4">
        <v>16.0</v>
      </c>
      <c r="B17" s="5" t="s">
        <v>88</v>
      </c>
      <c r="C17" s="5" t="s">
        <v>89</v>
      </c>
      <c r="D17" s="5" t="s">
        <v>90</v>
      </c>
      <c r="E17" s="5" t="s">
        <v>91</v>
      </c>
      <c r="F17" s="5" t="s">
        <v>255</v>
      </c>
      <c r="G17" s="5" t="s">
        <v>255</v>
      </c>
      <c r="H17" s="5" t="s">
        <v>277</v>
      </c>
      <c r="K17" s="2" t="str">
        <f>IFERROR(__xludf.DUMMYFUNCTION("GOOGLETRANSLATE(A17,""en"",""ur"")"),"16")</f>
        <v>16</v>
      </c>
      <c r="L17" s="2" t="str">
        <f>IFERROR(__xludf.DUMMYFUNCTION("GOOGLETRANSLATE(B17,""en"",""ur"")"),"زمین کی سب سے نمایاں خصوصیت کیا ہے؟")</f>
        <v>زمین کی سب سے نمایاں خصوصیت کیا ہے؟</v>
      </c>
      <c r="M17" s="2" t="str">
        <f>IFERROR(__xludf.DUMMYFUNCTION("GOOGLETRANSLATE(C17,""en"",""ur"")"),"ایک پکی سطح")</f>
        <v>ایک پکی سطح</v>
      </c>
      <c r="N17" s="2" t="str">
        <f>IFERROR(__xludf.DUMMYFUNCTION("GOOGLETRANSLATE(D17,""en"",""ur"")"),"کیچڑ والا میدان")</f>
        <v>کیچڑ والا میدان</v>
      </c>
      <c r="O17" s="2" t="str">
        <f>IFERROR(__xludf.DUMMYFUNCTION("GOOGLETRANSLATE(E17,""en"",""ur"")"),"ایک گھاس دار سطح")</f>
        <v>ایک گھاس دار سطح</v>
      </c>
      <c r="P17" s="2" t="str">
        <f>IFERROR(__xludf.DUMMYFUNCTION("GOOGLETRANSLATE(F17,""en"",""ur"")"),"ریتلی یا گندگی کی سطح")</f>
        <v>ریتلی یا گندگی کی سطح</v>
      </c>
      <c r="Q17" s="2" t="s">
        <v>256</v>
      </c>
      <c r="R17" s="2" t="str">
        <f>IFERROR(__xludf.DUMMYFUNCTION("GOOGLETRANSLATE(G17,""en"",""ur"")"),"ریتلی یا گندگی کی سطح")</f>
        <v>ریتلی یا گندگی کی سطح</v>
      </c>
      <c r="S17" s="5" t="s">
        <v>277</v>
      </c>
    </row>
    <row r="18" ht="22.5" customHeight="1">
      <c r="A18" s="4">
        <v>17.0</v>
      </c>
      <c r="B18" s="5" t="s">
        <v>257</v>
      </c>
      <c r="C18" s="5" t="s">
        <v>95</v>
      </c>
      <c r="D18" s="5" t="s">
        <v>96</v>
      </c>
      <c r="E18" s="5" t="s">
        <v>97</v>
      </c>
      <c r="F18" s="5" t="s">
        <v>258</v>
      </c>
      <c r="G18" s="5" t="s">
        <v>97</v>
      </c>
      <c r="H18" s="5" t="s">
        <v>277</v>
      </c>
      <c r="K18" s="2" t="str">
        <f>IFERROR(__xludf.DUMMYFUNCTION("GOOGLETRANSLATE(A18,""en"",""ur"")"),"17")</f>
        <v>17</v>
      </c>
      <c r="L18" s="2" t="str">
        <f>IFERROR(__xludf.DUMMYFUNCTION("GOOGLETRANSLATE(B18,""en"",""ur"")"),"کھیلے جانے والے کھیل کا نام کیا ہے؟")</f>
        <v>کھیلے جانے والے کھیل کا نام کیا ہے؟</v>
      </c>
      <c r="M18" s="2" t="str">
        <f>IFERROR(__xludf.DUMMYFUNCTION("GOOGLETRANSLATE(C18,""en"",""ur"")"),"پولو")</f>
        <v>پولو</v>
      </c>
      <c r="N18" s="2" t="str">
        <f>IFERROR(__xludf.DUMMYFUNCTION("GOOGLETRANSLATE(D18,""en"",""ur"")"),"گھوڑوں کی دوڑ")</f>
        <v>گھوڑوں کی دوڑ</v>
      </c>
      <c r="O18" s="2" t="str">
        <f>IFERROR(__xludf.DUMMYFUNCTION("GOOGLETRANSLATE(E18,""en"",""ur"")"),"بزکشی۔")</f>
        <v>بزکشی۔</v>
      </c>
      <c r="P18" s="2" t="str">
        <f>IFERROR(__xludf.DUMMYFUNCTION("GOOGLETRANSLATE(F18,""en"",""ur"")"),"گھڑ سواری کے کھیل")</f>
        <v>گھڑ سواری کے کھیل</v>
      </c>
      <c r="Q18" s="2" t="s">
        <v>259</v>
      </c>
      <c r="R18" s="2" t="str">
        <f>IFERROR(__xludf.DUMMYFUNCTION("GOOGLETRANSLATE(G18,""en"",""ur"")"),"بزکشی۔")</f>
        <v>بزکشی۔</v>
      </c>
      <c r="S18" s="5" t="s">
        <v>277</v>
      </c>
    </row>
    <row r="19" ht="22.5" customHeight="1">
      <c r="A19" s="4">
        <v>18.0</v>
      </c>
      <c r="B19" s="5" t="s">
        <v>260</v>
      </c>
      <c r="C19" s="5" t="s">
        <v>261</v>
      </c>
      <c r="D19" s="5" t="s">
        <v>262</v>
      </c>
      <c r="E19" s="5" t="s">
        <v>263</v>
      </c>
      <c r="F19" s="5" t="s">
        <v>264</v>
      </c>
      <c r="G19" s="5" t="s">
        <v>263</v>
      </c>
      <c r="H19" s="5" t="s">
        <v>277</v>
      </c>
      <c r="K19" s="2" t="str">
        <f>IFERROR(__xludf.DUMMYFUNCTION("GOOGLETRANSLATE(A19,""en"",""ur"")"),"18")</f>
        <v>18</v>
      </c>
      <c r="L19" s="2" t="str">
        <f>IFERROR(__xludf.DUMMYFUNCTION("GOOGLETRANSLATE(B19,""en"",""ur"")"),"تصویر میں ایکشن ایک ایسا انداز تجویز کرتا ہے جو اس بات پر زور دیتا ہے...")</f>
        <v>تصویر میں ایکشن ایک ایسا انداز تجویز کرتا ہے جو اس بات پر زور دیتا ہے...</v>
      </c>
      <c r="M19" s="2" t="str">
        <f>IFERROR(__xludf.DUMMYFUNCTION("GOOGLETRANSLATE(C19,""en"",""ur"")"),"روانی اور قلابازیاں")</f>
        <v>روانی اور قلابازیاں</v>
      </c>
      <c r="N19" s="2" t="str">
        <f>IFERROR(__xludf.DUMMYFUNCTION("GOOGLETRANSLATE(D19,""en"",""ur"")"),"زمینی لڑائی اور گرفت")</f>
        <v>زمینی لڑائی اور گرفت</v>
      </c>
      <c r="O19" s="2" t="str">
        <f>IFERROR(__xludf.DUMMYFUNCTION("GOOGLETRANSLATE(E19,""en"",""ur"")"),"وحشیانہ قوت اور گھڑ سواری۔")</f>
        <v>وحشیانہ قوت اور گھڑ سواری۔</v>
      </c>
      <c r="P19" s="2" t="str">
        <f>IFERROR(__xludf.DUMMYFUNCTION("GOOGLETRANSLATE(F19,""en"",""ur"")"),"سادہ، لکیری حرکات")</f>
        <v>سادہ، لکیری حرکات</v>
      </c>
      <c r="Q19" s="2" t="s">
        <v>265</v>
      </c>
      <c r="R19" s="2" t="str">
        <f>IFERROR(__xludf.DUMMYFUNCTION("GOOGLETRANSLATE(G19,""en"",""ur"")"),"وحشیانہ قوت اور گھڑ سواری۔")</f>
        <v>وحشیانہ قوت اور گھڑ سواری۔</v>
      </c>
      <c r="S19" s="5" t="s">
        <v>277</v>
      </c>
    </row>
    <row r="20" ht="22.5" customHeight="1">
      <c r="A20" s="4">
        <v>19.0</v>
      </c>
      <c r="B20" s="5" t="s">
        <v>266</v>
      </c>
      <c r="C20" s="5" t="s">
        <v>59</v>
      </c>
      <c r="D20" s="5" t="s">
        <v>267</v>
      </c>
      <c r="E20" s="5" t="s">
        <v>61</v>
      </c>
      <c r="F20" s="5" t="s">
        <v>268</v>
      </c>
      <c r="G20" s="5" t="s">
        <v>267</v>
      </c>
      <c r="H20" s="5" t="s">
        <v>277</v>
      </c>
      <c r="K20" s="2" t="str">
        <f>IFERROR(__xludf.DUMMYFUNCTION("GOOGLETRANSLATE(A20,""en"",""ur"")"),"19")</f>
        <v>19</v>
      </c>
      <c r="L20" s="2" t="str">
        <f>IFERROR(__xludf.DUMMYFUNCTION("GOOGLETRANSLATE(B20,""en"",""ur"")"),"گھوڑوں کے بارے میں ایک قابل ذکر تفصیل کیا ہے؟")</f>
        <v>گھوڑوں کے بارے میں ایک قابل ذکر تفصیل کیا ہے؟</v>
      </c>
      <c r="M20" s="2" t="str">
        <f>IFERROR(__xludf.DUMMYFUNCTION("GOOGLETRANSLATE(C20,""en"",""ur"")"),"وہ سب ایک ہی رنگ کے ہیں۔")</f>
        <v>وہ سب ایک ہی رنگ کے ہیں۔</v>
      </c>
      <c r="N20" s="2" t="str">
        <f>IFERROR(__xludf.DUMMYFUNCTION("GOOGLETRANSLATE(D20,""en"",""ur"")"),"وہ رنگوں اور نسلوں کا مرکب ہیں۔")</f>
        <v>وہ رنگوں اور نسلوں کا مرکب ہیں۔</v>
      </c>
      <c r="O20" s="2" t="str">
        <f>IFERROR(__xludf.DUMMYFUNCTION("GOOGLETRANSLATE(E20,""en"",""ur"")"),"وہ سب وسیع نمونوں کے ساتھ زین پہنے ہوئے ہیں۔")</f>
        <v>وہ سب وسیع نمونوں کے ساتھ زین پہنے ہوئے ہیں۔</v>
      </c>
      <c r="P20" s="2" t="str">
        <f>IFERROR(__xludf.DUMMYFUNCTION("GOOGLETRANSLATE(F20,""en"",""ur"")"),"وہ سب خاموش کھڑے ہیں۔")</f>
        <v>وہ سب خاموش کھڑے ہیں۔</v>
      </c>
      <c r="Q20" s="2" t="s">
        <v>269</v>
      </c>
      <c r="R20" s="2" t="str">
        <f>IFERROR(__xludf.DUMMYFUNCTION("GOOGLETRANSLATE(G20,""en"",""ur"")"),"وہ رنگوں اور نسلوں کا مرکب ہیں۔")</f>
        <v>وہ رنگوں اور نسلوں کا مرکب ہیں۔</v>
      </c>
      <c r="S20" s="5" t="s">
        <v>277</v>
      </c>
    </row>
    <row r="21" ht="22.5" customHeight="1">
      <c r="A21" s="4">
        <v>20.0</v>
      </c>
      <c r="B21" s="5" t="s">
        <v>270</v>
      </c>
      <c r="C21" s="5" t="s">
        <v>271</v>
      </c>
      <c r="D21" s="5" t="s">
        <v>272</v>
      </c>
      <c r="E21" s="5" t="s">
        <v>273</v>
      </c>
      <c r="F21" s="5" t="s">
        <v>274</v>
      </c>
      <c r="G21" s="5" t="s">
        <v>271</v>
      </c>
      <c r="H21" s="5" t="s">
        <v>277</v>
      </c>
      <c r="K21" s="2" t="str">
        <f>IFERROR(__xludf.DUMMYFUNCTION("GOOGLETRANSLATE(A21,""en"",""ur"")"),"20")</f>
        <v>20</v>
      </c>
      <c r="L21" s="2" t="str">
        <f>IFERROR(__xludf.DUMMYFUNCTION("GOOGLETRANSLATE(B21,""en"",""ur"")"),"مرکز میں سوار کے بارے میں ایک قابل ذکر تفصیل کیا ہے؟")</f>
        <v>مرکز میں سوار کے بارے میں ایک قابل ذکر تفصیل کیا ہے؟</v>
      </c>
      <c r="M21" s="2" t="str">
        <f>IFERROR(__xludf.DUMMYFUNCTION("GOOGLETRANSLATE(C21,""en"",""ur"")"),"وہ اپنے گھوڑے سے گر رہا ہے۔")</f>
        <v>وہ اپنے گھوڑے سے گر رہا ہے۔</v>
      </c>
      <c r="N21" s="2" t="str">
        <f>IFERROR(__xludf.DUMMYFUNCTION("GOOGLETRANSLATE(D21,""en"",""ur"")"),"اس نے بینر اٹھا رکھا ہے۔")</f>
        <v>اس نے بینر اٹھا رکھا ہے۔</v>
      </c>
      <c r="O21" s="2" t="str">
        <f>IFERROR(__xludf.DUMMYFUNCTION("GOOGLETRANSLATE(E21,""en"",""ur"")"),"اس نے رسی پکڑی ہوئی ہے۔")</f>
        <v>اس نے رسی پکڑی ہوئی ہے۔</v>
      </c>
      <c r="P21" s="2" t="str">
        <f>IFERROR(__xludf.DUMMYFUNCTION("GOOGLETRANSLATE(F21,""en"",""ur"")"),"اس نے چھڑی پکڑی ہوئی ہے۔")</f>
        <v>اس نے چھڑی پکڑی ہوئی ہے۔</v>
      </c>
      <c r="Q21" s="2" t="s">
        <v>275</v>
      </c>
      <c r="R21" s="2" t="str">
        <f>IFERROR(__xludf.DUMMYFUNCTION("GOOGLETRANSLATE(G21,""en"",""ur"")"),"وہ اپنے گھوڑے سے گر رہا ہے۔")</f>
        <v>وہ اپنے گھوڑے سے گر رہا ہے۔</v>
      </c>
      <c r="S21" s="5" t="s">
        <v>277</v>
      </c>
    </row>
    <row r="22" ht="22.5" customHeight="1">
      <c r="A22" s="4">
        <v>21.0</v>
      </c>
      <c r="B22" s="5" t="s">
        <v>281</v>
      </c>
      <c r="C22" s="5" t="s">
        <v>103</v>
      </c>
      <c r="D22" s="5" t="s">
        <v>71</v>
      </c>
      <c r="E22" s="5" t="s">
        <v>72</v>
      </c>
      <c r="F22" s="5" t="s">
        <v>73</v>
      </c>
      <c r="G22" s="5" t="s">
        <v>71</v>
      </c>
      <c r="H22" s="5" t="s">
        <v>282</v>
      </c>
      <c r="K22" s="2" t="str">
        <f>IFERROR(__xludf.DUMMYFUNCTION("GOOGLETRANSLATE(A22,""en"",""ur"")"),"21")</f>
        <v>21</v>
      </c>
      <c r="L22" s="2" t="str">
        <f>IFERROR(__xludf.DUMMYFUNCTION("GOOGLETRANSLATE(B22,""en"",""ur"")"),"buzkashi_8 میں دکھائی جانے والی اہم کارروائی کیا ہے؟")</f>
        <v>buzkashi_8 میں دکھائی جانے والی اہم کارروائی کیا ہے؟</v>
      </c>
      <c r="M22" s="2" t="str">
        <f>IFERROR(__xludf.DUMMYFUNCTION("GOOGLETRANSLATE(C22,""en"",""ur"")"),"آرام سے گھوڑے کی سواری۔")</f>
        <v>آرام سے گھوڑے کی سواری۔</v>
      </c>
      <c r="N22" s="2" t="str">
        <f>IFERROR(__xludf.DUMMYFUNCTION("GOOGLETRANSLATE(D22,""en"",""ur"")"),"سواروں کا ایک گروپ جو مرکزی چیز کے لیے مقابلہ کر رہا ہے۔")</f>
        <v>سواروں کا ایک گروپ جو مرکزی چیز کے لیے مقابلہ کر رہا ہے۔</v>
      </c>
      <c r="O22" s="2" t="str">
        <f>IFERROR(__xludf.DUMMYFUNCTION("GOOGLETRANSLATE(E22,""en"",""ur"")"),"گھوڑوں کی پریڈ")</f>
        <v>گھوڑوں کی پریڈ</v>
      </c>
      <c r="P22" s="2" t="str">
        <f>IFERROR(__xludf.DUMMYFUNCTION("GOOGLETRANSLATE(F22,""en"",""ur"")"),"گھوڑوں کی دوڑ")</f>
        <v>گھوڑوں کی دوڑ</v>
      </c>
      <c r="Q22" s="2" t="s">
        <v>278</v>
      </c>
      <c r="R22" s="2" t="str">
        <f>IFERROR(__xludf.DUMMYFUNCTION("GOOGLETRANSLATE(G22,""en"",""ur"")"),"سواروں کا ایک گروپ جو مرکزی چیز کے لیے مقابلہ کر رہا ہے۔")</f>
        <v>سواروں کا ایک گروپ جو مرکزی چیز کے لیے مقابلہ کر رہا ہے۔</v>
      </c>
      <c r="S22" s="5" t="s">
        <v>282</v>
      </c>
    </row>
    <row r="23" ht="22.5" customHeight="1">
      <c r="A23" s="4">
        <v>22.0</v>
      </c>
      <c r="B23" s="5" t="s">
        <v>283</v>
      </c>
      <c r="C23" s="5" t="s">
        <v>284</v>
      </c>
      <c r="D23" s="5" t="s">
        <v>285</v>
      </c>
      <c r="E23" s="5" t="s">
        <v>286</v>
      </c>
      <c r="F23" s="5" t="s">
        <v>287</v>
      </c>
      <c r="G23" s="5" t="s">
        <v>286</v>
      </c>
      <c r="H23" s="5" t="s">
        <v>282</v>
      </c>
      <c r="K23" s="2" t="str">
        <f>IFERROR(__xludf.DUMMYFUNCTION("GOOGLETRANSLATE(A23,""en"",""ur"")"),"22")</f>
        <v>22</v>
      </c>
      <c r="L23" s="2" t="str">
        <f>IFERROR(__xludf.DUMMYFUNCTION("GOOGLETRANSLATE(B23,""en"",""ur"")"),"زمین پر موجود چیز کے بارے میں ایک قابل ذکر تفصیل کیا ہے؟")</f>
        <v>زمین پر موجود چیز کے بارے میں ایک قابل ذکر تفصیل کیا ہے؟</v>
      </c>
      <c r="M23" s="2" t="str">
        <f>IFERROR(__xludf.DUMMYFUNCTION("GOOGLETRANSLATE(C23,""en"",""ur"")"),"یہ ایک گیند ہے۔")</f>
        <v>یہ ایک گیند ہے۔</v>
      </c>
      <c r="N23" s="2" t="str">
        <f>IFERROR(__xludf.DUMMYFUNCTION("GOOGLETRANSLATE(D23,""en"",""ur"")"),"یہ ایک جھنڈا ہے۔")</f>
        <v>یہ ایک جھنڈا ہے۔</v>
      </c>
      <c r="O23" s="2" t="str">
        <f>IFERROR(__xludf.DUMMYFUNCTION("GOOGLETRANSLATE(E23,""en"",""ur"")"),"یہ ایک بکری کی لاش ہے۔")</f>
        <v>یہ ایک بکری کی لاش ہے۔</v>
      </c>
      <c r="P23" s="2" t="str">
        <f>IFERROR(__xludf.DUMMYFUNCTION("GOOGLETRANSLATE(F23,""en"",""ur"")"),"یہ ایک رسی ہے۔")</f>
        <v>یہ ایک رسی ہے۔</v>
      </c>
      <c r="Q23" s="2" t="s">
        <v>288</v>
      </c>
      <c r="R23" s="2" t="str">
        <f>IFERROR(__xludf.DUMMYFUNCTION("GOOGLETRANSLATE(G23,""en"",""ur"")"),"یہ ایک بکری کی لاش ہے۔")</f>
        <v>یہ ایک بکری کی لاش ہے۔</v>
      </c>
      <c r="S23" s="5" t="s">
        <v>282</v>
      </c>
    </row>
    <row r="24" ht="22.5" customHeight="1">
      <c r="A24" s="4">
        <v>23.0</v>
      </c>
      <c r="B24" s="5" t="s">
        <v>242</v>
      </c>
      <c r="C24" s="5" t="s">
        <v>243</v>
      </c>
      <c r="D24" s="5" t="s">
        <v>244</v>
      </c>
      <c r="E24" s="5" t="s">
        <v>245</v>
      </c>
      <c r="F24" s="5" t="s">
        <v>246</v>
      </c>
      <c r="G24" s="5" t="s">
        <v>244</v>
      </c>
      <c r="H24" s="5" t="s">
        <v>282</v>
      </c>
      <c r="K24" s="2" t="str">
        <f>IFERROR(__xludf.DUMMYFUNCTION("GOOGLETRANSLATE(A24,""en"",""ur"")"),"23")</f>
        <v>23</v>
      </c>
      <c r="L24" s="2" t="str">
        <f>IFERROR(__xludf.DUMMYFUNCTION("GOOGLETRANSLATE(B24,""en"",""ur"")"),"سواروں کے لباس کے بارے میں واضح تفصیل کیا ہے؟")</f>
        <v>سواروں کے لباس کے بارے میں واضح تفصیل کیا ہے؟</v>
      </c>
      <c r="M24" s="2" t="str">
        <f>IFERROR(__xludf.DUMMYFUNCTION("GOOGLETRANSLATE(C24,""en"",""ur"")"),"وہ جدید کھیلوں کی وردی پہنے ہوئے ہیں۔")</f>
        <v>وہ جدید کھیلوں کی وردی پہنے ہوئے ہیں۔</v>
      </c>
      <c r="N24" s="2" t="str">
        <f>IFERROR(__xludf.DUMMYFUNCTION("GOOGLETRANSLATE(D24,""en"",""ur"")"),"انہوں نے روشن نارنجی یا سبز قمیضیں پہن رکھی ہیں۔")</f>
        <v>انہوں نے روشن نارنجی یا سبز قمیضیں پہن رکھی ہیں۔</v>
      </c>
      <c r="O24" s="2" t="str">
        <f>IFERROR(__xludf.DUMMYFUNCTION("GOOGLETRANSLATE(E24,""en"",""ur"")"),"وہ رسمی سوٹ پہنے ہوئے ہیں۔")</f>
        <v>وہ رسمی سوٹ پہنے ہوئے ہیں۔</v>
      </c>
      <c r="P24" s="2" t="str">
        <f>IFERROR(__xludf.DUMMYFUNCTION("GOOGLETRANSLATE(F24,""en"",""ur"")"),"انہوں نے کوئی لباس نہیں پہنا ہوا ہے۔")</f>
        <v>انہوں نے کوئی لباس نہیں پہنا ہوا ہے۔</v>
      </c>
      <c r="Q24" s="2" t="s">
        <v>247</v>
      </c>
      <c r="R24" s="2" t="str">
        <f>IFERROR(__xludf.DUMMYFUNCTION("GOOGLETRANSLATE(G24,""en"",""ur"")"),"انہوں نے روشن نارنجی یا سبز قمیضیں پہن رکھی ہیں۔")</f>
        <v>انہوں نے روشن نارنجی یا سبز قمیضیں پہن رکھی ہیں۔</v>
      </c>
      <c r="S24" s="5" t="s">
        <v>282</v>
      </c>
    </row>
    <row r="25" ht="22.5" customHeight="1">
      <c r="A25" s="4">
        <v>24.0</v>
      </c>
      <c r="B25" s="5" t="s">
        <v>248</v>
      </c>
      <c r="C25" s="5" t="s">
        <v>249</v>
      </c>
      <c r="D25" s="5" t="s">
        <v>250</v>
      </c>
      <c r="E25" s="5" t="s">
        <v>251</v>
      </c>
      <c r="F25" s="5" t="s">
        <v>252</v>
      </c>
      <c r="G25" s="5" t="s">
        <v>250</v>
      </c>
      <c r="H25" s="5" t="s">
        <v>282</v>
      </c>
      <c r="K25" s="2" t="str">
        <f>IFERROR(__xludf.DUMMYFUNCTION("GOOGLETRANSLATE(A25,""en"",""ur"")"),"24")</f>
        <v>24</v>
      </c>
      <c r="L25" s="2" t="str">
        <f>IFERROR(__xludf.DUMMYFUNCTION("GOOGLETRANSLATE(B25,""en"",""ur"")"),"سواروں کی ظاہری باڈی پوزیشن کیا ہے؟")</f>
        <v>سواروں کی ظاہری باڈی پوزیشن کیا ہے؟</v>
      </c>
      <c r="M25" s="2" t="str">
        <f>IFERROR(__xludf.DUMMYFUNCTION("GOOGLETRANSLATE(C25,""en"",""ur"")"),"وہ سیدھے کھڑے ہیں۔")</f>
        <v>وہ سیدھے کھڑے ہیں۔</v>
      </c>
      <c r="N25" s="2" t="str">
        <f>IFERROR(__xludf.DUMMYFUNCTION("GOOGLETRANSLATE(D25,""en"",""ur"")"),"وہ جھک رہے ہیں اور کسی چیز تک پہنچ رہے ہیں۔")</f>
        <v>وہ جھک رہے ہیں اور کسی چیز تک پہنچ رہے ہیں۔</v>
      </c>
      <c r="O25" s="2" t="str">
        <f>IFERROR(__xludf.DUMMYFUNCTION("GOOGLETRANSLATE(E25,""en"",""ur"")"),"وہ گھوڑوں کی پیٹھ پر لیٹے ہوئے ہیں۔")</f>
        <v>وہ گھوڑوں کی پیٹھ پر لیٹے ہوئے ہیں۔</v>
      </c>
      <c r="P25" s="2" t="str">
        <f>IFERROR(__xludf.DUMMYFUNCTION("GOOGLETRANSLATE(F25,""en"",""ur"")"),"وہ آرام سے بیٹھے ہیں۔")</f>
        <v>وہ آرام سے بیٹھے ہیں۔</v>
      </c>
      <c r="Q25" s="2" t="s">
        <v>253</v>
      </c>
      <c r="R25" s="2" t="str">
        <f>IFERROR(__xludf.DUMMYFUNCTION("GOOGLETRANSLATE(G25,""en"",""ur"")"),"وہ جھک رہے ہیں اور کسی چیز تک پہنچ رہے ہیں۔")</f>
        <v>وہ جھک رہے ہیں اور کسی چیز تک پہنچ رہے ہیں۔</v>
      </c>
      <c r="S25" s="5" t="s">
        <v>282</v>
      </c>
    </row>
    <row r="26" ht="22.5" customHeight="1">
      <c r="A26" s="4">
        <v>25.0</v>
      </c>
      <c r="B26" s="5" t="s">
        <v>254</v>
      </c>
      <c r="C26" s="5" t="s">
        <v>47</v>
      </c>
      <c r="D26" s="5" t="s">
        <v>48</v>
      </c>
      <c r="E26" s="5" t="s">
        <v>49</v>
      </c>
      <c r="F26" s="5" t="s">
        <v>50</v>
      </c>
      <c r="G26" s="5" t="s">
        <v>49</v>
      </c>
      <c r="H26" s="5" t="s">
        <v>282</v>
      </c>
      <c r="K26" s="2" t="str">
        <f>IFERROR(__xludf.DUMMYFUNCTION("GOOGLETRANSLATE(A26,""en"",""ur"")"),"25")</f>
        <v>25</v>
      </c>
      <c r="L26" s="2" t="str">
        <f>IFERROR(__xludf.DUMMYFUNCTION("GOOGLETRANSLATE(B26,""en"",""ur"")"),"سواروں کے چہروں سے ظاہری جذبات کیا ہیں؟")</f>
        <v>سواروں کے چہروں سے ظاہری جذبات کیا ہیں؟</v>
      </c>
      <c r="M26" s="2" t="str">
        <f>IFERROR(__xludf.DUMMYFUNCTION("GOOGLETRANSLATE(C26,""en"",""ur"")"),"پرسکون اور پر سکون")</f>
        <v>پرسکون اور پر سکون</v>
      </c>
      <c r="N26" s="2" t="str">
        <f>IFERROR(__xludf.DUMMYFUNCTION("GOOGLETRANSLATE(D26,""en"",""ur"")"),"خوف زدہ اور بے چین")</f>
        <v>خوف زدہ اور بے چین</v>
      </c>
      <c r="O26" s="2" t="str">
        <f>IFERROR(__xludf.DUMMYFUNCTION("GOOGLETRANSLATE(E26,""en"",""ur"")"),"کشیدہ اور شدید")</f>
        <v>کشیدہ اور شدید</v>
      </c>
      <c r="P26" s="2" t="str">
        <f>IFERROR(__xludf.DUMMYFUNCTION("GOOGLETRANSLATE(F26,""en"",""ur"")"),"خوش اور مسکراتے ہوئے۔")</f>
        <v>خوش اور مسکراتے ہوئے۔</v>
      </c>
      <c r="Q26" s="2" t="s">
        <v>51</v>
      </c>
      <c r="R26" s="2" t="str">
        <f>IFERROR(__xludf.DUMMYFUNCTION("GOOGLETRANSLATE(G26,""en"",""ur"")"),"کشیدہ اور شدید")</f>
        <v>کشیدہ اور شدید</v>
      </c>
      <c r="S26" s="5" t="s">
        <v>282</v>
      </c>
    </row>
    <row r="27" ht="22.5" customHeight="1">
      <c r="A27" s="4">
        <v>26.0</v>
      </c>
      <c r="B27" s="5" t="s">
        <v>88</v>
      </c>
      <c r="C27" s="5" t="s">
        <v>89</v>
      </c>
      <c r="D27" s="5" t="s">
        <v>90</v>
      </c>
      <c r="E27" s="5" t="s">
        <v>91</v>
      </c>
      <c r="F27" s="5" t="s">
        <v>255</v>
      </c>
      <c r="G27" s="5" t="s">
        <v>255</v>
      </c>
      <c r="H27" s="5" t="s">
        <v>282</v>
      </c>
      <c r="K27" s="2" t="str">
        <f>IFERROR(__xludf.DUMMYFUNCTION("GOOGLETRANSLATE(A27,""en"",""ur"")"),"26")</f>
        <v>26</v>
      </c>
      <c r="L27" s="2" t="str">
        <f>IFERROR(__xludf.DUMMYFUNCTION("GOOGLETRANSLATE(B27,""en"",""ur"")"),"زمین کی سب سے نمایاں خصوصیت کیا ہے؟")</f>
        <v>زمین کی سب سے نمایاں خصوصیت کیا ہے؟</v>
      </c>
      <c r="M27" s="2" t="str">
        <f>IFERROR(__xludf.DUMMYFUNCTION("GOOGLETRANSLATE(C27,""en"",""ur"")"),"ایک پکی سطح")</f>
        <v>ایک پکی سطح</v>
      </c>
      <c r="N27" s="2" t="str">
        <f>IFERROR(__xludf.DUMMYFUNCTION("GOOGLETRANSLATE(D27,""en"",""ur"")"),"کیچڑ والا میدان")</f>
        <v>کیچڑ والا میدان</v>
      </c>
      <c r="O27" s="2" t="str">
        <f>IFERROR(__xludf.DUMMYFUNCTION("GOOGLETRANSLATE(E27,""en"",""ur"")"),"ایک گھاس دار سطح")</f>
        <v>ایک گھاس دار سطح</v>
      </c>
      <c r="P27" s="2" t="str">
        <f>IFERROR(__xludf.DUMMYFUNCTION("GOOGLETRANSLATE(F27,""en"",""ur"")"),"ریتلی یا گندگی کی سطح")</f>
        <v>ریتلی یا گندگی کی سطح</v>
      </c>
      <c r="Q27" s="2" t="s">
        <v>256</v>
      </c>
      <c r="R27" s="2" t="str">
        <f>IFERROR(__xludf.DUMMYFUNCTION("GOOGLETRANSLATE(G27,""en"",""ur"")"),"ریتلی یا گندگی کی سطح")</f>
        <v>ریتلی یا گندگی کی سطح</v>
      </c>
      <c r="S27" s="5" t="s">
        <v>282</v>
      </c>
    </row>
    <row r="28" ht="22.5" customHeight="1">
      <c r="A28" s="4">
        <v>27.0</v>
      </c>
      <c r="B28" s="5" t="s">
        <v>257</v>
      </c>
      <c r="C28" s="5" t="s">
        <v>95</v>
      </c>
      <c r="D28" s="5" t="s">
        <v>96</v>
      </c>
      <c r="E28" s="5" t="s">
        <v>97</v>
      </c>
      <c r="F28" s="5" t="s">
        <v>258</v>
      </c>
      <c r="G28" s="5" t="s">
        <v>97</v>
      </c>
      <c r="H28" s="5" t="s">
        <v>282</v>
      </c>
      <c r="K28" s="2" t="str">
        <f>IFERROR(__xludf.DUMMYFUNCTION("GOOGLETRANSLATE(A28,""en"",""ur"")"),"27")</f>
        <v>27</v>
      </c>
      <c r="L28" s="2" t="str">
        <f>IFERROR(__xludf.DUMMYFUNCTION("GOOGLETRANSLATE(B28,""en"",""ur"")"),"کھیلے جانے والے کھیل کا نام کیا ہے؟")</f>
        <v>کھیلے جانے والے کھیل کا نام کیا ہے؟</v>
      </c>
      <c r="M28" s="2" t="str">
        <f>IFERROR(__xludf.DUMMYFUNCTION("GOOGLETRANSLATE(C28,""en"",""ur"")"),"پولو")</f>
        <v>پولو</v>
      </c>
      <c r="N28" s="2" t="str">
        <f>IFERROR(__xludf.DUMMYFUNCTION("GOOGLETRANSLATE(D28,""en"",""ur"")"),"گھوڑوں کی دوڑ")</f>
        <v>گھوڑوں کی دوڑ</v>
      </c>
      <c r="O28" s="2" t="str">
        <f>IFERROR(__xludf.DUMMYFUNCTION("GOOGLETRANSLATE(E28,""en"",""ur"")"),"بزکشی۔")</f>
        <v>بزکشی۔</v>
      </c>
      <c r="P28" s="2" t="str">
        <f>IFERROR(__xludf.DUMMYFUNCTION("GOOGLETRANSLATE(F28,""en"",""ur"")"),"گھڑ سواری کے کھیل")</f>
        <v>گھڑ سواری کے کھیل</v>
      </c>
      <c r="Q28" s="2" t="s">
        <v>259</v>
      </c>
      <c r="R28" s="2" t="str">
        <f>IFERROR(__xludf.DUMMYFUNCTION("GOOGLETRANSLATE(G28,""en"",""ur"")"),"بزکشی۔")</f>
        <v>بزکشی۔</v>
      </c>
      <c r="S28" s="5" t="s">
        <v>282</v>
      </c>
    </row>
    <row r="29" ht="22.5" customHeight="1">
      <c r="A29" s="4">
        <v>28.0</v>
      </c>
      <c r="B29" s="5" t="s">
        <v>260</v>
      </c>
      <c r="C29" s="5" t="s">
        <v>261</v>
      </c>
      <c r="D29" s="5" t="s">
        <v>262</v>
      </c>
      <c r="E29" s="5" t="s">
        <v>263</v>
      </c>
      <c r="F29" s="5" t="s">
        <v>264</v>
      </c>
      <c r="G29" s="5" t="s">
        <v>263</v>
      </c>
      <c r="H29" s="5" t="s">
        <v>282</v>
      </c>
      <c r="K29" s="2" t="str">
        <f>IFERROR(__xludf.DUMMYFUNCTION("GOOGLETRANSLATE(A29,""en"",""ur"")"),"28")</f>
        <v>28</v>
      </c>
      <c r="L29" s="2" t="str">
        <f>IFERROR(__xludf.DUMMYFUNCTION("GOOGLETRANSLATE(B29,""en"",""ur"")"),"تصویر میں ایکشن ایک ایسا انداز تجویز کرتا ہے جو اس بات پر زور دیتا ہے...")</f>
        <v>تصویر میں ایکشن ایک ایسا انداز تجویز کرتا ہے جو اس بات پر زور دیتا ہے...</v>
      </c>
      <c r="M29" s="2" t="str">
        <f>IFERROR(__xludf.DUMMYFUNCTION("GOOGLETRANSLATE(C29,""en"",""ur"")"),"روانی اور قلابازیاں")</f>
        <v>روانی اور قلابازیاں</v>
      </c>
      <c r="N29" s="2" t="str">
        <f>IFERROR(__xludf.DUMMYFUNCTION("GOOGLETRANSLATE(D29,""en"",""ur"")"),"زمینی لڑائی اور گرفت")</f>
        <v>زمینی لڑائی اور گرفت</v>
      </c>
      <c r="O29" s="2" t="str">
        <f>IFERROR(__xludf.DUMMYFUNCTION("GOOGLETRANSLATE(E29,""en"",""ur"")"),"وحشیانہ قوت اور گھڑ سواری۔")</f>
        <v>وحشیانہ قوت اور گھڑ سواری۔</v>
      </c>
      <c r="P29" s="2" t="str">
        <f>IFERROR(__xludf.DUMMYFUNCTION("GOOGLETRANSLATE(F29,""en"",""ur"")"),"سادہ، لکیری حرکات")</f>
        <v>سادہ، لکیری حرکات</v>
      </c>
      <c r="Q29" s="2" t="s">
        <v>265</v>
      </c>
      <c r="R29" s="2" t="str">
        <f>IFERROR(__xludf.DUMMYFUNCTION("GOOGLETRANSLATE(G29,""en"",""ur"")"),"وحشیانہ قوت اور گھڑ سواری۔")</f>
        <v>وحشیانہ قوت اور گھڑ سواری۔</v>
      </c>
      <c r="S29" s="5" t="s">
        <v>282</v>
      </c>
    </row>
    <row r="30" ht="22.5" customHeight="1">
      <c r="A30" s="4">
        <v>29.0</v>
      </c>
      <c r="B30" s="5" t="s">
        <v>266</v>
      </c>
      <c r="C30" s="5" t="s">
        <v>59</v>
      </c>
      <c r="D30" s="5" t="s">
        <v>267</v>
      </c>
      <c r="E30" s="5" t="s">
        <v>61</v>
      </c>
      <c r="F30" s="5" t="s">
        <v>268</v>
      </c>
      <c r="G30" s="5" t="s">
        <v>267</v>
      </c>
      <c r="H30" s="5" t="s">
        <v>282</v>
      </c>
      <c r="K30" s="2" t="str">
        <f>IFERROR(__xludf.DUMMYFUNCTION("GOOGLETRANSLATE(A30,""en"",""ur"")"),"29")</f>
        <v>29</v>
      </c>
      <c r="L30" s="2" t="str">
        <f>IFERROR(__xludf.DUMMYFUNCTION("GOOGLETRANSLATE(B30,""en"",""ur"")"),"گھوڑوں کے بارے میں ایک قابل ذکر تفصیل کیا ہے؟")</f>
        <v>گھوڑوں کے بارے میں ایک قابل ذکر تفصیل کیا ہے؟</v>
      </c>
      <c r="M30" s="2" t="str">
        <f>IFERROR(__xludf.DUMMYFUNCTION("GOOGLETRANSLATE(C30,""en"",""ur"")"),"وہ سب ایک ہی رنگ کے ہیں۔")</f>
        <v>وہ سب ایک ہی رنگ کے ہیں۔</v>
      </c>
      <c r="N30" s="2" t="str">
        <f>IFERROR(__xludf.DUMMYFUNCTION("GOOGLETRANSLATE(D30,""en"",""ur"")"),"وہ رنگوں اور نسلوں کا مرکب ہیں۔")</f>
        <v>وہ رنگوں اور نسلوں کا مرکب ہیں۔</v>
      </c>
      <c r="O30" s="2" t="str">
        <f>IFERROR(__xludf.DUMMYFUNCTION("GOOGLETRANSLATE(E30,""en"",""ur"")"),"وہ سب وسیع نمونوں کے ساتھ زین پہنے ہوئے ہیں۔")</f>
        <v>وہ سب وسیع نمونوں کے ساتھ زین پہنے ہوئے ہیں۔</v>
      </c>
      <c r="P30" s="2" t="str">
        <f>IFERROR(__xludf.DUMMYFUNCTION("GOOGLETRANSLATE(F30,""en"",""ur"")"),"وہ سب خاموش کھڑے ہیں۔")</f>
        <v>وہ سب خاموش کھڑے ہیں۔</v>
      </c>
      <c r="Q30" s="2" t="s">
        <v>269</v>
      </c>
      <c r="R30" s="2" t="str">
        <f>IFERROR(__xludf.DUMMYFUNCTION("GOOGLETRANSLATE(G30,""en"",""ur"")"),"وہ رنگوں اور نسلوں کا مرکب ہیں۔")</f>
        <v>وہ رنگوں اور نسلوں کا مرکب ہیں۔</v>
      </c>
      <c r="S30" s="5" t="s">
        <v>282</v>
      </c>
    </row>
    <row r="31" ht="22.5" customHeight="1">
      <c r="A31" s="4">
        <v>30.0</v>
      </c>
      <c r="B31" s="5" t="s">
        <v>270</v>
      </c>
      <c r="C31" s="5" t="s">
        <v>271</v>
      </c>
      <c r="D31" s="5" t="s">
        <v>272</v>
      </c>
      <c r="E31" s="5" t="s">
        <v>273</v>
      </c>
      <c r="F31" s="5" t="s">
        <v>274</v>
      </c>
      <c r="G31" s="5" t="s">
        <v>271</v>
      </c>
      <c r="H31" s="5" t="s">
        <v>282</v>
      </c>
      <c r="K31" s="2" t="str">
        <f>IFERROR(__xludf.DUMMYFUNCTION("GOOGLETRANSLATE(A31,""en"",""ur"")"),"30")</f>
        <v>30</v>
      </c>
      <c r="L31" s="2" t="str">
        <f>IFERROR(__xludf.DUMMYFUNCTION("GOOGLETRANSLATE(B31,""en"",""ur"")"),"مرکز میں سوار کے بارے میں ایک قابل ذکر تفصیل کیا ہے؟")</f>
        <v>مرکز میں سوار کے بارے میں ایک قابل ذکر تفصیل کیا ہے؟</v>
      </c>
      <c r="M31" s="2" t="str">
        <f>IFERROR(__xludf.DUMMYFUNCTION("GOOGLETRANSLATE(C31,""en"",""ur"")"),"وہ اپنے گھوڑے سے گر رہا ہے۔")</f>
        <v>وہ اپنے گھوڑے سے گر رہا ہے۔</v>
      </c>
      <c r="N31" s="2" t="str">
        <f>IFERROR(__xludf.DUMMYFUNCTION("GOOGLETRANSLATE(D31,""en"",""ur"")"),"اس نے بینر اٹھا رکھا ہے۔")</f>
        <v>اس نے بینر اٹھا رکھا ہے۔</v>
      </c>
      <c r="O31" s="2" t="str">
        <f>IFERROR(__xludf.DUMMYFUNCTION("GOOGLETRANSLATE(E31,""en"",""ur"")"),"اس نے رسی پکڑی ہوئی ہے۔")</f>
        <v>اس نے رسی پکڑی ہوئی ہے۔</v>
      </c>
      <c r="P31" s="2" t="str">
        <f>IFERROR(__xludf.DUMMYFUNCTION("GOOGLETRANSLATE(F31,""en"",""ur"")"),"اس نے چھڑی پکڑی ہوئی ہے۔")</f>
        <v>اس نے چھڑی پکڑی ہوئی ہے۔</v>
      </c>
      <c r="Q31" s="2" t="s">
        <v>275</v>
      </c>
      <c r="R31" s="2" t="str">
        <f>IFERROR(__xludf.DUMMYFUNCTION("GOOGLETRANSLATE(G31,""en"",""ur"")"),"وہ اپنے گھوڑے سے گر رہا ہے۔")</f>
        <v>وہ اپنے گھوڑے سے گر رہا ہے۔</v>
      </c>
      <c r="S31" s="5" t="s">
        <v>282</v>
      </c>
    </row>
    <row r="32" ht="22.5" customHeight="1">
      <c r="A32" s="4">
        <v>31.0</v>
      </c>
      <c r="B32" s="5" t="s">
        <v>289</v>
      </c>
      <c r="C32" s="5" t="s">
        <v>103</v>
      </c>
      <c r="D32" s="5" t="s">
        <v>71</v>
      </c>
      <c r="E32" s="5" t="s">
        <v>72</v>
      </c>
      <c r="F32" s="5" t="s">
        <v>73</v>
      </c>
      <c r="G32" s="5" t="s">
        <v>71</v>
      </c>
      <c r="H32" s="5" t="s">
        <v>290</v>
      </c>
      <c r="K32" s="2" t="str">
        <f>IFERROR(__xludf.DUMMYFUNCTION("GOOGLETRANSLATE(A32,""en"",""ur"")"),"31")</f>
        <v>31</v>
      </c>
      <c r="L32" s="2" t="str">
        <f>IFERROR(__xludf.DUMMYFUNCTION("GOOGLETRANSLATE(B32,""en"",""ur"")"),"buzkashi_15 میں دکھائی جانے والی اہم کارروائی کیا ہے؟")</f>
        <v>buzkashi_15 میں دکھائی جانے والی اہم کارروائی کیا ہے؟</v>
      </c>
      <c r="M32" s="2" t="str">
        <f>IFERROR(__xludf.DUMMYFUNCTION("GOOGLETRANSLATE(C32,""en"",""ur"")"),"آرام سے گھوڑے کی سواری۔")</f>
        <v>آرام سے گھوڑے کی سواری۔</v>
      </c>
      <c r="N32" s="2" t="str">
        <f>IFERROR(__xludf.DUMMYFUNCTION("GOOGLETRANSLATE(D32,""en"",""ur"")"),"سواروں کا ایک گروپ جو مرکزی چیز کے لیے مقابلہ کر رہا ہے۔")</f>
        <v>سواروں کا ایک گروپ جو مرکزی چیز کے لیے مقابلہ کر رہا ہے۔</v>
      </c>
      <c r="O32" s="2" t="str">
        <f>IFERROR(__xludf.DUMMYFUNCTION("GOOGLETRANSLATE(E32,""en"",""ur"")"),"گھوڑوں کی پریڈ")</f>
        <v>گھوڑوں کی پریڈ</v>
      </c>
      <c r="P32" s="2" t="str">
        <f>IFERROR(__xludf.DUMMYFUNCTION("GOOGLETRANSLATE(F32,""en"",""ur"")"),"گھوڑوں کی دوڑ")</f>
        <v>گھوڑوں کی دوڑ</v>
      </c>
      <c r="Q32" s="2" t="s">
        <v>278</v>
      </c>
      <c r="R32" s="2" t="str">
        <f>IFERROR(__xludf.DUMMYFUNCTION("GOOGLETRANSLATE(G32,""en"",""ur"")"),"سواروں کا ایک گروپ جو مرکزی چیز کے لیے مقابلہ کر رہا ہے۔")</f>
        <v>سواروں کا ایک گروپ جو مرکزی چیز کے لیے مقابلہ کر رہا ہے۔</v>
      </c>
      <c r="S32" s="5" t="s">
        <v>290</v>
      </c>
    </row>
    <row r="33" ht="22.5" customHeight="1">
      <c r="A33" s="4">
        <v>32.0</v>
      </c>
      <c r="B33" s="5" t="s">
        <v>291</v>
      </c>
      <c r="C33" s="5" t="s">
        <v>284</v>
      </c>
      <c r="D33" s="5" t="s">
        <v>285</v>
      </c>
      <c r="E33" s="5" t="s">
        <v>286</v>
      </c>
      <c r="F33" s="5" t="s">
        <v>287</v>
      </c>
      <c r="G33" s="5" t="s">
        <v>286</v>
      </c>
      <c r="H33" s="5" t="s">
        <v>290</v>
      </c>
      <c r="K33" s="2" t="str">
        <f>IFERROR(__xludf.DUMMYFUNCTION("GOOGLETRANSLATE(A33,""en"",""ur"")"),"32")</f>
        <v>32</v>
      </c>
      <c r="L33" s="2" t="str">
        <f>IFERROR(__xludf.DUMMYFUNCTION("GOOGLETRANSLATE(B33,""en"",""ur"")"),"جس چیز کا مقابلہ کیا جا رہا ہے اس کے بارے میں ایک قابل ذکر تفصیل کیا ہے؟")</f>
        <v>جس چیز کا مقابلہ کیا جا رہا ہے اس کے بارے میں ایک قابل ذکر تفصیل کیا ہے؟</v>
      </c>
      <c r="M33" s="2" t="str">
        <f>IFERROR(__xludf.DUMMYFUNCTION("GOOGLETRANSLATE(C33,""en"",""ur"")"),"یہ ایک گیند ہے۔")</f>
        <v>یہ ایک گیند ہے۔</v>
      </c>
      <c r="N33" s="2" t="str">
        <f>IFERROR(__xludf.DUMMYFUNCTION("GOOGLETRANSLATE(D33,""en"",""ur"")"),"یہ ایک جھنڈا ہے۔")</f>
        <v>یہ ایک جھنڈا ہے۔</v>
      </c>
      <c r="O33" s="2" t="str">
        <f>IFERROR(__xludf.DUMMYFUNCTION("GOOGLETRANSLATE(E33,""en"",""ur"")"),"یہ ایک بکری کی لاش ہے۔")</f>
        <v>یہ ایک بکری کی لاش ہے۔</v>
      </c>
      <c r="P33" s="2" t="str">
        <f>IFERROR(__xludf.DUMMYFUNCTION("GOOGLETRANSLATE(F33,""en"",""ur"")"),"یہ ایک رسی ہے۔")</f>
        <v>یہ ایک رسی ہے۔</v>
      </c>
      <c r="Q33" s="2" t="s">
        <v>288</v>
      </c>
      <c r="R33" s="2" t="str">
        <f>IFERROR(__xludf.DUMMYFUNCTION("GOOGLETRANSLATE(G33,""en"",""ur"")"),"یہ ایک بکری کی لاش ہے۔")</f>
        <v>یہ ایک بکری کی لاش ہے۔</v>
      </c>
      <c r="S33" s="5" t="s">
        <v>290</v>
      </c>
    </row>
    <row r="34" ht="22.5" customHeight="1">
      <c r="A34" s="4">
        <v>33.0</v>
      </c>
      <c r="B34" s="5" t="s">
        <v>242</v>
      </c>
      <c r="C34" s="5" t="s">
        <v>243</v>
      </c>
      <c r="D34" s="5" t="s">
        <v>292</v>
      </c>
      <c r="E34" s="5" t="s">
        <v>245</v>
      </c>
      <c r="F34" s="5" t="s">
        <v>246</v>
      </c>
      <c r="G34" s="5" t="s">
        <v>292</v>
      </c>
      <c r="H34" s="5" t="s">
        <v>290</v>
      </c>
      <c r="K34" s="2" t="str">
        <f>IFERROR(__xludf.DUMMYFUNCTION("GOOGLETRANSLATE(A34,""en"",""ur"")"),"33")</f>
        <v>33</v>
      </c>
      <c r="L34" s="2" t="str">
        <f>IFERROR(__xludf.DUMMYFUNCTION("GOOGLETRANSLATE(B34,""en"",""ur"")"),"سواروں کے لباس کے بارے میں واضح تفصیل کیا ہے؟")</f>
        <v>سواروں کے لباس کے بارے میں واضح تفصیل کیا ہے؟</v>
      </c>
      <c r="M34" s="2" t="str">
        <f>IFERROR(__xludf.DUMMYFUNCTION("GOOGLETRANSLATE(C34,""en"",""ur"")"),"وہ جدید کھیلوں کی وردی پہنے ہوئے ہیں۔")</f>
        <v>وہ جدید کھیلوں کی وردی پہنے ہوئے ہیں۔</v>
      </c>
      <c r="N34" s="2" t="str">
        <f>IFERROR(__xludf.DUMMYFUNCTION("GOOGLETRANSLATE(D34,""en"",""ur"")"),"وہ روایتی ٹونکس اور سر کے لباس پہنے ہوئے ہیں۔")</f>
        <v>وہ روایتی ٹونکس اور سر کے لباس پہنے ہوئے ہیں۔</v>
      </c>
      <c r="O34" s="2" t="str">
        <f>IFERROR(__xludf.DUMMYFUNCTION("GOOGLETRANSLATE(E34,""en"",""ur"")"),"وہ رسمی سوٹ پہنے ہوئے ہیں۔")</f>
        <v>وہ رسمی سوٹ پہنے ہوئے ہیں۔</v>
      </c>
      <c r="P34" s="2" t="str">
        <f>IFERROR(__xludf.DUMMYFUNCTION("GOOGLETRANSLATE(F34,""en"",""ur"")"),"انہوں نے کوئی لباس نہیں پہنا ہوا ہے۔")</f>
        <v>انہوں نے کوئی لباس نہیں پہنا ہوا ہے۔</v>
      </c>
      <c r="Q34" s="2" t="s">
        <v>293</v>
      </c>
      <c r="R34" s="2" t="str">
        <f>IFERROR(__xludf.DUMMYFUNCTION("GOOGLETRANSLATE(G34,""en"",""ur"")"),"وہ روایتی ٹونکس اور سر کے لباس پہنے ہوئے ہیں۔")</f>
        <v>وہ روایتی ٹونکس اور سر کے لباس پہنے ہوئے ہیں۔</v>
      </c>
      <c r="S34" s="5" t="s">
        <v>290</v>
      </c>
    </row>
    <row r="35" ht="22.5" customHeight="1">
      <c r="A35" s="4">
        <v>34.0</v>
      </c>
      <c r="B35" s="5" t="s">
        <v>248</v>
      </c>
      <c r="C35" s="5" t="s">
        <v>249</v>
      </c>
      <c r="D35" s="5" t="s">
        <v>250</v>
      </c>
      <c r="E35" s="5" t="s">
        <v>251</v>
      </c>
      <c r="F35" s="5" t="s">
        <v>252</v>
      </c>
      <c r="G35" s="5" t="s">
        <v>250</v>
      </c>
      <c r="H35" s="5" t="s">
        <v>290</v>
      </c>
      <c r="K35" s="2" t="str">
        <f>IFERROR(__xludf.DUMMYFUNCTION("GOOGLETRANSLATE(A35,""en"",""ur"")"),"34")</f>
        <v>34</v>
      </c>
      <c r="L35" s="2" t="str">
        <f>IFERROR(__xludf.DUMMYFUNCTION("GOOGLETRANSLATE(B35,""en"",""ur"")"),"سواروں کی ظاہری باڈی پوزیشن کیا ہے؟")</f>
        <v>سواروں کی ظاہری باڈی پوزیشن کیا ہے؟</v>
      </c>
      <c r="M35" s="2" t="str">
        <f>IFERROR(__xludf.DUMMYFUNCTION("GOOGLETRANSLATE(C35,""en"",""ur"")"),"وہ سیدھے کھڑے ہیں۔")</f>
        <v>وہ سیدھے کھڑے ہیں۔</v>
      </c>
      <c r="N35" s="2" t="str">
        <f>IFERROR(__xludf.DUMMYFUNCTION("GOOGLETRANSLATE(D35,""en"",""ur"")"),"وہ جھک رہے ہیں اور کسی چیز تک پہنچ رہے ہیں۔")</f>
        <v>وہ جھک رہے ہیں اور کسی چیز تک پہنچ رہے ہیں۔</v>
      </c>
      <c r="O35" s="2" t="str">
        <f>IFERROR(__xludf.DUMMYFUNCTION("GOOGLETRANSLATE(E35,""en"",""ur"")"),"وہ گھوڑوں کی پیٹھ پر لیٹے ہوئے ہیں۔")</f>
        <v>وہ گھوڑوں کی پیٹھ پر لیٹے ہوئے ہیں۔</v>
      </c>
      <c r="P35" s="2" t="str">
        <f>IFERROR(__xludf.DUMMYFUNCTION("GOOGLETRANSLATE(F35,""en"",""ur"")"),"وہ آرام سے بیٹھے ہیں۔")</f>
        <v>وہ آرام سے بیٹھے ہیں۔</v>
      </c>
      <c r="Q35" s="2" t="s">
        <v>253</v>
      </c>
      <c r="R35" s="2" t="str">
        <f>IFERROR(__xludf.DUMMYFUNCTION("GOOGLETRANSLATE(G35,""en"",""ur"")"),"وہ جھک رہے ہیں اور کسی چیز تک پہنچ رہے ہیں۔")</f>
        <v>وہ جھک رہے ہیں اور کسی چیز تک پہنچ رہے ہیں۔</v>
      </c>
      <c r="S35" s="5" t="s">
        <v>290</v>
      </c>
    </row>
    <row r="36" ht="22.5" customHeight="1">
      <c r="A36" s="4">
        <v>35.0</v>
      </c>
      <c r="B36" s="5" t="s">
        <v>254</v>
      </c>
      <c r="C36" s="5" t="s">
        <v>47</v>
      </c>
      <c r="D36" s="5" t="s">
        <v>48</v>
      </c>
      <c r="E36" s="5" t="s">
        <v>49</v>
      </c>
      <c r="F36" s="5" t="s">
        <v>50</v>
      </c>
      <c r="G36" s="5" t="s">
        <v>49</v>
      </c>
      <c r="H36" s="5" t="s">
        <v>290</v>
      </c>
      <c r="K36" s="2" t="str">
        <f>IFERROR(__xludf.DUMMYFUNCTION("GOOGLETRANSLATE(A36,""en"",""ur"")"),"35")</f>
        <v>35</v>
      </c>
      <c r="L36" s="2" t="str">
        <f>IFERROR(__xludf.DUMMYFUNCTION("GOOGLETRANSLATE(B36,""en"",""ur"")"),"سواروں کے چہروں سے ظاہری جذبات کیا ہیں؟")</f>
        <v>سواروں کے چہروں سے ظاہری جذبات کیا ہیں؟</v>
      </c>
      <c r="M36" s="2" t="str">
        <f>IFERROR(__xludf.DUMMYFUNCTION("GOOGLETRANSLATE(C36,""en"",""ur"")"),"پرسکون اور پر سکون")</f>
        <v>پرسکون اور پر سکون</v>
      </c>
      <c r="N36" s="2" t="str">
        <f>IFERROR(__xludf.DUMMYFUNCTION("GOOGLETRANSLATE(D36,""en"",""ur"")"),"خوف زدہ اور بے چین")</f>
        <v>خوف زدہ اور بے چین</v>
      </c>
      <c r="O36" s="2" t="str">
        <f>IFERROR(__xludf.DUMMYFUNCTION("GOOGLETRANSLATE(E36,""en"",""ur"")"),"کشیدہ اور شدید")</f>
        <v>کشیدہ اور شدید</v>
      </c>
      <c r="P36" s="2" t="str">
        <f>IFERROR(__xludf.DUMMYFUNCTION("GOOGLETRANSLATE(F36,""en"",""ur"")"),"خوش اور مسکراتے ہوئے۔")</f>
        <v>خوش اور مسکراتے ہوئے۔</v>
      </c>
      <c r="Q36" s="2" t="s">
        <v>51</v>
      </c>
      <c r="R36" s="2" t="str">
        <f>IFERROR(__xludf.DUMMYFUNCTION("GOOGLETRANSLATE(G36,""en"",""ur"")"),"کشیدہ اور شدید")</f>
        <v>کشیدہ اور شدید</v>
      </c>
      <c r="S36" s="5" t="s">
        <v>290</v>
      </c>
    </row>
    <row r="37" ht="22.5" customHeight="1">
      <c r="A37" s="4">
        <v>36.0</v>
      </c>
      <c r="B37" s="5" t="s">
        <v>88</v>
      </c>
      <c r="C37" s="5" t="s">
        <v>89</v>
      </c>
      <c r="D37" s="5" t="s">
        <v>90</v>
      </c>
      <c r="E37" s="5" t="s">
        <v>91</v>
      </c>
      <c r="F37" s="5" t="s">
        <v>255</v>
      </c>
      <c r="G37" s="5" t="s">
        <v>255</v>
      </c>
      <c r="H37" s="5" t="s">
        <v>290</v>
      </c>
      <c r="K37" s="2" t="str">
        <f>IFERROR(__xludf.DUMMYFUNCTION("GOOGLETRANSLATE(A37,""en"",""ur"")"),"36")</f>
        <v>36</v>
      </c>
      <c r="L37" s="2" t="str">
        <f>IFERROR(__xludf.DUMMYFUNCTION("GOOGLETRANSLATE(B37,""en"",""ur"")"),"زمین کی سب سے نمایاں خصوصیت کیا ہے؟")</f>
        <v>زمین کی سب سے نمایاں خصوصیت کیا ہے؟</v>
      </c>
      <c r="M37" s="2" t="str">
        <f>IFERROR(__xludf.DUMMYFUNCTION("GOOGLETRANSLATE(C37,""en"",""ur"")"),"ایک پکی سطح")</f>
        <v>ایک پکی سطح</v>
      </c>
      <c r="N37" s="2" t="str">
        <f>IFERROR(__xludf.DUMMYFUNCTION("GOOGLETRANSLATE(D37,""en"",""ur"")"),"کیچڑ والا میدان")</f>
        <v>کیچڑ والا میدان</v>
      </c>
      <c r="O37" s="2" t="str">
        <f>IFERROR(__xludf.DUMMYFUNCTION("GOOGLETRANSLATE(E37,""en"",""ur"")"),"ایک گھاس دار سطح")</f>
        <v>ایک گھاس دار سطح</v>
      </c>
      <c r="P37" s="2" t="str">
        <f>IFERROR(__xludf.DUMMYFUNCTION("GOOGLETRANSLATE(F37,""en"",""ur"")"),"ریتلی یا گندگی کی سطح")</f>
        <v>ریتلی یا گندگی کی سطح</v>
      </c>
      <c r="Q37" s="2" t="s">
        <v>256</v>
      </c>
      <c r="R37" s="2" t="str">
        <f>IFERROR(__xludf.DUMMYFUNCTION("GOOGLETRANSLATE(G37,""en"",""ur"")"),"ریتلی یا گندگی کی سطح")</f>
        <v>ریتلی یا گندگی کی سطح</v>
      </c>
      <c r="S37" s="5" t="s">
        <v>290</v>
      </c>
    </row>
    <row r="38" ht="22.5" customHeight="1">
      <c r="A38" s="4">
        <v>37.0</v>
      </c>
      <c r="B38" s="5" t="s">
        <v>257</v>
      </c>
      <c r="C38" s="5" t="s">
        <v>95</v>
      </c>
      <c r="D38" s="5" t="s">
        <v>96</v>
      </c>
      <c r="E38" s="5" t="s">
        <v>97</v>
      </c>
      <c r="F38" s="5" t="s">
        <v>258</v>
      </c>
      <c r="G38" s="5" t="s">
        <v>97</v>
      </c>
      <c r="H38" s="5" t="s">
        <v>290</v>
      </c>
      <c r="K38" s="2" t="str">
        <f>IFERROR(__xludf.DUMMYFUNCTION("GOOGLETRANSLATE(A38,""en"",""ur"")"),"37")</f>
        <v>37</v>
      </c>
      <c r="L38" s="2" t="str">
        <f>IFERROR(__xludf.DUMMYFUNCTION("GOOGLETRANSLATE(B38,""en"",""ur"")"),"کھیلے جانے والے کھیل کا نام کیا ہے؟")</f>
        <v>کھیلے جانے والے کھیل کا نام کیا ہے؟</v>
      </c>
      <c r="M38" s="2" t="str">
        <f>IFERROR(__xludf.DUMMYFUNCTION("GOOGLETRANSLATE(C38,""en"",""ur"")"),"پولو")</f>
        <v>پولو</v>
      </c>
      <c r="N38" s="2" t="str">
        <f>IFERROR(__xludf.DUMMYFUNCTION("GOOGLETRANSLATE(D38,""en"",""ur"")"),"گھوڑوں کی دوڑ")</f>
        <v>گھوڑوں کی دوڑ</v>
      </c>
      <c r="O38" s="2" t="str">
        <f>IFERROR(__xludf.DUMMYFUNCTION("GOOGLETRANSLATE(E38,""en"",""ur"")"),"بزکشی۔")</f>
        <v>بزکشی۔</v>
      </c>
      <c r="P38" s="2" t="str">
        <f>IFERROR(__xludf.DUMMYFUNCTION("GOOGLETRANSLATE(F38,""en"",""ur"")"),"گھڑ سواری کے کھیل")</f>
        <v>گھڑ سواری کے کھیل</v>
      </c>
      <c r="Q38" s="2" t="s">
        <v>259</v>
      </c>
      <c r="R38" s="2" t="str">
        <f>IFERROR(__xludf.DUMMYFUNCTION("GOOGLETRANSLATE(G38,""en"",""ur"")"),"بزکشی۔")</f>
        <v>بزکشی۔</v>
      </c>
      <c r="S38" s="5" t="s">
        <v>290</v>
      </c>
    </row>
    <row r="39" ht="22.5" customHeight="1">
      <c r="A39" s="4">
        <v>38.0</v>
      </c>
      <c r="B39" s="5" t="s">
        <v>260</v>
      </c>
      <c r="C39" s="5" t="s">
        <v>261</v>
      </c>
      <c r="D39" s="5" t="s">
        <v>262</v>
      </c>
      <c r="E39" s="5" t="s">
        <v>263</v>
      </c>
      <c r="F39" s="5" t="s">
        <v>264</v>
      </c>
      <c r="G39" s="5" t="s">
        <v>263</v>
      </c>
      <c r="H39" s="5" t="s">
        <v>290</v>
      </c>
      <c r="K39" s="2" t="str">
        <f>IFERROR(__xludf.DUMMYFUNCTION("GOOGLETRANSLATE(A39,""en"",""ur"")"),"38")</f>
        <v>38</v>
      </c>
      <c r="L39" s="2" t="str">
        <f>IFERROR(__xludf.DUMMYFUNCTION("GOOGLETRANSLATE(B39,""en"",""ur"")"),"تصویر میں ایکشن ایک ایسا انداز تجویز کرتا ہے جو اس بات پر زور دیتا ہے...")</f>
        <v>تصویر میں ایکشن ایک ایسا انداز تجویز کرتا ہے جو اس بات پر زور دیتا ہے...</v>
      </c>
      <c r="M39" s="2" t="str">
        <f>IFERROR(__xludf.DUMMYFUNCTION("GOOGLETRANSLATE(C39,""en"",""ur"")"),"روانی اور قلابازیاں")</f>
        <v>روانی اور قلابازیاں</v>
      </c>
      <c r="N39" s="2" t="str">
        <f>IFERROR(__xludf.DUMMYFUNCTION("GOOGLETRANSLATE(D39,""en"",""ur"")"),"زمینی لڑائی اور گرفت")</f>
        <v>زمینی لڑائی اور گرفت</v>
      </c>
      <c r="O39" s="2" t="str">
        <f>IFERROR(__xludf.DUMMYFUNCTION("GOOGLETRANSLATE(E39,""en"",""ur"")"),"وحشیانہ قوت اور گھڑ سواری۔")</f>
        <v>وحشیانہ قوت اور گھڑ سواری۔</v>
      </c>
      <c r="P39" s="2" t="str">
        <f>IFERROR(__xludf.DUMMYFUNCTION("GOOGLETRANSLATE(F39,""en"",""ur"")"),"سادہ، لکیری حرکات")</f>
        <v>سادہ، لکیری حرکات</v>
      </c>
      <c r="Q39" s="2" t="s">
        <v>265</v>
      </c>
      <c r="R39" s="2" t="str">
        <f>IFERROR(__xludf.DUMMYFUNCTION("GOOGLETRANSLATE(G39,""en"",""ur"")"),"وحشیانہ قوت اور گھڑ سواری۔")</f>
        <v>وحشیانہ قوت اور گھڑ سواری۔</v>
      </c>
      <c r="S39" s="5" t="s">
        <v>290</v>
      </c>
    </row>
    <row r="40" ht="22.5" customHeight="1">
      <c r="A40" s="4">
        <v>39.0</v>
      </c>
      <c r="B40" s="5" t="s">
        <v>266</v>
      </c>
      <c r="C40" s="5" t="s">
        <v>59</v>
      </c>
      <c r="D40" s="5" t="s">
        <v>267</v>
      </c>
      <c r="E40" s="5" t="s">
        <v>61</v>
      </c>
      <c r="F40" s="5" t="s">
        <v>268</v>
      </c>
      <c r="G40" s="5" t="s">
        <v>267</v>
      </c>
      <c r="H40" s="5" t="s">
        <v>290</v>
      </c>
      <c r="K40" s="2" t="str">
        <f>IFERROR(__xludf.DUMMYFUNCTION("GOOGLETRANSLATE(A40,""en"",""ur"")"),"39")</f>
        <v>39</v>
      </c>
      <c r="L40" s="2" t="str">
        <f>IFERROR(__xludf.DUMMYFUNCTION("GOOGLETRANSLATE(B40,""en"",""ur"")"),"گھوڑوں کے بارے میں ایک قابل ذکر تفصیل کیا ہے؟")</f>
        <v>گھوڑوں کے بارے میں ایک قابل ذکر تفصیل کیا ہے؟</v>
      </c>
      <c r="M40" s="2" t="str">
        <f>IFERROR(__xludf.DUMMYFUNCTION("GOOGLETRANSLATE(C40,""en"",""ur"")"),"وہ سب ایک ہی رنگ کے ہیں۔")</f>
        <v>وہ سب ایک ہی رنگ کے ہیں۔</v>
      </c>
      <c r="N40" s="2" t="str">
        <f>IFERROR(__xludf.DUMMYFUNCTION("GOOGLETRANSLATE(D40,""en"",""ur"")"),"وہ رنگوں اور نسلوں کا مرکب ہیں۔")</f>
        <v>وہ رنگوں اور نسلوں کا مرکب ہیں۔</v>
      </c>
      <c r="O40" s="2" t="str">
        <f>IFERROR(__xludf.DUMMYFUNCTION("GOOGLETRANSLATE(E40,""en"",""ur"")"),"وہ سب وسیع نمونوں کے ساتھ زین پہنے ہوئے ہیں۔")</f>
        <v>وہ سب وسیع نمونوں کے ساتھ زین پہنے ہوئے ہیں۔</v>
      </c>
      <c r="P40" s="2" t="str">
        <f>IFERROR(__xludf.DUMMYFUNCTION("GOOGLETRANSLATE(F40,""en"",""ur"")"),"وہ سب خاموش کھڑے ہیں۔")</f>
        <v>وہ سب خاموش کھڑے ہیں۔</v>
      </c>
      <c r="Q40" s="2" t="s">
        <v>269</v>
      </c>
      <c r="R40" s="2" t="str">
        <f>IFERROR(__xludf.DUMMYFUNCTION("GOOGLETRANSLATE(G40,""en"",""ur"")"),"وہ رنگوں اور نسلوں کا مرکب ہیں۔")</f>
        <v>وہ رنگوں اور نسلوں کا مرکب ہیں۔</v>
      </c>
      <c r="S40" s="5" t="s">
        <v>290</v>
      </c>
    </row>
    <row r="41" ht="22.5" customHeight="1">
      <c r="A41" s="4">
        <v>40.0</v>
      </c>
      <c r="B41" s="5" t="s">
        <v>270</v>
      </c>
      <c r="C41" s="5" t="s">
        <v>271</v>
      </c>
      <c r="D41" s="5" t="s">
        <v>272</v>
      </c>
      <c r="E41" s="5" t="s">
        <v>273</v>
      </c>
      <c r="F41" s="5" t="s">
        <v>274</v>
      </c>
      <c r="G41" s="5" t="s">
        <v>274</v>
      </c>
      <c r="H41" s="5" t="s">
        <v>290</v>
      </c>
      <c r="K41" s="2" t="str">
        <f>IFERROR(__xludf.DUMMYFUNCTION("GOOGLETRANSLATE(A41,""en"",""ur"")"),"40")</f>
        <v>40</v>
      </c>
      <c r="L41" s="2" t="str">
        <f>IFERROR(__xludf.DUMMYFUNCTION("GOOGLETRANSLATE(B41,""en"",""ur"")"),"مرکز میں سوار کے بارے میں ایک قابل ذکر تفصیل کیا ہے؟")</f>
        <v>مرکز میں سوار کے بارے میں ایک قابل ذکر تفصیل کیا ہے؟</v>
      </c>
      <c r="M41" s="2" t="str">
        <f>IFERROR(__xludf.DUMMYFUNCTION("GOOGLETRANSLATE(C41,""en"",""ur"")"),"وہ اپنے گھوڑے سے گر رہا ہے۔")</f>
        <v>وہ اپنے گھوڑے سے گر رہا ہے۔</v>
      </c>
      <c r="N41" s="2" t="str">
        <f>IFERROR(__xludf.DUMMYFUNCTION("GOOGLETRANSLATE(D41,""en"",""ur"")"),"اس نے بینر اٹھا رکھا ہے۔")</f>
        <v>اس نے بینر اٹھا رکھا ہے۔</v>
      </c>
      <c r="O41" s="2" t="str">
        <f>IFERROR(__xludf.DUMMYFUNCTION("GOOGLETRANSLATE(E41,""en"",""ur"")"),"اس نے رسی پکڑی ہوئی ہے۔")</f>
        <v>اس نے رسی پکڑی ہوئی ہے۔</v>
      </c>
      <c r="P41" s="2" t="str">
        <f>IFERROR(__xludf.DUMMYFUNCTION("GOOGLETRANSLATE(F41,""en"",""ur"")"),"اس نے چھڑی پکڑی ہوئی ہے۔")</f>
        <v>اس نے چھڑی پکڑی ہوئی ہے۔</v>
      </c>
      <c r="Q41" s="2" t="s">
        <v>275</v>
      </c>
      <c r="R41" s="2" t="str">
        <f>IFERROR(__xludf.DUMMYFUNCTION("GOOGLETRANSLATE(G41,""en"",""ur"")"),"اس نے چھڑی پکڑی ہوئی ہے۔")</f>
        <v>اس نے چھڑی پکڑی ہوئی ہے۔</v>
      </c>
      <c r="S41" s="5" t="s">
        <v>290</v>
      </c>
    </row>
    <row r="42" ht="22.5" customHeight="1">
      <c r="A42" s="4">
        <v>41.0</v>
      </c>
      <c r="B42" s="5" t="s">
        <v>294</v>
      </c>
      <c r="C42" s="5" t="s">
        <v>103</v>
      </c>
      <c r="D42" s="5" t="s">
        <v>71</v>
      </c>
      <c r="E42" s="5" t="s">
        <v>72</v>
      </c>
      <c r="F42" s="5" t="s">
        <v>73</v>
      </c>
      <c r="G42" s="5" t="s">
        <v>71</v>
      </c>
      <c r="H42" s="5" t="s">
        <v>295</v>
      </c>
      <c r="K42" s="2" t="str">
        <f>IFERROR(__xludf.DUMMYFUNCTION("GOOGLETRANSLATE(A42,""en"",""ur"")"),"41")</f>
        <v>41</v>
      </c>
      <c r="L42" s="2" t="str">
        <f>IFERROR(__xludf.DUMMYFUNCTION("GOOGLETRANSLATE(B42,""en"",""ur"")"),"buzkashi_16 میں دکھائی جانے والی اہم کارروائی کیا ہے؟")</f>
        <v>buzkashi_16 میں دکھائی جانے والی اہم کارروائی کیا ہے؟</v>
      </c>
      <c r="M42" s="2" t="str">
        <f>IFERROR(__xludf.DUMMYFUNCTION("GOOGLETRANSLATE(C42,""en"",""ur"")"),"آرام سے گھوڑے کی سواری۔")</f>
        <v>آرام سے گھوڑے کی سواری۔</v>
      </c>
      <c r="N42" s="2" t="str">
        <f>IFERROR(__xludf.DUMMYFUNCTION("GOOGLETRANSLATE(D42,""en"",""ur"")"),"سواروں کا ایک گروپ جو مرکزی چیز کے لیے مقابلہ کر رہا ہے۔")</f>
        <v>سواروں کا ایک گروپ جو مرکزی چیز کے لیے مقابلہ کر رہا ہے۔</v>
      </c>
      <c r="O42" s="2" t="str">
        <f>IFERROR(__xludf.DUMMYFUNCTION("GOOGLETRANSLATE(E42,""en"",""ur"")"),"گھوڑوں کی پریڈ")</f>
        <v>گھوڑوں کی پریڈ</v>
      </c>
      <c r="P42" s="2" t="str">
        <f>IFERROR(__xludf.DUMMYFUNCTION("GOOGLETRANSLATE(F42,""en"",""ur"")"),"گھوڑوں کی دوڑ")</f>
        <v>گھوڑوں کی دوڑ</v>
      </c>
      <c r="Q42" s="2" t="s">
        <v>278</v>
      </c>
      <c r="R42" s="2" t="str">
        <f>IFERROR(__xludf.DUMMYFUNCTION("GOOGLETRANSLATE(G42,""en"",""ur"")"),"سواروں کا ایک گروپ جو مرکزی چیز کے لیے مقابلہ کر رہا ہے۔")</f>
        <v>سواروں کا ایک گروپ جو مرکزی چیز کے لیے مقابلہ کر رہا ہے۔</v>
      </c>
      <c r="S42" s="5" t="s">
        <v>295</v>
      </c>
    </row>
    <row r="43" ht="22.5" customHeight="1">
      <c r="A43" s="4">
        <v>42.0</v>
      </c>
      <c r="B43" s="5" t="s">
        <v>238</v>
      </c>
      <c r="C43" s="5" t="s">
        <v>279</v>
      </c>
      <c r="D43" s="5" t="s">
        <v>84</v>
      </c>
      <c r="E43" s="5" t="s">
        <v>85</v>
      </c>
      <c r="F43" s="5" t="s">
        <v>240</v>
      </c>
      <c r="G43" s="5" t="s">
        <v>84</v>
      </c>
      <c r="H43" s="5" t="s">
        <v>295</v>
      </c>
      <c r="K43" s="2" t="str">
        <f>IFERROR(__xludf.DUMMYFUNCTION("GOOGLETRANSLATE(A43,""en"",""ur"")"),"42")</f>
        <v>42</v>
      </c>
      <c r="L43" s="2" t="str">
        <f>IFERROR(__xludf.DUMMYFUNCTION("GOOGLETRANSLATE(B43,""en"",""ur"")"),"اس گیم کی ترتیب کے بارے میں ایک قابل ذکر تفصیل کیا ہے؟")</f>
        <v>اس گیم کی ترتیب کے بارے میں ایک قابل ذکر تفصیل کیا ہے؟</v>
      </c>
      <c r="M43" s="2" t="str">
        <f>IFERROR(__xludf.DUMMYFUNCTION("GOOGLETRANSLATE(C43,""en"",""ur"")"),"یہ ہجوم کے ساتھ اسٹیڈیم میں ہے۔")</f>
        <v>یہ ہجوم کے ساتھ اسٹیڈیم میں ہے۔</v>
      </c>
      <c r="N43" s="2" t="str">
        <f>IFERROR(__xludf.DUMMYFUNCTION("GOOGLETRANSLATE(D43,""en"",""ur"")"),"یہ پہاڑی، پتھریلی علاقے میں ایک میدان میں ہے۔")</f>
        <v>یہ پہاڑی، پتھریلی علاقے میں ایک میدان میں ہے۔</v>
      </c>
      <c r="O43" s="2" t="str">
        <f>IFERROR(__xludf.DUMMYFUNCTION("GOOGLETRANSLATE(E43,""en"",""ur"")"),"یہ شہر کی سڑک پر ہے۔")</f>
        <v>یہ شہر کی سڑک پر ہے۔</v>
      </c>
      <c r="P43" s="2" t="str">
        <f>IFERROR(__xludf.DUMMYFUNCTION("GOOGLETRANSLATE(F43,""en"",""ur"")"),"یہ ایک پرسکون ساحل سمندر پر ہے۔")</f>
        <v>یہ ایک پرسکون ساحل سمندر پر ہے۔</v>
      </c>
      <c r="Q43" s="2" t="s">
        <v>280</v>
      </c>
      <c r="R43" s="2" t="str">
        <f>IFERROR(__xludf.DUMMYFUNCTION("GOOGLETRANSLATE(G43,""en"",""ur"")"),"یہ پہاڑی، پتھریلی علاقے میں ایک میدان میں ہے۔")</f>
        <v>یہ پہاڑی، پتھریلی علاقے میں ایک میدان میں ہے۔</v>
      </c>
      <c r="S43" s="5" t="s">
        <v>295</v>
      </c>
    </row>
    <row r="44" ht="22.5" customHeight="1">
      <c r="A44" s="4">
        <v>43.0</v>
      </c>
      <c r="B44" s="5" t="s">
        <v>242</v>
      </c>
      <c r="C44" s="5" t="s">
        <v>243</v>
      </c>
      <c r="D44" s="5" t="s">
        <v>292</v>
      </c>
      <c r="E44" s="5" t="s">
        <v>245</v>
      </c>
      <c r="F44" s="5" t="s">
        <v>246</v>
      </c>
      <c r="G44" s="5" t="s">
        <v>292</v>
      </c>
      <c r="H44" s="5" t="s">
        <v>295</v>
      </c>
      <c r="K44" s="2" t="str">
        <f>IFERROR(__xludf.DUMMYFUNCTION("GOOGLETRANSLATE(A44,""en"",""ur"")"),"43")</f>
        <v>43</v>
      </c>
      <c r="L44" s="2" t="str">
        <f>IFERROR(__xludf.DUMMYFUNCTION("GOOGLETRANSLATE(B44,""en"",""ur"")"),"سواروں کے لباس کے بارے میں واضح تفصیل کیا ہے؟")</f>
        <v>سواروں کے لباس کے بارے میں واضح تفصیل کیا ہے؟</v>
      </c>
      <c r="M44" s="2" t="str">
        <f>IFERROR(__xludf.DUMMYFUNCTION("GOOGLETRANSLATE(C44,""en"",""ur"")"),"وہ جدید کھیلوں کی وردی پہنے ہوئے ہیں۔")</f>
        <v>وہ جدید کھیلوں کی وردی پہنے ہوئے ہیں۔</v>
      </c>
      <c r="N44" s="2" t="str">
        <f>IFERROR(__xludf.DUMMYFUNCTION("GOOGLETRANSLATE(D44,""en"",""ur"")"),"وہ روایتی ٹونکس اور سر کے لباس پہنے ہوئے ہیں۔")</f>
        <v>وہ روایتی ٹونکس اور سر کے لباس پہنے ہوئے ہیں۔</v>
      </c>
      <c r="O44" s="2" t="str">
        <f>IFERROR(__xludf.DUMMYFUNCTION("GOOGLETRANSLATE(E44,""en"",""ur"")"),"وہ رسمی سوٹ پہنے ہوئے ہیں۔")</f>
        <v>وہ رسمی سوٹ پہنے ہوئے ہیں۔</v>
      </c>
      <c r="P44" s="2" t="str">
        <f>IFERROR(__xludf.DUMMYFUNCTION("GOOGLETRANSLATE(F44,""en"",""ur"")"),"انہوں نے کوئی لباس نہیں پہنا ہوا ہے۔")</f>
        <v>انہوں نے کوئی لباس نہیں پہنا ہوا ہے۔</v>
      </c>
      <c r="Q44" s="2" t="s">
        <v>293</v>
      </c>
      <c r="R44" s="2" t="str">
        <f>IFERROR(__xludf.DUMMYFUNCTION("GOOGLETRANSLATE(G44,""en"",""ur"")"),"وہ روایتی ٹونکس اور سر کے لباس پہنے ہوئے ہیں۔")</f>
        <v>وہ روایتی ٹونکس اور سر کے لباس پہنے ہوئے ہیں۔</v>
      </c>
      <c r="S44" s="5" t="s">
        <v>295</v>
      </c>
    </row>
    <row r="45" ht="22.5" customHeight="1">
      <c r="A45" s="4">
        <v>44.0</v>
      </c>
      <c r="B45" s="5" t="s">
        <v>248</v>
      </c>
      <c r="C45" s="5" t="s">
        <v>249</v>
      </c>
      <c r="D45" s="5" t="s">
        <v>250</v>
      </c>
      <c r="E45" s="5" t="s">
        <v>251</v>
      </c>
      <c r="F45" s="5" t="s">
        <v>252</v>
      </c>
      <c r="G45" s="5" t="s">
        <v>250</v>
      </c>
      <c r="H45" s="5" t="s">
        <v>295</v>
      </c>
      <c r="K45" s="2" t="str">
        <f>IFERROR(__xludf.DUMMYFUNCTION("GOOGLETRANSLATE(A45,""en"",""ur"")"),"44")</f>
        <v>44</v>
      </c>
      <c r="L45" s="2" t="str">
        <f>IFERROR(__xludf.DUMMYFUNCTION("GOOGLETRANSLATE(B45,""en"",""ur"")"),"سواروں کی ظاہری باڈی پوزیشن کیا ہے؟")</f>
        <v>سواروں کی ظاہری باڈی پوزیشن کیا ہے؟</v>
      </c>
      <c r="M45" s="2" t="str">
        <f>IFERROR(__xludf.DUMMYFUNCTION("GOOGLETRANSLATE(C45,""en"",""ur"")"),"وہ سیدھے کھڑے ہیں۔")</f>
        <v>وہ سیدھے کھڑے ہیں۔</v>
      </c>
      <c r="N45" s="2" t="str">
        <f>IFERROR(__xludf.DUMMYFUNCTION("GOOGLETRANSLATE(D45,""en"",""ur"")"),"وہ جھک رہے ہیں اور کسی چیز تک پہنچ رہے ہیں۔")</f>
        <v>وہ جھک رہے ہیں اور کسی چیز تک پہنچ رہے ہیں۔</v>
      </c>
      <c r="O45" s="2" t="str">
        <f>IFERROR(__xludf.DUMMYFUNCTION("GOOGLETRANSLATE(E45,""en"",""ur"")"),"وہ گھوڑوں کی پیٹھ پر لیٹے ہوئے ہیں۔")</f>
        <v>وہ گھوڑوں کی پیٹھ پر لیٹے ہوئے ہیں۔</v>
      </c>
      <c r="P45" s="2" t="str">
        <f>IFERROR(__xludf.DUMMYFUNCTION("GOOGLETRANSLATE(F45,""en"",""ur"")"),"وہ آرام سے بیٹھے ہیں۔")</f>
        <v>وہ آرام سے بیٹھے ہیں۔</v>
      </c>
      <c r="Q45" s="2" t="s">
        <v>253</v>
      </c>
      <c r="R45" s="2" t="str">
        <f>IFERROR(__xludf.DUMMYFUNCTION("GOOGLETRANSLATE(G45,""en"",""ur"")"),"وہ جھک رہے ہیں اور کسی چیز تک پہنچ رہے ہیں۔")</f>
        <v>وہ جھک رہے ہیں اور کسی چیز تک پہنچ رہے ہیں۔</v>
      </c>
      <c r="S45" s="5" t="s">
        <v>295</v>
      </c>
    </row>
    <row r="46" ht="22.5" customHeight="1">
      <c r="A46" s="4">
        <v>45.0</v>
      </c>
      <c r="B46" s="5" t="s">
        <v>254</v>
      </c>
      <c r="C46" s="5" t="s">
        <v>47</v>
      </c>
      <c r="D46" s="5" t="s">
        <v>48</v>
      </c>
      <c r="E46" s="5" t="s">
        <v>49</v>
      </c>
      <c r="F46" s="5" t="s">
        <v>50</v>
      </c>
      <c r="G46" s="5" t="s">
        <v>49</v>
      </c>
      <c r="H46" s="5" t="s">
        <v>295</v>
      </c>
      <c r="K46" s="2" t="str">
        <f>IFERROR(__xludf.DUMMYFUNCTION("GOOGLETRANSLATE(A46,""en"",""ur"")"),"45")</f>
        <v>45</v>
      </c>
      <c r="L46" s="2" t="str">
        <f>IFERROR(__xludf.DUMMYFUNCTION("GOOGLETRANSLATE(B46,""en"",""ur"")"),"سواروں کے چہروں سے ظاہری جذبات کیا ہیں؟")</f>
        <v>سواروں کے چہروں سے ظاہری جذبات کیا ہیں؟</v>
      </c>
      <c r="M46" s="2" t="str">
        <f>IFERROR(__xludf.DUMMYFUNCTION("GOOGLETRANSLATE(C46,""en"",""ur"")"),"پرسکون اور پر سکون")</f>
        <v>پرسکون اور پر سکون</v>
      </c>
      <c r="N46" s="2" t="str">
        <f>IFERROR(__xludf.DUMMYFUNCTION("GOOGLETRANSLATE(D46,""en"",""ur"")"),"خوف زدہ اور بے چین")</f>
        <v>خوف زدہ اور بے چین</v>
      </c>
      <c r="O46" s="2" t="str">
        <f>IFERROR(__xludf.DUMMYFUNCTION("GOOGLETRANSLATE(E46,""en"",""ur"")"),"کشیدہ اور شدید")</f>
        <v>کشیدہ اور شدید</v>
      </c>
      <c r="P46" s="2" t="str">
        <f>IFERROR(__xludf.DUMMYFUNCTION("GOOGLETRANSLATE(F46,""en"",""ur"")"),"خوش اور مسکراتے ہوئے۔")</f>
        <v>خوش اور مسکراتے ہوئے۔</v>
      </c>
      <c r="Q46" s="2" t="s">
        <v>51</v>
      </c>
      <c r="R46" s="2" t="str">
        <f>IFERROR(__xludf.DUMMYFUNCTION("GOOGLETRANSLATE(G46,""en"",""ur"")"),"کشیدہ اور شدید")</f>
        <v>کشیدہ اور شدید</v>
      </c>
      <c r="S46" s="5" t="s">
        <v>295</v>
      </c>
    </row>
    <row r="47" ht="22.5" customHeight="1">
      <c r="A47" s="4">
        <v>46.0</v>
      </c>
      <c r="B47" s="5" t="s">
        <v>88</v>
      </c>
      <c r="C47" s="5" t="s">
        <v>89</v>
      </c>
      <c r="D47" s="5" t="s">
        <v>90</v>
      </c>
      <c r="E47" s="5" t="s">
        <v>91</v>
      </c>
      <c r="F47" s="5" t="s">
        <v>255</v>
      </c>
      <c r="G47" s="5" t="s">
        <v>255</v>
      </c>
      <c r="H47" s="5" t="s">
        <v>295</v>
      </c>
      <c r="K47" s="2" t="str">
        <f>IFERROR(__xludf.DUMMYFUNCTION("GOOGLETRANSLATE(A47,""en"",""ur"")"),"46")</f>
        <v>46</v>
      </c>
      <c r="L47" s="2" t="str">
        <f>IFERROR(__xludf.DUMMYFUNCTION("GOOGLETRANSLATE(B47,""en"",""ur"")"),"زمین کی سب سے نمایاں خصوصیت کیا ہے؟")</f>
        <v>زمین کی سب سے نمایاں خصوصیت کیا ہے؟</v>
      </c>
      <c r="M47" s="2" t="str">
        <f>IFERROR(__xludf.DUMMYFUNCTION("GOOGLETRANSLATE(C47,""en"",""ur"")"),"ایک پکی سطح")</f>
        <v>ایک پکی سطح</v>
      </c>
      <c r="N47" s="2" t="str">
        <f>IFERROR(__xludf.DUMMYFUNCTION("GOOGLETRANSLATE(D47,""en"",""ur"")"),"کیچڑ والا میدان")</f>
        <v>کیچڑ والا میدان</v>
      </c>
      <c r="O47" s="2" t="str">
        <f>IFERROR(__xludf.DUMMYFUNCTION("GOOGLETRANSLATE(E47,""en"",""ur"")"),"ایک گھاس دار سطح")</f>
        <v>ایک گھاس دار سطح</v>
      </c>
      <c r="P47" s="2" t="str">
        <f>IFERROR(__xludf.DUMMYFUNCTION("GOOGLETRANSLATE(F47,""en"",""ur"")"),"ریتلی یا گندگی کی سطح")</f>
        <v>ریتلی یا گندگی کی سطح</v>
      </c>
      <c r="Q47" s="2" t="s">
        <v>256</v>
      </c>
      <c r="R47" s="2" t="str">
        <f>IFERROR(__xludf.DUMMYFUNCTION("GOOGLETRANSLATE(G47,""en"",""ur"")"),"ریتلی یا گندگی کی سطح")</f>
        <v>ریتلی یا گندگی کی سطح</v>
      </c>
      <c r="S47" s="5" t="s">
        <v>295</v>
      </c>
    </row>
    <row r="48" ht="22.5" customHeight="1">
      <c r="A48" s="4">
        <v>47.0</v>
      </c>
      <c r="B48" s="5" t="s">
        <v>257</v>
      </c>
      <c r="C48" s="5" t="s">
        <v>95</v>
      </c>
      <c r="D48" s="5" t="s">
        <v>96</v>
      </c>
      <c r="E48" s="5" t="s">
        <v>97</v>
      </c>
      <c r="F48" s="5" t="s">
        <v>258</v>
      </c>
      <c r="G48" s="5" t="s">
        <v>97</v>
      </c>
      <c r="H48" s="5" t="s">
        <v>295</v>
      </c>
      <c r="K48" s="2" t="str">
        <f>IFERROR(__xludf.DUMMYFUNCTION("GOOGLETRANSLATE(A48,""en"",""ur"")"),"47")</f>
        <v>47</v>
      </c>
      <c r="L48" s="2" t="str">
        <f>IFERROR(__xludf.DUMMYFUNCTION("GOOGLETRANSLATE(B48,""en"",""ur"")"),"کھیلے جانے والے کھیل کا نام کیا ہے؟")</f>
        <v>کھیلے جانے والے کھیل کا نام کیا ہے؟</v>
      </c>
      <c r="M48" s="2" t="str">
        <f>IFERROR(__xludf.DUMMYFUNCTION("GOOGLETRANSLATE(C48,""en"",""ur"")"),"پولو")</f>
        <v>پولو</v>
      </c>
      <c r="N48" s="2" t="str">
        <f>IFERROR(__xludf.DUMMYFUNCTION("GOOGLETRANSLATE(D48,""en"",""ur"")"),"گھوڑوں کی دوڑ")</f>
        <v>گھوڑوں کی دوڑ</v>
      </c>
      <c r="O48" s="2" t="str">
        <f>IFERROR(__xludf.DUMMYFUNCTION("GOOGLETRANSLATE(E48,""en"",""ur"")"),"بزکشی۔")</f>
        <v>بزکشی۔</v>
      </c>
      <c r="P48" s="2" t="str">
        <f>IFERROR(__xludf.DUMMYFUNCTION("GOOGLETRANSLATE(F48,""en"",""ur"")"),"گھڑ سواری کے کھیل")</f>
        <v>گھڑ سواری کے کھیل</v>
      </c>
      <c r="Q48" s="2" t="s">
        <v>259</v>
      </c>
      <c r="R48" s="2" t="str">
        <f>IFERROR(__xludf.DUMMYFUNCTION("GOOGLETRANSLATE(G48,""en"",""ur"")"),"بزکشی۔")</f>
        <v>بزکشی۔</v>
      </c>
      <c r="S48" s="5" t="s">
        <v>295</v>
      </c>
    </row>
    <row r="49" ht="22.5" customHeight="1">
      <c r="A49" s="4">
        <v>48.0</v>
      </c>
      <c r="B49" s="5" t="s">
        <v>260</v>
      </c>
      <c r="C49" s="5" t="s">
        <v>261</v>
      </c>
      <c r="D49" s="5" t="s">
        <v>262</v>
      </c>
      <c r="E49" s="5" t="s">
        <v>263</v>
      </c>
      <c r="F49" s="5" t="s">
        <v>264</v>
      </c>
      <c r="G49" s="5" t="s">
        <v>263</v>
      </c>
      <c r="H49" s="5" t="s">
        <v>295</v>
      </c>
      <c r="K49" s="2" t="str">
        <f>IFERROR(__xludf.DUMMYFUNCTION("GOOGLETRANSLATE(A49,""en"",""ur"")"),"48")</f>
        <v>48</v>
      </c>
      <c r="L49" s="2" t="str">
        <f>IFERROR(__xludf.DUMMYFUNCTION("GOOGLETRANSLATE(B49,""en"",""ur"")"),"تصویر میں ایکشن ایک ایسا انداز تجویز کرتا ہے جو اس بات پر زور دیتا ہے...")</f>
        <v>تصویر میں ایکشن ایک ایسا انداز تجویز کرتا ہے جو اس بات پر زور دیتا ہے...</v>
      </c>
      <c r="M49" s="2" t="str">
        <f>IFERROR(__xludf.DUMMYFUNCTION("GOOGLETRANSLATE(C49,""en"",""ur"")"),"روانی اور قلابازیاں")</f>
        <v>روانی اور قلابازیاں</v>
      </c>
      <c r="N49" s="2" t="str">
        <f>IFERROR(__xludf.DUMMYFUNCTION("GOOGLETRANSLATE(D49,""en"",""ur"")"),"زمینی لڑائی اور گرفت")</f>
        <v>زمینی لڑائی اور گرفت</v>
      </c>
      <c r="O49" s="2" t="str">
        <f>IFERROR(__xludf.DUMMYFUNCTION("GOOGLETRANSLATE(E49,""en"",""ur"")"),"وحشیانہ قوت اور گھڑ سواری۔")</f>
        <v>وحشیانہ قوت اور گھڑ سواری۔</v>
      </c>
      <c r="P49" s="2" t="str">
        <f>IFERROR(__xludf.DUMMYFUNCTION("GOOGLETRANSLATE(F49,""en"",""ur"")"),"سادہ، لکیری حرکات")</f>
        <v>سادہ، لکیری حرکات</v>
      </c>
      <c r="Q49" s="2" t="s">
        <v>265</v>
      </c>
      <c r="R49" s="2" t="str">
        <f>IFERROR(__xludf.DUMMYFUNCTION("GOOGLETRANSLATE(G49,""en"",""ur"")"),"وحشیانہ قوت اور گھڑ سواری۔")</f>
        <v>وحشیانہ قوت اور گھڑ سواری۔</v>
      </c>
      <c r="S49" s="5" t="s">
        <v>295</v>
      </c>
    </row>
    <row r="50" ht="22.5" customHeight="1">
      <c r="A50" s="4">
        <v>49.0</v>
      </c>
      <c r="B50" s="5" t="s">
        <v>266</v>
      </c>
      <c r="C50" s="5" t="s">
        <v>59</v>
      </c>
      <c r="D50" s="5" t="s">
        <v>267</v>
      </c>
      <c r="E50" s="5" t="s">
        <v>61</v>
      </c>
      <c r="F50" s="5" t="s">
        <v>268</v>
      </c>
      <c r="G50" s="5" t="s">
        <v>267</v>
      </c>
      <c r="H50" s="5" t="s">
        <v>295</v>
      </c>
      <c r="K50" s="2" t="str">
        <f>IFERROR(__xludf.DUMMYFUNCTION("GOOGLETRANSLATE(A50,""en"",""ur"")"),"49")</f>
        <v>49</v>
      </c>
      <c r="L50" s="2" t="str">
        <f>IFERROR(__xludf.DUMMYFUNCTION("GOOGLETRANSLATE(B50,""en"",""ur"")"),"گھوڑوں کے بارے میں ایک قابل ذکر تفصیل کیا ہے؟")</f>
        <v>گھوڑوں کے بارے میں ایک قابل ذکر تفصیل کیا ہے؟</v>
      </c>
      <c r="M50" s="2" t="str">
        <f>IFERROR(__xludf.DUMMYFUNCTION("GOOGLETRANSLATE(C50,""en"",""ur"")"),"وہ سب ایک ہی رنگ کے ہیں۔")</f>
        <v>وہ سب ایک ہی رنگ کے ہیں۔</v>
      </c>
      <c r="N50" s="2" t="str">
        <f>IFERROR(__xludf.DUMMYFUNCTION("GOOGLETRANSLATE(D50,""en"",""ur"")"),"وہ رنگوں اور نسلوں کا مرکب ہیں۔")</f>
        <v>وہ رنگوں اور نسلوں کا مرکب ہیں۔</v>
      </c>
      <c r="O50" s="2" t="str">
        <f>IFERROR(__xludf.DUMMYFUNCTION("GOOGLETRANSLATE(E50,""en"",""ur"")"),"وہ سب وسیع نمونوں کے ساتھ زین پہنے ہوئے ہیں۔")</f>
        <v>وہ سب وسیع نمونوں کے ساتھ زین پہنے ہوئے ہیں۔</v>
      </c>
      <c r="P50" s="2" t="str">
        <f>IFERROR(__xludf.DUMMYFUNCTION("GOOGLETRANSLATE(F50,""en"",""ur"")"),"وہ سب خاموش کھڑے ہیں۔")</f>
        <v>وہ سب خاموش کھڑے ہیں۔</v>
      </c>
      <c r="Q50" s="2" t="s">
        <v>269</v>
      </c>
      <c r="R50" s="2" t="str">
        <f>IFERROR(__xludf.DUMMYFUNCTION("GOOGLETRANSLATE(G50,""en"",""ur"")"),"وہ رنگوں اور نسلوں کا مرکب ہیں۔")</f>
        <v>وہ رنگوں اور نسلوں کا مرکب ہیں۔</v>
      </c>
      <c r="S50" s="5" t="s">
        <v>295</v>
      </c>
    </row>
    <row r="51" ht="22.5" customHeight="1">
      <c r="A51" s="4">
        <v>50.0</v>
      </c>
      <c r="B51" s="5" t="s">
        <v>296</v>
      </c>
      <c r="C51" s="5" t="s">
        <v>297</v>
      </c>
      <c r="D51" s="5" t="s">
        <v>272</v>
      </c>
      <c r="E51" s="5" t="s">
        <v>273</v>
      </c>
      <c r="F51" s="5" t="s">
        <v>274</v>
      </c>
      <c r="G51" s="5" t="s">
        <v>297</v>
      </c>
      <c r="H51" s="5" t="s">
        <v>295</v>
      </c>
      <c r="K51" s="2" t="str">
        <f>IFERROR(__xludf.DUMMYFUNCTION("GOOGLETRANSLATE(A51,""en"",""ur"")"),"50")</f>
        <v>50</v>
      </c>
      <c r="L51" s="2" t="str">
        <f>IFERROR(__xludf.DUMMYFUNCTION("GOOGLETRANSLATE(B51,""en"",""ur"")"),"دائیں طرف سوار کے بارے میں ایک قابل ذکر تفصیل کیا ہے؟")</f>
        <v>دائیں طرف سوار کے بارے میں ایک قابل ذکر تفصیل کیا ہے؟</v>
      </c>
      <c r="M51" s="2" t="str">
        <f>IFERROR(__xludf.DUMMYFUNCTION("GOOGLETRANSLATE(C51,""en"",""ur"")"),"اس نے ایک کوڑا پکڑ رکھا ہے۔")</f>
        <v>اس نے ایک کوڑا پکڑ رکھا ہے۔</v>
      </c>
      <c r="N51" s="2" t="str">
        <f>IFERROR(__xludf.DUMMYFUNCTION("GOOGLETRANSLATE(D51,""en"",""ur"")"),"اس نے بینر اٹھا رکھا ہے۔")</f>
        <v>اس نے بینر اٹھا رکھا ہے۔</v>
      </c>
      <c r="O51" s="2" t="str">
        <f>IFERROR(__xludf.DUMMYFUNCTION("GOOGLETRANSLATE(E51,""en"",""ur"")"),"اس نے رسی پکڑی ہوئی ہے۔")</f>
        <v>اس نے رسی پکڑی ہوئی ہے۔</v>
      </c>
      <c r="P51" s="2" t="str">
        <f>IFERROR(__xludf.DUMMYFUNCTION("GOOGLETRANSLATE(F51,""en"",""ur"")"),"اس نے چھڑی پکڑی ہوئی ہے۔")</f>
        <v>اس نے چھڑی پکڑی ہوئی ہے۔</v>
      </c>
      <c r="Q51" s="2" t="s">
        <v>298</v>
      </c>
      <c r="R51" s="2" t="str">
        <f>IFERROR(__xludf.DUMMYFUNCTION("GOOGLETRANSLATE(G51,""en"",""ur"")"),"اس نے ایک کوڑا پکڑ رکھا ہے۔")</f>
        <v>اس نے ایک کوڑا پکڑ رکھا ہے۔</v>
      </c>
      <c r="S51" s="5" t="s">
        <v>295</v>
      </c>
    </row>
    <row r="52" ht="22.5" customHeight="1">
      <c r="A52" s="4">
        <v>51.0</v>
      </c>
      <c r="B52" s="5" t="s">
        <v>299</v>
      </c>
      <c r="C52" s="5" t="s">
        <v>103</v>
      </c>
      <c r="D52" s="5" t="s">
        <v>300</v>
      </c>
      <c r="E52" s="5" t="s">
        <v>72</v>
      </c>
      <c r="F52" s="5" t="s">
        <v>73</v>
      </c>
      <c r="G52" s="5" t="s">
        <v>300</v>
      </c>
      <c r="H52" s="5" t="s">
        <v>301</v>
      </c>
      <c r="K52" s="2" t="str">
        <f>IFERROR(__xludf.DUMMYFUNCTION("GOOGLETRANSLATE(A52,""en"",""ur"")"),"51")</f>
        <v>51</v>
      </c>
      <c r="L52" s="2" t="str">
        <f>IFERROR(__xludf.DUMMYFUNCTION("GOOGLETRANSLATE(B52,""en"",""ur"")"),"buzkashi_21 میں دکھایا گیا اہم عمل کیا ہے؟")</f>
        <v>buzkashi_21 میں دکھایا گیا اہم عمل کیا ہے؟</v>
      </c>
      <c r="M52" s="2" t="str">
        <f>IFERROR(__xludf.DUMMYFUNCTION("GOOGLETRANSLATE(C52,""en"",""ur"")"),"آرام سے گھوڑے کی سواری۔")</f>
        <v>آرام سے گھوڑے کی سواری۔</v>
      </c>
      <c r="N52" s="2" t="str">
        <f>IFERROR(__xludf.DUMMYFUNCTION("GOOGLETRANSLATE(D52,""en"",""ur"")"),"تیز رفتاری سے لاش کو لے جانے والا سوار")</f>
        <v>تیز رفتاری سے لاش کو لے جانے والا سوار</v>
      </c>
      <c r="O52" s="2" t="str">
        <f>IFERROR(__xludf.DUMMYFUNCTION("GOOGLETRANSLATE(E52,""en"",""ur"")"),"گھوڑوں کی پریڈ")</f>
        <v>گھوڑوں کی پریڈ</v>
      </c>
      <c r="P52" s="2" t="str">
        <f>IFERROR(__xludf.DUMMYFUNCTION("GOOGLETRANSLATE(F52,""en"",""ur"")"),"گھوڑوں کی دوڑ")</f>
        <v>گھوڑوں کی دوڑ</v>
      </c>
      <c r="Q52" s="2" t="s">
        <v>302</v>
      </c>
      <c r="R52" s="2" t="str">
        <f>IFERROR(__xludf.DUMMYFUNCTION("GOOGLETRANSLATE(G52,""en"",""ur"")"),"تیز رفتاری سے لاش کو لے جانے والا سوار")</f>
        <v>تیز رفتاری سے لاش کو لے جانے والا سوار</v>
      </c>
      <c r="S52" s="5" t="s">
        <v>301</v>
      </c>
    </row>
    <row r="53" ht="22.5" customHeight="1">
      <c r="A53" s="4">
        <v>52.0</v>
      </c>
      <c r="B53" s="5" t="s">
        <v>303</v>
      </c>
      <c r="C53" s="5" t="s">
        <v>284</v>
      </c>
      <c r="D53" s="5" t="s">
        <v>285</v>
      </c>
      <c r="E53" s="5" t="s">
        <v>286</v>
      </c>
      <c r="F53" s="5" t="s">
        <v>287</v>
      </c>
      <c r="G53" s="5" t="s">
        <v>286</v>
      </c>
      <c r="H53" s="5" t="s">
        <v>301</v>
      </c>
      <c r="K53" s="2" t="str">
        <f>IFERROR(__xludf.DUMMYFUNCTION("GOOGLETRANSLATE(A53,""en"",""ur"")"),"52")</f>
        <v>52</v>
      </c>
      <c r="L53" s="2" t="str">
        <f>IFERROR(__xludf.DUMMYFUNCTION("GOOGLETRANSLATE(B53,""en"",""ur"")"),"سوار جس چیز کو لے کر جا رہا ہے اس کے بارے میں ایک قابل ذکر تفصیل کیا ہے؟")</f>
        <v>سوار جس چیز کو لے کر جا رہا ہے اس کے بارے میں ایک قابل ذکر تفصیل کیا ہے؟</v>
      </c>
      <c r="M53" s="2" t="str">
        <f>IFERROR(__xludf.DUMMYFUNCTION("GOOGLETRANSLATE(C53,""en"",""ur"")"),"یہ ایک گیند ہے۔")</f>
        <v>یہ ایک گیند ہے۔</v>
      </c>
      <c r="N53" s="2" t="str">
        <f>IFERROR(__xludf.DUMMYFUNCTION("GOOGLETRANSLATE(D53,""en"",""ur"")"),"یہ ایک جھنڈا ہے۔")</f>
        <v>یہ ایک جھنڈا ہے۔</v>
      </c>
      <c r="O53" s="2" t="str">
        <f>IFERROR(__xludf.DUMMYFUNCTION("GOOGLETRANSLATE(E53,""en"",""ur"")"),"یہ ایک بکری کی لاش ہے۔")</f>
        <v>یہ ایک بکری کی لاش ہے۔</v>
      </c>
      <c r="P53" s="2" t="str">
        <f>IFERROR(__xludf.DUMMYFUNCTION("GOOGLETRANSLATE(F53,""en"",""ur"")"),"یہ ایک رسی ہے۔")</f>
        <v>یہ ایک رسی ہے۔</v>
      </c>
      <c r="Q53" s="2" t="s">
        <v>288</v>
      </c>
      <c r="R53" s="2" t="str">
        <f>IFERROR(__xludf.DUMMYFUNCTION("GOOGLETRANSLATE(G53,""en"",""ur"")"),"یہ ایک بکری کی لاش ہے۔")</f>
        <v>یہ ایک بکری کی لاش ہے۔</v>
      </c>
      <c r="S53" s="5" t="s">
        <v>301</v>
      </c>
    </row>
    <row r="54" ht="22.5" customHeight="1">
      <c r="A54" s="4">
        <v>53.0</v>
      </c>
      <c r="B54" s="5" t="s">
        <v>304</v>
      </c>
      <c r="C54" s="5" t="s">
        <v>305</v>
      </c>
      <c r="D54" s="5" t="s">
        <v>306</v>
      </c>
      <c r="E54" s="5" t="s">
        <v>307</v>
      </c>
      <c r="F54" s="5" t="s">
        <v>308</v>
      </c>
      <c r="G54" s="5" t="s">
        <v>306</v>
      </c>
      <c r="H54" s="5" t="s">
        <v>301</v>
      </c>
      <c r="K54" s="2" t="str">
        <f>IFERROR(__xludf.DUMMYFUNCTION("GOOGLETRANSLATE(A54,""en"",""ur"")"),"53")</f>
        <v>53</v>
      </c>
      <c r="L54" s="2" t="str">
        <f>IFERROR(__xludf.DUMMYFUNCTION("GOOGLETRANSLATE(B54,""en"",""ur"")"),"سوار کے لباس کے بارے میں واضح تفصیل کیا ہے؟")</f>
        <v>سوار کے لباس کے بارے میں واضح تفصیل کیا ہے؟</v>
      </c>
      <c r="M54" s="2" t="str">
        <f>IFERROR(__xludf.DUMMYFUNCTION("GOOGLETRANSLATE(C54,""en"",""ur"")"),"اس نے جدید کھیلوں کا یونیفارم پہن رکھا ہے۔")</f>
        <v>اس نے جدید کھیلوں کا یونیفارم پہن رکھا ہے۔</v>
      </c>
      <c r="N54" s="2" t="str">
        <f>IFERROR(__xludf.DUMMYFUNCTION("GOOGLETRANSLATE(D54,""en"",""ur"")"),"اس نے روایتی ٹونک اور سر کا لباس پہن رکھا ہے۔")</f>
        <v>اس نے روایتی ٹونک اور سر کا لباس پہن رکھا ہے۔</v>
      </c>
      <c r="O54" s="2" t="str">
        <f>IFERROR(__xludf.DUMMYFUNCTION("GOOGLETRANSLATE(E54,""en"",""ur"")"),"اس نے رسمی سوٹ پہن رکھا ہے۔")</f>
        <v>اس نے رسمی سوٹ پہن رکھا ہے۔</v>
      </c>
      <c r="P54" s="2" t="str">
        <f>IFERROR(__xludf.DUMMYFUNCTION("GOOGLETRANSLATE(F54,""en"",""ur"")"),"اس نے کوئی لباس نہیں پہنا ہوا ہے۔")</f>
        <v>اس نے کوئی لباس نہیں پہنا ہوا ہے۔</v>
      </c>
      <c r="Q54" s="2" t="s">
        <v>309</v>
      </c>
      <c r="R54" s="2" t="str">
        <f>IFERROR(__xludf.DUMMYFUNCTION("GOOGLETRANSLATE(G54,""en"",""ur"")"),"اس نے روایتی ٹونک اور سر کا لباس پہن رکھا ہے۔")</f>
        <v>اس نے روایتی ٹونک اور سر کا لباس پہن رکھا ہے۔</v>
      </c>
      <c r="S54" s="5" t="s">
        <v>301</v>
      </c>
    </row>
    <row r="55" ht="22.5" customHeight="1">
      <c r="A55" s="4">
        <v>54.0</v>
      </c>
      <c r="B55" s="5" t="s">
        <v>310</v>
      </c>
      <c r="C55" s="5" t="s">
        <v>311</v>
      </c>
      <c r="D55" s="5" t="s">
        <v>312</v>
      </c>
      <c r="E55" s="5" t="s">
        <v>313</v>
      </c>
      <c r="F55" s="5" t="s">
        <v>314</v>
      </c>
      <c r="G55" s="5" t="s">
        <v>312</v>
      </c>
      <c r="H55" s="5" t="s">
        <v>301</v>
      </c>
      <c r="K55" s="2" t="str">
        <f>IFERROR(__xludf.DUMMYFUNCTION("GOOGLETRANSLATE(A55,""en"",""ur"")"),"54")</f>
        <v>54</v>
      </c>
      <c r="L55" s="2" t="str">
        <f>IFERROR(__xludf.DUMMYFUNCTION("GOOGLETRANSLATE(B55,""en"",""ur"")"),"سوار کی ظاہری باڈی پوزیشن کیا ہے؟")</f>
        <v>سوار کی ظاہری باڈی پوزیشن کیا ہے؟</v>
      </c>
      <c r="M55" s="2" t="str">
        <f>IFERROR(__xludf.DUMMYFUNCTION("GOOGLETRANSLATE(C55,""en"",""ur"")"),"وہ سیدھا کھڑا ہے۔")</f>
        <v>وہ سیدھا کھڑا ہے۔</v>
      </c>
      <c r="N55" s="2" t="str">
        <f>IFERROR(__xludf.DUMMYFUNCTION("GOOGLETRANSLATE(D55,""en"",""ur"")"),"وہ جھک رہا ہے اور کسی چیز تک پہنچ رہا ہے۔")</f>
        <v>وہ جھک رہا ہے اور کسی چیز تک پہنچ رہا ہے۔</v>
      </c>
      <c r="O55" s="2" t="str">
        <f>IFERROR(__xludf.DUMMYFUNCTION("GOOGLETRANSLATE(E55,""en"",""ur"")"),"وہ گھوڑے کی پیٹھ پر لیٹا ہے۔")</f>
        <v>وہ گھوڑے کی پیٹھ پر لیٹا ہے۔</v>
      </c>
      <c r="P55" s="2" t="str">
        <f>IFERROR(__xludf.DUMMYFUNCTION("GOOGLETRANSLATE(F55,""en"",""ur"")"),"وہ آرام سے بیٹھا ہے۔")</f>
        <v>وہ آرام سے بیٹھا ہے۔</v>
      </c>
      <c r="Q55" s="2" t="s">
        <v>315</v>
      </c>
      <c r="R55" s="2" t="str">
        <f>IFERROR(__xludf.DUMMYFUNCTION("GOOGLETRANSLATE(G55,""en"",""ur"")"),"وہ جھک رہا ہے اور کسی چیز تک پہنچ رہا ہے۔")</f>
        <v>وہ جھک رہا ہے اور کسی چیز تک پہنچ رہا ہے۔</v>
      </c>
      <c r="S55" s="5" t="s">
        <v>301</v>
      </c>
    </row>
    <row r="56" ht="22.5" customHeight="1">
      <c r="A56" s="4">
        <v>55.0</v>
      </c>
      <c r="B56" s="5" t="s">
        <v>316</v>
      </c>
      <c r="C56" s="5" t="s">
        <v>47</v>
      </c>
      <c r="D56" s="5" t="s">
        <v>48</v>
      </c>
      <c r="E56" s="5" t="s">
        <v>49</v>
      </c>
      <c r="F56" s="5" t="s">
        <v>50</v>
      </c>
      <c r="G56" s="5" t="s">
        <v>49</v>
      </c>
      <c r="H56" s="5" t="s">
        <v>301</v>
      </c>
      <c r="K56" s="2" t="str">
        <f>IFERROR(__xludf.DUMMYFUNCTION("GOOGLETRANSLATE(A56,""en"",""ur"")"),"55")</f>
        <v>55</v>
      </c>
      <c r="L56" s="2" t="str">
        <f>IFERROR(__xludf.DUMMYFUNCTION("GOOGLETRANSLATE(B56,""en"",""ur"")"),"سوار کے چہرے سے ظاہری جذبات کیا ہیں؟")</f>
        <v>سوار کے چہرے سے ظاہری جذبات کیا ہیں؟</v>
      </c>
      <c r="M56" s="2" t="str">
        <f>IFERROR(__xludf.DUMMYFUNCTION("GOOGLETRANSLATE(C56,""en"",""ur"")"),"پرسکون اور پر سکون")</f>
        <v>پرسکون اور پر سکون</v>
      </c>
      <c r="N56" s="2" t="str">
        <f>IFERROR(__xludf.DUMMYFUNCTION("GOOGLETRANSLATE(D56,""en"",""ur"")"),"خوف زدہ اور بے چین")</f>
        <v>خوف زدہ اور بے چین</v>
      </c>
      <c r="O56" s="2" t="str">
        <f>IFERROR(__xludf.DUMMYFUNCTION("GOOGLETRANSLATE(E56,""en"",""ur"")"),"کشیدہ اور شدید")</f>
        <v>کشیدہ اور شدید</v>
      </c>
      <c r="P56" s="2" t="str">
        <f>IFERROR(__xludf.DUMMYFUNCTION("GOOGLETRANSLATE(F56,""en"",""ur"")"),"خوش اور مسکراتے ہوئے۔")</f>
        <v>خوش اور مسکراتے ہوئے۔</v>
      </c>
      <c r="Q56" s="2" t="s">
        <v>51</v>
      </c>
      <c r="R56" s="2" t="str">
        <f>IFERROR(__xludf.DUMMYFUNCTION("GOOGLETRANSLATE(G56,""en"",""ur"")"),"کشیدہ اور شدید")</f>
        <v>کشیدہ اور شدید</v>
      </c>
      <c r="S56" s="5" t="s">
        <v>301</v>
      </c>
    </row>
    <row r="57" ht="22.5" customHeight="1">
      <c r="A57" s="4">
        <v>56.0</v>
      </c>
      <c r="B57" s="5" t="s">
        <v>88</v>
      </c>
      <c r="C57" s="5" t="s">
        <v>89</v>
      </c>
      <c r="D57" s="5" t="s">
        <v>90</v>
      </c>
      <c r="E57" s="5" t="s">
        <v>91</v>
      </c>
      <c r="F57" s="5" t="s">
        <v>255</v>
      </c>
      <c r="G57" s="5" t="s">
        <v>90</v>
      </c>
      <c r="H57" s="5" t="s">
        <v>301</v>
      </c>
      <c r="K57" s="2" t="str">
        <f>IFERROR(__xludf.DUMMYFUNCTION("GOOGLETRANSLATE(A57,""en"",""ur"")"),"56")</f>
        <v>56</v>
      </c>
      <c r="L57" s="2" t="str">
        <f>IFERROR(__xludf.DUMMYFUNCTION("GOOGLETRANSLATE(B57,""en"",""ur"")"),"زمین کی سب سے نمایاں خصوصیت کیا ہے؟")</f>
        <v>زمین کی سب سے نمایاں خصوصیت کیا ہے؟</v>
      </c>
      <c r="M57" s="2" t="str">
        <f>IFERROR(__xludf.DUMMYFUNCTION("GOOGLETRANSLATE(C57,""en"",""ur"")"),"ایک پکی سطح")</f>
        <v>ایک پکی سطح</v>
      </c>
      <c r="N57" s="2" t="str">
        <f>IFERROR(__xludf.DUMMYFUNCTION("GOOGLETRANSLATE(D57,""en"",""ur"")"),"کیچڑ والا میدان")</f>
        <v>کیچڑ والا میدان</v>
      </c>
      <c r="O57" s="2" t="str">
        <f>IFERROR(__xludf.DUMMYFUNCTION("GOOGLETRANSLATE(E57,""en"",""ur"")"),"ایک گھاس دار سطح")</f>
        <v>ایک گھاس دار سطح</v>
      </c>
      <c r="P57" s="2" t="str">
        <f>IFERROR(__xludf.DUMMYFUNCTION("GOOGLETRANSLATE(F57,""en"",""ur"")"),"ریتلی یا گندگی کی سطح")</f>
        <v>ریتلی یا گندگی کی سطح</v>
      </c>
      <c r="Q57" s="2" t="s">
        <v>256</v>
      </c>
      <c r="R57" s="2" t="str">
        <f>IFERROR(__xludf.DUMMYFUNCTION("GOOGLETRANSLATE(G57,""en"",""ur"")"),"کیچڑ والا میدان")</f>
        <v>کیچڑ والا میدان</v>
      </c>
      <c r="S57" s="5" t="s">
        <v>301</v>
      </c>
    </row>
    <row r="58" ht="22.5" customHeight="1">
      <c r="A58" s="4">
        <v>57.0</v>
      </c>
      <c r="B58" s="5" t="s">
        <v>257</v>
      </c>
      <c r="C58" s="5" t="s">
        <v>95</v>
      </c>
      <c r="D58" s="5" t="s">
        <v>96</v>
      </c>
      <c r="E58" s="5" t="s">
        <v>97</v>
      </c>
      <c r="F58" s="5" t="s">
        <v>258</v>
      </c>
      <c r="G58" s="5" t="s">
        <v>97</v>
      </c>
      <c r="H58" s="5" t="s">
        <v>301</v>
      </c>
      <c r="K58" s="2" t="str">
        <f>IFERROR(__xludf.DUMMYFUNCTION("GOOGLETRANSLATE(A58,""en"",""ur"")"),"57")</f>
        <v>57</v>
      </c>
      <c r="L58" s="2" t="str">
        <f>IFERROR(__xludf.DUMMYFUNCTION("GOOGLETRANSLATE(B58,""en"",""ur"")"),"کھیلے جانے والے کھیل کا نام کیا ہے؟")</f>
        <v>کھیلے جانے والے کھیل کا نام کیا ہے؟</v>
      </c>
      <c r="M58" s="2" t="str">
        <f>IFERROR(__xludf.DUMMYFUNCTION("GOOGLETRANSLATE(C58,""en"",""ur"")"),"پولو")</f>
        <v>پولو</v>
      </c>
      <c r="N58" s="2" t="str">
        <f>IFERROR(__xludf.DUMMYFUNCTION("GOOGLETRANSLATE(D58,""en"",""ur"")"),"گھوڑوں کی دوڑ")</f>
        <v>گھوڑوں کی دوڑ</v>
      </c>
      <c r="O58" s="2" t="str">
        <f>IFERROR(__xludf.DUMMYFUNCTION("GOOGLETRANSLATE(E58,""en"",""ur"")"),"بزکشی۔")</f>
        <v>بزکشی۔</v>
      </c>
      <c r="P58" s="2" t="str">
        <f>IFERROR(__xludf.DUMMYFUNCTION("GOOGLETRANSLATE(F58,""en"",""ur"")"),"گھڑ سواری کے کھیل")</f>
        <v>گھڑ سواری کے کھیل</v>
      </c>
      <c r="Q58" s="2" t="s">
        <v>259</v>
      </c>
      <c r="R58" s="2" t="str">
        <f>IFERROR(__xludf.DUMMYFUNCTION("GOOGLETRANSLATE(G58,""en"",""ur"")"),"بزکشی۔")</f>
        <v>بزکشی۔</v>
      </c>
      <c r="S58" s="5" t="s">
        <v>301</v>
      </c>
    </row>
    <row r="59" ht="22.5" customHeight="1">
      <c r="A59" s="4">
        <v>58.0</v>
      </c>
      <c r="B59" s="5" t="s">
        <v>260</v>
      </c>
      <c r="C59" s="5" t="s">
        <v>261</v>
      </c>
      <c r="D59" s="5" t="s">
        <v>262</v>
      </c>
      <c r="E59" s="5" t="s">
        <v>263</v>
      </c>
      <c r="F59" s="5" t="s">
        <v>264</v>
      </c>
      <c r="G59" s="5" t="s">
        <v>263</v>
      </c>
      <c r="H59" s="5" t="s">
        <v>301</v>
      </c>
      <c r="K59" s="2" t="str">
        <f>IFERROR(__xludf.DUMMYFUNCTION("GOOGLETRANSLATE(A59,""en"",""ur"")"),"58")</f>
        <v>58</v>
      </c>
      <c r="L59" s="2" t="str">
        <f>IFERROR(__xludf.DUMMYFUNCTION("GOOGLETRANSLATE(B59,""en"",""ur"")"),"تصویر میں ایکشن ایک ایسا انداز تجویز کرتا ہے جو اس بات پر زور دیتا ہے...")</f>
        <v>تصویر میں ایکشن ایک ایسا انداز تجویز کرتا ہے جو اس بات پر زور دیتا ہے...</v>
      </c>
      <c r="M59" s="2" t="str">
        <f>IFERROR(__xludf.DUMMYFUNCTION("GOOGLETRANSLATE(C59,""en"",""ur"")"),"روانی اور قلابازیاں")</f>
        <v>روانی اور قلابازیاں</v>
      </c>
      <c r="N59" s="2" t="str">
        <f>IFERROR(__xludf.DUMMYFUNCTION("GOOGLETRANSLATE(D59,""en"",""ur"")"),"زمینی لڑائی اور گرفت")</f>
        <v>زمینی لڑائی اور گرفت</v>
      </c>
      <c r="O59" s="2" t="str">
        <f>IFERROR(__xludf.DUMMYFUNCTION("GOOGLETRANSLATE(E59,""en"",""ur"")"),"وحشیانہ قوت اور گھڑ سواری۔")</f>
        <v>وحشیانہ قوت اور گھڑ سواری۔</v>
      </c>
      <c r="P59" s="2" t="str">
        <f>IFERROR(__xludf.DUMMYFUNCTION("GOOGLETRANSLATE(F59,""en"",""ur"")"),"سادہ، لکیری حرکات")</f>
        <v>سادہ، لکیری حرکات</v>
      </c>
      <c r="Q59" s="2" t="s">
        <v>265</v>
      </c>
      <c r="R59" s="2" t="str">
        <f>IFERROR(__xludf.DUMMYFUNCTION("GOOGLETRANSLATE(G59,""en"",""ur"")"),"وحشیانہ قوت اور گھڑ سواری۔")</f>
        <v>وحشیانہ قوت اور گھڑ سواری۔</v>
      </c>
      <c r="S59" s="5" t="s">
        <v>301</v>
      </c>
    </row>
    <row r="60" ht="22.5" customHeight="1">
      <c r="A60" s="4">
        <v>59.0</v>
      </c>
      <c r="B60" s="5" t="s">
        <v>317</v>
      </c>
      <c r="C60" s="5" t="s">
        <v>136</v>
      </c>
      <c r="D60" s="5" t="s">
        <v>318</v>
      </c>
      <c r="E60" s="5" t="s">
        <v>319</v>
      </c>
      <c r="F60" s="5" t="s">
        <v>320</v>
      </c>
      <c r="G60" s="5" t="s">
        <v>319</v>
      </c>
      <c r="H60" s="5" t="s">
        <v>301</v>
      </c>
      <c r="K60" s="2" t="str">
        <f>IFERROR(__xludf.DUMMYFUNCTION("GOOGLETRANSLATE(A60,""en"",""ur"")"),"59")</f>
        <v>59</v>
      </c>
      <c r="L60" s="2" t="str">
        <f>IFERROR(__xludf.DUMMYFUNCTION("GOOGLETRANSLATE(B60,""en"",""ur"")"),"گھوڑے کے بارے میں ایک قابل ذکر تفصیل کیا ہے؟")</f>
        <v>گھوڑے کے بارے میں ایک قابل ذکر تفصیل کیا ہے؟</v>
      </c>
      <c r="M60" s="2" t="str">
        <f>IFERROR(__xludf.DUMMYFUNCTION("GOOGLETRANSLATE(C60,""en"",""ur"")"),"یہ سب ایک ہی رنگ کا ہے۔")</f>
        <v>یہ سب ایک ہی رنگ کا ہے۔</v>
      </c>
      <c r="N60" s="2" t="str">
        <f>IFERROR(__xludf.DUMMYFUNCTION("GOOGLETRANSLATE(D60,""en"",""ur"")"),"یہ رنگوں اور نسلوں کا مرکب ہے۔")</f>
        <v>یہ رنگوں اور نسلوں کا مرکب ہے۔</v>
      </c>
      <c r="O60" s="2" t="str">
        <f>IFERROR(__xludf.DUMMYFUNCTION("GOOGLETRANSLATE(E60,""en"",""ur"")"),"یہ ایک وسیع پیٹرن کے ساتھ ایک زین پہنے ہوئے ہے۔")</f>
        <v>یہ ایک وسیع پیٹرن کے ساتھ ایک زین پہنے ہوئے ہے۔</v>
      </c>
      <c r="P60" s="2" t="str">
        <f>IFERROR(__xludf.DUMMYFUNCTION("GOOGLETRANSLATE(F60,""en"",""ur"")"),"یہ ساکت کھڑا ہے۔")</f>
        <v>یہ ساکت کھڑا ہے۔</v>
      </c>
      <c r="Q60" s="2" t="s">
        <v>321</v>
      </c>
      <c r="R60" s="2" t="str">
        <f>IFERROR(__xludf.DUMMYFUNCTION("GOOGLETRANSLATE(G60,""en"",""ur"")"),"یہ ایک وسیع پیٹرن کے ساتھ ایک زین پہنے ہوئے ہے۔")</f>
        <v>یہ ایک وسیع پیٹرن کے ساتھ ایک زین پہنے ہوئے ہے۔</v>
      </c>
      <c r="S60" s="5" t="s">
        <v>301</v>
      </c>
    </row>
    <row r="61" ht="22.5" customHeight="1">
      <c r="A61" s="4">
        <v>60.0</v>
      </c>
      <c r="B61" s="5" t="s">
        <v>322</v>
      </c>
      <c r="C61" s="5" t="s">
        <v>297</v>
      </c>
      <c r="D61" s="5" t="s">
        <v>272</v>
      </c>
      <c r="E61" s="5" t="s">
        <v>273</v>
      </c>
      <c r="F61" s="5" t="s">
        <v>274</v>
      </c>
      <c r="G61" s="5" t="s">
        <v>274</v>
      </c>
      <c r="H61" s="5" t="s">
        <v>301</v>
      </c>
      <c r="K61" s="2" t="str">
        <f>IFERROR(__xludf.DUMMYFUNCTION("GOOGLETRANSLATE(A61,""en"",""ur"")"),"60")</f>
        <v>60</v>
      </c>
      <c r="L61" s="2" t="str">
        <f>IFERROR(__xludf.DUMMYFUNCTION("GOOGLETRANSLATE(B61,""en"",""ur"")"),"سوار کے بارے میں ایک قابل ذکر تفصیل کیا ہے؟")</f>
        <v>سوار کے بارے میں ایک قابل ذکر تفصیل کیا ہے؟</v>
      </c>
      <c r="M61" s="2" t="str">
        <f>IFERROR(__xludf.DUMMYFUNCTION("GOOGLETRANSLATE(C61,""en"",""ur"")"),"اس نے ایک کوڑا پکڑ رکھا ہے۔")</f>
        <v>اس نے ایک کوڑا پکڑ رکھا ہے۔</v>
      </c>
      <c r="N61" s="2" t="str">
        <f>IFERROR(__xludf.DUMMYFUNCTION("GOOGLETRANSLATE(D61,""en"",""ur"")"),"اس نے بینر اٹھا رکھا ہے۔")</f>
        <v>اس نے بینر اٹھا رکھا ہے۔</v>
      </c>
      <c r="O61" s="2" t="str">
        <f>IFERROR(__xludf.DUMMYFUNCTION("GOOGLETRANSLATE(E61,""en"",""ur"")"),"اس نے رسی پکڑی ہوئی ہے۔")</f>
        <v>اس نے رسی پکڑی ہوئی ہے۔</v>
      </c>
      <c r="P61" s="2" t="str">
        <f>IFERROR(__xludf.DUMMYFUNCTION("GOOGLETRANSLATE(F61,""en"",""ur"")"),"اس نے چھڑی پکڑی ہوئی ہے۔")</f>
        <v>اس نے چھڑی پکڑی ہوئی ہے۔</v>
      </c>
      <c r="Q61" s="2" t="s">
        <v>298</v>
      </c>
      <c r="R61" s="2" t="str">
        <f>IFERROR(__xludf.DUMMYFUNCTION("GOOGLETRANSLATE(G61,""en"",""ur"")"),"اس نے چھڑی پکڑی ہوئی ہے۔")</f>
        <v>اس نے چھڑی پکڑی ہوئی ہے۔</v>
      </c>
      <c r="S61" s="5" t="s">
        <v>301</v>
      </c>
    </row>
    <row r="62" ht="22.5" customHeight="1">
      <c r="A62" s="4">
        <v>61.0</v>
      </c>
      <c r="B62" s="5" t="s">
        <v>323</v>
      </c>
      <c r="C62" s="5" t="s">
        <v>103</v>
      </c>
      <c r="D62" s="5" t="s">
        <v>71</v>
      </c>
      <c r="E62" s="5" t="s">
        <v>72</v>
      </c>
      <c r="F62" s="5" t="s">
        <v>73</v>
      </c>
      <c r="G62" s="5" t="s">
        <v>71</v>
      </c>
      <c r="H62" s="5" t="s">
        <v>324</v>
      </c>
      <c r="K62" s="2" t="str">
        <f>IFERROR(__xludf.DUMMYFUNCTION("GOOGLETRANSLATE(A62,""en"",""ur"")"),"61")</f>
        <v>61</v>
      </c>
      <c r="L62" s="2" t="str">
        <f>IFERROR(__xludf.DUMMYFUNCTION("GOOGLETRANSLATE(B62,""en"",""ur"")"),"buzkashi_23 میں دکھائی جانے والی اہم کارروائی کیا ہے؟")</f>
        <v>buzkashi_23 میں دکھائی جانے والی اہم کارروائی کیا ہے؟</v>
      </c>
      <c r="M62" s="2" t="str">
        <f>IFERROR(__xludf.DUMMYFUNCTION("GOOGLETRANSLATE(C62,""en"",""ur"")"),"آرام سے گھوڑے کی سواری۔")</f>
        <v>آرام سے گھوڑے کی سواری۔</v>
      </c>
      <c r="N62" s="2" t="str">
        <f>IFERROR(__xludf.DUMMYFUNCTION("GOOGLETRANSLATE(D62,""en"",""ur"")"),"سواروں کا ایک گروپ جو مرکزی چیز کے لیے مقابلہ کر رہا ہے۔")</f>
        <v>سواروں کا ایک گروپ جو مرکزی چیز کے لیے مقابلہ کر رہا ہے۔</v>
      </c>
      <c r="O62" s="2" t="str">
        <f>IFERROR(__xludf.DUMMYFUNCTION("GOOGLETRANSLATE(E62,""en"",""ur"")"),"گھوڑوں کی پریڈ")</f>
        <v>گھوڑوں کی پریڈ</v>
      </c>
      <c r="P62" s="2" t="str">
        <f>IFERROR(__xludf.DUMMYFUNCTION("GOOGLETRANSLATE(F62,""en"",""ur"")"),"گھوڑوں کی دوڑ")</f>
        <v>گھوڑوں کی دوڑ</v>
      </c>
      <c r="Q62" s="2" t="s">
        <v>278</v>
      </c>
      <c r="R62" s="2" t="str">
        <f>IFERROR(__xludf.DUMMYFUNCTION("GOOGLETRANSLATE(G62,""en"",""ur"")"),"سواروں کا ایک گروپ جو مرکزی چیز کے لیے مقابلہ کر رہا ہے۔")</f>
        <v>سواروں کا ایک گروپ جو مرکزی چیز کے لیے مقابلہ کر رہا ہے۔</v>
      </c>
      <c r="S62" s="5" t="s">
        <v>324</v>
      </c>
    </row>
    <row r="63" ht="22.5" customHeight="1">
      <c r="A63" s="4">
        <v>62.0</v>
      </c>
      <c r="B63" s="5" t="s">
        <v>238</v>
      </c>
      <c r="C63" s="5" t="s">
        <v>279</v>
      </c>
      <c r="D63" s="5" t="s">
        <v>84</v>
      </c>
      <c r="E63" s="5" t="s">
        <v>85</v>
      </c>
      <c r="F63" s="5" t="s">
        <v>240</v>
      </c>
      <c r="G63" s="5" t="s">
        <v>84</v>
      </c>
      <c r="H63" s="5" t="s">
        <v>324</v>
      </c>
      <c r="K63" s="2" t="str">
        <f>IFERROR(__xludf.DUMMYFUNCTION("GOOGLETRANSLATE(A63,""en"",""ur"")"),"62")</f>
        <v>62</v>
      </c>
      <c r="L63" s="2" t="str">
        <f>IFERROR(__xludf.DUMMYFUNCTION("GOOGLETRANSLATE(B63,""en"",""ur"")"),"اس گیم کی ترتیب کے بارے میں ایک قابل ذکر تفصیل کیا ہے؟")</f>
        <v>اس گیم کی ترتیب کے بارے میں ایک قابل ذکر تفصیل کیا ہے؟</v>
      </c>
      <c r="M63" s="2" t="str">
        <f>IFERROR(__xludf.DUMMYFUNCTION("GOOGLETRANSLATE(C63,""en"",""ur"")"),"یہ ہجوم کے ساتھ اسٹیڈیم میں ہے۔")</f>
        <v>یہ ہجوم کے ساتھ اسٹیڈیم میں ہے۔</v>
      </c>
      <c r="N63" s="2" t="str">
        <f>IFERROR(__xludf.DUMMYFUNCTION("GOOGLETRANSLATE(D63,""en"",""ur"")"),"یہ پہاڑی، پتھریلی علاقے میں ایک میدان میں ہے۔")</f>
        <v>یہ پہاڑی، پتھریلی علاقے میں ایک میدان میں ہے۔</v>
      </c>
      <c r="O63" s="2" t="str">
        <f>IFERROR(__xludf.DUMMYFUNCTION("GOOGLETRANSLATE(E63,""en"",""ur"")"),"یہ شہر کی سڑک پر ہے۔")</f>
        <v>یہ شہر کی سڑک پر ہے۔</v>
      </c>
      <c r="P63" s="2" t="str">
        <f>IFERROR(__xludf.DUMMYFUNCTION("GOOGLETRANSLATE(F63,""en"",""ur"")"),"یہ ایک پرسکون ساحل سمندر پر ہے۔")</f>
        <v>یہ ایک پرسکون ساحل سمندر پر ہے۔</v>
      </c>
      <c r="Q63" s="2" t="s">
        <v>280</v>
      </c>
      <c r="R63" s="2" t="str">
        <f>IFERROR(__xludf.DUMMYFUNCTION("GOOGLETRANSLATE(G63,""en"",""ur"")"),"یہ پہاڑی، پتھریلی علاقے میں ایک میدان میں ہے۔")</f>
        <v>یہ پہاڑی، پتھریلی علاقے میں ایک میدان میں ہے۔</v>
      </c>
      <c r="S63" s="5" t="s">
        <v>324</v>
      </c>
    </row>
    <row r="64" ht="22.5" customHeight="1">
      <c r="A64" s="4">
        <v>63.0</v>
      </c>
      <c r="B64" s="5" t="s">
        <v>242</v>
      </c>
      <c r="C64" s="5" t="s">
        <v>243</v>
      </c>
      <c r="D64" s="5" t="s">
        <v>292</v>
      </c>
      <c r="E64" s="5" t="s">
        <v>245</v>
      </c>
      <c r="F64" s="5" t="s">
        <v>246</v>
      </c>
      <c r="G64" s="5" t="s">
        <v>292</v>
      </c>
      <c r="H64" s="5" t="s">
        <v>324</v>
      </c>
      <c r="K64" s="2" t="str">
        <f>IFERROR(__xludf.DUMMYFUNCTION("GOOGLETRANSLATE(A64,""en"",""ur"")"),"63")</f>
        <v>63</v>
      </c>
      <c r="L64" s="2" t="str">
        <f>IFERROR(__xludf.DUMMYFUNCTION("GOOGLETRANSLATE(B64,""en"",""ur"")"),"سواروں کے لباس کے بارے میں واضح تفصیل کیا ہے؟")</f>
        <v>سواروں کے لباس کے بارے میں واضح تفصیل کیا ہے؟</v>
      </c>
      <c r="M64" s="2" t="str">
        <f>IFERROR(__xludf.DUMMYFUNCTION("GOOGLETRANSLATE(C64,""en"",""ur"")"),"وہ جدید کھیلوں کی وردی پہنے ہوئے ہیں۔")</f>
        <v>وہ جدید کھیلوں کی وردی پہنے ہوئے ہیں۔</v>
      </c>
      <c r="N64" s="2" t="str">
        <f>IFERROR(__xludf.DUMMYFUNCTION("GOOGLETRANSLATE(D64,""en"",""ur"")"),"وہ روایتی ٹونکس اور سر کے لباس پہنے ہوئے ہیں۔")</f>
        <v>وہ روایتی ٹونکس اور سر کے لباس پہنے ہوئے ہیں۔</v>
      </c>
      <c r="O64" s="2" t="str">
        <f>IFERROR(__xludf.DUMMYFUNCTION("GOOGLETRANSLATE(E64,""en"",""ur"")"),"وہ رسمی سوٹ پہنے ہوئے ہیں۔")</f>
        <v>وہ رسمی سوٹ پہنے ہوئے ہیں۔</v>
      </c>
      <c r="P64" s="2" t="str">
        <f>IFERROR(__xludf.DUMMYFUNCTION("GOOGLETRANSLATE(F64,""en"",""ur"")"),"انہوں نے کوئی لباس نہیں پہنا ہوا ہے۔")</f>
        <v>انہوں نے کوئی لباس نہیں پہنا ہوا ہے۔</v>
      </c>
      <c r="Q64" s="2" t="s">
        <v>293</v>
      </c>
      <c r="R64" s="2" t="str">
        <f>IFERROR(__xludf.DUMMYFUNCTION("GOOGLETRANSLATE(G64,""en"",""ur"")"),"وہ روایتی ٹونکس اور سر کے لباس پہنے ہوئے ہیں۔")</f>
        <v>وہ روایتی ٹونکس اور سر کے لباس پہنے ہوئے ہیں۔</v>
      </c>
      <c r="S64" s="5" t="s">
        <v>324</v>
      </c>
    </row>
    <row r="65" ht="22.5" customHeight="1">
      <c r="A65" s="4">
        <v>64.0</v>
      </c>
      <c r="B65" s="5" t="s">
        <v>248</v>
      </c>
      <c r="C65" s="5" t="s">
        <v>249</v>
      </c>
      <c r="D65" s="5" t="s">
        <v>250</v>
      </c>
      <c r="E65" s="5" t="s">
        <v>251</v>
      </c>
      <c r="F65" s="5" t="s">
        <v>252</v>
      </c>
      <c r="G65" s="5" t="s">
        <v>250</v>
      </c>
      <c r="H65" s="5" t="s">
        <v>324</v>
      </c>
      <c r="K65" s="2" t="str">
        <f>IFERROR(__xludf.DUMMYFUNCTION("GOOGLETRANSLATE(A65,""en"",""ur"")"),"64")</f>
        <v>64</v>
      </c>
      <c r="L65" s="2" t="str">
        <f>IFERROR(__xludf.DUMMYFUNCTION("GOOGLETRANSLATE(B65,""en"",""ur"")"),"سواروں کی ظاہری باڈی پوزیشن کیا ہے؟")</f>
        <v>سواروں کی ظاہری باڈی پوزیشن کیا ہے؟</v>
      </c>
      <c r="M65" s="2" t="str">
        <f>IFERROR(__xludf.DUMMYFUNCTION("GOOGLETRANSLATE(C65,""en"",""ur"")"),"وہ سیدھے کھڑے ہیں۔")</f>
        <v>وہ سیدھے کھڑے ہیں۔</v>
      </c>
      <c r="N65" s="2" t="str">
        <f>IFERROR(__xludf.DUMMYFUNCTION("GOOGLETRANSLATE(D65,""en"",""ur"")"),"وہ جھک رہے ہیں اور کسی چیز تک پہنچ رہے ہیں۔")</f>
        <v>وہ جھک رہے ہیں اور کسی چیز تک پہنچ رہے ہیں۔</v>
      </c>
      <c r="O65" s="2" t="str">
        <f>IFERROR(__xludf.DUMMYFUNCTION("GOOGLETRANSLATE(E65,""en"",""ur"")"),"وہ گھوڑوں کی پیٹھ پر لیٹے ہوئے ہیں۔")</f>
        <v>وہ گھوڑوں کی پیٹھ پر لیٹے ہوئے ہیں۔</v>
      </c>
      <c r="P65" s="2" t="str">
        <f>IFERROR(__xludf.DUMMYFUNCTION("GOOGLETRANSLATE(F65,""en"",""ur"")"),"وہ آرام سے بیٹھے ہیں۔")</f>
        <v>وہ آرام سے بیٹھے ہیں۔</v>
      </c>
      <c r="Q65" s="2" t="s">
        <v>253</v>
      </c>
      <c r="R65" s="2" t="str">
        <f>IFERROR(__xludf.DUMMYFUNCTION("GOOGLETRANSLATE(G65,""en"",""ur"")"),"وہ جھک رہے ہیں اور کسی چیز تک پہنچ رہے ہیں۔")</f>
        <v>وہ جھک رہے ہیں اور کسی چیز تک پہنچ رہے ہیں۔</v>
      </c>
      <c r="S65" s="5" t="s">
        <v>324</v>
      </c>
    </row>
    <row r="66" ht="22.5" customHeight="1">
      <c r="A66" s="4">
        <v>65.0</v>
      </c>
      <c r="B66" s="5" t="s">
        <v>254</v>
      </c>
      <c r="C66" s="5" t="s">
        <v>47</v>
      </c>
      <c r="D66" s="5" t="s">
        <v>48</v>
      </c>
      <c r="E66" s="5" t="s">
        <v>49</v>
      </c>
      <c r="F66" s="5" t="s">
        <v>50</v>
      </c>
      <c r="G66" s="5" t="s">
        <v>49</v>
      </c>
      <c r="H66" s="5" t="s">
        <v>324</v>
      </c>
      <c r="K66" s="2" t="str">
        <f>IFERROR(__xludf.DUMMYFUNCTION("GOOGLETRANSLATE(A66,""en"",""ur"")"),"65")</f>
        <v>65</v>
      </c>
      <c r="L66" s="2" t="str">
        <f>IFERROR(__xludf.DUMMYFUNCTION("GOOGLETRANSLATE(B66,""en"",""ur"")"),"سواروں کے چہروں سے ظاہری جذبات کیا ہیں؟")</f>
        <v>سواروں کے چہروں سے ظاہری جذبات کیا ہیں؟</v>
      </c>
      <c r="M66" s="2" t="str">
        <f>IFERROR(__xludf.DUMMYFUNCTION("GOOGLETRANSLATE(C66,""en"",""ur"")"),"پرسکون اور پر سکون")</f>
        <v>پرسکون اور پر سکون</v>
      </c>
      <c r="N66" s="2" t="str">
        <f>IFERROR(__xludf.DUMMYFUNCTION("GOOGLETRANSLATE(D66,""en"",""ur"")"),"خوف زدہ اور بے چین")</f>
        <v>خوف زدہ اور بے چین</v>
      </c>
      <c r="O66" s="2" t="str">
        <f>IFERROR(__xludf.DUMMYFUNCTION("GOOGLETRANSLATE(E66,""en"",""ur"")"),"کشیدہ اور شدید")</f>
        <v>کشیدہ اور شدید</v>
      </c>
      <c r="P66" s="2" t="str">
        <f>IFERROR(__xludf.DUMMYFUNCTION("GOOGLETRANSLATE(F66,""en"",""ur"")"),"خوش اور مسکراتے ہوئے۔")</f>
        <v>خوش اور مسکراتے ہوئے۔</v>
      </c>
      <c r="Q66" s="2" t="s">
        <v>51</v>
      </c>
      <c r="R66" s="2" t="str">
        <f>IFERROR(__xludf.DUMMYFUNCTION("GOOGLETRANSLATE(G66,""en"",""ur"")"),"کشیدہ اور شدید")</f>
        <v>کشیدہ اور شدید</v>
      </c>
      <c r="S66" s="5" t="s">
        <v>324</v>
      </c>
    </row>
    <row r="67" ht="22.5" customHeight="1">
      <c r="A67" s="4">
        <v>66.0</v>
      </c>
      <c r="B67" s="5" t="s">
        <v>88</v>
      </c>
      <c r="C67" s="5" t="s">
        <v>89</v>
      </c>
      <c r="D67" s="5" t="s">
        <v>90</v>
      </c>
      <c r="E67" s="5" t="s">
        <v>91</v>
      </c>
      <c r="F67" s="5" t="s">
        <v>255</v>
      </c>
      <c r="G67" s="5" t="s">
        <v>255</v>
      </c>
      <c r="H67" s="5" t="s">
        <v>324</v>
      </c>
      <c r="K67" s="2" t="str">
        <f>IFERROR(__xludf.DUMMYFUNCTION("GOOGLETRANSLATE(A67,""en"",""ur"")"),"66")</f>
        <v>66</v>
      </c>
      <c r="L67" s="2" t="str">
        <f>IFERROR(__xludf.DUMMYFUNCTION("GOOGLETRANSLATE(B67,""en"",""ur"")"),"زمین کی سب سے نمایاں خصوصیت کیا ہے؟")</f>
        <v>زمین کی سب سے نمایاں خصوصیت کیا ہے؟</v>
      </c>
      <c r="M67" s="2" t="str">
        <f>IFERROR(__xludf.DUMMYFUNCTION("GOOGLETRANSLATE(C67,""en"",""ur"")"),"ایک پکی سطح")</f>
        <v>ایک پکی سطح</v>
      </c>
      <c r="N67" s="2" t="str">
        <f>IFERROR(__xludf.DUMMYFUNCTION("GOOGLETRANSLATE(D67,""en"",""ur"")"),"کیچڑ والا میدان")</f>
        <v>کیچڑ والا میدان</v>
      </c>
      <c r="O67" s="2" t="str">
        <f>IFERROR(__xludf.DUMMYFUNCTION("GOOGLETRANSLATE(E67,""en"",""ur"")"),"ایک گھاس دار سطح")</f>
        <v>ایک گھاس دار سطح</v>
      </c>
      <c r="P67" s="2" t="str">
        <f>IFERROR(__xludf.DUMMYFUNCTION("GOOGLETRANSLATE(F67,""en"",""ur"")"),"ریتلی یا گندگی کی سطح")</f>
        <v>ریتلی یا گندگی کی سطح</v>
      </c>
      <c r="Q67" s="2" t="s">
        <v>256</v>
      </c>
      <c r="R67" s="2" t="str">
        <f>IFERROR(__xludf.DUMMYFUNCTION("GOOGLETRANSLATE(G67,""en"",""ur"")"),"ریتلی یا گندگی کی سطح")</f>
        <v>ریتلی یا گندگی کی سطح</v>
      </c>
      <c r="S67" s="5" t="s">
        <v>324</v>
      </c>
    </row>
    <row r="68" ht="22.5" customHeight="1">
      <c r="A68" s="4">
        <v>67.0</v>
      </c>
      <c r="B68" s="5" t="s">
        <v>257</v>
      </c>
      <c r="C68" s="5" t="s">
        <v>95</v>
      </c>
      <c r="D68" s="5" t="s">
        <v>96</v>
      </c>
      <c r="E68" s="5" t="s">
        <v>97</v>
      </c>
      <c r="F68" s="5" t="s">
        <v>258</v>
      </c>
      <c r="G68" s="5" t="s">
        <v>97</v>
      </c>
      <c r="H68" s="5" t="s">
        <v>324</v>
      </c>
      <c r="K68" s="2" t="str">
        <f>IFERROR(__xludf.DUMMYFUNCTION("GOOGLETRANSLATE(A68,""en"",""ur"")"),"67")</f>
        <v>67</v>
      </c>
      <c r="L68" s="2" t="str">
        <f>IFERROR(__xludf.DUMMYFUNCTION("GOOGLETRANSLATE(B68,""en"",""ur"")"),"کھیلے جانے والے کھیل کا نام کیا ہے؟")</f>
        <v>کھیلے جانے والے کھیل کا نام کیا ہے؟</v>
      </c>
      <c r="M68" s="2" t="str">
        <f>IFERROR(__xludf.DUMMYFUNCTION("GOOGLETRANSLATE(C68,""en"",""ur"")"),"پولو")</f>
        <v>پولو</v>
      </c>
      <c r="N68" s="2" t="str">
        <f>IFERROR(__xludf.DUMMYFUNCTION("GOOGLETRANSLATE(D68,""en"",""ur"")"),"گھوڑوں کی دوڑ")</f>
        <v>گھوڑوں کی دوڑ</v>
      </c>
      <c r="O68" s="2" t="str">
        <f>IFERROR(__xludf.DUMMYFUNCTION("GOOGLETRANSLATE(E68,""en"",""ur"")"),"بزکشی۔")</f>
        <v>بزکشی۔</v>
      </c>
      <c r="P68" s="2" t="str">
        <f>IFERROR(__xludf.DUMMYFUNCTION("GOOGLETRANSLATE(F68,""en"",""ur"")"),"گھڑ سواری کے کھیل")</f>
        <v>گھڑ سواری کے کھیل</v>
      </c>
      <c r="Q68" s="2" t="s">
        <v>259</v>
      </c>
      <c r="R68" s="2" t="str">
        <f>IFERROR(__xludf.DUMMYFUNCTION("GOOGLETRANSLATE(G68,""en"",""ur"")"),"بزکشی۔")</f>
        <v>بزکشی۔</v>
      </c>
      <c r="S68" s="5" t="s">
        <v>324</v>
      </c>
    </row>
    <row r="69" ht="22.5" customHeight="1">
      <c r="A69" s="4">
        <v>68.0</v>
      </c>
      <c r="B69" s="5" t="s">
        <v>260</v>
      </c>
      <c r="C69" s="5" t="s">
        <v>261</v>
      </c>
      <c r="D69" s="5" t="s">
        <v>262</v>
      </c>
      <c r="E69" s="5" t="s">
        <v>263</v>
      </c>
      <c r="F69" s="5" t="s">
        <v>264</v>
      </c>
      <c r="G69" s="5" t="s">
        <v>263</v>
      </c>
      <c r="H69" s="5" t="s">
        <v>324</v>
      </c>
      <c r="K69" s="2" t="str">
        <f>IFERROR(__xludf.DUMMYFUNCTION("GOOGLETRANSLATE(A69,""en"",""ur"")"),"68")</f>
        <v>68</v>
      </c>
      <c r="L69" s="2" t="str">
        <f>IFERROR(__xludf.DUMMYFUNCTION("GOOGLETRANSLATE(B69,""en"",""ur"")"),"تصویر میں ایکشن ایک ایسا انداز تجویز کرتا ہے جو اس بات پر زور دیتا ہے...")</f>
        <v>تصویر میں ایکشن ایک ایسا انداز تجویز کرتا ہے جو اس بات پر زور دیتا ہے...</v>
      </c>
      <c r="M69" s="2" t="str">
        <f>IFERROR(__xludf.DUMMYFUNCTION("GOOGLETRANSLATE(C69,""en"",""ur"")"),"روانی اور قلابازیاں")</f>
        <v>روانی اور قلابازیاں</v>
      </c>
      <c r="N69" s="2" t="str">
        <f>IFERROR(__xludf.DUMMYFUNCTION("GOOGLETRANSLATE(D69,""en"",""ur"")"),"زمینی لڑائی اور گرفت")</f>
        <v>زمینی لڑائی اور گرفت</v>
      </c>
      <c r="O69" s="2" t="str">
        <f>IFERROR(__xludf.DUMMYFUNCTION("GOOGLETRANSLATE(E69,""en"",""ur"")"),"وحشیانہ قوت اور گھڑ سواری۔")</f>
        <v>وحشیانہ قوت اور گھڑ سواری۔</v>
      </c>
      <c r="P69" s="2" t="str">
        <f>IFERROR(__xludf.DUMMYFUNCTION("GOOGLETRANSLATE(F69,""en"",""ur"")"),"سادہ، لکیری حرکات")</f>
        <v>سادہ، لکیری حرکات</v>
      </c>
      <c r="Q69" s="2" t="s">
        <v>265</v>
      </c>
      <c r="R69" s="2" t="str">
        <f>IFERROR(__xludf.DUMMYFUNCTION("GOOGLETRANSLATE(G69,""en"",""ur"")"),"وحشیانہ قوت اور گھڑ سواری۔")</f>
        <v>وحشیانہ قوت اور گھڑ سواری۔</v>
      </c>
      <c r="S69" s="5" t="s">
        <v>324</v>
      </c>
    </row>
    <row r="70" ht="22.5" customHeight="1">
      <c r="A70" s="4">
        <v>69.0</v>
      </c>
      <c r="B70" s="5" t="s">
        <v>266</v>
      </c>
      <c r="C70" s="5" t="s">
        <v>59</v>
      </c>
      <c r="D70" s="5" t="s">
        <v>267</v>
      </c>
      <c r="E70" s="5" t="s">
        <v>61</v>
      </c>
      <c r="F70" s="5" t="s">
        <v>268</v>
      </c>
      <c r="G70" s="5" t="s">
        <v>267</v>
      </c>
      <c r="H70" s="5" t="s">
        <v>324</v>
      </c>
      <c r="K70" s="2" t="str">
        <f>IFERROR(__xludf.DUMMYFUNCTION("GOOGLETRANSLATE(A70,""en"",""ur"")"),"69")</f>
        <v>69</v>
      </c>
      <c r="L70" s="2" t="str">
        <f>IFERROR(__xludf.DUMMYFUNCTION("GOOGLETRANSLATE(B70,""en"",""ur"")"),"گھوڑوں کے بارے میں ایک قابل ذکر تفصیل کیا ہے؟")</f>
        <v>گھوڑوں کے بارے میں ایک قابل ذکر تفصیل کیا ہے؟</v>
      </c>
      <c r="M70" s="2" t="str">
        <f>IFERROR(__xludf.DUMMYFUNCTION("GOOGLETRANSLATE(C70,""en"",""ur"")"),"وہ سب ایک ہی رنگ کے ہیں۔")</f>
        <v>وہ سب ایک ہی رنگ کے ہیں۔</v>
      </c>
      <c r="N70" s="2" t="str">
        <f>IFERROR(__xludf.DUMMYFUNCTION("GOOGLETRANSLATE(D70,""en"",""ur"")"),"وہ رنگوں اور نسلوں کا مرکب ہیں۔")</f>
        <v>وہ رنگوں اور نسلوں کا مرکب ہیں۔</v>
      </c>
      <c r="O70" s="2" t="str">
        <f>IFERROR(__xludf.DUMMYFUNCTION("GOOGLETRANSLATE(E70,""en"",""ur"")"),"وہ سب وسیع نمونوں کے ساتھ زین پہنے ہوئے ہیں۔")</f>
        <v>وہ سب وسیع نمونوں کے ساتھ زین پہنے ہوئے ہیں۔</v>
      </c>
      <c r="P70" s="2" t="str">
        <f>IFERROR(__xludf.DUMMYFUNCTION("GOOGLETRANSLATE(F70,""en"",""ur"")"),"وہ سب خاموش کھڑے ہیں۔")</f>
        <v>وہ سب خاموش کھڑے ہیں۔</v>
      </c>
      <c r="Q70" s="2" t="s">
        <v>269</v>
      </c>
      <c r="R70" s="2" t="str">
        <f>IFERROR(__xludf.DUMMYFUNCTION("GOOGLETRANSLATE(G70,""en"",""ur"")"),"وہ رنگوں اور نسلوں کا مرکب ہیں۔")</f>
        <v>وہ رنگوں اور نسلوں کا مرکب ہیں۔</v>
      </c>
      <c r="S70" s="5" t="s">
        <v>324</v>
      </c>
    </row>
    <row r="71" ht="22.5" customHeight="1">
      <c r="A71" s="4">
        <v>70.0</v>
      </c>
      <c r="B71" s="5" t="s">
        <v>296</v>
      </c>
      <c r="C71" s="5" t="s">
        <v>297</v>
      </c>
      <c r="D71" s="5" t="s">
        <v>272</v>
      </c>
      <c r="E71" s="5" t="s">
        <v>273</v>
      </c>
      <c r="F71" s="5" t="s">
        <v>274</v>
      </c>
      <c r="G71" s="5" t="s">
        <v>297</v>
      </c>
      <c r="H71" s="5" t="s">
        <v>324</v>
      </c>
      <c r="K71" s="2" t="str">
        <f>IFERROR(__xludf.DUMMYFUNCTION("GOOGLETRANSLATE(A71,""en"",""ur"")"),"70")</f>
        <v>70</v>
      </c>
      <c r="L71" s="2" t="str">
        <f>IFERROR(__xludf.DUMMYFUNCTION("GOOGLETRANSLATE(B71,""en"",""ur"")"),"دائیں طرف سوار کے بارے میں ایک قابل ذکر تفصیل کیا ہے؟")</f>
        <v>دائیں طرف سوار کے بارے میں ایک قابل ذکر تفصیل کیا ہے؟</v>
      </c>
      <c r="M71" s="2" t="str">
        <f>IFERROR(__xludf.DUMMYFUNCTION("GOOGLETRANSLATE(C71,""en"",""ur"")"),"اس نے ایک کوڑا پکڑ رکھا ہے۔")</f>
        <v>اس نے ایک کوڑا پکڑ رکھا ہے۔</v>
      </c>
      <c r="N71" s="2" t="str">
        <f>IFERROR(__xludf.DUMMYFUNCTION("GOOGLETRANSLATE(D71,""en"",""ur"")"),"اس نے بینر اٹھا رکھا ہے۔")</f>
        <v>اس نے بینر اٹھا رکھا ہے۔</v>
      </c>
      <c r="O71" s="2" t="str">
        <f>IFERROR(__xludf.DUMMYFUNCTION("GOOGLETRANSLATE(E71,""en"",""ur"")"),"اس نے رسی پکڑی ہوئی ہے۔")</f>
        <v>اس نے رسی پکڑی ہوئی ہے۔</v>
      </c>
      <c r="P71" s="2" t="str">
        <f>IFERROR(__xludf.DUMMYFUNCTION("GOOGLETRANSLATE(F71,""en"",""ur"")"),"اس نے چھڑی پکڑی ہوئی ہے۔")</f>
        <v>اس نے چھڑی پکڑی ہوئی ہے۔</v>
      </c>
      <c r="Q71" s="2" t="s">
        <v>298</v>
      </c>
      <c r="R71" s="2" t="str">
        <f>IFERROR(__xludf.DUMMYFUNCTION("GOOGLETRANSLATE(G71,""en"",""ur"")"),"اس نے ایک کوڑا پکڑ رکھا ہے۔")</f>
        <v>اس نے ایک کوڑا پکڑ رکھا ہے۔</v>
      </c>
      <c r="S71" s="5" t="s">
        <v>324</v>
      </c>
    </row>
    <row r="72" ht="22.5" customHeight="1">
      <c r="A72" s="4">
        <v>71.0</v>
      </c>
      <c r="B72" s="5" t="s">
        <v>325</v>
      </c>
      <c r="C72" s="5" t="s">
        <v>103</v>
      </c>
      <c r="D72" s="5" t="s">
        <v>300</v>
      </c>
      <c r="E72" s="5" t="s">
        <v>72</v>
      </c>
      <c r="F72" s="5" t="s">
        <v>73</v>
      </c>
      <c r="G72" s="5" t="s">
        <v>300</v>
      </c>
      <c r="H72" s="5" t="s">
        <v>326</v>
      </c>
      <c r="K72" s="2" t="str">
        <f>IFERROR(__xludf.DUMMYFUNCTION("GOOGLETRANSLATE(A72,""en"",""ur"")"),"71")</f>
        <v>71</v>
      </c>
      <c r="L72" s="2" t="str">
        <f>IFERROR(__xludf.DUMMYFUNCTION("GOOGLETRANSLATE(B72,""en"",""ur"")"),"buzkashi_26 میں دکھائی جانے والی اہم کارروائی کیا ہے؟")</f>
        <v>buzkashi_26 میں دکھائی جانے والی اہم کارروائی کیا ہے؟</v>
      </c>
      <c r="M72" s="2" t="str">
        <f>IFERROR(__xludf.DUMMYFUNCTION("GOOGLETRANSLATE(C72,""en"",""ur"")"),"آرام سے گھوڑے کی سواری۔")</f>
        <v>آرام سے گھوڑے کی سواری۔</v>
      </c>
      <c r="N72" s="2" t="str">
        <f>IFERROR(__xludf.DUMMYFUNCTION("GOOGLETRANSLATE(D72,""en"",""ur"")"),"تیز رفتاری سے لاش کو لے جانے والا سوار")</f>
        <v>تیز رفتاری سے لاش کو لے جانے والا سوار</v>
      </c>
      <c r="O72" s="2" t="str">
        <f>IFERROR(__xludf.DUMMYFUNCTION("GOOGLETRANSLATE(E72,""en"",""ur"")"),"گھوڑوں کی پریڈ")</f>
        <v>گھوڑوں کی پریڈ</v>
      </c>
      <c r="P72" s="2" t="str">
        <f>IFERROR(__xludf.DUMMYFUNCTION("GOOGLETRANSLATE(F72,""en"",""ur"")"),"گھوڑوں کی دوڑ")</f>
        <v>گھوڑوں کی دوڑ</v>
      </c>
      <c r="Q72" s="2" t="s">
        <v>302</v>
      </c>
      <c r="R72" s="2" t="str">
        <f>IFERROR(__xludf.DUMMYFUNCTION("GOOGLETRANSLATE(G72,""en"",""ur"")"),"تیز رفتاری سے لاش کو لے جانے والا سوار")</f>
        <v>تیز رفتاری سے لاش کو لے جانے والا سوار</v>
      </c>
      <c r="S72" s="5" t="s">
        <v>326</v>
      </c>
    </row>
    <row r="73" ht="22.5" customHeight="1">
      <c r="A73" s="4">
        <v>72.0</v>
      </c>
      <c r="B73" s="5" t="s">
        <v>303</v>
      </c>
      <c r="C73" s="5" t="s">
        <v>284</v>
      </c>
      <c r="D73" s="5" t="s">
        <v>285</v>
      </c>
      <c r="E73" s="5" t="s">
        <v>286</v>
      </c>
      <c r="F73" s="5" t="s">
        <v>287</v>
      </c>
      <c r="G73" s="5" t="s">
        <v>286</v>
      </c>
      <c r="H73" s="5" t="s">
        <v>326</v>
      </c>
      <c r="K73" s="2" t="str">
        <f>IFERROR(__xludf.DUMMYFUNCTION("GOOGLETRANSLATE(A73,""en"",""ur"")"),"72")</f>
        <v>72</v>
      </c>
      <c r="L73" s="2" t="str">
        <f>IFERROR(__xludf.DUMMYFUNCTION("GOOGLETRANSLATE(B73,""en"",""ur"")"),"سوار جس چیز کو لے کر جا رہا ہے اس کے بارے میں ایک قابل ذکر تفصیل کیا ہے؟")</f>
        <v>سوار جس چیز کو لے کر جا رہا ہے اس کے بارے میں ایک قابل ذکر تفصیل کیا ہے؟</v>
      </c>
      <c r="M73" s="2" t="str">
        <f>IFERROR(__xludf.DUMMYFUNCTION("GOOGLETRANSLATE(C73,""en"",""ur"")"),"یہ ایک گیند ہے۔")</f>
        <v>یہ ایک گیند ہے۔</v>
      </c>
      <c r="N73" s="2" t="str">
        <f>IFERROR(__xludf.DUMMYFUNCTION("GOOGLETRANSLATE(D73,""en"",""ur"")"),"یہ ایک جھنڈا ہے۔")</f>
        <v>یہ ایک جھنڈا ہے۔</v>
      </c>
      <c r="O73" s="2" t="str">
        <f>IFERROR(__xludf.DUMMYFUNCTION("GOOGLETRANSLATE(E73,""en"",""ur"")"),"یہ ایک بکری کی لاش ہے۔")</f>
        <v>یہ ایک بکری کی لاش ہے۔</v>
      </c>
      <c r="P73" s="2" t="str">
        <f>IFERROR(__xludf.DUMMYFUNCTION("GOOGLETRANSLATE(F73,""en"",""ur"")"),"یہ ایک رسی ہے۔")</f>
        <v>یہ ایک رسی ہے۔</v>
      </c>
      <c r="Q73" s="2" t="s">
        <v>288</v>
      </c>
      <c r="R73" s="2" t="str">
        <f>IFERROR(__xludf.DUMMYFUNCTION("GOOGLETRANSLATE(G73,""en"",""ur"")"),"یہ ایک بکری کی لاش ہے۔")</f>
        <v>یہ ایک بکری کی لاش ہے۔</v>
      </c>
      <c r="S73" s="5" t="s">
        <v>326</v>
      </c>
    </row>
    <row r="74" ht="22.5" customHeight="1">
      <c r="A74" s="4">
        <v>73.0</v>
      </c>
      <c r="B74" s="5" t="s">
        <v>304</v>
      </c>
      <c r="C74" s="5" t="s">
        <v>305</v>
      </c>
      <c r="D74" s="5" t="s">
        <v>306</v>
      </c>
      <c r="E74" s="5" t="s">
        <v>307</v>
      </c>
      <c r="F74" s="5" t="s">
        <v>308</v>
      </c>
      <c r="G74" s="5" t="s">
        <v>306</v>
      </c>
      <c r="H74" s="5" t="s">
        <v>326</v>
      </c>
      <c r="K74" s="2" t="str">
        <f>IFERROR(__xludf.DUMMYFUNCTION("GOOGLETRANSLATE(A74,""en"",""ur"")"),"73")</f>
        <v>73</v>
      </c>
      <c r="L74" s="2" t="str">
        <f>IFERROR(__xludf.DUMMYFUNCTION("GOOGLETRANSLATE(B74,""en"",""ur"")"),"سوار کے لباس کے بارے میں واضح تفصیل کیا ہے؟")</f>
        <v>سوار کے لباس کے بارے میں واضح تفصیل کیا ہے؟</v>
      </c>
      <c r="M74" s="2" t="str">
        <f>IFERROR(__xludf.DUMMYFUNCTION("GOOGLETRANSLATE(C74,""en"",""ur"")"),"اس نے جدید کھیلوں کا یونیفارم پہن رکھا ہے۔")</f>
        <v>اس نے جدید کھیلوں کا یونیفارم پہن رکھا ہے۔</v>
      </c>
      <c r="N74" s="2" t="str">
        <f>IFERROR(__xludf.DUMMYFUNCTION("GOOGLETRANSLATE(D74,""en"",""ur"")"),"اس نے روایتی ٹونک اور سر کا لباس پہن رکھا ہے۔")</f>
        <v>اس نے روایتی ٹونک اور سر کا لباس پہن رکھا ہے۔</v>
      </c>
      <c r="O74" s="2" t="str">
        <f>IFERROR(__xludf.DUMMYFUNCTION("GOOGLETRANSLATE(E74,""en"",""ur"")"),"اس نے رسمی سوٹ پہن رکھا ہے۔")</f>
        <v>اس نے رسمی سوٹ پہن رکھا ہے۔</v>
      </c>
      <c r="P74" s="2" t="str">
        <f>IFERROR(__xludf.DUMMYFUNCTION("GOOGLETRANSLATE(F74,""en"",""ur"")"),"اس نے کوئی لباس نہیں پہنا ہوا ہے۔")</f>
        <v>اس نے کوئی لباس نہیں پہنا ہوا ہے۔</v>
      </c>
      <c r="Q74" s="2" t="s">
        <v>309</v>
      </c>
      <c r="R74" s="2" t="str">
        <f>IFERROR(__xludf.DUMMYFUNCTION("GOOGLETRANSLATE(G74,""en"",""ur"")"),"اس نے روایتی ٹونک اور سر کا لباس پہن رکھا ہے۔")</f>
        <v>اس نے روایتی ٹونک اور سر کا لباس پہن رکھا ہے۔</v>
      </c>
      <c r="S74" s="5" t="s">
        <v>326</v>
      </c>
    </row>
    <row r="75" ht="22.5" customHeight="1">
      <c r="A75" s="4">
        <v>74.0</v>
      </c>
      <c r="B75" s="5" t="s">
        <v>310</v>
      </c>
      <c r="C75" s="5" t="s">
        <v>311</v>
      </c>
      <c r="D75" s="5" t="s">
        <v>312</v>
      </c>
      <c r="E75" s="5" t="s">
        <v>313</v>
      </c>
      <c r="F75" s="5" t="s">
        <v>314</v>
      </c>
      <c r="G75" s="5" t="s">
        <v>312</v>
      </c>
      <c r="H75" s="5" t="s">
        <v>326</v>
      </c>
      <c r="K75" s="2" t="str">
        <f>IFERROR(__xludf.DUMMYFUNCTION("GOOGLETRANSLATE(A75,""en"",""ur"")"),"74")</f>
        <v>74</v>
      </c>
      <c r="L75" s="2" t="str">
        <f>IFERROR(__xludf.DUMMYFUNCTION("GOOGLETRANSLATE(B75,""en"",""ur"")"),"سوار کی ظاہری باڈی پوزیشن کیا ہے؟")</f>
        <v>سوار کی ظاہری باڈی پوزیشن کیا ہے؟</v>
      </c>
      <c r="M75" s="2" t="str">
        <f>IFERROR(__xludf.DUMMYFUNCTION("GOOGLETRANSLATE(C75,""en"",""ur"")"),"وہ سیدھا کھڑا ہے۔")</f>
        <v>وہ سیدھا کھڑا ہے۔</v>
      </c>
      <c r="N75" s="2" t="str">
        <f>IFERROR(__xludf.DUMMYFUNCTION("GOOGLETRANSLATE(D75,""en"",""ur"")"),"وہ جھک رہا ہے اور کسی چیز تک پہنچ رہا ہے۔")</f>
        <v>وہ جھک رہا ہے اور کسی چیز تک پہنچ رہا ہے۔</v>
      </c>
      <c r="O75" s="2" t="str">
        <f>IFERROR(__xludf.DUMMYFUNCTION("GOOGLETRANSLATE(E75,""en"",""ur"")"),"وہ گھوڑے کی پیٹھ پر لیٹا ہے۔")</f>
        <v>وہ گھوڑے کی پیٹھ پر لیٹا ہے۔</v>
      </c>
      <c r="P75" s="2" t="str">
        <f>IFERROR(__xludf.DUMMYFUNCTION("GOOGLETRANSLATE(F75,""en"",""ur"")"),"وہ آرام سے بیٹھا ہے۔")</f>
        <v>وہ آرام سے بیٹھا ہے۔</v>
      </c>
      <c r="Q75" s="2" t="s">
        <v>315</v>
      </c>
      <c r="R75" s="2" t="str">
        <f>IFERROR(__xludf.DUMMYFUNCTION("GOOGLETRANSLATE(G75,""en"",""ur"")"),"وہ جھک رہا ہے اور کسی چیز تک پہنچ رہا ہے۔")</f>
        <v>وہ جھک رہا ہے اور کسی چیز تک پہنچ رہا ہے۔</v>
      </c>
      <c r="S75" s="5" t="s">
        <v>326</v>
      </c>
    </row>
    <row r="76" ht="22.5" customHeight="1">
      <c r="A76" s="4">
        <v>75.0</v>
      </c>
      <c r="B76" s="5" t="s">
        <v>316</v>
      </c>
      <c r="C76" s="5" t="s">
        <v>47</v>
      </c>
      <c r="D76" s="5" t="s">
        <v>48</v>
      </c>
      <c r="E76" s="5" t="s">
        <v>49</v>
      </c>
      <c r="F76" s="5" t="s">
        <v>50</v>
      </c>
      <c r="G76" s="5" t="s">
        <v>49</v>
      </c>
      <c r="H76" s="5" t="s">
        <v>326</v>
      </c>
      <c r="K76" s="2" t="str">
        <f>IFERROR(__xludf.DUMMYFUNCTION("GOOGLETRANSLATE(A76,""en"",""ur"")"),"75")</f>
        <v>75</v>
      </c>
      <c r="L76" s="2" t="str">
        <f>IFERROR(__xludf.DUMMYFUNCTION("GOOGLETRANSLATE(B76,""en"",""ur"")"),"سوار کے چہرے سے ظاہری جذبات کیا ہیں؟")</f>
        <v>سوار کے چہرے سے ظاہری جذبات کیا ہیں؟</v>
      </c>
      <c r="M76" s="2" t="str">
        <f>IFERROR(__xludf.DUMMYFUNCTION("GOOGLETRANSLATE(C76,""en"",""ur"")"),"پرسکون اور پر سکون")</f>
        <v>پرسکون اور پر سکون</v>
      </c>
      <c r="N76" s="2" t="str">
        <f>IFERROR(__xludf.DUMMYFUNCTION("GOOGLETRANSLATE(D76,""en"",""ur"")"),"خوف زدہ اور بے چین")</f>
        <v>خوف زدہ اور بے چین</v>
      </c>
      <c r="O76" s="2" t="str">
        <f>IFERROR(__xludf.DUMMYFUNCTION("GOOGLETRANSLATE(E76,""en"",""ur"")"),"کشیدہ اور شدید")</f>
        <v>کشیدہ اور شدید</v>
      </c>
      <c r="P76" s="2" t="str">
        <f>IFERROR(__xludf.DUMMYFUNCTION("GOOGLETRANSLATE(F76,""en"",""ur"")"),"خوش اور مسکراتے ہوئے۔")</f>
        <v>خوش اور مسکراتے ہوئے۔</v>
      </c>
      <c r="Q76" s="2" t="s">
        <v>51</v>
      </c>
      <c r="R76" s="2" t="str">
        <f>IFERROR(__xludf.DUMMYFUNCTION("GOOGLETRANSLATE(G76,""en"",""ur"")"),"کشیدہ اور شدید")</f>
        <v>کشیدہ اور شدید</v>
      </c>
      <c r="S76" s="5" t="s">
        <v>326</v>
      </c>
    </row>
    <row r="77" ht="22.5" customHeight="1">
      <c r="A77" s="4">
        <v>76.0</v>
      </c>
      <c r="B77" s="5" t="s">
        <v>88</v>
      </c>
      <c r="C77" s="5" t="s">
        <v>89</v>
      </c>
      <c r="D77" s="5" t="s">
        <v>90</v>
      </c>
      <c r="E77" s="5" t="s">
        <v>91</v>
      </c>
      <c r="F77" s="5" t="s">
        <v>255</v>
      </c>
      <c r="G77" s="5" t="s">
        <v>255</v>
      </c>
      <c r="H77" s="5" t="s">
        <v>326</v>
      </c>
      <c r="K77" s="2" t="str">
        <f>IFERROR(__xludf.DUMMYFUNCTION("GOOGLETRANSLATE(A77,""en"",""ur"")"),"76")</f>
        <v>76</v>
      </c>
      <c r="L77" s="2" t="str">
        <f>IFERROR(__xludf.DUMMYFUNCTION("GOOGLETRANSLATE(B77,""en"",""ur"")"),"زمین کی سب سے نمایاں خصوصیت کیا ہے؟")</f>
        <v>زمین کی سب سے نمایاں خصوصیت کیا ہے؟</v>
      </c>
      <c r="M77" s="2" t="str">
        <f>IFERROR(__xludf.DUMMYFUNCTION("GOOGLETRANSLATE(C77,""en"",""ur"")"),"ایک پکی سطح")</f>
        <v>ایک پکی سطح</v>
      </c>
      <c r="N77" s="2" t="str">
        <f>IFERROR(__xludf.DUMMYFUNCTION("GOOGLETRANSLATE(D77,""en"",""ur"")"),"کیچڑ والا میدان")</f>
        <v>کیچڑ والا میدان</v>
      </c>
      <c r="O77" s="2" t="str">
        <f>IFERROR(__xludf.DUMMYFUNCTION("GOOGLETRANSLATE(E77,""en"",""ur"")"),"ایک گھاس دار سطح")</f>
        <v>ایک گھاس دار سطح</v>
      </c>
      <c r="P77" s="2" t="str">
        <f>IFERROR(__xludf.DUMMYFUNCTION("GOOGLETRANSLATE(F77,""en"",""ur"")"),"ریتلی یا گندگی کی سطح")</f>
        <v>ریتلی یا گندگی کی سطح</v>
      </c>
      <c r="Q77" s="2" t="s">
        <v>256</v>
      </c>
      <c r="R77" s="2" t="str">
        <f>IFERROR(__xludf.DUMMYFUNCTION("GOOGLETRANSLATE(G77,""en"",""ur"")"),"ریتلی یا گندگی کی سطح")</f>
        <v>ریتلی یا گندگی کی سطح</v>
      </c>
      <c r="S77" s="5" t="s">
        <v>326</v>
      </c>
    </row>
    <row r="78" ht="22.5" customHeight="1">
      <c r="A78" s="4">
        <v>77.0</v>
      </c>
      <c r="B78" s="5" t="s">
        <v>257</v>
      </c>
      <c r="C78" s="5" t="s">
        <v>95</v>
      </c>
      <c r="D78" s="5" t="s">
        <v>96</v>
      </c>
      <c r="E78" s="5" t="s">
        <v>97</v>
      </c>
      <c r="F78" s="5" t="s">
        <v>258</v>
      </c>
      <c r="G78" s="5" t="s">
        <v>97</v>
      </c>
      <c r="H78" s="5" t="s">
        <v>326</v>
      </c>
      <c r="K78" s="2" t="str">
        <f>IFERROR(__xludf.DUMMYFUNCTION("GOOGLETRANSLATE(A78,""en"",""ur"")"),"77")</f>
        <v>77</v>
      </c>
      <c r="L78" s="2" t="str">
        <f>IFERROR(__xludf.DUMMYFUNCTION("GOOGLETRANSLATE(B78,""en"",""ur"")"),"کھیلے جانے والے کھیل کا نام کیا ہے؟")</f>
        <v>کھیلے جانے والے کھیل کا نام کیا ہے؟</v>
      </c>
      <c r="M78" s="2" t="str">
        <f>IFERROR(__xludf.DUMMYFUNCTION("GOOGLETRANSLATE(C78,""en"",""ur"")"),"پولو")</f>
        <v>پولو</v>
      </c>
      <c r="N78" s="2" t="str">
        <f>IFERROR(__xludf.DUMMYFUNCTION("GOOGLETRANSLATE(D78,""en"",""ur"")"),"گھوڑوں کی دوڑ")</f>
        <v>گھوڑوں کی دوڑ</v>
      </c>
      <c r="O78" s="2" t="str">
        <f>IFERROR(__xludf.DUMMYFUNCTION("GOOGLETRANSLATE(E78,""en"",""ur"")"),"بزکشی۔")</f>
        <v>بزکشی۔</v>
      </c>
      <c r="P78" s="2" t="str">
        <f>IFERROR(__xludf.DUMMYFUNCTION("GOOGLETRANSLATE(F78,""en"",""ur"")"),"گھڑ سواری کے کھیل")</f>
        <v>گھڑ سواری کے کھیل</v>
      </c>
      <c r="Q78" s="2" t="s">
        <v>259</v>
      </c>
      <c r="R78" s="2" t="str">
        <f>IFERROR(__xludf.DUMMYFUNCTION("GOOGLETRANSLATE(G78,""en"",""ur"")"),"بزکشی۔")</f>
        <v>بزکشی۔</v>
      </c>
      <c r="S78" s="5" t="s">
        <v>326</v>
      </c>
    </row>
    <row r="79" ht="22.5" customHeight="1">
      <c r="A79" s="4">
        <v>78.0</v>
      </c>
      <c r="B79" s="5" t="s">
        <v>260</v>
      </c>
      <c r="C79" s="5" t="s">
        <v>261</v>
      </c>
      <c r="D79" s="5" t="s">
        <v>262</v>
      </c>
      <c r="E79" s="5" t="s">
        <v>263</v>
      </c>
      <c r="F79" s="5" t="s">
        <v>264</v>
      </c>
      <c r="G79" s="5" t="s">
        <v>263</v>
      </c>
      <c r="H79" s="5" t="s">
        <v>326</v>
      </c>
      <c r="K79" s="2" t="str">
        <f>IFERROR(__xludf.DUMMYFUNCTION("GOOGLETRANSLATE(A79,""en"",""ur"")"),"78")</f>
        <v>78</v>
      </c>
      <c r="L79" s="2" t="str">
        <f>IFERROR(__xludf.DUMMYFUNCTION("GOOGLETRANSLATE(B79,""en"",""ur"")"),"تصویر میں ایکشن ایک ایسا انداز تجویز کرتا ہے جو اس بات پر زور دیتا ہے...")</f>
        <v>تصویر میں ایکشن ایک ایسا انداز تجویز کرتا ہے جو اس بات پر زور دیتا ہے...</v>
      </c>
      <c r="M79" s="2" t="str">
        <f>IFERROR(__xludf.DUMMYFUNCTION("GOOGLETRANSLATE(C79,""en"",""ur"")"),"روانی اور قلابازیاں")</f>
        <v>روانی اور قلابازیاں</v>
      </c>
      <c r="N79" s="2" t="str">
        <f>IFERROR(__xludf.DUMMYFUNCTION("GOOGLETRANSLATE(D79,""en"",""ur"")"),"زمینی لڑائی اور گرفت")</f>
        <v>زمینی لڑائی اور گرفت</v>
      </c>
      <c r="O79" s="2" t="str">
        <f>IFERROR(__xludf.DUMMYFUNCTION("GOOGLETRANSLATE(E79,""en"",""ur"")"),"وحشیانہ قوت اور گھڑ سواری۔")</f>
        <v>وحشیانہ قوت اور گھڑ سواری۔</v>
      </c>
      <c r="P79" s="2" t="str">
        <f>IFERROR(__xludf.DUMMYFUNCTION("GOOGLETRANSLATE(F79,""en"",""ur"")"),"سادہ، لکیری حرکات")</f>
        <v>سادہ، لکیری حرکات</v>
      </c>
      <c r="Q79" s="2" t="s">
        <v>265</v>
      </c>
      <c r="R79" s="2" t="str">
        <f>IFERROR(__xludf.DUMMYFUNCTION("GOOGLETRANSLATE(G79,""en"",""ur"")"),"وحشیانہ قوت اور گھڑ سواری۔")</f>
        <v>وحشیانہ قوت اور گھڑ سواری۔</v>
      </c>
      <c r="S79" s="5" t="s">
        <v>326</v>
      </c>
    </row>
    <row r="80" ht="22.5" customHeight="1">
      <c r="A80" s="4">
        <v>79.0</v>
      </c>
      <c r="B80" s="5" t="s">
        <v>317</v>
      </c>
      <c r="C80" s="5" t="s">
        <v>136</v>
      </c>
      <c r="D80" s="5" t="s">
        <v>318</v>
      </c>
      <c r="E80" s="5" t="s">
        <v>319</v>
      </c>
      <c r="F80" s="5" t="s">
        <v>320</v>
      </c>
      <c r="G80" s="5" t="s">
        <v>318</v>
      </c>
      <c r="H80" s="5" t="s">
        <v>326</v>
      </c>
      <c r="K80" s="2" t="str">
        <f>IFERROR(__xludf.DUMMYFUNCTION("GOOGLETRANSLATE(A80,""en"",""ur"")"),"79")</f>
        <v>79</v>
      </c>
      <c r="L80" s="2" t="str">
        <f>IFERROR(__xludf.DUMMYFUNCTION("GOOGLETRANSLATE(B80,""en"",""ur"")"),"گھوڑے کے بارے میں ایک قابل ذکر تفصیل کیا ہے؟")</f>
        <v>گھوڑے کے بارے میں ایک قابل ذکر تفصیل کیا ہے؟</v>
      </c>
      <c r="M80" s="2" t="str">
        <f>IFERROR(__xludf.DUMMYFUNCTION("GOOGLETRANSLATE(C80,""en"",""ur"")"),"یہ سب ایک ہی رنگ کا ہے۔")</f>
        <v>یہ سب ایک ہی رنگ کا ہے۔</v>
      </c>
      <c r="N80" s="2" t="str">
        <f>IFERROR(__xludf.DUMMYFUNCTION("GOOGLETRANSLATE(D80,""en"",""ur"")"),"یہ رنگوں اور نسلوں کا مرکب ہے۔")</f>
        <v>یہ رنگوں اور نسلوں کا مرکب ہے۔</v>
      </c>
      <c r="O80" s="2" t="str">
        <f>IFERROR(__xludf.DUMMYFUNCTION("GOOGLETRANSLATE(E80,""en"",""ur"")"),"یہ ایک وسیع پیٹرن کے ساتھ ایک زین پہنے ہوئے ہے۔")</f>
        <v>یہ ایک وسیع پیٹرن کے ساتھ ایک زین پہنے ہوئے ہے۔</v>
      </c>
      <c r="P80" s="2" t="str">
        <f>IFERROR(__xludf.DUMMYFUNCTION("GOOGLETRANSLATE(F80,""en"",""ur"")"),"یہ ساکت کھڑا ہے۔")</f>
        <v>یہ ساکت کھڑا ہے۔</v>
      </c>
      <c r="Q80" s="2" t="s">
        <v>321</v>
      </c>
      <c r="R80" s="2" t="str">
        <f>IFERROR(__xludf.DUMMYFUNCTION("GOOGLETRANSLATE(G80,""en"",""ur"")"),"یہ رنگوں اور نسلوں کا مرکب ہے۔")</f>
        <v>یہ رنگوں اور نسلوں کا مرکب ہے۔</v>
      </c>
      <c r="S80" s="5" t="s">
        <v>326</v>
      </c>
    </row>
    <row r="81" ht="22.5" customHeight="1">
      <c r="A81" s="4">
        <v>80.0</v>
      </c>
      <c r="B81" s="5" t="s">
        <v>322</v>
      </c>
      <c r="C81" s="5" t="s">
        <v>297</v>
      </c>
      <c r="D81" s="5" t="s">
        <v>272</v>
      </c>
      <c r="E81" s="5" t="s">
        <v>273</v>
      </c>
      <c r="F81" s="5" t="s">
        <v>274</v>
      </c>
      <c r="G81" s="5" t="s">
        <v>297</v>
      </c>
      <c r="H81" s="5" t="s">
        <v>326</v>
      </c>
      <c r="K81" s="2" t="str">
        <f>IFERROR(__xludf.DUMMYFUNCTION("GOOGLETRANSLATE(A81,""en"",""ur"")"),"80")</f>
        <v>80</v>
      </c>
      <c r="L81" s="2" t="str">
        <f>IFERROR(__xludf.DUMMYFUNCTION("GOOGLETRANSLATE(B81,""en"",""ur"")"),"سوار کے بارے میں ایک قابل ذکر تفصیل کیا ہے؟")</f>
        <v>سوار کے بارے میں ایک قابل ذکر تفصیل کیا ہے؟</v>
      </c>
      <c r="M81" s="2" t="str">
        <f>IFERROR(__xludf.DUMMYFUNCTION("GOOGLETRANSLATE(C81,""en"",""ur"")"),"اس نے ایک کوڑا پکڑ رکھا ہے۔")</f>
        <v>اس نے ایک کوڑا پکڑ رکھا ہے۔</v>
      </c>
      <c r="N81" s="2" t="str">
        <f>IFERROR(__xludf.DUMMYFUNCTION("GOOGLETRANSLATE(D81,""en"",""ur"")"),"اس نے بینر اٹھا رکھا ہے۔")</f>
        <v>اس نے بینر اٹھا رکھا ہے۔</v>
      </c>
      <c r="O81" s="2" t="str">
        <f>IFERROR(__xludf.DUMMYFUNCTION("GOOGLETRANSLATE(E81,""en"",""ur"")"),"اس نے رسی پکڑی ہوئی ہے۔")</f>
        <v>اس نے رسی پکڑی ہوئی ہے۔</v>
      </c>
      <c r="P81" s="2" t="str">
        <f>IFERROR(__xludf.DUMMYFUNCTION("GOOGLETRANSLATE(F81,""en"",""ur"")"),"اس نے چھڑی پکڑی ہوئی ہے۔")</f>
        <v>اس نے چھڑی پکڑی ہوئی ہے۔</v>
      </c>
      <c r="Q81" s="2" t="s">
        <v>298</v>
      </c>
      <c r="R81" s="2" t="str">
        <f>IFERROR(__xludf.DUMMYFUNCTION("GOOGLETRANSLATE(G81,""en"",""ur"")"),"اس نے ایک کوڑا پکڑ رکھا ہے۔")</f>
        <v>اس نے ایک کوڑا پکڑ رکھا ہے۔</v>
      </c>
      <c r="S81" s="5" t="s">
        <v>326</v>
      </c>
    </row>
    <row r="82" ht="22.5" customHeight="1">
      <c r="A82" s="4">
        <v>81.0</v>
      </c>
      <c r="B82" s="5" t="s">
        <v>289</v>
      </c>
      <c r="C82" s="5" t="s">
        <v>103</v>
      </c>
      <c r="D82" s="5" t="s">
        <v>71</v>
      </c>
      <c r="E82" s="5" t="s">
        <v>72</v>
      </c>
      <c r="F82" s="5" t="s">
        <v>73</v>
      </c>
      <c r="G82" s="5" t="s">
        <v>71</v>
      </c>
      <c r="H82" s="5" t="s">
        <v>290</v>
      </c>
      <c r="K82" s="2" t="str">
        <f>IFERROR(__xludf.DUMMYFUNCTION("GOOGLETRANSLATE(A82,""en"",""ur"")"),"81")</f>
        <v>81</v>
      </c>
      <c r="L82" s="2" t="str">
        <f>IFERROR(__xludf.DUMMYFUNCTION("GOOGLETRANSLATE(B82,""en"",""ur"")"),"buzkashi_15 میں دکھائی جانے والی اہم کارروائی کیا ہے؟")</f>
        <v>buzkashi_15 میں دکھائی جانے والی اہم کارروائی کیا ہے؟</v>
      </c>
      <c r="M82" s="2" t="str">
        <f>IFERROR(__xludf.DUMMYFUNCTION("GOOGLETRANSLATE(C82,""en"",""ur"")"),"آرام سے گھوڑے کی سواری۔")</f>
        <v>آرام سے گھوڑے کی سواری۔</v>
      </c>
      <c r="N82" s="2" t="str">
        <f>IFERROR(__xludf.DUMMYFUNCTION("GOOGLETRANSLATE(D82,""en"",""ur"")"),"سواروں کا ایک گروپ جو مرکزی چیز کے لیے مقابلہ کر رہا ہے۔")</f>
        <v>سواروں کا ایک گروپ جو مرکزی چیز کے لیے مقابلہ کر رہا ہے۔</v>
      </c>
      <c r="O82" s="2" t="str">
        <f>IFERROR(__xludf.DUMMYFUNCTION("GOOGLETRANSLATE(E82,""en"",""ur"")"),"گھوڑوں کی پریڈ")</f>
        <v>گھوڑوں کی پریڈ</v>
      </c>
      <c r="P82" s="2" t="str">
        <f>IFERROR(__xludf.DUMMYFUNCTION("GOOGLETRANSLATE(F82,""en"",""ur"")"),"گھوڑوں کی دوڑ")</f>
        <v>گھوڑوں کی دوڑ</v>
      </c>
      <c r="Q82" s="2" t="s">
        <v>278</v>
      </c>
      <c r="R82" s="2" t="str">
        <f>IFERROR(__xludf.DUMMYFUNCTION("GOOGLETRANSLATE(G82,""en"",""ur"")"),"سواروں کا ایک گروپ جو مرکزی چیز کے لیے مقابلہ کر رہا ہے۔")</f>
        <v>سواروں کا ایک گروپ جو مرکزی چیز کے لیے مقابلہ کر رہا ہے۔</v>
      </c>
      <c r="S82" s="5" t="s">
        <v>290</v>
      </c>
    </row>
    <row r="83" ht="22.5" customHeight="1">
      <c r="A83" s="4">
        <v>82.0</v>
      </c>
      <c r="B83" s="5" t="s">
        <v>291</v>
      </c>
      <c r="C83" s="5" t="s">
        <v>284</v>
      </c>
      <c r="D83" s="5" t="s">
        <v>285</v>
      </c>
      <c r="E83" s="5" t="s">
        <v>286</v>
      </c>
      <c r="F83" s="5" t="s">
        <v>287</v>
      </c>
      <c r="G83" s="5" t="s">
        <v>286</v>
      </c>
      <c r="H83" s="5" t="s">
        <v>290</v>
      </c>
      <c r="K83" s="2" t="str">
        <f>IFERROR(__xludf.DUMMYFUNCTION("GOOGLETRANSLATE(A83,""en"",""ur"")"),"82")</f>
        <v>82</v>
      </c>
      <c r="L83" s="2" t="str">
        <f>IFERROR(__xludf.DUMMYFUNCTION("GOOGLETRANSLATE(B83,""en"",""ur"")"),"جس چیز کا مقابلہ کیا جا رہا ہے اس کے بارے میں ایک قابل ذکر تفصیل کیا ہے؟")</f>
        <v>جس چیز کا مقابلہ کیا جا رہا ہے اس کے بارے میں ایک قابل ذکر تفصیل کیا ہے؟</v>
      </c>
      <c r="M83" s="2" t="str">
        <f>IFERROR(__xludf.DUMMYFUNCTION("GOOGLETRANSLATE(C83,""en"",""ur"")"),"یہ ایک گیند ہے۔")</f>
        <v>یہ ایک گیند ہے۔</v>
      </c>
      <c r="N83" s="2" t="str">
        <f>IFERROR(__xludf.DUMMYFUNCTION("GOOGLETRANSLATE(D83,""en"",""ur"")"),"یہ ایک جھنڈا ہے۔")</f>
        <v>یہ ایک جھنڈا ہے۔</v>
      </c>
      <c r="O83" s="2" t="str">
        <f>IFERROR(__xludf.DUMMYFUNCTION("GOOGLETRANSLATE(E83,""en"",""ur"")"),"یہ ایک بکری کی لاش ہے۔")</f>
        <v>یہ ایک بکری کی لاش ہے۔</v>
      </c>
      <c r="P83" s="2" t="str">
        <f>IFERROR(__xludf.DUMMYFUNCTION("GOOGLETRANSLATE(F83,""en"",""ur"")"),"یہ ایک رسی ہے۔")</f>
        <v>یہ ایک رسی ہے۔</v>
      </c>
      <c r="Q83" s="2" t="s">
        <v>288</v>
      </c>
      <c r="R83" s="2" t="str">
        <f>IFERROR(__xludf.DUMMYFUNCTION("GOOGLETRANSLATE(G83,""en"",""ur"")"),"یہ ایک بکری کی لاش ہے۔")</f>
        <v>یہ ایک بکری کی لاش ہے۔</v>
      </c>
      <c r="S83" s="5" t="s">
        <v>290</v>
      </c>
    </row>
    <row r="84" ht="22.5" customHeight="1">
      <c r="A84" s="4">
        <v>83.0</v>
      </c>
      <c r="B84" s="5" t="s">
        <v>242</v>
      </c>
      <c r="C84" s="5" t="s">
        <v>243</v>
      </c>
      <c r="D84" s="5" t="s">
        <v>292</v>
      </c>
      <c r="E84" s="5" t="s">
        <v>245</v>
      </c>
      <c r="F84" s="5" t="s">
        <v>246</v>
      </c>
      <c r="G84" s="5" t="s">
        <v>292</v>
      </c>
      <c r="H84" s="5" t="s">
        <v>290</v>
      </c>
      <c r="K84" s="2" t="str">
        <f>IFERROR(__xludf.DUMMYFUNCTION("GOOGLETRANSLATE(A84,""en"",""ur"")"),"83")</f>
        <v>83</v>
      </c>
      <c r="L84" s="2" t="str">
        <f>IFERROR(__xludf.DUMMYFUNCTION("GOOGLETRANSLATE(B84,""en"",""ur"")"),"سواروں کے لباس کے بارے میں واضح تفصیل کیا ہے؟")</f>
        <v>سواروں کے لباس کے بارے میں واضح تفصیل کیا ہے؟</v>
      </c>
      <c r="M84" s="2" t="str">
        <f>IFERROR(__xludf.DUMMYFUNCTION("GOOGLETRANSLATE(C84,""en"",""ur"")"),"وہ جدید کھیلوں کی وردی پہنے ہوئے ہیں۔")</f>
        <v>وہ جدید کھیلوں کی وردی پہنے ہوئے ہیں۔</v>
      </c>
      <c r="N84" s="2" t="str">
        <f>IFERROR(__xludf.DUMMYFUNCTION("GOOGLETRANSLATE(D84,""en"",""ur"")"),"وہ روایتی ٹونکس اور سر کے لباس پہنے ہوئے ہیں۔")</f>
        <v>وہ روایتی ٹونکس اور سر کے لباس پہنے ہوئے ہیں۔</v>
      </c>
      <c r="O84" s="2" t="str">
        <f>IFERROR(__xludf.DUMMYFUNCTION("GOOGLETRANSLATE(E84,""en"",""ur"")"),"وہ رسمی سوٹ پہنے ہوئے ہیں۔")</f>
        <v>وہ رسمی سوٹ پہنے ہوئے ہیں۔</v>
      </c>
      <c r="P84" s="2" t="str">
        <f>IFERROR(__xludf.DUMMYFUNCTION("GOOGLETRANSLATE(F84,""en"",""ur"")"),"انہوں نے کوئی لباس نہیں پہنا ہوا ہے۔")</f>
        <v>انہوں نے کوئی لباس نہیں پہنا ہوا ہے۔</v>
      </c>
      <c r="Q84" s="2" t="s">
        <v>293</v>
      </c>
      <c r="R84" s="2" t="str">
        <f>IFERROR(__xludf.DUMMYFUNCTION("GOOGLETRANSLATE(G84,""en"",""ur"")"),"وہ روایتی ٹونکس اور سر کے لباس پہنے ہوئے ہیں۔")</f>
        <v>وہ روایتی ٹونکس اور سر کے لباس پہنے ہوئے ہیں۔</v>
      </c>
      <c r="S84" s="5" t="s">
        <v>290</v>
      </c>
    </row>
    <row r="85" ht="22.5" customHeight="1">
      <c r="A85" s="4">
        <v>84.0</v>
      </c>
      <c r="B85" s="5" t="s">
        <v>248</v>
      </c>
      <c r="C85" s="5" t="s">
        <v>249</v>
      </c>
      <c r="D85" s="5" t="s">
        <v>250</v>
      </c>
      <c r="E85" s="5" t="s">
        <v>251</v>
      </c>
      <c r="F85" s="5" t="s">
        <v>252</v>
      </c>
      <c r="G85" s="5" t="s">
        <v>250</v>
      </c>
      <c r="H85" s="5" t="s">
        <v>290</v>
      </c>
      <c r="K85" s="2" t="str">
        <f>IFERROR(__xludf.DUMMYFUNCTION("GOOGLETRANSLATE(A85,""en"",""ur"")"),"84")</f>
        <v>84</v>
      </c>
      <c r="L85" s="2" t="str">
        <f>IFERROR(__xludf.DUMMYFUNCTION("GOOGLETRANSLATE(B85,""en"",""ur"")"),"سواروں کی ظاہری باڈی پوزیشن کیا ہے؟")</f>
        <v>سواروں کی ظاہری باڈی پوزیشن کیا ہے؟</v>
      </c>
      <c r="M85" s="2" t="str">
        <f>IFERROR(__xludf.DUMMYFUNCTION("GOOGLETRANSLATE(C85,""en"",""ur"")"),"وہ سیدھے کھڑے ہیں۔")</f>
        <v>وہ سیدھے کھڑے ہیں۔</v>
      </c>
      <c r="N85" s="2" t="str">
        <f>IFERROR(__xludf.DUMMYFUNCTION("GOOGLETRANSLATE(D85,""en"",""ur"")"),"وہ جھک رہے ہیں اور کسی چیز تک پہنچ رہے ہیں۔")</f>
        <v>وہ جھک رہے ہیں اور کسی چیز تک پہنچ رہے ہیں۔</v>
      </c>
      <c r="O85" s="2" t="str">
        <f>IFERROR(__xludf.DUMMYFUNCTION("GOOGLETRANSLATE(E85,""en"",""ur"")"),"وہ گھوڑوں کی پیٹھ پر لیٹے ہوئے ہیں۔")</f>
        <v>وہ گھوڑوں کی پیٹھ پر لیٹے ہوئے ہیں۔</v>
      </c>
      <c r="P85" s="2" t="str">
        <f>IFERROR(__xludf.DUMMYFUNCTION("GOOGLETRANSLATE(F85,""en"",""ur"")"),"وہ آرام سے بیٹھے ہیں۔")</f>
        <v>وہ آرام سے بیٹھے ہیں۔</v>
      </c>
      <c r="Q85" s="2" t="s">
        <v>253</v>
      </c>
      <c r="R85" s="2" t="str">
        <f>IFERROR(__xludf.DUMMYFUNCTION("GOOGLETRANSLATE(G85,""en"",""ur"")"),"وہ جھک رہے ہیں اور کسی چیز تک پہنچ رہے ہیں۔")</f>
        <v>وہ جھک رہے ہیں اور کسی چیز تک پہنچ رہے ہیں۔</v>
      </c>
      <c r="S85" s="5" t="s">
        <v>290</v>
      </c>
    </row>
    <row r="86" ht="22.5" customHeight="1">
      <c r="A86" s="4">
        <v>85.0</v>
      </c>
      <c r="B86" s="5" t="s">
        <v>254</v>
      </c>
      <c r="C86" s="5" t="s">
        <v>47</v>
      </c>
      <c r="D86" s="5" t="s">
        <v>48</v>
      </c>
      <c r="E86" s="5" t="s">
        <v>49</v>
      </c>
      <c r="F86" s="5" t="s">
        <v>50</v>
      </c>
      <c r="G86" s="5" t="s">
        <v>49</v>
      </c>
      <c r="H86" s="5" t="s">
        <v>290</v>
      </c>
      <c r="K86" s="2" t="str">
        <f>IFERROR(__xludf.DUMMYFUNCTION("GOOGLETRANSLATE(A86,""en"",""ur"")"),"85")</f>
        <v>85</v>
      </c>
      <c r="L86" s="2" t="str">
        <f>IFERROR(__xludf.DUMMYFUNCTION("GOOGLETRANSLATE(B86,""en"",""ur"")"),"سواروں کے چہروں سے ظاہری جذبات کیا ہیں؟")</f>
        <v>سواروں کے چہروں سے ظاہری جذبات کیا ہیں؟</v>
      </c>
      <c r="M86" s="2" t="str">
        <f>IFERROR(__xludf.DUMMYFUNCTION("GOOGLETRANSLATE(C86,""en"",""ur"")"),"پرسکون اور پر سکون")</f>
        <v>پرسکون اور پر سکون</v>
      </c>
      <c r="N86" s="2" t="str">
        <f>IFERROR(__xludf.DUMMYFUNCTION("GOOGLETRANSLATE(D86,""en"",""ur"")"),"خوف زدہ اور بے چین")</f>
        <v>خوف زدہ اور بے چین</v>
      </c>
      <c r="O86" s="2" t="str">
        <f>IFERROR(__xludf.DUMMYFUNCTION("GOOGLETRANSLATE(E86,""en"",""ur"")"),"کشیدہ اور شدید")</f>
        <v>کشیدہ اور شدید</v>
      </c>
      <c r="P86" s="2" t="str">
        <f>IFERROR(__xludf.DUMMYFUNCTION("GOOGLETRANSLATE(F86,""en"",""ur"")"),"خوش اور مسکراتے ہوئے۔")</f>
        <v>خوش اور مسکراتے ہوئے۔</v>
      </c>
      <c r="Q86" s="2" t="s">
        <v>51</v>
      </c>
      <c r="R86" s="2" t="str">
        <f>IFERROR(__xludf.DUMMYFUNCTION("GOOGLETRANSLATE(G86,""en"",""ur"")"),"کشیدہ اور شدید")</f>
        <v>کشیدہ اور شدید</v>
      </c>
      <c r="S86" s="5" t="s">
        <v>290</v>
      </c>
    </row>
    <row r="87" ht="22.5" customHeight="1">
      <c r="A87" s="4">
        <v>86.0</v>
      </c>
      <c r="B87" s="5" t="s">
        <v>88</v>
      </c>
      <c r="C87" s="5" t="s">
        <v>89</v>
      </c>
      <c r="D87" s="5" t="s">
        <v>90</v>
      </c>
      <c r="E87" s="5" t="s">
        <v>91</v>
      </c>
      <c r="F87" s="5" t="s">
        <v>255</v>
      </c>
      <c r="G87" s="5" t="s">
        <v>255</v>
      </c>
      <c r="H87" s="5" t="s">
        <v>290</v>
      </c>
      <c r="K87" s="2" t="str">
        <f>IFERROR(__xludf.DUMMYFUNCTION("GOOGLETRANSLATE(A87,""en"",""ur"")"),"86")</f>
        <v>86</v>
      </c>
      <c r="L87" s="2" t="str">
        <f>IFERROR(__xludf.DUMMYFUNCTION("GOOGLETRANSLATE(B87,""en"",""ur"")"),"زمین کی سب سے نمایاں خصوصیت کیا ہے؟")</f>
        <v>زمین کی سب سے نمایاں خصوصیت کیا ہے؟</v>
      </c>
      <c r="M87" s="2" t="str">
        <f>IFERROR(__xludf.DUMMYFUNCTION("GOOGLETRANSLATE(C87,""en"",""ur"")"),"ایک پکی سطح")</f>
        <v>ایک پکی سطح</v>
      </c>
      <c r="N87" s="2" t="str">
        <f>IFERROR(__xludf.DUMMYFUNCTION("GOOGLETRANSLATE(D87,""en"",""ur"")"),"کیچڑ والا میدان")</f>
        <v>کیچڑ والا میدان</v>
      </c>
      <c r="O87" s="2" t="str">
        <f>IFERROR(__xludf.DUMMYFUNCTION("GOOGLETRANSLATE(E87,""en"",""ur"")"),"ایک گھاس دار سطح")</f>
        <v>ایک گھاس دار سطح</v>
      </c>
      <c r="P87" s="2" t="str">
        <f>IFERROR(__xludf.DUMMYFUNCTION("GOOGLETRANSLATE(F87,""en"",""ur"")"),"ریتلی یا گندگی کی سطح")</f>
        <v>ریتلی یا گندگی کی سطح</v>
      </c>
      <c r="Q87" s="2" t="s">
        <v>256</v>
      </c>
      <c r="R87" s="2" t="str">
        <f>IFERROR(__xludf.DUMMYFUNCTION("GOOGLETRANSLATE(G87,""en"",""ur"")"),"ریتلی یا گندگی کی سطح")</f>
        <v>ریتلی یا گندگی کی سطح</v>
      </c>
      <c r="S87" s="5" t="s">
        <v>290</v>
      </c>
    </row>
    <row r="88" ht="22.5" customHeight="1">
      <c r="A88" s="4">
        <v>87.0</v>
      </c>
      <c r="B88" s="5" t="s">
        <v>257</v>
      </c>
      <c r="C88" s="5" t="s">
        <v>95</v>
      </c>
      <c r="D88" s="5" t="s">
        <v>96</v>
      </c>
      <c r="E88" s="5" t="s">
        <v>97</v>
      </c>
      <c r="F88" s="5" t="s">
        <v>258</v>
      </c>
      <c r="G88" s="5" t="s">
        <v>97</v>
      </c>
      <c r="H88" s="5" t="s">
        <v>290</v>
      </c>
      <c r="K88" s="2" t="str">
        <f>IFERROR(__xludf.DUMMYFUNCTION("GOOGLETRANSLATE(A88,""en"",""ur"")"),"87")</f>
        <v>87</v>
      </c>
      <c r="L88" s="2" t="str">
        <f>IFERROR(__xludf.DUMMYFUNCTION("GOOGLETRANSLATE(B88,""en"",""ur"")"),"کھیلے جانے والے کھیل کا نام کیا ہے؟")</f>
        <v>کھیلے جانے والے کھیل کا نام کیا ہے؟</v>
      </c>
      <c r="M88" s="2" t="str">
        <f>IFERROR(__xludf.DUMMYFUNCTION("GOOGLETRANSLATE(C88,""en"",""ur"")"),"پولو")</f>
        <v>پولو</v>
      </c>
      <c r="N88" s="2" t="str">
        <f>IFERROR(__xludf.DUMMYFUNCTION("GOOGLETRANSLATE(D88,""en"",""ur"")"),"گھوڑوں کی دوڑ")</f>
        <v>گھوڑوں کی دوڑ</v>
      </c>
      <c r="O88" s="2" t="str">
        <f>IFERROR(__xludf.DUMMYFUNCTION("GOOGLETRANSLATE(E88,""en"",""ur"")"),"بزکشی۔")</f>
        <v>بزکشی۔</v>
      </c>
      <c r="P88" s="2" t="str">
        <f>IFERROR(__xludf.DUMMYFUNCTION("GOOGLETRANSLATE(F88,""en"",""ur"")"),"گھڑ سواری کے کھیل")</f>
        <v>گھڑ سواری کے کھیل</v>
      </c>
      <c r="Q88" s="2" t="s">
        <v>259</v>
      </c>
      <c r="R88" s="2" t="str">
        <f>IFERROR(__xludf.DUMMYFUNCTION("GOOGLETRANSLATE(G88,""en"",""ur"")"),"بزکشی۔")</f>
        <v>بزکشی۔</v>
      </c>
      <c r="S88" s="5" t="s">
        <v>290</v>
      </c>
    </row>
    <row r="89" ht="22.5" customHeight="1">
      <c r="A89" s="4">
        <v>88.0</v>
      </c>
      <c r="B89" s="5" t="s">
        <v>260</v>
      </c>
      <c r="C89" s="5" t="s">
        <v>261</v>
      </c>
      <c r="D89" s="5" t="s">
        <v>262</v>
      </c>
      <c r="E89" s="5" t="s">
        <v>263</v>
      </c>
      <c r="F89" s="5" t="s">
        <v>264</v>
      </c>
      <c r="G89" s="5" t="s">
        <v>263</v>
      </c>
      <c r="H89" s="5" t="s">
        <v>290</v>
      </c>
      <c r="K89" s="2" t="str">
        <f>IFERROR(__xludf.DUMMYFUNCTION("GOOGLETRANSLATE(A89,""en"",""ur"")"),"88")</f>
        <v>88</v>
      </c>
      <c r="L89" s="2" t="str">
        <f>IFERROR(__xludf.DUMMYFUNCTION("GOOGLETRANSLATE(B89,""en"",""ur"")"),"تصویر میں ایکشن ایک ایسا انداز تجویز کرتا ہے جو اس بات پر زور دیتا ہے...")</f>
        <v>تصویر میں ایکشن ایک ایسا انداز تجویز کرتا ہے جو اس بات پر زور دیتا ہے...</v>
      </c>
      <c r="M89" s="2" t="str">
        <f>IFERROR(__xludf.DUMMYFUNCTION("GOOGLETRANSLATE(C89,""en"",""ur"")"),"روانی اور قلابازیاں")</f>
        <v>روانی اور قلابازیاں</v>
      </c>
      <c r="N89" s="2" t="str">
        <f>IFERROR(__xludf.DUMMYFUNCTION("GOOGLETRANSLATE(D89,""en"",""ur"")"),"زمینی لڑائی اور گرفت")</f>
        <v>زمینی لڑائی اور گرفت</v>
      </c>
      <c r="O89" s="2" t="str">
        <f>IFERROR(__xludf.DUMMYFUNCTION("GOOGLETRANSLATE(E89,""en"",""ur"")"),"وحشیانہ قوت اور گھڑ سواری۔")</f>
        <v>وحشیانہ قوت اور گھڑ سواری۔</v>
      </c>
      <c r="P89" s="2" t="str">
        <f>IFERROR(__xludf.DUMMYFUNCTION("GOOGLETRANSLATE(F89,""en"",""ur"")"),"سادہ، لکیری حرکات")</f>
        <v>سادہ، لکیری حرکات</v>
      </c>
      <c r="Q89" s="2" t="s">
        <v>265</v>
      </c>
      <c r="R89" s="2" t="str">
        <f>IFERROR(__xludf.DUMMYFUNCTION("GOOGLETRANSLATE(G89,""en"",""ur"")"),"وحشیانہ قوت اور گھڑ سواری۔")</f>
        <v>وحشیانہ قوت اور گھڑ سواری۔</v>
      </c>
      <c r="S89" s="5" t="s">
        <v>290</v>
      </c>
    </row>
    <row r="90" ht="22.5" customHeight="1">
      <c r="A90" s="4">
        <v>89.0</v>
      </c>
      <c r="B90" s="5" t="s">
        <v>266</v>
      </c>
      <c r="C90" s="5" t="s">
        <v>59</v>
      </c>
      <c r="D90" s="5" t="s">
        <v>267</v>
      </c>
      <c r="E90" s="5" t="s">
        <v>61</v>
      </c>
      <c r="F90" s="5" t="s">
        <v>268</v>
      </c>
      <c r="G90" s="5" t="s">
        <v>267</v>
      </c>
      <c r="H90" s="5" t="s">
        <v>290</v>
      </c>
      <c r="K90" s="2" t="str">
        <f>IFERROR(__xludf.DUMMYFUNCTION("GOOGLETRANSLATE(A90,""en"",""ur"")"),"89")</f>
        <v>89</v>
      </c>
      <c r="L90" s="2" t="str">
        <f>IFERROR(__xludf.DUMMYFUNCTION("GOOGLETRANSLATE(B90,""en"",""ur"")"),"گھوڑوں کے بارے میں ایک قابل ذکر تفصیل کیا ہے؟")</f>
        <v>گھوڑوں کے بارے میں ایک قابل ذکر تفصیل کیا ہے؟</v>
      </c>
      <c r="M90" s="2" t="str">
        <f>IFERROR(__xludf.DUMMYFUNCTION("GOOGLETRANSLATE(C90,""en"",""ur"")"),"وہ سب ایک ہی رنگ کے ہیں۔")</f>
        <v>وہ سب ایک ہی رنگ کے ہیں۔</v>
      </c>
      <c r="N90" s="2" t="str">
        <f>IFERROR(__xludf.DUMMYFUNCTION("GOOGLETRANSLATE(D90,""en"",""ur"")"),"وہ رنگوں اور نسلوں کا مرکب ہیں۔")</f>
        <v>وہ رنگوں اور نسلوں کا مرکب ہیں۔</v>
      </c>
      <c r="O90" s="2" t="str">
        <f>IFERROR(__xludf.DUMMYFUNCTION("GOOGLETRANSLATE(E90,""en"",""ur"")"),"وہ سب وسیع نمونوں کے ساتھ زین پہنے ہوئے ہیں۔")</f>
        <v>وہ سب وسیع نمونوں کے ساتھ زین پہنے ہوئے ہیں۔</v>
      </c>
      <c r="P90" s="2" t="str">
        <f>IFERROR(__xludf.DUMMYFUNCTION("GOOGLETRANSLATE(F90,""en"",""ur"")"),"وہ سب خاموش کھڑے ہیں۔")</f>
        <v>وہ سب خاموش کھڑے ہیں۔</v>
      </c>
      <c r="Q90" s="2" t="s">
        <v>269</v>
      </c>
      <c r="R90" s="2" t="str">
        <f>IFERROR(__xludf.DUMMYFUNCTION("GOOGLETRANSLATE(G90,""en"",""ur"")"),"وہ رنگوں اور نسلوں کا مرکب ہیں۔")</f>
        <v>وہ رنگوں اور نسلوں کا مرکب ہیں۔</v>
      </c>
      <c r="S90" s="5" t="s">
        <v>290</v>
      </c>
    </row>
    <row r="91" ht="22.5" customHeight="1">
      <c r="A91" s="4">
        <v>90.0</v>
      </c>
      <c r="B91" s="5" t="s">
        <v>270</v>
      </c>
      <c r="C91" s="5" t="s">
        <v>271</v>
      </c>
      <c r="D91" s="5" t="s">
        <v>272</v>
      </c>
      <c r="E91" s="5" t="s">
        <v>273</v>
      </c>
      <c r="F91" s="5" t="s">
        <v>274</v>
      </c>
      <c r="G91" s="5" t="s">
        <v>274</v>
      </c>
      <c r="H91" s="5" t="s">
        <v>290</v>
      </c>
      <c r="K91" s="2" t="str">
        <f>IFERROR(__xludf.DUMMYFUNCTION("GOOGLETRANSLATE(A91,""en"",""ur"")"),"90")</f>
        <v>90</v>
      </c>
      <c r="L91" s="2" t="str">
        <f>IFERROR(__xludf.DUMMYFUNCTION("GOOGLETRANSLATE(B91,""en"",""ur"")"),"مرکز میں سوار کے بارے میں ایک قابل ذکر تفصیل کیا ہے؟")</f>
        <v>مرکز میں سوار کے بارے میں ایک قابل ذکر تفصیل کیا ہے؟</v>
      </c>
      <c r="M91" s="2" t="str">
        <f>IFERROR(__xludf.DUMMYFUNCTION("GOOGLETRANSLATE(C91,""en"",""ur"")"),"وہ اپنے گھوڑے سے گر رہا ہے۔")</f>
        <v>وہ اپنے گھوڑے سے گر رہا ہے۔</v>
      </c>
      <c r="N91" s="2" t="str">
        <f>IFERROR(__xludf.DUMMYFUNCTION("GOOGLETRANSLATE(D91,""en"",""ur"")"),"اس نے بینر اٹھا رکھا ہے۔")</f>
        <v>اس نے بینر اٹھا رکھا ہے۔</v>
      </c>
      <c r="O91" s="2" t="str">
        <f>IFERROR(__xludf.DUMMYFUNCTION("GOOGLETRANSLATE(E91,""en"",""ur"")"),"اس نے رسی پکڑی ہوئی ہے۔")</f>
        <v>اس نے رسی پکڑی ہوئی ہے۔</v>
      </c>
      <c r="P91" s="2" t="str">
        <f>IFERROR(__xludf.DUMMYFUNCTION("GOOGLETRANSLATE(F91,""en"",""ur"")"),"اس نے چھڑی پکڑی ہوئی ہے۔")</f>
        <v>اس نے چھڑی پکڑی ہوئی ہے۔</v>
      </c>
      <c r="Q91" s="2" t="s">
        <v>275</v>
      </c>
      <c r="R91" s="2" t="str">
        <f>IFERROR(__xludf.DUMMYFUNCTION("GOOGLETRANSLATE(G91,""en"",""ur"")"),"اس نے چھڑی پکڑی ہوئی ہے۔")</f>
        <v>اس نے چھڑی پکڑی ہوئی ہے۔</v>
      </c>
      <c r="S91" s="5" t="s">
        <v>290</v>
      </c>
    </row>
    <row r="92" ht="22.5" customHeight="1">
      <c r="A92" s="4">
        <v>91.0</v>
      </c>
      <c r="B92" s="5" t="s">
        <v>276</v>
      </c>
      <c r="C92" s="5" t="s">
        <v>103</v>
      </c>
      <c r="D92" s="5" t="s">
        <v>71</v>
      </c>
      <c r="E92" s="5" t="s">
        <v>72</v>
      </c>
      <c r="F92" s="5" t="s">
        <v>73</v>
      </c>
      <c r="G92" s="5" t="s">
        <v>71</v>
      </c>
      <c r="H92" s="5" t="s">
        <v>277</v>
      </c>
      <c r="K92" s="2" t="str">
        <f>IFERROR(__xludf.DUMMYFUNCTION("GOOGLETRANSLATE(A92,""en"",""ur"")"),"91")</f>
        <v>91</v>
      </c>
      <c r="L92" s="2" t="str">
        <f>IFERROR(__xludf.DUMMYFUNCTION("GOOGLETRANSLATE(B92,""en"",""ur"")"),"buzkashi_2 میں دکھائی جانے والی اہم کارروائی کیا ہے؟")</f>
        <v>buzkashi_2 میں دکھائی جانے والی اہم کارروائی کیا ہے؟</v>
      </c>
      <c r="M92" s="2" t="str">
        <f>IFERROR(__xludf.DUMMYFUNCTION("GOOGLETRANSLATE(C92,""en"",""ur"")"),"آرام سے گھوڑے کی سواری۔")</f>
        <v>آرام سے گھوڑے کی سواری۔</v>
      </c>
      <c r="N92" s="2" t="str">
        <f>IFERROR(__xludf.DUMMYFUNCTION("GOOGLETRANSLATE(D92,""en"",""ur"")"),"سواروں کا ایک گروپ جو مرکزی چیز کے لیے مقابلہ کر رہا ہے۔")</f>
        <v>سواروں کا ایک گروپ جو مرکزی چیز کے لیے مقابلہ کر رہا ہے۔</v>
      </c>
      <c r="O92" s="2" t="str">
        <f>IFERROR(__xludf.DUMMYFUNCTION("GOOGLETRANSLATE(E92,""en"",""ur"")"),"گھوڑوں کی پریڈ")</f>
        <v>گھوڑوں کی پریڈ</v>
      </c>
      <c r="P92" s="2" t="str">
        <f>IFERROR(__xludf.DUMMYFUNCTION("GOOGLETRANSLATE(F92,""en"",""ur"")"),"گھوڑوں کی دوڑ")</f>
        <v>گھوڑوں کی دوڑ</v>
      </c>
      <c r="Q92" s="2" t="s">
        <v>278</v>
      </c>
      <c r="R92" s="2" t="str">
        <f>IFERROR(__xludf.DUMMYFUNCTION("GOOGLETRANSLATE(G92,""en"",""ur"")"),"سواروں کا ایک گروپ جو مرکزی چیز کے لیے مقابلہ کر رہا ہے۔")</f>
        <v>سواروں کا ایک گروپ جو مرکزی چیز کے لیے مقابلہ کر رہا ہے۔</v>
      </c>
      <c r="S92" s="5" t="s">
        <v>277</v>
      </c>
    </row>
    <row r="93" ht="22.5" customHeight="1">
      <c r="A93" s="4">
        <v>92.0</v>
      </c>
      <c r="B93" s="5" t="s">
        <v>238</v>
      </c>
      <c r="C93" s="5" t="s">
        <v>279</v>
      </c>
      <c r="D93" s="5" t="s">
        <v>84</v>
      </c>
      <c r="E93" s="5" t="s">
        <v>85</v>
      </c>
      <c r="F93" s="5" t="s">
        <v>240</v>
      </c>
      <c r="G93" s="5" t="s">
        <v>84</v>
      </c>
      <c r="H93" s="5" t="s">
        <v>277</v>
      </c>
      <c r="K93" s="2" t="str">
        <f>IFERROR(__xludf.DUMMYFUNCTION("GOOGLETRANSLATE(A93,""en"",""ur"")"),"92")</f>
        <v>92</v>
      </c>
      <c r="L93" s="2" t="str">
        <f>IFERROR(__xludf.DUMMYFUNCTION("GOOGLETRANSLATE(B93,""en"",""ur"")"),"اس گیم کی ترتیب کے بارے میں ایک قابل ذکر تفصیل کیا ہے؟")</f>
        <v>اس گیم کی ترتیب کے بارے میں ایک قابل ذکر تفصیل کیا ہے؟</v>
      </c>
      <c r="M93" s="2" t="str">
        <f>IFERROR(__xludf.DUMMYFUNCTION("GOOGLETRANSLATE(C93,""en"",""ur"")"),"یہ ہجوم کے ساتھ اسٹیڈیم میں ہے۔")</f>
        <v>یہ ہجوم کے ساتھ اسٹیڈیم میں ہے۔</v>
      </c>
      <c r="N93" s="2" t="str">
        <f>IFERROR(__xludf.DUMMYFUNCTION("GOOGLETRANSLATE(D93,""en"",""ur"")"),"یہ پہاڑی، پتھریلی علاقے میں ایک میدان میں ہے۔")</f>
        <v>یہ پہاڑی، پتھریلی علاقے میں ایک میدان میں ہے۔</v>
      </c>
      <c r="O93" s="2" t="str">
        <f>IFERROR(__xludf.DUMMYFUNCTION("GOOGLETRANSLATE(E93,""en"",""ur"")"),"یہ شہر کی سڑک پر ہے۔")</f>
        <v>یہ شہر کی سڑک پر ہے۔</v>
      </c>
      <c r="P93" s="2" t="str">
        <f>IFERROR(__xludf.DUMMYFUNCTION("GOOGLETRANSLATE(F93,""en"",""ur"")"),"یہ ایک پرسکون ساحل سمندر پر ہے۔")</f>
        <v>یہ ایک پرسکون ساحل سمندر پر ہے۔</v>
      </c>
      <c r="Q93" s="2" t="s">
        <v>280</v>
      </c>
      <c r="R93" s="2" t="str">
        <f>IFERROR(__xludf.DUMMYFUNCTION("GOOGLETRANSLATE(G93,""en"",""ur"")"),"یہ پہاڑی، پتھریلی علاقے میں ایک میدان میں ہے۔")</f>
        <v>یہ پہاڑی، پتھریلی علاقے میں ایک میدان میں ہے۔</v>
      </c>
      <c r="S93" s="5" t="s">
        <v>277</v>
      </c>
    </row>
    <row r="94" ht="22.5" customHeight="1">
      <c r="A94" s="4">
        <v>93.0</v>
      </c>
      <c r="B94" s="5" t="s">
        <v>242</v>
      </c>
      <c r="C94" s="5" t="s">
        <v>243</v>
      </c>
      <c r="D94" s="5" t="s">
        <v>244</v>
      </c>
      <c r="E94" s="5" t="s">
        <v>245</v>
      </c>
      <c r="F94" s="5" t="s">
        <v>246</v>
      </c>
      <c r="G94" s="5" t="s">
        <v>244</v>
      </c>
      <c r="H94" s="5" t="s">
        <v>277</v>
      </c>
      <c r="K94" s="2" t="str">
        <f>IFERROR(__xludf.DUMMYFUNCTION("GOOGLETRANSLATE(A94,""en"",""ur"")"),"93")</f>
        <v>93</v>
      </c>
      <c r="L94" s="2" t="str">
        <f>IFERROR(__xludf.DUMMYFUNCTION("GOOGLETRANSLATE(B94,""en"",""ur"")"),"سواروں کے لباس کے بارے میں واضح تفصیل کیا ہے؟")</f>
        <v>سواروں کے لباس کے بارے میں واضح تفصیل کیا ہے؟</v>
      </c>
      <c r="M94" s="2" t="str">
        <f>IFERROR(__xludf.DUMMYFUNCTION("GOOGLETRANSLATE(C94,""en"",""ur"")"),"وہ جدید کھیلوں کی وردی پہنے ہوئے ہیں۔")</f>
        <v>وہ جدید کھیلوں کی وردی پہنے ہوئے ہیں۔</v>
      </c>
      <c r="N94" s="2" t="str">
        <f>IFERROR(__xludf.DUMMYFUNCTION("GOOGLETRANSLATE(D94,""en"",""ur"")"),"انہوں نے روشن نارنجی یا سبز قمیضیں پہن رکھی ہیں۔")</f>
        <v>انہوں نے روشن نارنجی یا سبز قمیضیں پہن رکھی ہیں۔</v>
      </c>
      <c r="O94" s="2" t="str">
        <f>IFERROR(__xludf.DUMMYFUNCTION("GOOGLETRANSLATE(E94,""en"",""ur"")"),"وہ رسمی سوٹ پہنے ہوئے ہیں۔")</f>
        <v>وہ رسمی سوٹ پہنے ہوئے ہیں۔</v>
      </c>
      <c r="P94" s="2" t="str">
        <f>IFERROR(__xludf.DUMMYFUNCTION("GOOGLETRANSLATE(F94,""en"",""ur"")"),"انہوں نے کوئی لباس نہیں پہنا ہوا ہے۔")</f>
        <v>انہوں نے کوئی لباس نہیں پہنا ہوا ہے۔</v>
      </c>
      <c r="Q94" s="2" t="s">
        <v>247</v>
      </c>
      <c r="R94" s="2" t="str">
        <f>IFERROR(__xludf.DUMMYFUNCTION("GOOGLETRANSLATE(G94,""en"",""ur"")"),"انہوں نے روشن نارنجی یا سبز قمیضیں پہن رکھی ہیں۔")</f>
        <v>انہوں نے روشن نارنجی یا سبز قمیضیں پہن رکھی ہیں۔</v>
      </c>
      <c r="S94" s="5" t="s">
        <v>277</v>
      </c>
    </row>
    <row r="95" ht="22.5" customHeight="1">
      <c r="A95" s="4">
        <v>94.0</v>
      </c>
      <c r="B95" s="5" t="s">
        <v>248</v>
      </c>
      <c r="C95" s="5" t="s">
        <v>249</v>
      </c>
      <c r="D95" s="5" t="s">
        <v>250</v>
      </c>
      <c r="E95" s="5" t="s">
        <v>251</v>
      </c>
      <c r="F95" s="5" t="s">
        <v>252</v>
      </c>
      <c r="G95" s="5" t="s">
        <v>250</v>
      </c>
      <c r="H95" s="5" t="s">
        <v>277</v>
      </c>
      <c r="K95" s="2" t="str">
        <f>IFERROR(__xludf.DUMMYFUNCTION("GOOGLETRANSLATE(A95,""en"",""ur"")"),"94")</f>
        <v>94</v>
      </c>
      <c r="L95" s="2" t="str">
        <f>IFERROR(__xludf.DUMMYFUNCTION("GOOGLETRANSLATE(B95,""en"",""ur"")"),"سواروں کی ظاہری باڈی پوزیشن کیا ہے؟")</f>
        <v>سواروں کی ظاہری باڈی پوزیشن کیا ہے؟</v>
      </c>
      <c r="M95" s="2" t="str">
        <f>IFERROR(__xludf.DUMMYFUNCTION("GOOGLETRANSLATE(C95,""en"",""ur"")"),"وہ سیدھے کھڑے ہیں۔")</f>
        <v>وہ سیدھے کھڑے ہیں۔</v>
      </c>
      <c r="N95" s="2" t="str">
        <f>IFERROR(__xludf.DUMMYFUNCTION("GOOGLETRANSLATE(D95,""en"",""ur"")"),"وہ جھک رہے ہیں اور کسی چیز تک پہنچ رہے ہیں۔")</f>
        <v>وہ جھک رہے ہیں اور کسی چیز تک پہنچ رہے ہیں۔</v>
      </c>
      <c r="O95" s="2" t="str">
        <f>IFERROR(__xludf.DUMMYFUNCTION("GOOGLETRANSLATE(E95,""en"",""ur"")"),"وہ گھوڑوں کی پیٹھ پر لیٹے ہوئے ہیں۔")</f>
        <v>وہ گھوڑوں کی پیٹھ پر لیٹے ہوئے ہیں۔</v>
      </c>
      <c r="P95" s="2" t="str">
        <f>IFERROR(__xludf.DUMMYFUNCTION("GOOGLETRANSLATE(F95,""en"",""ur"")"),"وہ آرام سے بیٹھے ہیں۔")</f>
        <v>وہ آرام سے بیٹھے ہیں۔</v>
      </c>
      <c r="Q95" s="2" t="s">
        <v>253</v>
      </c>
      <c r="R95" s="2" t="str">
        <f>IFERROR(__xludf.DUMMYFUNCTION("GOOGLETRANSLATE(G95,""en"",""ur"")"),"وہ جھک رہے ہیں اور کسی چیز تک پہنچ رہے ہیں۔")</f>
        <v>وہ جھک رہے ہیں اور کسی چیز تک پہنچ رہے ہیں۔</v>
      </c>
      <c r="S95" s="5" t="s">
        <v>277</v>
      </c>
    </row>
    <row r="96" ht="22.5" customHeight="1">
      <c r="A96" s="4">
        <v>95.0</v>
      </c>
      <c r="B96" s="5" t="s">
        <v>254</v>
      </c>
      <c r="C96" s="5" t="s">
        <v>47</v>
      </c>
      <c r="D96" s="5" t="s">
        <v>48</v>
      </c>
      <c r="E96" s="5" t="s">
        <v>49</v>
      </c>
      <c r="F96" s="5" t="s">
        <v>50</v>
      </c>
      <c r="G96" s="5" t="s">
        <v>49</v>
      </c>
      <c r="H96" s="5" t="s">
        <v>277</v>
      </c>
      <c r="K96" s="2" t="str">
        <f>IFERROR(__xludf.DUMMYFUNCTION("GOOGLETRANSLATE(A96,""en"",""ur"")"),"95")</f>
        <v>95</v>
      </c>
      <c r="L96" s="2" t="str">
        <f>IFERROR(__xludf.DUMMYFUNCTION("GOOGLETRANSLATE(B96,""en"",""ur"")"),"سواروں کے چہروں سے ظاہری جذبات کیا ہیں؟")</f>
        <v>سواروں کے چہروں سے ظاہری جذبات کیا ہیں؟</v>
      </c>
      <c r="M96" s="2" t="str">
        <f>IFERROR(__xludf.DUMMYFUNCTION("GOOGLETRANSLATE(C96,""en"",""ur"")"),"پرسکون اور پر سکون")</f>
        <v>پرسکون اور پر سکون</v>
      </c>
      <c r="N96" s="2" t="str">
        <f>IFERROR(__xludf.DUMMYFUNCTION("GOOGLETRANSLATE(D96,""en"",""ur"")"),"خوف زدہ اور بے چین")</f>
        <v>خوف زدہ اور بے چین</v>
      </c>
      <c r="O96" s="2" t="str">
        <f>IFERROR(__xludf.DUMMYFUNCTION("GOOGLETRANSLATE(E96,""en"",""ur"")"),"کشیدہ اور شدید")</f>
        <v>کشیدہ اور شدید</v>
      </c>
      <c r="P96" s="2" t="str">
        <f>IFERROR(__xludf.DUMMYFUNCTION("GOOGLETRANSLATE(F96,""en"",""ur"")"),"خوش اور مسکراتے ہوئے۔")</f>
        <v>خوش اور مسکراتے ہوئے۔</v>
      </c>
      <c r="Q96" s="2" t="s">
        <v>51</v>
      </c>
      <c r="R96" s="2" t="str">
        <f>IFERROR(__xludf.DUMMYFUNCTION("GOOGLETRANSLATE(G96,""en"",""ur"")"),"کشیدہ اور شدید")</f>
        <v>کشیدہ اور شدید</v>
      </c>
      <c r="S96" s="5" t="s">
        <v>277</v>
      </c>
    </row>
    <row r="97" ht="22.5" customHeight="1">
      <c r="A97" s="4">
        <v>96.0</v>
      </c>
      <c r="B97" s="5" t="s">
        <v>88</v>
      </c>
      <c r="C97" s="5" t="s">
        <v>89</v>
      </c>
      <c r="D97" s="5" t="s">
        <v>90</v>
      </c>
      <c r="E97" s="5" t="s">
        <v>91</v>
      </c>
      <c r="F97" s="5" t="s">
        <v>255</v>
      </c>
      <c r="G97" s="5" t="s">
        <v>255</v>
      </c>
      <c r="H97" s="5" t="s">
        <v>277</v>
      </c>
      <c r="K97" s="2" t="str">
        <f>IFERROR(__xludf.DUMMYFUNCTION("GOOGLETRANSLATE(A97,""en"",""ur"")"),"96")</f>
        <v>96</v>
      </c>
      <c r="L97" s="2" t="str">
        <f>IFERROR(__xludf.DUMMYFUNCTION("GOOGLETRANSLATE(B97,""en"",""ur"")"),"زمین کی سب سے نمایاں خصوصیت کیا ہے؟")</f>
        <v>زمین کی سب سے نمایاں خصوصیت کیا ہے؟</v>
      </c>
      <c r="M97" s="2" t="str">
        <f>IFERROR(__xludf.DUMMYFUNCTION("GOOGLETRANSLATE(C97,""en"",""ur"")"),"ایک پکی سطح")</f>
        <v>ایک پکی سطح</v>
      </c>
      <c r="N97" s="2" t="str">
        <f>IFERROR(__xludf.DUMMYFUNCTION("GOOGLETRANSLATE(D97,""en"",""ur"")"),"کیچڑ والا میدان")</f>
        <v>کیچڑ والا میدان</v>
      </c>
      <c r="O97" s="2" t="str">
        <f>IFERROR(__xludf.DUMMYFUNCTION("GOOGLETRANSLATE(E97,""en"",""ur"")"),"ایک گھاس دار سطح")</f>
        <v>ایک گھاس دار سطح</v>
      </c>
      <c r="P97" s="2" t="str">
        <f>IFERROR(__xludf.DUMMYFUNCTION("GOOGLETRANSLATE(F97,""en"",""ur"")"),"ریتلی یا گندگی کی سطح")</f>
        <v>ریتلی یا گندگی کی سطح</v>
      </c>
      <c r="Q97" s="2" t="s">
        <v>256</v>
      </c>
      <c r="R97" s="2" t="str">
        <f>IFERROR(__xludf.DUMMYFUNCTION("GOOGLETRANSLATE(G97,""en"",""ur"")"),"ریتلی یا گندگی کی سطح")</f>
        <v>ریتلی یا گندگی کی سطح</v>
      </c>
      <c r="S97" s="5" t="s">
        <v>277</v>
      </c>
    </row>
    <row r="98" ht="22.5" customHeight="1">
      <c r="A98" s="4">
        <v>97.0</v>
      </c>
      <c r="B98" s="5" t="s">
        <v>257</v>
      </c>
      <c r="C98" s="5" t="s">
        <v>95</v>
      </c>
      <c r="D98" s="5" t="s">
        <v>96</v>
      </c>
      <c r="E98" s="5" t="s">
        <v>97</v>
      </c>
      <c r="F98" s="5" t="s">
        <v>258</v>
      </c>
      <c r="G98" s="5" t="s">
        <v>97</v>
      </c>
      <c r="H98" s="5" t="s">
        <v>277</v>
      </c>
      <c r="K98" s="2" t="str">
        <f>IFERROR(__xludf.DUMMYFUNCTION("GOOGLETRANSLATE(A98,""en"",""ur"")"),"97")</f>
        <v>97</v>
      </c>
      <c r="L98" s="2" t="str">
        <f>IFERROR(__xludf.DUMMYFUNCTION("GOOGLETRANSLATE(B98,""en"",""ur"")"),"کھیلے جانے والے کھیل کا نام کیا ہے؟")</f>
        <v>کھیلے جانے والے کھیل کا نام کیا ہے؟</v>
      </c>
      <c r="M98" s="2" t="str">
        <f>IFERROR(__xludf.DUMMYFUNCTION("GOOGLETRANSLATE(C98,""en"",""ur"")"),"پولو")</f>
        <v>پولو</v>
      </c>
      <c r="N98" s="2" t="str">
        <f>IFERROR(__xludf.DUMMYFUNCTION("GOOGLETRANSLATE(D98,""en"",""ur"")"),"گھوڑوں کی دوڑ")</f>
        <v>گھوڑوں کی دوڑ</v>
      </c>
      <c r="O98" s="2" t="str">
        <f>IFERROR(__xludf.DUMMYFUNCTION("GOOGLETRANSLATE(E98,""en"",""ur"")"),"بزکشی۔")</f>
        <v>بزکشی۔</v>
      </c>
      <c r="P98" s="2" t="str">
        <f>IFERROR(__xludf.DUMMYFUNCTION("GOOGLETRANSLATE(F98,""en"",""ur"")"),"گھڑ سواری کے کھیل")</f>
        <v>گھڑ سواری کے کھیل</v>
      </c>
      <c r="Q98" s="2" t="s">
        <v>259</v>
      </c>
      <c r="R98" s="2" t="str">
        <f>IFERROR(__xludf.DUMMYFUNCTION("GOOGLETRANSLATE(G98,""en"",""ur"")"),"بزکشی۔")</f>
        <v>بزکشی۔</v>
      </c>
      <c r="S98" s="5" t="s">
        <v>277</v>
      </c>
    </row>
    <row r="99" ht="22.5" customHeight="1">
      <c r="A99" s="4">
        <v>98.0</v>
      </c>
      <c r="B99" s="5" t="s">
        <v>260</v>
      </c>
      <c r="C99" s="5" t="s">
        <v>261</v>
      </c>
      <c r="D99" s="5" t="s">
        <v>262</v>
      </c>
      <c r="E99" s="5" t="s">
        <v>263</v>
      </c>
      <c r="F99" s="5" t="s">
        <v>264</v>
      </c>
      <c r="G99" s="5" t="s">
        <v>263</v>
      </c>
      <c r="H99" s="5" t="s">
        <v>277</v>
      </c>
      <c r="K99" s="2" t="str">
        <f>IFERROR(__xludf.DUMMYFUNCTION("GOOGLETRANSLATE(A99,""en"",""ur"")"),"98")</f>
        <v>98</v>
      </c>
      <c r="L99" s="2" t="str">
        <f>IFERROR(__xludf.DUMMYFUNCTION("GOOGLETRANSLATE(B99,""en"",""ur"")"),"تصویر میں ایکشن ایک ایسا انداز تجویز کرتا ہے جو اس بات پر زور دیتا ہے...")</f>
        <v>تصویر میں ایکشن ایک ایسا انداز تجویز کرتا ہے جو اس بات پر زور دیتا ہے...</v>
      </c>
      <c r="M99" s="2" t="str">
        <f>IFERROR(__xludf.DUMMYFUNCTION("GOOGLETRANSLATE(C99,""en"",""ur"")"),"روانی اور قلابازیاں")</f>
        <v>روانی اور قلابازیاں</v>
      </c>
      <c r="N99" s="2" t="str">
        <f>IFERROR(__xludf.DUMMYFUNCTION("GOOGLETRANSLATE(D99,""en"",""ur"")"),"زمینی لڑائی اور گرفت")</f>
        <v>زمینی لڑائی اور گرفت</v>
      </c>
      <c r="O99" s="2" t="str">
        <f>IFERROR(__xludf.DUMMYFUNCTION("GOOGLETRANSLATE(E99,""en"",""ur"")"),"وحشیانہ قوت اور گھڑ سواری۔")</f>
        <v>وحشیانہ قوت اور گھڑ سواری۔</v>
      </c>
      <c r="P99" s="2" t="str">
        <f>IFERROR(__xludf.DUMMYFUNCTION("GOOGLETRANSLATE(F99,""en"",""ur"")"),"سادہ، لکیری حرکات")</f>
        <v>سادہ، لکیری حرکات</v>
      </c>
      <c r="Q99" s="2" t="s">
        <v>265</v>
      </c>
      <c r="R99" s="2" t="str">
        <f>IFERROR(__xludf.DUMMYFUNCTION("GOOGLETRANSLATE(G99,""en"",""ur"")"),"وحشیانہ قوت اور گھڑ سواری۔")</f>
        <v>وحشیانہ قوت اور گھڑ سواری۔</v>
      </c>
      <c r="S99" s="5" t="s">
        <v>277</v>
      </c>
    </row>
    <row r="100" ht="22.5" customHeight="1">
      <c r="A100" s="4">
        <v>99.0</v>
      </c>
      <c r="B100" s="5" t="s">
        <v>266</v>
      </c>
      <c r="C100" s="5" t="s">
        <v>59</v>
      </c>
      <c r="D100" s="5" t="s">
        <v>267</v>
      </c>
      <c r="E100" s="5" t="s">
        <v>61</v>
      </c>
      <c r="F100" s="5" t="s">
        <v>268</v>
      </c>
      <c r="G100" s="5" t="s">
        <v>267</v>
      </c>
      <c r="H100" s="5" t="s">
        <v>277</v>
      </c>
      <c r="K100" s="2" t="str">
        <f>IFERROR(__xludf.DUMMYFUNCTION("GOOGLETRANSLATE(A100,""en"",""ur"")"),"99")</f>
        <v>99</v>
      </c>
      <c r="L100" s="2" t="str">
        <f>IFERROR(__xludf.DUMMYFUNCTION("GOOGLETRANSLATE(B100,""en"",""ur"")"),"گھوڑوں کے بارے میں ایک قابل ذکر تفصیل کیا ہے؟")</f>
        <v>گھوڑوں کے بارے میں ایک قابل ذکر تفصیل کیا ہے؟</v>
      </c>
      <c r="M100" s="2" t="str">
        <f>IFERROR(__xludf.DUMMYFUNCTION("GOOGLETRANSLATE(C100,""en"",""ur"")"),"وہ سب ایک ہی رنگ کے ہیں۔")</f>
        <v>وہ سب ایک ہی رنگ کے ہیں۔</v>
      </c>
      <c r="N100" s="2" t="str">
        <f>IFERROR(__xludf.DUMMYFUNCTION("GOOGLETRANSLATE(D100,""en"",""ur"")"),"وہ رنگوں اور نسلوں کا مرکب ہیں۔")</f>
        <v>وہ رنگوں اور نسلوں کا مرکب ہیں۔</v>
      </c>
      <c r="O100" s="2" t="str">
        <f>IFERROR(__xludf.DUMMYFUNCTION("GOOGLETRANSLATE(E100,""en"",""ur"")"),"وہ سب وسیع نمونوں کے ساتھ زین پہنے ہوئے ہیں۔")</f>
        <v>وہ سب وسیع نمونوں کے ساتھ زین پہنے ہوئے ہیں۔</v>
      </c>
      <c r="P100" s="2" t="str">
        <f>IFERROR(__xludf.DUMMYFUNCTION("GOOGLETRANSLATE(F100,""en"",""ur"")"),"وہ سب خاموش کھڑے ہیں۔")</f>
        <v>وہ سب خاموش کھڑے ہیں۔</v>
      </c>
      <c r="Q100" s="2" t="s">
        <v>269</v>
      </c>
      <c r="R100" s="2" t="str">
        <f>IFERROR(__xludf.DUMMYFUNCTION("GOOGLETRANSLATE(G100,""en"",""ur"")"),"وہ رنگوں اور نسلوں کا مرکب ہیں۔")</f>
        <v>وہ رنگوں اور نسلوں کا مرکب ہیں۔</v>
      </c>
      <c r="S100" s="5" t="s">
        <v>277</v>
      </c>
    </row>
    <row r="101" ht="22.5" customHeight="1">
      <c r="A101" s="4">
        <v>100.0</v>
      </c>
      <c r="B101" s="5" t="s">
        <v>270</v>
      </c>
      <c r="C101" s="5" t="s">
        <v>271</v>
      </c>
      <c r="D101" s="5" t="s">
        <v>272</v>
      </c>
      <c r="E101" s="5" t="s">
        <v>273</v>
      </c>
      <c r="F101" s="5" t="s">
        <v>274</v>
      </c>
      <c r="G101" s="5" t="s">
        <v>271</v>
      </c>
      <c r="H101" s="5" t="s">
        <v>277</v>
      </c>
      <c r="K101" s="2" t="str">
        <f>IFERROR(__xludf.DUMMYFUNCTION("GOOGLETRANSLATE(A101,""en"",""ur"")"),"100")</f>
        <v>100</v>
      </c>
      <c r="L101" s="2" t="str">
        <f>IFERROR(__xludf.DUMMYFUNCTION("GOOGLETRANSLATE(B101,""en"",""ur"")"),"مرکز میں سوار کے بارے میں ایک قابل ذکر تفصیل کیا ہے؟")</f>
        <v>مرکز میں سوار کے بارے میں ایک قابل ذکر تفصیل کیا ہے؟</v>
      </c>
      <c r="M101" s="2" t="str">
        <f>IFERROR(__xludf.DUMMYFUNCTION("GOOGLETRANSLATE(C101,""en"",""ur"")"),"وہ اپنے گھوڑے سے گر رہا ہے۔")</f>
        <v>وہ اپنے گھوڑے سے گر رہا ہے۔</v>
      </c>
      <c r="N101" s="2" t="str">
        <f>IFERROR(__xludf.DUMMYFUNCTION("GOOGLETRANSLATE(D101,""en"",""ur"")"),"اس نے بینر اٹھا رکھا ہے۔")</f>
        <v>اس نے بینر اٹھا رکھا ہے۔</v>
      </c>
      <c r="O101" s="2" t="str">
        <f>IFERROR(__xludf.DUMMYFUNCTION("GOOGLETRANSLATE(E101,""en"",""ur"")"),"اس نے رسی پکڑی ہوئی ہے۔")</f>
        <v>اس نے رسی پکڑی ہوئی ہے۔</v>
      </c>
      <c r="P101" s="2" t="str">
        <f>IFERROR(__xludf.DUMMYFUNCTION("GOOGLETRANSLATE(F101,""en"",""ur"")"),"اس نے چھڑی پکڑی ہوئی ہے۔")</f>
        <v>اس نے چھڑی پکڑی ہوئی ہے۔</v>
      </c>
      <c r="Q101" s="2" t="s">
        <v>275</v>
      </c>
      <c r="R101" s="2" t="str">
        <f>IFERROR(__xludf.DUMMYFUNCTION("GOOGLETRANSLATE(G101,""en"",""ur"")"),"وہ اپنے گھوڑے سے گر رہا ہے۔")</f>
        <v>وہ اپنے گھوڑے سے گر رہا ہے۔</v>
      </c>
      <c r="S101" s="5" t="s">
        <v>277</v>
      </c>
    </row>
    <row r="102" ht="22.5" customHeight="1">
      <c r="A102" s="4">
        <v>101.0</v>
      </c>
      <c r="B102" s="5" t="s">
        <v>327</v>
      </c>
      <c r="C102" s="5" t="s">
        <v>103</v>
      </c>
      <c r="D102" s="5" t="s">
        <v>328</v>
      </c>
      <c r="E102" s="5" t="s">
        <v>72</v>
      </c>
      <c r="F102" s="5" t="s">
        <v>73</v>
      </c>
      <c r="G102" s="5" t="s">
        <v>103</v>
      </c>
      <c r="H102" s="5" t="s">
        <v>329</v>
      </c>
      <c r="K102" s="2" t="str">
        <f>IFERROR(__xludf.DUMMYFUNCTION("GOOGLETRANSLATE(A102,""en"",""ur"")"),"101")</f>
        <v>101</v>
      </c>
      <c r="L102" s="2" t="str">
        <f>IFERROR(__xludf.DUMMYFUNCTION("GOOGLETRANSLATE(B102,""en"",""ur"")"),"buzkashi_57 میں دکھائی جانے والی اہم کارروائی کیا ہے؟")</f>
        <v>buzkashi_57 میں دکھائی جانے والی اہم کارروائی کیا ہے؟</v>
      </c>
      <c r="M102" s="2" t="str">
        <f>IFERROR(__xludf.DUMMYFUNCTION("GOOGLETRANSLATE(C102,""en"",""ur"")"),"آرام سے گھوڑے کی سواری۔")</f>
        <v>آرام سے گھوڑے کی سواری۔</v>
      </c>
      <c r="N102" s="2" t="str">
        <f>IFERROR(__xludf.DUMMYFUNCTION("GOOGLETRANSLATE(D102,""en"",""ur"")"),"مرکزی چیز کے لیے مقابلہ کرنے والا سوار")</f>
        <v>مرکزی چیز کے لیے مقابلہ کرنے والا سوار</v>
      </c>
      <c r="O102" s="2" t="str">
        <f>IFERROR(__xludf.DUMMYFUNCTION("GOOGLETRANSLATE(E102,""en"",""ur"")"),"گھوڑوں کی پریڈ")</f>
        <v>گھوڑوں کی پریڈ</v>
      </c>
      <c r="P102" s="2" t="str">
        <f>IFERROR(__xludf.DUMMYFUNCTION("GOOGLETRANSLATE(F102,""en"",""ur"")"),"گھوڑوں کی دوڑ")</f>
        <v>گھوڑوں کی دوڑ</v>
      </c>
      <c r="Q102" s="2" t="s">
        <v>330</v>
      </c>
      <c r="R102" s="2" t="str">
        <f>IFERROR(__xludf.DUMMYFUNCTION("GOOGLETRANSLATE(G102,""en"",""ur"")"),"آرام سے گھوڑے کی سواری۔")</f>
        <v>آرام سے گھوڑے کی سواری۔</v>
      </c>
      <c r="S102" s="5" t="s">
        <v>329</v>
      </c>
    </row>
    <row r="103" ht="22.5" customHeight="1">
      <c r="A103" s="4">
        <v>102.0</v>
      </c>
      <c r="B103" s="5" t="s">
        <v>238</v>
      </c>
      <c r="C103" s="5" t="s">
        <v>239</v>
      </c>
      <c r="D103" s="5" t="s">
        <v>331</v>
      </c>
      <c r="E103" s="5" t="s">
        <v>85</v>
      </c>
      <c r="F103" s="5" t="s">
        <v>240</v>
      </c>
      <c r="G103" s="5" t="s">
        <v>331</v>
      </c>
      <c r="H103" s="5" t="s">
        <v>329</v>
      </c>
      <c r="K103" s="2" t="str">
        <f>IFERROR(__xludf.DUMMYFUNCTION("GOOGLETRANSLATE(A103,""en"",""ur"")"),"102")</f>
        <v>102</v>
      </c>
      <c r="L103" s="2" t="str">
        <f>IFERROR(__xludf.DUMMYFUNCTION("GOOGLETRANSLATE(B103,""en"",""ur"")"),"اس گیم کی ترتیب کے بارے میں ایک قابل ذکر تفصیل کیا ہے؟")</f>
        <v>اس گیم کی ترتیب کے بارے میں ایک قابل ذکر تفصیل کیا ہے؟</v>
      </c>
      <c r="M103" s="2" t="str">
        <f>IFERROR(__xludf.DUMMYFUNCTION("GOOGLETRANSLATE(C103,""en"",""ur"")"),"یہ ایک بڑے اسٹیڈیم میں ہے۔")</f>
        <v>یہ ایک بڑے اسٹیڈیم میں ہے۔</v>
      </c>
      <c r="N103" s="2" t="str">
        <f>IFERROR(__xludf.DUMMYFUNCTION("GOOGLETRANSLATE(D103,""en"",""ur"")"),"یہ ایک ایسے میدان میں ہے جس میں بلیچرز کا ایک بڑا ہجوم ہے۔")</f>
        <v>یہ ایک ایسے میدان میں ہے جس میں بلیچرز کا ایک بڑا ہجوم ہے۔</v>
      </c>
      <c r="O103" s="2" t="str">
        <f>IFERROR(__xludf.DUMMYFUNCTION("GOOGLETRANSLATE(E103,""en"",""ur"")"),"یہ شہر کی سڑک پر ہے۔")</f>
        <v>یہ شہر کی سڑک پر ہے۔</v>
      </c>
      <c r="P103" s="2" t="str">
        <f>IFERROR(__xludf.DUMMYFUNCTION("GOOGLETRANSLATE(F103,""en"",""ur"")"),"یہ ایک پرسکون ساحل سمندر پر ہے۔")</f>
        <v>یہ ایک پرسکون ساحل سمندر پر ہے۔</v>
      </c>
      <c r="Q103" s="2" t="s">
        <v>332</v>
      </c>
      <c r="R103" s="2" t="str">
        <f>IFERROR(__xludf.DUMMYFUNCTION("GOOGLETRANSLATE(G103,""en"",""ur"")"),"یہ ایک ایسے میدان میں ہے جس میں بلیچرز کا ایک بڑا ہجوم ہے۔")</f>
        <v>یہ ایک ایسے میدان میں ہے جس میں بلیچرز کا ایک بڑا ہجوم ہے۔</v>
      </c>
      <c r="S103" s="5" t="s">
        <v>329</v>
      </c>
    </row>
    <row r="104" ht="22.5" customHeight="1">
      <c r="A104" s="4">
        <v>103.0</v>
      </c>
      <c r="B104" s="5" t="s">
        <v>304</v>
      </c>
      <c r="C104" s="5" t="s">
        <v>307</v>
      </c>
      <c r="D104" s="5" t="s">
        <v>333</v>
      </c>
      <c r="E104" s="5" t="s">
        <v>334</v>
      </c>
      <c r="F104" s="5" t="s">
        <v>308</v>
      </c>
      <c r="G104" s="5" t="s">
        <v>333</v>
      </c>
      <c r="H104" s="5" t="s">
        <v>329</v>
      </c>
      <c r="K104" s="2" t="str">
        <f>IFERROR(__xludf.DUMMYFUNCTION("GOOGLETRANSLATE(A104,""en"",""ur"")"),"103")</f>
        <v>103</v>
      </c>
      <c r="L104" s="2" t="str">
        <f>IFERROR(__xludf.DUMMYFUNCTION("GOOGLETRANSLATE(B104,""en"",""ur"")"),"سوار کے لباس کے بارے میں واضح تفصیل کیا ہے؟")</f>
        <v>سوار کے لباس کے بارے میں واضح تفصیل کیا ہے؟</v>
      </c>
      <c r="M104" s="2" t="str">
        <f>IFERROR(__xludf.DUMMYFUNCTION("GOOGLETRANSLATE(C104,""en"",""ur"")"),"اس نے رسمی سوٹ پہن رکھا ہے۔")</f>
        <v>اس نے رسمی سوٹ پہن رکھا ہے۔</v>
      </c>
      <c r="N104" s="2" t="str">
        <f>IFERROR(__xludf.DUMMYFUNCTION("GOOGLETRANSLATE(D104,""en"",""ur"")"),"اس نے ایک لمبا کوٹ اور روایتی سر پہن رکھا ہے۔")</f>
        <v>اس نے ایک لمبا کوٹ اور روایتی سر پہن رکھا ہے۔</v>
      </c>
      <c r="O104" s="2" t="str">
        <f>IFERROR(__xludf.DUMMYFUNCTION("GOOGLETRANSLATE(E104,""en"",""ur"")"),"اس نے شارٹس اور ٹی شرٹ پہن رکھی ہے۔")</f>
        <v>اس نے شارٹس اور ٹی شرٹ پہن رکھی ہے۔</v>
      </c>
      <c r="P104" s="2" t="str">
        <f>IFERROR(__xludf.DUMMYFUNCTION("GOOGLETRANSLATE(F104,""en"",""ur"")"),"اس نے کوئی لباس نہیں پہنا ہوا ہے۔")</f>
        <v>اس نے کوئی لباس نہیں پہنا ہوا ہے۔</v>
      </c>
      <c r="Q104" s="2" t="s">
        <v>335</v>
      </c>
      <c r="R104" s="2" t="str">
        <f>IFERROR(__xludf.DUMMYFUNCTION("GOOGLETRANSLATE(G104,""en"",""ur"")"),"اس نے ایک لمبا کوٹ اور روایتی سر پہن رکھا ہے۔")</f>
        <v>اس نے ایک لمبا کوٹ اور روایتی سر پہن رکھا ہے۔</v>
      </c>
      <c r="S104" s="5" t="s">
        <v>329</v>
      </c>
    </row>
    <row r="105" ht="22.5" customHeight="1">
      <c r="A105" s="4">
        <v>104.0</v>
      </c>
      <c r="B105" s="5" t="s">
        <v>310</v>
      </c>
      <c r="C105" s="5" t="s">
        <v>311</v>
      </c>
      <c r="D105" s="5" t="s">
        <v>312</v>
      </c>
      <c r="E105" s="5" t="s">
        <v>313</v>
      </c>
      <c r="F105" s="5" t="s">
        <v>314</v>
      </c>
      <c r="G105" s="5" t="s">
        <v>314</v>
      </c>
      <c r="H105" s="5" t="s">
        <v>329</v>
      </c>
      <c r="K105" s="2" t="str">
        <f>IFERROR(__xludf.DUMMYFUNCTION("GOOGLETRANSLATE(A105,""en"",""ur"")"),"104")</f>
        <v>104</v>
      </c>
      <c r="L105" s="2" t="str">
        <f>IFERROR(__xludf.DUMMYFUNCTION("GOOGLETRANSLATE(B105,""en"",""ur"")"),"سوار کی ظاہری باڈی پوزیشن کیا ہے؟")</f>
        <v>سوار کی ظاہری باڈی پوزیشن کیا ہے؟</v>
      </c>
      <c r="M105" s="2" t="str">
        <f>IFERROR(__xludf.DUMMYFUNCTION("GOOGLETRANSLATE(C105,""en"",""ur"")"),"وہ سیدھا کھڑا ہے۔")</f>
        <v>وہ سیدھا کھڑا ہے۔</v>
      </c>
      <c r="N105" s="2" t="str">
        <f>IFERROR(__xludf.DUMMYFUNCTION("GOOGLETRANSLATE(D105,""en"",""ur"")"),"وہ جھک رہا ہے اور کسی چیز تک پہنچ رہا ہے۔")</f>
        <v>وہ جھک رہا ہے اور کسی چیز تک پہنچ رہا ہے۔</v>
      </c>
      <c r="O105" s="2" t="str">
        <f>IFERROR(__xludf.DUMMYFUNCTION("GOOGLETRANSLATE(E105,""en"",""ur"")"),"وہ گھوڑے کی پیٹھ پر لیٹا ہے۔")</f>
        <v>وہ گھوڑے کی پیٹھ پر لیٹا ہے۔</v>
      </c>
      <c r="P105" s="2" t="str">
        <f>IFERROR(__xludf.DUMMYFUNCTION("GOOGLETRANSLATE(F105,""en"",""ur"")"),"وہ آرام سے بیٹھا ہے۔")</f>
        <v>وہ آرام سے بیٹھا ہے۔</v>
      </c>
      <c r="Q105" s="2" t="s">
        <v>315</v>
      </c>
      <c r="R105" s="2" t="str">
        <f>IFERROR(__xludf.DUMMYFUNCTION("GOOGLETRANSLATE(G105,""en"",""ur"")"),"وہ آرام سے بیٹھا ہے۔")</f>
        <v>وہ آرام سے بیٹھا ہے۔</v>
      </c>
      <c r="S105" s="5" t="s">
        <v>329</v>
      </c>
    </row>
    <row r="106" ht="22.5" customHeight="1">
      <c r="A106" s="4">
        <v>105.0</v>
      </c>
      <c r="B106" s="5" t="s">
        <v>316</v>
      </c>
      <c r="C106" s="5" t="s">
        <v>47</v>
      </c>
      <c r="D106" s="5" t="s">
        <v>48</v>
      </c>
      <c r="E106" s="5" t="s">
        <v>49</v>
      </c>
      <c r="F106" s="5" t="s">
        <v>50</v>
      </c>
      <c r="G106" s="5" t="s">
        <v>47</v>
      </c>
      <c r="H106" s="5" t="s">
        <v>329</v>
      </c>
      <c r="K106" s="2" t="str">
        <f>IFERROR(__xludf.DUMMYFUNCTION("GOOGLETRANSLATE(A106,""en"",""ur"")"),"105")</f>
        <v>105</v>
      </c>
      <c r="L106" s="2" t="str">
        <f>IFERROR(__xludf.DUMMYFUNCTION("GOOGLETRANSLATE(B106,""en"",""ur"")"),"سوار کے چہرے سے ظاہری جذبات کیا ہیں؟")</f>
        <v>سوار کے چہرے سے ظاہری جذبات کیا ہیں؟</v>
      </c>
      <c r="M106" s="2" t="str">
        <f>IFERROR(__xludf.DUMMYFUNCTION("GOOGLETRANSLATE(C106,""en"",""ur"")"),"پرسکون اور پر سکون")</f>
        <v>پرسکون اور پر سکون</v>
      </c>
      <c r="N106" s="2" t="str">
        <f>IFERROR(__xludf.DUMMYFUNCTION("GOOGLETRANSLATE(D106,""en"",""ur"")"),"خوف زدہ اور بے چین")</f>
        <v>خوف زدہ اور بے چین</v>
      </c>
      <c r="O106" s="2" t="str">
        <f>IFERROR(__xludf.DUMMYFUNCTION("GOOGLETRANSLATE(E106,""en"",""ur"")"),"کشیدہ اور شدید")</f>
        <v>کشیدہ اور شدید</v>
      </c>
      <c r="P106" s="2" t="str">
        <f>IFERROR(__xludf.DUMMYFUNCTION("GOOGLETRANSLATE(F106,""en"",""ur"")"),"خوش اور مسکراتے ہوئے۔")</f>
        <v>خوش اور مسکراتے ہوئے۔</v>
      </c>
      <c r="Q106" s="2" t="s">
        <v>51</v>
      </c>
      <c r="R106" s="2" t="str">
        <f>IFERROR(__xludf.DUMMYFUNCTION("GOOGLETRANSLATE(G106,""en"",""ur"")"),"پرسکون اور پر سکون")</f>
        <v>پرسکون اور پر سکون</v>
      </c>
      <c r="S106" s="5" t="s">
        <v>329</v>
      </c>
    </row>
    <row r="107" ht="22.5" customHeight="1">
      <c r="A107" s="4">
        <v>106.0</v>
      </c>
      <c r="B107" s="5" t="s">
        <v>88</v>
      </c>
      <c r="C107" s="5" t="s">
        <v>89</v>
      </c>
      <c r="D107" s="5" t="s">
        <v>90</v>
      </c>
      <c r="E107" s="5" t="s">
        <v>91</v>
      </c>
      <c r="F107" s="5" t="s">
        <v>255</v>
      </c>
      <c r="G107" s="5" t="s">
        <v>255</v>
      </c>
      <c r="H107" s="5" t="s">
        <v>329</v>
      </c>
      <c r="K107" s="2" t="str">
        <f>IFERROR(__xludf.DUMMYFUNCTION("GOOGLETRANSLATE(A107,""en"",""ur"")"),"106")</f>
        <v>106</v>
      </c>
      <c r="L107" s="2" t="str">
        <f>IFERROR(__xludf.DUMMYFUNCTION("GOOGLETRANSLATE(B107,""en"",""ur"")"),"زمین کی سب سے نمایاں خصوصیت کیا ہے؟")</f>
        <v>زمین کی سب سے نمایاں خصوصیت کیا ہے؟</v>
      </c>
      <c r="M107" s="2" t="str">
        <f>IFERROR(__xludf.DUMMYFUNCTION("GOOGLETRANSLATE(C107,""en"",""ur"")"),"ایک پکی سطح")</f>
        <v>ایک پکی سطح</v>
      </c>
      <c r="N107" s="2" t="str">
        <f>IFERROR(__xludf.DUMMYFUNCTION("GOOGLETRANSLATE(D107,""en"",""ur"")"),"کیچڑ والا میدان")</f>
        <v>کیچڑ والا میدان</v>
      </c>
      <c r="O107" s="2" t="str">
        <f>IFERROR(__xludf.DUMMYFUNCTION("GOOGLETRANSLATE(E107,""en"",""ur"")"),"ایک گھاس دار سطح")</f>
        <v>ایک گھاس دار سطح</v>
      </c>
      <c r="P107" s="2" t="str">
        <f>IFERROR(__xludf.DUMMYFUNCTION("GOOGLETRANSLATE(F107,""en"",""ur"")"),"ریتلی یا گندگی کی سطح")</f>
        <v>ریتلی یا گندگی کی سطح</v>
      </c>
      <c r="Q107" s="2" t="s">
        <v>256</v>
      </c>
      <c r="R107" s="2" t="str">
        <f>IFERROR(__xludf.DUMMYFUNCTION("GOOGLETRANSLATE(G107,""en"",""ur"")"),"ریتلی یا گندگی کی سطح")</f>
        <v>ریتلی یا گندگی کی سطح</v>
      </c>
      <c r="S107" s="5" t="s">
        <v>329</v>
      </c>
    </row>
    <row r="108" ht="22.5" customHeight="1">
      <c r="A108" s="4">
        <v>107.0</v>
      </c>
      <c r="B108" s="5" t="s">
        <v>257</v>
      </c>
      <c r="C108" s="5" t="s">
        <v>95</v>
      </c>
      <c r="D108" s="5" t="s">
        <v>96</v>
      </c>
      <c r="E108" s="5" t="s">
        <v>97</v>
      </c>
      <c r="F108" s="5" t="s">
        <v>258</v>
      </c>
      <c r="G108" s="5" t="s">
        <v>97</v>
      </c>
      <c r="H108" s="5" t="s">
        <v>329</v>
      </c>
      <c r="K108" s="2" t="str">
        <f>IFERROR(__xludf.DUMMYFUNCTION("GOOGLETRANSLATE(A108,""en"",""ur"")"),"107")</f>
        <v>107</v>
      </c>
      <c r="L108" s="2" t="str">
        <f>IFERROR(__xludf.DUMMYFUNCTION("GOOGLETRANSLATE(B108,""en"",""ur"")"),"کھیلے جانے والے کھیل کا نام کیا ہے؟")</f>
        <v>کھیلے جانے والے کھیل کا نام کیا ہے؟</v>
      </c>
      <c r="M108" s="2" t="str">
        <f>IFERROR(__xludf.DUMMYFUNCTION("GOOGLETRANSLATE(C108,""en"",""ur"")"),"پولو")</f>
        <v>پولو</v>
      </c>
      <c r="N108" s="2" t="str">
        <f>IFERROR(__xludf.DUMMYFUNCTION("GOOGLETRANSLATE(D108,""en"",""ur"")"),"گھوڑوں کی دوڑ")</f>
        <v>گھوڑوں کی دوڑ</v>
      </c>
      <c r="O108" s="2" t="str">
        <f>IFERROR(__xludf.DUMMYFUNCTION("GOOGLETRANSLATE(E108,""en"",""ur"")"),"بزکشی۔")</f>
        <v>بزکشی۔</v>
      </c>
      <c r="P108" s="2" t="str">
        <f>IFERROR(__xludf.DUMMYFUNCTION("GOOGLETRANSLATE(F108,""en"",""ur"")"),"گھڑ سواری کے کھیل")</f>
        <v>گھڑ سواری کے کھیل</v>
      </c>
      <c r="Q108" s="2" t="s">
        <v>259</v>
      </c>
      <c r="R108" s="2" t="str">
        <f>IFERROR(__xludf.DUMMYFUNCTION("GOOGLETRANSLATE(G108,""en"",""ur"")"),"بزکشی۔")</f>
        <v>بزکشی۔</v>
      </c>
      <c r="S108" s="5" t="s">
        <v>329</v>
      </c>
    </row>
    <row r="109" ht="22.5" customHeight="1">
      <c r="A109" s="4">
        <v>108.0</v>
      </c>
      <c r="B109" s="5" t="s">
        <v>260</v>
      </c>
      <c r="C109" s="5" t="s">
        <v>261</v>
      </c>
      <c r="D109" s="5" t="s">
        <v>262</v>
      </c>
      <c r="E109" s="5" t="s">
        <v>263</v>
      </c>
      <c r="F109" s="5" t="s">
        <v>264</v>
      </c>
      <c r="G109" s="5" t="s">
        <v>263</v>
      </c>
      <c r="H109" s="5" t="s">
        <v>329</v>
      </c>
      <c r="K109" s="2" t="str">
        <f>IFERROR(__xludf.DUMMYFUNCTION("GOOGLETRANSLATE(A109,""en"",""ur"")"),"108")</f>
        <v>108</v>
      </c>
      <c r="L109" s="2" t="str">
        <f>IFERROR(__xludf.DUMMYFUNCTION("GOOGLETRANSLATE(B109,""en"",""ur"")"),"تصویر میں ایکشن ایک ایسا انداز تجویز کرتا ہے جو اس بات پر زور دیتا ہے...")</f>
        <v>تصویر میں ایکشن ایک ایسا انداز تجویز کرتا ہے جو اس بات پر زور دیتا ہے...</v>
      </c>
      <c r="M109" s="2" t="str">
        <f>IFERROR(__xludf.DUMMYFUNCTION("GOOGLETRANSLATE(C109,""en"",""ur"")"),"روانی اور قلابازیاں")</f>
        <v>روانی اور قلابازیاں</v>
      </c>
      <c r="N109" s="2" t="str">
        <f>IFERROR(__xludf.DUMMYFUNCTION("GOOGLETRANSLATE(D109,""en"",""ur"")"),"زمینی لڑائی اور گرفت")</f>
        <v>زمینی لڑائی اور گرفت</v>
      </c>
      <c r="O109" s="2" t="str">
        <f>IFERROR(__xludf.DUMMYFUNCTION("GOOGLETRANSLATE(E109,""en"",""ur"")"),"وحشیانہ قوت اور گھڑ سواری۔")</f>
        <v>وحشیانہ قوت اور گھڑ سواری۔</v>
      </c>
      <c r="P109" s="2" t="str">
        <f>IFERROR(__xludf.DUMMYFUNCTION("GOOGLETRANSLATE(F109,""en"",""ur"")"),"سادہ، لکیری حرکات")</f>
        <v>سادہ، لکیری حرکات</v>
      </c>
      <c r="Q109" s="2" t="s">
        <v>265</v>
      </c>
      <c r="R109" s="2" t="str">
        <f>IFERROR(__xludf.DUMMYFUNCTION("GOOGLETRANSLATE(G109,""en"",""ur"")"),"وحشیانہ قوت اور گھڑ سواری۔")</f>
        <v>وحشیانہ قوت اور گھڑ سواری۔</v>
      </c>
      <c r="S109" s="5" t="s">
        <v>329</v>
      </c>
    </row>
    <row r="110" ht="22.5" customHeight="1">
      <c r="A110" s="4">
        <v>109.0</v>
      </c>
      <c r="B110" s="5" t="s">
        <v>317</v>
      </c>
      <c r="C110" s="5" t="s">
        <v>136</v>
      </c>
      <c r="D110" s="5" t="s">
        <v>336</v>
      </c>
      <c r="E110" s="5" t="s">
        <v>318</v>
      </c>
      <c r="F110" s="5" t="s">
        <v>337</v>
      </c>
      <c r="G110" s="5" t="s">
        <v>336</v>
      </c>
      <c r="H110" s="5" t="s">
        <v>329</v>
      </c>
      <c r="K110" s="2" t="str">
        <f>IFERROR(__xludf.DUMMYFUNCTION("GOOGLETRANSLATE(A110,""en"",""ur"")"),"109")</f>
        <v>109</v>
      </c>
      <c r="L110" s="2" t="str">
        <f>IFERROR(__xludf.DUMMYFUNCTION("GOOGLETRANSLATE(B110,""en"",""ur"")"),"گھوڑے کے بارے میں ایک قابل ذکر تفصیل کیا ہے؟")</f>
        <v>گھوڑے کے بارے میں ایک قابل ذکر تفصیل کیا ہے؟</v>
      </c>
      <c r="M110" s="2" t="str">
        <f>IFERROR(__xludf.DUMMYFUNCTION("GOOGLETRANSLATE(C110,""en"",""ur"")"),"یہ سب ایک ہی رنگ کا ہے۔")</f>
        <v>یہ سب ایک ہی رنگ کا ہے۔</v>
      </c>
      <c r="N110" s="2" t="str">
        <f>IFERROR(__xludf.DUMMYFUNCTION("GOOGLETRANSLATE(D110,""en"",""ur"")"),"یہ ایک سفید گھوڑا ہے جس میں ایک وسیع زین ہے۔")</f>
        <v>یہ ایک سفید گھوڑا ہے جس میں ایک وسیع زین ہے۔</v>
      </c>
      <c r="O110" s="2" t="str">
        <f>IFERROR(__xludf.DUMMYFUNCTION("GOOGLETRANSLATE(E110,""en"",""ur"")"),"یہ رنگوں اور نسلوں کا مرکب ہے۔")</f>
        <v>یہ رنگوں اور نسلوں کا مرکب ہے۔</v>
      </c>
      <c r="P110" s="2" t="str">
        <f>IFERROR(__xludf.DUMMYFUNCTION("GOOGLETRANSLATE(F110,""en"",""ur"")"),"اس نے کوئی کاٹھی نہیں پہنی ہوئی ہے۔")</f>
        <v>اس نے کوئی کاٹھی نہیں پہنی ہوئی ہے۔</v>
      </c>
      <c r="Q110" s="2" t="s">
        <v>338</v>
      </c>
      <c r="R110" s="2" t="str">
        <f>IFERROR(__xludf.DUMMYFUNCTION("GOOGLETRANSLATE(G110,""en"",""ur"")"),"یہ ایک سفید گھوڑا ہے جس میں ایک وسیع زین ہے۔")</f>
        <v>یہ ایک سفید گھوڑا ہے جس میں ایک وسیع زین ہے۔</v>
      </c>
      <c r="S110" s="5" t="s">
        <v>329</v>
      </c>
    </row>
    <row r="111" ht="22.5" customHeight="1">
      <c r="A111" s="4">
        <v>110.0</v>
      </c>
      <c r="B111" s="5" t="s">
        <v>322</v>
      </c>
      <c r="C111" s="5" t="s">
        <v>297</v>
      </c>
      <c r="D111" s="5" t="s">
        <v>272</v>
      </c>
      <c r="E111" s="5" t="s">
        <v>274</v>
      </c>
      <c r="F111" s="5" t="s">
        <v>273</v>
      </c>
      <c r="G111" s="5" t="s">
        <v>297</v>
      </c>
      <c r="H111" s="5" t="s">
        <v>329</v>
      </c>
      <c r="K111" s="2" t="str">
        <f>IFERROR(__xludf.DUMMYFUNCTION("GOOGLETRANSLATE(A111,""en"",""ur"")"),"110")</f>
        <v>110</v>
      </c>
      <c r="L111" s="2" t="str">
        <f>IFERROR(__xludf.DUMMYFUNCTION("GOOGLETRANSLATE(B111,""en"",""ur"")"),"سوار کے بارے میں ایک قابل ذکر تفصیل کیا ہے؟")</f>
        <v>سوار کے بارے میں ایک قابل ذکر تفصیل کیا ہے؟</v>
      </c>
      <c r="M111" s="2" t="str">
        <f>IFERROR(__xludf.DUMMYFUNCTION("GOOGLETRANSLATE(C111,""en"",""ur"")"),"اس نے ایک کوڑا پکڑ رکھا ہے۔")</f>
        <v>اس نے ایک کوڑا پکڑ رکھا ہے۔</v>
      </c>
      <c r="N111" s="2" t="str">
        <f>IFERROR(__xludf.DUMMYFUNCTION("GOOGLETRANSLATE(D111,""en"",""ur"")"),"اس نے بینر اٹھا رکھا ہے۔")</f>
        <v>اس نے بینر اٹھا رکھا ہے۔</v>
      </c>
      <c r="O111" s="2" t="str">
        <f>IFERROR(__xludf.DUMMYFUNCTION("GOOGLETRANSLATE(E111,""en"",""ur"")"),"اس نے چھڑی پکڑی ہوئی ہے۔")</f>
        <v>اس نے چھڑی پکڑی ہوئی ہے۔</v>
      </c>
      <c r="P111" s="2" t="str">
        <f>IFERROR(__xludf.DUMMYFUNCTION("GOOGLETRANSLATE(F111,""en"",""ur"")"),"اس نے رسی پکڑی ہوئی ہے۔")</f>
        <v>اس نے رسی پکڑی ہوئی ہے۔</v>
      </c>
      <c r="Q111" s="2" t="s">
        <v>339</v>
      </c>
      <c r="R111" s="2" t="str">
        <f>IFERROR(__xludf.DUMMYFUNCTION("GOOGLETRANSLATE(G111,""en"",""ur"")"),"اس نے ایک کوڑا پکڑ رکھا ہے۔")</f>
        <v>اس نے ایک کوڑا پکڑ رکھا ہے۔</v>
      </c>
      <c r="S111" s="5" t="s">
        <v>329</v>
      </c>
    </row>
    <row r="112" ht="22.5" customHeight="1">
      <c r="A112" s="4">
        <v>111.0</v>
      </c>
      <c r="B112" s="5" t="s">
        <v>340</v>
      </c>
      <c r="C112" s="5" t="s">
        <v>103</v>
      </c>
      <c r="D112" s="5" t="s">
        <v>328</v>
      </c>
      <c r="E112" s="5" t="s">
        <v>72</v>
      </c>
      <c r="F112" s="5" t="s">
        <v>73</v>
      </c>
      <c r="G112" s="5" t="s">
        <v>103</v>
      </c>
      <c r="H112" s="5" t="s">
        <v>341</v>
      </c>
      <c r="K112" s="2" t="str">
        <f>IFERROR(__xludf.DUMMYFUNCTION("GOOGLETRANSLATE(A112,""en"",""ur"")"),"111")</f>
        <v>111</v>
      </c>
      <c r="L112" s="2" t="str">
        <f>IFERROR(__xludf.DUMMYFUNCTION("GOOGLETRANSLATE(B112,""en"",""ur"")"),"buzkashi_37 میں دکھائی جانے والی اہم کارروائی کیا ہے؟")</f>
        <v>buzkashi_37 میں دکھائی جانے والی اہم کارروائی کیا ہے؟</v>
      </c>
      <c r="M112" s="2" t="str">
        <f>IFERROR(__xludf.DUMMYFUNCTION("GOOGLETRANSLATE(C112,""en"",""ur"")"),"آرام سے گھوڑے کی سواری۔")</f>
        <v>آرام سے گھوڑے کی سواری۔</v>
      </c>
      <c r="N112" s="2" t="str">
        <f>IFERROR(__xludf.DUMMYFUNCTION("GOOGLETRANSLATE(D112,""en"",""ur"")"),"مرکزی چیز کے لیے مقابلہ کرنے والا سوار")</f>
        <v>مرکزی چیز کے لیے مقابلہ کرنے والا سوار</v>
      </c>
      <c r="O112" s="2" t="str">
        <f>IFERROR(__xludf.DUMMYFUNCTION("GOOGLETRANSLATE(E112,""en"",""ur"")"),"گھوڑوں کی پریڈ")</f>
        <v>گھوڑوں کی پریڈ</v>
      </c>
      <c r="P112" s="2" t="str">
        <f>IFERROR(__xludf.DUMMYFUNCTION("GOOGLETRANSLATE(F112,""en"",""ur"")"),"گھوڑوں کی دوڑ")</f>
        <v>گھوڑوں کی دوڑ</v>
      </c>
      <c r="Q112" s="2" t="s">
        <v>330</v>
      </c>
      <c r="R112" s="2" t="str">
        <f>IFERROR(__xludf.DUMMYFUNCTION("GOOGLETRANSLATE(G112,""en"",""ur"")"),"آرام سے گھوڑے کی سواری۔")</f>
        <v>آرام سے گھوڑے کی سواری۔</v>
      </c>
      <c r="S112" s="5" t="s">
        <v>341</v>
      </c>
    </row>
    <row r="113" ht="22.5" customHeight="1">
      <c r="A113" s="4">
        <v>112.0</v>
      </c>
      <c r="B113" s="5" t="s">
        <v>238</v>
      </c>
      <c r="C113" s="5" t="s">
        <v>239</v>
      </c>
      <c r="D113" s="5" t="s">
        <v>84</v>
      </c>
      <c r="E113" s="5" t="s">
        <v>85</v>
      </c>
      <c r="F113" s="5" t="s">
        <v>240</v>
      </c>
      <c r="G113" s="5" t="s">
        <v>84</v>
      </c>
      <c r="H113" s="5" t="s">
        <v>341</v>
      </c>
      <c r="K113" s="2" t="str">
        <f>IFERROR(__xludf.DUMMYFUNCTION("GOOGLETRANSLATE(A113,""en"",""ur"")"),"112")</f>
        <v>112</v>
      </c>
      <c r="L113" s="2" t="str">
        <f>IFERROR(__xludf.DUMMYFUNCTION("GOOGLETRANSLATE(B113,""en"",""ur"")"),"اس گیم کی ترتیب کے بارے میں ایک قابل ذکر تفصیل کیا ہے؟")</f>
        <v>اس گیم کی ترتیب کے بارے میں ایک قابل ذکر تفصیل کیا ہے؟</v>
      </c>
      <c r="M113" s="2" t="str">
        <f>IFERROR(__xludf.DUMMYFUNCTION("GOOGLETRANSLATE(C113,""en"",""ur"")"),"یہ ایک بڑے اسٹیڈیم میں ہے۔")</f>
        <v>یہ ایک بڑے اسٹیڈیم میں ہے۔</v>
      </c>
      <c r="N113" s="2" t="str">
        <f>IFERROR(__xludf.DUMMYFUNCTION("GOOGLETRANSLATE(D113,""en"",""ur"")"),"یہ پہاڑی، پتھریلی علاقے میں ایک میدان میں ہے۔")</f>
        <v>یہ پہاڑی، پتھریلی علاقے میں ایک میدان میں ہے۔</v>
      </c>
      <c r="O113" s="2" t="str">
        <f>IFERROR(__xludf.DUMMYFUNCTION("GOOGLETRANSLATE(E113,""en"",""ur"")"),"یہ شہر کی سڑک پر ہے۔")</f>
        <v>یہ شہر کی سڑک پر ہے۔</v>
      </c>
      <c r="P113" s="2" t="str">
        <f>IFERROR(__xludf.DUMMYFUNCTION("GOOGLETRANSLATE(F113,""en"",""ur"")"),"یہ ایک پرسکون ساحل سمندر پر ہے۔")</f>
        <v>یہ ایک پرسکون ساحل سمندر پر ہے۔</v>
      </c>
      <c r="Q113" s="2" t="s">
        <v>241</v>
      </c>
      <c r="R113" s="2" t="str">
        <f>IFERROR(__xludf.DUMMYFUNCTION("GOOGLETRANSLATE(G113,""en"",""ur"")"),"یہ پہاڑی، پتھریلی علاقے میں ایک میدان میں ہے۔")</f>
        <v>یہ پہاڑی، پتھریلی علاقے میں ایک میدان میں ہے۔</v>
      </c>
      <c r="S113" s="5" t="s">
        <v>341</v>
      </c>
    </row>
    <row r="114" ht="22.5" customHeight="1">
      <c r="A114" s="4">
        <v>113.0</v>
      </c>
      <c r="B114" s="5" t="s">
        <v>304</v>
      </c>
      <c r="C114" s="5" t="s">
        <v>307</v>
      </c>
      <c r="D114" s="5" t="s">
        <v>333</v>
      </c>
      <c r="E114" s="5" t="s">
        <v>334</v>
      </c>
      <c r="F114" s="5" t="s">
        <v>308</v>
      </c>
      <c r="G114" s="5" t="s">
        <v>333</v>
      </c>
      <c r="H114" s="5" t="s">
        <v>341</v>
      </c>
      <c r="K114" s="2" t="str">
        <f>IFERROR(__xludf.DUMMYFUNCTION("GOOGLETRANSLATE(A114,""en"",""ur"")"),"113")</f>
        <v>113</v>
      </c>
      <c r="L114" s="2" t="str">
        <f>IFERROR(__xludf.DUMMYFUNCTION("GOOGLETRANSLATE(B114,""en"",""ur"")"),"سوار کے لباس کے بارے میں واضح تفصیل کیا ہے؟")</f>
        <v>سوار کے لباس کے بارے میں واضح تفصیل کیا ہے؟</v>
      </c>
      <c r="M114" s="2" t="str">
        <f>IFERROR(__xludf.DUMMYFUNCTION("GOOGLETRANSLATE(C114,""en"",""ur"")"),"اس نے رسمی سوٹ پہن رکھا ہے۔")</f>
        <v>اس نے رسمی سوٹ پہن رکھا ہے۔</v>
      </c>
      <c r="N114" s="2" t="str">
        <f>IFERROR(__xludf.DUMMYFUNCTION("GOOGLETRANSLATE(D114,""en"",""ur"")"),"اس نے ایک لمبا کوٹ اور روایتی سر پہن رکھا ہے۔")</f>
        <v>اس نے ایک لمبا کوٹ اور روایتی سر پہن رکھا ہے۔</v>
      </c>
      <c r="O114" s="2" t="str">
        <f>IFERROR(__xludf.DUMMYFUNCTION("GOOGLETRANSLATE(E114,""en"",""ur"")"),"اس نے شارٹس اور ٹی شرٹ پہن رکھی ہے۔")</f>
        <v>اس نے شارٹس اور ٹی شرٹ پہن رکھی ہے۔</v>
      </c>
      <c r="P114" s="2" t="str">
        <f>IFERROR(__xludf.DUMMYFUNCTION("GOOGLETRANSLATE(F114,""en"",""ur"")"),"اس نے کوئی لباس نہیں پہنا ہوا ہے۔")</f>
        <v>اس نے کوئی لباس نہیں پہنا ہوا ہے۔</v>
      </c>
      <c r="Q114" s="2" t="s">
        <v>335</v>
      </c>
      <c r="R114" s="2" t="str">
        <f>IFERROR(__xludf.DUMMYFUNCTION("GOOGLETRANSLATE(G114,""en"",""ur"")"),"اس نے ایک لمبا کوٹ اور روایتی سر پہن رکھا ہے۔")</f>
        <v>اس نے ایک لمبا کوٹ اور روایتی سر پہن رکھا ہے۔</v>
      </c>
      <c r="S114" s="5" t="s">
        <v>341</v>
      </c>
    </row>
    <row r="115" ht="22.5" customHeight="1">
      <c r="A115" s="4">
        <v>114.0</v>
      </c>
      <c r="B115" s="5" t="s">
        <v>310</v>
      </c>
      <c r="C115" s="5" t="s">
        <v>311</v>
      </c>
      <c r="D115" s="5" t="s">
        <v>312</v>
      </c>
      <c r="E115" s="5" t="s">
        <v>313</v>
      </c>
      <c r="F115" s="5" t="s">
        <v>314</v>
      </c>
      <c r="G115" s="5" t="s">
        <v>314</v>
      </c>
      <c r="H115" s="5" t="s">
        <v>341</v>
      </c>
      <c r="K115" s="2" t="str">
        <f>IFERROR(__xludf.DUMMYFUNCTION("GOOGLETRANSLATE(A115,""en"",""ur"")"),"114")</f>
        <v>114</v>
      </c>
      <c r="L115" s="2" t="str">
        <f>IFERROR(__xludf.DUMMYFUNCTION("GOOGLETRANSLATE(B115,""en"",""ur"")"),"سوار کی ظاہری باڈی پوزیشن کیا ہے؟")</f>
        <v>سوار کی ظاہری باڈی پوزیشن کیا ہے؟</v>
      </c>
      <c r="M115" s="2" t="str">
        <f>IFERROR(__xludf.DUMMYFUNCTION("GOOGLETRANSLATE(C115,""en"",""ur"")"),"وہ سیدھا کھڑا ہے۔")</f>
        <v>وہ سیدھا کھڑا ہے۔</v>
      </c>
      <c r="N115" s="2" t="str">
        <f>IFERROR(__xludf.DUMMYFUNCTION("GOOGLETRANSLATE(D115,""en"",""ur"")"),"وہ جھک رہا ہے اور کسی چیز تک پہنچ رہا ہے۔")</f>
        <v>وہ جھک رہا ہے اور کسی چیز تک پہنچ رہا ہے۔</v>
      </c>
      <c r="O115" s="2" t="str">
        <f>IFERROR(__xludf.DUMMYFUNCTION("GOOGLETRANSLATE(E115,""en"",""ur"")"),"وہ گھوڑے کی پیٹھ پر لیٹا ہے۔")</f>
        <v>وہ گھوڑے کی پیٹھ پر لیٹا ہے۔</v>
      </c>
      <c r="P115" s="2" t="str">
        <f>IFERROR(__xludf.DUMMYFUNCTION("GOOGLETRANSLATE(F115,""en"",""ur"")"),"وہ آرام سے بیٹھا ہے۔")</f>
        <v>وہ آرام سے بیٹھا ہے۔</v>
      </c>
      <c r="Q115" s="2" t="s">
        <v>315</v>
      </c>
      <c r="R115" s="2" t="str">
        <f>IFERROR(__xludf.DUMMYFUNCTION("GOOGLETRANSLATE(G115,""en"",""ur"")"),"وہ آرام سے بیٹھا ہے۔")</f>
        <v>وہ آرام سے بیٹھا ہے۔</v>
      </c>
      <c r="S115" s="5" t="s">
        <v>341</v>
      </c>
    </row>
    <row r="116" ht="22.5" customHeight="1">
      <c r="A116" s="4">
        <v>115.0</v>
      </c>
      <c r="B116" s="5" t="s">
        <v>316</v>
      </c>
      <c r="C116" s="5" t="s">
        <v>47</v>
      </c>
      <c r="D116" s="5" t="s">
        <v>48</v>
      </c>
      <c r="E116" s="5" t="s">
        <v>49</v>
      </c>
      <c r="F116" s="5" t="s">
        <v>50</v>
      </c>
      <c r="G116" s="5" t="s">
        <v>47</v>
      </c>
      <c r="H116" s="5" t="s">
        <v>341</v>
      </c>
      <c r="K116" s="2" t="str">
        <f>IFERROR(__xludf.DUMMYFUNCTION("GOOGLETRANSLATE(A116,""en"",""ur"")"),"115")</f>
        <v>115</v>
      </c>
      <c r="L116" s="2" t="str">
        <f>IFERROR(__xludf.DUMMYFUNCTION("GOOGLETRANSLATE(B116,""en"",""ur"")"),"سوار کے چہرے سے ظاہری جذبات کیا ہیں؟")</f>
        <v>سوار کے چہرے سے ظاہری جذبات کیا ہیں؟</v>
      </c>
      <c r="M116" s="2" t="str">
        <f>IFERROR(__xludf.DUMMYFUNCTION("GOOGLETRANSLATE(C116,""en"",""ur"")"),"پرسکون اور پر سکون")</f>
        <v>پرسکون اور پر سکون</v>
      </c>
      <c r="N116" s="2" t="str">
        <f>IFERROR(__xludf.DUMMYFUNCTION("GOOGLETRANSLATE(D116,""en"",""ur"")"),"خوف زدہ اور بے چین")</f>
        <v>خوف زدہ اور بے چین</v>
      </c>
      <c r="O116" s="2" t="str">
        <f>IFERROR(__xludf.DUMMYFUNCTION("GOOGLETRANSLATE(E116,""en"",""ur"")"),"کشیدہ اور شدید")</f>
        <v>کشیدہ اور شدید</v>
      </c>
      <c r="P116" s="2" t="str">
        <f>IFERROR(__xludf.DUMMYFUNCTION("GOOGLETRANSLATE(F116,""en"",""ur"")"),"خوش اور مسکراتے ہوئے۔")</f>
        <v>خوش اور مسکراتے ہوئے۔</v>
      </c>
      <c r="Q116" s="2" t="s">
        <v>51</v>
      </c>
      <c r="R116" s="2" t="str">
        <f>IFERROR(__xludf.DUMMYFUNCTION("GOOGLETRANSLATE(G116,""en"",""ur"")"),"پرسکون اور پر سکون")</f>
        <v>پرسکون اور پر سکون</v>
      </c>
      <c r="S116" s="5" t="s">
        <v>341</v>
      </c>
    </row>
    <row r="117" ht="22.5" customHeight="1">
      <c r="A117" s="4">
        <v>116.0</v>
      </c>
      <c r="B117" s="5" t="s">
        <v>88</v>
      </c>
      <c r="C117" s="5" t="s">
        <v>89</v>
      </c>
      <c r="D117" s="5" t="s">
        <v>90</v>
      </c>
      <c r="E117" s="5" t="s">
        <v>91</v>
      </c>
      <c r="F117" s="5" t="s">
        <v>255</v>
      </c>
      <c r="G117" s="5" t="s">
        <v>255</v>
      </c>
      <c r="H117" s="5" t="s">
        <v>341</v>
      </c>
      <c r="K117" s="2" t="str">
        <f>IFERROR(__xludf.DUMMYFUNCTION("GOOGLETRANSLATE(A117,""en"",""ur"")"),"116")</f>
        <v>116</v>
      </c>
      <c r="L117" s="2" t="str">
        <f>IFERROR(__xludf.DUMMYFUNCTION("GOOGLETRANSLATE(B117,""en"",""ur"")"),"زمین کی سب سے نمایاں خصوصیت کیا ہے؟")</f>
        <v>زمین کی سب سے نمایاں خصوصیت کیا ہے؟</v>
      </c>
      <c r="M117" s="2" t="str">
        <f>IFERROR(__xludf.DUMMYFUNCTION("GOOGLETRANSLATE(C117,""en"",""ur"")"),"ایک پکی سطح")</f>
        <v>ایک پکی سطح</v>
      </c>
      <c r="N117" s="2" t="str">
        <f>IFERROR(__xludf.DUMMYFUNCTION("GOOGLETRANSLATE(D117,""en"",""ur"")"),"کیچڑ والا میدان")</f>
        <v>کیچڑ والا میدان</v>
      </c>
      <c r="O117" s="2" t="str">
        <f>IFERROR(__xludf.DUMMYFUNCTION("GOOGLETRANSLATE(E117,""en"",""ur"")"),"ایک گھاس دار سطح")</f>
        <v>ایک گھاس دار سطح</v>
      </c>
      <c r="P117" s="2" t="str">
        <f>IFERROR(__xludf.DUMMYFUNCTION("GOOGLETRANSLATE(F117,""en"",""ur"")"),"ریتلی یا گندگی کی سطح")</f>
        <v>ریتلی یا گندگی کی سطح</v>
      </c>
      <c r="Q117" s="2" t="s">
        <v>256</v>
      </c>
      <c r="R117" s="2" t="str">
        <f>IFERROR(__xludf.DUMMYFUNCTION("GOOGLETRANSLATE(G117,""en"",""ur"")"),"ریتلی یا گندگی کی سطح")</f>
        <v>ریتلی یا گندگی کی سطح</v>
      </c>
      <c r="S117" s="5" t="s">
        <v>341</v>
      </c>
    </row>
    <row r="118" ht="22.5" customHeight="1">
      <c r="A118" s="4">
        <v>117.0</v>
      </c>
      <c r="B118" s="5" t="s">
        <v>257</v>
      </c>
      <c r="C118" s="5" t="s">
        <v>95</v>
      </c>
      <c r="D118" s="5" t="s">
        <v>96</v>
      </c>
      <c r="E118" s="5" t="s">
        <v>97</v>
      </c>
      <c r="F118" s="5" t="s">
        <v>258</v>
      </c>
      <c r="G118" s="5" t="s">
        <v>97</v>
      </c>
      <c r="H118" s="5" t="s">
        <v>341</v>
      </c>
      <c r="K118" s="2" t="str">
        <f>IFERROR(__xludf.DUMMYFUNCTION("GOOGLETRANSLATE(A118,""en"",""ur"")"),"117")</f>
        <v>117</v>
      </c>
      <c r="L118" s="2" t="str">
        <f>IFERROR(__xludf.DUMMYFUNCTION("GOOGLETRANSLATE(B118,""en"",""ur"")"),"کھیلے جانے والے کھیل کا نام کیا ہے؟")</f>
        <v>کھیلے جانے والے کھیل کا نام کیا ہے؟</v>
      </c>
      <c r="M118" s="2" t="str">
        <f>IFERROR(__xludf.DUMMYFUNCTION("GOOGLETRANSLATE(C118,""en"",""ur"")"),"پولو")</f>
        <v>پولو</v>
      </c>
      <c r="N118" s="2" t="str">
        <f>IFERROR(__xludf.DUMMYFUNCTION("GOOGLETRANSLATE(D118,""en"",""ur"")"),"گھوڑوں کی دوڑ")</f>
        <v>گھوڑوں کی دوڑ</v>
      </c>
      <c r="O118" s="2" t="str">
        <f>IFERROR(__xludf.DUMMYFUNCTION("GOOGLETRANSLATE(E118,""en"",""ur"")"),"بزکشی۔")</f>
        <v>بزکشی۔</v>
      </c>
      <c r="P118" s="2" t="str">
        <f>IFERROR(__xludf.DUMMYFUNCTION("GOOGLETRANSLATE(F118,""en"",""ur"")"),"گھڑ سواری کے کھیل")</f>
        <v>گھڑ سواری کے کھیل</v>
      </c>
      <c r="Q118" s="2" t="s">
        <v>259</v>
      </c>
      <c r="R118" s="2" t="str">
        <f>IFERROR(__xludf.DUMMYFUNCTION("GOOGLETRANSLATE(G118,""en"",""ur"")"),"بزکشی۔")</f>
        <v>بزکشی۔</v>
      </c>
      <c r="S118" s="5" t="s">
        <v>341</v>
      </c>
    </row>
    <row r="119" ht="22.5" customHeight="1">
      <c r="A119" s="4">
        <v>118.0</v>
      </c>
      <c r="B119" s="5" t="s">
        <v>260</v>
      </c>
      <c r="C119" s="5" t="s">
        <v>261</v>
      </c>
      <c r="D119" s="5" t="s">
        <v>262</v>
      </c>
      <c r="E119" s="5" t="s">
        <v>263</v>
      </c>
      <c r="F119" s="5" t="s">
        <v>264</v>
      </c>
      <c r="G119" s="5" t="s">
        <v>263</v>
      </c>
      <c r="H119" s="5" t="s">
        <v>341</v>
      </c>
      <c r="K119" s="2" t="str">
        <f>IFERROR(__xludf.DUMMYFUNCTION("GOOGLETRANSLATE(A119,""en"",""ur"")"),"118")</f>
        <v>118</v>
      </c>
      <c r="L119" s="2" t="str">
        <f>IFERROR(__xludf.DUMMYFUNCTION("GOOGLETRANSLATE(B119,""en"",""ur"")"),"تصویر میں ایکشن ایک ایسا انداز تجویز کرتا ہے جو اس بات پر زور دیتا ہے...")</f>
        <v>تصویر میں ایکشن ایک ایسا انداز تجویز کرتا ہے جو اس بات پر زور دیتا ہے...</v>
      </c>
      <c r="M119" s="2" t="str">
        <f>IFERROR(__xludf.DUMMYFUNCTION("GOOGLETRANSLATE(C119,""en"",""ur"")"),"روانی اور قلابازیاں")</f>
        <v>روانی اور قلابازیاں</v>
      </c>
      <c r="N119" s="2" t="str">
        <f>IFERROR(__xludf.DUMMYFUNCTION("GOOGLETRANSLATE(D119,""en"",""ur"")"),"زمینی لڑائی اور گرفت")</f>
        <v>زمینی لڑائی اور گرفت</v>
      </c>
      <c r="O119" s="2" t="str">
        <f>IFERROR(__xludf.DUMMYFUNCTION("GOOGLETRANSLATE(E119,""en"",""ur"")"),"وحشیانہ قوت اور گھڑ سواری۔")</f>
        <v>وحشیانہ قوت اور گھڑ سواری۔</v>
      </c>
      <c r="P119" s="2" t="str">
        <f>IFERROR(__xludf.DUMMYFUNCTION("GOOGLETRANSLATE(F119,""en"",""ur"")"),"سادہ، لکیری حرکات")</f>
        <v>سادہ، لکیری حرکات</v>
      </c>
      <c r="Q119" s="2" t="s">
        <v>265</v>
      </c>
      <c r="R119" s="2" t="str">
        <f>IFERROR(__xludf.DUMMYFUNCTION("GOOGLETRANSLATE(G119,""en"",""ur"")"),"وحشیانہ قوت اور گھڑ سواری۔")</f>
        <v>وحشیانہ قوت اور گھڑ سواری۔</v>
      </c>
      <c r="S119" s="5" t="s">
        <v>341</v>
      </c>
    </row>
    <row r="120" ht="22.5" customHeight="1">
      <c r="A120" s="4">
        <v>119.0</v>
      </c>
      <c r="B120" s="5" t="s">
        <v>317</v>
      </c>
      <c r="C120" s="5" t="s">
        <v>136</v>
      </c>
      <c r="D120" s="5" t="s">
        <v>336</v>
      </c>
      <c r="E120" s="5" t="s">
        <v>318</v>
      </c>
      <c r="F120" s="5" t="s">
        <v>337</v>
      </c>
      <c r="G120" s="5" t="s">
        <v>336</v>
      </c>
      <c r="H120" s="5" t="s">
        <v>341</v>
      </c>
      <c r="K120" s="2" t="str">
        <f>IFERROR(__xludf.DUMMYFUNCTION("GOOGLETRANSLATE(A120,""en"",""ur"")"),"119")</f>
        <v>119</v>
      </c>
      <c r="L120" s="2" t="str">
        <f>IFERROR(__xludf.DUMMYFUNCTION("GOOGLETRANSLATE(B120,""en"",""ur"")"),"گھوڑے کے بارے میں ایک قابل ذکر تفصیل کیا ہے؟")</f>
        <v>گھوڑے کے بارے میں ایک قابل ذکر تفصیل کیا ہے؟</v>
      </c>
      <c r="M120" s="2" t="str">
        <f>IFERROR(__xludf.DUMMYFUNCTION("GOOGLETRANSLATE(C120,""en"",""ur"")"),"یہ سب ایک ہی رنگ کا ہے۔")</f>
        <v>یہ سب ایک ہی رنگ کا ہے۔</v>
      </c>
      <c r="N120" s="2" t="str">
        <f>IFERROR(__xludf.DUMMYFUNCTION("GOOGLETRANSLATE(D120,""en"",""ur"")"),"یہ ایک سفید گھوڑا ہے جس میں ایک وسیع زین ہے۔")</f>
        <v>یہ ایک سفید گھوڑا ہے جس میں ایک وسیع زین ہے۔</v>
      </c>
      <c r="O120" s="2" t="str">
        <f>IFERROR(__xludf.DUMMYFUNCTION("GOOGLETRANSLATE(E120,""en"",""ur"")"),"یہ رنگوں اور نسلوں کا مرکب ہے۔")</f>
        <v>یہ رنگوں اور نسلوں کا مرکب ہے۔</v>
      </c>
      <c r="P120" s="2" t="str">
        <f>IFERROR(__xludf.DUMMYFUNCTION("GOOGLETRANSLATE(F120,""en"",""ur"")"),"اس نے کوئی کاٹھی نہیں پہنی ہوئی ہے۔")</f>
        <v>اس نے کوئی کاٹھی نہیں پہنی ہوئی ہے۔</v>
      </c>
      <c r="Q120" s="2" t="s">
        <v>338</v>
      </c>
      <c r="R120" s="2" t="str">
        <f>IFERROR(__xludf.DUMMYFUNCTION("GOOGLETRANSLATE(G120,""en"",""ur"")"),"یہ ایک سفید گھوڑا ہے جس میں ایک وسیع زین ہے۔")</f>
        <v>یہ ایک سفید گھوڑا ہے جس میں ایک وسیع زین ہے۔</v>
      </c>
      <c r="S120" s="5" t="s">
        <v>341</v>
      </c>
    </row>
    <row r="121" ht="22.5" customHeight="1">
      <c r="A121" s="4">
        <v>120.0</v>
      </c>
      <c r="B121" s="5" t="s">
        <v>322</v>
      </c>
      <c r="C121" s="5" t="s">
        <v>297</v>
      </c>
      <c r="D121" s="5" t="s">
        <v>272</v>
      </c>
      <c r="E121" s="5" t="s">
        <v>274</v>
      </c>
      <c r="F121" s="5" t="s">
        <v>273</v>
      </c>
      <c r="G121" s="5" t="s">
        <v>273</v>
      </c>
      <c r="H121" s="5" t="s">
        <v>341</v>
      </c>
      <c r="K121" s="2" t="str">
        <f>IFERROR(__xludf.DUMMYFUNCTION("GOOGLETRANSLATE(A121,""en"",""ur"")"),"120")</f>
        <v>120</v>
      </c>
      <c r="L121" s="2" t="str">
        <f>IFERROR(__xludf.DUMMYFUNCTION("GOOGLETRANSLATE(B121,""en"",""ur"")"),"سوار کے بارے میں ایک قابل ذکر تفصیل کیا ہے؟")</f>
        <v>سوار کے بارے میں ایک قابل ذکر تفصیل کیا ہے؟</v>
      </c>
      <c r="M121" s="2" t="str">
        <f>IFERROR(__xludf.DUMMYFUNCTION("GOOGLETRANSLATE(C121,""en"",""ur"")"),"اس نے ایک کوڑا پکڑ رکھا ہے۔")</f>
        <v>اس نے ایک کوڑا پکڑ رکھا ہے۔</v>
      </c>
      <c r="N121" s="2" t="str">
        <f>IFERROR(__xludf.DUMMYFUNCTION("GOOGLETRANSLATE(D121,""en"",""ur"")"),"اس نے بینر اٹھا رکھا ہے۔")</f>
        <v>اس نے بینر اٹھا رکھا ہے۔</v>
      </c>
      <c r="O121" s="2" t="str">
        <f>IFERROR(__xludf.DUMMYFUNCTION("GOOGLETRANSLATE(E121,""en"",""ur"")"),"اس نے چھڑی پکڑی ہوئی ہے۔")</f>
        <v>اس نے چھڑی پکڑی ہوئی ہے۔</v>
      </c>
      <c r="P121" s="2" t="str">
        <f>IFERROR(__xludf.DUMMYFUNCTION("GOOGLETRANSLATE(F121,""en"",""ur"")"),"اس نے رسی پکڑی ہوئی ہے۔")</f>
        <v>اس نے رسی پکڑی ہوئی ہے۔</v>
      </c>
      <c r="Q121" s="2" t="s">
        <v>339</v>
      </c>
      <c r="R121" s="2" t="str">
        <f>IFERROR(__xludf.DUMMYFUNCTION("GOOGLETRANSLATE(G121,""en"",""ur"")"),"اس نے رسی پکڑی ہوئی ہے۔")</f>
        <v>اس نے رسی پکڑی ہوئی ہے۔</v>
      </c>
      <c r="S121" s="5" t="s">
        <v>341</v>
      </c>
    </row>
    <row r="122" ht="22.5" customHeight="1">
      <c r="A122" s="4">
        <v>121.0</v>
      </c>
      <c r="B122" s="5" t="s">
        <v>342</v>
      </c>
      <c r="C122" s="5" t="s">
        <v>103</v>
      </c>
      <c r="D122" s="5" t="s">
        <v>300</v>
      </c>
      <c r="E122" s="5" t="s">
        <v>72</v>
      </c>
      <c r="F122" s="5" t="s">
        <v>73</v>
      </c>
      <c r="G122" s="5" t="s">
        <v>300</v>
      </c>
      <c r="H122" s="5" t="s">
        <v>343</v>
      </c>
      <c r="K122" s="2" t="str">
        <f>IFERROR(__xludf.DUMMYFUNCTION("GOOGLETRANSLATE(A122,""en"",""ur"")"),"121")</f>
        <v>121</v>
      </c>
      <c r="L122" s="2" t="str">
        <f>IFERROR(__xludf.DUMMYFUNCTION("GOOGLETRANSLATE(B122,""en"",""ur"")"),"buzkashi_49 میں دکھایا گیا اہم عمل کیا ہے؟")</f>
        <v>buzkashi_49 میں دکھایا گیا اہم عمل کیا ہے؟</v>
      </c>
      <c r="M122" s="2" t="str">
        <f>IFERROR(__xludf.DUMMYFUNCTION("GOOGLETRANSLATE(C122,""en"",""ur"")"),"آرام سے گھوڑے کی سواری۔")</f>
        <v>آرام سے گھوڑے کی سواری۔</v>
      </c>
      <c r="N122" s="2" t="str">
        <f>IFERROR(__xludf.DUMMYFUNCTION("GOOGLETRANSLATE(D122,""en"",""ur"")"),"تیز رفتاری سے لاش کو لے جانے والا سوار")</f>
        <v>تیز رفتاری سے لاش کو لے جانے والا سوار</v>
      </c>
      <c r="O122" s="2" t="str">
        <f>IFERROR(__xludf.DUMMYFUNCTION("GOOGLETRANSLATE(E122,""en"",""ur"")"),"گھوڑوں کی پریڈ")</f>
        <v>گھوڑوں کی پریڈ</v>
      </c>
      <c r="P122" s="2" t="str">
        <f>IFERROR(__xludf.DUMMYFUNCTION("GOOGLETRANSLATE(F122,""en"",""ur"")"),"گھوڑوں کی دوڑ")</f>
        <v>گھوڑوں کی دوڑ</v>
      </c>
      <c r="Q122" s="2" t="s">
        <v>302</v>
      </c>
      <c r="R122" s="2" t="str">
        <f>IFERROR(__xludf.DUMMYFUNCTION("GOOGLETRANSLATE(G122,""en"",""ur"")"),"تیز رفتاری سے لاش کو لے جانے والا سوار")</f>
        <v>تیز رفتاری سے لاش کو لے جانے والا سوار</v>
      </c>
      <c r="S122" s="5" t="s">
        <v>343</v>
      </c>
    </row>
    <row r="123" ht="22.5" customHeight="1">
      <c r="A123" s="4">
        <v>122.0</v>
      </c>
      <c r="B123" s="5" t="s">
        <v>303</v>
      </c>
      <c r="C123" s="5" t="s">
        <v>284</v>
      </c>
      <c r="D123" s="5" t="s">
        <v>285</v>
      </c>
      <c r="E123" s="5" t="s">
        <v>286</v>
      </c>
      <c r="F123" s="5" t="s">
        <v>287</v>
      </c>
      <c r="G123" s="5" t="s">
        <v>286</v>
      </c>
      <c r="H123" s="5" t="s">
        <v>343</v>
      </c>
      <c r="K123" s="2" t="str">
        <f>IFERROR(__xludf.DUMMYFUNCTION("GOOGLETRANSLATE(A123,""en"",""ur"")"),"122")</f>
        <v>122</v>
      </c>
      <c r="L123" s="2" t="str">
        <f>IFERROR(__xludf.DUMMYFUNCTION("GOOGLETRANSLATE(B123,""en"",""ur"")"),"سوار جس چیز کو لے کر جا رہا ہے اس کے بارے میں ایک قابل ذکر تفصیل کیا ہے؟")</f>
        <v>سوار جس چیز کو لے کر جا رہا ہے اس کے بارے میں ایک قابل ذکر تفصیل کیا ہے؟</v>
      </c>
      <c r="M123" s="2" t="str">
        <f>IFERROR(__xludf.DUMMYFUNCTION("GOOGLETRANSLATE(C123,""en"",""ur"")"),"یہ ایک گیند ہے۔")</f>
        <v>یہ ایک گیند ہے۔</v>
      </c>
      <c r="N123" s="2" t="str">
        <f>IFERROR(__xludf.DUMMYFUNCTION("GOOGLETRANSLATE(D123,""en"",""ur"")"),"یہ ایک جھنڈا ہے۔")</f>
        <v>یہ ایک جھنڈا ہے۔</v>
      </c>
      <c r="O123" s="2" t="str">
        <f>IFERROR(__xludf.DUMMYFUNCTION("GOOGLETRANSLATE(E123,""en"",""ur"")"),"یہ ایک بکری کی لاش ہے۔")</f>
        <v>یہ ایک بکری کی لاش ہے۔</v>
      </c>
      <c r="P123" s="2" t="str">
        <f>IFERROR(__xludf.DUMMYFUNCTION("GOOGLETRANSLATE(F123,""en"",""ur"")"),"یہ ایک رسی ہے۔")</f>
        <v>یہ ایک رسی ہے۔</v>
      </c>
      <c r="Q123" s="2" t="s">
        <v>288</v>
      </c>
      <c r="R123" s="2" t="str">
        <f>IFERROR(__xludf.DUMMYFUNCTION("GOOGLETRANSLATE(G123,""en"",""ur"")"),"یہ ایک بکری کی لاش ہے۔")</f>
        <v>یہ ایک بکری کی لاش ہے۔</v>
      </c>
      <c r="S123" s="5" t="s">
        <v>343</v>
      </c>
    </row>
    <row r="124" ht="22.5" customHeight="1">
      <c r="A124" s="4">
        <v>123.0</v>
      </c>
      <c r="B124" s="5" t="s">
        <v>304</v>
      </c>
      <c r="C124" s="5" t="s">
        <v>305</v>
      </c>
      <c r="D124" s="5" t="s">
        <v>306</v>
      </c>
      <c r="E124" s="5" t="s">
        <v>307</v>
      </c>
      <c r="F124" s="5" t="s">
        <v>308</v>
      </c>
      <c r="G124" s="5" t="s">
        <v>306</v>
      </c>
      <c r="H124" s="5" t="s">
        <v>343</v>
      </c>
      <c r="K124" s="2" t="str">
        <f>IFERROR(__xludf.DUMMYFUNCTION("GOOGLETRANSLATE(A124,""en"",""ur"")"),"123")</f>
        <v>123</v>
      </c>
      <c r="L124" s="2" t="str">
        <f>IFERROR(__xludf.DUMMYFUNCTION("GOOGLETRANSLATE(B124,""en"",""ur"")"),"سوار کے لباس کے بارے میں واضح تفصیل کیا ہے؟")</f>
        <v>سوار کے لباس کے بارے میں واضح تفصیل کیا ہے؟</v>
      </c>
      <c r="M124" s="2" t="str">
        <f>IFERROR(__xludf.DUMMYFUNCTION("GOOGLETRANSLATE(C124,""en"",""ur"")"),"اس نے جدید کھیلوں کا یونیفارم پہن رکھا ہے۔")</f>
        <v>اس نے جدید کھیلوں کا یونیفارم پہن رکھا ہے۔</v>
      </c>
      <c r="N124" s="2" t="str">
        <f>IFERROR(__xludf.DUMMYFUNCTION("GOOGLETRANSLATE(D124,""en"",""ur"")"),"اس نے روایتی ٹونک اور سر کا لباس پہن رکھا ہے۔")</f>
        <v>اس نے روایتی ٹونک اور سر کا لباس پہن رکھا ہے۔</v>
      </c>
      <c r="O124" s="2" t="str">
        <f>IFERROR(__xludf.DUMMYFUNCTION("GOOGLETRANSLATE(E124,""en"",""ur"")"),"اس نے رسمی سوٹ پہن رکھا ہے۔")</f>
        <v>اس نے رسمی سوٹ پہن رکھا ہے۔</v>
      </c>
      <c r="P124" s="2" t="str">
        <f>IFERROR(__xludf.DUMMYFUNCTION("GOOGLETRANSLATE(F124,""en"",""ur"")"),"اس نے کوئی لباس نہیں پہنا ہوا ہے۔")</f>
        <v>اس نے کوئی لباس نہیں پہنا ہوا ہے۔</v>
      </c>
      <c r="Q124" s="2" t="s">
        <v>309</v>
      </c>
      <c r="R124" s="2" t="str">
        <f>IFERROR(__xludf.DUMMYFUNCTION("GOOGLETRANSLATE(G124,""en"",""ur"")"),"اس نے روایتی ٹونک اور سر کا لباس پہن رکھا ہے۔")</f>
        <v>اس نے روایتی ٹونک اور سر کا لباس پہن رکھا ہے۔</v>
      </c>
      <c r="S124" s="5" t="s">
        <v>343</v>
      </c>
    </row>
    <row r="125" ht="22.5" customHeight="1">
      <c r="A125" s="4">
        <v>124.0</v>
      </c>
      <c r="B125" s="5" t="s">
        <v>310</v>
      </c>
      <c r="C125" s="5" t="s">
        <v>311</v>
      </c>
      <c r="D125" s="5" t="s">
        <v>312</v>
      </c>
      <c r="E125" s="5" t="s">
        <v>313</v>
      </c>
      <c r="F125" s="5" t="s">
        <v>314</v>
      </c>
      <c r="G125" s="5" t="s">
        <v>312</v>
      </c>
      <c r="H125" s="5" t="s">
        <v>343</v>
      </c>
      <c r="K125" s="2" t="str">
        <f>IFERROR(__xludf.DUMMYFUNCTION("GOOGLETRANSLATE(A125,""en"",""ur"")"),"124")</f>
        <v>124</v>
      </c>
      <c r="L125" s="2" t="str">
        <f>IFERROR(__xludf.DUMMYFUNCTION("GOOGLETRANSLATE(B125,""en"",""ur"")"),"سوار کی ظاہری باڈی پوزیشن کیا ہے؟")</f>
        <v>سوار کی ظاہری باڈی پوزیشن کیا ہے؟</v>
      </c>
      <c r="M125" s="2" t="str">
        <f>IFERROR(__xludf.DUMMYFUNCTION("GOOGLETRANSLATE(C125,""en"",""ur"")"),"وہ سیدھا کھڑا ہے۔")</f>
        <v>وہ سیدھا کھڑا ہے۔</v>
      </c>
      <c r="N125" s="2" t="str">
        <f>IFERROR(__xludf.DUMMYFUNCTION("GOOGLETRANSLATE(D125,""en"",""ur"")"),"وہ جھک رہا ہے اور کسی چیز تک پہنچ رہا ہے۔")</f>
        <v>وہ جھک رہا ہے اور کسی چیز تک پہنچ رہا ہے۔</v>
      </c>
      <c r="O125" s="2" t="str">
        <f>IFERROR(__xludf.DUMMYFUNCTION("GOOGLETRANSLATE(E125,""en"",""ur"")"),"وہ گھوڑے کی پیٹھ پر لیٹا ہے۔")</f>
        <v>وہ گھوڑے کی پیٹھ پر لیٹا ہے۔</v>
      </c>
      <c r="P125" s="2" t="str">
        <f>IFERROR(__xludf.DUMMYFUNCTION("GOOGLETRANSLATE(F125,""en"",""ur"")"),"وہ آرام سے بیٹھا ہے۔")</f>
        <v>وہ آرام سے بیٹھا ہے۔</v>
      </c>
      <c r="Q125" s="2" t="s">
        <v>315</v>
      </c>
      <c r="R125" s="2" t="str">
        <f>IFERROR(__xludf.DUMMYFUNCTION("GOOGLETRANSLATE(G125,""en"",""ur"")"),"وہ جھک رہا ہے اور کسی چیز تک پہنچ رہا ہے۔")</f>
        <v>وہ جھک رہا ہے اور کسی چیز تک پہنچ رہا ہے۔</v>
      </c>
      <c r="S125" s="5" t="s">
        <v>343</v>
      </c>
    </row>
    <row r="126" ht="22.5" customHeight="1">
      <c r="A126" s="4">
        <v>125.0</v>
      </c>
      <c r="B126" s="5" t="s">
        <v>316</v>
      </c>
      <c r="C126" s="5" t="s">
        <v>47</v>
      </c>
      <c r="D126" s="5" t="s">
        <v>48</v>
      </c>
      <c r="E126" s="5" t="s">
        <v>49</v>
      </c>
      <c r="F126" s="5" t="s">
        <v>50</v>
      </c>
      <c r="G126" s="5" t="s">
        <v>49</v>
      </c>
      <c r="H126" s="5" t="s">
        <v>343</v>
      </c>
      <c r="K126" s="2" t="str">
        <f>IFERROR(__xludf.DUMMYFUNCTION("GOOGLETRANSLATE(A126,""en"",""ur"")"),"125")</f>
        <v>125</v>
      </c>
      <c r="L126" s="2" t="str">
        <f>IFERROR(__xludf.DUMMYFUNCTION("GOOGLETRANSLATE(B126,""en"",""ur"")"),"سوار کے چہرے سے ظاہری جذبات کیا ہیں؟")</f>
        <v>سوار کے چہرے سے ظاہری جذبات کیا ہیں؟</v>
      </c>
      <c r="M126" s="2" t="str">
        <f>IFERROR(__xludf.DUMMYFUNCTION("GOOGLETRANSLATE(C126,""en"",""ur"")"),"پرسکون اور پر سکون")</f>
        <v>پرسکون اور پر سکون</v>
      </c>
      <c r="N126" s="2" t="str">
        <f>IFERROR(__xludf.DUMMYFUNCTION("GOOGLETRANSLATE(D126,""en"",""ur"")"),"خوف زدہ اور بے چین")</f>
        <v>خوف زدہ اور بے چین</v>
      </c>
      <c r="O126" s="2" t="str">
        <f>IFERROR(__xludf.DUMMYFUNCTION("GOOGLETRANSLATE(E126,""en"",""ur"")"),"کشیدہ اور شدید")</f>
        <v>کشیدہ اور شدید</v>
      </c>
      <c r="P126" s="2" t="str">
        <f>IFERROR(__xludf.DUMMYFUNCTION("GOOGLETRANSLATE(F126,""en"",""ur"")"),"خوش اور مسکراتے ہوئے۔")</f>
        <v>خوش اور مسکراتے ہوئے۔</v>
      </c>
      <c r="Q126" s="2" t="s">
        <v>51</v>
      </c>
      <c r="R126" s="2" t="str">
        <f>IFERROR(__xludf.DUMMYFUNCTION("GOOGLETRANSLATE(G126,""en"",""ur"")"),"کشیدہ اور شدید")</f>
        <v>کشیدہ اور شدید</v>
      </c>
      <c r="S126" s="5" t="s">
        <v>343</v>
      </c>
    </row>
    <row r="127" ht="22.5" customHeight="1">
      <c r="A127" s="4">
        <v>126.0</v>
      </c>
      <c r="B127" s="5" t="s">
        <v>88</v>
      </c>
      <c r="C127" s="5" t="s">
        <v>89</v>
      </c>
      <c r="D127" s="5" t="s">
        <v>90</v>
      </c>
      <c r="E127" s="5" t="s">
        <v>91</v>
      </c>
      <c r="F127" s="5" t="s">
        <v>255</v>
      </c>
      <c r="G127" s="5" t="s">
        <v>255</v>
      </c>
      <c r="H127" s="5" t="s">
        <v>343</v>
      </c>
      <c r="K127" s="2" t="str">
        <f>IFERROR(__xludf.DUMMYFUNCTION("GOOGLETRANSLATE(A127,""en"",""ur"")"),"126")</f>
        <v>126</v>
      </c>
      <c r="L127" s="2" t="str">
        <f>IFERROR(__xludf.DUMMYFUNCTION("GOOGLETRANSLATE(B127,""en"",""ur"")"),"زمین کی سب سے نمایاں خصوصیت کیا ہے؟")</f>
        <v>زمین کی سب سے نمایاں خصوصیت کیا ہے؟</v>
      </c>
      <c r="M127" s="2" t="str">
        <f>IFERROR(__xludf.DUMMYFUNCTION("GOOGLETRANSLATE(C127,""en"",""ur"")"),"ایک پکی سطح")</f>
        <v>ایک پکی سطح</v>
      </c>
      <c r="N127" s="2" t="str">
        <f>IFERROR(__xludf.DUMMYFUNCTION("GOOGLETRANSLATE(D127,""en"",""ur"")"),"کیچڑ والا میدان")</f>
        <v>کیچڑ والا میدان</v>
      </c>
      <c r="O127" s="2" t="str">
        <f>IFERROR(__xludf.DUMMYFUNCTION("GOOGLETRANSLATE(E127,""en"",""ur"")"),"ایک گھاس دار سطح")</f>
        <v>ایک گھاس دار سطح</v>
      </c>
      <c r="P127" s="2" t="str">
        <f>IFERROR(__xludf.DUMMYFUNCTION("GOOGLETRANSLATE(F127,""en"",""ur"")"),"ریتلی یا گندگی کی سطح")</f>
        <v>ریتلی یا گندگی کی سطح</v>
      </c>
      <c r="Q127" s="2" t="s">
        <v>256</v>
      </c>
      <c r="R127" s="2" t="str">
        <f>IFERROR(__xludf.DUMMYFUNCTION("GOOGLETRANSLATE(G127,""en"",""ur"")"),"ریتلی یا گندگی کی سطح")</f>
        <v>ریتلی یا گندگی کی سطح</v>
      </c>
      <c r="S127" s="5" t="s">
        <v>343</v>
      </c>
    </row>
    <row r="128" ht="22.5" customHeight="1">
      <c r="A128" s="4">
        <v>127.0</v>
      </c>
      <c r="B128" s="5" t="s">
        <v>257</v>
      </c>
      <c r="C128" s="5" t="s">
        <v>95</v>
      </c>
      <c r="D128" s="5" t="s">
        <v>96</v>
      </c>
      <c r="E128" s="5" t="s">
        <v>97</v>
      </c>
      <c r="F128" s="5" t="s">
        <v>258</v>
      </c>
      <c r="G128" s="5" t="s">
        <v>97</v>
      </c>
      <c r="H128" s="5" t="s">
        <v>343</v>
      </c>
      <c r="K128" s="2" t="str">
        <f>IFERROR(__xludf.DUMMYFUNCTION("GOOGLETRANSLATE(A128,""en"",""ur"")"),"127")</f>
        <v>127</v>
      </c>
      <c r="L128" s="2" t="str">
        <f>IFERROR(__xludf.DUMMYFUNCTION("GOOGLETRANSLATE(B128,""en"",""ur"")"),"کھیلے جانے والے کھیل کا نام کیا ہے؟")</f>
        <v>کھیلے جانے والے کھیل کا نام کیا ہے؟</v>
      </c>
      <c r="M128" s="2" t="str">
        <f>IFERROR(__xludf.DUMMYFUNCTION("GOOGLETRANSLATE(C128,""en"",""ur"")"),"پولو")</f>
        <v>پولو</v>
      </c>
      <c r="N128" s="2" t="str">
        <f>IFERROR(__xludf.DUMMYFUNCTION("GOOGLETRANSLATE(D128,""en"",""ur"")"),"گھوڑوں کی دوڑ")</f>
        <v>گھوڑوں کی دوڑ</v>
      </c>
      <c r="O128" s="2" t="str">
        <f>IFERROR(__xludf.DUMMYFUNCTION("GOOGLETRANSLATE(E128,""en"",""ur"")"),"بزکشی۔")</f>
        <v>بزکشی۔</v>
      </c>
      <c r="P128" s="2" t="str">
        <f>IFERROR(__xludf.DUMMYFUNCTION("GOOGLETRANSLATE(F128,""en"",""ur"")"),"گھڑ سواری کے کھیل")</f>
        <v>گھڑ سواری کے کھیل</v>
      </c>
      <c r="Q128" s="2" t="s">
        <v>259</v>
      </c>
      <c r="R128" s="2" t="str">
        <f>IFERROR(__xludf.DUMMYFUNCTION("GOOGLETRANSLATE(G128,""en"",""ur"")"),"بزکشی۔")</f>
        <v>بزکشی۔</v>
      </c>
      <c r="S128" s="5" t="s">
        <v>343</v>
      </c>
    </row>
    <row r="129" ht="22.5" customHeight="1">
      <c r="A129" s="4">
        <v>128.0</v>
      </c>
      <c r="B129" s="5" t="s">
        <v>260</v>
      </c>
      <c r="C129" s="5" t="s">
        <v>261</v>
      </c>
      <c r="D129" s="5" t="s">
        <v>262</v>
      </c>
      <c r="E129" s="5" t="s">
        <v>263</v>
      </c>
      <c r="F129" s="5" t="s">
        <v>264</v>
      </c>
      <c r="G129" s="5" t="s">
        <v>263</v>
      </c>
      <c r="H129" s="5" t="s">
        <v>343</v>
      </c>
      <c r="K129" s="2" t="str">
        <f>IFERROR(__xludf.DUMMYFUNCTION("GOOGLETRANSLATE(A129,""en"",""ur"")"),"128")</f>
        <v>128</v>
      </c>
      <c r="L129" s="2" t="str">
        <f>IFERROR(__xludf.DUMMYFUNCTION("GOOGLETRANSLATE(B129,""en"",""ur"")"),"تصویر میں ایکشن ایک ایسا انداز تجویز کرتا ہے جو اس بات پر زور دیتا ہے...")</f>
        <v>تصویر میں ایکشن ایک ایسا انداز تجویز کرتا ہے جو اس بات پر زور دیتا ہے...</v>
      </c>
      <c r="M129" s="2" t="str">
        <f>IFERROR(__xludf.DUMMYFUNCTION("GOOGLETRANSLATE(C129,""en"",""ur"")"),"روانی اور قلابازیاں")</f>
        <v>روانی اور قلابازیاں</v>
      </c>
      <c r="N129" s="2" t="str">
        <f>IFERROR(__xludf.DUMMYFUNCTION("GOOGLETRANSLATE(D129,""en"",""ur"")"),"زمینی لڑائی اور گرفت")</f>
        <v>زمینی لڑائی اور گرفت</v>
      </c>
      <c r="O129" s="2" t="str">
        <f>IFERROR(__xludf.DUMMYFUNCTION("GOOGLETRANSLATE(E129,""en"",""ur"")"),"وحشیانہ قوت اور گھڑ سواری۔")</f>
        <v>وحشیانہ قوت اور گھڑ سواری۔</v>
      </c>
      <c r="P129" s="2" t="str">
        <f>IFERROR(__xludf.DUMMYFUNCTION("GOOGLETRANSLATE(F129,""en"",""ur"")"),"سادہ، لکیری حرکات")</f>
        <v>سادہ، لکیری حرکات</v>
      </c>
      <c r="Q129" s="2" t="s">
        <v>265</v>
      </c>
      <c r="R129" s="2" t="str">
        <f>IFERROR(__xludf.DUMMYFUNCTION("GOOGLETRANSLATE(G129,""en"",""ur"")"),"وحشیانہ قوت اور گھڑ سواری۔")</f>
        <v>وحشیانہ قوت اور گھڑ سواری۔</v>
      </c>
      <c r="S129" s="5" t="s">
        <v>343</v>
      </c>
    </row>
    <row r="130" ht="22.5" customHeight="1">
      <c r="A130" s="4">
        <v>129.0</v>
      </c>
      <c r="B130" s="5" t="s">
        <v>266</v>
      </c>
      <c r="C130" s="5" t="s">
        <v>59</v>
      </c>
      <c r="D130" s="5" t="s">
        <v>267</v>
      </c>
      <c r="E130" s="5" t="s">
        <v>61</v>
      </c>
      <c r="F130" s="5" t="s">
        <v>268</v>
      </c>
      <c r="G130" s="5" t="s">
        <v>267</v>
      </c>
      <c r="H130" s="5" t="s">
        <v>343</v>
      </c>
      <c r="K130" s="2" t="str">
        <f>IFERROR(__xludf.DUMMYFUNCTION("GOOGLETRANSLATE(A130,""en"",""ur"")"),"129")</f>
        <v>129</v>
      </c>
      <c r="L130" s="2" t="str">
        <f>IFERROR(__xludf.DUMMYFUNCTION("GOOGLETRANSLATE(B130,""en"",""ur"")"),"گھوڑوں کے بارے میں ایک قابل ذکر تفصیل کیا ہے؟")</f>
        <v>گھوڑوں کے بارے میں ایک قابل ذکر تفصیل کیا ہے؟</v>
      </c>
      <c r="M130" s="2" t="str">
        <f>IFERROR(__xludf.DUMMYFUNCTION("GOOGLETRANSLATE(C130,""en"",""ur"")"),"وہ سب ایک ہی رنگ کے ہیں۔")</f>
        <v>وہ سب ایک ہی رنگ کے ہیں۔</v>
      </c>
      <c r="N130" s="2" t="str">
        <f>IFERROR(__xludf.DUMMYFUNCTION("GOOGLETRANSLATE(D130,""en"",""ur"")"),"وہ رنگوں اور نسلوں کا مرکب ہیں۔")</f>
        <v>وہ رنگوں اور نسلوں کا مرکب ہیں۔</v>
      </c>
      <c r="O130" s="2" t="str">
        <f>IFERROR(__xludf.DUMMYFUNCTION("GOOGLETRANSLATE(E130,""en"",""ur"")"),"وہ سب وسیع نمونوں کے ساتھ زین پہنے ہوئے ہیں۔")</f>
        <v>وہ سب وسیع نمونوں کے ساتھ زین پہنے ہوئے ہیں۔</v>
      </c>
      <c r="P130" s="2" t="str">
        <f>IFERROR(__xludf.DUMMYFUNCTION("GOOGLETRANSLATE(F130,""en"",""ur"")"),"وہ سب خاموش کھڑے ہیں۔")</f>
        <v>وہ سب خاموش کھڑے ہیں۔</v>
      </c>
      <c r="Q130" s="2" t="s">
        <v>269</v>
      </c>
      <c r="R130" s="2" t="str">
        <f>IFERROR(__xludf.DUMMYFUNCTION("GOOGLETRANSLATE(G130,""en"",""ur"")"),"وہ رنگوں اور نسلوں کا مرکب ہیں۔")</f>
        <v>وہ رنگوں اور نسلوں کا مرکب ہیں۔</v>
      </c>
      <c r="S130" s="5" t="s">
        <v>343</v>
      </c>
    </row>
    <row r="131" ht="22.5" customHeight="1">
      <c r="A131" s="4">
        <v>130.0</v>
      </c>
      <c r="B131" s="5" t="s">
        <v>270</v>
      </c>
      <c r="C131" s="5" t="s">
        <v>271</v>
      </c>
      <c r="D131" s="5" t="s">
        <v>272</v>
      </c>
      <c r="E131" s="5" t="s">
        <v>273</v>
      </c>
      <c r="F131" s="5" t="s">
        <v>274</v>
      </c>
      <c r="G131" s="5" t="s">
        <v>274</v>
      </c>
      <c r="H131" s="5" t="s">
        <v>343</v>
      </c>
      <c r="K131" s="2" t="str">
        <f>IFERROR(__xludf.DUMMYFUNCTION("GOOGLETRANSLATE(A131,""en"",""ur"")"),"130")</f>
        <v>130</v>
      </c>
      <c r="L131" s="2" t="str">
        <f>IFERROR(__xludf.DUMMYFUNCTION("GOOGLETRANSLATE(B131,""en"",""ur"")"),"مرکز میں سوار کے بارے میں ایک قابل ذکر تفصیل کیا ہے؟")</f>
        <v>مرکز میں سوار کے بارے میں ایک قابل ذکر تفصیل کیا ہے؟</v>
      </c>
      <c r="M131" s="2" t="str">
        <f>IFERROR(__xludf.DUMMYFUNCTION("GOOGLETRANSLATE(C131,""en"",""ur"")"),"وہ اپنے گھوڑے سے گر رہا ہے۔")</f>
        <v>وہ اپنے گھوڑے سے گر رہا ہے۔</v>
      </c>
      <c r="N131" s="2" t="str">
        <f>IFERROR(__xludf.DUMMYFUNCTION("GOOGLETRANSLATE(D131,""en"",""ur"")"),"اس نے بینر اٹھا رکھا ہے۔")</f>
        <v>اس نے بینر اٹھا رکھا ہے۔</v>
      </c>
      <c r="O131" s="2" t="str">
        <f>IFERROR(__xludf.DUMMYFUNCTION("GOOGLETRANSLATE(E131,""en"",""ur"")"),"اس نے رسی پکڑی ہوئی ہے۔")</f>
        <v>اس نے رسی پکڑی ہوئی ہے۔</v>
      </c>
      <c r="P131" s="2" t="str">
        <f>IFERROR(__xludf.DUMMYFUNCTION("GOOGLETRANSLATE(F131,""en"",""ur"")"),"اس نے چھڑی پکڑی ہوئی ہے۔")</f>
        <v>اس نے چھڑی پکڑی ہوئی ہے۔</v>
      </c>
      <c r="Q131" s="2" t="s">
        <v>275</v>
      </c>
      <c r="R131" s="2" t="str">
        <f>IFERROR(__xludf.DUMMYFUNCTION("GOOGLETRANSLATE(G131,""en"",""ur"")"),"اس نے چھڑی پکڑی ہوئی ہے۔")</f>
        <v>اس نے چھڑی پکڑی ہوئی ہے۔</v>
      </c>
      <c r="S131" s="5" t="s">
        <v>343</v>
      </c>
    </row>
    <row r="132" ht="22.5" customHeight="1">
      <c r="A132" s="4">
        <v>131.0</v>
      </c>
      <c r="B132" s="5" t="s">
        <v>344</v>
      </c>
      <c r="C132" s="5" t="s">
        <v>103</v>
      </c>
      <c r="D132" s="5" t="s">
        <v>71</v>
      </c>
      <c r="E132" s="5" t="s">
        <v>72</v>
      </c>
      <c r="F132" s="5" t="s">
        <v>73</v>
      </c>
      <c r="G132" s="5" t="s">
        <v>71</v>
      </c>
      <c r="H132" s="5" t="s">
        <v>345</v>
      </c>
      <c r="K132" s="2" t="str">
        <f>IFERROR(__xludf.DUMMYFUNCTION("GOOGLETRANSLATE(A132,""en"",""ur"")"),"131")</f>
        <v>131</v>
      </c>
      <c r="L132" s="2" t="str">
        <f>IFERROR(__xludf.DUMMYFUNCTION("GOOGLETRANSLATE(B132,""en"",""ur"")"),"buzkashi_34 میں دکھائی جانے والی اہم کارروائی کیا ہے؟")</f>
        <v>buzkashi_34 میں دکھائی جانے والی اہم کارروائی کیا ہے؟</v>
      </c>
      <c r="M132" s="2" t="str">
        <f>IFERROR(__xludf.DUMMYFUNCTION("GOOGLETRANSLATE(C132,""en"",""ur"")"),"آرام سے گھوڑے کی سواری۔")</f>
        <v>آرام سے گھوڑے کی سواری۔</v>
      </c>
      <c r="N132" s="2" t="str">
        <f>IFERROR(__xludf.DUMMYFUNCTION("GOOGLETRANSLATE(D132,""en"",""ur"")"),"سواروں کا ایک گروپ جو مرکزی چیز کے لیے مقابلہ کر رہا ہے۔")</f>
        <v>سواروں کا ایک گروپ جو مرکزی چیز کے لیے مقابلہ کر رہا ہے۔</v>
      </c>
      <c r="O132" s="2" t="str">
        <f>IFERROR(__xludf.DUMMYFUNCTION("GOOGLETRANSLATE(E132,""en"",""ur"")"),"گھوڑوں کی پریڈ")</f>
        <v>گھوڑوں کی پریڈ</v>
      </c>
      <c r="P132" s="2" t="str">
        <f>IFERROR(__xludf.DUMMYFUNCTION("GOOGLETRANSLATE(F132,""en"",""ur"")"),"گھوڑوں کی دوڑ")</f>
        <v>گھوڑوں کی دوڑ</v>
      </c>
      <c r="Q132" s="2" t="s">
        <v>278</v>
      </c>
      <c r="R132" s="2" t="str">
        <f>IFERROR(__xludf.DUMMYFUNCTION("GOOGLETRANSLATE(G132,""en"",""ur"")"),"سواروں کا ایک گروپ جو مرکزی چیز کے لیے مقابلہ کر رہا ہے۔")</f>
        <v>سواروں کا ایک گروپ جو مرکزی چیز کے لیے مقابلہ کر رہا ہے۔</v>
      </c>
      <c r="S132" s="5" t="s">
        <v>345</v>
      </c>
    </row>
    <row r="133" ht="22.5" customHeight="1">
      <c r="A133" s="4">
        <v>132.0</v>
      </c>
      <c r="B133" s="5" t="s">
        <v>238</v>
      </c>
      <c r="C133" s="5" t="s">
        <v>239</v>
      </c>
      <c r="D133" s="5" t="s">
        <v>84</v>
      </c>
      <c r="E133" s="5" t="s">
        <v>85</v>
      </c>
      <c r="F133" s="5" t="s">
        <v>240</v>
      </c>
      <c r="G133" s="5" t="s">
        <v>84</v>
      </c>
      <c r="H133" s="5" t="s">
        <v>345</v>
      </c>
      <c r="K133" s="2" t="str">
        <f>IFERROR(__xludf.DUMMYFUNCTION("GOOGLETRANSLATE(A133,""en"",""ur"")"),"132")</f>
        <v>132</v>
      </c>
      <c r="L133" s="2" t="str">
        <f>IFERROR(__xludf.DUMMYFUNCTION("GOOGLETRANSLATE(B133,""en"",""ur"")"),"اس گیم کی ترتیب کے بارے میں ایک قابل ذکر تفصیل کیا ہے؟")</f>
        <v>اس گیم کی ترتیب کے بارے میں ایک قابل ذکر تفصیل کیا ہے؟</v>
      </c>
      <c r="M133" s="2" t="str">
        <f>IFERROR(__xludf.DUMMYFUNCTION("GOOGLETRANSLATE(C133,""en"",""ur"")"),"یہ ایک بڑے اسٹیڈیم میں ہے۔")</f>
        <v>یہ ایک بڑے اسٹیڈیم میں ہے۔</v>
      </c>
      <c r="N133" s="2" t="str">
        <f>IFERROR(__xludf.DUMMYFUNCTION("GOOGLETRANSLATE(D133,""en"",""ur"")"),"یہ پہاڑی، پتھریلی علاقے میں ایک میدان میں ہے۔")</f>
        <v>یہ پہاڑی، پتھریلی علاقے میں ایک میدان میں ہے۔</v>
      </c>
      <c r="O133" s="2" t="str">
        <f>IFERROR(__xludf.DUMMYFUNCTION("GOOGLETRANSLATE(E133,""en"",""ur"")"),"یہ شہر کی سڑک پر ہے۔")</f>
        <v>یہ شہر کی سڑک پر ہے۔</v>
      </c>
      <c r="P133" s="2" t="str">
        <f>IFERROR(__xludf.DUMMYFUNCTION("GOOGLETRANSLATE(F133,""en"",""ur"")"),"یہ ایک پرسکون ساحل سمندر پر ہے۔")</f>
        <v>یہ ایک پرسکون ساحل سمندر پر ہے۔</v>
      </c>
      <c r="Q133" s="2" t="s">
        <v>241</v>
      </c>
      <c r="R133" s="2" t="str">
        <f>IFERROR(__xludf.DUMMYFUNCTION("GOOGLETRANSLATE(G133,""en"",""ur"")"),"یہ پہاڑی، پتھریلی علاقے میں ایک میدان میں ہے۔")</f>
        <v>یہ پہاڑی، پتھریلی علاقے میں ایک میدان میں ہے۔</v>
      </c>
      <c r="S133" s="5" t="s">
        <v>345</v>
      </c>
    </row>
    <row r="134" ht="22.5" customHeight="1">
      <c r="A134" s="4">
        <v>133.0</v>
      </c>
      <c r="B134" s="5" t="s">
        <v>242</v>
      </c>
      <c r="C134" s="5" t="s">
        <v>243</v>
      </c>
      <c r="D134" s="5" t="s">
        <v>292</v>
      </c>
      <c r="E134" s="5" t="s">
        <v>245</v>
      </c>
      <c r="F134" s="5" t="s">
        <v>246</v>
      </c>
      <c r="G134" s="5" t="s">
        <v>292</v>
      </c>
      <c r="H134" s="5" t="s">
        <v>345</v>
      </c>
      <c r="K134" s="2" t="str">
        <f>IFERROR(__xludf.DUMMYFUNCTION("GOOGLETRANSLATE(A134,""en"",""ur"")"),"133")</f>
        <v>133</v>
      </c>
      <c r="L134" s="2" t="str">
        <f>IFERROR(__xludf.DUMMYFUNCTION("GOOGLETRANSLATE(B134,""en"",""ur"")"),"سواروں کے لباس کے بارے میں واضح تفصیل کیا ہے؟")</f>
        <v>سواروں کے لباس کے بارے میں واضح تفصیل کیا ہے؟</v>
      </c>
      <c r="M134" s="2" t="str">
        <f>IFERROR(__xludf.DUMMYFUNCTION("GOOGLETRANSLATE(C134,""en"",""ur"")"),"وہ جدید کھیلوں کی وردی پہنے ہوئے ہیں۔")</f>
        <v>وہ جدید کھیلوں کی وردی پہنے ہوئے ہیں۔</v>
      </c>
      <c r="N134" s="2" t="str">
        <f>IFERROR(__xludf.DUMMYFUNCTION("GOOGLETRANSLATE(D134,""en"",""ur"")"),"وہ روایتی ٹونکس اور سر کے لباس پہنے ہوئے ہیں۔")</f>
        <v>وہ روایتی ٹونکس اور سر کے لباس پہنے ہوئے ہیں۔</v>
      </c>
      <c r="O134" s="2" t="str">
        <f>IFERROR(__xludf.DUMMYFUNCTION("GOOGLETRANSLATE(E134,""en"",""ur"")"),"وہ رسمی سوٹ پہنے ہوئے ہیں۔")</f>
        <v>وہ رسمی سوٹ پہنے ہوئے ہیں۔</v>
      </c>
      <c r="P134" s="2" t="str">
        <f>IFERROR(__xludf.DUMMYFUNCTION("GOOGLETRANSLATE(F134,""en"",""ur"")"),"انہوں نے کوئی لباس نہیں پہنا ہوا ہے۔")</f>
        <v>انہوں نے کوئی لباس نہیں پہنا ہوا ہے۔</v>
      </c>
      <c r="Q134" s="2" t="s">
        <v>293</v>
      </c>
      <c r="R134" s="2" t="str">
        <f>IFERROR(__xludf.DUMMYFUNCTION("GOOGLETRANSLATE(G134,""en"",""ur"")"),"وہ روایتی ٹونکس اور سر کے لباس پہنے ہوئے ہیں۔")</f>
        <v>وہ روایتی ٹونکس اور سر کے لباس پہنے ہوئے ہیں۔</v>
      </c>
      <c r="S134" s="5" t="s">
        <v>345</v>
      </c>
    </row>
    <row r="135" ht="22.5" customHeight="1">
      <c r="A135" s="4">
        <v>134.0</v>
      </c>
      <c r="B135" s="5" t="s">
        <v>248</v>
      </c>
      <c r="C135" s="5" t="s">
        <v>249</v>
      </c>
      <c r="D135" s="5" t="s">
        <v>250</v>
      </c>
      <c r="E135" s="5" t="s">
        <v>251</v>
      </c>
      <c r="F135" s="5" t="s">
        <v>252</v>
      </c>
      <c r="G135" s="5" t="s">
        <v>250</v>
      </c>
      <c r="H135" s="5" t="s">
        <v>345</v>
      </c>
      <c r="K135" s="2" t="str">
        <f>IFERROR(__xludf.DUMMYFUNCTION("GOOGLETRANSLATE(A135,""en"",""ur"")"),"134")</f>
        <v>134</v>
      </c>
      <c r="L135" s="2" t="str">
        <f>IFERROR(__xludf.DUMMYFUNCTION("GOOGLETRANSLATE(B135,""en"",""ur"")"),"سواروں کی ظاہری باڈی پوزیشن کیا ہے؟")</f>
        <v>سواروں کی ظاہری باڈی پوزیشن کیا ہے؟</v>
      </c>
      <c r="M135" s="2" t="str">
        <f>IFERROR(__xludf.DUMMYFUNCTION("GOOGLETRANSLATE(C135,""en"",""ur"")"),"وہ سیدھے کھڑے ہیں۔")</f>
        <v>وہ سیدھے کھڑے ہیں۔</v>
      </c>
      <c r="N135" s="2" t="str">
        <f>IFERROR(__xludf.DUMMYFUNCTION("GOOGLETRANSLATE(D135,""en"",""ur"")"),"وہ جھک رہے ہیں اور کسی چیز تک پہنچ رہے ہیں۔")</f>
        <v>وہ جھک رہے ہیں اور کسی چیز تک پہنچ رہے ہیں۔</v>
      </c>
      <c r="O135" s="2" t="str">
        <f>IFERROR(__xludf.DUMMYFUNCTION("GOOGLETRANSLATE(E135,""en"",""ur"")"),"وہ گھوڑوں کی پیٹھ پر لیٹے ہوئے ہیں۔")</f>
        <v>وہ گھوڑوں کی پیٹھ پر لیٹے ہوئے ہیں۔</v>
      </c>
      <c r="P135" s="2" t="str">
        <f>IFERROR(__xludf.DUMMYFUNCTION("GOOGLETRANSLATE(F135,""en"",""ur"")"),"وہ آرام سے بیٹھے ہیں۔")</f>
        <v>وہ آرام سے بیٹھے ہیں۔</v>
      </c>
      <c r="Q135" s="2" t="s">
        <v>253</v>
      </c>
      <c r="R135" s="2" t="str">
        <f>IFERROR(__xludf.DUMMYFUNCTION("GOOGLETRANSLATE(G135,""en"",""ur"")"),"وہ جھک رہے ہیں اور کسی چیز تک پہنچ رہے ہیں۔")</f>
        <v>وہ جھک رہے ہیں اور کسی چیز تک پہنچ رہے ہیں۔</v>
      </c>
      <c r="S135" s="5" t="s">
        <v>345</v>
      </c>
    </row>
    <row r="136" ht="22.5" customHeight="1">
      <c r="A136" s="4">
        <v>135.0</v>
      </c>
      <c r="B136" s="5" t="s">
        <v>254</v>
      </c>
      <c r="C136" s="5" t="s">
        <v>47</v>
      </c>
      <c r="D136" s="5" t="s">
        <v>48</v>
      </c>
      <c r="E136" s="5" t="s">
        <v>49</v>
      </c>
      <c r="F136" s="5" t="s">
        <v>50</v>
      </c>
      <c r="G136" s="5" t="s">
        <v>49</v>
      </c>
      <c r="H136" s="5" t="s">
        <v>345</v>
      </c>
      <c r="K136" s="2" t="str">
        <f>IFERROR(__xludf.DUMMYFUNCTION("GOOGLETRANSLATE(A136,""en"",""ur"")"),"135")</f>
        <v>135</v>
      </c>
      <c r="L136" s="2" t="str">
        <f>IFERROR(__xludf.DUMMYFUNCTION("GOOGLETRANSLATE(B136,""en"",""ur"")"),"سواروں کے چہروں سے ظاہری جذبات کیا ہیں؟")</f>
        <v>سواروں کے چہروں سے ظاہری جذبات کیا ہیں؟</v>
      </c>
      <c r="M136" s="2" t="str">
        <f>IFERROR(__xludf.DUMMYFUNCTION("GOOGLETRANSLATE(C136,""en"",""ur"")"),"پرسکون اور پر سکون")</f>
        <v>پرسکون اور پر سکون</v>
      </c>
      <c r="N136" s="2" t="str">
        <f>IFERROR(__xludf.DUMMYFUNCTION("GOOGLETRANSLATE(D136,""en"",""ur"")"),"خوف زدہ اور بے چین")</f>
        <v>خوف زدہ اور بے چین</v>
      </c>
      <c r="O136" s="2" t="str">
        <f>IFERROR(__xludf.DUMMYFUNCTION("GOOGLETRANSLATE(E136,""en"",""ur"")"),"کشیدہ اور شدید")</f>
        <v>کشیدہ اور شدید</v>
      </c>
      <c r="P136" s="2" t="str">
        <f>IFERROR(__xludf.DUMMYFUNCTION("GOOGLETRANSLATE(F136,""en"",""ur"")"),"خوش اور مسکراتے ہوئے۔")</f>
        <v>خوش اور مسکراتے ہوئے۔</v>
      </c>
      <c r="Q136" s="2" t="s">
        <v>51</v>
      </c>
      <c r="R136" s="2" t="str">
        <f>IFERROR(__xludf.DUMMYFUNCTION("GOOGLETRANSLATE(G136,""en"",""ur"")"),"کشیدہ اور شدید")</f>
        <v>کشیدہ اور شدید</v>
      </c>
      <c r="S136" s="5" t="s">
        <v>345</v>
      </c>
    </row>
    <row r="137" ht="22.5" customHeight="1">
      <c r="A137" s="4">
        <v>136.0</v>
      </c>
      <c r="B137" s="5" t="s">
        <v>88</v>
      </c>
      <c r="C137" s="5" t="s">
        <v>89</v>
      </c>
      <c r="D137" s="5" t="s">
        <v>90</v>
      </c>
      <c r="E137" s="5" t="s">
        <v>91</v>
      </c>
      <c r="F137" s="5" t="s">
        <v>255</v>
      </c>
      <c r="G137" s="5" t="s">
        <v>255</v>
      </c>
      <c r="H137" s="5" t="s">
        <v>345</v>
      </c>
      <c r="K137" s="2" t="str">
        <f>IFERROR(__xludf.DUMMYFUNCTION("GOOGLETRANSLATE(A137,""en"",""ur"")"),"136")</f>
        <v>136</v>
      </c>
      <c r="L137" s="2" t="str">
        <f>IFERROR(__xludf.DUMMYFUNCTION("GOOGLETRANSLATE(B137,""en"",""ur"")"),"زمین کی سب سے نمایاں خصوصیت کیا ہے؟")</f>
        <v>زمین کی سب سے نمایاں خصوصیت کیا ہے؟</v>
      </c>
      <c r="M137" s="2" t="str">
        <f>IFERROR(__xludf.DUMMYFUNCTION("GOOGLETRANSLATE(C137,""en"",""ur"")"),"ایک پکی سطح")</f>
        <v>ایک پکی سطح</v>
      </c>
      <c r="N137" s="2" t="str">
        <f>IFERROR(__xludf.DUMMYFUNCTION("GOOGLETRANSLATE(D137,""en"",""ur"")"),"کیچڑ والا میدان")</f>
        <v>کیچڑ والا میدان</v>
      </c>
      <c r="O137" s="2" t="str">
        <f>IFERROR(__xludf.DUMMYFUNCTION("GOOGLETRANSLATE(E137,""en"",""ur"")"),"ایک گھاس دار سطح")</f>
        <v>ایک گھاس دار سطح</v>
      </c>
      <c r="P137" s="2" t="str">
        <f>IFERROR(__xludf.DUMMYFUNCTION("GOOGLETRANSLATE(F137,""en"",""ur"")"),"ریتلی یا گندگی کی سطح")</f>
        <v>ریتلی یا گندگی کی سطح</v>
      </c>
      <c r="Q137" s="2" t="s">
        <v>256</v>
      </c>
      <c r="R137" s="2" t="str">
        <f>IFERROR(__xludf.DUMMYFUNCTION("GOOGLETRANSLATE(G137,""en"",""ur"")"),"ریتلی یا گندگی کی سطح")</f>
        <v>ریتلی یا گندگی کی سطح</v>
      </c>
      <c r="S137" s="5" t="s">
        <v>345</v>
      </c>
    </row>
    <row r="138" ht="22.5" customHeight="1">
      <c r="A138" s="4">
        <v>137.0</v>
      </c>
      <c r="B138" s="5" t="s">
        <v>257</v>
      </c>
      <c r="C138" s="5" t="s">
        <v>95</v>
      </c>
      <c r="D138" s="5" t="s">
        <v>96</v>
      </c>
      <c r="E138" s="5" t="s">
        <v>97</v>
      </c>
      <c r="F138" s="5" t="s">
        <v>258</v>
      </c>
      <c r="G138" s="5" t="s">
        <v>97</v>
      </c>
      <c r="H138" s="5" t="s">
        <v>345</v>
      </c>
      <c r="K138" s="2" t="str">
        <f>IFERROR(__xludf.DUMMYFUNCTION("GOOGLETRANSLATE(A138,""en"",""ur"")"),"137")</f>
        <v>137</v>
      </c>
      <c r="L138" s="2" t="str">
        <f>IFERROR(__xludf.DUMMYFUNCTION("GOOGLETRANSLATE(B138,""en"",""ur"")"),"کھیلے جانے والے کھیل کا نام کیا ہے؟")</f>
        <v>کھیلے جانے والے کھیل کا نام کیا ہے؟</v>
      </c>
      <c r="M138" s="2" t="str">
        <f>IFERROR(__xludf.DUMMYFUNCTION("GOOGLETRANSLATE(C138,""en"",""ur"")"),"پولو")</f>
        <v>پولو</v>
      </c>
      <c r="N138" s="2" t="str">
        <f>IFERROR(__xludf.DUMMYFUNCTION("GOOGLETRANSLATE(D138,""en"",""ur"")"),"گھوڑوں کی دوڑ")</f>
        <v>گھوڑوں کی دوڑ</v>
      </c>
      <c r="O138" s="2" t="str">
        <f>IFERROR(__xludf.DUMMYFUNCTION("GOOGLETRANSLATE(E138,""en"",""ur"")"),"بزکشی۔")</f>
        <v>بزکشی۔</v>
      </c>
      <c r="P138" s="2" t="str">
        <f>IFERROR(__xludf.DUMMYFUNCTION("GOOGLETRANSLATE(F138,""en"",""ur"")"),"گھڑ سواری کے کھیل")</f>
        <v>گھڑ سواری کے کھیل</v>
      </c>
      <c r="Q138" s="2" t="s">
        <v>259</v>
      </c>
      <c r="R138" s="2" t="str">
        <f>IFERROR(__xludf.DUMMYFUNCTION("GOOGLETRANSLATE(G138,""en"",""ur"")"),"بزکشی۔")</f>
        <v>بزکشی۔</v>
      </c>
      <c r="S138" s="5" t="s">
        <v>345</v>
      </c>
    </row>
    <row r="139" ht="22.5" customHeight="1">
      <c r="A139" s="4">
        <v>138.0</v>
      </c>
      <c r="B139" s="5" t="s">
        <v>260</v>
      </c>
      <c r="C139" s="5" t="s">
        <v>261</v>
      </c>
      <c r="D139" s="5" t="s">
        <v>262</v>
      </c>
      <c r="E139" s="5" t="s">
        <v>263</v>
      </c>
      <c r="F139" s="5" t="s">
        <v>264</v>
      </c>
      <c r="G139" s="5" t="s">
        <v>263</v>
      </c>
      <c r="H139" s="5" t="s">
        <v>345</v>
      </c>
      <c r="K139" s="2" t="str">
        <f>IFERROR(__xludf.DUMMYFUNCTION("GOOGLETRANSLATE(A139,""en"",""ur"")"),"138")</f>
        <v>138</v>
      </c>
      <c r="L139" s="2" t="str">
        <f>IFERROR(__xludf.DUMMYFUNCTION("GOOGLETRANSLATE(B139,""en"",""ur"")"),"تصویر میں ایکشن ایک ایسا انداز تجویز کرتا ہے جو اس بات پر زور دیتا ہے...")</f>
        <v>تصویر میں ایکشن ایک ایسا انداز تجویز کرتا ہے جو اس بات پر زور دیتا ہے...</v>
      </c>
      <c r="M139" s="2" t="str">
        <f>IFERROR(__xludf.DUMMYFUNCTION("GOOGLETRANSLATE(C139,""en"",""ur"")"),"روانی اور قلابازیاں")</f>
        <v>روانی اور قلابازیاں</v>
      </c>
      <c r="N139" s="2" t="str">
        <f>IFERROR(__xludf.DUMMYFUNCTION("GOOGLETRANSLATE(D139,""en"",""ur"")"),"زمینی لڑائی اور گرفت")</f>
        <v>زمینی لڑائی اور گرفت</v>
      </c>
      <c r="O139" s="2" t="str">
        <f>IFERROR(__xludf.DUMMYFUNCTION("GOOGLETRANSLATE(E139,""en"",""ur"")"),"وحشیانہ قوت اور گھڑ سواری۔")</f>
        <v>وحشیانہ قوت اور گھڑ سواری۔</v>
      </c>
      <c r="P139" s="2" t="str">
        <f>IFERROR(__xludf.DUMMYFUNCTION("GOOGLETRANSLATE(F139,""en"",""ur"")"),"سادہ، لکیری حرکات")</f>
        <v>سادہ، لکیری حرکات</v>
      </c>
      <c r="Q139" s="2" t="s">
        <v>265</v>
      </c>
      <c r="R139" s="2" t="str">
        <f>IFERROR(__xludf.DUMMYFUNCTION("GOOGLETRANSLATE(G139,""en"",""ur"")"),"وحشیانہ قوت اور گھڑ سواری۔")</f>
        <v>وحشیانہ قوت اور گھڑ سواری۔</v>
      </c>
      <c r="S139" s="5" t="s">
        <v>345</v>
      </c>
    </row>
    <row r="140" ht="22.5" customHeight="1">
      <c r="A140" s="4">
        <v>139.0</v>
      </c>
      <c r="B140" s="5" t="s">
        <v>266</v>
      </c>
      <c r="C140" s="5" t="s">
        <v>59</v>
      </c>
      <c r="D140" s="5" t="s">
        <v>267</v>
      </c>
      <c r="E140" s="5" t="s">
        <v>61</v>
      </c>
      <c r="F140" s="5" t="s">
        <v>268</v>
      </c>
      <c r="G140" s="5" t="s">
        <v>267</v>
      </c>
      <c r="H140" s="5" t="s">
        <v>345</v>
      </c>
      <c r="K140" s="2" t="str">
        <f>IFERROR(__xludf.DUMMYFUNCTION("GOOGLETRANSLATE(A140,""en"",""ur"")"),"139")</f>
        <v>139</v>
      </c>
      <c r="L140" s="2" t="str">
        <f>IFERROR(__xludf.DUMMYFUNCTION("GOOGLETRANSLATE(B140,""en"",""ur"")"),"گھوڑوں کے بارے میں ایک قابل ذکر تفصیل کیا ہے؟")</f>
        <v>گھوڑوں کے بارے میں ایک قابل ذکر تفصیل کیا ہے؟</v>
      </c>
      <c r="M140" s="2" t="str">
        <f>IFERROR(__xludf.DUMMYFUNCTION("GOOGLETRANSLATE(C140,""en"",""ur"")"),"وہ سب ایک ہی رنگ کے ہیں۔")</f>
        <v>وہ سب ایک ہی رنگ کے ہیں۔</v>
      </c>
      <c r="N140" s="2" t="str">
        <f>IFERROR(__xludf.DUMMYFUNCTION("GOOGLETRANSLATE(D140,""en"",""ur"")"),"وہ رنگوں اور نسلوں کا مرکب ہیں۔")</f>
        <v>وہ رنگوں اور نسلوں کا مرکب ہیں۔</v>
      </c>
      <c r="O140" s="2" t="str">
        <f>IFERROR(__xludf.DUMMYFUNCTION("GOOGLETRANSLATE(E140,""en"",""ur"")"),"وہ سب وسیع نمونوں کے ساتھ زین پہنے ہوئے ہیں۔")</f>
        <v>وہ سب وسیع نمونوں کے ساتھ زین پہنے ہوئے ہیں۔</v>
      </c>
      <c r="P140" s="2" t="str">
        <f>IFERROR(__xludf.DUMMYFUNCTION("GOOGLETRANSLATE(F140,""en"",""ur"")"),"وہ سب خاموش کھڑے ہیں۔")</f>
        <v>وہ سب خاموش کھڑے ہیں۔</v>
      </c>
      <c r="Q140" s="2" t="s">
        <v>269</v>
      </c>
      <c r="R140" s="2" t="str">
        <f>IFERROR(__xludf.DUMMYFUNCTION("GOOGLETRANSLATE(G140,""en"",""ur"")"),"وہ رنگوں اور نسلوں کا مرکب ہیں۔")</f>
        <v>وہ رنگوں اور نسلوں کا مرکب ہیں۔</v>
      </c>
      <c r="S140" s="5" t="s">
        <v>345</v>
      </c>
    </row>
    <row r="141" ht="22.5" customHeight="1">
      <c r="A141" s="4">
        <v>140.0</v>
      </c>
      <c r="B141" s="5" t="s">
        <v>270</v>
      </c>
      <c r="C141" s="5" t="s">
        <v>271</v>
      </c>
      <c r="D141" s="5" t="s">
        <v>272</v>
      </c>
      <c r="E141" s="5" t="s">
        <v>273</v>
      </c>
      <c r="F141" s="5" t="s">
        <v>274</v>
      </c>
      <c r="G141" s="5" t="s">
        <v>274</v>
      </c>
      <c r="H141" s="5" t="s">
        <v>345</v>
      </c>
      <c r="K141" s="2" t="str">
        <f>IFERROR(__xludf.DUMMYFUNCTION("GOOGLETRANSLATE(A141,""en"",""ur"")"),"140")</f>
        <v>140</v>
      </c>
      <c r="L141" s="2" t="str">
        <f>IFERROR(__xludf.DUMMYFUNCTION("GOOGLETRANSLATE(B141,""en"",""ur"")"),"مرکز میں سوار کے بارے میں ایک قابل ذکر تفصیل کیا ہے؟")</f>
        <v>مرکز میں سوار کے بارے میں ایک قابل ذکر تفصیل کیا ہے؟</v>
      </c>
      <c r="M141" s="2" t="str">
        <f>IFERROR(__xludf.DUMMYFUNCTION("GOOGLETRANSLATE(C141,""en"",""ur"")"),"وہ اپنے گھوڑے سے گر رہا ہے۔")</f>
        <v>وہ اپنے گھوڑے سے گر رہا ہے۔</v>
      </c>
      <c r="N141" s="2" t="str">
        <f>IFERROR(__xludf.DUMMYFUNCTION("GOOGLETRANSLATE(D141,""en"",""ur"")"),"اس نے بینر اٹھا رکھا ہے۔")</f>
        <v>اس نے بینر اٹھا رکھا ہے۔</v>
      </c>
      <c r="O141" s="2" t="str">
        <f>IFERROR(__xludf.DUMMYFUNCTION("GOOGLETRANSLATE(E141,""en"",""ur"")"),"اس نے رسی پکڑی ہوئی ہے۔")</f>
        <v>اس نے رسی پکڑی ہوئی ہے۔</v>
      </c>
      <c r="P141" s="2" t="str">
        <f>IFERROR(__xludf.DUMMYFUNCTION("GOOGLETRANSLATE(F141,""en"",""ur"")"),"اس نے چھڑی پکڑی ہوئی ہے۔")</f>
        <v>اس نے چھڑی پکڑی ہوئی ہے۔</v>
      </c>
      <c r="Q141" s="2" t="s">
        <v>275</v>
      </c>
      <c r="R141" s="2" t="str">
        <f>IFERROR(__xludf.DUMMYFUNCTION("GOOGLETRANSLATE(G141,""en"",""ur"")"),"اس نے چھڑی پکڑی ہوئی ہے۔")</f>
        <v>اس نے چھڑی پکڑی ہوئی ہے۔</v>
      </c>
      <c r="S141" s="5" t="s">
        <v>345</v>
      </c>
    </row>
    <row r="142" ht="22.5" customHeight="1">
      <c r="A142" s="4">
        <v>141.0</v>
      </c>
      <c r="B142" s="5" t="s">
        <v>346</v>
      </c>
      <c r="C142" s="5" t="s">
        <v>103</v>
      </c>
      <c r="D142" s="5" t="s">
        <v>71</v>
      </c>
      <c r="E142" s="5" t="s">
        <v>72</v>
      </c>
      <c r="F142" s="5" t="s">
        <v>73</v>
      </c>
      <c r="G142" s="5" t="s">
        <v>71</v>
      </c>
      <c r="H142" s="5" t="s">
        <v>347</v>
      </c>
      <c r="K142" s="2" t="str">
        <f>IFERROR(__xludf.DUMMYFUNCTION("GOOGLETRANSLATE(A142,""en"",""ur"")"),"141")</f>
        <v>141</v>
      </c>
      <c r="L142" s="2" t="str">
        <f>IFERROR(__xludf.DUMMYFUNCTION("GOOGLETRANSLATE(B142,""en"",""ur"")"),"buzkashi_51 میں دکھائی جانے والی اہم کارروائی کیا ہے؟")</f>
        <v>buzkashi_51 میں دکھائی جانے والی اہم کارروائی کیا ہے؟</v>
      </c>
      <c r="M142" s="2" t="str">
        <f>IFERROR(__xludf.DUMMYFUNCTION("GOOGLETRANSLATE(C142,""en"",""ur"")"),"آرام سے گھوڑے کی سواری۔")</f>
        <v>آرام سے گھوڑے کی سواری۔</v>
      </c>
      <c r="N142" s="2" t="str">
        <f>IFERROR(__xludf.DUMMYFUNCTION("GOOGLETRANSLATE(D142,""en"",""ur"")"),"سواروں کا ایک گروپ جو مرکزی چیز کے لیے مقابلہ کر رہا ہے۔")</f>
        <v>سواروں کا ایک گروپ جو مرکزی چیز کے لیے مقابلہ کر رہا ہے۔</v>
      </c>
      <c r="O142" s="2" t="str">
        <f>IFERROR(__xludf.DUMMYFUNCTION("GOOGLETRANSLATE(E142,""en"",""ur"")"),"گھوڑوں کی پریڈ")</f>
        <v>گھوڑوں کی پریڈ</v>
      </c>
      <c r="P142" s="2" t="str">
        <f>IFERROR(__xludf.DUMMYFUNCTION("GOOGLETRANSLATE(F142,""en"",""ur"")"),"گھوڑوں کی دوڑ")</f>
        <v>گھوڑوں کی دوڑ</v>
      </c>
      <c r="Q142" s="2" t="s">
        <v>278</v>
      </c>
      <c r="R142" s="2" t="str">
        <f>IFERROR(__xludf.DUMMYFUNCTION("GOOGLETRANSLATE(G142,""en"",""ur"")"),"سواروں کا ایک گروپ جو مرکزی چیز کے لیے مقابلہ کر رہا ہے۔")</f>
        <v>سواروں کا ایک گروپ جو مرکزی چیز کے لیے مقابلہ کر رہا ہے۔</v>
      </c>
      <c r="S142" s="5" t="s">
        <v>347</v>
      </c>
    </row>
    <row r="143" ht="22.5" customHeight="1">
      <c r="A143" s="4">
        <v>142.0</v>
      </c>
      <c r="B143" s="5" t="s">
        <v>348</v>
      </c>
      <c r="C143" s="5" t="s">
        <v>284</v>
      </c>
      <c r="D143" s="5" t="s">
        <v>285</v>
      </c>
      <c r="E143" s="5" t="s">
        <v>286</v>
      </c>
      <c r="F143" s="5" t="s">
        <v>287</v>
      </c>
      <c r="G143" s="5" t="s">
        <v>286</v>
      </c>
      <c r="H143" s="5" t="s">
        <v>347</v>
      </c>
      <c r="K143" s="2" t="str">
        <f>IFERROR(__xludf.DUMMYFUNCTION("GOOGLETRANSLATE(A143,""en"",""ur"")"),"142")</f>
        <v>142</v>
      </c>
      <c r="L143" s="2" t="str">
        <f>IFERROR(__xludf.DUMMYFUNCTION("GOOGLETRANSLATE(B143,""en"",""ur"")"),"سوار جس چیز کا مقابلہ کر رہے ہیں اس کے بارے میں ایک قابل ذکر تفصیل کیا ہے؟")</f>
        <v>سوار جس چیز کا مقابلہ کر رہے ہیں اس کے بارے میں ایک قابل ذکر تفصیل کیا ہے؟</v>
      </c>
      <c r="M143" s="2" t="str">
        <f>IFERROR(__xludf.DUMMYFUNCTION("GOOGLETRANSLATE(C143,""en"",""ur"")"),"یہ ایک گیند ہے۔")</f>
        <v>یہ ایک گیند ہے۔</v>
      </c>
      <c r="N143" s="2" t="str">
        <f>IFERROR(__xludf.DUMMYFUNCTION("GOOGLETRANSLATE(D143,""en"",""ur"")"),"یہ ایک جھنڈا ہے۔")</f>
        <v>یہ ایک جھنڈا ہے۔</v>
      </c>
      <c r="O143" s="2" t="str">
        <f>IFERROR(__xludf.DUMMYFUNCTION("GOOGLETRANSLATE(E143,""en"",""ur"")"),"یہ ایک بکری کی لاش ہے۔")</f>
        <v>یہ ایک بکری کی لاش ہے۔</v>
      </c>
      <c r="P143" s="2" t="str">
        <f>IFERROR(__xludf.DUMMYFUNCTION("GOOGLETRANSLATE(F143,""en"",""ur"")"),"یہ ایک رسی ہے۔")</f>
        <v>یہ ایک رسی ہے۔</v>
      </c>
      <c r="Q143" s="2" t="s">
        <v>288</v>
      </c>
      <c r="R143" s="2" t="str">
        <f>IFERROR(__xludf.DUMMYFUNCTION("GOOGLETRANSLATE(G143,""en"",""ur"")"),"یہ ایک بکری کی لاش ہے۔")</f>
        <v>یہ ایک بکری کی لاش ہے۔</v>
      </c>
      <c r="S143" s="5" t="s">
        <v>347</v>
      </c>
    </row>
    <row r="144" ht="22.5" customHeight="1">
      <c r="A144" s="4">
        <v>143.0</v>
      </c>
      <c r="B144" s="5" t="s">
        <v>242</v>
      </c>
      <c r="C144" s="5" t="s">
        <v>243</v>
      </c>
      <c r="D144" s="5" t="s">
        <v>292</v>
      </c>
      <c r="E144" s="5" t="s">
        <v>245</v>
      </c>
      <c r="F144" s="5" t="s">
        <v>246</v>
      </c>
      <c r="G144" s="5" t="s">
        <v>292</v>
      </c>
      <c r="H144" s="5" t="s">
        <v>347</v>
      </c>
      <c r="K144" s="2" t="str">
        <f>IFERROR(__xludf.DUMMYFUNCTION("GOOGLETRANSLATE(A144,""en"",""ur"")"),"143")</f>
        <v>143</v>
      </c>
      <c r="L144" s="2" t="str">
        <f>IFERROR(__xludf.DUMMYFUNCTION("GOOGLETRANSLATE(B144,""en"",""ur"")"),"سواروں کے لباس کے بارے میں واضح تفصیل کیا ہے؟")</f>
        <v>سواروں کے لباس کے بارے میں واضح تفصیل کیا ہے؟</v>
      </c>
      <c r="M144" s="2" t="str">
        <f>IFERROR(__xludf.DUMMYFUNCTION("GOOGLETRANSLATE(C144,""en"",""ur"")"),"وہ جدید کھیلوں کی وردی پہنے ہوئے ہیں۔")</f>
        <v>وہ جدید کھیلوں کی وردی پہنے ہوئے ہیں۔</v>
      </c>
      <c r="N144" s="2" t="str">
        <f>IFERROR(__xludf.DUMMYFUNCTION("GOOGLETRANSLATE(D144,""en"",""ur"")"),"وہ روایتی ٹونکس اور سر کے لباس پہنے ہوئے ہیں۔")</f>
        <v>وہ روایتی ٹونکس اور سر کے لباس پہنے ہوئے ہیں۔</v>
      </c>
      <c r="O144" s="2" t="str">
        <f>IFERROR(__xludf.DUMMYFUNCTION("GOOGLETRANSLATE(E144,""en"",""ur"")"),"وہ رسمی سوٹ پہنے ہوئے ہیں۔")</f>
        <v>وہ رسمی سوٹ پہنے ہوئے ہیں۔</v>
      </c>
      <c r="P144" s="2" t="str">
        <f>IFERROR(__xludf.DUMMYFUNCTION("GOOGLETRANSLATE(F144,""en"",""ur"")"),"انہوں نے کوئی لباس نہیں پہنا ہوا ہے۔")</f>
        <v>انہوں نے کوئی لباس نہیں پہنا ہوا ہے۔</v>
      </c>
      <c r="Q144" s="2" t="s">
        <v>293</v>
      </c>
      <c r="R144" s="2" t="str">
        <f>IFERROR(__xludf.DUMMYFUNCTION("GOOGLETRANSLATE(G144,""en"",""ur"")"),"وہ روایتی ٹونکس اور سر کے لباس پہنے ہوئے ہیں۔")</f>
        <v>وہ روایتی ٹونکس اور سر کے لباس پہنے ہوئے ہیں۔</v>
      </c>
      <c r="S144" s="5" t="s">
        <v>347</v>
      </c>
    </row>
    <row r="145" ht="22.5" customHeight="1">
      <c r="A145" s="4">
        <v>144.0</v>
      </c>
      <c r="B145" s="5" t="s">
        <v>248</v>
      </c>
      <c r="C145" s="5" t="s">
        <v>249</v>
      </c>
      <c r="D145" s="5" t="s">
        <v>250</v>
      </c>
      <c r="E145" s="5" t="s">
        <v>251</v>
      </c>
      <c r="F145" s="5" t="s">
        <v>252</v>
      </c>
      <c r="G145" s="5" t="s">
        <v>250</v>
      </c>
      <c r="H145" s="5" t="s">
        <v>347</v>
      </c>
      <c r="K145" s="2" t="str">
        <f>IFERROR(__xludf.DUMMYFUNCTION("GOOGLETRANSLATE(A145,""en"",""ur"")"),"144")</f>
        <v>144</v>
      </c>
      <c r="L145" s="2" t="str">
        <f>IFERROR(__xludf.DUMMYFUNCTION("GOOGLETRANSLATE(B145,""en"",""ur"")"),"سواروں کی ظاہری باڈی پوزیشن کیا ہے؟")</f>
        <v>سواروں کی ظاہری باڈی پوزیشن کیا ہے؟</v>
      </c>
      <c r="M145" s="2" t="str">
        <f>IFERROR(__xludf.DUMMYFUNCTION("GOOGLETRANSLATE(C145,""en"",""ur"")"),"وہ سیدھے کھڑے ہیں۔")</f>
        <v>وہ سیدھے کھڑے ہیں۔</v>
      </c>
      <c r="N145" s="2" t="str">
        <f>IFERROR(__xludf.DUMMYFUNCTION("GOOGLETRANSLATE(D145,""en"",""ur"")"),"وہ جھک رہے ہیں اور کسی چیز تک پہنچ رہے ہیں۔")</f>
        <v>وہ جھک رہے ہیں اور کسی چیز تک پہنچ رہے ہیں۔</v>
      </c>
      <c r="O145" s="2" t="str">
        <f>IFERROR(__xludf.DUMMYFUNCTION("GOOGLETRANSLATE(E145,""en"",""ur"")"),"وہ گھوڑوں کی پیٹھ پر لیٹے ہوئے ہیں۔")</f>
        <v>وہ گھوڑوں کی پیٹھ پر لیٹے ہوئے ہیں۔</v>
      </c>
      <c r="P145" s="2" t="str">
        <f>IFERROR(__xludf.DUMMYFUNCTION("GOOGLETRANSLATE(F145,""en"",""ur"")"),"وہ آرام سے بیٹھے ہیں۔")</f>
        <v>وہ آرام سے بیٹھے ہیں۔</v>
      </c>
      <c r="Q145" s="2" t="s">
        <v>253</v>
      </c>
      <c r="R145" s="2" t="str">
        <f>IFERROR(__xludf.DUMMYFUNCTION("GOOGLETRANSLATE(G145,""en"",""ur"")"),"وہ جھک رہے ہیں اور کسی چیز تک پہنچ رہے ہیں۔")</f>
        <v>وہ جھک رہے ہیں اور کسی چیز تک پہنچ رہے ہیں۔</v>
      </c>
      <c r="S145" s="5" t="s">
        <v>347</v>
      </c>
    </row>
    <row r="146" ht="22.5" customHeight="1">
      <c r="A146" s="4">
        <v>145.0</v>
      </c>
      <c r="B146" s="5" t="s">
        <v>254</v>
      </c>
      <c r="C146" s="5" t="s">
        <v>47</v>
      </c>
      <c r="D146" s="5" t="s">
        <v>48</v>
      </c>
      <c r="E146" s="5" t="s">
        <v>49</v>
      </c>
      <c r="F146" s="5" t="s">
        <v>50</v>
      </c>
      <c r="G146" s="5" t="s">
        <v>49</v>
      </c>
      <c r="H146" s="5" t="s">
        <v>347</v>
      </c>
      <c r="K146" s="2" t="str">
        <f>IFERROR(__xludf.DUMMYFUNCTION("GOOGLETRANSLATE(A146,""en"",""ur"")"),"145")</f>
        <v>145</v>
      </c>
      <c r="L146" s="2" t="str">
        <f>IFERROR(__xludf.DUMMYFUNCTION("GOOGLETRANSLATE(B146,""en"",""ur"")"),"سواروں کے چہروں سے ظاہری جذبات کیا ہیں؟")</f>
        <v>سواروں کے چہروں سے ظاہری جذبات کیا ہیں؟</v>
      </c>
      <c r="M146" s="2" t="str">
        <f>IFERROR(__xludf.DUMMYFUNCTION("GOOGLETRANSLATE(C146,""en"",""ur"")"),"پرسکون اور پر سکون")</f>
        <v>پرسکون اور پر سکون</v>
      </c>
      <c r="N146" s="2" t="str">
        <f>IFERROR(__xludf.DUMMYFUNCTION("GOOGLETRANSLATE(D146,""en"",""ur"")"),"خوف زدہ اور بے چین")</f>
        <v>خوف زدہ اور بے چین</v>
      </c>
      <c r="O146" s="2" t="str">
        <f>IFERROR(__xludf.DUMMYFUNCTION("GOOGLETRANSLATE(E146,""en"",""ur"")"),"کشیدہ اور شدید")</f>
        <v>کشیدہ اور شدید</v>
      </c>
      <c r="P146" s="2" t="str">
        <f>IFERROR(__xludf.DUMMYFUNCTION("GOOGLETRANSLATE(F146,""en"",""ur"")"),"خوش اور مسکراتے ہوئے۔")</f>
        <v>خوش اور مسکراتے ہوئے۔</v>
      </c>
      <c r="Q146" s="2" t="s">
        <v>51</v>
      </c>
      <c r="R146" s="2" t="str">
        <f>IFERROR(__xludf.DUMMYFUNCTION("GOOGLETRANSLATE(G146,""en"",""ur"")"),"کشیدہ اور شدید")</f>
        <v>کشیدہ اور شدید</v>
      </c>
      <c r="S146" s="5" t="s">
        <v>347</v>
      </c>
    </row>
    <row r="147" ht="22.5" customHeight="1">
      <c r="A147" s="4">
        <v>146.0</v>
      </c>
      <c r="B147" s="5" t="s">
        <v>88</v>
      </c>
      <c r="C147" s="5" t="s">
        <v>89</v>
      </c>
      <c r="D147" s="5" t="s">
        <v>90</v>
      </c>
      <c r="E147" s="5" t="s">
        <v>91</v>
      </c>
      <c r="F147" s="5" t="s">
        <v>255</v>
      </c>
      <c r="G147" s="5" t="s">
        <v>255</v>
      </c>
      <c r="H147" s="5" t="s">
        <v>347</v>
      </c>
      <c r="K147" s="2" t="str">
        <f>IFERROR(__xludf.DUMMYFUNCTION("GOOGLETRANSLATE(A147,""en"",""ur"")"),"146")</f>
        <v>146</v>
      </c>
      <c r="L147" s="2" t="str">
        <f>IFERROR(__xludf.DUMMYFUNCTION("GOOGLETRANSLATE(B147,""en"",""ur"")"),"زمین کی سب سے نمایاں خصوصیت کیا ہے؟")</f>
        <v>زمین کی سب سے نمایاں خصوصیت کیا ہے؟</v>
      </c>
      <c r="M147" s="2" t="str">
        <f>IFERROR(__xludf.DUMMYFUNCTION("GOOGLETRANSLATE(C147,""en"",""ur"")"),"ایک پکی سطح")</f>
        <v>ایک پکی سطح</v>
      </c>
      <c r="N147" s="2" t="str">
        <f>IFERROR(__xludf.DUMMYFUNCTION("GOOGLETRANSLATE(D147,""en"",""ur"")"),"کیچڑ والا میدان")</f>
        <v>کیچڑ والا میدان</v>
      </c>
      <c r="O147" s="2" t="str">
        <f>IFERROR(__xludf.DUMMYFUNCTION("GOOGLETRANSLATE(E147,""en"",""ur"")"),"ایک گھاس دار سطح")</f>
        <v>ایک گھاس دار سطح</v>
      </c>
      <c r="P147" s="2" t="str">
        <f>IFERROR(__xludf.DUMMYFUNCTION("GOOGLETRANSLATE(F147,""en"",""ur"")"),"ریتلی یا گندگی کی سطح")</f>
        <v>ریتلی یا گندگی کی سطح</v>
      </c>
      <c r="Q147" s="2" t="s">
        <v>256</v>
      </c>
      <c r="R147" s="2" t="str">
        <f>IFERROR(__xludf.DUMMYFUNCTION("GOOGLETRANSLATE(G147,""en"",""ur"")"),"ریتلی یا گندگی کی سطح")</f>
        <v>ریتلی یا گندگی کی سطح</v>
      </c>
      <c r="S147" s="5" t="s">
        <v>347</v>
      </c>
    </row>
    <row r="148" ht="22.5" customHeight="1">
      <c r="A148" s="4">
        <v>147.0</v>
      </c>
      <c r="B148" s="5" t="s">
        <v>257</v>
      </c>
      <c r="C148" s="5" t="s">
        <v>95</v>
      </c>
      <c r="D148" s="5" t="s">
        <v>96</v>
      </c>
      <c r="E148" s="5" t="s">
        <v>97</v>
      </c>
      <c r="F148" s="5" t="s">
        <v>258</v>
      </c>
      <c r="G148" s="5" t="s">
        <v>97</v>
      </c>
      <c r="H148" s="5" t="s">
        <v>347</v>
      </c>
      <c r="K148" s="2" t="str">
        <f>IFERROR(__xludf.DUMMYFUNCTION("GOOGLETRANSLATE(A148,""en"",""ur"")"),"147")</f>
        <v>147</v>
      </c>
      <c r="L148" s="2" t="str">
        <f>IFERROR(__xludf.DUMMYFUNCTION("GOOGLETRANSLATE(B148,""en"",""ur"")"),"کھیلے جانے والے کھیل کا نام کیا ہے؟")</f>
        <v>کھیلے جانے والے کھیل کا نام کیا ہے؟</v>
      </c>
      <c r="M148" s="2" t="str">
        <f>IFERROR(__xludf.DUMMYFUNCTION("GOOGLETRANSLATE(C148,""en"",""ur"")"),"پولو")</f>
        <v>پولو</v>
      </c>
      <c r="N148" s="2" t="str">
        <f>IFERROR(__xludf.DUMMYFUNCTION("GOOGLETRANSLATE(D148,""en"",""ur"")"),"گھوڑوں کی دوڑ")</f>
        <v>گھوڑوں کی دوڑ</v>
      </c>
      <c r="O148" s="2" t="str">
        <f>IFERROR(__xludf.DUMMYFUNCTION("GOOGLETRANSLATE(E148,""en"",""ur"")"),"بزکشی۔")</f>
        <v>بزکشی۔</v>
      </c>
      <c r="P148" s="2" t="str">
        <f>IFERROR(__xludf.DUMMYFUNCTION("GOOGLETRANSLATE(F148,""en"",""ur"")"),"گھڑ سواری کے کھیل")</f>
        <v>گھڑ سواری کے کھیل</v>
      </c>
      <c r="Q148" s="2" t="s">
        <v>259</v>
      </c>
      <c r="R148" s="2" t="str">
        <f>IFERROR(__xludf.DUMMYFUNCTION("GOOGLETRANSLATE(G148,""en"",""ur"")"),"بزکشی۔")</f>
        <v>بزکشی۔</v>
      </c>
      <c r="S148" s="5" t="s">
        <v>347</v>
      </c>
    </row>
    <row r="149" ht="22.5" customHeight="1">
      <c r="A149" s="4">
        <v>148.0</v>
      </c>
      <c r="B149" s="5" t="s">
        <v>260</v>
      </c>
      <c r="C149" s="5" t="s">
        <v>261</v>
      </c>
      <c r="D149" s="5" t="s">
        <v>262</v>
      </c>
      <c r="E149" s="5" t="s">
        <v>263</v>
      </c>
      <c r="F149" s="5" t="s">
        <v>264</v>
      </c>
      <c r="G149" s="5" t="s">
        <v>263</v>
      </c>
      <c r="H149" s="5" t="s">
        <v>347</v>
      </c>
      <c r="K149" s="2" t="str">
        <f>IFERROR(__xludf.DUMMYFUNCTION("GOOGLETRANSLATE(A149,""en"",""ur"")"),"148")</f>
        <v>148</v>
      </c>
      <c r="L149" s="2" t="str">
        <f>IFERROR(__xludf.DUMMYFUNCTION("GOOGLETRANSLATE(B149,""en"",""ur"")"),"تصویر میں ایکشن ایک ایسا انداز تجویز کرتا ہے جو اس بات پر زور دیتا ہے...")</f>
        <v>تصویر میں ایکشن ایک ایسا انداز تجویز کرتا ہے جو اس بات پر زور دیتا ہے...</v>
      </c>
      <c r="M149" s="2" t="str">
        <f>IFERROR(__xludf.DUMMYFUNCTION("GOOGLETRANSLATE(C149,""en"",""ur"")"),"روانی اور قلابازیاں")</f>
        <v>روانی اور قلابازیاں</v>
      </c>
      <c r="N149" s="2" t="str">
        <f>IFERROR(__xludf.DUMMYFUNCTION("GOOGLETRANSLATE(D149,""en"",""ur"")"),"زمینی لڑائی اور گرفت")</f>
        <v>زمینی لڑائی اور گرفت</v>
      </c>
      <c r="O149" s="2" t="str">
        <f>IFERROR(__xludf.DUMMYFUNCTION("GOOGLETRANSLATE(E149,""en"",""ur"")"),"وحشیانہ قوت اور گھڑ سواری۔")</f>
        <v>وحشیانہ قوت اور گھڑ سواری۔</v>
      </c>
      <c r="P149" s="2" t="str">
        <f>IFERROR(__xludf.DUMMYFUNCTION("GOOGLETRANSLATE(F149,""en"",""ur"")"),"سادہ، لکیری حرکات")</f>
        <v>سادہ، لکیری حرکات</v>
      </c>
      <c r="Q149" s="2" t="s">
        <v>265</v>
      </c>
      <c r="R149" s="2" t="str">
        <f>IFERROR(__xludf.DUMMYFUNCTION("GOOGLETRANSLATE(G149,""en"",""ur"")"),"وحشیانہ قوت اور گھڑ سواری۔")</f>
        <v>وحشیانہ قوت اور گھڑ سواری۔</v>
      </c>
      <c r="S149" s="5" t="s">
        <v>347</v>
      </c>
    </row>
    <row r="150" ht="22.5" customHeight="1">
      <c r="A150" s="4">
        <v>149.0</v>
      </c>
      <c r="B150" s="5" t="s">
        <v>266</v>
      </c>
      <c r="C150" s="5" t="s">
        <v>59</v>
      </c>
      <c r="D150" s="5" t="s">
        <v>267</v>
      </c>
      <c r="E150" s="5" t="s">
        <v>61</v>
      </c>
      <c r="F150" s="5" t="s">
        <v>268</v>
      </c>
      <c r="G150" s="5" t="s">
        <v>267</v>
      </c>
      <c r="H150" s="5" t="s">
        <v>347</v>
      </c>
      <c r="K150" s="2" t="str">
        <f>IFERROR(__xludf.DUMMYFUNCTION("GOOGLETRANSLATE(A150,""en"",""ur"")"),"149")</f>
        <v>149</v>
      </c>
      <c r="L150" s="2" t="str">
        <f>IFERROR(__xludf.DUMMYFUNCTION("GOOGLETRANSLATE(B150,""en"",""ur"")"),"گھوڑوں کے بارے میں ایک قابل ذکر تفصیل کیا ہے؟")</f>
        <v>گھوڑوں کے بارے میں ایک قابل ذکر تفصیل کیا ہے؟</v>
      </c>
      <c r="M150" s="2" t="str">
        <f>IFERROR(__xludf.DUMMYFUNCTION("GOOGLETRANSLATE(C150,""en"",""ur"")"),"وہ سب ایک ہی رنگ کے ہیں۔")</f>
        <v>وہ سب ایک ہی رنگ کے ہیں۔</v>
      </c>
      <c r="N150" s="2" t="str">
        <f>IFERROR(__xludf.DUMMYFUNCTION("GOOGLETRANSLATE(D150,""en"",""ur"")"),"وہ رنگوں اور نسلوں کا مرکب ہیں۔")</f>
        <v>وہ رنگوں اور نسلوں کا مرکب ہیں۔</v>
      </c>
      <c r="O150" s="2" t="str">
        <f>IFERROR(__xludf.DUMMYFUNCTION("GOOGLETRANSLATE(E150,""en"",""ur"")"),"وہ سب وسیع نمونوں کے ساتھ زین پہنے ہوئے ہیں۔")</f>
        <v>وہ سب وسیع نمونوں کے ساتھ زین پہنے ہوئے ہیں۔</v>
      </c>
      <c r="P150" s="2" t="str">
        <f>IFERROR(__xludf.DUMMYFUNCTION("GOOGLETRANSLATE(F150,""en"",""ur"")"),"وہ سب خاموش کھڑے ہیں۔")</f>
        <v>وہ سب خاموش کھڑے ہیں۔</v>
      </c>
      <c r="Q150" s="2" t="s">
        <v>269</v>
      </c>
      <c r="R150" s="2" t="str">
        <f>IFERROR(__xludf.DUMMYFUNCTION("GOOGLETRANSLATE(G150,""en"",""ur"")"),"وہ رنگوں اور نسلوں کا مرکب ہیں۔")</f>
        <v>وہ رنگوں اور نسلوں کا مرکب ہیں۔</v>
      </c>
      <c r="S150" s="5" t="s">
        <v>347</v>
      </c>
    </row>
    <row r="151" ht="22.5" customHeight="1">
      <c r="A151" s="4">
        <v>150.0</v>
      </c>
      <c r="B151" s="5" t="s">
        <v>270</v>
      </c>
      <c r="C151" s="5" t="s">
        <v>271</v>
      </c>
      <c r="D151" s="5" t="s">
        <v>272</v>
      </c>
      <c r="E151" s="5" t="s">
        <v>273</v>
      </c>
      <c r="F151" s="5" t="s">
        <v>274</v>
      </c>
      <c r="G151" s="5" t="s">
        <v>274</v>
      </c>
      <c r="H151" s="5" t="s">
        <v>347</v>
      </c>
      <c r="K151" s="2" t="str">
        <f>IFERROR(__xludf.DUMMYFUNCTION("GOOGLETRANSLATE(A151,""en"",""ur"")"),"150")</f>
        <v>150</v>
      </c>
      <c r="L151" s="2" t="str">
        <f>IFERROR(__xludf.DUMMYFUNCTION("GOOGLETRANSLATE(B151,""en"",""ur"")"),"مرکز میں سوار کے بارے میں ایک قابل ذکر تفصیل کیا ہے؟")</f>
        <v>مرکز میں سوار کے بارے میں ایک قابل ذکر تفصیل کیا ہے؟</v>
      </c>
      <c r="M151" s="2" t="str">
        <f>IFERROR(__xludf.DUMMYFUNCTION("GOOGLETRANSLATE(C151,""en"",""ur"")"),"وہ اپنے گھوڑے سے گر رہا ہے۔")</f>
        <v>وہ اپنے گھوڑے سے گر رہا ہے۔</v>
      </c>
      <c r="N151" s="2" t="str">
        <f>IFERROR(__xludf.DUMMYFUNCTION("GOOGLETRANSLATE(D151,""en"",""ur"")"),"اس نے بینر اٹھا رکھا ہے۔")</f>
        <v>اس نے بینر اٹھا رکھا ہے۔</v>
      </c>
      <c r="O151" s="2" t="str">
        <f>IFERROR(__xludf.DUMMYFUNCTION("GOOGLETRANSLATE(E151,""en"",""ur"")"),"اس نے رسی پکڑی ہوئی ہے۔")</f>
        <v>اس نے رسی پکڑی ہوئی ہے۔</v>
      </c>
      <c r="P151" s="2" t="str">
        <f>IFERROR(__xludf.DUMMYFUNCTION("GOOGLETRANSLATE(F151,""en"",""ur"")"),"اس نے چھڑی پکڑی ہوئی ہے۔")</f>
        <v>اس نے چھڑی پکڑی ہوئی ہے۔</v>
      </c>
      <c r="Q151" s="2" t="s">
        <v>275</v>
      </c>
      <c r="R151" s="2" t="str">
        <f>IFERROR(__xludf.DUMMYFUNCTION("GOOGLETRANSLATE(G151,""en"",""ur"")"),"اس نے چھڑی پکڑی ہوئی ہے۔")</f>
        <v>اس نے چھڑی پکڑی ہوئی ہے۔</v>
      </c>
      <c r="S151" s="5" t="s">
        <v>347</v>
      </c>
    </row>
    <row r="152" ht="22.5" customHeight="1">
      <c r="A152" s="4">
        <v>151.0</v>
      </c>
      <c r="B152" s="5" t="s">
        <v>349</v>
      </c>
      <c r="C152" s="5" t="s">
        <v>103</v>
      </c>
      <c r="D152" s="5" t="s">
        <v>71</v>
      </c>
      <c r="E152" s="5" t="s">
        <v>72</v>
      </c>
      <c r="F152" s="5" t="s">
        <v>73</v>
      </c>
      <c r="G152" s="5" t="s">
        <v>71</v>
      </c>
      <c r="H152" s="5" t="s">
        <v>350</v>
      </c>
      <c r="K152" s="2" t="str">
        <f>IFERROR(__xludf.DUMMYFUNCTION("GOOGLETRANSLATE(A152,""en"",""ur"")"),"151")</f>
        <v>151</v>
      </c>
      <c r="L152" s="2" t="str">
        <f>IFERROR(__xludf.DUMMYFUNCTION("GOOGLETRANSLATE(B152,""en"",""ur"")"),"buzkashi_55 میں دکھائی جانے والی اہم کارروائی کیا ہے؟")</f>
        <v>buzkashi_55 میں دکھائی جانے والی اہم کارروائی کیا ہے؟</v>
      </c>
      <c r="M152" s="2" t="str">
        <f>IFERROR(__xludf.DUMMYFUNCTION("GOOGLETRANSLATE(C152,""en"",""ur"")"),"آرام سے گھوڑے کی سواری۔")</f>
        <v>آرام سے گھوڑے کی سواری۔</v>
      </c>
      <c r="N152" s="2" t="str">
        <f>IFERROR(__xludf.DUMMYFUNCTION("GOOGLETRANSLATE(D152,""en"",""ur"")"),"سواروں کا ایک گروپ جو مرکزی چیز کے لیے مقابلہ کر رہا ہے۔")</f>
        <v>سواروں کا ایک گروپ جو مرکزی چیز کے لیے مقابلہ کر رہا ہے۔</v>
      </c>
      <c r="O152" s="2" t="str">
        <f>IFERROR(__xludf.DUMMYFUNCTION("GOOGLETRANSLATE(E152,""en"",""ur"")"),"گھوڑوں کی پریڈ")</f>
        <v>گھوڑوں کی پریڈ</v>
      </c>
      <c r="P152" s="2" t="str">
        <f>IFERROR(__xludf.DUMMYFUNCTION("GOOGLETRANSLATE(F152,""en"",""ur"")"),"گھوڑوں کی دوڑ")</f>
        <v>گھوڑوں کی دوڑ</v>
      </c>
      <c r="Q152" s="2" t="s">
        <v>278</v>
      </c>
      <c r="R152" s="2" t="str">
        <f>IFERROR(__xludf.DUMMYFUNCTION("GOOGLETRANSLATE(G152,""en"",""ur"")"),"سواروں کا ایک گروپ جو مرکزی چیز کے لیے مقابلہ کر رہا ہے۔")</f>
        <v>سواروں کا ایک گروپ جو مرکزی چیز کے لیے مقابلہ کر رہا ہے۔</v>
      </c>
      <c r="S152" s="5" t="s">
        <v>350</v>
      </c>
    </row>
    <row r="153" ht="22.5" customHeight="1">
      <c r="A153" s="4">
        <v>152.0</v>
      </c>
      <c r="B153" s="5" t="s">
        <v>348</v>
      </c>
      <c r="C153" s="5" t="s">
        <v>284</v>
      </c>
      <c r="D153" s="5" t="s">
        <v>285</v>
      </c>
      <c r="E153" s="5" t="s">
        <v>286</v>
      </c>
      <c r="F153" s="5" t="s">
        <v>287</v>
      </c>
      <c r="G153" s="5" t="s">
        <v>286</v>
      </c>
      <c r="H153" s="5" t="s">
        <v>350</v>
      </c>
      <c r="K153" s="2" t="str">
        <f>IFERROR(__xludf.DUMMYFUNCTION("GOOGLETRANSLATE(A153,""en"",""ur"")"),"152")</f>
        <v>152</v>
      </c>
      <c r="L153" s="2" t="str">
        <f>IFERROR(__xludf.DUMMYFUNCTION("GOOGLETRANSLATE(B153,""en"",""ur"")"),"سوار جس چیز کا مقابلہ کر رہے ہیں اس کے بارے میں ایک قابل ذکر تفصیل کیا ہے؟")</f>
        <v>سوار جس چیز کا مقابلہ کر رہے ہیں اس کے بارے میں ایک قابل ذکر تفصیل کیا ہے؟</v>
      </c>
      <c r="M153" s="2" t="str">
        <f>IFERROR(__xludf.DUMMYFUNCTION("GOOGLETRANSLATE(C153,""en"",""ur"")"),"یہ ایک گیند ہے۔")</f>
        <v>یہ ایک گیند ہے۔</v>
      </c>
      <c r="N153" s="2" t="str">
        <f>IFERROR(__xludf.DUMMYFUNCTION("GOOGLETRANSLATE(D153,""en"",""ur"")"),"یہ ایک جھنڈا ہے۔")</f>
        <v>یہ ایک جھنڈا ہے۔</v>
      </c>
      <c r="O153" s="2" t="str">
        <f>IFERROR(__xludf.DUMMYFUNCTION("GOOGLETRANSLATE(E153,""en"",""ur"")"),"یہ ایک بکری کی لاش ہے۔")</f>
        <v>یہ ایک بکری کی لاش ہے۔</v>
      </c>
      <c r="P153" s="2" t="str">
        <f>IFERROR(__xludf.DUMMYFUNCTION("GOOGLETRANSLATE(F153,""en"",""ur"")"),"یہ ایک رسی ہے۔")</f>
        <v>یہ ایک رسی ہے۔</v>
      </c>
      <c r="Q153" s="2" t="s">
        <v>288</v>
      </c>
      <c r="R153" s="2" t="str">
        <f>IFERROR(__xludf.DUMMYFUNCTION("GOOGLETRANSLATE(G153,""en"",""ur"")"),"یہ ایک بکری کی لاش ہے۔")</f>
        <v>یہ ایک بکری کی لاش ہے۔</v>
      </c>
      <c r="S153" s="5" t="s">
        <v>350</v>
      </c>
    </row>
    <row r="154" ht="22.5" customHeight="1">
      <c r="A154" s="4">
        <v>153.0</v>
      </c>
      <c r="B154" s="5" t="s">
        <v>242</v>
      </c>
      <c r="C154" s="5" t="s">
        <v>243</v>
      </c>
      <c r="D154" s="5" t="s">
        <v>292</v>
      </c>
      <c r="E154" s="5" t="s">
        <v>245</v>
      </c>
      <c r="F154" s="5" t="s">
        <v>246</v>
      </c>
      <c r="G154" s="5" t="s">
        <v>292</v>
      </c>
      <c r="H154" s="5" t="s">
        <v>350</v>
      </c>
      <c r="K154" s="2" t="str">
        <f>IFERROR(__xludf.DUMMYFUNCTION("GOOGLETRANSLATE(A154,""en"",""ur"")"),"153")</f>
        <v>153</v>
      </c>
      <c r="L154" s="2" t="str">
        <f>IFERROR(__xludf.DUMMYFUNCTION("GOOGLETRANSLATE(B154,""en"",""ur"")"),"سواروں کے لباس کے بارے میں واضح تفصیل کیا ہے؟")</f>
        <v>سواروں کے لباس کے بارے میں واضح تفصیل کیا ہے؟</v>
      </c>
      <c r="M154" s="2" t="str">
        <f>IFERROR(__xludf.DUMMYFUNCTION("GOOGLETRANSLATE(C154,""en"",""ur"")"),"وہ جدید کھیلوں کی وردی پہنے ہوئے ہیں۔")</f>
        <v>وہ جدید کھیلوں کی وردی پہنے ہوئے ہیں۔</v>
      </c>
      <c r="N154" s="2" t="str">
        <f>IFERROR(__xludf.DUMMYFUNCTION("GOOGLETRANSLATE(D154,""en"",""ur"")"),"وہ روایتی ٹونکس اور سر کے لباس پہنے ہوئے ہیں۔")</f>
        <v>وہ روایتی ٹونکس اور سر کے لباس پہنے ہوئے ہیں۔</v>
      </c>
      <c r="O154" s="2" t="str">
        <f>IFERROR(__xludf.DUMMYFUNCTION("GOOGLETRANSLATE(E154,""en"",""ur"")"),"وہ رسمی سوٹ پہنے ہوئے ہیں۔")</f>
        <v>وہ رسمی سوٹ پہنے ہوئے ہیں۔</v>
      </c>
      <c r="P154" s="2" t="str">
        <f>IFERROR(__xludf.DUMMYFUNCTION("GOOGLETRANSLATE(F154,""en"",""ur"")"),"انہوں نے کوئی لباس نہیں پہنا ہوا ہے۔")</f>
        <v>انہوں نے کوئی لباس نہیں پہنا ہوا ہے۔</v>
      </c>
      <c r="Q154" s="2" t="s">
        <v>293</v>
      </c>
      <c r="R154" s="2" t="str">
        <f>IFERROR(__xludf.DUMMYFUNCTION("GOOGLETRANSLATE(G154,""en"",""ur"")"),"وہ روایتی ٹونکس اور سر کے لباس پہنے ہوئے ہیں۔")</f>
        <v>وہ روایتی ٹونکس اور سر کے لباس پہنے ہوئے ہیں۔</v>
      </c>
      <c r="S154" s="5" t="s">
        <v>350</v>
      </c>
    </row>
    <row r="155" ht="22.5" customHeight="1">
      <c r="A155" s="4">
        <v>154.0</v>
      </c>
      <c r="B155" s="5" t="s">
        <v>248</v>
      </c>
      <c r="C155" s="5" t="s">
        <v>249</v>
      </c>
      <c r="D155" s="5" t="s">
        <v>250</v>
      </c>
      <c r="E155" s="5" t="s">
        <v>251</v>
      </c>
      <c r="F155" s="5" t="s">
        <v>252</v>
      </c>
      <c r="G155" s="5" t="s">
        <v>250</v>
      </c>
      <c r="H155" s="5" t="s">
        <v>350</v>
      </c>
      <c r="K155" s="2" t="str">
        <f>IFERROR(__xludf.DUMMYFUNCTION("GOOGLETRANSLATE(A155,""en"",""ur"")"),"154")</f>
        <v>154</v>
      </c>
      <c r="L155" s="2" t="str">
        <f>IFERROR(__xludf.DUMMYFUNCTION("GOOGLETRANSLATE(B155,""en"",""ur"")"),"سواروں کی ظاہری باڈی پوزیشن کیا ہے؟")</f>
        <v>سواروں کی ظاہری باڈی پوزیشن کیا ہے؟</v>
      </c>
      <c r="M155" s="2" t="str">
        <f>IFERROR(__xludf.DUMMYFUNCTION("GOOGLETRANSLATE(C155,""en"",""ur"")"),"وہ سیدھے کھڑے ہیں۔")</f>
        <v>وہ سیدھے کھڑے ہیں۔</v>
      </c>
      <c r="N155" s="2" t="str">
        <f>IFERROR(__xludf.DUMMYFUNCTION("GOOGLETRANSLATE(D155,""en"",""ur"")"),"وہ جھک رہے ہیں اور کسی چیز تک پہنچ رہے ہیں۔")</f>
        <v>وہ جھک رہے ہیں اور کسی چیز تک پہنچ رہے ہیں۔</v>
      </c>
      <c r="O155" s="2" t="str">
        <f>IFERROR(__xludf.DUMMYFUNCTION("GOOGLETRANSLATE(E155,""en"",""ur"")"),"وہ گھوڑوں کی پیٹھ پر لیٹے ہوئے ہیں۔")</f>
        <v>وہ گھوڑوں کی پیٹھ پر لیٹے ہوئے ہیں۔</v>
      </c>
      <c r="P155" s="2" t="str">
        <f>IFERROR(__xludf.DUMMYFUNCTION("GOOGLETRANSLATE(F155,""en"",""ur"")"),"وہ آرام سے بیٹھے ہیں۔")</f>
        <v>وہ آرام سے بیٹھے ہیں۔</v>
      </c>
      <c r="Q155" s="2" t="s">
        <v>253</v>
      </c>
      <c r="R155" s="2" t="str">
        <f>IFERROR(__xludf.DUMMYFUNCTION("GOOGLETRANSLATE(G155,""en"",""ur"")"),"وہ جھک رہے ہیں اور کسی چیز تک پہنچ رہے ہیں۔")</f>
        <v>وہ جھک رہے ہیں اور کسی چیز تک پہنچ رہے ہیں۔</v>
      </c>
      <c r="S155" s="5" t="s">
        <v>350</v>
      </c>
    </row>
    <row r="156" ht="22.5" customHeight="1">
      <c r="A156" s="4">
        <v>155.0</v>
      </c>
      <c r="B156" s="5" t="s">
        <v>254</v>
      </c>
      <c r="C156" s="5" t="s">
        <v>47</v>
      </c>
      <c r="D156" s="5" t="s">
        <v>48</v>
      </c>
      <c r="E156" s="5" t="s">
        <v>49</v>
      </c>
      <c r="F156" s="5" t="s">
        <v>50</v>
      </c>
      <c r="G156" s="5" t="s">
        <v>49</v>
      </c>
      <c r="H156" s="5" t="s">
        <v>350</v>
      </c>
      <c r="K156" s="2" t="str">
        <f>IFERROR(__xludf.DUMMYFUNCTION("GOOGLETRANSLATE(A156,""en"",""ur"")"),"155")</f>
        <v>155</v>
      </c>
      <c r="L156" s="2" t="str">
        <f>IFERROR(__xludf.DUMMYFUNCTION("GOOGLETRANSLATE(B156,""en"",""ur"")"),"سواروں کے چہروں سے ظاہری جذبات کیا ہیں؟")</f>
        <v>سواروں کے چہروں سے ظاہری جذبات کیا ہیں؟</v>
      </c>
      <c r="M156" s="2" t="str">
        <f>IFERROR(__xludf.DUMMYFUNCTION("GOOGLETRANSLATE(C156,""en"",""ur"")"),"پرسکون اور پر سکون")</f>
        <v>پرسکون اور پر سکون</v>
      </c>
      <c r="N156" s="2" t="str">
        <f>IFERROR(__xludf.DUMMYFUNCTION("GOOGLETRANSLATE(D156,""en"",""ur"")"),"خوف زدہ اور بے چین")</f>
        <v>خوف زدہ اور بے چین</v>
      </c>
      <c r="O156" s="2" t="str">
        <f>IFERROR(__xludf.DUMMYFUNCTION("GOOGLETRANSLATE(E156,""en"",""ur"")"),"کشیدہ اور شدید")</f>
        <v>کشیدہ اور شدید</v>
      </c>
      <c r="P156" s="2" t="str">
        <f>IFERROR(__xludf.DUMMYFUNCTION("GOOGLETRANSLATE(F156,""en"",""ur"")"),"خوش اور مسکراتے ہوئے۔")</f>
        <v>خوش اور مسکراتے ہوئے۔</v>
      </c>
      <c r="Q156" s="2" t="s">
        <v>51</v>
      </c>
      <c r="R156" s="2" t="str">
        <f>IFERROR(__xludf.DUMMYFUNCTION("GOOGLETRANSLATE(G156,""en"",""ur"")"),"کشیدہ اور شدید")</f>
        <v>کشیدہ اور شدید</v>
      </c>
      <c r="S156" s="5" t="s">
        <v>350</v>
      </c>
    </row>
    <row r="157" ht="22.5" customHeight="1">
      <c r="A157" s="4">
        <v>156.0</v>
      </c>
      <c r="B157" s="5" t="s">
        <v>88</v>
      </c>
      <c r="C157" s="5" t="s">
        <v>89</v>
      </c>
      <c r="D157" s="5" t="s">
        <v>90</v>
      </c>
      <c r="E157" s="5" t="s">
        <v>91</v>
      </c>
      <c r="F157" s="5" t="s">
        <v>255</v>
      </c>
      <c r="G157" s="5" t="s">
        <v>255</v>
      </c>
      <c r="H157" s="5" t="s">
        <v>350</v>
      </c>
      <c r="K157" s="2" t="str">
        <f>IFERROR(__xludf.DUMMYFUNCTION("GOOGLETRANSLATE(A157,""en"",""ur"")"),"156")</f>
        <v>156</v>
      </c>
      <c r="L157" s="2" t="str">
        <f>IFERROR(__xludf.DUMMYFUNCTION("GOOGLETRANSLATE(B157,""en"",""ur"")"),"زمین کی سب سے نمایاں خصوصیت کیا ہے؟")</f>
        <v>زمین کی سب سے نمایاں خصوصیت کیا ہے؟</v>
      </c>
      <c r="M157" s="2" t="str">
        <f>IFERROR(__xludf.DUMMYFUNCTION("GOOGLETRANSLATE(C157,""en"",""ur"")"),"ایک پکی سطح")</f>
        <v>ایک پکی سطح</v>
      </c>
      <c r="N157" s="2" t="str">
        <f>IFERROR(__xludf.DUMMYFUNCTION("GOOGLETRANSLATE(D157,""en"",""ur"")"),"کیچڑ والا میدان")</f>
        <v>کیچڑ والا میدان</v>
      </c>
      <c r="O157" s="2" t="str">
        <f>IFERROR(__xludf.DUMMYFUNCTION("GOOGLETRANSLATE(E157,""en"",""ur"")"),"ایک گھاس دار سطح")</f>
        <v>ایک گھاس دار سطح</v>
      </c>
      <c r="P157" s="2" t="str">
        <f>IFERROR(__xludf.DUMMYFUNCTION("GOOGLETRANSLATE(F157,""en"",""ur"")"),"ریتلی یا گندگی کی سطح")</f>
        <v>ریتلی یا گندگی کی سطح</v>
      </c>
      <c r="Q157" s="2" t="s">
        <v>256</v>
      </c>
      <c r="R157" s="2" t="str">
        <f>IFERROR(__xludf.DUMMYFUNCTION("GOOGLETRANSLATE(G157,""en"",""ur"")"),"ریتلی یا گندگی کی سطح")</f>
        <v>ریتلی یا گندگی کی سطح</v>
      </c>
      <c r="S157" s="5" t="s">
        <v>350</v>
      </c>
    </row>
    <row r="158" ht="22.5" customHeight="1">
      <c r="A158" s="4">
        <v>157.0</v>
      </c>
      <c r="B158" s="5" t="s">
        <v>257</v>
      </c>
      <c r="C158" s="5" t="s">
        <v>95</v>
      </c>
      <c r="D158" s="5" t="s">
        <v>96</v>
      </c>
      <c r="E158" s="5" t="s">
        <v>97</v>
      </c>
      <c r="F158" s="5" t="s">
        <v>258</v>
      </c>
      <c r="G158" s="5" t="s">
        <v>97</v>
      </c>
      <c r="H158" s="5" t="s">
        <v>350</v>
      </c>
      <c r="K158" s="2" t="str">
        <f>IFERROR(__xludf.DUMMYFUNCTION("GOOGLETRANSLATE(A158,""en"",""ur"")"),"157")</f>
        <v>157</v>
      </c>
      <c r="L158" s="2" t="str">
        <f>IFERROR(__xludf.DUMMYFUNCTION("GOOGLETRANSLATE(B158,""en"",""ur"")"),"کھیلے جانے والے کھیل کا نام کیا ہے؟")</f>
        <v>کھیلے جانے والے کھیل کا نام کیا ہے؟</v>
      </c>
      <c r="M158" s="2" t="str">
        <f>IFERROR(__xludf.DUMMYFUNCTION("GOOGLETRANSLATE(C158,""en"",""ur"")"),"پولو")</f>
        <v>پولو</v>
      </c>
      <c r="N158" s="2" t="str">
        <f>IFERROR(__xludf.DUMMYFUNCTION("GOOGLETRANSLATE(D158,""en"",""ur"")"),"گھوڑوں کی دوڑ")</f>
        <v>گھوڑوں کی دوڑ</v>
      </c>
      <c r="O158" s="2" t="str">
        <f>IFERROR(__xludf.DUMMYFUNCTION("GOOGLETRANSLATE(E158,""en"",""ur"")"),"بزکشی۔")</f>
        <v>بزکشی۔</v>
      </c>
      <c r="P158" s="2" t="str">
        <f>IFERROR(__xludf.DUMMYFUNCTION("GOOGLETRANSLATE(F158,""en"",""ur"")"),"گھڑ سواری کے کھیل")</f>
        <v>گھڑ سواری کے کھیل</v>
      </c>
      <c r="Q158" s="2" t="s">
        <v>259</v>
      </c>
      <c r="R158" s="2" t="str">
        <f>IFERROR(__xludf.DUMMYFUNCTION("GOOGLETRANSLATE(G158,""en"",""ur"")"),"بزکشی۔")</f>
        <v>بزکشی۔</v>
      </c>
      <c r="S158" s="5" t="s">
        <v>350</v>
      </c>
    </row>
    <row r="159" ht="22.5" customHeight="1">
      <c r="A159" s="4">
        <v>158.0</v>
      </c>
      <c r="B159" s="5" t="s">
        <v>260</v>
      </c>
      <c r="C159" s="5" t="s">
        <v>261</v>
      </c>
      <c r="D159" s="5" t="s">
        <v>262</v>
      </c>
      <c r="E159" s="5" t="s">
        <v>263</v>
      </c>
      <c r="F159" s="5" t="s">
        <v>264</v>
      </c>
      <c r="G159" s="5" t="s">
        <v>263</v>
      </c>
      <c r="H159" s="5" t="s">
        <v>350</v>
      </c>
      <c r="K159" s="2" t="str">
        <f>IFERROR(__xludf.DUMMYFUNCTION("GOOGLETRANSLATE(A159,""en"",""ur"")"),"158")</f>
        <v>158</v>
      </c>
      <c r="L159" s="2" t="str">
        <f>IFERROR(__xludf.DUMMYFUNCTION("GOOGLETRANSLATE(B159,""en"",""ur"")"),"تصویر میں ایکشن ایک ایسا انداز تجویز کرتا ہے جو اس بات پر زور دیتا ہے...")</f>
        <v>تصویر میں ایکشن ایک ایسا انداز تجویز کرتا ہے جو اس بات پر زور دیتا ہے...</v>
      </c>
      <c r="M159" s="2" t="str">
        <f>IFERROR(__xludf.DUMMYFUNCTION("GOOGLETRANSLATE(C159,""en"",""ur"")"),"روانی اور قلابازیاں")</f>
        <v>روانی اور قلابازیاں</v>
      </c>
      <c r="N159" s="2" t="str">
        <f>IFERROR(__xludf.DUMMYFUNCTION("GOOGLETRANSLATE(D159,""en"",""ur"")"),"زمینی لڑائی اور گرفت")</f>
        <v>زمینی لڑائی اور گرفت</v>
      </c>
      <c r="O159" s="2" t="str">
        <f>IFERROR(__xludf.DUMMYFUNCTION("GOOGLETRANSLATE(E159,""en"",""ur"")"),"وحشیانہ قوت اور گھڑ سواری۔")</f>
        <v>وحشیانہ قوت اور گھڑ سواری۔</v>
      </c>
      <c r="P159" s="2" t="str">
        <f>IFERROR(__xludf.DUMMYFUNCTION("GOOGLETRANSLATE(F159,""en"",""ur"")"),"سادہ، لکیری حرکات")</f>
        <v>سادہ، لکیری حرکات</v>
      </c>
      <c r="Q159" s="2" t="s">
        <v>265</v>
      </c>
      <c r="R159" s="2" t="str">
        <f>IFERROR(__xludf.DUMMYFUNCTION("GOOGLETRANSLATE(G159,""en"",""ur"")"),"وحشیانہ قوت اور گھڑ سواری۔")</f>
        <v>وحشیانہ قوت اور گھڑ سواری۔</v>
      </c>
      <c r="S159" s="5" t="s">
        <v>350</v>
      </c>
    </row>
    <row r="160" ht="22.5" customHeight="1">
      <c r="A160" s="4">
        <v>159.0</v>
      </c>
      <c r="B160" s="5" t="s">
        <v>266</v>
      </c>
      <c r="C160" s="5" t="s">
        <v>59</v>
      </c>
      <c r="D160" s="5" t="s">
        <v>267</v>
      </c>
      <c r="E160" s="5" t="s">
        <v>61</v>
      </c>
      <c r="F160" s="5" t="s">
        <v>268</v>
      </c>
      <c r="G160" s="5" t="s">
        <v>267</v>
      </c>
      <c r="H160" s="5" t="s">
        <v>350</v>
      </c>
      <c r="K160" s="2" t="str">
        <f>IFERROR(__xludf.DUMMYFUNCTION("GOOGLETRANSLATE(A160,""en"",""ur"")"),"159")</f>
        <v>159</v>
      </c>
      <c r="L160" s="2" t="str">
        <f>IFERROR(__xludf.DUMMYFUNCTION("GOOGLETRANSLATE(B160,""en"",""ur"")"),"گھوڑوں کے بارے میں ایک قابل ذکر تفصیل کیا ہے؟")</f>
        <v>گھوڑوں کے بارے میں ایک قابل ذکر تفصیل کیا ہے؟</v>
      </c>
      <c r="M160" s="2" t="str">
        <f>IFERROR(__xludf.DUMMYFUNCTION("GOOGLETRANSLATE(C160,""en"",""ur"")"),"وہ سب ایک ہی رنگ کے ہیں۔")</f>
        <v>وہ سب ایک ہی رنگ کے ہیں۔</v>
      </c>
      <c r="N160" s="2" t="str">
        <f>IFERROR(__xludf.DUMMYFUNCTION("GOOGLETRANSLATE(D160,""en"",""ur"")"),"وہ رنگوں اور نسلوں کا مرکب ہیں۔")</f>
        <v>وہ رنگوں اور نسلوں کا مرکب ہیں۔</v>
      </c>
      <c r="O160" s="2" t="str">
        <f>IFERROR(__xludf.DUMMYFUNCTION("GOOGLETRANSLATE(E160,""en"",""ur"")"),"وہ سب وسیع نمونوں کے ساتھ زین پہنے ہوئے ہیں۔")</f>
        <v>وہ سب وسیع نمونوں کے ساتھ زین پہنے ہوئے ہیں۔</v>
      </c>
      <c r="P160" s="2" t="str">
        <f>IFERROR(__xludf.DUMMYFUNCTION("GOOGLETRANSLATE(F160,""en"",""ur"")"),"وہ سب خاموش کھڑے ہیں۔")</f>
        <v>وہ سب خاموش کھڑے ہیں۔</v>
      </c>
      <c r="Q160" s="2" t="s">
        <v>269</v>
      </c>
      <c r="R160" s="2" t="str">
        <f>IFERROR(__xludf.DUMMYFUNCTION("GOOGLETRANSLATE(G160,""en"",""ur"")"),"وہ رنگوں اور نسلوں کا مرکب ہیں۔")</f>
        <v>وہ رنگوں اور نسلوں کا مرکب ہیں۔</v>
      </c>
      <c r="S160" s="5" t="s">
        <v>350</v>
      </c>
    </row>
    <row r="161" ht="22.5" customHeight="1">
      <c r="A161" s="4">
        <v>160.0</v>
      </c>
      <c r="B161" s="5" t="s">
        <v>270</v>
      </c>
      <c r="C161" s="5" t="s">
        <v>271</v>
      </c>
      <c r="D161" s="5" t="s">
        <v>272</v>
      </c>
      <c r="E161" s="5" t="s">
        <v>273</v>
      </c>
      <c r="F161" s="5" t="s">
        <v>274</v>
      </c>
      <c r="G161" s="5" t="s">
        <v>274</v>
      </c>
      <c r="H161" s="5" t="s">
        <v>350</v>
      </c>
      <c r="K161" s="2" t="str">
        <f>IFERROR(__xludf.DUMMYFUNCTION("GOOGLETRANSLATE(A161,""en"",""ur"")"),"160")</f>
        <v>160</v>
      </c>
      <c r="L161" s="2" t="str">
        <f>IFERROR(__xludf.DUMMYFUNCTION("GOOGLETRANSLATE(B161,""en"",""ur"")"),"مرکز میں سوار کے بارے میں ایک قابل ذکر تفصیل کیا ہے؟")</f>
        <v>مرکز میں سوار کے بارے میں ایک قابل ذکر تفصیل کیا ہے؟</v>
      </c>
      <c r="M161" s="2" t="str">
        <f>IFERROR(__xludf.DUMMYFUNCTION("GOOGLETRANSLATE(C161,""en"",""ur"")"),"وہ اپنے گھوڑے سے گر رہا ہے۔")</f>
        <v>وہ اپنے گھوڑے سے گر رہا ہے۔</v>
      </c>
      <c r="N161" s="2" t="str">
        <f>IFERROR(__xludf.DUMMYFUNCTION("GOOGLETRANSLATE(D161,""en"",""ur"")"),"اس نے بینر اٹھا رکھا ہے۔")</f>
        <v>اس نے بینر اٹھا رکھا ہے۔</v>
      </c>
      <c r="O161" s="2" t="str">
        <f>IFERROR(__xludf.DUMMYFUNCTION("GOOGLETRANSLATE(E161,""en"",""ur"")"),"اس نے رسی پکڑی ہوئی ہے۔")</f>
        <v>اس نے رسی پکڑی ہوئی ہے۔</v>
      </c>
      <c r="P161" s="2" t="str">
        <f>IFERROR(__xludf.DUMMYFUNCTION("GOOGLETRANSLATE(F161,""en"",""ur"")"),"اس نے چھڑی پکڑی ہوئی ہے۔")</f>
        <v>اس نے چھڑی پکڑی ہوئی ہے۔</v>
      </c>
      <c r="Q161" s="2" t="s">
        <v>275</v>
      </c>
      <c r="R161" s="2" t="str">
        <f>IFERROR(__xludf.DUMMYFUNCTION("GOOGLETRANSLATE(G161,""en"",""ur"")"),"اس نے چھڑی پکڑی ہوئی ہے۔")</f>
        <v>اس نے چھڑی پکڑی ہوئی ہے۔</v>
      </c>
      <c r="S161" s="5" t="s">
        <v>350</v>
      </c>
    </row>
    <row r="162" ht="22.5" customHeight="1">
      <c r="A162" s="4">
        <v>161.0</v>
      </c>
      <c r="B162" s="5" t="s">
        <v>351</v>
      </c>
      <c r="C162" s="5" t="s">
        <v>103</v>
      </c>
      <c r="D162" s="5" t="s">
        <v>71</v>
      </c>
      <c r="E162" s="5" t="s">
        <v>72</v>
      </c>
      <c r="F162" s="5" t="s">
        <v>73</v>
      </c>
      <c r="G162" s="5" t="s">
        <v>71</v>
      </c>
      <c r="H162" s="5" t="s">
        <v>352</v>
      </c>
      <c r="K162" s="2" t="str">
        <f>IFERROR(__xludf.DUMMYFUNCTION("GOOGLETRANSLATE(A162,""en"",""ur"")"),"161")</f>
        <v>161</v>
      </c>
      <c r="L162" s="2" t="str">
        <f>IFERROR(__xludf.DUMMYFUNCTION("GOOGLETRANSLATE(B162,""en"",""ur"")"),"buzkashi_52 میں دکھائی جانے والی اہم کارروائی کیا ہے؟")</f>
        <v>buzkashi_52 میں دکھائی جانے والی اہم کارروائی کیا ہے؟</v>
      </c>
      <c r="M162" s="2" t="str">
        <f>IFERROR(__xludf.DUMMYFUNCTION("GOOGLETRANSLATE(C162,""en"",""ur"")"),"آرام سے گھوڑے کی سواری۔")</f>
        <v>آرام سے گھوڑے کی سواری۔</v>
      </c>
      <c r="N162" s="2" t="str">
        <f>IFERROR(__xludf.DUMMYFUNCTION("GOOGLETRANSLATE(D162,""en"",""ur"")"),"سواروں کا ایک گروپ جو مرکزی چیز کے لیے مقابلہ کر رہا ہے۔")</f>
        <v>سواروں کا ایک گروپ جو مرکزی چیز کے لیے مقابلہ کر رہا ہے۔</v>
      </c>
      <c r="O162" s="2" t="str">
        <f>IFERROR(__xludf.DUMMYFUNCTION("GOOGLETRANSLATE(E162,""en"",""ur"")"),"گھوڑوں کی پریڈ")</f>
        <v>گھوڑوں کی پریڈ</v>
      </c>
      <c r="P162" s="2" t="str">
        <f>IFERROR(__xludf.DUMMYFUNCTION("GOOGLETRANSLATE(F162,""en"",""ur"")"),"گھوڑوں کی دوڑ")</f>
        <v>گھوڑوں کی دوڑ</v>
      </c>
      <c r="Q162" s="2" t="s">
        <v>278</v>
      </c>
      <c r="R162" s="2" t="str">
        <f>IFERROR(__xludf.DUMMYFUNCTION("GOOGLETRANSLATE(G162,""en"",""ur"")"),"سواروں کا ایک گروپ جو مرکزی چیز کے لیے مقابلہ کر رہا ہے۔")</f>
        <v>سواروں کا ایک گروپ جو مرکزی چیز کے لیے مقابلہ کر رہا ہے۔</v>
      </c>
      <c r="S162" s="5" t="s">
        <v>352</v>
      </c>
    </row>
    <row r="163" ht="22.5" customHeight="1">
      <c r="A163" s="4">
        <v>162.0</v>
      </c>
      <c r="B163" s="5" t="s">
        <v>353</v>
      </c>
      <c r="C163" s="5" t="s">
        <v>47</v>
      </c>
      <c r="D163" s="5" t="s">
        <v>48</v>
      </c>
      <c r="E163" s="5" t="s">
        <v>49</v>
      </c>
      <c r="F163" s="5" t="s">
        <v>50</v>
      </c>
      <c r="G163" s="5" t="s">
        <v>49</v>
      </c>
      <c r="H163" s="5" t="s">
        <v>352</v>
      </c>
      <c r="K163" s="2" t="str">
        <f>IFERROR(__xludf.DUMMYFUNCTION("GOOGLETRANSLATE(A163,""en"",""ur"")"),"162")</f>
        <v>162</v>
      </c>
      <c r="L163" s="2" t="str">
        <f>IFERROR(__xludf.DUMMYFUNCTION("GOOGLETRANSLATE(B163,""en"",""ur"")"),"گھوڑوں کے اظہار کے بارے میں ایک قابل ذکر تفصیل کیا ہے؟")</f>
        <v>گھوڑوں کے اظہار کے بارے میں ایک قابل ذکر تفصیل کیا ہے؟</v>
      </c>
      <c r="M163" s="2" t="str">
        <f>IFERROR(__xludf.DUMMYFUNCTION("GOOGLETRANSLATE(C163,""en"",""ur"")"),"پرسکون اور پر سکون")</f>
        <v>پرسکون اور پر سکون</v>
      </c>
      <c r="N163" s="2" t="str">
        <f>IFERROR(__xludf.DUMMYFUNCTION("GOOGLETRANSLATE(D163,""en"",""ur"")"),"خوف زدہ اور بے چین")</f>
        <v>خوف زدہ اور بے چین</v>
      </c>
      <c r="O163" s="2" t="str">
        <f>IFERROR(__xludf.DUMMYFUNCTION("GOOGLETRANSLATE(E163,""en"",""ur"")"),"کشیدہ اور شدید")</f>
        <v>کشیدہ اور شدید</v>
      </c>
      <c r="P163" s="2" t="str">
        <f>IFERROR(__xludf.DUMMYFUNCTION("GOOGLETRANSLATE(F163,""en"",""ur"")"),"خوش اور مسکراتے ہوئے۔")</f>
        <v>خوش اور مسکراتے ہوئے۔</v>
      </c>
      <c r="Q163" s="2" t="s">
        <v>51</v>
      </c>
      <c r="R163" s="2" t="str">
        <f>IFERROR(__xludf.DUMMYFUNCTION("GOOGLETRANSLATE(G163,""en"",""ur"")"),"کشیدہ اور شدید")</f>
        <v>کشیدہ اور شدید</v>
      </c>
      <c r="S163" s="5" t="s">
        <v>352</v>
      </c>
    </row>
    <row r="164" ht="22.5" customHeight="1">
      <c r="A164" s="4">
        <v>163.0</v>
      </c>
      <c r="B164" s="5" t="s">
        <v>242</v>
      </c>
      <c r="C164" s="5" t="s">
        <v>243</v>
      </c>
      <c r="D164" s="5" t="s">
        <v>292</v>
      </c>
      <c r="E164" s="5" t="s">
        <v>245</v>
      </c>
      <c r="F164" s="5" t="s">
        <v>246</v>
      </c>
      <c r="G164" s="5" t="s">
        <v>292</v>
      </c>
      <c r="H164" s="5" t="s">
        <v>352</v>
      </c>
      <c r="K164" s="2" t="str">
        <f>IFERROR(__xludf.DUMMYFUNCTION("GOOGLETRANSLATE(A164,""en"",""ur"")"),"163")</f>
        <v>163</v>
      </c>
      <c r="L164" s="2" t="str">
        <f>IFERROR(__xludf.DUMMYFUNCTION("GOOGLETRANSLATE(B164,""en"",""ur"")"),"سواروں کے لباس کے بارے میں واضح تفصیل کیا ہے؟")</f>
        <v>سواروں کے لباس کے بارے میں واضح تفصیل کیا ہے؟</v>
      </c>
      <c r="M164" s="2" t="str">
        <f>IFERROR(__xludf.DUMMYFUNCTION("GOOGLETRANSLATE(C164,""en"",""ur"")"),"وہ جدید کھیلوں کی وردی پہنے ہوئے ہیں۔")</f>
        <v>وہ جدید کھیلوں کی وردی پہنے ہوئے ہیں۔</v>
      </c>
      <c r="N164" s="2" t="str">
        <f>IFERROR(__xludf.DUMMYFUNCTION("GOOGLETRANSLATE(D164,""en"",""ur"")"),"وہ روایتی ٹونکس اور سر کے لباس پہنے ہوئے ہیں۔")</f>
        <v>وہ روایتی ٹونکس اور سر کے لباس پہنے ہوئے ہیں۔</v>
      </c>
      <c r="O164" s="2" t="str">
        <f>IFERROR(__xludf.DUMMYFUNCTION("GOOGLETRANSLATE(E164,""en"",""ur"")"),"وہ رسمی سوٹ پہنے ہوئے ہیں۔")</f>
        <v>وہ رسمی سوٹ پہنے ہوئے ہیں۔</v>
      </c>
      <c r="P164" s="2" t="str">
        <f>IFERROR(__xludf.DUMMYFUNCTION("GOOGLETRANSLATE(F164,""en"",""ur"")"),"انہوں نے کوئی لباس نہیں پہنا ہوا ہے۔")</f>
        <v>انہوں نے کوئی لباس نہیں پہنا ہوا ہے۔</v>
      </c>
      <c r="Q164" s="2" t="s">
        <v>293</v>
      </c>
      <c r="R164" s="2" t="str">
        <f>IFERROR(__xludf.DUMMYFUNCTION("GOOGLETRANSLATE(G164,""en"",""ur"")"),"وہ روایتی ٹونکس اور سر کے لباس پہنے ہوئے ہیں۔")</f>
        <v>وہ روایتی ٹونکس اور سر کے لباس پہنے ہوئے ہیں۔</v>
      </c>
      <c r="S164" s="5" t="s">
        <v>352</v>
      </c>
    </row>
    <row r="165" ht="22.5" customHeight="1">
      <c r="A165" s="4">
        <v>164.0</v>
      </c>
      <c r="B165" s="5" t="s">
        <v>248</v>
      </c>
      <c r="C165" s="5" t="s">
        <v>249</v>
      </c>
      <c r="D165" s="5" t="s">
        <v>250</v>
      </c>
      <c r="E165" s="5" t="s">
        <v>251</v>
      </c>
      <c r="F165" s="5" t="s">
        <v>252</v>
      </c>
      <c r="G165" s="5" t="s">
        <v>250</v>
      </c>
      <c r="H165" s="5" t="s">
        <v>352</v>
      </c>
      <c r="K165" s="2" t="str">
        <f>IFERROR(__xludf.DUMMYFUNCTION("GOOGLETRANSLATE(A165,""en"",""ur"")"),"164")</f>
        <v>164</v>
      </c>
      <c r="L165" s="2" t="str">
        <f>IFERROR(__xludf.DUMMYFUNCTION("GOOGLETRANSLATE(B165,""en"",""ur"")"),"سواروں کی ظاہری باڈی پوزیشن کیا ہے؟")</f>
        <v>سواروں کی ظاہری باڈی پوزیشن کیا ہے؟</v>
      </c>
      <c r="M165" s="2" t="str">
        <f>IFERROR(__xludf.DUMMYFUNCTION("GOOGLETRANSLATE(C165,""en"",""ur"")"),"وہ سیدھے کھڑے ہیں۔")</f>
        <v>وہ سیدھے کھڑے ہیں۔</v>
      </c>
      <c r="N165" s="2" t="str">
        <f>IFERROR(__xludf.DUMMYFUNCTION("GOOGLETRANSLATE(D165,""en"",""ur"")"),"وہ جھک رہے ہیں اور کسی چیز تک پہنچ رہے ہیں۔")</f>
        <v>وہ جھک رہے ہیں اور کسی چیز تک پہنچ رہے ہیں۔</v>
      </c>
      <c r="O165" s="2" t="str">
        <f>IFERROR(__xludf.DUMMYFUNCTION("GOOGLETRANSLATE(E165,""en"",""ur"")"),"وہ گھوڑوں کی پیٹھ پر لیٹے ہوئے ہیں۔")</f>
        <v>وہ گھوڑوں کی پیٹھ پر لیٹے ہوئے ہیں۔</v>
      </c>
      <c r="P165" s="2" t="str">
        <f>IFERROR(__xludf.DUMMYFUNCTION("GOOGLETRANSLATE(F165,""en"",""ur"")"),"وہ آرام سے بیٹھے ہیں۔")</f>
        <v>وہ آرام سے بیٹھے ہیں۔</v>
      </c>
      <c r="Q165" s="2" t="s">
        <v>253</v>
      </c>
      <c r="R165" s="2" t="str">
        <f>IFERROR(__xludf.DUMMYFUNCTION("GOOGLETRANSLATE(G165,""en"",""ur"")"),"وہ جھک رہے ہیں اور کسی چیز تک پہنچ رہے ہیں۔")</f>
        <v>وہ جھک رہے ہیں اور کسی چیز تک پہنچ رہے ہیں۔</v>
      </c>
      <c r="S165" s="5" t="s">
        <v>352</v>
      </c>
    </row>
    <row r="166" ht="22.5" customHeight="1">
      <c r="A166" s="4">
        <v>165.0</v>
      </c>
      <c r="B166" s="5" t="s">
        <v>254</v>
      </c>
      <c r="C166" s="5" t="s">
        <v>47</v>
      </c>
      <c r="D166" s="5" t="s">
        <v>48</v>
      </c>
      <c r="E166" s="5" t="s">
        <v>49</v>
      </c>
      <c r="F166" s="5" t="s">
        <v>50</v>
      </c>
      <c r="G166" s="5" t="s">
        <v>49</v>
      </c>
      <c r="H166" s="5" t="s">
        <v>352</v>
      </c>
      <c r="K166" s="2" t="str">
        <f>IFERROR(__xludf.DUMMYFUNCTION("GOOGLETRANSLATE(A166,""en"",""ur"")"),"165")</f>
        <v>165</v>
      </c>
      <c r="L166" s="2" t="str">
        <f>IFERROR(__xludf.DUMMYFUNCTION("GOOGLETRANSLATE(B166,""en"",""ur"")"),"سواروں کے چہروں سے ظاہری جذبات کیا ہیں؟")</f>
        <v>سواروں کے چہروں سے ظاہری جذبات کیا ہیں؟</v>
      </c>
      <c r="M166" s="2" t="str">
        <f>IFERROR(__xludf.DUMMYFUNCTION("GOOGLETRANSLATE(C166,""en"",""ur"")"),"پرسکون اور پر سکون")</f>
        <v>پرسکون اور پر سکون</v>
      </c>
      <c r="N166" s="2" t="str">
        <f>IFERROR(__xludf.DUMMYFUNCTION("GOOGLETRANSLATE(D166,""en"",""ur"")"),"خوف زدہ اور بے چین")</f>
        <v>خوف زدہ اور بے چین</v>
      </c>
      <c r="O166" s="2" t="str">
        <f>IFERROR(__xludf.DUMMYFUNCTION("GOOGLETRANSLATE(E166,""en"",""ur"")"),"کشیدہ اور شدید")</f>
        <v>کشیدہ اور شدید</v>
      </c>
      <c r="P166" s="2" t="str">
        <f>IFERROR(__xludf.DUMMYFUNCTION("GOOGLETRANSLATE(F166,""en"",""ur"")"),"خوش اور مسکراتے ہوئے۔")</f>
        <v>خوش اور مسکراتے ہوئے۔</v>
      </c>
      <c r="Q166" s="2" t="s">
        <v>51</v>
      </c>
      <c r="R166" s="2" t="str">
        <f>IFERROR(__xludf.DUMMYFUNCTION("GOOGLETRANSLATE(G166,""en"",""ur"")"),"کشیدہ اور شدید")</f>
        <v>کشیدہ اور شدید</v>
      </c>
      <c r="S166" s="5" t="s">
        <v>352</v>
      </c>
    </row>
    <row r="167" ht="22.5" customHeight="1">
      <c r="A167" s="4">
        <v>166.0</v>
      </c>
      <c r="B167" s="5" t="s">
        <v>88</v>
      </c>
      <c r="C167" s="5" t="s">
        <v>89</v>
      </c>
      <c r="D167" s="5" t="s">
        <v>90</v>
      </c>
      <c r="E167" s="5" t="s">
        <v>91</v>
      </c>
      <c r="F167" s="5" t="s">
        <v>255</v>
      </c>
      <c r="G167" s="5" t="s">
        <v>255</v>
      </c>
      <c r="H167" s="5" t="s">
        <v>352</v>
      </c>
      <c r="K167" s="2" t="str">
        <f>IFERROR(__xludf.DUMMYFUNCTION("GOOGLETRANSLATE(A167,""en"",""ur"")"),"166")</f>
        <v>166</v>
      </c>
      <c r="L167" s="2" t="str">
        <f>IFERROR(__xludf.DUMMYFUNCTION("GOOGLETRANSLATE(B167,""en"",""ur"")"),"زمین کی سب سے نمایاں خصوصیت کیا ہے؟")</f>
        <v>زمین کی سب سے نمایاں خصوصیت کیا ہے؟</v>
      </c>
      <c r="M167" s="2" t="str">
        <f>IFERROR(__xludf.DUMMYFUNCTION("GOOGLETRANSLATE(C167,""en"",""ur"")"),"ایک پکی سطح")</f>
        <v>ایک پکی سطح</v>
      </c>
      <c r="N167" s="2" t="str">
        <f>IFERROR(__xludf.DUMMYFUNCTION("GOOGLETRANSLATE(D167,""en"",""ur"")"),"کیچڑ والا میدان")</f>
        <v>کیچڑ والا میدان</v>
      </c>
      <c r="O167" s="2" t="str">
        <f>IFERROR(__xludf.DUMMYFUNCTION("GOOGLETRANSLATE(E167,""en"",""ur"")"),"ایک گھاس دار سطح")</f>
        <v>ایک گھاس دار سطح</v>
      </c>
      <c r="P167" s="2" t="str">
        <f>IFERROR(__xludf.DUMMYFUNCTION("GOOGLETRANSLATE(F167,""en"",""ur"")"),"ریتلی یا گندگی کی سطح")</f>
        <v>ریتلی یا گندگی کی سطح</v>
      </c>
      <c r="Q167" s="2" t="s">
        <v>256</v>
      </c>
      <c r="R167" s="2" t="str">
        <f>IFERROR(__xludf.DUMMYFUNCTION("GOOGLETRANSLATE(G167,""en"",""ur"")"),"ریتلی یا گندگی کی سطح")</f>
        <v>ریتلی یا گندگی کی سطح</v>
      </c>
      <c r="S167" s="5" t="s">
        <v>352</v>
      </c>
    </row>
    <row r="168" ht="22.5" customHeight="1">
      <c r="A168" s="4">
        <v>167.0</v>
      </c>
      <c r="B168" s="5" t="s">
        <v>257</v>
      </c>
      <c r="C168" s="5" t="s">
        <v>95</v>
      </c>
      <c r="D168" s="5" t="s">
        <v>96</v>
      </c>
      <c r="E168" s="5" t="s">
        <v>97</v>
      </c>
      <c r="F168" s="5" t="s">
        <v>258</v>
      </c>
      <c r="G168" s="5" t="s">
        <v>97</v>
      </c>
      <c r="H168" s="5" t="s">
        <v>352</v>
      </c>
      <c r="K168" s="2" t="str">
        <f>IFERROR(__xludf.DUMMYFUNCTION("GOOGLETRANSLATE(A168,""en"",""ur"")"),"167")</f>
        <v>167</v>
      </c>
      <c r="L168" s="2" t="str">
        <f>IFERROR(__xludf.DUMMYFUNCTION("GOOGLETRANSLATE(B168,""en"",""ur"")"),"کھیلے جانے والے کھیل کا نام کیا ہے؟")</f>
        <v>کھیلے جانے والے کھیل کا نام کیا ہے؟</v>
      </c>
      <c r="M168" s="2" t="str">
        <f>IFERROR(__xludf.DUMMYFUNCTION("GOOGLETRANSLATE(C168,""en"",""ur"")"),"پولو")</f>
        <v>پولو</v>
      </c>
      <c r="N168" s="2" t="str">
        <f>IFERROR(__xludf.DUMMYFUNCTION("GOOGLETRANSLATE(D168,""en"",""ur"")"),"گھوڑوں کی دوڑ")</f>
        <v>گھوڑوں کی دوڑ</v>
      </c>
      <c r="O168" s="2" t="str">
        <f>IFERROR(__xludf.DUMMYFUNCTION("GOOGLETRANSLATE(E168,""en"",""ur"")"),"بزکشی۔")</f>
        <v>بزکشی۔</v>
      </c>
      <c r="P168" s="2" t="str">
        <f>IFERROR(__xludf.DUMMYFUNCTION("GOOGLETRANSLATE(F168,""en"",""ur"")"),"گھڑ سواری کے کھیل")</f>
        <v>گھڑ سواری کے کھیل</v>
      </c>
      <c r="Q168" s="2" t="s">
        <v>259</v>
      </c>
      <c r="R168" s="2" t="str">
        <f>IFERROR(__xludf.DUMMYFUNCTION("GOOGLETRANSLATE(G168,""en"",""ur"")"),"بزکشی۔")</f>
        <v>بزکشی۔</v>
      </c>
      <c r="S168" s="5" t="s">
        <v>352</v>
      </c>
    </row>
    <row r="169" ht="22.5" customHeight="1">
      <c r="A169" s="4">
        <v>168.0</v>
      </c>
      <c r="B169" s="5" t="s">
        <v>260</v>
      </c>
      <c r="C169" s="5" t="s">
        <v>261</v>
      </c>
      <c r="D169" s="5" t="s">
        <v>262</v>
      </c>
      <c r="E169" s="5" t="s">
        <v>263</v>
      </c>
      <c r="F169" s="5" t="s">
        <v>264</v>
      </c>
      <c r="G169" s="5" t="s">
        <v>263</v>
      </c>
      <c r="H169" s="5" t="s">
        <v>352</v>
      </c>
      <c r="K169" s="2" t="str">
        <f>IFERROR(__xludf.DUMMYFUNCTION("GOOGLETRANSLATE(A169,""en"",""ur"")"),"168")</f>
        <v>168</v>
      </c>
      <c r="L169" s="2" t="str">
        <f>IFERROR(__xludf.DUMMYFUNCTION("GOOGLETRANSLATE(B169,""en"",""ur"")"),"تصویر میں ایکشن ایک ایسا انداز تجویز کرتا ہے جو اس بات پر زور دیتا ہے...")</f>
        <v>تصویر میں ایکشن ایک ایسا انداز تجویز کرتا ہے جو اس بات پر زور دیتا ہے...</v>
      </c>
      <c r="M169" s="2" t="str">
        <f>IFERROR(__xludf.DUMMYFUNCTION("GOOGLETRANSLATE(C169,""en"",""ur"")"),"روانی اور قلابازیاں")</f>
        <v>روانی اور قلابازیاں</v>
      </c>
      <c r="N169" s="2" t="str">
        <f>IFERROR(__xludf.DUMMYFUNCTION("GOOGLETRANSLATE(D169,""en"",""ur"")"),"زمینی لڑائی اور گرفت")</f>
        <v>زمینی لڑائی اور گرفت</v>
      </c>
      <c r="O169" s="2" t="str">
        <f>IFERROR(__xludf.DUMMYFUNCTION("GOOGLETRANSLATE(E169,""en"",""ur"")"),"وحشیانہ قوت اور گھڑ سواری۔")</f>
        <v>وحشیانہ قوت اور گھڑ سواری۔</v>
      </c>
      <c r="P169" s="2" t="str">
        <f>IFERROR(__xludf.DUMMYFUNCTION("GOOGLETRANSLATE(F169,""en"",""ur"")"),"سادہ، لکیری حرکات")</f>
        <v>سادہ، لکیری حرکات</v>
      </c>
      <c r="Q169" s="2" t="s">
        <v>265</v>
      </c>
      <c r="R169" s="2" t="str">
        <f>IFERROR(__xludf.DUMMYFUNCTION("GOOGLETRANSLATE(G169,""en"",""ur"")"),"وحشیانہ قوت اور گھڑ سواری۔")</f>
        <v>وحشیانہ قوت اور گھڑ سواری۔</v>
      </c>
      <c r="S169" s="5" t="s">
        <v>352</v>
      </c>
    </row>
    <row r="170" ht="22.5" customHeight="1">
      <c r="A170" s="4">
        <v>169.0</v>
      </c>
      <c r="B170" s="5" t="s">
        <v>266</v>
      </c>
      <c r="C170" s="5" t="s">
        <v>59</v>
      </c>
      <c r="D170" s="5" t="s">
        <v>267</v>
      </c>
      <c r="E170" s="5" t="s">
        <v>61</v>
      </c>
      <c r="F170" s="5" t="s">
        <v>268</v>
      </c>
      <c r="G170" s="5" t="s">
        <v>267</v>
      </c>
      <c r="H170" s="5" t="s">
        <v>352</v>
      </c>
      <c r="K170" s="2" t="str">
        <f>IFERROR(__xludf.DUMMYFUNCTION("GOOGLETRANSLATE(A170,""en"",""ur"")"),"169")</f>
        <v>169</v>
      </c>
      <c r="L170" s="2" t="str">
        <f>IFERROR(__xludf.DUMMYFUNCTION("GOOGLETRANSLATE(B170,""en"",""ur"")"),"گھوڑوں کے بارے میں ایک قابل ذکر تفصیل کیا ہے؟")</f>
        <v>گھوڑوں کے بارے میں ایک قابل ذکر تفصیل کیا ہے؟</v>
      </c>
      <c r="M170" s="2" t="str">
        <f>IFERROR(__xludf.DUMMYFUNCTION("GOOGLETRANSLATE(C170,""en"",""ur"")"),"وہ سب ایک ہی رنگ کے ہیں۔")</f>
        <v>وہ سب ایک ہی رنگ کے ہیں۔</v>
      </c>
      <c r="N170" s="2" t="str">
        <f>IFERROR(__xludf.DUMMYFUNCTION("GOOGLETRANSLATE(D170,""en"",""ur"")"),"وہ رنگوں اور نسلوں کا مرکب ہیں۔")</f>
        <v>وہ رنگوں اور نسلوں کا مرکب ہیں۔</v>
      </c>
      <c r="O170" s="2" t="str">
        <f>IFERROR(__xludf.DUMMYFUNCTION("GOOGLETRANSLATE(E170,""en"",""ur"")"),"وہ سب وسیع نمونوں کے ساتھ زین پہنے ہوئے ہیں۔")</f>
        <v>وہ سب وسیع نمونوں کے ساتھ زین پہنے ہوئے ہیں۔</v>
      </c>
      <c r="P170" s="2" t="str">
        <f>IFERROR(__xludf.DUMMYFUNCTION("GOOGLETRANSLATE(F170,""en"",""ur"")"),"وہ سب خاموش کھڑے ہیں۔")</f>
        <v>وہ سب خاموش کھڑے ہیں۔</v>
      </c>
      <c r="Q170" s="2" t="s">
        <v>269</v>
      </c>
      <c r="R170" s="2" t="str">
        <f>IFERROR(__xludf.DUMMYFUNCTION("GOOGLETRANSLATE(G170,""en"",""ur"")"),"وہ رنگوں اور نسلوں کا مرکب ہیں۔")</f>
        <v>وہ رنگوں اور نسلوں کا مرکب ہیں۔</v>
      </c>
      <c r="S170" s="5" t="s">
        <v>352</v>
      </c>
    </row>
    <row r="171" ht="22.5" customHeight="1">
      <c r="A171" s="4">
        <v>170.0</v>
      </c>
      <c r="B171" s="5" t="s">
        <v>270</v>
      </c>
      <c r="C171" s="5" t="s">
        <v>271</v>
      </c>
      <c r="D171" s="5" t="s">
        <v>272</v>
      </c>
      <c r="E171" s="5" t="s">
        <v>273</v>
      </c>
      <c r="F171" s="5" t="s">
        <v>274</v>
      </c>
      <c r="G171" s="5" t="s">
        <v>274</v>
      </c>
      <c r="H171" s="5" t="s">
        <v>352</v>
      </c>
      <c r="K171" s="2" t="str">
        <f>IFERROR(__xludf.DUMMYFUNCTION("GOOGLETRANSLATE(A171,""en"",""ur"")"),"170")</f>
        <v>170</v>
      </c>
      <c r="L171" s="2" t="str">
        <f>IFERROR(__xludf.DUMMYFUNCTION("GOOGLETRANSLATE(B171,""en"",""ur"")"),"مرکز میں سوار کے بارے میں ایک قابل ذکر تفصیل کیا ہے؟")</f>
        <v>مرکز میں سوار کے بارے میں ایک قابل ذکر تفصیل کیا ہے؟</v>
      </c>
      <c r="M171" s="2" t="str">
        <f>IFERROR(__xludf.DUMMYFUNCTION("GOOGLETRANSLATE(C171,""en"",""ur"")"),"وہ اپنے گھوڑے سے گر رہا ہے۔")</f>
        <v>وہ اپنے گھوڑے سے گر رہا ہے۔</v>
      </c>
      <c r="N171" s="2" t="str">
        <f>IFERROR(__xludf.DUMMYFUNCTION("GOOGLETRANSLATE(D171,""en"",""ur"")"),"اس نے بینر اٹھا رکھا ہے۔")</f>
        <v>اس نے بینر اٹھا رکھا ہے۔</v>
      </c>
      <c r="O171" s="2" t="str">
        <f>IFERROR(__xludf.DUMMYFUNCTION("GOOGLETRANSLATE(E171,""en"",""ur"")"),"اس نے رسی پکڑی ہوئی ہے۔")</f>
        <v>اس نے رسی پکڑی ہوئی ہے۔</v>
      </c>
      <c r="P171" s="2" t="str">
        <f>IFERROR(__xludf.DUMMYFUNCTION("GOOGLETRANSLATE(F171,""en"",""ur"")"),"اس نے چھڑی پکڑی ہوئی ہے۔")</f>
        <v>اس نے چھڑی پکڑی ہوئی ہے۔</v>
      </c>
      <c r="Q171" s="2" t="s">
        <v>275</v>
      </c>
      <c r="R171" s="2" t="str">
        <f>IFERROR(__xludf.DUMMYFUNCTION("GOOGLETRANSLATE(G171,""en"",""ur"")"),"اس نے چھڑی پکڑی ہوئی ہے۔")</f>
        <v>اس نے چھڑی پکڑی ہوئی ہے۔</v>
      </c>
      <c r="S171" s="5" t="s">
        <v>352</v>
      </c>
    </row>
    <row r="172" ht="22.5" customHeight="1">
      <c r="A172" s="4">
        <v>171.0</v>
      </c>
      <c r="B172" s="5" t="s">
        <v>354</v>
      </c>
      <c r="C172" s="5" t="s">
        <v>103</v>
      </c>
      <c r="D172" s="5" t="s">
        <v>71</v>
      </c>
      <c r="E172" s="5" t="s">
        <v>72</v>
      </c>
      <c r="F172" s="5" t="s">
        <v>73</v>
      </c>
      <c r="G172" s="5" t="s">
        <v>71</v>
      </c>
      <c r="H172" s="5" t="s">
        <v>355</v>
      </c>
      <c r="K172" s="2" t="str">
        <f>IFERROR(__xludf.DUMMYFUNCTION("GOOGLETRANSLATE(A172,""en"",""ur"")"),"171")</f>
        <v>171</v>
      </c>
      <c r="L172" s="2" t="str">
        <f>IFERROR(__xludf.DUMMYFUNCTION("GOOGLETRANSLATE(B172,""en"",""ur"")"),"buzkashi_53 میں دکھائی جانے والی اہم کارروائی کیا ہے؟")</f>
        <v>buzkashi_53 میں دکھائی جانے والی اہم کارروائی کیا ہے؟</v>
      </c>
      <c r="M172" s="2" t="str">
        <f>IFERROR(__xludf.DUMMYFUNCTION("GOOGLETRANSLATE(C172,""en"",""ur"")"),"آرام سے گھوڑے کی سواری۔")</f>
        <v>آرام سے گھوڑے کی سواری۔</v>
      </c>
      <c r="N172" s="2" t="str">
        <f>IFERROR(__xludf.DUMMYFUNCTION("GOOGLETRANSLATE(D172,""en"",""ur"")"),"سواروں کا ایک گروپ جو مرکزی چیز کے لیے مقابلہ کر رہا ہے۔")</f>
        <v>سواروں کا ایک گروپ جو مرکزی چیز کے لیے مقابلہ کر رہا ہے۔</v>
      </c>
      <c r="O172" s="2" t="str">
        <f>IFERROR(__xludf.DUMMYFUNCTION("GOOGLETRANSLATE(E172,""en"",""ur"")"),"گھوڑوں کی پریڈ")</f>
        <v>گھوڑوں کی پریڈ</v>
      </c>
      <c r="P172" s="2" t="str">
        <f>IFERROR(__xludf.DUMMYFUNCTION("GOOGLETRANSLATE(F172,""en"",""ur"")"),"گھوڑوں کی دوڑ")</f>
        <v>گھوڑوں کی دوڑ</v>
      </c>
      <c r="Q172" s="2" t="s">
        <v>278</v>
      </c>
      <c r="R172" s="2" t="str">
        <f>IFERROR(__xludf.DUMMYFUNCTION("GOOGLETRANSLATE(G172,""en"",""ur"")"),"سواروں کا ایک گروپ جو مرکزی چیز کے لیے مقابلہ کر رہا ہے۔")</f>
        <v>سواروں کا ایک گروپ جو مرکزی چیز کے لیے مقابلہ کر رہا ہے۔</v>
      </c>
      <c r="S172" s="5" t="s">
        <v>355</v>
      </c>
    </row>
    <row r="173" ht="22.5" customHeight="1">
      <c r="A173" s="4">
        <v>172.0</v>
      </c>
      <c r="B173" s="5" t="s">
        <v>238</v>
      </c>
      <c r="C173" s="5" t="s">
        <v>239</v>
      </c>
      <c r="D173" s="5" t="s">
        <v>84</v>
      </c>
      <c r="E173" s="5" t="s">
        <v>85</v>
      </c>
      <c r="F173" s="5" t="s">
        <v>240</v>
      </c>
      <c r="G173" s="5" t="s">
        <v>84</v>
      </c>
      <c r="H173" s="5" t="s">
        <v>355</v>
      </c>
      <c r="K173" s="2" t="str">
        <f>IFERROR(__xludf.DUMMYFUNCTION("GOOGLETRANSLATE(A173,""en"",""ur"")"),"172")</f>
        <v>172</v>
      </c>
      <c r="L173" s="2" t="str">
        <f>IFERROR(__xludf.DUMMYFUNCTION("GOOGLETRANSLATE(B173,""en"",""ur"")"),"اس گیم کی ترتیب کے بارے میں ایک قابل ذکر تفصیل کیا ہے؟")</f>
        <v>اس گیم کی ترتیب کے بارے میں ایک قابل ذکر تفصیل کیا ہے؟</v>
      </c>
      <c r="M173" s="2" t="str">
        <f>IFERROR(__xludf.DUMMYFUNCTION("GOOGLETRANSLATE(C173,""en"",""ur"")"),"یہ ایک بڑے اسٹیڈیم میں ہے۔")</f>
        <v>یہ ایک بڑے اسٹیڈیم میں ہے۔</v>
      </c>
      <c r="N173" s="2" t="str">
        <f>IFERROR(__xludf.DUMMYFUNCTION("GOOGLETRANSLATE(D173,""en"",""ur"")"),"یہ پہاڑی، پتھریلی علاقے میں ایک میدان میں ہے۔")</f>
        <v>یہ پہاڑی، پتھریلی علاقے میں ایک میدان میں ہے۔</v>
      </c>
      <c r="O173" s="2" t="str">
        <f>IFERROR(__xludf.DUMMYFUNCTION("GOOGLETRANSLATE(E173,""en"",""ur"")"),"یہ شہر کی سڑک پر ہے۔")</f>
        <v>یہ شہر کی سڑک پر ہے۔</v>
      </c>
      <c r="P173" s="2" t="str">
        <f>IFERROR(__xludf.DUMMYFUNCTION("GOOGLETRANSLATE(F173,""en"",""ur"")"),"یہ ایک پرسکون ساحل سمندر پر ہے۔")</f>
        <v>یہ ایک پرسکون ساحل سمندر پر ہے۔</v>
      </c>
      <c r="Q173" s="2" t="s">
        <v>241</v>
      </c>
      <c r="R173" s="2" t="str">
        <f>IFERROR(__xludf.DUMMYFUNCTION("GOOGLETRANSLATE(G173,""en"",""ur"")"),"یہ پہاڑی، پتھریلی علاقے میں ایک میدان میں ہے۔")</f>
        <v>یہ پہاڑی، پتھریلی علاقے میں ایک میدان میں ہے۔</v>
      </c>
      <c r="S173" s="5" t="s">
        <v>355</v>
      </c>
    </row>
    <row r="174" ht="22.5" customHeight="1">
      <c r="A174" s="4">
        <v>173.0</v>
      </c>
      <c r="B174" s="5" t="s">
        <v>242</v>
      </c>
      <c r="C174" s="5" t="s">
        <v>243</v>
      </c>
      <c r="D174" s="5" t="s">
        <v>292</v>
      </c>
      <c r="E174" s="5" t="s">
        <v>245</v>
      </c>
      <c r="F174" s="5" t="s">
        <v>246</v>
      </c>
      <c r="G174" s="5" t="s">
        <v>292</v>
      </c>
      <c r="H174" s="5" t="s">
        <v>355</v>
      </c>
      <c r="K174" s="2" t="str">
        <f>IFERROR(__xludf.DUMMYFUNCTION("GOOGLETRANSLATE(A174,""en"",""ur"")"),"173")</f>
        <v>173</v>
      </c>
      <c r="L174" s="2" t="str">
        <f>IFERROR(__xludf.DUMMYFUNCTION("GOOGLETRANSLATE(B174,""en"",""ur"")"),"سواروں کے لباس کے بارے میں واضح تفصیل کیا ہے؟")</f>
        <v>سواروں کے لباس کے بارے میں واضح تفصیل کیا ہے؟</v>
      </c>
      <c r="M174" s="2" t="str">
        <f>IFERROR(__xludf.DUMMYFUNCTION("GOOGLETRANSLATE(C174,""en"",""ur"")"),"وہ جدید کھیلوں کی وردی پہنے ہوئے ہیں۔")</f>
        <v>وہ جدید کھیلوں کی وردی پہنے ہوئے ہیں۔</v>
      </c>
      <c r="N174" s="2" t="str">
        <f>IFERROR(__xludf.DUMMYFUNCTION("GOOGLETRANSLATE(D174,""en"",""ur"")"),"وہ روایتی ٹونکس اور سر کے لباس پہنے ہوئے ہیں۔")</f>
        <v>وہ روایتی ٹونکس اور سر کے لباس پہنے ہوئے ہیں۔</v>
      </c>
      <c r="O174" s="2" t="str">
        <f>IFERROR(__xludf.DUMMYFUNCTION("GOOGLETRANSLATE(E174,""en"",""ur"")"),"وہ رسمی سوٹ پہنے ہوئے ہیں۔")</f>
        <v>وہ رسمی سوٹ پہنے ہوئے ہیں۔</v>
      </c>
      <c r="P174" s="2" t="str">
        <f>IFERROR(__xludf.DUMMYFUNCTION("GOOGLETRANSLATE(F174,""en"",""ur"")"),"انہوں نے کوئی لباس نہیں پہنا ہوا ہے۔")</f>
        <v>انہوں نے کوئی لباس نہیں پہنا ہوا ہے۔</v>
      </c>
      <c r="Q174" s="2" t="s">
        <v>293</v>
      </c>
      <c r="R174" s="2" t="str">
        <f>IFERROR(__xludf.DUMMYFUNCTION("GOOGLETRANSLATE(G174,""en"",""ur"")"),"وہ روایتی ٹونکس اور سر کے لباس پہنے ہوئے ہیں۔")</f>
        <v>وہ روایتی ٹونکس اور سر کے لباس پہنے ہوئے ہیں۔</v>
      </c>
      <c r="S174" s="5" t="s">
        <v>355</v>
      </c>
    </row>
    <row r="175" ht="22.5" customHeight="1">
      <c r="A175" s="4">
        <v>174.0</v>
      </c>
      <c r="B175" s="5" t="s">
        <v>248</v>
      </c>
      <c r="C175" s="5" t="s">
        <v>249</v>
      </c>
      <c r="D175" s="5" t="s">
        <v>250</v>
      </c>
      <c r="E175" s="5" t="s">
        <v>251</v>
      </c>
      <c r="F175" s="5" t="s">
        <v>252</v>
      </c>
      <c r="G175" s="5" t="s">
        <v>250</v>
      </c>
      <c r="H175" s="5" t="s">
        <v>355</v>
      </c>
      <c r="K175" s="2" t="str">
        <f>IFERROR(__xludf.DUMMYFUNCTION("GOOGLETRANSLATE(A175,""en"",""ur"")"),"174")</f>
        <v>174</v>
      </c>
      <c r="L175" s="2" t="str">
        <f>IFERROR(__xludf.DUMMYFUNCTION("GOOGLETRANSLATE(B175,""en"",""ur"")"),"سواروں کی ظاہری باڈی پوزیشن کیا ہے؟")</f>
        <v>سواروں کی ظاہری باڈی پوزیشن کیا ہے؟</v>
      </c>
      <c r="M175" s="2" t="str">
        <f>IFERROR(__xludf.DUMMYFUNCTION("GOOGLETRANSLATE(C175,""en"",""ur"")"),"وہ سیدھے کھڑے ہیں۔")</f>
        <v>وہ سیدھے کھڑے ہیں۔</v>
      </c>
      <c r="N175" s="2" t="str">
        <f>IFERROR(__xludf.DUMMYFUNCTION("GOOGLETRANSLATE(D175,""en"",""ur"")"),"وہ جھک رہے ہیں اور کسی چیز تک پہنچ رہے ہیں۔")</f>
        <v>وہ جھک رہے ہیں اور کسی چیز تک پہنچ رہے ہیں۔</v>
      </c>
      <c r="O175" s="2" t="str">
        <f>IFERROR(__xludf.DUMMYFUNCTION("GOOGLETRANSLATE(E175,""en"",""ur"")"),"وہ گھوڑوں کی پیٹھ پر لیٹے ہوئے ہیں۔")</f>
        <v>وہ گھوڑوں کی پیٹھ پر لیٹے ہوئے ہیں۔</v>
      </c>
      <c r="P175" s="2" t="str">
        <f>IFERROR(__xludf.DUMMYFUNCTION("GOOGLETRANSLATE(F175,""en"",""ur"")"),"وہ آرام سے بیٹھے ہیں۔")</f>
        <v>وہ آرام سے بیٹھے ہیں۔</v>
      </c>
      <c r="Q175" s="2" t="s">
        <v>253</v>
      </c>
      <c r="R175" s="2" t="str">
        <f>IFERROR(__xludf.DUMMYFUNCTION("GOOGLETRANSLATE(G175,""en"",""ur"")"),"وہ جھک رہے ہیں اور کسی چیز تک پہنچ رہے ہیں۔")</f>
        <v>وہ جھک رہے ہیں اور کسی چیز تک پہنچ رہے ہیں۔</v>
      </c>
      <c r="S175" s="5" t="s">
        <v>355</v>
      </c>
    </row>
    <row r="176" ht="22.5" customHeight="1">
      <c r="A176" s="4">
        <v>175.0</v>
      </c>
      <c r="B176" s="5" t="s">
        <v>254</v>
      </c>
      <c r="C176" s="5" t="s">
        <v>47</v>
      </c>
      <c r="D176" s="5" t="s">
        <v>48</v>
      </c>
      <c r="E176" s="5" t="s">
        <v>49</v>
      </c>
      <c r="F176" s="5" t="s">
        <v>50</v>
      </c>
      <c r="G176" s="5" t="s">
        <v>49</v>
      </c>
      <c r="H176" s="5" t="s">
        <v>355</v>
      </c>
      <c r="K176" s="2" t="str">
        <f>IFERROR(__xludf.DUMMYFUNCTION("GOOGLETRANSLATE(A176,""en"",""ur"")"),"175")</f>
        <v>175</v>
      </c>
      <c r="L176" s="2" t="str">
        <f>IFERROR(__xludf.DUMMYFUNCTION("GOOGLETRANSLATE(B176,""en"",""ur"")"),"سواروں کے چہروں سے ظاہری جذبات کیا ہیں؟")</f>
        <v>سواروں کے چہروں سے ظاہری جذبات کیا ہیں؟</v>
      </c>
      <c r="M176" s="2" t="str">
        <f>IFERROR(__xludf.DUMMYFUNCTION("GOOGLETRANSLATE(C176,""en"",""ur"")"),"پرسکون اور پر سکون")</f>
        <v>پرسکون اور پر سکون</v>
      </c>
      <c r="N176" s="2" t="str">
        <f>IFERROR(__xludf.DUMMYFUNCTION("GOOGLETRANSLATE(D176,""en"",""ur"")"),"خوف زدہ اور بے چین")</f>
        <v>خوف زدہ اور بے چین</v>
      </c>
      <c r="O176" s="2" t="str">
        <f>IFERROR(__xludf.DUMMYFUNCTION("GOOGLETRANSLATE(E176,""en"",""ur"")"),"کشیدہ اور شدید")</f>
        <v>کشیدہ اور شدید</v>
      </c>
      <c r="P176" s="2" t="str">
        <f>IFERROR(__xludf.DUMMYFUNCTION("GOOGLETRANSLATE(F176,""en"",""ur"")"),"خوش اور مسکراتے ہوئے۔")</f>
        <v>خوش اور مسکراتے ہوئے۔</v>
      </c>
      <c r="Q176" s="2" t="s">
        <v>51</v>
      </c>
      <c r="R176" s="2" t="str">
        <f>IFERROR(__xludf.DUMMYFUNCTION("GOOGLETRANSLATE(G176,""en"",""ur"")"),"کشیدہ اور شدید")</f>
        <v>کشیدہ اور شدید</v>
      </c>
      <c r="S176" s="5" t="s">
        <v>355</v>
      </c>
    </row>
    <row r="177" ht="22.5" customHeight="1">
      <c r="A177" s="4">
        <v>176.0</v>
      </c>
      <c r="B177" s="5" t="s">
        <v>88</v>
      </c>
      <c r="C177" s="5" t="s">
        <v>89</v>
      </c>
      <c r="D177" s="5" t="s">
        <v>90</v>
      </c>
      <c r="E177" s="5" t="s">
        <v>91</v>
      </c>
      <c r="F177" s="5" t="s">
        <v>255</v>
      </c>
      <c r="G177" s="5" t="s">
        <v>255</v>
      </c>
      <c r="H177" s="5" t="s">
        <v>355</v>
      </c>
      <c r="K177" s="2" t="str">
        <f>IFERROR(__xludf.DUMMYFUNCTION("GOOGLETRANSLATE(A177,""en"",""ur"")"),"176")</f>
        <v>176</v>
      </c>
      <c r="L177" s="2" t="str">
        <f>IFERROR(__xludf.DUMMYFUNCTION("GOOGLETRANSLATE(B177,""en"",""ur"")"),"زمین کی سب سے نمایاں خصوصیت کیا ہے؟")</f>
        <v>زمین کی سب سے نمایاں خصوصیت کیا ہے؟</v>
      </c>
      <c r="M177" s="2" t="str">
        <f>IFERROR(__xludf.DUMMYFUNCTION("GOOGLETRANSLATE(C177,""en"",""ur"")"),"ایک پکی سطح")</f>
        <v>ایک پکی سطح</v>
      </c>
      <c r="N177" s="2" t="str">
        <f>IFERROR(__xludf.DUMMYFUNCTION("GOOGLETRANSLATE(D177,""en"",""ur"")"),"کیچڑ والا میدان")</f>
        <v>کیچڑ والا میدان</v>
      </c>
      <c r="O177" s="2" t="str">
        <f>IFERROR(__xludf.DUMMYFUNCTION("GOOGLETRANSLATE(E177,""en"",""ur"")"),"ایک گھاس دار سطح")</f>
        <v>ایک گھاس دار سطح</v>
      </c>
      <c r="P177" s="2" t="str">
        <f>IFERROR(__xludf.DUMMYFUNCTION("GOOGLETRANSLATE(F177,""en"",""ur"")"),"ریتلی یا گندگی کی سطح")</f>
        <v>ریتلی یا گندگی کی سطح</v>
      </c>
      <c r="Q177" s="2" t="s">
        <v>256</v>
      </c>
      <c r="R177" s="2" t="str">
        <f>IFERROR(__xludf.DUMMYFUNCTION("GOOGLETRANSLATE(G177,""en"",""ur"")"),"ریتلی یا گندگی کی سطح")</f>
        <v>ریتلی یا گندگی کی سطح</v>
      </c>
      <c r="S177" s="5" t="s">
        <v>355</v>
      </c>
    </row>
    <row r="178" ht="22.5" customHeight="1">
      <c r="A178" s="4">
        <v>177.0</v>
      </c>
      <c r="B178" s="5" t="s">
        <v>257</v>
      </c>
      <c r="C178" s="5" t="s">
        <v>95</v>
      </c>
      <c r="D178" s="5" t="s">
        <v>96</v>
      </c>
      <c r="E178" s="5" t="s">
        <v>97</v>
      </c>
      <c r="F178" s="5" t="s">
        <v>258</v>
      </c>
      <c r="G178" s="5" t="s">
        <v>97</v>
      </c>
      <c r="H178" s="5" t="s">
        <v>355</v>
      </c>
      <c r="K178" s="2" t="str">
        <f>IFERROR(__xludf.DUMMYFUNCTION("GOOGLETRANSLATE(A178,""en"",""ur"")"),"177")</f>
        <v>177</v>
      </c>
      <c r="L178" s="2" t="str">
        <f>IFERROR(__xludf.DUMMYFUNCTION("GOOGLETRANSLATE(B178,""en"",""ur"")"),"کھیلے جانے والے کھیل کا نام کیا ہے؟")</f>
        <v>کھیلے جانے والے کھیل کا نام کیا ہے؟</v>
      </c>
      <c r="M178" s="2" t="str">
        <f>IFERROR(__xludf.DUMMYFUNCTION("GOOGLETRANSLATE(C178,""en"",""ur"")"),"پولو")</f>
        <v>پولو</v>
      </c>
      <c r="N178" s="2" t="str">
        <f>IFERROR(__xludf.DUMMYFUNCTION("GOOGLETRANSLATE(D178,""en"",""ur"")"),"گھوڑوں کی دوڑ")</f>
        <v>گھوڑوں کی دوڑ</v>
      </c>
      <c r="O178" s="2" t="str">
        <f>IFERROR(__xludf.DUMMYFUNCTION("GOOGLETRANSLATE(E178,""en"",""ur"")"),"بزکشی۔")</f>
        <v>بزکشی۔</v>
      </c>
      <c r="P178" s="2" t="str">
        <f>IFERROR(__xludf.DUMMYFUNCTION("GOOGLETRANSLATE(F178,""en"",""ur"")"),"گھڑ سواری کے کھیل")</f>
        <v>گھڑ سواری کے کھیل</v>
      </c>
      <c r="Q178" s="2" t="s">
        <v>259</v>
      </c>
      <c r="R178" s="2" t="str">
        <f>IFERROR(__xludf.DUMMYFUNCTION("GOOGLETRANSLATE(G178,""en"",""ur"")"),"بزکشی۔")</f>
        <v>بزکشی۔</v>
      </c>
      <c r="S178" s="5" t="s">
        <v>355</v>
      </c>
    </row>
    <row r="179" ht="22.5" customHeight="1">
      <c r="A179" s="4">
        <v>178.0</v>
      </c>
      <c r="B179" s="5" t="s">
        <v>260</v>
      </c>
      <c r="C179" s="5" t="s">
        <v>261</v>
      </c>
      <c r="D179" s="5" t="s">
        <v>262</v>
      </c>
      <c r="E179" s="5" t="s">
        <v>263</v>
      </c>
      <c r="F179" s="5" t="s">
        <v>264</v>
      </c>
      <c r="G179" s="5" t="s">
        <v>263</v>
      </c>
      <c r="H179" s="5" t="s">
        <v>355</v>
      </c>
      <c r="K179" s="2" t="str">
        <f>IFERROR(__xludf.DUMMYFUNCTION("GOOGLETRANSLATE(A179,""en"",""ur"")"),"178")</f>
        <v>178</v>
      </c>
      <c r="L179" s="2" t="str">
        <f>IFERROR(__xludf.DUMMYFUNCTION("GOOGLETRANSLATE(B179,""en"",""ur"")"),"تصویر میں ایکشن ایک ایسا انداز تجویز کرتا ہے جو اس بات پر زور دیتا ہے...")</f>
        <v>تصویر میں ایکشن ایک ایسا انداز تجویز کرتا ہے جو اس بات پر زور دیتا ہے...</v>
      </c>
      <c r="M179" s="2" t="str">
        <f>IFERROR(__xludf.DUMMYFUNCTION("GOOGLETRANSLATE(C179,""en"",""ur"")"),"روانی اور قلابازیاں")</f>
        <v>روانی اور قلابازیاں</v>
      </c>
      <c r="N179" s="2" t="str">
        <f>IFERROR(__xludf.DUMMYFUNCTION("GOOGLETRANSLATE(D179,""en"",""ur"")"),"زمینی لڑائی اور گرفت")</f>
        <v>زمینی لڑائی اور گرفت</v>
      </c>
      <c r="O179" s="2" t="str">
        <f>IFERROR(__xludf.DUMMYFUNCTION("GOOGLETRANSLATE(E179,""en"",""ur"")"),"وحشیانہ قوت اور گھڑ سواری۔")</f>
        <v>وحشیانہ قوت اور گھڑ سواری۔</v>
      </c>
      <c r="P179" s="2" t="str">
        <f>IFERROR(__xludf.DUMMYFUNCTION("GOOGLETRANSLATE(F179,""en"",""ur"")"),"سادہ، لکیری حرکات")</f>
        <v>سادہ، لکیری حرکات</v>
      </c>
      <c r="Q179" s="2" t="s">
        <v>265</v>
      </c>
      <c r="R179" s="2" t="str">
        <f>IFERROR(__xludf.DUMMYFUNCTION("GOOGLETRANSLATE(G179,""en"",""ur"")"),"وحشیانہ قوت اور گھڑ سواری۔")</f>
        <v>وحشیانہ قوت اور گھڑ سواری۔</v>
      </c>
      <c r="S179" s="5" t="s">
        <v>355</v>
      </c>
    </row>
    <row r="180" ht="22.5" customHeight="1">
      <c r="A180" s="4">
        <v>179.0</v>
      </c>
      <c r="B180" s="5" t="s">
        <v>266</v>
      </c>
      <c r="C180" s="5" t="s">
        <v>59</v>
      </c>
      <c r="D180" s="5" t="s">
        <v>267</v>
      </c>
      <c r="E180" s="5" t="s">
        <v>61</v>
      </c>
      <c r="F180" s="5" t="s">
        <v>268</v>
      </c>
      <c r="G180" s="5" t="s">
        <v>267</v>
      </c>
      <c r="H180" s="5" t="s">
        <v>355</v>
      </c>
      <c r="K180" s="2" t="str">
        <f>IFERROR(__xludf.DUMMYFUNCTION("GOOGLETRANSLATE(A180,""en"",""ur"")"),"179")</f>
        <v>179</v>
      </c>
      <c r="L180" s="2" t="str">
        <f>IFERROR(__xludf.DUMMYFUNCTION("GOOGLETRANSLATE(B180,""en"",""ur"")"),"گھوڑوں کے بارے میں ایک قابل ذکر تفصیل کیا ہے؟")</f>
        <v>گھوڑوں کے بارے میں ایک قابل ذکر تفصیل کیا ہے؟</v>
      </c>
      <c r="M180" s="2" t="str">
        <f>IFERROR(__xludf.DUMMYFUNCTION("GOOGLETRANSLATE(C180,""en"",""ur"")"),"وہ سب ایک ہی رنگ کے ہیں۔")</f>
        <v>وہ سب ایک ہی رنگ کے ہیں۔</v>
      </c>
      <c r="N180" s="2" t="str">
        <f>IFERROR(__xludf.DUMMYFUNCTION("GOOGLETRANSLATE(D180,""en"",""ur"")"),"وہ رنگوں اور نسلوں کا مرکب ہیں۔")</f>
        <v>وہ رنگوں اور نسلوں کا مرکب ہیں۔</v>
      </c>
      <c r="O180" s="2" t="str">
        <f>IFERROR(__xludf.DUMMYFUNCTION("GOOGLETRANSLATE(E180,""en"",""ur"")"),"وہ سب وسیع نمونوں کے ساتھ زین پہنے ہوئے ہیں۔")</f>
        <v>وہ سب وسیع نمونوں کے ساتھ زین پہنے ہوئے ہیں۔</v>
      </c>
      <c r="P180" s="2" t="str">
        <f>IFERROR(__xludf.DUMMYFUNCTION("GOOGLETRANSLATE(F180,""en"",""ur"")"),"وہ سب خاموش کھڑے ہیں۔")</f>
        <v>وہ سب خاموش کھڑے ہیں۔</v>
      </c>
      <c r="Q180" s="2" t="s">
        <v>269</v>
      </c>
      <c r="R180" s="2" t="str">
        <f>IFERROR(__xludf.DUMMYFUNCTION("GOOGLETRANSLATE(G180,""en"",""ur"")"),"وہ رنگوں اور نسلوں کا مرکب ہیں۔")</f>
        <v>وہ رنگوں اور نسلوں کا مرکب ہیں۔</v>
      </c>
      <c r="S180" s="5" t="s">
        <v>355</v>
      </c>
    </row>
    <row r="181" ht="22.5" customHeight="1">
      <c r="A181" s="4">
        <v>180.0</v>
      </c>
      <c r="B181" s="5" t="s">
        <v>296</v>
      </c>
      <c r="C181" s="5" t="s">
        <v>297</v>
      </c>
      <c r="D181" s="5" t="s">
        <v>272</v>
      </c>
      <c r="E181" s="5" t="s">
        <v>273</v>
      </c>
      <c r="F181" s="5" t="s">
        <v>274</v>
      </c>
      <c r="G181" s="5" t="s">
        <v>274</v>
      </c>
      <c r="H181" s="5" t="s">
        <v>355</v>
      </c>
      <c r="K181" s="2" t="str">
        <f>IFERROR(__xludf.DUMMYFUNCTION("GOOGLETRANSLATE(A181,""en"",""ur"")"),"180")</f>
        <v>180</v>
      </c>
      <c r="L181" s="2" t="str">
        <f>IFERROR(__xludf.DUMMYFUNCTION("GOOGLETRANSLATE(B181,""en"",""ur"")"),"دائیں طرف سوار کے بارے میں ایک قابل ذکر تفصیل کیا ہے؟")</f>
        <v>دائیں طرف سوار کے بارے میں ایک قابل ذکر تفصیل کیا ہے؟</v>
      </c>
      <c r="M181" s="2" t="str">
        <f>IFERROR(__xludf.DUMMYFUNCTION("GOOGLETRANSLATE(C181,""en"",""ur"")"),"اس نے ایک کوڑا پکڑ رکھا ہے۔")</f>
        <v>اس نے ایک کوڑا پکڑ رکھا ہے۔</v>
      </c>
      <c r="N181" s="2" t="str">
        <f>IFERROR(__xludf.DUMMYFUNCTION("GOOGLETRANSLATE(D181,""en"",""ur"")"),"اس نے بینر اٹھا رکھا ہے۔")</f>
        <v>اس نے بینر اٹھا رکھا ہے۔</v>
      </c>
      <c r="O181" s="2" t="str">
        <f>IFERROR(__xludf.DUMMYFUNCTION("GOOGLETRANSLATE(E181,""en"",""ur"")"),"اس نے رسی پکڑی ہوئی ہے۔")</f>
        <v>اس نے رسی پکڑی ہوئی ہے۔</v>
      </c>
      <c r="P181" s="2" t="str">
        <f>IFERROR(__xludf.DUMMYFUNCTION("GOOGLETRANSLATE(F181,""en"",""ur"")"),"اس نے چھڑی پکڑی ہوئی ہے۔")</f>
        <v>اس نے چھڑی پکڑی ہوئی ہے۔</v>
      </c>
      <c r="Q181" s="2" t="s">
        <v>298</v>
      </c>
      <c r="R181" s="2" t="str">
        <f>IFERROR(__xludf.DUMMYFUNCTION("GOOGLETRANSLATE(G181,""en"",""ur"")"),"اس نے چھڑی پکڑی ہوئی ہے۔")</f>
        <v>اس نے چھڑی پکڑی ہوئی ہے۔</v>
      </c>
      <c r="S181" s="5" t="s">
        <v>355</v>
      </c>
    </row>
    <row r="182" ht="22.5" customHeight="1">
      <c r="A182" s="4">
        <v>181.0</v>
      </c>
      <c r="B182" s="5" t="s">
        <v>356</v>
      </c>
      <c r="C182" s="5" t="s">
        <v>103</v>
      </c>
      <c r="D182" s="5" t="s">
        <v>71</v>
      </c>
      <c r="E182" s="5" t="s">
        <v>72</v>
      </c>
      <c r="F182" s="5" t="s">
        <v>73</v>
      </c>
      <c r="G182" s="5" t="s">
        <v>71</v>
      </c>
      <c r="H182" s="5" t="s">
        <v>357</v>
      </c>
      <c r="K182" s="2" t="str">
        <f>IFERROR(__xludf.DUMMYFUNCTION("GOOGLETRANSLATE(A182,""en"",""ur"")"),"181")</f>
        <v>181</v>
      </c>
      <c r="L182" s="2" t="str">
        <f>IFERROR(__xludf.DUMMYFUNCTION("GOOGLETRANSLATE(B182,""en"",""ur"")"),"buzkashi_47 میں دکھایا گیا اہم عمل کیا ہے؟")</f>
        <v>buzkashi_47 میں دکھایا گیا اہم عمل کیا ہے؟</v>
      </c>
      <c r="M182" s="2" t="str">
        <f>IFERROR(__xludf.DUMMYFUNCTION("GOOGLETRANSLATE(C182,""en"",""ur"")"),"آرام سے گھوڑے کی سواری۔")</f>
        <v>آرام سے گھوڑے کی سواری۔</v>
      </c>
      <c r="N182" s="2" t="str">
        <f>IFERROR(__xludf.DUMMYFUNCTION("GOOGLETRANSLATE(D182,""en"",""ur"")"),"سواروں کا ایک گروپ جو مرکزی چیز کے لیے مقابلہ کر رہا ہے۔")</f>
        <v>سواروں کا ایک گروپ جو مرکزی چیز کے لیے مقابلہ کر رہا ہے۔</v>
      </c>
      <c r="O182" s="2" t="str">
        <f>IFERROR(__xludf.DUMMYFUNCTION("GOOGLETRANSLATE(E182,""en"",""ur"")"),"گھوڑوں کی پریڈ")</f>
        <v>گھوڑوں کی پریڈ</v>
      </c>
      <c r="P182" s="2" t="str">
        <f>IFERROR(__xludf.DUMMYFUNCTION("GOOGLETRANSLATE(F182,""en"",""ur"")"),"گھوڑوں کی دوڑ")</f>
        <v>گھوڑوں کی دوڑ</v>
      </c>
      <c r="Q182" s="2" t="s">
        <v>278</v>
      </c>
      <c r="R182" s="2" t="str">
        <f>IFERROR(__xludf.DUMMYFUNCTION("GOOGLETRANSLATE(G182,""en"",""ur"")"),"سواروں کا ایک گروپ جو مرکزی چیز کے لیے مقابلہ کر رہا ہے۔")</f>
        <v>سواروں کا ایک گروپ جو مرکزی چیز کے لیے مقابلہ کر رہا ہے۔</v>
      </c>
      <c r="S182" s="5" t="s">
        <v>357</v>
      </c>
    </row>
    <row r="183" ht="22.5" customHeight="1">
      <c r="A183" s="4">
        <v>182.0</v>
      </c>
      <c r="B183" s="5" t="s">
        <v>238</v>
      </c>
      <c r="C183" s="5" t="s">
        <v>239</v>
      </c>
      <c r="D183" s="5" t="s">
        <v>84</v>
      </c>
      <c r="E183" s="5" t="s">
        <v>85</v>
      </c>
      <c r="F183" s="5" t="s">
        <v>240</v>
      </c>
      <c r="G183" s="5" t="s">
        <v>84</v>
      </c>
      <c r="H183" s="5" t="s">
        <v>357</v>
      </c>
      <c r="K183" s="2" t="str">
        <f>IFERROR(__xludf.DUMMYFUNCTION("GOOGLETRANSLATE(A183,""en"",""ur"")"),"182")</f>
        <v>182</v>
      </c>
      <c r="L183" s="2" t="str">
        <f>IFERROR(__xludf.DUMMYFUNCTION("GOOGLETRANSLATE(B183,""en"",""ur"")"),"اس گیم کی ترتیب کے بارے میں ایک قابل ذکر تفصیل کیا ہے؟")</f>
        <v>اس گیم کی ترتیب کے بارے میں ایک قابل ذکر تفصیل کیا ہے؟</v>
      </c>
      <c r="M183" s="2" t="str">
        <f>IFERROR(__xludf.DUMMYFUNCTION("GOOGLETRANSLATE(C183,""en"",""ur"")"),"یہ ایک بڑے اسٹیڈیم میں ہے۔")</f>
        <v>یہ ایک بڑے اسٹیڈیم میں ہے۔</v>
      </c>
      <c r="N183" s="2" t="str">
        <f>IFERROR(__xludf.DUMMYFUNCTION("GOOGLETRANSLATE(D183,""en"",""ur"")"),"یہ پہاڑی، پتھریلی علاقے میں ایک میدان میں ہے۔")</f>
        <v>یہ پہاڑی، پتھریلی علاقے میں ایک میدان میں ہے۔</v>
      </c>
      <c r="O183" s="2" t="str">
        <f>IFERROR(__xludf.DUMMYFUNCTION("GOOGLETRANSLATE(E183,""en"",""ur"")"),"یہ شہر کی سڑک پر ہے۔")</f>
        <v>یہ شہر کی سڑک پر ہے۔</v>
      </c>
      <c r="P183" s="2" t="str">
        <f>IFERROR(__xludf.DUMMYFUNCTION("GOOGLETRANSLATE(F183,""en"",""ur"")"),"یہ ایک پرسکون ساحل سمندر پر ہے۔")</f>
        <v>یہ ایک پرسکون ساحل سمندر پر ہے۔</v>
      </c>
      <c r="Q183" s="2" t="s">
        <v>241</v>
      </c>
      <c r="R183" s="2" t="str">
        <f>IFERROR(__xludf.DUMMYFUNCTION("GOOGLETRANSLATE(G183,""en"",""ur"")"),"یہ پہاڑی، پتھریلی علاقے میں ایک میدان میں ہے۔")</f>
        <v>یہ پہاڑی، پتھریلی علاقے میں ایک میدان میں ہے۔</v>
      </c>
      <c r="S183" s="5" t="s">
        <v>357</v>
      </c>
    </row>
    <row r="184" ht="22.5" customHeight="1">
      <c r="A184" s="4">
        <v>183.0</v>
      </c>
      <c r="B184" s="5" t="s">
        <v>242</v>
      </c>
      <c r="C184" s="5" t="s">
        <v>243</v>
      </c>
      <c r="D184" s="5" t="s">
        <v>292</v>
      </c>
      <c r="E184" s="5" t="s">
        <v>245</v>
      </c>
      <c r="F184" s="5" t="s">
        <v>246</v>
      </c>
      <c r="G184" s="5" t="s">
        <v>292</v>
      </c>
      <c r="H184" s="5" t="s">
        <v>357</v>
      </c>
      <c r="K184" s="2" t="str">
        <f>IFERROR(__xludf.DUMMYFUNCTION("GOOGLETRANSLATE(A184,""en"",""ur"")"),"183")</f>
        <v>183</v>
      </c>
      <c r="L184" s="2" t="str">
        <f>IFERROR(__xludf.DUMMYFUNCTION("GOOGLETRANSLATE(B184,""en"",""ur"")"),"سواروں کے لباس کے بارے میں واضح تفصیل کیا ہے؟")</f>
        <v>سواروں کے لباس کے بارے میں واضح تفصیل کیا ہے؟</v>
      </c>
      <c r="M184" s="2" t="str">
        <f>IFERROR(__xludf.DUMMYFUNCTION("GOOGLETRANSLATE(C184,""en"",""ur"")"),"وہ جدید کھیلوں کی وردی پہنے ہوئے ہیں۔")</f>
        <v>وہ جدید کھیلوں کی وردی پہنے ہوئے ہیں۔</v>
      </c>
      <c r="N184" s="2" t="str">
        <f>IFERROR(__xludf.DUMMYFUNCTION("GOOGLETRANSLATE(D184,""en"",""ur"")"),"وہ روایتی ٹونکس اور سر کے لباس پہنے ہوئے ہیں۔")</f>
        <v>وہ روایتی ٹونکس اور سر کے لباس پہنے ہوئے ہیں۔</v>
      </c>
      <c r="O184" s="2" t="str">
        <f>IFERROR(__xludf.DUMMYFUNCTION("GOOGLETRANSLATE(E184,""en"",""ur"")"),"وہ رسمی سوٹ پہنے ہوئے ہیں۔")</f>
        <v>وہ رسمی سوٹ پہنے ہوئے ہیں۔</v>
      </c>
      <c r="P184" s="2" t="str">
        <f>IFERROR(__xludf.DUMMYFUNCTION("GOOGLETRANSLATE(F184,""en"",""ur"")"),"انہوں نے کوئی لباس نہیں پہنا ہوا ہے۔")</f>
        <v>انہوں نے کوئی لباس نہیں پہنا ہوا ہے۔</v>
      </c>
      <c r="Q184" s="2" t="s">
        <v>293</v>
      </c>
      <c r="R184" s="2" t="str">
        <f>IFERROR(__xludf.DUMMYFUNCTION("GOOGLETRANSLATE(G184,""en"",""ur"")"),"وہ روایتی ٹونکس اور سر کے لباس پہنے ہوئے ہیں۔")</f>
        <v>وہ روایتی ٹونکس اور سر کے لباس پہنے ہوئے ہیں۔</v>
      </c>
      <c r="S184" s="5" t="s">
        <v>357</v>
      </c>
    </row>
    <row r="185" ht="22.5" customHeight="1">
      <c r="A185" s="4">
        <v>184.0</v>
      </c>
      <c r="B185" s="5" t="s">
        <v>248</v>
      </c>
      <c r="C185" s="5" t="s">
        <v>249</v>
      </c>
      <c r="D185" s="5" t="s">
        <v>250</v>
      </c>
      <c r="E185" s="5" t="s">
        <v>251</v>
      </c>
      <c r="F185" s="5" t="s">
        <v>252</v>
      </c>
      <c r="G185" s="5" t="s">
        <v>250</v>
      </c>
      <c r="H185" s="5" t="s">
        <v>357</v>
      </c>
      <c r="K185" s="2" t="str">
        <f>IFERROR(__xludf.DUMMYFUNCTION("GOOGLETRANSLATE(A185,""en"",""ur"")"),"184")</f>
        <v>184</v>
      </c>
      <c r="L185" s="2" t="str">
        <f>IFERROR(__xludf.DUMMYFUNCTION("GOOGLETRANSLATE(B185,""en"",""ur"")"),"سواروں کی ظاہری باڈی پوزیشن کیا ہے؟")</f>
        <v>سواروں کی ظاہری باڈی پوزیشن کیا ہے؟</v>
      </c>
      <c r="M185" s="2" t="str">
        <f>IFERROR(__xludf.DUMMYFUNCTION("GOOGLETRANSLATE(C185,""en"",""ur"")"),"وہ سیدھے کھڑے ہیں۔")</f>
        <v>وہ سیدھے کھڑے ہیں۔</v>
      </c>
      <c r="N185" s="2" t="str">
        <f>IFERROR(__xludf.DUMMYFUNCTION("GOOGLETRANSLATE(D185,""en"",""ur"")"),"وہ جھک رہے ہیں اور کسی چیز تک پہنچ رہے ہیں۔")</f>
        <v>وہ جھک رہے ہیں اور کسی چیز تک پہنچ رہے ہیں۔</v>
      </c>
      <c r="O185" s="2" t="str">
        <f>IFERROR(__xludf.DUMMYFUNCTION("GOOGLETRANSLATE(E185,""en"",""ur"")"),"وہ گھوڑوں کی پیٹھ پر لیٹے ہوئے ہیں۔")</f>
        <v>وہ گھوڑوں کی پیٹھ پر لیٹے ہوئے ہیں۔</v>
      </c>
      <c r="P185" s="2" t="str">
        <f>IFERROR(__xludf.DUMMYFUNCTION("GOOGLETRANSLATE(F185,""en"",""ur"")"),"وہ آرام سے بیٹھے ہیں۔")</f>
        <v>وہ آرام سے بیٹھے ہیں۔</v>
      </c>
      <c r="Q185" s="2" t="s">
        <v>253</v>
      </c>
      <c r="R185" s="2" t="str">
        <f>IFERROR(__xludf.DUMMYFUNCTION("GOOGLETRANSLATE(G185,""en"",""ur"")"),"وہ جھک رہے ہیں اور کسی چیز تک پہنچ رہے ہیں۔")</f>
        <v>وہ جھک رہے ہیں اور کسی چیز تک پہنچ رہے ہیں۔</v>
      </c>
      <c r="S185" s="5" t="s">
        <v>357</v>
      </c>
    </row>
    <row r="186" ht="22.5" customHeight="1">
      <c r="A186" s="4">
        <v>185.0</v>
      </c>
      <c r="B186" s="5" t="s">
        <v>254</v>
      </c>
      <c r="C186" s="5" t="s">
        <v>47</v>
      </c>
      <c r="D186" s="5" t="s">
        <v>48</v>
      </c>
      <c r="E186" s="5" t="s">
        <v>49</v>
      </c>
      <c r="F186" s="5" t="s">
        <v>50</v>
      </c>
      <c r="G186" s="5" t="s">
        <v>49</v>
      </c>
      <c r="H186" s="5" t="s">
        <v>357</v>
      </c>
      <c r="K186" s="2" t="str">
        <f>IFERROR(__xludf.DUMMYFUNCTION("GOOGLETRANSLATE(A186,""en"",""ur"")"),"185")</f>
        <v>185</v>
      </c>
      <c r="L186" s="2" t="str">
        <f>IFERROR(__xludf.DUMMYFUNCTION("GOOGLETRANSLATE(B186,""en"",""ur"")"),"سواروں کے چہروں سے ظاہری جذبات کیا ہیں؟")</f>
        <v>سواروں کے چہروں سے ظاہری جذبات کیا ہیں؟</v>
      </c>
      <c r="M186" s="2" t="str">
        <f>IFERROR(__xludf.DUMMYFUNCTION("GOOGLETRANSLATE(C186,""en"",""ur"")"),"پرسکون اور پر سکون")</f>
        <v>پرسکون اور پر سکون</v>
      </c>
      <c r="N186" s="2" t="str">
        <f>IFERROR(__xludf.DUMMYFUNCTION("GOOGLETRANSLATE(D186,""en"",""ur"")"),"خوف زدہ اور بے چین")</f>
        <v>خوف زدہ اور بے چین</v>
      </c>
      <c r="O186" s="2" t="str">
        <f>IFERROR(__xludf.DUMMYFUNCTION("GOOGLETRANSLATE(E186,""en"",""ur"")"),"کشیدہ اور شدید")</f>
        <v>کشیدہ اور شدید</v>
      </c>
      <c r="P186" s="2" t="str">
        <f>IFERROR(__xludf.DUMMYFUNCTION("GOOGLETRANSLATE(F186,""en"",""ur"")"),"خوش اور مسکراتے ہوئے۔")</f>
        <v>خوش اور مسکراتے ہوئے۔</v>
      </c>
      <c r="Q186" s="2" t="s">
        <v>51</v>
      </c>
      <c r="R186" s="2" t="str">
        <f>IFERROR(__xludf.DUMMYFUNCTION("GOOGLETRANSLATE(G186,""en"",""ur"")"),"کشیدہ اور شدید")</f>
        <v>کشیدہ اور شدید</v>
      </c>
      <c r="S186" s="5" t="s">
        <v>357</v>
      </c>
    </row>
    <row r="187" ht="22.5" customHeight="1">
      <c r="A187" s="4">
        <v>186.0</v>
      </c>
      <c r="B187" s="5" t="s">
        <v>88</v>
      </c>
      <c r="C187" s="5" t="s">
        <v>89</v>
      </c>
      <c r="D187" s="5" t="s">
        <v>90</v>
      </c>
      <c r="E187" s="5" t="s">
        <v>91</v>
      </c>
      <c r="F187" s="5" t="s">
        <v>255</v>
      </c>
      <c r="G187" s="5" t="s">
        <v>91</v>
      </c>
      <c r="H187" s="5" t="s">
        <v>357</v>
      </c>
      <c r="K187" s="2" t="str">
        <f>IFERROR(__xludf.DUMMYFUNCTION("GOOGLETRANSLATE(A187,""en"",""ur"")"),"186")</f>
        <v>186</v>
      </c>
      <c r="L187" s="2" t="str">
        <f>IFERROR(__xludf.DUMMYFUNCTION("GOOGLETRANSLATE(B187,""en"",""ur"")"),"زمین کی سب سے نمایاں خصوصیت کیا ہے؟")</f>
        <v>زمین کی سب سے نمایاں خصوصیت کیا ہے؟</v>
      </c>
      <c r="M187" s="2" t="str">
        <f>IFERROR(__xludf.DUMMYFUNCTION("GOOGLETRANSLATE(C187,""en"",""ur"")"),"ایک پکی سطح")</f>
        <v>ایک پکی سطح</v>
      </c>
      <c r="N187" s="2" t="str">
        <f>IFERROR(__xludf.DUMMYFUNCTION("GOOGLETRANSLATE(D187,""en"",""ur"")"),"کیچڑ والا میدان")</f>
        <v>کیچڑ والا میدان</v>
      </c>
      <c r="O187" s="2" t="str">
        <f>IFERROR(__xludf.DUMMYFUNCTION("GOOGLETRANSLATE(E187,""en"",""ur"")"),"ایک گھاس دار سطح")</f>
        <v>ایک گھاس دار سطح</v>
      </c>
      <c r="P187" s="2" t="str">
        <f>IFERROR(__xludf.DUMMYFUNCTION("GOOGLETRANSLATE(F187,""en"",""ur"")"),"ریتلی یا گندگی کی سطح")</f>
        <v>ریتلی یا گندگی کی سطح</v>
      </c>
      <c r="Q187" s="2" t="s">
        <v>256</v>
      </c>
      <c r="R187" s="2" t="str">
        <f>IFERROR(__xludf.DUMMYFUNCTION("GOOGLETRANSLATE(G187,""en"",""ur"")"),"ایک گھاس دار سطح")</f>
        <v>ایک گھاس دار سطح</v>
      </c>
      <c r="S187" s="5" t="s">
        <v>357</v>
      </c>
    </row>
    <row r="188" ht="22.5" customHeight="1">
      <c r="A188" s="4">
        <v>187.0</v>
      </c>
      <c r="B188" s="5" t="s">
        <v>257</v>
      </c>
      <c r="C188" s="5" t="s">
        <v>95</v>
      </c>
      <c r="D188" s="5" t="s">
        <v>96</v>
      </c>
      <c r="E188" s="5" t="s">
        <v>97</v>
      </c>
      <c r="F188" s="5" t="s">
        <v>258</v>
      </c>
      <c r="G188" s="5" t="s">
        <v>97</v>
      </c>
      <c r="H188" s="5" t="s">
        <v>357</v>
      </c>
      <c r="K188" s="2" t="str">
        <f>IFERROR(__xludf.DUMMYFUNCTION("GOOGLETRANSLATE(A188,""en"",""ur"")"),"187")</f>
        <v>187</v>
      </c>
      <c r="L188" s="2" t="str">
        <f>IFERROR(__xludf.DUMMYFUNCTION("GOOGLETRANSLATE(B188,""en"",""ur"")"),"کھیلے جانے والے کھیل کا نام کیا ہے؟")</f>
        <v>کھیلے جانے والے کھیل کا نام کیا ہے؟</v>
      </c>
      <c r="M188" s="2" t="str">
        <f>IFERROR(__xludf.DUMMYFUNCTION("GOOGLETRANSLATE(C188,""en"",""ur"")"),"پولو")</f>
        <v>پولو</v>
      </c>
      <c r="N188" s="2" t="str">
        <f>IFERROR(__xludf.DUMMYFUNCTION("GOOGLETRANSLATE(D188,""en"",""ur"")"),"گھوڑوں کی دوڑ")</f>
        <v>گھوڑوں کی دوڑ</v>
      </c>
      <c r="O188" s="2" t="str">
        <f>IFERROR(__xludf.DUMMYFUNCTION("GOOGLETRANSLATE(E188,""en"",""ur"")"),"بزکشی۔")</f>
        <v>بزکشی۔</v>
      </c>
      <c r="P188" s="2" t="str">
        <f>IFERROR(__xludf.DUMMYFUNCTION("GOOGLETRANSLATE(F188,""en"",""ur"")"),"گھڑ سواری کے کھیل")</f>
        <v>گھڑ سواری کے کھیل</v>
      </c>
      <c r="Q188" s="2" t="s">
        <v>259</v>
      </c>
      <c r="R188" s="2" t="str">
        <f>IFERROR(__xludf.DUMMYFUNCTION("GOOGLETRANSLATE(G188,""en"",""ur"")"),"بزکشی۔")</f>
        <v>بزکشی۔</v>
      </c>
      <c r="S188" s="5" t="s">
        <v>357</v>
      </c>
    </row>
    <row r="189" ht="22.5" customHeight="1">
      <c r="A189" s="4">
        <v>188.0</v>
      </c>
      <c r="B189" s="5" t="s">
        <v>260</v>
      </c>
      <c r="C189" s="5" t="s">
        <v>261</v>
      </c>
      <c r="D189" s="5" t="s">
        <v>262</v>
      </c>
      <c r="E189" s="5" t="s">
        <v>263</v>
      </c>
      <c r="F189" s="5" t="s">
        <v>264</v>
      </c>
      <c r="G189" s="5" t="s">
        <v>263</v>
      </c>
      <c r="H189" s="5" t="s">
        <v>357</v>
      </c>
      <c r="K189" s="2" t="str">
        <f>IFERROR(__xludf.DUMMYFUNCTION("GOOGLETRANSLATE(A189,""en"",""ur"")"),"188")</f>
        <v>188</v>
      </c>
      <c r="L189" s="2" t="str">
        <f>IFERROR(__xludf.DUMMYFUNCTION("GOOGLETRANSLATE(B189,""en"",""ur"")"),"تصویر میں ایکشن ایک ایسا انداز تجویز کرتا ہے جو اس بات پر زور دیتا ہے...")</f>
        <v>تصویر میں ایکشن ایک ایسا انداز تجویز کرتا ہے جو اس بات پر زور دیتا ہے...</v>
      </c>
      <c r="M189" s="2" t="str">
        <f>IFERROR(__xludf.DUMMYFUNCTION("GOOGLETRANSLATE(C189,""en"",""ur"")"),"روانی اور قلابازیاں")</f>
        <v>روانی اور قلابازیاں</v>
      </c>
      <c r="N189" s="2" t="str">
        <f>IFERROR(__xludf.DUMMYFUNCTION("GOOGLETRANSLATE(D189,""en"",""ur"")"),"زمینی لڑائی اور گرفت")</f>
        <v>زمینی لڑائی اور گرفت</v>
      </c>
      <c r="O189" s="2" t="str">
        <f>IFERROR(__xludf.DUMMYFUNCTION("GOOGLETRANSLATE(E189,""en"",""ur"")"),"وحشیانہ قوت اور گھڑ سواری۔")</f>
        <v>وحشیانہ قوت اور گھڑ سواری۔</v>
      </c>
      <c r="P189" s="2" t="str">
        <f>IFERROR(__xludf.DUMMYFUNCTION("GOOGLETRANSLATE(F189,""en"",""ur"")"),"سادہ، لکیری حرکات")</f>
        <v>سادہ، لکیری حرکات</v>
      </c>
      <c r="Q189" s="2" t="s">
        <v>265</v>
      </c>
      <c r="R189" s="2" t="str">
        <f>IFERROR(__xludf.DUMMYFUNCTION("GOOGLETRANSLATE(G189,""en"",""ur"")"),"وحشیانہ قوت اور گھڑ سواری۔")</f>
        <v>وحشیانہ قوت اور گھڑ سواری۔</v>
      </c>
      <c r="S189" s="5" t="s">
        <v>357</v>
      </c>
    </row>
    <row r="190" ht="22.5" customHeight="1">
      <c r="A190" s="4">
        <v>189.0</v>
      </c>
      <c r="B190" s="5" t="s">
        <v>266</v>
      </c>
      <c r="C190" s="5" t="s">
        <v>59</v>
      </c>
      <c r="D190" s="5" t="s">
        <v>267</v>
      </c>
      <c r="E190" s="5" t="s">
        <v>61</v>
      </c>
      <c r="F190" s="5" t="s">
        <v>268</v>
      </c>
      <c r="G190" s="5" t="s">
        <v>267</v>
      </c>
      <c r="H190" s="5" t="s">
        <v>357</v>
      </c>
      <c r="K190" s="2" t="str">
        <f>IFERROR(__xludf.DUMMYFUNCTION("GOOGLETRANSLATE(A190,""en"",""ur"")"),"189")</f>
        <v>189</v>
      </c>
      <c r="L190" s="2" t="str">
        <f>IFERROR(__xludf.DUMMYFUNCTION("GOOGLETRANSLATE(B190,""en"",""ur"")"),"گھوڑوں کے بارے میں ایک قابل ذکر تفصیل کیا ہے؟")</f>
        <v>گھوڑوں کے بارے میں ایک قابل ذکر تفصیل کیا ہے؟</v>
      </c>
      <c r="M190" s="2" t="str">
        <f>IFERROR(__xludf.DUMMYFUNCTION("GOOGLETRANSLATE(C190,""en"",""ur"")"),"وہ سب ایک ہی رنگ کے ہیں۔")</f>
        <v>وہ سب ایک ہی رنگ کے ہیں۔</v>
      </c>
      <c r="N190" s="2" t="str">
        <f>IFERROR(__xludf.DUMMYFUNCTION("GOOGLETRANSLATE(D190,""en"",""ur"")"),"وہ رنگوں اور نسلوں کا مرکب ہیں۔")</f>
        <v>وہ رنگوں اور نسلوں کا مرکب ہیں۔</v>
      </c>
      <c r="O190" s="2" t="str">
        <f>IFERROR(__xludf.DUMMYFUNCTION("GOOGLETRANSLATE(E190,""en"",""ur"")"),"وہ سب وسیع نمونوں کے ساتھ زین پہنے ہوئے ہیں۔")</f>
        <v>وہ سب وسیع نمونوں کے ساتھ زین پہنے ہوئے ہیں۔</v>
      </c>
      <c r="P190" s="2" t="str">
        <f>IFERROR(__xludf.DUMMYFUNCTION("GOOGLETRANSLATE(F190,""en"",""ur"")"),"وہ سب خاموش کھڑے ہیں۔")</f>
        <v>وہ سب خاموش کھڑے ہیں۔</v>
      </c>
      <c r="Q190" s="2" t="s">
        <v>269</v>
      </c>
      <c r="R190" s="2" t="str">
        <f>IFERROR(__xludf.DUMMYFUNCTION("GOOGLETRANSLATE(G190,""en"",""ur"")"),"وہ رنگوں اور نسلوں کا مرکب ہیں۔")</f>
        <v>وہ رنگوں اور نسلوں کا مرکب ہیں۔</v>
      </c>
      <c r="S190" s="5" t="s">
        <v>357</v>
      </c>
    </row>
    <row r="191" ht="22.5" customHeight="1">
      <c r="A191" s="4">
        <v>190.0</v>
      </c>
      <c r="B191" s="5" t="s">
        <v>270</v>
      </c>
      <c r="C191" s="5" t="s">
        <v>297</v>
      </c>
      <c r="D191" s="5" t="s">
        <v>272</v>
      </c>
      <c r="E191" s="5" t="s">
        <v>273</v>
      </c>
      <c r="F191" s="5" t="s">
        <v>274</v>
      </c>
      <c r="G191" s="5" t="s">
        <v>274</v>
      </c>
      <c r="H191" s="5" t="s">
        <v>357</v>
      </c>
      <c r="K191" s="2" t="str">
        <f>IFERROR(__xludf.DUMMYFUNCTION("GOOGLETRANSLATE(A191,""en"",""ur"")"),"190")</f>
        <v>190</v>
      </c>
      <c r="L191" s="2" t="str">
        <f>IFERROR(__xludf.DUMMYFUNCTION("GOOGLETRANSLATE(B191,""en"",""ur"")"),"مرکز میں سوار کے بارے میں ایک قابل ذکر تفصیل کیا ہے؟")</f>
        <v>مرکز میں سوار کے بارے میں ایک قابل ذکر تفصیل کیا ہے؟</v>
      </c>
      <c r="M191" s="2" t="str">
        <f>IFERROR(__xludf.DUMMYFUNCTION("GOOGLETRANSLATE(C191,""en"",""ur"")"),"اس نے ایک کوڑا پکڑ رکھا ہے۔")</f>
        <v>اس نے ایک کوڑا پکڑ رکھا ہے۔</v>
      </c>
      <c r="N191" s="2" t="str">
        <f>IFERROR(__xludf.DUMMYFUNCTION("GOOGLETRANSLATE(D191,""en"",""ur"")"),"اس نے بینر اٹھا رکھا ہے۔")</f>
        <v>اس نے بینر اٹھا رکھا ہے۔</v>
      </c>
      <c r="O191" s="2" t="str">
        <f>IFERROR(__xludf.DUMMYFUNCTION("GOOGLETRANSLATE(E191,""en"",""ur"")"),"اس نے رسی پکڑی ہوئی ہے۔")</f>
        <v>اس نے رسی پکڑی ہوئی ہے۔</v>
      </c>
      <c r="P191" s="2" t="str">
        <f>IFERROR(__xludf.DUMMYFUNCTION("GOOGLETRANSLATE(F191,""en"",""ur"")"),"اس نے چھڑی پکڑی ہوئی ہے۔")</f>
        <v>اس نے چھڑی پکڑی ہوئی ہے۔</v>
      </c>
      <c r="Q191" s="2" t="s">
        <v>298</v>
      </c>
      <c r="R191" s="2" t="str">
        <f>IFERROR(__xludf.DUMMYFUNCTION("GOOGLETRANSLATE(G191,""en"",""ur"")"),"اس نے چھڑی پکڑی ہوئی ہے۔")</f>
        <v>اس نے چھڑی پکڑی ہوئی ہے۔</v>
      </c>
      <c r="S191" s="5" t="s">
        <v>357</v>
      </c>
    </row>
    <row r="192" ht="22.5" customHeight="1">
      <c r="A192" s="4">
        <v>191.0</v>
      </c>
      <c r="B192" s="5" t="s">
        <v>358</v>
      </c>
      <c r="C192" s="5" t="s">
        <v>103</v>
      </c>
      <c r="D192" s="5" t="s">
        <v>71</v>
      </c>
      <c r="E192" s="5" t="s">
        <v>72</v>
      </c>
      <c r="F192" s="5" t="s">
        <v>73</v>
      </c>
      <c r="G192" s="5" t="s">
        <v>71</v>
      </c>
      <c r="H192" s="5" t="s">
        <v>359</v>
      </c>
      <c r="K192" s="2" t="str">
        <f>IFERROR(__xludf.DUMMYFUNCTION("GOOGLETRANSLATE(A192,""en"",""ur"")"),"191")</f>
        <v>191</v>
      </c>
      <c r="L192" s="2" t="str">
        <f>IFERROR(__xludf.DUMMYFUNCTION("GOOGLETRANSLATE(B192,""en"",""ur"")"),"buzkashi_39 میں دکھایا گیا اہم عمل کیا ہے؟")</f>
        <v>buzkashi_39 میں دکھایا گیا اہم عمل کیا ہے؟</v>
      </c>
      <c r="M192" s="2" t="str">
        <f>IFERROR(__xludf.DUMMYFUNCTION("GOOGLETRANSLATE(C192,""en"",""ur"")"),"آرام سے گھوڑے کی سواری۔")</f>
        <v>آرام سے گھوڑے کی سواری۔</v>
      </c>
      <c r="N192" s="2" t="str">
        <f>IFERROR(__xludf.DUMMYFUNCTION("GOOGLETRANSLATE(D192,""en"",""ur"")"),"سواروں کا ایک گروپ جو مرکزی چیز کے لیے مقابلہ کر رہا ہے۔")</f>
        <v>سواروں کا ایک گروپ جو مرکزی چیز کے لیے مقابلہ کر رہا ہے۔</v>
      </c>
      <c r="O192" s="2" t="str">
        <f>IFERROR(__xludf.DUMMYFUNCTION("GOOGLETRANSLATE(E192,""en"",""ur"")"),"گھوڑوں کی پریڈ")</f>
        <v>گھوڑوں کی پریڈ</v>
      </c>
      <c r="P192" s="2" t="str">
        <f>IFERROR(__xludf.DUMMYFUNCTION("GOOGLETRANSLATE(F192,""en"",""ur"")"),"گھوڑوں کی دوڑ")</f>
        <v>گھوڑوں کی دوڑ</v>
      </c>
      <c r="Q192" s="2" t="s">
        <v>278</v>
      </c>
      <c r="R192" s="2" t="str">
        <f>IFERROR(__xludf.DUMMYFUNCTION("GOOGLETRANSLATE(G192,""en"",""ur"")"),"سواروں کا ایک گروپ جو مرکزی چیز کے لیے مقابلہ کر رہا ہے۔")</f>
        <v>سواروں کا ایک گروپ جو مرکزی چیز کے لیے مقابلہ کر رہا ہے۔</v>
      </c>
      <c r="S192" s="5" t="s">
        <v>359</v>
      </c>
    </row>
    <row r="193" ht="22.5" customHeight="1">
      <c r="A193" s="4">
        <v>192.0</v>
      </c>
      <c r="B193" s="5" t="s">
        <v>238</v>
      </c>
      <c r="C193" s="5" t="s">
        <v>239</v>
      </c>
      <c r="D193" s="5" t="s">
        <v>84</v>
      </c>
      <c r="E193" s="5" t="s">
        <v>85</v>
      </c>
      <c r="F193" s="5" t="s">
        <v>240</v>
      </c>
      <c r="G193" s="5" t="s">
        <v>84</v>
      </c>
      <c r="H193" s="5" t="s">
        <v>359</v>
      </c>
      <c r="K193" s="2" t="str">
        <f>IFERROR(__xludf.DUMMYFUNCTION("GOOGLETRANSLATE(A193,""en"",""ur"")"),"192")</f>
        <v>192</v>
      </c>
      <c r="L193" s="2" t="str">
        <f>IFERROR(__xludf.DUMMYFUNCTION("GOOGLETRANSLATE(B193,""en"",""ur"")"),"اس گیم کی ترتیب کے بارے میں ایک قابل ذکر تفصیل کیا ہے؟")</f>
        <v>اس گیم کی ترتیب کے بارے میں ایک قابل ذکر تفصیل کیا ہے؟</v>
      </c>
      <c r="M193" s="2" t="str">
        <f>IFERROR(__xludf.DUMMYFUNCTION("GOOGLETRANSLATE(C193,""en"",""ur"")"),"یہ ایک بڑے اسٹیڈیم میں ہے۔")</f>
        <v>یہ ایک بڑے اسٹیڈیم میں ہے۔</v>
      </c>
      <c r="N193" s="2" t="str">
        <f>IFERROR(__xludf.DUMMYFUNCTION("GOOGLETRANSLATE(D193,""en"",""ur"")"),"یہ پہاڑی، پتھریلی علاقے میں ایک میدان میں ہے۔")</f>
        <v>یہ پہاڑی، پتھریلی علاقے میں ایک میدان میں ہے۔</v>
      </c>
      <c r="O193" s="2" t="str">
        <f>IFERROR(__xludf.DUMMYFUNCTION("GOOGLETRANSLATE(E193,""en"",""ur"")"),"یہ شہر کی سڑک پر ہے۔")</f>
        <v>یہ شہر کی سڑک پر ہے۔</v>
      </c>
      <c r="P193" s="2" t="str">
        <f>IFERROR(__xludf.DUMMYFUNCTION("GOOGLETRANSLATE(F193,""en"",""ur"")"),"یہ ایک پرسکون ساحل سمندر پر ہے۔")</f>
        <v>یہ ایک پرسکون ساحل سمندر پر ہے۔</v>
      </c>
      <c r="Q193" s="2" t="s">
        <v>241</v>
      </c>
      <c r="R193" s="2" t="str">
        <f>IFERROR(__xludf.DUMMYFUNCTION("GOOGLETRANSLATE(G193,""en"",""ur"")"),"یہ پہاڑی، پتھریلی علاقے میں ایک میدان میں ہے۔")</f>
        <v>یہ پہاڑی، پتھریلی علاقے میں ایک میدان میں ہے۔</v>
      </c>
      <c r="S193" s="5" t="s">
        <v>359</v>
      </c>
    </row>
    <row r="194" ht="22.5" customHeight="1">
      <c r="A194" s="4">
        <v>193.0</v>
      </c>
      <c r="B194" s="5" t="s">
        <v>242</v>
      </c>
      <c r="C194" s="5" t="s">
        <v>243</v>
      </c>
      <c r="D194" s="5" t="s">
        <v>292</v>
      </c>
      <c r="E194" s="5" t="s">
        <v>245</v>
      </c>
      <c r="F194" s="5" t="s">
        <v>246</v>
      </c>
      <c r="G194" s="5" t="s">
        <v>292</v>
      </c>
      <c r="H194" s="5" t="s">
        <v>359</v>
      </c>
      <c r="K194" s="2" t="str">
        <f>IFERROR(__xludf.DUMMYFUNCTION("GOOGLETRANSLATE(A194,""en"",""ur"")"),"193")</f>
        <v>193</v>
      </c>
      <c r="L194" s="2" t="str">
        <f>IFERROR(__xludf.DUMMYFUNCTION("GOOGLETRANSLATE(B194,""en"",""ur"")"),"سواروں کے لباس کے بارے میں واضح تفصیل کیا ہے؟")</f>
        <v>سواروں کے لباس کے بارے میں واضح تفصیل کیا ہے؟</v>
      </c>
      <c r="M194" s="2" t="str">
        <f>IFERROR(__xludf.DUMMYFUNCTION("GOOGLETRANSLATE(C194,""en"",""ur"")"),"وہ جدید کھیلوں کی وردی پہنے ہوئے ہیں۔")</f>
        <v>وہ جدید کھیلوں کی وردی پہنے ہوئے ہیں۔</v>
      </c>
      <c r="N194" s="2" t="str">
        <f>IFERROR(__xludf.DUMMYFUNCTION("GOOGLETRANSLATE(D194,""en"",""ur"")"),"وہ روایتی ٹونکس اور سر کے لباس پہنے ہوئے ہیں۔")</f>
        <v>وہ روایتی ٹونکس اور سر کے لباس پہنے ہوئے ہیں۔</v>
      </c>
      <c r="O194" s="2" t="str">
        <f>IFERROR(__xludf.DUMMYFUNCTION("GOOGLETRANSLATE(E194,""en"",""ur"")"),"وہ رسمی سوٹ پہنے ہوئے ہیں۔")</f>
        <v>وہ رسمی سوٹ پہنے ہوئے ہیں۔</v>
      </c>
      <c r="P194" s="2" t="str">
        <f>IFERROR(__xludf.DUMMYFUNCTION("GOOGLETRANSLATE(F194,""en"",""ur"")"),"انہوں نے کوئی لباس نہیں پہنا ہوا ہے۔")</f>
        <v>انہوں نے کوئی لباس نہیں پہنا ہوا ہے۔</v>
      </c>
      <c r="Q194" s="2" t="s">
        <v>293</v>
      </c>
      <c r="R194" s="2" t="str">
        <f>IFERROR(__xludf.DUMMYFUNCTION("GOOGLETRANSLATE(G194,""en"",""ur"")"),"وہ روایتی ٹونکس اور سر کے لباس پہنے ہوئے ہیں۔")</f>
        <v>وہ روایتی ٹونکس اور سر کے لباس پہنے ہوئے ہیں۔</v>
      </c>
      <c r="S194" s="5" t="s">
        <v>359</v>
      </c>
    </row>
    <row r="195" ht="22.5" customHeight="1">
      <c r="A195" s="4">
        <v>194.0</v>
      </c>
      <c r="B195" s="5" t="s">
        <v>248</v>
      </c>
      <c r="C195" s="5" t="s">
        <v>249</v>
      </c>
      <c r="D195" s="5" t="s">
        <v>250</v>
      </c>
      <c r="E195" s="5" t="s">
        <v>251</v>
      </c>
      <c r="F195" s="5" t="s">
        <v>252</v>
      </c>
      <c r="G195" s="5" t="s">
        <v>250</v>
      </c>
      <c r="H195" s="5" t="s">
        <v>359</v>
      </c>
      <c r="K195" s="2" t="str">
        <f>IFERROR(__xludf.DUMMYFUNCTION("GOOGLETRANSLATE(A195,""en"",""ur"")"),"194")</f>
        <v>194</v>
      </c>
      <c r="L195" s="2" t="str">
        <f>IFERROR(__xludf.DUMMYFUNCTION("GOOGLETRANSLATE(B195,""en"",""ur"")"),"سواروں کی ظاہری باڈی پوزیشن کیا ہے؟")</f>
        <v>سواروں کی ظاہری باڈی پوزیشن کیا ہے؟</v>
      </c>
      <c r="M195" s="2" t="str">
        <f>IFERROR(__xludf.DUMMYFUNCTION("GOOGLETRANSLATE(C195,""en"",""ur"")"),"وہ سیدھے کھڑے ہیں۔")</f>
        <v>وہ سیدھے کھڑے ہیں۔</v>
      </c>
      <c r="N195" s="2" t="str">
        <f>IFERROR(__xludf.DUMMYFUNCTION("GOOGLETRANSLATE(D195,""en"",""ur"")"),"وہ جھک رہے ہیں اور کسی چیز تک پہنچ رہے ہیں۔")</f>
        <v>وہ جھک رہے ہیں اور کسی چیز تک پہنچ رہے ہیں۔</v>
      </c>
      <c r="O195" s="2" t="str">
        <f>IFERROR(__xludf.DUMMYFUNCTION("GOOGLETRANSLATE(E195,""en"",""ur"")"),"وہ گھوڑوں کی پیٹھ پر لیٹے ہوئے ہیں۔")</f>
        <v>وہ گھوڑوں کی پیٹھ پر لیٹے ہوئے ہیں۔</v>
      </c>
      <c r="P195" s="2" t="str">
        <f>IFERROR(__xludf.DUMMYFUNCTION("GOOGLETRANSLATE(F195,""en"",""ur"")"),"وہ آرام سے بیٹھے ہیں۔")</f>
        <v>وہ آرام سے بیٹھے ہیں۔</v>
      </c>
      <c r="Q195" s="2" t="s">
        <v>253</v>
      </c>
      <c r="R195" s="2" t="str">
        <f>IFERROR(__xludf.DUMMYFUNCTION("GOOGLETRANSLATE(G195,""en"",""ur"")"),"وہ جھک رہے ہیں اور کسی چیز تک پہنچ رہے ہیں۔")</f>
        <v>وہ جھک رہے ہیں اور کسی چیز تک پہنچ رہے ہیں۔</v>
      </c>
      <c r="S195" s="5" t="s">
        <v>359</v>
      </c>
    </row>
    <row r="196" ht="22.5" customHeight="1">
      <c r="A196" s="4">
        <v>195.0</v>
      </c>
      <c r="B196" s="5" t="s">
        <v>254</v>
      </c>
      <c r="C196" s="5" t="s">
        <v>47</v>
      </c>
      <c r="D196" s="5" t="s">
        <v>48</v>
      </c>
      <c r="E196" s="5" t="s">
        <v>49</v>
      </c>
      <c r="F196" s="5" t="s">
        <v>50</v>
      </c>
      <c r="G196" s="5" t="s">
        <v>49</v>
      </c>
      <c r="H196" s="5" t="s">
        <v>359</v>
      </c>
      <c r="K196" s="2" t="str">
        <f>IFERROR(__xludf.DUMMYFUNCTION("GOOGLETRANSLATE(A196,""en"",""ur"")"),"195")</f>
        <v>195</v>
      </c>
      <c r="L196" s="2" t="str">
        <f>IFERROR(__xludf.DUMMYFUNCTION("GOOGLETRANSLATE(B196,""en"",""ur"")"),"سواروں کے چہروں سے ظاہری جذبات کیا ہیں؟")</f>
        <v>سواروں کے چہروں سے ظاہری جذبات کیا ہیں؟</v>
      </c>
      <c r="M196" s="2" t="str">
        <f>IFERROR(__xludf.DUMMYFUNCTION("GOOGLETRANSLATE(C196,""en"",""ur"")"),"پرسکون اور پر سکون")</f>
        <v>پرسکون اور پر سکون</v>
      </c>
      <c r="N196" s="2" t="str">
        <f>IFERROR(__xludf.DUMMYFUNCTION("GOOGLETRANSLATE(D196,""en"",""ur"")"),"خوف زدہ اور بے چین")</f>
        <v>خوف زدہ اور بے چین</v>
      </c>
      <c r="O196" s="2" t="str">
        <f>IFERROR(__xludf.DUMMYFUNCTION("GOOGLETRANSLATE(E196,""en"",""ur"")"),"کشیدہ اور شدید")</f>
        <v>کشیدہ اور شدید</v>
      </c>
      <c r="P196" s="2" t="str">
        <f>IFERROR(__xludf.DUMMYFUNCTION("GOOGLETRANSLATE(F196,""en"",""ur"")"),"خوش اور مسکراتے ہوئے۔")</f>
        <v>خوش اور مسکراتے ہوئے۔</v>
      </c>
      <c r="Q196" s="2" t="s">
        <v>51</v>
      </c>
      <c r="R196" s="2" t="str">
        <f>IFERROR(__xludf.DUMMYFUNCTION("GOOGLETRANSLATE(G196,""en"",""ur"")"),"کشیدہ اور شدید")</f>
        <v>کشیدہ اور شدید</v>
      </c>
      <c r="S196" s="5" t="s">
        <v>359</v>
      </c>
    </row>
    <row r="197" ht="22.5" customHeight="1">
      <c r="A197" s="4">
        <v>196.0</v>
      </c>
      <c r="B197" s="5" t="s">
        <v>88</v>
      </c>
      <c r="C197" s="5" t="s">
        <v>89</v>
      </c>
      <c r="D197" s="5" t="s">
        <v>90</v>
      </c>
      <c r="E197" s="5" t="s">
        <v>91</v>
      </c>
      <c r="F197" s="5" t="s">
        <v>255</v>
      </c>
      <c r="G197" s="5" t="s">
        <v>91</v>
      </c>
      <c r="H197" s="5" t="s">
        <v>359</v>
      </c>
      <c r="K197" s="2" t="str">
        <f>IFERROR(__xludf.DUMMYFUNCTION("GOOGLETRANSLATE(A197,""en"",""ur"")"),"196")</f>
        <v>196</v>
      </c>
      <c r="L197" s="2" t="str">
        <f>IFERROR(__xludf.DUMMYFUNCTION("GOOGLETRANSLATE(B197,""en"",""ur"")"),"زمین کی سب سے نمایاں خصوصیت کیا ہے؟")</f>
        <v>زمین کی سب سے نمایاں خصوصیت کیا ہے؟</v>
      </c>
      <c r="M197" s="2" t="str">
        <f>IFERROR(__xludf.DUMMYFUNCTION("GOOGLETRANSLATE(C197,""en"",""ur"")"),"ایک پکی سطح")</f>
        <v>ایک پکی سطح</v>
      </c>
      <c r="N197" s="2" t="str">
        <f>IFERROR(__xludf.DUMMYFUNCTION("GOOGLETRANSLATE(D197,""en"",""ur"")"),"کیچڑ والا میدان")</f>
        <v>کیچڑ والا میدان</v>
      </c>
      <c r="O197" s="2" t="str">
        <f>IFERROR(__xludf.DUMMYFUNCTION("GOOGLETRANSLATE(E197,""en"",""ur"")"),"ایک گھاس دار سطح")</f>
        <v>ایک گھاس دار سطح</v>
      </c>
      <c r="P197" s="2" t="str">
        <f>IFERROR(__xludf.DUMMYFUNCTION("GOOGLETRANSLATE(F197,""en"",""ur"")"),"ریتلی یا گندگی کی سطح")</f>
        <v>ریتلی یا گندگی کی سطح</v>
      </c>
      <c r="Q197" s="2" t="s">
        <v>256</v>
      </c>
      <c r="R197" s="2" t="str">
        <f>IFERROR(__xludf.DUMMYFUNCTION("GOOGLETRANSLATE(G197,""en"",""ur"")"),"ایک گھاس دار سطح")</f>
        <v>ایک گھاس دار سطح</v>
      </c>
      <c r="S197" s="5" t="s">
        <v>359</v>
      </c>
    </row>
    <row r="198" ht="22.5" customHeight="1">
      <c r="A198" s="4">
        <v>197.0</v>
      </c>
      <c r="B198" s="5" t="s">
        <v>257</v>
      </c>
      <c r="C198" s="5" t="s">
        <v>95</v>
      </c>
      <c r="D198" s="5" t="s">
        <v>96</v>
      </c>
      <c r="E198" s="5" t="s">
        <v>97</v>
      </c>
      <c r="F198" s="5" t="s">
        <v>258</v>
      </c>
      <c r="G198" s="5" t="s">
        <v>97</v>
      </c>
      <c r="H198" s="5" t="s">
        <v>359</v>
      </c>
      <c r="K198" s="2" t="str">
        <f>IFERROR(__xludf.DUMMYFUNCTION("GOOGLETRANSLATE(A198,""en"",""ur"")"),"197")</f>
        <v>197</v>
      </c>
      <c r="L198" s="2" t="str">
        <f>IFERROR(__xludf.DUMMYFUNCTION("GOOGLETRANSLATE(B198,""en"",""ur"")"),"کھیلے جانے والے کھیل کا نام کیا ہے؟")</f>
        <v>کھیلے جانے والے کھیل کا نام کیا ہے؟</v>
      </c>
      <c r="M198" s="2" t="str">
        <f>IFERROR(__xludf.DUMMYFUNCTION("GOOGLETRANSLATE(C198,""en"",""ur"")"),"پولو")</f>
        <v>پولو</v>
      </c>
      <c r="N198" s="2" t="str">
        <f>IFERROR(__xludf.DUMMYFUNCTION("GOOGLETRANSLATE(D198,""en"",""ur"")"),"گھوڑوں کی دوڑ")</f>
        <v>گھوڑوں کی دوڑ</v>
      </c>
      <c r="O198" s="2" t="str">
        <f>IFERROR(__xludf.DUMMYFUNCTION("GOOGLETRANSLATE(E198,""en"",""ur"")"),"بزکشی۔")</f>
        <v>بزکشی۔</v>
      </c>
      <c r="P198" s="2" t="str">
        <f>IFERROR(__xludf.DUMMYFUNCTION("GOOGLETRANSLATE(F198,""en"",""ur"")"),"گھڑ سواری کے کھیل")</f>
        <v>گھڑ سواری کے کھیل</v>
      </c>
      <c r="Q198" s="2" t="s">
        <v>259</v>
      </c>
      <c r="R198" s="2" t="str">
        <f>IFERROR(__xludf.DUMMYFUNCTION("GOOGLETRANSLATE(G198,""en"",""ur"")"),"بزکشی۔")</f>
        <v>بزکشی۔</v>
      </c>
      <c r="S198" s="5" t="s">
        <v>359</v>
      </c>
    </row>
    <row r="199" ht="22.5" customHeight="1">
      <c r="A199" s="4">
        <v>198.0</v>
      </c>
      <c r="B199" s="5" t="s">
        <v>260</v>
      </c>
      <c r="C199" s="5" t="s">
        <v>261</v>
      </c>
      <c r="D199" s="5" t="s">
        <v>262</v>
      </c>
      <c r="E199" s="5" t="s">
        <v>263</v>
      </c>
      <c r="F199" s="5" t="s">
        <v>264</v>
      </c>
      <c r="G199" s="5" t="s">
        <v>263</v>
      </c>
      <c r="H199" s="5" t="s">
        <v>359</v>
      </c>
      <c r="K199" s="2" t="str">
        <f>IFERROR(__xludf.DUMMYFUNCTION("GOOGLETRANSLATE(A199,""en"",""ur"")"),"198")</f>
        <v>198</v>
      </c>
      <c r="L199" s="2" t="str">
        <f>IFERROR(__xludf.DUMMYFUNCTION("GOOGLETRANSLATE(B199,""en"",""ur"")"),"تصویر میں ایکشن ایک ایسا انداز تجویز کرتا ہے جو اس بات پر زور دیتا ہے...")</f>
        <v>تصویر میں ایکشن ایک ایسا انداز تجویز کرتا ہے جو اس بات پر زور دیتا ہے...</v>
      </c>
      <c r="M199" s="2" t="str">
        <f>IFERROR(__xludf.DUMMYFUNCTION("GOOGLETRANSLATE(C199,""en"",""ur"")"),"روانی اور قلابازیاں")</f>
        <v>روانی اور قلابازیاں</v>
      </c>
      <c r="N199" s="2" t="str">
        <f>IFERROR(__xludf.DUMMYFUNCTION("GOOGLETRANSLATE(D199,""en"",""ur"")"),"زمینی لڑائی اور گرفت")</f>
        <v>زمینی لڑائی اور گرفت</v>
      </c>
      <c r="O199" s="2" t="str">
        <f>IFERROR(__xludf.DUMMYFUNCTION("GOOGLETRANSLATE(E199,""en"",""ur"")"),"وحشیانہ قوت اور گھڑ سواری۔")</f>
        <v>وحشیانہ قوت اور گھڑ سواری۔</v>
      </c>
      <c r="P199" s="2" t="str">
        <f>IFERROR(__xludf.DUMMYFUNCTION("GOOGLETRANSLATE(F199,""en"",""ur"")"),"سادہ، لکیری حرکات")</f>
        <v>سادہ، لکیری حرکات</v>
      </c>
      <c r="Q199" s="2" t="s">
        <v>265</v>
      </c>
      <c r="R199" s="2" t="str">
        <f>IFERROR(__xludf.DUMMYFUNCTION("GOOGLETRANSLATE(G199,""en"",""ur"")"),"وحشیانہ قوت اور گھڑ سواری۔")</f>
        <v>وحشیانہ قوت اور گھڑ سواری۔</v>
      </c>
      <c r="S199" s="5" t="s">
        <v>359</v>
      </c>
    </row>
    <row r="200" ht="22.5" customHeight="1">
      <c r="A200" s="4">
        <v>199.0</v>
      </c>
      <c r="B200" s="5" t="s">
        <v>266</v>
      </c>
      <c r="C200" s="5" t="s">
        <v>59</v>
      </c>
      <c r="D200" s="5" t="s">
        <v>267</v>
      </c>
      <c r="E200" s="5" t="s">
        <v>61</v>
      </c>
      <c r="F200" s="5" t="s">
        <v>268</v>
      </c>
      <c r="G200" s="5" t="s">
        <v>267</v>
      </c>
      <c r="H200" s="5" t="s">
        <v>359</v>
      </c>
      <c r="K200" s="2" t="str">
        <f>IFERROR(__xludf.DUMMYFUNCTION("GOOGLETRANSLATE(A200,""en"",""ur"")"),"199")</f>
        <v>199</v>
      </c>
      <c r="L200" s="2" t="str">
        <f>IFERROR(__xludf.DUMMYFUNCTION("GOOGLETRANSLATE(B200,""en"",""ur"")"),"گھوڑوں کے بارے میں ایک قابل ذکر تفصیل کیا ہے؟")</f>
        <v>گھوڑوں کے بارے میں ایک قابل ذکر تفصیل کیا ہے؟</v>
      </c>
      <c r="M200" s="2" t="str">
        <f>IFERROR(__xludf.DUMMYFUNCTION("GOOGLETRANSLATE(C200,""en"",""ur"")"),"وہ سب ایک ہی رنگ کے ہیں۔")</f>
        <v>وہ سب ایک ہی رنگ کے ہیں۔</v>
      </c>
      <c r="N200" s="2" t="str">
        <f>IFERROR(__xludf.DUMMYFUNCTION("GOOGLETRANSLATE(D200,""en"",""ur"")"),"وہ رنگوں اور نسلوں کا مرکب ہیں۔")</f>
        <v>وہ رنگوں اور نسلوں کا مرکب ہیں۔</v>
      </c>
      <c r="O200" s="2" t="str">
        <f>IFERROR(__xludf.DUMMYFUNCTION("GOOGLETRANSLATE(E200,""en"",""ur"")"),"وہ سب وسیع نمونوں کے ساتھ زین پہنے ہوئے ہیں۔")</f>
        <v>وہ سب وسیع نمونوں کے ساتھ زین پہنے ہوئے ہیں۔</v>
      </c>
      <c r="P200" s="2" t="str">
        <f>IFERROR(__xludf.DUMMYFUNCTION("GOOGLETRANSLATE(F200,""en"",""ur"")"),"وہ سب خاموش کھڑے ہیں۔")</f>
        <v>وہ سب خاموش کھڑے ہیں۔</v>
      </c>
      <c r="Q200" s="2" t="s">
        <v>269</v>
      </c>
      <c r="R200" s="2" t="str">
        <f>IFERROR(__xludf.DUMMYFUNCTION("GOOGLETRANSLATE(G200,""en"",""ur"")"),"وہ رنگوں اور نسلوں کا مرکب ہیں۔")</f>
        <v>وہ رنگوں اور نسلوں کا مرکب ہیں۔</v>
      </c>
      <c r="S200" s="5" t="s">
        <v>359</v>
      </c>
    </row>
    <row r="201" ht="22.5" customHeight="1">
      <c r="A201" s="4">
        <v>200.0</v>
      </c>
      <c r="B201" s="5" t="s">
        <v>270</v>
      </c>
      <c r="C201" s="5" t="s">
        <v>297</v>
      </c>
      <c r="D201" s="5" t="s">
        <v>272</v>
      </c>
      <c r="E201" s="5" t="s">
        <v>273</v>
      </c>
      <c r="F201" s="5" t="s">
        <v>274</v>
      </c>
      <c r="G201" s="5" t="s">
        <v>274</v>
      </c>
      <c r="H201" s="5" t="s">
        <v>359</v>
      </c>
      <c r="K201" s="2" t="str">
        <f>IFERROR(__xludf.DUMMYFUNCTION("GOOGLETRANSLATE(A201,""en"",""ur"")"),"200")</f>
        <v>200</v>
      </c>
      <c r="L201" s="2" t="str">
        <f>IFERROR(__xludf.DUMMYFUNCTION("GOOGLETRANSLATE(B201,""en"",""ur"")"),"مرکز میں سوار کے بارے میں ایک قابل ذکر تفصیل کیا ہے؟")</f>
        <v>مرکز میں سوار کے بارے میں ایک قابل ذکر تفصیل کیا ہے؟</v>
      </c>
      <c r="M201" s="2" t="str">
        <f>IFERROR(__xludf.DUMMYFUNCTION("GOOGLETRANSLATE(C201,""en"",""ur"")"),"اس نے ایک کوڑا پکڑ رکھا ہے۔")</f>
        <v>اس نے ایک کوڑا پکڑ رکھا ہے۔</v>
      </c>
      <c r="N201" s="2" t="str">
        <f>IFERROR(__xludf.DUMMYFUNCTION("GOOGLETRANSLATE(D201,""en"",""ur"")"),"اس نے بینر اٹھا رکھا ہے۔")</f>
        <v>اس نے بینر اٹھا رکھا ہے۔</v>
      </c>
      <c r="O201" s="2" t="str">
        <f>IFERROR(__xludf.DUMMYFUNCTION("GOOGLETRANSLATE(E201,""en"",""ur"")"),"اس نے رسی پکڑی ہوئی ہے۔")</f>
        <v>اس نے رسی پکڑی ہوئی ہے۔</v>
      </c>
      <c r="P201" s="2" t="str">
        <f>IFERROR(__xludf.DUMMYFUNCTION("GOOGLETRANSLATE(F201,""en"",""ur"")"),"اس نے چھڑی پکڑی ہوئی ہے۔")</f>
        <v>اس نے چھڑی پکڑی ہوئی ہے۔</v>
      </c>
      <c r="Q201" s="2" t="s">
        <v>298</v>
      </c>
      <c r="R201" s="2" t="str">
        <f>IFERROR(__xludf.DUMMYFUNCTION("GOOGLETRANSLATE(G201,""en"",""ur"")"),"اس نے چھڑی پکڑی ہوئی ہے۔")</f>
        <v>اس نے چھڑی پکڑی ہوئی ہے۔</v>
      </c>
      <c r="S201" s="5" t="s">
        <v>359</v>
      </c>
    </row>
    <row r="202" ht="22.5" customHeight="1">
      <c r="A202" s="4">
        <v>201.0</v>
      </c>
      <c r="B202" s="5" t="s">
        <v>360</v>
      </c>
      <c r="C202" s="5" t="s">
        <v>103</v>
      </c>
      <c r="D202" s="5" t="s">
        <v>71</v>
      </c>
      <c r="E202" s="5" t="s">
        <v>72</v>
      </c>
      <c r="F202" s="5" t="s">
        <v>73</v>
      </c>
      <c r="G202" s="5" t="s">
        <v>71</v>
      </c>
      <c r="H202" s="5" t="s">
        <v>361</v>
      </c>
      <c r="K202" s="2" t="str">
        <f>IFERROR(__xludf.DUMMYFUNCTION("GOOGLETRANSLATE(A202,""en"",""ur"")"),"201")</f>
        <v>201</v>
      </c>
      <c r="L202" s="2" t="str">
        <f>IFERROR(__xludf.DUMMYFUNCTION("GOOGLETRANSLATE(B202,""en"",""ur"")"),"buzkashi_68 میں دکھائی جانے والی اہم کارروائی کیا ہے؟")</f>
        <v>buzkashi_68 میں دکھائی جانے والی اہم کارروائی کیا ہے؟</v>
      </c>
      <c r="M202" s="2" t="str">
        <f>IFERROR(__xludf.DUMMYFUNCTION("GOOGLETRANSLATE(C202,""en"",""ur"")"),"آرام سے گھوڑے کی سواری۔")</f>
        <v>آرام سے گھوڑے کی سواری۔</v>
      </c>
      <c r="N202" s="2" t="str">
        <f>IFERROR(__xludf.DUMMYFUNCTION("GOOGLETRANSLATE(D202,""en"",""ur"")"),"سواروں کا ایک گروپ جو مرکزی چیز کے لیے مقابلہ کر رہا ہے۔")</f>
        <v>سواروں کا ایک گروپ جو مرکزی چیز کے لیے مقابلہ کر رہا ہے۔</v>
      </c>
      <c r="O202" s="2" t="str">
        <f>IFERROR(__xludf.DUMMYFUNCTION("GOOGLETRANSLATE(E202,""en"",""ur"")"),"گھوڑوں کی پریڈ")</f>
        <v>گھوڑوں کی پریڈ</v>
      </c>
      <c r="P202" s="2" t="str">
        <f>IFERROR(__xludf.DUMMYFUNCTION("GOOGLETRANSLATE(F202,""en"",""ur"")"),"گھوڑوں کی دوڑ")</f>
        <v>گھوڑوں کی دوڑ</v>
      </c>
      <c r="Q202" s="2" t="s">
        <v>278</v>
      </c>
      <c r="R202" s="2" t="str">
        <f>IFERROR(__xludf.DUMMYFUNCTION("GOOGLETRANSLATE(G202,""en"",""ur"")"),"سواروں کا ایک گروپ جو مرکزی چیز کے لیے مقابلہ کر رہا ہے۔")</f>
        <v>سواروں کا ایک گروپ جو مرکزی چیز کے لیے مقابلہ کر رہا ہے۔</v>
      </c>
      <c r="S202" s="5" t="s">
        <v>361</v>
      </c>
    </row>
    <row r="203" ht="22.5" customHeight="1">
      <c r="A203" s="4">
        <v>202.0</v>
      </c>
      <c r="B203" s="5" t="s">
        <v>348</v>
      </c>
      <c r="C203" s="5" t="s">
        <v>284</v>
      </c>
      <c r="D203" s="5" t="s">
        <v>285</v>
      </c>
      <c r="E203" s="5" t="s">
        <v>286</v>
      </c>
      <c r="F203" s="5" t="s">
        <v>287</v>
      </c>
      <c r="G203" s="5" t="s">
        <v>286</v>
      </c>
      <c r="H203" s="5" t="s">
        <v>361</v>
      </c>
      <c r="K203" s="2" t="str">
        <f>IFERROR(__xludf.DUMMYFUNCTION("GOOGLETRANSLATE(A203,""en"",""ur"")"),"202")</f>
        <v>202</v>
      </c>
      <c r="L203" s="2" t="str">
        <f>IFERROR(__xludf.DUMMYFUNCTION("GOOGLETRANSLATE(B203,""en"",""ur"")"),"سوار جس چیز کا مقابلہ کر رہے ہیں اس کے بارے میں ایک قابل ذکر تفصیل کیا ہے؟")</f>
        <v>سوار جس چیز کا مقابلہ کر رہے ہیں اس کے بارے میں ایک قابل ذکر تفصیل کیا ہے؟</v>
      </c>
      <c r="M203" s="2" t="str">
        <f>IFERROR(__xludf.DUMMYFUNCTION("GOOGLETRANSLATE(C203,""en"",""ur"")"),"یہ ایک گیند ہے۔")</f>
        <v>یہ ایک گیند ہے۔</v>
      </c>
      <c r="N203" s="2" t="str">
        <f>IFERROR(__xludf.DUMMYFUNCTION("GOOGLETRANSLATE(D203,""en"",""ur"")"),"یہ ایک جھنڈا ہے۔")</f>
        <v>یہ ایک جھنڈا ہے۔</v>
      </c>
      <c r="O203" s="2" t="str">
        <f>IFERROR(__xludf.DUMMYFUNCTION("GOOGLETRANSLATE(E203,""en"",""ur"")"),"یہ ایک بکری کی لاش ہے۔")</f>
        <v>یہ ایک بکری کی لاش ہے۔</v>
      </c>
      <c r="P203" s="2" t="str">
        <f>IFERROR(__xludf.DUMMYFUNCTION("GOOGLETRANSLATE(F203,""en"",""ur"")"),"یہ ایک رسی ہے۔")</f>
        <v>یہ ایک رسی ہے۔</v>
      </c>
      <c r="Q203" s="2" t="s">
        <v>288</v>
      </c>
      <c r="R203" s="2" t="str">
        <f>IFERROR(__xludf.DUMMYFUNCTION("GOOGLETRANSLATE(G203,""en"",""ur"")"),"یہ ایک بکری کی لاش ہے۔")</f>
        <v>یہ ایک بکری کی لاش ہے۔</v>
      </c>
      <c r="S203" s="5" t="s">
        <v>361</v>
      </c>
    </row>
    <row r="204" ht="22.5" customHeight="1">
      <c r="A204" s="4">
        <v>203.0</v>
      </c>
      <c r="B204" s="5" t="s">
        <v>242</v>
      </c>
      <c r="C204" s="5" t="s">
        <v>243</v>
      </c>
      <c r="D204" s="5" t="s">
        <v>292</v>
      </c>
      <c r="E204" s="5" t="s">
        <v>245</v>
      </c>
      <c r="F204" s="5" t="s">
        <v>246</v>
      </c>
      <c r="G204" s="5" t="s">
        <v>292</v>
      </c>
      <c r="H204" s="5" t="s">
        <v>361</v>
      </c>
      <c r="K204" s="2" t="str">
        <f>IFERROR(__xludf.DUMMYFUNCTION("GOOGLETRANSLATE(A204,""en"",""ur"")"),"203")</f>
        <v>203</v>
      </c>
      <c r="L204" s="2" t="str">
        <f>IFERROR(__xludf.DUMMYFUNCTION("GOOGLETRANSLATE(B204,""en"",""ur"")"),"سواروں کے لباس کے بارے میں واضح تفصیل کیا ہے؟")</f>
        <v>سواروں کے لباس کے بارے میں واضح تفصیل کیا ہے؟</v>
      </c>
      <c r="M204" s="2" t="str">
        <f>IFERROR(__xludf.DUMMYFUNCTION("GOOGLETRANSLATE(C204,""en"",""ur"")"),"وہ جدید کھیلوں کی وردی پہنے ہوئے ہیں۔")</f>
        <v>وہ جدید کھیلوں کی وردی پہنے ہوئے ہیں۔</v>
      </c>
      <c r="N204" s="2" t="str">
        <f>IFERROR(__xludf.DUMMYFUNCTION("GOOGLETRANSLATE(D204,""en"",""ur"")"),"وہ روایتی ٹونکس اور سر کے لباس پہنے ہوئے ہیں۔")</f>
        <v>وہ روایتی ٹونکس اور سر کے لباس پہنے ہوئے ہیں۔</v>
      </c>
      <c r="O204" s="2" t="str">
        <f>IFERROR(__xludf.DUMMYFUNCTION("GOOGLETRANSLATE(E204,""en"",""ur"")"),"وہ رسمی سوٹ پہنے ہوئے ہیں۔")</f>
        <v>وہ رسمی سوٹ پہنے ہوئے ہیں۔</v>
      </c>
      <c r="P204" s="2" t="str">
        <f>IFERROR(__xludf.DUMMYFUNCTION("GOOGLETRANSLATE(F204,""en"",""ur"")"),"انہوں نے کوئی لباس نہیں پہنا ہوا ہے۔")</f>
        <v>انہوں نے کوئی لباس نہیں پہنا ہوا ہے۔</v>
      </c>
      <c r="Q204" s="2" t="s">
        <v>293</v>
      </c>
      <c r="R204" s="2" t="str">
        <f>IFERROR(__xludf.DUMMYFUNCTION("GOOGLETRANSLATE(G204,""en"",""ur"")"),"وہ روایتی ٹونکس اور سر کے لباس پہنے ہوئے ہیں۔")</f>
        <v>وہ روایتی ٹونکس اور سر کے لباس پہنے ہوئے ہیں۔</v>
      </c>
      <c r="S204" s="5" t="s">
        <v>361</v>
      </c>
    </row>
    <row r="205" ht="22.5" customHeight="1">
      <c r="A205" s="4">
        <v>204.0</v>
      </c>
      <c r="B205" s="5" t="s">
        <v>248</v>
      </c>
      <c r="C205" s="5" t="s">
        <v>249</v>
      </c>
      <c r="D205" s="5" t="s">
        <v>250</v>
      </c>
      <c r="E205" s="5" t="s">
        <v>251</v>
      </c>
      <c r="F205" s="5" t="s">
        <v>252</v>
      </c>
      <c r="G205" s="5" t="s">
        <v>250</v>
      </c>
      <c r="H205" s="5" t="s">
        <v>361</v>
      </c>
      <c r="K205" s="2" t="str">
        <f>IFERROR(__xludf.DUMMYFUNCTION("GOOGLETRANSLATE(A205,""en"",""ur"")"),"204")</f>
        <v>204</v>
      </c>
      <c r="L205" s="2" t="str">
        <f>IFERROR(__xludf.DUMMYFUNCTION("GOOGLETRANSLATE(B205,""en"",""ur"")"),"سواروں کی ظاہری باڈی پوزیشن کیا ہے؟")</f>
        <v>سواروں کی ظاہری باڈی پوزیشن کیا ہے؟</v>
      </c>
      <c r="M205" s="2" t="str">
        <f>IFERROR(__xludf.DUMMYFUNCTION("GOOGLETRANSLATE(C205,""en"",""ur"")"),"وہ سیدھے کھڑے ہیں۔")</f>
        <v>وہ سیدھے کھڑے ہیں۔</v>
      </c>
      <c r="N205" s="2" t="str">
        <f>IFERROR(__xludf.DUMMYFUNCTION("GOOGLETRANSLATE(D205,""en"",""ur"")"),"وہ جھک رہے ہیں اور کسی چیز تک پہنچ رہے ہیں۔")</f>
        <v>وہ جھک رہے ہیں اور کسی چیز تک پہنچ رہے ہیں۔</v>
      </c>
      <c r="O205" s="2" t="str">
        <f>IFERROR(__xludf.DUMMYFUNCTION("GOOGLETRANSLATE(E205,""en"",""ur"")"),"وہ گھوڑوں کی پیٹھ پر لیٹے ہوئے ہیں۔")</f>
        <v>وہ گھوڑوں کی پیٹھ پر لیٹے ہوئے ہیں۔</v>
      </c>
      <c r="P205" s="2" t="str">
        <f>IFERROR(__xludf.DUMMYFUNCTION("GOOGLETRANSLATE(F205,""en"",""ur"")"),"وہ آرام سے بیٹھے ہیں۔")</f>
        <v>وہ آرام سے بیٹھے ہیں۔</v>
      </c>
      <c r="Q205" s="2" t="s">
        <v>253</v>
      </c>
      <c r="R205" s="2" t="str">
        <f>IFERROR(__xludf.DUMMYFUNCTION("GOOGLETRANSLATE(G205,""en"",""ur"")"),"وہ جھک رہے ہیں اور کسی چیز تک پہنچ رہے ہیں۔")</f>
        <v>وہ جھک رہے ہیں اور کسی چیز تک پہنچ رہے ہیں۔</v>
      </c>
      <c r="S205" s="5" t="s">
        <v>361</v>
      </c>
    </row>
    <row r="206" ht="22.5" customHeight="1">
      <c r="A206" s="4">
        <v>205.0</v>
      </c>
      <c r="B206" s="5" t="s">
        <v>254</v>
      </c>
      <c r="C206" s="5" t="s">
        <v>47</v>
      </c>
      <c r="D206" s="5" t="s">
        <v>48</v>
      </c>
      <c r="E206" s="5" t="s">
        <v>49</v>
      </c>
      <c r="F206" s="5" t="s">
        <v>50</v>
      </c>
      <c r="G206" s="5" t="s">
        <v>49</v>
      </c>
      <c r="H206" s="5" t="s">
        <v>361</v>
      </c>
      <c r="K206" s="2" t="str">
        <f>IFERROR(__xludf.DUMMYFUNCTION("GOOGLETRANSLATE(A206,""en"",""ur"")"),"205")</f>
        <v>205</v>
      </c>
      <c r="L206" s="2" t="str">
        <f>IFERROR(__xludf.DUMMYFUNCTION("GOOGLETRANSLATE(B206,""en"",""ur"")"),"سواروں کے چہروں سے ظاہری جذبات کیا ہیں؟")</f>
        <v>سواروں کے چہروں سے ظاہری جذبات کیا ہیں؟</v>
      </c>
      <c r="M206" s="2" t="str">
        <f>IFERROR(__xludf.DUMMYFUNCTION("GOOGLETRANSLATE(C206,""en"",""ur"")"),"پرسکون اور پر سکون")</f>
        <v>پرسکون اور پر سکون</v>
      </c>
      <c r="N206" s="2" t="str">
        <f>IFERROR(__xludf.DUMMYFUNCTION("GOOGLETRANSLATE(D206,""en"",""ur"")"),"خوف زدہ اور بے چین")</f>
        <v>خوف زدہ اور بے چین</v>
      </c>
      <c r="O206" s="2" t="str">
        <f>IFERROR(__xludf.DUMMYFUNCTION("GOOGLETRANSLATE(E206,""en"",""ur"")"),"کشیدہ اور شدید")</f>
        <v>کشیدہ اور شدید</v>
      </c>
      <c r="P206" s="2" t="str">
        <f>IFERROR(__xludf.DUMMYFUNCTION("GOOGLETRANSLATE(F206,""en"",""ur"")"),"خوش اور مسکراتے ہوئے۔")</f>
        <v>خوش اور مسکراتے ہوئے۔</v>
      </c>
      <c r="Q206" s="2" t="s">
        <v>51</v>
      </c>
      <c r="R206" s="2" t="str">
        <f>IFERROR(__xludf.DUMMYFUNCTION("GOOGLETRANSLATE(G206,""en"",""ur"")"),"کشیدہ اور شدید")</f>
        <v>کشیدہ اور شدید</v>
      </c>
      <c r="S206" s="5" t="s">
        <v>361</v>
      </c>
    </row>
    <row r="207" ht="22.5" customHeight="1">
      <c r="A207" s="4">
        <v>206.0</v>
      </c>
      <c r="B207" s="5" t="s">
        <v>88</v>
      </c>
      <c r="C207" s="5" t="s">
        <v>89</v>
      </c>
      <c r="D207" s="5" t="s">
        <v>90</v>
      </c>
      <c r="E207" s="5" t="s">
        <v>91</v>
      </c>
      <c r="F207" s="5" t="s">
        <v>255</v>
      </c>
      <c r="G207" s="5" t="s">
        <v>255</v>
      </c>
      <c r="H207" s="5" t="s">
        <v>361</v>
      </c>
      <c r="K207" s="2" t="str">
        <f>IFERROR(__xludf.DUMMYFUNCTION("GOOGLETRANSLATE(A207,""en"",""ur"")"),"206")</f>
        <v>206</v>
      </c>
      <c r="L207" s="2" t="str">
        <f>IFERROR(__xludf.DUMMYFUNCTION("GOOGLETRANSLATE(B207,""en"",""ur"")"),"زمین کی سب سے نمایاں خصوصیت کیا ہے؟")</f>
        <v>زمین کی سب سے نمایاں خصوصیت کیا ہے؟</v>
      </c>
      <c r="M207" s="2" t="str">
        <f>IFERROR(__xludf.DUMMYFUNCTION("GOOGLETRANSLATE(C207,""en"",""ur"")"),"ایک پکی سطح")</f>
        <v>ایک پکی سطح</v>
      </c>
      <c r="N207" s="2" t="str">
        <f>IFERROR(__xludf.DUMMYFUNCTION("GOOGLETRANSLATE(D207,""en"",""ur"")"),"کیچڑ والا میدان")</f>
        <v>کیچڑ والا میدان</v>
      </c>
      <c r="O207" s="2" t="str">
        <f>IFERROR(__xludf.DUMMYFUNCTION("GOOGLETRANSLATE(E207,""en"",""ur"")"),"ایک گھاس دار سطح")</f>
        <v>ایک گھاس دار سطح</v>
      </c>
      <c r="P207" s="2" t="str">
        <f>IFERROR(__xludf.DUMMYFUNCTION("GOOGLETRANSLATE(F207,""en"",""ur"")"),"ریتلی یا گندگی کی سطح")</f>
        <v>ریتلی یا گندگی کی سطح</v>
      </c>
      <c r="Q207" s="2" t="s">
        <v>256</v>
      </c>
      <c r="R207" s="2" t="str">
        <f>IFERROR(__xludf.DUMMYFUNCTION("GOOGLETRANSLATE(G207,""en"",""ur"")"),"ریتلی یا گندگی کی سطح")</f>
        <v>ریتلی یا گندگی کی سطح</v>
      </c>
      <c r="S207" s="5" t="s">
        <v>361</v>
      </c>
    </row>
    <row r="208" ht="22.5" customHeight="1">
      <c r="A208" s="4">
        <v>207.0</v>
      </c>
      <c r="B208" s="5" t="s">
        <v>257</v>
      </c>
      <c r="C208" s="5" t="s">
        <v>95</v>
      </c>
      <c r="D208" s="5" t="s">
        <v>96</v>
      </c>
      <c r="E208" s="5" t="s">
        <v>97</v>
      </c>
      <c r="F208" s="5" t="s">
        <v>258</v>
      </c>
      <c r="G208" s="5" t="s">
        <v>97</v>
      </c>
      <c r="H208" s="5" t="s">
        <v>361</v>
      </c>
      <c r="K208" s="2" t="str">
        <f>IFERROR(__xludf.DUMMYFUNCTION("GOOGLETRANSLATE(A208,""en"",""ur"")"),"207")</f>
        <v>207</v>
      </c>
      <c r="L208" s="2" t="str">
        <f>IFERROR(__xludf.DUMMYFUNCTION("GOOGLETRANSLATE(B208,""en"",""ur"")"),"کھیلے جانے والے کھیل کا نام کیا ہے؟")</f>
        <v>کھیلے جانے والے کھیل کا نام کیا ہے؟</v>
      </c>
      <c r="M208" s="2" t="str">
        <f>IFERROR(__xludf.DUMMYFUNCTION("GOOGLETRANSLATE(C208,""en"",""ur"")"),"پولو")</f>
        <v>پولو</v>
      </c>
      <c r="N208" s="2" t="str">
        <f>IFERROR(__xludf.DUMMYFUNCTION("GOOGLETRANSLATE(D208,""en"",""ur"")"),"گھوڑوں کی دوڑ")</f>
        <v>گھوڑوں کی دوڑ</v>
      </c>
      <c r="O208" s="2" t="str">
        <f>IFERROR(__xludf.DUMMYFUNCTION("GOOGLETRANSLATE(E208,""en"",""ur"")"),"بزکشی۔")</f>
        <v>بزکشی۔</v>
      </c>
      <c r="P208" s="2" t="str">
        <f>IFERROR(__xludf.DUMMYFUNCTION("GOOGLETRANSLATE(F208,""en"",""ur"")"),"گھڑ سواری کے کھیل")</f>
        <v>گھڑ سواری کے کھیل</v>
      </c>
      <c r="Q208" s="2" t="s">
        <v>259</v>
      </c>
      <c r="R208" s="2" t="str">
        <f>IFERROR(__xludf.DUMMYFUNCTION("GOOGLETRANSLATE(G208,""en"",""ur"")"),"بزکشی۔")</f>
        <v>بزکشی۔</v>
      </c>
      <c r="S208" s="5" t="s">
        <v>361</v>
      </c>
    </row>
    <row r="209" ht="22.5" customHeight="1">
      <c r="A209" s="4">
        <v>208.0</v>
      </c>
      <c r="B209" s="5" t="s">
        <v>260</v>
      </c>
      <c r="C209" s="5" t="s">
        <v>261</v>
      </c>
      <c r="D209" s="5" t="s">
        <v>262</v>
      </c>
      <c r="E209" s="5" t="s">
        <v>263</v>
      </c>
      <c r="F209" s="5" t="s">
        <v>264</v>
      </c>
      <c r="G209" s="5" t="s">
        <v>263</v>
      </c>
      <c r="H209" s="5" t="s">
        <v>361</v>
      </c>
      <c r="K209" s="2" t="str">
        <f>IFERROR(__xludf.DUMMYFUNCTION("GOOGLETRANSLATE(A209,""en"",""ur"")"),"208")</f>
        <v>208</v>
      </c>
      <c r="L209" s="2" t="str">
        <f>IFERROR(__xludf.DUMMYFUNCTION("GOOGLETRANSLATE(B209,""en"",""ur"")"),"تصویر میں ایکشن ایک ایسا انداز تجویز کرتا ہے جو اس بات پر زور دیتا ہے...")</f>
        <v>تصویر میں ایکشن ایک ایسا انداز تجویز کرتا ہے جو اس بات پر زور دیتا ہے...</v>
      </c>
      <c r="M209" s="2" t="str">
        <f>IFERROR(__xludf.DUMMYFUNCTION("GOOGLETRANSLATE(C209,""en"",""ur"")"),"روانی اور قلابازیاں")</f>
        <v>روانی اور قلابازیاں</v>
      </c>
      <c r="N209" s="2" t="str">
        <f>IFERROR(__xludf.DUMMYFUNCTION("GOOGLETRANSLATE(D209,""en"",""ur"")"),"زمینی لڑائی اور گرفت")</f>
        <v>زمینی لڑائی اور گرفت</v>
      </c>
      <c r="O209" s="2" t="str">
        <f>IFERROR(__xludf.DUMMYFUNCTION("GOOGLETRANSLATE(E209,""en"",""ur"")"),"وحشیانہ قوت اور گھڑ سواری۔")</f>
        <v>وحشیانہ قوت اور گھڑ سواری۔</v>
      </c>
      <c r="P209" s="2" t="str">
        <f>IFERROR(__xludf.DUMMYFUNCTION("GOOGLETRANSLATE(F209,""en"",""ur"")"),"سادہ، لکیری حرکات")</f>
        <v>سادہ، لکیری حرکات</v>
      </c>
      <c r="Q209" s="2" t="s">
        <v>265</v>
      </c>
      <c r="R209" s="2" t="str">
        <f>IFERROR(__xludf.DUMMYFUNCTION("GOOGLETRANSLATE(G209,""en"",""ur"")"),"وحشیانہ قوت اور گھڑ سواری۔")</f>
        <v>وحشیانہ قوت اور گھڑ سواری۔</v>
      </c>
      <c r="S209" s="5" t="s">
        <v>361</v>
      </c>
    </row>
    <row r="210" ht="22.5" customHeight="1">
      <c r="A210" s="4">
        <v>209.0</v>
      </c>
      <c r="B210" s="5" t="s">
        <v>266</v>
      </c>
      <c r="C210" s="5" t="s">
        <v>59</v>
      </c>
      <c r="D210" s="5" t="s">
        <v>267</v>
      </c>
      <c r="E210" s="5" t="s">
        <v>61</v>
      </c>
      <c r="F210" s="5" t="s">
        <v>268</v>
      </c>
      <c r="G210" s="5" t="s">
        <v>267</v>
      </c>
      <c r="H210" s="5" t="s">
        <v>361</v>
      </c>
      <c r="K210" s="2" t="str">
        <f>IFERROR(__xludf.DUMMYFUNCTION("GOOGLETRANSLATE(A210,""en"",""ur"")"),"209")</f>
        <v>209</v>
      </c>
      <c r="L210" s="2" t="str">
        <f>IFERROR(__xludf.DUMMYFUNCTION("GOOGLETRANSLATE(B210,""en"",""ur"")"),"گھوڑوں کے بارے میں ایک قابل ذکر تفصیل کیا ہے؟")</f>
        <v>گھوڑوں کے بارے میں ایک قابل ذکر تفصیل کیا ہے؟</v>
      </c>
      <c r="M210" s="2" t="str">
        <f>IFERROR(__xludf.DUMMYFUNCTION("GOOGLETRANSLATE(C210,""en"",""ur"")"),"وہ سب ایک ہی رنگ کے ہیں۔")</f>
        <v>وہ سب ایک ہی رنگ کے ہیں۔</v>
      </c>
      <c r="N210" s="2" t="str">
        <f>IFERROR(__xludf.DUMMYFUNCTION("GOOGLETRANSLATE(D210,""en"",""ur"")"),"وہ رنگوں اور نسلوں کا مرکب ہیں۔")</f>
        <v>وہ رنگوں اور نسلوں کا مرکب ہیں۔</v>
      </c>
      <c r="O210" s="2" t="str">
        <f>IFERROR(__xludf.DUMMYFUNCTION("GOOGLETRANSLATE(E210,""en"",""ur"")"),"وہ سب وسیع نمونوں کے ساتھ زین پہنے ہوئے ہیں۔")</f>
        <v>وہ سب وسیع نمونوں کے ساتھ زین پہنے ہوئے ہیں۔</v>
      </c>
      <c r="P210" s="2" t="str">
        <f>IFERROR(__xludf.DUMMYFUNCTION("GOOGLETRANSLATE(F210,""en"",""ur"")"),"وہ سب خاموش کھڑے ہیں۔")</f>
        <v>وہ سب خاموش کھڑے ہیں۔</v>
      </c>
      <c r="Q210" s="2" t="s">
        <v>269</v>
      </c>
      <c r="R210" s="2" t="str">
        <f>IFERROR(__xludf.DUMMYFUNCTION("GOOGLETRANSLATE(G210,""en"",""ur"")"),"وہ رنگوں اور نسلوں کا مرکب ہیں۔")</f>
        <v>وہ رنگوں اور نسلوں کا مرکب ہیں۔</v>
      </c>
      <c r="S210" s="5" t="s">
        <v>361</v>
      </c>
    </row>
    <row r="211" ht="22.5" customHeight="1">
      <c r="A211" s="4">
        <v>210.0</v>
      </c>
      <c r="B211" s="5" t="s">
        <v>270</v>
      </c>
      <c r="C211" s="5" t="s">
        <v>271</v>
      </c>
      <c r="D211" s="5" t="s">
        <v>272</v>
      </c>
      <c r="E211" s="5" t="s">
        <v>273</v>
      </c>
      <c r="F211" s="5" t="s">
        <v>274</v>
      </c>
      <c r="G211" s="5" t="s">
        <v>274</v>
      </c>
      <c r="H211" s="5" t="s">
        <v>361</v>
      </c>
      <c r="K211" s="2" t="str">
        <f>IFERROR(__xludf.DUMMYFUNCTION("GOOGLETRANSLATE(A211,""en"",""ur"")"),"210")</f>
        <v>210</v>
      </c>
      <c r="L211" s="2" t="str">
        <f>IFERROR(__xludf.DUMMYFUNCTION("GOOGLETRANSLATE(B211,""en"",""ur"")"),"مرکز میں سوار کے بارے میں ایک قابل ذکر تفصیل کیا ہے؟")</f>
        <v>مرکز میں سوار کے بارے میں ایک قابل ذکر تفصیل کیا ہے؟</v>
      </c>
      <c r="M211" s="2" t="str">
        <f>IFERROR(__xludf.DUMMYFUNCTION("GOOGLETRANSLATE(C211,""en"",""ur"")"),"وہ اپنے گھوڑے سے گر رہا ہے۔")</f>
        <v>وہ اپنے گھوڑے سے گر رہا ہے۔</v>
      </c>
      <c r="N211" s="2" t="str">
        <f>IFERROR(__xludf.DUMMYFUNCTION("GOOGLETRANSLATE(D211,""en"",""ur"")"),"اس نے بینر اٹھا رکھا ہے۔")</f>
        <v>اس نے بینر اٹھا رکھا ہے۔</v>
      </c>
      <c r="O211" s="2" t="str">
        <f>IFERROR(__xludf.DUMMYFUNCTION("GOOGLETRANSLATE(E211,""en"",""ur"")"),"اس نے رسی پکڑی ہوئی ہے۔")</f>
        <v>اس نے رسی پکڑی ہوئی ہے۔</v>
      </c>
      <c r="P211" s="2" t="str">
        <f>IFERROR(__xludf.DUMMYFUNCTION("GOOGLETRANSLATE(F211,""en"",""ur"")"),"اس نے چھڑی پکڑی ہوئی ہے۔")</f>
        <v>اس نے چھڑی پکڑی ہوئی ہے۔</v>
      </c>
      <c r="Q211" s="2" t="s">
        <v>275</v>
      </c>
      <c r="R211" s="2" t="str">
        <f>IFERROR(__xludf.DUMMYFUNCTION("GOOGLETRANSLATE(G211,""en"",""ur"")"),"اس نے چھڑی پکڑی ہوئی ہے۔")</f>
        <v>اس نے چھڑی پکڑی ہوئی ہے۔</v>
      </c>
      <c r="S211" s="5" t="s">
        <v>361</v>
      </c>
    </row>
    <row r="212" ht="22.5" customHeight="1">
      <c r="A212" s="4">
        <v>211.0</v>
      </c>
      <c r="B212" s="5" t="s">
        <v>362</v>
      </c>
      <c r="C212" s="5" t="s">
        <v>103</v>
      </c>
      <c r="D212" s="5" t="s">
        <v>71</v>
      </c>
      <c r="E212" s="5" t="s">
        <v>72</v>
      </c>
      <c r="F212" s="5" t="s">
        <v>73</v>
      </c>
      <c r="G212" s="5" t="s">
        <v>71</v>
      </c>
      <c r="H212" s="5" t="s">
        <v>363</v>
      </c>
      <c r="K212" s="2" t="str">
        <f>IFERROR(__xludf.DUMMYFUNCTION("GOOGLETRANSLATE(A212,""en"",""ur"")"),"211")</f>
        <v>211</v>
      </c>
      <c r="L212" s="2" t="str">
        <f>IFERROR(__xludf.DUMMYFUNCTION("GOOGLETRANSLATE(B212,""en"",""ur"")"),"buzkashi_59 میں دکھایا گیا اہم عمل کیا ہے؟")</f>
        <v>buzkashi_59 میں دکھایا گیا اہم عمل کیا ہے؟</v>
      </c>
      <c r="M212" s="2" t="str">
        <f>IFERROR(__xludf.DUMMYFUNCTION("GOOGLETRANSLATE(C212,""en"",""ur"")"),"آرام سے گھوڑے کی سواری۔")</f>
        <v>آرام سے گھوڑے کی سواری۔</v>
      </c>
      <c r="N212" s="2" t="str">
        <f>IFERROR(__xludf.DUMMYFUNCTION("GOOGLETRANSLATE(D212,""en"",""ur"")"),"سواروں کا ایک گروپ جو مرکزی چیز کے لیے مقابلہ کر رہا ہے۔")</f>
        <v>سواروں کا ایک گروپ جو مرکزی چیز کے لیے مقابلہ کر رہا ہے۔</v>
      </c>
      <c r="O212" s="2" t="str">
        <f>IFERROR(__xludf.DUMMYFUNCTION("GOOGLETRANSLATE(E212,""en"",""ur"")"),"گھوڑوں کی پریڈ")</f>
        <v>گھوڑوں کی پریڈ</v>
      </c>
      <c r="P212" s="2" t="str">
        <f>IFERROR(__xludf.DUMMYFUNCTION("GOOGLETRANSLATE(F212,""en"",""ur"")"),"گھوڑوں کی دوڑ")</f>
        <v>گھوڑوں کی دوڑ</v>
      </c>
      <c r="Q212" s="2" t="s">
        <v>278</v>
      </c>
      <c r="R212" s="2" t="str">
        <f>IFERROR(__xludf.DUMMYFUNCTION("GOOGLETRANSLATE(G212,""en"",""ur"")"),"سواروں کا ایک گروپ جو مرکزی چیز کے لیے مقابلہ کر رہا ہے۔")</f>
        <v>سواروں کا ایک گروپ جو مرکزی چیز کے لیے مقابلہ کر رہا ہے۔</v>
      </c>
      <c r="S212" s="5" t="s">
        <v>363</v>
      </c>
    </row>
    <row r="213" ht="22.5" customHeight="1">
      <c r="A213" s="4">
        <v>212.0</v>
      </c>
      <c r="B213" s="5" t="s">
        <v>238</v>
      </c>
      <c r="C213" s="5" t="s">
        <v>239</v>
      </c>
      <c r="D213" s="5" t="s">
        <v>364</v>
      </c>
      <c r="E213" s="5" t="s">
        <v>85</v>
      </c>
      <c r="F213" s="5" t="s">
        <v>240</v>
      </c>
      <c r="G213" s="5" t="s">
        <v>364</v>
      </c>
      <c r="H213" s="5" t="s">
        <v>363</v>
      </c>
      <c r="K213" s="2" t="str">
        <f>IFERROR(__xludf.DUMMYFUNCTION("GOOGLETRANSLATE(A213,""en"",""ur"")"),"212")</f>
        <v>212</v>
      </c>
      <c r="L213" s="2" t="str">
        <f>IFERROR(__xludf.DUMMYFUNCTION("GOOGLETRANSLATE(B213,""en"",""ur"")"),"اس گیم کی ترتیب کے بارے میں ایک قابل ذکر تفصیل کیا ہے؟")</f>
        <v>اس گیم کی ترتیب کے بارے میں ایک قابل ذکر تفصیل کیا ہے؟</v>
      </c>
      <c r="M213" s="2" t="str">
        <f>IFERROR(__xludf.DUMMYFUNCTION("GOOGLETRANSLATE(C213,""en"",""ur"")"),"یہ ایک بڑے اسٹیڈیم میں ہے۔")</f>
        <v>یہ ایک بڑے اسٹیڈیم میں ہے۔</v>
      </c>
      <c r="N213" s="2" t="str">
        <f>IFERROR(__xludf.DUMMYFUNCTION("GOOGLETRANSLATE(D213,""en"",""ur"")"),"یہ ایک بڑے ہجوم کے ساتھ میدان میں ہے۔")</f>
        <v>یہ ایک بڑے ہجوم کے ساتھ میدان میں ہے۔</v>
      </c>
      <c r="O213" s="2" t="str">
        <f>IFERROR(__xludf.DUMMYFUNCTION("GOOGLETRANSLATE(E213,""en"",""ur"")"),"یہ شہر کی سڑک پر ہے۔")</f>
        <v>یہ شہر کی سڑک پر ہے۔</v>
      </c>
      <c r="P213" s="2" t="str">
        <f>IFERROR(__xludf.DUMMYFUNCTION("GOOGLETRANSLATE(F213,""en"",""ur"")"),"یہ ایک پرسکون ساحل سمندر پر ہے۔")</f>
        <v>یہ ایک پرسکون ساحل سمندر پر ہے۔</v>
      </c>
      <c r="Q213" s="2" t="s">
        <v>365</v>
      </c>
      <c r="R213" s="2" t="str">
        <f>IFERROR(__xludf.DUMMYFUNCTION("GOOGLETRANSLATE(G213,""en"",""ur"")"),"یہ ایک بڑے ہجوم کے ساتھ میدان میں ہے۔")</f>
        <v>یہ ایک بڑے ہجوم کے ساتھ میدان میں ہے۔</v>
      </c>
      <c r="S213" s="5" t="s">
        <v>363</v>
      </c>
    </row>
    <row r="214" ht="22.5" customHeight="1">
      <c r="A214" s="4">
        <v>213.0</v>
      </c>
      <c r="B214" s="5" t="s">
        <v>242</v>
      </c>
      <c r="C214" s="5" t="s">
        <v>243</v>
      </c>
      <c r="D214" s="5" t="s">
        <v>366</v>
      </c>
      <c r="E214" s="5" t="s">
        <v>245</v>
      </c>
      <c r="F214" s="5" t="s">
        <v>246</v>
      </c>
      <c r="G214" s="5" t="s">
        <v>366</v>
      </c>
      <c r="H214" s="5" t="s">
        <v>363</v>
      </c>
      <c r="K214" s="2" t="str">
        <f>IFERROR(__xludf.DUMMYFUNCTION("GOOGLETRANSLATE(A214,""en"",""ur"")"),"213")</f>
        <v>213</v>
      </c>
      <c r="L214" s="2" t="str">
        <f>IFERROR(__xludf.DUMMYFUNCTION("GOOGLETRANSLATE(B214,""en"",""ur"")"),"سواروں کے لباس کے بارے میں واضح تفصیل کیا ہے؟")</f>
        <v>سواروں کے لباس کے بارے میں واضح تفصیل کیا ہے؟</v>
      </c>
      <c r="M214" s="2" t="str">
        <f>IFERROR(__xludf.DUMMYFUNCTION("GOOGLETRANSLATE(C214,""en"",""ur"")"),"وہ جدید کھیلوں کی وردی پہنے ہوئے ہیں۔")</f>
        <v>وہ جدید کھیلوں کی وردی پہنے ہوئے ہیں۔</v>
      </c>
      <c r="N214" s="2" t="str">
        <f>IFERROR(__xludf.DUMMYFUNCTION("GOOGLETRANSLATE(D214,""en"",""ur"")"),"وہ رنگ برنگے، ملے جلے لباس پہنے ہوئے ہیں۔")</f>
        <v>وہ رنگ برنگے، ملے جلے لباس پہنے ہوئے ہیں۔</v>
      </c>
      <c r="O214" s="2" t="str">
        <f>IFERROR(__xludf.DUMMYFUNCTION("GOOGLETRANSLATE(E214,""en"",""ur"")"),"وہ رسمی سوٹ پہنے ہوئے ہیں۔")</f>
        <v>وہ رسمی سوٹ پہنے ہوئے ہیں۔</v>
      </c>
      <c r="P214" s="2" t="str">
        <f>IFERROR(__xludf.DUMMYFUNCTION("GOOGLETRANSLATE(F214,""en"",""ur"")"),"انہوں نے کوئی لباس نہیں پہنا ہوا ہے۔")</f>
        <v>انہوں نے کوئی لباس نہیں پہنا ہوا ہے۔</v>
      </c>
      <c r="Q214" s="2" t="s">
        <v>367</v>
      </c>
      <c r="R214" s="2" t="str">
        <f>IFERROR(__xludf.DUMMYFUNCTION("GOOGLETRANSLATE(G214,""en"",""ur"")"),"وہ رنگ برنگے، ملے جلے لباس پہنے ہوئے ہیں۔")</f>
        <v>وہ رنگ برنگے، ملے جلے لباس پہنے ہوئے ہیں۔</v>
      </c>
      <c r="S214" s="5" t="s">
        <v>363</v>
      </c>
    </row>
    <row r="215" ht="22.5" customHeight="1">
      <c r="A215" s="4">
        <v>214.0</v>
      </c>
      <c r="B215" s="5" t="s">
        <v>248</v>
      </c>
      <c r="C215" s="5" t="s">
        <v>249</v>
      </c>
      <c r="D215" s="5" t="s">
        <v>250</v>
      </c>
      <c r="E215" s="5" t="s">
        <v>251</v>
      </c>
      <c r="F215" s="5" t="s">
        <v>252</v>
      </c>
      <c r="G215" s="5" t="s">
        <v>250</v>
      </c>
      <c r="H215" s="5" t="s">
        <v>363</v>
      </c>
      <c r="K215" s="2" t="str">
        <f>IFERROR(__xludf.DUMMYFUNCTION("GOOGLETRANSLATE(A215,""en"",""ur"")"),"214")</f>
        <v>214</v>
      </c>
      <c r="L215" s="2" t="str">
        <f>IFERROR(__xludf.DUMMYFUNCTION("GOOGLETRANSLATE(B215,""en"",""ur"")"),"سواروں کی ظاہری باڈی پوزیشن کیا ہے؟")</f>
        <v>سواروں کی ظاہری باڈی پوزیشن کیا ہے؟</v>
      </c>
      <c r="M215" s="2" t="str">
        <f>IFERROR(__xludf.DUMMYFUNCTION("GOOGLETRANSLATE(C215,""en"",""ur"")"),"وہ سیدھے کھڑے ہیں۔")</f>
        <v>وہ سیدھے کھڑے ہیں۔</v>
      </c>
      <c r="N215" s="2" t="str">
        <f>IFERROR(__xludf.DUMMYFUNCTION("GOOGLETRANSLATE(D215,""en"",""ur"")"),"وہ جھک رہے ہیں اور کسی چیز تک پہنچ رہے ہیں۔")</f>
        <v>وہ جھک رہے ہیں اور کسی چیز تک پہنچ رہے ہیں۔</v>
      </c>
      <c r="O215" s="2" t="str">
        <f>IFERROR(__xludf.DUMMYFUNCTION("GOOGLETRANSLATE(E215,""en"",""ur"")"),"وہ گھوڑوں کی پیٹھ پر لیٹے ہوئے ہیں۔")</f>
        <v>وہ گھوڑوں کی پیٹھ پر لیٹے ہوئے ہیں۔</v>
      </c>
      <c r="P215" s="2" t="str">
        <f>IFERROR(__xludf.DUMMYFUNCTION("GOOGLETRANSLATE(F215,""en"",""ur"")"),"وہ آرام سے بیٹھے ہیں۔")</f>
        <v>وہ آرام سے بیٹھے ہیں۔</v>
      </c>
      <c r="Q215" s="2" t="s">
        <v>253</v>
      </c>
      <c r="R215" s="2" t="str">
        <f>IFERROR(__xludf.DUMMYFUNCTION("GOOGLETRANSLATE(G215,""en"",""ur"")"),"وہ جھک رہے ہیں اور کسی چیز تک پہنچ رہے ہیں۔")</f>
        <v>وہ جھک رہے ہیں اور کسی چیز تک پہنچ رہے ہیں۔</v>
      </c>
      <c r="S215" s="5" t="s">
        <v>363</v>
      </c>
    </row>
    <row r="216" ht="22.5" customHeight="1">
      <c r="A216" s="4">
        <v>215.0</v>
      </c>
      <c r="B216" s="5" t="s">
        <v>254</v>
      </c>
      <c r="C216" s="5" t="s">
        <v>47</v>
      </c>
      <c r="D216" s="5" t="s">
        <v>48</v>
      </c>
      <c r="E216" s="5" t="s">
        <v>49</v>
      </c>
      <c r="F216" s="5" t="s">
        <v>50</v>
      </c>
      <c r="G216" s="5" t="s">
        <v>49</v>
      </c>
      <c r="H216" s="5" t="s">
        <v>363</v>
      </c>
      <c r="K216" s="2" t="str">
        <f>IFERROR(__xludf.DUMMYFUNCTION("GOOGLETRANSLATE(A216,""en"",""ur"")"),"215")</f>
        <v>215</v>
      </c>
      <c r="L216" s="2" t="str">
        <f>IFERROR(__xludf.DUMMYFUNCTION("GOOGLETRANSLATE(B216,""en"",""ur"")"),"سواروں کے چہروں سے ظاہری جذبات کیا ہیں؟")</f>
        <v>سواروں کے چہروں سے ظاہری جذبات کیا ہیں؟</v>
      </c>
      <c r="M216" s="2" t="str">
        <f>IFERROR(__xludf.DUMMYFUNCTION("GOOGLETRANSLATE(C216,""en"",""ur"")"),"پرسکون اور پر سکون")</f>
        <v>پرسکون اور پر سکون</v>
      </c>
      <c r="N216" s="2" t="str">
        <f>IFERROR(__xludf.DUMMYFUNCTION("GOOGLETRANSLATE(D216,""en"",""ur"")"),"خوف زدہ اور بے چین")</f>
        <v>خوف زدہ اور بے چین</v>
      </c>
      <c r="O216" s="2" t="str">
        <f>IFERROR(__xludf.DUMMYFUNCTION("GOOGLETRANSLATE(E216,""en"",""ur"")"),"کشیدہ اور شدید")</f>
        <v>کشیدہ اور شدید</v>
      </c>
      <c r="P216" s="2" t="str">
        <f>IFERROR(__xludf.DUMMYFUNCTION("GOOGLETRANSLATE(F216,""en"",""ur"")"),"خوش اور مسکراتے ہوئے۔")</f>
        <v>خوش اور مسکراتے ہوئے۔</v>
      </c>
      <c r="Q216" s="2" t="s">
        <v>51</v>
      </c>
      <c r="R216" s="2" t="str">
        <f>IFERROR(__xludf.DUMMYFUNCTION("GOOGLETRANSLATE(G216,""en"",""ur"")"),"کشیدہ اور شدید")</f>
        <v>کشیدہ اور شدید</v>
      </c>
      <c r="S216" s="5" t="s">
        <v>363</v>
      </c>
    </row>
    <row r="217" ht="22.5" customHeight="1">
      <c r="A217" s="4">
        <v>216.0</v>
      </c>
      <c r="B217" s="5" t="s">
        <v>88</v>
      </c>
      <c r="C217" s="5" t="s">
        <v>89</v>
      </c>
      <c r="D217" s="5" t="s">
        <v>90</v>
      </c>
      <c r="E217" s="5" t="s">
        <v>91</v>
      </c>
      <c r="F217" s="5" t="s">
        <v>368</v>
      </c>
      <c r="G217" s="5" t="s">
        <v>368</v>
      </c>
      <c r="H217" s="5" t="s">
        <v>363</v>
      </c>
      <c r="K217" s="2" t="str">
        <f>IFERROR(__xludf.DUMMYFUNCTION("GOOGLETRANSLATE(A217,""en"",""ur"")"),"216")</f>
        <v>216</v>
      </c>
      <c r="L217" s="2" t="str">
        <f>IFERROR(__xludf.DUMMYFUNCTION("GOOGLETRANSLATE(B217,""en"",""ur"")"),"زمین کی سب سے نمایاں خصوصیت کیا ہے؟")</f>
        <v>زمین کی سب سے نمایاں خصوصیت کیا ہے؟</v>
      </c>
      <c r="M217" s="2" t="str">
        <f>IFERROR(__xludf.DUMMYFUNCTION("GOOGLETRANSLATE(C217,""en"",""ur"")"),"ایک پکی سطح")</f>
        <v>ایک پکی سطح</v>
      </c>
      <c r="N217" s="2" t="str">
        <f>IFERROR(__xludf.DUMMYFUNCTION("GOOGLETRANSLATE(D217,""en"",""ur"")"),"کیچڑ والا میدان")</f>
        <v>کیچڑ والا میدان</v>
      </c>
      <c r="O217" s="2" t="str">
        <f>IFERROR(__xludf.DUMMYFUNCTION("GOOGLETRANSLATE(E217,""en"",""ur"")"),"ایک گھاس دار سطح")</f>
        <v>ایک گھاس دار سطح</v>
      </c>
      <c r="P217" s="2" t="str">
        <f>IFERROR(__xludf.DUMMYFUNCTION("GOOGLETRANSLATE(F217,""en"",""ur"")"),"دھول اڑنے والی ریتلی یا گندگی کی سطح")</f>
        <v>دھول اڑنے والی ریتلی یا گندگی کی سطح</v>
      </c>
      <c r="Q217" s="2" t="s">
        <v>369</v>
      </c>
      <c r="R217" s="2" t="str">
        <f>IFERROR(__xludf.DUMMYFUNCTION("GOOGLETRANSLATE(G217,""en"",""ur"")"),"دھول اڑنے والی ریتلی یا گندگی کی سطح")</f>
        <v>دھول اڑنے والی ریتلی یا گندگی کی سطح</v>
      </c>
      <c r="S217" s="5" t="s">
        <v>363</v>
      </c>
    </row>
    <row r="218" ht="22.5" customHeight="1">
      <c r="A218" s="4">
        <v>217.0</v>
      </c>
      <c r="B218" s="5" t="s">
        <v>257</v>
      </c>
      <c r="C218" s="5" t="s">
        <v>95</v>
      </c>
      <c r="D218" s="5" t="s">
        <v>96</v>
      </c>
      <c r="E218" s="5" t="s">
        <v>97</v>
      </c>
      <c r="F218" s="5" t="s">
        <v>258</v>
      </c>
      <c r="G218" s="5" t="s">
        <v>97</v>
      </c>
      <c r="H218" s="5" t="s">
        <v>363</v>
      </c>
      <c r="K218" s="2" t="str">
        <f>IFERROR(__xludf.DUMMYFUNCTION("GOOGLETRANSLATE(A218,""en"",""ur"")"),"217")</f>
        <v>217</v>
      </c>
      <c r="L218" s="2" t="str">
        <f>IFERROR(__xludf.DUMMYFUNCTION("GOOGLETRANSLATE(B218,""en"",""ur"")"),"کھیلے جانے والے کھیل کا نام کیا ہے؟")</f>
        <v>کھیلے جانے والے کھیل کا نام کیا ہے؟</v>
      </c>
      <c r="M218" s="2" t="str">
        <f>IFERROR(__xludf.DUMMYFUNCTION("GOOGLETRANSLATE(C218,""en"",""ur"")"),"پولو")</f>
        <v>پولو</v>
      </c>
      <c r="N218" s="2" t="str">
        <f>IFERROR(__xludf.DUMMYFUNCTION("GOOGLETRANSLATE(D218,""en"",""ur"")"),"گھوڑوں کی دوڑ")</f>
        <v>گھوڑوں کی دوڑ</v>
      </c>
      <c r="O218" s="2" t="str">
        <f>IFERROR(__xludf.DUMMYFUNCTION("GOOGLETRANSLATE(E218,""en"",""ur"")"),"بزکشی۔")</f>
        <v>بزکشی۔</v>
      </c>
      <c r="P218" s="2" t="str">
        <f>IFERROR(__xludf.DUMMYFUNCTION("GOOGLETRANSLATE(F218,""en"",""ur"")"),"گھڑ سواری کے کھیل")</f>
        <v>گھڑ سواری کے کھیل</v>
      </c>
      <c r="Q218" s="2" t="s">
        <v>259</v>
      </c>
      <c r="R218" s="2" t="str">
        <f>IFERROR(__xludf.DUMMYFUNCTION("GOOGLETRANSLATE(G218,""en"",""ur"")"),"بزکشی۔")</f>
        <v>بزکشی۔</v>
      </c>
      <c r="S218" s="5" t="s">
        <v>363</v>
      </c>
    </row>
    <row r="219" ht="22.5" customHeight="1">
      <c r="A219" s="4">
        <v>218.0</v>
      </c>
      <c r="B219" s="5" t="s">
        <v>260</v>
      </c>
      <c r="C219" s="5" t="s">
        <v>261</v>
      </c>
      <c r="D219" s="5" t="s">
        <v>262</v>
      </c>
      <c r="E219" s="5" t="s">
        <v>263</v>
      </c>
      <c r="F219" s="5" t="s">
        <v>264</v>
      </c>
      <c r="G219" s="5" t="s">
        <v>263</v>
      </c>
      <c r="H219" s="5" t="s">
        <v>363</v>
      </c>
      <c r="K219" s="2" t="str">
        <f>IFERROR(__xludf.DUMMYFUNCTION("GOOGLETRANSLATE(A219,""en"",""ur"")"),"218")</f>
        <v>218</v>
      </c>
      <c r="L219" s="2" t="str">
        <f>IFERROR(__xludf.DUMMYFUNCTION("GOOGLETRANSLATE(B219,""en"",""ur"")"),"تصویر میں ایکشن ایک ایسا انداز تجویز کرتا ہے جو اس بات پر زور دیتا ہے...")</f>
        <v>تصویر میں ایکشن ایک ایسا انداز تجویز کرتا ہے جو اس بات پر زور دیتا ہے...</v>
      </c>
      <c r="M219" s="2" t="str">
        <f>IFERROR(__xludf.DUMMYFUNCTION("GOOGLETRANSLATE(C219,""en"",""ur"")"),"روانی اور قلابازیاں")</f>
        <v>روانی اور قلابازیاں</v>
      </c>
      <c r="N219" s="2" t="str">
        <f>IFERROR(__xludf.DUMMYFUNCTION("GOOGLETRANSLATE(D219,""en"",""ur"")"),"زمینی لڑائی اور گرفت")</f>
        <v>زمینی لڑائی اور گرفت</v>
      </c>
      <c r="O219" s="2" t="str">
        <f>IFERROR(__xludf.DUMMYFUNCTION("GOOGLETRANSLATE(E219,""en"",""ur"")"),"وحشیانہ قوت اور گھڑ سواری۔")</f>
        <v>وحشیانہ قوت اور گھڑ سواری۔</v>
      </c>
      <c r="P219" s="2" t="str">
        <f>IFERROR(__xludf.DUMMYFUNCTION("GOOGLETRANSLATE(F219,""en"",""ur"")"),"سادہ، لکیری حرکات")</f>
        <v>سادہ، لکیری حرکات</v>
      </c>
      <c r="Q219" s="2" t="s">
        <v>265</v>
      </c>
      <c r="R219" s="2" t="str">
        <f>IFERROR(__xludf.DUMMYFUNCTION("GOOGLETRANSLATE(G219,""en"",""ur"")"),"وحشیانہ قوت اور گھڑ سواری۔")</f>
        <v>وحشیانہ قوت اور گھڑ سواری۔</v>
      </c>
      <c r="S219" s="5" t="s">
        <v>363</v>
      </c>
    </row>
    <row r="220" ht="22.5" customHeight="1">
      <c r="A220" s="4">
        <v>219.0</v>
      </c>
      <c r="B220" s="5" t="s">
        <v>266</v>
      </c>
      <c r="C220" s="5" t="s">
        <v>59</v>
      </c>
      <c r="D220" s="5" t="s">
        <v>267</v>
      </c>
      <c r="E220" s="5" t="s">
        <v>61</v>
      </c>
      <c r="F220" s="5" t="s">
        <v>268</v>
      </c>
      <c r="G220" s="5" t="s">
        <v>267</v>
      </c>
      <c r="H220" s="5" t="s">
        <v>363</v>
      </c>
      <c r="K220" s="2" t="str">
        <f>IFERROR(__xludf.DUMMYFUNCTION("GOOGLETRANSLATE(A220,""en"",""ur"")"),"219")</f>
        <v>219</v>
      </c>
      <c r="L220" s="2" t="str">
        <f>IFERROR(__xludf.DUMMYFUNCTION("GOOGLETRANSLATE(B220,""en"",""ur"")"),"گھوڑوں کے بارے میں ایک قابل ذکر تفصیل کیا ہے؟")</f>
        <v>گھوڑوں کے بارے میں ایک قابل ذکر تفصیل کیا ہے؟</v>
      </c>
      <c r="M220" s="2" t="str">
        <f>IFERROR(__xludf.DUMMYFUNCTION("GOOGLETRANSLATE(C220,""en"",""ur"")"),"وہ سب ایک ہی رنگ کے ہیں۔")</f>
        <v>وہ سب ایک ہی رنگ کے ہیں۔</v>
      </c>
      <c r="N220" s="2" t="str">
        <f>IFERROR(__xludf.DUMMYFUNCTION("GOOGLETRANSLATE(D220,""en"",""ur"")"),"وہ رنگوں اور نسلوں کا مرکب ہیں۔")</f>
        <v>وہ رنگوں اور نسلوں کا مرکب ہیں۔</v>
      </c>
      <c r="O220" s="2" t="str">
        <f>IFERROR(__xludf.DUMMYFUNCTION("GOOGLETRANSLATE(E220,""en"",""ur"")"),"وہ سب وسیع نمونوں کے ساتھ زین پہنے ہوئے ہیں۔")</f>
        <v>وہ سب وسیع نمونوں کے ساتھ زین پہنے ہوئے ہیں۔</v>
      </c>
      <c r="P220" s="2" t="str">
        <f>IFERROR(__xludf.DUMMYFUNCTION("GOOGLETRANSLATE(F220,""en"",""ur"")"),"وہ سب خاموش کھڑے ہیں۔")</f>
        <v>وہ سب خاموش کھڑے ہیں۔</v>
      </c>
      <c r="Q220" s="2" t="s">
        <v>269</v>
      </c>
      <c r="R220" s="2" t="str">
        <f>IFERROR(__xludf.DUMMYFUNCTION("GOOGLETRANSLATE(G220,""en"",""ur"")"),"وہ رنگوں اور نسلوں کا مرکب ہیں۔")</f>
        <v>وہ رنگوں اور نسلوں کا مرکب ہیں۔</v>
      </c>
      <c r="S220" s="5" t="s">
        <v>363</v>
      </c>
    </row>
    <row r="221" ht="22.5" customHeight="1">
      <c r="A221" s="4">
        <v>220.0</v>
      </c>
      <c r="B221" s="5" t="s">
        <v>270</v>
      </c>
      <c r="C221" s="5" t="s">
        <v>271</v>
      </c>
      <c r="D221" s="5" t="s">
        <v>272</v>
      </c>
      <c r="E221" s="5" t="s">
        <v>273</v>
      </c>
      <c r="F221" s="5" t="s">
        <v>274</v>
      </c>
      <c r="G221" s="5" t="s">
        <v>274</v>
      </c>
      <c r="H221" s="5" t="s">
        <v>363</v>
      </c>
      <c r="K221" s="2" t="str">
        <f>IFERROR(__xludf.DUMMYFUNCTION("GOOGLETRANSLATE(A221,""en"",""ur"")"),"220")</f>
        <v>220</v>
      </c>
      <c r="L221" s="2" t="str">
        <f>IFERROR(__xludf.DUMMYFUNCTION("GOOGLETRANSLATE(B221,""en"",""ur"")"),"مرکز میں سوار کے بارے میں ایک قابل ذکر تفصیل کیا ہے؟")</f>
        <v>مرکز میں سوار کے بارے میں ایک قابل ذکر تفصیل کیا ہے؟</v>
      </c>
      <c r="M221" s="2" t="str">
        <f>IFERROR(__xludf.DUMMYFUNCTION("GOOGLETRANSLATE(C221,""en"",""ur"")"),"وہ اپنے گھوڑے سے گر رہا ہے۔")</f>
        <v>وہ اپنے گھوڑے سے گر رہا ہے۔</v>
      </c>
      <c r="N221" s="2" t="str">
        <f>IFERROR(__xludf.DUMMYFUNCTION("GOOGLETRANSLATE(D221,""en"",""ur"")"),"اس نے بینر اٹھا رکھا ہے۔")</f>
        <v>اس نے بینر اٹھا رکھا ہے۔</v>
      </c>
      <c r="O221" s="2" t="str">
        <f>IFERROR(__xludf.DUMMYFUNCTION("GOOGLETRANSLATE(E221,""en"",""ur"")"),"اس نے رسی پکڑی ہوئی ہے۔")</f>
        <v>اس نے رسی پکڑی ہوئی ہے۔</v>
      </c>
      <c r="P221" s="2" t="str">
        <f>IFERROR(__xludf.DUMMYFUNCTION("GOOGLETRANSLATE(F221,""en"",""ur"")"),"اس نے چھڑی پکڑی ہوئی ہے۔")</f>
        <v>اس نے چھڑی پکڑی ہوئی ہے۔</v>
      </c>
      <c r="Q221" s="2" t="s">
        <v>275</v>
      </c>
      <c r="R221" s="2" t="str">
        <f>IFERROR(__xludf.DUMMYFUNCTION("GOOGLETRANSLATE(G221,""en"",""ur"")"),"اس نے چھڑی پکڑی ہوئی ہے۔")</f>
        <v>اس نے چھڑی پکڑی ہوئی ہے۔</v>
      </c>
      <c r="S221" s="5" t="s">
        <v>363</v>
      </c>
    </row>
    <row r="222" ht="22.5" customHeight="1">
      <c r="A222" s="4">
        <v>221.0</v>
      </c>
      <c r="B222" s="5" t="s">
        <v>370</v>
      </c>
      <c r="C222" s="5" t="s">
        <v>103</v>
      </c>
      <c r="D222" s="5" t="s">
        <v>300</v>
      </c>
      <c r="E222" s="5" t="s">
        <v>72</v>
      </c>
      <c r="F222" s="5" t="s">
        <v>73</v>
      </c>
      <c r="G222" s="5" t="s">
        <v>300</v>
      </c>
      <c r="H222" s="5" t="s">
        <v>371</v>
      </c>
      <c r="K222" s="2" t="str">
        <f>IFERROR(__xludf.DUMMYFUNCTION("GOOGLETRANSLATE(A222,""en"",""ur"")"),"221")</f>
        <v>221</v>
      </c>
      <c r="L222" s="2" t="str">
        <f>IFERROR(__xludf.DUMMYFUNCTION("GOOGLETRANSLATE(B222,""en"",""ur"")"),"buzkashi_62 میں دکھایا گیا اہم عمل کیا ہے؟")</f>
        <v>buzkashi_62 میں دکھایا گیا اہم عمل کیا ہے؟</v>
      </c>
      <c r="M222" s="2" t="str">
        <f>IFERROR(__xludf.DUMMYFUNCTION("GOOGLETRANSLATE(C222,""en"",""ur"")"),"آرام سے گھوڑے کی سواری۔")</f>
        <v>آرام سے گھوڑے کی سواری۔</v>
      </c>
      <c r="N222" s="2" t="str">
        <f>IFERROR(__xludf.DUMMYFUNCTION("GOOGLETRANSLATE(D222,""en"",""ur"")"),"تیز رفتاری سے لاش کو لے جانے والا سوار")</f>
        <v>تیز رفتاری سے لاش کو لے جانے والا سوار</v>
      </c>
      <c r="O222" s="2" t="str">
        <f>IFERROR(__xludf.DUMMYFUNCTION("GOOGLETRANSLATE(E222,""en"",""ur"")"),"گھوڑوں کی پریڈ")</f>
        <v>گھوڑوں کی پریڈ</v>
      </c>
      <c r="P222" s="2" t="str">
        <f>IFERROR(__xludf.DUMMYFUNCTION("GOOGLETRANSLATE(F222,""en"",""ur"")"),"گھوڑوں کی دوڑ")</f>
        <v>گھوڑوں کی دوڑ</v>
      </c>
      <c r="Q222" s="2" t="s">
        <v>302</v>
      </c>
      <c r="R222" s="2" t="str">
        <f>IFERROR(__xludf.DUMMYFUNCTION("GOOGLETRANSLATE(G222,""en"",""ur"")"),"تیز رفتاری سے لاش کو لے جانے والا سوار")</f>
        <v>تیز رفتاری سے لاش کو لے جانے والا سوار</v>
      </c>
      <c r="S222" s="5" t="s">
        <v>371</v>
      </c>
    </row>
    <row r="223" ht="22.5" customHeight="1">
      <c r="A223" s="4">
        <v>222.0</v>
      </c>
      <c r="B223" s="5" t="s">
        <v>303</v>
      </c>
      <c r="C223" s="5" t="s">
        <v>284</v>
      </c>
      <c r="D223" s="5" t="s">
        <v>285</v>
      </c>
      <c r="E223" s="5" t="s">
        <v>286</v>
      </c>
      <c r="F223" s="5" t="s">
        <v>287</v>
      </c>
      <c r="G223" s="5" t="s">
        <v>286</v>
      </c>
      <c r="H223" s="5" t="s">
        <v>371</v>
      </c>
      <c r="K223" s="2" t="str">
        <f>IFERROR(__xludf.DUMMYFUNCTION("GOOGLETRANSLATE(A223,""en"",""ur"")"),"222")</f>
        <v>222</v>
      </c>
      <c r="L223" s="2" t="str">
        <f>IFERROR(__xludf.DUMMYFUNCTION("GOOGLETRANSLATE(B223,""en"",""ur"")"),"سوار جس چیز کو لے کر جا رہا ہے اس کے بارے میں ایک قابل ذکر تفصیل کیا ہے؟")</f>
        <v>سوار جس چیز کو لے کر جا رہا ہے اس کے بارے میں ایک قابل ذکر تفصیل کیا ہے؟</v>
      </c>
      <c r="M223" s="2" t="str">
        <f>IFERROR(__xludf.DUMMYFUNCTION("GOOGLETRANSLATE(C223,""en"",""ur"")"),"یہ ایک گیند ہے۔")</f>
        <v>یہ ایک گیند ہے۔</v>
      </c>
      <c r="N223" s="2" t="str">
        <f>IFERROR(__xludf.DUMMYFUNCTION("GOOGLETRANSLATE(D223,""en"",""ur"")"),"یہ ایک جھنڈا ہے۔")</f>
        <v>یہ ایک جھنڈا ہے۔</v>
      </c>
      <c r="O223" s="2" t="str">
        <f>IFERROR(__xludf.DUMMYFUNCTION("GOOGLETRANSLATE(E223,""en"",""ur"")"),"یہ ایک بکری کی لاش ہے۔")</f>
        <v>یہ ایک بکری کی لاش ہے۔</v>
      </c>
      <c r="P223" s="2" t="str">
        <f>IFERROR(__xludf.DUMMYFUNCTION("GOOGLETRANSLATE(F223,""en"",""ur"")"),"یہ ایک رسی ہے۔")</f>
        <v>یہ ایک رسی ہے۔</v>
      </c>
      <c r="Q223" s="2" t="s">
        <v>288</v>
      </c>
      <c r="R223" s="2" t="str">
        <f>IFERROR(__xludf.DUMMYFUNCTION("GOOGLETRANSLATE(G223,""en"",""ur"")"),"یہ ایک بکری کی لاش ہے۔")</f>
        <v>یہ ایک بکری کی لاش ہے۔</v>
      </c>
      <c r="S223" s="5" t="s">
        <v>371</v>
      </c>
    </row>
    <row r="224" ht="22.5" customHeight="1">
      <c r="A224" s="4">
        <v>223.0</v>
      </c>
      <c r="B224" s="5" t="s">
        <v>304</v>
      </c>
      <c r="C224" s="5" t="s">
        <v>305</v>
      </c>
      <c r="D224" s="5" t="s">
        <v>306</v>
      </c>
      <c r="E224" s="5" t="s">
        <v>307</v>
      </c>
      <c r="F224" s="5" t="s">
        <v>308</v>
      </c>
      <c r="G224" s="5" t="s">
        <v>306</v>
      </c>
      <c r="H224" s="5" t="s">
        <v>371</v>
      </c>
      <c r="K224" s="2" t="str">
        <f>IFERROR(__xludf.DUMMYFUNCTION("GOOGLETRANSLATE(A224,""en"",""ur"")"),"223")</f>
        <v>223</v>
      </c>
      <c r="L224" s="2" t="str">
        <f>IFERROR(__xludf.DUMMYFUNCTION("GOOGLETRANSLATE(B224,""en"",""ur"")"),"سوار کے لباس کے بارے میں واضح تفصیل کیا ہے؟")</f>
        <v>سوار کے لباس کے بارے میں واضح تفصیل کیا ہے؟</v>
      </c>
      <c r="M224" s="2" t="str">
        <f>IFERROR(__xludf.DUMMYFUNCTION("GOOGLETRANSLATE(C224,""en"",""ur"")"),"اس نے جدید کھیلوں کا یونیفارم پہن رکھا ہے۔")</f>
        <v>اس نے جدید کھیلوں کا یونیفارم پہن رکھا ہے۔</v>
      </c>
      <c r="N224" s="2" t="str">
        <f>IFERROR(__xludf.DUMMYFUNCTION("GOOGLETRANSLATE(D224,""en"",""ur"")"),"اس نے روایتی ٹونک اور سر کا لباس پہن رکھا ہے۔")</f>
        <v>اس نے روایتی ٹونک اور سر کا لباس پہن رکھا ہے۔</v>
      </c>
      <c r="O224" s="2" t="str">
        <f>IFERROR(__xludf.DUMMYFUNCTION("GOOGLETRANSLATE(E224,""en"",""ur"")"),"اس نے رسمی سوٹ پہن رکھا ہے۔")</f>
        <v>اس نے رسمی سوٹ پہن رکھا ہے۔</v>
      </c>
      <c r="P224" s="2" t="str">
        <f>IFERROR(__xludf.DUMMYFUNCTION("GOOGLETRANSLATE(F224,""en"",""ur"")"),"اس نے کوئی لباس نہیں پہنا ہوا ہے۔")</f>
        <v>اس نے کوئی لباس نہیں پہنا ہوا ہے۔</v>
      </c>
      <c r="Q224" s="2" t="s">
        <v>309</v>
      </c>
      <c r="R224" s="2" t="str">
        <f>IFERROR(__xludf.DUMMYFUNCTION("GOOGLETRANSLATE(G224,""en"",""ur"")"),"اس نے روایتی ٹونک اور سر کا لباس پہن رکھا ہے۔")</f>
        <v>اس نے روایتی ٹونک اور سر کا لباس پہن رکھا ہے۔</v>
      </c>
      <c r="S224" s="5" t="s">
        <v>371</v>
      </c>
    </row>
    <row r="225" ht="22.5" customHeight="1">
      <c r="A225" s="4">
        <v>224.0</v>
      </c>
      <c r="B225" s="5" t="s">
        <v>310</v>
      </c>
      <c r="C225" s="5" t="s">
        <v>311</v>
      </c>
      <c r="D225" s="5" t="s">
        <v>312</v>
      </c>
      <c r="E225" s="5" t="s">
        <v>313</v>
      </c>
      <c r="F225" s="5" t="s">
        <v>314</v>
      </c>
      <c r="G225" s="5" t="s">
        <v>312</v>
      </c>
      <c r="H225" s="5" t="s">
        <v>371</v>
      </c>
      <c r="K225" s="2" t="str">
        <f>IFERROR(__xludf.DUMMYFUNCTION("GOOGLETRANSLATE(A225,""en"",""ur"")"),"224")</f>
        <v>224</v>
      </c>
      <c r="L225" s="2" t="str">
        <f>IFERROR(__xludf.DUMMYFUNCTION("GOOGLETRANSLATE(B225,""en"",""ur"")"),"سوار کی ظاہری باڈی پوزیشن کیا ہے؟")</f>
        <v>سوار کی ظاہری باڈی پوزیشن کیا ہے؟</v>
      </c>
      <c r="M225" s="2" t="str">
        <f>IFERROR(__xludf.DUMMYFUNCTION("GOOGLETRANSLATE(C225,""en"",""ur"")"),"وہ سیدھا کھڑا ہے۔")</f>
        <v>وہ سیدھا کھڑا ہے۔</v>
      </c>
      <c r="N225" s="2" t="str">
        <f>IFERROR(__xludf.DUMMYFUNCTION("GOOGLETRANSLATE(D225,""en"",""ur"")"),"وہ جھک رہا ہے اور کسی چیز تک پہنچ رہا ہے۔")</f>
        <v>وہ جھک رہا ہے اور کسی چیز تک پہنچ رہا ہے۔</v>
      </c>
      <c r="O225" s="2" t="str">
        <f>IFERROR(__xludf.DUMMYFUNCTION("GOOGLETRANSLATE(E225,""en"",""ur"")"),"وہ گھوڑے کی پیٹھ پر لیٹا ہے۔")</f>
        <v>وہ گھوڑے کی پیٹھ پر لیٹا ہے۔</v>
      </c>
      <c r="P225" s="2" t="str">
        <f>IFERROR(__xludf.DUMMYFUNCTION("GOOGLETRANSLATE(F225,""en"",""ur"")"),"وہ آرام سے بیٹھا ہے۔")</f>
        <v>وہ آرام سے بیٹھا ہے۔</v>
      </c>
      <c r="Q225" s="2" t="s">
        <v>315</v>
      </c>
      <c r="R225" s="2" t="str">
        <f>IFERROR(__xludf.DUMMYFUNCTION("GOOGLETRANSLATE(G225,""en"",""ur"")"),"وہ جھک رہا ہے اور کسی چیز تک پہنچ رہا ہے۔")</f>
        <v>وہ جھک رہا ہے اور کسی چیز تک پہنچ رہا ہے۔</v>
      </c>
      <c r="S225" s="5" t="s">
        <v>371</v>
      </c>
    </row>
    <row r="226" ht="22.5" customHeight="1">
      <c r="A226" s="4">
        <v>225.0</v>
      </c>
      <c r="B226" s="5" t="s">
        <v>316</v>
      </c>
      <c r="C226" s="5" t="s">
        <v>47</v>
      </c>
      <c r="D226" s="5" t="s">
        <v>48</v>
      </c>
      <c r="E226" s="5" t="s">
        <v>49</v>
      </c>
      <c r="F226" s="5" t="s">
        <v>50</v>
      </c>
      <c r="G226" s="5" t="s">
        <v>49</v>
      </c>
      <c r="H226" s="5" t="s">
        <v>371</v>
      </c>
      <c r="K226" s="2" t="str">
        <f>IFERROR(__xludf.DUMMYFUNCTION("GOOGLETRANSLATE(A226,""en"",""ur"")"),"225")</f>
        <v>225</v>
      </c>
      <c r="L226" s="2" t="str">
        <f>IFERROR(__xludf.DUMMYFUNCTION("GOOGLETRANSLATE(B226,""en"",""ur"")"),"سوار کے چہرے سے ظاہری جذبات کیا ہیں؟")</f>
        <v>سوار کے چہرے سے ظاہری جذبات کیا ہیں؟</v>
      </c>
      <c r="M226" s="2" t="str">
        <f>IFERROR(__xludf.DUMMYFUNCTION("GOOGLETRANSLATE(C226,""en"",""ur"")"),"پرسکون اور پر سکون")</f>
        <v>پرسکون اور پر سکون</v>
      </c>
      <c r="N226" s="2" t="str">
        <f>IFERROR(__xludf.DUMMYFUNCTION("GOOGLETRANSLATE(D226,""en"",""ur"")"),"خوف زدہ اور بے چین")</f>
        <v>خوف زدہ اور بے چین</v>
      </c>
      <c r="O226" s="2" t="str">
        <f>IFERROR(__xludf.DUMMYFUNCTION("GOOGLETRANSLATE(E226,""en"",""ur"")"),"کشیدہ اور شدید")</f>
        <v>کشیدہ اور شدید</v>
      </c>
      <c r="P226" s="2" t="str">
        <f>IFERROR(__xludf.DUMMYFUNCTION("GOOGLETRANSLATE(F226,""en"",""ur"")"),"خوش اور مسکراتے ہوئے۔")</f>
        <v>خوش اور مسکراتے ہوئے۔</v>
      </c>
      <c r="Q226" s="2" t="s">
        <v>51</v>
      </c>
      <c r="R226" s="2" t="str">
        <f>IFERROR(__xludf.DUMMYFUNCTION("GOOGLETRANSLATE(G226,""en"",""ur"")"),"کشیدہ اور شدید")</f>
        <v>کشیدہ اور شدید</v>
      </c>
      <c r="S226" s="5" t="s">
        <v>371</v>
      </c>
    </row>
    <row r="227" ht="22.5" customHeight="1">
      <c r="A227" s="4">
        <v>226.0</v>
      </c>
      <c r="B227" s="5" t="s">
        <v>88</v>
      </c>
      <c r="C227" s="5" t="s">
        <v>89</v>
      </c>
      <c r="D227" s="5" t="s">
        <v>90</v>
      </c>
      <c r="E227" s="5" t="s">
        <v>91</v>
      </c>
      <c r="F227" s="5" t="s">
        <v>255</v>
      </c>
      <c r="G227" s="5" t="s">
        <v>255</v>
      </c>
      <c r="H227" s="5" t="s">
        <v>371</v>
      </c>
      <c r="K227" s="2" t="str">
        <f>IFERROR(__xludf.DUMMYFUNCTION("GOOGLETRANSLATE(A227,""en"",""ur"")"),"226")</f>
        <v>226</v>
      </c>
      <c r="L227" s="2" t="str">
        <f>IFERROR(__xludf.DUMMYFUNCTION("GOOGLETRANSLATE(B227,""en"",""ur"")"),"زمین کی سب سے نمایاں خصوصیت کیا ہے؟")</f>
        <v>زمین کی سب سے نمایاں خصوصیت کیا ہے؟</v>
      </c>
      <c r="M227" s="2" t="str">
        <f>IFERROR(__xludf.DUMMYFUNCTION("GOOGLETRANSLATE(C227,""en"",""ur"")"),"ایک پکی سطح")</f>
        <v>ایک پکی سطح</v>
      </c>
      <c r="N227" s="2" t="str">
        <f>IFERROR(__xludf.DUMMYFUNCTION("GOOGLETRANSLATE(D227,""en"",""ur"")"),"کیچڑ والا میدان")</f>
        <v>کیچڑ والا میدان</v>
      </c>
      <c r="O227" s="2" t="str">
        <f>IFERROR(__xludf.DUMMYFUNCTION("GOOGLETRANSLATE(E227,""en"",""ur"")"),"ایک گھاس دار سطح")</f>
        <v>ایک گھاس دار سطح</v>
      </c>
      <c r="P227" s="2" t="str">
        <f>IFERROR(__xludf.DUMMYFUNCTION("GOOGLETRANSLATE(F227,""en"",""ur"")"),"ریتلی یا گندگی کی سطح")</f>
        <v>ریتلی یا گندگی کی سطح</v>
      </c>
      <c r="Q227" s="2" t="s">
        <v>256</v>
      </c>
      <c r="R227" s="2" t="str">
        <f>IFERROR(__xludf.DUMMYFUNCTION("GOOGLETRANSLATE(G227,""en"",""ur"")"),"ریتلی یا گندگی کی سطح")</f>
        <v>ریتلی یا گندگی کی سطح</v>
      </c>
      <c r="S227" s="5" t="s">
        <v>371</v>
      </c>
    </row>
    <row r="228" ht="22.5" customHeight="1">
      <c r="A228" s="4">
        <v>227.0</v>
      </c>
      <c r="B228" s="5" t="s">
        <v>257</v>
      </c>
      <c r="C228" s="5" t="s">
        <v>95</v>
      </c>
      <c r="D228" s="5" t="s">
        <v>96</v>
      </c>
      <c r="E228" s="5" t="s">
        <v>97</v>
      </c>
      <c r="F228" s="5" t="s">
        <v>258</v>
      </c>
      <c r="G228" s="5" t="s">
        <v>97</v>
      </c>
      <c r="H228" s="5" t="s">
        <v>371</v>
      </c>
      <c r="K228" s="2" t="str">
        <f>IFERROR(__xludf.DUMMYFUNCTION("GOOGLETRANSLATE(A228,""en"",""ur"")"),"227")</f>
        <v>227</v>
      </c>
      <c r="L228" s="2" t="str">
        <f>IFERROR(__xludf.DUMMYFUNCTION("GOOGLETRANSLATE(B228,""en"",""ur"")"),"کھیلے جانے والے کھیل کا نام کیا ہے؟")</f>
        <v>کھیلے جانے والے کھیل کا نام کیا ہے؟</v>
      </c>
      <c r="M228" s="2" t="str">
        <f>IFERROR(__xludf.DUMMYFUNCTION("GOOGLETRANSLATE(C228,""en"",""ur"")"),"پولو")</f>
        <v>پولو</v>
      </c>
      <c r="N228" s="2" t="str">
        <f>IFERROR(__xludf.DUMMYFUNCTION("GOOGLETRANSLATE(D228,""en"",""ur"")"),"گھوڑوں کی دوڑ")</f>
        <v>گھوڑوں کی دوڑ</v>
      </c>
      <c r="O228" s="2" t="str">
        <f>IFERROR(__xludf.DUMMYFUNCTION("GOOGLETRANSLATE(E228,""en"",""ur"")"),"بزکشی۔")</f>
        <v>بزکشی۔</v>
      </c>
      <c r="P228" s="2" t="str">
        <f>IFERROR(__xludf.DUMMYFUNCTION("GOOGLETRANSLATE(F228,""en"",""ur"")"),"گھڑ سواری کے کھیل")</f>
        <v>گھڑ سواری کے کھیل</v>
      </c>
      <c r="Q228" s="2" t="s">
        <v>259</v>
      </c>
      <c r="R228" s="2" t="str">
        <f>IFERROR(__xludf.DUMMYFUNCTION("GOOGLETRANSLATE(G228,""en"",""ur"")"),"بزکشی۔")</f>
        <v>بزکشی۔</v>
      </c>
      <c r="S228" s="5" t="s">
        <v>371</v>
      </c>
    </row>
    <row r="229" ht="22.5" customHeight="1">
      <c r="A229" s="4">
        <v>228.0</v>
      </c>
      <c r="B229" s="5" t="s">
        <v>260</v>
      </c>
      <c r="C229" s="5" t="s">
        <v>261</v>
      </c>
      <c r="D229" s="5" t="s">
        <v>262</v>
      </c>
      <c r="E229" s="5" t="s">
        <v>263</v>
      </c>
      <c r="F229" s="5" t="s">
        <v>264</v>
      </c>
      <c r="G229" s="5" t="s">
        <v>263</v>
      </c>
      <c r="H229" s="5" t="s">
        <v>371</v>
      </c>
      <c r="K229" s="2" t="str">
        <f>IFERROR(__xludf.DUMMYFUNCTION("GOOGLETRANSLATE(A229,""en"",""ur"")"),"228")</f>
        <v>228</v>
      </c>
      <c r="L229" s="2" t="str">
        <f>IFERROR(__xludf.DUMMYFUNCTION("GOOGLETRANSLATE(B229,""en"",""ur"")"),"تصویر میں ایکشن ایک ایسا انداز تجویز کرتا ہے جو اس بات پر زور دیتا ہے...")</f>
        <v>تصویر میں ایکشن ایک ایسا انداز تجویز کرتا ہے جو اس بات پر زور دیتا ہے...</v>
      </c>
      <c r="M229" s="2" t="str">
        <f>IFERROR(__xludf.DUMMYFUNCTION("GOOGLETRANSLATE(C229,""en"",""ur"")"),"روانی اور قلابازیاں")</f>
        <v>روانی اور قلابازیاں</v>
      </c>
      <c r="N229" s="2" t="str">
        <f>IFERROR(__xludf.DUMMYFUNCTION("GOOGLETRANSLATE(D229,""en"",""ur"")"),"زمینی لڑائی اور گرفت")</f>
        <v>زمینی لڑائی اور گرفت</v>
      </c>
      <c r="O229" s="2" t="str">
        <f>IFERROR(__xludf.DUMMYFUNCTION("GOOGLETRANSLATE(E229,""en"",""ur"")"),"وحشیانہ قوت اور گھڑ سواری۔")</f>
        <v>وحشیانہ قوت اور گھڑ سواری۔</v>
      </c>
      <c r="P229" s="2" t="str">
        <f>IFERROR(__xludf.DUMMYFUNCTION("GOOGLETRANSLATE(F229,""en"",""ur"")"),"سادہ، لکیری حرکات")</f>
        <v>سادہ، لکیری حرکات</v>
      </c>
      <c r="Q229" s="2" t="s">
        <v>265</v>
      </c>
      <c r="R229" s="2" t="str">
        <f>IFERROR(__xludf.DUMMYFUNCTION("GOOGLETRANSLATE(G229,""en"",""ur"")"),"وحشیانہ قوت اور گھڑ سواری۔")</f>
        <v>وحشیانہ قوت اور گھڑ سواری۔</v>
      </c>
      <c r="S229" s="5" t="s">
        <v>371</v>
      </c>
    </row>
    <row r="230" ht="22.5" customHeight="1">
      <c r="A230" s="4">
        <v>229.0</v>
      </c>
      <c r="B230" s="5" t="s">
        <v>266</v>
      </c>
      <c r="C230" s="5" t="s">
        <v>59</v>
      </c>
      <c r="D230" s="5" t="s">
        <v>267</v>
      </c>
      <c r="E230" s="5" t="s">
        <v>61</v>
      </c>
      <c r="F230" s="5" t="s">
        <v>268</v>
      </c>
      <c r="G230" s="5" t="s">
        <v>267</v>
      </c>
      <c r="H230" s="5" t="s">
        <v>371</v>
      </c>
      <c r="K230" s="2" t="str">
        <f>IFERROR(__xludf.DUMMYFUNCTION("GOOGLETRANSLATE(A230,""en"",""ur"")"),"229")</f>
        <v>229</v>
      </c>
      <c r="L230" s="2" t="str">
        <f>IFERROR(__xludf.DUMMYFUNCTION("GOOGLETRANSLATE(B230,""en"",""ur"")"),"گھوڑوں کے بارے میں ایک قابل ذکر تفصیل کیا ہے؟")</f>
        <v>گھوڑوں کے بارے میں ایک قابل ذکر تفصیل کیا ہے؟</v>
      </c>
      <c r="M230" s="2" t="str">
        <f>IFERROR(__xludf.DUMMYFUNCTION("GOOGLETRANSLATE(C230,""en"",""ur"")"),"وہ سب ایک ہی رنگ کے ہیں۔")</f>
        <v>وہ سب ایک ہی رنگ کے ہیں۔</v>
      </c>
      <c r="N230" s="2" t="str">
        <f>IFERROR(__xludf.DUMMYFUNCTION("GOOGLETRANSLATE(D230,""en"",""ur"")"),"وہ رنگوں اور نسلوں کا مرکب ہیں۔")</f>
        <v>وہ رنگوں اور نسلوں کا مرکب ہیں۔</v>
      </c>
      <c r="O230" s="2" t="str">
        <f>IFERROR(__xludf.DUMMYFUNCTION("GOOGLETRANSLATE(E230,""en"",""ur"")"),"وہ سب وسیع نمونوں کے ساتھ زین پہنے ہوئے ہیں۔")</f>
        <v>وہ سب وسیع نمونوں کے ساتھ زین پہنے ہوئے ہیں۔</v>
      </c>
      <c r="P230" s="2" t="str">
        <f>IFERROR(__xludf.DUMMYFUNCTION("GOOGLETRANSLATE(F230,""en"",""ur"")"),"وہ سب خاموش کھڑے ہیں۔")</f>
        <v>وہ سب خاموش کھڑے ہیں۔</v>
      </c>
      <c r="Q230" s="2" t="s">
        <v>269</v>
      </c>
      <c r="R230" s="2" t="str">
        <f>IFERROR(__xludf.DUMMYFUNCTION("GOOGLETRANSLATE(G230,""en"",""ur"")"),"وہ رنگوں اور نسلوں کا مرکب ہیں۔")</f>
        <v>وہ رنگوں اور نسلوں کا مرکب ہیں۔</v>
      </c>
      <c r="S230" s="5" t="s">
        <v>371</v>
      </c>
    </row>
    <row r="231" ht="22.5" customHeight="1">
      <c r="A231" s="4">
        <v>230.0</v>
      </c>
      <c r="B231" s="5" t="s">
        <v>322</v>
      </c>
      <c r="C231" s="5" t="s">
        <v>297</v>
      </c>
      <c r="D231" s="5" t="s">
        <v>272</v>
      </c>
      <c r="E231" s="5" t="s">
        <v>273</v>
      </c>
      <c r="F231" s="5" t="s">
        <v>274</v>
      </c>
      <c r="G231" s="5" t="s">
        <v>274</v>
      </c>
      <c r="H231" s="5" t="s">
        <v>371</v>
      </c>
      <c r="K231" s="2" t="str">
        <f>IFERROR(__xludf.DUMMYFUNCTION("GOOGLETRANSLATE(A231,""en"",""ur"")"),"230")</f>
        <v>230</v>
      </c>
      <c r="L231" s="2" t="str">
        <f>IFERROR(__xludf.DUMMYFUNCTION("GOOGLETRANSLATE(B231,""en"",""ur"")"),"سوار کے بارے میں ایک قابل ذکر تفصیل کیا ہے؟")</f>
        <v>سوار کے بارے میں ایک قابل ذکر تفصیل کیا ہے؟</v>
      </c>
      <c r="M231" s="2" t="str">
        <f>IFERROR(__xludf.DUMMYFUNCTION("GOOGLETRANSLATE(C231,""en"",""ur"")"),"اس نے ایک کوڑا پکڑ رکھا ہے۔")</f>
        <v>اس نے ایک کوڑا پکڑ رکھا ہے۔</v>
      </c>
      <c r="N231" s="2" t="str">
        <f>IFERROR(__xludf.DUMMYFUNCTION("GOOGLETRANSLATE(D231,""en"",""ur"")"),"اس نے بینر اٹھا رکھا ہے۔")</f>
        <v>اس نے بینر اٹھا رکھا ہے۔</v>
      </c>
      <c r="O231" s="2" t="str">
        <f>IFERROR(__xludf.DUMMYFUNCTION("GOOGLETRANSLATE(E231,""en"",""ur"")"),"اس نے رسی پکڑی ہوئی ہے۔")</f>
        <v>اس نے رسی پکڑی ہوئی ہے۔</v>
      </c>
      <c r="P231" s="2" t="str">
        <f>IFERROR(__xludf.DUMMYFUNCTION("GOOGLETRANSLATE(F231,""en"",""ur"")"),"اس نے چھڑی پکڑی ہوئی ہے۔")</f>
        <v>اس نے چھڑی پکڑی ہوئی ہے۔</v>
      </c>
      <c r="Q231" s="2" t="s">
        <v>298</v>
      </c>
      <c r="R231" s="2" t="str">
        <f>IFERROR(__xludf.DUMMYFUNCTION("GOOGLETRANSLATE(G231,""en"",""ur"")"),"اس نے چھڑی پکڑی ہوئی ہے۔")</f>
        <v>اس نے چھڑی پکڑی ہوئی ہے۔</v>
      </c>
      <c r="S231" s="5" t="s">
        <v>371</v>
      </c>
    </row>
    <row r="232" ht="22.5" customHeight="1">
      <c r="A232" s="4">
        <v>231.0</v>
      </c>
      <c r="B232" s="5" t="s">
        <v>372</v>
      </c>
      <c r="C232" s="5" t="s">
        <v>103</v>
      </c>
      <c r="D232" s="5" t="s">
        <v>71</v>
      </c>
      <c r="E232" s="5" t="s">
        <v>72</v>
      </c>
      <c r="F232" s="5" t="s">
        <v>73</v>
      </c>
      <c r="G232" s="5" t="s">
        <v>71</v>
      </c>
      <c r="H232" s="5" t="s">
        <v>373</v>
      </c>
      <c r="K232" s="2" t="str">
        <f>IFERROR(__xludf.DUMMYFUNCTION("GOOGLETRANSLATE(A232,""en"",""ur"")"),"231")</f>
        <v>231</v>
      </c>
      <c r="L232" s="2" t="str">
        <f>IFERROR(__xludf.DUMMYFUNCTION("GOOGLETRANSLATE(B232,""en"",""ur"")"),"buzkashi_66 میں دکھائی جانے والی اہم کارروائی کیا ہے؟")</f>
        <v>buzkashi_66 میں دکھائی جانے والی اہم کارروائی کیا ہے؟</v>
      </c>
      <c r="M232" s="2" t="str">
        <f>IFERROR(__xludf.DUMMYFUNCTION("GOOGLETRANSLATE(C232,""en"",""ur"")"),"آرام سے گھوڑے کی سواری۔")</f>
        <v>آرام سے گھوڑے کی سواری۔</v>
      </c>
      <c r="N232" s="2" t="str">
        <f>IFERROR(__xludf.DUMMYFUNCTION("GOOGLETRANSLATE(D232,""en"",""ur"")"),"سواروں کا ایک گروپ جو مرکزی چیز کے لیے مقابلہ کر رہا ہے۔")</f>
        <v>سواروں کا ایک گروپ جو مرکزی چیز کے لیے مقابلہ کر رہا ہے۔</v>
      </c>
      <c r="O232" s="2" t="str">
        <f>IFERROR(__xludf.DUMMYFUNCTION("GOOGLETRANSLATE(E232,""en"",""ur"")"),"گھوڑوں کی پریڈ")</f>
        <v>گھوڑوں کی پریڈ</v>
      </c>
      <c r="P232" s="2" t="str">
        <f>IFERROR(__xludf.DUMMYFUNCTION("GOOGLETRANSLATE(F232,""en"",""ur"")"),"گھوڑوں کی دوڑ")</f>
        <v>گھوڑوں کی دوڑ</v>
      </c>
      <c r="Q232" s="2" t="s">
        <v>278</v>
      </c>
      <c r="R232" s="2" t="str">
        <f>IFERROR(__xludf.DUMMYFUNCTION("GOOGLETRANSLATE(G232,""en"",""ur"")"),"سواروں کا ایک گروپ جو مرکزی چیز کے لیے مقابلہ کر رہا ہے۔")</f>
        <v>سواروں کا ایک گروپ جو مرکزی چیز کے لیے مقابلہ کر رہا ہے۔</v>
      </c>
      <c r="S232" s="5" t="s">
        <v>373</v>
      </c>
    </row>
    <row r="233" ht="22.5" customHeight="1">
      <c r="A233" s="4">
        <v>232.0</v>
      </c>
      <c r="B233" s="5" t="s">
        <v>348</v>
      </c>
      <c r="C233" s="5" t="s">
        <v>284</v>
      </c>
      <c r="D233" s="5" t="s">
        <v>285</v>
      </c>
      <c r="E233" s="5" t="s">
        <v>286</v>
      </c>
      <c r="F233" s="5" t="s">
        <v>287</v>
      </c>
      <c r="G233" s="5" t="s">
        <v>286</v>
      </c>
      <c r="H233" s="5" t="s">
        <v>373</v>
      </c>
      <c r="K233" s="2" t="str">
        <f>IFERROR(__xludf.DUMMYFUNCTION("GOOGLETRANSLATE(A233,""en"",""ur"")"),"232")</f>
        <v>232</v>
      </c>
      <c r="L233" s="2" t="str">
        <f>IFERROR(__xludf.DUMMYFUNCTION("GOOGLETRANSLATE(B233,""en"",""ur"")"),"سوار جس چیز کا مقابلہ کر رہے ہیں اس کے بارے میں ایک قابل ذکر تفصیل کیا ہے؟")</f>
        <v>سوار جس چیز کا مقابلہ کر رہے ہیں اس کے بارے میں ایک قابل ذکر تفصیل کیا ہے؟</v>
      </c>
      <c r="M233" s="2" t="str">
        <f>IFERROR(__xludf.DUMMYFUNCTION("GOOGLETRANSLATE(C233,""en"",""ur"")"),"یہ ایک گیند ہے۔")</f>
        <v>یہ ایک گیند ہے۔</v>
      </c>
      <c r="N233" s="2" t="str">
        <f>IFERROR(__xludf.DUMMYFUNCTION("GOOGLETRANSLATE(D233,""en"",""ur"")"),"یہ ایک جھنڈا ہے۔")</f>
        <v>یہ ایک جھنڈا ہے۔</v>
      </c>
      <c r="O233" s="2" t="str">
        <f>IFERROR(__xludf.DUMMYFUNCTION("GOOGLETRANSLATE(E233,""en"",""ur"")"),"یہ ایک بکری کی لاش ہے۔")</f>
        <v>یہ ایک بکری کی لاش ہے۔</v>
      </c>
      <c r="P233" s="2" t="str">
        <f>IFERROR(__xludf.DUMMYFUNCTION("GOOGLETRANSLATE(F233,""en"",""ur"")"),"یہ ایک رسی ہے۔")</f>
        <v>یہ ایک رسی ہے۔</v>
      </c>
      <c r="Q233" s="2" t="s">
        <v>288</v>
      </c>
      <c r="R233" s="2" t="str">
        <f>IFERROR(__xludf.DUMMYFUNCTION("GOOGLETRANSLATE(G233,""en"",""ur"")"),"یہ ایک بکری کی لاش ہے۔")</f>
        <v>یہ ایک بکری کی لاش ہے۔</v>
      </c>
      <c r="S233" s="5" t="s">
        <v>373</v>
      </c>
    </row>
    <row r="234" ht="22.5" customHeight="1">
      <c r="A234" s="4">
        <v>233.0</v>
      </c>
      <c r="B234" s="5" t="s">
        <v>242</v>
      </c>
      <c r="C234" s="5" t="s">
        <v>243</v>
      </c>
      <c r="D234" s="5" t="s">
        <v>292</v>
      </c>
      <c r="E234" s="5" t="s">
        <v>245</v>
      </c>
      <c r="F234" s="5" t="s">
        <v>246</v>
      </c>
      <c r="G234" s="5" t="s">
        <v>292</v>
      </c>
      <c r="H234" s="5" t="s">
        <v>373</v>
      </c>
      <c r="K234" s="2" t="str">
        <f>IFERROR(__xludf.DUMMYFUNCTION("GOOGLETRANSLATE(A234,""en"",""ur"")"),"233")</f>
        <v>233</v>
      </c>
      <c r="L234" s="2" t="str">
        <f>IFERROR(__xludf.DUMMYFUNCTION("GOOGLETRANSLATE(B234,""en"",""ur"")"),"سواروں کے لباس کے بارے میں واضح تفصیل کیا ہے؟")</f>
        <v>سواروں کے لباس کے بارے میں واضح تفصیل کیا ہے؟</v>
      </c>
      <c r="M234" s="2" t="str">
        <f>IFERROR(__xludf.DUMMYFUNCTION("GOOGLETRANSLATE(C234,""en"",""ur"")"),"وہ جدید کھیلوں کی وردی پہنے ہوئے ہیں۔")</f>
        <v>وہ جدید کھیلوں کی وردی پہنے ہوئے ہیں۔</v>
      </c>
      <c r="N234" s="2" t="str">
        <f>IFERROR(__xludf.DUMMYFUNCTION("GOOGLETRANSLATE(D234,""en"",""ur"")"),"وہ روایتی ٹونکس اور سر کے لباس پہنے ہوئے ہیں۔")</f>
        <v>وہ روایتی ٹونکس اور سر کے لباس پہنے ہوئے ہیں۔</v>
      </c>
      <c r="O234" s="2" t="str">
        <f>IFERROR(__xludf.DUMMYFUNCTION("GOOGLETRANSLATE(E234,""en"",""ur"")"),"وہ رسمی سوٹ پہنے ہوئے ہیں۔")</f>
        <v>وہ رسمی سوٹ پہنے ہوئے ہیں۔</v>
      </c>
      <c r="P234" s="2" t="str">
        <f>IFERROR(__xludf.DUMMYFUNCTION("GOOGLETRANSLATE(F234,""en"",""ur"")"),"انہوں نے کوئی لباس نہیں پہنا ہوا ہے۔")</f>
        <v>انہوں نے کوئی لباس نہیں پہنا ہوا ہے۔</v>
      </c>
      <c r="Q234" s="2" t="s">
        <v>293</v>
      </c>
      <c r="R234" s="2" t="str">
        <f>IFERROR(__xludf.DUMMYFUNCTION("GOOGLETRANSLATE(G234,""en"",""ur"")"),"وہ روایتی ٹونکس اور سر کے لباس پہنے ہوئے ہیں۔")</f>
        <v>وہ روایتی ٹونکس اور سر کے لباس پہنے ہوئے ہیں۔</v>
      </c>
      <c r="S234" s="5" t="s">
        <v>373</v>
      </c>
    </row>
    <row r="235" ht="22.5" customHeight="1">
      <c r="A235" s="4">
        <v>234.0</v>
      </c>
      <c r="B235" s="5" t="s">
        <v>248</v>
      </c>
      <c r="C235" s="5" t="s">
        <v>249</v>
      </c>
      <c r="D235" s="5" t="s">
        <v>250</v>
      </c>
      <c r="E235" s="5" t="s">
        <v>251</v>
      </c>
      <c r="F235" s="5" t="s">
        <v>252</v>
      </c>
      <c r="G235" s="5" t="s">
        <v>250</v>
      </c>
      <c r="H235" s="5" t="s">
        <v>373</v>
      </c>
      <c r="K235" s="2" t="str">
        <f>IFERROR(__xludf.DUMMYFUNCTION("GOOGLETRANSLATE(A235,""en"",""ur"")"),"234")</f>
        <v>234</v>
      </c>
      <c r="L235" s="2" t="str">
        <f>IFERROR(__xludf.DUMMYFUNCTION("GOOGLETRANSLATE(B235,""en"",""ur"")"),"سواروں کی ظاہری باڈی پوزیشن کیا ہے؟")</f>
        <v>سواروں کی ظاہری باڈی پوزیشن کیا ہے؟</v>
      </c>
      <c r="M235" s="2" t="str">
        <f>IFERROR(__xludf.DUMMYFUNCTION("GOOGLETRANSLATE(C235,""en"",""ur"")"),"وہ سیدھے کھڑے ہیں۔")</f>
        <v>وہ سیدھے کھڑے ہیں۔</v>
      </c>
      <c r="N235" s="2" t="str">
        <f>IFERROR(__xludf.DUMMYFUNCTION("GOOGLETRANSLATE(D235,""en"",""ur"")"),"وہ جھک رہے ہیں اور کسی چیز تک پہنچ رہے ہیں۔")</f>
        <v>وہ جھک رہے ہیں اور کسی چیز تک پہنچ رہے ہیں۔</v>
      </c>
      <c r="O235" s="2" t="str">
        <f>IFERROR(__xludf.DUMMYFUNCTION("GOOGLETRANSLATE(E235,""en"",""ur"")"),"وہ گھوڑوں کی پیٹھ پر لیٹے ہوئے ہیں۔")</f>
        <v>وہ گھوڑوں کی پیٹھ پر لیٹے ہوئے ہیں۔</v>
      </c>
      <c r="P235" s="2" t="str">
        <f>IFERROR(__xludf.DUMMYFUNCTION("GOOGLETRANSLATE(F235,""en"",""ur"")"),"وہ آرام سے بیٹھے ہیں۔")</f>
        <v>وہ آرام سے بیٹھے ہیں۔</v>
      </c>
      <c r="Q235" s="2" t="s">
        <v>253</v>
      </c>
      <c r="R235" s="2" t="str">
        <f>IFERROR(__xludf.DUMMYFUNCTION("GOOGLETRANSLATE(G235,""en"",""ur"")"),"وہ جھک رہے ہیں اور کسی چیز تک پہنچ رہے ہیں۔")</f>
        <v>وہ جھک رہے ہیں اور کسی چیز تک پہنچ رہے ہیں۔</v>
      </c>
      <c r="S235" s="5" t="s">
        <v>373</v>
      </c>
    </row>
    <row r="236" ht="22.5" customHeight="1">
      <c r="A236" s="4">
        <v>235.0</v>
      </c>
      <c r="B236" s="5" t="s">
        <v>254</v>
      </c>
      <c r="C236" s="5" t="s">
        <v>47</v>
      </c>
      <c r="D236" s="5" t="s">
        <v>48</v>
      </c>
      <c r="E236" s="5" t="s">
        <v>49</v>
      </c>
      <c r="F236" s="5" t="s">
        <v>50</v>
      </c>
      <c r="G236" s="5" t="s">
        <v>49</v>
      </c>
      <c r="H236" s="5" t="s">
        <v>373</v>
      </c>
      <c r="K236" s="2" t="str">
        <f>IFERROR(__xludf.DUMMYFUNCTION("GOOGLETRANSLATE(A236,""en"",""ur"")"),"235")</f>
        <v>235</v>
      </c>
      <c r="L236" s="2" t="str">
        <f>IFERROR(__xludf.DUMMYFUNCTION("GOOGLETRANSLATE(B236,""en"",""ur"")"),"سواروں کے چہروں سے ظاہری جذبات کیا ہیں؟")</f>
        <v>سواروں کے چہروں سے ظاہری جذبات کیا ہیں؟</v>
      </c>
      <c r="M236" s="2" t="str">
        <f>IFERROR(__xludf.DUMMYFUNCTION("GOOGLETRANSLATE(C236,""en"",""ur"")"),"پرسکون اور پر سکون")</f>
        <v>پرسکون اور پر سکون</v>
      </c>
      <c r="N236" s="2" t="str">
        <f>IFERROR(__xludf.DUMMYFUNCTION("GOOGLETRANSLATE(D236,""en"",""ur"")"),"خوف زدہ اور بے چین")</f>
        <v>خوف زدہ اور بے چین</v>
      </c>
      <c r="O236" s="2" t="str">
        <f>IFERROR(__xludf.DUMMYFUNCTION("GOOGLETRANSLATE(E236,""en"",""ur"")"),"کشیدہ اور شدید")</f>
        <v>کشیدہ اور شدید</v>
      </c>
      <c r="P236" s="2" t="str">
        <f>IFERROR(__xludf.DUMMYFUNCTION("GOOGLETRANSLATE(F236,""en"",""ur"")"),"خوش اور مسکراتے ہوئے۔")</f>
        <v>خوش اور مسکراتے ہوئے۔</v>
      </c>
      <c r="Q236" s="2" t="s">
        <v>51</v>
      </c>
      <c r="R236" s="2" t="str">
        <f>IFERROR(__xludf.DUMMYFUNCTION("GOOGLETRANSLATE(G236,""en"",""ur"")"),"کشیدہ اور شدید")</f>
        <v>کشیدہ اور شدید</v>
      </c>
      <c r="S236" s="5" t="s">
        <v>373</v>
      </c>
    </row>
    <row r="237" ht="22.5" customHeight="1">
      <c r="A237" s="4">
        <v>236.0</v>
      </c>
      <c r="B237" s="5" t="s">
        <v>88</v>
      </c>
      <c r="C237" s="5" t="s">
        <v>89</v>
      </c>
      <c r="D237" s="5" t="s">
        <v>90</v>
      </c>
      <c r="E237" s="5" t="s">
        <v>91</v>
      </c>
      <c r="F237" s="5" t="s">
        <v>255</v>
      </c>
      <c r="G237" s="5" t="s">
        <v>255</v>
      </c>
      <c r="H237" s="5" t="s">
        <v>373</v>
      </c>
      <c r="K237" s="2" t="str">
        <f>IFERROR(__xludf.DUMMYFUNCTION("GOOGLETRANSLATE(A237,""en"",""ur"")"),"236")</f>
        <v>236</v>
      </c>
      <c r="L237" s="2" t="str">
        <f>IFERROR(__xludf.DUMMYFUNCTION("GOOGLETRANSLATE(B237,""en"",""ur"")"),"زمین کی سب سے نمایاں خصوصیت کیا ہے؟")</f>
        <v>زمین کی سب سے نمایاں خصوصیت کیا ہے؟</v>
      </c>
      <c r="M237" s="2" t="str">
        <f>IFERROR(__xludf.DUMMYFUNCTION("GOOGLETRANSLATE(C237,""en"",""ur"")"),"ایک پکی سطح")</f>
        <v>ایک پکی سطح</v>
      </c>
      <c r="N237" s="2" t="str">
        <f>IFERROR(__xludf.DUMMYFUNCTION("GOOGLETRANSLATE(D237,""en"",""ur"")"),"کیچڑ والا میدان")</f>
        <v>کیچڑ والا میدان</v>
      </c>
      <c r="O237" s="2" t="str">
        <f>IFERROR(__xludf.DUMMYFUNCTION("GOOGLETRANSLATE(E237,""en"",""ur"")"),"ایک گھاس دار سطح")</f>
        <v>ایک گھاس دار سطح</v>
      </c>
      <c r="P237" s="2" t="str">
        <f>IFERROR(__xludf.DUMMYFUNCTION("GOOGLETRANSLATE(F237,""en"",""ur"")"),"ریتلی یا گندگی کی سطح")</f>
        <v>ریتلی یا گندگی کی سطح</v>
      </c>
      <c r="Q237" s="2" t="s">
        <v>256</v>
      </c>
      <c r="R237" s="2" t="str">
        <f>IFERROR(__xludf.DUMMYFUNCTION("GOOGLETRANSLATE(G237,""en"",""ur"")"),"ریتلی یا گندگی کی سطح")</f>
        <v>ریتلی یا گندگی کی سطح</v>
      </c>
      <c r="S237" s="5" t="s">
        <v>373</v>
      </c>
    </row>
    <row r="238" ht="22.5" customHeight="1">
      <c r="A238" s="4">
        <v>237.0</v>
      </c>
      <c r="B238" s="5" t="s">
        <v>257</v>
      </c>
      <c r="C238" s="5" t="s">
        <v>95</v>
      </c>
      <c r="D238" s="5" t="s">
        <v>96</v>
      </c>
      <c r="E238" s="5" t="s">
        <v>97</v>
      </c>
      <c r="F238" s="5" t="s">
        <v>258</v>
      </c>
      <c r="G238" s="5" t="s">
        <v>97</v>
      </c>
      <c r="H238" s="5" t="s">
        <v>373</v>
      </c>
      <c r="K238" s="2" t="str">
        <f>IFERROR(__xludf.DUMMYFUNCTION("GOOGLETRANSLATE(A238,""en"",""ur"")"),"237")</f>
        <v>237</v>
      </c>
      <c r="L238" s="2" t="str">
        <f>IFERROR(__xludf.DUMMYFUNCTION("GOOGLETRANSLATE(B238,""en"",""ur"")"),"کھیلے جانے والے کھیل کا نام کیا ہے؟")</f>
        <v>کھیلے جانے والے کھیل کا نام کیا ہے؟</v>
      </c>
      <c r="M238" s="2" t="str">
        <f>IFERROR(__xludf.DUMMYFUNCTION("GOOGLETRANSLATE(C238,""en"",""ur"")"),"پولو")</f>
        <v>پولو</v>
      </c>
      <c r="N238" s="2" t="str">
        <f>IFERROR(__xludf.DUMMYFUNCTION("GOOGLETRANSLATE(D238,""en"",""ur"")"),"گھوڑوں کی دوڑ")</f>
        <v>گھوڑوں کی دوڑ</v>
      </c>
      <c r="O238" s="2" t="str">
        <f>IFERROR(__xludf.DUMMYFUNCTION("GOOGLETRANSLATE(E238,""en"",""ur"")"),"بزکشی۔")</f>
        <v>بزکشی۔</v>
      </c>
      <c r="P238" s="2" t="str">
        <f>IFERROR(__xludf.DUMMYFUNCTION("GOOGLETRANSLATE(F238,""en"",""ur"")"),"گھڑ سواری کے کھیل")</f>
        <v>گھڑ سواری کے کھیل</v>
      </c>
      <c r="Q238" s="2" t="s">
        <v>259</v>
      </c>
      <c r="R238" s="2" t="str">
        <f>IFERROR(__xludf.DUMMYFUNCTION("GOOGLETRANSLATE(G238,""en"",""ur"")"),"بزکشی۔")</f>
        <v>بزکشی۔</v>
      </c>
      <c r="S238" s="5" t="s">
        <v>373</v>
      </c>
    </row>
    <row r="239" ht="22.5" customHeight="1">
      <c r="A239" s="4">
        <v>238.0</v>
      </c>
      <c r="B239" s="5" t="s">
        <v>260</v>
      </c>
      <c r="C239" s="5" t="s">
        <v>261</v>
      </c>
      <c r="D239" s="5" t="s">
        <v>262</v>
      </c>
      <c r="E239" s="5" t="s">
        <v>263</v>
      </c>
      <c r="F239" s="5" t="s">
        <v>264</v>
      </c>
      <c r="G239" s="5" t="s">
        <v>263</v>
      </c>
      <c r="H239" s="5" t="s">
        <v>373</v>
      </c>
      <c r="K239" s="2" t="str">
        <f>IFERROR(__xludf.DUMMYFUNCTION("GOOGLETRANSLATE(A239,""en"",""ur"")"),"238")</f>
        <v>238</v>
      </c>
      <c r="L239" s="2" t="str">
        <f>IFERROR(__xludf.DUMMYFUNCTION("GOOGLETRANSLATE(B239,""en"",""ur"")"),"تصویر میں ایکشن ایک ایسا انداز تجویز کرتا ہے جو اس بات پر زور دیتا ہے...")</f>
        <v>تصویر میں ایکشن ایک ایسا انداز تجویز کرتا ہے جو اس بات پر زور دیتا ہے...</v>
      </c>
      <c r="M239" s="2" t="str">
        <f>IFERROR(__xludf.DUMMYFUNCTION("GOOGLETRANSLATE(C239,""en"",""ur"")"),"روانی اور قلابازیاں")</f>
        <v>روانی اور قلابازیاں</v>
      </c>
      <c r="N239" s="2" t="str">
        <f>IFERROR(__xludf.DUMMYFUNCTION("GOOGLETRANSLATE(D239,""en"",""ur"")"),"زمینی لڑائی اور گرفت")</f>
        <v>زمینی لڑائی اور گرفت</v>
      </c>
      <c r="O239" s="2" t="str">
        <f>IFERROR(__xludf.DUMMYFUNCTION("GOOGLETRANSLATE(E239,""en"",""ur"")"),"وحشیانہ قوت اور گھڑ سواری۔")</f>
        <v>وحشیانہ قوت اور گھڑ سواری۔</v>
      </c>
      <c r="P239" s="2" t="str">
        <f>IFERROR(__xludf.DUMMYFUNCTION("GOOGLETRANSLATE(F239,""en"",""ur"")"),"سادہ، لکیری حرکات")</f>
        <v>سادہ، لکیری حرکات</v>
      </c>
      <c r="Q239" s="2" t="s">
        <v>265</v>
      </c>
      <c r="R239" s="2" t="str">
        <f>IFERROR(__xludf.DUMMYFUNCTION("GOOGLETRANSLATE(G239,""en"",""ur"")"),"وحشیانہ قوت اور گھڑ سواری۔")</f>
        <v>وحشیانہ قوت اور گھڑ سواری۔</v>
      </c>
      <c r="S239" s="5" t="s">
        <v>373</v>
      </c>
    </row>
    <row r="240" ht="22.5" customHeight="1">
      <c r="A240" s="4">
        <v>239.0</v>
      </c>
      <c r="B240" s="5" t="s">
        <v>266</v>
      </c>
      <c r="C240" s="5" t="s">
        <v>59</v>
      </c>
      <c r="D240" s="5" t="s">
        <v>267</v>
      </c>
      <c r="E240" s="5" t="s">
        <v>61</v>
      </c>
      <c r="F240" s="5" t="s">
        <v>268</v>
      </c>
      <c r="G240" s="5" t="s">
        <v>267</v>
      </c>
      <c r="H240" s="5" t="s">
        <v>373</v>
      </c>
      <c r="K240" s="2" t="str">
        <f>IFERROR(__xludf.DUMMYFUNCTION("GOOGLETRANSLATE(A240,""en"",""ur"")"),"239")</f>
        <v>239</v>
      </c>
      <c r="L240" s="2" t="str">
        <f>IFERROR(__xludf.DUMMYFUNCTION("GOOGLETRANSLATE(B240,""en"",""ur"")"),"گھوڑوں کے بارے میں ایک قابل ذکر تفصیل کیا ہے؟")</f>
        <v>گھوڑوں کے بارے میں ایک قابل ذکر تفصیل کیا ہے؟</v>
      </c>
      <c r="M240" s="2" t="str">
        <f>IFERROR(__xludf.DUMMYFUNCTION("GOOGLETRANSLATE(C240,""en"",""ur"")"),"وہ سب ایک ہی رنگ کے ہیں۔")</f>
        <v>وہ سب ایک ہی رنگ کے ہیں۔</v>
      </c>
      <c r="N240" s="2" t="str">
        <f>IFERROR(__xludf.DUMMYFUNCTION("GOOGLETRANSLATE(D240,""en"",""ur"")"),"وہ رنگوں اور نسلوں کا مرکب ہیں۔")</f>
        <v>وہ رنگوں اور نسلوں کا مرکب ہیں۔</v>
      </c>
      <c r="O240" s="2" t="str">
        <f>IFERROR(__xludf.DUMMYFUNCTION("GOOGLETRANSLATE(E240,""en"",""ur"")"),"وہ سب وسیع نمونوں کے ساتھ زین پہنے ہوئے ہیں۔")</f>
        <v>وہ سب وسیع نمونوں کے ساتھ زین پہنے ہوئے ہیں۔</v>
      </c>
      <c r="P240" s="2" t="str">
        <f>IFERROR(__xludf.DUMMYFUNCTION("GOOGLETRANSLATE(F240,""en"",""ur"")"),"وہ سب خاموش کھڑے ہیں۔")</f>
        <v>وہ سب خاموش کھڑے ہیں۔</v>
      </c>
      <c r="Q240" s="2" t="s">
        <v>269</v>
      </c>
      <c r="R240" s="2" t="str">
        <f>IFERROR(__xludf.DUMMYFUNCTION("GOOGLETRANSLATE(G240,""en"",""ur"")"),"وہ رنگوں اور نسلوں کا مرکب ہیں۔")</f>
        <v>وہ رنگوں اور نسلوں کا مرکب ہیں۔</v>
      </c>
      <c r="S240" s="5" t="s">
        <v>373</v>
      </c>
    </row>
    <row r="241" ht="22.5" customHeight="1">
      <c r="A241" s="4">
        <v>240.0</v>
      </c>
      <c r="B241" s="5" t="s">
        <v>270</v>
      </c>
      <c r="C241" s="5" t="s">
        <v>271</v>
      </c>
      <c r="D241" s="5" t="s">
        <v>272</v>
      </c>
      <c r="E241" s="5" t="s">
        <v>273</v>
      </c>
      <c r="F241" s="5" t="s">
        <v>274</v>
      </c>
      <c r="G241" s="5" t="s">
        <v>274</v>
      </c>
      <c r="H241" s="5" t="s">
        <v>373</v>
      </c>
      <c r="K241" s="2" t="str">
        <f>IFERROR(__xludf.DUMMYFUNCTION("GOOGLETRANSLATE(A241,""en"",""ur"")"),"240")</f>
        <v>240</v>
      </c>
      <c r="L241" s="2" t="str">
        <f>IFERROR(__xludf.DUMMYFUNCTION("GOOGLETRANSLATE(B241,""en"",""ur"")"),"مرکز میں سوار کے بارے میں ایک قابل ذکر تفصیل کیا ہے؟")</f>
        <v>مرکز میں سوار کے بارے میں ایک قابل ذکر تفصیل کیا ہے؟</v>
      </c>
      <c r="M241" s="2" t="str">
        <f>IFERROR(__xludf.DUMMYFUNCTION("GOOGLETRANSLATE(C241,""en"",""ur"")"),"وہ اپنے گھوڑے سے گر رہا ہے۔")</f>
        <v>وہ اپنے گھوڑے سے گر رہا ہے۔</v>
      </c>
      <c r="N241" s="2" t="str">
        <f>IFERROR(__xludf.DUMMYFUNCTION("GOOGLETRANSLATE(D241,""en"",""ur"")"),"اس نے بینر اٹھا رکھا ہے۔")</f>
        <v>اس نے بینر اٹھا رکھا ہے۔</v>
      </c>
      <c r="O241" s="2" t="str">
        <f>IFERROR(__xludf.DUMMYFUNCTION("GOOGLETRANSLATE(E241,""en"",""ur"")"),"اس نے رسی پکڑی ہوئی ہے۔")</f>
        <v>اس نے رسی پکڑی ہوئی ہے۔</v>
      </c>
      <c r="P241" s="2" t="str">
        <f>IFERROR(__xludf.DUMMYFUNCTION("GOOGLETRANSLATE(F241,""en"",""ur"")"),"اس نے چھڑی پکڑی ہوئی ہے۔")</f>
        <v>اس نے چھڑی پکڑی ہوئی ہے۔</v>
      </c>
      <c r="Q241" s="2" t="s">
        <v>275</v>
      </c>
      <c r="R241" s="2" t="str">
        <f>IFERROR(__xludf.DUMMYFUNCTION("GOOGLETRANSLATE(G241,""en"",""ur"")"),"اس نے چھڑی پکڑی ہوئی ہے۔")</f>
        <v>اس نے چھڑی پکڑی ہوئی ہے۔</v>
      </c>
      <c r="S241" s="5" t="s">
        <v>373</v>
      </c>
    </row>
    <row r="242" ht="22.5" customHeight="1">
      <c r="A242" s="4">
        <v>241.0</v>
      </c>
      <c r="B242" s="5" t="s">
        <v>374</v>
      </c>
      <c r="C242" s="5" t="s">
        <v>103</v>
      </c>
      <c r="D242" s="5" t="s">
        <v>71</v>
      </c>
      <c r="E242" s="5" t="s">
        <v>72</v>
      </c>
      <c r="F242" s="5" t="s">
        <v>73</v>
      </c>
      <c r="G242" s="5" t="s">
        <v>103</v>
      </c>
      <c r="H242" s="5" t="s">
        <v>375</v>
      </c>
      <c r="K242" s="2" t="str">
        <f>IFERROR(__xludf.DUMMYFUNCTION("GOOGLETRANSLATE(A242,""en"",""ur"")"),"241")</f>
        <v>241</v>
      </c>
      <c r="L242" s="2" t="str">
        <f>IFERROR(__xludf.DUMMYFUNCTION("GOOGLETRANSLATE(B242,""en"",""ur"")"),"buzkashi_72 میں دکھائی جانے والی اہم کارروائی کیا ہے؟")</f>
        <v>buzkashi_72 میں دکھائی جانے والی اہم کارروائی کیا ہے؟</v>
      </c>
      <c r="M242" s="2" t="str">
        <f>IFERROR(__xludf.DUMMYFUNCTION("GOOGLETRANSLATE(C242,""en"",""ur"")"),"آرام سے گھوڑے کی سواری۔")</f>
        <v>آرام سے گھوڑے کی سواری۔</v>
      </c>
      <c r="N242" s="2" t="str">
        <f>IFERROR(__xludf.DUMMYFUNCTION("GOOGLETRANSLATE(D242,""en"",""ur"")"),"سواروں کا ایک گروپ جو مرکزی چیز کے لیے مقابلہ کر رہا ہے۔")</f>
        <v>سواروں کا ایک گروپ جو مرکزی چیز کے لیے مقابلہ کر رہا ہے۔</v>
      </c>
      <c r="O242" s="2" t="str">
        <f>IFERROR(__xludf.DUMMYFUNCTION("GOOGLETRANSLATE(E242,""en"",""ur"")"),"گھوڑوں کی پریڈ")</f>
        <v>گھوڑوں کی پریڈ</v>
      </c>
      <c r="P242" s="2" t="str">
        <f>IFERROR(__xludf.DUMMYFUNCTION("GOOGLETRANSLATE(F242,""en"",""ur"")"),"گھوڑوں کی دوڑ")</f>
        <v>گھوڑوں کی دوڑ</v>
      </c>
      <c r="Q242" s="2" t="s">
        <v>278</v>
      </c>
      <c r="R242" s="2" t="str">
        <f>IFERROR(__xludf.DUMMYFUNCTION("GOOGLETRANSLATE(G242,""en"",""ur"")"),"آرام سے گھوڑے کی سواری۔")</f>
        <v>آرام سے گھوڑے کی سواری۔</v>
      </c>
      <c r="S242" s="5" t="s">
        <v>375</v>
      </c>
    </row>
    <row r="243" ht="22.5" customHeight="1">
      <c r="A243" s="4">
        <v>242.0</v>
      </c>
      <c r="B243" s="5" t="s">
        <v>238</v>
      </c>
      <c r="C243" s="5" t="s">
        <v>239</v>
      </c>
      <c r="D243" s="5" t="s">
        <v>331</v>
      </c>
      <c r="E243" s="5" t="s">
        <v>85</v>
      </c>
      <c r="F243" s="5" t="s">
        <v>240</v>
      </c>
      <c r="G243" s="5" t="s">
        <v>331</v>
      </c>
      <c r="H243" s="5" t="s">
        <v>375</v>
      </c>
      <c r="K243" s="2" t="str">
        <f>IFERROR(__xludf.DUMMYFUNCTION("GOOGLETRANSLATE(A243,""en"",""ur"")"),"242")</f>
        <v>242</v>
      </c>
      <c r="L243" s="2" t="str">
        <f>IFERROR(__xludf.DUMMYFUNCTION("GOOGLETRANSLATE(B243,""en"",""ur"")"),"اس گیم کی ترتیب کے بارے میں ایک قابل ذکر تفصیل کیا ہے؟")</f>
        <v>اس گیم کی ترتیب کے بارے میں ایک قابل ذکر تفصیل کیا ہے؟</v>
      </c>
      <c r="M243" s="2" t="str">
        <f>IFERROR(__xludf.DUMMYFUNCTION("GOOGLETRANSLATE(C243,""en"",""ur"")"),"یہ ایک بڑے اسٹیڈیم میں ہے۔")</f>
        <v>یہ ایک بڑے اسٹیڈیم میں ہے۔</v>
      </c>
      <c r="N243" s="2" t="str">
        <f>IFERROR(__xludf.DUMMYFUNCTION("GOOGLETRANSLATE(D243,""en"",""ur"")"),"یہ ایک ایسے میدان میں ہے جس میں بلیچرز کا ایک بڑا ہجوم ہے۔")</f>
        <v>یہ ایک ایسے میدان میں ہے جس میں بلیچرز کا ایک بڑا ہجوم ہے۔</v>
      </c>
      <c r="O243" s="2" t="str">
        <f>IFERROR(__xludf.DUMMYFUNCTION("GOOGLETRANSLATE(E243,""en"",""ur"")"),"یہ شہر کی سڑک پر ہے۔")</f>
        <v>یہ شہر کی سڑک پر ہے۔</v>
      </c>
      <c r="P243" s="2" t="str">
        <f>IFERROR(__xludf.DUMMYFUNCTION("GOOGLETRANSLATE(F243,""en"",""ur"")"),"یہ ایک پرسکون ساحل سمندر پر ہے۔")</f>
        <v>یہ ایک پرسکون ساحل سمندر پر ہے۔</v>
      </c>
      <c r="Q243" s="2" t="s">
        <v>332</v>
      </c>
      <c r="R243" s="2" t="str">
        <f>IFERROR(__xludf.DUMMYFUNCTION("GOOGLETRANSLATE(G243,""en"",""ur"")"),"یہ ایک ایسے میدان میں ہے جس میں بلیچرز کا ایک بڑا ہجوم ہے۔")</f>
        <v>یہ ایک ایسے میدان میں ہے جس میں بلیچرز کا ایک بڑا ہجوم ہے۔</v>
      </c>
      <c r="S243" s="5" t="s">
        <v>375</v>
      </c>
    </row>
    <row r="244" ht="22.5" customHeight="1">
      <c r="A244" s="4">
        <v>243.0</v>
      </c>
      <c r="B244" s="5" t="s">
        <v>242</v>
      </c>
      <c r="C244" s="5" t="s">
        <v>243</v>
      </c>
      <c r="D244" s="5" t="s">
        <v>292</v>
      </c>
      <c r="E244" s="5" t="s">
        <v>245</v>
      </c>
      <c r="F244" s="5" t="s">
        <v>246</v>
      </c>
      <c r="G244" s="5" t="s">
        <v>292</v>
      </c>
      <c r="H244" s="5" t="s">
        <v>375</v>
      </c>
      <c r="K244" s="2" t="str">
        <f>IFERROR(__xludf.DUMMYFUNCTION("GOOGLETRANSLATE(A244,""en"",""ur"")"),"243")</f>
        <v>243</v>
      </c>
      <c r="L244" s="2" t="str">
        <f>IFERROR(__xludf.DUMMYFUNCTION("GOOGLETRANSLATE(B244,""en"",""ur"")"),"سواروں کے لباس کے بارے میں واضح تفصیل کیا ہے؟")</f>
        <v>سواروں کے لباس کے بارے میں واضح تفصیل کیا ہے؟</v>
      </c>
      <c r="M244" s="2" t="str">
        <f>IFERROR(__xludf.DUMMYFUNCTION("GOOGLETRANSLATE(C244,""en"",""ur"")"),"وہ جدید کھیلوں کی وردی پہنے ہوئے ہیں۔")</f>
        <v>وہ جدید کھیلوں کی وردی پہنے ہوئے ہیں۔</v>
      </c>
      <c r="N244" s="2" t="str">
        <f>IFERROR(__xludf.DUMMYFUNCTION("GOOGLETRANSLATE(D244,""en"",""ur"")"),"وہ روایتی ٹونکس اور سر کے لباس پہنے ہوئے ہیں۔")</f>
        <v>وہ روایتی ٹونکس اور سر کے لباس پہنے ہوئے ہیں۔</v>
      </c>
      <c r="O244" s="2" t="str">
        <f>IFERROR(__xludf.DUMMYFUNCTION("GOOGLETRANSLATE(E244,""en"",""ur"")"),"وہ رسمی سوٹ پہنے ہوئے ہیں۔")</f>
        <v>وہ رسمی سوٹ پہنے ہوئے ہیں۔</v>
      </c>
      <c r="P244" s="2" t="str">
        <f>IFERROR(__xludf.DUMMYFUNCTION("GOOGLETRANSLATE(F244,""en"",""ur"")"),"انہوں نے کوئی لباس نہیں پہنا ہوا ہے۔")</f>
        <v>انہوں نے کوئی لباس نہیں پہنا ہوا ہے۔</v>
      </c>
      <c r="Q244" s="2" t="s">
        <v>293</v>
      </c>
      <c r="R244" s="2" t="str">
        <f>IFERROR(__xludf.DUMMYFUNCTION("GOOGLETRANSLATE(G244,""en"",""ur"")"),"وہ روایتی ٹونکس اور سر کے لباس پہنے ہوئے ہیں۔")</f>
        <v>وہ روایتی ٹونکس اور سر کے لباس پہنے ہوئے ہیں۔</v>
      </c>
      <c r="S244" s="5" t="s">
        <v>375</v>
      </c>
    </row>
    <row r="245" ht="22.5" customHeight="1">
      <c r="A245" s="4">
        <v>244.0</v>
      </c>
      <c r="B245" s="5" t="s">
        <v>248</v>
      </c>
      <c r="C245" s="5" t="s">
        <v>249</v>
      </c>
      <c r="D245" s="5" t="s">
        <v>250</v>
      </c>
      <c r="E245" s="5" t="s">
        <v>251</v>
      </c>
      <c r="F245" s="5" t="s">
        <v>252</v>
      </c>
      <c r="G245" s="5" t="s">
        <v>252</v>
      </c>
      <c r="H245" s="5" t="s">
        <v>375</v>
      </c>
      <c r="K245" s="2" t="str">
        <f>IFERROR(__xludf.DUMMYFUNCTION("GOOGLETRANSLATE(A245,""en"",""ur"")"),"244")</f>
        <v>244</v>
      </c>
      <c r="L245" s="2" t="str">
        <f>IFERROR(__xludf.DUMMYFUNCTION("GOOGLETRANSLATE(B245,""en"",""ur"")"),"سواروں کی ظاہری باڈی پوزیشن کیا ہے؟")</f>
        <v>سواروں کی ظاہری باڈی پوزیشن کیا ہے؟</v>
      </c>
      <c r="M245" s="2" t="str">
        <f>IFERROR(__xludf.DUMMYFUNCTION("GOOGLETRANSLATE(C245,""en"",""ur"")"),"وہ سیدھے کھڑے ہیں۔")</f>
        <v>وہ سیدھے کھڑے ہیں۔</v>
      </c>
      <c r="N245" s="2" t="str">
        <f>IFERROR(__xludf.DUMMYFUNCTION("GOOGLETRANSLATE(D245,""en"",""ur"")"),"وہ جھک رہے ہیں اور کسی چیز تک پہنچ رہے ہیں۔")</f>
        <v>وہ جھک رہے ہیں اور کسی چیز تک پہنچ رہے ہیں۔</v>
      </c>
      <c r="O245" s="2" t="str">
        <f>IFERROR(__xludf.DUMMYFUNCTION("GOOGLETRANSLATE(E245,""en"",""ur"")"),"وہ گھوڑوں کی پیٹھ پر لیٹے ہوئے ہیں۔")</f>
        <v>وہ گھوڑوں کی پیٹھ پر لیٹے ہوئے ہیں۔</v>
      </c>
      <c r="P245" s="2" t="str">
        <f>IFERROR(__xludf.DUMMYFUNCTION("GOOGLETRANSLATE(F245,""en"",""ur"")"),"وہ آرام سے بیٹھے ہیں۔")</f>
        <v>وہ آرام سے بیٹھے ہیں۔</v>
      </c>
      <c r="Q245" s="2" t="s">
        <v>253</v>
      </c>
      <c r="R245" s="2" t="str">
        <f>IFERROR(__xludf.DUMMYFUNCTION("GOOGLETRANSLATE(G245,""en"",""ur"")"),"وہ آرام سے بیٹھے ہیں۔")</f>
        <v>وہ آرام سے بیٹھے ہیں۔</v>
      </c>
      <c r="S245" s="5" t="s">
        <v>375</v>
      </c>
    </row>
    <row r="246" ht="22.5" customHeight="1">
      <c r="A246" s="4">
        <v>245.0</v>
      </c>
      <c r="B246" s="5" t="s">
        <v>254</v>
      </c>
      <c r="C246" s="5" t="s">
        <v>47</v>
      </c>
      <c r="D246" s="5" t="s">
        <v>48</v>
      </c>
      <c r="E246" s="5" t="s">
        <v>49</v>
      </c>
      <c r="F246" s="5" t="s">
        <v>50</v>
      </c>
      <c r="G246" s="5" t="s">
        <v>47</v>
      </c>
      <c r="H246" s="5" t="s">
        <v>375</v>
      </c>
      <c r="K246" s="2" t="str">
        <f>IFERROR(__xludf.DUMMYFUNCTION("GOOGLETRANSLATE(A246,""en"",""ur"")"),"245")</f>
        <v>245</v>
      </c>
      <c r="L246" s="2" t="str">
        <f>IFERROR(__xludf.DUMMYFUNCTION("GOOGLETRANSLATE(B246,""en"",""ur"")"),"سواروں کے چہروں سے ظاہری جذبات کیا ہیں؟")</f>
        <v>سواروں کے چہروں سے ظاہری جذبات کیا ہیں؟</v>
      </c>
      <c r="M246" s="2" t="str">
        <f>IFERROR(__xludf.DUMMYFUNCTION("GOOGLETRANSLATE(C246,""en"",""ur"")"),"پرسکون اور پر سکون")</f>
        <v>پرسکون اور پر سکون</v>
      </c>
      <c r="N246" s="2" t="str">
        <f>IFERROR(__xludf.DUMMYFUNCTION("GOOGLETRANSLATE(D246,""en"",""ur"")"),"خوف زدہ اور بے چین")</f>
        <v>خوف زدہ اور بے چین</v>
      </c>
      <c r="O246" s="2" t="str">
        <f>IFERROR(__xludf.DUMMYFUNCTION("GOOGLETRANSLATE(E246,""en"",""ur"")"),"کشیدہ اور شدید")</f>
        <v>کشیدہ اور شدید</v>
      </c>
      <c r="P246" s="2" t="str">
        <f>IFERROR(__xludf.DUMMYFUNCTION("GOOGLETRANSLATE(F246,""en"",""ur"")"),"خوش اور مسکراتے ہوئے۔")</f>
        <v>خوش اور مسکراتے ہوئے۔</v>
      </c>
      <c r="Q246" s="2" t="s">
        <v>51</v>
      </c>
      <c r="R246" s="2" t="str">
        <f>IFERROR(__xludf.DUMMYFUNCTION("GOOGLETRANSLATE(G246,""en"",""ur"")"),"پرسکون اور پر سکون")</f>
        <v>پرسکون اور پر سکون</v>
      </c>
      <c r="S246" s="5" t="s">
        <v>375</v>
      </c>
    </row>
    <row r="247" ht="22.5" customHeight="1">
      <c r="A247" s="4">
        <v>246.0</v>
      </c>
      <c r="B247" s="5" t="s">
        <v>88</v>
      </c>
      <c r="C247" s="5" t="s">
        <v>89</v>
      </c>
      <c r="D247" s="5" t="s">
        <v>90</v>
      </c>
      <c r="E247" s="5" t="s">
        <v>91</v>
      </c>
      <c r="F247" s="5" t="s">
        <v>255</v>
      </c>
      <c r="G247" s="5" t="s">
        <v>255</v>
      </c>
      <c r="H247" s="5" t="s">
        <v>375</v>
      </c>
      <c r="K247" s="2" t="str">
        <f>IFERROR(__xludf.DUMMYFUNCTION("GOOGLETRANSLATE(A247,""en"",""ur"")"),"246")</f>
        <v>246</v>
      </c>
      <c r="L247" s="2" t="str">
        <f>IFERROR(__xludf.DUMMYFUNCTION("GOOGLETRANSLATE(B247,""en"",""ur"")"),"زمین کی سب سے نمایاں خصوصیت کیا ہے؟")</f>
        <v>زمین کی سب سے نمایاں خصوصیت کیا ہے؟</v>
      </c>
      <c r="M247" s="2" t="str">
        <f>IFERROR(__xludf.DUMMYFUNCTION("GOOGLETRANSLATE(C247,""en"",""ur"")"),"ایک پکی سطح")</f>
        <v>ایک پکی سطح</v>
      </c>
      <c r="N247" s="2" t="str">
        <f>IFERROR(__xludf.DUMMYFUNCTION("GOOGLETRANSLATE(D247,""en"",""ur"")"),"کیچڑ والا میدان")</f>
        <v>کیچڑ والا میدان</v>
      </c>
      <c r="O247" s="2" t="str">
        <f>IFERROR(__xludf.DUMMYFUNCTION("GOOGLETRANSLATE(E247,""en"",""ur"")"),"ایک گھاس دار سطح")</f>
        <v>ایک گھاس دار سطح</v>
      </c>
      <c r="P247" s="2" t="str">
        <f>IFERROR(__xludf.DUMMYFUNCTION("GOOGLETRANSLATE(F247,""en"",""ur"")"),"ریتلی یا گندگی کی سطح")</f>
        <v>ریتلی یا گندگی کی سطح</v>
      </c>
      <c r="Q247" s="2" t="s">
        <v>256</v>
      </c>
      <c r="R247" s="2" t="str">
        <f>IFERROR(__xludf.DUMMYFUNCTION("GOOGLETRANSLATE(G247,""en"",""ur"")"),"ریتلی یا گندگی کی سطح")</f>
        <v>ریتلی یا گندگی کی سطح</v>
      </c>
      <c r="S247" s="5" t="s">
        <v>375</v>
      </c>
    </row>
    <row r="248" ht="22.5" customHeight="1">
      <c r="A248" s="4">
        <v>247.0</v>
      </c>
      <c r="B248" s="5" t="s">
        <v>257</v>
      </c>
      <c r="C248" s="5" t="s">
        <v>95</v>
      </c>
      <c r="D248" s="5" t="s">
        <v>96</v>
      </c>
      <c r="E248" s="5" t="s">
        <v>97</v>
      </c>
      <c r="F248" s="5" t="s">
        <v>258</v>
      </c>
      <c r="G248" s="5" t="s">
        <v>97</v>
      </c>
      <c r="H248" s="5" t="s">
        <v>375</v>
      </c>
      <c r="K248" s="2" t="str">
        <f>IFERROR(__xludf.DUMMYFUNCTION("GOOGLETRANSLATE(A248,""en"",""ur"")"),"247")</f>
        <v>247</v>
      </c>
      <c r="L248" s="2" t="str">
        <f>IFERROR(__xludf.DUMMYFUNCTION("GOOGLETRANSLATE(B248,""en"",""ur"")"),"کھیلے جانے والے کھیل کا نام کیا ہے؟")</f>
        <v>کھیلے جانے والے کھیل کا نام کیا ہے؟</v>
      </c>
      <c r="M248" s="2" t="str">
        <f>IFERROR(__xludf.DUMMYFUNCTION("GOOGLETRANSLATE(C248,""en"",""ur"")"),"پولو")</f>
        <v>پولو</v>
      </c>
      <c r="N248" s="2" t="str">
        <f>IFERROR(__xludf.DUMMYFUNCTION("GOOGLETRANSLATE(D248,""en"",""ur"")"),"گھوڑوں کی دوڑ")</f>
        <v>گھوڑوں کی دوڑ</v>
      </c>
      <c r="O248" s="2" t="str">
        <f>IFERROR(__xludf.DUMMYFUNCTION("GOOGLETRANSLATE(E248,""en"",""ur"")"),"بزکشی۔")</f>
        <v>بزکشی۔</v>
      </c>
      <c r="P248" s="2" t="str">
        <f>IFERROR(__xludf.DUMMYFUNCTION("GOOGLETRANSLATE(F248,""en"",""ur"")"),"گھڑ سواری کے کھیل")</f>
        <v>گھڑ سواری کے کھیل</v>
      </c>
      <c r="Q248" s="2" t="s">
        <v>259</v>
      </c>
      <c r="R248" s="2" t="str">
        <f>IFERROR(__xludf.DUMMYFUNCTION("GOOGLETRANSLATE(G248,""en"",""ur"")"),"بزکشی۔")</f>
        <v>بزکشی۔</v>
      </c>
      <c r="S248" s="5" t="s">
        <v>375</v>
      </c>
    </row>
    <row r="249" ht="22.5" customHeight="1">
      <c r="A249" s="4">
        <v>248.0</v>
      </c>
      <c r="B249" s="5" t="s">
        <v>260</v>
      </c>
      <c r="C249" s="5" t="s">
        <v>261</v>
      </c>
      <c r="D249" s="5" t="s">
        <v>262</v>
      </c>
      <c r="E249" s="5" t="s">
        <v>263</v>
      </c>
      <c r="F249" s="5" t="s">
        <v>264</v>
      </c>
      <c r="G249" s="5" t="s">
        <v>263</v>
      </c>
      <c r="H249" s="5" t="s">
        <v>375</v>
      </c>
      <c r="K249" s="2" t="str">
        <f>IFERROR(__xludf.DUMMYFUNCTION("GOOGLETRANSLATE(A249,""en"",""ur"")"),"248")</f>
        <v>248</v>
      </c>
      <c r="L249" s="2" t="str">
        <f>IFERROR(__xludf.DUMMYFUNCTION("GOOGLETRANSLATE(B249,""en"",""ur"")"),"تصویر میں ایکشن ایک ایسا انداز تجویز کرتا ہے جو اس بات پر زور دیتا ہے...")</f>
        <v>تصویر میں ایکشن ایک ایسا انداز تجویز کرتا ہے جو اس بات پر زور دیتا ہے...</v>
      </c>
      <c r="M249" s="2" t="str">
        <f>IFERROR(__xludf.DUMMYFUNCTION("GOOGLETRANSLATE(C249,""en"",""ur"")"),"روانی اور قلابازیاں")</f>
        <v>روانی اور قلابازیاں</v>
      </c>
      <c r="N249" s="2" t="str">
        <f>IFERROR(__xludf.DUMMYFUNCTION("GOOGLETRANSLATE(D249,""en"",""ur"")"),"زمینی لڑائی اور گرفت")</f>
        <v>زمینی لڑائی اور گرفت</v>
      </c>
      <c r="O249" s="2" t="str">
        <f>IFERROR(__xludf.DUMMYFUNCTION("GOOGLETRANSLATE(E249,""en"",""ur"")"),"وحشیانہ قوت اور گھڑ سواری۔")</f>
        <v>وحشیانہ قوت اور گھڑ سواری۔</v>
      </c>
      <c r="P249" s="2" t="str">
        <f>IFERROR(__xludf.DUMMYFUNCTION("GOOGLETRANSLATE(F249,""en"",""ur"")"),"سادہ، لکیری حرکات")</f>
        <v>سادہ، لکیری حرکات</v>
      </c>
      <c r="Q249" s="2" t="s">
        <v>265</v>
      </c>
      <c r="R249" s="2" t="str">
        <f>IFERROR(__xludf.DUMMYFUNCTION("GOOGLETRANSLATE(G249,""en"",""ur"")"),"وحشیانہ قوت اور گھڑ سواری۔")</f>
        <v>وحشیانہ قوت اور گھڑ سواری۔</v>
      </c>
      <c r="S249" s="5" t="s">
        <v>375</v>
      </c>
    </row>
    <row r="250" ht="22.5" customHeight="1">
      <c r="A250" s="4">
        <v>249.0</v>
      </c>
      <c r="B250" s="5" t="s">
        <v>266</v>
      </c>
      <c r="C250" s="5" t="s">
        <v>59</v>
      </c>
      <c r="D250" s="5" t="s">
        <v>267</v>
      </c>
      <c r="E250" s="5" t="s">
        <v>61</v>
      </c>
      <c r="F250" s="5" t="s">
        <v>268</v>
      </c>
      <c r="G250" s="5" t="s">
        <v>267</v>
      </c>
      <c r="H250" s="5" t="s">
        <v>375</v>
      </c>
      <c r="K250" s="2" t="str">
        <f>IFERROR(__xludf.DUMMYFUNCTION("GOOGLETRANSLATE(A250,""en"",""ur"")"),"249")</f>
        <v>249</v>
      </c>
      <c r="L250" s="2" t="str">
        <f>IFERROR(__xludf.DUMMYFUNCTION("GOOGLETRANSLATE(B250,""en"",""ur"")"),"گھوڑوں کے بارے میں ایک قابل ذکر تفصیل کیا ہے؟")</f>
        <v>گھوڑوں کے بارے میں ایک قابل ذکر تفصیل کیا ہے؟</v>
      </c>
      <c r="M250" s="2" t="str">
        <f>IFERROR(__xludf.DUMMYFUNCTION("GOOGLETRANSLATE(C250,""en"",""ur"")"),"وہ سب ایک ہی رنگ کے ہیں۔")</f>
        <v>وہ سب ایک ہی رنگ کے ہیں۔</v>
      </c>
      <c r="N250" s="2" t="str">
        <f>IFERROR(__xludf.DUMMYFUNCTION("GOOGLETRANSLATE(D250,""en"",""ur"")"),"وہ رنگوں اور نسلوں کا مرکب ہیں۔")</f>
        <v>وہ رنگوں اور نسلوں کا مرکب ہیں۔</v>
      </c>
      <c r="O250" s="2" t="str">
        <f>IFERROR(__xludf.DUMMYFUNCTION("GOOGLETRANSLATE(E250,""en"",""ur"")"),"وہ سب وسیع نمونوں کے ساتھ زین پہنے ہوئے ہیں۔")</f>
        <v>وہ سب وسیع نمونوں کے ساتھ زین پہنے ہوئے ہیں۔</v>
      </c>
      <c r="P250" s="2" t="str">
        <f>IFERROR(__xludf.DUMMYFUNCTION("GOOGLETRANSLATE(F250,""en"",""ur"")"),"وہ سب خاموش کھڑے ہیں۔")</f>
        <v>وہ سب خاموش کھڑے ہیں۔</v>
      </c>
      <c r="Q250" s="2" t="s">
        <v>269</v>
      </c>
      <c r="R250" s="2" t="str">
        <f>IFERROR(__xludf.DUMMYFUNCTION("GOOGLETRANSLATE(G250,""en"",""ur"")"),"وہ رنگوں اور نسلوں کا مرکب ہیں۔")</f>
        <v>وہ رنگوں اور نسلوں کا مرکب ہیں۔</v>
      </c>
      <c r="S250" s="5" t="s">
        <v>375</v>
      </c>
    </row>
    <row r="251" ht="22.5" customHeight="1">
      <c r="A251" s="4">
        <v>250.0</v>
      </c>
      <c r="B251" s="5" t="s">
        <v>270</v>
      </c>
      <c r="C251" s="5" t="s">
        <v>271</v>
      </c>
      <c r="D251" s="5" t="s">
        <v>272</v>
      </c>
      <c r="E251" s="5" t="s">
        <v>273</v>
      </c>
      <c r="F251" s="5" t="s">
        <v>274</v>
      </c>
      <c r="G251" s="5" t="s">
        <v>274</v>
      </c>
      <c r="H251" s="5" t="s">
        <v>375</v>
      </c>
      <c r="K251" s="2" t="str">
        <f>IFERROR(__xludf.DUMMYFUNCTION("GOOGLETRANSLATE(A251,""en"",""ur"")"),"250")</f>
        <v>250</v>
      </c>
      <c r="L251" s="2" t="str">
        <f>IFERROR(__xludf.DUMMYFUNCTION("GOOGLETRANSLATE(B251,""en"",""ur"")"),"مرکز میں سوار کے بارے میں ایک قابل ذکر تفصیل کیا ہے؟")</f>
        <v>مرکز میں سوار کے بارے میں ایک قابل ذکر تفصیل کیا ہے؟</v>
      </c>
      <c r="M251" s="2" t="str">
        <f>IFERROR(__xludf.DUMMYFUNCTION("GOOGLETRANSLATE(C251,""en"",""ur"")"),"وہ اپنے گھوڑے سے گر رہا ہے۔")</f>
        <v>وہ اپنے گھوڑے سے گر رہا ہے۔</v>
      </c>
      <c r="N251" s="2" t="str">
        <f>IFERROR(__xludf.DUMMYFUNCTION("GOOGLETRANSLATE(D251,""en"",""ur"")"),"اس نے بینر اٹھا رکھا ہے۔")</f>
        <v>اس نے بینر اٹھا رکھا ہے۔</v>
      </c>
      <c r="O251" s="2" t="str">
        <f>IFERROR(__xludf.DUMMYFUNCTION("GOOGLETRANSLATE(E251,""en"",""ur"")"),"اس نے رسی پکڑی ہوئی ہے۔")</f>
        <v>اس نے رسی پکڑی ہوئی ہے۔</v>
      </c>
      <c r="P251" s="2" t="str">
        <f>IFERROR(__xludf.DUMMYFUNCTION("GOOGLETRANSLATE(F251,""en"",""ur"")"),"اس نے چھڑی پکڑی ہوئی ہے۔")</f>
        <v>اس نے چھڑی پکڑی ہوئی ہے۔</v>
      </c>
      <c r="Q251" s="2" t="s">
        <v>275</v>
      </c>
      <c r="R251" s="2" t="str">
        <f>IFERROR(__xludf.DUMMYFUNCTION("GOOGLETRANSLATE(G251,""en"",""ur"")"),"اس نے چھڑی پکڑی ہوئی ہے۔")</f>
        <v>اس نے چھڑی پکڑی ہوئی ہے۔</v>
      </c>
      <c r="S251" s="5" t="s">
        <v>375</v>
      </c>
    </row>
    <row r="252" ht="22.5" customHeight="1">
      <c r="A252" s="4">
        <v>251.0</v>
      </c>
      <c r="B252" s="5" t="s">
        <v>376</v>
      </c>
      <c r="C252" s="5" t="s">
        <v>103</v>
      </c>
      <c r="D252" s="5" t="s">
        <v>300</v>
      </c>
      <c r="E252" s="5" t="s">
        <v>72</v>
      </c>
      <c r="F252" s="5" t="s">
        <v>73</v>
      </c>
      <c r="G252" s="5" t="s">
        <v>300</v>
      </c>
      <c r="H252" s="5" t="s">
        <v>377</v>
      </c>
      <c r="K252" s="2" t="str">
        <f>IFERROR(__xludf.DUMMYFUNCTION("GOOGLETRANSLATE(A252,""en"",""ur"")"),"251")</f>
        <v>251</v>
      </c>
      <c r="L252" s="2" t="str">
        <f>IFERROR(__xludf.DUMMYFUNCTION("GOOGLETRANSLATE(B252,""en"",""ur"")"),"buzkashi_63 میں دکھائی جانے والی اہم کارروائی کیا ہے؟")</f>
        <v>buzkashi_63 میں دکھائی جانے والی اہم کارروائی کیا ہے؟</v>
      </c>
      <c r="M252" s="2" t="str">
        <f>IFERROR(__xludf.DUMMYFUNCTION("GOOGLETRANSLATE(C252,""en"",""ur"")"),"آرام سے گھوڑے کی سواری۔")</f>
        <v>آرام سے گھوڑے کی سواری۔</v>
      </c>
      <c r="N252" s="2" t="str">
        <f>IFERROR(__xludf.DUMMYFUNCTION("GOOGLETRANSLATE(D252,""en"",""ur"")"),"تیز رفتاری سے لاش کو لے جانے والا سوار")</f>
        <v>تیز رفتاری سے لاش کو لے جانے والا سوار</v>
      </c>
      <c r="O252" s="2" t="str">
        <f>IFERROR(__xludf.DUMMYFUNCTION("GOOGLETRANSLATE(E252,""en"",""ur"")"),"گھوڑوں کی پریڈ")</f>
        <v>گھوڑوں کی پریڈ</v>
      </c>
      <c r="P252" s="2" t="str">
        <f>IFERROR(__xludf.DUMMYFUNCTION("GOOGLETRANSLATE(F252,""en"",""ur"")"),"گھوڑوں کی دوڑ")</f>
        <v>گھوڑوں کی دوڑ</v>
      </c>
      <c r="Q252" s="2" t="s">
        <v>302</v>
      </c>
      <c r="R252" s="2" t="str">
        <f>IFERROR(__xludf.DUMMYFUNCTION("GOOGLETRANSLATE(G252,""en"",""ur"")"),"تیز رفتاری سے لاش کو لے جانے والا سوار")</f>
        <v>تیز رفتاری سے لاش کو لے جانے والا سوار</v>
      </c>
      <c r="S252" s="5" t="s">
        <v>377</v>
      </c>
    </row>
    <row r="253" ht="22.5" customHeight="1">
      <c r="A253" s="4">
        <v>252.0</v>
      </c>
      <c r="B253" s="5" t="s">
        <v>303</v>
      </c>
      <c r="C253" s="5" t="s">
        <v>284</v>
      </c>
      <c r="D253" s="5" t="s">
        <v>285</v>
      </c>
      <c r="E253" s="5" t="s">
        <v>286</v>
      </c>
      <c r="F253" s="5" t="s">
        <v>287</v>
      </c>
      <c r="G253" s="5" t="s">
        <v>286</v>
      </c>
      <c r="H253" s="5" t="s">
        <v>377</v>
      </c>
      <c r="K253" s="2" t="str">
        <f>IFERROR(__xludf.DUMMYFUNCTION("GOOGLETRANSLATE(A253,""en"",""ur"")"),"252")</f>
        <v>252</v>
      </c>
      <c r="L253" s="2" t="str">
        <f>IFERROR(__xludf.DUMMYFUNCTION("GOOGLETRANSLATE(B253,""en"",""ur"")"),"سوار جس چیز کو لے کر جا رہا ہے اس کے بارے میں ایک قابل ذکر تفصیل کیا ہے؟")</f>
        <v>سوار جس چیز کو لے کر جا رہا ہے اس کے بارے میں ایک قابل ذکر تفصیل کیا ہے؟</v>
      </c>
      <c r="M253" s="2" t="str">
        <f>IFERROR(__xludf.DUMMYFUNCTION("GOOGLETRANSLATE(C253,""en"",""ur"")"),"یہ ایک گیند ہے۔")</f>
        <v>یہ ایک گیند ہے۔</v>
      </c>
      <c r="N253" s="2" t="str">
        <f>IFERROR(__xludf.DUMMYFUNCTION("GOOGLETRANSLATE(D253,""en"",""ur"")"),"یہ ایک جھنڈا ہے۔")</f>
        <v>یہ ایک جھنڈا ہے۔</v>
      </c>
      <c r="O253" s="2" t="str">
        <f>IFERROR(__xludf.DUMMYFUNCTION("GOOGLETRANSLATE(E253,""en"",""ur"")"),"یہ ایک بکری کی لاش ہے۔")</f>
        <v>یہ ایک بکری کی لاش ہے۔</v>
      </c>
      <c r="P253" s="2" t="str">
        <f>IFERROR(__xludf.DUMMYFUNCTION("GOOGLETRANSLATE(F253,""en"",""ur"")"),"یہ ایک رسی ہے۔")</f>
        <v>یہ ایک رسی ہے۔</v>
      </c>
      <c r="Q253" s="2" t="s">
        <v>288</v>
      </c>
      <c r="R253" s="2" t="str">
        <f>IFERROR(__xludf.DUMMYFUNCTION("GOOGLETRANSLATE(G253,""en"",""ur"")"),"یہ ایک بکری کی لاش ہے۔")</f>
        <v>یہ ایک بکری کی لاش ہے۔</v>
      </c>
      <c r="S253" s="5" t="s">
        <v>377</v>
      </c>
    </row>
    <row r="254" ht="22.5" customHeight="1">
      <c r="A254" s="4">
        <v>253.0</v>
      </c>
      <c r="B254" s="5" t="s">
        <v>304</v>
      </c>
      <c r="C254" s="5" t="s">
        <v>305</v>
      </c>
      <c r="D254" s="5" t="s">
        <v>306</v>
      </c>
      <c r="E254" s="5" t="s">
        <v>307</v>
      </c>
      <c r="F254" s="5" t="s">
        <v>308</v>
      </c>
      <c r="G254" s="5" t="s">
        <v>306</v>
      </c>
      <c r="H254" s="5" t="s">
        <v>377</v>
      </c>
      <c r="K254" s="2" t="str">
        <f>IFERROR(__xludf.DUMMYFUNCTION("GOOGLETRANSLATE(A254,""en"",""ur"")"),"253")</f>
        <v>253</v>
      </c>
      <c r="L254" s="2" t="str">
        <f>IFERROR(__xludf.DUMMYFUNCTION("GOOGLETRANSLATE(B254,""en"",""ur"")"),"سوار کے لباس کے بارے میں واضح تفصیل کیا ہے؟")</f>
        <v>سوار کے لباس کے بارے میں واضح تفصیل کیا ہے؟</v>
      </c>
      <c r="M254" s="2" t="str">
        <f>IFERROR(__xludf.DUMMYFUNCTION("GOOGLETRANSLATE(C254,""en"",""ur"")"),"اس نے جدید کھیلوں کا یونیفارم پہن رکھا ہے۔")</f>
        <v>اس نے جدید کھیلوں کا یونیفارم پہن رکھا ہے۔</v>
      </c>
      <c r="N254" s="2" t="str">
        <f>IFERROR(__xludf.DUMMYFUNCTION("GOOGLETRANSLATE(D254,""en"",""ur"")"),"اس نے روایتی ٹونک اور سر کا لباس پہن رکھا ہے۔")</f>
        <v>اس نے روایتی ٹونک اور سر کا لباس پہن رکھا ہے۔</v>
      </c>
      <c r="O254" s="2" t="str">
        <f>IFERROR(__xludf.DUMMYFUNCTION("GOOGLETRANSLATE(E254,""en"",""ur"")"),"اس نے رسمی سوٹ پہن رکھا ہے۔")</f>
        <v>اس نے رسمی سوٹ پہن رکھا ہے۔</v>
      </c>
      <c r="P254" s="2" t="str">
        <f>IFERROR(__xludf.DUMMYFUNCTION("GOOGLETRANSLATE(F254,""en"",""ur"")"),"اس نے کوئی لباس نہیں پہنا ہوا ہے۔")</f>
        <v>اس نے کوئی لباس نہیں پہنا ہوا ہے۔</v>
      </c>
      <c r="Q254" s="2" t="s">
        <v>309</v>
      </c>
      <c r="R254" s="2" t="str">
        <f>IFERROR(__xludf.DUMMYFUNCTION("GOOGLETRANSLATE(G254,""en"",""ur"")"),"اس نے روایتی ٹونک اور سر کا لباس پہن رکھا ہے۔")</f>
        <v>اس نے روایتی ٹونک اور سر کا لباس پہن رکھا ہے۔</v>
      </c>
      <c r="S254" s="5" t="s">
        <v>377</v>
      </c>
    </row>
    <row r="255" ht="22.5" customHeight="1">
      <c r="A255" s="4">
        <v>254.0</v>
      </c>
      <c r="B255" s="5" t="s">
        <v>310</v>
      </c>
      <c r="C255" s="5" t="s">
        <v>311</v>
      </c>
      <c r="D255" s="5" t="s">
        <v>312</v>
      </c>
      <c r="E255" s="5" t="s">
        <v>313</v>
      </c>
      <c r="F255" s="5" t="s">
        <v>314</v>
      </c>
      <c r="G255" s="5" t="s">
        <v>312</v>
      </c>
      <c r="H255" s="5" t="s">
        <v>377</v>
      </c>
      <c r="K255" s="2" t="str">
        <f>IFERROR(__xludf.DUMMYFUNCTION("GOOGLETRANSLATE(A255,""en"",""ur"")"),"254")</f>
        <v>254</v>
      </c>
      <c r="L255" s="2" t="str">
        <f>IFERROR(__xludf.DUMMYFUNCTION("GOOGLETRANSLATE(B255,""en"",""ur"")"),"سوار کی ظاہری باڈی پوزیشن کیا ہے؟")</f>
        <v>سوار کی ظاہری باڈی پوزیشن کیا ہے؟</v>
      </c>
      <c r="M255" s="2" t="str">
        <f>IFERROR(__xludf.DUMMYFUNCTION("GOOGLETRANSLATE(C255,""en"",""ur"")"),"وہ سیدھا کھڑا ہے۔")</f>
        <v>وہ سیدھا کھڑا ہے۔</v>
      </c>
      <c r="N255" s="2" t="str">
        <f>IFERROR(__xludf.DUMMYFUNCTION("GOOGLETRANSLATE(D255,""en"",""ur"")"),"وہ جھک رہا ہے اور کسی چیز تک پہنچ رہا ہے۔")</f>
        <v>وہ جھک رہا ہے اور کسی چیز تک پہنچ رہا ہے۔</v>
      </c>
      <c r="O255" s="2" t="str">
        <f>IFERROR(__xludf.DUMMYFUNCTION("GOOGLETRANSLATE(E255,""en"",""ur"")"),"وہ گھوڑے کی پیٹھ پر لیٹا ہے۔")</f>
        <v>وہ گھوڑے کی پیٹھ پر لیٹا ہے۔</v>
      </c>
      <c r="P255" s="2" t="str">
        <f>IFERROR(__xludf.DUMMYFUNCTION("GOOGLETRANSLATE(F255,""en"",""ur"")"),"وہ آرام سے بیٹھا ہے۔")</f>
        <v>وہ آرام سے بیٹھا ہے۔</v>
      </c>
      <c r="Q255" s="2" t="s">
        <v>315</v>
      </c>
      <c r="R255" s="2" t="str">
        <f>IFERROR(__xludf.DUMMYFUNCTION("GOOGLETRANSLATE(G255,""en"",""ur"")"),"وہ جھک رہا ہے اور کسی چیز تک پہنچ رہا ہے۔")</f>
        <v>وہ جھک رہا ہے اور کسی چیز تک پہنچ رہا ہے۔</v>
      </c>
      <c r="S255" s="5" t="s">
        <v>377</v>
      </c>
    </row>
    <row r="256" ht="22.5" customHeight="1">
      <c r="A256" s="4">
        <v>255.0</v>
      </c>
      <c r="B256" s="5" t="s">
        <v>316</v>
      </c>
      <c r="C256" s="5" t="s">
        <v>47</v>
      </c>
      <c r="D256" s="5" t="s">
        <v>48</v>
      </c>
      <c r="E256" s="5" t="s">
        <v>49</v>
      </c>
      <c r="F256" s="5" t="s">
        <v>50</v>
      </c>
      <c r="G256" s="5" t="s">
        <v>49</v>
      </c>
      <c r="H256" s="5" t="s">
        <v>377</v>
      </c>
      <c r="K256" s="2" t="str">
        <f>IFERROR(__xludf.DUMMYFUNCTION("GOOGLETRANSLATE(A256,""en"",""ur"")"),"255")</f>
        <v>255</v>
      </c>
      <c r="L256" s="2" t="str">
        <f>IFERROR(__xludf.DUMMYFUNCTION("GOOGLETRANSLATE(B256,""en"",""ur"")"),"سوار کے چہرے سے ظاہری جذبات کیا ہیں؟")</f>
        <v>سوار کے چہرے سے ظاہری جذبات کیا ہیں؟</v>
      </c>
      <c r="M256" s="2" t="str">
        <f>IFERROR(__xludf.DUMMYFUNCTION("GOOGLETRANSLATE(C256,""en"",""ur"")"),"پرسکون اور پر سکون")</f>
        <v>پرسکون اور پر سکون</v>
      </c>
      <c r="N256" s="2" t="str">
        <f>IFERROR(__xludf.DUMMYFUNCTION("GOOGLETRANSLATE(D256,""en"",""ur"")"),"خوف زدہ اور بے چین")</f>
        <v>خوف زدہ اور بے چین</v>
      </c>
      <c r="O256" s="2" t="str">
        <f>IFERROR(__xludf.DUMMYFUNCTION("GOOGLETRANSLATE(E256,""en"",""ur"")"),"کشیدہ اور شدید")</f>
        <v>کشیدہ اور شدید</v>
      </c>
      <c r="P256" s="2" t="str">
        <f>IFERROR(__xludf.DUMMYFUNCTION("GOOGLETRANSLATE(F256,""en"",""ur"")"),"خوش اور مسکراتے ہوئے۔")</f>
        <v>خوش اور مسکراتے ہوئے۔</v>
      </c>
      <c r="Q256" s="2" t="s">
        <v>51</v>
      </c>
      <c r="R256" s="2" t="str">
        <f>IFERROR(__xludf.DUMMYFUNCTION("GOOGLETRANSLATE(G256,""en"",""ur"")"),"کشیدہ اور شدید")</f>
        <v>کشیدہ اور شدید</v>
      </c>
      <c r="S256" s="5" t="s">
        <v>377</v>
      </c>
    </row>
    <row r="257" ht="22.5" customHeight="1">
      <c r="A257" s="4">
        <v>256.0</v>
      </c>
      <c r="B257" s="5" t="s">
        <v>88</v>
      </c>
      <c r="C257" s="5" t="s">
        <v>89</v>
      </c>
      <c r="D257" s="5" t="s">
        <v>90</v>
      </c>
      <c r="E257" s="5" t="s">
        <v>91</v>
      </c>
      <c r="F257" s="5" t="s">
        <v>255</v>
      </c>
      <c r="G257" s="5" t="s">
        <v>91</v>
      </c>
      <c r="H257" s="5" t="s">
        <v>377</v>
      </c>
      <c r="K257" s="2" t="str">
        <f>IFERROR(__xludf.DUMMYFUNCTION("GOOGLETRANSLATE(A257,""en"",""ur"")"),"256")</f>
        <v>256</v>
      </c>
      <c r="L257" s="2" t="str">
        <f>IFERROR(__xludf.DUMMYFUNCTION("GOOGLETRANSLATE(B257,""en"",""ur"")"),"زمین کی سب سے نمایاں خصوصیت کیا ہے؟")</f>
        <v>زمین کی سب سے نمایاں خصوصیت کیا ہے؟</v>
      </c>
      <c r="M257" s="2" t="str">
        <f>IFERROR(__xludf.DUMMYFUNCTION("GOOGLETRANSLATE(C257,""en"",""ur"")"),"ایک پکی سطح")</f>
        <v>ایک پکی سطح</v>
      </c>
      <c r="N257" s="2" t="str">
        <f>IFERROR(__xludf.DUMMYFUNCTION("GOOGLETRANSLATE(D257,""en"",""ur"")"),"کیچڑ والا میدان")</f>
        <v>کیچڑ والا میدان</v>
      </c>
      <c r="O257" s="2" t="str">
        <f>IFERROR(__xludf.DUMMYFUNCTION("GOOGLETRANSLATE(E257,""en"",""ur"")"),"ایک گھاس دار سطح")</f>
        <v>ایک گھاس دار سطح</v>
      </c>
      <c r="P257" s="2" t="str">
        <f>IFERROR(__xludf.DUMMYFUNCTION("GOOGLETRANSLATE(F257,""en"",""ur"")"),"ریتلی یا گندگی کی سطح")</f>
        <v>ریتلی یا گندگی کی سطح</v>
      </c>
      <c r="Q257" s="2" t="s">
        <v>256</v>
      </c>
      <c r="R257" s="2" t="str">
        <f>IFERROR(__xludf.DUMMYFUNCTION("GOOGLETRANSLATE(G257,""en"",""ur"")"),"ایک گھاس دار سطح")</f>
        <v>ایک گھاس دار سطح</v>
      </c>
      <c r="S257" s="5" t="s">
        <v>377</v>
      </c>
    </row>
    <row r="258" ht="22.5" customHeight="1">
      <c r="A258" s="4">
        <v>257.0</v>
      </c>
      <c r="B258" s="5" t="s">
        <v>257</v>
      </c>
      <c r="C258" s="5" t="s">
        <v>95</v>
      </c>
      <c r="D258" s="5" t="s">
        <v>96</v>
      </c>
      <c r="E258" s="5" t="s">
        <v>97</v>
      </c>
      <c r="F258" s="5" t="s">
        <v>258</v>
      </c>
      <c r="G258" s="5" t="s">
        <v>97</v>
      </c>
      <c r="H258" s="5" t="s">
        <v>377</v>
      </c>
      <c r="K258" s="2" t="str">
        <f>IFERROR(__xludf.DUMMYFUNCTION("GOOGLETRANSLATE(A258,""en"",""ur"")"),"257")</f>
        <v>257</v>
      </c>
      <c r="L258" s="2" t="str">
        <f>IFERROR(__xludf.DUMMYFUNCTION("GOOGLETRANSLATE(B258,""en"",""ur"")"),"کھیلے جانے والے کھیل کا نام کیا ہے؟")</f>
        <v>کھیلے جانے والے کھیل کا نام کیا ہے؟</v>
      </c>
      <c r="M258" s="2" t="str">
        <f>IFERROR(__xludf.DUMMYFUNCTION("GOOGLETRANSLATE(C258,""en"",""ur"")"),"پولو")</f>
        <v>پولو</v>
      </c>
      <c r="N258" s="2" t="str">
        <f>IFERROR(__xludf.DUMMYFUNCTION("GOOGLETRANSLATE(D258,""en"",""ur"")"),"گھوڑوں کی دوڑ")</f>
        <v>گھوڑوں کی دوڑ</v>
      </c>
      <c r="O258" s="2" t="str">
        <f>IFERROR(__xludf.DUMMYFUNCTION("GOOGLETRANSLATE(E258,""en"",""ur"")"),"بزکشی۔")</f>
        <v>بزکشی۔</v>
      </c>
      <c r="P258" s="2" t="str">
        <f>IFERROR(__xludf.DUMMYFUNCTION("GOOGLETRANSLATE(F258,""en"",""ur"")"),"گھڑ سواری کے کھیل")</f>
        <v>گھڑ سواری کے کھیل</v>
      </c>
      <c r="Q258" s="2" t="s">
        <v>259</v>
      </c>
      <c r="R258" s="2" t="str">
        <f>IFERROR(__xludf.DUMMYFUNCTION("GOOGLETRANSLATE(G258,""en"",""ur"")"),"بزکشی۔")</f>
        <v>بزکشی۔</v>
      </c>
      <c r="S258" s="5" t="s">
        <v>377</v>
      </c>
    </row>
    <row r="259" ht="22.5" customHeight="1">
      <c r="A259" s="4">
        <v>258.0</v>
      </c>
      <c r="B259" s="5" t="s">
        <v>260</v>
      </c>
      <c r="C259" s="5" t="s">
        <v>261</v>
      </c>
      <c r="D259" s="5" t="s">
        <v>262</v>
      </c>
      <c r="E259" s="5" t="s">
        <v>263</v>
      </c>
      <c r="F259" s="5" t="s">
        <v>264</v>
      </c>
      <c r="G259" s="5" t="s">
        <v>263</v>
      </c>
      <c r="H259" s="5" t="s">
        <v>377</v>
      </c>
      <c r="K259" s="2" t="str">
        <f>IFERROR(__xludf.DUMMYFUNCTION("GOOGLETRANSLATE(A259,""en"",""ur"")"),"258")</f>
        <v>258</v>
      </c>
      <c r="L259" s="2" t="str">
        <f>IFERROR(__xludf.DUMMYFUNCTION("GOOGLETRANSLATE(B259,""en"",""ur"")"),"تصویر میں ایکشن ایک ایسا انداز تجویز کرتا ہے جو اس بات پر زور دیتا ہے...")</f>
        <v>تصویر میں ایکشن ایک ایسا انداز تجویز کرتا ہے جو اس بات پر زور دیتا ہے...</v>
      </c>
      <c r="M259" s="2" t="str">
        <f>IFERROR(__xludf.DUMMYFUNCTION("GOOGLETRANSLATE(C259,""en"",""ur"")"),"روانی اور قلابازیاں")</f>
        <v>روانی اور قلابازیاں</v>
      </c>
      <c r="N259" s="2" t="str">
        <f>IFERROR(__xludf.DUMMYFUNCTION("GOOGLETRANSLATE(D259,""en"",""ur"")"),"زمینی لڑائی اور گرفت")</f>
        <v>زمینی لڑائی اور گرفت</v>
      </c>
      <c r="O259" s="2" t="str">
        <f>IFERROR(__xludf.DUMMYFUNCTION("GOOGLETRANSLATE(E259,""en"",""ur"")"),"وحشیانہ قوت اور گھڑ سواری۔")</f>
        <v>وحشیانہ قوت اور گھڑ سواری۔</v>
      </c>
      <c r="P259" s="2" t="str">
        <f>IFERROR(__xludf.DUMMYFUNCTION("GOOGLETRANSLATE(F259,""en"",""ur"")"),"سادہ، لکیری حرکات")</f>
        <v>سادہ، لکیری حرکات</v>
      </c>
      <c r="Q259" s="2" t="s">
        <v>265</v>
      </c>
      <c r="R259" s="2" t="str">
        <f>IFERROR(__xludf.DUMMYFUNCTION("GOOGLETRANSLATE(G259,""en"",""ur"")"),"وحشیانہ قوت اور گھڑ سواری۔")</f>
        <v>وحشیانہ قوت اور گھڑ سواری۔</v>
      </c>
      <c r="S259" s="5" t="s">
        <v>377</v>
      </c>
    </row>
    <row r="260" ht="22.5" customHeight="1">
      <c r="A260" s="4">
        <v>259.0</v>
      </c>
      <c r="B260" s="5" t="s">
        <v>317</v>
      </c>
      <c r="C260" s="5" t="s">
        <v>136</v>
      </c>
      <c r="D260" s="5" t="s">
        <v>318</v>
      </c>
      <c r="E260" s="5" t="s">
        <v>319</v>
      </c>
      <c r="F260" s="5" t="s">
        <v>320</v>
      </c>
      <c r="G260" s="5" t="s">
        <v>318</v>
      </c>
      <c r="H260" s="5" t="s">
        <v>377</v>
      </c>
      <c r="K260" s="2" t="str">
        <f>IFERROR(__xludf.DUMMYFUNCTION("GOOGLETRANSLATE(A260,""en"",""ur"")"),"259")</f>
        <v>259</v>
      </c>
      <c r="L260" s="2" t="str">
        <f>IFERROR(__xludf.DUMMYFUNCTION("GOOGLETRANSLATE(B260,""en"",""ur"")"),"گھوڑے کے بارے میں ایک قابل ذکر تفصیل کیا ہے؟")</f>
        <v>گھوڑے کے بارے میں ایک قابل ذکر تفصیل کیا ہے؟</v>
      </c>
      <c r="M260" s="2" t="str">
        <f>IFERROR(__xludf.DUMMYFUNCTION("GOOGLETRANSLATE(C260,""en"",""ur"")"),"یہ سب ایک ہی رنگ کا ہے۔")</f>
        <v>یہ سب ایک ہی رنگ کا ہے۔</v>
      </c>
      <c r="N260" s="2" t="str">
        <f>IFERROR(__xludf.DUMMYFUNCTION("GOOGLETRANSLATE(D260,""en"",""ur"")"),"یہ رنگوں اور نسلوں کا مرکب ہے۔")</f>
        <v>یہ رنگوں اور نسلوں کا مرکب ہے۔</v>
      </c>
      <c r="O260" s="2" t="str">
        <f>IFERROR(__xludf.DUMMYFUNCTION("GOOGLETRANSLATE(E260,""en"",""ur"")"),"یہ ایک وسیع پیٹرن کے ساتھ ایک زین پہنے ہوئے ہے۔")</f>
        <v>یہ ایک وسیع پیٹرن کے ساتھ ایک زین پہنے ہوئے ہے۔</v>
      </c>
      <c r="P260" s="2" t="str">
        <f>IFERROR(__xludf.DUMMYFUNCTION("GOOGLETRANSLATE(F260,""en"",""ur"")"),"یہ ساکت کھڑا ہے۔")</f>
        <v>یہ ساکت کھڑا ہے۔</v>
      </c>
      <c r="Q260" s="2" t="s">
        <v>321</v>
      </c>
      <c r="R260" s="2" t="str">
        <f>IFERROR(__xludf.DUMMYFUNCTION("GOOGLETRANSLATE(G260,""en"",""ur"")"),"یہ رنگوں اور نسلوں کا مرکب ہے۔")</f>
        <v>یہ رنگوں اور نسلوں کا مرکب ہے۔</v>
      </c>
      <c r="S260" s="5" t="s">
        <v>377</v>
      </c>
    </row>
    <row r="261" ht="22.5" customHeight="1">
      <c r="A261" s="4">
        <v>260.0</v>
      </c>
      <c r="B261" s="5" t="s">
        <v>322</v>
      </c>
      <c r="C261" s="5" t="s">
        <v>297</v>
      </c>
      <c r="D261" s="5" t="s">
        <v>272</v>
      </c>
      <c r="E261" s="5" t="s">
        <v>273</v>
      </c>
      <c r="F261" s="5" t="s">
        <v>274</v>
      </c>
      <c r="G261" s="5" t="s">
        <v>274</v>
      </c>
      <c r="H261" s="5" t="s">
        <v>377</v>
      </c>
      <c r="K261" s="2" t="str">
        <f>IFERROR(__xludf.DUMMYFUNCTION("GOOGLETRANSLATE(A261,""en"",""ur"")"),"260")</f>
        <v>260</v>
      </c>
      <c r="L261" s="2" t="str">
        <f>IFERROR(__xludf.DUMMYFUNCTION("GOOGLETRANSLATE(B261,""en"",""ur"")"),"سوار کے بارے میں ایک قابل ذکر تفصیل کیا ہے؟")</f>
        <v>سوار کے بارے میں ایک قابل ذکر تفصیل کیا ہے؟</v>
      </c>
      <c r="M261" s="2" t="str">
        <f>IFERROR(__xludf.DUMMYFUNCTION("GOOGLETRANSLATE(C261,""en"",""ur"")"),"اس نے ایک کوڑا پکڑ رکھا ہے۔")</f>
        <v>اس نے ایک کوڑا پکڑ رکھا ہے۔</v>
      </c>
      <c r="N261" s="2" t="str">
        <f>IFERROR(__xludf.DUMMYFUNCTION("GOOGLETRANSLATE(D261,""en"",""ur"")"),"اس نے بینر اٹھا رکھا ہے۔")</f>
        <v>اس نے بینر اٹھا رکھا ہے۔</v>
      </c>
      <c r="O261" s="2" t="str">
        <f>IFERROR(__xludf.DUMMYFUNCTION("GOOGLETRANSLATE(E261,""en"",""ur"")"),"اس نے رسی پکڑی ہوئی ہے۔")</f>
        <v>اس نے رسی پکڑی ہوئی ہے۔</v>
      </c>
      <c r="P261" s="2" t="str">
        <f>IFERROR(__xludf.DUMMYFUNCTION("GOOGLETRANSLATE(F261,""en"",""ur"")"),"اس نے چھڑی پکڑی ہوئی ہے۔")</f>
        <v>اس نے چھڑی پکڑی ہوئی ہے۔</v>
      </c>
      <c r="Q261" s="2" t="s">
        <v>298</v>
      </c>
      <c r="R261" s="2" t="str">
        <f>IFERROR(__xludf.DUMMYFUNCTION("GOOGLETRANSLATE(G261,""en"",""ur"")"),"اس نے چھڑی پکڑی ہوئی ہے۔")</f>
        <v>اس نے چھڑی پکڑی ہوئی ہے۔</v>
      </c>
      <c r="S261" s="5" t="s">
        <v>377</v>
      </c>
    </row>
    <row r="262" ht="22.5" customHeight="1">
      <c r="A262" s="4">
        <v>261.0</v>
      </c>
      <c r="B262" s="5" t="s">
        <v>378</v>
      </c>
      <c r="C262" s="5" t="s">
        <v>103</v>
      </c>
      <c r="D262" s="5" t="s">
        <v>71</v>
      </c>
      <c r="E262" s="5" t="s">
        <v>72</v>
      </c>
      <c r="F262" s="5" t="s">
        <v>73</v>
      </c>
      <c r="G262" s="5" t="s">
        <v>71</v>
      </c>
      <c r="H262" s="5" t="s">
        <v>379</v>
      </c>
      <c r="K262" s="2" t="str">
        <f>IFERROR(__xludf.DUMMYFUNCTION("GOOGLETRANSLATE(A262,""en"",""ur"")"),"261")</f>
        <v>261</v>
      </c>
      <c r="L262" s="2" t="str">
        <f>IFERROR(__xludf.DUMMYFUNCTION("GOOGLETRANSLATE(B262,""en"",""ur"")"),"buzkashi_58 میں دکھائی جانے والی اہم کارروائی کیا ہے؟")</f>
        <v>buzkashi_58 میں دکھائی جانے والی اہم کارروائی کیا ہے؟</v>
      </c>
      <c r="M262" s="2" t="str">
        <f>IFERROR(__xludf.DUMMYFUNCTION("GOOGLETRANSLATE(C262,""en"",""ur"")"),"آرام سے گھوڑے کی سواری۔")</f>
        <v>آرام سے گھوڑے کی سواری۔</v>
      </c>
      <c r="N262" s="2" t="str">
        <f>IFERROR(__xludf.DUMMYFUNCTION("GOOGLETRANSLATE(D262,""en"",""ur"")"),"سواروں کا ایک گروپ جو مرکزی چیز کے لیے مقابلہ کر رہا ہے۔")</f>
        <v>سواروں کا ایک گروپ جو مرکزی چیز کے لیے مقابلہ کر رہا ہے۔</v>
      </c>
      <c r="O262" s="2" t="str">
        <f>IFERROR(__xludf.DUMMYFUNCTION("GOOGLETRANSLATE(E262,""en"",""ur"")"),"گھوڑوں کی پریڈ")</f>
        <v>گھوڑوں کی پریڈ</v>
      </c>
      <c r="P262" s="2" t="str">
        <f>IFERROR(__xludf.DUMMYFUNCTION("GOOGLETRANSLATE(F262,""en"",""ur"")"),"گھوڑوں کی دوڑ")</f>
        <v>گھوڑوں کی دوڑ</v>
      </c>
      <c r="Q262" s="2" t="s">
        <v>278</v>
      </c>
      <c r="R262" s="2" t="str">
        <f>IFERROR(__xludf.DUMMYFUNCTION("GOOGLETRANSLATE(G262,""en"",""ur"")"),"سواروں کا ایک گروپ جو مرکزی چیز کے لیے مقابلہ کر رہا ہے۔")</f>
        <v>سواروں کا ایک گروپ جو مرکزی چیز کے لیے مقابلہ کر رہا ہے۔</v>
      </c>
      <c r="S262" s="5" t="s">
        <v>379</v>
      </c>
    </row>
    <row r="263" ht="22.5" customHeight="1">
      <c r="A263" s="4">
        <v>262.0</v>
      </c>
      <c r="B263" s="5" t="s">
        <v>348</v>
      </c>
      <c r="C263" s="5" t="s">
        <v>284</v>
      </c>
      <c r="D263" s="5" t="s">
        <v>285</v>
      </c>
      <c r="E263" s="5" t="s">
        <v>286</v>
      </c>
      <c r="F263" s="5" t="s">
        <v>287</v>
      </c>
      <c r="G263" s="5" t="s">
        <v>286</v>
      </c>
      <c r="H263" s="5" t="s">
        <v>379</v>
      </c>
      <c r="K263" s="2" t="str">
        <f>IFERROR(__xludf.DUMMYFUNCTION("GOOGLETRANSLATE(A263,""en"",""ur"")"),"262")</f>
        <v>262</v>
      </c>
      <c r="L263" s="2" t="str">
        <f>IFERROR(__xludf.DUMMYFUNCTION("GOOGLETRANSLATE(B263,""en"",""ur"")"),"سوار جس چیز کا مقابلہ کر رہے ہیں اس کے بارے میں ایک قابل ذکر تفصیل کیا ہے؟")</f>
        <v>سوار جس چیز کا مقابلہ کر رہے ہیں اس کے بارے میں ایک قابل ذکر تفصیل کیا ہے؟</v>
      </c>
      <c r="M263" s="2" t="str">
        <f>IFERROR(__xludf.DUMMYFUNCTION("GOOGLETRANSLATE(C263,""en"",""ur"")"),"یہ ایک گیند ہے۔")</f>
        <v>یہ ایک گیند ہے۔</v>
      </c>
      <c r="N263" s="2" t="str">
        <f>IFERROR(__xludf.DUMMYFUNCTION("GOOGLETRANSLATE(D263,""en"",""ur"")"),"یہ ایک جھنڈا ہے۔")</f>
        <v>یہ ایک جھنڈا ہے۔</v>
      </c>
      <c r="O263" s="2" t="str">
        <f>IFERROR(__xludf.DUMMYFUNCTION("GOOGLETRANSLATE(E263,""en"",""ur"")"),"یہ ایک بکری کی لاش ہے۔")</f>
        <v>یہ ایک بکری کی لاش ہے۔</v>
      </c>
      <c r="P263" s="2" t="str">
        <f>IFERROR(__xludf.DUMMYFUNCTION("GOOGLETRANSLATE(F263,""en"",""ur"")"),"یہ ایک رسی ہے۔")</f>
        <v>یہ ایک رسی ہے۔</v>
      </c>
      <c r="Q263" s="2" t="s">
        <v>288</v>
      </c>
      <c r="R263" s="2" t="str">
        <f>IFERROR(__xludf.DUMMYFUNCTION("GOOGLETRANSLATE(G263,""en"",""ur"")"),"یہ ایک بکری کی لاش ہے۔")</f>
        <v>یہ ایک بکری کی لاش ہے۔</v>
      </c>
      <c r="S263" s="5" t="s">
        <v>379</v>
      </c>
    </row>
    <row r="264" ht="22.5" customHeight="1">
      <c r="A264" s="4">
        <v>263.0</v>
      </c>
      <c r="B264" s="5" t="s">
        <v>242</v>
      </c>
      <c r="C264" s="5" t="s">
        <v>243</v>
      </c>
      <c r="D264" s="5" t="s">
        <v>292</v>
      </c>
      <c r="E264" s="5" t="s">
        <v>245</v>
      </c>
      <c r="F264" s="5" t="s">
        <v>246</v>
      </c>
      <c r="G264" s="5" t="s">
        <v>292</v>
      </c>
      <c r="H264" s="5" t="s">
        <v>379</v>
      </c>
      <c r="K264" s="2" t="str">
        <f>IFERROR(__xludf.DUMMYFUNCTION("GOOGLETRANSLATE(A264,""en"",""ur"")"),"263")</f>
        <v>263</v>
      </c>
      <c r="L264" s="2" t="str">
        <f>IFERROR(__xludf.DUMMYFUNCTION("GOOGLETRANSLATE(B264,""en"",""ur"")"),"سواروں کے لباس کے بارے میں واضح تفصیل کیا ہے؟")</f>
        <v>سواروں کے لباس کے بارے میں واضح تفصیل کیا ہے؟</v>
      </c>
      <c r="M264" s="2" t="str">
        <f>IFERROR(__xludf.DUMMYFUNCTION("GOOGLETRANSLATE(C264,""en"",""ur"")"),"وہ جدید کھیلوں کی وردی پہنے ہوئے ہیں۔")</f>
        <v>وہ جدید کھیلوں کی وردی پہنے ہوئے ہیں۔</v>
      </c>
      <c r="N264" s="2" t="str">
        <f>IFERROR(__xludf.DUMMYFUNCTION("GOOGLETRANSLATE(D264,""en"",""ur"")"),"وہ روایتی ٹونکس اور سر کے لباس پہنے ہوئے ہیں۔")</f>
        <v>وہ روایتی ٹونکس اور سر کے لباس پہنے ہوئے ہیں۔</v>
      </c>
      <c r="O264" s="2" t="str">
        <f>IFERROR(__xludf.DUMMYFUNCTION("GOOGLETRANSLATE(E264,""en"",""ur"")"),"وہ رسمی سوٹ پہنے ہوئے ہیں۔")</f>
        <v>وہ رسمی سوٹ پہنے ہوئے ہیں۔</v>
      </c>
      <c r="P264" s="2" t="str">
        <f>IFERROR(__xludf.DUMMYFUNCTION("GOOGLETRANSLATE(F264,""en"",""ur"")"),"انہوں نے کوئی لباس نہیں پہنا ہوا ہے۔")</f>
        <v>انہوں نے کوئی لباس نہیں پہنا ہوا ہے۔</v>
      </c>
      <c r="Q264" s="2" t="s">
        <v>293</v>
      </c>
      <c r="R264" s="2" t="str">
        <f>IFERROR(__xludf.DUMMYFUNCTION("GOOGLETRANSLATE(G264,""en"",""ur"")"),"وہ روایتی ٹونکس اور سر کے لباس پہنے ہوئے ہیں۔")</f>
        <v>وہ روایتی ٹونکس اور سر کے لباس پہنے ہوئے ہیں۔</v>
      </c>
      <c r="S264" s="5" t="s">
        <v>379</v>
      </c>
    </row>
    <row r="265" ht="22.5" customHeight="1">
      <c r="A265" s="4">
        <v>264.0</v>
      </c>
      <c r="B265" s="5" t="s">
        <v>248</v>
      </c>
      <c r="C265" s="5" t="s">
        <v>249</v>
      </c>
      <c r="D265" s="5" t="s">
        <v>250</v>
      </c>
      <c r="E265" s="5" t="s">
        <v>251</v>
      </c>
      <c r="F265" s="5" t="s">
        <v>252</v>
      </c>
      <c r="G265" s="5" t="s">
        <v>250</v>
      </c>
      <c r="H265" s="5" t="s">
        <v>379</v>
      </c>
      <c r="K265" s="2" t="str">
        <f>IFERROR(__xludf.DUMMYFUNCTION("GOOGLETRANSLATE(A265,""en"",""ur"")"),"264")</f>
        <v>264</v>
      </c>
      <c r="L265" s="2" t="str">
        <f>IFERROR(__xludf.DUMMYFUNCTION("GOOGLETRANSLATE(B265,""en"",""ur"")"),"سواروں کی ظاہری باڈی پوزیشن کیا ہے؟")</f>
        <v>سواروں کی ظاہری باڈی پوزیشن کیا ہے؟</v>
      </c>
      <c r="M265" s="2" t="str">
        <f>IFERROR(__xludf.DUMMYFUNCTION("GOOGLETRANSLATE(C265,""en"",""ur"")"),"وہ سیدھے کھڑے ہیں۔")</f>
        <v>وہ سیدھے کھڑے ہیں۔</v>
      </c>
      <c r="N265" s="2" t="str">
        <f>IFERROR(__xludf.DUMMYFUNCTION("GOOGLETRANSLATE(D265,""en"",""ur"")"),"وہ جھک رہے ہیں اور کسی چیز تک پہنچ رہے ہیں۔")</f>
        <v>وہ جھک رہے ہیں اور کسی چیز تک پہنچ رہے ہیں۔</v>
      </c>
      <c r="O265" s="2" t="str">
        <f>IFERROR(__xludf.DUMMYFUNCTION("GOOGLETRANSLATE(E265,""en"",""ur"")"),"وہ گھوڑوں کی پیٹھ پر لیٹے ہوئے ہیں۔")</f>
        <v>وہ گھوڑوں کی پیٹھ پر لیٹے ہوئے ہیں۔</v>
      </c>
      <c r="P265" s="2" t="str">
        <f>IFERROR(__xludf.DUMMYFUNCTION("GOOGLETRANSLATE(F265,""en"",""ur"")"),"وہ آرام سے بیٹھے ہیں۔")</f>
        <v>وہ آرام سے بیٹھے ہیں۔</v>
      </c>
      <c r="Q265" s="2" t="s">
        <v>253</v>
      </c>
      <c r="R265" s="2" t="str">
        <f>IFERROR(__xludf.DUMMYFUNCTION("GOOGLETRANSLATE(G265,""en"",""ur"")"),"وہ جھک رہے ہیں اور کسی چیز تک پہنچ رہے ہیں۔")</f>
        <v>وہ جھک رہے ہیں اور کسی چیز تک پہنچ رہے ہیں۔</v>
      </c>
      <c r="S265" s="5" t="s">
        <v>379</v>
      </c>
    </row>
    <row r="266" ht="22.5" customHeight="1">
      <c r="A266" s="4">
        <v>265.0</v>
      </c>
      <c r="B266" s="5" t="s">
        <v>254</v>
      </c>
      <c r="C266" s="5" t="s">
        <v>47</v>
      </c>
      <c r="D266" s="5" t="s">
        <v>48</v>
      </c>
      <c r="E266" s="5" t="s">
        <v>49</v>
      </c>
      <c r="F266" s="5" t="s">
        <v>50</v>
      </c>
      <c r="G266" s="5" t="s">
        <v>49</v>
      </c>
      <c r="H266" s="5" t="s">
        <v>379</v>
      </c>
      <c r="K266" s="2" t="str">
        <f>IFERROR(__xludf.DUMMYFUNCTION("GOOGLETRANSLATE(A266,""en"",""ur"")"),"265")</f>
        <v>265</v>
      </c>
      <c r="L266" s="2" t="str">
        <f>IFERROR(__xludf.DUMMYFUNCTION("GOOGLETRANSLATE(B266,""en"",""ur"")"),"سواروں کے چہروں سے ظاہری جذبات کیا ہیں؟")</f>
        <v>سواروں کے چہروں سے ظاہری جذبات کیا ہیں؟</v>
      </c>
      <c r="M266" s="2" t="str">
        <f>IFERROR(__xludf.DUMMYFUNCTION("GOOGLETRANSLATE(C266,""en"",""ur"")"),"پرسکون اور پر سکون")</f>
        <v>پرسکون اور پر سکون</v>
      </c>
      <c r="N266" s="2" t="str">
        <f>IFERROR(__xludf.DUMMYFUNCTION("GOOGLETRANSLATE(D266,""en"",""ur"")"),"خوف زدہ اور بے چین")</f>
        <v>خوف زدہ اور بے چین</v>
      </c>
      <c r="O266" s="2" t="str">
        <f>IFERROR(__xludf.DUMMYFUNCTION("GOOGLETRANSLATE(E266,""en"",""ur"")"),"کشیدہ اور شدید")</f>
        <v>کشیدہ اور شدید</v>
      </c>
      <c r="P266" s="2" t="str">
        <f>IFERROR(__xludf.DUMMYFUNCTION("GOOGLETRANSLATE(F266,""en"",""ur"")"),"خوش اور مسکراتے ہوئے۔")</f>
        <v>خوش اور مسکراتے ہوئے۔</v>
      </c>
      <c r="Q266" s="2" t="s">
        <v>51</v>
      </c>
      <c r="R266" s="2" t="str">
        <f>IFERROR(__xludf.DUMMYFUNCTION("GOOGLETRANSLATE(G266,""en"",""ur"")"),"کشیدہ اور شدید")</f>
        <v>کشیدہ اور شدید</v>
      </c>
      <c r="S266" s="5" t="s">
        <v>379</v>
      </c>
    </row>
    <row r="267" ht="22.5" customHeight="1">
      <c r="A267" s="4">
        <v>266.0</v>
      </c>
      <c r="B267" s="5" t="s">
        <v>88</v>
      </c>
      <c r="C267" s="5" t="s">
        <v>89</v>
      </c>
      <c r="D267" s="5" t="s">
        <v>90</v>
      </c>
      <c r="E267" s="5" t="s">
        <v>91</v>
      </c>
      <c r="F267" s="5" t="s">
        <v>255</v>
      </c>
      <c r="G267" s="5" t="s">
        <v>91</v>
      </c>
      <c r="H267" s="5" t="s">
        <v>379</v>
      </c>
      <c r="K267" s="2" t="str">
        <f>IFERROR(__xludf.DUMMYFUNCTION("GOOGLETRANSLATE(A267,""en"",""ur"")"),"266")</f>
        <v>266</v>
      </c>
      <c r="L267" s="2" t="str">
        <f>IFERROR(__xludf.DUMMYFUNCTION("GOOGLETRANSLATE(B267,""en"",""ur"")"),"زمین کی سب سے نمایاں خصوصیت کیا ہے؟")</f>
        <v>زمین کی سب سے نمایاں خصوصیت کیا ہے؟</v>
      </c>
      <c r="M267" s="2" t="str">
        <f>IFERROR(__xludf.DUMMYFUNCTION("GOOGLETRANSLATE(C267,""en"",""ur"")"),"ایک پکی سطح")</f>
        <v>ایک پکی سطح</v>
      </c>
      <c r="N267" s="2" t="str">
        <f>IFERROR(__xludf.DUMMYFUNCTION("GOOGLETRANSLATE(D267,""en"",""ur"")"),"کیچڑ والا میدان")</f>
        <v>کیچڑ والا میدان</v>
      </c>
      <c r="O267" s="2" t="str">
        <f>IFERROR(__xludf.DUMMYFUNCTION("GOOGLETRANSLATE(E267,""en"",""ur"")"),"ایک گھاس دار سطح")</f>
        <v>ایک گھاس دار سطح</v>
      </c>
      <c r="P267" s="2" t="str">
        <f>IFERROR(__xludf.DUMMYFUNCTION("GOOGLETRANSLATE(F267,""en"",""ur"")"),"ریتلی یا گندگی کی سطح")</f>
        <v>ریتلی یا گندگی کی سطح</v>
      </c>
      <c r="Q267" s="2" t="s">
        <v>256</v>
      </c>
      <c r="R267" s="2" t="str">
        <f>IFERROR(__xludf.DUMMYFUNCTION("GOOGLETRANSLATE(G267,""en"",""ur"")"),"ایک گھاس دار سطح")</f>
        <v>ایک گھاس دار سطح</v>
      </c>
      <c r="S267" s="5" t="s">
        <v>379</v>
      </c>
    </row>
    <row r="268" ht="22.5" customHeight="1">
      <c r="A268" s="4">
        <v>267.0</v>
      </c>
      <c r="B268" s="5" t="s">
        <v>257</v>
      </c>
      <c r="C268" s="5" t="s">
        <v>95</v>
      </c>
      <c r="D268" s="5" t="s">
        <v>96</v>
      </c>
      <c r="E268" s="5" t="s">
        <v>97</v>
      </c>
      <c r="F268" s="5" t="s">
        <v>258</v>
      </c>
      <c r="G268" s="5" t="s">
        <v>97</v>
      </c>
      <c r="H268" s="5" t="s">
        <v>379</v>
      </c>
      <c r="K268" s="2" t="str">
        <f>IFERROR(__xludf.DUMMYFUNCTION("GOOGLETRANSLATE(A268,""en"",""ur"")"),"267")</f>
        <v>267</v>
      </c>
      <c r="L268" s="2" t="str">
        <f>IFERROR(__xludf.DUMMYFUNCTION("GOOGLETRANSLATE(B268,""en"",""ur"")"),"کھیلے جانے والے کھیل کا نام کیا ہے؟")</f>
        <v>کھیلے جانے والے کھیل کا نام کیا ہے؟</v>
      </c>
      <c r="M268" s="2" t="str">
        <f>IFERROR(__xludf.DUMMYFUNCTION("GOOGLETRANSLATE(C268,""en"",""ur"")"),"پولو")</f>
        <v>پولو</v>
      </c>
      <c r="N268" s="2" t="str">
        <f>IFERROR(__xludf.DUMMYFUNCTION("GOOGLETRANSLATE(D268,""en"",""ur"")"),"گھوڑوں کی دوڑ")</f>
        <v>گھوڑوں کی دوڑ</v>
      </c>
      <c r="O268" s="2" t="str">
        <f>IFERROR(__xludf.DUMMYFUNCTION("GOOGLETRANSLATE(E268,""en"",""ur"")"),"بزکشی۔")</f>
        <v>بزکشی۔</v>
      </c>
      <c r="P268" s="2" t="str">
        <f>IFERROR(__xludf.DUMMYFUNCTION("GOOGLETRANSLATE(F268,""en"",""ur"")"),"گھڑ سواری کے کھیل")</f>
        <v>گھڑ سواری کے کھیل</v>
      </c>
      <c r="Q268" s="2" t="s">
        <v>259</v>
      </c>
      <c r="R268" s="2" t="str">
        <f>IFERROR(__xludf.DUMMYFUNCTION("GOOGLETRANSLATE(G268,""en"",""ur"")"),"بزکشی۔")</f>
        <v>بزکشی۔</v>
      </c>
      <c r="S268" s="5" t="s">
        <v>379</v>
      </c>
    </row>
    <row r="269" ht="22.5" customHeight="1">
      <c r="A269" s="4">
        <v>268.0</v>
      </c>
      <c r="B269" s="5" t="s">
        <v>260</v>
      </c>
      <c r="C269" s="5" t="s">
        <v>261</v>
      </c>
      <c r="D269" s="5" t="s">
        <v>262</v>
      </c>
      <c r="E269" s="5" t="s">
        <v>263</v>
      </c>
      <c r="F269" s="5" t="s">
        <v>264</v>
      </c>
      <c r="G269" s="5" t="s">
        <v>263</v>
      </c>
      <c r="H269" s="5" t="s">
        <v>379</v>
      </c>
      <c r="K269" s="2" t="str">
        <f>IFERROR(__xludf.DUMMYFUNCTION("GOOGLETRANSLATE(A269,""en"",""ur"")"),"268")</f>
        <v>268</v>
      </c>
      <c r="L269" s="2" t="str">
        <f>IFERROR(__xludf.DUMMYFUNCTION("GOOGLETRANSLATE(B269,""en"",""ur"")"),"تصویر میں ایکشن ایک ایسا انداز تجویز کرتا ہے جو اس بات پر زور دیتا ہے...")</f>
        <v>تصویر میں ایکشن ایک ایسا انداز تجویز کرتا ہے جو اس بات پر زور دیتا ہے...</v>
      </c>
      <c r="M269" s="2" t="str">
        <f>IFERROR(__xludf.DUMMYFUNCTION("GOOGLETRANSLATE(C269,""en"",""ur"")"),"روانی اور قلابازیاں")</f>
        <v>روانی اور قلابازیاں</v>
      </c>
      <c r="N269" s="2" t="str">
        <f>IFERROR(__xludf.DUMMYFUNCTION("GOOGLETRANSLATE(D269,""en"",""ur"")"),"زمینی لڑائی اور گرفت")</f>
        <v>زمینی لڑائی اور گرفت</v>
      </c>
      <c r="O269" s="2" t="str">
        <f>IFERROR(__xludf.DUMMYFUNCTION("GOOGLETRANSLATE(E269,""en"",""ur"")"),"وحشیانہ قوت اور گھڑ سواری۔")</f>
        <v>وحشیانہ قوت اور گھڑ سواری۔</v>
      </c>
      <c r="P269" s="2" t="str">
        <f>IFERROR(__xludf.DUMMYFUNCTION("GOOGLETRANSLATE(F269,""en"",""ur"")"),"سادہ، لکیری حرکات")</f>
        <v>سادہ، لکیری حرکات</v>
      </c>
      <c r="Q269" s="2" t="s">
        <v>265</v>
      </c>
      <c r="R269" s="2" t="str">
        <f>IFERROR(__xludf.DUMMYFUNCTION("GOOGLETRANSLATE(G269,""en"",""ur"")"),"وحشیانہ قوت اور گھڑ سواری۔")</f>
        <v>وحشیانہ قوت اور گھڑ سواری۔</v>
      </c>
      <c r="S269" s="5" t="s">
        <v>379</v>
      </c>
    </row>
    <row r="270" ht="22.5" customHeight="1">
      <c r="A270" s="4">
        <v>269.0</v>
      </c>
      <c r="B270" s="5" t="s">
        <v>266</v>
      </c>
      <c r="C270" s="5" t="s">
        <v>59</v>
      </c>
      <c r="D270" s="5" t="s">
        <v>267</v>
      </c>
      <c r="E270" s="5" t="s">
        <v>61</v>
      </c>
      <c r="F270" s="5" t="s">
        <v>268</v>
      </c>
      <c r="G270" s="5" t="s">
        <v>267</v>
      </c>
      <c r="H270" s="5" t="s">
        <v>379</v>
      </c>
      <c r="K270" s="2" t="str">
        <f>IFERROR(__xludf.DUMMYFUNCTION("GOOGLETRANSLATE(A270,""en"",""ur"")"),"269")</f>
        <v>269</v>
      </c>
      <c r="L270" s="2" t="str">
        <f>IFERROR(__xludf.DUMMYFUNCTION("GOOGLETRANSLATE(B270,""en"",""ur"")"),"گھوڑوں کے بارے میں ایک قابل ذکر تفصیل کیا ہے؟")</f>
        <v>گھوڑوں کے بارے میں ایک قابل ذکر تفصیل کیا ہے؟</v>
      </c>
      <c r="M270" s="2" t="str">
        <f>IFERROR(__xludf.DUMMYFUNCTION("GOOGLETRANSLATE(C270,""en"",""ur"")"),"وہ سب ایک ہی رنگ کے ہیں۔")</f>
        <v>وہ سب ایک ہی رنگ کے ہیں۔</v>
      </c>
      <c r="N270" s="2" t="str">
        <f>IFERROR(__xludf.DUMMYFUNCTION("GOOGLETRANSLATE(D270,""en"",""ur"")"),"وہ رنگوں اور نسلوں کا مرکب ہیں۔")</f>
        <v>وہ رنگوں اور نسلوں کا مرکب ہیں۔</v>
      </c>
      <c r="O270" s="2" t="str">
        <f>IFERROR(__xludf.DUMMYFUNCTION("GOOGLETRANSLATE(E270,""en"",""ur"")"),"وہ سب وسیع نمونوں کے ساتھ زین پہنے ہوئے ہیں۔")</f>
        <v>وہ سب وسیع نمونوں کے ساتھ زین پہنے ہوئے ہیں۔</v>
      </c>
      <c r="P270" s="2" t="str">
        <f>IFERROR(__xludf.DUMMYFUNCTION("GOOGLETRANSLATE(F270,""en"",""ur"")"),"وہ سب خاموش کھڑے ہیں۔")</f>
        <v>وہ سب خاموش کھڑے ہیں۔</v>
      </c>
      <c r="Q270" s="2" t="s">
        <v>269</v>
      </c>
      <c r="R270" s="2" t="str">
        <f>IFERROR(__xludf.DUMMYFUNCTION("GOOGLETRANSLATE(G270,""en"",""ur"")"),"وہ رنگوں اور نسلوں کا مرکب ہیں۔")</f>
        <v>وہ رنگوں اور نسلوں کا مرکب ہیں۔</v>
      </c>
      <c r="S270" s="5" t="s">
        <v>379</v>
      </c>
    </row>
    <row r="271" ht="22.5" customHeight="1">
      <c r="A271" s="4">
        <v>270.0</v>
      </c>
      <c r="B271" s="5" t="s">
        <v>270</v>
      </c>
      <c r="C271" s="5" t="s">
        <v>271</v>
      </c>
      <c r="D271" s="5" t="s">
        <v>272</v>
      </c>
      <c r="E271" s="5" t="s">
        <v>273</v>
      </c>
      <c r="F271" s="5" t="s">
        <v>274</v>
      </c>
      <c r="G271" s="5" t="s">
        <v>274</v>
      </c>
      <c r="H271" s="5" t="s">
        <v>379</v>
      </c>
      <c r="K271" s="2" t="str">
        <f>IFERROR(__xludf.DUMMYFUNCTION("GOOGLETRANSLATE(A271,""en"",""ur"")"),"270")</f>
        <v>270</v>
      </c>
      <c r="L271" s="2" t="str">
        <f>IFERROR(__xludf.DUMMYFUNCTION("GOOGLETRANSLATE(B271,""en"",""ur"")"),"مرکز میں سوار کے بارے میں ایک قابل ذکر تفصیل کیا ہے؟")</f>
        <v>مرکز میں سوار کے بارے میں ایک قابل ذکر تفصیل کیا ہے؟</v>
      </c>
      <c r="M271" s="2" t="str">
        <f>IFERROR(__xludf.DUMMYFUNCTION("GOOGLETRANSLATE(C271,""en"",""ur"")"),"وہ اپنے گھوڑے سے گر رہا ہے۔")</f>
        <v>وہ اپنے گھوڑے سے گر رہا ہے۔</v>
      </c>
      <c r="N271" s="2" t="str">
        <f>IFERROR(__xludf.DUMMYFUNCTION("GOOGLETRANSLATE(D271,""en"",""ur"")"),"اس نے بینر اٹھا رکھا ہے۔")</f>
        <v>اس نے بینر اٹھا رکھا ہے۔</v>
      </c>
      <c r="O271" s="2" t="str">
        <f>IFERROR(__xludf.DUMMYFUNCTION("GOOGLETRANSLATE(E271,""en"",""ur"")"),"اس نے رسی پکڑی ہوئی ہے۔")</f>
        <v>اس نے رسی پکڑی ہوئی ہے۔</v>
      </c>
      <c r="P271" s="2" t="str">
        <f>IFERROR(__xludf.DUMMYFUNCTION("GOOGLETRANSLATE(F271,""en"",""ur"")"),"اس نے چھڑی پکڑی ہوئی ہے۔")</f>
        <v>اس نے چھڑی پکڑی ہوئی ہے۔</v>
      </c>
      <c r="Q271" s="2" t="s">
        <v>275</v>
      </c>
      <c r="R271" s="2" t="str">
        <f>IFERROR(__xludf.DUMMYFUNCTION("GOOGLETRANSLATE(G271,""en"",""ur"")"),"اس نے چھڑی پکڑی ہوئی ہے۔")</f>
        <v>اس نے چھڑی پکڑی ہوئی ہے۔</v>
      </c>
      <c r="S271" s="5" t="s">
        <v>379</v>
      </c>
    </row>
    <row r="272" ht="22.5" customHeight="1">
      <c r="A272" s="4">
        <v>271.0</v>
      </c>
      <c r="B272" s="5" t="s">
        <v>380</v>
      </c>
      <c r="C272" s="5" t="s">
        <v>103</v>
      </c>
      <c r="D272" s="5" t="s">
        <v>71</v>
      </c>
      <c r="E272" s="5" t="s">
        <v>72</v>
      </c>
      <c r="F272" s="5" t="s">
        <v>73</v>
      </c>
      <c r="G272" s="5" t="s">
        <v>71</v>
      </c>
      <c r="H272" s="5" t="s">
        <v>381</v>
      </c>
      <c r="K272" s="2" t="str">
        <f>IFERROR(__xludf.DUMMYFUNCTION("GOOGLETRANSLATE(A272,""en"",""ur"")"),"271")</f>
        <v>271</v>
      </c>
      <c r="L272" s="2" t="str">
        <f>IFERROR(__xludf.DUMMYFUNCTION("GOOGLETRANSLATE(B272,""en"",""ur"")"),"buzkashi_61 میں دکھائی جانے والی اہم کارروائی کیا ہے؟")</f>
        <v>buzkashi_61 میں دکھائی جانے والی اہم کارروائی کیا ہے؟</v>
      </c>
      <c r="M272" s="2" t="str">
        <f>IFERROR(__xludf.DUMMYFUNCTION("GOOGLETRANSLATE(C272,""en"",""ur"")"),"آرام سے گھوڑے کی سواری۔")</f>
        <v>آرام سے گھوڑے کی سواری۔</v>
      </c>
      <c r="N272" s="2" t="str">
        <f>IFERROR(__xludf.DUMMYFUNCTION("GOOGLETRANSLATE(D272,""en"",""ur"")"),"سواروں کا ایک گروپ جو مرکزی چیز کے لیے مقابلہ کر رہا ہے۔")</f>
        <v>سواروں کا ایک گروپ جو مرکزی چیز کے لیے مقابلہ کر رہا ہے۔</v>
      </c>
      <c r="O272" s="2" t="str">
        <f>IFERROR(__xludf.DUMMYFUNCTION("GOOGLETRANSLATE(E272,""en"",""ur"")"),"گھوڑوں کی پریڈ")</f>
        <v>گھوڑوں کی پریڈ</v>
      </c>
      <c r="P272" s="2" t="str">
        <f>IFERROR(__xludf.DUMMYFUNCTION("GOOGLETRANSLATE(F272,""en"",""ur"")"),"گھوڑوں کی دوڑ")</f>
        <v>گھوڑوں کی دوڑ</v>
      </c>
      <c r="Q272" s="2" t="s">
        <v>278</v>
      </c>
      <c r="R272" s="2" t="str">
        <f>IFERROR(__xludf.DUMMYFUNCTION("GOOGLETRANSLATE(G272,""en"",""ur"")"),"سواروں کا ایک گروپ جو مرکزی چیز کے لیے مقابلہ کر رہا ہے۔")</f>
        <v>سواروں کا ایک گروپ جو مرکزی چیز کے لیے مقابلہ کر رہا ہے۔</v>
      </c>
      <c r="S272" s="5" t="s">
        <v>381</v>
      </c>
    </row>
    <row r="273" ht="22.5" customHeight="1">
      <c r="A273" s="4">
        <v>272.0</v>
      </c>
      <c r="B273" s="5" t="s">
        <v>238</v>
      </c>
      <c r="C273" s="5" t="s">
        <v>239</v>
      </c>
      <c r="D273" s="5" t="s">
        <v>84</v>
      </c>
      <c r="E273" s="5" t="s">
        <v>85</v>
      </c>
      <c r="F273" s="5" t="s">
        <v>240</v>
      </c>
      <c r="G273" s="5" t="s">
        <v>84</v>
      </c>
      <c r="H273" s="5" t="s">
        <v>381</v>
      </c>
      <c r="K273" s="2" t="str">
        <f>IFERROR(__xludf.DUMMYFUNCTION("GOOGLETRANSLATE(A273,""en"",""ur"")"),"272")</f>
        <v>272</v>
      </c>
      <c r="L273" s="2" t="str">
        <f>IFERROR(__xludf.DUMMYFUNCTION("GOOGLETRANSLATE(B273,""en"",""ur"")"),"اس گیم کی ترتیب کے بارے میں ایک قابل ذکر تفصیل کیا ہے؟")</f>
        <v>اس گیم کی ترتیب کے بارے میں ایک قابل ذکر تفصیل کیا ہے؟</v>
      </c>
      <c r="M273" s="2" t="str">
        <f>IFERROR(__xludf.DUMMYFUNCTION("GOOGLETRANSLATE(C273,""en"",""ur"")"),"یہ ایک بڑے اسٹیڈیم میں ہے۔")</f>
        <v>یہ ایک بڑے اسٹیڈیم میں ہے۔</v>
      </c>
      <c r="N273" s="2" t="str">
        <f>IFERROR(__xludf.DUMMYFUNCTION("GOOGLETRANSLATE(D273,""en"",""ur"")"),"یہ پہاڑی، پتھریلی علاقے میں ایک میدان میں ہے۔")</f>
        <v>یہ پہاڑی، پتھریلی علاقے میں ایک میدان میں ہے۔</v>
      </c>
      <c r="O273" s="2" t="str">
        <f>IFERROR(__xludf.DUMMYFUNCTION("GOOGLETRANSLATE(E273,""en"",""ur"")"),"یہ شہر کی سڑک پر ہے۔")</f>
        <v>یہ شہر کی سڑک پر ہے۔</v>
      </c>
      <c r="P273" s="2" t="str">
        <f>IFERROR(__xludf.DUMMYFUNCTION("GOOGLETRANSLATE(F273,""en"",""ur"")"),"یہ ایک پرسکون ساحل سمندر پر ہے۔")</f>
        <v>یہ ایک پرسکون ساحل سمندر پر ہے۔</v>
      </c>
      <c r="Q273" s="2" t="s">
        <v>241</v>
      </c>
      <c r="R273" s="2" t="str">
        <f>IFERROR(__xludf.DUMMYFUNCTION("GOOGLETRANSLATE(G273,""en"",""ur"")"),"یہ پہاڑی، پتھریلی علاقے میں ایک میدان میں ہے۔")</f>
        <v>یہ پہاڑی، پتھریلی علاقے میں ایک میدان میں ہے۔</v>
      </c>
      <c r="S273" s="5" t="s">
        <v>381</v>
      </c>
    </row>
    <row r="274" ht="22.5" customHeight="1">
      <c r="A274" s="4">
        <v>273.0</v>
      </c>
      <c r="B274" s="5" t="s">
        <v>242</v>
      </c>
      <c r="C274" s="5" t="s">
        <v>243</v>
      </c>
      <c r="D274" s="5" t="s">
        <v>292</v>
      </c>
      <c r="E274" s="5" t="s">
        <v>245</v>
      </c>
      <c r="F274" s="5" t="s">
        <v>246</v>
      </c>
      <c r="G274" s="5" t="s">
        <v>292</v>
      </c>
      <c r="H274" s="5" t="s">
        <v>381</v>
      </c>
      <c r="K274" s="2" t="str">
        <f>IFERROR(__xludf.DUMMYFUNCTION("GOOGLETRANSLATE(A274,""en"",""ur"")"),"273")</f>
        <v>273</v>
      </c>
      <c r="L274" s="2" t="str">
        <f>IFERROR(__xludf.DUMMYFUNCTION("GOOGLETRANSLATE(B274,""en"",""ur"")"),"سواروں کے لباس کے بارے میں واضح تفصیل کیا ہے؟")</f>
        <v>سواروں کے لباس کے بارے میں واضح تفصیل کیا ہے؟</v>
      </c>
      <c r="M274" s="2" t="str">
        <f>IFERROR(__xludf.DUMMYFUNCTION("GOOGLETRANSLATE(C274,""en"",""ur"")"),"وہ جدید کھیلوں کی وردی پہنے ہوئے ہیں۔")</f>
        <v>وہ جدید کھیلوں کی وردی پہنے ہوئے ہیں۔</v>
      </c>
      <c r="N274" s="2" t="str">
        <f>IFERROR(__xludf.DUMMYFUNCTION("GOOGLETRANSLATE(D274,""en"",""ur"")"),"وہ روایتی ٹونکس اور سر کے لباس پہنے ہوئے ہیں۔")</f>
        <v>وہ روایتی ٹونکس اور سر کے لباس پہنے ہوئے ہیں۔</v>
      </c>
      <c r="O274" s="2" t="str">
        <f>IFERROR(__xludf.DUMMYFUNCTION("GOOGLETRANSLATE(E274,""en"",""ur"")"),"وہ رسمی سوٹ پہنے ہوئے ہیں۔")</f>
        <v>وہ رسمی سوٹ پہنے ہوئے ہیں۔</v>
      </c>
      <c r="P274" s="2" t="str">
        <f>IFERROR(__xludf.DUMMYFUNCTION("GOOGLETRANSLATE(F274,""en"",""ur"")"),"انہوں نے کوئی لباس نہیں پہنا ہوا ہے۔")</f>
        <v>انہوں نے کوئی لباس نہیں پہنا ہوا ہے۔</v>
      </c>
      <c r="Q274" s="2" t="s">
        <v>293</v>
      </c>
      <c r="R274" s="2" t="str">
        <f>IFERROR(__xludf.DUMMYFUNCTION("GOOGLETRANSLATE(G274,""en"",""ur"")"),"وہ روایتی ٹونکس اور سر کے لباس پہنے ہوئے ہیں۔")</f>
        <v>وہ روایتی ٹونکس اور سر کے لباس پہنے ہوئے ہیں۔</v>
      </c>
      <c r="S274" s="5" t="s">
        <v>381</v>
      </c>
    </row>
    <row r="275" ht="22.5" customHeight="1">
      <c r="A275" s="4">
        <v>274.0</v>
      </c>
      <c r="B275" s="5" t="s">
        <v>248</v>
      </c>
      <c r="C275" s="5" t="s">
        <v>249</v>
      </c>
      <c r="D275" s="5" t="s">
        <v>250</v>
      </c>
      <c r="E275" s="5" t="s">
        <v>251</v>
      </c>
      <c r="F275" s="5" t="s">
        <v>252</v>
      </c>
      <c r="G275" s="5" t="s">
        <v>250</v>
      </c>
      <c r="H275" s="5" t="s">
        <v>381</v>
      </c>
      <c r="K275" s="2" t="str">
        <f>IFERROR(__xludf.DUMMYFUNCTION("GOOGLETRANSLATE(A275,""en"",""ur"")"),"274")</f>
        <v>274</v>
      </c>
      <c r="L275" s="2" t="str">
        <f>IFERROR(__xludf.DUMMYFUNCTION("GOOGLETRANSLATE(B275,""en"",""ur"")"),"سواروں کی ظاہری باڈی پوزیشن کیا ہے؟")</f>
        <v>سواروں کی ظاہری باڈی پوزیشن کیا ہے؟</v>
      </c>
      <c r="M275" s="2" t="str">
        <f>IFERROR(__xludf.DUMMYFUNCTION("GOOGLETRANSLATE(C275,""en"",""ur"")"),"وہ سیدھے کھڑے ہیں۔")</f>
        <v>وہ سیدھے کھڑے ہیں۔</v>
      </c>
      <c r="N275" s="2" t="str">
        <f>IFERROR(__xludf.DUMMYFUNCTION("GOOGLETRANSLATE(D275,""en"",""ur"")"),"وہ جھک رہے ہیں اور کسی چیز تک پہنچ رہے ہیں۔")</f>
        <v>وہ جھک رہے ہیں اور کسی چیز تک پہنچ رہے ہیں۔</v>
      </c>
      <c r="O275" s="2" t="str">
        <f>IFERROR(__xludf.DUMMYFUNCTION("GOOGLETRANSLATE(E275,""en"",""ur"")"),"وہ گھوڑوں کی پیٹھ پر لیٹے ہوئے ہیں۔")</f>
        <v>وہ گھوڑوں کی پیٹھ پر لیٹے ہوئے ہیں۔</v>
      </c>
      <c r="P275" s="2" t="str">
        <f>IFERROR(__xludf.DUMMYFUNCTION("GOOGLETRANSLATE(F275,""en"",""ur"")"),"وہ آرام سے بیٹھے ہیں۔")</f>
        <v>وہ آرام سے بیٹھے ہیں۔</v>
      </c>
      <c r="Q275" s="2" t="s">
        <v>253</v>
      </c>
      <c r="R275" s="2" t="str">
        <f>IFERROR(__xludf.DUMMYFUNCTION("GOOGLETRANSLATE(G275,""en"",""ur"")"),"وہ جھک رہے ہیں اور کسی چیز تک پہنچ رہے ہیں۔")</f>
        <v>وہ جھک رہے ہیں اور کسی چیز تک پہنچ رہے ہیں۔</v>
      </c>
      <c r="S275" s="5" t="s">
        <v>381</v>
      </c>
    </row>
    <row r="276" ht="22.5" customHeight="1">
      <c r="A276" s="4">
        <v>275.0</v>
      </c>
      <c r="B276" s="5" t="s">
        <v>254</v>
      </c>
      <c r="C276" s="5" t="s">
        <v>47</v>
      </c>
      <c r="D276" s="5" t="s">
        <v>48</v>
      </c>
      <c r="E276" s="5" t="s">
        <v>49</v>
      </c>
      <c r="F276" s="5" t="s">
        <v>50</v>
      </c>
      <c r="G276" s="5" t="s">
        <v>49</v>
      </c>
      <c r="H276" s="5" t="s">
        <v>381</v>
      </c>
      <c r="K276" s="2" t="str">
        <f>IFERROR(__xludf.DUMMYFUNCTION("GOOGLETRANSLATE(A276,""en"",""ur"")"),"275")</f>
        <v>275</v>
      </c>
      <c r="L276" s="2" t="str">
        <f>IFERROR(__xludf.DUMMYFUNCTION("GOOGLETRANSLATE(B276,""en"",""ur"")"),"سواروں کے چہروں سے ظاہری جذبات کیا ہیں؟")</f>
        <v>سواروں کے چہروں سے ظاہری جذبات کیا ہیں؟</v>
      </c>
      <c r="M276" s="2" t="str">
        <f>IFERROR(__xludf.DUMMYFUNCTION("GOOGLETRANSLATE(C276,""en"",""ur"")"),"پرسکون اور پر سکون")</f>
        <v>پرسکون اور پر سکون</v>
      </c>
      <c r="N276" s="2" t="str">
        <f>IFERROR(__xludf.DUMMYFUNCTION("GOOGLETRANSLATE(D276,""en"",""ur"")"),"خوف زدہ اور بے چین")</f>
        <v>خوف زدہ اور بے چین</v>
      </c>
      <c r="O276" s="2" t="str">
        <f>IFERROR(__xludf.DUMMYFUNCTION("GOOGLETRANSLATE(E276,""en"",""ur"")"),"کشیدہ اور شدید")</f>
        <v>کشیدہ اور شدید</v>
      </c>
      <c r="P276" s="2" t="str">
        <f>IFERROR(__xludf.DUMMYFUNCTION("GOOGLETRANSLATE(F276,""en"",""ur"")"),"خوش اور مسکراتے ہوئے۔")</f>
        <v>خوش اور مسکراتے ہوئے۔</v>
      </c>
      <c r="Q276" s="2" t="s">
        <v>51</v>
      </c>
      <c r="R276" s="2" t="str">
        <f>IFERROR(__xludf.DUMMYFUNCTION("GOOGLETRANSLATE(G276,""en"",""ur"")"),"کشیدہ اور شدید")</f>
        <v>کشیدہ اور شدید</v>
      </c>
      <c r="S276" s="5" t="s">
        <v>381</v>
      </c>
    </row>
    <row r="277" ht="22.5" customHeight="1">
      <c r="A277" s="4">
        <v>276.0</v>
      </c>
      <c r="B277" s="5" t="s">
        <v>88</v>
      </c>
      <c r="C277" s="5" t="s">
        <v>89</v>
      </c>
      <c r="D277" s="5" t="s">
        <v>90</v>
      </c>
      <c r="E277" s="5" t="s">
        <v>91</v>
      </c>
      <c r="F277" s="5" t="s">
        <v>255</v>
      </c>
      <c r="G277" s="5" t="s">
        <v>255</v>
      </c>
      <c r="H277" s="5" t="s">
        <v>381</v>
      </c>
      <c r="K277" s="2" t="str">
        <f>IFERROR(__xludf.DUMMYFUNCTION("GOOGLETRANSLATE(A277,""en"",""ur"")"),"276")</f>
        <v>276</v>
      </c>
      <c r="L277" s="2" t="str">
        <f>IFERROR(__xludf.DUMMYFUNCTION("GOOGLETRANSLATE(B277,""en"",""ur"")"),"زمین کی سب سے نمایاں خصوصیت کیا ہے؟")</f>
        <v>زمین کی سب سے نمایاں خصوصیت کیا ہے؟</v>
      </c>
      <c r="M277" s="2" t="str">
        <f>IFERROR(__xludf.DUMMYFUNCTION("GOOGLETRANSLATE(C277,""en"",""ur"")"),"ایک پکی سطح")</f>
        <v>ایک پکی سطح</v>
      </c>
      <c r="N277" s="2" t="str">
        <f>IFERROR(__xludf.DUMMYFUNCTION("GOOGLETRANSLATE(D277,""en"",""ur"")"),"کیچڑ والا میدان")</f>
        <v>کیچڑ والا میدان</v>
      </c>
      <c r="O277" s="2" t="str">
        <f>IFERROR(__xludf.DUMMYFUNCTION("GOOGLETRANSLATE(E277,""en"",""ur"")"),"ایک گھاس دار سطح")</f>
        <v>ایک گھاس دار سطح</v>
      </c>
      <c r="P277" s="2" t="str">
        <f>IFERROR(__xludf.DUMMYFUNCTION("GOOGLETRANSLATE(F277,""en"",""ur"")"),"ریتلی یا گندگی کی سطح")</f>
        <v>ریتلی یا گندگی کی سطح</v>
      </c>
      <c r="Q277" s="2" t="s">
        <v>256</v>
      </c>
      <c r="R277" s="2" t="str">
        <f>IFERROR(__xludf.DUMMYFUNCTION("GOOGLETRANSLATE(G277,""en"",""ur"")"),"ریتلی یا گندگی کی سطح")</f>
        <v>ریتلی یا گندگی کی سطح</v>
      </c>
      <c r="S277" s="5" t="s">
        <v>381</v>
      </c>
    </row>
    <row r="278" ht="22.5" customHeight="1">
      <c r="A278" s="4">
        <v>277.0</v>
      </c>
      <c r="B278" s="5" t="s">
        <v>257</v>
      </c>
      <c r="C278" s="5" t="s">
        <v>95</v>
      </c>
      <c r="D278" s="5" t="s">
        <v>96</v>
      </c>
      <c r="E278" s="5" t="s">
        <v>97</v>
      </c>
      <c r="F278" s="5" t="s">
        <v>258</v>
      </c>
      <c r="G278" s="5" t="s">
        <v>97</v>
      </c>
      <c r="H278" s="5" t="s">
        <v>381</v>
      </c>
      <c r="K278" s="2" t="str">
        <f>IFERROR(__xludf.DUMMYFUNCTION("GOOGLETRANSLATE(A278,""en"",""ur"")"),"277")</f>
        <v>277</v>
      </c>
      <c r="L278" s="2" t="str">
        <f>IFERROR(__xludf.DUMMYFUNCTION("GOOGLETRANSLATE(B278,""en"",""ur"")"),"کھیلے جانے والے کھیل کا نام کیا ہے؟")</f>
        <v>کھیلے جانے والے کھیل کا نام کیا ہے؟</v>
      </c>
      <c r="M278" s="2" t="str">
        <f>IFERROR(__xludf.DUMMYFUNCTION("GOOGLETRANSLATE(C278,""en"",""ur"")"),"پولو")</f>
        <v>پولو</v>
      </c>
      <c r="N278" s="2" t="str">
        <f>IFERROR(__xludf.DUMMYFUNCTION("GOOGLETRANSLATE(D278,""en"",""ur"")"),"گھوڑوں کی دوڑ")</f>
        <v>گھوڑوں کی دوڑ</v>
      </c>
      <c r="O278" s="2" t="str">
        <f>IFERROR(__xludf.DUMMYFUNCTION("GOOGLETRANSLATE(E278,""en"",""ur"")"),"بزکشی۔")</f>
        <v>بزکشی۔</v>
      </c>
      <c r="P278" s="2" t="str">
        <f>IFERROR(__xludf.DUMMYFUNCTION("GOOGLETRANSLATE(F278,""en"",""ur"")"),"گھڑ سواری کے کھیل")</f>
        <v>گھڑ سواری کے کھیل</v>
      </c>
      <c r="Q278" s="2" t="s">
        <v>259</v>
      </c>
      <c r="R278" s="2" t="str">
        <f>IFERROR(__xludf.DUMMYFUNCTION("GOOGLETRANSLATE(G278,""en"",""ur"")"),"بزکشی۔")</f>
        <v>بزکشی۔</v>
      </c>
      <c r="S278" s="5" t="s">
        <v>381</v>
      </c>
    </row>
    <row r="279" ht="22.5" customHeight="1">
      <c r="A279" s="4">
        <v>278.0</v>
      </c>
      <c r="B279" s="5" t="s">
        <v>260</v>
      </c>
      <c r="C279" s="5" t="s">
        <v>261</v>
      </c>
      <c r="D279" s="5" t="s">
        <v>262</v>
      </c>
      <c r="E279" s="5" t="s">
        <v>263</v>
      </c>
      <c r="F279" s="5" t="s">
        <v>264</v>
      </c>
      <c r="G279" s="5" t="s">
        <v>263</v>
      </c>
      <c r="H279" s="5" t="s">
        <v>381</v>
      </c>
      <c r="K279" s="2" t="str">
        <f>IFERROR(__xludf.DUMMYFUNCTION("GOOGLETRANSLATE(A279,""en"",""ur"")"),"278")</f>
        <v>278</v>
      </c>
      <c r="L279" s="2" t="str">
        <f>IFERROR(__xludf.DUMMYFUNCTION("GOOGLETRANSLATE(B279,""en"",""ur"")"),"تصویر میں ایکشن ایک ایسا انداز تجویز کرتا ہے جو اس بات پر زور دیتا ہے...")</f>
        <v>تصویر میں ایکشن ایک ایسا انداز تجویز کرتا ہے جو اس بات پر زور دیتا ہے...</v>
      </c>
      <c r="M279" s="2" t="str">
        <f>IFERROR(__xludf.DUMMYFUNCTION("GOOGLETRANSLATE(C279,""en"",""ur"")"),"روانی اور قلابازیاں")</f>
        <v>روانی اور قلابازیاں</v>
      </c>
      <c r="N279" s="2" t="str">
        <f>IFERROR(__xludf.DUMMYFUNCTION("GOOGLETRANSLATE(D279,""en"",""ur"")"),"زمینی لڑائی اور گرفت")</f>
        <v>زمینی لڑائی اور گرفت</v>
      </c>
      <c r="O279" s="2" t="str">
        <f>IFERROR(__xludf.DUMMYFUNCTION("GOOGLETRANSLATE(E279,""en"",""ur"")"),"وحشیانہ قوت اور گھڑ سواری۔")</f>
        <v>وحشیانہ قوت اور گھڑ سواری۔</v>
      </c>
      <c r="P279" s="2" t="str">
        <f>IFERROR(__xludf.DUMMYFUNCTION("GOOGLETRANSLATE(F279,""en"",""ur"")"),"سادہ، لکیری حرکات")</f>
        <v>سادہ، لکیری حرکات</v>
      </c>
      <c r="Q279" s="2" t="s">
        <v>265</v>
      </c>
      <c r="R279" s="2" t="str">
        <f>IFERROR(__xludf.DUMMYFUNCTION("GOOGLETRANSLATE(G279,""en"",""ur"")"),"وحشیانہ قوت اور گھڑ سواری۔")</f>
        <v>وحشیانہ قوت اور گھڑ سواری۔</v>
      </c>
      <c r="S279" s="5" t="s">
        <v>381</v>
      </c>
    </row>
    <row r="280" ht="22.5" customHeight="1">
      <c r="A280" s="4">
        <v>279.0</v>
      </c>
      <c r="B280" s="5" t="s">
        <v>266</v>
      </c>
      <c r="C280" s="5" t="s">
        <v>59</v>
      </c>
      <c r="D280" s="5" t="s">
        <v>267</v>
      </c>
      <c r="E280" s="5" t="s">
        <v>61</v>
      </c>
      <c r="F280" s="5" t="s">
        <v>268</v>
      </c>
      <c r="G280" s="5" t="s">
        <v>267</v>
      </c>
      <c r="H280" s="5" t="s">
        <v>381</v>
      </c>
      <c r="K280" s="2" t="str">
        <f>IFERROR(__xludf.DUMMYFUNCTION("GOOGLETRANSLATE(A280,""en"",""ur"")"),"279")</f>
        <v>279</v>
      </c>
      <c r="L280" s="2" t="str">
        <f>IFERROR(__xludf.DUMMYFUNCTION("GOOGLETRANSLATE(B280,""en"",""ur"")"),"گھوڑوں کے بارے میں ایک قابل ذکر تفصیل کیا ہے؟")</f>
        <v>گھوڑوں کے بارے میں ایک قابل ذکر تفصیل کیا ہے؟</v>
      </c>
      <c r="M280" s="2" t="str">
        <f>IFERROR(__xludf.DUMMYFUNCTION("GOOGLETRANSLATE(C280,""en"",""ur"")"),"وہ سب ایک ہی رنگ کے ہیں۔")</f>
        <v>وہ سب ایک ہی رنگ کے ہیں۔</v>
      </c>
      <c r="N280" s="2" t="str">
        <f>IFERROR(__xludf.DUMMYFUNCTION("GOOGLETRANSLATE(D280,""en"",""ur"")"),"وہ رنگوں اور نسلوں کا مرکب ہیں۔")</f>
        <v>وہ رنگوں اور نسلوں کا مرکب ہیں۔</v>
      </c>
      <c r="O280" s="2" t="str">
        <f>IFERROR(__xludf.DUMMYFUNCTION("GOOGLETRANSLATE(E280,""en"",""ur"")"),"وہ سب وسیع نمونوں کے ساتھ زین پہنے ہوئے ہیں۔")</f>
        <v>وہ سب وسیع نمونوں کے ساتھ زین پہنے ہوئے ہیں۔</v>
      </c>
      <c r="P280" s="2" t="str">
        <f>IFERROR(__xludf.DUMMYFUNCTION("GOOGLETRANSLATE(F280,""en"",""ur"")"),"وہ سب خاموش کھڑے ہیں۔")</f>
        <v>وہ سب خاموش کھڑے ہیں۔</v>
      </c>
      <c r="Q280" s="2" t="s">
        <v>269</v>
      </c>
      <c r="R280" s="2" t="str">
        <f>IFERROR(__xludf.DUMMYFUNCTION("GOOGLETRANSLATE(G280,""en"",""ur"")"),"وہ رنگوں اور نسلوں کا مرکب ہیں۔")</f>
        <v>وہ رنگوں اور نسلوں کا مرکب ہیں۔</v>
      </c>
      <c r="S280" s="5" t="s">
        <v>381</v>
      </c>
    </row>
    <row r="281" ht="22.5" customHeight="1">
      <c r="A281" s="4">
        <v>280.0</v>
      </c>
      <c r="B281" s="5" t="s">
        <v>270</v>
      </c>
      <c r="C281" s="5" t="s">
        <v>271</v>
      </c>
      <c r="D281" s="5" t="s">
        <v>272</v>
      </c>
      <c r="E281" s="5" t="s">
        <v>273</v>
      </c>
      <c r="F281" s="5" t="s">
        <v>274</v>
      </c>
      <c r="G281" s="5" t="s">
        <v>274</v>
      </c>
      <c r="H281" s="5" t="s">
        <v>381</v>
      </c>
      <c r="K281" s="2" t="str">
        <f>IFERROR(__xludf.DUMMYFUNCTION("GOOGLETRANSLATE(A281,""en"",""ur"")"),"280")</f>
        <v>280</v>
      </c>
      <c r="L281" s="2" t="str">
        <f>IFERROR(__xludf.DUMMYFUNCTION("GOOGLETRANSLATE(B281,""en"",""ur"")"),"مرکز میں سوار کے بارے میں ایک قابل ذکر تفصیل کیا ہے؟")</f>
        <v>مرکز میں سوار کے بارے میں ایک قابل ذکر تفصیل کیا ہے؟</v>
      </c>
      <c r="M281" s="2" t="str">
        <f>IFERROR(__xludf.DUMMYFUNCTION("GOOGLETRANSLATE(C281,""en"",""ur"")"),"وہ اپنے گھوڑے سے گر رہا ہے۔")</f>
        <v>وہ اپنے گھوڑے سے گر رہا ہے۔</v>
      </c>
      <c r="N281" s="2" t="str">
        <f>IFERROR(__xludf.DUMMYFUNCTION("GOOGLETRANSLATE(D281,""en"",""ur"")"),"اس نے بینر اٹھا رکھا ہے۔")</f>
        <v>اس نے بینر اٹھا رکھا ہے۔</v>
      </c>
      <c r="O281" s="2" t="str">
        <f>IFERROR(__xludf.DUMMYFUNCTION("GOOGLETRANSLATE(E281,""en"",""ur"")"),"اس نے رسی پکڑی ہوئی ہے۔")</f>
        <v>اس نے رسی پکڑی ہوئی ہے۔</v>
      </c>
      <c r="P281" s="2" t="str">
        <f>IFERROR(__xludf.DUMMYFUNCTION("GOOGLETRANSLATE(F281,""en"",""ur"")"),"اس نے چھڑی پکڑی ہوئی ہے۔")</f>
        <v>اس نے چھڑی پکڑی ہوئی ہے۔</v>
      </c>
      <c r="Q281" s="2" t="s">
        <v>275</v>
      </c>
      <c r="R281" s="2" t="str">
        <f>IFERROR(__xludf.DUMMYFUNCTION("GOOGLETRANSLATE(G281,""en"",""ur"")"),"اس نے چھڑی پکڑی ہوئی ہے۔")</f>
        <v>اس نے چھڑی پکڑی ہوئی ہے۔</v>
      </c>
      <c r="S281" s="5" t="s">
        <v>381</v>
      </c>
    </row>
    <row r="282" ht="22.5" customHeight="1">
      <c r="A282" s="4">
        <v>281.0</v>
      </c>
      <c r="B282" s="5" t="s">
        <v>382</v>
      </c>
      <c r="C282" s="5" t="s">
        <v>103</v>
      </c>
      <c r="D282" s="5" t="s">
        <v>71</v>
      </c>
      <c r="E282" s="5" t="s">
        <v>72</v>
      </c>
      <c r="F282" s="5" t="s">
        <v>73</v>
      </c>
      <c r="G282" s="5" t="s">
        <v>71</v>
      </c>
      <c r="H282" s="5" t="s">
        <v>383</v>
      </c>
      <c r="K282" s="2" t="str">
        <f>IFERROR(__xludf.DUMMYFUNCTION("GOOGLETRANSLATE(A282,""en"",""ur"")"),"281")</f>
        <v>281</v>
      </c>
      <c r="L282" s="2" t="str">
        <f>IFERROR(__xludf.DUMMYFUNCTION("GOOGLETRANSLATE(B282,""en"",""ur"")"),"buzkashi_67 میں دکھائی جانے والی اہم کارروائی کیا ہے؟")</f>
        <v>buzkashi_67 میں دکھائی جانے والی اہم کارروائی کیا ہے؟</v>
      </c>
      <c r="M282" s="2" t="str">
        <f>IFERROR(__xludf.DUMMYFUNCTION("GOOGLETRANSLATE(C282,""en"",""ur"")"),"آرام سے گھوڑے کی سواری۔")</f>
        <v>آرام سے گھوڑے کی سواری۔</v>
      </c>
      <c r="N282" s="2" t="str">
        <f>IFERROR(__xludf.DUMMYFUNCTION("GOOGLETRANSLATE(D282,""en"",""ur"")"),"سواروں کا ایک گروپ جو مرکزی چیز کے لیے مقابلہ کر رہا ہے۔")</f>
        <v>سواروں کا ایک گروپ جو مرکزی چیز کے لیے مقابلہ کر رہا ہے۔</v>
      </c>
      <c r="O282" s="2" t="str">
        <f>IFERROR(__xludf.DUMMYFUNCTION("GOOGLETRANSLATE(E282,""en"",""ur"")"),"گھوڑوں کی پریڈ")</f>
        <v>گھوڑوں کی پریڈ</v>
      </c>
      <c r="P282" s="2" t="str">
        <f>IFERROR(__xludf.DUMMYFUNCTION("GOOGLETRANSLATE(F282,""en"",""ur"")"),"گھوڑوں کی دوڑ")</f>
        <v>گھوڑوں کی دوڑ</v>
      </c>
      <c r="Q282" s="2" t="s">
        <v>278</v>
      </c>
      <c r="R282" s="2" t="str">
        <f>IFERROR(__xludf.DUMMYFUNCTION("GOOGLETRANSLATE(G282,""en"",""ur"")"),"سواروں کا ایک گروپ جو مرکزی چیز کے لیے مقابلہ کر رہا ہے۔")</f>
        <v>سواروں کا ایک گروپ جو مرکزی چیز کے لیے مقابلہ کر رہا ہے۔</v>
      </c>
      <c r="S282" s="5" t="s">
        <v>383</v>
      </c>
    </row>
    <row r="283" ht="22.5" customHeight="1">
      <c r="A283" s="4">
        <v>282.0</v>
      </c>
      <c r="B283" s="5" t="s">
        <v>348</v>
      </c>
      <c r="C283" s="5" t="s">
        <v>284</v>
      </c>
      <c r="D283" s="5" t="s">
        <v>285</v>
      </c>
      <c r="E283" s="5" t="s">
        <v>286</v>
      </c>
      <c r="F283" s="5" t="s">
        <v>287</v>
      </c>
      <c r="G283" s="5" t="s">
        <v>286</v>
      </c>
      <c r="H283" s="5" t="s">
        <v>383</v>
      </c>
      <c r="K283" s="2" t="str">
        <f>IFERROR(__xludf.DUMMYFUNCTION("GOOGLETRANSLATE(A283,""en"",""ur"")"),"282")</f>
        <v>282</v>
      </c>
      <c r="L283" s="2" t="str">
        <f>IFERROR(__xludf.DUMMYFUNCTION("GOOGLETRANSLATE(B283,""en"",""ur"")"),"سوار جس چیز کا مقابلہ کر رہے ہیں اس کے بارے میں ایک قابل ذکر تفصیل کیا ہے؟")</f>
        <v>سوار جس چیز کا مقابلہ کر رہے ہیں اس کے بارے میں ایک قابل ذکر تفصیل کیا ہے؟</v>
      </c>
      <c r="M283" s="2" t="str">
        <f>IFERROR(__xludf.DUMMYFUNCTION("GOOGLETRANSLATE(C283,""en"",""ur"")"),"یہ ایک گیند ہے۔")</f>
        <v>یہ ایک گیند ہے۔</v>
      </c>
      <c r="N283" s="2" t="str">
        <f>IFERROR(__xludf.DUMMYFUNCTION("GOOGLETRANSLATE(D283,""en"",""ur"")"),"یہ ایک جھنڈا ہے۔")</f>
        <v>یہ ایک جھنڈا ہے۔</v>
      </c>
      <c r="O283" s="2" t="str">
        <f>IFERROR(__xludf.DUMMYFUNCTION("GOOGLETRANSLATE(E283,""en"",""ur"")"),"یہ ایک بکری کی لاش ہے۔")</f>
        <v>یہ ایک بکری کی لاش ہے۔</v>
      </c>
      <c r="P283" s="2" t="str">
        <f>IFERROR(__xludf.DUMMYFUNCTION("GOOGLETRANSLATE(F283,""en"",""ur"")"),"یہ ایک رسی ہے۔")</f>
        <v>یہ ایک رسی ہے۔</v>
      </c>
      <c r="Q283" s="2" t="s">
        <v>288</v>
      </c>
      <c r="R283" s="2" t="str">
        <f>IFERROR(__xludf.DUMMYFUNCTION("GOOGLETRANSLATE(G283,""en"",""ur"")"),"یہ ایک بکری کی لاش ہے۔")</f>
        <v>یہ ایک بکری کی لاش ہے۔</v>
      </c>
      <c r="S283" s="5" t="s">
        <v>383</v>
      </c>
    </row>
    <row r="284" ht="22.5" customHeight="1">
      <c r="A284" s="4">
        <v>283.0</v>
      </c>
      <c r="B284" s="5" t="s">
        <v>242</v>
      </c>
      <c r="C284" s="5" t="s">
        <v>243</v>
      </c>
      <c r="D284" s="5" t="s">
        <v>292</v>
      </c>
      <c r="E284" s="5" t="s">
        <v>245</v>
      </c>
      <c r="F284" s="5" t="s">
        <v>246</v>
      </c>
      <c r="G284" s="5" t="s">
        <v>292</v>
      </c>
      <c r="H284" s="5" t="s">
        <v>383</v>
      </c>
      <c r="K284" s="2" t="str">
        <f>IFERROR(__xludf.DUMMYFUNCTION("GOOGLETRANSLATE(A284,""en"",""ur"")"),"283")</f>
        <v>283</v>
      </c>
      <c r="L284" s="2" t="str">
        <f>IFERROR(__xludf.DUMMYFUNCTION("GOOGLETRANSLATE(B284,""en"",""ur"")"),"سواروں کے لباس کے بارے میں واضح تفصیل کیا ہے؟")</f>
        <v>سواروں کے لباس کے بارے میں واضح تفصیل کیا ہے؟</v>
      </c>
      <c r="M284" s="2" t="str">
        <f>IFERROR(__xludf.DUMMYFUNCTION("GOOGLETRANSLATE(C284,""en"",""ur"")"),"وہ جدید کھیلوں کی وردی پہنے ہوئے ہیں۔")</f>
        <v>وہ جدید کھیلوں کی وردی پہنے ہوئے ہیں۔</v>
      </c>
      <c r="N284" s="2" t="str">
        <f>IFERROR(__xludf.DUMMYFUNCTION("GOOGLETRANSLATE(D284,""en"",""ur"")"),"وہ روایتی ٹونکس اور سر کے لباس پہنے ہوئے ہیں۔")</f>
        <v>وہ روایتی ٹونکس اور سر کے لباس پہنے ہوئے ہیں۔</v>
      </c>
      <c r="O284" s="2" t="str">
        <f>IFERROR(__xludf.DUMMYFUNCTION("GOOGLETRANSLATE(E284,""en"",""ur"")"),"وہ رسمی سوٹ پہنے ہوئے ہیں۔")</f>
        <v>وہ رسمی سوٹ پہنے ہوئے ہیں۔</v>
      </c>
      <c r="P284" s="2" t="str">
        <f>IFERROR(__xludf.DUMMYFUNCTION("GOOGLETRANSLATE(F284,""en"",""ur"")"),"انہوں نے کوئی لباس نہیں پہنا ہوا ہے۔")</f>
        <v>انہوں نے کوئی لباس نہیں پہنا ہوا ہے۔</v>
      </c>
      <c r="Q284" s="2" t="s">
        <v>293</v>
      </c>
      <c r="R284" s="2" t="str">
        <f>IFERROR(__xludf.DUMMYFUNCTION("GOOGLETRANSLATE(G284,""en"",""ur"")"),"وہ روایتی ٹونکس اور سر کے لباس پہنے ہوئے ہیں۔")</f>
        <v>وہ روایتی ٹونکس اور سر کے لباس پہنے ہوئے ہیں۔</v>
      </c>
      <c r="S284" s="5" t="s">
        <v>383</v>
      </c>
    </row>
    <row r="285" ht="22.5" customHeight="1">
      <c r="A285" s="4">
        <v>284.0</v>
      </c>
      <c r="B285" s="5" t="s">
        <v>248</v>
      </c>
      <c r="C285" s="5" t="s">
        <v>249</v>
      </c>
      <c r="D285" s="5" t="s">
        <v>250</v>
      </c>
      <c r="E285" s="5" t="s">
        <v>251</v>
      </c>
      <c r="F285" s="5" t="s">
        <v>252</v>
      </c>
      <c r="G285" s="5" t="s">
        <v>250</v>
      </c>
      <c r="H285" s="5" t="s">
        <v>383</v>
      </c>
      <c r="K285" s="2" t="str">
        <f>IFERROR(__xludf.DUMMYFUNCTION("GOOGLETRANSLATE(A285,""en"",""ur"")"),"284")</f>
        <v>284</v>
      </c>
      <c r="L285" s="2" t="str">
        <f>IFERROR(__xludf.DUMMYFUNCTION("GOOGLETRANSLATE(B285,""en"",""ur"")"),"سواروں کی ظاہری باڈی پوزیشن کیا ہے؟")</f>
        <v>سواروں کی ظاہری باڈی پوزیشن کیا ہے؟</v>
      </c>
      <c r="M285" s="2" t="str">
        <f>IFERROR(__xludf.DUMMYFUNCTION("GOOGLETRANSLATE(C285,""en"",""ur"")"),"وہ سیدھے کھڑے ہیں۔")</f>
        <v>وہ سیدھے کھڑے ہیں۔</v>
      </c>
      <c r="N285" s="2" t="str">
        <f>IFERROR(__xludf.DUMMYFUNCTION("GOOGLETRANSLATE(D285,""en"",""ur"")"),"وہ جھک رہے ہیں اور کسی چیز تک پہنچ رہے ہیں۔")</f>
        <v>وہ جھک رہے ہیں اور کسی چیز تک پہنچ رہے ہیں۔</v>
      </c>
      <c r="O285" s="2" t="str">
        <f>IFERROR(__xludf.DUMMYFUNCTION("GOOGLETRANSLATE(E285,""en"",""ur"")"),"وہ گھوڑوں کی پیٹھ پر لیٹے ہوئے ہیں۔")</f>
        <v>وہ گھوڑوں کی پیٹھ پر لیٹے ہوئے ہیں۔</v>
      </c>
      <c r="P285" s="2" t="str">
        <f>IFERROR(__xludf.DUMMYFUNCTION("GOOGLETRANSLATE(F285,""en"",""ur"")"),"وہ آرام سے بیٹھے ہیں۔")</f>
        <v>وہ آرام سے بیٹھے ہیں۔</v>
      </c>
      <c r="Q285" s="2" t="s">
        <v>253</v>
      </c>
      <c r="R285" s="2" t="str">
        <f>IFERROR(__xludf.DUMMYFUNCTION("GOOGLETRANSLATE(G285,""en"",""ur"")"),"وہ جھک رہے ہیں اور کسی چیز تک پہنچ رہے ہیں۔")</f>
        <v>وہ جھک رہے ہیں اور کسی چیز تک پہنچ رہے ہیں۔</v>
      </c>
      <c r="S285" s="5" t="s">
        <v>383</v>
      </c>
    </row>
    <row r="286" ht="22.5" customHeight="1">
      <c r="A286" s="4">
        <v>285.0</v>
      </c>
      <c r="B286" s="5" t="s">
        <v>254</v>
      </c>
      <c r="C286" s="5" t="s">
        <v>47</v>
      </c>
      <c r="D286" s="5" t="s">
        <v>48</v>
      </c>
      <c r="E286" s="5" t="s">
        <v>49</v>
      </c>
      <c r="F286" s="5" t="s">
        <v>50</v>
      </c>
      <c r="G286" s="5" t="s">
        <v>49</v>
      </c>
      <c r="H286" s="5" t="s">
        <v>383</v>
      </c>
      <c r="K286" s="2" t="str">
        <f>IFERROR(__xludf.DUMMYFUNCTION("GOOGLETRANSLATE(A286,""en"",""ur"")"),"285")</f>
        <v>285</v>
      </c>
      <c r="L286" s="2" t="str">
        <f>IFERROR(__xludf.DUMMYFUNCTION("GOOGLETRANSLATE(B286,""en"",""ur"")"),"سواروں کے چہروں سے ظاہری جذبات کیا ہیں؟")</f>
        <v>سواروں کے چہروں سے ظاہری جذبات کیا ہیں؟</v>
      </c>
      <c r="M286" s="2" t="str">
        <f>IFERROR(__xludf.DUMMYFUNCTION("GOOGLETRANSLATE(C286,""en"",""ur"")"),"پرسکون اور پر سکون")</f>
        <v>پرسکون اور پر سکون</v>
      </c>
      <c r="N286" s="2" t="str">
        <f>IFERROR(__xludf.DUMMYFUNCTION("GOOGLETRANSLATE(D286,""en"",""ur"")"),"خوف زدہ اور بے چین")</f>
        <v>خوف زدہ اور بے چین</v>
      </c>
      <c r="O286" s="2" t="str">
        <f>IFERROR(__xludf.DUMMYFUNCTION("GOOGLETRANSLATE(E286,""en"",""ur"")"),"کشیدہ اور شدید")</f>
        <v>کشیدہ اور شدید</v>
      </c>
      <c r="P286" s="2" t="str">
        <f>IFERROR(__xludf.DUMMYFUNCTION("GOOGLETRANSLATE(F286,""en"",""ur"")"),"خوش اور مسکراتے ہوئے۔")</f>
        <v>خوش اور مسکراتے ہوئے۔</v>
      </c>
      <c r="Q286" s="2" t="s">
        <v>51</v>
      </c>
      <c r="R286" s="2" t="str">
        <f>IFERROR(__xludf.DUMMYFUNCTION("GOOGLETRANSLATE(G286,""en"",""ur"")"),"کشیدہ اور شدید")</f>
        <v>کشیدہ اور شدید</v>
      </c>
      <c r="S286" s="5" t="s">
        <v>383</v>
      </c>
    </row>
    <row r="287" ht="22.5" customHeight="1">
      <c r="A287" s="4">
        <v>286.0</v>
      </c>
      <c r="B287" s="5" t="s">
        <v>88</v>
      </c>
      <c r="C287" s="5" t="s">
        <v>89</v>
      </c>
      <c r="D287" s="5" t="s">
        <v>90</v>
      </c>
      <c r="E287" s="5" t="s">
        <v>91</v>
      </c>
      <c r="F287" s="5" t="s">
        <v>255</v>
      </c>
      <c r="G287" s="5" t="s">
        <v>255</v>
      </c>
      <c r="H287" s="5" t="s">
        <v>383</v>
      </c>
      <c r="K287" s="2" t="str">
        <f>IFERROR(__xludf.DUMMYFUNCTION("GOOGLETRANSLATE(A287,""en"",""ur"")"),"286")</f>
        <v>286</v>
      </c>
      <c r="L287" s="2" t="str">
        <f>IFERROR(__xludf.DUMMYFUNCTION("GOOGLETRANSLATE(B287,""en"",""ur"")"),"زمین کی سب سے نمایاں خصوصیت کیا ہے؟")</f>
        <v>زمین کی سب سے نمایاں خصوصیت کیا ہے؟</v>
      </c>
      <c r="M287" s="2" t="str">
        <f>IFERROR(__xludf.DUMMYFUNCTION("GOOGLETRANSLATE(C287,""en"",""ur"")"),"ایک پکی سطح")</f>
        <v>ایک پکی سطح</v>
      </c>
      <c r="N287" s="2" t="str">
        <f>IFERROR(__xludf.DUMMYFUNCTION("GOOGLETRANSLATE(D287,""en"",""ur"")"),"کیچڑ والا میدان")</f>
        <v>کیچڑ والا میدان</v>
      </c>
      <c r="O287" s="2" t="str">
        <f>IFERROR(__xludf.DUMMYFUNCTION("GOOGLETRANSLATE(E287,""en"",""ur"")"),"ایک گھاس دار سطح")</f>
        <v>ایک گھاس دار سطح</v>
      </c>
      <c r="P287" s="2" t="str">
        <f>IFERROR(__xludf.DUMMYFUNCTION("GOOGLETRANSLATE(F287,""en"",""ur"")"),"ریتلی یا گندگی کی سطح")</f>
        <v>ریتلی یا گندگی کی سطح</v>
      </c>
      <c r="Q287" s="2" t="s">
        <v>256</v>
      </c>
      <c r="R287" s="2" t="str">
        <f>IFERROR(__xludf.DUMMYFUNCTION("GOOGLETRANSLATE(G287,""en"",""ur"")"),"ریتلی یا گندگی کی سطح")</f>
        <v>ریتلی یا گندگی کی سطح</v>
      </c>
      <c r="S287" s="5" t="s">
        <v>383</v>
      </c>
    </row>
    <row r="288" ht="22.5" customHeight="1">
      <c r="A288" s="4">
        <v>287.0</v>
      </c>
      <c r="B288" s="5" t="s">
        <v>257</v>
      </c>
      <c r="C288" s="5" t="s">
        <v>95</v>
      </c>
      <c r="D288" s="5" t="s">
        <v>96</v>
      </c>
      <c r="E288" s="5" t="s">
        <v>97</v>
      </c>
      <c r="F288" s="5" t="s">
        <v>258</v>
      </c>
      <c r="G288" s="5" t="s">
        <v>97</v>
      </c>
      <c r="H288" s="5" t="s">
        <v>383</v>
      </c>
      <c r="K288" s="2" t="str">
        <f>IFERROR(__xludf.DUMMYFUNCTION("GOOGLETRANSLATE(A288,""en"",""ur"")"),"287")</f>
        <v>287</v>
      </c>
      <c r="L288" s="2" t="str">
        <f>IFERROR(__xludf.DUMMYFUNCTION("GOOGLETRANSLATE(B288,""en"",""ur"")"),"کھیلے جانے والے کھیل کا نام کیا ہے؟")</f>
        <v>کھیلے جانے والے کھیل کا نام کیا ہے؟</v>
      </c>
      <c r="M288" s="2" t="str">
        <f>IFERROR(__xludf.DUMMYFUNCTION("GOOGLETRANSLATE(C288,""en"",""ur"")"),"پولو")</f>
        <v>پولو</v>
      </c>
      <c r="N288" s="2" t="str">
        <f>IFERROR(__xludf.DUMMYFUNCTION("GOOGLETRANSLATE(D288,""en"",""ur"")"),"گھوڑوں کی دوڑ")</f>
        <v>گھوڑوں کی دوڑ</v>
      </c>
      <c r="O288" s="2" t="str">
        <f>IFERROR(__xludf.DUMMYFUNCTION("GOOGLETRANSLATE(E288,""en"",""ur"")"),"بزکشی۔")</f>
        <v>بزکشی۔</v>
      </c>
      <c r="P288" s="2" t="str">
        <f>IFERROR(__xludf.DUMMYFUNCTION("GOOGLETRANSLATE(F288,""en"",""ur"")"),"گھڑ سواری کے کھیل")</f>
        <v>گھڑ سواری کے کھیل</v>
      </c>
      <c r="Q288" s="2" t="s">
        <v>259</v>
      </c>
      <c r="R288" s="2" t="str">
        <f>IFERROR(__xludf.DUMMYFUNCTION("GOOGLETRANSLATE(G288,""en"",""ur"")"),"بزکشی۔")</f>
        <v>بزکشی۔</v>
      </c>
      <c r="S288" s="5" t="s">
        <v>383</v>
      </c>
    </row>
    <row r="289" ht="22.5" customHeight="1">
      <c r="A289" s="4">
        <v>288.0</v>
      </c>
      <c r="B289" s="5" t="s">
        <v>260</v>
      </c>
      <c r="C289" s="5" t="s">
        <v>261</v>
      </c>
      <c r="D289" s="5" t="s">
        <v>262</v>
      </c>
      <c r="E289" s="5" t="s">
        <v>263</v>
      </c>
      <c r="F289" s="5" t="s">
        <v>264</v>
      </c>
      <c r="G289" s="5" t="s">
        <v>263</v>
      </c>
      <c r="H289" s="5" t="s">
        <v>383</v>
      </c>
      <c r="K289" s="2" t="str">
        <f>IFERROR(__xludf.DUMMYFUNCTION("GOOGLETRANSLATE(A289,""en"",""ur"")"),"288")</f>
        <v>288</v>
      </c>
      <c r="L289" s="2" t="str">
        <f>IFERROR(__xludf.DUMMYFUNCTION("GOOGLETRANSLATE(B289,""en"",""ur"")"),"تصویر میں ایکشن ایک ایسا انداز تجویز کرتا ہے جو اس بات پر زور دیتا ہے...")</f>
        <v>تصویر میں ایکشن ایک ایسا انداز تجویز کرتا ہے جو اس بات پر زور دیتا ہے...</v>
      </c>
      <c r="M289" s="2" t="str">
        <f>IFERROR(__xludf.DUMMYFUNCTION("GOOGLETRANSLATE(C289,""en"",""ur"")"),"روانی اور قلابازیاں")</f>
        <v>روانی اور قلابازیاں</v>
      </c>
      <c r="N289" s="2" t="str">
        <f>IFERROR(__xludf.DUMMYFUNCTION("GOOGLETRANSLATE(D289,""en"",""ur"")"),"زمینی لڑائی اور گرفت")</f>
        <v>زمینی لڑائی اور گرفت</v>
      </c>
      <c r="O289" s="2" t="str">
        <f>IFERROR(__xludf.DUMMYFUNCTION("GOOGLETRANSLATE(E289,""en"",""ur"")"),"وحشیانہ قوت اور گھڑ سواری۔")</f>
        <v>وحشیانہ قوت اور گھڑ سواری۔</v>
      </c>
      <c r="P289" s="2" t="str">
        <f>IFERROR(__xludf.DUMMYFUNCTION("GOOGLETRANSLATE(F289,""en"",""ur"")"),"سادہ، لکیری حرکات")</f>
        <v>سادہ، لکیری حرکات</v>
      </c>
      <c r="Q289" s="2" t="s">
        <v>265</v>
      </c>
      <c r="R289" s="2" t="str">
        <f>IFERROR(__xludf.DUMMYFUNCTION("GOOGLETRANSLATE(G289,""en"",""ur"")"),"وحشیانہ قوت اور گھڑ سواری۔")</f>
        <v>وحشیانہ قوت اور گھڑ سواری۔</v>
      </c>
      <c r="S289" s="5" t="s">
        <v>383</v>
      </c>
    </row>
    <row r="290" ht="22.5" customHeight="1">
      <c r="A290" s="4">
        <v>289.0</v>
      </c>
      <c r="B290" s="5" t="s">
        <v>266</v>
      </c>
      <c r="C290" s="5" t="s">
        <v>59</v>
      </c>
      <c r="D290" s="5" t="s">
        <v>267</v>
      </c>
      <c r="E290" s="5" t="s">
        <v>61</v>
      </c>
      <c r="F290" s="5" t="s">
        <v>268</v>
      </c>
      <c r="G290" s="5" t="s">
        <v>267</v>
      </c>
      <c r="H290" s="5" t="s">
        <v>383</v>
      </c>
      <c r="K290" s="2" t="str">
        <f>IFERROR(__xludf.DUMMYFUNCTION("GOOGLETRANSLATE(A290,""en"",""ur"")"),"289")</f>
        <v>289</v>
      </c>
      <c r="L290" s="2" t="str">
        <f>IFERROR(__xludf.DUMMYFUNCTION("GOOGLETRANSLATE(B290,""en"",""ur"")"),"گھوڑوں کے بارے میں ایک قابل ذکر تفصیل کیا ہے؟")</f>
        <v>گھوڑوں کے بارے میں ایک قابل ذکر تفصیل کیا ہے؟</v>
      </c>
      <c r="M290" s="2" t="str">
        <f>IFERROR(__xludf.DUMMYFUNCTION("GOOGLETRANSLATE(C290,""en"",""ur"")"),"وہ سب ایک ہی رنگ کے ہیں۔")</f>
        <v>وہ سب ایک ہی رنگ کے ہیں۔</v>
      </c>
      <c r="N290" s="2" t="str">
        <f>IFERROR(__xludf.DUMMYFUNCTION("GOOGLETRANSLATE(D290,""en"",""ur"")"),"وہ رنگوں اور نسلوں کا مرکب ہیں۔")</f>
        <v>وہ رنگوں اور نسلوں کا مرکب ہیں۔</v>
      </c>
      <c r="O290" s="2" t="str">
        <f>IFERROR(__xludf.DUMMYFUNCTION("GOOGLETRANSLATE(E290,""en"",""ur"")"),"وہ سب وسیع نمونوں کے ساتھ زین پہنے ہوئے ہیں۔")</f>
        <v>وہ سب وسیع نمونوں کے ساتھ زین پہنے ہوئے ہیں۔</v>
      </c>
      <c r="P290" s="2" t="str">
        <f>IFERROR(__xludf.DUMMYFUNCTION("GOOGLETRANSLATE(F290,""en"",""ur"")"),"وہ سب خاموش کھڑے ہیں۔")</f>
        <v>وہ سب خاموش کھڑے ہیں۔</v>
      </c>
      <c r="Q290" s="2" t="s">
        <v>269</v>
      </c>
      <c r="R290" s="2" t="str">
        <f>IFERROR(__xludf.DUMMYFUNCTION("GOOGLETRANSLATE(G290,""en"",""ur"")"),"وہ رنگوں اور نسلوں کا مرکب ہیں۔")</f>
        <v>وہ رنگوں اور نسلوں کا مرکب ہیں۔</v>
      </c>
      <c r="S290" s="5" t="s">
        <v>383</v>
      </c>
    </row>
    <row r="291" ht="22.5" customHeight="1">
      <c r="A291" s="4">
        <v>290.0</v>
      </c>
      <c r="B291" s="5" t="s">
        <v>270</v>
      </c>
      <c r="C291" s="5" t="s">
        <v>271</v>
      </c>
      <c r="D291" s="5" t="s">
        <v>272</v>
      </c>
      <c r="E291" s="5" t="s">
        <v>273</v>
      </c>
      <c r="F291" s="5" t="s">
        <v>274</v>
      </c>
      <c r="G291" s="5" t="s">
        <v>274</v>
      </c>
      <c r="H291" s="5" t="s">
        <v>383</v>
      </c>
      <c r="K291" s="2" t="str">
        <f>IFERROR(__xludf.DUMMYFUNCTION("GOOGLETRANSLATE(A291,""en"",""ur"")"),"290")</f>
        <v>290</v>
      </c>
      <c r="L291" s="2" t="str">
        <f>IFERROR(__xludf.DUMMYFUNCTION("GOOGLETRANSLATE(B291,""en"",""ur"")"),"مرکز میں سوار کے بارے میں ایک قابل ذکر تفصیل کیا ہے؟")</f>
        <v>مرکز میں سوار کے بارے میں ایک قابل ذکر تفصیل کیا ہے؟</v>
      </c>
      <c r="M291" s="2" t="str">
        <f>IFERROR(__xludf.DUMMYFUNCTION("GOOGLETRANSLATE(C291,""en"",""ur"")"),"وہ اپنے گھوڑے سے گر رہا ہے۔")</f>
        <v>وہ اپنے گھوڑے سے گر رہا ہے۔</v>
      </c>
      <c r="N291" s="2" t="str">
        <f>IFERROR(__xludf.DUMMYFUNCTION("GOOGLETRANSLATE(D291,""en"",""ur"")"),"اس نے بینر اٹھا رکھا ہے۔")</f>
        <v>اس نے بینر اٹھا رکھا ہے۔</v>
      </c>
      <c r="O291" s="2" t="str">
        <f>IFERROR(__xludf.DUMMYFUNCTION("GOOGLETRANSLATE(E291,""en"",""ur"")"),"اس نے رسی پکڑی ہوئی ہے۔")</f>
        <v>اس نے رسی پکڑی ہوئی ہے۔</v>
      </c>
      <c r="P291" s="2" t="str">
        <f>IFERROR(__xludf.DUMMYFUNCTION("GOOGLETRANSLATE(F291,""en"",""ur"")"),"اس نے چھڑی پکڑی ہوئی ہے۔")</f>
        <v>اس نے چھڑی پکڑی ہوئی ہے۔</v>
      </c>
      <c r="Q291" s="2" t="s">
        <v>275</v>
      </c>
      <c r="R291" s="2" t="str">
        <f>IFERROR(__xludf.DUMMYFUNCTION("GOOGLETRANSLATE(G291,""en"",""ur"")"),"اس نے چھڑی پکڑی ہوئی ہے۔")</f>
        <v>اس نے چھڑی پکڑی ہوئی ہے۔</v>
      </c>
      <c r="S291" s="5" t="s">
        <v>383</v>
      </c>
    </row>
    <row r="292" ht="22.5" customHeight="1">
      <c r="A292" s="4">
        <v>291.0</v>
      </c>
      <c r="B292" s="5" t="s">
        <v>384</v>
      </c>
      <c r="C292" s="5" t="s">
        <v>103</v>
      </c>
      <c r="D292" s="5" t="s">
        <v>71</v>
      </c>
      <c r="E292" s="5" t="s">
        <v>72</v>
      </c>
      <c r="F292" s="5" t="s">
        <v>73</v>
      </c>
      <c r="G292" s="5" t="s">
        <v>71</v>
      </c>
      <c r="H292" s="5" t="s">
        <v>385</v>
      </c>
      <c r="K292" s="2" t="str">
        <f>IFERROR(__xludf.DUMMYFUNCTION("GOOGLETRANSLATE(A292,""en"",""ur"")"),"291")</f>
        <v>291</v>
      </c>
      <c r="L292" s="2" t="str">
        <f>IFERROR(__xludf.DUMMYFUNCTION("GOOGLETRANSLATE(B292,""en"",""ur"")"),"buzkashi_71 میں دکھائی جانے والی اہم کارروائی کیا ہے؟")</f>
        <v>buzkashi_71 میں دکھائی جانے والی اہم کارروائی کیا ہے؟</v>
      </c>
      <c r="M292" s="2" t="str">
        <f>IFERROR(__xludf.DUMMYFUNCTION("GOOGLETRANSLATE(C292,""en"",""ur"")"),"آرام سے گھوڑے کی سواری۔")</f>
        <v>آرام سے گھوڑے کی سواری۔</v>
      </c>
      <c r="N292" s="2" t="str">
        <f>IFERROR(__xludf.DUMMYFUNCTION("GOOGLETRANSLATE(D292,""en"",""ur"")"),"سواروں کا ایک گروپ جو مرکزی چیز کے لیے مقابلہ کر رہا ہے۔")</f>
        <v>سواروں کا ایک گروپ جو مرکزی چیز کے لیے مقابلہ کر رہا ہے۔</v>
      </c>
      <c r="O292" s="2" t="str">
        <f>IFERROR(__xludf.DUMMYFUNCTION("GOOGLETRANSLATE(E292,""en"",""ur"")"),"گھوڑوں کی پریڈ")</f>
        <v>گھوڑوں کی پریڈ</v>
      </c>
      <c r="P292" s="2" t="str">
        <f>IFERROR(__xludf.DUMMYFUNCTION("GOOGLETRANSLATE(F292,""en"",""ur"")"),"گھوڑوں کی دوڑ")</f>
        <v>گھوڑوں کی دوڑ</v>
      </c>
      <c r="Q292" s="2" t="s">
        <v>278</v>
      </c>
      <c r="R292" s="2" t="str">
        <f>IFERROR(__xludf.DUMMYFUNCTION("GOOGLETRANSLATE(G292,""en"",""ur"")"),"سواروں کا ایک گروپ جو مرکزی چیز کے لیے مقابلہ کر رہا ہے۔")</f>
        <v>سواروں کا ایک گروپ جو مرکزی چیز کے لیے مقابلہ کر رہا ہے۔</v>
      </c>
      <c r="S292" s="5" t="s">
        <v>385</v>
      </c>
    </row>
    <row r="293" ht="22.5" customHeight="1">
      <c r="A293" s="4">
        <v>292.0</v>
      </c>
      <c r="B293" s="5" t="s">
        <v>238</v>
      </c>
      <c r="C293" s="5" t="s">
        <v>239</v>
      </c>
      <c r="D293" s="5" t="s">
        <v>84</v>
      </c>
      <c r="E293" s="5" t="s">
        <v>85</v>
      </c>
      <c r="F293" s="5" t="s">
        <v>240</v>
      </c>
      <c r="G293" s="5" t="s">
        <v>84</v>
      </c>
      <c r="H293" s="5" t="s">
        <v>385</v>
      </c>
      <c r="K293" s="2" t="str">
        <f>IFERROR(__xludf.DUMMYFUNCTION("GOOGLETRANSLATE(A293,""en"",""ur"")"),"292")</f>
        <v>292</v>
      </c>
      <c r="L293" s="2" t="str">
        <f>IFERROR(__xludf.DUMMYFUNCTION("GOOGLETRANSLATE(B293,""en"",""ur"")"),"اس گیم کی ترتیب کے بارے میں ایک قابل ذکر تفصیل کیا ہے؟")</f>
        <v>اس گیم کی ترتیب کے بارے میں ایک قابل ذکر تفصیل کیا ہے؟</v>
      </c>
      <c r="M293" s="2" t="str">
        <f>IFERROR(__xludf.DUMMYFUNCTION("GOOGLETRANSLATE(C293,""en"",""ur"")"),"یہ ایک بڑے اسٹیڈیم میں ہے۔")</f>
        <v>یہ ایک بڑے اسٹیڈیم میں ہے۔</v>
      </c>
      <c r="N293" s="2" t="str">
        <f>IFERROR(__xludf.DUMMYFUNCTION("GOOGLETRANSLATE(D293,""en"",""ur"")"),"یہ پہاڑی، پتھریلی علاقے میں ایک میدان میں ہے۔")</f>
        <v>یہ پہاڑی، پتھریلی علاقے میں ایک میدان میں ہے۔</v>
      </c>
      <c r="O293" s="2" t="str">
        <f>IFERROR(__xludf.DUMMYFUNCTION("GOOGLETRANSLATE(E293,""en"",""ur"")"),"یہ شہر کی سڑک پر ہے۔")</f>
        <v>یہ شہر کی سڑک پر ہے۔</v>
      </c>
      <c r="P293" s="2" t="str">
        <f>IFERROR(__xludf.DUMMYFUNCTION("GOOGLETRANSLATE(F293,""en"",""ur"")"),"یہ ایک پرسکون ساحل سمندر پر ہے۔")</f>
        <v>یہ ایک پرسکون ساحل سمندر پر ہے۔</v>
      </c>
      <c r="Q293" s="2" t="s">
        <v>241</v>
      </c>
      <c r="R293" s="2" t="str">
        <f>IFERROR(__xludf.DUMMYFUNCTION("GOOGLETRANSLATE(G293,""en"",""ur"")"),"یہ پہاڑی، پتھریلی علاقے میں ایک میدان میں ہے۔")</f>
        <v>یہ پہاڑی، پتھریلی علاقے میں ایک میدان میں ہے۔</v>
      </c>
      <c r="S293" s="5" t="s">
        <v>385</v>
      </c>
    </row>
    <row r="294" ht="22.5" customHeight="1">
      <c r="A294" s="4">
        <v>293.0</v>
      </c>
      <c r="B294" s="5" t="s">
        <v>242</v>
      </c>
      <c r="C294" s="5" t="s">
        <v>243</v>
      </c>
      <c r="D294" s="5" t="s">
        <v>292</v>
      </c>
      <c r="E294" s="5" t="s">
        <v>245</v>
      </c>
      <c r="F294" s="5" t="s">
        <v>246</v>
      </c>
      <c r="G294" s="5" t="s">
        <v>292</v>
      </c>
      <c r="H294" s="5" t="s">
        <v>385</v>
      </c>
      <c r="K294" s="2" t="str">
        <f>IFERROR(__xludf.DUMMYFUNCTION("GOOGLETRANSLATE(A294,""en"",""ur"")"),"293")</f>
        <v>293</v>
      </c>
      <c r="L294" s="2" t="str">
        <f>IFERROR(__xludf.DUMMYFUNCTION("GOOGLETRANSLATE(B294,""en"",""ur"")"),"سواروں کے لباس کے بارے میں واضح تفصیل کیا ہے؟")</f>
        <v>سواروں کے لباس کے بارے میں واضح تفصیل کیا ہے؟</v>
      </c>
      <c r="M294" s="2" t="str">
        <f>IFERROR(__xludf.DUMMYFUNCTION("GOOGLETRANSLATE(C294,""en"",""ur"")"),"وہ جدید کھیلوں کی وردی پہنے ہوئے ہیں۔")</f>
        <v>وہ جدید کھیلوں کی وردی پہنے ہوئے ہیں۔</v>
      </c>
      <c r="N294" s="2" t="str">
        <f>IFERROR(__xludf.DUMMYFUNCTION("GOOGLETRANSLATE(D294,""en"",""ur"")"),"وہ روایتی ٹونکس اور سر کے لباس پہنے ہوئے ہیں۔")</f>
        <v>وہ روایتی ٹونکس اور سر کے لباس پہنے ہوئے ہیں۔</v>
      </c>
      <c r="O294" s="2" t="str">
        <f>IFERROR(__xludf.DUMMYFUNCTION("GOOGLETRANSLATE(E294,""en"",""ur"")"),"وہ رسمی سوٹ پہنے ہوئے ہیں۔")</f>
        <v>وہ رسمی سوٹ پہنے ہوئے ہیں۔</v>
      </c>
      <c r="P294" s="2" t="str">
        <f>IFERROR(__xludf.DUMMYFUNCTION("GOOGLETRANSLATE(F294,""en"",""ur"")"),"انہوں نے کوئی لباس نہیں پہنا ہوا ہے۔")</f>
        <v>انہوں نے کوئی لباس نہیں پہنا ہوا ہے۔</v>
      </c>
      <c r="Q294" s="2" t="s">
        <v>293</v>
      </c>
      <c r="R294" s="2" t="str">
        <f>IFERROR(__xludf.DUMMYFUNCTION("GOOGLETRANSLATE(G294,""en"",""ur"")"),"وہ روایتی ٹونکس اور سر کے لباس پہنے ہوئے ہیں۔")</f>
        <v>وہ روایتی ٹونکس اور سر کے لباس پہنے ہوئے ہیں۔</v>
      </c>
      <c r="S294" s="5" t="s">
        <v>385</v>
      </c>
    </row>
    <row r="295" ht="22.5" customHeight="1">
      <c r="A295" s="4">
        <v>294.0</v>
      </c>
      <c r="B295" s="5" t="s">
        <v>248</v>
      </c>
      <c r="C295" s="5" t="s">
        <v>249</v>
      </c>
      <c r="D295" s="5" t="s">
        <v>250</v>
      </c>
      <c r="E295" s="5" t="s">
        <v>251</v>
      </c>
      <c r="F295" s="5" t="s">
        <v>252</v>
      </c>
      <c r="G295" s="5" t="s">
        <v>250</v>
      </c>
      <c r="H295" s="5" t="s">
        <v>385</v>
      </c>
      <c r="K295" s="2" t="str">
        <f>IFERROR(__xludf.DUMMYFUNCTION("GOOGLETRANSLATE(A295,""en"",""ur"")"),"294")</f>
        <v>294</v>
      </c>
      <c r="L295" s="2" t="str">
        <f>IFERROR(__xludf.DUMMYFUNCTION("GOOGLETRANSLATE(B295,""en"",""ur"")"),"سواروں کی ظاہری باڈی پوزیشن کیا ہے؟")</f>
        <v>سواروں کی ظاہری باڈی پوزیشن کیا ہے؟</v>
      </c>
      <c r="M295" s="2" t="str">
        <f>IFERROR(__xludf.DUMMYFUNCTION("GOOGLETRANSLATE(C295,""en"",""ur"")"),"وہ سیدھے کھڑے ہیں۔")</f>
        <v>وہ سیدھے کھڑے ہیں۔</v>
      </c>
      <c r="N295" s="2" t="str">
        <f>IFERROR(__xludf.DUMMYFUNCTION("GOOGLETRANSLATE(D295,""en"",""ur"")"),"وہ جھک رہے ہیں اور کسی چیز تک پہنچ رہے ہیں۔")</f>
        <v>وہ جھک رہے ہیں اور کسی چیز تک پہنچ رہے ہیں۔</v>
      </c>
      <c r="O295" s="2" t="str">
        <f>IFERROR(__xludf.DUMMYFUNCTION("GOOGLETRANSLATE(E295,""en"",""ur"")"),"وہ گھوڑوں کی پیٹھ پر لیٹے ہوئے ہیں۔")</f>
        <v>وہ گھوڑوں کی پیٹھ پر لیٹے ہوئے ہیں۔</v>
      </c>
      <c r="P295" s="2" t="str">
        <f>IFERROR(__xludf.DUMMYFUNCTION("GOOGLETRANSLATE(F295,""en"",""ur"")"),"وہ آرام سے بیٹھے ہیں۔")</f>
        <v>وہ آرام سے بیٹھے ہیں۔</v>
      </c>
      <c r="Q295" s="2" t="s">
        <v>253</v>
      </c>
      <c r="R295" s="2" t="str">
        <f>IFERROR(__xludf.DUMMYFUNCTION("GOOGLETRANSLATE(G295,""en"",""ur"")"),"وہ جھک رہے ہیں اور کسی چیز تک پہنچ رہے ہیں۔")</f>
        <v>وہ جھک رہے ہیں اور کسی چیز تک پہنچ رہے ہیں۔</v>
      </c>
      <c r="S295" s="5" t="s">
        <v>385</v>
      </c>
    </row>
    <row r="296" ht="22.5" customHeight="1">
      <c r="A296" s="4">
        <v>295.0</v>
      </c>
      <c r="B296" s="5" t="s">
        <v>254</v>
      </c>
      <c r="C296" s="5" t="s">
        <v>47</v>
      </c>
      <c r="D296" s="5" t="s">
        <v>48</v>
      </c>
      <c r="E296" s="5" t="s">
        <v>49</v>
      </c>
      <c r="F296" s="5" t="s">
        <v>50</v>
      </c>
      <c r="G296" s="5" t="s">
        <v>49</v>
      </c>
      <c r="H296" s="5" t="s">
        <v>385</v>
      </c>
      <c r="K296" s="2" t="str">
        <f>IFERROR(__xludf.DUMMYFUNCTION("GOOGLETRANSLATE(A296,""en"",""ur"")"),"295")</f>
        <v>295</v>
      </c>
      <c r="L296" s="2" t="str">
        <f>IFERROR(__xludf.DUMMYFUNCTION("GOOGLETRANSLATE(B296,""en"",""ur"")"),"سواروں کے چہروں سے ظاہری جذبات کیا ہیں؟")</f>
        <v>سواروں کے چہروں سے ظاہری جذبات کیا ہیں؟</v>
      </c>
      <c r="M296" s="2" t="str">
        <f>IFERROR(__xludf.DUMMYFUNCTION("GOOGLETRANSLATE(C296,""en"",""ur"")"),"پرسکون اور پر سکون")</f>
        <v>پرسکون اور پر سکون</v>
      </c>
      <c r="N296" s="2" t="str">
        <f>IFERROR(__xludf.DUMMYFUNCTION("GOOGLETRANSLATE(D296,""en"",""ur"")"),"خوف زدہ اور بے چین")</f>
        <v>خوف زدہ اور بے چین</v>
      </c>
      <c r="O296" s="2" t="str">
        <f>IFERROR(__xludf.DUMMYFUNCTION("GOOGLETRANSLATE(E296,""en"",""ur"")"),"کشیدہ اور شدید")</f>
        <v>کشیدہ اور شدید</v>
      </c>
      <c r="P296" s="2" t="str">
        <f>IFERROR(__xludf.DUMMYFUNCTION("GOOGLETRANSLATE(F296,""en"",""ur"")"),"خوش اور مسکراتے ہوئے۔")</f>
        <v>خوش اور مسکراتے ہوئے۔</v>
      </c>
      <c r="Q296" s="2" t="s">
        <v>51</v>
      </c>
      <c r="R296" s="2" t="str">
        <f>IFERROR(__xludf.DUMMYFUNCTION("GOOGLETRANSLATE(G296,""en"",""ur"")"),"کشیدہ اور شدید")</f>
        <v>کشیدہ اور شدید</v>
      </c>
      <c r="S296" s="5" t="s">
        <v>385</v>
      </c>
    </row>
    <row r="297" ht="22.5" customHeight="1">
      <c r="A297" s="4">
        <v>296.0</v>
      </c>
      <c r="B297" s="5" t="s">
        <v>88</v>
      </c>
      <c r="C297" s="5" t="s">
        <v>89</v>
      </c>
      <c r="D297" s="5" t="s">
        <v>90</v>
      </c>
      <c r="E297" s="5" t="s">
        <v>91</v>
      </c>
      <c r="F297" s="5" t="s">
        <v>255</v>
      </c>
      <c r="G297" s="5" t="s">
        <v>255</v>
      </c>
      <c r="H297" s="5" t="s">
        <v>385</v>
      </c>
      <c r="K297" s="2" t="str">
        <f>IFERROR(__xludf.DUMMYFUNCTION("GOOGLETRANSLATE(A297,""en"",""ur"")"),"296")</f>
        <v>296</v>
      </c>
      <c r="L297" s="2" t="str">
        <f>IFERROR(__xludf.DUMMYFUNCTION("GOOGLETRANSLATE(B297,""en"",""ur"")"),"زمین کی سب سے نمایاں خصوصیت کیا ہے؟")</f>
        <v>زمین کی سب سے نمایاں خصوصیت کیا ہے؟</v>
      </c>
      <c r="M297" s="2" t="str">
        <f>IFERROR(__xludf.DUMMYFUNCTION("GOOGLETRANSLATE(C297,""en"",""ur"")"),"ایک پکی سطح")</f>
        <v>ایک پکی سطح</v>
      </c>
      <c r="N297" s="2" t="str">
        <f>IFERROR(__xludf.DUMMYFUNCTION("GOOGLETRANSLATE(D297,""en"",""ur"")"),"کیچڑ والا میدان")</f>
        <v>کیچڑ والا میدان</v>
      </c>
      <c r="O297" s="2" t="str">
        <f>IFERROR(__xludf.DUMMYFUNCTION("GOOGLETRANSLATE(E297,""en"",""ur"")"),"ایک گھاس دار سطح")</f>
        <v>ایک گھاس دار سطح</v>
      </c>
      <c r="P297" s="2" t="str">
        <f>IFERROR(__xludf.DUMMYFUNCTION("GOOGLETRANSLATE(F297,""en"",""ur"")"),"ریتلی یا گندگی کی سطح")</f>
        <v>ریتلی یا گندگی کی سطح</v>
      </c>
      <c r="Q297" s="2" t="s">
        <v>256</v>
      </c>
      <c r="R297" s="2" t="str">
        <f>IFERROR(__xludf.DUMMYFUNCTION("GOOGLETRANSLATE(G297,""en"",""ur"")"),"ریتلی یا گندگی کی سطح")</f>
        <v>ریتلی یا گندگی کی سطح</v>
      </c>
      <c r="S297" s="5" t="s">
        <v>385</v>
      </c>
    </row>
    <row r="298" ht="22.5" customHeight="1">
      <c r="A298" s="4">
        <v>297.0</v>
      </c>
      <c r="B298" s="5" t="s">
        <v>257</v>
      </c>
      <c r="C298" s="5" t="s">
        <v>95</v>
      </c>
      <c r="D298" s="5" t="s">
        <v>96</v>
      </c>
      <c r="E298" s="5" t="s">
        <v>97</v>
      </c>
      <c r="F298" s="5" t="s">
        <v>258</v>
      </c>
      <c r="G298" s="5" t="s">
        <v>97</v>
      </c>
      <c r="H298" s="5" t="s">
        <v>385</v>
      </c>
      <c r="K298" s="2" t="str">
        <f>IFERROR(__xludf.DUMMYFUNCTION("GOOGLETRANSLATE(A298,""en"",""ur"")"),"297")</f>
        <v>297</v>
      </c>
      <c r="L298" s="2" t="str">
        <f>IFERROR(__xludf.DUMMYFUNCTION("GOOGLETRANSLATE(B298,""en"",""ur"")"),"کھیلے جانے والے کھیل کا نام کیا ہے؟")</f>
        <v>کھیلے جانے والے کھیل کا نام کیا ہے؟</v>
      </c>
      <c r="M298" s="2" t="str">
        <f>IFERROR(__xludf.DUMMYFUNCTION("GOOGLETRANSLATE(C298,""en"",""ur"")"),"پولو")</f>
        <v>پولو</v>
      </c>
      <c r="N298" s="2" t="str">
        <f>IFERROR(__xludf.DUMMYFUNCTION("GOOGLETRANSLATE(D298,""en"",""ur"")"),"گھوڑوں کی دوڑ")</f>
        <v>گھوڑوں کی دوڑ</v>
      </c>
      <c r="O298" s="2" t="str">
        <f>IFERROR(__xludf.DUMMYFUNCTION("GOOGLETRANSLATE(E298,""en"",""ur"")"),"بزکشی۔")</f>
        <v>بزکشی۔</v>
      </c>
      <c r="P298" s="2" t="str">
        <f>IFERROR(__xludf.DUMMYFUNCTION("GOOGLETRANSLATE(F298,""en"",""ur"")"),"گھڑ سواری کے کھیل")</f>
        <v>گھڑ سواری کے کھیل</v>
      </c>
      <c r="Q298" s="2" t="s">
        <v>259</v>
      </c>
      <c r="R298" s="2" t="str">
        <f>IFERROR(__xludf.DUMMYFUNCTION("GOOGLETRANSLATE(G298,""en"",""ur"")"),"بزکشی۔")</f>
        <v>بزکشی۔</v>
      </c>
      <c r="S298" s="5" t="s">
        <v>385</v>
      </c>
    </row>
    <row r="299" ht="22.5" customHeight="1">
      <c r="A299" s="4">
        <v>298.0</v>
      </c>
      <c r="B299" s="5" t="s">
        <v>260</v>
      </c>
      <c r="C299" s="5" t="s">
        <v>261</v>
      </c>
      <c r="D299" s="5" t="s">
        <v>262</v>
      </c>
      <c r="E299" s="5" t="s">
        <v>263</v>
      </c>
      <c r="F299" s="5" t="s">
        <v>264</v>
      </c>
      <c r="G299" s="5" t="s">
        <v>263</v>
      </c>
      <c r="H299" s="5" t="s">
        <v>385</v>
      </c>
      <c r="K299" s="2" t="str">
        <f>IFERROR(__xludf.DUMMYFUNCTION("GOOGLETRANSLATE(A299,""en"",""ur"")"),"298")</f>
        <v>298</v>
      </c>
      <c r="L299" s="2" t="str">
        <f>IFERROR(__xludf.DUMMYFUNCTION("GOOGLETRANSLATE(B299,""en"",""ur"")"),"تصویر میں ایکشن ایک ایسا انداز تجویز کرتا ہے جو اس بات پر زور دیتا ہے...")</f>
        <v>تصویر میں ایکشن ایک ایسا انداز تجویز کرتا ہے جو اس بات پر زور دیتا ہے...</v>
      </c>
      <c r="M299" s="2" t="str">
        <f>IFERROR(__xludf.DUMMYFUNCTION("GOOGLETRANSLATE(C299,""en"",""ur"")"),"روانی اور قلابازیاں")</f>
        <v>روانی اور قلابازیاں</v>
      </c>
      <c r="N299" s="2" t="str">
        <f>IFERROR(__xludf.DUMMYFUNCTION("GOOGLETRANSLATE(D299,""en"",""ur"")"),"زمینی لڑائی اور گرفت")</f>
        <v>زمینی لڑائی اور گرفت</v>
      </c>
      <c r="O299" s="2" t="str">
        <f>IFERROR(__xludf.DUMMYFUNCTION("GOOGLETRANSLATE(E299,""en"",""ur"")"),"وحشیانہ قوت اور گھڑ سواری۔")</f>
        <v>وحشیانہ قوت اور گھڑ سواری۔</v>
      </c>
      <c r="P299" s="2" t="str">
        <f>IFERROR(__xludf.DUMMYFUNCTION("GOOGLETRANSLATE(F299,""en"",""ur"")"),"سادہ، لکیری حرکات")</f>
        <v>سادہ، لکیری حرکات</v>
      </c>
      <c r="Q299" s="2" t="s">
        <v>265</v>
      </c>
      <c r="R299" s="2" t="str">
        <f>IFERROR(__xludf.DUMMYFUNCTION("GOOGLETRANSLATE(G299,""en"",""ur"")"),"وحشیانہ قوت اور گھڑ سواری۔")</f>
        <v>وحشیانہ قوت اور گھڑ سواری۔</v>
      </c>
      <c r="S299" s="5" t="s">
        <v>385</v>
      </c>
    </row>
    <row r="300" ht="22.5" customHeight="1">
      <c r="A300" s="4">
        <v>299.0</v>
      </c>
      <c r="B300" s="5" t="s">
        <v>266</v>
      </c>
      <c r="C300" s="5" t="s">
        <v>59</v>
      </c>
      <c r="D300" s="5" t="s">
        <v>267</v>
      </c>
      <c r="E300" s="5" t="s">
        <v>61</v>
      </c>
      <c r="F300" s="5" t="s">
        <v>268</v>
      </c>
      <c r="G300" s="5" t="s">
        <v>267</v>
      </c>
      <c r="H300" s="5" t="s">
        <v>385</v>
      </c>
      <c r="K300" s="2" t="str">
        <f>IFERROR(__xludf.DUMMYFUNCTION("GOOGLETRANSLATE(A300,""en"",""ur"")"),"299")</f>
        <v>299</v>
      </c>
      <c r="L300" s="2" t="str">
        <f>IFERROR(__xludf.DUMMYFUNCTION("GOOGLETRANSLATE(B300,""en"",""ur"")"),"گھوڑوں کے بارے میں ایک قابل ذکر تفصیل کیا ہے؟")</f>
        <v>گھوڑوں کے بارے میں ایک قابل ذکر تفصیل کیا ہے؟</v>
      </c>
      <c r="M300" s="2" t="str">
        <f>IFERROR(__xludf.DUMMYFUNCTION("GOOGLETRANSLATE(C300,""en"",""ur"")"),"وہ سب ایک ہی رنگ کے ہیں۔")</f>
        <v>وہ سب ایک ہی رنگ کے ہیں۔</v>
      </c>
      <c r="N300" s="2" t="str">
        <f>IFERROR(__xludf.DUMMYFUNCTION("GOOGLETRANSLATE(D300,""en"",""ur"")"),"وہ رنگوں اور نسلوں کا مرکب ہیں۔")</f>
        <v>وہ رنگوں اور نسلوں کا مرکب ہیں۔</v>
      </c>
      <c r="O300" s="2" t="str">
        <f>IFERROR(__xludf.DUMMYFUNCTION("GOOGLETRANSLATE(E300,""en"",""ur"")"),"وہ سب وسیع نمونوں کے ساتھ زین پہنے ہوئے ہیں۔")</f>
        <v>وہ سب وسیع نمونوں کے ساتھ زین پہنے ہوئے ہیں۔</v>
      </c>
      <c r="P300" s="2" t="str">
        <f>IFERROR(__xludf.DUMMYFUNCTION("GOOGLETRANSLATE(F300,""en"",""ur"")"),"وہ سب خاموش کھڑے ہیں۔")</f>
        <v>وہ سب خاموش کھڑے ہیں۔</v>
      </c>
      <c r="Q300" s="2" t="s">
        <v>269</v>
      </c>
      <c r="R300" s="2" t="str">
        <f>IFERROR(__xludf.DUMMYFUNCTION("GOOGLETRANSLATE(G300,""en"",""ur"")"),"وہ رنگوں اور نسلوں کا مرکب ہیں۔")</f>
        <v>وہ رنگوں اور نسلوں کا مرکب ہیں۔</v>
      </c>
      <c r="S300" s="5" t="s">
        <v>385</v>
      </c>
    </row>
    <row r="301" ht="22.5" customHeight="1">
      <c r="A301" s="4">
        <v>300.0</v>
      </c>
      <c r="B301" s="5" t="s">
        <v>270</v>
      </c>
      <c r="C301" s="5" t="s">
        <v>271</v>
      </c>
      <c r="D301" s="5" t="s">
        <v>272</v>
      </c>
      <c r="E301" s="5" t="s">
        <v>273</v>
      </c>
      <c r="F301" s="5" t="s">
        <v>274</v>
      </c>
      <c r="G301" s="5" t="s">
        <v>274</v>
      </c>
      <c r="H301" s="5" t="s">
        <v>385</v>
      </c>
      <c r="K301" s="2" t="str">
        <f>IFERROR(__xludf.DUMMYFUNCTION("GOOGLETRANSLATE(A301,""en"",""ur"")"),"300")</f>
        <v>300</v>
      </c>
      <c r="L301" s="2" t="str">
        <f>IFERROR(__xludf.DUMMYFUNCTION("GOOGLETRANSLATE(B301,""en"",""ur"")"),"مرکز میں سوار کے بارے میں ایک قابل ذکر تفصیل کیا ہے؟")</f>
        <v>مرکز میں سوار کے بارے میں ایک قابل ذکر تفصیل کیا ہے؟</v>
      </c>
      <c r="M301" s="2" t="str">
        <f>IFERROR(__xludf.DUMMYFUNCTION("GOOGLETRANSLATE(C301,""en"",""ur"")"),"وہ اپنے گھوڑے سے گر رہا ہے۔")</f>
        <v>وہ اپنے گھوڑے سے گر رہا ہے۔</v>
      </c>
      <c r="N301" s="2" t="str">
        <f>IFERROR(__xludf.DUMMYFUNCTION("GOOGLETRANSLATE(D301,""en"",""ur"")"),"اس نے بینر اٹھا رکھا ہے۔")</f>
        <v>اس نے بینر اٹھا رکھا ہے۔</v>
      </c>
      <c r="O301" s="2" t="str">
        <f>IFERROR(__xludf.DUMMYFUNCTION("GOOGLETRANSLATE(E301,""en"",""ur"")"),"اس نے رسی پکڑی ہوئی ہے۔")</f>
        <v>اس نے رسی پکڑی ہوئی ہے۔</v>
      </c>
      <c r="P301" s="2" t="str">
        <f>IFERROR(__xludf.DUMMYFUNCTION("GOOGLETRANSLATE(F301,""en"",""ur"")"),"اس نے چھڑی پکڑی ہوئی ہے۔")</f>
        <v>اس نے چھڑی پکڑی ہوئی ہے۔</v>
      </c>
      <c r="Q301" s="2" t="s">
        <v>275</v>
      </c>
      <c r="R301" s="2" t="str">
        <f>IFERROR(__xludf.DUMMYFUNCTION("GOOGLETRANSLATE(G301,""en"",""ur"")"),"اس نے چھڑی پکڑی ہوئی ہے۔")</f>
        <v>اس نے چھڑی پکڑی ہوئی ہے۔</v>
      </c>
      <c r="S301" s="5" t="s">
        <v>385</v>
      </c>
    </row>
    <row r="302" ht="22.5" customHeight="1">
      <c r="A302" s="4">
        <v>301.0</v>
      </c>
      <c r="B302" s="5" t="s">
        <v>386</v>
      </c>
      <c r="C302" s="5" t="s">
        <v>103</v>
      </c>
      <c r="D302" s="5" t="s">
        <v>71</v>
      </c>
      <c r="E302" s="5" t="s">
        <v>72</v>
      </c>
      <c r="F302" s="5" t="s">
        <v>73</v>
      </c>
      <c r="G302" s="5" t="s">
        <v>71</v>
      </c>
      <c r="H302" s="5" t="s">
        <v>387</v>
      </c>
      <c r="K302" s="2" t="str">
        <f>IFERROR(__xludf.DUMMYFUNCTION("GOOGLETRANSLATE(A302,""en"",""ur"")"),"301")</f>
        <v>301</v>
      </c>
      <c r="L302" s="2" t="str">
        <f>IFERROR(__xludf.DUMMYFUNCTION("GOOGLETRANSLATE(B302,""en"",""ur"")"),"buzkashi_77 میں دکھائی جانے والی اہم کارروائی کیا ہے؟")</f>
        <v>buzkashi_77 میں دکھائی جانے والی اہم کارروائی کیا ہے؟</v>
      </c>
      <c r="M302" s="2" t="str">
        <f>IFERROR(__xludf.DUMMYFUNCTION("GOOGLETRANSLATE(C302,""en"",""ur"")"),"آرام سے گھوڑے کی سواری۔")</f>
        <v>آرام سے گھوڑے کی سواری۔</v>
      </c>
      <c r="N302" s="2" t="str">
        <f>IFERROR(__xludf.DUMMYFUNCTION("GOOGLETRANSLATE(D302,""en"",""ur"")"),"سواروں کا ایک گروپ جو مرکزی چیز کے لیے مقابلہ کر رہا ہے۔")</f>
        <v>سواروں کا ایک گروپ جو مرکزی چیز کے لیے مقابلہ کر رہا ہے۔</v>
      </c>
      <c r="O302" s="2" t="str">
        <f>IFERROR(__xludf.DUMMYFUNCTION("GOOGLETRANSLATE(E302,""en"",""ur"")"),"گھوڑوں کی پریڈ")</f>
        <v>گھوڑوں کی پریڈ</v>
      </c>
      <c r="P302" s="2" t="str">
        <f>IFERROR(__xludf.DUMMYFUNCTION("GOOGLETRANSLATE(F302,""en"",""ur"")"),"گھوڑوں کی دوڑ")</f>
        <v>گھوڑوں کی دوڑ</v>
      </c>
      <c r="Q302" s="2" t="s">
        <v>278</v>
      </c>
      <c r="R302" s="2" t="str">
        <f>IFERROR(__xludf.DUMMYFUNCTION("GOOGLETRANSLATE(G302,""en"",""ur"")"),"سواروں کا ایک گروپ جو مرکزی چیز کے لیے مقابلہ کر رہا ہے۔")</f>
        <v>سواروں کا ایک گروپ جو مرکزی چیز کے لیے مقابلہ کر رہا ہے۔</v>
      </c>
      <c r="S302" s="5" t="s">
        <v>387</v>
      </c>
    </row>
    <row r="303" ht="22.5" customHeight="1">
      <c r="A303" s="4">
        <v>302.0</v>
      </c>
      <c r="B303" s="5" t="s">
        <v>348</v>
      </c>
      <c r="C303" s="5" t="s">
        <v>284</v>
      </c>
      <c r="D303" s="5" t="s">
        <v>285</v>
      </c>
      <c r="E303" s="5" t="s">
        <v>286</v>
      </c>
      <c r="F303" s="5" t="s">
        <v>287</v>
      </c>
      <c r="G303" s="5" t="s">
        <v>286</v>
      </c>
      <c r="H303" s="5" t="s">
        <v>387</v>
      </c>
      <c r="K303" s="2" t="str">
        <f>IFERROR(__xludf.DUMMYFUNCTION("GOOGLETRANSLATE(A303,""en"",""ur"")"),"302")</f>
        <v>302</v>
      </c>
      <c r="L303" s="2" t="str">
        <f>IFERROR(__xludf.DUMMYFUNCTION("GOOGLETRANSLATE(B303,""en"",""ur"")"),"سوار جس چیز کا مقابلہ کر رہے ہیں اس کے بارے میں ایک قابل ذکر تفصیل کیا ہے؟")</f>
        <v>سوار جس چیز کا مقابلہ کر رہے ہیں اس کے بارے میں ایک قابل ذکر تفصیل کیا ہے؟</v>
      </c>
      <c r="M303" s="2" t="str">
        <f>IFERROR(__xludf.DUMMYFUNCTION("GOOGLETRANSLATE(C303,""en"",""ur"")"),"یہ ایک گیند ہے۔")</f>
        <v>یہ ایک گیند ہے۔</v>
      </c>
      <c r="N303" s="2" t="str">
        <f>IFERROR(__xludf.DUMMYFUNCTION("GOOGLETRANSLATE(D303,""en"",""ur"")"),"یہ ایک جھنڈا ہے۔")</f>
        <v>یہ ایک جھنڈا ہے۔</v>
      </c>
      <c r="O303" s="2" t="str">
        <f>IFERROR(__xludf.DUMMYFUNCTION("GOOGLETRANSLATE(E303,""en"",""ur"")"),"یہ ایک بکری کی لاش ہے۔")</f>
        <v>یہ ایک بکری کی لاش ہے۔</v>
      </c>
      <c r="P303" s="2" t="str">
        <f>IFERROR(__xludf.DUMMYFUNCTION("GOOGLETRANSLATE(F303,""en"",""ur"")"),"یہ ایک رسی ہے۔")</f>
        <v>یہ ایک رسی ہے۔</v>
      </c>
      <c r="Q303" s="2" t="s">
        <v>288</v>
      </c>
      <c r="R303" s="2" t="str">
        <f>IFERROR(__xludf.DUMMYFUNCTION("GOOGLETRANSLATE(G303,""en"",""ur"")"),"یہ ایک بکری کی لاش ہے۔")</f>
        <v>یہ ایک بکری کی لاش ہے۔</v>
      </c>
      <c r="S303" s="5" t="s">
        <v>387</v>
      </c>
    </row>
    <row r="304" ht="22.5" customHeight="1">
      <c r="A304" s="4">
        <v>303.0</v>
      </c>
      <c r="B304" s="5" t="s">
        <v>242</v>
      </c>
      <c r="C304" s="5" t="s">
        <v>243</v>
      </c>
      <c r="D304" s="5" t="s">
        <v>292</v>
      </c>
      <c r="E304" s="5" t="s">
        <v>245</v>
      </c>
      <c r="F304" s="5" t="s">
        <v>246</v>
      </c>
      <c r="G304" s="5" t="s">
        <v>292</v>
      </c>
      <c r="H304" s="5" t="s">
        <v>387</v>
      </c>
      <c r="K304" s="2" t="str">
        <f>IFERROR(__xludf.DUMMYFUNCTION("GOOGLETRANSLATE(A304,""en"",""ur"")"),"303")</f>
        <v>303</v>
      </c>
      <c r="L304" s="2" t="str">
        <f>IFERROR(__xludf.DUMMYFUNCTION("GOOGLETRANSLATE(B304,""en"",""ur"")"),"سواروں کے لباس کے بارے میں واضح تفصیل کیا ہے؟")</f>
        <v>سواروں کے لباس کے بارے میں واضح تفصیل کیا ہے؟</v>
      </c>
      <c r="M304" s="2" t="str">
        <f>IFERROR(__xludf.DUMMYFUNCTION("GOOGLETRANSLATE(C304,""en"",""ur"")"),"وہ جدید کھیلوں کی وردی پہنے ہوئے ہیں۔")</f>
        <v>وہ جدید کھیلوں کی وردی پہنے ہوئے ہیں۔</v>
      </c>
      <c r="N304" s="2" t="str">
        <f>IFERROR(__xludf.DUMMYFUNCTION("GOOGLETRANSLATE(D304,""en"",""ur"")"),"وہ روایتی ٹونکس اور سر کے لباس پہنے ہوئے ہیں۔")</f>
        <v>وہ روایتی ٹونکس اور سر کے لباس پہنے ہوئے ہیں۔</v>
      </c>
      <c r="O304" s="2" t="str">
        <f>IFERROR(__xludf.DUMMYFUNCTION("GOOGLETRANSLATE(E304,""en"",""ur"")"),"وہ رسمی سوٹ پہنے ہوئے ہیں۔")</f>
        <v>وہ رسمی سوٹ پہنے ہوئے ہیں۔</v>
      </c>
      <c r="P304" s="2" t="str">
        <f>IFERROR(__xludf.DUMMYFUNCTION("GOOGLETRANSLATE(F304,""en"",""ur"")"),"انہوں نے کوئی لباس نہیں پہنا ہوا ہے۔")</f>
        <v>انہوں نے کوئی لباس نہیں پہنا ہوا ہے۔</v>
      </c>
      <c r="Q304" s="2" t="s">
        <v>293</v>
      </c>
      <c r="R304" s="2" t="str">
        <f>IFERROR(__xludf.DUMMYFUNCTION("GOOGLETRANSLATE(G304,""en"",""ur"")"),"وہ روایتی ٹونکس اور سر کے لباس پہنے ہوئے ہیں۔")</f>
        <v>وہ روایتی ٹونکس اور سر کے لباس پہنے ہوئے ہیں۔</v>
      </c>
      <c r="S304" s="5" t="s">
        <v>387</v>
      </c>
    </row>
    <row r="305" ht="22.5" customHeight="1">
      <c r="A305" s="4">
        <v>304.0</v>
      </c>
      <c r="B305" s="5" t="s">
        <v>248</v>
      </c>
      <c r="C305" s="5" t="s">
        <v>249</v>
      </c>
      <c r="D305" s="5" t="s">
        <v>250</v>
      </c>
      <c r="E305" s="5" t="s">
        <v>251</v>
      </c>
      <c r="F305" s="5" t="s">
        <v>252</v>
      </c>
      <c r="G305" s="5" t="s">
        <v>250</v>
      </c>
      <c r="H305" s="5" t="s">
        <v>387</v>
      </c>
      <c r="K305" s="2" t="str">
        <f>IFERROR(__xludf.DUMMYFUNCTION("GOOGLETRANSLATE(A305,""en"",""ur"")"),"304")</f>
        <v>304</v>
      </c>
      <c r="L305" s="2" t="str">
        <f>IFERROR(__xludf.DUMMYFUNCTION("GOOGLETRANSLATE(B305,""en"",""ur"")"),"سواروں کی ظاہری باڈی پوزیشن کیا ہے؟")</f>
        <v>سواروں کی ظاہری باڈی پوزیشن کیا ہے؟</v>
      </c>
      <c r="M305" s="2" t="str">
        <f>IFERROR(__xludf.DUMMYFUNCTION("GOOGLETRANSLATE(C305,""en"",""ur"")"),"وہ سیدھے کھڑے ہیں۔")</f>
        <v>وہ سیدھے کھڑے ہیں۔</v>
      </c>
      <c r="N305" s="2" t="str">
        <f>IFERROR(__xludf.DUMMYFUNCTION("GOOGLETRANSLATE(D305,""en"",""ur"")"),"وہ جھک رہے ہیں اور کسی چیز تک پہنچ رہے ہیں۔")</f>
        <v>وہ جھک رہے ہیں اور کسی چیز تک پہنچ رہے ہیں۔</v>
      </c>
      <c r="O305" s="2" t="str">
        <f>IFERROR(__xludf.DUMMYFUNCTION("GOOGLETRANSLATE(E305,""en"",""ur"")"),"وہ گھوڑوں کی پیٹھ پر لیٹے ہوئے ہیں۔")</f>
        <v>وہ گھوڑوں کی پیٹھ پر لیٹے ہوئے ہیں۔</v>
      </c>
      <c r="P305" s="2" t="str">
        <f>IFERROR(__xludf.DUMMYFUNCTION("GOOGLETRANSLATE(F305,""en"",""ur"")"),"وہ آرام سے بیٹھے ہیں۔")</f>
        <v>وہ آرام سے بیٹھے ہیں۔</v>
      </c>
      <c r="Q305" s="2" t="s">
        <v>253</v>
      </c>
      <c r="R305" s="2" t="str">
        <f>IFERROR(__xludf.DUMMYFUNCTION("GOOGLETRANSLATE(G305,""en"",""ur"")"),"وہ جھک رہے ہیں اور کسی چیز تک پہنچ رہے ہیں۔")</f>
        <v>وہ جھک رہے ہیں اور کسی چیز تک پہنچ رہے ہیں۔</v>
      </c>
      <c r="S305" s="5" t="s">
        <v>387</v>
      </c>
    </row>
    <row r="306" ht="22.5" customHeight="1">
      <c r="A306" s="4">
        <v>305.0</v>
      </c>
      <c r="B306" s="5" t="s">
        <v>254</v>
      </c>
      <c r="C306" s="5" t="s">
        <v>47</v>
      </c>
      <c r="D306" s="5" t="s">
        <v>48</v>
      </c>
      <c r="E306" s="5" t="s">
        <v>49</v>
      </c>
      <c r="F306" s="5" t="s">
        <v>50</v>
      </c>
      <c r="G306" s="5" t="s">
        <v>49</v>
      </c>
      <c r="H306" s="5" t="s">
        <v>387</v>
      </c>
      <c r="K306" s="2" t="str">
        <f>IFERROR(__xludf.DUMMYFUNCTION("GOOGLETRANSLATE(A306,""en"",""ur"")"),"305")</f>
        <v>305</v>
      </c>
      <c r="L306" s="2" t="str">
        <f>IFERROR(__xludf.DUMMYFUNCTION("GOOGLETRANSLATE(B306,""en"",""ur"")"),"سواروں کے چہروں سے ظاہری جذبات کیا ہیں؟")</f>
        <v>سواروں کے چہروں سے ظاہری جذبات کیا ہیں؟</v>
      </c>
      <c r="M306" s="2" t="str">
        <f>IFERROR(__xludf.DUMMYFUNCTION("GOOGLETRANSLATE(C306,""en"",""ur"")"),"پرسکون اور پر سکون")</f>
        <v>پرسکون اور پر سکون</v>
      </c>
      <c r="N306" s="2" t="str">
        <f>IFERROR(__xludf.DUMMYFUNCTION("GOOGLETRANSLATE(D306,""en"",""ur"")"),"خوف زدہ اور بے چین")</f>
        <v>خوف زدہ اور بے چین</v>
      </c>
      <c r="O306" s="2" t="str">
        <f>IFERROR(__xludf.DUMMYFUNCTION("GOOGLETRANSLATE(E306,""en"",""ur"")"),"کشیدہ اور شدید")</f>
        <v>کشیدہ اور شدید</v>
      </c>
      <c r="P306" s="2" t="str">
        <f>IFERROR(__xludf.DUMMYFUNCTION("GOOGLETRANSLATE(F306,""en"",""ur"")"),"خوش اور مسکراتے ہوئے۔")</f>
        <v>خوش اور مسکراتے ہوئے۔</v>
      </c>
      <c r="Q306" s="2" t="s">
        <v>51</v>
      </c>
      <c r="R306" s="2" t="str">
        <f>IFERROR(__xludf.DUMMYFUNCTION("GOOGLETRANSLATE(G306,""en"",""ur"")"),"کشیدہ اور شدید")</f>
        <v>کشیدہ اور شدید</v>
      </c>
      <c r="S306" s="5" t="s">
        <v>387</v>
      </c>
    </row>
    <row r="307" ht="22.5" customHeight="1">
      <c r="A307" s="4">
        <v>306.0</v>
      </c>
      <c r="B307" s="5" t="s">
        <v>88</v>
      </c>
      <c r="C307" s="5" t="s">
        <v>89</v>
      </c>
      <c r="D307" s="5" t="s">
        <v>90</v>
      </c>
      <c r="E307" s="5" t="s">
        <v>91</v>
      </c>
      <c r="F307" s="5" t="s">
        <v>255</v>
      </c>
      <c r="G307" s="5" t="s">
        <v>91</v>
      </c>
      <c r="H307" s="5" t="s">
        <v>387</v>
      </c>
      <c r="K307" s="2" t="str">
        <f>IFERROR(__xludf.DUMMYFUNCTION("GOOGLETRANSLATE(A307,""en"",""ur"")"),"306")</f>
        <v>306</v>
      </c>
      <c r="L307" s="2" t="str">
        <f>IFERROR(__xludf.DUMMYFUNCTION("GOOGLETRANSLATE(B307,""en"",""ur"")"),"زمین کی سب سے نمایاں خصوصیت کیا ہے؟")</f>
        <v>زمین کی سب سے نمایاں خصوصیت کیا ہے؟</v>
      </c>
      <c r="M307" s="2" t="str">
        <f>IFERROR(__xludf.DUMMYFUNCTION("GOOGLETRANSLATE(C307,""en"",""ur"")"),"ایک پکی سطح")</f>
        <v>ایک پکی سطح</v>
      </c>
      <c r="N307" s="2" t="str">
        <f>IFERROR(__xludf.DUMMYFUNCTION("GOOGLETRANSLATE(D307,""en"",""ur"")"),"کیچڑ والا میدان")</f>
        <v>کیچڑ والا میدان</v>
      </c>
      <c r="O307" s="2" t="str">
        <f>IFERROR(__xludf.DUMMYFUNCTION("GOOGLETRANSLATE(E307,""en"",""ur"")"),"ایک گھاس دار سطح")</f>
        <v>ایک گھاس دار سطح</v>
      </c>
      <c r="P307" s="2" t="str">
        <f>IFERROR(__xludf.DUMMYFUNCTION("GOOGLETRANSLATE(F307,""en"",""ur"")"),"ریتلی یا گندگی کی سطح")</f>
        <v>ریتلی یا گندگی کی سطح</v>
      </c>
      <c r="Q307" s="2" t="s">
        <v>256</v>
      </c>
      <c r="R307" s="2" t="str">
        <f>IFERROR(__xludf.DUMMYFUNCTION("GOOGLETRANSLATE(G307,""en"",""ur"")"),"ایک گھاس دار سطح")</f>
        <v>ایک گھاس دار سطح</v>
      </c>
      <c r="S307" s="5" t="s">
        <v>387</v>
      </c>
    </row>
    <row r="308" ht="22.5" customHeight="1">
      <c r="A308" s="4">
        <v>307.0</v>
      </c>
      <c r="B308" s="5" t="s">
        <v>257</v>
      </c>
      <c r="C308" s="5" t="s">
        <v>95</v>
      </c>
      <c r="D308" s="5" t="s">
        <v>96</v>
      </c>
      <c r="E308" s="5" t="s">
        <v>97</v>
      </c>
      <c r="F308" s="5" t="s">
        <v>258</v>
      </c>
      <c r="G308" s="5" t="s">
        <v>97</v>
      </c>
      <c r="H308" s="5" t="s">
        <v>387</v>
      </c>
      <c r="K308" s="2" t="str">
        <f>IFERROR(__xludf.DUMMYFUNCTION("GOOGLETRANSLATE(A308,""en"",""ur"")"),"307")</f>
        <v>307</v>
      </c>
      <c r="L308" s="2" t="str">
        <f>IFERROR(__xludf.DUMMYFUNCTION("GOOGLETRANSLATE(B308,""en"",""ur"")"),"کھیلے جانے والے کھیل کا نام کیا ہے؟")</f>
        <v>کھیلے جانے والے کھیل کا نام کیا ہے؟</v>
      </c>
      <c r="M308" s="2" t="str">
        <f>IFERROR(__xludf.DUMMYFUNCTION("GOOGLETRANSLATE(C308,""en"",""ur"")"),"پولو")</f>
        <v>پولو</v>
      </c>
      <c r="N308" s="2" t="str">
        <f>IFERROR(__xludf.DUMMYFUNCTION("GOOGLETRANSLATE(D308,""en"",""ur"")"),"گھوڑوں کی دوڑ")</f>
        <v>گھوڑوں کی دوڑ</v>
      </c>
      <c r="O308" s="2" t="str">
        <f>IFERROR(__xludf.DUMMYFUNCTION("GOOGLETRANSLATE(E308,""en"",""ur"")"),"بزکشی۔")</f>
        <v>بزکشی۔</v>
      </c>
      <c r="P308" s="2" t="str">
        <f>IFERROR(__xludf.DUMMYFUNCTION("GOOGLETRANSLATE(F308,""en"",""ur"")"),"گھڑ سواری کے کھیل")</f>
        <v>گھڑ سواری کے کھیل</v>
      </c>
      <c r="Q308" s="2" t="s">
        <v>259</v>
      </c>
      <c r="R308" s="2" t="str">
        <f>IFERROR(__xludf.DUMMYFUNCTION("GOOGLETRANSLATE(G308,""en"",""ur"")"),"بزکشی۔")</f>
        <v>بزکشی۔</v>
      </c>
      <c r="S308" s="5" t="s">
        <v>387</v>
      </c>
    </row>
    <row r="309" ht="22.5" customHeight="1">
      <c r="A309" s="4">
        <v>308.0</v>
      </c>
      <c r="B309" s="5" t="s">
        <v>260</v>
      </c>
      <c r="C309" s="5" t="s">
        <v>261</v>
      </c>
      <c r="D309" s="5" t="s">
        <v>262</v>
      </c>
      <c r="E309" s="5" t="s">
        <v>263</v>
      </c>
      <c r="F309" s="5" t="s">
        <v>264</v>
      </c>
      <c r="G309" s="5" t="s">
        <v>263</v>
      </c>
      <c r="H309" s="5" t="s">
        <v>387</v>
      </c>
      <c r="K309" s="2" t="str">
        <f>IFERROR(__xludf.DUMMYFUNCTION("GOOGLETRANSLATE(A309,""en"",""ur"")"),"308")</f>
        <v>308</v>
      </c>
      <c r="L309" s="2" t="str">
        <f>IFERROR(__xludf.DUMMYFUNCTION("GOOGLETRANSLATE(B309,""en"",""ur"")"),"تصویر میں ایکشن ایک ایسا انداز تجویز کرتا ہے جو اس بات پر زور دیتا ہے...")</f>
        <v>تصویر میں ایکشن ایک ایسا انداز تجویز کرتا ہے جو اس بات پر زور دیتا ہے...</v>
      </c>
      <c r="M309" s="2" t="str">
        <f>IFERROR(__xludf.DUMMYFUNCTION("GOOGLETRANSLATE(C309,""en"",""ur"")"),"روانی اور قلابازیاں")</f>
        <v>روانی اور قلابازیاں</v>
      </c>
      <c r="N309" s="2" t="str">
        <f>IFERROR(__xludf.DUMMYFUNCTION("GOOGLETRANSLATE(D309,""en"",""ur"")"),"زمینی لڑائی اور گرفت")</f>
        <v>زمینی لڑائی اور گرفت</v>
      </c>
      <c r="O309" s="2" t="str">
        <f>IFERROR(__xludf.DUMMYFUNCTION("GOOGLETRANSLATE(E309,""en"",""ur"")"),"وحشیانہ قوت اور گھڑ سواری۔")</f>
        <v>وحشیانہ قوت اور گھڑ سواری۔</v>
      </c>
      <c r="P309" s="2" t="str">
        <f>IFERROR(__xludf.DUMMYFUNCTION("GOOGLETRANSLATE(F309,""en"",""ur"")"),"سادہ، لکیری حرکات")</f>
        <v>سادہ، لکیری حرکات</v>
      </c>
      <c r="Q309" s="2" t="s">
        <v>265</v>
      </c>
      <c r="R309" s="2" t="str">
        <f>IFERROR(__xludf.DUMMYFUNCTION("GOOGLETRANSLATE(G309,""en"",""ur"")"),"وحشیانہ قوت اور گھڑ سواری۔")</f>
        <v>وحشیانہ قوت اور گھڑ سواری۔</v>
      </c>
      <c r="S309" s="5" t="s">
        <v>387</v>
      </c>
    </row>
    <row r="310" ht="22.5" customHeight="1">
      <c r="A310" s="4">
        <v>309.0</v>
      </c>
      <c r="B310" s="5" t="s">
        <v>266</v>
      </c>
      <c r="C310" s="5" t="s">
        <v>59</v>
      </c>
      <c r="D310" s="5" t="s">
        <v>267</v>
      </c>
      <c r="E310" s="5" t="s">
        <v>61</v>
      </c>
      <c r="F310" s="5" t="s">
        <v>268</v>
      </c>
      <c r="G310" s="5" t="s">
        <v>267</v>
      </c>
      <c r="H310" s="5" t="s">
        <v>387</v>
      </c>
      <c r="K310" s="2" t="str">
        <f>IFERROR(__xludf.DUMMYFUNCTION("GOOGLETRANSLATE(A310,""en"",""ur"")"),"309")</f>
        <v>309</v>
      </c>
      <c r="L310" s="2" t="str">
        <f>IFERROR(__xludf.DUMMYFUNCTION("GOOGLETRANSLATE(B310,""en"",""ur"")"),"گھوڑوں کے بارے میں ایک قابل ذکر تفصیل کیا ہے؟")</f>
        <v>گھوڑوں کے بارے میں ایک قابل ذکر تفصیل کیا ہے؟</v>
      </c>
      <c r="M310" s="2" t="str">
        <f>IFERROR(__xludf.DUMMYFUNCTION("GOOGLETRANSLATE(C310,""en"",""ur"")"),"وہ سب ایک ہی رنگ کے ہیں۔")</f>
        <v>وہ سب ایک ہی رنگ کے ہیں۔</v>
      </c>
      <c r="N310" s="2" t="str">
        <f>IFERROR(__xludf.DUMMYFUNCTION("GOOGLETRANSLATE(D310,""en"",""ur"")"),"وہ رنگوں اور نسلوں کا مرکب ہیں۔")</f>
        <v>وہ رنگوں اور نسلوں کا مرکب ہیں۔</v>
      </c>
      <c r="O310" s="2" t="str">
        <f>IFERROR(__xludf.DUMMYFUNCTION("GOOGLETRANSLATE(E310,""en"",""ur"")"),"وہ سب وسیع نمونوں کے ساتھ زین پہنے ہوئے ہیں۔")</f>
        <v>وہ سب وسیع نمونوں کے ساتھ زین پہنے ہوئے ہیں۔</v>
      </c>
      <c r="P310" s="2" t="str">
        <f>IFERROR(__xludf.DUMMYFUNCTION("GOOGLETRANSLATE(F310,""en"",""ur"")"),"وہ سب خاموش کھڑے ہیں۔")</f>
        <v>وہ سب خاموش کھڑے ہیں۔</v>
      </c>
      <c r="Q310" s="2" t="s">
        <v>269</v>
      </c>
      <c r="R310" s="2" t="str">
        <f>IFERROR(__xludf.DUMMYFUNCTION("GOOGLETRANSLATE(G310,""en"",""ur"")"),"وہ رنگوں اور نسلوں کا مرکب ہیں۔")</f>
        <v>وہ رنگوں اور نسلوں کا مرکب ہیں۔</v>
      </c>
      <c r="S310" s="5" t="s">
        <v>387</v>
      </c>
    </row>
    <row r="311" ht="22.5" customHeight="1">
      <c r="A311" s="4">
        <v>310.0</v>
      </c>
      <c r="B311" s="5" t="s">
        <v>270</v>
      </c>
      <c r="C311" s="5" t="s">
        <v>271</v>
      </c>
      <c r="D311" s="5" t="s">
        <v>272</v>
      </c>
      <c r="E311" s="5" t="s">
        <v>273</v>
      </c>
      <c r="F311" s="5" t="s">
        <v>274</v>
      </c>
      <c r="G311" s="5" t="s">
        <v>274</v>
      </c>
      <c r="H311" s="5" t="s">
        <v>387</v>
      </c>
      <c r="K311" s="2" t="str">
        <f>IFERROR(__xludf.DUMMYFUNCTION("GOOGLETRANSLATE(A311,""en"",""ur"")"),"310")</f>
        <v>310</v>
      </c>
      <c r="L311" s="2" t="str">
        <f>IFERROR(__xludf.DUMMYFUNCTION("GOOGLETRANSLATE(B311,""en"",""ur"")"),"مرکز میں سوار کے بارے میں ایک قابل ذکر تفصیل کیا ہے؟")</f>
        <v>مرکز میں سوار کے بارے میں ایک قابل ذکر تفصیل کیا ہے؟</v>
      </c>
      <c r="M311" s="2" t="str">
        <f>IFERROR(__xludf.DUMMYFUNCTION("GOOGLETRANSLATE(C311,""en"",""ur"")"),"وہ اپنے گھوڑے سے گر رہا ہے۔")</f>
        <v>وہ اپنے گھوڑے سے گر رہا ہے۔</v>
      </c>
      <c r="N311" s="2" t="str">
        <f>IFERROR(__xludf.DUMMYFUNCTION("GOOGLETRANSLATE(D311,""en"",""ur"")"),"اس نے بینر اٹھا رکھا ہے۔")</f>
        <v>اس نے بینر اٹھا رکھا ہے۔</v>
      </c>
      <c r="O311" s="2" t="str">
        <f>IFERROR(__xludf.DUMMYFUNCTION("GOOGLETRANSLATE(E311,""en"",""ur"")"),"اس نے رسی پکڑی ہوئی ہے۔")</f>
        <v>اس نے رسی پکڑی ہوئی ہے۔</v>
      </c>
      <c r="P311" s="2" t="str">
        <f>IFERROR(__xludf.DUMMYFUNCTION("GOOGLETRANSLATE(F311,""en"",""ur"")"),"اس نے چھڑی پکڑی ہوئی ہے۔")</f>
        <v>اس نے چھڑی پکڑی ہوئی ہے۔</v>
      </c>
      <c r="Q311" s="2" t="s">
        <v>275</v>
      </c>
      <c r="R311" s="2" t="str">
        <f>IFERROR(__xludf.DUMMYFUNCTION("GOOGLETRANSLATE(G311,""en"",""ur"")"),"اس نے چھڑی پکڑی ہوئی ہے۔")</f>
        <v>اس نے چھڑی پکڑی ہوئی ہے۔</v>
      </c>
      <c r="S311" s="5" t="s">
        <v>387</v>
      </c>
    </row>
    <row r="312" ht="22.5" customHeight="1">
      <c r="A312" s="4">
        <v>311.0</v>
      </c>
      <c r="B312" s="5" t="s">
        <v>388</v>
      </c>
      <c r="C312" s="5" t="s">
        <v>103</v>
      </c>
      <c r="D312" s="5" t="s">
        <v>71</v>
      </c>
      <c r="E312" s="5" t="s">
        <v>72</v>
      </c>
      <c r="F312" s="5" t="s">
        <v>73</v>
      </c>
      <c r="G312" s="5" t="s">
        <v>103</v>
      </c>
      <c r="H312" s="5" t="s">
        <v>389</v>
      </c>
      <c r="K312" s="2" t="str">
        <f>IFERROR(__xludf.DUMMYFUNCTION("GOOGLETRANSLATE(A312,""en"",""ur"")"),"311")</f>
        <v>311</v>
      </c>
      <c r="L312" s="2" t="str">
        <f>IFERROR(__xludf.DUMMYFUNCTION("GOOGLETRANSLATE(B312,""en"",""ur"")"),"buzkashi_88 میں دکھایا گیا اہم عمل کیا ہے؟")</f>
        <v>buzkashi_88 میں دکھایا گیا اہم عمل کیا ہے؟</v>
      </c>
      <c r="M312" s="2" t="str">
        <f>IFERROR(__xludf.DUMMYFUNCTION("GOOGLETRANSLATE(C312,""en"",""ur"")"),"آرام سے گھوڑے کی سواری۔")</f>
        <v>آرام سے گھوڑے کی سواری۔</v>
      </c>
      <c r="N312" s="2" t="str">
        <f>IFERROR(__xludf.DUMMYFUNCTION("GOOGLETRANSLATE(D312,""en"",""ur"")"),"سواروں کا ایک گروپ جو مرکزی چیز کے لیے مقابلہ کر رہا ہے۔")</f>
        <v>سواروں کا ایک گروپ جو مرکزی چیز کے لیے مقابلہ کر رہا ہے۔</v>
      </c>
      <c r="O312" s="2" t="str">
        <f>IFERROR(__xludf.DUMMYFUNCTION("GOOGLETRANSLATE(E312,""en"",""ur"")"),"گھوڑوں کی پریڈ")</f>
        <v>گھوڑوں کی پریڈ</v>
      </c>
      <c r="P312" s="2" t="str">
        <f>IFERROR(__xludf.DUMMYFUNCTION("GOOGLETRANSLATE(F312,""en"",""ur"")"),"گھوڑوں کی دوڑ")</f>
        <v>گھوڑوں کی دوڑ</v>
      </c>
      <c r="Q312" s="2" t="s">
        <v>278</v>
      </c>
      <c r="R312" s="2" t="str">
        <f>IFERROR(__xludf.DUMMYFUNCTION("GOOGLETRANSLATE(G312,""en"",""ur"")"),"آرام سے گھوڑے کی سواری۔")</f>
        <v>آرام سے گھوڑے کی سواری۔</v>
      </c>
      <c r="S312" s="5" t="s">
        <v>389</v>
      </c>
    </row>
    <row r="313" ht="22.5" customHeight="1">
      <c r="A313" s="4">
        <v>312.0</v>
      </c>
      <c r="B313" s="5" t="s">
        <v>238</v>
      </c>
      <c r="C313" s="5" t="s">
        <v>239</v>
      </c>
      <c r="D313" s="5" t="s">
        <v>84</v>
      </c>
      <c r="E313" s="5" t="s">
        <v>85</v>
      </c>
      <c r="F313" s="5" t="s">
        <v>240</v>
      </c>
      <c r="G313" s="5" t="s">
        <v>84</v>
      </c>
      <c r="H313" s="5" t="s">
        <v>389</v>
      </c>
      <c r="K313" s="2" t="str">
        <f>IFERROR(__xludf.DUMMYFUNCTION("GOOGLETRANSLATE(A313,""en"",""ur"")"),"312")</f>
        <v>312</v>
      </c>
      <c r="L313" s="2" t="str">
        <f>IFERROR(__xludf.DUMMYFUNCTION("GOOGLETRANSLATE(B313,""en"",""ur"")"),"اس گیم کی ترتیب کے بارے میں ایک قابل ذکر تفصیل کیا ہے؟")</f>
        <v>اس گیم کی ترتیب کے بارے میں ایک قابل ذکر تفصیل کیا ہے؟</v>
      </c>
      <c r="M313" s="2" t="str">
        <f>IFERROR(__xludf.DUMMYFUNCTION("GOOGLETRANSLATE(C313,""en"",""ur"")"),"یہ ایک بڑے اسٹیڈیم میں ہے۔")</f>
        <v>یہ ایک بڑے اسٹیڈیم میں ہے۔</v>
      </c>
      <c r="N313" s="2" t="str">
        <f>IFERROR(__xludf.DUMMYFUNCTION("GOOGLETRANSLATE(D313,""en"",""ur"")"),"یہ پہاڑی، پتھریلی علاقے میں ایک میدان میں ہے۔")</f>
        <v>یہ پہاڑی، پتھریلی علاقے میں ایک میدان میں ہے۔</v>
      </c>
      <c r="O313" s="2" t="str">
        <f>IFERROR(__xludf.DUMMYFUNCTION("GOOGLETRANSLATE(E313,""en"",""ur"")"),"یہ شہر کی سڑک پر ہے۔")</f>
        <v>یہ شہر کی سڑک پر ہے۔</v>
      </c>
      <c r="P313" s="2" t="str">
        <f>IFERROR(__xludf.DUMMYFUNCTION("GOOGLETRANSLATE(F313,""en"",""ur"")"),"یہ ایک پرسکون ساحل سمندر پر ہے۔")</f>
        <v>یہ ایک پرسکون ساحل سمندر پر ہے۔</v>
      </c>
      <c r="Q313" s="2" t="s">
        <v>241</v>
      </c>
      <c r="R313" s="2" t="str">
        <f>IFERROR(__xludf.DUMMYFUNCTION("GOOGLETRANSLATE(G313,""en"",""ur"")"),"یہ پہاڑی، پتھریلی علاقے میں ایک میدان میں ہے۔")</f>
        <v>یہ پہاڑی، پتھریلی علاقے میں ایک میدان میں ہے۔</v>
      </c>
      <c r="S313" s="5" t="s">
        <v>389</v>
      </c>
    </row>
    <row r="314" ht="22.5" customHeight="1">
      <c r="A314" s="4">
        <v>313.0</v>
      </c>
      <c r="B314" s="5" t="s">
        <v>242</v>
      </c>
      <c r="C314" s="5" t="s">
        <v>243</v>
      </c>
      <c r="D314" s="5" t="s">
        <v>292</v>
      </c>
      <c r="E314" s="5" t="s">
        <v>245</v>
      </c>
      <c r="F314" s="5" t="s">
        <v>246</v>
      </c>
      <c r="G314" s="5" t="s">
        <v>292</v>
      </c>
      <c r="H314" s="5" t="s">
        <v>389</v>
      </c>
      <c r="K314" s="2" t="str">
        <f>IFERROR(__xludf.DUMMYFUNCTION("GOOGLETRANSLATE(A314,""en"",""ur"")"),"313")</f>
        <v>313</v>
      </c>
      <c r="L314" s="2" t="str">
        <f>IFERROR(__xludf.DUMMYFUNCTION("GOOGLETRANSLATE(B314,""en"",""ur"")"),"سواروں کے لباس کے بارے میں واضح تفصیل کیا ہے؟")</f>
        <v>سواروں کے لباس کے بارے میں واضح تفصیل کیا ہے؟</v>
      </c>
      <c r="M314" s="2" t="str">
        <f>IFERROR(__xludf.DUMMYFUNCTION("GOOGLETRANSLATE(C314,""en"",""ur"")"),"وہ جدید کھیلوں کی وردی پہنے ہوئے ہیں۔")</f>
        <v>وہ جدید کھیلوں کی وردی پہنے ہوئے ہیں۔</v>
      </c>
      <c r="N314" s="2" t="str">
        <f>IFERROR(__xludf.DUMMYFUNCTION("GOOGLETRANSLATE(D314,""en"",""ur"")"),"وہ روایتی ٹونکس اور سر کے لباس پہنے ہوئے ہیں۔")</f>
        <v>وہ روایتی ٹونکس اور سر کے لباس پہنے ہوئے ہیں۔</v>
      </c>
      <c r="O314" s="2" t="str">
        <f>IFERROR(__xludf.DUMMYFUNCTION("GOOGLETRANSLATE(E314,""en"",""ur"")"),"وہ رسمی سوٹ پہنے ہوئے ہیں۔")</f>
        <v>وہ رسمی سوٹ پہنے ہوئے ہیں۔</v>
      </c>
      <c r="P314" s="2" t="str">
        <f>IFERROR(__xludf.DUMMYFUNCTION("GOOGLETRANSLATE(F314,""en"",""ur"")"),"انہوں نے کوئی لباس نہیں پہنا ہوا ہے۔")</f>
        <v>انہوں نے کوئی لباس نہیں پہنا ہوا ہے۔</v>
      </c>
      <c r="Q314" s="2" t="s">
        <v>293</v>
      </c>
      <c r="R314" s="2" t="str">
        <f>IFERROR(__xludf.DUMMYFUNCTION("GOOGLETRANSLATE(G314,""en"",""ur"")"),"وہ روایتی ٹونکس اور سر کے لباس پہنے ہوئے ہیں۔")</f>
        <v>وہ روایتی ٹونکس اور سر کے لباس پہنے ہوئے ہیں۔</v>
      </c>
      <c r="S314" s="5" t="s">
        <v>389</v>
      </c>
    </row>
    <row r="315" ht="22.5" customHeight="1">
      <c r="A315" s="4">
        <v>314.0</v>
      </c>
      <c r="B315" s="5" t="s">
        <v>248</v>
      </c>
      <c r="C315" s="5" t="s">
        <v>249</v>
      </c>
      <c r="D315" s="5" t="s">
        <v>250</v>
      </c>
      <c r="E315" s="5" t="s">
        <v>251</v>
      </c>
      <c r="F315" s="5" t="s">
        <v>252</v>
      </c>
      <c r="G315" s="5" t="s">
        <v>252</v>
      </c>
      <c r="H315" s="5" t="s">
        <v>389</v>
      </c>
      <c r="K315" s="2" t="str">
        <f>IFERROR(__xludf.DUMMYFUNCTION("GOOGLETRANSLATE(A315,""en"",""ur"")"),"314")</f>
        <v>314</v>
      </c>
      <c r="L315" s="2" t="str">
        <f>IFERROR(__xludf.DUMMYFUNCTION("GOOGLETRANSLATE(B315,""en"",""ur"")"),"سواروں کی ظاہری باڈی پوزیشن کیا ہے؟")</f>
        <v>سواروں کی ظاہری باڈی پوزیشن کیا ہے؟</v>
      </c>
      <c r="M315" s="2" t="str">
        <f>IFERROR(__xludf.DUMMYFUNCTION("GOOGLETRANSLATE(C315,""en"",""ur"")"),"وہ سیدھے کھڑے ہیں۔")</f>
        <v>وہ سیدھے کھڑے ہیں۔</v>
      </c>
      <c r="N315" s="2" t="str">
        <f>IFERROR(__xludf.DUMMYFUNCTION("GOOGLETRANSLATE(D315,""en"",""ur"")"),"وہ جھک رہے ہیں اور کسی چیز تک پہنچ رہے ہیں۔")</f>
        <v>وہ جھک رہے ہیں اور کسی چیز تک پہنچ رہے ہیں۔</v>
      </c>
      <c r="O315" s="2" t="str">
        <f>IFERROR(__xludf.DUMMYFUNCTION("GOOGLETRANSLATE(E315,""en"",""ur"")"),"وہ گھوڑوں کی پیٹھ پر لیٹے ہوئے ہیں۔")</f>
        <v>وہ گھوڑوں کی پیٹھ پر لیٹے ہوئے ہیں۔</v>
      </c>
      <c r="P315" s="2" t="str">
        <f>IFERROR(__xludf.DUMMYFUNCTION("GOOGLETRANSLATE(F315,""en"",""ur"")"),"وہ آرام سے بیٹھے ہیں۔")</f>
        <v>وہ آرام سے بیٹھے ہیں۔</v>
      </c>
      <c r="Q315" s="2" t="s">
        <v>253</v>
      </c>
      <c r="R315" s="2" t="str">
        <f>IFERROR(__xludf.DUMMYFUNCTION("GOOGLETRANSLATE(G315,""en"",""ur"")"),"وہ آرام سے بیٹھے ہیں۔")</f>
        <v>وہ آرام سے بیٹھے ہیں۔</v>
      </c>
      <c r="S315" s="5" t="s">
        <v>389</v>
      </c>
    </row>
    <row r="316" ht="22.5" customHeight="1">
      <c r="A316" s="4">
        <v>315.0</v>
      </c>
      <c r="B316" s="5" t="s">
        <v>254</v>
      </c>
      <c r="C316" s="5" t="s">
        <v>47</v>
      </c>
      <c r="D316" s="5" t="s">
        <v>48</v>
      </c>
      <c r="E316" s="5" t="s">
        <v>49</v>
      </c>
      <c r="F316" s="5" t="s">
        <v>50</v>
      </c>
      <c r="G316" s="5" t="s">
        <v>47</v>
      </c>
      <c r="H316" s="5" t="s">
        <v>389</v>
      </c>
      <c r="K316" s="2" t="str">
        <f>IFERROR(__xludf.DUMMYFUNCTION("GOOGLETRANSLATE(A316,""en"",""ur"")"),"315")</f>
        <v>315</v>
      </c>
      <c r="L316" s="2" t="str">
        <f>IFERROR(__xludf.DUMMYFUNCTION("GOOGLETRANSLATE(B316,""en"",""ur"")"),"سواروں کے چہروں سے ظاہری جذبات کیا ہیں؟")</f>
        <v>سواروں کے چہروں سے ظاہری جذبات کیا ہیں؟</v>
      </c>
      <c r="M316" s="2" t="str">
        <f>IFERROR(__xludf.DUMMYFUNCTION("GOOGLETRANSLATE(C316,""en"",""ur"")"),"پرسکون اور پر سکون")</f>
        <v>پرسکون اور پر سکون</v>
      </c>
      <c r="N316" s="2" t="str">
        <f>IFERROR(__xludf.DUMMYFUNCTION("GOOGLETRANSLATE(D316,""en"",""ur"")"),"خوف زدہ اور بے چین")</f>
        <v>خوف زدہ اور بے چین</v>
      </c>
      <c r="O316" s="2" t="str">
        <f>IFERROR(__xludf.DUMMYFUNCTION("GOOGLETRANSLATE(E316,""en"",""ur"")"),"کشیدہ اور شدید")</f>
        <v>کشیدہ اور شدید</v>
      </c>
      <c r="P316" s="2" t="str">
        <f>IFERROR(__xludf.DUMMYFUNCTION("GOOGLETRANSLATE(F316,""en"",""ur"")"),"خوش اور مسکراتے ہوئے۔")</f>
        <v>خوش اور مسکراتے ہوئے۔</v>
      </c>
      <c r="Q316" s="2" t="s">
        <v>51</v>
      </c>
      <c r="R316" s="2" t="str">
        <f>IFERROR(__xludf.DUMMYFUNCTION("GOOGLETRANSLATE(G316,""en"",""ur"")"),"پرسکون اور پر سکون")</f>
        <v>پرسکون اور پر سکون</v>
      </c>
      <c r="S316" s="5" t="s">
        <v>389</v>
      </c>
    </row>
    <row r="317" ht="22.5" customHeight="1">
      <c r="A317" s="4">
        <v>316.0</v>
      </c>
      <c r="B317" s="5" t="s">
        <v>88</v>
      </c>
      <c r="C317" s="5" t="s">
        <v>89</v>
      </c>
      <c r="D317" s="5" t="s">
        <v>90</v>
      </c>
      <c r="E317" s="5" t="s">
        <v>91</v>
      </c>
      <c r="F317" s="5" t="s">
        <v>255</v>
      </c>
      <c r="G317" s="5" t="s">
        <v>255</v>
      </c>
      <c r="H317" s="5" t="s">
        <v>389</v>
      </c>
      <c r="K317" s="2" t="str">
        <f>IFERROR(__xludf.DUMMYFUNCTION("GOOGLETRANSLATE(A317,""en"",""ur"")"),"316")</f>
        <v>316</v>
      </c>
      <c r="L317" s="2" t="str">
        <f>IFERROR(__xludf.DUMMYFUNCTION("GOOGLETRANSLATE(B317,""en"",""ur"")"),"زمین کی سب سے نمایاں خصوصیت کیا ہے؟")</f>
        <v>زمین کی سب سے نمایاں خصوصیت کیا ہے؟</v>
      </c>
      <c r="M317" s="2" t="str">
        <f>IFERROR(__xludf.DUMMYFUNCTION("GOOGLETRANSLATE(C317,""en"",""ur"")"),"ایک پکی سطح")</f>
        <v>ایک پکی سطح</v>
      </c>
      <c r="N317" s="2" t="str">
        <f>IFERROR(__xludf.DUMMYFUNCTION("GOOGLETRANSLATE(D317,""en"",""ur"")"),"کیچڑ والا میدان")</f>
        <v>کیچڑ والا میدان</v>
      </c>
      <c r="O317" s="2" t="str">
        <f>IFERROR(__xludf.DUMMYFUNCTION("GOOGLETRANSLATE(E317,""en"",""ur"")"),"ایک گھاس دار سطح")</f>
        <v>ایک گھاس دار سطح</v>
      </c>
      <c r="P317" s="2" t="str">
        <f>IFERROR(__xludf.DUMMYFUNCTION("GOOGLETRANSLATE(F317,""en"",""ur"")"),"ریتلی یا گندگی کی سطح")</f>
        <v>ریتلی یا گندگی کی سطح</v>
      </c>
      <c r="Q317" s="2" t="s">
        <v>256</v>
      </c>
      <c r="R317" s="2" t="str">
        <f>IFERROR(__xludf.DUMMYFUNCTION("GOOGLETRANSLATE(G317,""en"",""ur"")"),"ریتلی یا گندگی کی سطح")</f>
        <v>ریتلی یا گندگی کی سطح</v>
      </c>
      <c r="S317" s="5" t="s">
        <v>389</v>
      </c>
    </row>
    <row r="318" ht="22.5" customHeight="1">
      <c r="A318" s="4">
        <v>317.0</v>
      </c>
      <c r="B318" s="5" t="s">
        <v>257</v>
      </c>
      <c r="C318" s="5" t="s">
        <v>95</v>
      </c>
      <c r="D318" s="5" t="s">
        <v>96</v>
      </c>
      <c r="E318" s="5" t="s">
        <v>97</v>
      </c>
      <c r="F318" s="5" t="s">
        <v>258</v>
      </c>
      <c r="G318" s="5" t="s">
        <v>97</v>
      </c>
      <c r="H318" s="5" t="s">
        <v>389</v>
      </c>
      <c r="K318" s="2" t="str">
        <f>IFERROR(__xludf.DUMMYFUNCTION("GOOGLETRANSLATE(A318,""en"",""ur"")"),"317")</f>
        <v>317</v>
      </c>
      <c r="L318" s="2" t="str">
        <f>IFERROR(__xludf.DUMMYFUNCTION("GOOGLETRANSLATE(B318,""en"",""ur"")"),"کھیلے جانے والے کھیل کا نام کیا ہے؟")</f>
        <v>کھیلے جانے والے کھیل کا نام کیا ہے؟</v>
      </c>
      <c r="M318" s="2" t="str">
        <f>IFERROR(__xludf.DUMMYFUNCTION("GOOGLETRANSLATE(C318,""en"",""ur"")"),"پولو")</f>
        <v>پولو</v>
      </c>
      <c r="N318" s="2" t="str">
        <f>IFERROR(__xludf.DUMMYFUNCTION("GOOGLETRANSLATE(D318,""en"",""ur"")"),"گھوڑوں کی دوڑ")</f>
        <v>گھوڑوں کی دوڑ</v>
      </c>
      <c r="O318" s="2" t="str">
        <f>IFERROR(__xludf.DUMMYFUNCTION("GOOGLETRANSLATE(E318,""en"",""ur"")"),"بزکشی۔")</f>
        <v>بزکشی۔</v>
      </c>
      <c r="P318" s="2" t="str">
        <f>IFERROR(__xludf.DUMMYFUNCTION("GOOGLETRANSLATE(F318,""en"",""ur"")"),"گھڑ سواری کے کھیل")</f>
        <v>گھڑ سواری کے کھیل</v>
      </c>
      <c r="Q318" s="2" t="s">
        <v>259</v>
      </c>
      <c r="R318" s="2" t="str">
        <f>IFERROR(__xludf.DUMMYFUNCTION("GOOGLETRANSLATE(G318,""en"",""ur"")"),"بزکشی۔")</f>
        <v>بزکشی۔</v>
      </c>
      <c r="S318" s="5" t="s">
        <v>389</v>
      </c>
    </row>
    <row r="319" ht="22.5" customHeight="1">
      <c r="A319" s="4">
        <v>318.0</v>
      </c>
      <c r="B319" s="5" t="s">
        <v>260</v>
      </c>
      <c r="C319" s="5" t="s">
        <v>261</v>
      </c>
      <c r="D319" s="5" t="s">
        <v>262</v>
      </c>
      <c r="E319" s="5" t="s">
        <v>263</v>
      </c>
      <c r="F319" s="5" t="s">
        <v>264</v>
      </c>
      <c r="G319" s="5" t="s">
        <v>263</v>
      </c>
      <c r="H319" s="5" t="s">
        <v>389</v>
      </c>
      <c r="K319" s="2" t="str">
        <f>IFERROR(__xludf.DUMMYFUNCTION("GOOGLETRANSLATE(A319,""en"",""ur"")"),"318")</f>
        <v>318</v>
      </c>
      <c r="L319" s="2" t="str">
        <f>IFERROR(__xludf.DUMMYFUNCTION("GOOGLETRANSLATE(B319,""en"",""ur"")"),"تصویر میں ایکشن ایک ایسا انداز تجویز کرتا ہے جو اس بات پر زور دیتا ہے...")</f>
        <v>تصویر میں ایکشن ایک ایسا انداز تجویز کرتا ہے جو اس بات پر زور دیتا ہے...</v>
      </c>
      <c r="M319" s="2" t="str">
        <f>IFERROR(__xludf.DUMMYFUNCTION("GOOGLETRANSLATE(C319,""en"",""ur"")"),"روانی اور قلابازیاں")</f>
        <v>روانی اور قلابازیاں</v>
      </c>
      <c r="N319" s="2" t="str">
        <f>IFERROR(__xludf.DUMMYFUNCTION("GOOGLETRANSLATE(D319,""en"",""ur"")"),"زمینی لڑائی اور گرفت")</f>
        <v>زمینی لڑائی اور گرفت</v>
      </c>
      <c r="O319" s="2" t="str">
        <f>IFERROR(__xludf.DUMMYFUNCTION("GOOGLETRANSLATE(E319,""en"",""ur"")"),"وحشیانہ قوت اور گھڑ سواری۔")</f>
        <v>وحشیانہ قوت اور گھڑ سواری۔</v>
      </c>
      <c r="P319" s="2" t="str">
        <f>IFERROR(__xludf.DUMMYFUNCTION("GOOGLETRANSLATE(F319,""en"",""ur"")"),"سادہ، لکیری حرکات")</f>
        <v>سادہ، لکیری حرکات</v>
      </c>
      <c r="Q319" s="2" t="s">
        <v>265</v>
      </c>
      <c r="R319" s="2" t="str">
        <f>IFERROR(__xludf.DUMMYFUNCTION("GOOGLETRANSLATE(G319,""en"",""ur"")"),"وحشیانہ قوت اور گھڑ سواری۔")</f>
        <v>وحشیانہ قوت اور گھڑ سواری۔</v>
      </c>
      <c r="S319" s="5" t="s">
        <v>389</v>
      </c>
    </row>
    <row r="320" ht="22.5" customHeight="1">
      <c r="A320" s="4">
        <v>319.0</v>
      </c>
      <c r="B320" s="5" t="s">
        <v>266</v>
      </c>
      <c r="C320" s="5" t="s">
        <v>59</v>
      </c>
      <c r="D320" s="5" t="s">
        <v>267</v>
      </c>
      <c r="E320" s="5" t="s">
        <v>61</v>
      </c>
      <c r="F320" s="5" t="s">
        <v>268</v>
      </c>
      <c r="G320" s="5" t="s">
        <v>267</v>
      </c>
      <c r="H320" s="5" t="s">
        <v>389</v>
      </c>
      <c r="K320" s="2" t="str">
        <f>IFERROR(__xludf.DUMMYFUNCTION("GOOGLETRANSLATE(A320,""en"",""ur"")"),"319")</f>
        <v>319</v>
      </c>
      <c r="L320" s="2" t="str">
        <f>IFERROR(__xludf.DUMMYFUNCTION("GOOGLETRANSLATE(B320,""en"",""ur"")"),"گھوڑوں کے بارے میں ایک قابل ذکر تفصیل کیا ہے؟")</f>
        <v>گھوڑوں کے بارے میں ایک قابل ذکر تفصیل کیا ہے؟</v>
      </c>
      <c r="M320" s="2" t="str">
        <f>IFERROR(__xludf.DUMMYFUNCTION("GOOGLETRANSLATE(C320,""en"",""ur"")"),"وہ سب ایک ہی رنگ کے ہیں۔")</f>
        <v>وہ سب ایک ہی رنگ کے ہیں۔</v>
      </c>
      <c r="N320" s="2" t="str">
        <f>IFERROR(__xludf.DUMMYFUNCTION("GOOGLETRANSLATE(D320,""en"",""ur"")"),"وہ رنگوں اور نسلوں کا مرکب ہیں۔")</f>
        <v>وہ رنگوں اور نسلوں کا مرکب ہیں۔</v>
      </c>
      <c r="O320" s="2" t="str">
        <f>IFERROR(__xludf.DUMMYFUNCTION("GOOGLETRANSLATE(E320,""en"",""ur"")"),"وہ سب وسیع نمونوں کے ساتھ زین پہنے ہوئے ہیں۔")</f>
        <v>وہ سب وسیع نمونوں کے ساتھ زین پہنے ہوئے ہیں۔</v>
      </c>
      <c r="P320" s="2" t="str">
        <f>IFERROR(__xludf.DUMMYFUNCTION("GOOGLETRANSLATE(F320,""en"",""ur"")"),"وہ سب خاموش کھڑے ہیں۔")</f>
        <v>وہ سب خاموش کھڑے ہیں۔</v>
      </c>
      <c r="Q320" s="2" t="s">
        <v>269</v>
      </c>
      <c r="R320" s="2" t="str">
        <f>IFERROR(__xludf.DUMMYFUNCTION("GOOGLETRANSLATE(G320,""en"",""ur"")"),"وہ رنگوں اور نسلوں کا مرکب ہیں۔")</f>
        <v>وہ رنگوں اور نسلوں کا مرکب ہیں۔</v>
      </c>
      <c r="S320" s="5" t="s">
        <v>389</v>
      </c>
    </row>
    <row r="321" ht="22.5" customHeight="1">
      <c r="A321" s="4">
        <v>320.0</v>
      </c>
      <c r="B321" s="5" t="s">
        <v>270</v>
      </c>
      <c r="C321" s="5" t="s">
        <v>271</v>
      </c>
      <c r="D321" s="5" t="s">
        <v>272</v>
      </c>
      <c r="E321" s="5" t="s">
        <v>273</v>
      </c>
      <c r="F321" s="5" t="s">
        <v>274</v>
      </c>
      <c r="G321" s="5" t="s">
        <v>274</v>
      </c>
      <c r="H321" s="5" t="s">
        <v>389</v>
      </c>
      <c r="K321" s="2" t="str">
        <f>IFERROR(__xludf.DUMMYFUNCTION("GOOGLETRANSLATE(A321,""en"",""ur"")"),"320")</f>
        <v>320</v>
      </c>
      <c r="L321" s="2" t="str">
        <f>IFERROR(__xludf.DUMMYFUNCTION("GOOGLETRANSLATE(B321,""en"",""ur"")"),"مرکز میں سوار کے بارے میں ایک قابل ذکر تفصیل کیا ہے؟")</f>
        <v>مرکز میں سوار کے بارے میں ایک قابل ذکر تفصیل کیا ہے؟</v>
      </c>
      <c r="M321" s="2" t="str">
        <f>IFERROR(__xludf.DUMMYFUNCTION("GOOGLETRANSLATE(C321,""en"",""ur"")"),"وہ اپنے گھوڑے سے گر رہا ہے۔")</f>
        <v>وہ اپنے گھوڑے سے گر رہا ہے۔</v>
      </c>
      <c r="N321" s="2" t="str">
        <f>IFERROR(__xludf.DUMMYFUNCTION("GOOGLETRANSLATE(D321,""en"",""ur"")"),"اس نے بینر اٹھا رکھا ہے۔")</f>
        <v>اس نے بینر اٹھا رکھا ہے۔</v>
      </c>
      <c r="O321" s="2" t="str">
        <f>IFERROR(__xludf.DUMMYFUNCTION("GOOGLETRANSLATE(E321,""en"",""ur"")"),"اس نے رسی پکڑی ہوئی ہے۔")</f>
        <v>اس نے رسی پکڑی ہوئی ہے۔</v>
      </c>
      <c r="P321" s="2" t="str">
        <f>IFERROR(__xludf.DUMMYFUNCTION("GOOGLETRANSLATE(F321,""en"",""ur"")"),"اس نے چھڑی پکڑی ہوئی ہے۔")</f>
        <v>اس نے چھڑی پکڑی ہوئی ہے۔</v>
      </c>
      <c r="Q321" s="2" t="s">
        <v>275</v>
      </c>
      <c r="R321" s="2" t="str">
        <f>IFERROR(__xludf.DUMMYFUNCTION("GOOGLETRANSLATE(G321,""en"",""ur"")"),"اس نے چھڑی پکڑی ہوئی ہے۔")</f>
        <v>اس نے چھڑی پکڑی ہوئی ہے۔</v>
      </c>
      <c r="S321" s="5" t="s">
        <v>389</v>
      </c>
    </row>
    <row r="322" ht="22.5" customHeight="1">
      <c r="A322" s="4">
        <v>321.0</v>
      </c>
      <c r="B322" s="5" t="s">
        <v>390</v>
      </c>
      <c r="C322" s="5" t="s">
        <v>103</v>
      </c>
      <c r="D322" s="5" t="s">
        <v>71</v>
      </c>
      <c r="E322" s="5" t="s">
        <v>72</v>
      </c>
      <c r="F322" s="5" t="s">
        <v>73</v>
      </c>
      <c r="G322" s="5" t="s">
        <v>71</v>
      </c>
      <c r="H322" s="5" t="s">
        <v>391</v>
      </c>
      <c r="K322" s="2" t="str">
        <f>IFERROR(__xludf.DUMMYFUNCTION("GOOGLETRANSLATE(A322,""en"",""ur"")"),"321")</f>
        <v>321</v>
      </c>
      <c r="L322" s="2" t="str">
        <f>IFERROR(__xludf.DUMMYFUNCTION("GOOGLETRANSLATE(B322,""en"",""ur"")"),"buzkashi_95 میں دکھایا گیا اہم عمل کیا ہے؟")</f>
        <v>buzkashi_95 میں دکھایا گیا اہم عمل کیا ہے؟</v>
      </c>
      <c r="M322" s="2" t="str">
        <f>IFERROR(__xludf.DUMMYFUNCTION("GOOGLETRANSLATE(C322,""en"",""ur"")"),"آرام سے گھوڑے کی سواری۔")</f>
        <v>آرام سے گھوڑے کی سواری۔</v>
      </c>
      <c r="N322" s="2" t="str">
        <f>IFERROR(__xludf.DUMMYFUNCTION("GOOGLETRANSLATE(D322,""en"",""ur"")"),"سواروں کا ایک گروپ جو مرکزی چیز کے لیے مقابلہ کر رہا ہے۔")</f>
        <v>سواروں کا ایک گروپ جو مرکزی چیز کے لیے مقابلہ کر رہا ہے۔</v>
      </c>
      <c r="O322" s="2" t="str">
        <f>IFERROR(__xludf.DUMMYFUNCTION("GOOGLETRANSLATE(E322,""en"",""ur"")"),"گھوڑوں کی پریڈ")</f>
        <v>گھوڑوں کی پریڈ</v>
      </c>
      <c r="P322" s="2" t="str">
        <f>IFERROR(__xludf.DUMMYFUNCTION("GOOGLETRANSLATE(F322,""en"",""ur"")"),"گھوڑوں کی دوڑ")</f>
        <v>گھوڑوں کی دوڑ</v>
      </c>
      <c r="Q322" s="2" t="s">
        <v>278</v>
      </c>
      <c r="R322" s="2" t="str">
        <f>IFERROR(__xludf.DUMMYFUNCTION("GOOGLETRANSLATE(G322,""en"",""ur"")"),"سواروں کا ایک گروپ جو مرکزی چیز کے لیے مقابلہ کر رہا ہے۔")</f>
        <v>سواروں کا ایک گروپ جو مرکزی چیز کے لیے مقابلہ کر رہا ہے۔</v>
      </c>
      <c r="S322" s="5" t="s">
        <v>391</v>
      </c>
    </row>
    <row r="323" ht="22.5" customHeight="1">
      <c r="A323" s="4">
        <v>322.0</v>
      </c>
      <c r="B323" s="5" t="s">
        <v>348</v>
      </c>
      <c r="C323" s="5" t="s">
        <v>284</v>
      </c>
      <c r="D323" s="5" t="s">
        <v>285</v>
      </c>
      <c r="E323" s="5" t="s">
        <v>286</v>
      </c>
      <c r="F323" s="5" t="s">
        <v>287</v>
      </c>
      <c r="G323" s="5" t="s">
        <v>286</v>
      </c>
      <c r="H323" s="5" t="s">
        <v>391</v>
      </c>
      <c r="K323" s="2" t="str">
        <f>IFERROR(__xludf.DUMMYFUNCTION("GOOGLETRANSLATE(A323,""en"",""ur"")"),"322")</f>
        <v>322</v>
      </c>
      <c r="L323" s="2" t="str">
        <f>IFERROR(__xludf.DUMMYFUNCTION("GOOGLETRANSLATE(B323,""en"",""ur"")"),"سوار جس چیز کا مقابلہ کر رہے ہیں اس کے بارے میں ایک قابل ذکر تفصیل کیا ہے؟")</f>
        <v>سوار جس چیز کا مقابلہ کر رہے ہیں اس کے بارے میں ایک قابل ذکر تفصیل کیا ہے؟</v>
      </c>
      <c r="M323" s="2" t="str">
        <f>IFERROR(__xludf.DUMMYFUNCTION("GOOGLETRANSLATE(C323,""en"",""ur"")"),"یہ ایک گیند ہے۔")</f>
        <v>یہ ایک گیند ہے۔</v>
      </c>
      <c r="N323" s="2" t="str">
        <f>IFERROR(__xludf.DUMMYFUNCTION("GOOGLETRANSLATE(D323,""en"",""ur"")"),"یہ ایک جھنڈا ہے۔")</f>
        <v>یہ ایک جھنڈا ہے۔</v>
      </c>
      <c r="O323" s="2" t="str">
        <f>IFERROR(__xludf.DUMMYFUNCTION("GOOGLETRANSLATE(E323,""en"",""ur"")"),"یہ ایک بکری کی لاش ہے۔")</f>
        <v>یہ ایک بکری کی لاش ہے۔</v>
      </c>
      <c r="P323" s="2" t="str">
        <f>IFERROR(__xludf.DUMMYFUNCTION("GOOGLETRANSLATE(F323,""en"",""ur"")"),"یہ ایک رسی ہے۔")</f>
        <v>یہ ایک رسی ہے۔</v>
      </c>
      <c r="Q323" s="2" t="s">
        <v>288</v>
      </c>
      <c r="R323" s="2" t="str">
        <f>IFERROR(__xludf.DUMMYFUNCTION("GOOGLETRANSLATE(G323,""en"",""ur"")"),"یہ ایک بکری کی لاش ہے۔")</f>
        <v>یہ ایک بکری کی لاش ہے۔</v>
      </c>
      <c r="S323" s="5" t="s">
        <v>391</v>
      </c>
    </row>
    <row r="324" ht="22.5" customHeight="1">
      <c r="A324" s="4">
        <v>323.0</v>
      </c>
      <c r="B324" s="5" t="s">
        <v>242</v>
      </c>
      <c r="C324" s="5" t="s">
        <v>243</v>
      </c>
      <c r="D324" s="5" t="s">
        <v>292</v>
      </c>
      <c r="E324" s="5" t="s">
        <v>245</v>
      </c>
      <c r="F324" s="5" t="s">
        <v>246</v>
      </c>
      <c r="G324" s="5" t="s">
        <v>292</v>
      </c>
      <c r="H324" s="5" t="s">
        <v>391</v>
      </c>
      <c r="K324" s="2" t="str">
        <f>IFERROR(__xludf.DUMMYFUNCTION("GOOGLETRANSLATE(A324,""en"",""ur"")"),"323")</f>
        <v>323</v>
      </c>
      <c r="L324" s="2" t="str">
        <f>IFERROR(__xludf.DUMMYFUNCTION("GOOGLETRANSLATE(B324,""en"",""ur"")"),"سواروں کے لباس کے بارے میں واضح تفصیل کیا ہے؟")</f>
        <v>سواروں کے لباس کے بارے میں واضح تفصیل کیا ہے؟</v>
      </c>
      <c r="M324" s="2" t="str">
        <f>IFERROR(__xludf.DUMMYFUNCTION("GOOGLETRANSLATE(C324,""en"",""ur"")"),"وہ جدید کھیلوں کی وردی پہنے ہوئے ہیں۔")</f>
        <v>وہ جدید کھیلوں کی وردی پہنے ہوئے ہیں۔</v>
      </c>
      <c r="N324" s="2" t="str">
        <f>IFERROR(__xludf.DUMMYFUNCTION("GOOGLETRANSLATE(D324,""en"",""ur"")"),"وہ روایتی ٹونکس اور سر کے لباس پہنے ہوئے ہیں۔")</f>
        <v>وہ روایتی ٹونکس اور سر کے لباس پہنے ہوئے ہیں۔</v>
      </c>
      <c r="O324" s="2" t="str">
        <f>IFERROR(__xludf.DUMMYFUNCTION("GOOGLETRANSLATE(E324,""en"",""ur"")"),"وہ رسمی سوٹ پہنے ہوئے ہیں۔")</f>
        <v>وہ رسمی سوٹ پہنے ہوئے ہیں۔</v>
      </c>
      <c r="P324" s="2" t="str">
        <f>IFERROR(__xludf.DUMMYFUNCTION("GOOGLETRANSLATE(F324,""en"",""ur"")"),"انہوں نے کوئی لباس نہیں پہنا ہوا ہے۔")</f>
        <v>انہوں نے کوئی لباس نہیں پہنا ہوا ہے۔</v>
      </c>
      <c r="Q324" s="2" t="s">
        <v>293</v>
      </c>
      <c r="R324" s="2" t="str">
        <f>IFERROR(__xludf.DUMMYFUNCTION("GOOGLETRANSLATE(G324,""en"",""ur"")"),"وہ روایتی ٹونکس اور سر کے لباس پہنے ہوئے ہیں۔")</f>
        <v>وہ روایتی ٹونکس اور سر کے لباس پہنے ہوئے ہیں۔</v>
      </c>
      <c r="S324" s="5" t="s">
        <v>391</v>
      </c>
    </row>
    <row r="325" ht="22.5" customHeight="1">
      <c r="A325" s="4">
        <v>324.0</v>
      </c>
      <c r="B325" s="5" t="s">
        <v>248</v>
      </c>
      <c r="C325" s="5" t="s">
        <v>249</v>
      </c>
      <c r="D325" s="5" t="s">
        <v>250</v>
      </c>
      <c r="E325" s="5" t="s">
        <v>251</v>
      </c>
      <c r="F325" s="5" t="s">
        <v>252</v>
      </c>
      <c r="G325" s="5" t="s">
        <v>250</v>
      </c>
      <c r="H325" s="5" t="s">
        <v>391</v>
      </c>
      <c r="K325" s="2" t="str">
        <f>IFERROR(__xludf.DUMMYFUNCTION("GOOGLETRANSLATE(A325,""en"",""ur"")"),"324")</f>
        <v>324</v>
      </c>
      <c r="L325" s="2" t="str">
        <f>IFERROR(__xludf.DUMMYFUNCTION("GOOGLETRANSLATE(B325,""en"",""ur"")"),"سواروں کی ظاہری باڈی پوزیشن کیا ہے؟")</f>
        <v>سواروں کی ظاہری باڈی پوزیشن کیا ہے؟</v>
      </c>
      <c r="M325" s="2" t="str">
        <f>IFERROR(__xludf.DUMMYFUNCTION("GOOGLETRANSLATE(C325,""en"",""ur"")"),"وہ سیدھے کھڑے ہیں۔")</f>
        <v>وہ سیدھے کھڑے ہیں۔</v>
      </c>
      <c r="N325" s="2" t="str">
        <f>IFERROR(__xludf.DUMMYFUNCTION("GOOGLETRANSLATE(D325,""en"",""ur"")"),"وہ جھک رہے ہیں اور کسی چیز تک پہنچ رہے ہیں۔")</f>
        <v>وہ جھک رہے ہیں اور کسی چیز تک پہنچ رہے ہیں۔</v>
      </c>
      <c r="O325" s="2" t="str">
        <f>IFERROR(__xludf.DUMMYFUNCTION("GOOGLETRANSLATE(E325,""en"",""ur"")"),"وہ گھوڑوں کی پیٹھ پر لیٹے ہوئے ہیں۔")</f>
        <v>وہ گھوڑوں کی پیٹھ پر لیٹے ہوئے ہیں۔</v>
      </c>
      <c r="P325" s="2" t="str">
        <f>IFERROR(__xludf.DUMMYFUNCTION("GOOGLETRANSLATE(F325,""en"",""ur"")"),"وہ آرام سے بیٹھے ہیں۔")</f>
        <v>وہ آرام سے بیٹھے ہیں۔</v>
      </c>
      <c r="Q325" s="2" t="s">
        <v>253</v>
      </c>
      <c r="R325" s="2" t="str">
        <f>IFERROR(__xludf.DUMMYFUNCTION("GOOGLETRANSLATE(G325,""en"",""ur"")"),"وہ جھک رہے ہیں اور کسی چیز تک پہنچ رہے ہیں۔")</f>
        <v>وہ جھک رہے ہیں اور کسی چیز تک پہنچ رہے ہیں۔</v>
      </c>
      <c r="S325" s="5" t="s">
        <v>391</v>
      </c>
    </row>
    <row r="326" ht="22.5" customHeight="1">
      <c r="A326" s="4">
        <v>325.0</v>
      </c>
      <c r="B326" s="5" t="s">
        <v>254</v>
      </c>
      <c r="C326" s="5" t="s">
        <v>47</v>
      </c>
      <c r="D326" s="5" t="s">
        <v>48</v>
      </c>
      <c r="E326" s="5" t="s">
        <v>49</v>
      </c>
      <c r="F326" s="5" t="s">
        <v>50</v>
      </c>
      <c r="G326" s="5" t="s">
        <v>49</v>
      </c>
      <c r="H326" s="5" t="s">
        <v>391</v>
      </c>
      <c r="K326" s="2" t="str">
        <f>IFERROR(__xludf.DUMMYFUNCTION("GOOGLETRANSLATE(A326,""en"",""ur"")"),"325")</f>
        <v>325</v>
      </c>
      <c r="L326" s="2" t="str">
        <f>IFERROR(__xludf.DUMMYFUNCTION("GOOGLETRANSLATE(B326,""en"",""ur"")"),"سواروں کے چہروں سے ظاہری جذبات کیا ہیں؟")</f>
        <v>سواروں کے چہروں سے ظاہری جذبات کیا ہیں؟</v>
      </c>
      <c r="M326" s="2" t="str">
        <f>IFERROR(__xludf.DUMMYFUNCTION("GOOGLETRANSLATE(C326,""en"",""ur"")"),"پرسکون اور پر سکون")</f>
        <v>پرسکون اور پر سکون</v>
      </c>
      <c r="N326" s="2" t="str">
        <f>IFERROR(__xludf.DUMMYFUNCTION("GOOGLETRANSLATE(D326,""en"",""ur"")"),"خوف زدہ اور بے چین")</f>
        <v>خوف زدہ اور بے چین</v>
      </c>
      <c r="O326" s="2" t="str">
        <f>IFERROR(__xludf.DUMMYFUNCTION("GOOGLETRANSLATE(E326,""en"",""ur"")"),"کشیدہ اور شدید")</f>
        <v>کشیدہ اور شدید</v>
      </c>
      <c r="P326" s="2" t="str">
        <f>IFERROR(__xludf.DUMMYFUNCTION("GOOGLETRANSLATE(F326,""en"",""ur"")"),"خوش اور مسکراتے ہوئے۔")</f>
        <v>خوش اور مسکراتے ہوئے۔</v>
      </c>
      <c r="Q326" s="2" t="s">
        <v>51</v>
      </c>
      <c r="R326" s="2" t="str">
        <f>IFERROR(__xludf.DUMMYFUNCTION("GOOGLETRANSLATE(G326,""en"",""ur"")"),"کشیدہ اور شدید")</f>
        <v>کشیدہ اور شدید</v>
      </c>
      <c r="S326" s="5" t="s">
        <v>391</v>
      </c>
    </row>
    <row r="327" ht="22.5" customHeight="1">
      <c r="A327" s="4">
        <v>326.0</v>
      </c>
      <c r="B327" s="5" t="s">
        <v>88</v>
      </c>
      <c r="C327" s="5" t="s">
        <v>89</v>
      </c>
      <c r="D327" s="5" t="s">
        <v>90</v>
      </c>
      <c r="E327" s="5" t="s">
        <v>91</v>
      </c>
      <c r="F327" s="5" t="s">
        <v>255</v>
      </c>
      <c r="G327" s="5" t="s">
        <v>255</v>
      </c>
      <c r="H327" s="5" t="s">
        <v>391</v>
      </c>
      <c r="K327" s="2" t="str">
        <f>IFERROR(__xludf.DUMMYFUNCTION("GOOGLETRANSLATE(A327,""en"",""ur"")"),"326")</f>
        <v>326</v>
      </c>
      <c r="L327" s="2" t="str">
        <f>IFERROR(__xludf.DUMMYFUNCTION("GOOGLETRANSLATE(B327,""en"",""ur"")"),"زمین کی سب سے نمایاں خصوصیت کیا ہے؟")</f>
        <v>زمین کی سب سے نمایاں خصوصیت کیا ہے؟</v>
      </c>
      <c r="M327" s="2" t="str">
        <f>IFERROR(__xludf.DUMMYFUNCTION("GOOGLETRANSLATE(C327,""en"",""ur"")"),"ایک پکی سطح")</f>
        <v>ایک پکی سطح</v>
      </c>
      <c r="N327" s="2" t="str">
        <f>IFERROR(__xludf.DUMMYFUNCTION("GOOGLETRANSLATE(D327,""en"",""ur"")"),"کیچڑ والا میدان")</f>
        <v>کیچڑ والا میدان</v>
      </c>
      <c r="O327" s="2" t="str">
        <f>IFERROR(__xludf.DUMMYFUNCTION("GOOGLETRANSLATE(E327,""en"",""ur"")"),"ایک گھاس دار سطح")</f>
        <v>ایک گھاس دار سطح</v>
      </c>
      <c r="P327" s="2" t="str">
        <f>IFERROR(__xludf.DUMMYFUNCTION("GOOGLETRANSLATE(F327,""en"",""ur"")"),"ریتلی یا گندگی کی سطح")</f>
        <v>ریتلی یا گندگی کی سطح</v>
      </c>
      <c r="Q327" s="2" t="s">
        <v>256</v>
      </c>
      <c r="R327" s="2" t="str">
        <f>IFERROR(__xludf.DUMMYFUNCTION("GOOGLETRANSLATE(G327,""en"",""ur"")"),"ریتلی یا گندگی کی سطح")</f>
        <v>ریتلی یا گندگی کی سطح</v>
      </c>
      <c r="S327" s="5" t="s">
        <v>391</v>
      </c>
    </row>
    <row r="328" ht="22.5" customHeight="1">
      <c r="A328" s="4">
        <v>327.0</v>
      </c>
      <c r="B328" s="5" t="s">
        <v>257</v>
      </c>
      <c r="C328" s="5" t="s">
        <v>95</v>
      </c>
      <c r="D328" s="5" t="s">
        <v>96</v>
      </c>
      <c r="E328" s="5" t="s">
        <v>97</v>
      </c>
      <c r="F328" s="5" t="s">
        <v>258</v>
      </c>
      <c r="G328" s="5" t="s">
        <v>97</v>
      </c>
      <c r="H328" s="5" t="s">
        <v>391</v>
      </c>
      <c r="K328" s="2" t="str">
        <f>IFERROR(__xludf.DUMMYFUNCTION("GOOGLETRANSLATE(A328,""en"",""ur"")"),"327")</f>
        <v>327</v>
      </c>
      <c r="L328" s="2" t="str">
        <f>IFERROR(__xludf.DUMMYFUNCTION("GOOGLETRANSLATE(B328,""en"",""ur"")"),"کھیلے جانے والے کھیل کا نام کیا ہے؟")</f>
        <v>کھیلے جانے والے کھیل کا نام کیا ہے؟</v>
      </c>
      <c r="M328" s="2" t="str">
        <f>IFERROR(__xludf.DUMMYFUNCTION("GOOGLETRANSLATE(C328,""en"",""ur"")"),"پولو")</f>
        <v>پولو</v>
      </c>
      <c r="N328" s="2" t="str">
        <f>IFERROR(__xludf.DUMMYFUNCTION("GOOGLETRANSLATE(D328,""en"",""ur"")"),"گھوڑوں کی دوڑ")</f>
        <v>گھوڑوں کی دوڑ</v>
      </c>
      <c r="O328" s="2" t="str">
        <f>IFERROR(__xludf.DUMMYFUNCTION("GOOGLETRANSLATE(E328,""en"",""ur"")"),"بزکشی۔")</f>
        <v>بزکشی۔</v>
      </c>
      <c r="P328" s="2" t="str">
        <f>IFERROR(__xludf.DUMMYFUNCTION("GOOGLETRANSLATE(F328,""en"",""ur"")"),"گھڑ سواری کے کھیل")</f>
        <v>گھڑ سواری کے کھیل</v>
      </c>
      <c r="Q328" s="2" t="s">
        <v>259</v>
      </c>
      <c r="R328" s="2" t="str">
        <f>IFERROR(__xludf.DUMMYFUNCTION("GOOGLETRANSLATE(G328,""en"",""ur"")"),"بزکشی۔")</f>
        <v>بزکشی۔</v>
      </c>
      <c r="S328" s="5" t="s">
        <v>391</v>
      </c>
    </row>
    <row r="329" ht="22.5" customHeight="1">
      <c r="A329" s="4">
        <v>328.0</v>
      </c>
      <c r="B329" s="5" t="s">
        <v>260</v>
      </c>
      <c r="C329" s="5" t="s">
        <v>261</v>
      </c>
      <c r="D329" s="5" t="s">
        <v>262</v>
      </c>
      <c r="E329" s="5" t="s">
        <v>263</v>
      </c>
      <c r="F329" s="5" t="s">
        <v>264</v>
      </c>
      <c r="G329" s="5" t="s">
        <v>263</v>
      </c>
      <c r="H329" s="5" t="s">
        <v>391</v>
      </c>
      <c r="K329" s="2" t="str">
        <f>IFERROR(__xludf.DUMMYFUNCTION("GOOGLETRANSLATE(A329,""en"",""ur"")"),"328")</f>
        <v>328</v>
      </c>
      <c r="L329" s="2" t="str">
        <f>IFERROR(__xludf.DUMMYFUNCTION("GOOGLETRANSLATE(B329,""en"",""ur"")"),"تصویر میں ایکشن ایک ایسا انداز تجویز کرتا ہے جو اس بات پر زور دیتا ہے...")</f>
        <v>تصویر میں ایکشن ایک ایسا انداز تجویز کرتا ہے جو اس بات پر زور دیتا ہے...</v>
      </c>
      <c r="M329" s="2" t="str">
        <f>IFERROR(__xludf.DUMMYFUNCTION("GOOGLETRANSLATE(C329,""en"",""ur"")"),"روانی اور قلابازیاں")</f>
        <v>روانی اور قلابازیاں</v>
      </c>
      <c r="N329" s="2" t="str">
        <f>IFERROR(__xludf.DUMMYFUNCTION("GOOGLETRANSLATE(D329,""en"",""ur"")"),"زمینی لڑائی اور گرفت")</f>
        <v>زمینی لڑائی اور گرفت</v>
      </c>
      <c r="O329" s="2" t="str">
        <f>IFERROR(__xludf.DUMMYFUNCTION("GOOGLETRANSLATE(E329,""en"",""ur"")"),"وحشیانہ قوت اور گھڑ سواری۔")</f>
        <v>وحشیانہ قوت اور گھڑ سواری۔</v>
      </c>
      <c r="P329" s="2" t="str">
        <f>IFERROR(__xludf.DUMMYFUNCTION("GOOGLETRANSLATE(F329,""en"",""ur"")"),"سادہ، لکیری حرکات")</f>
        <v>سادہ، لکیری حرکات</v>
      </c>
      <c r="Q329" s="2" t="s">
        <v>265</v>
      </c>
      <c r="R329" s="2" t="str">
        <f>IFERROR(__xludf.DUMMYFUNCTION("GOOGLETRANSLATE(G329,""en"",""ur"")"),"وحشیانہ قوت اور گھڑ سواری۔")</f>
        <v>وحشیانہ قوت اور گھڑ سواری۔</v>
      </c>
      <c r="S329" s="5" t="s">
        <v>391</v>
      </c>
    </row>
    <row r="330" ht="22.5" customHeight="1">
      <c r="A330" s="4">
        <v>329.0</v>
      </c>
      <c r="B330" s="5" t="s">
        <v>266</v>
      </c>
      <c r="C330" s="5" t="s">
        <v>59</v>
      </c>
      <c r="D330" s="5" t="s">
        <v>267</v>
      </c>
      <c r="E330" s="5" t="s">
        <v>61</v>
      </c>
      <c r="F330" s="5" t="s">
        <v>268</v>
      </c>
      <c r="G330" s="5" t="s">
        <v>267</v>
      </c>
      <c r="H330" s="5" t="s">
        <v>391</v>
      </c>
      <c r="K330" s="2" t="str">
        <f>IFERROR(__xludf.DUMMYFUNCTION("GOOGLETRANSLATE(A330,""en"",""ur"")"),"329")</f>
        <v>329</v>
      </c>
      <c r="L330" s="2" t="str">
        <f>IFERROR(__xludf.DUMMYFUNCTION("GOOGLETRANSLATE(B330,""en"",""ur"")"),"گھوڑوں کے بارے میں ایک قابل ذکر تفصیل کیا ہے؟")</f>
        <v>گھوڑوں کے بارے میں ایک قابل ذکر تفصیل کیا ہے؟</v>
      </c>
      <c r="M330" s="2" t="str">
        <f>IFERROR(__xludf.DUMMYFUNCTION("GOOGLETRANSLATE(C330,""en"",""ur"")"),"وہ سب ایک ہی رنگ کے ہیں۔")</f>
        <v>وہ سب ایک ہی رنگ کے ہیں۔</v>
      </c>
      <c r="N330" s="2" t="str">
        <f>IFERROR(__xludf.DUMMYFUNCTION("GOOGLETRANSLATE(D330,""en"",""ur"")"),"وہ رنگوں اور نسلوں کا مرکب ہیں۔")</f>
        <v>وہ رنگوں اور نسلوں کا مرکب ہیں۔</v>
      </c>
      <c r="O330" s="2" t="str">
        <f>IFERROR(__xludf.DUMMYFUNCTION("GOOGLETRANSLATE(E330,""en"",""ur"")"),"وہ سب وسیع نمونوں کے ساتھ زین پہنے ہوئے ہیں۔")</f>
        <v>وہ سب وسیع نمونوں کے ساتھ زین پہنے ہوئے ہیں۔</v>
      </c>
      <c r="P330" s="2" t="str">
        <f>IFERROR(__xludf.DUMMYFUNCTION("GOOGLETRANSLATE(F330,""en"",""ur"")"),"وہ سب خاموش کھڑے ہیں۔")</f>
        <v>وہ سب خاموش کھڑے ہیں۔</v>
      </c>
      <c r="Q330" s="2" t="s">
        <v>269</v>
      </c>
      <c r="R330" s="2" t="str">
        <f>IFERROR(__xludf.DUMMYFUNCTION("GOOGLETRANSLATE(G330,""en"",""ur"")"),"وہ رنگوں اور نسلوں کا مرکب ہیں۔")</f>
        <v>وہ رنگوں اور نسلوں کا مرکب ہیں۔</v>
      </c>
      <c r="S330" s="5" t="s">
        <v>391</v>
      </c>
    </row>
    <row r="331" ht="22.5" customHeight="1">
      <c r="A331" s="4">
        <v>330.0</v>
      </c>
      <c r="B331" s="5" t="s">
        <v>270</v>
      </c>
      <c r="C331" s="5" t="s">
        <v>271</v>
      </c>
      <c r="D331" s="5" t="s">
        <v>272</v>
      </c>
      <c r="E331" s="5" t="s">
        <v>273</v>
      </c>
      <c r="F331" s="5" t="s">
        <v>274</v>
      </c>
      <c r="G331" s="5" t="s">
        <v>274</v>
      </c>
      <c r="H331" s="5" t="s">
        <v>391</v>
      </c>
      <c r="K331" s="2" t="str">
        <f>IFERROR(__xludf.DUMMYFUNCTION("GOOGLETRANSLATE(A331,""en"",""ur"")"),"330")</f>
        <v>330</v>
      </c>
      <c r="L331" s="2" t="str">
        <f>IFERROR(__xludf.DUMMYFUNCTION("GOOGLETRANSLATE(B331,""en"",""ur"")"),"مرکز میں سوار کے بارے میں ایک قابل ذکر تفصیل کیا ہے؟")</f>
        <v>مرکز میں سوار کے بارے میں ایک قابل ذکر تفصیل کیا ہے؟</v>
      </c>
      <c r="M331" s="2" t="str">
        <f>IFERROR(__xludf.DUMMYFUNCTION("GOOGLETRANSLATE(C331,""en"",""ur"")"),"وہ اپنے گھوڑے سے گر رہا ہے۔")</f>
        <v>وہ اپنے گھوڑے سے گر رہا ہے۔</v>
      </c>
      <c r="N331" s="2" t="str">
        <f>IFERROR(__xludf.DUMMYFUNCTION("GOOGLETRANSLATE(D331,""en"",""ur"")"),"اس نے بینر اٹھا رکھا ہے۔")</f>
        <v>اس نے بینر اٹھا رکھا ہے۔</v>
      </c>
      <c r="O331" s="2" t="str">
        <f>IFERROR(__xludf.DUMMYFUNCTION("GOOGLETRANSLATE(E331,""en"",""ur"")"),"اس نے رسی پکڑی ہوئی ہے۔")</f>
        <v>اس نے رسی پکڑی ہوئی ہے۔</v>
      </c>
      <c r="P331" s="2" t="str">
        <f>IFERROR(__xludf.DUMMYFUNCTION("GOOGLETRANSLATE(F331,""en"",""ur"")"),"اس نے چھڑی پکڑی ہوئی ہے۔")</f>
        <v>اس نے چھڑی پکڑی ہوئی ہے۔</v>
      </c>
      <c r="Q331" s="2" t="s">
        <v>275</v>
      </c>
      <c r="R331" s="2" t="str">
        <f>IFERROR(__xludf.DUMMYFUNCTION("GOOGLETRANSLATE(G331,""en"",""ur"")"),"اس نے چھڑی پکڑی ہوئی ہے۔")</f>
        <v>اس نے چھڑی پکڑی ہوئی ہے۔</v>
      </c>
      <c r="S331" s="5" t="s">
        <v>391</v>
      </c>
    </row>
    <row r="332" ht="22.5" customHeight="1">
      <c r="A332" s="4">
        <v>331.0</v>
      </c>
      <c r="B332" s="5" t="s">
        <v>392</v>
      </c>
      <c r="C332" s="5" t="s">
        <v>103</v>
      </c>
      <c r="D332" s="5" t="s">
        <v>300</v>
      </c>
      <c r="E332" s="5" t="s">
        <v>72</v>
      </c>
      <c r="F332" s="5" t="s">
        <v>73</v>
      </c>
      <c r="G332" s="5" t="s">
        <v>300</v>
      </c>
      <c r="H332" s="5" t="s">
        <v>393</v>
      </c>
      <c r="K332" s="2" t="str">
        <f>IFERROR(__xludf.DUMMYFUNCTION("GOOGLETRANSLATE(A332,""en"",""ur"")"),"331")</f>
        <v>331</v>
      </c>
      <c r="L332" s="2" t="str">
        <f>IFERROR(__xludf.DUMMYFUNCTION("GOOGLETRANSLATE(B332,""en"",""ur"")"),"buzkashi_79 میں دکھائی جانے والی اہم کارروائی کیا ہے؟")</f>
        <v>buzkashi_79 میں دکھائی جانے والی اہم کارروائی کیا ہے؟</v>
      </c>
      <c r="M332" s="2" t="str">
        <f>IFERROR(__xludf.DUMMYFUNCTION("GOOGLETRANSLATE(C332,""en"",""ur"")"),"آرام سے گھوڑے کی سواری۔")</f>
        <v>آرام سے گھوڑے کی سواری۔</v>
      </c>
      <c r="N332" s="2" t="str">
        <f>IFERROR(__xludf.DUMMYFUNCTION("GOOGLETRANSLATE(D332,""en"",""ur"")"),"تیز رفتاری سے لاش کو لے جانے والا سوار")</f>
        <v>تیز رفتاری سے لاش کو لے جانے والا سوار</v>
      </c>
      <c r="O332" s="2" t="str">
        <f>IFERROR(__xludf.DUMMYFUNCTION("GOOGLETRANSLATE(E332,""en"",""ur"")"),"گھوڑوں کی پریڈ")</f>
        <v>گھوڑوں کی پریڈ</v>
      </c>
      <c r="P332" s="2" t="str">
        <f>IFERROR(__xludf.DUMMYFUNCTION("GOOGLETRANSLATE(F332,""en"",""ur"")"),"گھوڑوں کی دوڑ")</f>
        <v>گھوڑوں کی دوڑ</v>
      </c>
      <c r="Q332" s="2" t="s">
        <v>302</v>
      </c>
      <c r="R332" s="2" t="str">
        <f>IFERROR(__xludf.DUMMYFUNCTION("GOOGLETRANSLATE(G332,""en"",""ur"")"),"تیز رفتاری سے لاش کو لے جانے والا سوار")</f>
        <v>تیز رفتاری سے لاش کو لے جانے والا سوار</v>
      </c>
      <c r="S332" s="5" t="s">
        <v>393</v>
      </c>
    </row>
    <row r="333" ht="22.5" customHeight="1">
      <c r="A333" s="4">
        <v>332.0</v>
      </c>
      <c r="B333" s="5" t="s">
        <v>303</v>
      </c>
      <c r="C333" s="5" t="s">
        <v>284</v>
      </c>
      <c r="D333" s="5" t="s">
        <v>285</v>
      </c>
      <c r="E333" s="5" t="s">
        <v>286</v>
      </c>
      <c r="F333" s="5" t="s">
        <v>287</v>
      </c>
      <c r="G333" s="5" t="s">
        <v>286</v>
      </c>
      <c r="H333" s="5" t="s">
        <v>393</v>
      </c>
      <c r="K333" s="2" t="str">
        <f>IFERROR(__xludf.DUMMYFUNCTION("GOOGLETRANSLATE(A333,""en"",""ur"")"),"332")</f>
        <v>332</v>
      </c>
      <c r="L333" s="2" t="str">
        <f>IFERROR(__xludf.DUMMYFUNCTION("GOOGLETRANSLATE(B333,""en"",""ur"")"),"سوار جس چیز کو لے کر جا رہا ہے اس کے بارے میں ایک قابل ذکر تفصیل کیا ہے؟")</f>
        <v>سوار جس چیز کو لے کر جا رہا ہے اس کے بارے میں ایک قابل ذکر تفصیل کیا ہے؟</v>
      </c>
      <c r="M333" s="2" t="str">
        <f>IFERROR(__xludf.DUMMYFUNCTION("GOOGLETRANSLATE(C333,""en"",""ur"")"),"یہ ایک گیند ہے۔")</f>
        <v>یہ ایک گیند ہے۔</v>
      </c>
      <c r="N333" s="2" t="str">
        <f>IFERROR(__xludf.DUMMYFUNCTION("GOOGLETRANSLATE(D333,""en"",""ur"")"),"یہ ایک جھنڈا ہے۔")</f>
        <v>یہ ایک جھنڈا ہے۔</v>
      </c>
      <c r="O333" s="2" t="str">
        <f>IFERROR(__xludf.DUMMYFUNCTION("GOOGLETRANSLATE(E333,""en"",""ur"")"),"یہ ایک بکری کی لاش ہے۔")</f>
        <v>یہ ایک بکری کی لاش ہے۔</v>
      </c>
      <c r="P333" s="2" t="str">
        <f>IFERROR(__xludf.DUMMYFUNCTION("GOOGLETRANSLATE(F333,""en"",""ur"")"),"یہ ایک رسی ہے۔")</f>
        <v>یہ ایک رسی ہے۔</v>
      </c>
      <c r="Q333" s="2" t="s">
        <v>288</v>
      </c>
      <c r="R333" s="2" t="str">
        <f>IFERROR(__xludf.DUMMYFUNCTION("GOOGLETRANSLATE(G333,""en"",""ur"")"),"یہ ایک بکری کی لاش ہے۔")</f>
        <v>یہ ایک بکری کی لاش ہے۔</v>
      </c>
      <c r="S333" s="5" t="s">
        <v>393</v>
      </c>
    </row>
    <row r="334" ht="22.5" customHeight="1">
      <c r="A334" s="4">
        <v>333.0</v>
      </c>
      <c r="B334" s="5" t="s">
        <v>304</v>
      </c>
      <c r="C334" s="5" t="s">
        <v>305</v>
      </c>
      <c r="D334" s="5" t="s">
        <v>306</v>
      </c>
      <c r="E334" s="5" t="s">
        <v>307</v>
      </c>
      <c r="F334" s="5" t="s">
        <v>308</v>
      </c>
      <c r="G334" s="5" t="s">
        <v>306</v>
      </c>
      <c r="H334" s="5" t="s">
        <v>393</v>
      </c>
      <c r="K334" s="2" t="str">
        <f>IFERROR(__xludf.DUMMYFUNCTION("GOOGLETRANSLATE(A334,""en"",""ur"")"),"333")</f>
        <v>333</v>
      </c>
      <c r="L334" s="2" t="str">
        <f>IFERROR(__xludf.DUMMYFUNCTION("GOOGLETRANSLATE(B334,""en"",""ur"")"),"سوار کے لباس کے بارے میں واضح تفصیل کیا ہے؟")</f>
        <v>سوار کے لباس کے بارے میں واضح تفصیل کیا ہے؟</v>
      </c>
      <c r="M334" s="2" t="str">
        <f>IFERROR(__xludf.DUMMYFUNCTION("GOOGLETRANSLATE(C334,""en"",""ur"")"),"اس نے جدید کھیلوں کا یونیفارم پہن رکھا ہے۔")</f>
        <v>اس نے جدید کھیلوں کا یونیفارم پہن رکھا ہے۔</v>
      </c>
      <c r="N334" s="2" t="str">
        <f>IFERROR(__xludf.DUMMYFUNCTION("GOOGLETRANSLATE(D334,""en"",""ur"")"),"اس نے روایتی ٹونک اور سر کا لباس پہن رکھا ہے۔")</f>
        <v>اس نے روایتی ٹونک اور سر کا لباس پہن رکھا ہے۔</v>
      </c>
      <c r="O334" s="2" t="str">
        <f>IFERROR(__xludf.DUMMYFUNCTION("GOOGLETRANSLATE(E334,""en"",""ur"")"),"اس نے رسمی سوٹ پہن رکھا ہے۔")</f>
        <v>اس نے رسمی سوٹ پہن رکھا ہے۔</v>
      </c>
      <c r="P334" s="2" t="str">
        <f>IFERROR(__xludf.DUMMYFUNCTION("GOOGLETRANSLATE(F334,""en"",""ur"")"),"اس نے کوئی لباس نہیں پہنا ہوا ہے۔")</f>
        <v>اس نے کوئی لباس نہیں پہنا ہوا ہے۔</v>
      </c>
      <c r="Q334" s="2" t="s">
        <v>309</v>
      </c>
      <c r="R334" s="2" t="str">
        <f>IFERROR(__xludf.DUMMYFUNCTION("GOOGLETRANSLATE(G334,""en"",""ur"")"),"اس نے روایتی ٹونک اور سر کا لباس پہن رکھا ہے۔")</f>
        <v>اس نے روایتی ٹونک اور سر کا لباس پہن رکھا ہے۔</v>
      </c>
      <c r="S334" s="5" t="s">
        <v>393</v>
      </c>
    </row>
    <row r="335" ht="22.5" customHeight="1">
      <c r="A335" s="4">
        <v>334.0</v>
      </c>
      <c r="B335" s="5" t="s">
        <v>310</v>
      </c>
      <c r="C335" s="5" t="s">
        <v>311</v>
      </c>
      <c r="D335" s="5" t="s">
        <v>312</v>
      </c>
      <c r="E335" s="5" t="s">
        <v>313</v>
      </c>
      <c r="F335" s="5" t="s">
        <v>314</v>
      </c>
      <c r="G335" s="5" t="s">
        <v>312</v>
      </c>
      <c r="H335" s="5" t="s">
        <v>393</v>
      </c>
      <c r="K335" s="2" t="str">
        <f>IFERROR(__xludf.DUMMYFUNCTION("GOOGLETRANSLATE(A335,""en"",""ur"")"),"334")</f>
        <v>334</v>
      </c>
      <c r="L335" s="2" t="str">
        <f>IFERROR(__xludf.DUMMYFUNCTION("GOOGLETRANSLATE(B335,""en"",""ur"")"),"سوار کی ظاہری باڈی پوزیشن کیا ہے؟")</f>
        <v>سوار کی ظاہری باڈی پوزیشن کیا ہے؟</v>
      </c>
      <c r="M335" s="2" t="str">
        <f>IFERROR(__xludf.DUMMYFUNCTION("GOOGLETRANSLATE(C335,""en"",""ur"")"),"وہ سیدھا کھڑا ہے۔")</f>
        <v>وہ سیدھا کھڑا ہے۔</v>
      </c>
      <c r="N335" s="2" t="str">
        <f>IFERROR(__xludf.DUMMYFUNCTION("GOOGLETRANSLATE(D335,""en"",""ur"")"),"وہ جھک رہا ہے اور کسی چیز تک پہنچ رہا ہے۔")</f>
        <v>وہ جھک رہا ہے اور کسی چیز تک پہنچ رہا ہے۔</v>
      </c>
      <c r="O335" s="2" t="str">
        <f>IFERROR(__xludf.DUMMYFUNCTION("GOOGLETRANSLATE(E335,""en"",""ur"")"),"وہ گھوڑے کی پیٹھ پر لیٹا ہے۔")</f>
        <v>وہ گھوڑے کی پیٹھ پر لیٹا ہے۔</v>
      </c>
      <c r="P335" s="2" t="str">
        <f>IFERROR(__xludf.DUMMYFUNCTION("GOOGLETRANSLATE(F335,""en"",""ur"")"),"وہ آرام سے بیٹھا ہے۔")</f>
        <v>وہ آرام سے بیٹھا ہے۔</v>
      </c>
      <c r="Q335" s="2" t="s">
        <v>315</v>
      </c>
      <c r="R335" s="2" t="str">
        <f>IFERROR(__xludf.DUMMYFUNCTION("GOOGLETRANSLATE(G335,""en"",""ur"")"),"وہ جھک رہا ہے اور کسی چیز تک پہنچ رہا ہے۔")</f>
        <v>وہ جھک رہا ہے اور کسی چیز تک پہنچ رہا ہے۔</v>
      </c>
      <c r="S335" s="5" t="s">
        <v>393</v>
      </c>
    </row>
    <row r="336" ht="22.5" customHeight="1">
      <c r="A336" s="4">
        <v>335.0</v>
      </c>
      <c r="B336" s="5" t="s">
        <v>316</v>
      </c>
      <c r="C336" s="5" t="s">
        <v>47</v>
      </c>
      <c r="D336" s="5" t="s">
        <v>48</v>
      </c>
      <c r="E336" s="5" t="s">
        <v>49</v>
      </c>
      <c r="F336" s="5" t="s">
        <v>50</v>
      </c>
      <c r="G336" s="5" t="s">
        <v>49</v>
      </c>
      <c r="H336" s="5" t="s">
        <v>393</v>
      </c>
      <c r="K336" s="2" t="str">
        <f>IFERROR(__xludf.DUMMYFUNCTION("GOOGLETRANSLATE(A336,""en"",""ur"")"),"335")</f>
        <v>335</v>
      </c>
      <c r="L336" s="2" t="str">
        <f>IFERROR(__xludf.DUMMYFUNCTION("GOOGLETRANSLATE(B336,""en"",""ur"")"),"سوار کے چہرے سے ظاہری جذبات کیا ہیں؟")</f>
        <v>سوار کے چہرے سے ظاہری جذبات کیا ہیں؟</v>
      </c>
      <c r="M336" s="2" t="str">
        <f>IFERROR(__xludf.DUMMYFUNCTION("GOOGLETRANSLATE(C336,""en"",""ur"")"),"پرسکون اور پر سکون")</f>
        <v>پرسکون اور پر سکون</v>
      </c>
      <c r="N336" s="2" t="str">
        <f>IFERROR(__xludf.DUMMYFUNCTION("GOOGLETRANSLATE(D336,""en"",""ur"")"),"خوف زدہ اور بے چین")</f>
        <v>خوف زدہ اور بے چین</v>
      </c>
      <c r="O336" s="2" t="str">
        <f>IFERROR(__xludf.DUMMYFUNCTION("GOOGLETRANSLATE(E336,""en"",""ur"")"),"کشیدہ اور شدید")</f>
        <v>کشیدہ اور شدید</v>
      </c>
      <c r="P336" s="2" t="str">
        <f>IFERROR(__xludf.DUMMYFUNCTION("GOOGLETRANSLATE(F336,""en"",""ur"")"),"خوش اور مسکراتے ہوئے۔")</f>
        <v>خوش اور مسکراتے ہوئے۔</v>
      </c>
      <c r="Q336" s="2" t="s">
        <v>51</v>
      </c>
      <c r="R336" s="2" t="str">
        <f>IFERROR(__xludf.DUMMYFUNCTION("GOOGLETRANSLATE(G336,""en"",""ur"")"),"کشیدہ اور شدید")</f>
        <v>کشیدہ اور شدید</v>
      </c>
      <c r="S336" s="5" t="s">
        <v>393</v>
      </c>
    </row>
    <row r="337" ht="22.5" customHeight="1">
      <c r="A337" s="4">
        <v>336.0</v>
      </c>
      <c r="B337" s="5" t="s">
        <v>88</v>
      </c>
      <c r="C337" s="5" t="s">
        <v>89</v>
      </c>
      <c r="D337" s="5" t="s">
        <v>90</v>
      </c>
      <c r="E337" s="5" t="s">
        <v>91</v>
      </c>
      <c r="F337" s="5" t="s">
        <v>255</v>
      </c>
      <c r="G337" s="5" t="s">
        <v>255</v>
      </c>
      <c r="H337" s="5" t="s">
        <v>393</v>
      </c>
      <c r="K337" s="2" t="str">
        <f>IFERROR(__xludf.DUMMYFUNCTION("GOOGLETRANSLATE(A337,""en"",""ur"")"),"336")</f>
        <v>336</v>
      </c>
      <c r="L337" s="2" t="str">
        <f>IFERROR(__xludf.DUMMYFUNCTION("GOOGLETRANSLATE(B337,""en"",""ur"")"),"زمین کی سب سے نمایاں خصوصیت کیا ہے؟")</f>
        <v>زمین کی سب سے نمایاں خصوصیت کیا ہے؟</v>
      </c>
      <c r="M337" s="2" t="str">
        <f>IFERROR(__xludf.DUMMYFUNCTION("GOOGLETRANSLATE(C337,""en"",""ur"")"),"ایک پکی سطح")</f>
        <v>ایک پکی سطح</v>
      </c>
      <c r="N337" s="2" t="str">
        <f>IFERROR(__xludf.DUMMYFUNCTION("GOOGLETRANSLATE(D337,""en"",""ur"")"),"کیچڑ والا میدان")</f>
        <v>کیچڑ والا میدان</v>
      </c>
      <c r="O337" s="2" t="str">
        <f>IFERROR(__xludf.DUMMYFUNCTION("GOOGLETRANSLATE(E337,""en"",""ur"")"),"ایک گھاس دار سطح")</f>
        <v>ایک گھاس دار سطح</v>
      </c>
      <c r="P337" s="2" t="str">
        <f>IFERROR(__xludf.DUMMYFUNCTION("GOOGLETRANSLATE(F337,""en"",""ur"")"),"ریتلی یا گندگی کی سطح")</f>
        <v>ریتلی یا گندگی کی سطح</v>
      </c>
      <c r="Q337" s="2" t="s">
        <v>256</v>
      </c>
      <c r="R337" s="2" t="str">
        <f>IFERROR(__xludf.DUMMYFUNCTION("GOOGLETRANSLATE(G337,""en"",""ur"")"),"ریتلی یا گندگی کی سطح")</f>
        <v>ریتلی یا گندگی کی سطح</v>
      </c>
      <c r="S337" s="5" t="s">
        <v>393</v>
      </c>
    </row>
    <row r="338" ht="22.5" customHeight="1">
      <c r="A338" s="4">
        <v>337.0</v>
      </c>
      <c r="B338" s="5" t="s">
        <v>257</v>
      </c>
      <c r="C338" s="5" t="s">
        <v>95</v>
      </c>
      <c r="D338" s="5" t="s">
        <v>96</v>
      </c>
      <c r="E338" s="5" t="s">
        <v>97</v>
      </c>
      <c r="F338" s="5" t="s">
        <v>258</v>
      </c>
      <c r="G338" s="5" t="s">
        <v>97</v>
      </c>
      <c r="H338" s="5" t="s">
        <v>393</v>
      </c>
      <c r="K338" s="2" t="str">
        <f>IFERROR(__xludf.DUMMYFUNCTION("GOOGLETRANSLATE(A338,""en"",""ur"")"),"337")</f>
        <v>337</v>
      </c>
      <c r="L338" s="2" t="str">
        <f>IFERROR(__xludf.DUMMYFUNCTION("GOOGLETRANSLATE(B338,""en"",""ur"")"),"کھیلے جانے والے کھیل کا نام کیا ہے؟")</f>
        <v>کھیلے جانے والے کھیل کا نام کیا ہے؟</v>
      </c>
      <c r="M338" s="2" t="str">
        <f>IFERROR(__xludf.DUMMYFUNCTION("GOOGLETRANSLATE(C338,""en"",""ur"")"),"پولو")</f>
        <v>پولو</v>
      </c>
      <c r="N338" s="2" t="str">
        <f>IFERROR(__xludf.DUMMYFUNCTION("GOOGLETRANSLATE(D338,""en"",""ur"")"),"گھوڑوں کی دوڑ")</f>
        <v>گھوڑوں کی دوڑ</v>
      </c>
      <c r="O338" s="2" t="str">
        <f>IFERROR(__xludf.DUMMYFUNCTION("GOOGLETRANSLATE(E338,""en"",""ur"")"),"بزکشی۔")</f>
        <v>بزکشی۔</v>
      </c>
      <c r="P338" s="2" t="str">
        <f>IFERROR(__xludf.DUMMYFUNCTION("GOOGLETRANSLATE(F338,""en"",""ur"")"),"گھڑ سواری کے کھیل")</f>
        <v>گھڑ سواری کے کھیل</v>
      </c>
      <c r="Q338" s="2" t="s">
        <v>259</v>
      </c>
      <c r="R338" s="2" t="str">
        <f>IFERROR(__xludf.DUMMYFUNCTION("GOOGLETRANSLATE(G338,""en"",""ur"")"),"بزکشی۔")</f>
        <v>بزکشی۔</v>
      </c>
      <c r="S338" s="5" t="s">
        <v>393</v>
      </c>
    </row>
    <row r="339" ht="22.5" customHeight="1">
      <c r="A339" s="4">
        <v>338.0</v>
      </c>
      <c r="B339" s="5" t="s">
        <v>260</v>
      </c>
      <c r="C339" s="5" t="s">
        <v>261</v>
      </c>
      <c r="D339" s="5" t="s">
        <v>262</v>
      </c>
      <c r="E339" s="5" t="s">
        <v>263</v>
      </c>
      <c r="F339" s="5" t="s">
        <v>264</v>
      </c>
      <c r="G339" s="5" t="s">
        <v>263</v>
      </c>
      <c r="H339" s="5" t="s">
        <v>393</v>
      </c>
      <c r="K339" s="2" t="str">
        <f>IFERROR(__xludf.DUMMYFUNCTION("GOOGLETRANSLATE(A339,""en"",""ur"")"),"338")</f>
        <v>338</v>
      </c>
      <c r="L339" s="2" t="str">
        <f>IFERROR(__xludf.DUMMYFUNCTION("GOOGLETRANSLATE(B339,""en"",""ur"")"),"تصویر میں ایکشن ایک ایسا انداز تجویز کرتا ہے جو اس بات پر زور دیتا ہے...")</f>
        <v>تصویر میں ایکشن ایک ایسا انداز تجویز کرتا ہے جو اس بات پر زور دیتا ہے...</v>
      </c>
      <c r="M339" s="2" t="str">
        <f>IFERROR(__xludf.DUMMYFUNCTION("GOOGLETRANSLATE(C339,""en"",""ur"")"),"روانی اور قلابازیاں")</f>
        <v>روانی اور قلابازیاں</v>
      </c>
      <c r="N339" s="2" t="str">
        <f>IFERROR(__xludf.DUMMYFUNCTION("GOOGLETRANSLATE(D339,""en"",""ur"")"),"زمینی لڑائی اور گرفت")</f>
        <v>زمینی لڑائی اور گرفت</v>
      </c>
      <c r="O339" s="2" t="str">
        <f>IFERROR(__xludf.DUMMYFUNCTION("GOOGLETRANSLATE(E339,""en"",""ur"")"),"وحشیانہ قوت اور گھڑ سواری۔")</f>
        <v>وحشیانہ قوت اور گھڑ سواری۔</v>
      </c>
      <c r="P339" s="2" t="str">
        <f>IFERROR(__xludf.DUMMYFUNCTION("GOOGLETRANSLATE(F339,""en"",""ur"")"),"سادہ، لکیری حرکات")</f>
        <v>سادہ، لکیری حرکات</v>
      </c>
      <c r="Q339" s="2" t="s">
        <v>265</v>
      </c>
      <c r="R339" s="2" t="str">
        <f>IFERROR(__xludf.DUMMYFUNCTION("GOOGLETRANSLATE(G339,""en"",""ur"")"),"وحشیانہ قوت اور گھڑ سواری۔")</f>
        <v>وحشیانہ قوت اور گھڑ سواری۔</v>
      </c>
      <c r="S339" s="5" t="s">
        <v>393</v>
      </c>
    </row>
    <row r="340" ht="22.5" customHeight="1">
      <c r="A340" s="4">
        <v>339.0</v>
      </c>
      <c r="B340" s="5" t="s">
        <v>266</v>
      </c>
      <c r="C340" s="5" t="s">
        <v>59</v>
      </c>
      <c r="D340" s="5" t="s">
        <v>267</v>
      </c>
      <c r="E340" s="5" t="s">
        <v>61</v>
      </c>
      <c r="F340" s="5" t="s">
        <v>268</v>
      </c>
      <c r="G340" s="5" t="s">
        <v>267</v>
      </c>
      <c r="H340" s="5" t="s">
        <v>393</v>
      </c>
      <c r="K340" s="2" t="str">
        <f>IFERROR(__xludf.DUMMYFUNCTION("GOOGLETRANSLATE(A340,""en"",""ur"")"),"339")</f>
        <v>339</v>
      </c>
      <c r="L340" s="2" t="str">
        <f>IFERROR(__xludf.DUMMYFUNCTION("GOOGLETRANSLATE(B340,""en"",""ur"")"),"گھوڑوں کے بارے میں ایک قابل ذکر تفصیل کیا ہے؟")</f>
        <v>گھوڑوں کے بارے میں ایک قابل ذکر تفصیل کیا ہے؟</v>
      </c>
      <c r="M340" s="2" t="str">
        <f>IFERROR(__xludf.DUMMYFUNCTION("GOOGLETRANSLATE(C340,""en"",""ur"")"),"وہ سب ایک ہی رنگ کے ہیں۔")</f>
        <v>وہ سب ایک ہی رنگ کے ہیں۔</v>
      </c>
      <c r="N340" s="2" t="str">
        <f>IFERROR(__xludf.DUMMYFUNCTION("GOOGLETRANSLATE(D340,""en"",""ur"")"),"وہ رنگوں اور نسلوں کا مرکب ہیں۔")</f>
        <v>وہ رنگوں اور نسلوں کا مرکب ہیں۔</v>
      </c>
      <c r="O340" s="2" t="str">
        <f>IFERROR(__xludf.DUMMYFUNCTION("GOOGLETRANSLATE(E340,""en"",""ur"")"),"وہ سب وسیع نمونوں کے ساتھ زین پہنے ہوئے ہیں۔")</f>
        <v>وہ سب وسیع نمونوں کے ساتھ زین پہنے ہوئے ہیں۔</v>
      </c>
      <c r="P340" s="2" t="str">
        <f>IFERROR(__xludf.DUMMYFUNCTION("GOOGLETRANSLATE(F340,""en"",""ur"")"),"وہ سب خاموش کھڑے ہیں۔")</f>
        <v>وہ سب خاموش کھڑے ہیں۔</v>
      </c>
      <c r="Q340" s="2" t="s">
        <v>269</v>
      </c>
      <c r="R340" s="2" t="str">
        <f>IFERROR(__xludf.DUMMYFUNCTION("GOOGLETRANSLATE(G340,""en"",""ur"")"),"وہ رنگوں اور نسلوں کا مرکب ہیں۔")</f>
        <v>وہ رنگوں اور نسلوں کا مرکب ہیں۔</v>
      </c>
      <c r="S340" s="5" t="s">
        <v>393</v>
      </c>
    </row>
    <row r="341" ht="22.5" customHeight="1">
      <c r="A341" s="4">
        <v>340.0</v>
      </c>
      <c r="B341" s="5" t="s">
        <v>270</v>
      </c>
      <c r="C341" s="5" t="s">
        <v>271</v>
      </c>
      <c r="D341" s="5" t="s">
        <v>272</v>
      </c>
      <c r="E341" s="5" t="s">
        <v>273</v>
      </c>
      <c r="F341" s="5" t="s">
        <v>274</v>
      </c>
      <c r="G341" s="5" t="s">
        <v>274</v>
      </c>
      <c r="H341" s="5" t="s">
        <v>393</v>
      </c>
      <c r="K341" s="2" t="str">
        <f>IFERROR(__xludf.DUMMYFUNCTION("GOOGLETRANSLATE(A341,""en"",""ur"")"),"340")</f>
        <v>340</v>
      </c>
      <c r="L341" s="2" t="str">
        <f>IFERROR(__xludf.DUMMYFUNCTION("GOOGLETRANSLATE(B341,""en"",""ur"")"),"مرکز میں سوار کے بارے میں ایک قابل ذکر تفصیل کیا ہے؟")</f>
        <v>مرکز میں سوار کے بارے میں ایک قابل ذکر تفصیل کیا ہے؟</v>
      </c>
      <c r="M341" s="2" t="str">
        <f>IFERROR(__xludf.DUMMYFUNCTION("GOOGLETRANSLATE(C341,""en"",""ur"")"),"وہ اپنے گھوڑے سے گر رہا ہے۔")</f>
        <v>وہ اپنے گھوڑے سے گر رہا ہے۔</v>
      </c>
      <c r="N341" s="2" t="str">
        <f>IFERROR(__xludf.DUMMYFUNCTION("GOOGLETRANSLATE(D341,""en"",""ur"")"),"اس نے بینر اٹھا رکھا ہے۔")</f>
        <v>اس نے بینر اٹھا رکھا ہے۔</v>
      </c>
      <c r="O341" s="2" t="str">
        <f>IFERROR(__xludf.DUMMYFUNCTION("GOOGLETRANSLATE(E341,""en"",""ur"")"),"اس نے رسی پکڑی ہوئی ہے۔")</f>
        <v>اس نے رسی پکڑی ہوئی ہے۔</v>
      </c>
      <c r="P341" s="2" t="str">
        <f>IFERROR(__xludf.DUMMYFUNCTION("GOOGLETRANSLATE(F341,""en"",""ur"")"),"اس نے چھڑی پکڑی ہوئی ہے۔")</f>
        <v>اس نے چھڑی پکڑی ہوئی ہے۔</v>
      </c>
      <c r="Q341" s="2" t="s">
        <v>275</v>
      </c>
      <c r="R341" s="2" t="str">
        <f>IFERROR(__xludf.DUMMYFUNCTION("GOOGLETRANSLATE(G341,""en"",""ur"")"),"اس نے چھڑی پکڑی ہوئی ہے۔")</f>
        <v>اس نے چھڑی پکڑی ہوئی ہے۔</v>
      </c>
      <c r="S341" s="5" t="s">
        <v>393</v>
      </c>
    </row>
    <row r="342" ht="22.5" customHeight="1">
      <c r="A342" s="4">
        <v>341.0</v>
      </c>
      <c r="B342" s="5" t="s">
        <v>394</v>
      </c>
      <c r="C342" s="5" t="s">
        <v>103</v>
      </c>
      <c r="D342" s="5" t="s">
        <v>71</v>
      </c>
      <c r="E342" s="5" t="s">
        <v>72</v>
      </c>
      <c r="F342" s="5" t="s">
        <v>73</v>
      </c>
      <c r="G342" s="5" t="s">
        <v>71</v>
      </c>
      <c r="H342" s="5" t="s">
        <v>395</v>
      </c>
      <c r="K342" s="2" t="str">
        <f>IFERROR(__xludf.DUMMYFUNCTION("GOOGLETRANSLATE(A342,""en"",""ur"")"),"341")</f>
        <v>341</v>
      </c>
      <c r="L342" s="2" t="str">
        <f>IFERROR(__xludf.DUMMYFUNCTION("GOOGLETRANSLATE(B342,""en"",""ur"")"),"buzkashi_86 میں دکھائی جانے والی اہم کارروائی کیا ہے؟")</f>
        <v>buzkashi_86 میں دکھائی جانے والی اہم کارروائی کیا ہے؟</v>
      </c>
      <c r="M342" s="2" t="str">
        <f>IFERROR(__xludf.DUMMYFUNCTION("GOOGLETRANSLATE(C342,""en"",""ur"")"),"آرام سے گھوڑے کی سواری۔")</f>
        <v>آرام سے گھوڑے کی سواری۔</v>
      </c>
      <c r="N342" s="2" t="str">
        <f>IFERROR(__xludf.DUMMYFUNCTION("GOOGLETRANSLATE(D342,""en"",""ur"")"),"سواروں کا ایک گروپ جو مرکزی چیز کے لیے مقابلہ کر رہا ہے۔")</f>
        <v>سواروں کا ایک گروپ جو مرکزی چیز کے لیے مقابلہ کر رہا ہے۔</v>
      </c>
      <c r="O342" s="2" t="str">
        <f>IFERROR(__xludf.DUMMYFUNCTION("GOOGLETRANSLATE(E342,""en"",""ur"")"),"گھوڑوں کی پریڈ")</f>
        <v>گھوڑوں کی پریڈ</v>
      </c>
      <c r="P342" s="2" t="str">
        <f>IFERROR(__xludf.DUMMYFUNCTION("GOOGLETRANSLATE(F342,""en"",""ur"")"),"گھوڑوں کی دوڑ")</f>
        <v>گھوڑوں کی دوڑ</v>
      </c>
      <c r="Q342" s="2" t="s">
        <v>278</v>
      </c>
      <c r="R342" s="2" t="str">
        <f>IFERROR(__xludf.DUMMYFUNCTION("GOOGLETRANSLATE(G342,""en"",""ur"")"),"سواروں کا ایک گروپ جو مرکزی چیز کے لیے مقابلہ کر رہا ہے۔")</f>
        <v>سواروں کا ایک گروپ جو مرکزی چیز کے لیے مقابلہ کر رہا ہے۔</v>
      </c>
      <c r="S342" s="5" t="s">
        <v>395</v>
      </c>
    </row>
    <row r="343" ht="22.5" customHeight="1">
      <c r="A343" s="4">
        <v>342.0</v>
      </c>
      <c r="B343" s="5" t="s">
        <v>348</v>
      </c>
      <c r="C343" s="5" t="s">
        <v>284</v>
      </c>
      <c r="D343" s="5" t="s">
        <v>285</v>
      </c>
      <c r="E343" s="5" t="s">
        <v>286</v>
      </c>
      <c r="F343" s="5" t="s">
        <v>287</v>
      </c>
      <c r="G343" s="5" t="s">
        <v>286</v>
      </c>
      <c r="H343" s="5" t="s">
        <v>395</v>
      </c>
      <c r="K343" s="2" t="str">
        <f>IFERROR(__xludf.DUMMYFUNCTION("GOOGLETRANSLATE(A343,""en"",""ur"")"),"342")</f>
        <v>342</v>
      </c>
      <c r="L343" s="2" t="str">
        <f>IFERROR(__xludf.DUMMYFUNCTION("GOOGLETRANSLATE(B343,""en"",""ur"")"),"سوار جس چیز کا مقابلہ کر رہے ہیں اس کے بارے میں ایک قابل ذکر تفصیل کیا ہے؟")</f>
        <v>سوار جس چیز کا مقابلہ کر رہے ہیں اس کے بارے میں ایک قابل ذکر تفصیل کیا ہے؟</v>
      </c>
      <c r="M343" s="2" t="str">
        <f>IFERROR(__xludf.DUMMYFUNCTION("GOOGLETRANSLATE(C343,""en"",""ur"")"),"یہ ایک گیند ہے۔")</f>
        <v>یہ ایک گیند ہے۔</v>
      </c>
      <c r="N343" s="2" t="str">
        <f>IFERROR(__xludf.DUMMYFUNCTION("GOOGLETRANSLATE(D343,""en"",""ur"")"),"یہ ایک جھنڈا ہے۔")</f>
        <v>یہ ایک جھنڈا ہے۔</v>
      </c>
      <c r="O343" s="2" t="str">
        <f>IFERROR(__xludf.DUMMYFUNCTION("GOOGLETRANSLATE(E343,""en"",""ur"")"),"یہ ایک بکری کی لاش ہے۔")</f>
        <v>یہ ایک بکری کی لاش ہے۔</v>
      </c>
      <c r="P343" s="2" t="str">
        <f>IFERROR(__xludf.DUMMYFUNCTION("GOOGLETRANSLATE(F343,""en"",""ur"")"),"یہ ایک رسی ہے۔")</f>
        <v>یہ ایک رسی ہے۔</v>
      </c>
      <c r="Q343" s="2" t="s">
        <v>288</v>
      </c>
      <c r="R343" s="2" t="str">
        <f>IFERROR(__xludf.DUMMYFUNCTION("GOOGLETRANSLATE(G343,""en"",""ur"")"),"یہ ایک بکری کی لاش ہے۔")</f>
        <v>یہ ایک بکری کی لاش ہے۔</v>
      </c>
      <c r="S343" s="5" t="s">
        <v>395</v>
      </c>
    </row>
    <row r="344" ht="22.5" customHeight="1">
      <c r="A344" s="4">
        <v>343.0</v>
      </c>
      <c r="B344" s="5" t="s">
        <v>242</v>
      </c>
      <c r="C344" s="5" t="s">
        <v>243</v>
      </c>
      <c r="D344" s="5" t="s">
        <v>292</v>
      </c>
      <c r="E344" s="5" t="s">
        <v>245</v>
      </c>
      <c r="F344" s="5" t="s">
        <v>246</v>
      </c>
      <c r="G344" s="5" t="s">
        <v>292</v>
      </c>
      <c r="H344" s="5" t="s">
        <v>395</v>
      </c>
      <c r="K344" s="2" t="str">
        <f>IFERROR(__xludf.DUMMYFUNCTION("GOOGLETRANSLATE(A344,""en"",""ur"")"),"343")</f>
        <v>343</v>
      </c>
      <c r="L344" s="2" t="str">
        <f>IFERROR(__xludf.DUMMYFUNCTION("GOOGLETRANSLATE(B344,""en"",""ur"")"),"سواروں کے لباس کے بارے میں واضح تفصیل کیا ہے؟")</f>
        <v>سواروں کے لباس کے بارے میں واضح تفصیل کیا ہے؟</v>
      </c>
      <c r="M344" s="2" t="str">
        <f>IFERROR(__xludf.DUMMYFUNCTION("GOOGLETRANSLATE(C344,""en"",""ur"")"),"وہ جدید کھیلوں کی وردی پہنے ہوئے ہیں۔")</f>
        <v>وہ جدید کھیلوں کی وردی پہنے ہوئے ہیں۔</v>
      </c>
      <c r="N344" s="2" t="str">
        <f>IFERROR(__xludf.DUMMYFUNCTION("GOOGLETRANSLATE(D344,""en"",""ur"")"),"وہ روایتی ٹونکس اور سر کے لباس پہنے ہوئے ہیں۔")</f>
        <v>وہ روایتی ٹونکس اور سر کے لباس پہنے ہوئے ہیں۔</v>
      </c>
      <c r="O344" s="2" t="str">
        <f>IFERROR(__xludf.DUMMYFUNCTION("GOOGLETRANSLATE(E344,""en"",""ur"")"),"وہ رسمی سوٹ پہنے ہوئے ہیں۔")</f>
        <v>وہ رسمی سوٹ پہنے ہوئے ہیں۔</v>
      </c>
      <c r="P344" s="2" t="str">
        <f>IFERROR(__xludf.DUMMYFUNCTION("GOOGLETRANSLATE(F344,""en"",""ur"")"),"انہوں نے کوئی لباس نہیں پہنا ہوا ہے۔")</f>
        <v>انہوں نے کوئی لباس نہیں پہنا ہوا ہے۔</v>
      </c>
      <c r="Q344" s="2" t="s">
        <v>293</v>
      </c>
      <c r="R344" s="2" t="str">
        <f>IFERROR(__xludf.DUMMYFUNCTION("GOOGLETRANSLATE(G344,""en"",""ur"")"),"وہ روایتی ٹونکس اور سر کے لباس پہنے ہوئے ہیں۔")</f>
        <v>وہ روایتی ٹونکس اور سر کے لباس پہنے ہوئے ہیں۔</v>
      </c>
      <c r="S344" s="5" t="s">
        <v>395</v>
      </c>
    </row>
    <row r="345" ht="22.5" customHeight="1">
      <c r="A345" s="4">
        <v>344.0</v>
      </c>
      <c r="B345" s="5" t="s">
        <v>248</v>
      </c>
      <c r="C345" s="5" t="s">
        <v>249</v>
      </c>
      <c r="D345" s="5" t="s">
        <v>250</v>
      </c>
      <c r="E345" s="5" t="s">
        <v>251</v>
      </c>
      <c r="F345" s="5" t="s">
        <v>252</v>
      </c>
      <c r="G345" s="5" t="s">
        <v>250</v>
      </c>
      <c r="H345" s="5" t="s">
        <v>395</v>
      </c>
      <c r="K345" s="2" t="str">
        <f>IFERROR(__xludf.DUMMYFUNCTION("GOOGLETRANSLATE(A345,""en"",""ur"")"),"344")</f>
        <v>344</v>
      </c>
      <c r="L345" s="2" t="str">
        <f>IFERROR(__xludf.DUMMYFUNCTION("GOOGLETRANSLATE(B345,""en"",""ur"")"),"سواروں کی ظاہری باڈی پوزیشن کیا ہے؟")</f>
        <v>سواروں کی ظاہری باڈی پوزیشن کیا ہے؟</v>
      </c>
      <c r="M345" s="2" t="str">
        <f>IFERROR(__xludf.DUMMYFUNCTION("GOOGLETRANSLATE(C345,""en"",""ur"")"),"وہ سیدھے کھڑے ہیں۔")</f>
        <v>وہ سیدھے کھڑے ہیں۔</v>
      </c>
      <c r="N345" s="2" t="str">
        <f>IFERROR(__xludf.DUMMYFUNCTION("GOOGLETRANSLATE(D345,""en"",""ur"")"),"وہ جھک رہے ہیں اور کسی چیز تک پہنچ رہے ہیں۔")</f>
        <v>وہ جھک رہے ہیں اور کسی چیز تک پہنچ رہے ہیں۔</v>
      </c>
      <c r="O345" s="2" t="str">
        <f>IFERROR(__xludf.DUMMYFUNCTION("GOOGLETRANSLATE(E345,""en"",""ur"")"),"وہ گھوڑوں کی پیٹھ پر لیٹے ہوئے ہیں۔")</f>
        <v>وہ گھوڑوں کی پیٹھ پر لیٹے ہوئے ہیں۔</v>
      </c>
      <c r="P345" s="2" t="str">
        <f>IFERROR(__xludf.DUMMYFUNCTION("GOOGLETRANSLATE(F345,""en"",""ur"")"),"وہ آرام سے بیٹھے ہیں۔")</f>
        <v>وہ آرام سے بیٹھے ہیں۔</v>
      </c>
      <c r="Q345" s="2" t="s">
        <v>253</v>
      </c>
      <c r="R345" s="2" t="str">
        <f>IFERROR(__xludf.DUMMYFUNCTION("GOOGLETRANSLATE(G345,""en"",""ur"")"),"وہ جھک رہے ہیں اور کسی چیز تک پہنچ رہے ہیں۔")</f>
        <v>وہ جھک رہے ہیں اور کسی چیز تک پہنچ رہے ہیں۔</v>
      </c>
      <c r="S345" s="5" t="s">
        <v>395</v>
      </c>
    </row>
    <row r="346" ht="22.5" customHeight="1">
      <c r="A346" s="4">
        <v>345.0</v>
      </c>
      <c r="B346" s="5" t="s">
        <v>254</v>
      </c>
      <c r="C346" s="5" t="s">
        <v>47</v>
      </c>
      <c r="D346" s="5" t="s">
        <v>48</v>
      </c>
      <c r="E346" s="5" t="s">
        <v>49</v>
      </c>
      <c r="F346" s="5" t="s">
        <v>50</v>
      </c>
      <c r="G346" s="5" t="s">
        <v>49</v>
      </c>
      <c r="H346" s="5" t="s">
        <v>395</v>
      </c>
      <c r="K346" s="2" t="str">
        <f>IFERROR(__xludf.DUMMYFUNCTION("GOOGLETRANSLATE(A346,""en"",""ur"")"),"345")</f>
        <v>345</v>
      </c>
      <c r="L346" s="2" t="str">
        <f>IFERROR(__xludf.DUMMYFUNCTION("GOOGLETRANSLATE(B346,""en"",""ur"")"),"سواروں کے چہروں سے ظاہری جذبات کیا ہیں؟")</f>
        <v>سواروں کے چہروں سے ظاہری جذبات کیا ہیں؟</v>
      </c>
      <c r="M346" s="2" t="str">
        <f>IFERROR(__xludf.DUMMYFUNCTION("GOOGLETRANSLATE(C346,""en"",""ur"")"),"پرسکون اور پر سکون")</f>
        <v>پرسکون اور پر سکون</v>
      </c>
      <c r="N346" s="2" t="str">
        <f>IFERROR(__xludf.DUMMYFUNCTION("GOOGLETRANSLATE(D346,""en"",""ur"")"),"خوف زدہ اور بے چین")</f>
        <v>خوف زدہ اور بے چین</v>
      </c>
      <c r="O346" s="2" t="str">
        <f>IFERROR(__xludf.DUMMYFUNCTION("GOOGLETRANSLATE(E346,""en"",""ur"")"),"کشیدہ اور شدید")</f>
        <v>کشیدہ اور شدید</v>
      </c>
      <c r="P346" s="2" t="str">
        <f>IFERROR(__xludf.DUMMYFUNCTION("GOOGLETRANSLATE(F346,""en"",""ur"")"),"خوش اور مسکراتے ہوئے۔")</f>
        <v>خوش اور مسکراتے ہوئے۔</v>
      </c>
      <c r="Q346" s="2" t="s">
        <v>51</v>
      </c>
      <c r="R346" s="2" t="str">
        <f>IFERROR(__xludf.DUMMYFUNCTION("GOOGLETRANSLATE(G346,""en"",""ur"")"),"کشیدہ اور شدید")</f>
        <v>کشیدہ اور شدید</v>
      </c>
      <c r="S346" s="5" t="s">
        <v>395</v>
      </c>
    </row>
    <row r="347" ht="22.5" customHeight="1">
      <c r="A347" s="4">
        <v>346.0</v>
      </c>
      <c r="B347" s="5" t="s">
        <v>88</v>
      </c>
      <c r="C347" s="5" t="s">
        <v>89</v>
      </c>
      <c r="D347" s="5" t="s">
        <v>90</v>
      </c>
      <c r="E347" s="5" t="s">
        <v>91</v>
      </c>
      <c r="F347" s="5" t="s">
        <v>255</v>
      </c>
      <c r="G347" s="5" t="s">
        <v>255</v>
      </c>
      <c r="H347" s="5" t="s">
        <v>395</v>
      </c>
      <c r="K347" s="2" t="str">
        <f>IFERROR(__xludf.DUMMYFUNCTION("GOOGLETRANSLATE(A347,""en"",""ur"")"),"346")</f>
        <v>346</v>
      </c>
      <c r="L347" s="2" t="str">
        <f>IFERROR(__xludf.DUMMYFUNCTION("GOOGLETRANSLATE(B347,""en"",""ur"")"),"زمین کی سب سے نمایاں خصوصیت کیا ہے؟")</f>
        <v>زمین کی سب سے نمایاں خصوصیت کیا ہے؟</v>
      </c>
      <c r="M347" s="2" t="str">
        <f>IFERROR(__xludf.DUMMYFUNCTION("GOOGLETRANSLATE(C347,""en"",""ur"")"),"ایک پکی سطح")</f>
        <v>ایک پکی سطح</v>
      </c>
      <c r="N347" s="2" t="str">
        <f>IFERROR(__xludf.DUMMYFUNCTION("GOOGLETRANSLATE(D347,""en"",""ur"")"),"کیچڑ والا میدان")</f>
        <v>کیچڑ والا میدان</v>
      </c>
      <c r="O347" s="2" t="str">
        <f>IFERROR(__xludf.DUMMYFUNCTION("GOOGLETRANSLATE(E347,""en"",""ur"")"),"ایک گھاس دار سطح")</f>
        <v>ایک گھاس دار سطح</v>
      </c>
      <c r="P347" s="2" t="str">
        <f>IFERROR(__xludf.DUMMYFUNCTION("GOOGLETRANSLATE(F347,""en"",""ur"")"),"ریتلی یا گندگی کی سطح")</f>
        <v>ریتلی یا گندگی کی سطح</v>
      </c>
      <c r="Q347" s="2" t="s">
        <v>256</v>
      </c>
      <c r="R347" s="2" t="str">
        <f>IFERROR(__xludf.DUMMYFUNCTION("GOOGLETRANSLATE(G347,""en"",""ur"")"),"ریتلی یا گندگی کی سطح")</f>
        <v>ریتلی یا گندگی کی سطح</v>
      </c>
      <c r="S347" s="5" t="s">
        <v>395</v>
      </c>
    </row>
    <row r="348" ht="22.5" customHeight="1">
      <c r="A348" s="4">
        <v>347.0</v>
      </c>
      <c r="B348" s="5" t="s">
        <v>257</v>
      </c>
      <c r="C348" s="5" t="s">
        <v>95</v>
      </c>
      <c r="D348" s="5" t="s">
        <v>96</v>
      </c>
      <c r="E348" s="5" t="s">
        <v>97</v>
      </c>
      <c r="F348" s="5" t="s">
        <v>258</v>
      </c>
      <c r="G348" s="5" t="s">
        <v>97</v>
      </c>
      <c r="H348" s="5" t="s">
        <v>395</v>
      </c>
      <c r="K348" s="2" t="str">
        <f>IFERROR(__xludf.DUMMYFUNCTION("GOOGLETRANSLATE(A348,""en"",""ur"")"),"347")</f>
        <v>347</v>
      </c>
      <c r="L348" s="2" t="str">
        <f>IFERROR(__xludf.DUMMYFUNCTION("GOOGLETRANSLATE(B348,""en"",""ur"")"),"کھیلے جانے والے کھیل کا نام کیا ہے؟")</f>
        <v>کھیلے جانے والے کھیل کا نام کیا ہے؟</v>
      </c>
      <c r="M348" s="2" t="str">
        <f>IFERROR(__xludf.DUMMYFUNCTION("GOOGLETRANSLATE(C348,""en"",""ur"")"),"پولو")</f>
        <v>پولو</v>
      </c>
      <c r="N348" s="2" t="str">
        <f>IFERROR(__xludf.DUMMYFUNCTION("GOOGLETRANSLATE(D348,""en"",""ur"")"),"گھوڑوں کی دوڑ")</f>
        <v>گھوڑوں کی دوڑ</v>
      </c>
      <c r="O348" s="2" t="str">
        <f>IFERROR(__xludf.DUMMYFUNCTION("GOOGLETRANSLATE(E348,""en"",""ur"")"),"بزکشی۔")</f>
        <v>بزکشی۔</v>
      </c>
      <c r="P348" s="2" t="str">
        <f>IFERROR(__xludf.DUMMYFUNCTION("GOOGLETRANSLATE(F348,""en"",""ur"")"),"گھڑ سواری کے کھیل")</f>
        <v>گھڑ سواری کے کھیل</v>
      </c>
      <c r="Q348" s="2" t="s">
        <v>259</v>
      </c>
      <c r="R348" s="2" t="str">
        <f>IFERROR(__xludf.DUMMYFUNCTION("GOOGLETRANSLATE(G348,""en"",""ur"")"),"بزکشی۔")</f>
        <v>بزکشی۔</v>
      </c>
      <c r="S348" s="5" t="s">
        <v>395</v>
      </c>
    </row>
    <row r="349" ht="22.5" customHeight="1">
      <c r="A349" s="4">
        <v>348.0</v>
      </c>
      <c r="B349" s="5" t="s">
        <v>260</v>
      </c>
      <c r="C349" s="5" t="s">
        <v>261</v>
      </c>
      <c r="D349" s="5" t="s">
        <v>262</v>
      </c>
      <c r="E349" s="5" t="s">
        <v>263</v>
      </c>
      <c r="F349" s="5" t="s">
        <v>264</v>
      </c>
      <c r="G349" s="5" t="s">
        <v>263</v>
      </c>
      <c r="H349" s="5" t="s">
        <v>395</v>
      </c>
      <c r="K349" s="2" t="str">
        <f>IFERROR(__xludf.DUMMYFUNCTION("GOOGLETRANSLATE(A349,""en"",""ur"")"),"348")</f>
        <v>348</v>
      </c>
      <c r="L349" s="2" t="str">
        <f>IFERROR(__xludf.DUMMYFUNCTION("GOOGLETRANSLATE(B349,""en"",""ur"")"),"تصویر میں ایکشن ایک ایسا انداز تجویز کرتا ہے جو اس بات پر زور دیتا ہے...")</f>
        <v>تصویر میں ایکشن ایک ایسا انداز تجویز کرتا ہے جو اس بات پر زور دیتا ہے...</v>
      </c>
      <c r="M349" s="2" t="str">
        <f>IFERROR(__xludf.DUMMYFUNCTION("GOOGLETRANSLATE(C349,""en"",""ur"")"),"روانی اور قلابازیاں")</f>
        <v>روانی اور قلابازیاں</v>
      </c>
      <c r="N349" s="2" t="str">
        <f>IFERROR(__xludf.DUMMYFUNCTION("GOOGLETRANSLATE(D349,""en"",""ur"")"),"زمینی لڑائی اور گرفت")</f>
        <v>زمینی لڑائی اور گرفت</v>
      </c>
      <c r="O349" s="2" t="str">
        <f>IFERROR(__xludf.DUMMYFUNCTION("GOOGLETRANSLATE(E349,""en"",""ur"")"),"وحشیانہ قوت اور گھڑ سواری۔")</f>
        <v>وحشیانہ قوت اور گھڑ سواری۔</v>
      </c>
      <c r="P349" s="2" t="str">
        <f>IFERROR(__xludf.DUMMYFUNCTION("GOOGLETRANSLATE(F349,""en"",""ur"")"),"سادہ، لکیری حرکات")</f>
        <v>سادہ، لکیری حرکات</v>
      </c>
      <c r="Q349" s="2" t="s">
        <v>265</v>
      </c>
      <c r="R349" s="2" t="str">
        <f>IFERROR(__xludf.DUMMYFUNCTION("GOOGLETRANSLATE(G349,""en"",""ur"")"),"وحشیانہ قوت اور گھڑ سواری۔")</f>
        <v>وحشیانہ قوت اور گھڑ سواری۔</v>
      </c>
      <c r="S349" s="5" t="s">
        <v>395</v>
      </c>
    </row>
    <row r="350" ht="22.5" customHeight="1">
      <c r="A350" s="4">
        <v>349.0</v>
      </c>
      <c r="B350" s="5" t="s">
        <v>266</v>
      </c>
      <c r="C350" s="5" t="s">
        <v>59</v>
      </c>
      <c r="D350" s="5" t="s">
        <v>267</v>
      </c>
      <c r="E350" s="5" t="s">
        <v>61</v>
      </c>
      <c r="F350" s="5" t="s">
        <v>268</v>
      </c>
      <c r="G350" s="5" t="s">
        <v>267</v>
      </c>
      <c r="H350" s="5" t="s">
        <v>395</v>
      </c>
      <c r="K350" s="2" t="str">
        <f>IFERROR(__xludf.DUMMYFUNCTION("GOOGLETRANSLATE(A350,""en"",""ur"")"),"349")</f>
        <v>349</v>
      </c>
      <c r="L350" s="2" t="str">
        <f>IFERROR(__xludf.DUMMYFUNCTION("GOOGLETRANSLATE(B350,""en"",""ur"")"),"گھوڑوں کے بارے میں ایک قابل ذکر تفصیل کیا ہے؟")</f>
        <v>گھوڑوں کے بارے میں ایک قابل ذکر تفصیل کیا ہے؟</v>
      </c>
      <c r="M350" s="2" t="str">
        <f>IFERROR(__xludf.DUMMYFUNCTION("GOOGLETRANSLATE(C350,""en"",""ur"")"),"وہ سب ایک ہی رنگ کے ہیں۔")</f>
        <v>وہ سب ایک ہی رنگ کے ہیں۔</v>
      </c>
      <c r="N350" s="2" t="str">
        <f>IFERROR(__xludf.DUMMYFUNCTION("GOOGLETRANSLATE(D350,""en"",""ur"")"),"وہ رنگوں اور نسلوں کا مرکب ہیں۔")</f>
        <v>وہ رنگوں اور نسلوں کا مرکب ہیں۔</v>
      </c>
      <c r="O350" s="2" t="str">
        <f>IFERROR(__xludf.DUMMYFUNCTION("GOOGLETRANSLATE(E350,""en"",""ur"")"),"وہ سب وسیع نمونوں کے ساتھ زین پہنے ہوئے ہیں۔")</f>
        <v>وہ سب وسیع نمونوں کے ساتھ زین پہنے ہوئے ہیں۔</v>
      </c>
      <c r="P350" s="2" t="str">
        <f>IFERROR(__xludf.DUMMYFUNCTION("GOOGLETRANSLATE(F350,""en"",""ur"")"),"وہ سب خاموش کھڑے ہیں۔")</f>
        <v>وہ سب خاموش کھڑے ہیں۔</v>
      </c>
      <c r="Q350" s="2" t="s">
        <v>269</v>
      </c>
      <c r="R350" s="2" t="str">
        <f>IFERROR(__xludf.DUMMYFUNCTION("GOOGLETRANSLATE(G350,""en"",""ur"")"),"وہ رنگوں اور نسلوں کا مرکب ہیں۔")</f>
        <v>وہ رنگوں اور نسلوں کا مرکب ہیں۔</v>
      </c>
      <c r="S350" s="5" t="s">
        <v>395</v>
      </c>
    </row>
    <row r="351" ht="22.5" customHeight="1">
      <c r="A351" s="4">
        <v>350.0</v>
      </c>
      <c r="B351" s="5" t="s">
        <v>270</v>
      </c>
      <c r="C351" s="5" t="s">
        <v>271</v>
      </c>
      <c r="D351" s="5" t="s">
        <v>272</v>
      </c>
      <c r="E351" s="5" t="s">
        <v>273</v>
      </c>
      <c r="F351" s="5" t="s">
        <v>274</v>
      </c>
      <c r="G351" s="5" t="s">
        <v>274</v>
      </c>
      <c r="H351" s="5" t="s">
        <v>395</v>
      </c>
      <c r="K351" s="2" t="str">
        <f>IFERROR(__xludf.DUMMYFUNCTION("GOOGLETRANSLATE(A351,""en"",""ur"")"),"350")</f>
        <v>350</v>
      </c>
      <c r="L351" s="2" t="str">
        <f>IFERROR(__xludf.DUMMYFUNCTION("GOOGLETRANSLATE(B351,""en"",""ur"")"),"مرکز میں سوار کے بارے میں ایک قابل ذکر تفصیل کیا ہے؟")</f>
        <v>مرکز میں سوار کے بارے میں ایک قابل ذکر تفصیل کیا ہے؟</v>
      </c>
      <c r="M351" s="2" t="str">
        <f>IFERROR(__xludf.DUMMYFUNCTION("GOOGLETRANSLATE(C351,""en"",""ur"")"),"وہ اپنے گھوڑے سے گر رہا ہے۔")</f>
        <v>وہ اپنے گھوڑے سے گر رہا ہے۔</v>
      </c>
      <c r="N351" s="2" t="str">
        <f>IFERROR(__xludf.DUMMYFUNCTION("GOOGLETRANSLATE(D351,""en"",""ur"")"),"اس نے بینر اٹھا رکھا ہے۔")</f>
        <v>اس نے بینر اٹھا رکھا ہے۔</v>
      </c>
      <c r="O351" s="2" t="str">
        <f>IFERROR(__xludf.DUMMYFUNCTION("GOOGLETRANSLATE(E351,""en"",""ur"")"),"اس نے رسی پکڑی ہوئی ہے۔")</f>
        <v>اس نے رسی پکڑی ہوئی ہے۔</v>
      </c>
      <c r="P351" s="2" t="str">
        <f>IFERROR(__xludf.DUMMYFUNCTION("GOOGLETRANSLATE(F351,""en"",""ur"")"),"اس نے چھڑی پکڑی ہوئی ہے۔")</f>
        <v>اس نے چھڑی پکڑی ہوئی ہے۔</v>
      </c>
      <c r="Q351" s="2" t="s">
        <v>275</v>
      </c>
      <c r="R351" s="2" t="str">
        <f>IFERROR(__xludf.DUMMYFUNCTION("GOOGLETRANSLATE(G351,""en"",""ur"")"),"اس نے چھڑی پکڑی ہوئی ہے۔")</f>
        <v>اس نے چھڑی پکڑی ہوئی ہے۔</v>
      </c>
      <c r="S351" s="5" t="s">
        <v>395</v>
      </c>
    </row>
    <row r="352" ht="22.5" customHeight="1">
      <c r="A352" s="4">
        <v>351.0</v>
      </c>
      <c r="B352" s="5" t="s">
        <v>396</v>
      </c>
      <c r="C352" s="5" t="s">
        <v>103</v>
      </c>
      <c r="D352" s="5" t="s">
        <v>71</v>
      </c>
      <c r="E352" s="5" t="s">
        <v>72</v>
      </c>
      <c r="F352" s="5" t="s">
        <v>73</v>
      </c>
      <c r="G352" s="5" t="s">
        <v>71</v>
      </c>
      <c r="H352" s="5" t="s">
        <v>397</v>
      </c>
      <c r="K352" s="2" t="str">
        <f>IFERROR(__xludf.DUMMYFUNCTION("GOOGLETRANSLATE(A352,""en"",""ur"")"),"351")</f>
        <v>351</v>
      </c>
      <c r="L352" s="2" t="str">
        <f>IFERROR(__xludf.DUMMYFUNCTION("GOOGLETRANSLATE(B352,""en"",""ur"")"),"buzkashi_74 میں دکھائی جانے والی اہم کارروائی کیا ہے؟")</f>
        <v>buzkashi_74 میں دکھائی جانے والی اہم کارروائی کیا ہے؟</v>
      </c>
      <c r="M352" s="2" t="str">
        <f>IFERROR(__xludf.DUMMYFUNCTION("GOOGLETRANSLATE(C352,""en"",""ur"")"),"آرام سے گھوڑے کی سواری۔")</f>
        <v>آرام سے گھوڑے کی سواری۔</v>
      </c>
      <c r="N352" s="2" t="str">
        <f>IFERROR(__xludf.DUMMYFUNCTION("GOOGLETRANSLATE(D352,""en"",""ur"")"),"سواروں کا ایک گروپ جو مرکزی چیز کے لیے مقابلہ کر رہا ہے۔")</f>
        <v>سواروں کا ایک گروپ جو مرکزی چیز کے لیے مقابلہ کر رہا ہے۔</v>
      </c>
      <c r="O352" s="2" t="str">
        <f>IFERROR(__xludf.DUMMYFUNCTION("GOOGLETRANSLATE(E352,""en"",""ur"")"),"گھوڑوں کی پریڈ")</f>
        <v>گھوڑوں کی پریڈ</v>
      </c>
      <c r="P352" s="2" t="str">
        <f>IFERROR(__xludf.DUMMYFUNCTION("GOOGLETRANSLATE(F352,""en"",""ur"")"),"گھوڑوں کی دوڑ")</f>
        <v>گھوڑوں کی دوڑ</v>
      </c>
      <c r="Q352" s="2" t="s">
        <v>278</v>
      </c>
      <c r="R352" s="2" t="str">
        <f>IFERROR(__xludf.DUMMYFUNCTION("GOOGLETRANSLATE(G352,""en"",""ur"")"),"سواروں کا ایک گروپ جو مرکزی چیز کے لیے مقابلہ کر رہا ہے۔")</f>
        <v>سواروں کا ایک گروپ جو مرکزی چیز کے لیے مقابلہ کر رہا ہے۔</v>
      </c>
      <c r="S352" s="5" t="s">
        <v>397</v>
      </c>
    </row>
    <row r="353" ht="22.5" customHeight="1">
      <c r="A353" s="4">
        <v>352.0</v>
      </c>
      <c r="B353" s="5" t="s">
        <v>348</v>
      </c>
      <c r="C353" s="5" t="s">
        <v>284</v>
      </c>
      <c r="D353" s="5" t="s">
        <v>285</v>
      </c>
      <c r="E353" s="5" t="s">
        <v>286</v>
      </c>
      <c r="F353" s="5" t="s">
        <v>287</v>
      </c>
      <c r="G353" s="5" t="s">
        <v>286</v>
      </c>
      <c r="H353" s="5" t="s">
        <v>397</v>
      </c>
      <c r="K353" s="2" t="str">
        <f>IFERROR(__xludf.DUMMYFUNCTION("GOOGLETRANSLATE(A353,""en"",""ur"")"),"352")</f>
        <v>352</v>
      </c>
      <c r="L353" s="2" t="str">
        <f>IFERROR(__xludf.DUMMYFUNCTION("GOOGLETRANSLATE(B353,""en"",""ur"")"),"سوار جس چیز کا مقابلہ کر رہے ہیں اس کے بارے میں ایک قابل ذکر تفصیل کیا ہے؟")</f>
        <v>سوار جس چیز کا مقابلہ کر رہے ہیں اس کے بارے میں ایک قابل ذکر تفصیل کیا ہے؟</v>
      </c>
      <c r="M353" s="2" t="str">
        <f>IFERROR(__xludf.DUMMYFUNCTION("GOOGLETRANSLATE(C353,""en"",""ur"")"),"یہ ایک گیند ہے۔")</f>
        <v>یہ ایک گیند ہے۔</v>
      </c>
      <c r="N353" s="2" t="str">
        <f>IFERROR(__xludf.DUMMYFUNCTION("GOOGLETRANSLATE(D353,""en"",""ur"")"),"یہ ایک جھنڈا ہے۔")</f>
        <v>یہ ایک جھنڈا ہے۔</v>
      </c>
      <c r="O353" s="2" t="str">
        <f>IFERROR(__xludf.DUMMYFUNCTION("GOOGLETRANSLATE(E353,""en"",""ur"")"),"یہ ایک بکری کی لاش ہے۔")</f>
        <v>یہ ایک بکری کی لاش ہے۔</v>
      </c>
      <c r="P353" s="2" t="str">
        <f>IFERROR(__xludf.DUMMYFUNCTION("GOOGLETRANSLATE(F353,""en"",""ur"")"),"یہ ایک رسی ہے۔")</f>
        <v>یہ ایک رسی ہے۔</v>
      </c>
      <c r="Q353" s="2" t="s">
        <v>288</v>
      </c>
      <c r="R353" s="2" t="str">
        <f>IFERROR(__xludf.DUMMYFUNCTION("GOOGLETRANSLATE(G353,""en"",""ur"")"),"یہ ایک بکری کی لاش ہے۔")</f>
        <v>یہ ایک بکری کی لاش ہے۔</v>
      </c>
      <c r="S353" s="5" t="s">
        <v>397</v>
      </c>
    </row>
    <row r="354" ht="22.5" customHeight="1">
      <c r="A354" s="4">
        <v>353.0</v>
      </c>
      <c r="B354" s="5" t="s">
        <v>242</v>
      </c>
      <c r="C354" s="5" t="s">
        <v>243</v>
      </c>
      <c r="D354" s="5" t="s">
        <v>292</v>
      </c>
      <c r="E354" s="5" t="s">
        <v>245</v>
      </c>
      <c r="F354" s="5" t="s">
        <v>246</v>
      </c>
      <c r="G354" s="5" t="s">
        <v>292</v>
      </c>
      <c r="H354" s="5" t="s">
        <v>397</v>
      </c>
      <c r="K354" s="2" t="str">
        <f>IFERROR(__xludf.DUMMYFUNCTION("GOOGLETRANSLATE(A354,""en"",""ur"")"),"353")</f>
        <v>353</v>
      </c>
      <c r="L354" s="2" t="str">
        <f>IFERROR(__xludf.DUMMYFUNCTION("GOOGLETRANSLATE(B354,""en"",""ur"")"),"سواروں کے لباس کے بارے میں واضح تفصیل کیا ہے؟")</f>
        <v>سواروں کے لباس کے بارے میں واضح تفصیل کیا ہے؟</v>
      </c>
      <c r="M354" s="2" t="str">
        <f>IFERROR(__xludf.DUMMYFUNCTION("GOOGLETRANSLATE(C354,""en"",""ur"")"),"وہ جدید کھیلوں کی وردی پہنے ہوئے ہیں۔")</f>
        <v>وہ جدید کھیلوں کی وردی پہنے ہوئے ہیں۔</v>
      </c>
      <c r="N354" s="2" t="str">
        <f>IFERROR(__xludf.DUMMYFUNCTION("GOOGLETRANSLATE(D354,""en"",""ur"")"),"وہ روایتی ٹونکس اور سر کے لباس پہنے ہوئے ہیں۔")</f>
        <v>وہ روایتی ٹونکس اور سر کے لباس پہنے ہوئے ہیں۔</v>
      </c>
      <c r="O354" s="2" t="str">
        <f>IFERROR(__xludf.DUMMYFUNCTION("GOOGLETRANSLATE(E354,""en"",""ur"")"),"وہ رسمی سوٹ پہنے ہوئے ہیں۔")</f>
        <v>وہ رسمی سوٹ پہنے ہوئے ہیں۔</v>
      </c>
      <c r="P354" s="2" t="str">
        <f>IFERROR(__xludf.DUMMYFUNCTION("GOOGLETRANSLATE(F354,""en"",""ur"")"),"انہوں نے کوئی لباس نہیں پہنا ہوا ہے۔")</f>
        <v>انہوں نے کوئی لباس نہیں پہنا ہوا ہے۔</v>
      </c>
      <c r="Q354" s="2" t="s">
        <v>293</v>
      </c>
      <c r="R354" s="2" t="str">
        <f>IFERROR(__xludf.DUMMYFUNCTION("GOOGLETRANSLATE(G354,""en"",""ur"")"),"وہ روایتی ٹونکس اور سر کے لباس پہنے ہوئے ہیں۔")</f>
        <v>وہ روایتی ٹونکس اور سر کے لباس پہنے ہوئے ہیں۔</v>
      </c>
      <c r="S354" s="5" t="s">
        <v>397</v>
      </c>
    </row>
    <row r="355" ht="22.5" customHeight="1">
      <c r="A355" s="4">
        <v>354.0</v>
      </c>
      <c r="B355" s="5" t="s">
        <v>248</v>
      </c>
      <c r="C355" s="5" t="s">
        <v>249</v>
      </c>
      <c r="D355" s="5" t="s">
        <v>250</v>
      </c>
      <c r="E355" s="5" t="s">
        <v>251</v>
      </c>
      <c r="F355" s="5" t="s">
        <v>252</v>
      </c>
      <c r="G355" s="5" t="s">
        <v>250</v>
      </c>
      <c r="H355" s="5" t="s">
        <v>397</v>
      </c>
      <c r="K355" s="2" t="str">
        <f>IFERROR(__xludf.DUMMYFUNCTION("GOOGLETRANSLATE(A355,""en"",""ur"")"),"354")</f>
        <v>354</v>
      </c>
      <c r="L355" s="2" t="str">
        <f>IFERROR(__xludf.DUMMYFUNCTION("GOOGLETRANSLATE(B355,""en"",""ur"")"),"سواروں کی ظاہری باڈی پوزیشن کیا ہے؟")</f>
        <v>سواروں کی ظاہری باڈی پوزیشن کیا ہے؟</v>
      </c>
      <c r="M355" s="2" t="str">
        <f>IFERROR(__xludf.DUMMYFUNCTION("GOOGLETRANSLATE(C355,""en"",""ur"")"),"وہ سیدھے کھڑے ہیں۔")</f>
        <v>وہ سیدھے کھڑے ہیں۔</v>
      </c>
      <c r="N355" s="2" t="str">
        <f>IFERROR(__xludf.DUMMYFUNCTION("GOOGLETRANSLATE(D355,""en"",""ur"")"),"وہ جھک رہے ہیں اور کسی چیز تک پہنچ رہے ہیں۔")</f>
        <v>وہ جھک رہے ہیں اور کسی چیز تک پہنچ رہے ہیں۔</v>
      </c>
      <c r="O355" s="2" t="str">
        <f>IFERROR(__xludf.DUMMYFUNCTION("GOOGLETRANSLATE(E355,""en"",""ur"")"),"وہ گھوڑوں کی پیٹھ پر لیٹے ہوئے ہیں۔")</f>
        <v>وہ گھوڑوں کی پیٹھ پر لیٹے ہوئے ہیں۔</v>
      </c>
      <c r="P355" s="2" t="str">
        <f>IFERROR(__xludf.DUMMYFUNCTION("GOOGLETRANSLATE(F355,""en"",""ur"")"),"وہ آرام سے بیٹھے ہیں۔")</f>
        <v>وہ آرام سے بیٹھے ہیں۔</v>
      </c>
      <c r="Q355" s="2" t="s">
        <v>253</v>
      </c>
      <c r="R355" s="2" t="str">
        <f>IFERROR(__xludf.DUMMYFUNCTION("GOOGLETRANSLATE(G355,""en"",""ur"")"),"وہ جھک رہے ہیں اور کسی چیز تک پہنچ رہے ہیں۔")</f>
        <v>وہ جھک رہے ہیں اور کسی چیز تک پہنچ رہے ہیں۔</v>
      </c>
      <c r="S355" s="5" t="s">
        <v>397</v>
      </c>
    </row>
    <row r="356" ht="22.5" customHeight="1">
      <c r="A356" s="4">
        <v>355.0</v>
      </c>
      <c r="B356" s="5" t="s">
        <v>254</v>
      </c>
      <c r="C356" s="5" t="s">
        <v>47</v>
      </c>
      <c r="D356" s="5" t="s">
        <v>48</v>
      </c>
      <c r="E356" s="5" t="s">
        <v>49</v>
      </c>
      <c r="F356" s="5" t="s">
        <v>50</v>
      </c>
      <c r="G356" s="5" t="s">
        <v>49</v>
      </c>
      <c r="H356" s="5" t="s">
        <v>397</v>
      </c>
      <c r="K356" s="2" t="str">
        <f>IFERROR(__xludf.DUMMYFUNCTION("GOOGLETRANSLATE(A356,""en"",""ur"")"),"355")</f>
        <v>355</v>
      </c>
      <c r="L356" s="2" t="str">
        <f>IFERROR(__xludf.DUMMYFUNCTION("GOOGLETRANSLATE(B356,""en"",""ur"")"),"سواروں کے چہروں سے ظاہری جذبات کیا ہیں؟")</f>
        <v>سواروں کے چہروں سے ظاہری جذبات کیا ہیں؟</v>
      </c>
      <c r="M356" s="2" t="str">
        <f>IFERROR(__xludf.DUMMYFUNCTION("GOOGLETRANSLATE(C356,""en"",""ur"")"),"پرسکون اور پر سکون")</f>
        <v>پرسکون اور پر سکون</v>
      </c>
      <c r="N356" s="2" t="str">
        <f>IFERROR(__xludf.DUMMYFUNCTION("GOOGLETRANSLATE(D356,""en"",""ur"")"),"خوف زدہ اور بے چین")</f>
        <v>خوف زدہ اور بے چین</v>
      </c>
      <c r="O356" s="2" t="str">
        <f>IFERROR(__xludf.DUMMYFUNCTION("GOOGLETRANSLATE(E356,""en"",""ur"")"),"کشیدہ اور شدید")</f>
        <v>کشیدہ اور شدید</v>
      </c>
      <c r="P356" s="2" t="str">
        <f>IFERROR(__xludf.DUMMYFUNCTION("GOOGLETRANSLATE(F356,""en"",""ur"")"),"خوش اور مسکراتے ہوئے۔")</f>
        <v>خوش اور مسکراتے ہوئے۔</v>
      </c>
      <c r="Q356" s="2" t="s">
        <v>51</v>
      </c>
      <c r="R356" s="2" t="str">
        <f>IFERROR(__xludf.DUMMYFUNCTION("GOOGLETRANSLATE(G356,""en"",""ur"")"),"کشیدہ اور شدید")</f>
        <v>کشیدہ اور شدید</v>
      </c>
      <c r="S356" s="5" t="s">
        <v>397</v>
      </c>
    </row>
    <row r="357" ht="22.5" customHeight="1">
      <c r="A357" s="4">
        <v>356.0</v>
      </c>
      <c r="B357" s="5" t="s">
        <v>88</v>
      </c>
      <c r="C357" s="5" t="s">
        <v>89</v>
      </c>
      <c r="D357" s="5" t="s">
        <v>90</v>
      </c>
      <c r="E357" s="5" t="s">
        <v>91</v>
      </c>
      <c r="F357" s="5" t="s">
        <v>255</v>
      </c>
      <c r="G357" s="5" t="s">
        <v>255</v>
      </c>
      <c r="H357" s="5" t="s">
        <v>397</v>
      </c>
      <c r="K357" s="2" t="str">
        <f>IFERROR(__xludf.DUMMYFUNCTION("GOOGLETRANSLATE(A357,""en"",""ur"")"),"356")</f>
        <v>356</v>
      </c>
      <c r="L357" s="2" t="str">
        <f>IFERROR(__xludf.DUMMYFUNCTION("GOOGLETRANSLATE(B357,""en"",""ur"")"),"زمین کی سب سے نمایاں خصوصیت کیا ہے؟")</f>
        <v>زمین کی سب سے نمایاں خصوصیت کیا ہے؟</v>
      </c>
      <c r="M357" s="2" t="str">
        <f>IFERROR(__xludf.DUMMYFUNCTION("GOOGLETRANSLATE(C357,""en"",""ur"")"),"ایک پکی سطح")</f>
        <v>ایک پکی سطح</v>
      </c>
      <c r="N357" s="2" t="str">
        <f>IFERROR(__xludf.DUMMYFUNCTION("GOOGLETRANSLATE(D357,""en"",""ur"")"),"کیچڑ والا میدان")</f>
        <v>کیچڑ والا میدان</v>
      </c>
      <c r="O357" s="2" t="str">
        <f>IFERROR(__xludf.DUMMYFUNCTION("GOOGLETRANSLATE(E357,""en"",""ur"")"),"ایک گھاس دار سطح")</f>
        <v>ایک گھاس دار سطح</v>
      </c>
      <c r="P357" s="2" t="str">
        <f>IFERROR(__xludf.DUMMYFUNCTION("GOOGLETRANSLATE(F357,""en"",""ur"")"),"ریتلی یا گندگی کی سطح")</f>
        <v>ریتلی یا گندگی کی سطح</v>
      </c>
      <c r="Q357" s="2" t="s">
        <v>256</v>
      </c>
      <c r="R357" s="2" t="str">
        <f>IFERROR(__xludf.DUMMYFUNCTION("GOOGLETRANSLATE(G357,""en"",""ur"")"),"ریتلی یا گندگی کی سطح")</f>
        <v>ریتلی یا گندگی کی سطح</v>
      </c>
      <c r="S357" s="5" t="s">
        <v>397</v>
      </c>
    </row>
    <row r="358" ht="22.5" customHeight="1">
      <c r="A358" s="4">
        <v>357.0</v>
      </c>
      <c r="B358" s="5" t="s">
        <v>257</v>
      </c>
      <c r="C358" s="5" t="s">
        <v>95</v>
      </c>
      <c r="D358" s="5" t="s">
        <v>96</v>
      </c>
      <c r="E358" s="5" t="s">
        <v>97</v>
      </c>
      <c r="F358" s="5" t="s">
        <v>258</v>
      </c>
      <c r="G358" s="5" t="s">
        <v>97</v>
      </c>
      <c r="H358" s="5" t="s">
        <v>397</v>
      </c>
      <c r="K358" s="2" t="str">
        <f>IFERROR(__xludf.DUMMYFUNCTION("GOOGLETRANSLATE(A358,""en"",""ur"")"),"357")</f>
        <v>357</v>
      </c>
      <c r="L358" s="2" t="str">
        <f>IFERROR(__xludf.DUMMYFUNCTION("GOOGLETRANSLATE(B358,""en"",""ur"")"),"کھیلے جانے والے کھیل کا نام کیا ہے؟")</f>
        <v>کھیلے جانے والے کھیل کا نام کیا ہے؟</v>
      </c>
      <c r="M358" s="2" t="str">
        <f>IFERROR(__xludf.DUMMYFUNCTION("GOOGLETRANSLATE(C358,""en"",""ur"")"),"پولو")</f>
        <v>پولو</v>
      </c>
      <c r="N358" s="2" t="str">
        <f>IFERROR(__xludf.DUMMYFUNCTION("GOOGLETRANSLATE(D358,""en"",""ur"")"),"گھوڑوں کی دوڑ")</f>
        <v>گھوڑوں کی دوڑ</v>
      </c>
      <c r="O358" s="2" t="str">
        <f>IFERROR(__xludf.DUMMYFUNCTION("GOOGLETRANSLATE(E358,""en"",""ur"")"),"بزکشی۔")</f>
        <v>بزکشی۔</v>
      </c>
      <c r="P358" s="2" t="str">
        <f>IFERROR(__xludf.DUMMYFUNCTION("GOOGLETRANSLATE(F358,""en"",""ur"")"),"گھڑ سواری کے کھیل")</f>
        <v>گھڑ سواری کے کھیل</v>
      </c>
      <c r="Q358" s="2" t="s">
        <v>259</v>
      </c>
      <c r="R358" s="2" t="str">
        <f>IFERROR(__xludf.DUMMYFUNCTION("GOOGLETRANSLATE(G358,""en"",""ur"")"),"بزکشی۔")</f>
        <v>بزکشی۔</v>
      </c>
      <c r="S358" s="5" t="s">
        <v>397</v>
      </c>
    </row>
    <row r="359" ht="22.5" customHeight="1">
      <c r="A359" s="4">
        <v>358.0</v>
      </c>
      <c r="B359" s="5" t="s">
        <v>260</v>
      </c>
      <c r="C359" s="5" t="s">
        <v>261</v>
      </c>
      <c r="D359" s="5" t="s">
        <v>262</v>
      </c>
      <c r="E359" s="5" t="s">
        <v>263</v>
      </c>
      <c r="F359" s="5" t="s">
        <v>264</v>
      </c>
      <c r="G359" s="5" t="s">
        <v>263</v>
      </c>
      <c r="H359" s="5" t="s">
        <v>397</v>
      </c>
      <c r="K359" s="2" t="str">
        <f>IFERROR(__xludf.DUMMYFUNCTION("GOOGLETRANSLATE(A359,""en"",""ur"")"),"358")</f>
        <v>358</v>
      </c>
      <c r="L359" s="2" t="str">
        <f>IFERROR(__xludf.DUMMYFUNCTION("GOOGLETRANSLATE(B359,""en"",""ur"")"),"تصویر میں ایکشن ایک ایسا انداز تجویز کرتا ہے جو اس بات پر زور دیتا ہے...")</f>
        <v>تصویر میں ایکشن ایک ایسا انداز تجویز کرتا ہے جو اس بات پر زور دیتا ہے...</v>
      </c>
      <c r="M359" s="2" t="str">
        <f>IFERROR(__xludf.DUMMYFUNCTION("GOOGLETRANSLATE(C359,""en"",""ur"")"),"روانی اور قلابازیاں")</f>
        <v>روانی اور قلابازیاں</v>
      </c>
      <c r="N359" s="2" t="str">
        <f>IFERROR(__xludf.DUMMYFUNCTION("GOOGLETRANSLATE(D359,""en"",""ur"")"),"زمینی لڑائی اور گرفت")</f>
        <v>زمینی لڑائی اور گرفت</v>
      </c>
      <c r="O359" s="2" t="str">
        <f>IFERROR(__xludf.DUMMYFUNCTION("GOOGLETRANSLATE(E359,""en"",""ur"")"),"وحشیانہ قوت اور گھڑ سواری۔")</f>
        <v>وحشیانہ قوت اور گھڑ سواری۔</v>
      </c>
      <c r="P359" s="2" t="str">
        <f>IFERROR(__xludf.DUMMYFUNCTION("GOOGLETRANSLATE(F359,""en"",""ur"")"),"سادہ، لکیری حرکات")</f>
        <v>سادہ، لکیری حرکات</v>
      </c>
      <c r="Q359" s="2" t="s">
        <v>265</v>
      </c>
      <c r="R359" s="2" t="str">
        <f>IFERROR(__xludf.DUMMYFUNCTION("GOOGLETRANSLATE(G359,""en"",""ur"")"),"وحشیانہ قوت اور گھڑ سواری۔")</f>
        <v>وحشیانہ قوت اور گھڑ سواری۔</v>
      </c>
      <c r="S359" s="5" t="s">
        <v>397</v>
      </c>
    </row>
    <row r="360" ht="22.5" customHeight="1">
      <c r="A360" s="4">
        <v>359.0</v>
      </c>
      <c r="B360" s="5" t="s">
        <v>266</v>
      </c>
      <c r="C360" s="5" t="s">
        <v>59</v>
      </c>
      <c r="D360" s="5" t="s">
        <v>267</v>
      </c>
      <c r="E360" s="5" t="s">
        <v>61</v>
      </c>
      <c r="F360" s="5" t="s">
        <v>268</v>
      </c>
      <c r="G360" s="5" t="s">
        <v>267</v>
      </c>
      <c r="H360" s="5" t="s">
        <v>397</v>
      </c>
      <c r="K360" s="2" t="str">
        <f>IFERROR(__xludf.DUMMYFUNCTION("GOOGLETRANSLATE(A360,""en"",""ur"")"),"359")</f>
        <v>359</v>
      </c>
      <c r="L360" s="2" t="str">
        <f>IFERROR(__xludf.DUMMYFUNCTION("GOOGLETRANSLATE(B360,""en"",""ur"")"),"گھوڑوں کے بارے میں ایک قابل ذکر تفصیل کیا ہے؟")</f>
        <v>گھوڑوں کے بارے میں ایک قابل ذکر تفصیل کیا ہے؟</v>
      </c>
      <c r="M360" s="2" t="str">
        <f>IFERROR(__xludf.DUMMYFUNCTION("GOOGLETRANSLATE(C360,""en"",""ur"")"),"وہ سب ایک ہی رنگ کے ہیں۔")</f>
        <v>وہ سب ایک ہی رنگ کے ہیں۔</v>
      </c>
      <c r="N360" s="2" t="str">
        <f>IFERROR(__xludf.DUMMYFUNCTION("GOOGLETRANSLATE(D360,""en"",""ur"")"),"وہ رنگوں اور نسلوں کا مرکب ہیں۔")</f>
        <v>وہ رنگوں اور نسلوں کا مرکب ہیں۔</v>
      </c>
      <c r="O360" s="2" t="str">
        <f>IFERROR(__xludf.DUMMYFUNCTION("GOOGLETRANSLATE(E360,""en"",""ur"")"),"وہ سب وسیع نمونوں کے ساتھ زین پہنے ہوئے ہیں۔")</f>
        <v>وہ سب وسیع نمونوں کے ساتھ زین پہنے ہوئے ہیں۔</v>
      </c>
      <c r="P360" s="2" t="str">
        <f>IFERROR(__xludf.DUMMYFUNCTION("GOOGLETRANSLATE(F360,""en"",""ur"")"),"وہ سب خاموش کھڑے ہیں۔")</f>
        <v>وہ سب خاموش کھڑے ہیں۔</v>
      </c>
      <c r="Q360" s="2" t="s">
        <v>269</v>
      </c>
      <c r="R360" s="2" t="str">
        <f>IFERROR(__xludf.DUMMYFUNCTION("GOOGLETRANSLATE(G360,""en"",""ur"")"),"وہ رنگوں اور نسلوں کا مرکب ہیں۔")</f>
        <v>وہ رنگوں اور نسلوں کا مرکب ہیں۔</v>
      </c>
      <c r="S360" s="5" t="s">
        <v>397</v>
      </c>
    </row>
    <row r="361" ht="22.5" customHeight="1">
      <c r="A361" s="4">
        <v>360.0</v>
      </c>
      <c r="B361" s="5" t="s">
        <v>270</v>
      </c>
      <c r="C361" s="5" t="s">
        <v>271</v>
      </c>
      <c r="D361" s="5" t="s">
        <v>272</v>
      </c>
      <c r="E361" s="5" t="s">
        <v>273</v>
      </c>
      <c r="F361" s="5" t="s">
        <v>274</v>
      </c>
      <c r="G361" s="5" t="s">
        <v>274</v>
      </c>
      <c r="H361" s="5" t="s">
        <v>397</v>
      </c>
      <c r="K361" s="2" t="str">
        <f>IFERROR(__xludf.DUMMYFUNCTION("GOOGLETRANSLATE(A361,""en"",""ur"")"),"360")</f>
        <v>360</v>
      </c>
      <c r="L361" s="2" t="str">
        <f>IFERROR(__xludf.DUMMYFUNCTION("GOOGLETRANSLATE(B361,""en"",""ur"")"),"مرکز میں سوار کے بارے میں ایک قابل ذکر تفصیل کیا ہے؟")</f>
        <v>مرکز میں سوار کے بارے میں ایک قابل ذکر تفصیل کیا ہے؟</v>
      </c>
      <c r="M361" s="2" t="str">
        <f>IFERROR(__xludf.DUMMYFUNCTION("GOOGLETRANSLATE(C361,""en"",""ur"")"),"وہ اپنے گھوڑے سے گر رہا ہے۔")</f>
        <v>وہ اپنے گھوڑے سے گر رہا ہے۔</v>
      </c>
      <c r="N361" s="2" t="str">
        <f>IFERROR(__xludf.DUMMYFUNCTION("GOOGLETRANSLATE(D361,""en"",""ur"")"),"اس نے بینر اٹھا رکھا ہے۔")</f>
        <v>اس نے بینر اٹھا رکھا ہے۔</v>
      </c>
      <c r="O361" s="2" t="str">
        <f>IFERROR(__xludf.DUMMYFUNCTION("GOOGLETRANSLATE(E361,""en"",""ur"")"),"اس نے رسی پکڑی ہوئی ہے۔")</f>
        <v>اس نے رسی پکڑی ہوئی ہے۔</v>
      </c>
      <c r="P361" s="2" t="str">
        <f>IFERROR(__xludf.DUMMYFUNCTION("GOOGLETRANSLATE(F361,""en"",""ur"")"),"اس نے چھڑی پکڑی ہوئی ہے۔")</f>
        <v>اس نے چھڑی پکڑی ہوئی ہے۔</v>
      </c>
      <c r="Q361" s="2" t="s">
        <v>275</v>
      </c>
      <c r="R361" s="2" t="str">
        <f>IFERROR(__xludf.DUMMYFUNCTION("GOOGLETRANSLATE(G361,""en"",""ur"")"),"اس نے چھڑی پکڑی ہوئی ہے۔")</f>
        <v>اس نے چھڑی پکڑی ہوئی ہے۔</v>
      </c>
      <c r="S361" s="5" t="s">
        <v>397</v>
      </c>
    </row>
    <row r="362" ht="22.5" customHeight="1">
      <c r="A362" s="4">
        <v>361.0</v>
      </c>
      <c r="B362" s="5" t="s">
        <v>398</v>
      </c>
      <c r="C362" s="5" t="s">
        <v>103</v>
      </c>
      <c r="D362" s="5" t="s">
        <v>71</v>
      </c>
      <c r="E362" s="5" t="s">
        <v>72</v>
      </c>
      <c r="F362" s="5" t="s">
        <v>73</v>
      </c>
      <c r="G362" s="5" t="s">
        <v>71</v>
      </c>
      <c r="H362" s="5" t="s">
        <v>399</v>
      </c>
      <c r="K362" s="2" t="str">
        <f>IFERROR(__xludf.DUMMYFUNCTION("GOOGLETRANSLATE(A362,""en"",""ur"")"),"361")</f>
        <v>361</v>
      </c>
      <c r="L362" s="2" t="str">
        <f>IFERROR(__xludf.DUMMYFUNCTION("GOOGLETRANSLATE(B362,""en"",""ur"")"),"buzkashi_83 میں دکھائی جانے والی اہم کارروائی کیا ہے؟")</f>
        <v>buzkashi_83 میں دکھائی جانے والی اہم کارروائی کیا ہے؟</v>
      </c>
      <c r="M362" s="2" t="str">
        <f>IFERROR(__xludf.DUMMYFUNCTION("GOOGLETRANSLATE(C362,""en"",""ur"")"),"آرام سے گھوڑے کی سواری۔")</f>
        <v>آرام سے گھوڑے کی سواری۔</v>
      </c>
      <c r="N362" s="2" t="str">
        <f>IFERROR(__xludf.DUMMYFUNCTION("GOOGLETRANSLATE(D362,""en"",""ur"")"),"سواروں کا ایک گروپ جو مرکزی چیز کے لیے مقابلہ کر رہا ہے۔")</f>
        <v>سواروں کا ایک گروپ جو مرکزی چیز کے لیے مقابلہ کر رہا ہے۔</v>
      </c>
      <c r="O362" s="2" t="str">
        <f>IFERROR(__xludf.DUMMYFUNCTION("GOOGLETRANSLATE(E362,""en"",""ur"")"),"گھوڑوں کی پریڈ")</f>
        <v>گھوڑوں کی پریڈ</v>
      </c>
      <c r="P362" s="2" t="str">
        <f>IFERROR(__xludf.DUMMYFUNCTION("GOOGLETRANSLATE(F362,""en"",""ur"")"),"گھوڑوں کی دوڑ")</f>
        <v>گھوڑوں کی دوڑ</v>
      </c>
      <c r="Q362" s="2" t="s">
        <v>278</v>
      </c>
      <c r="R362" s="2" t="str">
        <f>IFERROR(__xludf.DUMMYFUNCTION("GOOGLETRANSLATE(G362,""en"",""ur"")"),"سواروں کا ایک گروپ جو مرکزی چیز کے لیے مقابلہ کر رہا ہے۔")</f>
        <v>سواروں کا ایک گروپ جو مرکزی چیز کے لیے مقابلہ کر رہا ہے۔</v>
      </c>
      <c r="S362" s="5" t="s">
        <v>399</v>
      </c>
    </row>
    <row r="363" ht="22.5" customHeight="1">
      <c r="A363" s="4">
        <v>362.0</v>
      </c>
      <c r="B363" s="5" t="s">
        <v>348</v>
      </c>
      <c r="C363" s="5" t="s">
        <v>284</v>
      </c>
      <c r="D363" s="5" t="s">
        <v>285</v>
      </c>
      <c r="E363" s="5" t="s">
        <v>286</v>
      </c>
      <c r="F363" s="5" t="s">
        <v>287</v>
      </c>
      <c r="G363" s="5" t="s">
        <v>286</v>
      </c>
      <c r="H363" s="5" t="s">
        <v>399</v>
      </c>
      <c r="K363" s="2" t="str">
        <f>IFERROR(__xludf.DUMMYFUNCTION("GOOGLETRANSLATE(A363,""en"",""ur"")"),"362")</f>
        <v>362</v>
      </c>
      <c r="L363" s="2" t="str">
        <f>IFERROR(__xludf.DUMMYFUNCTION("GOOGLETRANSLATE(B363,""en"",""ur"")"),"سوار جس چیز کا مقابلہ کر رہے ہیں اس کے بارے میں ایک قابل ذکر تفصیل کیا ہے؟")</f>
        <v>سوار جس چیز کا مقابلہ کر رہے ہیں اس کے بارے میں ایک قابل ذکر تفصیل کیا ہے؟</v>
      </c>
      <c r="M363" s="2" t="str">
        <f>IFERROR(__xludf.DUMMYFUNCTION("GOOGLETRANSLATE(C363,""en"",""ur"")"),"یہ ایک گیند ہے۔")</f>
        <v>یہ ایک گیند ہے۔</v>
      </c>
      <c r="N363" s="2" t="str">
        <f>IFERROR(__xludf.DUMMYFUNCTION("GOOGLETRANSLATE(D363,""en"",""ur"")"),"یہ ایک جھنڈا ہے۔")</f>
        <v>یہ ایک جھنڈا ہے۔</v>
      </c>
      <c r="O363" s="2" t="str">
        <f>IFERROR(__xludf.DUMMYFUNCTION("GOOGLETRANSLATE(E363,""en"",""ur"")"),"یہ ایک بکری کی لاش ہے۔")</f>
        <v>یہ ایک بکری کی لاش ہے۔</v>
      </c>
      <c r="P363" s="2" t="str">
        <f>IFERROR(__xludf.DUMMYFUNCTION("GOOGLETRANSLATE(F363,""en"",""ur"")"),"یہ ایک رسی ہے۔")</f>
        <v>یہ ایک رسی ہے۔</v>
      </c>
      <c r="Q363" s="2" t="s">
        <v>288</v>
      </c>
      <c r="R363" s="2" t="str">
        <f>IFERROR(__xludf.DUMMYFUNCTION("GOOGLETRANSLATE(G363,""en"",""ur"")"),"یہ ایک بکری کی لاش ہے۔")</f>
        <v>یہ ایک بکری کی لاش ہے۔</v>
      </c>
      <c r="S363" s="5" t="s">
        <v>399</v>
      </c>
    </row>
    <row r="364" ht="22.5" customHeight="1">
      <c r="A364" s="4">
        <v>363.0</v>
      </c>
      <c r="B364" s="5" t="s">
        <v>242</v>
      </c>
      <c r="C364" s="5" t="s">
        <v>243</v>
      </c>
      <c r="D364" s="5" t="s">
        <v>292</v>
      </c>
      <c r="E364" s="5" t="s">
        <v>245</v>
      </c>
      <c r="F364" s="5" t="s">
        <v>246</v>
      </c>
      <c r="G364" s="5" t="s">
        <v>292</v>
      </c>
      <c r="H364" s="5" t="s">
        <v>399</v>
      </c>
      <c r="K364" s="2" t="str">
        <f>IFERROR(__xludf.DUMMYFUNCTION("GOOGLETRANSLATE(A364,""en"",""ur"")"),"363")</f>
        <v>363</v>
      </c>
      <c r="L364" s="2" t="str">
        <f>IFERROR(__xludf.DUMMYFUNCTION("GOOGLETRANSLATE(B364,""en"",""ur"")"),"سواروں کے لباس کے بارے میں واضح تفصیل کیا ہے؟")</f>
        <v>سواروں کے لباس کے بارے میں واضح تفصیل کیا ہے؟</v>
      </c>
      <c r="M364" s="2" t="str">
        <f>IFERROR(__xludf.DUMMYFUNCTION("GOOGLETRANSLATE(C364,""en"",""ur"")"),"وہ جدید کھیلوں کی وردی پہنے ہوئے ہیں۔")</f>
        <v>وہ جدید کھیلوں کی وردی پہنے ہوئے ہیں۔</v>
      </c>
      <c r="N364" s="2" t="str">
        <f>IFERROR(__xludf.DUMMYFUNCTION("GOOGLETRANSLATE(D364,""en"",""ur"")"),"وہ روایتی ٹونکس اور سر کے لباس پہنے ہوئے ہیں۔")</f>
        <v>وہ روایتی ٹونکس اور سر کے لباس پہنے ہوئے ہیں۔</v>
      </c>
      <c r="O364" s="2" t="str">
        <f>IFERROR(__xludf.DUMMYFUNCTION("GOOGLETRANSLATE(E364,""en"",""ur"")"),"وہ رسمی سوٹ پہنے ہوئے ہیں۔")</f>
        <v>وہ رسمی سوٹ پہنے ہوئے ہیں۔</v>
      </c>
      <c r="P364" s="2" t="str">
        <f>IFERROR(__xludf.DUMMYFUNCTION("GOOGLETRANSLATE(F364,""en"",""ur"")"),"انہوں نے کوئی لباس نہیں پہنا ہوا ہے۔")</f>
        <v>انہوں نے کوئی لباس نہیں پہنا ہوا ہے۔</v>
      </c>
      <c r="Q364" s="2" t="s">
        <v>293</v>
      </c>
      <c r="R364" s="2" t="str">
        <f>IFERROR(__xludf.DUMMYFUNCTION("GOOGLETRANSLATE(G364,""en"",""ur"")"),"وہ روایتی ٹونکس اور سر کے لباس پہنے ہوئے ہیں۔")</f>
        <v>وہ روایتی ٹونکس اور سر کے لباس پہنے ہوئے ہیں۔</v>
      </c>
      <c r="S364" s="5" t="s">
        <v>399</v>
      </c>
    </row>
    <row r="365" ht="22.5" customHeight="1">
      <c r="A365" s="4">
        <v>364.0</v>
      </c>
      <c r="B365" s="5" t="s">
        <v>248</v>
      </c>
      <c r="C365" s="5" t="s">
        <v>249</v>
      </c>
      <c r="D365" s="5" t="s">
        <v>250</v>
      </c>
      <c r="E365" s="5" t="s">
        <v>251</v>
      </c>
      <c r="F365" s="5" t="s">
        <v>252</v>
      </c>
      <c r="G365" s="5" t="s">
        <v>250</v>
      </c>
      <c r="H365" s="5" t="s">
        <v>399</v>
      </c>
      <c r="K365" s="2" t="str">
        <f>IFERROR(__xludf.DUMMYFUNCTION("GOOGLETRANSLATE(A365,""en"",""ur"")"),"364")</f>
        <v>364</v>
      </c>
      <c r="L365" s="2" t="str">
        <f>IFERROR(__xludf.DUMMYFUNCTION("GOOGLETRANSLATE(B365,""en"",""ur"")"),"سواروں کی ظاہری باڈی پوزیشن کیا ہے؟")</f>
        <v>سواروں کی ظاہری باڈی پوزیشن کیا ہے؟</v>
      </c>
      <c r="M365" s="2" t="str">
        <f>IFERROR(__xludf.DUMMYFUNCTION("GOOGLETRANSLATE(C365,""en"",""ur"")"),"وہ سیدھے کھڑے ہیں۔")</f>
        <v>وہ سیدھے کھڑے ہیں۔</v>
      </c>
      <c r="N365" s="2" t="str">
        <f>IFERROR(__xludf.DUMMYFUNCTION("GOOGLETRANSLATE(D365,""en"",""ur"")"),"وہ جھک رہے ہیں اور کسی چیز تک پہنچ رہے ہیں۔")</f>
        <v>وہ جھک رہے ہیں اور کسی چیز تک پہنچ رہے ہیں۔</v>
      </c>
      <c r="O365" s="2" t="str">
        <f>IFERROR(__xludf.DUMMYFUNCTION("GOOGLETRANSLATE(E365,""en"",""ur"")"),"وہ گھوڑوں کی پیٹھ پر لیٹے ہوئے ہیں۔")</f>
        <v>وہ گھوڑوں کی پیٹھ پر لیٹے ہوئے ہیں۔</v>
      </c>
      <c r="P365" s="2" t="str">
        <f>IFERROR(__xludf.DUMMYFUNCTION("GOOGLETRANSLATE(F365,""en"",""ur"")"),"وہ آرام سے بیٹھے ہیں۔")</f>
        <v>وہ آرام سے بیٹھے ہیں۔</v>
      </c>
      <c r="Q365" s="2" t="s">
        <v>253</v>
      </c>
      <c r="R365" s="2" t="str">
        <f>IFERROR(__xludf.DUMMYFUNCTION("GOOGLETRANSLATE(G365,""en"",""ur"")"),"وہ جھک رہے ہیں اور کسی چیز تک پہنچ رہے ہیں۔")</f>
        <v>وہ جھک رہے ہیں اور کسی چیز تک پہنچ رہے ہیں۔</v>
      </c>
      <c r="S365" s="5" t="s">
        <v>399</v>
      </c>
    </row>
    <row r="366" ht="22.5" customHeight="1">
      <c r="A366" s="4">
        <v>365.0</v>
      </c>
      <c r="B366" s="5" t="s">
        <v>254</v>
      </c>
      <c r="C366" s="5" t="s">
        <v>47</v>
      </c>
      <c r="D366" s="5" t="s">
        <v>48</v>
      </c>
      <c r="E366" s="5" t="s">
        <v>49</v>
      </c>
      <c r="F366" s="5" t="s">
        <v>50</v>
      </c>
      <c r="G366" s="5" t="s">
        <v>49</v>
      </c>
      <c r="H366" s="5" t="s">
        <v>399</v>
      </c>
      <c r="K366" s="2" t="str">
        <f>IFERROR(__xludf.DUMMYFUNCTION("GOOGLETRANSLATE(A366,""en"",""ur"")"),"365")</f>
        <v>365</v>
      </c>
      <c r="L366" s="2" t="str">
        <f>IFERROR(__xludf.DUMMYFUNCTION("GOOGLETRANSLATE(B366,""en"",""ur"")"),"سواروں کے چہروں سے ظاہری جذبات کیا ہیں؟")</f>
        <v>سواروں کے چہروں سے ظاہری جذبات کیا ہیں؟</v>
      </c>
      <c r="M366" s="2" t="str">
        <f>IFERROR(__xludf.DUMMYFUNCTION("GOOGLETRANSLATE(C366,""en"",""ur"")"),"پرسکون اور پر سکون")</f>
        <v>پرسکون اور پر سکون</v>
      </c>
      <c r="N366" s="2" t="str">
        <f>IFERROR(__xludf.DUMMYFUNCTION("GOOGLETRANSLATE(D366,""en"",""ur"")"),"خوف زدہ اور بے چین")</f>
        <v>خوف زدہ اور بے چین</v>
      </c>
      <c r="O366" s="2" t="str">
        <f>IFERROR(__xludf.DUMMYFUNCTION("GOOGLETRANSLATE(E366,""en"",""ur"")"),"کشیدہ اور شدید")</f>
        <v>کشیدہ اور شدید</v>
      </c>
      <c r="P366" s="2" t="str">
        <f>IFERROR(__xludf.DUMMYFUNCTION("GOOGLETRANSLATE(F366,""en"",""ur"")"),"خوش اور مسکراتے ہوئے۔")</f>
        <v>خوش اور مسکراتے ہوئے۔</v>
      </c>
      <c r="Q366" s="2" t="s">
        <v>51</v>
      </c>
      <c r="R366" s="2" t="str">
        <f>IFERROR(__xludf.DUMMYFUNCTION("GOOGLETRANSLATE(G366,""en"",""ur"")"),"کشیدہ اور شدید")</f>
        <v>کشیدہ اور شدید</v>
      </c>
      <c r="S366" s="5" t="s">
        <v>399</v>
      </c>
    </row>
    <row r="367" ht="22.5" customHeight="1">
      <c r="A367" s="4">
        <v>366.0</v>
      </c>
      <c r="B367" s="5" t="s">
        <v>88</v>
      </c>
      <c r="C367" s="5" t="s">
        <v>89</v>
      </c>
      <c r="D367" s="5" t="s">
        <v>90</v>
      </c>
      <c r="E367" s="5" t="s">
        <v>91</v>
      </c>
      <c r="F367" s="5" t="s">
        <v>255</v>
      </c>
      <c r="G367" s="5" t="s">
        <v>91</v>
      </c>
      <c r="H367" s="5" t="s">
        <v>399</v>
      </c>
      <c r="K367" s="2" t="str">
        <f>IFERROR(__xludf.DUMMYFUNCTION("GOOGLETRANSLATE(A367,""en"",""ur"")"),"366")</f>
        <v>366</v>
      </c>
      <c r="L367" s="2" t="str">
        <f>IFERROR(__xludf.DUMMYFUNCTION("GOOGLETRANSLATE(B367,""en"",""ur"")"),"زمین کی سب سے نمایاں خصوصیت کیا ہے؟")</f>
        <v>زمین کی سب سے نمایاں خصوصیت کیا ہے؟</v>
      </c>
      <c r="M367" s="2" t="str">
        <f>IFERROR(__xludf.DUMMYFUNCTION("GOOGLETRANSLATE(C367,""en"",""ur"")"),"ایک پکی سطح")</f>
        <v>ایک پکی سطح</v>
      </c>
      <c r="N367" s="2" t="str">
        <f>IFERROR(__xludf.DUMMYFUNCTION("GOOGLETRANSLATE(D367,""en"",""ur"")"),"کیچڑ والا میدان")</f>
        <v>کیچڑ والا میدان</v>
      </c>
      <c r="O367" s="2" t="str">
        <f>IFERROR(__xludf.DUMMYFUNCTION("GOOGLETRANSLATE(E367,""en"",""ur"")"),"ایک گھاس دار سطح")</f>
        <v>ایک گھاس دار سطح</v>
      </c>
      <c r="P367" s="2" t="str">
        <f>IFERROR(__xludf.DUMMYFUNCTION("GOOGLETRANSLATE(F367,""en"",""ur"")"),"ریتلی یا گندگی کی سطح")</f>
        <v>ریتلی یا گندگی کی سطح</v>
      </c>
      <c r="Q367" s="2" t="s">
        <v>256</v>
      </c>
      <c r="R367" s="2" t="str">
        <f>IFERROR(__xludf.DUMMYFUNCTION("GOOGLETRANSLATE(G367,""en"",""ur"")"),"ایک گھاس دار سطح")</f>
        <v>ایک گھاس دار سطح</v>
      </c>
      <c r="S367" s="5" t="s">
        <v>399</v>
      </c>
    </row>
    <row r="368" ht="22.5" customHeight="1">
      <c r="A368" s="4">
        <v>367.0</v>
      </c>
      <c r="B368" s="5" t="s">
        <v>257</v>
      </c>
      <c r="C368" s="5" t="s">
        <v>95</v>
      </c>
      <c r="D368" s="5" t="s">
        <v>96</v>
      </c>
      <c r="E368" s="5" t="s">
        <v>97</v>
      </c>
      <c r="F368" s="5" t="s">
        <v>258</v>
      </c>
      <c r="G368" s="5" t="s">
        <v>97</v>
      </c>
      <c r="H368" s="5" t="s">
        <v>399</v>
      </c>
      <c r="K368" s="2" t="str">
        <f>IFERROR(__xludf.DUMMYFUNCTION("GOOGLETRANSLATE(A368,""en"",""ur"")"),"367")</f>
        <v>367</v>
      </c>
      <c r="L368" s="2" t="str">
        <f>IFERROR(__xludf.DUMMYFUNCTION("GOOGLETRANSLATE(B368,""en"",""ur"")"),"کھیلے جانے والے کھیل کا نام کیا ہے؟")</f>
        <v>کھیلے جانے والے کھیل کا نام کیا ہے؟</v>
      </c>
      <c r="M368" s="2" t="str">
        <f>IFERROR(__xludf.DUMMYFUNCTION("GOOGLETRANSLATE(C368,""en"",""ur"")"),"پولو")</f>
        <v>پولو</v>
      </c>
      <c r="N368" s="2" t="str">
        <f>IFERROR(__xludf.DUMMYFUNCTION("GOOGLETRANSLATE(D368,""en"",""ur"")"),"گھوڑوں کی دوڑ")</f>
        <v>گھوڑوں کی دوڑ</v>
      </c>
      <c r="O368" s="2" t="str">
        <f>IFERROR(__xludf.DUMMYFUNCTION("GOOGLETRANSLATE(E368,""en"",""ur"")"),"بزکشی۔")</f>
        <v>بزکشی۔</v>
      </c>
      <c r="P368" s="2" t="str">
        <f>IFERROR(__xludf.DUMMYFUNCTION("GOOGLETRANSLATE(F368,""en"",""ur"")"),"گھڑ سواری کے کھیل")</f>
        <v>گھڑ سواری کے کھیل</v>
      </c>
      <c r="Q368" s="2" t="s">
        <v>259</v>
      </c>
      <c r="R368" s="2" t="str">
        <f>IFERROR(__xludf.DUMMYFUNCTION("GOOGLETRANSLATE(G368,""en"",""ur"")"),"بزکشی۔")</f>
        <v>بزکشی۔</v>
      </c>
      <c r="S368" s="5" t="s">
        <v>399</v>
      </c>
    </row>
    <row r="369" ht="22.5" customHeight="1">
      <c r="A369" s="4">
        <v>368.0</v>
      </c>
      <c r="B369" s="5" t="s">
        <v>260</v>
      </c>
      <c r="C369" s="5" t="s">
        <v>261</v>
      </c>
      <c r="D369" s="5" t="s">
        <v>262</v>
      </c>
      <c r="E369" s="5" t="s">
        <v>263</v>
      </c>
      <c r="F369" s="5" t="s">
        <v>264</v>
      </c>
      <c r="G369" s="5" t="s">
        <v>263</v>
      </c>
      <c r="H369" s="5" t="s">
        <v>399</v>
      </c>
      <c r="K369" s="2" t="str">
        <f>IFERROR(__xludf.DUMMYFUNCTION("GOOGLETRANSLATE(A369,""en"",""ur"")"),"368")</f>
        <v>368</v>
      </c>
      <c r="L369" s="2" t="str">
        <f>IFERROR(__xludf.DUMMYFUNCTION("GOOGLETRANSLATE(B369,""en"",""ur"")"),"تصویر میں ایکشن ایک ایسا انداز تجویز کرتا ہے جو اس بات پر زور دیتا ہے...")</f>
        <v>تصویر میں ایکشن ایک ایسا انداز تجویز کرتا ہے جو اس بات پر زور دیتا ہے...</v>
      </c>
      <c r="M369" s="2" t="str">
        <f>IFERROR(__xludf.DUMMYFUNCTION("GOOGLETRANSLATE(C369,""en"",""ur"")"),"روانی اور قلابازیاں")</f>
        <v>روانی اور قلابازیاں</v>
      </c>
      <c r="N369" s="2" t="str">
        <f>IFERROR(__xludf.DUMMYFUNCTION("GOOGLETRANSLATE(D369,""en"",""ur"")"),"زمینی لڑائی اور گرفت")</f>
        <v>زمینی لڑائی اور گرفت</v>
      </c>
      <c r="O369" s="2" t="str">
        <f>IFERROR(__xludf.DUMMYFUNCTION("GOOGLETRANSLATE(E369,""en"",""ur"")"),"وحشیانہ قوت اور گھڑ سواری۔")</f>
        <v>وحشیانہ قوت اور گھڑ سواری۔</v>
      </c>
      <c r="P369" s="2" t="str">
        <f>IFERROR(__xludf.DUMMYFUNCTION("GOOGLETRANSLATE(F369,""en"",""ur"")"),"سادہ، لکیری حرکات")</f>
        <v>سادہ، لکیری حرکات</v>
      </c>
      <c r="Q369" s="2" t="s">
        <v>265</v>
      </c>
      <c r="R369" s="2" t="str">
        <f>IFERROR(__xludf.DUMMYFUNCTION("GOOGLETRANSLATE(G369,""en"",""ur"")"),"وحشیانہ قوت اور گھڑ سواری۔")</f>
        <v>وحشیانہ قوت اور گھڑ سواری۔</v>
      </c>
      <c r="S369" s="5" t="s">
        <v>399</v>
      </c>
    </row>
    <row r="370" ht="22.5" customHeight="1">
      <c r="A370" s="4">
        <v>369.0</v>
      </c>
      <c r="B370" s="5" t="s">
        <v>266</v>
      </c>
      <c r="C370" s="5" t="s">
        <v>59</v>
      </c>
      <c r="D370" s="5" t="s">
        <v>267</v>
      </c>
      <c r="E370" s="5" t="s">
        <v>61</v>
      </c>
      <c r="F370" s="5" t="s">
        <v>268</v>
      </c>
      <c r="G370" s="5" t="s">
        <v>267</v>
      </c>
      <c r="H370" s="5" t="s">
        <v>399</v>
      </c>
      <c r="K370" s="2" t="str">
        <f>IFERROR(__xludf.DUMMYFUNCTION("GOOGLETRANSLATE(A370,""en"",""ur"")"),"369")</f>
        <v>369</v>
      </c>
      <c r="L370" s="2" t="str">
        <f>IFERROR(__xludf.DUMMYFUNCTION("GOOGLETRANSLATE(B370,""en"",""ur"")"),"گھوڑوں کے بارے میں ایک قابل ذکر تفصیل کیا ہے؟")</f>
        <v>گھوڑوں کے بارے میں ایک قابل ذکر تفصیل کیا ہے؟</v>
      </c>
      <c r="M370" s="2" t="str">
        <f>IFERROR(__xludf.DUMMYFUNCTION("GOOGLETRANSLATE(C370,""en"",""ur"")"),"وہ سب ایک ہی رنگ کے ہیں۔")</f>
        <v>وہ سب ایک ہی رنگ کے ہیں۔</v>
      </c>
      <c r="N370" s="2" t="str">
        <f>IFERROR(__xludf.DUMMYFUNCTION("GOOGLETRANSLATE(D370,""en"",""ur"")"),"وہ رنگوں اور نسلوں کا مرکب ہیں۔")</f>
        <v>وہ رنگوں اور نسلوں کا مرکب ہیں۔</v>
      </c>
      <c r="O370" s="2" t="str">
        <f>IFERROR(__xludf.DUMMYFUNCTION("GOOGLETRANSLATE(E370,""en"",""ur"")"),"وہ سب وسیع نمونوں کے ساتھ زین پہنے ہوئے ہیں۔")</f>
        <v>وہ سب وسیع نمونوں کے ساتھ زین پہنے ہوئے ہیں۔</v>
      </c>
      <c r="P370" s="2" t="str">
        <f>IFERROR(__xludf.DUMMYFUNCTION("GOOGLETRANSLATE(F370,""en"",""ur"")"),"وہ سب خاموش کھڑے ہیں۔")</f>
        <v>وہ سب خاموش کھڑے ہیں۔</v>
      </c>
      <c r="Q370" s="2" t="s">
        <v>269</v>
      </c>
      <c r="R370" s="2" t="str">
        <f>IFERROR(__xludf.DUMMYFUNCTION("GOOGLETRANSLATE(G370,""en"",""ur"")"),"وہ رنگوں اور نسلوں کا مرکب ہیں۔")</f>
        <v>وہ رنگوں اور نسلوں کا مرکب ہیں۔</v>
      </c>
      <c r="S370" s="5" t="s">
        <v>399</v>
      </c>
    </row>
    <row r="371" ht="22.5" customHeight="1">
      <c r="A371" s="4">
        <v>370.0</v>
      </c>
      <c r="B371" s="5" t="s">
        <v>270</v>
      </c>
      <c r="C371" s="5" t="s">
        <v>271</v>
      </c>
      <c r="D371" s="5" t="s">
        <v>272</v>
      </c>
      <c r="E371" s="5" t="s">
        <v>273</v>
      </c>
      <c r="F371" s="5" t="s">
        <v>274</v>
      </c>
      <c r="G371" s="5" t="s">
        <v>274</v>
      </c>
      <c r="H371" s="5" t="s">
        <v>399</v>
      </c>
      <c r="K371" s="2" t="str">
        <f>IFERROR(__xludf.DUMMYFUNCTION("GOOGLETRANSLATE(A371,""en"",""ur"")"),"370")</f>
        <v>370</v>
      </c>
      <c r="L371" s="2" t="str">
        <f>IFERROR(__xludf.DUMMYFUNCTION("GOOGLETRANSLATE(B371,""en"",""ur"")"),"مرکز میں سوار کے بارے میں ایک قابل ذکر تفصیل کیا ہے؟")</f>
        <v>مرکز میں سوار کے بارے میں ایک قابل ذکر تفصیل کیا ہے؟</v>
      </c>
      <c r="M371" s="2" t="str">
        <f>IFERROR(__xludf.DUMMYFUNCTION("GOOGLETRANSLATE(C371,""en"",""ur"")"),"وہ اپنے گھوڑے سے گر رہا ہے۔")</f>
        <v>وہ اپنے گھوڑے سے گر رہا ہے۔</v>
      </c>
      <c r="N371" s="2" t="str">
        <f>IFERROR(__xludf.DUMMYFUNCTION("GOOGLETRANSLATE(D371,""en"",""ur"")"),"اس نے بینر اٹھا رکھا ہے۔")</f>
        <v>اس نے بینر اٹھا رکھا ہے۔</v>
      </c>
      <c r="O371" s="2" t="str">
        <f>IFERROR(__xludf.DUMMYFUNCTION("GOOGLETRANSLATE(E371,""en"",""ur"")"),"اس نے رسی پکڑی ہوئی ہے۔")</f>
        <v>اس نے رسی پکڑی ہوئی ہے۔</v>
      </c>
      <c r="P371" s="2" t="str">
        <f>IFERROR(__xludf.DUMMYFUNCTION("GOOGLETRANSLATE(F371,""en"",""ur"")"),"اس نے چھڑی پکڑی ہوئی ہے۔")</f>
        <v>اس نے چھڑی پکڑی ہوئی ہے۔</v>
      </c>
      <c r="Q371" s="2" t="s">
        <v>275</v>
      </c>
      <c r="R371" s="2" t="str">
        <f>IFERROR(__xludf.DUMMYFUNCTION("GOOGLETRANSLATE(G371,""en"",""ur"")"),"اس نے چھڑی پکڑی ہوئی ہے۔")</f>
        <v>اس نے چھڑی پکڑی ہوئی ہے۔</v>
      </c>
      <c r="S371" s="5" t="s">
        <v>399</v>
      </c>
    </row>
    <row r="372" ht="22.5" customHeight="1">
      <c r="A372" s="4">
        <v>371.0</v>
      </c>
      <c r="B372" s="5" t="s">
        <v>400</v>
      </c>
      <c r="C372" s="5" t="s">
        <v>103</v>
      </c>
      <c r="D372" s="5" t="s">
        <v>71</v>
      </c>
      <c r="E372" s="5" t="s">
        <v>72</v>
      </c>
      <c r="F372" s="5" t="s">
        <v>73</v>
      </c>
      <c r="G372" s="5" t="s">
        <v>71</v>
      </c>
      <c r="H372" s="5" t="s">
        <v>401</v>
      </c>
      <c r="K372" s="2" t="str">
        <f>IFERROR(__xludf.DUMMYFUNCTION("GOOGLETRANSLATE(A372,""en"",""ur"")"),"371")</f>
        <v>371</v>
      </c>
      <c r="L372" s="2" t="str">
        <f>IFERROR(__xludf.DUMMYFUNCTION("GOOGLETRANSLATE(B372,""en"",""ur"")"),"buzkashi_90 میں دکھائی جانے والی اہم کارروائی کیا ہے؟")</f>
        <v>buzkashi_90 میں دکھائی جانے والی اہم کارروائی کیا ہے؟</v>
      </c>
      <c r="M372" s="2" t="str">
        <f>IFERROR(__xludf.DUMMYFUNCTION("GOOGLETRANSLATE(C372,""en"",""ur"")"),"آرام سے گھوڑے کی سواری۔")</f>
        <v>آرام سے گھوڑے کی سواری۔</v>
      </c>
      <c r="N372" s="2" t="str">
        <f>IFERROR(__xludf.DUMMYFUNCTION("GOOGLETRANSLATE(D372,""en"",""ur"")"),"سواروں کا ایک گروپ جو مرکزی چیز کے لیے مقابلہ کر رہا ہے۔")</f>
        <v>سواروں کا ایک گروپ جو مرکزی چیز کے لیے مقابلہ کر رہا ہے۔</v>
      </c>
      <c r="O372" s="2" t="str">
        <f>IFERROR(__xludf.DUMMYFUNCTION("GOOGLETRANSLATE(E372,""en"",""ur"")"),"گھوڑوں کی پریڈ")</f>
        <v>گھوڑوں کی پریڈ</v>
      </c>
      <c r="P372" s="2" t="str">
        <f>IFERROR(__xludf.DUMMYFUNCTION("GOOGLETRANSLATE(F372,""en"",""ur"")"),"گھوڑوں کی دوڑ")</f>
        <v>گھوڑوں کی دوڑ</v>
      </c>
      <c r="Q372" s="2" t="s">
        <v>278</v>
      </c>
      <c r="R372" s="2" t="str">
        <f>IFERROR(__xludf.DUMMYFUNCTION("GOOGLETRANSLATE(G372,""en"",""ur"")"),"سواروں کا ایک گروپ جو مرکزی چیز کے لیے مقابلہ کر رہا ہے۔")</f>
        <v>سواروں کا ایک گروپ جو مرکزی چیز کے لیے مقابلہ کر رہا ہے۔</v>
      </c>
      <c r="S372" s="5" t="s">
        <v>401</v>
      </c>
    </row>
    <row r="373" ht="22.5" customHeight="1">
      <c r="A373" s="4">
        <v>372.0</v>
      </c>
      <c r="B373" s="5" t="s">
        <v>348</v>
      </c>
      <c r="C373" s="5" t="s">
        <v>284</v>
      </c>
      <c r="D373" s="5" t="s">
        <v>285</v>
      </c>
      <c r="E373" s="5" t="s">
        <v>286</v>
      </c>
      <c r="F373" s="5" t="s">
        <v>287</v>
      </c>
      <c r="G373" s="5" t="s">
        <v>286</v>
      </c>
      <c r="H373" s="5" t="s">
        <v>401</v>
      </c>
      <c r="K373" s="2" t="str">
        <f>IFERROR(__xludf.DUMMYFUNCTION("GOOGLETRANSLATE(A373,""en"",""ur"")"),"372")</f>
        <v>372</v>
      </c>
      <c r="L373" s="2" t="str">
        <f>IFERROR(__xludf.DUMMYFUNCTION("GOOGLETRANSLATE(B373,""en"",""ur"")"),"سوار جس چیز کا مقابلہ کر رہے ہیں اس کے بارے میں ایک قابل ذکر تفصیل کیا ہے؟")</f>
        <v>سوار جس چیز کا مقابلہ کر رہے ہیں اس کے بارے میں ایک قابل ذکر تفصیل کیا ہے؟</v>
      </c>
      <c r="M373" s="2" t="str">
        <f>IFERROR(__xludf.DUMMYFUNCTION("GOOGLETRANSLATE(C373,""en"",""ur"")"),"یہ ایک گیند ہے۔")</f>
        <v>یہ ایک گیند ہے۔</v>
      </c>
      <c r="N373" s="2" t="str">
        <f>IFERROR(__xludf.DUMMYFUNCTION("GOOGLETRANSLATE(D373,""en"",""ur"")"),"یہ ایک جھنڈا ہے۔")</f>
        <v>یہ ایک جھنڈا ہے۔</v>
      </c>
      <c r="O373" s="2" t="str">
        <f>IFERROR(__xludf.DUMMYFUNCTION("GOOGLETRANSLATE(E373,""en"",""ur"")"),"یہ ایک بکری کی لاش ہے۔")</f>
        <v>یہ ایک بکری کی لاش ہے۔</v>
      </c>
      <c r="P373" s="2" t="str">
        <f>IFERROR(__xludf.DUMMYFUNCTION("GOOGLETRANSLATE(F373,""en"",""ur"")"),"یہ ایک رسی ہے۔")</f>
        <v>یہ ایک رسی ہے۔</v>
      </c>
      <c r="Q373" s="2" t="s">
        <v>288</v>
      </c>
      <c r="R373" s="2" t="str">
        <f>IFERROR(__xludf.DUMMYFUNCTION("GOOGLETRANSLATE(G373,""en"",""ur"")"),"یہ ایک بکری کی لاش ہے۔")</f>
        <v>یہ ایک بکری کی لاش ہے۔</v>
      </c>
      <c r="S373" s="5" t="s">
        <v>401</v>
      </c>
    </row>
    <row r="374" ht="22.5" customHeight="1">
      <c r="A374" s="4">
        <v>373.0</v>
      </c>
      <c r="B374" s="5" t="s">
        <v>242</v>
      </c>
      <c r="C374" s="5" t="s">
        <v>243</v>
      </c>
      <c r="D374" s="5" t="s">
        <v>292</v>
      </c>
      <c r="E374" s="5" t="s">
        <v>245</v>
      </c>
      <c r="F374" s="5" t="s">
        <v>246</v>
      </c>
      <c r="G374" s="5" t="s">
        <v>292</v>
      </c>
      <c r="H374" s="5" t="s">
        <v>401</v>
      </c>
      <c r="K374" s="2" t="str">
        <f>IFERROR(__xludf.DUMMYFUNCTION("GOOGLETRANSLATE(A374,""en"",""ur"")"),"373")</f>
        <v>373</v>
      </c>
      <c r="L374" s="2" t="str">
        <f>IFERROR(__xludf.DUMMYFUNCTION("GOOGLETRANSLATE(B374,""en"",""ur"")"),"سواروں کے لباس کے بارے میں واضح تفصیل کیا ہے؟")</f>
        <v>سواروں کے لباس کے بارے میں واضح تفصیل کیا ہے؟</v>
      </c>
      <c r="M374" s="2" t="str">
        <f>IFERROR(__xludf.DUMMYFUNCTION("GOOGLETRANSLATE(C374,""en"",""ur"")"),"وہ جدید کھیلوں کی وردی پہنے ہوئے ہیں۔")</f>
        <v>وہ جدید کھیلوں کی وردی پہنے ہوئے ہیں۔</v>
      </c>
      <c r="N374" s="2" t="str">
        <f>IFERROR(__xludf.DUMMYFUNCTION("GOOGLETRANSLATE(D374,""en"",""ur"")"),"وہ روایتی ٹونکس اور سر کے لباس پہنے ہوئے ہیں۔")</f>
        <v>وہ روایتی ٹونکس اور سر کے لباس پہنے ہوئے ہیں۔</v>
      </c>
      <c r="O374" s="2" t="str">
        <f>IFERROR(__xludf.DUMMYFUNCTION("GOOGLETRANSLATE(E374,""en"",""ur"")"),"وہ رسمی سوٹ پہنے ہوئے ہیں۔")</f>
        <v>وہ رسمی سوٹ پہنے ہوئے ہیں۔</v>
      </c>
      <c r="P374" s="2" t="str">
        <f>IFERROR(__xludf.DUMMYFUNCTION("GOOGLETRANSLATE(F374,""en"",""ur"")"),"انہوں نے کوئی لباس نہیں پہنا ہوا ہے۔")</f>
        <v>انہوں نے کوئی لباس نہیں پہنا ہوا ہے۔</v>
      </c>
      <c r="Q374" s="2" t="s">
        <v>293</v>
      </c>
      <c r="R374" s="2" t="str">
        <f>IFERROR(__xludf.DUMMYFUNCTION("GOOGLETRANSLATE(G374,""en"",""ur"")"),"وہ روایتی ٹونکس اور سر کے لباس پہنے ہوئے ہیں۔")</f>
        <v>وہ روایتی ٹونکس اور سر کے لباس پہنے ہوئے ہیں۔</v>
      </c>
      <c r="S374" s="5" t="s">
        <v>401</v>
      </c>
    </row>
    <row r="375" ht="22.5" customHeight="1">
      <c r="A375" s="4">
        <v>374.0</v>
      </c>
      <c r="B375" s="5" t="s">
        <v>248</v>
      </c>
      <c r="C375" s="5" t="s">
        <v>249</v>
      </c>
      <c r="D375" s="5" t="s">
        <v>250</v>
      </c>
      <c r="E375" s="5" t="s">
        <v>251</v>
      </c>
      <c r="F375" s="5" t="s">
        <v>252</v>
      </c>
      <c r="G375" s="5" t="s">
        <v>250</v>
      </c>
      <c r="H375" s="5" t="s">
        <v>401</v>
      </c>
      <c r="K375" s="2" t="str">
        <f>IFERROR(__xludf.DUMMYFUNCTION("GOOGLETRANSLATE(A375,""en"",""ur"")"),"374")</f>
        <v>374</v>
      </c>
      <c r="L375" s="2" t="str">
        <f>IFERROR(__xludf.DUMMYFUNCTION("GOOGLETRANSLATE(B375,""en"",""ur"")"),"سواروں کی ظاہری باڈی پوزیشن کیا ہے؟")</f>
        <v>سواروں کی ظاہری باڈی پوزیشن کیا ہے؟</v>
      </c>
      <c r="M375" s="2" t="str">
        <f>IFERROR(__xludf.DUMMYFUNCTION("GOOGLETRANSLATE(C375,""en"",""ur"")"),"وہ سیدھے کھڑے ہیں۔")</f>
        <v>وہ سیدھے کھڑے ہیں۔</v>
      </c>
      <c r="N375" s="2" t="str">
        <f>IFERROR(__xludf.DUMMYFUNCTION("GOOGLETRANSLATE(D375,""en"",""ur"")"),"وہ جھک رہے ہیں اور کسی چیز تک پہنچ رہے ہیں۔")</f>
        <v>وہ جھک رہے ہیں اور کسی چیز تک پہنچ رہے ہیں۔</v>
      </c>
      <c r="O375" s="2" t="str">
        <f>IFERROR(__xludf.DUMMYFUNCTION("GOOGLETRANSLATE(E375,""en"",""ur"")"),"وہ گھوڑوں کی پیٹھ پر لیٹے ہوئے ہیں۔")</f>
        <v>وہ گھوڑوں کی پیٹھ پر لیٹے ہوئے ہیں۔</v>
      </c>
      <c r="P375" s="2" t="str">
        <f>IFERROR(__xludf.DUMMYFUNCTION("GOOGLETRANSLATE(F375,""en"",""ur"")"),"وہ آرام سے بیٹھے ہیں۔")</f>
        <v>وہ آرام سے بیٹھے ہیں۔</v>
      </c>
      <c r="Q375" s="2" t="s">
        <v>253</v>
      </c>
      <c r="R375" s="2" t="str">
        <f>IFERROR(__xludf.DUMMYFUNCTION("GOOGLETRANSLATE(G375,""en"",""ur"")"),"وہ جھک رہے ہیں اور کسی چیز تک پہنچ رہے ہیں۔")</f>
        <v>وہ جھک رہے ہیں اور کسی چیز تک پہنچ رہے ہیں۔</v>
      </c>
      <c r="S375" s="5" t="s">
        <v>401</v>
      </c>
    </row>
    <row r="376" ht="22.5" customHeight="1">
      <c r="A376" s="4">
        <v>375.0</v>
      </c>
      <c r="B376" s="5" t="s">
        <v>254</v>
      </c>
      <c r="C376" s="5" t="s">
        <v>47</v>
      </c>
      <c r="D376" s="5" t="s">
        <v>48</v>
      </c>
      <c r="E376" s="5" t="s">
        <v>49</v>
      </c>
      <c r="F376" s="5" t="s">
        <v>50</v>
      </c>
      <c r="G376" s="5" t="s">
        <v>49</v>
      </c>
      <c r="H376" s="5" t="s">
        <v>401</v>
      </c>
      <c r="K376" s="2" t="str">
        <f>IFERROR(__xludf.DUMMYFUNCTION("GOOGLETRANSLATE(A376,""en"",""ur"")"),"375")</f>
        <v>375</v>
      </c>
      <c r="L376" s="2" t="str">
        <f>IFERROR(__xludf.DUMMYFUNCTION("GOOGLETRANSLATE(B376,""en"",""ur"")"),"سواروں کے چہروں سے ظاہری جذبات کیا ہیں؟")</f>
        <v>سواروں کے چہروں سے ظاہری جذبات کیا ہیں؟</v>
      </c>
      <c r="M376" s="2" t="str">
        <f>IFERROR(__xludf.DUMMYFUNCTION("GOOGLETRANSLATE(C376,""en"",""ur"")"),"پرسکون اور پر سکون")</f>
        <v>پرسکون اور پر سکون</v>
      </c>
      <c r="N376" s="2" t="str">
        <f>IFERROR(__xludf.DUMMYFUNCTION("GOOGLETRANSLATE(D376,""en"",""ur"")"),"خوف زدہ اور بے چین")</f>
        <v>خوف زدہ اور بے چین</v>
      </c>
      <c r="O376" s="2" t="str">
        <f>IFERROR(__xludf.DUMMYFUNCTION("GOOGLETRANSLATE(E376,""en"",""ur"")"),"کشیدہ اور شدید")</f>
        <v>کشیدہ اور شدید</v>
      </c>
      <c r="P376" s="2" t="str">
        <f>IFERROR(__xludf.DUMMYFUNCTION("GOOGLETRANSLATE(F376,""en"",""ur"")"),"خوش اور مسکراتے ہوئے۔")</f>
        <v>خوش اور مسکراتے ہوئے۔</v>
      </c>
      <c r="Q376" s="2" t="s">
        <v>51</v>
      </c>
      <c r="R376" s="2" t="str">
        <f>IFERROR(__xludf.DUMMYFUNCTION("GOOGLETRANSLATE(G376,""en"",""ur"")"),"کشیدہ اور شدید")</f>
        <v>کشیدہ اور شدید</v>
      </c>
      <c r="S376" s="5" t="s">
        <v>401</v>
      </c>
    </row>
    <row r="377" ht="22.5" customHeight="1">
      <c r="A377" s="4">
        <v>376.0</v>
      </c>
      <c r="B377" s="5" t="s">
        <v>88</v>
      </c>
      <c r="C377" s="5" t="s">
        <v>89</v>
      </c>
      <c r="D377" s="5" t="s">
        <v>90</v>
      </c>
      <c r="E377" s="5" t="s">
        <v>91</v>
      </c>
      <c r="F377" s="5" t="s">
        <v>255</v>
      </c>
      <c r="G377" s="5" t="s">
        <v>255</v>
      </c>
      <c r="H377" s="5" t="s">
        <v>401</v>
      </c>
      <c r="K377" s="2" t="str">
        <f>IFERROR(__xludf.DUMMYFUNCTION("GOOGLETRANSLATE(A377,""en"",""ur"")"),"376")</f>
        <v>376</v>
      </c>
      <c r="L377" s="2" t="str">
        <f>IFERROR(__xludf.DUMMYFUNCTION("GOOGLETRANSLATE(B377,""en"",""ur"")"),"زمین کی سب سے نمایاں خصوصیت کیا ہے؟")</f>
        <v>زمین کی سب سے نمایاں خصوصیت کیا ہے؟</v>
      </c>
      <c r="M377" s="2" t="str">
        <f>IFERROR(__xludf.DUMMYFUNCTION("GOOGLETRANSLATE(C377,""en"",""ur"")"),"ایک پکی سطح")</f>
        <v>ایک پکی سطح</v>
      </c>
      <c r="N377" s="2" t="str">
        <f>IFERROR(__xludf.DUMMYFUNCTION("GOOGLETRANSLATE(D377,""en"",""ur"")"),"کیچڑ والا میدان")</f>
        <v>کیچڑ والا میدان</v>
      </c>
      <c r="O377" s="2" t="str">
        <f>IFERROR(__xludf.DUMMYFUNCTION("GOOGLETRANSLATE(E377,""en"",""ur"")"),"ایک گھاس دار سطح")</f>
        <v>ایک گھاس دار سطح</v>
      </c>
      <c r="P377" s="2" t="str">
        <f>IFERROR(__xludf.DUMMYFUNCTION("GOOGLETRANSLATE(F377,""en"",""ur"")"),"ریتلی یا گندگی کی سطح")</f>
        <v>ریتلی یا گندگی کی سطح</v>
      </c>
      <c r="Q377" s="2" t="s">
        <v>256</v>
      </c>
      <c r="R377" s="2" t="str">
        <f>IFERROR(__xludf.DUMMYFUNCTION("GOOGLETRANSLATE(G377,""en"",""ur"")"),"ریتلی یا گندگی کی سطح")</f>
        <v>ریتلی یا گندگی کی سطح</v>
      </c>
      <c r="S377" s="5" t="s">
        <v>401</v>
      </c>
    </row>
    <row r="378" ht="22.5" customHeight="1">
      <c r="A378" s="4">
        <v>377.0</v>
      </c>
      <c r="B378" s="5" t="s">
        <v>257</v>
      </c>
      <c r="C378" s="5" t="s">
        <v>95</v>
      </c>
      <c r="D378" s="5" t="s">
        <v>96</v>
      </c>
      <c r="E378" s="5" t="s">
        <v>97</v>
      </c>
      <c r="F378" s="5" t="s">
        <v>258</v>
      </c>
      <c r="G378" s="5" t="s">
        <v>97</v>
      </c>
      <c r="H378" s="5" t="s">
        <v>401</v>
      </c>
      <c r="K378" s="2" t="str">
        <f>IFERROR(__xludf.DUMMYFUNCTION("GOOGLETRANSLATE(A378,""en"",""ur"")"),"377")</f>
        <v>377</v>
      </c>
      <c r="L378" s="2" t="str">
        <f>IFERROR(__xludf.DUMMYFUNCTION("GOOGLETRANSLATE(B378,""en"",""ur"")"),"کھیلے جانے والے کھیل کا نام کیا ہے؟")</f>
        <v>کھیلے جانے والے کھیل کا نام کیا ہے؟</v>
      </c>
      <c r="M378" s="2" t="str">
        <f>IFERROR(__xludf.DUMMYFUNCTION("GOOGLETRANSLATE(C378,""en"",""ur"")"),"پولو")</f>
        <v>پولو</v>
      </c>
      <c r="N378" s="2" t="str">
        <f>IFERROR(__xludf.DUMMYFUNCTION("GOOGLETRANSLATE(D378,""en"",""ur"")"),"گھوڑوں کی دوڑ")</f>
        <v>گھوڑوں کی دوڑ</v>
      </c>
      <c r="O378" s="2" t="str">
        <f>IFERROR(__xludf.DUMMYFUNCTION("GOOGLETRANSLATE(E378,""en"",""ur"")"),"بزکشی۔")</f>
        <v>بزکشی۔</v>
      </c>
      <c r="P378" s="2" t="str">
        <f>IFERROR(__xludf.DUMMYFUNCTION("GOOGLETRANSLATE(F378,""en"",""ur"")"),"گھڑ سواری کے کھیل")</f>
        <v>گھڑ سواری کے کھیل</v>
      </c>
      <c r="Q378" s="2" t="s">
        <v>259</v>
      </c>
      <c r="R378" s="2" t="str">
        <f>IFERROR(__xludf.DUMMYFUNCTION("GOOGLETRANSLATE(G378,""en"",""ur"")"),"بزکشی۔")</f>
        <v>بزکشی۔</v>
      </c>
      <c r="S378" s="5" t="s">
        <v>401</v>
      </c>
    </row>
    <row r="379" ht="22.5" customHeight="1">
      <c r="A379" s="4">
        <v>378.0</v>
      </c>
      <c r="B379" s="5" t="s">
        <v>260</v>
      </c>
      <c r="C379" s="5" t="s">
        <v>261</v>
      </c>
      <c r="D379" s="5" t="s">
        <v>262</v>
      </c>
      <c r="E379" s="5" t="s">
        <v>263</v>
      </c>
      <c r="F379" s="5" t="s">
        <v>264</v>
      </c>
      <c r="G379" s="5" t="s">
        <v>263</v>
      </c>
      <c r="H379" s="5" t="s">
        <v>401</v>
      </c>
      <c r="K379" s="2" t="str">
        <f>IFERROR(__xludf.DUMMYFUNCTION("GOOGLETRANSLATE(A379,""en"",""ur"")"),"378")</f>
        <v>378</v>
      </c>
      <c r="L379" s="2" t="str">
        <f>IFERROR(__xludf.DUMMYFUNCTION("GOOGLETRANSLATE(B379,""en"",""ur"")"),"تصویر میں ایکشن ایک ایسا انداز تجویز کرتا ہے جو اس بات پر زور دیتا ہے...")</f>
        <v>تصویر میں ایکشن ایک ایسا انداز تجویز کرتا ہے جو اس بات پر زور دیتا ہے...</v>
      </c>
      <c r="M379" s="2" t="str">
        <f>IFERROR(__xludf.DUMMYFUNCTION("GOOGLETRANSLATE(C379,""en"",""ur"")"),"روانی اور قلابازیاں")</f>
        <v>روانی اور قلابازیاں</v>
      </c>
      <c r="N379" s="2" t="str">
        <f>IFERROR(__xludf.DUMMYFUNCTION("GOOGLETRANSLATE(D379,""en"",""ur"")"),"زمینی لڑائی اور گرفت")</f>
        <v>زمینی لڑائی اور گرفت</v>
      </c>
      <c r="O379" s="2" t="str">
        <f>IFERROR(__xludf.DUMMYFUNCTION("GOOGLETRANSLATE(E379,""en"",""ur"")"),"وحشیانہ قوت اور گھڑ سواری۔")</f>
        <v>وحشیانہ قوت اور گھڑ سواری۔</v>
      </c>
      <c r="P379" s="2" t="str">
        <f>IFERROR(__xludf.DUMMYFUNCTION("GOOGLETRANSLATE(F379,""en"",""ur"")"),"سادہ، لکیری حرکات")</f>
        <v>سادہ، لکیری حرکات</v>
      </c>
      <c r="Q379" s="2" t="s">
        <v>265</v>
      </c>
      <c r="R379" s="2" t="str">
        <f>IFERROR(__xludf.DUMMYFUNCTION("GOOGLETRANSLATE(G379,""en"",""ur"")"),"وحشیانہ قوت اور گھڑ سواری۔")</f>
        <v>وحشیانہ قوت اور گھڑ سواری۔</v>
      </c>
      <c r="S379" s="5" t="s">
        <v>401</v>
      </c>
    </row>
    <row r="380" ht="22.5" customHeight="1">
      <c r="A380" s="4">
        <v>379.0</v>
      </c>
      <c r="B380" s="5" t="s">
        <v>266</v>
      </c>
      <c r="C380" s="5" t="s">
        <v>59</v>
      </c>
      <c r="D380" s="5" t="s">
        <v>267</v>
      </c>
      <c r="E380" s="5" t="s">
        <v>61</v>
      </c>
      <c r="F380" s="5" t="s">
        <v>268</v>
      </c>
      <c r="G380" s="5" t="s">
        <v>267</v>
      </c>
      <c r="H380" s="5" t="s">
        <v>401</v>
      </c>
      <c r="K380" s="2" t="str">
        <f>IFERROR(__xludf.DUMMYFUNCTION("GOOGLETRANSLATE(A380,""en"",""ur"")"),"379")</f>
        <v>379</v>
      </c>
      <c r="L380" s="2" t="str">
        <f>IFERROR(__xludf.DUMMYFUNCTION("GOOGLETRANSLATE(B380,""en"",""ur"")"),"گھوڑوں کے بارے میں ایک قابل ذکر تفصیل کیا ہے؟")</f>
        <v>گھوڑوں کے بارے میں ایک قابل ذکر تفصیل کیا ہے؟</v>
      </c>
      <c r="M380" s="2" t="str">
        <f>IFERROR(__xludf.DUMMYFUNCTION("GOOGLETRANSLATE(C380,""en"",""ur"")"),"وہ سب ایک ہی رنگ کے ہیں۔")</f>
        <v>وہ سب ایک ہی رنگ کے ہیں۔</v>
      </c>
      <c r="N380" s="2" t="str">
        <f>IFERROR(__xludf.DUMMYFUNCTION("GOOGLETRANSLATE(D380,""en"",""ur"")"),"وہ رنگوں اور نسلوں کا مرکب ہیں۔")</f>
        <v>وہ رنگوں اور نسلوں کا مرکب ہیں۔</v>
      </c>
      <c r="O380" s="2" t="str">
        <f>IFERROR(__xludf.DUMMYFUNCTION("GOOGLETRANSLATE(E380,""en"",""ur"")"),"وہ سب وسیع نمونوں کے ساتھ زین پہنے ہوئے ہیں۔")</f>
        <v>وہ سب وسیع نمونوں کے ساتھ زین پہنے ہوئے ہیں۔</v>
      </c>
      <c r="P380" s="2" t="str">
        <f>IFERROR(__xludf.DUMMYFUNCTION("GOOGLETRANSLATE(F380,""en"",""ur"")"),"وہ سب خاموش کھڑے ہیں۔")</f>
        <v>وہ سب خاموش کھڑے ہیں۔</v>
      </c>
      <c r="Q380" s="2" t="s">
        <v>269</v>
      </c>
      <c r="R380" s="2" t="str">
        <f>IFERROR(__xludf.DUMMYFUNCTION("GOOGLETRANSLATE(G380,""en"",""ur"")"),"وہ رنگوں اور نسلوں کا مرکب ہیں۔")</f>
        <v>وہ رنگوں اور نسلوں کا مرکب ہیں۔</v>
      </c>
      <c r="S380" s="5" t="s">
        <v>401</v>
      </c>
    </row>
    <row r="381" ht="22.5" customHeight="1">
      <c r="A381" s="4">
        <v>380.0</v>
      </c>
      <c r="B381" s="5" t="s">
        <v>270</v>
      </c>
      <c r="C381" s="5" t="s">
        <v>271</v>
      </c>
      <c r="D381" s="5" t="s">
        <v>272</v>
      </c>
      <c r="E381" s="5" t="s">
        <v>273</v>
      </c>
      <c r="F381" s="5" t="s">
        <v>274</v>
      </c>
      <c r="G381" s="5" t="s">
        <v>274</v>
      </c>
      <c r="H381" s="5" t="s">
        <v>401</v>
      </c>
      <c r="K381" s="2" t="str">
        <f>IFERROR(__xludf.DUMMYFUNCTION("GOOGLETRANSLATE(A381,""en"",""ur"")"),"380")</f>
        <v>380</v>
      </c>
      <c r="L381" s="2" t="str">
        <f>IFERROR(__xludf.DUMMYFUNCTION("GOOGLETRANSLATE(B381,""en"",""ur"")"),"مرکز میں سوار کے بارے میں ایک قابل ذکر تفصیل کیا ہے؟")</f>
        <v>مرکز میں سوار کے بارے میں ایک قابل ذکر تفصیل کیا ہے؟</v>
      </c>
      <c r="M381" s="2" t="str">
        <f>IFERROR(__xludf.DUMMYFUNCTION("GOOGLETRANSLATE(C381,""en"",""ur"")"),"وہ اپنے گھوڑے سے گر رہا ہے۔")</f>
        <v>وہ اپنے گھوڑے سے گر رہا ہے۔</v>
      </c>
      <c r="N381" s="2" t="str">
        <f>IFERROR(__xludf.DUMMYFUNCTION("GOOGLETRANSLATE(D381,""en"",""ur"")"),"اس نے بینر اٹھا رکھا ہے۔")</f>
        <v>اس نے بینر اٹھا رکھا ہے۔</v>
      </c>
      <c r="O381" s="2" t="str">
        <f>IFERROR(__xludf.DUMMYFUNCTION("GOOGLETRANSLATE(E381,""en"",""ur"")"),"اس نے رسی پکڑی ہوئی ہے۔")</f>
        <v>اس نے رسی پکڑی ہوئی ہے۔</v>
      </c>
      <c r="P381" s="2" t="str">
        <f>IFERROR(__xludf.DUMMYFUNCTION("GOOGLETRANSLATE(F381,""en"",""ur"")"),"اس نے چھڑی پکڑی ہوئی ہے۔")</f>
        <v>اس نے چھڑی پکڑی ہوئی ہے۔</v>
      </c>
      <c r="Q381" s="2" t="s">
        <v>275</v>
      </c>
      <c r="R381" s="2" t="str">
        <f>IFERROR(__xludf.DUMMYFUNCTION("GOOGLETRANSLATE(G381,""en"",""ur"")"),"اس نے چھڑی پکڑی ہوئی ہے۔")</f>
        <v>اس نے چھڑی پکڑی ہوئی ہے۔</v>
      </c>
      <c r="S381" s="5" t="s">
        <v>401</v>
      </c>
    </row>
    <row r="382" ht="22.5" customHeight="1">
      <c r="A382" s="4">
        <v>381.0</v>
      </c>
      <c r="B382" s="5" t="s">
        <v>402</v>
      </c>
      <c r="C382" s="5" t="s">
        <v>103</v>
      </c>
      <c r="D382" s="5" t="s">
        <v>71</v>
      </c>
      <c r="E382" s="5" t="s">
        <v>72</v>
      </c>
      <c r="F382" s="5" t="s">
        <v>73</v>
      </c>
      <c r="G382" s="5" t="s">
        <v>71</v>
      </c>
      <c r="H382" s="5" t="s">
        <v>403</v>
      </c>
      <c r="K382" s="2" t="str">
        <f>IFERROR(__xludf.DUMMYFUNCTION("GOOGLETRANSLATE(A382,""en"",""ur"")"),"381")</f>
        <v>381</v>
      </c>
      <c r="L382" s="2" t="str">
        <f>IFERROR(__xludf.DUMMYFUNCTION("GOOGLETRANSLATE(B382,""en"",""ur"")"),"buzkashi_93 میں دکھائی جانے والی اہم کارروائی کیا ہے؟")</f>
        <v>buzkashi_93 میں دکھائی جانے والی اہم کارروائی کیا ہے؟</v>
      </c>
      <c r="M382" s="2" t="str">
        <f>IFERROR(__xludf.DUMMYFUNCTION("GOOGLETRANSLATE(C382,""en"",""ur"")"),"آرام سے گھوڑے کی سواری۔")</f>
        <v>آرام سے گھوڑے کی سواری۔</v>
      </c>
      <c r="N382" s="2" t="str">
        <f>IFERROR(__xludf.DUMMYFUNCTION("GOOGLETRANSLATE(D382,""en"",""ur"")"),"سواروں کا ایک گروپ جو مرکزی چیز کے لیے مقابلہ کر رہا ہے۔")</f>
        <v>سواروں کا ایک گروپ جو مرکزی چیز کے لیے مقابلہ کر رہا ہے۔</v>
      </c>
      <c r="O382" s="2" t="str">
        <f>IFERROR(__xludf.DUMMYFUNCTION("GOOGLETRANSLATE(E382,""en"",""ur"")"),"گھوڑوں کی پریڈ")</f>
        <v>گھوڑوں کی پریڈ</v>
      </c>
      <c r="P382" s="2" t="str">
        <f>IFERROR(__xludf.DUMMYFUNCTION("GOOGLETRANSLATE(F382,""en"",""ur"")"),"گھوڑوں کی دوڑ")</f>
        <v>گھوڑوں کی دوڑ</v>
      </c>
      <c r="Q382" s="2" t="s">
        <v>278</v>
      </c>
      <c r="R382" s="2" t="str">
        <f>IFERROR(__xludf.DUMMYFUNCTION("GOOGLETRANSLATE(G382,""en"",""ur"")"),"سواروں کا ایک گروپ جو مرکزی چیز کے لیے مقابلہ کر رہا ہے۔")</f>
        <v>سواروں کا ایک گروپ جو مرکزی چیز کے لیے مقابلہ کر رہا ہے۔</v>
      </c>
      <c r="S382" s="5" t="s">
        <v>403</v>
      </c>
    </row>
    <row r="383" ht="22.5" customHeight="1">
      <c r="A383" s="4">
        <v>382.0</v>
      </c>
      <c r="B383" s="5" t="s">
        <v>348</v>
      </c>
      <c r="C383" s="5" t="s">
        <v>284</v>
      </c>
      <c r="D383" s="5" t="s">
        <v>285</v>
      </c>
      <c r="E383" s="5" t="s">
        <v>286</v>
      </c>
      <c r="F383" s="5" t="s">
        <v>287</v>
      </c>
      <c r="G383" s="5" t="s">
        <v>286</v>
      </c>
      <c r="H383" s="5" t="s">
        <v>403</v>
      </c>
      <c r="K383" s="2" t="str">
        <f>IFERROR(__xludf.DUMMYFUNCTION("GOOGLETRANSLATE(A383,""en"",""ur"")"),"382")</f>
        <v>382</v>
      </c>
      <c r="L383" s="2" t="str">
        <f>IFERROR(__xludf.DUMMYFUNCTION("GOOGLETRANSLATE(B383,""en"",""ur"")"),"سوار جس چیز کا مقابلہ کر رہے ہیں اس کے بارے میں ایک قابل ذکر تفصیل کیا ہے؟")</f>
        <v>سوار جس چیز کا مقابلہ کر رہے ہیں اس کے بارے میں ایک قابل ذکر تفصیل کیا ہے؟</v>
      </c>
      <c r="M383" s="2" t="str">
        <f>IFERROR(__xludf.DUMMYFUNCTION("GOOGLETRANSLATE(C383,""en"",""ur"")"),"یہ ایک گیند ہے۔")</f>
        <v>یہ ایک گیند ہے۔</v>
      </c>
      <c r="N383" s="2" t="str">
        <f>IFERROR(__xludf.DUMMYFUNCTION("GOOGLETRANSLATE(D383,""en"",""ur"")"),"یہ ایک جھنڈا ہے۔")</f>
        <v>یہ ایک جھنڈا ہے۔</v>
      </c>
      <c r="O383" s="2" t="str">
        <f>IFERROR(__xludf.DUMMYFUNCTION("GOOGLETRANSLATE(E383,""en"",""ur"")"),"یہ ایک بکری کی لاش ہے۔")</f>
        <v>یہ ایک بکری کی لاش ہے۔</v>
      </c>
      <c r="P383" s="2" t="str">
        <f>IFERROR(__xludf.DUMMYFUNCTION("GOOGLETRANSLATE(F383,""en"",""ur"")"),"یہ ایک رسی ہے۔")</f>
        <v>یہ ایک رسی ہے۔</v>
      </c>
      <c r="Q383" s="2" t="s">
        <v>288</v>
      </c>
      <c r="R383" s="2" t="str">
        <f>IFERROR(__xludf.DUMMYFUNCTION("GOOGLETRANSLATE(G383,""en"",""ur"")"),"یہ ایک بکری کی لاش ہے۔")</f>
        <v>یہ ایک بکری کی لاش ہے۔</v>
      </c>
      <c r="S383" s="5" t="s">
        <v>403</v>
      </c>
    </row>
    <row r="384" ht="22.5" customHeight="1">
      <c r="A384" s="4">
        <v>383.0</v>
      </c>
      <c r="B384" s="5" t="s">
        <v>242</v>
      </c>
      <c r="C384" s="5" t="s">
        <v>243</v>
      </c>
      <c r="D384" s="5" t="s">
        <v>292</v>
      </c>
      <c r="E384" s="5" t="s">
        <v>245</v>
      </c>
      <c r="F384" s="5" t="s">
        <v>246</v>
      </c>
      <c r="G384" s="5" t="s">
        <v>292</v>
      </c>
      <c r="H384" s="5" t="s">
        <v>403</v>
      </c>
      <c r="K384" s="2" t="str">
        <f>IFERROR(__xludf.DUMMYFUNCTION("GOOGLETRANSLATE(A384,""en"",""ur"")"),"383")</f>
        <v>383</v>
      </c>
      <c r="L384" s="2" t="str">
        <f>IFERROR(__xludf.DUMMYFUNCTION("GOOGLETRANSLATE(B384,""en"",""ur"")"),"سواروں کے لباس کے بارے میں واضح تفصیل کیا ہے؟")</f>
        <v>سواروں کے لباس کے بارے میں واضح تفصیل کیا ہے؟</v>
      </c>
      <c r="M384" s="2" t="str">
        <f>IFERROR(__xludf.DUMMYFUNCTION("GOOGLETRANSLATE(C384,""en"",""ur"")"),"وہ جدید کھیلوں کی وردی پہنے ہوئے ہیں۔")</f>
        <v>وہ جدید کھیلوں کی وردی پہنے ہوئے ہیں۔</v>
      </c>
      <c r="N384" s="2" t="str">
        <f>IFERROR(__xludf.DUMMYFUNCTION("GOOGLETRANSLATE(D384,""en"",""ur"")"),"وہ روایتی ٹونکس اور سر کے لباس پہنے ہوئے ہیں۔")</f>
        <v>وہ روایتی ٹونکس اور سر کے لباس پہنے ہوئے ہیں۔</v>
      </c>
      <c r="O384" s="2" t="str">
        <f>IFERROR(__xludf.DUMMYFUNCTION("GOOGLETRANSLATE(E384,""en"",""ur"")"),"وہ رسمی سوٹ پہنے ہوئے ہیں۔")</f>
        <v>وہ رسمی سوٹ پہنے ہوئے ہیں۔</v>
      </c>
      <c r="P384" s="2" t="str">
        <f>IFERROR(__xludf.DUMMYFUNCTION("GOOGLETRANSLATE(F384,""en"",""ur"")"),"انہوں نے کوئی لباس نہیں پہنا ہوا ہے۔")</f>
        <v>انہوں نے کوئی لباس نہیں پہنا ہوا ہے۔</v>
      </c>
      <c r="Q384" s="2" t="s">
        <v>293</v>
      </c>
      <c r="R384" s="2" t="str">
        <f>IFERROR(__xludf.DUMMYFUNCTION("GOOGLETRANSLATE(G384,""en"",""ur"")"),"وہ روایتی ٹونکس اور سر کے لباس پہنے ہوئے ہیں۔")</f>
        <v>وہ روایتی ٹونکس اور سر کے لباس پہنے ہوئے ہیں۔</v>
      </c>
      <c r="S384" s="5" t="s">
        <v>403</v>
      </c>
    </row>
    <row r="385" ht="22.5" customHeight="1">
      <c r="A385" s="4">
        <v>384.0</v>
      </c>
      <c r="B385" s="5" t="s">
        <v>248</v>
      </c>
      <c r="C385" s="5" t="s">
        <v>249</v>
      </c>
      <c r="D385" s="5" t="s">
        <v>250</v>
      </c>
      <c r="E385" s="5" t="s">
        <v>251</v>
      </c>
      <c r="F385" s="5" t="s">
        <v>252</v>
      </c>
      <c r="G385" s="5" t="s">
        <v>250</v>
      </c>
      <c r="H385" s="5" t="s">
        <v>403</v>
      </c>
      <c r="K385" s="2" t="str">
        <f>IFERROR(__xludf.DUMMYFUNCTION("GOOGLETRANSLATE(A385,""en"",""ur"")"),"384")</f>
        <v>384</v>
      </c>
      <c r="L385" s="2" t="str">
        <f>IFERROR(__xludf.DUMMYFUNCTION("GOOGLETRANSLATE(B385,""en"",""ur"")"),"سواروں کی ظاہری باڈی پوزیشن کیا ہے؟")</f>
        <v>سواروں کی ظاہری باڈی پوزیشن کیا ہے؟</v>
      </c>
      <c r="M385" s="2" t="str">
        <f>IFERROR(__xludf.DUMMYFUNCTION("GOOGLETRANSLATE(C385,""en"",""ur"")"),"وہ سیدھے کھڑے ہیں۔")</f>
        <v>وہ سیدھے کھڑے ہیں۔</v>
      </c>
      <c r="N385" s="2" t="str">
        <f>IFERROR(__xludf.DUMMYFUNCTION("GOOGLETRANSLATE(D385,""en"",""ur"")"),"وہ جھک رہے ہیں اور کسی چیز تک پہنچ رہے ہیں۔")</f>
        <v>وہ جھک رہے ہیں اور کسی چیز تک پہنچ رہے ہیں۔</v>
      </c>
      <c r="O385" s="2" t="str">
        <f>IFERROR(__xludf.DUMMYFUNCTION("GOOGLETRANSLATE(E385,""en"",""ur"")"),"وہ گھوڑوں کی پیٹھ پر لیٹے ہوئے ہیں۔")</f>
        <v>وہ گھوڑوں کی پیٹھ پر لیٹے ہوئے ہیں۔</v>
      </c>
      <c r="P385" s="2" t="str">
        <f>IFERROR(__xludf.DUMMYFUNCTION("GOOGLETRANSLATE(F385,""en"",""ur"")"),"وہ آرام سے بیٹھے ہیں۔")</f>
        <v>وہ آرام سے بیٹھے ہیں۔</v>
      </c>
      <c r="Q385" s="2" t="s">
        <v>253</v>
      </c>
      <c r="R385" s="2" t="str">
        <f>IFERROR(__xludf.DUMMYFUNCTION("GOOGLETRANSLATE(G385,""en"",""ur"")"),"وہ جھک رہے ہیں اور کسی چیز تک پہنچ رہے ہیں۔")</f>
        <v>وہ جھک رہے ہیں اور کسی چیز تک پہنچ رہے ہیں۔</v>
      </c>
      <c r="S385" s="5" t="s">
        <v>403</v>
      </c>
    </row>
    <row r="386" ht="22.5" customHeight="1">
      <c r="A386" s="4">
        <v>385.0</v>
      </c>
      <c r="B386" s="5" t="s">
        <v>254</v>
      </c>
      <c r="C386" s="5" t="s">
        <v>47</v>
      </c>
      <c r="D386" s="5" t="s">
        <v>48</v>
      </c>
      <c r="E386" s="5" t="s">
        <v>49</v>
      </c>
      <c r="F386" s="5" t="s">
        <v>50</v>
      </c>
      <c r="G386" s="5" t="s">
        <v>49</v>
      </c>
      <c r="H386" s="5" t="s">
        <v>403</v>
      </c>
      <c r="K386" s="2" t="str">
        <f>IFERROR(__xludf.DUMMYFUNCTION("GOOGLETRANSLATE(A386,""en"",""ur"")"),"385")</f>
        <v>385</v>
      </c>
      <c r="L386" s="2" t="str">
        <f>IFERROR(__xludf.DUMMYFUNCTION("GOOGLETRANSLATE(B386,""en"",""ur"")"),"سواروں کے چہروں سے ظاہری جذبات کیا ہیں؟")</f>
        <v>سواروں کے چہروں سے ظاہری جذبات کیا ہیں؟</v>
      </c>
      <c r="M386" s="2" t="str">
        <f>IFERROR(__xludf.DUMMYFUNCTION("GOOGLETRANSLATE(C386,""en"",""ur"")"),"پرسکون اور پر سکون")</f>
        <v>پرسکون اور پر سکون</v>
      </c>
      <c r="N386" s="2" t="str">
        <f>IFERROR(__xludf.DUMMYFUNCTION("GOOGLETRANSLATE(D386,""en"",""ur"")"),"خوف زدہ اور بے چین")</f>
        <v>خوف زدہ اور بے چین</v>
      </c>
      <c r="O386" s="2" t="str">
        <f>IFERROR(__xludf.DUMMYFUNCTION("GOOGLETRANSLATE(E386,""en"",""ur"")"),"کشیدہ اور شدید")</f>
        <v>کشیدہ اور شدید</v>
      </c>
      <c r="P386" s="2" t="str">
        <f>IFERROR(__xludf.DUMMYFUNCTION("GOOGLETRANSLATE(F386,""en"",""ur"")"),"خوش اور مسکراتے ہوئے۔")</f>
        <v>خوش اور مسکراتے ہوئے۔</v>
      </c>
      <c r="Q386" s="2" t="s">
        <v>51</v>
      </c>
      <c r="R386" s="2" t="str">
        <f>IFERROR(__xludf.DUMMYFUNCTION("GOOGLETRANSLATE(G386,""en"",""ur"")"),"کشیدہ اور شدید")</f>
        <v>کشیدہ اور شدید</v>
      </c>
      <c r="S386" s="5" t="s">
        <v>403</v>
      </c>
    </row>
    <row r="387" ht="22.5" customHeight="1">
      <c r="A387" s="4">
        <v>386.0</v>
      </c>
      <c r="B387" s="5" t="s">
        <v>88</v>
      </c>
      <c r="C387" s="5" t="s">
        <v>89</v>
      </c>
      <c r="D387" s="5" t="s">
        <v>90</v>
      </c>
      <c r="E387" s="5" t="s">
        <v>91</v>
      </c>
      <c r="F387" s="5" t="s">
        <v>255</v>
      </c>
      <c r="G387" s="5" t="s">
        <v>255</v>
      </c>
      <c r="H387" s="5" t="s">
        <v>403</v>
      </c>
      <c r="K387" s="2" t="str">
        <f>IFERROR(__xludf.DUMMYFUNCTION("GOOGLETRANSLATE(A387,""en"",""ur"")"),"386")</f>
        <v>386</v>
      </c>
      <c r="L387" s="2" t="str">
        <f>IFERROR(__xludf.DUMMYFUNCTION("GOOGLETRANSLATE(B387,""en"",""ur"")"),"زمین کی سب سے نمایاں خصوصیت کیا ہے؟")</f>
        <v>زمین کی سب سے نمایاں خصوصیت کیا ہے؟</v>
      </c>
      <c r="M387" s="2" t="str">
        <f>IFERROR(__xludf.DUMMYFUNCTION("GOOGLETRANSLATE(C387,""en"",""ur"")"),"ایک پکی سطح")</f>
        <v>ایک پکی سطح</v>
      </c>
      <c r="N387" s="2" t="str">
        <f>IFERROR(__xludf.DUMMYFUNCTION("GOOGLETRANSLATE(D387,""en"",""ur"")"),"کیچڑ والا میدان")</f>
        <v>کیچڑ والا میدان</v>
      </c>
      <c r="O387" s="2" t="str">
        <f>IFERROR(__xludf.DUMMYFUNCTION("GOOGLETRANSLATE(E387,""en"",""ur"")"),"ایک گھاس دار سطح")</f>
        <v>ایک گھاس دار سطح</v>
      </c>
      <c r="P387" s="2" t="str">
        <f>IFERROR(__xludf.DUMMYFUNCTION("GOOGLETRANSLATE(F387,""en"",""ur"")"),"ریتلی یا گندگی کی سطح")</f>
        <v>ریتلی یا گندگی کی سطح</v>
      </c>
      <c r="Q387" s="2" t="s">
        <v>256</v>
      </c>
      <c r="R387" s="2" t="str">
        <f>IFERROR(__xludf.DUMMYFUNCTION("GOOGLETRANSLATE(G387,""en"",""ur"")"),"ریتلی یا گندگی کی سطح")</f>
        <v>ریتلی یا گندگی کی سطح</v>
      </c>
      <c r="S387" s="5" t="s">
        <v>403</v>
      </c>
    </row>
    <row r="388" ht="22.5" customHeight="1">
      <c r="A388" s="4">
        <v>387.0</v>
      </c>
      <c r="B388" s="5" t="s">
        <v>257</v>
      </c>
      <c r="C388" s="5" t="s">
        <v>95</v>
      </c>
      <c r="D388" s="5" t="s">
        <v>96</v>
      </c>
      <c r="E388" s="5" t="s">
        <v>97</v>
      </c>
      <c r="F388" s="5" t="s">
        <v>258</v>
      </c>
      <c r="G388" s="5" t="s">
        <v>97</v>
      </c>
      <c r="H388" s="5" t="s">
        <v>403</v>
      </c>
      <c r="K388" s="2" t="str">
        <f>IFERROR(__xludf.DUMMYFUNCTION("GOOGLETRANSLATE(A388,""en"",""ur"")"),"387")</f>
        <v>387</v>
      </c>
      <c r="L388" s="2" t="str">
        <f>IFERROR(__xludf.DUMMYFUNCTION("GOOGLETRANSLATE(B388,""en"",""ur"")"),"کھیلے جانے والے کھیل کا نام کیا ہے؟")</f>
        <v>کھیلے جانے والے کھیل کا نام کیا ہے؟</v>
      </c>
      <c r="M388" s="2" t="str">
        <f>IFERROR(__xludf.DUMMYFUNCTION("GOOGLETRANSLATE(C388,""en"",""ur"")"),"پولو")</f>
        <v>پولو</v>
      </c>
      <c r="N388" s="2" t="str">
        <f>IFERROR(__xludf.DUMMYFUNCTION("GOOGLETRANSLATE(D388,""en"",""ur"")"),"گھوڑوں کی دوڑ")</f>
        <v>گھوڑوں کی دوڑ</v>
      </c>
      <c r="O388" s="2" t="str">
        <f>IFERROR(__xludf.DUMMYFUNCTION("GOOGLETRANSLATE(E388,""en"",""ur"")"),"بزکشی۔")</f>
        <v>بزکشی۔</v>
      </c>
      <c r="P388" s="2" t="str">
        <f>IFERROR(__xludf.DUMMYFUNCTION("GOOGLETRANSLATE(F388,""en"",""ur"")"),"گھڑ سواری کے کھیل")</f>
        <v>گھڑ سواری کے کھیل</v>
      </c>
      <c r="Q388" s="2" t="s">
        <v>259</v>
      </c>
      <c r="R388" s="2" t="str">
        <f>IFERROR(__xludf.DUMMYFUNCTION("GOOGLETRANSLATE(G388,""en"",""ur"")"),"بزکشی۔")</f>
        <v>بزکشی۔</v>
      </c>
      <c r="S388" s="5" t="s">
        <v>403</v>
      </c>
    </row>
    <row r="389" ht="22.5" customHeight="1">
      <c r="A389" s="4">
        <v>388.0</v>
      </c>
      <c r="B389" s="5" t="s">
        <v>260</v>
      </c>
      <c r="C389" s="5" t="s">
        <v>261</v>
      </c>
      <c r="D389" s="5" t="s">
        <v>262</v>
      </c>
      <c r="E389" s="5" t="s">
        <v>263</v>
      </c>
      <c r="F389" s="5" t="s">
        <v>264</v>
      </c>
      <c r="G389" s="5" t="s">
        <v>263</v>
      </c>
      <c r="H389" s="5" t="s">
        <v>403</v>
      </c>
      <c r="K389" s="2" t="str">
        <f>IFERROR(__xludf.DUMMYFUNCTION("GOOGLETRANSLATE(A389,""en"",""ur"")"),"388")</f>
        <v>388</v>
      </c>
      <c r="L389" s="2" t="str">
        <f>IFERROR(__xludf.DUMMYFUNCTION("GOOGLETRANSLATE(B389,""en"",""ur"")"),"تصویر میں ایکشن ایک ایسا انداز تجویز کرتا ہے جو اس بات پر زور دیتا ہے...")</f>
        <v>تصویر میں ایکشن ایک ایسا انداز تجویز کرتا ہے جو اس بات پر زور دیتا ہے...</v>
      </c>
      <c r="M389" s="2" t="str">
        <f>IFERROR(__xludf.DUMMYFUNCTION("GOOGLETRANSLATE(C389,""en"",""ur"")"),"روانی اور قلابازیاں")</f>
        <v>روانی اور قلابازیاں</v>
      </c>
      <c r="N389" s="2" t="str">
        <f>IFERROR(__xludf.DUMMYFUNCTION("GOOGLETRANSLATE(D389,""en"",""ur"")"),"زمینی لڑائی اور گرفت")</f>
        <v>زمینی لڑائی اور گرفت</v>
      </c>
      <c r="O389" s="2" t="str">
        <f>IFERROR(__xludf.DUMMYFUNCTION("GOOGLETRANSLATE(E389,""en"",""ur"")"),"وحشیانہ قوت اور گھڑ سواری۔")</f>
        <v>وحشیانہ قوت اور گھڑ سواری۔</v>
      </c>
      <c r="P389" s="2" t="str">
        <f>IFERROR(__xludf.DUMMYFUNCTION("GOOGLETRANSLATE(F389,""en"",""ur"")"),"سادہ، لکیری حرکات")</f>
        <v>سادہ، لکیری حرکات</v>
      </c>
      <c r="Q389" s="2" t="s">
        <v>265</v>
      </c>
      <c r="R389" s="2" t="str">
        <f>IFERROR(__xludf.DUMMYFUNCTION("GOOGLETRANSLATE(G389,""en"",""ur"")"),"وحشیانہ قوت اور گھڑ سواری۔")</f>
        <v>وحشیانہ قوت اور گھڑ سواری۔</v>
      </c>
      <c r="S389" s="5" t="s">
        <v>403</v>
      </c>
    </row>
    <row r="390" ht="22.5" customHeight="1">
      <c r="A390" s="4">
        <v>389.0</v>
      </c>
      <c r="B390" s="5" t="s">
        <v>266</v>
      </c>
      <c r="C390" s="5" t="s">
        <v>59</v>
      </c>
      <c r="D390" s="5" t="s">
        <v>267</v>
      </c>
      <c r="E390" s="5" t="s">
        <v>61</v>
      </c>
      <c r="F390" s="5" t="s">
        <v>268</v>
      </c>
      <c r="G390" s="5" t="s">
        <v>267</v>
      </c>
      <c r="H390" s="5" t="s">
        <v>403</v>
      </c>
      <c r="K390" s="2" t="str">
        <f>IFERROR(__xludf.DUMMYFUNCTION("GOOGLETRANSLATE(A390,""en"",""ur"")"),"389")</f>
        <v>389</v>
      </c>
      <c r="L390" s="2" t="str">
        <f>IFERROR(__xludf.DUMMYFUNCTION("GOOGLETRANSLATE(B390,""en"",""ur"")"),"گھوڑوں کے بارے میں ایک قابل ذکر تفصیل کیا ہے؟")</f>
        <v>گھوڑوں کے بارے میں ایک قابل ذکر تفصیل کیا ہے؟</v>
      </c>
      <c r="M390" s="2" t="str">
        <f>IFERROR(__xludf.DUMMYFUNCTION("GOOGLETRANSLATE(C390,""en"",""ur"")"),"وہ سب ایک ہی رنگ کے ہیں۔")</f>
        <v>وہ سب ایک ہی رنگ کے ہیں۔</v>
      </c>
      <c r="N390" s="2" t="str">
        <f>IFERROR(__xludf.DUMMYFUNCTION("GOOGLETRANSLATE(D390,""en"",""ur"")"),"وہ رنگوں اور نسلوں کا مرکب ہیں۔")</f>
        <v>وہ رنگوں اور نسلوں کا مرکب ہیں۔</v>
      </c>
      <c r="O390" s="2" t="str">
        <f>IFERROR(__xludf.DUMMYFUNCTION("GOOGLETRANSLATE(E390,""en"",""ur"")"),"وہ سب وسیع نمونوں کے ساتھ زین پہنے ہوئے ہیں۔")</f>
        <v>وہ سب وسیع نمونوں کے ساتھ زین پہنے ہوئے ہیں۔</v>
      </c>
      <c r="P390" s="2" t="str">
        <f>IFERROR(__xludf.DUMMYFUNCTION("GOOGLETRANSLATE(F390,""en"",""ur"")"),"وہ سب خاموش کھڑے ہیں۔")</f>
        <v>وہ سب خاموش کھڑے ہیں۔</v>
      </c>
      <c r="Q390" s="2" t="s">
        <v>269</v>
      </c>
      <c r="R390" s="2" t="str">
        <f>IFERROR(__xludf.DUMMYFUNCTION("GOOGLETRANSLATE(G390,""en"",""ur"")"),"وہ رنگوں اور نسلوں کا مرکب ہیں۔")</f>
        <v>وہ رنگوں اور نسلوں کا مرکب ہیں۔</v>
      </c>
      <c r="S390" s="5" t="s">
        <v>403</v>
      </c>
    </row>
    <row r="391" ht="22.5" customHeight="1">
      <c r="A391" s="4">
        <v>390.0</v>
      </c>
      <c r="B391" s="5" t="s">
        <v>270</v>
      </c>
      <c r="C391" s="5" t="s">
        <v>271</v>
      </c>
      <c r="D391" s="5" t="s">
        <v>272</v>
      </c>
      <c r="E391" s="5" t="s">
        <v>273</v>
      </c>
      <c r="F391" s="5" t="s">
        <v>274</v>
      </c>
      <c r="G391" s="5" t="s">
        <v>274</v>
      </c>
      <c r="H391" s="5" t="s">
        <v>403</v>
      </c>
      <c r="K391" s="2" t="str">
        <f>IFERROR(__xludf.DUMMYFUNCTION("GOOGLETRANSLATE(A391,""en"",""ur"")"),"390")</f>
        <v>390</v>
      </c>
      <c r="L391" s="2" t="str">
        <f>IFERROR(__xludf.DUMMYFUNCTION("GOOGLETRANSLATE(B391,""en"",""ur"")"),"مرکز میں سوار کے بارے میں ایک قابل ذکر تفصیل کیا ہے؟")</f>
        <v>مرکز میں سوار کے بارے میں ایک قابل ذکر تفصیل کیا ہے؟</v>
      </c>
      <c r="M391" s="2" t="str">
        <f>IFERROR(__xludf.DUMMYFUNCTION("GOOGLETRANSLATE(C391,""en"",""ur"")"),"وہ اپنے گھوڑے سے گر رہا ہے۔")</f>
        <v>وہ اپنے گھوڑے سے گر رہا ہے۔</v>
      </c>
      <c r="N391" s="2" t="str">
        <f>IFERROR(__xludf.DUMMYFUNCTION("GOOGLETRANSLATE(D391,""en"",""ur"")"),"اس نے بینر اٹھا رکھا ہے۔")</f>
        <v>اس نے بینر اٹھا رکھا ہے۔</v>
      </c>
      <c r="O391" s="2" t="str">
        <f>IFERROR(__xludf.DUMMYFUNCTION("GOOGLETRANSLATE(E391,""en"",""ur"")"),"اس نے رسی پکڑی ہوئی ہے۔")</f>
        <v>اس نے رسی پکڑی ہوئی ہے۔</v>
      </c>
      <c r="P391" s="2" t="str">
        <f>IFERROR(__xludf.DUMMYFUNCTION("GOOGLETRANSLATE(F391,""en"",""ur"")"),"اس نے چھڑی پکڑی ہوئی ہے۔")</f>
        <v>اس نے چھڑی پکڑی ہوئی ہے۔</v>
      </c>
      <c r="Q391" s="2" t="s">
        <v>275</v>
      </c>
      <c r="R391" s="2" t="str">
        <f>IFERROR(__xludf.DUMMYFUNCTION("GOOGLETRANSLATE(G391,""en"",""ur"")"),"اس نے چھڑی پکڑی ہوئی ہے۔")</f>
        <v>اس نے چھڑی پکڑی ہوئی ہے۔</v>
      </c>
      <c r="S391" s="5" t="s">
        <v>403</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K1" s="2" t="str">
        <f>IFERROR(__xludf.DUMMYFUNCTION("GOOGLETRANSLATE(A1,""en"",""ur"")"),"سوال نمبر z")</f>
        <v>سوال نمبر z</v>
      </c>
      <c r="L1" s="2" t="str">
        <f>IFERROR(__xludf.DUMMYFUNCTION("GOOGLETRANSLATE(B1,""en"",""ur"")"),"سوال")</f>
        <v>سوال</v>
      </c>
      <c r="M1" s="2" t="str">
        <f>IFERROR(__xludf.DUMMYFUNCTION("GOOGLETRANSLATE(C1,""en"",""ur"")"),"آپشن-1 زیڈ")</f>
        <v>آپشن-1 زیڈ</v>
      </c>
      <c r="N1" s="2" t="str">
        <f>IFERROR(__xludf.DUMMYFUNCTION("GOOGLETRANSLATE(D1,""en"",""ur"")"),"آپشن-2ز")</f>
        <v>آپشن-2ز</v>
      </c>
      <c r="O1" s="2" t="str">
        <f>IFERROR(__xludf.DUMMYFUNCTION("GOOGLETRANSLATE(E1,""en"",""ur"")"),"آپشن-3z")</f>
        <v>آپشن-3z</v>
      </c>
      <c r="P1" s="2" t="str">
        <f>IFERROR(__xludf.DUMMYFUNCTION("GOOGLETRANSLATE(F1,""en"",""ur"")"),"آپشن-4z")</f>
        <v>آپشن-4z</v>
      </c>
      <c r="Q1" s="3" t="s">
        <v>8</v>
      </c>
      <c r="R1" s="2" t="str">
        <f>IFERROR(__xludf.DUMMYFUNCTION("GOOGLETRANSLATE(G1,""en"",""ur"")"),"جواب")</f>
        <v>جواب</v>
      </c>
      <c r="S1" s="3" t="s">
        <v>9</v>
      </c>
    </row>
    <row r="2">
      <c r="A2" s="7">
        <v>1.0</v>
      </c>
      <c r="B2" s="6" t="s">
        <v>404</v>
      </c>
      <c r="C2" s="6" t="s">
        <v>405</v>
      </c>
      <c r="D2" s="6" t="s">
        <v>406</v>
      </c>
      <c r="E2" s="6" t="s">
        <v>407</v>
      </c>
      <c r="F2" s="6" t="s">
        <v>408</v>
      </c>
      <c r="G2" s="6" t="s">
        <v>405</v>
      </c>
      <c r="H2" s="6" t="s">
        <v>409</v>
      </c>
      <c r="K2" s="2" t="str">
        <f>IFERROR(__xludf.DUMMYFUNCTION("GOOGLETRANSLATE(A2,""en"",""ur"")"),"1")</f>
        <v>1</v>
      </c>
      <c r="L2" s="2" t="str">
        <f>IFERROR(__xludf.DUMMYFUNCTION("GOOGLETRANSLATE(B2,""en"",""ur"")"),"گٹکا_1 میں دکھایا گیا اہم عمل کیا ہے؟")</f>
        <v>گٹکا_1 میں دکھایا گیا اہم عمل کیا ہے؟</v>
      </c>
      <c r="M2" s="2" t="str">
        <f>IFERROR(__xludf.DUMMYFUNCTION("GOOGLETRANSLATE(C2,""en"",""ur"")"),"دو آدمی تلواروں سے لڑ رہے ہیں۔")</f>
        <v>دو آدمی تلواروں سے لڑ رہے ہیں۔</v>
      </c>
      <c r="N2" s="2" t="str">
        <f>IFERROR(__xludf.DUMMYFUNCTION("GOOGLETRANSLATE(D2,""en"",""ur"")"),"دو آدمی ناچ رہے ہیں۔")</f>
        <v>دو آدمی ناچ رہے ہیں۔</v>
      </c>
      <c r="O2" s="2" t="str">
        <f>IFERROR(__xludf.DUMMYFUNCTION("GOOGLETRANSLATE(E2,""en"",""ur"")"),"دو آدمی سہارے کے ساتھ پوز دے رہے ہیں۔")</f>
        <v>دو آدمی سہارے کے ساتھ پوز دے رہے ہیں۔</v>
      </c>
      <c r="P2" s="2" t="str">
        <f>IFERROR(__xludf.DUMMYFUNCTION("GOOGLETRANSLATE(F2,""en"",""ur"")"),"دو آدمی کشتی کرتے ہوئے۔")</f>
        <v>دو آدمی کشتی کرتے ہوئے۔</v>
      </c>
      <c r="Q2" s="2" t="str">
        <f t="array" ref="Q2:Q251">TRIM(" (A) " &amp; M2:M251 &amp; " (B) " &amp; N2:N251 &amp; " (C) " &amp; O2:O251 &amp; " (D) " &amp; P2:P251)</f>
        <v>(A) دو آدمی تلواروں سے لڑ رہے ہیں۔ (B) دو آدمی ناچ رہے ہیں۔ (C) دو آدمی سہارے کے ساتھ پوز دے رہے ہیں۔ (D) دو آدمی کشتی کرتے ہوئے۔</v>
      </c>
      <c r="R2" s="2" t="str">
        <f>IFERROR(__xludf.DUMMYFUNCTION("GOOGLETRANSLATE(G2,""en"",""ur"")"),"دو آدمی تلواروں سے لڑ رہے ہیں۔")</f>
        <v>دو آدمی تلواروں سے لڑ رہے ہیں۔</v>
      </c>
      <c r="S2" s="6" t="s">
        <v>409</v>
      </c>
    </row>
    <row r="3">
      <c r="A3" s="7">
        <v>2.0</v>
      </c>
      <c r="B3" s="6" t="s">
        <v>410</v>
      </c>
      <c r="C3" s="6" t="s">
        <v>411</v>
      </c>
      <c r="D3" s="6" t="s">
        <v>412</v>
      </c>
      <c r="E3" s="6" t="s">
        <v>334</v>
      </c>
      <c r="F3" s="6" t="s">
        <v>413</v>
      </c>
      <c r="G3" s="6" t="s">
        <v>412</v>
      </c>
      <c r="H3" s="6" t="s">
        <v>409</v>
      </c>
      <c r="K3" s="2" t="str">
        <f>IFERROR(__xludf.DUMMYFUNCTION("GOOGLETRANSLATE(A3,""en"",""ur"")"),"2")</f>
        <v>2</v>
      </c>
      <c r="L3" s="2" t="str">
        <f>IFERROR(__xludf.DUMMYFUNCTION("GOOGLETRANSLATE(B3,""en"",""ur"")"),"بائیں طرف لڑاکا کے لباس کے بارے میں ایک قابل ذکر تفصیل کیا ہے؟")</f>
        <v>بائیں طرف لڑاکا کے لباس کے بارے میں ایک قابل ذکر تفصیل کیا ہے؟</v>
      </c>
      <c r="M3" s="2" t="str">
        <f>IFERROR(__xludf.DUMMYFUNCTION("GOOGLETRANSLATE(C3,""en"",""ur"")"),"اس نے بکتر کا پورا سوٹ پہن رکھا ہے۔")</f>
        <v>اس نے بکتر کا پورا سوٹ پہن رکھا ہے۔</v>
      </c>
      <c r="N3" s="2" t="str">
        <f>IFERROR(__xludf.DUMMYFUNCTION("GOOGLETRANSLATE(D3,""en"",""ur"")"),"اس نے نارنجی رنگ کی پگڑی کے ساتھ ایک لمبا، سفید لباس پہن رکھا ہے۔")</f>
        <v>اس نے نارنجی رنگ کی پگڑی کے ساتھ ایک لمبا، سفید لباس پہن رکھا ہے۔</v>
      </c>
      <c r="O3" s="2" t="str">
        <f>IFERROR(__xludf.DUMMYFUNCTION("GOOGLETRANSLATE(E3,""en"",""ur"")"),"اس نے شارٹس اور ٹی شرٹ پہن رکھی ہے۔")</f>
        <v>اس نے شارٹس اور ٹی شرٹ پہن رکھی ہے۔</v>
      </c>
      <c r="P3" s="2" t="str">
        <f>IFERROR(__xludf.DUMMYFUNCTION("GOOGLETRANSLATE(F3,""en"",""ur"")"),"اس نے پولیس کی وردی پہن رکھی ہے۔")</f>
        <v>اس نے پولیس کی وردی پہن رکھی ہے۔</v>
      </c>
      <c r="Q3" s="2" t="s">
        <v>414</v>
      </c>
      <c r="R3" s="2" t="str">
        <f>IFERROR(__xludf.DUMMYFUNCTION("GOOGLETRANSLATE(G3,""en"",""ur"")"),"اس نے نارنجی رنگ کی پگڑی کے ساتھ ایک لمبا، سفید لباس پہن رکھا ہے۔")</f>
        <v>اس نے نارنجی رنگ کی پگڑی کے ساتھ ایک لمبا، سفید لباس پہن رکھا ہے۔</v>
      </c>
      <c r="S3" s="6" t="s">
        <v>409</v>
      </c>
    </row>
    <row r="4">
      <c r="A4" s="7">
        <v>3.0</v>
      </c>
      <c r="B4" s="6" t="s">
        <v>415</v>
      </c>
      <c r="C4" s="6" t="s">
        <v>416</v>
      </c>
      <c r="D4" s="6" t="s">
        <v>417</v>
      </c>
      <c r="E4" s="6" t="s">
        <v>418</v>
      </c>
      <c r="F4" s="6" t="s">
        <v>419</v>
      </c>
      <c r="G4" s="6" t="s">
        <v>416</v>
      </c>
      <c r="H4" s="6" t="s">
        <v>409</v>
      </c>
      <c r="K4" s="2" t="str">
        <f>IFERROR(__xludf.DUMMYFUNCTION("GOOGLETRANSLATE(A4,""en"",""ur"")"),"3")</f>
        <v>3</v>
      </c>
      <c r="L4" s="2" t="str">
        <f>IFERROR(__xludf.DUMMYFUNCTION("GOOGLETRANSLATE(B4,""en"",""ur"")"),"جنگجوؤں کے ذریعہ استعمال ہونے والا بنیادی ہتھیار کیا ہے؟")</f>
        <v>جنگجوؤں کے ذریعہ استعمال ہونے والا بنیادی ہتھیار کیا ہے؟</v>
      </c>
      <c r="M4" s="2" t="str">
        <f>IFERROR(__xludf.DUMMYFUNCTION("GOOGLETRANSLATE(C4,""en"",""ur"")"),"ایک چھوٹی تلوار")</f>
        <v>ایک چھوٹی تلوار</v>
      </c>
      <c r="N4" s="2" t="str">
        <f>IFERROR(__xludf.DUMMYFUNCTION("GOOGLETRANSLATE(D4,""en"",""ur"")"),"ایک لمبی چھڑی")</f>
        <v>ایک لمبی چھڑی</v>
      </c>
      <c r="O4" s="2" t="str">
        <f>IFERROR(__xludf.DUMMYFUNCTION("GOOGLETRANSLATE(E4,""en"",""ur"")"),"ایک کمان اور تیر")</f>
        <v>ایک کمان اور تیر</v>
      </c>
      <c r="P4" s="2" t="str">
        <f>IFERROR(__xludf.DUMMYFUNCTION("GOOGLETRANSLATE(F4,""en"",""ur"")"),"ایک ننگی مٹھی")</f>
        <v>ایک ننگی مٹھی</v>
      </c>
      <c r="Q4" s="2" t="s">
        <v>420</v>
      </c>
      <c r="R4" s="2" t="str">
        <f>IFERROR(__xludf.DUMMYFUNCTION("GOOGLETRANSLATE(G4,""en"",""ur"")"),"ایک چھوٹی تلوار")</f>
        <v>ایک چھوٹی تلوار</v>
      </c>
      <c r="S4" s="6" t="s">
        <v>409</v>
      </c>
    </row>
    <row r="5">
      <c r="A5" s="7">
        <v>4.0</v>
      </c>
      <c r="B5" s="6" t="s">
        <v>421</v>
      </c>
      <c r="C5" s="6" t="s">
        <v>422</v>
      </c>
      <c r="D5" s="6" t="s">
        <v>423</v>
      </c>
      <c r="E5" s="6" t="s">
        <v>424</v>
      </c>
      <c r="F5" s="6" t="s">
        <v>425</v>
      </c>
      <c r="G5" s="6" t="s">
        <v>425</v>
      </c>
      <c r="H5" s="6" t="s">
        <v>409</v>
      </c>
      <c r="K5" s="2" t="str">
        <f>IFERROR(__xludf.DUMMYFUNCTION("GOOGLETRANSLATE(A5,""en"",""ur"")"),"4")</f>
        <v>4</v>
      </c>
      <c r="L5" s="2" t="str">
        <f>IFERROR(__xludf.DUMMYFUNCTION("GOOGLETRANSLATE(B5,""en"",""ur"")"),"اس لڑائی کی ترتیب کیا ہے؟")</f>
        <v>اس لڑائی کی ترتیب کیا ہے؟</v>
      </c>
      <c r="M5" s="2" t="str">
        <f>IFERROR(__xludf.DUMMYFUNCTION("GOOGLETRANSLATE(C5,""en"",""ur"")"),"ایک انڈور اسٹیڈیم")</f>
        <v>ایک انڈور اسٹیڈیم</v>
      </c>
      <c r="N5" s="2" t="str">
        <f>IFERROR(__xludf.DUMMYFUNCTION("GOOGLETRANSLATE(D5,""en"",""ur"")"),"ایک دیہی، بیرونی علاقہ")</f>
        <v>ایک دیہی، بیرونی علاقہ</v>
      </c>
      <c r="O5" s="2" t="str">
        <f>IFERROR(__xludf.DUMMYFUNCTION("GOOGLETRANSLATE(E5,""en"",""ur"")"),"شہر کی مصروف گلی")</f>
        <v>شہر کی مصروف گلی</v>
      </c>
      <c r="P5" s="2" t="str">
        <f>IFERROR(__xludf.DUMMYFUNCTION("GOOGLETRANSLATE(F5,""en"",""ur"")"),"گھاس کا میدان")</f>
        <v>گھاس کا میدان</v>
      </c>
      <c r="Q5" s="2" t="s">
        <v>426</v>
      </c>
      <c r="R5" s="2" t="str">
        <f>IFERROR(__xludf.DUMMYFUNCTION("GOOGLETRANSLATE(G5,""en"",""ur"")"),"گھاس کا میدان")</f>
        <v>گھاس کا میدان</v>
      </c>
      <c r="S5" s="6" t="s">
        <v>409</v>
      </c>
    </row>
    <row r="6">
      <c r="A6" s="7">
        <v>5.0</v>
      </c>
      <c r="B6" s="6" t="s">
        <v>427</v>
      </c>
      <c r="C6" s="6" t="s">
        <v>47</v>
      </c>
      <c r="D6" s="6" t="s">
        <v>48</v>
      </c>
      <c r="E6" s="6" t="s">
        <v>49</v>
      </c>
      <c r="F6" s="6" t="s">
        <v>50</v>
      </c>
      <c r="G6" s="6" t="s">
        <v>49</v>
      </c>
      <c r="H6" s="6" t="s">
        <v>409</v>
      </c>
      <c r="K6" s="2" t="str">
        <f>IFERROR(__xludf.DUMMYFUNCTION("GOOGLETRANSLATE(A6,""en"",""ur"")"),"5")</f>
        <v>5</v>
      </c>
      <c r="L6" s="2" t="str">
        <f>IFERROR(__xludf.DUMMYFUNCTION("GOOGLETRANSLATE(B6,""en"",""ur"")"),"جنگجوؤں کے ظاہری جذبات کیا ہیں؟")</f>
        <v>جنگجوؤں کے ظاہری جذبات کیا ہیں؟</v>
      </c>
      <c r="M6" s="2" t="str">
        <f>IFERROR(__xludf.DUMMYFUNCTION("GOOGLETRANSLATE(C6,""en"",""ur"")"),"پرسکون اور پر سکون")</f>
        <v>پرسکون اور پر سکون</v>
      </c>
      <c r="N6" s="2" t="str">
        <f>IFERROR(__xludf.DUMMYFUNCTION("GOOGLETRANSLATE(D6,""en"",""ur"")"),"خوف زدہ اور بے چین")</f>
        <v>خوف زدہ اور بے چین</v>
      </c>
      <c r="O6" s="2" t="str">
        <f>IFERROR(__xludf.DUMMYFUNCTION("GOOGLETRANSLATE(E6,""en"",""ur"")"),"کشیدہ اور شدید")</f>
        <v>کشیدہ اور شدید</v>
      </c>
      <c r="P6" s="2" t="str">
        <f>IFERROR(__xludf.DUMMYFUNCTION("GOOGLETRANSLATE(F6,""en"",""ur"")"),"خوش اور مسکراتے ہوئے۔")</f>
        <v>خوش اور مسکراتے ہوئے۔</v>
      </c>
      <c r="Q6" s="2" t="s">
        <v>51</v>
      </c>
      <c r="R6" s="2" t="str">
        <f>IFERROR(__xludf.DUMMYFUNCTION("GOOGLETRANSLATE(G6,""en"",""ur"")"),"کشیدہ اور شدید")</f>
        <v>کشیدہ اور شدید</v>
      </c>
      <c r="S6" s="6" t="s">
        <v>409</v>
      </c>
    </row>
    <row r="7">
      <c r="A7" s="7">
        <v>6.0</v>
      </c>
      <c r="B7" s="6" t="s">
        <v>428</v>
      </c>
      <c r="C7" s="6" t="s">
        <v>429</v>
      </c>
      <c r="D7" s="6" t="s">
        <v>430</v>
      </c>
      <c r="E7" s="6" t="s">
        <v>431</v>
      </c>
      <c r="F7" s="6" t="s">
        <v>432</v>
      </c>
      <c r="G7" s="6" t="s">
        <v>430</v>
      </c>
      <c r="H7" s="6" t="s">
        <v>409</v>
      </c>
      <c r="K7" s="2" t="str">
        <f>IFERROR(__xludf.DUMMYFUNCTION("GOOGLETRANSLATE(A7,""en"",""ur"")"),"6")</f>
        <v>6</v>
      </c>
      <c r="L7" s="2" t="str">
        <f>IFERROR(__xludf.DUMMYFUNCTION("GOOGLETRANSLATE(B7,""en"",""ur"")"),"جنگجوؤں کی ظاہری باڈی پوزیشن کیا ہے؟")</f>
        <v>جنگجوؤں کی ظاہری باڈی پوزیشن کیا ہے؟</v>
      </c>
      <c r="M7" s="2" t="str">
        <f>IFERROR(__xludf.DUMMYFUNCTION("GOOGLETRANSLATE(C7,""en"",""ur"")"),"سیدھا کھڑا ہونا")</f>
        <v>سیدھا کھڑا ہونا</v>
      </c>
      <c r="N7" s="2" t="str">
        <f>IFERROR(__xludf.DUMMYFUNCTION("GOOGLETRANSLATE(D7,""en"",""ur"")"),"کم، متحرک موقف میں")</f>
        <v>کم، متحرک موقف میں</v>
      </c>
      <c r="O7" s="2" t="str">
        <f>IFERROR(__xludf.DUMMYFUNCTION("GOOGLETRANSLATE(E7,""en"",""ur"")"),"زمین پر لیٹنا")</f>
        <v>زمین پر لیٹنا</v>
      </c>
      <c r="P7" s="2" t="str">
        <f>IFERROR(__xludf.DUMMYFUNCTION("GOOGLETRANSLATE(F7,""en"",""ur"")"),"بیٹھا ہوا")</f>
        <v>بیٹھا ہوا</v>
      </c>
      <c r="Q7" s="2" t="s">
        <v>433</v>
      </c>
      <c r="R7" s="2" t="str">
        <f>IFERROR(__xludf.DUMMYFUNCTION("GOOGLETRANSLATE(G7,""en"",""ur"")"),"کم، متحرک موقف میں")</f>
        <v>کم، متحرک موقف میں</v>
      </c>
      <c r="S7" s="6" t="s">
        <v>409</v>
      </c>
    </row>
    <row r="8">
      <c r="A8" s="7">
        <v>7.0</v>
      </c>
      <c r="B8" s="6" t="s">
        <v>434</v>
      </c>
      <c r="C8" s="6" t="s">
        <v>435</v>
      </c>
      <c r="D8" s="6" t="s">
        <v>436</v>
      </c>
      <c r="E8" s="6" t="s">
        <v>437</v>
      </c>
      <c r="F8" s="6" t="s">
        <v>438</v>
      </c>
      <c r="G8" s="6" t="s">
        <v>437</v>
      </c>
      <c r="H8" s="6" t="s">
        <v>409</v>
      </c>
      <c r="K8" s="2" t="str">
        <f>IFERROR(__xludf.DUMMYFUNCTION("GOOGLETRANSLATE(A8,""en"",""ur"")"),"7")</f>
        <v>7</v>
      </c>
      <c r="L8" s="2" t="str">
        <f>IFERROR(__xludf.DUMMYFUNCTION("GOOGLETRANSLATE(B8,""en"",""ur"")"),"پس منظر میں ہجوم کی سب سے نمایاں خصوصیت کیا ہے؟")</f>
        <v>پس منظر میں ہجوم کی سب سے نمایاں خصوصیت کیا ہے؟</v>
      </c>
      <c r="M8" s="2" t="str">
        <f>IFERROR(__xludf.DUMMYFUNCTION("GOOGLETRANSLATE(C8,""en"",""ur"")"),"وہ بھاگ رہے ہیں۔")</f>
        <v>وہ بھاگ رہے ہیں۔</v>
      </c>
      <c r="N8" s="2" t="str">
        <f>IFERROR(__xludf.DUMMYFUNCTION("GOOGLETRANSLATE(D8,""en"",""ur"")"),"وہ خاموش بیٹھے ہیں۔")</f>
        <v>وہ خاموش بیٹھے ہیں۔</v>
      </c>
      <c r="O8" s="2" t="str">
        <f>IFERROR(__xludf.DUMMYFUNCTION("GOOGLETRANSLATE(E8,""en"",""ur"")"),"وہ لڑائی کو قدرتی رکاوٹ سے دیکھ رہے ہیں۔")</f>
        <v>وہ لڑائی کو قدرتی رکاوٹ سے دیکھ رہے ہیں۔</v>
      </c>
      <c r="P8" s="2" t="str">
        <f>IFERROR(__xludf.DUMMYFUNCTION("GOOGLETRANSLATE(F8,""en"",""ur"")"),"وہ سب ایک اسٹیج پر کھڑے ہیں۔")</f>
        <v>وہ سب ایک اسٹیج پر کھڑے ہیں۔</v>
      </c>
      <c r="Q8" s="2" t="s">
        <v>439</v>
      </c>
      <c r="R8" s="2" t="str">
        <f>IFERROR(__xludf.DUMMYFUNCTION("GOOGLETRANSLATE(G8,""en"",""ur"")"),"وہ لڑائی کو قدرتی رکاوٹ سے دیکھ رہے ہیں۔")</f>
        <v>وہ لڑائی کو قدرتی رکاوٹ سے دیکھ رہے ہیں۔</v>
      </c>
      <c r="S8" s="6" t="s">
        <v>409</v>
      </c>
    </row>
    <row r="9">
      <c r="A9" s="7">
        <v>8.0</v>
      </c>
      <c r="B9" s="6" t="s">
        <v>440</v>
      </c>
      <c r="C9" s="6" t="s">
        <v>441</v>
      </c>
      <c r="D9" s="6" t="s">
        <v>442</v>
      </c>
      <c r="E9" s="6" t="s">
        <v>443</v>
      </c>
      <c r="F9" s="6" t="s">
        <v>444</v>
      </c>
      <c r="G9" s="6" t="s">
        <v>444</v>
      </c>
      <c r="H9" s="6" t="s">
        <v>409</v>
      </c>
      <c r="K9" s="2" t="str">
        <f>IFERROR(__xludf.DUMMYFUNCTION("GOOGLETRANSLATE(A9,""en"",""ur"")"),"8")</f>
        <v>8</v>
      </c>
      <c r="L9" s="2" t="str">
        <f>IFERROR(__xludf.DUMMYFUNCTION("GOOGLETRANSLATE(B9,""en"",""ur"")"),"زمین کی ظاہری حالت کیا ہے؟")</f>
        <v>زمین کی ظاہری حالت کیا ہے؟</v>
      </c>
      <c r="M9" s="2" t="str">
        <f>IFERROR(__xludf.DUMMYFUNCTION("GOOGLETRANSLATE(C9,""en"",""ur"")"),"یہ ایک پکی سطح ہے۔")</f>
        <v>یہ ایک پکی سطح ہے۔</v>
      </c>
      <c r="N9" s="2" t="str">
        <f>IFERROR(__xludf.DUMMYFUNCTION("GOOGLETRANSLATE(D9,""en"",""ur"")"),"یہ ایک کیچڑ والا میدان ہے۔")</f>
        <v>یہ ایک کیچڑ والا میدان ہے۔</v>
      </c>
      <c r="O9" s="2" t="str">
        <f>IFERROR(__xludf.DUMMYFUNCTION("GOOGLETRANSLATE(E9,""en"",""ur"")"),"یہ ایک ریتلی یا مٹی کی سطح ہے جس میں دھول اڑتی ہے۔")</f>
        <v>یہ ایک ریتلی یا مٹی کی سطح ہے جس میں دھول اڑتی ہے۔</v>
      </c>
      <c r="P9" s="2" t="str">
        <f>IFERROR(__xludf.DUMMYFUNCTION("GOOGLETRANSLATE(F9,""en"",""ur"")"),"یہ ایک گھاس والی سطح ہے۔")</f>
        <v>یہ ایک گھاس والی سطح ہے۔</v>
      </c>
      <c r="Q9" s="2" t="s">
        <v>445</v>
      </c>
      <c r="R9" s="2" t="str">
        <f>IFERROR(__xludf.DUMMYFUNCTION("GOOGLETRANSLATE(G9,""en"",""ur"")"),"یہ ایک گھاس والی سطح ہے۔")</f>
        <v>یہ ایک گھاس والی سطح ہے۔</v>
      </c>
      <c r="S9" s="6" t="s">
        <v>409</v>
      </c>
    </row>
    <row r="10">
      <c r="A10" s="7">
        <v>9.0</v>
      </c>
      <c r="B10" s="6" t="s">
        <v>446</v>
      </c>
      <c r="C10" s="6" t="s">
        <v>447</v>
      </c>
      <c r="D10" s="6" t="s">
        <v>448</v>
      </c>
      <c r="E10" s="6" t="s">
        <v>449</v>
      </c>
      <c r="F10" s="6" t="s">
        <v>450</v>
      </c>
      <c r="G10" s="6" t="s">
        <v>447</v>
      </c>
      <c r="H10" s="6" t="s">
        <v>409</v>
      </c>
      <c r="K10" s="2" t="str">
        <f>IFERROR(__xludf.DUMMYFUNCTION("GOOGLETRANSLATE(A10,""en"",""ur"")"),"9")</f>
        <v>9</v>
      </c>
      <c r="L10" s="2" t="str">
        <f>IFERROR(__xludf.DUMMYFUNCTION("GOOGLETRANSLATE(B10,""en"",""ur"")"),"ڈھال کا بنیادی مقصد کیا ہے جو ہر لڑاکا پکڑے ہوئے ہے؟")</f>
        <v>ڈھال کا بنیادی مقصد کیا ہے جو ہر لڑاکا پکڑے ہوئے ہے؟</v>
      </c>
      <c r="M10" s="2" t="str">
        <f>IFERROR(__xludf.DUMMYFUNCTION("GOOGLETRANSLATE(C10,""en"",""ur"")"),"تلوار کے وار کو روکنے کے لیے")</f>
        <v>تلوار کے وار کو روکنے کے لیے</v>
      </c>
      <c r="N10" s="2" t="str">
        <f>IFERROR(__xludf.DUMMYFUNCTION("GOOGLETRANSLATE(D10,""en"",""ur"")"),"ہتھیار رکھنے کے لیے")</f>
        <v>ہتھیار رکھنے کے لیے</v>
      </c>
      <c r="O10" s="2" t="str">
        <f>IFERROR(__xludf.DUMMYFUNCTION("GOOGLETRANSLATE(E10,""en"",""ur"")"),"صرف سجاوٹ کے لیے")</f>
        <v>صرف سجاوٹ کے لیے</v>
      </c>
      <c r="P10" s="2" t="str">
        <f>IFERROR(__xludf.DUMMYFUNCTION("GOOGLETRANSLATE(F10,""en"",""ur"")"),"سورج کو روکنے کے لئے")</f>
        <v>سورج کو روکنے کے لئے</v>
      </c>
      <c r="Q10" s="2" t="s">
        <v>451</v>
      </c>
      <c r="R10" s="2" t="str">
        <f>IFERROR(__xludf.DUMMYFUNCTION("GOOGLETRANSLATE(G10,""en"",""ur"")"),"تلوار کے وار کو روکنے کے لیے")</f>
        <v>تلوار کے وار کو روکنے کے لیے</v>
      </c>
      <c r="S10" s="6" t="s">
        <v>409</v>
      </c>
    </row>
    <row r="11">
      <c r="A11" s="7">
        <v>10.0</v>
      </c>
      <c r="B11" s="6" t="s">
        <v>452</v>
      </c>
      <c r="C11" s="6" t="s">
        <v>453</v>
      </c>
      <c r="D11" s="6" t="s">
        <v>454</v>
      </c>
      <c r="E11" s="6" t="s">
        <v>455</v>
      </c>
      <c r="F11" s="6" t="s">
        <v>456</v>
      </c>
      <c r="G11" s="6" t="s">
        <v>454</v>
      </c>
      <c r="H11" s="6" t="s">
        <v>409</v>
      </c>
      <c r="K11" s="2" t="str">
        <f>IFERROR(__xludf.DUMMYFUNCTION("GOOGLETRANSLATE(A11,""en"",""ur"")"),"10")</f>
        <v>10</v>
      </c>
      <c r="L11" s="2" t="str">
        <f>IFERROR(__xludf.DUMMYFUNCTION("GOOGLETRANSLATE(B11,""en"",""ur"")"),"ایونٹ کا مجموعی موڈ ایسا لگتا ہے...")</f>
        <v>ایونٹ کا مجموعی موڈ ایسا لگتا ہے...</v>
      </c>
      <c r="M11" s="2" t="str">
        <f>IFERROR(__xludf.DUMMYFUNCTION("GOOGLETRANSLATE(C11,""en"",""ur"")"),"ایک آرام دہ مشق سیشن")</f>
        <v>ایک آرام دہ مشق سیشن</v>
      </c>
      <c r="N11" s="2" t="str">
        <f>IFERROR(__xludf.DUMMYFUNCTION("GOOGLETRANSLATE(D11,""en"",""ur"")"),"ایک تناؤ اور جارحانہ کارکردگی")</f>
        <v>ایک تناؤ اور جارحانہ کارکردگی</v>
      </c>
      <c r="O11" s="2" t="str">
        <f>IFERROR(__xludf.DUMMYFUNCTION("GOOGLETRANSLATE(E11,""en"",""ur"")"),"ایک پرسکون، پرامن اجتماع")</f>
        <v>ایک پرسکون، پرامن اجتماع</v>
      </c>
      <c r="P11" s="2" t="str">
        <f>IFERROR(__xludf.DUMMYFUNCTION("GOOGLETRANSLATE(F11,""en"",""ur"")"),"ایک سست، رسمی رقص")</f>
        <v>ایک سست، رسمی رقص</v>
      </c>
      <c r="Q11" s="2" t="s">
        <v>457</v>
      </c>
      <c r="R11" s="2" t="str">
        <f>IFERROR(__xludf.DUMMYFUNCTION("GOOGLETRANSLATE(G11,""en"",""ur"")"),"ایک تناؤ اور جارحانہ کارکردگی")</f>
        <v>ایک تناؤ اور جارحانہ کارکردگی</v>
      </c>
      <c r="S11" s="6" t="s">
        <v>409</v>
      </c>
    </row>
    <row r="12">
      <c r="A12" s="7">
        <v>11.0</v>
      </c>
      <c r="B12" s="6" t="s">
        <v>458</v>
      </c>
      <c r="C12" s="6" t="s">
        <v>405</v>
      </c>
      <c r="D12" s="6" t="s">
        <v>406</v>
      </c>
      <c r="E12" s="6" t="s">
        <v>407</v>
      </c>
      <c r="F12" s="6" t="s">
        <v>408</v>
      </c>
      <c r="G12" s="6" t="s">
        <v>405</v>
      </c>
      <c r="H12" s="6" t="s">
        <v>459</v>
      </c>
      <c r="K12" s="2" t="str">
        <f>IFERROR(__xludf.DUMMYFUNCTION("GOOGLETRANSLATE(A12,""en"",""ur"")"),"11")</f>
        <v>11</v>
      </c>
      <c r="L12" s="2" t="str">
        <f>IFERROR(__xludf.DUMMYFUNCTION("GOOGLETRANSLATE(B12,""en"",""ur"")"),"گٹکا_2 میں دکھایا گیا اہم عمل کیا ہے؟")</f>
        <v>گٹکا_2 میں دکھایا گیا اہم عمل کیا ہے؟</v>
      </c>
      <c r="M12" s="2" t="str">
        <f>IFERROR(__xludf.DUMMYFUNCTION("GOOGLETRANSLATE(C12,""en"",""ur"")"),"دو آدمی تلواروں سے لڑ رہے ہیں۔")</f>
        <v>دو آدمی تلواروں سے لڑ رہے ہیں۔</v>
      </c>
      <c r="N12" s="2" t="str">
        <f>IFERROR(__xludf.DUMMYFUNCTION("GOOGLETRANSLATE(D12,""en"",""ur"")"),"دو آدمی ناچ رہے ہیں۔")</f>
        <v>دو آدمی ناچ رہے ہیں۔</v>
      </c>
      <c r="O12" s="2" t="str">
        <f>IFERROR(__xludf.DUMMYFUNCTION("GOOGLETRANSLATE(E12,""en"",""ur"")"),"دو آدمی سہارے کے ساتھ پوز دے رہے ہیں۔")</f>
        <v>دو آدمی سہارے کے ساتھ پوز دے رہے ہیں۔</v>
      </c>
      <c r="P12" s="2" t="str">
        <f>IFERROR(__xludf.DUMMYFUNCTION("GOOGLETRANSLATE(F12,""en"",""ur"")"),"دو آدمی کشتی کرتے ہوئے۔")</f>
        <v>دو آدمی کشتی کرتے ہوئے۔</v>
      </c>
      <c r="Q12" s="2" t="s">
        <v>460</v>
      </c>
      <c r="R12" s="2" t="str">
        <f>IFERROR(__xludf.DUMMYFUNCTION("GOOGLETRANSLATE(G12,""en"",""ur"")"),"دو آدمی تلواروں سے لڑ رہے ہیں۔")</f>
        <v>دو آدمی تلواروں سے لڑ رہے ہیں۔</v>
      </c>
      <c r="S12" s="6" t="s">
        <v>459</v>
      </c>
    </row>
    <row r="13">
      <c r="A13" s="7">
        <v>12.0</v>
      </c>
      <c r="B13" s="6" t="s">
        <v>410</v>
      </c>
      <c r="C13" s="6" t="s">
        <v>411</v>
      </c>
      <c r="D13" s="6" t="s">
        <v>461</v>
      </c>
      <c r="E13" s="6" t="s">
        <v>334</v>
      </c>
      <c r="F13" s="6" t="s">
        <v>413</v>
      </c>
      <c r="G13" s="6" t="s">
        <v>461</v>
      </c>
      <c r="H13" s="6" t="s">
        <v>459</v>
      </c>
      <c r="K13" s="2" t="str">
        <f>IFERROR(__xludf.DUMMYFUNCTION("GOOGLETRANSLATE(A13,""en"",""ur"")"),"12")</f>
        <v>12</v>
      </c>
      <c r="L13" s="2" t="str">
        <f>IFERROR(__xludf.DUMMYFUNCTION("GOOGLETRANSLATE(B13,""en"",""ur"")"),"بائیں طرف لڑاکا کے لباس کے بارے میں ایک قابل ذکر تفصیل کیا ہے؟")</f>
        <v>بائیں طرف لڑاکا کے لباس کے بارے میں ایک قابل ذکر تفصیل کیا ہے؟</v>
      </c>
      <c r="M13" s="2" t="str">
        <f>IFERROR(__xludf.DUMMYFUNCTION("GOOGLETRANSLATE(C13,""en"",""ur"")"),"اس نے بکتر کا پورا سوٹ پہن رکھا ہے۔")</f>
        <v>اس نے بکتر کا پورا سوٹ پہن رکھا ہے۔</v>
      </c>
      <c r="N13" s="2" t="str">
        <f>IFERROR(__xludf.DUMMYFUNCTION("GOOGLETRANSLATE(D13,""en"",""ur"")"),"اس نے ایک لمبا، کالا چوغہ پہن رکھا ہے جس میں سفید چادر ہے۔")</f>
        <v>اس نے ایک لمبا، کالا چوغہ پہن رکھا ہے جس میں سفید چادر ہے۔</v>
      </c>
      <c r="O13" s="2" t="str">
        <f>IFERROR(__xludf.DUMMYFUNCTION("GOOGLETRANSLATE(E13,""en"",""ur"")"),"اس نے شارٹس اور ٹی شرٹ پہن رکھی ہے۔")</f>
        <v>اس نے شارٹس اور ٹی شرٹ پہن رکھی ہے۔</v>
      </c>
      <c r="P13" s="2" t="str">
        <f>IFERROR(__xludf.DUMMYFUNCTION("GOOGLETRANSLATE(F13,""en"",""ur"")"),"اس نے پولیس کی وردی پہن رکھی ہے۔")</f>
        <v>اس نے پولیس کی وردی پہن رکھی ہے۔</v>
      </c>
      <c r="Q13" s="2" t="s">
        <v>462</v>
      </c>
      <c r="R13" s="2" t="str">
        <f>IFERROR(__xludf.DUMMYFUNCTION("GOOGLETRANSLATE(G13,""en"",""ur"")"),"اس نے ایک لمبا، کالا چوغہ پہن رکھا ہے جس میں سفید چادر ہے۔")</f>
        <v>اس نے ایک لمبا، کالا چوغہ پہن رکھا ہے جس میں سفید چادر ہے۔</v>
      </c>
      <c r="S13" s="6" t="s">
        <v>459</v>
      </c>
    </row>
    <row r="14">
      <c r="A14" s="7">
        <v>13.0</v>
      </c>
      <c r="B14" s="6" t="s">
        <v>415</v>
      </c>
      <c r="C14" s="6" t="s">
        <v>416</v>
      </c>
      <c r="D14" s="6" t="s">
        <v>417</v>
      </c>
      <c r="E14" s="6" t="s">
        <v>418</v>
      </c>
      <c r="F14" s="6" t="s">
        <v>419</v>
      </c>
      <c r="G14" s="6" t="s">
        <v>416</v>
      </c>
      <c r="H14" s="6" t="s">
        <v>459</v>
      </c>
      <c r="K14" s="2" t="str">
        <f>IFERROR(__xludf.DUMMYFUNCTION("GOOGLETRANSLATE(A14,""en"",""ur"")"),"13")</f>
        <v>13</v>
      </c>
      <c r="L14" s="2" t="str">
        <f>IFERROR(__xludf.DUMMYFUNCTION("GOOGLETRANSLATE(B14,""en"",""ur"")"),"جنگجوؤں کے ذریعہ استعمال ہونے والا بنیادی ہتھیار کیا ہے؟")</f>
        <v>جنگجوؤں کے ذریعہ استعمال ہونے والا بنیادی ہتھیار کیا ہے؟</v>
      </c>
      <c r="M14" s="2" t="str">
        <f>IFERROR(__xludf.DUMMYFUNCTION("GOOGLETRANSLATE(C14,""en"",""ur"")"),"ایک چھوٹی تلوار")</f>
        <v>ایک چھوٹی تلوار</v>
      </c>
      <c r="N14" s="2" t="str">
        <f>IFERROR(__xludf.DUMMYFUNCTION("GOOGLETRANSLATE(D14,""en"",""ur"")"),"ایک لمبی چھڑی")</f>
        <v>ایک لمبی چھڑی</v>
      </c>
      <c r="O14" s="2" t="str">
        <f>IFERROR(__xludf.DUMMYFUNCTION("GOOGLETRANSLATE(E14,""en"",""ur"")"),"ایک کمان اور تیر")</f>
        <v>ایک کمان اور تیر</v>
      </c>
      <c r="P14" s="2" t="str">
        <f>IFERROR(__xludf.DUMMYFUNCTION("GOOGLETRANSLATE(F14,""en"",""ur"")"),"ایک ننگی مٹھی")</f>
        <v>ایک ننگی مٹھی</v>
      </c>
      <c r="Q14" s="2" t="s">
        <v>420</v>
      </c>
      <c r="R14" s="2" t="str">
        <f>IFERROR(__xludf.DUMMYFUNCTION("GOOGLETRANSLATE(G14,""en"",""ur"")"),"ایک چھوٹی تلوار")</f>
        <v>ایک چھوٹی تلوار</v>
      </c>
      <c r="S14" s="6" t="s">
        <v>459</v>
      </c>
    </row>
    <row r="15">
      <c r="A15" s="7">
        <v>14.0</v>
      </c>
      <c r="B15" s="6" t="s">
        <v>421</v>
      </c>
      <c r="C15" s="6" t="s">
        <v>422</v>
      </c>
      <c r="D15" s="6" t="s">
        <v>423</v>
      </c>
      <c r="E15" s="6" t="s">
        <v>424</v>
      </c>
      <c r="F15" s="6" t="s">
        <v>425</v>
      </c>
      <c r="G15" s="6" t="s">
        <v>425</v>
      </c>
      <c r="H15" s="6" t="s">
        <v>459</v>
      </c>
      <c r="K15" s="2" t="str">
        <f>IFERROR(__xludf.DUMMYFUNCTION("GOOGLETRANSLATE(A15,""en"",""ur"")"),"14")</f>
        <v>14</v>
      </c>
      <c r="L15" s="2" t="str">
        <f>IFERROR(__xludf.DUMMYFUNCTION("GOOGLETRANSLATE(B15,""en"",""ur"")"),"اس لڑائی کی ترتیب کیا ہے؟")</f>
        <v>اس لڑائی کی ترتیب کیا ہے؟</v>
      </c>
      <c r="M15" s="2" t="str">
        <f>IFERROR(__xludf.DUMMYFUNCTION("GOOGLETRANSLATE(C15,""en"",""ur"")"),"ایک انڈور اسٹیڈیم")</f>
        <v>ایک انڈور اسٹیڈیم</v>
      </c>
      <c r="N15" s="2" t="str">
        <f>IFERROR(__xludf.DUMMYFUNCTION("GOOGLETRANSLATE(D15,""en"",""ur"")"),"ایک دیہی، بیرونی علاقہ")</f>
        <v>ایک دیہی، بیرونی علاقہ</v>
      </c>
      <c r="O15" s="2" t="str">
        <f>IFERROR(__xludf.DUMMYFUNCTION("GOOGLETRANSLATE(E15,""en"",""ur"")"),"شہر کی مصروف گلی")</f>
        <v>شہر کی مصروف گلی</v>
      </c>
      <c r="P15" s="2" t="str">
        <f>IFERROR(__xludf.DUMMYFUNCTION("GOOGLETRANSLATE(F15,""en"",""ur"")"),"گھاس کا میدان")</f>
        <v>گھاس کا میدان</v>
      </c>
      <c r="Q15" s="2" t="s">
        <v>426</v>
      </c>
      <c r="R15" s="2" t="str">
        <f>IFERROR(__xludf.DUMMYFUNCTION("GOOGLETRANSLATE(G15,""en"",""ur"")"),"گھاس کا میدان")</f>
        <v>گھاس کا میدان</v>
      </c>
      <c r="S15" s="6" t="s">
        <v>459</v>
      </c>
    </row>
    <row r="16">
      <c r="A16" s="7">
        <v>15.0</v>
      </c>
      <c r="B16" s="6" t="s">
        <v>427</v>
      </c>
      <c r="C16" s="6" t="s">
        <v>47</v>
      </c>
      <c r="D16" s="6" t="s">
        <v>48</v>
      </c>
      <c r="E16" s="6" t="s">
        <v>49</v>
      </c>
      <c r="F16" s="6" t="s">
        <v>50</v>
      </c>
      <c r="G16" s="6" t="s">
        <v>49</v>
      </c>
      <c r="H16" s="6" t="s">
        <v>459</v>
      </c>
      <c r="K16" s="2" t="str">
        <f>IFERROR(__xludf.DUMMYFUNCTION("GOOGLETRANSLATE(A16,""en"",""ur"")"),"15")</f>
        <v>15</v>
      </c>
      <c r="L16" s="2" t="str">
        <f>IFERROR(__xludf.DUMMYFUNCTION("GOOGLETRANSLATE(B16,""en"",""ur"")"),"جنگجوؤں کے ظاہری جذبات کیا ہیں؟")</f>
        <v>جنگجوؤں کے ظاہری جذبات کیا ہیں؟</v>
      </c>
      <c r="M16" s="2" t="str">
        <f>IFERROR(__xludf.DUMMYFUNCTION("GOOGLETRANSLATE(C16,""en"",""ur"")"),"پرسکون اور پر سکون")</f>
        <v>پرسکون اور پر سکون</v>
      </c>
      <c r="N16" s="2" t="str">
        <f>IFERROR(__xludf.DUMMYFUNCTION("GOOGLETRANSLATE(D16,""en"",""ur"")"),"خوف زدہ اور بے چین")</f>
        <v>خوف زدہ اور بے چین</v>
      </c>
      <c r="O16" s="2" t="str">
        <f>IFERROR(__xludf.DUMMYFUNCTION("GOOGLETRANSLATE(E16,""en"",""ur"")"),"کشیدہ اور شدید")</f>
        <v>کشیدہ اور شدید</v>
      </c>
      <c r="P16" s="2" t="str">
        <f>IFERROR(__xludf.DUMMYFUNCTION("GOOGLETRANSLATE(F16,""en"",""ur"")"),"خوش اور مسکراتے ہوئے۔")</f>
        <v>خوش اور مسکراتے ہوئے۔</v>
      </c>
      <c r="Q16" s="2" t="s">
        <v>51</v>
      </c>
      <c r="R16" s="2" t="str">
        <f>IFERROR(__xludf.DUMMYFUNCTION("GOOGLETRANSLATE(G16,""en"",""ur"")"),"کشیدہ اور شدید")</f>
        <v>کشیدہ اور شدید</v>
      </c>
      <c r="S16" s="6" t="s">
        <v>459</v>
      </c>
    </row>
    <row r="17">
      <c r="A17" s="7">
        <v>16.0</v>
      </c>
      <c r="B17" s="6" t="s">
        <v>428</v>
      </c>
      <c r="C17" s="6" t="s">
        <v>429</v>
      </c>
      <c r="D17" s="6" t="s">
        <v>430</v>
      </c>
      <c r="E17" s="6" t="s">
        <v>431</v>
      </c>
      <c r="F17" s="6" t="s">
        <v>432</v>
      </c>
      <c r="G17" s="6" t="s">
        <v>430</v>
      </c>
      <c r="H17" s="6" t="s">
        <v>459</v>
      </c>
      <c r="K17" s="2" t="str">
        <f>IFERROR(__xludf.DUMMYFUNCTION("GOOGLETRANSLATE(A17,""en"",""ur"")"),"16")</f>
        <v>16</v>
      </c>
      <c r="L17" s="2" t="str">
        <f>IFERROR(__xludf.DUMMYFUNCTION("GOOGLETRANSLATE(B17,""en"",""ur"")"),"جنگجوؤں کی ظاہری باڈی پوزیشن کیا ہے؟")</f>
        <v>جنگجوؤں کی ظاہری باڈی پوزیشن کیا ہے؟</v>
      </c>
      <c r="M17" s="2" t="str">
        <f>IFERROR(__xludf.DUMMYFUNCTION("GOOGLETRANSLATE(C17,""en"",""ur"")"),"سیدھا کھڑا ہونا")</f>
        <v>سیدھا کھڑا ہونا</v>
      </c>
      <c r="N17" s="2" t="str">
        <f>IFERROR(__xludf.DUMMYFUNCTION("GOOGLETRANSLATE(D17,""en"",""ur"")"),"کم، متحرک موقف میں")</f>
        <v>کم، متحرک موقف میں</v>
      </c>
      <c r="O17" s="2" t="str">
        <f>IFERROR(__xludf.DUMMYFUNCTION("GOOGLETRANSLATE(E17,""en"",""ur"")"),"زمین پر لیٹنا")</f>
        <v>زمین پر لیٹنا</v>
      </c>
      <c r="P17" s="2" t="str">
        <f>IFERROR(__xludf.DUMMYFUNCTION("GOOGLETRANSLATE(F17,""en"",""ur"")"),"بیٹھا ہوا")</f>
        <v>بیٹھا ہوا</v>
      </c>
      <c r="Q17" s="2" t="s">
        <v>433</v>
      </c>
      <c r="R17" s="2" t="str">
        <f>IFERROR(__xludf.DUMMYFUNCTION("GOOGLETRANSLATE(G17,""en"",""ur"")"),"کم، متحرک موقف میں")</f>
        <v>کم، متحرک موقف میں</v>
      </c>
      <c r="S17" s="6" t="s">
        <v>459</v>
      </c>
    </row>
    <row r="18">
      <c r="A18" s="7">
        <v>17.0</v>
      </c>
      <c r="B18" s="6" t="s">
        <v>434</v>
      </c>
      <c r="C18" s="6" t="s">
        <v>435</v>
      </c>
      <c r="D18" s="6" t="s">
        <v>436</v>
      </c>
      <c r="E18" s="6" t="s">
        <v>437</v>
      </c>
      <c r="F18" s="6" t="s">
        <v>438</v>
      </c>
      <c r="G18" s="6" t="s">
        <v>437</v>
      </c>
      <c r="H18" s="6" t="s">
        <v>459</v>
      </c>
      <c r="K18" s="2" t="str">
        <f>IFERROR(__xludf.DUMMYFUNCTION("GOOGLETRANSLATE(A18,""en"",""ur"")"),"17")</f>
        <v>17</v>
      </c>
      <c r="L18" s="2" t="str">
        <f>IFERROR(__xludf.DUMMYFUNCTION("GOOGLETRANSLATE(B18,""en"",""ur"")"),"پس منظر میں ہجوم کی سب سے نمایاں خصوصیت کیا ہے؟")</f>
        <v>پس منظر میں ہجوم کی سب سے نمایاں خصوصیت کیا ہے؟</v>
      </c>
      <c r="M18" s="2" t="str">
        <f>IFERROR(__xludf.DUMMYFUNCTION("GOOGLETRANSLATE(C18,""en"",""ur"")"),"وہ بھاگ رہے ہیں۔")</f>
        <v>وہ بھاگ رہے ہیں۔</v>
      </c>
      <c r="N18" s="2" t="str">
        <f>IFERROR(__xludf.DUMMYFUNCTION("GOOGLETRANSLATE(D18,""en"",""ur"")"),"وہ خاموش بیٹھے ہیں۔")</f>
        <v>وہ خاموش بیٹھے ہیں۔</v>
      </c>
      <c r="O18" s="2" t="str">
        <f>IFERROR(__xludf.DUMMYFUNCTION("GOOGLETRANSLATE(E18,""en"",""ur"")"),"وہ لڑائی کو قدرتی رکاوٹ سے دیکھ رہے ہیں۔")</f>
        <v>وہ لڑائی کو قدرتی رکاوٹ سے دیکھ رہے ہیں۔</v>
      </c>
      <c r="P18" s="2" t="str">
        <f>IFERROR(__xludf.DUMMYFUNCTION("GOOGLETRANSLATE(F18,""en"",""ur"")"),"وہ سب ایک اسٹیج پر کھڑے ہیں۔")</f>
        <v>وہ سب ایک اسٹیج پر کھڑے ہیں۔</v>
      </c>
      <c r="Q18" s="2" t="s">
        <v>439</v>
      </c>
      <c r="R18" s="2" t="str">
        <f>IFERROR(__xludf.DUMMYFUNCTION("GOOGLETRANSLATE(G18,""en"",""ur"")"),"وہ لڑائی کو قدرتی رکاوٹ سے دیکھ رہے ہیں۔")</f>
        <v>وہ لڑائی کو قدرتی رکاوٹ سے دیکھ رہے ہیں۔</v>
      </c>
      <c r="S18" s="6" t="s">
        <v>459</v>
      </c>
    </row>
    <row r="19">
      <c r="A19" s="7">
        <v>18.0</v>
      </c>
      <c r="B19" s="6" t="s">
        <v>440</v>
      </c>
      <c r="C19" s="6" t="s">
        <v>441</v>
      </c>
      <c r="D19" s="6" t="s">
        <v>442</v>
      </c>
      <c r="E19" s="6" t="s">
        <v>443</v>
      </c>
      <c r="F19" s="6" t="s">
        <v>444</v>
      </c>
      <c r="G19" s="6" t="s">
        <v>444</v>
      </c>
      <c r="H19" s="6" t="s">
        <v>459</v>
      </c>
      <c r="K19" s="2" t="str">
        <f>IFERROR(__xludf.DUMMYFUNCTION("GOOGLETRANSLATE(A19,""en"",""ur"")"),"18")</f>
        <v>18</v>
      </c>
      <c r="L19" s="2" t="str">
        <f>IFERROR(__xludf.DUMMYFUNCTION("GOOGLETRANSLATE(B19,""en"",""ur"")"),"زمین کی ظاہری حالت کیا ہے؟")</f>
        <v>زمین کی ظاہری حالت کیا ہے؟</v>
      </c>
      <c r="M19" s="2" t="str">
        <f>IFERROR(__xludf.DUMMYFUNCTION("GOOGLETRANSLATE(C19,""en"",""ur"")"),"یہ ایک پکی سطح ہے۔")</f>
        <v>یہ ایک پکی سطح ہے۔</v>
      </c>
      <c r="N19" s="2" t="str">
        <f>IFERROR(__xludf.DUMMYFUNCTION("GOOGLETRANSLATE(D19,""en"",""ur"")"),"یہ ایک کیچڑ والا میدان ہے۔")</f>
        <v>یہ ایک کیچڑ والا میدان ہے۔</v>
      </c>
      <c r="O19" s="2" t="str">
        <f>IFERROR(__xludf.DUMMYFUNCTION("GOOGLETRANSLATE(E19,""en"",""ur"")"),"یہ ایک ریتلی یا مٹی کی سطح ہے جس میں دھول اڑتی ہے۔")</f>
        <v>یہ ایک ریتلی یا مٹی کی سطح ہے جس میں دھول اڑتی ہے۔</v>
      </c>
      <c r="P19" s="2" t="str">
        <f>IFERROR(__xludf.DUMMYFUNCTION("GOOGLETRANSLATE(F19,""en"",""ur"")"),"یہ ایک گھاس والی سطح ہے۔")</f>
        <v>یہ ایک گھاس والی سطح ہے۔</v>
      </c>
      <c r="Q19" s="2" t="s">
        <v>445</v>
      </c>
      <c r="R19" s="2" t="str">
        <f>IFERROR(__xludf.DUMMYFUNCTION("GOOGLETRANSLATE(G19,""en"",""ur"")"),"یہ ایک گھاس والی سطح ہے۔")</f>
        <v>یہ ایک گھاس والی سطح ہے۔</v>
      </c>
      <c r="S19" s="6" t="s">
        <v>459</v>
      </c>
    </row>
    <row r="20">
      <c r="A20" s="7">
        <v>19.0</v>
      </c>
      <c r="B20" s="6" t="s">
        <v>446</v>
      </c>
      <c r="C20" s="6" t="s">
        <v>447</v>
      </c>
      <c r="D20" s="6" t="s">
        <v>448</v>
      </c>
      <c r="E20" s="6" t="s">
        <v>449</v>
      </c>
      <c r="F20" s="6" t="s">
        <v>450</v>
      </c>
      <c r="G20" s="6" t="s">
        <v>447</v>
      </c>
      <c r="H20" s="6" t="s">
        <v>459</v>
      </c>
      <c r="K20" s="2" t="str">
        <f>IFERROR(__xludf.DUMMYFUNCTION("GOOGLETRANSLATE(A20,""en"",""ur"")"),"19")</f>
        <v>19</v>
      </c>
      <c r="L20" s="2" t="str">
        <f>IFERROR(__xludf.DUMMYFUNCTION("GOOGLETRANSLATE(B20,""en"",""ur"")"),"ڈھال کا بنیادی مقصد کیا ہے جو ہر لڑاکا پکڑے ہوئے ہے؟")</f>
        <v>ڈھال کا بنیادی مقصد کیا ہے جو ہر لڑاکا پکڑے ہوئے ہے؟</v>
      </c>
      <c r="M20" s="2" t="str">
        <f>IFERROR(__xludf.DUMMYFUNCTION("GOOGLETRANSLATE(C20,""en"",""ur"")"),"تلوار کے وار کو روکنے کے لیے")</f>
        <v>تلوار کے وار کو روکنے کے لیے</v>
      </c>
      <c r="N20" s="2" t="str">
        <f>IFERROR(__xludf.DUMMYFUNCTION("GOOGLETRANSLATE(D20,""en"",""ur"")"),"ہتھیار رکھنے کے لیے")</f>
        <v>ہتھیار رکھنے کے لیے</v>
      </c>
      <c r="O20" s="2" t="str">
        <f>IFERROR(__xludf.DUMMYFUNCTION("GOOGLETRANSLATE(E20,""en"",""ur"")"),"صرف سجاوٹ کے لیے")</f>
        <v>صرف سجاوٹ کے لیے</v>
      </c>
      <c r="P20" s="2" t="str">
        <f>IFERROR(__xludf.DUMMYFUNCTION("GOOGLETRANSLATE(F20,""en"",""ur"")"),"سورج کو روکنے کے لئے")</f>
        <v>سورج کو روکنے کے لئے</v>
      </c>
      <c r="Q20" s="2" t="s">
        <v>451</v>
      </c>
      <c r="R20" s="2" t="str">
        <f>IFERROR(__xludf.DUMMYFUNCTION("GOOGLETRANSLATE(G20,""en"",""ur"")"),"تلوار کے وار کو روکنے کے لیے")</f>
        <v>تلوار کے وار کو روکنے کے لیے</v>
      </c>
      <c r="S20" s="6" t="s">
        <v>459</v>
      </c>
    </row>
    <row r="21">
      <c r="A21" s="7">
        <v>20.0</v>
      </c>
      <c r="B21" s="6" t="s">
        <v>452</v>
      </c>
      <c r="C21" s="6" t="s">
        <v>453</v>
      </c>
      <c r="D21" s="6" t="s">
        <v>454</v>
      </c>
      <c r="E21" s="6" t="s">
        <v>455</v>
      </c>
      <c r="F21" s="6" t="s">
        <v>456</v>
      </c>
      <c r="G21" s="6" t="s">
        <v>454</v>
      </c>
      <c r="H21" s="6" t="s">
        <v>459</v>
      </c>
      <c r="K21" s="2" t="str">
        <f>IFERROR(__xludf.DUMMYFUNCTION("GOOGLETRANSLATE(A21,""en"",""ur"")"),"20")</f>
        <v>20</v>
      </c>
      <c r="L21" s="2" t="str">
        <f>IFERROR(__xludf.DUMMYFUNCTION("GOOGLETRANSLATE(B21,""en"",""ur"")"),"ایونٹ کا مجموعی موڈ ایسا لگتا ہے...")</f>
        <v>ایونٹ کا مجموعی موڈ ایسا لگتا ہے...</v>
      </c>
      <c r="M21" s="2" t="str">
        <f>IFERROR(__xludf.DUMMYFUNCTION("GOOGLETRANSLATE(C21,""en"",""ur"")"),"ایک آرام دہ مشق سیشن")</f>
        <v>ایک آرام دہ مشق سیشن</v>
      </c>
      <c r="N21" s="2" t="str">
        <f>IFERROR(__xludf.DUMMYFUNCTION("GOOGLETRANSLATE(D21,""en"",""ur"")"),"ایک تناؤ اور جارحانہ کارکردگی")</f>
        <v>ایک تناؤ اور جارحانہ کارکردگی</v>
      </c>
      <c r="O21" s="2" t="str">
        <f>IFERROR(__xludf.DUMMYFUNCTION("GOOGLETRANSLATE(E21,""en"",""ur"")"),"ایک پرسکون، پرامن اجتماع")</f>
        <v>ایک پرسکون، پرامن اجتماع</v>
      </c>
      <c r="P21" s="2" t="str">
        <f>IFERROR(__xludf.DUMMYFUNCTION("GOOGLETRANSLATE(F21,""en"",""ur"")"),"ایک سست، رسمی رقص")</f>
        <v>ایک سست، رسمی رقص</v>
      </c>
      <c r="Q21" s="2" t="s">
        <v>457</v>
      </c>
      <c r="R21" s="2" t="str">
        <f>IFERROR(__xludf.DUMMYFUNCTION("GOOGLETRANSLATE(G21,""en"",""ur"")"),"ایک تناؤ اور جارحانہ کارکردگی")</f>
        <v>ایک تناؤ اور جارحانہ کارکردگی</v>
      </c>
      <c r="S21" s="6" t="s">
        <v>459</v>
      </c>
    </row>
    <row r="22">
      <c r="A22" s="7">
        <v>21.0</v>
      </c>
      <c r="B22" s="6" t="s">
        <v>463</v>
      </c>
      <c r="C22" s="6" t="s">
        <v>464</v>
      </c>
      <c r="D22" s="6" t="s">
        <v>465</v>
      </c>
      <c r="E22" s="6" t="s">
        <v>466</v>
      </c>
      <c r="F22" s="6" t="s">
        <v>467</v>
      </c>
      <c r="G22" s="6" t="s">
        <v>467</v>
      </c>
      <c r="H22" s="6" t="s">
        <v>468</v>
      </c>
      <c r="K22" s="2" t="str">
        <f>IFERROR(__xludf.DUMMYFUNCTION("GOOGLETRANSLATE(A22,""en"",""ur"")"),"21")</f>
        <v>21</v>
      </c>
      <c r="L22" s="2" t="str">
        <f>IFERROR(__xludf.DUMMYFUNCTION("GOOGLETRANSLATE(B22,""en"",""ur"")"),"گٹکا_3 میں دکھایا گیا اہم عمل کیا ہے؟")</f>
        <v>گٹکا_3 میں دکھایا گیا اہم عمل کیا ہے؟</v>
      </c>
      <c r="M22" s="2" t="str">
        <f>IFERROR(__xludf.DUMMYFUNCTION("GOOGLETRANSLATE(C22,""en"",""ur"")"),"ایک آدمی ناچ رہا ہے۔")</f>
        <v>ایک آدمی ناچ رہا ہے۔</v>
      </c>
      <c r="N22" s="2" t="str">
        <f>IFERROR(__xludf.DUMMYFUNCTION("GOOGLETRANSLATE(D22,""en"",""ur"")"),"ایک آدمی سہارے کے ساتھ پوز کر رہا ہے۔")</f>
        <v>ایک آدمی سہارے کے ساتھ پوز کر رہا ہے۔</v>
      </c>
      <c r="O22" s="2" t="str">
        <f>IFERROR(__xludf.DUMMYFUNCTION("GOOGLETRANSLATE(E22,""en"",""ur"")"),"تلواروں سے لڑنے والا آدمی")</f>
        <v>تلواروں سے لڑنے والا آدمی</v>
      </c>
      <c r="P22" s="2" t="str">
        <f>IFERROR(__xludf.DUMMYFUNCTION("GOOGLETRANSLATE(F22,""en"",""ur"")"),"ایک آدمی لمبی چھڑی کے ساتھ ہوا میں چھلانگ لگا رہا ہے۔")</f>
        <v>ایک آدمی لمبی چھڑی کے ساتھ ہوا میں چھلانگ لگا رہا ہے۔</v>
      </c>
      <c r="Q22" s="2" t="s">
        <v>469</v>
      </c>
      <c r="R22" s="2" t="str">
        <f>IFERROR(__xludf.DUMMYFUNCTION("GOOGLETRANSLATE(G22,""en"",""ur"")"),"ایک آدمی لمبی چھڑی کے ساتھ ہوا میں چھلانگ لگا رہا ہے۔")</f>
        <v>ایک آدمی لمبی چھڑی کے ساتھ ہوا میں چھلانگ لگا رہا ہے۔</v>
      </c>
      <c r="S22" s="6" t="s">
        <v>468</v>
      </c>
    </row>
    <row r="23">
      <c r="A23" s="7">
        <v>22.0</v>
      </c>
      <c r="B23" s="6" t="s">
        <v>470</v>
      </c>
      <c r="C23" s="6" t="s">
        <v>411</v>
      </c>
      <c r="D23" s="6" t="s">
        <v>461</v>
      </c>
      <c r="E23" s="6" t="s">
        <v>334</v>
      </c>
      <c r="F23" s="6" t="s">
        <v>413</v>
      </c>
      <c r="G23" s="6" t="s">
        <v>461</v>
      </c>
      <c r="H23" s="6" t="s">
        <v>468</v>
      </c>
      <c r="K23" s="2" t="str">
        <f>IFERROR(__xludf.DUMMYFUNCTION("GOOGLETRANSLATE(A23,""en"",""ur"")"),"22")</f>
        <v>22</v>
      </c>
      <c r="L23" s="2" t="str">
        <f>IFERROR(__xludf.DUMMYFUNCTION("GOOGLETRANSLATE(B23,""en"",""ur"")"),"آدمی کے لباس کے بارے میں ایک قابل ذکر تفصیل کیا ہے؟")</f>
        <v>آدمی کے لباس کے بارے میں ایک قابل ذکر تفصیل کیا ہے؟</v>
      </c>
      <c r="M23" s="2" t="str">
        <f>IFERROR(__xludf.DUMMYFUNCTION("GOOGLETRANSLATE(C23,""en"",""ur"")"),"اس نے بکتر کا پورا سوٹ پہن رکھا ہے۔")</f>
        <v>اس نے بکتر کا پورا سوٹ پہن رکھا ہے۔</v>
      </c>
      <c r="N23" s="2" t="str">
        <f>IFERROR(__xludf.DUMMYFUNCTION("GOOGLETRANSLATE(D23,""en"",""ur"")"),"اس نے ایک لمبا، کالا چوغہ پہن رکھا ہے جس میں سفید چادر ہے۔")</f>
        <v>اس نے ایک لمبا، کالا چوغہ پہن رکھا ہے جس میں سفید چادر ہے۔</v>
      </c>
      <c r="O23" s="2" t="str">
        <f>IFERROR(__xludf.DUMMYFUNCTION("GOOGLETRANSLATE(E23,""en"",""ur"")"),"اس نے شارٹس اور ٹی شرٹ پہن رکھی ہے۔")</f>
        <v>اس نے شارٹس اور ٹی شرٹ پہن رکھی ہے۔</v>
      </c>
      <c r="P23" s="2" t="str">
        <f>IFERROR(__xludf.DUMMYFUNCTION("GOOGLETRANSLATE(F23,""en"",""ur"")"),"اس نے پولیس کی وردی پہن رکھی ہے۔")</f>
        <v>اس نے پولیس کی وردی پہن رکھی ہے۔</v>
      </c>
      <c r="Q23" s="2" t="s">
        <v>462</v>
      </c>
      <c r="R23" s="2" t="str">
        <f>IFERROR(__xludf.DUMMYFUNCTION("GOOGLETRANSLATE(G23,""en"",""ur"")"),"اس نے ایک لمبا، کالا چوغہ پہن رکھا ہے جس میں سفید چادر ہے۔")</f>
        <v>اس نے ایک لمبا، کالا چوغہ پہن رکھا ہے جس میں سفید چادر ہے۔</v>
      </c>
      <c r="S23" s="6" t="s">
        <v>468</v>
      </c>
    </row>
    <row r="24">
      <c r="A24" s="7">
        <v>23.0</v>
      </c>
      <c r="B24" s="6" t="s">
        <v>471</v>
      </c>
      <c r="C24" s="6" t="s">
        <v>416</v>
      </c>
      <c r="D24" s="6" t="s">
        <v>417</v>
      </c>
      <c r="E24" s="6" t="s">
        <v>418</v>
      </c>
      <c r="F24" s="6" t="s">
        <v>419</v>
      </c>
      <c r="G24" s="6" t="s">
        <v>417</v>
      </c>
      <c r="H24" s="6" t="s">
        <v>468</v>
      </c>
      <c r="K24" s="2" t="str">
        <f>IFERROR(__xludf.DUMMYFUNCTION("GOOGLETRANSLATE(A24,""en"",""ur"")"),"23")</f>
        <v>23</v>
      </c>
      <c r="L24" s="2" t="str">
        <f>IFERROR(__xludf.DUMMYFUNCTION("GOOGLETRANSLATE(B24,""en"",""ur"")"),"آدمی کی طرف سے استعمال کیا جاتا بنیادی ہتھیار کیا ہے؟")</f>
        <v>آدمی کی طرف سے استعمال کیا جاتا بنیادی ہتھیار کیا ہے؟</v>
      </c>
      <c r="M24" s="2" t="str">
        <f>IFERROR(__xludf.DUMMYFUNCTION("GOOGLETRANSLATE(C24,""en"",""ur"")"),"ایک چھوٹی تلوار")</f>
        <v>ایک چھوٹی تلوار</v>
      </c>
      <c r="N24" s="2" t="str">
        <f>IFERROR(__xludf.DUMMYFUNCTION("GOOGLETRANSLATE(D24,""en"",""ur"")"),"ایک لمبی چھڑی")</f>
        <v>ایک لمبی چھڑی</v>
      </c>
      <c r="O24" s="2" t="str">
        <f>IFERROR(__xludf.DUMMYFUNCTION("GOOGLETRANSLATE(E24,""en"",""ur"")"),"ایک کمان اور تیر")</f>
        <v>ایک کمان اور تیر</v>
      </c>
      <c r="P24" s="2" t="str">
        <f>IFERROR(__xludf.DUMMYFUNCTION("GOOGLETRANSLATE(F24,""en"",""ur"")"),"ایک ننگی مٹھی")</f>
        <v>ایک ننگی مٹھی</v>
      </c>
      <c r="Q24" s="2" t="s">
        <v>420</v>
      </c>
      <c r="R24" s="2" t="str">
        <f>IFERROR(__xludf.DUMMYFUNCTION("GOOGLETRANSLATE(G24,""en"",""ur"")"),"ایک لمبی چھڑی")</f>
        <v>ایک لمبی چھڑی</v>
      </c>
      <c r="S24" s="6" t="s">
        <v>468</v>
      </c>
    </row>
    <row r="25">
      <c r="A25" s="7">
        <v>24.0</v>
      </c>
      <c r="B25" s="6" t="s">
        <v>421</v>
      </c>
      <c r="C25" s="6" t="s">
        <v>422</v>
      </c>
      <c r="D25" s="6" t="s">
        <v>423</v>
      </c>
      <c r="E25" s="6" t="s">
        <v>424</v>
      </c>
      <c r="F25" s="6" t="s">
        <v>425</v>
      </c>
      <c r="G25" s="6" t="s">
        <v>425</v>
      </c>
      <c r="H25" s="6" t="s">
        <v>468</v>
      </c>
      <c r="K25" s="2" t="str">
        <f>IFERROR(__xludf.DUMMYFUNCTION("GOOGLETRANSLATE(A25,""en"",""ur"")"),"24")</f>
        <v>24</v>
      </c>
      <c r="L25" s="2" t="str">
        <f>IFERROR(__xludf.DUMMYFUNCTION("GOOGLETRANSLATE(B25,""en"",""ur"")"),"اس لڑائی کی ترتیب کیا ہے؟")</f>
        <v>اس لڑائی کی ترتیب کیا ہے؟</v>
      </c>
      <c r="M25" s="2" t="str">
        <f>IFERROR(__xludf.DUMMYFUNCTION("GOOGLETRANSLATE(C25,""en"",""ur"")"),"ایک انڈور اسٹیڈیم")</f>
        <v>ایک انڈور اسٹیڈیم</v>
      </c>
      <c r="N25" s="2" t="str">
        <f>IFERROR(__xludf.DUMMYFUNCTION("GOOGLETRANSLATE(D25,""en"",""ur"")"),"ایک دیہی، بیرونی علاقہ")</f>
        <v>ایک دیہی، بیرونی علاقہ</v>
      </c>
      <c r="O25" s="2" t="str">
        <f>IFERROR(__xludf.DUMMYFUNCTION("GOOGLETRANSLATE(E25,""en"",""ur"")"),"شہر کی مصروف گلی")</f>
        <v>شہر کی مصروف گلی</v>
      </c>
      <c r="P25" s="2" t="str">
        <f>IFERROR(__xludf.DUMMYFUNCTION("GOOGLETRANSLATE(F25,""en"",""ur"")"),"گھاس کا میدان")</f>
        <v>گھاس کا میدان</v>
      </c>
      <c r="Q25" s="2" t="s">
        <v>426</v>
      </c>
      <c r="R25" s="2" t="str">
        <f>IFERROR(__xludf.DUMMYFUNCTION("GOOGLETRANSLATE(G25,""en"",""ur"")"),"گھاس کا میدان")</f>
        <v>گھاس کا میدان</v>
      </c>
      <c r="S25" s="6" t="s">
        <v>468</v>
      </c>
    </row>
    <row r="26">
      <c r="A26" s="7">
        <v>25.0</v>
      </c>
      <c r="B26" s="6" t="s">
        <v>472</v>
      </c>
      <c r="C26" s="6" t="s">
        <v>47</v>
      </c>
      <c r="D26" s="6" t="s">
        <v>48</v>
      </c>
      <c r="E26" s="6" t="s">
        <v>49</v>
      </c>
      <c r="F26" s="6" t="s">
        <v>50</v>
      </c>
      <c r="G26" s="6" t="s">
        <v>49</v>
      </c>
      <c r="H26" s="6" t="s">
        <v>468</v>
      </c>
      <c r="K26" s="2" t="str">
        <f>IFERROR(__xludf.DUMMYFUNCTION("GOOGLETRANSLATE(A26,""en"",""ur"")"),"25")</f>
        <v>25</v>
      </c>
      <c r="L26" s="2" t="str">
        <f>IFERROR(__xludf.DUMMYFUNCTION("GOOGLETRANSLATE(B26,""en"",""ur"")"),"آدمی کا ظاہری جذبات کیا ہے؟")</f>
        <v>آدمی کا ظاہری جذبات کیا ہے؟</v>
      </c>
      <c r="M26" s="2" t="str">
        <f>IFERROR(__xludf.DUMMYFUNCTION("GOOGLETRANSLATE(C26,""en"",""ur"")"),"پرسکون اور پر سکون")</f>
        <v>پرسکون اور پر سکون</v>
      </c>
      <c r="N26" s="2" t="str">
        <f>IFERROR(__xludf.DUMMYFUNCTION("GOOGLETRANSLATE(D26,""en"",""ur"")"),"خوف زدہ اور بے چین")</f>
        <v>خوف زدہ اور بے چین</v>
      </c>
      <c r="O26" s="2" t="str">
        <f>IFERROR(__xludf.DUMMYFUNCTION("GOOGLETRANSLATE(E26,""en"",""ur"")"),"کشیدہ اور شدید")</f>
        <v>کشیدہ اور شدید</v>
      </c>
      <c r="P26" s="2" t="str">
        <f>IFERROR(__xludf.DUMMYFUNCTION("GOOGLETRANSLATE(F26,""en"",""ur"")"),"خوش اور مسکراتے ہوئے۔")</f>
        <v>خوش اور مسکراتے ہوئے۔</v>
      </c>
      <c r="Q26" s="2" t="s">
        <v>51</v>
      </c>
      <c r="R26" s="2" t="str">
        <f>IFERROR(__xludf.DUMMYFUNCTION("GOOGLETRANSLATE(G26,""en"",""ur"")"),"کشیدہ اور شدید")</f>
        <v>کشیدہ اور شدید</v>
      </c>
      <c r="S26" s="6" t="s">
        <v>468</v>
      </c>
    </row>
    <row r="27">
      <c r="A27" s="7">
        <v>26.0</v>
      </c>
      <c r="B27" s="6" t="s">
        <v>473</v>
      </c>
      <c r="C27" s="6" t="s">
        <v>429</v>
      </c>
      <c r="D27" s="6" t="s">
        <v>430</v>
      </c>
      <c r="E27" s="6" t="s">
        <v>431</v>
      </c>
      <c r="F27" s="6" t="s">
        <v>474</v>
      </c>
      <c r="G27" s="6" t="s">
        <v>474</v>
      </c>
      <c r="H27" s="6" t="s">
        <v>468</v>
      </c>
      <c r="K27" s="2" t="str">
        <f>IFERROR(__xludf.DUMMYFUNCTION("GOOGLETRANSLATE(A27,""en"",""ur"")"),"26")</f>
        <v>26</v>
      </c>
      <c r="L27" s="2" t="str">
        <f>IFERROR(__xludf.DUMMYFUNCTION("GOOGLETRANSLATE(B27,""en"",""ur"")"),"مرد کی ظاہری جسمانی پوزیشن کیا ہے؟")</f>
        <v>مرد کی ظاہری جسمانی پوزیشن کیا ہے؟</v>
      </c>
      <c r="M27" s="2" t="str">
        <f>IFERROR(__xludf.DUMMYFUNCTION("GOOGLETRANSLATE(C27,""en"",""ur"")"),"سیدھا کھڑا ہونا")</f>
        <v>سیدھا کھڑا ہونا</v>
      </c>
      <c r="N27" s="2" t="str">
        <f>IFERROR(__xludf.DUMMYFUNCTION("GOOGLETRANSLATE(D27,""en"",""ur"")"),"کم، متحرک موقف میں")</f>
        <v>کم، متحرک موقف میں</v>
      </c>
      <c r="O27" s="2" t="str">
        <f>IFERROR(__xludf.DUMMYFUNCTION("GOOGLETRANSLATE(E27,""en"",""ur"")"),"زمین پر لیٹنا")</f>
        <v>زمین پر لیٹنا</v>
      </c>
      <c r="P27" s="2" t="str">
        <f>IFERROR(__xludf.DUMMYFUNCTION("GOOGLETRANSLATE(F27,""en"",""ur"")"),"ہوا میں چھلانگ لگانا")</f>
        <v>ہوا میں چھلانگ لگانا</v>
      </c>
      <c r="Q27" s="2" t="s">
        <v>475</v>
      </c>
      <c r="R27" s="2" t="str">
        <f>IFERROR(__xludf.DUMMYFUNCTION("GOOGLETRANSLATE(G27,""en"",""ur"")"),"ہوا میں چھلانگ لگانا")</f>
        <v>ہوا میں چھلانگ لگانا</v>
      </c>
      <c r="S27" s="6" t="s">
        <v>468</v>
      </c>
    </row>
    <row r="28">
      <c r="A28" s="7">
        <v>27.0</v>
      </c>
      <c r="B28" s="6" t="s">
        <v>434</v>
      </c>
      <c r="C28" s="6" t="s">
        <v>435</v>
      </c>
      <c r="D28" s="6" t="s">
        <v>436</v>
      </c>
      <c r="E28" s="6" t="s">
        <v>437</v>
      </c>
      <c r="F28" s="6" t="s">
        <v>438</v>
      </c>
      <c r="G28" s="6" t="s">
        <v>437</v>
      </c>
      <c r="H28" s="6" t="s">
        <v>468</v>
      </c>
      <c r="K28" s="2" t="str">
        <f>IFERROR(__xludf.DUMMYFUNCTION("GOOGLETRANSLATE(A28,""en"",""ur"")"),"27")</f>
        <v>27</v>
      </c>
      <c r="L28" s="2" t="str">
        <f>IFERROR(__xludf.DUMMYFUNCTION("GOOGLETRANSLATE(B28,""en"",""ur"")"),"پس منظر میں ہجوم کی سب سے نمایاں خصوصیت کیا ہے؟")</f>
        <v>پس منظر میں ہجوم کی سب سے نمایاں خصوصیت کیا ہے؟</v>
      </c>
      <c r="M28" s="2" t="str">
        <f>IFERROR(__xludf.DUMMYFUNCTION("GOOGLETRANSLATE(C28,""en"",""ur"")"),"وہ بھاگ رہے ہیں۔")</f>
        <v>وہ بھاگ رہے ہیں۔</v>
      </c>
      <c r="N28" s="2" t="str">
        <f>IFERROR(__xludf.DUMMYFUNCTION("GOOGLETRANSLATE(D28,""en"",""ur"")"),"وہ خاموش بیٹھے ہیں۔")</f>
        <v>وہ خاموش بیٹھے ہیں۔</v>
      </c>
      <c r="O28" s="2" t="str">
        <f>IFERROR(__xludf.DUMMYFUNCTION("GOOGLETRANSLATE(E28,""en"",""ur"")"),"وہ لڑائی کو قدرتی رکاوٹ سے دیکھ رہے ہیں۔")</f>
        <v>وہ لڑائی کو قدرتی رکاوٹ سے دیکھ رہے ہیں۔</v>
      </c>
      <c r="P28" s="2" t="str">
        <f>IFERROR(__xludf.DUMMYFUNCTION("GOOGLETRANSLATE(F28,""en"",""ur"")"),"وہ سب ایک اسٹیج پر کھڑے ہیں۔")</f>
        <v>وہ سب ایک اسٹیج پر کھڑے ہیں۔</v>
      </c>
      <c r="Q28" s="2" t="s">
        <v>439</v>
      </c>
      <c r="R28" s="2" t="str">
        <f>IFERROR(__xludf.DUMMYFUNCTION("GOOGLETRANSLATE(G28,""en"",""ur"")"),"وہ لڑائی کو قدرتی رکاوٹ سے دیکھ رہے ہیں۔")</f>
        <v>وہ لڑائی کو قدرتی رکاوٹ سے دیکھ رہے ہیں۔</v>
      </c>
      <c r="S28" s="6" t="s">
        <v>468</v>
      </c>
    </row>
    <row r="29">
      <c r="A29" s="7">
        <v>28.0</v>
      </c>
      <c r="B29" s="6" t="s">
        <v>440</v>
      </c>
      <c r="C29" s="6" t="s">
        <v>441</v>
      </c>
      <c r="D29" s="6" t="s">
        <v>442</v>
      </c>
      <c r="E29" s="6" t="s">
        <v>443</v>
      </c>
      <c r="F29" s="6" t="s">
        <v>444</v>
      </c>
      <c r="G29" s="6" t="s">
        <v>444</v>
      </c>
      <c r="H29" s="6" t="s">
        <v>468</v>
      </c>
      <c r="K29" s="2" t="str">
        <f>IFERROR(__xludf.DUMMYFUNCTION("GOOGLETRANSLATE(A29,""en"",""ur"")"),"28")</f>
        <v>28</v>
      </c>
      <c r="L29" s="2" t="str">
        <f>IFERROR(__xludf.DUMMYFUNCTION("GOOGLETRANSLATE(B29,""en"",""ur"")"),"زمین کی ظاہری حالت کیا ہے؟")</f>
        <v>زمین کی ظاہری حالت کیا ہے؟</v>
      </c>
      <c r="M29" s="2" t="str">
        <f>IFERROR(__xludf.DUMMYFUNCTION("GOOGLETRANSLATE(C29,""en"",""ur"")"),"یہ ایک پکی سطح ہے۔")</f>
        <v>یہ ایک پکی سطح ہے۔</v>
      </c>
      <c r="N29" s="2" t="str">
        <f>IFERROR(__xludf.DUMMYFUNCTION("GOOGLETRANSLATE(D29,""en"",""ur"")"),"یہ ایک کیچڑ والا میدان ہے۔")</f>
        <v>یہ ایک کیچڑ والا میدان ہے۔</v>
      </c>
      <c r="O29" s="2" t="str">
        <f>IFERROR(__xludf.DUMMYFUNCTION("GOOGLETRANSLATE(E29,""en"",""ur"")"),"یہ ایک ریتلی یا مٹی کی سطح ہے جس میں دھول اڑتی ہے۔")</f>
        <v>یہ ایک ریتلی یا مٹی کی سطح ہے جس میں دھول اڑتی ہے۔</v>
      </c>
      <c r="P29" s="2" t="str">
        <f>IFERROR(__xludf.DUMMYFUNCTION("GOOGLETRANSLATE(F29,""en"",""ur"")"),"یہ ایک گھاس والی سطح ہے۔")</f>
        <v>یہ ایک گھاس والی سطح ہے۔</v>
      </c>
      <c r="Q29" s="2" t="s">
        <v>445</v>
      </c>
      <c r="R29" s="2" t="str">
        <f>IFERROR(__xludf.DUMMYFUNCTION("GOOGLETRANSLATE(G29,""en"",""ur"")"),"یہ ایک گھاس والی سطح ہے۔")</f>
        <v>یہ ایک گھاس والی سطح ہے۔</v>
      </c>
      <c r="S29" s="6" t="s">
        <v>468</v>
      </c>
    </row>
    <row r="30">
      <c r="A30" s="7">
        <v>29.0</v>
      </c>
      <c r="B30" s="6" t="s">
        <v>476</v>
      </c>
      <c r="C30" s="6" t="s">
        <v>447</v>
      </c>
      <c r="D30" s="6" t="s">
        <v>448</v>
      </c>
      <c r="E30" s="6" t="s">
        <v>449</v>
      </c>
      <c r="F30" s="6" t="s">
        <v>450</v>
      </c>
      <c r="G30" s="6" t="s">
        <v>448</v>
      </c>
      <c r="H30" s="6" t="s">
        <v>468</v>
      </c>
      <c r="K30" s="2" t="str">
        <f>IFERROR(__xludf.DUMMYFUNCTION("GOOGLETRANSLATE(A30,""en"",""ur"")"),"29")</f>
        <v>29</v>
      </c>
      <c r="L30" s="2" t="str">
        <f>IFERROR(__xludf.DUMMYFUNCTION("GOOGLETRANSLATE(B30,""en"",""ur"")"),"لمبی چھڑی کا بنیادی مقصد کیا ہے؟")</f>
        <v>لمبی چھڑی کا بنیادی مقصد کیا ہے؟</v>
      </c>
      <c r="M30" s="2" t="str">
        <f>IFERROR(__xludf.DUMMYFUNCTION("GOOGLETRANSLATE(C30,""en"",""ur"")"),"تلوار کے وار کو روکنے کے لیے")</f>
        <v>تلوار کے وار کو روکنے کے لیے</v>
      </c>
      <c r="N30" s="2" t="str">
        <f>IFERROR(__xludf.DUMMYFUNCTION("GOOGLETRANSLATE(D30,""en"",""ur"")"),"ہتھیار رکھنے کے لیے")</f>
        <v>ہتھیار رکھنے کے لیے</v>
      </c>
      <c r="O30" s="2" t="str">
        <f>IFERROR(__xludf.DUMMYFUNCTION("GOOGLETRANSLATE(E30,""en"",""ur"")"),"صرف سجاوٹ کے لیے")</f>
        <v>صرف سجاوٹ کے لیے</v>
      </c>
      <c r="P30" s="2" t="str">
        <f>IFERROR(__xludf.DUMMYFUNCTION("GOOGLETRANSLATE(F30,""en"",""ur"")"),"سورج کو روکنے کے لئے")</f>
        <v>سورج کو روکنے کے لئے</v>
      </c>
      <c r="Q30" s="2" t="s">
        <v>451</v>
      </c>
      <c r="R30" s="2" t="str">
        <f>IFERROR(__xludf.DUMMYFUNCTION("GOOGLETRANSLATE(G30,""en"",""ur"")"),"ہتھیار رکھنے کے لیے")</f>
        <v>ہتھیار رکھنے کے لیے</v>
      </c>
      <c r="S30" s="6" t="s">
        <v>468</v>
      </c>
    </row>
    <row r="31">
      <c r="A31" s="7">
        <v>30.0</v>
      </c>
      <c r="B31" s="6" t="s">
        <v>452</v>
      </c>
      <c r="C31" s="6" t="s">
        <v>453</v>
      </c>
      <c r="D31" s="6" t="s">
        <v>454</v>
      </c>
      <c r="E31" s="6" t="s">
        <v>455</v>
      </c>
      <c r="F31" s="6" t="s">
        <v>456</v>
      </c>
      <c r="G31" s="6" t="s">
        <v>454</v>
      </c>
      <c r="H31" s="6" t="s">
        <v>468</v>
      </c>
      <c r="K31" s="2" t="str">
        <f>IFERROR(__xludf.DUMMYFUNCTION("GOOGLETRANSLATE(A31,""en"",""ur"")"),"30")</f>
        <v>30</v>
      </c>
      <c r="L31" s="2" t="str">
        <f>IFERROR(__xludf.DUMMYFUNCTION("GOOGLETRANSLATE(B31,""en"",""ur"")"),"ایونٹ کا مجموعی موڈ ایسا لگتا ہے...")</f>
        <v>ایونٹ کا مجموعی موڈ ایسا لگتا ہے...</v>
      </c>
      <c r="M31" s="2" t="str">
        <f>IFERROR(__xludf.DUMMYFUNCTION("GOOGLETRANSLATE(C31,""en"",""ur"")"),"ایک آرام دہ مشق سیشن")</f>
        <v>ایک آرام دہ مشق سیشن</v>
      </c>
      <c r="N31" s="2" t="str">
        <f>IFERROR(__xludf.DUMMYFUNCTION("GOOGLETRANSLATE(D31,""en"",""ur"")"),"ایک تناؤ اور جارحانہ کارکردگی")</f>
        <v>ایک تناؤ اور جارحانہ کارکردگی</v>
      </c>
      <c r="O31" s="2" t="str">
        <f>IFERROR(__xludf.DUMMYFUNCTION("GOOGLETRANSLATE(E31,""en"",""ur"")"),"ایک پرسکون، پرامن اجتماع")</f>
        <v>ایک پرسکون، پرامن اجتماع</v>
      </c>
      <c r="P31" s="2" t="str">
        <f>IFERROR(__xludf.DUMMYFUNCTION("GOOGLETRANSLATE(F31,""en"",""ur"")"),"ایک سست، رسمی رقص")</f>
        <v>ایک سست، رسمی رقص</v>
      </c>
      <c r="Q31" s="2" t="s">
        <v>457</v>
      </c>
      <c r="R31" s="2" t="str">
        <f>IFERROR(__xludf.DUMMYFUNCTION("GOOGLETRANSLATE(G31,""en"",""ur"")"),"ایک تناؤ اور جارحانہ کارکردگی")</f>
        <v>ایک تناؤ اور جارحانہ کارکردگی</v>
      </c>
      <c r="S31" s="6" t="s">
        <v>468</v>
      </c>
    </row>
    <row r="32">
      <c r="A32" s="7">
        <v>31.0</v>
      </c>
      <c r="B32" s="6" t="s">
        <v>477</v>
      </c>
      <c r="C32" s="6" t="s">
        <v>464</v>
      </c>
      <c r="D32" s="6" t="s">
        <v>465</v>
      </c>
      <c r="E32" s="6" t="s">
        <v>466</v>
      </c>
      <c r="F32" s="6" t="s">
        <v>478</v>
      </c>
      <c r="G32" s="6" t="s">
        <v>478</v>
      </c>
      <c r="H32" s="6" t="s">
        <v>479</v>
      </c>
      <c r="K32" s="2" t="str">
        <f>IFERROR(__xludf.DUMMYFUNCTION("GOOGLETRANSLATE(A32,""en"",""ur"")"),"31")</f>
        <v>31</v>
      </c>
      <c r="L32" s="2" t="str">
        <f>IFERROR(__xludf.DUMMYFUNCTION("GOOGLETRANSLATE(B32,""en"",""ur"")"),"گٹکا_4 میں دکھایا گیا اہم عمل کیا ہے؟")</f>
        <v>گٹکا_4 میں دکھایا گیا اہم عمل کیا ہے؟</v>
      </c>
      <c r="M32" s="2" t="str">
        <f>IFERROR(__xludf.DUMMYFUNCTION("GOOGLETRANSLATE(C32,""en"",""ur"")"),"ایک آدمی ناچ رہا ہے۔")</f>
        <v>ایک آدمی ناچ رہا ہے۔</v>
      </c>
      <c r="N32" s="2" t="str">
        <f>IFERROR(__xludf.DUMMYFUNCTION("GOOGLETRANSLATE(D32,""en"",""ur"")"),"ایک آدمی سہارے کے ساتھ پوز کر رہا ہے۔")</f>
        <v>ایک آدمی سہارے کے ساتھ پوز کر رہا ہے۔</v>
      </c>
      <c r="O32" s="2" t="str">
        <f>IFERROR(__xludf.DUMMYFUNCTION("GOOGLETRANSLATE(E32,""en"",""ur"")"),"تلواروں سے لڑنے والا آدمی")</f>
        <v>تلواروں سے لڑنے والا آدمی</v>
      </c>
      <c r="P32" s="2" t="str">
        <f>IFERROR(__xludf.DUMMYFUNCTION("GOOGLETRANSLATE(F32,""en"",""ur"")"),"ایک آدمی چھوٹی تلوار کے ساتھ ہوا میں چھلانگ لگا رہا ہے۔")</f>
        <v>ایک آدمی چھوٹی تلوار کے ساتھ ہوا میں چھلانگ لگا رہا ہے۔</v>
      </c>
      <c r="Q32" s="2" t="s">
        <v>480</v>
      </c>
      <c r="R32" s="2" t="str">
        <f>IFERROR(__xludf.DUMMYFUNCTION("GOOGLETRANSLATE(G32,""en"",""ur"")"),"ایک آدمی چھوٹی تلوار کے ساتھ ہوا میں چھلانگ لگا رہا ہے۔")</f>
        <v>ایک آدمی چھوٹی تلوار کے ساتھ ہوا میں چھلانگ لگا رہا ہے۔</v>
      </c>
      <c r="S32" s="6" t="s">
        <v>479</v>
      </c>
    </row>
    <row r="33">
      <c r="A33" s="7">
        <v>32.0</v>
      </c>
      <c r="B33" s="6" t="s">
        <v>470</v>
      </c>
      <c r="C33" s="6" t="s">
        <v>411</v>
      </c>
      <c r="D33" s="6" t="s">
        <v>461</v>
      </c>
      <c r="E33" s="6" t="s">
        <v>334</v>
      </c>
      <c r="F33" s="6" t="s">
        <v>413</v>
      </c>
      <c r="G33" s="6" t="s">
        <v>461</v>
      </c>
      <c r="H33" s="6" t="s">
        <v>479</v>
      </c>
      <c r="K33" s="2" t="str">
        <f>IFERROR(__xludf.DUMMYFUNCTION("GOOGLETRANSLATE(A33,""en"",""ur"")"),"32")</f>
        <v>32</v>
      </c>
      <c r="L33" s="2" t="str">
        <f>IFERROR(__xludf.DUMMYFUNCTION("GOOGLETRANSLATE(B33,""en"",""ur"")"),"آدمی کے لباس کے بارے میں ایک قابل ذکر تفصیل کیا ہے؟")</f>
        <v>آدمی کے لباس کے بارے میں ایک قابل ذکر تفصیل کیا ہے؟</v>
      </c>
      <c r="M33" s="2" t="str">
        <f>IFERROR(__xludf.DUMMYFUNCTION("GOOGLETRANSLATE(C33,""en"",""ur"")"),"اس نے بکتر کا پورا سوٹ پہن رکھا ہے۔")</f>
        <v>اس نے بکتر کا پورا سوٹ پہن رکھا ہے۔</v>
      </c>
      <c r="N33" s="2" t="str">
        <f>IFERROR(__xludf.DUMMYFUNCTION("GOOGLETRANSLATE(D33,""en"",""ur"")"),"اس نے ایک لمبا، کالا چوغہ پہن رکھا ہے جس میں سفید چادر ہے۔")</f>
        <v>اس نے ایک لمبا، کالا چوغہ پہن رکھا ہے جس میں سفید چادر ہے۔</v>
      </c>
      <c r="O33" s="2" t="str">
        <f>IFERROR(__xludf.DUMMYFUNCTION("GOOGLETRANSLATE(E33,""en"",""ur"")"),"اس نے شارٹس اور ٹی شرٹ پہن رکھی ہے۔")</f>
        <v>اس نے شارٹس اور ٹی شرٹ پہن رکھی ہے۔</v>
      </c>
      <c r="P33" s="2" t="str">
        <f>IFERROR(__xludf.DUMMYFUNCTION("GOOGLETRANSLATE(F33,""en"",""ur"")"),"اس نے پولیس کی وردی پہن رکھی ہے۔")</f>
        <v>اس نے پولیس کی وردی پہن رکھی ہے۔</v>
      </c>
      <c r="Q33" s="2" t="s">
        <v>462</v>
      </c>
      <c r="R33" s="2" t="str">
        <f>IFERROR(__xludf.DUMMYFUNCTION("GOOGLETRANSLATE(G33,""en"",""ur"")"),"اس نے ایک لمبا، کالا چوغہ پہن رکھا ہے جس میں سفید چادر ہے۔")</f>
        <v>اس نے ایک لمبا، کالا چوغہ پہن رکھا ہے جس میں سفید چادر ہے۔</v>
      </c>
      <c r="S33" s="6" t="s">
        <v>479</v>
      </c>
    </row>
    <row r="34">
      <c r="A34" s="7">
        <v>33.0</v>
      </c>
      <c r="B34" s="6" t="s">
        <v>471</v>
      </c>
      <c r="C34" s="6" t="s">
        <v>416</v>
      </c>
      <c r="D34" s="6" t="s">
        <v>417</v>
      </c>
      <c r="E34" s="6" t="s">
        <v>418</v>
      </c>
      <c r="F34" s="6" t="s">
        <v>419</v>
      </c>
      <c r="G34" s="6" t="s">
        <v>416</v>
      </c>
      <c r="H34" s="6" t="s">
        <v>479</v>
      </c>
      <c r="K34" s="2" t="str">
        <f>IFERROR(__xludf.DUMMYFUNCTION("GOOGLETRANSLATE(A34,""en"",""ur"")"),"33")</f>
        <v>33</v>
      </c>
      <c r="L34" s="2" t="str">
        <f>IFERROR(__xludf.DUMMYFUNCTION("GOOGLETRANSLATE(B34,""en"",""ur"")"),"آدمی کی طرف سے استعمال کیا جاتا بنیادی ہتھیار کیا ہے؟")</f>
        <v>آدمی کی طرف سے استعمال کیا جاتا بنیادی ہتھیار کیا ہے؟</v>
      </c>
      <c r="M34" s="2" t="str">
        <f>IFERROR(__xludf.DUMMYFUNCTION("GOOGLETRANSLATE(C34,""en"",""ur"")"),"ایک چھوٹی تلوار")</f>
        <v>ایک چھوٹی تلوار</v>
      </c>
      <c r="N34" s="2" t="str">
        <f>IFERROR(__xludf.DUMMYFUNCTION("GOOGLETRANSLATE(D34,""en"",""ur"")"),"ایک لمبی چھڑی")</f>
        <v>ایک لمبی چھڑی</v>
      </c>
      <c r="O34" s="2" t="str">
        <f>IFERROR(__xludf.DUMMYFUNCTION("GOOGLETRANSLATE(E34,""en"",""ur"")"),"ایک کمان اور تیر")</f>
        <v>ایک کمان اور تیر</v>
      </c>
      <c r="P34" s="2" t="str">
        <f>IFERROR(__xludf.DUMMYFUNCTION("GOOGLETRANSLATE(F34,""en"",""ur"")"),"ایک ننگی مٹھی")</f>
        <v>ایک ننگی مٹھی</v>
      </c>
      <c r="Q34" s="2" t="s">
        <v>420</v>
      </c>
      <c r="R34" s="2" t="str">
        <f>IFERROR(__xludf.DUMMYFUNCTION("GOOGLETRANSLATE(G34,""en"",""ur"")"),"ایک چھوٹی تلوار")</f>
        <v>ایک چھوٹی تلوار</v>
      </c>
      <c r="S34" s="6" t="s">
        <v>479</v>
      </c>
    </row>
    <row r="35">
      <c r="A35" s="7">
        <v>34.0</v>
      </c>
      <c r="B35" s="6" t="s">
        <v>421</v>
      </c>
      <c r="C35" s="6" t="s">
        <v>422</v>
      </c>
      <c r="D35" s="6" t="s">
        <v>423</v>
      </c>
      <c r="E35" s="6" t="s">
        <v>424</v>
      </c>
      <c r="F35" s="6" t="s">
        <v>425</v>
      </c>
      <c r="G35" s="6" t="s">
        <v>425</v>
      </c>
      <c r="H35" s="6" t="s">
        <v>479</v>
      </c>
      <c r="K35" s="2" t="str">
        <f>IFERROR(__xludf.DUMMYFUNCTION("GOOGLETRANSLATE(A35,""en"",""ur"")"),"34")</f>
        <v>34</v>
      </c>
      <c r="L35" s="2" t="str">
        <f>IFERROR(__xludf.DUMMYFUNCTION("GOOGLETRANSLATE(B35,""en"",""ur"")"),"اس لڑائی کی ترتیب کیا ہے؟")</f>
        <v>اس لڑائی کی ترتیب کیا ہے؟</v>
      </c>
      <c r="M35" s="2" t="str">
        <f>IFERROR(__xludf.DUMMYFUNCTION("GOOGLETRANSLATE(C35,""en"",""ur"")"),"ایک انڈور اسٹیڈیم")</f>
        <v>ایک انڈور اسٹیڈیم</v>
      </c>
      <c r="N35" s="2" t="str">
        <f>IFERROR(__xludf.DUMMYFUNCTION("GOOGLETRANSLATE(D35,""en"",""ur"")"),"ایک دیہی، بیرونی علاقہ")</f>
        <v>ایک دیہی، بیرونی علاقہ</v>
      </c>
      <c r="O35" s="2" t="str">
        <f>IFERROR(__xludf.DUMMYFUNCTION("GOOGLETRANSLATE(E35,""en"",""ur"")"),"شہر کی مصروف گلی")</f>
        <v>شہر کی مصروف گلی</v>
      </c>
      <c r="P35" s="2" t="str">
        <f>IFERROR(__xludf.DUMMYFUNCTION("GOOGLETRANSLATE(F35,""en"",""ur"")"),"گھاس کا میدان")</f>
        <v>گھاس کا میدان</v>
      </c>
      <c r="Q35" s="2" t="s">
        <v>426</v>
      </c>
      <c r="R35" s="2" t="str">
        <f>IFERROR(__xludf.DUMMYFUNCTION("GOOGLETRANSLATE(G35,""en"",""ur"")"),"گھاس کا میدان")</f>
        <v>گھاس کا میدان</v>
      </c>
      <c r="S35" s="6" t="s">
        <v>479</v>
      </c>
    </row>
    <row r="36">
      <c r="A36" s="7">
        <v>35.0</v>
      </c>
      <c r="B36" s="6" t="s">
        <v>472</v>
      </c>
      <c r="C36" s="6" t="s">
        <v>47</v>
      </c>
      <c r="D36" s="6" t="s">
        <v>48</v>
      </c>
      <c r="E36" s="6" t="s">
        <v>49</v>
      </c>
      <c r="F36" s="6" t="s">
        <v>50</v>
      </c>
      <c r="G36" s="6" t="s">
        <v>49</v>
      </c>
      <c r="H36" s="6" t="s">
        <v>479</v>
      </c>
      <c r="K36" s="2" t="str">
        <f>IFERROR(__xludf.DUMMYFUNCTION("GOOGLETRANSLATE(A36,""en"",""ur"")"),"35")</f>
        <v>35</v>
      </c>
      <c r="L36" s="2" t="str">
        <f>IFERROR(__xludf.DUMMYFUNCTION("GOOGLETRANSLATE(B36,""en"",""ur"")"),"آدمی کا ظاہری جذبات کیا ہے؟")</f>
        <v>آدمی کا ظاہری جذبات کیا ہے؟</v>
      </c>
      <c r="M36" s="2" t="str">
        <f>IFERROR(__xludf.DUMMYFUNCTION("GOOGLETRANSLATE(C36,""en"",""ur"")"),"پرسکون اور پر سکون")</f>
        <v>پرسکون اور پر سکون</v>
      </c>
      <c r="N36" s="2" t="str">
        <f>IFERROR(__xludf.DUMMYFUNCTION("GOOGLETRANSLATE(D36,""en"",""ur"")"),"خوف زدہ اور بے چین")</f>
        <v>خوف زدہ اور بے چین</v>
      </c>
      <c r="O36" s="2" t="str">
        <f>IFERROR(__xludf.DUMMYFUNCTION("GOOGLETRANSLATE(E36,""en"",""ur"")"),"کشیدہ اور شدید")</f>
        <v>کشیدہ اور شدید</v>
      </c>
      <c r="P36" s="2" t="str">
        <f>IFERROR(__xludf.DUMMYFUNCTION("GOOGLETRANSLATE(F36,""en"",""ur"")"),"خوش اور مسکراتے ہوئے۔")</f>
        <v>خوش اور مسکراتے ہوئے۔</v>
      </c>
      <c r="Q36" s="2" t="s">
        <v>51</v>
      </c>
      <c r="R36" s="2" t="str">
        <f>IFERROR(__xludf.DUMMYFUNCTION("GOOGLETRANSLATE(G36,""en"",""ur"")"),"کشیدہ اور شدید")</f>
        <v>کشیدہ اور شدید</v>
      </c>
      <c r="S36" s="6" t="s">
        <v>479</v>
      </c>
    </row>
    <row r="37">
      <c r="A37" s="7">
        <v>36.0</v>
      </c>
      <c r="B37" s="6" t="s">
        <v>473</v>
      </c>
      <c r="C37" s="6" t="s">
        <v>429</v>
      </c>
      <c r="D37" s="6" t="s">
        <v>430</v>
      </c>
      <c r="E37" s="6" t="s">
        <v>431</v>
      </c>
      <c r="F37" s="6" t="s">
        <v>474</v>
      </c>
      <c r="G37" s="6" t="s">
        <v>474</v>
      </c>
      <c r="H37" s="6" t="s">
        <v>479</v>
      </c>
      <c r="K37" s="2" t="str">
        <f>IFERROR(__xludf.DUMMYFUNCTION("GOOGLETRANSLATE(A37,""en"",""ur"")"),"36")</f>
        <v>36</v>
      </c>
      <c r="L37" s="2" t="str">
        <f>IFERROR(__xludf.DUMMYFUNCTION("GOOGLETRANSLATE(B37,""en"",""ur"")"),"مرد کی ظاہری جسمانی پوزیشن کیا ہے؟")</f>
        <v>مرد کی ظاہری جسمانی پوزیشن کیا ہے؟</v>
      </c>
      <c r="M37" s="2" t="str">
        <f>IFERROR(__xludf.DUMMYFUNCTION("GOOGLETRANSLATE(C37,""en"",""ur"")"),"سیدھا کھڑا ہونا")</f>
        <v>سیدھا کھڑا ہونا</v>
      </c>
      <c r="N37" s="2" t="str">
        <f>IFERROR(__xludf.DUMMYFUNCTION("GOOGLETRANSLATE(D37,""en"",""ur"")"),"کم، متحرک موقف میں")</f>
        <v>کم، متحرک موقف میں</v>
      </c>
      <c r="O37" s="2" t="str">
        <f>IFERROR(__xludf.DUMMYFUNCTION("GOOGLETRANSLATE(E37,""en"",""ur"")"),"زمین پر لیٹنا")</f>
        <v>زمین پر لیٹنا</v>
      </c>
      <c r="P37" s="2" t="str">
        <f>IFERROR(__xludf.DUMMYFUNCTION("GOOGLETRANSLATE(F37,""en"",""ur"")"),"ہوا میں چھلانگ لگانا")</f>
        <v>ہوا میں چھلانگ لگانا</v>
      </c>
      <c r="Q37" s="2" t="s">
        <v>475</v>
      </c>
      <c r="R37" s="2" t="str">
        <f>IFERROR(__xludf.DUMMYFUNCTION("GOOGLETRANSLATE(G37,""en"",""ur"")"),"ہوا میں چھلانگ لگانا")</f>
        <v>ہوا میں چھلانگ لگانا</v>
      </c>
      <c r="S37" s="6" t="s">
        <v>479</v>
      </c>
    </row>
    <row r="38">
      <c r="A38" s="7">
        <v>37.0</v>
      </c>
      <c r="B38" s="6" t="s">
        <v>434</v>
      </c>
      <c r="C38" s="6" t="s">
        <v>435</v>
      </c>
      <c r="D38" s="6" t="s">
        <v>436</v>
      </c>
      <c r="E38" s="6" t="s">
        <v>437</v>
      </c>
      <c r="F38" s="6" t="s">
        <v>438</v>
      </c>
      <c r="G38" s="6" t="s">
        <v>437</v>
      </c>
      <c r="H38" s="6" t="s">
        <v>479</v>
      </c>
      <c r="K38" s="2" t="str">
        <f>IFERROR(__xludf.DUMMYFUNCTION("GOOGLETRANSLATE(A38,""en"",""ur"")"),"37")</f>
        <v>37</v>
      </c>
      <c r="L38" s="2" t="str">
        <f>IFERROR(__xludf.DUMMYFUNCTION("GOOGLETRANSLATE(B38,""en"",""ur"")"),"پس منظر میں ہجوم کی سب سے نمایاں خصوصیت کیا ہے؟")</f>
        <v>پس منظر میں ہجوم کی سب سے نمایاں خصوصیت کیا ہے؟</v>
      </c>
      <c r="M38" s="2" t="str">
        <f>IFERROR(__xludf.DUMMYFUNCTION("GOOGLETRANSLATE(C38,""en"",""ur"")"),"وہ بھاگ رہے ہیں۔")</f>
        <v>وہ بھاگ رہے ہیں۔</v>
      </c>
      <c r="N38" s="2" t="str">
        <f>IFERROR(__xludf.DUMMYFUNCTION("GOOGLETRANSLATE(D38,""en"",""ur"")"),"وہ خاموش بیٹھے ہیں۔")</f>
        <v>وہ خاموش بیٹھے ہیں۔</v>
      </c>
      <c r="O38" s="2" t="str">
        <f>IFERROR(__xludf.DUMMYFUNCTION("GOOGLETRANSLATE(E38,""en"",""ur"")"),"وہ لڑائی کو قدرتی رکاوٹ سے دیکھ رہے ہیں۔")</f>
        <v>وہ لڑائی کو قدرتی رکاوٹ سے دیکھ رہے ہیں۔</v>
      </c>
      <c r="P38" s="2" t="str">
        <f>IFERROR(__xludf.DUMMYFUNCTION("GOOGLETRANSLATE(F38,""en"",""ur"")"),"وہ سب ایک اسٹیج پر کھڑے ہیں۔")</f>
        <v>وہ سب ایک اسٹیج پر کھڑے ہیں۔</v>
      </c>
      <c r="Q38" s="2" t="s">
        <v>439</v>
      </c>
      <c r="R38" s="2" t="str">
        <f>IFERROR(__xludf.DUMMYFUNCTION("GOOGLETRANSLATE(G38,""en"",""ur"")"),"وہ لڑائی کو قدرتی رکاوٹ سے دیکھ رہے ہیں۔")</f>
        <v>وہ لڑائی کو قدرتی رکاوٹ سے دیکھ رہے ہیں۔</v>
      </c>
      <c r="S38" s="6" t="s">
        <v>479</v>
      </c>
    </row>
    <row r="39">
      <c r="A39" s="7">
        <v>38.0</v>
      </c>
      <c r="B39" s="6" t="s">
        <v>440</v>
      </c>
      <c r="C39" s="6" t="s">
        <v>441</v>
      </c>
      <c r="D39" s="6" t="s">
        <v>442</v>
      </c>
      <c r="E39" s="6" t="s">
        <v>443</v>
      </c>
      <c r="F39" s="6" t="s">
        <v>444</v>
      </c>
      <c r="G39" s="6" t="s">
        <v>444</v>
      </c>
      <c r="H39" s="6" t="s">
        <v>479</v>
      </c>
      <c r="K39" s="2" t="str">
        <f>IFERROR(__xludf.DUMMYFUNCTION("GOOGLETRANSLATE(A39,""en"",""ur"")"),"38")</f>
        <v>38</v>
      </c>
      <c r="L39" s="2" t="str">
        <f>IFERROR(__xludf.DUMMYFUNCTION("GOOGLETRANSLATE(B39,""en"",""ur"")"),"زمین کی ظاہری حالت کیا ہے؟")</f>
        <v>زمین کی ظاہری حالت کیا ہے؟</v>
      </c>
      <c r="M39" s="2" t="str">
        <f>IFERROR(__xludf.DUMMYFUNCTION("GOOGLETRANSLATE(C39,""en"",""ur"")"),"یہ ایک پکی سطح ہے۔")</f>
        <v>یہ ایک پکی سطح ہے۔</v>
      </c>
      <c r="N39" s="2" t="str">
        <f>IFERROR(__xludf.DUMMYFUNCTION("GOOGLETRANSLATE(D39,""en"",""ur"")"),"یہ ایک کیچڑ والا میدان ہے۔")</f>
        <v>یہ ایک کیچڑ والا میدان ہے۔</v>
      </c>
      <c r="O39" s="2" t="str">
        <f>IFERROR(__xludf.DUMMYFUNCTION("GOOGLETRANSLATE(E39,""en"",""ur"")"),"یہ ایک ریتلی یا مٹی کی سطح ہے جس میں دھول اڑتی ہے۔")</f>
        <v>یہ ایک ریتلی یا مٹی کی سطح ہے جس میں دھول اڑتی ہے۔</v>
      </c>
      <c r="P39" s="2" t="str">
        <f>IFERROR(__xludf.DUMMYFUNCTION("GOOGLETRANSLATE(F39,""en"",""ur"")"),"یہ ایک گھاس والی سطح ہے۔")</f>
        <v>یہ ایک گھاس والی سطح ہے۔</v>
      </c>
      <c r="Q39" s="2" t="s">
        <v>445</v>
      </c>
      <c r="R39" s="2" t="str">
        <f>IFERROR(__xludf.DUMMYFUNCTION("GOOGLETRANSLATE(G39,""en"",""ur"")"),"یہ ایک گھاس والی سطح ہے۔")</f>
        <v>یہ ایک گھاس والی سطح ہے۔</v>
      </c>
      <c r="S39" s="6" t="s">
        <v>479</v>
      </c>
    </row>
    <row r="40">
      <c r="A40" s="7">
        <v>39.0</v>
      </c>
      <c r="B40" s="6" t="s">
        <v>481</v>
      </c>
      <c r="C40" s="6" t="s">
        <v>447</v>
      </c>
      <c r="D40" s="6" t="s">
        <v>448</v>
      </c>
      <c r="E40" s="6" t="s">
        <v>449</v>
      </c>
      <c r="F40" s="6" t="s">
        <v>450</v>
      </c>
      <c r="G40" s="6" t="s">
        <v>448</v>
      </c>
      <c r="H40" s="6" t="s">
        <v>479</v>
      </c>
      <c r="K40" s="2" t="str">
        <f>IFERROR(__xludf.DUMMYFUNCTION("GOOGLETRANSLATE(A40,""en"",""ur"")"),"39")</f>
        <v>39</v>
      </c>
      <c r="L40" s="2" t="str">
        <f>IFERROR(__xludf.DUMMYFUNCTION("GOOGLETRANSLATE(B40,""en"",""ur"")"),"مختصر تلوار کا بنیادی مقصد کیا ہے؟")</f>
        <v>مختصر تلوار کا بنیادی مقصد کیا ہے؟</v>
      </c>
      <c r="M40" s="2" t="str">
        <f>IFERROR(__xludf.DUMMYFUNCTION("GOOGLETRANSLATE(C40,""en"",""ur"")"),"تلوار کے وار کو روکنے کے لیے")</f>
        <v>تلوار کے وار کو روکنے کے لیے</v>
      </c>
      <c r="N40" s="2" t="str">
        <f>IFERROR(__xludf.DUMMYFUNCTION("GOOGLETRANSLATE(D40,""en"",""ur"")"),"ہتھیار رکھنے کے لیے")</f>
        <v>ہتھیار رکھنے کے لیے</v>
      </c>
      <c r="O40" s="2" t="str">
        <f>IFERROR(__xludf.DUMMYFUNCTION("GOOGLETRANSLATE(E40,""en"",""ur"")"),"صرف سجاوٹ کے لیے")</f>
        <v>صرف سجاوٹ کے لیے</v>
      </c>
      <c r="P40" s="2" t="str">
        <f>IFERROR(__xludf.DUMMYFUNCTION("GOOGLETRANSLATE(F40,""en"",""ur"")"),"سورج کو روکنے کے لئے")</f>
        <v>سورج کو روکنے کے لئے</v>
      </c>
      <c r="Q40" s="2" t="s">
        <v>451</v>
      </c>
      <c r="R40" s="2" t="str">
        <f>IFERROR(__xludf.DUMMYFUNCTION("GOOGLETRANSLATE(G40,""en"",""ur"")"),"ہتھیار رکھنے کے لیے")</f>
        <v>ہتھیار رکھنے کے لیے</v>
      </c>
      <c r="S40" s="6" t="s">
        <v>479</v>
      </c>
    </row>
    <row r="41">
      <c r="A41" s="7">
        <v>40.0</v>
      </c>
      <c r="B41" s="6" t="s">
        <v>452</v>
      </c>
      <c r="C41" s="6" t="s">
        <v>453</v>
      </c>
      <c r="D41" s="6" t="s">
        <v>454</v>
      </c>
      <c r="E41" s="6" t="s">
        <v>455</v>
      </c>
      <c r="F41" s="6" t="s">
        <v>456</v>
      </c>
      <c r="G41" s="6" t="s">
        <v>454</v>
      </c>
      <c r="H41" s="6" t="s">
        <v>479</v>
      </c>
      <c r="K41" s="2" t="str">
        <f>IFERROR(__xludf.DUMMYFUNCTION("GOOGLETRANSLATE(A41,""en"",""ur"")"),"40")</f>
        <v>40</v>
      </c>
      <c r="L41" s="2" t="str">
        <f>IFERROR(__xludf.DUMMYFUNCTION("GOOGLETRANSLATE(B41,""en"",""ur"")"),"ایونٹ کا مجموعی موڈ ایسا لگتا ہے...")</f>
        <v>ایونٹ کا مجموعی موڈ ایسا لگتا ہے...</v>
      </c>
      <c r="M41" s="2" t="str">
        <f>IFERROR(__xludf.DUMMYFUNCTION("GOOGLETRANSLATE(C41,""en"",""ur"")"),"ایک آرام دہ مشق سیشن")</f>
        <v>ایک آرام دہ مشق سیشن</v>
      </c>
      <c r="N41" s="2" t="str">
        <f>IFERROR(__xludf.DUMMYFUNCTION("GOOGLETRANSLATE(D41,""en"",""ur"")"),"ایک تناؤ اور جارحانہ کارکردگی")</f>
        <v>ایک تناؤ اور جارحانہ کارکردگی</v>
      </c>
      <c r="O41" s="2" t="str">
        <f>IFERROR(__xludf.DUMMYFUNCTION("GOOGLETRANSLATE(E41,""en"",""ur"")"),"ایک پرسکون، پرامن اجتماع")</f>
        <v>ایک پرسکون، پرامن اجتماع</v>
      </c>
      <c r="P41" s="2" t="str">
        <f>IFERROR(__xludf.DUMMYFUNCTION("GOOGLETRANSLATE(F41,""en"",""ur"")"),"ایک سست، رسمی رقص")</f>
        <v>ایک سست، رسمی رقص</v>
      </c>
      <c r="Q41" s="2" t="s">
        <v>457</v>
      </c>
      <c r="R41" s="2" t="str">
        <f>IFERROR(__xludf.DUMMYFUNCTION("GOOGLETRANSLATE(G41,""en"",""ur"")"),"ایک تناؤ اور جارحانہ کارکردگی")</f>
        <v>ایک تناؤ اور جارحانہ کارکردگی</v>
      </c>
      <c r="S41" s="6" t="s">
        <v>479</v>
      </c>
    </row>
    <row r="42">
      <c r="A42" s="7">
        <v>41.0</v>
      </c>
      <c r="B42" s="6" t="s">
        <v>482</v>
      </c>
      <c r="C42" s="6" t="s">
        <v>406</v>
      </c>
      <c r="D42" s="6" t="s">
        <v>483</v>
      </c>
      <c r="E42" s="6" t="s">
        <v>484</v>
      </c>
      <c r="F42" s="6" t="s">
        <v>408</v>
      </c>
      <c r="G42" s="6" t="s">
        <v>483</v>
      </c>
      <c r="H42" s="6" t="s">
        <v>485</v>
      </c>
      <c r="K42" s="2" t="str">
        <f>IFERROR(__xludf.DUMMYFUNCTION("GOOGLETRANSLATE(A42,""en"",""ur"")"),"41")</f>
        <v>41</v>
      </c>
      <c r="L42" s="2" t="str">
        <f>IFERROR(__xludf.DUMMYFUNCTION("GOOGLETRANSLATE(B42,""en"",""ur"")"),"گٹکا_5 میں دکھایا گیا اہم عمل کیا ہے؟")</f>
        <v>گٹکا_5 میں دکھایا گیا اہم عمل کیا ہے؟</v>
      </c>
      <c r="M42" s="2" t="str">
        <f>IFERROR(__xludf.DUMMYFUNCTION("GOOGLETRANSLATE(C42,""en"",""ur"")"),"دو آدمی ناچ رہے ہیں۔")</f>
        <v>دو آدمی ناچ رہے ہیں۔</v>
      </c>
      <c r="N42" s="2" t="str">
        <f>IFERROR(__xludf.DUMMYFUNCTION("GOOGLETRANSLATE(D42,""en"",""ur"")"),"دو آدمی لاٹھیوں اور ڈھالوں سے لڑ رہے ہیں۔")</f>
        <v>دو آدمی لاٹھیوں اور ڈھالوں سے لڑ رہے ہیں۔</v>
      </c>
      <c r="O42" s="2" t="str">
        <f>IFERROR(__xludf.DUMMYFUNCTION("GOOGLETRANSLATE(E42,""en"",""ur"")"),"دو آدمی تصویر کے لیے پوز کر رہے ہیں۔")</f>
        <v>دو آدمی تصویر کے لیے پوز کر رہے ہیں۔</v>
      </c>
      <c r="P42" s="2" t="str">
        <f>IFERROR(__xludf.DUMMYFUNCTION("GOOGLETRANSLATE(F42,""en"",""ur"")"),"دو آدمی کشتی کرتے ہوئے۔")</f>
        <v>دو آدمی کشتی کرتے ہوئے۔</v>
      </c>
      <c r="Q42" s="2" t="s">
        <v>486</v>
      </c>
      <c r="R42" s="2" t="str">
        <f>IFERROR(__xludf.DUMMYFUNCTION("GOOGLETRANSLATE(G42,""en"",""ur"")"),"دو آدمی لاٹھیوں اور ڈھالوں سے لڑ رہے ہیں۔")</f>
        <v>دو آدمی لاٹھیوں اور ڈھالوں سے لڑ رہے ہیں۔</v>
      </c>
      <c r="S42" s="6" t="s">
        <v>485</v>
      </c>
    </row>
    <row r="43">
      <c r="A43" s="7">
        <v>42.0</v>
      </c>
      <c r="B43" s="6" t="s">
        <v>415</v>
      </c>
      <c r="C43" s="6" t="s">
        <v>416</v>
      </c>
      <c r="D43" s="6" t="s">
        <v>417</v>
      </c>
      <c r="E43" s="6" t="s">
        <v>418</v>
      </c>
      <c r="F43" s="6" t="s">
        <v>419</v>
      </c>
      <c r="G43" s="6" t="s">
        <v>416</v>
      </c>
      <c r="H43" s="6" t="s">
        <v>485</v>
      </c>
      <c r="K43" s="2" t="str">
        <f>IFERROR(__xludf.DUMMYFUNCTION("GOOGLETRANSLATE(A43,""en"",""ur"")"),"42")</f>
        <v>42</v>
      </c>
      <c r="L43" s="2" t="str">
        <f>IFERROR(__xludf.DUMMYFUNCTION("GOOGLETRANSLATE(B43,""en"",""ur"")"),"جنگجوؤں کے ذریعہ استعمال ہونے والا بنیادی ہتھیار کیا ہے؟")</f>
        <v>جنگجوؤں کے ذریعہ استعمال ہونے والا بنیادی ہتھیار کیا ہے؟</v>
      </c>
      <c r="M43" s="2" t="str">
        <f>IFERROR(__xludf.DUMMYFUNCTION("GOOGLETRANSLATE(C43,""en"",""ur"")"),"ایک چھوٹی تلوار")</f>
        <v>ایک چھوٹی تلوار</v>
      </c>
      <c r="N43" s="2" t="str">
        <f>IFERROR(__xludf.DUMMYFUNCTION("GOOGLETRANSLATE(D43,""en"",""ur"")"),"ایک لمبی چھڑی")</f>
        <v>ایک لمبی چھڑی</v>
      </c>
      <c r="O43" s="2" t="str">
        <f>IFERROR(__xludf.DUMMYFUNCTION("GOOGLETRANSLATE(E43,""en"",""ur"")"),"ایک کمان اور تیر")</f>
        <v>ایک کمان اور تیر</v>
      </c>
      <c r="P43" s="2" t="str">
        <f>IFERROR(__xludf.DUMMYFUNCTION("GOOGLETRANSLATE(F43,""en"",""ur"")"),"ایک ننگی مٹھی")</f>
        <v>ایک ننگی مٹھی</v>
      </c>
      <c r="Q43" s="2" t="s">
        <v>420</v>
      </c>
      <c r="R43" s="2" t="str">
        <f>IFERROR(__xludf.DUMMYFUNCTION("GOOGLETRANSLATE(G43,""en"",""ur"")"),"ایک چھوٹی تلوار")</f>
        <v>ایک چھوٹی تلوار</v>
      </c>
      <c r="S43" s="6" t="s">
        <v>485</v>
      </c>
    </row>
    <row r="44">
      <c r="A44" s="7">
        <v>43.0</v>
      </c>
      <c r="B44" s="6" t="s">
        <v>487</v>
      </c>
      <c r="C44" s="6" t="s">
        <v>488</v>
      </c>
      <c r="D44" s="6" t="s">
        <v>489</v>
      </c>
      <c r="E44" s="6" t="s">
        <v>490</v>
      </c>
      <c r="F44" s="6" t="s">
        <v>491</v>
      </c>
      <c r="G44" s="6" t="s">
        <v>489</v>
      </c>
      <c r="H44" s="6" t="s">
        <v>485</v>
      </c>
      <c r="K44" s="2" t="str">
        <f>IFERROR(__xludf.DUMMYFUNCTION("GOOGLETRANSLATE(A44,""en"",""ur"")"),"43")</f>
        <v>43</v>
      </c>
      <c r="L44" s="2" t="str">
        <f>IFERROR(__xludf.DUMMYFUNCTION("GOOGLETRANSLATE(B44,""en"",""ur"")"),"جنگجوؤں کے لباس کے بارے میں ایک قابل ذکر تفصیل کیا ہے؟")</f>
        <v>جنگجوؤں کے لباس کے بارے میں ایک قابل ذکر تفصیل کیا ہے؟</v>
      </c>
      <c r="M44" s="2" t="str">
        <f>IFERROR(__xludf.DUMMYFUNCTION("GOOGLETRANSLATE(C44,""en"",""ur"")"),"انہوں نے بکتر کا پورا سوٹ پہن رکھا ہے۔")</f>
        <v>انہوں نے بکتر کا پورا سوٹ پہن رکھا ہے۔</v>
      </c>
      <c r="N44" s="2" t="str">
        <f>IFERROR(__xludf.DUMMYFUNCTION("GOOGLETRANSLATE(D44,""en"",""ur"")"),"انہوں نے ایک لمبا اورنج پیٹرن والا اسکرٹ پہن رکھا ہے۔")</f>
        <v>انہوں نے ایک لمبا اورنج پیٹرن والا اسکرٹ پہن رکھا ہے۔</v>
      </c>
      <c r="O44" s="2" t="str">
        <f>IFERROR(__xludf.DUMMYFUNCTION("GOOGLETRANSLATE(E44,""en"",""ur"")"),"انہوں نے شارٹس اور ٹی شرٹ پہن رکھی ہیں۔")</f>
        <v>انہوں نے شارٹس اور ٹی شرٹ پہن رکھی ہیں۔</v>
      </c>
      <c r="P44" s="2" t="str">
        <f>IFERROR(__xludf.DUMMYFUNCTION("GOOGLETRANSLATE(F44,""en"",""ur"")"),"انہوں نے پولیس کی وردی پہن رکھی ہے۔")</f>
        <v>انہوں نے پولیس کی وردی پہن رکھی ہے۔</v>
      </c>
      <c r="Q44" s="2" t="s">
        <v>492</v>
      </c>
      <c r="R44" s="2" t="str">
        <f>IFERROR(__xludf.DUMMYFUNCTION("GOOGLETRANSLATE(G44,""en"",""ur"")"),"انہوں نے ایک لمبا اورنج پیٹرن والا اسکرٹ پہن رکھا ہے۔")</f>
        <v>انہوں نے ایک لمبا اورنج پیٹرن والا اسکرٹ پہن رکھا ہے۔</v>
      </c>
      <c r="S44" s="6" t="s">
        <v>485</v>
      </c>
    </row>
    <row r="45">
      <c r="A45" s="7">
        <v>44.0</v>
      </c>
      <c r="B45" s="6" t="s">
        <v>421</v>
      </c>
      <c r="C45" s="6" t="s">
        <v>422</v>
      </c>
      <c r="D45" s="6" t="s">
        <v>423</v>
      </c>
      <c r="E45" s="6" t="s">
        <v>424</v>
      </c>
      <c r="F45" s="6" t="s">
        <v>425</v>
      </c>
      <c r="G45" s="6" t="s">
        <v>424</v>
      </c>
      <c r="H45" s="6" t="s">
        <v>485</v>
      </c>
      <c r="K45" s="2" t="str">
        <f>IFERROR(__xludf.DUMMYFUNCTION("GOOGLETRANSLATE(A45,""en"",""ur"")"),"44")</f>
        <v>44</v>
      </c>
      <c r="L45" s="2" t="str">
        <f>IFERROR(__xludf.DUMMYFUNCTION("GOOGLETRANSLATE(B45,""en"",""ur"")"),"اس لڑائی کی ترتیب کیا ہے؟")</f>
        <v>اس لڑائی کی ترتیب کیا ہے؟</v>
      </c>
      <c r="M45" s="2" t="str">
        <f>IFERROR(__xludf.DUMMYFUNCTION("GOOGLETRANSLATE(C45,""en"",""ur"")"),"ایک انڈور اسٹیڈیم")</f>
        <v>ایک انڈور اسٹیڈیم</v>
      </c>
      <c r="N45" s="2" t="str">
        <f>IFERROR(__xludf.DUMMYFUNCTION("GOOGLETRANSLATE(D45,""en"",""ur"")"),"ایک دیہی، بیرونی علاقہ")</f>
        <v>ایک دیہی، بیرونی علاقہ</v>
      </c>
      <c r="O45" s="2" t="str">
        <f>IFERROR(__xludf.DUMMYFUNCTION("GOOGLETRANSLATE(E45,""en"",""ur"")"),"شہر کی مصروف گلی")</f>
        <v>شہر کی مصروف گلی</v>
      </c>
      <c r="P45" s="2" t="str">
        <f>IFERROR(__xludf.DUMMYFUNCTION("GOOGLETRANSLATE(F45,""en"",""ur"")"),"گھاس کا میدان")</f>
        <v>گھاس کا میدان</v>
      </c>
      <c r="Q45" s="2" t="s">
        <v>426</v>
      </c>
      <c r="R45" s="2" t="str">
        <f>IFERROR(__xludf.DUMMYFUNCTION("GOOGLETRANSLATE(G45,""en"",""ur"")"),"شہر کی مصروف گلی")</f>
        <v>شہر کی مصروف گلی</v>
      </c>
      <c r="S45" s="6" t="s">
        <v>485</v>
      </c>
    </row>
    <row r="46">
      <c r="A46" s="7">
        <v>45.0</v>
      </c>
      <c r="B46" s="6" t="s">
        <v>427</v>
      </c>
      <c r="C46" s="6" t="s">
        <v>47</v>
      </c>
      <c r="D46" s="6" t="s">
        <v>48</v>
      </c>
      <c r="E46" s="6" t="s">
        <v>49</v>
      </c>
      <c r="F46" s="6" t="s">
        <v>50</v>
      </c>
      <c r="G46" s="6" t="s">
        <v>49</v>
      </c>
      <c r="H46" s="6" t="s">
        <v>485</v>
      </c>
      <c r="K46" s="2" t="str">
        <f>IFERROR(__xludf.DUMMYFUNCTION("GOOGLETRANSLATE(A46,""en"",""ur"")"),"45")</f>
        <v>45</v>
      </c>
      <c r="L46" s="2" t="str">
        <f>IFERROR(__xludf.DUMMYFUNCTION("GOOGLETRANSLATE(B46,""en"",""ur"")"),"جنگجوؤں کے ظاہری جذبات کیا ہیں؟")</f>
        <v>جنگجوؤں کے ظاہری جذبات کیا ہیں؟</v>
      </c>
      <c r="M46" s="2" t="str">
        <f>IFERROR(__xludf.DUMMYFUNCTION("GOOGLETRANSLATE(C46,""en"",""ur"")"),"پرسکون اور پر سکون")</f>
        <v>پرسکون اور پر سکون</v>
      </c>
      <c r="N46" s="2" t="str">
        <f>IFERROR(__xludf.DUMMYFUNCTION("GOOGLETRANSLATE(D46,""en"",""ur"")"),"خوف زدہ اور بے چین")</f>
        <v>خوف زدہ اور بے چین</v>
      </c>
      <c r="O46" s="2" t="str">
        <f>IFERROR(__xludf.DUMMYFUNCTION("GOOGLETRANSLATE(E46,""en"",""ur"")"),"کشیدہ اور شدید")</f>
        <v>کشیدہ اور شدید</v>
      </c>
      <c r="P46" s="2" t="str">
        <f>IFERROR(__xludf.DUMMYFUNCTION("GOOGLETRANSLATE(F46,""en"",""ur"")"),"خوش اور مسکراتے ہوئے۔")</f>
        <v>خوش اور مسکراتے ہوئے۔</v>
      </c>
      <c r="Q46" s="2" t="s">
        <v>51</v>
      </c>
      <c r="R46" s="2" t="str">
        <f>IFERROR(__xludf.DUMMYFUNCTION("GOOGLETRANSLATE(G46,""en"",""ur"")"),"کشیدہ اور شدید")</f>
        <v>کشیدہ اور شدید</v>
      </c>
      <c r="S46" s="6" t="s">
        <v>485</v>
      </c>
    </row>
    <row r="47">
      <c r="A47" s="7">
        <v>46.0</v>
      </c>
      <c r="B47" s="6" t="s">
        <v>428</v>
      </c>
      <c r="C47" s="6" t="s">
        <v>429</v>
      </c>
      <c r="D47" s="6" t="s">
        <v>430</v>
      </c>
      <c r="E47" s="6" t="s">
        <v>431</v>
      </c>
      <c r="F47" s="6" t="s">
        <v>432</v>
      </c>
      <c r="G47" s="6" t="s">
        <v>430</v>
      </c>
      <c r="H47" s="6" t="s">
        <v>485</v>
      </c>
      <c r="K47" s="2" t="str">
        <f>IFERROR(__xludf.DUMMYFUNCTION("GOOGLETRANSLATE(A47,""en"",""ur"")"),"46")</f>
        <v>46</v>
      </c>
      <c r="L47" s="2" t="str">
        <f>IFERROR(__xludf.DUMMYFUNCTION("GOOGLETRANSLATE(B47,""en"",""ur"")"),"جنگجوؤں کی ظاہری باڈی پوزیشن کیا ہے؟")</f>
        <v>جنگجوؤں کی ظاہری باڈی پوزیشن کیا ہے؟</v>
      </c>
      <c r="M47" s="2" t="str">
        <f>IFERROR(__xludf.DUMMYFUNCTION("GOOGLETRANSLATE(C47,""en"",""ur"")"),"سیدھا کھڑا ہونا")</f>
        <v>سیدھا کھڑا ہونا</v>
      </c>
      <c r="N47" s="2" t="str">
        <f>IFERROR(__xludf.DUMMYFUNCTION("GOOGLETRANSLATE(D47,""en"",""ur"")"),"کم، متحرک موقف میں")</f>
        <v>کم، متحرک موقف میں</v>
      </c>
      <c r="O47" s="2" t="str">
        <f>IFERROR(__xludf.DUMMYFUNCTION("GOOGLETRANSLATE(E47,""en"",""ur"")"),"زمین پر لیٹنا")</f>
        <v>زمین پر لیٹنا</v>
      </c>
      <c r="P47" s="2" t="str">
        <f>IFERROR(__xludf.DUMMYFUNCTION("GOOGLETRANSLATE(F47,""en"",""ur"")"),"بیٹھا ہوا")</f>
        <v>بیٹھا ہوا</v>
      </c>
      <c r="Q47" s="2" t="s">
        <v>433</v>
      </c>
      <c r="R47" s="2" t="str">
        <f>IFERROR(__xludf.DUMMYFUNCTION("GOOGLETRANSLATE(G47,""en"",""ur"")"),"کم، متحرک موقف میں")</f>
        <v>کم، متحرک موقف میں</v>
      </c>
      <c r="S47" s="6" t="s">
        <v>485</v>
      </c>
    </row>
    <row r="48">
      <c r="A48" s="7">
        <v>47.0</v>
      </c>
      <c r="B48" s="6" t="s">
        <v>434</v>
      </c>
      <c r="C48" s="6" t="s">
        <v>435</v>
      </c>
      <c r="D48" s="6" t="s">
        <v>436</v>
      </c>
      <c r="E48" s="6" t="s">
        <v>437</v>
      </c>
      <c r="F48" s="6" t="s">
        <v>438</v>
      </c>
      <c r="G48" s="6" t="s">
        <v>437</v>
      </c>
      <c r="H48" s="6" t="s">
        <v>485</v>
      </c>
      <c r="K48" s="2" t="str">
        <f>IFERROR(__xludf.DUMMYFUNCTION("GOOGLETRANSLATE(A48,""en"",""ur"")"),"47")</f>
        <v>47</v>
      </c>
      <c r="L48" s="2" t="str">
        <f>IFERROR(__xludf.DUMMYFUNCTION("GOOGLETRANSLATE(B48,""en"",""ur"")"),"پس منظر میں ہجوم کی سب سے نمایاں خصوصیت کیا ہے؟")</f>
        <v>پس منظر میں ہجوم کی سب سے نمایاں خصوصیت کیا ہے؟</v>
      </c>
      <c r="M48" s="2" t="str">
        <f>IFERROR(__xludf.DUMMYFUNCTION("GOOGLETRANSLATE(C48,""en"",""ur"")"),"وہ بھاگ رہے ہیں۔")</f>
        <v>وہ بھاگ رہے ہیں۔</v>
      </c>
      <c r="N48" s="2" t="str">
        <f>IFERROR(__xludf.DUMMYFUNCTION("GOOGLETRANSLATE(D48,""en"",""ur"")"),"وہ خاموش بیٹھے ہیں۔")</f>
        <v>وہ خاموش بیٹھے ہیں۔</v>
      </c>
      <c r="O48" s="2" t="str">
        <f>IFERROR(__xludf.DUMMYFUNCTION("GOOGLETRANSLATE(E48,""en"",""ur"")"),"وہ لڑائی کو قدرتی رکاوٹ سے دیکھ رہے ہیں۔")</f>
        <v>وہ لڑائی کو قدرتی رکاوٹ سے دیکھ رہے ہیں۔</v>
      </c>
      <c r="P48" s="2" t="str">
        <f>IFERROR(__xludf.DUMMYFUNCTION("GOOGLETRANSLATE(F48,""en"",""ur"")"),"وہ سب ایک اسٹیج پر کھڑے ہیں۔")</f>
        <v>وہ سب ایک اسٹیج پر کھڑے ہیں۔</v>
      </c>
      <c r="Q48" s="2" t="s">
        <v>439</v>
      </c>
      <c r="R48" s="2" t="str">
        <f>IFERROR(__xludf.DUMMYFUNCTION("GOOGLETRANSLATE(G48,""en"",""ur"")"),"وہ لڑائی کو قدرتی رکاوٹ سے دیکھ رہے ہیں۔")</f>
        <v>وہ لڑائی کو قدرتی رکاوٹ سے دیکھ رہے ہیں۔</v>
      </c>
      <c r="S48" s="6" t="s">
        <v>485</v>
      </c>
    </row>
    <row r="49">
      <c r="A49" s="7">
        <v>48.0</v>
      </c>
      <c r="B49" s="6" t="s">
        <v>440</v>
      </c>
      <c r="C49" s="6" t="s">
        <v>441</v>
      </c>
      <c r="D49" s="6" t="s">
        <v>442</v>
      </c>
      <c r="E49" s="6" t="s">
        <v>443</v>
      </c>
      <c r="F49" s="6" t="s">
        <v>444</v>
      </c>
      <c r="G49" s="6" t="s">
        <v>441</v>
      </c>
      <c r="H49" s="6" t="s">
        <v>485</v>
      </c>
      <c r="K49" s="2" t="str">
        <f>IFERROR(__xludf.DUMMYFUNCTION("GOOGLETRANSLATE(A49,""en"",""ur"")"),"48")</f>
        <v>48</v>
      </c>
      <c r="L49" s="2" t="str">
        <f>IFERROR(__xludf.DUMMYFUNCTION("GOOGLETRANSLATE(B49,""en"",""ur"")"),"زمین کی ظاہری حالت کیا ہے؟")</f>
        <v>زمین کی ظاہری حالت کیا ہے؟</v>
      </c>
      <c r="M49" s="2" t="str">
        <f>IFERROR(__xludf.DUMMYFUNCTION("GOOGLETRANSLATE(C49,""en"",""ur"")"),"یہ ایک پکی سطح ہے۔")</f>
        <v>یہ ایک پکی سطح ہے۔</v>
      </c>
      <c r="N49" s="2" t="str">
        <f>IFERROR(__xludf.DUMMYFUNCTION("GOOGLETRANSLATE(D49,""en"",""ur"")"),"یہ ایک کیچڑ والا میدان ہے۔")</f>
        <v>یہ ایک کیچڑ والا میدان ہے۔</v>
      </c>
      <c r="O49" s="2" t="str">
        <f>IFERROR(__xludf.DUMMYFUNCTION("GOOGLETRANSLATE(E49,""en"",""ur"")"),"یہ ایک ریتلی یا مٹی کی سطح ہے جس میں دھول اڑتی ہے۔")</f>
        <v>یہ ایک ریتلی یا مٹی کی سطح ہے جس میں دھول اڑتی ہے۔</v>
      </c>
      <c r="P49" s="2" t="str">
        <f>IFERROR(__xludf.DUMMYFUNCTION("GOOGLETRANSLATE(F49,""en"",""ur"")"),"یہ ایک گھاس والی سطح ہے۔")</f>
        <v>یہ ایک گھاس والی سطح ہے۔</v>
      </c>
      <c r="Q49" s="2" t="s">
        <v>445</v>
      </c>
      <c r="R49" s="2" t="str">
        <f>IFERROR(__xludf.DUMMYFUNCTION("GOOGLETRANSLATE(G49,""en"",""ur"")"),"یہ ایک پکی سطح ہے۔")</f>
        <v>یہ ایک پکی سطح ہے۔</v>
      </c>
      <c r="S49" s="6" t="s">
        <v>485</v>
      </c>
    </row>
    <row r="50">
      <c r="A50" s="7">
        <v>49.0</v>
      </c>
      <c r="B50" s="6" t="s">
        <v>446</v>
      </c>
      <c r="C50" s="6" t="s">
        <v>493</v>
      </c>
      <c r="D50" s="6" t="s">
        <v>448</v>
      </c>
      <c r="E50" s="6" t="s">
        <v>449</v>
      </c>
      <c r="F50" s="6" t="s">
        <v>450</v>
      </c>
      <c r="G50" s="6" t="s">
        <v>493</v>
      </c>
      <c r="H50" s="6" t="s">
        <v>485</v>
      </c>
      <c r="K50" s="2" t="str">
        <f>IFERROR(__xludf.DUMMYFUNCTION("GOOGLETRANSLATE(A50,""en"",""ur"")"),"49")</f>
        <v>49</v>
      </c>
      <c r="L50" s="2" t="str">
        <f>IFERROR(__xludf.DUMMYFUNCTION("GOOGLETRANSLATE(B50,""en"",""ur"")"),"ڈھال کا بنیادی مقصد کیا ہے جو ہر لڑاکا پکڑے ہوئے ہے؟")</f>
        <v>ڈھال کا بنیادی مقصد کیا ہے جو ہر لڑاکا پکڑے ہوئے ہے؟</v>
      </c>
      <c r="M50" s="2" t="str">
        <f>IFERROR(__xludf.DUMMYFUNCTION("GOOGLETRANSLATE(C50,""en"",""ur"")"),"چھڑی کی ہڑتالوں کو روکنے کے لیے")</f>
        <v>چھڑی کی ہڑتالوں کو روکنے کے لیے</v>
      </c>
      <c r="N50" s="2" t="str">
        <f>IFERROR(__xludf.DUMMYFUNCTION("GOOGLETRANSLATE(D50,""en"",""ur"")"),"ہتھیار رکھنے کے لیے")</f>
        <v>ہتھیار رکھنے کے لیے</v>
      </c>
      <c r="O50" s="2" t="str">
        <f>IFERROR(__xludf.DUMMYFUNCTION("GOOGLETRANSLATE(E50,""en"",""ur"")"),"صرف سجاوٹ کے لیے")</f>
        <v>صرف سجاوٹ کے لیے</v>
      </c>
      <c r="P50" s="2" t="str">
        <f>IFERROR(__xludf.DUMMYFUNCTION("GOOGLETRANSLATE(F50,""en"",""ur"")"),"سورج کو روکنے کے لئے")</f>
        <v>سورج کو روکنے کے لئے</v>
      </c>
      <c r="Q50" s="2" t="s">
        <v>494</v>
      </c>
      <c r="R50" s="2" t="str">
        <f>IFERROR(__xludf.DUMMYFUNCTION("GOOGLETRANSLATE(G50,""en"",""ur"")"),"چھڑی کی ہڑتالوں کو روکنے کے لیے")</f>
        <v>چھڑی کی ہڑتالوں کو روکنے کے لیے</v>
      </c>
      <c r="S50" s="6" t="s">
        <v>485</v>
      </c>
    </row>
    <row r="51">
      <c r="A51" s="7">
        <v>50.0</v>
      </c>
      <c r="B51" s="6" t="s">
        <v>452</v>
      </c>
      <c r="C51" s="6" t="s">
        <v>453</v>
      </c>
      <c r="D51" s="6" t="s">
        <v>454</v>
      </c>
      <c r="E51" s="6" t="s">
        <v>455</v>
      </c>
      <c r="F51" s="6" t="s">
        <v>456</v>
      </c>
      <c r="G51" s="6" t="s">
        <v>454</v>
      </c>
      <c r="H51" s="6" t="s">
        <v>485</v>
      </c>
      <c r="K51" s="2" t="str">
        <f>IFERROR(__xludf.DUMMYFUNCTION("GOOGLETRANSLATE(A51,""en"",""ur"")"),"50")</f>
        <v>50</v>
      </c>
      <c r="L51" s="2" t="str">
        <f>IFERROR(__xludf.DUMMYFUNCTION("GOOGLETRANSLATE(B51,""en"",""ur"")"),"ایونٹ کا مجموعی موڈ ایسا لگتا ہے...")</f>
        <v>ایونٹ کا مجموعی موڈ ایسا لگتا ہے...</v>
      </c>
      <c r="M51" s="2" t="str">
        <f>IFERROR(__xludf.DUMMYFUNCTION("GOOGLETRANSLATE(C51,""en"",""ur"")"),"ایک آرام دہ مشق سیشن")</f>
        <v>ایک آرام دہ مشق سیشن</v>
      </c>
      <c r="N51" s="2" t="str">
        <f>IFERROR(__xludf.DUMMYFUNCTION("GOOGLETRANSLATE(D51,""en"",""ur"")"),"ایک تناؤ اور جارحانہ کارکردگی")</f>
        <v>ایک تناؤ اور جارحانہ کارکردگی</v>
      </c>
      <c r="O51" s="2" t="str">
        <f>IFERROR(__xludf.DUMMYFUNCTION("GOOGLETRANSLATE(E51,""en"",""ur"")"),"ایک پرسکون، پرامن اجتماع")</f>
        <v>ایک پرسکون، پرامن اجتماع</v>
      </c>
      <c r="P51" s="2" t="str">
        <f>IFERROR(__xludf.DUMMYFUNCTION("GOOGLETRANSLATE(F51,""en"",""ur"")"),"ایک سست، رسمی رقص")</f>
        <v>ایک سست، رسمی رقص</v>
      </c>
      <c r="Q51" s="2" t="s">
        <v>457</v>
      </c>
      <c r="R51" s="2" t="str">
        <f>IFERROR(__xludf.DUMMYFUNCTION("GOOGLETRANSLATE(G51,""en"",""ur"")"),"ایک تناؤ اور جارحانہ کارکردگی")</f>
        <v>ایک تناؤ اور جارحانہ کارکردگی</v>
      </c>
      <c r="S51" s="6" t="s">
        <v>485</v>
      </c>
    </row>
    <row r="52">
      <c r="A52" s="7">
        <v>51.0</v>
      </c>
      <c r="B52" s="6" t="s">
        <v>495</v>
      </c>
      <c r="C52" s="6" t="s">
        <v>496</v>
      </c>
      <c r="D52" s="6" t="s">
        <v>405</v>
      </c>
      <c r="E52" s="6" t="s">
        <v>407</v>
      </c>
      <c r="F52" s="6" t="s">
        <v>408</v>
      </c>
      <c r="G52" s="6" t="s">
        <v>405</v>
      </c>
      <c r="H52" s="6" t="s">
        <v>497</v>
      </c>
      <c r="K52" s="2" t="str">
        <f>IFERROR(__xludf.DUMMYFUNCTION("GOOGLETRANSLATE(A52,""en"",""ur"")"),"51")</f>
        <v>51</v>
      </c>
      <c r="L52" s="2" t="str">
        <f>IFERROR(__xludf.DUMMYFUNCTION("GOOGLETRANSLATE(B52,""en"",""ur"")"),"گٹکا_6 میں دکھایا گیا اہم عمل کیا ہے؟")</f>
        <v>گٹکا_6 میں دکھایا گیا اہم عمل کیا ہے؟</v>
      </c>
      <c r="M52" s="2" t="str">
        <f>IFERROR(__xludf.DUMMYFUNCTION("GOOGLETRANSLATE(C52,""en"",""ur"")"),"دو لوگ ناچ رہے ہیں۔")</f>
        <v>دو لوگ ناچ رہے ہیں۔</v>
      </c>
      <c r="N52" s="2" t="str">
        <f>IFERROR(__xludf.DUMMYFUNCTION("GOOGLETRANSLATE(D52,""en"",""ur"")"),"دو آدمی تلواروں سے لڑ رہے ہیں۔")</f>
        <v>دو آدمی تلواروں سے لڑ رہے ہیں۔</v>
      </c>
      <c r="O52" s="2" t="str">
        <f>IFERROR(__xludf.DUMMYFUNCTION("GOOGLETRANSLATE(E52,""en"",""ur"")"),"دو آدمی سہارے کے ساتھ پوز دے رہے ہیں۔")</f>
        <v>دو آدمی سہارے کے ساتھ پوز دے رہے ہیں۔</v>
      </c>
      <c r="P52" s="2" t="str">
        <f>IFERROR(__xludf.DUMMYFUNCTION("GOOGLETRANSLATE(F52,""en"",""ur"")"),"دو آدمی کشتی کرتے ہوئے۔")</f>
        <v>دو آدمی کشتی کرتے ہوئے۔</v>
      </c>
      <c r="Q52" s="2" t="s">
        <v>498</v>
      </c>
      <c r="R52" s="2" t="str">
        <f>IFERROR(__xludf.DUMMYFUNCTION("GOOGLETRANSLATE(G52,""en"",""ur"")"),"دو آدمی تلواروں سے لڑ رہے ہیں۔")</f>
        <v>دو آدمی تلواروں سے لڑ رہے ہیں۔</v>
      </c>
      <c r="S52" s="6" t="s">
        <v>497</v>
      </c>
    </row>
    <row r="53">
      <c r="A53" s="7">
        <v>52.0</v>
      </c>
      <c r="B53" s="6" t="s">
        <v>410</v>
      </c>
      <c r="C53" s="6" t="s">
        <v>411</v>
      </c>
      <c r="D53" s="6" t="s">
        <v>499</v>
      </c>
      <c r="E53" s="6" t="s">
        <v>334</v>
      </c>
      <c r="F53" s="6" t="s">
        <v>413</v>
      </c>
      <c r="G53" s="6" t="s">
        <v>499</v>
      </c>
      <c r="H53" s="6" t="s">
        <v>497</v>
      </c>
      <c r="K53" s="2" t="str">
        <f>IFERROR(__xludf.DUMMYFUNCTION("GOOGLETRANSLATE(A53,""en"",""ur"")"),"52")</f>
        <v>52</v>
      </c>
      <c r="L53" s="2" t="str">
        <f>IFERROR(__xludf.DUMMYFUNCTION("GOOGLETRANSLATE(B53,""en"",""ur"")"),"بائیں طرف لڑاکا کے لباس کے بارے میں ایک قابل ذکر تفصیل کیا ہے؟")</f>
        <v>بائیں طرف لڑاکا کے لباس کے بارے میں ایک قابل ذکر تفصیل کیا ہے؟</v>
      </c>
      <c r="M53" s="2" t="str">
        <f>IFERROR(__xludf.DUMMYFUNCTION("GOOGLETRANSLATE(C53,""en"",""ur"")"),"اس نے بکتر کا پورا سوٹ پہن رکھا ہے۔")</f>
        <v>اس نے بکتر کا پورا سوٹ پہن رکھا ہے۔</v>
      </c>
      <c r="N53" s="2" t="str">
        <f>IFERROR(__xludf.DUMMYFUNCTION("GOOGLETRANSLATE(D53,""en"",""ur"")"),"اس نے نارنجی پگڑی کے ساتھ ایک لمبا، نیلا لباس پہن رکھا ہے۔")</f>
        <v>اس نے نارنجی پگڑی کے ساتھ ایک لمبا، نیلا لباس پہن رکھا ہے۔</v>
      </c>
      <c r="O53" s="2" t="str">
        <f>IFERROR(__xludf.DUMMYFUNCTION("GOOGLETRANSLATE(E53,""en"",""ur"")"),"اس نے شارٹس اور ٹی شرٹ پہن رکھی ہے۔")</f>
        <v>اس نے شارٹس اور ٹی شرٹ پہن رکھی ہے۔</v>
      </c>
      <c r="P53" s="2" t="str">
        <f>IFERROR(__xludf.DUMMYFUNCTION("GOOGLETRANSLATE(F53,""en"",""ur"")"),"اس نے پولیس کی وردی پہن رکھی ہے۔")</f>
        <v>اس نے پولیس کی وردی پہن رکھی ہے۔</v>
      </c>
      <c r="Q53" s="2" t="s">
        <v>500</v>
      </c>
      <c r="R53" s="2" t="str">
        <f>IFERROR(__xludf.DUMMYFUNCTION("GOOGLETRANSLATE(G53,""en"",""ur"")"),"اس نے نارنجی پگڑی کے ساتھ ایک لمبا، نیلا لباس پہن رکھا ہے۔")</f>
        <v>اس نے نارنجی پگڑی کے ساتھ ایک لمبا، نیلا لباس پہن رکھا ہے۔</v>
      </c>
      <c r="S53" s="6" t="s">
        <v>497</v>
      </c>
    </row>
    <row r="54">
      <c r="A54" s="7">
        <v>53.0</v>
      </c>
      <c r="B54" s="6" t="s">
        <v>415</v>
      </c>
      <c r="C54" s="6" t="s">
        <v>416</v>
      </c>
      <c r="D54" s="6" t="s">
        <v>417</v>
      </c>
      <c r="E54" s="6" t="s">
        <v>418</v>
      </c>
      <c r="F54" s="6" t="s">
        <v>419</v>
      </c>
      <c r="G54" s="6" t="s">
        <v>416</v>
      </c>
      <c r="H54" s="6" t="s">
        <v>497</v>
      </c>
      <c r="K54" s="2" t="str">
        <f>IFERROR(__xludf.DUMMYFUNCTION("GOOGLETRANSLATE(A54,""en"",""ur"")"),"53")</f>
        <v>53</v>
      </c>
      <c r="L54" s="2" t="str">
        <f>IFERROR(__xludf.DUMMYFUNCTION("GOOGLETRANSLATE(B54,""en"",""ur"")"),"جنگجوؤں کے ذریعہ استعمال ہونے والا بنیادی ہتھیار کیا ہے؟")</f>
        <v>جنگجوؤں کے ذریعہ استعمال ہونے والا بنیادی ہتھیار کیا ہے؟</v>
      </c>
      <c r="M54" s="2" t="str">
        <f>IFERROR(__xludf.DUMMYFUNCTION("GOOGLETRANSLATE(C54,""en"",""ur"")"),"ایک چھوٹی تلوار")</f>
        <v>ایک چھوٹی تلوار</v>
      </c>
      <c r="N54" s="2" t="str">
        <f>IFERROR(__xludf.DUMMYFUNCTION("GOOGLETRANSLATE(D54,""en"",""ur"")"),"ایک لمبی چھڑی")</f>
        <v>ایک لمبی چھڑی</v>
      </c>
      <c r="O54" s="2" t="str">
        <f>IFERROR(__xludf.DUMMYFUNCTION("GOOGLETRANSLATE(E54,""en"",""ur"")"),"ایک کمان اور تیر")</f>
        <v>ایک کمان اور تیر</v>
      </c>
      <c r="P54" s="2" t="str">
        <f>IFERROR(__xludf.DUMMYFUNCTION("GOOGLETRANSLATE(F54,""en"",""ur"")"),"ایک ننگی مٹھی")</f>
        <v>ایک ننگی مٹھی</v>
      </c>
      <c r="Q54" s="2" t="s">
        <v>420</v>
      </c>
      <c r="R54" s="2" t="str">
        <f>IFERROR(__xludf.DUMMYFUNCTION("GOOGLETRANSLATE(G54,""en"",""ur"")"),"ایک چھوٹی تلوار")</f>
        <v>ایک چھوٹی تلوار</v>
      </c>
      <c r="S54" s="6" t="s">
        <v>497</v>
      </c>
    </row>
    <row r="55">
      <c r="A55" s="7">
        <v>54.0</v>
      </c>
      <c r="B55" s="6" t="s">
        <v>421</v>
      </c>
      <c r="C55" s="6" t="s">
        <v>422</v>
      </c>
      <c r="D55" s="6" t="s">
        <v>423</v>
      </c>
      <c r="E55" s="6" t="s">
        <v>424</v>
      </c>
      <c r="F55" s="6" t="s">
        <v>425</v>
      </c>
      <c r="G55" s="6" t="s">
        <v>425</v>
      </c>
      <c r="H55" s="6" t="s">
        <v>497</v>
      </c>
      <c r="K55" s="2" t="str">
        <f>IFERROR(__xludf.DUMMYFUNCTION("GOOGLETRANSLATE(A55,""en"",""ur"")"),"54")</f>
        <v>54</v>
      </c>
      <c r="L55" s="2" t="str">
        <f>IFERROR(__xludf.DUMMYFUNCTION("GOOGLETRANSLATE(B55,""en"",""ur"")"),"اس لڑائی کی ترتیب کیا ہے؟")</f>
        <v>اس لڑائی کی ترتیب کیا ہے؟</v>
      </c>
      <c r="M55" s="2" t="str">
        <f>IFERROR(__xludf.DUMMYFUNCTION("GOOGLETRANSLATE(C55,""en"",""ur"")"),"ایک انڈور اسٹیڈیم")</f>
        <v>ایک انڈور اسٹیڈیم</v>
      </c>
      <c r="N55" s="2" t="str">
        <f>IFERROR(__xludf.DUMMYFUNCTION("GOOGLETRANSLATE(D55,""en"",""ur"")"),"ایک دیہی، بیرونی علاقہ")</f>
        <v>ایک دیہی، بیرونی علاقہ</v>
      </c>
      <c r="O55" s="2" t="str">
        <f>IFERROR(__xludf.DUMMYFUNCTION("GOOGLETRANSLATE(E55,""en"",""ur"")"),"شہر کی مصروف گلی")</f>
        <v>شہر کی مصروف گلی</v>
      </c>
      <c r="P55" s="2" t="str">
        <f>IFERROR(__xludf.DUMMYFUNCTION("GOOGLETRANSLATE(F55,""en"",""ur"")"),"گھاس کا میدان")</f>
        <v>گھاس کا میدان</v>
      </c>
      <c r="Q55" s="2" t="s">
        <v>426</v>
      </c>
      <c r="R55" s="2" t="str">
        <f>IFERROR(__xludf.DUMMYFUNCTION("GOOGLETRANSLATE(G55,""en"",""ur"")"),"گھاس کا میدان")</f>
        <v>گھاس کا میدان</v>
      </c>
      <c r="S55" s="6" t="s">
        <v>497</v>
      </c>
    </row>
    <row r="56">
      <c r="A56" s="7">
        <v>55.0</v>
      </c>
      <c r="B56" s="6" t="s">
        <v>427</v>
      </c>
      <c r="C56" s="6" t="s">
        <v>47</v>
      </c>
      <c r="D56" s="6" t="s">
        <v>48</v>
      </c>
      <c r="E56" s="6" t="s">
        <v>49</v>
      </c>
      <c r="F56" s="6" t="s">
        <v>50</v>
      </c>
      <c r="G56" s="6" t="s">
        <v>49</v>
      </c>
      <c r="H56" s="6" t="s">
        <v>497</v>
      </c>
      <c r="K56" s="2" t="str">
        <f>IFERROR(__xludf.DUMMYFUNCTION("GOOGLETRANSLATE(A56,""en"",""ur"")"),"55")</f>
        <v>55</v>
      </c>
      <c r="L56" s="2" t="str">
        <f>IFERROR(__xludf.DUMMYFUNCTION("GOOGLETRANSLATE(B56,""en"",""ur"")"),"جنگجوؤں کے ظاہری جذبات کیا ہیں؟")</f>
        <v>جنگجوؤں کے ظاہری جذبات کیا ہیں؟</v>
      </c>
      <c r="M56" s="2" t="str">
        <f>IFERROR(__xludf.DUMMYFUNCTION("GOOGLETRANSLATE(C56,""en"",""ur"")"),"پرسکون اور پر سکون")</f>
        <v>پرسکون اور پر سکون</v>
      </c>
      <c r="N56" s="2" t="str">
        <f>IFERROR(__xludf.DUMMYFUNCTION("GOOGLETRANSLATE(D56,""en"",""ur"")"),"خوف زدہ اور بے چین")</f>
        <v>خوف زدہ اور بے چین</v>
      </c>
      <c r="O56" s="2" t="str">
        <f>IFERROR(__xludf.DUMMYFUNCTION("GOOGLETRANSLATE(E56,""en"",""ur"")"),"کشیدہ اور شدید")</f>
        <v>کشیدہ اور شدید</v>
      </c>
      <c r="P56" s="2" t="str">
        <f>IFERROR(__xludf.DUMMYFUNCTION("GOOGLETRANSLATE(F56,""en"",""ur"")"),"خوش اور مسکراتے ہوئے۔")</f>
        <v>خوش اور مسکراتے ہوئے۔</v>
      </c>
      <c r="Q56" s="2" t="s">
        <v>51</v>
      </c>
      <c r="R56" s="2" t="str">
        <f>IFERROR(__xludf.DUMMYFUNCTION("GOOGLETRANSLATE(G56,""en"",""ur"")"),"کشیدہ اور شدید")</f>
        <v>کشیدہ اور شدید</v>
      </c>
      <c r="S56" s="6" t="s">
        <v>497</v>
      </c>
    </row>
    <row r="57">
      <c r="A57" s="7">
        <v>56.0</v>
      </c>
      <c r="B57" s="6" t="s">
        <v>428</v>
      </c>
      <c r="C57" s="6" t="s">
        <v>429</v>
      </c>
      <c r="D57" s="6" t="s">
        <v>430</v>
      </c>
      <c r="E57" s="6" t="s">
        <v>431</v>
      </c>
      <c r="F57" s="6" t="s">
        <v>432</v>
      </c>
      <c r="G57" s="6" t="s">
        <v>430</v>
      </c>
      <c r="H57" s="6" t="s">
        <v>497</v>
      </c>
      <c r="K57" s="2" t="str">
        <f>IFERROR(__xludf.DUMMYFUNCTION("GOOGLETRANSLATE(A57,""en"",""ur"")"),"56")</f>
        <v>56</v>
      </c>
      <c r="L57" s="2" t="str">
        <f>IFERROR(__xludf.DUMMYFUNCTION("GOOGLETRANSLATE(B57,""en"",""ur"")"),"جنگجوؤں کی ظاہری باڈی پوزیشن کیا ہے؟")</f>
        <v>جنگجوؤں کی ظاہری باڈی پوزیشن کیا ہے؟</v>
      </c>
      <c r="M57" s="2" t="str">
        <f>IFERROR(__xludf.DUMMYFUNCTION("GOOGLETRANSLATE(C57,""en"",""ur"")"),"سیدھا کھڑا ہونا")</f>
        <v>سیدھا کھڑا ہونا</v>
      </c>
      <c r="N57" s="2" t="str">
        <f>IFERROR(__xludf.DUMMYFUNCTION("GOOGLETRANSLATE(D57,""en"",""ur"")"),"کم، متحرک موقف میں")</f>
        <v>کم، متحرک موقف میں</v>
      </c>
      <c r="O57" s="2" t="str">
        <f>IFERROR(__xludf.DUMMYFUNCTION("GOOGLETRANSLATE(E57,""en"",""ur"")"),"زمین پر لیٹنا")</f>
        <v>زمین پر لیٹنا</v>
      </c>
      <c r="P57" s="2" t="str">
        <f>IFERROR(__xludf.DUMMYFUNCTION("GOOGLETRANSLATE(F57,""en"",""ur"")"),"بیٹھا ہوا")</f>
        <v>بیٹھا ہوا</v>
      </c>
      <c r="Q57" s="2" t="s">
        <v>433</v>
      </c>
      <c r="R57" s="2" t="str">
        <f>IFERROR(__xludf.DUMMYFUNCTION("GOOGLETRANSLATE(G57,""en"",""ur"")"),"کم، متحرک موقف میں")</f>
        <v>کم، متحرک موقف میں</v>
      </c>
      <c r="S57" s="6" t="s">
        <v>497</v>
      </c>
    </row>
    <row r="58">
      <c r="A58" s="7">
        <v>57.0</v>
      </c>
      <c r="B58" s="6" t="s">
        <v>434</v>
      </c>
      <c r="C58" s="6" t="s">
        <v>435</v>
      </c>
      <c r="D58" s="6" t="s">
        <v>436</v>
      </c>
      <c r="E58" s="6" t="s">
        <v>437</v>
      </c>
      <c r="F58" s="6" t="s">
        <v>438</v>
      </c>
      <c r="G58" s="6" t="s">
        <v>437</v>
      </c>
      <c r="H58" s="6" t="s">
        <v>497</v>
      </c>
      <c r="K58" s="2" t="str">
        <f>IFERROR(__xludf.DUMMYFUNCTION("GOOGLETRANSLATE(A58,""en"",""ur"")"),"57")</f>
        <v>57</v>
      </c>
      <c r="L58" s="2" t="str">
        <f>IFERROR(__xludf.DUMMYFUNCTION("GOOGLETRANSLATE(B58,""en"",""ur"")"),"پس منظر میں ہجوم کی سب سے نمایاں خصوصیت کیا ہے؟")</f>
        <v>پس منظر میں ہجوم کی سب سے نمایاں خصوصیت کیا ہے؟</v>
      </c>
      <c r="M58" s="2" t="str">
        <f>IFERROR(__xludf.DUMMYFUNCTION("GOOGLETRANSLATE(C58,""en"",""ur"")"),"وہ بھاگ رہے ہیں۔")</f>
        <v>وہ بھاگ رہے ہیں۔</v>
      </c>
      <c r="N58" s="2" t="str">
        <f>IFERROR(__xludf.DUMMYFUNCTION("GOOGLETRANSLATE(D58,""en"",""ur"")"),"وہ خاموش بیٹھے ہیں۔")</f>
        <v>وہ خاموش بیٹھے ہیں۔</v>
      </c>
      <c r="O58" s="2" t="str">
        <f>IFERROR(__xludf.DUMMYFUNCTION("GOOGLETRANSLATE(E58,""en"",""ur"")"),"وہ لڑائی کو قدرتی رکاوٹ سے دیکھ رہے ہیں۔")</f>
        <v>وہ لڑائی کو قدرتی رکاوٹ سے دیکھ رہے ہیں۔</v>
      </c>
      <c r="P58" s="2" t="str">
        <f>IFERROR(__xludf.DUMMYFUNCTION("GOOGLETRANSLATE(F58,""en"",""ur"")"),"وہ سب ایک اسٹیج پر کھڑے ہیں۔")</f>
        <v>وہ سب ایک اسٹیج پر کھڑے ہیں۔</v>
      </c>
      <c r="Q58" s="2" t="s">
        <v>439</v>
      </c>
      <c r="R58" s="2" t="str">
        <f>IFERROR(__xludf.DUMMYFUNCTION("GOOGLETRANSLATE(G58,""en"",""ur"")"),"وہ لڑائی کو قدرتی رکاوٹ سے دیکھ رہے ہیں۔")</f>
        <v>وہ لڑائی کو قدرتی رکاوٹ سے دیکھ رہے ہیں۔</v>
      </c>
      <c r="S58" s="6" t="s">
        <v>497</v>
      </c>
    </row>
    <row r="59">
      <c r="A59" s="7">
        <v>58.0</v>
      </c>
      <c r="B59" s="6" t="s">
        <v>440</v>
      </c>
      <c r="C59" s="6" t="s">
        <v>441</v>
      </c>
      <c r="D59" s="6" t="s">
        <v>442</v>
      </c>
      <c r="E59" s="6" t="s">
        <v>443</v>
      </c>
      <c r="F59" s="6" t="s">
        <v>444</v>
      </c>
      <c r="G59" s="6" t="s">
        <v>444</v>
      </c>
      <c r="H59" s="6" t="s">
        <v>497</v>
      </c>
      <c r="K59" s="2" t="str">
        <f>IFERROR(__xludf.DUMMYFUNCTION("GOOGLETRANSLATE(A59,""en"",""ur"")"),"58")</f>
        <v>58</v>
      </c>
      <c r="L59" s="2" t="str">
        <f>IFERROR(__xludf.DUMMYFUNCTION("GOOGLETRANSLATE(B59,""en"",""ur"")"),"زمین کی ظاہری حالت کیا ہے؟")</f>
        <v>زمین کی ظاہری حالت کیا ہے؟</v>
      </c>
      <c r="M59" s="2" t="str">
        <f>IFERROR(__xludf.DUMMYFUNCTION("GOOGLETRANSLATE(C59,""en"",""ur"")"),"یہ ایک پکی سطح ہے۔")</f>
        <v>یہ ایک پکی سطح ہے۔</v>
      </c>
      <c r="N59" s="2" t="str">
        <f>IFERROR(__xludf.DUMMYFUNCTION("GOOGLETRANSLATE(D59,""en"",""ur"")"),"یہ ایک کیچڑ والا میدان ہے۔")</f>
        <v>یہ ایک کیچڑ والا میدان ہے۔</v>
      </c>
      <c r="O59" s="2" t="str">
        <f>IFERROR(__xludf.DUMMYFUNCTION("GOOGLETRANSLATE(E59,""en"",""ur"")"),"یہ ایک ریتلی یا مٹی کی سطح ہے جس میں دھول اڑتی ہے۔")</f>
        <v>یہ ایک ریتلی یا مٹی کی سطح ہے جس میں دھول اڑتی ہے۔</v>
      </c>
      <c r="P59" s="2" t="str">
        <f>IFERROR(__xludf.DUMMYFUNCTION("GOOGLETRANSLATE(F59,""en"",""ur"")"),"یہ ایک گھاس والی سطح ہے۔")</f>
        <v>یہ ایک گھاس والی سطح ہے۔</v>
      </c>
      <c r="Q59" s="2" t="s">
        <v>445</v>
      </c>
      <c r="R59" s="2" t="str">
        <f>IFERROR(__xludf.DUMMYFUNCTION("GOOGLETRANSLATE(G59,""en"",""ur"")"),"یہ ایک گھاس والی سطح ہے۔")</f>
        <v>یہ ایک گھاس والی سطح ہے۔</v>
      </c>
      <c r="S59" s="6" t="s">
        <v>497</v>
      </c>
    </row>
    <row r="60">
      <c r="A60" s="7">
        <v>59.0</v>
      </c>
      <c r="B60" s="6" t="s">
        <v>446</v>
      </c>
      <c r="C60" s="6" t="s">
        <v>447</v>
      </c>
      <c r="D60" s="6" t="s">
        <v>448</v>
      </c>
      <c r="E60" s="6" t="s">
        <v>449</v>
      </c>
      <c r="F60" s="6" t="s">
        <v>450</v>
      </c>
      <c r="G60" s="6" t="s">
        <v>447</v>
      </c>
      <c r="H60" s="6" t="s">
        <v>497</v>
      </c>
      <c r="K60" s="2" t="str">
        <f>IFERROR(__xludf.DUMMYFUNCTION("GOOGLETRANSLATE(A60,""en"",""ur"")"),"59")</f>
        <v>59</v>
      </c>
      <c r="L60" s="2" t="str">
        <f>IFERROR(__xludf.DUMMYFUNCTION("GOOGLETRANSLATE(B60,""en"",""ur"")"),"ڈھال کا بنیادی مقصد کیا ہے جو ہر لڑاکا پکڑے ہوئے ہے؟")</f>
        <v>ڈھال کا بنیادی مقصد کیا ہے جو ہر لڑاکا پکڑے ہوئے ہے؟</v>
      </c>
      <c r="M60" s="2" t="str">
        <f>IFERROR(__xludf.DUMMYFUNCTION("GOOGLETRANSLATE(C60,""en"",""ur"")"),"تلوار کے وار کو روکنے کے لیے")</f>
        <v>تلوار کے وار کو روکنے کے لیے</v>
      </c>
      <c r="N60" s="2" t="str">
        <f>IFERROR(__xludf.DUMMYFUNCTION("GOOGLETRANSLATE(D60,""en"",""ur"")"),"ہتھیار رکھنے کے لیے")</f>
        <v>ہتھیار رکھنے کے لیے</v>
      </c>
      <c r="O60" s="2" t="str">
        <f>IFERROR(__xludf.DUMMYFUNCTION("GOOGLETRANSLATE(E60,""en"",""ur"")"),"صرف سجاوٹ کے لیے")</f>
        <v>صرف سجاوٹ کے لیے</v>
      </c>
      <c r="P60" s="2" t="str">
        <f>IFERROR(__xludf.DUMMYFUNCTION("GOOGLETRANSLATE(F60,""en"",""ur"")"),"سورج کو روکنے کے لئے")</f>
        <v>سورج کو روکنے کے لئے</v>
      </c>
      <c r="Q60" s="2" t="s">
        <v>451</v>
      </c>
      <c r="R60" s="2" t="str">
        <f>IFERROR(__xludf.DUMMYFUNCTION("GOOGLETRANSLATE(G60,""en"",""ur"")"),"تلوار کے وار کو روکنے کے لیے")</f>
        <v>تلوار کے وار کو روکنے کے لیے</v>
      </c>
      <c r="S60" s="6" t="s">
        <v>497</v>
      </c>
    </row>
    <row r="61">
      <c r="A61" s="7">
        <v>60.0</v>
      </c>
      <c r="B61" s="6" t="s">
        <v>452</v>
      </c>
      <c r="C61" s="6" t="s">
        <v>453</v>
      </c>
      <c r="D61" s="6" t="s">
        <v>454</v>
      </c>
      <c r="E61" s="6" t="s">
        <v>455</v>
      </c>
      <c r="F61" s="6" t="s">
        <v>456</v>
      </c>
      <c r="G61" s="6" t="s">
        <v>454</v>
      </c>
      <c r="H61" s="6" t="s">
        <v>497</v>
      </c>
      <c r="K61" s="2" t="str">
        <f>IFERROR(__xludf.DUMMYFUNCTION("GOOGLETRANSLATE(A61,""en"",""ur"")"),"60")</f>
        <v>60</v>
      </c>
      <c r="L61" s="2" t="str">
        <f>IFERROR(__xludf.DUMMYFUNCTION("GOOGLETRANSLATE(B61,""en"",""ur"")"),"ایونٹ کا مجموعی موڈ ایسا لگتا ہے...")</f>
        <v>ایونٹ کا مجموعی موڈ ایسا لگتا ہے...</v>
      </c>
      <c r="M61" s="2" t="str">
        <f>IFERROR(__xludf.DUMMYFUNCTION("GOOGLETRANSLATE(C61,""en"",""ur"")"),"ایک آرام دہ مشق سیشن")</f>
        <v>ایک آرام دہ مشق سیشن</v>
      </c>
      <c r="N61" s="2" t="str">
        <f>IFERROR(__xludf.DUMMYFUNCTION("GOOGLETRANSLATE(D61,""en"",""ur"")"),"ایک تناؤ اور جارحانہ کارکردگی")</f>
        <v>ایک تناؤ اور جارحانہ کارکردگی</v>
      </c>
      <c r="O61" s="2" t="str">
        <f>IFERROR(__xludf.DUMMYFUNCTION("GOOGLETRANSLATE(E61,""en"",""ur"")"),"ایک پرسکون، پرامن اجتماع")</f>
        <v>ایک پرسکون، پرامن اجتماع</v>
      </c>
      <c r="P61" s="2" t="str">
        <f>IFERROR(__xludf.DUMMYFUNCTION("GOOGLETRANSLATE(F61,""en"",""ur"")"),"ایک سست، رسمی رقص")</f>
        <v>ایک سست، رسمی رقص</v>
      </c>
      <c r="Q61" s="2" t="s">
        <v>457</v>
      </c>
      <c r="R61" s="2" t="str">
        <f>IFERROR(__xludf.DUMMYFUNCTION("GOOGLETRANSLATE(G61,""en"",""ur"")"),"ایک تناؤ اور جارحانہ کارکردگی")</f>
        <v>ایک تناؤ اور جارحانہ کارکردگی</v>
      </c>
      <c r="S61" s="6" t="s">
        <v>497</v>
      </c>
    </row>
    <row r="62">
      <c r="A62" s="7">
        <v>61.0</v>
      </c>
      <c r="B62" s="6" t="s">
        <v>501</v>
      </c>
      <c r="C62" s="6" t="s">
        <v>483</v>
      </c>
      <c r="D62" s="6" t="s">
        <v>406</v>
      </c>
      <c r="E62" s="6" t="s">
        <v>407</v>
      </c>
      <c r="F62" s="6" t="s">
        <v>408</v>
      </c>
      <c r="G62" s="6" t="s">
        <v>483</v>
      </c>
      <c r="H62" s="6" t="s">
        <v>502</v>
      </c>
      <c r="K62" s="2" t="str">
        <f>IFERROR(__xludf.DUMMYFUNCTION("GOOGLETRANSLATE(A62,""en"",""ur"")"),"61")</f>
        <v>61</v>
      </c>
      <c r="L62" s="2" t="str">
        <f>IFERROR(__xludf.DUMMYFUNCTION("GOOGLETRANSLATE(B62,""en"",""ur"")"),"گٹکا_7 میں دکھایا گیا اہم عمل کیا ہے؟")</f>
        <v>گٹکا_7 میں دکھایا گیا اہم عمل کیا ہے؟</v>
      </c>
      <c r="M62" s="2" t="str">
        <f>IFERROR(__xludf.DUMMYFUNCTION("GOOGLETRANSLATE(C62,""en"",""ur"")"),"دو آدمی لاٹھیوں اور ڈھالوں سے لڑ رہے ہیں۔")</f>
        <v>دو آدمی لاٹھیوں اور ڈھالوں سے لڑ رہے ہیں۔</v>
      </c>
      <c r="N62" s="2" t="str">
        <f>IFERROR(__xludf.DUMMYFUNCTION("GOOGLETRANSLATE(D62,""en"",""ur"")"),"دو آدمی ناچ رہے ہیں۔")</f>
        <v>دو آدمی ناچ رہے ہیں۔</v>
      </c>
      <c r="O62" s="2" t="str">
        <f>IFERROR(__xludf.DUMMYFUNCTION("GOOGLETRANSLATE(E62,""en"",""ur"")"),"دو آدمی سہارے کے ساتھ پوز دے رہے ہیں۔")</f>
        <v>دو آدمی سہارے کے ساتھ پوز دے رہے ہیں۔</v>
      </c>
      <c r="P62" s="2" t="str">
        <f>IFERROR(__xludf.DUMMYFUNCTION("GOOGLETRANSLATE(F62,""en"",""ur"")"),"دو آدمی کشتی کرتے ہوئے۔")</f>
        <v>دو آدمی کشتی کرتے ہوئے۔</v>
      </c>
      <c r="Q62" s="2" t="s">
        <v>503</v>
      </c>
      <c r="R62" s="2" t="str">
        <f>IFERROR(__xludf.DUMMYFUNCTION("GOOGLETRANSLATE(G62,""en"",""ur"")"),"دو آدمی لاٹھیوں اور ڈھالوں سے لڑ رہے ہیں۔")</f>
        <v>دو آدمی لاٹھیوں اور ڈھالوں سے لڑ رہے ہیں۔</v>
      </c>
      <c r="S62" s="6" t="s">
        <v>502</v>
      </c>
    </row>
    <row r="63">
      <c r="A63" s="7">
        <v>62.0</v>
      </c>
      <c r="B63" s="6" t="s">
        <v>487</v>
      </c>
      <c r="C63" s="6" t="s">
        <v>488</v>
      </c>
      <c r="D63" s="6" t="s">
        <v>504</v>
      </c>
      <c r="E63" s="6" t="s">
        <v>490</v>
      </c>
      <c r="F63" s="6" t="s">
        <v>413</v>
      </c>
      <c r="G63" s="6" t="s">
        <v>505</v>
      </c>
      <c r="H63" s="6" t="s">
        <v>502</v>
      </c>
      <c r="K63" s="2" t="str">
        <f>IFERROR(__xludf.DUMMYFUNCTION("GOOGLETRANSLATE(A63,""en"",""ur"")"),"62")</f>
        <v>62</v>
      </c>
      <c r="L63" s="2" t="str">
        <f>IFERROR(__xludf.DUMMYFUNCTION("GOOGLETRANSLATE(B63,""en"",""ur"")"),"جنگجوؤں کے لباس کے بارے میں ایک قابل ذکر تفصیل کیا ہے؟")</f>
        <v>جنگجوؤں کے لباس کے بارے میں ایک قابل ذکر تفصیل کیا ہے؟</v>
      </c>
      <c r="M63" s="2" t="str">
        <f>IFERROR(__xludf.DUMMYFUNCTION("GOOGLETRANSLATE(C63,""en"",""ur"")"),"انہوں نے بکتر کا پورا سوٹ پہن رکھا ہے۔")</f>
        <v>انہوں نے بکتر کا پورا سوٹ پہن رکھا ہے۔</v>
      </c>
      <c r="N63" s="2" t="str">
        <f>IFERROR(__xludf.DUMMYFUNCTION("GOOGLETRANSLATE(D63,""en"",""ur"")"),"انہوں نے ایک لمبا، سرخ اسکرٹ پہن رکھا ہے۔")</f>
        <v>انہوں نے ایک لمبا، سرخ اسکرٹ پہن رکھا ہے۔</v>
      </c>
      <c r="O63" s="2" t="str">
        <f>IFERROR(__xludf.DUMMYFUNCTION("GOOGLETRANSLATE(E63,""en"",""ur"")"),"انہوں نے شارٹس اور ٹی شرٹ پہن رکھی ہیں۔")</f>
        <v>انہوں نے شارٹس اور ٹی شرٹ پہن رکھی ہیں۔</v>
      </c>
      <c r="P63" s="2" t="str">
        <f>IFERROR(__xludf.DUMMYFUNCTION("GOOGLETRANSLATE(F63,""en"",""ur"")"),"اس نے پولیس کی وردی پہن رکھی ہے۔")</f>
        <v>اس نے پولیس کی وردی پہن رکھی ہے۔</v>
      </c>
      <c r="Q63" s="2" t="s">
        <v>506</v>
      </c>
      <c r="R63" s="2" t="str">
        <f>IFERROR(__xludf.DUMMYFUNCTION("GOOGLETRANSLATE(G63,""en"",""ur"")"),"اس نے ایک لمبا، سرخ اسکرٹ پہن رکھا ہے۔")</f>
        <v>اس نے ایک لمبا، سرخ اسکرٹ پہن رکھا ہے۔</v>
      </c>
      <c r="S63" s="6" t="s">
        <v>502</v>
      </c>
    </row>
    <row r="64">
      <c r="A64" s="7">
        <v>63.0</v>
      </c>
      <c r="B64" s="6" t="s">
        <v>415</v>
      </c>
      <c r="C64" s="6" t="s">
        <v>416</v>
      </c>
      <c r="D64" s="6" t="s">
        <v>417</v>
      </c>
      <c r="E64" s="6" t="s">
        <v>418</v>
      </c>
      <c r="F64" s="6" t="s">
        <v>419</v>
      </c>
      <c r="G64" s="6" t="s">
        <v>417</v>
      </c>
      <c r="H64" s="6" t="s">
        <v>502</v>
      </c>
      <c r="K64" s="2" t="str">
        <f>IFERROR(__xludf.DUMMYFUNCTION("GOOGLETRANSLATE(A64,""en"",""ur"")"),"63")</f>
        <v>63</v>
      </c>
      <c r="L64" s="2" t="str">
        <f>IFERROR(__xludf.DUMMYFUNCTION("GOOGLETRANSLATE(B64,""en"",""ur"")"),"جنگجوؤں کے ذریعہ استعمال ہونے والا بنیادی ہتھیار کیا ہے؟")</f>
        <v>جنگجوؤں کے ذریعہ استعمال ہونے والا بنیادی ہتھیار کیا ہے؟</v>
      </c>
      <c r="M64" s="2" t="str">
        <f>IFERROR(__xludf.DUMMYFUNCTION("GOOGLETRANSLATE(C64,""en"",""ur"")"),"ایک چھوٹی تلوار")</f>
        <v>ایک چھوٹی تلوار</v>
      </c>
      <c r="N64" s="2" t="str">
        <f>IFERROR(__xludf.DUMMYFUNCTION("GOOGLETRANSLATE(D64,""en"",""ur"")"),"ایک لمبی چھڑی")</f>
        <v>ایک لمبی چھڑی</v>
      </c>
      <c r="O64" s="2" t="str">
        <f>IFERROR(__xludf.DUMMYFUNCTION("GOOGLETRANSLATE(E64,""en"",""ur"")"),"ایک کمان اور تیر")</f>
        <v>ایک کمان اور تیر</v>
      </c>
      <c r="P64" s="2" t="str">
        <f>IFERROR(__xludf.DUMMYFUNCTION("GOOGLETRANSLATE(F64,""en"",""ur"")"),"ایک ننگی مٹھی")</f>
        <v>ایک ننگی مٹھی</v>
      </c>
      <c r="Q64" s="2" t="s">
        <v>420</v>
      </c>
      <c r="R64" s="2" t="str">
        <f>IFERROR(__xludf.DUMMYFUNCTION("GOOGLETRANSLATE(G64,""en"",""ur"")"),"ایک لمبی چھڑی")</f>
        <v>ایک لمبی چھڑی</v>
      </c>
      <c r="S64" s="6" t="s">
        <v>502</v>
      </c>
    </row>
    <row r="65">
      <c r="A65" s="7">
        <v>64.0</v>
      </c>
      <c r="B65" s="6" t="s">
        <v>421</v>
      </c>
      <c r="C65" s="6" t="s">
        <v>422</v>
      </c>
      <c r="D65" s="6" t="s">
        <v>507</v>
      </c>
      <c r="E65" s="6" t="s">
        <v>424</v>
      </c>
      <c r="F65" s="6" t="s">
        <v>508</v>
      </c>
      <c r="G65" s="6" t="s">
        <v>507</v>
      </c>
      <c r="H65" s="6" t="s">
        <v>502</v>
      </c>
      <c r="K65" s="2" t="str">
        <f>IFERROR(__xludf.DUMMYFUNCTION("GOOGLETRANSLATE(A65,""en"",""ur"")"),"64")</f>
        <v>64</v>
      </c>
      <c r="L65" s="2" t="str">
        <f>IFERROR(__xludf.DUMMYFUNCTION("GOOGLETRANSLATE(B65,""en"",""ur"")"),"اس لڑائی کی ترتیب کیا ہے؟")</f>
        <v>اس لڑائی کی ترتیب کیا ہے؟</v>
      </c>
      <c r="M65" s="2" t="str">
        <f>IFERROR(__xludf.DUMMYFUNCTION("GOOGLETRANSLATE(C65,""en"",""ur"")"),"ایک انڈور اسٹیڈیم")</f>
        <v>ایک انڈور اسٹیڈیم</v>
      </c>
      <c r="N65" s="2" t="str">
        <f>IFERROR(__xludf.DUMMYFUNCTION("GOOGLETRANSLATE(D65,""en"",""ur"")"),"روایتی جھونپڑیوں کے ساتھ ایک دیہی، بیرونی علاقہ")</f>
        <v>روایتی جھونپڑیوں کے ساتھ ایک دیہی، بیرونی علاقہ</v>
      </c>
      <c r="O65" s="2" t="str">
        <f>IFERROR(__xludf.DUMMYFUNCTION("GOOGLETRANSLATE(E65,""en"",""ur"")"),"شہر کی مصروف گلی")</f>
        <v>شہر کی مصروف گلی</v>
      </c>
      <c r="P65" s="2" t="str">
        <f>IFERROR(__xludf.DUMMYFUNCTION("GOOGLETRANSLATE(F65,""en"",""ur"")"),"ایک پرسکون ساحل")</f>
        <v>ایک پرسکون ساحل</v>
      </c>
      <c r="Q65" s="2" t="s">
        <v>509</v>
      </c>
      <c r="R65" s="2" t="str">
        <f>IFERROR(__xludf.DUMMYFUNCTION("GOOGLETRANSLATE(G65,""en"",""ur"")"),"روایتی جھونپڑیوں کے ساتھ ایک دیہی، بیرونی علاقہ")</f>
        <v>روایتی جھونپڑیوں کے ساتھ ایک دیہی، بیرونی علاقہ</v>
      </c>
      <c r="S65" s="6" t="s">
        <v>502</v>
      </c>
    </row>
    <row r="66">
      <c r="A66" s="7">
        <v>65.0</v>
      </c>
      <c r="B66" s="6" t="s">
        <v>427</v>
      </c>
      <c r="C66" s="6" t="s">
        <v>47</v>
      </c>
      <c r="D66" s="6" t="s">
        <v>48</v>
      </c>
      <c r="E66" s="6" t="s">
        <v>49</v>
      </c>
      <c r="F66" s="6" t="s">
        <v>50</v>
      </c>
      <c r="G66" s="6" t="s">
        <v>49</v>
      </c>
      <c r="H66" s="6" t="s">
        <v>502</v>
      </c>
      <c r="K66" s="2" t="str">
        <f>IFERROR(__xludf.DUMMYFUNCTION("GOOGLETRANSLATE(A66,""en"",""ur"")"),"65")</f>
        <v>65</v>
      </c>
      <c r="L66" s="2" t="str">
        <f>IFERROR(__xludf.DUMMYFUNCTION("GOOGLETRANSLATE(B66,""en"",""ur"")"),"جنگجوؤں کے ظاہری جذبات کیا ہیں؟")</f>
        <v>جنگجوؤں کے ظاہری جذبات کیا ہیں؟</v>
      </c>
      <c r="M66" s="2" t="str">
        <f>IFERROR(__xludf.DUMMYFUNCTION("GOOGLETRANSLATE(C66,""en"",""ur"")"),"پرسکون اور پر سکون")</f>
        <v>پرسکون اور پر سکون</v>
      </c>
      <c r="N66" s="2" t="str">
        <f>IFERROR(__xludf.DUMMYFUNCTION("GOOGLETRANSLATE(D66,""en"",""ur"")"),"خوف زدہ اور بے چین")</f>
        <v>خوف زدہ اور بے چین</v>
      </c>
      <c r="O66" s="2" t="str">
        <f>IFERROR(__xludf.DUMMYFUNCTION("GOOGLETRANSLATE(E66,""en"",""ur"")"),"کشیدہ اور شدید")</f>
        <v>کشیدہ اور شدید</v>
      </c>
      <c r="P66" s="2" t="str">
        <f>IFERROR(__xludf.DUMMYFUNCTION("GOOGLETRANSLATE(F66,""en"",""ur"")"),"خوش اور مسکراتے ہوئے۔")</f>
        <v>خوش اور مسکراتے ہوئے۔</v>
      </c>
      <c r="Q66" s="2" t="s">
        <v>51</v>
      </c>
      <c r="R66" s="2" t="str">
        <f>IFERROR(__xludf.DUMMYFUNCTION("GOOGLETRANSLATE(G66,""en"",""ur"")"),"کشیدہ اور شدید")</f>
        <v>کشیدہ اور شدید</v>
      </c>
      <c r="S66" s="6" t="s">
        <v>502</v>
      </c>
    </row>
    <row r="67">
      <c r="A67" s="7">
        <v>66.0</v>
      </c>
      <c r="B67" s="6" t="s">
        <v>428</v>
      </c>
      <c r="C67" s="6" t="s">
        <v>429</v>
      </c>
      <c r="D67" s="6" t="s">
        <v>430</v>
      </c>
      <c r="E67" s="6" t="s">
        <v>431</v>
      </c>
      <c r="F67" s="6" t="s">
        <v>432</v>
      </c>
      <c r="G67" s="6" t="s">
        <v>430</v>
      </c>
      <c r="H67" s="6" t="s">
        <v>502</v>
      </c>
      <c r="K67" s="2" t="str">
        <f>IFERROR(__xludf.DUMMYFUNCTION("GOOGLETRANSLATE(A67,""en"",""ur"")"),"66")</f>
        <v>66</v>
      </c>
      <c r="L67" s="2" t="str">
        <f>IFERROR(__xludf.DUMMYFUNCTION("GOOGLETRANSLATE(B67,""en"",""ur"")"),"جنگجوؤں کی ظاہری باڈی پوزیشن کیا ہے؟")</f>
        <v>جنگجوؤں کی ظاہری باڈی پوزیشن کیا ہے؟</v>
      </c>
      <c r="M67" s="2" t="str">
        <f>IFERROR(__xludf.DUMMYFUNCTION("GOOGLETRANSLATE(C67,""en"",""ur"")"),"سیدھا کھڑا ہونا")</f>
        <v>سیدھا کھڑا ہونا</v>
      </c>
      <c r="N67" s="2" t="str">
        <f>IFERROR(__xludf.DUMMYFUNCTION("GOOGLETRANSLATE(D67,""en"",""ur"")"),"کم، متحرک موقف میں")</f>
        <v>کم، متحرک موقف میں</v>
      </c>
      <c r="O67" s="2" t="str">
        <f>IFERROR(__xludf.DUMMYFUNCTION("GOOGLETRANSLATE(E67,""en"",""ur"")"),"زمین پر لیٹنا")</f>
        <v>زمین پر لیٹنا</v>
      </c>
      <c r="P67" s="2" t="str">
        <f>IFERROR(__xludf.DUMMYFUNCTION("GOOGLETRANSLATE(F67,""en"",""ur"")"),"بیٹھا ہوا")</f>
        <v>بیٹھا ہوا</v>
      </c>
      <c r="Q67" s="2" t="s">
        <v>433</v>
      </c>
      <c r="R67" s="2" t="str">
        <f>IFERROR(__xludf.DUMMYFUNCTION("GOOGLETRANSLATE(G67,""en"",""ur"")"),"کم، متحرک موقف میں")</f>
        <v>کم، متحرک موقف میں</v>
      </c>
      <c r="S67" s="6" t="s">
        <v>502</v>
      </c>
    </row>
    <row r="68">
      <c r="A68" s="7">
        <v>67.0</v>
      </c>
      <c r="B68" s="6" t="s">
        <v>434</v>
      </c>
      <c r="C68" s="6" t="s">
        <v>435</v>
      </c>
      <c r="D68" s="6" t="s">
        <v>436</v>
      </c>
      <c r="E68" s="6" t="s">
        <v>510</v>
      </c>
      <c r="F68" s="6" t="s">
        <v>438</v>
      </c>
      <c r="G68" s="6" t="s">
        <v>510</v>
      </c>
      <c r="H68" s="6" t="s">
        <v>502</v>
      </c>
      <c r="K68" s="2" t="str">
        <f>IFERROR(__xludf.DUMMYFUNCTION("GOOGLETRANSLATE(A68,""en"",""ur"")"),"67")</f>
        <v>67</v>
      </c>
      <c r="L68" s="2" t="str">
        <f>IFERROR(__xludf.DUMMYFUNCTION("GOOGLETRANSLATE(B68,""en"",""ur"")"),"پس منظر میں ہجوم کی سب سے نمایاں خصوصیت کیا ہے؟")</f>
        <v>پس منظر میں ہجوم کی سب سے نمایاں خصوصیت کیا ہے؟</v>
      </c>
      <c r="M68" s="2" t="str">
        <f>IFERROR(__xludf.DUMMYFUNCTION("GOOGLETRANSLATE(C68,""en"",""ur"")"),"وہ بھاگ رہے ہیں۔")</f>
        <v>وہ بھاگ رہے ہیں۔</v>
      </c>
      <c r="N68" s="2" t="str">
        <f>IFERROR(__xludf.DUMMYFUNCTION("GOOGLETRANSLATE(D68,""en"",""ur"")"),"وہ خاموش بیٹھے ہیں۔")</f>
        <v>وہ خاموش بیٹھے ہیں۔</v>
      </c>
      <c r="O68" s="2" t="str">
        <f>IFERROR(__xludf.DUMMYFUNCTION("GOOGLETRANSLATE(E68,""en"",""ur"")"),"وہ قدرتی پتھر کی رکاوٹ سے لڑائی دیکھ رہے ہیں۔")</f>
        <v>وہ قدرتی پتھر کی رکاوٹ سے لڑائی دیکھ رہے ہیں۔</v>
      </c>
      <c r="P68" s="2" t="str">
        <f>IFERROR(__xludf.DUMMYFUNCTION("GOOGLETRANSLATE(F68,""en"",""ur"")"),"وہ سب ایک اسٹیج پر کھڑے ہیں۔")</f>
        <v>وہ سب ایک اسٹیج پر کھڑے ہیں۔</v>
      </c>
      <c r="Q68" s="2" t="s">
        <v>511</v>
      </c>
      <c r="R68" s="2" t="str">
        <f>IFERROR(__xludf.DUMMYFUNCTION("GOOGLETRANSLATE(G68,""en"",""ur"")"),"وہ قدرتی پتھر کی رکاوٹ سے لڑائی دیکھ رہے ہیں۔")</f>
        <v>وہ قدرتی پتھر کی رکاوٹ سے لڑائی دیکھ رہے ہیں۔</v>
      </c>
      <c r="S68" s="6" t="s">
        <v>502</v>
      </c>
    </row>
    <row r="69">
      <c r="A69" s="7">
        <v>68.0</v>
      </c>
      <c r="B69" s="6" t="s">
        <v>440</v>
      </c>
      <c r="C69" s="6" t="s">
        <v>441</v>
      </c>
      <c r="D69" s="6" t="s">
        <v>442</v>
      </c>
      <c r="E69" s="6" t="s">
        <v>512</v>
      </c>
      <c r="F69" s="6" t="s">
        <v>513</v>
      </c>
      <c r="G69" s="6" t="s">
        <v>512</v>
      </c>
      <c r="H69" s="6" t="s">
        <v>502</v>
      </c>
      <c r="K69" s="2" t="str">
        <f>IFERROR(__xludf.DUMMYFUNCTION("GOOGLETRANSLATE(A69,""en"",""ur"")"),"68")</f>
        <v>68</v>
      </c>
      <c r="L69" s="2" t="str">
        <f>IFERROR(__xludf.DUMMYFUNCTION("GOOGLETRANSLATE(B69,""en"",""ur"")"),"زمین کی ظاہری حالت کیا ہے؟")</f>
        <v>زمین کی ظاہری حالت کیا ہے؟</v>
      </c>
      <c r="M69" s="2" t="str">
        <f>IFERROR(__xludf.DUMMYFUNCTION("GOOGLETRANSLATE(C69,""en"",""ur"")"),"یہ ایک پکی سطح ہے۔")</f>
        <v>یہ ایک پکی سطح ہے۔</v>
      </c>
      <c r="N69" s="2" t="str">
        <f>IFERROR(__xludf.DUMMYFUNCTION("GOOGLETRANSLATE(D69,""en"",""ur"")"),"یہ ایک کیچڑ والا میدان ہے۔")</f>
        <v>یہ ایک کیچڑ والا میدان ہے۔</v>
      </c>
      <c r="O69" s="2" t="str">
        <f>IFERROR(__xludf.DUMMYFUNCTION("GOOGLETRANSLATE(E69,""en"",""ur"")"),"یہ ایک ریتلی یا گندگی کی سطح ہے۔")</f>
        <v>یہ ایک ریتلی یا گندگی کی سطح ہے۔</v>
      </c>
      <c r="P69" s="2" t="str">
        <f>IFERROR(__xludf.DUMMYFUNCTION("GOOGLETRANSLATE(F69,""en"",""ur"")"),"یہ ایک پتھریلی سطح ہے۔")</f>
        <v>یہ ایک پتھریلی سطح ہے۔</v>
      </c>
      <c r="Q69" s="2" t="s">
        <v>514</v>
      </c>
      <c r="R69" s="2" t="str">
        <f>IFERROR(__xludf.DUMMYFUNCTION("GOOGLETRANSLATE(G69,""en"",""ur"")"),"یہ ایک ریتلی یا گندگی کی سطح ہے۔")</f>
        <v>یہ ایک ریتلی یا گندگی کی سطح ہے۔</v>
      </c>
      <c r="S69" s="6" t="s">
        <v>502</v>
      </c>
    </row>
    <row r="70">
      <c r="A70" s="7">
        <v>69.0</v>
      </c>
      <c r="B70" s="6" t="s">
        <v>446</v>
      </c>
      <c r="C70" s="6" t="s">
        <v>493</v>
      </c>
      <c r="D70" s="6" t="s">
        <v>448</v>
      </c>
      <c r="E70" s="6" t="s">
        <v>449</v>
      </c>
      <c r="F70" s="6" t="s">
        <v>450</v>
      </c>
      <c r="G70" s="6" t="s">
        <v>493</v>
      </c>
      <c r="H70" s="6" t="s">
        <v>502</v>
      </c>
      <c r="K70" s="2" t="str">
        <f>IFERROR(__xludf.DUMMYFUNCTION("GOOGLETRANSLATE(A70,""en"",""ur"")"),"69")</f>
        <v>69</v>
      </c>
      <c r="L70" s="2" t="str">
        <f>IFERROR(__xludf.DUMMYFUNCTION("GOOGLETRANSLATE(B70,""en"",""ur"")"),"ڈھال کا بنیادی مقصد کیا ہے جو ہر لڑاکا پکڑے ہوئے ہے؟")</f>
        <v>ڈھال کا بنیادی مقصد کیا ہے جو ہر لڑاکا پکڑے ہوئے ہے؟</v>
      </c>
      <c r="M70" s="2" t="str">
        <f>IFERROR(__xludf.DUMMYFUNCTION("GOOGLETRANSLATE(C70,""en"",""ur"")"),"چھڑی کی ہڑتالوں کو روکنے کے لیے")</f>
        <v>چھڑی کی ہڑتالوں کو روکنے کے لیے</v>
      </c>
      <c r="N70" s="2" t="str">
        <f>IFERROR(__xludf.DUMMYFUNCTION("GOOGLETRANSLATE(D70,""en"",""ur"")"),"ہتھیار رکھنے کے لیے")</f>
        <v>ہتھیار رکھنے کے لیے</v>
      </c>
      <c r="O70" s="2" t="str">
        <f>IFERROR(__xludf.DUMMYFUNCTION("GOOGLETRANSLATE(E70,""en"",""ur"")"),"صرف سجاوٹ کے لیے")</f>
        <v>صرف سجاوٹ کے لیے</v>
      </c>
      <c r="P70" s="2" t="str">
        <f>IFERROR(__xludf.DUMMYFUNCTION("GOOGLETRANSLATE(F70,""en"",""ur"")"),"سورج کو روکنے کے لئے")</f>
        <v>سورج کو روکنے کے لئے</v>
      </c>
      <c r="Q70" s="2" t="s">
        <v>494</v>
      </c>
      <c r="R70" s="2" t="str">
        <f>IFERROR(__xludf.DUMMYFUNCTION("GOOGLETRANSLATE(G70,""en"",""ur"")"),"چھڑی کی ہڑتالوں کو روکنے کے لیے")</f>
        <v>چھڑی کی ہڑتالوں کو روکنے کے لیے</v>
      </c>
      <c r="S70" s="6" t="s">
        <v>502</v>
      </c>
    </row>
    <row r="71">
      <c r="A71" s="7">
        <v>70.0</v>
      </c>
      <c r="B71" s="6" t="s">
        <v>452</v>
      </c>
      <c r="C71" s="6" t="s">
        <v>453</v>
      </c>
      <c r="D71" s="6" t="s">
        <v>454</v>
      </c>
      <c r="E71" s="6" t="s">
        <v>455</v>
      </c>
      <c r="F71" s="6" t="s">
        <v>456</v>
      </c>
      <c r="G71" s="6" t="s">
        <v>454</v>
      </c>
      <c r="H71" s="6" t="s">
        <v>502</v>
      </c>
      <c r="K71" s="2" t="str">
        <f>IFERROR(__xludf.DUMMYFUNCTION("GOOGLETRANSLATE(A71,""en"",""ur"")"),"70")</f>
        <v>70</v>
      </c>
      <c r="L71" s="2" t="str">
        <f>IFERROR(__xludf.DUMMYFUNCTION("GOOGLETRANSLATE(B71,""en"",""ur"")"),"ایونٹ کا مجموعی موڈ ایسا لگتا ہے...")</f>
        <v>ایونٹ کا مجموعی موڈ ایسا لگتا ہے...</v>
      </c>
      <c r="M71" s="2" t="str">
        <f>IFERROR(__xludf.DUMMYFUNCTION("GOOGLETRANSLATE(C71,""en"",""ur"")"),"ایک آرام دہ مشق سیشن")</f>
        <v>ایک آرام دہ مشق سیشن</v>
      </c>
      <c r="N71" s="2" t="str">
        <f>IFERROR(__xludf.DUMMYFUNCTION("GOOGLETRANSLATE(D71,""en"",""ur"")"),"ایک تناؤ اور جارحانہ کارکردگی")</f>
        <v>ایک تناؤ اور جارحانہ کارکردگی</v>
      </c>
      <c r="O71" s="2" t="str">
        <f>IFERROR(__xludf.DUMMYFUNCTION("GOOGLETRANSLATE(E71,""en"",""ur"")"),"ایک پرسکون، پرامن اجتماع")</f>
        <v>ایک پرسکون، پرامن اجتماع</v>
      </c>
      <c r="P71" s="2" t="str">
        <f>IFERROR(__xludf.DUMMYFUNCTION("GOOGLETRANSLATE(F71,""en"",""ur"")"),"ایک سست، رسمی رقص")</f>
        <v>ایک سست، رسمی رقص</v>
      </c>
      <c r="Q71" s="2" t="s">
        <v>457</v>
      </c>
      <c r="R71" s="2" t="str">
        <f>IFERROR(__xludf.DUMMYFUNCTION("GOOGLETRANSLATE(G71,""en"",""ur"")"),"ایک تناؤ اور جارحانہ کارکردگی")</f>
        <v>ایک تناؤ اور جارحانہ کارکردگی</v>
      </c>
      <c r="S71" s="6" t="s">
        <v>502</v>
      </c>
    </row>
    <row r="72">
      <c r="A72" s="7">
        <v>71.0</v>
      </c>
      <c r="B72" s="6" t="s">
        <v>515</v>
      </c>
      <c r="C72" s="6" t="s">
        <v>405</v>
      </c>
      <c r="D72" s="6" t="s">
        <v>406</v>
      </c>
      <c r="E72" s="6" t="s">
        <v>407</v>
      </c>
      <c r="F72" s="6" t="s">
        <v>408</v>
      </c>
      <c r="G72" s="6" t="s">
        <v>405</v>
      </c>
      <c r="H72" s="6" t="s">
        <v>516</v>
      </c>
      <c r="K72" s="2" t="str">
        <f>IFERROR(__xludf.DUMMYFUNCTION("GOOGLETRANSLATE(A72,""en"",""ur"")"),"71")</f>
        <v>71</v>
      </c>
      <c r="L72" s="2" t="str">
        <f>IFERROR(__xludf.DUMMYFUNCTION("GOOGLETRANSLATE(B72,""en"",""ur"")"),"گٹکا_9 میں دکھایا گیا اہم عمل کیا ہے؟")</f>
        <v>گٹکا_9 میں دکھایا گیا اہم عمل کیا ہے؟</v>
      </c>
      <c r="M72" s="2" t="str">
        <f>IFERROR(__xludf.DUMMYFUNCTION("GOOGLETRANSLATE(C72,""en"",""ur"")"),"دو آدمی تلواروں سے لڑ رہے ہیں۔")</f>
        <v>دو آدمی تلواروں سے لڑ رہے ہیں۔</v>
      </c>
      <c r="N72" s="2" t="str">
        <f>IFERROR(__xludf.DUMMYFUNCTION("GOOGLETRANSLATE(D72,""en"",""ur"")"),"دو آدمی ناچ رہے ہیں۔")</f>
        <v>دو آدمی ناچ رہے ہیں۔</v>
      </c>
      <c r="O72" s="2" t="str">
        <f>IFERROR(__xludf.DUMMYFUNCTION("GOOGLETRANSLATE(E72,""en"",""ur"")"),"دو آدمی سہارے کے ساتھ پوز دے رہے ہیں۔")</f>
        <v>دو آدمی سہارے کے ساتھ پوز دے رہے ہیں۔</v>
      </c>
      <c r="P72" s="2" t="str">
        <f>IFERROR(__xludf.DUMMYFUNCTION("GOOGLETRANSLATE(F72,""en"",""ur"")"),"دو آدمی کشتی کرتے ہوئے۔")</f>
        <v>دو آدمی کشتی کرتے ہوئے۔</v>
      </c>
      <c r="Q72" s="2" t="s">
        <v>460</v>
      </c>
      <c r="R72" s="2" t="str">
        <f>IFERROR(__xludf.DUMMYFUNCTION("GOOGLETRANSLATE(G72,""en"",""ur"")"),"دو آدمی تلواروں سے لڑ رہے ہیں۔")</f>
        <v>دو آدمی تلواروں سے لڑ رہے ہیں۔</v>
      </c>
      <c r="S72" s="6" t="s">
        <v>516</v>
      </c>
    </row>
    <row r="73">
      <c r="A73" s="7">
        <v>72.0</v>
      </c>
      <c r="B73" s="6" t="s">
        <v>487</v>
      </c>
      <c r="C73" s="6" t="s">
        <v>488</v>
      </c>
      <c r="D73" s="6" t="s">
        <v>517</v>
      </c>
      <c r="E73" s="6" t="s">
        <v>490</v>
      </c>
      <c r="F73" s="6" t="s">
        <v>413</v>
      </c>
      <c r="G73" s="6" t="s">
        <v>518</v>
      </c>
      <c r="H73" s="6" t="s">
        <v>516</v>
      </c>
      <c r="K73" s="2" t="str">
        <f>IFERROR(__xludf.DUMMYFUNCTION("GOOGLETRANSLATE(A73,""en"",""ur"")"),"72")</f>
        <v>72</v>
      </c>
      <c r="L73" s="2" t="str">
        <f>IFERROR(__xludf.DUMMYFUNCTION("GOOGLETRANSLATE(B73,""en"",""ur"")"),"جنگجوؤں کے لباس کے بارے میں ایک قابل ذکر تفصیل کیا ہے؟")</f>
        <v>جنگجوؤں کے لباس کے بارے میں ایک قابل ذکر تفصیل کیا ہے؟</v>
      </c>
      <c r="M73" s="2" t="str">
        <f>IFERROR(__xludf.DUMMYFUNCTION("GOOGLETRANSLATE(C73,""en"",""ur"")"),"انہوں نے بکتر کا پورا سوٹ پہن رکھا ہے۔")</f>
        <v>انہوں نے بکتر کا پورا سوٹ پہن رکھا ہے۔</v>
      </c>
      <c r="N73" s="2" t="str">
        <f>IFERROR(__xludf.DUMMYFUNCTION("GOOGLETRANSLATE(D73,""en"",""ur"")"),"انہوں نے نیلے رنگ کا ایک لمبا، پیلے رنگ کا اسکرٹ پہن رکھا ہے۔")</f>
        <v>انہوں نے نیلے رنگ کا ایک لمبا، پیلے رنگ کا اسکرٹ پہن رکھا ہے۔</v>
      </c>
      <c r="O73" s="2" t="str">
        <f>IFERROR(__xludf.DUMMYFUNCTION("GOOGLETRANSLATE(E73,""en"",""ur"")"),"انہوں نے شارٹس اور ٹی شرٹ پہن رکھی ہیں۔")</f>
        <v>انہوں نے شارٹس اور ٹی شرٹ پہن رکھی ہیں۔</v>
      </c>
      <c r="P73" s="2" t="str">
        <f>IFERROR(__xludf.DUMMYFUNCTION("GOOGLETRANSLATE(F73,""en"",""ur"")"),"اس نے پولیس کی وردی پہن رکھی ہے۔")</f>
        <v>اس نے پولیس کی وردی پہن رکھی ہے۔</v>
      </c>
      <c r="Q73" s="2" t="s">
        <v>519</v>
      </c>
      <c r="R73" s="2" t="str">
        <f>IFERROR(__xludf.DUMMYFUNCTION("GOOGLETRANSLATE(G73,""en"",""ur"")"),"اس نے ایک لمبا، پیلے پیٹرن والا اسکرٹ پہن رکھا ہے جس میں نیلے رنگ کی پٹی ہے۔")</f>
        <v>اس نے ایک لمبا، پیلے پیٹرن والا اسکرٹ پہن رکھا ہے جس میں نیلے رنگ کی پٹی ہے۔</v>
      </c>
      <c r="S73" s="6" t="s">
        <v>516</v>
      </c>
    </row>
    <row r="74">
      <c r="A74" s="7">
        <v>73.0</v>
      </c>
      <c r="B74" s="6" t="s">
        <v>415</v>
      </c>
      <c r="C74" s="6" t="s">
        <v>416</v>
      </c>
      <c r="D74" s="6" t="s">
        <v>417</v>
      </c>
      <c r="E74" s="6" t="s">
        <v>418</v>
      </c>
      <c r="F74" s="6" t="s">
        <v>419</v>
      </c>
      <c r="G74" s="6" t="s">
        <v>416</v>
      </c>
      <c r="H74" s="6" t="s">
        <v>516</v>
      </c>
      <c r="K74" s="2" t="str">
        <f>IFERROR(__xludf.DUMMYFUNCTION("GOOGLETRANSLATE(A74,""en"",""ur"")"),"73")</f>
        <v>73</v>
      </c>
      <c r="L74" s="2" t="str">
        <f>IFERROR(__xludf.DUMMYFUNCTION("GOOGLETRANSLATE(B74,""en"",""ur"")"),"جنگجوؤں کے ذریعہ استعمال ہونے والا بنیادی ہتھیار کیا ہے؟")</f>
        <v>جنگجوؤں کے ذریعہ استعمال ہونے والا بنیادی ہتھیار کیا ہے؟</v>
      </c>
      <c r="M74" s="2" t="str">
        <f>IFERROR(__xludf.DUMMYFUNCTION("GOOGLETRANSLATE(C74,""en"",""ur"")"),"ایک چھوٹی تلوار")</f>
        <v>ایک چھوٹی تلوار</v>
      </c>
      <c r="N74" s="2" t="str">
        <f>IFERROR(__xludf.DUMMYFUNCTION("GOOGLETRANSLATE(D74,""en"",""ur"")"),"ایک لمبی چھڑی")</f>
        <v>ایک لمبی چھڑی</v>
      </c>
      <c r="O74" s="2" t="str">
        <f>IFERROR(__xludf.DUMMYFUNCTION("GOOGLETRANSLATE(E74,""en"",""ur"")"),"ایک کمان اور تیر")</f>
        <v>ایک کمان اور تیر</v>
      </c>
      <c r="P74" s="2" t="str">
        <f>IFERROR(__xludf.DUMMYFUNCTION("GOOGLETRANSLATE(F74,""en"",""ur"")"),"ایک ننگی مٹھی")</f>
        <v>ایک ننگی مٹھی</v>
      </c>
      <c r="Q74" s="2" t="s">
        <v>420</v>
      </c>
      <c r="R74" s="2" t="str">
        <f>IFERROR(__xludf.DUMMYFUNCTION("GOOGLETRANSLATE(G74,""en"",""ur"")"),"ایک چھوٹی تلوار")</f>
        <v>ایک چھوٹی تلوار</v>
      </c>
      <c r="S74" s="6" t="s">
        <v>516</v>
      </c>
    </row>
    <row r="75">
      <c r="A75" s="7">
        <v>74.0</v>
      </c>
      <c r="B75" s="6" t="s">
        <v>421</v>
      </c>
      <c r="C75" s="6" t="s">
        <v>422</v>
      </c>
      <c r="D75" s="6" t="s">
        <v>423</v>
      </c>
      <c r="E75" s="6" t="s">
        <v>424</v>
      </c>
      <c r="F75" s="6" t="s">
        <v>425</v>
      </c>
      <c r="G75" s="6" t="s">
        <v>424</v>
      </c>
      <c r="H75" s="6" t="s">
        <v>516</v>
      </c>
      <c r="K75" s="2" t="str">
        <f>IFERROR(__xludf.DUMMYFUNCTION("GOOGLETRANSLATE(A75,""en"",""ur"")"),"74")</f>
        <v>74</v>
      </c>
      <c r="L75" s="2" t="str">
        <f>IFERROR(__xludf.DUMMYFUNCTION("GOOGLETRANSLATE(B75,""en"",""ur"")"),"اس لڑائی کی ترتیب کیا ہے؟")</f>
        <v>اس لڑائی کی ترتیب کیا ہے؟</v>
      </c>
      <c r="M75" s="2" t="str">
        <f>IFERROR(__xludf.DUMMYFUNCTION("GOOGLETRANSLATE(C75,""en"",""ur"")"),"ایک انڈور اسٹیڈیم")</f>
        <v>ایک انڈور اسٹیڈیم</v>
      </c>
      <c r="N75" s="2" t="str">
        <f>IFERROR(__xludf.DUMMYFUNCTION("GOOGLETRANSLATE(D75,""en"",""ur"")"),"ایک دیہی، بیرونی علاقہ")</f>
        <v>ایک دیہی، بیرونی علاقہ</v>
      </c>
      <c r="O75" s="2" t="str">
        <f>IFERROR(__xludf.DUMMYFUNCTION("GOOGLETRANSLATE(E75,""en"",""ur"")"),"شہر کی مصروف گلی")</f>
        <v>شہر کی مصروف گلی</v>
      </c>
      <c r="P75" s="2" t="str">
        <f>IFERROR(__xludf.DUMMYFUNCTION("GOOGLETRANSLATE(F75,""en"",""ur"")"),"گھاس کا میدان")</f>
        <v>گھاس کا میدان</v>
      </c>
      <c r="Q75" s="2" t="s">
        <v>426</v>
      </c>
      <c r="R75" s="2" t="str">
        <f>IFERROR(__xludf.DUMMYFUNCTION("GOOGLETRANSLATE(G75,""en"",""ur"")"),"شہر کی مصروف گلی")</f>
        <v>شہر کی مصروف گلی</v>
      </c>
      <c r="S75" s="6" t="s">
        <v>516</v>
      </c>
    </row>
    <row r="76">
      <c r="A76" s="7">
        <v>75.0</v>
      </c>
      <c r="B76" s="6" t="s">
        <v>427</v>
      </c>
      <c r="C76" s="6" t="s">
        <v>47</v>
      </c>
      <c r="D76" s="6" t="s">
        <v>48</v>
      </c>
      <c r="E76" s="6" t="s">
        <v>49</v>
      </c>
      <c r="F76" s="6" t="s">
        <v>50</v>
      </c>
      <c r="G76" s="6" t="s">
        <v>49</v>
      </c>
      <c r="H76" s="6" t="s">
        <v>516</v>
      </c>
      <c r="K76" s="2" t="str">
        <f>IFERROR(__xludf.DUMMYFUNCTION("GOOGLETRANSLATE(A76,""en"",""ur"")"),"75")</f>
        <v>75</v>
      </c>
      <c r="L76" s="2" t="str">
        <f>IFERROR(__xludf.DUMMYFUNCTION("GOOGLETRANSLATE(B76,""en"",""ur"")"),"جنگجوؤں کے ظاہری جذبات کیا ہیں؟")</f>
        <v>جنگجوؤں کے ظاہری جذبات کیا ہیں؟</v>
      </c>
      <c r="M76" s="2" t="str">
        <f>IFERROR(__xludf.DUMMYFUNCTION("GOOGLETRANSLATE(C76,""en"",""ur"")"),"پرسکون اور پر سکون")</f>
        <v>پرسکون اور پر سکون</v>
      </c>
      <c r="N76" s="2" t="str">
        <f>IFERROR(__xludf.DUMMYFUNCTION("GOOGLETRANSLATE(D76,""en"",""ur"")"),"خوف زدہ اور بے چین")</f>
        <v>خوف زدہ اور بے چین</v>
      </c>
      <c r="O76" s="2" t="str">
        <f>IFERROR(__xludf.DUMMYFUNCTION("GOOGLETRANSLATE(E76,""en"",""ur"")"),"کشیدہ اور شدید")</f>
        <v>کشیدہ اور شدید</v>
      </c>
      <c r="P76" s="2" t="str">
        <f>IFERROR(__xludf.DUMMYFUNCTION("GOOGLETRANSLATE(F76,""en"",""ur"")"),"خوش اور مسکراتے ہوئے۔")</f>
        <v>خوش اور مسکراتے ہوئے۔</v>
      </c>
      <c r="Q76" s="2" t="s">
        <v>51</v>
      </c>
      <c r="R76" s="2" t="str">
        <f>IFERROR(__xludf.DUMMYFUNCTION("GOOGLETRANSLATE(G76,""en"",""ur"")"),"کشیدہ اور شدید")</f>
        <v>کشیدہ اور شدید</v>
      </c>
      <c r="S76" s="6" t="s">
        <v>516</v>
      </c>
    </row>
    <row r="77">
      <c r="A77" s="7">
        <v>76.0</v>
      </c>
      <c r="B77" s="6" t="s">
        <v>428</v>
      </c>
      <c r="C77" s="6" t="s">
        <v>429</v>
      </c>
      <c r="D77" s="6" t="s">
        <v>430</v>
      </c>
      <c r="E77" s="6" t="s">
        <v>431</v>
      </c>
      <c r="F77" s="6" t="s">
        <v>432</v>
      </c>
      <c r="G77" s="6" t="s">
        <v>430</v>
      </c>
      <c r="H77" s="6" t="s">
        <v>516</v>
      </c>
      <c r="K77" s="2" t="str">
        <f>IFERROR(__xludf.DUMMYFUNCTION("GOOGLETRANSLATE(A77,""en"",""ur"")"),"76")</f>
        <v>76</v>
      </c>
      <c r="L77" s="2" t="str">
        <f>IFERROR(__xludf.DUMMYFUNCTION("GOOGLETRANSLATE(B77,""en"",""ur"")"),"جنگجوؤں کی ظاہری باڈی پوزیشن کیا ہے؟")</f>
        <v>جنگجوؤں کی ظاہری باڈی پوزیشن کیا ہے؟</v>
      </c>
      <c r="M77" s="2" t="str">
        <f>IFERROR(__xludf.DUMMYFUNCTION("GOOGLETRANSLATE(C77,""en"",""ur"")"),"سیدھا کھڑا ہونا")</f>
        <v>سیدھا کھڑا ہونا</v>
      </c>
      <c r="N77" s="2" t="str">
        <f>IFERROR(__xludf.DUMMYFUNCTION("GOOGLETRANSLATE(D77,""en"",""ur"")"),"کم، متحرک موقف میں")</f>
        <v>کم، متحرک موقف میں</v>
      </c>
      <c r="O77" s="2" t="str">
        <f>IFERROR(__xludf.DUMMYFUNCTION("GOOGLETRANSLATE(E77,""en"",""ur"")"),"زمین پر لیٹنا")</f>
        <v>زمین پر لیٹنا</v>
      </c>
      <c r="P77" s="2" t="str">
        <f>IFERROR(__xludf.DUMMYFUNCTION("GOOGLETRANSLATE(F77,""en"",""ur"")"),"بیٹھا ہوا")</f>
        <v>بیٹھا ہوا</v>
      </c>
      <c r="Q77" s="2" t="s">
        <v>433</v>
      </c>
      <c r="R77" s="2" t="str">
        <f>IFERROR(__xludf.DUMMYFUNCTION("GOOGLETRANSLATE(G77,""en"",""ur"")"),"کم، متحرک موقف میں")</f>
        <v>کم، متحرک موقف میں</v>
      </c>
      <c r="S77" s="6" t="s">
        <v>516</v>
      </c>
    </row>
    <row r="78">
      <c r="A78" s="7">
        <v>77.0</v>
      </c>
      <c r="B78" s="6" t="s">
        <v>434</v>
      </c>
      <c r="C78" s="6" t="s">
        <v>435</v>
      </c>
      <c r="D78" s="6" t="s">
        <v>436</v>
      </c>
      <c r="E78" s="6" t="s">
        <v>437</v>
      </c>
      <c r="F78" s="6" t="s">
        <v>438</v>
      </c>
      <c r="G78" s="6" t="s">
        <v>437</v>
      </c>
      <c r="H78" s="6" t="s">
        <v>516</v>
      </c>
      <c r="K78" s="2" t="str">
        <f>IFERROR(__xludf.DUMMYFUNCTION("GOOGLETRANSLATE(A78,""en"",""ur"")"),"77")</f>
        <v>77</v>
      </c>
      <c r="L78" s="2" t="str">
        <f>IFERROR(__xludf.DUMMYFUNCTION("GOOGLETRANSLATE(B78,""en"",""ur"")"),"پس منظر میں ہجوم کی سب سے نمایاں خصوصیت کیا ہے؟")</f>
        <v>پس منظر میں ہجوم کی سب سے نمایاں خصوصیت کیا ہے؟</v>
      </c>
      <c r="M78" s="2" t="str">
        <f>IFERROR(__xludf.DUMMYFUNCTION("GOOGLETRANSLATE(C78,""en"",""ur"")"),"وہ بھاگ رہے ہیں۔")</f>
        <v>وہ بھاگ رہے ہیں۔</v>
      </c>
      <c r="N78" s="2" t="str">
        <f>IFERROR(__xludf.DUMMYFUNCTION("GOOGLETRANSLATE(D78,""en"",""ur"")"),"وہ خاموش بیٹھے ہیں۔")</f>
        <v>وہ خاموش بیٹھے ہیں۔</v>
      </c>
      <c r="O78" s="2" t="str">
        <f>IFERROR(__xludf.DUMMYFUNCTION("GOOGLETRANSLATE(E78,""en"",""ur"")"),"وہ لڑائی کو قدرتی رکاوٹ سے دیکھ رہے ہیں۔")</f>
        <v>وہ لڑائی کو قدرتی رکاوٹ سے دیکھ رہے ہیں۔</v>
      </c>
      <c r="P78" s="2" t="str">
        <f>IFERROR(__xludf.DUMMYFUNCTION("GOOGLETRANSLATE(F78,""en"",""ur"")"),"وہ سب ایک اسٹیج پر کھڑے ہیں۔")</f>
        <v>وہ سب ایک اسٹیج پر کھڑے ہیں۔</v>
      </c>
      <c r="Q78" s="2" t="s">
        <v>439</v>
      </c>
      <c r="R78" s="2" t="str">
        <f>IFERROR(__xludf.DUMMYFUNCTION("GOOGLETRANSLATE(G78,""en"",""ur"")"),"وہ لڑائی کو قدرتی رکاوٹ سے دیکھ رہے ہیں۔")</f>
        <v>وہ لڑائی کو قدرتی رکاوٹ سے دیکھ رہے ہیں۔</v>
      </c>
      <c r="S78" s="6" t="s">
        <v>516</v>
      </c>
    </row>
    <row r="79">
      <c r="A79" s="7">
        <v>78.0</v>
      </c>
      <c r="B79" s="6" t="s">
        <v>440</v>
      </c>
      <c r="C79" s="6" t="s">
        <v>441</v>
      </c>
      <c r="D79" s="6" t="s">
        <v>442</v>
      </c>
      <c r="E79" s="6" t="s">
        <v>443</v>
      </c>
      <c r="F79" s="6" t="s">
        <v>444</v>
      </c>
      <c r="G79" s="6" t="s">
        <v>441</v>
      </c>
      <c r="H79" s="6" t="s">
        <v>516</v>
      </c>
      <c r="K79" s="2" t="str">
        <f>IFERROR(__xludf.DUMMYFUNCTION("GOOGLETRANSLATE(A79,""en"",""ur"")"),"78")</f>
        <v>78</v>
      </c>
      <c r="L79" s="2" t="str">
        <f>IFERROR(__xludf.DUMMYFUNCTION("GOOGLETRANSLATE(B79,""en"",""ur"")"),"زمین کی ظاہری حالت کیا ہے؟")</f>
        <v>زمین کی ظاہری حالت کیا ہے؟</v>
      </c>
      <c r="M79" s="2" t="str">
        <f>IFERROR(__xludf.DUMMYFUNCTION("GOOGLETRANSLATE(C79,""en"",""ur"")"),"یہ ایک پکی سطح ہے۔")</f>
        <v>یہ ایک پکی سطح ہے۔</v>
      </c>
      <c r="N79" s="2" t="str">
        <f>IFERROR(__xludf.DUMMYFUNCTION("GOOGLETRANSLATE(D79,""en"",""ur"")"),"یہ ایک کیچڑ والا میدان ہے۔")</f>
        <v>یہ ایک کیچڑ والا میدان ہے۔</v>
      </c>
      <c r="O79" s="2" t="str">
        <f>IFERROR(__xludf.DUMMYFUNCTION("GOOGLETRANSLATE(E79,""en"",""ur"")"),"یہ ایک ریتلی یا مٹی کی سطح ہے جس میں دھول اڑتی ہے۔")</f>
        <v>یہ ایک ریتلی یا مٹی کی سطح ہے جس میں دھول اڑتی ہے۔</v>
      </c>
      <c r="P79" s="2" t="str">
        <f>IFERROR(__xludf.DUMMYFUNCTION("GOOGLETRANSLATE(F79,""en"",""ur"")"),"یہ ایک گھاس والی سطح ہے۔")</f>
        <v>یہ ایک گھاس والی سطح ہے۔</v>
      </c>
      <c r="Q79" s="2" t="s">
        <v>445</v>
      </c>
      <c r="R79" s="2" t="str">
        <f>IFERROR(__xludf.DUMMYFUNCTION("GOOGLETRANSLATE(G79,""en"",""ur"")"),"یہ ایک پکی سطح ہے۔")</f>
        <v>یہ ایک پکی سطح ہے۔</v>
      </c>
      <c r="S79" s="6" t="s">
        <v>516</v>
      </c>
    </row>
    <row r="80">
      <c r="A80" s="7">
        <v>79.0</v>
      </c>
      <c r="B80" s="6" t="s">
        <v>446</v>
      </c>
      <c r="C80" s="6" t="s">
        <v>447</v>
      </c>
      <c r="D80" s="6" t="s">
        <v>448</v>
      </c>
      <c r="E80" s="6" t="s">
        <v>449</v>
      </c>
      <c r="F80" s="6" t="s">
        <v>450</v>
      </c>
      <c r="G80" s="6" t="s">
        <v>447</v>
      </c>
      <c r="H80" s="6" t="s">
        <v>516</v>
      </c>
      <c r="K80" s="2" t="str">
        <f>IFERROR(__xludf.DUMMYFUNCTION("GOOGLETRANSLATE(A80,""en"",""ur"")"),"79")</f>
        <v>79</v>
      </c>
      <c r="L80" s="2" t="str">
        <f>IFERROR(__xludf.DUMMYFUNCTION("GOOGLETRANSLATE(B80,""en"",""ur"")"),"ڈھال کا بنیادی مقصد کیا ہے جو ہر لڑاکا پکڑے ہوئے ہے؟")</f>
        <v>ڈھال کا بنیادی مقصد کیا ہے جو ہر لڑاکا پکڑے ہوئے ہے؟</v>
      </c>
      <c r="M80" s="2" t="str">
        <f>IFERROR(__xludf.DUMMYFUNCTION("GOOGLETRANSLATE(C80,""en"",""ur"")"),"تلوار کے وار کو روکنے کے لیے")</f>
        <v>تلوار کے وار کو روکنے کے لیے</v>
      </c>
      <c r="N80" s="2" t="str">
        <f>IFERROR(__xludf.DUMMYFUNCTION("GOOGLETRANSLATE(D80,""en"",""ur"")"),"ہتھیار رکھنے کے لیے")</f>
        <v>ہتھیار رکھنے کے لیے</v>
      </c>
      <c r="O80" s="2" t="str">
        <f>IFERROR(__xludf.DUMMYFUNCTION("GOOGLETRANSLATE(E80,""en"",""ur"")"),"صرف سجاوٹ کے لیے")</f>
        <v>صرف سجاوٹ کے لیے</v>
      </c>
      <c r="P80" s="2" t="str">
        <f>IFERROR(__xludf.DUMMYFUNCTION("GOOGLETRANSLATE(F80,""en"",""ur"")"),"سورج کو روکنے کے لئے")</f>
        <v>سورج کو روکنے کے لئے</v>
      </c>
      <c r="Q80" s="2" t="s">
        <v>451</v>
      </c>
      <c r="R80" s="2" t="str">
        <f>IFERROR(__xludf.DUMMYFUNCTION("GOOGLETRANSLATE(G80,""en"",""ur"")"),"تلوار کے وار کو روکنے کے لیے")</f>
        <v>تلوار کے وار کو روکنے کے لیے</v>
      </c>
      <c r="S80" s="6" t="s">
        <v>516</v>
      </c>
    </row>
    <row r="81">
      <c r="A81" s="7">
        <v>80.0</v>
      </c>
      <c r="B81" s="6" t="s">
        <v>452</v>
      </c>
      <c r="C81" s="6" t="s">
        <v>453</v>
      </c>
      <c r="D81" s="6" t="s">
        <v>454</v>
      </c>
      <c r="E81" s="6" t="s">
        <v>455</v>
      </c>
      <c r="F81" s="6" t="s">
        <v>456</v>
      </c>
      <c r="G81" s="6" t="s">
        <v>454</v>
      </c>
      <c r="H81" s="6" t="s">
        <v>516</v>
      </c>
      <c r="K81" s="2" t="str">
        <f>IFERROR(__xludf.DUMMYFUNCTION("GOOGLETRANSLATE(A81,""en"",""ur"")"),"80")</f>
        <v>80</v>
      </c>
      <c r="L81" s="2" t="str">
        <f>IFERROR(__xludf.DUMMYFUNCTION("GOOGLETRANSLATE(B81,""en"",""ur"")"),"ایونٹ کا مجموعی موڈ ایسا لگتا ہے...")</f>
        <v>ایونٹ کا مجموعی موڈ ایسا لگتا ہے...</v>
      </c>
      <c r="M81" s="2" t="str">
        <f>IFERROR(__xludf.DUMMYFUNCTION("GOOGLETRANSLATE(C81,""en"",""ur"")"),"ایک آرام دہ مشق سیشن")</f>
        <v>ایک آرام دہ مشق سیشن</v>
      </c>
      <c r="N81" s="2" t="str">
        <f>IFERROR(__xludf.DUMMYFUNCTION("GOOGLETRANSLATE(D81,""en"",""ur"")"),"ایک تناؤ اور جارحانہ کارکردگی")</f>
        <v>ایک تناؤ اور جارحانہ کارکردگی</v>
      </c>
      <c r="O81" s="2" t="str">
        <f>IFERROR(__xludf.DUMMYFUNCTION("GOOGLETRANSLATE(E81,""en"",""ur"")"),"ایک پرسکون، پرامن اجتماع")</f>
        <v>ایک پرسکون، پرامن اجتماع</v>
      </c>
      <c r="P81" s="2" t="str">
        <f>IFERROR(__xludf.DUMMYFUNCTION("GOOGLETRANSLATE(F81,""en"",""ur"")"),"ایک سست، رسمی رقص")</f>
        <v>ایک سست، رسمی رقص</v>
      </c>
      <c r="Q81" s="2" t="s">
        <v>457</v>
      </c>
      <c r="R81" s="2" t="str">
        <f>IFERROR(__xludf.DUMMYFUNCTION("GOOGLETRANSLATE(G81,""en"",""ur"")"),"ایک تناؤ اور جارحانہ کارکردگی")</f>
        <v>ایک تناؤ اور جارحانہ کارکردگی</v>
      </c>
      <c r="S81" s="6" t="s">
        <v>516</v>
      </c>
    </row>
    <row r="82">
      <c r="A82" s="7">
        <v>81.0</v>
      </c>
      <c r="B82" s="6" t="s">
        <v>520</v>
      </c>
      <c r="C82" s="6" t="s">
        <v>483</v>
      </c>
      <c r="D82" s="6" t="s">
        <v>406</v>
      </c>
      <c r="E82" s="6" t="s">
        <v>407</v>
      </c>
      <c r="F82" s="6" t="s">
        <v>408</v>
      </c>
      <c r="G82" s="6" t="s">
        <v>483</v>
      </c>
      <c r="H82" s="6" t="s">
        <v>521</v>
      </c>
      <c r="K82" s="2" t="str">
        <f>IFERROR(__xludf.DUMMYFUNCTION("GOOGLETRANSLATE(A82,""en"",""ur"")"),"81")</f>
        <v>81</v>
      </c>
      <c r="L82" s="2" t="str">
        <f>IFERROR(__xludf.DUMMYFUNCTION("GOOGLETRANSLATE(B82,""en"",""ur"")"),"گٹکا_13 میں دکھایا گیا اہم عمل کیا ہے؟")</f>
        <v>گٹکا_13 میں دکھایا گیا اہم عمل کیا ہے؟</v>
      </c>
      <c r="M82" s="2" t="str">
        <f>IFERROR(__xludf.DUMMYFUNCTION("GOOGLETRANSLATE(C82,""en"",""ur"")"),"دو آدمی لاٹھیوں اور ڈھالوں سے لڑ رہے ہیں۔")</f>
        <v>دو آدمی لاٹھیوں اور ڈھالوں سے لڑ رہے ہیں۔</v>
      </c>
      <c r="N82" s="2" t="str">
        <f>IFERROR(__xludf.DUMMYFUNCTION("GOOGLETRANSLATE(D82,""en"",""ur"")"),"دو آدمی ناچ رہے ہیں۔")</f>
        <v>دو آدمی ناچ رہے ہیں۔</v>
      </c>
      <c r="O82" s="2" t="str">
        <f>IFERROR(__xludf.DUMMYFUNCTION("GOOGLETRANSLATE(E82,""en"",""ur"")"),"دو آدمی سہارے کے ساتھ پوز دے رہے ہیں۔")</f>
        <v>دو آدمی سہارے کے ساتھ پوز دے رہے ہیں۔</v>
      </c>
      <c r="P82" s="2" t="str">
        <f>IFERROR(__xludf.DUMMYFUNCTION("GOOGLETRANSLATE(F82,""en"",""ur"")"),"دو آدمی کشتی کرتے ہوئے۔")</f>
        <v>دو آدمی کشتی کرتے ہوئے۔</v>
      </c>
      <c r="Q82" s="2" t="s">
        <v>503</v>
      </c>
      <c r="R82" s="2" t="str">
        <f>IFERROR(__xludf.DUMMYFUNCTION("GOOGLETRANSLATE(G82,""en"",""ur"")"),"دو آدمی لاٹھیوں اور ڈھالوں سے لڑ رہے ہیں۔")</f>
        <v>دو آدمی لاٹھیوں اور ڈھالوں سے لڑ رہے ہیں۔</v>
      </c>
      <c r="S82" s="6" t="s">
        <v>521</v>
      </c>
    </row>
    <row r="83">
      <c r="A83" s="7">
        <v>82.0</v>
      </c>
      <c r="B83" s="6" t="s">
        <v>487</v>
      </c>
      <c r="C83" s="6" t="s">
        <v>488</v>
      </c>
      <c r="D83" s="6" t="s">
        <v>522</v>
      </c>
      <c r="E83" s="6" t="s">
        <v>334</v>
      </c>
      <c r="F83" s="6" t="s">
        <v>413</v>
      </c>
      <c r="G83" s="6" t="s">
        <v>523</v>
      </c>
      <c r="H83" s="6" t="s">
        <v>521</v>
      </c>
      <c r="K83" s="2" t="str">
        <f>IFERROR(__xludf.DUMMYFUNCTION("GOOGLETRANSLATE(A83,""en"",""ur"")"),"82")</f>
        <v>82</v>
      </c>
      <c r="L83" s="2" t="str">
        <f>IFERROR(__xludf.DUMMYFUNCTION("GOOGLETRANSLATE(B83,""en"",""ur"")"),"جنگجوؤں کے لباس کے بارے میں ایک قابل ذکر تفصیل کیا ہے؟")</f>
        <v>جنگجوؤں کے لباس کے بارے میں ایک قابل ذکر تفصیل کیا ہے؟</v>
      </c>
      <c r="M83" s="2" t="str">
        <f>IFERROR(__xludf.DUMMYFUNCTION("GOOGLETRANSLATE(C83,""en"",""ur"")"),"انہوں نے بکتر کا پورا سوٹ پہن رکھا ہے۔")</f>
        <v>انہوں نے بکتر کا پورا سوٹ پہن رکھا ہے۔</v>
      </c>
      <c r="N83" s="2" t="str">
        <f>IFERROR(__xludf.DUMMYFUNCTION("GOOGLETRANSLATE(D83,""en"",""ur"")"),"انہوں نے ایک لمبا، نیلے پیٹرن والا اسکرٹ پہنا ہوا ہے جس میں سیش ہے۔")</f>
        <v>انہوں نے ایک لمبا، نیلے پیٹرن والا اسکرٹ پہنا ہوا ہے جس میں سیش ہے۔</v>
      </c>
      <c r="O83" s="2" t="str">
        <f>IFERROR(__xludf.DUMMYFUNCTION("GOOGLETRANSLATE(E83,""en"",""ur"")"),"اس نے شارٹس اور ٹی شرٹ پہن رکھی ہے۔")</f>
        <v>اس نے شارٹس اور ٹی شرٹ پہن رکھی ہے۔</v>
      </c>
      <c r="P83" s="2" t="str">
        <f>IFERROR(__xludf.DUMMYFUNCTION("GOOGLETRANSLATE(F83,""en"",""ur"")"),"اس نے پولیس کی وردی پہن رکھی ہے۔")</f>
        <v>اس نے پولیس کی وردی پہن رکھی ہے۔</v>
      </c>
      <c r="Q83" s="2" t="s">
        <v>524</v>
      </c>
      <c r="R83" s="2" t="str">
        <f>IFERROR(__xludf.DUMMYFUNCTION("GOOGLETRANSLATE(G83,""en"",""ur"")"),"اس نے ایک لمبا، نیلے پیٹرن والا اسکرٹ پہنا ہوا ہے جس میں سیش ہے۔")</f>
        <v>اس نے ایک لمبا، نیلے پیٹرن والا اسکرٹ پہنا ہوا ہے جس میں سیش ہے۔</v>
      </c>
      <c r="S83" s="6" t="s">
        <v>521</v>
      </c>
    </row>
    <row r="84">
      <c r="A84" s="7">
        <v>83.0</v>
      </c>
      <c r="B84" s="6" t="s">
        <v>415</v>
      </c>
      <c r="C84" s="6" t="s">
        <v>416</v>
      </c>
      <c r="D84" s="6" t="s">
        <v>417</v>
      </c>
      <c r="E84" s="6" t="s">
        <v>418</v>
      </c>
      <c r="F84" s="6" t="s">
        <v>419</v>
      </c>
      <c r="G84" s="6" t="s">
        <v>416</v>
      </c>
      <c r="H84" s="6" t="s">
        <v>521</v>
      </c>
      <c r="K84" s="2" t="str">
        <f>IFERROR(__xludf.DUMMYFUNCTION("GOOGLETRANSLATE(A84,""en"",""ur"")"),"83")</f>
        <v>83</v>
      </c>
      <c r="L84" s="2" t="str">
        <f>IFERROR(__xludf.DUMMYFUNCTION("GOOGLETRANSLATE(B84,""en"",""ur"")"),"جنگجوؤں کے ذریعہ استعمال ہونے والا بنیادی ہتھیار کیا ہے؟")</f>
        <v>جنگجوؤں کے ذریعہ استعمال ہونے والا بنیادی ہتھیار کیا ہے؟</v>
      </c>
      <c r="M84" s="2" t="str">
        <f>IFERROR(__xludf.DUMMYFUNCTION("GOOGLETRANSLATE(C84,""en"",""ur"")"),"ایک چھوٹی تلوار")</f>
        <v>ایک چھوٹی تلوار</v>
      </c>
      <c r="N84" s="2" t="str">
        <f>IFERROR(__xludf.DUMMYFUNCTION("GOOGLETRANSLATE(D84,""en"",""ur"")"),"ایک لمبی چھڑی")</f>
        <v>ایک لمبی چھڑی</v>
      </c>
      <c r="O84" s="2" t="str">
        <f>IFERROR(__xludf.DUMMYFUNCTION("GOOGLETRANSLATE(E84,""en"",""ur"")"),"ایک کمان اور تیر")</f>
        <v>ایک کمان اور تیر</v>
      </c>
      <c r="P84" s="2" t="str">
        <f>IFERROR(__xludf.DUMMYFUNCTION("GOOGLETRANSLATE(F84,""en"",""ur"")"),"ایک ننگی مٹھی")</f>
        <v>ایک ننگی مٹھی</v>
      </c>
      <c r="Q84" s="2" t="s">
        <v>420</v>
      </c>
      <c r="R84" s="2" t="str">
        <f>IFERROR(__xludf.DUMMYFUNCTION("GOOGLETRANSLATE(G84,""en"",""ur"")"),"ایک چھوٹی تلوار")</f>
        <v>ایک چھوٹی تلوار</v>
      </c>
      <c r="S84" s="6" t="s">
        <v>521</v>
      </c>
    </row>
    <row r="85">
      <c r="A85" s="7">
        <v>84.0</v>
      </c>
      <c r="B85" s="6" t="s">
        <v>421</v>
      </c>
      <c r="C85" s="6" t="s">
        <v>422</v>
      </c>
      <c r="D85" s="6" t="s">
        <v>525</v>
      </c>
      <c r="E85" s="6" t="s">
        <v>424</v>
      </c>
      <c r="F85" s="6" t="s">
        <v>425</v>
      </c>
      <c r="G85" s="6" t="s">
        <v>425</v>
      </c>
      <c r="H85" s="6" t="s">
        <v>521</v>
      </c>
      <c r="K85" s="2" t="str">
        <f>IFERROR(__xludf.DUMMYFUNCTION("GOOGLETRANSLATE(A85,""en"",""ur"")"),"84")</f>
        <v>84</v>
      </c>
      <c r="L85" s="2" t="str">
        <f>IFERROR(__xludf.DUMMYFUNCTION("GOOGLETRANSLATE(B85,""en"",""ur"")"),"اس لڑائی کی ترتیب کیا ہے؟")</f>
        <v>اس لڑائی کی ترتیب کیا ہے؟</v>
      </c>
      <c r="M85" s="2" t="str">
        <f>IFERROR(__xludf.DUMMYFUNCTION("GOOGLETRANSLATE(C85,""en"",""ur"")"),"ایک انڈور اسٹیڈیم")</f>
        <v>ایک انڈور اسٹیڈیم</v>
      </c>
      <c r="N85" s="2" t="str">
        <f>IFERROR(__xludf.DUMMYFUNCTION("GOOGLETRANSLATE(D85,""en"",""ur"")"),"کھجور کے درختوں کے ساتھ ایک دیہی، بیرونی علاقہ")</f>
        <v>کھجور کے درختوں کے ساتھ ایک دیہی، بیرونی علاقہ</v>
      </c>
      <c r="O85" s="2" t="str">
        <f>IFERROR(__xludf.DUMMYFUNCTION("GOOGLETRANSLATE(E85,""en"",""ur"")"),"شہر کی مصروف گلی")</f>
        <v>شہر کی مصروف گلی</v>
      </c>
      <c r="P85" s="2" t="str">
        <f>IFERROR(__xludf.DUMMYFUNCTION("GOOGLETRANSLATE(F85,""en"",""ur"")"),"گھاس کا میدان")</f>
        <v>گھاس کا میدان</v>
      </c>
      <c r="Q85" s="2" t="s">
        <v>526</v>
      </c>
      <c r="R85" s="2" t="str">
        <f>IFERROR(__xludf.DUMMYFUNCTION("GOOGLETRANSLATE(G85,""en"",""ur"")"),"گھاس کا میدان")</f>
        <v>گھاس کا میدان</v>
      </c>
      <c r="S85" s="6" t="s">
        <v>521</v>
      </c>
    </row>
    <row r="86">
      <c r="A86" s="7">
        <v>85.0</v>
      </c>
      <c r="B86" s="6" t="s">
        <v>427</v>
      </c>
      <c r="C86" s="6" t="s">
        <v>47</v>
      </c>
      <c r="D86" s="6" t="s">
        <v>48</v>
      </c>
      <c r="E86" s="6" t="s">
        <v>49</v>
      </c>
      <c r="F86" s="6" t="s">
        <v>50</v>
      </c>
      <c r="G86" s="6" t="s">
        <v>49</v>
      </c>
      <c r="H86" s="6" t="s">
        <v>521</v>
      </c>
      <c r="K86" s="2" t="str">
        <f>IFERROR(__xludf.DUMMYFUNCTION("GOOGLETRANSLATE(A86,""en"",""ur"")"),"85")</f>
        <v>85</v>
      </c>
      <c r="L86" s="2" t="str">
        <f>IFERROR(__xludf.DUMMYFUNCTION("GOOGLETRANSLATE(B86,""en"",""ur"")"),"جنگجوؤں کے ظاہری جذبات کیا ہیں؟")</f>
        <v>جنگجوؤں کے ظاہری جذبات کیا ہیں؟</v>
      </c>
      <c r="M86" s="2" t="str">
        <f>IFERROR(__xludf.DUMMYFUNCTION("GOOGLETRANSLATE(C86,""en"",""ur"")"),"پرسکون اور پر سکون")</f>
        <v>پرسکون اور پر سکون</v>
      </c>
      <c r="N86" s="2" t="str">
        <f>IFERROR(__xludf.DUMMYFUNCTION("GOOGLETRANSLATE(D86,""en"",""ur"")"),"خوف زدہ اور بے چین")</f>
        <v>خوف زدہ اور بے چین</v>
      </c>
      <c r="O86" s="2" t="str">
        <f>IFERROR(__xludf.DUMMYFUNCTION("GOOGLETRANSLATE(E86,""en"",""ur"")"),"کشیدہ اور شدید")</f>
        <v>کشیدہ اور شدید</v>
      </c>
      <c r="P86" s="2" t="str">
        <f>IFERROR(__xludf.DUMMYFUNCTION("GOOGLETRANSLATE(F86,""en"",""ur"")"),"خوش اور مسکراتے ہوئے۔")</f>
        <v>خوش اور مسکراتے ہوئے۔</v>
      </c>
      <c r="Q86" s="2" t="s">
        <v>51</v>
      </c>
      <c r="R86" s="2" t="str">
        <f>IFERROR(__xludf.DUMMYFUNCTION("GOOGLETRANSLATE(G86,""en"",""ur"")"),"کشیدہ اور شدید")</f>
        <v>کشیدہ اور شدید</v>
      </c>
      <c r="S86" s="6" t="s">
        <v>521</v>
      </c>
    </row>
    <row r="87">
      <c r="A87" s="7">
        <v>86.0</v>
      </c>
      <c r="B87" s="6" t="s">
        <v>428</v>
      </c>
      <c r="C87" s="6" t="s">
        <v>429</v>
      </c>
      <c r="D87" s="6" t="s">
        <v>430</v>
      </c>
      <c r="E87" s="6" t="s">
        <v>431</v>
      </c>
      <c r="F87" s="6" t="s">
        <v>432</v>
      </c>
      <c r="G87" s="6" t="s">
        <v>430</v>
      </c>
      <c r="H87" s="6" t="s">
        <v>521</v>
      </c>
      <c r="K87" s="2" t="str">
        <f>IFERROR(__xludf.DUMMYFUNCTION("GOOGLETRANSLATE(A87,""en"",""ur"")"),"86")</f>
        <v>86</v>
      </c>
      <c r="L87" s="2" t="str">
        <f>IFERROR(__xludf.DUMMYFUNCTION("GOOGLETRANSLATE(B87,""en"",""ur"")"),"جنگجوؤں کی ظاہری باڈی پوزیشن کیا ہے؟")</f>
        <v>جنگجوؤں کی ظاہری باڈی پوزیشن کیا ہے؟</v>
      </c>
      <c r="M87" s="2" t="str">
        <f>IFERROR(__xludf.DUMMYFUNCTION("GOOGLETRANSLATE(C87,""en"",""ur"")"),"سیدھا کھڑا ہونا")</f>
        <v>سیدھا کھڑا ہونا</v>
      </c>
      <c r="N87" s="2" t="str">
        <f>IFERROR(__xludf.DUMMYFUNCTION("GOOGLETRANSLATE(D87,""en"",""ur"")"),"کم، متحرک موقف میں")</f>
        <v>کم، متحرک موقف میں</v>
      </c>
      <c r="O87" s="2" t="str">
        <f>IFERROR(__xludf.DUMMYFUNCTION("GOOGLETRANSLATE(E87,""en"",""ur"")"),"زمین پر لیٹنا")</f>
        <v>زمین پر لیٹنا</v>
      </c>
      <c r="P87" s="2" t="str">
        <f>IFERROR(__xludf.DUMMYFUNCTION("GOOGLETRANSLATE(F87,""en"",""ur"")"),"بیٹھا ہوا")</f>
        <v>بیٹھا ہوا</v>
      </c>
      <c r="Q87" s="2" t="s">
        <v>433</v>
      </c>
      <c r="R87" s="2" t="str">
        <f>IFERROR(__xludf.DUMMYFUNCTION("GOOGLETRANSLATE(G87,""en"",""ur"")"),"کم، متحرک موقف میں")</f>
        <v>کم، متحرک موقف میں</v>
      </c>
      <c r="S87" s="6" t="s">
        <v>521</v>
      </c>
    </row>
    <row r="88">
      <c r="A88" s="7">
        <v>87.0</v>
      </c>
      <c r="B88" s="6" t="s">
        <v>434</v>
      </c>
      <c r="C88" s="6" t="s">
        <v>435</v>
      </c>
      <c r="D88" s="6" t="s">
        <v>436</v>
      </c>
      <c r="E88" s="6" t="s">
        <v>527</v>
      </c>
      <c r="F88" s="6" t="s">
        <v>438</v>
      </c>
      <c r="G88" s="6" t="s">
        <v>527</v>
      </c>
      <c r="H88" s="6" t="s">
        <v>521</v>
      </c>
      <c r="K88" s="2" t="str">
        <f>IFERROR(__xludf.DUMMYFUNCTION("GOOGLETRANSLATE(A88,""en"",""ur"")"),"87")</f>
        <v>87</v>
      </c>
      <c r="L88" s="2" t="str">
        <f>IFERROR(__xludf.DUMMYFUNCTION("GOOGLETRANSLATE(B88,""en"",""ur"")"),"پس منظر میں ہجوم کی سب سے نمایاں خصوصیت کیا ہے؟")</f>
        <v>پس منظر میں ہجوم کی سب سے نمایاں خصوصیت کیا ہے؟</v>
      </c>
      <c r="M88" s="2" t="str">
        <f>IFERROR(__xludf.DUMMYFUNCTION("GOOGLETRANSLATE(C88,""en"",""ur"")"),"وہ بھاگ رہے ہیں۔")</f>
        <v>وہ بھاگ رہے ہیں۔</v>
      </c>
      <c r="N88" s="2" t="str">
        <f>IFERROR(__xludf.DUMMYFUNCTION("GOOGLETRANSLATE(D88,""en"",""ur"")"),"وہ خاموش بیٹھے ہیں۔")</f>
        <v>وہ خاموش بیٹھے ہیں۔</v>
      </c>
      <c r="O88" s="2" t="str">
        <f>IFERROR(__xludf.DUMMYFUNCTION("GOOGLETRANSLATE(E88,""en"",""ur"")"),"وہ قدرتی رکاوٹ کے پیچھے سے لڑائی کو دیکھ رہے ہیں۔")</f>
        <v>وہ قدرتی رکاوٹ کے پیچھے سے لڑائی کو دیکھ رہے ہیں۔</v>
      </c>
      <c r="P88" s="2" t="str">
        <f>IFERROR(__xludf.DUMMYFUNCTION("GOOGLETRANSLATE(F88,""en"",""ur"")"),"وہ سب ایک اسٹیج پر کھڑے ہیں۔")</f>
        <v>وہ سب ایک اسٹیج پر کھڑے ہیں۔</v>
      </c>
      <c r="Q88" s="2" t="s">
        <v>528</v>
      </c>
      <c r="R88" s="2" t="str">
        <f>IFERROR(__xludf.DUMMYFUNCTION("GOOGLETRANSLATE(G88,""en"",""ur"")"),"وہ قدرتی رکاوٹ کے پیچھے سے لڑائی کو دیکھ رہے ہیں۔")</f>
        <v>وہ قدرتی رکاوٹ کے پیچھے سے لڑائی کو دیکھ رہے ہیں۔</v>
      </c>
      <c r="S88" s="6" t="s">
        <v>521</v>
      </c>
    </row>
    <row r="89">
      <c r="A89" s="7">
        <v>88.0</v>
      </c>
      <c r="B89" s="6" t="s">
        <v>440</v>
      </c>
      <c r="C89" s="6" t="s">
        <v>441</v>
      </c>
      <c r="D89" s="6" t="s">
        <v>442</v>
      </c>
      <c r="E89" s="6" t="s">
        <v>443</v>
      </c>
      <c r="F89" s="6" t="s">
        <v>444</v>
      </c>
      <c r="G89" s="6" t="s">
        <v>441</v>
      </c>
      <c r="H89" s="6" t="s">
        <v>521</v>
      </c>
      <c r="K89" s="2" t="str">
        <f>IFERROR(__xludf.DUMMYFUNCTION("GOOGLETRANSLATE(A89,""en"",""ur"")"),"88")</f>
        <v>88</v>
      </c>
      <c r="L89" s="2" t="str">
        <f>IFERROR(__xludf.DUMMYFUNCTION("GOOGLETRANSLATE(B89,""en"",""ur"")"),"زمین کی ظاہری حالت کیا ہے؟")</f>
        <v>زمین کی ظاہری حالت کیا ہے؟</v>
      </c>
      <c r="M89" s="2" t="str">
        <f>IFERROR(__xludf.DUMMYFUNCTION("GOOGLETRANSLATE(C89,""en"",""ur"")"),"یہ ایک پکی سطح ہے۔")</f>
        <v>یہ ایک پکی سطح ہے۔</v>
      </c>
      <c r="N89" s="2" t="str">
        <f>IFERROR(__xludf.DUMMYFUNCTION("GOOGLETRANSLATE(D89,""en"",""ur"")"),"یہ ایک کیچڑ والا میدان ہے۔")</f>
        <v>یہ ایک کیچڑ والا میدان ہے۔</v>
      </c>
      <c r="O89" s="2" t="str">
        <f>IFERROR(__xludf.DUMMYFUNCTION("GOOGLETRANSLATE(E89,""en"",""ur"")"),"یہ ایک ریتلی یا مٹی کی سطح ہے جس میں دھول اڑتی ہے۔")</f>
        <v>یہ ایک ریتلی یا مٹی کی سطح ہے جس میں دھول اڑتی ہے۔</v>
      </c>
      <c r="P89" s="2" t="str">
        <f>IFERROR(__xludf.DUMMYFUNCTION("GOOGLETRANSLATE(F89,""en"",""ur"")"),"یہ ایک گھاس والی سطح ہے۔")</f>
        <v>یہ ایک گھاس والی سطح ہے۔</v>
      </c>
      <c r="Q89" s="2" t="s">
        <v>445</v>
      </c>
      <c r="R89" s="2" t="str">
        <f>IFERROR(__xludf.DUMMYFUNCTION("GOOGLETRANSLATE(G89,""en"",""ur"")"),"یہ ایک پکی سطح ہے۔")</f>
        <v>یہ ایک پکی سطح ہے۔</v>
      </c>
      <c r="S89" s="6" t="s">
        <v>521</v>
      </c>
    </row>
    <row r="90">
      <c r="A90" s="7">
        <v>89.0</v>
      </c>
      <c r="B90" s="6" t="s">
        <v>446</v>
      </c>
      <c r="C90" s="6" t="s">
        <v>493</v>
      </c>
      <c r="D90" s="6" t="s">
        <v>448</v>
      </c>
      <c r="E90" s="6" t="s">
        <v>449</v>
      </c>
      <c r="F90" s="6" t="s">
        <v>450</v>
      </c>
      <c r="G90" s="6" t="s">
        <v>493</v>
      </c>
      <c r="H90" s="6" t="s">
        <v>521</v>
      </c>
      <c r="K90" s="2" t="str">
        <f>IFERROR(__xludf.DUMMYFUNCTION("GOOGLETRANSLATE(A90,""en"",""ur"")"),"89")</f>
        <v>89</v>
      </c>
      <c r="L90" s="2" t="str">
        <f>IFERROR(__xludf.DUMMYFUNCTION("GOOGLETRANSLATE(B90,""en"",""ur"")"),"ڈھال کا بنیادی مقصد کیا ہے جو ہر لڑاکا پکڑے ہوئے ہے؟")</f>
        <v>ڈھال کا بنیادی مقصد کیا ہے جو ہر لڑاکا پکڑے ہوئے ہے؟</v>
      </c>
      <c r="M90" s="2" t="str">
        <f>IFERROR(__xludf.DUMMYFUNCTION("GOOGLETRANSLATE(C90,""en"",""ur"")"),"چھڑی کی ہڑتالوں کو روکنے کے لیے")</f>
        <v>چھڑی کی ہڑتالوں کو روکنے کے لیے</v>
      </c>
      <c r="N90" s="2" t="str">
        <f>IFERROR(__xludf.DUMMYFUNCTION("GOOGLETRANSLATE(D90,""en"",""ur"")"),"ہتھیار رکھنے کے لیے")</f>
        <v>ہتھیار رکھنے کے لیے</v>
      </c>
      <c r="O90" s="2" t="str">
        <f>IFERROR(__xludf.DUMMYFUNCTION("GOOGLETRANSLATE(E90,""en"",""ur"")"),"صرف سجاوٹ کے لیے")</f>
        <v>صرف سجاوٹ کے لیے</v>
      </c>
      <c r="P90" s="2" t="str">
        <f>IFERROR(__xludf.DUMMYFUNCTION("GOOGLETRANSLATE(F90,""en"",""ur"")"),"سورج کو روکنے کے لئے")</f>
        <v>سورج کو روکنے کے لئے</v>
      </c>
      <c r="Q90" s="2" t="s">
        <v>494</v>
      </c>
      <c r="R90" s="2" t="str">
        <f>IFERROR(__xludf.DUMMYFUNCTION("GOOGLETRANSLATE(G90,""en"",""ur"")"),"چھڑی کی ہڑتالوں کو روکنے کے لیے")</f>
        <v>چھڑی کی ہڑتالوں کو روکنے کے لیے</v>
      </c>
      <c r="S90" s="6" t="s">
        <v>521</v>
      </c>
    </row>
    <row r="91">
      <c r="A91" s="7">
        <v>90.0</v>
      </c>
      <c r="B91" s="6" t="s">
        <v>452</v>
      </c>
      <c r="C91" s="6" t="s">
        <v>453</v>
      </c>
      <c r="D91" s="6" t="s">
        <v>454</v>
      </c>
      <c r="E91" s="6" t="s">
        <v>455</v>
      </c>
      <c r="F91" s="6" t="s">
        <v>456</v>
      </c>
      <c r="G91" s="6" t="s">
        <v>454</v>
      </c>
      <c r="H91" s="6" t="s">
        <v>521</v>
      </c>
      <c r="K91" s="2" t="str">
        <f>IFERROR(__xludf.DUMMYFUNCTION("GOOGLETRANSLATE(A91,""en"",""ur"")"),"90")</f>
        <v>90</v>
      </c>
      <c r="L91" s="2" t="str">
        <f>IFERROR(__xludf.DUMMYFUNCTION("GOOGLETRANSLATE(B91,""en"",""ur"")"),"ایونٹ کا مجموعی موڈ ایسا لگتا ہے...")</f>
        <v>ایونٹ کا مجموعی موڈ ایسا لگتا ہے...</v>
      </c>
      <c r="M91" s="2" t="str">
        <f>IFERROR(__xludf.DUMMYFUNCTION("GOOGLETRANSLATE(C91,""en"",""ur"")"),"ایک آرام دہ مشق سیشن")</f>
        <v>ایک آرام دہ مشق سیشن</v>
      </c>
      <c r="N91" s="2" t="str">
        <f>IFERROR(__xludf.DUMMYFUNCTION("GOOGLETRANSLATE(D91,""en"",""ur"")"),"ایک تناؤ اور جارحانہ کارکردگی")</f>
        <v>ایک تناؤ اور جارحانہ کارکردگی</v>
      </c>
      <c r="O91" s="2" t="str">
        <f>IFERROR(__xludf.DUMMYFUNCTION("GOOGLETRANSLATE(E91,""en"",""ur"")"),"ایک پرسکون، پرامن اجتماع")</f>
        <v>ایک پرسکون، پرامن اجتماع</v>
      </c>
      <c r="P91" s="2" t="str">
        <f>IFERROR(__xludf.DUMMYFUNCTION("GOOGLETRANSLATE(F91,""en"",""ur"")"),"ایک سست، رسمی رقص")</f>
        <v>ایک سست، رسمی رقص</v>
      </c>
      <c r="Q91" s="2" t="s">
        <v>457</v>
      </c>
      <c r="R91" s="2" t="str">
        <f>IFERROR(__xludf.DUMMYFUNCTION("GOOGLETRANSLATE(G91,""en"",""ur"")"),"ایک تناؤ اور جارحانہ کارکردگی")</f>
        <v>ایک تناؤ اور جارحانہ کارکردگی</v>
      </c>
      <c r="S91" s="6" t="s">
        <v>521</v>
      </c>
    </row>
    <row r="92">
      <c r="A92" s="7">
        <v>91.0</v>
      </c>
      <c r="B92" s="6" t="s">
        <v>529</v>
      </c>
      <c r="C92" s="6" t="s">
        <v>530</v>
      </c>
      <c r="D92" s="6" t="s">
        <v>531</v>
      </c>
      <c r="E92" s="6" t="s">
        <v>532</v>
      </c>
      <c r="F92" s="6" t="s">
        <v>533</v>
      </c>
      <c r="G92" s="6" t="s">
        <v>530</v>
      </c>
      <c r="H92" s="6" t="s">
        <v>534</v>
      </c>
      <c r="K92" s="2" t="str">
        <f>IFERROR(__xludf.DUMMYFUNCTION("GOOGLETRANSLATE(A92,""en"",""ur"")"),"91")</f>
        <v>91</v>
      </c>
      <c r="L92" s="2" t="str">
        <f>IFERROR(__xludf.DUMMYFUNCTION("GOOGLETRANSLATE(B92,""en"",""ur"")"),"گٹکا_16 میں دکھایا گیا اہم عمل کیا ہے؟")</f>
        <v>گٹکا_16 میں دکھایا گیا اہم عمل کیا ہے؟</v>
      </c>
      <c r="M92" s="2" t="str">
        <f>IFERROR(__xludf.DUMMYFUNCTION("GOOGLETRANSLATE(C92,""en"",""ur"")"),"بچوں کا ایک گروپ پوز دے رہا ہے۔")</f>
        <v>بچوں کا ایک گروپ پوز دے رہا ہے۔</v>
      </c>
      <c r="N92" s="2" t="str">
        <f>IFERROR(__xludf.DUMMYFUNCTION("GOOGLETRANSLATE(D92,""en"",""ur"")"),"بچوں کا ایک گروپ ناچ رہا ہے۔")</f>
        <v>بچوں کا ایک گروپ ناچ رہا ہے۔</v>
      </c>
      <c r="O92" s="2" t="str">
        <f>IFERROR(__xludf.DUMMYFUNCTION("GOOGLETRANSLATE(E92,""en"",""ur"")"),"بچوں کا ایک گروہ جو تلواروں سے لڑ رہا ہے۔")</f>
        <v>بچوں کا ایک گروہ جو تلواروں سے لڑ رہا ہے۔</v>
      </c>
      <c r="P92" s="2" t="str">
        <f>IFERROR(__xludf.DUMMYFUNCTION("GOOGLETRANSLATE(F92,""en"",""ur"")"),"بچوں کا ایک گروپ ریسلنگ")</f>
        <v>بچوں کا ایک گروپ ریسلنگ</v>
      </c>
      <c r="Q92" s="2" t="s">
        <v>535</v>
      </c>
      <c r="R92" s="2" t="str">
        <f>IFERROR(__xludf.DUMMYFUNCTION("GOOGLETRANSLATE(G92,""en"",""ur"")"),"بچوں کا ایک گروپ پوز دے رہا ہے۔")</f>
        <v>بچوں کا ایک گروپ پوز دے رہا ہے۔</v>
      </c>
      <c r="S92" s="6" t="s">
        <v>534</v>
      </c>
    </row>
    <row r="93">
      <c r="A93" s="7">
        <v>92.0</v>
      </c>
      <c r="B93" s="6" t="s">
        <v>536</v>
      </c>
      <c r="C93" s="6" t="s">
        <v>488</v>
      </c>
      <c r="D93" s="6" t="s">
        <v>537</v>
      </c>
      <c r="E93" s="6" t="s">
        <v>490</v>
      </c>
      <c r="F93" s="6" t="s">
        <v>413</v>
      </c>
      <c r="G93" s="6" t="s">
        <v>537</v>
      </c>
      <c r="H93" s="6" t="s">
        <v>534</v>
      </c>
      <c r="K93" s="2" t="str">
        <f>IFERROR(__xludf.DUMMYFUNCTION("GOOGLETRANSLATE(A93,""en"",""ur"")"),"92")</f>
        <v>92</v>
      </c>
      <c r="L93" s="2" t="str">
        <f>IFERROR(__xludf.DUMMYFUNCTION("GOOGLETRANSLATE(B93,""en"",""ur"")"),"بچوں کے لباس کے بارے میں ایک قابل ذکر تفصیل کیا ہے؟")</f>
        <v>بچوں کے لباس کے بارے میں ایک قابل ذکر تفصیل کیا ہے؟</v>
      </c>
      <c r="M93" s="2" t="str">
        <f>IFERROR(__xludf.DUMMYFUNCTION("GOOGLETRANSLATE(C93,""en"",""ur"")"),"انہوں نے بکتر کا پورا سوٹ پہن رکھا ہے۔")</f>
        <v>انہوں نے بکتر کا پورا سوٹ پہن رکھا ہے۔</v>
      </c>
      <c r="N93" s="2" t="str">
        <f>IFERROR(__xludf.DUMMYFUNCTION("GOOGLETRANSLATE(D93,""en"",""ur"")"),"انہوں نے نارنجی رنگ کا ایک لمبا، نیلا لباس پہن رکھا ہے۔")</f>
        <v>انہوں نے نارنجی رنگ کا ایک لمبا، نیلا لباس پہن رکھا ہے۔</v>
      </c>
      <c r="O93" s="2" t="str">
        <f>IFERROR(__xludf.DUMMYFUNCTION("GOOGLETRANSLATE(E93,""en"",""ur"")"),"انہوں نے شارٹس اور ٹی شرٹ پہن رکھی ہیں۔")</f>
        <v>انہوں نے شارٹس اور ٹی شرٹ پہن رکھی ہیں۔</v>
      </c>
      <c r="P93" s="2" t="str">
        <f>IFERROR(__xludf.DUMMYFUNCTION("GOOGLETRANSLATE(F93,""en"",""ur"")"),"اس نے پولیس کی وردی پہن رکھی ہے۔")</f>
        <v>اس نے پولیس کی وردی پہن رکھی ہے۔</v>
      </c>
      <c r="Q93" s="2" t="s">
        <v>538</v>
      </c>
      <c r="R93" s="2" t="str">
        <f>IFERROR(__xludf.DUMMYFUNCTION("GOOGLETRANSLATE(G93,""en"",""ur"")"),"انہوں نے نارنجی رنگ کا ایک لمبا، نیلا لباس پہن رکھا ہے۔")</f>
        <v>انہوں نے نارنجی رنگ کا ایک لمبا، نیلا لباس پہن رکھا ہے۔</v>
      </c>
      <c r="S93" s="6" t="s">
        <v>534</v>
      </c>
    </row>
    <row r="94">
      <c r="A94" s="7">
        <v>93.0</v>
      </c>
      <c r="B94" s="6" t="s">
        <v>539</v>
      </c>
      <c r="C94" s="6" t="s">
        <v>416</v>
      </c>
      <c r="D94" s="6" t="s">
        <v>417</v>
      </c>
      <c r="E94" s="6" t="s">
        <v>418</v>
      </c>
      <c r="F94" s="6" t="s">
        <v>419</v>
      </c>
      <c r="G94" s="6" t="s">
        <v>417</v>
      </c>
      <c r="H94" s="6" t="s">
        <v>534</v>
      </c>
      <c r="K94" s="2" t="str">
        <f>IFERROR(__xludf.DUMMYFUNCTION("GOOGLETRANSLATE(A94,""en"",""ur"")"),"93")</f>
        <v>93</v>
      </c>
      <c r="L94" s="2" t="str">
        <f>IFERROR(__xludf.DUMMYFUNCTION("GOOGLETRANSLATE(B94,""en"",""ur"")"),"بچوں کے ذریعہ استعمال ہونے والا بنیادی ہتھیار کیا ہے؟")</f>
        <v>بچوں کے ذریعہ استعمال ہونے والا بنیادی ہتھیار کیا ہے؟</v>
      </c>
      <c r="M94" s="2" t="str">
        <f>IFERROR(__xludf.DUMMYFUNCTION("GOOGLETRANSLATE(C94,""en"",""ur"")"),"ایک چھوٹی تلوار")</f>
        <v>ایک چھوٹی تلوار</v>
      </c>
      <c r="N94" s="2" t="str">
        <f>IFERROR(__xludf.DUMMYFUNCTION("GOOGLETRANSLATE(D94,""en"",""ur"")"),"ایک لمبی چھڑی")</f>
        <v>ایک لمبی چھڑی</v>
      </c>
      <c r="O94" s="2" t="str">
        <f>IFERROR(__xludf.DUMMYFUNCTION("GOOGLETRANSLATE(E94,""en"",""ur"")"),"ایک کمان اور تیر")</f>
        <v>ایک کمان اور تیر</v>
      </c>
      <c r="P94" s="2" t="str">
        <f>IFERROR(__xludf.DUMMYFUNCTION("GOOGLETRANSLATE(F94,""en"",""ur"")"),"ایک ننگی مٹھی")</f>
        <v>ایک ننگی مٹھی</v>
      </c>
      <c r="Q94" s="2" t="s">
        <v>420</v>
      </c>
      <c r="R94" s="2" t="str">
        <f>IFERROR(__xludf.DUMMYFUNCTION("GOOGLETRANSLATE(G94,""en"",""ur"")"),"ایک لمبی چھڑی")</f>
        <v>ایک لمبی چھڑی</v>
      </c>
      <c r="S94" s="6" t="s">
        <v>534</v>
      </c>
    </row>
    <row r="95">
      <c r="A95" s="7">
        <v>94.0</v>
      </c>
      <c r="B95" s="6" t="s">
        <v>421</v>
      </c>
      <c r="C95" s="6" t="s">
        <v>422</v>
      </c>
      <c r="D95" s="6" t="s">
        <v>423</v>
      </c>
      <c r="E95" s="6" t="s">
        <v>424</v>
      </c>
      <c r="F95" s="6" t="s">
        <v>425</v>
      </c>
      <c r="G95" s="6" t="s">
        <v>424</v>
      </c>
      <c r="H95" s="6" t="s">
        <v>534</v>
      </c>
      <c r="K95" s="2" t="str">
        <f>IFERROR(__xludf.DUMMYFUNCTION("GOOGLETRANSLATE(A95,""en"",""ur"")"),"94")</f>
        <v>94</v>
      </c>
      <c r="L95" s="2" t="str">
        <f>IFERROR(__xludf.DUMMYFUNCTION("GOOGLETRANSLATE(B95,""en"",""ur"")"),"اس لڑائی کی ترتیب کیا ہے؟")</f>
        <v>اس لڑائی کی ترتیب کیا ہے؟</v>
      </c>
      <c r="M95" s="2" t="str">
        <f>IFERROR(__xludf.DUMMYFUNCTION("GOOGLETRANSLATE(C95,""en"",""ur"")"),"ایک انڈور اسٹیڈیم")</f>
        <v>ایک انڈور اسٹیڈیم</v>
      </c>
      <c r="N95" s="2" t="str">
        <f>IFERROR(__xludf.DUMMYFUNCTION("GOOGLETRANSLATE(D95,""en"",""ur"")"),"ایک دیہی، بیرونی علاقہ")</f>
        <v>ایک دیہی، بیرونی علاقہ</v>
      </c>
      <c r="O95" s="2" t="str">
        <f>IFERROR(__xludf.DUMMYFUNCTION("GOOGLETRANSLATE(E95,""en"",""ur"")"),"شہر کی مصروف گلی")</f>
        <v>شہر کی مصروف گلی</v>
      </c>
      <c r="P95" s="2" t="str">
        <f>IFERROR(__xludf.DUMMYFUNCTION("GOOGLETRANSLATE(F95,""en"",""ur"")"),"گھاس کا میدان")</f>
        <v>گھاس کا میدان</v>
      </c>
      <c r="Q95" s="2" t="s">
        <v>426</v>
      </c>
      <c r="R95" s="2" t="str">
        <f>IFERROR(__xludf.DUMMYFUNCTION("GOOGLETRANSLATE(G95,""en"",""ur"")"),"شہر کی مصروف گلی")</f>
        <v>شہر کی مصروف گلی</v>
      </c>
      <c r="S95" s="6" t="s">
        <v>534</v>
      </c>
    </row>
    <row r="96">
      <c r="A96" s="7">
        <v>95.0</v>
      </c>
      <c r="B96" s="6" t="s">
        <v>540</v>
      </c>
      <c r="C96" s="6" t="s">
        <v>47</v>
      </c>
      <c r="D96" s="6" t="s">
        <v>48</v>
      </c>
      <c r="E96" s="6" t="s">
        <v>49</v>
      </c>
      <c r="F96" s="6" t="s">
        <v>50</v>
      </c>
      <c r="G96" s="6" t="s">
        <v>47</v>
      </c>
      <c r="H96" s="6" t="s">
        <v>534</v>
      </c>
      <c r="K96" s="2" t="str">
        <f>IFERROR(__xludf.DUMMYFUNCTION("GOOGLETRANSLATE(A96,""en"",""ur"")"),"95")</f>
        <v>95</v>
      </c>
      <c r="L96" s="2" t="str">
        <f>IFERROR(__xludf.DUMMYFUNCTION("GOOGLETRANSLATE(B96,""en"",""ur"")"),"بچوں کے ظاہری جذبات کیا ہیں؟")</f>
        <v>بچوں کے ظاہری جذبات کیا ہیں؟</v>
      </c>
      <c r="M96" s="2" t="str">
        <f>IFERROR(__xludf.DUMMYFUNCTION("GOOGLETRANSLATE(C96,""en"",""ur"")"),"پرسکون اور پر سکون")</f>
        <v>پرسکون اور پر سکون</v>
      </c>
      <c r="N96" s="2" t="str">
        <f>IFERROR(__xludf.DUMMYFUNCTION("GOOGLETRANSLATE(D96,""en"",""ur"")"),"خوف زدہ اور بے چین")</f>
        <v>خوف زدہ اور بے چین</v>
      </c>
      <c r="O96" s="2" t="str">
        <f>IFERROR(__xludf.DUMMYFUNCTION("GOOGLETRANSLATE(E96,""en"",""ur"")"),"کشیدہ اور شدید")</f>
        <v>کشیدہ اور شدید</v>
      </c>
      <c r="P96" s="2" t="str">
        <f>IFERROR(__xludf.DUMMYFUNCTION("GOOGLETRANSLATE(F96,""en"",""ur"")"),"خوش اور مسکراتے ہوئے۔")</f>
        <v>خوش اور مسکراتے ہوئے۔</v>
      </c>
      <c r="Q96" s="2" t="s">
        <v>51</v>
      </c>
      <c r="R96" s="2" t="str">
        <f>IFERROR(__xludf.DUMMYFUNCTION("GOOGLETRANSLATE(G96,""en"",""ur"")"),"پرسکون اور پر سکون")</f>
        <v>پرسکون اور پر سکون</v>
      </c>
      <c r="S96" s="6" t="s">
        <v>534</v>
      </c>
    </row>
    <row r="97">
      <c r="A97" s="7">
        <v>96.0</v>
      </c>
      <c r="B97" s="6" t="s">
        <v>541</v>
      </c>
      <c r="C97" s="6" t="s">
        <v>429</v>
      </c>
      <c r="D97" s="6" t="s">
        <v>430</v>
      </c>
      <c r="E97" s="6" t="s">
        <v>431</v>
      </c>
      <c r="F97" s="6" t="s">
        <v>432</v>
      </c>
      <c r="G97" s="6" t="s">
        <v>429</v>
      </c>
      <c r="H97" s="6" t="s">
        <v>534</v>
      </c>
      <c r="K97" s="2" t="str">
        <f>IFERROR(__xludf.DUMMYFUNCTION("GOOGLETRANSLATE(A97,""en"",""ur"")"),"96")</f>
        <v>96</v>
      </c>
      <c r="L97" s="2" t="str">
        <f>IFERROR(__xludf.DUMMYFUNCTION("GOOGLETRANSLATE(B97,""en"",""ur"")"),"بچوں کی ظاہری جسمانی پوزیشن کیا ہے؟")</f>
        <v>بچوں کی ظاہری جسمانی پوزیشن کیا ہے؟</v>
      </c>
      <c r="M97" s="2" t="str">
        <f>IFERROR(__xludf.DUMMYFUNCTION("GOOGLETRANSLATE(C97,""en"",""ur"")"),"سیدھا کھڑا ہونا")</f>
        <v>سیدھا کھڑا ہونا</v>
      </c>
      <c r="N97" s="2" t="str">
        <f>IFERROR(__xludf.DUMMYFUNCTION("GOOGLETRANSLATE(D97,""en"",""ur"")"),"کم، متحرک موقف میں")</f>
        <v>کم، متحرک موقف میں</v>
      </c>
      <c r="O97" s="2" t="str">
        <f>IFERROR(__xludf.DUMMYFUNCTION("GOOGLETRANSLATE(E97,""en"",""ur"")"),"زمین پر لیٹنا")</f>
        <v>زمین پر لیٹنا</v>
      </c>
      <c r="P97" s="2" t="str">
        <f>IFERROR(__xludf.DUMMYFUNCTION("GOOGLETRANSLATE(F97,""en"",""ur"")"),"بیٹھا ہوا")</f>
        <v>بیٹھا ہوا</v>
      </c>
      <c r="Q97" s="2" t="s">
        <v>433</v>
      </c>
      <c r="R97" s="2" t="str">
        <f>IFERROR(__xludf.DUMMYFUNCTION("GOOGLETRANSLATE(G97,""en"",""ur"")"),"سیدھا کھڑا ہونا")</f>
        <v>سیدھا کھڑا ہونا</v>
      </c>
      <c r="S97" s="6" t="s">
        <v>534</v>
      </c>
    </row>
    <row r="98">
      <c r="A98" s="7">
        <v>97.0</v>
      </c>
      <c r="B98" s="6" t="s">
        <v>434</v>
      </c>
      <c r="C98" s="6" t="s">
        <v>435</v>
      </c>
      <c r="D98" s="6" t="s">
        <v>436</v>
      </c>
      <c r="E98" s="6" t="s">
        <v>437</v>
      </c>
      <c r="F98" s="6" t="s">
        <v>438</v>
      </c>
      <c r="G98" s="6" t="s">
        <v>437</v>
      </c>
      <c r="H98" s="6" t="s">
        <v>534</v>
      </c>
      <c r="K98" s="2" t="str">
        <f>IFERROR(__xludf.DUMMYFUNCTION("GOOGLETRANSLATE(A98,""en"",""ur"")"),"97")</f>
        <v>97</v>
      </c>
      <c r="L98" s="2" t="str">
        <f>IFERROR(__xludf.DUMMYFUNCTION("GOOGLETRANSLATE(B98,""en"",""ur"")"),"پس منظر میں ہجوم کی سب سے نمایاں خصوصیت کیا ہے؟")</f>
        <v>پس منظر میں ہجوم کی سب سے نمایاں خصوصیت کیا ہے؟</v>
      </c>
      <c r="M98" s="2" t="str">
        <f>IFERROR(__xludf.DUMMYFUNCTION("GOOGLETRANSLATE(C98,""en"",""ur"")"),"وہ بھاگ رہے ہیں۔")</f>
        <v>وہ بھاگ رہے ہیں۔</v>
      </c>
      <c r="N98" s="2" t="str">
        <f>IFERROR(__xludf.DUMMYFUNCTION("GOOGLETRANSLATE(D98,""en"",""ur"")"),"وہ خاموش بیٹھے ہیں۔")</f>
        <v>وہ خاموش بیٹھے ہیں۔</v>
      </c>
      <c r="O98" s="2" t="str">
        <f>IFERROR(__xludf.DUMMYFUNCTION("GOOGLETRANSLATE(E98,""en"",""ur"")"),"وہ لڑائی کو قدرتی رکاوٹ سے دیکھ رہے ہیں۔")</f>
        <v>وہ لڑائی کو قدرتی رکاوٹ سے دیکھ رہے ہیں۔</v>
      </c>
      <c r="P98" s="2" t="str">
        <f>IFERROR(__xludf.DUMMYFUNCTION("GOOGLETRANSLATE(F98,""en"",""ur"")"),"وہ سب ایک اسٹیج پر کھڑے ہیں۔")</f>
        <v>وہ سب ایک اسٹیج پر کھڑے ہیں۔</v>
      </c>
      <c r="Q98" s="2" t="s">
        <v>439</v>
      </c>
      <c r="R98" s="2" t="str">
        <f>IFERROR(__xludf.DUMMYFUNCTION("GOOGLETRANSLATE(G98,""en"",""ur"")"),"وہ لڑائی کو قدرتی رکاوٹ سے دیکھ رہے ہیں۔")</f>
        <v>وہ لڑائی کو قدرتی رکاوٹ سے دیکھ رہے ہیں۔</v>
      </c>
      <c r="S98" s="6" t="s">
        <v>534</v>
      </c>
    </row>
    <row r="99">
      <c r="A99" s="7">
        <v>98.0</v>
      </c>
      <c r="B99" s="6" t="s">
        <v>440</v>
      </c>
      <c r="C99" s="6" t="s">
        <v>441</v>
      </c>
      <c r="D99" s="6" t="s">
        <v>442</v>
      </c>
      <c r="E99" s="6" t="s">
        <v>443</v>
      </c>
      <c r="F99" s="6" t="s">
        <v>444</v>
      </c>
      <c r="G99" s="6" t="s">
        <v>441</v>
      </c>
      <c r="H99" s="6" t="s">
        <v>534</v>
      </c>
      <c r="K99" s="2" t="str">
        <f>IFERROR(__xludf.DUMMYFUNCTION("GOOGLETRANSLATE(A99,""en"",""ur"")"),"98")</f>
        <v>98</v>
      </c>
      <c r="L99" s="2" t="str">
        <f>IFERROR(__xludf.DUMMYFUNCTION("GOOGLETRANSLATE(B99,""en"",""ur"")"),"زمین کی ظاہری حالت کیا ہے؟")</f>
        <v>زمین کی ظاہری حالت کیا ہے؟</v>
      </c>
      <c r="M99" s="2" t="str">
        <f>IFERROR(__xludf.DUMMYFUNCTION("GOOGLETRANSLATE(C99,""en"",""ur"")"),"یہ ایک پکی سطح ہے۔")</f>
        <v>یہ ایک پکی سطح ہے۔</v>
      </c>
      <c r="N99" s="2" t="str">
        <f>IFERROR(__xludf.DUMMYFUNCTION("GOOGLETRANSLATE(D99,""en"",""ur"")"),"یہ ایک کیچڑ والا میدان ہے۔")</f>
        <v>یہ ایک کیچڑ والا میدان ہے۔</v>
      </c>
      <c r="O99" s="2" t="str">
        <f>IFERROR(__xludf.DUMMYFUNCTION("GOOGLETRANSLATE(E99,""en"",""ur"")"),"یہ ایک ریتلی یا مٹی کی سطح ہے جس میں دھول اڑتی ہے۔")</f>
        <v>یہ ایک ریتلی یا مٹی کی سطح ہے جس میں دھول اڑتی ہے۔</v>
      </c>
      <c r="P99" s="2" t="str">
        <f>IFERROR(__xludf.DUMMYFUNCTION("GOOGLETRANSLATE(F99,""en"",""ur"")"),"یہ ایک گھاس والی سطح ہے۔")</f>
        <v>یہ ایک گھاس والی سطح ہے۔</v>
      </c>
      <c r="Q99" s="2" t="s">
        <v>445</v>
      </c>
      <c r="R99" s="2" t="str">
        <f>IFERROR(__xludf.DUMMYFUNCTION("GOOGLETRANSLATE(G99,""en"",""ur"")"),"یہ ایک پکی سطح ہے۔")</f>
        <v>یہ ایک پکی سطح ہے۔</v>
      </c>
      <c r="S99" s="6" t="s">
        <v>534</v>
      </c>
    </row>
    <row r="100">
      <c r="A100" s="7">
        <v>99.0</v>
      </c>
      <c r="B100" s="6" t="s">
        <v>542</v>
      </c>
      <c r="C100" s="6" t="s">
        <v>447</v>
      </c>
      <c r="D100" s="6" t="s">
        <v>448</v>
      </c>
      <c r="E100" s="6" t="s">
        <v>449</v>
      </c>
      <c r="F100" s="6" t="s">
        <v>450</v>
      </c>
      <c r="G100" s="6" t="s">
        <v>447</v>
      </c>
      <c r="H100" s="6" t="s">
        <v>534</v>
      </c>
      <c r="K100" s="2" t="str">
        <f>IFERROR(__xludf.DUMMYFUNCTION("GOOGLETRANSLATE(A100,""en"",""ur"")"),"99")</f>
        <v>99</v>
      </c>
      <c r="L100" s="2" t="str">
        <f>IFERROR(__xludf.DUMMYFUNCTION("GOOGLETRANSLATE(B100,""en"",""ur"")"),"ڈھال کا بنیادی مقصد کیا ہے جو ہر بچے کے پاس ہے؟")</f>
        <v>ڈھال کا بنیادی مقصد کیا ہے جو ہر بچے کے پاس ہے؟</v>
      </c>
      <c r="M100" s="2" t="str">
        <f>IFERROR(__xludf.DUMMYFUNCTION("GOOGLETRANSLATE(C100,""en"",""ur"")"),"تلوار کے وار کو روکنے کے لیے")</f>
        <v>تلوار کے وار کو روکنے کے لیے</v>
      </c>
      <c r="N100" s="2" t="str">
        <f>IFERROR(__xludf.DUMMYFUNCTION("GOOGLETRANSLATE(D100,""en"",""ur"")"),"ہتھیار رکھنے کے لیے")</f>
        <v>ہتھیار رکھنے کے لیے</v>
      </c>
      <c r="O100" s="2" t="str">
        <f>IFERROR(__xludf.DUMMYFUNCTION("GOOGLETRANSLATE(E100,""en"",""ur"")"),"صرف سجاوٹ کے لیے")</f>
        <v>صرف سجاوٹ کے لیے</v>
      </c>
      <c r="P100" s="2" t="str">
        <f>IFERROR(__xludf.DUMMYFUNCTION("GOOGLETRANSLATE(F100,""en"",""ur"")"),"سورج کو روکنے کے لئے")</f>
        <v>سورج کو روکنے کے لئے</v>
      </c>
      <c r="Q100" s="2" t="s">
        <v>451</v>
      </c>
      <c r="R100" s="2" t="str">
        <f>IFERROR(__xludf.DUMMYFUNCTION("GOOGLETRANSLATE(G100,""en"",""ur"")"),"تلوار کے وار کو روکنے کے لیے")</f>
        <v>تلوار کے وار کو روکنے کے لیے</v>
      </c>
      <c r="S100" s="6" t="s">
        <v>534</v>
      </c>
    </row>
    <row r="101">
      <c r="A101" s="7">
        <v>100.0</v>
      </c>
      <c r="B101" s="6" t="s">
        <v>452</v>
      </c>
      <c r="C101" s="6" t="s">
        <v>453</v>
      </c>
      <c r="D101" s="6" t="s">
        <v>454</v>
      </c>
      <c r="E101" s="6" t="s">
        <v>455</v>
      </c>
      <c r="F101" s="6" t="s">
        <v>456</v>
      </c>
      <c r="G101" s="6" t="s">
        <v>453</v>
      </c>
      <c r="H101" s="6" t="s">
        <v>534</v>
      </c>
      <c r="K101" s="2" t="str">
        <f>IFERROR(__xludf.DUMMYFUNCTION("GOOGLETRANSLATE(A101,""en"",""ur"")"),"100")</f>
        <v>100</v>
      </c>
      <c r="L101" s="2" t="str">
        <f>IFERROR(__xludf.DUMMYFUNCTION("GOOGLETRANSLATE(B101,""en"",""ur"")"),"ایونٹ کا مجموعی موڈ ایسا لگتا ہے...")</f>
        <v>ایونٹ کا مجموعی موڈ ایسا لگتا ہے...</v>
      </c>
      <c r="M101" s="2" t="str">
        <f>IFERROR(__xludf.DUMMYFUNCTION("GOOGLETRANSLATE(C101,""en"",""ur"")"),"ایک آرام دہ مشق سیشن")</f>
        <v>ایک آرام دہ مشق سیشن</v>
      </c>
      <c r="N101" s="2" t="str">
        <f>IFERROR(__xludf.DUMMYFUNCTION("GOOGLETRANSLATE(D101,""en"",""ur"")"),"ایک تناؤ اور جارحانہ کارکردگی")</f>
        <v>ایک تناؤ اور جارحانہ کارکردگی</v>
      </c>
      <c r="O101" s="2" t="str">
        <f>IFERROR(__xludf.DUMMYFUNCTION("GOOGLETRANSLATE(E101,""en"",""ur"")"),"ایک پرسکون، پرامن اجتماع")</f>
        <v>ایک پرسکون، پرامن اجتماع</v>
      </c>
      <c r="P101" s="2" t="str">
        <f>IFERROR(__xludf.DUMMYFUNCTION("GOOGLETRANSLATE(F101,""en"",""ur"")"),"ایک سست، رسمی رقص")</f>
        <v>ایک سست، رسمی رقص</v>
      </c>
      <c r="Q101" s="2" t="s">
        <v>457</v>
      </c>
      <c r="R101" s="2" t="str">
        <f>IFERROR(__xludf.DUMMYFUNCTION("GOOGLETRANSLATE(G101,""en"",""ur"")"),"ایک آرام دہ مشق سیشن")</f>
        <v>ایک آرام دہ مشق سیشن</v>
      </c>
      <c r="S101" s="6" t="s">
        <v>534</v>
      </c>
    </row>
    <row r="102">
      <c r="A102" s="7">
        <v>101.0</v>
      </c>
      <c r="B102" s="6" t="s">
        <v>543</v>
      </c>
      <c r="C102" s="6" t="s">
        <v>405</v>
      </c>
      <c r="D102" s="6" t="s">
        <v>406</v>
      </c>
      <c r="E102" s="6" t="s">
        <v>407</v>
      </c>
      <c r="F102" s="6" t="s">
        <v>408</v>
      </c>
      <c r="G102" s="6" t="s">
        <v>405</v>
      </c>
      <c r="H102" s="6" t="s">
        <v>544</v>
      </c>
      <c r="K102" s="2" t="str">
        <f>IFERROR(__xludf.DUMMYFUNCTION("GOOGLETRANSLATE(A102,""en"",""ur"")"),"101")</f>
        <v>101</v>
      </c>
      <c r="L102" s="2" t="str">
        <f>IFERROR(__xludf.DUMMYFUNCTION("GOOGLETRANSLATE(B102,""en"",""ur"")"),"گٹکا_22 میں دکھایا گیا اہم عمل کیا ہے؟")</f>
        <v>گٹکا_22 میں دکھایا گیا اہم عمل کیا ہے؟</v>
      </c>
      <c r="M102" s="2" t="str">
        <f>IFERROR(__xludf.DUMMYFUNCTION("GOOGLETRANSLATE(C102,""en"",""ur"")"),"دو آدمی تلواروں سے لڑ رہے ہیں۔")</f>
        <v>دو آدمی تلواروں سے لڑ رہے ہیں۔</v>
      </c>
      <c r="N102" s="2" t="str">
        <f>IFERROR(__xludf.DUMMYFUNCTION("GOOGLETRANSLATE(D102,""en"",""ur"")"),"دو آدمی ناچ رہے ہیں۔")</f>
        <v>دو آدمی ناچ رہے ہیں۔</v>
      </c>
      <c r="O102" s="2" t="str">
        <f>IFERROR(__xludf.DUMMYFUNCTION("GOOGLETRANSLATE(E102,""en"",""ur"")"),"دو آدمی سہارے کے ساتھ پوز دے رہے ہیں۔")</f>
        <v>دو آدمی سہارے کے ساتھ پوز دے رہے ہیں۔</v>
      </c>
      <c r="P102" s="2" t="str">
        <f>IFERROR(__xludf.DUMMYFUNCTION("GOOGLETRANSLATE(F102,""en"",""ur"")"),"دو آدمی کشتی کرتے ہوئے۔")</f>
        <v>دو آدمی کشتی کرتے ہوئے۔</v>
      </c>
      <c r="Q102" s="2" t="s">
        <v>460</v>
      </c>
      <c r="R102" s="2" t="str">
        <f>IFERROR(__xludf.DUMMYFUNCTION("GOOGLETRANSLATE(G102,""en"",""ur"")"),"دو آدمی تلواروں سے لڑ رہے ہیں۔")</f>
        <v>دو آدمی تلواروں سے لڑ رہے ہیں۔</v>
      </c>
      <c r="S102" s="6" t="s">
        <v>544</v>
      </c>
    </row>
    <row r="103">
      <c r="A103" s="7">
        <v>102.0</v>
      </c>
      <c r="B103" s="6" t="s">
        <v>545</v>
      </c>
      <c r="C103" s="6" t="s">
        <v>411</v>
      </c>
      <c r="D103" s="6" t="s">
        <v>546</v>
      </c>
      <c r="E103" s="6" t="s">
        <v>334</v>
      </c>
      <c r="F103" s="6" t="s">
        <v>413</v>
      </c>
      <c r="G103" s="6" t="s">
        <v>546</v>
      </c>
      <c r="H103" s="6" t="s">
        <v>544</v>
      </c>
      <c r="K103" s="2" t="str">
        <f>IFERROR(__xludf.DUMMYFUNCTION("GOOGLETRANSLATE(A103,""en"",""ur"")"),"102")</f>
        <v>102</v>
      </c>
      <c r="L103" s="2" t="str">
        <f>IFERROR(__xludf.DUMMYFUNCTION("GOOGLETRANSLATE(B103,""en"",""ur"")"),"دائیں طرف لڑاکا کے لباس کے بارے میں ایک قابل ذکر تفصیل کیا ہے؟")</f>
        <v>دائیں طرف لڑاکا کے لباس کے بارے میں ایک قابل ذکر تفصیل کیا ہے؟</v>
      </c>
      <c r="M103" s="2" t="str">
        <f>IFERROR(__xludf.DUMMYFUNCTION("GOOGLETRANSLATE(C103,""en"",""ur"")"),"اس نے بکتر کا پورا سوٹ پہن رکھا ہے۔")</f>
        <v>اس نے بکتر کا پورا سوٹ پہن رکھا ہے۔</v>
      </c>
      <c r="N103" s="2" t="str">
        <f>IFERROR(__xludf.DUMMYFUNCTION("GOOGLETRANSLATE(D103,""en"",""ur"")"),"اس نے سیاہ پگڑی کے ساتھ ایک لمبا، سفید لباس پہن رکھا ہے۔")</f>
        <v>اس نے سیاہ پگڑی کے ساتھ ایک لمبا، سفید لباس پہن رکھا ہے۔</v>
      </c>
      <c r="O103" s="2" t="str">
        <f>IFERROR(__xludf.DUMMYFUNCTION("GOOGLETRANSLATE(E103,""en"",""ur"")"),"اس نے شارٹس اور ٹی شرٹ پہن رکھی ہے۔")</f>
        <v>اس نے شارٹس اور ٹی شرٹ پہن رکھی ہے۔</v>
      </c>
      <c r="P103" s="2" t="str">
        <f>IFERROR(__xludf.DUMMYFUNCTION("GOOGLETRANSLATE(F103,""en"",""ur"")"),"اس نے پولیس کی وردی پہن رکھی ہے۔")</f>
        <v>اس نے پولیس کی وردی پہن رکھی ہے۔</v>
      </c>
      <c r="Q103" s="2" t="s">
        <v>547</v>
      </c>
      <c r="R103" s="2" t="str">
        <f>IFERROR(__xludf.DUMMYFUNCTION("GOOGLETRANSLATE(G103,""en"",""ur"")"),"اس نے سیاہ پگڑی کے ساتھ ایک لمبا، سفید لباس پہن رکھا ہے۔")</f>
        <v>اس نے سیاہ پگڑی کے ساتھ ایک لمبا، سفید لباس پہن رکھا ہے۔</v>
      </c>
      <c r="S103" s="6" t="s">
        <v>544</v>
      </c>
    </row>
    <row r="104">
      <c r="A104" s="7">
        <v>103.0</v>
      </c>
      <c r="B104" s="6" t="s">
        <v>415</v>
      </c>
      <c r="C104" s="6" t="s">
        <v>416</v>
      </c>
      <c r="D104" s="6" t="s">
        <v>417</v>
      </c>
      <c r="E104" s="6" t="s">
        <v>418</v>
      </c>
      <c r="F104" s="6" t="s">
        <v>419</v>
      </c>
      <c r="G104" s="6" t="s">
        <v>416</v>
      </c>
      <c r="H104" s="6" t="s">
        <v>544</v>
      </c>
      <c r="K104" s="2" t="str">
        <f>IFERROR(__xludf.DUMMYFUNCTION("GOOGLETRANSLATE(A104,""en"",""ur"")"),"103")</f>
        <v>103</v>
      </c>
      <c r="L104" s="2" t="str">
        <f>IFERROR(__xludf.DUMMYFUNCTION("GOOGLETRANSLATE(B104,""en"",""ur"")"),"جنگجوؤں کے ذریعہ استعمال ہونے والا بنیادی ہتھیار کیا ہے؟")</f>
        <v>جنگجوؤں کے ذریعہ استعمال ہونے والا بنیادی ہتھیار کیا ہے؟</v>
      </c>
      <c r="M104" s="2" t="str">
        <f>IFERROR(__xludf.DUMMYFUNCTION("GOOGLETRANSLATE(C104,""en"",""ur"")"),"ایک چھوٹی تلوار")</f>
        <v>ایک چھوٹی تلوار</v>
      </c>
      <c r="N104" s="2" t="str">
        <f>IFERROR(__xludf.DUMMYFUNCTION("GOOGLETRANSLATE(D104,""en"",""ur"")"),"ایک لمبی چھڑی")</f>
        <v>ایک لمبی چھڑی</v>
      </c>
      <c r="O104" s="2" t="str">
        <f>IFERROR(__xludf.DUMMYFUNCTION("GOOGLETRANSLATE(E104,""en"",""ur"")"),"ایک کمان اور تیر")</f>
        <v>ایک کمان اور تیر</v>
      </c>
      <c r="P104" s="2" t="str">
        <f>IFERROR(__xludf.DUMMYFUNCTION("GOOGLETRANSLATE(F104,""en"",""ur"")"),"ایک ننگی مٹھی")</f>
        <v>ایک ننگی مٹھی</v>
      </c>
      <c r="Q104" s="2" t="s">
        <v>420</v>
      </c>
      <c r="R104" s="2" t="str">
        <f>IFERROR(__xludf.DUMMYFUNCTION("GOOGLETRANSLATE(G104,""en"",""ur"")"),"ایک چھوٹی تلوار")</f>
        <v>ایک چھوٹی تلوار</v>
      </c>
      <c r="S104" s="6" t="s">
        <v>544</v>
      </c>
    </row>
    <row r="105">
      <c r="A105" s="7">
        <v>104.0</v>
      </c>
      <c r="B105" s="6" t="s">
        <v>421</v>
      </c>
      <c r="C105" s="6" t="s">
        <v>422</v>
      </c>
      <c r="D105" s="6" t="s">
        <v>423</v>
      </c>
      <c r="E105" s="6" t="s">
        <v>424</v>
      </c>
      <c r="F105" s="6" t="s">
        <v>425</v>
      </c>
      <c r="G105" s="6" t="s">
        <v>424</v>
      </c>
      <c r="H105" s="6" t="s">
        <v>544</v>
      </c>
      <c r="K105" s="2" t="str">
        <f>IFERROR(__xludf.DUMMYFUNCTION("GOOGLETRANSLATE(A105,""en"",""ur"")"),"104")</f>
        <v>104</v>
      </c>
      <c r="L105" s="2" t="str">
        <f>IFERROR(__xludf.DUMMYFUNCTION("GOOGLETRANSLATE(B105,""en"",""ur"")"),"اس لڑائی کی ترتیب کیا ہے؟")</f>
        <v>اس لڑائی کی ترتیب کیا ہے؟</v>
      </c>
      <c r="M105" s="2" t="str">
        <f>IFERROR(__xludf.DUMMYFUNCTION("GOOGLETRANSLATE(C105,""en"",""ur"")"),"ایک انڈور اسٹیڈیم")</f>
        <v>ایک انڈور اسٹیڈیم</v>
      </c>
      <c r="N105" s="2" t="str">
        <f>IFERROR(__xludf.DUMMYFUNCTION("GOOGLETRANSLATE(D105,""en"",""ur"")"),"ایک دیہی، بیرونی علاقہ")</f>
        <v>ایک دیہی، بیرونی علاقہ</v>
      </c>
      <c r="O105" s="2" t="str">
        <f>IFERROR(__xludf.DUMMYFUNCTION("GOOGLETRANSLATE(E105,""en"",""ur"")"),"شہر کی مصروف گلی")</f>
        <v>شہر کی مصروف گلی</v>
      </c>
      <c r="P105" s="2" t="str">
        <f>IFERROR(__xludf.DUMMYFUNCTION("GOOGLETRANSLATE(F105,""en"",""ur"")"),"گھاس کا میدان")</f>
        <v>گھاس کا میدان</v>
      </c>
      <c r="Q105" s="2" t="s">
        <v>426</v>
      </c>
      <c r="R105" s="2" t="str">
        <f>IFERROR(__xludf.DUMMYFUNCTION("GOOGLETRANSLATE(G105,""en"",""ur"")"),"شہر کی مصروف گلی")</f>
        <v>شہر کی مصروف گلی</v>
      </c>
      <c r="S105" s="6" t="s">
        <v>544</v>
      </c>
    </row>
    <row r="106">
      <c r="A106" s="7">
        <v>105.0</v>
      </c>
      <c r="B106" s="6" t="s">
        <v>427</v>
      </c>
      <c r="C106" s="6" t="s">
        <v>47</v>
      </c>
      <c r="D106" s="6" t="s">
        <v>48</v>
      </c>
      <c r="E106" s="6" t="s">
        <v>49</v>
      </c>
      <c r="F106" s="6" t="s">
        <v>50</v>
      </c>
      <c r="G106" s="6" t="s">
        <v>49</v>
      </c>
      <c r="H106" s="6" t="s">
        <v>544</v>
      </c>
      <c r="K106" s="2" t="str">
        <f>IFERROR(__xludf.DUMMYFUNCTION("GOOGLETRANSLATE(A106,""en"",""ur"")"),"105")</f>
        <v>105</v>
      </c>
      <c r="L106" s="2" t="str">
        <f>IFERROR(__xludf.DUMMYFUNCTION("GOOGLETRANSLATE(B106,""en"",""ur"")"),"جنگجوؤں کے ظاہری جذبات کیا ہیں؟")</f>
        <v>جنگجوؤں کے ظاہری جذبات کیا ہیں؟</v>
      </c>
      <c r="M106" s="2" t="str">
        <f>IFERROR(__xludf.DUMMYFUNCTION("GOOGLETRANSLATE(C106,""en"",""ur"")"),"پرسکون اور پر سکون")</f>
        <v>پرسکون اور پر سکون</v>
      </c>
      <c r="N106" s="2" t="str">
        <f>IFERROR(__xludf.DUMMYFUNCTION("GOOGLETRANSLATE(D106,""en"",""ur"")"),"خوف زدہ اور بے چین")</f>
        <v>خوف زدہ اور بے چین</v>
      </c>
      <c r="O106" s="2" t="str">
        <f>IFERROR(__xludf.DUMMYFUNCTION("GOOGLETRANSLATE(E106,""en"",""ur"")"),"کشیدہ اور شدید")</f>
        <v>کشیدہ اور شدید</v>
      </c>
      <c r="P106" s="2" t="str">
        <f>IFERROR(__xludf.DUMMYFUNCTION("GOOGLETRANSLATE(F106,""en"",""ur"")"),"خوش اور مسکراتے ہوئے۔")</f>
        <v>خوش اور مسکراتے ہوئے۔</v>
      </c>
      <c r="Q106" s="2" t="s">
        <v>51</v>
      </c>
      <c r="R106" s="2" t="str">
        <f>IFERROR(__xludf.DUMMYFUNCTION("GOOGLETRANSLATE(G106,""en"",""ur"")"),"کشیدہ اور شدید")</f>
        <v>کشیدہ اور شدید</v>
      </c>
      <c r="S106" s="6" t="s">
        <v>544</v>
      </c>
    </row>
    <row r="107">
      <c r="A107" s="7">
        <v>106.0</v>
      </c>
      <c r="B107" s="6" t="s">
        <v>428</v>
      </c>
      <c r="C107" s="6" t="s">
        <v>429</v>
      </c>
      <c r="D107" s="6" t="s">
        <v>430</v>
      </c>
      <c r="E107" s="6" t="s">
        <v>431</v>
      </c>
      <c r="F107" s="6" t="s">
        <v>432</v>
      </c>
      <c r="G107" s="6" t="s">
        <v>430</v>
      </c>
      <c r="H107" s="6" t="s">
        <v>544</v>
      </c>
      <c r="K107" s="2" t="str">
        <f>IFERROR(__xludf.DUMMYFUNCTION("GOOGLETRANSLATE(A107,""en"",""ur"")"),"106")</f>
        <v>106</v>
      </c>
      <c r="L107" s="2" t="str">
        <f>IFERROR(__xludf.DUMMYFUNCTION("GOOGLETRANSLATE(B107,""en"",""ur"")"),"جنگجوؤں کی ظاہری باڈی پوزیشن کیا ہے؟")</f>
        <v>جنگجوؤں کی ظاہری باڈی پوزیشن کیا ہے؟</v>
      </c>
      <c r="M107" s="2" t="str">
        <f>IFERROR(__xludf.DUMMYFUNCTION("GOOGLETRANSLATE(C107,""en"",""ur"")"),"سیدھا کھڑا ہونا")</f>
        <v>سیدھا کھڑا ہونا</v>
      </c>
      <c r="N107" s="2" t="str">
        <f>IFERROR(__xludf.DUMMYFUNCTION("GOOGLETRANSLATE(D107,""en"",""ur"")"),"کم، متحرک موقف میں")</f>
        <v>کم، متحرک موقف میں</v>
      </c>
      <c r="O107" s="2" t="str">
        <f>IFERROR(__xludf.DUMMYFUNCTION("GOOGLETRANSLATE(E107,""en"",""ur"")"),"زمین پر لیٹنا")</f>
        <v>زمین پر لیٹنا</v>
      </c>
      <c r="P107" s="2" t="str">
        <f>IFERROR(__xludf.DUMMYFUNCTION("GOOGLETRANSLATE(F107,""en"",""ur"")"),"بیٹھا ہوا")</f>
        <v>بیٹھا ہوا</v>
      </c>
      <c r="Q107" s="2" t="s">
        <v>433</v>
      </c>
      <c r="R107" s="2" t="str">
        <f>IFERROR(__xludf.DUMMYFUNCTION("GOOGLETRANSLATE(G107,""en"",""ur"")"),"کم، متحرک موقف میں")</f>
        <v>کم، متحرک موقف میں</v>
      </c>
      <c r="S107" s="6" t="s">
        <v>544</v>
      </c>
    </row>
    <row r="108">
      <c r="A108" s="7">
        <v>107.0</v>
      </c>
      <c r="B108" s="6" t="s">
        <v>434</v>
      </c>
      <c r="C108" s="6" t="s">
        <v>435</v>
      </c>
      <c r="D108" s="6" t="s">
        <v>436</v>
      </c>
      <c r="E108" s="6" t="s">
        <v>437</v>
      </c>
      <c r="F108" s="6" t="s">
        <v>438</v>
      </c>
      <c r="G108" s="6" t="s">
        <v>437</v>
      </c>
      <c r="H108" s="6" t="s">
        <v>544</v>
      </c>
      <c r="K108" s="2" t="str">
        <f>IFERROR(__xludf.DUMMYFUNCTION("GOOGLETRANSLATE(A108,""en"",""ur"")"),"107")</f>
        <v>107</v>
      </c>
      <c r="L108" s="2" t="str">
        <f>IFERROR(__xludf.DUMMYFUNCTION("GOOGLETRANSLATE(B108,""en"",""ur"")"),"پس منظر میں ہجوم کی سب سے نمایاں خصوصیت کیا ہے؟")</f>
        <v>پس منظر میں ہجوم کی سب سے نمایاں خصوصیت کیا ہے؟</v>
      </c>
      <c r="M108" s="2" t="str">
        <f>IFERROR(__xludf.DUMMYFUNCTION("GOOGLETRANSLATE(C108,""en"",""ur"")"),"وہ بھاگ رہے ہیں۔")</f>
        <v>وہ بھاگ رہے ہیں۔</v>
      </c>
      <c r="N108" s="2" t="str">
        <f>IFERROR(__xludf.DUMMYFUNCTION("GOOGLETRANSLATE(D108,""en"",""ur"")"),"وہ خاموش بیٹھے ہیں۔")</f>
        <v>وہ خاموش بیٹھے ہیں۔</v>
      </c>
      <c r="O108" s="2" t="str">
        <f>IFERROR(__xludf.DUMMYFUNCTION("GOOGLETRANSLATE(E108,""en"",""ur"")"),"وہ لڑائی کو قدرتی رکاوٹ سے دیکھ رہے ہیں۔")</f>
        <v>وہ لڑائی کو قدرتی رکاوٹ سے دیکھ رہے ہیں۔</v>
      </c>
      <c r="P108" s="2" t="str">
        <f>IFERROR(__xludf.DUMMYFUNCTION("GOOGLETRANSLATE(F108,""en"",""ur"")"),"وہ سب ایک اسٹیج پر کھڑے ہیں۔")</f>
        <v>وہ سب ایک اسٹیج پر کھڑے ہیں۔</v>
      </c>
      <c r="Q108" s="2" t="s">
        <v>439</v>
      </c>
      <c r="R108" s="2" t="str">
        <f>IFERROR(__xludf.DUMMYFUNCTION("GOOGLETRANSLATE(G108,""en"",""ur"")"),"وہ لڑائی کو قدرتی رکاوٹ سے دیکھ رہے ہیں۔")</f>
        <v>وہ لڑائی کو قدرتی رکاوٹ سے دیکھ رہے ہیں۔</v>
      </c>
      <c r="S108" s="6" t="s">
        <v>544</v>
      </c>
    </row>
    <row r="109">
      <c r="A109" s="7">
        <v>108.0</v>
      </c>
      <c r="B109" s="6" t="s">
        <v>440</v>
      </c>
      <c r="C109" s="6" t="s">
        <v>441</v>
      </c>
      <c r="D109" s="6" t="s">
        <v>442</v>
      </c>
      <c r="E109" s="6" t="s">
        <v>443</v>
      </c>
      <c r="F109" s="6" t="s">
        <v>444</v>
      </c>
      <c r="G109" s="6" t="s">
        <v>441</v>
      </c>
      <c r="H109" s="6" t="s">
        <v>544</v>
      </c>
      <c r="K109" s="2" t="str">
        <f>IFERROR(__xludf.DUMMYFUNCTION("GOOGLETRANSLATE(A109,""en"",""ur"")"),"108")</f>
        <v>108</v>
      </c>
      <c r="L109" s="2" t="str">
        <f>IFERROR(__xludf.DUMMYFUNCTION("GOOGLETRANSLATE(B109,""en"",""ur"")"),"زمین کی ظاہری حالت کیا ہے؟")</f>
        <v>زمین کی ظاہری حالت کیا ہے؟</v>
      </c>
      <c r="M109" s="2" t="str">
        <f>IFERROR(__xludf.DUMMYFUNCTION("GOOGLETRANSLATE(C109,""en"",""ur"")"),"یہ ایک پکی سطح ہے۔")</f>
        <v>یہ ایک پکی سطح ہے۔</v>
      </c>
      <c r="N109" s="2" t="str">
        <f>IFERROR(__xludf.DUMMYFUNCTION("GOOGLETRANSLATE(D109,""en"",""ur"")"),"یہ ایک کیچڑ والا میدان ہے۔")</f>
        <v>یہ ایک کیچڑ والا میدان ہے۔</v>
      </c>
      <c r="O109" s="2" t="str">
        <f>IFERROR(__xludf.DUMMYFUNCTION("GOOGLETRANSLATE(E109,""en"",""ur"")"),"یہ ایک ریتلی یا مٹی کی سطح ہے جس میں دھول اڑتی ہے۔")</f>
        <v>یہ ایک ریتلی یا مٹی کی سطح ہے جس میں دھول اڑتی ہے۔</v>
      </c>
      <c r="P109" s="2" t="str">
        <f>IFERROR(__xludf.DUMMYFUNCTION("GOOGLETRANSLATE(F109,""en"",""ur"")"),"یہ ایک گھاس والی سطح ہے۔")</f>
        <v>یہ ایک گھاس والی سطح ہے۔</v>
      </c>
      <c r="Q109" s="2" t="s">
        <v>445</v>
      </c>
      <c r="R109" s="2" t="str">
        <f>IFERROR(__xludf.DUMMYFUNCTION("GOOGLETRANSLATE(G109,""en"",""ur"")"),"یہ ایک پکی سطح ہے۔")</f>
        <v>یہ ایک پکی سطح ہے۔</v>
      </c>
      <c r="S109" s="6" t="s">
        <v>544</v>
      </c>
    </row>
    <row r="110">
      <c r="A110" s="7">
        <v>109.0</v>
      </c>
      <c r="B110" s="6" t="s">
        <v>446</v>
      </c>
      <c r="C110" s="6" t="s">
        <v>447</v>
      </c>
      <c r="D110" s="6" t="s">
        <v>448</v>
      </c>
      <c r="E110" s="6" t="s">
        <v>449</v>
      </c>
      <c r="F110" s="6" t="s">
        <v>450</v>
      </c>
      <c r="G110" s="6" t="s">
        <v>447</v>
      </c>
      <c r="H110" s="6" t="s">
        <v>544</v>
      </c>
      <c r="K110" s="2" t="str">
        <f>IFERROR(__xludf.DUMMYFUNCTION("GOOGLETRANSLATE(A110,""en"",""ur"")"),"109")</f>
        <v>109</v>
      </c>
      <c r="L110" s="2" t="str">
        <f>IFERROR(__xludf.DUMMYFUNCTION("GOOGLETRANSLATE(B110,""en"",""ur"")"),"ڈھال کا بنیادی مقصد کیا ہے جو ہر لڑاکا پکڑے ہوئے ہے؟")</f>
        <v>ڈھال کا بنیادی مقصد کیا ہے جو ہر لڑاکا پکڑے ہوئے ہے؟</v>
      </c>
      <c r="M110" s="2" t="str">
        <f>IFERROR(__xludf.DUMMYFUNCTION("GOOGLETRANSLATE(C110,""en"",""ur"")"),"تلوار کے وار کو روکنے کے لیے")</f>
        <v>تلوار کے وار کو روکنے کے لیے</v>
      </c>
      <c r="N110" s="2" t="str">
        <f>IFERROR(__xludf.DUMMYFUNCTION("GOOGLETRANSLATE(D110,""en"",""ur"")"),"ہتھیار رکھنے کے لیے")</f>
        <v>ہتھیار رکھنے کے لیے</v>
      </c>
      <c r="O110" s="2" t="str">
        <f>IFERROR(__xludf.DUMMYFUNCTION("GOOGLETRANSLATE(E110,""en"",""ur"")"),"صرف سجاوٹ کے لیے")</f>
        <v>صرف سجاوٹ کے لیے</v>
      </c>
      <c r="P110" s="2" t="str">
        <f>IFERROR(__xludf.DUMMYFUNCTION("GOOGLETRANSLATE(F110,""en"",""ur"")"),"سورج کو روکنے کے لئے")</f>
        <v>سورج کو روکنے کے لئے</v>
      </c>
      <c r="Q110" s="2" t="s">
        <v>451</v>
      </c>
      <c r="R110" s="2" t="str">
        <f>IFERROR(__xludf.DUMMYFUNCTION("GOOGLETRANSLATE(G110,""en"",""ur"")"),"تلوار کے وار کو روکنے کے لیے")</f>
        <v>تلوار کے وار کو روکنے کے لیے</v>
      </c>
      <c r="S110" s="6" t="s">
        <v>544</v>
      </c>
    </row>
    <row r="111">
      <c r="A111" s="7">
        <v>110.0</v>
      </c>
      <c r="B111" s="6" t="s">
        <v>452</v>
      </c>
      <c r="C111" s="6" t="s">
        <v>453</v>
      </c>
      <c r="D111" s="6" t="s">
        <v>454</v>
      </c>
      <c r="E111" s="6" t="s">
        <v>455</v>
      </c>
      <c r="F111" s="6" t="s">
        <v>456</v>
      </c>
      <c r="G111" s="6" t="s">
        <v>454</v>
      </c>
      <c r="H111" s="6" t="s">
        <v>544</v>
      </c>
      <c r="K111" s="2" t="str">
        <f>IFERROR(__xludf.DUMMYFUNCTION("GOOGLETRANSLATE(A111,""en"",""ur"")"),"110")</f>
        <v>110</v>
      </c>
      <c r="L111" s="2" t="str">
        <f>IFERROR(__xludf.DUMMYFUNCTION("GOOGLETRANSLATE(B111,""en"",""ur"")"),"ایونٹ کا مجموعی موڈ ایسا لگتا ہے...")</f>
        <v>ایونٹ کا مجموعی موڈ ایسا لگتا ہے...</v>
      </c>
      <c r="M111" s="2" t="str">
        <f>IFERROR(__xludf.DUMMYFUNCTION("GOOGLETRANSLATE(C111,""en"",""ur"")"),"ایک آرام دہ مشق سیشن")</f>
        <v>ایک آرام دہ مشق سیشن</v>
      </c>
      <c r="N111" s="2" t="str">
        <f>IFERROR(__xludf.DUMMYFUNCTION("GOOGLETRANSLATE(D111,""en"",""ur"")"),"ایک تناؤ اور جارحانہ کارکردگی")</f>
        <v>ایک تناؤ اور جارحانہ کارکردگی</v>
      </c>
      <c r="O111" s="2" t="str">
        <f>IFERROR(__xludf.DUMMYFUNCTION("GOOGLETRANSLATE(E111,""en"",""ur"")"),"ایک پرسکون، پرامن اجتماع")</f>
        <v>ایک پرسکون، پرامن اجتماع</v>
      </c>
      <c r="P111" s="2" t="str">
        <f>IFERROR(__xludf.DUMMYFUNCTION("GOOGLETRANSLATE(F111,""en"",""ur"")"),"ایک سست، رسمی رقص")</f>
        <v>ایک سست، رسمی رقص</v>
      </c>
      <c r="Q111" s="2" t="s">
        <v>457</v>
      </c>
      <c r="R111" s="2" t="str">
        <f>IFERROR(__xludf.DUMMYFUNCTION("GOOGLETRANSLATE(G111,""en"",""ur"")"),"ایک تناؤ اور جارحانہ کارکردگی")</f>
        <v>ایک تناؤ اور جارحانہ کارکردگی</v>
      </c>
      <c r="S111" s="6" t="s">
        <v>544</v>
      </c>
    </row>
    <row r="112">
      <c r="A112" s="7">
        <v>111.0</v>
      </c>
      <c r="B112" s="6" t="s">
        <v>548</v>
      </c>
      <c r="C112" s="6" t="s">
        <v>405</v>
      </c>
      <c r="D112" s="6" t="s">
        <v>406</v>
      </c>
      <c r="E112" s="6" t="s">
        <v>407</v>
      </c>
      <c r="F112" s="6" t="s">
        <v>408</v>
      </c>
      <c r="G112" s="6" t="s">
        <v>405</v>
      </c>
      <c r="H112" s="6" t="s">
        <v>549</v>
      </c>
      <c r="K112" s="2" t="str">
        <f>IFERROR(__xludf.DUMMYFUNCTION("GOOGLETRANSLATE(A112,""en"",""ur"")"),"111")</f>
        <v>111</v>
      </c>
      <c r="L112" s="2" t="str">
        <f>IFERROR(__xludf.DUMMYFUNCTION("GOOGLETRANSLATE(B112,""en"",""ur"")"),"گٹکا_45 میں دکھایا گیا اہم عمل کیا ہے؟")</f>
        <v>گٹکا_45 میں دکھایا گیا اہم عمل کیا ہے؟</v>
      </c>
      <c r="M112" s="2" t="str">
        <f>IFERROR(__xludf.DUMMYFUNCTION("GOOGLETRANSLATE(C112,""en"",""ur"")"),"دو آدمی تلواروں سے لڑ رہے ہیں۔")</f>
        <v>دو آدمی تلواروں سے لڑ رہے ہیں۔</v>
      </c>
      <c r="N112" s="2" t="str">
        <f>IFERROR(__xludf.DUMMYFUNCTION("GOOGLETRANSLATE(D112,""en"",""ur"")"),"دو آدمی ناچ رہے ہیں۔")</f>
        <v>دو آدمی ناچ رہے ہیں۔</v>
      </c>
      <c r="O112" s="2" t="str">
        <f>IFERROR(__xludf.DUMMYFUNCTION("GOOGLETRANSLATE(E112,""en"",""ur"")"),"دو آدمی سہارے کے ساتھ پوز دے رہے ہیں۔")</f>
        <v>دو آدمی سہارے کے ساتھ پوز دے رہے ہیں۔</v>
      </c>
      <c r="P112" s="2" t="str">
        <f>IFERROR(__xludf.DUMMYFUNCTION("GOOGLETRANSLATE(F112,""en"",""ur"")"),"دو آدمی کشتی کرتے ہوئے۔")</f>
        <v>دو آدمی کشتی کرتے ہوئے۔</v>
      </c>
      <c r="Q112" s="2" t="s">
        <v>460</v>
      </c>
      <c r="R112" s="2" t="str">
        <f>IFERROR(__xludf.DUMMYFUNCTION("GOOGLETRANSLATE(G112,""en"",""ur"")"),"دو آدمی تلواروں سے لڑ رہے ہیں۔")</f>
        <v>دو آدمی تلواروں سے لڑ رہے ہیں۔</v>
      </c>
      <c r="S112" s="6" t="s">
        <v>549</v>
      </c>
    </row>
    <row r="113">
      <c r="A113" s="7">
        <v>112.0</v>
      </c>
      <c r="B113" s="6" t="s">
        <v>410</v>
      </c>
      <c r="C113" s="6" t="s">
        <v>411</v>
      </c>
      <c r="D113" s="6" t="s">
        <v>461</v>
      </c>
      <c r="E113" s="6" t="s">
        <v>334</v>
      </c>
      <c r="F113" s="6" t="s">
        <v>413</v>
      </c>
      <c r="G113" s="6" t="s">
        <v>461</v>
      </c>
      <c r="H113" s="6" t="s">
        <v>549</v>
      </c>
      <c r="K113" s="2" t="str">
        <f>IFERROR(__xludf.DUMMYFUNCTION("GOOGLETRANSLATE(A113,""en"",""ur"")"),"112")</f>
        <v>112</v>
      </c>
      <c r="L113" s="2" t="str">
        <f>IFERROR(__xludf.DUMMYFUNCTION("GOOGLETRANSLATE(B113,""en"",""ur"")"),"بائیں طرف لڑاکا کے لباس کے بارے میں ایک قابل ذکر تفصیل کیا ہے؟")</f>
        <v>بائیں طرف لڑاکا کے لباس کے بارے میں ایک قابل ذکر تفصیل کیا ہے؟</v>
      </c>
      <c r="M113" s="2" t="str">
        <f>IFERROR(__xludf.DUMMYFUNCTION("GOOGLETRANSLATE(C113,""en"",""ur"")"),"اس نے بکتر کا پورا سوٹ پہن رکھا ہے۔")</f>
        <v>اس نے بکتر کا پورا سوٹ پہن رکھا ہے۔</v>
      </c>
      <c r="N113" s="2" t="str">
        <f>IFERROR(__xludf.DUMMYFUNCTION("GOOGLETRANSLATE(D113,""en"",""ur"")"),"اس نے ایک لمبا، کالا چوغہ پہن رکھا ہے جس میں سفید چادر ہے۔")</f>
        <v>اس نے ایک لمبا، کالا چوغہ پہن رکھا ہے جس میں سفید چادر ہے۔</v>
      </c>
      <c r="O113" s="2" t="str">
        <f>IFERROR(__xludf.DUMMYFUNCTION("GOOGLETRANSLATE(E113,""en"",""ur"")"),"اس نے شارٹس اور ٹی شرٹ پہن رکھی ہے۔")</f>
        <v>اس نے شارٹس اور ٹی شرٹ پہن رکھی ہے۔</v>
      </c>
      <c r="P113" s="2" t="str">
        <f>IFERROR(__xludf.DUMMYFUNCTION("GOOGLETRANSLATE(F113,""en"",""ur"")"),"اس نے پولیس کی وردی پہن رکھی ہے۔")</f>
        <v>اس نے پولیس کی وردی پہن رکھی ہے۔</v>
      </c>
      <c r="Q113" s="2" t="s">
        <v>462</v>
      </c>
      <c r="R113" s="2" t="str">
        <f>IFERROR(__xludf.DUMMYFUNCTION("GOOGLETRANSLATE(G113,""en"",""ur"")"),"اس نے ایک لمبا، کالا چوغہ پہن رکھا ہے جس میں سفید چادر ہے۔")</f>
        <v>اس نے ایک لمبا، کالا چوغہ پہن رکھا ہے جس میں سفید چادر ہے۔</v>
      </c>
      <c r="S113" s="6" t="s">
        <v>549</v>
      </c>
    </row>
    <row r="114">
      <c r="A114" s="7">
        <v>113.0</v>
      </c>
      <c r="B114" s="6" t="s">
        <v>415</v>
      </c>
      <c r="C114" s="6" t="s">
        <v>416</v>
      </c>
      <c r="D114" s="6" t="s">
        <v>417</v>
      </c>
      <c r="E114" s="6" t="s">
        <v>418</v>
      </c>
      <c r="F114" s="6" t="s">
        <v>419</v>
      </c>
      <c r="G114" s="6" t="s">
        <v>416</v>
      </c>
      <c r="H114" s="6" t="s">
        <v>549</v>
      </c>
      <c r="K114" s="2" t="str">
        <f>IFERROR(__xludf.DUMMYFUNCTION("GOOGLETRANSLATE(A114,""en"",""ur"")"),"113")</f>
        <v>113</v>
      </c>
      <c r="L114" s="2" t="str">
        <f>IFERROR(__xludf.DUMMYFUNCTION("GOOGLETRANSLATE(B114,""en"",""ur"")"),"جنگجوؤں کے ذریعہ استعمال ہونے والا بنیادی ہتھیار کیا ہے؟")</f>
        <v>جنگجوؤں کے ذریعہ استعمال ہونے والا بنیادی ہتھیار کیا ہے؟</v>
      </c>
      <c r="M114" s="2" t="str">
        <f>IFERROR(__xludf.DUMMYFUNCTION("GOOGLETRANSLATE(C114,""en"",""ur"")"),"ایک چھوٹی تلوار")</f>
        <v>ایک چھوٹی تلوار</v>
      </c>
      <c r="N114" s="2" t="str">
        <f>IFERROR(__xludf.DUMMYFUNCTION("GOOGLETRANSLATE(D114,""en"",""ur"")"),"ایک لمبی چھڑی")</f>
        <v>ایک لمبی چھڑی</v>
      </c>
      <c r="O114" s="2" t="str">
        <f>IFERROR(__xludf.DUMMYFUNCTION("GOOGLETRANSLATE(E114,""en"",""ur"")"),"ایک کمان اور تیر")</f>
        <v>ایک کمان اور تیر</v>
      </c>
      <c r="P114" s="2" t="str">
        <f>IFERROR(__xludf.DUMMYFUNCTION("GOOGLETRANSLATE(F114,""en"",""ur"")"),"ایک ننگی مٹھی")</f>
        <v>ایک ننگی مٹھی</v>
      </c>
      <c r="Q114" s="2" t="s">
        <v>420</v>
      </c>
      <c r="R114" s="2" t="str">
        <f>IFERROR(__xludf.DUMMYFUNCTION("GOOGLETRANSLATE(G114,""en"",""ur"")"),"ایک چھوٹی تلوار")</f>
        <v>ایک چھوٹی تلوار</v>
      </c>
      <c r="S114" s="6" t="s">
        <v>549</v>
      </c>
    </row>
    <row r="115">
      <c r="A115" s="7">
        <v>114.0</v>
      </c>
      <c r="B115" s="6" t="s">
        <v>421</v>
      </c>
      <c r="C115" s="6" t="s">
        <v>422</v>
      </c>
      <c r="D115" s="6" t="s">
        <v>423</v>
      </c>
      <c r="E115" s="6" t="s">
        <v>424</v>
      </c>
      <c r="F115" s="6" t="s">
        <v>425</v>
      </c>
      <c r="G115" s="6" t="s">
        <v>425</v>
      </c>
      <c r="H115" s="6" t="s">
        <v>549</v>
      </c>
      <c r="K115" s="2" t="str">
        <f>IFERROR(__xludf.DUMMYFUNCTION("GOOGLETRANSLATE(A115,""en"",""ur"")"),"114")</f>
        <v>114</v>
      </c>
      <c r="L115" s="2" t="str">
        <f>IFERROR(__xludf.DUMMYFUNCTION("GOOGLETRANSLATE(B115,""en"",""ur"")"),"اس لڑائی کی ترتیب کیا ہے؟")</f>
        <v>اس لڑائی کی ترتیب کیا ہے؟</v>
      </c>
      <c r="M115" s="2" t="str">
        <f>IFERROR(__xludf.DUMMYFUNCTION("GOOGLETRANSLATE(C115,""en"",""ur"")"),"ایک انڈور اسٹیڈیم")</f>
        <v>ایک انڈور اسٹیڈیم</v>
      </c>
      <c r="N115" s="2" t="str">
        <f>IFERROR(__xludf.DUMMYFUNCTION("GOOGLETRANSLATE(D115,""en"",""ur"")"),"ایک دیہی، بیرونی علاقہ")</f>
        <v>ایک دیہی، بیرونی علاقہ</v>
      </c>
      <c r="O115" s="2" t="str">
        <f>IFERROR(__xludf.DUMMYFUNCTION("GOOGLETRANSLATE(E115,""en"",""ur"")"),"شہر کی مصروف گلی")</f>
        <v>شہر کی مصروف گلی</v>
      </c>
      <c r="P115" s="2" t="str">
        <f>IFERROR(__xludf.DUMMYFUNCTION("GOOGLETRANSLATE(F115,""en"",""ur"")"),"گھاس کا میدان")</f>
        <v>گھاس کا میدان</v>
      </c>
      <c r="Q115" s="2" t="s">
        <v>426</v>
      </c>
      <c r="R115" s="2" t="str">
        <f>IFERROR(__xludf.DUMMYFUNCTION("GOOGLETRANSLATE(G115,""en"",""ur"")"),"گھاس کا میدان")</f>
        <v>گھاس کا میدان</v>
      </c>
      <c r="S115" s="6" t="s">
        <v>549</v>
      </c>
    </row>
    <row r="116">
      <c r="A116" s="7">
        <v>115.0</v>
      </c>
      <c r="B116" s="6" t="s">
        <v>427</v>
      </c>
      <c r="C116" s="6" t="s">
        <v>47</v>
      </c>
      <c r="D116" s="6" t="s">
        <v>48</v>
      </c>
      <c r="E116" s="6" t="s">
        <v>49</v>
      </c>
      <c r="F116" s="6" t="s">
        <v>50</v>
      </c>
      <c r="G116" s="6" t="s">
        <v>49</v>
      </c>
      <c r="H116" s="6" t="s">
        <v>549</v>
      </c>
      <c r="K116" s="2" t="str">
        <f>IFERROR(__xludf.DUMMYFUNCTION("GOOGLETRANSLATE(A116,""en"",""ur"")"),"115")</f>
        <v>115</v>
      </c>
      <c r="L116" s="2" t="str">
        <f>IFERROR(__xludf.DUMMYFUNCTION("GOOGLETRANSLATE(B116,""en"",""ur"")"),"جنگجوؤں کے ظاہری جذبات کیا ہیں؟")</f>
        <v>جنگجوؤں کے ظاہری جذبات کیا ہیں؟</v>
      </c>
      <c r="M116" s="2" t="str">
        <f>IFERROR(__xludf.DUMMYFUNCTION("GOOGLETRANSLATE(C116,""en"",""ur"")"),"پرسکون اور پر سکون")</f>
        <v>پرسکون اور پر سکون</v>
      </c>
      <c r="N116" s="2" t="str">
        <f>IFERROR(__xludf.DUMMYFUNCTION("GOOGLETRANSLATE(D116,""en"",""ur"")"),"خوف زدہ اور بے چین")</f>
        <v>خوف زدہ اور بے چین</v>
      </c>
      <c r="O116" s="2" t="str">
        <f>IFERROR(__xludf.DUMMYFUNCTION("GOOGLETRANSLATE(E116,""en"",""ur"")"),"کشیدہ اور شدید")</f>
        <v>کشیدہ اور شدید</v>
      </c>
      <c r="P116" s="2" t="str">
        <f>IFERROR(__xludf.DUMMYFUNCTION("GOOGLETRANSLATE(F116,""en"",""ur"")"),"خوش اور مسکراتے ہوئے۔")</f>
        <v>خوش اور مسکراتے ہوئے۔</v>
      </c>
      <c r="Q116" s="2" t="s">
        <v>51</v>
      </c>
      <c r="R116" s="2" t="str">
        <f>IFERROR(__xludf.DUMMYFUNCTION("GOOGLETRANSLATE(G116,""en"",""ur"")"),"کشیدہ اور شدید")</f>
        <v>کشیدہ اور شدید</v>
      </c>
      <c r="S116" s="6" t="s">
        <v>549</v>
      </c>
    </row>
    <row r="117">
      <c r="A117" s="7">
        <v>116.0</v>
      </c>
      <c r="B117" s="6" t="s">
        <v>428</v>
      </c>
      <c r="C117" s="6" t="s">
        <v>429</v>
      </c>
      <c r="D117" s="6" t="s">
        <v>430</v>
      </c>
      <c r="E117" s="6" t="s">
        <v>431</v>
      </c>
      <c r="F117" s="6" t="s">
        <v>432</v>
      </c>
      <c r="G117" s="6" t="s">
        <v>430</v>
      </c>
      <c r="H117" s="6" t="s">
        <v>549</v>
      </c>
      <c r="K117" s="2" t="str">
        <f>IFERROR(__xludf.DUMMYFUNCTION("GOOGLETRANSLATE(A117,""en"",""ur"")"),"116")</f>
        <v>116</v>
      </c>
      <c r="L117" s="2" t="str">
        <f>IFERROR(__xludf.DUMMYFUNCTION("GOOGLETRANSLATE(B117,""en"",""ur"")"),"جنگجوؤں کی ظاہری باڈی پوزیشن کیا ہے؟")</f>
        <v>جنگجوؤں کی ظاہری باڈی پوزیشن کیا ہے؟</v>
      </c>
      <c r="M117" s="2" t="str">
        <f>IFERROR(__xludf.DUMMYFUNCTION("GOOGLETRANSLATE(C117,""en"",""ur"")"),"سیدھا کھڑا ہونا")</f>
        <v>سیدھا کھڑا ہونا</v>
      </c>
      <c r="N117" s="2" t="str">
        <f>IFERROR(__xludf.DUMMYFUNCTION("GOOGLETRANSLATE(D117,""en"",""ur"")"),"کم، متحرک موقف میں")</f>
        <v>کم، متحرک موقف میں</v>
      </c>
      <c r="O117" s="2" t="str">
        <f>IFERROR(__xludf.DUMMYFUNCTION("GOOGLETRANSLATE(E117,""en"",""ur"")"),"زمین پر لیٹنا")</f>
        <v>زمین پر لیٹنا</v>
      </c>
      <c r="P117" s="2" t="str">
        <f>IFERROR(__xludf.DUMMYFUNCTION("GOOGLETRANSLATE(F117,""en"",""ur"")"),"بیٹھا ہوا")</f>
        <v>بیٹھا ہوا</v>
      </c>
      <c r="Q117" s="2" t="s">
        <v>433</v>
      </c>
      <c r="R117" s="2" t="str">
        <f>IFERROR(__xludf.DUMMYFUNCTION("GOOGLETRANSLATE(G117,""en"",""ur"")"),"کم، متحرک موقف میں")</f>
        <v>کم، متحرک موقف میں</v>
      </c>
      <c r="S117" s="6" t="s">
        <v>549</v>
      </c>
    </row>
    <row r="118">
      <c r="A118" s="7">
        <v>117.0</v>
      </c>
      <c r="B118" s="6" t="s">
        <v>434</v>
      </c>
      <c r="C118" s="6" t="s">
        <v>435</v>
      </c>
      <c r="D118" s="6" t="s">
        <v>436</v>
      </c>
      <c r="E118" s="6" t="s">
        <v>437</v>
      </c>
      <c r="F118" s="6" t="s">
        <v>438</v>
      </c>
      <c r="G118" s="6" t="s">
        <v>437</v>
      </c>
      <c r="H118" s="6" t="s">
        <v>549</v>
      </c>
      <c r="K118" s="2" t="str">
        <f>IFERROR(__xludf.DUMMYFUNCTION("GOOGLETRANSLATE(A118,""en"",""ur"")"),"117")</f>
        <v>117</v>
      </c>
      <c r="L118" s="2" t="str">
        <f>IFERROR(__xludf.DUMMYFUNCTION("GOOGLETRANSLATE(B118,""en"",""ur"")"),"پس منظر میں ہجوم کی سب سے نمایاں خصوصیت کیا ہے؟")</f>
        <v>پس منظر میں ہجوم کی سب سے نمایاں خصوصیت کیا ہے؟</v>
      </c>
      <c r="M118" s="2" t="str">
        <f>IFERROR(__xludf.DUMMYFUNCTION("GOOGLETRANSLATE(C118,""en"",""ur"")"),"وہ بھاگ رہے ہیں۔")</f>
        <v>وہ بھاگ رہے ہیں۔</v>
      </c>
      <c r="N118" s="2" t="str">
        <f>IFERROR(__xludf.DUMMYFUNCTION("GOOGLETRANSLATE(D118,""en"",""ur"")"),"وہ خاموش بیٹھے ہیں۔")</f>
        <v>وہ خاموش بیٹھے ہیں۔</v>
      </c>
      <c r="O118" s="2" t="str">
        <f>IFERROR(__xludf.DUMMYFUNCTION("GOOGLETRANSLATE(E118,""en"",""ur"")"),"وہ لڑائی کو قدرتی رکاوٹ سے دیکھ رہے ہیں۔")</f>
        <v>وہ لڑائی کو قدرتی رکاوٹ سے دیکھ رہے ہیں۔</v>
      </c>
      <c r="P118" s="2" t="str">
        <f>IFERROR(__xludf.DUMMYFUNCTION("GOOGLETRANSLATE(F118,""en"",""ur"")"),"وہ سب ایک اسٹیج پر کھڑے ہیں۔")</f>
        <v>وہ سب ایک اسٹیج پر کھڑے ہیں۔</v>
      </c>
      <c r="Q118" s="2" t="s">
        <v>439</v>
      </c>
      <c r="R118" s="2" t="str">
        <f>IFERROR(__xludf.DUMMYFUNCTION("GOOGLETRANSLATE(G118,""en"",""ur"")"),"وہ لڑائی کو قدرتی رکاوٹ سے دیکھ رہے ہیں۔")</f>
        <v>وہ لڑائی کو قدرتی رکاوٹ سے دیکھ رہے ہیں۔</v>
      </c>
      <c r="S118" s="6" t="s">
        <v>549</v>
      </c>
    </row>
    <row r="119">
      <c r="A119" s="7">
        <v>118.0</v>
      </c>
      <c r="B119" s="6" t="s">
        <v>440</v>
      </c>
      <c r="C119" s="6" t="s">
        <v>441</v>
      </c>
      <c r="D119" s="6" t="s">
        <v>442</v>
      </c>
      <c r="E119" s="6" t="s">
        <v>443</v>
      </c>
      <c r="F119" s="6" t="s">
        <v>444</v>
      </c>
      <c r="G119" s="6" t="s">
        <v>444</v>
      </c>
      <c r="H119" s="6" t="s">
        <v>549</v>
      </c>
      <c r="K119" s="2" t="str">
        <f>IFERROR(__xludf.DUMMYFUNCTION("GOOGLETRANSLATE(A119,""en"",""ur"")"),"118")</f>
        <v>118</v>
      </c>
      <c r="L119" s="2" t="str">
        <f>IFERROR(__xludf.DUMMYFUNCTION("GOOGLETRANSLATE(B119,""en"",""ur"")"),"زمین کی ظاہری حالت کیا ہے؟")</f>
        <v>زمین کی ظاہری حالت کیا ہے؟</v>
      </c>
      <c r="M119" s="2" t="str">
        <f>IFERROR(__xludf.DUMMYFUNCTION("GOOGLETRANSLATE(C119,""en"",""ur"")"),"یہ ایک پکی سطح ہے۔")</f>
        <v>یہ ایک پکی سطح ہے۔</v>
      </c>
      <c r="N119" s="2" t="str">
        <f>IFERROR(__xludf.DUMMYFUNCTION("GOOGLETRANSLATE(D119,""en"",""ur"")"),"یہ ایک کیچڑ والا میدان ہے۔")</f>
        <v>یہ ایک کیچڑ والا میدان ہے۔</v>
      </c>
      <c r="O119" s="2" t="str">
        <f>IFERROR(__xludf.DUMMYFUNCTION("GOOGLETRANSLATE(E119,""en"",""ur"")"),"یہ ایک ریتلی یا مٹی کی سطح ہے جس میں دھول اڑتی ہے۔")</f>
        <v>یہ ایک ریتلی یا مٹی کی سطح ہے جس میں دھول اڑتی ہے۔</v>
      </c>
      <c r="P119" s="2" t="str">
        <f>IFERROR(__xludf.DUMMYFUNCTION("GOOGLETRANSLATE(F119,""en"",""ur"")"),"یہ ایک گھاس والی سطح ہے۔")</f>
        <v>یہ ایک گھاس والی سطح ہے۔</v>
      </c>
      <c r="Q119" s="2" t="s">
        <v>445</v>
      </c>
      <c r="R119" s="2" t="str">
        <f>IFERROR(__xludf.DUMMYFUNCTION("GOOGLETRANSLATE(G119,""en"",""ur"")"),"یہ ایک گھاس والی سطح ہے۔")</f>
        <v>یہ ایک گھاس والی سطح ہے۔</v>
      </c>
      <c r="S119" s="6" t="s">
        <v>549</v>
      </c>
    </row>
    <row r="120">
      <c r="A120" s="7">
        <v>119.0</v>
      </c>
      <c r="B120" s="6" t="s">
        <v>446</v>
      </c>
      <c r="C120" s="6" t="s">
        <v>447</v>
      </c>
      <c r="D120" s="6" t="s">
        <v>448</v>
      </c>
      <c r="E120" s="6" t="s">
        <v>449</v>
      </c>
      <c r="F120" s="6" t="s">
        <v>450</v>
      </c>
      <c r="G120" s="6" t="s">
        <v>447</v>
      </c>
      <c r="H120" s="6" t="s">
        <v>549</v>
      </c>
      <c r="K120" s="2" t="str">
        <f>IFERROR(__xludf.DUMMYFUNCTION("GOOGLETRANSLATE(A120,""en"",""ur"")"),"119")</f>
        <v>119</v>
      </c>
      <c r="L120" s="2" t="str">
        <f>IFERROR(__xludf.DUMMYFUNCTION("GOOGLETRANSLATE(B120,""en"",""ur"")"),"ڈھال کا بنیادی مقصد کیا ہے جو ہر لڑاکا پکڑے ہوئے ہے؟")</f>
        <v>ڈھال کا بنیادی مقصد کیا ہے جو ہر لڑاکا پکڑے ہوئے ہے؟</v>
      </c>
      <c r="M120" s="2" t="str">
        <f>IFERROR(__xludf.DUMMYFUNCTION("GOOGLETRANSLATE(C120,""en"",""ur"")"),"تلوار کے وار کو روکنے کے لیے")</f>
        <v>تلوار کے وار کو روکنے کے لیے</v>
      </c>
      <c r="N120" s="2" t="str">
        <f>IFERROR(__xludf.DUMMYFUNCTION("GOOGLETRANSLATE(D120,""en"",""ur"")"),"ہتھیار رکھنے کے لیے")</f>
        <v>ہتھیار رکھنے کے لیے</v>
      </c>
      <c r="O120" s="2" t="str">
        <f>IFERROR(__xludf.DUMMYFUNCTION("GOOGLETRANSLATE(E120,""en"",""ur"")"),"صرف سجاوٹ کے لیے")</f>
        <v>صرف سجاوٹ کے لیے</v>
      </c>
      <c r="P120" s="2" t="str">
        <f>IFERROR(__xludf.DUMMYFUNCTION("GOOGLETRANSLATE(F120,""en"",""ur"")"),"سورج کو روکنے کے لئے")</f>
        <v>سورج کو روکنے کے لئے</v>
      </c>
      <c r="Q120" s="2" t="s">
        <v>451</v>
      </c>
      <c r="R120" s="2" t="str">
        <f>IFERROR(__xludf.DUMMYFUNCTION("GOOGLETRANSLATE(G120,""en"",""ur"")"),"تلوار کے وار کو روکنے کے لیے")</f>
        <v>تلوار کے وار کو روکنے کے لیے</v>
      </c>
      <c r="S120" s="6" t="s">
        <v>549</v>
      </c>
    </row>
    <row r="121">
      <c r="A121" s="7">
        <v>120.0</v>
      </c>
      <c r="B121" s="6" t="s">
        <v>452</v>
      </c>
      <c r="C121" s="6" t="s">
        <v>453</v>
      </c>
      <c r="D121" s="6" t="s">
        <v>454</v>
      </c>
      <c r="E121" s="6" t="s">
        <v>455</v>
      </c>
      <c r="F121" s="6" t="s">
        <v>456</v>
      </c>
      <c r="G121" s="6" t="s">
        <v>454</v>
      </c>
      <c r="H121" s="6" t="s">
        <v>549</v>
      </c>
      <c r="K121" s="2" t="str">
        <f>IFERROR(__xludf.DUMMYFUNCTION("GOOGLETRANSLATE(A121,""en"",""ur"")"),"120")</f>
        <v>120</v>
      </c>
      <c r="L121" s="2" t="str">
        <f>IFERROR(__xludf.DUMMYFUNCTION("GOOGLETRANSLATE(B121,""en"",""ur"")"),"ایونٹ کا مجموعی موڈ ایسا لگتا ہے...")</f>
        <v>ایونٹ کا مجموعی موڈ ایسا لگتا ہے...</v>
      </c>
      <c r="M121" s="2" t="str">
        <f>IFERROR(__xludf.DUMMYFUNCTION("GOOGLETRANSLATE(C121,""en"",""ur"")"),"ایک آرام دہ مشق سیشن")</f>
        <v>ایک آرام دہ مشق سیشن</v>
      </c>
      <c r="N121" s="2" t="str">
        <f>IFERROR(__xludf.DUMMYFUNCTION("GOOGLETRANSLATE(D121,""en"",""ur"")"),"ایک تناؤ اور جارحانہ کارکردگی")</f>
        <v>ایک تناؤ اور جارحانہ کارکردگی</v>
      </c>
      <c r="O121" s="2" t="str">
        <f>IFERROR(__xludf.DUMMYFUNCTION("GOOGLETRANSLATE(E121,""en"",""ur"")"),"ایک پرسکون، پرامن اجتماع")</f>
        <v>ایک پرسکون، پرامن اجتماع</v>
      </c>
      <c r="P121" s="2" t="str">
        <f>IFERROR(__xludf.DUMMYFUNCTION("GOOGLETRANSLATE(F121,""en"",""ur"")"),"ایک سست، رسمی رقص")</f>
        <v>ایک سست، رسمی رقص</v>
      </c>
      <c r="Q121" s="2" t="s">
        <v>457</v>
      </c>
      <c r="R121" s="2" t="str">
        <f>IFERROR(__xludf.DUMMYFUNCTION("GOOGLETRANSLATE(G121,""en"",""ur"")"),"ایک تناؤ اور جارحانہ کارکردگی")</f>
        <v>ایک تناؤ اور جارحانہ کارکردگی</v>
      </c>
      <c r="S121" s="6" t="s">
        <v>549</v>
      </c>
    </row>
    <row r="122">
      <c r="A122" s="7">
        <v>121.0</v>
      </c>
      <c r="B122" s="6" t="s">
        <v>550</v>
      </c>
      <c r="C122" s="6" t="s">
        <v>405</v>
      </c>
      <c r="D122" s="6" t="s">
        <v>406</v>
      </c>
      <c r="E122" s="6" t="s">
        <v>407</v>
      </c>
      <c r="F122" s="6" t="s">
        <v>408</v>
      </c>
      <c r="G122" s="6" t="s">
        <v>405</v>
      </c>
      <c r="H122" s="6" t="s">
        <v>551</v>
      </c>
      <c r="K122" s="2" t="str">
        <f>IFERROR(__xludf.DUMMYFUNCTION("GOOGLETRANSLATE(A122,""en"",""ur"")"),"121")</f>
        <v>121</v>
      </c>
      <c r="L122" s="2" t="str">
        <f>IFERROR(__xludf.DUMMYFUNCTION("GOOGLETRANSLATE(B122,""en"",""ur"")"),"گٹکا_24 میں دکھایا گیا اہم عمل کیا ہے؟")</f>
        <v>گٹکا_24 میں دکھایا گیا اہم عمل کیا ہے؟</v>
      </c>
      <c r="M122" s="2" t="str">
        <f>IFERROR(__xludf.DUMMYFUNCTION("GOOGLETRANSLATE(C122,""en"",""ur"")"),"دو آدمی تلواروں سے لڑ رہے ہیں۔")</f>
        <v>دو آدمی تلواروں سے لڑ رہے ہیں۔</v>
      </c>
      <c r="N122" s="2" t="str">
        <f>IFERROR(__xludf.DUMMYFUNCTION("GOOGLETRANSLATE(D122,""en"",""ur"")"),"دو آدمی ناچ رہے ہیں۔")</f>
        <v>دو آدمی ناچ رہے ہیں۔</v>
      </c>
      <c r="O122" s="2" t="str">
        <f>IFERROR(__xludf.DUMMYFUNCTION("GOOGLETRANSLATE(E122,""en"",""ur"")"),"دو آدمی سہارے کے ساتھ پوز دے رہے ہیں۔")</f>
        <v>دو آدمی سہارے کے ساتھ پوز دے رہے ہیں۔</v>
      </c>
      <c r="P122" s="2" t="str">
        <f>IFERROR(__xludf.DUMMYFUNCTION("GOOGLETRANSLATE(F122,""en"",""ur"")"),"دو آدمی کشتی کرتے ہوئے۔")</f>
        <v>دو آدمی کشتی کرتے ہوئے۔</v>
      </c>
      <c r="Q122" s="2" t="s">
        <v>460</v>
      </c>
      <c r="R122" s="2" t="str">
        <f>IFERROR(__xludf.DUMMYFUNCTION("GOOGLETRANSLATE(G122,""en"",""ur"")"),"دو آدمی تلواروں سے لڑ رہے ہیں۔")</f>
        <v>دو آدمی تلواروں سے لڑ رہے ہیں۔</v>
      </c>
      <c r="S122" s="6" t="s">
        <v>551</v>
      </c>
    </row>
    <row r="123">
      <c r="A123" s="7">
        <v>122.0</v>
      </c>
      <c r="B123" s="6" t="s">
        <v>545</v>
      </c>
      <c r="C123" s="6" t="s">
        <v>411</v>
      </c>
      <c r="D123" s="6" t="s">
        <v>546</v>
      </c>
      <c r="E123" s="6" t="s">
        <v>334</v>
      </c>
      <c r="F123" s="6" t="s">
        <v>413</v>
      </c>
      <c r="G123" s="6" t="s">
        <v>546</v>
      </c>
      <c r="H123" s="6" t="s">
        <v>551</v>
      </c>
      <c r="K123" s="2" t="str">
        <f>IFERROR(__xludf.DUMMYFUNCTION("GOOGLETRANSLATE(A123,""en"",""ur"")"),"122")</f>
        <v>122</v>
      </c>
      <c r="L123" s="2" t="str">
        <f>IFERROR(__xludf.DUMMYFUNCTION("GOOGLETRANSLATE(B123,""en"",""ur"")"),"دائیں طرف لڑاکا کے لباس کے بارے میں ایک قابل ذکر تفصیل کیا ہے؟")</f>
        <v>دائیں طرف لڑاکا کے لباس کے بارے میں ایک قابل ذکر تفصیل کیا ہے؟</v>
      </c>
      <c r="M123" s="2" t="str">
        <f>IFERROR(__xludf.DUMMYFUNCTION("GOOGLETRANSLATE(C123,""en"",""ur"")"),"اس نے بکتر کا پورا سوٹ پہن رکھا ہے۔")</f>
        <v>اس نے بکتر کا پورا سوٹ پہن رکھا ہے۔</v>
      </c>
      <c r="N123" s="2" t="str">
        <f>IFERROR(__xludf.DUMMYFUNCTION("GOOGLETRANSLATE(D123,""en"",""ur"")"),"اس نے سیاہ پگڑی کے ساتھ ایک لمبا، سفید لباس پہن رکھا ہے۔")</f>
        <v>اس نے سیاہ پگڑی کے ساتھ ایک لمبا، سفید لباس پہن رکھا ہے۔</v>
      </c>
      <c r="O123" s="2" t="str">
        <f>IFERROR(__xludf.DUMMYFUNCTION("GOOGLETRANSLATE(E123,""en"",""ur"")"),"اس نے شارٹس اور ٹی شرٹ پہن رکھی ہے۔")</f>
        <v>اس نے شارٹس اور ٹی شرٹ پہن رکھی ہے۔</v>
      </c>
      <c r="P123" s="2" t="str">
        <f>IFERROR(__xludf.DUMMYFUNCTION("GOOGLETRANSLATE(F123,""en"",""ur"")"),"اس نے پولیس کی وردی پہن رکھی ہے۔")</f>
        <v>اس نے پولیس کی وردی پہن رکھی ہے۔</v>
      </c>
      <c r="Q123" s="2" t="s">
        <v>547</v>
      </c>
      <c r="R123" s="2" t="str">
        <f>IFERROR(__xludf.DUMMYFUNCTION("GOOGLETRANSLATE(G123,""en"",""ur"")"),"اس نے سیاہ پگڑی کے ساتھ ایک لمبا، سفید لباس پہن رکھا ہے۔")</f>
        <v>اس نے سیاہ پگڑی کے ساتھ ایک لمبا، سفید لباس پہن رکھا ہے۔</v>
      </c>
      <c r="S123" s="6" t="s">
        <v>551</v>
      </c>
    </row>
    <row r="124">
      <c r="A124" s="7">
        <v>123.0</v>
      </c>
      <c r="B124" s="6" t="s">
        <v>415</v>
      </c>
      <c r="C124" s="6" t="s">
        <v>416</v>
      </c>
      <c r="D124" s="6" t="s">
        <v>417</v>
      </c>
      <c r="E124" s="6" t="s">
        <v>418</v>
      </c>
      <c r="F124" s="6" t="s">
        <v>419</v>
      </c>
      <c r="G124" s="6" t="s">
        <v>416</v>
      </c>
      <c r="H124" s="6" t="s">
        <v>551</v>
      </c>
      <c r="K124" s="2" t="str">
        <f>IFERROR(__xludf.DUMMYFUNCTION("GOOGLETRANSLATE(A124,""en"",""ur"")"),"123")</f>
        <v>123</v>
      </c>
      <c r="L124" s="2" t="str">
        <f>IFERROR(__xludf.DUMMYFUNCTION("GOOGLETRANSLATE(B124,""en"",""ur"")"),"جنگجوؤں کے ذریعہ استعمال ہونے والا بنیادی ہتھیار کیا ہے؟")</f>
        <v>جنگجوؤں کے ذریعہ استعمال ہونے والا بنیادی ہتھیار کیا ہے؟</v>
      </c>
      <c r="M124" s="2" t="str">
        <f>IFERROR(__xludf.DUMMYFUNCTION("GOOGLETRANSLATE(C124,""en"",""ur"")"),"ایک چھوٹی تلوار")</f>
        <v>ایک چھوٹی تلوار</v>
      </c>
      <c r="N124" s="2" t="str">
        <f>IFERROR(__xludf.DUMMYFUNCTION("GOOGLETRANSLATE(D124,""en"",""ur"")"),"ایک لمبی چھڑی")</f>
        <v>ایک لمبی چھڑی</v>
      </c>
      <c r="O124" s="2" t="str">
        <f>IFERROR(__xludf.DUMMYFUNCTION("GOOGLETRANSLATE(E124,""en"",""ur"")"),"ایک کمان اور تیر")</f>
        <v>ایک کمان اور تیر</v>
      </c>
      <c r="P124" s="2" t="str">
        <f>IFERROR(__xludf.DUMMYFUNCTION("GOOGLETRANSLATE(F124,""en"",""ur"")"),"ایک ننگی مٹھی")</f>
        <v>ایک ننگی مٹھی</v>
      </c>
      <c r="Q124" s="2" t="s">
        <v>420</v>
      </c>
      <c r="R124" s="2" t="str">
        <f>IFERROR(__xludf.DUMMYFUNCTION("GOOGLETRANSLATE(G124,""en"",""ur"")"),"ایک چھوٹی تلوار")</f>
        <v>ایک چھوٹی تلوار</v>
      </c>
      <c r="S124" s="6" t="s">
        <v>551</v>
      </c>
    </row>
    <row r="125">
      <c r="A125" s="7">
        <v>124.0</v>
      </c>
      <c r="B125" s="6" t="s">
        <v>421</v>
      </c>
      <c r="C125" s="6" t="s">
        <v>422</v>
      </c>
      <c r="D125" s="6" t="s">
        <v>423</v>
      </c>
      <c r="E125" s="6" t="s">
        <v>424</v>
      </c>
      <c r="F125" s="6" t="s">
        <v>425</v>
      </c>
      <c r="G125" s="6" t="s">
        <v>424</v>
      </c>
      <c r="H125" s="6" t="s">
        <v>551</v>
      </c>
      <c r="K125" s="2" t="str">
        <f>IFERROR(__xludf.DUMMYFUNCTION("GOOGLETRANSLATE(A125,""en"",""ur"")"),"124")</f>
        <v>124</v>
      </c>
      <c r="L125" s="2" t="str">
        <f>IFERROR(__xludf.DUMMYFUNCTION("GOOGLETRANSLATE(B125,""en"",""ur"")"),"اس لڑائی کی ترتیب کیا ہے؟")</f>
        <v>اس لڑائی کی ترتیب کیا ہے؟</v>
      </c>
      <c r="M125" s="2" t="str">
        <f>IFERROR(__xludf.DUMMYFUNCTION("GOOGLETRANSLATE(C125,""en"",""ur"")"),"ایک انڈور اسٹیڈیم")</f>
        <v>ایک انڈور اسٹیڈیم</v>
      </c>
      <c r="N125" s="2" t="str">
        <f>IFERROR(__xludf.DUMMYFUNCTION("GOOGLETRANSLATE(D125,""en"",""ur"")"),"ایک دیہی، بیرونی علاقہ")</f>
        <v>ایک دیہی، بیرونی علاقہ</v>
      </c>
      <c r="O125" s="2" t="str">
        <f>IFERROR(__xludf.DUMMYFUNCTION("GOOGLETRANSLATE(E125,""en"",""ur"")"),"شہر کی مصروف گلی")</f>
        <v>شہر کی مصروف گلی</v>
      </c>
      <c r="P125" s="2" t="str">
        <f>IFERROR(__xludf.DUMMYFUNCTION("GOOGLETRANSLATE(F125,""en"",""ur"")"),"گھاس کا میدان")</f>
        <v>گھاس کا میدان</v>
      </c>
      <c r="Q125" s="2" t="s">
        <v>426</v>
      </c>
      <c r="R125" s="2" t="str">
        <f>IFERROR(__xludf.DUMMYFUNCTION("GOOGLETRANSLATE(G125,""en"",""ur"")"),"شہر کی مصروف گلی")</f>
        <v>شہر کی مصروف گلی</v>
      </c>
      <c r="S125" s="6" t="s">
        <v>551</v>
      </c>
    </row>
    <row r="126">
      <c r="A126" s="7">
        <v>125.0</v>
      </c>
      <c r="B126" s="6" t="s">
        <v>427</v>
      </c>
      <c r="C126" s="6" t="s">
        <v>47</v>
      </c>
      <c r="D126" s="6" t="s">
        <v>48</v>
      </c>
      <c r="E126" s="6" t="s">
        <v>49</v>
      </c>
      <c r="F126" s="6" t="s">
        <v>50</v>
      </c>
      <c r="G126" s="6" t="s">
        <v>49</v>
      </c>
      <c r="H126" s="6" t="s">
        <v>551</v>
      </c>
      <c r="K126" s="2" t="str">
        <f>IFERROR(__xludf.DUMMYFUNCTION("GOOGLETRANSLATE(A126,""en"",""ur"")"),"125")</f>
        <v>125</v>
      </c>
      <c r="L126" s="2" t="str">
        <f>IFERROR(__xludf.DUMMYFUNCTION("GOOGLETRANSLATE(B126,""en"",""ur"")"),"جنگجوؤں کے ظاہری جذبات کیا ہیں؟")</f>
        <v>جنگجوؤں کے ظاہری جذبات کیا ہیں؟</v>
      </c>
      <c r="M126" s="2" t="str">
        <f>IFERROR(__xludf.DUMMYFUNCTION("GOOGLETRANSLATE(C126,""en"",""ur"")"),"پرسکون اور پر سکون")</f>
        <v>پرسکون اور پر سکون</v>
      </c>
      <c r="N126" s="2" t="str">
        <f>IFERROR(__xludf.DUMMYFUNCTION("GOOGLETRANSLATE(D126,""en"",""ur"")"),"خوف زدہ اور بے چین")</f>
        <v>خوف زدہ اور بے چین</v>
      </c>
      <c r="O126" s="2" t="str">
        <f>IFERROR(__xludf.DUMMYFUNCTION("GOOGLETRANSLATE(E126,""en"",""ur"")"),"کشیدہ اور شدید")</f>
        <v>کشیدہ اور شدید</v>
      </c>
      <c r="P126" s="2" t="str">
        <f>IFERROR(__xludf.DUMMYFUNCTION("GOOGLETRANSLATE(F126,""en"",""ur"")"),"خوش اور مسکراتے ہوئے۔")</f>
        <v>خوش اور مسکراتے ہوئے۔</v>
      </c>
      <c r="Q126" s="2" t="s">
        <v>51</v>
      </c>
      <c r="R126" s="2" t="str">
        <f>IFERROR(__xludf.DUMMYFUNCTION("GOOGLETRANSLATE(G126,""en"",""ur"")"),"کشیدہ اور شدید")</f>
        <v>کشیدہ اور شدید</v>
      </c>
      <c r="S126" s="6" t="s">
        <v>551</v>
      </c>
    </row>
    <row r="127">
      <c r="A127" s="7">
        <v>126.0</v>
      </c>
      <c r="B127" s="6" t="s">
        <v>428</v>
      </c>
      <c r="C127" s="6" t="s">
        <v>429</v>
      </c>
      <c r="D127" s="6" t="s">
        <v>430</v>
      </c>
      <c r="E127" s="6" t="s">
        <v>431</v>
      </c>
      <c r="F127" s="6" t="s">
        <v>432</v>
      </c>
      <c r="G127" s="6" t="s">
        <v>430</v>
      </c>
      <c r="H127" s="6" t="s">
        <v>551</v>
      </c>
      <c r="K127" s="2" t="str">
        <f>IFERROR(__xludf.DUMMYFUNCTION("GOOGLETRANSLATE(A127,""en"",""ur"")"),"126")</f>
        <v>126</v>
      </c>
      <c r="L127" s="2" t="str">
        <f>IFERROR(__xludf.DUMMYFUNCTION("GOOGLETRANSLATE(B127,""en"",""ur"")"),"جنگجوؤں کی ظاہری باڈی پوزیشن کیا ہے؟")</f>
        <v>جنگجوؤں کی ظاہری باڈی پوزیشن کیا ہے؟</v>
      </c>
      <c r="M127" s="2" t="str">
        <f>IFERROR(__xludf.DUMMYFUNCTION("GOOGLETRANSLATE(C127,""en"",""ur"")"),"سیدھا کھڑا ہونا")</f>
        <v>سیدھا کھڑا ہونا</v>
      </c>
      <c r="N127" s="2" t="str">
        <f>IFERROR(__xludf.DUMMYFUNCTION("GOOGLETRANSLATE(D127,""en"",""ur"")"),"کم، متحرک موقف میں")</f>
        <v>کم، متحرک موقف میں</v>
      </c>
      <c r="O127" s="2" t="str">
        <f>IFERROR(__xludf.DUMMYFUNCTION("GOOGLETRANSLATE(E127,""en"",""ur"")"),"زمین پر لیٹنا")</f>
        <v>زمین پر لیٹنا</v>
      </c>
      <c r="P127" s="2" t="str">
        <f>IFERROR(__xludf.DUMMYFUNCTION("GOOGLETRANSLATE(F127,""en"",""ur"")"),"بیٹھا ہوا")</f>
        <v>بیٹھا ہوا</v>
      </c>
      <c r="Q127" s="2" t="s">
        <v>433</v>
      </c>
      <c r="R127" s="2" t="str">
        <f>IFERROR(__xludf.DUMMYFUNCTION("GOOGLETRANSLATE(G127,""en"",""ur"")"),"کم، متحرک موقف میں")</f>
        <v>کم، متحرک موقف میں</v>
      </c>
      <c r="S127" s="6" t="s">
        <v>551</v>
      </c>
    </row>
    <row r="128">
      <c r="A128" s="7">
        <v>127.0</v>
      </c>
      <c r="B128" s="6" t="s">
        <v>434</v>
      </c>
      <c r="C128" s="6" t="s">
        <v>435</v>
      </c>
      <c r="D128" s="6" t="s">
        <v>436</v>
      </c>
      <c r="E128" s="6" t="s">
        <v>437</v>
      </c>
      <c r="F128" s="6" t="s">
        <v>438</v>
      </c>
      <c r="G128" s="6" t="s">
        <v>437</v>
      </c>
      <c r="H128" s="6" t="s">
        <v>551</v>
      </c>
      <c r="K128" s="2" t="str">
        <f>IFERROR(__xludf.DUMMYFUNCTION("GOOGLETRANSLATE(A128,""en"",""ur"")"),"127")</f>
        <v>127</v>
      </c>
      <c r="L128" s="2" t="str">
        <f>IFERROR(__xludf.DUMMYFUNCTION("GOOGLETRANSLATE(B128,""en"",""ur"")"),"پس منظر میں ہجوم کی سب سے نمایاں خصوصیت کیا ہے؟")</f>
        <v>پس منظر میں ہجوم کی سب سے نمایاں خصوصیت کیا ہے؟</v>
      </c>
      <c r="M128" s="2" t="str">
        <f>IFERROR(__xludf.DUMMYFUNCTION("GOOGLETRANSLATE(C128,""en"",""ur"")"),"وہ بھاگ رہے ہیں۔")</f>
        <v>وہ بھاگ رہے ہیں۔</v>
      </c>
      <c r="N128" s="2" t="str">
        <f>IFERROR(__xludf.DUMMYFUNCTION("GOOGLETRANSLATE(D128,""en"",""ur"")"),"وہ خاموش بیٹھے ہیں۔")</f>
        <v>وہ خاموش بیٹھے ہیں۔</v>
      </c>
      <c r="O128" s="2" t="str">
        <f>IFERROR(__xludf.DUMMYFUNCTION("GOOGLETRANSLATE(E128,""en"",""ur"")"),"وہ لڑائی کو قدرتی رکاوٹ سے دیکھ رہے ہیں۔")</f>
        <v>وہ لڑائی کو قدرتی رکاوٹ سے دیکھ رہے ہیں۔</v>
      </c>
      <c r="P128" s="2" t="str">
        <f>IFERROR(__xludf.DUMMYFUNCTION("GOOGLETRANSLATE(F128,""en"",""ur"")"),"وہ سب ایک اسٹیج پر کھڑے ہیں۔")</f>
        <v>وہ سب ایک اسٹیج پر کھڑے ہیں۔</v>
      </c>
      <c r="Q128" s="2" t="s">
        <v>439</v>
      </c>
      <c r="R128" s="2" t="str">
        <f>IFERROR(__xludf.DUMMYFUNCTION("GOOGLETRANSLATE(G128,""en"",""ur"")"),"وہ لڑائی کو قدرتی رکاوٹ سے دیکھ رہے ہیں۔")</f>
        <v>وہ لڑائی کو قدرتی رکاوٹ سے دیکھ رہے ہیں۔</v>
      </c>
      <c r="S128" s="6" t="s">
        <v>551</v>
      </c>
    </row>
    <row r="129">
      <c r="A129" s="7">
        <v>128.0</v>
      </c>
      <c r="B129" s="6" t="s">
        <v>440</v>
      </c>
      <c r="C129" s="6" t="s">
        <v>441</v>
      </c>
      <c r="D129" s="6" t="s">
        <v>442</v>
      </c>
      <c r="E129" s="6" t="s">
        <v>443</v>
      </c>
      <c r="F129" s="6" t="s">
        <v>444</v>
      </c>
      <c r="G129" s="6" t="s">
        <v>441</v>
      </c>
      <c r="H129" s="6" t="s">
        <v>551</v>
      </c>
      <c r="K129" s="2" t="str">
        <f>IFERROR(__xludf.DUMMYFUNCTION("GOOGLETRANSLATE(A129,""en"",""ur"")"),"128")</f>
        <v>128</v>
      </c>
      <c r="L129" s="2" t="str">
        <f>IFERROR(__xludf.DUMMYFUNCTION("GOOGLETRANSLATE(B129,""en"",""ur"")"),"زمین کی ظاہری حالت کیا ہے؟")</f>
        <v>زمین کی ظاہری حالت کیا ہے؟</v>
      </c>
      <c r="M129" s="2" t="str">
        <f>IFERROR(__xludf.DUMMYFUNCTION("GOOGLETRANSLATE(C129,""en"",""ur"")"),"یہ ایک پکی سطح ہے۔")</f>
        <v>یہ ایک پکی سطح ہے۔</v>
      </c>
      <c r="N129" s="2" t="str">
        <f>IFERROR(__xludf.DUMMYFUNCTION("GOOGLETRANSLATE(D129,""en"",""ur"")"),"یہ ایک کیچڑ والا میدان ہے۔")</f>
        <v>یہ ایک کیچڑ والا میدان ہے۔</v>
      </c>
      <c r="O129" s="2" t="str">
        <f>IFERROR(__xludf.DUMMYFUNCTION("GOOGLETRANSLATE(E129,""en"",""ur"")"),"یہ ایک ریتلی یا مٹی کی سطح ہے جس میں دھول اڑتی ہے۔")</f>
        <v>یہ ایک ریتلی یا مٹی کی سطح ہے جس میں دھول اڑتی ہے۔</v>
      </c>
      <c r="P129" s="2" t="str">
        <f>IFERROR(__xludf.DUMMYFUNCTION("GOOGLETRANSLATE(F129,""en"",""ur"")"),"یہ ایک گھاس والی سطح ہے۔")</f>
        <v>یہ ایک گھاس والی سطح ہے۔</v>
      </c>
      <c r="Q129" s="2" t="s">
        <v>445</v>
      </c>
      <c r="R129" s="2" t="str">
        <f>IFERROR(__xludf.DUMMYFUNCTION("GOOGLETRANSLATE(G129,""en"",""ur"")"),"یہ ایک پکی سطح ہے۔")</f>
        <v>یہ ایک پکی سطح ہے۔</v>
      </c>
      <c r="S129" s="6" t="s">
        <v>551</v>
      </c>
    </row>
    <row r="130">
      <c r="A130" s="7">
        <v>129.0</v>
      </c>
      <c r="B130" s="6" t="s">
        <v>446</v>
      </c>
      <c r="C130" s="6" t="s">
        <v>447</v>
      </c>
      <c r="D130" s="6" t="s">
        <v>448</v>
      </c>
      <c r="E130" s="6" t="s">
        <v>449</v>
      </c>
      <c r="F130" s="6" t="s">
        <v>450</v>
      </c>
      <c r="G130" s="6" t="s">
        <v>447</v>
      </c>
      <c r="H130" s="6" t="s">
        <v>551</v>
      </c>
      <c r="K130" s="2" t="str">
        <f>IFERROR(__xludf.DUMMYFUNCTION("GOOGLETRANSLATE(A130,""en"",""ur"")"),"129")</f>
        <v>129</v>
      </c>
      <c r="L130" s="2" t="str">
        <f>IFERROR(__xludf.DUMMYFUNCTION("GOOGLETRANSLATE(B130,""en"",""ur"")"),"ڈھال کا بنیادی مقصد کیا ہے جو ہر لڑاکا پکڑے ہوئے ہے؟")</f>
        <v>ڈھال کا بنیادی مقصد کیا ہے جو ہر لڑاکا پکڑے ہوئے ہے؟</v>
      </c>
      <c r="M130" s="2" t="str">
        <f>IFERROR(__xludf.DUMMYFUNCTION("GOOGLETRANSLATE(C130,""en"",""ur"")"),"تلوار کے وار کو روکنے کے لیے")</f>
        <v>تلوار کے وار کو روکنے کے لیے</v>
      </c>
      <c r="N130" s="2" t="str">
        <f>IFERROR(__xludf.DUMMYFUNCTION("GOOGLETRANSLATE(D130,""en"",""ur"")"),"ہتھیار رکھنے کے لیے")</f>
        <v>ہتھیار رکھنے کے لیے</v>
      </c>
      <c r="O130" s="2" t="str">
        <f>IFERROR(__xludf.DUMMYFUNCTION("GOOGLETRANSLATE(E130,""en"",""ur"")"),"صرف سجاوٹ کے لیے")</f>
        <v>صرف سجاوٹ کے لیے</v>
      </c>
      <c r="P130" s="2" t="str">
        <f>IFERROR(__xludf.DUMMYFUNCTION("GOOGLETRANSLATE(F130,""en"",""ur"")"),"سورج کو روکنے کے لئے")</f>
        <v>سورج کو روکنے کے لئے</v>
      </c>
      <c r="Q130" s="2" t="s">
        <v>451</v>
      </c>
      <c r="R130" s="2" t="str">
        <f>IFERROR(__xludf.DUMMYFUNCTION("GOOGLETRANSLATE(G130,""en"",""ur"")"),"تلوار کے وار کو روکنے کے لیے")</f>
        <v>تلوار کے وار کو روکنے کے لیے</v>
      </c>
      <c r="S130" s="6" t="s">
        <v>551</v>
      </c>
    </row>
    <row r="131">
      <c r="A131" s="7">
        <v>130.0</v>
      </c>
      <c r="B131" s="6" t="s">
        <v>452</v>
      </c>
      <c r="C131" s="6" t="s">
        <v>453</v>
      </c>
      <c r="D131" s="6" t="s">
        <v>454</v>
      </c>
      <c r="E131" s="6" t="s">
        <v>455</v>
      </c>
      <c r="F131" s="6" t="s">
        <v>456</v>
      </c>
      <c r="G131" s="6" t="s">
        <v>454</v>
      </c>
      <c r="H131" s="6" t="s">
        <v>551</v>
      </c>
      <c r="K131" s="2" t="str">
        <f>IFERROR(__xludf.DUMMYFUNCTION("GOOGLETRANSLATE(A131,""en"",""ur"")"),"130")</f>
        <v>130</v>
      </c>
      <c r="L131" s="2" t="str">
        <f>IFERROR(__xludf.DUMMYFUNCTION("GOOGLETRANSLATE(B131,""en"",""ur"")"),"ایونٹ کا مجموعی موڈ ایسا لگتا ہے...")</f>
        <v>ایونٹ کا مجموعی موڈ ایسا لگتا ہے...</v>
      </c>
      <c r="M131" s="2" t="str">
        <f>IFERROR(__xludf.DUMMYFUNCTION("GOOGLETRANSLATE(C131,""en"",""ur"")"),"ایک آرام دہ مشق سیشن")</f>
        <v>ایک آرام دہ مشق سیشن</v>
      </c>
      <c r="N131" s="2" t="str">
        <f>IFERROR(__xludf.DUMMYFUNCTION("GOOGLETRANSLATE(D131,""en"",""ur"")"),"ایک تناؤ اور جارحانہ کارکردگی")</f>
        <v>ایک تناؤ اور جارحانہ کارکردگی</v>
      </c>
      <c r="O131" s="2" t="str">
        <f>IFERROR(__xludf.DUMMYFUNCTION("GOOGLETRANSLATE(E131,""en"",""ur"")"),"ایک پرسکون، پرامن اجتماع")</f>
        <v>ایک پرسکون، پرامن اجتماع</v>
      </c>
      <c r="P131" s="2" t="str">
        <f>IFERROR(__xludf.DUMMYFUNCTION("GOOGLETRANSLATE(F131,""en"",""ur"")"),"ایک سست، رسمی رقص")</f>
        <v>ایک سست، رسمی رقص</v>
      </c>
      <c r="Q131" s="2" t="s">
        <v>457</v>
      </c>
      <c r="R131" s="2" t="str">
        <f>IFERROR(__xludf.DUMMYFUNCTION("GOOGLETRANSLATE(G131,""en"",""ur"")"),"ایک تناؤ اور جارحانہ کارکردگی")</f>
        <v>ایک تناؤ اور جارحانہ کارکردگی</v>
      </c>
      <c r="S131" s="6" t="s">
        <v>551</v>
      </c>
    </row>
    <row r="132">
      <c r="A132" s="7">
        <v>131.0</v>
      </c>
      <c r="B132" s="6" t="s">
        <v>552</v>
      </c>
      <c r="C132" s="6" t="s">
        <v>464</v>
      </c>
      <c r="D132" s="6" t="s">
        <v>465</v>
      </c>
      <c r="E132" s="6" t="s">
        <v>466</v>
      </c>
      <c r="F132" s="6" t="s">
        <v>478</v>
      </c>
      <c r="G132" s="6" t="s">
        <v>465</v>
      </c>
      <c r="H132" s="6" t="s">
        <v>553</v>
      </c>
      <c r="K132" s="2" t="str">
        <f>IFERROR(__xludf.DUMMYFUNCTION("GOOGLETRANSLATE(A132,""en"",""ur"")"),"131")</f>
        <v>131</v>
      </c>
      <c r="L132" s="2" t="str">
        <f>IFERROR(__xludf.DUMMYFUNCTION("GOOGLETRANSLATE(B132,""en"",""ur"")"),"گٹکا_49 میں دکھایا گیا اہم عمل کیا ہے؟")</f>
        <v>گٹکا_49 میں دکھایا گیا اہم عمل کیا ہے؟</v>
      </c>
      <c r="M132" s="2" t="str">
        <f>IFERROR(__xludf.DUMMYFUNCTION("GOOGLETRANSLATE(C132,""en"",""ur"")"),"ایک آدمی ناچ رہا ہے۔")</f>
        <v>ایک آدمی ناچ رہا ہے۔</v>
      </c>
      <c r="N132" s="2" t="str">
        <f>IFERROR(__xludf.DUMMYFUNCTION("GOOGLETRANSLATE(D132,""en"",""ur"")"),"ایک آدمی سہارے کے ساتھ پوز کر رہا ہے۔")</f>
        <v>ایک آدمی سہارے کے ساتھ پوز کر رہا ہے۔</v>
      </c>
      <c r="O132" s="2" t="str">
        <f>IFERROR(__xludf.DUMMYFUNCTION("GOOGLETRANSLATE(E132,""en"",""ur"")"),"تلواروں سے لڑنے والا آدمی")</f>
        <v>تلواروں سے لڑنے والا آدمی</v>
      </c>
      <c r="P132" s="2" t="str">
        <f>IFERROR(__xludf.DUMMYFUNCTION("GOOGLETRANSLATE(F132,""en"",""ur"")"),"ایک آدمی چھوٹی تلوار کے ساتھ ہوا میں چھلانگ لگا رہا ہے۔")</f>
        <v>ایک آدمی چھوٹی تلوار کے ساتھ ہوا میں چھلانگ لگا رہا ہے۔</v>
      </c>
      <c r="Q132" s="2" t="s">
        <v>480</v>
      </c>
      <c r="R132" s="2" t="str">
        <f>IFERROR(__xludf.DUMMYFUNCTION("GOOGLETRANSLATE(G132,""en"",""ur"")"),"ایک آدمی سہارے کے ساتھ پوز کر رہا ہے۔")</f>
        <v>ایک آدمی سہارے کے ساتھ پوز کر رہا ہے۔</v>
      </c>
      <c r="S132" s="6" t="s">
        <v>553</v>
      </c>
    </row>
    <row r="133">
      <c r="A133" s="7">
        <v>132.0</v>
      </c>
      <c r="B133" s="6" t="s">
        <v>470</v>
      </c>
      <c r="C133" s="6" t="s">
        <v>411</v>
      </c>
      <c r="D133" s="6" t="s">
        <v>554</v>
      </c>
      <c r="E133" s="6" t="s">
        <v>334</v>
      </c>
      <c r="F133" s="6" t="s">
        <v>413</v>
      </c>
      <c r="G133" s="6" t="s">
        <v>554</v>
      </c>
      <c r="H133" s="6" t="s">
        <v>553</v>
      </c>
      <c r="K133" s="2" t="str">
        <f>IFERROR(__xludf.DUMMYFUNCTION("GOOGLETRANSLATE(A133,""en"",""ur"")"),"132")</f>
        <v>132</v>
      </c>
      <c r="L133" s="2" t="str">
        <f>IFERROR(__xludf.DUMMYFUNCTION("GOOGLETRANSLATE(B133,""en"",""ur"")"),"آدمی کے لباس کے بارے میں ایک قابل ذکر تفصیل کیا ہے؟")</f>
        <v>آدمی کے لباس کے بارے میں ایک قابل ذکر تفصیل کیا ہے؟</v>
      </c>
      <c r="M133" s="2" t="str">
        <f>IFERROR(__xludf.DUMMYFUNCTION("GOOGLETRANSLATE(C133,""en"",""ur"")"),"اس نے بکتر کا پورا سوٹ پہن رکھا ہے۔")</f>
        <v>اس نے بکتر کا پورا سوٹ پہن رکھا ہے۔</v>
      </c>
      <c r="N133" s="2" t="str">
        <f>IFERROR(__xludf.DUMMYFUNCTION("GOOGLETRANSLATE(D133,""en"",""ur"")"),"اس نے زنجیر کے ساتھ نیلی پگڑی پہن رکھی ہے۔")</f>
        <v>اس نے زنجیر کے ساتھ نیلی پگڑی پہن رکھی ہے۔</v>
      </c>
      <c r="O133" s="2" t="str">
        <f>IFERROR(__xludf.DUMMYFUNCTION("GOOGLETRANSLATE(E133,""en"",""ur"")"),"اس نے شارٹس اور ٹی شرٹ پہن رکھی ہے۔")</f>
        <v>اس نے شارٹس اور ٹی شرٹ پہن رکھی ہے۔</v>
      </c>
      <c r="P133" s="2" t="str">
        <f>IFERROR(__xludf.DUMMYFUNCTION("GOOGLETRANSLATE(F133,""en"",""ur"")"),"اس نے پولیس کی وردی پہن رکھی ہے۔")</f>
        <v>اس نے پولیس کی وردی پہن رکھی ہے۔</v>
      </c>
      <c r="Q133" s="2" t="s">
        <v>555</v>
      </c>
      <c r="R133" s="2" t="str">
        <f>IFERROR(__xludf.DUMMYFUNCTION("GOOGLETRANSLATE(G133,""en"",""ur"")"),"اس نے زنجیر کے ساتھ نیلی پگڑی پہن رکھی ہے۔")</f>
        <v>اس نے زنجیر کے ساتھ نیلی پگڑی پہن رکھی ہے۔</v>
      </c>
      <c r="S133" s="6" t="s">
        <v>553</v>
      </c>
    </row>
    <row r="134">
      <c r="A134" s="7">
        <v>133.0</v>
      </c>
      <c r="B134" s="6" t="s">
        <v>471</v>
      </c>
      <c r="C134" s="6" t="s">
        <v>416</v>
      </c>
      <c r="D134" s="6" t="s">
        <v>417</v>
      </c>
      <c r="E134" s="6" t="s">
        <v>418</v>
      </c>
      <c r="F134" s="6" t="s">
        <v>556</v>
      </c>
      <c r="G134" s="6" t="s">
        <v>556</v>
      </c>
      <c r="H134" s="6" t="s">
        <v>553</v>
      </c>
      <c r="K134" s="2" t="str">
        <f>IFERROR(__xludf.DUMMYFUNCTION("GOOGLETRANSLATE(A134,""en"",""ur"")"),"133")</f>
        <v>133</v>
      </c>
      <c r="L134" s="2" t="str">
        <f>IFERROR(__xludf.DUMMYFUNCTION("GOOGLETRANSLATE(B134,""en"",""ur"")"),"آدمی کی طرف سے استعمال کیا جاتا بنیادی ہتھیار کیا ہے؟")</f>
        <v>آدمی کی طرف سے استعمال کیا جاتا بنیادی ہتھیار کیا ہے؟</v>
      </c>
      <c r="M134" s="2" t="str">
        <f>IFERROR(__xludf.DUMMYFUNCTION("GOOGLETRANSLATE(C134,""en"",""ur"")"),"ایک چھوٹی تلوار")</f>
        <v>ایک چھوٹی تلوار</v>
      </c>
      <c r="N134" s="2" t="str">
        <f>IFERROR(__xludf.DUMMYFUNCTION("GOOGLETRANSLATE(D134,""en"",""ur"")"),"ایک لمبی چھڑی")</f>
        <v>ایک لمبی چھڑی</v>
      </c>
      <c r="O134" s="2" t="str">
        <f>IFERROR(__xludf.DUMMYFUNCTION("GOOGLETRANSLATE(E134,""en"",""ur"")"),"ایک کمان اور تیر")</f>
        <v>ایک کمان اور تیر</v>
      </c>
      <c r="P134" s="2" t="str">
        <f>IFERROR(__xludf.DUMMYFUNCTION("GOOGLETRANSLATE(F134,""en"",""ur"")"),"ایک نیزہ")</f>
        <v>ایک نیزہ</v>
      </c>
      <c r="Q134" s="2" t="s">
        <v>557</v>
      </c>
      <c r="R134" s="2" t="str">
        <f>IFERROR(__xludf.DUMMYFUNCTION("GOOGLETRANSLATE(G134,""en"",""ur"")"),"ایک نیزہ")</f>
        <v>ایک نیزہ</v>
      </c>
      <c r="S134" s="6" t="s">
        <v>553</v>
      </c>
    </row>
    <row r="135">
      <c r="A135" s="7">
        <v>134.0</v>
      </c>
      <c r="B135" s="6" t="s">
        <v>421</v>
      </c>
      <c r="C135" s="6" t="s">
        <v>422</v>
      </c>
      <c r="D135" s="6" t="s">
        <v>423</v>
      </c>
      <c r="E135" s="6" t="s">
        <v>424</v>
      </c>
      <c r="F135" s="6" t="s">
        <v>425</v>
      </c>
      <c r="G135" s="6" t="s">
        <v>425</v>
      </c>
      <c r="H135" s="6" t="s">
        <v>553</v>
      </c>
      <c r="K135" s="2" t="str">
        <f>IFERROR(__xludf.DUMMYFUNCTION("GOOGLETRANSLATE(A135,""en"",""ur"")"),"134")</f>
        <v>134</v>
      </c>
      <c r="L135" s="2" t="str">
        <f>IFERROR(__xludf.DUMMYFUNCTION("GOOGLETRANSLATE(B135,""en"",""ur"")"),"اس لڑائی کی ترتیب کیا ہے؟")</f>
        <v>اس لڑائی کی ترتیب کیا ہے؟</v>
      </c>
      <c r="M135" s="2" t="str">
        <f>IFERROR(__xludf.DUMMYFUNCTION("GOOGLETRANSLATE(C135,""en"",""ur"")"),"ایک انڈور اسٹیڈیم")</f>
        <v>ایک انڈور اسٹیڈیم</v>
      </c>
      <c r="N135" s="2" t="str">
        <f>IFERROR(__xludf.DUMMYFUNCTION("GOOGLETRANSLATE(D135,""en"",""ur"")"),"ایک دیہی، بیرونی علاقہ")</f>
        <v>ایک دیہی، بیرونی علاقہ</v>
      </c>
      <c r="O135" s="2" t="str">
        <f>IFERROR(__xludf.DUMMYFUNCTION("GOOGLETRANSLATE(E135,""en"",""ur"")"),"شہر کی مصروف گلی")</f>
        <v>شہر کی مصروف گلی</v>
      </c>
      <c r="P135" s="2" t="str">
        <f>IFERROR(__xludf.DUMMYFUNCTION("GOOGLETRANSLATE(F135,""en"",""ur"")"),"گھاس کا میدان")</f>
        <v>گھاس کا میدان</v>
      </c>
      <c r="Q135" s="2" t="s">
        <v>426</v>
      </c>
      <c r="R135" s="2" t="str">
        <f>IFERROR(__xludf.DUMMYFUNCTION("GOOGLETRANSLATE(G135,""en"",""ur"")"),"گھاس کا میدان")</f>
        <v>گھاس کا میدان</v>
      </c>
      <c r="S135" s="6" t="s">
        <v>553</v>
      </c>
    </row>
    <row r="136">
      <c r="A136" s="7">
        <v>135.0</v>
      </c>
      <c r="B136" s="6" t="s">
        <v>472</v>
      </c>
      <c r="C136" s="6" t="s">
        <v>47</v>
      </c>
      <c r="D136" s="6" t="s">
        <v>48</v>
      </c>
      <c r="E136" s="6" t="s">
        <v>49</v>
      </c>
      <c r="F136" s="6" t="s">
        <v>50</v>
      </c>
      <c r="G136" s="6" t="s">
        <v>47</v>
      </c>
      <c r="H136" s="6" t="s">
        <v>553</v>
      </c>
      <c r="K136" s="2" t="str">
        <f>IFERROR(__xludf.DUMMYFUNCTION("GOOGLETRANSLATE(A136,""en"",""ur"")"),"135")</f>
        <v>135</v>
      </c>
      <c r="L136" s="2" t="str">
        <f>IFERROR(__xludf.DUMMYFUNCTION("GOOGLETRANSLATE(B136,""en"",""ur"")"),"آدمی کا ظاہری جذبات کیا ہے؟")</f>
        <v>آدمی کا ظاہری جذبات کیا ہے؟</v>
      </c>
      <c r="M136" s="2" t="str">
        <f>IFERROR(__xludf.DUMMYFUNCTION("GOOGLETRANSLATE(C136,""en"",""ur"")"),"پرسکون اور پر سکون")</f>
        <v>پرسکون اور پر سکون</v>
      </c>
      <c r="N136" s="2" t="str">
        <f>IFERROR(__xludf.DUMMYFUNCTION("GOOGLETRANSLATE(D136,""en"",""ur"")"),"خوف زدہ اور بے چین")</f>
        <v>خوف زدہ اور بے چین</v>
      </c>
      <c r="O136" s="2" t="str">
        <f>IFERROR(__xludf.DUMMYFUNCTION("GOOGLETRANSLATE(E136,""en"",""ur"")"),"کشیدہ اور شدید")</f>
        <v>کشیدہ اور شدید</v>
      </c>
      <c r="P136" s="2" t="str">
        <f>IFERROR(__xludf.DUMMYFUNCTION("GOOGLETRANSLATE(F136,""en"",""ur"")"),"خوش اور مسکراتے ہوئے۔")</f>
        <v>خوش اور مسکراتے ہوئے۔</v>
      </c>
      <c r="Q136" s="2" t="s">
        <v>51</v>
      </c>
      <c r="R136" s="2" t="str">
        <f>IFERROR(__xludf.DUMMYFUNCTION("GOOGLETRANSLATE(G136,""en"",""ur"")"),"پرسکون اور پر سکون")</f>
        <v>پرسکون اور پر سکون</v>
      </c>
      <c r="S136" s="6" t="s">
        <v>553</v>
      </c>
    </row>
    <row r="137">
      <c r="A137" s="7">
        <v>136.0</v>
      </c>
      <c r="B137" s="6" t="s">
        <v>473</v>
      </c>
      <c r="C137" s="6" t="s">
        <v>429</v>
      </c>
      <c r="D137" s="6" t="s">
        <v>430</v>
      </c>
      <c r="E137" s="6" t="s">
        <v>431</v>
      </c>
      <c r="F137" s="6" t="s">
        <v>432</v>
      </c>
      <c r="G137" s="6" t="s">
        <v>429</v>
      </c>
      <c r="H137" s="6" t="s">
        <v>553</v>
      </c>
      <c r="K137" s="2" t="str">
        <f>IFERROR(__xludf.DUMMYFUNCTION("GOOGLETRANSLATE(A137,""en"",""ur"")"),"136")</f>
        <v>136</v>
      </c>
      <c r="L137" s="2" t="str">
        <f>IFERROR(__xludf.DUMMYFUNCTION("GOOGLETRANSLATE(B137,""en"",""ur"")"),"مرد کی ظاہری جسمانی پوزیشن کیا ہے؟")</f>
        <v>مرد کی ظاہری جسمانی پوزیشن کیا ہے؟</v>
      </c>
      <c r="M137" s="2" t="str">
        <f>IFERROR(__xludf.DUMMYFUNCTION("GOOGLETRANSLATE(C137,""en"",""ur"")"),"سیدھا کھڑا ہونا")</f>
        <v>سیدھا کھڑا ہونا</v>
      </c>
      <c r="N137" s="2" t="str">
        <f>IFERROR(__xludf.DUMMYFUNCTION("GOOGLETRANSLATE(D137,""en"",""ur"")"),"کم، متحرک موقف میں")</f>
        <v>کم، متحرک موقف میں</v>
      </c>
      <c r="O137" s="2" t="str">
        <f>IFERROR(__xludf.DUMMYFUNCTION("GOOGLETRANSLATE(E137,""en"",""ur"")"),"زمین پر لیٹنا")</f>
        <v>زمین پر لیٹنا</v>
      </c>
      <c r="P137" s="2" t="str">
        <f>IFERROR(__xludf.DUMMYFUNCTION("GOOGLETRANSLATE(F137,""en"",""ur"")"),"بیٹھا ہوا")</f>
        <v>بیٹھا ہوا</v>
      </c>
      <c r="Q137" s="2" t="s">
        <v>433</v>
      </c>
      <c r="R137" s="2" t="str">
        <f>IFERROR(__xludf.DUMMYFUNCTION("GOOGLETRANSLATE(G137,""en"",""ur"")"),"سیدھا کھڑا ہونا")</f>
        <v>سیدھا کھڑا ہونا</v>
      </c>
      <c r="S137" s="6" t="s">
        <v>553</v>
      </c>
    </row>
    <row r="138">
      <c r="A138" s="7">
        <v>137.0</v>
      </c>
      <c r="B138" s="6" t="s">
        <v>434</v>
      </c>
      <c r="C138" s="6" t="s">
        <v>435</v>
      </c>
      <c r="D138" s="6" t="s">
        <v>436</v>
      </c>
      <c r="E138" s="6" t="s">
        <v>437</v>
      </c>
      <c r="F138" s="6" t="s">
        <v>438</v>
      </c>
      <c r="G138" s="6" t="s">
        <v>437</v>
      </c>
      <c r="H138" s="6" t="s">
        <v>553</v>
      </c>
      <c r="K138" s="2" t="str">
        <f>IFERROR(__xludf.DUMMYFUNCTION("GOOGLETRANSLATE(A138,""en"",""ur"")"),"137")</f>
        <v>137</v>
      </c>
      <c r="L138" s="2" t="str">
        <f>IFERROR(__xludf.DUMMYFUNCTION("GOOGLETRANSLATE(B138,""en"",""ur"")"),"پس منظر میں ہجوم کی سب سے نمایاں خصوصیت کیا ہے؟")</f>
        <v>پس منظر میں ہجوم کی سب سے نمایاں خصوصیت کیا ہے؟</v>
      </c>
      <c r="M138" s="2" t="str">
        <f>IFERROR(__xludf.DUMMYFUNCTION("GOOGLETRANSLATE(C138,""en"",""ur"")"),"وہ بھاگ رہے ہیں۔")</f>
        <v>وہ بھاگ رہے ہیں۔</v>
      </c>
      <c r="N138" s="2" t="str">
        <f>IFERROR(__xludf.DUMMYFUNCTION("GOOGLETRANSLATE(D138,""en"",""ur"")"),"وہ خاموش بیٹھے ہیں۔")</f>
        <v>وہ خاموش بیٹھے ہیں۔</v>
      </c>
      <c r="O138" s="2" t="str">
        <f>IFERROR(__xludf.DUMMYFUNCTION("GOOGLETRANSLATE(E138,""en"",""ur"")"),"وہ لڑائی کو قدرتی رکاوٹ سے دیکھ رہے ہیں۔")</f>
        <v>وہ لڑائی کو قدرتی رکاوٹ سے دیکھ رہے ہیں۔</v>
      </c>
      <c r="P138" s="2" t="str">
        <f>IFERROR(__xludf.DUMMYFUNCTION("GOOGLETRANSLATE(F138,""en"",""ur"")"),"وہ سب ایک اسٹیج پر کھڑے ہیں۔")</f>
        <v>وہ سب ایک اسٹیج پر کھڑے ہیں۔</v>
      </c>
      <c r="Q138" s="2" t="s">
        <v>439</v>
      </c>
      <c r="R138" s="2" t="str">
        <f>IFERROR(__xludf.DUMMYFUNCTION("GOOGLETRANSLATE(G138,""en"",""ur"")"),"وہ لڑائی کو قدرتی رکاوٹ سے دیکھ رہے ہیں۔")</f>
        <v>وہ لڑائی کو قدرتی رکاوٹ سے دیکھ رہے ہیں۔</v>
      </c>
      <c r="S138" s="6" t="s">
        <v>553</v>
      </c>
    </row>
    <row r="139">
      <c r="A139" s="7">
        <v>138.0</v>
      </c>
      <c r="B139" s="6" t="s">
        <v>440</v>
      </c>
      <c r="C139" s="6" t="s">
        <v>441</v>
      </c>
      <c r="D139" s="6" t="s">
        <v>442</v>
      </c>
      <c r="E139" s="6" t="s">
        <v>443</v>
      </c>
      <c r="F139" s="6" t="s">
        <v>444</v>
      </c>
      <c r="G139" s="6" t="s">
        <v>444</v>
      </c>
      <c r="H139" s="6" t="s">
        <v>553</v>
      </c>
      <c r="K139" s="2" t="str">
        <f>IFERROR(__xludf.DUMMYFUNCTION("GOOGLETRANSLATE(A139,""en"",""ur"")"),"138")</f>
        <v>138</v>
      </c>
      <c r="L139" s="2" t="str">
        <f>IFERROR(__xludf.DUMMYFUNCTION("GOOGLETRANSLATE(B139,""en"",""ur"")"),"زمین کی ظاہری حالت کیا ہے؟")</f>
        <v>زمین کی ظاہری حالت کیا ہے؟</v>
      </c>
      <c r="M139" s="2" t="str">
        <f>IFERROR(__xludf.DUMMYFUNCTION("GOOGLETRANSLATE(C139,""en"",""ur"")"),"یہ ایک پکی سطح ہے۔")</f>
        <v>یہ ایک پکی سطح ہے۔</v>
      </c>
      <c r="N139" s="2" t="str">
        <f>IFERROR(__xludf.DUMMYFUNCTION("GOOGLETRANSLATE(D139,""en"",""ur"")"),"یہ ایک کیچڑ والا میدان ہے۔")</f>
        <v>یہ ایک کیچڑ والا میدان ہے۔</v>
      </c>
      <c r="O139" s="2" t="str">
        <f>IFERROR(__xludf.DUMMYFUNCTION("GOOGLETRANSLATE(E139,""en"",""ur"")"),"یہ ایک ریتلی یا مٹی کی سطح ہے جس میں دھول اڑتی ہے۔")</f>
        <v>یہ ایک ریتلی یا مٹی کی سطح ہے جس میں دھول اڑتی ہے۔</v>
      </c>
      <c r="P139" s="2" t="str">
        <f>IFERROR(__xludf.DUMMYFUNCTION("GOOGLETRANSLATE(F139,""en"",""ur"")"),"یہ ایک گھاس والی سطح ہے۔")</f>
        <v>یہ ایک گھاس والی سطح ہے۔</v>
      </c>
      <c r="Q139" s="2" t="s">
        <v>445</v>
      </c>
      <c r="R139" s="2" t="str">
        <f>IFERROR(__xludf.DUMMYFUNCTION("GOOGLETRANSLATE(G139,""en"",""ur"")"),"یہ ایک گھاس والی سطح ہے۔")</f>
        <v>یہ ایک گھاس والی سطح ہے۔</v>
      </c>
      <c r="S139" s="6" t="s">
        <v>553</v>
      </c>
    </row>
    <row r="140">
      <c r="A140" s="7">
        <v>139.0</v>
      </c>
      <c r="B140" s="6" t="s">
        <v>558</v>
      </c>
      <c r="C140" s="6" t="s">
        <v>447</v>
      </c>
      <c r="D140" s="6" t="s">
        <v>448</v>
      </c>
      <c r="E140" s="6" t="s">
        <v>449</v>
      </c>
      <c r="F140" s="6" t="s">
        <v>450</v>
      </c>
      <c r="G140" s="6" t="s">
        <v>448</v>
      </c>
      <c r="H140" s="6" t="s">
        <v>553</v>
      </c>
      <c r="K140" s="2" t="str">
        <f>IFERROR(__xludf.DUMMYFUNCTION("GOOGLETRANSLATE(A140,""en"",""ur"")"),"139")</f>
        <v>139</v>
      </c>
      <c r="L140" s="2" t="str">
        <f>IFERROR(__xludf.DUMMYFUNCTION("GOOGLETRANSLATE(B140,""en"",""ur"")"),"نیزے کا بنیادی مقصد کیا ہے؟")</f>
        <v>نیزے کا بنیادی مقصد کیا ہے؟</v>
      </c>
      <c r="M140" s="2" t="str">
        <f>IFERROR(__xludf.DUMMYFUNCTION("GOOGLETRANSLATE(C140,""en"",""ur"")"),"تلوار کے وار کو روکنے کے لیے")</f>
        <v>تلوار کے وار کو روکنے کے لیے</v>
      </c>
      <c r="N140" s="2" t="str">
        <f>IFERROR(__xludf.DUMMYFUNCTION("GOOGLETRANSLATE(D140,""en"",""ur"")"),"ہتھیار رکھنے کے لیے")</f>
        <v>ہتھیار رکھنے کے لیے</v>
      </c>
      <c r="O140" s="2" t="str">
        <f>IFERROR(__xludf.DUMMYFUNCTION("GOOGLETRANSLATE(E140,""en"",""ur"")"),"صرف سجاوٹ کے لیے")</f>
        <v>صرف سجاوٹ کے لیے</v>
      </c>
      <c r="P140" s="2" t="str">
        <f>IFERROR(__xludf.DUMMYFUNCTION("GOOGLETRANSLATE(F140,""en"",""ur"")"),"سورج کو روکنے کے لئے")</f>
        <v>سورج کو روکنے کے لئے</v>
      </c>
      <c r="Q140" s="2" t="s">
        <v>451</v>
      </c>
      <c r="R140" s="2" t="str">
        <f>IFERROR(__xludf.DUMMYFUNCTION("GOOGLETRANSLATE(G140,""en"",""ur"")"),"ہتھیار رکھنے کے لیے")</f>
        <v>ہتھیار رکھنے کے لیے</v>
      </c>
      <c r="S140" s="6" t="s">
        <v>553</v>
      </c>
    </row>
    <row r="141">
      <c r="A141" s="7">
        <v>140.0</v>
      </c>
      <c r="B141" s="6" t="s">
        <v>452</v>
      </c>
      <c r="C141" s="6" t="s">
        <v>453</v>
      </c>
      <c r="D141" s="6" t="s">
        <v>454</v>
      </c>
      <c r="E141" s="6" t="s">
        <v>455</v>
      </c>
      <c r="F141" s="6" t="s">
        <v>456</v>
      </c>
      <c r="G141" s="6" t="s">
        <v>455</v>
      </c>
      <c r="H141" s="6" t="s">
        <v>553</v>
      </c>
      <c r="K141" s="2" t="str">
        <f>IFERROR(__xludf.DUMMYFUNCTION("GOOGLETRANSLATE(A141,""en"",""ur"")"),"140")</f>
        <v>140</v>
      </c>
      <c r="L141" s="2" t="str">
        <f>IFERROR(__xludf.DUMMYFUNCTION("GOOGLETRANSLATE(B141,""en"",""ur"")"),"ایونٹ کا مجموعی موڈ ایسا لگتا ہے...")</f>
        <v>ایونٹ کا مجموعی موڈ ایسا لگتا ہے...</v>
      </c>
      <c r="M141" s="2" t="str">
        <f>IFERROR(__xludf.DUMMYFUNCTION("GOOGLETRANSLATE(C141,""en"",""ur"")"),"ایک آرام دہ مشق سیشن")</f>
        <v>ایک آرام دہ مشق سیشن</v>
      </c>
      <c r="N141" s="2" t="str">
        <f>IFERROR(__xludf.DUMMYFUNCTION("GOOGLETRANSLATE(D141,""en"",""ur"")"),"ایک تناؤ اور جارحانہ کارکردگی")</f>
        <v>ایک تناؤ اور جارحانہ کارکردگی</v>
      </c>
      <c r="O141" s="2" t="str">
        <f>IFERROR(__xludf.DUMMYFUNCTION("GOOGLETRANSLATE(E141,""en"",""ur"")"),"ایک پرسکون، پرامن اجتماع")</f>
        <v>ایک پرسکون، پرامن اجتماع</v>
      </c>
      <c r="P141" s="2" t="str">
        <f>IFERROR(__xludf.DUMMYFUNCTION("GOOGLETRANSLATE(F141,""en"",""ur"")"),"ایک سست، رسمی رقص")</f>
        <v>ایک سست، رسمی رقص</v>
      </c>
      <c r="Q141" s="2" t="s">
        <v>457</v>
      </c>
      <c r="R141" s="2" t="str">
        <f>IFERROR(__xludf.DUMMYFUNCTION("GOOGLETRANSLATE(G141,""en"",""ur"")"),"ایک پرسکون، پرامن اجتماع")</f>
        <v>ایک پرسکون، پرامن اجتماع</v>
      </c>
      <c r="S141" s="6" t="s">
        <v>553</v>
      </c>
    </row>
    <row r="142">
      <c r="A142" s="7">
        <v>141.0</v>
      </c>
      <c r="B142" s="6" t="s">
        <v>559</v>
      </c>
      <c r="C142" s="6" t="s">
        <v>405</v>
      </c>
      <c r="D142" s="6" t="s">
        <v>406</v>
      </c>
      <c r="E142" s="6" t="s">
        <v>407</v>
      </c>
      <c r="F142" s="6" t="s">
        <v>408</v>
      </c>
      <c r="G142" s="6" t="s">
        <v>405</v>
      </c>
      <c r="H142" s="6" t="s">
        <v>560</v>
      </c>
      <c r="K142" s="2" t="str">
        <f>IFERROR(__xludf.DUMMYFUNCTION("GOOGLETRANSLATE(A142,""en"",""ur"")"),"141")</f>
        <v>141</v>
      </c>
      <c r="L142" s="2" t="str">
        <f>IFERROR(__xludf.DUMMYFUNCTION("GOOGLETRANSLATE(B142,""en"",""ur"")"),"گٹکا_20 میں دکھایا گیا اہم عمل کیا ہے؟")</f>
        <v>گٹکا_20 میں دکھایا گیا اہم عمل کیا ہے؟</v>
      </c>
      <c r="M142" s="2" t="str">
        <f>IFERROR(__xludf.DUMMYFUNCTION("GOOGLETRANSLATE(C142,""en"",""ur"")"),"دو آدمی تلواروں سے لڑ رہے ہیں۔")</f>
        <v>دو آدمی تلواروں سے لڑ رہے ہیں۔</v>
      </c>
      <c r="N142" s="2" t="str">
        <f>IFERROR(__xludf.DUMMYFUNCTION("GOOGLETRANSLATE(D142,""en"",""ur"")"),"دو آدمی ناچ رہے ہیں۔")</f>
        <v>دو آدمی ناچ رہے ہیں۔</v>
      </c>
      <c r="O142" s="2" t="str">
        <f>IFERROR(__xludf.DUMMYFUNCTION("GOOGLETRANSLATE(E142,""en"",""ur"")"),"دو آدمی سہارے کے ساتھ پوز دے رہے ہیں۔")</f>
        <v>دو آدمی سہارے کے ساتھ پوز دے رہے ہیں۔</v>
      </c>
      <c r="P142" s="2" t="str">
        <f>IFERROR(__xludf.DUMMYFUNCTION("GOOGLETRANSLATE(F142,""en"",""ur"")"),"دو آدمی کشتی کرتے ہوئے۔")</f>
        <v>دو آدمی کشتی کرتے ہوئے۔</v>
      </c>
      <c r="Q142" s="2" t="s">
        <v>460</v>
      </c>
      <c r="R142" s="2" t="str">
        <f>IFERROR(__xludf.DUMMYFUNCTION("GOOGLETRANSLATE(G142,""en"",""ur"")"),"دو آدمی تلواروں سے لڑ رہے ہیں۔")</f>
        <v>دو آدمی تلواروں سے لڑ رہے ہیں۔</v>
      </c>
      <c r="S142" s="6" t="s">
        <v>560</v>
      </c>
    </row>
    <row r="143">
      <c r="A143" s="7">
        <v>142.0</v>
      </c>
      <c r="B143" s="6" t="s">
        <v>487</v>
      </c>
      <c r="C143" s="6" t="s">
        <v>488</v>
      </c>
      <c r="D143" s="6" t="s">
        <v>561</v>
      </c>
      <c r="E143" s="6" t="s">
        <v>334</v>
      </c>
      <c r="F143" s="6" t="s">
        <v>413</v>
      </c>
      <c r="G143" s="6" t="s">
        <v>562</v>
      </c>
      <c r="H143" s="6" t="s">
        <v>560</v>
      </c>
      <c r="K143" s="2" t="str">
        <f>IFERROR(__xludf.DUMMYFUNCTION("GOOGLETRANSLATE(A143,""en"",""ur"")"),"142")</f>
        <v>142</v>
      </c>
      <c r="L143" s="2" t="str">
        <f>IFERROR(__xludf.DUMMYFUNCTION("GOOGLETRANSLATE(B143,""en"",""ur"")"),"جنگجوؤں کے لباس کے بارے میں ایک قابل ذکر تفصیل کیا ہے؟")</f>
        <v>جنگجوؤں کے لباس کے بارے میں ایک قابل ذکر تفصیل کیا ہے؟</v>
      </c>
      <c r="M143" s="2" t="str">
        <f>IFERROR(__xludf.DUMMYFUNCTION("GOOGLETRANSLATE(C143,""en"",""ur"")"),"انہوں نے بکتر کا پورا سوٹ پہن رکھا ہے۔")</f>
        <v>انہوں نے بکتر کا پورا سوٹ پہن رکھا ہے۔</v>
      </c>
      <c r="N143" s="2" t="str">
        <f>IFERROR(__xludf.DUMMYFUNCTION("GOOGLETRANSLATE(D143,""en"",""ur"")"),"انہوں نے نارنجی رنگ کا ایک لمبا، سیاہ لباس پہن رکھا ہے۔")</f>
        <v>انہوں نے نارنجی رنگ کا ایک لمبا، سیاہ لباس پہن رکھا ہے۔</v>
      </c>
      <c r="O143" s="2" t="str">
        <f>IFERROR(__xludf.DUMMYFUNCTION("GOOGLETRANSLATE(E143,""en"",""ur"")"),"اس نے شارٹس اور ٹی شرٹ پہن رکھی ہے۔")</f>
        <v>اس نے شارٹس اور ٹی شرٹ پہن رکھی ہے۔</v>
      </c>
      <c r="P143" s="2" t="str">
        <f>IFERROR(__xludf.DUMMYFUNCTION("GOOGLETRANSLATE(F143,""en"",""ur"")"),"اس نے پولیس کی وردی پہن رکھی ہے۔")</f>
        <v>اس نے پولیس کی وردی پہن رکھی ہے۔</v>
      </c>
      <c r="Q143" s="2" t="s">
        <v>563</v>
      </c>
      <c r="R143" s="2" t="str">
        <f>IFERROR(__xludf.DUMMYFUNCTION("GOOGLETRANSLATE(G143,""en"",""ur"")"),"اس نے نارنجی رنگ کا ایک لمبا، سیاہ لباس پہن رکھا ہے۔")</f>
        <v>اس نے نارنجی رنگ کا ایک لمبا، سیاہ لباس پہن رکھا ہے۔</v>
      </c>
      <c r="S143" s="6" t="s">
        <v>560</v>
      </c>
    </row>
    <row r="144">
      <c r="A144" s="7">
        <v>143.0</v>
      </c>
      <c r="B144" s="6" t="s">
        <v>415</v>
      </c>
      <c r="C144" s="6" t="s">
        <v>416</v>
      </c>
      <c r="D144" s="6" t="s">
        <v>417</v>
      </c>
      <c r="E144" s="6" t="s">
        <v>418</v>
      </c>
      <c r="F144" s="6" t="s">
        <v>419</v>
      </c>
      <c r="G144" s="6" t="s">
        <v>416</v>
      </c>
      <c r="H144" s="6" t="s">
        <v>560</v>
      </c>
      <c r="K144" s="2" t="str">
        <f>IFERROR(__xludf.DUMMYFUNCTION("GOOGLETRANSLATE(A144,""en"",""ur"")"),"143")</f>
        <v>143</v>
      </c>
      <c r="L144" s="2" t="str">
        <f>IFERROR(__xludf.DUMMYFUNCTION("GOOGLETRANSLATE(B144,""en"",""ur"")"),"جنگجوؤں کے ذریعہ استعمال ہونے والا بنیادی ہتھیار کیا ہے؟")</f>
        <v>جنگجوؤں کے ذریعہ استعمال ہونے والا بنیادی ہتھیار کیا ہے؟</v>
      </c>
      <c r="M144" s="2" t="str">
        <f>IFERROR(__xludf.DUMMYFUNCTION("GOOGLETRANSLATE(C144,""en"",""ur"")"),"ایک چھوٹی تلوار")</f>
        <v>ایک چھوٹی تلوار</v>
      </c>
      <c r="N144" s="2" t="str">
        <f>IFERROR(__xludf.DUMMYFUNCTION("GOOGLETRANSLATE(D144,""en"",""ur"")"),"ایک لمبی چھڑی")</f>
        <v>ایک لمبی چھڑی</v>
      </c>
      <c r="O144" s="2" t="str">
        <f>IFERROR(__xludf.DUMMYFUNCTION("GOOGLETRANSLATE(E144,""en"",""ur"")"),"ایک کمان اور تیر")</f>
        <v>ایک کمان اور تیر</v>
      </c>
      <c r="P144" s="2" t="str">
        <f>IFERROR(__xludf.DUMMYFUNCTION("GOOGLETRANSLATE(F144,""en"",""ur"")"),"ایک ننگی مٹھی")</f>
        <v>ایک ننگی مٹھی</v>
      </c>
      <c r="Q144" s="2" t="s">
        <v>420</v>
      </c>
      <c r="R144" s="2" t="str">
        <f>IFERROR(__xludf.DUMMYFUNCTION("GOOGLETRANSLATE(G144,""en"",""ur"")"),"ایک چھوٹی تلوار")</f>
        <v>ایک چھوٹی تلوار</v>
      </c>
      <c r="S144" s="6" t="s">
        <v>560</v>
      </c>
    </row>
    <row r="145">
      <c r="A145" s="7">
        <v>144.0</v>
      </c>
      <c r="B145" s="6" t="s">
        <v>421</v>
      </c>
      <c r="C145" s="6" t="s">
        <v>422</v>
      </c>
      <c r="D145" s="6" t="s">
        <v>423</v>
      </c>
      <c r="E145" s="6" t="s">
        <v>424</v>
      </c>
      <c r="F145" s="6" t="s">
        <v>425</v>
      </c>
      <c r="G145" s="6" t="s">
        <v>425</v>
      </c>
      <c r="H145" s="6" t="s">
        <v>560</v>
      </c>
      <c r="K145" s="2" t="str">
        <f>IFERROR(__xludf.DUMMYFUNCTION("GOOGLETRANSLATE(A145,""en"",""ur"")"),"144")</f>
        <v>144</v>
      </c>
      <c r="L145" s="2" t="str">
        <f>IFERROR(__xludf.DUMMYFUNCTION("GOOGLETRANSLATE(B145,""en"",""ur"")"),"اس لڑائی کی ترتیب کیا ہے؟")</f>
        <v>اس لڑائی کی ترتیب کیا ہے؟</v>
      </c>
      <c r="M145" s="2" t="str">
        <f>IFERROR(__xludf.DUMMYFUNCTION("GOOGLETRANSLATE(C145,""en"",""ur"")"),"ایک انڈور اسٹیڈیم")</f>
        <v>ایک انڈور اسٹیڈیم</v>
      </c>
      <c r="N145" s="2" t="str">
        <f>IFERROR(__xludf.DUMMYFUNCTION("GOOGLETRANSLATE(D145,""en"",""ur"")"),"ایک دیہی، بیرونی علاقہ")</f>
        <v>ایک دیہی، بیرونی علاقہ</v>
      </c>
      <c r="O145" s="2" t="str">
        <f>IFERROR(__xludf.DUMMYFUNCTION("GOOGLETRANSLATE(E145,""en"",""ur"")"),"شہر کی مصروف گلی")</f>
        <v>شہر کی مصروف گلی</v>
      </c>
      <c r="P145" s="2" t="str">
        <f>IFERROR(__xludf.DUMMYFUNCTION("GOOGLETRANSLATE(F145,""en"",""ur"")"),"گھاس کا میدان")</f>
        <v>گھاس کا میدان</v>
      </c>
      <c r="Q145" s="2" t="s">
        <v>426</v>
      </c>
      <c r="R145" s="2" t="str">
        <f>IFERROR(__xludf.DUMMYFUNCTION("GOOGLETRANSLATE(G145,""en"",""ur"")"),"گھاس کا میدان")</f>
        <v>گھاس کا میدان</v>
      </c>
      <c r="S145" s="6" t="s">
        <v>560</v>
      </c>
    </row>
    <row r="146">
      <c r="A146" s="7">
        <v>145.0</v>
      </c>
      <c r="B146" s="6" t="s">
        <v>427</v>
      </c>
      <c r="C146" s="6" t="s">
        <v>47</v>
      </c>
      <c r="D146" s="6" t="s">
        <v>48</v>
      </c>
      <c r="E146" s="6" t="s">
        <v>49</v>
      </c>
      <c r="F146" s="6" t="s">
        <v>50</v>
      </c>
      <c r="G146" s="6" t="s">
        <v>49</v>
      </c>
      <c r="H146" s="6" t="s">
        <v>560</v>
      </c>
      <c r="K146" s="2" t="str">
        <f>IFERROR(__xludf.DUMMYFUNCTION("GOOGLETRANSLATE(A146,""en"",""ur"")"),"145")</f>
        <v>145</v>
      </c>
      <c r="L146" s="2" t="str">
        <f>IFERROR(__xludf.DUMMYFUNCTION("GOOGLETRANSLATE(B146,""en"",""ur"")"),"جنگجوؤں کے ظاہری جذبات کیا ہیں؟")</f>
        <v>جنگجوؤں کے ظاہری جذبات کیا ہیں؟</v>
      </c>
      <c r="M146" s="2" t="str">
        <f>IFERROR(__xludf.DUMMYFUNCTION("GOOGLETRANSLATE(C146,""en"",""ur"")"),"پرسکون اور پر سکون")</f>
        <v>پرسکون اور پر سکون</v>
      </c>
      <c r="N146" s="2" t="str">
        <f>IFERROR(__xludf.DUMMYFUNCTION("GOOGLETRANSLATE(D146,""en"",""ur"")"),"خوف زدہ اور بے چین")</f>
        <v>خوف زدہ اور بے چین</v>
      </c>
      <c r="O146" s="2" t="str">
        <f>IFERROR(__xludf.DUMMYFUNCTION("GOOGLETRANSLATE(E146,""en"",""ur"")"),"کشیدہ اور شدید")</f>
        <v>کشیدہ اور شدید</v>
      </c>
      <c r="P146" s="2" t="str">
        <f>IFERROR(__xludf.DUMMYFUNCTION("GOOGLETRANSLATE(F146,""en"",""ur"")"),"خوش اور مسکراتے ہوئے۔")</f>
        <v>خوش اور مسکراتے ہوئے۔</v>
      </c>
      <c r="Q146" s="2" t="s">
        <v>51</v>
      </c>
      <c r="R146" s="2" t="str">
        <f>IFERROR(__xludf.DUMMYFUNCTION("GOOGLETRANSLATE(G146,""en"",""ur"")"),"کشیدہ اور شدید")</f>
        <v>کشیدہ اور شدید</v>
      </c>
      <c r="S146" s="6" t="s">
        <v>560</v>
      </c>
    </row>
    <row r="147">
      <c r="A147" s="7">
        <v>146.0</v>
      </c>
      <c r="B147" s="6" t="s">
        <v>428</v>
      </c>
      <c r="C147" s="6" t="s">
        <v>429</v>
      </c>
      <c r="D147" s="6" t="s">
        <v>430</v>
      </c>
      <c r="E147" s="6" t="s">
        <v>431</v>
      </c>
      <c r="F147" s="6" t="s">
        <v>432</v>
      </c>
      <c r="G147" s="6" t="s">
        <v>430</v>
      </c>
      <c r="H147" s="6" t="s">
        <v>560</v>
      </c>
      <c r="K147" s="2" t="str">
        <f>IFERROR(__xludf.DUMMYFUNCTION("GOOGLETRANSLATE(A147,""en"",""ur"")"),"146")</f>
        <v>146</v>
      </c>
      <c r="L147" s="2" t="str">
        <f>IFERROR(__xludf.DUMMYFUNCTION("GOOGLETRANSLATE(B147,""en"",""ur"")"),"جنگجوؤں کی ظاہری باڈی پوزیشن کیا ہے؟")</f>
        <v>جنگجوؤں کی ظاہری باڈی پوزیشن کیا ہے؟</v>
      </c>
      <c r="M147" s="2" t="str">
        <f>IFERROR(__xludf.DUMMYFUNCTION("GOOGLETRANSLATE(C147,""en"",""ur"")"),"سیدھا کھڑا ہونا")</f>
        <v>سیدھا کھڑا ہونا</v>
      </c>
      <c r="N147" s="2" t="str">
        <f>IFERROR(__xludf.DUMMYFUNCTION("GOOGLETRANSLATE(D147,""en"",""ur"")"),"کم، متحرک موقف میں")</f>
        <v>کم، متحرک موقف میں</v>
      </c>
      <c r="O147" s="2" t="str">
        <f>IFERROR(__xludf.DUMMYFUNCTION("GOOGLETRANSLATE(E147,""en"",""ur"")"),"زمین پر لیٹنا")</f>
        <v>زمین پر لیٹنا</v>
      </c>
      <c r="P147" s="2" t="str">
        <f>IFERROR(__xludf.DUMMYFUNCTION("GOOGLETRANSLATE(F147,""en"",""ur"")"),"بیٹھا ہوا")</f>
        <v>بیٹھا ہوا</v>
      </c>
      <c r="Q147" s="2" t="s">
        <v>433</v>
      </c>
      <c r="R147" s="2" t="str">
        <f>IFERROR(__xludf.DUMMYFUNCTION("GOOGLETRANSLATE(G147,""en"",""ur"")"),"کم، متحرک موقف میں")</f>
        <v>کم، متحرک موقف میں</v>
      </c>
      <c r="S147" s="6" t="s">
        <v>560</v>
      </c>
    </row>
    <row r="148">
      <c r="A148" s="7">
        <v>147.0</v>
      </c>
      <c r="B148" s="6" t="s">
        <v>434</v>
      </c>
      <c r="C148" s="6" t="s">
        <v>435</v>
      </c>
      <c r="D148" s="6" t="s">
        <v>436</v>
      </c>
      <c r="E148" s="6" t="s">
        <v>437</v>
      </c>
      <c r="F148" s="6" t="s">
        <v>438</v>
      </c>
      <c r="G148" s="6" t="s">
        <v>437</v>
      </c>
      <c r="H148" s="6" t="s">
        <v>560</v>
      </c>
      <c r="K148" s="2" t="str">
        <f>IFERROR(__xludf.DUMMYFUNCTION("GOOGLETRANSLATE(A148,""en"",""ur"")"),"147")</f>
        <v>147</v>
      </c>
      <c r="L148" s="2" t="str">
        <f>IFERROR(__xludf.DUMMYFUNCTION("GOOGLETRANSLATE(B148,""en"",""ur"")"),"پس منظر میں ہجوم کی سب سے نمایاں خصوصیت کیا ہے؟")</f>
        <v>پس منظر میں ہجوم کی سب سے نمایاں خصوصیت کیا ہے؟</v>
      </c>
      <c r="M148" s="2" t="str">
        <f>IFERROR(__xludf.DUMMYFUNCTION("GOOGLETRANSLATE(C148,""en"",""ur"")"),"وہ بھاگ رہے ہیں۔")</f>
        <v>وہ بھاگ رہے ہیں۔</v>
      </c>
      <c r="N148" s="2" t="str">
        <f>IFERROR(__xludf.DUMMYFUNCTION("GOOGLETRANSLATE(D148,""en"",""ur"")"),"وہ خاموش بیٹھے ہیں۔")</f>
        <v>وہ خاموش بیٹھے ہیں۔</v>
      </c>
      <c r="O148" s="2" t="str">
        <f>IFERROR(__xludf.DUMMYFUNCTION("GOOGLETRANSLATE(E148,""en"",""ur"")"),"وہ لڑائی کو قدرتی رکاوٹ سے دیکھ رہے ہیں۔")</f>
        <v>وہ لڑائی کو قدرتی رکاوٹ سے دیکھ رہے ہیں۔</v>
      </c>
      <c r="P148" s="2" t="str">
        <f>IFERROR(__xludf.DUMMYFUNCTION("GOOGLETRANSLATE(F148,""en"",""ur"")"),"وہ سب ایک اسٹیج پر کھڑے ہیں۔")</f>
        <v>وہ سب ایک اسٹیج پر کھڑے ہیں۔</v>
      </c>
      <c r="Q148" s="2" t="s">
        <v>439</v>
      </c>
      <c r="R148" s="2" t="str">
        <f>IFERROR(__xludf.DUMMYFUNCTION("GOOGLETRANSLATE(G148,""en"",""ur"")"),"وہ لڑائی کو قدرتی رکاوٹ سے دیکھ رہے ہیں۔")</f>
        <v>وہ لڑائی کو قدرتی رکاوٹ سے دیکھ رہے ہیں۔</v>
      </c>
      <c r="S148" s="6" t="s">
        <v>560</v>
      </c>
    </row>
    <row r="149">
      <c r="A149" s="7">
        <v>148.0</v>
      </c>
      <c r="B149" s="6" t="s">
        <v>440</v>
      </c>
      <c r="C149" s="6" t="s">
        <v>441</v>
      </c>
      <c r="D149" s="6" t="s">
        <v>442</v>
      </c>
      <c r="E149" s="6" t="s">
        <v>443</v>
      </c>
      <c r="F149" s="6" t="s">
        <v>444</v>
      </c>
      <c r="G149" s="6" t="s">
        <v>444</v>
      </c>
      <c r="H149" s="6" t="s">
        <v>560</v>
      </c>
      <c r="K149" s="2" t="str">
        <f>IFERROR(__xludf.DUMMYFUNCTION("GOOGLETRANSLATE(A149,""en"",""ur"")"),"148")</f>
        <v>148</v>
      </c>
      <c r="L149" s="2" t="str">
        <f>IFERROR(__xludf.DUMMYFUNCTION("GOOGLETRANSLATE(B149,""en"",""ur"")"),"زمین کی ظاہری حالت کیا ہے؟")</f>
        <v>زمین کی ظاہری حالت کیا ہے؟</v>
      </c>
      <c r="M149" s="2" t="str">
        <f>IFERROR(__xludf.DUMMYFUNCTION("GOOGLETRANSLATE(C149,""en"",""ur"")"),"یہ ایک پکی سطح ہے۔")</f>
        <v>یہ ایک پکی سطح ہے۔</v>
      </c>
      <c r="N149" s="2" t="str">
        <f>IFERROR(__xludf.DUMMYFUNCTION("GOOGLETRANSLATE(D149,""en"",""ur"")"),"یہ ایک کیچڑ والا میدان ہے۔")</f>
        <v>یہ ایک کیچڑ والا میدان ہے۔</v>
      </c>
      <c r="O149" s="2" t="str">
        <f>IFERROR(__xludf.DUMMYFUNCTION("GOOGLETRANSLATE(E149,""en"",""ur"")"),"یہ ایک ریتلی یا مٹی کی سطح ہے جس میں دھول اڑتی ہے۔")</f>
        <v>یہ ایک ریتلی یا مٹی کی سطح ہے جس میں دھول اڑتی ہے۔</v>
      </c>
      <c r="P149" s="2" t="str">
        <f>IFERROR(__xludf.DUMMYFUNCTION("GOOGLETRANSLATE(F149,""en"",""ur"")"),"یہ ایک گھاس والی سطح ہے۔")</f>
        <v>یہ ایک گھاس والی سطح ہے۔</v>
      </c>
      <c r="Q149" s="2" t="s">
        <v>445</v>
      </c>
      <c r="R149" s="2" t="str">
        <f>IFERROR(__xludf.DUMMYFUNCTION("GOOGLETRANSLATE(G149,""en"",""ur"")"),"یہ ایک گھاس والی سطح ہے۔")</f>
        <v>یہ ایک گھاس والی سطح ہے۔</v>
      </c>
      <c r="S149" s="6" t="s">
        <v>560</v>
      </c>
    </row>
    <row r="150">
      <c r="A150" s="7">
        <v>149.0</v>
      </c>
      <c r="B150" s="6" t="s">
        <v>446</v>
      </c>
      <c r="C150" s="6" t="s">
        <v>447</v>
      </c>
      <c r="D150" s="6" t="s">
        <v>448</v>
      </c>
      <c r="E150" s="6" t="s">
        <v>449</v>
      </c>
      <c r="F150" s="6" t="s">
        <v>450</v>
      </c>
      <c r="G150" s="6" t="s">
        <v>447</v>
      </c>
      <c r="H150" s="6" t="s">
        <v>560</v>
      </c>
      <c r="K150" s="2" t="str">
        <f>IFERROR(__xludf.DUMMYFUNCTION("GOOGLETRANSLATE(A150,""en"",""ur"")"),"149")</f>
        <v>149</v>
      </c>
      <c r="L150" s="2" t="str">
        <f>IFERROR(__xludf.DUMMYFUNCTION("GOOGLETRANSLATE(B150,""en"",""ur"")"),"ڈھال کا بنیادی مقصد کیا ہے جو ہر لڑاکا پکڑے ہوئے ہے؟")</f>
        <v>ڈھال کا بنیادی مقصد کیا ہے جو ہر لڑاکا پکڑے ہوئے ہے؟</v>
      </c>
      <c r="M150" s="2" t="str">
        <f>IFERROR(__xludf.DUMMYFUNCTION("GOOGLETRANSLATE(C150,""en"",""ur"")"),"تلوار کے وار کو روکنے کے لیے")</f>
        <v>تلوار کے وار کو روکنے کے لیے</v>
      </c>
      <c r="N150" s="2" t="str">
        <f>IFERROR(__xludf.DUMMYFUNCTION("GOOGLETRANSLATE(D150,""en"",""ur"")"),"ہتھیار رکھنے کے لیے")</f>
        <v>ہتھیار رکھنے کے لیے</v>
      </c>
      <c r="O150" s="2" t="str">
        <f>IFERROR(__xludf.DUMMYFUNCTION("GOOGLETRANSLATE(E150,""en"",""ur"")"),"صرف سجاوٹ کے لیے")</f>
        <v>صرف سجاوٹ کے لیے</v>
      </c>
      <c r="P150" s="2" t="str">
        <f>IFERROR(__xludf.DUMMYFUNCTION("GOOGLETRANSLATE(F150,""en"",""ur"")"),"سورج کو روکنے کے لئے")</f>
        <v>سورج کو روکنے کے لئے</v>
      </c>
      <c r="Q150" s="2" t="s">
        <v>451</v>
      </c>
      <c r="R150" s="2" t="str">
        <f>IFERROR(__xludf.DUMMYFUNCTION("GOOGLETRANSLATE(G150,""en"",""ur"")"),"تلوار کے وار کو روکنے کے لیے")</f>
        <v>تلوار کے وار کو روکنے کے لیے</v>
      </c>
      <c r="S150" s="6" t="s">
        <v>560</v>
      </c>
    </row>
    <row r="151">
      <c r="A151" s="7">
        <v>150.0</v>
      </c>
      <c r="B151" s="6" t="s">
        <v>452</v>
      </c>
      <c r="C151" s="6" t="s">
        <v>453</v>
      </c>
      <c r="D151" s="6" t="s">
        <v>454</v>
      </c>
      <c r="E151" s="6" t="s">
        <v>455</v>
      </c>
      <c r="F151" s="6" t="s">
        <v>456</v>
      </c>
      <c r="G151" s="6" t="s">
        <v>454</v>
      </c>
      <c r="H151" s="6" t="s">
        <v>560</v>
      </c>
      <c r="K151" s="2" t="str">
        <f>IFERROR(__xludf.DUMMYFUNCTION("GOOGLETRANSLATE(A151,""en"",""ur"")"),"150")</f>
        <v>150</v>
      </c>
      <c r="L151" s="2" t="str">
        <f>IFERROR(__xludf.DUMMYFUNCTION("GOOGLETRANSLATE(B151,""en"",""ur"")"),"ایونٹ کا مجموعی موڈ ایسا لگتا ہے...")</f>
        <v>ایونٹ کا مجموعی موڈ ایسا لگتا ہے...</v>
      </c>
      <c r="M151" s="2" t="str">
        <f>IFERROR(__xludf.DUMMYFUNCTION("GOOGLETRANSLATE(C151,""en"",""ur"")"),"ایک آرام دہ مشق سیشن")</f>
        <v>ایک آرام دہ مشق سیشن</v>
      </c>
      <c r="N151" s="2" t="str">
        <f>IFERROR(__xludf.DUMMYFUNCTION("GOOGLETRANSLATE(D151,""en"",""ur"")"),"ایک تناؤ اور جارحانہ کارکردگی")</f>
        <v>ایک تناؤ اور جارحانہ کارکردگی</v>
      </c>
      <c r="O151" s="2" t="str">
        <f>IFERROR(__xludf.DUMMYFUNCTION("GOOGLETRANSLATE(E151,""en"",""ur"")"),"ایک پرسکون، پرامن اجتماع")</f>
        <v>ایک پرسکون، پرامن اجتماع</v>
      </c>
      <c r="P151" s="2" t="str">
        <f>IFERROR(__xludf.DUMMYFUNCTION("GOOGLETRANSLATE(F151,""en"",""ur"")"),"ایک سست، رسمی رقص")</f>
        <v>ایک سست، رسمی رقص</v>
      </c>
      <c r="Q151" s="2" t="s">
        <v>457</v>
      </c>
      <c r="R151" s="2" t="str">
        <f>IFERROR(__xludf.DUMMYFUNCTION("GOOGLETRANSLATE(G151,""en"",""ur"")"),"ایک تناؤ اور جارحانہ کارکردگی")</f>
        <v>ایک تناؤ اور جارحانہ کارکردگی</v>
      </c>
      <c r="S151" s="6" t="s">
        <v>560</v>
      </c>
    </row>
    <row r="152">
      <c r="A152" s="7">
        <v>151.0</v>
      </c>
      <c r="B152" s="6" t="s">
        <v>564</v>
      </c>
      <c r="C152" s="6" t="s">
        <v>406</v>
      </c>
      <c r="D152" s="6" t="s">
        <v>565</v>
      </c>
      <c r="E152" s="6" t="s">
        <v>566</v>
      </c>
      <c r="F152" s="6" t="s">
        <v>567</v>
      </c>
      <c r="G152" s="6" t="s">
        <v>565</v>
      </c>
      <c r="H152" s="6" t="s">
        <v>568</v>
      </c>
      <c r="K152" s="2" t="str">
        <f>IFERROR(__xludf.DUMMYFUNCTION("GOOGLETRANSLATE(A152,""en"",""ur"")"),"151")</f>
        <v>151</v>
      </c>
      <c r="L152" s="2" t="str">
        <f>IFERROR(__xludf.DUMMYFUNCTION("GOOGLETRANSLATE(B152,""en"",""ur"")"),"گٹکا_51 میں دکھایا گیا اہم عمل کیا ہے؟")</f>
        <v>گٹکا_51 میں دکھایا گیا اہم عمل کیا ہے؟</v>
      </c>
      <c r="M152" s="2" t="str">
        <f>IFERROR(__xludf.DUMMYFUNCTION("GOOGLETRANSLATE(C152,""en"",""ur"")"),"دو آدمی ناچ رہے ہیں۔")</f>
        <v>دو آدمی ناچ رہے ہیں۔</v>
      </c>
      <c r="N152" s="2" t="str">
        <f>IFERROR(__xludf.DUMMYFUNCTION("GOOGLETRANSLATE(D152,""en"",""ur"")"),"ہم وقت ساز موقف میں مارشل آرٹسٹوں کا ایک گروپ")</f>
        <v>ہم وقت ساز موقف میں مارشل آرٹسٹوں کا ایک گروپ</v>
      </c>
      <c r="O152" s="2" t="str">
        <f>IFERROR(__xludf.DUMMYFUNCTION("GOOGLETRANSLATE(E152,""en"",""ur"")"),"مارشل آرٹسٹوں کا ایک گروپ لڑ رہا ہے۔")</f>
        <v>مارشل آرٹسٹوں کا ایک گروپ لڑ رہا ہے۔</v>
      </c>
      <c r="P152" s="2" t="str">
        <f>IFERROR(__xludf.DUMMYFUNCTION("GOOGLETRANSLATE(F152,""en"",""ur"")"),"مارشل آرٹسٹوں کا ایک گروپ ریسلنگ")</f>
        <v>مارشل آرٹسٹوں کا ایک گروپ ریسلنگ</v>
      </c>
      <c r="Q152" s="2" t="s">
        <v>569</v>
      </c>
      <c r="R152" s="2" t="str">
        <f>IFERROR(__xludf.DUMMYFUNCTION("GOOGLETRANSLATE(G152,""en"",""ur"")"),"ہم وقت ساز موقف میں مارشل آرٹسٹوں کا ایک گروپ")</f>
        <v>ہم وقت ساز موقف میں مارشل آرٹسٹوں کا ایک گروپ</v>
      </c>
      <c r="S152" s="6" t="s">
        <v>568</v>
      </c>
    </row>
    <row r="153">
      <c r="A153" s="7">
        <v>152.0</v>
      </c>
      <c r="B153" s="6" t="s">
        <v>570</v>
      </c>
      <c r="C153" s="6" t="s">
        <v>488</v>
      </c>
      <c r="D153" s="6" t="s">
        <v>571</v>
      </c>
      <c r="E153" s="6" t="s">
        <v>334</v>
      </c>
      <c r="F153" s="6" t="s">
        <v>413</v>
      </c>
      <c r="G153" s="6" t="s">
        <v>571</v>
      </c>
      <c r="H153" s="6" t="s">
        <v>568</v>
      </c>
      <c r="K153" s="2" t="str">
        <f>IFERROR(__xludf.DUMMYFUNCTION("GOOGLETRANSLATE(A153,""en"",""ur"")"),"152")</f>
        <v>152</v>
      </c>
      <c r="L153" s="2" t="str">
        <f>IFERROR(__xludf.DUMMYFUNCTION("GOOGLETRANSLATE(B153,""en"",""ur"")"),"مارشل آرٹسٹوں کے لباس کے بارے میں ایک قابل ذکر تفصیل کیا ہے؟")</f>
        <v>مارشل آرٹسٹوں کے لباس کے بارے میں ایک قابل ذکر تفصیل کیا ہے؟</v>
      </c>
      <c r="M153" s="2" t="str">
        <f>IFERROR(__xludf.DUMMYFUNCTION("GOOGLETRANSLATE(C153,""en"",""ur"")"),"انہوں نے بکتر کا پورا سوٹ پہن رکھا ہے۔")</f>
        <v>انہوں نے بکتر کا پورا سوٹ پہن رکھا ہے۔</v>
      </c>
      <c r="N153" s="2" t="str">
        <f>IFERROR(__xludf.DUMMYFUNCTION("GOOGLETRANSLATE(D153,""en"",""ur"")"),"انہوں نے ایک لمبا، سیاہ لباس پہنے ہوئے ہیں جس میں سرخ شیش ہیں۔")</f>
        <v>انہوں نے ایک لمبا، سیاہ لباس پہنے ہوئے ہیں جس میں سرخ شیش ہیں۔</v>
      </c>
      <c r="O153" s="2" t="str">
        <f>IFERROR(__xludf.DUMMYFUNCTION("GOOGLETRANSLATE(E153,""en"",""ur"")"),"اس نے شارٹس اور ٹی شرٹ پہن رکھی ہے۔")</f>
        <v>اس نے شارٹس اور ٹی شرٹ پہن رکھی ہے۔</v>
      </c>
      <c r="P153" s="2" t="str">
        <f>IFERROR(__xludf.DUMMYFUNCTION("GOOGLETRANSLATE(F153,""en"",""ur"")"),"اس نے پولیس کی وردی پہن رکھی ہے۔")</f>
        <v>اس نے پولیس کی وردی پہن رکھی ہے۔</v>
      </c>
      <c r="Q153" s="2" t="s">
        <v>572</v>
      </c>
      <c r="R153" s="2" t="str">
        <f>IFERROR(__xludf.DUMMYFUNCTION("GOOGLETRANSLATE(G153,""en"",""ur"")"),"انہوں نے ایک لمبا، سیاہ لباس پہنے ہوئے ہیں جس میں سرخ شیش ہیں۔")</f>
        <v>انہوں نے ایک لمبا، سیاہ لباس پہنے ہوئے ہیں جس میں سرخ شیش ہیں۔</v>
      </c>
      <c r="S153" s="6" t="s">
        <v>568</v>
      </c>
    </row>
    <row r="154">
      <c r="A154" s="7">
        <v>153.0</v>
      </c>
      <c r="B154" s="6" t="s">
        <v>573</v>
      </c>
      <c r="C154" s="6" t="s">
        <v>416</v>
      </c>
      <c r="D154" s="6" t="s">
        <v>417</v>
      </c>
      <c r="E154" s="6" t="s">
        <v>418</v>
      </c>
      <c r="F154" s="6" t="s">
        <v>419</v>
      </c>
      <c r="G154" s="6" t="s">
        <v>416</v>
      </c>
      <c r="H154" s="6" t="s">
        <v>568</v>
      </c>
      <c r="K154" s="2" t="str">
        <f>IFERROR(__xludf.DUMMYFUNCTION("GOOGLETRANSLATE(A154,""en"",""ur"")"),"153")</f>
        <v>153</v>
      </c>
      <c r="L154" s="2" t="str">
        <f>IFERROR(__xludf.DUMMYFUNCTION("GOOGLETRANSLATE(B154,""en"",""ur"")"),"مارشل آرٹسٹ کے ذریعہ استعمال ہونے والا بنیادی ہتھیار کیا ہے؟")</f>
        <v>مارشل آرٹسٹ کے ذریعہ استعمال ہونے والا بنیادی ہتھیار کیا ہے؟</v>
      </c>
      <c r="M154" s="2" t="str">
        <f>IFERROR(__xludf.DUMMYFUNCTION("GOOGLETRANSLATE(C154,""en"",""ur"")"),"ایک چھوٹی تلوار")</f>
        <v>ایک چھوٹی تلوار</v>
      </c>
      <c r="N154" s="2" t="str">
        <f>IFERROR(__xludf.DUMMYFUNCTION("GOOGLETRANSLATE(D154,""en"",""ur"")"),"ایک لمبی چھڑی")</f>
        <v>ایک لمبی چھڑی</v>
      </c>
      <c r="O154" s="2" t="str">
        <f>IFERROR(__xludf.DUMMYFUNCTION("GOOGLETRANSLATE(E154,""en"",""ur"")"),"ایک کمان اور تیر")</f>
        <v>ایک کمان اور تیر</v>
      </c>
      <c r="P154" s="2" t="str">
        <f>IFERROR(__xludf.DUMMYFUNCTION("GOOGLETRANSLATE(F154,""en"",""ur"")"),"ایک ننگی مٹھی")</f>
        <v>ایک ننگی مٹھی</v>
      </c>
      <c r="Q154" s="2" t="s">
        <v>420</v>
      </c>
      <c r="R154" s="2" t="str">
        <f>IFERROR(__xludf.DUMMYFUNCTION("GOOGLETRANSLATE(G154,""en"",""ur"")"),"ایک چھوٹی تلوار")</f>
        <v>ایک چھوٹی تلوار</v>
      </c>
      <c r="S154" s="6" t="s">
        <v>568</v>
      </c>
    </row>
    <row r="155">
      <c r="A155" s="7">
        <v>154.0</v>
      </c>
      <c r="B155" s="6" t="s">
        <v>421</v>
      </c>
      <c r="C155" s="6" t="s">
        <v>422</v>
      </c>
      <c r="D155" s="6" t="s">
        <v>574</v>
      </c>
      <c r="E155" s="6" t="s">
        <v>424</v>
      </c>
      <c r="F155" s="6" t="s">
        <v>425</v>
      </c>
      <c r="G155" s="6" t="s">
        <v>425</v>
      </c>
      <c r="H155" s="6" t="s">
        <v>568</v>
      </c>
      <c r="K155" s="2" t="str">
        <f>IFERROR(__xludf.DUMMYFUNCTION("GOOGLETRANSLATE(A155,""en"",""ur"")"),"154")</f>
        <v>154</v>
      </c>
      <c r="L155" s="2" t="str">
        <f>IFERROR(__xludf.DUMMYFUNCTION("GOOGLETRANSLATE(B155,""en"",""ur"")"),"اس لڑائی کی ترتیب کیا ہے؟")</f>
        <v>اس لڑائی کی ترتیب کیا ہے؟</v>
      </c>
      <c r="M155" s="2" t="str">
        <f>IFERROR(__xludf.DUMMYFUNCTION("GOOGLETRANSLATE(C155,""en"",""ur"")"),"ایک انڈور اسٹیڈیم")</f>
        <v>ایک انڈور اسٹیڈیم</v>
      </c>
      <c r="N155" s="2" t="str">
        <f>IFERROR(__xludf.DUMMYFUNCTION("GOOGLETRANSLATE(D155,""en"",""ur"")"),"پہاڑوں کے ساتھ ایک دیہی، بیرونی علاقہ")</f>
        <v>پہاڑوں کے ساتھ ایک دیہی، بیرونی علاقہ</v>
      </c>
      <c r="O155" s="2" t="str">
        <f>IFERROR(__xludf.DUMMYFUNCTION("GOOGLETRANSLATE(E155,""en"",""ur"")"),"شہر کی مصروف گلی")</f>
        <v>شہر کی مصروف گلی</v>
      </c>
      <c r="P155" s="2" t="str">
        <f>IFERROR(__xludf.DUMMYFUNCTION("GOOGLETRANSLATE(F155,""en"",""ur"")"),"گھاس کا میدان")</f>
        <v>گھاس کا میدان</v>
      </c>
      <c r="Q155" s="2" t="s">
        <v>575</v>
      </c>
      <c r="R155" s="2" t="str">
        <f>IFERROR(__xludf.DUMMYFUNCTION("GOOGLETRANSLATE(G155,""en"",""ur"")"),"گھاس کا میدان")</f>
        <v>گھاس کا میدان</v>
      </c>
      <c r="S155" s="6" t="s">
        <v>568</v>
      </c>
    </row>
    <row r="156">
      <c r="A156" s="7">
        <v>155.0</v>
      </c>
      <c r="B156" s="6" t="s">
        <v>576</v>
      </c>
      <c r="C156" s="6" t="s">
        <v>47</v>
      </c>
      <c r="D156" s="6" t="s">
        <v>48</v>
      </c>
      <c r="E156" s="6" t="s">
        <v>49</v>
      </c>
      <c r="F156" s="6" t="s">
        <v>50</v>
      </c>
      <c r="G156" s="6" t="s">
        <v>49</v>
      </c>
      <c r="H156" s="6" t="s">
        <v>568</v>
      </c>
      <c r="K156" s="2" t="str">
        <f>IFERROR(__xludf.DUMMYFUNCTION("GOOGLETRANSLATE(A156,""en"",""ur"")"),"155")</f>
        <v>155</v>
      </c>
      <c r="L156" s="2" t="str">
        <f>IFERROR(__xludf.DUMMYFUNCTION("GOOGLETRANSLATE(B156,""en"",""ur"")"),"مارشل آرٹسٹوں کے ظاہری جذبات کیا ہیں؟")</f>
        <v>مارشل آرٹسٹوں کے ظاہری جذبات کیا ہیں؟</v>
      </c>
      <c r="M156" s="2" t="str">
        <f>IFERROR(__xludf.DUMMYFUNCTION("GOOGLETRANSLATE(C156,""en"",""ur"")"),"پرسکون اور پر سکون")</f>
        <v>پرسکون اور پر سکون</v>
      </c>
      <c r="N156" s="2" t="str">
        <f>IFERROR(__xludf.DUMMYFUNCTION("GOOGLETRANSLATE(D156,""en"",""ur"")"),"خوف زدہ اور بے چین")</f>
        <v>خوف زدہ اور بے چین</v>
      </c>
      <c r="O156" s="2" t="str">
        <f>IFERROR(__xludf.DUMMYFUNCTION("GOOGLETRANSLATE(E156,""en"",""ur"")"),"کشیدہ اور شدید")</f>
        <v>کشیدہ اور شدید</v>
      </c>
      <c r="P156" s="2" t="str">
        <f>IFERROR(__xludf.DUMMYFUNCTION("GOOGLETRANSLATE(F156,""en"",""ur"")"),"خوش اور مسکراتے ہوئے۔")</f>
        <v>خوش اور مسکراتے ہوئے۔</v>
      </c>
      <c r="Q156" s="2" t="s">
        <v>51</v>
      </c>
      <c r="R156" s="2" t="str">
        <f>IFERROR(__xludf.DUMMYFUNCTION("GOOGLETRANSLATE(G156,""en"",""ur"")"),"کشیدہ اور شدید")</f>
        <v>کشیدہ اور شدید</v>
      </c>
      <c r="S156" s="6" t="s">
        <v>568</v>
      </c>
    </row>
    <row r="157">
      <c r="A157" s="7">
        <v>156.0</v>
      </c>
      <c r="B157" s="6" t="s">
        <v>577</v>
      </c>
      <c r="C157" s="6" t="s">
        <v>429</v>
      </c>
      <c r="D157" s="6" t="s">
        <v>578</v>
      </c>
      <c r="E157" s="6" t="s">
        <v>431</v>
      </c>
      <c r="F157" s="6" t="s">
        <v>432</v>
      </c>
      <c r="G157" s="6" t="s">
        <v>578</v>
      </c>
      <c r="H157" s="6" t="s">
        <v>568</v>
      </c>
      <c r="K157" s="2" t="str">
        <f>IFERROR(__xludf.DUMMYFUNCTION("GOOGLETRANSLATE(A157,""en"",""ur"")"),"156")</f>
        <v>156</v>
      </c>
      <c r="L157" s="2" t="str">
        <f>IFERROR(__xludf.DUMMYFUNCTION("GOOGLETRANSLATE(B157,""en"",""ur"")"),"مارشل آرٹسٹوں کی ظاہری باڈی پوزیشن کیا ہے؟")</f>
        <v>مارشل آرٹسٹوں کی ظاہری باڈی پوزیشن کیا ہے؟</v>
      </c>
      <c r="M157" s="2" t="str">
        <f>IFERROR(__xludf.DUMMYFUNCTION("GOOGLETRANSLATE(C157,""en"",""ur"")"),"سیدھا کھڑا ہونا")</f>
        <v>سیدھا کھڑا ہونا</v>
      </c>
      <c r="N157" s="2" t="str">
        <f>IFERROR(__xludf.DUMMYFUNCTION("GOOGLETRANSLATE(D157,""en"",""ur"")"),"درمیانی ہوا کی چھلانگ میں")</f>
        <v>درمیانی ہوا کی چھلانگ میں</v>
      </c>
      <c r="O157" s="2" t="str">
        <f>IFERROR(__xludf.DUMMYFUNCTION("GOOGLETRANSLATE(E157,""en"",""ur"")"),"زمین پر لیٹنا")</f>
        <v>زمین پر لیٹنا</v>
      </c>
      <c r="P157" s="2" t="str">
        <f>IFERROR(__xludf.DUMMYFUNCTION("GOOGLETRANSLATE(F157,""en"",""ur"")"),"بیٹھا ہوا")</f>
        <v>بیٹھا ہوا</v>
      </c>
      <c r="Q157" s="2" t="s">
        <v>579</v>
      </c>
      <c r="R157" s="2" t="str">
        <f>IFERROR(__xludf.DUMMYFUNCTION("GOOGLETRANSLATE(G157,""en"",""ur"")"),"درمیانی ہوا کی چھلانگ میں")</f>
        <v>درمیانی ہوا کی چھلانگ میں</v>
      </c>
      <c r="S157" s="6" t="s">
        <v>568</v>
      </c>
    </row>
    <row r="158">
      <c r="A158" s="7">
        <v>157.0</v>
      </c>
      <c r="B158" s="6" t="s">
        <v>434</v>
      </c>
      <c r="C158" s="6" t="s">
        <v>435</v>
      </c>
      <c r="D158" s="6" t="s">
        <v>436</v>
      </c>
      <c r="E158" s="6" t="s">
        <v>437</v>
      </c>
      <c r="F158" s="6" t="s">
        <v>438</v>
      </c>
      <c r="G158" s="6" t="s">
        <v>436</v>
      </c>
      <c r="H158" s="6" t="s">
        <v>568</v>
      </c>
      <c r="K158" s="2" t="str">
        <f>IFERROR(__xludf.DUMMYFUNCTION("GOOGLETRANSLATE(A158,""en"",""ur"")"),"157")</f>
        <v>157</v>
      </c>
      <c r="L158" s="2" t="str">
        <f>IFERROR(__xludf.DUMMYFUNCTION("GOOGLETRANSLATE(B158,""en"",""ur"")"),"پس منظر میں ہجوم کی سب سے نمایاں خصوصیت کیا ہے؟")</f>
        <v>پس منظر میں ہجوم کی سب سے نمایاں خصوصیت کیا ہے؟</v>
      </c>
      <c r="M158" s="2" t="str">
        <f>IFERROR(__xludf.DUMMYFUNCTION("GOOGLETRANSLATE(C158,""en"",""ur"")"),"وہ بھاگ رہے ہیں۔")</f>
        <v>وہ بھاگ رہے ہیں۔</v>
      </c>
      <c r="N158" s="2" t="str">
        <f>IFERROR(__xludf.DUMMYFUNCTION("GOOGLETRANSLATE(D158,""en"",""ur"")"),"وہ خاموش بیٹھے ہیں۔")</f>
        <v>وہ خاموش بیٹھے ہیں۔</v>
      </c>
      <c r="O158" s="2" t="str">
        <f>IFERROR(__xludf.DUMMYFUNCTION("GOOGLETRANSLATE(E158,""en"",""ur"")"),"وہ لڑائی کو قدرتی رکاوٹ سے دیکھ رہے ہیں۔")</f>
        <v>وہ لڑائی کو قدرتی رکاوٹ سے دیکھ رہے ہیں۔</v>
      </c>
      <c r="P158" s="2" t="str">
        <f>IFERROR(__xludf.DUMMYFUNCTION("GOOGLETRANSLATE(F158,""en"",""ur"")"),"وہ سب ایک اسٹیج پر کھڑے ہیں۔")</f>
        <v>وہ سب ایک اسٹیج پر کھڑے ہیں۔</v>
      </c>
      <c r="Q158" s="2" t="s">
        <v>439</v>
      </c>
      <c r="R158" s="2" t="str">
        <f>IFERROR(__xludf.DUMMYFUNCTION("GOOGLETRANSLATE(G158,""en"",""ur"")"),"وہ خاموش بیٹھے ہیں۔")</f>
        <v>وہ خاموش بیٹھے ہیں۔</v>
      </c>
      <c r="S158" s="6" t="s">
        <v>568</v>
      </c>
    </row>
    <row r="159">
      <c r="A159" s="7">
        <v>158.0</v>
      </c>
      <c r="B159" s="6" t="s">
        <v>440</v>
      </c>
      <c r="C159" s="6" t="s">
        <v>441</v>
      </c>
      <c r="D159" s="6" t="s">
        <v>442</v>
      </c>
      <c r="E159" s="6" t="s">
        <v>443</v>
      </c>
      <c r="F159" s="6" t="s">
        <v>444</v>
      </c>
      <c r="G159" s="6" t="s">
        <v>444</v>
      </c>
      <c r="H159" s="6" t="s">
        <v>568</v>
      </c>
      <c r="K159" s="2" t="str">
        <f>IFERROR(__xludf.DUMMYFUNCTION("GOOGLETRANSLATE(A159,""en"",""ur"")"),"158")</f>
        <v>158</v>
      </c>
      <c r="L159" s="2" t="str">
        <f>IFERROR(__xludf.DUMMYFUNCTION("GOOGLETRANSLATE(B159,""en"",""ur"")"),"زمین کی ظاہری حالت کیا ہے؟")</f>
        <v>زمین کی ظاہری حالت کیا ہے؟</v>
      </c>
      <c r="M159" s="2" t="str">
        <f>IFERROR(__xludf.DUMMYFUNCTION("GOOGLETRANSLATE(C159,""en"",""ur"")"),"یہ ایک پکی سطح ہے۔")</f>
        <v>یہ ایک پکی سطح ہے۔</v>
      </c>
      <c r="N159" s="2" t="str">
        <f>IFERROR(__xludf.DUMMYFUNCTION("GOOGLETRANSLATE(D159,""en"",""ur"")"),"یہ ایک کیچڑ والا میدان ہے۔")</f>
        <v>یہ ایک کیچڑ والا میدان ہے۔</v>
      </c>
      <c r="O159" s="2" t="str">
        <f>IFERROR(__xludf.DUMMYFUNCTION("GOOGLETRANSLATE(E159,""en"",""ur"")"),"یہ ایک ریتلی یا مٹی کی سطح ہے جس میں دھول اڑتی ہے۔")</f>
        <v>یہ ایک ریتلی یا مٹی کی سطح ہے جس میں دھول اڑتی ہے۔</v>
      </c>
      <c r="P159" s="2" t="str">
        <f>IFERROR(__xludf.DUMMYFUNCTION("GOOGLETRANSLATE(F159,""en"",""ur"")"),"یہ ایک گھاس والی سطح ہے۔")</f>
        <v>یہ ایک گھاس والی سطح ہے۔</v>
      </c>
      <c r="Q159" s="2" t="s">
        <v>445</v>
      </c>
      <c r="R159" s="2" t="str">
        <f>IFERROR(__xludf.DUMMYFUNCTION("GOOGLETRANSLATE(G159,""en"",""ur"")"),"یہ ایک گھاس والی سطح ہے۔")</f>
        <v>یہ ایک گھاس والی سطح ہے۔</v>
      </c>
      <c r="S159" s="6" t="s">
        <v>568</v>
      </c>
    </row>
    <row r="160">
      <c r="A160" s="7">
        <v>159.0</v>
      </c>
      <c r="B160" s="6" t="s">
        <v>580</v>
      </c>
      <c r="C160" s="6" t="s">
        <v>493</v>
      </c>
      <c r="D160" s="6" t="s">
        <v>448</v>
      </c>
      <c r="E160" s="6" t="s">
        <v>449</v>
      </c>
      <c r="F160" s="6" t="s">
        <v>450</v>
      </c>
      <c r="G160" s="6" t="s">
        <v>448</v>
      </c>
      <c r="H160" s="6" t="s">
        <v>568</v>
      </c>
      <c r="K160" s="2" t="str">
        <f>IFERROR(__xludf.DUMMYFUNCTION("GOOGLETRANSLATE(A160,""en"",""ur"")"),"159")</f>
        <v>159</v>
      </c>
      <c r="L160" s="2" t="str">
        <f>IFERROR(__xludf.DUMMYFUNCTION("GOOGLETRANSLATE(B160,""en"",""ur"")"),"تلواروں کا بنیادی مقصد کیا ہے؟")</f>
        <v>تلواروں کا بنیادی مقصد کیا ہے؟</v>
      </c>
      <c r="M160" s="2" t="str">
        <f>IFERROR(__xludf.DUMMYFUNCTION("GOOGLETRANSLATE(C160,""en"",""ur"")"),"چھڑی کی ہڑتالوں کو روکنے کے لیے")</f>
        <v>چھڑی کی ہڑتالوں کو روکنے کے لیے</v>
      </c>
      <c r="N160" s="2" t="str">
        <f>IFERROR(__xludf.DUMMYFUNCTION("GOOGLETRANSLATE(D160,""en"",""ur"")"),"ہتھیار رکھنے کے لیے")</f>
        <v>ہتھیار رکھنے کے لیے</v>
      </c>
      <c r="O160" s="2" t="str">
        <f>IFERROR(__xludf.DUMMYFUNCTION("GOOGLETRANSLATE(E160,""en"",""ur"")"),"صرف سجاوٹ کے لیے")</f>
        <v>صرف سجاوٹ کے لیے</v>
      </c>
      <c r="P160" s="2" t="str">
        <f>IFERROR(__xludf.DUMMYFUNCTION("GOOGLETRANSLATE(F160,""en"",""ur"")"),"سورج کو روکنے کے لئے")</f>
        <v>سورج کو روکنے کے لئے</v>
      </c>
      <c r="Q160" s="2" t="s">
        <v>494</v>
      </c>
      <c r="R160" s="2" t="str">
        <f>IFERROR(__xludf.DUMMYFUNCTION("GOOGLETRANSLATE(G160,""en"",""ur"")"),"ہتھیار رکھنے کے لیے")</f>
        <v>ہتھیار رکھنے کے لیے</v>
      </c>
      <c r="S160" s="6" t="s">
        <v>568</v>
      </c>
    </row>
    <row r="161">
      <c r="A161" s="7">
        <v>160.0</v>
      </c>
      <c r="B161" s="6" t="s">
        <v>452</v>
      </c>
      <c r="C161" s="6" t="s">
        <v>453</v>
      </c>
      <c r="D161" s="6" t="s">
        <v>454</v>
      </c>
      <c r="E161" s="6" t="s">
        <v>455</v>
      </c>
      <c r="F161" s="6" t="s">
        <v>456</v>
      </c>
      <c r="G161" s="6" t="s">
        <v>454</v>
      </c>
      <c r="H161" s="6" t="s">
        <v>568</v>
      </c>
      <c r="K161" s="2" t="str">
        <f>IFERROR(__xludf.DUMMYFUNCTION("GOOGLETRANSLATE(A161,""en"",""ur"")"),"160")</f>
        <v>160</v>
      </c>
      <c r="L161" s="2" t="str">
        <f>IFERROR(__xludf.DUMMYFUNCTION("GOOGLETRANSLATE(B161,""en"",""ur"")"),"ایونٹ کا مجموعی موڈ ایسا لگتا ہے...")</f>
        <v>ایونٹ کا مجموعی موڈ ایسا لگتا ہے...</v>
      </c>
      <c r="M161" s="2" t="str">
        <f>IFERROR(__xludf.DUMMYFUNCTION("GOOGLETRANSLATE(C161,""en"",""ur"")"),"ایک آرام دہ مشق سیشن")</f>
        <v>ایک آرام دہ مشق سیشن</v>
      </c>
      <c r="N161" s="2" t="str">
        <f>IFERROR(__xludf.DUMMYFUNCTION("GOOGLETRANSLATE(D161,""en"",""ur"")"),"ایک تناؤ اور جارحانہ کارکردگی")</f>
        <v>ایک تناؤ اور جارحانہ کارکردگی</v>
      </c>
      <c r="O161" s="2" t="str">
        <f>IFERROR(__xludf.DUMMYFUNCTION("GOOGLETRANSLATE(E161,""en"",""ur"")"),"ایک پرسکون، پرامن اجتماع")</f>
        <v>ایک پرسکون، پرامن اجتماع</v>
      </c>
      <c r="P161" s="2" t="str">
        <f>IFERROR(__xludf.DUMMYFUNCTION("GOOGLETRANSLATE(F161,""en"",""ur"")"),"ایک سست، رسمی رقص")</f>
        <v>ایک سست، رسمی رقص</v>
      </c>
      <c r="Q161" s="2" t="s">
        <v>457</v>
      </c>
      <c r="R161" s="2" t="str">
        <f>IFERROR(__xludf.DUMMYFUNCTION("GOOGLETRANSLATE(G161,""en"",""ur"")"),"ایک تناؤ اور جارحانہ کارکردگی")</f>
        <v>ایک تناؤ اور جارحانہ کارکردگی</v>
      </c>
      <c r="S161" s="6" t="s">
        <v>568</v>
      </c>
    </row>
    <row r="162">
      <c r="A162" s="7">
        <v>161.0</v>
      </c>
      <c r="B162" s="6" t="s">
        <v>581</v>
      </c>
      <c r="C162" s="6" t="s">
        <v>405</v>
      </c>
      <c r="D162" s="6" t="s">
        <v>406</v>
      </c>
      <c r="E162" s="6" t="s">
        <v>407</v>
      </c>
      <c r="F162" s="6" t="s">
        <v>408</v>
      </c>
      <c r="G162" s="6" t="s">
        <v>405</v>
      </c>
      <c r="H162" s="6" t="s">
        <v>582</v>
      </c>
      <c r="K162" s="2" t="str">
        <f>IFERROR(__xludf.DUMMYFUNCTION("GOOGLETRANSLATE(A162,""en"",""ur"")"),"161")</f>
        <v>161</v>
      </c>
      <c r="L162" s="2" t="str">
        <f>IFERROR(__xludf.DUMMYFUNCTION("GOOGLETRANSLATE(B162,""en"",""ur"")"),"گٹکا_17 میں دکھایا گیا اہم عمل کیا ہے؟")</f>
        <v>گٹکا_17 میں دکھایا گیا اہم عمل کیا ہے؟</v>
      </c>
      <c r="M162" s="2" t="str">
        <f>IFERROR(__xludf.DUMMYFUNCTION("GOOGLETRANSLATE(C162,""en"",""ur"")"),"دو آدمی تلواروں سے لڑ رہے ہیں۔")</f>
        <v>دو آدمی تلواروں سے لڑ رہے ہیں۔</v>
      </c>
      <c r="N162" s="2" t="str">
        <f>IFERROR(__xludf.DUMMYFUNCTION("GOOGLETRANSLATE(D162,""en"",""ur"")"),"دو آدمی ناچ رہے ہیں۔")</f>
        <v>دو آدمی ناچ رہے ہیں۔</v>
      </c>
      <c r="O162" s="2" t="str">
        <f>IFERROR(__xludf.DUMMYFUNCTION("GOOGLETRANSLATE(E162,""en"",""ur"")"),"دو آدمی سہارے کے ساتھ پوز دے رہے ہیں۔")</f>
        <v>دو آدمی سہارے کے ساتھ پوز دے رہے ہیں۔</v>
      </c>
      <c r="P162" s="2" t="str">
        <f>IFERROR(__xludf.DUMMYFUNCTION("GOOGLETRANSLATE(F162,""en"",""ur"")"),"دو آدمی کشتی کرتے ہوئے۔")</f>
        <v>دو آدمی کشتی کرتے ہوئے۔</v>
      </c>
      <c r="Q162" s="2" t="s">
        <v>460</v>
      </c>
      <c r="R162" s="2" t="str">
        <f>IFERROR(__xludf.DUMMYFUNCTION("GOOGLETRANSLATE(G162,""en"",""ur"")"),"دو آدمی تلواروں سے لڑ رہے ہیں۔")</f>
        <v>دو آدمی تلواروں سے لڑ رہے ہیں۔</v>
      </c>
      <c r="S162" s="6" t="s">
        <v>582</v>
      </c>
    </row>
    <row r="163">
      <c r="A163" s="7">
        <v>162.0</v>
      </c>
      <c r="B163" s="6" t="s">
        <v>410</v>
      </c>
      <c r="C163" s="6" t="s">
        <v>411</v>
      </c>
      <c r="D163" s="6" t="s">
        <v>583</v>
      </c>
      <c r="E163" s="6" t="s">
        <v>334</v>
      </c>
      <c r="F163" s="6" t="s">
        <v>413</v>
      </c>
      <c r="G163" s="6" t="s">
        <v>583</v>
      </c>
      <c r="H163" s="6" t="s">
        <v>582</v>
      </c>
      <c r="K163" s="2" t="str">
        <f>IFERROR(__xludf.DUMMYFUNCTION("GOOGLETRANSLATE(A163,""en"",""ur"")"),"162")</f>
        <v>162</v>
      </c>
      <c r="L163" s="2" t="str">
        <f>IFERROR(__xludf.DUMMYFUNCTION("GOOGLETRANSLATE(B163,""en"",""ur"")"),"بائیں طرف لڑاکا کے لباس کے بارے میں ایک قابل ذکر تفصیل کیا ہے؟")</f>
        <v>بائیں طرف لڑاکا کے لباس کے بارے میں ایک قابل ذکر تفصیل کیا ہے؟</v>
      </c>
      <c r="M163" s="2" t="str">
        <f>IFERROR(__xludf.DUMMYFUNCTION("GOOGLETRANSLATE(C163,""en"",""ur"")"),"اس نے بکتر کا پورا سوٹ پہن رکھا ہے۔")</f>
        <v>اس نے بکتر کا پورا سوٹ پہن رکھا ہے۔</v>
      </c>
      <c r="N163" s="2" t="str">
        <f>IFERROR(__xludf.DUMMYFUNCTION("GOOGLETRANSLATE(D163,""en"",""ur"")"),"اس نے ایک لمبا، نیلے رنگ کا چوغہ پہنا ہوا ہے جس میں سفید چادر ہے۔")</f>
        <v>اس نے ایک لمبا، نیلے رنگ کا چوغہ پہنا ہوا ہے جس میں سفید چادر ہے۔</v>
      </c>
      <c r="O163" s="2" t="str">
        <f>IFERROR(__xludf.DUMMYFUNCTION("GOOGLETRANSLATE(E163,""en"",""ur"")"),"اس نے شارٹس اور ٹی شرٹ پہن رکھی ہے۔")</f>
        <v>اس نے شارٹس اور ٹی شرٹ پہن رکھی ہے۔</v>
      </c>
      <c r="P163" s="2" t="str">
        <f>IFERROR(__xludf.DUMMYFUNCTION("GOOGLETRANSLATE(F163,""en"",""ur"")"),"اس نے پولیس کی وردی پہن رکھی ہے۔")</f>
        <v>اس نے پولیس کی وردی پہن رکھی ہے۔</v>
      </c>
      <c r="Q163" s="2" t="s">
        <v>584</v>
      </c>
      <c r="R163" s="2" t="str">
        <f>IFERROR(__xludf.DUMMYFUNCTION("GOOGLETRANSLATE(G163,""en"",""ur"")"),"اس نے ایک لمبا، نیلے رنگ کا چوغہ پہنا ہوا ہے جس میں سفید چادر ہے۔")</f>
        <v>اس نے ایک لمبا، نیلے رنگ کا چوغہ پہنا ہوا ہے جس میں سفید چادر ہے۔</v>
      </c>
      <c r="S163" s="6" t="s">
        <v>582</v>
      </c>
    </row>
    <row r="164">
      <c r="A164" s="7">
        <v>163.0</v>
      </c>
      <c r="B164" s="6" t="s">
        <v>415</v>
      </c>
      <c r="C164" s="6" t="s">
        <v>416</v>
      </c>
      <c r="D164" s="6" t="s">
        <v>417</v>
      </c>
      <c r="E164" s="6" t="s">
        <v>418</v>
      </c>
      <c r="F164" s="6" t="s">
        <v>419</v>
      </c>
      <c r="G164" s="6" t="s">
        <v>416</v>
      </c>
      <c r="H164" s="6" t="s">
        <v>582</v>
      </c>
      <c r="K164" s="2" t="str">
        <f>IFERROR(__xludf.DUMMYFUNCTION("GOOGLETRANSLATE(A164,""en"",""ur"")"),"163")</f>
        <v>163</v>
      </c>
      <c r="L164" s="2" t="str">
        <f>IFERROR(__xludf.DUMMYFUNCTION("GOOGLETRANSLATE(B164,""en"",""ur"")"),"جنگجوؤں کے ذریعہ استعمال ہونے والا بنیادی ہتھیار کیا ہے؟")</f>
        <v>جنگجوؤں کے ذریعہ استعمال ہونے والا بنیادی ہتھیار کیا ہے؟</v>
      </c>
      <c r="M164" s="2" t="str">
        <f>IFERROR(__xludf.DUMMYFUNCTION("GOOGLETRANSLATE(C164,""en"",""ur"")"),"ایک چھوٹی تلوار")</f>
        <v>ایک چھوٹی تلوار</v>
      </c>
      <c r="N164" s="2" t="str">
        <f>IFERROR(__xludf.DUMMYFUNCTION("GOOGLETRANSLATE(D164,""en"",""ur"")"),"ایک لمبی چھڑی")</f>
        <v>ایک لمبی چھڑی</v>
      </c>
      <c r="O164" s="2" t="str">
        <f>IFERROR(__xludf.DUMMYFUNCTION("GOOGLETRANSLATE(E164,""en"",""ur"")"),"ایک کمان اور تیر")</f>
        <v>ایک کمان اور تیر</v>
      </c>
      <c r="P164" s="2" t="str">
        <f>IFERROR(__xludf.DUMMYFUNCTION("GOOGLETRANSLATE(F164,""en"",""ur"")"),"ایک ننگی مٹھی")</f>
        <v>ایک ننگی مٹھی</v>
      </c>
      <c r="Q164" s="2" t="s">
        <v>420</v>
      </c>
      <c r="R164" s="2" t="str">
        <f>IFERROR(__xludf.DUMMYFUNCTION("GOOGLETRANSLATE(G164,""en"",""ur"")"),"ایک چھوٹی تلوار")</f>
        <v>ایک چھوٹی تلوار</v>
      </c>
      <c r="S164" s="6" t="s">
        <v>582</v>
      </c>
    </row>
    <row r="165">
      <c r="A165" s="7">
        <v>164.0</v>
      </c>
      <c r="B165" s="6" t="s">
        <v>421</v>
      </c>
      <c r="C165" s="6" t="s">
        <v>422</v>
      </c>
      <c r="D165" s="6" t="s">
        <v>507</v>
      </c>
      <c r="E165" s="6" t="s">
        <v>424</v>
      </c>
      <c r="F165" s="6" t="s">
        <v>425</v>
      </c>
      <c r="G165" s="6" t="s">
        <v>507</v>
      </c>
      <c r="H165" s="6" t="s">
        <v>582</v>
      </c>
      <c r="K165" s="2" t="str">
        <f>IFERROR(__xludf.DUMMYFUNCTION("GOOGLETRANSLATE(A165,""en"",""ur"")"),"164")</f>
        <v>164</v>
      </c>
      <c r="L165" s="2" t="str">
        <f>IFERROR(__xludf.DUMMYFUNCTION("GOOGLETRANSLATE(B165,""en"",""ur"")"),"اس لڑائی کی ترتیب کیا ہے؟")</f>
        <v>اس لڑائی کی ترتیب کیا ہے؟</v>
      </c>
      <c r="M165" s="2" t="str">
        <f>IFERROR(__xludf.DUMMYFUNCTION("GOOGLETRANSLATE(C165,""en"",""ur"")"),"ایک انڈور اسٹیڈیم")</f>
        <v>ایک انڈور اسٹیڈیم</v>
      </c>
      <c r="N165" s="2" t="str">
        <f>IFERROR(__xludf.DUMMYFUNCTION("GOOGLETRANSLATE(D165,""en"",""ur"")"),"روایتی جھونپڑیوں کے ساتھ ایک دیہی، بیرونی علاقہ")</f>
        <v>روایتی جھونپڑیوں کے ساتھ ایک دیہی، بیرونی علاقہ</v>
      </c>
      <c r="O165" s="2" t="str">
        <f>IFERROR(__xludf.DUMMYFUNCTION("GOOGLETRANSLATE(E165,""en"",""ur"")"),"شہر کی مصروف گلی")</f>
        <v>شہر کی مصروف گلی</v>
      </c>
      <c r="P165" s="2" t="str">
        <f>IFERROR(__xludf.DUMMYFUNCTION("GOOGLETRANSLATE(F165,""en"",""ur"")"),"گھاس کا میدان")</f>
        <v>گھاس کا میدان</v>
      </c>
      <c r="Q165" s="2" t="s">
        <v>585</v>
      </c>
      <c r="R165" s="2" t="str">
        <f>IFERROR(__xludf.DUMMYFUNCTION("GOOGLETRANSLATE(G165,""en"",""ur"")"),"روایتی جھونپڑیوں کے ساتھ ایک دیہی، بیرونی علاقہ")</f>
        <v>روایتی جھونپڑیوں کے ساتھ ایک دیہی، بیرونی علاقہ</v>
      </c>
      <c r="S165" s="6" t="s">
        <v>582</v>
      </c>
    </row>
    <row r="166">
      <c r="A166" s="7">
        <v>165.0</v>
      </c>
      <c r="B166" s="6" t="s">
        <v>427</v>
      </c>
      <c r="C166" s="6" t="s">
        <v>47</v>
      </c>
      <c r="D166" s="6" t="s">
        <v>48</v>
      </c>
      <c r="E166" s="6" t="s">
        <v>49</v>
      </c>
      <c r="F166" s="6" t="s">
        <v>50</v>
      </c>
      <c r="G166" s="6" t="s">
        <v>49</v>
      </c>
      <c r="H166" s="6" t="s">
        <v>582</v>
      </c>
      <c r="K166" s="2" t="str">
        <f>IFERROR(__xludf.DUMMYFUNCTION("GOOGLETRANSLATE(A166,""en"",""ur"")"),"165")</f>
        <v>165</v>
      </c>
      <c r="L166" s="2" t="str">
        <f>IFERROR(__xludf.DUMMYFUNCTION("GOOGLETRANSLATE(B166,""en"",""ur"")"),"جنگجوؤں کے ظاہری جذبات کیا ہیں؟")</f>
        <v>جنگجوؤں کے ظاہری جذبات کیا ہیں؟</v>
      </c>
      <c r="M166" s="2" t="str">
        <f>IFERROR(__xludf.DUMMYFUNCTION("GOOGLETRANSLATE(C166,""en"",""ur"")"),"پرسکون اور پر سکون")</f>
        <v>پرسکون اور پر سکون</v>
      </c>
      <c r="N166" s="2" t="str">
        <f>IFERROR(__xludf.DUMMYFUNCTION("GOOGLETRANSLATE(D166,""en"",""ur"")"),"خوف زدہ اور بے چین")</f>
        <v>خوف زدہ اور بے چین</v>
      </c>
      <c r="O166" s="2" t="str">
        <f>IFERROR(__xludf.DUMMYFUNCTION("GOOGLETRANSLATE(E166,""en"",""ur"")"),"کشیدہ اور شدید")</f>
        <v>کشیدہ اور شدید</v>
      </c>
      <c r="P166" s="2" t="str">
        <f>IFERROR(__xludf.DUMMYFUNCTION("GOOGLETRANSLATE(F166,""en"",""ur"")"),"خوش اور مسکراتے ہوئے۔")</f>
        <v>خوش اور مسکراتے ہوئے۔</v>
      </c>
      <c r="Q166" s="2" t="s">
        <v>51</v>
      </c>
      <c r="R166" s="2" t="str">
        <f>IFERROR(__xludf.DUMMYFUNCTION("GOOGLETRANSLATE(G166,""en"",""ur"")"),"کشیدہ اور شدید")</f>
        <v>کشیدہ اور شدید</v>
      </c>
      <c r="S166" s="6" t="s">
        <v>582</v>
      </c>
    </row>
    <row r="167">
      <c r="A167" s="7">
        <v>166.0</v>
      </c>
      <c r="B167" s="6" t="s">
        <v>428</v>
      </c>
      <c r="C167" s="6" t="s">
        <v>429</v>
      </c>
      <c r="D167" s="6" t="s">
        <v>430</v>
      </c>
      <c r="E167" s="6" t="s">
        <v>431</v>
      </c>
      <c r="F167" s="6" t="s">
        <v>432</v>
      </c>
      <c r="G167" s="6" t="s">
        <v>430</v>
      </c>
      <c r="H167" s="6" t="s">
        <v>582</v>
      </c>
      <c r="K167" s="2" t="str">
        <f>IFERROR(__xludf.DUMMYFUNCTION("GOOGLETRANSLATE(A167,""en"",""ur"")"),"166")</f>
        <v>166</v>
      </c>
      <c r="L167" s="2" t="str">
        <f>IFERROR(__xludf.DUMMYFUNCTION("GOOGLETRANSLATE(B167,""en"",""ur"")"),"جنگجوؤں کی ظاہری باڈی پوزیشن کیا ہے؟")</f>
        <v>جنگجوؤں کی ظاہری باڈی پوزیشن کیا ہے؟</v>
      </c>
      <c r="M167" s="2" t="str">
        <f>IFERROR(__xludf.DUMMYFUNCTION("GOOGLETRANSLATE(C167,""en"",""ur"")"),"سیدھا کھڑا ہونا")</f>
        <v>سیدھا کھڑا ہونا</v>
      </c>
      <c r="N167" s="2" t="str">
        <f>IFERROR(__xludf.DUMMYFUNCTION("GOOGLETRANSLATE(D167,""en"",""ur"")"),"کم، متحرک موقف میں")</f>
        <v>کم، متحرک موقف میں</v>
      </c>
      <c r="O167" s="2" t="str">
        <f>IFERROR(__xludf.DUMMYFUNCTION("GOOGLETRANSLATE(E167,""en"",""ur"")"),"زمین پر لیٹنا")</f>
        <v>زمین پر لیٹنا</v>
      </c>
      <c r="P167" s="2" t="str">
        <f>IFERROR(__xludf.DUMMYFUNCTION("GOOGLETRANSLATE(F167,""en"",""ur"")"),"بیٹھا ہوا")</f>
        <v>بیٹھا ہوا</v>
      </c>
      <c r="Q167" s="2" t="s">
        <v>433</v>
      </c>
      <c r="R167" s="2" t="str">
        <f>IFERROR(__xludf.DUMMYFUNCTION("GOOGLETRANSLATE(G167,""en"",""ur"")"),"کم، متحرک موقف میں")</f>
        <v>کم، متحرک موقف میں</v>
      </c>
      <c r="S167" s="6" t="s">
        <v>582</v>
      </c>
    </row>
    <row r="168">
      <c r="A168" s="7">
        <v>167.0</v>
      </c>
      <c r="B168" s="6" t="s">
        <v>434</v>
      </c>
      <c r="C168" s="6" t="s">
        <v>435</v>
      </c>
      <c r="D168" s="6" t="s">
        <v>436</v>
      </c>
      <c r="E168" s="6" t="s">
        <v>437</v>
      </c>
      <c r="F168" s="6" t="s">
        <v>438</v>
      </c>
      <c r="G168" s="6" t="s">
        <v>438</v>
      </c>
      <c r="H168" s="6" t="s">
        <v>582</v>
      </c>
      <c r="K168" s="2" t="str">
        <f>IFERROR(__xludf.DUMMYFUNCTION("GOOGLETRANSLATE(A168,""en"",""ur"")"),"167")</f>
        <v>167</v>
      </c>
      <c r="L168" s="2" t="str">
        <f>IFERROR(__xludf.DUMMYFUNCTION("GOOGLETRANSLATE(B168,""en"",""ur"")"),"پس منظر میں ہجوم کی سب سے نمایاں خصوصیت کیا ہے؟")</f>
        <v>پس منظر میں ہجوم کی سب سے نمایاں خصوصیت کیا ہے؟</v>
      </c>
      <c r="M168" s="2" t="str">
        <f>IFERROR(__xludf.DUMMYFUNCTION("GOOGLETRANSLATE(C168,""en"",""ur"")"),"وہ بھاگ رہے ہیں۔")</f>
        <v>وہ بھاگ رہے ہیں۔</v>
      </c>
      <c r="N168" s="2" t="str">
        <f>IFERROR(__xludf.DUMMYFUNCTION("GOOGLETRANSLATE(D168,""en"",""ur"")"),"وہ خاموش بیٹھے ہیں۔")</f>
        <v>وہ خاموش بیٹھے ہیں۔</v>
      </c>
      <c r="O168" s="2" t="str">
        <f>IFERROR(__xludf.DUMMYFUNCTION("GOOGLETRANSLATE(E168,""en"",""ur"")"),"وہ لڑائی کو قدرتی رکاوٹ سے دیکھ رہے ہیں۔")</f>
        <v>وہ لڑائی کو قدرتی رکاوٹ سے دیکھ رہے ہیں۔</v>
      </c>
      <c r="P168" s="2" t="str">
        <f>IFERROR(__xludf.DUMMYFUNCTION("GOOGLETRANSLATE(F168,""en"",""ur"")"),"وہ سب ایک اسٹیج پر کھڑے ہیں۔")</f>
        <v>وہ سب ایک اسٹیج پر کھڑے ہیں۔</v>
      </c>
      <c r="Q168" s="2" t="s">
        <v>439</v>
      </c>
      <c r="R168" s="2" t="str">
        <f>IFERROR(__xludf.DUMMYFUNCTION("GOOGLETRANSLATE(G168,""en"",""ur"")"),"وہ سب ایک اسٹیج پر کھڑے ہیں۔")</f>
        <v>وہ سب ایک اسٹیج پر کھڑے ہیں۔</v>
      </c>
      <c r="S168" s="6" t="s">
        <v>582</v>
      </c>
    </row>
    <row r="169">
      <c r="A169" s="7">
        <v>168.0</v>
      </c>
      <c r="B169" s="6" t="s">
        <v>440</v>
      </c>
      <c r="C169" s="6" t="s">
        <v>441</v>
      </c>
      <c r="D169" s="6" t="s">
        <v>442</v>
      </c>
      <c r="E169" s="6" t="s">
        <v>443</v>
      </c>
      <c r="F169" s="6" t="s">
        <v>444</v>
      </c>
      <c r="G169" s="6" t="s">
        <v>441</v>
      </c>
      <c r="H169" s="6" t="s">
        <v>582</v>
      </c>
      <c r="K169" s="2" t="str">
        <f>IFERROR(__xludf.DUMMYFUNCTION("GOOGLETRANSLATE(A169,""en"",""ur"")"),"168")</f>
        <v>168</v>
      </c>
      <c r="L169" s="2" t="str">
        <f>IFERROR(__xludf.DUMMYFUNCTION("GOOGLETRANSLATE(B169,""en"",""ur"")"),"زمین کی ظاہری حالت کیا ہے؟")</f>
        <v>زمین کی ظاہری حالت کیا ہے؟</v>
      </c>
      <c r="M169" s="2" t="str">
        <f>IFERROR(__xludf.DUMMYFUNCTION("GOOGLETRANSLATE(C169,""en"",""ur"")"),"یہ ایک پکی سطح ہے۔")</f>
        <v>یہ ایک پکی سطح ہے۔</v>
      </c>
      <c r="N169" s="2" t="str">
        <f>IFERROR(__xludf.DUMMYFUNCTION("GOOGLETRANSLATE(D169,""en"",""ur"")"),"یہ ایک کیچڑ والا میدان ہے۔")</f>
        <v>یہ ایک کیچڑ والا میدان ہے۔</v>
      </c>
      <c r="O169" s="2" t="str">
        <f>IFERROR(__xludf.DUMMYFUNCTION("GOOGLETRANSLATE(E169,""en"",""ur"")"),"یہ ایک ریتلی یا مٹی کی سطح ہے جس میں دھول اڑتی ہے۔")</f>
        <v>یہ ایک ریتلی یا مٹی کی سطح ہے جس میں دھول اڑتی ہے۔</v>
      </c>
      <c r="P169" s="2" t="str">
        <f>IFERROR(__xludf.DUMMYFUNCTION("GOOGLETRANSLATE(F169,""en"",""ur"")"),"یہ ایک گھاس والی سطح ہے۔")</f>
        <v>یہ ایک گھاس والی سطح ہے۔</v>
      </c>
      <c r="Q169" s="2" t="s">
        <v>445</v>
      </c>
      <c r="R169" s="2" t="str">
        <f>IFERROR(__xludf.DUMMYFUNCTION("GOOGLETRANSLATE(G169,""en"",""ur"")"),"یہ ایک پکی سطح ہے۔")</f>
        <v>یہ ایک پکی سطح ہے۔</v>
      </c>
      <c r="S169" s="6" t="s">
        <v>582</v>
      </c>
    </row>
    <row r="170">
      <c r="A170" s="7">
        <v>169.0</v>
      </c>
      <c r="B170" s="6" t="s">
        <v>446</v>
      </c>
      <c r="C170" s="6" t="s">
        <v>447</v>
      </c>
      <c r="D170" s="6" t="s">
        <v>448</v>
      </c>
      <c r="E170" s="6" t="s">
        <v>449</v>
      </c>
      <c r="F170" s="6" t="s">
        <v>450</v>
      </c>
      <c r="G170" s="6" t="s">
        <v>447</v>
      </c>
      <c r="H170" s="6" t="s">
        <v>582</v>
      </c>
      <c r="K170" s="2" t="str">
        <f>IFERROR(__xludf.DUMMYFUNCTION("GOOGLETRANSLATE(A170,""en"",""ur"")"),"169")</f>
        <v>169</v>
      </c>
      <c r="L170" s="2" t="str">
        <f>IFERROR(__xludf.DUMMYFUNCTION("GOOGLETRANSLATE(B170,""en"",""ur"")"),"ڈھال کا بنیادی مقصد کیا ہے جو ہر لڑاکا پکڑے ہوئے ہے؟")</f>
        <v>ڈھال کا بنیادی مقصد کیا ہے جو ہر لڑاکا پکڑے ہوئے ہے؟</v>
      </c>
      <c r="M170" s="2" t="str">
        <f>IFERROR(__xludf.DUMMYFUNCTION("GOOGLETRANSLATE(C170,""en"",""ur"")"),"تلوار کے وار کو روکنے کے لیے")</f>
        <v>تلوار کے وار کو روکنے کے لیے</v>
      </c>
      <c r="N170" s="2" t="str">
        <f>IFERROR(__xludf.DUMMYFUNCTION("GOOGLETRANSLATE(D170,""en"",""ur"")"),"ہتھیار رکھنے کے لیے")</f>
        <v>ہتھیار رکھنے کے لیے</v>
      </c>
      <c r="O170" s="2" t="str">
        <f>IFERROR(__xludf.DUMMYFUNCTION("GOOGLETRANSLATE(E170,""en"",""ur"")"),"صرف سجاوٹ کے لیے")</f>
        <v>صرف سجاوٹ کے لیے</v>
      </c>
      <c r="P170" s="2" t="str">
        <f>IFERROR(__xludf.DUMMYFUNCTION("GOOGLETRANSLATE(F170,""en"",""ur"")"),"سورج کو روکنے کے لئے")</f>
        <v>سورج کو روکنے کے لئے</v>
      </c>
      <c r="Q170" s="2" t="s">
        <v>451</v>
      </c>
      <c r="R170" s="2" t="str">
        <f>IFERROR(__xludf.DUMMYFUNCTION("GOOGLETRANSLATE(G170,""en"",""ur"")"),"تلوار کے وار کو روکنے کے لیے")</f>
        <v>تلوار کے وار کو روکنے کے لیے</v>
      </c>
      <c r="S170" s="6" t="s">
        <v>582</v>
      </c>
    </row>
    <row r="171">
      <c r="A171" s="7">
        <v>170.0</v>
      </c>
      <c r="B171" s="6" t="s">
        <v>452</v>
      </c>
      <c r="C171" s="6" t="s">
        <v>453</v>
      </c>
      <c r="D171" s="6" t="s">
        <v>454</v>
      </c>
      <c r="E171" s="6" t="s">
        <v>455</v>
      </c>
      <c r="F171" s="6" t="s">
        <v>456</v>
      </c>
      <c r="G171" s="6" t="s">
        <v>454</v>
      </c>
      <c r="H171" s="6" t="s">
        <v>582</v>
      </c>
      <c r="K171" s="2" t="str">
        <f>IFERROR(__xludf.DUMMYFUNCTION("GOOGLETRANSLATE(A171,""en"",""ur"")"),"170")</f>
        <v>170</v>
      </c>
      <c r="L171" s="2" t="str">
        <f>IFERROR(__xludf.DUMMYFUNCTION("GOOGLETRANSLATE(B171,""en"",""ur"")"),"ایونٹ کا مجموعی موڈ ایسا لگتا ہے...")</f>
        <v>ایونٹ کا مجموعی موڈ ایسا لگتا ہے...</v>
      </c>
      <c r="M171" s="2" t="str">
        <f>IFERROR(__xludf.DUMMYFUNCTION("GOOGLETRANSLATE(C171,""en"",""ur"")"),"ایک آرام دہ مشق سیشن")</f>
        <v>ایک آرام دہ مشق سیشن</v>
      </c>
      <c r="N171" s="2" t="str">
        <f>IFERROR(__xludf.DUMMYFUNCTION("GOOGLETRANSLATE(D171,""en"",""ur"")"),"ایک تناؤ اور جارحانہ کارکردگی")</f>
        <v>ایک تناؤ اور جارحانہ کارکردگی</v>
      </c>
      <c r="O171" s="2" t="str">
        <f>IFERROR(__xludf.DUMMYFUNCTION("GOOGLETRANSLATE(E171,""en"",""ur"")"),"ایک پرسکون، پرامن اجتماع")</f>
        <v>ایک پرسکون، پرامن اجتماع</v>
      </c>
      <c r="P171" s="2" t="str">
        <f>IFERROR(__xludf.DUMMYFUNCTION("GOOGLETRANSLATE(F171,""en"",""ur"")"),"ایک سست، رسمی رقص")</f>
        <v>ایک سست، رسمی رقص</v>
      </c>
      <c r="Q171" s="2" t="s">
        <v>457</v>
      </c>
      <c r="R171" s="2" t="str">
        <f>IFERROR(__xludf.DUMMYFUNCTION("GOOGLETRANSLATE(G171,""en"",""ur"")"),"ایک تناؤ اور جارحانہ کارکردگی")</f>
        <v>ایک تناؤ اور جارحانہ کارکردگی</v>
      </c>
      <c r="S171" s="6" t="s">
        <v>582</v>
      </c>
    </row>
    <row r="172">
      <c r="A172" s="7">
        <v>171.0</v>
      </c>
      <c r="B172" s="6" t="s">
        <v>586</v>
      </c>
      <c r="C172" s="6" t="s">
        <v>464</v>
      </c>
      <c r="D172" s="6" t="s">
        <v>465</v>
      </c>
      <c r="E172" s="6" t="s">
        <v>466</v>
      </c>
      <c r="F172" s="6" t="s">
        <v>467</v>
      </c>
      <c r="G172" s="6" t="s">
        <v>465</v>
      </c>
      <c r="H172" s="6" t="s">
        <v>587</v>
      </c>
      <c r="K172" s="2" t="str">
        <f>IFERROR(__xludf.DUMMYFUNCTION("GOOGLETRANSLATE(A172,""en"",""ur"")"),"171")</f>
        <v>171</v>
      </c>
      <c r="L172" s="2" t="str">
        <f>IFERROR(__xludf.DUMMYFUNCTION("GOOGLETRANSLATE(B172,""en"",""ur"")"),"گٹکا_26 میں دکھایا گیا اہم عمل کیا ہے؟")</f>
        <v>گٹکا_26 میں دکھایا گیا اہم عمل کیا ہے؟</v>
      </c>
      <c r="M172" s="2" t="str">
        <f>IFERROR(__xludf.DUMMYFUNCTION("GOOGLETRANSLATE(C172,""en"",""ur"")"),"ایک آدمی ناچ رہا ہے۔")</f>
        <v>ایک آدمی ناچ رہا ہے۔</v>
      </c>
      <c r="N172" s="2" t="str">
        <f>IFERROR(__xludf.DUMMYFUNCTION("GOOGLETRANSLATE(D172,""en"",""ur"")"),"ایک آدمی سہارے کے ساتھ پوز کر رہا ہے۔")</f>
        <v>ایک آدمی سہارے کے ساتھ پوز کر رہا ہے۔</v>
      </c>
      <c r="O172" s="2" t="str">
        <f>IFERROR(__xludf.DUMMYFUNCTION("GOOGLETRANSLATE(E172,""en"",""ur"")"),"تلواروں سے لڑنے والا آدمی")</f>
        <v>تلواروں سے لڑنے والا آدمی</v>
      </c>
      <c r="P172" s="2" t="str">
        <f>IFERROR(__xludf.DUMMYFUNCTION("GOOGLETRANSLATE(F172,""en"",""ur"")"),"ایک آدمی لمبی چھڑی کے ساتھ ہوا میں چھلانگ لگا رہا ہے۔")</f>
        <v>ایک آدمی لمبی چھڑی کے ساتھ ہوا میں چھلانگ لگا رہا ہے۔</v>
      </c>
      <c r="Q172" s="2" t="s">
        <v>469</v>
      </c>
      <c r="R172" s="2" t="str">
        <f>IFERROR(__xludf.DUMMYFUNCTION("GOOGLETRANSLATE(G172,""en"",""ur"")"),"ایک آدمی سہارے کے ساتھ پوز کر رہا ہے۔")</f>
        <v>ایک آدمی سہارے کے ساتھ پوز کر رہا ہے۔</v>
      </c>
      <c r="S172" s="6" t="s">
        <v>587</v>
      </c>
    </row>
    <row r="173">
      <c r="A173" s="7">
        <v>172.0</v>
      </c>
      <c r="B173" s="6" t="s">
        <v>470</v>
      </c>
      <c r="C173" s="6" t="s">
        <v>411</v>
      </c>
      <c r="D173" s="6" t="s">
        <v>588</v>
      </c>
      <c r="E173" s="6" t="s">
        <v>334</v>
      </c>
      <c r="F173" s="6" t="s">
        <v>413</v>
      </c>
      <c r="G173" s="6" t="s">
        <v>588</v>
      </c>
      <c r="H173" s="6" t="s">
        <v>587</v>
      </c>
      <c r="K173" s="2" t="str">
        <f>IFERROR(__xludf.DUMMYFUNCTION("GOOGLETRANSLATE(A173,""en"",""ur"")"),"172")</f>
        <v>172</v>
      </c>
      <c r="L173" s="2" t="str">
        <f>IFERROR(__xludf.DUMMYFUNCTION("GOOGLETRANSLATE(B173,""en"",""ur"")"),"آدمی کے لباس کے بارے میں ایک قابل ذکر تفصیل کیا ہے؟")</f>
        <v>آدمی کے لباس کے بارے میں ایک قابل ذکر تفصیل کیا ہے؟</v>
      </c>
      <c r="M173" s="2" t="str">
        <f>IFERROR(__xludf.DUMMYFUNCTION("GOOGLETRANSLATE(C173,""en"",""ur"")"),"اس نے بکتر کا پورا سوٹ پہن رکھا ہے۔")</f>
        <v>اس نے بکتر کا پورا سوٹ پہن رکھا ہے۔</v>
      </c>
      <c r="N173" s="2" t="str">
        <f>IFERROR(__xludf.DUMMYFUNCTION("GOOGLETRANSLATE(D173,""en"",""ur"")"),"اس نے نیلے رنگ کا ایک لمبا، سفید لباس پہن رکھا ہے۔")</f>
        <v>اس نے نیلے رنگ کا ایک لمبا، سفید لباس پہن رکھا ہے۔</v>
      </c>
      <c r="O173" s="2" t="str">
        <f>IFERROR(__xludf.DUMMYFUNCTION("GOOGLETRANSLATE(E173,""en"",""ur"")"),"اس نے شارٹس اور ٹی شرٹ پہن رکھی ہے۔")</f>
        <v>اس نے شارٹس اور ٹی شرٹ پہن رکھی ہے۔</v>
      </c>
      <c r="P173" s="2" t="str">
        <f>IFERROR(__xludf.DUMMYFUNCTION("GOOGLETRANSLATE(F173,""en"",""ur"")"),"اس نے پولیس کی وردی پہن رکھی ہے۔")</f>
        <v>اس نے پولیس کی وردی پہن رکھی ہے۔</v>
      </c>
      <c r="Q173" s="2" t="s">
        <v>589</v>
      </c>
      <c r="R173" s="2" t="str">
        <f>IFERROR(__xludf.DUMMYFUNCTION("GOOGLETRANSLATE(G173,""en"",""ur"")"),"اس نے نیلے رنگ کا ایک لمبا، سفید لباس پہن رکھا ہے۔")</f>
        <v>اس نے نیلے رنگ کا ایک لمبا، سفید لباس پہن رکھا ہے۔</v>
      </c>
      <c r="S173" s="6" t="s">
        <v>587</v>
      </c>
    </row>
    <row r="174">
      <c r="A174" s="7">
        <v>173.0</v>
      </c>
      <c r="B174" s="6" t="s">
        <v>471</v>
      </c>
      <c r="C174" s="6" t="s">
        <v>416</v>
      </c>
      <c r="D174" s="6" t="s">
        <v>417</v>
      </c>
      <c r="E174" s="6" t="s">
        <v>418</v>
      </c>
      <c r="F174" s="6" t="s">
        <v>419</v>
      </c>
      <c r="G174" s="6" t="s">
        <v>417</v>
      </c>
      <c r="H174" s="6" t="s">
        <v>587</v>
      </c>
      <c r="K174" s="2" t="str">
        <f>IFERROR(__xludf.DUMMYFUNCTION("GOOGLETRANSLATE(A174,""en"",""ur"")"),"173")</f>
        <v>173</v>
      </c>
      <c r="L174" s="2" t="str">
        <f>IFERROR(__xludf.DUMMYFUNCTION("GOOGLETRANSLATE(B174,""en"",""ur"")"),"آدمی کی طرف سے استعمال کیا جاتا بنیادی ہتھیار کیا ہے؟")</f>
        <v>آدمی کی طرف سے استعمال کیا جاتا بنیادی ہتھیار کیا ہے؟</v>
      </c>
      <c r="M174" s="2" t="str">
        <f>IFERROR(__xludf.DUMMYFUNCTION("GOOGLETRANSLATE(C174,""en"",""ur"")"),"ایک چھوٹی تلوار")</f>
        <v>ایک چھوٹی تلوار</v>
      </c>
      <c r="N174" s="2" t="str">
        <f>IFERROR(__xludf.DUMMYFUNCTION("GOOGLETRANSLATE(D174,""en"",""ur"")"),"ایک لمبی چھڑی")</f>
        <v>ایک لمبی چھڑی</v>
      </c>
      <c r="O174" s="2" t="str">
        <f>IFERROR(__xludf.DUMMYFUNCTION("GOOGLETRANSLATE(E174,""en"",""ur"")"),"ایک کمان اور تیر")</f>
        <v>ایک کمان اور تیر</v>
      </c>
      <c r="P174" s="2" t="str">
        <f>IFERROR(__xludf.DUMMYFUNCTION("GOOGLETRANSLATE(F174,""en"",""ur"")"),"ایک ننگی مٹھی")</f>
        <v>ایک ننگی مٹھی</v>
      </c>
      <c r="Q174" s="2" t="s">
        <v>420</v>
      </c>
      <c r="R174" s="2" t="str">
        <f>IFERROR(__xludf.DUMMYFUNCTION("GOOGLETRANSLATE(G174,""en"",""ur"")"),"ایک لمبی چھڑی")</f>
        <v>ایک لمبی چھڑی</v>
      </c>
      <c r="S174" s="6" t="s">
        <v>587</v>
      </c>
    </row>
    <row r="175">
      <c r="A175" s="7">
        <v>174.0</v>
      </c>
      <c r="B175" s="6" t="s">
        <v>421</v>
      </c>
      <c r="C175" s="6" t="s">
        <v>422</v>
      </c>
      <c r="D175" s="6" t="s">
        <v>423</v>
      </c>
      <c r="E175" s="6" t="s">
        <v>424</v>
      </c>
      <c r="F175" s="6" t="s">
        <v>425</v>
      </c>
      <c r="G175" s="6" t="s">
        <v>425</v>
      </c>
      <c r="H175" s="6" t="s">
        <v>587</v>
      </c>
      <c r="K175" s="2" t="str">
        <f>IFERROR(__xludf.DUMMYFUNCTION("GOOGLETRANSLATE(A175,""en"",""ur"")"),"174")</f>
        <v>174</v>
      </c>
      <c r="L175" s="2" t="str">
        <f>IFERROR(__xludf.DUMMYFUNCTION("GOOGLETRANSLATE(B175,""en"",""ur"")"),"اس لڑائی کی ترتیب کیا ہے؟")</f>
        <v>اس لڑائی کی ترتیب کیا ہے؟</v>
      </c>
      <c r="M175" s="2" t="str">
        <f>IFERROR(__xludf.DUMMYFUNCTION("GOOGLETRANSLATE(C175,""en"",""ur"")"),"ایک انڈور اسٹیڈیم")</f>
        <v>ایک انڈور اسٹیڈیم</v>
      </c>
      <c r="N175" s="2" t="str">
        <f>IFERROR(__xludf.DUMMYFUNCTION("GOOGLETRANSLATE(D175,""en"",""ur"")"),"ایک دیہی، بیرونی علاقہ")</f>
        <v>ایک دیہی، بیرونی علاقہ</v>
      </c>
      <c r="O175" s="2" t="str">
        <f>IFERROR(__xludf.DUMMYFUNCTION("GOOGLETRANSLATE(E175,""en"",""ur"")"),"شہر کی مصروف گلی")</f>
        <v>شہر کی مصروف گلی</v>
      </c>
      <c r="P175" s="2" t="str">
        <f>IFERROR(__xludf.DUMMYFUNCTION("GOOGLETRANSLATE(F175,""en"",""ur"")"),"گھاس کا میدان")</f>
        <v>گھاس کا میدان</v>
      </c>
      <c r="Q175" s="2" t="s">
        <v>426</v>
      </c>
      <c r="R175" s="2" t="str">
        <f>IFERROR(__xludf.DUMMYFUNCTION("GOOGLETRANSLATE(G175,""en"",""ur"")"),"گھاس کا میدان")</f>
        <v>گھاس کا میدان</v>
      </c>
      <c r="S175" s="6" t="s">
        <v>587</v>
      </c>
    </row>
    <row r="176">
      <c r="A176" s="7">
        <v>175.0</v>
      </c>
      <c r="B176" s="6" t="s">
        <v>472</v>
      </c>
      <c r="C176" s="6" t="s">
        <v>47</v>
      </c>
      <c r="D176" s="6" t="s">
        <v>48</v>
      </c>
      <c r="E176" s="6" t="s">
        <v>49</v>
      </c>
      <c r="F176" s="6" t="s">
        <v>50</v>
      </c>
      <c r="G176" s="6" t="s">
        <v>50</v>
      </c>
      <c r="H176" s="6" t="s">
        <v>587</v>
      </c>
      <c r="K176" s="2" t="str">
        <f>IFERROR(__xludf.DUMMYFUNCTION("GOOGLETRANSLATE(A176,""en"",""ur"")"),"175")</f>
        <v>175</v>
      </c>
      <c r="L176" s="2" t="str">
        <f>IFERROR(__xludf.DUMMYFUNCTION("GOOGLETRANSLATE(B176,""en"",""ur"")"),"آدمی کا ظاہری جذبات کیا ہے؟")</f>
        <v>آدمی کا ظاہری جذبات کیا ہے؟</v>
      </c>
      <c r="M176" s="2" t="str">
        <f>IFERROR(__xludf.DUMMYFUNCTION("GOOGLETRANSLATE(C176,""en"",""ur"")"),"پرسکون اور پر سکون")</f>
        <v>پرسکون اور پر سکون</v>
      </c>
      <c r="N176" s="2" t="str">
        <f>IFERROR(__xludf.DUMMYFUNCTION("GOOGLETRANSLATE(D176,""en"",""ur"")"),"خوف زدہ اور بے چین")</f>
        <v>خوف زدہ اور بے چین</v>
      </c>
      <c r="O176" s="2" t="str">
        <f>IFERROR(__xludf.DUMMYFUNCTION("GOOGLETRANSLATE(E176,""en"",""ur"")"),"کشیدہ اور شدید")</f>
        <v>کشیدہ اور شدید</v>
      </c>
      <c r="P176" s="2" t="str">
        <f>IFERROR(__xludf.DUMMYFUNCTION("GOOGLETRANSLATE(F176,""en"",""ur"")"),"خوش اور مسکراتے ہوئے۔")</f>
        <v>خوش اور مسکراتے ہوئے۔</v>
      </c>
      <c r="Q176" s="2" t="s">
        <v>51</v>
      </c>
      <c r="R176" s="2" t="str">
        <f>IFERROR(__xludf.DUMMYFUNCTION("GOOGLETRANSLATE(G176,""en"",""ur"")"),"خوش اور مسکراتے ہوئے۔")</f>
        <v>خوش اور مسکراتے ہوئے۔</v>
      </c>
      <c r="S176" s="6" t="s">
        <v>587</v>
      </c>
    </row>
    <row r="177">
      <c r="A177" s="7">
        <v>176.0</v>
      </c>
      <c r="B177" s="6" t="s">
        <v>473</v>
      </c>
      <c r="C177" s="6" t="s">
        <v>429</v>
      </c>
      <c r="D177" s="6" t="s">
        <v>430</v>
      </c>
      <c r="E177" s="6" t="s">
        <v>431</v>
      </c>
      <c r="F177" s="6" t="s">
        <v>432</v>
      </c>
      <c r="G177" s="6" t="s">
        <v>429</v>
      </c>
      <c r="H177" s="6" t="s">
        <v>587</v>
      </c>
      <c r="K177" s="2" t="str">
        <f>IFERROR(__xludf.DUMMYFUNCTION("GOOGLETRANSLATE(A177,""en"",""ur"")"),"176")</f>
        <v>176</v>
      </c>
      <c r="L177" s="2" t="str">
        <f>IFERROR(__xludf.DUMMYFUNCTION("GOOGLETRANSLATE(B177,""en"",""ur"")"),"مرد کی ظاہری جسمانی پوزیشن کیا ہے؟")</f>
        <v>مرد کی ظاہری جسمانی پوزیشن کیا ہے؟</v>
      </c>
      <c r="M177" s="2" t="str">
        <f>IFERROR(__xludf.DUMMYFUNCTION("GOOGLETRANSLATE(C177,""en"",""ur"")"),"سیدھا کھڑا ہونا")</f>
        <v>سیدھا کھڑا ہونا</v>
      </c>
      <c r="N177" s="2" t="str">
        <f>IFERROR(__xludf.DUMMYFUNCTION("GOOGLETRANSLATE(D177,""en"",""ur"")"),"کم، متحرک موقف میں")</f>
        <v>کم، متحرک موقف میں</v>
      </c>
      <c r="O177" s="2" t="str">
        <f>IFERROR(__xludf.DUMMYFUNCTION("GOOGLETRANSLATE(E177,""en"",""ur"")"),"زمین پر لیٹنا")</f>
        <v>زمین پر لیٹنا</v>
      </c>
      <c r="P177" s="2" t="str">
        <f>IFERROR(__xludf.DUMMYFUNCTION("GOOGLETRANSLATE(F177,""en"",""ur"")"),"بیٹھا ہوا")</f>
        <v>بیٹھا ہوا</v>
      </c>
      <c r="Q177" s="2" t="s">
        <v>433</v>
      </c>
      <c r="R177" s="2" t="str">
        <f>IFERROR(__xludf.DUMMYFUNCTION("GOOGLETRANSLATE(G177,""en"",""ur"")"),"سیدھا کھڑا ہونا")</f>
        <v>سیدھا کھڑا ہونا</v>
      </c>
      <c r="S177" s="6" t="s">
        <v>587</v>
      </c>
    </row>
    <row r="178">
      <c r="A178" s="7">
        <v>177.0</v>
      </c>
      <c r="B178" s="6" t="s">
        <v>434</v>
      </c>
      <c r="C178" s="6" t="s">
        <v>435</v>
      </c>
      <c r="D178" s="6" t="s">
        <v>436</v>
      </c>
      <c r="E178" s="6" t="s">
        <v>437</v>
      </c>
      <c r="F178" s="6" t="s">
        <v>438</v>
      </c>
      <c r="G178" s="6" t="s">
        <v>437</v>
      </c>
      <c r="H178" s="6" t="s">
        <v>587</v>
      </c>
      <c r="K178" s="2" t="str">
        <f>IFERROR(__xludf.DUMMYFUNCTION("GOOGLETRANSLATE(A178,""en"",""ur"")"),"177")</f>
        <v>177</v>
      </c>
      <c r="L178" s="2" t="str">
        <f>IFERROR(__xludf.DUMMYFUNCTION("GOOGLETRANSLATE(B178,""en"",""ur"")"),"پس منظر میں ہجوم کی سب سے نمایاں خصوصیت کیا ہے؟")</f>
        <v>پس منظر میں ہجوم کی سب سے نمایاں خصوصیت کیا ہے؟</v>
      </c>
      <c r="M178" s="2" t="str">
        <f>IFERROR(__xludf.DUMMYFUNCTION("GOOGLETRANSLATE(C178,""en"",""ur"")"),"وہ بھاگ رہے ہیں۔")</f>
        <v>وہ بھاگ رہے ہیں۔</v>
      </c>
      <c r="N178" s="2" t="str">
        <f>IFERROR(__xludf.DUMMYFUNCTION("GOOGLETRANSLATE(D178,""en"",""ur"")"),"وہ خاموش بیٹھے ہیں۔")</f>
        <v>وہ خاموش بیٹھے ہیں۔</v>
      </c>
      <c r="O178" s="2" t="str">
        <f>IFERROR(__xludf.DUMMYFUNCTION("GOOGLETRANSLATE(E178,""en"",""ur"")"),"وہ لڑائی کو قدرتی رکاوٹ سے دیکھ رہے ہیں۔")</f>
        <v>وہ لڑائی کو قدرتی رکاوٹ سے دیکھ رہے ہیں۔</v>
      </c>
      <c r="P178" s="2" t="str">
        <f>IFERROR(__xludf.DUMMYFUNCTION("GOOGLETRANSLATE(F178,""en"",""ur"")"),"وہ سب ایک اسٹیج پر کھڑے ہیں۔")</f>
        <v>وہ سب ایک اسٹیج پر کھڑے ہیں۔</v>
      </c>
      <c r="Q178" s="2" t="s">
        <v>439</v>
      </c>
      <c r="R178" s="2" t="str">
        <f>IFERROR(__xludf.DUMMYFUNCTION("GOOGLETRANSLATE(G178,""en"",""ur"")"),"وہ لڑائی کو قدرتی رکاوٹ سے دیکھ رہے ہیں۔")</f>
        <v>وہ لڑائی کو قدرتی رکاوٹ سے دیکھ رہے ہیں۔</v>
      </c>
      <c r="S178" s="6" t="s">
        <v>587</v>
      </c>
    </row>
    <row r="179">
      <c r="A179" s="7">
        <v>178.0</v>
      </c>
      <c r="B179" s="6" t="s">
        <v>440</v>
      </c>
      <c r="C179" s="6" t="s">
        <v>441</v>
      </c>
      <c r="D179" s="6" t="s">
        <v>442</v>
      </c>
      <c r="E179" s="6" t="s">
        <v>443</v>
      </c>
      <c r="F179" s="6" t="s">
        <v>444</v>
      </c>
      <c r="G179" s="6" t="s">
        <v>444</v>
      </c>
      <c r="H179" s="6" t="s">
        <v>587</v>
      </c>
      <c r="K179" s="2" t="str">
        <f>IFERROR(__xludf.DUMMYFUNCTION("GOOGLETRANSLATE(A179,""en"",""ur"")"),"178")</f>
        <v>178</v>
      </c>
      <c r="L179" s="2" t="str">
        <f>IFERROR(__xludf.DUMMYFUNCTION("GOOGLETRANSLATE(B179,""en"",""ur"")"),"زمین کی ظاہری حالت کیا ہے؟")</f>
        <v>زمین کی ظاہری حالت کیا ہے؟</v>
      </c>
      <c r="M179" s="2" t="str">
        <f>IFERROR(__xludf.DUMMYFUNCTION("GOOGLETRANSLATE(C179,""en"",""ur"")"),"یہ ایک پکی سطح ہے۔")</f>
        <v>یہ ایک پکی سطح ہے۔</v>
      </c>
      <c r="N179" s="2" t="str">
        <f>IFERROR(__xludf.DUMMYFUNCTION("GOOGLETRANSLATE(D179,""en"",""ur"")"),"یہ ایک کیچڑ والا میدان ہے۔")</f>
        <v>یہ ایک کیچڑ والا میدان ہے۔</v>
      </c>
      <c r="O179" s="2" t="str">
        <f>IFERROR(__xludf.DUMMYFUNCTION("GOOGLETRANSLATE(E179,""en"",""ur"")"),"یہ ایک ریتلی یا مٹی کی سطح ہے جس میں دھول اڑتی ہے۔")</f>
        <v>یہ ایک ریتلی یا مٹی کی سطح ہے جس میں دھول اڑتی ہے۔</v>
      </c>
      <c r="P179" s="2" t="str">
        <f>IFERROR(__xludf.DUMMYFUNCTION("GOOGLETRANSLATE(F179,""en"",""ur"")"),"یہ ایک گھاس والی سطح ہے۔")</f>
        <v>یہ ایک گھاس والی سطح ہے۔</v>
      </c>
      <c r="Q179" s="2" t="s">
        <v>445</v>
      </c>
      <c r="R179" s="2" t="str">
        <f>IFERROR(__xludf.DUMMYFUNCTION("GOOGLETRANSLATE(G179,""en"",""ur"")"),"یہ ایک گھاس والی سطح ہے۔")</f>
        <v>یہ ایک گھاس والی سطح ہے۔</v>
      </c>
      <c r="S179" s="6" t="s">
        <v>587</v>
      </c>
    </row>
    <row r="180">
      <c r="A180" s="7">
        <v>179.0</v>
      </c>
      <c r="B180" s="6" t="s">
        <v>476</v>
      </c>
      <c r="C180" s="6" t="s">
        <v>447</v>
      </c>
      <c r="D180" s="6" t="s">
        <v>448</v>
      </c>
      <c r="E180" s="6" t="s">
        <v>449</v>
      </c>
      <c r="F180" s="6" t="s">
        <v>450</v>
      </c>
      <c r="G180" s="6" t="s">
        <v>448</v>
      </c>
      <c r="H180" s="6" t="s">
        <v>587</v>
      </c>
      <c r="K180" s="2" t="str">
        <f>IFERROR(__xludf.DUMMYFUNCTION("GOOGLETRANSLATE(A180,""en"",""ur"")"),"179")</f>
        <v>179</v>
      </c>
      <c r="L180" s="2" t="str">
        <f>IFERROR(__xludf.DUMMYFUNCTION("GOOGLETRANSLATE(B180,""en"",""ur"")"),"لمبی چھڑی کا بنیادی مقصد کیا ہے؟")</f>
        <v>لمبی چھڑی کا بنیادی مقصد کیا ہے؟</v>
      </c>
      <c r="M180" s="2" t="str">
        <f>IFERROR(__xludf.DUMMYFUNCTION("GOOGLETRANSLATE(C180,""en"",""ur"")"),"تلوار کے وار کو روکنے کے لیے")</f>
        <v>تلوار کے وار کو روکنے کے لیے</v>
      </c>
      <c r="N180" s="2" t="str">
        <f>IFERROR(__xludf.DUMMYFUNCTION("GOOGLETRANSLATE(D180,""en"",""ur"")"),"ہتھیار رکھنے کے لیے")</f>
        <v>ہتھیار رکھنے کے لیے</v>
      </c>
      <c r="O180" s="2" t="str">
        <f>IFERROR(__xludf.DUMMYFUNCTION("GOOGLETRANSLATE(E180,""en"",""ur"")"),"صرف سجاوٹ کے لیے")</f>
        <v>صرف سجاوٹ کے لیے</v>
      </c>
      <c r="P180" s="2" t="str">
        <f>IFERROR(__xludf.DUMMYFUNCTION("GOOGLETRANSLATE(F180,""en"",""ur"")"),"سورج کو روکنے کے لئے")</f>
        <v>سورج کو روکنے کے لئے</v>
      </c>
      <c r="Q180" s="2" t="s">
        <v>451</v>
      </c>
      <c r="R180" s="2" t="str">
        <f>IFERROR(__xludf.DUMMYFUNCTION("GOOGLETRANSLATE(G180,""en"",""ur"")"),"ہتھیار رکھنے کے لیے")</f>
        <v>ہتھیار رکھنے کے لیے</v>
      </c>
      <c r="S180" s="6" t="s">
        <v>587</v>
      </c>
    </row>
    <row r="181">
      <c r="A181" s="7">
        <v>180.0</v>
      </c>
      <c r="B181" s="6" t="s">
        <v>452</v>
      </c>
      <c r="C181" s="6" t="s">
        <v>453</v>
      </c>
      <c r="D181" s="6" t="s">
        <v>454</v>
      </c>
      <c r="E181" s="6" t="s">
        <v>455</v>
      </c>
      <c r="F181" s="6" t="s">
        <v>456</v>
      </c>
      <c r="G181" s="6" t="s">
        <v>455</v>
      </c>
      <c r="H181" s="6" t="s">
        <v>587</v>
      </c>
      <c r="K181" s="2" t="str">
        <f>IFERROR(__xludf.DUMMYFUNCTION("GOOGLETRANSLATE(A181,""en"",""ur"")"),"180")</f>
        <v>180</v>
      </c>
      <c r="L181" s="2" t="str">
        <f>IFERROR(__xludf.DUMMYFUNCTION("GOOGLETRANSLATE(B181,""en"",""ur"")"),"ایونٹ کا مجموعی موڈ ایسا لگتا ہے...")</f>
        <v>ایونٹ کا مجموعی موڈ ایسا لگتا ہے...</v>
      </c>
      <c r="M181" s="2" t="str">
        <f>IFERROR(__xludf.DUMMYFUNCTION("GOOGLETRANSLATE(C181,""en"",""ur"")"),"ایک آرام دہ مشق سیشن")</f>
        <v>ایک آرام دہ مشق سیشن</v>
      </c>
      <c r="N181" s="2" t="str">
        <f>IFERROR(__xludf.DUMMYFUNCTION("GOOGLETRANSLATE(D181,""en"",""ur"")"),"ایک تناؤ اور جارحانہ کارکردگی")</f>
        <v>ایک تناؤ اور جارحانہ کارکردگی</v>
      </c>
      <c r="O181" s="2" t="str">
        <f>IFERROR(__xludf.DUMMYFUNCTION("GOOGLETRANSLATE(E181,""en"",""ur"")"),"ایک پرسکون، پرامن اجتماع")</f>
        <v>ایک پرسکون، پرامن اجتماع</v>
      </c>
      <c r="P181" s="2" t="str">
        <f>IFERROR(__xludf.DUMMYFUNCTION("GOOGLETRANSLATE(F181,""en"",""ur"")"),"ایک سست، رسمی رقص")</f>
        <v>ایک سست، رسمی رقص</v>
      </c>
      <c r="Q181" s="2" t="s">
        <v>457</v>
      </c>
      <c r="R181" s="2" t="str">
        <f>IFERROR(__xludf.DUMMYFUNCTION("GOOGLETRANSLATE(G181,""en"",""ur"")"),"ایک پرسکون، پرامن اجتماع")</f>
        <v>ایک پرسکون، پرامن اجتماع</v>
      </c>
      <c r="S181" s="6" t="s">
        <v>587</v>
      </c>
    </row>
    <row r="182">
      <c r="A182" s="7">
        <v>181.0</v>
      </c>
      <c r="B182" s="6" t="s">
        <v>590</v>
      </c>
      <c r="C182" s="6" t="s">
        <v>405</v>
      </c>
      <c r="D182" s="6" t="s">
        <v>406</v>
      </c>
      <c r="E182" s="6" t="s">
        <v>407</v>
      </c>
      <c r="F182" s="6" t="s">
        <v>408</v>
      </c>
      <c r="G182" s="6" t="s">
        <v>405</v>
      </c>
      <c r="H182" s="6" t="s">
        <v>591</v>
      </c>
      <c r="K182" s="2" t="str">
        <f>IFERROR(__xludf.DUMMYFUNCTION("GOOGLETRANSLATE(A182,""en"",""ur"")"),"181")</f>
        <v>181</v>
      </c>
      <c r="L182" s="2" t="str">
        <f>IFERROR(__xludf.DUMMYFUNCTION("GOOGLETRANSLATE(B182,""en"",""ur"")"),"گٹکا_18 میں دکھایا گیا اہم عمل کیا ہے؟")</f>
        <v>گٹکا_18 میں دکھایا گیا اہم عمل کیا ہے؟</v>
      </c>
      <c r="M182" s="2" t="str">
        <f>IFERROR(__xludf.DUMMYFUNCTION("GOOGLETRANSLATE(C182,""en"",""ur"")"),"دو آدمی تلواروں سے لڑ رہے ہیں۔")</f>
        <v>دو آدمی تلواروں سے لڑ رہے ہیں۔</v>
      </c>
      <c r="N182" s="2" t="str">
        <f>IFERROR(__xludf.DUMMYFUNCTION("GOOGLETRANSLATE(D182,""en"",""ur"")"),"دو آدمی ناچ رہے ہیں۔")</f>
        <v>دو آدمی ناچ رہے ہیں۔</v>
      </c>
      <c r="O182" s="2" t="str">
        <f>IFERROR(__xludf.DUMMYFUNCTION("GOOGLETRANSLATE(E182,""en"",""ur"")"),"دو آدمی سہارے کے ساتھ پوز دے رہے ہیں۔")</f>
        <v>دو آدمی سہارے کے ساتھ پوز دے رہے ہیں۔</v>
      </c>
      <c r="P182" s="2" t="str">
        <f>IFERROR(__xludf.DUMMYFUNCTION("GOOGLETRANSLATE(F182,""en"",""ur"")"),"دو آدمی کشتی کرتے ہوئے۔")</f>
        <v>دو آدمی کشتی کرتے ہوئے۔</v>
      </c>
      <c r="Q182" s="2" t="s">
        <v>460</v>
      </c>
      <c r="R182" s="2" t="str">
        <f>IFERROR(__xludf.DUMMYFUNCTION("GOOGLETRANSLATE(G182,""en"",""ur"")"),"دو آدمی تلواروں سے لڑ رہے ہیں۔")</f>
        <v>دو آدمی تلواروں سے لڑ رہے ہیں۔</v>
      </c>
      <c r="S182" s="6" t="s">
        <v>591</v>
      </c>
    </row>
    <row r="183">
      <c r="A183" s="7">
        <v>182.0</v>
      </c>
      <c r="B183" s="6" t="s">
        <v>487</v>
      </c>
      <c r="C183" s="6" t="s">
        <v>488</v>
      </c>
      <c r="D183" s="6" t="s">
        <v>592</v>
      </c>
      <c r="E183" s="6" t="s">
        <v>334</v>
      </c>
      <c r="F183" s="6" t="s">
        <v>413</v>
      </c>
      <c r="G183" s="6" t="s">
        <v>593</v>
      </c>
      <c r="H183" s="6" t="s">
        <v>591</v>
      </c>
      <c r="K183" s="2" t="str">
        <f>IFERROR(__xludf.DUMMYFUNCTION("GOOGLETRANSLATE(A183,""en"",""ur"")"),"182")</f>
        <v>182</v>
      </c>
      <c r="L183" s="2" t="str">
        <f>IFERROR(__xludf.DUMMYFUNCTION("GOOGLETRANSLATE(B183,""en"",""ur"")"),"جنگجوؤں کے لباس کے بارے میں ایک قابل ذکر تفصیل کیا ہے؟")</f>
        <v>جنگجوؤں کے لباس کے بارے میں ایک قابل ذکر تفصیل کیا ہے؟</v>
      </c>
      <c r="M183" s="2" t="str">
        <f>IFERROR(__xludf.DUMMYFUNCTION("GOOGLETRANSLATE(C183,""en"",""ur"")"),"انہوں نے بکتر کا پورا سوٹ پہن رکھا ہے۔")</f>
        <v>انہوں نے بکتر کا پورا سوٹ پہن رکھا ہے۔</v>
      </c>
      <c r="N183" s="2" t="str">
        <f>IFERROR(__xludf.DUMMYFUNCTION("GOOGLETRANSLATE(D183,""en"",""ur"")"),"انہوں نے ایک لمبا، نیلے رنگ کا لباس زیب تن کر رکھا ہے۔")</f>
        <v>انہوں نے ایک لمبا، نیلے رنگ کا لباس زیب تن کر رکھا ہے۔</v>
      </c>
      <c r="O183" s="2" t="str">
        <f>IFERROR(__xludf.DUMMYFUNCTION("GOOGLETRANSLATE(E183,""en"",""ur"")"),"اس نے شارٹس اور ٹی شرٹ پہن رکھی ہے۔")</f>
        <v>اس نے شارٹس اور ٹی شرٹ پہن رکھی ہے۔</v>
      </c>
      <c r="P183" s="2" t="str">
        <f>IFERROR(__xludf.DUMMYFUNCTION("GOOGLETRANSLATE(F183,""en"",""ur"")"),"اس نے پولیس کی وردی پہن رکھی ہے۔")</f>
        <v>اس نے پولیس کی وردی پہن رکھی ہے۔</v>
      </c>
      <c r="Q183" s="2" t="s">
        <v>594</v>
      </c>
      <c r="R183" s="2" t="str">
        <f>IFERROR(__xludf.DUMMYFUNCTION("GOOGLETRANSLATE(G183,""en"",""ur"")"),"اس نے ایک لمبا، نیلا لباس پہنا ہوا ہے جس میں پیلے رنگ کی چادر ہے۔")</f>
        <v>اس نے ایک لمبا، نیلا لباس پہنا ہوا ہے جس میں پیلے رنگ کی چادر ہے۔</v>
      </c>
      <c r="S183" s="6" t="s">
        <v>591</v>
      </c>
    </row>
    <row r="184">
      <c r="A184" s="7">
        <v>183.0</v>
      </c>
      <c r="B184" s="6" t="s">
        <v>415</v>
      </c>
      <c r="C184" s="6" t="s">
        <v>416</v>
      </c>
      <c r="D184" s="6" t="s">
        <v>417</v>
      </c>
      <c r="E184" s="6" t="s">
        <v>418</v>
      </c>
      <c r="F184" s="6" t="s">
        <v>419</v>
      </c>
      <c r="G184" s="6" t="s">
        <v>416</v>
      </c>
      <c r="H184" s="6" t="s">
        <v>591</v>
      </c>
      <c r="K184" s="2" t="str">
        <f>IFERROR(__xludf.DUMMYFUNCTION("GOOGLETRANSLATE(A184,""en"",""ur"")"),"183")</f>
        <v>183</v>
      </c>
      <c r="L184" s="2" t="str">
        <f>IFERROR(__xludf.DUMMYFUNCTION("GOOGLETRANSLATE(B184,""en"",""ur"")"),"جنگجوؤں کے ذریعہ استعمال ہونے والا بنیادی ہتھیار کیا ہے؟")</f>
        <v>جنگجوؤں کے ذریعہ استعمال ہونے والا بنیادی ہتھیار کیا ہے؟</v>
      </c>
      <c r="M184" s="2" t="str">
        <f>IFERROR(__xludf.DUMMYFUNCTION("GOOGLETRANSLATE(C184,""en"",""ur"")"),"ایک چھوٹی تلوار")</f>
        <v>ایک چھوٹی تلوار</v>
      </c>
      <c r="N184" s="2" t="str">
        <f>IFERROR(__xludf.DUMMYFUNCTION("GOOGLETRANSLATE(D184,""en"",""ur"")"),"ایک لمبی چھڑی")</f>
        <v>ایک لمبی چھڑی</v>
      </c>
      <c r="O184" s="2" t="str">
        <f>IFERROR(__xludf.DUMMYFUNCTION("GOOGLETRANSLATE(E184,""en"",""ur"")"),"ایک کمان اور تیر")</f>
        <v>ایک کمان اور تیر</v>
      </c>
      <c r="P184" s="2" t="str">
        <f>IFERROR(__xludf.DUMMYFUNCTION("GOOGLETRANSLATE(F184,""en"",""ur"")"),"ایک ننگی مٹھی")</f>
        <v>ایک ننگی مٹھی</v>
      </c>
      <c r="Q184" s="2" t="s">
        <v>420</v>
      </c>
      <c r="R184" s="2" t="str">
        <f>IFERROR(__xludf.DUMMYFUNCTION("GOOGLETRANSLATE(G184,""en"",""ur"")"),"ایک چھوٹی تلوار")</f>
        <v>ایک چھوٹی تلوار</v>
      </c>
      <c r="S184" s="6" t="s">
        <v>591</v>
      </c>
    </row>
    <row r="185">
      <c r="A185" s="7">
        <v>184.0</v>
      </c>
      <c r="B185" s="6" t="s">
        <v>421</v>
      </c>
      <c r="C185" s="6" t="s">
        <v>422</v>
      </c>
      <c r="D185" s="6" t="s">
        <v>423</v>
      </c>
      <c r="E185" s="6" t="s">
        <v>424</v>
      </c>
      <c r="F185" s="6" t="s">
        <v>425</v>
      </c>
      <c r="G185" s="6" t="s">
        <v>423</v>
      </c>
      <c r="H185" s="6" t="s">
        <v>591</v>
      </c>
      <c r="K185" s="2" t="str">
        <f>IFERROR(__xludf.DUMMYFUNCTION("GOOGLETRANSLATE(A185,""en"",""ur"")"),"184")</f>
        <v>184</v>
      </c>
      <c r="L185" s="2" t="str">
        <f>IFERROR(__xludf.DUMMYFUNCTION("GOOGLETRANSLATE(B185,""en"",""ur"")"),"اس لڑائی کی ترتیب کیا ہے؟")</f>
        <v>اس لڑائی کی ترتیب کیا ہے؟</v>
      </c>
      <c r="M185" s="2" t="str">
        <f>IFERROR(__xludf.DUMMYFUNCTION("GOOGLETRANSLATE(C185,""en"",""ur"")"),"ایک انڈور اسٹیڈیم")</f>
        <v>ایک انڈور اسٹیڈیم</v>
      </c>
      <c r="N185" s="2" t="str">
        <f>IFERROR(__xludf.DUMMYFUNCTION("GOOGLETRANSLATE(D185,""en"",""ur"")"),"ایک دیہی، بیرونی علاقہ")</f>
        <v>ایک دیہی، بیرونی علاقہ</v>
      </c>
      <c r="O185" s="2" t="str">
        <f>IFERROR(__xludf.DUMMYFUNCTION("GOOGLETRANSLATE(E185,""en"",""ur"")"),"شہر کی مصروف گلی")</f>
        <v>شہر کی مصروف گلی</v>
      </c>
      <c r="P185" s="2" t="str">
        <f>IFERROR(__xludf.DUMMYFUNCTION("GOOGLETRANSLATE(F185,""en"",""ur"")"),"گھاس کا میدان")</f>
        <v>گھاس کا میدان</v>
      </c>
      <c r="Q185" s="2" t="s">
        <v>426</v>
      </c>
      <c r="R185" s="2" t="str">
        <f>IFERROR(__xludf.DUMMYFUNCTION("GOOGLETRANSLATE(G185,""en"",""ur"")"),"ایک دیہی، بیرونی علاقہ")</f>
        <v>ایک دیہی، بیرونی علاقہ</v>
      </c>
      <c r="S185" s="6" t="s">
        <v>591</v>
      </c>
    </row>
    <row r="186">
      <c r="A186" s="7">
        <v>185.0</v>
      </c>
      <c r="B186" s="6" t="s">
        <v>427</v>
      </c>
      <c r="C186" s="6" t="s">
        <v>47</v>
      </c>
      <c r="D186" s="6" t="s">
        <v>48</v>
      </c>
      <c r="E186" s="6" t="s">
        <v>49</v>
      </c>
      <c r="F186" s="6" t="s">
        <v>50</v>
      </c>
      <c r="G186" s="6" t="s">
        <v>49</v>
      </c>
      <c r="H186" s="6" t="s">
        <v>591</v>
      </c>
      <c r="K186" s="2" t="str">
        <f>IFERROR(__xludf.DUMMYFUNCTION("GOOGLETRANSLATE(A186,""en"",""ur"")"),"185")</f>
        <v>185</v>
      </c>
      <c r="L186" s="2" t="str">
        <f>IFERROR(__xludf.DUMMYFUNCTION("GOOGLETRANSLATE(B186,""en"",""ur"")"),"جنگجوؤں کے ظاہری جذبات کیا ہیں؟")</f>
        <v>جنگجوؤں کے ظاہری جذبات کیا ہیں؟</v>
      </c>
      <c r="M186" s="2" t="str">
        <f>IFERROR(__xludf.DUMMYFUNCTION("GOOGLETRANSLATE(C186,""en"",""ur"")"),"پرسکون اور پر سکون")</f>
        <v>پرسکون اور پر سکون</v>
      </c>
      <c r="N186" s="2" t="str">
        <f>IFERROR(__xludf.DUMMYFUNCTION("GOOGLETRANSLATE(D186,""en"",""ur"")"),"خوف زدہ اور بے چین")</f>
        <v>خوف زدہ اور بے چین</v>
      </c>
      <c r="O186" s="2" t="str">
        <f>IFERROR(__xludf.DUMMYFUNCTION("GOOGLETRANSLATE(E186,""en"",""ur"")"),"کشیدہ اور شدید")</f>
        <v>کشیدہ اور شدید</v>
      </c>
      <c r="P186" s="2" t="str">
        <f>IFERROR(__xludf.DUMMYFUNCTION("GOOGLETRANSLATE(F186,""en"",""ur"")"),"خوش اور مسکراتے ہوئے۔")</f>
        <v>خوش اور مسکراتے ہوئے۔</v>
      </c>
      <c r="Q186" s="2" t="s">
        <v>51</v>
      </c>
      <c r="R186" s="2" t="str">
        <f>IFERROR(__xludf.DUMMYFUNCTION("GOOGLETRANSLATE(G186,""en"",""ur"")"),"کشیدہ اور شدید")</f>
        <v>کشیدہ اور شدید</v>
      </c>
      <c r="S186" s="6" t="s">
        <v>591</v>
      </c>
    </row>
    <row r="187">
      <c r="A187" s="7">
        <v>186.0</v>
      </c>
      <c r="B187" s="6" t="s">
        <v>428</v>
      </c>
      <c r="C187" s="6" t="s">
        <v>429</v>
      </c>
      <c r="D187" s="6" t="s">
        <v>430</v>
      </c>
      <c r="E187" s="6" t="s">
        <v>431</v>
      </c>
      <c r="F187" s="6" t="s">
        <v>432</v>
      </c>
      <c r="G187" s="6" t="s">
        <v>430</v>
      </c>
      <c r="H187" s="6" t="s">
        <v>591</v>
      </c>
      <c r="K187" s="2" t="str">
        <f>IFERROR(__xludf.DUMMYFUNCTION("GOOGLETRANSLATE(A187,""en"",""ur"")"),"186")</f>
        <v>186</v>
      </c>
      <c r="L187" s="2" t="str">
        <f>IFERROR(__xludf.DUMMYFUNCTION("GOOGLETRANSLATE(B187,""en"",""ur"")"),"جنگجوؤں کی ظاہری باڈی پوزیشن کیا ہے؟")</f>
        <v>جنگجوؤں کی ظاہری باڈی پوزیشن کیا ہے؟</v>
      </c>
      <c r="M187" s="2" t="str">
        <f>IFERROR(__xludf.DUMMYFUNCTION("GOOGLETRANSLATE(C187,""en"",""ur"")"),"سیدھا کھڑا ہونا")</f>
        <v>سیدھا کھڑا ہونا</v>
      </c>
      <c r="N187" s="2" t="str">
        <f>IFERROR(__xludf.DUMMYFUNCTION("GOOGLETRANSLATE(D187,""en"",""ur"")"),"کم، متحرک موقف میں")</f>
        <v>کم، متحرک موقف میں</v>
      </c>
      <c r="O187" s="2" t="str">
        <f>IFERROR(__xludf.DUMMYFUNCTION("GOOGLETRANSLATE(E187,""en"",""ur"")"),"زمین پر لیٹنا")</f>
        <v>زمین پر لیٹنا</v>
      </c>
      <c r="P187" s="2" t="str">
        <f>IFERROR(__xludf.DUMMYFUNCTION("GOOGLETRANSLATE(F187,""en"",""ur"")"),"بیٹھا ہوا")</f>
        <v>بیٹھا ہوا</v>
      </c>
      <c r="Q187" s="2" t="s">
        <v>433</v>
      </c>
      <c r="R187" s="2" t="str">
        <f>IFERROR(__xludf.DUMMYFUNCTION("GOOGLETRANSLATE(G187,""en"",""ur"")"),"کم، متحرک موقف میں")</f>
        <v>کم، متحرک موقف میں</v>
      </c>
      <c r="S187" s="6" t="s">
        <v>591</v>
      </c>
    </row>
    <row r="188">
      <c r="A188" s="7">
        <v>187.0</v>
      </c>
      <c r="B188" s="6" t="s">
        <v>434</v>
      </c>
      <c r="C188" s="6" t="s">
        <v>435</v>
      </c>
      <c r="D188" s="6" t="s">
        <v>436</v>
      </c>
      <c r="E188" s="6" t="s">
        <v>437</v>
      </c>
      <c r="F188" s="6" t="s">
        <v>438</v>
      </c>
      <c r="G188" s="6" t="s">
        <v>437</v>
      </c>
      <c r="H188" s="6" t="s">
        <v>591</v>
      </c>
      <c r="K188" s="2" t="str">
        <f>IFERROR(__xludf.DUMMYFUNCTION("GOOGLETRANSLATE(A188,""en"",""ur"")"),"187")</f>
        <v>187</v>
      </c>
      <c r="L188" s="2" t="str">
        <f>IFERROR(__xludf.DUMMYFUNCTION("GOOGLETRANSLATE(B188,""en"",""ur"")"),"پس منظر میں ہجوم کی سب سے نمایاں خصوصیت کیا ہے؟")</f>
        <v>پس منظر میں ہجوم کی سب سے نمایاں خصوصیت کیا ہے؟</v>
      </c>
      <c r="M188" s="2" t="str">
        <f>IFERROR(__xludf.DUMMYFUNCTION("GOOGLETRANSLATE(C188,""en"",""ur"")"),"وہ بھاگ رہے ہیں۔")</f>
        <v>وہ بھاگ رہے ہیں۔</v>
      </c>
      <c r="N188" s="2" t="str">
        <f>IFERROR(__xludf.DUMMYFUNCTION("GOOGLETRANSLATE(D188,""en"",""ur"")"),"وہ خاموش بیٹھے ہیں۔")</f>
        <v>وہ خاموش بیٹھے ہیں۔</v>
      </c>
      <c r="O188" s="2" t="str">
        <f>IFERROR(__xludf.DUMMYFUNCTION("GOOGLETRANSLATE(E188,""en"",""ur"")"),"وہ لڑائی کو قدرتی رکاوٹ سے دیکھ رہے ہیں۔")</f>
        <v>وہ لڑائی کو قدرتی رکاوٹ سے دیکھ رہے ہیں۔</v>
      </c>
      <c r="P188" s="2" t="str">
        <f>IFERROR(__xludf.DUMMYFUNCTION("GOOGLETRANSLATE(F188,""en"",""ur"")"),"وہ سب ایک اسٹیج پر کھڑے ہیں۔")</f>
        <v>وہ سب ایک اسٹیج پر کھڑے ہیں۔</v>
      </c>
      <c r="Q188" s="2" t="s">
        <v>439</v>
      </c>
      <c r="R188" s="2" t="str">
        <f>IFERROR(__xludf.DUMMYFUNCTION("GOOGLETRANSLATE(G188,""en"",""ur"")"),"وہ لڑائی کو قدرتی رکاوٹ سے دیکھ رہے ہیں۔")</f>
        <v>وہ لڑائی کو قدرتی رکاوٹ سے دیکھ رہے ہیں۔</v>
      </c>
      <c r="S188" s="6" t="s">
        <v>591</v>
      </c>
    </row>
    <row r="189">
      <c r="A189" s="7">
        <v>188.0</v>
      </c>
      <c r="B189" s="6" t="s">
        <v>440</v>
      </c>
      <c r="C189" s="6" t="s">
        <v>441</v>
      </c>
      <c r="D189" s="6" t="s">
        <v>442</v>
      </c>
      <c r="E189" s="6" t="s">
        <v>443</v>
      </c>
      <c r="F189" s="6" t="s">
        <v>444</v>
      </c>
      <c r="G189" s="6" t="s">
        <v>442</v>
      </c>
      <c r="H189" s="6" t="s">
        <v>591</v>
      </c>
      <c r="K189" s="2" t="str">
        <f>IFERROR(__xludf.DUMMYFUNCTION("GOOGLETRANSLATE(A189,""en"",""ur"")"),"188")</f>
        <v>188</v>
      </c>
      <c r="L189" s="2" t="str">
        <f>IFERROR(__xludf.DUMMYFUNCTION("GOOGLETRANSLATE(B189,""en"",""ur"")"),"زمین کی ظاہری حالت کیا ہے؟")</f>
        <v>زمین کی ظاہری حالت کیا ہے؟</v>
      </c>
      <c r="M189" s="2" t="str">
        <f>IFERROR(__xludf.DUMMYFUNCTION("GOOGLETRANSLATE(C189,""en"",""ur"")"),"یہ ایک پکی سطح ہے۔")</f>
        <v>یہ ایک پکی سطح ہے۔</v>
      </c>
      <c r="N189" s="2" t="str">
        <f>IFERROR(__xludf.DUMMYFUNCTION("GOOGLETRANSLATE(D189,""en"",""ur"")"),"یہ ایک کیچڑ والا میدان ہے۔")</f>
        <v>یہ ایک کیچڑ والا میدان ہے۔</v>
      </c>
      <c r="O189" s="2" t="str">
        <f>IFERROR(__xludf.DUMMYFUNCTION("GOOGLETRANSLATE(E189,""en"",""ur"")"),"یہ ایک ریتلی یا مٹی کی سطح ہے جس میں دھول اڑتی ہے۔")</f>
        <v>یہ ایک ریتلی یا مٹی کی سطح ہے جس میں دھول اڑتی ہے۔</v>
      </c>
      <c r="P189" s="2" t="str">
        <f>IFERROR(__xludf.DUMMYFUNCTION("GOOGLETRANSLATE(F189,""en"",""ur"")"),"یہ ایک گھاس والی سطح ہے۔")</f>
        <v>یہ ایک گھاس والی سطح ہے۔</v>
      </c>
      <c r="Q189" s="2" t="s">
        <v>445</v>
      </c>
      <c r="R189" s="2" t="str">
        <f>IFERROR(__xludf.DUMMYFUNCTION("GOOGLETRANSLATE(G189,""en"",""ur"")"),"یہ ایک کیچڑ والا میدان ہے۔")</f>
        <v>یہ ایک کیچڑ والا میدان ہے۔</v>
      </c>
      <c r="S189" s="6" t="s">
        <v>591</v>
      </c>
    </row>
    <row r="190">
      <c r="A190" s="7">
        <v>189.0</v>
      </c>
      <c r="B190" s="6" t="s">
        <v>446</v>
      </c>
      <c r="C190" s="6" t="s">
        <v>447</v>
      </c>
      <c r="D190" s="6" t="s">
        <v>448</v>
      </c>
      <c r="E190" s="6" t="s">
        <v>449</v>
      </c>
      <c r="F190" s="6" t="s">
        <v>450</v>
      </c>
      <c r="G190" s="6" t="s">
        <v>447</v>
      </c>
      <c r="H190" s="6" t="s">
        <v>591</v>
      </c>
      <c r="K190" s="2" t="str">
        <f>IFERROR(__xludf.DUMMYFUNCTION("GOOGLETRANSLATE(A190,""en"",""ur"")"),"189")</f>
        <v>189</v>
      </c>
      <c r="L190" s="2" t="str">
        <f>IFERROR(__xludf.DUMMYFUNCTION("GOOGLETRANSLATE(B190,""en"",""ur"")"),"ڈھال کا بنیادی مقصد کیا ہے جو ہر لڑاکا پکڑے ہوئے ہے؟")</f>
        <v>ڈھال کا بنیادی مقصد کیا ہے جو ہر لڑاکا پکڑے ہوئے ہے؟</v>
      </c>
      <c r="M190" s="2" t="str">
        <f>IFERROR(__xludf.DUMMYFUNCTION("GOOGLETRANSLATE(C190,""en"",""ur"")"),"تلوار کے وار کو روکنے کے لیے")</f>
        <v>تلوار کے وار کو روکنے کے لیے</v>
      </c>
      <c r="N190" s="2" t="str">
        <f>IFERROR(__xludf.DUMMYFUNCTION("GOOGLETRANSLATE(D190,""en"",""ur"")"),"ہتھیار رکھنے کے لیے")</f>
        <v>ہتھیار رکھنے کے لیے</v>
      </c>
      <c r="O190" s="2" t="str">
        <f>IFERROR(__xludf.DUMMYFUNCTION("GOOGLETRANSLATE(E190,""en"",""ur"")"),"صرف سجاوٹ کے لیے")</f>
        <v>صرف سجاوٹ کے لیے</v>
      </c>
      <c r="P190" s="2" t="str">
        <f>IFERROR(__xludf.DUMMYFUNCTION("GOOGLETRANSLATE(F190,""en"",""ur"")"),"سورج کو روکنے کے لئے")</f>
        <v>سورج کو روکنے کے لئے</v>
      </c>
      <c r="Q190" s="2" t="s">
        <v>451</v>
      </c>
      <c r="R190" s="2" t="str">
        <f>IFERROR(__xludf.DUMMYFUNCTION("GOOGLETRANSLATE(G190,""en"",""ur"")"),"تلوار کے وار کو روکنے کے لیے")</f>
        <v>تلوار کے وار کو روکنے کے لیے</v>
      </c>
      <c r="S190" s="6" t="s">
        <v>591</v>
      </c>
    </row>
    <row r="191">
      <c r="A191" s="7">
        <v>190.0</v>
      </c>
      <c r="B191" s="6" t="s">
        <v>452</v>
      </c>
      <c r="C191" s="6" t="s">
        <v>453</v>
      </c>
      <c r="D191" s="6" t="s">
        <v>454</v>
      </c>
      <c r="E191" s="6" t="s">
        <v>455</v>
      </c>
      <c r="F191" s="6" t="s">
        <v>456</v>
      </c>
      <c r="G191" s="6" t="s">
        <v>454</v>
      </c>
      <c r="H191" s="6" t="s">
        <v>591</v>
      </c>
      <c r="K191" s="2" t="str">
        <f>IFERROR(__xludf.DUMMYFUNCTION("GOOGLETRANSLATE(A191,""en"",""ur"")"),"190")</f>
        <v>190</v>
      </c>
      <c r="L191" s="2" t="str">
        <f>IFERROR(__xludf.DUMMYFUNCTION("GOOGLETRANSLATE(B191,""en"",""ur"")"),"ایونٹ کا مجموعی موڈ ایسا لگتا ہے...")</f>
        <v>ایونٹ کا مجموعی موڈ ایسا لگتا ہے...</v>
      </c>
      <c r="M191" s="2" t="str">
        <f>IFERROR(__xludf.DUMMYFUNCTION("GOOGLETRANSLATE(C191,""en"",""ur"")"),"ایک آرام دہ مشق سیشن")</f>
        <v>ایک آرام دہ مشق سیشن</v>
      </c>
      <c r="N191" s="2" t="str">
        <f>IFERROR(__xludf.DUMMYFUNCTION("GOOGLETRANSLATE(D191,""en"",""ur"")"),"ایک تناؤ اور جارحانہ کارکردگی")</f>
        <v>ایک تناؤ اور جارحانہ کارکردگی</v>
      </c>
      <c r="O191" s="2" t="str">
        <f>IFERROR(__xludf.DUMMYFUNCTION("GOOGLETRANSLATE(E191,""en"",""ur"")"),"ایک پرسکون، پرامن اجتماع")</f>
        <v>ایک پرسکون، پرامن اجتماع</v>
      </c>
      <c r="P191" s="2" t="str">
        <f>IFERROR(__xludf.DUMMYFUNCTION("GOOGLETRANSLATE(F191,""en"",""ur"")"),"ایک سست، رسمی رقص")</f>
        <v>ایک سست، رسمی رقص</v>
      </c>
      <c r="Q191" s="2" t="s">
        <v>457</v>
      </c>
      <c r="R191" s="2" t="str">
        <f>IFERROR(__xludf.DUMMYFUNCTION("GOOGLETRANSLATE(G191,""en"",""ur"")"),"ایک تناؤ اور جارحانہ کارکردگی")</f>
        <v>ایک تناؤ اور جارحانہ کارکردگی</v>
      </c>
      <c r="S191" s="6" t="s">
        <v>591</v>
      </c>
    </row>
    <row r="192">
      <c r="A192" s="7">
        <v>191.0</v>
      </c>
      <c r="B192" s="6" t="s">
        <v>595</v>
      </c>
      <c r="C192" s="6" t="s">
        <v>464</v>
      </c>
      <c r="D192" s="6" t="s">
        <v>465</v>
      </c>
      <c r="E192" s="6" t="s">
        <v>466</v>
      </c>
      <c r="F192" s="6" t="s">
        <v>478</v>
      </c>
      <c r="G192" s="6" t="s">
        <v>466</v>
      </c>
      <c r="H192" s="6" t="s">
        <v>596</v>
      </c>
      <c r="K192" s="2" t="str">
        <f>IFERROR(__xludf.DUMMYFUNCTION("GOOGLETRANSLATE(A192,""en"",""ur"")"),"191")</f>
        <v>191</v>
      </c>
      <c r="L192" s="2" t="str">
        <f>IFERROR(__xludf.DUMMYFUNCTION("GOOGLETRANSLATE(B192,""en"",""ur"")"),"گٹکا_41 میں دکھایا گیا اہم عمل کیا ہے؟")</f>
        <v>گٹکا_41 میں دکھایا گیا اہم عمل کیا ہے؟</v>
      </c>
      <c r="M192" s="2" t="str">
        <f>IFERROR(__xludf.DUMMYFUNCTION("GOOGLETRANSLATE(C192,""en"",""ur"")"),"ایک آدمی ناچ رہا ہے۔")</f>
        <v>ایک آدمی ناچ رہا ہے۔</v>
      </c>
      <c r="N192" s="2" t="str">
        <f>IFERROR(__xludf.DUMMYFUNCTION("GOOGLETRANSLATE(D192,""en"",""ur"")"),"ایک آدمی سہارے کے ساتھ پوز کر رہا ہے۔")</f>
        <v>ایک آدمی سہارے کے ساتھ پوز کر رہا ہے۔</v>
      </c>
      <c r="O192" s="2" t="str">
        <f>IFERROR(__xludf.DUMMYFUNCTION("GOOGLETRANSLATE(E192,""en"",""ur"")"),"تلواروں سے لڑنے والا آدمی")</f>
        <v>تلواروں سے لڑنے والا آدمی</v>
      </c>
      <c r="P192" s="2" t="str">
        <f>IFERROR(__xludf.DUMMYFUNCTION("GOOGLETRANSLATE(F192,""en"",""ur"")"),"ایک آدمی چھوٹی تلوار کے ساتھ ہوا میں چھلانگ لگا رہا ہے۔")</f>
        <v>ایک آدمی چھوٹی تلوار کے ساتھ ہوا میں چھلانگ لگا رہا ہے۔</v>
      </c>
      <c r="Q192" s="2" t="s">
        <v>480</v>
      </c>
      <c r="R192" s="2" t="str">
        <f>IFERROR(__xludf.DUMMYFUNCTION("GOOGLETRANSLATE(G192,""en"",""ur"")"),"تلواروں سے لڑنے والا آدمی")</f>
        <v>تلواروں سے لڑنے والا آدمی</v>
      </c>
      <c r="S192" s="6" t="s">
        <v>596</v>
      </c>
    </row>
    <row r="193">
      <c r="A193" s="7">
        <v>192.0</v>
      </c>
      <c r="B193" s="6" t="s">
        <v>470</v>
      </c>
      <c r="C193" s="6" t="s">
        <v>411</v>
      </c>
      <c r="D193" s="6" t="s">
        <v>597</v>
      </c>
      <c r="E193" s="6" t="s">
        <v>334</v>
      </c>
      <c r="F193" s="6" t="s">
        <v>413</v>
      </c>
      <c r="G193" s="6" t="s">
        <v>597</v>
      </c>
      <c r="H193" s="6" t="s">
        <v>596</v>
      </c>
      <c r="K193" s="2" t="str">
        <f>IFERROR(__xludf.DUMMYFUNCTION("GOOGLETRANSLATE(A193,""en"",""ur"")"),"192")</f>
        <v>192</v>
      </c>
      <c r="L193" s="2" t="str">
        <f>IFERROR(__xludf.DUMMYFUNCTION("GOOGLETRANSLATE(B193,""en"",""ur"")"),"آدمی کے لباس کے بارے میں ایک قابل ذکر تفصیل کیا ہے؟")</f>
        <v>آدمی کے لباس کے بارے میں ایک قابل ذکر تفصیل کیا ہے؟</v>
      </c>
      <c r="M193" s="2" t="str">
        <f>IFERROR(__xludf.DUMMYFUNCTION("GOOGLETRANSLATE(C193,""en"",""ur"")"),"اس نے بکتر کا پورا سوٹ پہن رکھا ہے۔")</f>
        <v>اس نے بکتر کا پورا سوٹ پہن رکھا ہے۔</v>
      </c>
      <c r="N193" s="2" t="str">
        <f>IFERROR(__xludf.DUMMYFUNCTION("GOOGLETRANSLATE(D193,""en"",""ur"")"),"اس نے لمبا، پیلے پیٹرن والا اسکرٹ پہن رکھا ہے۔")</f>
        <v>اس نے لمبا، پیلے پیٹرن والا اسکرٹ پہن رکھا ہے۔</v>
      </c>
      <c r="O193" s="2" t="str">
        <f>IFERROR(__xludf.DUMMYFUNCTION("GOOGLETRANSLATE(E193,""en"",""ur"")"),"اس نے شارٹس اور ٹی شرٹ پہن رکھی ہے۔")</f>
        <v>اس نے شارٹس اور ٹی شرٹ پہن رکھی ہے۔</v>
      </c>
      <c r="P193" s="2" t="str">
        <f>IFERROR(__xludf.DUMMYFUNCTION("GOOGLETRANSLATE(F193,""en"",""ur"")"),"اس نے پولیس کی وردی پہن رکھی ہے۔")</f>
        <v>اس نے پولیس کی وردی پہن رکھی ہے۔</v>
      </c>
      <c r="Q193" s="2" t="s">
        <v>598</v>
      </c>
      <c r="R193" s="2" t="str">
        <f>IFERROR(__xludf.DUMMYFUNCTION("GOOGLETRANSLATE(G193,""en"",""ur"")"),"اس نے لمبا، پیلے پیٹرن والا اسکرٹ پہن رکھا ہے۔")</f>
        <v>اس نے لمبا، پیلے پیٹرن والا اسکرٹ پہن رکھا ہے۔</v>
      </c>
      <c r="S193" s="6" t="s">
        <v>596</v>
      </c>
    </row>
    <row r="194">
      <c r="A194" s="7">
        <v>193.0</v>
      </c>
      <c r="B194" s="6" t="s">
        <v>471</v>
      </c>
      <c r="C194" s="6" t="s">
        <v>416</v>
      </c>
      <c r="D194" s="6" t="s">
        <v>417</v>
      </c>
      <c r="E194" s="6" t="s">
        <v>418</v>
      </c>
      <c r="F194" s="6" t="s">
        <v>419</v>
      </c>
      <c r="G194" s="6" t="s">
        <v>416</v>
      </c>
      <c r="H194" s="6" t="s">
        <v>596</v>
      </c>
      <c r="K194" s="2" t="str">
        <f>IFERROR(__xludf.DUMMYFUNCTION("GOOGLETRANSLATE(A194,""en"",""ur"")"),"193")</f>
        <v>193</v>
      </c>
      <c r="L194" s="2" t="str">
        <f>IFERROR(__xludf.DUMMYFUNCTION("GOOGLETRANSLATE(B194,""en"",""ur"")"),"آدمی کی طرف سے استعمال کیا جاتا بنیادی ہتھیار کیا ہے؟")</f>
        <v>آدمی کی طرف سے استعمال کیا جاتا بنیادی ہتھیار کیا ہے؟</v>
      </c>
      <c r="M194" s="2" t="str">
        <f>IFERROR(__xludf.DUMMYFUNCTION("GOOGLETRANSLATE(C194,""en"",""ur"")"),"ایک چھوٹی تلوار")</f>
        <v>ایک چھوٹی تلوار</v>
      </c>
      <c r="N194" s="2" t="str">
        <f>IFERROR(__xludf.DUMMYFUNCTION("GOOGLETRANSLATE(D194,""en"",""ur"")"),"ایک لمبی چھڑی")</f>
        <v>ایک لمبی چھڑی</v>
      </c>
      <c r="O194" s="2" t="str">
        <f>IFERROR(__xludf.DUMMYFUNCTION("GOOGLETRANSLATE(E194,""en"",""ur"")"),"ایک کمان اور تیر")</f>
        <v>ایک کمان اور تیر</v>
      </c>
      <c r="P194" s="2" t="str">
        <f>IFERROR(__xludf.DUMMYFUNCTION("GOOGLETRANSLATE(F194,""en"",""ur"")"),"ایک ننگی مٹھی")</f>
        <v>ایک ننگی مٹھی</v>
      </c>
      <c r="Q194" s="2" t="s">
        <v>420</v>
      </c>
      <c r="R194" s="2" t="str">
        <f>IFERROR(__xludf.DUMMYFUNCTION("GOOGLETRANSLATE(G194,""en"",""ur"")"),"ایک چھوٹی تلوار")</f>
        <v>ایک چھوٹی تلوار</v>
      </c>
      <c r="S194" s="6" t="s">
        <v>596</v>
      </c>
    </row>
    <row r="195">
      <c r="A195" s="7">
        <v>194.0</v>
      </c>
      <c r="B195" s="6" t="s">
        <v>421</v>
      </c>
      <c r="C195" s="6" t="s">
        <v>422</v>
      </c>
      <c r="D195" s="6" t="s">
        <v>423</v>
      </c>
      <c r="E195" s="6" t="s">
        <v>424</v>
      </c>
      <c r="F195" s="6" t="s">
        <v>425</v>
      </c>
      <c r="G195" s="6" t="s">
        <v>422</v>
      </c>
      <c r="H195" s="6" t="s">
        <v>596</v>
      </c>
      <c r="K195" s="2" t="str">
        <f>IFERROR(__xludf.DUMMYFUNCTION("GOOGLETRANSLATE(A195,""en"",""ur"")"),"194")</f>
        <v>194</v>
      </c>
      <c r="L195" s="2" t="str">
        <f>IFERROR(__xludf.DUMMYFUNCTION("GOOGLETRANSLATE(B195,""en"",""ur"")"),"اس لڑائی کی ترتیب کیا ہے؟")</f>
        <v>اس لڑائی کی ترتیب کیا ہے؟</v>
      </c>
      <c r="M195" s="2" t="str">
        <f>IFERROR(__xludf.DUMMYFUNCTION("GOOGLETRANSLATE(C195,""en"",""ur"")"),"ایک انڈور اسٹیڈیم")</f>
        <v>ایک انڈور اسٹیڈیم</v>
      </c>
      <c r="N195" s="2" t="str">
        <f>IFERROR(__xludf.DUMMYFUNCTION("GOOGLETRANSLATE(D195,""en"",""ur"")"),"ایک دیہی، بیرونی علاقہ")</f>
        <v>ایک دیہی، بیرونی علاقہ</v>
      </c>
      <c r="O195" s="2" t="str">
        <f>IFERROR(__xludf.DUMMYFUNCTION("GOOGLETRANSLATE(E195,""en"",""ur"")"),"شہر کی مصروف گلی")</f>
        <v>شہر کی مصروف گلی</v>
      </c>
      <c r="P195" s="2" t="str">
        <f>IFERROR(__xludf.DUMMYFUNCTION("GOOGLETRANSLATE(F195,""en"",""ur"")"),"گھاس کا میدان")</f>
        <v>گھاس کا میدان</v>
      </c>
      <c r="Q195" s="2" t="s">
        <v>426</v>
      </c>
      <c r="R195" s="2" t="str">
        <f>IFERROR(__xludf.DUMMYFUNCTION("GOOGLETRANSLATE(G195,""en"",""ur"")"),"ایک انڈور اسٹیڈیم")</f>
        <v>ایک انڈور اسٹیڈیم</v>
      </c>
      <c r="S195" s="6" t="s">
        <v>596</v>
      </c>
    </row>
    <row r="196">
      <c r="A196" s="7">
        <v>195.0</v>
      </c>
      <c r="B196" s="6" t="s">
        <v>472</v>
      </c>
      <c r="C196" s="6" t="s">
        <v>47</v>
      </c>
      <c r="D196" s="6" t="s">
        <v>48</v>
      </c>
      <c r="E196" s="6" t="s">
        <v>49</v>
      </c>
      <c r="F196" s="6" t="s">
        <v>50</v>
      </c>
      <c r="G196" s="6" t="s">
        <v>49</v>
      </c>
      <c r="H196" s="6" t="s">
        <v>596</v>
      </c>
      <c r="K196" s="2" t="str">
        <f>IFERROR(__xludf.DUMMYFUNCTION("GOOGLETRANSLATE(A196,""en"",""ur"")"),"195")</f>
        <v>195</v>
      </c>
      <c r="L196" s="2" t="str">
        <f>IFERROR(__xludf.DUMMYFUNCTION("GOOGLETRANSLATE(B196,""en"",""ur"")"),"آدمی کا ظاہری جذبات کیا ہے؟")</f>
        <v>آدمی کا ظاہری جذبات کیا ہے؟</v>
      </c>
      <c r="M196" s="2" t="str">
        <f>IFERROR(__xludf.DUMMYFUNCTION("GOOGLETRANSLATE(C196,""en"",""ur"")"),"پرسکون اور پر سکون")</f>
        <v>پرسکون اور پر سکون</v>
      </c>
      <c r="N196" s="2" t="str">
        <f>IFERROR(__xludf.DUMMYFUNCTION("GOOGLETRANSLATE(D196,""en"",""ur"")"),"خوف زدہ اور بے چین")</f>
        <v>خوف زدہ اور بے چین</v>
      </c>
      <c r="O196" s="2" t="str">
        <f>IFERROR(__xludf.DUMMYFUNCTION("GOOGLETRANSLATE(E196,""en"",""ur"")"),"کشیدہ اور شدید")</f>
        <v>کشیدہ اور شدید</v>
      </c>
      <c r="P196" s="2" t="str">
        <f>IFERROR(__xludf.DUMMYFUNCTION("GOOGLETRANSLATE(F196,""en"",""ur"")"),"خوش اور مسکراتے ہوئے۔")</f>
        <v>خوش اور مسکراتے ہوئے۔</v>
      </c>
      <c r="Q196" s="2" t="s">
        <v>51</v>
      </c>
      <c r="R196" s="2" t="str">
        <f>IFERROR(__xludf.DUMMYFUNCTION("GOOGLETRANSLATE(G196,""en"",""ur"")"),"کشیدہ اور شدید")</f>
        <v>کشیدہ اور شدید</v>
      </c>
      <c r="S196" s="6" t="s">
        <v>596</v>
      </c>
    </row>
    <row r="197">
      <c r="A197" s="7">
        <v>196.0</v>
      </c>
      <c r="B197" s="6" t="s">
        <v>473</v>
      </c>
      <c r="C197" s="6" t="s">
        <v>429</v>
      </c>
      <c r="D197" s="6" t="s">
        <v>430</v>
      </c>
      <c r="E197" s="6" t="s">
        <v>431</v>
      </c>
      <c r="F197" s="6" t="s">
        <v>432</v>
      </c>
      <c r="G197" s="6" t="s">
        <v>429</v>
      </c>
      <c r="H197" s="6" t="s">
        <v>596</v>
      </c>
      <c r="K197" s="2" t="str">
        <f>IFERROR(__xludf.DUMMYFUNCTION("GOOGLETRANSLATE(A197,""en"",""ur"")"),"196")</f>
        <v>196</v>
      </c>
      <c r="L197" s="2" t="str">
        <f>IFERROR(__xludf.DUMMYFUNCTION("GOOGLETRANSLATE(B197,""en"",""ur"")"),"مرد کی ظاہری جسمانی پوزیشن کیا ہے؟")</f>
        <v>مرد کی ظاہری جسمانی پوزیشن کیا ہے؟</v>
      </c>
      <c r="M197" s="2" t="str">
        <f>IFERROR(__xludf.DUMMYFUNCTION("GOOGLETRANSLATE(C197,""en"",""ur"")"),"سیدھا کھڑا ہونا")</f>
        <v>سیدھا کھڑا ہونا</v>
      </c>
      <c r="N197" s="2" t="str">
        <f>IFERROR(__xludf.DUMMYFUNCTION("GOOGLETRANSLATE(D197,""en"",""ur"")"),"کم، متحرک موقف میں")</f>
        <v>کم، متحرک موقف میں</v>
      </c>
      <c r="O197" s="2" t="str">
        <f>IFERROR(__xludf.DUMMYFUNCTION("GOOGLETRANSLATE(E197,""en"",""ur"")"),"زمین پر لیٹنا")</f>
        <v>زمین پر لیٹنا</v>
      </c>
      <c r="P197" s="2" t="str">
        <f>IFERROR(__xludf.DUMMYFUNCTION("GOOGLETRANSLATE(F197,""en"",""ur"")"),"بیٹھا ہوا")</f>
        <v>بیٹھا ہوا</v>
      </c>
      <c r="Q197" s="2" t="s">
        <v>433</v>
      </c>
      <c r="R197" s="2" t="str">
        <f>IFERROR(__xludf.DUMMYFUNCTION("GOOGLETRANSLATE(G197,""en"",""ur"")"),"سیدھا کھڑا ہونا")</f>
        <v>سیدھا کھڑا ہونا</v>
      </c>
      <c r="S197" s="6" t="s">
        <v>596</v>
      </c>
    </row>
    <row r="198">
      <c r="A198" s="7">
        <v>197.0</v>
      </c>
      <c r="B198" s="6" t="s">
        <v>434</v>
      </c>
      <c r="C198" s="6" t="s">
        <v>435</v>
      </c>
      <c r="D198" s="6" t="s">
        <v>436</v>
      </c>
      <c r="E198" s="6" t="s">
        <v>437</v>
      </c>
      <c r="F198" s="6" t="s">
        <v>438</v>
      </c>
      <c r="G198" s="6" t="s">
        <v>437</v>
      </c>
      <c r="H198" s="6" t="s">
        <v>596</v>
      </c>
      <c r="K198" s="2" t="str">
        <f>IFERROR(__xludf.DUMMYFUNCTION("GOOGLETRANSLATE(A198,""en"",""ur"")"),"197")</f>
        <v>197</v>
      </c>
      <c r="L198" s="2" t="str">
        <f>IFERROR(__xludf.DUMMYFUNCTION("GOOGLETRANSLATE(B198,""en"",""ur"")"),"پس منظر میں ہجوم کی سب سے نمایاں خصوصیت کیا ہے؟")</f>
        <v>پس منظر میں ہجوم کی سب سے نمایاں خصوصیت کیا ہے؟</v>
      </c>
      <c r="M198" s="2" t="str">
        <f>IFERROR(__xludf.DUMMYFUNCTION("GOOGLETRANSLATE(C198,""en"",""ur"")"),"وہ بھاگ رہے ہیں۔")</f>
        <v>وہ بھاگ رہے ہیں۔</v>
      </c>
      <c r="N198" s="2" t="str">
        <f>IFERROR(__xludf.DUMMYFUNCTION("GOOGLETRANSLATE(D198,""en"",""ur"")"),"وہ خاموش بیٹھے ہیں۔")</f>
        <v>وہ خاموش بیٹھے ہیں۔</v>
      </c>
      <c r="O198" s="2" t="str">
        <f>IFERROR(__xludf.DUMMYFUNCTION("GOOGLETRANSLATE(E198,""en"",""ur"")"),"وہ لڑائی کو قدرتی رکاوٹ سے دیکھ رہے ہیں۔")</f>
        <v>وہ لڑائی کو قدرتی رکاوٹ سے دیکھ رہے ہیں۔</v>
      </c>
      <c r="P198" s="2" t="str">
        <f>IFERROR(__xludf.DUMMYFUNCTION("GOOGLETRANSLATE(F198,""en"",""ur"")"),"وہ سب ایک اسٹیج پر کھڑے ہیں۔")</f>
        <v>وہ سب ایک اسٹیج پر کھڑے ہیں۔</v>
      </c>
      <c r="Q198" s="2" t="s">
        <v>439</v>
      </c>
      <c r="R198" s="2" t="str">
        <f>IFERROR(__xludf.DUMMYFUNCTION("GOOGLETRANSLATE(G198,""en"",""ur"")"),"وہ لڑائی کو قدرتی رکاوٹ سے دیکھ رہے ہیں۔")</f>
        <v>وہ لڑائی کو قدرتی رکاوٹ سے دیکھ رہے ہیں۔</v>
      </c>
      <c r="S198" s="6" t="s">
        <v>596</v>
      </c>
    </row>
    <row r="199">
      <c r="A199" s="7">
        <v>198.0</v>
      </c>
      <c r="B199" s="6" t="s">
        <v>440</v>
      </c>
      <c r="C199" s="6" t="s">
        <v>441</v>
      </c>
      <c r="D199" s="6" t="s">
        <v>442</v>
      </c>
      <c r="E199" s="6" t="s">
        <v>443</v>
      </c>
      <c r="F199" s="6" t="s">
        <v>444</v>
      </c>
      <c r="G199" s="6" t="s">
        <v>441</v>
      </c>
      <c r="H199" s="6" t="s">
        <v>596</v>
      </c>
      <c r="K199" s="2" t="str">
        <f>IFERROR(__xludf.DUMMYFUNCTION("GOOGLETRANSLATE(A199,""en"",""ur"")"),"198")</f>
        <v>198</v>
      </c>
      <c r="L199" s="2" t="str">
        <f>IFERROR(__xludf.DUMMYFUNCTION("GOOGLETRANSLATE(B199,""en"",""ur"")"),"زمین کی ظاہری حالت کیا ہے؟")</f>
        <v>زمین کی ظاہری حالت کیا ہے؟</v>
      </c>
      <c r="M199" s="2" t="str">
        <f>IFERROR(__xludf.DUMMYFUNCTION("GOOGLETRANSLATE(C199,""en"",""ur"")"),"یہ ایک پکی سطح ہے۔")</f>
        <v>یہ ایک پکی سطح ہے۔</v>
      </c>
      <c r="N199" s="2" t="str">
        <f>IFERROR(__xludf.DUMMYFUNCTION("GOOGLETRANSLATE(D199,""en"",""ur"")"),"یہ ایک کیچڑ والا میدان ہے۔")</f>
        <v>یہ ایک کیچڑ والا میدان ہے۔</v>
      </c>
      <c r="O199" s="2" t="str">
        <f>IFERROR(__xludf.DUMMYFUNCTION("GOOGLETRANSLATE(E199,""en"",""ur"")"),"یہ ایک ریتلی یا مٹی کی سطح ہے جس میں دھول اڑتی ہے۔")</f>
        <v>یہ ایک ریتلی یا مٹی کی سطح ہے جس میں دھول اڑتی ہے۔</v>
      </c>
      <c r="P199" s="2" t="str">
        <f>IFERROR(__xludf.DUMMYFUNCTION("GOOGLETRANSLATE(F199,""en"",""ur"")"),"یہ ایک گھاس والی سطح ہے۔")</f>
        <v>یہ ایک گھاس والی سطح ہے۔</v>
      </c>
      <c r="Q199" s="2" t="s">
        <v>445</v>
      </c>
      <c r="R199" s="2" t="str">
        <f>IFERROR(__xludf.DUMMYFUNCTION("GOOGLETRANSLATE(G199,""en"",""ur"")"),"یہ ایک پکی سطح ہے۔")</f>
        <v>یہ ایک پکی سطح ہے۔</v>
      </c>
      <c r="S199" s="6" t="s">
        <v>596</v>
      </c>
    </row>
    <row r="200">
      <c r="A200" s="7">
        <v>199.0</v>
      </c>
      <c r="B200" s="6" t="s">
        <v>481</v>
      </c>
      <c r="C200" s="6" t="s">
        <v>447</v>
      </c>
      <c r="D200" s="6" t="s">
        <v>448</v>
      </c>
      <c r="E200" s="6" t="s">
        <v>449</v>
      </c>
      <c r="F200" s="6" t="s">
        <v>450</v>
      </c>
      <c r="G200" s="6" t="s">
        <v>448</v>
      </c>
      <c r="H200" s="6" t="s">
        <v>596</v>
      </c>
      <c r="K200" s="2" t="str">
        <f>IFERROR(__xludf.DUMMYFUNCTION("GOOGLETRANSLATE(A200,""en"",""ur"")"),"199")</f>
        <v>199</v>
      </c>
      <c r="L200" s="2" t="str">
        <f>IFERROR(__xludf.DUMMYFUNCTION("GOOGLETRANSLATE(B200,""en"",""ur"")"),"مختصر تلوار کا بنیادی مقصد کیا ہے؟")</f>
        <v>مختصر تلوار کا بنیادی مقصد کیا ہے؟</v>
      </c>
      <c r="M200" s="2" t="str">
        <f>IFERROR(__xludf.DUMMYFUNCTION("GOOGLETRANSLATE(C200,""en"",""ur"")"),"تلوار کے وار کو روکنے کے لیے")</f>
        <v>تلوار کے وار کو روکنے کے لیے</v>
      </c>
      <c r="N200" s="2" t="str">
        <f>IFERROR(__xludf.DUMMYFUNCTION("GOOGLETRANSLATE(D200,""en"",""ur"")"),"ہتھیار رکھنے کے لیے")</f>
        <v>ہتھیار رکھنے کے لیے</v>
      </c>
      <c r="O200" s="2" t="str">
        <f>IFERROR(__xludf.DUMMYFUNCTION("GOOGLETRANSLATE(E200,""en"",""ur"")"),"صرف سجاوٹ کے لیے")</f>
        <v>صرف سجاوٹ کے لیے</v>
      </c>
      <c r="P200" s="2" t="str">
        <f>IFERROR(__xludf.DUMMYFUNCTION("GOOGLETRANSLATE(F200,""en"",""ur"")"),"سورج کو روکنے کے لئے")</f>
        <v>سورج کو روکنے کے لئے</v>
      </c>
      <c r="Q200" s="2" t="s">
        <v>451</v>
      </c>
      <c r="R200" s="2" t="str">
        <f>IFERROR(__xludf.DUMMYFUNCTION("GOOGLETRANSLATE(G200,""en"",""ur"")"),"ہتھیار رکھنے کے لیے")</f>
        <v>ہتھیار رکھنے کے لیے</v>
      </c>
      <c r="S200" s="6" t="s">
        <v>596</v>
      </c>
    </row>
    <row r="201">
      <c r="A201" s="7">
        <v>200.0</v>
      </c>
      <c r="B201" s="6" t="s">
        <v>452</v>
      </c>
      <c r="C201" s="6" t="s">
        <v>453</v>
      </c>
      <c r="D201" s="6" t="s">
        <v>454</v>
      </c>
      <c r="E201" s="6" t="s">
        <v>455</v>
      </c>
      <c r="F201" s="6" t="s">
        <v>456</v>
      </c>
      <c r="G201" s="6" t="s">
        <v>454</v>
      </c>
      <c r="H201" s="6" t="s">
        <v>596</v>
      </c>
      <c r="K201" s="2" t="str">
        <f>IFERROR(__xludf.DUMMYFUNCTION("GOOGLETRANSLATE(A201,""en"",""ur"")"),"200")</f>
        <v>200</v>
      </c>
      <c r="L201" s="2" t="str">
        <f>IFERROR(__xludf.DUMMYFUNCTION("GOOGLETRANSLATE(B201,""en"",""ur"")"),"ایونٹ کا مجموعی موڈ ایسا لگتا ہے...")</f>
        <v>ایونٹ کا مجموعی موڈ ایسا لگتا ہے...</v>
      </c>
      <c r="M201" s="2" t="str">
        <f>IFERROR(__xludf.DUMMYFUNCTION("GOOGLETRANSLATE(C201,""en"",""ur"")"),"ایک آرام دہ مشق سیشن")</f>
        <v>ایک آرام دہ مشق سیشن</v>
      </c>
      <c r="N201" s="2" t="str">
        <f>IFERROR(__xludf.DUMMYFUNCTION("GOOGLETRANSLATE(D201,""en"",""ur"")"),"ایک تناؤ اور جارحانہ کارکردگی")</f>
        <v>ایک تناؤ اور جارحانہ کارکردگی</v>
      </c>
      <c r="O201" s="2" t="str">
        <f>IFERROR(__xludf.DUMMYFUNCTION("GOOGLETRANSLATE(E201,""en"",""ur"")"),"ایک پرسکون، پرامن اجتماع")</f>
        <v>ایک پرسکون، پرامن اجتماع</v>
      </c>
      <c r="P201" s="2" t="str">
        <f>IFERROR(__xludf.DUMMYFUNCTION("GOOGLETRANSLATE(F201,""en"",""ur"")"),"ایک سست، رسمی رقص")</f>
        <v>ایک سست، رسمی رقص</v>
      </c>
      <c r="Q201" s="2" t="s">
        <v>457</v>
      </c>
      <c r="R201" s="2" t="str">
        <f>IFERROR(__xludf.DUMMYFUNCTION("GOOGLETRANSLATE(G201,""en"",""ur"")"),"ایک تناؤ اور جارحانہ کارکردگی")</f>
        <v>ایک تناؤ اور جارحانہ کارکردگی</v>
      </c>
      <c r="S201" s="6" t="s">
        <v>596</v>
      </c>
    </row>
    <row r="202">
      <c r="A202" s="7">
        <v>201.0</v>
      </c>
      <c r="B202" s="6" t="s">
        <v>599</v>
      </c>
      <c r="C202" s="6" t="s">
        <v>600</v>
      </c>
      <c r="D202" s="6" t="s">
        <v>406</v>
      </c>
      <c r="E202" s="6" t="s">
        <v>407</v>
      </c>
      <c r="F202" s="6" t="s">
        <v>408</v>
      </c>
      <c r="G202" s="6" t="s">
        <v>600</v>
      </c>
      <c r="H202" s="6" t="s">
        <v>601</v>
      </c>
      <c r="K202" s="2" t="str">
        <f>IFERROR(__xludf.DUMMYFUNCTION("GOOGLETRANSLATE(A202,""en"",""ur"")"),"201")</f>
        <v>201</v>
      </c>
      <c r="L202" s="2" t="str">
        <f>IFERROR(__xludf.DUMMYFUNCTION("GOOGLETRANSLATE(B202,""en"",""ur"")"),"گٹکا_76 میں دکھایا گیا اہم عمل کیا ہے؟")</f>
        <v>گٹکا_76 میں دکھایا گیا اہم عمل کیا ہے؟</v>
      </c>
      <c r="M202" s="2" t="str">
        <f>IFERROR(__xludf.DUMMYFUNCTION("GOOGLETRANSLATE(C202,""en"",""ur"")"),"دو آدمی لاٹھیوں سے لڑ رہے ہیں۔")</f>
        <v>دو آدمی لاٹھیوں سے لڑ رہے ہیں۔</v>
      </c>
      <c r="N202" s="2" t="str">
        <f>IFERROR(__xludf.DUMMYFUNCTION("GOOGLETRANSLATE(D202,""en"",""ur"")"),"دو آدمی ناچ رہے ہیں۔")</f>
        <v>دو آدمی ناچ رہے ہیں۔</v>
      </c>
      <c r="O202" s="2" t="str">
        <f>IFERROR(__xludf.DUMMYFUNCTION("GOOGLETRANSLATE(E202,""en"",""ur"")"),"دو آدمی سہارے کے ساتھ پوز دے رہے ہیں۔")</f>
        <v>دو آدمی سہارے کے ساتھ پوز دے رہے ہیں۔</v>
      </c>
      <c r="P202" s="2" t="str">
        <f>IFERROR(__xludf.DUMMYFUNCTION("GOOGLETRANSLATE(F202,""en"",""ur"")"),"دو آدمی کشتی کرتے ہوئے۔")</f>
        <v>دو آدمی کشتی کرتے ہوئے۔</v>
      </c>
      <c r="Q202" s="2" t="s">
        <v>602</v>
      </c>
      <c r="R202" s="2" t="str">
        <f>IFERROR(__xludf.DUMMYFUNCTION("GOOGLETRANSLATE(G202,""en"",""ur"")"),"دو آدمی لاٹھیوں سے لڑ رہے ہیں۔")</f>
        <v>دو آدمی لاٹھیوں سے لڑ رہے ہیں۔</v>
      </c>
      <c r="S202" s="6" t="s">
        <v>601</v>
      </c>
    </row>
    <row r="203">
      <c r="A203" s="7">
        <v>202.0</v>
      </c>
      <c r="B203" s="6" t="s">
        <v>487</v>
      </c>
      <c r="C203" s="6" t="s">
        <v>411</v>
      </c>
      <c r="D203" s="6" t="s">
        <v>603</v>
      </c>
      <c r="E203" s="6" t="s">
        <v>334</v>
      </c>
      <c r="F203" s="6" t="s">
        <v>413</v>
      </c>
      <c r="G203" s="6" t="s">
        <v>603</v>
      </c>
      <c r="H203" s="6" t="s">
        <v>601</v>
      </c>
      <c r="K203" s="2" t="str">
        <f>IFERROR(__xludf.DUMMYFUNCTION("GOOGLETRANSLATE(A203,""en"",""ur"")"),"202")</f>
        <v>202</v>
      </c>
      <c r="L203" s="2" t="str">
        <f>IFERROR(__xludf.DUMMYFUNCTION("GOOGLETRANSLATE(B203,""en"",""ur"")"),"جنگجوؤں کے لباس کے بارے میں ایک قابل ذکر تفصیل کیا ہے؟")</f>
        <v>جنگجوؤں کے لباس کے بارے میں ایک قابل ذکر تفصیل کیا ہے؟</v>
      </c>
      <c r="M203" s="2" t="str">
        <f>IFERROR(__xludf.DUMMYFUNCTION("GOOGLETRANSLATE(C203,""en"",""ur"")"),"اس نے بکتر کا پورا سوٹ پہن رکھا ہے۔")</f>
        <v>اس نے بکتر کا پورا سوٹ پہن رکھا ہے۔</v>
      </c>
      <c r="N203" s="2" t="str">
        <f>IFERROR(__xludf.DUMMYFUNCTION("GOOGLETRANSLATE(D203,""en"",""ur"")"),"اس نے ایک لمبا، پیلا چوغہ پہن رکھا ہے جس میں کالی چادر ہے۔")</f>
        <v>اس نے ایک لمبا، پیلا چوغہ پہن رکھا ہے جس میں کالی چادر ہے۔</v>
      </c>
      <c r="O203" s="2" t="str">
        <f>IFERROR(__xludf.DUMMYFUNCTION("GOOGLETRANSLATE(E203,""en"",""ur"")"),"اس نے شارٹس اور ٹی شرٹ پہن رکھی ہے۔")</f>
        <v>اس نے شارٹس اور ٹی شرٹ پہن رکھی ہے۔</v>
      </c>
      <c r="P203" s="2" t="str">
        <f>IFERROR(__xludf.DUMMYFUNCTION("GOOGLETRANSLATE(F203,""en"",""ur"")"),"اس نے پولیس کی وردی پہن رکھی ہے۔")</f>
        <v>اس نے پولیس کی وردی پہن رکھی ہے۔</v>
      </c>
      <c r="Q203" s="2" t="s">
        <v>604</v>
      </c>
      <c r="R203" s="2" t="str">
        <f>IFERROR(__xludf.DUMMYFUNCTION("GOOGLETRANSLATE(G203,""en"",""ur"")"),"اس نے ایک لمبا، پیلا چوغہ پہن رکھا ہے جس میں کالی چادر ہے۔")</f>
        <v>اس نے ایک لمبا، پیلا چوغہ پہن رکھا ہے جس میں کالی چادر ہے۔</v>
      </c>
      <c r="S203" s="6" t="s">
        <v>601</v>
      </c>
    </row>
    <row r="204">
      <c r="A204" s="7">
        <v>203.0</v>
      </c>
      <c r="B204" s="6" t="s">
        <v>415</v>
      </c>
      <c r="C204" s="6" t="s">
        <v>416</v>
      </c>
      <c r="D204" s="6" t="s">
        <v>417</v>
      </c>
      <c r="E204" s="6" t="s">
        <v>418</v>
      </c>
      <c r="F204" s="6" t="s">
        <v>419</v>
      </c>
      <c r="G204" s="6" t="s">
        <v>417</v>
      </c>
      <c r="H204" s="6" t="s">
        <v>601</v>
      </c>
      <c r="K204" s="2" t="str">
        <f>IFERROR(__xludf.DUMMYFUNCTION("GOOGLETRANSLATE(A204,""en"",""ur"")"),"203")</f>
        <v>203</v>
      </c>
      <c r="L204" s="2" t="str">
        <f>IFERROR(__xludf.DUMMYFUNCTION("GOOGLETRANSLATE(B204,""en"",""ur"")"),"جنگجوؤں کے ذریعہ استعمال ہونے والا بنیادی ہتھیار کیا ہے؟")</f>
        <v>جنگجوؤں کے ذریعہ استعمال ہونے والا بنیادی ہتھیار کیا ہے؟</v>
      </c>
      <c r="M204" s="2" t="str">
        <f>IFERROR(__xludf.DUMMYFUNCTION("GOOGLETRANSLATE(C204,""en"",""ur"")"),"ایک چھوٹی تلوار")</f>
        <v>ایک چھوٹی تلوار</v>
      </c>
      <c r="N204" s="2" t="str">
        <f>IFERROR(__xludf.DUMMYFUNCTION("GOOGLETRANSLATE(D204,""en"",""ur"")"),"ایک لمبی چھڑی")</f>
        <v>ایک لمبی چھڑی</v>
      </c>
      <c r="O204" s="2" t="str">
        <f>IFERROR(__xludf.DUMMYFUNCTION("GOOGLETRANSLATE(E204,""en"",""ur"")"),"ایک کمان اور تیر")</f>
        <v>ایک کمان اور تیر</v>
      </c>
      <c r="P204" s="2" t="str">
        <f>IFERROR(__xludf.DUMMYFUNCTION("GOOGLETRANSLATE(F204,""en"",""ur"")"),"ایک ننگی مٹھی")</f>
        <v>ایک ننگی مٹھی</v>
      </c>
      <c r="Q204" s="2" t="s">
        <v>420</v>
      </c>
      <c r="R204" s="2" t="str">
        <f>IFERROR(__xludf.DUMMYFUNCTION("GOOGLETRANSLATE(G204,""en"",""ur"")"),"ایک لمبی چھڑی")</f>
        <v>ایک لمبی چھڑی</v>
      </c>
      <c r="S204" s="6" t="s">
        <v>601</v>
      </c>
    </row>
    <row r="205">
      <c r="A205" s="7">
        <v>204.0</v>
      </c>
      <c r="B205" s="6" t="s">
        <v>421</v>
      </c>
      <c r="C205" s="6" t="s">
        <v>422</v>
      </c>
      <c r="D205" s="6" t="s">
        <v>423</v>
      </c>
      <c r="E205" s="6" t="s">
        <v>424</v>
      </c>
      <c r="F205" s="6" t="s">
        <v>425</v>
      </c>
      <c r="G205" s="6" t="s">
        <v>424</v>
      </c>
      <c r="H205" s="6" t="s">
        <v>601</v>
      </c>
      <c r="K205" s="2" t="str">
        <f>IFERROR(__xludf.DUMMYFUNCTION("GOOGLETRANSLATE(A205,""en"",""ur"")"),"204")</f>
        <v>204</v>
      </c>
      <c r="L205" s="2" t="str">
        <f>IFERROR(__xludf.DUMMYFUNCTION("GOOGLETRANSLATE(B205,""en"",""ur"")"),"اس لڑائی کی ترتیب کیا ہے؟")</f>
        <v>اس لڑائی کی ترتیب کیا ہے؟</v>
      </c>
      <c r="M205" s="2" t="str">
        <f>IFERROR(__xludf.DUMMYFUNCTION("GOOGLETRANSLATE(C205,""en"",""ur"")"),"ایک انڈور اسٹیڈیم")</f>
        <v>ایک انڈور اسٹیڈیم</v>
      </c>
      <c r="N205" s="2" t="str">
        <f>IFERROR(__xludf.DUMMYFUNCTION("GOOGLETRANSLATE(D205,""en"",""ur"")"),"ایک دیہی، بیرونی علاقہ")</f>
        <v>ایک دیہی، بیرونی علاقہ</v>
      </c>
      <c r="O205" s="2" t="str">
        <f>IFERROR(__xludf.DUMMYFUNCTION("GOOGLETRANSLATE(E205,""en"",""ur"")"),"شہر کی مصروف گلی")</f>
        <v>شہر کی مصروف گلی</v>
      </c>
      <c r="P205" s="2" t="str">
        <f>IFERROR(__xludf.DUMMYFUNCTION("GOOGLETRANSLATE(F205,""en"",""ur"")"),"گھاس کا میدان")</f>
        <v>گھاس کا میدان</v>
      </c>
      <c r="Q205" s="2" t="s">
        <v>426</v>
      </c>
      <c r="R205" s="2" t="str">
        <f>IFERROR(__xludf.DUMMYFUNCTION("GOOGLETRANSLATE(G205,""en"",""ur"")"),"شہر کی مصروف گلی")</f>
        <v>شہر کی مصروف گلی</v>
      </c>
      <c r="S205" s="6" t="s">
        <v>601</v>
      </c>
    </row>
    <row r="206">
      <c r="A206" s="7">
        <v>205.0</v>
      </c>
      <c r="B206" s="6" t="s">
        <v>427</v>
      </c>
      <c r="C206" s="6" t="s">
        <v>47</v>
      </c>
      <c r="D206" s="6" t="s">
        <v>48</v>
      </c>
      <c r="E206" s="6" t="s">
        <v>49</v>
      </c>
      <c r="F206" s="6" t="s">
        <v>50</v>
      </c>
      <c r="G206" s="6" t="s">
        <v>49</v>
      </c>
      <c r="H206" s="6" t="s">
        <v>601</v>
      </c>
      <c r="K206" s="2" t="str">
        <f>IFERROR(__xludf.DUMMYFUNCTION("GOOGLETRANSLATE(A206,""en"",""ur"")"),"205")</f>
        <v>205</v>
      </c>
      <c r="L206" s="2" t="str">
        <f>IFERROR(__xludf.DUMMYFUNCTION("GOOGLETRANSLATE(B206,""en"",""ur"")"),"جنگجوؤں کے ظاہری جذبات کیا ہیں؟")</f>
        <v>جنگجوؤں کے ظاہری جذبات کیا ہیں؟</v>
      </c>
      <c r="M206" s="2" t="str">
        <f>IFERROR(__xludf.DUMMYFUNCTION("GOOGLETRANSLATE(C206,""en"",""ur"")"),"پرسکون اور پر سکون")</f>
        <v>پرسکون اور پر سکون</v>
      </c>
      <c r="N206" s="2" t="str">
        <f>IFERROR(__xludf.DUMMYFUNCTION("GOOGLETRANSLATE(D206,""en"",""ur"")"),"خوف زدہ اور بے چین")</f>
        <v>خوف زدہ اور بے چین</v>
      </c>
      <c r="O206" s="2" t="str">
        <f>IFERROR(__xludf.DUMMYFUNCTION("GOOGLETRANSLATE(E206,""en"",""ur"")"),"کشیدہ اور شدید")</f>
        <v>کشیدہ اور شدید</v>
      </c>
      <c r="P206" s="2" t="str">
        <f>IFERROR(__xludf.DUMMYFUNCTION("GOOGLETRANSLATE(F206,""en"",""ur"")"),"خوش اور مسکراتے ہوئے۔")</f>
        <v>خوش اور مسکراتے ہوئے۔</v>
      </c>
      <c r="Q206" s="2" t="s">
        <v>51</v>
      </c>
      <c r="R206" s="2" t="str">
        <f>IFERROR(__xludf.DUMMYFUNCTION("GOOGLETRANSLATE(G206,""en"",""ur"")"),"کشیدہ اور شدید")</f>
        <v>کشیدہ اور شدید</v>
      </c>
      <c r="S206" s="6" t="s">
        <v>601</v>
      </c>
    </row>
    <row r="207">
      <c r="A207" s="7">
        <v>206.0</v>
      </c>
      <c r="B207" s="6" t="s">
        <v>428</v>
      </c>
      <c r="C207" s="6" t="s">
        <v>429</v>
      </c>
      <c r="D207" s="6" t="s">
        <v>430</v>
      </c>
      <c r="E207" s="6" t="s">
        <v>431</v>
      </c>
      <c r="F207" s="6" t="s">
        <v>432</v>
      </c>
      <c r="G207" s="6" t="s">
        <v>430</v>
      </c>
      <c r="H207" s="6" t="s">
        <v>601</v>
      </c>
      <c r="K207" s="2" t="str">
        <f>IFERROR(__xludf.DUMMYFUNCTION("GOOGLETRANSLATE(A207,""en"",""ur"")"),"206")</f>
        <v>206</v>
      </c>
      <c r="L207" s="2" t="str">
        <f>IFERROR(__xludf.DUMMYFUNCTION("GOOGLETRANSLATE(B207,""en"",""ur"")"),"جنگجوؤں کی ظاہری باڈی پوزیشن کیا ہے؟")</f>
        <v>جنگجوؤں کی ظاہری باڈی پوزیشن کیا ہے؟</v>
      </c>
      <c r="M207" s="2" t="str">
        <f>IFERROR(__xludf.DUMMYFUNCTION("GOOGLETRANSLATE(C207,""en"",""ur"")"),"سیدھا کھڑا ہونا")</f>
        <v>سیدھا کھڑا ہونا</v>
      </c>
      <c r="N207" s="2" t="str">
        <f>IFERROR(__xludf.DUMMYFUNCTION("GOOGLETRANSLATE(D207,""en"",""ur"")"),"کم، متحرک موقف میں")</f>
        <v>کم، متحرک موقف میں</v>
      </c>
      <c r="O207" s="2" t="str">
        <f>IFERROR(__xludf.DUMMYFUNCTION("GOOGLETRANSLATE(E207,""en"",""ur"")"),"زمین پر لیٹنا")</f>
        <v>زمین پر لیٹنا</v>
      </c>
      <c r="P207" s="2" t="str">
        <f>IFERROR(__xludf.DUMMYFUNCTION("GOOGLETRANSLATE(F207,""en"",""ur"")"),"بیٹھا ہوا")</f>
        <v>بیٹھا ہوا</v>
      </c>
      <c r="Q207" s="2" t="s">
        <v>433</v>
      </c>
      <c r="R207" s="2" t="str">
        <f>IFERROR(__xludf.DUMMYFUNCTION("GOOGLETRANSLATE(G207,""en"",""ur"")"),"کم، متحرک موقف میں")</f>
        <v>کم، متحرک موقف میں</v>
      </c>
      <c r="S207" s="6" t="s">
        <v>601</v>
      </c>
    </row>
    <row r="208">
      <c r="A208" s="7">
        <v>207.0</v>
      </c>
      <c r="B208" s="6" t="s">
        <v>434</v>
      </c>
      <c r="C208" s="6" t="s">
        <v>435</v>
      </c>
      <c r="D208" s="6" t="s">
        <v>436</v>
      </c>
      <c r="E208" s="6" t="s">
        <v>437</v>
      </c>
      <c r="F208" s="6" t="s">
        <v>438</v>
      </c>
      <c r="G208" s="6" t="s">
        <v>437</v>
      </c>
      <c r="H208" s="6" t="s">
        <v>601</v>
      </c>
      <c r="K208" s="2" t="str">
        <f>IFERROR(__xludf.DUMMYFUNCTION("GOOGLETRANSLATE(A208,""en"",""ur"")"),"207")</f>
        <v>207</v>
      </c>
      <c r="L208" s="2" t="str">
        <f>IFERROR(__xludf.DUMMYFUNCTION("GOOGLETRANSLATE(B208,""en"",""ur"")"),"پس منظر میں ہجوم کی سب سے نمایاں خصوصیت کیا ہے؟")</f>
        <v>پس منظر میں ہجوم کی سب سے نمایاں خصوصیت کیا ہے؟</v>
      </c>
      <c r="M208" s="2" t="str">
        <f>IFERROR(__xludf.DUMMYFUNCTION("GOOGLETRANSLATE(C208,""en"",""ur"")"),"وہ بھاگ رہے ہیں۔")</f>
        <v>وہ بھاگ رہے ہیں۔</v>
      </c>
      <c r="N208" s="2" t="str">
        <f>IFERROR(__xludf.DUMMYFUNCTION("GOOGLETRANSLATE(D208,""en"",""ur"")"),"وہ خاموش بیٹھے ہیں۔")</f>
        <v>وہ خاموش بیٹھے ہیں۔</v>
      </c>
      <c r="O208" s="2" t="str">
        <f>IFERROR(__xludf.DUMMYFUNCTION("GOOGLETRANSLATE(E208,""en"",""ur"")"),"وہ لڑائی کو قدرتی رکاوٹ سے دیکھ رہے ہیں۔")</f>
        <v>وہ لڑائی کو قدرتی رکاوٹ سے دیکھ رہے ہیں۔</v>
      </c>
      <c r="P208" s="2" t="str">
        <f>IFERROR(__xludf.DUMMYFUNCTION("GOOGLETRANSLATE(F208,""en"",""ur"")"),"وہ سب ایک اسٹیج پر کھڑے ہیں۔")</f>
        <v>وہ سب ایک اسٹیج پر کھڑے ہیں۔</v>
      </c>
      <c r="Q208" s="2" t="s">
        <v>439</v>
      </c>
      <c r="R208" s="2" t="str">
        <f>IFERROR(__xludf.DUMMYFUNCTION("GOOGLETRANSLATE(G208,""en"",""ur"")"),"وہ لڑائی کو قدرتی رکاوٹ سے دیکھ رہے ہیں۔")</f>
        <v>وہ لڑائی کو قدرتی رکاوٹ سے دیکھ رہے ہیں۔</v>
      </c>
      <c r="S208" s="6" t="s">
        <v>601</v>
      </c>
    </row>
    <row r="209">
      <c r="A209" s="7">
        <v>208.0</v>
      </c>
      <c r="B209" s="6" t="s">
        <v>440</v>
      </c>
      <c r="C209" s="6" t="s">
        <v>441</v>
      </c>
      <c r="D209" s="6" t="s">
        <v>442</v>
      </c>
      <c r="E209" s="6" t="s">
        <v>443</v>
      </c>
      <c r="F209" s="6" t="s">
        <v>444</v>
      </c>
      <c r="G209" s="6" t="s">
        <v>441</v>
      </c>
      <c r="H209" s="6" t="s">
        <v>601</v>
      </c>
      <c r="K209" s="2" t="str">
        <f>IFERROR(__xludf.DUMMYFUNCTION("GOOGLETRANSLATE(A209,""en"",""ur"")"),"208")</f>
        <v>208</v>
      </c>
      <c r="L209" s="2" t="str">
        <f>IFERROR(__xludf.DUMMYFUNCTION("GOOGLETRANSLATE(B209,""en"",""ur"")"),"زمین کی ظاہری حالت کیا ہے؟")</f>
        <v>زمین کی ظاہری حالت کیا ہے؟</v>
      </c>
      <c r="M209" s="2" t="str">
        <f>IFERROR(__xludf.DUMMYFUNCTION("GOOGLETRANSLATE(C209,""en"",""ur"")"),"یہ ایک پکی سطح ہے۔")</f>
        <v>یہ ایک پکی سطح ہے۔</v>
      </c>
      <c r="N209" s="2" t="str">
        <f>IFERROR(__xludf.DUMMYFUNCTION("GOOGLETRANSLATE(D209,""en"",""ur"")"),"یہ ایک کیچڑ والا میدان ہے۔")</f>
        <v>یہ ایک کیچڑ والا میدان ہے۔</v>
      </c>
      <c r="O209" s="2" t="str">
        <f>IFERROR(__xludf.DUMMYFUNCTION("GOOGLETRANSLATE(E209,""en"",""ur"")"),"یہ ایک ریتلی یا مٹی کی سطح ہے جس میں دھول اڑتی ہے۔")</f>
        <v>یہ ایک ریتلی یا مٹی کی سطح ہے جس میں دھول اڑتی ہے۔</v>
      </c>
      <c r="P209" s="2" t="str">
        <f>IFERROR(__xludf.DUMMYFUNCTION("GOOGLETRANSLATE(F209,""en"",""ur"")"),"یہ ایک گھاس والی سطح ہے۔")</f>
        <v>یہ ایک گھاس والی سطح ہے۔</v>
      </c>
      <c r="Q209" s="2" t="s">
        <v>445</v>
      </c>
      <c r="R209" s="2" t="str">
        <f>IFERROR(__xludf.DUMMYFUNCTION("GOOGLETRANSLATE(G209,""en"",""ur"")"),"یہ ایک پکی سطح ہے۔")</f>
        <v>یہ ایک پکی سطح ہے۔</v>
      </c>
      <c r="S209" s="6" t="s">
        <v>601</v>
      </c>
    </row>
    <row r="210">
      <c r="A210" s="7">
        <v>209.0</v>
      </c>
      <c r="B210" s="6" t="s">
        <v>446</v>
      </c>
      <c r="C210" s="6" t="s">
        <v>493</v>
      </c>
      <c r="D210" s="6" t="s">
        <v>448</v>
      </c>
      <c r="E210" s="6" t="s">
        <v>449</v>
      </c>
      <c r="F210" s="6" t="s">
        <v>450</v>
      </c>
      <c r="G210" s="6" t="s">
        <v>493</v>
      </c>
      <c r="H210" s="6" t="s">
        <v>601</v>
      </c>
      <c r="K210" s="2" t="str">
        <f>IFERROR(__xludf.DUMMYFUNCTION("GOOGLETRANSLATE(A210,""en"",""ur"")"),"209")</f>
        <v>209</v>
      </c>
      <c r="L210" s="2" t="str">
        <f>IFERROR(__xludf.DUMMYFUNCTION("GOOGLETRANSLATE(B210,""en"",""ur"")"),"ڈھال کا بنیادی مقصد کیا ہے جو ہر لڑاکا پکڑے ہوئے ہے؟")</f>
        <v>ڈھال کا بنیادی مقصد کیا ہے جو ہر لڑاکا پکڑے ہوئے ہے؟</v>
      </c>
      <c r="M210" s="2" t="str">
        <f>IFERROR(__xludf.DUMMYFUNCTION("GOOGLETRANSLATE(C210,""en"",""ur"")"),"چھڑی کی ہڑتالوں کو روکنے کے لیے")</f>
        <v>چھڑی کی ہڑتالوں کو روکنے کے لیے</v>
      </c>
      <c r="N210" s="2" t="str">
        <f>IFERROR(__xludf.DUMMYFUNCTION("GOOGLETRANSLATE(D210,""en"",""ur"")"),"ہتھیار رکھنے کے لیے")</f>
        <v>ہتھیار رکھنے کے لیے</v>
      </c>
      <c r="O210" s="2" t="str">
        <f>IFERROR(__xludf.DUMMYFUNCTION("GOOGLETRANSLATE(E210,""en"",""ur"")"),"صرف سجاوٹ کے لیے")</f>
        <v>صرف سجاوٹ کے لیے</v>
      </c>
      <c r="P210" s="2" t="str">
        <f>IFERROR(__xludf.DUMMYFUNCTION("GOOGLETRANSLATE(F210,""en"",""ur"")"),"سورج کو روکنے کے لئے")</f>
        <v>سورج کو روکنے کے لئے</v>
      </c>
      <c r="Q210" s="2" t="s">
        <v>494</v>
      </c>
      <c r="R210" s="2" t="str">
        <f>IFERROR(__xludf.DUMMYFUNCTION("GOOGLETRANSLATE(G210,""en"",""ur"")"),"چھڑی کی ہڑتالوں کو روکنے کے لیے")</f>
        <v>چھڑی کی ہڑتالوں کو روکنے کے لیے</v>
      </c>
      <c r="S210" s="6" t="s">
        <v>601</v>
      </c>
    </row>
    <row r="211">
      <c r="A211" s="7">
        <v>210.0</v>
      </c>
      <c r="B211" s="6" t="s">
        <v>452</v>
      </c>
      <c r="C211" s="6" t="s">
        <v>453</v>
      </c>
      <c r="D211" s="6" t="s">
        <v>454</v>
      </c>
      <c r="E211" s="6" t="s">
        <v>455</v>
      </c>
      <c r="F211" s="6" t="s">
        <v>456</v>
      </c>
      <c r="G211" s="6" t="s">
        <v>454</v>
      </c>
      <c r="H211" s="6" t="s">
        <v>601</v>
      </c>
      <c r="K211" s="2" t="str">
        <f>IFERROR(__xludf.DUMMYFUNCTION("GOOGLETRANSLATE(A211,""en"",""ur"")"),"210")</f>
        <v>210</v>
      </c>
      <c r="L211" s="2" t="str">
        <f>IFERROR(__xludf.DUMMYFUNCTION("GOOGLETRANSLATE(B211,""en"",""ur"")"),"ایونٹ کا مجموعی موڈ ایسا لگتا ہے...")</f>
        <v>ایونٹ کا مجموعی موڈ ایسا لگتا ہے...</v>
      </c>
      <c r="M211" s="2" t="str">
        <f>IFERROR(__xludf.DUMMYFUNCTION("GOOGLETRANSLATE(C211,""en"",""ur"")"),"ایک آرام دہ مشق سیشن")</f>
        <v>ایک آرام دہ مشق سیشن</v>
      </c>
      <c r="N211" s="2" t="str">
        <f>IFERROR(__xludf.DUMMYFUNCTION("GOOGLETRANSLATE(D211,""en"",""ur"")"),"ایک تناؤ اور جارحانہ کارکردگی")</f>
        <v>ایک تناؤ اور جارحانہ کارکردگی</v>
      </c>
      <c r="O211" s="2" t="str">
        <f>IFERROR(__xludf.DUMMYFUNCTION("GOOGLETRANSLATE(E211,""en"",""ur"")"),"ایک پرسکون، پرامن اجتماع")</f>
        <v>ایک پرسکون، پرامن اجتماع</v>
      </c>
      <c r="P211" s="2" t="str">
        <f>IFERROR(__xludf.DUMMYFUNCTION("GOOGLETRANSLATE(F211,""en"",""ur"")"),"ایک سست، رسمی رقص")</f>
        <v>ایک سست، رسمی رقص</v>
      </c>
      <c r="Q211" s="2" t="s">
        <v>457</v>
      </c>
      <c r="R211" s="2" t="str">
        <f>IFERROR(__xludf.DUMMYFUNCTION("GOOGLETRANSLATE(G211,""en"",""ur"")"),"ایک تناؤ اور جارحانہ کارکردگی")</f>
        <v>ایک تناؤ اور جارحانہ کارکردگی</v>
      </c>
      <c r="S211" s="6" t="s">
        <v>601</v>
      </c>
    </row>
    <row r="212">
      <c r="A212" s="7">
        <v>211.0</v>
      </c>
      <c r="B212" s="6" t="s">
        <v>605</v>
      </c>
      <c r="C212" s="6" t="s">
        <v>606</v>
      </c>
      <c r="D212" s="6" t="s">
        <v>607</v>
      </c>
      <c r="E212" s="6" t="s">
        <v>608</v>
      </c>
      <c r="F212" s="6" t="s">
        <v>609</v>
      </c>
      <c r="G212" s="6" t="s">
        <v>606</v>
      </c>
      <c r="H212" s="6" t="s">
        <v>610</v>
      </c>
      <c r="K212" s="2" t="str">
        <f>IFERROR(__xludf.DUMMYFUNCTION("GOOGLETRANSLATE(A212,""en"",""ur"")"),"211")</f>
        <v>211</v>
      </c>
      <c r="L212" s="2" t="str">
        <f>IFERROR(__xludf.DUMMYFUNCTION("GOOGLETRANSLATE(B212,""en"",""ur"")"),"گٹکا_53 میں دکھایا گیا اہم عمل کیا ہے؟")</f>
        <v>گٹکا_53 میں دکھایا گیا اہم عمل کیا ہے؟</v>
      </c>
      <c r="M212" s="2" t="str">
        <f>IFERROR(__xludf.DUMMYFUNCTION("GOOGLETRANSLATE(C212,""en"",""ur"")"),"ایک لڑکا رنگین پروپ کے ساتھ ناچ رہا ہے۔")</f>
        <v>ایک لڑکا رنگین پروپ کے ساتھ ناچ رہا ہے۔</v>
      </c>
      <c r="N212" s="2" t="str">
        <f>IFERROR(__xludf.DUMMYFUNCTION("GOOGLETRANSLATE(D212,""en"",""ur"")"),"ایک لڑکا چھڑی سے لڑ رہا ہے۔")</f>
        <v>ایک لڑکا چھڑی سے لڑ رہا ہے۔</v>
      </c>
      <c r="O212" s="2" t="str">
        <f>IFERROR(__xludf.DUMMYFUNCTION("GOOGLETRANSLATE(E212,""en"",""ur"")"),"ایک لڑکا تلوار کے ساتھ تصویر بنا رہا ہے۔")</f>
        <v>ایک لڑکا تلوار کے ساتھ تصویر بنا رہا ہے۔</v>
      </c>
      <c r="P212" s="2" t="str">
        <f>IFERROR(__xludf.DUMMYFUNCTION("GOOGLETRANSLATE(F212,""en"",""ur"")"),"ایک لڑکا کھینچ رہا ہے۔")</f>
        <v>ایک لڑکا کھینچ رہا ہے۔</v>
      </c>
      <c r="Q212" s="2" t="s">
        <v>611</v>
      </c>
      <c r="R212" s="2" t="str">
        <f>IFERROR(__xludf.DUMMYFUNCTION("GOOGLETRANSLATE(G212,""en"",""ur"")"),"ایک لڑکا رنگین پروپ کے ساتھ ناچ رہا ہے۔")</f>
        <v>ایک لڑکا رنگین پروپ کے ساتھ ناچ رہا ہے۔</v>
      </c>
      <c r="S212" s="6" t="s">
        <v>610</v>
      </c>
    </row>
    <row r="213">
      <c r="A213" s="7">
        <v>212.0</v>
      </c>
      <c r="B213" s="6" t="s">
        <v>612</v>
      </c>
      <c r="C213" s="6" t="s">
        <v>411</v>
      </c>
      <c r="D213" s="6" t="s">
        <v>499</v>
      </c>
      <c r="E213" s="6" t="s">
        <v>334</v>
      </c>
      <c r="F213" s="6" t="s">
        <v>413</v>
      </c>
      <c r="G213" s="6" t="s">
        <v>499</v>
      </c>
      <c r="H213" s="6" t="s">
        <v>610</v>
      </c>
      <c r="K213" s="2" t="str">
        <f>IFERROR(__xludf.DUMMYFUNCTION("GOOGLETRANSLATE(A213,""en"",""ur"")"),"212")</f>
        <v>212</v>
      </c>
      <c r="L213" s="2" t="str">
        <f>IFERROR(__xludf.DUMMYFUNCTION("GOOGLETRANSLATE(B213,""en"",""ur"")"),"لڑکے کے لباس کے بارے میں ایک قابل ذکر تفصیل کیا ہے؟")</f>
        <v>لڑکے کے لباس کے بارے میں ایک قابل ذکر تفصیل کیا ہے؟</v>
      </c>
      <c r="M213" s="2" t="str">
        <f>IFERROR(__xludf.DUMMYFUNCTION("GOOGLETRANSLATE(C213,""en"",""ur"")"),"اس نے بکتر کا پورا سوٹ پہن رکھا ہے۔")</f>
        <v>اس نے بکتر کا پورا سوٹ پہن رکھا ہے۔</v>
      </c>
      <c r="N213" s="2" t="str">
        <f>IFERROR(__xludf.DUMMYFUNCTION("GOOGLETRANSLATE(D213,""en"",""ur"")"),"اس نے نارنجی پگڑی کے ساتھ ایک لمبا، نیلا لباس پہن رکھا ہے۔")</f>
        <v>اس نے نارنجی پگڑی کے ساتھ ایک لمبا، نیلا لباس پہن رکھا ہے۔</v>
      </c>
      <c r="O213" s="2" t="str">
        <f>IFERROR(__xludf.DUMMYFUNCTION("GOOGLETRANSLATE(E213,""en"",""ur"")"),"اس نے شارٹس اور ٹی شرٹ پہن رکھی ہے۔")</f>
        <v>اس نے شارٹس اور ٹی شرٹ پہن رکھی ہے۔</v>
      </c>
      <c r="P213" s="2" t="str">
        <f>IFERROR(__xludf.DUMMYFUNCTION("GOOGLETRANSLATE(F213,""en"",""ur"")"),"اس نے پولیس کی وردی پہن رکھی ہے۔")</f>
        <v>اس نے پولیس کی وردی پہن رکھی ہے۔</v>
      </c>
      <c r="Q213" s="2" t="s">
        <v>500</v>
      </c>
      <c r="R213" s="2" t="str">
        <f>IFERROR(__xludf.DUMMYFUNCTION("GOOGLETRANSLATE(G213,""en"",""ur"")"),"اس نے نارنجی پگڑی کے ساتھ ایک لمبا، نیلا لباس پہن رکھا ہے۔")</f>
        <v>اس نے نارنجی پگڑی کے ساتھ ایک لمبا، نیلا لباس پہن رکھا ہے۔</v>
      </c>
      <c r="S213" s="6" t="s">
        <v>610</v>
      </c>
    </row>
    <row r="214">
      <c r="A214" s="7">
        <v>213.0</v>
      </c>
      <c r="B214" s="6" t="s">
        <v>613</v>
      </c>
      <c r="C214" s="6" t="s">
        <v>416</v>
      </c>
      <c r="D214" s="6" t="s">
        <v>417</v>
      </c>
      <c r="E214" s="6" t="s">
        <v>418</v>
      </c>
      <c r="F214" s="6" t="s">
        <v>419</v>
      </c>
      <c r="G214" s="6" t="s">
        <v>417</v>
      </c>
      <c r="H214" s="6" t="s">
        <v>610</v>
      </c>
      <c r="K214" s="2" t="str">
        <f>IFERROR(__xludf.DUMMYFUNCTION("GOOGLETRANSLATE(A214,""en"",""ur"")"),"213")</f>
        <v>213</v>
      </c>
      <c r="L214" s="2" t="str">
        <f>IFERROR(__xludf.DUMMYFUNCTION("GOOGLETRANSLATE(B214,""en"",""ur"")"),"لڑکا کونسا بنیادی ہتھیار استعمال کرتا ہے؟")</f>
        <v>لڑکا کونسا بنیادی ہتھیار استعمال کرتا ہے؟</v>
      </c>
      <c r="M214" s="2" t="str">
        <f>IFERROR(__xludf.DUMMYFUNCTION("GOOGLETRANSLATE(C214,""en"",""ur"")"),"ایک چھوٹی تلوار")</f>
        <v>ایک چھوٹی تلوار</v>
      </c>
      <c r="N214" s="2" t="str">
        <f>IFERROR(__xludf.DUMMYFUNCTION("GOOGLETRANSLATE(D214,""en"",""ur"")"),"ایک لمبی چھڑی")</f>
        <v>ایک لمبی چھڑی</v>
      </c>
      <c r="O214" s="2" t="str">
        <f>IFERROR(__xludf.DUMMYFUNCTION("GOOGLETRANSLATE(E214,""en"",""ur"")"),"ایک کمان اور تیر")</f>
        <v>ایک کمان اور تیر</v>
      </c>
      <c r="P214" s="2" t="str">
        <f>IFERROR(__xludf.DUMMYFUNCTION("GOOGLETRANSLATE(F214,""en"",""ur"")"),"ایک ننگی مٹھی")</f>
        <v>ایک ننگی مٹھی</v>
      </c>
      <c r="Q214" s="2" t="s">
        <v>420</v>
      </c>
      <c r="R214" s="2" t="str">
        <f>IFERROR(__xludf.DUMMYFUNCTION("GOOGLETRANSLATE(G214,""en"",""ur"")"),"ایک لمبی چھڑی")</f>
        <v>ایک لمبی چھڑی</v>
      </c>
      <c r="S214" s="6" t="s">
        <v>610</v>
      </c>
    </row>
    <row r="215">
      <c r="A215" s="7">
        <v>214.0</v>
      </c>
      <c r="B215" s="6" t="s">
        <v>421</v>
      </c>
      <c r="C215" s="6" t="s">
        <v>422</v>
      </c>
      <c r="D215" s="6" t="s">
        <v>423</v>
      </c>
      <c r="E215" s="6" t="s">
        <v>424</v>
      </c>
      <c r="F215" s="6" t="s">
        <v>425</v>
      </c>
      <c r="G215" s="6" t="s">
        <v>425</v>
      </c>
      <c r="H215" s="6" t="s">
        <v>610</v>
      </c>
      <c r="K215" s="2" t="str">
        <f>IFERROR(__xludf.DUMMYFUNCTION("GOOGLETRANSLATE(A215,""en"",""ur"")"),"214")</f>
        <v>214</v>
      </c>
      <c r="L215" s="2" t="str">
        <f>IFERROR(__xludf.DUMMYFUNCTION("GOOGLETRANSLATE(B215,""en"",""ur"")"),"اس لڑائی کی ترتیب کیا ہے؟")</f>
        <v>اس لڑائی کی ترتیب کیا ہے؟</v>
      </c>
      <c r="M215" s="2" t="str">
        <f>IFERROR(__xludf.DUMMYFUNCTION("GOOGLETRANSLATE(C215,""en"",""ur"")"),"ایک انڈور اسٹیڈیم")</f>
        <v>ایک انڈور اسٹیڈیم</v>
      </c>
      <c r="N215" s="2" t="str">
        <f>IFERROR(__xludf.DUMMYFUNCTION("GOOGLETRANSLATE(D215,""en"",""ur"")"),"ایک دیہی، بیرونی علاقہ")</f>
        <v>ایک دیہی، بیرونی علاقہ</v>
      </c>
      <c r="O215" s="2" t="str">
        <f>IFERROR(__xludf.DUMMYFUNCTION("GOOGLETRANSLATE(E215,""en"",""ur"")"),"شہر کی مصروف گلی")</f>
        <v>شہر کی مصروف گلی</v>
      </c>
      <c r="P215" s="2" t="str">
        <f>IFERROR(__xludf.DUMMYFUNCTION("GOOGLETRANSLATE(F215,""en"",""ur"")"),"گھاس کا میدان")</f>
        <v>گھاس کا میدان</v>
      </c>
      <c r="Q215" s="2" t="s">
        <v>426</v>
      </c>
      <c r="R215" s="2" t="str">
        <f>IFERROR(__xludf.DUMMYFUNCTION("GOOGLETRANSLATE(G215,""en"",""ur"")"),"گھاس کا میدان")</f>
        <v>گھاس کا میدان</v>
      </c>
      <c r="S215" s="6" t="s">
        <v>610</v>
      </c>
    </row>
    <row r="216">
      <c r="A216" s="7">
        <v>215.0</v>
      </c>
      <c r="B216" s="6" t="s">
        <v>614</v>
      </c>
      <c r="C216" s="6" t="s">
        <v>47</v>
      </c>
      <c r="D216" s="6" t="s">
        <v>48</v>
      </c>
      <c r="E216" s="6" t="s">
        <v>49</v>
      </c>
      <c r="F216" s="6" t="s">
        <v>50</v>
      </c>
      <c r="G216" s="6" t="s">
        <v>50</v>
      </c>
      <c r="H216" s="6" t="s">
        <v>610</v>
      </c>
      <c r="K216" s="2" t="str">
        <f>IFERROR(__xludf.DUMMYFUNCTION("GOOGLETRANSLATE(A216,""en"",""ur"")"),"215")</f>
        <v>215</v>
      </c>
      <c r="L216" s="2" t="str">
        <f>IFERROR(__xludf.DUMMYFUNCTION("GOOGLETRANSLATE(B216,""en"",""ur"")"),"لڑکے کا ظاہری جذبات کیا ہے؟")</f>
        <v>لڑکے کا ظاہری جذبات کیا ہے؟</v>
      </c>
      <c r="M216" s="2" t="str">
        <f>IFERROR(__xludf.DUMMYFUNCTION("GOOGLETRANSLATE(C216,""en"",""ur"")"),"پرسکون اور پر سکون")</f>
        <v>پرسکون اور پر سکون</v>
      </c>
      <c r="N216" s="2" t="str">
        <f>IFERROR(__xludf.DUMMYFUNCTION("GOOGLETRANSLATE(D216,""en"",""ur"")"),"خوف زدہ اور بے چین")</f>
        <v>خوف زدہ اور بے چین</v>
      </c>
      <c r="O216" s="2" t="str">
        <f>IFERROR(__xludf.DUMMYFUNCTION("GOOGLETRANSLATE(E216,""en"",""ur"")"),"کشیدہ اور شدید")</f>
        <v>کشیدہ اور شدید</v>
      </c>
      <c r="P216" s="2" t="str">
        <f>IFERROR(__xludf.DUMMYFUNCTION("GOOGLETRANSLATE(F216,""en"",""ur"")"),"خوش اور مسکراتے ہوئے۔")</f>
        <v>خوش اور مسکراتے ہوئے۔</v>
      </c>
      <c r="Q216" s="2" t="s">
        <v>51</v>
      </c>
      <c r="R216" s="2" t="str">
        <f>IFERROR(__xludf.DUMMYFUNCTION("GOOGLETRANSLATE(G216,""en"",""ur"")"),"خوش اور مسکراتے ہوئے۔")</f>
        <v>خوش اور مسکراتے ہوئے۔</v>
      </c>
      <c r="S216" s="6" t="s">
        <v>610</v>
      </c>
    </row>
    <row r="217">
      <c r="A217" s="7">
        <v>216.0</v>
      </c>
      <c r="B217" s="6" t="s">
        <v>615</v>
      </c>
      <c r="C217" s="6" t="s">
        <v>429</v>
      </c>
      <c r="D217" s="6" t="s">
        <v>430</v>
      </c>
      <c r="E217" s="6" t="s">
        <v>431</v>
      </c>
      <c r="F217" s="6" t="s">
        <v>432</v>
      </c>
      <c r="G217" s="6" t="s">
        <v>429</v>
      </c>
      <c r="H217" s="6" t="s">
        <v>610</v>
      </c>
      <c r="K217" s="2" t="str">
        <f>IFERROR(__xludf.DUMMYFUNCTION("GOOGLETRANSLATE(A217,""en"",""ur"")"),"216")</f>
        <v>216</v>
      </c>
      <c r="L217" s="2" t="str">
        <f>IFERROR(__xludf.DUMMYFUNCTION("GOOGLETRANSLATE(B217,""en"",""ur"")"),"لڑکے کی ظاہری جسمانی پوزیشن کیا ہے؟")</f>
        <v>لڑکے کی ظاہری جسمانی پوزیشن کیا ہے؟</v>
      </c>
      <c r="M217" s="2" t="str">
        <f>IFERROR(__xludf.DUMMYFUNCTION("GOOGLETRANSLATE(C217,""en"",""ur"")"),"سیدھا کھڑا ہونا")</f>
        <v>سیدھا کھڑا ہونا</v>
      </c>
      <c r="N217" s="2" t="str">
        <f>IFERROR(__xludf.DUMMYFUNCTION("GOOGLETRANSLATE(D217,""en"",""ur"")"),"کم، متحرک موقف میں")</f>
        <v>کم، متحرک موقف میں</v>
      </c>
      <c r="O217" s="2" t="str">
        <f>IFERROR(__xludf.DUMMYFUNCTION("GOOGLETRANSLATE(E217,""en"",""ur"")"),"زمین پر لیٹنا")</f>
        <v>زمین پر لیٹنا</v>
      </c>
      <c r="P217" s="2" t="str">
        <f>IFERROR(__xludf.DUMMYFUNCTION("GOOGLETRANSLATE(F217,""en"",""ur"")"),"بیٹھا ہوا")</f>
        <v>بیٹھا ہوا</v>
      </c>
      <c r="Q217" s="2" t="s">
        <v>433</v>
      </c>
      <c r="R217" s="2" t="str">
        <f>IFERROR(__xludf.DUMMYFUNCTION("GOOGLETRANSLATE(G217,""en"",""ur"")"),"سیدھا کھڑا ہونا")</f>
        <v>سیدھا کھڑا ہونا</v>
      </c>
      <c r="S217" s="6" t="s">
        <v>610</v>
      </c>
    </row>
    <row r="218">
      <c r="A218" s="7">
        <v>217.0</v>
      </c>
      <c r="B218" s="6" t="s">
        <v>434</v>
      </c>
      <c r="C218" s="6" t="s">
        <v>435</v>
      </c>
      <c r="D218" s="6" t="s">
        <v>436</v>
      </c>
      <c r="E218" s="6" t="s">
        <v>437</v>
      </c>
      <c r="F218" s="6" t="s">
        <v>438</v>
      </c>
      <c r="G218" s="6" t="s">
        <v>437</v>
      </c>
      <c r="H218" s="6" t="s">
        <v>610</v>
      </c>
      <c r="K218" s="2" t="str">
        <f>IFERROR(__xludf.DUMMYFUNCTION("GOOGLETRANSLATE(A218,""en"",""ur"")"),"217")</f>
        <v>217</v>
      </c>
      <c r="L218" s="2" t="str">
        <f>IFERROR(__xludf.DUMMYFUNCTION("GOOGLETRANSLATE(B218,""en"",""ur"")"),"پس منظر میں ہجوم کی سب سے نمایاں خصوصیت کیا ہے؟")</f>
        <v>پس منظر میں ہجوم کی سب سے نمایاں خصوصیت کیا ہے؟</v>
      </c>
      <c r="M218" s="2" t="str">
        <f>IFERROR(__xludf.DUMMYFUNCTION("GOOGLETRANSLATE(C218,""en"",""ur"")"),"وہ بھاگ رہے ہیں۔")</f>
        <v>وہ بھاگ رہے ہیں۔</v>
      </c>
      <c r="N218" s="2" t="str">
        <f>IFERROR(__xludf.DUMMYFUNCTION("GOOGLETRANSLATE(D218,""en"",""ur"")"),"وہ خاموش بیٹھے ہیں۔")</f>
        <v>وہ خاموش بیٹھے ہیں۔</v>
      </c>
      <c r="O218" s="2" t="str">
        <f>IFERROR(__xludf.DUMMYFUNCTION("GOOGLETRANSLATE(E218,""en"",""ur"")"),"وہ لڑائی کو قدرتی رکاوٹ سے دیکھ رہے ہیں۔")</f>
        <v>وہ لڑائی کو قدرتی رکاوٹ سے دیکھ رہے ہیں۔</v>
      </c>
      <c r="P218" s="2" t="str">
        <f>IFERROR(__xludf.DUMMYFUNCTION("GOOGLETRANSLATE(F218,""en"",""ur"")"),"وہ سب ایک اسٹیج پر کھڑے ہیں۔")</f>
        <v>وہ سب ایک اسٹیج پر کھڑے ہیں۔</v>
      </c>
      <c r="Q218" s="2" t="s">
        <v>439</v>
      </c>
      <c r="R218" s="2" t="str">
        <f>IFERROR(__xludf.DUMMYFUNCTION("GOOGLETRANSLATE(G218,""en"",""ur"")"),"وہ لڑائی کو قدرتی رکاوٹ سے دیکھ رہے ہیں۔")</f>
        <v>وہ لڑائی کو قدرتی رکاوٹ سے دیکھ رہے ہیں۔</v>
      </c>
      <c r="S218" s="6" t="s">
        <v>610</v>
      </c>
    </row>
    <row r="219">
      <c r="A219" s="7">
        <v>218.0</v>
      </c>
      <c r="B219" s="6" t="s">
        <v>440</v>
      </c>
      <c r="C219" s="6" t="s">
        <v>441</v>
      </c>
      <c r="D219" s="6" t="s">
        <v>442</v>
      </c>
      <c r="E219" s="6" t="s">
        <v>443</v>
      </c>
      <c r="F219" s="6" t="s">
        <v>444</v>
      </c>
      <c r="G219" s="6" t="s">
        <v>444</v>
      </c>
      <c r="H219" s="6" t="s">
        <v>610</v>
      </c>
      <c r="K219" s="2" t="str">
        <f>IFERROR(__xludf.DUMMYFUNCTION("GOOGLETRANSLATE(A219,""en"",""ur"")"),"218")</f>
        <v>218</v>
      </c>
      <c r="L219" s="2" t="str">
        <f>IFERROR(__xludf.DUMMYFUNCTION("GOOGLETRANSLATE(B219,""en"",""ur"")"),"زمین کی ظاہری حالت کیا ہے؟")</f>
        <v>زمین کی ظاہری حالت کیا ہے؟</v>
      </c>
      <c r="M219" s="2" t="str">
        <f>IFERROR(__xludf.DUMMYFUNCTION("GOOGLETRANSLATE(C219,""en"",""ur"")"),"یہ ایک پکی سطح ہے۔")</f>
        <v>یہ ایک پکی سطح ہے۔</v>
      </c>
      <c r="N219" s="2" t="str">
        <f>IFERROR(__xludf.DUMMYFUNCTION("GOOGLETRANSLATE(D219,""en"",""ur"")"),"یہ ایک کیچڑ والا میدان ہے۔")</f>
        <v>یہ ایک کیچڑ والا میدان ہے۔</v>
      </c>
      <c r="O219" s="2" t="str">
        <f>IFERROR(__xludf.DUMMYFUNCTION("GOOGLETRANSLATE(E219,""en"",""ur"")"),"یہ ایک ریتلی یا مٹی کی سطح ہے جس میں دھول اڑتی ہے۔")</f>
        <v>یہ ایک ریتلی یا مٹی کی سطح ہے جس میں دھول اڑتی ہے۔</v>
      </c>
      <c r="P219" s="2" t="str">
        <f>IFERROR(__xludf.DUMMYFUNCTION("GOOGLETRANSLATE(F219,""en"",""ur"")"),"یہ ایک گھاس والی سطح ہے۔")</f>
        <v>یہ ایک گھاس والی سطح ہے۔</v>
      </c>
      <c r="Q219" s="2" t="s">
        <v>445</v>
      </c>
      <c r="R219" s="2" t="str">
        <f>IFERROR(__xludf.DUMMYFUNCTION("GOOGLETRANSLATE(G219,""en"",""ur"")"),"یہ ایک گھاس والی سطح ہے۔")</f>
        <v>یہ ایک گھاس والی سطح ہے۔</v>
      </c>
      <c r="S219" s="6" t="s">
        <v>610</v>
      </c>
    </row>
    <row r="220">
      <c r="A220" s="7">
        <v>219.0</v>
      </c>
      <c r="B220" s="6" t="s">
        <v>476</v>
      </c>
      <c r="C220" s="6" t="s">
        <v>447</v>
      </c>
      <c r="D220" s="6" t="s">
        <v>448</v>
      </c>
      <c r="E220" s="6" t="s">
        <v>449</v>
      </c>
      <c r="F220" s="6" t="s">
        <v>450</v>
      </c>
      <c r="G220" s="6" t="s">
        <v>448</v>
      </c>
      <c r="H220" s="6" t="s">
        <v>610</v>
      </c>
      <c r="K220" s="2" t="str">
        <f>IFERROR(__xludf.DUMMYFUNCTION("GOOGLETRANSLATE(A220,""en"",""ur"")"),"219")</f>
        <v>219</v>
      </c>
      <c r="L220" s="2" t="str">
        <f>IFERROR(__xludf.DUMMYFUNCTION("GOOGLETRANSLATE(B220,""en"",""ur"")"),"لمبی چھڑی کا بنیادی مقصد کیا ہے؟")</f>
        <v>لمبی چھڑی کا بنیادی مقصد کیا ہے؟</v>
      </c>
      <c r="M220" s="2" t="str">
        <f>IFERROR(__xludf.DUMMYFUNCTION("GOOGLETRANSLATE(C220,""en"",""ur"")"),"تلوار کے وار کو روکنے کے لیے")</f>
        <v>تلوار کے وار کو روکنے کے لیے</v>
      </c>
      <c r="N220" s="2" t="str">
        <f>IFERROR(__xludf.DUMMYFUNCTION("GOOGLETRANSLATE(D220,""en"",""ur"")"),"ہتھیار رکھنے کے لیے")</f>
        <v>ہتھیار رکھنے کے لیے</v>
      </c>
      <c r="O220" s="2" t="str">
        <f>IFERROR(__xludf.DUMMYFUNCTION("GOOGLETRANSLATE(E220,""en"",""ur"")"),"صرف سجاوٹ کے لیے")</f>
        <v>صرف سجاوٹ کے لیے</v>
      </c>
      <c r="P220" s="2" t="str">
        <f>IFERROR(__xludf.DUMMYFUNCTION("GOOGLETRANSLATE(F220,""en"",""ur"")"),"سورج کو روکنے کے لئے")</f>
        <v>سورج کو روکنے کے لئے</v>
      </c>
      <c r="Q220" s="2" t="s">
        <v>451</v>
      </c>
      <c r="R220" s="2" t="str">
        <f>IFERROR(__xludf.DUMMYFUNCTION("GOOGLETRANSLATE(G220,""en"",""ur"")"),"ہتھیار رکھنے کے لیے")</f>
        <v>ہتھیار رکھنے کے لیے</v>
      </c>
      <c r="S220" s="6" t="s">
        <v>610</v>
      </c>
    </row>
    <row r="221">
      <c r="A221" s="7">
        <v>220.0</v>
      </c>
      <c r="B221" s="6" t="s">
        <v>452</v>
      </c>
      <c r="C221" s="6" t="s">
        <v>453</v>
      </c>
      <c r="D221" s="6" t="s">
        <v>454</v>
      </c>
      <c r="E221" s="6" t="s">
        <v>455</v>
      </c>
      <c r="F221" s="6" t="s">
        <v>456</v>
      </c>
      <c r="G221" s="6" t="s">
        <v>453</v>
      </c>
      <c r="H221" s="6" t="s">
        <v>610</v>
      </c>
      <c r="K221" s="2" t="str">
        <f>IFERROR(__xludf.DUMMYFUNCTION("GOOGLETRANSLATE(A221,""en"",""ur"")"),"220")</f>
        <v>220</v>
      </c>
      <c r="L221" s="2" t="str">
        <f>IFERROR(__xludf.DUMMYFUNCTION("GOOGLETRANSLATE(B221,""en"",""ur"")"),"ایونٹ کا مجموعی موڈ ایسا لگتا ہے...")</f>
        <v>ایونٹ کا مجموعی موڈ ایسا لگتا ہے...</v>
      </c>
      <c r="M221" s="2" t="str">
        <f>IFERROR(__xludf.DUMMYFUNCTION("GOOGLETRANSLATE(C221,""en"",""ur"")"),"ایک آرام دہ مشق سیشن")</f>
        <v>ایک آرام دہ مشق سیشن</v>
      </c>
      <c r="N221" s="2" t="str">
        <f>IFERROR(__xludf.DUMMYFUNCTION("GOOGLETRANSLATE(D221,""en"",""ur"")"),"ایک تناؤ اور جارحانہ کارکردگی")</f>
        <v>ایک تناؤ اور جارحانہ کارکردگی</v>
      </c>
      <c r="O221" s="2" t="str">
        <f>IFERROR(__xludf.DUMMYFUNCTION("GOOGLETRANSLATE(E221,""en"",""ur"")"),"ایک پرسکون، پرامن اجتماع")</f>
        <v>ایک پرسکون، پرامن اجتماع</v>
      </c>
      <c r="P221" s="2" t="str">
        <f>IFERROR(__xludf.DUMMYFUNCTION("GOOGLETRANSLATE(F221,""en"",""ur"")"),"ایک سست، رسمی رقص")</f>
        <v>ایک سست، رسمی رقص</v>
      </c>
      <c r="Q221" s="2" t="s">
        <v>457</v>
      </c>
      <c r="R221" s="2" t="str">
        <f>IFERROR(__xludf.DUMMYFUNCTION("GOOGLETRANSLATE(G221,""en"",""ur"")"),"ایک آرام دہ مشق سیشن")</f>
        <v>ایک آرام دہ مشق سیشن</v>
      </c>
      <c r="S221" s="6" t="s">
        <v>610</v>
      </c>
    </row>
    <row r="222">
      <c r="A222" s="7">
        <v>221.0</v>
      </c>
      <c r="B222" s="6" t="s">
        <v>616</v>
      </c>
      <c r="C222" s="6" t="s">
        <v>600</v>
      </c>
      <c r="D222" s="6" t="s">
        <v>406</v>
      </c>
      <c r="E222" s="6" t="s">
        <v>407</v>
      </c>
      <c r="F222" s="6" t="s">
        <v>408</v>
      </c>
      <c r="G222" s="6" t="s">
        <v>600</v>
      </c>
      <c r="H222" s="6" t="s">
        <v>617</v>
      </c>
      <c r="K222" s="2" t="str">
        <f>IFERROR(__xludf.DUMMYFUNCTION("GOOGLETRANSLATE(A222,""en"",""ur"")"),"221")</f>
        <v>221</v>
      </c>
      <c r="L222" s="2" t="str">
        <f>IFERROR(__xludf.DUMMYFUNCTION("GOOGLETRANSLATE(B222,""en"",""ur"")"),"گٹکا_61 میں دکھایا گیا اہم عمل کیا ہے؟")</f>
        <v>گٹکا_61 میں دکھایا گیا اہم عمل کیا ہے؟</v>
      </c>
      <c r="M222" s="2" t="str">
        <f>IFERROR(__xludf.DUMMYFUNCTION("GOOGLETRANSLATE(C222,""en"",""ur"")"),"دو آدمی لاٹھیوں سے لڑ رہے ہیں۔")</f>
        <v>دو آدمی لاٹھیوں سے لڑ رہے ہیں۔</v>
      </c>
      <c r="N222" s="2" t="str">
        <f>IFERROR(__xludf.DUMMYFUNCTION("GOOGLETRANSLATE(D222,""en"",""ur"")"),"دو آدمی ناچ رہے ہیں۔")</f>
        <v>دو آدمی ناچ رہے ہیں۔</v>
      </c>
      <c r="O222" s="2" t="str">
        <f>IFERROR(__xludf.DUMMYFUNCTION("GOOGLETRANSLATE(E222,""en"",""ur"")"),"دو آدمی سہارے کے ساتھ پوز دے رہے ہیں۔")</f>
        <v>دو آدمی سہارے کے ساتھ پوز دے رہے ہیں۔</v>
      </c>
      <c r="P222" s="2" t="str">
        <f>IFERROR(__xludf.DUMMYFUNCTION("GOOGLETRANSLATE(F222,""en"",""ur"")"),"دو آدمی کشتی کرتے ہوئے۔")</f>
        <v>دو آدمی کشتی کرتے ہوئے۔</v>
      </c>
      <c r="Q222" s="2" t="s">
        <v>602</v>
      </c>
      <c r="R222" s="2" t="str">
        <f>IFERROR(__xludf.DUMMYFUNCTION("GOOGLETRANSLATE(G222,""en"",""ur"")"),"دو آدمی لاٹھیوں سے لڑ رہے ہیں۔")</f>
        <v>دو آدمی لاٹھیوں سے لڑ رہے ہیں۔</v>
      </c>
      <c r="S222" s="6" t="s">
        <v>617</v>
      </c>
    </row>
    <row r="223">
      <c r="A223" s="7">
        <v>222.0</v>
      </c>
      <c r="B223" s="6" t="s">
        <v>487</v>
      </c>
      <c r="C223" s="6" t="s">
        <v>411</v>
      </c>
      <c r="D223" s="6" t="s">
        <v>583</v>
      </c>
      <c r="E223" s="6" t="s">
        <v>334</v>
      </c>
      <c r="F223" s="6" t="s">
        <v>413</v>
      </c>
      <c r="G223" s="6" t="s">
        <v>583</v>
      </c>
      <c r="H223" s="6" t="s">
        <v>617</v>
      </c>
      <c r="K223" s="2" t="str">
        <f>IFERROR(__xludf.DUMMYFUNCTION("GOOGLETRANSLATE(A223,""en"",""ur"")"),"222")</f>
        <v>222</v>
      </c>
      <c r="L223" s="2" t="str">
        <f>IFERROR(__xludf.DUMMYFUNCTION("GOOGLETRANSLATE(B223,""en"",""ur"")"),"جنگجوؤں کے لباس کے بارے میں ایک قابل ذکر تفصیل کیا ہے؟")</f>
        <v>جنگجوؤں کے لباس کے بارے میں ایک قابل ذکر تفصیل کیا ہے؟</v>
      </c>
      <c r="M223" s="2" t="str">
        <f>IFERROR(__xludf.DUMMYFUNCTION("GOOGLETRANSLATE(C223,""en"",""ur"")"),"اس نے بکتر کا پورا سوٹ پہن رکھا ہے۔")</f>
        <v>اس نے بکتر کا پورا سوٹ پہن رکھا ہے۔</v>
      </c>
      <c r="N223" s="2" t="str">
        <f>IFERROR(__xludf.DUMMYFUNCTION("GOOGLETRANSLATE(D223,""en"",""ur"")"),"اس نے ایک لمبا، نیلے رنگ کا چوغہ پہنا ہوا ہے جس میں سفید چادر ہے۔")</f>
        <v>اس نے ایک لمبا، نیلے رنگ کا چوغہ پہنا ہوا ہے جس میں سفید چادر ہے۔</v>
      </c>
      <c r="O223" s="2" t="str">
        <f>IFERROR(__xludf.DUMMYFUNCTION("GOOGLETRANSLATE(E223,""en"",""ur"")"),"اس نے شارٹس اور ٹی شرٹ پہن رکھی ہے۔")</f>
        <v>اس نے شارٹس اور ٹی شرٹ پہن رکھی ہے۔</v>
      </c>
      <c r="P223" s="2" t="str">
        <f>IFERROR(__xludf.DUMMYFUNCTION("GOOGLETRANSLATE(F223,""en"",""ur"")"),"اس نے پولیس کی وردی پہن رکھی ہے۔")</f>
        <v>اس نے پولیس کی وردی پہن رکھی ہے۔</v>
      </c>
      <c r="Q223" s="2" t="s">
        <v>584</v>
      </c>
      <c r="R223" s="2" t="str">
        <f>IFERROR(__xludf.DUMMYFUNCTION("GOOGLETRANSLATE(G223,""en"",""ur"")"),"اس نے ایک لمبا، نیلے رنگ کا چوغہ پہنا ہوا ہے جس میں سفید چادر ہے۔")</f>
        <v>اس نے ایک لمبا، نیلے رنگ کا چوغہ پہنا ہوا ہے جس میں سفید چادر ہے۔</v>
      </c>
      <c r="S223" s="6" t="s">
        <v>617</v>
      </c>
    </row>
    <row r="224">
      <c r="A224" s="7">
        <v>223.0</v>
      </c>
      <c r="B224" s="6" t="s">
        <v>415</v>
      </c>
      <c r="C224" s="6" t="s">
        <v>416</v>
      </c>
      <c r="D224" s="6" t="s">
        <v>417</v>
      </c>
      <c r="E224" s="6" t="s">
        <v>418</v>
      </c>
      <c r="F224" s="6" t="s">
        <v>419</v>
      </c>
      <c r="G224" s="6" t="s">
        <v>417</v>
      </c>
      <c r="H224" s="6" t="s">
        <v>617</v>
      </c>
      <c r="K224" s="2" t="str">
        <f>IFERROR(__xludf.DUMMYFUNCTION("GOOGLETRANSLATE(A224,""en"",""ur"")"),"223")</f>
        <v>223</v>
      </c>
      <c r="L224" s="2" t="str">
        <f>IFERROR(__xludf.DUMMYFUNCTION("GOOGLETRANSLATE(B224,""en"",""ur"")"),"جنگجوؤں کے ذریعہ استعمال ہونے والا بنیادی ہتھیار کیا ہے؟")</f>
        <v>جنگجوؤں کے ذریعہ استعمال ہونے والا بنیادی ہتھیار کیا ہے؟</v>
      </c>
      <c r="M224" s="2" t="str">
        <f>IFERROR(__xludf.DUMMYFUNCTION("GOOGLETRANSLATE(C224,""en"",""ur"")"),"ایک چھوٹی تلوار")</f>
        <v>ایک چھوٹی تلوار</v>
      </c>
      <c r="N224" s="2" t="str">
        <f>IFERROR(__xludf.DUMMYFUNCTION("GOOGLETRANSLATE(D224,""en"",""ur"")"),"ایک لمبی چھڑی")</f>
        <v>ایک لمبی چھڑی</v>
      </c>
      <c r="O224" s="2" t="str">
        <f>IFERROR(__xludf.DUMMYFUNCTION("GOOGLETRANSLATE(E224,""en"",""ur"")"),"ایک کمان اور تیر")</f>
        <v>ایک کمان اور تیر</v>
      </c>
      <c r="P224" s="2" t="str">
        <f>IFERROR(__xludf.DUMMYFUNCTION("GOOGLETRANSLATE(F224,""en"",""ur"")"),"ایک ننگی مٹھی")</f>
        <v>ایک ننگی مٹھی</v>
      </c>
      <c r="Q224" s="2" t="s">
        <v>420</v>
      </c>
      <c r="R224" s="2" t="str">
        <f>IFERROR(__xludf.DUMMYFUNCTION("GOOGLETRANSLATE(G224,""en"",""ur"")"),"ایک لمبی چھڑی")</f>
        <v>ایک لمبی چھڑی</v>
      </c>
      <c r="S224" s="6" t="s">
        <v>617</v>
      </c>
    </row>
    <row r="225">
      <c r="A225" s="7">
        <v>224.0</v>
      </c>
      <c r="B225" s="6" t="s">
        <v>421</v>
      </c>
      <c r="C225" s="6" t="s">
        <v>422</v>
      </c>
      <c r="D225" s="6" t="s">
        <v>423</v>
      </c>
      <c r="E225" s="6" t="s">
        <v>424</v>
      </c>
      <c r="F225" s="6" t="s">
        <v>90</v>
      </c>
      <c r="G225" s="6" t="s">
        <v>90</v>
      </c>
      <c r="H225" s="6" t="s">
        <v>617</v>
      </c>
      <c r="K225" s="2" t="str">
        <f>IFERROR(__xludf.DUMMYFUNCTION("GOOGLETRANSLATE(A225,""en"",""ur"")"),"224")</f>
        <v>224</v>
      </c>
      <c r="L225" s="2" t="str">
        <f>IFERROR(__xludf.DUMMYFUNCTION("GOOGLETRANSLATE(B225,""en"",""ur"")"),"اس لڑائی کی ترتیب کیا ہے؟")</f>
        <v>اس لڑائی کی ترتیب کیا ہے؟</v>
      </c>
      <c r="M225" s="2" t="str">
        <f>IFERROR(__xludf.DUMMYFUNCTION("GOOGLETRANSLATE(C225,""en"",""ur"")"),"ایک انڈور اسٹیڈیم")</f>
        <v>ایک انڈور اسٹیڈیم</v>
      </c>
      <c r="N225" s="2" t="str">
        <f>IFERROR(__xludf.DUMMYFUNCTION("GOOGLETRANSLATE(D225,""en"",""ur"")"),"ایک دیہی، بیرونی علاقہ")</f>
        <v>ایک دیہی، بیرونی علاقہ</v>
      </c>
      <c r="O225" s="2" t="str">
        <f>IFERROR(__xludf.DUMMYFUNCTION("GOOGLETRANSLATE(E225,""en"",""ur"")"),"شہر کی مصروف گلی")</f>
        <v>شہر کی مصروف گلی</v>
      </c>
      <c r="P225" s="2" t="str">
        <f>IFERROR(__xludf.DUMMYFUNCTION("GOOGLETRANSLATE(F225,""en"",""ur"")"),"کیچڑ والا میدان")</f>
        <v>کیچڑ والا میدان</v>
      </c>
      <c r="Q225" s="2" t="s">
        <v>618</v>
      </c>
      <c r="R225" s="2" t="str">
        <f>IFERROR(__xludf.DUMMYFUNCTION("GOOGLETRANSLATE(G225,""en"",""ur"")"),"کیچڑ والا میدان")</f>
        <v>کیچڑ والا میدان</v>
      </c>
      <c r="S225" s="6" t="s">
        <v>617</v>
      </c>
    </row>
    <row r="226">
      <c r="A226" s="7">
        <v>225.0</v>
      </c>
      <c r="B226" s="6" t="s">
        <v>427</v>
      </c>
      <c r="C226" s="6" t="s">
        <v>47</v>
      </c>
      <c r="D226" s="6" t="s">
        <v>48</v>
      </c>
      <c r="E226" s="6" t="s">
        <v>49</v>
      </c>
      <c r="F226" s="6" t="s">
        <v>50</v>
      </c>
      <c r="G226" s="6" t="s">
        <v>49</v>
      </c>
      <c r="H226" s="6" t="s">
        <v>617</v>
      </c>
      <c r="K226" s="2" t="str">
        <f>IFERROR(__xludf.DUMMYFUNCTION("GOOGLETRANSLATE(A226,""en"",""ur"")"),"225")</f>
        <v>225</v>
      </c>
      <c r="L226" s="2" t="str">
        <f>IFERROR(__xludf.DUMMYFUNCTION("GOOGLETRANSLATE(B226,""en"",""ur"")"),"جنگجوؤں کے ظاہری جذبات کیا ہیں؟")</f>
        <v>جنگجوؤں کے ظاہری جذبات کیا ہیں؟</v>
      </c>
      <c r="M226" s="2" t="str">
        <f>IFERROR(__xludf.DUMMYFUNCTION("GOOGLETRANSLATE(C226,""en"",""ur"")"),"پرسکون اور پر سکون")</f>
        <v>پرسکون اور پر سکون</v>
      </c>
      <c r="N226" s="2" t="str">
        <f>IFERROR(__xludf.DUMMYFUNCTION("GOOGLETRANSLATE(D226,""en"",""ur"")"),"خوف زدہ اور بے چین")</f>
        <v>خوف زدہ اور بے چین</v>
      </c>
      <c r="O226" s="2" t="str">
        <f>IFERROR(__xludf.DUMMYFUNCTION("GOOGLETRANSLATE(E226,""en"",""ur"")"),"کشیدہ اور شدید")</f>
        <v>کشیدہ اور شدید</v>
      </c>
      <c r="P226" s="2" t="str">
        <f>IFERROR(__xludf.DUMMYFUNCTION("GOOGLETRANSLATE(F226,""en"",""ur"")"),"خوش اور مسکراتے ہوئے۔")</f>
        <v>خوش اور مسکراتے ہوئے۔</v>
      </c>
      <c r="Q226" s="2" t="s">
        <v>51</v>
      </c>
      <c r="R226" s="2" t="str">
        <f>IFERROR(__xludf.DUMMYFUNCTION("GOOGLETRANSLATE(G226,""en"",""ur"")"),"کشیدہ اور شدید")</f>
        <v>کشیدہ اور شدید</v>
      </c>
      <c r="S226" s="6" t="s">
        <v>617</v>
      </c>
    </row>
    <row r="227">
      <c r="A227" s="7">
        <v>226.0</v>
      </c>
      <c r="B227" s="6" t="s">
        <v>428</v>
      </c>
      <c r="C227" s="6" t="s">
        <v>429</v>
      </c>
      <c r="D227" s="6" t="s">
        <v>430</v>
      </c>
      <c r="E227" s="6" t="s">
        <v>431</v>
      </c>
      <c r="F227" s="6" t="s">
        <v>432</v>
      </c>
      <c r="G227" s="6" t="s">
        <v>430</v>
      </c>
      <c r="H227" s="6" t="s">
        <v>617</v>
      </c>
      <c r="K227" s="2" t="str">
        <f>IFERROR(__xludf.DUMMYFUNCTION("GOOGLETRANSLATE(A227,""en"",""ur"")"),"226")</f>
        <v>226</v>
      </c>
      <c r="L227" s="2" t="str">
        <f>IFERROR(__xludf.DUMMYFUNCTION("GOOGLETRANSLATE(B227,""en"",""ur"")"),"جنگجوؤں کی ظاہری باڈی پوزیشن کیا ہے؟")</f>
        <v>جنگجوؤں کی ظاہری باڈی پوزیشن کیا ہے؟</v>
      </c>
      <c r="M227" s="2" t="str">
        <f>IFERROR(__xludf.DUMMYFUNCTION("GOOGLETRANSLATE(C227,""en"",""ur"")"),"سیدھا کھڑا ہونا")</f>
        <v>سیدھا کھڑا ہونا</v>
      </c>
      <c r="N227" s="2" t="str">
        <f>IFERROR(__xludf.DUMMYFUNCTION("GOOGLETRANSLATE(D227,""en"",""ur"")"),"کم، متحرک موقف میں")</f>
        <v>کم، متحرک موقف میں</v>
      </c>
      <c r="O227" s="2" t="str">
        <f>IFERROR(__xludf.DUMMYFUNCTION("GOOGLETRANSLATE(E227,""en"",""ur"")"),"زمین پر لیٹنا")</f>
        <v>زمین پر لیٹنا</v>
      </c>
      <c r="P227" s="2" t="str">
        <f>IFERROR(__xludf.DUMMYFUNCTION("GOOGLETRANSLATE(F227,""en"",""ur"")"),"بیٹھا ہوا")</f>
        <v>بیٹھا ہوا</v>
      </c>
      <c r="Q227" s="2" t="s">
        <v>433</v>
      </c>
      <c r="R227" s="2" t="str">
        <f>IFERROR(__xludf.DUMMYFUNCTION("GOOGLETRANSLATE(G227,""en"",""ur"")"),"کم، متحرک موقف میں")</f>
        <v>کم، متحرک موقف میں</v>
      </c>
      <c r="S227" s="6" t="s">
        <v>617</v>
      </c>
    </row>
    <row r="228">
      <c r="A228" s="7">
        <v>227.0</v>
      </c>
      <c r="B228" s="6" t="s">
        <v>434</v>
      </c>
      <c r="C228" s="6" t="s">
        <v>435</v>
      </c>
      <c r="D228" s="6" t="s">
        <v>436</v>
      </c>
      <c r="E228" s="6" t="s">
        <v>437</v>
      </c>
      <c r="F228" s="6" t="s">
        <v>438</v>
      </c>
      <c r="G228" s="6" t="s">
        <v>437</v>
      </c>
      <c r="H228" s="6" t="s">
        <v>617</v>
      </c>
      <c r="K228" s="2" t="str">
        <f>IFERROR(__xludf.DUMMYFUNCTION("GOOGLETRANSLATE(A228,""en"",""ur"")"),"227")</f>
        <v>227</v>
      </c>
      <c r="L228" s="2" t="str">
        <f>IFERROR(__xludf.DUMMYFUNCTION("GOOGLETRANSLATE(B228,""en"",""ur"")"),"پس منظر میں ہجوم کی سب سے نمایاں خصوصیت کیا ہے؟")</f>
        <v>پس منظر میں ہجوم کی سب سے نمایاں خصوصیت کیا ہے؟</v>
      </c>
      <c r="M228" s="2" t="str">
        <f>IFERROR(__xludf.DUMMYFUNCTION("GOOGLETRANSLATE(C228,""en"",""ur"")"),"وہ بھاگ رہے ہیں۔")</f>
        <v>وہ بھاگ رہے ہیں۔</v>
      </c>
      <c r="N228" s="2" t="str">
        <f>IFERROR(__xludf.DUMMYFUNCTION("GOOGLETRANSLATE(D228,""en"",""ur"")"),"وہ خاموش بیٹھے ہیں۔")</f>
        <v>وہ خاموش بیٹھے ہیں۔</v>
      </c>
      <c r="O228" s="2" t="str">
        <f>IFERROR(__xludf.DUMMYFUNCTION("GOOGLETRANSLATE(E228,""en"",""ur"")"),"وہ لڑائی کو قدرتی رکاوٹ سے دیکھ رہے ہیں۔")</f>
        <v>وہ لڑائی کو قدرتی رکاوٹ سے دیکھ رہے ہیں۔</v>
      </c>
      <c r="P228" s="2" t="str">
        <f>IFERROR(__xludf.DUMMYFUNCTION("GOOGLETRANSLATE(F228,""en"",""ur"")"),"وہ سب ایک اسٹیج پر کھڑے ہیں۔")</f>
        <v>وہ سب ایک اسٹیج پر کھڑے ہیں۔</v>
      </c>
      <c r="Q228" s="2" t="s">
        <v>439</v>
      </c>
      <c r="R228" s="2" t="str">
        <f>IFERROR(__xludf.DUMMYFUNCTION("GOOGLETRANSLATE(G228,""en"",""ur"")"),"وہ لڑائی کو قدرتی رکاوٹ سے دیکھ رہے ہیں۔")</f>
        <v>وہ لڑائی کو قدرتی رکاوٹ سے دیکھ رہے ہیں۔</v>
      </c>
      <c r="S228" s="6" t="s">
        <v>617</v>
      </c>
    </row>
    <row r="229">
      <c r="A229" s="7">
        <v>228.0</v>
      </c>
      <c r="B229" s="6" t="s">
        <v>440</v>
      </c>
      <c r="C229" s="6" t="s">
        <v>441</v>
      </c>
      <c r="D229" s="6" t="s">
        <v>442</v>
      </c>
      <c r="E229" s="6" t="s">
        <v>443</v>
      </c>
      <c r="F229" s="6" t="s">
        <v>444</v>
      </c>
      <c r="G229" s="6" t="s">
        <v>442</v>
      </c>
      <c r="H229" s="6" t="s">
        <v>617</v>
      </c>
      <c r="K229" s="2" t="str">
        <f>IFERROR(__xludf.DUMMYFUNCTION("GOOGLETRANSLATE(A229,""en"",""ur"")"),"228")</f>
        <v>228</v>
      </c>
      <c r="L229" s="2" t="str">
        <f>IFERROR(__xludf.DUMMYFUNCTION("GOOGLETRANSLATE(B229,""en"",""ur"")"),"زمین کی ظاہری حالت کیا ہے؟")</f>
        <v>زمین کی ظاہری حالت کیا ہے؟</v>
      </c>
      <c r="M229" s="2" t="str">
        <f>IFERROR(__xludf.DUMMYFUNCTION("GOOGLETRANSLATE(C229,""en"",""ur"")"),"یہ ایک پکی سطح ہے۔")</f>
        <v>یہ ایک پکی سطح ہے۔</v>
      </c>
      <c r="N229" s="2" t="str">
        <f>IFERROR(__xludf.DUMMYFUNCTION("GOOGLETRANSLATE(D229,""en"",""ur"")"),"یہ ایک کیچڑ والا میدان ہے۔")</f>
        <v>یہ ایک کیچڑ والا میدان ہے۔</v>
      </c>
      <c r="O229" s="2" t="str">
        <f>IFERROR(__xludf.DUMMYFUNCTION("GOOGLETRANSLATE(E229,""en"",""ur"")"),"یہ ایک ریتلی یا مٹی کی سطح ہے جس میں دھول اڑتی ہے۔")</f>
        <v>یہ ایک ریتلی یا مٹی کی سطح ہے جس میں دھول اڑتی ہے۔</v>
      </c>
      <c r="P229" s="2" t="str">
        <f>IFERROR(__xludf.DUMMYFUNCTION("GOOGLETRANSLATE(F229,""en"",""ur"")"),"یہ ایک گھاس والی سطح ہے۔")</f>
        <v>یہ ایک گھاس والی سطح ہے۔</v>
      </c>
      <c r="Q229" s="2" t="s">
        <v>445</v>
      </c>
      <c r="R229" s="2" t="str">
        <f>IFERROR(__xludf.DUMMYFUNCTION("GOOGLETRANSLATE(G229,""en"",""ur"")"),"یہ ایک کیچڑ والا میدان ہے۔")</f>
        <v>یہ ایک کیچڑ والا میدان ہے۔</v>
      </c>
      <c r="S229" s="6" t="s">
        <v>617</v>
      </c>
    </row>
    <row r="230">
      <c r="A230" s="7">
        <v>229.0</v>
      </c>
      <c r="B230" s="6" t="s">
        <v>476</v>
      </c>
      <c r="C230" s="6" t="s">
        <v>447</v>
      </c>
      <c r="D230" s="6" t="s">
        <v>448</v>
      </c>
      <c r="E230" s="6" t="s">
        <v>449</v>
      </c>
      <c r="F230" s="6" t="s">
        <v>450</v>
      </c>
      <c r="G230" s="6" t="s">
        <v>448</v>
      </c>
      <c r="H230" s="6" t="s">
        <v>617</v>
      </c>
      <c r="K230" s="2" t="str">
        <f>IFERROR(__xludf.DUMMYFUNCTION("GOOGLETRANSLATE(A230,""en"",""ur"")"),"229")</f>
        <v>229</v>
      </c>
      <c r="L230" s="2" t="str">
        <f>IFERROR(__xludf.DUMMYFUNCTION("GOOGLETRANSLATE(B230,""en"",""ur"")"),"لمبی چھڑی کا بنیادی مقصد کیا ہے؟")</f>
        <v>لمبی چھڑی کا بنیادی مقصد کیا ہے؟</v>
      </c>
      <c r="M230" s="2" t="str">
        <f>IFERROR(__xludf.DUMMYFUNCTION("GOOGLETRANSLATE(C230,""en"",""ur"")"),"تلوار کے وار کو روکنے کے لیے")</f>
        <v>تلوار کے وار کو روکنے کے لیے</v>
      </c>
      <c r="N230" s="2" t="str">
        <f>IFERROR(__xludf.DUMMYFUNCTION("GOOGLETRANSLATE(D230,""en"",""ur"")"),"ہتھیار رکھنے کے لیے")</f>
        <v>ہتھیار رکھنے کے لیے</v>
      </c>
      <c r="O230" s="2" t="str">
        <f>IFERROR(__xludf.DUMMYFUNCTION("GOOGLETRANSLATE(E230,""en"",""ur"")"),"صرف سجاوٹ کے لیے")</f>
        <v>صرف سجاوٹ کے لیے</v>
      </c>
      <c r="P230" s="2" t="str">
        <f>IFERROR(__xludf.DUMMYFUNCTION("GOOGLETRANSLATE(F230,""en"",""ur"")"),"سورج کو روکنے کے لئے")</f>
        <v>سورج کو روکنے کے لئے</v>
      </c>
      <c r="Q230" s="2" t="s">
        <v>451</v>
      </c>
      <c r="R230" s="2" t="str">
        <f>IFERROR(__xludf.DUMMYFUNCTION("GOOGLETRANSLATE(G230,""en"",""ur"")"),"ہتھیار رکھنے کے لیے")</f>
        <v>ہتھیار رکھنے کے لیے</v>
      </c>
      <c r="S230" s="6" t="s">
        <v>617</v>
      </c>
    </row>
    <row r="231">
      <c r="A231" s="7">
        <v>230.0</v>
      </c>
      <c r="B231" s="6" t="s">
        <v>452</v>
      </c>
      <c r="C231" s="6" t="s">
        <v>453</v>
      </c>
      <c r="D231" s="6" t="s">
        <v>454</v>
      </c>
      <c r="E231" s="6" t="s">
        <v>455</v>
      </c>
      <c r="F231" s="6" t="s">
        <v>456</v>
      </c>
      <c r="G231" s="6" t="s">
        <v>454</v>
      </c>
      <c r="H231" s="6" t="s">
        <v>617</v>
      </c>
      <c r="K231" s="2" t="str">
        <f>IFERROR(__xludf.DUMMYFUNCTION("GOOGLETRANSLATE(A231,""en"",""ur"")"),"230")</f>
        <v>230</v>
      </c>
      <c r="L231" s="2" t="str">
        <f>IFERROR(__xludf.DUMMYFUNCTION("GOOGLETRANSLATE(B231,""en"",""ur"")"),"ایونٹ کا مجموعی موڈ ایسا لگتا ہے...")</f>
        <v>ایونٹ کا مجموعی موڈ ایسا لگتا ہے...</v>
      </c>
      <c r="M231" s="2" t="str">
        <f>IFERROR(__xludf.DUMMYFUNCTION("GOOGLETRANSLATE(C231,""en"",""ur"")"),"ایک آرام دہ مشق سیشن")</f>
        <v>ایک آرام دہ مشق سیشن</v>
      </c>
      <c r="N231" s="2" t="str">
        <f>IFERROR(__xludf.DUMMYFUNCTION("GOOGLETRANSLATE(D231,""en"",""ur"")"),"ایک تناؤ اور جارحانہ کارکردگی")</f>
        <v>ایک تناؤ اور جارحانہ کارکردگی</v>
      </c>
      <c r="O231" s="2" t="str">
        <f>IFERROR(__xludf.DUMMYFUNCTION("GOOGLETRANSLATE(E231,""en"",""ur"")"),"ایک پرسکون، پرامن اجتماع")</f>
        <v>ایک پرسکون، پرامن اجتماع</v>
      </c>
      <c r="P231" s="2" t="str">
        <f>IFERROR(__xludf.DUMMYFUNCTION("GOOGLETRANSLATE(F231,""en"",""ur"")"),"ایک سست، رسمی رقص")</f>
        <v>ایک سست، رسمی رقص</v>
      </c>
      <c r="Q231" s="2" t="s">
        <v>457</v>
      </c>
      <c r="R231" s="2" t="str">
        <f>IFERROR(__xludf.DUMMYFUNCTION("GOOGLETRANSLATE(G231,""en"",""ur"")"),"ایک تناؤ اور جارحانہ کارکردگی")</f>
        <v>ایک تناؤ اور جارحانہ کارکردگی</v>
      </c>
      <c r="S231" s="6" t="s">
        <v>617</v>
      </c>
    </row>
    <row r="232">
      <c r="A232" s="7">
        <v>231.0</v>
      </c>
      <c r="B232" s="6" t="s">
        <v>619</v>
      </c>
      <c r="C232" s="6" t="s">
        <v>405</v>
      </c>
      <c r="D232" s="6" t="s">
        <v>406</v>
      </c>
      <c r="E232" s="6" t="s">
        <v>407</v>
      </c>
      <c r="F232" s="6" t="s">
        <v>408</v>
      </c>
      <c r="G232" s="6" t="s">
        <v>405</v>
      </c>
      <c r="H232" s="6" t="s">
        <v>620</v>
      </c>
      <c r="K232" s="2" t="str">
        <f>IFERROR(__xludf.DUMMYFUNCTION("GOOGLETRANSLATE(A232,""en"",""ur"")"),"231")</f>
        <v>231</v>
      </c>
      <c r="L232" s="2" t="str">
        <f>IFERROR(__xludf.DUMMYFUNCTION("GOOGLETRANSLATE(B232,""en"",""ur"")"),"گٹکا_85 میں دکھایا گیا اہم عمل کیا ہے؟")</f>
        <v>گٹکا_85 میں دکھایا گیا اہم عمل کیا ہے؟</v>
      </c>
      <c r="M232" s="2" t="str">
        <f>IFERROR(__xludf.DUMMYFUNCTION("GOOGLETRANSLATE(C232,""en"",""ur"")"),"دو آدمی تلواروں سے لڑ رہے ہیں۔")</f>
        <v>دو آدمی تلواروں سے لڑ رہے ہیں۔</v>
      </c>
      <c r="N232" s="2" t="str">
        <f>IFERROR(__xludf.DUMMYFUNCTION("GOOGLETRANSLATE(D232,""en"",""ur"")"),"دو آدمی ناچ رہے ہیں۔")</f>
        <v>دو آدمی ناچ رہے ہیں۔</v>
      </c>
      <c r="O232" s="2" t="str">
        <f>IFERROR(__xludf.DUMMYFUNCTION("GOOGLETRANSLATE(E232,""en"",""ur"")"),"دو آدمی سہارے کے ساتھ پوز دے رہے ہیں۔")</f>
        <v>دو آدمی سہارے کے ساتھ پوز دے رہے ہیں۔</v>
      </c>
      <c r="P232" s="2" t="str">
        <f>IFERROR(__xludf.DUMMYFUNCTION("GOOGLETRANSLATE(F232,""en"",""ur"")"),"دو آدمی کشتی کرتے ہوئے۔")</f>
        <v>دو آدمی کشتی کرتے ہوئے۔</v>
      </c>
      <c r="Q232" s="2" t="s">
        <v>460</v>
      </c>
      <c r="R232" s="2" t="str">
        <f>IFERROR(__xludf.DUMMYFUNCTION("GOOGLETRANSLATE(G232,""en"",""ur"")"),"دو آدمی تلواروں سے لڑ رہے ہیں۔")</f>
        <v>دو آدمی تلواروں سے لڑ رہے ہیں۔</v>
      </c>
      <c r="S232" s="6" t="s">
        <v>620</v>
      </c>
    </row>
    <row r="233">
      <c r="A233" s="7">
        <v>232.0</v>
      </c>
      <c r="B233" s="6" t="s">
        <v>410</v>
      </c>
      <c r="C233" s="6" t="s">
        <v>411</v>
      </c>
      <c r="D233" s="6" t="s">
        <v>621</v>
      </c>
      <c r="E233" s="6" t="s">
        <v>334</v>
      </c>
      <c r="F233" s="6" t="s">
        <v>413</v>
      </c>
      <c r="G233" s="6" t="s">
        <v>621</v>
      </c>
      <c r="H233" s="6" t="s">
        <v>620</v>
      </c>
      <c r="K233" s="2" t="str">
        <f>IFERROR(__xludf.DUMMYFUNCTION("GOOGLETRANSLATE(A233,""en"",""ur"")"),"232")</f>
        <v>232</v>
      </c>
      <c r="L233" s="2" t="str">
        <f>IFERROR(__xludf.DUMMYFUNCTION("GOOGLETRANSLATE(B233,""en"",""ur"")"),"بائیں طرف لڑاکا کے لباس کے بارے میں ایک قابل ذکر تفصیل کیا ہے؟")</f>
        <v>بائیں طرف لڑاکا کے لباس کے بارے میں ایک قابل ذکر تفصیل کیا ہے؟</v>
      </c>
      <c r="M233" s="2" t="str">
        <f>IFERROR(__xludf.DUMMYFUNCTION("GOOGLETRANSLATE(C233,""en"",""ur"")"),"اس نے بکتر کا پورا سوٹ پہن رکھا ہے۔")</f>
        <v>اس نے بکتر کا پورا سوٹ پہن رکھا ہے۔</v>
      </c>
      <c r="N233" s="2" t="str">
        <f>IFERROR(__xludf.DUMMYFUNCTION("GOOGLETRANSLATE(D233,""en"",""ur"")"),"اس نے لمبا اورنج پیٹرن والا اسکرٹ پہن رکھا ہے۔")</f>
        <v>اس نے لمبا اورنج پیٹرن والا اسکرٹ پہن رکھا ہے۔</v>
      </c>
      <c r="O233" s="2" t="str">
        <f>IFERROR(__xludf.DUMMYFUNCTION("GOOGLETRANSLATE(E233,""en"",""ur"")"),"اس نے شارٹس اور ٹی شرٹ پہن رکھی ہے۔")</f>
        <v>اس نے شارٹس اور ٹی شرٹ پہن رکھی ہے۔</v>
      </c>
      <c r="P233" s="2" t="str">
        <f>IFERROR(__xludf.DUMMYFUNCTION("GOOGLETRANSLATE(F233,""en"",""ur"")"),"اس نے پولیس کی وردی پہن رکھی ہے۔")</f>
        <v>اس نے پولیس کی وردی پہن رکھی ہے۔</v>
      </c>
      <c r="Q233" s="2" t="s">
        <v>622</v>
      </c>
      <c r="R233" s="2" t="str">
        <f>IFERROR(__xludf.DUMMYFUNCTION("GOOGLETRANSLATE(G233,""en"",""ur"")"),"اس نے لمبا اورنج پیٹرن والا اسکرٹ پہن رکھا ہے۔")</f>
        <v>اس نے لمبا اورنج پیٹرن والا اسکرٹ پہن رکھا ہے۔</v>
      </c>
      <c r="S233" s="6" t="s">
        <v>620</v>
      </c>
    </row>
    <row r="234">
      <c r="A234" s="7">
        <v>233.0</v>
      </c>
      <c r="B234" s="6" t="s">
        <v>415</v>
      </c>
      <c r="C234" s="6" t="s">
        <v>416</v>
      </c>
      <c r="D234" s="6" t="s">
        <v>417</v>
      </c>
      <c r="E234" s="6" t="s">
        <v>418</v>
      </c>
      <c r="F234" s="6" t="s">
        <v>419</v>
      </c>
      <c r="G234" s="6" t="s">
        <v>416</v>
      </c>
      <c r="H234" s="6" t="s">
        <v>620</v>
      </c>
      <c r="K234" s="2" t="str">
        <f>IFERROR(__xludf.DUMMYFUNCTION("GOOGLETRANSLATE(A234,""en"",""ur"")"),"233")</f>
        <v>233</v>
      </c>
      <c r="L234" s="2" t="str">
        <f>IFERROR(__xludf.DUMMYFUNCTION("GOOGLETRANSLATE(B234,""en"",""ur"")"),"جنگجوؤں کے ذریعہ استعمال ہونے والا بنیادی ہتھیار کیا ہے؟")</f>
        <v>جنگجوؤں کے ذریعہ استعمال ہونے والا بنیادی ہتھیار کیا ہے؟</v>
      </c>
      <c r="M234" s="2" t="str">
        <f>IFERROR(__xludf.DUMMYFUNCTION("GOOGLETRANSLATE(C234,""en"",""ur"")"),"ایک چھوٹی تلوار")</f>
        <v>ایک چھوٹی تلوار</v>
      </c>
      <c r="N234" s="2" t="str">
        <f>IFERROR(__xludf.DUMMYFUNCTION("GOOGLETRANSLATE(D234,""en"",""ur"")"),"ایک لمبی چھڑی")</f>
        <v>ایک لمبی چھڑی</v>
      </c>
      <c r="O234" s="2" t="str">
        <f>IFERROR(__xludf.DUMMYFUNCTION("GOOGLETRANSLATE(E234,""en"",""ur"")"),"ایک کمان اور تیر")</f>
        <v>ایک کمان اور تیر</v>
      </c>
      <c r="P234" s="2" t="str">
        <f>IFERROR(__xludf.DUMMYFUNCTION("GOOGLETRANSLATE(F234,""en"",""ur"")"),"ایک ننگی مٹھی")</f>
        <v>ایک ننگی مٹھی</v>
      </c>
      <c r="Q234" s="2" t="s">
        <v>420</v>
      </c>
      <c r="R234" s="2" t="str">
        <f>IFERROR(__xludf.DUMMYFUNCTION("GOOGLETRANSLATE(G234,""en"",""ur"")"),"ایک چھوٹی تلوار")</f>
        <v>ایک چھوٹی تلوار</v>
      </c>
      <c r="S234" s="6" t="s">
        <v>620</v>
      </c>
    </row>
    <row r="235">
      <c r="A235" s="7">
        <v>234.0</v>
      </c>
      <c r="B235" s="6" t="s">
        <v>421</v>
      </c>
      <c r="C235" s="6" t="s">
        <v>422</v>
      </c>
      <c r="D235" s="6" t="s">
        <v>423</v>
      </c>
      <c r="E235" s="6" t="s">
        <v>424</v>
      </c>
      <c r="F235" s="6" t="s">
        <v>425</v>
      </c>
      <c r="G235" s="6" t="s">
        <v>424</v>
      </c>
      <c r="H235" s="6" t="s">
        <v>620</v>
      </c>
      <c r="K235" s="2" t="str">
        <f>IFERROR(__xludf.DUMMYFUNCTION("GOOGLETRANSLATE(A235,""en"",""ur"")"),"234")</f>
        <v>234</v>
      </c>
      <c r="L235" s="2" t="str">
        <f>IFERROR(__xludf.DUMMYFUNCTION("GOOGLETRANSLATE(B235,""en"",""ur"")"),"اس لڑائی کی ترتیب کیا ہے؟")</f>
        <v>اس لڑائی کی ترتیب کیا ہے؟</v>
      </c>
      <c r="M235" s="2" t="str">
        <f>IFERROR(__xludf.DUMMYFUNCTION("GOOGLETRANSLATE(C235,""en"",""ur"")"),"ایک انڈور اسٹیڈیم")</f>
        <v>ایک انڈور اسٹیڈیم</v>
      </c>
      <c r="N235" s="2" t="str">
        <f>IFERROR(__xludf.DUMMYFUNCTION("GOOGLETRANSLATE(D235,""en"",""ur"")"),"ایک دیہی، بیرونی علاقہ")</f>
        <v>ایک دیہی، بیرونی علاقہ</v>
      </c>
      <c r="O235" s="2" t="str">
        <f>IFERROR(__xludf.DUMMYFUNCTION("GOOGLETRANSLATE(E235,""en"",""ur"")"),"شہر کی مصروف گلی")</f>
        <v>شہر کی مصروف گلی</v>
      </c>
      <c r="P235" s="2" t="str">
        <f>IFERROR(__xludf.DUMMYFUNCTION("GOOGLETRANSLATE(F235,""en"",""ur"")"),"گھاس کا میدان")</f>
        <v>گھاس کا میدان</v>
      </c>
      <c r="Q235" s="2" t="s">
        <v>426</v>
      </c>
      <c r="R235" s="2" t="str">
        <f>IFERROR(__xludf.DUMMYFUNCTION("GOOGLETRANSLATE(G235,""en"",""ur"")"),"شہر کی مصروف گلی")</f>
        <v>شہر کی مصروف گلی</v>
      </c>
      <c r="S235" s="6" t="s">
        <v>620</v>
      </c>
    </row>
    <row r="236">
      <c r="A236" s="7">
        <v>235.0</v>
      </c>
      <c r="B236" s="6" t="s">
        <v>427</v>
      </c>
      <c r="C236" s="6" t="s">
        <v>47</v>
      </c>
      <c r="D236" s="6" t="s">
        <v>48</v>
      </c>
      <c r="E236" s="6" t="s">
        <v>49</v>
      </c>
      <c r="F236" s="6" t="s">
        <v>50</v>
      </c>
      <c r="G236" s="6" t="s">
        <v>49</v>
      </c>
      <c r="H236" s="6" t="s">
        <v>620</v>
      </c>
      <c r="K236" s="2" t="str">
        <f>IFERROR(__xludf.DUMMYFUNCTION("GOOGLETRANSLATE(A236,""en"",""ur"")"),"235")</f>
        <v>235</v>
      </c>
      <c r="L236" s="2" t="str">
        <f>IFERROR(__xludf.DUMMYFUNCTION("GOOGLETRANSLATE(B236,""en"",""ur"")"),"جنگجوؤں کے ظاہری جذبات کیا ہیں؟")</f>
        <v>جنگجوؤں کے ظاہری جذبات کیا ہیں؟</v>
      </c>
      <c r="M236" s="2" t="str">
        <f>IFERROR(__xludf.DUMMYFUNCTION("GOOGLETRANSLATE(C236,""en"",""ur"")"),"پرسکون اور پر سکون")</f>
        <v>پرسکون اور پر سکون</v>
      </c>
      <c r="N236" s="2" t="str">
        <f>IFERROR(__xludf.DUMMYFUNCTION("GOOGLETRANSLATE(D236,""en"",""ur"")"),"خوف زدہ اور بے چین")</f>
        <v>خوف زدہ اور بے چین</v>
      </c>
      <c r="O236" s="2" t="str">
        <f>IFERROR(__xludf.DUMMYFUNCTION("GOOGLETRANSLATE(E236,""en"",""ur"")"),"کشیدہ اور شدید")</f>
        <v>کشیدہ اور شدید</v>
      </c>
      <c r="P236" s="2" t="str">
        <f>IFERROR(__xludf.DUMMYFUNCTION("GOOGLETRANSLATE(F236,""en"",""ur"")"),"خوش اور مسکراتے ہوئے۔")</f>
        <v>خوش اور مسکراتے ہوئے۔</v>
      </c>
      <c r="Q236" s="2" t="s">
        <v>51</v>
      </c>
      <c r="R236" s="2" t="str">
        <f>IFERROR(__xludf.DUMMYFUNCTION("GOOGLETRANSLATE(G236,""en"",""ur"")"),"کشیدہ اور شدید")</f>
        <v>کشیدہ اور شدید</v>
      </c>
      <c r="S236" s="6" t="s">
        <v>620</v>
      </c>
    </row>
    <row r="237">
      <c r="A237" s="7">
        <v>236.0</v>
      </c>
      <c r="B237" s="6" t="s">
        <v>428</v>
      </c>
      <c r="C237" s="6" t="s">
        <v>429</v>
      </c>
      <c r="D237" s="6" t="s">
        <v>430</v>
      </c>
      <c r="E237" s="6" t="s">
        <v>431</v>
      </c>
      <c r="F237" s="6" t="s">
        <v>432</v>
      </c>
      <c r="G237" s="6" t="s">
        <v>430</v>
      </c>
      <c r="H237" s="6" t="s">
        <v>620</v>
      </c>
      <c r="K237" s="2" t="str">
        <f>IFERROR(__xludf.DUMMYFUNCTION("GOOGLETRANSLATE(A237,""en"",""ur"")"),"236")</f>
        <v>236</v>
      </c>
      <c r="L237" s="2" t="str">
        <f>IFERROR(__xludf.DUMMYFUNCTION("GOOGLETRANSLATE(B237,""en"",""ur"")"),"جنگجوؤں کی ظاہری باڈی پوزیشن کیا ہے؟")</f>
        <v>جنگجوؤں کی ظاہری باڈی پوزیشن کیا ہے؟</v>
      </c>
      <c r="M237" s="2" t="str">
        <f>IFERROR(__xludf.DUMMYFUNCTION("GOOGLETRANSLATE(C237,""en"",""ur"")"),"سیدھا کھڑا ہونا")</f>
        <v>سیدھا کھڑا ہونا</v>
      </c>
      <c r="N237" s="2" t="str">
        <f>IFERROR(__xludf.DUMMYFUNCTION("GOOGLETRANSLATE(D237,""en"",""ur"")"),"کم، متحرک موقف میں")</f>
        <v>کم، متحرک موقف میں</v>
      </c>
      <c r="O237" s="2" t="str">
        <f>IFERROR(__xludf.DUMMYFUNCTION("GOOGLETRANSLATE(E237,""en"",""ur"")"),"زمین پر لیٹنا")</f>
        <v>زمین پر لیٹنا</v>
      </c>
      <c r="P237" s="2" t="str">
        <f>IFERROR(__xludf.DUMMYFUNCTION("GOOGLETRANSLATE(F237,""en"",""ur"")"),"بیٹھا ہوا")</f>
        <v>بیٹھا ہوا</v>
      </c>
      <c r="Q237" s="2" t="s">
        <v>433</v>
      </c>
      <c r="R237" s="2" t="str">
        <f>IFERROR(__xludf.DUMMYFUNCTION("GOOGLETRANSLATE(G237,""en"",""ur"")"),"کم، متحرک موقف میں")</f>
        <v>کم، متحرک موقف میں</v>
      </c>
      <c r="S237" s="6" t="s">
        <v>620</v>
      </c>
    </row>
    <row r="238">
      <c r="A238" s="7">
        <v>237.0</v>
      </c>
      <c r="B238" s="6" t="s">
        <v>434</v>
      </c>
      <c r="C238" s="6" t="s">
        <v>435</v>
      </c>
      <c r="D238" s="6" t="s">
        <v>436</v>
      </c>
      <c r="E238" s="6" t="s">
        <v>437</v>
      </c>
      <c r="F238" s="6" t="s">
        <v>438</v>
      </c>
      <c r="G238" s="6" t="s">
        <v>437</v>
      </c>
      <c r="H238" s="6" t="s">
        <v>620</v>
      </c>
      <c r="K238" s="2" t="str">
        <f>IFERROR(__xludf.DUMMYFUNCTION("GOOGLETRANSLATE(A238,""en"",""ur"")"),"237")</f>
        <v>237</v>
      </c>
      <c r="L238" s="2" t="str">
        <f>IFERROR(__xludf.DUMMYFUNCTION("GOOGLETRANSLATE(B238,""en"",""ur"")"),"پس منظر میں ہجوم کی سب سے نمایاں خصوصیت کیا ہے؟")</f>
        <v>پس منظر میں ہجوم کی سب سے نمایاں خصوصیت کیا ہے؟</v>
      </c>
      <c r="M238" s="2" t="str">
        <f>IFERROR(__xludf.DUMMYFUNCTION("GOOGLETRANSLATE(C238,""en"",""ur"")"),"وہ بھاگ رہے ہیں۔")</f>
        <v>وہ بھاگ رہے ہیں۔</v>
      </c>
      <c r="N238" s="2" t="str">
        <f>IFERROR(__xludf.DUMMYFUNCTION("GOOGLETRANSLATE(D238,""en"",""ur"")"),"وہ خاموش بیٹھے ہیں۔")</f>
        <v>وہ خاموش بیٹھے ہیں۔</v>
      </c>
      <c r="O238" s="2" t="str">
        <f>IFERROR(__xludf.DUMMYFUNCTION("GOOGLETRANSLATE(E238,""en"",""ur"")"),"وہ لڑائی کو قدرتی رکاوٹ سے دیکھ رہے ہیں۔")</f>
        <v>وہ لڑائی کو قدرتی رکاوٹ سے دیکھ رہے ہیں۔</v>
      </c>
      <c r="P238" s="2" t="str">
        <f>IFERROR(__xludf.DUMMYFUNCTION("GOOGLETRANSLATE(F238,""en"",""ur"")"),"وہ سب ایک اسٹیج پر کھڑے ہیں۔")</f>
        <v>وہ سب ایک اسٹیج پر کھڑے ہیں۔</v>
      </c>
      <c r="Q238" s="2" t="s">
        <v>439</v>
      </c>
      <c r="R238" s="2" t="str">
        <f>IFERROR(__xludf.DUMMYFUNCTION("GOOGLETRANSLATE(G238,""en"",""ur"")"),"وہ لڑائی کو قدرتی رکاوٹ سے دیکھ رہے ہیں۔")</f>
        <v>وہ لڑائی کو قدرتی رکاوٹ سے دیکھ رہے ہیں۔</v>
      </c>
      <c r="S238" s="6" t="s">
        <v>620</v>
      </c>
    </row>
    <row r="239">
      <c r="A239" s="7">
        <v>238.0</v>
      </c>
      <c r="B239" s="6" t="s">
        <v>440</v>
      </c>
      <c r="C239" s="6" t="s">
        <v>441</v>
      </c>
      <c r="D239" s="6" t="s">
        <v>442</v>
      </c>
      <c r="E239" s="6" t="s">
        <v>443</v>
      </c>
      <c r="F239" s="6" t="s">
        <v>444</v>
      </c>
      <c r="G239" s="6" t="s">
        <v>441</v>
      </c>
      <c r="H239" s="6" t="s">
        <v>620</v>
      </c>
      <c r="K239" s="2" t="str">
        <f>IFERROR(__xludf.DUMMYFUNCTION("GOOGLETRANSLATE(A239,""en"",""ur"")"),"238")</f>
        <v>238</v>
      </c>
      <c r="L239" s="2" t="str">
        <f>IFERROR(__xludf.DUMMYFUNCTION("GOOGLETRANSLATE(B239,""en"",""ur"")"),"زمین کی ظاہری حالت کیا ہے؟")</f>
        <v>زمین کی ظاہری حالت کیا ہے؟</v>
      </c>
      <c r="M239" s="2" t="str">
        <f>IFERROR(__xludf.DUMMYFUNCTION("GOOGLETRANSLATE(C239,""en"",""ur"")"),"یہ ایک پکی سطح ہے۔")</f>
        <v>یہ ایک پکی سطح ہے۔</v>
      </c>
      <c r="N239" s="2" t="str">
        <f>IFERROR(__xludf.DUMMYFUNCTION("GOOGLETRANSLATE(D239,""en"",""ur"")"),"یہ ایک کیچڑ والا میدان ہے۔")</f>
        <v>یہ ایک کیچڑ والا میدان ہے۔</v>
      </c>
      <c r="O239" s="2" t="str">
        <f>IFERROR(__xludf.DUMMYFUNCTION("GOOGLETRANSLATE(E239,""en"",""ur"")"),"یہ ایک ریتلی یا مٹی کی سطح ہے جس میں دھول اڑتی ہے۔")</f>
        <v>یہ ایک ریتلی یا مٹی کی سطح ہے جس میں دھول اڑتی ہے۔</v>
      </c>
      <c r="P239" s="2" t="str">
        <f>IFERROR(__xludf.DUMMYFUNCTION("GOOGLETRANSLATE(F239,""en"",""ur"")"),"یہ ایک گھاس والی سطح ہے۔")</f>
        <v>یہ ایک گھاس والی سطح ہے۔</v>
      </c>
      <c r="Q239" s="2" t="s">
        <v>445</v>
      </c>
      <c r="R239" s="2" t="str">
        <f>IFERROR(__xludf.DUMMYFUNCTION("GOOGLETRANSLATE(G239,""en"",""ur"")"),"یہ ایک پکی سطح ہے۔")</f>
        <v>یہ ایک پکی سطح ہے۔</v>
      </c>
      <c r="S239" s="6" t="s">
        <v>620</v>
      </c>
    </row>
    <row r="240">
      <c r="A240" s="7">
        <v>239.0</v>
      </c>
      <c r="B240" s="6" t="s">
        <v>446</v>
      </c>
      <c r="C240" s="6" t="s">
        <v>493</v>
      </c>
      <c r="D240" s="6" t="s">
        <v>448</v>
      </c>
      <c r="E240" s="6" t="s">
        <v>449</v>
      </c>
      <c r="F240" s="6" t="s">
        <v>450</v>
      </c>
      <c r="G240" s="6" t="s">
        <v>493</v>
      </c>
      <c r="H240" s="6" t="s">
        <v>620</v>
      </c>
      <c r="K240" s="2" t="str">
        <f>IFERROR(__xludf.DUMMYFUNCTION("GOOGLETRANSLATE(A240,""en"",""ur"")"),"239")</f>
        <v>239</v>
      </c>
      <c r="L240" s="2" t="str">
        <f>IFERROR(__xludf.DUMMYFUNCTION("GOOGLETRANSLATE(B240,""en"",""ur"")"),"ڈھال کا بنیادی مقصد کیا ہے جو ہر لڑاکا پکڑے ہوئے ہے؟")</f>
        <v>ڈھال کا بنیادی مقصد کیا ہے جو ہر لڑاکا پکڑے ہوئے ہے؟</v>
      </c>
      <c r="M240" s="2" t="str">
        <f>IFERROR(__xludf.DUMMYFUNCTION("GOOGLETRANSLATE(C240,""en"",""ur"")"),"چھڑی کی ہڑتالوں کو روکنے کے لیے")</f>
        <v>چھڑی کی ہڑتالوں کو روکنے کے لیے</v>
      </c>
      <c r="N240" s="2" t="str">
        <f>IFERROR(__xludf.DUMMYFUNCTION("GOOGLETRANSLATE(D240,""en"",""ur"")"),"ہتھیار رکھنے کے لیے")</f>
        <v>ہتھیار رکھنے کے لیے</v>
      </c>
      <c r="O240" s="2" t="str">
        <f>IFERROR(__xludf.DUMMYFUNCTION("GOOGLETRANSLATE(E240,""en"",""ur"")"),"صرف سجاوٹ کے لیے")</f>
        <v>صرف سجاوٹ کے لیے</v>
      </c>
      <c r="P240" s="2" t="str">
        <f>IFERROR(__xludf.DUMMYFUNCTION("GOOGLETRANSLATE(F240,""en"",""ur"")"),"سورج کو روکنے کے لئے")</f>
        <v>سورج کو روکنے کے لئے</v>
      </c>
      <c r="Q240" s="2" t="s">
        <v>494</v>
      </c>
      <c r="R240" s="2" t="str">
        <f>IFERROR(__xludf.DUMMYFUNCTION("GOOGLETRANSLATE(G240,""en"",""ur"")"),"چھڑی کی ہڑتالوں کو روکنے کے لیے")</f>
        <v>چھڑی کی ہڑتالوں کو روکنے کے لیے</v>
      </c>
      <c r="S240" s="6" t="s">
        <v>620</v>
      </c>
    </row>
    <row r="241">
      <c r="A241" s="7">
        <v>240.0</v>
      </c>
      <c r="B241" s="6" t="s">
        <v>452</v>
      </c>
      <c r="C241" s="6" t="s">
        <v>453</v>
      </c>
      <c r="D241" s="6" t="s">
        <v>454</v>
      </c>
      <c r="E241" s="6" t="s">
        <v>455</v>
      </c>
      <c r="F241" s="6" t="s">
        <v>456</v>
      </c>
      <c r="G241" s="6" t="s">
        <v>454</v>
      </c>
      <c r="H241" s="6" t="s">
        <v>620</v>
      </c>
      <c r="K241" s="2" t="str">
        <f>IFERROR(__xludf.DUMMYFUNCTION("GOOGLETRANSLATE(A241,""en"",""ur"")"),"240")</f>
        <v>240</v>
      </c>
      <c r="L241" s="2" t="str">
        <f>IFERROR(__xludf.DUMMYFUNCTION("GOOGLETRANSLATE(B241,""en"",""ur"")"),"ایونٹ کا مجموعی موڈ ایسا لگتا ہے...")</f>
        <v>ایونٹ کا مجموعی موڈ ایسا لگتا ہے...</v>
      </c>
      <c r="M241" s="2" t="str">
        <f>IFERROR(__xludf.DUMMYFUNCTION("GOOGLETRANSLATE(C241,""en"",""ur"")"),"ایک آرام دہ مشق سیشن")</f>
        <v>ایک آرام دہ مشق سیشن</v>
      </c>
      <c r="N241" s="2" t="str">
        <f>IFERROR(__xludf.DUMMYFUNCTION("GOOGLETRANSLATE(D241,""en"",""ur"")"),"ایک تناؤ اور جارحانہ کارکردگی")</f>
        <v>ایک تناؤ اور جارحانہ کارکردگی</v>
      </c>
      <c r="O241" s="2" t="str">
        <f>IFERROR(__xludf.DUMMYFUNCTION("GOOGLETRANSLATE(E241,""en"",""ur"")"),"ایک پرسکون، پرامن اجتماع")</f>
        <v>ایک پرسکون، پرامن اجتماع</v>
      </c>
      <c r="P241" s="2" t="str">
        <f>IFERROR(__xludf.DUMMYFUNCTION("GOOGLETRANSLATE(F241,""en"",""ur"")"),"ایک سست، رسمی رقص")</f>
        <v>ایک سست، رسمی رقص</v>
      </c>
      <c r="Q241" s="2" t="s">
        <v>457</v>
      </c>
      <c r="R241" s="2" t="str">
        <f>IFERROR(__xludf.DUMMYFUNCTION("GOOGLETRANSLATE(G241,""en"",""ur"")"),"ایک تناؤ اور جارحانہ کارکردگی")</f>
        <v>ایک تناؤ اور جارحانہ کارکردگی</v>
      </c>
      <c r="S241" s="6" t="s">
        <v>620</v>
      </c>
    </row>
    <row r="242">
      <c r="A242" s="7">
        <v>241.0</v>
      </c>
      <c r="B242" s="6" t="s">
        <v>559</v>
      </c>
      <c r="C242" s="6" t="s">
        <v>405</v>
      </c>
      <c r="D242" s="6" t="s">
        <v>406</v>
      </c>
      <c r="E242" s="6" t="s">
        <v>407</v>
      </c>
      <c r="F242" s="6" t="s">
        <v>408</v>
      </c>
      <c r="G242" s="6" t="s">
        <v>405</v>
      </c>
      <c r="H242" s="6" t="s">
        <v>560</v>
      </c>
      <c r="K242" s="2" t="str">
        <f>IFERROR(__xludf.DUMMYFUNCTION("GOOGLETRANSLATE(A242,""en"",""ur"")"),"241")</f>
        <v>241</v>
      </c>
      <c r="L242" s="2" t="str">
        <f>IFERROR(__xludf.DUMMYFUNCTION("GOOGLETRANSLATE(B242,""en"",""ur"")"),"گٹکا_20 میں دکھایا گیا اہم عمل کیا ہے؟")</f>
        <v>گٹکا_20 میں دکھایا گیا اہم عمل کیا ہے؟</v>
      </c>
      <c r="M242" s="2" t="str">
        <f>IFERROR(__xludf.DUMMYFUNCTION("GOOGLETRANSLATE(C242,""en"",""ur"")"),"دو آدمی تلواروں سے لڑ رہے ہیں۔")</f>
        <v>دو آدمی تلواروں سے لڑ رہے ہیں۔</v>
      </c>
      <c r="N242" s="2" t="str">
        <f>IFERROR(__xludf.DUMMYFUNCTION("GOOGLETRANSLATE(D242,""en"",""ur"")"),"دو آدمی ناچ رہے ہیں۔")</f>
        <v>دو آدمی ناچ رہے ہیں۔</v>
      </c>
      <c r="O242" s="2" t="str">
        <f>IFERROR(__xludf.DUMMYFUNCTION("GOOGLETRANSLATE(E242,""en"",""ur"")"),"دو آدمی سہارے کے ساتھ پوز دے رہے ہیں۔")</f>
        <v>دو آدمی سہارے کے ساتھ پوز دے رہے ہیں۔</v>
      </c>
      <c r="P242" s="2" t="str">
        <f>IFERROR(__xludf.DUMMYFUNCTION("GOOGLETRANSLATE(F242,""en"",""ur"")"),"دو آدمی کشتی کرتے ہوئے۔")</f>
        <v>دو آدمی کشتی کرتے ہوئے۔</v>
      </c>
      <c r="Q242" s="2" t="s">
        <v>460</v>
      </c>
      <c r="R242" s="2" t="str">
        <f>IFERROR(__xludf.DUMMYFUNCTION("GOOGLETRANSLATE(G242,""en"",""ur"")"),"دو آدمی تلواروں سے لڑ رہے ہیں۔")</f>
        <v>دو آدمی تلواروں سے لڑ رہے ہیں۔</v>
      </c>
      <c r="S242" s="6" t="s">
        <v>560</v>
      </c>
    </row>
    <row r="243">
      <c r="A243" s="7">
        <v>242.0</v>
      </c>
      <c r="B243" s="6" t="s">
        <v>487</v>
      </c>
      <c r="C243" s="6" t="s">
        <v>488</v>
      </c>
      <c r="D243" s="6" t="s">
        <v>561</v>
      </c>
      <c r="E243" s="6" t="s">
        <v>334</v>
      </c>
      <c r="F243" s="6" t="s">
        <v>413</v>
      </c>
      <c r="G243" s="6" t="s">
        <v>562</v>
      </c>
      <c r="H243" s="6" t="s">
        <v>560</v>
      </c>
      <c r="K243" s="2" t="str">
        <f>IFERROR(__xludf.DUMMYFUNCTION("GOOGLETRANSLATE(A243,""en"",""ur"")"),"242")</f>
        <v>242</v>
      </c>
      <c r="L243" s="2" t="str">
        <f>IFERROR(__xludf.DUMMYFUNCTION("GOOGLETRANSLATE(B243,""en"",""ur"")"),"جنگجوؤں کے لباس کے بارے میں ایک قابل ذکر تفصیل کیا ہے؟")</f>
        <v>جنگجوؤں کے لباس کے بارے میں ایک قابل ذکر تفصیل کیا ہے؟</v>
      </c>
      <c r="M243" s="2" t="str">
        <f>IFERROR(__xludf.DUMMYFUNCTION("GOOGLETRANSLATE(C243,""en"",""ur"")"),"انہوں نے بکتر کا پورا سوٹ پہن رکھا ہے۔")</f>
        <v>انہوں نے بکتر کا پورا سوٹ پہن رکھا ہے۔</v>
      </c>
      <c r="N243" s="2" t="str">
        <f>IFERROR(__xludf.DUMMYFUNCTION("GOOGLETRANSLATE(D243,""en"",""ur"")"),"انہوں نے نارنجی رنگ کا ایک لمبا، سیاہ لباس پہن رکھا ہے۔")</f>
        <v>انہوں نے نارنجی رنگ کا ایک لمبا، سیاہ لباس پہن رکھا ہے۔</v>
      </c>
      <c r="O243" s="2" t="str">
        <f>IFERROR(__xludf.DUMMYFUNCTION("GOOGLETRANSLATE(E243,""en"",""ur"")"),"اس نے شارٹس اور ٹی شرٹ پہن رکھی ہے۔")</f>
        <v>اس نے شارٹس اور ٹی شرٹ پہن رکھی ہے۔</v>
      </c>
      <c r="P243" s="2" t="str">
        <f>IFERROR(__xludf.DUMMYFUNCTION("GOOGLETRANSLATE(F243,""en"",""ur"")"),"اس نے پولیس کی وردی پہن رکھی ہے۔")</f>
        <v>اس نے پولیس کی وردی پہن رکھی ہے۔</v>
      </c>
      <c r="Q243" s="2" t="s">
        <v>563</v>
      </c>
      <c r="R243" s="2" t="str">
        <f>IFERROR(__xludf.DUMMYFUNCTION("GOOGLETRANSLATE(G243,""en"",""ur"")"),"اس نے نارنجی رنگ کا ایک لمبا، سیاہ لباس پہن رکھا ہے۔")</f>
        <v>اس نے نارنجی رنگ کا ایک لمبا، سیاہ لباس پہن رکھا ہے۔</v>
      </c>
      <c r="S243" s="6" t="s">
        <v>560</v>
      </c>
    </row>
    <row r="244">
      <c r="A244" s="7">
        <v>243.0</v>
      </c>
      <c r="B244" s="6" t="s">
        <v>415</v>
      </c>
      <c r="C244" s="6" t="s">
        <v>416</v>
      </c>
      <c r="D244" s="6" t="s">
        <v>417</v>
      </c>
      <c r="E244" s="6" t="s">
        <v>418</v>
      </c>
      <c r="F244" s="6" t="s">
        <v>419</v>
      </c>
      <c r="G244" s="6" t="s">
        <v>416</v>
      </c>
      <c r="H244" s="6" t="s">
        <v>560</v>
      </c>
      <c r="K244" s="2" t="str">
        <f>IFERROR(__xludf.DUMMYFUNCTION("GOOGLETRANSLATE(A244,""en"",""ur"")"),"243")</f>
        <v>243</v>
      </c>
      <c r="L244" s="2" t="str">
        <f>IFERROR(__xludf.DUMMYFUNCTION("GOOGLETRANSLATE(B244,""en"",""ur"")"),"جنگجوؤں کے ذریعہ استعمال ہونے والا بنیادی ہتھیار کیا ہے؟")</f>
        <v>جنگجوؤں کے ذریعہ استعمال ہونے والا بنیادی ہتھیار کیا ہے؟</v>
      </c>
      <c r="M244" s="2" t="str">
        <f>IFERROR(__xludf.DUMMYFUNCTION("GOOGLETRANSLATE(C244,""en"",""ur"")"),"ایک چھوٹی تلوار")</f>
        <v>ایک چھوٹی تلوار</v>
      </c>
      <c r="N244" s="2" t="str">
        <f>IFERROR(__xludf.DUMMYFUNCTION("GOOGLETRANSLATE(D244,""en"",""ur"")"),"ایک لمبی چھڑی")</f>
        <v>ایک لمبی چھڑی</v>
      </c>
      <c r="O244" s="2" t="str">
        <f>IFERROR(__xludf.DUMMYFUNCTION("GOOGLETRANSLATE(E244,""en"",""ur"")"),"ایک کمان اور تیر")</f>
        <v>ایک کمان اور تیر</v>
      </c>
      <c r="P244" s="2" t="str">
        <f>IFERROR(__xludf.DUMMYFUNCTION("GOOGLETRANSLATE(F244,""en"",""ur"")"),"ایک ننگی مٹھی")</f>
        <v>ایک ننگی مٹھی</v>
      </c>
      <c r="Q244" s="2" t="s">
        <v>420</v>
      </c>
      <c r="R244" s="2" t="str">
        <f>IFERROR(__xludf.DUMMYFUNCTION("GOOGLETRANSLATE(G244,""en"",""ur"")"),"ایک چھوٹی تلوار")</f>
        <v>ایک چھوٹی تلوار</v>
      </c>
      <c r="S244" s="6" t="s">
        <v>560</v>
      </c>
    </row>
    <row r="245">
      <c r="A245" s="7">
        <v>244.0</v>
      </c>
      <c r="B245" s="6" t="s">
        <v>421</v>
      </c>
      <c r="C245" s="6" t="s">
        <v>422</v>
      </c>
      <c r="D245" s="6" t="s">
        <v>423</v>
      </c>
      <c r="E245" s="6" t="s">
        <v>424</v>
      </c>
      <c r="F245" s="6" t="s">
        <v>425</v>
      </c>
      <c r="G245" s="6" t="s">
        <v>425</v>
      </c>
      <c r="H245" s="6" t="s">
        <v>560</v>
      </c>
      <c r="K245" s="2" t="str">
        <f>IFERROR(__xludf.DUMMYFUNCTION("GOOGLETRANSLATE(A245,""en"",""ur"")"),"244")</f>
        <v>244</v>
      </c>
      <c r="L245" s="2" t="str">
        <f>IFERROR(__xludf.DUMMYFUNCTION("GOOGLETRANSLATE(B245,""en"",""ur"")"),"اس لڑائی کی ترتیب کیا ہے؟")</f>
        <v>اس لڑائی کی ترتیب کیا ہے؟</v>
      </c>
      <c r="M245" s="2" t="str">
        <f>IFERROR(__xludf.DUMMYFUNCTION("GOOGLETRANSLATE(C245,""en"",""ur"")"),"ایک انڈور اسٹیڈیم")</f>
        <v>ایک انڈور اسٹیڈیم</v>
      </c>
      <c r="N245" s="2" t="str">
        <f>IFERROR(__xludf.DUMMYFUNCTION("GOOGLETRANSLATE(D245,""en"",""ur"")"),"ایک دیہی، بیرونی علاقہ")</f>
        <v>ایک دیہی، بیرونی علاقہ</v>
      </c>
      <c r="O245" s="2" t="str">
        <f>IFERROR(__xludf.DUMMYFUNCTION("GOOGLETRANSLATE(E245,""en"",""ur"")"),"شہر کی مصروف گلی")</f>
        <v>شہر کی مصروف گلی</v>
      </c>
      <c r="P245" s="2" t="str">
        <f>IFERROR(__xludf.DUMMYFUNCTION("GOOGLETRANSLATE(F245,""en"",""ur"")"),"گھاس کا میدان")</f>
        <v>گھاس کا میدان</v>
      </c>
      <c r="Q245" s="2" t="s">
        <v>426</v>
      </c>
      <c r="R245" s="2" t="str">
        <f>IFERROR(__xludf.DUMMYFUNCTION("GOOGLETRANSLATE(G245,""en"",""ur"")"),"گھاس کا میدان")</f>
        <v>گھاس کا میدان</v>
      </c>
      <c r="S245" s="6" t="s">
        <v>560</v>
      </c>
    </row>
    <row r="246">
      <c r="A246" s="7">
        <v>245.0</v>
      </c>
      <c r="B246" s="6" t="s">
        <v>427</v>
      </c>
      <c r="C246" s="6" t="s">
        <v>47</v>
      </c>
      <c r="D246" s="6" t="s">
        <v>48</v>
      </c>
      <c r="E246" s="6" t="s">
        <v>49</v>
      </c>
      <c r="F246" s="6" t="s">
        <v>50</v>
      </c>
      <c r="G246" s="6" t="s">
        <v>49</v>
      </c>
      <c r="H246" s="6" t="s">
        <v>560</v>
      </c>
      <c r="K246" s="2" t="str">
        <f>IFERROR(__xludf.DUMMYFUNCTION("GOOGLETRANSLATE(A246,""en"",""ur"")"),"245")</f>
        <v>245</v>
      </c>
      <c r="L246" s="2" t="str">
        <f>IFERROR(__xludf.DUMMYFUNCTION("GOOGLETRANSLATE(B246,""en"",""ur"")"),"جنگجوؤں کے ظاہری جذبات کیا ہیں؟")</f>
        <v>جنگجوؤں کے ظاہری جذبات کیا ہیں؟</v>
      </c>
      <c r="M246" s="2" t="str">
        <f>IFERROR(__xludf.DUMMYFUNCTION("GOOGLETRANSLATE(C246,""en"",""ur"")"),"پرسکون اور پر سکون")</f>
        <v>پرسکون اور پر سکون</v>
      </c>
      <c r="N246" s="2" t="str">
        <f>IFERROR(__xludf.DUMMYFUNCTION("GOOGLETRANSLATE(D246,""en"",""ur"")"),"خوف زدہ اور بے چین")</f>
        <v>خوف زدہ اور بے چین</v>
      </c>
      <c r="O246" s="2" t="str">
        <f>IFERROR(__xludf.DUMMYFUNCTION("GOOGLETRANSLATE(E246,""en"",""ur"")"),"کشیدہ اور شدید")</f>
        <v>کشیدہ اور شدید</v>
      </c>
      <c r="P246" s="2" t="str">
        <f>IFERROR(__xludf.DUMMYFUNCTION("GOOGLETRANSLATE(F246,""en"",""ur"")"),"خوش اور مسکراتے ہوئے۔")</f>
        <v>خوش اور مسکراتے ہوئے۔</v>
      </c>
      <c r="Q246" s="2" t="s">
        <v>51</v>
      </c>
      <c r="R246" s="2" t="str">
        <f>IFERROR(__xludf.DUMMYFUNCTION("GOOGLETRANSLATE(G246,""en"",""ur"")"),"کشیدہ اور شدید")</f>
        <v>کشیدہ اور شدید</v>
      </c>
      <c r="S246" s="6" t="s">
        <v>560</v>
      </c>
    </row>
    <row r="247">
      <c r="A247" s="7">
        <v>246.0</v>
      </c>
      <c r="B247" s="6" t="s">
        <v>428</v>
      </c>
      <c r="C247" s="6" t="s">
        <v>429</v>
      </c>
      <c r="D247" s="6" t="s">
        <v>430</v>
      </c>
      <c r="E247" s="6" t="s">
        <v>431</v>
      </c>
      <c r="F247" s="6" t="s">
        <v>432</v>
      </c>
      <c r="G247" s="6" t="s">
        <v>430</v>
      </c>
      <c r="H247" s="6" t="s">
        <v>560</v>
      </c>
      <c r="K247" s="2" t="str">
        <f>IFERROR(__xludf.DUMMYFUNCTION("GOOGLETRANSLATE(A247,""en"",""ur"")"),"246")</f>
        <v>246</v>
      </c>
      <c r="L247" s="2" t="str">
        <f>IFERROR(__xludf.DUMMYFUNCTION("GOOGLETRANSLATE(B247,""en"",""ur"")"),"جنگجوؤں کی ظاہری باڈی پوزیشن کیا ہے؟")</f>
        <v>جنگجوؤں کی ظاہری باڈی پوزیشن کیا ہے؟</v>
      </c>
      <c r="M247" s="2" t="str">
        <f>IFERROR(__xludf.DUMMYFUNCTION("GOOGLETRANSLATE(C247,""en"",""ur"")"),"سیدھا کھڑا ہونا")</f>
        <v>سیدھا کھڑا ہونا</v>
      </c>
      <c r="N247" s="2" t="str">
        <f>IFERROR(__xludf.DUMMYFUNCTION("GOOGLETRANSLATE(D247,""en"",""ur"")"),"کم، متحرک موقف میں")</f>
        <v>کم، متحرک موقف میں</v>
      </c>
      <c r="O247" s="2" t="str">
        <f>IFERROR(__xludf.DUMMYFUNCTION("GOOGLETRANSLATE(E247,""en"",""ur"")"),"زمین پر لیٹنا")</f>
        <v>زمین پر لیٹنا</v>
      </c>
      <c r="P247" s="2" t="str">
        <f>IFERROR(__xludf.DUMMYFUNCTION("GOOGLETRANSLATE(F247,""en"",""ur"")"),"بیٹھا ہوا")</f>
        <v>بیٹھا ہوا</v>
      </c>
      <c r="Q247" s="2" t="s">
        <v>433</v>
      </c>
      <c r="R247" s="2" t="str">
        <f>IFERROR(__xludf.DUMMYFUNCTION("GOOGLETRANSLATE(G247,""en"",""ur"")"),"کم، متحرک موقف میں")</f>
        <v>کم، متحرک موقف میں</v>
      </c>
      <c r="S247" s="6" t="s">
        <v>560</v>
      </c>
    </row>
    <row r="248">
      <c r="A248" s="7">
        <v>247.0</v>
      </c>
      <c r="B248" s="6" t="s">
        <v>434</v>
      </c>
      <c r="C248" s="6" t="s">
        <v>435</v>
      </c>
      <c r="D248" s="6" t="s">
        <v>436</v>
      </c>
      <c r="E248" s="6" t="s">
        <v>437</v>
      </c>
      <c r="F248" s="6" t="s">
        <v>438</v>
      </c>
      <c r="G248" s="6" t="s">
        <v>437</v>
      </c>
      <c r="H248" s="6" t="s">
        <v>560</v>
      </c>
      <c r="K248" s="2" t="str">
        <f>IFERROR(__xludf.DUMMYFUNCTION("GOOGLETRANSLATE(A248,""en"",""ur"")"),"247")</f>
        <v>247</v>
      </c>
      <c r="L248" s="2" t="str">
        <f>IFERROR(__xludf.DUMMYFUNCTION("GOOGLETRANSLATE(B248,""en"",""ur"")"),"پس منظر میں ہجوم کی سب سے نمایاں خصوصیت کیا ہے؟")</f>
        <v>پس منظر میں ہجوم کی سب سے نمایاں خصوصیت کیا ہے؟</v>
      </c>
      <c r="M248" s="2" t="str">
        <f>IFERROR(__xludf.DUMMYFUNCTION("GOOGLETRANSLATE(C248,""en"",""ur"")"),"وہ بھاگ رہے ہیں۔")</f>
        <v>وہ بھاگ رہے ہیں۔</v>
      </c>
      <c r="N248" s="2" t="str">
        <f>IFERROR(__xludf.DUMMYFUNCTION("GOOGLETRANSLATE(D248,""en"",""ur"")"),"وہ خاموش بیٹھے ہیں۔")</f>
        <v>وہ خاموش بیٹھے ہیں۔</v>
      </c>
      <c r="O248" s="2" t="str">
        <f>IFERROR(__xludf.DUMMYFUNCTION("GOOGLETRANSLATE(E248,""en"",""ur"")"),"وہ لڑائی کو قدرتی رکاوٹ سے دیکھ رہے ہیں۔")</f>
        <v>وہ لڑائی کو قدرتی رکاوٹ سے دیکھ رہے ہیں۔</v>
      </c>
      <c r="P248" s="2" t="str">
        <f>IFERROR(__xludf.DUMMYFUNCTION("GOOGLETRANSLATE(F248,""en"",""ur"")"),"وہ سب ایک اسٹیج پر کھڑے ہیں۔")</f>
        <v>وہ سب ایک اسٹیج پر کھڑے ہیں۔</v>
      </c>
      <c r="Q248" s="2" t="s">
        <v>439</v>
      </c>
      <c r="R248" s="2" t="str">
        <f>IFERROR(__xludf.DUMMYFUNCTION("GOOGLETRANSLATE(G248,""en"",""ur"")"),"وہ لڑائی کو قدرتی رکاوٹ سے دیکھ رہے ہیں۔")</f>
        <v>وہ لڑائی کو قدرتی رکاوٹ سے دیکھ رہے ہیں۔</v>
      </c>
      <c r="S248" s="6" t="s">
        <v>560</v>
      </c>
    </row>
    <row r="249">
      <c r="A249" s="7">
        <v>248.0</v>
      </c>
      <c r="B249" s="6" t="s">
        <v>440</v>
      </c>
      <c r="C249" s="6" t="s">
        <v>441</v>
      </c>
      <c r="D249" s="6" t="s">
        <v>442</v>
      </c>
      <c r="E249" s="6" t="s">
        <v>443</v>
      </c>
      <c r="F249" s="6" t="s">
        <v>444</v>
      </c>
      <c r="G249" s="6" t="s">
        <v>444</v>
      </c>
      <c r="H249" s="6" t="s">
        <v>560</v>
      </c>
      <c r="K249" s="2" t="str">
        <f>IFERROR(__xludf.DUMMYFUNCTION("GOOGLETRANSLATE(A249,""en"",""ur"")"),"248")</f>
        <v>248</v>
      </c>
      <c r="L249" s="2" t="str">
        <f>IFERROR(__xludf.DUMMYFUNCTION("GOOGLETRANSLATE(B249,""en"",""ur"")"),"زمین کی ظاہری حالت کیا ہے؟")</f>
        <v>زمین کی ظاہری حالت کیا ہے؟</v>
      </c>
      <c r="M249" s="2" t="str">
        <f>IFERROR(__xludf.DUMMYFUNCTION("GOOGLETRANSLATE(C249,""en"",""ur"")"),"یہ ایک پکی سطح ہے۔")</f>
        <v>یہ ایک پکی سطح ہے۔</v>
      </c>
      <c r="N249" s="2" t="str">
        <f>IFERROR(__xludf.DUMMYFUNCTION("GOOGLETRANSLATE(D249,""en"",""ur"")"),"یہ ایک کیچڑ والا میدان ہے۔")</f>
        <v>یہ ایک کیچڑ والا میدان ہے۔</v>
      </c>
      <c r="O249" s="2" t="str">
        <f>IFERROR(__xludf.DUMMYFUNCTION("GOOGLETRANSLATE(E249,""en"",""ur"")"),"یہ ایک ریتلی یا مٹی کی سطح ہے جس میں دھول اڑتی ہے۔")</f>
        <v>یہ ایک ریتلی یا مٹی کی سطح ہے جس میں دھول اڑتی ہے۔</v>
      </c>
      <c r="P249" s="2" t="str">
        <f>IFERROR(__xludf.DUMMYFUNCTION("GOOGLETRANSLATE(F249,""en"",""ur"")"),"یہ ایک گھاس والی سطح ہے۔")</f>
        <v>یہ ایک گھاس والی سطح ہے۔</v>
      </c>
      <c r="Q249" s="2" t="s">
        <v>445</v>
      </c>
      <c r="R249" s="2" t="str">
        <f>IFERROR(__xludf.DUMMYFUNCTION("GOOGLETRANSLATE(G249,""en"",""ur"")"),"یہ ایک گھاس والی سطح ہے۔")</f>
        <v>یہ ایک گھاس والی سطح ہے۔</v>
      </c>
      <c r="S249" s="6" t="s">
        <v>560</v>
      </c>
    </row>
    <row r="250">
      <c r="A250" s="7">
        <v>249.0</v>
      </c>
      <c r="B250" s="6" t="s">
        <v>446</v>
      </c>
      <c r="C250" s="6" t="s">
        <v>447</v>
      </c>
      <c r="D250" s="6" t="s">
        <v>448</v>
      </c>
      <c r="E250" s="6" t="s">
        <v>449</v>
      </c>
      <c r="F250" s="6" t="s">
        <v>450</v>
      </c>
      <c r="G250" s="6" t="s">
        <v>447</v>
      </c>
      <c r="H250" s="6" t="s">
        <v>560</v>
      </c>
      <c r="K250" s="2" t="str">
        <f>IFERROR(__xludf.DUMMYFUNCTION("GOOGLETRANSLATE(A250,""en"",""ur"")"),"249")</f>
        <v>249</v>
      </c>
      <c r="L250" s="2" t="str">
        <f>IFERROR(__xludf.DUMMYFUNCTION("GOOGLETRANSLATE(B250,""en"",""ur"")"),"ڈھال کا بنیادی مقصد کیا ہے جو ہر لڑاکا پکڑے ہوئے ہے؟")</f>
        <v>ڈھال کا بنیادی مقصد کیا ہے جو ہر لڑاکا پکڑے ہوئے ہے؟</v>
      </c>
      <c r="M250" s="2" t="str">
        <f>IFERROR(__xludf.DUMMYFUNCTION("GOOGLETRANSLATE(C250,""en"",""ur"")"),"تلوار کے وار کو روکنے کے لیے")</f>
        <v>تلوار کے وار کو روکنے کے لیے</v>
      </c>
      <c r="N250" s="2" t="str">
        <f>IFERROR(__xludf.DUMMYFUNCTION("GOOGLETRANSLATE(D250,""en"",""ur"")"),"ہتھیار رکھنے کے لیے")</f>
        <v>ہتھیار رکھنے کے لیے</v>
      </c>
      <c r="O250" s="2" t="str">
        <f>IFERROR(__xludf.DUMMYFUNCTION("GOOGLETRANSLATE(E250,""en"",""ur"")"),"صرف سجاوٹ کے لیے")</f>
        <v>صرف سجاوٹ کے لیے</v>
      </c>
      <c r="P250" s="2" t="str">
        <f>IFERROR(__xludf.DUMMYFUNCTION("GOOGLETRANSLATE(F250,""en"",""ur"")"),"سورج کو روکنے کے لئے")</f>
        <v>سورج کو روکنے کے لئے</v>
      </c>
      <c r="Q250" s="2" t="s">
        <v>451</v>
      </c>
      <c r="R250" s="2" t="str">
        <f>IFERROR(__xludf.DUMMYFUNCTION("GOOGLETRANSLATE(G250,""en"",""ur"")"),"تلوار کے وار کو روکنے کے لیے")</f>
        <v>تلوار کے وار کو روکنے کے لیے</v>
      </c>
      <c r="S250" s="6" t="s">
        <v>560</v>
      </c>
    </row>
    <row r="251">
      <c r="A251" s="7">
        <v>250.0</v>
      </c>
      <c r="B251" s="6" t="s">
        <v>452</v>
      </c>
      <c r="C251" s="6" t="s">
        <v>453</v>
      </c>
      <c r="D251" s="6" t="s">
        <v>454</v>
      </c>
      <c r="E251" s="6" t="s">
        <v>455</v>
      </c>
      <c r="F251" s="6" t="s">
        <v>456</v>
      </c>
      <c r="G251" s="6" t="s">
        <v>454</v>
      </c>
      <c r="H251" s="6" t="s">
        <v>560</v>
      </c>
      <c r="K251" s="2" t="str">
        <f>IFERROR(__xludf.DUMMYFUNCTION("GOOGLETRANSLATE(A251,""en"",""ur"")"),"250")</f>
        <v>250</v>
      </c>
      <c r="L251" s="2" t="str">
        <f>IFERROR(__xludf.DUMMYFUNCTION("GOOGLETRANSLATE(B251,""en"",""ur"")"),"ایونٹ کا مجموعی موڈ ایسا لگتا ہے...")</f>
        <v>ایونٹ کا مجموعی موڈ ایسا لگتا ہے...</v>
      </c>
      <c r="M251" s="2" t="str">
        <f>IFERROR(__xludf.DUMMYFUNCTION("GOOGLETRANSLATE(C251,""en"",""ur"")"),"ایک آرام دہ مشق سیشن")</f>
        <v>ایک آرام دہ مشق سیشن</v>
      </c>
      <c r="N251" s="2" t="str">
        <f>IFERROR(__xludf.DUMMYFUNCTION("GOOGLETRANSLATE(D251,""en"",""ur"")"),"ایک تناؤ اور جارحانہ کارکردگی")</f>
        <v>ایک تناؤ اور جارحانہ کارکردگی</v>
      </c>
      <c r="O251" s="2" t="str">
        <f>IFERROR(__xludf.DUMMYFUNCTION("GOOGLETRANSLATE(E251,""en"",""ur"")"),"ایک پرسکون، پرامن اجتماع")</f>
        <v>ایک پرسکون، پرامن اجتماع</v>
      </c>
      <c r="P251" s="2" t="str">
        <f>IFERROR(__xludf.DUMMYFUNCTION("GOOGLETRANSLATE(F251,""en"",""ur"")"),"ایک سست، رسمی رقص")</f>
        <v>ایک سست، رسمی رقص</v>
      </c>
      <c r="Q251" s="2" t="s">
        <v>457</v>
      </c>
      <c r="R251" s="2" t="str">
        <f>IFERROR(__xludf.DUMMYFUNCTION("GOOGLETRANSLATE(G251,""en"",""ur"")"),"ایک تناؤ اور جارحانہ کارکردگی")</f>
        <v>ایک تناؤ اور جارحانہ کارکردگی</v>
      </c>
      <c r="S251" s="6" t="s">
        <v>560</v>
      </c>
    </row>
    <row r="252">
      <c r="A252" s="6"/>
      <c r="B252" s="6"/>
      <c r="C252" s="6"/>
      <c r="D252" s="6"/>
      <c r="E252" s="6"/>
      <c r="F252" s="6"/>
      <c r="G252" s="6"/>
      <c r="H252" s="6"/>
      <c r="S252" s="6"/>
    </row>
    <row r="253">
      <c r="A253" s="6"/>
      <c r="B253" s="6"/>
      <c r="C253" s="6"/>
      <c r="D253" s="6"/>
      <c r="E253" s="6"/>
      <c r="F253" s="6"/>
      <c r="G253" s="6"/>
      <c r="H253" s="6"/>
      <c r="S253" s="6"/>
    </row>
    <row r="254">
      <c r="A254" s="6"/>
      <c r="B254" s="6"/>
      <c r="C254" s="6"/>
      <c r="D254" s="6"/>
      <c r="E254" s="6"/>
      <c r="F254" s="6"/>
      <c r="G254" s="6"/>
      <c r="H254" s="6"/>
      <c r="S254" s="6"/>
    </row>
    <row r="255">
      <c r="A255" s="6"/>
      <c r="B255" s="6"/>
      <c r="C255" s="6"/>
      <c r="D255" s="6"/>
      <c r="E255" s="6"/>
      <c r="F255" s="6"/>
      <c r="G255" s="6"/>
      <c r="H255" s="6"/>
      <c r="S255" s="6"/>
    </row>
    <row r="256">
      <c r="A256" s="6"/>
      <c r="B256" s="6"/>
      <c r="C256" s="6"/>
      <c r="D256" s="6"/>
      <c r="E256" s="6"/>
      <c r="F256" s="6"/>
      <c r="G256" s="6"/>
      <c r="H256" s="6"/>
    </row>
    <row r="257">
      <c r="A257" s="6"/>
      <c r="B257" s="6"/>
      <c r="C257" s="6"/>
      <c r="D257" s="6"/>
      <c r="E257" s="6"/>
      <c r="F257" s="6"/>
      <c r="G257" s="6"/>
      <c r="H257" s="6"/>
    </row>
    <row r="258">
      <c r="A258" s="6"/>
      <c r="B258" s="6"/>
      <c r="C258" s="6"/>
      <c r="D258" s="6"/>
      <c r="E258" s="6"/>
      <c r="F258" s="6"/>
      <c r="G258" s="6"/>
      <c r="H258" s="6"/>
    </row>
    <row r="259">
      <c r="A259" s="6"/>
      <c r="B259" s="6"/>
      <c r="C259" s="6"/>
      <c r="D259" s="6"/>
      <c r="E259" s="6"/>
      <c r="F259" s="6"/>
      <c r="G259" s="6"/>
      <c r="H259" s="6"/>
    </row>
    <row r="260">
      <c r="A260" s="6"/>
      <c r="B260" s="6"/>
      <c r="C260" s="6"/>
      <c r="D260" s="6"/>
      <c r="E260" s="6"/>
      <c r="F260" s="6"/>
      <c r="G260" s="6"/>
      <c r="H260" s="6"/>
    </row>
    <row r="261">
      <c r="A261" s="6"/>
      <c r="B261" s="6"/>
      <c r="C261" s="6"/>
      <c r="D261" s="6"/>
      <c r="E261" s="6"/>
      <c r="F261" s="6"/>
      <c r="G261" s="6"/>
      <c r="H261" s="6"/>
    </row>
    <row r="262">
      <c r="A262" s="6"/>
      <c r="B262" s="6"/>
      <c r="C262" s="6"/>
      <c r="D262" s="6"/>
      <c r="E262" s="6"/>
      <c r="F262" s="6"/>
      <c r="G262" s="6"/>
      <c r="H262" s="6"/>
    </row>
    <row r="263">
      <c r="A263" s="6"/>
      <c r="B263" s="6"/>
      <c r="C263" s="6"/>
      <c r="D263" s="6"/>
      <c r="E263" s="6"/>
      <c r="F263" s="6"/>
      <c r="G263" s="6"/>
      <c r="H263" s="6"/>
    </row>
    <row r="264">
      <c r="A264" s="6"/>
      <c r="B264" s="6"/>
      <c r="C264" s="6"/>
      <c r="D264" s="6"/>
      <c r="E264" s="6"/>
      <c r="F264" s="6"/>
      <c r="G264" s="6"/>
      <c r="H264" s="6"/>
    </row>
    <row r="265">
      <c r="A265" s="6"/>
      <c r="B265" s="6"/>
      <c r="C265" s="6"/>
      <c r="D265" s="6"/>
      <c r="E265" s="6"/>
      <c r="F265" s="6"/>
      <c r="G265" s="6"/>
      <c r="H265" s="6"/>
    </row>
    <row r="266">
      <c r="A266" s="6"/>
      <c r="B266" s="6"/>
      <c r="C266" s="6"/>
      <c r="D266" s="6"/>
      <c r="E266" s="6"/>
      <c r="F266" s="6"/>
      <c r="G266" s="6"/>
      <c r="H266" s="6"/>
    </row>
    <row r="267">
      <c r="A267" s="6"/>
      <c r="B267" s="6"/>
      <c r="C267" s="6"/>
      <c r="D267" s="6"/>
      <c r="E267" s="6"/>
      <c r="F267" s="6"/>
      <c r="G267" s="6"/>
      <c r="H267" s="6"/>
    </row>
    <row r="268">
      <c r="A268" s="6"/>
      <c r="B268" s="6"/>
      <c r="C268" s="6"/>
      <c r="D268" s="6"/>
      <c r="E268" s="6"/>
      <c r="F268" s="6"/>
      <c r="G268" s="6"/>
      <c r="H268" s="6"/>
    </row>
    <row r="269">
      <c r="A269" s="6"/>
      <c r="B269" s="6"/>
      <c r="C269" s="6"/>
      <c r="D269" s="6"/>
      <c r="E269" s="6"/>
      <c r="F269" s="6"/>
      <c r="G269" s="6"/>
      <c r="H269" s="6"/>
    </row>
    <row r="270">
      <c r="A270" s="6"/>
      <c r="B270" s="6"/>
      <c r="C270" s="6"/>
      <c r="D270" s="6"/>
      <c r="E270" s="6"/>
      <c r="F270" s="6"/>
      <c r="G270" s="6"/>
      <c r="H27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623</v>
      </c>
      <c r="B1" s="8" t="s">
        <v>1</v>
      </c>
      <c r="C1" s="8" t="s">
        <v>624</v>
      </c>
      <c r="D1" s="8" t="s">
        <v>625</v>
      </c>
      <c r="E1" s="8" t="s">
        <v>626</v>
      </c>
      <c r="F1" s="8" t="s">
        <v>627</v>
      </c>
      <c r="G1" s="8" t="s">
        <v>628</v>
      </c>
      <c r="H1" s="8" t="s">
        <v>629</v>
      </c>
      <c r="I1" s="6"/>
      <c r="J1" s="6"/>
      <c r="K1" s="9" t="s">
        <v>630</v>
      </c>
      <c r="L1" s="6" t="str">
        <f>IFERROR(__xludf.DUMMYFUNCTION("GOOGLETRANSLATE(B1,""en"",""ur"")"),"سوال")</f>
        <v>سوال</v>
      </c>
      <c r="M1" s="6" t="str">
        <f>IFERROR(__xludf.DUMMYFUNCTION("GOOGLETRANSLATE(C1,""en"",""ur"")"),"آپشن 1z")</f>
        <v>آپشن 1z</v>
      </c>
      <c r="N1" s="8" t="str">
        <f>IFERROR(__xludf.DUMMYFUNCTION("GOOGLETRANSLATE(D1,""en"",""ur"")"),"آپشن 2z")</f>
        <v>آپشن 2z</v>
      </c>
      <c r="O1" s="6" t="str">
        <f>IFERROR(__xludf.DUMMYFUNCTION("GOOGLETRANSLATE(E1,""en"",""ur"")"),"آپشن 3z")</f>
        <v>آپشن 3z</v>
      </c>
      <c r="P1" s="6" t="str">
        <f>IFERROR(__xludf.DUMMYFUNCTION("GOOGLETRANSLATE(F1,""en"",""ur"")"),"آپشن 4z")</f>
        <v>آپشن 4z</v>
      </c>
      <c r="Q1" s="8" t="s">
        <v>8</v>
      </c>
      <c r="R1" s="6" t="str">
        <f>IFERROR(__xludf.DUMMYFUNCTION("GOOGLETRANSLATE(G1,""en"",""ur"")"),"درست جواب")</f>
        <v>درست جواب</v>
      </c>
      <c r="S1" s="8" t="s">
        <v>9</v>
      </c>
      <c r="T1" s="6"/>
      <c r="U1" s="6"/>
      <c r="V1" s="6"/>
      <c r="W1" s="6"/>
      <c r="X1" s="6"/>
      <c r="Y1" s="6"/>
      <c r="Z1" s="6"/>
      <c r="AA1" s="6"/>
    </row>
    <row r="2">
      <c r="A2" s="7">
        <v>1.0</v>
      </c>
      <c r="B2" s="6" t="s">
        <v>631</v>
      </c>
      <c r="C2" s="6" t="s">
        <v>11</v>
      </c>
      <c r="D2" s="6" t="s">
        <v>632</v>
      </c>
      <c r="E2" s="6" t="s">
        <v>633</v>
      </c>
      <c r="F2" s="6" t="s">
        <v>634</v>
      </c>
      <c r="G2" s="6" t="s">
        <v>632</v>
      </c>
      <c r="H2" s="6" t="s">
        <v>635</v>
      </c>
      <c r="I2" s="6"/>
      <c r="J2" s="6"/>
      <c r="K2" s="7">
        <v>1.0</v>
      </c>
      <c r="L2" s="6" t="str">
        <f>IFERROR(__xludf.DUMMYFUNCTION("GOOGLETRANSLATE(B2,""en"",""ur"")"),"gilli_danda_1 میں دکھایا گیا اہم عمل کیا ہے؟")</f>
        <v>gilli_danda_1 میں دکھایا گیا اہم عمل کیا ہے؟</v>
      </c>
      <c r="M2" s="6"/>
      <c r="N2" s="8" t="str">
        <f>IFERROR(__xludf.DUMMYFUNCTION("GOOGLETRANSLATE(D2,""en"",""ur"")"),"ایک کھلاڑی چھوٹی چھڑی کو بڑی چھڑی سے مار رہا ہے۔")</f>
        <v>ایک کھلاڑی چھوٹی چھڑی کو بڑی چھڑی سے مار رہا ہے۔</v>
      </c>
      <c r="O2" s="6" t="str">
        <f>IFERROR(__xludf.DUMMYFUNCTION("GOOGLETRANSLATE(E2,""en"",""ur"")"),"ایک کھلاڑی گیند کی خدمت کر رہا ہے۔")</f>
        <v>ایک کھلاڑی گیند کی خدمت کر رہا ہے۔</v>
      </c>
      <c r="P2" s="6" t="str">
        <f>IFERROR(__xludf.DUMMYFUNCTION("GOOGLETRANSLATE(F2,""en"",""ur"")"),"ایک کھلاڑی دفاعی بلاک کا مظاہرہ کر رہا ہے۔")</f>
        <v>ایک کھلاڑی دفاعی بلاک کا مظاہرہ کر رہا ہے۔</v>
      </c>
      <c r="Q2" s="6" t="str">
        <f t="array" ref="Q2:Q560">TRIM(" (A) " &amp; M2:M560 &amp; " (B) " &amp; N2:N560 &amp; " (C) " &amp; O2:O560 &amp; " (D) " &amp; P2:P560)</f>
        <v>(A) (B) ایک کھلاڑی چھوٹی چھڑی کو بڑی چھڑی سے مار رہا ہے۔ (C) ایک کھلاڑی گیند کی خدمت کر رہا ہے۔ (D) ایک کھلاڑی دفاعی بلاک کا مظاہرہ کر رہا ہے۔</v>
      </c>
      <c r="R2" s="6" t="str">
        <f>IFERROR(__xludf.DUMMYFUNCTION("GOOGLETRANSLATE(G2,""en"",""ur"")"),"ایک کھلاڑی چھوٹی چھڑی کو بڑی چھڑی سے مار رہا ہے۔")</f>
        <v>ایک کھلاڑی چھوٹی چھڑی کو بڑی چھڑی سے مار رہا ہے۔</v>
      </c>
      <c r="S2" s="6" t="s">
        <v>635</v>
      </c>
      <c r="T2" s="6"/>
      <c r="U2" s="6"/>
      <c r="V2" s="6"/>
      <c r="W2" s="6"/>
      <c r="X2" s="6"/>
      <c r="Y2" s="6"/>
      <c r="Z2" s="6"/>
      <c r="AA2" s="6"/>
    </row>
    <row r="3">
      <c r="A3" s="7">
        <v>2.0</v>
      </c>
      <c r="B3" s="6" t="s">
        <v>636</v>
      </c>
      <c r="C3" s="6" t="s">
        <v>637</v>
      </c>
      <c r="D3" s="6" t="s">
        <v>638</v>
      </c>
      <c r="E3" s="6" t="s">
        <v>639</v>
      </c>
      <c r="F3" s="6" t="s">
        <v>640</v>
      </c>
      <c r="G3" s="6" t="s">
        <v>638</v>
      </c>
      <c r="H3" s="6" t="s">
        <v>635</v>
      </c>
      <c r="I3" s="6"/>
      <c r="J3" s="6"/>
      <c r="K3" s="7">
        <v>2.0</v>
      </c>
      <c r="L3" s="6" t="str">
        <f>IFERROR(__xludf.DUMMYFUNCTION("GOOGLETRANSLATE(B3,""en"",""ur"")"),"کھیل میں استعمال ہونے والے آلات کے دو ٹکڑے کیا ہیں؟")</f>
        <v>کھیل میں استعمال ہونے والے آلات کے دو ٹکڑے کیا ہیں؟</v>
      </c>
      <c r="M3" s="6"/>
      <c r="N3" s="8" t="str">
        <f>IFERROR(__xludf.DUMMYFUNCTION("GOOGLETRANSLATE(D3,""en"",""ur"")"),"ایک لمبی چھڑی (ڈنڈا) اور ایک چھوٹی چھڑی (گلی)")</f>
        <v>ایک لمبی چھڑی (ڈنڈا) اور ایک چھوٹی چھڑی (گلی)</v>
      </c>
      <c r="O3" s="6" t="str">
        <f>IFERROR(__xludf.DUMMYFUNCTION("GOOGLETRANSLATE(E3,""en"",""ur"")"),"ایک ریکیٹ اور ایک شٹل کاک")</f>
        <v>ایک ریکیٹ اور ایک شٹل کاک</v>
      </c>
      <c r="P3" s="6" t="str">
        <f>IFERROR(__xludf.DUMMYFUNCTION("GOOGLETRANSLATE(F3,""en"",""ur"")"),"ایک چمگادڑ اور ایک دستانہ")</f>
        <v>ایک چمگادڑ اور ایک دستانہ</v>
      </c>
      <c r="Q3" s="6" t="s">
        <v>641</v>
      </c>
      <c r="R3" s="6" t="str">
        <f>IFERROR(__xludf.DUMMYFUNCTION("GOOGLETRANSLATE(G3,""en"",""ur"")"),"ایک لمبی چھڑی (ڈنڈا) اور ایک چھوٹی چھڑی (گلی)")</f>
        <v>ایک لمبی چھڑی (ڈنڈا) اور ایک چھوٹی چھڑی (گلی)</v>
      </c>
      <c r="S3" s="6" t="s">
        <v>635</v>
      </c>
      <c r="T3" s="6"/>
      <c r="U3" s="6"/>
      <c r="V3" s="6"/>
      <c r="W3" s="6"/>
      <c r="X3" s="6"/>
      <c r="Y3" s="6"/>
      <c r="Z3" s="6"/>
      <c r="AA3" s="6"/>
    </row>
    <row r="4">
      <c r="A4" s="7">
        <v>3.0</v>
      </c>
      <c r="B4" s="6" t="s">
        <v>642</v>
      </c>
      <c r="C4" s="6" t="s">
        <v>307</v>
      </c>
      <c r="D4" s="6" t="s">
        <v>643</v>
      </c>
      <c r="E4" s="6" t="s">
        <v>311</v>
      </c>
      <c r="F4" s="6" t="s">
        <v>314</v>
      </c>
      <c r="G4" s="6" t="s">
        <v>643</v>
      </c>
      <c r="H4" s="6" t="s">
        <v>635</v>
      </c>
      <c r="I4" s="6"/>
      <c r="J4" s="6"/>
      <c r="K4" s="7">
        <v>3.0</v>
      </c>
      <c r="L4" s="6" t="str">
        <f>IFERROR(__xludf.DUMMYFUNCTION("GOOGLETRANSLATE(B4,""en"",""ur"")"),"بائیں طرف کھلاڑی کے بارے میں ایک قابل ذکر تفصیل کیا ہے؟")</f>
        <v>بائیں طرف کھلاڑی کے بارے میں ایک قابل ذکر تفصیل کیا ہے؟</v>
      </c>
      <c r="M4" s="6"/>
      <c r="N4" s="8" t="str">
        <f>IFERROR(__xludf.DUMMYFUNCTION("GOOGLETRANSLATE(D4,""en"",""ur"")"),"وہ ایک پست، جھکائے ہوئے موقف میں ہے، ہڑتال کرنے کی تیاری کر رہا ہے۔")</f>
        <v>وہ ایک پست، جھکائے ہوئے موقف میں ہے، ہڑتال کرنے کی تیاری کر رہا ہے۔</v>
      </c>
      <c r="O4" s="6" t="str">
        <f>IFERROR(__xludf.DUMMYFUNCTION("GOOGLETRANSLATE(E4,""en"",""ur"")"),"وہ سیدھا کھڑا ہے۔")</f>
        <v>وہ سیدھا کھڑا ہے۔</v>
      </c>
      <c r="P4" s="6" t="str">
        <f>IFERROR(__xludf.DUMMYFUNCTION("GOOGLETRANSLATE(F4,""en"",""ur"")"),"وہ آرام سے بیٹھا ہے۔")</f>
        <v>وہ آرام سے بیٹھا ہے۔</v>
      </c>
      <c r="Q4" s="6" t="s">
        <v>644</v>
      </c>
      <c r="R4" s="6" t="str">
        <f>IFERROR(__xludf.DUMMYFUNCTION("GOOGLETRANSLATE(G4,""en"",""ur"")"),"وہ ایک پست، جھکائے ہوئے موقف میں ہے، ہڑتال کرنے کی تیاری کر رہا ہے۔")</f>
        <v>وہ ایک پست، جھکائے ہوئے موقف میں ہے، ہڑتال کرنے کی تیاری کر رہا ہے۔</v>
      </c>
      <c r="S4" s="6" t="s">
        <v>635</v>
      </c>
      <c r="T4" s="6"/>
      <c r="U4" s="6"/>
      <c r="V4" s="6"/>
      <c r="W4" s="6"/>
      <c r="X4" s="6"/>
      <c r="Y4" s="6"/>
      <c r="Z4" s="6"/>
      <c r="AA4" s="6"/>
    </row>
    <row r="5">
      <c r="A5" s="7">
        <v>4.0</v>
      </c>
      <c r="B5" s="6" t="s">
        <v>645</v>
      </c>
      <c r="C5" s="6" t="s">
        <v>422</v>
      </c>
      <c r="D5" s="6" t="s">
        <v>646</v>
      </c>
      <c r="E5" s="6" t="s">
        <v>647</v>
      </c>
      <c r="F5" s="6" t="s">
        <v>425</v>
      </c>
      <c r="G5" s="6" t="s">
        <v>647</v>
      </c>
      <c r="H5" s="6" t="s">
        <v>635</v>
      </c>
      <c r="I5" s="6"/>
      <c r="J5" s="6"/>
      <c r="K5" s="7">
        <v>4.0</v>
      </c>
      <c r="L5" s="6" t="str">
        <f>IFERROR(__xludf.DUMMYFUNCTION("GOOGLETRANSLATE(B5,""en"",""ur"")"),"کھیل کی ظاہری ترتیب کیا ہے؟")</f>
        <v>کھیل کی ظاہری ترتیب کیا ہے؟</v>
      </c>
      <c r="M5" s="6"/>
      <c r="N5" s="8" t="str">
        <f>IFERROR(__xludf.DUMMYFUNCTION("GOOGLETRANSLATE(D5,""en"",""ur"")"),"شہر کی ایک گلی")</f>
        <v>شہر کی ایک گلی</v>
      </c>
      <c r="O5" s="6" t="str">
        <f>IFERROR(__xludf.DUMMYFUNCTION("GOOGLETRANSLATE(E5,""en"",""ur"")"),"ایک بیرونی گندگی کا میدان")</f>
        <v>ایک بیرونی گندگی کا میدان</v>
      </c>
      <c r="P5" s="6" t="str">
        <f>IFERROR(__xludf.DUMMYFUNCTION("GOOGLETRANSLATE(F5,""en"",""ur"")"),"گھاس کا میدان")</f>
        <v>گھاس کا میدان</v>
      </c>
      <c r="Q5" s="6" t="s">
        <v>648</v>
      </c>
      <c r="R5" s="6" t="str">
        <f>IFERROR(__xludf.DUMMYFUNCTION("GOOGLETRANSLATE(G5,""en"",""ur"")"),"ایک بیرونی گندگی کا میدان")</f>
        <v>ایک بیرونی گندگی کا میدان</v>
      </c>
      <c r="S5" s="6" t="s">
        <v>635</v>
      </c>
      <c r="T5" s="6"/>
      <c r="U5" s="6"/>
      <c r="V5" s="6"/>
      <c r="W5" s="6"/>
      <c r="X5" s="6"/>
      <c r="Y5" s="6"/>
      <c r="Z5" s="6"/>
      <c r="AA5" s="6"/>
    </row>
    <row r="6">
      <c r="A6" s="7">
        <v>5.0</v>
      </c>
      <c r="B6" s="6" t="s">
        <v>46</v>
      </c>
      <c r="C6" s="6" t="s">
        <v>47</v>
      </c>
      <c r="D6" s="6" t="s">
        <v>48</v>
      </c>
      <c r="E6" s="6" t="s">
        <v>49</v>
      </c>
      <c r="F6" s="6" t="s">
        <v>50</v>
      </c>
      <c r="G6" s="6" t="s">
        <v>49</v>
      </c>
      <c r="H6" s="6" t="s">
        <v>635</v>
      </c>
      <c r="I6" s="6"/>
      <c r="J6" s="6"/>
      <c r="K6" s="7">
        <v>5.0</v>
      </c>
      <c r="L6" s="6" t="str">
        <f>IFERROR(__xludf.DUMMYFUNCTION("GOOGLETRANSLATE(B6,""en"",""ur"")"),"کھلاڑیوں کے چہروں سے ظاہری جذبات کیا ہیں؟")</f>
        <v>کھلاڑیوں کے چہروں سے ظاہری جذبات کیا ہیں؟</v>
      </c>
      <c r="M6" s="6"/>
      <c r="N6" s="8" t="str">
        <f>IFERROR(__xludf.DUMMYFUNCTION("GOOGLETRANSLATE(D6,""en"",""ur"")"),"خوف زدہ اور بے چین")</f>
        <v>خوف زدہ اور بے چین</v>
      </c>
      <c r="O6" s="6" t="str">
        <f>IFERROR(__xludf.DUMMYFUNCTION("GOOGLETRANSLATE(E6,""en"",""ur"")"),"کشیدہ اور شدید")</f>
        <v>کشیدہ اور شدید</v>
      </c>
      <c r="P6" s="6" t="str">
        <f>IFERROR(__xludf.DUMMYFUNCTION("GOOGLETRANSLATE(F6,""en"",""ur"")"),"خوش اور مسکراتے ہوئے۔")</f>
        <v>خوش اور مسکراتے ہوئے۔</v>
      </c>
      <c r="Q6" s="6" t="s">
        <v>649</v>
      </c>
      <c r="R6" s="6" t="str">
        <f>IFERROR(__xludf.DUMMYFUNCTION("GOOGLETRANSLATE(G6,""en"",""ur"")"),"کشیدہ اور شدید")</f>
        <v>کشیدہ اور شدید</v>
      </c>
      <c r="S6" s="6" t="s">
        <v>635</v>
      </c>
      <c r="T6" s="6"/>
      <c r="U6" s="6"/>
      <c r="V6" s="6"/>
      <c r="W6" s="6"/>
      <c r="X6" s="6"/>
      <c r="Y6" s="6"/>
      <c r="Z6" s="6"/>
      <c r="AA6" s="6"/>
    </row>
    <row r="7">
      <c r="A7" s="7">
        <v>6.0</v>
      </c>
      <c r="B7" s="6" t="s">
        <v>88</v>
      </c>
      <c r="C7" s="6" t="s">
        <v>89</v>
      </c>
      <c r="D7" s="6" t="s">
        <v>90</v>
      </c>
      <c r="E7" s="6" t="s">
        <v>91</v>
      </c>
      <c r="F7" s="6" t="s">
        <v>368</v>
      </c>
      <c r="G7" s="6" t="s">
        <v>368</v>
      </c>
      <c r="H7" s="6" t="s">
        <v>635</v>
      </c>
      <c r="I7" s="6"/>
      <c r="J7" s="6"/>
      <c r="K7" s="7">
        <v>6.0</v>
      </c>
      <c r="L7" s="6" t="str">
        <f>IFERROR(__xludf.DUMMYFUNCTION("GOOGLETRANSLATE(B7,""en"",""ur"")"),"زمین کی سب سے نمایاں خصوصیت کیا ہے؟")</f>
        <v>زمین کی سب سے نمایاں خصوصیت کیا ہے؟</v>
      </c>
      <c r="M7" s="6"/>
      <c r="N7" s="8" t="str">
        <f>IFERROR(__xludf.DUMMYFUNCTION("GOOGLETRANSLATE(D7,""en"",""ur"")"),"کیچڑ والا میدان")</f>
        <v>کیچڑ والا میدان</v>
      </c>
      <c r="O7" s="6" t="str">
        <f>IFERROR(__xludf.DUMMYFUNCTION("GOOGLETRANSLATE(E7,""en"",""ur"")"),"ایک گھاس دار سطح")</f>
        <v>ایک گھاس دار سطح</v>
      </c>
      <c r="P7" s="6" t="str">
        <f>IFERROR(__xludf.DUMMYFUNCTION("GOOGLETRANSLATE(F7,""en"",""ur"")"),"دھول اڑنے والی ریتلی یا گندگی کی سطح")</f>
        <v>دھول اڑنے والی ریتلی یا گندگی کی سطح</v>
      </c>
      <c r="Q7" s="6" t="s">
        <v>650</v>
      </c>
      <c r="R7" s="6" t="str">
        <f>IFERROR(__xludf.DUMMYFUNCTION("GOOGLETRANSLATE(G7,""en"",""ur"")"),"دھول اڑنے والی ریتلی یا گندگی کی سطح")</f>
        <v>دھول اڑنے والی ریتلی یا گندگی کی سطح</v>
      </c>
      <c r="S7" s="6" t="s">
        <v>635</v>
      </c>
      <c r="T7" s="6"/>
      <c r="U7" s="6"/>
      <c r="V7" s="6"/>
      <c r="W7" s="6"/>
      <c r="X7" s="6"/>
      <c r="Y7" s="6"/>
      <c r="Z7" s="6"/>
      <c r="AA7" s="6"/>
    </row>
    <row r="8">
      <c r="A8" s="7">
        <v>7.0</v>
      </c>
      <c r="B8" s="6" t="s">
        <v>94</v>
      </c>
      <c r="C8" s="6" t="s">
        <v>95</v>
      </c>
      <c r="D8" s="6" t="s">
        <v>651</v>
      </c>
      <c r="E8" s="6" t="s">
        <v>652</v>
      </c>
      <c r="F8" s="6" t="s">
        <v>653</v>
      </c>
      <c r="G8" s="6" t="s">
        <v>652</v>
      </c>
      <c r="H8" s="6" t="s">
        <v>635</v>
      </c>
      <c r="I8" s="6"/>
      <c r="J8" s="6"/>
      <c r="K8" s="7">
        <v>7.0</v>
      </c>
      <c r="L8" s="6" t="str">
        <f>IFERROR(__xludf.DUMMYFUNCTION("GOOGLETRANSLATE(B8,""en"",""ur"")"),"کھیلے جانے والے کھیل کا نام کیا ہے؟")</f>
        <v>کھیلے جانے والے کھیل کا نام کیا ہے؟</v>
      </c>
      <c r="M8" s="6"/>
      <c r="N8" s="8" t="str">
        <f>IFERROR(__xludf.DUMMYFUNCTION("GOOGLETRANSLATE(D8,""en"",""ur"")"),"کرکٹ")</f>
        <v>کرکٹ</v>
      </c>
      <c r="O8" s="6" t="str">
        <f>IFERROR(__xludf.DUMMYFUNCTION("GOOGLETRANSLATE(E8,""en"",""ur"")"),"گلی ڈنڈا۔")</f>
        <v>گلی ڈنڈا۔</v>
      </c>
      <c r="P8" s="6" t="str">
        <f>IFERROR(__xludf.DUMMYFUNCTION("GOOGLETRANSLATE(F8,""en"",""ur"")"),"بیس بال")</f>
        <v>بیس بال</v>
      </c>
      <c r="Q8" s="6" t="s">
        <v>654</v>
      </c>
      <c r="R8" s="6" t="str">
        <f>IFERROR(__xludf.DUMMYFUNCTION("GOOGLETRANSLATE(G8,""en"",""ur"")"),"گلی ڈنڈا۔")</f>
        <v>گلی ڈنڈا۔</v>
      </c>
      <c r="S8" s="6" t="s">
        <v>635</v>
      </c>
      <c r="T8" s="6"/>
      <c r="U8" s="6"/>
      <c r="V8" s="6"/>
      <c r="W8" s="6"/>
      <c r="X8" s="6"/>
      <c r="Y8" s="6"/>
      <c r="Z8" s="6"/>
      <c r="AA8" s="6"/>
    </row>
    <row r="9">
      <c r="A9" s="7">
        <v>8.0</v>
      </c>
      <c r="B9" s="6" t="s">
        <v>260</v>
      </c>
      <c r="C9" s="6" t="s">
        <v>261</v>
      </c>
      <c r="D9" s="6" t="s">
        <v>262</v>
      </c>
      <c r="E9" s="6" t="s">
        <v>263</v>
      </c>
      <c r="F9" s="6" t="s">
        <v>655</v>
      </c>
      <c r="G9" s="6" t="s">
        <v>655</v>
      </c>
      <c r="H9" s="6" t="s">
        <v>635</v>
      </c>
      <c r="I9" s="6"/>
      <c r="J9" s="6"/>
      <c r="K9" s="7">
        <v>8.0</v>
      </c>
      <c r="L9" s="6" t="str">
        <f>IFERROR(__xludf.DUMMYFUNCTION("GOOGLETRANSLATE(B9,""en"",""ur"")"),"تصویر میں ایکشن ایک ایسا انداز تجویز کرتا ہے جو اس بات پر زور دیتا ہے...")</f>
        <v>تصویر میں ایکشن ایک ایسا انداز تجویز کرتا ہے جو اس بات پر زور دیتا ہے...</v>
      </c>
      <c r="M9" s="6"/>
      <c r="N9" s="8" t="str">
        <f>IFERROR(__xludf.DUMMYFUNCTION("GOOGLETRANSLATE(D9,""en"",""ur"")"),"زمینی لڑائی اور گرفت")</f>
        <v>زمینی لڑائی اور گرفت</v>
      </c>
      <c r="O9" s="6" t="str">
        <f>IFERROR(__xludf.DUMMYFUNCTION("GOOGLETRANSLATE(E9,""en"",""ur"")"),"وحشیانہ قوت اور گھڑ سواری۔")</f>
        <v>وحشیانہ قوت اور گھڑ سواری۔</v>
      </c>
      <c r="P9" s="6" t="str">
        <f>IFERROR(__xludf.DUMMYFUNCTION("GOOGLETRANSLATE(F9,""en"",""ur"")"),"ہاتھ سے آنکھ کو آرڈینیشن اور حیرت انگیز")</f>
        <v>ہاتھ سے آنکھ کو آرڈینیشن اور حیرت انگیز</v>
      </c>
      <c r="Q9" s="6" t="s">
        <v>656</v>
      </c>
      <c r="R9" s="6" t="str">
        <f>IFERROR(__xludf.DUMMYFUNCTION("GOOGLETRANSLATE(G9,""en"",""ur"")"),"ہاتھ سے آنکھ کو آرڈینیشن اور حیرت انگیز")</f>
        <v>ہاتھ سے آنکھ کو آرڈینیشن اور حیرت انگیز</v>
      </c>
      <c r="S9" s="6" t="s">
        <v>635</v>
      </c>
      <c r="T9" s="6"/>
      <c r="U9" s="6"/>
      <c r="V9" s="6"/>
      <c r="W9" s="6"/>
      <c r="X9" s="6"/>
      <c r="Y9" s="6"/>
      <c r="Z9" s="6"/>
      <c r="AA9" s="6"/>
    </row>
    <row r="10">
      <c r="A10" s="7">
        <v>9.0</v>
      </c>
      <c r="B10" s="6" t="s">
        <v>657</v>
      </c>
      <c r="C10" s="6" t="s">
        <v>658</v>
      </c>
      <c r="D10" s="6" t="s">
        <v>659</v>
      </c>
      <c r="E10" s="6" t="s">
        <v>660</v>
      </c>
      <c r="F10" s="6" t="s">
        <v>661</v>
      </c>
      <c r="G10" s="6" t="s">
        <v>660</v>
      </c>
      <c r="H10" s="6" t="s">
        <v>635</v>
      </c>
      <c r="I10" s="6"/>
      <c r="J10" s="6"/>
      <c r="K10" s="7">
        <v>9.0</v>
      </c>
      <c r="L10" s="6" t="str">
        <f>IFERROR(__xludf.DUMMYFUNCTION("GOOGLETRANSLATE(B10,""en"",""ur"")"),"کھلاڑیوں کے جوتے کے بارے میں ایک قابل ذکر تفصیل کیا ہے؟")</f>
        <v>کھلاڑیوں کے جوتے کے بارے میں ایک قابل ذکر تفصیل کیا ہے؟</v>
      </c>
      <c r="M10" s="6"/>
      <c r="N10" s="8" t="str">
        <f>IFERROR(__xludf.DUMMYFUNCTION("GOOGLETRANSLATE(D10,""en"",""ur"")"),"وہ ننگے پاؤں ہیں۔")</f>
        <v>وہ ننگے پاؤں ہیں۔</v>
      </c>
      <c r="O10" s="6" t="str">
        <f>IFERROR(__xludf.DUMMYFUNCTION("GOOGLETRANSLATE(E10,""en"",""ur"")"),"وہ سینڈل یا فلپ فلاپ پہنے ہوئے ہیں۔")</f>
        <v>وہ سینڈل یا فلپ فلاپ پہنے ہوئے ہیں۔</v>
      </c>
      <c r="P10" s="6" t="str">
        <f>IFERROR(__xludf.DUMMYFUNCTION("GOOGLETRANSLATE(F10,""en"",""ur"")"),"وہ موزے پہنے ہوئے ہیں۔")</f>
        <v>وہ موزے پہنے ہوئے ہیں۔</v>
      </c>
      <c r="Q10" s="6" t="s">
        <v>662</v>
      </c>
      <c r="R10" s="6" t="str">
        <f>IFERROR(__xludf.DUMMYFUNCTION("GOOGLETRANSLATE(G10,""en"",""ur"")"),"وہ سینڈل یا فلپ فلاپ پہنے ہوئے ہیں۔")</f>
        <v>وہ سینڈل یا فلپ فلاپ پہنے ہوئے ہیں۔</v>
      </c>
      <c r="S10" s="6" t="s">
        <v>635</v>
      </c>
      <c r="T10" s="6"/>
      <c r="U10" s="6"/>
      <c r="V10" s="6"/>
      <c r="W10" s="6"/>
      <c r="X10" s="6"/>
      <c r="Y10" s="6"/>
      <c r="Z10" s="6"/>
      <c r="AA10" s="6"/>
    </row>
    <row r="11">
      <c r="A11" s="7">
        <v>10.0</v>
      </c>
      <c r="B11" s="6" t="s">
        <v>663</v>
      </c>
      <c r="C11" s="6" t="s">
        <v>664</v>
      </c>
      <c r="D11" s="6" t="s">
        <v>665</v>
      </c>
      <c r="E11" s="6" t="s">
        <v>666</v>
      </c>
      <c r="F11" s="6" t="s">
        <v>667</v>
      </c>
      <c r="G11" s="6" t="s">
        <v>666</v>
      </c>
      <c r="H11" s="6" t="s">
        <v>635</v>
      </c>
      <c r="I11" s="6"/>
      <c r="J11" s="6"/>
      <c r="K11" s="7">
        <v>10.0</v>
      </c>
      <c r="L11" s="6" t="str">
        <f>IFERROR(__xludf.DUMMYFUNCTION("GOOGLETRANSLATE(B11,""en"",""ur"")"),"پس منظر میں دیگر کھلاڑیوں کے بارے میں ایک قابل ذکر تفصیل کیا ہے؟")</f>
        <v>پس منظر میں دیگر کھلاڑیوں کے بارے میں ایک قابل ذکر تفصیل کیا ہے؟</v>
      </c>
      <c r="M11" s="6"/>
      <c r="N11" s="8" t="str">
        <f>IFERROR(__xludf.DUMMYFUNCTION("GOOGLETRANSLATE(D11,""en"",""ur"")"),"وہ سب ادھر ادھر بھاگ رہے ہیں۔")</f>
        <v>وہ سب ادھر ادھر بھاگ رہے ہیں۔</v>
      </c>
      <c r="O11" s="6" t="str">
        <f>IFERROR(__xludf.DUMMYFUNCTION("GOOGLETRANSLATE(E11,""en"",""ur"")"),"وہ ایک دفاعی، تیار موقف میں ہیں۔")</f>
        <v>وہ ایک دفاعی، تیار موقف میں ہیں۔</v>
      </c>
      <c r="P11" s="6" t="str">
        <f>IFERROR(__xludf.DUMMYFUNCTION("GOOGLETRANSLATE(F11,""en"",""ur"")"),"وہ سب لہرا رہے ہیں۔")</f>
        <v>وہ سب لہرا رہے ہیں۔</v>
      </c>
      <c r="Q11" s="6" t="s">
        <v>668</v>
      </c>
      <c r="R11" s="6" t="str">
        <f>IFERROR(__xludf.DUMMYFUNCTION("GOOGLETRANSLATE(G11,""en"",""ur"")"),"وہ ایک دفاعی، تیار موقف میں ہیں۔")</f>
        <v>وہ ایک دفاعی، تیار موقف میں ہیں۔</v>
      </c>
      <c r="S11" s="6" t="s">
        <v>635</v>
      </c>
      <c r="T11" s="6"/>
      <c r="U11" s="6"/>
      <c r="V11" s="6"/>
      <c r="W11" s="6"/>
      <c r="X11" s="6"/>
      <c r="Y11" s="6"/>
      <c r="Z11" s="6"/>
      <c r="AA11" s="6"/>
    </row>
    <row r="12">
      <c r="A12" s="7">
        <v>11.0</v>
      </c>
      <c r="B12" s="6" t="s">
        <v>669</v>
      </c>
      <c r="C12" s="6" t="s">
        <v>11</v>
      </c>
      <c r="D12" s="6" t="s">
        <v>632</v>
      </c>
      <c r="E12" s="6" t="s">
        <v>633</v>
      </c>
      <c r="F12" s="6" t="s">
        <v>634</v>
      </c>
      <c r="G12" s="6" t="s">
        <v>632</v>
      </c>
      <c r="H12" s="6" t="s">
        <v>670</v>
      </c>
      <c r="I12" s="6"/>
      <c r="J12" s="6"/>
      <c r="K12" s="7">
        <v>11.0</v>
      </c>
      <c r="L12" s="6" t="str">
        <f>IFERROR(__xludf.DUMMYFUNCTION("GOOGLETRANSLATE(B12,""en"",""ur"")"),"gilli_danda_2 میں دکھایا گیا اہم عمل کیا ہے؟")</f>
        <v>gilli_danda_2 میں دکھایا گیا اہم عمل کیا ہے؟</v>
      </c>
      <c r="M12" s="6"/>
      <c r="N12" s="8" t="str">
        <f>IFERROR(__xludf.DUMMYFUNCTION("GOOGLETRANSLATE(D12,""en"",""ur"")"),"ایک کھلاڑی چھوٹی چھڑی کو بڑی چھڑی سے مار رہا ہے۔")</f>
        <v>ایک کھلاڑی چھوٹی چھڑی کو بڑی چھڑی سے مار رہا ہے۔</v>
      </c>
      <c r="O12" s="6" t="str">
        <f>IFERROR(__xludf.DUMMYFUNCTION("GOOGLETRANSLATE(E12,""en"",""ur"")"),"ایک کھلاڑی گیند کی خدمت کر رہا ہے۔")</f>
        <v>ایک کھلاڑی گیند کی خدمت کر رہا ہے۔</v>
      </c>
      <c r="P12" s="6" t="str">
        <f>IFERROR(__xludf.DUMMYFUNCTION("GOOGLETRANSLATE(F12,""en"",""ur"")"),"ایک کھلاڑی دفاعی بلاک کا مظاہرہ کر رہا ہے۔")</f>
        <v>ایک کھلاڑی دفاعی بلاک کا مظاہرہ کر رہا ہے۔</v>
      </c>
      <c r="Q12" s="6" t="s">
        <v>671</v>
      </c>
      <c r="R12" s="6" t="str">
        <f>IFERROR(__xludf.DUMMYFUNCTION("GOOGLETRANSLATE(G12,""en"",""ur"")"),"ایک کھلاڑی چھوٹی چھڑی کو بڑی چھڑی سے مار رہا ہے۔")</f>
        <v>ایک کھلاڑی چھوٹی چھڑی کو بڑی چھڑی سے مار رہا ہے۔</v>
      </c>
      <c r="S12" s="6" t="s">
        <v>670</v>
      </c>
      <c r="T12" s="6"/>
      <c r="U12" s="6"/>
      <c r="V12" s="6"/>
      <c r="W12" s="6"/>
      <c r="X12" s="6"/>
      <c r="Y12" s="6"/>
      <c r="Z12" s="6"/>
      <c r="AA12" s="6"/>
    </row>
    <row r="13">
      <c r="A13" s="7">
        <v>12.0</v>
      </c>
      <c r="B13" s="6" t="s">
        <v>636</v>
      </c>
      <c r="C13" s="6" t="s">
        <v>637</v>
      </c>
      <c r="D13" s="6" t="s">
        <v>638</v>
      </c>
      <c r="E13" s="6" t="s">
        <v>639</v>
      </c>
      <c r="F13" s="6" t="s">
        <v>640</v>
      </c>
      <c r="G13" s="6" t="s">
        <v>638</v>
      </c>
      <c r="H13" s="6" t="s">
        <v>670</v>
      </c>
      <c r="I13" s="6"/>
      <c r="J13" s="6"/>
      <c r="K13" s="7">
        <v>12.0</v>
      </c>
      <c r="L13" s="6" t="str">
        <f>IFERROR(__xludf.DUMMYFUNCTION("GOOGLETRANSLATE(B13,""en"",""ur"")"),"کھیل میں استعمال ہونے والے آلات کے دو ٹکڑے کیا ہیں؟")</f>
        <v>کھیل میں استعمال ہونے والے آلات کے دو ٹکڑے کیا ہیں؟</v>
      </c>
      <c r="M13" s="6"/>
      <c r="N13" s="8" t="str">
        <f>IFERROR(__xludf.DUMMYFUNCTION("GOOGLETRANSLATE(D13,""en"",""ur"")"),"ایک لمبی چھڑی (ڈنڈا) اور ایک چھوٹی چھڑی (گلی)")</f>
        <v>ایک لمبی چھڑی (ڈنڈا) اور ایک چھوٹی چھڑی (گلی)</v>
      </c>
      <c r="O13" s="6" t="str">
        <f>IFERROR(__xludf.DUMMYFUNCTION("GOOGLETRANSLATE(E13,""en"",""ur"")"),"ایک ریکیٹ اور ایک شٹل کاک")</f>
        <v>ایک ریکیٹ اور ایک شٹل کاک</v>
      </c>
      <c r="P13" s="6" t="str">
        <f>IFERROR(__xludf.DUMMYFUNCTION("GOOGLETRANSLATE(F13,""en"",""ur"")"),"ایک چمگادڑ اور ایک دستانہ")</f>
        <v>ایک چمگادڑ اور ایک دستانہ</v>
      </c>
      <c r="Q13" s="6" t="s">
        <v>641</v>
      </c>
      <c r="R13" s="6" t="str">
        <f>IFERROR(__xludf.DUMMYFUNCTION("GOOGLETRANSLATE(G13,""en"",""ur"")"),"ایک لمبی چھڑی (ڈنڈا) اور ایک چھوٹی چھڑی (گلی)")</f>
        <v>ایک لمبی چھڑی (ڈنڈا) اور ایک چھوٹی چھڑی (گلی)</v>
      </c>
      <c r="S13" s="6" t="s">
        <v>670</v>
      </c>
      <c r="T13" s="6"/>
      <c r="U13" s="6"/>
      <c r="V13" s="6"/>
      <c r="W13" s="6"/>
      <c r="X13" s="6"/>
      <c r="Y13" s="6"/>
      <c r="Z13" s="6"/>
      <c r="AA13" s="6"/>
    </row>
    <row r="14">
      <c r="A14" s="7">
        <v>13.0</v>
      </c>
      <c r="B14" s="6" t="s">
        <v>642</v>
      </c>
      <c r="C14" s="6" t="s">
        <v>307</v>
      </c>
      <c r="D14" s="6" t="s">
        <v>672</v>
      </c>
      <c r="E14" s="6" t="s">
        <v>311</v>
      </c>
      <c r="F14" s="6" t="s">
        <v>314</v>
      </c>
      <c r="G14" s="6" t="s">
        <v>672</v>
      </c>
      <c r="H14" s="6" t="s">
        <v>670</v>
      </c>
      <c r="I14" s="6"/>
      <c r="J14" s="6"/>
      <c r="K14" s="7">
        <v>13.0</v>
      </c>
      <c r="L14" s="6" t="str">
        <f>IFERROR(__xludf.DUMMYFUNCTION("GOOGLETRANSLATE(B14,""en"",""ur"")"),"بائیں طرف کھلاڑی کے بارے میں ایک قابل ذکر تفصیل کیا ہے؟")</f>
        <v>بائیں طرف کھلاڑی کے بارے میں ایک قابل ذکر تفصیل کیا ہے؟</v>
      </c>
      <c r="M14" s="6"/>
      <c r="N14" s="8" t="str">
        <f>IFERROR(__xludf.DUMMYFUNCTION("GOOGLETRANSLATE(D14,""en"",""ur"")"),"وہ ایک پست، جھکائے ہوئے موقف میں ہے، پکڑنے کی تیاری کر رہا ہے۔")</f>
        <v>وہ ایک پست، جھکائے ہوئے موقف میں ہے، پکڑنے کی تیاری کر رہا ہے۔</v>
      </c>
      <c r="O14" s="6" t="str">
        <f>IFERROR(__xludf.DUMMYFUNCTION("GOOGLETRANSLATE(E14,""en"",""ur"")"),"وہ سیدھا کھڑا ہے۔")</f>
        <v>وہ سیدھا کھڑا ہے۔</v>
      </c>
      <c r="P14" s="6" t="str">
        <f>IFERROR(__xludf.DUMMYFUNCTION("GOOGLETRANSLATE(F14,""en"",""ur"")"),"وہ آرام سے بیٹھا ہے۔")</f>
        <v>وہ آرام سے بیٹھا ہے۔</v>
      </c>
      <c r="Q14" s="6" t="s">
        <v>673</v>
      </c>
      <c r="R14" s="6" t="str">
        <f>IFERROR(__xludf.DUMMYFUNCTION("GOOGLETRANSLATE(G14,""en"",""ur"")"),"وہ ایک پست، جھکائے ہوئے موقف میں ہے، پکڑنے کی تیاری کر رہا ہے۔")</f>
        <v>وہ ایک پست، جھکائے ہوئے موقف میں ہے، پکڑنے کی تیاری کر رہا ہے۔</v>
      </c>
      <c r="S14" s="6" t="s">
        <v>670</v>
      </c>
      <c r="T14" s="6"/>
      <c r="U14" s="6"/>
      <c r="V14" s="6"/>
      <c r="W14" s="6"/>
      <c r="X14" s="6"/>
      <c r="Y14" s="6"/>
      <c r="Z14" s="6"/>
      <c r="AA14" s="6"/>
    </row>
    <row r="15">
      <c r="A15" s="7">
        <v>14.0</v>
      </c>
      <c r="B15" s="6" t="s">
        <v>645</v>
      </c>
      <c r="C15" s="6" t="s">
        <v>422</v>
      </c>
      <c r="D15" s="6" t="s">
        <v>646</v>
      </c>
      <c r="E15" s="6" t="s">
        <v>674</v>
      </c>
      <c r="F15" s="6" t="s">
        <v>425</v>
      </c>
      <c r="G15" s="6" t="s">
        <v>674</v>
      </c>
      <c r="H15" s="6" t="s">
        <v>670</v>
      </c>
      <c r="I15" s="6"/>
      <c r="J15" s="6"/>
      <c r="K15" s="7">
        <v>14.0</v>
      </c>
      <c r="L15" s="6" t="str">
        <f>IFERROR(__xludf.DUMMYFUNCTION("GOOGLETRANSLATE(B15,""en"",""ur"")"),"کھیل کی ظاہری ترتیب کیا ہے؟")</f>
        <v>کھیل کی ظاہری ترتیب کیا ہے؟</v>
      </c>
      <c r="M15" s="6"/>
      <c r="N15" s="8" t="str">
        <f>IFERROR(__xludf.DUMMYFUNCTION("GOOGLETRANSLATE(D15,""en"",""ur"")"),"شہر کی ایک گلی")</f>
        <v>شہر کی ایک گلی</v>
      </c>
      <c r="O15" s="6" t="str">
        <f>IFERROR(__xludf.DUMMYFUNCTION("GOOGLETRANSLATE(E15,""en"",""ur"")"),"دھول کے ایک بڑے بادل کے ساتھ بیرونی گندگی کا میدان")</f>
        <v>دھول کے ایک بڑے بادل کے ساتھ بیرونی گندگی کا میدان</v>
      </c>
      <c r="P15" s="6" t="str">
        <f>IFERROR(__xludf.DUMMYFUNCTION("GOOGLETRANSLATE(F15,""en"",""ur"")"),"گھاس کا میدان")</f>
        <v>گھاس کا میدان</v>
      </c>
      <c r="Q15" s="6" t="s">
        <v>675</v>
      </c>
      <c r="R15" s="6" t="str">
        <f>IFERROR(__xludf.DUMMYFUNCTION("GOOGLETRANSLATE(G15,""en"",""ur"")"),"دھول کے ایک بڑے بادل کے ساتھ بیرونی گندگی کا میدان")</f>
        <v>دھول کے ایک بڑے بادل کے ساتھ بیرونی گندگی کا میدان</v>
      </c>
      <c r="S15" s="6" t="s">
        <v>670</v>
      </c>
      <c r="T15" s="6"/>
      <c r="U15" s="6"/>
      <c r="V15" s="6"/>
      <c r="W15" s="6"/>
      <c r="X15" s="6"/>
      <c r="Y15" s="6"/>
      <c r="Z15" s="6"/>
      <c r="AA15" s="6"/>
    </row>
    <row r="16">
      <c r="A16" s="7">
        <v>15.0</v>
      </c>
      <c r="B16" s="6" t="s">
        <v>46</v>
      </c>
      <c r="C16" s="6" t="s">
        <v>47</v>
      </c>
      <c r="D16" s="6" t="s">
        <v>48</v>
      </c>
      <c r="E16" s="6" t="s">
        <v>49</v>
      </c>
      <c r="F16" s="6" t="s">
        <v>50</v>
      </c>
      <c r="G16" s="6" t="s">
        <v>49</v>
      </c>
      <c r="H16" s="6" t="s">
        <v>670</v>
      </c>
      <c r="I16" s="6"/>
      <c r="J16" s="6"/>
      <c r="K16" s="7">
        <v>15.0</v>
      </c>
      <c r="L16" s="6" t="str">
        <f>IFERROR(__xludf.DUMMYFUNCTION("GOOGLETRANSLATE(B16,""en"",""ur"")"),"کھلاڑیوں کے چہروں سے ظاہری جذبات کیا ہیں؟")</f>
        <v>کھلاڑیوں کے چہروں سے ظاہری جذبات کیا ہیں؟</v>
      </c>
      <c r="M16" s="6"/>
      <c r="N16" s="8" t="str">
        <f>IFERROR(__xludf.DUMMYFUNCTION("GOOGLETRANSLATE(D16,""en"",""ur"")"),"خوف زدہ اور بے چین")</f>
        <v>خوف زدہ اور بے چین</v>
      </c>
      <c r="O16" s="6" t="str">
        <f>IFERROR(__xludf.DUMMYFUNCTION("GOOGLETRANSLATE(E16,""en"",""ur"")"),"کشیدہ اور شدید")</f>
        <v>کشیدہ اور شدید</v>
      </c>
      <c r="P16" s="6" t="str">
        <f>IFERROR(__xludf.DUMMYFUNCTION("GOOGLETRANSLATE(F16,""en"",""ur"")"),"خوش اور مسکراتے ہوئے۔")</f>
        <v>خوش اور مسکراتے ہوئے۔</v>
      </c>
      <c r="Q16" s="6" t="s">
        <v>649</v>
      </c>
      <c r="R16" s="6" t="str">
        <f>IFERROR(__xludf.DUMMYFUNCTION("GOOGLETRANSLATE(G16,""en"",""ur"")"),"کشیدہ اور شدید")</f>
        <v>کشیدہ اور شدید</v>
      </c>
      <c r="S16" s="6" t="s">
        <v>670</v>
      </c>
      <c r="T16" s="6"/>
      <c r="U16" s="6"/>
      <c r="V16" s="6"/>
      <c r="W16" s="6"/>
      <c r="X16" s="6"/>
      <c r="Y16" s="6"/>
      <c r="Z16" s="6"/>
      <c r="AA16" s="6"/>
    </row>
    <row r="17">
      <c r="A17" s="7">
        <v>16.0</v>
      </c>
      <c r="B17" s="6" t="s">
        <v>88</v>
      </c>
      <c r="C17" s="6" t="s">
        <v>89</v>
      </c>
      <c r="D17" s="6" t="s">
        <v>90</v>
      </c>
      <c r="E17" s="6" t="s">
        <v>91</v>
      </c>
      <c r="F17" s="6" t="s">
        <v>368</v>
      </c>
      <c r="G17" s="6" t="s">
        <v>368</v>
      </c>
      <c r="H17" s="6" t="s">
        <v>670</v>
      </c>
      <c r="I17" s="6"/>
      <c r="J17" s="6"/>
      <c r="K17" s="7">
        <v>16.0</v>
      </c>
      <c r="L17" s="6" t="str">
        <f>IFERROR(__xludf.DUMMYFUNCTION("GOOGLETRANSLATE(B17,""en"",""ur"")"),"زمین کی سب سے نمایاں خصوصیت کیا ہے؟")</f>
        <v>زمین کی سب سے نمایاں خصوصیت کیا ہے؟</v>
      </c>
      <c r="M17" s="6"/>
      <c r="N17" s="8" t="str">
        <f>IFERROR(__xludf.DUMMYFUNCTION("GOOGLETRANSLATE(D17,""en"",""ur"")"),"کیچڑ والا میدان")</f>
        <v>کیچڑ والا میدان</v>
      </c>
      <c r="O17" s="6" t="str">
        <f>IFERROR(__xludf.DUMMYFUNCTION("GOOGLETRANSLATE(E17,""en"",""ur"")"),"ایک گھاس دار سطح")</f>
        <v>ایک گھاس دار سطح</v>
      </c>
      <c r="P17" s="6" t="str">
        <f>IFERROR(__xludf.DUMMYFUNCTION("GOOGLETRANSLATE(F17,""en"",""ur"")"),"دھول اڑنے والی ریتلی یا گندگی کی سطح")</f>
        <v>دھول اڑنے والی ریتلی یا گندگی کی سطح</v>
      </c>
      <c r="Q17" s="6" t="s">
        <v>650</v>
      </c>
      <c r="R17" s="6" t="str">
        <f>IFERROR(__xludf.DUMMYFUNCTION("GOOGLETRANSLATE(G17,""en"",""ur"")"),"دھول اڑنے والی ریتلی یا گندگی کی سطح")</f>
        <v>دھول اڑنے والی ریتلی یا گندگی کی سطح</v>
      </c>
      <c r="S17" s="6" t="s">
        <v>670</v>
      </c>
      <c r="T17" s="6"/>
      <c r="U17" s="6"/>
      <c r="V17" s="6"/>
      <c r="W17" s="6"/>
      <c r="X17" s="6"/>
      <c r="Y17" s="6"/>
      <c r="Z17" s="6"/>
      <c r="AA17" s="6"/>
    </row>
    <row r="18">
      <c r="A18" s="7">
        <v>17.0</v>
      </c>
      <c r="B18" s="6" t="s">
        <v>94</v>
      </c>
      <c r="C18" s="6" t="s">
        <v>95</v>
      </c>
      <c r="D18" s="6" t="s">
        <v>651</v>
      </c>
      <c r="E18" s="6" t="s">
        <v>652</v>
      </c>
      <c r="F18" s="6" t="s">
        <v>653</v>
      </c>
      <c r="G18" s="6" t="s">
        <v>652</v>
      </c>
      <c r="H18" s="6" t="s">
        <v>670</v>
      </c>
      <c r="I18" s="6"/>
      <c r="J18" s="6"/>
      <c r="K18" s="7">
        <v>17.0</v>
      </c>
      <c r="L18" s="6" t="str">
        <f>IFERROR(__xludf.DUMMYFUNCTION("GOOGLETRANSLATE(B18,""en"",""ur"")"),"کھیلے جانے والے کھیل کا نام کیا ہے؟")</f>
        <v>کھیلے جانے والے کھیل کا نام کیا ہے؟</v>
      </c>
      <c r="M18" s="6"/>
      <c r="N18" s="8" t="str">
        <f>IFERROR(__xludf.DUMMYFUNCTION("GOOGLETRANSLATE(D18,""en"",""ur"")"),"کرکٹ")</f>
        <v>کرکٹ</v>
      </c>
      <c r="O18" s="6" t="str">
        <f>IFERROR(__xludf.DUMMYFUNCTION("GOOGLETRANSLATE(E18,""en"",""ur"")"),"گلی ڈنڈا۔")</f>
        <v>گلی ڈنڈا۔</v>
      </c>
      <c r="P18" s="6" t="str">
        <f>IFERROR(__xludf.DUMMYFUNCTION("GOOGLETRANSLATE(F18,""en"",""ur"")"),"بیس بال")</f>
        <v>بیس بال</v>
      </c>
      <c r="Q18" s="6" t="s">
        <v>654</v>
      </c>
      <c r="R18" s="6" t="str">
        <f>IFERROR(__xludf.DUMMYFUNCTION("GOOGLETRANSLATE(G18,""en"",""ur"")"),"گلی ڈنڈا۔")</f>
        <v>گلی ڈنڈا۔</v>
      </c>
      <c r="S18" s="6" t="s">
        <v>670</v>
      </c>
      <c r="T18" s="6"/>
      <c r="U18" s="6"/>
      <c r="V18" s="6"/>
      <c r="W18" s="6"/>
      <c r="X18" s="6"/>
      <c r="Y18" s="6"/>
      <c r="Z18" s="6"/>
      <c r="AA18" s="6"/>
    </row>
    <row r="19">
      <c r="A19" s="7">
        <v>18.0</v>
      </c>
      <c r="B19" s="6" t="s">
        <v>260</v>
      </c>
      <c r="C19" s="6" t="s">
        <v>261</v>
      </c>
      <c r="D19" s="6" t="s">
        <v>262</v>
      </c>
      <c r="E19" s="6" t="s">
        <v>263</v>
      </c>
      <c r="F19" s="6" t="s">
        <v>655</v>
      </c>
      <c r="G19" s="6" t="s">
        <v>655</v>
      </c>
      <c r="H19" s="6" t="s">
        <v>670</v>
      </c>
      <c r="I19" s="6"/>
      <c r="J19" s="6"/>
      <c r="K19" s="7">
        <v>18.0</v>
      </c>
      <c r="L19" s="6" t="str">
        <f>IFERROR(__xludf.DUMMYFUNCTION("GOOGLETRANSLATE(B19,""en"",""ur"")"),"تصویر میں ایکشن ایک ایسا انداز تجویز کرتا ہے جو اس بات پر زور دیتا ہے...")</f>
        <v>تصویر میں ایکشن ایک ایسا انداز تجویز کرتا ہے جو اس بات پر زور دیتا ہے...</v>
      </c>
      <c r="M19" s="6"/>
      <c r="N19" s="8" t="str">
        <f>IFERROR(__xludf.DUMMYFUNCTION("GOOGLETRANSLATE(D19,""en"",""ur"")"),"زمینی لڑائی اور گرفت")</f>
        <v>زمینی لڑائی اور گرفت</v>
      </c>
      <c r="O19" s="6" t="str">
        <f>IFERROR(__xludf.DUMMYFUNCTION("GOOGLETRANSLATE(E19,""en"",""ur"")"),"وحشیانہ قوت اور گھڑ سواری۔")</f>
        <v>وحشیانہ قوت اور گھڑ سواری۔</v>
      </c>
      <c r="P19" s="6" t="str">
        <f>IFERROR(__xludf.DUMMYFUNCTION("GOOGLETRANSLATE(F19,""en"",""ur"")"),"ہاتھ سے آنکھ کو آرڈینیشن اور حیرت انگیز")</f>
        <v>ہاتھ سے آنکھ کو آرڈینیشن اور حیرت انگیز</v>
      </c>
      <c r="Q19" s="6" t="s">
        <v>656</v>
      </c>
      <c r="R19" s="6" t="str">
        <f>IFERROR(__xludf.DUMMYFUNCTION("GOOGLETRANSLATE(G19,""en"",""ur"")"),"ہاتھ سے آنکھ کو آرڈینیشن اور حیرت انگیز")</f>
        <v>ہاتھ سے آنکھ کو آرڈینیشن اور حیرت انگیز</v>
      </c>
      <c r="S19" s="6" t="s">
        <v>670</v>
      </c>
      <c r="T19" s="6"/>
      <c r="U19" s="6"/>
      <c r="V19" s="6"/>
      <c r="W19" s="6"/>
      <c r="X19" s="6"/>
      <c r="Y19" s="6"/>
      <c r="Z19" s="6"/>
      <c r="AA19" s="6"/>
    </row>
    <row r="20">
      <c r="A20" s="7">
        <v>19.0</v>
      </c>
      <c r="B20" s="6" t="s">
        <v>657</v>
      </c>
      <c r="C20" s="6" t="s">
        <v>658</v>
      </c>
      <c r="D20" s="6" t="s">
        <v>659</v>
      </c>
      <c r="E20" s="6" t="s">
        <v>660</v>
      </c>
      <c r="F20" s="6" t="s">
        <v>661</v>
      </c>
      <c r="G20" s="6" t="s">
        <v>659</v>
      </c>
      <c r="H20" s="6" t="s">
        <v>670</v>
      </c>
      <c r="I20" s="6"/>
      <c r="J20" s="6"/>
      <c r="K20" s="7">
        <v>19.0</v>
      </c>
      <c r="L20" s="6" t="str">
        <f>IFERROR(__xludf.DUMMYFUNCTION("GOOGLETRANSLATE(B20,""en"",""ur"")"),"کھلاڑیوں کے جوتے کے بارے میں ایک قابل ذکر تفصیل کیا ہے؟")</f>
        <v>کھلاڑیوں کے جوتے کے بارے میں ایک قابل ذکر تفصیل کیا ہے؟</v>
      </c>
      <c r="M20" s="6"/>
      <c r="N20" s="8" t="str">
        <f>IFERROR(__xludf.DUMMYFUNCTION("GOOGLETRANSLATE(D20,""en"",""ur"")"),"وہ ننگے پاؤں ہیں۔")</f>
        <v>وہ ننگے پاؤں ہیں۔</v>
      </c>
      <c r="O20" s="6" t="str">
        <f>IFERROR(__xludf.DUMMYFUNCTION("GOOGLETRANSLATE(E20,""en"",""ur"")"),"وہ سینڈل یا فلپ فلاپ پہنے ہوئے ہیں۔")</f>
        <v>وہ سینڈل یا فلپ فلاپ پہنے ہوئے ہیں۔</v>
      </c>
      <c r="P20" s="6" t="str">
        <f>IFERROR(__xludf.DUMMYFUNCTION("GOOGLETRANSLATE(F20,""en"",""ur"")"),"وہ موزے پہنے ہوئے ہیں۔")</f>
        <v>وہ موزے پہنے ہوئے ہیں۔</v>
      </c>
      <c r="Q20" s="6" t="s">
        <v>662</v>
      </c>
      <c r="R20" s="6" t="str">
        <f>IFERROR(__xludf.DUMMYFUNCTION("GOOGLETRANSLATE(G20,""en"",""ur"")"),"وہ ننگے پاؤں ہیں۔")</f>
        <v>وہ ننگے پاؤں ہیں۔</v>
      </c>
      <c r="S20" s="6" t="s">
        <v>670</v>
      </c>
      <c r="T20" s="6"/>
      <c r="U20" s="6"/>
      <c r="V20" s="6"/>
      <c r="W20" s="6"/>
      <c r="X20" s="6"/>
      <c r="Y20" s="6"/>
      <c r="Z20" s="6"/>
      <c r="AA20" s="6"/>
    </row>
    <row r="21">
      <c r="A21" s="7">
        <v>20.0</v>
      </c>
      <c r="B21" s="6" t="s">
        <v>663</v>
      </c>
      <c r="C21" s="6" t="s">
        <v>664</v>
      </c>
      <c r="D21" s="6" t="s">
        <v>665</v>
      </c>
      <c r="E21" s="6" t="s">
        <v>666</v>
      </c>
      <c r="F21" s="6" t="s">
        <v>667</v>
      </c>
      <c r="G21" s="6" t="s">
        <v>666</v>
      </c>
      <c r="H21" s="6" t="s">
        <v>670</v>
      </c>
      <c r="I21" s="6"/>
      <c r="J21" s="6"/>
      <c r="K21" s="7">
        <v>20.0</v>
      </c>
      <c r="L21" s="6" t="str">
        <f>IFERROR(__xludf.DUMMYFUNCTION("GOOGLETRANSLATE(B21,""en"",""ur"")"),"پس منظر میں دیگر کھلاڑیوں کے بارے میں ایک قابل ذکر تفصیل کیا ہے؟")</f>
        <v>پس منظر میں دیگر کھلاڑیوں کے بارے میں ایک قابل ذکر تفصیل کیا ہے؟</v>
      </c>
      <c r="M21" s="6"/>
      <c r="N21" s="8" t="str">
        <f>IFERROR(__xludf.DUMMYFUNCTION("GOOGLETRANSLATE(D21,""en"",""ur"")"),"وہ سب ادھر ادھر بھاگ رہے ہیں۔")</f>
        <v>وہ سب ادھر ادھر بھاگ رہے ہیں۔</v>
      </c>
      <c r="O21" s="6" t="str">
        <f>IFERROR(__xludf.DUMMYFUNCTION("GOOGLETRANSLATE(E21,""en"",""ur"")"),"وہ ایک دفاعی، تیار موقف میں ہیں۔")</f>
        <v>وہ ایک دفاعی، تیار موقف میں ہیں۔</v>
      </c>
      <c r="P21" s="6" t="str">
        <f>IFERROR(__xludf.DUMMYFUNCTION("GOOGLETRANSLATE(F21,""en"",""ur"")"),"وہ سب لہرا رہے ہیں۔")</f>
        <v>وہ سب لہرا رہے ہیں۔</v>
      </c>
      <c r="Q21" s="6" t="s">
        <v>668</v>
      </c>
      <c r="R21" s="6" t="str">
        <f>IFERROR(__xludf.DUMMYFUNCTION("GOOGLETRANSLATE(G21,""en"",""ur"")"),"وہ ایک دفاعی، تیار موقف میں ہیں۔")</f>
        <v>وہ ایک دفاعی، تیار موقف میں ہیں۔</v>
      </c>
      <c r="S21" s="6" t="s">
        <v>670</v>
      </c>
      <c r="T21" s="6"/>
      <c r="U21" s="6"/>
      <c r="V21" s="6"/>
      <c r="W21" s="6"/>
      <c r="X21" s="6"/>
      <c r="Y21" s="6"/>
      <c r="Z21" s="6"/>
      <c r="AA21" s="6"/>
    </row>
    <row r="22">
      <c r="A22" s="7">
        <v>21.0</v>
      </c>
      <c r="B22" s="6" t="s">
        <v>676</v>
      </c>
      <c r="C22" s="6" t="s">
        <v>11</v>
      </c>
      <c r="D22" s="6" t="s">
        <v>632</v>
      </c>
      <c r="E22" s="6" t="s">
        <v>633</v>
      </c>
      <c r="F22" s="6" t="s">
        <v>634</v>
      </c>
      <c r="G22" s="6" t="s">
        <v>632</v>
      </c>
      <c r="H22" s="6" t="s">
        <v>677</v>
      </c>
      <c r="I22" s="6"/>
      <c r="J22" s="6"/>
      <c r="K22" s="7">
        <v>21.0</v>
      </c>
      <c r="L22" s="6" t="str">
        <f>IFERROR(__xludf.DUMMYFUNCTION("GOOGLETRANSLATE(B22,""en"",""ur"")"),"gilli_danda_3 میں دکھایا گیا اہم عمل کیا ہے؟")</f>
        <v>gilli_danda_3 میں دکھایا گیا اہم عمل کیا ہے؟</v>
      </c>
      <c r="M22" s="6"/>
      <c r="N22" s="8" t="str">
        <f>IFERROR(__xludf.DUMMYFUNCTION("GOOGLETRANSLATE(D22,""en"",""ur"")"),"ایک کھلاڑی چھوٹی چھڑی کو بڑی چھڑی سے مار رہا ہے۔")</f>
        <v>ایک کھلاڑی چھوٹی چھڑی کو بڑی چھڑی سے مار رہا ہے۔</v>
      </c>
      <c r="O22" s="6" t="str">
        <f>IFERROR(__xludf.DUMMYFUNCTION("GOOGLETRANSLATE(E22,""en"",""ur"")"),"ایک کھلاڑی گیند کی خدمت کر رہا ہے۔")</f>
        <v>ایک کھلاڑی گیند کی خدمت کر رہا ہے۔</v>
      </c>
      <c r="P22" s="6" t="str">
        <f>IFERROR(__xludf.DUMMYFUNCTION("GOOGLETRANSLATE(F22,""en"",""ur"")"),"ایک کھلاڑی دفاعی بلاک کا مظاہرہ کر رہا ہے۔")</f>
        <v>ایک کھلاڑی دفاعی بلاک کا مظاہرہ کر رہا ہے۔</v>
      </c>
      <c r="Q22" s="6" t="s">
        <v>671</v>
      </c>
      <c r="R22" s="6" t="str">
        <f>IFERROR(__xludf.DUMMYFUNCTION("GOOGLETRANSLATE(G22,""en"",""ur"")"),"ایک کھلاڑی چھوٹی چھڑی کو بڑی چھڑی سے مار رہا ہے۔")</f>
        <v>ایک کھلاڑی چھوٹی چھڑی کو بڑی چھڑی سے مار رہا ہے۔</v>
      </c>
      <c r="S22" s="6" t="s">
        <v>677</v>
      </c>
      <c r="T22" s="6"/>
      <c r="U22" s="6"/>
      <c r="V22" s="6"/>
      <c r="W22" s="6"/>
      <c r="X22" s="6"/>
      <c r="Y22" s="6"/>
      <c r="Z22" s="6"/>
      <c r="AA22" s="6"/>
    </row>
    <row r="23">
      <c r="A23" s="7">
        <v>22.0</v>
      </c>
      <c r="B23" s="6" t="s">
        <v>636</v>
      </c>
      <c r="C23" s="6" t="s">
        <v>637</v>
      </c>
      <c r="D23" s="6" t="s">
        <v>638</v>
      </c>
      <c r="E23" s="6" t="s">
        <v>639</v>
      </c>
      <c r="F23" s="6" t="s">
        <v>640</v>
      </c>
      <c r="G23" s="6" t="s">
        <v>638</v>
      </c>
      <c r="H23" s="6" t="s">
        <v>677</v>
      </c>
      <c r="I23" s="6"/>
      <c r="J23" s="6"/>
      <c r="K23" s="7">
        <v>22.0</v>
      </c>
      <c r="L23" s="6" t="str">
        <f>IFERROR(__xludf.DUMMYFUNCTION("GOOGLETRANSLATE(B23,""en"",""ur"")"),"کھیل میں استعمال ہونے والے آلات کے دو ٹکڑے کیا ہیں؟")</f>
        <v>کھیل میں استعمال ہونے والے آلات کے دو ٹکڑے کیا ہیں؟</v>
      </c>
      <c r="M23" s="6"/>
      <c r="N23" s="8" t="str">
        <f>IFERROR(__xludf.DUMMYFUNCTION("GOOGLETRANSLATE(D23,""en"",""ur"")"),"ایک لمبی چھڑی (ڈنڈا) اور ایک چھوٹی چھڑی (گلی)")</f>
        <v>ایک لمبی چھڑی (ڈنڈا) اور ایک چھوٹی چھڑی (گلی)</v>
      </c>
      <c r="O23" s="6" t="str">
        <f>IFERROR(__xludf.DUMMYFUNCTION("GOOGLETRANSLATE(E23,""en"",""ur"")"),"ایک ریکیٹ اور ایک شٹل کاک")</f>
        <v>ایک ریکیٹ اور ایک شٹل کاک</v>
      </c>
      <c r="P23" s="6" t="str">
        <f>IFERROR(__xludf.DUMMYFUNCTION("GOOGLETRANSLATE(F23,""en"",""ur"")"),"ایک چمگادڑ اور ایک دستانہ")</f>
        <v>ایک چمگادڑ اور ایک دستانہ</v>
      </c>
      <c r="Q23" s="6" t="s">
        <v>641</v>
      </c>
      <c r="R23" s="6" t="str">
        <f>IFERROR(__xludf.DUMMYFUNCTION("GOOGLETRANSLATE(G23,""en"",""ur"")"),"ایک لمبی چھڑی (ڈنڈا) اور ایک چھوٹی چھڑی (گلی)")</f>
        <v>ایک لمبی چھڑی (ڈنڈا) اور ایک چھوٹی چھڑی (گلی)</v>
      </c>
      <c r="S23" s="6" t="s">
        <v>677</v>
      </c>
      <c r="T23" s="6"/>
      <c r="U23" s="6"/>
      <c r="V23" s="6"/>
      <c r="W23" s="6"/>
      <c r="X23" s="6"/>
      <c r="Y23" s="6"/>
      <c r="Z23" s="6"/>
      <c r="AA23" s="6"/>
    </row>
    <row r="24">
      <c r="A24" s="7">
        <v>23.0</v>
      </c>
      <c r="B24" s="6" t="s">
        <v>678</v>
      </c>
      <c r="C24" s="6" t="s">
        <v>307</v>
      </c>
      <c r="D24" s="6" t="s">
        <v>643</v>
      </c>
      <c r="E24" s="6" t="s">
        <v>311</v>
      </c>
      <c r="F24" s="6" t="s">
        <v>314</v>
      </c>
      <c r="G24" s="6" t="s">
        <v>643</v>
      </c>
      <c r="H24" s="6" t="s">
        <v>677</v>
      </c>
      <c r="I24" s="6"/>
      <c r="J24" s="6"/>
      <c r="K24" s="7">
        <v>23.0</v>
      </c>
      <c r="L24" s="6" t="str">
        <f>IFERROR(__xludf.DUMMYFUNCTION("GOOGLETRANSLATE(B24,""en"",""ur"")"),"کھلاڑی کے بارے میں ایک قابل ذکر تفصیل کیا ہے؟")</f>
        <v>کھلاڑی کے بارے میں ایک قابل ذکر تفصیل کیا ہے؟</v>
      </c>
      <c r="M24" s="6"/>
      <c r="N24" s="8" t="str">
        <f>IFERROR(__xludf.DUMMYFUNCTION("GOOGLETRANSLATE(D24,""en"",""ur"")"),"وہ ایک پست، جھکائے ہوئے موقف میں ہے، ہڑتال کرنے کی تیاری کر رہا ہے۔")</f>
        <v>وہ ایک پست، جھکائے ہوئے موقف میں ہے، ہڑتال کرنے کی تیاری کر رہا ہے۔</v>
      </c>
      <c r="O24" s="6" t="str">
        <f>IFERROR(__xludf.DUMMYFUNCTION("GOOGLETRANSLATE(E24,""en"",""ur"")"),"وہ سیدھا کھڑا ہے۔")</f>
        <v>وہ سیدھا کھڑا ہے۔</v>
      </c>
      <c r="P24" s="6" t="str">
        <f>IFERROR(__xludf.DUMMYFUNCTION("GOOGLETRANSLATE(F24,""en"",""ur"")"),"وہ آرام سے بیٹھا ہے۔")</f>
        <v>وہ آرام سے بیٹھا ہے۔</v>
      </c>
      <c r="Q24" s="6" t="s">
        <v>644</v>
      </c>
      <c r="R24" s="6" t="str">
        <f>IFERROR(__xludf.DUMMYFUNCTION("GOOGLETRANSLATE(G24,""en"",""ur"")"),"وہ ایک پست، جھکائے ہوئے موقف میں ہے، ہڑتال کرنے کی تیاری کر رہا ہے۔")</f>
        <v>وہ ایک پست، جھکائے ہوئے موقف میں ہے، ہڑتال کرنے کی تیاری کر رہا ہے۔</v>
      </c>
      <c r="S24" s="6" t="s">
        <v>677</v>
      </c>
      <c r="T24" s="6"/>
      <c r="U24" s="6"/>
      <c r="V24" s="6"/>
      <c r="W24" s="6"/>
      <c r="X24" s="6"/>
      <c r="Y24" s="6"/>
      <c r="Z24" s="6"/>
      <c r="AA24" s="6"/>
    </row>
    <row r="25">
      <c r="A25" s="7">
        <v>24.0</v>
      </c>
      <c r="B25" s="6" t="s">
        <v>645</v>
      </c>
      <c r="C25" s="6" t="s">
        <v>422</v>
      </c>
      <c r="D25" s="6" t="s">
        <v>646</v>
      </c>
      <c r="E25" s="6" t="s">
        <v>647</v>
      </c>
      <c r="F25" s="6" t="s">
        <v>425</v>
      </c>
      <c r="G25" s="6" t="s">
        <v>647</v>
      </c>
      <c r="H25" s="6" t="s">
        <v>677</v>
      </c>
      <c r="I25" s="6"/>
      <c r="J25" s="6"/>
      <c r="K25" s="7">
        <v>24.0</v>
      </c>
      <c r="L25" s="6" t="str">
        <f>IFERROR(__xludf.DUMMYFUNCTION("GOOGLETRANSLATE(B25,""en"",""ur"")"),"کھیل کی ظاہری ترتیب کیا ہے؟")</f>
        <v>کھیل کی ظاہری ترتیب کیا ہے؟</v>
      </c>
      <c r="M25" s="6"/>
      <c r="N25" s="8" t="str">
        <f>IFERROR(__xludf.DUMMYFUNCTION("GOOGLETRANSLATE(D25,""en"",""ur"")"),"شہر کی ایک گلی")</f>
        <v>شہر کی ایک گلی</v>
      </c>
      <c r="O25" s="6" t="str">
        <f>IFERROR(__xludf.DUMMYFUNCTION("GOOGLETRANSLATE(E25,""en"",""ur"")"),"ایک بیرونی گندگی کا میدان")</f>
        <v>ایک بیرونی گندگی کا میدان</v>
      </c>
      <c r="P25" s="6" t="str">
        <f>IFERROR(__xludf.DUMMYFUNCTION("GOOGLETRANSLATE(F25,""en"",""ur"")"),"گھاس کا میدان")</f>
        <v>گھاس کا میدان</v>
      </c>
      <c r="Q25" s="6" t="s">
        <v>648</v>
      </c>
      <c r="R25" s="6" t="str">
        <f>IFERROR(__xludf.DUMMYFUNCTION("GOOGLETRANSLATE(G25,""en"",""ur"")"),"ایک بیرونی گندگی کا میدان")</f>
        <v>ایک بیرونی گندگی کا میدان</v>
      </c>
      <c r="S25" s="6" t="s">
        <v>677</v>
      </c>
      <c r="T25" s="6"/>
      <c r="U25" s="6"/>
      <c r="V25" s="6"/>
      <c r="W25" s="6"/>
      <c r="X25" s="6"/>
      <c r="Y25" s="6"/>
      <c r="Z25" s="6"/>
      <c r="AA25" s="6"/>
    </row>
    <row r="26">
      <c r="A26" s="7">
        <v>25.0</v>
      </c>
      <c r="B26" s="6" t="s">
        <v>679</v>
      </c>
      <c r="C26" s="6" t="s">
        <v>47</v>
      </c>
      <c r="D26" s="6" t="s">
        <v>48</v>
      </c>
      <c r="E26" s="6" t="s">
        <v>49</v>
      </c>
      <c r="F26" s="6" t="s">
        <v>50</v>
      </c>
      <c r="G26" s="6" t="s">
        <v>49</v>
      </c>
      <c r="H26" s="6" t="s">
        <v>677</v>
      </c>
      <c r="I26" s="6"/>
      <c r="J26" s="6"/>
      <c r="K26" s="7">
        <v>25.0</v>
      </c>
      <c r="L26" s="6" t="str">
        <f>IFERROR(__xludf.DUMMYFUNCTION("GOOGLETRANSLATE(B26,""en"",""ur"")"),"کھلاڑی کے چہرے سے ظاہری جذبات کیا ہیں؟")</f>
        <v>کھلاڑی کے چہرے سے ظاہری جذبات کیا ہیں؟</v>
      </c>
      <c r="M26" s="6"/>
      <c r="N26" s="8" t="str">
        <f>IFERROR(__xludf.DUMMYFUNCTION("GOOGLETRANSLATE(D26,""en"",""ur"")"),"خوف زدہ اور بے چین")</f>
        <v>خوف زدہ اور بے چین</v>
      </c>
      <c r="O26" s="6" t="str">
        <f>IFERROR(__xludf.DUMMYFUNCTION("GOOGLETRANSLATE(E26,""en"",""ur"")"),"کشیدہ اور شدید")</f>
        <v>کشیدہ اور شدید</v>
      </c>
      <c r="P26" s="6" t="str">
        <f>IFERROR(__xludf.DUMMYFUNCTION("GOOGLETRANSLATE(F26,""en"",""ur"")"),"خوش اور مسکراتے ہوئے۔")</f>
        <v>خوش اور مسکراتے ہوئے۔</v>
      </c>
      <c r="Q26" s="6" t="s">
        <v>649</v>
      </c>
      <c r="R26" s="6" t="str">
        <f>IFERROR(__xludf.DUMMYFUNCTION("GOOGLETRANSLATE(G26,""en"",""ur"")"),"کشیدہ اور شدید")</f>
        <v>کشیدہ اور شدید</v>
      </c>
      <c r="S26" s="6" t="s">
        <v>677</v>
      </c>
      <c r="T26" s="6"/>
      <c r="U26" s="6"/>
      <c r="V26" s="6"/>
      <c r="W26" s="6"/>
      <c r="X26" s="6"/>
      <c r="Y26" s="6"/>
      <c r="Z26" s="6"/>
      <c r="AA26" s="6"/>
    </row>
    <row r="27">
      <c r="A27" s="7">
        <v>26.0</v>
      </c>
      <c r="B27" s="6" t="s">
        <v>88</v>
      </c>
      <c r="C27" s="6" t="s">
        <v>89</v>
      </c>
      <c r="D27" s="6" t="s">
        <v>90</v>
      </c>
      <c r="E27" s="6" t="s">
        <v>91</v>
      </c>
      <c r="F27" s="6" t="s">
        <v>368</v>
      </c>
      <c r="G27" s="6" t="s">
        <v>368</v>
      </c>
      <c r="H27" s="6" t="s">
        <v>677</v>
      </c>
      <c r="I27" s="6"/>
      <c r="J27" s="6"/>
      <c r="K27" s="7">
        <v>26.0</v>
      </c>
      <c r="L27" s="6" t="str">
        <f>IFERROR(__xludf.DUMMYFUNCTION("GOOGLETRANSLATE(B27,""en"",""ur"")"),"زمین کی سب سے نمایاں خصوصیت کیا ہے؟")</f>
        <v>زمین کی سب سے نمایاں خصوصیت کیا ہے؟</v>
      </c>
      <c r="M27" s="6"/>
      <c r="N27" s="8" t="str">
        <f>IFERROR(__xludf.DUMMYFUNCTION("GOOGLETRANSLATE(D27,""en"",""ur"")"),"کیچڑ والا میدان")</f>
        <v>کیچڑ والا میدان</v>
      </c>
      <c r="O27" s="6" t="str">
        <f>IFERROR(__xludf.DUMMYFUNCTION("GOOGLETRANSLATE(E27,""en"",""ur"")"),"ایک گھاس دار سطح")</f>
        <v>ایک گھاس دار سطح</v>
      </c>
      <c r="P27" s="6" t="str">
        <f>IFERROR(__xludf.DUMMYFUNCTION("GOOGLETRANSLATE(F27,""en"",""ur"")"),"دھول اڑنے والی ریتلی یا گندگی کی سطح")</f>
        <v>دھول اڑنے والی ریتلی یا گندگی کی سطح</v>
      </c>
      <c r="Q27" s="6" t="s">
        <v>650</v>
      </c>
      <c r="R27" s="6" t="str">
        <f>IFERROR(__xludf.DUMMYFUNCTION("GOOGLETRANSLATE(G27,""en"",""ur"")"),"دھول اڑنے والی ریتلی یا گندگی کی سطح")</f>
        <v>دھول اڑنے والی ریتلی یا گندگی کی سطح</v>
      </c>
      <c r="S27" s="6" t="s">
        <v>677</v>
      </c>
      <c r="T27" s="6"/>
      <c r="U27" s="6"/>
      <c r="V27" s="6"/>
      <c r="W27" s="6"/>
      <c r="X27" s="6"/>
      <c r="Y27" s="6"/>
      <c r="Z27" s="6"/>
      <c r="AA27" s="6"/>
    </row>
    <row r="28">
      <c r="A28" s="7">
        <v>27.0</v>
      </c>
      <c r="B28" s="6" t="s">
        <v>94</v>
      </c>
      <c r="C28" s="6" t="s">
        <v>95</v>
      </c>
      <c r="D28" s="6" t="s">
        <v>651</v>
      </c>
      <c r="E28" s="6" t="s">
        <v>652</v>
      </c>
      <c r="F28" s="6" t="s">
        <v>653</v>
      </c>
      <c r="G28" s="6" t="s">
        <v>652</v>
      </c>
      <c r="H28" s="6" t="s">
        <v>677</v>
      </c>
      <c r="I28" s="6"/>
      <c r="J28" s="6"/>
      <c r="K28" s="7">
        <v>27.0</v>
      </c>
      <c r="L28" s="6" t="str">
        <f>IFERROR(__xludf.DUMMYFUNCTION("GOOGLETRANSLATE(B28,""en"",""ur"")"),"کھیلے جانے والے کھیل کا نام کیا ہے؟")</f>
        <v>کھیلے جانے والے کھیل کا نام کیا ہے؟</v>
      </c>
      <c r="M28" s="6"/>
      <c r="N28" s="8" t="str">
        <f>IFERROR(__xludf.DUMMYFUNCTION("GOOGLETRANSLATE(D28,""en"",""ur"")"),"کرکٹ")</f>
        <v>کرکٹ</v>
      </c>
      <c r="O28" s="6" t="str">
        <f>IFERROR(__xludf.DUMMYFUNCTION("GOOGLETRANSLATE(E28,""en"",""ur"")"),"گلی ڈنڈا۔")</f>
        <v>گلی ڈنڈا۔</v>
      </c>
      <c r="P28" s="6" t="str">
        <f>IFERROR(__xludf.DUMMYFUNCTION("GOOGLETRANSLATE(F28,""en"",""ur"")"),"بیس بال")</f>
        <v>بیس بال</v>
      </c>
      <c r="Q28" s="6" t="s">
        <v>654</v>
      </c>
      <c r="R28" s="6" t="str">
        <f>IFERROR(__xludf.DUMMYFUNCTION("GOOGLETRANSLATE(G28,""en"",""ur"")"),"گلی ڈنڈا۔")</f>
        <v>گلی ڈنڈا۔</v>
      </c>
      <c r="S28" s="6" t="s">
        <v>677</v>
      </c>
      <c r="T28" s="6"/>
      <c r="U28" s="6"/>
      <c r="V28" s="6"/>
      <c r="W28" s="6"/>
      <c r="X28" s="6"/>
      <c r="Y28" s="6"/>
      <c r="Z28" s="6"/>
      <c r="AA28" s="6"/>
    </row>
    <row r="29">
      <c r="A29" s="7">
        <v>28.0</v>
      </c>
      <c r="B29" s="6" t="s">
        <v>260</v>
      </c>
      <c r="C29" s="6" t="s">
        <v>261</v>
      </c>
      <c r="D29" s="6" t="s">
        <v>262</v>
      </c>
      <c r="E29" s="6" t="s">
        <v>263</v>
      </c>
      <c r="F29" s="6" t="s">
        <v>655</v>
      </c>
      <c r="G29" s="6" t="s">
        <v>655</v>
      </c>
      <c r="H29" s="6" t="s">
        <v>677</v>
      </c>
      <c r="I29" s="6"/>
      <c r="J29" s="6"/>
      <c r="K29" s="7">
        <v>28.0</v>
      </c>
      <c r="L29" s="6" t="str">
        <f>IFERROR(__xludf.DUMMYFUNCTION("GOOGLETRANSLATE(B29,""en"",""ur"")"),"تصویر میں ایکشن ایک ایسا انداز تجویز کرتا ہے جو اس بات پر زور دیتا ہے...")</f>
        <v>تصویر میں ایکشن ایک ایسا انداز تجویز کرتا ہے جو اس بات پر زور دیتا ہے...</v>
      </c>
      <c r="M29" s="6"/>
      <c r="N29" s="8" t="str">
        <f>IFERROR(__xludf.DUMMYFUNCTION("GOOGLETRANSLATE(D29,""en"",""ur"")"),"زمینی لڑائی اور گرفت")</f>
        <v>زمینی لڑائی اور گرفت</v>
      </c>
      <c r="O29" s="6" t="str">
        <f>IFERROR(__xludf.DUMMYFUNCTION("GOOGLETRANSLATE(E29,""en"",""ur"")"),"وحشیانہ قوت اور گھڑ سواری۔")</f>
        <v>وحشیانہ قوت اور گھڑ سواری۔</v>
      </c>
      <c r="P29" s="6" t="str">
        <f>IFERROR(__xludf.DUMMYFUNCTION("GOOGLETRANSLATE(F29,""en"",""ur"")"),"ہاتھ سے آنکھ کو آرڈینیشن اور حیرت انگیز")</f>
        <v>ہاتھ سے آنکھ کو آرڈینیشن اور حیرت انگیز</v>
      </c>
      <c r="Q29" s="6" t="s">
        <v>656</v>
      </c>
      <c r="R29" s="6" t="str">
        <f>IFERROR(__xludf.DUMMYFUNCTION("GOOGLETRANSLATE(G29,""en"",""ur"")"),"ہاتھ سے آنکھ کو آرڈینیشن اور حیرت انگیز")</f>
        <v>ہاتھ سے آنکھ کو آرڈینیشن اور حیرت انگیز</v>
      </c>
      <c r="S29" s="6" t="s">
        <v>677</v>
      </c>
      <c r="T29" s="6"/>
      <c r="U29" s="6"/>
      <c r="V29" s="6"/>
      <c r="W29" s="6"/>
      <c r="X29" s="6"/>
      <c r="Y29" s="6"/>
      <c r="Z29" s="6"/>
      <c r="AA29" s="6"/>
    </row>
    <row r="30">
      <c r="A30" s="7">
        <v>29.0</v>
      </c>
      <c r="B30" s="6" t="s">
        <v>657</v>
      </c>
      <c r="C30" s="6" t="s">
        <v>658</v>
      </c>
      <c r="D30" s="6" t="s">
        <v>659</v>
      </c>
      <c r="E30" s="6" t="s">
        <v>660</v>
      </c>
      <c r="F30" s="6" t="s">
        <v>661</v>
      </c>
      <c r="G30" s="6" t="s">
        <v>658</v>
      </c>
      <c r="H30" s="6" t="s">
        <v>677</v>
      </c>
      <c r="I30" s="6"/>
      <c r="J30" s="6"/>
      <c r="K30" s="7">
        <v>29.0</v>
      </c>
      <c r="L30" s="6" t="str">
        <f>IFERROR(__xludf.DUMMYFUNCTION("GOOGLETRANSLATE(B30,""en"",""ur"")"),"کھلاڑیوں کے جوتے کے بارے میں ایک قابل ذکر تفصیل کیا ہے؟")</f>
        <v>کھلاڑیوں کے جوتے کے بارے میں ایک قابل ذکر تفصیل کیا ہے؟</v>
      </c>
      <c r="M30" s="6"/>
      <c r="N30" s="8" t="str">
        <f>IFERROR(__xludf.DUMMYFUNCTION("GOOGLETRANSLATE(D30,""en"",""ur"")"),"وہ ننگے پاؤں ہیں۔")</f>
        <v>وہ ننگے پاؤں ہیں۔</v>
      </c>
      <c r="O30" s="6" t="str">
        <f>IFERROR(__xludf.DUMMYFUNCTION("GOOGLETRANSLATE(E30,""en"",""ur"")"),"وہ سینڈل یا فلپ فلاپ پہنے ہوئے ہیں۔")</f>
        <v>وہ سینڈل یا فلپ فلاپ پہنے ہوئے ہیں۔</v>
      </c>
      <c r="P30" s="6" t="str">
        <f>IFERROR(__xludf.DUMMYFUNCTION("GOOGLETRANSLATE(F30,""en"",""ur"")"),"وہ موزے پہنے ہوئے ہیں۔")</f>
        <v>وہ موزے پہنے ہوئے ہیں۔</v>
      </c>
      <c r="Q30" s="6" t="s">
        <v>662</v>
      </c>
      <c r="R30" s="6" t="str">
        <f>IFERROR(__xludf.DUMMYFUNCTION("GOOGLETRANSLATE(G30,""en"",""ur"")"),"انہوں نے جوتے پہن رکھے ہیں۔")</f>
        <v>انہوں نے جوتے پہن رکھے ہیں۔</v>
      </c>
      <c r="S30" s="6" t="s">
        <v>677</v>
      </c>
      <c r="T30" s="6"/>
      <c r="U30" s="6"/>
      <c r="V30" s="6"/>
      <c r="W30" s="6"/>
      <c r="X30" s="6"/>
      <c r="Y30" s="6"/>
      <c r="Z30" s="6"/>
      <c r="AA30" s="6"/>
    </row>
    <row r="31">
      <c r="A31" s="7">
        <v>30.0</v>
      </c>
      <c r="B31" s="6" t="s">
        <v>663</v>
      </c>
      <c r="C31" s="6" t="s">
        <v>664</v>
      </c>
      <c r="D31" s="6" t="s">
        <v>665</v>
      </c>
      <c r="E31" s="6" t="s">
        <v>666</v>
      </c>
      <c r="F31" s="6" t="s">
        <v>667</v>
      </c>
      <c r="G31" s="6" t="s">
        <v>666</v>
      </c>
      <c r="H31" s="6" t="s">
        <v>677</v>
      </c>
      <c r="I31" s="6"/>
      <c r="J31" s="6"/>
      <c r="K31" s="7">
        <v>30.0</v>
      </c>
      <c r="L31" s="6" t="str">
        <f>IFERROR(__xludf.DUMMYFUNCTION("GOOGLETRANSLATE(B31,""en"",""ur"")"),"پس منظر میں دیگر کھلاڑیوں کے بارے میں ایک قابل ذکر تفصیل کیا ہے؟")</f>
        <v>پس منظر میں دیگر کھلاڑیوں کے بارے میں ایک قابل ذکر تفصیل کیا ہے؟</v>
      </c>
      <c r="M31" s="6"/>
      <c r="N31" s="8" t="str">
        <f>IFERROR(__xludf.DUMMYFUNCTION("GOOGLETRANSLATE(D31,""en"",""ur"")"),"وہ سب ادھر ادھر بھاگ رہے ہیں۔")</f>
        <v>وہ سب ادھر ادھر بھاگ رہے ہیں۔</v>
      </c>
      <c r="O31" s="6" t="str">
        <f>IFERROR(__xludf.DUMMYFUNCTION("GOOGLETRANSLATE(E31,""en"",""ur"")"),"وہ ایک دفاعی، تیار موقف میں ہیں۔")</f>
        <v>وہ ایک دفاعی، تیار موقف میں ہیں۔</v>
      </c>
      <c r="P31" s="6" t="str">
        <f>IFERROR(__xludf.DUMMYFUNCTION("GOOGLETRANSLATE(F31,""en"",""ur"")"),"وہ سب لہرا رہے ہیں۔")</f>
        <v>وہ سب لہرا رہے ہیں۔</v>
      </c>
      <c r="Q31" s="6" t="s">
        <v>668</v>
      </c>
      <c r="R31" s="6" t="str">
        <f>IFERROR(__xludf.DUMMYFUNCTION("GOOGLETRANSLATE(G31,""en"",""ur"")"),"وہ ایک دفاعی، تیار موقف میں ہیں۔")</f>
        <v>وہ ایک دفاعی، تیار موقف میں ہیں۔</v>
      </c>
      <c r="S31" s="6" t="s">
        <v>677</v>
      </c>
      <c r="T31" s="6"/>
      <c r="U31" s="6"/>
      <c r="V31" s="6"/>
      <c r="W31" s="6"/>
      <c r="X31" s="6"/>
      <c r="Y31" s="6"/>
      <c r="Z31" s="6"/>
      <c r="AA31" s="6"/>
    </row>
    <row r="32">
      <c r="A32" s="7">
        <v>31.0</v>
      </c>
      <c r="B32" s="6" t="s">
        <v>680</v>
      </c>
      <c r="C32" s="6" t="s">
        <v>681</v>
      </c>
      <c r="D32" s="6" t="s">
        <v>682</v>
      </c>
      <c r="E32" s="6" t="s">
        <v>683</v>
      </c>
      <c r="F32" s="6" t="s">
        <v>684</v>
      </c>
      <c r="G32" s="6" t="s">
        <v>683</v>
      </c>
      <c r="H32" s="6" t="s">
        <v>685</v>
      </c>
      <c r="I32" s="6"/>
      <c r="J32" s="6"/>
      <c r="K32" s="7">
        <v>31.0</v>
      </c>
      <c r="L32" s="6" t="str">
        <f>IFERROR(__xludf.DUMMYFUNCTION("GOOGLETRANSLATE(B32,""en"",""ur"")"),"gilli_danda_4 میں دکھایا گیا اہم عمل کیا ہے؟")</f>
        <v>gilli_danda_4 میں دکھایا گیا اہم عمل کیا ہے؟</v>
      </c>
      <c r="M32" s="6"/>
      <c r="N32" s="8" t="str">
        <f>IFERROR(__xludf.DUMMYFUNCTION("GOOGLETRANSLATE(D32,""en"",""ur"")"),"بچوں کا ایک گروپ جو گیند کا کھیل کھیل رہا ہے۔")</f>
        <v>بچوں کا ایک گروپ جو گیند کا کھیل کھیل رہا ہے۔</v>
      </c>
      <c r="O32" s="6" t="str">
        <f>IFERROR(__xludf.DUMMYFUNCTION("GOOGLETRANSLATE(E32,""en"",""ur"")"),"بچوں کا ایک گروپ چھوٹی چھڑی کو بڑی چھڑی سے مار رہا ہے۔")</f>
        <v>بچوں کا ایک گروپ چھوٹی چھڑی کو بڑی چھڑی سے مار رہا ہے۔</v>
      </c>
      <c r="P32" s="6" t="str">
        <f>IFERROR(__xludf.DUMMYFUNCTION("GOOGLETRANSLATE(F32,""en"",""ur"")"),"بچوں کا ایک گروپ چل رہا ہے۔")</f>
        <v>بچوں کا ایک گروپ چل رہا ہے۔</v>
      </c>
      <c r="Q32" s="6" t="s">
        <v>686</v>
      </c>
      <c r="R32" s="6" t="str">
        <f>IFERROR(__xludf.DUMMYFUNCTION("GOOGLETRANSLATE(G32,""en"",""ur"")"),"بچوں کا ایک گروپ چھوٹی چھڑی کو بڑی چھڑی سے مار رہا ہے۔")</f>
        <v>بچوں کا ایک گروپ چھوٹی چھڑی کو بڑی چھڑی سے مار رہا ہے۔</v>
      </c>
      <c r="S32" s="6" t="s">
        <v>685</v>
      </c>
      <c r="T32" s="6"/>
      <c r="U32" s="6"/>
      <c r="V32" s="6"/>
      <c r="W32" s="6"/>
      <c r="X32" s="6"/>
      <c r="Y32" s="6"/>
      <c r="Z32" s="6"/>
      <c r="AA32" s="6"/>
    </row>
    <row r="33">
      <c r="A33" s="7">
        <v>32.0</v>
      </c>
      <c r="B33" s="6" t="s">
        <v>636</v>
      </c>
      <c r="C33" s="6" t="s">
        <v>637</v>
      </c>
      <c r="D33" s="6" t="s">
        <v>638</v>
      </c>
      <c r="E33" s="6" t="s">
        <v>639</v>
      </c>
      <c r="F33" s="6" t="s">
        <v>640</v>
      </c>
      <c r="G33" s="6" t="s">
        <v>638</v>
      </c>
      <c r="H33" s="6" t="s">
        <v>685</v>
      </c>
      <c r="I33" s="6"/>
      <c r="J33" s="6"/>
      <c r="K33" s="7">
        <v>32.0</v>
      </c>
      <c r="L33" s="6" t="str">
        <f>IFERROR(__xludf.DUMMYFUNCTION("GOOGLETRANSLATE(B33,""en"",""ur"")"),"کھیل میں استعمال ہونے والے آلات کے دو ٹکڑے کیا ہیں؟")</f>
        <v>کھیل میں استعمال ہونے والے آلات کے دو ٹکڑے کیا ہیں؟</v>
      </c>
      <c r="M33" s="6"/>
      <c r="N33" s="8" t="str">
        <f>IFERROR(__xludf.DUMMYFUNCTION("GOOGLETRANSLATE(D33,""en"",""ur"")"),"ایک لمبی چھڑی (ڈنڈا) اور ایک چھوٹی چھڑی (گلی)")</f>
        <v>ایک لمبی چھڑی (ڈنڈا) اور ایک چھوٹی چھڑی (گلی)</v>
      </c>
      <c r="O33" s="6" t="str">
        <f>IFERROR(__xludf.DUMMYFUNCTION("GOOGLETRANSLATE(E33,""en"",""ur"")"),"ایک ریکیٹ اور ایک شٹل کاک")</f>
        <v>ایک ریکیٹ اور ایک شٹل کاک</v>
      </c>
      <c r="P33" s="6" t="str">
        <f>IFERROR(__xludf.DUMMYFUNCTION("GOOGLETRANSLATE(F33,""en"",""ur"")"),"ایک چمگادڑ اور ایک دستانہ")</f>
        <v>ایک چمگادڑ اور ایک دستانہ</v>
      </c>
      <c r="Q33" s="6" t="s">
        <v>641</v>
      </c>
      <c r="R33" s="6" t="str">
        <f>IFERROR(__xludf.DUMMYFUNCTION("GOOGLETRANSLATE(G33,""en"",""ur"")"),"ایک لمبی چھڑی (ڈنڈا) اور ایک چھوٹی چھڑی (گلی)")</f>
        <v>ایک لمبی چھڑی (ڈنڈا) اور ایک چھوٹی چھڑی (گلی)</v>
      </c>
      <c r="S33" s="6" t="s">
        <v>685</v>
      </c>
      <c r="T33" s="6"/>
      <c r="U33" s="6"/>
      <c r="V33" s="6"/>
      <c r="W33" s="6"/>
      <c r="X33" s="6"/>
      <c r="Y33" s="6"/>
      <c r="Z33" s="6"/>
      <c r="AA33" s="6"/>
    </row>
    <row r="34">
      <c r="A34" s="7">
        <v>33.0</v>
      </c>
      <c r="B34" s="6" t="s">
        <v>687</v>
      </c>
      <c r="C34" s="6" t="s">
        <v>307</v>
      </c>
      <c r="D34" s="6" t="s">
        <v>643</v>
      </c>
      <c r="E34" s="6" t="s">
        <v>311</v>
      </c>
      <c r="F34" s="6" t="s">
        <v>314</v>
      </c>
      <c r="G34" s="6" t="s">
        <v>643</v>
      </c>
      <c r="H34" s="6" t="s">
        <v>685</v>
      </c>
      <c r="I34" s="6"/>
      <c r="J34" s="6"/>
      <c r="K34" s="7">
        <v>33.0</v>
      </c>
      <c r="L34" s="6" t="str">
        <f>IFERROR(__xludf.DUMMYFUNCTION("GOOGLETRANSLATE(B34,""en"",""ur"")"),"پیش منظر میں کھلاڑی کے بارے میں ایک قابل ذکر تفصیل کیا ہے؟")</f>
        <v>پیش منظر میں کھلاڑی کے بارے میں ایک قابل ذکر تفصیل کیا ہے؟</v>
      </c>
      <c r="M34" s="6"/>
      <c r="N34" s="8" t="str">
        <f>IFERROR(__xludf.DUMMYFUNCTION("GOOGLETRANSLATE(D34,""en"",""ur"")"),"وہ ایک پست، جھکائے ہوئے موقف میں ہے، ہڑتال کرنے کی تیاری کر رہا ہے۔")</f>
        <v>وہ ایک پست، جھکائے ہوئے موقف میں ہے، ہڑتال کرنے کی تیاری کر رہا ہے۔</v>
      </c>
      <c r="O34" s="6" t="str">
        <f>IFERROR(__xludf.DUMMYFUNCTION("GOOGLETRANSLATE(E34,""en"",""ur"")"),"وہ سیدھا کھڑا ہے۔")</f>
        <v>وہ سیدھا کھڑا ہے۔</v>
      </c>
      <c r="P34" s="6" t="str">
        <f>IFERROR(__xludf.DUMMYFUNCTION("GOOGLETRANSLATE(F34,""en"",""ur"")"),"وہ آرام سے بیٹھا ہے۔")</f>
        <v>وہ آرام سے بیٹھا ہے۔</v>
      </c>
      <c r="Q34" s="6" t="s">
        <v>644</v>
      </c>
      <c r="R34" s="6" t="str">
        <f>IFERROR(__xludf.DUMMYFUNCTION("GOOGLETRANSLATE(G34,""en"",""ur"")"),"وہ ایک پست، جھکائے ہوئے موقف میں ہے، ہڑتال کرنے کی تیاری کر رہا ہے۔")</f>
        <v>وہ ایک پست، جھکائے ہوئے موقف میں ہے، ہڑتال کرنے کی تیاری کر رہا ہے۔</v>
      </c>
      <c r="S34" s="6" t="s">
        <v>685</v>
      </c>
      <c r="T34" s="6"/>
      <c r="U34" s="6"/>
      <c r="V34" s="6"/>
      <c r="W34" s="6"/>
      <c r="X34" s="6"/>
      <c r="Y34" s="6"/>
      <c r="Z34" s="6"/>
      <c r="AA34" s="6"/>
    </row>
    <row r="35">
      <c r="A35" s="7">
        <v>34.0</v>
      </c>
      <c r="B35" s="6" t="s">
        <v>645</v>
      </c>
      <c r="C35" s="6" t="s">
        <v>422</v>
      </c>
      <c r="D35" s="6" t="s">
        <v>646</v>
      </c>
      <c r="E35" s="6" t="s">
        <v>647</v>
      </c>
      <c r="F35" s="6" t="s">
        <v>425</v>
      </c>
      <c r="G35" s="6" t="s">
        <v>647</v>
      </c>
      <c r="H35" s="6" t="s">
        <v>685</v>
      </c>
      <c r="I35" s="6"/>
      <c r="J35" s="6"/>
      <c r="K35" s="7">
        <v>34.0</v>
      </c>
      <c r="L35" s="6" t="str">
        <f>IFERROR(__xludf.DUMMYFUNCTION("GOOGLETRANSLATE(B35,""en"",""ur"")"),"کھیل کی ظاہری ترتیب کیا ہے؟")</f>
        <v>کھیل کی ظاہری ترتیب کیا ہے؟</v>
      </c>
      <c r="M35" s="6"/>
      <c r="N35" s="8" t="str">
        <f>IFERROR(__xludf.DUMMYFUNCTION("GOOGLETRANSLATE(D35,""en"",""ur"")"),"شہر کی ایک گلی")</f>
        <v>شہر کی ایک گلی</v>
      </c>
      <c r="O35" s="6" t="str">
        <f>IFERROR(__xludf.DUMMYFUNCTION("GOOGLETRANSLATE(E35,""en"",""ur"")"),"ایک بیرونی گندگی کا میدان")</f>
        <v>ایک بیرونی گندگی کا میدان</v>
      </c>
      <c r="P35" s="6" t="str">
        <f>IFERROR(__xludf.DUMMYFUNCTION("GOOGLETRANSLATE(F35,""en"",""ur"")"),"گھاس کا میدان")</f>
        <v>گھاس کا میدان</v>
      </c>
      <c r="Q35" s="6" t="s">
        <v>648</v>
      </c>
      <c r="R35" s="6" t="str">
        <f>IFERROR(__xludf.DUMMYFUNCTION("GOOGLETRANSLATE(G35,""en"",""ur"")"),"ایک بیرونی گندگی کا میدان")</f>
        <v>ایک بیرونی گندگی کا میدان</v>
      </c>
      <c r="S35" s="6" t="s">
        <v>685</v>
      </c>
      <c r="T35" s="6"/>
      <c r="U35" s="6"/>
      <c r="V35" s="6"/>
      <c r="W35" s="6"/>
      <c r="X35" s="6"/>
      <c r="Y35" s="6"/>
      <c r="Z35" s="6"/>
      <c r="AA35" s="6"/>
    </row>
    <row r="36">
      <c r="A36" s="7">
        <v>35.0</v>
      </c>
      <c r="B36" s="6" t="s">
        <v>46</v>
      </c>
      <c r="C36" s="6" t="s">
        <v>47</v>
      </c>
      <c r="D36" s="6" t="s">
        <v>48</v>
      </c>
      <c r="E36" s="6" t="s">
        <v>49</v>
      </c>
      <c r="F36" s="6" t="s">
        <v>50</v>
      </c>
      <c r="G36" s="6" t="s">
        <v>50</v>
      </c>
      <c r="H36" s="6" t="s">
        <v>685</v>
      </c>
      <c r="I36" s="6"/>
      <c r="J36" s="6"/>
      <c r="K36" s="7">
        <v>35.0</v>
      </c>
      <c r="L36" s="6" t="str">
        <f>IFERROR(__xludf.DUMMYFUNCTION("GOOGLETRANSLATE(B36,""en"",""ur"")"),"کھلاڑیوں کے چہروں سے ظاہری جذبات کیا ہیں؟")</f>
        <v>کھلاڑیوں کے چہروں سے ظاہری جذبات کیا ہیں؟</v>
      </c>
      <c r="M36" s="6"/>
      <c r="N36" s="8" t="str">
        <f>IFERROR(__xludf.DUMMYFUNCTION("GOOGLETRANSLATE(D36,""en"",""ur"")"),"خوف زدہ اور بے چین")</f>
        <v>خوف زدہ اور بے چین</v>
      </c>
      <c r="O36" s="6" t="str">
        <f>IFERROR(__xludf.DUMMYFUNCTION("GOOGLETRANSLATE(E36,""en"",""ur"")"),"کشیدہ اور شدید")</f>
        <v>کشیدہ اور شدید</v>
      </c>
      <c r="P36" s="6" t="str">
        <f>IFERROR(__xludf.DUMMYFUNCTION("GOOGLETRANSLATE(F36,""en"",""ur"")"),"خوش اور مسکراتے ہوئے۔")</f>
        <v>خوش اور مسکراتے ہوئے۔</v>
      </c>
      <c r="Q36" s="6" t="s">
        <v>649</v>
      </c>
      <c r="R36" s="6" t="str">
        <f>IFERROR(__xludf.DUMMYFUNCTION("GOOGLETRANSLATE(G36,""en"",""ur"")"),"خوش اور مسکراتے ہوئے۔")</f>
        <v>خوش اور مسکراتے ہوئے۔</v>
      </c>
      <c r="S36" s="6" t="s">
        <v>685</v>
      </c>
      <c r="T36" s="6"/>
      <c r="U36" s="6"/>
      <c r="V36" s="6"/>
      <c r="W36" s="6"/>
      <c r="X36" s="6"/>
      <c r="Y36" s="6"/>
      <c r="Z36" s="6"/>
      <c r="AA36" s="6"/>
    </row>
    <row r="37">
      <c r="A37" s="7">
        <v>36.0</v>
      </c>
      <c r="B37" s="6" t="s">
        <v>88</v>
      </c>
      <c r="C37" s="6" t="s">
        <v>89</v>
      </c>
      <c r="D37" s="6" t="s">
        <v>90</v>
      </c>
      <c r="E37" s="6" t="s">
        <v>91</v>
      </c>
      <c r="F37" s="6" t="s">
        <v>255</v>
      </c>
      <c r="G37" s="6" t="s">
        <v>255</v>
      </c>
      <c r="H37" s="6" t="s">
        <v>685</v>
      </c>
      <c r="I37" s="6"/>
      <c r="J37" s="6"/>
      <c r="K37" s="7">
        <v>36.0</v>
      </c>
      <c r="L37" s="6" t="str">
        <f>IFERROR(__xludf.DUMMYFUNCTION("GOOGLETRANSLATE(B37,""en"",""ur"")"),"زمین کی سب سے نمایاں خصوصیت کیا ہے؟")</f>
        <v>زمین کی سب سے نمایاں خصوصیت کیا ہے؟</v>
      </c>
      <c r="M37" s="6"/>
      <c r="N37" s="8" t="str">
        <f>IFERROR(__xludf.DUMMYFUNCTION("GOOGLETRANSLATE(D37,""en"",""ur"")"),"کیچڑ والا میدان")</f>
        <v>کیچڑ والا میدان</v>
      </c>
      <c r="O37" s="6" t="str">
        <f>IFERROR(__xludf.DUMMYFUNCTION("GOOGLETRANSLATE(E37,""en"",""ur"")"),"ایک گھاس دار سطح")</f>
        <v>ایک گھاس دار سطح</v>
      </c>
      <c r="P37" s="6" t="str">
        <f>IFERROR(__xludf.DUMMYFUNCTION("GOOGLETRANSLATE(F37,""en"",""ur"")"),"ریتلی یا گندگی کی سطح")</f>
        <v>ریتلی یا گندگی کی سطح</v>
      </c>
      <c r="Q37" s="6" t="s">
        <v>688</v>
      </c>
      <c r="R37" s="6" t="str">
        <f>IFERROR(__xludf.DUMMYFUNCTION("GOOGLETRANSLATE(G37,""en"",""ur"")"),"ریتلی یا گندگی کی سطح")</f>
        <v>ریتلی یا گندگی کی سطح</v>
      </c>
      <c r="S37" s="6" t="s">
        <v>685</v>
      </c>
      <c r="T37" s="6"/>
      <c r="U37" s="6"/>
      <c r="V37" s="6"/>
      <c r="W37" s="6"/>
      <c r="X37" s="6"/>
      <c r="Y37" s="6"/>
      <c r="Z37" s="6"/>
      <c r="AA37" s="6"/>
    </row>
    <row r="38">
      <c r="A38" s="7">
        <v>37.0</v>
      </c>
      <c r="B38" s="6" t="s">
        <v>94</v>
      </c>
      <c r="C38" s="6" t="s">
        <v>95</v>
      </c>
      <c r="D38" s="6" t="s">
        <v>651</v>
      </c>
      <c r="E38" s="6" t="s">
        <v>652</v>
      </c>
      <c r="F38" s="6" t="s">
        <v>653</v>
      </c>
      <c r="G38" s="6" t="s">
        <v>652</v>
      </c>
      <c r="H38" s="6" t="s">
        <v>685</v>
      </c>
      <c r="I38" s="6"/>
      <c r="J38" s="6"/>
      <c r="K38" s="7">
        <v>37.0</v>
      </c>
      <c r="L38" s="6" t="str">
        <f>IFERROR(__xludf.DUMMYFUNCTION("GOOGLETRANSLATE(B38,""en"",""ur"")"),"کھیلے جانے والے کھیل کا نام کیا ہے؟")</f>
        <v>کھیلے جانے والے کھیل کا نام کیا ہے؟</v>
      </c>
      <c r="M38" s="6"/>
      <c r="N38" s="8" t="str">
        <f>IFERROR(__xludf.DUMMYFUNCTION("GOOGLETRANSLATE(D38,""en"",""ur"")"),"کرکٹ")</f>
        <v>کرکٹ</v>
      </c>
      <c r="O38" s="6" t="str">
        <f>IFERROR(__xludf.DUMMYFUNCTION("GOOGLETRANSLATE(E38,""en"",""ur"")"),"گلی ڈنڈا۔")</f>
        <v>گلی ڈنڈا۔</v>
      </c>
      <c r="P38" s="6" t="str">
        <f>IFERROR(__xludf.DUMMYFUNCTION("GOOGLETRANSLATE(F38,""en"",""ur"")"),"بیس بال")</f>
        <v>بیس بال</v>
      </c>
      <c r="Q38" s="6" t="s">
        <v>654</v>
      </c>
      <c r="R38" s="6" t="str">
        <f>IFERROR(__xludf.DUMMYFUNCTION("GOOGLETRANSLATE(G38,""en"",""ur"")"),"گلی ڈنڈا۔")</f>
        <v>گلی ڈنڈا۔</v>
      </c>
      <c r="S38" s="6" t="s">
        <v>685</v>
      </c>
      <c r="T38" s="6"/>
      <c r="U38" s="6"/>
      <c r="V38" s="6"/>
      <c r="W38" s="6"/>
      <c r="X38" s="6"/>
      <c r="Y38" s="6"/>
      <c r="Z38" s="6"/>
      <c r="AA38" s="6"/>
    </row>
    <row r="39">
      <c r="A39" s="7">
        <v>38.0</v>
      </c>
      <c r="B39" s="6" t="s">
        <v>260</v>
      </c>
      <c r="C39" s="6" t="s">
        <v>261</v>
      </c>
      <c r="D39" s="6" t="s">
        <v>262</v>
      </c>
      <c r="E39" s="6" t="s">
        <v>263</v>
      </c>
      <c r="F39" s="6" t="s">
        <v>655</v>
      </c>
      <c r="G39" s="6" t="s">
        <v>655</v>
      </c>
      <c r="H39" s="6" t="s">
        <v>685</v>
      </c>
      <c r="I39" s="6"/>
      <c r="J39" s="6"/>
      <c r="K39" s="7">
        <v>38.0</v>
      </c>
      <c r="L39" s="6" t="str">
        <f>IFERROR(__xludf.DUMMYFUNCTION("GOOGLETRANSLATE(B39,""en"",""ur"")"),"تصویر میں ایکشن ایک ایسا انداز تجویز کرتا ہے جو اس بات پر زور دیتا ہے...")</f>
        <v>تصویر میں ایکشن ایک ایسا انداز تجویز کرتا ہے جو اس بات پر زور دیتا ہے...</v>
      </c>
      <c r="M39" s="6"/>
      <c r="N39" s="8" t="str">
        <f>IFERROR(__xludf.DUMMYFUNCTION("GOOGLETRANSLATE(D39,""en"",""ur"")"),"زمینی لڑائی اور گرفت")</f>
        <v>زمینی لڑائی اور گرفت</v>
      </c>
      <c r="O39" s="6" t="str">
        <f>IFERROR(__xludf.DUMMYFUNCTION("GOOGLETRANSLATE(E39,""en"",""ur"")"),"وحشیانہ قوت اور گھڑ سواری۔")</f>
        <v>وحشیانہ قوت اور گھڑ سواری۔</v>
      </c>
      <c r="P39" s="6" t="str">
        <f>IFERROR(__xludf.DUMMYFUNCTION("GOOGLETRANSLATE(F39,""en"",""ur"")"),"ہاتھ سے آنکھ کو آرڈینیشن اور حیرت انگیز")</f>
        <v>ہاتھ سے آنکھ کو آرڈینیشن اور حیرت انگیز</v>
      </c>
      <c r="Q39" s="6" t="s">
        <v>656</v>
      </c>
      <c r="R39" s="6" t="str">
        <f>IFERROR(__xludf.DUMMYFUNCTION("GOOGLETRANSLATE(G39,""en"",""ur"")"),"ہاتھ سے آنکھ کو آرڈینیشن اور حیرت انگیز")</f>
        <v>ہاتھ سے آنکھ کو آرڈینیشن اور حیرت انگیز</v>
      </c>
      <c r="S39" s="6" t="s">
        <v>685</v>
      </c>
      <c r="T39" s="6"/>
      <c r="U39" s="6"/>
      <c r="V39" s="6"/>
      <c r="W39" s="6"/>
      <c r="X39" s="6"/>
      <c r="Y39" s="6"/>
      <c r="Z39" s="6"/>
      <c r="AA39" s="6"/>
    </row>
    <row r="40">
      <c r="A40" s="7">
        <v>39.0</v>
      </c>
      <c r="B40" s="6" t="s">
        <v>657</v>
      </c>
      <c r="C40" s="6" t="s">
        <v>658</v>
      </c>
      <c r="D40" s="6" t="s">
        <v>659</v>
      </c>
      <c r="E40" s="6" t="s">
        <v>660</v>
      </c>
      <c r="F40" s="6" t="s">
        <v>661</v>
      </c>
      <c r="G40" s="6" t="s">
        <v>659</v>
      </c>
      <c r="H40" s="6" t="s">
        <v>685</v>
      </c>
      <c r="I40" s="6"/>
      <c r="J40" s="6"/>
      <c r="K40" s="7">
        <v>39.0</v>
      </c>
      <c r="L40" s="6" t="str">
        <f>IFERROR(__xludf.DUMMYFUNCTION("GOOGLETRANSLATE(B40,""en"",""ur"")"),"کھلاڑیوں کے جوتے کے بارے میں ایک قابل ذکر تفصیل کیا ہے؟")</f>
        <v>کھلاڑیوں کے جوتے کے بارے میں ایک قابل ذکر تفصیل کیا ہے؟</v>
      </c>
      <c r="M40" s="6"/>
      <c r="N40" s="8" t="str">
        <f>IFERROR(__xludf.DUMMYFUNCTION("GOOGLETRANSLATE(D40,""en"",""ur"")"),"وہ ننگے پاؤں ہیں۔")</f>
        <v>وہ ننگے پاؤں ہیں۔</v>
      </c>
      <c r="O40" s="6" t="str">
        <f>IFERROR(__xludf.DUMMYFUNCTION("GOOGLETRANSLATE(E40,""en"",""ur"")"),"وہ سینڈل یا فلپ فلاپ پہنے ہوئے ہیں۔")</f>
        <v>وہ سینڈل یا فلپ فلاپ پہنے ہوئے ہیں۔</v>
      </c>
      <c r="P40" s="6" t="str">
        <f>IFERROR(__xludf.DUMMYFUNCTION("GOOGLETRANSLATE(F40,""en"",""ur"")"),"وہ موزے پہنے ہوئے ہیں۔")</f>
        <v>وہ موزے پہنے ہوئے ہیں۔</v>
      </c>
      <c r="Q40" s="6" t="s">
        <v>662</v>
      </c>
      <c r="R40" s="6" t="str">
        <f>IFERROR(__xludf.DUMMYFUNCTION("GOOGLETRANSLATE(G40,""en"",""ur"")"),"وہ ننگے پاؤں ہیں۔")</f>
        <v>وہ ننگے پاؤں ہیں۔</v>
      </c>
      <c r="S40" s="6" t="s">
        <v>685</v>
      </c>
      <c r="T40" s="6"/>
      <c r="U40" s="6"/>
      <c r="V40" s="6"/>
      <c r="W40" s="6"/>
      <c r="X40" s="6"/>
      <c r="Y40" s="6"/>
      <c r="Z40" s="6"/>
      <c r="AA40" s="6"/>
    </row>
    <row r="41">
      <c r="A41" s="7">
        <v>40.0</v>
      </c>
      <c r="B41" s="6" t="s">
        <v>663</v>
      </c>
      <c r="C41" s="6" t="s">
        <v>664</v>
      </c>
      <c r="D41" s="6" t="s">
        <v>665</v>
      </c>
      <c r="E41" s="6" t="s">
        <v>666</v>
      </c>
      <c r="F41" s="6" t="s">
        <v>667</v>
      </c>
      <c r="G41" s="6" t="s">
        <v>665</v>
      </c>
      <c r="H41" s="6" t="s">
        <v>685</v>
      </c>
      <c r="I41" s="6"/>
      <c r="J41" s="6"/>
      <c r="K41" s="7">
        <v>40.0</v>
      </c>
      <c r="L41" s="6" t="str">
        <f>IFERROR(__xludf.DUMMYFUNCTION("GOOGLETRANSLATE(B41,""en"",""ur"")"),"پس منظر میں دیگر کھلاڑیوں کے بارے میں ایک قابل ذکر تفصیل کیا ہے؟")</f>
        <v>پس منظر میں دیگر کھلاڑیوں کے بارے میں ایک قابل ذکر تفصیل کیا ہے؟</v>
      </c>
      <c r="M41" s="6"/>
      <c r="N41" s="8" t="str">
        <f>IFERROR(__xludf.DUMMYFUNCTION("GOOGLETRANSLATE(D41,""en"",""ur"")"),"وہ سب ادھر ادھر بھاگ رہے ہیں۔")</f>
        <v>وہ سب ادھر ادھر بھاگ رہے ہیں۔</v>
      </c>
      <c r="O41" s="6" t="str">
        <f>IFERROR(__xludf.DUMMYFUNCTION("GOOGLETRANSLATE(E41,""en"",""ur"")"),"وہ ایک دفاعی، تیار موقف میں ہیں۔")</f>
        <v>وہ ایک دفاعی، تیار موقف میں ہیں۔</v>
      </c>
      <c r="P41" s="6" t="str">
        <f>IFERROR(__xludf.DUMMYFUNCTION("GOOGLETRANSLATE(F41,""en"",""ur"")"),"وہ سب لہرا رہے ہیں۔")</f>
        <v>وہ سب لہرا رہے ہیں۔</v>
      </c>
      <c r="Q41" s="6" t="s">
        <v>668</v>
      </c>
      <c r="R41" s="6" t="str">
        <f>IFERROR(__xludf.DUMMYFUNCTION("GOOGLETRANSLATE(G41,""en"",""ur"")"),"وہ سب ادھر ادھر بھاگ رہے ہیں۔")</f>
        <v>وہ سب ادھر ادھر بھاگ رہے ہیں۔</v>
      </c>
      <c r="S41" s="6" t="s">
        <v>685</v>
      </c>
      <c r="T41" s="6"/>
      <c r="U41" s="6"/>
      <c r="V41" s="6"/>
      <c r="W41" s="6"/>
      <c r="X41" s="6"/>
      <c r="Y41" s="6"/>
      <c r="Z41" s="6"/>
      <c r="AA41" s="6"/>
    </row>
    <row r="42">
      <c r="A42" s="7">
        <v>41.0</v>
      </c>
      <c r="B42" s="6" t="s">
        <v>689</v>
      </c>
      <c r="C42" s="6" t="s">
        <v>690</v>
      </c>
      <c r="D42" s="6" t="s">
        <v>632</v>
      </c>
      <c r="E42" s="6" t="s">
        <v>633</v>
      </c>
      <c r="F42" s="6" t="s">
        <v>634</v>
      </c>
      <c r="G42" s="6" t="s">
        <v>632</v>
      </c>
      <c r="H42" s="6" t="s">
        <v>691</v>
      </c>
      <c r="I42" s="6"/>
      <c r="J42" s="6"/>
      <c r="K42" s="7">
        <v>41.0</v>
      </c>
      <c r="L42" s="6" t="str">
        <f>IFERROR(__xludf.DUMMYFUNCTION("GOOGLETRANSLATE(B42,""en"",""ur"")"),"gilli_danda_5 میں دکھایا گیا اہم عمل کیا ہے؟")</f>
        <v>gilli_danda_5 میں دکھایا گیا اہم عمل کیا ہے؟</v>
      </c>
      <c r="M42" s="6"/>
      <c r="N42" s="8" t="str">
        <f>IFERROR(__xludf.DUMMYFUNCTION("GOOGLETRANSLATE(D42,""en"",""ur"")"),"ایک کھلاڑی چھوٹی چھڑی کو بڑی چھڑی سے مار رہا ہے۔")</f>
        <v>ایک کھلاڑی چھوٹی چھڑی کو بڑی چھڑی سے مار رہا ہے۔</v>
      </c>
      <c r="O42" s="6" t="str">
        <f>IFERROR(__xludf.DUMMYFUNCTION("GOOGLETRANSLATE(E42,""en"",""ur"")"),"ایک کھلاڑی گیند کی خدمت کر رہا ہے۔")</f>
        <v>ایک کھلاڑی گیند کی خدمت کر رہا ہے۔</v>
      </c>
      <c r="P42" s="6" t="str">
        <f>IFERROR(__xludf.DUMMYFUNCTION("GOOGLETRANSLATE(F42,""en"",""ur"")"),"ایک کھلاڑی دفاعی بلاک کا مظاہرہ کر رہا ہے۔")</f>
        <v>ایک کھلاڑی دفاعی بلاک کا مظاہرہ کر رہا ہے۔</v>
      </c>
      <c r="Q42" s="6" t="s">
        <v>671</v>
      </c>
      <c r="R42" s="6" t="str">
        <f>IFERROR(__xludf.DUMMYFUNCTION("GOOGLETRANSLATE(G42,""en"",""ur"")"),"ایک کھلاڑی چھوٹی چھڑی کو بڑی چھڑی سے مار رہا ہے۔")</f>
        <v>ایک کھلاڑی چھوٹی چھڑی کو بڑی چھڑی سے مار رہا ہے۔</v>
      </c>
      <c r="S42" s="6" t="s">
        <v>691</v>
      </c>
      <c r="T42" s="6"/>
      <c r="U42" s="6"/>
      <c r="V42" s="6"/>
      <c r="W42" s="6"/>
      <c r="X42" s="6"/>
      <c r="Y42" s="6"/>
      <c r="Z42" s="6"/>
      <c r="AA42" s="6"/>
    </row>
    <row r="43">
      <c r="A43" s="7">
        <v>42.0</v>
      </c>
      <c r="B43" s="6" t="s">
        <v>636</v>
      </c>
      <c r="C43" s="6" t="s">
        <v>637</v>
      </c>
      <c r="D43" s="6" t="s">
        <v>638</v>
      </c>
      <c r="E43" s="6" t="s">
        <v>639</v>
      </c>
      <c r="F43" s="6" t="s">
        <v>640</v>
      </c>
      <c r="G43" s="6" t="s">
        <v>638</v>
      </c>
      <c r="H43" s="6" t="s">
        <v>691</v>
      </c>
      <c r="I43" s="6"/>
      <c r="J43" s="6"/>
      <c r="K43" s="7">
        <v>42.0</v>
      </c>
      <c r="L43" s="6" t="str">
        <f>IFERROR(__xludf.DUMMYFUNCTION("GOOGLETRANSLATE(B43,""en"",""ur"")"),"کھیل میں استعمال ہونے والے آلات کے دو ٹکڑے کیا ہیں؟")</f>
        <v>کھیل میں استعمال ہونے والے آلات کے دو ٹکڑے کیا ہیں؟</v>
      </c>
      <c r="M43" s="6"/>
      <c r="N43" s="8" t="str">
        <f>IFERROR(__xludf.DUMMYFUNCTION("GOOGLETRANSLATE(D43,""en"",""ur"")"),"ایک لمبی چھڑی (ڈنڈا) اور ایک چھوٹی چھڑی (گلی)")</f>
        <v>ایک لمبی چھڑی (ڈنڈا) اور ایک چھوٹی چھڑی (گلی)</v>
      </c>
      <c r="O43" s="6" t="str">
        <f>IFERROR(__xludf.DUMMYFUNCTION("GOOGLETRANSLATE(E43,""en"",""ur"")"),"ایک ریکیٹ اور ایک شٹل کاک")</f>
        <v>ایک ریکیٹ اور ایک شٹل کاک</v>
      </c>
      <c r="P43" s="6" t="str">
        <f>IFERROR(__xludf.DUMMYFUNCTION("GOOGLETRANSLATE(F43,""en"",""ur"")"),"ایک چمگادڑ اور ایک دستانہ")</f>
        <v>ایک چمگادڑ اور ایک دستانہ</v>
      </c>
      <c r="Q43" s="6" t="s">
        <v>641</v>
      </c>
      <c r="R43" s="6" t="str">
        <f>IFERROR(__xludf.DUMMYFUNCTION("GOOGLETRANSLATE(G43,""en"",""ur"")"),"ایک لمبی چھڑی (ڈنڈا) اور ایک چھوٹی چھڑی (گلی)")</f>
        <v>ایک لمبی چھڑی (ڈنڈا) اور ایک چھوٹی چھڑی (گلی)</v>
      </c>
      <c r="S43" s="6" t="s">
        <v>691</v>
      </c>
      <c r="T43" s="6"/>
      <c r="U43" s="6"/>
      <c r="V43" s="6"/>
      <c r="W43" s="6"/>
      <c r="X43" s="6"/>
      <c r="Y43" s="6"/>
      <c r="Z43" s="6"/>
      <c r="AA43" s="6"/>
    </row>
    <row r="44">
      <c r="A44" s="7">
        <v>43.0</v>
      </c>
      <c r="B44" s="6" t="s">
        <v>678</v>
      </c>
      <c r="C44" s="6" t="s">
        <v>307</v>
      </c>
      <c r="D44" s="6" t="s">
        <v>643</v>
      </c>
      <c r="E44" s="6" t="s">
        <v>311</v>
      </c>
      <c r="F44" s="6" t="s">
        <v>314</v>
      </c>
      <c r="G44" s="6" t="s">
        <v>643</v>
      </c>
      <c r="H44" s="6" t="s">
        <v>691</v>
      </c>
      <c r="I44" s="6"/>
      <c r="J44" s="6"/>
      <c r="K44" s="7">
        <v>43.0</v>
      </c>
      <c r="L44" s="6" t="str">
        <f>IFERROR(__xludf.DUMMYFUNCTION("GOOGLETRANSLATE(B44,""en"",""ur"")"),"کھلاڑی کے بارے میں ایک قابل ذکر تفصیل کیا ہے؟")</f>
        <v>کھلاڑی کے بارے میں ایک قابل ذکر تفصیل کیا ہے؟</v>
      </c>
      <c r="M44" s="6"/>
      <c r="N44" s="8" t="str">
        <f>IFERROR(__xludf.DUMMYFUNCTION("GOOGLETRANSLATE(D44,""en"",""ur"")"),"وہ ایک پست، جھکائے ہوئے موقف میں ہے، ہڑتال کرنے کی تیاری کر رہا ہے۔")</f>
        <v>وہ ایک پست، جھکائے ہوئے موقف میں ہے، ہڑتال کرنے کی تیاری کر رہا ہے۔</v>
      </c>
      <c r="O44" s="6" t="str">
        <f>IFERROR(__xludf.DUMMYFUNCTION("GOOGLETRANSLATE(E44,""en"",""ur"")"),"وہ سیدھا کھڑا ہے۔")</f>
        <v>وہ سیدھا کھڑا ہے۔</v>
      </c>
      <c r="P44" s="6" t="str">
        <f>IFERROR(__xludf.DUMMYFUNCTION("GOOGLETRANSLATE(F44,""en"",""ur"")"),"وہ آرام سے بیٹھا ہے۔")</f>
        <v>وہ آرام سے بیٹھا ہے۔</v>
      </c>
      <c r="Q44" s="6" t="s">
        <v>644</v>
      </c>
      <c r="R44" s="6" t="str">
        <f>IFERROR(__xludf.DUMMYFUNCTION("GOOGLETRANSLATE(G44,""en"",""ur"")"),"وہ ایک پست، جھکائے ہوئے موقف میں ہے، ہڑتال کرنے کی تیاری کر رہا ہے۔")</f>
        <v>وہ ایک پست، جھکائے ہوئے موقف میں ہے، ہڑتال کرنے کی تیاری کر رہا ہے۔</v>
      </c>
      <c r="S44" s="6" t="s">
        <v>691</v>
      </c>
      <c r="T44" s="6"/>
      <c r="U44" s="6"/>
      <c r="V44" s="6"/>
      <c r="W44" s="6"/>
      <c r="X44" s="6"/>
      <c r="Y44" s="6"/>
      <c r="Z44" s="6"/>
      <c r="AA44" s="6"/>
    </row>
    <row r="45">
      <c r="A45" s="7">
        <v>44.0</v>
      </c>
      <c r="B45" s="6" t="s">
        <v>645</v>
      </c>
      <c r="C45" s="6" t="s">
        <v>422</v>
      </c>
      <c r="D45" s="6" t="s">
        <v>646</v>
      </c>
      <c r="E45" s="6" t="s">
        <v>647</v>
      </c>
      <c r="F45" s="6" t="s">
        <v>425</v>
      </c>
      <c r="G45" s="6" t="s">
        <v>647</v>
      </c>
      <c r="H45" s="6" t="s">
        <v>691</v>
      </c>
      <c r="I45" s="6"/>
      <c r="J45" s="6"/>
      <c r="K45" s="7">
        <v>44.0</v>
      </c>
      <c r="L45" s="6" t="str">
        <f>IFERROR(__xludf.DUMMYFUNCTION("GOOGLETRANSLATE(B45,""en"",""ur"")"),"کھیل کی ظاہری ترتیب کیا ہے؟")</f>
        <v>کھیل کی ظاہری ترتیب کیا ہے؟</v>
      </c>
      <c r="M45" s="6"/>
      <c r="N45" s="8" t="str">
        <f>IFERROR(__xludf.DUMMYFUNCTION("GOOGLETRANSLATE(D45,""en"",""ur"")"),"شہر کی ایک گلی")</f>
        <v>شہر کی ایک گلی</v>
      </c>
      <c r="O45" s="6" t="str">
        <f>IFERROR(__xludf.DUMMYFUNCTION("GOOGLETRANSLATE(E45,""en"",""ur"")"),"ایک بیرونی گندگی کا میدان")</f>
        <v>ایک بیرونی گندگی کا میدان</v>
      </c>
      <c r="P45" s="6" t="str">
        <f>IFERROR(__xludf.DUMMYFUNCTION("GOOGLETRANSLATE(F45,""en"",""ur"")"),"گھاس کا میدان")</f>
        <v>گھاس کا میدان</v>
      </c>
      <c r="Q45" s="6" t="s">
        <v>648</v>
      </c>
      <c r="R45" s="6" t="str">
        <f>IFERROR(__xludf.DUMMYFUNCTION("GOOGLETRANSLATE(G45,""en"",""ur"")"),"ایک بیرونی گندگی کا میدان")</f>
        <v>ایک بیرونی گندگی کا میدان</v>
      </c>
      <c r="S45" s="6" t="s">
        <v>691</v>
      </c>
      <c r="T45" s="6"/>
      <c r="U45" s="6"/>
      <c r="V45" s="6"/>
      <c r="W45" s="6"/>
      <c r="X45" s="6"/>
      <c r="Y45" s="6"/>
      <c r="Z45" s="6"/>
      <c r="AA45" s="6"/>
    </row>
    <row r="46">
      <c r="A46" s="7">
        <v>45.0</v>
      </c>
      <c r="B46" s="6" t="s">
        <v>679</v>
      </c>
      <c r="C46" s="6" t="s">
        <v>47</v>
      </c>
      <c r="D46" s="6" t="s">
        <v>48</v>
      </c>
      <c r="E46" s="6" t="s">
        <v>49</v>
      </c>
      <c r="F46" s="6" t="s">
        <v>50</v>
      </c>
      <c r="G46" s="6" t="s">
        <v>49</v>
      </c>
      <c r="H46" s="6" t="s">
        <v>691</v>
      </c>
      <c r="I46" s="6"/>
      <c r="J46" s="6"/>
      <c r="K46" s="7">
        <v>45.0</v>
      </c>
      <c r="L46" s="6" t="str">
        <f>IFERROR(__xludf.DUMMYFUNCTION("GOOGLETRANSLATE(B46,""en"",""ur"")"),"کھلاڑی کے چہرے سے ظاہری جذبات کیا ہیں؟")</f>
        <v>کھلاڑی کے چہرے سے ظاہری جذبات کیا ہیں؟</v>
      </c>
      <c r="M46" s="6"/>
      <c r="N46" s="8" t="str">
        <f>IFERROR(__xludf.DUMMYFUNCTION("GOOGLETRANSLATE(D46,""en"",""ur"")"),"خوف زدہ اور بے چین")</f>
        <v>خوف زدہ اور بے چین</v>
      </c>
      <c r="O46" s="6" t="str">
        <f>IFERROR(__xludf.DUMMYFUNCTION("GOOGLETRANSLATE(E46,""en"",""ur"")"),"کشیدہ اور شدید")</f>
        <v>کشیدہ اور شدید</v>
      </c>
      <c r="P46" s="6" t="str">
        <f>IFERROR(__xludf.DUMMYFUNCTION("GOOGLETRANSLATE(F46,""en"",""ur"")"),"خوش اور مسکراتے ہوئے۔")</f>
        <v>خوش اور مسکراتے ہوئے۔</v>
      </c>
      <c r="Q46" s="6" t="s">
        <v>649</v>
      </c>
      <c r="R46" s="6" t="str">
        <f>IFERROR(__xludf.DUMMYFUNCTION("GOOGLETRANSLATE(G46,""en"",""ur"")"),"کشیدہ اور شدید")</f>
        <v>کشیدہ اور شدید</v>
      </c>
      <c r="S46" s="6" t="s">
        <v>691</v>
      </c>
      <c r="T46" s="6"/>
      <c r="U46" s="6"/>
      <c r="V46" s="6"/>
      <c r="W46" s="6"/>
      <c r="X46" s="6"/>
      <c r="Y46" s="6"/>
      <c r="Z46" s="6"/>
      <c r="AA46" s="6"/>
    </row>
    <row r="47">
      <c r="A47" s="7">
        <v>46.0</v>
      </c>
      <c r="B47" s="6" t="s">
        <v>88</v>
      </c>
      <c r="C47" s="6" t="s">
        <v>89</v>
      </c>
      <c r="D47" s="6" t="s">
        <v>90</v>
      </c>
      <c r="E47" s="6" t="s">
        <v>91</v>
      </c>
      <c r="F47" s="6" t="s">
        <v>255</v>
      </c>
      <c r="G47" s="6" t="s">
        <v>255</v>
      </c>
      <c r="H47" s="6" t="s">
        <v>691</v>
      </c>
      <c r="I47" s="6"/>
      <c r="J47" s="6"/>
      <c r="K47" s="7">
        <v>46.0</v>
      </c>
      <c r="L47" s="6" t="str">
        <f>IFERROR(__xludf.DUMMYFUNCTION("GOOGLETRANSLATE(B47,""en"",""ur"")"),"زمین کی سب سے نمایاں خصوصیت کیا ہے؟")</f>
        <v>زمین کی سب سے نمایاں خصوصیت کیا ہے؟</v>
      </c>
      <c r="M47" s="6"/>
      <c r="N47" s="8" t="str">
        <f>IFERROR(__xludf.DUMMYFUNCTION("GOOGLETRANSLATE(D47,""en"",""ur"")"),"کیچڑ والا میدان")</f>
        <v>کیچڑ والا میدان</v>
      </c>
      <c r="O47" s="6" t="str">
        <f>IFERROR(__xludf.DUMMYFUNCTION("GOOGLETRANSLATE(E47,""en"",""ur"")"),"ایک گھاس دار سطح")</f>
        <v>ایک گھاس دار سطح</v>
      </c>
      <c r="P47" s="6" t="str">
        <f>IFERROR(__xludf.DUMMYFUNCTION("GOOGLETRANSLATE(F47,""en"",""ur"")"),"ریتلی یا گندگی کی سطح")</f>
        <v>ریتلی یا گندگی کی سطح</v>
      </c>
      <c r="Q47" s="6" t="s">
        <v>688</v>
      </c>
      <c r="R47" s="6" t="str">
        <f>IFERROR(__xludf.DUMMYFUNCTION("GOOGLETRANSLATE(G47,""en"",""ur"")"),"ریتلی یا گندگی کی سطح")</f>
        <v>ریتلی یا گندگی کی سطح</v>
      </c>
      <c r="S47" s="6" t="s">
        <v>691</v>
      </c>
      <c r="T47" s="6"/>
      <c r="U47" s="6"/>
      <c r="V47" s="6"/>
      <c r="W47" s="6"/>
      <c r="X47" s="6"/>
      <c r="Y47" s="6"/>
      <c r="Z47" s="6"/>
      <c r="AA47" s="6"/>
    </row>
    <row r="48">
      <c r="A48" s="7">
        <v>47.0</v>
      </c>
      <c r="B48" s="6" t="s">
        <v>94</v>
      </c>
      <c r="C48" s="6" t="s">
        <v>95</v>
      </c>
      <c r="D48" s="6" t="s">
        <v>651</v>
      </c>
      <c r="E48" s="6" t="s">
        <v>652</v>
      </c>
      <c r="F48" s="6" t="s">
        <v>653</v>
      </c>
      <c r="G48" s="6" t="s">
        <v>652</v>
      </c>
      <c r="H48" s="6" t="s">
        <v>691</v>
      </c>
      <c r="I48" s="6"/>
      <c r="J48" s="6"/>
      <c r="K48" s="7">
        <v>47.0</v>
      </c>
      <c r="L48" s="6" t="str">
        <f>IFERROR(__xludf.DUMMYFUNCTION("GOOGLETRANSLATE(B48,""en"",""ur"")"),"کھیلے جانے والے کھیل کا نام کیا ہے؟")</f>
        <v>کھیلے جانے والے کھیل کا نام کیا ہے؟</v>
      </c>
      <c r="M48" s="6"/>
      <c r="N48" s="8" t="str">
        <f>IFERROR(__xludf.DUMMYFUNCTION("GOOGLETRANSLATE(D48,""en"",""ur"")"),"کرکٹ")</f>
        <v>کرکٹ</v>
      </c>
      <c r="O48" s="6" t="str">
        <f>IFERROR(__xludf.DUMMYFUNCTION("GOOGLETRANSLATE(E48,""en"",""ur"")"),"گلی ڈنڈا۔")</f>
        <v>گلی ڈنڈا۔</v>
      </c>
      <c r="P48" s="6" t="str">
        <f>IFERROR(__xludf.DUMMYFUNCTION("GOOGLETRANSLATE(F48,""en"",""ur"")"),"بیس بال")</f>
        <v>بیس بال</v>
      </c>
      <c r="Q48" s="6" t="s">
        <v>654</v>
      </c>
      <c r="R48" s="6" t="str">
        <f>IFERROR(__xludf.DUMMYFUNCTION("GOOGLETRANSLATE(G48,""en"",""ur"")"),"گلی ڈنڈا۔")</f>
        <v>گلی ڈنڈا۔</v>
      </c>
      <c r="S48" s="6" t="s">
        <v>691</v>
      </c>
      <c r="T48" s="6"/>
      <c r="U48" s="6"/>
      <c r="V48" s="6"/>
      <c r="W48" s="6"/>
      <c r="X48" s="6"/>
      <c r="Y48" s="6"/>
      <c r="Z48" s="6"/>
      <c r="AA48" s="6"/>
    </row>
    <row r="49">
      <c r="A49" s="7">
        <v>48.0</v>
      </c>
      <c r="B49" s="6" t="s">
        <v>260</v>
      </c>
      <c r="C49" s="6" t="s">
        <v>261</v>
      </c>
      <c r="D49" s="6" t="s">
        <v>262</v>
      </c>
      <c r="E49" s="6" t="s">
        <v>263</v>
      </c>
      <c r="F49" s="6" t="s">
        <v>655</v>
      </c>
      <c r="G49" s="6" t="s">
        <v>655</v>
      </c>
      <c r="H49" s="6" t="s">
        <v>691</v>
      </c>
      <c r="I49" s="6"/>
      <c r="J49" s="6"/>
      <c r="K49" s="7">
        <v>48.0</v>
      </c>
      <c r="L49" s="6" t="str">
        <f>IFERROR(__xludf.DUMMYFUNCTION("GOOGLETRANSLATE(B49,""en"",""ur"")"),"تصویر میں ایکشن ایک ایسا انداز تجویز کرتا ہے جو اس بات پر زور دیتا ہے...")</f>
        <v>تصویر میں ایکشن ایک ایسا انداز تجویز کرتا ہے جو اس بات پر زور دیتا ہے...</v>
      </c>
      <c r="M49" s="6"/>
      <c r="N49" s="8" t="str">
        <f>IFERROR(__xludf.DUMMYFUNCTION("GOOGLETRANSLATE(D49,""en"",""ur"")"),"زمینی لڑائی اور گرفت")</f>
        <v>زمینی لڑائی اور گرفت</v>
      </c>
      <c r="O49" s="6" t="str">
        <f>IFERROR(__xludf.DUMMYFUNCTION("GOOGLETRANSLATE(E49,""en"",""ur"")"),"وحشیانہ قوت اور گھڑ سواری۔")</f>
        <v>وحشیانہ قوت اور گھڑ سواری۔</v>
      </c>
      <c r="P49" s="6" t="str">
        <f>IFERROR(__xludf.DUMMYFUNCTION("GOOGLETRANSLATE(F49,""en"",""ur"")"),"ہاتھ سے آنکھ کو آرڈینیشن اور حیرت انگیز")</f>
        <v>ہاتھ سے آنکھ کو آرڈینیشن اور حیرت انگیز</v>
      </c>
      <c r="Q49" s="6" t="s">
        <v>656</v>
      </c>
      <c r="R49" s="6" t="str">
        <f>IFERROR(__xludf.DUMMYFUNCTION("GOOGLETRANSLATE(G49,""en"",""ur"")"),"ہاتھ سے آنکھ کو آرڈینیشن اور حیرت انگیز")</f>
        <v>ہاتھ سے آنکھ کو آرڈینیشن اور حیرت انگیز</v>
      </c>
      <c r="S49" s="6" t="s">
        <v>691</v>
      </c>
      <c r="T49" s="6"/>
      <c r="U49" s="6"/>
      <c r="V49" s="6"/>
      <c r="W49" s="6"/>
      <c r="X49" s="6"/>
      <c r="Y49" s="6"/>
      <c r="Z49" s="6"/>
      <c r="AA49" s="6"/>
    </row>
    <row r="50">
      <c r="A50" s="7">
        <v>49.0</v>
      </c>
      <c r="B50" s="6" t="s">
        <v>657</v>
      </c>
      <c r="C50" s="6" t="s">
        <v>658</v>
      </c>
      <c r="D50" s="6" t="s">
        <v>659</v>
      </c>
      <c r="E50" s="6" t="s">
        <v>660</v>
      </c>
      <c r="F50" s="6" t="s">
        <v>661</v>
      </c>
      <c r="G50" s="6" t="s">
        <v>659</v>
      </c>
      <c r="H50" s="6" t="s">
        <v>691</v>
      </c>
      <c r="I50" s="6"/>
      <c r="J50" s="6"/>
      <c r="K50" s="7">
        <v>49.0</v>
      </c>
      <c r="L50" s="6" t="str">
        <f>IFERROR(__xludf.DUMMYFUNCTION("GOOGLETRANSLATE(B50,""en"",""ur"")"),"کھلاڑیوں کے جوتے کے بارے میں ایک قابل ذکر تفصیل کیا ہے؟")</f>
        <v>کھلاڑیوں کے جوتے کے بارے میں ایک قابل ذکر تفصیل کیا ہے؟</v>
      </c>
      <c r="M50" s="6"/>
      <c r="N50" s="8" t="str">
        <f>IFERROR(__xludf.DUMMYFUNCTION("GOOGLETRANSLATE(D50,""en"",""ur"")"),"وہ ننگے پاؤں ہیں۔")</f>
        <v>وہ ننگے پاؤں ہیں۔</v>
      </c>
      <c r="O50" s="6" t="str">
        <f>IFERROR(__xludf.DUMMYFUNCTION("GOOGLETRANSLATE(E50,""en"",""ur"")"),"وہ سینڈل یا فلپ فلاپ پہنے ہوئے ہیں۔")</f>
        <v>وہ سینڈل یا فلپ فلاپ پہنے ہوئے ہیں۔</v>
      </c>
      <c r="P50" s="6" t="str">
        <f>IFERROR(__xludf.DUMMYFUNCTION("GOOGLETRANSLATE(F50,""en"",""ur"")"),"وہ موزے پہنے ہوئے ہیں۔")</f>
        <v>وہ موزے پہنے ہوئے ہیں۔</v>
      </c>
      <c r="Q50" s="6" t="s">
        <v>662</v>
      </c>
      <c r="R50" s="6" t="str">
        <f>IFERROR(__xludf.DUMMYFUNCTION("GOOGLETRANSLATE(G50,""en"",""ur"")"),"وہ ننگے پاؤں ہیں۔")</f>
        <v>وہ ننگے پاؤں ہیں۔</v>
      </c>
      <c r="S50" s="6" t="s">
        <v>691</v>
      </c>
      <c r="T50" s="6"/>
      <c r="U50" s="6"/>
      <c r="V50" s="6"/>
      <c r="W50" s="6"/>
      <c r="X50" s="6"/>
      <c r="Y50" s="6"/>
      <c r="Z50" s="6"/>
      <c r="AA50" s="6"/>
    </row>
    <row r="51">
      <c r="A51" s="7">
        <v>50.0</v>
      </c>
      <c r="B51" s="6" t="s">
        <v>663</v>
      </c>
      <c r="C51" s="6" t="s">
        <v>664</v>
      </c>
      <c r="D51" s="6" t="s">
        <v>665</v>
      </c>
      <c r="E51" s="6" t="s">
        <v>666</v>
      </c>
      <c r="F51" s="6" t="s">
        <v>667</v>
      </c>
      <c r="G51" s="6" t="s">
        <v>666</v>
      </c>
      <c r="H51" s="6" t="s">
        <v>691</v>
      </c>
      <c r="I51" s="6"/>
      <c r="J51" s="6"/>
      <c r="K51" s="7">
        <v>50.0</v>
      </c>
      <c r="L51" s="6" t="str">
        <f>IFERROR(__xludf.DUMMYFUNCTION("GOOGLETRANSLATE(B51,""en"",""ur"")"),"پس منظر میں دیگر کھلاڑیوں کے بارے میں ایک قابل ذکر تفصیل کیا ہے؟")</f>
        <v>پس منظر میں دیگر کھلاڑیوں کے بارے میں ایک قابل ذکر تفصیل کیا ہے؟</v>
      </c>
      <c r="M51" s="6"/>
      <c r="N51" s="8" t="str">
        <f>IFERROR(__xludf.DUMMYFUNCTION("GOOGLETRANSLATE(D51,""en"",""ur"")"),"وہ سب ادھر ادھر بھاگ رہے ہیں۔")</f>
        <v>وہ سب ادھر ادھر بھاگ رہے ہیں۔</v>
      </c>
      <c r="O51" s="6" t="str">
        <f>IFERROR(__xludf.DUMMYFUNCTION("GOOGLETRANSLATE(E51,""en"",""ur"")"),"وہ ایک دفاعی، تیار موقف میں ہیں۔")</f>
        <v>وہ ایک دفاعی، تیار موقف میں ہیں۔</v>
      </c>
      <c r="P51" s="6" t="str">
        <f>IFERROR(__xludf.DUMMYFUNCTION("GOOGLETRANSLATE(F51,""en"",""ur"")"),"وہ سب لہرا رہے ہیں۔")</f>
        <v>وہ سب لہرا رہے ہیں۔</v>
      </c>
      <c r="Q51" s="6" t="s">
        <v>668</v>
      </c>
      <c r="R51" s="6" t="str">
        <f>IFERROR(__xludf.DUMMYFUNCTION("GOOGLETRANSLATE(G51,""en"",""ur"")"),"وہ ایک دفاعی، تیار موقف میں ہیں۔")</f>
        <v>وہ ایک دفاعی، تیار موقف میں ہیں۔</v>
      </c>
      <c r="S51" s="6" t="s">
        <v>691</v>
      </c>
      <c r="T51" s="6"/>
      <c r="U51" s="6"/>
      <c r="V51" s="6"/>
      <c r="W51" s="6"/>
      <c r="X51" s="6"/>
      <c r="Y51" s="6"/>
      <c r="Z51" s="6"/>
      <c r="AA51" s="6"/>
    </row>
    <row r="52">
      <c r="A52" s="7">
        <v>51.0</v>
      </c>
      <c r="B52" s="6" t="s">
        <v>692</v>
      </c>
      <c r="C52" s="6" t="s">
        <v>11</v>
      </c>
      <c r="D52" s="6" t="s">
        <v>632</v>
      </c>
      <c r="E52" s="6" t="s">
        <v>633</v>
      </c>
      <c r="F52" s="6" t="s">
        <v>634</v>
      </c>
      <c r="G52" s="6" t="s">
        <v>632</v>
      </c>
      <c r="H52" s="6" t="s">
        <v>693</v>
      </c>
      <c r="I52" s="6"/>
      <c r="J52" s="6"/>
      <c r="K52" s="7">
        <v>51.0</v>
      </c>
      <c r="L52" s="6" t="str">
        <f>IFERROR(__xludf.DUMMYFUNCTION("GOOGLETRANSLATE(B52,""en"",""ur"")"),"gilli_danda_6 میں دکھائے جانے والے اہم عمل کیا ہے؟")</f>
        <v>gilli_danda_6 میں دکھائے جانے والے اہم عمل کیا ہے؟</v>
      </c>
      <c r="M52" s="6"/>
      <c r="N52" s="8" t="str">
        <f>IFERROR(__xludf.DUMMYFUNCTION("GOOGLETRANSLATE(D52,""en"",""ur"")"),"ایک کھلاڑی چھوٹی چھڑی کو بڑی چھڑی سے مار رہا ہے۔")</f>
        <v>ایک کھلاڑی چھوٹی چھڑی کو بڑی چھڑی سے مار رہا ہے۔</v>
      </c>
      <c r="O52" s="6" t="str">
        <f>IFERROR(__xludf.DUMMYFUNCTION("GOOGLETRANSLATE(E52,""en"",""ur"")"),"ایک کھلاڑی گیند کی خدمت کر رہا ہے۔")</f>
        <v>ایک کھلاڑی گیند کی خدمت کر رہا ہے۔</v>
      </c>
      <c r="P52" s="6" t="str">
        <f>IFERROR(__xludf.DUMMYFUNCTION("GOOGLETRANSLATE(F52,""en"",""ur"")"),"ایک کھلاڑی دفاعی بلاک کا مظاہرہ کر رہا ہے۔")</f>
        <v>ایک کھلاڑی دفاعی بلاک کا مظاہرہ کر رہا ہے۔</v>
      </c>
      <c r="Q52" s="6" t="s">
        <v>671</v>
      </c>
      <c r="R52" s="6" t="str">
        <f>IFERROR(__xludf.DUMMYFUNCTION("GOOGLETRANSLATE(G52,""en"",""ur"")"),"ایک کھلاڑی چھوٹی چھڑی کو بڑی چھڑی سے مار رہا ہے۔")</f>
        <v>ایک کھلاڑی چھوٹی چھڑی کو بڑی چھڑی سے مار رہا ہے۔</v>
      </c>
      <c r="S52" s="6" t="s">
        <v>693</v>
      </c>
      <c r="T52" s="6"/>
      <c r="U52" s="6"/>
      <c r="V52" s="6"/>
      <c r="W52" s="6"/>
      <c r="X52" s="6"/>
      <c r="Y52" s="6"/>
      <c r="Z52" s="6"/>
      <c r="AA52" s="6"/>
    </row>
    <row r="53">
      <c r="A53" s="7">
        <v>52.0</v>
      </c>
      <c r="B53" s="6" t="s">
        <v>636</v>
      </c>
      <c r="C53" s="6" t="s">
        <v>637</v>
      </c>
      <c r="D53" s="6" t="s">
        <v>638</v>
      </c>
      <c r="E53" s="6" t="s">
        <v>639</v>
      </c>
      <c r="F53" s="6" t="s">
        <v>640</v>
      </c>
      <c r="G53" s="6" t="s">
        <v>638</v>
      </c>
      <c r="H53" s="6" t="s">
        <v>693</v>
      </c>
      <c r="I53" s="6"/>
      <c r="J53" s="6"/>
      <c r="K53" s="7">
        <v>52.0</v>
      </c>
      <c r="L53" s="6" t="str">
        <f>IFERROR(__xludf.DUMMYFUNCTION("GOOGLETRANSLATE(B53,""en"",""ur"")"),"کھیل میں استعمال ہونے والے آلات کے دو ٹکڑے کیا ہیں؟")</f>
        <v>کھیل میں استعمال ہونے والے آلات کے دو ٹکڑے کیا ہیں؟</v>
      </c>
      <c r="M53" s="6"/>
      <c r="N53" s="8" t="str">
        <f>IFERROR(__xludf.DUMMYFUNCTION("GOOGLETRANSLATE(D53,""en"",""ur"")"),"ایک لمبی چھڑی (ڈنڈا) اور ایک چھوٹی چھڑی (گلی)")</f>
        <v>ایک لمبی چھڑی (ڈنڈا) اور ایک چھوٹی چھڑی (گلی)</v>
      </c>
      <c r="O53" s="6" t="str">
        <f>IFERROR(__xludf.DUMMYFUNCTION("GOOGLETRANSLATE(E53,""en"",""ur"")"),"ایک ریکیٹ اور ایک شٹل کاک")</f>
        <v>ایک ریکیٹ اور ایک شٹل کاک</v>
      </c>
      <c r="P53" s="6" t="str">
        <f>IFERROR(__xludf.DUMMYFUNCTION("GOOGLETRANSLATE(F53,""en"",""ur"")"),"ایک چمگادڑ اور ایک دستانہ")</f>
        <v>ایک چمگادڑ اور ایک دستانہ</v>
      </c>
      <c r="Q53" s="6" t="s">
        <v>641</v>
      </c>
      <c r="R53" s="6" t="str">
        <f>IFERROR(__xludf.DUMMYFUNCTION("GOOGLETRANSLATE(G53,""en"",""ur"")"),"ایک لمبی چھڑی (ڈنڈا) اور ایک چھوٹی چھڑی (گلی)")</f>
        <v>ایک لمبی چھڑی (ڈنڈا) اور ایک چھوٹی چھڑی (گلی)</v>
      </c>
      <c r="S53" s="6" t="s">
        <v>693</v>
      </c>
      <c r="T53" s="6"/>
      <c r="U53" s="6"/>
      <c r="V53" s="6"/>
      <c r="W53" s="6"/>
      <c r="X53" s="6"/>
      <c r="Y53" s="6"/>
      <c r="Z53" s="6"/>
      <c r="AA53" s="6"/>
    </row>
    <row r="54">
      <c r="A54" s="7">
        <v>53.0</v>
      </c>
      <c r="B54" s="6" t="s">
        <v>642</v>
      </c>
      <c r="C54" s="6" t="s">
        <v>307</v>
      </c>
      <c r="D54" s="6" t="s">
        <v>643</v>
      </c>
      <c r="E54" s="6" t="s">
        <v>311</v>
      </c>
      <c r="F54" s="6" t="s">
        <v>314</v>
      </c>
      <c r="G54" s="6" t="s">
        <v>643</v>
      </c>
      <c r="H54" s="6" t="s">
        <v>693</v>
      </c>
      <c r="I54" s="6"/>
      <c r="J54" s="6"/>
      <c r="K54" s="7">
        <v>53.0</v>
      </c>
      <c r="L54" s="6" t="str">
        <f>IFERROR(__xludf.DUMMYFUNCTION("GOOGLETRANSLATE(B54,""en"",""ur"")"),"بائیں طرف کھلاڑی کے بارے میں ایک قابل ذکر تفصیل کیا ہے؟")</f>
        <v>بائیں طرف کھلاڑی کے بارے میں ایک قابل ذکر تفصیل کیا ہے؟</v>
      </c>
      <c r="M54" s="6"/>
      <c r="N54" s="8" t="str">
        <f>IFERROR(__xludf.DUMMYFUNCTION("GOOGLETRANSLATE(D54,""en"",""ur"")"),"وہ ایک پست، جھکائے ہوئے موقف میں ہے، ہڑتال کرنے کی تیاری کر رہا ہے۔")</f>
        <v>وہ ایک پست، جھکائے ہوئے موقف میں ہے، ہڑتال کرنے کی تیاری کر رہا ہے۔</v>
      </c>
      <c r="O54" s="6" t="str">
        <f>IFERROR(__xludf.DUMMYFUNCTION("GOOGLETRANSLATE(E54,""en"",""ur"")"),"وہ سیدھا کھڑا ہے۔")</f>
        <v>وہ سیدھا کھڑا ہے۔</v>
      </c>
      <c r="P54" s="6" t="str">
        <f>IFERROR(__xludf.DUMMYFUNCTION("GOOGLETRANSLATE(F54,""en"",""ur"")"),"وہ آرام سے بیٹھا ہے۔")</f>
        <v>وہ آرام سے بیٹھا ہے۔</v>
      </c>
      <c r="Q54" s="6" t="s">
        <v>644</v>
      </c>
      <c r="R54" s="6" t="str">
        <f>IFERROR(__xludf.DUMMYFUNCTION("GOOGLETRANSLATE(G54,""en"",""ur"")"),"وہ ایک پست، جھکائے ہوئے موقف میں ہے، ہڑتال کرنے کی تیاری کر رہا ہے۔")</f>
        <v>وہ ایک پست، جھکائے ہوئے موقف میں ہے، ہڑتال کرنے کی تیاری کر رہا ہے۔</v>
      </c>
      <c r="S54" s="6" t="s">
        <v>693</v>
      </c>
      <c r="T54" s="6"/>
      <c r="U54" s="6"/>
      <c r="V54" s="6"/>
      <c r="W54" s="6"/>
      <c r="X54" s="6"/>
      <c r="Y54" s="6"/>
      <c r="Z54" s="6"/>
      <c r="AA54" s="6"/>
    </row>
    <row r="55">
      <c r="A55" s="7">
        <v>54.0</v>
      </c>
      <c r="B55" s="6" t="s">
        <v>645</v>
      </c>
      <c r="C55" s="6" t="s">
        <v>422</v>
      </c>
      <c r="D55" s="6" t="s">
        <v>646</v>
      </c>
      <c r="E55" s="6" t="s">
        <v>647</v>
      </c>
      <c r="F55" s="6" t="s">
        <v>425</v>
      </c>
      <c r="G55" s="6" t="s">
        <v>647</v>
      </c>
      <c r="H55" s="6" t="s">
        <v>693</v>
      </c>
      <c r="I55" s="6"/>
      <c r="J55" s="6"/>
      <c r="K55" s="7">
        <v>54.0</v>
      </c>
      <c r="L55" s="6" t="str">
        <f>IFERROR(__xludf.DUMMYFUNCTION("GOOGLETRANSLATE(B55,""en"",""ur"")"),"کھیل کی ظاہری ترتیب کیا ہے؟")</f>
        <v>کھیل کی ظاہری ترتیب کیا ہے؟</v>
      </c>
      <c r="M55" s="6"/>
      <c r="N55" s="8" t="str">
        <f>IFERROR(__xludf.DUMMYFUNCTION("GOOGLETRANSLATE(D55,""en"",""ur"")"),"شہر کی ایک گلی")</f>
        <v>شہر کی ایک گلی</v>
      </c>
      <c r="O55" s="6" t="str">
        <f>IFERROR(__xludf.DUMMYFUNCTION("GOOGLETRANSLATE(E55,""en"",""ur"")"),"ایک بیرونی گندگی کا میدان")</f>
        <v>ایک بیرونی گندگی کا میدان</v>
      </c>
      <c r="P55" s="6" t="str">
        <f>IFERROR(__xludf.DUMMYFUNCTION("GOOGLETRANSLATE(F55,""en"",""ur"")"),"گھاس کا میدان")</f>
        <v>گھاس کا میدان</v>
      </c>
      <c r="Q55" s="6" t="s">
        <v>648</v>
      </c>
      <c r="R55" s="6" t="str">
        <f>IFERROR(__xludf.DUMMYFUNCTION("GOOGLETRANSLATE(G55,""en"",""ur"")"),"ایک بیرونی گندگی کا میدان")</f>
        <v>ایک بیرونی گندگی کا میدان</v>
      </c>
      <c r="S55" s="6" t="s">
        <v>693</v>
      </c>
      <c r="T55" s="6"/>
      <c r="U55" s="6"/>
      <c r="V55" s="6"/>
      <c r="W55" s="6"/>
      <c r="X55" s="6"/>
      <c r="Y55" s="6"/>
      <c r="Z55" s="6"/>
      <c r="AA55" s="6"/>
    </row>
    <row r="56">
      <c r="A56" s="7">
        <v>55.0</v>
      </c>
      <c r="B56" s="6" t="s">
        <v>679</v>
      </c>
      <c r="C56" s="6" t="s">
        <v>47</v>
      </c>
      <c r="D56" s="6" t="s">
        <v>48</v>
      </c>
      <c r="E56" s="6" t="s">
        <v>49</v>
      </c>
      <c r="F56" s="6" t="s">
        <v>50</v>
      </c>
      <c r="G56" s="6" t="s">
        <v>49</v>
      </c>
      <c r="H56" s="6" t="s">
        <v>693</v>
      </c>
      <c r="I56" s="6"/>
      <c r="J56" s="6"/>
      <c r="K56" s="7">
        <v>55.0</v>
      </c>
      <c r="L56" s="6" t="str">
        <f>IFERROR(__xludf.DUMMYFUNCTION("GOOGLETRANSLATE(B56,""en"",""ur"")"),"کھلاڑی کے چہرے سے ظاہری جذبات کیا ہیں؟")</f>
        <v>کھلاڑی کے چہرے سے ظاہری جذبات کیا ہیں؟</v>
      </c>
      <c r="M56" s="6"/>
      <c r="N56" s="8" t="str">
        <f>IFERROR(__xludf.DUMMYFUNCTION("GOOGLETRANSLATE(D56,""en"",""ur"")"),"خوف زدہ اور بے چین")</f>
        <v>خوف زدہ اور بے چین</v>
      </c>
      <c r="O56" s="6" t="str">
        <f>IFERROR(__xludf.DUMMYFUNCTION("GOOGLETRANSLATE(E56,""en"",""ur"")"),"کشیدہ اور شدید")</f>
        <v>کشیدہ اور شدید</v>
      </c>
      <c r="P56" s="6" t="str">
        <f>IFERROR(__xludf.DUMMYFUNCTION("GOOGLETRANSLATE(F56,""en"",""ur"")"),"خوش اور مسکراتے ہوئے۔")</f>
        <v>خوش اور مسکراتے ہوئے۔</v>
      </c>
      <c r="Q56" s="6" t="s">
        <v>649</v>
      </c>
      <c r="R56" s="6" t="str">
        <f>IFERROR(__xludf.DUMMYFUNCTION("GOOGLETRANSLATE(G56,""en"",""ur"")"),"کشیدہ اور شدید")</f>
        <v>کشیدہ اور شدید</v>
      </c>
      <c r="S56" s="6" t="s">
        <v>693</v>
      </c>
      <c r="T56" s="6"/>
      <c r="U56" s="6"/>
      <c r="V56" s="6"/>
      <c r="W56" s="6"/>
      <c r="X56" s="6"/>
      <c r="Y56" s="6"/>
      <c r="Z56" s="6"/>
      <c r="AA56" s="6"/>
    </row>
    <row r="57">
      <c r="A57" s="7">
        <v>56.0</v>
      </c>
      <c r="B57" s="6" t="s">
        <v>88</v>
      </c>
      <c r="C57" s="6" t="s">
        <v>89</v>
      </c>
      <c r="D57" s="6" t="s">
        <v>90</v>
      </c>
      <c r="E57" s="6" t="s">
        <v>91</v>
      </c>
      <c r="F57" s="6" t="s">
        <v>368</v>
      </c>
      <c r="G57" s="6" t="s">
        <v>368</v>
      </c>
      <c r="H57" s="6" t="s">
        <v>693</v>
      </c>
      <c r="I57" s="6"/>
      <c r="J57" s="6"/>
      <c r="K57" s="7">
        <v>56.0</v>
      </c>
      <c r="L57" s="6" t="str">
        <f>IFERROR(__xludf.DUMMYFUNCTION("GOOGLETRANSLATE(B57,""en"",""ur"")"),"زمین کی سب سے نمایاں خصوصیت کیا ہے؟")</f>
        <v>زمین کی سب سے نمایاں خصوصیت کیا ہے؟</v>
      </c>
      <c r="M57" s="6"/>
      <c r="N57" s="8" t="str">
        <f>IFERROR(__xludf.DUMMYFUNCTION("GOOGLETRANSLATE(D57,""en"",""ur"")"),"کیچڑ والا میدان")</f>
        <v>کیچڑ والا میدان</v>
      </c>
      <c r="O57" s="6" t="str">
        <f>IFERROR(__xludf.DUMMYFUNCTION("GOOGLETRANSLATE(E57,""en"",""ur"")"),"ایک گھاس دار سطح")</f>
        <v>ایک گھاس دار سطح</v>
      </c>
      <c r="P57" s="6" t="str">
        <f>IFERROR(__xludf.DUMMYFUNCTION("GOOGLETRANSLATE(F57,""en"",""ur"")"),"دھول اڑنے والی ریتلی یا گندگی کی سطح")</f>
        <v>دھول اڑنے والی ریتلی یا گندگی کی سطح</v>
      </c>
      <c r="Q57" s="6" t="s">
        <v>650</v>
      </c>
      <c r="R57" s="6" t="str">
        <f>IFERROR(__xludf.DUMMYFUNCTION("GOOGLETRANSLATE(G57,""en"",""ur"")"),"دھول اڑنے والی ریتلی یا گندگی کی سطح")</f>
        <v>دھول اڑنے والی ریتلی یا گندگی کی سطح</v>
      </c>
      <c r="S57" s="6" t="s">
        <v>693</v>
      </c>
      <c r="T57" s="6"/>
      <c r="U57" s="6"/>
      <c r="V57" s="6"/>
      <c r="W57" s="6"/>
      <c r="X57" s="6"/>
      <c r="Y57" s="6"/>
      <c r="Z57" s="6"/>
      <c r="AA57" s="6"/>
    </row>
    <row r="58">
      <c r="A58" s="7">
        <v>57.0</v>
      </c>
      <c r="B58" s="6" t="s">
        <v>94</v>
      </c>
      <c r="C58" s="6" t="s">
        <v>95</v>
      </c>
      <c r="D58" s="6" t="s">
        <v>651</v>
      </c>
      <c r="E58" s="6" t="s">
        <v>652</v>
      </c>
      <c r="F58" s="6" t="s">
        <v>653</v>
      </c>
      <c r="G58" s="6" t="s">
        <v>652</v>
      </c>
      <c r="H58" s="6" t="s">
        <v>693</v>
      </c>
      <c r="I58" s="6"/>
      <c r="J58" s="6"/>
      <c r="K58" s="7">
        <v>57.0</v>
      </c>
      <c r="L58" s="6" t="str">
        <f>IFERROR(__xludf.DUMMYFUNCTION("GOOGLETRANSLATE(B58,""en"",""ur"")"),"کھیلے جانے والے کھیل کا نام کیا ہے؟")</f>
        <v>کھیلے جانے والے کھیل کا نام کیا ہے؟</v>
      </c>
      <c r="M58" s="6"/>
      <c r="N58" s="8" t="str">
        <f>IFERROR(__xludf.DUMMYFUNCTION("GOOGLETRANSLATE(D58,""en"",""ur"")"),"کرکٹ")</f>
        <v>کرکٹ</v>
      </c>
      <c r="O58" s="6" t="str">
        <f>IFERROR(__xludf.DUMMYFUNCTION("GOOGLETRANSLATE(E58,""en"",""ur"")"),"گلی ڈنڈا۔")</f>
        <v>گلی ڈنڈا۔</v>
      </c>
      <c r="P58" s="6" t="str">
        <f>IFERROR(__xludf.DUMMYFUNCTION("GOOGLETRANSLATE(F58,""en"",""ur"")"),"بیس بال")</f>
        <v>بیس بال</v>
      </c>
      <c r="Q58" s="6" t="s">
        <v>654</v>
      </c>
      <c r="R58" s="6" t="str">
        <f>IFERROR(__xludf.DUMMYFUNCTION("GOOGLETRANSLATE(G58,""en"",""ur"")"),"گلی ڈنڈا۔")</f>
        <v>گلی ڈنڈا۔</v>
      </c>
      <c r="S58" s="6" t="s">
        <v>693</v>
      </c>
      <c r="T58" s="6"/>
      <c r="U58" s="6"/>
      <c r="V58" s="6"/>
      <c r="W58" s="6"/>
      <c r="X58" s="6"/>
      <c r="Y58" s="6"/>
      <c r="Z58" s="6"/>
      <c r="AA58" s="6"/>
    </row>
    <row r="59">
      <c r="A59" s="7">
        <v>58.0</v>
      </c>
      <c r="B59" s="6" t="s">
        <v>260</v>
      </c>
      <c r="C59" s="6" t="s">
        <v>261</v>
      </c>
      <c r="D59" s="6" t="s">
        <v>262</v>
      </c>
      <c r="E59" s="6" t="s">
        <v>263</v>
      </c>
      <c r="F59" s="6" t="s">
        <v>655</v>
      </c>
      <c r="G59" s="6" t="s">
        <v>655</v>
      </c>
      <c r="H59" s="6" t="s">
        <v>693</v>
      </c>
      <c r="I59" s="6"/>
      <c r="J59" s="6"/>
      <c r="K59" s="7">
        <v>58.0</v>
      </c>
      <c r="L59" s="6" t="str">
        <f>IFERROR(__xludf.DUMMYFUNCTION("GOOGLETRANSLATE(B59,""en"",""ur"")"),"تصویر میں ایکشن ایک ایسا انداز تجویز کرتا ہے جو اس بات پر زور دیتا ہے...")</f>
        <v>تصویر میں ایکشن ایک ایسا انداز تجویز کرتا ہے جو اس بات پر زور دیتا ہے...</v>
      </c>
      <c r="M59" s="6"/>
      <c r="N59" s="8" t="str">
        <f>IFERROR(__xludf.DUMMYFUNCTION("GOOGLETRANSLATE(D59,""en"",""ur"")"),"زمینی لڑائی اور گرفت")</f>
        <v>زمینی لڑائی اور گرفت</v>
      </c>
      <c r="O59" s="6" t="str">
        <f>IFERROR(__xludf.DUMMYFUNCTION("GOOGLETRANSLATE(E59,""en"",""ur"")"),"وحشیانہ قوت اور گھڑ سواری۔")</f>
        <v>وحشیانہ قوت اور گھڑ سواری۔</v>
      </c>
      <c r="P59" s="6" t="str">
        <f>IFERROR(__xludf.DUMMYFUNCTION("GOOGLETRANSLATE(F59,""en"",""ur"")"),"ہاتھ سے آنکھ کو آرڈینیشن اور حیرت انگیز")</f>
        <v>ہاتھ سے آنکھ کو آرڈینیشن اور حیرت انگیز</v>
      </c>
      <c r="Q59" s="6" t="s">
        <v>656</v>
      </c>
      <c r="R59" s="6" t="str">
        <f>IFERROR(__xludf.DUMMYFUNCTION("GOOGLETRANSLATE(G59,""en"",""ur"")"),"ہاتھ سے آنکھ کو آرڈینیشن اور حیرت انگیز")</f>
        <v>ہاتھ سے آنکھ کو آرڈینیشن اور حیرت انگیز</v>
      </c>
      <c r="S59" s="6" t="s">
        <v>693</v>
      </c>
      <c r="T59" s="6"/>
      <c r="U59" s="6"/>
      <c r="V59" s="6"/>
      <c r="W59" s="6"/>
      <c r="X59" s="6"/>
      <c r="Y59" s="6"/>
      <c r="Z59" s="6"/>
      <c r="AA59" s="6"/>
    </row>
    <row r="60">
      <c r="A60" s="7">
        <v>59.0</v>
      </c>
      <c r="B60" s="6" t="s">
        <v>657</v>
      </c>
      <c r="C60" s="6" t="s">
        <v>658</v>
      </c>
      <c r="D60" s="6" t="s">
        <v>659</v>
      </c>
      <c r="E60" s="6" t="s">
        <v>660</v>
      </c>
      <c r="F60" s="6" t="s">
        <v>661</v>
      </c>
      <c r="G60" s="6" t="s">
        <v>660</v>
      </c>
      <c r="H60" s="6" t="s">
        <v>693</v>
      </c>
      <c r="I60" s="6"/>
      <c r="J60" s="6"/>
      <c r="K60" s="7">
        <v>59.0</v>
      </c>
      <c r="L60" s="6" t="str">
        <f>IFERROR(__xludf.DUMMYFUNCTION("GOOGLETRANSLATE(B60,""en"",""ur"")"),"کھلاڑیوں کے جوتے کے بارے میں ایک قابل ذکر تفصیل کیا ہے؟")</f>
        <v>کھلاڑیوں کے جوتے کے بارے میں ایک قابل ذکر تفصیل کیا ہے؟</v>
      </c>
      <c r="M60" s="6"/>
      <c r="N60" s="8" t="str">
        <f>IFERROR(__xludf.DUMMYFUNCTION("GOOGLETRANSLATE(D60,""en"",""ur"")"),"وہ ننگے پاؤں ہیں۔")</f>
        <v>وہ ننگے پاؤں ہیں۔</v>
      </c>
      <c r="O60" s="6" t="str">
        <f>IFERROR(__xludf.DUMMYFUNCTION("GOOGLETRANSLATE(E60,""en"",""ur"")"),"وہ سینڈل یا فلپ فلاپ پہنے ہوئے ہیں۔")</f>
        <v>وہ سینڈل یا فلپ فلاپ پہنے ہوئے ہیں۔</v>
      </c>
      <c r="P60" s="6" t="str">
        <f>IFERROR(__xludf.DUMMYFUNCTION("GOOGLETRANSLATE(F60,""en"",""ur"")"),"وہ موزے پہنے ہوئے ہیں۔")</f>
        <v>وہ موزے پہنے ہوئے ہیں۔</v>
      </c>
      <c r="Q60" s="6" t="s">
        <v>662</v>
      </c>
      <c r="R60" s="6" t="str">
        <f>IFERROR(__xludf.DUMMYFUNCTION("GOOGLETRANSLATE(G60,""en"",""ur"")"),"وہ سینڈل یا فلپ فلاپ پہنے ہوئے ہیں۔")</f>
        <v>وہ سینڈل یا فلپ فلاپ پہنے ہوئے ہیں۔</v>
      </c>
      <c r="S60" s="6" t="s">
        <v>693</v>
      </c>
      <c r="T60" s="6"/>
      <c r="U60" s="6"/>
      <c r="V60" s="6"/>
      <c r="W60" s="6"/>
      <c r="X60" s="6"/>
      <c r="Y60" s="6"/>
      <c r="Z60" s="6"/>
      <c r="AA60" s="6"/>
    </row>
    <row r="61">
      <c r="A61" s="7">
        <v>60.0</v>
      </c>
      <c r="B61" s="6" t="s">
        <v>663</v>
      </c>
      <c r="C61" s="6" t="s">
        <v>664</v>
      </c>
      <c r="D61" s="6" t="s">
        <v>665</v>
      </c>
      <c r="E61" s="6" t="s">
        <v>666</v>
      </c>
      <c r="F61" s="6" t="s">
        <v>667</v>
      </c>
      <c r="G61" s="6" t="s">
        <v>666</v>
      </c>
      <c r="H61" s="6" t="s">
        <v>693</v>
      </c>
      <c r="I61" s="6"/>
      <c r="J61" s="6"/>
      <c r="K61" s="7">
        <v>60.0</v>
      </c>
      <c r="L61" s="6" t="str">
        <f>IFERROR(__xludf.DUMMYFUNCTION("GOOGLETRANSLATE(B61,""en"",""ur"")"),"پس منظر میں دیگر کھلاڑیوں کے بارے میں ایک قابل ذکر تفصیل کیا ہے؟")</f>
        <v>پس منظر میں دیگر کھلاڑیوں کے بارے میں ایک قابل ذکر تفصیل کیا ہے؟</v>
      </c>
      <c r="M61" s="6"/>
      <c r="N61" s="8" t="str">
        <f>IFERROR(__xludf.DUMMYFUNCTION("GOOGLETRANSLATE(D61,""en"",""ur"")"),"وہ سب ادھر ادھر بھاگ رہے ہیں۔")</f>
        <v>وہ سب ادھر ادھر بھاگ رہے ہیں۔</v>
      </c>
      <c r="O61" s="6" t="str">
        <f>IFERROR(__xludf.DUMMYFUNCTION("GOOGLETRANSLATE(E61,""en"",""ur"")"),"وہ ایک دفاعی، تیار موقف میں ہیں۔")</f>
        <v>وہ ایک دفاعی، تیار موقف میں ہیں۔</v>
      </c>
      <c r="P61" s="6" t="str">
        <f>IFERROR(__xludf.DUMMYFUNCTION("GOOGLETRANSLATE(F61,""en"",""ur"")"),"وہ سب لہرا رہے ہیں۔")</f>
        <v>وہ سب لہرا رہے ہیں۔</v>
      </c>
      <c r="Q61" s="6" t="s">
        <v>668</v>
      </c>
      <c r="R61" s="6" t="str">
        <f>IFERROR(__xludf.DUMMYFUNCTION("GOOGLETRANSLATE(G61,""en"",""ur"")"),"وہ ایک دفاعی، تیار موقف میں ہیں۔")</f>
        <v>وہ ایک دفاعی، تیار موقف میں ہیں۔</v>
      </c>
      <c r="S61" s="6" t="s">
        <v>693</v>
      </c>
      <c r="T61" s="6"/>
      <c r="U61" s="6"/>
      <c r="V61" s="6"/>
      <c r="W61" s="6"/>
      <c r="X61" s="6"/>
      <c r="Y61" s="6"/>
      <c r="Z61" s="6"/>
      <c r="AA61" s="6"/>
    </row>
    <row r="62">
      <c r="A62" s="7">
        <v>61.0</v>
      </c>
      <c r="B62" s="6" t="s">
        <v>694</v>
      </c>
      <c r="C62" s="6" t="s">
        <v>690</v>
      </c>
      <c r="D62" s="6" t="s">
        <v>632</v>
      </c>
      <c r="E62" s="6" t="s">
        <v>633</v>
      </c>
      <c r="F62" s="6" t="s">
        <v>634</v>
      </c>
      <c r="G62" s="6" t="s">
        <v>632</v>
      </c>
      <c r="H62" s="6" t="s">
        <v>695</v>
      </c>
      <c r="I62" s="6"/>
      <c r="J62" s="6"/>
      <c r="K62" s="7">
        <v>61.0</v>
      </c>
      <c r="L62" s="6" t="str">
        <f>IFERROR(__xludf.DUMMYFUNCTION("GOOGLETRANSLATE(B62,""en"",""ur"")"),"گلی_ڈنڈا_7 میں دکھایا گیا اصل عمل کیا ہے؟")</f>
        <v>گلی_ڈنڈا_7 میں دکھایا گیا اصل عمل کیا ہے؟</v>
      </c>
      <c r="M62" s="6"/>
      <c r="N62" s="8" t="str">
        <f>IFERROR(__xludf.DUMMYFUNCTION("GOOGLETRANSLATE(D62,""en"",""ur"")"),"ایک کھلاڑی چھوٹی چھڑی کو بڑی چھڑی سے مار رہا ہے۔")</f>
        <v>ایک کھلاڑی چھوٹی چھڑی کو بڑی چھڑی سے مار رہا ہے۔</v>
      </c>
      <c r="O62" s="6" t="str">
        <f>IFERROR(__xludf.DUMMYFUNCTION("GOOGLETRANSLATE(E62,""en"",""ur"")"),"ایک کھلاڑی گیند کی خدمت کر رہا ہے۔")</f>
        <v>ایک کھلاڑی گیند کی خدمت کر رہا ہے۔</v>
      </c>
      <c r="P62" s="6" t="str">
        <f>IFERROR(__xludf.DUMMYFUNCTION("GOOGLETRANSLATE(F62,""en"",""ur"")"),"ایک کھلاڑی دفاعی بلاک کا مظاہرہ کر رہا ہے۔")</f>
        <v>ایک کھلاڑی دفاعی بلاک کا مظاہرہ کر رہا ہے۔</v>
      </c>
      <c r="Q62" s="6" t="s">
        <v>671</v>
      </c>
      <c r="R62" s="6" t="str">
        <f>IFERROR(__xludf.DUMMYFUNCTION("GOOGLETRANSLATE(G62,""en"",""ur"")"),"ایک کھلاڑی چھوٹی چھڑی کو بڑی چھڑی سے مار رہا ہے۔")</f>
        <v>ایک کھلاڑی چھوٹی چھڑی کو بڑی چھڑی سے مار رہا ہے۔</v>
      </c>
      <c r="S62" s="6" t="s">
        <v>695</v>
      </c>
      <c r="T62" s="6"/>
      <c r="U62" s="6"/>
      <c r="V62" s="6"/>
      <c r="W62" s="6"/>
      <c r="X62" s="6"/>
      <c r="Y62" s="6"/>
      <c r="Z62" s="6"/>
      <c r="AA62" s="6"/>
    </row>
    <row r="63">
      <c r="A63" s="7">
        <v>62.0</v>
      </c>
      <c r="B63" s="6" t="s">
        <v>636</v>
      </c>
      <c r="C63" s="6" t="s">
        <v>637</v>
      </c>
      <c r="D63" s="6" t="s">
        <v>638</v>
      </c>
      <c r="E63" s="6" t="s">
        <v>639</v>
      </c>
      <c r="F63" s="6" t="s">
        <v>640</v>
      </c>
      <c r="G63" s="6" t="s">
        <v>638</v>
      </c>
      <c r="H63" s="6" t="s">
        <v>695</v>
      </c>
      <c r="I63" s="6"/>
      <c r="J63" s="6"/>
      <c r="K63" s="7">
        <v>62.0</v>
      </c>
      <c r="L63" s="6" t="str">
        <f>IFERROR(__xludf.DUMMYFUNCTION("GOOGLETRANSLATE(B63,""en"",""ur"")"),"کھیل میں استعمال ہونے والے آلات کے دو ٹکڑے کیا ہیں؟")</f>
        <v>کھیل میں استعمال ہونے والے آلات کے دو ٹکڑے کیا ہیں؟</v>
      </c>
      <c r="M63" s="6"/>
      <c r="N63" s="8" t="str">
        <f>IFERROR(__xludf.DUMMYFUNCTION("GOOGLETRANSLATE(D63,""en"",""ur"")"),"ایک لمبی چھڑی (ڈنڈا) اور ایک چھوٹی چھڑی (گلی)")</f>
        <v>ایک لمبی چھڑی (ڈنڈا) اور ایک چھوٹی چھڑی (گلی)</v>
      </c>
      <c r="O63" s="6" t="str">
        <f>IFERROR(__xludf.DUMMYFUNCTION("GOOGLETRANSLATE(E63,""en"",""ur"")"),"ایک ریکیٹ اور ایک شٹل کاک")</f>
        <v>ایک ریکیٹ اور ایک شٹل کاک</v>
      </c>
      <c r="P63" s="6" t="str">
        <f>IFERROR(__xludf.DUMMYFUNCTION("GOOGLETRANSLATE(F63,""en"",""ur"")"),"ایک چمگادڑ اور ایک دستانہ")</f>
        <v>ایک چمگادڑ اور ایک دستانہ</v>
      </c>
      <c r="Q63" s="6" t="s">
        <v>641</v>
      </c>
      <c r="R63" s="6" t="str">
        <f>IFERROR(__xludf.DUMMYFUNCTION("GOOGLETRANSLATE(G63,""en"",""ur"")"),"ایک لمبی چھڑی (ڈنڈا) اور ایک چھوٹی چھڑی (گلی)")</f>
        <v>ایک لمبی چھڑی (ڈنڈا) اور ایک چھوٹی چھڑی (گلی)</v>
      </c>
      <c r="S63" s="6" t="s">
        <v>695</v>
      </c>
      <c r="T63" s="6"/>
      <c r="U63" s="6"/>
      <c r="V63" s="6"/>
      <c r="W63" s="6"/>
      <c r="X63" s="6"/>
      <c r="Y63" s="6"/>
      <c r="Z63" s="6"/>
      <c r="AA63" s="6"/>
    </row>
    <row r="64">
      <c r="A64" s="7">
        <v>63.0</v>
      </c>
      <c r="B64" s="6" t="s">
        <v>642</v>
      </c>
      <c r="C64" s="6" t="s">
        <v>307</v>
      </c>
      <c r="D64" s="6" t="s">
        <v>643</v>
      </c>
      <c r="E64" s="6" t="s">
        <v>311</v>
      </c>
      <c r="F64" s="6" t="s">
        <v>314</v>
      </c>
      <c r="G64" s="6" t="s">
        <v>643</v>
      </c>
      <c r="H64" s="6" t="s">
        <v>695</v>
      </c>
      <c r="I64" s="6"/>
      <c r="J64" s="6"/>
      <c r="K64" s="7">
        <v>63.0</v>
      </c>
      <c r="L64" s="6" t="str">
        <f>IFERROR(__xludf.DUMMYFUNCTION("GOOGLETRANSLATE(B64,""en"",""ur"")"),"بائیں طرف کھلاڑی کے بارے میں ایک قابل ذکر تفصیل کیا ہے؟")</f>
        <v>بائیں طرف کھلاڑی کے بارے میں ایک قابل ذکر تفصیل کیا ہے؟</v>
      </c>
      <c r="M64" s="6"/>
      <c r="N64" s="8" t="str">
        <f>IFERROR(__xludf.DUMMYFUNCTION("GOOGLETRANSLATE(D64,""en"",""ur"")"),"وہ ایک پست، جھکائے ہوئے موقف میں ہے، ہڑتال کرنے کی تیاری کر رہا ہے۔")</f>
        <v>وہ ایک پست، جھکائے ہوئے موقف میں ہے، ہڑتال کرنے کی تیاری کر رہا ہے۔</v>
      </c>
      <c r="O64" s="6" t="str">
        <f>IFERROR(__xludf.DUMMYFUNCTION("GOOGLETRANSLATE(E64,""en"",""ur"")"),"وہ سیدھا کھڑا ہے۔")</f>
        <v>وہ سیدھا کھڑا ہے۔</v>
      </c>
      <c r="P64" s="6" t="str">
        <f>IFERROR(__xludf.DUMMYFUNCTION("GOOGLETRANSLATE(F64,""en"",""ur"")"),"وہ آرام سے بیٹھا ہے۔")</f>
        <v>وہ آرام سے بیٹھا ہے۔</v>
      </c>
      <c r="Q64" s="6" t="s">
        <v>644</v>
      </c>
      <c r="R64" s="6" t="str">
        <f>IFERROR(__xludf.DUMMYFUNCTION("GOOGLETRANSLATE(G64,""en"",""ur"")"),"وہ ایک پست، جھکائے ہوئے موقف میں ہے، ہڑتال کرنے کی تیاری کر رہا ہے۔")</f>
        <v>وہ ایک پست، جھکائے ہوئے موقف میں ہے، ہڑتال کرنے کی تیاری کر رہا ہے۔</v>
      </c>
      <c r="S64" s="6" t="s">
        <v>695</v>
      </c>
      <c r="T64" s="6"/>
      <c r="U64" s="6"/>
      <c r="V64" s="6"/>
      <c r="W64" s="6"/>
      <c r="X64" s="6"/>
      <c r="Y64" s="6"/>
      <c r="Z64" s="6"/>
      <c r="AA64" s="6"/>
    </row>
    <row r="65">
      <c r="A65" s="7">
        <v>64.0</v>
      </c>
      <c r="B65" s="6" t="s">
        <v>645</v>
      </c>
      <c r="C65" s="6" t="s">
        <v>422</v>
      </c>
      <c r="D65" s="6" t="s">
        <v>646</v>
      </c>
      <c r="E65" s="6" t="s">
        <v>647</v>
      </c>
      <c r="F65" s="6" t="s">
        <v>425</v>
      </c>
      <c r="G65" s="6" t="s">
        <v>647</v>
      </c>
      <c r="H65" s="6" t="s">
        <v>695</v>
      </c>
      <c r="I65" s="6"/>
      <c r="J65" s="6"/>
      <c r="K65" s="7">
        <v>64.0</v>
      </c>
      <c r="L65" s="6" t="str">
        <f>IFERROR(__xludf.DUMMYFUNCTION("GOOGLETRANSLATE(B65,""en"",""ur"")"),"کھیل کی ظاہری ترتیب کیا ہے؟")</f>
        <v>کھیل کی ظاہری ترتیب کیا ہے؟</v>
      </c>
      <c r="M65" s="6"/>
      <c r="N65" s="8" t="str">
        <f>IFERROR(__xludf.DUMMYFUNCTION("GOOGLETRANSLATE(D65,""en"",""ur"")"),"شہر کی ایک گلی")</f>
        <v>شہر کی ایک گلی</v>
      </c>
      <c r="O65" s="6" t="str">
        <f>IFERROR(__xludf.DUMMYFUNCTION("GOOGLETRANSLATE(E65,""en"",""ur"")"),"ایک بیرونی گندگی کا میدان")</f>
        <v>ایک بیرونی گندگی کا میدان</v>
      </c>
      <c r="P65" s="6" t="str">
        <f>IFERROR(__xludf.DUMMYFUNCTION("GOOGLETRANSLATE(F65,""en"",""ur"")"),"گھاس کا میدان")</f>
        <v>گھاس کا میدان</v>
      </c>
      <c r="Q65" s="6" t="s">
        <v>648</v>
      </c>
      <c r="R65" s="6" t="str">
        <f>IFERROR(__xludf.DUMMYFUNCTION("GOOGLETRANSLATE(G65,""en"",""ur"")"),"ایک بیرونی گندگی کا میدان")</f>
        <v>ایک بیرونی گندگی کا میدان</v>
      </c>
      <c r="S65" s="6" t="s">
        <v>695</v>
      </c>
      <c r="T65" s="6"/>
      <c r="U65" s="6"/>
      <c r="V65" s="6"/>
      <c r="W65" s="6"/>
      <c r="X65" s="6"/>
      <c r="Y65" s="6"/>
      <c r="Z65" s="6"/>
      <c r="AA65" s="6"/>
    </row>
    <row r="66">
      <c r="A66" s="7">
        <v>65.0</v>
      </c>
      <c r="B66" s="6" t="s">
        <v>46</v>
      </c>
      <c r="C66" s="6" t="s">
        <v>47</v>
      </c>
      <c r="D66" s="6" t="s">
        <v>48</v>
      </c>
      <c r="E66" s="6" t="s">
        <v>49</v>
      </c>
      <c r="F66" s="6" t="s">
        <v>50</v>
      </c>
      <c r="G66" s="6" t="s">
        <v>50</v>
      </c>
      <c r="H66" s="6" t="s">
        <v>695</v>
      </c>
      <c r="I66" s="6"/>
      <c r="J66" s="6"/>
      <c r="K66" s="7">
        <v>65.0</v>
      </c>
      <c r="L66" s="6" t="str">
        <f>IFERROR(__xludf.DUMMYFUNCTION("GOOGLETRANSLATE(B66,""en"",""ur"")"),"کھلاڑیوں کے چہروں سے ظاہری جذبات کیا ہیں؟")</f>
        <v>کھلاڑیوں کے چہروں سے ظاہری جذبات کیا ہیں؟</v>
      </c>
      <c r="M66" s="6"/>
      <c r="N66" s="8" t="str">
        <f>IFERROR(__xludf.DUMMYFUNCTION("GOOGLETRANSLATE(D66,""en"",""ur"")"),"خوف زدہ اور بے چین")</f>
        <v>خوف زدہ اور بے چین</v>
      </c>
      <c r="O66" s="6" t="str">
        <f>IFERROR(__xludf.DUMMYFUNCTION("GOOGLETRANSLATE(E66,""en"",""ur"")"),"کشیدہ اور شدید")</f>
        <v>کشیدہ اور شدید</v>
      </c>
      <c r="P66" s="6" t="str">
        <f>IFERROR(__xludf.DUMMYFUNCTION("GOOGLETRANSLATE(F66,""en"",""ur"")"),"خوش اور مسکراتے ہوئے۔")</f>
        <v>خوش اور مسکراتے ہوئے۔</v>
      </c>
      <c r="Q66" s="6" t="s">
        <v>649</v>
      </c>
      <c r="R66" s="6" t="str">
        <f>IFERROR(__xludf.DUMMYFUNCTION("GOOGLETRANSLATE(G66,""en"",""ur"")"),"خوش اور مسکراتے ہوئے۔")</f>
        <v>خوش اور مسکراتے ہوئے۔</v>
      </c>
      <c r="S66" s="6" t="s">
        <v>695</v>
      </c>
      <c r="T66" s="6"/>
      <c r="U66" s="6"/>
      <c r="V66" s="6"/>
      <c r="W66" s="6"/>
      <c r="X66" s="6"/>
      <c r="Y66" s="6"/>
      <c r="Z66" s="6"/>
      <c r="AA66" s="6"/>
    </row>
    <row r="67">
      <c r="A67" s="7">
        <v>66.0</v>
      </c>
      <c r="B67" s="6" t="s">
        <v>88</v>
      </c>
      <c r="C67" s="6" t="s">
        <v>89</v>
      </c>
      <c r="D67" s="6" t="s">
        <v>90</v>
      </c>
      <c r="E67" s="6" t="s">
        <v>91</v>
      </c>
      <c r="F67" s="6" t="s">
        <v>255</v>
      </c>
      <c r="G67" s="6" t="s">
        <v>255</v>
      </c>
      <c r="H67" s="6" t="s">
        <v>695</v>
      </c>
      <c r="I67" s="6"/>
      <c r="J67" s="6"/>
      <c r="K67" s="7">
        <v>66.0</v>
      </c>
      <c r="L67" s="6" t="str">
        <f>IFERROR(__xludf.DUMMYFUNCTION("GOOGLETRANSLATE(B67,""en"",""ur"")"),"زمین کی سب سے نمایاں خصوصیت کیا ہے؟")</f>
        <v>زمین کی سب سے نمایاں خصوصیت کیا ہے؟</v>
      </c>
      <c r="M67" s="6"/>
      <c r="N67" s="8" t="str">
        <f>IFERROR(__xludf.DUMMYFUNCTION("GOOGLETRANSLATE(D67,""en"",""ur"")"),"کیچڑ والا میدان")</f>
        <v>کیچڑ والا میدان</v>
      </c>
      <c r="O67" s="6" t="str">
        <f>IFERROR(__xludf.DUMMYFUNCTION("GOOGLETRANSLATE(E67,""en"",""ur"")"),"ایک گھاس دار سطح")</f>
        <v>ایک گھاس دار سطح</v>
      </c>
      <c r="P67" s="6" t="str">
        <f>IFERROR(__xludf.DUMMYFUNCTION("GOOGLETRANSLATE(F67,""en"",""ur"")"),"ریتلی یا گندگی کی سطح")</f>
        <v>ریتلی یا گندگی کی سطح</v>
      </c>
      <c r="Q67" s="6" t="s">
        <v>688</v>
      </c>
      <c r="R67" s="6" t="str">
        <f>IFERROR(__xludf.DUMMYFUNCTION("GOOGLETRANSLATE(G67,""en"",""ur"")"),"ریتلی یا گندگی کی سطح")</f>
        <v>ریتلی یا گندگی کی سطح</v>
      </c>
      <c r="S67" s="6" t="s">
        <v>695</v>
      </c>
      <c r="T67" s="6"/>
      <c r="U67" s="6"/>
      <c r="V67" s="6"/>
      <c r="W67" s="6"/>
      <c r="X67" s="6"/>
      <c r="Y67" s="6"/>
      <c r="Z67" s="6"/>
      <c r="AA67" s="6"/>
    </row>
    <row r="68">
      <c r="A68" s="7">
        <v>67.0</v>
      </c>
      <c r="B68" s="6" t="s">
        <v>94</v>
      </c>
      <c r="C68" s="6" t="s">
        <v>95</v>
      </c>
      <c r="D68" s="6" t="s">
        <v>651</v>
      </c>
      <c r="E68" s="6" t="s">
        <v>652</v>
      </c>
      <c r="F68" s="6" t="s">
        <v>653</v>
      </c>
      <c r="G68" s="6" t="s">
        <v>652</v>
      </c>
      <c r="H68" s="6" t="s">
        <v>695</v>
      </c>
      <c r="I68" s="6"/>
      <c r="J68" s="6"/>
      <c r="K68" s="7">
        <v>67.0</v>
      </c>
      <c r="L68" s="6" t="str">
        <f>IFERROR(__xludf.DUMMYFUNCTION("GOOGLETRANSLATE(B68,""en"",""ur"")"),"کھیلے جانے والے کھیل کا نام کیا ہے؟")</f>
        <v>کھیلے جانے والے کھیل کا نام کیا ہے؟</v>
      </c>
      <c r="M68" s="6"/>
      <c r="N68" s="8" t="str">
        <f>IFERROR(__xludf.DUMMYFUNCTION("GOOGLETRANSLATE(D68,""en"",""ur"")"),"کرکٹ")</f>
        <v>کرکٹ</v>
      </c>
      <c r="O68" s="6" t="str">
        <f>IFERROR(__xludf.DUMMYFUNCTION("GOOGLETRANSLATE(E68,""en"",""ur"")"),"گلی ڈنڈا۔")</f>
        <v>گلی ڈنڈا۔</v>
      </c>
      <c r="P68" s="6" t="str">
        <f>IFERROR(__xludf.DUMMYFUNCTION("GOOGLETRANSLATE(F68,""en"",""ur"")"),"بیس بال")</f>
        <v>بیس بال</v>
      </c>
      <c r="Q68" s="6" t="s">
        <v>654</v>
      </c>
      <c r="R68" s="6" t="str">
        <f>IFERROR(__xludf.DUMMYFUNCTION("GOOGLETRANSLATE(G68,""en"",""ur"")"),"گلی ڈنڈا۔")</f>
        <v>گلی ڈنڈا۔</v>
      </c>
      <c r="S68" s="6" t="s">
        <v>695</v>
      </c>
      <c r="T68" s="6"/>
      <c r="U68" s="6"/>
      <c r="V68" s="6"/>
      <c r="W68" s="6"/>
      <c r="X68" s="6"/>
      <c r="Y68" s="6"/>
      <c r="Z68" s="6"/>
      <c r="AA68" s="6"/>
    </row>
    <row r="69">
      <c r="A69" s="7">
        <v>68.0</v>
      </c>
      <c r="B69" s="6" t="s">
        <v>260</v>
      </c>
      <c r="C69" s="6" t="s">
        <v>261</v>
      </c>
      <c r="D69" s="6" t="s">
        <v>262</v>
      </c>
      <c r="E69" s="6" t="s">
        <v>263</v>
      </c>
      <c r="F69" s="6" t="s">
        <v>655</v>
      </c>
      <c r="G69" s="6" t="s">
        <v>655</v>
      </c>
      <c r="H69" s="6" t="s">
        <v>695</v>
      </c>
      <c r="I69" s="6"/>
      <c r="J69" s="6"/>
      <c r="K69" s="7">
        <v>68.0</v>
      </c>
      <c r="L69" s="6" t="str">
        <f>IFERROR(__xludf.DUMMYFUNCTION("GOOGLETRANSLATE(B69,""en"",""ur"")"),"تصویر میں ایکشن ایک ایسا انداز تجویز کرتا ہے جو اس بات پر زور دیتا ہے...")</f>
        <v>تصویر میں ایکشن ایک ایسا انداز تجویز کرتا ہے جو اس بات پر زور دیتا ہے...</v>
      </c>
      <c r="M69" s="6"/>
      <c r="N69" s="8" t="str">
        <f>IFERROR(__xludf.DUMMYFUNCTION("GOOGLETRANSLATE(D69,""en"",""ur"")"),"زمینی لڑائی اور گرفت")</f>
        <v>زمینی لڑائی اور گرفت</v>
      </c>
      <c r="O69" s="6" t="str">
        <f>IFERROR(__xludf.DUMMYFUNCTION("GOOGLETRANSLATE(E69,""en"",""ur"")"),"وحشیانہ قوت اور گھڑ سواری۔")</f>
        <v>وحشیانہ قوت اور گھڑ سواری۔</v>
      </c>
      <c r="P69" s="6" t="str">
        <f>IFERROR(__xludf.DUMMYFUNCTION("GOOGLETRANSLATE(F69,""en"",""ur"")"),"ہاتھ سے آنکھ کو آرڈینیشن اور حیرت انگیز")</f>
        <v>ہاتھ سے آنکھ کو آرڈینیشن اور حیرت انگیز</v>
      </c>
      <c r="Q69" s="6" t="s">
        <v>656</v>
      </c>
      <c r="R69" s="6" t="str">
        <f>IFERROR(__xludf.DUMMYFUNCTION("GOOGLETRANSLATE(G69,""en"",""ur"")"),"ہاتھ سے آنکھ کو آرڈینیشن اور حیرت انگیز")</f>
        <v>ہاتھ سے آنکھ کو آرڈینیشن اور حیرت انگیز</v>
      </c>
      <c r="S69" s="6" t="s">
        <v>695</v>
      </c>
      <c r="T69" s="6"/>
      <c r="U69" s="6"/>
      <c r="V69" s="6"/>
      <c r="W69" s="6"/>
      <c r="X69" s="6"/>
      <c r="Y69" s="6"/>
      <c r="Z69" s="6"/>
      <c r="AA69" s="6"/>
    </row>
    <row r="70">
      <c r="A70" s="7">
        <v>69.0</v>
      </c>
      <c r="B70" s="6" t="s">
        <v>657</v>
      </c>
      <c r="C70" s="6" t="s">
        <v>658</v>
      </c>
      <c r="D70" s="6" t="s">
        <v>659</v>
      </c>
      <c r="E70" s="6" t="s">
        <v>660</v>
      </c>
      <c r="F70" s="6" t="s">
        <v>661</v>
      </c>
      <c r="G70" s="6" t="s">
        <v>659</v>
      </c>
      <c r="H70" s="6" t="s">
        <v>695</v>
      </c>
      <c r="I70" s="6"/>
      <c r="J70" s="6"/>
      <c r="K70" s="7">
        <v>69.0</v>
      </c>
      <c r="L70" s="6" t="str">
        <f>IFERROR(__xludf.DUMMYFUNCTION("GOOGLETRANSLATE(B70,""en"",""ur"")"),"کھلاڑیوں کے جوتے کے بارے میں ایک قابل ذکر تفصیل کیا ہے؟")</f>
        <v>کھلاڑیوں کے جوتے کے بارے میں ایک قابل ذکر تفصیل کیا ہے؟</v>
      </c>
      <c r="M70" s="6"/>
      <c r="N70" s="8" t="str">
        <f>IFERROR(__xludf.DUMMYFUNCTION("GOOGLETRANSLATE(D70,""en"",""ur"")"),"وہ ننگے پاؤں ہیں۔")</f>
        <v>وہ ننگے پاؤں ہیں۔</v>
      </c>
      <c r="O70" s="6" t="str">
        <f>IFERROR(__xludf.DUMMYFUNCTION("GOOGLETRANSLATE(E70,""en"",""ur"")"),"وہ سینڈل یا فلپ فلاپ پہنے ہوئے ہیں۔")</f>
        <v>وہ سینڈل یا فلپ فلاپ پہنے ہوئے ہیں۔</v>
      </c>
      <c r="P70" s="6" t="str">
        <f>IFERROR(__xludf.DUMMYFUNCTION("GOOGLETRANSLATE(F70,""en"",""ur"")"),"وہ موزے پہنے ہوئے ہیں۔")</f>
        <v>وہ موزے پہنے ہوئے ہیں۔</v>
      </c>
      <c r="Q70" s="6" t="s">
        <v>662</v>
      </c>
      <c r="R70" s="6" t="str">
        <f>IFERROR(__xludf.DUMMYFUNCTION("GOOGLETRANSLATE(G70,""en"",""ur"")"),"وہ ننگے پاؤں ہیں۔")</f>
        <v>وہ ننگے پاؤں ہیں۔</v>
      </c>
      <c r="S70" s="6" t="s">
        <v>695</v>
      </c>
      <c r="T70" s="6"/>
      <c r="U70" s="6"/>
      <c r="V70" s="6"/>
      <c r="W70" s="6"/>
      <c r="X70" s="6"/>
      <c r="Y70" s="6"/>
      <c r="Z70" s="6"/>
      <c r="AA70" s="6"/>
    </row>
    <row r="71">
      <c r="A71" s="7">
        <v>70.0</v>
      </c>
      <c r="B71" s="6" t="s">
        <v>663</v>
      </c>
      <c r="C71" s="6" t="s">
        <v>664</v>
      </c>
      <c r="D71" s="6" t="s">
        <v>665</v>
      </c>
      <c r="E71" s="6" t="s">
        <v>666</v>
      </c>
      <c r="F71" s="6" t="s">
        <v>667</v>
      </c>
      <c r="G71" s="6" t="s">
        <v>666</v>
      </c>
      <c r="H71" s="6" t="s">
        <v>695</v>
      </c>
      <c r="I71" s="6"/>
      <c r="J71" s="6"/>
      <c r="K71" s="7">
        <v>70.0</v>
      </c>
      <c r="L71" s="6" t="str">
        <f>IFERROR(__xludf.DUMMYFUNCTION("GOOGLETRANSLATE(B71,""en"",""ur"")"),"پس منظر میں دیگر کھلاڑیوں کے بارے میں ایک قابل ذکر تفصیل کیا ہے؟")</f>
        <v>پس منظر میں دیگر کھلاڑیوں کے بارے میں ایک قابل ذکر تفصیل کیا ہے؟</v>
      </c>
      <c r="M71" s="6"/>
      <c r="N71" s="8" t="str">
        <f>IFERROR(__xludf.DUMMYFUNCTION("GOOGLETRANSLATE(D71,""en"",""ur"")"),"وہ سب ادھر ادھر بھاگ رہے ہیں۔")</f>
        <v>وہ سب ادھر ادھر بھاگ رہے ہیں۔</v>
      </c>
      <c r="O71" s="6" t="str">
        <f>IFERROR(__xludf.DUMMYFUNCTION("GOOGLETRANSLATE(E71,""en"",""ur"")"),"وہ ایک دفاعی، تیار موقف میں ہیں۔")</f>
        <v>وہ ایک دفاعی، تیار موقف میں ہیں۔</v>
      </c>
      <c r="P71" s="6" t="str">
        <f>IFERROR(__xludf.DUMMYFUNCTION("GOOGLETRANSLATE(F71,""en"",""ur"")"),"وہ سب لہرا رہے ہیں۔")</f>
        <v>وہ سب لہرا رہے ہیں۔</v>
      </c>
      <c r="Q71" s="6" t="s">
        <v>668</v>
      </c>
      <c r="R71" s="6" t="str">
        <f>IFERROR(__xludf.DUMMYFUNCTION("GOOGLETRANSLATE(G71,""en"",""ur"")"),"وہ ایک دفاعی، تیار موقف میں ہیں۔")</f>
        <v>وہ ایک دفاعی، تیار موقف میں ہیں۔</v>
      </c>
      <c r="S71" s="6" t="s">
        <v>695</v>
      </c>
      <c r="T71" s="6"/>
      <c r="U71" s="6"/>
      <c r="V71" s="6"/>
      <c r="W71" s="6"/>
      <c r="X71" s="6"/>
      <c r="Y71" s="6"/>
      <c r="Z71" s="6"/>
      <c r="AA71" s="6"/>
    </row>
    <row r="72">
      <c r="A72" s="7">
        <v>71.0</v>
      </c>
      <c r="B72" s="6" t="s">
        <v>696</v>
      </c>
      <c r="C72" s="6" t="s">
        <v>690</v>
      </c>
      <c r="D72" s="6" t="s">
        <v>632</v>
      </c>
      <c r="E72" s="6" t="s">
        <v>633</v>
      </c>
      <c r="F72" s="6" t="s">
        <v>634</v>
      </c>
      <c r="G72" s="6" t="s">
        <v>632</v>
      </c>
      <c r="H72" s="6" t="s">
        <v>697</v>
      </c>
      <c r="I72" s="6"/>
      <c r="J72" s="6"/>
      <c r="K72" s="7">
        <v>71.0</v>
      </c>
      <c r="L72" s="6" t="str">
        <f>IFERROR(__xludf.DUMMYFUNCTION("GOOGLETRANSLATE(B72,""en"",""ur"")"),"gilli_danda_8 میں دکھائے جانے والے اہم عمل کیا ہے؟")</f>
        <v>gilli_danda_8 میں دکھائے جانے والے اہم عمل کیا ہے؟</v>
      </c>
      <c r="M72" s="6"/>
      <c r="N72" s="8" t="str">
        <f>IFERROR(__xludf.DUMMYFUNCTION("GOOGLETRANSLATE(D72,""en"",""ur"")"),"ایک کھلاڑی چھوٹی چھڑی کو بڑی چھڑی سے مار رہا ہے۔")</f>
        <v>ایک کھلاڑی چھوٹی چھڑی کو بڑی چھڑی سے مار رہا ہے۔</v>
      </c>
      <c r="O72" s="6" t="str">
        <f>IFERROR(__xludf.DUMMYFUNCTION("GOOGLETRANSLATE(E72,""en"",""ur"")"),"ایک کھلاڑی گیند کی خدمت کر رہا ہے۔")</f>
        <v>ایک کھلاڑی گیند کی خدمت کر رہا ہے۔</v>
      </c>
      <c r="P72" s="6" t="str">
        <f>IFERROR(__xludf.DUMMYFUNCTION("GOOGLETRANSLATE(F72,""en"",""ur"")"),"ایک کھلاڑی دفاعی بلاک کا مظاہرہ کر رہا ہے۔")</f>
        <v>ایک کھلاڑی دفاعی بلاک کا مظاہرہ کر رہا ہے۔</v>
      </c>
      <c r="Q72" s="6" t="s">
        <v>671</v>
      </c>
      <c r="R72" s="6" t="str">
        <f>IFERROR(__xludf.DUMMYFUNCTION("GOOGLETRANSLATE(G72,""en"",""ur"")"),"ایک کھلاڑی چھوٹی چھڑی کو بڑی چھڑی سے مار رہا ہے۔")</f>
        <v>ایک کھلاڑی چھوٹی چھڑی کو بڑی چھڑی سے مار رہا ہے۔</v>
      </c>
      <c r="S72" s="6" t="s">
        <v>697</v>
      </c>
      <c r="T72" s="6"/>
      <c r="U72" s="6"/>
      <c r="V72" s="6"/>
      <c r="W72" s="6"/>
      <c r="X72" s="6"/>
      <c r="Y72" s="6"/>
      <c r="Z72" s="6"/>
      <c r="AA72" s="6"/>
    </row>
    <row r="73">
      <c r="A73" s="7">
        <v>72.0</v>
      </c>
      <c r="B73" s="6" t="s">
        <v>636</v>
      </c>
      <c r="C73" s="6" t="s">
        <v>637</v>
      </c>
      <c r="D73" s="6" t="s">
        <v>638</v>
      </c>
      <c r="E73" s="6" t="s">
        <v>639</v>
      </c>
      <c r="F73" s="6" t="s">
        <v>640</v>
      </c>
      <c r="G73" s="6" t="s">
        <v>638</v>
      </c>
      <c r="H73" s="6" t="s">
        <v>697</v>
      </c>
      <c r="I73" s="6"/>
      <c r="J73" s="6"/>
      <c r="K73" s="7">
        <v>72.0</v>
      </c>
      <c r="L73" s="6" t="str">
        <f>IFERROR(__xludf.DUMMYFUNCTION("GOOGLETRANSLATE(B73,""en"",""ur"")"),"کھیل میں استعمال ہونے والے آلات کے دو ٹکڑے کیا ہیں؟")</f>
        <v>کھیل میں استعمال ہونے والے آلات کے دو ٹکڑے کیا ہیں؟</v>
      </c>
      <c r="M73" s="6"/>
      <c r="N73" s="8" t="str">
        <f>IFERROR(__xludf.DUMMYFUNCTION("GOOGLETRANSLATE(D73,""en"",""ur"")"),"ایک لمبی چھڑی (ڈنڈا) اور ایک چھوٹی چھڑی (گلی)")</f>
        <v>ایک لمبی چھڑی (ڈنڈا) اور ایک چھوٹی چھڑی (گلی)</v>
      </c>
      <c r="O73" s="6" t="str">
        <f>IFERROR(__xludf.DUMMYFUNCTION("GOOGLETRANSLATE(E73,""en"",""ur"")"),"ایک ریکیٹ اور ایک شٹل کاک")</f>
        <v>ایک ریکیٹ اور ایک شٹل کاک</v>
      </c>
      <c r="P73" s="6" t="str">
        <f>IFERROR(__xludf.DUMMYFUNCTION("GOOGLETRANSLATE(F73,""en"",""ur"")"),"ایک چمگادڑ اور ایک دستانہ")</f>
        <v>ایک چمگادڑ اور ایک دستانہ</v>
      </c>
      <c r="Q73" s="6" t="s">
        <v>641</v>
      </c>
      <c r="R73" s="6" t="str">
        <f>IFERROR(__xludf.DUMMYFUNCTION("GOOGLETRANSLATE(G73,""en"",""ur"")"),"ایک لمبی چھڑی (ڈنڈا) اور ایک چھوٹی چھڑی (گلی)")</f>
        <v>ایک لمبی چھڑی (ڈنڈا) اور ایک چھوٹی چھڑی (گلی)</v>
      </c>
      <c r="S73" s="6" t="s">
        <v>697</v>
      </c>
      <c r="T73" s="6"/>
      <c r="U73" s="6"/>
      <c r="V73" s="6"/>
      <c r="W73" s="6"/>
      <c r="X73" s="6"/>
      <c r="Y73" s="6"/>
      <c r="Z73" s="6"/>
      <c r="AA73" s="6"/>
    </row>
    <row r="74">
      <c r="A74" s="7">
        <v>73.0</v>
      </c>
      <c r="B74" s="6" t="s">
        <v>687</v>
      </c>
      <c r="C74" s="6" t="s">
        <v>307</v>
      </c>
      <c r="D74" s="6" t="s">
        <v>643</v>
      </c>
      <c r="E74" s="6" t="s">
        <v>311</v>
      </c>
      <c r="F74" s="6" t="s">
        <v>314</v>
      </c>
      <c r="G74" s="6" t="s">
        <v>643</v>
      </c>
      <c r="H74" s="6" t="s">
        <v>697</v>
      </c>
      <c r="I74" s="6"/>
      <c r="J74" s="6"/>
      <c r="K74" s="7">
        <v>73.0</v>
      </c>
      <c r="L74" s="6" t="str">
        <f>IFERROR(__xludf.DUMMYFUNCTION("GOOGLETRANSLATE(B74,""en"",""ur"")"),"پیش منظر میں کھلاڑی کے بارے میں ایک قابل ذکر تفصیل کیا ہے؟")</f>
        <v>پیش منظر میں کھلاڑی کے بارے میں ایک قابل ذکر تفصیل کیا ہے؟</v>
      </c>
      <c r="M74" s="6"/>
      <c r="N74" s="8" t="str">
        <f>IFERROR(__xludf.DUMMYFUNCTION("GOOGLETRANSLATE(D74,""en"",""ur"")"),"وہ ایک پست، جھکائے ہوئے موقف میں ہے، ہڑتال کرنے کی تیاری کر رہا ہے۔")</f>
        <v>وہ ایک پست، جھکائے ہوئے موقف میں ہے، ہڑتال کرنے کی تیاری کر رہا ہے۔</v>
      </c>
      <c r="O74" s="6" t="str">
        <f>IFERROR(__xludf.DUMMYFUNCTION("GOOGLETRANSLATE(E74,""en"",""ur"")"),"وہ سیدھا کھڑا ہے۔")</f>
        <v>وہ سیدھا کھڑا ہے۔</v>
      </c>
      <c r="P74" s="6" t="str">
        <f>IFERROR(__xludf.DUMMYFUNCTION("GOOGLETRANSLATE(F74,""en"",""ur"")"),"وہ آرام سے بیٹھا ہے۔")</f>
        <v>وہ آرام سے بیٹھا ہے۔</v>
      </c>
      <c r="Q74" s="6" t="s">
        <v>644</v>
      </c>
      <c r="R74" s="6" t="str">
        <f>IFERROR(__xludf.DUMMYFUNCTION("GOOGLETRANSLATE(G74,""en"",""ur"")"),"وہ ایک پست، جھکائے ہوئے موقف میں ہے، ہڑتال کرنے کی تیاری کر رہا ہے۔")</f>
        <v>وہ ایک پست، جھکائے ہوئے موقف میں ہے، ہڑتال کرنے کی تیاری کر رہا ہے۔</v>
      </c>
      <c r="S74" s="6" t="s">
        <v>697</v>
      </c>
      <c r="T74" s="6"/>
      <c r="U74" s="6"/>
      <c r="V74" s="6"/>
      <c r="W74" s="6"/>
      <c r="X74" s="6"/>
      <c r="Y74" s="6"/>
      <c r="Z74" s="6"/>
      <c r="AA74" s="6"/>
    </row>
    <row r="75">
      <c r="A75" s="7">
        <v>74.0</v>
      </c>
      <c r="B75" s="6" t="s">
        <v>645</v>
      </c>
      <c r="C75" s="6" t="s">
        <v>422</v>
      </c>
      <c r="D75" s="6" t="s">
        <v>646</v>
      </c>
      <c r="E75" s="6" t="s">
        <v>647</v>
      </c>
      <c r="F75" s="6" t="s">
        <v>425</v>
      </c>
      <c r="G75" s="6" t="s">
        <v>647</v>
      </c>
      <c r="H75" s="6" t="s">
        <v>697</v>
      </c>
      <c r="I75" s="6"/>
      <c r="J75" s="6"/>
      <c r="K75" s="7">
        <v>74.0</v>
      </c>
      <c r="L75" s="6" t="str">
        <f>IFERROR(__xludf.DUMMYFUNCTION("GOOGLETRANSLATE(B75,""en"",""ur"")"),"کھیل کی ظاہری ترتیب کیا ہے؟")</f>
        <v>کھیل کی ظاہری ترتیب کیا ہے؟</v>
      </c>
      <c r="M75" s="6"/>
      <c r="N75" s="8" t="str">
        <f>IFERROR(__xludf.DUMMYFUNCTION("GOOGLETRANSLATE(D75,""en"",""ur"")"),"شہر کی ایک گلی")</f>
        <v>شہر کی ایک گلی</v>
      </c>
      <c r="O75" s="6" t="str">
        <f>IFERROR(__xludf.DUMMYFUNCTION("GOOGLETRANSLATE(E75,""en"",""ur"")"),"ایک بیرونی گندگی کا میدان")</f>
        <v>ایک بیرونی گندگی کا میدان</v>
      </c>
      <c r="P75" s="6" t="str">
        <f>IFERROR(__xludf.DUMMYFUNCTION("GOOGLETRANSLATE(F75,""en"",""ur"")"),"گھاس کا میدان")</f>
        <v>گھاس کا میدان</v>
      </c>
      <c r="Q75" s="6" t="s">
        <v>648</v>
      </c>
      <c r="R75" s="6" t="str">
        <f>IFERROR(__xludf.DUMMYFUNCTION("GOOGLETRANSLATE(G75,""en"",""ur"")"),"ایک بیرونی گندگی کا میدان")</f>
        <v>ایک بیرونی گندگی کا میدان</v>
      </c>
      <c r="S75" s="6" t="s">
        <v>697</v>
      </c>
      <c r="T75" s="6"/>
      <c r="U75" s="6"/>
      <c r="V75" s="6"/>
      <c r="W75" s="6"/>
      <c r="X75" s="6"/>
      <c r="Y75" s="6"/>
      <c r="Z75" s="6"/>
      <c r="AA75" s="6"/>
    </row>
    <row r="76">
      <c r="A76" s="7">
        <v>75.0</v>
      </c>
      <c r="B76" s="6" t="s">
        <v>46</v>
      </c>
      <c r="C76" s="6" t="s">
        <v>47</v>
      </c>
      <c r="D76" s="6" t="s">
        <v>48</v>
      </c>
      <c r="E76" s="6" t="s">
        <v>49</v>
      </c>
      <c r="F76" s="6" t="s">
        <v>50</v>
      </c>
      <c r="G76" s="6" t="s">
        <v>49</v>
      </c>
      <c r="H76" s="6" t="s">
        <v>697</v>
      </c>
      <c r="I76" s="6"/>
      <c r="J76" s="6"/>
      <c r="K76" s="7">
        <v>75.0</v>
      </c>
      <c r="L76" s="6" t="str">
        <f>IFERROR(__xludf.DUMMYFUNCTION("GOOGLETRANSLATE(B76,""en"",""ur"")"),"کھلاڑیوں کے چہروں سے ظاہری جذبات کیا ہیں؟")</f>
        <v>کھلاڑیوں کے چہروں سے ظاہری جذبات کیا ہیں؟</v>
      </c>
      <c r="M76" s="6"/>
      <c r="N76" s="8" t="str">
        <f>IFERROR(__xludf.DUMMYFUNCTION("GOOGLETRANSLATE(D76,""en"",""ur"")"),"خوف زدہ اور بے چین")</f>
        <v>خوف زدہ اور بے چین</v>
      </c>
      <c r="O76" s="6" t="str">
        <f>IFERROR(__xludf.DUMMYFUNCTION("GOOGLETRANSLATE(E76,""en"",""ur"")"),"کشیدہ اور شدید")</f>
        <v>کشیدہ اور شدید</v>
      </c>
      <c r="P76" s="6" t="str">
        <f>IFERROR(__xludf.DUMMYFUNCTION("GOOGLETRANSLATE(F76,""en"",""ur"")"),"خوش اور مسکراتے ہوئے۔")</f>
        <v>خوش اور مسکراتے ہوئے۔</v>
      </c>
      <c r="Q76" s="6" t="s">
        <v>649</v>
      </c>
      <c r="R76" s="6" t="str">
        <f>IFERROR(__xludf.DUMMYFUNCTION("GOOGLETRANSLATE(G76,""en"",""ur"")"),"کشیدہ اور شدید")</f>
        <v>کشیدہ اور شدید</v>
      </c>
      <c r="S76" s="6" t="s">
        <v>697</v>
      </c>
      <c r="T76" s="6"/>
      <c r="U76" s="6"/>
      <c r="V76" s="6"/>
      <c r="W76" s="6"/>
      <c r="X76" s="6"/>
      <c r="Y76" s="6"/>
      <c r="Z76" s="6"/>
      <c r="AA76" s="6"/>
    </row>
    <row r="77">
      <c r="A77" s="7">
        <v>76.0</v>
      </c>
      <c r="B77" s="6" t="s">
        <v>88</v>
      </c>
      <c r="C77" s="6" t="s">
        <v>89</v>
      </c>
      <c r="D77" s="6" t="s">
        <v>90</v>
      </c>
      <c r="E77" s="6" t="s">
        <v>91</v>
      </c>
      <c r="F77" s="6" t="s">
        <v>255</v>
      </c>
      <c r="G77" s="6" t="s">
        <v>255</v>
      </c>
      <c r="H77" s="6" t="s">
        <v>697</v>
      </c>
      <c r="I77" s="6"/>
      <c r="J77" s="6"/>
      <c r="K77" s="7">
        <v>76.0</v>
      </c>
      <c r="L77" s="6" t="str">
        <f>IFERROR(__xludf.DUMMYFUNCTION("GOOGLETRANSLATE(B77,""en"",""ur"")"),"زمین کی سب سے نمایاں خصوصیت کیا ہے؟")</f>
        <v>زمین کی سب سے نمایاں خصوصیت کیا ہے؟</v>
      </c>
      <c r="M77" s="6"/>
      <c r="N77" s="8" t="str">
        <f>IFERROR(__xludf.DUMMYFUNCTION("GOOGLETRANSLATE(D77,""en"",""ur"")"),"کیچڑ والا میدان")</f>
        <v>کیچڑ والا میدان</v>
      </c>
      <c r="O77" s="6" t="str">
        <f>IFERROR(__xludf.DUMMYFUNCTION("GOOGLETRANSLATE(E77,""en"",""ur"")"),"ایک گھاس دار سطح")</f>
        <v>ایک گھاس دار سطح</v>
      </c>
      <c r="P77" s="6" t="str">
        <f>IFERROR(__xludf.DUMMYFUNCTION("GOOGLETRANSLATE(F77,""en"",""ur"")"),"ریتلی یا گندگی کی سطح")</f>
        <v>ریتلی یا گندگی کی سطح</v>
      </c>
      <c r="Q77" s="6" t="s">
        <v>688</v>
      </c>
      <c r="R77" s="6" t="str">
        <f>IFERROR(__xludf.DUMMYFUNCTION("GOOGLETRANSLATE(G77,""en"",""ur"")"),"ریتلی یا گندگی کی سطح")</f>
        <v>ریتلی یا گندگی کی سطح</v>
      </c>
      <c r="S77" s="6" t="s">
        <v>697</v>
      </c>
      <c r="T77" s="6"/>
      <c r="U77" s="6"/>
      <c r="V77" s="6"/>
      <c r="W77" s="6"/>
      <c r="X77" s="6"/>
      <c r="Y77" s="6"/>
      <c r="Z77" s="6"/>
      <c r="AA77" s="6"/>
    </row>
    <row r="78">
      <c r="A78" s="7">
        <v>77.0</v>
      </c>
      <c r="B78" s="6" t="s">
        <v>94</v>
      </c>
      <c r="C78" s="6" t="s">
        <v>95</v>
      </c>
      <c r="D78" s="6" t="s">
        <v>651</v>
      </c>
      <c r="E78" s="6" t="s">
        <v>652</v>
      </c>
      <c r="F78" s="6" t="s">
        <v>653</v>
      </c>
      <c r="G78" s="6" t="s">
        <v>652</v>
      </c>
      <c r="H78" s="6" t="s">
        <v>697</v>
      </c>
      <c r="I78" s="6"/>
      <c r="J78" s="6"/>
      <c r="K78" s="7">
        <v>77.0</v>
      </c>
      <c r="L78" s="6" t="str">
        <f>IFERROR(__xludf.DUMMYFUNCTION("GOOGLETRANSLATE(B78,""en"",""ur"")"),"کھیلے جانے والے کھیل کا نام کیا ہے؟")</f>
        <v>کھیلے جانے والے کھیل کا نام کیا ہے؟</v>
      </c>
      <c r="M78" s="6"/>
      <c r="N78" s="8" t="str">
        <f>IFERROR(__xludf.DUMMYFUNCTION("GOOGLETRANSLATE(D78,""en"",""ur"")"),"کرکٹ")</f>
        <v>کرکٹ</v>
      </c>
      <c r="O78" s="6" t="str">
        <f>IFERROR(__xludf.DUMMYFUNCTION("GOOGLETRANSLATE(E78,""en"",""ur"")"),"گلی ڈنڈا۔")</f>
        <v>گلی ڈنڈا۔</v>
      </c>
      <c r="P78" s="6" t="str">
        <f>IFERROR(__xludf.DUMMYFUNCTION("GOOGLETRANSLATE(F78,""en"",""ur"")"),"بیس بال")</f>
        <v>بیس بال</v>
      </c>
      <c r="Q78" s="6" t="s">
        <v>654</v>
      </c>
      <c r="R78" s="6" t="str">
        <f>IFERROR(__xludf.DUMMYFUNCTION("GOOGLETRANSLATE(G78,""en"",""ur"")"),"گلی ڈنڈا۔")</f>
        <v>گلی ڈنڈا۔</v>
      </c>
      <c r="S78" s="6" t="s">
        <v>697</v>
      </c>
      <c r="T78" s="6"/>
      <c r="U78" s="6"/>
      <c r="V78" s="6"/>
      <c r="W78" s="6"/>
      <c r="X78" s="6"/>
      <c r="Y78" s="6"/>
      <c r="Z78" s="6"/>
      <c r="AA78" s="6"/>
    </row>
    <row r="79">
      <c r="A79" s="7">
        <v>78.0</v>
      </c>
      <c r="B79" s="6" t="s">
        <v>260</v>
      </c>
      <c r="C79" s="6" t="s">
        <v>261</v>
      </c>
      <c r="D79" s="6" t="s">
        <v>262</v>
      </c>
      <c r="E79" s="6" t="s">
        <v>263</v>
      </c>
      <c r="F79" s="6" t="s">
        <v>655</v>
      </c>
      <c r="G79" s="6" t="s">
        <v>655</v>
      </c>
      <c r="H79" s="6" t="s">
        <v>697</v>
      </c>
      <c r="I79" s="6"/>
      <c r="J79" s="6"/>
      <c r="K79" s="7">
        <v>78.0</v>
      </c>
      <c r="L79" s="6" t="str">
        <f>IFERROR(__xludf.DUMMYFUNCTION("GOOGLETRANSLATE(B79,""en"",""ur"")"),"تصویر میں ایکشن ایک ایسا انداز تجویز کرتا ہے جو اس بات پر زور دیتا ہے...")</f>
        <v>تصویر میں ایکشن ایک ایسا انداز تجویز کرتا ہے جو اس بات پر زور دیتا ہے...</v>
      </c>
      <c r="M79" s="6"/>
      <c r="N79" s="8" t="str">
        <f>IFERROR(__xludf.DUMMYFUNCTION("GOOGLETRANSLATE(D79,""en"",""ur"")"),"زمینی لڑائی اور گرفت")</f>
        <v>زمینی لڑائی اور گرفت</v>
      </c>
      <c r="O79" s="6" t="str">
        <f>IFERROR(__xludf.DUMMYFUNCTION("GOOGLETRANSLATE(E79,""en"",""ur"")"),"وحشیانہ قوت اور گھڑ سواری۔")</f>
        <v>وحشیانہ قوت اور گھڑ سواری۔</v>
      </c>
      <c r="P79" s="6" t="str">
        <f>IFERROR(__xludf.DUMMYFUNCTION("GOOGLETRANSLATE(F79,""en"",""ur"")"),"ہاتھ سے آنکھ کو آرڈینیشن اور حیرت انگیز")</f>
        <v>ہاتھ سے آنکھ کو آرڈینیشن اور حیرت انگیز</v>
      </c>
      <c r="Q79" s="6" t="s">
        <v>656</v>
      </c>
      <c r="R79" s="6" t="str">
        <f>IFERROR(__xludf.DUMMYFUNCTION("GOOGLETRANSLATE(G79,""en"",""ur"")"),"ہاتھ سے آنکھ کو آرڈینیشن اور حیرت انگیز")</f>
        <v>ہاتھ سے آنکھ کو آرڈینیشن اور حیرت انگیز</v>
      </c>
      <c r="S79" s="6" t="s">
        <v>697</v>
      </c>
      <c r="T79" s="6"/>
      <c r="U79" s="6"/>
      <c r="V79" s="6"/>
      <c r="W79" s="6"/>
      <c r="X79" s="6"/>
      <c r="Y79" s="6"/>
      <c r="Z79" s="6"/>
      <c r="AA79" s="6"/>
    </row>
    <row r="80">
      <c r="A80" s="7">
        <v>79.0</v>
      </c>
      <c r="B80" s="6" t="s">
        <v>657</v>
      </c>
      <c r="C80" s="6" t="s">
        <v>658</v>
      </c>
      <c r="D80" s="6" t="s">
        <v>659</v>
      </c>
      <c r="E80" s="6" t="s">
        <v>660</v>
      </c>
      <c r="F80" s="6" t="s">
        <v>661</v>
      </c>
      <c r="G80" s="6" t="s">
        <v>659</v>
      </c>
      <c r="H80" s="6" t="s">
        <v>697</v>
      </c>
      <c r="I80" s="6"/>
      <c r="J80" s="6"/>
      <c r="K80" s="7">
        <v>79.0</v>
      </c>
      <c r="L80" s="6" t="str">
        <f>IFERROR(__xludf.DUMMYFUNCTION("GOOGLETRANSLATE(B80,""en"",""ur"")"),"کھلاڑیوں کے جوتے کے بارے میں ایک قابل ذکر تفصیل کیا ہے؟")</f>
        <v>کھلاڑیوں کے جوتے کے بارے میں ایک قابل ذکر تفصیل کیا ہے؟</v>
      </c>
      <c r="M80" s="6"/>
      <c r="N80" s="8" t="str">
        <f>IFERROR(__xludf.DUMMYFUNCTION("GOOGLETRANSLATE(D80,""en"",""ur"")"),"وہ ننگے پاؤں ہیں۔")</f>
        <v>وہ ننگے پاؤں ہیں۔</v>
      </c>
      <c r="O80" s="6" t="str">
        <f>IFERROR(__xludf.DUMMYFUNCTION("GOOGLETRANSLATE(E80,""en"",""ur"")"),"وہ سینڈل یا فلپ فلاپ پہنے ہوئے ہیں۔")</f>
        <v>وہ سینڈل یا فلپ فلاپ پہنے ہوئے ہیں۔</v>
      </c>
      <c r="P80" s="6" t="str">
        <f>IFERROR(__xludf.DUMMYFUNCTION("GOOGLETRANSLATE(F80,""en"",""ur"")"),"وہ موزے پہنے ہوئے ہیں۔")</f>
        <v>وہ موزے پہنے ہوئے ہیں۔</v>
      </c>
      <c r="Q80" s="6" t="s">
        <v>662</v>
      </c>
      <c r="R80" s="6" t="str">
        <f>IFERROR(__xludf.DUMMYFUNCTION("GOOGLETRANSLATE(G80,""en"",""ur"")"),"وہ ننگے پاؤں ہیں۔")</f>
        <v>وہ ننگے پاؤں ہیں۔</v>
      </c>
      <c r="S80" s="6" t="s">
        <v>697</v>
      </c>
      <c r="T80" s="6"/>
      <c r="U80" s="6"/>
      <c r="V80" s="6"/>
      <c r="W80" s="6"/>
      <c r="X80" s="6"/>
      <c r="Y80" s="6"/>
      <c r="Z80" s="6"/>
      <c r="AA80" s="6"/>
    </row>
    <row r="81">
      <c r="A81" s="7">
        <v>80.0</v>
      </c>
      <c r="B81" s="6" t="s">
        <v>663</v>
      </c>
      <c r="C81" s="6" t="s">
        <v>664</v>
      </c>
      <c r="D81" s="6" t="s">
        <v>665</v>
      </c>
      <c r="E81" s="6" t="s">
        <v>666</v>
      </c>
      <c r="F81" s="6" t="s">
        <v>667</v>
      </c>
      <c r="G81" s="6" t="s">
        <v>666</v>
      </c>
      <c r="H81" s="6" t="s">
        <v>697</v>
      </c>
      <c r="I81" s="6"/>
      <c r="J81" s="6"/>
      <c r="K81" s="7">
        <v>80.0</v>
      </c>
      <c r="L81" s="6" t="str">
        <f>IFERROR(__xludf.DUMMYFUNCTION("GOOGLETRANSLATE(B81,""en"",""ur"")"),"پس منظر میں دیگر کھلاڑیوں کے بارے میں ایک قابل ذکر تفصیل کیا ہے؟")</f>
        <v>پس منظر میں دیگر کھلاڑیوں کے بارے میں ایک قابل ذکر تفصیل کیا ہے؟</v>
      </c>
      <c r="M81" s="6"/>
      <c r="N81" s="8" t="str">
        <f>IFERROR(__xludf.DUMMYFUNCTION("GOOGLETRANSLATE(D81,""en"",""ur"")"),"وہ سب ادھر ادھر بھاگ رہے ہیں۔")</f>
        <v>وہ سب ادھر ادھر بھاگ رہے ہیں۔</v>
      </c>
      <c r="O81" s="6" t="str">
        <f>IFERROR(__xludf.DUMMYFUNCTION("GOOGLETRANSLATE(E81,""en"",""ur"")"),"وہ ایک دفاعی، تیار موقف میں ہیں۔")</f>
        <v>وہ ایک دفاعی، تیار موقف میں ہیں۔</v>
      </c>
      <c r="P81" s="6" t="str">
        <f>IFERROR(__xludf.DUMMYFUNCTION("GOOGLETRANSLATE(F81,""en"",""ur"")"),"وہ سب لہرا رہے ہیں۔")</f>
        <v>وہ سب لہرا رہے ہیں۔</v>
      </c>
      <c r="Q81" s="6" t="s">
        <v>668</v>
      </c>
      <c r="R81" s="6" t="str">
        <f>IFERROR(__xludf.DUMMYFUNCTION("GOOGLETRANSLATE(G81,""en"",""ur"")"),"وہ ایک دفاعی، تیار موقف میں ہیں۔")</f>
        <v>وہ ایک دفاعی، تیار موقف میں ہیں۔</v>
      </c>
      <c r="S81" s="6" t="s">
        <v>697</v>
      </c>
      <c r="T81" s="6"/>
      <c r="U81" s="6"/>
      <c r="V81" s="6"/>
      <c r="W81" s="6"/>
      <c r="X81" s="6"/>
      <c r="Y81" s="6"/>
      <c r="Z81" s="6"/>
      <c r="AA81" s="6"/>
    </row>
    <row r="82">
      <c r="A82" s="7">
        <v>81.0</v>
      </c>
      <c r="B82" s="6" t="s">
        <v>698</v>
      </c>
      <c r="C82" s="6" t="s">
        <v>690</v>
      </c>
      <c r="D82" s="6" t="s">
        <v>632</v>
      </c>
      <c r="E82" s="6" t="s">
        <v>633</v>
      </c>
      <c r="F82" s="6" t="s">
        <v>634</v>
      </c>
      <c r="G82" s="6" t="s">
        <v>632</v>
      </c>
      <c r="H82" s="6" t="s">
        <v>699</v>
      </c>
      <c r="I82" s="6"/>
      <c r="J82" s="6"/>
      <c r="K82" s="7">
        <v>81.0</v>
      </c>
      <c r="L82" s="6" t="str">
        <f>IFERROR(__xludf.DUMMYFUNCTION("GOOGLETRANSLATE(B82,""en"",""ur"")"),"gilli_danda_9 میں دکھایا گیا اہم عمل کیا ہے؟")</f>
        <v>gilli_danda_9 میں دکھایا گیا اہم عمل کیا ہے؟</v>
      </c>
      <c r="M82" s="6"/>
      <c r="N82" s="8" t="str">
        <f>IFERROR(__xludf.DUMMYFUNCTION("GOOGLETRANSLATE(D82,""en"",""ur"")"),"ایک کھلاڑی چھوٹی چھڑی کو بڑی چھڑی سے مار رہا ہے۔")</f>
        <v>ایک کھلاڑی چھوٹی چھڑی کو بڑی چھڑی سے مار رہا ہے۔</v>
      </c>
      <c r="O82" s="6" t="str">
        <f>IFERROR(__xludf.DUMMYFUNCTION("GOOGLETRANSLATE(E82,""en"",""ur"")"),"ایک کھلاڑی گیند کی خدمت کر رہا ہے۔")</f>
        <v>ایک کھلاڑی گیند کی خدمت کر رہا ہے۔</v>
      </c>
      <c r="P82" s="6" t="str">
        <f>IFERROR(__xludf.DUMMYFUNCTION("GOOGLETRANSLATE(F82,""en"",""ur"")"),"ایک کھلاڑی دفاعی بلاک کا مظاہرہ کر رہا ہے۔")</f>
        <v>ایک کھلاڑی دفاعی بلاک کا مظاہرہ کر رہا ہے۔</v>
      </c>
      <c r="Q82" s="6" t="s">
        <v>671</v>
      </c>
      <c r="R82" s="6" t="str">
        <f>IFERROR(__xludf.DUMMYFUNCTION("GOOGLETRANSLATE(G82,""en"",""ur"")"),"ایک کھلاڑی چھوٹی چھڑی کو بڑی چھڑی سے مار رہا ہے۔")</f>
        <v>ایک کھلاڑی چھوٹی چھڑی کو بڑی چھڑی سے مار رہا ہے۔</v>
      </c>
      <c r="S82" s="6" t="s">
        <v>699</v>
      </c>
      <c r="T82" s="6"/>
      <c r="U82" s="6"/>
      <c r="V82" s="6"/>
      <c r="W82" s="6"/>
      <c r="X82" s="6"/>
      <c r="Y82" s="6"/>
      <c r="Z82" s="6"/>
      <c r="AA82" s="6"/>
    </row>
    <row r="83">
      <c r="A83" s="7">
        <v>82.0</v>
      </c>
      <c r="B83" s="6" t="s">
        <v>636</v>
      </c>
      <c r="C83" s="6" t="s">
        <v>637</v>
      </c>
      <c r="D83" s="6" t="s">
        <v>638</v>
      </c>
      <c r="E83" s="6" t="s">
        <v>639</v>
      </c>
      <c r="F83" s="6" t="s">
        <v>640</v>
      </c>
      <c r="G83" s="6" t="s">
        <v>638</v>
      </c>
      <c r="H83" s="6" t="s">
        <v>699</v>
      </c>
      <c r="I83" s="6"/>
      <c r="J83" s="6"/>
      <c r="K83" s="7">
        <v>82.0</v>
      </c>
      <c r="L83" s="6" t="str">
        <f>IFERROR(__xludf.DUMMYFUNCTION("GOOGLETRANSLATE(B83,""en"",""ur"")"),"کھیل میں استعمال ہونے والے آلات کے دو ٹکڑے کیا ہیں؟")</f>
        <v>کھیل میں استعمال ہونے والے آلات کے دو ٹکڑے کیا ہیں؟</v>
      </c>
      <c r="M83" s="6"/>
      <c r="N83" s="8" t="str">
        <f>IFERROR(__xludf.DUMMYFUNCTION("GOOGLETRANSLATE(D83,""en"",""ur"")"),"ایک لمبی چھڑی (ڈنڈا) اور ایک چھوٹی چھڑی (گلی)")</f>
        <v>ایک لمبی چھڑی (ڈنڈا) اور ایک چھوٹی چھڑی (گلی)</v>
      </c>
      <c r="O83" s="6" t="str">
        <f>IFERROR(__xludf.DUMMYFUNCTION("GOOGLETRANSLATE(E83,""en"",""ur"")"),"ایک ریکیٹ اور ایک شٹل کاک")</f>
        <v>ایک ریکیٹ اور ایک شٹل کاک</v>
      </c>
      <c r="P83" s="6" t="str">
        <f>IFERROR(__xludf.DUMMYFUNCTION("GOOGLETRANSLATE(F83,""en"",""ur"")"),"ایک چمگادڑ اور ایک دستانہ")</f>
        <v>ایک چمگادڑ اور ایک دستانہ</v>
      </c>
      <c r="Q83" s="6" t="s">
        <v>641</v>
      </c>
      <c r="R83" s="6" t="str">
        <f>IFERROR(__xludf.DUMMYFUNCTION("GOOGLETRANSLATE(G83,""en"",""ur"")"),"ایک لمبی چھڑی (ڈنڈا) اور ایک چھوٹی چھڑی (گلی)")</f>
        <v>ایک لمبی چھڑی (ڈنڈا) اور ایک چھوٹی چھڑی (گلی)</v>
      </c>
      <c r="S83" s="6" t="s">
        <v>699</v>
      </c>
      <c r="T83" s="6"/>
      <c r="U83" s="6"/>
      <c r="V83" s="6"/>
      <c r="W83" s="6"/>
      <c r="X83" s="6"/>
      <c r="Y83" s="6"/>
      <c r="Z83" s="6"/>
      <c r="AA83" s="6"/>
    </row>
    <row r="84">
      <c r="A84" s="7">
        <v>83.0</v>
      </c>
      <c r="B84" s="6" t="s">
        <v>678</v>
      </c>
      <c r="C84" s="6" t="s">
        <v>307</v>
      </c>
      <c r="D84" s="6" t="s">
        <v>643</v>
      </c>
      <c r="E84" s="6" t="s">
        <v>311</v>
      </c>
      <c r="F84" s="6" t="s">
        <v>314</v>
      </c>
      <c r="G84" s="6" t="s">
        <v>643</v>
      </c>
      <c r="H84" s="6" t="s">
        <v>699</v>
      </c>
      <c r="I84" s="6"/>
      <c r="J84" s="6"/>
      <c r="K84" s="7">
        <v>83.0</v>
      </c>
      <c r="L84" s="6" t="str">
        <f>IFERROR(__xludf.DUMMYFUNCTION("GOOGLETRANSLATE(B84,""en"",""ur"")"),"کھلاڑی کے بارے میں ایک قابل ذکر تفصیل کیا ہے؟")</f>
        <v>کھلاڑی کے بارے میں ایک قابل ذکر تفصیل کیا ہے؟</v>
      </c>
      <c r="M84" s="6"/>
      <c r="N84" s="8" t="str">
        <f>IFERROR(__xludf.DUMMYFUNCTION("GOOGLETRANSLATE(D84,""en"",""ur"")"),"وہ ایک پست، جھکائے ہوئے موقف میں ہے، ہڑتال کرنے کی تیاری کر رہا ہے۔")</f>
        <v>وہ ایک پست، جھکائے ہوئے موقف میں ہے، ہڑتال کرنے کی تیاری کر رہا ہے۔</v>
      </c>
      <c r="O84" s="6" t="str">
        <f>IFERROR(__xludf.DUMMYFUNCTION("GOOGLETRANSLATE(E84,""en"",""ur"")"),"وہ سیدھا کھڑا ہے۔")</f>
        <v>وہ سیدھا کھڑا ہے۔</v>
      </c>
      <c r="P84" s="6" t="str">
        <f>IFERROR(__xludf.DUMMYFUNCTION("GOOGLETRANSLATE(F84,""en"",""ur"")"),"وہ آرام سے بیٹھا ہے۔")</f>
        <v>وہ آرام سے بیٹھا ہے۔</v>
      </c>
      <c r="Q84" s="6" t="s">
        <v>644</v>
      </c>
      <c r="R84" s="6" t="str">
        <f>IFERROR(__xludf.DUMMYFUNCTION("GOOGLETRANSLATE(G84,""en"",""ur"")"),"وہ ایک پست، جھکائے ہوئے موقف میں ہے، ہڑتال کرنے کی تیاری کر رہا ہے۔")</f>
        <v>وہ ایک پست، جھکائے ہوئے موقف میں ہے، ہڑتال کرنے کی تیاری کر رہا ہے۔</v>
      </c>
      <c r="S84" s="6" t="s">
        <v>699</v>
      </c>
      <c r="T84" s="6"/>
      <c r="U84" s="6"/>
      <c r="V84" s="6"/>
      <c r="W84" s="6"/>
      <c r="X84" s="6"/>
      <c r="Y84" s="6"/>
      <c r="Z84" s="6"/>
      <c r="AA84" s="6"/>
    </row>
    <row r="85">
      <c r="A85" s="7">
        <v>84.0</v>
      </c>
      <c r="B85" s="6" t="s">
        <v>645</v>
      </c>
      <c r="C85" s="6" t="s">
        <v>422</v>
      </c>
      <c r="D85" s="6" t="s">
        <v>646</v>
      </c>
      <c r="E85" s="6" t="s">
        <v>700</v>
      </c>
      <c r="F85" s="6" t="s">
        <v>425</v>
      </c>
      <c r="G85" s="6" t="s">
        <v>700</v>
      </c>
      <c r="H85" s="6" t="s">
        <v>699</v>
      </c>
      <c r="I85" s="6"/>
      <c r="J85" s="6"/>
      <c r="K85" s="7">
        <v>84.0</v>
      </c>
      <c r="L85" s="6" t="str">
        <f>IFERROR(__xludf.DUMMYFUNCTION("GOOGLETRANSLATE(B85,""en"",""ur"")"),"کھیل کی ظاہری ترتیب کیا ہے؟")</f>
        <v>کھیل کی ظاہری ترتیب کیا ہے؟</v>
      </c>
      <c r="M85" s="6"/>
      <c r="N85" s="8" t="str">
        <f>IFERROR(__xludf.DUMMYFUNCTION("GOOGLETRANSLATE(D85,""en"",""ur"")"),"شہر کی ایک گلی")</f>
        <v>شہر کی ایک گلی</v>
      </c>
      <c r="O85" s="6" t="str">
        <f>IFERROR(__xludf.DUMMYFUNCTION("GOOGLETRANSLATE(E85,""en"",""ur"")"),"پس منظر میں عمارت کے ساتھ بیرونی گندگی کا میدان")</f>
        <v>پس منظر میں عمارت کے ساتھ بیرونی گندگی کا میدان</v>
      </c>
      <c r="P85" s="6" t="str">
        <f>IFERROR(__xludf.DUMMYFUNCTION("GOOGLETRANSLATE(F85,""en"",""ur"")"),"گھاس کا میدان")</f>
        <v>گھاس کا میدان</v>
      </c>
      <c r="Q85" s="6" t="s">
        <v>701</v>
      </c>
      <c r="R85" s="6" t="str">
        <f>IFERROR(__xludf.DUMMYFUNCTION("GOOGLETRANSLATE(G85,""en"",""ur"")"),"پس منظر میں عمارت کے ساتھ بیرونی گندگی کا میدان")</f>
        <v>پس منظر میں عمارت کے ساتھ بیرونی گندگی کا میدان</v>
      </c>
      <c r="S85" s="6" t="s">
        <v>699</v>
      </c>
      <c r="T85" s="6"/>
      <c r="U85" s="6"/>
      <c r="V85" s="6"/>
      <c r="W85" s="6"/>
      <c r="X85" s="6"/>
      <c r="Y85" s="6"/>
      <c r="Z85" s="6"/>
      <c r="AA85" s="6"/>
    </row>
    <row r="86">
      <c r="A86" s="7">
        <v>85.0</v>
      </c>
      <c r="B86" s="6" t="s">
        <v>679</v>
      </c>
      <c r="C86" s="6" t="s">
        <v>47</v>
      </c>
      <c r="D86" s="6" t="s">
        <v>48</v>
      </c>
      <c r="E86" s="6" t="s">
        <v>49</v>
      </c>
      <c r="F86" s="6" t="s">
        <v>50</v>
      </c>
      <c r="G86" s="6" t="s">
        <v>49</v>
      </c>
      <c r="H86" s="6" t="s">
        <v>699</v>
      </c>
      <c r="I86" s="6"/>
      <c r="J86" s="6"/>
      <c r="K86" s="7">
        <v>85.0</v>
      </c>
      <c r="L86" s="6" t="str">
        <f>IFERROR(__xludf.DUMMYFUNCTION("GOOGLETRANSLATE(B86,""en"",""ur"")"),"کھلاڑی کے چہرے سے ظاہری جذبات کیا ہیں؟")</f>
        <v>کھلاڑی کے چہرے سے ظاہری جذبات کیا ہیں؟</v>
      </c>
      <c r="M86" s="6"/>
      <c r="N86" s="8" t="str">
        <f>IFERROR(__xludf.DUMMYFUNCTION("GOOGLETRANSLATE(D86,""en"",""ur"")"),"خوف زدہ اور بے چین")</f>
        <v>خوف زدہ اور بے چین</v>
      </c>
      <c r="O86" s="6" t="str">
        <f>IFERROR(__xludf.DUMMYFUNCTION("GOOGLETRANSLATE(E86,""en"",""ur"")"),"کشیدہ اور شدید")</f>
        <v>کشیدہ اور شدید</v>
      </c>
      <c r="P86" s="6" t="str">
        <f>IFERROR(__xludf.DUMMYFUNCTION("GOOGLETRANSLATE(F86,""en"",""ur"")"),"خوش اور مسکراتے ہوئے۔")</f>
        <v>خوش اور مسکراتے ہوئے۔</v>
      </c>
      <c r="Q86" s="6" t="s">
        <v>649</v>
      </c>
      <c r="R86" s="6" t="str">
        <f>IFERROR(__xludf.DUMMYFUNCTION("GOOGLETRANSLATE(G86,""en"",""ur"")"),"کشیدہ اور شدید")</f>
        <v>کشیدہ اور شدید</v>
      </c>
      <c r="S86" s="6" t="s">
        <v>699</v>
      </c>
      <c r="T86" s="6"/>
      <c r="U86" s="6"/>
      <c r="V86" s="6"/>
      <c r="W86" s="6"/>
      <c r="X86" s="6"/>
      <c r="Y86" s="6"/>
      <c r="Z86" s="6"/>
      <c r="AA86" s="6"/>
    </row>
    <row r="87">
      <c r="A87" s="7">
        <v>86.0</v>
      </c>
      <c r="B87" s="6" t="s">
        <v>88</v>
      </c>
      <c r="C87" s="6" t="s">
        <v>89</v>
      </c>
      <c r="D87" s="6" t="s">
        <v>90</v>
      </c>
      <c r="E87" s="6" t="s">
        <v>91</v>
      </c>
      <c r="F87" s="6" t="s">
        <v>255</v>
      </c>
      <c r="G87" s="6" t="s">
        <v>255</v>
      </c>
      <c r="H87" s="6" t="s">
        <v>699</v>
      </c>
      <c r="I87" s="6"/>
      <c r="J87" s="6"/>
      <c r="K87" s="7">
        <v>86.0</v>
      </c>
      <c r="L87" s="6" t="str">
        <f>IFERROR(__xludf.DUMMYFUNCTION("GOOGLETRANSLATE(B87,""en"",""ur"")"),"زمین کی سب سے نمایاں خصوصیت کیا ہے؟")</f>
        <v>زمین کی سب سے نمایاں خصوصیت کیا ہے؟</v>
      </c>
      <c r="M87" s="6"/>
      <c r="N87" s="8" t="str">
        <f>IFERROR(__xludf.DUMMYFUNCTION("GOOGLETRANSLATE(D87,""en"",""ur"")"),"کیچڑ والا میدان")</f>
        <v>کیچڑ والا میدان</v>
      </c>
      <c r="O87" s="6" t="str">
        <f>IFERROR(__xludf.DUMMYFUNCTION("GOOGLETRANSLATE(E87,""en"",""ur"")"),"ایک گھاس دار سطح")</f>
        <v>ایک گھاس دار سطح</v>
      </c>
      <c r="P87" s="6" t="str">
        <f>IFERROR(__xludf.DUMMYFUNCTION("GOOGLETRANSLATE(F87,""en"",""ur"")"),"ریتلی یا گندگی کی سطح")</f>
        <v>ریتلی یا گندگی کی سطح</v>
      </c>
      <c r="Q87" s="6" t="s">
        <v>688</v>
      </c>
      <c r="R87" s="6" t="str">
        <f>IFERROR(__xludf.DUMMYFUNCTION("GOOGLETRANSLATE(G87,""en"",""ur"")"),"ریتلی یا گندگی کی سطح")</f>
        <v>ریتلی یا گندگی کی سطح</v>
      </c>
      <c r="S87" s="6" t="s">
        <v>699</v>
      </c>
      <c r="T87" s="6"/>
      <c r="U87" s="6"/>
      <c r="V87" s="6"/>
      <c r="W87" s="6"/>
      <c r="X87" s="6"/>
      <c r="Y87" s="6"/>
      <c r="Z87" s="6"/>
      <c r="AA87" s="6"/>
    </row>
    <row r="88">
      <c r="A88" s="7">
        <v>87.0</v>
      </c>
      <c r="B88" s="6" t="s">
        <v>94</v>
      </c>
      <c r="C88" s="6" t="s">
        <v>95</v>
      </c>
      <c r="D88" s="6" t="s">
        <v>651</v>
      </c>
      <c r="E88" s="6" t="s">
        <v>652</v>
      </c>
      <c r="F88" s="6" t="s">
        <v>653</v>
      </c>
      <c r="G88" s="6" t="s">
        <v>652</v>
      </c>
      <c r="H88" s="6" t="s">
        <v>699</v>
      </c>
      <c r="I88" s="6"/>
      <c r="J88" s="6"/>
      <c r="K88" s="7">
        <v>87.0</v>
      </c>
      <c r="L88" s="6" t="str">
        <f>IFERROR(__xludf.DUMMYFUNCTION("GOOGLETRANSLATE(B88,""en"",""ur"")"),"کھیلے جانے والے کھیل کا نام کیا ہے؟")</f>
        <v>کھیلے جانے والے کھیل کا نام کیا ہے؟</v>
      </c>
      <c r="M88" s="6"/>
      <c r="N88" s="8" t="str">
        <f>IFERROR(__xludf.DUMMYFUNCTION("GOOGLETRANSLATE(D88,""en"",""ur"")"),"کرکٹ")</f>
        <v>کرکٹ</v>
      </c>
      <c r="O88" s="6" t="str">
        <f>IFERROR(__xludf.DUMMYFUNCTION("GOOGLETRANSLATE(E88,""en"",""ur"")"),"گلی ڈنڈا۔")</f>
        <v>گلی ڈنڈا۔</v>
      </c>
      <c r="P88" s="6" t="str">
        <f>IFERROR(__xludf.DUMMYFUNCTION("GOOGLETRANSLATE(F88,""en"",""ur"")"),"بیس بال")</f>
        <v>بیس بال</v>
      </c>
      <c r="Q88" s="6" t="s">
        <v>654</v>
      </c>
      <c r="R88" s="6" t="str">
        <f>IFERROR(__xludf.DUMMYFUNCTION("GOOGLETRANSLATE(G88,""en"",""ur"")"),"گلی ڈنڈا۔")</f>
        <v>گلی ڈنڈا۔</v>
      </c>
      <c r="S88" s="6" t="s">
        <v>699</v>
      </c>
      <c r="T88" s="6"/>
      <c r="U88" s="6"/>
      <c r="V88" s="6"/>
      <c r="W88" s="6"/>
      <c r="X88" s="6"/>
      <c r="Y88" s="6"/>
      <c r="Z88" s="6"/>
      <c r="AA88" s="6"/>
    </row>
    <row r="89">
      <c r="A89" s="7">
        <v>88.0</v>
      </c>
      <c r="B89" s="6" t="s">
        <v>260</v>
      </c>
      <c r="C89" s="6" t="s">
        <v>261</v>
      </c>
      <c r="D89" s="6" t="s">
        <v>262</v>
      </c>
      <c r="E89" s="6" t="s">
        <v>263</v>
      </c>
      <c r="F89" s="6" t="s">
        <v>655</v>
      </c>
      <c r="G89" s="6" t="s">
        <v>655</v>
      </c>
      <c r="H89" s="6" t="s">
        <v>699</v>
      </c>
      <c r="I89" s="6"/>
      <c r="J89" s="6"/>
      <c r="K89" s="7">
        <v>88.0</v>
      </c>
      <c r="L89" s="6" t="str">
        <f>IFERROR(__xludf.DUMMYFUNCTION("GOOGLETRANSLATE(B89,""en"",""ur"")"),"تصویر میں ایکشن ایک ایسا انداز تجویز کرتا ہے جو اس بات پر زور دیتا ہے...")</f>
        <v>تصویر میں ایکشن ایک ایسا انداز تجویز کرتا ہے جو اس بات پر زور دیتا ہے...</v>
      </c>
      <c r="M89" s="6"/>
      <c r="N89" s="8" t="str">
        <f>IFERROR(__xludf.DUMMYFUNCTION("GOOGLETRANSLATE(D89,""en"",""ur"")"),"زمینی لڑائی اور گرفت")</f>
        <v>زمینی لڑائی اور گرفت</v>
      </c>
      <c r="O89" s="6" t="str">
        <f>IFERROR(__xludf.DUMMYFUNCTION("GOOGLETRANSLATE(E89,""en"",""ur"")"),"وحشیانہ قوت اور گھڑ سواری۔")</f>
        <v>وحشیانہ قوت اور گھڑ سواری۔</v>
      </c>
      <c r="P89" s="6" t="str">
        <f>IFERROR(__xludf.DUMMYFUNCTION("GOOGLETRANSLATE(F89,""en"",""ur"")"),"ہاتھ سے آنکھ کو آرڈینیشن اور حیرت انگیز")</f>
        <v>ہاتھ سے آنکھ کو آرڈینیشن اور حیرت انگیز</v>
      </c>
      <c r="Q89" s="6" t="s">
        <v>656</v>
      </c>
      <c r="R89" s="6" t="str">
        <f>IFERROR(__xludf.DUMMYFUNCTION("GOOGLETRANSLATE(G89,""en"",""ur"")"),"ہاتھ سے آنکھ کو آرڈینیشن اور حیرت انگیز")</f>
        <v>ہاتھ سے آنکھ کو آرڈینیشن اور حیرت انگیز</v>
      </c>
      <c r="S89" s="6" t="s">
        <v>699</v>
      </c>
      <c r="T89" s="6"/>
      <c r="U89" s="6"/>
      <c r="V89" s="6"/>
      <c r="W89" s="6"/>
      <c r="X89" s="6"/>
      <c r="Y89" s="6"/>
      <c r="Z89" s="6"/>
      <c r="AA89" s="6"/>
    </row>
    <row r="90">
      <c r="A90" s="7">
        <v>89.0</v>
      </c>
      <c r="B90" s="6" t="s">
        <v>657</v>
      </c>
      <c r="C90" s="6" t="s">
        <v>658</v>
      </c>
      <c r="D90" s="6" t="s">
        <v>659</v>
      </c>
      <c r="E90" s="6" t="s">
        <v>660</v>
      </c>
      <c r="F90" s="6" t="s">
        <v>661</v>
      </c>
      <c r="G90" s="6" t="s">
        <v>660</v>
      </c>
      <c r="H90" s="6" t="s">
        <v>699</v>
      </c>
      <c r="I90" s="6"/>
      <c r="J90" s="6"/>
      <c r="K90" s="7">
        <v>89.0</v>
      </c>
      <c r="L90" s="6" t="str">
        <f>IFERROR(__xludf.DUMMYFUNCTION("GOOGLETRANSLATE(B90,""en"",""ur"")"),"کھلاڑیوں کے جوتے کے بارے میں ایک قابل ذکر تفصیل کیا ہے؟")</f>
        <v>کھلاڑیوں کے جوتے کے بارے میں ایک قابل ذکر تفصیل کیا ہے؟</v>
      </c>
      <c r="M90" s="6"/>
      <c r="N90" s="8" t="str">
        <f>IFERROR(__xludf.DUMMYFUNCTION("GOOGLETRANSLATE(D90,""en"",""ur"")"),"وہ ننگے پاؤں ہیں۔")</f>
        <v>وہ ننگے پاؤں ہیں۔</v>
      </c>
      <c r="O90" s="6" t="str">
        <f>IFERROR(__xludf.DUMMYFUNCTION("GOOGLETRANSLATE(E90,""en"",""ur"")"),"وہ سینڈل یا فلپ فلاپ پہنے ہوئے ہیں۔")</f>
        <v>وہ سینڈل یا فلپ فلاپ پہنے ہوئے ہیں۔</v>
      </c>
      <c r="P90" s="6" t="str">
        <f>IFERROR(__xludf.DUMMYFUNCTION("GOOGLETRANSLATE(F90,""en"",""ur"")"),"وہ موزے پہنے ہوئے ہیں۔")</f>
        <v>وہ موزے پہنے ہوئے ہیں۔</v>
      </c>
      <c r="Q90" s="6" t="s">
        <v>662</v>
      </c>
      <c r="R90" s="6" t="str">
        <f>IFERROR(__xludf.DUMMYFUNCTION("GOOGLETRANSLATE(G90,""en"",""ur"")"),"وہ سینڈل یا فلپ فلاپ پہنے ہوئے ہیں۔")</f>
        <v>وہ سینڈل یا فلپ فلاپ پہنے ہوئے ہیں۔</v>
      </c>
      <c r="S90" s="6" t="s">
        <v>699</v>
      </c>
      <c r="T90" s="6"/>
      <c r="U90" s="6"/>
      <c r="V90" s="6"/>
      <c r="W90" s="6"/>
      <c r="X90" s="6"/>
      <c r="Y90" s="6"/>
      <c r="Z90" s="6"/>
      <c r="AA90" s="6"/>
    </row>
    <row r="91">
      <c r="A91" s="7">
        <v>90.0</v>
      </c>
      <c r="B91" s="6" t="s">
        <v>663</v>
      </c>
      <c r="C91" s="6" t="s">
        <v>664</v>
      </c>
      <c r="D91" s="6" t="s">
        <v>665</v>
      </c>
      <c r="E91" s="6" t="s">
        <v>666</v>
      </c>
      <c r="F91" s="6" t="s">
        <v>667</v>
      </c>
      <c r="G91" s="6" t="s">
        <v>664</v>
      </c>
      <c r="H91" s="6" t="s">
        <v>699</v>
      </c>
      <c r="I91" s="6"/>
      <c r="J91" s="6"/>
      <c r="K91" s="7">
        <v>90.0</v>
      </c>
      <c r="L91" s="6" t="str">
        <f>IFERROR(__xludf.DUMMYFUNCTION("GOOGLETRANSLATE(B91,""en"",""ur"")"),"پس منظر میں دیگر کھلاڑیوں کے بارے میں ایک قابل ذکر تفصیل کیا ہے؟")</f>
        <v>پس منظر میں دیگر کھلاڑیوں کے بارے میں ایک قابل ذکر تفصیل کیا ہے؟</v>
      </c>
      <c r="M91" s="6"/>
      <c r="N91" s="8" t="str">
        <f>IFERROR(__xludf.DUMMYFUNCTION("GOOGLETRANSLATE(D91,""en"",""ur"")"),"وہ سب ادھر ادھر بھاگ رہے ہیں۔")</f>
        <v>وہ سب ادھر ادھر بھاگ رہے ہیں۔</v>
      </c>
      <c r="O91" s="6" t="str">
        <f>IFERROR(__xludf.DUMMYFUNCTION("GOOGLETRANSLATE(E91,""en"",""ur"")"),"وہ ایک دفاعی، تیار موقف میں ہیں۔")</f>
        <v>وہ ایک دفاعی، تیار موقف میں ہیں۔</v>
      </c>
      <c r="P91" s="6" t="str">
        <f>IFERROR(__xludf.DUMMYFUNCTION("GOOGLETRANSLATE(F91,""en"",""ur"")"),"وہ سب لہرا رہے ہیں۔")</f>
        <v>وہ سب لہرا رہے ہیں۔</v>
      </c>
      <c r="Q91" s="6" t="s">
        <v>668</v>
      </c>
      <c r="R91" s="6" t="str">
        <f>IFERROR(__xludf.DUMMYFUNCTION("GOOGLETRANSLATE(G91,""en"",""ur"")"),"وہ سب بیٹھے ہیں۔")</f>
        <v>وہ سب بیٹھے ہیں۔</v>
      </c>
      <c r="S91" s="6" t="s">
        <v>699</v>
      </c>
      <c r="T91" s="6"/>
      <c r="U91" s="6"/>
      <c r="V91" s="6"/>
      <c r="W91" s="6"/>
      <c r="X91" s="6"/>
      <c r="Y91" s="6"/>
      <c r="Z91" s="6"/>
      <c r="AA91" s="6"/>
    </row>
    <row r="92">
      <c r="A92" s="7">
        <v>91.0</v>
      </c>
      <c r="B92" s="6" t="s">
        <v>702</v>
      </c>
      <c r="C92" s="6" t="s">
        <v>690</v>
      </c>
      <c r="D92" s="6" t="s">
        <v>632</v>
      </c>
      <c r="E92" s="6" t="s">
        <v>633</v>
      </c>
      <c r="F92" s="6" t="s">
        <v>634</v>
      </c>
      <c r="G92" s="6" t="s">
        <v>632</v>
      </c>
      <c r="H92" s="6" t="s">
        <v>703</v>
      </c>
      <c r="I92" s="6"/>
      <c r="J92" s="6"/>
      <c r="K92" s="7">
        <v>91.0</v>
      </c>
      <c r="L92" s="6" t="str">
        <f>IFERROR(__xludf.DUMMYFUNCTION("GOOGLETRANSLATE(B92,""en"",""ur"")"),"gilli_danda_10 میں دکھایا گیا اہم عمل کیا ہے؟")</f>
        <v>gilli_danda_10 میں دکھایا گیا اہم عمل کیا ہے؟</v>
      </c>
      <c r="M92" s="6"/>
      <c r="N92" s="8" t="str">
        <f>IFERROR(__xludf.DUMMYFUNCTION("GOOGLETRANSLATE(D92,""en"",""ur"")"),"ایک کھلاڑی چھوٹی چھڑی کو بڑی چھڑی سے مار رہا ہے۔")</f>
        <v>ایک کھلاڑی چھوٹی چھڑی کو بڑی چھڑی سے مار رہا ہے۔</v>
      </c>
      <c r="O92" s="6" t="str">
        <f>IFERROR(__xludf.DUMMYFUNCTION("GOOGLETRANSLATE(E92,""en"",""ur"")"),"ایک کھلاڑی گیند کی خدمت کر رہا ہے۔")</f>
        <v>ایک کھلاڑی گیند کی خدمت کر رہا ہے۔</v>
      </c>
      <c r="P92" s="6" t="str">
        <f>IFERROR(__xludf.DUMMYFUNCTION("GOOGLETRANSLATE(F92,""en"",""ur"")"),"ایک کھلاڑی دفاعی بلاک کا مظاہرہ کر رہا ہے۔")</f>
        <v>ایک کھلاڑی دفاعی بلاک کا مظاہرہ کر رہا ہے۔</v>
      </c>
      <c r="Q92" s="6" t="s">
        <v>671</v>
      </c>
      <c r="R92" s="6" t="str">
        <f>IFERROR(__xludf.DUMMYFUNCTION("GOOGLETRANSLATE(G92,""en"",""ur"")"),"ایک کھلاڑی چھوٹی چھڑی کو بڑی چھڑی سے مار رہا ہے۔")</f>
        <v>ایک کھلاڑی چھوٹی چھڑی کو بڑی چھڑی سے مار رہا ہے۔</v>
      </c>
      <c r="S92" s="6" t="s">
        <v>703</v>
      </c>
      <c r="T92" s="6"/>
      <c r="U92" s="6"/>
      <c r="V92" s="6"/>
      <c r="W92" s="6"/>
      <c r="X92" s="6"/>
      <c r="Y92" s="6"/>
      <c r="Z92" s="6"/>
      <c r="AA92" s="6"/>
    </row>
    <row r="93">
      <c r="A93" s="7">
        <v>92.0</v>
      </c>
      <c r="B93" s="6" t="s">
        <v>636</v>
      </c>
      <c r="C93" s="6" t="s">
        <v>637</v>
      </c>
      <c r="D93" s="6" t="s">
        <v>638</v>
      </c>
      <c r="E93" s="6" t="s">
        <v>639</v>
      </c>
      <c r="F93" s="6" t="s">
        <v>640</v>
      </c>
      <c r="G93" s="6" t="s">
        <v>638</v>
      </c>
      <c r="H93" s="6" t="s">
        <v>703</v>
      </c>
      <c r="I93" s="6"/>
      <c r="J93" s="6"/>
      <c r="K93" s="7">
        <v>92.0</v>
      </c>
      <c r="L93" s="6" t="str">
        <f>IFERROR(__xludf.DUMMYFUNCTION("GOOGLETRANSLATE(B93,""en"",""ur"")"),"کھیل میں استعمال ہونے والے آلات کے دو ٹکڑے کیا ہیں؟")</f>
        <v>کھیل میں استعمال ہونے والے آلات کے دو ٹکڑے کیا ہیں؟</v>
      </c>
      <c r="M93" s="6"/>
      <c r="N93" s="8" t="str">
        <f>IFERROR(__xludf.DUMMYFUNCTION("GOOGLETRANSLATE(D93,""en"",""ur"")"),"ایک لمبی چھڑی (ڈنڈا) اور ایک چھوٹی چھڑی (گلی)")</f>
        <v>ایک لمبی چھڑی (ڈنڈا) اور ایک چھوٹی چھڑی (گلی)</v>
      </c>
      <c r="O93" s="6" t="str">
        <f>IFERROR(__xludf.DUMMYFUNCTION("GOOGLETRANSLATE(E93,""en"",""ur"")"),"ایک ریکیٹ اور ایک شٹل کاک")</f>
        <v>ایک ریکیٹ اور ایک شٹل کاک</v>
      </c>
      <c r="P93" s="6" t="str">
        <f>IFERROR(__xludf.DUMMYFUNCTION("GOOGLETRANSLATE(F93,""en"",""ur"")"),"ایک چمگادڑ اور ایک دستانہ")</f>
        <v>ایک چمگادڑ اور ایک دستانہ</v>
      </c>
      <c r="Q93" s="6" t="s">
        <v>641</v>
      </c>
      <c r="R93" s="6" t="str">
        <f>IFERROR(__xludf.DUMMYFUNCTION("GOOGLETRANSLATE(G93,""en"",""ur"")"),"ایک لمبی چھڑی (ڈنڈا) اور ایک چھوٹی چھڑی (گلی)")</f>
        <v>ایک لمبی چھڑی (ڈنڈا) اور ایک چھوٹی چھڑی (گلی)</v>
      </c>
      <c r="S93" s="6" t="s">
        <v>703</v>
      </c>
      <c r="T93" s="6"/>
      <c r="U93" s="6"/>
      <c r="V93" s="6"/>
      <c r="W93" s="6"/>
      <c r="X93" s="6"/>
      <c r="Y93" s="6"/>
      <c r="Z93" s="6"/>
      <c r="AA93" s="6"/>
    </row>
    <row r="94">
      <c r="A94" s="7">
        <v>93.0</v>
      </c>
      <c r="B94" s="6" t="s">
        <v>687</v>
      </c>
      <c r="C94" s="6" t="s">
        <v>307</v>
      </c>
      <c r="D94" s="6" t="s">
        <v>643</v>
      </c>
      <c r="E94" s="6" t="s">
        <v>311</v>
      </c>
      <c r="F94" s="6" t="s">
        <v>314</v>
      </c>
      <c r="G94" s="6" t="s">
        <v>643</v>
      </c>
      <c r="H94" s="6" t="s">
        <v>703</v>
      </c>
      <c r="I94" s="6"/>
      <c r="J94" s="6"/>
      <c r="K94" s="7">
        <v>93.0</v>
      </c>
      <c r="L94" s="6" t="str">
        <f>IFERROR(__xludf.DUMMYFUNCTION("GOOGLETRANSLATE(B94,""en"",""ur"")"),"پیش منظر میں کھلاڑی کے بارے میں ایک قابل ذکر تفصیل کیا ہے؟")</f>
        <v>پیش منظر میں کھلاڑی کے بارے میں ایک قابل ذکر تفصیل کیا ہے؟</v>
      </c>
      <c r="M94" s="6"/>
      <c r="N94" s="8" t="str">
        <f>IFERROR(__xludf.DUMMYFUNCTION("GOOGLETRANSLATE(D94,""en"",""ur"")"),"وہ ایک پست، جھکائے ہوئے موقف میں ہے، ہڑتال کرنے کی تیاری کر رہا ہے۔")</f>
        <v>وہ ایک پست، جھکائے ہوئے موقف میں ہے، ہڑتال کرنے کی تیاری کر رہا ہے۔</v>
      </c>
      <c r="O94" s="6" t="str">
        <f>IFERROR(__xludf.DUMMYFUNCTION("GOOGLETRANSLATE(E94,""en"",""ur"")"),"وہ سیدھا کھڑا ہے۔")</f>
        <v>وہ سیدھا کھڑا ہے۔</v>
      </c>
      <c r="P94" s="6" t="str">
        <f>IFERROR(__xludf.DUMMYFUNCTION("GOOGLETRANSLATE(F94,""en"",""ur"")"),"وہ آرام سے بیٹھا ہے۔")</f>
        <v>وہ آرام سے بیٹھا ہے۔</v>
      </c>
      <c r="Q94" s="6" t="s">
        <v>644</v>
      </c>
      <c r="R94" s="6" t="str">
        <f>IFERROR(__xludf.DUMMYFUNCTION("GOOGLETRANSLATE(G94,""en"",""ur"")"),"وہ ایک پست، جھکائے ہوئے موقف میں ہے، ہڑتال کرنے کی تیاری کر رہا ہے۔")</f>
        <v>وہ ایک پست، جھکائے ہوئے موقف میں ہے، ہڑتال کرنے کی تیاری کر رہا ہے۔</v>
      </c>
      <c r="S94" s="6" t="s">
        <v>703</v>
      </c>
      <c r="T94" s="6"/>
      <c r="U94" s="6"/>
      <c r="V94" s="6"/>
      <c r="W94" s="6"/>
      <c r="X94" s="6"/>
      <c r="Y94" s="6"/>
      <c r="Z94" s="6"/>
      <c r="AA94" s="6"/>
    </row>
    <row r="95">
      <c r="A95" s="7">
        <v>94.0</v>
      </c>
      <c r="B95" s="6" t="s">
        <v>645</v>
      </c>
      <c r="C95" s="6" t="s">
        <v>422</v>
      </c>
      <c r="D95" s="6" t="s">
        <v>646</v>
      </c>
      <c r="E95" s="6" t="s">
        <v>647</v>
      </c>
      <c r="F95" s="6" t="s">
        <v>425</v>
      </c>
      <c r="G95" s="6" t="s">
        <v>647</v>
      </c>
      <c r="H95" s="6" t="s">
        <v>703</v>
      </c>
      <c r="I95" s="6"/>
      <c r="J95" s="6"/>
      <c r="K95" s="7">
        <v>94.0</v>
      </c>
      <c r="L95" s="6" t="str">
        <f>IFERROR(__xludf.DUMMYFUNCTION("GOOGLETRANSLATE(B95,""en"",""ur"")"),"کھیل کی ظاہری ترتیب کیا ہے؟")</f>
        <v>کھیل کی ظاہری ترتیب کیا ہے؟</v>
      </c>
      <c r="M95" s="6"/>
      <c r="N95" s="8" t="str">
        <f>IFERROR(__xludf.DUMMYFUNCTION("GOOGLETRANSLATE(D95,""en"",""ur"")"),"شہر کی ایک گلی")</f>
        <v>شہر کی ایک گلی</v>
      </c>
      <c r="O95" s="6" t="str">
        <f>IFERROR(__xludf.DUMMYFUNCTION("GOOGLETRANSLATE(E95,""en"",""ur"")"),"ایک بیرونی گندگی کا میدان")</f>
        <v>ایک بیرونی گندگی کا میدان</v>
      </c>
      <c r="P95" s="6" t="str">
        <f>IFERROR(__xludf.DUMMYFUNCTION("GOOGLETRANSLATE(F95,""en"",""ur"")"),"گھاس کا میدان")</f>
        <v>گھاس کا میدان</v>
      </c>
      <c r="Q95" s="6" t="s">
        <v>648</v>
      </c>
      <c r="R95" s="6" t="str">
        <f>IFERROR(__xludf.DUMMYFUNCTION("GOOGLETRANSLATE(G95,""en"",""ur"")"),"ایک بیرونی گندگی کا میدان")</f>
        <v>ایک بیرونی گندگی کا میدان</v>
      </c>
      <c r="S95" s="6" t="s">
        <v>703</v>
      </c>
      <c r="T95" s="6"/>
      <c r="U95" s="6"/>
      <c r="V95" s="6"/>
      <c r="W95" s="6"/>
      <c r="X95" s="6"/>
      <c r="Y95" s="6"/>
      <c r="Z95" s="6"/>
      <c r="AA95" s="6"/>
    </row>
    <row r="96">
      <c r="A96" s="7">
        <v>95.0</v>
      </c>
      <c r="B96" s="6" t="s">
        <v>46</v>
      </c>
      <c r="C96" s="6" t="s">
        <v>47</v>
      </c>
      <c r="D96" s="6" t="s">
        <v>48</v>
      </c>
      <c r="E96" s="6" t="s">
        <v>49</v>
      </c>
      <c r="F96" s="6" t="s">
        <v>50</v>
      </c>
      <c r="G96" s="6" t="s">
        <v>49</v>
      </c>
      <c r="H96" s="6" t="s">
        <v>703</v>
      </c>
      <c r="I96" s="6"/>
      <c r="J96" s="6"/>
      <c r="K96" s="7">
        <v>95.0</v>
      </c>
      <c r="L96" s="6" t="str">
        <f>IFERROR(__xludf.DUMMYFUNCTION("GOOGLETRANSLATE(B96,""en"",""ur"")"),"کھلاڑیوں کے چہروں سے ظاہری جذبات کیا ہیں؟")</f>
        <v>کھلاڑیوں کے چہروں سے ظاہری جذبات کیا ہیں؟</v>
      </c>
      <c r="M96" s="6"/>
      <c r="N96" s="8" t="str">
        <f>IFERROR(__xludf.DUMMYFUNCTION("GOOGLETRANSLATE(D96,""en"",""ur"")"),"خوف زدہ اور بے چین")</f>
        <v>خوف زدہ اور بے چین</v>
      </c>
      <c r="O96" s="6" t="str">
        <f>IFERROR(__xludf.DUMMYFUNCTION("GOOGLETRANSLATE(E96,""en"",""ur"")"),"کشیدہ اور شدید")</f>
        <v>کشیدہ اور شدید</v>
      </c>
      <c r="P96" s="6" t="str">
        <f>IFERROR(__xludf.DUMMYFUNCTION("GOOGLETRANSLATE(F96,""en"",""ur"")"),"خوش اور مسکراتے ہوئے۔")</f>
        <v>خوش اور مسکراتے ہوئے۔</v>
      </c>
      <c r="Q96" s="6" t="s">
        <v>649</v>
      </c>
      <c r="R96" s="6" t="str">
        <f>IFERROR(__xludf.DUMMYFUNCTION("GOOGLETRANSLATE(G96,""en"",""ur"")"),"کشیدہ اور شدید")</f>
        <v>کشیدہ اور شدید</v>
      </c>
      <c r="S96" s="6" t="s">
        <v>703</v>
      </c>
      <c r="T96" s="6"/>
      <c r="U96" s="6"/>
      <c r="V96" s="6"/>
      <c r="W96" s="6"/>
      <c r="X96" s="6"/>
      <c r="Y96" s="6"/>
      <c r="Z96" s="6"/>
      <c r="AA96" s="6"/>
    </row>
    <row r="97">
      <c r="A97" s="7">
        <v>96.0</v>
      </c>
      <c r="B97" s="6" t="s">
        <v>88</v>
      </c>
      <c r="C97" s="6" t="s">
        <v>89</v>
      </c>
      <c r="D97" s="6" t="s">
        <v>90</v>
      </c>
      <c r="E97" s="6" t="s">
        <v>91</v>
      </c>
      <c r="F97" s="6" t="s">
        <v>255</v>
      </c>
      <c r="G97" s="6" t="s">
        <v>255</v>
      </c>
      <c r="H97" s="6" t="s">
        <v>703</v>
      </c>
      <c r="I97" s="6"/>
      <c r="J97" s="6"/>
      <c r="K97" s="7">
        <v>96.0</v>
      </c>
      <c r="L97" s="6" t="str">
        <f>IFERROR(__xludf.DUMMYFUNCTION("GOOGLETRANSLATE(B97,""en"",""ur"")"),"زمین کی سب سے نمایاں خصوصیت کیا ہے؟")</f>
        <v>زمین کی سب سے نمایاں خصوصیت کیا ہے؟</v>
      </c>
      <c r="M97" s="6"/>
      <c r="N97" s="8" t="str">
        <f>IFERROR(__xludf.DUMMYFUNCTION("GOOGLETRANSLATE(D97,""en"",""ur"")"),"کیچڑ والا میدان")</f>
        <v>کیچڑ والا میدان</v>
      </c>
      <c r="O97" s="6" t="str">
        <f>IFERROR(__xludf.DUMMYFUNCTION("GOOGLETRANSLATE(E97,""en"",""ur"")"),"ایک گھاس دار سطح")</f>
        <v>ایک گھاس دار سطح</v>
      </c>
      <c r="P97" s="6" t="str">
        <f>IFERROR(__xludf.DUMMYFUNCTION("GOOGLETRANSLATE(F97,""en"",""ur"")"),"ریتلی یا گندگی کی سطح")</f>
        <v>ریتلی یا گندگی کی سطح</v>
      </c>
      <c r="Q97" s="6" t="s">
        <v>688</v>
      </c>
      <c r="R97" s="6" t="str">
        <f>IFERROR(__xludf.DUMMYFUNCTION("GOOGLETRANSLATE(G97,""en"",""ur"")"),"ریتلی یا گندگی کی سطح")</f>
        <v>ریتلی یا گندگی کی سطح</v>
      </c>
      <c r="S97" s="6" t="s">
        <v>703</v>
      </c>
      <c r="T97" s="6"/>
      <c r="U97" s="6"/>
      <c r="V97" s="6"/>
      <c r="W97" s="6"/>
      <c r="X97" s="6"/>
      <c r="Y97" s="6"/>
      <c r="Z97" s="6"/>
      <c r="AA97" s="6"/>
    </row>
    <row r="98">
      <c r="A98" s="7">
        <v>97.0</v>
      </c>
      <c r="B98" s="6" t="s">
        <v>94</v>
      </c>
      <c r="C98" s="6" t="s">
        <v>95</v>
      </c>
      <c r="D98" s="6" t="s">
        <v>651</v>
      </c>
      <c r="E98" s="6" t="s">
        <v>652</v>
      </c>
      <c r="F98" s="6" t="s">
        <v>653</v>
      </c>
      <c r="G98" s="6" t="s">
        <v>652</v>
      </c>
      <c r="H98" s="6" t="s">
        <v>703</v>
      </c>
      <c r="I98" s="6"/>
      <c r="J98" s="6"/>
      <c r="K98" s="7">
        <v>97.0</v>
      </c>
      <c r="L98" s="6" t="str">
        <f>IFERROR(__xludf.DUMMYFUNCTION("GOOGLETRANSLATE(B98,""en"",""ur"")"),"کھیلے جانے والے کھیل کا نام کیا ہے؟")</f>
        <v>کھیلے جانے والے کھیل کا نام کیا ہے؟</v>
      </c>
      <c r="M98" s="6"/>
      <c r="N98" s="8" t="str">
        <f>IFERROR(__xludf.DUMMYFUNCTION("GOOGLETRANSLATE(D98,""en"",""ur"")"),"کرکٹ")</f>
        <v>کرکٹ</v>
      </c>
      <c r="O98" s="6" t="str">
        <f>IFERROR(__xludf.DUMMYFUNCTION("GOOGLETRANSLATE(E98,""en"",""ur"")"),"گلی ڈنڈا۔")</f>
        <v>گلی ڈنڈا۔</v>
      </c>
      <c r="P98" s="6" t="str">
        <f>IFERROR(__xludf.DUMMYFUNCTION("GOOGLETRANSLATE(F98,""en"",""ur"")"),"بیس بال")</f>
        <v>بیس بال</v>
      </c>
      <c r="Q98" s="6" t="s">
        <v>654</v>
      </c>
      <c r="R98" s="6" t="str">
        <f>IFERROR(__xludf.DUMMYFUNCTION("GOOGLETRANSLATE(G98,""en"",""ur"")"),"گلی ڈنڈا۔")</f>
        <v>گلی ڈنڈا۔</v>
      </c>
      <c r="S98" s="6" t="s">
        <v>703</v>
      </c>
      <c r="T98" s="6"/>
      <c r="U98" s="6"/>
      <c r="V98" s="6"/>
      <c r="W98" s="6"/>
      <c r="X98" s="6"/>
      <c r="Y98" s="6"/>
      <c r="Z98" s="6"/>
      <c r="AA98" s="6"/>
    </row>
    <row r="99">
      <c r="A99" s="7">
        <v>98.0</v>
      </c>
      <c r="B99" s="6" t="s">
        <v>260</v>
      </c>
      <c r="C99" s="6" t="s">
        <v>261</v>
      </c>
      <c r="D99" s="6" t="s">
        <v>262</v>
      </c>
      <c r="E99" s="6" t="s">
        <v>263</v>
      </c>
      <c r="F99" s="6" t="s">
        <v>655</v>
      </c>
      <c r="G99" s="6" t="s">
        <v>655</v>
      </c>
      <c r="H99" s="6" t="s">
        <v>703</v>
      </c>
      <c r="I99" s="6"/>
      <c r="J99" s="6"/>
      <c r="K99" s="7">
        <v>98.0</v>
      </c>
      <c r="L99" s="6" t="str">
        <f>IFERROR(__xludf.DUMMYFUNCTION("GOOGLETRANSLATE(B99,""en"",""ur"")"),"تصویر میں ایکشن ایک ایسا انداز تجویز کرتا ہے جو اس بات پر زور دیتا ہے...")</f>
        <v>تصویر میں ایکشن ایک ایسا انداز تجویز کرتا ہے جو اس بات پر زور دیتا ہے...</v>
      </c>
      <c r="M99" s="6"/>
      <c r="N99" s="8" t="str">
        <f>IFERROR(__xludf.DUMMYFUNCTION("GOOGLETRANSLATE(D99,""en"",""ur"")"),"زمینی لڑائی اور گرفت")</f>
        <v>زمینی لڑائی اور گرفت</v>
      </c>
      <c r="O99" s="6" t="str">
        <f>IFERROR(__xludf.DUMMYFUNCTION("GOOGLETRANSLATE(E99,""en"",""ur"")"),"وحشیانہ قوت اور گھڑ سواری۔")</f>
        <v>وحشیانہ قوت اور گھڑ سواری۔</v>
      </c>
      <c r="P99" s="6" t="str">
        <f>IFERROR(__xludf.DUMMYFUNCTION("GOOGLETRANSLATE(F99,""en"",""ur"")"),"ہاتھ سے آنکھ کو آرڈینیشن اور حیرت انگیز")</f>
        <v>ہاتھ سے آنکھ کو آرڈینیشن اور حیرت انگیز</v>
      </c>
      <c r="Q99" s="6" t="s">
        <v>656</v>
      </c>
      <c r="R99" s="6" t="str">
        <f>IFERROR(__xludf.DUMMYFUNCTION("GOOGLETRANSLATE(G99,""en"",""ur"")"),"ہاتھ سے آنکھ کو آرڈینیشن اور حیرت انگیز")</f>
        <v>ہاتھ سے آنکھ کو آرڈینیشن اور حیرت انگیز</v>
      </c>
      <c r="S99" s="6" t="s">
        <v>703</v>
      </c>
      <c r="T99" s="6"/>
      <c r="U99" s="6"/>
      <c r="V99" s="6"/>
      <c r="W99" s="6"/>
      <c r="X99" s="6"/>
      <c r="Y99" s="6"/>
      <c r="Z99" s="6"/>
      <c r="AA99" s="6"/>
    </row>
    <row r="100">
      <c r="A100" s="7">
        <v>99.0</v>
      </c>
      <c r="B100" s="6" t="s">
        <v>657</v>
      </c>
      <c r="C100" s="6" t="s">
        <v>658</v>
      </c>
      <c r="D100" s="6" t="s">
        <v>659</v>
      </c>
      <c r="E100" s="6" t="s">
        <v>660</v>
      </c>
      <c r="F100" s="6" t="s">
        <v>661</v>
      </c>
      <c r="G100" s="6" t="s">
        <v>659</v>
      </c>
      <c r="H100" s="6" t="s">
        <v>703</v>
      </c>
      <c r="I100" s="6"/>
      <c r="J100" s="6"/>
      <c r="K100" s="7">
        <v>99.0</v>
      </c>
      <c r="L100" s="6" t="str">
        <f>IFERROR(__xludf.DUMMYFUNCTION("GOOGLETRANSLATE(B100,""en"",""ur"")"),"کھلاڑیوں کے جوتے کے بارے میں ایک قابل ذکر تفصیل کیا ہے؟")</f>
        <v>کھلاڑیوں کے جوتے کے بارے میں ایک قابل ذکر تفصیل کیا ہے؟</v>
      </c>
      <c r="M100" s="6"/>
      <c r="N100" s="8" t="str">
        <f>IFERROR(__xludf.DUMMYFUNCTION("GOOGLETRANSLATE(D100,""en"",""ur"")"),"وہ ننگے پاؤں ہیں۔")</f>
        <v>وہ ننگے پاؤں ہیں۔</v>
      </c>
      <c r="O100" s="6" t="str">
        <f>IFERROR(__xludf.DUMMYFUNCTION("GOOGLETRANSLATE(E100,""en"",""ur"")"),"وہ سینڈل یا فلپ فلاپ پہنے ہوئے ہیں۔")</f>
        <v>وہ سینڈل یا فلپ فلاپ پہنے ہوئے ہیں۔</v>
      </c>
      <c r="P100" s="6" t="str">
        <f>IFERROR(__xludf.DUMMYFUNCTION("GOOGLETRANSLATE(F100,""en"",""ur"")"),"وہ موزے پہنے ہوئے ہیں۔")</f>
        <v>وہ موزے پہنے ہوئے ہیں۔</v>
      </c>
      <c r="Q100" s="6" t="s">
        <v>662</v>
      </c>
      <c r="R100" s="6" t="str">
        <f>IFERROR(__xludf.DUMMYFUNCTION("GOOGLETRANSLATE(G100,""en"",""ur"")"),"وہ ننگے پاؤں ہیں۔")</f>
        <v>وہ ننگے پاؤں ہیں۔</v>
      </c>
      <c r="S100" s="6" t="s">
        <v>703</v>
      </c>
      <c r="T100" s="6"/>
      <c r="U100" s="6"/>
      <c r="V100" s="6"/>
      <c r="W100" s="6"/>
      <c r="X100" s="6"/>
      <c r="Y100" s="6"/>
      <c r="Z100" s="6"/>
      <c r="AA100" s="6"/>
    </row>
    <row r="101">
      <c r="A101" s="7">
        <v>100.0</v>
      </c>
      <c r="B101" s="6" t="s">
        <v>663</v>
      </c>
      <c r="C101" s="6" t="s">
        <v>664</v>
      </c>
      <c r="D101" s="6" t="s">
        <v>665</v>
      </c>
      <c r="E101" s="6" t="s">
        <v>666</v>
      </c>
      <c r="F101" s="6" t="s">
        <v>667</v>
      </c>
      <c r="G101" s="6" t="s">
        <v>665</v>
      </c>
      <c r="H101" s="6" t="s">
        <v>703</v>
      </c>
      <c r="I101" s="6"/>
      <c r="J101" s="6"/>
      <c r="K101" s="7">
        <v>100.0</v>
      </c>
      <c r="L101" s="6" t="str">
        <f>IFERROR(__xludf.DUMMYFUNCTION("GOOGLETRANSLATE(B101,""en"",""ur"")"),"پس منظر میں دیگر کھلاڑیوں کے بارے میں ایک قابل ذکر تفصیل کیا ہے؟")</f>
        <v>پس منظر میں دیگر کھلاڑیوں کے بارے میں ایک قابل ذکر تفصیل کیا ہے؟</v>
      </c>
      <c r="M101" s="6"/>
      <c r="N101" s="8" t="str">
        <f>IFERROR(__xludf.DUMMYFUNCTION("GOOGLETRANSLATE(D101,""en"",""ur"")"),"وہ سب ادھر ادھر بھاگ رہے ہیں۔")</f>
        <v>وہ سب ادھر ادھر بھاگ رہے ہیں۔</v>
      </c>
      <c r="O101" s="6" t="str">
        <f>IFERROR(__xludf.DUMMYFUNCTION("GOOGLETRANSLATE(E101,""en"",""ur"")"),"وہ ایک دفاعی، تیار موقف میں ہیں۔")</f>
        <v>وہ ایک دفاعی، تیار موقف میں ہیں۔</v>
      </c>
      <c r="P101" s="6" t="str">
        <f>IFERROR(__xludf.DUMMYFUNCTION("GOOGLETRANSLATE(F101,""en"",""ur"")"),"وہ سب لہرا رہے ہیں۔")</f>
        <v>وہ سب لہرا رہے ہیں۔</v>
      </c>
      <c r="Q101" s="6" t="s">
        <v>668</v>
      </c>
      <c r="R101" s="6" t="str">
        <f>IFERROR(__xludf.DUMMYFUNCTION("GOOGLETRANSLATE(G101,""en"",""ur"")"),"وہ سب ادھر ادھر بھاگ رہے ہیں۔")</f>
        <v>وہ سب ادھر ادھر بھاگ رہے ہیں۔</v>
      </c>
      <c r="S101" s="6" t="s">
        <v>703</v>
      </c>
      <c r="T101" s="6"/>
      <c r="U101" s="6"/>
      <c r="V101" s="6"/>
      <c r="W101" s="6"/>
      <c r="X101" s="6"/>
      <c r="Y101" s="6"/>
      <c r="Z101" s="6"/>
      <c r="AA101" s="6"/>
    </row>
    <row r="102">
      <c r="A102" s="7">
        <v>101.0</v>
      </c>
      <c r="B102" s="6" t="s">
        <v>704</v>
      </c>
      <c r="C102" s="6" t="s">
        <v>705</v>
      </c>
      <c r="D102" s="6" t="s">
        <v>706</v>
      </c>
      <c r="E102" s="6" t="s">
        <v>707</v>
      </c>
      <c r="F102" s="6" t="s">
        <v>708</v>
      </c>
      <c r="G102" s="6" t="s">
        <v>706</v>
      </c>
      <c r="H102" s="6" t="s">
        <v>709</v>
      </c>
      <c r="I102" s="6"/>
      <c r="J102" s="6"/>
      <c r="K102" s="7">
        <v>101.0</v>
      </c>
      <c r="L102" s="6" t="str">
        <f>IFERROR(__xludf.DUMMYFUNCTION("GOOGLETRANSLATE(B102,""en"",""ur"")"),"گلی_ڈنڈا_11 میں دکھایا گیا اصل عمل کیا ہے؟")</f>
        <v>گلی_ڈنڈا_11 میں دکھایا گیا اصل عمل کیا ہے؟</v>
      </c>
      <c r="M102" s="6"/>
      <c r="N102" s="8" t="str">
        <f>IFERROR(__xludf.DUMMYFUNCTION("GOOGLETRANSLATE(D102,""en"",""ur"")"),"ایک بچہ ایک چھوٹی چھڑی کو بڑی چھڑی سے مارنے کی تیاری کر رہا ہے۔")</f>
        <v>ایک بچہ ایک چھوٹی چھڑی کو بڑی چھڑی سے مارنے کی تیاری کر رہا ہے۔</v>
      </c>
      <c r="O102" s="6" t="str">
        <f>IFERROR(__xludf.DUMMYFUNCTION("GOOGLETRANSLATE(E102,""en"",""ur"")"),"ایک بچہ کھیت میں بھاگ رہا ہے۔")</f>
        <v>ایک بچہ کھیت میں بھاگ رہا ہے۔</v>
      </c>
      <c r="P102" s="6" t="str">
        <f>IFERROR(__xludf.DUMMYFUNCTION("GOOGLETRANSLATE(F102,""en"",""ur"")"),"ایک بچہ زمین پر بیٹھا ہے۔")</f>
        <v>ایک بچہ زمین پر بیٹھا ہے۔</v>
      </c>
      <c r="Q102" s="6" t="s">
        <v>710</v>
      </c>
      <c r="R102" s="6" t="str">
        <f>IFERROR(__xludf.DUMMYFUNCTION("GOOGLETRANSLATE(G102,""en"",""ur"")"),"ایک بچہ ایک چھوٹی چھڑی کو بڑی چھڑی سے مارنے کی تیاری کر رہا ہے۔")</f>
        <v>ایک بچہ ایک چھوٹی چھڑی کو بڑی چھڑی سے مارنے کی تیاری کر رہا ہے۔</v>
      </c>
      <c r="S102" s="6" t="s">
        <v>709</v>
      </c>
      <c r="T102" s="6"/>
      <c r="U102" s="6"/>
      <c r="V102" s="6"/>
      <c r="W102" s="6"/>
      <c r="X102" s="6"/>
      <c r="Y102" s="6"/>
      <c r="Z102" s="6"/>
      <c r="AA102" s="6"/>
    </row>
    <row r="103">
      <c r="A103" s="7">
        <v>102.0</v>
      </c>
      <c r="B103" s="6" t="s">
        <v>636</v>
      </c>
      <c r="C103" s="6" t="s">
        <v>637</v>
      </c>
      <c r="D103" s="6" t="s">
        <v>638</v>
      </c>
      <c r="E103" s="6" t="s">
        <v>639</v>
      </c>
      <c r="F103" s="6" t="s">
        <v>640</v>
      </c>
      <c r="G103" s="6" t="s">
        <v>638</v>
      </c>
      <c r="H103" s="6" t="s">
        <v>709</v>
      </c>
      <c r="I103" s="6"/>
      <c r="J103" s="6"/>
      <c r="K103" s="7">
        <v>102.0</v>
      </c>
      <c r="L103" s="6" t="str">
        <f>IFERROR(__xludf.DUMMYFUNCTION("GOOGLETRANSLATE(B103,""en"",""ur"")"),"کھیل میں استعمال ہونے والے آلات کے دو ٹکڑے کیا ہیں؟")</f>
        <v>کھیل میں استعمال ہونے والے آلات کے دو ٹکڑے کیا ہیں؟</v>
      </c>
      <c r="M103" s="6"/>
      <c r="N103" s="8" t="str">
        <f>IFERROR(__xludf.DUMMYFUNCTION("GOOGLETRANSLATE(D103,""en"",""ur"")"),"ایک لمبی چھڑی (ڈنڈا) اور ایک چھوٹی چھڑی (گلی)")</f>
        <v>ایک لمبی چھڑی (ڈنڈا) اور ایک چھوٹی چھڑی (گلی)</v>
      </c>
      <c r="O103" s="6" t="str">
        <f>IFERROR(__xludf.DUMMYFUNCTION("GOOGLETRANSLATE(E103,""en"",""ur"")"),"ایک ریکیٹ اور ایک شٹل کاک")</f>
        <v>ایک ریکیٹ اور ایک شٹل کاک</v>
      </c>
      <c r="P103" s="6" t="str">
        <f>IFERROR(__xludf.DUMMYFUNCTION("GOOGLETRANSLATE(F103,""en"",""ur"")"),"ایک چمگادڑ اور ایک دستانہ")</f>
        <v>ایک چمگادڑ اور ایک دستانہ</v>
      </c>
      <c r="Q103" s="6" t="s">
        <v>641</v>
      </c>
      <c r="R103" s="6" t="str">
        <f>IFERROR(__xludf.DUMMYFUNCTION("GOOGLETRANSLATE(G103,""en"",""ur"")"),"ایک لمبی چھڑی (ڈنڈا) اور ایک چھوٹی چھڑی (گلی)")</f>
        <v>ایک لمبی چھڑی (ڈنڈا) اور ایک چھوٹی چھڑی (گلی)</v>
      </c>
      <c r="S103" s="6" t="s">
        <v>709</v>
      </c>
      <c r="T103" s="6"/>
      <c r="U103" s="6"/>
      <c r="V103" s="6"/>
      <c r="W103" s="6"/>
      <c r="X103" s="6"/>
      <c r="Y103" s="6"/>
      <c r="Z103" s="6"/>
      <c r="AA103" s="6"/>
    </row>
    <row r="104">
      <c r="A104" s="7">
        <v>103.0</v>
      </c>
      <c r="B104" s="6" t="s">
        <v>711</v>
      </c>
      <c r="C104" s="6" t="s">
        <v>307</v>
      </c>
      <c r="D104" s="6" t="s">
        <v>643</v>
      </c>
      <c r="E104" s="6" t="s">
        <v>311</v>
      </c>
      <c r="F104" s="6" t="s">
        <v>314</v>
      </c>
      <c r="G104" s="6" t="s">
        <v>643</v>
      </c>
      <c r="H104" s="6" t="s">
        <v>709</v>
      </c>
      <c r="I104" s="6"/>
      <c r="J104" s="6"/>
      <c r="K104" s="7">
        <v>103.0</v>
      </c>
      <c r="L104" s="6" t="str">
        <f>IFERROR(__xludf.DUMMYFUNCTION("GOOGLETRANSLATE(B104,""en"",""ur"")"),"کھلاڑی کے لباس کے بارے میں ایک قابل ذکر تفصیل کیا ہے؟")</f>
        <v>کھلاڑی کے لباس کے بارے میں ایک قابل ذکر تفصیل کیا ہے؟</v>
      </c>
      <c r="M104" s="6"/>
      <c r="N104" s="8" t="str">
        <f>IFERROR(__xludf.DUMMYFUNCTION("GOOGLETRANSLATE(D104,""en"",""ur"")"),"وہ ایک پست، جھکائے ہوئے موقف میں ہے، ہڑتال کرنے کی تیاری کر رہا ہے۔")</f>
        <v>وہ ایک پست، جھکائے ہوئے موقف میں ہے، ہڑتال کرنے کی تیاری کر رہا ہے۔</v>
      </c>
      <c r="O104" s="6" t="str">
        <f>IFERROR(__xludf.DUMMYFUNCTION("GOOGLETRANSLATE(E104,""en"",""ur"")"),"وہ سیدھا کھڑا ہے۔")</f>
        <v>وہ سیدھا کھڑا ہے۔</v>
      </c>
      <c r="P104" s="6" t="str">
        <f>IFERROR(__xludf.DUMMYFUNCTION("GOOGLETRANSLATE(F104,""en"",""ur"")"),"وہ آرام سے بیٹھا ہے۔")</f>
        <v>وہ آرام سے بیٹھا ہے۔</v>
      </c>
      <c r="Q104" s="6" t="s">
        <v>644</v>
      </c>
      <c r="R104" s="6" t="str">
        <f>IFERROR(__xludf.DUMMYFUNCTION("GOOGLETRANSLATE(G104,""en"",""ur"")"),"وہ ایک پست، جھکائے ہوئے موقف میں ہے، ہڑتال کرنے کی تیاری کر رہا ہے۔")</f>
        <v>وہ ایک پست، جھکائے ہوئے موقف میں ہے، ہڑتال کرنے کی تیاری کر رہا ہے۔</v>
      </c>
      <c r="S104" s="6" t="s">
        <v>709</v>
      </c>
      <c r="T104" s="6"/>
      <c r="U104" s="6"/>
      <c r="V104" s="6"/>
      <c r="W104" s="6"/>
      <c r="X104" s="6"/>
      <c r="Y104" s="6"/>
      <c r="Z104" s="6"/>
      <c r="AA104" s="6"/>
    </row>
    <row r="105">
      <c r="A105" s="7">
        <v>104.0</v>
      </c>
      <c r="B105" s="6" t="s">
        <v>645</v>
      </c>
      <c r="C105" s="6" t="s">
        <v>422</v>
      </c>
      <c r="D105" s="6" t="s">
        <v>646</v>
      </c>
      <c r="E105" s="6" t="s">
        <v>647</v>
      </c>
      <c r="F105" s="6" t="s">
        <v>425</v>
      </c>
      <c r="G105" s="6" t="s">
        <v>647</v>
      </c>
      <c r="H105" s="6" t="s">
        <v>709</v>
      </c>
      <c r="I105" s="6"/>
      <c r="J105" s="6"/>
      <c r="K105" s="7">
        <v>104.0</v>
      </c>
      <c r="L105" s="6" t="str">
        <f>IFERROR(__xludf.DUMMYFUNCTION("GOOGLETRANSLATE(B105,""en"",""ur"")"),"کھیل کی ظاہری ترتیب کیا ہے؟")</f>
        <v>کھیل کی ظاہری ترتیب کیا ہے؟</v>
      </c>
      <c r="M105" s="6"/>
      <c r="N105" s="8" t="str">
        <f>IFERROR(__xludf.DUMMYFUNCTION("GOOGLETRANSLATE(D105,""en"",""ur"")"),"شہر کی ایک گلی")</f>
        <v>شہر کی ایک گلی</v>
      </c>
      <c r="O105" s="6" t="str">
        <f>IFERROR(__xludf.DUMMYFUNCTION("GOOGLETRANSLATE(E105,""en"",""ur"")"),"ایک بیرونی گندگی کا میدان")</f>
        <v>ایک بیرونی گندگی کا میدان</v>
      </c>
      <c r="P105" s="6" t="str">
        <f>IFERROR(__xludf.DUMMYFUNCTION("GOOGLETRANSLATE(F105,""en"",""ur"")"),"گھاس کا میدان")</f>
        <v>گھاس کا میدان</v>
      </c>
      <c r="Q105" s="6" t="s">
        <v>648</v>
      </c>
      <c r="R105" s="6" t="str">
        <f>IFERROR(__xludf.DUMMYFUNCTION("GOOGLETRANSLATE(G105,""en"",""ur"")"),"ایک بیرونی گندگی کا میدان")</f>
        <v>ایک بیرونی گندگی کا میدان</v>
      </c>
      <c r="S105" s="6" t="s">
        <v>709</v>
      </c>
      <c r="T105" s="6"/>
      <c r="U105" s="6"/>
      <c r="V105" s="6"/>
      <c r="W105" s="6"/>
      <c r="X105" s="6"/>
      <c r="Y105" s="6"/>
      <c r="Z105" s="6"/>
      <c r="AA105" s="6"/>
    </row>
    <row r="106">
      <c r="A106" s="7">
        <v>105.0</v>
      </c>
      <c r="B106" s="6" t="s">
        <v>679</v>
      </c>
      <c r="C106" s="6" t="s">
        <v>47</v>
      </c>
      <c r="D106" s="6" t="s">
        <v>48</v>
      </c>
      <c r="E106" s="6" t="s">
        <v>49</v>
      </c>
      <c r="F106" s="6" t="s">
        <v>50</v>
      </c>
      <c r="G106" s="6" t="s">
        <v>47</v>
      </c>
      <c r="H106" s="6" t="s">
        <v>709</v>
      </c>
      <c r="I106" s="6"/>
      <c r="J106" s="6"/>
      <c r="K106" s="7">
        <v>105.0</v>
      </c>
      <c r="L106" s="6" t="str">
        <f>IFERROR(__xludf.DUMMYFUNCTION("GOOGLETRANSLATE(B106,""en"",""ur"")"),"کھلاڑی کے چہرے سے ظاہری جذبات کیا ہیں؟")</f>
        <v>کھلاڑی کے چہرے سے ظاہری جذبات کیا ہیں؟</v>
      </c>
      <c r="M106" s="6"/>
      <c r="N106" s="8" t="str">
        <f>IFERROR(__xludf.DUMMYFUNCTION("GOOGLETRANSLATE(D106,""en"",""ur"")"),"خوف زدہ اور بے چین")</f>
        <v>خوف زدہ اور بے چین</v>
      </c>
      <c r="O106" s="6" t="str">
        <f>IFERROR(__xludf.DUMMYFUNCTION("GOOGLETRANSLATE(E106,""en"",""ur"")"),"کشیدہ اور شدید")</f>
        <v>کشیدہ اور شدید</v>
      </c>
      <c r="P106" s="6" t="str">
        <f>IFERROR(__xludf.DUMMYFUNCTION("GOOGLETRANSLATE(F106,""en"",""ur"")"),"خوش اور مسکراتے ہوئے۔")</f>
        <v>خوش اور مسکراتے ہوئے۔</v>
      </c>
      <c r="Q106" s="6" t="s">
        <v>649</v>
      </c>
      <c r="R106" s="6" t="str">
        <f>IFERROR(__xludf.DUMMYFUNCTION("GOOGLETRANSLATE(G106,""en"",""ur"")"),"پرسکون اور پر سکون")</f>
        <v>پرسکون اور پر سکون</v>
      </c>
      <c r="S106" s="6" t="s">
        <v>709</v>
      </c>
      <c r="T106" s="6"/>
      <c r="U106" s="6"/>
      <c r="V106" s="6"/>
      <c r="W106" s="6"/>
      <c r="X106" s="6"/>
      <c r="Y106" s="6"/>
      <c r="Z106" s="6"/>
      <c r="AA106" s="6"/>
    </row>
    <row r="107">
      <c r="A107" s="7">
        <v>106.0</v>
      </c>
      <c r="B107" s="6" t="s">
        <v>88</v>
      </c>
      <c r="C107" s="6" t="s">
        <v>89</v>
      </c>
      <c r="D107" s="6" t="s">
        <v>90</v>
      </c>
      <c r="E107" s="6" t="s">
        <v>91</v>
      </c>
      <c r="F107" s="6" t="s">
        <v>255</v>
      </c>
      <c r="G107" s="6" t="s">
        <v>255</v>
      </c>
      <c r="H107" s="6" t="s">
        <v>709</v>
      </c>
      <c r="I107" s="6"/>
      <c r="J107" s="6"/>
      <c r="K107" s="7">
        <v>106.0</v>
      </c>
      <c r="L107" s="6" t="str">
        <f>IFERROR(__xludf.DUMMYFUNCTION("GOOGLETRANSLATE(B107,""en"",""ur"")"),"زمین کی سب سے نمایاں خصوصیت کیا ہے؟")</f>
        <v>زمین کی سب سے نمایاں خصوصیت کیا ہے؟</v>
      </c>
      <c r="M107" s="6"/>
      <c r="N107" s="8" t="str">
        <f>IFERROR(__xludf.DUMMYFUNCTION("GOOGLETRANSLATE(D107,""en"",""ur"")"),"کیچڑ والا میدان")</f>
        <v>کیچڑ والا میدان</v>
      </c>
      <c r="O107" s="6" t="str">
        <f>IFERROR(__xludf.DUMMYFUNCTION("GOOGLETRANSLATE(E107,""en"",""ur"")"),"ایک گھاس دار سطح")</f>
        <v>ایک گھاس دار سطح</v>
      </c>
      <c r="P107" s="6" t="str">
        <f>IFERROR(__xludf.DUMMYFUNCTION("GOOGLETRANSLATE(F107,""en"",""ur"")"),"ریتلی یا گندگی کی سطح")</f>
        <v>ریتلی یا گندگی کی سطح</v>
      </c>
      <c r="Q107" s="6" t="s">
        <v>688</v>
      </c>
      <c r="R107" s="6" t="str">
        <f>IFERROR(__xludf.DUMMYFUNCTION("GOOGLETRANSLATE(G107,""en"",""ur"")"),"ریتلی یا گندگی کی سطح")</f>
        <v>ریتلی یا گندگی کی سطح</v>
      </c>
      <c r="S107" s="6" t="s">
        <v>709</v>
      </c>
      <c r="T107" s="6"/>
      <c r="U107" s="6"/>
      <c r="V107" s="6"/>
      <c r="W107" s="6"/>
      <c r="X107" s="6"/>
      <c r="Y107" s="6"/>
      <c r="Z107" s="6"/>
      <c r="AA107" s="6"/>
    </row>
    <row r="108">
      <c r="A108" s="7">
        <v>107.0</v>
      </c>
      <c r="B108" s="6" t="s">
        <v>94</v>
      </c>
      <c r="C108" s="6" t="s">
        <v>95</v>
      </c>
      <c r="D108" s="6" t="s">
        <v>651</v>
      </c>
      <c r="E108" s="6" t="s">
        <v>652</v>
      </c>
      <c r="F108" s="6" t="s">
        <v>653</v>
      </c>
      <c r="G108" s="6" t="s">
        <v>652</v>
      </c>
      <c r="H108" s="6" t="s">
        <v>709</v>
      </c>
      <c r="I108" s="6"/>
      <c r="J108" s="6"/>
      <c r="K108" s="7">
        <v>107.0</v>
      </c>
      <c r="L108" s="6" t="str">
        <f>IFERROR(__xludf.DUMMYFUNCTION("GOOGLETRANSLATE(B108,""en"",""ur"")"),"کھیلے جانے والے کھیل کا نام کیا ہے؟")</f>
        <v>کھیلے جانے والے کھیل کا نام کیا ہے؟</v>
      </c>
      <c r="M108" s="6"/>
      <c r="N108" s="8" t="str">
        <f>IFERROR(__xludf.DUMMYFUNCTION("GOOGLETRANSLATE(D108,""en"",""ur"")"),"کرکٹ")</f>
        <v>کرکٹ</v>
      </c>
      <c r="O108" s="6" t="str">
        <f>IFERROR(__xludf.DUMMYFUNCTION("GOOGLETRANSLATE(E108,""en"",""ur"")"),"گلی ڈنڈا۔")</f>
        <v>گلی ڈنڈا۔</v>
      </c>
      <c r="P108" s="6" t="str">
        <f>IFERROR(__xludf.DUMMYFUNCTION("GOOGLETRANSLATE(F108,""en"",""ur"")"),"بیس بال")</f>
        <v>بیس بال</v>
      </c>
      <c r="Q108" s="6" t="s">
        <v>654</v>
      </c>
      <c r="R108" s="6" t="str">
        <f>IFERROR(__xludf.DUMMYFUNCTION("GOOGLETRANSLATE(G108,""en"",""ur"")"),"گلی ڈنڈا۔")</f>
        <v>گلی ڈنڈا۔</v>
      </c>
      <c r="S108" s="6" t="s">
        <v>709</v>
      </c>
      <c r="T108" s="6"/>
      <c r="U108" s="6"/>
      <c r="V108" s="6"/>
      <c r="W108" s="6"/>
      <c r="X108" s="6"/>
      <c r="Y108" s="6"/>
      <c r="Z108" s="6"/>
      <c r="AA108" s="6"/>
    </row>
    <row r="109">
      <c r="A109" s="7">
        <v>108.0</v>
      </c>
      <c r="B109" s="6" t="s">
        <v>260</v>
      </c>
      <c r="C109" s="6" t="s">
        <v>261</v>
      </c>
      <c r="D109" s="6" t="s">
        <v>262</v>
      </c>
      <c r="E109" s="6" t="s">
        <v>263</v>
      </c>
      <c r="F109" s="6" t="s">
        <v>655</v>
      </c>
      <c r="G109" s="6" t="s">
        <v>655</v>
      </c>
      <c r="H109" s="6" t="s">
        <v>709</v>
      </c>
      <c r="I109" s="6"/>
      <c r="J109" s="6"/>
      <c r="K109" s="7">
        <v>108.0</v>
      </c>
      <c r="L109" s="6" t="str">
        <f>IFERROR(__xludf.DUMMYFUNCTION("GOOGLETRANSLATE(B109,""en"",""ur"")"),"تصویر میں ایکشن ایک ایسا انداز تجویز کرتا ہے جو اس بات پر زور دیتا ہے...")</f>
        <v>تصویر میں ایکشن ایک ایسا انداز تجویز کرتا ہے جو اس بات پر زور دیتا ہے...</v>
      </c>
      <c r="M109" s="6"/>
      <c r="N109" s="8" t="str">
        <f>IFERROR(__xludf.DUMMYFUNCTION("GOOGLETRANSLATE(D109,""en"",""ur"")"),"زمینی لڑائی اور گرفت")</f>
        <v>زمینی لڑائی اور گرفت</v>
      </c>
      <c r="O109" s="6" t="str">
        <f>IFERROR(__xludf.DUMMYFUNCTION("GOOGLETRANSLATE(E109,""en"",""ur"")"),"وحشیانہ قوت اور گھڑ سواری۔")</f>
        <v>وحشیانہ قوت اور گھڑ سواری۔</v>
      </c>
      <c r="P109" s="6" t="str">
        <f>IFERROR(__xludf.DUMMYFUNCTION("GOOGLETRANSLATE(F109,""en"",""ur"")"),"ہاتھ سے آنکھ کو آرڈینیشن اور حیرت انگیز")</f>
        <v>ہاتھ سے آنکھ کو آرڈینیشن اور حیرت انگیز</v>
      </c>
      <c r="Q109" s="6" t="s">
        <v>656</v>
      </c>
      <c r="R109" s="6" t="str">
        <f>IFERROR(__xludf.DUMMYFUNCTION("GOOGLETRANSLATE(G109,""en"",""ur"")"),"ہاتھ سے آنکھ کو آرڈینیشن اور حیرت انگیز")</f>
        <v>ہاتھ سے آنکھ کو آرڈینیشن اور حیرت انگیز</v>
      </c>
      <c r="S109" s="6" t="s">
        <v>709</v>
      </c>
      <c r="T109" s="6"/>
      <c r="U109" s="6"/>
      <c r="V109" s="6"/>
      <c r="W109" s="6"/>
      <c r="X109" s="6"/>
      <c r="Y109" s="6"/>
      <c r="Z109" s="6"/>
      <c r="AA109" s="6"/>
    </row>
    <row r="110">
      <c r="A110" s="7">
        <v>109.0</v>
      </c>
      <c r="B110" s="6" t="s">
        <v>657</v>
      </c>
      <c r="C110" s="6" t="s">
        <v>658</v>
      </c>
      <c r="D110" s="6" t="s">
        <v>659</v>
      </c>
      <c r="E110" s="6" t="s">
        <v>660</v>
      </c>
      <c r="F110" s="6" t="s">
        <v>661</v>
      </c>
      <c r="G110" s="6" t="s">
        <v>659</v>
      </c>
      <c r="H110" s="6" t="s">
        <v>709</v>
      </c>
      <c r="I110" s="6"/>
      <c r="J110" s="6"/>
      <c r="K110" s="7">
        <v>109.0</v>
      </c>
      <c r="L110" s="6" t="str">
        <f>IFERROR(__xludf.DUMMYFUNCTION("GOOGLETRANSLATE(B110,""en"",""ur"")"),"کھلاڑیوں کے جوتے کے بارے میں ایک قابل ذکر تفصیل کیا ہے؟")</f>
        <v>کھلاڑیوں کے جوتے کے بارے میں ایک قابل ذکر تفصیل کیا ہے؟</v>
      </c>
      <c r="M110" s="6"/>
      <c r="N110" s="8" t="str">
        <f>IFERROR(__xludf.DUMMYFUNCTION("GOOGLETRANSLATE(D110,""en"",""ur"")"),"وہ ننگے پاؤں ہیں۔")</f>
        <v>وہ ننگے پاؤں ہیں۔</v>
      </c>
      <c r="O110" s="6" t="str">
        <f>IFERROR(__xludf.DUMMYFUNCTION("GOOGLETRANSLATE(E110,""en"",""ur"")"),"وہ سینڈل یا فلپ فلاپ پہنے ہوئے ہیں۔")</f>
        <v>وہ سینڈل یا فلپ فلاپ پہنے ہوئے ہیں۔</v>
      </c>
      <c r="P110" s="6" t="str">
        <f>IFERROR(__xludf.DUMMYFUNCTION("GOOGLETRANSLATE(F110,""en"",""ur"")"),"وہ موزے پہنے ہوئے ہیں۔")</f>
        <v>وہ موزے پہنے ہوئے ہیں۔</v>
      </c>
      <c r="Q110" s="6" t="s">
        <v>662</v>
      </c>
      <c r="R110" s="6" t="str">
        <f>IFERROR(__xludf.DUMMYFUNCTION("GOOGLETRANSLATE(G110,""en"",""ur"")"),"وہ ننگے پاؤں ہیں۔")</f>
        <v>وہ ننگے پاؤں ہیں۔</v>
      </c>
      <c r="S110" s="6" t="s">
        <v>709</v>
      </c>
      <c r="T110" s="6"/>
      <c r="U110" s="6"/>
      <c r="V110" s="6"/>
      <c r="W110" s="6"/>
      <c r="X110" s="6"/>
      <c r="Y110" s="6"/>
      <c r="Z110" s="6"/>
      <c r="AA110" s="6"/>
    </row>
    <row r="111">
      <c r="A111" s="7">
        <v>110.0</v>
      </c>
      <c r="B111" s="6" t="s">
        <v>663</v>
      </c>
      <c r="C111" s="6" t="s">
        <v>664</v>
      </c>
      <c r="D111" s="6" t="s">
        <v>665</v>
      </c>
      <c r="E111" s="6" t="s">
        <v>666</v>
      </c>
      <c r="F111" s="6" t="s">
        <v>667</v>
      </c>
      <c r="G111" s="6" t="s">
        <v>666</v>
      </c>
      <c r="H111" s="6" t="s">
        <v>709</v>
      </c>
      <c r="I111" s="6"/>
      <c r="J111" s="6"/>
      <c r="K111" s="7">
        <v>110.0</v>
      </c>
      <c r="L111" s="6" t="str">
        <f>IFERROR(__xludf.DUMMYFUNCTION("GOOGLETRANSLATE(B111,""en"",""ur"")"),"پس منظر میں دیگر کھلاڑیوں کے بارے میں ایک قابل ذکر تفصیل کیا ہے؟")</f>
        <v>پس منظر میں دیگر کھلاڑیوں کے بارے میں ایک قابل ذکر تفصیل کیا ہے؟</v>
      </c>
      <c r="M111" s="6"/>
      <c r="N111" s="8" t="str">
        <f>IFERROR(__xludf.DUMMYFUNCTION("GOOGLETRANSLATE(D111,""en"",""ur"")"),"وہ سب ادھر ادھر بھاگ رہے ہیں۔")</f>
        <v>وہ سب ادھر ادھر بھاگ رہے ہیں۔</v>
      </c>
      <c r="O111" s="6" t="str">
        <f>IFERROR(__xludf.DUMMYFUNCTION("GOOGLETRANSLATE(E111,""en"",""ur"")"),"وہ ایک دفاعی، تیار موقف میں ہیں۔")</f>
        <v>وہ ایک دفاعی، تیار موقف میں ہیں۔</v>
      </c>
      <c r="P111" s="6" t="str">
        <f>IFERROR(__xludf.DUMMYFUNCTION("GOOGLETRANSLATE(F111,""en"",""ur"")"),"وہ سب لہرا رہے ہیں۔")</f>
        <v>وہ سب لہرا رہے ہیں۔</v>
      </c>
      <c r="Q111" s="6" t="s">
        <v>668</v>
      </c>
      <c r="R111" s="6" t="str">
        <f>IFERROR(__xludf.DUMMYFUNCTION("GOOGLETRANSLATE(G111,""en"",""ur"")"),"وہ ایک دفاعی، تیار موقف میں ہیں۔")</f>
        <v>وہ ایک دفاعی، تیار موقف میں ہیں۔</v>
      </c>
      <c r="S111" s="6" t="s">
        <v>709</v>
      </c>
      <c r="T111" s="6"/>
      <c r="U111" s="6"/>
      <c r="V111" s="6"/>
      <c r="W111" s="6"/>
      <c r="X111" s="6"/>
      <c r="Y111" s="6"/>
      <c r="Z111" s="6"/>
      <c r="AA111" s="6"/>
    </row>
    <row r="112">
      <c r="A112" s="7">
        <v>111.0</v>
      </c>
      <c r="B112" s="6" t="s">
        <v>712</v>
      </c>
      <c r="C112" s="6" t="s">
        <v>632</v>
      </c>
      <c r="D112" s="6" t="s">
        <v>633</v>
      </c>
      <c r="E112" s="6" t="s">
        <v>634</v>
      </c>
      <c r="F112" s="6" t="s">
        <v>713</v>
      </c>
      <c r="G112" s="6" t="s">
        <v>632</v>
      </c>
      <c r="H112" s="6" t="s">
        <v>714</v>
      </c>
      <c r="I112" s="6"/>
      <c r="J112" s="6"/>
      <c r="K112" s="7">
        <v>111.0</v>
      </c>
      <c r="L112" s="6" t="str">
        <f>IFERROR(__xludf.DUMMYFUNCTION("GOOGLETRANSLATE(B112,""en"",""ur"")"),"گلی_ڈنڈا_12 میں دکھایا گیا اصل عمل کیا ہے؟")</f>
        <v>گلی_ڈنڈا_12 میں دکھایا گیا اصل عمل کیا ہے؟</v>
      </c>
      <c r="M112" s="6"/>
      <c r="N112" s="8" t="str">
        <f>IFERROR(__xludf.DUMMYFUNCTION("GOOGLETRANSLATE(D112,""en"",""ur"")"),"ایک کھلاڑی گیند کی خدمت کر رہا ہے۔")</f>
        <v>ایک کھلاڑی گیند کی خدمت کر رہا ہے۔</v>
      </c>
      <c r="O112" s="6" t="str">
        <f>IFERROR(__xludf.DUMMYFUNCTION("GOOGLETRANSLATE(E112,""en"",""ur"")"),"ایک کھلاڑی دفاعی بلاک کا مظاہرہ کر رہا ہے۔")</f>
        <v>ایک کھلاڑی دفاعی بلاک کا مظاہرہ کر رہا ہے۔</v>
      </c>
      <c r="P112" s="6" t="str">
        <f>IFERROR(__xludf.DUMMYFUNCTION("GOOGLETRANSLATE(F112,""en"",""ur"")"),"ایک کھلاڑی کھینچ رہا ہے۔")</f>
        <v>ایک کھلاڑی کھینچ رہا ہے۔</v>
      </c>
      <c r="Q112" s="6" t="s">
        <v>715</v>
      </c>
      <c r="R112" s="6" t="str">
        <f>IFERROR(__xludf.DUMMYFUNCTION("GOOGLETRANSLATE(G112,""en"",""ur"")"),"ایک کھلاڑی چھوٹی چھڑی کو بڑی چھڑی سے مار رہا ہے۔")</f>
        <v>ایک کھلاڑی چھوٹی چھڑی کو بڑی چھڑی سے مار رہا ہے۔</v>
      </c>
      <c r="S112" s="6" t="s">
        <v>714</v>
      </c>
      <c r="T112" s="6"/>
      <c r="U112" s="6"/>
      <c r="V112" s="6"/>
      <c r="W112" s="6"/>
      <c r="X112" s="6"/>
      <c r="Y112" s="6"/>
      <c r="Z112" s="6"/>
      <c r="AA112" s="6"/>
    </row>
    <row r="113">
      <c r="A113" s="7">
        <v>112.0</v>
      </c>
      <c r="B113" s="6" t="s">
        <v>636</v>
      </c>
      <c r="C113" s="6" t="s">
        <v>637</v>
      </c>
      <c r="D113" s="6" t="s">
        <v>638</v>
      </c>
      <c r="E113" s="6" t="s">
        <v>639</v>
      </c>
      <c r="F113" s="6" t="s">
        <v>640</v>
      </c>
      <c r="G113" s="6" t="s">
        <v>638</v>
      </c>
      <c r="H113" s="6" t="s">
        <v>714</v>
      </c>
      <c r="I113" s="6"/>
      <c r="J113" s="6"/>
      <c r="K113" s="7">
        <v>112.0</v>
      </c>
      <c r="L113" s="6" t="str">
        <f>IFERROR(__xludf.DUMMYFUNCTION("GOOGLETRANSLATE(B113,""en"",""ur"")"),"کھیل میں استعمال ہونے والے آلات کے دو ٹکڑے کیا ہیں؟")</f>
        <v>کھیل میں استعمال ہونے والے آلات کے دو ٹکڑے کیا ہیں؟</v>
      </c>
      <c r="M113" s="6"/>
      <c r="N113" s="8" t="str">
        <f>IFERROR(__xludf.DUMMYFUNCTION("GOOGLETRANSLATE(D113,""en"",""ur"")"),"ایک لمبی چھڑی (ڈنڈا) اور ایک چھوٹی چھڑی (گلی)")</f>
        <v>ایک لمبی چھڑی (ڈنڈا) اور ایک چھوٹی چھڑی (گلی)</v>
      </c>
      <c r="O113" s="6" t="str">
        <f>IFERROR(__xludf.DUMMYFUNCTION("GOOGLETRANSLATE(E113,""en"",""ur"")"),"ایک ریکیٹ اور ایک شٹل کاک")</f>
        <v>ایک ریکیٹ اور ایک شٹل کاک</v>
      </c>
      <c r="P113" s="6" t="str">
        <f>IFERROR(__xludf.DUMMYFUNCTION("GOOGLETRANSLATE(F113,""en"",""ur"")"),"ایک چمگادڑ اور ایک دستانہ")</f>
        <v>ایک چمگادڑ اور ایک دستانہ</v>
      </c>
      <c r="Q113" s="6" t="s">
        <v>641</v>
      </c>
      <c r="R113" s="6" t="str">
        <f>IFERROR(__xludf.DUMMYFUNCTION("GOOGLETRANSLATE(G113,""en"",""ur"")"),"ایک لمبی چھڑی (ڈنڈا) اور ایک چھوٹی چھڑی (گلی)")</f>
        <v>ایک لمبی چھڑی (ڈنڈا) اور ایک چھوٹی چھڑی (گلی)</v>
      </c>
      <c r="S113" s="6" t="s">
        <v>714</v>
      </c>
      <c r="T113" s="6"/>
      <c r="U113" s="6"/>
      <c r="V113" s="6"/>
      <c r="W113" s="6"/>
      <c r="X113" s="6"/>
      <c r="Y113" s="6"/>
      <c r="Z113" s="6"/>
      <c r="AA113" s="6"/>
    </row>
    <row r="114">
      <c r="A114" s="7">
        <v>113.0</v>
      </c>
      <c r="B114" s="6" t="s">
        <v>642</v>
      </c>
      <c r="C114" s="6" t="s">
        <v>307</v>
      </c>
      <c r="D114" s="6" t="s">
        <v>643</v>
      </c>
      <c r="E114" s="6" t="s">
        <v>311</v>
      </c>
      <c r="F114" s="6" t="s">
        <v>314</v>
      </c>
      <c r="G114" s="6" t="s">
        <v>643</v>
      </c>
      <c r="H114" s="6" t="s">
        <v>714</v>
      </c>
      <c r="I114" s="6"/>
      <c r="J114" s="6"/>
      <c r="K114" s="7">
        <v>113.0</v>
      </c>
      <c r="L114" s="6" t="str">
        <f>IFERROR(__xludf.DUMMYFUNCTION("GOOGLETRANSLATE(B114,""en"",""ur"")"),"بائیں طرف کھلاڑی کے بارے میں ایک قابل ذکر تفصیل کیا ہے؟")</f>
        <v>بائیں طرف کھلاڑی کے بارے میں ایک قابل ذکر تفصیل کیا ہے؟</v>
      </c>
      <c r="M114" s="6"/>
      <c r="N114" s="8" t="str">
        <f>IFERROR(__xludf.DUMMYFUNCTION("GOOGLETRANSLATE(D114,""en"",""ur"")"),"وہ ایک پست، جھکائے ہوئے موقف میں ہے، ہڑتال کرنے کی تیاری کر رہا ہے۔")</f>
        <v>وہ ایک پست، جھکائے ہوئے موقف میں ہے، ہڑتال کرنے کی تیاری کر رہا ہے۔</v>
      </c>
      <c r="O114" s="6" t="str">
        <f>IFERROR(__xludf.DUMMYFUNCTION("GOOGLETRANSLATE(E114,""en"",""ur"")"),"وہ سیدھا کھڑا ہے۔")</f>
        <v>وہ سیدھا کھڑا ہے۔</v>
      </c>
      <c r="P114" s="6" t="str">
        <f>IFERROR(__xludf.DUMMYFUNCTION("GOOGLETRANSLATE(F114,""en"",""ur"")"),"وہ آرام سے بیٹھا ہے۔")</f>
        <v>وہ آرام سے بیٹھا ہے۔</v>
      </c>
      <c r="Q114" s="6" t="s">
        <v>644</v>
      </c>
      <c r="R114" s="6" t="str">
        <f>IFERROR(__xludf.DUMMYFUNCTION("GOOGLETRANSLATE(G114,""en"",""ur"")"),"وہ ایک پست، جھکائے ہوئے موقف میں ہے، ہڑتال کرنے کی تیاری کر رہا ہے۔")</f>
        <v>وہ ایک پست، جھکائے ہوئے موقف میں ہے، ہڑتال کرنے کی تیاری کر رہا ہے۔</v>
      </c>
      <c r="S114" s="6" t="s">
        <v>714</v>
      </c>
      <c r="T114" s="6"/>
      <c r="U114" s="6"/>
      <c r="V114" s="6"/>
      <c r="W114" s="6"/>
      <c r="X114" s="6"/>
      <c r="Y114" s="6"/>
      <c r="Z114" s="6"/>
      <c r="AA114" s="6"/>
    </row>
    <row r="115">
      <c r="A115" s="7">
        <v>114.0</v>
      </c>
      <c r="B115" s="6" t="s">
        <v>645</v>
      </c>
      <c r="C115" s="6" t="s">
        <v>422</v>
      </c>
      <c r="D115" s="6" t="s">
        <v>646</v>
      </c>
      <c r="E115" s="6" t="s">
        <v>647</v>
      </c>
      <c r="F115" s="6" t="s">
        <v>425</v>
      </c>
      <c r="G115" s="6" t="s">
        <v>647</v>
      </c>
      <c r="H115" s="6" t="s">
        <v>714</v>
      </c>
      <c r="I115" s="6"/>
      <c r="J115" s="6"/>
      <c r="K115" s="7">
        <v>114.0</v>
      </c>
      <c r="L115" s="6" t="str">
        <f>IFERROR(__xludf.DUMMYFUNCTION("GOOGLETRANSLATE(B115,""en"",""ur"")"),"کھیل کی ظاہری ترتیب کیا ہے؟")</f>
        <v>کھیل کی ظاہری ترتیب کیا ہے؟</v>
      </c>
      <c r="M115" s="6"/>
      <c r="N115" s="8" t="str">
        <f>IFERROR(__xludf.DUMMYFUNCTION("GOOGLETRANSLATE(D115,""en"",""ur"")"),"شہر کی ایک گلی")</f>
        <v>شہر کی ایک گلی</v>
      </c>
      <c r="O115" s="6" t="str">
        <f>IFERROR(__xludf.DUMMYFUNCTION("GOOGLETRANSLATE(E115,""en"",""ur"")"),"ایک بیرونی گندگی کا میدان")</f>
        <v>ایک بیرونی گندگی کا میدان</v>
      </c>
      <c r="P115" s="6" t="str">
        <f>IFERROR(__xludf.DUMMYFUNCTION("GOOGLETRANSLATE(F115,""en"",""ur"")"),"گھاس کا میدان")</f>
        <v>گھاس کا میدان</v>
      </c>
      <c r="Q115" s="6" t="s">
        <v>648</v>
      </c>
      <c r="R115" s="6" t="str">
        <f>IFERROR(__xludf.DUMMYFUNCTION("GOOGLETRANSLATE(G115,""en"",""ur"")"),"ایک بیرونی گندگی کا میدان")</f>
        <v>ایک بیرونی گندگی کا میدان</v>
      </c>
      <c r="S115" s="6" t="s">
        <v>714</v>
      </c>
      <c r="T115" s="6"/>
      <c r="U115" s="6"/>
      <c r="V115" s="6"/>
      <c r="W115" s="6"/>
      <c r="X115" s="6"/>
      <c r="Y115" s="6"/>
      <c r="Z115" s="6"/>
      <c r="AA115" s="6"/>
    </row>
    <row r="116">
      <c r="A116" s="7">
        <v>115.0</v>
      </c>
      <c r="B116" s="6" t="s">
        <v>679</v>
      </c>
      <c r="C116" s="6" t="s">
        <v>47</v>
      </c>
      <c r="D116" s="6" t="s">
        <v>48</v>
      </c>
      <c r="E116" s="6" t="s">
        <v>49</v>
      </c>
      <c r="F116" s="6" t="s">
        <v>50</v>
      </c>
      <c r="G116" s="6" t="s">
        <v>49</v>
      </c>
      <c r="H116" s="6" t="s">
        <v>714</v>
      </c>
      <c r="I116" s="6"/>
      <c r="J116" s="6"/>
      <c r="K116" s="7">
        <v>115.0</v>
      </c>
      <c r="L116" s="6" t="str">
        <f>IFERROR(__xludf.DUMMYFUNCTION("GOOGLETRANSLATE(B116,""en"",""ur"")"),"کھلاڑی کے چہرے سے ظاہری جذبات کیا ہیں؟")</f>
        <v>کھلاڑی کے چہرے سے ظاہری جذبات کیا ہیں؟</v>
      </c>
      <c r="M116" s="6"/>
      <c r="N116" s="8" t="str">
        <f>IFERROR(__xludf.DUMMYFUNCTION("GOOGLETRANSLATE(D116,""en"",""ur"")"),"خوف زدہ اور بے چین")</f>
        <v>خوف زدہ اور بے چین</v>
      </c>
      <c r="O116" s="6" t="str">
        <f>IFERROR(__xludf.DUMMYFUNCTION("GOOGLETRANSLATE(E116,""en"",""ur"")"),"کشیدہ اور شدید")</f>
        <v>کشیدہ اور شدید</v>
      </c>
      <c r="P116" s="6" t="str">
        <f>IFERROR(__xludf.DUMMYFUNCTION("GOOGLETRANSLATE(F116,""en"",""ur"")"),"خوش اور مسکراتے ہوئے۔")</f>
        <v>خوش اور مسکراتے ہوئے۔</v>
      </c>
      <c r="Q116" s="6" t="s">
        <v>649</v>
      </c>
      <c r="R116" s="6" t="str">
        <f>IFERROR(__xludf.DUMMYFUNCTION("GOOGLETRANSLATE(G116,""en"",""ur"")"),"کشیدہ اور شدید")</f>
        <v>کشیدہ اور شدید</v>
      </c>
      <c r="S116" s="6" t="s">
        <v>714</v>
      </c>
      <c r="T116" s="6"/>
      <c r="U116" s="6"/>
      <c r="V116" s="6"/>
      <c r="W116" s="6"/>
      <c r="X116" s="6"/>
      <c r="Y116" s="6"/>
      <c r="Z116" s="6"/>
      <c r="AA116" s="6"/>
    </row>
    <row r="117">
      <c r="A117" s="7">
        <v>116.0</v>
      </c>
      <c r="B117" s="6" t="s">
        <v>88</v>
      </c>
      <c r="C117" s="6" t="s">
        <v>89</v>
      </c>
      <c r="D117" s="6" t="s">
        <v>90</v>
      </c>
      <c r="E117" s="6" t="s">
        <v>91</v>
      </c>
      <c r="F117" s="6" t="s">
        <v>255</v>
      </c>
      <c r="G117" s="6" t="s">
        <v>255</v>
      </c>
      <c r="H117" s="6" t="s">
        <v>714</v>
      </c>
      <c r="I117" s="6"/>
      <c r="J117" s="6"/>
      <c r="K117" s="7">
        <v>116.0</v>
      </c>
      <c r="L117" s="6" t="str">
        <f>IFERROR(__xludf.DUMMYFUNCTION("GOOGLETRANSLATE(B117,""en"",""ur"")"),"زمین کی سب سے نمایاں خصوصیت کیا ہے؟")</f>
        <v>زمین کی سب سے نمایاں خصوصیت کیا ہے؟</v>
      </c>
      <c r="M117" s="6"/>
      <c r="N117" s="8" t="str">
        <f>IFERROR(__xludf.DUMMYFUNCTION("GOOGLETRANSLATE(D117,""en"",""ur"")"),"کیچڑ والا میدان")</f>
        <v>کیچڑ والا میدان</v>
      </c>
      <c r="O117" s="6" t="str">
        <f>IFERROR(__xludf.DUMMYFUNCTION("GOOGLETRANSLATE(E117,""en"",""ur"")"),"ایک گھاس دار سطح")</f>
        <v>ایک گھاس دار سطح</v>
      </c>
      <c r="P117" s="6" t="str">
        <f>IFERROR(__xludf.DUMMYFUNCTION("GOOGLETRANSLATE(F117,""en"",""ur"")"),"ریتلی یا گندگی کی سطح")</f>
        <v>ریتلی یا گندگی کی سطح</v>
      </c>
      <c r="Q117" s="6" t="s">
        <v>688</v>
      </c>
      <c r="R117" s="6" t="str">
        <f>IFERROR(__xludf.DUMMYFUNCTION("GOOGLETRANSLATE(G117,""en"",""ur"")"),"ریتلی یا گندگی کی سطح")</f>
        <v>ریتلی یا گندگی کی سطح</v>
      </c>
      <c r="S117" s="6" t="s">
        <v>714</v>
      </c>
      <c r="T117" s="6"/>
      <c r="U117" s="6"/>
      <c r="V117" s="6"/>
      <c r="W117" s="6"/>
      <c r="X117" s="6"/>
      <c r="Y117" s="6"/>
      <c r="Z117" s="6"/>
      <c r="AA117" s="6"/>
    </row>
    <row r="118">
      <c r="A118" s="7">
        <v>117.0</v>
      </c>
      <c r="B118" s="6" t="s">
        <v>94</v>
      </c>
      <c r="C118" s="6" t="s">
        <v>95</v>
      </c>
      <c r="D118" s="6" t="s">
        <v>651</v>
      </c>
      <c r="E118" s="6" t="s">
        <v>652</v>
      </c>
      <c r="F118" s="6" t="s">
        <v>653</v>
      </c>
      <c r="G118" s="6" t="s">
        <v>652</v>
      </c>
      <c r="H118" s="6" t="s">
        <v>714</v>
      </c>
      <c r="I118" s="6"/>
      <c r="J118" s="6"/>
      <c r="K118" s="7">
        <v>117.0</v>
      </c>
      <c r="L118" s="6" t="str">
        <f>IFERROR(__xludf.DUMMYFUNCTION("GOOGLETRANSLATE(B118,""en"",""ur"")"),"کھیلے جانے والے کھیل کا نام کیا ہے؟")</f>
        <v>کھیلے جانے والے کھیل کا نام کیا ہے؟</v>
      </c>
      <c r="M118" s="6"/>
      <c r="N118" s="8" t="str">
        <f>IFERROR(__xludf.DUMMYFUNCTION("GOOGLETRANSLATE(D118,""en"",""ur"")"),"کرکٹ")</f>
        <v>کرکٹ</v>
      </c>
      <c r="O118" s="6" t="str">
        <f>IFERROR(__xludf.DUMMYFUNCTION("GOOGLETRANSLATE(E118,""en"",""ur"")"),"گلی ڈنڈا۔")</f>
        <v>گلی ڈنڈا۔</v>
      </c>
      <c r="P118" s="6" t="str">
        <f>IFERROR(__xludf.DUMMYFUNCTION("GOOGLETRANSLATE(F118,""en"",""ur"")"),"بیس بال")</f>
        <v>بیس بال</v>
      </c>
      <c r="Q118" s="6" t="s">
        <v>654</v>
      </c>
      <c r="R118" s="6" t="str">
        <f>IFERROR(__xludf.DUMMYFUNCTION("GOOGLETRANSLATE(G118,""en"",""ur"")"),"گلی ڈنڈا۔")</f>
        <v>گلی ڈنڈا۔</v>
      </c>
      <c r="S118" s="6" t="s">
        <v>714</v>
      </c>
      <c r="T118" s="6"/>
      <c r="U118" s="6"/>
      <c r="V118" s="6"/>
      <c r="W118" s="6"/>
      <c r="X118" s="6"/>
      <c r="Y118" s="6"/>
      <c r="Z118" s="6"/>
      <c r="AA118" s="6"/>
    </row>
    <row r="119">
      <c r="A119" s="7">
        <v>118.0</v>
      </c>
      <c r="B119" s="6" t="s">
        <v>260</v>
      </c>
      <c r="C119" s="6" t="s">
        <v>261</v>
      </c>
      <c r="D119" s="6" t="s">
        <v>262</v>
      </c>
      <c r="E119" s="6" t="s">
        <v>263</v>
      </c>
      <c r="F119" s="6" t="s">
        <v>655</v>
      </c>
      <c r="G119" s="6" t="s">
        <v>655</v>
      </c>
      <c r="H119" s="6" t="s">
        <v>714</v>
      </c>
      <c r="I119" s="6"/>
      <c r="J119" s="6"/>
      <c r="K119" s="7">
        <v>118.0</v>
      </c>
      <c r="L119" s="6" t="str">
        <f>IFERROR(__xludf.DUMMYFUNCTION("GOOGLETRANSLATE(B119,""en"",""ur"")"),"تصویر میں ایکشن ایک ایسا انداز تجویز کرتا ہے جو اس بات پر زور دیتا ہے...")</f>
        <v>تصویر میں ایکشن ایک ایسا انداز تجویز کرتا ہے جو اس بات پر زور دیتا ہے...</v>
      </c>
      <c r="M119" s="6"/>
      <c r="N119" s="8" t="str">
        <f>IFERROR(__xludf.DUMMYFUNCTION("GOOGLETRANSLATE(D119,""en"",""ur"")"),"زمینی لڑائی اور گرفت")</f>
        <v>زمینی لڑائی اور گرفت</v>
      </c>
      <c r="O119" s="6" t="str">
        <f>IFERROR(__xludf.DUMMYFUNCTION("GOOGLETRANSLATE(E119,""en"",""ur"")"),"وحشیانہ قوت اور گھڑ سواری۔")</f>
        <v>وحشیانہ قوت اور گھڑ سواری۔</v>
      </c>
      <c r="P119" s="6" t="str">
        <f>IFERROR(__xludf.DUMMYFUNCTION("GOOGLETRANSLATE(F119,""en"",""ur"")"),"ہاتھ سے آنکھ کو آرڈینیشن اور حیرت انگیز")</f>
        <v>ہاتھ سے آنکھ کو آرڈینیشن اور حیرت انگیز</v>
      </c>
      <c r="Q119" s="6" t="s">
        <v>656</v>
      </c>
      <c r="R119" s="6" t="str">
        <f>IFERROR(__xludf.DUMMYFUNCTION("GOOGLETRANSLATE(G119,""en"",""ur"")"),"ہاتھ سے آنکھ کو آرڈینیشن اور حیرت انگیز")</f>
        <v>ہاتھ سے آنکھ کو آرڈینیشن اور حیرت انگیز</v>
      </c>
      <c r="S119" s="6" t="s">
        <v>714</v>
      </c>
      <c r="T119" s="6"/>
      <c r="U119" s="6"/>
      <c r="V119" s="6"/>
      <c r="W119" s="6"/>
      <c r="X119" s="6"/>
      <c r="Y119" s="6"/>
      <c r="Z119" s="6"/>
      <c r="AA119" s="6"/>
    </row>
    <row r="120">
      <c r="A120" s="7">
        <v>119.0</v>
      </c>
      <c r="B120" s="6" t="s">
        <v>657</v>
      </c>
      <c r="C120" s="6" t="s">
        <v>658</v>
      </c>
      <c r="D120" s="6" t="s">
        <v>659</v>
      </c>
      <c r="E120" s="6" t="s">
        <v>660</v>
      </c>
      <c r="F120" s="6" t="s">
        <v>661</v>
      </c>
      <c r="G120" s="6" t="s">
        <v>658</v>
      </c>
      <c r="H120" s="6" t="s">
        <v>714</v>
      </c>
      <c r="I120" s="6"/>
      <c r="J120" s="6"/>
      <c r="K120" s="7">
        <v>119.0</v>
      </c>
      <c r="L120" s="6" t="str">
        <f>IFERROR(__xludf.DUMMYFUNCTION("GOOGLETRANSLATE(B120,""en"",""ur"")"),"کھلاڑیوں کے جوتے کے بارے میں ایک قابل ذکر تفصیل کیا ہے؟")</f>
        <v>کھلاڑیوں کے جوتے کے بارے میں ایک قابل ذکر تفصیل کیا ہے؟</v>
      </c>
      <c r="M120" s="6"/>
      <c r="N120" s="8" t="str">
        <f>IFERROR(__xludf.DUMMYFUNCTION("GOOGLETRANSLATE(D120,""en"",""ur"")"),"وہ ننگے پاؤں ہیں۔")</f>
        <v>وہ ننگے پاؤں ہیں۔</v>
      </c>
      <c r="O120" s="6" t="str">
        <f>IFERROR(__xludf.DUMMYFUNCTION("GOOGLETRANSLATE(E120,""en"",""ur"")"),"وہ سینڈل یا فلپ فلاپ پہنے ہوئے ہیں۔")</f>
        <v>وہ سینڈل یا فلپ فلاپ پہنے ہوئے ہیں۔</v>
      </c>
      <c r="P120" s="6" t="str">
        <f>IFERROR(__xludf.DUMMYFUNCTION("GOOGLETRANSLATE(F120,""en"",""ur"")"),"وہ موزے پہنے ہوئے ہیں۔")</f>
        <v>وہ موزے پہنے ہوئے ہیں۔</v>
      </c>
      <c r="Q120" s="6" t="s">
        <v>662</v>
      </c>
      <c r="R120" s="6" t="str">
        <f>IFERROR(__xludf.DUMMYFUNCTION("GOOGLETRANSLATE(G120,""en"",""ur"")"),"انہوں نے جوتے پہن رکھے ہیں۔")</f>
        <v>انہوں نے جوتے پہن رکھے ہیں۔</v>
      </c>
      <c r="S120" s="6" t="s">
        <v>714</v>
      </c>
      <c r="T120" s="6"/>
      <c r="U120" s="6"/>
      <c r="V120" s="6"/>
      <c r="W120" s="6"/>
      <c r="X120" s="6"/>
      <c r="Y120" s="6"/>
      <c r="Z120" s="6"/>
      <c r="AA120" s="6"/>
    </row>
    <row r="121">
      <c r="A121" s="7">
        <v>120.0</v>
      </c>
      <c r="B121" s="6" t="s">
        <v>663</v>
      </c>
      <c r="C121" s="6" t="s">
        <v>664</v>
      </c>
      <c r="D121" s="6" t="s">
        <v>665</v>
      </c>
      <c r="E121" s="6" t="s">
        <v>666</v>
      </c>
      <c r="F121" s="6" t="s">
        <v>667</v>
      </c>
      <c r="G121" s="6" t="s">
        <v>666</v>
      </c>
      <c r="H121" s="6" t="s">
        <v>714</v>
      </c>
      <c r="I121" s="6"/>
      <c r="J121" s="6"/>
      <c r="K121" s="7">
        <v>120.0</v>
      </c>
      <c r="L121" s="6" t="str">
        <f>IFERROR(__xludf.DUMMYFUNCTION("GOOGLETRANSLATE(B121,""en"",""ur"")"),"پس منظر میں دیگر کھلاڑیوں کے بارے میں ایک قابل ذکر تفصیل کیا ہے؟")</f>
        <v>پس منظر میں دیگر کھلاڑیوں کے بارے میں ایک قابل ذکر تفصیل کیا ہے؟</v>
      </c>
      <c r="M121" s="6"/>
      <c r="N121" s="8" t="str">
        <f>IFERROR(__xludf.DUMMYFUNCTION("GOOGLETRANSLATE(D121,""en"",""ur"")"),"وہ سب ادھر ادھر بھاگ رہے ہیں۔")</f>
        <v>وہ سب ادھر ادھر بھاگ رہے ہیں۔</v>
      </c>
      <c r="O121" s="6" t="str">
        <f>IFERROR(__xludf.DUMMYFUNCTION("GOOGLETRANSLATE(E121,""en"",""ur"")"),"وہ ایک دفاعی، تیار موقف میں ہیں۔")</f>
        <v>وہ ایک دفاعی، تیار موقف میں ہیں۔</v>
      </c>
      <c r="P121" s="6" t="str">
        <f>IFERROR(__xludf.DUMMYFUNCTION("GOOGLETRANSLATE(F121,""en"",""ur"")"),"وہ سب لہرا رہے ہیں۔")</f>
        <v>وہ سب لہرا رہے ہیں۔</v>
      </c>
      <c r="Q121" s="6" t="s">
        <v>668</v>
      </c>
      <c r="R121" s="6" t="str">
        <f>IFERROR(__xludf.DUMMYFUNCTION("GOOGLETRANSLATE(G121,""en"",""ur"")"),"وہ ایک دفاعی، تیار موقف میں ہیں۔")</f>
        <v>وہ ایک دفاعی، تیار موقف میں ہیں۔</v>
      </c>
      <c r="S121" s="6" t="s">
        <v>714</v>
      </c>
      <c r="T121" s="6"/>
      <c r="U121" s="6"/>
      <c r="V121" s="6"/>
      <c r="W121" s="6"/>
      <c r="X121" s="6"/>
      <c r="Y121" s="6"/>
      <c r="Z121" s="6"/>
      <c r="AA121" s="6"/>
    </row>
    <row r="122">
      <c r="A122" s="7">
        <v>121.0</v>
      </c>
      <c r="B122" s="6" t="s">
        <v>716</v>
      </c>
      <c r="C122" s="6" t="s">
        <v>690</v>
      </c>
      <c r="D122" s="6" t="s">
        <v>632</v>
      </c>
      <c r="E122" s="6" t="s">
        <v>633</v>
      </c>
      <c r="F122" s="6" t="s">
        <v>634</v>
      </c>
      <c r="G122" s="6" t="s">
        <v>632</v>
      </c>
      <c r="H122" s="6" t="s">
        <v>717</v>
      </c>
      <c r="I122" s="6"/>
      <c r="J122" s="6"/>
      <c r="K122" s="7">
        <v>121.0</v>
      </c>
      <c r="L122" s="6" t="str">
        <f>IFERROR(__xludf.DUMMYFUNCTION("GOOGLETRANSLATE(B122,""en"",""ur"")"),"gilli_danda_14 میں دکھایا گیا اہم عمل کیا ہے؟")</f>
        <v>gilli_danda_14 میں دکھایا گیا اہم عمل کیا ہے؟</v>
      </c>
      <c r="M122" s="6"/>
      <c r="N122" s="8" t="str">
        <f>IFERROR(__xludf.DUMMYFUNCTION("GOOGLETRANSLATE(D122,""en"",""ur"")"),"ایک کھلاڑی چھوٹی چھڑی کو بڑی چھڑی سے مار رہا ہے۔")</f>
        <v>ایک کھلاڑی چھوٹی چھڑی کو بڑی چھڑی سے مار رہا ہے۔</v>
      </c>
      <c r="O122" s="6" t="str">
        <f>IFERROR(__xludf.DUMMYFUNCTION("GOOGLETRANSLATE(E122,""en"",""ur"")"),"ایک کھلاڑی گیند کی خدمت کر رہا ہے۔")</f>
        <v>ایک کھلاڑی گیند کی خدمت کر رہا ہے۔</v>
      </c>
      <c r="P122" s="6" t="str">
        <f>IFERROR(__xludf.DUMMYFUNCTION("GOOGLETRANSLATE(F122,""en"",""ur"")"),"ایک کھلاڑی دفاعی بلاک کا مظاہرہ کر رہا ہے۔")</f>
        <v>ایک کھلاڑی دفاعی بلاک کا مظاہرہ کر رہا ہے۔</v>
      </c>
      <c r="Q122" s="6" t="s">
        <v>671</v>
      </c>
      <c r="R122" s="6" t="str">
        <f>IFERROR(__xludf.DUMMYFUNCTION("GOOGLETRANSLATE(G122,""en"",""ur"")"),"ایک کھلاڑی چھوٹی چھڑی کو بڑی چھڑی سے مار رہا ہے۔")</f>
        <v>ایک کھلاڑی چھوٹی چھڑی کو بڑی چھڑی سے مار رہا ہے۔</v>
      </c>
      <c r="S122" s="6" t="s">
        <v>717</v>
      </c>
      <c r="T122" s="6"/>
      <c r="U122" s="6"/>
      <c r="V122" s="6"/>
      <c r="W122" s="6"/>
      <c r="X122" s="6"/>
      <c r="Y122" s="6"/>
      <c r="Z122" s="6"/>
      <c r="AA122" s="6"/>
    </row>
    <row r="123">
      <c r="A123" s="7">
        <v>122.0</v>
      </c>
      <c r="B123" s="6" t="s">
        <v>636</v>
      </c>
      <c r="C123" s="6" t="s">
        <v>637</v>
      </c>
      <c r="D123" s="6" t="s">
        <v>638</v>
      </c>
      <c r="E123" s="6" t="s">
        <v>639</v>
      </c>
      <c r="F123" s="6" t="s">
        <v>640</v>
      </c>
      <c r="G123" s="6" t="s">
        <v>638</v>
      </c>
      <c r="H123" s="6" t="s">
        <v>717</v>
      </c>
      <c r="I123" s="6"/>
      <c r="J123" s="6"/>
      <c r="K123" s="7">
        <v>122.0</v>
      </c>
      <c r="L123" s="6" t="str">
        <f>IFERROR(__xludf.DUMMYFUNCTION("GOOGLETRANSLATE(B123,""en"",""ur"")"),"کھیل میں استعمال ہونے والے آلات کے دو ٹکڑے کیا ہیں؟")</f>
        <v>کھیل میں استعمال ہونے والے آلات کے دو ٹکڑے کیا ہیں؟</v>
      </c>
      <c r="M123" s="6"/>
      <c r="N123" s="8" t="str">
        <f>IFERROR(__xludf.DUMMYFUNCTION("GOOGLETRANSLATE(D123,""en"",""ur"")"),"ایک لمبی چھڑی (ڈنڈا) اور ایک چھوٹی چھڑی (گلی)")</f>
        <v>ایک لمبی چھڑی (ڈنڈا) اور ایک چھوٹی چھڑی (گلی)</v>
      </c>
      <c r="O123" s="6" t="str">
        <f>IFERROR(__xludf.DUMMYFUNCTION("GOOGLETRANSLATE(E123,""en"",""ur"")"),"ایک ریکیٹ اور ایک شٹل کاک")</f>
        <v>ایک ریکیٹ اور ایک شٹل کاک</v>
      </c>
      <c r="P123" s="6" t="str">
        <f>IFERROR(__xludf.DUMMYFUNCTION("GOOGLETRANSLATE(F123,""en"",""ur"")"),"ایک چمگادڑ اور ایک دستانہ")</f>
        <v>ایک چمگادڑ اور ایک دستانہ</v>
      </c>
      <c r="Q123" s="6" t="s">
        <v>641</v>
      </c>
      <c r="R123" s="6" t="str">
        <f>IFERROR(__xludf.DUMMYFUNCTION("GOOGLETRANSLATE(G123,""en"",""ur"")"),"ایک لمبی چھڑی (ڈنڈا) اور ایک چھوٹی چھڑی (گلی)")</f>
        <v>ایک لمبی چھڑی (ڈنڈا) اور ایک چھوٹی چھڑی (گلی)</v>
      </c>
      <c r="S123" s="6" t="s">
        <v>717</v>
      </c>
      <c r="T123" s="6"/>
      <c r="U123" s="6"/>
      <c r="V123" s="6"/>
      <c r="W123" s="6"/>
      <c r="X123" s="6"/>
      <c r="Y123" s="6"/>
      <c r="Z123" s="6"/>
      <c r="AA123" s="6"/>
    </row>
    <row r="124">
      <c r="A124" s="7">
        <v>123.0</v>
      </c>
      <c r="B124" s="6" t="s">
        <v>678</v>
      </c>
      <c r="C124" s="6" t="s">
        <v>307</v>
      </c>
      <c r="D124" s="6" t="s">
        <v>643</v>
      </c>
      <c r="E124" s="6" t="s">
        <v>311</v>
      </c>
      <c r="F124" s="6" t="s">
        <v>314</v>
      </c>
      <c r="G124" s="6" t="s">
        <v>643</v>
      </c>
      <c r="H124" s="6" t="s">
        <v>717</v>
      </c>
      <c r="I124" s="6"/>
      <c r="J124" s="6"/>
      <c r="K124" s="7">
        <v>123.0</v>
      </c>
      <c r="L124" s="6" t="str">
        <f>IFERROR(__xludf.DUMMYFUNCTION("GOOGLETRANSLATE(B124,""en"",""ur"")"),"کھلاڑی کے بارے میں ایک قابل ذکر تفصیل کیا ہے؟")</f>
        <v>کھلاڑی کے بارے میں ایک قابل ذکر تفصیل کیا ہے؟</v>
      </c>
      <c r="M124" s="6"/>
      <c r="N124" s="8" t="str">
        <f>IFERROR(__xludf.DUMMYFUNCTION("GOOGLETRANSLATE(D124,""en"",""ur"")"),"وہ ایک پست، جھکائے ہوئے موقف میں ہے، ہڑتال کرنے کی تیاری کر رہا ہے۔")</f>
        <v>وہ ایک پست، جھکائے ہوئے موقف میں ہے، ہڑتال کرنے کی تیاری کر رہا ہے۔</v>
      </c>
      <c r="O124" s="6" t="str">
        <f>IFERROR(__xludf.DUMMYFUNCTION("GOOGLETRANSLATE(E124,""en"",""ur"")"),"وہ سیدھا کھڑا ہے۔")</f>
        <v>وہ سیدھا کھڑا ہے۔</v>
      </c>
      <c r="P124" s="6" t="str">
        <f>IFERROR(__xludf.DUMMYFUNCTION("GOOGLETRANSLATE(F124,""en"",""ur"")"),"وہ آرام سے بیٹھا ہے۔")</f>
        <v>وہ آرام سے بیٹھا ہے۔</v>
      </c>
      <c r="Q124" s="6" t="s">
        <v>644</v>
      </c>
      <c r="R124" s="6" t="str">
        <f>IFERROR(__xludf.DUMMYFUNCTION("GOOGLETRANSLATE(G124,""en"",""ur"")"),"وہ ایک پست، جھکائے ہوئے موقف میں ہے، ہڑتال کرنے کی تیاری کر رہا ہے۔")</f>
        <v>وہ ایک پست، جھکائے ہوئے موقف میں ہے، ہڑتال کرنے کی تیاری کر رہا ہے۔</v>
      </c>
      <c r="S124" s="6" t="s">
        <v>717</v>
      </c>
      <c r="T124" s="6"/>
      <c r="U124" s="6"/>
      <c r="V124" s="6"/>
      <c r="W124" s="6"/>
      <c r="X124" s="6"/>
      <c r="Y124" s="6"/>
      <c r="Z124" s="6"/>
      <c r="AA124" s="6"/>
    </row>
    <row r="125">
      <c r="A125" s="7">
        <v>124.0</v>
      </c>
      <c r="B125" s="6" t="s">
        <v>645</v>
      </c>
      <c r="C125" s="6" t="s">
        <v>422</v>
      </c>
      <c r="D125" s="6" t="s">
        <v>646</v>
      </c>
      <c r="E125" s="6" t="s">
        <v>647</v>
      </c>
      <c r="F125" s="6" t="s">
        <v>425</v>
      </c>
      <c r="G125" s="6" t="s">
        <v>647</v>
      </c>
      <c r="H125" s="6" t="s">
        <v>717</v>
      </c>
      <c r="I125" s="6"/>
      <c r="J125" s="6"/>
      <c r="K125" s="7">
        <v>124.0</v>
      </c>
      <c r="L125" s="6" t="str">
        <f>IFERROR(__xludf.DUMMYFUNCTION("GOOGLETRANSLATE(B125,""en"",""ur"")"),"کھیل کی ظاہری ترتیب کیا ہے؟")</f>
        <v>کھیل کی ظاہری ترتیب کیا ہے؟</v>
      </c>
      <c r="M125" s="6"/>
      <c r="N125" s="8" t="str">
        <f>IFERROR(__xludf.DUMMYFUNCTION("GOOGLETRANSLATE(D125,""en"",""ur"")"),"شہر کی ایک گلی")</f>
        <v>شہر کی ایک گلی</v>
      </c>
      <c r="O125" s="6" t="str">
        <f>IFERROR(__xludf.DUMMYFUNCTION("GOOGLETRANSLATE(E125,""en"",""ur"")"),"ایک بیرونی گندگی کا میدان")</f>
        <v>ایک بیرونی گندگی کا میدان</v>
      </c>
      <c r="P125" s="6" t="str">
        <f>IFERROR(__xludf.DUMMYFUNCTION("GOOGLETRANSLATE(F125,""en"",""ur"")"),"گھاس کا میدان")</f>
        <v>گھاس کا میدان</v>
      </c>
      <c r="Q125" s="6" t="s">
        <v>648</v>
      </c>
      <c r="R125" s="6" t="str">
        <f>IFERROR(__xludf.DUMMYFUNCTION("GOOGLETRANSLATE(G125,""en"",""ur"")"),"ایک بیرونی گندگی کا میدان")</f>
        <v>ایک بیرونی گندگی کا میدان</v>
      </c>
      <c r="S125" s="6" t="s">
        <v>717</v>
      </c>
      <c r="T125" s="6"/>
      <c r="U125" s="6"/>
      <c r="V125" s="6"/>
      <c r="W125" s="6"/>
      <c r="X125" s="6"/>
      <c r="Y125" s="6"/>
      <c r="Z125" s="6"/>
      <c r="AA125" s="6"/>
    </row>
    <row r="126">
      <c r="A126" s="7">
        <v>125.0</v>
      </c>
      <c r="B126" s="6" t="s">
        <v>679</v>
      </c>
      <c r="C126" s="6" t="s">
        <v>47</v>
      </c>
      <c r="D126" s="6" t="s">
        <v>48</v>
      </c>
      <c r="E126" s="6" t="s">
        <v>49</v>
      </c>
      <c r="F126" s="6" t="s">
        <v>50</v>
      </c>
      <c r="G126" s="6" t="s">
        <v>49</v>
      </c>
      <c r="H126" s="6" t="s">
        <v>717</v>
      </c>
      <c r="I126" s="6"/>
      <c r="J126" s="6"/>
      <c r="K126" s="7">
        <v>125.0</v>
      </c>
      <c r="L126" s="6" t="str">
        <f>IFERROR(__xludf.DUMMYFUNCTION("GOOGLETRANSLATE(B126,""en"",""ur"")"),"کھلاڑی کے چہرے سے ظاہری جذبات کیا ہیں؟")</f>
        <v>کھلاڑی کے چہرے سے ظاہری جذبات کیا ہیں؟</v>
      </c>
      <c r="M126" s="6"/>
      <c r="N126" s="8" t="str">
        <f>IFERROR(__xludf.DUMMYFUNCTION("GOOGLETRANSLATE(D126,""en"",""ur"")"),"خوف زدہ اور بے چین")</f>
        <v>خوف زدہ اور بے چین</v>
      </c>
      <c r="O126" s="6" t="str">
        <f>IFERROR(__xludf.DUMMYFUNCTION("GOOGLETRANSLATE(E126,""en"",""ur"")"),"کشیدہ اور شدید")</f>
        <v>کشیدہ اور شدید</v>
      </c>
      <c r="P126" s="6" t="str">
        <f>IFERROR(__xludf.DUMMYFUNCTION("GOOGLETRANSLATE(F126,""en"",""ur"")"),"خوش اور مسکراتے ہوئے۔")</f>
        <v>خوش اور مسکراتے ہوئے۔</v>
      </c>
      <c r="Q126" s="6" t="s">
        <v>649</v>
      </c>
      <c r="R126" s="6" t="str">
        <f>IFERROR(__xludf.DUMMYFUNCTION("GOOGLETRANSLATE(G126,""en"",""ur"")"),"کشیدہ اور شدید")</f>
        <v>کشیدہ اور شدید</v>
      </c>
      <c r="S126" s="6" t="s">
        <v>717</v>
      </c>
      <c r="T126" s="6"/>
      <c r="U126" s="6"/>
      <c r="V126" s="6"/>
      <c r="W126" s="6"/>
      <c r="X126" s="6"/>
      <c r="Y126" s="6"/>
      <c r="Z126" s="6"/>
      <c r="AA126" s="6"/>
    </row>
    <row r="127">
      <c r="A127" s="7">
        <v>126.0</v>
      </c>
      <c r="B127" s="6" t="s">
        <v>88</v>
      </c>
      <c r="C127" s="6" t="s">
        <v>89</v>
      </c>
      <c r="D127" s="6" t="s">
        <v>90</v>
      </c>
      <c r="E127" s="6" t="s">
        <v>91</v>
      </c>
      <c r="F127" s="6" t="s">
        <v>255</v>
      </c>
      <c r="G127" s="6" t="s">
        <v>255</v>
      </c>
      <c r="H127" s="6" t="s">
        <v>717</v>
      </c>
      <c r="I127" s="6"/>
      <c r="J127" s="6"/>
      <c r="K127" s="7">
        <v>126.0</v>
      </c>
      <c r="L127" s="6" t="str">
        <f>IFERROR(__xludf.DUMMYFUNCTION("GOOGLETRANSLATE(B127,""en"",""ur"")"),"زمین کی سب سے نمایاں خصوصیت کیا ہے؟")</f>
        <v>زمین کی سب سے نمایاں خصوصیت کیا ہے؟</v>
      </c>
      <c r="M127" s="6"/>
      <c r="N127" s="8" t="str">
        <f>IFERROR(__xludf.DUMMYFUNCTION("GOOGLETRANSLATE(D127,""en"",""ur"")"),"کیچڑ والا میدان")</f>
        <v>کیچڑ والا میدان</v>
      </c>
      <c r="O127" s="6" t="str">
        <f>IFERROR(__xludf.DUMMYFUNCTION("GOOGLETRANSLATE(E127,""en"",""ur"")"),"ایک گھاس دار سطح")</f>
        <v>ایک گھاس دار سطح</v>
      </c>
      <c r="P127" s="6" t="str">
        <f>IFERROR(__xludf.DUMMYFUNCTION("GOOGLETRANSLATE(F127,""en"",""ur"")"),"ریتلی یا گندگی کی سطح")</f>
        <v>ریتلی یا گندگی کی سطح</v>
      </c>
      <c r="Q127" s="6" t="s">
        <v>688</v>
      </c>
      <c r="R127" s="6" t="str">
        <f>IFERROR(__xludf.DUMMYFUNCTION("GOOGLETRANSLATE(G127,""en"",""ur"")"),"ریتلی یا گندگی کی سطح")</f>
        <v>ریتلی یا گندگی کی سطح</v>
      </c>
      <c r="S127" s="6" t="s">
        <v>717</v>
      </c>
      <c r="T127" s="6"/>
      <c r="U127" s="6"/>
      <c r="V127" s="6"/>
      <c r="W127" s="6"/>
      <c r="X127" s="6"/>
      <c r="Y127" s="6"/>
      <c r="Z127" s="6"/>
      <c r="AA127" s="6"/>
    </row>
    <row r="128">
      <c r="A128" s="7">
        <v>127.0</v>
      </c>
      <c r="B128" s="6" t="s">
        <v>94</v>
      </c>
      <c r="C128" s="6" t="s">
        <v>95</v>
      </c>
      <c r="D128" s="6" t="s">
        <v>651</v>
      </c>
      <c r="E128" s="6" t="s">
        <v>652</v>
      </c>
      <c r="F128" s="6" t="s">
        <v>653</v>
      </c>
      <c r="G128" s="6" t="s">
        <v>652</v>
      </c>
      <c r="H128" s="6" t="s">
        <v>717</v>
      </c>
      <c r="I128" s="6"/>
      <c r="J128" s="6"/>
      <c r="K128" s="7">
        <v>127.0</v>
      </c>
      <c r="L128" s="6" t="str">
        <f>IFERROR(__xludf.DUMMYFUNCTION("GOOGLETRANSLATE(B128,""en"",""ur"")"),"کھیلے جانے والے کھیل کا نام کیا ہے؟")</f>
        <v>کھیلے جانے والے کھیل کا نام کیا ہے؟</v>
      </c>
      <c r="M128" s="6"/>
      <c r="N128" s="8" t="str">
        <f>IFERROR(__xludf.DUMMYFUNCTION("GOOGLETRANSLATE(D128,""en"",""ur"")"),"کرکٹ")</f>
        <v>کرکٹ</v>
      </c>
      <c r="O128" s="6" t="str">
        <f>IFERROR(__xludf.DUMMYFUNCTION("GOOGLETRANSLATE(E128,""en"",""ur"")"),"گلی ڈنڈا۔")</f>
        <v>گلی ڈنڈا۔</v>
      </c>
      <c r="P128" s="6" t="str">
        <f>IFERROR(__xludf.DUMMYFUNCTION("GOOGLETRANSLATE(F128,""en"",""ur"")"),"بیس بال")</f>
        <v>بیس بال</v>
      </c>
      <c r="Q128" s="6" t="s">
        <v>654</v>
      </c>
      <c r="R128" s="6" t="str">
        <f>IFERROR(__xludf.DUMMYFUNCTION("GOOGLETRANSLATE(G128,""en"",""ur"")"),"گلی ڈنڈا۔")</f>
        <v>گلی ڈنڈا۔</v>
      </c>
      <c r="S128" s="6" t="s">
        <v>717</v>
      </c>
      <c r="T128" s="6"/>
      <c r="U128" s="6"/>
      <c r="V128" s="6"/>
      <c r="W128" s="6"/>
      <c r="X128" s="6"/>
      <c r="Y128" s="6"/>
      <c r="Z128" s="6"/>
      <c r="AA128" s="6"/>
    </row>
    <row r="129">
      <c r="A129" s="7">
        <v>128.0</v>
      </c>
      <c r="B129" s="6" t="s">
        <v>260</v>
      </c>
      <c r="C129" s="6" t="s">
        <v>261</v>
      </c>
      <c r="D129" s="6" t="s">
        <v>262</v>
      </c>
      <c r="E129" s="6" t="s">
        <v>263</v>
      </c>
      <c r="F129" s="6" t="s">
        <v>655</v>
      </c>
      <c r="G129" s="6" t="s">
        <v>655</v>
      </c>
      <c r="H129" s="6" t="s">
        <v>717</v>
      </c>
      <c r="I129" s="6"/>
      <c r="J129" s="6"/>
      <c r="K129" s="7">
        <v>128.0</v>
      </c>
      <c r="L129" s="6" t="str">
        <f>IFERROR(__xludf.DUMMYFUNCTION("GOOGLETRANSLATE(B129,""en"",""ur"")"),"تصویر میں ایکشن ایک ایسا انداز تجویز کرتا ہے جو اس بات پر زور دیتا ہے...")</f>
        <v>تصویر میں ایکشن ایک ایسا انداز تجویز کرتا ہے جو اس بات پر زور دیتا ہے...</v>
      </c>
      <c r="M129" s="6"/>
      <c r="N129" s="8" t="str">
        <f>IFERROR(__xludf.DUMMYFUNCTION("GOOGLETRANSLATE(D129,""en"",""ur"")"),"زمینی لڑائی اور گرفت")</f>
        <v>زمینی لڑائی اور گرفت</v>
      </c>
      <c r="O129" s="6" t="str">
        <f>IFERROR(__xludf.DUMMYFUNCTION("GOOGLETRANSLATE(E129,""en"",""ur"")"),"وحشیانہ قوت اور گھڑ سواری۔")</f>
        <v>وحشیانہ قوت اور گھڑ سواری۔</v>
      </c>
      <c r="P129" s="6" t="str">
        <f>IFERROR(__xludf.DUMMYFUNCTION("GOOGLETRANSLATE(F129,""en"",""ur"")"),"ہاتھ سے آنکھ کو آرڈینیشن اور حیرت انگیز")</f>
        <v>ہاتھ سے آنکھ کو آرڈینیشن اور حیرت انگیز</v>
      </c>
      <c r="Q129" s="6" t="s">
        <v>656</v>
      </c>
      <c r="R129" s="6" t="str">
        <f>IFERROR(__xludf.DUMMYFUNCTION("GOOGLETRANSLATE(G129,""en"",""ur"")"),"ہاتھ سے آنکھ کو آرڈینیشن اور حیرت انگیز")</f>
        <v>ہاتھ سے آنکھ کو آرڈینیشن اور حیرت انگیز</v>
      </c>
      <c r="S129" s="6" t="s">
        <v>717</v>
      </c>
      <c r="T129" s="6"/>
      <c r="U129" s="6"/>
      <c r="V129" s="6"/>
      <c r="W129" s="6"/>
      <c r="X129" s="6"/>
      <c r="Y129" s="6"/>
      <c r="Z129" s="6"/>
      <c r="AA129" s="6"/>
    </row>
    <row r="130">
      <c r="A130" s="7">
        <v>129.0</v>
      </c>
      <c r="B130" s="6" t="s">
        <v>657</v>
      </c>
      <c r="C130" s="6" t="s">
        <v>658</v>
      </c>
      <c r="D130" s="6" t="s">
        <v>659</v>
      </c>
      <c r="E130" s="6" t="s">
        <v>660</v>
      </c>
      <c r="F130" s="6" t="s">
        <v>661</v>
      </c>
      <c r="G130" s="6" t="s">
        <v>659</v>
      </c>
      <c r="H130" s="6" t="s">
        <v>717</v>
      </c>
      <c r="I130" s="6"/>
      <c r="J130" s="6"/>
      <c r="K130" s="7">
        <v>129.0</v>
      </c>
      <c r="L130" s="6" t="str">
        <f>IFERROR(__xludf.DUMMYFUNCTION("GOOGLETRANSLATE(B130,""en"",""ur"")"),"کھلاڑیوں کے جوتے کے بارے میں ایک قابل ذکر تفصیل کیا ہے؟")</f>
        <v>کھلاڑیوں کے جوتے کے بارے میں ایک قابل ذکر تفصیل کیا ہے؟</v>
      </c>
      <c r="M130" s="6"/>
      <c r="N130" s="8" t="str">
        <f>IFERROR(__xludf.DUMMYFUNCTION("GOOGLETRANSLATE(D130,""en"",""ur"")"),"وہ ننگے پاؤں ہیں۔")</f>
        <v>وہ ننگے پاؤں ہیں۔</v>
      </c>
      <c r="O130" s="6" t="str">
        <f>IFERROR(__xludf.DUMMYFUNCTION("GOOGLETRANSLATE(E130,""en"",""ur"")"),"وہ سینڈل یا فلپ فلاپ پہنے ہوئے ہیں۔")</f>
        <v>وہ سینڈل یا فلپ فلاپ پہنے ہوئے ہیں۔</v>
      </c>
      <c r="P130" s="6" t="str">
        <f>IFERROR(__xludf.DUMMYFUNCTION("GOOGLETRANSLATE(F130,""en"",""ur"")"),"وہ موزے پہنے ہوئے ہیں۔")</f>
        <v>وہ موزے پہنے ہوئے ہیں۔</v>
      </c>
      <c r="Q130" s="6" t="s">
        <v>662</v>
      </c>
      <c r="R130" s="6" t="str">
        <f>IFERROR(__xludf.DUMMYFUNCTION("GOOGLETRANSLATE(G130,""en"",""ur"")"),"وہ ننگے پاؤں ہیں۔")</f>
        <v>وہ ننگے پاؤں ہیں۔</v>
      </c>
      <c r="S130" s="6" t="s">
        <v>717</v>
      </c>
      <c r="T130" s="6"/>
      <c r="U130" s="6"/>
      <c r="V130" s="6"/>
      <c r="W130" s="6"/>
      <c r="X130" s="6"/>
      <c r="Y130" s="6"/>
      <c r="Z130" s="6"/>
      <c r="AA130" s="6"/>
    </row>
    <row r="131">
      <c r="A131" s="7">
        <v>130.0</v>
      </c>
      <c r="B131" s="6" t="s">
        <v>663</v>
      </c>
      <c r="C131" s="6" t="s">
        <v>664</v>
      </c>
      <c r="D131" s="6" t="s">
        <v>665</v>
      </c>
      <c r="E131" s="6" t="s">
        <v>666</v>
      </c>
      <c r="F131" s="6" t="s">
        <v>667</v>
      </c>
      <c r="G131" s="6" t="s">
        <v>666</v>
      </c>
      <c r="H131" s="6" t="s">
        <v>717</v>
      </c>
      <c r="I131" s="6"/>
      <c r="J131" s="6"/>
      <c r="K131" s="7">
        <v>130.0</v>
      </c>
      <c r="L131" s="6" t="str">
        <f>IFERROR(__xludf.DUMMYFUNCTION("GOOGLETRANSLATE(B131,""en"",""ur"")"),"پس منظر میں دیگر کھلاڑیوں کے بارے میں ایک قابل ذکر تفصیل کیا ہے؟")</f>
        <v>پس منظر میں دیگر کھلاڑیوں کے بارے میں ایک قابل ذکر تفصیل کیا ہے؟</v>
      </c>
      <c r="M131" s="6"/>
      <c r="N131" s="8" t="str">
        <f>IFERROR(__xludf.DUMMYFUNCTION("GOOGLETRANSLATE(D131,""en"",""ur"")"),"وہ سب ادھر ادھر بھاگ رہے ہیں۔")</f>
        <v>وہ سب ادھر ادھر بھاگ رہے ہیں۔</v>
      </c>
      <c r="O131" s="6" t="str">
        <f>IFERROR(__xludf.DUMMYFUNCTION("GOOGLETRANSLATE(E131,""en"",""ur"")"),"وہ ایک دفاعی، تیار موقف میں ہیں۔")</f>
        <v>وہ ایک دفاعی، تیار موقف میں ہیں۔</v>
      </c>
      <c r="P131" s="6" t="str">
        <f>IFERROR(__xludf.DUMMYFUNCTION("GOOGLETRANSLATE(F131,""en"",""ur"")"),"وہ سب لہرا رہے ہیں۔")</f>
        <v>وہ سب لہرا رہے ہیں۔</v>
      </c>
      <c r="Q131" s="6" t="s">
        <v>668</v>
      </c>
      <c r="R131" s="6" t="str">
        <f>IFERROR(__xludf.DUMMYFUNCTION("GOOGLETRANSLATE(G131,""en"",""ur"")"),"وہ ایک دفاعی، تیار موقف میں ہیں۔")</f>
        <v>وہ ایک دفاعی، تیار موقف میں ہیں۔</v>
      </c>
      <c r="S131" s="6" t="s">
        <v>717</v>
      </c>
      <c r="T131" s="6"/>
      <c r="U131" s="6"/>
      <c r="V131" s="6"/>
      <c r="W131" s="6"/>
      <c r="X131" s="6"/>
      <c r="Y131" s="6"/>
      <c r="Z131" s="6"/>
      <c r="AA131" s="6"/>
    </row>
    <row r="132">
      <c r="A132" s="7">
        <v>131.0</v>
      </c>
      <c r="B132" s="6" t="s">
        <v>718</v>
      </c>
      <c r="C132" s="6" t="s">
        <v>681</v>
      </c>
      <c r="D132" s="6" t="s">
        <v>682</v>
      </c>
      <c r="E132" s="6" t="s">
        <v>683</v>
      </c>
      <c r="F132" s="6" t="s">
        <v>684</v>
      </c>
      <c r="G132" s="6" t="s">
        <v>683</v>
      </c>
      <c r="H132" s="6" t="s">
        <v>719</v>
      </c>
      <c r="I132" s="6"/>
      <c r="J132" s="6"/>
      <c r="K132" s="7">
        <v>131.0</v>
      </c>
      <c r="L132" s="6" t="str">
        <f>IFERROR(__xludf.DUMMYFUNCTION("GOOGLETRANSLATE(B132,""en"",""ur"")"),"gilli_danda_15 میں دکھایا گیا اہم عمل کیا ہے؟")</f>
        <v>gilli_danda_15 میں دکھایا گیا اہم عمل کیا ہے؟</v>
      </c>
      <c r="M132" s="6"/>
      <c r="N132" s="8" t="str">
        <f>IFERROR(__xludf.DUMMYFUNCTION("GOOGLETRANSLATE(D132,""en"",""ur"")"),"بچوں کا ایک گروپ جو گیند کا کھیل کھیل رہا ہے۔")</f>
        <v>بچوں کا ایک گروپ جو گیند کا کھیل کھیل رہا ہے۔</v>
      </c>
      <c r="O132" s="6" t="str">
        <f>IFERROR(__xludf.DUMMYFUNCTION("GOOGLETRANSLATE(E132,""en"",""ur"")"),"بچوں کا ایک گروپ چھوٹی چھڑی کو بڑی چھڑی سے مار رہا ہے۔")</f>
        <v>بچوں کا ایک گروپ چھوٹی چھڑی کو بڑی چھڑی سے مار رہا ہے۔</v>
      </c>
      <c r="P132" s="6" t="str">
        <f>IFERROR(__xludf.DUMMYFUNCTION("GOOGLETRANSLATE(F132,""en"",""ur"")"),"بچوں کا ایک گروپ چل رہا ہے۔")</f>
        <v>بچوں کا ایک گروپ چل رہا ہے۔</v>
      </c>
      <c r="Q132" s="6" t="s">
        <v>686</v>
      </c>
      <c r="R132" s="6" t="str">
        <f>IFERROR(__xludf.DUMMYFUNCTION("GOOGLETRANSLATE(G132,""en"",""ur"")"),"بچوں کا ایک گروپ چھوٹی چھڑی کو بڑی چھڑی سے مار رہا ہے۔")</f>
        <v>بچوں کا ایک گروپ چھوٹی چھڑی کو بڑی چھڑی سے مار رہا ہے۔</v>
      </c>
      <c r="S132" s="6" t="s">
        <v>719</v>
      </c>
      <c r="T132" s="6"/>
      <c r="U132" s="6"/>
      <c r="V132" s="6"/>
      <c r="W132" s="6"/>
      <c r="X132" s="6"/>
      <c r="Y132" s="6"/>
      <c r="Z132" s="6"/>
      <c r="AA132" s="6"/>
    </row>
    <row r="133">
      <c r="A133" s="7">
        <v>132.0</v>
      </c>
      <c r="B133" s="6" t="s">
        <v>636</v>
      </c>
      <c r="C133" s="6" t="s">
        <v>637</v>
      </c>
      <c r="D133" s="6" t="s">
        <v>638</v>
      </c>
      <c r="E133" s="6" t="s">
        <v>639</v>
      </c>
      <c r="F133" s="6" t="s">
        <v>640</v>
      </c>
      <c r="G133" s="6" t="s">
        <v>638</v>
      </c>
      <c r="H133" s="6" t="s">
        <v>719</v>
      </c>
      <c r="I133" s="6"/>
      <c r="J133" s="6"/>
      <c r="K133" s="7">
        <v>132.0</v>
      </c>
      <c r="L133" s="6" t="str">
        <f>IFERROR(__xludf.DUMMYFUNCTION("GOOGLETRANSLATE(B133,""en"",""ur"")"),"کھیل میں استعمال ہونے والے آلات کے دو ٹکڑے کیا ہیں؟")</f>
        <v>کھیل میں استعمال ہونے والے آلات کے دو ٹکڑے کیا ہیں؟</v>
      </c>
      <c r="M133" s="6"/>
      <c r="N133" s="8" t="str">
        <f>IFERROR(__xludf.DUMMYFUNCTION("GOOGLETRANSLATE(D133,""en"",""ur"")"),"ایک لمبی چھڑی (ڈنڈا) اور ایک چھوٹی چھڑی (گلی)")</f>
        <v>ایک لمبی چھڑی (ڈنڈا) اور ایک چھوٹی چھڑی (گلی)</v>
      </c>
      <c r="O133" s="6" t="str">
        <f>IFERROR(__xludf.DUMMYFUNCTION("GOOGLETRANSLATE(E133,""en"",""ur"")"),"ایک ریکیٹ اور ایک شٹل کاک")</f>
        <v>ایک ریکیٹ اور ایک شٹل کاک</v>
      </c>
      <c r="P133" s="6" t="str">
        <f>IFERROR(__xludf.DUMMYFUNCTION("GOOGLETRANSLATE(F133,""en"",""ur"")"),"ایک چمگادڑ اور ایک دستانہ")</f>
        <v>ایک چمگادڑ اور ایک دستانہ</v>
      </c>
      <c r="Q133" s="6" t="s">
        <v>641</v>
      </c>
      <c r="R133" s="6" t="str">
        <f>IFERROR(__xludf.DUMMYFUNCTION("GOOGLETRANSLATE(G133,""en"",""ur"")"),"ایک لمبی چھڑی (ڈنڈا) اور ایک چھوٹی چھڑی (گلی)")</f>
        <v>ایک لمبی چھڑی (ڈنڈا) اور ایک چھوٹی چھڑی (گلی)</v>
      </c>
      <c r="S133" s="6" t="s">
        <v>719</v>
      </c>
      <c r="T133" s="6"/>
      <c r="U133" s="6"/>
      <c r="V133" s="6"/>
      <c r="W133" s="6"/>
      <c r="X133" s="6"/>
      <c r="Y133" s="6"/>
      <c r="Z133" s="6"/>
      <c r="AA133" s="6"/>
    </row>
    <row r="134">
      <c r="A134" s="7">
        <v>133.0</v>
      </c>
      <c r="B134" s="6" t="s">
        <v>687</v>
      </c>
      <c r="C134" s="6" t="s">
        <v>720</v>
      </c>
      <c r="D134" s="6" t="s">
        <v>721</v>
      </c>
      <c r="E134" s="6" t="s">
        <v>722</v>
      </c>
      <c r="F134" s="6" t="s">
        <v>723</v>
      </c>
      <c r="G134" s="6" t="s">
        <v>721</v>
      </c>
      <c r="H134" s="6" t="s">
        <v>719</v>
      </c>
      <c r="I134" s="6"/>
      <c r="J134" s="6"/>
      <c r="K134" s="7">
        <v>133.0</v>
      </c>
      <c r="L134" s="6" t="str">
        <f>IFERROR(__xludf.DUMMYFUNCTION("GOOGLETRANSLATE(B134,""en"",""ur"")"),"پیش منظر میں کھلاڑی کے بارے میں ایک قابل ذکر تفصیل کیا ہے؟")</f>
        <v>پیش منظر میں کھلاڑی کے بارے میں ایک قابل ذکر تفصیل کیا ہے؟</v>
      </c>
      <c r="M134" s="6"/>
      <c r="N134" s="8" t="str">
        <f>IFERROR(__xludf.DUMMYFUNCTION("GOOGLETRANSLATE(D134,""en"",""ur"")"),"وہ ایک پست، جھکائے ہوئے موقف میں ہے، ہڑتال کرنے کی تیاری کر رہی ہے۔")</f>
        <v>وہ ایک پست، جھکائے ہوئے موقف میں ہے، ہڑتال کرنے کی تیاری کر رہی ہے۔</v>
      </c>
      <c r="O134" s="6" t="str">
        <f>IFERROR(__xludf.DUMMYFUNCTION("GOOGLETRANSLATE(E134,""en"",""ur"")"),"وہ سیدھا کھڑا ہے۔")</f>
        <v>وہ سیدھا کھڑا ہے۔</v>
      </c>
      <c r="P134" s="6" t="str">
        <f>IFERROR(__xludf.DUMMYFUNCTION("GOOGLETRANSLATE(F134,""en"",""ur"")"),"وہ آرام سے بیٹھی ہے۔")</f>
        <v>وہ آرام سے بیٹھی ہے۔</v>
      </c>
      <c r="Q134" s="6" t="s">
        <v>724</v>
      </c>
      <c r="R134" s="6" t="str">
        <f>IFERROR(__xludf.DUMMYFUNCTION("GOOGLETRANSLATE(G134,""en"",""ur"")"),"وہ ایک پست، جھکائے ہوئے موقف میں ہے، ہڑتال کرنے کی تیاری کر رہی ہے۔")</f>
        <v>وہ ایک پست، جھکائے ہوئے موقف میں ہے، ہڑتال کرنے کی تیاری کر رہی ہے۔</v>
      </c>
      <c r="S134" s="6" t="s">
        <v>719</v>
      </c>
      <c r="T134" s="6"/>
      <c r="U134" s="6"/>
      <c r="V134" s="6"/>
      <c r="W134" s="6"/>
      <c r="X134" s="6"/>
      <c r="Y134" s="6"/>
      <c r="Z134" s="6"/>
      <c r="AA134" s="6"/>
    </row>
    <row r="135">
      <c r="A135" s="7">
        <v>134.0</v>
      </c>
      <c r="B135" s="6" t="s">
        <v>645</v>
      </c>
      <c r="C135" s="6" t="s">
        <v>422</v>
      </c>
      <c r="D135" s="6" t="s">
        <v>646</v>
      </c>
      <c r="E135" s="6" t="s">
        <v>647</v>
      </c>
      <c r="F135" s="6" t="s">
        <v>425</v>
      </c>
      <c r="G135" s="6" t="s">
        <v>647</v>
      </c>
      <c r="H135" s="6" t="s">
        <v>719</v>
      </c>
      <c r="I135" s="6"/>
      <c r="J135" s="6"/>
      <c r="K135" s="7">
        <v>134.0</v>
      </c>
      <c r="L135" s="6" t="str">
        <f>IFERROR(__xludf.DUMMYFUNCTION("GOOGLETRANSLATE(B135,""en"",""ur"")"),"کھیل کی ظاہری ترتیب کیا ہے؟")</f>
        <v>کھیل کی ظاہری ترتیب کیا ہے؟</v>
      </c>
      <c r="M135" s="6"/>
      <c r="N135" s="8" t="str">
        <f>IFERROR(__xludf.DUMMYFUNCTION("GOOGLETRANSLATE(D135,""en"",""ur"")"),"شہر کی ایک گلی")</f>
        <v>شہر کی ایک گلی</v>
      </c>
      <c r="O135" s="6" t="str">
        <f>IFERROR(__xludf.DUMMYFUNCTION("GOOGLETRANSLATE(E135,""en"",""ur"")"),"ایک بیرونی گندگی کا میدان")</f>
        <v>ایک بیرونی گندگی کا میدان</v>
      </c>
      <c r="P135" s="6" t="str">
        <f>IFERROR(__xludf.DUMMYFUNCTION("GOOGLETRANSLATE(F135,""en"",""ur"")"),"گھاس کا میدان")</f>
        <v>گھاس کا میدان</v>
      </c>
      <c r="Q135" s="6" t="s">
        <v>648</v>
      </c>
      <c r="R135" s="6" t="str">
        <f>IFERROR(__xludf.DUMMYFUNCTION("GOOGLETRANSLATE(G135,""en"",""ur"")"),"ایک بیرونی گندگی کا میدان")</f>
        <v>ایک بیرونی گندگی کا میدان</v>
      </c>
      <c r="S135" s="6" t="s">
        <v>719</v>
      </c>
      <c r="T135" s="6"/>
      <c r="U135" s="6"/>
      <c r="V135" s="6"/>
      <c r="W135" s="6"/>
      <c r="X135" s="6"/>
      <c r="Y135" s="6"/>
      <c r="Z135" s="6"/>
      <c r="AA135" s="6"/>
    </row>
    <row r="136">
      <c r="A136" s="7">
        <v>135.0</v>
      </c>
      <c r="B136" s="6" t="s">
        <v>46</v>
      </c>
      <c r="C136" s="6" t="s">
        <v>47</v>
      </c>
      <c r="D136" s="6" t="s">
        <v>48</v>
      </c>
      <c r="E136" s="6" t="s">
        <v>49</v>
      </c>
      <c r="F136" s="6" t="s">
        <v>50</v>
      </c>
      <c r="G136" s="6" t="s">
        <v>50</v>
      </c>
      <c r="H136" s="6" t="s">
        <v>719</v>
      </c>
      <c r="I136" s="6"/>
      <c r="J136" s="6"/>
      <c r="K136" s="7">
        <v>135.0</v>
      </c>
      <c r="L136" s="6" t="str">
        <f>IFERROR(__xludf.DUMMYFUNCTION("GOOGLETRANSLATE(B136,""en"",""ur"")"),"کھلاڑیوں کے چہروں سے ظاہری جذبات کیا ہیں؟")</f>
        <v>کھلاڑیوں کے چہروں سے ظاہری جذبات کیا ہیں؟</v>
      </c>
      <c r="M136" s="6"/>
      <c r="N136" s="8" t="str">
        <f>IFERROR(__xludf.DUMMYFUNCTION("GOOGLETRANSLATE(D136,""en"",""ur"")"),"خوف زدہ اور بے چین")</f>
        <v>خوف زدہ اور بے چین</v>
      </c>
      <c r="O136" s="6" t="str">
        <f>IFERROR(__xludf.DUMMYFUNCTION("GOOGLETRANSLATE(E136,""en"",""ur"")"),"کشیدہ اور شدید")</f>
        <v>کشیدہ اور شدید</v>
      </c>
      <c r="P136" s="6" t="str">
        <f>IFERROR(__xludf.DUMMYFUNCTION("GOOGLETRANSLATE(F136,""en"",""ur"")"),"خوش اور مسکراتے ہوئے۔")</f>
        <v>خوش اور مسکراتے ہوئے۔</v>
      </c>
      <c r="Q136" s="6" t="s">
        <v>649</v>
      </c>
      <c r="R136" s="6" t="str">
        <f>IFERROR(__xludf.DUMMYFUNCTION("GOOGLETRANSLATE(G136,""en"",""ur"")"),"خوش اور مسکراتے ہوئے۔")</f>
        <v>خوش اور مسکراتے ہوئے۔</v>
      </c>
      <c r="S136" s="6" t="s">
        <v>719</v>
      </c>
      <c r="T136" s="6"/>
      <c r="U136" s="6"/>
      <c r="V136" s="6"/>
      <c r="W136" s="6"/>
      <c r="X136" s="6"/>
      <c r="Y136" s="6"/>
      <c r="Z136" s="6"/>
      <c r="AA136" s="6"/>
    </row>
    <row r="137">
      <c r="A137" s="7">
        <v>136.0</v>
      </c>
      <c r="B137" s="6" t="s">
        <v>88</v>
      </c>
      <c r="C137" s="6" t="s">
        <v>89</v>
      </c>
      <c r="D137" s="6" t="s">
        <v>90</v>
      </c>
      <c r="E137" s="6" t="s">
        <v>91</v>
      </c>
      <c r="F137" s="6" t="s">
        <v>255</v>
      </c>
      <c r="G137" s="6" t="s">
        <v>255</v>
      </c>
      <c r="H137" s="6" t="s">
        <v>719</v>
      </c>
      <c r="I137" s="6"/>
      <c r="J137" s="6"/>
      <c r="K137" s="7">
        <v>136.0</v>
      </c>
      <c r="L137" s="6" t="str">
        <f>IFERROR(__xludf.DUMMYFUNCTION("GOOGLETRANSLATE(B137,""en"",""ur"")"),"زمین کی سب سے نمایاں خصوصیت کیا ہے؟")</f>
        <v>زمین کی سب سے نمایاں خصوصیت کیا ہے؟</v>
      </c>
      <c r="M137" s="6"/>
      <c r="N137" s="8" t="str">
        <f>IFERROR(__xludf.DUMMYFUNCTION("GOOGLETRANSLATE(D137,""en"",""ur"")"),"کیچڑ والا میدان")</f>
        <v>کیچڑ والا میدان</v>
      </c>
      <c r="O137" s="6" t="str">
        <f>IFERROR(__xludf.DUMMYFUNCTION("GOOGLETRANSLATE(E137,""en"",""ur"")"),"ایک گھاس دار سطح")</f>
        <v>ایک گھاس دار سطح</v>
      </c>
      <c r="P137" s="6" t="str">
        <f>IFERROR(__xludf.DUMMYFUNCTION("GOOGLETRANSLATE(F137,""en"",""ur"")"),"ریتلی یا گندگی کی سطح")</f>
        <v>ریتلی یا گندگی کی سطح</v>
      </c>
      <c r="Q137" s="6" t="s">
        <v>688</v>
      </c>
      <c r="R137" s="6" t="str">
        <f>IFERROR(__xludf.DUMMYFUNCTION("GOOGLETRANSLATE(G137,""en"",""ur"")"),"ریتلی یا گندگی کی سطح")</f>
        <v>ریتلی یا گندگی کی سطح</v>
      </c>
      <c r="S137" s="6" t="s">
        <v>719</v>
      </c>
      <c r="T137" s="6"/>
      <c r="U137" s="6"/>
      <c r="V137" s="6"/>
      <c r="W137" s="6"/>
      <c r="X137" s="6"/>
      <c r="Y137" s="6"/>
      <c r="Z137" s="6"/>
      <c r="AA137" s="6"/>
    </row>
    <row r="138">
      <c r="A138" s="7">
        <v>137.0</v>
      </c>
      <c r="B138" s="6" t="s">
        <v>94</v>
      </c>
      <c r="C138" s="6" t="s">
        <v>95</v>
      </c>
      <c r="D138" s="6" t="s">
        <v>651</v>
      </c>
      <c r="E138" s="6" t="s">
        <v>652</v>
      </c>
      <c r="F138" s="6" t="s">
        <v>653</v>
      </c>
      <c r="G138" s="6" t="s">
        <v>652</v>
      </c>
      <c r="H138" s="6" t="s">
        <v>719</v>
      </c>
      <c r="I138" s="6"/>
      <c r="J138" s="6"/>
      <c r="K138" s="7">
        <v>137.0</v>
      </c>
      <c r="L138" s="6" t="str">
        <f>IFERROR(__xludf.DUMMYFUNCTION("GOOGLETRANSLATE(B138,""en"",""ur"")"),"کھیلے جانے والے کھیل کا نام کیا ہے؟")</f>
        <v>کھیلے جانے والے کھیل کا نام کیا ہے؟</v>
      </c>
      <c r="M138" s="6"/>
      <c r="N138" s="8" t="str">
        <f>IFERROR(__xludf.DUMMYFUNCTION("GOOGLETRANSLATE(D138,""en"",""ur"")"),"کرکٹ")</f>
        <v>کرکٹ</v>
      </c>
      <c r="O138" s="6" t="str">
        <f>IFERROR(__xludf.DUMMYFUNCTION("GOOGLETRANSLATE(E138,""en"",""ur"")"),"گلی ڈنڈا۔")</f>
        <v>گلی ڈنڈا۔</v>
      </c>
      <c r="P138" s="6" t="str">
        <f>IFERROR(__xludf.DUMMYFUNCTION("GOOGLETRANSLATE(F138,""en"",""ur"")"),"بیس بال")</f>
        <v>بیس بال</v>
      </c>
      <c r="Q138" s="6" t="s">
        <v>654</v>
      </c>
      <c r="R138" s="6" t="str">
        <f>IFERROR(__xludf.DUMMYFUNCTION("GOOGLETRANSLATE(G138,""en"",""ur"")"),"گلی ڈنڈا۔")</f>
        <v>گلی ڈنڈا۔</v>
      </c>
      <c r="S138" s="6" t="s">
        <v>719</v>
      </c>
      <c r="T138" s="6"/>
      <c r="U138" s="6"/>
      <c r="V138" s="6"/>
      <c r="W138" s="6"/>
      <c r="X138" s="6"/>
      <c r="Y138" s="6"/>
      <c r="Z138" s="6"/>
      <c r="AA138" s="6"/>
    </row>
    <row r="139">
      <c r="A139" s="7">
        <v>138.0</v>
      </c>
      <c r="B139" s="6" t="s">
        <v>260</v>
      </c>
      <c r="C139" s="6" t="s">
        <v>261</v>
      </c>
      <c r="D139" s="6" t="s">
        <v>262</v>
      </c>
      <c r="E139" s="6" t="s">
        <v>263</v>
      </c>
      <c r="F139" s="6" t="s">
        <v>655</v>
      </c>
      <c r="G139" s="6" t="s">
        <v>655</v>
      </c>
      <c r="H139" s="6" t="s">
        <v>719</v>
      </c>
      <c r="I139" s="6"/>
      <c r="J139" s="6"/>
      <c r="K139" s="7">
        <v>138.0</v>
      </c>
      <c r="L139" s="6" t="str">
        <f>IFERROR(__xludf.DUMMYFUNCTION("GOOGLETRANSLATE(B139,""en"",""ur"")"),"تصویر میں ایکشن ایک ایسا انداز تجویز کرتا ہے جو اس بات پر زور دیتا ہے...")</f>
        <v>تصویر میں ایکشن ایک ایسا انداز تجویز کرتا ہے جو اس بات پر زور دیتا ہے...</v>
      </c>
      <c r="M139" s="6"/>
      <c r="N139" s="8" t="str">
        <f>IFERROR(__xludf.DUMMYFUNCTION("GOOGLETRANSLATE(D139,""en"",""ur"")"),"زمینی لڑائی اور گرفت")</f>
        <v>زمینی لڑائی اور گرفت</v>
      </c>
      <c r="O139" s="6" t="str">
        <f>IFERROR(__xludf.DUMMYFUNCTION("GOOGLETRANSLATE(E139,""en"",""ur"")"),"وحشیانہ قوت اور گھڑ سواری۔")</f>
        <v>وحشیانہ قوت اور گھڑ سواری۔</v>
      </c>
      <c r="P139" s="6" t="str">
        <f>IFERROR(__xludf.DUMMYFUNCTION("GOOGLETRANSLATE(F139,""en"",""ur"")"),"ہاتھ سے آنکھ کو آرڈینیشن اور حیرت انگیز")</f>
        <v>ہاتھ سے آنکھ کو آرڈینیشن اور حیرت انگیز</v>
      </c>
      <c r="Q139" s="6" t="s">
        <v>656</v>
      </c>
      <c r="R139" s="6" t="str">
        <f>IFERROR(__xludf.DUMMYFUNCTION("GOOGLETRANSLATE(G139,""en"",""ur"")"),"ہاتھ سے آنکھ کو آرڈینیشن اور حیرت انگیز")</f>
        <v>ہاتھ سے آنکھ کو آرڈینیشن اور حیرت انگیز</v>
      </c>
      <c r="S139" s="6" t="s">
        <v>719</v>
      </c>
      <c r="T139" s="6"/>
      <c r="U139" s="6"/>
      <c r="V139" s="6"/>
      <c r="W139" s="6"/>
      <c r="X139" s="6"/>
      <c r="Y139" s="6"/>
      <c r="Z139" s="6"/>
      <c r="AA139" s="6"/>
    </row>
    <row r="140">
      <c r="A140" s="7">
        <v>139.0</v>
      </c>
      <c r="B140" s="6" t="s">
        <v>657</v>
      </c>
      <c r="C140" s="6" t="s">
        <v>658</v>
      </c>
      <c r="D140" s="6" t="s">
        <v>659</v>
      </c>
      <c r="E140" s="6" t="s">
        <v>660</v>
      </c>
      <c r="F140" s="6" t="s">
        <v>661</v>
      </c>
      <c r="G140" s="6" t="s">
        <v>659</v>
      </c>
      <c r="H140" s="6" t="s">
        <v>719</v>
      </c>
      <c r="I140" s="6"/>
      <c r="J140" s="6"/>
      <c r="K140" s="7">
        <v>139.0</v>
      </c>
      <c r="L140" s="6" t="str">
        <f>IFERROR(__xludf.DUMMYFUNCTION("GOOGLETRANSLATE(B140,""en"",""ur"")"),"کھلاڑیوں کے جوتے کے بارے میں ایک قابل ذکر تفصیل کیا ہے؟")</f>
        <v>کھلاڑیوں کے جوتے کے بارے میں ایک قابل ذکر تفصیل کیا ہے؟</v>
      </c>
      <c r="M140" s="6"/>
      <c r="N140" s="8" t="str">
        <f>IFERROR(__xludf.DUMMYFUNCTION("GOOGLETRANSLATE(D140,""en"",""ur"")"),"وہ ننگے پاؤں ہیں۔")</f>
        <v>وہ ننگے پاؤں ہیں۔</v>
      </c>
      <c r="O140" s="6" t="str">
        <f>IFERROR(__xludf.DUMMYFUNCTION("GOOGLETRANSLATE(E140,""en"",""ur"")"),"وہ سینڈل یا فلپ فلاپ پہنے ہوئے ہیں۔")</f>
        <v>وہ سینڈل یا فلپ فلاپ پہنے ہوئے ہیں۔</v>
      </c>
      <c r="P140" s="6" t="str">
        <f>IFERROR(__xludf.DUMMYFUNCTION("GOOGLETRANSLATE(F140,""en"",""ur"")"),"وہ موزے پہنے ہوئے ہیں۔")</f>
        <v>وہ موزے پہنے ہوئے ہیں۔</v>
      </c>
      <c r="Q140" s="6" t="s">
        <v>662</v>
      </c>
      <c r="R140" s="6" t="str">
        <f>IFERROR(__xludf.DUMMYFUNCTION("GOOGLETRANSLATE(G140,""en"",""ur"")"),"وہ ننگے پاؤں ہیں۔")</f>
        <v>وہ ننگے پاؤں ہیں۔</v>
      </c>
      <c r="S140" s="6" t="s">
        <v>719</v>
      </c>
      <c r="T140" s="6"/>
      <c r="U140" s="6"/>
      <c r="V140" s="6"/>
      <c r="W140" s="6"/>
      <c r="X140" s="6"/>
      <c r="Y140" s="6"/>
      <c r="Z140" s="6"/>
      <c r="AA140" s="6"/>
    </row>
    <row r="141">
      <c r="A141" s="7">
        <v>140.0</v>
      </c>
      <c r="B141" s="6" t="s">
        <v>663</v>
      </c>
      <c r="C141" s="6" t="s">
        <v>664</v>
      </c>
      <c r="D141" s="6" t="s">
        <v>665</v>
      </c>
      <c r="E141" s="6" t="s">
        <v>666</v>
      </c>
      <c r="F141" s="6" t="s">
        <v>667</v>
      </c>
      <c r="G141" s="6" t="s">
        <v>725</v>
      </c>
      <c r="H141" s="6" t="s">
        <v>719</v>
      </c>
      <c r="I141" s="6"/>
      <c r="J141" s="6"/>
      <c r="K141" s="7">
        <v>140.0</v>
      </c>
      <c r="L141" s="6" t="str">
        <f>IFERROR(__xludf.DUMMYFUNCTION("GOOGLETRANSLATE(B141,""en"",""ur"")"),"پس منظر میں دیگر کھلاڑیوں کے بارے میں ایک قابل ذکر تفصیل کیا ہے؟")</f>
        <v>پس منظر میں دیگر کھلاڑیوں کے بارے میں ایک قابل ذکر تفصیل کیا ہے؟</v>
      </c>
      <c r="M141" s="6"/>
      <c r="N141" s="8" t="str">
        <f>IFERROR(__xludf.DUMMYFUNCTION("GOOGLETRANSLATE(D141,""en"",""ur"")"),"وہ سب ادھر ادھر بھاگ رہے ہیں۔")</f>
        <v>وہ سب ادھر ادھر بھاگ رہے ہیں۔</v>
      </c>
      <c r="O141" s="6" t="str">
        <f>IFERROR(__xludf.DUMMYFUNCTION("GOOGLETRANSLATE(E141,""en"",""ur"")"),"وہ ایک دفاعی، تیار موقف میں ہیں۔")</f>
        <v>وہ ایک دفاعی، تیار موقف میں ہیں۔</v>
      </c>
      <c r="P141" s="6" t="str">
        <f>IFERROR(__xludf.DUMMYFUNCTION("GOOGLETRANSLATE(F141,""en"",""ur"")"),"وہ سب لہرا رہے ہیں۔")</f>
        <v>وہ سب لہرا رہے ہیں۔</v>
      </c>
      <c r="Q141" s="6" t="s">
        <v>668</v>
      </c>
      <c r="R141" s="6" t="str">
        <f>IFERROR(__xludf.DUMMYFUNCTION("GOOGLETRANSLATE(G141,""en"",""ur"")"),"وہ سب کھڑے کھڑے دیکھ رہے ہیں۔")</f>
        <v>وہ سب کھڑے کھڑے دیکھ رہے ہیں۔</v>
      </c>
      <c r="S141" s="6" t="s">
        <v>719</v>
      </c>
      <c r="T141" s="6"/>
      <c r="U141" s="6"/>
      <c r="V141" s="6"/>
      <c r="W141" s="6"/>
      <c r="X141" s="6"/>
      <c r="Y141" s="6"/>
      <c r="Z141" s="6"/>
      <c r="AA141" s="6"/>
    </row>
    <row r="142">
      <c r="A142" s="7">
        <v>141.0</v>
      </c>
      <c r="B142" s="6" t="s">
        <v>726</v>
      </c>
      <c r="C142" s="6" t="s">
        <v>690</v>
      </c>
      <c r="D142" s="6" t="s">
        <v>727</v>
      </c>
      <c r="E142" s="6" t="s">
        <v>633</v>
      </c>
      <c r="F142" s="6" t="s">
        <v>634</v>
      </c>
      <c r="G142" s="6" t="s">
        <v>727</v>
      </c>
      <c r="H142" s="6" t="s">
        <v>728</v>
      </c>
      <c r="I142" s="6"/>
      <c r="J142" s="6"/>
      <c r="K142" s="7">
        <v>141.0</v>
      </c>
      <c r="L142" s="6" t="str">
        <f>IFERROR(__xludf.DUMMYFUNCTION("GOOGLETRANSLATE(B142,""en"",""ur"")"),"گلی_ڈنڈا_16 میں مرکزی ایکشن کیا دکھایا گیا ہے؟")</f>
        <v>گلی_ڈنڈا_16 میں مرکزی ایکشن کیا دکھایا گیا ہے؟</v>
      </c>
      <c r="M142" s="6"/>
      <c r="N142" s="8" t="str">
        <f>IFERROR(__xludf.DUMMYFUNCTION("GOOGLETRANSLATE(D142,""en"",""ur"")"),"کھیل کے دو ٹکڑوں کا قریبی اپ")</f>
        <v>کھیل کے دو ٹکڑوں کا قریبی اپ</v>
      </c>
      <c r="O142" s="6" t="str">
        <f>IFERROR(__xludf.DUMMYFUNCTION("GOOGLETRANSLATE(E142,""en"",""ur"")"),"ایک کھلاڑی گیند کی خدمت کر رہا ہے۔")</f>
        <v>ایک کھلاڑی گیند کی خدمت کر رہا ہے۔</v>
      </c>
      <c r="P142" s="6" t="str">
        <f>IFERROR(__xludf.DUMMYFUNCTION("GOOGLETRANSLATE(F142,""en"",""ur"")"),"ایک کھلاڑی دفاعی بلاک کا مظاہرہ کر رہا ہے۔")</f>
        <v>ایک کھلاڑی دفاعی بلاک کا مظاہرہ کر رہا ہے۔</v>
      </c>
      <c r="Q142" s="6" t="s">
        <v>729</v>
      </c>
      <c r="R142" s="6" t="str">
        <f>IFERROR(__xludf.DUMMYFUNCTION("GOOGLETRANSLATE(G142,""en"",""ur"")"),"کھیل کے دو ٹکڑوں کا قریبی اپ")</f>
        <v>کھیل کے دو ٹکڑوں کا قریبی اپ</v>
      </c>
      <c r="S142" s="6" t="s">
        <v>728</v>
      </c>
      <c r="T142" s="6"/>
      <c r="U142" s="6"/>
      <c r="V142" s="6"/>
      <c r="W142" s="6"/>
      <c r="X142" s="6"/>
      <c r="Y142" s="6"/>
      <c r="Z142" s="6"/>
      <c r="AA142" s="6"/>
    </row>
    <row r="143">
      <c r="A143" s="7">
        <v>142.0</v>
      </c>
      <c r="B143" s="6" t="s">
        <v>730</v>
      </c>
      <c r="C143" s="6" t="s">
        <v>637</v>
      </c>
      <c r="D143" s="6" t="s">
        <v>638</v>
      </c>
      <c r="E143" s="6" t="s">
        <v>639</v>
      </c>
      <c r="F143" s="6" t="s">
        <v>640</v>
      </c>
      <c r="G143" s="6" t="s">
        <v>638</v>
      </c>
      <c r="H143" s="6" t="s">
        <v>728</v>
      </c>
      <c r="I143" s="6"/>
      <c r="J143" s="6"/>
      <c r="K143" s="7">
        <v>142.0</v>
      </c>
      <c r="L143" s="6" t="str">
        <f>IFERROR(__xludf.DUMMYFUNCTION("GOOGLETRANSLATE(B143,""en"",""ur"")"),"سامان کے دو ٹکڑے کیا دکھائے گئے ہیں؟")</f>
        <v>سامان کے دو ٹکڑے کیا دکھائے گئے ہیں؟</v>
      </c>
      <c r="M143" s="6"/>
      <c r="N143" s="8" t="str">
        <f>IFERROR(__xludf.DUMMYFUNCTION("GOOGLETRANSLATE(D143,""en"",""ur"")"),"ایک لمبی چھڑی (ڈنڈا) اور ایک چھوٹی چھڑی (گلی)")</f>
        <v>ایک لمبی چھڑی (ڈنڈا) اور ایک چھوٹی چھڑی (گلی)</v>
      </c>
      <c r="O143" s="6" t="str">
        <f>IFERROR(__xludf.DUMMYFUNCTION("GOOGLETRANSLATE(E143,""en"",""ur"")"),"ایک ریکیٹ اور ایک شٹل کاک")</f>
        <v>ایک ریکیٹ اور ایک شٹل کاک</v>
      </c>
      <c r="P143" s="6" t="str">
        <f>IFERROR(__xludf.DUMMYFUNCTION("GOOGLETRANSLATE(F143,""en"",""ur"")"),"ایک چمگادڑ اور ایک دستانہ")</f>
        <v>ایک چمگادڑ اور ایک دستانہ</v>
      </c>
      <c r="Q143" s="6" t="s">
        <v>641</v>
      </c>
      <c r="R143" s="6" t="str">
        <f>IFERROR(__xludf.DUMMYFUNCTION("GOOGLETRANSLATE(G143,""en"",""ur"")"),"ایک لمبی چھڑی (ڈنڈا) اور ایک چھوٹی چھڑی (گلی)")</f>
        <v>ایک لمبی چھڑی (ڈنڈا) اور ایک چھوٹی چھڑی (گلی)</v>
      </c>
      <c r="S143" s="6" t="s">
        <v>728</v>
      </c>
      <c r="T143" s="6"/>
      <c r="U143" s="6"/>
      <c r="V143" s="6"/>
      <c r="W143" s="6"/>
      <c r="X143" s="6"/>
      <c r="Y143" s="6"/>
      <c r="Z143" s="6"/>
      <c r="AA143" s="6"/>
    </row>
    <row r="144">
      <c r="A144" s="7">
        <v>143.0</v>
      </c>
      <c r="B144" s="6" t="s">
        <v>731</v>
      </c>
      <c r="C144" s="6" t="s">
        <v>732</v>
      </c>
      <c r="D144" s="6" t="s">
        <v>733</v>
      </c>
      <c r="E144" s="6" t="s">
        <v>734</v>
      </c>
      <c r="F144" s="6" t="s">
        <v>735</v>
      </c>
      <c r="G144" s="6" t="s">
        <v>733</v>
      </c>
      <c r="H144" s="6" t="s">
        <v>728</v>
      </c>
      <c r="I144" s="6"/>
      <c r="J144" s="6"/>
      <c r="K144" s="7">
        <v>143.0</v>
      </c>
      <c r="L144" s="6" t="str">
        <f>IFERROR(__xludf.DUMMYFUNCTION("GOOGLETRANSLATE(B144,""en"",""ur"")"),"مختصر چھڑی (گلی) کے بارے میں ایک قابل ذکر تفصیل کیا ہے؟")</f>
        <v>مختصر چھڑی (گلی) کے بارے میں ایک قابل ذکر تفصیل کیا ہے؟</v>
      </c>
      <c r="M144" s="6"/>
      <c r="N144" s="8" t="str">
        <f>IFERROR(__xludf.DUMMYFUNCTION("GOOGLETRANSLATE(D144,""en"",""ur"")"),"اس کے نوک دار یا مخروطی سرے ہوتے ہیں۔")</f>
        <v>اس کے نوک دار یا مخروطی سرے ہوتے ہیں۔</v>
      </c>
      <c r="O144" s="6" t="str">
        <f>IFERROR(__xludf.DUMMYFUNCTION("GOOGLETRANSLATE(E144,""en"",""ur"")"),"یہ ایک لمبی، پتلی چھڑی ہے۔")</f>
        <v>یہ ایک لمبی، پتلی چھڑی ہے۔</v>
      </c>
      <c r="P144" s="6" t="str">
        <f>IFERROR(__xludf.DUMMYFUNCTION("GOOGLETRANSLATE(F144,""en"",""ur"")"),"یہ ایک فلیٹ ڈسک ہے۔")</f>
        <v>یہ ایک فلیٹ ڈسک ہے۔</v>
      </c>
      <c r="Q144" s="6" t="s">
        <v>736</v>
      </c>
      <c r="R144" s="6" t="str">
        <f>IFERROR(__xludf.DUMMYFUNCTION("GOOGLETRANSLATE(G144,""en"",""ur"")"),"اس کے نوک دار یا مخروطی سرے ہوتے ہیں۔")</f>
        <v>اس کے نوک دار یا مخروطی سرے ہوتے ہیں۔</v>
      </c>
      <c r="S144" s="6" t="s">
        <v>728</v>
      </c>
      <c r="T144" s="6"/>
      <c r="U144" s="6"/>
      <c r="V144" s="6"/>
      <c r="W144" s="6"/>
      <c r="X144" s="6"/>
      <c r="Y144" s="6"/>
      <c r="Z144" s="6"/>
      <c r="AA144" s="6"/>
    </row>
    <row r="145">
      <c r="A145" s="7">
        <v>144.0</v>
      </c>
      <c r="B145" s="6" t="s">
        <v>737</v>
      </c>
      <c r="C145" s="6" t="s">
        <v>738</v>
      </c>
      <c r="D145" s="6" t="s">
        <v>739</v>
      </c>
      <c r="E145" s="6" t="s">
        <v>740</v>
      </c>
      <c r="F145" s="6" t="s">
        <v>741</v>
      </c>
      <c r="G145" s="6" t="s">
        <v>739</v>
      </c>
      <c r="H145" s="6" t="s">
        <v>728</v>
      </c>
      <c r="I145" s="6"/>
      <c r="J145" s="6"/>
      <c r="K145" s="7">
        <v>144.0</v>
      </c>
      <c r="L145" s="6" t="str">
        <f>IFERROR(__xludf.DUMMYFUNCTION("GOOGLETRANSLATE(B145,""en"",""ur"")"),"گلی کے نوکیلے سروں کا ظاہری مقصد کیا ہے؟")</f>
        <v>گلی کے نوکیلے سروں کا ظاہری مقصد کیا ہے؟</v>
      </c>
      <c r="M145" s="6"/>
      <c r="N145" s="8" t="str">
        <f>IFERROR(__xludf.DUMMYFUNCTION("GOOGLETRANSLATE(D145,""en"",""ur"")"),"تاکہ اسے مارنا آسان ہو اور اسے ہوا میں چھلانگ لگانا")</f>
        <v>تاکہ اسے مارنا آسان ہو اور اسے ہوا میں چھلانگ لگانا</v>
      </c>
      <c r="O145" s="6" t="str">
        <f>IFERROR(__xludf.DUMMYFUNCTION("GOOGLETRANSLATE(E145,""en"",""ur"")"),"تاکہ اسے پکڑنا مشکل ہو جائے۔")</f>
        <v>تاکہ اسے پکڑنا مشکل ہو جائے۔</v>
      </c>
      <c r="P145" s="6" t="str">
        <f>IFERROR(__xludf.DUMMYFUNCTION("GOOGLETRANSLATE(F145,""en"",""ur"")"),"اسے بھاری بنانے کے لیے")</f>
        <v>اسے بھاری بنانے کے لیے</v>
      </c>
      <c r="Q145" s="6" t="s">
        <v>742</v>
      </c>
      <c r="R145" s="6" t="str">
        <f>IFERROR(__xludf.DUMMYFUNCTION("GOOGLETRANSLATE(G145,""en"",""ur"")"),"تاکہ اسے مارنا آسان ہو اور اسے ہوا میں چھلانگ لگانا")</f>
        <v>تاکہ اسے مارنا آسان ہو اور اسے ہوا میں چھلانگ لگانا</v>
      </c>
      <c r="S145" s="6" t="s">
        <v>728</v>
      </c>
      <c r="T145" s="6"/>
      <c r="U145" s="6"/>
      <c r="V145" s="6"/>
      <c r="W145" s="6"/>
      <c r="X145" s="6"/>
      <c r="Y145" s="6"/>
      <c r="Z145" s="6"/>
      <c r="AA145" s="6"/>
    </row>
    <row r="146">
      <c r="A146" s="7">
        <v>145.0</v>
      </c>
      <c r="B146" s="6" t="s">
        <v>743</v>
      </c>
      <c r="C146" s="6" t="s">
        <v>744</v>
      </c>
      <c r="D146" s="6" t="s">
        <v>745</v>
      </c>
      <c r="E146" s="6" t="s">
        <v>19</v>
      </c>
      <c r="F146" s="6" t="s">
        <v>746</v>
      </c>
      <c r="G146" s="6" t="s">
        <v>745</v>
      </c>
      <c r="H146" s="6" t="s">
        <v>728</v>
      </c>
      <c r="I146" s="6"/>
      <c r="J146" s="6"/>
      <c r="K146" s="7">
        <v>145.0</v>
      </c>
      <c r="L146" s="6" t="str">
        <f>IFERROR(__xludf.DUMMYFUNCTION("GOOGLETRANSLATE(B146,""en"",""ur"")"),"لاٹھیوں کی سب سے نمایاں خصوصیت کیا ہے؟")</f>
        <v>لاٹھیوں کی سب سے نمایاں خصوصیت کیا ہے؟</v>
      </c>
      <c r="M146" s="6"/>
      <c r="N146" s="8" t="str">
        <f>IFERROR(__xludf.DUMMYFUNCTION("GOOGLETRANSLATE(D146,""en"",""ur"")"),"وہ لکڑی سے بنے ہیں۔")</f>
        <v>وہ لکڑی سے بنے ہیں۔</v>
      </c>
      <c r="O146" s="6" t="str">
        <f>IFERROR(__xludf.DUMMYFUNCTION("GOOGLETRANSLATE(E146,""en"",""ur"")"),"وہ پلاسٹک سے بنے ہیں۔")</f>
        <v>وہ پلاسٹک سے بنے ہیں۔</v>
      </c>
      <c r="P146" s="6" t="str">
        <f>IFERROR(__xludf.DUMMYFUNCTION("GOOGLETRANSLATE(F146,""en"",""ur"")"),"وہ شیشے سے بنے ہیں۔")</f>
        <v>وہ شیشے سے بنے ہیں۔</v>
      </c>
      <c r="Q146" s="6" t="s">
        <v>747</v>
      </c>
      <c r="R146" s="6" t="str">
        <f>IFERROR(__xludf.DUMMYFUNCTION("GOOGLETRANSLATE(G146,""en"",""ur"")"),"وہ لکڑی سے بنے ہیں۔")</f>
        <v>وہ لکڑی سے بنے ہیں۔</v>
      </c>
      <c r="S146" s="6" t="s">
        <v>728</v>
      </c>
      <c r="T146" s="6"/>
      <c r="U146" s="6"/>
      <c r="V146" s="6"/>
      <c r="W146" s="6"/>
      <c r="X146" s="6"/>
      <c r="Y146" s="6"/>
      <c r="Z146" s="6"/>
      <c r="AA146" s="6"/>
    </row>
    <row r="147">
      <c r="A147" s="7">
        <v>146.0</v>
      </c>
      <c r="B147" s="6" t="s">
        <v>94</v>
      </c>
      <c r="C147" s="6" t="s">
        <v>95</v>
      </c>
      <c r="D147" s="6" t="s">
        <v>651</v>
      </c>
      <c r="E147" s="6" t="s">
        <v>652</v>
      </c>
      <c r="F147" s="6" t="s">
        <v>653</v>
      </c>
      <c r="G147" s="6" t="s">
        <v>652</v>
      </c>
      <c r="H147" s="6" t="s">
        <v>728</v>
      </c>
      <c r="I147" s="6"/>
      <c r="J147" s="6"/>
      <c r="K147" s="7">
        <v>146.0</v>
      </c>
      <c r="L147" s="6" t="str">
        <f>IFERROR(__xludf.DUMMYFUNCTION("GOOGLETRANSLATE(B147,""en"",""ur"")"),"کھیلے جانے والے کھیل کا نام کیا ہے؟")</f>
        <v>کھیلے جانے والے کھیل کا نام کیا ہے؟</v>
      </c>
      <c r="M147" s="6"/>
      <c r="N147" s="8" t="str">
        <f>IFERROR(__xludf.DUMMYFUNCTION("GOOGLETRANSLATE(D147,""en"",""ur"")"),"کرکٹ")</f>
        <v>کرکٹ</v>
      </c>
      <c r="O147" s="6" t="str">
        <f>IFERROR(__xludf.DUMMYFUNCTION("GOOGLETRANSLATE(E147,""en"",""ur"")"),"گلی ڈنڈا۔")</f>
        <v>گلی ڈنڈا۔</v>
      </c>
      <c r="P147" s="6" t="str">
        <f>IFERROR(__xludf.DUMMYFUNCTION("GOOGLETRANSLATE(F147,""en"",""ur"")"),"بیس بال")</f>
        <v>بیس بال</v>
      </c>
      <c r="Q147" s="6" t="s">
        <v>654</v>
      </c>
      <c r="R147" s="6" t="str">
        <f>IFERROR(__xludf.DUMMYFUNCTION("GOOGLETRANSLATE(G147,""en"",""ur"")"),"گلی ڈنڈا۔")</f>
        <v>گلی ڈنڈا۔</v>
      </c>
      <c r="S147" s="6" t="s">
        <v>728</v>
      </c>
      <c r="T147" s="6"/>
      <c r="U147" s="6"/>
      <c r="V147" s="6"/>
      <c r="W147" s="6"/>
      <c r="X147" s="6"/>
      <c r="Y147" s="6"/>
      <c r="Z147" s="6"/>
      <c r="AA147" s="6"/>
    </row>
    <row r="148">
      <c r="A148" s="7">
        <v>147.0</v>
      </c>
      <c r="B148" s="6" t="s">
        <v>260</v>
      </c>
      <c r="C148" s="6" t="s">
        <v>261</v>
      </c>
      <c r="D148" s="6" t="s">
        <v>262</v>
      </c>
      <c r="E148" s="6" t="s">
        <v>263</v>
      </c>
      <c r="F148" s="6" t="s">
        <v>655</v>
      </c>
      <c r="G148" s="6" t="s">
        <v>655</v>
      </c>
      <c r="H148" s="6" t="s">
        <v>728</v>
      </c>
      <c r="I148" s="6"/>
      <c r="J148" s="6"/>
      <c r="K148" s="7">
        <v>147.0</v>
      </c>
      <c r="L148" s="6" t="str">
        <f>IFERROR(__xludf.DUMMYFUNCTION("GOOGLETRANSLATE(B148,""en"",""ur"")"),"تصویر میں ایکشن ایک ایسا انداز تجویز کرتا ہے جو اس بات پر زور دیتا ہے...")</f>
        <v>تصویر میں ایکشن ایک ایسا انداز تجویز کرتا ہے جو اس بات پر زور دیتا ہے...</v>
      </c>
      <c r="M148" s="6"/>
      <c r="N148" s="8" t="str">
        <f>IFERROR(__xludf.DUMMYFUNCTION("GOOGLETRANSLATE(D148,""en"",""ur"")"),"زمینی لڑائی اور گرفت")</f>
        <v>زمینی لڑائی اور گرفت</v>
      </c>
      <c r="O148" s="6" t="str">
        <f>IFERROR(__xludf.DUMMYFUNCTION("GOOGLETRANSLATE(E148,""en"",""ur"")"),"وحشیانہ قوت اور گھڑ سواری۔")</f>
        <v>وحشیانہ قوت اور گھڑ سواری۔</v>
      </c>
      <c r="P148" s="6" t="str">
        <f>IFERROR(__xludf.DUMMYFUNCTION("GOOGLETRANSLATE(F148,""en"",""ur"")"),"ہاتھ سے آنکھ کو آرڈینیشن اور حیرت انگیز")</f>
        <v>ہاتھ سے آنکھ کو آرڈینیشن اور حیرت انگیز</v>
      </c>
      <c r="Q148" s="6" t="s">
        <v>656</v>
      </c>
      <c r="R148" s="6" t="str">
        <f>IFERROR(__xludf.DUMMYFUNCTION("GOOGLETRANSLATE(G148,""en"",""ur"")"),"ہاتھ سے آنکھ کو آرڈینیشن اور حیرت انگیز")</f>
        <v>ہاتھ سے آنکھ کو آرڈینیشن اور حیرت انگیز</v>
      </c>
      <c r="S148" s="6" t="s">
        <v>728</v>
      </c>
      <c r="T148" s="6"/>
      <c r="U148" s="6"/>
      <c r="V148" s="6"/>
      <c r="W148" s="6"/>
      <c r="X148" s="6"/>
      <c r="Y148" s="6"/>
      <c r="Z148" s="6"/>
      <c r="AA148" s="6"/>
    </row>
    <row r="149">
      <c r="A149" s="7">
        <v>148.0</v>
      </c>
      <c r="B149" s="6" t="s">
        <v>748</v>
      </c>
      <c r="C149" s="6" t="s">
        <v>749</v>
      </c>
      <c r="D149" s="6" t="s">
        <v>750</v>
      </c>
      <c r="E149" s="6" t="s">
        <v>751</v>
      </c>
      <c r="F149" s="6" t="s">
        <v>752</v>
      </c>
      <c r="G149" s="6" t="s">
        <v>750</v>
      </c>
      <c r="H149" s="6" t="s">
        <v>728</v>
      </c>
      <c r="I149" s="6"/>
      <c r="J149" s="6"/>
      <c r="K149" s="7">
        <v>148.0</v>
      </c>
      <c r="L149" s="6" t="str">
        <f>IFERROR(__xludf.DUMMYFUNCTION("GOOGLETRANSLATE(B149,""en"",""ur"")"),"لاٹھیوں کی حالت کے بارے میں ایک قابل ذکر تفصیل کیا ہے؟")</f>
        <v>لاٹھیوں کی حالت کے بارے میں ایک قابل ذکر تفصیل کیا ہے؟</v>
      </c>
      <c r="M149" s="6"/>
      <c r="N149" s="8" t="str">
        <f>IFERROR(__xludf.DUMMYFUNCTION("GOOGLETRANSLATE(D149,""en"",""ur"")"),"وہ پرانے ہیں اور استعمال سے پہنے ہوئے ہیں۔")</f>
        <v>وہ پرانے ہیں اور استعمال سے پہنے ہوئے ہیں۔</v>
      </c>
      <c r="O149" s="6" t="str">
        <f>IFERROR(__xludf.DUMMYFUNCTION("GOOGLETRANSLATE(E149,""en"",""ur"")"),"وہ بہت مختصر ہیں۔")</f>
        <v>وہ بہت مختصر ہیں۔</v>
      </c>
      <c r="P149" s="6" t="str">
        <f>IFERROR(__xludf.DUMMYFUNCTION("GOOGLETRANSLATE(F149,""en"",""ur"")"),"وہ بہت لمبے ہیں۔")</f>
        <v>وہ بہت لمبے ہیں۔</v>
      </c>
      <c r="Q149" s="6" t="s">
        <v>753</v>
      </c>
      <c r="R149" s="6" t="str">
        <f>IFERROR(__xludf.DUMMYFUNCTION("GOOGLETRANSLATE(G149,""en"",""ur"")"),"وہ پرانے ہیں اور استعمال سے پہنے ہوئے ہیں۔")</f>
        <v>وہ پرانے ہیں اور استعمال سے پہنے ہوئے ہیں۔</v>
      </c>
      <c r="S149" s="6" t="s">
        <v>728</v>
      </c>
      <c r="T149" s="6"/>
      <c r="U149" s="6"/>
      <c r="V149" s="6"/>
      <c r="W149" s="6"/>
      <c r="X149" s="6"/>
      <c r="Y149" s="6"/>
      <c r="Z149" s="6"/>
      <c r="AA149" s="6"/>
    </row>
    <row r="150">
      <c r="A150" s="7">
        <v>149.0</v>
      </c>
      <c r="B150" s="6" t="s">
        <v>754</v>
      </c>
      <c r="C150" s="6" t="s">
        <v>755</v>
      </c>
      <c r="D150" s="6" t="s">
        <v>756</v>
      </c>
      <c r="E150" s="6" t="s">
        <v>757</v>
      </c>
      <c r="F150" s="6" t="s">
        <v>758</v>
      </c>
      <c r="G150" s="6" t="s">
        <v>755</v>
      </c>
      <c r="H150" s="6" t="s">
        <v>728</v>
      </c>
      <c r="I150" s="6"/>
      <c r="J150" s="6"/>
      <c r="K150" s="7">
        <v>149.0</v>
      </c>
      <c r="L150" s="6" t="str">
        <f>IFERROR(__xludf.DUMMYFUNCTION("GOOGLETRANSLATE(B150,""en"",""ur"")"),"کھیل کا بنیادی مقصد کیا ہے؟")</f>
        <v>کھیل کا بنیادی مقصد کیا ہے؟</v>
      </c>
      <c r="M150" s="6"/>
      <c r="N150" s="8" t="str">
        <f>IFERROR(__xludf.DUMMYFUNCTION("GOOGLETRANSLATE(D150,""en"",""ur"")"),"گلی کو گول میں مارنا")</f>
        <v>گلی کو گول میں مارنا</v>
      </c>
      <c r="O150" s="6" t="str">
        <f>IFERROR(__xludf.DUMMYFUNCTION("GOOGLETRANSLATE(E150,""en"",""ur"")"),"گیلی کو مخالف پر مارنا")</f>
        <v>گیلی کو مخالف پر مارنا</v>
      </c>
      <c r="P150" s="6" t="str">
        <f>IFERROR(__xludf.DUMMYFUNCTION("GOOGLETRANSLATE(F150,""en"",""ur"")"),"گلی کو جال میں مارنا")</f>
        <v>گلی کو جال میں مارنا</v>
      </c>
      <c r="Q150" s="6" t="s">
        <v>759</v>
      </c>
      <c r="R150" s="6" t="str">
        <f>IFERROR(__xludf.DUMMYFUNCTION("GOOGLETRANSLATE(G150,""en"",""ur"")"),"جہاں تک ممکن ہو گلی کو مار کر پوائنٹس حاصل کرنا")</f>
        <v>جہاں تک ممکن ہو گلی کو مار کر پوائنٹس حاصل کرنا</v>
      </c>
      <c r="S150" s="6" t="s">
        <v>728</v>
      </c>
      <c r="T150" s="6"/>
      <c r="U150" s="6"/>
      <c r="V150" s="6"/>
      <c r="W150" s="6"/>
      <c r="X150" s="6"/>
      <c r="Y150" s="6"/>
      <c r="Z150" s="6"/>
      <c r="AA150" s="6"/>
    </row>
    <row r="151">
      <c r="A151" s="7">
        <v>150.0</v>
      </c>
      <c r="B151" s="6" t="s">
        <v>760</v>
      </c>
      <c r="C151" s="6" t="s">
        <v>761</v>
      </c>
      <c r="D151" s="6" t="s">
        <v>762</v>
      </c>
      <c r="E151" s="6" t="s">
        <v>763</v>
      </c>
      <c r="F151" s="6" t="s">
        <v>734</v>
      </c>
      <c r="G151" s="6" t="s">
        <v>763</v>
      </c>
      <c r="H151" s="6" t="s">
        <v>728</v>
      </c>
      <c r="I151" s="6"/>
      <c r="J151" s="6"/>
      <c r="K151" s="7">
        <v>150.0</v>
      </c>
      <c r="L151" s="6" t="str">
        <f>IFERROR(__xludf.DUMMYFUNCTION("GOOGLETRANSLATE(B151,""en"",""ur"")"),"ڈنڈا کی لمبائی کے بارے میں ایک قابل ذکر تفصیل کیا ہے؟")</f>
        <v>ڈنڈا کی لمبائی کے بارے میں ایک قابل ذکر تفصیل کیا ہے؟</v>
      </c>
      <c r="M151" s="6"/>
      <c r="N151" s="8" t="str">
        <f>IFERROR(__xludf.DUMMYFUNCTION("GOOGLETRANSLATE(D151,""en"",""ur"")"),"یہ بہت مختصر ہے۔")</f>
        <v>یہ بہت مختصر ہے۔</v>
      </c>
      <c r="O151" s="6" t="str">
        <f>IFERROR(__xludf.DUMMYFUNCTION("GOOGLETRANSLATE(E151,""en"",""ur"")"),"یہ درمیانی لمبائی کی چھڑی ہے۔")</f>
        <v>یہ درمیانی لمبائی کی چھڑی ہے۔</v>
      </c>
      <c r="P151" s="6" t="str">
        <f>IFERROR(__xludf.DUMMYFUNCTION("GOOGLETRANSLATE(F151,""en"",""ur"")"),"یہ ایک لمبی، پتلی چھڑی ہے۔")</f>
        <v>یہ ایک لمبی، پتلی چھڑی ہے۔</v>
      </c>
      <c r="Q151" s="6" t="s">
        <v>764</v>
      </c>
      <c r="R151" s="6" t="str">
        <f>IFERROR(__xludf.DUMMYFUNCTION("GOOGLETRANSLATE(G151,""en"",""ur"")"),"یہ درمیانی لمبائی کی چھڑی ہے۔")</f>
        <v>یہ درمیانی لمبائی کی چھڑی ہے۔</v>
      </c>
      <c r="S151" s="6" t="s">
        <v>728</v>
      </c>
      <c r="T151" s="6"/>
      <c r="U151" s="6"/>
      <c r="V151" s="6"/>
      <c r="W151" s="6"/>
      <c r="X151" s="6"/>
      <c r="Y151" s="6"/>
      <c r="Z151" s="6"/>
      <c r="AA151" s="6"/>
    </row>
    <row r="152">
      <c r="A152" s="7">
        <v>151.0</v>
      </c>
      <c r="B152" s="6" t="s">
        <v>765</v>
      </c>
      <c r="C152" s="6" t="s">
        <v>681</v>
      </c>
      <c r="D152" s="6" t="s">
        <v>682</v>
      </c>
      <c r="E152" s="6" t="s">
        <v>683</v>
      </c>
      <c r="F152" s="6" t="s">
        <v>684</v>
      </c>
      <c r="G152" s="6" t="s">
        <v>683</v>
      </c>
      <c r="H152" s="6" t="s">
        <v>766</v>
      </c>
      <c r="I152" s="6"/>
      <c r="J152" s="6"/>
      <c r="K152" s="7">
        <v>151.0</v>
      </c>
      <c r="L152" s="6" t="str">
        <f>IFERROR(__xludf.DUMMYFUNCTION("GOOGLETRANSLATE(B152,""en"",""ur"")"),"گلی_ڈنڈا_17 میں دکھایا گیا اصل عمل کیا ہے؟")</f>
        <v>گلی_ڈنڈا_17 میں دکھایا گیا اصل عمل کیا ہے؟</v>
      </c>
      <c r="M152" s="6"/>
      <c r="N152" s="8" t="str">
        <f>IFERROR(__xludf.DUMMYFUNCTION("GOOGLETRANSLATE(D152,""en"",""ur"")"),"بچوں کا ایک گروپ جو گیند کا کھیل کھیل رہا ہے۔")</f>
        <v>بچوں کا ایک گروپ جو گیند کا کھیل کھیل رہا ہے۔</v>
      </c>
      <c r="O152" s="6" t="str">
        <f>IFERROR(__xludf.DUMMYFUNCTION("GOOGLETRANSLATE(E152,""en"",""ur"")"),"بچوں کا ایک گروپ چھوٹی چھڑی کو بڑی چھڑی سے مار رہا ہے۔")</f>
        <v>بچوں کا ایک گروپ چھوٹی چھڑی کو بڑی چھڑی سے مار رہا ہے۔</v>
      </c>
      <c r="P152" s="6" t="str">
        <f>IFERROR(__xludf.DUMMYFUNCTION("GOOGLETRANSLATE(F152,""en"",""ur"")"),"بچوں کا ایک گروپ چل رہا ہے۔")</f>
        <v>بچوں کا ایک گروپ چل رہا ہے۔</v>
      </c>
      <c r="Q152" s="6" t="s">
        <v>686</v>
      </c>
      <c r="R152" s="6" t="str">
        <f>IFERROR(__xludf.DUMMYFUNCTION("GOOGLETRANSLATE(G152,""en"",""ur"")"),"بچوں کا ایک گروپ چھوٹی چھڑی کو بڑی چھڑی سے مار رہا ہے۔")</f>
        <v>بچوں کا ایک گروپ چھوٹی چھڑی کو بڑی چھڑی سے مار رہا ہے۔</v>
      </c>
      <c r="S152" s="6" t="s">
        <v>766</v>
      </c>
      <c r="T152" s="6"/>
      <c r="U152" s="6"/>
      <c r="V152" s="6"/>
      <c r="W152" s="6"/>
      <c r="X152" s="6"/>
      <c r="Y152" s="6"/>
      <c r="Z152" s="6"/>
      <c r="AA152" s="6"/>
    </row>
    <row r="153">
      <c r="A153" s="7">
        <v>152.0</v>
      </c>
      <c r="B153" s="6" t="s">
        <v>636</v>
      </c>
      <c r="C153" s="6" t="s">
        <v>637</v>
      </c>
      <c r="D153" s="6" t="s">
        <v>638</v>
      </c>
      <c r="E153" s="6" t="s">
        <v>639</v>
      </c>
      <c r="F153" s="6" t="s">
        <v>640</v>
      </c>
      <c r="G153" s="6" t="s">
        <v>638</v>
      </c>
      <c r="H153" s="6" t="s">
        <v>766</v>
      </c>
      <c r="I153" s="6"/>
      <c r="J153" s="6"/>
      <c r="K153" s="7">
        <v>152.0</v>
      </c>
      <c r="L153" s="6" t="str">
        <f>IFERROR(__xludf.DUMMYFUNCTION("GOOGLETRANSLATE(B153,""en"",""ur"")"),"کھیل میں استعمال ہونے والے آلات کے دو ٹکڑے کیا ہیں؟")</f>
        <v>کھیل میں استعمال ہونے والے آلات کے دو ٹکڑے کیا ہیں؟</v>
      </c>
      <c r="M153" s="6"/>
      <c r="N153" s="8" t="str">
        <f>IFERROR(__xludf.DUMMYFUNCTION("GOOGLETRANSLATE(D153,""en"",""ur"")"),"ایک لمبی چھڑی (ڈنڈا) اور ایک چھوٹی چھڑی (گلی)")</f>
        <v>ایک لمبی چھڑی (ڈنڈا) اور ایک چھوٹی چھڑی (گلی)</v>
      </c>
      <c r="O153" s="6" t="str">
        <f>IFERROR(__xludf.DUMMYFUNCTION("GOOGLETRANSLATE(E153,""en"",""ur"")"),"ایک ریکیٹ اور ایک شٹل کاک")</f>
        <v>ایک ریکیٹ اور ایک شٹل کاک</v>
      </c>
      <c r="P153" s="6" t="str">
        <f>IFERROR(__xludf.DUMMYFUNCTION("GOOGLETRANSLATE(F153,""en"",""ur"")"),"ایک چمگادڑ اور ایک دستانہ")</f>
        <v>ایک چمگادڑ اور ایک دستانہ</v>
      </c>
      <c r="Q153" s="6" t="s">
        <v>641</v>
      </c>
      <c r="R153" s="6" t="str">
        <f>IFERROR(__xludf.DUMMYFUNCTION("GOOGLETRANSLATE(G153,""en"",""ur"")"),"ایک لمبی چھڑی (ڈنڈا) اور ایک چھوٹی چھڑی (گلی)")</f>
        <v>ایک لمبی چھڑی (ڈنڈا) اور ایک چھوٹی چھڑی (گلی)</v>
      </c>
      <c r="S153" s="6" t="s">
        <v>766</v>
      </c>
      <c r="T153" s="6"/>
      <c r="U153" s="6"/>
      <c r="V153" s="6"/>
      <c r="W153" s="6"/>
      <c r="X153" s="6"/>
      <c r="Y153" s="6"/>
      <c r="Z153" s="6"/>
      <c r="AA153" s="6"/>
    </row>
    <row r="154">
      <c r="A154" s="7">
        <v>153.0</v>
      </c>
      <c r="B154" s="6" t="s">
        <v>767</v>
      </c>
      <c r="C154" s="6" t="s">
        <v>664</v>
      </c>
      <c r="D154" s="6" t="s">
        <v>665</v>
      </c>
      <c r="E154" s="6" t="s">
        <v>768</v>
      </c>
      <c r="F154" s="6" t="s">
        <v>667</v>
      </c>
      <c r="G154" s="6" t="s">
        <v>768</v>
      </c>
      <c r="H154" s="6" t="s">
        <v>766</v>
      </c>
      <c r="I154" s="6"/>
      <c r="J154" s="6"/>
      <c r="K154" s="7">
        <v>153.0</v>
      </c>
      <c r="L154" s="6" t="str">
        <f>IFERROR(__xludf.DUMMYFUNCTION("GOOGLETRANSLATE(B154,""en"",""ur"")"),"کھلاڑیوں کے بارے میں ایک قابل ذکر تفصیل کیا ہے؟")</f>
        <v>کھلاڑیوں کے بارے میں ایک قابل ذکر تفصیل کیا ہے؟</v>
      </c>
      <c r="M154" s="6"/>
      <c r="N154" s="8" t="str">
        <f>IFERROR(__xludf.DUMMYFUNCTION("GOOGLETRANSLATE(D154,""en"",""ur"")"),"وہ سب ادھر ادھر بھاگ رہے ہیں۔")</f>
        <v>وہ سب ادھر ادھر بھاگ رہے ہیں۔</v>
      </c>
      <c r="O154" s="6" t="str">
        <f>IFERROR(__xludf.DUMMYFUNCTION("GOOGLETRANSLATE(E154,""en"",""ur"")"),"وہ پست، جھکنے والے موقف میں ہیں، حملہ کرنے یا پکڑنے کی تیاری کر رہے ہیں۔")</f>
        <v>وہ پست، جھکنے والے موقف میں ہیں، حملہ کرنے یا پکڑنے کی تیاری کر رہے ہیں۔</v>
      </c>
      <c r="P154" s="6" t="str">
        <f>IFERROR(__xludf.DUMMYFUNCTION("GOOGLETRANSLATE(F154,""en"",""ur"")"),"وہ سب لہرا رہے ہیں۔")</f>
        <v>وہ سب لہرا رہے ہیں۔</v>
      </c>
      <c r="Q154" s="6" t="s">
        <v>769</v>
      </c>
      <c r="R154" s="6" t="str">
        <f>IFERROR(__xludf.DUMMYFUNCTION("GOOGLETRANSLATE(G154,""en"",""ur"")"),"وہ پست، جھکنے والے موقف میں ہیں، حملہ کرنے یا پکڑنے کی تیاری کر رہے ہیں۔")</f>
        <v>وہ پست، جھکنے والے موقف میں ہیں، حملہ کرنے یا پکڑنے کی تیاری کر رہے ہیں۔</v>
      </c>
      <c r="S154" s="6" t="s">
        <v>766</v>
      </c>
      <c r="T154" s="6"/>
      <c r="U154" s="6"/>
      <c r="V154" s="6"/>
      <c r="W154" s="6"/>
      <c r="X154" s="6"/>
      <c r="Y154" s="6"/>
      <c r="Z154" s="6"/>
      <c r="AA154" s="6"/>
    </row>
    <row r="155">
      <c r="A155" s="7">
        <v>154.0</v>
      </c>
      <c r="B155" s="6" t="s">
        <v>645</v>
      </c>
      <c r="C155" s="6" t="s">
        <v>422</v>
      </c>
      <c r="D155" s="6" t="s">
        <v>646</v>
      </c>
      <c r="E155" s="6" t="s">
        <v>647</v>
      </c>
      <c r="F155" s="6" t="s">
        <v>425</v>
      </c>
      <c r="G155" s="6" t="s">
        <v>647</v>
      </c>
      <c r="H155" s="6" t="s">
        <v>766</v>
      </c>
      <c r="I155" s="6"/>
      <c r="J155" s="6"/>
      <c r="K155" s="7">
        <v>154.0</v>
      </c>
      <c r="L155" s="6" t="str">
        <f>IFERROR(__xludf.DUMMYFUNCTION("GOOGLETRANSLATE(B155,""en"",""ur"")"),"کھیل کی ظاہری ترتیب کیا ہے؟")</f>
        <v>کھیل کی ظاہری ترتیب کیا ہے؟</v>
      </c>
      <c r="M155" s="6"/>
      <c r="N155" s="8" t="str">
        <f>IFERROR(__xludf.DUMMYFUNCTION("GOOGLETRANSLATE(D155,""en"",""ur"")"),"شہر کی ایک گلی")</f>
        <v>شہر کی ایک گلی</v>
      </c>
      <c r="O155" s="6" t="str">
        <f>IFERROR(__xludf.DUMMYFUNCTION("GOOGLETRANSLATE(E155,""en"",""ur"")"),"ایک بیرونی گندگی کا میدان")</f>
        <v>ایک بیرونی گندگی کا میدان</v>
      </c>
      <c r="P155" s="6" t="str">
        <f>IFERROR(__xludf.DUMMYFUNCTION("GOOGLETRANSLATE(F155,""en"",""ur"")"),"گھاس کا میدان")</f>
        <v>گھاس کا میدان</v>
      </c>
      <c r="Q155" s="6" t="s">
        <v>648</v>
      </c>
      <c r="R155" s="6" t="str">
        <f>IFERROR(__xludf.DUMMYFUNCTION("GOOGLETRANSLATE(G155,""en"",""ur"")"),"ایک بیرونی گندگی کا میدان")</f>
        <v>ایک بیرونی گندگی کا میدان</v>
      </c>
      <c r="S155" s="6" t="s">
        <v>766</v>
      </c>
      <c r="T155" s="6"/>
      <c r="U155" s="6"/>
      <c r="V155" s="6"/>
      <c r="W155" s="6"/>
      <c r="X155" s="6"/>
      <c r="Y155" s="6"/>
      <c r="Z155" s="6"/>
      <c r="AA155" s="6"/>
    </row>
    <row r="156">
      <c r="A156" s="7">
        <v>155.0</v>
      </c>
      <c r="B156" s="6" t="s">
        <v>46</v>
      </c>
      <c r="C156" s="6" t="s">
        <v>47</v>
      </c>
      <c r="D156" s="6" t="s">
        <v>48</v>
      </c>
      <c r="E156" s="6" t="s">
        <v>49</v>
      </c>
      <c r="F156" s="6" t="s">
        <v>50</v>
      </c>
      <c r="G156" s="6" t="s">
        <v>50</v>
      </c>
      <c r="H156" s="6" t="s">
        <v>766</v>
      </c>
      <c r="I156" s="6"/>
      <c r="J156" s="6"/>
      <c r="K156" s="7">
        <v>155.0</v>
      </c>
      <c r="L156" s="6" t="str">
        <f>IFERROR(__xludf.DUMMYFUNCTION("GOOGLETRANSLATE(B156,""en"",""ur"")"),"کھلاڑیوں کے چہروں سے ظاہری جذبات کیا ہیں؟")</f>
        <v>کھلاڑیوں کے چہروں سے ظاہری جذبات کیا ہیں؟</v>
      </c>
      <c r="M156" s="6"/>
      <c r="N156" s="8" t="str">
        <f>IFERROR(__xludf.DUMMYFUNCTION("GOOGLETRANSLATE(D156,""en"",""ur"")"),"خوف زدہ اور بے چین")</f>
        <v>خوف زدہ اور بے چین</v>
      </c>
      <c r="O156" s="6" t="str">
        <f>IFERROR(__xludf.DUMMYFUNCTION("GOOGLETRANSLATE(E156,""en"",""ur"")"),"کشیدہ اور شدید")</f>
        <v>کشیدہ اور شدید</v>
      </c>
      <c r="P156" s="6" t="str">
        <f>IFERROR(__xludf.DUMMYFUNCTION("GOOGLETRANSLATE(F156,""en"",""ur"")"),"خوش اور مسکراتے ہوئے۔")</f>
        <v>خوش اور مسکراتے ہوئے۔</v>
      </c>
      <c r="Q156" s="6" t="s">
        <v>649</v>
      </c>
      <c r="R156" s="6" t="str">
        <f>IFERROR(__xludf.DUMMYFUNCTION("GOOGLETRANSLATE(G156,""en"",""ur"")"),"خوش اور مسکراتے ہوئے۔")</f>
        <v>خوش اور مسکراتے ہوئے۔</v>
      </c>
      <c r="S156" s="6" t="s">
        <v>766</v>
      </c>
      <c r="T156" s="6"/>
      <c r="U156" s="6"/>
      <c r="V156" s="6"/>
      <c r="W156" s="6"/>
      <c r="X156" s="6"/>
      <c r="Y156" s="6"/>
      <c r="Z156" s="6"/>
      <c r="AA156" s="6"/>
    </row>
    <row r="157">
      <c r="A157" s="7">
        <v>156.0</v>
      </c>
      <c r="B157" s="6" t="s">
        <v>88</v>
      </c>
      <c r="C157" s="6" t="s">
        <v>89</v>
      </c>
      <c r="D157" s="6" t="s">
        <v>90</v>
      </c>
      <c r="E157" s="6" t="s">
        <v>91</v>
      </c>
      <c r="F157" s="6" t="s">
        <v>255</v>
      </c>
      <c r="G157" s="6" t="s">
        <v>255</v>
      </c>
      <c r="H157" s="6" t="s">
        <v>766</v>
      </c>
      <c r="I157" s="6"/>
      <c r="J157" s="6"/>
      <c r="K157" s="7">
        <v>156.0</v>
      </c>
      <c r="L157" s="6" t="str">
        <f>IFERROR(__xludf.DUMMYFUNCTION("GOOGLETRANSLATE(B157,""en"",""ur"")"),"زمین کی سب سے نمایاں خصوصیت کیا ہے؟")</f>
        <v>زمین کی سب سے نمایاں خصوصیت کیا ہے؟</v>
      </c>
      <c r="M157" s="6"/>
      <c r="N157" s="8" t="str">
        <f>IFERROR(__xludf.DUMMYFUNCTION("GOOGLETRANSLATE(D157,""en"",""ur"")"),"کیچڑ والا میدان")</f>
        <v>کیچڑ والا میدان</v>
      </c>
      <c r="O157" s="6" t="str">
        <f>IFERROR(__xludf.DUMMYFUNCTION("GOOGLETRANSLATE(E157,""en"",""ur"")"),"ایک گھاس دار سطح")</f>
        <v>ایک گھاس دار سطح</v>
      </c>
      <c r="P157" s="6" t="str">
        <f>IFERROR(__xludf.DUMMYFUNCTION("GOOGLETRANSLATE(F157,""en"",""ur"")"),"ریتلی یا گندگی کی سطح")</f>
        <v>ریتلی یا گندگی کی سطح</v>
      </c>
      <c r="Q157" s="6" t="s">
        <v>688</v>
      </c>
      <c r="R157" s="6" t="str">
        <f>IFERROR(__xludf.DUMMYFUNCTION("GOOGLETRANSLATE(G157,""en"",""ur"")"),"ریتلی یا گندگی کی سطح")</f>
        <v>ریتلی یا گندگی کی سطح</v>
      </c>
      <c r="S157" s="6" t="s">
        <v>766</v>
      </c>
      <c r="T157" s="6"/>
      <c r="U157" s="6"/>
      <c r="V157" s="6"/>
      <c r="W157" s="6"/>
      <c r="X157" s="6"/>
      <c r="Y157" s="6"/>
      <c r="Z157" s="6"/>
      <c r="AA157" s="6"/>
    </row>
    <row r="158">
      <c r="A158" s="7">
        <v>157.0</v>
      </c>
      <c r="B158" s="6" t="s">
        <v>94</v>
      </c>
      <c r="C158" s="6" t="s">
        <v>95</v>
      </c>
      <c r="D158" s="6" t="s">
        <v>651</v>
      </c>
      <c r="E158" s="6" t="s">
        <v>652</v>
      </c>
      <c r="F158" s="6" t="s">
        <v>653</v>
      </c>
      <c r="G158" s="6" t="s">
        <v>652</v>
      </c>
      <c r="H158" s="6" t="s">
        <v>766</v>
      </c>
      <c r="I158" s="6"/>
      <c r="J158" s="6"/>
      <c r="K158" s="7">
        <v>157.0</v>
      </c>
      <c r="L158" s="6" t="str">
        <f>IFERROR(__xludf.DUMMYFUNCTION("GOOGLETRANSLATE(B158,""en"",""ur"")"),"کھیلے جانے والے کھیل کا نام کیا ہے؟")</f>
        <v>کھیلے جانے والے کھیل کا نام کیا ہے؟</v>
      </c>
      <c r="M158" s="6"/>
      <c r="N158" s="8" t="str">
        <f>IFERROR(__xludf.DUMMYFUNCTION("GOOGLETRANSLATE(D158,""en"",""ur"")"),"کرکٹ")</f>
        <v>کرکٹ</v>
      </c>
      <c r="O158" s="6" t="str">
        <f>IFERROR(__xludf.DUMMYFUNCTION("GOOGLETRANSLATE(E158,""en"",""ur"")"),"گلی ڈنڈا۔")</f>
        <v>گلی ڈنڈا۔</v>
      </c>
      <c r="P158" s="6" t="str">
        <f>IFERROR(__xludf.DUMMYFUNCTION("GOOGLETRANSLATE(F158,""en"",""ur"")"),"بیس بال")</f>
        <v>بیس بال</v>
      </c>
      <c r="Q158" s="6" t="s">
        <v>654</v>
      </c>
      <c r="R158" s="6" t="str">
        <f>IFERROR(__xludf.DUMMYFUNCTION("GOOGLETRANSLATE(G158,""en"",""ur"")"),"گلی ڈنڈا۔")</f>
        <v>گلی ڈنڈا۔</v>
      </c>
      <c r="S158" s="6" t="s">
        <v>766</v>
      </c>
      <c r="T158" s="6"/>
      <c r="U158" s="6"/>
      <c r="V158" s="6"/>
      <c r="W158" s="6"/>
      <c r="X158" s="6"/>
      <c r="Y158" s="6"/>
      <c r="Z158" s="6"/>
      <c r="AA158" s="6"/>
    </row>
    <row r="159">
      <c r="A159" s="7">
        <v>158.0</v>
      </c>
      <c r="B159" s="6" t="s">
        <v>260</v>
      </c>
      <c r="C159" s="6" t="s">
        <v>261</v>
      </c>
      <c r="D159" s="6" t="s">
        <v>262</v>
      </c>
      <c r="E159" s="6" t="s">
        <v>263</v>
      </c>
      <c r="F159" s="6" t="s">
        <v>655</v>
      </c>
      <c r="G159" s="6" t="s">
        <v>655</v>
      </c>
      <c r="H159" s="6" t="s">
        <v>766</v>
      </c>
      <c r="I159" s="6"/>
      <c r="J159" s="6"/>
      <c r="K159" s="7">
        <v>158.0</v>
      </c>
      <c r="L159" s="6" t="str">
        <f>IFERROR(__xludf.DUMMYFUNCTION("GOOGLETRANSLATE(B159,""en"",""ur"")"),"تصویر میں ایکشن ایک ایسا انداز تجویز کرتا ہے جو اس بات پر زور دیتا ہے...")</f>
        <v>تصویر میں ایکشن ایک ایسا انداز تجویز کرتا ہے جو اس بات پر زور دیتا ہے...</v>
      </c>
      <c r="M159" s="6"/>
      <c r="N159" s="8" t="str">
        <f>IFERROR(__xludf.DUMMYFUNCTION("GOOGLETRANSLATE(D159,""en"",""ur"")"),"زمینی لڑائی اور گرفت")</f>
        <v>زمینی لڑائی اور گرفت</v>
      </c>
      <c r="O159" s="6" t="str">
        <f>IFERROR(__xludf.DUMMYFUNCTION("GOOGLETRANSLATE(E159,""en"",""ur"")"),"وحشیانہ قوت اور گھڑ سواری۔")</f>
        <v>وحشیانہ قوت اور گھڑ سواری۔</v>
      </c>
      <c r="P159" s="6" t="str">
        <f>IFERROR(__xludf.DUMMYFUNCTION("GOOGLETRANSLATE(F159,""en"",""ur"")"),"ہاتھ سے آنکھ کو آرڈینیشن اور حیرت انگیز")</f>
        <v>ہاتھ سے آنکھ کو آرڈینیشن اور حیرت انگیز</v>
      </c>
      <c r="Q159" s="6" t="s">
        <v>656</v>
      </c>
      <c r="R159" s="6" t="str">
        <f>IFERROR(__xludf.DUMMYFUNCTION("GOOGLETRANSLATE(G159,""en"",""ur"")"),"ہاتھ سے آنکھ کو آرڈینیشن اور حیرت انگیز")</f>
        <v>ہاتھ سے آنکھ کو آرڈینیشن اور حیرت انگیز</v>
      </c>
      <c r="S159" s="6" t="s">
        <v>766</v>
      </c>
      <c r="T159" s="6"/>
      <c r="U159" s="6"/>
      <c r="V159" s="6"/>
      <c r="W159" s="6"/>
      <c r="X159" s="6"/>
      <c r="Y159" s="6"/>
      <c r="Z159" s="6"/>
      <c r="AA159" s="6"/>
    </row>
    <row r="160">
      <c r="A160" s="7">
        <v>159.0</v>
      </c>
      <c r="B160" s="6" t="s">
        <v>657</v>
      </c>
      <c r="C160" s="6" t="s">
        <v>658</v>
      </c>
      <c r="D160" s="6" t="s">
        <v>659</v>
      </c>
      <c r="E160" s="6" t="s">
        <v>660</v>
      </c>
      <c r="F160" s="6" t="s">
        <v>661</v>
      </c>
      <c r="G160" s="6" t="s">
        <v>659</v>
      </c>
      <c r="H160" s="6" t="s">
        <v>766</v>
      </c>
      <c r="I160" s="6"/>
      <c r="J160" s="6"/>
      <c r="K160" s="7">
        <v>159.0</v>
      </c>
      <c r="L160" s="6" t="str">
        <f>IFERROR(__xludf.DUMMYFUNCTION("GOOGLETRANSLATE(B160,""en"",""ur"")"),"کھلاڑیوں کے جوتے کے بارے میں ایک قابل ذکر تفصیل کیا ہے؟")</f>
        <v>کھلاڑیوں کے جوتے کے بارے میں ایک قابل ذکر تفصیل کیا ہے؟</v>
      </c>
      <c r="M160" s="6"/>
      <c r="N160" s="8" t="str">
        <f>IFERROR(__xludf.DUMMYFUNCTION("GOOGLETRANSLATE(D160,""en"",""ur"")"),"وہ ننگے پاؤں ہیں۔")</f>
        <v>وہ ننگے پاؤں ہیں۔</v>
      </c>
      <c r="O160" s="6" t="str">
        <f>IFERROR(__xludf.DUMMYFUNCTION("GOOGLETRANSLATE(E160,""en"",""ur"")"),"وہ سینڈل یا فلپ فلاپ پہنے ہوئے ہیں۔")</f>
        <v>وہ سینڈل یا فلپ فلاپ پہنے ہوئے ہیں۔</v>
      </c>
      <c r="P160" s="6" t="str">
        <f>IFERROR(__xludf.DUMMYFUNCTION("GOOGLETRANSLATE(F160,""en"",""ur"")"),"وہ موزے پہنے ہوئے ہیں۔")</f>
        <v>وہ موزے پہنے ہوئے ہیں۔</v>
      </c>
      <c r="Q160" s="6" t="s">
        <v>662</v>
      </c>
      <c r="R160" s="6" t="str">
        <f>IFERROR(__xludf.DUMMYFUNCTION("GOOGLETRANSLATE(G160,""en"",""ur"")"),"وہ ننگے پاؤں ہیں۔")</f>
        <v>وہ ننگے پاؤں ہیں۔</v>
      </c>
      <c r="S160" s="6" t="s">
        <v>766</v>
      </c>
      <c r="T160" s="6"/>
      <c r="U160" s="6"/>
      <c r="V160" s="6"/>
      <c r="W160" s="6"/>
      <c r="X160" s="6"/>
      <c r="Y160" s="6"/>
      <c r="Z160" s="6"/>
      <c r="AA160" s="6"/>
    </row>
    <row r="161">
      <c r="A161" s="7">
        <v>160.0</v>
      </c>
      <c r="B161" s="6" t="s">
        <v>663</v>
      </c>
      <c r="C161" s="6" t="s">
        <v>664</v>
      </c>
      <c r="D161" s="6" t="s">
        <v>665</v>
      </c>
      <c r="E161" s="6" t="s">
        <v>666</v>
      </c>
      <c r="F161" s="6" t="s">
        <v>667</v>
      </c>
      <c r="G161" s="6" t="s">
        <v>725</v>
      </c>
      <c r="H161" s="6" t="s">
        <v>766</v>
      </c>
      <c r="I161" s="6"/>
      <c r="J161" s="6"/>
      <c r="K161" s="7">
        <v>160.0</v>
      </c>
      <c r="L161" s="6" t="str">
        <f>IFERROR(__xludf.DUMMYFUNCTION("GOOGLETRANSLATE(B161,""en"",""ur"")"),"پس منظر میں دیگر کھلاڑیوں کے بارے میں ایک قابل ذکر تفصیل کیا ہے؟")</f>
        <v>پس منظر میں دیگر کھلاڑیوں کے بارے میں ایک قابل ذکر تفصیل کیا ہے؟</v>
      </c>
      <c r="M161" s="6"/>
      <c r="N161" s="8" t="str">
        <f>IFERROR(__xludf.DUMMYFUNCTION("GOOGLETRANSLATE(D161,""en"",""ur"")"),"وہ سب ادھر ادھر بھاگ رہے ہیں۔")</f>
        <v>وہ سب ادھر ادھر بھاگ رہے ہیں۔</v>
      </c>
      <c r="O161" s="6" t="str">
        <f>IFERROR(__xludf.DUMMYFUNCTION("GOOGLETRANSLATE(E161,""en"",""ur"")"),"وہ ایک دفاعی، تیار موقف میں ہیں۔")</f>
        <v>وہ ایک دفاعی، تیار موقف میں ہیں۔</v>
      </c>
      <c r="P161" s="6" t="str">
        <f>IFERROR(__xludf.DUMMYFUNCTION("GOOGLETRANSLATE(F161,""en"",""ur"")"),"وہ سب لہرا رہے ہیں۔")</f>
        <v>وہ سب لہرا رہے ہیں۔</v>
      </c>
      <c r="Q161" s="6" t="s">
        <v>668</v>
      </c>
      <c r="R161" s="6" t="str">
        <f>IFERROR(__xludf.DUMMYFUNCTION("GOOGLETRANSLATE(G161,""en"",""ur"")"),"وہ سب کھڑے کھڑے دیکھ رہے ہیں۔")</f>
        <v>وہ سب کھڑے کھڑے دیکھ رہے ہیں۔</v>
      </c>
      <c r="S161" s="6" t="s">
        <v>766</v>
      </c>
      <c r="T161" s="6"/>
      <c r="U161" s="6"/>
      <c r="V161" s="6"/>
      <c r="W161" s="6"/>
      <c r="X161" s="6"/>
      <c r="Y161" s="6"/>
      <c r="Z161" s="6"/>
      <c r="AA161" s="6"/>
    </row>
    <row r="162">
      <c r="A162" s="7">
        <v>161.0</v>
      </c>
      <c r="B162" s="6" t="s">
        <v>770</v>
      </c>
      <c r="C162" s="6" t="s">
        <v>690</v>
      </c>
      <c r="D162" s="6" t="s">
        <v>632</v>
      </c>
      <c r="E162" s="6" t="s">
        <v>633</v>
      </c>
      <c r="F162" s="6" t="s">
        <v>634</v>
      </c>
      <c r="G162" s="6" t="s">
        <v>632</v>
      </c>
      <c r="H162" s="6" t="s">
        <v>771</v>
      </c>
      <c r="I162" s="6"/>
      <c r="J162" s="6"/>
      <c r="K162" s="7">
        <v>161.0</v>
      </c>
      <c r="L162" s="6" t="str">
        <f>IFERROR(__xludf.DUMMYFUNCTION("GOOGLETRANSLATE(B162,""en"",""ur"")"),"گلی_ڈنڈا_18 میں دکھایا گیا اصل عمل کیا ہے؟")</f>
        <v>گلی_ڈنڈا_18 میں دکھایا گیا اصل عمل کیا ہے؟</v>
      </c>
      <c r="M162" s="6"/>
      <c r="N162" s="8" t="str">
        <f>IFERROR(__xludf.DUMMYFUNCTION("GOOGLETRANSLATE(D162,""en"",""ur"")"),"ایک کھلاڑی چھوٹی چھڑی کو بڑی چھڑی سے مار رہا ہے۔")</f>
        <v>ایک کھلاڑی چھوٹی چھڑی کو بڑی چھڑی سے مار رہا ہے۔</v>
      </c>
      <c r="O162" s="6" t="str">
        <f>IFERROR(__xludf.DUMMYFUNCTION("GOOGLETRANSLATE(E162,""en"",""ur"")"),"ایک کھلاڑی گیند کی خدمت کر رہا ہے۔")</f>
        <v>ایک کھلاڑی گیند کی خدمت کر رہا ہے۔</v>
      </c>
      <c r="P162" s="6" t="str">
        <f>IFERROR(__xludf.DUMMYFUNCTION("GOOGLETRANSLATE(F162,""en"",""ur"")"),"ایک کھلاڑی دفاعی بلاک کا مظاہرہ کر رہا ہے۔")</f>
        <v>ایک کھلاڑی دفاعی بلاک کا مظاہرہ کر رہا ہے۔</v>
      </c>
      <c r="Q162" s="6" t="s">
        <v>671</v>
      </c>
      <c r="R162" s="6" t="str">
        <f>IFERROR(__xludf.DUMMYFUNCTION("GOOGLETRANSLATE(G162,""en"",""ur"")"),"ایک کھلاڑی چھوٹی چھڑی کو بڑی چھڑی سے مار رہا ہے۔")</f>
        <v>ایک کھلاڑی چھوٹی چھڑی کو بڑی چھڑی سے مار رہا ہے۔</v>
      </c>
      <c r="S162" s="6" t="s">
        <v>771</v>
      </c>
      <c r="T162" s="6"/>
      <c r="U162" s="6"/>
      <c r="V162" s="6"/>
      <c r="W162" s="6"/>
      <c r="X162" s="6"/>
      <c r="Y162" s="6"/>
      <c r="Z162" s="6"/>
      <c r="AA162" s="6"/>
    </row>
    <row r="163">
      <c r="A163" s="7">
        <v>162.0</v>
      </c>
      <c r="B163" s="6" t="s">
        <v>636</v>
      </c>
      <c r="C163" s="6" t="s">
        <v>637</v>
      </c>
      <c r="D163" s="6" t="s">
        <v>638</v>
      </c>
      <c r="E163" s="6" t="s">
        <v>639</v>
      </c>
      <c r="F163" s="6" t="s">
        <v>640</v>
      </c>
      <c r="G163" s="6" t="s">
        <v>638</v>
      </c>
      <c r="H163" s="6" t="s">
        <v>771</v>
      </c>
      <c r="I163" s="6"/>
      <c r="J163" s="6"/>
      <c r="K163" s="7">
        <v>162.0</v>
      </c>
      <c r="L163" s="6" t="str">
        <f>IFERROR(__xludf.DUMMYFUNCTION("GOOGLETRANSLATE(B163,""en"",""ur"")"),"کھیل میں استعمال ہونے والے آلات کے دو ٹکڑے کیا ہیں؟")</f>
        <v>کھیل میں استعمال ہونے والے آلات کے دو ٹکڑے کیا ہیں؟</v>
      </c>
      <c r="M163" s="6"/>
      <c r="N163" s="8" t="str">
        <f>IFERROR(__xludf.DUMMYFUNCTION("GOOGLETRANSLATE(D163,""en"",""ur"")"),"ایک لمبی چھڑی (ڈنڈا) اور ایک چھوٹی چھڑی (گلی)")</f>
        <v>ایک لمبی چھڑی (ڈنڈا) اور ایک چھوٹی چھڑی (گلی)</v>
      </c>
      <c r="O163" s="6" t="str">
        <f>IFERROR(__xludf.DUMMYFUNCTION("GOOGLETRANSLATE(E163,""en"",""ur"")"),"ایک ریکیٹ اور ایک شٹل کاک")</f>
        <v>ایک ریکیٹ اور ایک شٹل کاک</v>
      </c>
      <c r="P163" s="6" t="str">
        <f>IFERROR(__xludf.DUMMYFUNCTION("GOOGLETRANSLATE(F163,""en"",""ur"")"),"ایک چمگادڑ اور ایک دستانہ")</f>
        <v>ایک چمگادڑ اور ایک دستانہ</v>
      </c>
      <c r="Q163" s="6" t="s">
        <v>641</v>
      </c>
      <c r="R163" s="6" t="str">
        <f>IFERROR(__xludf.DUMMYFUNCTION("GOOGLETRANSLATE(G163,""en"",""ur"")"),"ایک لمبی چھڑی (ڈنڈا) اور ایک چھوٹی چھڑی (گلی)")</f>
        <v>ایک لمبی چھڑی (ڈنڈا) اور ایک چھوٹی چھڑی (گلی)</v>
      </c>
      <c r="S163" s="6" t="s">
        <v>771</v>
      </c>
      <c r="T163" s="6"/>
      <c r="U163" s="6"/>
      <c r="V163" s="6"/>
      <c r="W163" s="6"/>
      <c r="X163" s="6"/>
      <c r="Y163" s="6"/>
      <c r="Z163" s="6"/>
      <c r="AA163" s="6"/>
    </row>
    <row r="164">
      <c r="A164" s="7">
        <v>163.0</v>
      </c>
      <c r="B164" s="6" t="s">
        <v>687</v>
      </c>
      <c r="C164" s="6" t="s">
        <v>307</v>
      </c>
      <c r="D164" s="6" t="s">
        <v>643</v>
      </c>
      <c r="E164" s="6" t="s">
        <v>311</v>
      </c>
      <c r="F164" s="6" t="s">
        <v>314</v>
      </c>
      <c r="G164" s="6" t="s">
        <v>643</v>
      </c>
      <c r="H164" s="6" t="s">
        <v>771</v>
      </c>
      <c r="I164" s="6"/>
      <c r="J164" s="6"/>
      <c r="K164" s="7">
        <v>163.0</v>
      </c>
      <c r="L164" s="6" t="str">
        <f>IFERROR(__xludf.DUMMYFUNCTION("GOOGLETRANSLATE(B164,""en"",""ur"")"),"پیش منظر میں کھلاڑی کے بارے میں ایک قابل ذکر تفصیل کیا ہے؟")</f>
        <v>پیش منظر میں کھلاڑی کے بارے میں ایک قابل ذکر تفصیل کیا ہے؟</v>
      </c>
      <c r="M164" s="6"/>
      <c r="N164" s="8" t="str">
        <f>IFERROR(__xludf.DUMMYFUNCTION("GOOGLETRANSLATE(D164,""en"",""ur"")"),"وہ ایک پست، جھکائے ہوئے موقف میں ہے، ہڑتال کرنے کی تیاری کر رہا ہے۔")</f>
        <v>وہ ایک پست، جھکائے ہوئے موقف میں ہے، ہڑتال کرنے کی تیاری کر رہا ہے۔</v>
      </c>
      <c r="O164" s="6" t="str">
        <f>IFERROR(__xludf.DUMMYFUNCTION("GOOGLETRANSLATE(E164,""en"",""ur"")"),"وہ سیدھا کھڑا ہے۔")</f>
        <v>وہ سیدھا کھڑا ہے۔</v>
      </c>
      <c r="P164" s="6" t="str">
        <f>IFERROR(__xludf.DUMMYFUNCTION("GOOGLETRANSLATE(F164,""en"",""ur"")"),"وہ آرام سے بیٹھا ہے۔")</f>
        <v>وہ آرام سے بیٹھا ہے۔</v>
      </c>
      <c r="Q164" s="6" t="s">
        <v>644</v>
      </c>
      <c r="R164" s="6" t="str">
        <f>IFERROR(__xludf.DUMMYFUNCTION("GOOGLETRANSLATE(G164,""en"",""ur"")"),"وہ ایک پست، جھکائے ہوئے موقف میں ہے، ہڑتال کرنے کی تیاری کر رہا ہے۔")</f>
        <v>وہ ایک پست، جھکائے ہوئے موقف میں ہے، ہڑتال کرنے کی تیاری کر رہا ہے۔</v>
      </c>
      <c r="S164" s="6" t="s">
        <v>771</v>
      </c>
      <c r="T164" s="6"/>
      <c r="U164" s="6"/>
      <c r="V164" s="6"/>
      <c r="W164" s="6"/>
      <c r="X164" s="6"/>
      <c r="Y164" s="6"/>
      <c r="Z164" s="6"/>
      <c r="AA164" s="6"/>
    </row>
    <row r="165">
      <c r="A165" s="7">
        <v>164.0</v>
      </c>
      <c r="B165" s="6" t="s">
        <v>645</v>
      </c>
      <c r="C165" s="6" t="s">
        <v>422</v>
      </c>
      <c r="D165" s="6" t="s">
        <v>646</v>
      </c>
      <c r="E165" s="6" t="s">
        <v>647</v>
      </c>
      <c r="F165" s="6" t="s">
        <v>425</v>
      </c>
      <c r="G165" s="6" t="s">
        <v>647</v>
      </c>
      <c r="H165" s="6" t="s">
        <v>771</v>
      </c>
      <c r="I165" s="6"/>
      <c r="J165" s="6"/>
      <c r="K165" s="7">
        <v>164.0</v>
      </c>
      <c r="L165" s="6" t="str">
        <f>IFERROR(__xludf.DUMMYFUNCTION("GOOGLETRANSLATE(B165,""en"",""ur"")"),"کھیل کی ظاہری ترتیب کیا ہے؟")</f>
        <v>کھیل کی ظاہری ترتیب کیا ہے؟</v>
      </c>
      <c r="M165" s="6"/>
      <c r="N165" s="8" t="str">
        <f>IFERROR(__xludf.DUMMYFUNCTION("GOOGLETRANSLATE(D165,""en"",""ur"")"),"شہر کی ایک گلی")</f>
        <v>شہر کی ایک گلی</v>
      </c>
      <c r="O165" s="6" t="str">
        <f>IFERROR(__xludf.DUMMYFUNCTION("GOOGLETRANSLATE(E165,""en"",""ur"")"),"ایک بیرونی گندگی کا میدان")</f>
        <v>ایک بیرونی گندگی کا میدان</v>
      </c>
      <c r="P165" s="6" t="str">
        <f>IFERROR(__xludf.DUMMYFUNCTION("GOOGLETRANSLATE(F165,""en"",""ur"")"),"گھاس کا میدان")</f>
        <v>گھاس کا میدان</v>
      </c>
      <c r="Q165" s="6" t="s">
        <v>648</v>
      </c>
      <c r="R165" s="6" t="str">
        <f>IFERROR(__xludf.DUMMYFUNCTION("GOOGLETRANSLATE(G165,""en"",""ur"")"),"ایک بیرونی گندگی کا میدان")</f>
        <v>ایک بیرونی گندگی کا میدان</v>
      </c>
      <c r="S165" s="6" t="s">
        <v>771</v>
      </c>
      <c r="T165" s="6"/>
      <c r="U165" s="6"/>
      <c r="V165" s="6"/>
      <c r="W165" s="6"/>
      <c r="X165" s="6"/>
      <c r="Y165" s="6"/>
      <c r="Z165" s="6"/>
      <c r="AA165" s="6"/>
    </row>
    <row r="166">
      <c r="A166" s="7">
        <v>165.0</v>
      </c>
      <c r="B166" s="6" t="s">
        <v>679</v>
      </c>
      <c r="C166" s="6" t="s">
        <v>47</v>
      </c>
      <c r="D166" s="6" t="s">
        <v>48</v>
      </c>
      <c r="E166" s="6" t="s">
        <v>49</v>
      </c>
      <c r="F166" s="6" t="s">
        <v>50</v>
      </c>
      <c r="G166" s="6" t="s">
        <v>49</v>
      </c>
      <c r="H166" s="6" t="s">
        <v>771</v>
      </c>
      <c r="I166" s="6"/>
      <c r="J166" s="6"/>
      <c r="K166" s="7">
        <v>165.0</v>
      </c>
      <c r="L166" s="6" t="str">
        <f>IFERROR(__xludf.DUMMYFUNCTION("GOOGLETRANSLATE(B166,""en"",""ur"")"),"کھلاڑی کے چہرے سے ظاہری جذبات کیا ہیں؟")</f>
        <v>کھلاڑی کے چہرے سے ظاہری جذبات کیا ہیں؟</v>
      </c>
      <c r="M166" s="6"/>
      <c r="N166" s="8" t="str">
        <f>IFERROR(__xludf.DUMMYFUNCTION("GOOGLETRANSLATE(D166,""en"",""ur"")"),"خوف زدہ اور بے چین")</f>
        <v>خوف زدہ اور بے چین</v>
      </c>
      <c r="O166" s="6" t="str">
        <f>IFERROR(__xludf.DUMMYFUNCTION("GOOGLETRANSLATE(E166,""en"",""ur"")"),"کشیدہ اور شدید")</f>
        <v>کشیدہ اور شدید</v>
      </c>
      <c r="P166" s="6" t="str">
        <f>IFERROR(__xludf.DUMMYFUNCTION("GOOGLETRANSLATE(F166,""en"",""ur"")"),"خوش اور مسکراتے ہوئے۔")</f>
        <v>خوش اور مسکراتے ہوئے۔</v>
      </c>
      <c r="Q166" s="6" t="s">
        <v>649</v>
      </c>
      <c r="R166" s="6" t="str">
        <f>IFERROR(__xludf.DUMMYFUNCTION("GOOGLETRANSLATE(G166,""en"",""ur"")"),"کشیدہ اور شدید")</f>
        <v>کشیدہ اور شدید</v>
      </c>
      <c r="S166" s="6" t="s">
        <v>771</v>
      </c>
      <c r="T166" s="6"/>
      <c r="U166" s="6"/>
      <c r="V166" s="6"/>
      <c r="W166" s="6"/>
      <c r="X166" s="6"/>
      <c r="Y166" s="6"/>
      <c r="Z166" s="6"/>
      <c r="AA166" s="6"/>
    </row>
    <row r="167">
      <c r="A167" s="7">
        <v>166.0</v>
      </c>
      <c r="B167" s="6" t="s">
        <v>88</v>
      </c>
      <c r="C167" s="6" t="s">
        <v>89</v>
      </c>
      <c r="D167" s="6" t="s">
        <v>90</v>
      </c>
      <c r="E167" s="6" t="s">
        <v>91</v>
      </c>
      <c r="F167" s="6" t="s">
        <v>255</v>
      </c>
      <c r="G167" s="6" t="s">
        <v>255</v>
      </c>
      <c r="H167" s="6" t="s">
        <v>771</v>
      </c>
      <c r="I167" s="6"/>
      <c r="J167" s="6"/>
      <c r="K167" s="7">
        <v>166.0</v>
      </c>
      <c r="L167" s="6" t="str">
        <f>IFERROR(__xludf.DUMMYFUNCTION("GOOGLETRANSLATE(B167,""en"",""ur"")"),"زمین کی سب سے نمایاں خصوصیت کیا ہے؟")</f>
        <v>زمین کی سب سے نمایاں خصوصیت کیا ہے؟</v>
      </c>
      <c r="M167" s="6"/>
      <c r="N167" s="8" t="str">
        <f>IFERROR(__xludf.DUMMYFUNCTION("GOOGLETRANSLATE(D167,""en"",""ur"")"),"کیچڑ والا میدان")</f>
        <v>کیچڑ والا میدان</v>
      </c>
      <c r="O167" s="6" t="str">
        <f>IFERROR(__xludf.DUMMYFUNCTION("GOOGLETRANSLATE(E167,""en"",""ur"")"),"ایک گھاس دار سطح")</f>
        <v>ایک گھاس دار سطح</v>
      </c>
      <c r="P167" s="6" t="str">
        <f>IFERROR(__xludf.DUMMYFUNCTION("GOOGLETRANSLATE(F167,""en"",""ur"")"),"ریتلی یا گندگی کی سطح")</f>
        <v>ریتلی یا گندگی کی سطح</v>
      </c>
      <c r="Q167" s="6" t="s">
        <v>688</v>
      </c>
      <c r="R167" s="6" t="str">
        <f>IFERROR(__xludf.DUMMYFUNCTION("GOOGLETRANSLATE(G167,""en"",""ur"")"),"ریتلی یا گندگی کی سطح")</f>
        <v>ریتلی یا گندگی کی سطح</v>
      </c>
      <c r="S167" s="6" t="s">
        <v>771</v>
      </c>
      <c r="T167" s="6"/>
      <c r="U167" s="6"/>
      <c r="V167" s="6"/>
      <c r="W167" s="6"/>
      <c r="X167" s="6"/>
      <c r="Y167" s="6"/>
      <c r="Z167" s="6"/>
      <c r="AA167" s="6"/>
    </row>
    <row r="168">
      <c r="A168" s="7">
        <v>167.0</v>
      </c>
      <c r="B168" s="6" t="s">
        <v>94</v>
      </c>
      <c r="C168" s="6" t="s">
        <v>95</v>
      </c>
      <c r="D168" s="6" t="s">
        <v>651</v>
      </c>
      <c r="E168" s="6" t="s">
        <v>652</v>
      </c>
      <c r="F168" s="6" t="s">
        <v>653</v>
      </c>
      <c r="G168" s="6" t="s">
        <v>652</v>
      </c>
      <c r="H168" s="6" t="s">
        <v>771</v>
      </c>
      <c r="I168" s="6"/>
      <c r="J168" s="6"/>
      <c r="K168" s="7">
        <v>167.0</v>
      </c>
      <c r="L168" s="6" t="str">
        <f>IFERROR(__xludf.DUMMYFUNCTION("GOOGLETRANSLATE(B168,""en"",""ur"")"),"کھیلے جانے والے کھیل کا نام کیا ہے؟")</f>
        <v>کھیلے جانے والے کھیل کا نام کیا ہے؟</v>
      </c>
      <c r="M168" s="6"/>
      <c r="N168" s="8" t="str">
        <f>IFERROR(__xludf.DUMMYFUNCTION("GOOGLETRANSLATE(D168,""en"",""ur"")"),"کرکٹ")</f>
        <v>کرکٹ</v>
      </c>
      <c r="O168" s="6" t="str">
        <f>IFERROR(__xludf.DUMMYFUNCTION("GOOGLETRANSLATE(E168,""en"",""ur"")"),"گلی ڈنڈا۔")</f>
        <v>گلی ڈنڈا۔</v>
      </c>
      <c r="P168" s="6" t="str">
        <f>IFERROR(__xludf.DUMMYFUNCTION("GOOGLETRANSLATE(F168,""en"",""ur"")"),"بیس بال")</f>
        <v>بیس بال</v>
      </c>
      <c r="Q168" s="6" t="s">
        <v>654</v>
      </c>
      <c r="R168" s="6" t="str">
        <f>IFERROR(__xludf.DUMMYFUNCTION("GOOGLETRANSLATE(G168,""en"",""ur"")"),"گلی ڈنڈا۔")</f>
        <v>گلی ڈنڈا۔</v>
      </c>
      <c r="S168" s="6" t="s">
        <v>771</v>
      </c>
      <c r="T168" s="6"/>
      <c r="U168" s="6"/>
      <c r="V168" s="6"/>
      <c r="W168" s="6"/>
      <c r="X168" s="6"/>
      <c r="Y168" s="6"/>
      <c r="Z168" s="6"/>
      <c r="AA168" s="6"/>
    </row>
    <row r="169">
      <c r="A169" s="7">
        <v>168.0</v>
      </c>
      <c r="B169" s="6" t="s">
        <v>260</v>
      </c>
      <c r="C169" s="6" t="s">
        <v>261</v>
      </c>
      <c r="D169" s="6" t="s">
        <v>262</v>
      </c>
      <c r="E169" s="6" t="s">
        <v>263</v>
      </c>
      <c r="F169" s="6" t="s">
        <v>655</v>
      </c>
      <c r="G169" s="6" t="s">
        <v>655</v>
      </c>
      <c r="H169" s="6" t="s">
        <v>771</v>
      </c>
      <c r="I169" s="6"/>
      <c r="J169" s="6"/>
      <c r="K169" s="7">
        <v>168.0</v>
      </c>
      <c r="L169" s="6" t="str">
        <f>IFERROR(__xludf.DUMMYFUNCTION("GOOGLETRANSLATE(B169,""en"",""ur"")"),"تصویر میں ایکشن ایک ایسا انداز تجویز کرتا ہے جو اس بات پر زور دیتا ہے...")</f>
        <v>تصویر میں ایکشن ایک ایسا انداز تجویز کرتا ہے جو اس بات پر زور دیتا ہے...</v>
      </c>
      <c r="M169" s="6"/>
      <c r="N169" s="8" t="str">
        <f>IFERROR(__xludf.DUMMYFUNCTION("GOOGLETRANSLATE(D169,""en"",""ur"")"),"زمینی لڑائی اور گرفت")</f>
        <v>زمینی لڑائی اور گرفت</v>
      </c>
      <c r="O169" s="6" t="str">
        <f>IFERROR(__xludf.DUMMYFUNCTION("GOOGLETRANSLATE(E169,""en"",""ur"")"),"وحشیانہ قوت اور گھڑ سواری۔")</f>
        <v>وحشیانہ قوت اور گھڑ سواری۔</v>
      </c>
      <c r="P169" s="6" t="str">
        <f>IFERROR(__xludf.DUMMYFUNCTION("GOOGLETRANSLATE(F169,""en"",""ur"")"),"ہاتھ سے آنکھ کو آرڈینیشن اور حیرت انگیز")</f>
        <v>ہاتھ سے آنکھ کو آرڈینیشن اور حیرت انگیز</v>
      </c>
      <c r="Q169" s="6" t="s">
        <v>656</v>
      </c>
      <c r="R169" s="6" t="str">
        <f>IFERROR(__xludf.DUMMYFUNCTION("GOOGLETRANSLATE(G169,""en"",""ur"")"),"ہاتھ سے آنکھ کو آرڈینیشن اور حیرت انگیز")</f>
        <v>ہاتھ سے آنکھ کو آرڈینیشن اور حیرت انگیز</v>
      </c>
      <c r="S169" s="6" t="s">
        <v>771</v>
      </c>
      <c r="T169" s="6"/>
      <c r="U169" s="6"/>
      <c r="V169" s="6"/>
      <c r="W169" s="6"/>
      <c r="X169" s="6"/>
      <c r="Y169" s="6"/>
      <c r="Z169" s="6"/>
      <c r="AA169" s="6"/>
    </row>
    <row r="170">
      <c r="A170" s="7">
        <v>169.0</v>
      </c>
      <c r="B170" s="6" t="s">
        <v>657</v>
      </c>
      <c r="C170" s="6" t="s">
        <v>658</v>
      </c>
      <c r="D170" s="6" t="s">
        <v>659</v>
      </c>
      <c r="E170" s="6" t="s">
        <v>660</v>
      </c>
      <c r="F170" s="6" t="s">
        <v>661</v>
      </c>
      <c r="G170" s="6" t="s">
        <v>660</v>
      </c>
      <c r="H170" s="6" t="s">
        <v>771</v>
      </c>
      <c r="I170" s="6"/>
      <c r="J170" s="6"/>
      <c r="K170" s="7">
        <v>169.0</v>
      </c>
      <c r="L170" s="6" t="str">
        <f>IFERROR(__xludf.DUMMYFUNCTION("GOOGLETRANSLATE(B170,""en"",""ur"")"),"کھلاڑیوں کے جوتے کے بارے میں ایک قابل ذکر تفصیل کیا ہے؟")</f>
        <v>کھلاڑیوں کے جوتے کے بارے میں ایک قابل ذکر تفصیل کیا ہے؟</v>
      </c>
      <c r="M170" s="6"/>
      <c r="N170" s="8" t="str">
        <f>IFERROR(__xludf.DUMMYFUNCTION("GOOGLETRANSLATE(D170,""en"",""ur"")"),"وہ ننگے پاؤں ہیں۔")</f>
        <v>وہ ننگے پاؤں ہیں۔</v>
      </c>
      <c r="O170" s="6" t="str">
        <f>IFERROR(__xludf.DUMMYFUNCTION("GOOGLETRANSLATE(E170,""en"",""ur"")"),"وہ سینڈل یا فلپ فلاپ پہنے ہوئے ہیں۔")</f>
        <v>وہ سینڈل یا فلپ فلاپ پہنے ہوئے ہیں۔</v>
      </c>
      <c r="P170" s="6" t="str">
        <f>IFERROR(__xludf.DUMMYFUNCTION("GOOGLETRANSLATE(F170,""en"",""ur"")"),"وہ موزے پہنے ہوئے ہیں۔")</f>
        <v>وہ موزے پہنے ہوئے ہیں۔</v>
      </c>
      <c r="Q170" s="6" t="s">
        <v>662</v>
      </c>
      <c r="R170" s="6" t="str">
        <f>IFERROR(__xludf.DUMMYFUNCTION("GOOGLETRANSLATE(G170,""en"",""ur"")"),"وہ سینڈل یا فلپ فلاپ پہنے ہوئے ہیں۔")</f>
        <v>وہ سینڈل یا فلپ فلاپ پہنے ہوئے ہیں۔</v>
      </c>
      <c r="S170" s="6" t="s">
        <v>771</v>
      </c>
      <c r="T170" s="6"/>
      <c r="U170" s="6"/>
      <c r="V170" s="6"/>
      <c r="W170" s="6"/>
      <c r="X170" s="6"/>
      <c r="Y170" s="6"/>
      <c r="Z170" s="6"/>
      <c r="AA170" s="6"/>
    </row>
    <row r="171">
      <c r="A171" s="7">
        <v>170.0</v>
      </c>
      <c r="B171" s="6" t="s">
        <v>663</v>
      </c>
      <c r="C171" s="6" t="s">
        <v>664</v>
      </c>
      <c r="D171" s="6" t="s">
        <v>665</v>
      </c>
      <c r="E171" s="6" t="s">
        <v>666</v>
      </c>
      <c r="F171" s="6" t="s">
        <v>667</v>
      </c>
      <c r="G171" s="6" t="s">
        <v>666</v>
      </c>
      <c r="H171" s="6" t="s">
        <v>771</v>
      </c>
      <c r="I171" s="6"/>
      <c r="J171" s="6"/>
      <c r="K171" s="7">
        <v>170.0</v>
      </c>
      <c r="L171" s="6" t="str">
        <f>IFERROR(__xludf.DUMMYFUNCTION("GOOGLETRANSLATE(B171,""en"",""ur"")"),"پس منظر میں دیگر کھلاڑیوں کے بارے میں ایک قابل ذکر تفصیل کیا ہے؟")</f>
        <v>پس منظر میں دیگر کھلاڑیوں کے بارے میں ایک قابل ذکر تفصیل کیا ہے؟</v>
      </c>
      <c r="M171" s="6"/>
      <c r="N171" s="8" t="str">
        <f>IFERROR(__xludf.DUMMYFUNCTION("GOOGLETRANSLATE(D171,""en"",""ur"")"),"وہ سب ادھر ادھر بھاگ رہے ہیں۔")</f>
        <v>وہ سب ادھر ادھر بھاگ رہے ہیں۔</v>
      </c>
      <c r="O171" s="6" t="str">
        <f>IFERROR(__xludf.DUMMYFUNCTION("GOOGLETRANSLATE(E171,""en"",""ur"")"),"وہ ایک دفاعی، تیار موقف میں ہیں۔")</f>
        <v>وہ ایک دفاعی، تیار موقف میں ہیں۔</v>
      </c>
      <c r="P171" s="6" t="str">
        <f>IFERROR(__xludf.DUMMYFUNCTION("GOOGLETRANSLATE(F171,""en"",""ur"")"),"وہ سب لہرا رہے ہیں۔")</f>
        <v>وہ سب لہرا رہے ہیں۔</v>
      </c>
      <c r="Q171" s="6" t="s">
        <v>668</v>
      </c>
      <c r="R171" s="6" t="str">
        <f>IFERROR(__xludf.DUMMYFUNCTION("GOOGLETRANSLATE(G171,""en"",""ur"")"),"وہ ایک دفاعی، تیار موقف میں ہیں۔")</f>
        <v>وہ ایک دفاعی، تیار موقف میں ہیں۔</v>
      </c>
      <c r="S171" s="6" t="s">
        <v>771</v>
      </c>
      <c r="T171" s="6"/>
      <c r="U171" s="6"/>
      <c r="V171" s="6"/>
      <c r="W171" s="6"/>
      <c r="X171" s="6"/>
      <c r="Y171" s="6"/>
      <c r="Z171" s="6"/>
      <c r="AA171" s="6"/>
    </row>
    <row r="172">
      <c r="A172" s="7">
        <v>171.0</v>
      </c>
      <c r="B172" s="6" t="s">
        <v>772</v>
      </c>
      <c r="C172" s="6" t="s">
        <v>690</v>
      </c>
      <c r="D172" s="6" t="s">
        <v>727</v>
      </c>
      <c r="E172" s="6" t="s">
        <v>633</v>
      </c>
      <c r="F172" s="6" t="s">
        <v>634</v>
      </c>
      <c r="G172" s="6" t="s">
        <v>727</v>
      </c>
      <c r="H172" s="6" t="s">
        <v>773</v>
      </c>
      <c r="I172" s="6"/>
      <c r="J172" s="6"/>
      <c r="K172" s="7">
        <v>171.0</v>
      </c>
      <c r="L172" s="6" t="str">
        <f>IFERROR(__xludf.DUMMYFUNCTION("GOOGLETRANSLATE(B172,""en"",""ur"")"),"گلی_ڈنڈا_19 میں دکھایا گیا اصل عمل کیا ہے؟")</f>
        <v>گلی_ڈنڈا_19 میں دکھایا گیا اصل عمل کیا ہے؟</v>
      </c>
      <c r="M172" s="6"/>
      <c r="N172" s="8" t="str">
        <f>IFERROR(__xludf.DUMMYFUNCTION("GOOGLETRANSLATE(D172,""en"",""ur"")"),"کھیل کے دو ٹکڑوں کا قریبی اپ")</f>
        <v>کھیل کے دو ٹکڑوں کا قریبی اپ</v>
      </c>
      <c r="O172" s="6" t="str">
        <f>IFERROR(__xludf.DUMMYFUNCTION("GOOGLETRANSLATE(E172,""en"",""ur"")"),"ایک کھلاڑی گیند کی خدمت کر رہا ہے۔")</f>
        <v>ایک کھلاڑی گیند کی خدمت کر رہا ہے۔</v>
      </c>
      <c r="P172" s="6" t="str">
        <f>IFERROR(__xludf.DUMMYFUNCTION("GOOGLETRANSLATE(F172,""en"",""ur"")"),"ایک کھلاڑی دفاعی بلاک کا مظاہرہ کر رہا ہے۔")</f>
        <v>ایک کھلاڑی دفاعی بلاک کا مظاہرہ کر رہا ہے۔</v>
      </c>
      <c r="Q172" s="6" t="s">
        <v>729</v>
      </c>
      <c r="R172" s="6" t="str">
        <f>IFERROR(__xludf.DUMMYFUNCTION("GOOGLETRANSLATE(G172,""en"",""ur"")"),"کھیل کے دو ٹکڑوں کا قریبی اپ")</f>
        <v>کھیل کے دو ٹکڑوں کا قریبی اپ</v>
      </c>
      <c r="S172" s="6" t="s">
        <v>773</v>
      </c>
      <c r="T172" s="6"/>
      <c r="U172" s="6"/>
      <c r="V172" s="6"/>
      <c r="W172" s="6"/>
      <c r="X172" s="6"/>
      <c r="Y172" s="6"/>
      <c r="Z172" s="6"/>
      <c r="AA172" s="6"/>
    </row>
    <row r="173">
      <c r="A173" s="7">
        <v>172.0</v>
      </c>
      <c r="B173" s="6" t="s">
        <v>730</v>
      </c>
      <c r="C173" s="6" t="s">
        <v>637</v>
      </c>
      <c r="D173" s="6" t="s">
        <v>638</v>
      </c>
      <c r="E173" s="6" t="s">
        <v>639</v>
      </c>
      <c r="F173" s="6" t="s">
        <v>640</v>
      </c>
      <c r="G173" s="6" t="s">
        <v>638</v>
      </c>
      <c r="H173" s="6" t="s">
        <v>773</v>
      </c>
      <c r="I173" s="6"/>
      <c r="J173" s="6"/>
      <c r="K173" s="7">
        <v>172.0</v>
      </c>
      <c r="L173" s="6" t="str">
        <f>IFERROR(__xludf.DUMMYFUNCTION("GOOGLETRANSLATE(B173,""en"",""ur"")"),"سامان کے دو ٹکڑے کیا دکھائے گئے ہیں؟")</f>
        <v>سامان کے دو ٹکڑے کیا دکھائے گئے ہیں؟</v>
      </c>
      <c r="M173" s="6"/>
      <c r="N173" s="8" t="str">
        <f>IFERROR(__xludf.DUMMYFUNCTION("GOOGLETRANSLATE(D173,""en"",""ur"")"),"ایک لمبی چھڑی (ڈنڈا) اور ایک چھوٹی چھڑی (گلی)")</f>
        <v>ایک لمبی چھڑی (ڈنڈا) اور ایک چھوٹی چھڑی (گلی)</v>
      </c>
      <c r="O173" s="6" t="str">
        <f>IFERROR(__xludf.DUMMYFUNCTION("GOOGLETRANSLATE(E173,""en"",""ur"")"),"ایک ریکیٹ اور ایک شٹل کاک")</f>
        <v>ایک ریکیٹ اور ایک شٹل کاک</v>
      </c>
      <c r="P173" s="6" t="str">
        <f>IFERROR(__xludf.DUMMYFUNCTION("GOOGLETRANSLATE(F173,""en"",""ur"")"),"ایک چمگادڑ اور ایک دستانہ")</f>
        <v>ایک چمگادڑ اور ایک دستانہ</v>
      </c>
      <c r="Q173" s="6" t="s">
        <v>641</v>
      </c>
      <c r="R173" s="6" t="str">
        <f>IFERROR(__xludf.DUMMYFUNCTION("GOOGLETRANSLATE(G173,""en"",""ur"")"),"ایک لمبی چھڑی (ڈنڈا) اور ایک چھوٹی چھڑی (گلی)")</f>
        <v>ایک لمبی چھڑی (ڈنڈا) اور ایک چھوٹی چھڑی (گلی)</v>
      </c>
      <c r="S173" s="6" t="s">
        <v>773</v>
      </c>
      <c r="T173" s="6"/>
      <c r="U173" s="6"/>
      <c r="V173" s="6"/>
      <c r="W173" s="6"/>
      <c r="X173" s="6"/>
      <c r="Y173" s="6"/>
      <c r="Z173" s="6"/>
      <c r="AA173" s="6"/>
    </row>
    <row r="174">
      <c r="A174" s="7">
        <v>173.0</v>
      </c>
      <c r="B174" s="6" t="s">
        <v>731</v>
      </c>
      <c r="C174" s="6" t="s">
        <v>732</v>
      </c>
      <c r="D174" s="6" t="s">
        <v>733</v>
      </c>
      <c r="E174" s="6" t="s">
        <v>734</v>
      </c>
      <c r="F174" s="6" t="s">
        <v>735</v>
      </c>
      <c r="G174" s="6" t="s">
        <v>733</v>
      </c>
      <c r="H174" s="6" t="s">
        <v>773</v>
      </c>
      <c r="I174" s="6"/>
      <c r="J174" s="6"/>
      <c r="K174" s="7">
        <v>173.0</v>
      </c>
      <c r="L174" s="6" t="str">
        <f>IFERROR(__xludf.DUMMYFUNCTION("GOOGLETRANSLATE(B174,""en"",""ur"")"),"مختصر چھڑی (گلی) کے بارے میں ایک قابل ذکر تفصیل کیا ہے؟")</f>
        <v>مختصر چھڑی (گلی) کے بارے میں ایک قابل ذکر تفصیل کیا ہے؟</v>
      </c>
      <c r="M174" s="6"/>
      <c r="N174" s="8" t="str">
        <f>IFERROR(__xludf.DUMMYFUNCTION("GOOGLETRANSLATE(D174,""en"",""ur"")"),"اس کے نوک دار یا مخروطی سرے ہوتے ہیں۔")</f>
        <v>اس کے نوک دار یا مخروطی سرے ہوتے ہیں۔</v>
      </c>
      <c r="O174" s="6" t="str">
        <f>IFERROR(__xludf.DUMMYFUNCTION("GOOGLETRANSLATE(E174,""en"",""ur"")"),"یہ ایک لمبی، پتلی چھڑی ہے۔")</f>
        <v>یہ ایک لمبی، پتلی چھڑی ہے۔</v>
      </c>
      <c r="P174" s="6" t="str">
        <f>IFERROR(__xludf.DUMMYFUNCTION("GOOGLETRANSLATE(F174,""en"",""ur"")"),"یہ ایک فلیٹ ڈسک ہے۔")</f>
        <v>یہ ایک فلیٹ ڈسک ہے۔</v>
      </c>
      <c r="Q174" s="6" t="s">
        <v>736</v>
      </c>
      <c r="R174" s="6" t="str">
        <f>IFERROR(__xludf.DUMMYFUNCTION("GOOGLETRANSLATE(G174,""en"",""ur"")"),"اس کے نوک دار یا مخروطی سرے ہوتے ہیں۔")</f>
        <v>اس کے نوک دار یا مخروطی سرے ہوتے ہیں۔</v>
      </c>
      <c r="S174" s="6" t="s">
        <v>773</v>
      </c>
      <c r="T174" s="6"/>
      <c r="U174" s="6"/>
      <c r="V174" s="6"/>
      <c r="W174" s="6"/>
      <c r="X174" s="6"/>
      <c r="Y174" s="6"/>
      <c r="Z174" s="6"/>
      <c r="AA174" s="6"/>
    </row>
    <row r="175">
      <c r="A175" s="7">
        <v>174.0</v>
      </c>
      <c r="B175" s="6" t="s">
        <v>737</v>
      </c>
      <c r="C175" s="6" t="s">
        <v>738</v>
      </c>
      <c r="D175" s="6" t="s">
        <v>739</v>
      </c>
      <c r="E175" s="6" t="s">
        <v>740</v>
      </c>
      <c r="F175" s="6" t="s">
        <v>741</v>
      </c>
      <c r="G175" s="6" t="s">
        <v>739</v>
      </c>
      <c r="H175" s="6" t="s">
        <v>773</v>
      </c>
      <c r="I175" s="6"/>
      <c r="J175" s="6"/>
      <c r="K175" s="7">
        <v>174.0</v>
      </c>
      <c r="L175" s="6" t="str">
        <f>IFERROR(__xludf.DUMMYFUNCTION("GOOGLETRANSLATE(B175,""en"",""ur"")"),"گلی کے نوکیلے سروں کا ظاہری مقصد کیا ہے؟")</f>
        <v>گلی کے نوکیلے سروں کا ظاہری مقصد کیا ہے؟</v>
      </c>
      <c r="M175" s="6"/>
      <c r="N175" s="8" t="str">
        <f>IFERROR(__xludf.DUMMYFUNCTION("GOOGLETRANSLATE(D175,""en"",""ur"")"),"تاکہ اسے مارنا آسان ہو اور اسے ہوا میں چھلانگ لگانا")</f>
        <v>تاکہ اسے مارنا آسان ہو اور اسے ہوا میں چھلانگ لگانا</v>
      </c>
      <c r="O175" s="6" t="str">
        <f>IFERROR(__xludf.DUMMYFUNCTION("GOOGLETRANSLATE(E175,""en"",""ur"")"),"تاکہ اسے پکڑنا مشکل ہو جائے۔")</f>
        <v>تاکہ اسے پکڑنا مشکل ہو جائے۔</v>
      </c>
      <c r="P175" s="6" t="str">
        <f>IFERROR(__xludf.DUMMYFUNCTION("GOOGLETRANSLATE(F175,""en"",""ur"")"),"اسے بھاری بنانے کے لیے")</f>
        <v>اسے بھاری بنانے کے لیے</v>
      </c>
      <c r="Q175" s="6" t="s">
        <v>742</v>
      </c>
      <c r="R175" s="6" t="str">
        <f>IFERROR(__xludf.DUMMYFUNCTION("GOOGLETRANSLATE(G175,""en"",""ur"")"),"تاکہ اسے مارنا آسان ہو اور اسے ہوا میں چھلانگ لگانا")</f>
        <v>تاکہ اسے مارنا آسان ہو اور اسے ہوا میں چھلانگ لگانا</v>
      </c>
      <c r="S175" s="6" t="s">
        <v>773</v>
      </c>
      <c r="T175" s="6"/>
      <c r="U175" s="6"/>
      <c r="V175" s="6"/>
      <c r="W175" s="6"/>
      <c r="X175" s="6"/>
      <c r="Y175" s="6"/>
      <c r="Z175" s="6"/>
      <c r="AA175" s="6"/>
    </row>
    <row r="176">
      <c r="A176" s="7">
        <v>175.0</v>
      </c>
      <c r="B176" s="6" t="s">
        <v>743</v>
      </c>
      <c r="C176" s="6" t="s">
        <v>744</v>
      </c>
      <c r="D176" s="6" t="s">
        <v>745</v>
      </c>
      <c r="E176" s="6" t="s">
        <v>19</v>
      </c>
      <c r="F176" s="6" t="s">
        <v>746</v>
      </c>
      <c r="G176" s="6" t="s">
        <v>745</v>
      </c>
      <c r="H176" s="6" t="s">
        <v>773</v>
      </c>
      <c r="I176" s="6"/>
      <c r="J176" s="6"/>
      <c r="K176" s="7">
        <v>175.0</v>
      </c>
      <c r="L176" s="6" t="str">
        <f>IFERROR(__xludf.DUMMYFUNCTION("GOOGLETRANSLATE(B176,""en"",""ur"")"),"لاٹھیوں کی سب سے نمایاں خصوصیت کیا ہے؟")</f>
        <v>لاٹھیوں کی سب سے نمایاں خصوصیت کیا ہے؟</v>
      </c>
      <c r="M176" s="6"/>
      <c r="N176" s="8" t="str">
        <f>IFERROR(__xludf.DUMMYFUNCTION("GOOGLETRANSLATE(D176,""en"",""ur"")"),"وہ لکڑی سے بنے ہیں۔")</f>
        <v>وہ لکڑی سے بنے ہیں۔</v>
      </c>
      <c r="O176" s="6" t="str">
        <f>IFERROR(__xludf.DUMMYFUNCTION("GOOGLETRANSLATE(E176,""en"",""ur"")"),"وہ پلاسٹک سے بنے ہیں۔")</f>
        <v>وہ پلاسٹک سے بنے ہیں۔</v>
      </c>
      <c r="P176" s="6" t="str">
        <f>IFERROR(__xludf.DUMMYFUNCTION("GOOGLETRANSLATE(F176,""en"",""ur"")"),"وہ شیشے سے بنے ہیں۔")</f>
        <v>وہ شیشے سے بنے ہیں۔</v>
      </c>
      <c r="Q176" s="6" t="s">
        <v>747</v>
      </c>
      <c r="R176" s="6" t="str">
        <f>IFERROR(__xludf.DUMMYFUNCTION("GOOGLETRANSLATE(G176,""en"",""ur"")"),"وہ لکڑی سے بنے ہیں۔")</f>
        <v>وہ لکڑی سے بنے ہیں۔</v>
      </c>
      <c r="S176" s="6" t="s">
        <v>773</v>
      </c>
      <c r="T176" s="6"/>
      <c r="U176" s="6"/>
      <c r="V176" s="6"/>
      <c r="W176" s="6"/>
      <c r="X176" s="6"/>
      <c r="Y176" s="6"/>
      <c r="Z176" s="6"/>
      <c r="AA176" s="6"/>
    </row>
    <row r="177">
      <c r="A177" s="7">
        <v>176.0</v>
      </c>
      <c r="B177" s="6" t="s">
        <v>94</v>
      </c>
      <c r="C177" s="6" t="s">
        <v>95</v>
      </c>
      <c r="D177" s="6" t="s">
        <v>651</v>
      </c>
      <c r="E177" s="6" t="s">
        <v>652</v>
      </c>
      <c r="F177" s="6" t="s">
        <v>653</v>
      </c>
      <c r="G177" s="6" t="s">
        <v>652</v>
      </c>
      <c r="H177" s="6" t="s">
        <v>773</v>
      </c>
      <c r="I177" s="6"/>
      <c r="J177" s="6"/>
      <c r="K177" s="7">
        <v>176.0</v>
      </c>
      <c r="L177" s="6" t="str">
        <f>IFERROR(__xludf.DUMMYFUNCTION("GOOGLETRANSLATE(B177,""en"",""ur"")"),"کھیلے جانے والے کھیل کا نام کیا ہے؟")</f>
        <v>کھیلے جانے والے کھیل کا نام کیا ہے؟</v>
      </c>
      <c r="M177" s="6"/>
      <c r="N177" s="8" t="str">
        <f>IFERROR(__xludf.DUMMYFUNCTION("GOOGLETRANSLATE(D177,""en"",""ur"")"),"کرکٹ")</f>
        <v>کرکٹ</v>
      </c>
      <c r="O177" s="6" t="str">
        <f>IFERROR(__xludf.DUMMYFUNCTION("GOOGLETRANSLATE(E177,""en"",""ur"")"),"گلی ڈنڈا۔")</f>
        <v>گلی ڈنڈا۔</v>
      </c>
      <c r="P177" s="6" t="str">
        <f>IFERROR(__xludf.DUMMYFUNCTION("GOOGLETRANSLATE(F177,""en"",""ur"")"),"بیس بال")</f>
        <v>بیس بال</v>
      </c>
      <c r="Q177" s="6" t="s">
        <v>654</v>
      </c>
      <c r="R177" s="6" t="str">
        <f>IFERROR(__xludf.DUMMYFUNCTION("GOOGLETRANSLATE(G177,""en"",""ur"")"),"گلی ڈنڈا۔")</f>
        <v>گلی ڈنڈا۔</v>
      </c>
      <c r="S177" s="6" t="s">
        <v>773</v>
      </c>
      <c r="T177" s="6"/>
      <c r="U177" s="6"/>
      <c r="V177" s="6"/>
      <c r="W177" s="6"/>
      <c r="X177" s="6"/>
      <c r="Y177" s="6"/>
      <c r="Z177" s="6"/>
      <c r="AA177" s="6"/>
    </row>
    <row r="178">
      <c r="A178" s="7">
        <v>177.0</v>
      </c>
      <c r="B178" s="6" t="s">
        <v>260</v>
      </c>
      <c r="C178" s="6" t="s">
        <v>261</v>
      </c>
      <c r="D178" s="6" t="s">
        <v>262</v>
      </c>
      <c r="E178" s="6" t="s">
        <v>263</v>
      </c>
      <c r="F178" s="6" t="s">
        <v>655</v>
      </c>
      <c r="G178" s="6" t="s">
        <v>655</v>
      </c>
      <c r="H178" s="6" t="s">
        <v>773</v>
      </c>
      <c r="I178" s="6"/>
      <c r="J178" s="6"/>
      <c r="K178" s="7">
        <v>177.0</v>
      </c>
      <c r="L178" s="6" t="str">
        <f>IFERROR(__xludf.DUMMYFUNCTION("GOOGLETRANSLATE(B178,""en"",""ur"")"),"تصویر میں ایکشن ایک ایسا انداز تجویز کرتا ہے جو اس بات پر زور دیتا ہے...")</f>
        <v>تصویر میں ایکشن ایک ایسا انداز تجویز کرتا ہے جو اس بات پر زور دیتا ہے...</v>
      </c>
      <c r="M178" s="6"/>
      <c r="N178" s="8" t="str">
        <f>IFERROR(__xludf.DUMMYFUNCTION("GOOGLETRANSLATE(D178,""en"",""ur"")"),"زمینی لڑائی اور گرفت")</f>
        <v>زمینی لڑائی اور گرفت</v>
      </c>
      <c r="O178" s="6" t="str">
        <f>IFERROR(__xludf.DUMMYFUNCTION("GOOGLETRANSLATE(E178,""en"",""ur"")"),"وحشیانہ قوت اور گھڑ سواری۔")</f>
        <v>وحشیانہ قوت اور گھڑ سواری۔</v>
      </c>
      <c r="P178" s="6" t="str">
        <f>IFERROR(__xludf.DUMMYFUNCTION("GOOGLETRANSLATE(F178,""en"",""ur"")"),"ہاتھ سے آنکھ کو آرڈینیشن اور حیرت انگیز")</f>
        <v>ہاتھ سے آنکھ کو آرڈینیشن اور حیرت انگیز</v>
      </c>
      <c r="Q178" s="6" t="s">
        <v>656</v>
      </c>
      <c r="R178" s="6" t="str">
        <f>IFERROR(__xludf.DUMMYFUNCTION("GOOGLETRANSLATE(G178,""en"",""ur"")"),"ہاتھ سے آنکھ کو آرڈینیشن اور حیرت انگیز")</f>
        <v>ہاتھ سے آنکھ کو آرڈینیشن اور حیرت انگیز</v>
      </c>
      <c r="S178" s="6" t="s">
        <v>773</v>
      </c>
      <c r="T178" s="6"/>
      <c r="U178" s="6"/>
      <c r="V178" s="6"/>
      <c r="W178" s="6"/>
      <c r="X178" s="6"/>
      <c r="Y178" s="6"/>
      <c r="Z178" s="6"/>
      <c r="AA178" s="6"/>
    </row>
    <row r="179">
      <c r="A179" s="7">
        <v>178.0</v>
      </c>
      <c r="B179" s="6" t="s">
        <v>748</v>
      </c>
      <c r="C179" s="6" t="s">
        <v>749</v>
      </c>
      <c r="D179" s="6" t="s">
        <v>750</v>
      </c>
      <c r="E179" s="6" t="s">
        <v>751</v>
      </c>
      <c r="F179" s="6" t="s">
        <v>752</v>
      </c>
      <c r="G179" s="6" t="s">
        <v>750</v>
      </c>
      <c r="H179" s="6" t="s">
        <v>773</v>
      </c>
      <c r="I179" s="6"/>
      <c r="J179" s="6"/>
      <c r="K179" s="7">
        <v>178.0</v>
      </c>
      <c r="L179" s="6" t="str">
        <f>IFERROR(__xludf.DUMMYFUNCTION("GOOGLETRANSLATE(B179,""en"",""ur"")"),"لاٹھیوں کی حالت کے بارے میں ایک قابل ذکر تفصیل کیا ہے؟")</f>
        <v>لاٹھیوں کی حالت کے بارے میں ایک قابل ذکر تفصیل کیا ہے؟</v>
      </c>
      <c r="M179" s="6"/>
      <c r="N179" s="8" t="str">
        <f>IFERROR(__xludf.DUMMYFUNCTION("GOOGLETRANSLATE(D179,""en"",""ur"")"),"وہ پرانے ہیں اور استعمال سے پہنے ہوئے ہیں۔")</f>
        <v>وہ پرانے ہیں اور استعمال سے پہنے ہوئے ہیں۔</v>
      </c>
      <c r="O179" s="6" t="str">
        <f>IFERROR(__xludf.DUMMYFUNCTION("GOOGLETRANSLATE(E179,""en"",""ur"")"),"وہ بہت مختصر ہیں۔")</f>
        <v>وہ بہت مختصر ہیں۔</v>
      </c>
      <c r="P179" s="6" t="str">
        <f>IFERROR(__xludf.DUMMYFUNCTION("GOOGLETRANSLATE(F179,""en"",""ur"")"),"وہ بہت لمبے ہیں۔")</f>
        <v>وہ بہت لمبے ہیں۔</v>
      </c>
      <c r="Q179" s="6" t="s">
        <v>753</v>
      </c>
      <c r="R179" s="6" t="str">
        <f>IFERROR(__xludf.DUMMYFUNCTION("GOOGLETRANSLATE(G179,""en"",""ur"")"),"وہ پرانے ہیں اور استعمال سے پہنے ہوئے ہیں۔")</f>
        <v>وہ پرانے ہیں اور استعمال سے پہنے ہوئے ہیں۔</v>
      </c>
      <c r="S179" s="6" t="s">
        <v>773</v>
      </c>
      <c r="T179" s="6"/>
      <c r="U179" s="6"/>
      <c r="V179" s="6"/>
      <c r="W179" s="6"/>
      <c r="X179" s="6"/>
      <c r="Y179" s="6"/>
      <c r="Z179" s="6"/>
      <c r="AA179" s="6"/>
    </row>
    <row r="180">
      <c r="A180" s="7">
        <v>179.0</v>
      </c>
      <c r="B180" s="6" t="s">
        <v>754</v>
      </c>
      <c r="C180" s="6" t="s">
        <v>755</v>
      </c>
      <c r="D180" s="6" t="s">
        <v>756</v>
      </c>
      <c r="E180" s="6" t="s">
        <v>757</v>
      </c>
      <c r="F180" s="6" t="s">
        <v>758</v>
      </c>
      <c r="G180" s="6" t="s">
        <v>755</v>
      </c>
      <c r="H180" s="6" t="s">
        <v>773</v>
      </c>
      <c r="I180" s="6"/>
      <c r="J180" s="6"/>
      <c r="K180" s="7">
        <v>179.0</v>
      </c>
      <c r="L180" s="6" t="str">
        <f>IFERROR(__xludf.DUMMYFUNCTION("GOOGLETRANSLATE(B180,""en"",""ur"")"),"کھیل کا بنیادی مقصد کیا ہے؟")</f>
        <v>کھیل کا بنیادی مقصد کیا ہے؟</v>
      </c>
      <c r="M180" s="6"/>
      <c r="N180" s="8" t="str">
        <f>IFERROR(__xludf.DUMMYFUNCTION("GOOGLETRANSLATE(D180,""en"",""ur"")"),"گلی کو گول میں مارنا")</f>
        <v>گلی کو گول میں مارنا</v>
      </c>
      <c r="O180" s="6" t="str">
        <f>IFERROR(__xludf.DUMMYFUNCTION("GOOGLETRANSLATE(E180,""en"",""ur"")"),"گیلی کو مخالف پر مارنا")</f>
        <v>گیلی کو مخالف پر مارنا</v>
      </c>
      <c r="P180" s="6" t="str">
        <f>IFERROR(__xludf.DUMMYFUNCTION("GOOGLETRANSLATE(F180,""en"",""ur"")"),"گلی کو جال میں مارنا")</f>
        <v>گلی کو جال میں مارنا</v>
      </c>
      <c r="Q180" s="6" t="s">
        <v>759</v>
      </c>
      <c r="R180" s="6" t="str">
        <f>IFERROR(__xludf.DUMMYFUNCTION("GOOGLETRANSLATE(G180,""en"",""ur"")"),"جہاں تک ممکن ہو گلی کو مار کر پوائنٹس حاصل کرنا")</f>
        <v>جہاں تک ممکن ہو گلی کو مار کر پوائنٹس حاصل کرنا</v>
      </c>
      <c r="S180" s="6" t="s">
        <v>773</v>
      </c>
      <c r="T180" s="6"/>
      <c r="U180" s="6"/>
      <c r="V180" s="6"/>
      <c r="W180" s="6"/>
      <c r="X180" s="6"/>
      <c r="Y180" s="6"/>
      <c r="Z180" s="6"/>
      <c r="AA180" s="6"/>
    </row>
    <row r="181">
      <c r="A181" s="7">
        <v>180.0</v>
      </c>
      <c r="B181" s="6" t="s">
        <v>760</v>
      </c>
      <c r="C181" s="6" t="s">
        <v>761</v>
      </c>
      <c r="D181" s="6" t="s">
        <v>762</v>
      </c>
      <c r="E181" s="6" t="s">
        <v>763</v>
      </c>
      <c r="F181" s="6" t="s">
        <v>734</v>
      </c>
      <c r="G181" s="6" t="s">
        <v>763</v>
      </c>
      <c r="H181" s="6" t="s">
        <v>773</v>
      </c>
      <c r="I181" s="6"/>
      <c r="J181" s="6"/>
      <c r="K181" s="7">
        <v>180.0</v>
      </c>
      <c r="L181" s="6" t="str">
        <f>IFERROR(__xludf.DUMMYFUNCTION("GOOGLETRANSLATE(B181,""en"",""ur"")"),"ڈنڈا کی لمبائی کے بارے میں ایک قابل ذکر تفصیل کیا ہے؟")</f>
        <v>ڈنڈا کی لمبائی کے بارے میں ایک قابل ذکر تفصیل کیا ہے؟</v>
      </c>
      <c r="M181" s="6"/>
      <c r="N181" s="8" t="str">
        <f>IFERROR(__xludf.DUMMYFUNCTION("GOOGLETRANSLATE(D181,""en"",""ur"")"),"یہ بہت مختصر ہے۔")</f>
        <v>یہ بہت مختصر ہے۔</v>
      </c>
      <c r="O181" s="6" t="str">
        <f>IFERROR(__xludf.DUMMYFUNCTION("GOOGLETRANSLATE(E181,""en"",""ur"")"),"یہ درمیانی لمبائی کی چھڑی ہے۔")</f>
        <v>یہ درمیانی لمبائی کی چھڑی ہے۔</v>
      </c>
      <c r="P181" s="6" t="str">
        <f>IFERROR(__xludf.DUMMYFUNCTION("GOOGLETRANSLATE(F181,""en"",""ur"")"),"یہ ایک لمبی، پتلی چھڑی ہے۔")</f>
        <v>یہ ایک لمبی، پتلی چھڑی ہے۔</v>
      </c>
      <c r="Q181" s="6" t="s">
        <v>764</v>
      </c>
      <c r="R181" s="6" t="str">
        <f>IFERROR(__xludf.DUMMYFUNCTION("GOOGLETRANSLATE(G181,""en"",""ur"")"),"یہ درمیانی لمبائی کی چھڑی ہے۔")</f>
        <v>یہ درمیانی لمبائی کی چھڑی ہے۔</v>
      </c>
      <c r="S181" s="6" t="s">
        <v>773</v>
      </c>
      <c r="T181" s="6"/>
      <c r="U181" s="6"/>
      <c r="V181" s="6"/>
      <c r="W181" s="6"/>
      <c r="X181" s="6"/>
      <c r="Y181" s="6"/>
      <c r="Z181" s="6"/>
      <c r="AA181" s="6"/>
    </row>
    <row r="182">
      <c r="A182" s="7">
        <v>181.0</v>
      </c>
      <c r="B182" s="6" t="s">
        <v>774</v>
      </c>
      <c r="C182" s="6" t="s">
        <v>690</v>
      </c>
      <c r="D182" s="6" t="s">
        <v>632</v>
      </c>
      <c r="E182" s="6" t="s">
        <v>633</v>
      </c>
      <c r="F182" s="6" t="s">
        <v>634</v>
      </c>
      <c r="G182" s="6" t="s">
        <v>632</v>
      </c>
      <c r="H182" s="6" t="s">
        <v>775</v>
      </c>
      <c r="I182" s="6"/>
      <c r="J182" s="6"/>
      <c r="K182" s="7">
        <v>181.0</v>
      </c>
      <c r="L182" s="6" t="str">
        <f>IFERROR(__xludf.DUMMYFUNCTION("GOOGLETRANSLATE(B182,""en"",""ur"")"),"gilli_danda_20 میں دکھایا گیا اہم عمل کیا ہے؟")</f>
        <v>gilli_danda_20 میں دکھایا گیا اہم عمل کیا ہے؟</v>
      </c>
      <c r="M182" s="6"/>
      <c r="N182" s="8" t="str">
        <f>IFERROR(__xludf.DUMMYFUNCTION("GOOGLETRANSLATE(D182,""en"",""ur"")"),"ایک کھلاڑی چھوٹی چھڑی کو بڑی چھڑی سے مار رہا ہے۔")</f>
        <v>ایک کھلاڑی چھوٹی چھڑی کو بڑی چھڑی سے مار رہا ہے۔</v>
      </c>
      <c r="O182" s="6" t="str">
        <f>IFERROR(__xludf.DUMMYFUNCTION("GOOGLETRANSLATE(E182,""en"",""ur"")"),"ایک کھلاڑی گیند کی خدمت کر رہا ہے۔")</f>
        <v>ایک کھلاڑی گیند کی خدمت کر رہا ہے۔</v>
      </c>
      <c r="P182" s="6" t="str">
        <f>IFERROR(__xludf.DUMMYFUNCTION("GOOGLETRANSLATE(F182,""en"",""ur"")"),"ایک کھلاڑی دفاعی بلاک کا مظاہرہ کر رہا ہے۔")</f>
        <v>ایک کھلاڑی دفاعی بلاک کا مظاہرہ کر رہا ہے۔</v>
      </c>
      <c r="Q182" s="6" t="s">
        <v>671</v>
      </c>
      <c r="R182" s="6" t="str">
        <f>IFERROR(__xludf.DUMMYFUNCTION("GOOGLETRANSLATE(G182,""en"",""ur"")"),"ایک کھلاڑی چھوٹی چھڑی کو بڑی چھڑی سے مار رہا ہے۔")</f>
        <v>ایک کھلاڑی چھوٹی چھڑی کو بڑی چھڑی سے مار رہا ہے۔</v>
      </c>
      <c r="S182" s="6" t="s">
        <v>775</v>
      </c>
      <c r="T182" s="6"/>
      <c r="U182" s="6"/>
      <c r="V182" s="6"/>
      <c r="W182" s="6"/>
      <c r="X182" s="6"/>
      <c r="Y182" s="6"/>
      <c r="Z182" s="6"/>
      <c r="AA182" s="6"/>
    </row>
    <row r="183">
      <c r="A183" s="7">
        <v>182.0</v>
      </c>
      <c r="B183" s="6" t="s">
        <v>636</v>
      </c>
      <c r="C183" s="6" t="s">
        <v>637</v>
      </c>
      <c r="D183" s="6" t="s">
        <v>638</v>
      </c>
      <c r="E183" s="6" t="s">
        <v>639</v>
      </c>
      <c r="F183" s="6" t="s">
        <v>640</v>
      </c>
      <c r="G183" s="6" t="s">
        <v>638</v>
      </c>
      <c r="H183" s="6" t="s">
        <v>775</v>
      </c>
      <c r="I183" s="6"/>
      <c r="J183" s="6"/>
      <c r="K183" s="7">
        <v>182.0</v>
      </c>
      <c r="L183" s="6" t="str">
        <f>IFERROR(__xludf.DUMMYFUNCTION("GOOGLETRANSLATE(B183,""en"",""ur"")"),"کھیل میں استعمال ہونے والے آلات کے دو ٹکڑے کیا ہیں؟")</f>
        <v>کھیل میں استعمال ہونے والے آلات کے دو ٹکڑے کیا ہیں؟</v>
      </c>
      <c r="M183" s="6"/>
      <c r="N183" s="8" t="str">
        <f>IFERROR(__xludf.DUMMYFUNCTION("GOOGLETRANSLATE(D183,""en"",""ur"")"),"ایک لمبی چھڑی (ڈنڈا) اور ایک چھوٹی چھڑی (گلی)")</f>
        <v>ایک لمبی چھڑی (ڈنڈا) اور ایک چھوٹی چھڑی (گلی)</v>
      </c>
      <c r="O183" s="6" t="str">
        <f>IFERROR(__xludf.DUMMYFUNCTION("GOOGLETRANSLATE(E183,""en"",""ur"")"),"ایک ریکیٹ اور ایک شٹل کاک")</f>
        <v>ایک ریکیٹ اور ایک شٹل کاک</v>
      </c>
      <c r="P183" s="6" t="str">
        <f>IFERROR(__xludf.DUMMYFUNCTION("GOOGLETRANSLATE(F183,""en"",""ur"")"),"ایک چمگادڑ اور ایک دستانہ")</f>
        <v>ایک چمگادڑ اور ایک دستانہ</v>
      </c>
      <c r="Q183" s="6" t="s">
        <v>641</v>
      </c>
      <c r="R183" s="6" t="str">
        <f>IFERROR(__xludf.DUMMYFUNCTION("GOOGLETRANSLATE(G183,""en"",""ur"")"),"ایک لمبی چھڑی (ڈنڈا) اور ایک چھوٹی چھڑی (گلی)")</f>
        <v>ایک لمبی چھڑی (ڈنڈا) اور ایک چھوٹی چھڑی (گلی)</v>
      </c>
      <c r="S183" s="6" t="s">
        <v>775</v>
      </c>
      <c r="T183" s="6"/>
      <c r="U183" s="6"/>
      <c r="V183" s="6"/>
      <c r="W183" s="6"/>
      <c r="X183" s="6"/>
      <c r="Y183" s="6"/>
      <c r="Z183" s="6"/>
      <c r="AA183" s="6"/>
    </row>
    <row r="184">
      <c r="A184" s="7">
        <v>183.0</v>
      </c>
      <c r="B184" s="6" t="s">
        <v>678</v>
      </c>
      <c r="C184" s="6" t="s">
        <v>307</v>
      </c>
      <c r="D184" s="6" t="s">
        <v>643</v>
      </c>
      <c r="E184" s="6" t="s">
        <v>311</v>
      </c>
      <c r="F184" s="6" t="s">
        <v>314</v>
      </c>
      <c r="G184" s="6" t="s">
        <v>643</v>
      </c>
      <c r="H184" s="6" t="s">
        <v>775</v>
      </c>
      <c r="I184" s="6"/>
      <c r="J184" s="6"/>
      <c r="K184" s="7">
        <v>183.0</v>
      </c>
      <c r="L184" s="6" t="str">
        <f>IFERROR(__xludf.DUMMYFUNCTION("GOOGLETRANSLATE(B184,""en"",""ur"")"),"کھلاڑی کے بارے میں ایک قابل ذکر تفصیل کیا ہے؟")</f>
        <v>کھلاڑی کے بارے میں ایک قابل ذکر تفصیل کیا ہے؟</v>
      </c>
      <c r="M184" s="6"/>
      <c r="N184" s="8" t="str">
        <f>IFERROR(__xludf.DUMMYFUNCTION("GOOGLETRANSLATE(D184,""en"",""ur"")"),"وہ ایک پست، جھکائے ہوئے موقف میں ہے، ہڑتال کرنے کی تیاری کر رہا ہے۔")</f>
        <v>وہ ایک پست، جھکائے ہوئے موقف میں ہے، ہڑتال کرنے کی تیاری کر رہا ہے۔</v>
      </c>
      <c r="O184" s="6" t="str">
        <f>IFERROR(__xludf.DUMMYFUNCTION("GOOGLETRANSLATE(E184,""en"",""ur"")"),"وہ سیدھا کھڑا ہے۔")</f>
        <v>وہ سیدھا کھڑا ہے۔</v>
      </c>
      <c r="P184" s="6" t="str">
        <f>IFERROR(__xludf.DUMMYFUNCTION("GOOGLETRANSLATE(F184,""en"",""ur"")"),"وہ آرام سے بیٹھا ہے۔")</f>
        <v>وہ آرام سے بیٹھا ہے۔</v>
      </c>
      <c r="Q184" s="6" t="s">
        <v>644</v>
      </c>
      <c r="R184" s="6" t="str">
        <f>IFERROR(__xludf.DUMMYFUNCTION("GOOGLETRANSLATE(G184,""en"",""ur"")"),"وہ ایک پست، جھکائے ہوئے موقف میں ہے، ہڑتال کرنے کی تیاری کر رہا ہے۔")</f>
        <v>وہ ایک پست، جھکائے ہوئے موقف میں ہے، ہڑتال کرنے کی تیاری کر رہا ہے۔</v>
      </c>
      <c r="S184" s="6" t="s">
        <v>775</v>
      </c>
      <c r="T184" s="6"/>
      <c r="U184" s="6"/>
      <c r="V184" s="6"/>
      <c r="W184" s="6"/>
      <c r="X184" s="6"/>
      <c r="Y184" s="6"/>
      <c r="Z184" s="6"/>
      <c r="AA184" s="6"/>
    </row>
    <row r="185">
      <c r="A185" s="7">
        <v>184.0</v>
      </c>
      <c r="B185" s="6" t="s">
        <v>645</v>
      </c>
      <c r="C185" s="6" t="s">
        <v>422</v>
      </c>
      <c r="D185" s="6" t="s">
        <v>646</v>
      </c>
      <c r="E185" s="6" t="s">
        <v>647</v>
      </c>
      <c r="F185" s="6" t="s">
        <v>425</v>
      </c>
      <c r="G185" s="6" t="s">
        <v>647</v>
      </c>
      <c r="H185" s="6" t="s">
        <v>775</v>
      </c>
      <c r="I185" s="6"/>
      <c r="J185" s="6"/>
      <c r="K185" s="7">
        <v>184.0</v>
      </c>
      <c r="L185" s="6" t="str">
        <f>IFERROR(__xludf.DUMMYFUNCTION("GOOGLETRANSLATE(B185,""en"",""ur"")"),"کھیل کی ظاہری ترتیب کیا ہے؟")</f>
        <v>کھیل کی ظاہری ترتیب کیا ہے؟</v>
      </c>
      <c r="M185" s="6"/>
      <c r="N185" s="8" t="str">
        <f>IFERROR(__xludf.DUMMYFUNCTION("GOOGLETRANSLATE(D185,""en"",""ur"")"),"شہر کی ایک گلی")</f>
        <v>شہر کی ایک گلی</v>
      </c>
      <c r="O185" s="6" t="str">
        <f>IFERROR(__xludf.DUMMYFUNCTION("GOOGLETRANSLATE(E185,""en"",""ur"")"),"ایک بیرونی گندگی کا میدان")</f>
        <v>ایک بیرونی گندگی کا میدان</v>
      </c>
      <c r="P185" s="6" t="str">
        <f>IFERROR(__xludf.DUMMYFUNCTION("GOOGLETRANSLATE(F185,""en"",""ur"")"),"گھاس کا میدان")</f>
        <v>گھاس کا میدان</v>
      </c>
      <c r="Q185" s="6" t="s">
        <v>648</v>
      </c>
      <c r="R185" s="6" t="str">
        <f>IFERROR(__xludf.DUMMYFUNCTION("GOOGLETRANSLATE(G185,""en"",""ur"")"),"ایک بیرونی گندگی کا میدان")</f>
        <v>ایک بیرونی گندگی کا میدان</v>
      </c>
      <c r="S185" s="6" t="s">
        <v>775</v>
      </c>
      <c r="T185" s="6"/>
      <c r="U185" s="6"/>
      <c r="V185" s="6"/>
      <c r="W185" s="6"/>
      <c r="X185" s="6"/>
      <c r="Y185" s="6"/>
      <c r="Z185" s="6"/>
      <c r="AA185" s="6"/>
    </row>
    <row r="186">
      <c r="A186" s="7">
        <v>185.0</v>
      </c>
      <c r="B186" s="6" t="s">
        <v>679</v>
      </c>
      <c r="C186" s="6" t="s">
        <v>47</v>
      </c>
      <c r="D186" s="6" t="s">
        <v>48</v>
      </c>
      <c r="E186" s="6" t="s">
        <v>49</v>
      </c>
      <c r="F186" s="6" t="s">
        <v>50</v>
      </c>
      <c r="G186" s="6" t="s">
        <v>49</v>
      </c>
      <c r="H186" s="6" t="s">
        <v>775</v>
      </c>
      <c r="I186" s="6"/>
      <c r="J186" s="6"/>
      <c r="K186" s="7">
        <v>185.0</v>
      </c>
      <c r="L186" s="6" t="str">
        <f>IFERROR(__xludf.DUMMYFUNCTION("GOOGLETRANSLATE(B186,""en"",""ur"")"),"کھلاڑی کے چہرے سے ظاہری جذبات کیا ہیں؟")</f>
        <v>کھلاڑی کے چہرے سے ظاہری جذبات کیا ہیں؟</v>
      </c>
      <c r="M186" s="6"/>
      <c r="N186" s="8" t="str">
        <f>IFERROR(__xludf.DUMMYFUNCTION("GOOGLETRANSLATE(D186,""en"",""ur"")"),"خوف زدہ اور بے چین")</f>
        <v>خوف زدہ اور بے چین</v>
      </c>
      <c r="O186" s="6" t="str">
        <f>IFERROR(__xludf.DUMMYFUNCTION("GOOGLETRANSLATE(E186,""en"",""ur"")"),"کشیدہ اور شدید")</f>
        <v>کشیدہ اور شدید</v>
      </c>
      <c r="P186" s="6" t="str">
        <f>IFERROR(__xludf.DUMMYFUNCTION("GOOGLETRANSLATE(F186,""en"",""ur"")"),"خوش اور مسکراتے ہوئے۔")</f>
        <v>خوش اور مسکراتے ہوئے۔</v>
      </c>
      <c r="Q186" s="6" t="s">
        <v>649</v>
      </c>
      <c r="R186" s="6" t="str">
        <f>IFERROR(__xludf.DUMMYFUNCTION("GOOGLETRANSLATE(G186,""en"",""ur"")"),"کشیدہ اور شدید")</f>
        <v>کشیدہ اور شدید</v>
      </c>
      <c r="S186" s="6" t="s">
        <v>775</v>
      </c>
      <c r="T186" s="6"/>
      <c r="U186" s="6"/>
      <c r="V186" s="6"/>
      <c r="W186" s="6"/>
      <c r="X186" s="6"/>
      <c r="Y186" s="6"/>
      <c r="Z186" s="6"/>
      <c r="AA186" s="6"/>
    </row>
    <row r="187">
      <c r="A187" s="7">
        <v>186.0</v>
      </c>
      <c r="B187" s="6" t="s">
        <v>88</v>
      </c>
      <c r="C187" s="6" t="s">
        <v>89</v>
      </c>
      <c r="D187" s="6" t="s">
        <v>90</v>
      </c>
      <c r="E187" s="6" t="s">
        <v>91</v>
      </c>
      <c r="F187" s="6" t="s">
        <v>255</v>
      </c>
      <c r="G187" s="6" t="s">
        <v>255</v>
      </c>
      <c r="H187" s="6" t="s">
        <v>775</v>
      </c>
      <c r="I187" s="6"/>
      <c r="J187" s="6"/>
      <c r="K187" s="7">
        <v>186.0</v>
      </c>
      <c r="L187" s="6" t="str">
        <f>IFERROR(__xludf.DUMMYFUNCTION("GOOGLETRANSLATE(B187,""en"",""ur"")"),"زمین کی سب سے نمایاں خصوصیت کیا ہے؟")</f>
        <v>زمین کی سب سے نمایاں خصوصیت کیا ہے؟</v>
      </c>
      <c r="M187" s="6"/>
      <c r="N187" s="8" t="str">
        <f>IFERROR(__xludf.DUMMYFUNCTION("GOOGLETRANSLATE(D187,""en"",""ur"")"),"کیچڑ والا میدان")</f>
        <v>کیچڑ والا میدان</v>
      </c>
      <c r="O187" s="6" t="str">
        <f>IFERROR(__xludf.DUMMYFUNCTION("GOOGLETRANSLATE(E187,""en"",""ur"")"),"ایک گھاس دار سطح")</f>
        <v>ایک گھاس دار سطح</v>
      </c>
      <c r="P187" s="6" t="str">
        <f>IFERROR(__xludf.DUMMYFUNCTION("GOOGLETRANSLATE(F187,""en"",""ur"")"),"ریتلی یا گندگی کی سطح")</f>
        <v>ریتلی یا گندگی کی سطح</v>
      </c>
      <c r="Q187" s="6" t="s">
        <v>688</v>
      </c>
      <c r="R187" s="6" t="str">
        <f>IFERROR(__xludf.DUMMYFUNCTION("GOOGLETRANSLATE(G187,""en"",""ur"")"),"ریتلی یا گندگی کی سطح")</f>
        <v>ریتلی یا گندگی کی سطح</v>
      </c>
      <c r="S187" s="6" t="s">
        <v>775</v>
      </c>
      <c r="T187" s="6"/>
      <c r="U187" s="6"/>
      <c r="V187" s="6"/>
      <c r="W187" s="6"/>
      <c r="X187" s="6"/>
      <c r="Y187" s="6"/>
      <c r="Z187" s="6"/>
      <c r="AA187" s="6"/>
    </row>
    <row r="188">
      <c r="A188" s="7">
        <v>187.0</v>
      </c>
      <c r="B188" s="6" t="s">
        <v>94</v>
      </c>
      <c r="C188" s="6" t="s">
        <v>95</v>
      </c>
      <c r="D188" s="6" t="s">
        <v>651</v>
      </c>
      <c r="E188" s="6" t="s">
        <v>652</v>
      </c>
      <c r="F188" s="6" t="s">
        <v>653</v>
      </c>
      <c r="G188" s="6" t="s">
        <v>652</v>
      </c>
      <c r="H188" s="6" t="s">
        <v>775</v>
      </c>
      <c r="I188" s="6"/>
      <c r="J188" s="6"/>
      <c r="K188" s="7">
        <v>187.0</v>
      </c>
      <c r="L188" s="6" t="str">
        <f>IFERROR(__xludf.DUMMYFUNCTION("GOOGLETRANSLATE(B188,""en"",""ur"")"),"کھیلے جانے والے کھیل کا نام کیا ہے؟")</f>
        <v>کھیلے جانے والے کھیل کا نام کیا ہے؟</v>
      </c>
      <c r="M188" s="6"/>
      <c r="N188" s="8" t="str">
        <f>IFERROR(__xludf.DUMMYFUNCTION("GOOGLETRANSLATE(D188,""en"",""ur"")"),"کرکٹ")</f>
        <v>کرکٹ</v>
      </c>
      <c r="O188" s="6" t="str">
        <f>IFERROR(__xludf.DUMMYFUNCTION("GOOGLETRANSLATE(E188,""en"",""ur"")"),"گلی ڈنڈا۔")</f>
        <v>گلی ڈنڈا۔</v>
      </c>
      <c r="P188" s="6" t="str">
        <f>IFERROR(__xludf.DUMMYFUNCTION("GOOGLETRANSLATE(F188,""en"",""ur"")"),"بیس بال")</f>
        <v>بیس بال</v>
      </c>
      <c r="Q188" s="6" t="s">
        <v>654</v>
      </c>
      <c r="R188" s="6" t="str">
        <f>IFERROR(__xludf.DUMMYFUNCTION("GOOGLETRANSLATE(G188,""en"",""ur"")"),"گلی ڈنڈا۔")</f>
        <v>گلی ڈنڈا۔</v>
      </c>
      <c r="S188" s="6" t="s">
        <v>775</v>
      </c>
      <c r="T188" s="6"/>
      <c r="U188" s="6"/>
      <c r="V188" s="6"/>
      <c r="W188" s="6"/>
      <c r="X188" s="6"/>
      <c r="Y188" s="6"/>
      <c r="Z188" s="6"/>
      <c r="AA188" s="6"/>
    </row>
    <row r="189">
      <c r="A189" s="7">
        <v>188.0</v>
      </c>
      <c r="B189" s="6" t="s">
        <v>260</v>
      </c>
      <c r="C189" s="6" t="s">
        <v>261</v>
      </c>
      <c r="D189" s="6" t="s">
        <v>262</v>
      </c>
      <c r="E189" s="6" t="s">
        <v>263</v>
      </c>
      <c r="F189" s="6" t="s">
        <v>655</v>
      </c>
      <c r="G189" s="6" t="s">
        <v>655</v>
      </c>
      <c r="H189" s="6" t="s">
        <v>775</v>
      </c>
      <c r="I189" s="6"/>
      <c r="J189" s="6"/>
      <c r="K189" s="7">
        <v>188.0</v>
      </c>
      <c r="L189" s="6" t="str">
        <f>IFERROR(__xludf.DUMMYFUNCTION("GOOGLETRANSLATE(B189,""en"",""ur"")"),"تصویر میں ایکشن ایک ایسا انداز تجویز کرتا ہے جو اس بات پر زور دیتا ہے...")</f>
        <v>تصویر میں ایکشن ایک ایسا انداز تجویز کرتا ہے جو اس بات پر زور دیتا ہے...</v>
      </c>
      <c r="M189" s="6"/>
      <c r="N189" s="8" t="str">
        <f>IFERROR(__xludf.DUMMYFUNCTION("GOOGLETRANSLATE(D189,""en"",""ur"")"),"زمینی لڑائی اور گرفت")</f>
        <v>زمینی لڑائی اور گرفت</v>
      </c>
      <c r="O189" s="6" t="str">
        <f>IFERROR(__xludf.DUMMYFUNCTION("GOOGLETRANSLATE(E189,""en"",""ur"")"),"وحشیانہ قوت اور گھڑ سواری۔")</f>
        <v>وحشیانہ قوت اور گھڑ سواری۔</v>
      </c>
      <c r="P189" s="6" t="str">
        <f>IFERROR(__xludf.DUMMYFUNCTION("GOOGLETRANSLATE(F189,""en"",""ur"")"),"ہاتھ سے آنکھ کو آرڈینیشن اور حیرت انگیز")</f>
        <v>ہاتھ سے آنکھ کو آرڈینیشن اور حیرت انگیز</v>
      </c>
      <c r="Q189" s="6" t="s">
        <v>656</v>
      </c>
      <c r="R189" s="6" t="str">
        <f>IFERROR(__xludf.DUMMYFUNCTION("GOOGLETRANSLATE(G189,""en"",""ur"")"),"ہاتھ سے آنکھ کو آرڈینیشن اور حیرت انگیز")</f>
        <v>ہاتھ سے آنکھ کو آرڈینیشن اور حیرت انگیز</v>
      </c>
      <c r="S189" s="6" t="s">
        <v>775</v>
      </c>
      <c r="T189" s="6"/>
      <c r="U189" s="6"/>
      <c r="V189" s="6"/>
      <c r="W189" s="6"/>
      <c r="X189" s="6"/>
      <c r="Y189" s="6"/>
      <c r="Z189" s="6"/>
      <c r="AA189" s="6"/>
    </row>
    <row r="190">
      <c r="A190" s="7">
        <v>189.0</v>
      </c>
      <c r="B190" s="6" t="s">
        <v>657</v>
      </c>
      <c r="C190" s="6" t="s">
        <v>658</v>
      </c>
      <c r="D190" s="6" t="s">
        <v>659</v>
      </c>
      <c r="E190" s="6" t="s">
        <v>660</v>
      </c>
      <c r="F190" s="6" t="s">
        <v>661</v>
      </c>
      <c r="G190" s="6" t="s">
        <v>659</v>
      </c>
      <c r="H190" s="6" t="s">
        <v>775</v>
      </c>
      <c r="I190" s="6"/>
      <c r="J190" s="6"/>
      <c r="K190" s="7">
        <v>189.0</v>
      </c>
      <c r="L190" s="6" t="str">
        <f>IFERROR(__xludf.DUMMYFUNCTION("GOOGLETRANSLATE(B190,""en"",""ur"")"),"کھلاڑیوں کے جوتے کے بارے میں ایک قابل ذکر تفصیل کیا ہے؟")</f>
        <v>کھلاڑیوں کے جوتے کے بارے میں ایک قابل ذکر تفصیل کیا ہے؟</v>
      </c>
      <c r="M190" s="6"/>
      <c r="N190" s="8" t="str">
        <f>IFERROR(__xludf.DUMMYFUNCTION("GOOGLETRANSLATE(D190,""en"",""ur"")"),"وہ ننگے پاؤں ہیں۔")</f>
        <v>وہ ننگے پاؤں ہیں۔</v>
      </c>
      <c r="O190" s="6" t="str">
        <f>IFERROR(__xludf.DUMMYFUNCTION("GOOGLETRANSLATE(E190,""en"",""ur"")"),"وہ سینڈل یا فلپ فلاپ پہنے ہوئے ہیں۔")</f>
        <v>وہ سینڈل یا فلپ فلاپ پہنے ہوئے ہیں۔</v>
      </c>
      <c r="P190" s="6" t="str">
        <f>IFERROR(__xludf.DUMMYFUNCTION("GOOGLETRANSLATE(F190,""en"",""ur"")"),"وہ موزے پہنے ہوئے ہیں۔")</f>
        <v>وہ موزے پہنے ہوئے ہیں۔</v>
      </c>
      <c r="Q190" s="6" t="s">
        <v>662</v>
      </c>
      <c r="R190" s="6" t="str">
        <f>IFERROR(__xludf.DUMMYFUNCTION("GOOGLETRANSLATE(G190,""en"",""ur"")"),"وہ ننگے پاؤں ہیں۔")</f>
        <v>وہ ننگے پاؤں ہیں۔</v>
      </c>
      <c r="S190" s="6" t="s">
        <v>775</v>
      </c>
      <c r="T190" s="6"/>
      <c r="U190" s="6"/>
      <c r="V190" s="6"/>
      <c r="W190" s="6"/>
      <c r="X190" s="6"/>
      <c r="Y190" s="6"/>
      <c r="Z190" s="6"/>
      <c r="AA190" s="6"/>
    </row>
    <row r="191">
      <c r="A191" s="7">
        <v>190.0</v>
      </c>
      <c r="B191" s="6" t="s">
        <v>663</v>
      </c>
      <c r="C191" s="6" t="s">
        <v>664</v>
      </c>
      <c r="D191" s="6" t="s">
        <v>665</v>
      </c>
      <c r="E191" s="6" t="s">
        <v>666</v>
      </c>
      <c r="F191" s="6" t="s">
        <v>667</v>
      </c>
      <c r="G191" s="6" t="s">
        <v>666</v>
      </c>
      <c r="H191" s="6" t="s">
        <v>775</v>
      </c>
      <c r="I191" s="6"/>
      <c r="J191" s="6"/>
      <c r="K191" s="7">
        <v>190.0</v>
      </c>
      <c r="L191" s="6" t="str">
        <f>IFERROR(__xludf.DUMMYFUNCTION("GOOGLETRANSLATE(B191,""en"",""ur"")"),"پس منظر میں دیگر کھلاڑیوں کے بارے میں ایک قابل ذکر تفصیل کیا ہے؟")</f>
        <v>پس منظر میں دیگر کھلاڑیوں کے بارے میں ایک قابل ذکر تفصیل کیا ہے؟</v>
      </c>
      <c r="M191" s="6"/>
      <c r="N191" s="8" t="str">
        <f>IFERROR(__xludf.DUMMYFUNCTION("GOOGLETRANSLATE(D191,""en"",""ur"")"),"وہ سب ادھر ادھر بھاگ رہے ہیں۔")</f>
        <v>وہ سب ادھر ادھر بھاگ رہے ہیں۔</v>
      </c>
      <c r="O191" s="6" t="str">
        <f>IFERROR(__xludf.DUMMYFUNCTION("GOOGLETRANSLATE(E191,""en"",""ur"")"),"وہ ایک دفاعی، تیار موقف میں ہیں۔")</f>
        <v>وہ ایک دفاعی، تیار موقف میں ہیں۔</v>
      </c>
      <c r="P191" s="6" t="str">
        <f>IFERROR(__xludf.DUMMYFUNCTION("GOOGLETRANSLATE(F191,""en"",""ur"")"),"وہ سب لہرا رہے ہیں۔")</f>
        <v>وہ سب لہرا رہے ہیں۔</v>
      </c>
      <c r="Q191" s="6" t="s">
        <v>668</v>
      </c>
      <c r="R191" s="6" t="str">
        <f>IFERROR(__xludf.DUMMYFUNCTION("GOOGLETRANSLATE(G191,""en"",""ur"")"),"وہ ایک دفاعی، تیار موقف میں ہیں۔")</f>
        <v>وہ ایک دفاعی، تیار موقف میں ہیں۔</v>
      </c>
      <c r="S191" s="6" t="s">
        <v>775</v>
      </c>
      <c r="T191" s="6"/>
      <c r="U191" s="6"/>
      <c r="V191" s="6"/>
      <c r="W191" s="6"/>
      <c r="X191" s="6"/>
      <c r="Y191" s="6"/>
      <c r="Z191" s="6"/>
      <c r="AA191" s="6"/>
    </row>
    <row r="192">
      <c r="A192" s="7">
        <v>191.0</v>
      </c>
      <c r="B192" s="6" t="s">
        <v>776</v>
      </c>
      <c r="C192" s="6" t="s">
        <v>690</v>
      </c>
      <c r="D192" s="6" t="s">
        <v>632</v>
      </c>
      <c r="E192" s="6" t="s">
        <v>633</v>
      </c>
      <c r="F192" s="6" t="s">
        <v>634</v>
      </c>
      <c r="G192" s="6" t="s">
        <v>632</v>
      </c>
      <c r="H192" s="6" t="s">
        <v>777</v>
      </c>
      <c r="I192" s="6"/>
      <c r="J192" s="6"/>
      <c r="K192" s="7">
        <v>191.0</v>
      </c>
      <c r="L192" s="6" t="str">
        <f>IFERROR(__xludf.DUMMYFUNCTION("GOOGLETRANSLATE(B192,""en"",""ur"")"),"گلی_ڈنڈا_21 میں دکھایا گیا اصل عمل کیا ہے؟")</f>
        <v>گلی_ڈنڈا_21 میں دکھایا گیا اصل عمل کیا ہے؟</v>
      </c>
      <c r="M192" s="6"/>
      <c r="N192" s="8" t="str">
        <f>IFERROR(__xludf.DUMMYFUNCTION("GOOGLETRANSLATE(D192,""en"",""ur"")"),"ایک کھلاڑی چھوٹی چھڑی کو بڑی چھڑی سے مار رہا ہے۔")</f>
        <v>ایک کھلاڑی چھوٹی چھڑی کو بڑی چھڑی سے مار رہا ہے۔</v>
      </c>
      <c r="O192" s="6" t="str">
        <f>IFERROR(__xludf.DUMMYFUNCTION("GOOGLETRANSLATE(E192,""en"",""ur"")"),"ایک کھلاڑی گیند کی خدمت کر رہا ہے۔")</f>
        <v>ایک کھلاڑی گیند کی خدمت کر رہا ہے۔</v>
      </c>
      <c r="P192" s="6" t="str">
        <f>IFERROR(__xludf.DUMMYFUNCTION("GOOGLETRANSLATE(F192,""en"",""ur"")"),"ایک کھلاڑی دفاعی بلاک کا مظاہرہ کر رہا ہے۔")</f>
        <v>ایک کھلاڑی دفاعی بلاک کا مظاہرہ کر رہا ہے۔</v>
      </c>
      <c r="Q192" s="6" t="s">
        <v>671</v>
      </c>
      <c r="R192" s="6" t="str">
        <f>IFERROR(__xludf.DUMMYFUNCTION("GOOGLETRANSLATE(G192,""en"",""ur"")"),"ایک کھلاڑی چھوٹی چھڑی کو بڑی چھڑی سے مار رہا ہے۔")</f>
        <v>ایک کھلاڑی چھوٹی چھڑی کو بڑی چھڑی سے مار رہا ہے۔</v>
      </c>
      <c r="S192" s="6" t="s">
        <v>777</v>
      </c>
      <c r="T192" s="6"/>
      <c r="U192" s="6"/>
      <c r="V192" s="6"/>
      <c r="W192" s="6"/>
      <c r="X192" s="6"/>
      <c r="Y192" s="6"/>
      <c r="Z192" s="6"/>
      <c r="AA192" s="6"/>
    </row>
    <row r="193">
      <c r="A193" s="7">
        <v>192.0</v>
      </c>
      <c r="B193" s="6" t="s">
        <v>636</v>
      </c>
      <c r="C193" s="6" t="s">
        <v>637</v>
      </c>
      <c r="D193" s="6" t="s">
        <v>638</v>
      </c>
      <c r="E193" s="6" t="s">
        <v>639</v>
      </c>
      <c r="F193" s="6" t="s">
        <v>640</v>
      </c>
      <c r="G193" s="6" t="s">
        <v>638</v>
      </c>
      <c r="H193" s="6" t="s">
        <v>777</v>
      </c>
      <c r="I193" s="6"/>
      <c r="J193" s="6"/>
      <c r="K193" s="7">
        <v>192.0</v>
      </c>
      <c r="L193" s="6" t="str">
        <f>IFERROR(__xludf.DUMMYFUNCTION("GOOGLETRANSLATE(B193,""en"",""ur"")"),"کھیل میں استعمال ہونے والے آلات کے دو ٹکڑے کیا ہیں؟")</f>
        <v>کھیل میں استعمال ہونے والے آلات کے دو ٹکڑے کیا ہیں؟</v>
      </c>
      <c r="M193" s="6"/>
      <c r="N193" s="8" t="str">
        <f>IFERROR(__xludf.DUMMYFUNCTION("GOOGLETRANSLATE(D193,""en"",""ur"")"),"ایک لمبی چھڑی (ڈنڈا) اور ایک چھوٹی چھڑی (گلی)")</f>
        <v>ایک لمبی چھڑی (ڈنڈا) اور ایک چھوٹی چھڑی (گلی)</v>
      </c>
      <c r="O193" s="6" t="str">
        <f>IFERROR(__xludf.DUMMYFUNCTION("GOOGLETRANSLATE(E193,""en"",""ur"")"),"ایک ریکیٹ اور ایک شٹل کاک")</f>
        <v>ایک ریکیٹ اور ایک شٹل کاک</v>
      </c>
      <c r="P193" s="6" t="str">
        <f>IFERROR(__xludf.DUMMYFUNCTION("GOOGLETRANSLATE(F193,""en"",""ur"")"),"ایک چمگادڑ اور ایک دستانہ")</f>
        <v>ایک چمگادڑ اور ایک دستانہ</v>
      </c>
      <c r="Q193" s="6" t="s">
        <v>641</v>
      </c>
      <c r="R193" s="6" t="str">
        <f>IFERROR(__xludf.DUMMYFUNCTION("GOOGLETRANSLATE(G193,""en"",""ur"")"),"ایک لمبی چھڑی (ڈنڈا) اور ایک چھوٹی چھڑی (گلی)")</f>
        <v>ایک لمبی چھڑی (ڈنڈا) اور ایک چھوٹی چھڑی (گلی)</v>
      </c>
      <c r="S193" s="6" t="s">
        <v>777</v>
      </c>
      <c r="T193" s="6"/>
      <c r="U193" s="6"/>
      <c r="V193" s="6"/>
      <c r="W193" s="6"/>
      <c r="X193" s="6"/>
      <c r="Y193" s="6"/>
      <c r="Z193" s="6"/>
      <c r="AA193" s="6"/>
    </row>
    <row r="194">
      <c r="A194" s="7">
        <v>193.0</v>
      </c>
      <c r="B194" s="6" t="s">
        <v>678</v>
      </c>
      <c r="C194" s="6" t="s">
        <v>307</v>
      </c>
      <c r="D194" s="6" t="s">
        <v>643</v>
      </c>
      <c r="E194" s="6" t="s">
        <v>311</v>
      </c>
      <c r="F194" s="6" t="s">
        <v>314</v>
      </c>
      <c r="G194" s="6" t="s">
        <v>643</v>
      </c>
      <c r="H194" s="6" t="s">
        <v>777</v>
      </c>
      <c r="I194" s="6"/>
      <c r="J194" s="6"/>
      <c r="K194" s="7">
        <v>193.0</v>
      </c>
      <c r="L194" s="6" t="str">
        <f>IFERROR(__xludf.DUMMYFUNCTION("GOOGLETRANSLATE(B194,""en"",""ur"")"),"کھلاڑی کے بارے میں ایک قابل ذکر تفصیل کیا ہے؟")</f>
        <v>کھلاڑی کے بارے میں ایک قابل ذکر تفصیل کیا ہے؟</v>
      </c>
      <c r="M194" s="6"/>
      <c r="N194" s="8" t="str">
        <f>IFERROR(__xludf.DUMMYFUNCTION("GOOGLETRANSLATE(D194,""en"",""ur"")"),"وہ ایک پست، جھکائے ہوئے موقف میں ہے، ہڑتال کرنے کی تیاری کر رہا ہے۔")</f>
        <v>وہ ایک پست، جھکائے ہوئے موقف میں ہے، ہڑتال کرنے کی تیاری کر رہا ہے۔</v>
      </c>
      <c r="O194" s="6" t="str">
        <f>IFERROR(__xludf.DUMMYFUNCTION("GOOGLETRANSLATE(E194,""en"",""ur"")"),"وہ سیدھا کھڑا ہے۔")</f>
        <v>وہ سیدھا کھڑا ہے۔</v>
      </c>
      <c r="P194" s="6" t="str">
        <f>IFERROR(__xludf.DUMMYFUNCTION("GOOGLETRANSLATE(F194,""en"",""ur"")"),"وہ آرام سے بیٹھا ہے۔")</f>
        <v>وہ آرام سے بیٹھا ہے۔</v>
      </c>
      <c r="Q194" s="6" t="s">
        <v>644</v>
      </c>
      <c r="R194" s="6" t="str">
        <f>IFERROR(__xludf.DUMMYFUNCTION("GOOGLETRANSLATE(G194,""en"",""ur"")"),"وہ ایک پست، جھکائے ہوئے موقف میں ہے، ہڑتال کرنے کی تیاری کر رہا ہے۔")</f>
        <v>وہ ایک پست، جھکائے ہوئے موقف میں ہے، ہڑتال کرنے کی تیاری کر رہا ہے۔</v>
      </c>
      <c r="S194" s="6" t="s">
        <v>777</v>
      </c>
      <c r="T194" s="6"/>
      <c r="U194" s="6"/>
      <c r="V194" s="6"/>
      <c r="W194" s="6"/>
      <c r="X194" s="6"/>
      <c r="Y194" s="6"/>
      <c r="Z194" s="6"/>
      <c r="AA194" s="6"/>
    </row>
    <row r="195">
      <c r="A195" s="7">
        <v>194.0</v>
      </c>
      <c r="B195" s="6" t="s">
        <v>645</v>
      </c>
      <c r="C195" s="6" t="s">
        <v>422</v>
      </c>
      <c r="D195" s="6" t="s">
        <v>646</v>
      </c>
      <c r="E195" s="6" t="s">
        <v>647</v>
      </c>
      <c r="F195" s="6" t="s">
        <v>425</v>
      </c>
      <c r="G195" s="6" t="s">
        <v>647</v>
      </c>
      <c r="H195" s="6" t="s">
        <v>777</v>
      </c>
      <c r="I195" s="6"/>
      <c r="J195" s="6"/>
      <c r="K195" s="7">
        <v>194.0</v>
      </c>
      <c r="L195" s="6" t="str">
        <f>IFERROR(__xludf.DUMMYFUNCTION("GOOGLETRANSLATE(B195,""en"",""ur"")"),"کھیل کی ظاہری ترتیب کیا ہے؟")</f>
        <v>کھیل کی ظاہری ترتیب کیا ہے؟</v>
      </c>
      <c r="M195" s="6"/>
      <c r="N195" s="8" t="str">
        <f>IFERROR(__xludf.DUMMYFUNCTION("GOOGLETRANSLATE(D195,""en"",""ur"")"),"شہر کی ایک گلی")</f>
        <v>شہر کی ایک گلی</v>
      </c>
      <c r="O195" s="6" t="str">
        <f>IFERROR(__xludf.DUMMYFUNCTION("GOOGLETRANSLATE(E195,""en"",""ur"")"),"ایک بیرونی گندگی کا میدان")</f>
        <v>ایک بیرونی گندگی کا میدان</v>
      </c>
      <c r="P195" s="6" t="str">
        <f>IFERROR(__xludf.DUMMYFUNCTION("GOOGLETRANSLATE(F195,""en"",""ur"")"),"گھاس کا میدان")</f>
        <v>گھاس کا میدان</v>
      </c>
      <c r="Q195" s="6" t="s">
        <v>648</v>
      </c>
      <c r="R195" s="6" t="str">
        <f>IFERROR(__xludf.DUMMYFUNCTION("GOOGLETRANSLATE(G195,""en"",""ur"")"),"ایک بیرونی گندگی کا میدان")</f>
        <v>ایک بیرونی گندگی کا میدان</v>
      </c>
      <c r="S195" s="6" t="s">
        <v>777</v>
      </c>
      <c r="T195" s="6"/>
      <c r="U195" s="6"/>
      <c r="V195" s="6"/>
      <c r="W195" s="6"/>
      <c r="X195" s="6"/>
      <c r="Y195" s="6"/>
      <c r="Z195" s="6"/>
      <c r="AA195" s="6"/>
    </row>
    <row r="196">
      <c r="A196" s="7">
        <v>195.0</v>
      </c>
      <c r="B196" s="6" t="s">
        <v>679</v>
      </c>
      <c r="C196" s="6" t="s">
        <v>47</v>
      </c>
      <c r="D196" s="6" t="s">
        <v>48</v>
      </c>
      <c r="E196" s="6" t="s">
        <v>49</v>
      </c>
      <c r="F196" s="6" t="s">
        <v>50</v>
      </c>
      <c r="G196" s="6" t="s">
        <v>49</v>
      </c>
      <c r="H196" s="6" t="s">
        <v>777</v>
      </c>
      <c r="I196" s="6"/>
      <c r="J196" s="6"/>
      <c r="K196" s="7">
        <v>195.0</v>
      </c>
      <c r="L196" s="6" t="str">
        <f>IFERROR(__xludf.DUMMYFUNCTION("GOOGLETRANSLATE(B196,""en"",""ur"")"),"کھلاڑی کے چہرے سے ظاہری جذبات کیا ہیں؟")</f>
        <v>کھلاڑی کے چہرے سے ظاہری جذبات کیا ہیں؟</v>
      </c>
      <c r="M196" s="6"/>
      <c r="N196" s="8" t="str">
        <f>IFERROR(__xludf.DUMMYFUNCTION("GOOGLETRANSLATE(D196,""en"",""ur"")"),"خوف زدہ اور بے چین")</f>
        <v>خوف زدہ اور بے چین</v>
      </c>
      <c r="O196" s="6" t="str">
        <f>IFERROR(__xludf.DUMMYFUNCTION("GOOGLETRANSLATE(E196,""en"",""ur"")"),"کشیدہ اور شدید")</f>
        <v>کشیدہ اور شدید</v>
      </c>
      <c r="P196" s="6" t="str">
        <f>IFERROR(__xludf.DUMMYFUNCTION("GOOGLETRANSLATE(F196,""en"",""ur"")"),"خوش اور مسکراتے ہوئے۔")</f>
        <v>خوش اور مسکراتے ہوئے۔</v>
      </c>
      <c r="Q196" s="6" t="s">
        <v>649</v>
      </c>
      <c r="R196" s="6" t="str">
        <f>IFERROR(__xludf.DUMMYFUNCTION("GOOGLETRANSLATE(G196,""en"",""ur"")"),"کشیدہ اور شدید")</f>
        <v>کشیدہ اور شدید</v>
      </c>
      <c r="S196" s="6" t="s">
        <v>777</v>
      </c>
      <c r="T196" s="6"/>
      <c r="U196" s="6"/>
      <c r="V196" s="6"/>
      <c r="W196" s="6"/>
      <c r="X196" s="6"/>
      <c r="Y196" s="6"/>
      <c r="Z196" s="6"/>
      <c r="AA196" s="6"/>
    </row>
    <row r="197">
      <c r="A197" s="7">
        <v>196.0</v>
      </c>
      <c r="B197" s="6" t="s">
        <v>88</v>
      </c>
      <c r="C197" s="6" t="s">
        <v>89</v>
      </c>
      <c r="D197" s="6" t="s">
        <v>90</v>
      </c>
      <c r="E197" s="6" t="s">
        <v>91</v>
      </c>
      <c r="F197" s="6" t="s">
        <v>255</v>
      </c>
      <c r="G197" s="6" t="s">
        <v>255</v>
      </c>
      <c r="H197" s="6" t="s">
        <v>777</v>
      </c>
      <c r="I197" s="6"/>
      <c r="J197" s="6"/>
      <c r="K197" s="7">
        <v>196.0</v>
      </c>
      <c r="L197" s="6" t="str">
        <f>IFERROR(__xludf.DUMMYFUNCTION("GOOGLETRANSLATE(B197,""en"",""ur"")"),"زمین کی سب سے نمایاں خصوصیت کیا ہے؟")</f>
        <v>زمین کی سب سے نمایاں خصوصیت کیا ہے؟</v>
      </c>
      <c r="M197" s="6"/>
      <c r="N197" s="8" t="str">
        <f>IFERROR(__xludf.DUMMYFUNCTION("GOOGLETRANSLATE(D197,""en"",""ur"")"),"کیچڑ والا میدان")</f>
        <v>کیچڑ والا میدان</v>
      </c>
      <c r="O197" s="6" t="str">
        <f>IFERROR(__xludf.DUMMYFUNCTION("GOOGLETRANSLATE(E197,""en"",""ur"")"),"ایک گھاس دار سطح")</f>
        <v>ایک گھاس دار سطح</v>
      </c>
      <c r="P197" s="6" t="str">
        <f>IFERROR(__xludf.DUMMYFUNCTION("GOOGLETRANSLATE(F197,""en"",""ur"")"),"ریتلی یا گندگی کی سطح")</f>
        <v>ریتلی یا گندگی کی سطح</v>
      </c>
      <c r="Q197" s="6" t="s">
        <v>688</v>
      </c>
      <c r="R197" s="6" t="str">
        <f>IFERROR(__xludf.DUMMYFUNCTION("GOOGLETRANSLATE(G197,""en"",""ur"")"),"ریتلی یا گندگی کی سطح")</f>
        <v>ریتلی یا گندگی کی سطح</v>
      </c>
      <c r="S197" s="6" t="s">
        <v>777</v>
      </c>
      <c r="T197" s="6"/>
      <c r="U197" s="6"/>
      <c r="V197" s="6"/>
      <c r="W197" s="6"/>
      <c r="X197" s="6"/>
      <c r="Y197" s="6"/>
      <c r="Z197" s="6"/>
      <c r="AA197" s="6"/>
    </row>
    <row r="198">
      <c r="A198" s="7">
        <v>197.0</v>
      </c>
      <c r="B198" s="6" t="s">
        <v>94</v>
      </c>
      <c r="C198" s="6" t="s">
        <v>95</v>
      </c>
      <c r="D198" s="6" t="s">
        <v>651</v>
      </c>
      <c r="E198" s="6" t="s">
        <v>652</v>
      </c>
      <c r="F198" s="6" t="s">
        <v>653</v>
      </c>
      <c r="G198" s="6" t="s">
        <v>652</v>
      </c>
      <c r="H198" s="6" t="s">
        <v>777</v>
      </c>
      <c r="I198" s="6"/>
      <c r="J198" s="6"/>
      <c r="K198" s="7">
        <v>197.0</v>
      </c>
      <c r="L198" s="6" t="str">
        <f>IFERROR(__xludf.DUMMYFUNCTION("GOOGLETRANSLATE(B198,""en"",""ur"")"),"کھیلے جانے والے کھیل کا نام کیا ہے؟")</f>
        <v>کھیلے جانے والے کھیل کا نام کیا ہے؟</v>
      </c>
      <c r="M198" s="6"/>
      <c r="N198" s="8" t="str">
        <f>IFERROR(__xludf.DUMMYFUNCTION("GOOGLETRANSLATE(D198,""en"",""ur"")"),"کرکٹ")</f>
        <v>کرکٹ</v>
      </c>
      <c r="O198" s="6" t="str">
        <f>IFERROR(__xludf.DUMMYFUNCTION("GOOGLETRANSLATE(E198,""en"",""ur"")"),"گلی ڈنڈا۔")</f>
        <v>گلی ڈنڈا۔</v>
      </c>
      <c r="P198" s="6" t="str">
        <f>IFERROR(__xludf.DUMMYFUNCTION("GOOGLETRANSLATE(F198,""en"",""ur"")"),"بیس بال")</f>
        <v>بیس بال</v>
      </c>
      <c r="Q198" s="6" t="s">
        <v>654</v>
      </c>
      <c r="R198" s="6" t="str">
        <f>IFERROR(__xludf.DUMMYFUNCTION("GOOGLETRANSLATE(G198,""en"",""ur"")"),"گلی ڈنڈا۔")</f>
        <v>گلی ڈنڈا۔</v>
      </c>
      <c r="S198" s="6" t="s">
        <v>777</v>
      </c>
      <c r="T198" s="6"/>
      <c r="U198" s="6"/>
      <c r="V198" s="6"/>
      <c r="W198" s="6"/>
      <c r="X198" s="6"/>
      <c r="Y198" s="6"/>
      <c r="Z198" s="6"/>
      <c r="AA198" s="6"/>
    </row>
    <row r="199">
      <c r="A199" s="7">
        <v>198.0</v>
      </c>
      <c r="B199" s="6" t="s">
        <v>260</v>
      </c>
      <c r="C199" s="6" t="s">
        <v>261</v>
      </c>
      <c r="D199" s="6" t="s">
        <v>262</v>
      </c>
      <c r="E199" s="6" t="s">
        <v>263</v>
      </c>
      <c r="F199" s="6" t="s">
        <v>655</v>
      </c>
      <c r="G199" s="6" t="s">
        <v>655</v>
      </c>
      <c r="H199" s="6" t="s">
        <v>777</v>
      </c>
      <c r="I199" s="6"/>
      <c r="J199" s="6"/>
      <c r="K199" s="7">
        <v>198.0</v>
      </c>
      <c r="L199" s="6" t="str">
        <f>IFERROR(__xludf.DUMMYFUNCTION("GOOGLETRANSLATE(B199,""en"",""ur"")"),"تصویر میں ایکشن ایک ایسا انداز تجویز کرتا ہے جو اس بات پر زور دیتا ہے...")</f>
        <v>تصویر میں ایکشن ایک ایسا انداز تجویز کرتا ہے جو اس بات پر زور دیتا ہے...</v>
      </c>
      <c r="M199" s="6"/>
      <c r="N199" s="8" t="str">
        <f>IFERROR(__xludf.DUMMYFUNCTION("GOOGLETRANSLATE(D199,""en"",""ur"")"),"زمینی لڑائی اور گرفت")</f>
        <v>زمینی لڑائی اور گرفت</v>
      </c>
      <c r="O199" s="6" t="str">
        <f>IFERROR(__xludf.DUMMYFUNCTION("GOOGLETRANSLATE(E199,""en"",""ur"")"),"وحشیانہ قوت اور گھڑ سواری۔")</f>
        <v>وحشیانہ قوت اور گھڑ سواری۔</v>
      </c>
      <c r="P199" s="6" t="str">
        <f>IFERROR(__xludf.DUMMYFUNCTION("GOOGLETRANSLATE(F199,""en"",""ur"")"),"ہاتھ سے آنکھ کو آرڈینیشن اور حیرت انگیز")</f>
        <v>ہاتھ سے آنکھ کو آرڈینیشن اور حیرت انگیز</v>
      </c>
      <c r="Q199" s="6" t="s">
        <v>656</v>
      </c>
      <c r="R199" s="6" t="str">
        <f>IFERROR(__xludf.DUMMYFUNCTION("GOOGLETRANSLATE(G199,""en"",""ur"")"),"ہاتھ سے آنکھ کو آرڈینیشن اور حیرت انگیز")</f>
        <v>ہاتھ سے آنکھ کو آرڈینیشن اور حیرت انگیز</v>
      </c>
      <c r="S199" s="6" t="s">
        <v>777</v>
      </c>
      <c r="T199" s="6"/>
      <c r="U199" s="6"/>
      <c r="V199" s="6"/>
      <c r="W199" s="6"/>
      <c r="X199" s="6"/>
      <c r="Y199" s="6"/>
      <c r="Z199" s="6"/>
      <c r="AA199" s="6"/>
    </row>
    <row r="200">
      <c r="A200" s="7">
        <v>199.0</v>
      </c>
      <c r="B200" s="6" t="s">
        <v>657</v>
      </c>
      <c r="C200" s="6" t="s">
        <v>658</v>
      </c>
      <c r="D200" s="6" t="s">
        <v>659</v>
      </c>
      <c r="E200" s="6" t="s">
        <v>660</v>
      </c>
      <c r="F200" s="6" t="s">
        <v>661</v>
      </c>
      <c r="G200" s="6" t="s">
        <v>660</v>
      </c>
      <c r="H200" s="6" t="s">
        <v>777</v>
      </c>
      <c r="I200" s="6"/>
      <c r="J200" s="6"/>
      <c r="K200" s="7">
        <v>199.0</v>
      </c>
      <c r="L200" s="6" t="str">
        <f>IFERROR(__xludf.DUMMYFUNCTION("GOOGLETRANSLATE(B200,""en"",""ur"")"),"کھلاڑیوں کے جوتے کے بارے میں ایک قابل ذکر تفصیل کیا ہے؟")</f>
        <v>کھلاڑیوں کے جوتے کے بارے میں ایک قابل ذکر تفصیل کیا ہے؟</v>
      </c>
      <c r="M200" s="6"/>
      <c r="N200" s="8" t="str">
        <f>IFERROR(__xludf.DUMMYFUNCTION("GOOGLETRANSLATE(D200,""en"",""ur"")"),"وہ ننگے پاؤں ہیں۔")</f>
        <v>وہ ننگے پاؤں ہیں۔</v>
      </c>
      <c r="O200" s="6" t="str">
        <f>IFERROR(__xludf.DUMMYFUNCTION("GOOGLETRANSLATE(E200,""en"",""ur"")"),"وہ سینڈل یا فلپ فلاپ پہنے ہوئے ہیں۔")</f>
        <v>وہ سینڈل یا فلپ فلاپ پہنے ہوئے ہیں۔</v>
      </c>
      <c r="P200" s="6" t="str">
        <f>IFERROR(__xludf.DUMMYFUNCTION("GOOGLETRANSLATE(F200,""en"",""ur"")"),"وہ موزے پہنے ہوئے ہیں۔")</f>
        <v>وہ موزے پہنے ہوئے ہیں۔</v>
      </c>
      <c r="Q200" s="6" t="s">
        <v>662</v>
      </c>
      <c r="R200" s="6" t="str">
        <f>IFERROR(__xludf.DUMMYFUNCTION("GOOGLETRANSLATE(G200,""en"",""ur"")"),"وہ سینڈل یا فلپ فلاپ پہنے ہوئے ہیں۔")</f>
        <v>وہ سینڈل یا فلپ فلاپ پہنے ہوئے ہیں۔</v>
      </c>
      <c r="S200" s="6" t="s">
        <v>777</v>
      </c>
      <c r="T200" s="6"/>
      <c r="U200" s="6"/>
      <c r="V200" s="6"/>
      <c r="W200" s="6"/>
      <c r="X200" s="6"/>
      <c r="Y200" s="6"/>
      <c r="Z200" s="6"/>
      <c r="AA200" s="6"/>
    </row>
    <row r="201">
      <c r="A201" s="7">
        <v>200.0</v>
      </c>
      <c r="B201" s="6" t="s">
        <v>663</v>
      </c>
      <c r="C201" s="6" t="s">
        <v>664</v>
      </c>
      <c r="D201" s="6" t="s">
        <v>665</v>
      </c>
      <c r="E201" s="6" t="s">
        <v>666</v>
      </c>
      <c r="F201" s="6" t="s">
        <v>667</v>
      </c>
      <c r="G201" s="6" t="s">
        <v>666</v>
      </c>
      <c r="H201" s="6" t="s">
        <v>777</v>
      </c>
      <c r="I201" s="6"/>
      <c r="J201" s="6"/>
      <c r="K201" s="7">
        <v>200.0</v>
      </c>
      <c r="L201" s="6" t="str">
        <f>IFERROR(__xludf.DUMMYFUNCTION("GOOGLETRANSLATE(B201,""en"",""ur"")"),"پس منظر میں دیگر کھلاڑیوں کے بارے میں ایک قابل ذکر تفصیل کیا ہے؟")</f>
        <v>پس منظر میں دیگر کھلاڑیوں کے بارے میں ایک قابل ذکر تفصیل کیا ہے؟</v>
      </c>
      <c r="M201" s="6"/>
      <c r="N201" s="8" t="str">
        <f>IFERROR(__xludf.DUMMYFUNCTION("GOOGLETRANSLATE(D201,""en"",""ur"")"),"وہ سب ادھر ادھر بھاگ رہے ہیں۔")</f>
        <v>وہ سب ادھر ادھر بھاگ رہے ہیں۔</v>
      </c>
      <c r="O201" s="6" t="str">
        <f>IFERROR(__xludf.DUMMYFUNCTION("GOOGLETRANSLATE(E201,""en"",""ur"")"),"وہ ایک دفاعی، تیار موقف میں ہیں۔")</f>
        <v>وہ ایک دفاعی، تیار موقف میں ہیں۔</v>
      </c>
      <c r="P201" s="6" t="str">
        <f>IFERROR(__xludf.DUMMYFUNCTION("GOOGLETRANSLATE(F201,""en"",""ur"")"),"وہ سب لہرا رہے ہیں۔")</f>
        <v>وہ سب لہرا رہے ہیں۔</v>
      </c>
      <c r="Q201" s="6" t="s">
        <v>668</v>
      </c>
      <c r="R201" s="6" t="str">
        <f>IFERROR(__xludf.DUMMYFUNCTION("GOOGLETRANSLATE(G201,""en"",""ur"")"),"وہ ایک دفاعی، تیار موقف میں ہیں۔")</f>
        <v>وہ ایک دفاعی، تیار موقف میں ہیں۔</v>
      </c>
      <c r="S201" s="6" t="s">
        <v>777</v>
      </c>
      <c r="T201" s="6"/>
      <c r="U201" s="6"/>
      <c r="V201" s="6"/>
      <c r="W201" s="6"/>
      <c r="X201" s="6"/>
      <c r="Y201" s="6"/>
      <c r="Z201" s="6"/>
      <c r="AA201" s="6"/>
    </row>
    <row r="202">
      <c r="A202" s="7">
        <v>201.0</v>
      </c>
      <c r="B202" s="6" t="s">
        <v>778</v>
      </c>
      <c r="C202" s="6" t="s">
        <v>632</v>
      </c>
      <c r="D202" s="6" t="s">
        <v>633</v>
      </c>
      <c r="E202" s="6" t="s">
        <v>634</v>
      </c>
      <c r="F202" s="6" t="s">
        <v>713</v>
      </c>
      <c r="G202" s="6" t="s">
        <v>632</v>
      </c>
      <c r="H202" s="6" t="s">
        <v>779</v>
      </c>
      <c r="I202" s="6"/>
      <c r="J202" s="6"/>
      <c r="K202" s="7">
        <v>201.0</v>
      </c>
      <c r="L202" s="6" t="str">
        <f>IFERROR(__xludf.DUMMYFUNCTION("GOOGLETRANSLATE(B202,""en"",""ur"")"),"gilli_danda_53 میں دکھایا گیا اہم عمل کیا ہے؟")</f>
        <v>gilli_danda_53 میں دکھایا گیا اہم عمل کیا ہے؟</v>
      </c>
      <c r="M202" s="6"/>
      <c r="N202" s="8" t="str">
        <f>IFERROR(__xludf.DUMMYFUNCTION("GOOGLETRANSLATE(D202,""en"",""ur"")"),"ایک کھلاڑی گیند کی خدمت کر رہا ہے۔")</f>
        <v>ایک کھلاڑی گیند کی خدمت کر رہا ہے۔</v>
      </c>
      <c r="O202" s="6" t="str">
        <f>IFERROR(__xludf.DUMMYFUNCTION("GOOGLETRANSLATE(E202,""en"",""ur"")"),"ایک کھلاڑی دفاعی بلاک کا مظاہرہ کر رہا ہے۔")</f>
        <v>ایک کھلاڑی دفاعی بلاک کا مظاہرہ کر رہا ہے۔</v>
      </c>
      <c r="P202" s="6" t="str">
        <f>IFERROR(__xludf.DUMMYFUNCTION("GOOGLETRANSLATE(F202,""en"",""ur"")"),"ایک کھلاڑی کھینچ رہا ہے۔")</f>
        <v>ایک کھلاڑی کھینچ رہا ہے۔</v>
      </c>
      <c r="Q202" s="6" t="s">
        <v>715</v>
      </c>
      <c r="R202" s="6" t="str">
        <f>IFERROR(__xludf.DUMMYFUNCTION("GOOGLETRANSLATE(G202,""en"",""ur"")"),"ایک کھلاڑی چھوٹی چھڑی کو بڑی چھڑی سے مار رہا ہے۔")</f>
        <v>ایک کھلاڑی چھوٹی چھڑی کو بڑی چھڑی سے مار رہا ہے۔</v>
      </c>
      <c r="S202" s="6" t="s">
        <v>779</v>
      </c>
      <c r="T202" s="6"/>
      <c r="U202" s="6"/>
      <c r="V202" s="6"/>
      <c r="W202" s="6"/>
      <c r="X202" s="6"/>
      <c r="Y202" s="6"/>
      <c r="Z202" s="6"/>
      <c r="AA202" s="6"/>
    </row>
    <row r="203">
      <c r="A203" s="7">
        <v>202.0</v>
      </c>
      <c r="B203" s="6" t="s">
        <v>636</v>
      </c>
      <c r="C203" s="6" t="s">
        <v>637</v>
      </c>
      <c r="D203" s="6" t="s">
        <v>638</v>
      </c>
      <c r="E203" s="6" t="s">
        <v>639</v>
      </c>
      <c r="F203" s="6" t="s">
        <v>640</v>
      </c>
      <c r="G203" s="6" t="s">
        <v>638</v>
      </c>
      <c r="H203" s="6" t="s">
        <v>779</v>
      </c>
      <c r="I203" s="6"/>
      <c r="J203" s="6"/>
      <c r="K203" s="7">
        <v>202.0</v>
      </c>
      <c r="L203" s="6" t="str">
        <f>IFERROR(__xludf.DUMMYFUNCTION("GOOGLETRANSLATE(B203,""en"",""ur"")"),"کھیل میں استعمال ہونے والے آلات کے دو ٹکڑے کیا ہیں؟")</f>
        <v>کھیل میں استعمال ہونے والے آلات کے دو ٹکڑے کیا ہیں؟</v>
      </c>
      <c r="M203" s="6"/>
      <c r="N203" s="8" t="str">
        <f>IFERROR(__xludf.DUMMYFUNCTION("GOOGLETRANSLATE(D203,""en"",""ur"")"),"ایک لمبی چھڑی (ڈنڈا) اور ایک چھوٹی چھڑی (گلی)")</f>
        <v>ایک لمبی چھڑی (ڈنڈا) اور ایک چھوٹی چھڑی (گلی)</v>
      </c>
      <c r="O203" s="6" t="str">
        <f>IFERROR(__xludf.DUMMYFUNCTION("GOOGLETRANSLATE(E203,""en"",""ur"")"),"ایک ریکیٹ اور ایک شٹل کاک")</f>
        <v>ایک ریکیٹ اور ایک شٹل کاک</v>
      </c>
      <c r="P203" s="6" t="str">
        <f>IFERROR(__xludf.DUMMYFUNCTION("GOOGLETRANSLATE(F203,""en"",""ur"")"),"ایک چمگادڑ اور ایک دستانہ")</f>
        <v>ایک چمگادڑ اور ایک دستانہ</v>
      </c>
      <c r="Q203" s="6" t="s">
        <v>641</v>
      </c>
      <c r="R203" s="6" t="str">
        <f>IFERROR(__xludf.DUMMYFUNCTION("GOOGLETRANSLATE(G203,""en"",""ur"")"),"ایک لمبی چھڑی (ڈنڈا) اور ایک چھوٹی چھڑی (گلی)")</f>
        <v>ایک لمبی چھڑی (ڈنڈا) اور ایک چھوٹی چھڑی (گلی)</v>
      </c>
      <c r="S203" s="6" t="s">
        <v>779</v>
      </c>
      <c r="T203" s="6"/>
      <c r="U203" s="6"/>
      <c r="V203" s="6"/>
      <c r="W203" s="6"/>
      <c r="X203" s="6"/>
      <c r="Y203" s="6"/>
      <c r="Z203" s="6"/>
      <c r="AA203" s="6"/>
    </row>
    <row r="204">
      <c r="A204" s="7">
        <v>203.0</v>
      </c>
      <c r="B204" s="6" t="s">
        <v>711</v>
      </c>
      <c r="C204" s="6" t="s">
        <v>307</v>
      </c>
      <c r="D204" s="6" t="s">
        <v>643</v>
      </c>
      <c r="E204" s="6" t="s">
        <v>311</v>
      </c>
      <c r="F204" s="6" t="s">
        <v>314</v>
      </c>
      <c r="G204" s="6" t="s">
        <v>643</v>
      </c>
      <c r="H204" s="6" t="s">
        <v>779</v>
      </c>
      <c r="I204" s="6"/>
      <c r="J204" s="6"/>
      <c r="K204" s="7">
        <v>203.0</v>
      </c>
      <c r="L204" s="6" t="str">
        <f>IFERROR(__xludf.DUMMYFUNCTION("GOOGLETRANSLATE(B204,""en"",""ur"")"),"کھلاڑی کے لباس کے بارے میں ایک قابل ذکر تفصیل کیا ہے؟")</f>
        <v>کھلاڑی کے لباس کے بارے میں ایک قابل ذکر تفصیل کیا ہے؟</v>
      </c>
      <c r="M204" s="6"/>
      <c r="N204" s="8" t="str">
        <f>IFERROR(__xludf.DUMMYFUNCTION("GOOGLETRANSLATE(D204,""en"",""ur"")"),"وہ ایک پست، جھکائے ہوئے موقف میں ہے، ہڑتال کرنے کی تیاری کر رہا ہے۔")</f>
        <v>وہ ایک پست، جھکائے ہوئے موقف میں ہے، ہڑتال کرنے کی تیاری کر رہا ہے۔</v>
      </c>
      <c r="O204" s="6" t="str">
        <f>IFERROR(__xludf.DUMMYFUNCTION("GOOGLETRANSLATE(E204,""en"",""ur"")"),"وہ سیدھا کھڑا ہے۔")</f>
        <v>وہ سیدھا کھڑا ہے۔</v>
      </c>
      <c r="P204" s="6" t="str">
        <f>IFERROR(__xludf.DUMMYFUNCTION("GOOGLETRANSLATE(F204,""en"",""ur"")"),"وہ آرام سے بیٹھا ہے۔")</f>
        <v>وہ آرام سے بیٹھا ہے۔</v>
      </c>
      <c r="Q204" s="6" t="s">
        <v>644</v>
      </c>
      <c r="R204" s="6" t="str">
        <f>IFERROR(__xludf.DUMMYFUNCTION("GOOGLETRANSLATE(G204,""en"",""ur"")"),"وہ ایک پست، جھکائے ہوئے موقف میں ہے، ہڑتال کرنے کی تیاری کر رہا ہے۔")</f>
        <v>وہ ایک پست، جھکائے ہوئے موقف میں ہے، ہڑتال کرنے کی تیاری کر رہا ہے۔</v>
      </c>
      <c r="S204" s="6" t="s">
        <v>779</v>
      </c>
      <c r="T204" s="6"/>
      <c r="U204" s="6"/>
      <c r="V204" s="6"/>
      <c r="W204" s="6"/>
      <c r="X204" s="6"/>
      <c r="Y204" s="6"/>
      <c r="Z204" s="6"/>
      <c r="AA204" s="6"/>
    </row>
    <row r="205">
      <c r="A205" s="7">
        <v>204.0</v>
      </c>
      <c r="B205" s="6" t="s">
        <v>645</v>
      </c>
      <c r="C205" s="6" t="s">
        <v>422</v>
      </c>
      <c r="D205" s="6" t="s">
        <v>646</v>
      </c>
      <c r="E205" s="6" t="s">
        <v>647</v>
      </c>
      <c r="F205" s="6" t="s">
        <v>425</v>
      </c>
      <c r="G205" s="6" t="s">
        <v>647</v>
      </c>
      <c r="H205" s="6" t="s">
        <v>779</v>
      </c>
      <c r="I205" s="6"/>
      <c r="J205" s="6"/>
      <c r="K205" s="7">
        <v>204.0</v>
      </c>
      <c r="L205" s="6" t="str">
        <f>IFERROR(__xludf.DUMMYFUNCTION("GOOGLETRANSLATE(B205,""en"",""ur"")"),"کھیل کی ظاہری ترتیب کیا ہے؟")</f>
        <v>کھیل کی ظاہری ترتیب کیا ہے؟</v>
      </c>
      <c r="M205" s="6"/>
      <c r="N205" s="8" t="str">
        <f>IFERROR(__xludf.DUMMYFUNCTION("GOOGLETRANSLATE(D205,""en"",""ur"")"),"شہر کی ایک گلی")</f>
        <v>شہر کی ایک گلی</v>
      </c>
      <c r="O205" s="6" t="str">
        <f>IFERROR(__xludf.DUMMYFUNCTION("GOOGLETRANSLATE(E205,""en"",""ur"")"),"ایک بیرونی گندگی کا میدان")</f>
        <v>ایک بیرونی گندگی کا میدان</v>
      </c>
      <c r="P205" s="6" t="str">
        <f>IFERROR(__xludf.DUMMYFUNCTION("GOOGLETRANSLATE(F205,""en"",""ur"")"),"گھاس کا میدان")</f>
        <v>گھاس کا میدان</v>
      </c>
      <c r="Q205" s="6" t="s">
        <v>648</v>
      </c>
      <c r="R205" s="6" t="str">
        <f>IFERROR(__xludf.DUMMYFUNCTION("GOOGLETRANSLATE(G205,""en"",""ur"")"),"ایک بیرونی گندگی کا میدان")</f>
        <v>ایک بیرونی گندگی کا میدان</v>
      </c>
      <c r="S205" s="6" t="s">
        <v>779</v>
      </c>
      <c r="T205" s="6"/>
      <c r="U205" s="6"/>
      <c r="V205" s="6"/>
      <c r="W205" s="6"/>
      <c r="X205" s="6"/>
      <c r="Y205" s="6"/>
      <c r="Z205" s="6"/>
      <c r="AA205" s="6"/>
    </row>
    <row r="206">
      <c r="A206" s="7">
        <v>205.0</v>
      </c>
      <c r="B206" s="6" t="s">
        <v>679</v>
      </c>
      <c r="C206" s="6" t="s">
        <v>47</v>
      </c>
      <c r="D206" s="6" t="s">
        <v>48</v>
      </c>
      <c r="E206" s="6" t="s">
        <v>49</v>
      </c>
      <c r="F206" s="6" t="s">
        <v>50</v>
      </c>
      <c r="G206" s="6" t="s">
        <v>49</v>
      </c>
      <c r="H206" s="6" t="s">
        <v>779</v>
      </c>
      <c r="I206" s="6"/>
      <c r="J206" s="6"/>
      <c r="K206" s="7">
        <v>205.0</v>
      </c>
      <c r="L206" s="6" t="str">
        <f>IFERROR(__xludf.DUMMYFUNCTION("GOOGLETRANSLATE(B206,""en"",""ur"")"),"کھلاڑی کے چہرے سے ظاہری جذبات کیا ہیں؟")</f>
        <v>کھلاڑی کے چہرے سے ظاہری جذبات کیا ہیں؟</v>
      </c>
      <c r="M206" s="6"/>
      <c r="N206" s="8" t="str">
        <f>IFERROR(__xludf.DUMMYFUNCTION("GOOGLETRANSLATE(D206,""en"",""ur"")"),"خوف زدہ اور بے چین")</f>
        <v>خوف زدہ اور بے چین</v>
      </c>
      <c r="O206" s="6" t="str">
        <f>IFERROR(__xludf.DUMMYFUNCTION("GOOGLETRANSLATE(E206,""en"",""ur"")"),"کشیدہ اور شدید")</f>
        <v>کشیدہ اور شدید</v>
      </c>
      <c r="P206" s="6" t="str">
        <f>IFERROR(__xludf.DUMMYFUNCTION("GOOGLETRANSLATE(F206,""en"",""ur"")"),"خوش اور مسکراتے ہوئے۔")</f>
        <v>خوش اور مسکراتے ہوئے۔</v>
      </c>
      <c r="Q206" s="6" t="s">
        <v>649</v>
      </c>
      <c r="R206" s="6" t="str">
        <f>IFERROR(__xludf.DUMMYFUNCTION("GOOGLETRANSLATE(G206,""en"",""ur"")"),"کشیدہ اور شدید")</f>
        <v>کشیدہ اور شدید</v>
      </c>
      <c r="S206" s="6" t="s">
        <v>779</v>
      </c>
      <c r="T206" s="6"/>
      <c r="U206" s="6"/>
      <c r="V206" s="6"/>
      <c r="W206" s="6"/>
      <c r="X206" s="6"/>
      <c r="Y206" s="6"/>
      <c r="Z206" s="6"/>
      <c r="AA206" s="6"/>
    </row>
    <row r="207">
      <c r="A207" s="7">
        <v>206.0</v>
      </c>
      <c r="B207" s="6" t="s">
        <v>88</v>
      </c>
      <c r="C207" s="6" t="s">
        <v>89</v>
      </c>
      <c r="D207" s="6" t="s">
        <v>90</v>
      </c>
      <c r="E207" s="6" t="s">
        <v>91</v>
      </c>
      <c r="F207" s="6" t="s">
        <v>255</v>
      </c>
      <c r="G207" s="6" t="s">
        <v>255</v>
      </c>
      <c r="H207" s="6" t="s">
        <v>779</v>
      </c>
      <c r="I207" s="6"/>
      <c r="J207" s="6"/>
      <c r="K207" s="7">
        <v>206.0</v>
      </c>
      <c r="L207" s="6" t="str">
        <f>IFERROR(__xludf.DUMMYFUNCTION("GOOGLETRANSLATE(B207,""en"",""ur"")"),"زمین کی سب سے نمایاں خصوصیت کیا ہے؟")</f>
        <v>زمین کی سب سے نمایاں خصوصیت کیا ہے؟</v>
      </c>
      <c r="M207" s="6"/>
      <c r="N207" s="8" t="str">
        <f>IFERROR(__xludf.DUMMYFUNCTION("GOOGLETRANSLATE(D207,""en"",""ur"")"),"کیچڑ والا میدان")</f>
        <v>کیچڑ والا میدان</v>
      </c>
      <c r="O207" s="6" t="str">
        <f>IFERROR(__xludf.DUMMYFUNCTION("GOOGLETRANSLATE(E207,""en"",""ur"")"),"ایک گھاس دار سطح")</f>
        <v>ایک گھاس دار سطح</v>
      </c>
      <c r="P207" s="6" t="str">
        <f>IFERROR(__xludf.DUMMYFUNCTION("GOOGLETRANSLATE(F207,""en"",""ur"")"),"ریتلی یا گندگی کی سطح")</f>
        <v>ریتلی یا گندگی کی سطح</v>
      </c>
      <c r="Q207" s="6" t="s">
        <v>688</v>
      </c>
      <c r="R207" s="6" t="str">
        <f>IFERROR(__xludf.DUMMYFUNCTION("GOOGLETRANSLATE(G207,""en"",""ur"")"),"ریتلی یا گندگی کی سطح")</f>
        <v>ریتلی یا گندگی کی سطح</v>
      </c>
      <c r="S207" s="6" t="s">
        <v>779</v>
      </c>
      <c r="T207" s="6"/>
      <c r="U207" s="6"/>
      <c r="V207" s="6"/>
      <c r="W207" s="6"/>
      <c r="X207" s="6"/>
      <c r="Y207" s="6"/>
      <c r="Z207" s="6"/>
      <c r="AA207" s="6"/>
    </row>
    <row r="208">
      <c r="A208" s="7">
        <v>207.0</v>
      </c>
      <c r="B208" s="6" t="s">
        <v>94</v>
      </c>
      <c r="C208" s="6" t="s">
        <v>95</v>
      </c>
      <c r="D208" s="6" t="s">
        <v>651</v>
      </c>
      <c r="E208" s="6" t="s">
        <v>652</v>
      </c>
      <c r="F208" s="6" t="s">
        <v>653</v>
      </c>
      <c r="G208" s="6" t="s">
        <v>652</v>
      </c>
      <c r="H208" s="6" t="s">
        <v>779</v>
      </c>
      <c r="I208" s="6"/>
      <c r="J208" s="6"/>
      <c r="K208" s="7">
        <v>207.0</v>
      </c>
      <c r="L208" s="6" t="str">
        <f>IFERROR(__xludf.DUMMYFUNCTION("GOOGLETRANSLATE(B208,""en"",""ur"")"),"کھیلے جانے والے کھیل کا نام کیا ہے؟")</f>
        <v>کھیلے جانے والے کھیل کا نام کیا ہے؟</v>
      </c>
      <c r="M208" s="6"/>
      <c r="N208" s="8" t="str">
        <f>IFERROR(__xludf.DUMMYFUNCTION("GOOGLETRANSLATE(D208,""en"",""ur"")"),"کرکٹ")</f>
        <v>کرکٹ</v>
      </c>
      <c r="O208" s="6" t="str">
        <f>IFERROR(__xludf.DUMMYFUNCTION("GOOGLETRANSLATE(E208,""en"",""ur"")"),"گلی ڈنڈا۔")</f>
        <v>گلی ڈنڈا۔</v>
      </c>
      <c r="P208" s="6" t="str">
        <f>IFERROR(__xludf.DUMMYFUNCTION("GOOGLETRANSLATE(F208,""en"",""ur"")"),"بیس بال")</f>
        <v>بیس بال</v>
      </c>
      <c r="Q208" s="6" t="s">
        <v>654</v>
      </c>
      <c r="R208" s="6" t="str">
        <f>IFERROR(__xludf.DUMMYFUNCTION("GOOGLETRANSLATE(G208,""en"",""ur"")"),"گلی ڈنڈا۔")</f>
        <v>گلی ڈنڈا۔</v>
      </c>
      <c r="S208" s="6" t="s">
        <v>779</v>
      </c>
      <c r="T208" s="6"/>
      <c r="U208" s="6"/>
      <c r="V208" s="6"/>
      <c r="W208" s="6"/>
      <c r="X208" s="6"/>
      <c r="Y208" s="6"/>
      <c r="Z208" s="6"/>
      <c r="AA208" s="6"/>
    </row>
    <row r="209">
      <c r="A209" s="7">
        <v>208.0</v>
      </c>
      <c r="B209" s="6" t="s">
        <v>260</v>
      </c>
      <c r="C209" s="6" t="s">
        <v>261</v>
      </c>
      <c r="D209" s="6" t="s">
        <v>262</v>
      </c>
      <c r="E209" s="6" t="s">
        <v>263</v>
      </c>
      <c r="F209" s="6" t="s">
        <v>655</v>
      </c>
      <c r="G209" s="6" t="s">
        <v>655</v>
      </c>
      <c r="H209" s="6" t="s">
        <v>779</v>
      </c>
      <c r="I209" s="6"/>
      <c r="J209" s="6"/>
      <c r="K209" s="7">
        <v>208.0</v>
      </c>
      <c r="L209" s="6" t="str">
        <f>IFERROR(__xludf.DUMMYFUNCTION("GOOGLETRANSLATE(B209,""en"",""ur"")"),"تصویر میں ایکشن ایک ایسا انداز تجویز کرتا ہے جو اس بات پر زور دیتا ہے...")</f>
        <v>تصویر میں ایکشن ایک ایسا انداز تجویز کرتا ہے جو اس بات پر زور دیتا ہے...</v>
      </c>
      <c r="M209" s="6"/>
      <c r="N209" s="8" t="str">
        <f>IFERROR(__xludf.DUMMYFUNCTION("GOOGLETRANSLATE(D209,""en"",""ur"")"),"زمینی لڑائی اور گرفت")</f>
        <v>زمینی لڑائی اور گرفت</v>
      </c>
      <c r="O209" s="6" t="str">
        <f>IFERROR(__xludf.DUMMYFUNCTION("GOOGLETRANSLATE(E209,""en"",""ur"")"),"وحشیانہ قوت اور گھڑ سواری۔")</f>
        <v>وحشیانہ قوت اور گھڑ سواری۔</v>
      </c>
      <c r="P209" s="6" t="str">
        <f>IFERROR(__xludf.DUMMYFUNCTION("GOOGLETRANSLATE(F209,""en"",""ur"")"),"ہاتھ سے آنکھ کو آرڈینیشن اور حیرت انگیز")</f>
        <v>ہاتھ سے آنکھ کو آرڈینیشن اور حیرت انگیز</v>
      </c>
      <c r="Q209" s="6" t="s">
        <v>656</v>
      </c>
      <c r="R209" s="6" t="str">
        <f>IFERROR(__xludf.DUMMYFUNCTION("GOOGLETRANSLATE(G209,""en"",""ur"")"),"ہاتھ سے آنکھ کو آرڈینیشن اور حیرت انگیز")</f>
        <v>ہاتھ سے آنکھ کو آرڈینیشن اور حیرت انگیز</v>
      </c>
      <c r="S209" s="6" t="s">
        <v>779</v>
      </c>
      <c r="T209" s="6"/>
      <c r="U209" s="6"/>
      <c r="V209" s="6"/>
      <c r="W209" s="6"/>
      <c r="X209" s="6"/>
      <c r="Y209" s="6"/>
      <c r="Z209" s="6"/>
      <c r="AA209" s="6"/>
    </row>
    <row r="210">
      <c r="A210" s="7">
        <v>209.0</v>
      </c>
      <c r="B210" s="6" t="s">
        <v>657</v>
      </c>
      <c r="C210" s="6" t="s">
        <v>658</v>
      </c>
      <c r="D210" s="6" t="s">
        <v>659</v>
      </c>
      <c r="E210" s="6" t="s">
        <v>660</v>
      </c>
      <c r="F210" s="6" t="s">
        <v>661</v>
      </c>
      <c r="G210" s="6" t="s">
        <v>660</v>
      </c>
      <c r="H210" s="6" t="s">
        <v>779</v>
      </c>
      <c r="I210" s="6"/>
      <c r="J210" s="6"/>
      <c r="K210" s="7">
        <v>209.0</v>
      </c>
      <c r="L210" s="6" t="str">
        <f>IFERROR(__xludf.DUMMYFUNCTION("GOOGLETRANSLATE(B210,""en"",""ur"")"),"کھلاڑیوں کے جوتے کے بارے میں ایک قابل ذکر تفصیل کیا ہے؟")</f>
        <v>کھلاڑیوں کے جوتے کے بارے میں ایک قابل ذکر تفصیل کیا ہے؟</v>
      </c>
      <c r="M210" s="6"/>
      <c r="N210" s="8" t="str">
        <f>IFERROR(__xludf.DUMMYFUNCTION("GOOGLETRANSLATE(D210,""en"",""ur"")"),"وہ ننگے پاؤں ہیں۔")</f>
        <v>وہ ننگے پاؤں ہیں۔</v>
      </c>
      <c r="O210" s="6" t="str">
        <f>IFERROR(__xludf.DUMMYFUNCTION("GOOGLETRANSLATE(E210,""en"",""ur"")"),"وہ سینڈل یا فلپ فلاپ پہنے ہوئے ہیں۔")</f>
        <v>وہ سینڈل یا فلپ فلاپ پہنے ہوئے ہیں۔</v>
      </c>
      <c r="P210" s="6" t="str">
        <f>IFERROR(__xludf.DUMMYFUNCTION("GOOGLETRANSLATE(F210,""en"",""ur"")"),"وہ موزے پہنے ہوئے ہیں۔")</f>
        <v>وہ موزے پہنے ہوئے ہیں۔</v>
      </c>
      <c r="Q210" s="6" t="s">
        <v>662</v>
      </c>
      <c r="R210" s="6" t="str">
        <f>IFERROR(__xludf.DUMMYFUNCTION("GOOGLETRANSLATE(G210,""en"",""ur"")"),"وہ سینڈل یا فلپ فلاپ پہنے ہوئے ہیں۔")</f>
        <v>وہ سینڈل یا فلپ فلاپ پہنے ہوئے ہیں۔</v>
      </c>
      <c r="S210" s="6" t="s">
        <v>779</v>
      </c>
      <c r="T210" s="6"/>
      <c r="U210" s="6"/>
      <c r="V210" s="6"/>
      <c r="W210" s="6"/>
      <c r="X210" s="6"/>
      <c r="Y210" s="6"/>
      <c r="Z210" s="6"/>
      <c r="AA210" s="6"/>
    </row>
    <row r="211">
      <c r="A211" s="7">
        <v>210.0</v>
      </c>
      <c r="B211" s="6" t="s">
        <v>663</v>
      </c>
      <c r="C211" s="6" t="s">
        <v>664</v>
      </c>
      <c r="D211" s="6" t="s">
        <v>665</v>
      </c>
      <c r="E211" s="6" t="s">
        <v>666</v>
      </c>
      <c r="F211" s="6" t="s">
        <v>780</v>
      </c>
      <c r="G211" s="6" t="s">
        <v>780</v>
      </c>
      <c r="H211" s="6" t="s">
        <v>779</v>
      </c>
      <c r="I211" s="6"/>
      <c r="J211" s="6"/>
      <c r="K211" s="7">
        <v>210.0</v>
      </c>
      <c r="L211" s="6" t="str">
        <f>IFERROR(__xludf.DUMMYFUNCTION("GOOGLETRANSLATE(B211,""en"",""ur"")"),"پس منظر میں دیگر کھلاڑیوں کے بارے میں ایک قابل ذکر تفصیل کیا ہے؟")</f>
        <v>پس منظر میں دیگر کھلاڑیوں کے بارے میں ایک قابل ذکر تفصیل کیا ہے؟</v>
      </c>
      <c r="M211" s="6"/>
      <c r="N211" s="8" t="str">
        <f>IFERROR(__xludf.DUMMYFUNCTION("GOOGLETRANSLATE(D211,""en"",""ur"")"),"وہ سب ادھر ادھر بھاگ رہے ہیں۔")</f>
        <v>وہ سب ادھر ادھر بھاگ رہے ہیں۔</v>
      </c>
      <c r="O211" s="6" t="str">
        <f>IFERROR(__xludf.DUMMYFUNCTION("GOOGLETRANSLATE(E211,""en"",""ur"")"),"وہ ایک دفاعی، تیار موقف میں ہیں۔")</f>
        <v>وہ ایک دفاعی، تیار موقف میں ہیں۔</v>
      </c>
      <c r="P211" s="6" t="str">
        <f>IFERROR(__xludf.DUMMYFUNCTION("GOOGLETRANSLATE(F211,""en"",""ur"")"),"کوئی اور کھلاڑی نہیں ہیں۔")</f>
        <v>کوئی اور کھلاڑی نہیں ہیں۔</v>
      </c>
      <c r="Q211" s="6" t="s">
        <v>781</v>
      </c>
      <c r="R211" s="6" t="str">
        <f>IFERROR(__xludf.DUMMYFUNCTION("GOOGLETRANSLATE(G211,""en"",""ur"")"),"کوئی اور کھلاڑی نہیں ہیں۔")</f>
        <v>کوئی اور کھلاڑی نہیں ہیں۔</v>
      </c>
      <c r="S211" s="6" t="s">
        <v>779</v>
      </c>
      <c r="T211" s="6"/>
      <c r="U211" s="6"/>
      <c r="V211" s="6"/>
      <c r="W211" s="6"/>
      <c r="X211" s="6"/>
      <c r="Y211" s="6"/>
      <c r="Z211" s="6"/>
      <c r="AA211" s="6"/>
    </row>
    <row r="212">
      <c r="A212" s="7">
        <v>211.0</v>
      </c>
      <c r="B212" s="6" t="s">
        <v>782</v>
      </c>
      <c r="C212" s="6" t="s">
        <v>783</v>
      </c>
      <c r="D212" s="6" t="s">
        <v>142</v>
      </c>
      <c r="E212" s="6" t="s">
        <v>784</v>
      </c>
      <c r="F212" s="6" t="s">
        <v>785</v>
      </c>
      <c r="G212" s="6" t="s">
        <v>784</v>
      </c>
      <c r="H212" s="6" t="s">
        <v>786</v>
      </c>
      <c r="I212" s="6"/>
      <c r="J212" s="6"/>
      <c r="K212" s="7">
        <v>211.0</v>
      </c>
      <c r="L212" s="6" t="str">
        <f>IFERROR(__xludf.DUMMYFUNCTION("GOOGLETRANSLATE(B212,""en"",""ur"")"),"gilli_danda_51 میں دکھایا گیا اہم عمل کیا ہے؟")</f>
        <v>gilli_danda_51 میں دکھایا گیا اہم عمل کیا ہے؟</v>
      </c>
      <c r="M212" s="6"/>
      <c r="N212" s="8" t="str">
        <f>IFERROR(__xludf.DUMMYFUNCTION("GOOGLETRANSLATE(D212,""en"",""ur"")"),"لوگوں کا ایک گروپ جو گیند کا کھیل کھیل رہا ہے۔")</f>
        <v>لوگوں کا ایک گروپ جو گیند کا کھیل کھیل رہا ہے۔</v>
      </c>
      <c r="O212" s="6" t="str">
        <f>IFERROR(__xludf.DUMMYFUNCTION("GOOGLETRANSLATE(E212,""en"",""ur"")"),"لوگوں کا ایک گروہ ایک چھوٹی چھڑی کو بڑی چھڑی سے مار رہا ہے۔")</f>
        <v>لوگوں کا ایک گروہ ایک چھوٹی چھڑی کو بڑی چھڑی سے مار رہا ہے۔</v>
      </c>
      <c r="P212" s="6" t="str">
        <f>IFERROR(__xludf.DUMMYFUNCTION("GOOGLETRANSLATE(F212,""en"",""ur"")"),"لوگوں کا ایک گروپ چل رہا ہے۔")</f>
        <v>لوگوں کا ایک گروپ چل رہا ہے۔</v>
      </c>
      <c r="Q212" s="6" t="s">
        <v>787</v>
      </c>
      <c r="R212" s="6" t="str">
        <f>IFERROR(__xludf.DUMMYFUNCTION("GOOGLETRANSLATE(G212,""en"",""ur"")"),"لوگوں کا ایک گروہ ایک چھوٹی چھڑی کو بڑی چھڑی سے مار رہا ہے۔")</f>
        <v>لوگوں کا ایک گروہ ایک چھوٹی چھڑی کو بڑی چھڑی سے مار رہا ہے۔</v>
      </c>
      <c r="S212" s="6" t="s">
        <v>786</v>
      </c>
      <c r="T212" s="6"/>
      <c r="U212" s="6"/>
      <c r="V212" s="6"/>
      <c r="W212" s="6"/>
      <c r="X212" s="6"/>
      <c r="Y212" s="6"/>
      <c r="Z212" s="6"/>
      <c r="AA212" s="6"/>
    </row>
    <row r="213">
      <c r="A213" s="7">
        <v>212.0</v>
      </c>
      <c r="B213" s="6" t="s">
        <v>636</v>
      </c>
      <c r="C213" s="6" t="s">
        <v>637</v>
      </c>
      <c r="D213" s="6" t="s">
        <v>638</v>
      </c>
      <c r="E213" s="6" t="s">
        <v>639</v>
      </c>
      <c r="F213" s="6" t="s">
        <v>640</v>
      </c>
      <c r="G213" s="6" t="s">
        <v>638</v>
      </c>
      <c r="H213" s="6" t="s">
        <v>786</v>
      </c>
      <c r="I213" s="6"/>
      <c r="J213" s="6"/>
      <c r="K213" s="7">
        <v>212.0</v>
      </c>
      <c r="L213" s="6" t="str">
        <f>IFERROR(__xludf.DUMMYFUNCTION("GOOGLETRANSLATE(B213,""en"",""ur"")"),"کھیل میں استعمال ہونے والے آلات کے دو ٹکڑے کیا ہیں؟")</f>
        <v>کھیل میں استعمال ہونے والے آلات کے دو ٹکڑے کیا ہیں؟</v>
      </c>
      <c r="M213" s="6"/>
      <c r="N213" s="8" t="str">
        <f>IFERROR(__xludf.DUMMYFUNCTION("GOOGLETRANSLATE(D213,""en"",""ur"")"),"ایک لمبی چھڑی (ڈنڈا) اور ایک چھوٹی چھڑی (گلی)")</f>
        <v>ایک لمبی چھڑی (ڈنڈا) اور ایک چھوٹی چھڑی (گلی)</v>
      </c>
      <c r="O213" s="6" t="str">
        <f>IFERROR(__xludf.DUMMYFUNCTION("GOOGLETRANSLATE(E213,""en"",""ur"")"),"ایک ریکیٹ اور ایک شٹل کاک")</f>
        <v>ایک ریکیٹ اور ایک شٹل کاک</v>
      </c>
      <c r="P213" s="6" t="str">
        <f>IFERROR(__xludf.DUMMYFUNCTION("GOOGLETRANSLATE(F213,""en"",""ur"")"),"ایک چمگادڑ اور ایک دستانہ")</f>
        <v>ایک چمگادڑ اور ایک دستانہ</v>
      </c>
      <c r="Q213" s="6" t="s">
        <v>641</v>
      </c>
      <c r="R213" s="6" t="str">
        <f>IFERROR(__xludf.DUMMYFUNCTION("GOOGLETRANSLATE(G213,""en"",""ur"")"),"ایک لمبی چھڑی (ڈنڈا) اور ایک چھوٹی چھڑی (گلی)")</f>
        <v>ایک لمبی چھڑی (ڈنڈا) اور ایک چھوٹی چھڑی (گلی)</v>
      </c>
      <c r="S213" s="6" t="s">
        <v>786</v>
      </c>
      <c r="T213" s="6"/>
      <c r="U213" s="6"/>
      <c r="V213" s="6"/>
      <c r="W213" s="6"/>
      <c r="X213" s="6"/>
      <c r="Y213" s="6"/>
      <c r="Z213" s="6"/>
      <c r="AA213" s="6"/>
    </row>
    <row r="214">
      <c r="A214" s="7">
        <v>213.0</v>
      </c>
      <c r="B214" s="6" t="s">
        <v>767</v>
      </c>
      <c r="C214" s="6" t="s">
        <v>664</v>
      </c>
      <c r="D214" s="6" t="s">
        <v>665</v>
      </c>
      <c r="E214" s="6" t="s">
        <v>768</v>
      </c>
      <c r="F214" s="6" t="s">
        <v>667</v>
      </c>
      <c r="G214" s="6" t="s">
        <v>788</v>
      </c>
      <c r="H214" s="6" t="s">
        <v>786</v>
      </c>
      <c r="I214" s="6"/>
      <c r="J214" s="6"/>
      <c r="K214" s="7">
        <v>213.0</v>
      </c>
      <c r="L214" s="6" t="str">
        <f>IFERROR(__xludf.DUMMYFUNCTION("GOOGLETRANSLATE(B214,""en"",""ur"")"),"کھلاڑیوں کے بارے میں ایک قابل ذکر تفصیل کیا ہے؟")</f>
        <v>کھلاڑیوں کے بارے میں ایک قابل ذکر تفصیل کیا ہے؟</v>
      </c>
      <c r="M214" s="6"/>
      <c r="N214" s="8" t="str">
        <f>IFERROR(__xludf.DUMMYFUNCTION("GOOGLETRANSLATE(D214,""en"",""ur"")"),"وہ سب ادھر ادھر بھاگ رہے ہیں۔")</f>
        <v>وہ سب ادھر ادھر بھاگ رہے ہیں۔</v>
      </c>
      <c r="O214" s="6" t="str">
        <f>IFERROR(__xludf.DUMMYFUNCTION("GOOGLETRANSLATE(E214,""en"",""ur"")"),"وہ پست، جھکنے والے موقف میں ہیں، حملہ کرنے یا پکڑنے کی تیاری کر رہے ہیں۔")</f>
        <v>وہ پست، جھکنے والے موقف میں ہیں، حملہ کرنے یا پکڑنے کی تیاری کر رہے ہیں۔</v>
      </c>
      <c r="P214" s="6" t="str">
        <f>IFERROR(__xludf.DUMMYFUNCTION("GOOGLETRANSLATE(F214,""en"",""ur"")"),"وہ سب لہرا رہے ہیں۔")</f>
        <v>وہ سب لہرا رہے ہیں۔</v>
      </c>
      <c r="Q214" s="6" t="s">
        <v>769</v>
      </c>
      <c r="R214" s="6" t="str">
        <f>IFERROR(__xludf.DUMMYFUNCTION("GOOGLETRANSLATE(G214,""en"",""ur"")"),"وہ سب ادھر ادھر کھڑے دیکھ رہے ہیں۔")</f>
        <v>وہ سب ادھر ادھر کھڑے دیکھ رہے ہیں۔</v>
      </c>
      <c r="S214" s="6" t="s">
        <v>786</v>
      </c>
      <c r="T214" s="6"/>
      <c r="U214" s="6"/>
      <c r="V214" s="6"/>
      <c r="W214" s="6"/>
      <c r="X214" s="6"/>
      <c r="Y214" s="6"/>
      <c r="Z214" s="6"/>
      <c r="AA214" s="6"/>
    </row>
    <row r="215">
      <c r="A215" s="7">
        <v>214.0</v>
      </c>
      <c r="B215" s="6" t="s">
        <v>645</v>
      </c>
      <c r="C215" s="6" t="s">
        <v>422</v>
      </c>
      <c r="D215" s="6" t="s">
        <v>646</v>
      </c>
      <c r="E215" s="6" t="s">
        <v>789</v>
      </c>
      <c r="F215" s="6" t="s">
        <v>425</v>
      </c>
      <c r="G215" s="6" t="s">
        <v>789</v>
      </c>
      <c r="H215" s="6" t="s">
        <v>786</v>
      </c>
      <c r="I215" s="6"/>
      <c r="J215" s="6"/>
      <c r="K215" s="7">
        <v>214.0</v>
      </c>
      <c r="L215" s="6" t="str">
        <f>IFERROR(__xludf.DUMMYFUNCTION("GOOGLETRANSLATE(B215,""en"",""ur"")"),"کھیل کی ظاہری ترتیب کیا ہے؟")</f>
        <v>کھیل کی ظاہری ترتیب کیا ہے؟</v>
      </c>
      <c r="M215" s="6"/>
      <c r="N215" s="8" t="str">
        <f>IFERROR(__xludf.DUMMYFUNCTION("GOOGLETRANSLATE(D215,""en"",""ur"")"),"شہر کی ایک گلی")</f>
        <v>شہر کی ایک گلی</v>
      </c>
      <c r="O215" s="6" t="str">
        <f>IFERROR(__xludf.DUMMYFUNCTION("GOOGLETRANSLATE(E215,""en"",""ur"")"),"درختوں اور عمارتوں کے ساتھ ایک بیرونی گندگی کا میدان")</f>
        <v>درختوں اور عمارتوں کے ساتھ ایک بیرونی گندگی کا میدان</v>
      </c>
      <c r="P215" s="6" t="str">
        <f>IFERROR(__xludf.DUMMYFUNCTION("GOOGLETRANSLATE(F215,""en"",""ur"")"),"گھاس کا میدان")</f>
        <v>گھاس کا میدان</v>
      </c>
      <c r="Q215" s="6" t="s">
        <v>790</v>
      </c>
      <c r="R215" s="6" t="str">
        <f>IFERROR(__xludf.DUMMYFUNCTION("GOOGLETRANSLATE(G215,""en"",""ur"")"),"درختوں اور عمارتوں کے ساتھ ایک بیرونی گندگی کا میدان")</f>
        <v>درختوں اور عمارتوں کے ساتھ ایک بیرونی گندگی کا میدان</v>
      </c>
      <c r="S215" s="6" t="s">
        <v>786</v>
      </c>
      <c r="T215" s="6"/>
      <c r="U215" s="6"/>
      <c r="V215" s="6"/>
      <c r="W215" s="6"/>
      <c r="X215" s="6"/>
      <c r="Y215" s="6"/>
      <c r="Z215" s="6"/>
      <c r="AA215" s="6"/>
    </row>
    <row r="216">
      <c r="A216" s="7">
        <v>215.0</v>
      </c>
      <c r="B216" s="6" t="s">
        <v>46</v>
      </c>
      <c r="C216" s="6" t="s">
        <v>47</v>
      </c>
      <c r="D216" s="6" t="s">
        <v>48</v>
      </c>
      <c r="E216" s="6" t="s">
        <v>49</v>
      </c>
      <c r="F216" s="6" t="s">
        <v>50</v>
      </c>
      <c r="G216" s="6" t="s">
        <v>47</v>
      </c>
      <c r="H216" s="6" t="s">
        <v>786</v>
      </c>
      <c r="I216" s="6"/>
      <c r="J216" s="6"/>
      <c r="K216" s="7">
        <v>215.0</v>
      </c>
      <c r="L216" s="6" t="str">
        <f>IFERROR(__xludf.DUMMYFUNCTION("GOOGLETRANSLATE(B216,""en"",""ur"")"),"کھلاڑیوں کے چہروں سے ظاہری جذبات کیا ہیں؟")</f>
        <v>کھلاڑیوں کے چہروں سے ظاہری جذبات کیا ہیں؟</v>
      </c>
      <c r="M216" s="6"/>
      <c r="N216" s="8" t="str">
        <f>IFERROR(__xludf.DUMMYFUNCTION("GOOGLETRANSLATE(D216,""en"",""ur"")"),"خوف زدہ اور بے چین")</f>
        <v>خوف زدہ اور بے چین</v>
      </c>
      <c r="O216" s="6" t="str">
        <f>IFERROR(__xludf.DUMMYFUNCTION("GOOGLETRANSLATE(E216,""en"",""ur"")"),"کشیدہ اور شدید")</f>
        <v>کشیدہ اور شدید</v>
      </c>
      <c r="P216" s="6" t="str">
        <f>IFERROR(__xludf.DUMMYFUNCTION("GOOGLETRANSLATE(F216,""en"",""ur"")"),"خوش اور مسکراتے ہوئے۔")</f>
        <v>خوش اور مسکراتے ہوئے۔</v>
      </c>
      <c r="Q216" s="6" t="s">
        <v>649</v>
      </c>
      <c r="R216" s="6" t="str">
        <f>IFERROR(__xludf.DUMMYFUNCTION("GOOGLETRANSLATE(G216,""en"",""ur"")"),"پرسکون اور پر سکون")</f>
        <v>پرسکون اور پر سکون</v>
      </c>
      <c r="S216" s="6" t="s">
        <v>786</v>
      </c>
      <c r="T216" s="6"/>
      <c r="U216" s="6"/>
      <c r="V216" s="6"/>
      <c r="W216" s="6"/>
      <c r="X216" s="6"/>
      <c r="Y216" s="6"/>
      <c r="Z216" s="6"/>
      <c r="AA216" s="6"/>
    </row>
    <row r="217">
      <c r="A217" s="7">
        <v>216.0</v>
      </c>
      <c r="B217" s="6" t="s">
        <v>88</v>
      </c>
      <c r="C217" s="6" t="s">
        <v>89</v>
      </c>
      <c r="D217" s="6" t="s">
        <v>90</v>
      </c>
      <c r="E217" s="6" t="s">
        <v>91</v>
      </c>
      <c r="F217" s="6" t="s">
        <v>255</v>
      </c>
      <c r="G217" s="6" t="s">
        <v>255</v>
      </c>
      <c r="H217" s="6" t="s">
        <v>786</v>
      </c>
      <c r="I217" s="6"/>
      <c r="J217" s="6"/>
      <c r="K217" s="7">
        <v>216.0</v>
      </c>
      <c r="L217" s="6" t="str">
        <f>IFERROR(__xludf.DUMMYFUNCTION("GOOGLETRANSLATE(B217,""en"",""ur"")"),"زمین کی سب سے نمایاں خصوصیت کیا ہے؟")</f>
        <v>زمین کی سب سے نمایاں خصوصیت کیا ہے؟</v>
      </c>
      <c r="M217" s="6"/>
      <c r="N217" s="8" t="str">
        <f>IFERROR(__xludf.DUMMYFUNCTION("GOOGLETRANSLATE(D217,""en"",""ur"")"),"کیچڑ والا میدان")</f>
        <v>کیچڑ والا میدان</v>
      </c>
      <c r="O217" s="6" t="str">
        <f>IFERROR(__xludf.DUMMYFUNCTION("GOOGLETRANSLATE(E217,""en"",""ur"")"),"ایک گھاس دار سطح")</f>
        <v>ایک گھاس دار سطح</v>
      </c>
      <c r="P217" s="6" t="str">
        <f>IFERROR(__xludf.DUMMYFUNCTION("GOOGLETRANSLATE(F217,""en"",""ur"")"),"ریتلی یا گندگی کی سطح")</f>
        <v>ریتلی یا گندگی کی سطح</v>
      </c>
      <c r="Q217" s="6" t="s">
        <v>688</v>
      </c>
      <c r="R217" s="6" t="str">
        <f>IFERROR(__xludf.DUMMYFUNCTION("GOOGLETRANSLATE(G217,""en"",""ur"")"),"ریتلی یا گندگی کی سطح")</f>
        <v>ریتلی یا گندگی کی سطح</v>
      </c>
      <c r="S217" s="6" t="s">
        <v>786</v>
      </c>
      <c r="T217" s="6"/>
      <c r="U217" s="6"/>
      <c r="V217" s="6"/>
      <c r="W217" s="6"/>
      <c r="X217" s="6"/>
      <c r="Y217" s="6"/>
      <c r="Z217" s="6"/>
      <c r="AA217" s="6"/>
    </row>
    <row r="218">
      <c r="A218" s="7">
        <v>217.0</v>
      </c>
      <c r="B218" s="6" t="s">
        <v>94</v>
      </c>
      <c r="C218" s="6" t="s">
        <v>95</v>
      </c>
      <c r="D218" s="6" t="s">
        <v>651</v>
      </c>
      <c r="E218" s="6" t="s">
        <v>652</v>
      </c>
      <c r="F218" s="6" t="s">
        <v>653</v>
      </c>
      <c r="G218" s="6" t="s">
        <v>652</v>
      </c>
      <c r="H218" s="6" t="s">
        <v>786</v>
      </c>
      <c r="I218" s="6"/>
      <c r="J218" s="6"/>
      <c r="K218" s="7">
        <v>217.0</v>
      </c>
      <c r="L218" s="6" t="str">
        <f>IFERROR(__xludf.DUMMYFUNCTION("GOOGLETRANSLATE(B218,""en"",""ur"")"),"کھیلے جانے والے کھیل کا نام کیا ہے؟")</f>
        <v>کھیلے جانے والے کھیل کا نام کیا ہے؟</v>
      </c>
      <c r="M218" s="6"/>
      <c r="N218" s="8" t="str">
        <f>IFERROR(__xludf.DUMMYFUNCTION("GOOGLETRANSLATE(D218,""en"",""ur"")"),"کرکٹ")</f>
        <v>کرکٹ</v>
      </c>
      <c r="O218" s="6" t="str">
        <f>IFERROR(__xludf.DUMMYFUNCTION("GOOGLETRANSLATE(E218,""en"",""ur"")"),"گلی ڈنڈا۔")</f>
        <v>گلی ڈنڈا۔</v>
      </c>
      <c r="P218" s="6" t="str">
        <f>IFERROR(__xludf.DUMMYFUNCTION("GOOGLETRANSLATE(F218,""en"",""ur"")"),"بیس بال")</f>
        <v>بیس بال</v>
      </c>
      <c r="Q218" s="6" t="s">
        <v>654</v>
      </c>
      <c r="R218" s="6" t="str">
        <f>IFERROR(__xludf.DUMMYFUNCTION("GOOGLETRANSLATE(G218,""en"",""ur"")"),"گلی ڈنڈا۔")</f>
        <v>گلی ڈنڈا۔</v>
      </c>
      <c r="S218" s="6" t="s">
        <v>786</v>
      </c>
      <c r="T218" s="6"/>
      <c r="U218" s="6"/>
      <c r="V218" s="6"/>
      <c r="W218" s="6"/>
      <c r="X218" s="6"/>
      <c r="Y218" s="6"/>
      <c r="Z218" s="6"/>
      <c r="AA218" s="6"/>
    </row>
    <row r="219">
      <c r="A219" s="7">
        <v>218.0</v>
      </c>
      <c r="B219" s="6" t="s">
        <v>260</v>
      </c>
      <c r="C219" s="6" t="s">
        <v>261</v>
      </c>
      <c r="D219" s="6" t="s">
        <v>262</v>
      </c>
      <c r="E219" s="6" t="s">
        <v>263</v>
      </c>
      <c r="F219" s="6" t="s">
        <v>655</v>
      </c>
      <c r="G219" s="6" t="s">
        <v>655</v>
      </c>
      <c r="H219" s="6" t="s">
        <v>786</v>
      </c>
      <c r="I219" s="6"/>
      <c r="J219" s="6"/>
      <c r="K219" s="7">
        <v>218.0</v>
      </c>
      <c r="L219" s="6" t="str">
        <f>IFERROR(__xludf.DUMMYFUNCTION("GOOGLETRANSLATE(B219,""en"",""ur"")"),"تصویر میں ایکشن ایک ایسا انداز تجویز کرتا ہے جو اس بات پر زور دیتا ہے...")</f>
        <v>تصویر میں ایکشن ایک ایسا انداز تجویز کرتا ہے جو اس بات پر زور دیتا ہے...</v>
      </c>
      <c r="M219" s="6"/>
      <c r="N219" s="8" t="str">
        <f>IFERROR(__xludf.DUMMYFUNCTION("GOOGLETRANSLATE(D219,""en"",""ur"")"),"زمینی لڑائی اور گرفت")</f>
        <v>زمینی لڑائی اور گرفت</v>
      </c>
      <c r="O219" s="6" t="str">
        <f>IFERROR(__xludf.DUMMYFUNCTION("GOOGLETRANSLATE(E219,""en"",""ur"")"),"وحشیانہ قوت اور گھڑ سواری۔")</f>
        <v>وحشیانہ قوت اور گھڑ سواری۔</v>
      </c>
      <c r="P219" s="6" t="str">
        <f>IFERROR(__xludf.DUMMYFUNCTION("GOOGLETRANSLATE(F219,""en"",""ur"")"),"ہاتھ سے آنکھ کو آرڈینیشن اور حیرت انگیز")</f>
        <v>ہاتھ سے آنکھ کو آرڈینیشن اور حیرت انگیز</v>
      </c>
      <c r="Q219" s="6" t="s">
        <v>656</v>
      </c>
      <c r="R219" s="6" t="str">
        <f>IFERROR(__xludf.DUMMYFUNCTION("GOOGLETRANSLATE(G219,""en"",""ur"")"),"ہاتھ سے آنکھ کو آرڈینیشن اور حیرت انگیز")</f>
        <v>ہاتھ سے آنکھ کو آرڈینیشن اور حیرت انگیز</v>
      </c>
      <c r="S219" s="6" t="s">
        <v>786</v>
      </c>
      <c r="T219" s="6"/>
      <c r="U219" s="6"/>
      <c r="V219" s="6"/>
      <c r="W219" s="6"/>
      <c r="X219" s="6"/>
      <c r="Y219" s="6"/>
      <c r="Z219" s="6"/>
      <c r="AA219" s="6"/>
    </row>
    <row r="220">
      <c r="A220" s="7">
        <v>219.0</v>
      </c>
      <c r="B220" s="6" t="s">
        <v>657</v>
      </c>
      <c r="C220" s="6" t="s">
        <v>658</v>
      </c>
      <c r="D220" s="6" t="s">
        <v>659</v>
      </c>
      <c r="E220" s="6" t="s">
        <v>660</v>
      </c>
      <c r="F220" s="6" t="s">
        <v>661</v>
      </c>
      <c r="G220" s="6" t="s">
        <v>660</v>
      </c>
      <c r="H220" s="6" t="s">
        <v>786</v>
      </c>
      <c r="I220" s="6"/>
      <c r="J220" s="6"/>
      <c r="K220" s="7">
        <v>219.0</v>
      </c>
      <c r="L220" s="6" t="str">
        <f>IFERROR(__xludf.DUMMYFUNCTION("GOOGLETRANSLATE(B220,""en"",""ur"")"),"کھلاڑیوں کے جوتے کے بارے میں ایک قابل ذکر تفصیل کیا ہے؟")</f>
        <v>کھلاڑیوں کے جوتے کے بارے میں ایک قابل ذکر تفصیل کیا ہے؟</v>
      </c>
      <c r="M220" s="6"/>
      <c r="N220" s="8" t="str">
        <f>IFERROR(__xludf.DUMMYFUNCTION("GOOGLETRANSLATE(D220,""en"",""ur"")"),"وہ ننگے پاؤں ہیں۔")</f>
        <v>وہ ننگے پاؤں ہیں۔</v>
      </c>
      <c r="O220" s="6" t="str">
        <f>IFERROR(__xludf.DUMMYFUNCTION("GOOGLETRANSLATE(E220,""en"",""ur"")"),"وہ سینڈل یا فلپ فلاپ پہنے ہوئے ہیں۔")</f>
        <v>وہ سینڈل یا فلپ فلاپ پہنے ہوئے ہیں۔</v>
      </c>
      <c r="P220" s="6" t="str">
        <f>IFERROR(__xludf.DUMMYFUNCTION("GOOGLETRANSLATE(F220,""en"",""ur"")"),"وہ موزے پہنے ہوئے ہیں۔")</f>
        <v>وہ موزے پہنے ہوئے ہیں۔</v>
      </c>
      <c r="Q220" s="6" t="s">
        <v>662</v>
      </c>
      <c r="R220" s="6" t="str">
        <f>IFERROR(__xludf.DUMMYFUNCTION("GOOGLETRANSLATE(G220,""en"",""ur"")"),"وہ سینڈل یا فلپ فلاپ پہنے ہوئے ہیں۔")</f>
        <v>وہ سینڈل یا فلپ فلاپ پہنے ہوئے ہیں۔</v>
      </c>
      <c r="S220" s="6" t="s">
        <v>786</v>
      </c>
      <c r="T220" s="6"/>
      <c r="U220" s="6"/>
      <c r="V220" s="6"/>
      <c r="W220" s="6"/>
      <c r="X220" s="6"/>
      <c r="Y220" s="6"/>
      <c r="Z220" s="6"/>
      <c r="AA220" s="6"/>
    </row>
    <row r="221">
      <c r="A221" s="7">
        <v>220.0</v>
      </c>
      <c r="B221" s="6" t="s">
        <v>663</v>
      </c>
      <c r="C221" s="6" t="s">
        <v>664</v>
      </c>
      <c r="D221" s="6" t="s">
        <v>665</v>
      </c>
      <c r="E221" s="6" t="s">
        <v>666</v>
      </c>
      <c r="F221" s="6" t="s">
        <v>667</v>
      </c>
      <c r="G221" s="6" t="s">
        <v>725</v>
      </c>
      <c r="H221" s="6" t="s">
        <v>786</v>
      </c>
      <c r="I221" s="6"/>
      <c r="J221" s="6"/>
      <c r="K221" s="7">
        <v>220.0</v>
      </c>
      <c r="L221" s="6" t="str">
        <f>IFERROR(__xludf.DUMMYFUNCTION("GOOGLETRANSLATE(B221,""en"",""ur"")"),"پس منظر میں دیگر کھلاڑیوں کے بارے میں ایک قابل ذکر تفصیل کیا ہے؟")</f>
        <v>پس منظر میں دیگر کھلاڑیوں کے بارے میں ایک قابل ذکر تفصیل کیا ہے؟</v>
      </c>
      <c r="M221" s="6"/>
      <c r="N221" s="8" t="str">
        <f>IFERROR(__xludf.DUMMYFUNCTION("GOOGLETRANSLATE(D221,""en"",""ur"")"),"وہ سب ادھر ادھر بھاگ رہے ہیں۔")</f>
        <v>وہ سب ادھر ادھر بھاگ رہے ہیں۔</v>
      </c>
      <c r="O221" s="6" t="str">
        <f>IFERROR(__xludf.DUMMYFUNCTION("GOOGLETRANSLATE(E221,""en"",""ur"")"),"وہ ایک دفاعی، تیار موقف میں ہیں۔")</f>
        <v>وہ ایک دفاعی، تیار موقف میں ہیں۔</v>
      </c>
      <c r="P221" s="6" t="str">
        <f>IFERROR(__xludf.DUMMYFUNCTION("GOOGLETRANSLATE(F221,""en"",""ur"")"),"وہ سب لہرا رہے ہیں۔")</f>
        <v>وہ سب لہرا رہے ہیں۔</v>
      </c>
      <c r="Q221" s="6" t="s">
        <v>668</v>
      </c>
      <c r="R221" s="6" t="str">
        <f>IFERROR(__xludf.DUMMYFUNCTION("GOOGLETRANSLATE(G221,""en"",""ur"")"),"وہ سب کھڑے کھڑے دیکھ رہے ہیں۔")</f>
        <v>وہ سب کھڑے کھڑے دیکھ رہے ہیں۔</v>
      </c>
      <c r="S221" s="6" t="s">
        <v>786</v>
      </c>
      <c r="T221" s="6"/>
      <c r="U221" s="6"/>
      <c r="V221" s="6"/>
      <c r="W221" s="6"/>
      <c r="X221" s="6"/>
      <c r="Y221" s="6"/>
      <c r="Z221" s="6"/>
      <c r="AA221" s="6"/>
    </row>
    <row r="222">
      <c r="A222" s="7">
        <v>221.0</v>
      </c>
      <c r="B222" s="6" t="s">
        <v>791</v>
      </c>
      <c r="C222" s="6" t="s">
        <v>792</v>
      </c>
      <c r="D222" s="6" t="s">
        <v>632</v>
      </c>
      <c r="E222" s="6" t="s">
        <v>633</v>
      </c>
      <c r="F222" s="6" t="s">
        <v>634</v>
      </c>
      <c r="G222" s="6" t="s">
        <v>792</v>
      </c>
      <c r="H222" s="6" t="s">
        <v>793</v>
      </c>
      <c r="I222" s="6"/>
      <c r="J222" s="6"/>
      <c r="K222" s="7">
        <v>221.0</v>
      </c>
      <c r="L222" s="6" t="str">
        <f>IFERROR(__xludf.DUMMYFUNCTION("GOOGLETRANSLATE(B222,""en"",""ur"")"),"gilli_danda_50 میں دکھایا گیا اہم عمل کیا ہے؟")</f>
        <v>gilli_danda_50 میں دکھایا گیا اہم عمل کیا ہے؟</v>
      </c>
      <c r="M222" s="6"/>
      <c r="N222" s="8" t="str">
        <f>IFERROR(__xludf.DUMMYFUNCTION("GOOGLETRANSLATE(D222,""en"",""ur"")"),"ایک کھلاڑی چھوٹی چھڑی کو بڑی چھڑی سے مار رہا ہے۔")</f>
        <v>ایک کھلاڑی چھوٹی چھڑی کو بڑی چھڑی سے مار رہا ہے۔</v>
      </c>
      <c r="O222" s="6" t="str">
        <f>IFERROR(__xludf.DUMMYFUNCTION("GOOGLETRANSLATE(E222,""en"",""ur"")"),"ایک کھلاڑی گیند کی خدمت کر رہا ہے۔")</f>
        <v>ایک کھلاڑی گیند کی خدمت کر رہا ہے۔</v>
      </c>
      <c r="P222" s="6" t="str">
        <f>IFERROR(__xludf.DUMMYFUNCTION("GOOGLETRANSLATE(F222,""en"",""ur"")"),"ایک کھلاڑی دفاعی بلاک کا مظاہرہ کر رہا ہے۔")</f>
        <v>ایک کھلاڑی دفاعی بلاک کا مظاہرہ کر رہا ہے۔</v>
      </c>
      <c r="Q222" s="6" t="s">
        <v>671</v>
      </c>
      <c r="R222" s="6" t="str">
        <f>IFERROR(__xludf.DUMMYFUNCTION("GOOGLETRANSLATE(G222,""en"",""ur"")"),"شہری علاقے اور دیہی علاقوں میں کھیل کا کولیج")</f>
        <v>شہری علاقے اور دیہی علاقوں میں کھیل کا کولیج</v>
      </c>
      <c r="S222" s="6" t="s">
        <v>793</v>
      </c>
      <c r="T222" s="6"/>
      <c r="U222" s="6"/>
      <c r="V222" s="6"/>
      <c r="W222" s="6"/>
      <c r="X222" s="6"/>
      <c r="Y222" s="6"/>
      <c r="Z222" s="6"/>
      <c r="AA222" s="6"/>
    </row>
    <row r="223">
      <c r="A223" s="7">
        <v>222.0</v>
      </c>
      <c r="B223" s="6" t="s">
        <v>636</v>
      </c>
      <c r="C223" s="6" t="s">
        <v>637</v>
      </c>
      <c r="D223" s="6" t="s">
        <v>638</v>
      </c>
      <c r="E223" s="6" t="s">
        <v>639</v>
      </c>
      <c r="F223" s="6" t="s">
        <v>640</v>
      </c>
      <c r="G223" s="6" t="s">
        <v>638</v>
      </c>
      <c r="H223" s="6" t="s">
        <v>793</v>
      </c>
      <c r="I223" s="6"/>
      <c r="J223" s="6"/>
      <c r="K223" s="7">
        <v>222.0</v>
      </c>
      <c r="L223" s="6" t="str">
        <f>IFERROR(__xludf.DUMMYFUNCTION("GOOGLETRANSLATE(B223,""en"",""ur"")"),"کھیل میں استعمال ہونے والے آلات کے دو ٹکڑے کیا ہیں؟")</f>
        <v>کھیل میں استعمال ہونے والے آلات کے دو ٹکڑے کیا ہیں؟</v>
      </c>
      <c r="M223" s="6"/>
      <c r="N223" s="8" t="str">
        <f>IFERROR(__xludf.DUMMYFUNCTION("GOOGLETRANSLATE(D223,""en"",""ur"")"),"ایک لمبی چھڑی (ڈنڈا) اور ایک چھوٹی چھڑی (گلی)")</f>
        <v>ایک لمبی چھڑی (ڈنڈا) اور ایک چھوٹی چھڑی (گلی)</v>
      </c>
      <c r="O223" s="6" t="str">
        <f>IFERROR(__xludf.DUMMYFUNCTION("GOOGLETRANSLATE(E223,""en"",""ur"")"),"ایک ریکیٹ اور ایک شٹل کاک")</f>
        <v>ایک ریکیٹ اور ایک شٹل کاک</v>
      </c>
      <c r="P223" s="6" t="str">
        <f>IFERROR(__xludf.DUMMYFUNCTION("GOOGLETRANSLATE(F223,""en"",""ur"")"),"ایک چمگادڑ اور ایک دستانہ")</f>
        <v>ایک چمگادڑ اور ایک دستانہ</v>
      </c>
      <c r="Q223" s="6" t="s">
        <v>641</v>
      </c>
      <c r="R223" s="6" t="str">
        <f>IFERROR(__xludf.DUMMYFUNCTION("GOOGLETRANSLATE(G223,""en"",""ur"")"),"ایک لمبی چھڑی (ڈنڈا) اور ایک چھوٹی چھڑی (گلی)")</f>
        <v>ایک لمبی چھڑی (ڈنڈا) اور ایک چھوٹی چھڑی (گلی)</v>
      </c>
      <c r="S223" s="6" t="s">
        <v>793</v>
      </c>
      <c r="T223" s="6"/>
      <c r="U223" s="6"/>
      <c r="V223" s="6"/>
      <c r="W223" s="6"/>
      <c r="X223" s="6"/>
      <c r="Y223" s="6"/>
      <c r="Z223" s="6"/>
      <c r="AA223" s="6"/>
    </row>
    <row r="224">
      <c r="A224" s="7">
        <v>223.0</v>
      </c>
      <c r="B224" s="6" t="s">
        <v>794</v>
      </c>
      <c r="C224" s="6" t="s">
        <v>307</v>
      </c>
      <c r="D224" s="6" t="s">
        <v>643</v>
      </c>
      <c r="E224" s="6" t="s">
        <v>311</v>
      </c>
      <c r="F224" s="6" t="s">
        <v>314</v>
      </c>
      <c r="G224" s="6" t="s">
        <v>643</v>
      </c>
      <c r="H224" s="6" t="s">
        <v>793</v>
      </c>
      <c r="I224" s="6"/>
      <c r="J224" s="6"/>
      <c r="K224" s="7">
        <v>223.0</v>
      </c>
      <c r="L224" s="6" t="str">
        <f>IFERROR(__xludf.DUMMYFUNCTION("GOOGLETRANSLATE(B224,""en"",""ur"")"),"بائیں تصویر میں بائیں طرف کھلاڑی کے بارے میں ایک قابل ذکر تفصیل کیا ہے؟")</f>
        <v>بائیں تصویر میں بائیں طرف کھلاڑی کے بارے میں ایک قابل ذکر تفصیل کیا ہے؟</v>
      </c>
      <c r="M224" s="6"/>
      <c r="N224" s="8" t="str">
        <f>IFERROR(__xludf.DUMMYFUNCTION("GOOGLETRANSLATE(D224,""en"",""ur"")"),"وہ ایک پست، جھکائے ہوئے موقف میں ہے، ہڑتال کرنے کی تیاری کر رہا ہے۔")</f>
        <v>وہ ایک پست، جھکائے ہوئے موقف میں ہے، ہڑتال کرنے کی تیاری کر رہا ہے۔</v>
      </c>
      <c r="O224" s="6" t="str">
        <f>IFERROR(__xludf.DUMMYFUNCTION("GOOGLETRANSLATE(E224,""en"",""ur"")"),"وہ سیدھا کھڑا ہے۔")</f>
        <v>وہ سیدھا کھڑا ہے۔</v>
      </c>
      <c r="P224" s="6" t="str">
        <f>IFERROR(__xludf.DUMMYFUNCTION("GOOGLETRANSLATE(F224,""en"",""ur"")"),"وہ آرام سے بیٹھا ہے۔")</f>
        <v>وہ آرام سے بیٹھا ہے۔</v>
      </c>
      <c r="Q224" s="6" t="s">
        <v>644</v>
      </c>
      <c r="R224" s="6" t="str">
        <f>IFERROR(__xludf.DUMMYFUNCTION("GOOGLETRANSLATE(G224,""en"",""ur"")"),"وہ ایک پست، جھکائے ہوئے موقف میں ہے، ہڑتال کرنے کی تیاری کر رہا ہے۔")</f>
        <v>وہ ایک پست، جھکائے ہوئے موقف میں ہے، ہڑتال کرنے کی تیاری کر رہا ہے۔</v>
      </c>
      <c r="S224" s="6" t="s">
        <v>793</v>
      </c>
      <c r="T224" s="6"/>
      <c r="U224" s="6"/>
      <c r="V224" s="6"/>
      <c r="W224" s="6"/>
      <c r="X224" s="6"/>
      <c r="Y224" s="6"/>
      <c r="Z224" s="6"/>
      <c r="AA224" s="6"/>
    </row>
    <row r="225">
      <c r="A225" s="7">
        <v>224.0</v>
      </c>
      <c r="B225" s="6" t="s">
        <v>645</v>
      </c>
      <c r="C225" s="6" t="s">
        <v>422</v>
      </c>
      <c r="D225" s="6" t="s">
        <v>646</v>
      </c>
      <c r="E225" s="6" t="s">
        <v>647</v>
      </c>
      <c r="F225" s="6" t="s">
        <v>425</v>
      </c>
      <c r="G225" s="6" t="s">
        <v>647</v>
      </c>
      <c r="H225" s="6" t="s">
        <v>793</v>
      </c>
      <c r="I225" s="6"/>
      <c r="J225" s="6"/>
      <c r="K225" s="7">
        <v>224.0</v>
      </c>
      <c r="L225" s="6" t="str">
        <f>IFERROR(__xludf.DUMMYFUNCTION("GOOGLETRANSLATE(B225,""en"",""ur"")"),"کھیل کی ظاہری ترتیب کیا ہے؟")</f>
        <v>کھیل کی ظاہری ترتیب کیا ہے؟</v>
      </c>
      <c r="M225" s="6"/>
      <c r="N225" s="8" t="str">
        <f>IFERROR(__xludf.DUMMYFUNCTION("GOOGLETRANSLATE(D225,""en"",""ur"")"),"شہر کی ایک گلی")</f>
        <v>شہر کی ایک گلی</v>
      </c>
      <c r="O225" s="6" t="str">
        <f>IFERROR(__xludf.DUMMYFUNCTION("GOOGLETRANSLATE(E225,""en"",""ur"")"),"ایک بیرونی گندگی کا میدان")</f>
        <v>ایک بیرونی گندگی کا میدان</v>
      </c>
      <c r="P225" s="6" t="str">
        <f>IFERROR(__xludf.DUMMYFUNCTION("GOOGLETRANSLATE(F225,""en"",""ur"")"),"گھاس کا میدان")</f>
        <v>گھاس کا میدان</v>
      </c>
      <c r="Q225" s="6" t="s">
        <v>648</v>
      </c>
      <c r="R225" s="6" t="str">
        <f>IFERROR(__xludf.DUMMYFUNCTION("GOOGLETRANSLATE(G225,""en"",""ur"")"),"ایک بیرونی گندگی کا میدان")</f>
        <v>ایک بیرونی گندگی کا میدان</v>
      </c>
      <c r="S225" s="6" t="s">
        <v>793</v>
      </c>
      <c r="T225" s="6"/>
      <c r="U225" s="6"/>
      <c r="V225" s="6"/>
      <c r="W225" s="6"/>
      <c r="X225" s="6"/>
      <c r="Y225" s="6"/>
      <c r="Z225" s="6"/>
      <c r="AA225" s="6"/>
    </row>
    <row r="226">
      <c r="A226" s="7">
        <v>225.0</v>
      </c>
      <c r="B226" s="6" t="s">
        <v>46</v>
      </c>
      <c r="C226" s="6" t="s">
        <v>47</v>
      </c>
      <c r="D226" s="6" t="s">
        <v>48</v>
      </c>
      <c r="E226" s="6" t="s">
        <v>49</v>
      </c>
      <c r="F226" s="6" t="s">
        <v>50</v>
      </c>
      <c r="G226" s="6" t="s">
        <v>49</v>
      </c>
      <c r="H226" s="6" t="s">
        <v>793</v>
      </c>
      <c r="I226" s="6"/>
      <c r="J226" s="6"/>
      <c r="K226" s="7">
        <v>225.0</v>
      </c>
      <c r="L226" s="6" t="str">
        <f>IFERROR(__xludf.DUMMYFUNCTION("GOOGLETRANSLATE(B226,""en"",""ur"")"),"کھلاڑیوں کے چہروں سے ظاہری جذبات کیا ہیں؟")</f>
        <v>کھلاڑیوں کے چہروں سے ظاہری جذبات کیا ہیں؟</v>
      </c>
      <c r="M226" s="6"/>
      <c r="N226" s="8" t="str">
        <f>IFERROR(__xludf.DUMMYFUNCTION("GOOGLETRANSLATE(D226,""en"",""ur"")"),"خوف زدہ اور بے چین")</f>
        <v>خوف زدہ اور بے چین</v>
      </c>
      <c r="O226" s="6" t="str">
        <f>IFERROR(__xludf.DUMMYFUNCTION("GOOGLETRANSLATE(E226,""en"",""ur"")"),"کشیدہ اور شدید")</f>
        <v>کشیدہ اور شدید</v>
      </c>
      <c r="P226" s="6" t="str">
        <f>IFERROR(__xludf.DUMMYFUNCTION("GOOGLETRANSLATE(F226,""en"",""ur"")"),"خوش اور مسکراتے ہوئے۔")</f>
        <v>خوش اور مسکراتے ہوئے۔</v>
      </c>
      <c r="Q226" s="6" t="s">
        <v>649</v>
      </c>
      <c r="R226" s="6" t="str">
        <f>IFERROR(__xludf.DUMMYFUNCTION("GOOGLETRANSLATE(G226,""en"",""ur"")"),"کشیدہ اور شدید")</f>
        <v>کشیدہ اور شدید</v>
      </c>
      <c r="S226" s="6" t="s">
        <v>793</v>
      </c>
      <c r="T226" s="6"/>
      <c r="U226" s="6"/>
      <c r="V226" s="6"/>
      <c r="W226" s="6"/>
      <c r="X226" s="6"/>
      <c r="Y226" s="6"/>
      <c r="Z226" s="6"/>
      <c r="AA226" s="6"/>
    </row>
    <row r="227">
      <c r="A227" s="7">
        <v>226.0</v>
      </c>
      <c r="B227" s="6" t="s">
        <v>88</v>
      </c>
      <c r="C227" s="6" t="s">
        <v>89</v>
      </c>
      <c r="D227" s="6" t="s">
        <v>90</v>
      </c>
      <c r="E227" s="6" t="s">
        <v>91</v>
      </c>
      <c r="F227" s="6" t="s">
        <v>368</v>
      </c>
      <c r="G227" s="6" t="s">
        <v>368</v>
      </c>
      <c r="H227" s="6" t="s">
        <v>793</v>
      </c>
      <c r="I227" s="6"/>
      <c r="J227" s="6"/>
      <c r="K227" s="7">
        <v>226.0</v>
      </c>
      <c r="L227" s="6" t="str">
        <f>IFERROR(__xludf.DUMMYFUNCTION("GOOGLETRANSLATE(B227,""en"",""ur"")"),"زمین کی سب سے نمایاں خصوصیت کیا ہے؟")</f>
        <v>زمین کی سب سے نمایاں خصوصیت کیا ہے؟</v>
      </c>
      <c r="M227" s="6"/>
      <c r="N227" s="8" t="str">
        <f>IFERROR(__xludf.DUMMYFUNCTION("GOOGLETRANSLATE(D227,""en"",""ur"")"),"کیچڑ والا میدان")</f>
        <v>کیچڑ والا میدان</v>
      </c>
      <c r="O227" s="6" t="str">
        <f>IFERROR(__xludf.DUMMYFUNCTION("GOOGLETRANSLATE(E227,""en"",""ur"")"),"ایک گھاس دار سطح")</f>
        <v>ایک گھاس دار سطح</v>
      </c>
      <c r="P227" s="6" t="str">
        <f>IFERROR(__xludf.DUMMYFUNCTION("GOOGLETRANSLATE(F227,""en"",""ur"")"),"دھول اڑنے والی ریتلی یا گندگی کی سطح")</f>
        <v>دھول اڑنے والی ریتلی یا گندگی کی سطح</v>
      </c>
      <c r="Q227" s="6" t="s">
        <v>650</v>
      </c>
      <c r="R227" s="6" t="str">
        <f>IFERROR(__xludf.DUMMYFUNCTION("GOOGLETRANSLATE(G227,""en"",""ur"")"),"دھول اڑنے والی ریتلی یا گندگی کی سطح")</f>
        <v>دھول اڑنے والی ریتلی یا گندگی کی سطح</v>
      </c>
      <c r="S227" s="6" t="s">
        <v>793</v>
      </c>
      <c r="T227" s="6"/>
      <c r="U227" s="6"/>
      <c r="V227" s="6"/>
      <c r="W227" s="6"/>
      <c r="X227" s="6"/>
      <c r="Y227" s="6"/>
      <c r="Z227" s="6"/>
      <c r="AA227" s="6"/>
    </row>
    <row r="228">
      <c r="A228" s="7">
        <v>227.0</v>
      </c>
      <c r="B228" s="6" t="s">
        <v>94</v>
      </c>
      <c r="C228" s="6" t="s">
        <v>95</v>
      </c>
      <c r="D228" s="6" t="s">
        <v>651</v>
      </c>
      <c r="E228" s="6" t="s">
        <v>652</v>
      </c>
      <c r="F228" s="6" t="s">
        <v>653</v>
      </c>
      <c r="G228" s="6" t="s">
        <v>652</v>
      </c>
      <c r="H228" s="6" t="s">
        <v>793</v>
      </c>
      <c r="I228" s="6"/>
      <c r="J228" s="6"/>
      <c r="K228" s="7">
        <v>227.0</v>
      </c>
      <c r="L228" s="6" t="str">
        <f>IFERROR(__xludf.DUMMYFUNCTION("GOOGLETRANSLATE(B228,""en"",""ur"")"),"کھیلے جانے والے کھیل کا نام کیا ہے؟")</f>
        <v>کھیلے جانے والے کھیل کا نام کیا ہے؟</v>
      </c>
      <c r="M228" s="6"/>
      <c r="N228" s="8" t="str">
        <f>IFERROR(__xludf.DUMMYFUNCTION("GOOGLETRANSLATE(D228,""en"",""ur"")"),"کرکٹ")</f>
        <v>کرکٹ</v>
      </c>
      <c r="O228" s="6" t="str">
        <f>IFERROR(__xludf.DUMMYFUNCTION("GOOGLETRANSLATE(E228,""en"",""ur"")"),"گلی ڈنڈا۔")</f>
        <v>گلی ڈنڈا۔</v>
      </c>
      <c r="P228" s="6" t="str">
        <f>IFERROR(__xludf.DUMMYFUNCTION("GOOGLETRANSLATE(F228,""en"",""ur"")"),"بیس بال")</f>
        <v>بیس بال</v>
      </c>
      <c r="Q228" s="6" t="s">
        <v>654</v>
      </c>
      <c r="R228" s="6" t="str">
        <f>IFERROR(__xludf.DUMMYFUNCTION("GOOGLETRANSLATE(G228,""en"",""ur"")"),"گلی ڈنڈا۔")</f>
        <v>گلی ڈنڈا۔</v>
      </c>
      <c r="S228" s="6" t="s">
        <v>793</v>
      </c>
      <c r="T228" s="6"/>
      <c r="U228" s="6"/>
      <c r="V228" s="6"/>
      <c r="W228" s="6"/>
      <c r="X228" s="6"/>
      <c r="Y228" s="6"/>
      <c r="Z228" s="6"/>
      <c r="AA228" s="6"/>
    </row>
    <row r="229">
      <c r="A229" s="7">
        <v>228.0</v>
      </c>
      <c r="B229" s="6" t="s">
        <v>260</v>
      </c>
      <c r="C229" s="6" t="s">
        <v>261</v>
      </c>
      <c r="D229" s="6" t="s">
        <v>262</v>
      </c>
      <c r="E229" s="6" t="s">
        <v>263</v>
      </c>
      <c r="F229" s="6" t="s">
        <v>655</v>
      </c>
      <c r="G229" s="6" t="s">
        <v>655</v>
      </c>
      <c r="H229" s="6" t="s">
        <v>793</v>
      </c>
      <c r="I229" s="6"/>
      <c r="J229" s="6"/>
      <c r="K229" s="7">
        <v>228.0</v>
      </c>
      <c r="L229" s="6" t="str">
        <f>IFERROR(__xludf.DUMMYFUNCTION("GOOGLETRANSLATE(B229,""en"",""ur"")"),"تصویر میں ایکشن ایک ایسا انداز تجویز کرتا ہے جو اس بات پر زور دیتا ہے...")</f>
        <v>تصویر میں ایکشن ایک ایسا انداز تجویز کرتا ہے جو اس بات پر زور دیتا ہے...</v>
      </c>
      <c r="M229" s="6"/>
      <c r="N229" s="8" t="str">
        <f>IFERROR(__xludf.DUMMYFUNCTION("GOOGLETRANSLATE(D229,""en"",""ur"")"),"زمینی لڑائی اور گرفت")</f>
        <v>زمینی لڑائی اور گرفت</v>
      </c>
      <c r="O229" s="6" t="str">
        <f>IFERROR(__xludf.DUMMYFUNCTION("GOOGLETRANSLATE(E229,""en"",""ur"")"),"وحشیانہ قوت اور گھڑ سواری۔")</f>
        <v>وحشیانہ قوت اور گھڑ سواری۔</v>
      </c>
      <c r="P229" s="6" t="str">
        <f>IFERROR(__xludf.DUMMYFUNCTION("GOOGLETRANSLATE(F229,""en"",""ur"")"),"ہاتھ سے آنکھ کو آرڈینیشن اور حیرت انگیز")</f>
        <v>ہاتھ سے آنکھ کو آرڈینیشن اور حیرت انگیز</v>
      </c>
      <c r="Q229" s="6" t="s">
        <v>656</v>
      </c>
      <c r="R229" s="6" t="str">
        <f>IFERROR(__xludf.DUMMYFUNCTION("GOOGLETRANSLATE(G229,""en"",""ur"")"),"ہاتھ سے آنکھ کو آرڈینیشن اور حیرت انگیز")</f>
        <v>ہاتھ سے آنکھ کو آرڈینیشن اور حیرت انگیز</v>
      </c>
      <c r="S229" s="6" t="s">
        <v>793</v>
      </c>
      <c r="T229" s="6"/>
      <c r="U229" s="6"/>
      <c r="V229" s="6"/>
      <c r="W229" s="6"/>
      <c r="X229" s="6"/>
      <c r="Y229" s="6"/>
      <c r="Z229" s="6"/>
      <c r="AA229" s="6"/>
    </row>
    <row r="230">
      <c r="A230" s="7">
        <v>229.0</v>
      </c>
      <c r="B230" s="6" t="s">
        <v>657</v>
      </c>
      <c r="C230" s="6" t="s">
        <v>658</v>
      </c>
      <c r="D230" s="6" t="s">
        <v>659</v>
      </c>
      <c r="E230" s="6" t="s">
        <v>660</v>
      </c>
      <c r="F230" s="6" t="s">
        <v>661</v>
      </c>
      <c r="G230" s="6" t="s">
        <v>659</v>
      </c>
      <c r="H230" s="6" t="s">
        <v>793</v>
      </c>
      <c r="I230" s="6"/>
      <c r="J230" s="6"/>
      <c r="K230" s="7">
        <v>229.0</v>
      </c>
      <c r="L230" s="6" t="str">
        <f>IFERROR(__xludf.DUMMYFUNCTION("GOOGLETRANSLATE(B230,""en"",""ur"")"),"کھلاڑیوں کے جوتے کے بارے میں ایک قابل ذکر تفصیل کیا ہے؟")</f>
        <v>کھلاڑیوں کے جوتے کے بارے میں ایک قابل ذکر تفصیل کیا ہے؟</v>
      </c>
      <c r="M230" s="6"/>
      <c r="N230" s="8" t="str">
        <f>IFERROR(__xludf.DUMMYFUNCTION("GOOGLETRANSLATE(D230,""en"",""ur"")"),"وہ ننگے پاؤں ہیں۔")</f>
        <v>وہ ننگے پاؤں ہیں۔</v>
      </c>
      <c r="O230" s="6" t="str">
        <f>IFERROR(__xludf.DUMMYFUNCTION("GOOGLETRANSLATE(E230,""en"",""ur"")"),"وہ سینڈل یا فلپ فلاپ پہنے ہوئے ہیں۔")</f>
        <v>وہ سینڈل یا فلپ فلاپ پہنے ہوئے ہیں۔</v>
      </c>
      <c r="P230" s="6" t="str">
        <f>IFERROR(__xludf.DUMMYFUNCTION("GOOGLETRANSLATE(F230,""en"",""ur"")"),"وہ موزے پہنے ہوئے ہیں۔")</f>
        <v>وہ موزے پہنے ہوئے ہیں۔</v>
      </c>
      <c r="Q230" s="6" t="s">
        <v>662</v>
      </c>
      <c r="R230" s="6" t="str">
        <f>IFERROR(__xludf.DUMMYFUNCTION("GOOGLETRANSLATE(G230,""en"",""ur"")"),"وہ ننگے پاؤں ہیں۔")</f>
        <v>وہ ننگے پاؤں ہیں۔</v>
      </c>
      <c r="S230" s="6" t="s">
        <v>793</v>
      </c>
      <c r="T230" s="6"/>
      <c r="U230" s="6"/>
      <c r="V230" s="6"/>
      <c r="W230" s="6"/>
      <c r="X230" s="6"/>
      <c r="Y230" s="6"/>
      <c r="Z230" s="6"/>
      <c r="AA230" s="6"/>
    </row>
    <row r="231">
      <c r="A231" s="7">
        <v>230.0</v>
      </c>
      <c r="B231" s="6" t="s">
        <v>663</v>
      </c>
      <c r="C231" s="6" t="s">
        <v>664</v>
      </c>
      <c r="D231" s="6" t="s">
        <v>665</v>
      </c>
      <c r="E231" s="6" t="s">
        <v>666</v>
      </c>
      <c r="F231" s="6" t="s">
        <v>667</v>
      </c>
      <c r="G231" s="6" t="s">
        <v>666</v>
      </c>
      <c r="H231" s="6" t="s">
        <v>793</v>
      </c>
      <c r="I231" s="6"/>
      <c r="J231" s="6"/>
      <c r="K231" s="7">
        <v>230.0</v>
      </c>
      <c r="L231" s="6" t="str">
        <f>IFERROR(__xludf.DUMMYFUNCTION("GOOGLETRANSLATE(B231,""en"",""ur"")"),"پس منظر میں دیگر کھلاڑیوں کے بارے میں ایک قابل ذکر تفصیل کیا ہے؟")</f>
        <v>پس منظر میں دیگر کھلاڑیوں کے بارے میں ایک قابل ذکر تفصیل کیا ہے؟</v>
      </c>
      <c r="M231" s="6"/>
      <c r="N231" s="8" t="str">
        <f>IFERROR(__xludf.DUMMYFUNCTION("GOOGLETRANSLATE(D231,""en"",""ur"")"),"وہ سب ادھر ادھر بھاگ رہے ہیں۔")</f>
        <v>وہ سب ادھر ادھر بھاگ رہے ہیں۔</v>
      </c>
      <c r="O231" s="6" t="str">
        <f>IFERROR(__xludf.DUMMYFUNCTION("GOOGLETRANSLATE(E231,""en"",""ur"")"),"وہ ایک دفاعی، تیار موقف میں ہیں۔")</f>
        <v>وہ ایک دفاعی، تیار موقف میں ہیں۔</v>
      </c>
      <c r="P231" s="6" t="str">
        <f>IFERROR(__xludf.DUMMYFUNCTION("GOOGLETRANSLATE(F231,""en"",""ur"")"),"وہ سب لہرا رہے ہیں۔")</f>
        <v>وہ سب لہرا رہے ہیں۔</v>
      </c>
      <c r="Q231" s="6" t="s">
        <v>668</v>
      </c>
      <c r="R231" s="6" t="str">
        <f>IFERROR(__xludf.DUMMYFUNCTION("GOOGLETRANSLATE(G231,""en"",""ur"")"),"وہ ایک دفاعی، تیار موقف میں ہیں۔")</f>
        <v>وہ ایک دفاعی، تیار موقف میں ہیں۔</v>
      </c>
      <c r="S231" s="6" t="s">
        <v>793</v>
      </c>
      <c r="T231" s="6"/>
      <c r="U231" s="6"/>
      <c r="V231" s="6"/>
      <c r="W231" s="6"/>
      <c r="X231" s="6"/>
      <c r="Y231" s="6"/>
      <c r="Z231" s="6"/>
      <c r="AA231" s="6"/>
    </row>
    <row r="232">
      <c r="A232" s="7">
        <v>231.0</v>
      </c>
      <c r="B232" s="6" t="s">
        <v>795</v>
      </c>
      <c r="C232" s="6" t="s">
        <v>681</v>
      </c>
      <c r="D232" s="6" t="s">
        <v>682</v>
      </c>
      <c r="E232" s="6" t="s">
        <v>683</v>
      </c>
      <c r="F232" s="6" t="s">
        <v>684</v>
      </c>
      <c r="G232" s="6" t="s">
        <v>682</v>
      </c>
      <c r="H232" s="6" t="s">
        <v>796</v>
      </c>
      <c r="I232" s="6"/>
      <c r="J232" s="6"/>
      <c r="K232" s="7">
        <v>231.0</v>
      </c>
      <c r="L232" s="6" t="str">
        <f>IFERROR(__xludf.DUMMYFUNCTION("GOOGLETRANSLATE(B232,""en"",""ur"")"),"gilli_danda_54 میں دکھایا گیا اہم عمل کیا ہے؟")</f>
        <v>gilli_danda_54 میں دکھایا گیا اہم عمل کیا ہے؟</v>
      </c>
      <c r="M232" s="6"/>
      <c r="N232" s="8" t="str">
        <f>IFERROR(__xludf.DUMMYFUNCTION("GOOGLETRANSLATE(D232,""en"",""ur"")"),"بچوں کا ایک گروپ جو گیند کا کھیل کھیل رہا ہے۔")</f>
        <v>بچوں کا ایک گروپ جو گیند کا کھیل کھیل رہا ہے۔</v>
      </c>
      <c r="O232" s="6" t="str">
        <f>IFERROR(__xludf.DUMMYFUNCTION("GOOGLETRANSLATE(E232,""en"",""ur"")"),"بچوں کا ایک گروپ چھوٹی چھڑی کو بڑی چھڑی سے مار رہا ہے۔")</f>
        <v>بچوں کا ایک گروپ چھوٹی چھڑی کو بڑی چھڑی سے مار رہا ہے۔</v>
      </c>
      <c r="P232" s="6" t="str">
        <f>IFERROR(__xludf.DUMMYFUNCTION("GOOGLETRANSLATE(F232,""en"",""ur"")"),"بچوں کا ایک گروپ چل رہا ہے۔")</f>
        <v>بچوں کا ایک گروپ چل رہا ہے۔</v>
      </c>
      <c r="Q232" s="6" t="s">
        <v>686</v>
      </c>
      <c r="R232" s="6" t="str">
        <f>IFERROR(__xludf.DUMMYFUNCTION("GOOGLETRANSLATE(G232,""en"",""ur"")"),"بچوں کا ایک گروپ جو گیند کا کھیل کھیل رہا ہے۔")</f>
        <v>بچوں کا ایک گروپ جو گیند کا کھیل کھیل رہا ہے۔</v>
      </c>
      <c r="S232" s="6" t="s">
        <v>796</v>
      </c>
      <c r="T232" s="6"/>
      <c r="U232" s="6"/>
      <c r="V232" s="6"/>
      <c r="W232" s="6"/>
      <c r="X232" s="6"/>
      <c r="Y232" s="6"/>
      <c r="Z232" s="6"/>
      <c r="AA232" s="6"/>
    </row>
    <row r="233">
      <c r="A233" s="7">
        <v>232.0</v>
      </c>
      <c r="B233" s="6" t="s">
        <v>636</v>
      </c>
      <c r="C233" s="6" t="s">
        <v>637</v>
      </c>
      <c r="D233" s="6" t="s">
        <v>638</v>
      </c>
      <c r="E233" s="6" t="s">
        <v>639</v>
      </c>
      <c r="F233" s="6" t="s">
        <v>640</v>
      </c>
      <c r="G233" s="6" t="s">
        <v>637</v>
      </c>
      <c r="H233" s="6" t="s">
        <v>796</v>
      </c>
      <c r="I233" s="6"/>
      <c r="J233" s="6"/>
      <c r="K233" s="7">
        <v>232.0</v>
      </c>
      <c r="L233" s="6" t="str">
        <f>IFERROR(__xludf.DUMMYFUNCTION("GOOGLETRANSLATE(B233,""en"",""ur"")"),"کھیل میں استعمال ہونے والے آلات کے دو ٹکڑے کیا ہیں؟")</f>
        <v>کھیل میں استعمال ہونے والے آلات کے دو ٹکڑے کیا ہیں؟</v>
      </c>
      <c r="M233" s="6"/>
      <c r="N233" s="8" t="str">
        <f>IFERROR(__xludf.DUMMYFUNCTION("GOOGLETRANSLATE(D233,""en"",""ur"")"),"ایک لمبی چھڑی (ڈنڈا) اور ایک چھوٹی چھڑی (گلی)")</f>
        <v>ایک لمبی چھڑی (ڈنڈا) اور ایک چھوٹی چھڑی (گلی)</v>
      </c>
      <c r="O233" s="6" t="str">
        <f>IFERROR(__xludf.DUMMYFUNCTION("GOOGLETRANSLATE(E233,""en"",""ur"")"),"ایک ریکیٹ اور ایک شٹل کاک")</f>
        <v>ایک ریکیٹ اور ایک شٹل کاک</v>
      </c>
      <c r="P233" s="6" t="str">
        <f>IFERROR(__xludf.DUMMYFUNCTION("GOOGLETRANSLATE(F233,""en"",""ur"")"),"ایک چمگادڑ اور ایک دستانہ")</f>
        <v>ایک چمگادڑ اور ایک دستانہ</v>
      </c>
      <c r="Q233" s="6" t="s">
        <v>641</v>
      </c>
      <c r="R233" s="6" t="str">
        <f>IFERROR(__xludf.DUMMYFUNCTION("GOOGLETRANSLATE(G233,""en"",""ur"")"),"ایک گیند اور ایک بیٹ")</f>
        <v>ایک گیند اور ایک بیٹ</v>
      </c>
      <c r="S233" s="6" t="s">
        <v>796</v>
      </c>
      <c r="T233" s="6"/>
      <c r="U233" s="6"/>
      <c r="V233" s="6"/>
      <c r="W233" s="6"/>
      <c r="X233" s="6"/>
      <c r="Y233" s="6"/>
      <c r="Z233" s="6"/>
      <c r="AA233" s="6"/>
    </row>
    <row r="234">
      <c r="A234" s="7">
        <v>233.0</v>
      </c>
      <c r="B234" s="6" t="s">
        <v>767</v>
      </c>
      <c r="C234" s="6" t="s">
        <v>797</v>
      </c>
      <c r="D234" s="6" t="s">
        <v>798</v>
      </c>
      <c r="E234" s="6" t="s">
        <v>799</v>
      </c>
      <c r="F234" s="6" t="s">
        <v>800</v>
      </c>
      <c r="G234" s="6" t="s">
        <v>797</v>
      </c>
      <c r="H234" s="6" t="s">
        <v>796</v>
      </c>
      <c r="I234" s="6"/>
      <c r="J234" s="6"/>
      <c r="K234" s="7">
        <v>233.0</v>
      </c>
      <c r="L234" s="6" t="str">
        <f>IFERROR(__xludf.DUMMYFUNCTION("GOOGLETRANSLATE(B234,""en"",""ur"")"),"کھلاڑیوں کے بارے میں ایک قابل ذکر تفصیل کیا ہے؟")</f>
        <v>کھلاڑیوں کے بارے میں ایک قابل ذکر تفصیل کیا ہے؟</v>
      </c>
      <c r="M234" s="6"/>
      <c r="N234" s="8" t="str">
        <f>IFERROR(__xludf.DUMMYFUNCTION("GOOGLETRANSLATE(D234,""en"",""ur"")"),"وہ سب بالغ ہیں۔")</f>
        <v>وہ سب بالغ ہیں۔</v>
      </c>
      <c r="O234" s="6" t="str">
        <f>IFERROR(__xludf.DUMMYFUNCTION("GOOGLETRANSLATE(E234,""en"",""ur"")"),"وہ عمر اور جنس کا مرکب ہیں۔")</f>
        <v>وہ عمر اور جنس کا مرکب ہیں۔</v>
      </c>
      <c r="P234" s="6" t="str">
        <f>IFERROR(__xludf.DUMMYFUNCTION("GOOGLETRANSLATE(F234,""en"",""ur"")"),"وہ سب خواتین ہیں۔")</f>
        <v>وہ سب خواتین ہیں۔</v>
      </c>
      <c r="Q234" s="6" t="s">
        <v>801</v>
      </c>
      <c r="R234" s="6" t="str">
        <f>IFERROR(__xludf.DUMMYFUNCTION("GOOGLETRANSLATE(G234,""en"",""ur"")"),"وہ سب بچے ہیں۔")</f>
        <v>وہ سب بچے ہیں۔</v>
      </c>
      <c r="S234" s="6" t="s">
        <v>796</v>
      </c>
      <c r="T234" s="6"/>
      <c r="U234" s="6"/>
      <c r="V234" s="6"/>
      <c r="W234" s="6"/>
      <c r="X234" s="6"/>
      <c r="Y234" s="6"/>
      <c r="Z234" s="6"/>
      <c r="AA234" s="6"/>
    </row>
    <row r="235">
      <c r="A235" s="7">
        <v>234.0</v>
      </c>
      <c r="B235" s="6" t="s">
        <v>645</v>
      </c>
      <c r="C235" s="6" t="s">
        <v>422</v>
      </c>
      <c r="D235" s="6" t="s">
        <v>646</v>
      </c>
      <c r="E235" s="6" t="s">
        <v>802</v>
      </c>
      <c r="F235" s="6" t="s">
        <v>803</v>
      </c>
      <c r="G235" s="6" t="s">
        <v>803</v>
      </c>
      <c r="H235" s="6" t="s">
        <v>796</v>
      </c>
      <c r="I235" s="6"/>
      <c r="J235" s="6"/>
      <c r="K235" s="7">
        <v>234.0</v>
      </c>
      <c r="L235" s="6" t="str">
        <f>IFERROR(__xludf.DUMMYFUNCTION("GOOGLETRANSLATE(B235,""en"",""ur"")"),"کھیل کی ظاہری ترتیب کیا ہے؟")</f>
        <v>کھیل کی ظاہری ترتیب کیا ہے؟</v>
      </c>
      <c r="M235" s="6"/>
      <c r="N235" s="8" t="str">
        <f>IFERROR(__xludf.DUMMYFUNCTION("GOOGLETRANSLATE(D235,""en"",""ur"")"),"شہر کی ایک گلی")</f>
        <v>شہر کی ایک گلی</v>
      </c>
      <c r="O235" s="6" t="str">
        <f>IFERROR(__xludf.DUMMYFUNCTION("GOOGLETRANSLATE(E235,""en"",""ur"")"),"بیرونی گندگی کا علاقہ")</f>
        <v>بیرونی گندگی کا علاقہ</v>
      </c>
      <c r="P235" s="6" t="str">
        <f>IFERROR(__xludf.DUMMYFUNCTION("GOOGLETRANSLATE(F235,""en"",""ur"")"),"بلیچر کے ساتھ گھاس کا میدان")</f>
        <v>بلیچر کے ساتھ گھاس کا میدان</v>
      </c>
      <c r="Q235" s="6" t="s">
        <v>804</v>
      </c>
      <c r="R235" s="6" t="str">
        <f>IFERROR(__xludf.DUMMYFUNCTION("GOOGLETRANSLATE(G235,""en"",""ur"")"),"بلیچر کے ساتھ گھاس کا میدان")</f>
        <v>بلیچر کے ساتھ گھاس کا میدان</v>
      </c>
      <c r="S235" s="6" t="s">
        <v>796</v>
      </c>
      <c r="T235" s="6"/>
      <c r="U235" s="6"/>
      <c r="V235" s="6"/>
      <c r="W235" s="6"/>
      <c r="X235" s="6"/>
      <c r="Y235" s="6"/>
      <c r="Z235" s="6"/>
      <c r="AA235" s="6"/>
    </row>
    <row r="236">
      <c r="A236" s="7">
        <v>235.0</v>
      </c>
      <c r="B236" s="6" t="s">
        <v>46</v>
      </c>
      <c r="C236" s="6" t="s">
        <v>47</v>
      </c>
      <c r="D236" s="6" t="s">
        <v>48</v>
      </c>
      <c r="E236" s="6" t="s">
        <v>49</v>
      </c>
      <c r="F236" s="6" t="s">
        <v>50</v>
      </c>
      <c r="G236" s="6" t="s">
        <v>50</v>
      </c>
      <c r="H236" s="6" t="s">
        <v>796</v>
      </c>
      <c r="I236" s="6"/>
      <c r="J236" s="6"/>
      <c r="K236" s="7">
        <v>235.0</v>
      </c>
      <c r="L236" s="6" t="str">
        <f>IFERROR(__xludf.DUMMYFUNCTION("GOOGLETRANSLATE(B236,""en"",""ur"")"),"کھلاڑیوں کے چہروں سے ظاہری جذبات کیا ہیں؟")</f>
        <v>کھلاڑیوں کے چہروں سے ظاہری جذبات کیا ہیں؟</v>
      </c>
      <c r="M236" s="6"/>
      <c r="N236" s="8" t="str">
        <f>IFERROR(__xludf.DUMMYFUNCTION("GOOGLETRANSLATE(D236,""en"",""ur"")"),"خوف زدہ اور بے چین")</f>
        <v>خوف زدہ اور بے چین</v>
      </c>
      <c r="O236" s="6" t="str">
        <f>IFERROR(__xludf.DUMMYFUNCTION("GOOGLETRANSLATE(E236,""en"",""ur"")"),"کشیدہ اور شدید")</f>
        <v>کشیدہ اور شدید</v>
      </c>
      <c r="P236" s="6" t="str">
        <f>IFERROR(__xludf.DUMMYFUNCTION("GOOGLETRANSLATE(F236,""en"",""ur"")"),"خوش اور مسکراتے ہوئے۔")</f>
        <v>خوش اور مسکراتے ہوئے۔</v>
      </c>
      <c r="Q236" s="6" t="s">
        <v>649</v>
      </c>
      <c r="R236" s="6" t="str">
        <f>IFERROR(__xludf.DUMMYFUNCTION("GOOGLETRANSLATE(G236,""en"",""ur"")"),"خوش اور مسکراتے ہوئے۔")</f>
        <v>خوش اور مسکراتے ہوئے۔</v>
      </c>
      <c r="S236" s="6" t="s">
        <v>796</v>
      </c>
      <c r="T236" s="6"/>
      <c r="U236" s="6"/>
      <c r="V236" s="6"/>
      <c r="W236" s="6"/>
      <c r="X236" s="6"/>
      <c r="Y236" s="6"/>
      <c r="Z236" s="6"/>
      <c r="AA236" s="6"/>
    </row>
    <row r="237">
      <c r="A237" s="7">
        <v>236.0</v>
      </c>
      <c r="B237" s="6" t="s">
        <v>88</v>
      </c>
      <c r="C237" s="6" t="s">
        <v>89</v>
      </c>
      <c r="D237" s="6" t="s">
        <v>90</v>
      </c>
      <c r="E237" s="6" t="s">
        <v>91</v>
      </c>
      <c r="F237" s="6" t="s">
        <v>255</v>
      </c>
      <c r="G237" s="6" t="s">
        <v>91</v>
      </c>
      <c r="H237" s="6" t="s">
        <v>796</v>
      </c>
      <c r="I237" s="6"/>
      <c r="J237" s="6"/>
      <c r="K237" s="7">
        <v>236.0</v>
      </c>
      <c r="L237" s="6" t="str">
        <f>IFERROR(__xludf.DUMMYFUNCTION("GOOGLETRANSLATE(B237,""en"",""ur"")"),"زمین کی سب سے نمایاں خصوصیت کیا ہے؟")</f>
        <v>زمین کی سب سے نمایاں خصوصیت کیا ہے؟</v>
      </c>
      <c r="M237" s="6"/>
      <c r="N237" s="8" t="str">
        <f>IFERROR(__xludf.DUMMYFUNCTION("GOOGLETRANSLATE(D237,""en"",""ur"")"),"کیچڑ والا میدان")</f>
        <v>کیچڑ والا میدان</v>
      </c>
      <c r="O237" s="6" t="str">
        <f>IFERROR(__xludf.DUMMYFUNCTION("GOOGLETRANSLATE(E237,""en"",""ur"")"),"ایک گھاس دار سطح")</f>
        <v>ایک گھاس دار سطح</v>
      </c>
      <c r="P237" s="6" t="str">
        <f>IFERROR(__xludf.DUMMYFUNCTION("GOOGLETRANSLATE(F237,""en"",""ur"")"),"ریتلی یا گندگی کی سطح")</f>
        <v>ریتلی یا گندگی کی سطح</v>
      </c>
      <c r="Q237" s="6" t="s">
        <v>688</v>
      </c>
      <c r="R237" s="6" t="str">
        <f>IFERROR(__xludf.DUMMYFUNCTION("GOOGLETRANSLATE(G237,""en"",""ur"")"),"ایک گھاس دار سطح")</f>
        <v>ایک گھاس دار سطح</v>
      </c>
      <c r="S237" s="6" t="s">
        <v>796</v>
      </c>
      <c r="T237" s="6"/>
      <c r="U237" s="6"/>
      <c r="V237" s="6"/>
      <c r="W237" s="6"/>
      <c r="X237" s="6"/>
      <c r="Y237" s="6"/>
      <c r="Z237" s="6"/>
      <c r="AA237" s="6"/>
    </row>
    <row r="238">
      <c r="A238" s="7">
        <v>237.0</v>
      </c>
      <c r="B238" s="6" t="s">
        <v>94</v>
      </c>
      <c r="C238" s="6" t="s">
        <v>95</v>
      </c>
      <c r="D238" s="6" t="s">
        <v>651</v>
      </c>
      <c r="E238" s="6" t="s">
        <v>652</v>
      </c>
      <c r="F238" s="6" t="s">
        <v>805</v>
      </c>
      <c r="G238" s="6" t="s">
        <v>805</v>
      </c>
      <c r="H238" s="6" t="s">
        <v>796</v>
      </c>
      <c r="I238" s="6"/>
      <c r="J238" s="6"/>
      <c r="K238" s="7">
        <v>237.0</v>
      </c>
      <c r="L238" s="6" t="str">
        <f>IFERROR(__xludf.DUMMYFUNCTION("GOOGLETRANSLATE(B238,""en"",""ur"")"),"کھیلے جانے والے کھیل کا نام کیا ہے؟")</f>
        <v>کھیلے جانے والے کھیل کا نام کیا ہے؟</v>
      </c>
      <c r="M238" s="6"/>
      <c r="N238" s="8" t="str">
        <f>IFERROR(__xludf.DUMMYFUNCTION("GOOGLETRANSLATE(D238,""en"",""ur"")"),"کرکٹ")</f>
        <v>کرکٹ</v>
      </c>
      <c r="O238" s="6" t="str">
        <f>IFERROR(__xludf.DUMMYFUNCTION("GOOGLETRANSLATE(E238,""en"",""ur"")"),"گلی ڈنڈا۔")</f>
        <v>گلی ڈنڈا۔</v>
      </c>
      <c r="P238" s="6" t="str">
        <f>IFERROR(__xludf.DUMMYFUNCTION("GOOGLETRANSLATE(F238,""en"",""ur"")"),"ساکر")</f>
        <v>ساکر</v>
      </c>
      <c r="Q238" s="6" t="s">
        <v>806</v>
      </c>
      <c r="R238" s="6" t="str">
        <f>IFERROR(__xludf.DUMMYFUNCTION("GOOGLETRANSLATE(G238,""en"",""ur"")"),"ساکر")</f>
        <v>ساکر</v>
      </c>
      <c r="S238" s="6" t="s">
        <v>796</v>
      </c>
      <c r="T238" s="6"/>
      <c r="U238" s="6"/>
      <c r="V238" s="6"/>
      <c r="W238" s="6"/>
      <c r="X238" s="6"/>
      <c r="Y238" s="6"/>
      <c r="Z238" s="6"/>
      <c r="AA238" s="6"/>
    </row>
    <row r="239">
      <c r="A239" s="7">
        <v>238.0</v>
      </c>
      <c r="B239" s="6" t="s">
        <v>260</v>
      </c>
      <c r="C239" s="6" t="s">
        <v>261</v>
      </c>
      <c r="D239" s="6" t="s">
        <v>262</v>
      </c>
      <c r="E239" s="6" t="s">
        <v>263</v>
      </c>
      <c r="F239" s="6" t="s">
        <v>655</v>
      </c>
      <c r="G239" s="6" t="s">
        <v>655</v>
      </c>
      <c r="H239" s="6" t="s">
        <v>796</v>
      </c>
      <c r="I239" s="6"/>
      <c r="J239" s="6"/>
      <c r="K239" s="7">
        <v>238.0</v>
      </c>
      <c r="L239" s="6" t="str">
        <f>IFERROR(__xludf.DUMMYFUNCTION("GOOGLETRANSLATE(B239,""en"",""ur"")"),"تصویر میں ایکشن ایک ایسا انداز تجویز کرتا ہے جو اس بات پر زور دیتا ہے...")</f>
        <v>تصویر میں ایکشن ایک ایسا انداز تجویز کرتا ہے جو اس بات پر زور دیتا ہے...</v>
      </c>
      <c r="M239" s="6"/>
      <c r="N239" s="8" t="str">
        <f>IFERROR(__xludf.DUMMYFUNCTION("GOOGLETRANSLATE(D239,""en"",""ur"")"),"زمینی لڑائی اور گرفت")</f>
        <v>زمینی لڑائی اور گرفت</v>
      </c>
      <c r="O239" s="6" t="str">
        <f>IFERROR(__xludf.DUMMYFUNCTION("GOOGLETRANSLATE(E239,""en"",""ur"")"),"وحشیانہ قوت اور گھڑ سواری۔")</f>
        <v>وحشیانہ قوت اور گھڑ سواری۔</v>
      </c>
      <c r="P239" s="6" t="str">
        <f>IFERROR(__xludf.DUMMYFUNCTION("GOOGLETRANSLATE(F239,""en"",""ur"")"),"ہاتھ سے آنکھ کو آرڈینیشن اور حیرت انگیز")</f>
        <v>ہاتھ سے آنکھ کو آرڈینیشن اور حیرت انگیز</v>
      </c>
      <c r="Q239" s="6" t="s">
        <v>656</v>
      </c>
      <c r="R239" s="6" t="str">
        <f>IFERROR(__xludf.DUMMYFUNCTION("GOOGLETRANSLATE(G239,""en"",""ur"")"),"ہاتھ سے آنکھ کو آرڈینیشن اور حیرت انگیز")</f>
        <v>ہاتھ سے آنکھ کو آرڈینیشن اور حیرت انگیز</v>
      </c>
      <c r="S239" s="6" t="s">
        <v>796</v>
      </c>
      <c r="T239" s="6"/>
      <c r="U239" s="6"/>
      <c r="V239" s="6"/>
      <c r="W239" s="6"/>
      <c r="X239" s="6"/>
      <c r="Y239" s="6"/>
      <c r="Z239" s="6"/>
      <c r="AA239" s="6"/>
    </row>
    <row r="240">
      <c r="A240" s="7">
        <v>239.0</v>
      </c>
      <c r="B240" s="6" t="s">
        <v>657</v>
      </c>
      <c r="C240" s="6" t="s">
        <v>658</v>
      </c>
      <c r="D240" s="6" t="s">
        <v>659</v>
      </c>
      <c r="E240" s="6" t="s">
        <v>660</v>
      </c>
      <c r="F240" s="6" t="s">
        <v>661</v>
      </c>
      <c r="G240" s="6" t="s">
        <v>658</v>
      </c>
      <c r="H240" s="6" t="s">
        <v>796</v>
      </c>
      <c r="I240" s="6"/>
      <c r="J240" s="6"/>
      <c r="K240" s="7">
        <v>239.0</v>
      </c>
      <c r="L240" s="6" t="str">
        <f>IFERROR(__xludf.DUMMYFUNCTION("GOOGLETRANSLATE(B240,""en"",""ur"")"),"کھلاڑیوں کے جوتے کے بارے میں ایک قابل ذکر تفصیل کیا ہے؟")</f>
        <v>کھلاڑیوں کے جوتے کے بارے میں ایک قابل ذکر تفصیل کیا ہے؟</v>
      </c>
      <c r="M240" s="6"/>
      <c r="N240" s="8" t="str">
        <f>IFERROR(__xludf.DUMMYFUNCTION("GOOGLETRANSLATE(D240,""en"",""ur"")"),"وہ ننگے پاؤں ہیں۔")</f>
        <v>وہ ننگے پاؤں ہیں۔</v>
      </c>
      <c r="O240" s="6" t="str">
        <f>IFERROR(__xludf.DUMMYFUNCTION("GOOGLETRANSLATE(E240,""en"",""ur"")"),"وہ سینڈل یا فلپ فلاپ پہنے ہوئے ہیں۔")</f>
        <v>وہ سینڈل یا فلپ فلاپ پہنے ہوئے ہیں۔</v>
      </c>
      <c r="P240" s="6" t="str">
        <f>IFERROR(__xludf.DUMMYFUNCTION("GOOGLETRANSLATE(F240,""en"",""ur"")"),"وہ موزے پہنے ہوئے ہیں۔")</f>
        <v>وہ موزے پہنے ہوئے ہیں۔</v>
      </c>
      <c r="Q240" s="6" t="s">
        <v>662</v>
      </c>
      <c r="R240" s="6" t="str">
        <f>IFERROR(__xludf.DUMMYFUNCTION("GOOGLETRANSLATE(G240,""en"",""ur"")"),"انہوں نے جوتے پہن رکھے ہیں۔")</f>
        <v>انہوں نے جوتے پہن رکھے ہیں۔</v>
      </c>
      <c r="S240" s="6" t="s">
        <v>796</v>
      </c>
      <c r="T240" s="6"/>
      <c r="U240" s="6"/>
      <c r="V240" s="6"/>
      <c r="W240" s="6"/>
      <c r="X240" s="6"/>
      <c r="Y240" s="6"/>
      <c r="Z240" s="6"/>
      <c r="AA240" s="6"/>
    </row>
    <row r="241">
      <c r="A241" s="7">
        <v>240.0</v>
      </c>
      <c r="B241" s="6" t="s">
        <v>663</v>
      </c>
      <c r="C241" s="6" t="s">
        <v>664</v>
      </c>
      <c r="D241" s="6" t="s">
        <v>665</v>
      </c>
      <c r="E241" s="6" t="s">
        <v>666</v>
      </c>
      <c r="F241" s="6" t="s">
        <v>667</v>
      </c>
      <c r="G241" s="6" t="s">
        <v>725</v>
      </c>
      <c r="H241" s="6" t="s">
        <v>796</v>
      </c>
      <c r="I241" s="6"/>
      <c r="J241" s="6"/>
      <c r="K241" s="7">
        <v>240.0</v>
      </c>
      <c r="L241" s="6" t="str">
        <f>IFERROR(__xludf.DUMMYFUNCTION("GOOGLETRANSLATE(B241,""en"",""ur"")"),"پس منظر میں دیگر کھلاڑیوں کے بارے میں ایک قابل ذکر تفصیل کیا ہے؟")</f>
        <v>پس منظر میں دیگر کھلاڑیوں کے بارے میں ایک قابل ذکر تفصیل کیا ہے؟</v>
      </c>
      <c r="M241" s="6"/>
      <c r="N241" s="8" t="str">
        <f>IFERROR(__xludf.DUMMYFUNCTION("GOOGLETRANSLATE(D241,""en"",""ur"")"),"وہ سب ادھر ادھر بھاگ رہے ہیں۔")</f>
        <v>وہ سب ادھر ادھر بھاگ رہے ہیں۔</v>
      </c>
      <c r="O241" s="6" t="str">
        <f>IFERROR(__xludf.DUMMYFUNCTION("GOOGLETRANSLATE(E241,""en"",""ur"")"),"وہ ایک دفاعی، تیار موقف میں ہیں۔")</f>
        <v>وہ ایک دفاعی، تیار موقف میں ہیں۔</v>
      </c>
      <c r="P241" s="6" t="str">
        <f>IFERROR(__xludf.DUMMYFUNCTION("GOOGLETRANSLATE(F241,""en"",""ur"")"),"وہ سب لہرا رہے ہیں۔")</f>
        <v>وہ سب لہرا رہے ہیں۔</v>
      </c>
      <c r="Q241" s="6" t="s">
        <v>668</v>
      </c>
      <c r="R241" s="6" t="str">
        <f>IFERROR(__xludf.DUMMYFUNCTION("GOOGLETRANSLATE(G241,""en"",""ur"")"),"وہ سب کھڑے کھڑے دیکھ رہے ہیں۔")</f>
        <v>وہ سب کھڑے کھڑے دیکھ رہے ہیں۔</v>
      </c>
      <c r="S241" s="6" t="s">
        <v>796</v>
      </c>
      <c r="T241" s="6"/>
      <c r="U241" s="6"/>
      <c r="V241" s="6"/>
      <c r="W241" s="6"/>
      <c r="X241" s="6"/>
      <c r="Y241" s="6"/>
      <c r="Z241" s="6"/>
      <c r="AA241" s="6"/>
    </row>
    <row r="242">
      <c r="A242" s="7">
        <v>241.0</v>
      </c>
      <c r="B242" s="6" t="s">
        <v>807</v>
      </c>
      <c r="C242" s="6" t="s">
        <v>808</v>
      </c>
      <c r="D242" s="6" t="s">
        <v>632</v>
      </c>
      <c r="E242" s="6" t="s">
        <v>633</v>
      </c>
      <c r="F242" s="6" t="s">
        <v>634</v>
      </c>
      <c r="G242" s="6" t="s">
        <v>808</v>
      </c>
      <c r="H242" s="6" t="s">
        <v>809</v>
      </c>
      <c r="I242" s="6"/>
      <c r="J242" s="6"/>
      <c r="K242" s="7">
        <v>241.0</v>
      </c>
      <c r="L242" s="6" t="str">
        <f>IFERROR(__xludf.DUMMYFUNCTION("GOOGLETRANSLATE(B242,""en"",""ur"")"),"gilli_danda_56 میں دکھایا گیا اہم عمل کیا ہے؟")</f>
        <v>gilli_danda_56 میں دکھایا گیا اہم عمل کیا ہے؟</v>
      </c>
      <c r="M242" s="6"/>
      <c r="N242" s="8" t="str">
        <f>IFERROR(__xludf.DUMMYFUNCTION("GOOGLETRANSLATE(D242,""en"",""ur"")"),"ایک کھلاڑی چھوٹی چھڑی کو بڑی چھڑی سے مار رہا ہے۔")</f>
        <v>ایک کھلاڑی چھوٹی چھڑی کو بڑی چھڑی سے مار رہا ہے۔</v>
      </c>
      <c r="O242" s="6" t="str">
        <f>IFERROR(__xludf.DUMMYFUNCTION("GOOGLETRANSLATE(E242,""en"",""ur"")"),"ایک کھلاڑی گیند کی خدمت کر رہا ہے۔")</f>
        <v>ایک کھلاڑی گیند کی خدمت کر رہا ہے۔</v>
      </c>
      <c r="P242" s="6" t="str">
        <f>IFERROR(__xludf.DUMMYFUNCTION("GOOGLETRANSLATE(F242,""en"",""ur"")"),"ایک کھلاڑی دفاعی بلاک کا مظاہرہ کر رہا ہے۔")</f>
        <v>ایک کھلاڑی دفاعی بلاک کا مظاہرہ کر رہا ہے۔</v>
      </c>
      <c r="Q242" s="6" t="s">
        <v>671</v>
      </c>
      <c r="R242" s="6" t="str">
        <f>IFERROR(__xludf.DUMMYFUNCTION("GOOGLETRANSLATE(G242,""en"",""ur"")"),"گاؤں میں کھیل کا کارٹون")</f>
        <v>گاؤں میں کھیل کا کارٹون</v>
      </c>
      <c r="S242" s="6" t="s">
        <v>809</v>
      </c>
      <c r="T242" s="6"/>
      <c r="U242" s="6"/>
      <c r="V242" s="6"/>
      <c r="W242" s="6"/>
      <c r="X242" s="6"/>
      <c r="Y242" s="6"/>
      <c r="Z242" s="6"/>
      <c r="AA242" s="6"/>
    </row>
    <row r="243">
      <c r="A243" s="7">
        <v>242.0</v>
      </c>
      <c r="B243" s="6" t="s">
        <v>636</v>
      </c>
      <c r="C243" s="6" t="s">
        <v>637</v>
      </c>
      <c r="D243" s="6" t="s">
        <v>638</v>
      </c>
      <c r="E243" s="6" t="s">
        <v>639</v>
      </c>
      <c r="F243" s="6" t="s">
        <v>640</v>
      </c>
      <c r="G243" s="6" t="s">
        <v>638</v>
      </c>
      <c r="H243" s="6" t="s">
        <v>809</v>
      </c>
      <c r="I243" s="6"/>
      <c r="J243" s="6"/>
      <c r="K243" s="7">
        <v>242.0</v>
      </c>
      <c r="L243" s="6" t="str">
        <f>IFERROR(__xludf.DUMMYFUNCTION("GOOGLETRANSLATE(B243,""en"",""ur"")"),"کھیل میں استعمال ہونے والے آلات کے دو ٹکڑے کیا ہیں؟")</f>
        <v>کھیل میں استعمال ہونے والے آلات کے دو ٹکڑے کیا ہیں؟</v>
      </c>
      <c r="M243" s="6"/>
      <c r="N243" s="8" t="str">
        <f>IFERROR(__xludf.DUMMYFUNCTION("GOOGLETRANSLATE(D243,""en"",""ur"")"),"ایک لمبی چھڑی (ڈنڈا) اور ایک چھوٹی چھڑی (گلی)")</f>
        <v>ایک لمبی چھڑی (ڈنڈا) اور ایک چھوٹی چھڑی (گلی)</v>
      </c>
      <c r="O243" s="6" t="str">
        <f>IFERROR(__xludf.DUMMYFUNCTION("GOOGLETRANSLATE(E243,""en"",""ur"")"),"ایک ریکیٹ اور ایک شٹل کاک")</f>
        <v>ایک ریکیٹ اور ایک شٹل کاک</v>
      </c>
      <c r="P243" s="6" t="str">
        <f>IFERROR(__xludf.DUMMYFUNCTION("GOOGLETRANSLATE(F243,""en"",""ur"")"),"ایک چمگادڑ اور ایک دستانہ")</f>
        <v>ایک چمگادڑ اور ایک دستانہ</v>
      </c>
      <c r="Q243" s="6" t="s">
        <v>641</v>
      </c>
      <c r="R243" s="6" t="str">
        <f>IFERROR(__xludf.DUMMYFUNCTION("GOOGLETRANSLATE(G243,""en"",""ur"")"),"ایک لمبی چھڑی (ڈنڈا) اور ایک چھوٹی چھڑی (گلی)")</f>
        <v>ایک لمبی چھڑی (ڈنڈا) اور ایک چھوٹی چھڑی (گلی)</v>
      </c>
      <c r="S243" s="6" t="s">
        <v>809</v>
      </c>
      <c r="T243" s="6"/>
      <c r="U243" s="6"/>
      <c r="V243" s="6"/>
      <c r="W243" s="6"/>
      <c r="X243" s="6"/>
      <c r="Y243" s="6"/>
      <c r="Z243" s="6"/>
      <c r="AA243" s="6"/>
    </row>
    <row r="244">
      <c r="A244" s="7">
        <v>243.0</v>
      </c>
      <c r="B244" s="6" t="s">
        <v>687</v>
      </c>
      <c r="C244" s="6" t="s">
        <v>307</v>
      </c>
      <c r="D244" s="6" t="s">
        <v>643</v>
      </c>
      <c r="E244" s="6" t="s">
        <v>311</v>
      </c>
      <c r="F244" s="6" t="s">
        <v>314</v>
      </c>
      <c r="G244" s="6" t="s">
        <v>643</v>
      </c>
      <c r="H244" s="6" t="s">
        <v>809</v>
      </c>
      <c r="I244" s="6"/>
      <c r="J244" s="6"/>
      <c r="K244" s="7">
        <v>243.0</v>
      </c>
      <c r="L244" s="6" t="str">
        <f>IFERROR(__xludf.DUMMYFUNCTION("GOOGLETRANSLATE(B244,""en"",""ur"")"),"پیش منظر میں کھلاڑی کے بارے میں ایک قابل ذکر تفصیل کیا ہے؟")</f>
        <v>پیش منظر میں کھلاڑی کے بارے میں ایک قابل ذکر تفصیل کیا ہے؟</v>
      </c>
      <c r="M244" s="6"/>
      <c r="N244" s="8" t="str">
        <f>IFERROR(__xludf.DUMMYFUNCTION("GOOGLETRANSLATE(D244,""en"",""ur"")"),"وہ ایک پست، جھکائے ہوئے موقف میں ہے، ہڑتال کرنے کی تیاری کر رہا ہے۔")</f>
        <v>وہ ایک پست، جھکائے ہوئے موقف میں ہے، ہڑتال کرنے کی تیاری کر رہا ہے۔</v>
      </c>
      <c r="O244" s="6" t="str">
        <f>IFERROR(__xludf.DUMMYFUNCTION("GOOGLETRANSLATE(E244,""en"",""ur"")"),"وہ سیدھا کھڑا ہے۔")</f>
        <v>وہ سیدھا کھڑا ہے۔</v>
      </c>
      <c r="P244" s="6" t="str">
        <f>IFERROR(__xludf.DUMMYFUNCTION("GOOGLETRANSLATE(F244,""en"",""ur"")"),"وہ آرام سے بیٹھا ہے۔")</f>
        <v>وہ آرام سے بیٹھا ہے۔</v>
      </c>
      <c r="Q244" s="6" t="s">
        <v>644</v>
      </c>
      <c r="R244" s="6" t="str">
        <f>IFERROR(__xludf.DUMMYFUNCTION("GOOGLETRANSLATE(G244,""en"",""ur"")"),"وہ ایک پست، جھکائے ہوئے موقف میں ہے، ہڑتال کرنے کی تیاری کر رہا ہے۔")</f>
        <v>وہ ایک پست، جھکائے ہوئے موقف میں ہے، ہڑتال کرنے کی تیاری کر رہا ہے۔</v>
      </c>
      <c r="S244" s="6" t="s">
        <v>809</v>
      </c>
      <c r="T244" s="6"/>
      <c r="U244" s="6"/>
      <c r="V244" s="6"/>
      <c r="W244" s="6"/>
      <c r="X244" s="6"/>
      <c r="Y244" s="6"/>
      <c r="Z244" s="6"/>
      <c r="AA244" s="6"/>
    </row>
    <row r="245">
      <c r="A245" s="7">
        <v>244.0</v>
      </c>
      <c r="B245" s="6" t="s">
        <v>645</v>
      </c>
      <c r="C245" s="6" t="s">
        <v>422</v>
      </c>
      <c r="D245" s="6" t="s">
        <v>646</v>
      </c>
      <c r="E245" s="6" t="s">
        <v>647</v>
      </c>
      <c r="F245" s="6" t="s">
        <v>425</v>
      </c>
      <c r="G245" s="6" t="s">
        <v>647</v>
      </c>
      <c r="H245" s="6" t="s">
        <v>809</v>
      </c>
      <c r="I245" s="6"/>
      <c r="J245" s="6"/>
      <c r="K245" s="7">
        <v>244.0</v>
      </c>
      <c r="L245" s="6" t="str">
        <f>IFERROR(__xludf.DUMMYFUNCTION("GOOGLETRANSLATE(B245,""en"",""ur"")"),"کھیل کی ظاہری ترتیب کیا ہے؟")</f>
        <v>کھیل کی ظاہری ترتیب کیا ہے؟</v>
      </c>
      <c r="M245" s="6"/>
      <c r="N245" s="8" t="str">
        <f>IFERROR(__xludf.DUMMYFUNCTION("GOOGLETRANSLATE(D245,""en"",""ur"")"),"شہر کی ایک گلی")</f>
        <v>شہر کی ایک گلی</v>
      </c>
      <c r="O245" s="6" t="str">
        <f>IFERROR(__xludf.DUMMYFUNCTION("GOOGLETRANSLATE(E245,""en"",""ur"")"),"ایک بیرونی گندگی کا میدان")</f>
        <v>ایک بیرونی گندگی کا میدان</v>
      </c>
      <c r="P245" s="6" t="str">
        <f>IFERROR(__xludf.DUMMYFUNCTION("GOOGLETRANSLATE(F245,""en"",""ur"")"),"گھاس کا میدان")</f>
        <v>گھاس کا میدان</v>
      </c>
      <c r="Q245" s="6" t="s">
        <v>648</v>
      </c>
      <c r="R245" s="6" t="str">
        <f>IFERROR(__xludf.DUMMYFUNCTION("GOOGLETRANSLATE(G245,""en"",""ur"")"),"ایک بیرونی گندگی کا میدان")</f>
        <v>ایک بیرونی گندگی کا میدان</v>
      </c>
      <c r="S245" s="6" t="s">
        <v>809</v>
      </c>
      <c r="T245" s="6"/>
      <c r="U245" s="6"/>
      <c r="V245" s="6"/>
      <c r="W245" s="6"/>
      <c r="X245" s="6"/>
      <c r="Y245" s="6"/>
      <c r="Z245" s="6"/>
      <c r="AA245" s="6"/>
    </row>
    <row r="246">
      <c r="A246" s="7">
        <v>245.0</v>
      </c>
      <c r="B246" s="6" t="s">
        <v>46</v>
      </c>
      <c r="C246" s="6" t="s">
        <v>47</v>
      </c>
      <c r="D246" s="6" t="s">
        <v>48</v>
      </c>
      <c r="E246" s="6" t="s">
        <v>49</v>
      </c>
      <c r="F246" s="6" t="s">
        <v>50</v>
      </c>
      <c r="G246" s="6" t="s">
        <v>49</v>
      </c>
      <c r="H246" s="6" t="s">
        <v>809</v>
      </c>
      <c r="I246" s="6"/>
      <c r="J246" s="6"/>
      <c r="K246" s="7">
        <v>245.0</v>
      </c>
      <c r="L246" s="6" t="str">
        <f>IFERROR(__xludf.DUMMYFUNCTION("GOOGLETRANSLATE(B246,""en"",""ur"")"),"کھلاڑیوں کے چہروں سے ظاہری جذبات کیا ہیں؟")</f>
        <v>کھلاڑیوں کے چہروں سے ظاہری جذبات کیا ہیں؟</v>
      </c>
      <c r="M246" s="6"/>
      <c r="N246" s="8" t="str">
        <f>IFERROR(__xludf.DUMMYFUNCTION("GOOGLETRANSLATE(D246,""en"",""ur"")"),"خوف زدہ اور بے چین")</f>
        <v>خوف زدہ اور بے چین</v>
      </c>
      <c r="O246" s="6" t="str">
        <f>IFERROR(__xludf.DUMMYFUNCTION("GOOGLETRANSLATE(E246,""en"",""ur"")"),"کشیدہ اور شدید")</f>
        <v>کشیدہ اور شدید</v>
      </c>
      <c r="P246" s="6" t="str">
        <f>IFERROR(__xludf.DUMMYFUNCTION("GOOGLETRANSLATE(F246,""en"",""ur"")"),"خوش اور مسکراتے ہوئے۔")</f>
        <v>خوش اور مسکراتے ہوئے۔</v>
      </c>
      <c r="Q246" s="6" t="s">
        <v>649</v>
      </c>
      <c r="R246" s="6" t="str">
        <f>IFERROR(__xludf.DUMMYFUNCTION("GOOGLETRANSLATE(G246,""en"",""ur"")"),"کشیدہ اور شدید")</f>
        <v>کشیدہ اور شدید</v>
      </c>
      <c r="S246" s="6" t="s">
        <v>809</v>
      </c>
      <c r="T246" s="6"/>
      <c r="U246" s="6"/>
      <c r="V246" s="6"/>
      <c r="W246" s="6"/>
      <c r="X246" s="6"/>
      <c r="Y246" s="6"/>
      <c r="Z246" s="6"/>
      <c r="AA246" s="6"/>
    </row>
    <row r="247">
      <c r="A247" s="7">
        <v>246.0</v>
      </c>
      <c r="B247" s="6" t="s">
        <v>88</v>
      </c>
      <c r="C247" s="6" t="s">
        <v>89</v>
      </c>
      <c r="D247" s="6" t="s">
        <v>90</v>
      </c>
      <c r="E247" s="6" t="s">
        <v>91</v>
      </c>
      <c r="F247" s="6" t="s">
        <v>255</v>
      </c>
      <c r="G247" s="6" t="s">
        <v>255</v>
      </c>
      <c r="H247" s="6" t="s">
        <v>809</v>
      </c>
      <c r="I247" s="6"/>
      <c r="J247" s="6"/>
      <c r="K247" s="7">
        <v>246.0</v>
      </c>
      <c r="L247" s="6" t="str">
        <f>IFERROR(__xludf.DUMMYFUNCTION("GOOGLETRANSLATE(B247,""en"",""ur"")"),"زمین کی سب سے نمایاں خصوصیت کیا ہے؟")</f>
        <v>زمین کی سب سے نمایاں خصوصیت کیا ہے؟</v>
      </c>
      <c r="M247" s="6"/>
      <c r="N247" s="8" t="str">
        <f>IFERROR(__xludf.DUMMYFUNCTION("GOOGLETRANSLATE(D247,""en"",""ur"")"),"کیچڑ والا میدان")</f>
        <v>کیچڑ والا میدان</v>
      </c>
      <c r="O247" s="6" t="str">
        <f>IFERROR(__xludf.DUMMYFUNCTION("GOOGLETRANSLATE(E247,""en"",""ur"")"),"ایک گھاس دار سطح")</f>
        <v>ایک گھاس دار سطح</v>
      </c>
      <c r="P247" s="6" t="str">
        <f>IFERROR(__xludf.DUMMYFUNCTION("GOOGLETRANSLATE(F247,""en"",""ur"")"),"ریتلی یا گندگی کی سطح")</f>
        <v>ریتلی یا گندگی کی سطح</v>
      </c>
      <c r="Q247" s="6" t="s">
        <v>688</v>
      </c>
      <c r="R247" s="6" t="str">
        <f>IFERROR(__xludf.DUMMYFUNCTION("GOOGLETRANSLATE(G247,""en"",""ur"")"),"ریتلی یا گندگی کی سطح")</f>
        <v>ریتلی یا گندگی کی سطح</v>
      </c>
      <c r="S247" s="6" t="s">
        <v>809</v>
      </c>
      <c r="T247" s="6"/>
      <c r="U247" s="6"/>
      <c r="V247" s="6"/>
      <c r="W247" s="6"/>
      <c r="X247" s="6"/>
      <c r="Y247" s="6"/>
      <c r="Z247" s="6"/>
      <c r="AA247" s="6"/>
    </row>
    <row r="248">
      <c r="A248" s="7">
        <v>247.0</v>
      </c>
      <c r="B248" s="6" t="s">
        <v>94</v>
      </c>
      <c r="C248" s="6" t="s">
        <v>95</v>
      </c>
      <c r="D248" s="6" t="s">
        <v>651</v>
      </c>
      <c r="E248" s="6" t="s">
        <v>652</v>
      </c>
      <c r="F248" s="6" t="s">
        <v>653</v>
      </c>
      <c r="G248" s="6" t="s">
        <v>652</v>
      </c>
      <c r="H248" s="6" t="s">
        <v>809</v>
      </c>
      <c r="I248" s="6"/>
      <c r="J248" s="6"/>
      <c r="K248" s="7">
        <v>247.0</v>
      </c>
      <c r="L248" s="6" t="str">
        <f>IFERROR(__xludf.DUMMYFUNCTION("GOOGLETRANSLATE(B248,""en"",""ur"")"),"کھیلے جانے والے کھیل کا نام کیا ہے؟")</f>
        <v>کھیلے جانے والے کھیل کا نام کیا ہے؟</v>
      </c>
      <c r="M248" s="6"/>
      <c r="N248" s="8" t="str">
        <f>IFERROR(__xludf.DUMMYFUNCTION("GOOGLETRANSLATE(D248,""en"",""ur"")"),"کرکٹ")</f>
        <v>کرکٹ</v>
      </c>
      <c r="O248" s="6" t="str">
        <f>IFERROR(__xludf.DUMMYFUNCTION("GOOGLETRANSLATE(E248,""en"",""ur"")"),"گلی ڈنڈا۔")</f>
        <v>گلی ڈنڈا۔</v>
      </c>
      <c r="P248" s="6" t="str">
        <f>IFERROR(__xludf.DUMMYFUNCTION("GOOGLETRANSLATE(F248,""en"",""ur"")"),"بیس بال")</f>
        <v>بیس بال</v>
      </c>
      <c r="Q248" s="6" t="s">
        <v>654</v>
      </c>
      <c r="R248" s="6" t="str">
        <f>IFERROR(__xludf.DUMMYFUNCTION("GOOGLETRANSLATE(G248,""en"",""ur"")"),"گلی ڈنڈا۔")</f>
        <v>گلی ڈنڈا۔</v>
      </c>
      <c r="S248" s="6" t="s">
        <v>809</v>
      </c>
      <c r="T248" s="6"/>
      <c r="U248" s="6"/>
      <c r="V248" s="6"/>
      <c r="W248" s="6"/>
      <c r="X248" s="6"/>
      <c r="Y248" s="6"/>
      <c r="Z248" s="6"/>
      <c r="AA248" s="6"/>
    </row>
    <row r="249">
      <c r="A249" s="7">
        <v>248.0</v>
      </c>
      <c r="B249" s="6" t="s">
        <v>260</v>
      </c>
      <c r="C249" s="6" t="s">
        <v>261</v>
      </c>
      <c r="D249" s="6" t="s">
        <v>262</v>
      </c>
      <c r="E249" s="6" t="s">
        <v>263</v>
      </c>
      <c r="F249" s="6" t="s">
        <v>655</v>
      </c>
      <c r="G249" s="6" t="s">
        <v>655</v>
      </c>
      <c r="H249" s="6" t="s">
        <v>809</v>
      </c>
      <c r="I249" s="6"/>
      <c r="J249" s="6"/>
      <c r="K249" s="7">
        <v>248.0</v>
      </c>
      <c r="L249" s="6" t="str">
        <f>IFERROR(__xludf.DUMMYFUNCTION("GOOGLETRANSLATE(B249,""en"",""ur"")"),"تصویر میں ایکشن ایک ایسا انداز تجویز کرتا ہے جو اس بات پر زور دیتا ہے...")</f>
        <v>تصویر میں ایکشن ایک ایسا انداز تجویز کرتا ہے جو اس بات پر زور دیتا ہے...</v>
      </c>
      <c r="M249" s="6"/>
      <c r="N249" s="8" t="str">
        <f>IFERROR(__xludf.DUMMYFUNCTION("GOOGLETRANSLATE(D249,""en"",""ur"")"),"زمینی لڑائی اور گرفت")</f>
        <v>زمینی لڑائی اور گرفت</v>
      </c>
      <c r="O249" s="6" t="str">
        <f>IFERROR(__xludf.DUMMYFUNCTION("GOOGLETRANSLATE(E249,""en"",""ur"")"),"وحشیانہ قوت اور گھڑ سواری۔")</f>
        <v>وحشیانہ قوت اور گھڑ سواری۔</v>
      </c>
      <c r="P249" s="6" t="str">
        <f>IFERROR(__xludf.DUMMYFUNCTION("GOOGLETRANSLATE(F249,""en"",""ur"")"),"ہاتھ سے آنکھ کو آرڈینیشن اور حیرت انگیز")</f>
        <v>ہاتھ سے آنکھ کو آرڈینیشن اور حیرت انگیز</v>
      </c>
      <c r="Q249" s="6" t="s">
        <v>656</v>
      </c>
      <c r="R249" s="6" t="str">
        <f>IFERROR(__xludf.DUMMYFUNCTION("GOOGLETRANSLATE(G249,""en"",""ur"")"),"ہاتھ سے آنکھ کو آرڈینیشن اور حیرت انگیز")</f>
        <v>ہاتھ سے آنکھ کو آرڈینیشن اور حیرت انگیز</v>
      </c>
      <c r="S249" s="6" t="s">
        <v>809</v>
      </c>
      <c r="T249" s="6"/>
      <c r="U249" s="6"/>
      <c r="V249" s="6"/>
      <c r="W249" s="6"/>
      <c r="X249" s="6"/>
      <c r="Y249" s="6"/>
      <c r="Z249" s="6"/>
      <c r="AA249" s="6"/>
    </row>
    <row r="250">
      <c r="A250" s="7">
        <v>249.0</v>
      </c>
      <c r="B250" s="6" t="s">
        <v>657</v>
      </c>
      <c r="C250" s="6" t="s">
        <v>658</v>
      </c>
      <c r="D250" s="6" t="s">
        <v>659</v>
      </c>
      <c r="E250" s="6" t="s">
        <v>660</v>
      </c>
      <c r="F250" s="6" t="s">
        <v>661</v>
      </c>
      <c r="G250" s="6" t="s">
        <v>659</v>
      </c>
      <c r="H250" s="6" t="s">
        <v>809</v>
      </c>
      <c r="I250" s="6"/>
      <c r="J250" s="6"/>
      <c r="K250" s="7">
        <v>249.0</v>
      </c>
      <c r="L250" s="6" t="str">
        <f>IFERROR(__xludf.DUMMYFUNCTION("GOOGLETRANSLATE(B250,""en"",""ur"")"),"کھلاڑیوں کے جوتے کے بارے میں ایک قابل ذکر تفصیل کیا ہے؟")</f>
        <v>کھلاڑیوں کے جوتے کے بارے میں ایک قابل ذکر تفصیل کیا ہے؟</v>
      </c>
      <c r="M250" s="6"/>
      <c r="N250" s="8" t="str">
        <f>IFERROR(__xludf.DUMMYFUNCTION("GOOGLETRANSLATE(D250,""en"",""ur"")"),"وہ ننگے پاؤں ہیں۔")</f>
        <v>وہ ننگے پاؤں ہیں۔</v>
      </c>
      <c r="O250" s="6" t="str">
        <f>IFERROR(__xludf.DUMMYFUNCTION("GOOGLETRANSLATE(E250,""en"",""ur"")"),"وہ سینڈل یا فلپ فلاپ پہنے ہوئے ہیں۔")</f>
        <v>وہ سینڈل یا فلپ فلاپ پہنے ہوئے ہیں۔</v>
      </c>
      <c r="P250" s="6" t="str">
        <f>IFERROR(__xludf.DUMMYFUNCTION("GOOGLETRANSLATE(F250,""en"",""ur"")"),"وہ موزے پہنے ہوئے ہیں۔")</f>
        <v>وہ موزے پہنے ہوئے ہیں۔</v>
      </c>
      <c r="Q250" s="6" t="s">
        <v>662</v>
      </c>
      <c r="R250" s="6" t="str">
        <f>IFERROR(__xludf.DUMMYFUNCTION("GOOGLETRANSLATE(G250,""en"",""ur"")"),"وہ ننگے پاؤں ہیں۔")</f>
        <v>وہ ننگے پاؤں ہیں۔</v>
      </c>
      <c r="S250" s="6" t="s">
        <v>809</v>
      </c>
      <c r="T250" s="6"/>
      <c r="U250" s="6"/>
      <c r="V250" s="6"/>
      <c r="W250" s="6"/>
      <c r="X250" s="6"/>
      <c r="Y250" s="6"/>
      <c r="Z250" s="6"/>
      <c r="AA250" s="6"/>
    </row>
    <row r="251">
      <c r="A251" s="7">
        <v>250.0</v>
      </c>
      <c r="B251" s="6" t="s">
        <v>663</v>
      </c>
      <c r="C251" s="6" t="s">
        <v>664</v>
      </c>
      <c r="D251" s="6" t="s">
        <v>665</v>
      </c>
      <c r="E251" s="6" t="s">
        <v>666</v>
      </c>
      <c r="F251" s="6" t="s">
        <v>667</v>
      </c>
      <c r="G251" s="6" t="s">
        <v>725</v>
      </c>
      <c r="H251" s="6" t="s">
        <v>809</v>
      </c>
      <c r="I251" s="6"/>
      <c r="J251" s="6"/>
      <c r="K251" s="7">
        <v>250.0</v>
      </c>
      <c r="L251" s="6" t="str">
        <f>IFERROR(__xludf.DUMMYFUNCTION("GOOGLETRANSLATE(B251,""en"",""ur"")"),"پس منظر میں دیگر کھلاڑیوں کے بارے میں ایک قابل ذکر تفصیل کیا ہے؟")</f>
        <v>پس منظر میں دیگر کھلاڑیوں کے بارے میں ایک قابل ذکر تفصیل کیا ہے؟</v>
      </c>
      <c r="M251" s="6"/>
      <c r="N251" s="8" t="str">
        <f>IFERROR(__xludf.DUMMYFUNCTION("GOOGLETRANSLATE(D251,""en"",""ur"")"),"وہ سب ادھر ادھر بھاگ رہے ہیں۔")</f>
        <v>وہ سب ادھر ادھر بھاگ رہے ہیں۔</v>
      </c>
      <c r="O251" s="6" t="str">
        <f>IFERROR(__xludf.DUMMYFUNCTION("GOOGLETRANSLATE(E251,""en"",""ur"")"),"وہ ایک دفاعی، تیار موقف میں ہیں۔")</f>
        <v>وہ ایک دفاعی، تیار موقف میں ہیں۔</v>
      </c>
      <c r="P251" s="6" t="str">
        <f>IFERROR(__xludf.DUMMYFUNCTION("GOOGLETRANSLATE(F251,""en"",""ur"")"),"وہ سب لہرا رہے ہیں۔")</f>
        <v>وہ سب لہرا رہے ہیں۔</v>
      </c>
      <c r="Q251" s="6" t="s">
        <v>668</v>
      </c>
      <c r="R251" s="6" t="str">
        <f>IFERROR(__xludf.DUMMYFUNCTION("GOOGLETRANSLATE(G251,""en"",""ur"")"),"وہ سب کھڑے کھڑے دیکھ رہے ہیں۔")</f>
        <v>وہ سب کھڑے کھڑے دیکھ رہے ہیں۔</v>
      </c>
      <c r="S251" s="6" t="s">
        <v>809</v>
      </c>
      <c r="T251" s="6"/>
      <c r="U251" s="6"/>
      <c r="V251" s="6"/>
      <c r="W251" s="6"/>
      <c r="X251" s="6"/>
      <c r="Y251" s="6"/>
      <c r="Z251" s="6"/>
      <c r="AA251" s="6"/>
    </row>
    <row r="252">
      <c r="A252" s="7">
        <v>251.0</v>
      </c>
      <c r="B252" s="6" t="s">
        <v>810</v>
      </c>
      <c r="C252" s="6" t="s">
        <v>811</v>
      </c>
      <c r="D252" s="6" t="s">
        <v>682</v>
      </c>
      <c r="E252" s="6" t="s">
        <v>681</v>
      </c>
      <c r="F252" s="6" t="s">
        <v>684</v>
      </c>
      <c r="G252" s="6" t="s">
        <v>811</v>
      </c>
      <c r="H252" s="6" t="s">
        <v>812</v>
      </c>
      <c r="I252" s="6"/>
      <c r="J252" s="6"/>
      <c r="K252" s="7">
        <v>251.0</v>
      </c>
      <c r="L252" s="6" t="str">
        <f>IFERROR(__xludf.DUMMYFUNCTION("GOOGLETRANSLATE(B252,""en"",""ur"")"),"gilli_danda_45 میں دکھایا گیا اہم عمل کیا ہے؟")</f>
        <v>gilli_danda_45 میں دکھایا گیا اہم عمل کیا ہے؟</v>
      </c>
      <c r="M252" s="6"/>
      <c r="N252" s="8" t="str">
        <f>IFERROR(__xludf.DUMMYFUNCTION("GOOGLETRANSLATE(D252,""en"",""ur"")"),"بچوں کا ایک گروپ جو گیند کا کھیل کھیل رہا ہے۔")</f>
        <v>بچوں کا ایک گروپ جو گیند کا کھیل کھیل رہا ہے۔</v>
      </c>
      <c r="O252" s="6" t="str">
        <f>IFERROR(__xludf.DUMMYFUNCTION("GOOGLETRANSLATE(E252,""en"",""ur"")"),"لڑنے والے بچوں کا ایک گروپ")</f>
        <v>لڑنے والے بچوں کا ایک گروپ</v>
      </c>
      <c r="P252" s="6" t="str">
        <f>IFERROR(__xludf.DUMMYFUNCTION("GOOGLETRANSLATE(F252,""en"",""ur"")"),"بچوں کا ایک گروپ چل رہا ہے۔")</f>
        <v>بچوں کا ایک گروپ چل رہا ہے۔</v>
      </c>
      <c r="Q252" s="6" t="s">
        <v>813</v>
      </c>
      <c r="R252" s="6" t="str">
        <f>IFERROR(__xludf.DUMMYFUNCTION("GOOGLETRANSLATE(G252,""en"",""ur"")"),"ٹورنامنٹ کے لیے ایک فلائر")</f>
        <v>ٹورنامنٹ کے لیے ایک فلائر</v>
      </c>
      <c r="S252" s="6" t="s">
        <v>812</v>
      </c>
      <c r="T252" s="6"/>
      <c r="U252" s="6"/>
      <c r="V252" s="6"/>
      <c r="W252" s="6"/>
      <c r="X252" s="6"/>
      <c r="Y252" s="6"/>
      <c r="Z252" s="6"/>
      <c r="AA252" s="6"/>
    </row>
    <row r="253">
      <c r="A253" s="7">
        <v>252.0</v>
      </c>
      <c r="B253" s="6" t="s">
        <v>814</v>
      </c>
      <c r="C253" s="6" t="s">
        <v>815</v>
      </c>
      <c r="D253" s="6" t="s">
        <v>816</v>
      </c>
      <c r="E253" s="6" t="s">
        <v>817</v>
      </c>
      <c r="F253" s="6" t="s">
        <v>818</v>
      </c>
      <c r="G253" s="6" t="s">
        <v>816</v>
      </c>
      <c r="H253" s="6" t="s">
        <v>812</v>
      </c>
      <c r="I253" s="6"/>
      <c r="J253" s="6"/>
      <c r="K253" s="7">
        <v>252.0</v>
      </c>
      <c r="L253" s="6" t="str">
        <f>IFERROR(__xludf.DUMMYFUNCTION("GOOGLETRANSLATE(B253,""en"",""ur"")"),"فلائر پر متن کے بارے میں ایک قابل ذکر تفصیل کیا ہے؟")</f>
        <v>فلائر پر متن کے بارے میں ایک قابل ذکر تفصیل کیا ہے؟</v>
      </c>
      <c r="M253" s="6"/>
      <c r="N253" s="8" t="str">
        <f>IFERROR(__xludf.DUMMYFUNCTION("GOOGLETRANSLATE(D253,""en"",""ur"")"),"یہ ایک جدید فونٹ میں ہے۔")</f>
        <v>یہ ایک جدید فونٹ میں ہے۔</v>
      </c>
      <c r="O253" s="6" t="str">
        <f>IFERROR(__xludf.DUMMYFUNCTION("GOOGLETRANSLATE(E253,""en"",""ur"")"),"یہ روایتی فونٹ میں ہے۔")</f>
        <v>یہ روایتی فونٹ میں ہے۔</v>
      </c>
      <c r="P253" s="6" t="str">
        <f>IFERROR(__xludf.DUMMYFUNCTION("GOOGLETRANSLATE(F253,""en"",""ur"")"),"یہ ایک سادہ فونٹ میں ہے۔")</f>
        <v>یہ ایک سادہ فونٹ میں ہے۔</v>
      </c>
      <c r="Q253" s="6" t="s">
        <v>819</v>
      </c>
      <c r="R253" s="6" t="str">
        <f>IFERROR(__xludf.DUMMYFUNCTION("GOOGLETRANSLATE(G253,""en"",""ur"")"),"یہ ایک جدید فونٹ میں ہے۔")</f>
        <v>یہ ایک جدید فونٹ میں ہے۔</v>
      </c>
      <c r="S253" s="6" t="s">
        <v>812</v>
      </c>
      <c r="T253" s="6"/>
      <c r="U253" s="6"/>
      <c r="V253" s="6"/>
      <c r="W253" s="6"/>
      <c r="X253" s="6"/>
      <c r="Y253" s="6"/>
      <c r="Z253" s="6"/>
      <c r="AA253" s="6"/>
    </row>
    <row r="254">
      <c r="A254" s="7">
        <v>253.0</v>
      </c>
      <c r="B254" s="6" t="s">
        <v>820</v>
      </c>
      <c r="C254" s="6" t="s">
        <v>821</v>
      </c>
      <c r="D254" s="6" t="s">
        <v>822</v>
      </c>
      <c r="E254" s="6" t="s">
        <v>823</v>
      </c>
      <c r="F254" s="6" t="s">
        <v>824</v>
      </c>
      <c r="G254" s="6" t="s">
        <v>822</v>
      </c>
      <c r="H254" s="6" t="s">
        <v>812</v>
      </c>
      <c r="I254" s="6"/>
      <c r="J254" s="6"/>
      <c r="K254" s="7">
        <v>253.0</v>
      </c>
      <c r="L254" s="6" t="str">
        <f>IFERROR(__xludf.DUMMYFUNCTION("GOOGLETRANSLATE(B254,""en"",""ur"")"),"فلائر کا ظاہری مقصد کیا ہے؟")</f>
        <v>فلائر کا ظاہری مقصد کیا ہے؟</v>
      </c>
      <c r="M254" s="6"/>
      <c r="N254" s="8" t="str">
        <f>IFERROR(__xludf.DUMMYFUNCTION("GOOGLETRANSLATE(D254,""en"",""ur"")"),"گلی ڈنڈا ٹورنامنٹ کا اعلان کرنا")</f>
        <v>گلی ڈنڈا ٹورنامنٹ کا اعلان کرنا</v>
      </c>
      <c r="O254" s="6" t="str">
        <f>IFERROR(__xludf.DUMMYFUNCTION("GOOGLETRANSLATE(E254,""en"",""ur"")"),"سیاسی جماعت کو پروموٹ کرنے کے لیے")</f>
        <v>سیاسی جماعت کو پروموٹ کرنے کے لیے</v>
      </c>
      <c r="P254" s="6" t="str">
        <f>IFERROR(__xludf.DUMMYFUNCTION("GOOGLETRANSLATE(F254,""en"",""ur"")"),"ایک پروڈکٹ بیچنے کے لیے")</f>
        <v>ایک پروڈکٹ بیچنے کے لیے</v>
      </c>
      <c r="Q254" s="6" t="s">
        <v>825</v>
      </c>
      <c r="R254" s="6" t="str">
        <f>IFERROR(__xludf.DUMMYFUNCTION("GOOGLETRANSLATE(G254,""en"",""ur"")"),"گلی ڈنڈا ٹورنامنٹ کا اعلان کرنا")</f>
        <v>گلی ڈنڈا ٹورنامنٹ کا اعلان کرنا</v>
      </c>
      <c r="S254" s="6" t="s">
        <v>812</v>
      </c>
      <c r="T254" s="6"/>
      <c r="U254" s="6"/>
      <c r="V254" s="6"/>
      <c r="W254" s="6"/>
      <c r="X254" s="6"/>
      <c r="Y254" s="6"/>
      <c r="Z254" s="6"/>
      <c r="AA254" s="6"/>
    </row>
    <row r="255">
      <c r="A255" s="7">
        <v>254.0</v>
      </c>
      <c r="B255" s="6" t="s">
        <v>826</v>
      </c>
      <c r="C255" s="6" t="s">
        <v>827</v>
      </c>
      <c r="D255" s="6" t="s">
        <v>828</v>
      </c>
      <c r="E255" s="6" t="s">
        <v>829</v>
      </c>
      <c r="F255" s="6" t="s">
        <v>830</v>
      </c>
      <c r="G255" s="6" t="s">
        <v>829</v>
      </c>
      <c r="H255" s="6" t="s">
        <v>812</v>
      </c>
      <c r="I255" s="6"/>
      <c r="J255" s="6"/>
      <c r="K255" s="7">
        <v>254.0</v>
      </c>
      <c r="L255" s="6" t="str">
        <f>IFERROR(__xludf.DUMMYFUNCTION("GOOGLETRANSLATE(B255,""en"",""ur"")"),"فلائر کا سب سے نمایاں رنگ کیا ہے؟")</f>
        <v>فلائر کا سب سے نمایاں رنگ کیا ہے؟</v>
      </c>
      <c r="M255" s="6"/>
      <c r="N255" s="8" t="str">
        <f>IFERROR(__xludf.DUMMYFUNCTION("GOOGLETRANSLATE(D255,""en"",""ur"")"),"سبز")</f>
        <v>سبز</v>
      </c>
      <c r="O255" s="6" t="str">
        <f>IFERROR(__xludf.DUMMYFUNCTION("GOOGLETRANSLATE(E255,""en"",""ur"")"),"نیلا")</f>
        <v>نیلا</v>
      </c>
      <c r="P255" s="6" t="str">
        <f>IFERROR(__xludf.DUMMYFUNCTION("GOOGLETRANSLATE(F255,""en"",""ur"")"),"پیلا")</f>
        <v>پیلا</v>
      </c>
      <c r="Q255" s="6" t="s">
        <v>831</v>
      </c>
      <c r="R255" s="6" t="str">
        <f>IFERROR(__xludf.DUMMYFUNCTION("GOOGLETRANSLATE(G255,""en"",""ur"")"),"نیلا")</f>
        <v>نیلا</v>
      </c>
      <c r="S255" s="6" t="s">
        <v>812</v>
      </c>
      <c r="T255" s="6"/>
      <c r="U255" s="6"/>
      <c r="V255" s="6"/>
      <c r="W255" s="6"/>
      <c r="X255" s="6"/>
      <c r="Y255" s="6"/>
      <c r="Z255" s="6"/>
      <c r="AA255" s="6"/>
    </row>
    <row r="256">
      <c r="A256" s="7">
        <v>255.0</v>
      </c>
      <c r="B256" s="6" t="s">
        <v>832</v>
      </c>
      <c r="C256" s="6" t="s">
        <v>95</v>
      </c>
      <c r="D256" s="6" t="s">
        <v>651</v>
      </c>
      <c r="E256" s="6" t="s">
        <v>652</v>
      </c>
      <c r="F256" s="6" t="s">
        <v>653</v>
      </c>
      <c r="G256" s="6" t="s">
        <v>652</v>
      </c>
      <c r="H256" s="6" t="s">
        <v>812</v>
      </c>
      <c r="I256" s="6"/>
      <c r="J256" s="6"/>
      <c r="K256" s="7">
        <v>255.0</v>
      </c>
      <c r="L256" s="6" t="str">
        <f>IFERROR(__xludf.DUMMYFUNCTION("GOOGLETRANSLATE(B256,""en"",""ur"")"),"اڑان سے منسلک کھیل کا کیا نام ہے؟")</f>
        <v>اڑان سے منسلک کھیل کا کیا نام ہے؟</v>
      </c>
      <c r="M256" s="6"/>
      <c r="N256" s="8" t="str">
        <f>IFERROR(__xludf.DUMMYFUNCTION("GOOGLETRANSLATE(D256,""en"",""ur"")"),"کرکٹ")</f>
        <v>کرکٹ</v>
      </c>
      <c r="O256" s="6" t="str">
        <f>IFERROR(__xludf.DUMMYFUNCTION("GOOGLETRANSLATE(E256,""en"",""ur"")"),"گلی ڈنڈا۔")</f>
        <v>گلی ڈنڈا۔</v>
      </c>
      <c r="P256" s="6" t="str">
        <f>IFERROR(__xludf.DUMMYFUNCTION("GOOGLETRANSLATE(F256,""en"",""ur"")"),"بیس بال")</f>
        <v>بیس بال</v>
      </c>
      <c r="Q256" s="6" t="s">
        <v>654</v>
      </c>
      <c r="R256" s="6" t="str">
        <f>IFERROR(__xludf.DUMMYFUNCTION("GOOGLETRANSLATE(G256,""en"",""ur"")"),"گلی ڈنڈا۔")</f>
        <v>گلی ڈنڈا۔</v>
      </c>
      <c r="S256" s="6" t="s">
        <v>812</v>
      </c>
      <c r="T256" s="6"/>
      <c r="U256" s="6"/>
      <c r="V256" s="6"/>
      <c r="W256" s="6"/>
      <c r="X256" s="6"/>
      <c r="Y256" s="6"/>
      <c r="Z256" s="6"/>
      <c r="AA256" s="6"/>
    </row>
    <row r="257">
      <c r="A257" s="7">
        <v>256.0</v>
      </c>
      <c r="B257" s="6" t="s">
        <v>833</v>
      </c>
      <c r="C257" s="6" t="s">
        <v>834</v>
      </c>
      <c r="D257" s="6" t="s">
        <v>835</v>
      </c>
      <c r="E257" s="6" t="s">
        <v>836</v>
      </c>
      <c r="F257" s="6" t="s">
        <v>837</v>
      </c>
      <c r="G257" s="6" t="s">
        <v>837</v>
      </c>
      <c r="H257" s="6" t="s">
        <v>812</v>
      </c>
      <c r="I257" s="6"/>
      <c r="J257" s="6"/>
      <c r="K257" s="7">
        <v>256.0</v>
      </c>
      <c r="L257" s="6" t="str">
        <f>IFERROR(__xludf.DUMMYFUNCTION("GOOGLETRANSLATE(B257,""en"",""ur"")"),"طیار بتاتا ہے کہ یہ کس قسم کی تنظیم میں کھیلا جانے والا کھیل ہے؟")</f>
        <v>طیار بتاتا ہے کہ یہ کس قسم کی تنظیم میں کھیلا جانے والا کھیل ہے؟</v>
      </c>
      <c r="M257" s="6"/>
      <c r="N257" s="8" t="str">
        <f>IFERROR(__xludf.DUMMYFUNCTION("GOOGLETRANSLATE(D257,""en"",""ur"")"),"ایک مقامی کلب")</f>
        <v>ایک مقامی کلب</v>
      </c>
      <c r="O257" s="6" t="str">
        <f>IFERROR(__xludf.DUMMYFUNCTION("GOOGLETRANSLATE(E257,""en"",""ur"")"),"ایک سکول")</f>
        <v>ایک سکول</v>
      </c>
      <c r="P257" s="6" t="str">
        <f>IFERROR(__xludf.DUMMYFUNCTION("GOOGLETRANSLATE(F257,""en"",""ur"")"),"ایک قومی کھیلوں اور کھیلوں کی ایسوسی ایشن")</f>
        <v>ایک قومی کھیلوں اور کھیلوں کی ایسوسی ایشن</v>
      </c>
      <c r="Q257" s="6" t="s">
        <v>838</v>
      </c>
      <c r="R257" s="6" t="str">
        <f>IFERROR(__xludf.DUMMYFUNCTION("GOOGLETRANSLATE(G257,""en"",""ur"")"),"ایک قومی کھیلوں اور کھیلوں کی ایسوسی ایشن")</f>
        <v>ایک قومی کھیلوں اور کھیلوں کی ایسوسی ایشن</v>
      </c>
      <c r="S257" s="6" t="s">
        <v>812</v>
      </c>
      <c r="T257" s="6"/>
      <c r="U257" s="6"/>
      <c r="V257" s="6"/>
      <c r="W257" s="6"/>
      <c r="X257" s="6"/>
      <c r="Y257" s="6"/>
      <c r="Z257" s="6"/>
      <c r="AA257" s="6"/>
    </row>
    <row r="258">
      <c r="A258" s="7">
        <v>257.0</v>
      </c>
      <c r="B258" s="6" t="s">
        <v>814</v>
      </c>
      <c r="C258" s="6" t="s">
        <v>839</v>
      </c>
      <c r="D258" s="6" t="s">
        <v>840</v>
      </c>
      <c r="E258" s="6" t="s">
        <v>841</v>
      </c>
      <c r="F258" s="6" t="s">
        <v>842</v>
      </c>
      <c r="G258" s="6" t="s">
        <v>842</v>
      </c>
      <c r="H258" s="6" t="s">
        <v>812</v>
      </c>
      <c r="I258" s="6"/>
      <c r="J258" s="6"/>
      <c r="K258" s="7">
        <v>257.0</v>
      </c>
      <c r="L258" s="6" t="str">
        <f>IFERROR(__xludf.DUMMYFUNCTION("GOOGLETRANSLATE(B258,""en"",""ur"")"),"فلائر پر متن کے بارے میں ایک قابل ذکر تفصیل کیا ہے؟")</f>
        <v>فلائر پر متن کے بارے میں ایک قابل ذکر تفصیل کیا ہے؟</v>
      </c>
      <c r="M258" s="6"/>
      <c r="N258" s="8" t="str">
        <f>IFERROR(__xludf.DUMMYFUNCTION("GOOGLETRANSLATE(D258,""en"",""ur"")"),"یہ ایک چوک میں ہے۔")</f>
        <v>یہ ایک چوک میں ہے۔</v>
      </c>
      <c r="O258" s="6" t="str">
        <f>IFERROR(__xludf.DUMMYFUNCTION("GOOGLETRANSLATE(E258,""en"",""ur"")"),"یہ ایک مستطیل میں ہے۔")</f>
        <v>یہ ایک مستطیل میں ہے۔</v>
      </c>
      <c r="P258" s="6" t="str">
        <f>IFERROR(__xludf.DUMMYFUNCTION("GOOGLETRANSLATE(F258,""en"",""ur"")"),"یہ ایک بینر میں ہے۔")</f>
        <v>یہ ایک بینر میں ہے۔</v>
      </c>
      <c r="Q258" s="6" t="s">
        <v>843</v>
      </c>
      <c r="R258" s="6" t="str">
        <f>IFERROR(__xludf.DUMMYFUNCTION("GOOGLETRANSLATE(G258,""en"",""ur"")"),"یہ ایک بینر میں ہے۔")</f>
        <v>یہ ایک بینر میں ہے۔</v>
      </c>
      <c r="S258" s="6" t="s">
        <v>812</v>
      </c>
      <c r="T258" s="6"/>
      <c r="U258" s="6"/>
      <c r="V258" s="6"/>
      <c r="W258" s="6"/>
      <c r="X258" s="6"/>
      <c r="Y258" s="6"/>
      <c r="Z258" s="6"/>
      <c r="AA258" s="6"/>
    </row>
    <row r="259">
      <c r="A259" s="7">
        <v>258.0</v>
      </c>
      <c r="B259" s="6" t="s">
        <v>754</v>
      </c>
      <c r="C259" s="6" t="s">
        <v>755</v>
      </c>
      <c r="D259" s="6" t="s">
        <v>756</v>
      </c>
      <c r="E259" s="6" t="s">
        <v>757</v>
      </c>
      <c r="F259" s="6" t="s">
        <v>758</v>
      </c>
      <c r="G259" s="6" t="s">
        <v>755</v>
      </c>
      <c r="H259" s="6" t="s">
        <v>812</v>
      </c>
      <c r="I259" s="6"/>
      <c r="J259" s="6"/>
      <c r="K259" s="7">
        <v>258.0</v>
      </c>
      <c r="L259" s="6" t="str">
        <f>IFERROR(__xludf.DUMMYFUNCTION("GOOGLETRANSLATE(B259,""en"",""ur"")"),"کھیل کا بنیادی مقصد کیا ہے؟")</f>
        <v>کھیل کا بنیادی مقصد کیا ہے؟</v>
      </c>
      <c r="M259" s="6"/>
      <c r="N259" s="8" t="str">
        <f>IFERROR(__xludf.DUMMYFUNCTION("GOOGLETRANSLATE(D259,""en"",""ur"")"),"گلی کو گول میں مارنا")</f>
        <v>گلی کو گول میں مارنا</v>
      </c>
      <c r="O259" s="6" t="str">
        <f>IFERROR(__xludf.DUMMYFUNCTION("GOOGLETRANSLATE(E259,""en"",""ur"")"),"گیلی کو مخالف پر مارنا")</f>
        <v>گیلی کو مخالف پر مارنا</v>
      </c>
      <c r="P259" s="6" t="str">
        <f>IFERROR(__xludf.DUMMYFUNCTION("GOOGLETRANSLATE(F259,""en"",""ur"")"),"گلی کو جال میں مارنا")</f>
        <v>گلی کو جال میں مارنا</v>
      </c>
      <c r="Q259" s="6" t="s">
        <v>759</v>
      </c>
      <c r="R259" s="6" t="str">
        <f>IFERROR(__xludf.DUMMYFUNCTION("GOOGLETRANSLATE(G259,""en"",""ur"")"),"جہاں تک ممکن ہو گلی کو مار کر پوائنٹس حاصل کرنا")</f>
        <v>جہاں تک ممکن ہو گلی کو مار کر پوائنٹس حاصل کرنا</v>
      </c>
      <c r="S259" s="6" t="s">
        <v>812</v>
      </c>
      <c r="T259" s="6"/>
      <c r="U259" s="6"/>
      <c r="V259" s="6"/>
      <c r="W259" s="6"/>
      <c r="X259" s="6"/>
      <c r="Y259" s="6"/>
      <c r="Z259" s="6"/>
      <c r="AA259" s="6"/>
    </row>
    <row r="260">
      <c r="A260" s="7">
        <v>259.0</v>
      </c>
      <c r="B260" s="6" t="s">
        <v>844</v>
      </c>
      <c r="C260" s="6" t="s">
        <v>845</v>
      </c>
      <c r="D260" s="6" t="s">
        <v>846</v>
      </c>
      <c r="E260" s="6" t="s">
        <v>847</v>
      </c>
      <c r="F260" s="6" t="s">
        <v>848</v>
      </c>
      <c r="G260" s="6" t="s">
        <v>845</v>
      </c>
      <c r="H260" s="6" t="s">
        <v>812</v>
      </c>
      <c r="I260" s="6"/>
      <c r="J260" s="6"/>
      <c r="K260" s="7">
        <v>259.0</v>
      </c>
      <c r="L260" s="6" t="str">
        <f>IFERROR(__xludf.DUMMYFUNCTION("GOOGLETRANSLATE(B260,""en"",""ur"")"),"تصویر کے بارے میں ایک قابل ذکر تفصیل کیا ہے؟")</f>
        <v>تصویر کے بارے میں ایک قابل ذکر تفصیل کیا ہے؟</v>
      </c>
      <c r="M260" s="6"/>
      <c r="N260" s="8" t="str">
        <f>IFERROR(__xludf.DUMMYFUNCTION("GOOGLETRANSLATE(D260,""en"",""ur"")"),"یہ ایک تصویر ہے۔")</f>
        <v>یہ ایک تصویر ہے۔</v>
      </c>
      <c r="O260" s="6" t="str">
        <f>IFERROR(__xludf.DUMMYFUNCTION("GOOGLETRANSLATE(E260,""en"",""ur"")"),"یہ ایک پینٹنگ ہے۔")</f>
        <v>یہ ایک پینٹنگ ہے۔</v>
      </c>
      <c r="P260" s="6" t="str">
        <f>IFERROR(__xludf.DUMMYFUNCTION("GOOGLETRANSLATE(F260,""en"",""ur"")"),"یہ ایک مجسمہ ہے۔")</f>
        <v>یہ ایک مجسمہ ہے۔</v>
      </c>
      <c r="Q260" s="6" t="s">
        <v>849</v>
      </c>
      <c r="R260" s="6" t="str">
        <f>IFERROR(__xludf.DUMMYFUNCTION("GOOGLETRANSLATE(G260,""en"",""ur"")"),"یہ ایک کارٹون ہے۔")</f>
        <v>یہ ایک کارٹون ہے۔</v>
      </c>
      <c r="S260" s="6" t="s">
        <v>812</v>
      </c>
      <c r="T260" s="6"/>
      <c r="U260" s="6"/>
      <c r="V260" s="6"/>
      <c r="W260" s="6"/>
      <c r="X260" s="6"/>
      <c r="Y260" s="6"/>
      <c r="Z260" s="6"/>
      <c r="AA260" s="6"/>
    </row>
    <row r="261">
      <c r="A261" s="7">
        <v>260.0</v>
      </c>
      <c r="B261" s="6" t="s">
        <v>850</v>
      </c>
      <c r="C261" s="6" t="s">
        <v>261</v>
      </c>
      <c r="D261" s="6" t="s">
        <v>262</v>
      </c>
      <c r="E261" s="6" t="s">
        <v>263</v>
      </c>
      <c r="F261" s="6" t="s">
        <v>655</v>
      </c>
      <c r="G261" s="6" t="s">
        <v>655</v>
      </c>
      <c r="H261" s="6" t="s">
        <v>812</v>
      </c>
      <c r="I261" s="6"/>
      <c r="J261" s="6"/>
      <c r="K261" s="7">
        <v>260.0</v>
      </c>
      <c r="L261" s="6" t="str">
        <f>IFERROR(__xludf.DUMMYFUNCTION("GOOGLETRANSLATE(B261,""en"",""ur"")"),"اڑانے والا تجویز کرتا ہے کہ یہ ایک کھیل ہے جو...")</f>
        <v>اڑانے والا تجویز کرتا ہے کہ یہ ایک کھیل ہے جو...</v>
      </c>
      <c r="M261" s="6"/>
      <c r="N261" s="8" t="str">
        <f>IFERROR(__xludf.DUMMYFUNCTION("GOOGLETRANSLATE(D261,""en"",""ur"")"),"زمینی لڑائی اور گرفت")</f>
        <v>زمینی لڑائی اور گرفت</v>
      </c>
      <c r="O261" s="6" t="str">
        <f>IFERROR(__xludf.DUMMYFUNCTION("GOOGLETRANSLATE(E261,""en"",""ur"")"),"وحشیانہ قوت اور گھڑ سواری۔")</f>
        <v>وحشیانہ قوت اور گھڑ سواری۔</v>
      </c>
      <c r="P261" s="6" t="str">
        <f>IFERROR(__xludf.DUMMYFUNCTION("GOOGLETRANSLATE(F261,""en"",""ur"")"),"ہاتھ سے آنکھ کو آرڈینیشن اور حیرت انگیز")</f>
        <v>ہاتھ سے آنکھ کو آرڈینیشن اور حیرت انگیز</v>
      </c>
      <c r="Q261" s="6" t="s">
        <v>656</v>
      </c>
      <c r="R261" s="6" t="str">
        <f>IFERROR(__xludf.DUMMYFUNCTION("GOOGLETRANSLATE(G261,""en"",""ur"")"),"ہاتھ سے آنکھ کو آرڈینیشن اور حیرت انگیز")</f>
        <v>ہاتھ سے آنکھ کو آرڈینیشن اور حیرت انگیز</v>
      </c>
      <c r="S261" s="6" t="s">
        <v>812</v>
      </c>
      <c r="T261" s="6"/>
      <c r="U261" s="6"/>
      <c r="V261" s="6"/>
      <c r="W261" s="6"/>
      <c r="X261" s="6"/>
      <c r="Y261" s="6"/>
      <c r="Z261" s="6"/>
      <c r="AA261" s="6"/>
    </row>
    <row r="262">
      <c r="A262" s="7">
        <v>261.0</v>
      </c>
      <c r="B262" s="6" t="s">
        <v>851</v>
      </c>
      <c r="C262" s="6" t="s">
        <v>852</v>
      </c>
      <c r="D262" s="6" t="s">
        <v>632</v>
      </c>
      <c r="E262" s="6" t="s">
        <v>633</v>
      </c>
      <c r="F262" s="6" t="s">
        <v>634</v>
      </c>
      <c r="G262" s="6" t="s">
        <v>852</v>
      </c>
      <c r="H262" s="6" t="s">
        <v>853</v>
      </c>
      <c r="I262" s="6"/>
      <c r="J262" s="6"/>
      <c r="K262" s="7">
        <v>261.0</v>
      </c>
      <c r="L262" s="6" t="str">
        <f>IFERROR(__xludf.DUMMYFUNCTION("GOOGLETRANSLATE(B262,""en"",""ur"")"),"gilli_danda_46 میں دکھائے جانے والے اہم عمل کیا ہے؟")</f>
        <v>gilli_danda_46 میں دکھائے جانے والے اہم عمل کیا ہے؟</v>
      </c>
      <c r="M262" s="6"/>
      <c r="N262" s="8" t="str">
        <f>IFERROR(__xludf.DUMMYFUNCTION("GOOGLETRANSLATE(D262,""en"",""ur"")"),"ایک کھلاڑی چھوٹی چھڑی کو بڑی چھڑی سے مار رہا ہے۔")</f>
        <v>ایک کھلاڑی چھوٹی چھڑی کو بڑی چھڑی سے مار رہا ہے۔</v>
      </c>
      <c r="O262" s="6" t="str">
        <f>IFERROR(__xludf.DUMMYFUNCTION("GOOGLETRANSLATE(E262,""en"",""ur"")"),"ایک کھلاڑی گیند کی خدمت کر رہا ہے۔")</f>
        <v>ایک کھلاڑی گیند کی خدمت کر رہا ہے۔</v>
      </c>
      <c r="P262" s="6" t="str">
        <f>IFERROR(__xludf.DUMMYFUNCTION("GOOGLETRANSLATE(F262,""en"",""ur"")"),"ایک کھلاڑی دفاعی بلاک کا مظاہرہ کر رہا ہے۔")</f>
        <v>ایک کھلاڑی دفاعی بلاک کا مظاہرہ کر رہا ہے۔</v>
      </c>
      <c r="Q262" s="6" t="s">
        <v>671</v>
      </c>
      <c r="R262" s="6" t="str">
        <f>IFERROR(__xludf.DUMMYFUNCTION("GOOGLETRANSLATE(G262,""en"",""ur"")"),"اسپورٹس ایسوسی ایشن کا لوگو")</f>
        <v>اسپورٹس ایسوسی ایشن کا لوگو</v>
      </c>
      <c r="S262" s="6" t="s">
        <v>853</v>
      </c>
      <c r="T262" s="6"/>
      <c r="U262" s="6"/>
      <c r="V262" s="6"/>
      <c r="W262" s="6"/>
      <c r="X262" s="6"/>
      <c r="Y262" s="6"/>
      <c r="Z262" s="6"/>
      <c r="AA262" s="6"/>
    </row>
    <row r="263">
      <c r="A263" s="7">
        <v>262.0</v>
      </c>
      <c r="B263" s="6" t="s">
        <v>854</v>
      </c>
      <c r="C263" s="6" t="s">
        <v>855</v>
      </c>
      <c r="D263" s="6" t="s">
        <v>856</v>
      </c>
      <c r="E263" s="6" t="s">
        <v>857</v>
      </c>
      <c r="F263" s="6" t="s">
        <v>858</v>
      </c>
      <c r="G263" s="6" t="s">
        <v>857</v>
      </c>
      <c r="H263" s="6" t="s">
        <v>853</v>
      </c>
      <c r="I263" s="6"/>
      <c r="J263" s="6"/>
      <c r="K263" s="7">
        <v>262.0</v>
      </c>
      <c r="L263" s="6" t="str">
        <f>IFERROR(__xludf.DUMMYFUNCTION("GOOGLETRANSLATE(B263,""en"",""ur"")"),"لوگو کے اہم عناصر کیا ہیں؟")</f>
        <v>لوگو کے اہم عناصر کیا ہیں؟</v>
      </c>
      <c r="M263" s="6"/>
      <c r="N263" s="8" t="str">
        <f>IFERROR(__xludf.DUMMYFUNCTION("GOOGLETRANSLATE(D263,""en"",""ur"")"),"ایک کرکٹ بیٹ اور ایک گیند")</f>
        <v>ایک کرکٹ بیٹ اور ایک گیند</v>
      </c>
      <c r="O263" s="6" t="str">
        <f>IFERROR(__xludf.DUMMYFUNCTION("GOOGLETRANSLATE(E263,""en"",""ur"")"),"ایک ہلال کا چاند اور ایک ستارہ")</f>
        <v>ایک ہلال کا چاند اور ایک ستارہ</v>
      </c>
      <c r="P263" s="6" t="str">
        <f>IFERROR(__xludf.DUMMYFUNCTION("GOOGLETRANSLATE(F263,""en"",""ur"")"),"ایک شیر اور ایک ڈھال")</f>
        <v>ایک شیر اور ایک ڈھال</v>
      </c>
      <c r="Q263" s="6" t="s">
        <v>859</v>
      </c>
      <c r="R263" s="6" t="str">
        <f>IFERROR(__xludf.DUMMYFUNCTION("GOOGLETRANSLATE(G263,""en"",""ur"")"),"ایک ہلال کا چاند اور ایک ستارہ")</f>
        <v>ایک ہلال کا چاند اور ایک ستارہ</v>
      </c>
      <c r="S263" s="6" t="s">
        <v>853</v>
      </c>
      <c r="T263" s="6"/>
      <c r="U263" s="6"/>
      <c r="V263" s="6"/>
      <c r="W263" s="6"/>
      <c r="X263" s="6"/>
      <c r="Y263" s="6"/>
      <c r="Z263" s="6"/>
      <c r="AA263" s="6"/>
    </row>
    <row r="264">
      <c r="A264" s="7">
        <v>263.0</v>
      </c>
      <c r="B264" s="6" t="s">
        <v>860</v>
      </c>
      <c r="C264" s="6" t="s">
        <v>815</v>
      </c>
      <c r="D264" s="6" t="s">
        <v>816</v>
      </c>
      <c r="E264" s="6" t="s">
        <v>817</v>
      </c>
      <c r="F264" s="6" t="s">
        <v>818</v>
      </c>
      <c r="G264" s="6" t="s">
        <v>816</v>
      </c>
      <c r="H264" s="6" t="s">
        <v>853</v>
      </c>
      <c r="I264" s="6"/>
      <c r="J264" s="6"/>
      <c r="K264" s="7">
        <v>263.0</v>
      </c>
      <c r="L264" s="6" t="str">
        <f>IFERROR(__xludf.DUMMYFUNCTION("GOOGLETRANSLATE(B264,""en"",""ur"")"),"لوگو میں متن کے بارے میں ایک قابل ذکر تفصیل کیا ہے؟")</f>
        <v>لوگو میں متن کے بارے میں ایک قابل ذکر تفصیل کیا ہے؟</v>
      </c>
      <c r="M264" s="6"/>
      <c r="N264" s="8" t="str">
        <f>IFERROR(__xludf.DUMMYFUNCTION("GOOGLETRANSLATE(D264,""en"",""ur"")"),"یہ ایک جدید فونٹ میں ہے۔")</f>
        <v>یہ ایک جدید فونٹ میں ہے۔</v>
      </c>
      <c r="O264" s="6" t="str">
        <f>IFERROR(__xludf.DUMMYFUNCTION("GOOGLETRANSLATE(E264,""en"",""ur"")"),"یہ روایتی فونٹ میں ہے۔")</f>
        <v>یہ روایتی فونٹ میں ہے۔</v>
      </c>
      <c r="P264" s="6" t="str">
        <f>IFERROR(__xludf.DUMMYFUNCTION("GOOGLETRANSLATE(F264,""en"",""ur"")"),"یہ ایک سادہ فونٹ میں ہے۔")</f>
        <v>یہ ایک سادہ فونٹ میں ہے۔</v>
      </c>
      <c r="Q264" s="6" t="s">
        <v>819</v>
      </c>
      <c r="R264" s="6" t="str">
        <f>IFERROR(__xludf.DUMMYFUNCTION("GOOGLETRANSLATE(G264,""en"",""ur"")"),"یہ ایک جدید فونٹ میں ہے۔")</f>
        <v>یہ ایک جدید فونٹ میں ہے۔</v>
      </c>
      <c r="S264" s="6" t="s">
        <v>853</v>
      </c>
      <c r="T264" s="6"/>
      <c r="U264" s="6"/>
      <c r="V264" s="6"/>
      <c r="W264" s="6"/>
      <c r="X264" s="6"/>
      <c r="Y264" s="6"/>
      <c r="Z264" s="6"/>
      <c r="AA264" s="6"/>
    </row>
    <row r="265">
      <c r="A265" s="7">
        <v>264.0</v>
      </c>
      <c r="B265" s="6" t="s">
        <v>861</v>
      </c>
      <c r="C265" s="6" t="s">
        <v>821</v>
      </c>
      <c r="D265" s="6" t="s">
        <v>862</v>
      </c>
      <c r="E265" s="6" t="s">
        <v>823</v>
      </c>
      <c r="F265" s="6" t="s">
        <v>824</v>
      </c>
      <c r="G265" s="6" t="s">
        <v>862</v>
      </c>
      <c r="H265" s="6" t="s">
        <v>853</v>
      </c>
      <c r="I265" s="6"/>
      <c r="J265" s="6"/>
      <c r="K265" s="7">
        <v>264.0</v>
      </c>
      <c r="L265" s="6" t="str">
        <f>IFERROR(__xludf.DUMMYFUNCTION("GOOGLETRANSLATE(B265,""en"",""ur"")"),"لوگو کا ظاہری مقصد کیا ہے؟")</f>
        <v>لوگو کا ظاہری مقصد کیا ہے؟</v>
      </c>
      <c r="M265" s="6"/>
      <c r="N265" s="8" t="str">
        <f>IFERROR(__xludf.DUMMYFUNCTION("GOOGLETRANSLATE(D265,""en"",""ur"")"),"قومی کھیلوں اور کھیلوں کی ایسوسی ایشن کی نمائندگی کرنا")</f>
        <v>قومی کھیلوں اور کھیلوں کی ایسوسی ایشن کی نمائندگی کرنا</v>
      </c>
      <c r="O265" s="6" t="str">
        <f>IFERROR(__xludf.DUMMYFUNCTION("GOOGLETRANSLATE(E265,""en"",""ur"")"),"سیاسی جماعت کو پروموٹ کرنے کے لیے")</f>
        <v>سیاسی جماعت کو پروموٹ کرنے کے لیے</v>
      </c>
      <c r="P265" s="6" t="str">
        <f>IFERROR(__xludf.DUMMYFUNCTION("GOOGLETRANSLATE(F265,""en"",""ur"")"),"ایک پروڈکٹ بیچنے کے لیے")</f>
        <v>ایک پروڈکٹ بیچنے کے لیے</v>
      </c>
      <c r="Q265" s="6" t="s">
        <v>863</v>
      </c>
      <c r="R265" s="6" t="str">
        <f>IFERROR(__xludf.DUMMYFUNCTION("GOOGLETRANSLATE(G265,""en"",""ur"")"),"قومی کھیلوں اور کھیلوں کی ایسوسی ایشن کی نمائندگی کرنا")</f>
        <v>قومی کھیلوں اور کھیلوں کی ایسوسی ایشن کی نمائندگی کرنا</v>
      </c>
      <c r="S265" s="6" t="s">
        <v>853</v>
      </c>
      <c r="T265" s="6"/>
      <c r="U265" s="6"/>
      <c r="V265" s="6"/>
      <c r="W265" s="6"/>
      <c r="X265" s="6"/>
      <c r="Y265" s="6"/>
      <c r="Z265" s="6"/>
      <c r="AA265" s="6"/>
    </row>
    <row r="266">
      <c r="A266" s="7">
        <v>265.0</v>
      </c>
      <c r="B266" s="6" t="s">
        <v>864</v>
      </c>
      <c r="C266" s="6" t="s">
        <v>827</v>
      </c>
      <c r="D266" s="6" t="s">
        <v>828</v>
      </c>
      <c r="E266" s="6" t="s">
        <v>829</v>
      </c>
      <c r="F266" s="6" t="s">
        <v>830</v>
      </c>
      <c r="G266" s="6" t="s">
        <v>828</v>
      </c>
      <c r="H266" s="6" t="s">
        <v>853</v>
      </c>
      <c r="I266" s="6"/>
      <c r="J266" s="6"/>
      <c r="K266" s="7">
        <v>265.0</v>
      </c>
      <c r="L266" s="6" t="str">
        <f>IFERROR(__xludf.DUMMYFUNCTION("GOOGLETRANSLATE(B266,""en"",""ur"")"),"لوگو کا سب سے نمایاں رنگ کیا ہے؟")</f>
        <v>لوگو کا سب سے نمایاں رنگ کیا ہے؟</v>
      </c>
      <c r="M266" s="6"/>
      <c r="N266" s="8" t="str">
        <f>IFERROR(__xludf.DUMMYFUNCTION("GOOGLETRANSLATE(D266,""en"",""ur"")"),"سبز")</f>
        <v>سبز</v>
      </c>
      <c r="O266" s="6" t="str">
        <f>IFERROR(__xludf.DUMMYFUNCTION("GOOGLETRANSLATE(E266,""en"",""ur"")"),"نیلا")</f>
        <v>نیلا</v>
      </c>
      <c r="P266" s="6" t="str">
        <f>IFERROR(__xludf.DUMMYFUNCTION("GOOGLETRANSLATE(F266,""en"",""ur"")"),"پیلا")</f>
        <v>پیلا</v>
      </c>
      <c r="Q266" s="6" t="s">
        <v>831</v>
      </c>
      <c r="R266" s="6" t="str">
        <f>IFERROR(__xludf.DUMMYFUNCTION("GOOGLETRANSLATE(G266,""en"",""ur"")"),"سبز")</f>
        <v>سبز</v>
      </c>
      <c r="S266" s="6" t="s">
        <v>853</v>
      </c>
      <c r="T266" s="6"/>
      <c r="U266" s="6"/>
      <c r="V266" s="6"/>
      <c r="W266" s="6"/>
      <c r="X266" s="6"/>
      <c r="Y266" s="6"/>
      <c r="Z266" s="6"/>
      <c r="AA266" s="6"/>
    </row>
    <row r="267">
      <c r="A267" s="7">
        <v>266.0</v>
      </c>
      <c r="B267" s="6" t="s">
        <v>865</v>
      </c>
      <c r="C267" s="6" t="s">
        <v>65</v>
      </c>
      <c r="D267" s="6" t="s">
        <v>866</v>
      </c>
      <c r="E267" s="6" t="s">
        <v>867</v>
      </c>
      <c r="F267" s="6" t="s">
        <v>868</v>
      </c>
      <c r="G267" s="6" t="s">
        <v>866</v>
      </c>
      <c r="H267" s="6" t="s">
        <v>853</v>
      </c>
      <c r="I267" s="6"/>
      <c r="J267" s="6"/>
      <c r="K267" s="7">
        <v>266.0</v>
      </c>
      <c r="L267" s="6" t="str">
        <f>IFERROR(__xludf.DUMMYFUNCTION("GOOGLETRANSLATE(B267,""en"",""ur"")"),"لوگو کے ساتھ ملک کا نام کیا ہے؟")</f>
        <v>لوگو کے ساتھ ملک کا نام کیا ہے؟</v>
      </c>
      <c r="M267" s="6"/>
      <c r="N267" s="8" t="str">
        <f>IFERROR(__xludf.DUMMYFUNCTION("GOOGLETRANSLATE(D267,""en"",""ur"")"),"پاکستان")</f>
        <v>پاکستان</v>
      </c>
      <c r="O267" s="6" t="str">
        <f>IFERROR(__xludf.DUMMYFUNCTION("GOOGLETRANSLATE(E267,""en"",""ur"")"),"بنگلہ دیش")</f>
        <v>بنگلہ دیش</v>
      </c>
      <c r="P267" s="6" t="str">
        <f>IFERROR(__xludf.DUMMYFUNCTION("GOOGLETRANSLATE(F267,""en"",""ur"")"),"افغانستان")</f>
        <v>افغانستان</v>
      </c>
      <c r="Q267" s="6" t="s">
        <v>869</v>
      </c>
      <c r="R267" s="6" t="str">
        <f>IFERROR(__xludf.DUMMYFUNCTION("GOOGLETRANSLATE(G267,""en"",""ur"")"),"پاکستان")</f>
        <v>پاکستان</v>
      </c>
      <c r="S267" s="6" t="s">
        <v>853</v>
      </c>
      <c r="T267" s="6"/>
      <c r="U267" s="6"/>
      <c r="V267" s="6"/>
      <c r="W267" s="6"/>
      <c r="X267" s="6"/>
      <c r="Y267" s="6"/>
      <c r="Z267" s="6"/>
      <c r="AA267" s="6"/>
    </row>
    <row r="268">
      <c r="A268" s="7">
        <v>267.0</v>
      </c>
      <c r="B268" s="6" t="s">
        <v>870</v>
      </c>
      <c r="C268" s="6" t="s">
        <v>834</v>
      </c>
      <c r="D268" s="6" t="s">
        <v>835</v>
      </c>
      <c r="E268" s="6" t="s">
        <v>836</v>
      </c>
      <c r="F268" s="6" t="s">
        <v>837</v>
      </c>
      <c r="G268" s="6" t="s">
        <v>837</v>
      </c>
      <c r="H268" s="6" t="s">
        <v>853</v>
      </c>
      <c r="I268" s="6"/>
      <c r="J268" s="6"/>
      <c r="K268" s="7">
        <v>267.0</v>
      </c>
      <c r="L268" s="6" t="str">
        <f>IFERROR(__xludf.DUMMYFUNCTION("GOOGLETRANSLATE(B268,""en"",""ur"")"),"لوگو سے پتہ چلتا ہے کہ یہ کس قسم کی تنظیم میں کھیلا جانے والا کھیل ہے؟")</f>
        <v>لوگو سے پتہ چلتا ہے کہ یہ کس قسم کی تنظیم میں کھیلا جانے والا کھیل ہے؟</v>
      </c>
      <c r="M268" s="6"/>
      <c r="N268" s="8" t="str">
        <f>IFERROR(__xludf.DUMMYFUNCTION("GOOGLETRANSLATE(D268,""en"",""ur"")"),"ایک مقامی کلب")</f>
        <v>ایک مقامی کلب</v>
      </c>
      <c r="O268" s="6" t="str">
        <f>IFERROR(__xludf.DUMMYFUNCTION("GOOGLETRANSLATE(E268,""en"",""ur"")"),"ایک سکول")</f>
        <v>ایک سکول</v>
      </c>
      <c r="P268" s="6" t="str">
        <f>IFERROR(__xludf.DUMMYFUNCTION("GOOGLETRANSLATE(F268,""en"",""ur"")"),"ایک قومی کھیلوں اور کھیلوں کی ایسوسی ایشن")</f>
        <v>ایک قومی کھیلوں اور کھیلوں کی ایسوسی ایشن</v>
      </c>
      <c r="Q268" s="6" t="s">
        <v>838</v>
      </c>
      <c r="R268" s="6" t="str">
        <f>IFERROR(__xludf.DUMMYFUNCTION("GOOGLETRANSLATE(G268,""en"",""ur"")"),"ایک قومی کھیلوں اور کھیلوں کی ایسوسی ایشن")</f>
        <v>ایک قومی کھیلوں اور کھیلوں کی ایسوسی ایشن</v>
      </c>
      <c r="S268" s="6" t="s">
        <v>853</v>
      </c>
      <c r="T268" s="6"/>
      <c r="U268" s="6"/>
      <c r="V268" s="6"/>
      <c r="W268" s="6"/>
      <c r="X268" s="6"/>
      <c r="Y268" s="6"/>
      <c r="Z268" s="6"/>
      <c r="AA268" s="6"/>
    </row>
    <row r="269">
      <c r="A269" s="7">
        <v>268.0</v>
      </c>
      <c r="B269" s="6" t="s">
        <v>860</v>
      </c>
      <c r="C269" s="6" t="s">
        <v>839</v>
      </c>
      <c r="D269" s="6" t="s">
        <v>840</v>
      </c>
      <c r="E269" s="6" t="s">
        <v>871</v>
      </c>
      <c r="F269" s="6" t="s">
        <v>841</v>
      </c>
      <c r="G269" s="6" t="s">
        <v>839</v>
      </c>
      <c r="H269" s="6" t="s">
        <v>853</v>
      </c>
      <c r="I269" s="6"/>
      <c r="J269" s="6"/>
      <c r="K269" s="7">
        <v>268.0</v>
      </c>
      <c r="L269" s="6" t="str">
        <f>IFERROR(__xludf.DUMMYFUNCTION("GOOGLETRANSLATE(B269,""en"",""ur"")"),"لوگو میں متن کے بارے میں ایک قابل ذکر تفصیل کیا ہے؟")</f>
        <v>لوگو میں متن کے بارے میں ایک قابل ذکر تفصیل کیا ہے؟</v>
      </c>
      <c r="M269" s="6"/>
      <c r="N269" s="8" t="str">
        <f>IFERROR(__xludf.DUMMYFUNCTION("GOOGLETRANSLATE(D269,""en"",""ur"")"),"یہ ایک چوک میں ہے۔")</f>
        <v>یہ ایک چوک میں ہے۔</v>
      </c>
      <c r="O269" s="6" t="str">
        <f>IFERROR(__xludf.DUMMYFUNCTION("GOOGLETRANSLATE(E269,""en"",""ur"")"),"یہ ایک مثلث میں ہے۔")</f>
        <v>یہ ایک مثلث میں ہے۔</v>
      </c>
      <c r="P269" s="6" t="str">
        <f>IFERROR(__xludf.DUMMYFUNCTION("GOOGLETRANSLATE(F269,""en"",""ur"")"),"یہ ایک مستطیل میں ہے۔")</f>
        <v>یہ ایک مستطیل میں ہے۔</v>
      </c>
      <c r="Q269" s="6" t="s">
        <v>872</v>
      </c>
      <c r="R269" s="6" t="str">
        <f>IFERROR(__xludf.DUMMYFUNCTION("GOOGLETRANSLATE(G269,""en"",""ur"")"),"یہ ایک دائرے میں ہے۔")</f>
        <v>یہ ایک دائرے میں ہے۔</v>
      </c>
      <c r="S269" s="6" t="s">
        <v>853</v>
      </c>
      <c r="T269" s="6"/>
      <c r="U269" s="6"/>
      <c r="V269" s="6"/>
      <c r="W269" s="6"/>
      <c r="X269" s="6"/>
      <c r="Y269" s="6"/>
      <c r="Z269" s="6"/>
      <c r="AA269" s="6"/>
    </row>
    <row r="270">
      <c r="A270" s="7">
        <v>269.0</v>
      </c>
      <c r="B270" s="6" t="s">
        <v>754</v>
      </c>
      <c r="C270" s="6" t="s">
        <v>755</v>
      </c>
      <c r="D270" s="6" t="s">
        <v>756</v>
      </c>
      <c r="E270" s="6" t="s">
        <v>757</v>
      </c>
      <c r="F270" s="6" t="s">
        <v>758</v>
      </c>
      <c r="G270" s="6" t="s">
        <v>755</v>
      </c>
      <c r="H270" s="6" t="s">
        <v>853</v>
      </c>
      <c r="I270" s="6"/>
      <c r="J270" s="6"/>
      <c r="K270" s="7">
        <v>269.0</v>
      </c>
      <c r="L270" s="6" t="str">
        <f>IFERROR(__xludf.DUMMYFUNCTION("GOOGLETRANSLATE(B270,""en"",""ur"")"),"کھیل کا بنیادی مقصد کیا ہے؟")</f>
        <v>کھیل کا بنیادی مقصد کیا ہے؟</v>
      </c>
      <c r="M270" s="6"/>
      <c r="N270" s="8" t="str">
        <f>IFERROR(__xludf.DUMMYFUNCTION("GOOGLETRANSLATE(D270,""en"",""ur"")"),"گلی کو گول میں مارنا")</f>
        <v>گلی کو گول میں مارنا</v>
      </c>
      <c r="O270" s="6" t="str">
        <f>IFERROR(__xludf.DUMMYFUNCTION("GOOGLETRANSLATE(E270,""en"",""ur"")"),"گیلی کو مخالف پر مارنا")</f>
        <v>گیلی کو مخالف پر مارنا</v>
      </c>
      <c r="P270" s="6" t="str">
        <f>IFERROR(__xludf.DUMMYFUNCTION("GOOGLETRANSLATE(F270,""en"",""ur"")"),"گلی کو جال میں مارنا")</f>
        <v>گلی کو جال میں مارنا</v>
      </c>
      <c r="Q270" s="6" t="s">
        <v>759</v>
      </c>
      <c r="R270" s="6" t="str">
        <f>IFERROR(__xludf.DUMMYFUNCTION("GOOGLETRANSLATE(G270,""en"",""ur"")"),"جہاں تک ممکن ہو گلی کو مار کر پوائنٹس حاصل کرنا")</f>
        <v>جہاں تک ممکن ہو گلی کو مار کر پوائنٹس حاصل کرنا</v>
      </c>
      <c r="S270" s="6" t="s">
        <v>853</v>
      </c>
      <c r="T270" s="6"/>
      <c r="U270" s="6"/>
      <c r="V270" s="6"/>
      <c r="W270" s="6"/>
      <c r="X270" s="6"/>
      <c r="Y270" s="6"/>
      <c r="Z270" s="6"/>
      <c r="AA270" s="6"/>
    </row>
    <row r="271">
      <c r="A271" s="7">
        <v>270.0</v>
      </c>
      <c r="B271" s="6" t="s">
        <v>873</v>
      </c>
      <c r="C271" s="6" t="s">
        <v>261</v>
      </c>
      <c r="D271" s="6" t="s">
        <v>262</v>
      </c>
      <c r="E271" s="6" t="s">
        <v>263</v>
      </c>
      <c r="F271" s="6" t="s">
        <v>655</v>
      </c>
      <c r="G271" s="6" t="s">
        <v>655</v>
      </c>
      <c r="H271" s="6" t="s">
        <v>853</v>
      </c>
      <c r="I271" s="6"/>
      <c r="J271" s="6"/>
      <c r="K271" s="7">
        <v>270.0</v>
      </c>
      <c r="L271" s="6" t="str">
        <f>IFERROR(__xludf.DUMMYFUNCTION("GOOGLETRANSLATE(B271,""en"",""ur"")"),"لوگو سے پتہ چلتا ہے کہ یہ ایک ایسا کھیل ہے جو...")</f>
        <v>لوگو سے پتہ چلتا ہے کہ یہ ایک ایسا کھیل ہے جو...</v>
      </c>
      <c r="M271" s="6"/>
      <c r="N271" s="8" t="str">
        <f>IFERROR(__xludf.DUMMYFUNCTION("GOOGLETRANSLATE(D271,""en"",""ur"")"),"زمینی لڑائی اور گرفت")</f>
        <v>زمینی لڑائی اور گرفت</v>
      </c>
      <c r="O271" s="6" t="str">
        <f>IFERROR(__xludf.DUMMYFUNCTION("GOOGLETRANSLATE(E271,""en"",""ur"")"),"وحشیانہ قوت اور گھڑ سواری۔")</f>
        <v>وحشیانہ قوت اور گھڑ سواری۔</v>
      </c>
      <c r="P271" s="6" t="str">
        <f>IFERROR(__xludf.DUMMYFUNCTION("GOOGLETRANSLATE(F271,""en"",""ur"")"),"ہاتھ سے آنکھ کو آرڈینیشن اور حیرت انگیز")</f>
        <v>ہاتھ سے آنکھ کو آرڈینیشن اور حیرت انگیز</v>
      </c>
      <c r="Q271" s="6" t="s">
        <v>656</v>
      </c>
      <c r="R271" s="6" t="str">
        <f>IFERROR(__xludf.DUMMYFUNCTION("GOOGLETRANSLATE(G271,""en"",""ur"")"),"ہاتھ سے آنکھ کو آرڈینیشن اور حیرت انگیز")</f>
        <v>ہاتھ سے آنکھ کو آرڈینیشن اور حیرت انگیز</v>
      </c>
      <c r="S271" s="6" t="s">
        <v>853</v>
      </c>
      <c r="T271" s="6"/>
      <c r="U271" s="6"/>
      <c r="V271" s="6"/>
      <c r="W271" s="6"/>
      <c r="X271" s="6"/>
      <c r="Y271" s="6"/>
      <c r="Z271" s="6"/>
      <c r="AA271" s="6"/>
    </row>
    <row r="272">
      <c r="A272" s="7">
        <v>271.0</v>
      </c>
      <c r="B272" s="6" t="s">
        <v>874</v>
      </c>
      <c r="C272" s="6" t="s">
        <v>690</v>
      </c>
      <c r="D272" s="6" t="s">
        <v>727</v>
      </c>
      <c r="E272" s="6" t="s">
        <v>633</v>
      </c>
      <c r="F272" s="6" t="s">
        <v>634</v>
      </c>
      <c r="G272" s="6" t="s">
        <v>727</v>
      </c>
      <c r="H272" s="6" t="s">
        <v>875</v>
      </c>
      <c r="I272" s="6"/>
      <c r="J272" s="6"/>
      <c r="K272" s="7">
        <v>271.0</v>
      </c>
      <c r="L272" s="6" t="str">
        <f>IFERROR(__xludf.DUMMYFUNCTION("GOOGLETRANSLATE(B272,""en"",""ur"")"),"گلی_ڈنڈا_48 میں دکھایا گیا اصل عمل کیا ہے؟")</f>
        <v>گلی_ڈنڈا_48 میں دکھایا گیا اصل عمل کیا ہے؟</v>
      </c>
      <c r="M272" s="6"/>
      <c r="N272" s="8" t="str">
        <f>IFERROR(__xludf.DUMMYFUNCTION("GOOGLETRANSLATE(D272,""en"",""ur"")"),"کھیل کے دو ٹکڑوں کا قریبی اپ")</f>
        <v>کھیل کے دو ٹکڑوں کا قریبی اپ</v>
      </c>
      <c r="O272" s="6" t="str">
        <f>IFERROR(__xludf.DUMMYFUNCTION("GOOGLETRANSLATE(E272,""en"",""ur"")"),"ایک کھلاڑی گیند کی خدمت کر رہا ہے۔")</f>
        <v>ایک کھلاڑی گیند کی خدمت کر رہا ہے۔</v>
      </c>
      <c r="P272" s="6" t="str">
        <f>IFERROR(__xludf.DUMMYFUNCTION("GOOGLETRANSLATE(F272,""en"",""ur"")"),"ایک کھلاڑی دفاعی بلاک کا مظاہرہ کر رہا ہے۔")</f>
        <v>ایک کھلاڑی دفاعی بلاک کا مظاہرہ کر رہا ہے۔</v>
      </c>
      <c r="Q272" s="6" t="s">
        <v>729</v>
      </c>
      <c r="R272" s="6" t="str">
        <f>IFERROR(__xludf.DUMMYFUNCTION("GOOGLETRANSLATE(G272,""en"",""ur"")"),"کھیل کے دو ٹکڑوں کا قریبی اپ")</f>
        <v>کھیل کے دو ٹکڑوں کا قریبی اپ</v>
      </c>
      <c r="S272" s="6" t="s">
        <v>875</v>
      </c>
      <c r="T272" s="6"/>
      <c r="U272" s="6"/>
      <c r="V272" s="6"/>
      <c r="W272" s="6"/>
      <c r="X272" s="6"/>
      <c r="Y272" s="6"/>
      <c r="Z272" s="6"/>
      <c r="AA272" s="6"/>
    </row>
    <row r="273">
      <c r="A273" s="7">
        <v>272.0</v>
      </c>
      <c r="B273" s="6" t="s">
        <v>730</v>
      </c>
      <c r="C273" s="6" t="s">
        <v>637</v>
      </c>
      <c r="D273" s="6" t="s">
        <v>638</v>
      </c>
      <c r="E273" s="6" t="s">
        <v>639</v>
      </c>
      <c r="F273" s="6" t="s">
        <v>640</v>
      </c>
      <c r="G273" s="6" t="s">
        <v>638</v>
      </c>
      <c r="H273" s="6" t="s">
        <v>875</v>
      </c>
      <c r="I273" s="6"/>
      <c r="J273" s="6"/>
      <c r="K273" s="7">
        <v>272.0</v>
      </c>
      <c r="L273" s="6" t="str">
        <f>IFERROR(__xludf.DUMMYFUNCTION("GOOGLETRANSLATE(B273,""en"",""ur"")"),"سامان کے دو ٹکڑے کیا دکھائے گئے ہیں؟")</f>
        <v>سامان کے دو ٹکڑے کیا دکھائے گئے ہیں؟</v>
      </c>
      <c r="M273" s="6"/>
      <c r="N273" s="8" t="str">
        <f>IFERROR(__xludf.DUMMYFUNCTION("GOOGLETRANSLATE(D273,""en"",""ur"")"),"ایک لمبی چھڑی (ڈنڈا) اور ایک چھوٹی چھڑی (گلی)")</f>
        <v>ایک لمبی چھڑی (ڈنڈا) اور ایک چھوٹی چھڑی (گلی)</v>
      </c>
      <c r="O273" s="6" t="str">
        <f>IFERROR(__xludf.DUMMYFUNCTION("GOOGLETRANSLATE(E273,""en"",""ur"")"),"ایک ریکیٹ اور ایک شٹل کاک")</f>
        <v>ایک ریکیٹ اور ایک شٹل کاک</v>
      </c>
      <c r="P273" s="6" t="str">
        <f>IFERROR(__xludf.DUMMYFUNCTION("GOOGLETRANSLATE(F273,""en"",""ur"")"),"ایک چمگادڑ اور ایک دستانہ")</f>
        <v>ایک چمگادڑ اور ایک دستانہ</v>
      </c>
      <c r="Q273" s="6" t="s">
        <v>641</v>
      </c>
      <c r="R273" s="6" t="str">
        <f>IFERROR(__xludf.DUMMYFUNCTION("GOOGLETRANSLATE(G273,""en"",""ur"")"),"ایک لمبی چھڑی (ڈنڈا) اور ایک چھوٹی چھڑی (گلی)")</f>
        <v>ایک لمبی چھڑی (ڈنڈا) اور ایک چھوٹی چھڑی (گلی)</v>
      </c>
      <c r="S273" s="6" t="s">
        <v>875</v>
      </c>
      <c r="T273" s="6"/>
      <c r="U273" s="6"/>
      <c r="V273" s="6"/>
      <c r="W273" s="6"/>
      <c r="X273" s="6"/>
      <c r="Y273" s="6"/>
      <c r="Z273" s="6"/>
      <c r="AA273" s="6"/>
    </row>
    <row r="274">
      <c r="A274" s="7">
        <v>273.0</v>
      </c>
      <c r="B274" s="6" t="s">
        <v>731</v>
      </c>
      <c r="C274" s="6" t="s">
        <v>732</v>
      </c>
      <c r="D274" s="6" t="s">
        <v>733</v>
      </c>
      <c r="E274" s="6" t="s">
        <v>734</v>
      </c>
      <c r="F274" s="6" t="s">
        <v>735</v>
      </c>
      <c r="G274" s="6" t="s">
        <v>733</v>
      </c>
      <c r="H274" s="6" t="s">
        <v>875</v>
      </c>
      <c r="I274" s="6"/>
      <c r="J274" s="6"/>
      <c r="K274" s="7">
        <v>273.0</v>
      </c>
      <c r="L274" s="6" t="str">
        <f>IFERROR(__xludf.DUMMYFUNCTION("GOOGLETRANSLATE(B274,""en"",""ur"")"),"مختصر چھڑی (گلی) کے بارے میں ایک قابل ذکر تفصیل کیا ہے؟")</f>
        <v>مختصر چھڑی (گلی) کے بارے میں ایک قابل ذکر تفصیل کیا ہے؟</v>
      </c>
      <c r="M274" s="6"/>
      <c r="N274" s="8" t="str">
        <f>IFERROR(__xludf.DUMMYFUNCTION("GOOGLETRANSLATE(D274,""en"",""ur"")"),"اس کے نوک دار یا مخروطی سرے ہوتے ہیں۔")</f>
        <v>اس کے نوک دار یا مخروطی سرے ہوتے ہیں۔</v>
      </c>
      <c r="O274" s="6" t="str">
        <f>IFERROR(__xludf.DUMMYFUNCTION("GOOGLETRANSLATE(E274,""en"",""ur"")"),"یہ ایک لمبی، پتلی چھڑی ہے۔")</f>
        <v>یہ ایک لمبی، پتلی چھڑی ہے۔</v>
      </c>
      <c r="P274" s="6" t="str">
        <f>IFERROR(__xludf.DUMMYFUNCTION("GOOGLETRANSLATE(F274,""en"",""ur"")"),"یہ ایک فلیٹ ڈسک ہے۔")</f>
        <v>یہ ایک فلیٹ ڈسک ہے۔</v>
      </c>
      <c r="Q274" s="6" t="s">
        <v>736</v>
      </c>
      <c r="R274" s="6" t="str">
        <f>IFERROR(__xludf.DUMMYFUNCTION("GOOGLETRANSLATE(G274,""en"",""ur"")"),"اس کے نوک دار یا مخروطی سرے ہوتے ہیں۔")</f>
        <v>اس کے نوک دار یا مخروطی سرے ہوتے ہیں۔</v>
      </c>
      <c r="S274" s="6" t="s">
        <v>875</v>
      </c>
      <c r="T274" s="6"/>
      <c r="U274" s="6"/>
      <c r="V274" s="6"/>
      <c r="W274" s="6"/>
      <c r="X274" s="6"/>
      <c r="Y274" s="6"/>
      <c r="Z274" s="6"/>
      <c r="AA274" s="6"/>
    </row>
    <row r="275">
      <c r="A275" s="7">
        <v>274.0</v>
      </c>
      <c r="B275" s="6" t="s">
        <v>737</v>
      </c>
      <c r="C275" s="6" t="s">
        <v>738</v>
      </c>
      <c r="D275" s="6" t="s">
        <v>739</v>
      </c>
      <c r="E275" s="6" t="s">
        <v>740</v>
      </c>
      <c r="F275" s="6" t="s">
        <v>741</v>
      </c>
      <c r="G275" s="6" t="s">
        <v>739</v>
      </c>
      <c r="H275" s="6" t="s">
        <v>875</v>
      </c>
      <c r="I275" s="6"/>
      <c r="J275" s="6"/>
      <c r="K275" s="7">
        <v>274.0</v>
      </c>
      <c r="L275" s="6" t="str">
        <f>IFERROR(__xludf.DUMMYFUNCTION("GOOGLETRANSLATE(B275,""en"",""ur"")"),"گلی کے نوکیلے سروں کا ظاہری مقصد کیا ہے؟")</f>
        <v>گلی کے نوکیلے سروں کا ظاہری مقصد کیا ہے؟</v>
      </c>
      <c r="M275" s="6"/>
      <c r="N275" s="8" t="str">
        <f>IFERROR(__xludf.DUMMYFUNCTION("GOOGLETRANSLATE(D275,""en"",""ur"")"),"تاکہ اسے مارنا آسان ہو اور اسے ہوا میں چھلانگ لگانا")</f>
        <v>تاکہ اسے مارنا آسان ہو اور اسے ہوا میں چھلانگ لگانا</v>
      </c>
      <c r="O275" s="6" t="str">
        <f>IFERROR(__xludf.DUMMYFUNCTION("GOOGLETRANSLATE(E275,""en"",""ur"")"),"تاکہ اسے پکڑنا مشکل ہو جائے۔")</f>
        <v>تاکہ اسے پکڑنا مشکل ہو جائے۔</v>
      </c>
      <c r="P275" s="6" t="str">
        <f>IFERROR(__xludf.DUMMYFUNCTION("GOOGLETRANSLATE(F275,""en"",""ur"")"),"اسے بھاری بنانے کے لیے")</f>
        <v>اسے بھاری بنانے کے لیے</v>
      </c>
      <c r="Q275" s="6" t="s">
        <v>742</v>
      </c>
      <c r="R275" s="6" t="str">
        <f>IFERROR(__xludf.DUMMYFUNCTION("GOOGLETRANSLATE(G275,""en"",""ur"")"),"تاکہ اسے مارنا آسان ہو اور اسے ہوا میں چھلانگ لگانا")</f>
        <v>تاکہ اسے مارنا آسان ہو اور اسے ہوا میں چھلانگ لگانا</v>
      </c>
      <c r="S275" s="6" t="s">
        <v>875</v>
      </c>
      <c r="T275" s="6"/>
      <c r="U275" s="6"/>
      <c r="V275" s="6"/>
      <c r="W275" s="6"/>
      <c r="X275" s="6"/>
      <c r="Y275" s="6"/>
      <c r="Z275" s="6"/>
      <c r="AA275" s="6"/>
    </row>
    <row r="276">
      <c r="A276" s="7">
        <v>275.0</v>
      </c>
      <c r="B276" s="6" t="s">
        <v>743</v>
      </c>
      <c r="C276" s="6" t="s">
        <v>744</v>
      </c>
      <c r="D276" s="6" t="s">
        <v>745</v>
      </c>
      <c r="E276" s="6" t="s">
        <v>19</v>
      </c>
      <c r="F276" s="6" t="s">
        <v>746</v>
      </c>
      <c r="G276" s="6" t="s">
        <v>745</v>
      </c>
      <c r="H276" s="6" t="s">
        <v>875</v>
      </c>
      <c r="I276" s="6"/>
      <c r="J276" s="6"/>
      <c r="K276" s="7">
        <v>275.0</v>
      </c>
      <c r="L276" s="6" t="str">
        <f>IFERROR(__xludf.DUMMYFUNCTION("GOOGLETRANSLATE(B276,""en"",""ur"")"),"لاٹھیوں کی سب سے نمایاں خصوصیت کیا ہے؟")</f>
        <v>لاٹھیوں کی سب سے نمایاں خصوصیت کیا ہے؟</v>
      </c>
      <c r="M276" s="6"/>
      <c r="N276" s="8" t="str">
        <f>IFERROR(__xludf.DUMMYFUNCTION("GOOGLETRANSLATE(D276,""en"",""ur"")"),"وہ لکڑی سے بنے ہیں۔")</f>
        <v>وہ لکڑی سے بنے ہیں۔</v>
      </c>
      <c r="O276" s="6" t="str">
        <f>IFERROR(__xludf.DUMMYFUNCTION("GOOGLETRANSLATE(E276,""en"",""ur"")"),"وہ پلاسٹک سے بنے ہیں۔")</f>
        <v>وہ پلاسٹک سے بنے ہیں۔</v>
      </c>
      <c r="P276" s="6" t="str">
        <f>IFERROR(__xludf.DUMMYFUNCTION("GOOGLETRANSLATE(F276,""en"",""ur"")"),"وہ شیشے سے بنے ہیں۔")</f>
        <v>وہ شیشے سے بنے ہیں۔</v>
      </c>
      <c r="Q276" s="6" t="s">
        <v>747</v>
      </c>
      <c r="R276" s="6" t="str">
        <f>IFERROR(__xludf.DUMMYFUNCTION("GOOGLETRANSLATE(G276,""en"",""ur"")"),"وہ لکڑی سے بنے ہیں۔")</f>
        <v>وہ لکڑی سے بنے ہیں۔</v>
      </c>
      <c r="S276" s="6" t="s">
        <v>875</v>
      </c>
      <c r="T276" s="6"/>
      <c r="U276" s="6"/>
      <c r="V276" s="6"/>
      <c r="W276" s="6"/>
      <c r="X276" s="6"/>
      <c r="Y276" s="6"/>
      <c r="Z276" s="6"/>
      <c r="AA276" s="6"/>
    </row>
    <row r="277">
      <c r="A277" s="7">
        <v>276.0</v>
      </c>
      <c r="B277" s="6" t="s">
        <v>94</v>
      </c>
      <c r="C277" s="6" t="s">
        <v>95</v>
      </c>
      <c r="D277" s="6" t="s">
        <v>651</v>
      </c>
      <c r="E277" s="6" t="s">
        <v>652</v>
      </c>
      <c r="F277" s="6" t="s">
        <v>653</v>
      </c>
      <c r="G277" s="6" t="s">
        <v>652</v>
      </c>
      <c r="H277" s="6" t="s">
        <v>875</v>
      </c>
      <c r="I277" s="6"/>
      <c r="J277" s="6"/>
      <c r="K277" s="7">
        <v>276.0</v>
      </c>
      <c r="L277" s="6" t="str">
        <f>IFERROR(__xludf.DUMMYFUNCTION("GOOGLETRANSLATE(B277,""en"",""ur"")"),"کھیلے جانے والے کھیل کا نام کیا ہے؟")</f>
        <v>کھیلے جانے والے کھیل کا نام کیا ہے؟</v>
      </c>
      <c r="M277" s="6"/>
      <c r="N277" s="8" t="str">
        <f>IFERROR(__xludf.DUMMYFUNCTION("GOOGLETRANSLATE(D277,""en"",""ur"")"),"کرکٹ")</f>
        <v>کرکٹ</v>
      </c>
      <c r="O277" s="6" t="str">
        <f>IFERROR(__xludf.DUMMYFUNCTION("GOOGLETRANSLATE(E277,""en"",""ur"")"),"گلی ڈنڈا۔")</f>
        <v>گلی ڈنڈا۔</v>
      </c>
      <c r="P277" s="6" t="str">
        <f>IFERROR(__xludf.DUMMYFUNCTION("GOOGLETRANSLATE(F277,""en"",""ur"")"),"بیس بال")</f>
        <v>بیس بال</v>
      </c>
      <c r="Q277" s="6" t="s">
        <v>654</v>
      </c>
      <c r="R277" s="6" t="str">
        <f>IFERROR(__xludf.DUMMYFUNCTION("GOOGLETRANSLATE(G277,""en"",""ur"")"),"گلی ڈنڈا۔")</f>
        <v>گلی ڈنڈا۔</v>
      </c>
      <c r="S277" s="6" t="s">
        <v>875</v>
      </c>
      <c r="T277" s="6"/>
      <c r="U277" s="6"/>
      <c r="V277" s="6"/>
      <c r="W277" s="6"/>
      <c r="X277" s="6"/>
      <c r="Y277" s="6"/>
      <c r="Z277" s="6"/>
      <c r="AA277" s="6"/>
    </row>
    <row r="278">
      <c r="A278" s="7">
        <v>277.0</v>
      </c>
      <c r="B278" s="6" t="s">
        <v>260</v>
      </c>
      <c r="C278" s="6" t="s">
        <v>261</v>
      </c>
      <c r="D278" s="6" t="s">
        <v>262</v>
      </c>
      <c r="E278" s="6" t="s">
        <v>263</v>
      </c>
      <c r="F278" s="6" t="s">
        <v>655</v>
      </c>
      <c r="G278" s="6" t="s">
        <v>655</v>
      </c>
      <c r="H278" s="6" t="s">
        <v>875</v>
      </c>
      <c r="I278" s="6"/>
      <c r="J278" s="6"/>
      <c r="K278" s="7">
        <v>277.0</v>
      </c>
      <c r="L278" s="6" t="str">
        <f>IFERROR(__xludf.DUMMYFUNCTION("GOOGLETRANSLATE(B278,""en"",""ur"")"),"تصویر میں ایکشن ایک ایسا انداز تجویز کرتا ہے جو اس بات پر زور دیتا ہے...")</f>
        <v>تصویر میں ایکشن ایک ایسا انداز تجویز کرتا ہے جو اس بات پر زور دیتا ہے...</v>
      </c>
      <c r="M278" s="6"/>
      <c r="N278" s="8" t="str">
        <f>IFERROR(__xludf.DUMMYFUNCTION("GOOGLETRANSLATE(D278,""en"",""ur"")"),"زمینی لڑائی اور گرفت")</f>
        <v>زمینی لڑائی اور گرفت</v>
      </c>
      <c r="O278" s="6" t="str">
        <f>IFERROR(__xludf.DUMMYFUNCTION("GOOGLETRANSLATE(E278,""en"",""ur"")"),"وحشیانہ قوت اور گھڑ سواری۔")</f>
        <v>وحشیانہ قوت اور گھڑ سواری۔</v>
      </c>
      <c r="P278" s="6" t="str">
        <f>IFERROR(__xludf.DUMMYFUNCTION("GOOGLETRANSLATE(F278,""en"",""ur"")"),"ہاتھ سے آنکھ کو آرڈینیشن اور حیرت انگیز")</f>
        <v>ہاتھ سے آنکھ کو آرڈینیشن اور حیرت انگیز</v>
      </c>
      <c r="Q278" s="6" t="s">
        <v>656</v>
      </c>
      <c r="R278" s="6" t="str">
        <f>IFERROR(__xludf.DUMMYFUNCTION("GOOGLETRANSLATE(G278,""en"",""ur"")"),"ہاتھ سے آنکھ کو آرڈینیشن اور حیرت انگیز")</f>
        <v>ہاتھ سے آنکھ کو آرڈینیشن اور حیرت انگیز</v>
      </c>
      <c r="S278" s="6" t="s">
        <v>875</v>
      </c>
      <c r="T278" s="6"/>
      <c r="U278" s="6"/>
      <c r="V278" s="6"/>
      <c r="W278" s="6"/>
      <c r="X278" s="6"/>
      <c r="Y278" s="6"/>
      <c r="Z278" s="6"/>
      <c r="AA278" s="6"/>
    </row>
    <row r="279">
      <c r="A279" s="7">
        <v>278.0</v>
      </c>
      <c r="B279" s="6" t="s">
        <v>748</v>
      </c>
      <c r="C279" s="6" t="s">
        <v>749</v>
      </c>
      <c r="D279" s="6" t="s">
        <v>750</v>
      </c>
      <c r="E279" s="6" t="s">
        <v>751</v>
      </c>
      <c r="F279" s="6" t="s">
        <v>752</v>
      </c>
      <c r="G279" s="6" t="s">
        <v>749</v>
      </c>
      <c r="H279" s="6" t="s">
        <v>875</v>
      </c>
      <c r="I279" s="6"/>
      <c r="J279" s="6"/>
      <c r="K279" s="7">
        <v>278.0</v>
      </c>
      <c r="L279" s="6" t="str">
        <f>IFERROR(__xludf.DUMMYFUNCTION("GOOGLETRANSLATE(B279,""en"",""ur"")"),"لاٹھیوں کی حالت کے بارے میں ایک قابل ذکر تفصیل کیا ہے؟")</f>
        <v>لاٹھیوں کی حالت کے بارے میں ایک قابل ذکر تفصیل کیا ہے؟</v>
      </c>
      <c r="M279" s="6"/>
      <c r="N279" s="8" t="str">
        <f>IFERROR(__xludf.DUMMYFUNCTION("GOOGLETRANSLATE(D279,""en"",""ur"")"),"وہ پرانے ہیں اور استعمال سے پہنے ہوئے ہیں۔")</f>
        <v>وہ پرانے ہیں اور استعمال سے پہنے ہوئے ہیں۔</v>
      </c>
      <c r="O279" s="6" t="str">
        <f>IFERROR(__xludf.DUMMYFUNCTION("GOOGLETRANSLATE(E279,""en"",""ur"")"),"وہ بہت مختصر ہیں۔")</f>
        <v>وہ بہت مختصر ہیں۔</v>
      </c>
      <c r="P279" s="6" t="str">
        <f>IFERROR(__xludf.DUMMYFUNCTION("GOOGLETRANSLATE(F279,""en"",""ur"")"),"وہ بہت لمبے ہیں۔")</f>
        <v>وہ بہت لمبے ہیں۔</v>
      </c>
      <c r="Q279" s="6" t="s">
        <v>753</v>
      </c>
      <c r="R279" s="6" t="str">
        <f>IFERROR(__xludf.DUMMYFUNCTION("GOOGLETRANSLATE(G279,""en"",""ur"")"),"وہ بالکل نئے ہیں۔")</f>
        <v>وہ بالکل نئے ہیں۔</v>
      </c>
      <c r="S279" s="6" t="s">
        <v>875</v>
      </c>
      <c r="T279" s="6"/>
      <c r="U279" s="6"/>
      <c r="V279" s="6"/>
      <c r="W279" s="6"/>
      <c r="X279" s="6"/>
      <c r="Y279" s="6"/>
      <c r="Z279" s="6"/>
      <c r="AA279" s="6"/>
    </row>
    <row r="280">
      <c r="A280" s="7">
        <v>279.0</v>
      </c>
      <c r="B280" s="6" t="s">
        <v>754</v>
      </c>
      <c r="C280" s="6" t="s">
        <v>755</v>
      </c>
      <c r="D280" s="6" t="s">
        <v>756</v>
      </c>
      <c r="E280" s="6" t="s">
        <v>757</v>
      </c>
      <c r="F280" s="6" t="s">
        <v>758</v>
      </c>
      <c r="G280" s="6" t="s">
        <v>755</v>
      </c>
      <c r="H280" s="6" t="s">
        <v>875</v>
      </c>
      <c r="I280" s="6"/>
      <c r="J280" s="6"/>
      <c r="K280" s="7">
        <v>279.0</v>
      </c>
      <c r="L280" s="6" t="str">
        <f>IFERROR(__xludf.DUMMYFUNCTION("GOOGLETRANSLATE(B280,""en"",""ur"")"),"کھیل کا بنیادی مقصد کیا ہے؟")</f>
        <v>کھیل کا بنیادی مقصد کیا ہے؟</v>
      </c>
      <c r="M280" s="6"/>
      <c r="N280" s="8" t="str">
        <f>IFERROR(__xludf.DUMMYFUNCTION("GOOGLETRANSLATE(D280,""en"",""ur"")"),"گلی کو گول میں مارنا")</f>
        <v>گلی کو گول میں مارنا</v>
      </c>
      <c r="O280" s="6" t="str">
        <f>IFERROR(__xludf.DUMMYFUNCTION("GOOGLETRANSLATE(E280,""en"",""ur"")"),"گیلی کو مخالف پر مارنا")</f>
        <v>گیلی کو مخالف پر مارنا</v>
      </c>
      <c r="P280" s="6" t="str">
        <f>IFERROR(__xludf.DUMMYFUNCTION("GOOGLETRANSLATE(F280,""en"",""ur"")"),"گلی کو جال میں مارنا")</f>
        <v>گلی کو جال میں مارنا</v>
      </c>
      <c r="Q280" s="6" t="s">
        <v>759</v>
      </c>
      <c r="R280" s="6" t="str">
        <f>IFERROR(__xludf.DUMMYFUNCTION("GOOGLETRANSLATE(G280,""en"",""ur"")"),"جہاں تک ممکن ہو گلی کو مار کر پوائنٹس حاصل کرنا")</f>
        <v>جہاں تک ممکن ہو گلی کو مار کر پوائنٹس حاصل کرنا</v>
      </c>
      <c r="S280" s="6" t="s">
        <v>875</v>
      </c>
      <c r="T280" s="6"/>
      <c r="U280" s="6"/>
      <c r="V280" s="6"/>
      <c r="W280" s="6"/>
      <c r="X280" s="6"/>
      <c r="Y280" s="6"/>
      <c r="Z280" s="6"/>
      <c r="AA280" s="6"/>
    </row>
    <row r="281">
      <c r="A281" s="7">
        <v>280.0</v>
      </c>
      <c r="B281" s="6" t="s">
        <v>760</v>
      </c>
      <c r="C281" s="6" t="s">
        <v>761</v>
      </c>
      <c r="D281" s="6" t="s">
        <v>762</v>
      </c>
      <c r="E281" s="6" t="s">
        <v>763</v>
      </c>
      <c r="F281" s="6" t="s">
        <v>734</v>
      </c>
      <c r="G281" s="6" t="s">
        <v>763</v>
      </c>
      <c r="H281" s="6" t="s">
        <v>875</v>
      </c>
      <c r="I281" s="6"/>
      <c r="J281" s="6"/>
      <c r="K281" s="7">
        <v>280.0</v>
      </c>
      <c r="L281" s="6" t="str">
        <f>IFERROR(__xludf.DUMMYFUNCTION("GOOGLETRANSLATE(B281,""en"",""ur"")"),"ڈنڈا کی لمبائی کے بارے میں ایک قابل ذکر تفصیل کیا ہے؟")</f>
        <v>ڈنڈا کی لمبائی کے بارے میں ایک قابل ذکر تفصیل کیا ہے؟</v>
      </c>
      <c r="M281" s="6"/>
      <c r="N281" s="8" t="str">
        <f>IFERROR(__xludf.DUMMYFUNCTION("GOOGLETRANSLATE(D281,""en"",""ur"")"),"یہ بہت مختصر ہے۔")</f>
        <v>یہ بہت مختصر ہے۔</v>
      </c>
      <c r="O281" s="6" t="str">
        <f>IFERROR(__xludf.DUMMYFUNCTION("GOOGLETRANSLATE(E281,""en"",""ur"")"),"یہ درمیانی لمبائی کی چھڑی ہے۔")</f>
        <v>یہ درمیانی لمبائی کی چھڑی ہے۔</v>
      </c>
      <c r="P281" s="6" t="str">
        <f>IFERROR(__xludf.DUMMYFUNCTION("GOOGLETRANSLATE(F281,""en"",""ur"")"),"یہ ایک لمبی، پتلی چھڑی ہے۔")</f>
        <v>یہ ایک لمبی، پتلی چھڑی ہے۔</v>
      </c>
      <c r="Q281" s="6" t="s">
        <v>764</v>
      </c>
      <c r="R281" s="6" t="str">
        <f>IFERROR(__xludf.DUMMYFUNCTION("GOOGLETRANSLATE(G281,""en"",""ur"")"),"یہ درمیانی لمبائی کی چھڑی ہے۔")</f>
        <v>یہ درمیانی لمبائی کی چھڑی ہے۔</v>
      </c>
      <c r="S281" s="6" t="s">
        <v>875</v>
      </c>
      <c r="T281" s="6"/>
      <c r="U281" s="6"/>
      <c r="V281" s="6"/>
      <c r="W281" s="6"/>
      <c r="X281" s="6"/>
      <c r="Y281" s="6"/>
      <c r="Z281" s="6"/>
      <c r="AA281" s="6"/>
    </row>
    <row r="282">
      <c r="A282" s="7">
        <v>281.0</v>
      </c>
      <c r="B282" s="6" t="s">
        <v>876</v>
      </c>
      <c r="C282" s="6" t="s">
        <v>808</v>
      </c>
      <c r="D282" s="6" t="s">
        <v>632</v>
      </c>
      <c r="E282" s="6" t="s">
        <v>633</v>
      </c>
      <c r="F282" s="6" t="s">
        <v>634</v>
      </c>
      <c r="G282" s="6" t="s">
        <v>808</v>
      </c>
      <c r="H282" s="6" t="s">
        <v>877</v>
      </c>
      <c r="I282" s="6"/>
      <c r="J282" s="6"/>
      <c r="K282" s="7">
        <v>281.0</v>
      </c>
      <c r="L282" s="6" t="str">
        <f>IFERROR(__xludf.DUMMYFUNCTION("GOOGLETRANSLATE(B282,""en"",""ur"")"),"گلی_ڈنڈا_39 میں دکھایا گیا اصل عمل کیا ہے؟")</f>
        <v>گلی_ڈنڈا_39 میں دکھایا گیا اصل عمل کیا ہے؟</v>
      </c>
      <c r="M282" s="6"/>
      <c r="N282" s="8" t="str">
        <f>IFERROR(__xludf.DUMMYFUNCTION("GOOGLETRANSLATE(D282,""en"",""ur"")"),"ایک کھلاڑی چھوٹی چھڑی کو بڑی چھڑی سے مار رہا ہے۔")</f>
        <v>ایک کھلاڑی چھوٹی چھڑی کو بڑی چھڑی سے مار رہا ہے۔</v>
      </c>
      <c r="O282" s="6" t="str">
        <f>IFERROR(__xludf.DUMMYFUNCTION("GOOGLETRANSLATE(E282,""en"",""ur"")"),"ایک کھلاڑی گیند کی خدمت کر رہا ہے۔")</f>
        <v>ایک کھلاڑی گیند کی خدمت کر رہا ہے۔</v>
      </c>
      <c r="P282" s="6" t="str">
        <f>IFERROR(__xludf.DUMMYFUNCTION("GOOGLETRANSLATE(F282,""en"",""ur"")"),"ایک کھلاڑی دفاعی بلاک کا مظاہرہ کر رہا ہے۔")</f>
        <v>ایک کھلاڑی دفاعی بلاک کا مظاہرہ کر رہا ہے۔</v>
      </c>
      <c r="Q282" s="6" t="s">
        <v>671</v>
      </c>
      <c r="R282" s="6" t="str">
        <f>IFERROR(__xludf.DUMMYFUNCTION("GOOGLETRANSLATE(G282,""en"",""ur"")"),"گاؤں میں کھیل کا کارٹون")</f>
        <v>گاؤں میں کھیل کا کارٹون</v>
      </c>
      <c r="S282" s="6" t="s">
        <v>877</v>
      </c>
      <c r="T282" s="6"/>
      <c r="U282" s="6"/>
      <c r="V282" s="6"/>
      <c r="W282" s="6"/>
      <c r="X282" s="6"/>
      <c r="Y282" s="6"/>
      <c r="Z282" s="6"/>
      <c r="AA282" s="6"/>
    </row>
    <row r="283">
      <c r="A283" s="7">
        <v>282.0</v>
      </c>
      <c r="B283" s="6" t="s">
        <v>636</v>
      </c>
      <c r="C283" s="6" t="s">
        <v>637</v>
      </c>
      <c r="D283" s="6" t="s">
        <v>638</v>
      </c>
      <c r="E283" s="6" t="s">
        <v>639</v>
      </c>
      <c r="F283" s="6" t="s">
        <v>640</v>
      </c>
      <c r="G283" s="6" t="s">
        <v>638</v>
      </c>
      <c r="H283" s="6" t="s">
        <v>877</v>
      </c>
      <c r="I283" s="6"/>
      <c r="J283" s="6"/>
      <c r="K283" s="7">
        <v>282.0</v>
      </c>
      <c r="L283" s="6" t="str">
        <f>IFERROR(__xludf.DUMMYFUNCTION("GOOGLETRANSLATE(B283,""en"",""ur"")"),"کھیل میں استعمال ہونے والے آلات کے دو ٹکڑے کیا ہیں؟")</f>
        <v>کھیل میں استعمال ہونے والے آلات کے دو ٹکڑے کیا ہیں؟</v>
      </c>
      <c r="M283" s="6"/>
      <c r="N283" s="8" t="str">
        <f>IFERROR(__xludf.DUMMYFUNCTION("GOOGLETRANSLATE(D283,""en"",""ur"")"),"ایک لمبی چھڑی (ڈنڈا) اور ایک چھوٹی چھڑی (گلی)")</f>
        <v>ایک لمبی چھڑی (ڈنڈا) اور ایک چھوٹی چھڑی (گلی)</v>
      </c>
      <c r="O283" s="6" t="str">
        <f>IFERROR(__xludf.DUMMYFUNCTION("GOOGLETRANSLATE(E283,""en"",""ur"")"),"ایک ریکیٹ اور ایک شٹل کاک")</f>
        <v>ایک ریکیٹ اور ایک شٹل کاک</v>
      </c>
      <c r="P283" s="6" t="str">
        <f>IFERROR(__xludf.DUMMYFUNCTION("GOOGLETRANSLATE(F283,""en"",""ur"")"),"ایک چمگادڑ اور ایک دستانہ")</f>
        <v>ایک چمگادڑ اور ایک دستانہ</v>
      </c>
      <c r="Q283" s="6" t="s">
        <v>641</v>
      </c>
      <c r="R283" s="6" t="str">
        <f>IFERROR(__xludf.DUMMYFUNCTION("GOOGLETRANSLATE(G283,""en"",""ur"")"),"ایک لمبی چھڑی (ڈنڈا) اور ایک چھوٹی چھڑی (گلی)")</f>
        <v>ایک لمبی چھڑی (ڈنڈا) اور ایک چھوٹی چھڑی (گلی)</v>
      </c>
      <c r="S283" s="6" t="s">
        <v>877</v>
      </c>
      <c r="T283" s="6"/>
      <c r="U283" s="6"/>
      <c r="V283" s="6"/>
      <c r="W283" s="6"/>
      <c r="X283" s="6"/>
      <c r="Y283" s="6"/>
      <c r="Z283" s="6"/>
      <c r="AA283" s="6"/>
    </row>
    <row r="284">
      <c r="A284" s="7">
        <v>283.0</v>
      </c>
      <c r="B284" s="6" t="s">
        <v>687</v>
      </c>
      <c r="C284" s="6" t="s">
        <v>307</v>
      </c>
      <c r="D284" s="6" t="s">
        <v>643</v>
      </c>
      <c r="E284" s="6" t="s">
        <v>311</v>
      </c>
      <c r="F284" s="6" t="s">
        <v>314</v>
      </c>
      <c r="G284" s="6" t="s">
        <v>643</v>
      </c>
      <c r="H284" s="6" t="s">
        <v>877</v>
      </c>
      <c r="I284" s="6"/>
      <c r="J284" s="6"/>
      <c r="K284" s="7">
        <v>283.0</v>
      </c>
      <c r="L284" s="6" t="str">
        <f>IFERROR(__xludf.DUMMYFUNCTION("GOOGLETRANSLATE(B284,""en"",""ur"")"),"پیش منظر میں کھلاڑی کے بارے میں ایک قابل ذکر تفصیل کیا ہے؟")</f>
        <v>پیش منظر میں کھلاڑی کے بارے میں ایک قابل ذکر تفصیل کیا ہے؟</v>
      </c>
      <c r="M284" s="6"/>
      <c r="N284" s="8" t="str">
        <f>IFERROR(__xludf.DUMMYFUNCTION("GOOGLETRANSLATE(D284,""en"",""ur"")"),"وہ ایک پست، جھکائے ہوئے موقف میں ہے، ہڑتال کرنے کی تیاری کر رہا ہے۔")</f>
        <v>وہ ایک پست، جھکائے ہوئے موقف میں ہے، ہڑتال کرنے کی تیاری کر رہا ہے۔</v>
      </c>
      <c r="O284" s="6" t="str">
        <f>IFERROR(__xludf.DUMMYFUNCTION("GOOGLETRANSLATE(E284,""en"",""ur"")"),"وہ سیدھا کھڑا ہے۔")</f>
        <v>وہ سیدھا کھڑا ہے۔</v>
      </c>
      <c r="P284" s="6" t="str">
        <f>IFERROR(__xludf.DUMMYFUNCTION("GOOGLETRANSLATE(F284,""en"",""ur"")"),"وہ آرام سے بیٹھا ہے۔")</f>
        <v>وہ آرام سے بیٹھا ہے۔</v>
      </c>
      <c r="Q284" s="6" t="s">
        <v>644</v>
      </c>
      <c r="R284" s="6" t="str">
        <f>IFERROR(__xludf.DUMMYFUNCTION("GOOGLETRANSLATE(G284,""en"",""ur"")"),"وہ ایک پست، جھکائے ہوئے موقف میں ہے، ہڑتال کرنے کی تیاری کر رہا ہے۔")</f>
        <v>وہ ایک پست، جھکائے ہوئے موقف میں ہے، ہڑتال کرنے کی تیاری کر رہا ہے۔</v>
      </c>
      <c r="S284" s="6" t="s">
        <v>877</v>
      </c>
      <c r="T284" s="6"/>
      <c r="U284" s="6"/>
      <c r="V284" s="6"/>
      <c r="W284" s="6"/>
      <c r="X284" s="6"/>
      <c r="Y284" s="6"/>
      <c r="Z284" s="6"/>
      <c r="AA284" s="6"/>
    </row>
    <row r="285">
      <c r="A285" s="7">
        <v>284.0</v>
      </c>
      <c r="B285" s="6" t="s">
        <v>645</v>
      </c>
      <c r="C285" s="6" t="s">
        <v>422</v>
      </c>
      <c r="D285" s="6" t="s">
        <v>646</v>
      </c>
      <c r="E285" s="6" t="s">
        <v>647</v>
      </c>
      <c r="F285" s="6" t="s">
        <v>878</v>
      </c>
      <c r="G285" s="6" t="s">
        <v>878</v>
      </c>
      <c r="H285" s="6" t="s">
        <v>877</v>
      </c>
      <c r="I285" s="6"/>
      <c r="J285" s="6"/>
      <c r="K285" s="7">
        <v>284.0</v>
      </c>
      <c r="L285" s="6" t="str">
        <f>IFERROR(__xludf.DUMMYFUNCTION("GOOGLETRANSLATE(B285,""en"",""ur"")"),"کھیل کی ظاہری ترتیب کیا ہے؟")</f>
        <v>کھیل کی ظاہری ترتیب کیا ہے؟</v>
      </c>
      <c r="M285" s="6"/>
      <c r="N285" s="8" t="str">
        <f>IFERROR(__xludf.DUMMYFUNCTION("GOOGLETRANSLATE(D285,""en"",""ur"")"),"شہر کی ایک گلی")</f>
        <v>شہر کی ایک گلی</v>
      </c>
      <c r="O285" s="6" t="str">
        <f>IFERROR(__xludf.DUMMYFUNCTION("GOOGLETRANSLATE(E285,""en"",""ur"")"),"ایک بیرونی گندگی کا میدان")</f>
        <v>ایک بیرونی گندگی کا میدان</v>
      </c>
      <c r="P285" s="6" t="str">
        <f>IFERROR(__xludf.DUMMYFUNCTION("GOOGLETRANSLATE(F285,""en"",""ur"")"),"ایک گاؤں میں گھاس کا میدان")</f>
        <v>ایک گاؤں میں گھاس کا میدان</v>
      </c>
      <c r="Q285" s="6" t="s">
        <v>879</v>
      </c>
      <c r="R285" s="6" t="str">
        <f>IFERROR(__xludf.DUMMYFUNCTION("GOOGLETRANSLATE(G285,""en"",""ur"")"),"ایک گاؤں میں گھاس کا میدان")</f>
        <v>ایک گاؤں میں گھاس کا میدان</v>
      </c>
      <c r="S285" s="6" t="s">
        <v>877</v>
      </c>
      <c r="T285" s="6"/>
      <c r="U285" s="6"/>
      <c r="V285" s="6"/>
      <c r="W285" s="6"/>
      <c r="X285" s="6"/>
      <c r="Y285" s="6"/>
      <c r="Z285" s="6"/>
      <c r="AA285" s="6"/>
    </row>
    <row r="286">
      <c r="A286" s="7">
        <v>285.0</v>
      </c>
      <c r="B286" s="6" t="s">
        <v>46</v>
      </c>
      <c r="C286" s="6" t="s">
        <v>47</v>
      </c>
      <c r="D286" s="6" t="s">
        <v>48</v>
      </c>
      <c r="E286" s="6" t="s">
        <v>49</v>
      </c>
      <c r="F286" s="6" t="s">
        <v>50</v>
      </c>
      <c r="G286" s="6" t="s">
        <v>50</v>
      </c>
      <c r="H286" s="6" t="s">
        <v>877</v>
      </c>
      <c r="I286" s="6"/>
      <c r="J286" s="6"/>
      <c r="K286" s="7">
        <v>285.0</v>
      </c>
      <c r="L286" s="6" t="str">
        <f>IFERROR(__xludf.DUMMYFUNCTION("GOOGLETRANSLATE(B286,""en"",""ur"")"),"کھلاڑیوں کے چہروں سے ظاہری جذبات کیا ہیں؟")</f>
        <v>کھلاڑیوں کے چہروں سے ظاہری جذبات کیا ہیں؟</v>
      </c>
      <c r="M286" s="6"/>
      <c r="N286" s="8" t="str">
        <f>IFERROR(__xludf.DUMMYFUNCTION("GOOGLETRANSLATE(D286,""en"",""ur"")"),"خوف زدہ اور بے چین")</f>
        <v>خوف زدہ اور بے چین</v>
      </c>
      <c r="O286" s="6" t="str">
        <f>IFERROR(__xludf.DUMMYFUNCTION("GOOGLETRANSLATE(E286,""en"",""ur"")"),"کشیدہ اور شدید")</f>
        <v>کشیدہ اور شدید</v>
      </c>
      <c r="P286" s="6" t="str">
        <f>IFERROR(__xludf.DUMMYFUNCTION("GOOGLETRANSLATE(F286,""en"",""ur"")"),"خوش اور مسکراتے ہوئے۔")</f>
        <v>خوش اور مسکراتے ہوئے۔</v>
      </c>
      <c r="Q286" s="6" t="s">
        <v>649</v>
      </c>
      <c r="R286" s="6" t="str">
        <f>IFERROR(__xludf.DUMMYFUNCTION("GOOGLETRANSLATE(G286,""en"",""ur"")"),"خوش اور مسکراتے ہوئے۔")</f>
        <v>خوش اور مسکراتے ہوئے۔</v>
      </c>
      <c r="S286" s="6" t="s">
        <v>877</v>
      </c>
      <c r="T286" s="6"/>
      <c r="U286" s="6"/>
      <c r="V286" s="6"/>
      <c r="W286" s="6"/>
      <c r="X286" s="6"/>
      <c r="Y286" s="6"/>
      <c r="Z286" s="6"/>
      <c r="AA286" s="6"/>
    </row>
    <row r="287">
      <c r="A287" s="7">
        <v>286.0</v>
      </c>
      <c r="B287" s="6" t="s">
        <v>88</v>
      </c>
      <c r="C287" s="6" t="s">
        <v>89</v>
      </c>
      <c r="D287" s="6" t="s">
        <v>90</v>
      </c>
      <c r="E287" s="6" t="s">
        <v>91</v>
      </c>
      <c r="F287" s="6" t="s">
        <v>255</v>
      </c>
      <c r="G287" s="6" t="s">
        <v>91</v>
      </c>
      <c r="H287" s="6" t="s">
        <v>877</v>
      </c>
      <c r="I287" s="6"/>
      <c r="J287" s="6"/>
      <c r="K287" s="7">
        <v>286.0</v>
      </c>
      <c r="L287" s="6" t="str">
        <f>IFERROR(__xludf.DUMMYFUNCTION("GOOGLETRANSLATE(B287,""en"",""ur"")"),"زمین کی سب سے نمایاں خصوصیت کیا ہے؟")</f>
        <v>زمین کی سب سے نمایاں خصوصیت کیا ہے؟</v>
      </c>
      <c r="M287" s="6"/>
      <c r="N287" s="8" t="str">
        <f>IFERROR(__xludf.DUMMYFUNCTION("GOOGLETRANSLATE(D287,""en"",""ur"")"),"کیچڑ والا میدان")</f>
        <v>کیچڑ والا میدان</v>
      </c>
      <c r="O287" s="6" t="str">
        <f>IFERROR(__xludf.DUMMYFUNCTION("GOOGLETRANSLATE(E287,""en"",""ur"")"),"ایک گھاس دار سطح")</f>
        <v>ایک گھاس دار سطح</v>
      </c>
      <c r="P287" s="6" t="str">
        <f>IFERROR(__xludf.DUMMYFUNCTION("GOOGLETRANSLATE(F287,""en"",""ur"")"),"ریتلی یا گندگی کی سطح")</f>
        <v>ریتلی یا گندگی کی سطح</v>
      </c>
      <c r="Q287" s="6" t="s">
        <v>688</v>
      </c>
      <c r="R287" s="6" t="str">
        <f>IFERROR(__xludf.DUMMYFUNCTION("GOOGLETRANSLATE(G287,""en"",""ur"")"),"ایک گھاس دار سطح")</f>
        <v>ایک گھاس دار سطح</v>
      </c>
      <c r="S287" s="6" t="s">
        <v>877</v>
      </c>
      <c r="T287" s="6"/>
      <c r="U287" s="6"/>
      <c r="V287" s="6"/>
      <c r="W287" s="6"/>
      <c r="X287" s="6"/>
      <c r="Y287" s="6"/>
      <c r="Z287" s="6"/>
      <c r="AA287" s="6"/>
    </row>
    <row r="288">
      <c r="A288" s="7">
        <v>287.0</v>
      </c>
      <c r="B288" s="6" t="s">
        <v>94</v>
      </c>
      <c r="C288" s="6" t="s">
        <v>95</v>
      </c>
      <c r="D288" s="6" t="s">
        <v>651</v>
      </c>
      <c r="E288" s="6" t="s">
        <v>652</v>
      </c>
      <c r="F288" s="6" t="s">
        <v>653</v>
      </c>
      <c r="G288" s="6" t="s">
        <v>652</v>
      </c>
      <c r="H288" s="6" t="s">
        <v>877</v>
      </c>
      <c r="I288" s="6"/>
      <c r="J288" s="6"/>
      <c r="K288" s="7">
        <v>287.0</v>
      </c>
      <c r="L288" s="6" t="str">
        <f>IFERROR(__xludf.DUMMYFUNCTION("GOOGLETRANSLATE(B288,""en"",""ur"")"),"کھیلے جانے والے کھیل کا نام کیا ہے؟")</f>
        <v>کھیلے جانے والے کھیل کا نام کیا ہے؟</v>
      </c>
      <c r="M288" s="6"/>
      <c r="N288" s="8" t="str">
        <f>IFERROR(__xludf.DUMMYFUNCTION("GOOGLETRANSLATE(D288,""en"",""ur"")"),"کرکٹ")</f>
        <v>کرکٹ</v>
      </c>
      <c r="O288" s="6" t="str">
        <f>IFERROR(__xludf.DUMMYFUNCTION("GOOGLETRANSLATE(E288,""en"",""ur"")"),"گلی ڈنڈا۔")</f>
        <v>گلی ڈنڈا۔</v>
      </c>
      <c r="P288" s="6" t="str">
        <f>IFERROR(__xludf.DUMMYFUNCTION("GOOGLETRANSLATE(F288,""en"",""ur"")"),"بیس بال")</f>
        <v>بیس بال</v>
      </c>
      <c r="Q288" s="6" t="s">
        <v>654</v>
      </c>
      <c r="R288" s="6" t="str">
        <f>IFERROR(__xludf.DUMMYFUNCTION("GOOGLETRANSLATE(G288,""en"",""ur"")"),"گلی ڈنڈا۔")</f>
        <v>گلی ڈنڈا۔</v>
      </c>
      <c r="S288" s="6" t="s">
        <v>877</v>
      </c>
      <c r="T288" s="6"/>
      <c r="U288" s="6"/>
      <c r="V288" s="6"/>
      <c r="W288" s="6"/>
      <c r="X288" s="6"/>
      <c r="Y288" s="6"/>
      <c r="Z288" s="6"/>
      <c r="AA288" s="6"/>
    </row>
    <row r="289">
      <c r="A289" s="7">
        <v>288.0</v>
      </c>
      <c r="B289" s="6" t="s">
        <v>260</v>
      </c>
      <c r="C289" s="6" t="s">
        <v>261</v>
      </c>
      <c r="D289" s="6" t="s">
        <v>262</v>
      </c>
      <c r="E289" s="6" t="s">
        <v>263</v>
      </c>
      <c r="F289" s="6" t="s">
        <v>655</v>
      </c>
      <c r="G289" s="6" t="s">
        <v>655</v>
      </c>
      <c r="H289" s="6" t="s">
        <v>877</v>
      </c>
      <c r="I289" s="6"/>
      <c r="J289" s="6"/>
      <c r="K289" s="7">
        <v>288.0</v>
      </c>
      <c r="L289" s="6" t="str">
        <f>IFERROR(__xludf.DUMMYFUNCTION("GOOGLETRANSLATE(B289,""en"",""ur"")"),"تصویر میں ایکشن ایک ایسا انداز تجویز کرتا ہے جو اس بات پر زور دیتا ہے...")</f>
        <v>تصویر میں ایکشن ایک ایسا انداز تجویز کرتا ہے جو اس بات پر زور دیتا ہے...</v>
      </c>
      <c r="M289" s="6"/>
      <c r="N289" s="8" t="str">
        <f>IFERROR(__xludf.DUMMYFUNCTION("GOOGLETRANSLATE(D289,""en"",""ur"")"),"زمینی لڑائی اور گرفت")</f>
        <v>زمینی لڑائی اور گرفت</v>
      </c>
      <c r="O289" s="6" t="str">
        <f>IFERROR(__xludf.DUMMYFUNCTION("GOOGLETRANSLATE(E289,""en"",""ur"")"),"وحشیانہ قوت اور گھڑ سواری۔")</f>
        <v>وحشیانہ قوت اور گھڑ سواری۔</v>
      </c>
      <c r="P289" s="6" t="str">
        <f>IFERROR(__xludf.DUMMYFUNCTION("GOOGLETRANSLATE(F289,""en"",""ur"")"),"ہاتھ سے آنکھ کو آرڈینیشن اور حیرت انگیز")</f>
        <v>ہاتھ سے آنکھ کو آرڈینیشن اور حیرت انگیز</v>
      </c>
      <c r="Q289" s="6" t="s">
        <v>656</v>
      </c>
      <c r="R289" s="6" t="str">
        <f>IFERROR(__xludf.DUMMYFUNCTION("GOOGLETRANSLATE(G289,""en"",""ur"")"),"ہاتھ سے آنکھ کو آرڈینیشن اور حیرت انگیز")</f>
        <v>ہاتھ سے آنکھ کو آرڈینیشن اور حیرت انگیز</v>
      </c>
      <c r="S289" s="6" t="s">
        <v>877</v>
      </c>
      <c r="T289" s="6"/>
      <c r="U289" s="6"/>
      <c r="V289" s="6"/>
      <c r="W289" s="6"/>
      <c r="X289" s="6"/>
      <c r="Y289" s="6"/>
      <c r="Z289" s="6"/>
      <c r="AA289" s="6"/>
    </row>
    <row r="290">
      <c r="A290" s="7">
        <v>289.0</v>
      </c>
      <c r="B290" s="6" t="s">
        <v>880</v>
      </c>
      <c r="C290" s="6" t="s">
        <v>435</v>
      </c>
      <c r="D290" s="6" t="s">
        <v>665</v>
      </c>
      <c r="E290" s="6" t="s">
        <v>666</v>
      </c>
      <c r="F290" s="6" t="s">
        <v>725</v>
      </c>
      <c r="G290" s="6" t="s">
        <v>725</v>
      </c>
      <c r="H290" s="6" t="s">
        <v>877</v>
      </c>
      <c r="I290" s="6"/>
      <c r="J290" s="6"/>
      <c r="K290" s="7">
        <v>289.0</v>
      </c>
      <c r="L290" s="6" t="str">
        <f>IFERROR(__xludf.DUMMYFUNCTION("GOOGLETRANSLATE(B290,""en"",""ur"")"),"کارٹون میں جانوروں کے بارے میں ایک قابل ذکر تفصیل کیا ہے؟")</f>
        <v>کارٹون میں جانوروں کے بارے میں ایک قابل ذکر تفصیل کیا ہے؟</v>
      </c>
      <c r="M290" s="6"/>
      <c r="N290" s="8" t="str">
        <f>IFERROR(__xludf.DUMMYFUNCTION("GOOGLETRANSLATE(D290,""en"",""ur"")"),"وہ سب ادھر ادھر بھاگ رہے ہیں۔")</f>
        <v>وہ سب ادھر ادھر بھاگ رہے ہیں۔</v>
      </c>
      <c r="O290" s="6" t="str">
        <f>IFERROR(__xludf.DUMMYFUNCTION("GOOGLETRANSLATE(E290,""en"",""ur"")"),"وہ ایک دفاعی، تیار موقف میں ہیں۔")</f>
        <v>وہ ایک دفاعی، تیار موقف میں ہیں۔</v>
      </c>
      <c r="P290" s="6" t="str">
        <f>IFERROR(__xludf.DUMMYFUNCTION("GOOGLETRANSLATE(F290,""en"",""ur"")"),"وہ سب کھڑے کھڑے دیکھ رہے ہیں۔")</f>
        <v>وہ سب کھڑے کھڑے دیکھ رہے ہیں۔</v>
      </c>
      <c r="Q290" s="6" t="s">
        <v>881</v>
      </c>
      <c r="R290" s="6" t="str">
        <f>IFERROR(__xludf.DUMMYFUNCTION("GOOGLETRANSLATE(G290,""en"",""ur"")"),"وہ سب کھڑے کھڑے دیکھ رہے ہیں۔")</f>
        <v>وہ سب کھڑے کھڑے دیکھ رہے ہیں۔</v>
      </c>
      <c r="S290" s="6" t="s">
        <v>877</v>
      </c>
      <c r="T290" s="6"/>
      <c r="U290" s="6"/>
      <c r="V290" s="6"/>
      <c r="W290" s="6"/>
      <c r="X290" s="6"/>
      <c r="Y290" s="6"/>
      <c r="Z290" s="6"/>
      <c r="AA290" s="6"/>
    </row>
    <row r="291">
      <c r="A291" s="7">
        <v>290.0</v>
      </c>
      <c r="B291" s="6" t="s">
        <v>882</v>
      </c>
      <c r="C291" s="6" t="s">
        <v>883</v>
      </c>
      <c r="D291" s="6" t="s">
        <v>884</v>
      </c>
      <c r="E291" s="6" t="s">
        <v>885</v>
      </c>
      <c r="F291" s="6" t="s">
        <v>178</v>
      </c>
      <c r="G291" s="6" t="s">
        <v>884</v>
      </c>
      <c r="H291" s="6" t="s">
        <v>877</v>
      </c>
      <c r="I291" s="6"/>
      <c r="J291" s="6"/>
      <c r="K291" s="7">
        <v>290.0</v>
      </c>
      <c r="L291" s="6" t="str">
        <f>IFERROR(__xludf.DUMMYFUNCTION("GOOGLETRANSLATE(B291,""en"",""ur"")"),"کارٹون میں روایتی جھونپڑی اور بیل گاڑی بھی دکھائی گئی ہے۔ یہ ترتیب کے بارے میں کیا تجویز کرتا ہے؟")</f>
        <v>کارٹون میں روایتی جھونپڑی اور بیل گاڑی بھی دکھائی گئی ہے۔ یہ ترتیب کے بارے میں کیا تجویز کرتا ہے؟</v>
      </c>
      <c r="M291" s="6"/>
      <c r="N291" s="8" t="str">
        <f>IFERROR(__xludf.DUMMYFUNCTION("GOOGLETRANSLATE(D291,""en"",""ur"")"),"یہ ایک دیہاتی گاؤں ہے۔")</f>
        <v>یہ ایک دیہاتی گاؤں ہے۔</v>
      </c>
      <c r="O291" s="6" t="str">
        <f>IFERROR(__xludf.DUMMYFUNCTION("GOOGLETRANSLATE(E291,""en"",""ur"")"),"یہ ایک اندرونی میدان ہے۔")</f>
        <v>یہ ایک اندرونی میدان ہے۔</v>
      </c>
      <c r="P291" s="6" t="str">
        <f>IFERROR(__xludf.DUMMYFUNCTION("GOOGLETRANSLATE(F291,""en"",""ur"")"),"یہ ایک تاریخی یادگار ہے۔")</f>
        <v>یہ ایک تاریخی یادگار ہے۔</v>
      </c>
      <c r="Q291" s="6" t="s">
        <v>886</v>
      </c>
      <c r="R291" s="6" t="str">
        <f>IFERROR(__xludf.DUMMYFUNCTION("GOOGLETRANSLATE(G291,""en"",""ur"")"),"یہ ایک دیہاتی گاؤں ہے۔")</f>
        <v>یہ ایک دیہاتی گاؤں ہے۔</v>
      </c>
      <c r="S291" s="6" t="s">
        <v>877</v>
      </c>
      <c r="T291" s="6"/>
      <c r="U291" s="6"/>
      <c r="V291" s="6"/>
      <c r="W291" s="6"/>
      <c r="X291" s="6"/>
      <c r="Y291" s="6"/>
      <c r="Z291" s="6"/>
      <c r="AA291" s="6"/>
    </row>
    <row r="292">
      <c r="A292" s="7">
        <v>291.0</v>
      </c>
      <c r="B292" s="6" t="s">
        <v>887</v>
      </c>
      <c r="C292" s="6" t="s">
        <v>690</v>
      </c>
      <c r="D292" s="6" t="s">
        <v>632</v>
      </c>
      <c r="E292" s="6" t="s">
        <v>633</v>
      </c>
      <c r="F292" s="6" t="s">
        <v>634</v>
      </c>
      <c r="G292" s="6" t="s">
        <v>632</v>
      </c>
      <c r="H292" s="6" t="s">
        <v>888</v>
      </c>
      <c r="I292" s="6"/>
      <c r="J292" s="6"/>
      <c r="K292" s="7">
        <v>291.0</v>
      </c>
      <c r="L292" s="6" t="str">
        <f>IFERROR(__xludf.DUMMYFUNCTION("GOOGLETRANSLATE(B292,""en"",""ur"")"),"گلی_ڈنڈا_29 میں دکھایا گیا اصل عمل کیا ہے؟")</f>
        <v>گلی_ڈنڈا_29 میں دکھایا گیا اصل عمل کیا ہے؟</v>
      </c>
      <c r="M292" s="6"/>
      <c r="N292" s="8" t="str">
        <f>IFERROR(__xludf.DUMMYFUNCTION("GOOGLETRANSLATE(D292,""en"",""ur"")"),"ایک کھلاڑی چھوٹی چھڑی کو بڑی چھڑی سے مار رہا ہے۔")</f>
        <v>ایک کھلاڑی چھوٹی چھڑی کو بڑی چھڑی سے مار رہا ہے۔</v>
      </c>
      <c r="O292" s="6" t="str">
        <f>IFERROR(__xludf.DUMMYFUNCTION("GOOGLETRANSLATE(E292,""en"",""ur"")"),"ایک کھلاڑی گیند کی خدمت کر رہا ہے۔")</f>
        <v>ایک کھلاڑی گیند کی خدمت کر رہا ہے۔</v>
      </c>
      <c r="P292" s="6" t="str">
        <f>IFERROR(__xludf.DUMMYFUNCTION("GOOGLETRANSLATE(F292,""en"",""ur"")"),"ایک کھلاڑی دفاعی بلاک کا مظاہرہ کر رہا ہے۔")</f>
        <v>ایک کھلاڑی دفاعی بلاک کا مظاہرہ کر رہا ہے۔</v>
      </c>
      <c r="Q292" s="6" t="s">
        <v>671</v>
      </c>
      <c r="R292" s="6" t="str">
        <f>IFERROR(__xludf.DUMMYFUNCTION("GOOGLETRANSLATE(G292,""en"",""ur"")"),"ایک کھلاڑی چھوٹی چھڑی کو بڑی چھڑی سے مار رہا ہے۔")</f>
        <v>ایک کھلاڑی چھوٹی چھڑی کو بڑی چھڑی سے مار رہا ہے۔</v>
      </c>
      <c r="S292" s="6" t="s">
        <v>888</v>
      </c>
      <c r="T292" s="6"/>
      <c r="U292" s="6"/>
      <c r="V292" s="6"/>
      <c r="W292" s="6"/>
      <c r="X292" s="6"/>
      <c r="Y292" s="6"/>
      <c r="Z292" s="6"/>
      <c r="AA292" s="6"/>
    </row>
    <row r="293">
      <c r="A293" s="7">
        <v>292.0</v>
      </c>
      <c r="B293" s="6" t="s">
        <v>636</v>
      </c>
      <c r="C293" s="6" t="s">
        <v>637</v>
      </c>
      <c r="D293" s="6" t="s">
        <v>638</v>
      </c>
      <c r="E293" s="6" t="s">
        <v>639</v>
      </c>
      <c r="F293" s="6" t="s">
        <v>640</v>
      </c>
      <c r="G293" s="6" t="s">
        <v>638</v>
      </c>
      <c r="H293" s="6" t="s">
        <v>888</v>
      </c>
      <c r="I293" s="6"/>
      <c r="J293" s="6"/>
      <c r="K293" s="7">
        <v>292.0</v>
      </c>
      <c r="L293" s="6" t="str">
        <f>IFERROR(__xludf.DUMMYFUNCTION("GOOGLETRANSLATE(B293,""en"",""ur"")"),"کھیل میں استعمال ہونے والے آلات کے دو ٹکڑے کیا ہیں؟")</f>
        <v>کھیل میں استعمال ہونے والے آلات کے دو ٹکڑے کیا ہیں؟</v>
      </c>
      <c r="M293" s="6"/>
      <c r="N293" s="8" t="str">
        <f>IFERROR(__xludf.DUMMYFUNCTION("GOOGLETRANSLATE(D293,""en"",""ur"")"),"ایک لمبی چھڑی (ڈنڈا) اور ایک چھوٹی چھڑی (گلی)")</f>
        <v>ایک لمبی چھڑی (ڈنڈا) اور ایک چھوٹی چھڑی (گلی)</v>
      </c>
      <c r="O293" s="6" t="str">
        <f>IFERROR(__xludf.DUMMYFUNCTION("GOOGLETRANSLATE(E293,""en"",""ur"")"),"ایک ریکیٹ اور ایک شٹل کاک")</f>
        <v>ایک ریکیٹ اور ایک شٹل کاک</v>
      </c>
      <c r="P293" s="6" t="str">
        <f>IFERROR(__xludf.DUMMYFUNCTION("GOOGLETRANSLATE(F293,""en"",""ur"")"),"ایک چمگادڑ اور ایک دستانہ")</f>
        <v>ایک چمگادڑ اور ایک دستانہ</v>
      </c>
      <c r="Q293" s="6" t="s">
        <v>641</v>
      </c>
      <c r="R293" s="6" t="str">
        <f>IFERROR(__xludf.DUMMYFUNCTION("GOOGLETRANSLATE(G293,""en"",""ur"")"),"ایک لمبی چھڑی (ڈنڈا) اور ایک چھوٹی چھڑی (گلی)")</f>
        <v>ایک لمبی چھڑی (ڈنڈا) اور ایک چھوٹی چھڑی (گلی)</v>
      </c>
      <c r="S293" s="6" t="s">
        <v>888</v>
      </c>
      <c r="T293" s="6"/>
      <c r="U293" s="6"/>
      <c r="V293" s="6"/>
      <c r="W293" s="6"/>
      <c r="X293" s="6"/>
      <c r="Y293" s="6"/>
      <c r="Z293" s="6"/>
      <c r="AA293" s="6"/>
    </row>
    <row r="294">
      <c r="A294" s="7">
        <v>293.0</v>
      </c>
      <c r="B294" s="6" t="s">
        <v>678</v>
      </c>
      <c r="C294" s="6" t="s">
        <v>307</v>
      </c>
      <c r="D294" s="6" t="s">
        <v>643</v>
      </c>
      <c r="E294" s="6" t="s">
        <v>311</v>
      </c>
      <c r="F294" s="6" t="s">
        <v>314</v>
      </c>
      <c r="G294" s="6" t="s">
        <v>643</v>
      </c>
      <c r="H294" s="6" t="s">
        <v>888</v>
      </c>
      <c r="I294" s="6"/>
      <c r="J294" s="6"/>
      <c r="K294" s="7">
        <v>293.0</v>
      </c>
      <c r="L294" s="6" t="str">
        <f>IFERROR(__xludf.DUMMYFUNCTION("GOOGLETRANSLATE(B294,""en"",""ur"")"),"کھلاڑی کے بارے میں ایک قابل ذکر تفصیل کیا ہے؟")</f>
        <v>کھلاڑی کے بارے میں ایک قابل ذکر تفصیل کیا ہے؟</v>
      </c>
      <c r="M294" s="6"/>
      <c r="N294" s="8" t="str">
        <f>IFERROR(__xludf.DUMMYFUNCTION("GOOGLETRANSLATE(D294,""en"",""ur"")"),"وہ ایک پست، جھکائے ہوئے موقف میں ہے، ہڑتال کرنے کی تیاری کر رہا ہے۔")</f>
        <v>وہ ایک پست، جھکائے ہوئے موقف میں ہے، ہڑتال کرنے کی تیاری کر رہا ہے۔</v>
      </c>
      <c r="O294" s="6" t="str">
        <f>IFERROR(__xludf.DUMMYFUNCTION("GOOGLETRANSLATE(E294,""en"",""ur"")"),"وہ سیدھا کھڑا ہے۔")</f>
        <v>وہ سیدھا کھڑا ہے۔</v>
      </c>
      <c r="P294" s="6" t="str">
        <f>IFERROR(__xludf.DUMMYFUNCTION("GOOGLETRANSLATE(F294,""en"",""ur"")"),"وہ آرام سے بیٹھا ہے۔")</f>
        <v>وہ آرام سے بیٹھا ہے۔</v>
      </c>
      <c r="Q294" s="6" t="s">
        <v>644</v>
      </c>
      <c r="R294" s="6" t="str">
        <f>IFERROR(__xludf.DUMMYFUNCTION("GOOGLETRANSLATE(G294,""en"",""ur"")"),"وہ ایک پست، جھکائے ہوئے موقف میں ہے، ہڑتال کرنے کی تیاری کر رہا ہے۔")</f>
        <v>وہ ایک پست، جھکائے ہوئے موقف میں ہے، ہڑتال کرنے کی تیاری کر رہا ہے۔</v>
      </c>
      <c r="S294" s="6" t="s">
        <v>888</v>
      </c>
      <c r="T294" s="6"/>
      <c r="U294" s="6"/>
      <c r="V294" s="6"/>
      <c r="W294" s="6"/>
      <c r="X294" s="6"/>
      <c r="Y294" s="6"/>
      <c r="Z294" s="6"/>
      <c r="AA294" s="6"/>
    </row>
    <row r="295">
      <c r="A295" s="7">
        <v>294.0</v>
      </c>
      <c r="B295" s="6" t="s">
        <v>645</v>
      </c>
      <c r="C295" s="6" t="s">
        <v>422</v>
      </c>
      <c r="D295" s="6" t="s">
        <v>646</v>
      </c>
      <c r="E295" s="6" t="s">
        <v>647</v>
      </c>
      <c r="F295" s="6" t="s">
        <v>425</v>
      </c>
      <c r="G295" s="6" t="s">
        <v>647</v>
      </c>
      <c r="H295" s="6" t="s">
        <v>888</v>
      </c>
      <c r="I295" s="6"/>
      <c r="J295" s="6"/>
      <c r="K295" s="7">
        <v>294.0</v>
      </c>
      <c r="L295" s="6" t="str">
        <f>IFERROR(__xludf.DUMMYFUNCTION("GOOGLETRANSLATE(B295,""en"",""ur"")"),"کھیل کی ظاہری ترتیب کیا ہے؟")</f>
        <v>کھیل کی ظاہری ترتیب کیا ہے؟</v>
      </c>
      <c r="M295" s="6"/>
      <c r="N295" s="8" t="str">
        <f>IFERROR(__xludf.DUMMYFUNCTION("GOOGLETRANSLATE(D295,""en"",""ur"")"),"شہر کی ایک گلی")</f>
        <v>شہر کی ایک گلی</v>
      </c>
      <c r="O295" s="6" t="str">
        <f>IFERROR(__xludf.DUMMYFUNCTION("GOOGLETRANSLATE(E295,""en"",""ur"")"),"ایک بیرونی گندگی کا میدان")</f>
        <v>ایک بیرونی گندگی کا میدان</v>
      </c>
      <c r="P295" s="6" t="str">
        <f>IFERROR(__xludf.DUMMYFUNCTION("GOOGLETRANSLATE(F295,""en"",""ur"")"),"گھاس کا میدان")</f>
        <v>گھاس کا میدان</v>
      </c>
      <c r="Q295" s="6" t="s">
        <v>648</v>
      </c>
      <c r="R295" s="6" t="str">
        <f>IFERROR(__xludf.DUMMYFUNCTION("GOOGLETRANSLATE(G295,""en"",""ur"")"),"ایک بیرونی گندگی کا میدان")</f>
        <v>ایک بیرونی گندگی کا میدان</v>
      </c>
      <c r="S295" s="6" t="s">
        <v>888</v>
      </c>
      <c r="T295" s="6"/>
      <c r="U295" s="6"/>
      <c r="V295" s="6"/>
      <c r="W295" s="6"/>
      <c r="X295" s="6"/>
      <c r="Y295" s="6"/>
      <c r="Z295" s="6"/>
      <c r="AA295" s="6"/>
    </row>
    <row r="296">
      <c r="A296" s="7">
        <v>295.0</v>
      </c>
      <c r="B296" s="6" t="s">
        <v>679</v>
      </c>
      <c r="C296" s="6" t="s">
        <v>47</v>
      </c>
      <c r="D296" s="6" t="s">
        <v>48</v>
      </c>
      <c r="E296" s="6" t="s">
        <v>49</v>
      </c>
      <c r="F296" s="6" t="s">
        <v>50</v>
      </c>
      <c r="G296" s="6" t="s">
        <v>47</v>
      </c>
      <c r="H296" s="6" t="s">
        <v>888</v>
      </c>
      <c r="I296" s="6"/>
      <c r="J296" s="6"/>
      <c r="K296" s="7">
        <v>295.0</v>
      </c>
      <c r="L296" s="6" t="str">
        <f>IFERROR(__xludf.DUMMYFUNCTION("GOOGLETRANSLATE(B296,""en"",""ur"")"),"کھلاڑی کے چہرے سے ظاہری جذبات کیا ہیں؟")</f>
        <v>کھلاڑی کے چہرے سے ظاہری جذبات کیا ہیں؟</v>
      </c>
      <c r="M296" s="6"/>
      <c r="N296" s="8" t="str">
        <f>IFERROR(__xludf.DUMMYFUNCTION("GOOGLETRANSLATE(D296,""en"",""ur"")"),"خوف زدہ اور بے چین")</f>
        <v>خوف زدہ اور بے چین</v>
      </c>
      <c r="O296" s="6" t="str">
        <f>IFERROR(__xludf.DUMMYFUNCTION("GOOGLETRANSLATE(E296,""en"",""ur"")"),"کشیدہ اور شدید")</f>
        <v>کشیدہ اور شدید</v>
      </c>
      <c r="P296" s="6" t="str">
        <f>IFERROR(__xludf.DUMMYFUNCTION("GOOGLETRANSLATE(F296,""en"",""ur"")"),"خوش اور مسکراتے ہوئے۔")</f>
        <v>خوش اور مسکراتے ہوئے۔</v>
      </c>
      <c r="Q296" s="6" t="s">
        <v>649</v>
      </c>
      <c r="R296" s="6" t="str">
        <f>IFERROR(__xludf.DUMMYFUNCTION("GOOGLETRANSLATE(G296,""en"",""ur"")"),"پرسکون اور پر سکون")</f>
        <v>پرسکون اور پر سکون</v>
      </c>
      <c r="S296" s="6" t="s">
        <v>888</v>
      </c>
      <c r="T296" s="6"/>
      <c r="U296" s="6"/>
      <c r="V296" s="6"/>
      <c r="W296" s="6"/>
      <c r="X296" s="6"/>
      <c r="Y296" s="6"/>
      <c r="Z296" s="6"/>
      <c r="AA296" s="6"/>
    </row>
    <row r="297">
      <c r="A297" s="7">
        <v>296.0</v>
      </c>
      <c r="B297" s="6" t="s">
        <v>88</v>
      </c>
      <c r="C297" s="6" t="s">
        <v>89</v>
      </c>
      <c r="D297" s="6" t="s">
        <v>90</v>
      </c>
      <c r="E297" s="6" t="s">
        <v>91</v>
      </c>
      <c r="F297" s="6" t="s">
        <v>255</v>
      </c>
      <c r="G297" s="6" t="s">
        <v>255</v>
      </c>
      <c r="H297" s="6" t="s">
        <v>888</v>
      </c>
      <c r="I297" s="6"/>
      <c r="J297" s="6"/>
      <c r="K297" s="7">
        <v>296.0</v>
      </c>
      <c r="L297" s="6" t="str">
        <f>IFERROR(__xludf.DUMMYFUNCTION("GOOGLETRANSLATE(B297,""en"",""ur"")"),"زمین کی سب سے نمایاں خصوصیت کیا ہے؟")</f>
        <v>زمین کی سب سے نمایاں خصوصیت کیا ہے؟</v>
      </c>
      <c r="M297" s="6"/>
      <c r="N297" s="8" t="str">
        <f>IFERROR(__xludf.DUMMYFUNCTION("GOOGLETRANSLATE(D297,""en"",""ur"")"),"کیچڑ والا میدان")</f>
        <v>کیچڑ والا میدان</v>
      </c>
      <c r="O297" s="6" t="str">
        <f>IFERROR(__xludf.DUMMYFUNCTION("GOOGLETRANSLATE(E297,""en"",""ur"")"),"ایک گھاس دار سطح")</f>
        <v>ایک گھاس دار سطح</v>
      </c>
      <c r="P297" s="6" t="str">
        <f>IFERROR(__xludf.DUMMYFUNCTION("GOOGLETRANSLATE(F297,""en"",""ur"")"),"ریتلی یا گندگی کی سطح")</f>
        <v>ریتلی یا گندگی کی سطح</v>
      </c>
      <c r="Q297" s="6" t="s">
        <v>688</v>
      </c>
      <c r="R297" s="6" t="str">
        <f>IFERROR(__xludf.DUMMYFUNCTION("GOOGLETRANSLATE(G297,""en"",""ur"")"),"ریتلی یا گندگی کی سطح")</f>
        <v>ریتلی یا گندگی کی سطح</v>
      </c>
      <c r="S297" s="6" t="s">
        <v>888</v>
      </c>
      <c r="T297" s="6"/>
      <c r="U297" s="6"/>
      <c r="V297" s="6"/>
      <c r="W297" s="6"/>
      <c r="X297" s="6"/>
      <c r="Y297" s="6"/>
      <c r="Z297" s="6"/>
      <c r="AA297" s="6"/>
    </row>
    <row r="298">
      <c r="A298" s="7">
        <v>297.0</v>
      </c>
      <c r="B298" s="6" t="s">
        <v>94</v>
      </c>
      <c r="C298" s="6" t="s">
        <v>95</v>
      </c>
      <c r="D298" s="6" t="s">
        <v>651</v>
      </c>
      <c r="E298" s="6" t="s">
        <v>652</v>
      </c>
      <c r="F298" s="6" t="s">
        <v>653</v>
      </c>
      <c r="G298" s="6" t="s">
        <v>652</v>
      </c>
      <c r="H298" s="6" t="s">
        <v>888</v>
      </c>
      <c r="I298" s="6"/>
      <c r="J298" s="6"/>
      <c r="K298" s="7">
        <v>297.0</v>
      </c>
      <c r="L298" s="6" t="str">
        <f>IFERROR(__xludf.DUMMYFUNCTION("GOOGLETRANSLATE(B298,""en"",""ur"")"),"کھیلے جانے والے کھیل کا نام کیا ہے؟")</f>
        <v>کھیلے جانے والے کھیل کا نام کیا ہے؟</v>
      </c>
      <c r="M298" s="6"/>
      <c r="N298" s="8" t="str">
        <f>IFERROR(__xludf.DUMMYFUNCTION("GOOGLETRANSLATE(D298,""en"",""ur"")"),"کرکٹ")</f>
        <v>کرکٹ</v>
      </c>
      <c r="O298" s="6" t="str">
        <f>IFERROR(__xludf.DUMMYFUNCTION("GOOGLETRANSLATE(E298,""en"",""ur"")"),"گلی ڈنڈا۔")</f>
        <v>گلی ڈنڈا۔</v>
      </c>
      <c r="P298" s="6" t="str">
        <f>IFERROR(__xludf.DUMMYFUNCTION("GOOGLETRANSLATE(F298,""en"",""ur"")"),"بیس بال")</f>
        <v>بیس بال</v>
      </c>
      <c r="Q298" s="6" t="s">
        <v>654</v>
      </c>
      <c r="R298" s="6" t="str">
        <f>IFERROR(__xludf.DUMMYFUNCTION("GOOGLETRANSLATE(G298,""en"",""ur"")"),"گلی ڈنڈا۔")</f>
        <v>گلی ڈنڈا۔</v>
      </c>
      <c r="S298" s="6" t="s">
        <v>888</v>
      </c>
      <c r="T298" s="6"/>
      <c r="U298" s="6"/>
      <c r="V298" s="6"/>
      <c r="W298" s="6"/>
      <c r="X298" s="6"/>
      <c r="Y298" s="6"/>
      <c r="Z298" s="6"/>
      <c r="AA298" s="6"/>
    </row>
    <row r="299">
      <c r="A299" s="7">
        <v>298.0</v>
      </c>
      <c r="B299" s="6" t="s">
        <v>260</v>
      </c>
      <c r="C299" s="6" t="s">
        <v>261</v>
      </c>
      <c r="D299" s="6" t="s">
        <v>262</v>
      </c>
      <c r="E299" s="6" t="s">
        <v>263</v>
      </c>
      <c r="F299" s="6" t="s">
        <v>655</v>
      </c>
      <c r="G299" s="6" t="s">
        <v>655</v>
      </c>
      <c r="H299" s="6" t="s">
        <v>888</v>
      </c>
      <c r="I299" s="6"/>
      <c r="J299" s="6"/>
      <c r="K299" s="7">
        <v>298.0</v>
      </c>
      <c r="L299" s="6" t="str">
        <f>IFERROR(__xludf.DUMMYFUNCTION("GOOGLETRANSLATE(B299,""en"",""ur"")"),"تصویر میں ایکشن ایک ایسا انداز تجویز کرتا ہے جو اس بات پر زور دیتا ہے...")</f>
        <v>تصویر میں ایکشن ایک ایسا انداز تجویز کرتا ہے جو اس بات پر زور دیتا ہے...</v>
      </c>
      <c r="M299" s="6"/>
      <c r="N299" s="8" t="str">
        <f>IFERROR(__xludf.DUMMYFUNCTION("GOOGLETRANSLATE(D299,""en"",""ur"")"),"زمینی لڑائی اور گرفت")</f>
        <v>زمینی لڑائی اور گرفت</v>
      </c>
      <c r="O299" s="6" t="str">
        <f>IFERROR(__xludf.DUMMYFUNCTION("GOOGLETRANSLATE(E299,""en"",""ur"")"),"وحشیانہ قوت اور گھڑ سواری۔")</f>
        <v>وحشیانہ قوت اور گھڑ سواری۔</v>
      </c>
      <c r="P299" s="6" t="str">
        <f>IFERROR(__xludf.DUMMYFUNCTION("GOOGLETRANSLATE(F299,""en"",""ur"")"),"ہاتھ سے آنکھ کو آرڈینیشن اور حیرت انگیز")</f>
        <v>ہاتھ سے آنکھ کو آرڈینیشن اور حیرت انگیز</v>
      </c>
      <c r="Q299" s="6" t="s">
        <v>656</v>
      </c>
      <c r="R299" s="6" t="str">
        <f>IFERROR(__xludf.DUMMYFUNCTION("GOOGLETRANSLATE(G299,""en"",""ur"")"),"ہاتھ سے آنکھ کو آرڈینیشن اور حیرت انگیز")</f>
        <v>ہاتھ سے آنکھ کو آرڈینیشن اور حیرت انگیز</v>
      </c>
      <c r="S299" s="6" t="s">
        <v>888</v>
      </c>
      <c r="T299" s="6"/>
      <c r="U299" s="6"/>
      <c r="V299" s="6"/>
      <c r="W299" s="6"/>
      <c r="X299" s="6"/>
      <c r="Y299" s="6"/>
      <c r="Z299" s="6"/>
      <c r="AA299" s="6"/>
    </row>
    <row r="300">
      <c r="A300" s="7">
        <v>299.0</v>
      </c>
      <c r="B300" s="6" t="s">
        <v>657</v>
      </c>
      <c r="C300" s="6" t="s">
        <v>658</v>
      </c>
      <c r="D300" s="6" t="s">
        <v>659</v>
      </c>
      <c r="E300" s="6" t="s">
        <v>660</v>
      </c>
      <c r="F300" s="6" t="s">
        <v>661</v>
      </c>
      <c r="G300" s="6" t="s">
        <v>658</v>
      </c>
      <c r="H300" s="6" t="s">
        <v>888</v>
      </c>
      <c r="I300" s="6"/>
      <c r="J300" s="6"/>
      <c r="K300" s="7">
        <v>299.0</v>
      </c>
      <c r="L300" s="6" t="str">
        <f>IFERROR(__xludf.DUMMYFUNCTION("GOOGLETRANSLATE(B300,""en"",""ur"")"),"کھلاڑیوں کے جوتے کے بارے میں ایک قابل ذکر تفصیل کیا ہے؟")</f>
        <v>کھلاڑیوں کے جوتے کے بارے میں ایک قابل ذکر تفصیل کیا ہے؟</v>
      </c>
      <c r="M300" s="6"/>
      <c r="N300" s="8" t="str">
        <f>IFERROR(__xludf.DUMMYFUNCTION("GOOGLETRANSLATE(D300,""en"",""ur"")"),"وہ ننگے پاؤں ہیں۔")</f>
        <v>وہ ننگے پاؤں ہیں۔</v>
      </c>
      <c r="O300" s="6" t="str">
        <f>IFERROR(__xludf.DUMMYFUNCTION("GOOGLETRANSLATE(E300,""en"",""ur"")"),"وہ سینڈل یا فلپ فلاپ پہنے ہوئے ہیں۔")</f>
        <v>وہ سینڈل یا فلپ فلاپ پہنے ہوئے ہیں۔</v>
      </c>
      <c r="P300" s="6" t="str">
        <f>IFERROR(__xludf.DUMMYFUNCTION("GOOGLETRANSLATE(F300,""en"",""ur"")"),"وہ موزے پہنے ہوئے ہیں۔")</f>
        <v>وہ موزے پہنے ہوئے ہیں۔</v>
      </c>
      <c r="Q300" s="6" t="s">
        <v>662</v>
      </c>
      <c r="R300" s="6" t="str">
        <f>IFERROR(__xludf.DUMMYFUNCTION("GOOGLETRANSLATE(G300,""en"",""ur"")"),"انہوں نے جوتے پہن رکھے ہیں۔")</f>
        <v>انہوں نے جوتے پہن رکھے ہیں۔</v>
      </c>
      <c r="S300" s="6" t="s">
        <v>888</v>
      </c>
      <c r="T300" s="6"/>
      <c r="U300" s="6"/>
      <c r="V300" s="6"/>
      <c r="W300" s="6"/>
      <c r="X300" s="6"/>
      <c r="Y300" s="6"/>
      <c r="Z300" s="6"/>
      <c r="AA300" s="6"/>
    </row>
    <row r="301">
      <c r="A301" s="7">
        <v>300.0</v>
      </c>
      <c r="B301" s="6" t="s">
        <v>663</v>
      </c>
      <c r="C301" s="6" t="s">
        <v>664</v>
      </c>
      <c r="D301" s="6" t="s">
        <v>665</v>
      </c>
      <c r="E301" s="6" t="s">
        <v>666</v>
      </c>
      <c r="F301" s="6" t="s">
        <v>667</v>
      </c>
      <c r="G301" s="6" t="s">
        <v>725</v>
      </c>
      <c r="H301" s="6" t="s">
        <v>888</v>
      </c>
      <c r="I301" s="6"/>
      <c r="J301" s="6"/>
      <c r="K301" s="7">
        <v>300.0</v>
      </c>
      <c r="L301" s="6" t="str">
        <f>IFERROR(__xludf.DUMMYFUNCTION("GOOGLETRANSLATE(B301,""en"",""ur"")"),"پس منظر میں دیگر کھلاڑیوں کے بارے میں ایک قابل ذکر تفصیل کیا ہے؟")</f>
        <v>پس منظر میں دیگر کھلاڑیوں کے بارے میں ایک قابل ذکر تفصیل کیا ہے؟</v>
      </c>
      <c r="M301" s="6"/>
      <c r="N301" s="8" t="str">
        <f>IFERROR(__xludf.DUMMYFUNCTION("GOOGLETRANSLATE(D301,""en"",""ur"")"),"وہ سب ادھر ادھر بھاگ رہے ہیں۔")</f>
        <v>وہ سب ادھر ادھر بھاگ رہے ہیں۔</v>
      </c>
      <c r="O301" s="6" t="str">
        <f>IFERROR(__xludf.DUMMYFUNCTION("GOOGLETRANSLATE(E301,""en"",""ur"")"),"وہ ایک دفاعی، تیار موقف میں ہیں۔")</f>
        <v>وہ ایک دفاعی، تیار موقف میں ہیں۔</v>
      </c>
      <c r="P301" s="6" t="str">
        <f>IFERROR(__xludf.DUMMYFUNCTION("GOOGLETRANSLATE(F301,""en"",""ur"")"),"وہ سب لہرا رہے ہیں۔")</f>
        <v>وہ سب لہرا رہے ہیں۔</v>
      </c>
      <c r="Q301" s="6" t="s">
        <v>668</v>
      </c>
      <c r="R301" s="6" t="str">
        <f>IFERROR(__xludf.DUMMYFUNCTION("GOOGLETRANSLATE(G301,""en"",""ur"")"),"وہ سب کھڑے کھڑے دیکھ رہے ہیں۔")</f>
        <v>وہ سب کھڑے کھڑے دیکھ رہے ہیں۔</v>
      </c>
      <c r="S301" s="6" t="s">
        <v>888</v>
      </c>
      <c r="T301" s="6"/>
      <c r="U301" s="6"/>
      <c r="V301" s="6"/>
      <c r="W301" s="6"/>
      <c r="X301" s="6"/>
      <c r="Y301" s="6"/>
      <c r="Z301" s="6"/>
      <c r="AA301" s="6"/>
    </row>
    <row r="302">
      <c r="A302" s="7">
        <v>302.0</v>
      </c>
      <c r="B302" s="6" t="s">
        <v>730</v>
      </c>
      <c r="C302" s="6" t="s">
        <v>637</v>
      </c>
      <c r="D302" s="6" t="s">
        <v>638</v>
      </c>
      <c r="E302" s="6" t="s">
        <v>639</v>
      </c>
      <c r="F302" s="6" t="s">
        <v>640</v>
      </c>
      <c r="G302" s="6" t="s">
        <v>638</v>
      </c>
      <c r="H302" s="6" t="s">
        <v>889</v>
      </c>
      <c r="I302" s="6"/>
      <c r="J302" s="6"/>
      <c r="K302" s="7">
        <v>302.0</v>
      </c>
      <c r="L302" s="6" t="str">
        <f>IFERROR(__xludf.DUMMYFUNCTION("GOOGLETRANSLATE(B302,""en"",""ur"")"),"سامان کے دو ٹکڑے کیا دکھائے گئے ہیں؟")</f>
        <v>سامان کے دو ٹکڑے کیا دکھائے گئے ہیں؟</v>
      </c>
      <c r="M302" s="6"/>
      <c r="N302" s="8" t="str">
        <f>IFERROR(__xludf.DUMMYFUNCTION("GOOGLETRANSLATE(D302,""en"",""ur"")"),"ایک لمبی چھڑی (ڈنڈا) اور ایک چھوٹی چھڑی (گلی)")</f>
        <v>ایک لمبی چھڑی (ڈنڈا) اور ایک چھوٹی چھڑی (گلی)</v>
      </c>
      <c r="O302" s="6" t="str">
        <f>IFERROR(__xludf.DUMMYFUNCTION("GOOGLETRANSLATE(E302,""en"",""ur"")"),"ایک ریکیٹ اور ایک شٹل کاک")</f>
        <v>ایک ریکیٹ اور ایک شٹل کاک</v>
      </c>
      <c r="P302" s="6" t="str">
        <f>IFERROR(__xludf.DUMMYFUNCTION("GOOGLETRANSLATE(F302,""en"",""ur"")"),"ایک چمگادڑ اور ایک دستانہ")</f>
        <v>ایک چمگادڑ اور ایک دستانہ</v>
      </c>
      <c r="Q302" s="6" t="s">
        <v>641</v>
      </c>
      <c r="R302" s="6" t="str">
        <f>IFERROR(__xludf.DUMMYFUNCTION("GOOGLETRANSLATE(G302,""en"",""ur"")"),"ایک لمبی چھڑی (ڈنڈا) اور ایک چھوٹی چھڑی (گلی)")</f>
        <v>ایک لمبی چھڑی (ڈنڈا) اور ایک چھوٹی چھڑی (گلی)</v>
      </c>
      <c r="S302" s="6" t="s">
        <v>889</v>
      </c>
      <c r="T302" s="6"/>
      <c r="U302" s="6"/>
      <c r="V302" s="6"/>
      <c r="W302" s="6"/>
      <c r="X302" s="6"/>
      <c r="Y302" s="6"/>
      <c r="Z302" s="6"/>
      <c r="AA302" s="6"/>
    </row>
    <row r="303">
      <c r="A303" s="7">
        <v>303.0</v>
      </c>
      <c r="B303" s="6" t="s">
        <v>731</v>
      </c>
      <c r="C303" s="6" t="s">
        <v>732</v>
      </c>
      <c r="D303" s="6" t="s">
        <v>733</v>
      </c>
      <c r="E303" s="6" t="s">
        <v>734</v>
      </c>
      <c r="F303" s="6" t="s">
        <v>735</v>
      </c>
      <c r="G303" s="6" t="s">
        <v>733</v>
      </c>
      <c r="H303" s="6" t="s">
        <v>889</v>
      </c>
      <c r="I303" s="6"/>
      <c r="J303" s="6"/>
      <c r="K303" s="7">
        <v>303.0</v>
      </c>
      <c r="L303" s="6" t="str">
        <f>IFERROR(__xludf.DUMMYFUNCTION("GOOGLETRANSLATE(B303,""en"",""ur"")"),"مختصر چھڑی (گلی) کے بارے میں ایک قابل ذکر تفصیل کیا ہے؟")</f>
        <v>مختصر چھڑی (گلی) کے بارے میں ایک قابل ذکر تفصیل کیا ہے؟</v>
      </c>
      <c r="M303" s="6"/>
      <c r="N303" s="8" t="str">
        <f>IFERROR(__xludf.DUMMYFUNCTION("GOOGLETRANSLATE(D303,""en"",""ur"")"),"اس کے نوک دار یا مخروطی سرے ہوتے ہیں۔")</f>
        <v>اس کے نوک دار یا مخروطی سرے ہوتے ہیں۔</v>
      </c>
      <c r="O303" s="6" t="str">
        <f>IFERROR(__xludf.DUMMYFUNCTION("GOOGLETRANSLATE(E303,""en"",""ur"")"),"یہ ایک لمبی، پتلی چھڑی ہے۔")</f>
        <v>یہ ایک لمبی، پتلی چھڑی ہے۔</v>
      </c>
      <c r="P303" s="6" t="str">
        <f>IFERROR(__xludf.DUMMYFUNCTION("GOOGLETRANSLATE(F303,""en"",""ur"")"),"یہ ایک فلیٹ ڈسک ہے۔")</f>
        <v>یہ ایک فلیٹ ڈسک ہے۔</v>
      </c>
      <c r="Q303" s="6" t="s">
        <v>736</v>
      </c>
      <c r="R303" s="6" t="str">
        <f>IFERROR(__xludf.DUMMYFUNCTION("GOOGLETRANSLATE(G303,""en"",""ur"")"),"اس کے نوک دار یا مخروطی سرے ہوتے ہیں۔")</f>
        <v>اس کے نوک دار یا مخروطی سرے ہوتے ہیں۔</v>
      </c>
      <c r="S303" s="6" t="s">
        <v>889</v>
      </c>
      <c r="T303" s="6"/>
      <c r="U303" s="6"/>
      <c r="V303" s="6"/>
      <c r="W303" s="6"/>
      <c r="X303" s="6"/>
      <c r="Y303" s="6"/>
      <c r="Z303" s="6"/>
      <c r="AA303" s="6"/>
    </row>
    <row r="304">
      <c r="A304" s="7">
        <v>304.0</v>
      </c>
      <c r="B304" s="6" t="s">
        <v>737</v>
      </c>
      <c r="C304" s="6" t="s">
        <v>738</v>
      </c>
      <c r="D304" s="6" t="s">
        <v>739</v>
      </c>
      <c r="E304" s="6" t="s">
        <v>740</v>
      </c>
      <c r="F304" s="6" t="s">
        <v>741</v>
      </c>
      <c r="G304" s="6" t="s">
        <v>739</v>
      </c>
      <c r="H304" s="6" t="s">
        <v>889</v>
      </c>
      <c r="I304" s="6"/>
      <c r="J304" s="6"/>
      <c r="K304" s="7">
        <v>304.0</v>
      </c>
      <c r="L304" s="6" t="str">
        <f>IFERROR(__xludf.DUMMYFUNCTION("GOOGLETRANSLATE(B304,""en"",""ur"")"),"گلی کے نوکیلے سروں کا ظاہری مقصد کیا ہے؟")</f>
        <v>گلی کے نوکیلے سروں کا ظاہری مقصد کیا ہے؟</v>
      </c>
      <c r="M304" s="6"/>
      <c r="N304" s="8" t="str">
        <f>IFERROR(__xludf.DUMMYFUNCTION("GOOGLETRANSLATE(D304,""en"",""ur"")"),"تاکہ اسے مارنا آسان ہو اور اسے ہوا میں چھلانگ لگانا")</f>
        <v>تاکہ اسے مارنا آسان ہو اور اسے ہوا میں چھلانگ لگانا</v>
      </c>
      <c r="O304" s="6" t="str">
        <f>IFERROR(__xludf.DUMMYFUNCTION("GOOGLETRANSLATE(E304,""en"",""ur"")"),"تاکہ اسے پکڑنا مشکل ہو جائے۔")</f>
        <v>تاکہ اسے پکڑنا مشکل ہو جائے۔</v>
      </c>
      <c r="P304" s="6" t="str">
        <f>IFERROR(__xludf.DUMMYFUNCTION("GOOGLETRANSLATE(F304,""en"",""ur"")"),"اسے بھاری بنانے کے لیے")</f>
        <v>اسے بھاری بنانے کے لیے</v>
      </c>
      <c r="Q304" s="6" t="s">
        <v>742</v>
      </c>
      <c r="R304" s="6" t="str">
        <f>IFERROR(__xludf.DUMMYFUNCTION("GOOGLETRANSLATE(G304,""en"",""ur"")"),"تاکہ اسے مارنا آسان ہو اور اسے ہوا میں چھلانگ لگانا")</f>
        <v>تاکہ اسے مارنا آسان ہو اور اسے ہوا میں چھلانگ لگانا</v>
      </c>
      <c r="S304" s="6" t="s">
        <v>889</v>
      </c>
      <c r="T304" s="6"/>
      <c r="U304" s="6"/>
      <c r="V304" s="6"/>
      <c r="W304" s="6"/>
      <c r="X304" s="6"/>
      <c r="Y304" s="6"/>
      <c r="Z304" s="6"/>
      <c r="AA304" s="6"/>
    </row>
    <row r="305">
      <c r="A305" s="7">
        <v>305.0</v>
      </c>
      <c r="B305" s="6" t="s">
        <v>743</v>
      </c>
      <c r="C305" s="6" t="s">
        <v>744</v>
      </c>
      <c r="D305" s="6" t="s">
        <v>745</v>
      </c>
      <c r="E305" s="6" t="s">
        <v>19</v>
      </c>
      <c r="F305" s="6" t="s">
        <v>746</v>
      </c>
      <c r="G305" s="6" t="s">
        <v>745</v>
      </c>
      <c r="H305" s="6" t="s">
        <v>889</v>
      </c>
      <c r="I305" s="6"/>
      <c r="J305" s="6"/>
      <c r="K305" s="7">
        <v>305.0</v>
      </c>
      <c r="L305" s="6" t="str">
        <f>IFERROR(__xludf.DUMMYFUNCTION("GOOGLETRANSLATE(B305,""en"",""ur"")"),"لاٹھیوں کی سب سے نمایاں خصوصیت کیا ہے؟")</f>
        <v>لاٹھیوں کی سب سے نمایاں خصوصیت کیا ہے؟</v>
      </c>
      <c r="M305" s="6"/>
      <c r="N305" s="8" t="str">
        <f>IFERROR(__xludf.DUMMYFUNCTION("GOOGLETRANSLATE(D305,""en"",""ur"")"),"وہ لکڑی سے بنے ہیں۔")</f>
        <v>وہ لکڑی سے بنے ہیں۔</v>
      </c>
      <c r="O305" s="6" t="str">
        <f>IFERROR(__xludf.DUMMYFUNCTION("GOOGLETRANSLATE(E305,""en"",""ur"")"),"وہ پلاسٹک سے بنے ہیں۔")</f>
        <v>وہ پلاسٹک سے بنے ہیں۔</v>
      </c>
      <c r="P305" s="6" t="str">
        <f>IFERROR(__xludf.DUMMYFUNCTION("GOOGLETRANSLATE(F305,""en"",""ur"")"),"وہ شیشے سے بنے ہیں۔")</f>
        <v>وہ شیشے سے بنے ہیں۔</v>
      </c>
      <c r="Q305" s="6" t="s">
        <v>747</v>
      </c>
      <c r="R305" s="6" t="str">
        <f>IFERROR(__xludf.DUMMYFUNCTION("GOOGLETRANSLATE(G305,""en"",""ur"")"),"وہ لکڑی سے بنے ہیں۔")</f>
        <v>وہ لکڑی سے بنے ہیں۔</v>
      </c>
      <c r="S305" s="6" t="s">
        <v>889</v>
      </c>
      <c r="T305" s="6"/>
      <c r="U305" s="6"/>
      <c r="V305" s="6"/>
      <c r="W305" s="6"/>
      <c r="X305" s="6"/>
      <c r="Y305" s="6"/>
      <c r="Z305" s="6"/>
      <c r="AA305" s="6"/>
    </row>
    <row r="306">
      <c r="A306" s="7">
        <v>306.0</v>
      </c>
      <c r="B306" s="6" t="s">
        <v>94</v>
      </c>
      <c r="C306" s="6" t="s">
        <v>95</v>
      </c>
      <c r="D306" s="6" t="s">
        <v>651</v>
      </c>
      <c r="E306" s="6" t="s">
        <v>652</v>
      </c>
      <c r="F306" s="6" t="s">
        <v>653</v>
      </c>
      <c r="G306" s="6" t="s">
        <v>652</v>
      </c>
      <c r="H306" s="6" t="s">
        <v>889</v>
      </c>
      <c r="I306" s="6"/>
      <c r="J306" s="6"/>
      <c r="K306" s="7">
        <v>306.0</v>
      </c>
      <c r="L306" s="6" t="str">
        <f>IFERROR(__xludf.DUMMYFUNCTION("GOOGLETRANSLATE(B306,""en"",""ur"")"),"کھیلے جانے والے کھیل کا نام کیا ہے؟")</f>
        <v>کھیلے جانے والے کھیل کا نام کیا ہے؟</v>
      </c>
      <c r="M306" s="6"/>
      <c r="N306" s="8" t="str">
        <f>IFERROR(__xludf.DUMMYFUNCTION("GOOGLETRANSLATE(D306,""en"",""ur"")"),"کرکٹ")</f>
        <v>کرکٹ</v>
      </c>
      <c r="O306" s="6" t="str">
        <f>IFERROR(__xludf.DUMMYFUNCTION("GOOGLETRANSLATE(E306,""en"",""ur"")"),"گلی ڈنڈا۔")</f>
        <v>گلی ڈنڈا۔</v>
      </c>
      <c r="P306" s="6" t="str">
        <f>IFERROR(__xludf.DUMMYFUNCTION("GOOGLETRANSLATE(F306,""en"",""ur"")"),"بیس بال")</f>
        <v>بیس بال</v>
      </c>
      <c r="Q306" s="6" t="s">
        <v>654</v>
      </c>
      <c r="R306" s="6" t="str">
        <f>IFERROR(__xludf.DUMMYFUNCTION("GOOGLETRANSLATE(G306,""en"",""ur"")"),"گلی ڈنڈا۔")</f>
        <v>گلی ڈنڈا۔</v>
      </c>
      <c r="S306" s="6" t="s">
        <v>889</v>
      </c>
      <c r="T306" s="6"/>
      <c r="U306" s="6"/>
      <c r="V306" s="6"/>
      <c r="W306" s="6"/>
      <c r="X306" s="6"/>
      <c r="Y306" s="6"/>
      <c r="Z306" s="6"/>
      <c r="AA306" s="6"/>
    </row>
    <row r="307">
      <c r="A307" s="7">
        <v>307.0</v>
      </c>
      <c r="B307" s="6" t="s">
        <v>890</v>
      </c>
      <c r="C307" s="6" t="s">
        <v>891</v>
      </c>
      <c r="D307" s="6" t="s">
        <v>892</v>
      </c>
      <c r="E307" s="6" t="s">
        <v>893</v>
      </c>
      <c r="F307" s="6" t="s">
        <v>894</v>
      </c>
      <c r="G307" s="6" t="s">
        <v>892</v>
      </c>
      <c r="H307" s="6" t="s">
        <v>889</v>
      </c>
      <c r="I307" s="6"/>
      <c r="J307" s="6"/>
      <c r="K307" s="7">
        <v>307.0</v>
      </c>
      <c r="L307" s="6" t="str">
        <f>IFERROR(__xludf.DUMMYFUNCTION("GOOGLETRANSLATE(B307,""en"",""ur"")"),"لاٹھیوں کا رنگ اور ساخت بتاتی ہے کہ وہ...")</f>
        <v>لاٹھیوں کا رنگ اور ساخت بتاتی ہے کہ وہ...</v>
      </c>
      <c r="M307" s="6"/>
      <c r="N307" s="8" t="str">
        <f>IFERROR(__xludf.DUMMYFUNCTION("GOOGLETRANSLATE(D307,""en"",""ur"")"),"پرانا اور استعمال سے پہنا ہوا ہے۔")</f>
        <v>پرانا اور استعمال سے پہنا ہوا ہے۔</v>
      </c>
      <c r="O307" s="6" t="str">
        <f>IFERROR(__xludf.DUMMYFUNCTION("GOOGLETRANSLATE(E307,""en"",""ur"")"),"پینٹ اور پالش")</f>
        <v>پینٹ اور پالش</v>
      </c>
      <c r="P307" s="6" t="str">
        <f>IFERROR(__xludf.DUMMYFUNCTION("GOOGLETRANSLATE(F307,""en"",""ur"")"),"بانس سے بنا")</f>
        <v>بانس سے بنا</v>
      </c>
      <c r="Q307" s="6" t="s">
        <v>895</v>
      </c>
      <c r="R307" s="6" t="str">
        <f>IFERROR(__xludf.DUMMYFUNCTION("GOOGLETRANSLATE(G307,""en"",""ur"")"),"پرانا اور استعمال سے پہنا ہوا ہے۔")</f>
        <v>پرانا اور استعمال سے پہنا ہوا ہے۔</v>
      </c>
      <c r="S307" s="6" t="s">
        <v>889</v>
      </c>
      <c r="T307" s="6"/>
      <c r="U307" s="6"/>
      <c r="V307" s="6"/>
      <c r="W307" s="6"/>
      <c r="X307" s="6"/>
      <c r="Y307" s="6"/>
      <c r="Z307" s="6"/>
      <c r="AA307" s="6"/>
    </row>
    <row r="308">
      <c r="A308" s="7">
        <v>308.0</v>
      </c>
      <c r="B308" s="6" t="s">
        <v>748</v>
      </c>
      <c r="C308" s="6" t="s">
        <v>749</v>
      </c>
      <c r="D308" s="6" t="s">
        <v>750</v>
      </c>
      <c r="E308" s="6" t="s">
        <v>751</v>
      </c>
      <c r="F308" s="6" t="s">
        <v>752</v>
      </c>
      <c r="G308" s="6" t="s">
        <v>750</v>
      </c>
      <c r="H308" s="6" t="s">
        <v>889</v>
      </c>
      <c r="I308" s="6"/>
      <c r="J308" s="6"/>
      <c r="K308" s="7">
        <v>308.0</v>
      </c>
      <c r="L308" s="6" t="str">
        <f>IFERROR(__xludf.DUMMYFUNCTION("GOOGLETRANSLATE(B308,""en"",""ur"")"),"لاٹھیوں کی حالت کے بارے میں ایک قابل ذکر تفصیل کیا ہے؟")</f>
        <v>لاٹھیوں کی حالت کے بارے میں ایک قابل ذکر تفصیل کیا ہے؟</v>
      </c>
      <c r="M308" s="6"/>
      <c r="N308" s="8" t="str">
        <f>IFERROR(__xludf.DUMMYFUNCTION("GOOGLETRANSLATE(D308,""en"",""ur"")"),"وہ پرانے ہیں اور استعمال سے پہنے ہوئے ہیں۔")</f>
        <v>وہ پرانے ہیں اور استعمال سے پہنے ہوئے ہیں۔</v>
      </c>
      <c r="O308" s="6" t="str">
        <f>IFERROR(__xludf.DUMMYFUNCTION("GOOGLETRANSLATE(E308,""en"",""ur"")"),"وہ بہت مختصر ہیں۔")</f>
        <v>وہ بہت مختصر ہیں۔</v>
      </c>
      <c r="P308" s="6" t="str">
        <f>IFERROR(__xludf.DUMMYFUNCTION("GOOGLETRANSLATE(F308,""en"",""ur"")"),"وہ بہت لمبے ہیں۔")</f>
        <v>وہ بہت لمبے ہیں۔</v>
      </c>
      <c r="Q308" s="6" t="s">
        <v>753</v>
      </c>
      <c r="R308" s="6" t="str">
        <f>IFERROR(__xludf.DUMMYFUNCTION("GOOGLETRANSLATE(G308,""en"",""ur"")"),"وہ پرانے ہیں اور استعمال سے پہنے ہوئے ہیں۔")</f>
        <v>وہ پرانے ہیں اور استعمال سے پہنے ہوئے ہیں۔</v>
      </c>
      <c r="S308" s="6" t="s">
        <v>889</v>
      </c>
      <c r="T308" s="6"/>
      <c r="U308" s="6"/>
      <c r="V308" s="6"/>
      <c r="W308" s="6"/>
      <c r="X308" s="6"/>
      <c r="Y308" s="6"/>
      <c r="Z308" s="6"/>
      <c r="AA308" s="6"/>
    </row>
    <row r="309">
      <c r="A309" s="7">
        <v>309.0</v>
      </c>
      <c r="B309" s="6" t="s">
        <v>754</v>
      </c>
      <c r="C309" s="6" t="s">
        <v>755</v>
      </c>
      <c r="D309" s="6" t="s">
        <v>756</v>
      </c>
      <c r="E309" s="6" t="s">
        <v>757</v>
      </c>
      <c r="F309" s="6" t="s">
        <v>758</v>
      </c>
      <c r="G309" s="6" t="s">
        <v>755</v>
      </c>
      <c r="H309" s="6" t="s">
        <v>889</v>
      </c>
      <c r="I309" s="6"/>
      <c r="J309" s="6"/>
      <c r="K309" s="7">
        <v>309.0</v>
      </c>
      <c r="L309" s="6" t="str">
        <f>IFERROR(__xludf.DUMMYFUNCTION("GOOGLETRANSLATE(B309,""en"",""ur"")"),"کھیل کا بنیادی مقصد کیا ہے؟")</f>
        <v>کھیل کا بنیادی مقصد کیا ہے؟</v>
      </c>
      <c r="M309" s="6"/>
      <c r="N309" s="8" t="str">
        <f>IFERROR(__xludf.DUMMYFUNCTION("GOOGLETRANSLATE(D309,""en"",""ur"")"),"گلی کو گول میں مارنا")</f>
        <v>گلی کو گول میں مارنا</v>
      </c>
      <c r="O309" s="6" t="str">
        <f>IFERROR(__xludf.DUMMYFUNCTION("GOOGLETRANSLATE(E309,""en"",""ur"")"),"گیلی کو مخالف پر مارنا")</f>
        <v>گیلی کو مخالف پر مارنا</v>
      </c>
      <c r="P309" s="6" t="str">
        <f>IFERROR(__xludf.DUMMYFUNCTION("GOOGLETRANSLATE(F309,""en"",""ur"")"),"گلی کو جال میں مارنا")</f>
        <v>گلی کو جال میں مارنا</v>
      </c>
      <c r="Q309" s="6" t="s">
        <v>759</v>
      </c>
      <c r="R309" s="6" t="str">
        <f>IFERROR(__xludf.DUMMYFUNCTION("GOOGLETRANSLATE(G309,""en"",""ur"")"),"جہاں تک ممکن ہو گلی کو مار کر پوائنٹس حاصل کرنا")</f>
        <v>جہاں تک ممکن ہو گلی کو مار کر پوائنٹس حاصل کرنا</v>
      </c>
      <c r="S309" s="6" t="s">
        <v>889</v>
      </c>
      <c r="T309" s="6"/>
      <c r="U309" s="6"/>
      <c r="V309" s="6"/>
      <c r="W309" s="6"/>
      <c r="X309" s="6"/>
      <c r="Y309" s="6"/>
      <c r="Z309" s="6"/>
      <c r="AA309" s="6"/>
    </row>
    <row r="310">
      <c r="A310" s="7">
        <v>310.0</v>
      </c>
      <c r="B310" s="6" t="s">
        <v>760</v>
      </c>
      <c r="C310" s="6" t="s">
        <v>761</v>
      </c>
      <c r="D310" s="6" t="s">
        <v>762</v>
      </c>
      <c r="E310" s="6" t="s">
        <v>763</v>
      </c>
      <c r="F310" s="6" t="s">
        <v>734</v>
      </c>
      <c r="G310" s="6" t="s">
        <v>763</v>
      </c>
      <c r="H310" s="6" t="s">
        <v>889</v>
      </c>
      <c r="I310" s="6"/>
      <c r="J310" s="6"/>
      <c r="K310" s="7">
        <v>310.0</v>
      </c>
      <c r="L310" s="6" t="str">
        <f>IFERROR(__xludf.DUMMYFUNCTION("GOOGLETRANSLATE(B310,""en"",""ur"")"),"ڈنڈا کی لمبائی کے بارے میں ایک قابل ذکر تفصیل کیا ہے؟")</f>
        <v>ڈنڈا کی لمبائی کے بارے میں ایک قابل ذکر تفصیل کیا ہے؟</v>
      </c>
      <c r="M310" s="6"/>
      <c r="N310" s="8" t="str">
        <f>IFERROR(__xludf.DUMMYFUNCTION("GOOGLETRANSLATE(D310,""en"",""ur"")"),"یہ بہت مختصر ہے۔")</f>
        <v>یہ بہت مختصر ہے۔</v>
      </c>
      <c r="O310" s="6" t="str">
        <f>IFERROR(__xludf.DUMMYFUNCTION("GOOGLETRANSLATE(E310,""en"",""ur"")"),"یہ درمیانی لمبائی کی چھڑی ہے۔")</f>
        <v>یہ درمیانی لمبائی کی چھڑی ہے۔</v>
      </c>
      <c r="P310" s="6" t="str">
        <f>IFERROR(__xludf.DUMMYFUNCTION("GOOGLETRANSLATE(F310,""en"",""ur"")"),"یہ ایک لمبی، پتلی چھڑی ہے۔")</f>
        <v>یہ ایک لمبی، پتلی چھڑی ہے۔</v>
      </c>
      <c r="Q310" s="6" t="s">
        <v>764</v>
      </c>
      <c r="R310" s="6" t="str">
        <f>IFERROR(__xludf.DUMMYFUNCTION("GOOGLETRANSLATE(G310,""en"",""ur"")"),"یہ درمیانی لمبائی کی چھڑی ہے۔")</f>
        <v>یہ درمیانی لمبائی کی چھڑی ہے۔</v>
      </c>
      <c r="S310" s="6" t="s">
        <v>889</v>
      </c>
      <c r="T310" s="6"/>
      <c r="U310" s="6"/>
      <c r="V310" s="6"/>
      <c r="W310" s="6"/>
      <c r="X310" s="6"/>
      <c r="Y310" s="6"/>
      <c r="Z310" s="6"/>
      <c r="AA310" s="6"/>
    </row>
    <row r="311">
      <c r="A311" s="7">
        <v>311.0</v>
      </c>
      <c r="B311" s="6" t="s">
        <v>896</v>
      </c>
      <c r="C311" s="6" t="s">
        <v>690</v>
      </c>
      <c r="D311" s="6" t="s">
        <v>727</v>
      </c>
      <c r="E311" s="6" t="s">
        <v>633</v>
      </c>
      <c r="F311" s="6" t="s">
        <v>634</v>
      </c>
      <c r="G311" s="6" t="s">
        <v>727</v>
      </c>
      <c r="H311" s="6" t="s">
        <v>897</v>
      </c>
      <c r="I311" s="6"/>
      <c r="J311" s="6"/>
      <c r="K311" s="7">
        <v>311.0</v>
      </c>
      <c r="L311" s="6" t="str">
        <f>IFERROR(__xludf.DUMMYFUNCTION("GOOGLETRANSLATE(B311,""en"",""ur"")"),"gilli_danda_41 میں دکھایا گیا اصل عمل کیا ہے؟")</f>
        <v>gilli_danda_41 میں دکھایا گیا اصل عمل کیا ہے؟</v>
      </c>
      <c r="M311" s="6"/>
      <c r="N311" s="8" t="str">
        <f>IFERROR(__xludf.DUMMYFUNCTION("GOOGLETRANSLATE(D311,""en"",""ur"")"),"کھیل کے دو ٹکڑوں کا قریبی اپ")</f>
        <v>کھیل کے دو ٹکڑوں کا قریبی اپ</v>
      </c>
      <c r="O311" s="6" t="str">
        <f>IFERROR(__xludf.DUMMYFUNCTION("GOOGLETRANSLATE(E311,""en"",""ur"")"),"ایک کھلاڑی گیند کی خدمت کر رہا ہے۔")</f>
        <v>ایک کھلاڑی گیند کی خدمت کر رہا ہے۔</v>
      </c>
      <c r="P311" s="6" t="str">
        <f>IFERROR(__xludf.DUMMYFUNCTION("GOOGLETRANSLATE(F311,""en"",""ur"")"),"ایک کھلاڑی دفاعی بلاک کا مظاہرہ کر رہا ہے۔")</f>
        <v>ایک کھلاڑی دفاعی بلاک کا مظاہرہ کر رہا ہے۔</v>
      </c>
      <c r="Q311" s="6" t="s">
        <v>729</v>
      </c>
      <c r="R311" s="6" t="str">
        <f>IFERROR(__xludf.DUMMYFUNCTION("GOOGLETRANSLATE(G311,""en"",""ur"")"),"کھیل کے دو ٹکڑوں کا قریبی اپ")</f>
        <v>کھیل کے دو ٹکڑوں کا قریبی اپ</v>
      </c>
      <c r="S311" s="6" t="s">
        <v>897</v>
      </c>
      <c r="T311" s="6"/>
      <c r="U311" s="6"/>
      <c r="V311" s="6"/>
      <c r="W311" s="6"/>
      <c r="X311" s="6"/>
      <c r="Y311" s="6"/>
      <c r="Z311" s="6"/>
      <c r="AA311" s="6"/>
    </row>
    <row r="312">
      <c r="A312" s="7">
        <v>312.0</v>
      </c>
      <c r="B312" s="6" t="s">
        <v>730</v>
      </c>
      <c r="C312" s="6" t="s">
        <v>637</v>
      </c>
      <c r="D312" s="6" t="s">
        <v>638</v>
      </c>
      <c r="E312" s="6" t="s">
        <v>639</v>
      </c>
      <c r="F312" s="6" t="s">
        <v>640</v>
      </c>
      <c r="G312" s="6" t="s">
        <v>638</v>
      </c>
      <c r="H312" s="6" t="s">
        <v>897</v>
      </c>
      <c r="I312" s="6"/>
      <c r="J312" s="6"/>
      <c r="K312" s="7">
        <v>312.0</v>
      </c>
      <c r="L312" s="6" t="str">
        <f>IFERROR(__xludf.DUMMYFUNCTION("GOOGLETRANSLATE(B312,""en"",""ur"")"),"سامان کے دو ٹکڑے کیا دکھائے گئے ہیں؟")</f>
        <v>سامان کے دو ٹکڑے کیا دکھائے گئے ہیں؟</v>
      </c>
      <c r="M312" s="6"/>
      <c r="N312" s="8" t="str">
        <f>IFERROR(__xludf.DUMMYFUNCTION("GOOGLETRANSLATE(D312,""en"",""ur"")"),"ایک لمبی چھڑی (ڈنڈا) اور ایک چھوٹی چھڑی (گلی)")</f>
        <v>ایک لمبی چھڑی (ڈنڈا) اور ایک چھوٹی چھڑی (گلی)</v>
      </c>
      <c r="O312" s="6" t="str">
        <f>IFERROR(__xludf.DUMMYFUNCTION("GOOGLETRANSLATE(E312,""en"",""ur"")"),"ایک ریکیٹ اور ایک شٹل کاک")</f>
        <v>ایک ریکیٹ اور ایک شٹل کاک</v>
      </c>
      <c r="P312" s="6" t="str">
        <f>IFERROR(__xludf.DUMMYFUNCTION("GOOGLETRANSLATE(F312,""en"",""ur"")"),"ایک چمگادڑ اور ایک دستانہ")</f>
        <v>ایک چمگادڑ اور ایک دستانہ</v>
      </c>
      <c r="Q312" s="6" t="s">
        <v>641</v>
      </c>
      <c r="R312" s="6" t="str">
        <f>IFERROR(__xludf.DUMMYFUNCTION("GOOGLETRANSLATE(G312,""en"",""ur"")"),"ایک لمبی چھڑی (ڈنڈا) اور ایک چھوٹی چھڑی (گلی)")</f>
        <v>ایک لمبی چھڑی (ڈنڈا) اور ایک چھوٹی چھڑی (گلی)</v>
      </c>
      <c r="S312" s="6" t="s">
        <v>897</v>
      </c>
      <c r="T312" s="6"/>
      <c r="U312" s="6"/>
      <c r="V312" s="6"/>
      <c r="W312" s="6"/>
      <c r="X312" s="6"/>
      <c r="Y312" s="6"/>
      <c r="Z312" s="6"/>
      <c r="AA312" s="6"/>
    </row>
    <row r="313">
      <c r="A313" s="7">
        <v>313.0</v>
      </c>
      <c r="B313" s="6" t="s">
        <v>731</v>
      </c>
      <c r="C313" s="6" t="s">
        <v>732</v>
      </c>
      <c r="D313" s="6" t="s">
        <v>733</v>
      </c>
      <c r="E313" s="6" t="s">
        <v>734</v>
      </c>
      <c r="F313" s="6" t="s">
        <v>735</v>
      </c>
      <c r="G313" s="6" t="s">
        <v>733</v>
      </c>
      <c r="H313" s="6" t="s">
        <v>897</v>
      </c>
      <c r="I313" s="6"/>
      <c r="J313" s="6"/>
      <c r="K313" s="7">
        <v>313.0</v>
      </c>
      <c r="L313" s="6" t="str">
        <f>IFERROR(__xludf.DUMMYFUNCTION("GOOGLETRANSLATE(B313,""en"",""ur"")"),"مختصر چھڑی (گلی) کے بارے میں ایک قابل ذکر تفصیل کیا ہے؟")</f>
        <v>مختصر چھڑی (گلی) کے بارے میں ایک قابل ذکر تفصیل کیا ہے؟</v>
      </c>
      <c r="M313" s="6"/>
      <c r="N313" s="8" t="str">
        <f>IFERROR(__xludf.DUMMYFUNCTION("GOOGLETRANSLATE(D313,""en"",""ur"")"),"اس کے نوک دار یا مخروطی سرے ہوتے ہیں۔")</f>
        <v>اس کے نوک دار یا مخروطی سرے ہوتے ہیں۔</v>
      </c>
      <c r="O313" s="6" t="str">
        <f>IFERROR(__xludf.DUMMYFUNCTION("GOOGLETRANSLATE(E313,""en"",""ur"")"),"یہ ایک لمبی، پتلی چھڑی ہے۔")</f>
        <v>یہ ایک لمبی، پتلی چھڑی ہے۔</v>
      </c>
      <c r="P313" s="6" t="str">
        <f>IFERROR(__xludf.DUMMYFUNCTION("GOOGLETRANSLATE(F313,""en"",""ur"")"),"یہ ایک فلیٹ ڈسک ہے۔")</f>
        <v>یہ ایک فلیٹ ڈسک ہے۔</v>
      </c>
      <c r="Q313" s="6" t="s">
        <v>736</v>
      </c>
      <c r="R313" s="6" t="str">
        <f>IFERROR(__xludf.DUMMYFUNCTION("GOOGLETRANSLATE(G313,""en"",""ur"")"),"اس کے نوک دار یا مخروطی سرے ہوتے ہیں۔")</f>
        <v>اس کے نوک دار یا مخروطی سرے ہوتے ہیں۔</v>
      </c>
      <c r="S313" s="6" t="s">
        <v>897</v>
      </c>
      <c r="T313" s="6"/>
      <c r="U313" s="6"/>
      <c r="V313" s="6"/>
      <c r="W313" s="6"/>
      <c r="X313" s="6"/>
      <c r="Y313" s="6"/>
      <c r="Z313" s="6"/>
      <c r="AA313" s="6"/>
    </row>
    <row r="314">
      <c r="A314" s="7">
        <v>314.0</v>
      </c>
      <c r="B314" s="6" t="s">
        <v>737</v>
      </c>
      <c r="C314" s="6" t="s">
        <v>738</v>
      </c>
      <c r="D314" s="6" t="s">
        <v>739</v>
      </c>
      <c r="E314" s="6" t="s">
        <v>740</v>
      </c>
      <c r="F314" s="6" t="s">
        <v>741</v>
      </c>
      <c r="G314" s="6" t="s">
        <v>739</v>
      </c>
      <c r="H314" s="6" t="s">
        <v>897</v>
      </c>
      <c r="I314" s="6"/>
      <c r="J314" s="6"/>
      <c r="K314" s="7">
        <v>314.0</v>
      </c>
      <c r="L314" s="6" t="str">
        <f>IFERROR(__xludf.DUMMYFUNCTION("GOOGLETRANSLATE(B314,""en"",""ur"")"),"گلی کے نوکیلے سروں کا ظاہری مقصد کیا ہے؟")</f>
        <v>گلی کے نوکیلے سروں کا ظاہری مقصد کیا ہے؟</v>
      </c>
      <c r="M314" s="6"/>
      <c r="N314" s="8" t="str">
        <f>IFERROR(__xludf.DUMMYFUNCTION("GOOGLETRANSLATE(D314,""en"",""ur"")"),"تاکہ اسے مارنا آسان ہو اور اسے ہوا میں چھلانگ لگانا")</f>
        <v>تاکہ اسے مارنا آسان ہو اور اسے ہوا میں چھلانگ لگانا</v>
      </c>
      <c r="O314" s="6" t="str">
        <f>IFERROR(__xludf.DUMMYFUNCTION("GOOGLETRANSLATE(E314,""en"",""ur"")"),"تاکہ اسے پکڑنا مشکل ہو جائے۔")</f>
        <v>تاکہ اسے پکڑنا مشکل ہو جائے۔</v>
      </c>
      <c r="P314" s="6" t="str">
        <f>IFERROR(__xludf.DUMMYFUNCTION("GOOGLETRANSLATE(F314,""en"",""ur"")"),"اسے بھاری بنانے کے لیے")</f>
        <v>اسے بھاری بنانے کے لیے</v>
      </c>
      <c r="Q314" s="6" t="s">
        <v>742</v>
      </c>
      <c r="R314" s="6" t="str">
        <f>IFERROR(__xludf.DUMMYFUNCTION("GOOGLETRANSLATE(G314,""en"",""ur"")"),"تاکہ اسے مارنا آسان ہو اور اسے ہوا میں چھلانگ لگانا")</f>
        <v>تاکہ اسے مارنا آسان ہو اور اسے ہوا میں چھلانگ لگانا</v>
      </c>
      <c r="S314" s="6" t="s">
        <v>897</v>
      </c>
      <c r="T314" s="6"/>
      <c r="U314" s="6"/>
      <c r="V314" s="6"/>
      <c r="W314" s="6"/>
      <c r="X314" s="6"/>
      <c r="Y314" s="6"/>
      <c r="Z314" s="6"/>
      <c r="AA314" s="6"/>
    </row>
    <row r="315">
      <c r="A315" s="7">
        <v>315.0</v>
      </c>
      <c r="B315" s="6" t="s">
        <v>743</v>
      </c>
      <c r="C315" s="6" t="s">
        <v>744</v>
      </c>
      <c r="D315" s="6" t="s">
        <v>745</v>
      </c>
      <c r="E315" s="6" t="s">
        <v>19</v>
      </c>
      <c r="F315" s="6" t="s">
        <v>746</v>
      </c>
      <c r="G315" s="6" t="s">
        <v>745</v>
      </c>
      <c r="H315" s="6" t="s">
        <v>897</v>
      </c>
      <c r="I315" s="6"/>
      <c r="J315" s="6"/>
      <c r="K315" s="7">
        <v>315.0</v>
      </c>
      <c r="L315" s="6" t="str">
        <f>IFERROR(__xludf.DUMMYFUNCTION("GOOGLETRANSLATE(B315,""en"",""ur"")"),"لاٹھیوں کی سب سے نمایاں خصوصیت کیا ہے؟")</f>
        <v>لاٹھیوں کی سب سے نمایاں خصوصیت کیا ہے؟</v>
      </c>
      <c r="M315" s="6"/>
      <c r="N315" s="8" t="str">
        <f>IFERROR(__xludf.DUMMYFUNCTION("GOOGLETRANSLATE(D315,""en"",""ur"")"),"وہ لکڑی سے بنے ہیں۔")</f>
        <v>وہ لکڑی سے بنے ہیں۔</v>
      </c>
      <c r="O315" s="6" t="str">
        <f>IFERROR(__xludf.DUMMYFUNCTION("GOOGLETRANSLATE(E315,""en"",""ur"")"),"وہ پلاسٹک سے بنے ہیں۔")</f>
        <v>وہ پلاسٹک سے بنے ہیں۔</v>
      </c>
      <c r="P315" s="6" t="str">
        <f>IFERROR(__xludf.DUMMYFUNCTION("GOOGLETRANSLATE(F315,""en"",""ur"")"),"وہ شیشے سے بنے ہیں۔")</f>
        <v>وہ شیشے سے بنے ہیں۔</v>
      </c>
      <c r="Q315" s="6" t="s">
        <v>747</v>
      </c>
      <c r="R315" s="6" t="str">
        <f>IFERROR(__xludf.DUMMYFUNCTION("GOOGLETRANSLATE(G315,""en"",""ur"")"),"وہ لکڑی سے بنے ہیں۔")</f>
        <v>وہ لکڑی سے بنے ہیں۔</v>
      </c>
      <c r="S315" s="6" t="s">
        <v>897</v>
      </c>
      <c r="T315" s="6"/>
      <c r="U315" s="6"/>
      <c r="V315" s="6"/>
      <c r="W315" s="6"/>
      <c r="X315" s="6"/>
      <c r="Y315" s="6"/>
      <c r="Z315" s="6"/>
      <c r="AA315" s="6"/>
    </row>
    <row r="316">
      <c r="A316" s="7">
        <v>316.0</v>
      </c>
      <c r="B316" s="6" t="s">
        <v>94</v>
      </c>
      <c r="C316" s="6" t="s">
        <v>95</v>
      </c>
      <c r="D316" s="6" t="s">
        <v>651</v>
      </c>
      <c r="E316" s="6" t="s">
        <v>652</v>
      </c>
      <c r="F316" s="6" t="s">
        <v>653</v>
      </c>
      <c r="G316" s="6" t="s">
        <v>652</v>
      </c>
      <c r="H316" s="6" t="s">
        <v>897</v>
      </c>
      <c r="I316" s="6"/>
      <c r="J316" s="6"/>
      <c r="K316" s="7">
        <v>316.0</v>
      </c>
      <c r="L316" s="6" t="str">
        <f>IFERROR(__xludf.DUMMYFUNCTION("GOOGLETRANSLATE(B316,""en"",""ur"")"),"کھیلے جانے والے کھیل کا نام کیا ہے؟")</f>
        <v>کھیلے جانے والے کھیل کا نام کیا ہے؟</v>
      </c>
      <c r="M316" s="6"/>
      <c r="N316" s="8" t="str">
        <f>IFERROR(__xludf.DUMMYFUNCTION("GOOGLETRANSLATE(D316,""en"",""ur"")"),"کرکٹ")</f>
        <v>کرکٹ</v>
      </c>
      <c r="O316" s="6" t="str">
        <f>IFERROR(__xludf.DUMMYFUNCTION("GOOGLETRANSLATE(E316,""en"",""ur"")"),"گلی ڈنڈا۔")</f>
        <v>گلی ڈنڈا۔</v>
      </c>
      <c r="P316" s="6" t="str">
        <f>IFERROR(__xludf.DUMMYFUNCTION("GOOGLETRANSLATE(F316,""en"",""ur"")"),"بیس بال")</f>
        <v>بیس بال</v>
      </c>
      <c r="Q316" s="6" t="s">
        <v>654</v>
      </c>
      <c r="R316" s="6" t="str">
        <f>IFERROR(__xludf.DUMMYFUNCTION("GOOGLETRANSLATE(G316,""en"",""ur"")"),"گلی ڈنڈا۔")</f>
        <v>گلی ڈنڈا۔</v>
      </c>
      <c r="S316" s="6" t="s">
        <v>897</v>
      </c>
      <c r="T316" s="6"/>
      <c r="U316" s="6"/>
      <c r="V316" s="6"/>
      <c r="W316" s="6"/>
      <c r="X316" s="6"/>
      <c r="Y316" s="6"/>
      <c r="Z316" s="6"/>
      <c r="AA316" s="6"/>
    </row>
    <row r="317">
      <c r="A317" s="7">
        <v>317.0</v>
      </c>
      <c r="B317" s="6" t="s">
        <v>890</v>
      </c>
      <c r="C317" s="6" t="s">
        <v>891</v>
      </c>
      <c r="D317" s="6" t="s">
        <v>892</v>
      </c>
      <c r="E317" s="6" t="s">
        <v>893</v>
      </c>
      <c r="F317" s="6" t="s">
        <v>894</v>
      </c>
      <c r="G317" s="6" t="s">
        <v>892</v>
      </c>
      <c r="H317" s="6" t="s">
        <v>897</v>
      </c>
      <c r="I317" s="6"/>
      <c r="J317" s="6"/>
      <c r="K317" s="7">
        <v>317.0</v>
      </c>
      <c r="L317" s="6" t="str">
        <f>IFERROR(__xludf.DUMMYFUNCTION("GOOGLETRANSLATE(B317,""en"",""ur"")"),"لاٹھیوں کا رنگ اور ساخت بتاتی ہے کہ وہ...")</f>
        <v>لاٹھیوں کا رنگ اور ساخت بتاتی ہے کہ وہ...</v>
      </c>
      <c r="M317" s="6"/>
      <c r="N317" s="8" t="str">
        <f>IFERROR(__xludf.DUMMYFUNCTION("GOOGLETRANSLATE(D317,""en"",""ur"")"),"پرانا اور استعمال سے پہنا ہوا ہے۔")</f>
        <v>پرانا اور استعمال سے پہنا ہوا ہے۔</v>
      </c>
      <c r="O317" s="6" t="str">
        <f>IFERROR(__xludf.DUMMYFUNCTION("GOOGLETRANSLATE(E317,""en"",""ur"")"),"پینٹ اور پالش")</f>
        <v>پینٹ اور پالش</v>
      </c>
      <c r="P317" s="6" t="str">
        <f>IFERROR(__xludf.DUMMYFUNCTION("GOOGLETRANSLATE(F317,""en"",""ur"")"),"بانس سے بنا")</f>
        <v>بانس سے بنا</v>
      </c>
      <c r="Q317" s="6" t="s">
        <v>895</v>
      </c>
      <c r="R317" s="6" t="str">
        <f>IFERROR(__xludf.DUMMYFUNCTION("GOOGLETRANSLATE(G317,""en"",""ur"")"),"پرانا اور استعمال سے پہنا ہوا ہے۔")</f>
        <v>پرانا اور استعمال سے پہنا ہوا ہے۔</v>
      </c>
      <c r="S317" s="6" t="s">
        <v>897</v>
      </c>
      <c r="T317" s="6"/>
      <c r="U317" s="6"/>
      <c r="V317" s="6"/>
      <c r="W317" s="6"/>
      <c r="X317" s="6"/>
      <c r="Y317" s="6"/>
      <c r="Z317" s="6"/>
      <c r="AA317" s="6"/>
    </row>
    <row r="318">
      <c r="A318" s="7">
        <v>318.0</v>
      </c>
      <c r="B318" s="6" t="s">
        <v>748</v>
      </c>
      <c r="C318" s="6" t="s">
        <v>749</v>
      </c>
      <c r="D318" s="6" t="s">
        <v>750</v>
      </c>
      <c r="E318" s="6" t="s">
        <v>751</v>
      </c>
      <c r="F318" s="6" t="s">
        <v>752</v>
      </c>
      <c r="G318" s="6" t="s">
        <v>750</v>
      </c>
      <c r="H318" s="6" t="s">
        <v>897</v>
      </c>
      <c r="I318" s="6"/>
      <c r="J318" s="6"/>
      <c r="K318" s="7">
        <v>318.0</v>
      </c>
      <c r="L318" s="6" t="str">
        <f>IFERROR(__xludf.DUMMYFUNCTION("GOOGLETRANSLATE(B318,""en"",""ur"")"),"لاٹھیوں کی حالت کے بارے میں ایک قابل ذکر تفصیل کیا ہے؟")</f>
        <v>لاٹھیوں کی حالت کے بارے میں ایک قابل ذکر تفصیل کیا ہے؟</v>
      </c>
      <c r="M318" s="6"/>
      <c r="N318" s="8" t="str">
        <f>IFERROR(__xludf.DUMMYFUNCTION("GOOGLETRANSLATE(D318,""en"",""ur"")"),"وہ پرانے ہیں اور استعمال سے پہنے ہوئے ہیں۔")</f>
        <v>وہ پرانے ہیں اور استعمال سے پہنے ہوئے ہیں۔</v>
      </c>
      <c r="O318" s="6" t="str">
        <f>IFERROR(__xludf.DUMMYFUNCTION("GOOGLETRANSLATE(E318,""en"",""ur"")"),"وہ بہت مختصر ہیں۔")</f>
        <v>وہ بہت مختصر ہیں۔</v>
      </c>
      <c r="P318" s="6" t="str">
        <f>IFERROR(__xludf.DUMMYFUNCTION("GOOGLETRANSLATE(F318,""en"",""ur"")"),"وہ بہت لمبے ہیں۔")</f>
        <v>وہ بہت لمبے ہیں۔</v>
      </c>
      <c r="Q318" s="6" t="s">
        <v>753</v>
      </c>
      <c r="R318" s="6" t="str">
        <f>IFERROR(__xludf.DUMMYFUNCTION("GOOGLETRANSLATE(G318,""en"",""ur"")"),"وہ پرانے ہیں اور استعمال سے پہنے ہوئے ہیں۔")</f>
        <v>وہ پرانے ہیں اور استعمال سے پہنے ہوئے ہیں۔</v>
      </c>
      <c r="S318" s="6" t="s">
        <v>897</v>
      </c>
      <c r="T318" s="6"/>
      <c r="U318" s="6"/>
      <c r="V318" s="6"/>
      <c r="W318" s="6"/>
      <c r="X318" s="6"/>
      <c r="Y318" s="6"/>
      <c r="Z318" s="6"/>
      <c r="AA318" s="6"/>
    </row>
    <row r="319">
      <c r="A319" s="7">
        <v>319.0</v>
      </c>
      <c r="B319" s="6" t="s">
        <v>754</v>
      </c>
      <c r="C319" s="6" t="s">
        <v>755</v>
      </c>
      <c r="D319" s="6" t="s">
        <v>756</v>
      </c>
      <c r="E319" s="6" t="s">
        <v>757</v>
      </c>
      <c r="F319" s="6" t="s">
        <v>758</v>
      </c>
      <c r="G319" s="6" t="s">
        <v>755</v>
      </c>
      <c r="H319" s="6" t="s">
        <v>897</v>
      </c>
      <c r="I319" s="6"/>
      <c r="J319" s="6"/>
      <c r="K319" s="7">
        <v>319.0</v>
      </c>
      <c r="L319" s="6" t="str">
        <f>IFERROR(__xludf.DUMMYFUNCTION("GOOGLETRANSLATE(B319,""en"",""ur"")"),"کھیل کا بنیادی مقصد کیا ہے؟")</f>
        <v>کھیل کا بنیادی مقصد کیا ہے؟</v>
      </c>
      <c r="M319" s="6"/>
      <c r="N319" s="8" t="str">
        <f>IFERROR(__xludf.DUMMYFUNCTION("GOOGLETRANSLATE(D319,""en"",""ur"")"),"گلی کو گول میں مارنا")</f>
        <v>گلی کو گول میں مارنا</v>
      </c>
      <c r="O319" s="6" t="str">
        <f>IFERROR(__xludf.DUMMYFUNCTION("GOOGLETRANSLATE(E319,""en"",""ur"")"),"گیلی کو مخالف پر مارنا")</f>
        <v>گیلی کو مخالف پر مارنا</v>
      </c>
      <c r="P319" s="6" t="str">
        <f>IFERROR(__xludf.DUMMYFUNCTION("GOOGLETRANSLATE(F319,""en"",""ur"")"),"گلی کو جال میں مارنا")</f>
        <v>گلی کو جال میں مارنا</v>
      </c>
      <c r="Q319" s="6" t="s">
        <v>759</v>
      </c>
      <c r="R319" s="6" t="str">
        <f>IFERROR(__xludf.DUMMYFUNCTION("GOOGLETRANSLATE(G319,""en"",""ur"")"),"جہاں تک ممکن ہو گلی کو مار کر پوائنٹس حاصل کرنا")</f>
        <v>جہاں تک ممکن ہو گلی کو مار کر پوائنٹس حاصل کرنا</v>
      </c>
      <c r="S319" s="6" t="s">
        <v>897</v>
      </c>
      <c r="T319" s="6"/>
      <c r="U319" s="6"/>
      <c r="V319" s="6"/>
      <c r="W319" s="6"/>
      <c r="X319" s="6"/>
      <c r="Y319" s="6"/>
      <c r="Z319" s="6"/>
      <c r="AA319" s="6"/>
    </row>
    <row r="320">
      <c r="A320" s="7">
        <v>320.0</v>
      </c>
      <c r="B320" s="6" t="s">
        <v>760</v>
      </c>
      <c r="C320" s="6" t="s">
        <v>761</v>
      </c>
      <c r="D320" s="6" t="s">
        <v>762</v>
      </c>
      <c r="E320" s="6" t="s">
        <v>763</v>
      </c>
      <c r="F320" s="6" t="s">
        <v>734</v>
      </c>
      <c r="G320" s="6" t="s">
        <v>763</v>
      </c>
      <c r="H320" s="6" t="s">
        <v>897</v>
      </c>
      <c r="I320" s="6"/>
      <c r="J320" s="6"/>
      <c r="K320" s="7">
        <v>320.0</v>
      </c>
      <c r="L320" s="6" t="str">
        <f>IFERROR(__xludf.DUMMYFUNCTION("GOOGLETRANSLATE(B320,""en"",""ur"")"),"ڈنڈا کی لمبائی کے بارے میں ایک قابل ذکر تفصیل کیا ہے؟")</f>
        <v>ڈنڈا کی لمبائی کے بارے میں ایک قابل ذکر تفصیل کیا ہے؟</v>
      </c>
      <c r="M320" s="6"/>
      <c r="N320" s="8" t="str">
        <f>IFERROR(__xludf.DUMMYFUNCTION("GOOGLETRANSLATE(D320,""en"",""ur"")"),"یہ بہت مختصر ہے۔")</f>
        <v>یہ بہت مختصر ہے۔</v>
      </c>
      <c r="O320" s="6" t="str">
        <f>IFERROR(__xludf.DUMMYFUNCTION("GOOGLETRANSLATE(E320,""en"",""ur"")"),"یہ درمیانی لمبائی کی چھڑی ہے۔")</f>
        <v>یہ درمیانی لمبائی کی چھڑی ہے۔</v>
      </c>
      <c r="P320" s="6" t="str">
        <f>IFERROR(__xludf.DUMMYFUNCTION("GOOGLETRANSLATE(F320,""en"",""ur"")"),"یہ ایک لمبی، پتلی چھڑی ہے۔")</f>
        <v>یہ ایک لمبی، پتلی چھڑی ہے۔</v>
      </c>
      <c r="Q320" s="6" t="s">
        <v>764</v>
      </c>
      <c r="R320" s="6" t="str">
        <f>IFERROR(__xludf.DUMMYFUNCTION("GOOGLETRANSLATE(G320,""en"",""ur"")"),"یہ درمیانی لمبائی کی چھڑی ہے۔")</f>
        <v>یہ درمیانی لمبائی کی چھڑی ہے۔</v>
      </c>
      <c r="S320" s="6" t="s">
        <v>897</v>
      </c>
      <c r="T320" s="6"/>
      <c r="U320" s="6"/>
      <c r="V320" s="6"/>
      <c r="W320" s="6"/>
      <c r="X320" s="6"/>
      <c r="Y320" s="6"/>
      <c r="Z320" s="6"/>
      <c r="AA320" s="6"/>
    </row>
    <row r="321">
      <c r="A321" s="7">
        <v>321.0</v>
      </c>
      <c r="B321" s="6" t="s">
        <v>898</v>
      </c>
      <c r="C321" s="6" t="s">
        <v>899</v>
      </c>
      <c r="D321" s="6" t="s">
        <v>900</v>
      </c>
      <c r="E321" s="6" t="s">
        <v>681</v>
      </c>
      <c r="F321" s="6" t="s">
        <v>684</v>
      </c>
      <c r="G321" s="6" t="s">
        <v>900</v>
      </c>
      <c r="H321" s="6" t="s">
        <v>901</v>
      </c>
      <c r="I321" s="6"/>
      <c r="J321" s="6"/>
      <c r="K321" s="7">
        <v>321.0</v>
      </c>
      <c r="L321" s="6" t="str">
        <f>IFERROR(__xludf.DUMMYFUNCTION("GOOGLETRANSLATE(B321,""en"",""ur"")"),"gilli_danda_36 میں دکھائے جانے والے اہم عمل کیا ہے؟")</f>
        <v>gilli_danda_36 میں دکھائے جانے والے اہم عمل کیا ہے؟</v>
      </c>
      <c r="M321" s="6"/>
      <c r="N321" s="8" t="str">
        <f>IFERROR(__xludf.DUMMYFUNCTION("GOOGLETRANSLATE(D321,""en"",""ur"")"),"گیم کھیلنے والی لڑکی کا کولیج")</f>
        <v>گیم کھیلنے والی لڑکی کا کولیج</v>
      </c>
      <c r="O321" s="6" t="str">
        <f>IFERROR(__xludf.DUMMYFUNCTION("GOOGLETRANSLATE(E321,""en"",""ur"")"),"لڑنے والے بچوں کا ایک گروپ")</f>
        <v>لڑنے والے بچوں کا ایک گروپ</v>
      </c>
      <c r="P321" s="6" t="str">
        <f>IFERROR(__xludf.DUMMYFUNCTION("GOOGLETRANSLATE(F321,""en"",""ur"")"),"بچوں کا ایک گروپ چل رہا ہے۔")</f>
        <v>بچوں کا ایک گروپ چل رہا ہے۔</v>
      </c>
      <c r="Q321" s="6" t="s">
        <v>902</v>
      </c>
      <c r="R321" s="6" t="str">
        <f>IFERROR(__xludf.DUMMYFUNCTION("GOOGLETRANSLATE(G321,""en"",""ur"")"),"گیم کھیلنے والی لڑکی کا کولیج")</f>
        <v>گیم کھیلنے والی لڑکی کا کولیج</v>
      </c>
      <c r="S321" s="6" t="s">
        <v>901</v>
      </c>
      <c r="T321" s="6"/>
      <c r="U321" s="6"/>
      <c r="V321" s="6"/>
      <c r="W321" s="6"/>
      <c r="X321" s="6"/>
      <c r="Y321" s="6"/>
      <c r="Z321" s="6"/>
      <c r="AA321" s="6"/>
    </row>
    <row r="322">
      <c r="A322" s="7">
        <v>322.0</v>
      </c>
      <c r="B322" s="6" t="s">
        <v>636</v>
      </c>
      <c r="C322" s="6" t="s">
        <v>637</v>
      </c>
      <c r="D322" s="6" t="s">
        <v>638</v>
      </c>
      <c r="E322" s="6" t="s">
        <v>639</v>
      </c>
      <c r="F322" s="6" t="s">
        <v>640</v>
      </c>
      <c r="G322" s="6" t="s">
        <v>638</v>
      </c>
      <c r="H322" s="6" t="s">
        <v>901</v>
      </c>
      <c r="I322" s="6"/>
      <c r="J322" s="6"/>
      <c r="K322" s="7">
        <v>322.0</v>
      </c>
      <c r="L322" s="6" t="str">
        <f>IFERROR(__xludf.DUMMYFUNCTION("GOOGLETRANSLATE(B322,""en"",""ur"")"),"کھیل میں استعمال ہونے والے آلات کے دو ٹکڑے کیا ہیں؟")</f>
        <v>کھیل میں استعمال ہونے والے آلات کے دو ٹکڑے کیا ہیں؟</v>
      </c>
      <c r="M322" s="6"/>
      <c r="N322" s="8" t="str">
        <f>IFERROR(__xludf.DUMMYFUNCTION("GOOGLETRANSLATE(D322,""en"",""ur"")"),"ایک لمبی چھڑی (ڈنڈا) اور ایک چھوٹی چھڑی (گلی)")</f>
        <v>ایک لمبی چھڑی (ڈنڈا) اور ایک چھوٹی چھڑی (گلی)</v>
      </c>
      <c r="O322" s="6" t="str">
        <f>IFERROR(__xludf.DUMMYFUNCTION("GOOGLETRANSLATE(E322,""en"",""ur"")"),"ایک ریکیٹ اور ایک شٹل کاک")</f>
        <v>ایک ریکیٹ اور ایک شٹل کاک</v>
      </c>
      <c r="P322" s="6" t="str">
        <f>IFERROR(__xludf.DUMMYFUNCTION("GOOGLETRANSLATE(F322,""en"",""ur"")"),"ایک چمگادڑ اور ایک دستانہ")</f>
        <v>ایک چمگادڑ اور ایک دستانہ</v>
      </c>
      <c r="Q322" s="6" t="s">
        <v>641</v>
      </c>
      <c r="R322" s="6" t="str">
        <f>IFERROR(__xludf.DUMMYFUNCTION("GOOGLETRANSLATE(G322,""en"",""ur"")"),"ایک لمبی چھڑی (ڈنڈا) اور ایک چھوٹی چھڑی (گلی)")</f>
        <v>ایک لمبی چھڑی (ڈنڈا) اور ایک چھوٹی چھڑی (گلی)</v>
      </c>
      <c r="S322" s="6" t="s">
        <v>901</v>
      </c>
      <c r="T322" s="6"/>
      <c r="U322" s="6"/>
      <c r="V322" s="6"/>
      <c r="W322" s="6"/>
      <c r="X322" s="6"/>
      <c r="Y322" s="6"/>
      <c r="Z322" s="6"/>
      <c r="AA322" s="6"/>
    </row>
    <row r="323">
      <c r="A323" s="7">
        <v>323.0</v>
      </c>
      <c r="B323" s="6" t="s">
        <v>678</v>
      </c>
      <c r="C323" s="6" t="s">
        <v>720</v>
      </c>
      <c r="D323" s="6" t="s">
        <v>903</v>
      </c>
      <c r="E323" s="6" t="s">
        <v>722</v>
      </c>
      <c r="F323" s="6" t="s">
        <v>723</v>
      </c>
      <c r="G323" s="6" t="s">
        <v>903</v>
      </c>
      <c r="H323" s="6" t="s">
        <v>901</v>
      </c>
      <c r="I323" s="6"/>
      <c r="J323" s="6"/>
      <c r="K323" s="7">
        <v>323.0</v>
      </c>
      <c r="L323" s="6" t="str">
        <f>IFERROR(__xludf.DUMMYFUNCTION("GOOGLETRANSLATE(B323,""en"",""ur"")"),"کھلاڑی کے بارے میں ایک قابل ذکر تفصیل کیا ہے؟")</f>
        <v>کھلاڑی کے بارے میں ایک قابل ذکر تفصیل کیا ہے؟</v>
      </c>
      <c r="M323" s="6"/>
      <c r="N323" s="8" t="str">
        <f>IFERROR(__xludf.DUMMYFUNCTION("GOOGLETRANSLATE(D323,""en"",""ur"")"),"وہ ایک پست، جھکائے ہوئے موقف میں ہے، حملہ کرنے یا پکڑنے کی تیاری کر رہی ہے۔")</f>
        <v>وہ ایک پست، جھکائے ہوئے موقف میں ہے، حملہ کرنے یا پکڑنے کی تیاری کر رہی ہے۔</v>
      </c>
      <c r="O323" s="6" t="str">
        <f>IFERROR(__xludf.DUMMYFUNCTION("GOOGLETRANSLATE(E323,""en"",""ur"")"),"وہ سیدھا کھڑا ہے۔")</f>
        <v>وہ سیدھا کھڑا ہے۔</v>
      </c>
      <c r="P323" s="6" t="str">
        <f>IFERROR(__xludf.DUMMYFUNCTION("GOOGLETRANSLATE(F323,""en"",""ur"")"),"وہ آرام سے بیٹھی ہے۔")</f>
        <v>وہ آرام سے بیٹھی ہے۔</v>
      </c>
      <c r="Q323" s="6" t="s">
        <v>904</v>
      </c>
      <c r="R323" s="6" t="str">
        <f>IFERROR(__xludf.DUMMYFUNCTION("GOOGLETRANSLATE(G323,""en"",""ur"")"),"وہ ایک پست، جھکائے ہوئے موقف میں ہے، حملہ کرنے یا پکڑنے کی تیاری کر رہی ہے۔")</f>
        <v>وہ ایک پست، جھکائے ہوئے موقف میں ہے، حملہ کرنے یا پکڑنے کی تیاری کر رہی ہے۔</v>
      </c>
      <c r="S323" s="6" t="s">
        <v>901</v>
      </c>
      <c r="T323" s="6"/>
      <c r="U323" s="6"/>
      <c r="V323" s="6"/>
      <c r="W323" s="6"/>
      <c r="X323" s="6"/>
      <c r="Y323" s="6"/>
      <c r="Z323" s="6"/>
      <c r="AA323" s="6"/>
    </row>
    <row r="324">
      <c r="A324" s="7">
        <v>324.0</v>
      </c>
      <c r="B324" s="6" t="s">
        <v>645</v>
      </c>
      <c r="C324" s="6" t="s">
        <v>422</v>
      </c>
      <c r="D324" s="6" t="s">
        <v>646</v>
      </c>
      <c r="E324" s="6" t="s">
        <v>647</v>
      </c>
      <c r="F324" s="6" t="s">
        <v>425</v>
      </c>
      <c r="G324" s="6" t="s">
        <v>425</v>
      </c>
      <c r="H324" s="6" t="s">
        <v>901</v>
      </c>
      <c r="I324" s="6"/>
      <c r="J324" s="6"/>
      <c r="K324" s="7">
        <v>324.0</v>
      </c>
      <c r="L324" s="6" t="str">
        <f>IFERROR(__xludf.DUMMYFUNCTION("GOOGLETRANSLATE(B324,""en"",""ur"")"),"کھیل کی ظاہری ترتیب کیا ہے؟")</f>
        <v>کھیل کی ظاہری ترتیب کیا ہے؟</v>
      </c>
      <c r="M324" s="6"/>
      <c r="N324" s="8" t="str">
        <f>IFERROR(__xludf.DUMMYFUNCTION("GOOGLETRANSLATE(D324,""en"",""ur"")"),"شہر کی ایک گلی")</f>
        <v>شہر کی ایک گلی</v>
      </c>
      <c r="O324" s="6" t="str">
        <f>IFERROR(__xludf.DUMMYFUNCTION("GOOGLETRANSLATE(E324,""en"",""ur"")"),"ایک بیرونی گندگی کا میدان")</f>
        <v>ایک بیرونی گندگی کا میدان</v>
      </c>
      <c r="P324" s="6" t="str">
        <f>IFERROR(__xludf.DUMMYFUNCTION("GOOGLETRANSLATE(F324,""en"",""ur"")"),"گھاس کا میدان")</f>
        <v>گھاس کا میدان</v>
      </c>
      <c r="Q324" s="6" t="s">
        <v>648</v>
      </c>
      <c r="R324" s="6" t="str">
        <f>IFERROR(__xludf.DUMMYFUNCTION("GOOGLETRANSLATE(G324,""en"",""ur"")"),"گھاس کا میدان")</f>
        <v>گھاس کا میدان</v>
      </c>
      <c r="S324" s="6" t="s">
        <v>901</v>
      </c>
      <c r="T324" s="6"/>
      <c r="U324" s="6"/>
      <c r="V324" s="6"/>
      <c r="W324" s="6"/>
      <c r="X324" s="6"/>
      <c r="Y324" s="6"/>
      <c r="Z324" s="6"/>
      <c r="AA324" s="6"/>
    </row>
    <row r="325">
      <c r="A325" s="7">
        <v>325.0</v>
      </c>
      <c r="B325" s="6" t="s">
        <v>679</v>
      </c>
      <c r="C325" s="6" t="s">
        <v>47</v>
      </c>
      <c r="D325" s="6" t="s">
        <v>48</v>
      </c>
      <c r="E325" s="6" t="s">
        <v>49</v>
      </c>
      <c r="F325" s="6" t="s">
        <v>50</v>
      </c>
      <c r="G325" s="6" t="s">
        <v>50</v>
      </c>
      <c r="H325" s="6" t="s">
        <v>901</v>
      </c>
      <c r="I325" s="6"/>
      <c r="J325" s="6"/>
      <c r="K325" s="7">
        <v>325.0</v>
      </c>
      <c r="L325" s="6" t="str">
        <f>IFERROR(__xludf.DUMMYFUNCTION("GOOGLETRANSLATE(B325,""en"",""ur"")"),"کھلاڑی کے چہرے سے ظاہری جذبات کیا ہیں؟")</f>
        <v>کھلاڑی کے چہرے سے ظاہری جذبات کیا ہیں؟</v>
      </c>
      <c r="M325" s="6"/>
      <c r="N325" s="8" t="str">
        <f>IFERROR(__xludf.DUMMYFUNCTION("GOOGLETRANSLATE(D325,""en"",""ur"")"),"خوف زدہ اور بے چین")</f>
        <v>خوف زدہ اور بے چین</v>
      </c>
      <c r="O325" s="6" t="str">
        <f>IFERROR(__xludf.DUMMYFUNCTION("GOOGLETRANSLATE(E325,""en"",""ur"")"),"کشیدہ اور شدید")</f>
        <v>کشیدہ اور شدید</v>
      </c>
      <c r="P325" s="6" t="str">
        <f>IFERROR(__xludf.DUMMYFUNCTION("GOOGLETRANSLATE(F325,""en"",""ur"")"),"خوش اور مسکراتے ہوئے۔")</f>
        <v>خوش اور مسکراتے ہوئے۔</v>
      </c>
      <c r="Q325" s="6" t="s">
        <v>649</v>
      </c>
      <c r="R325" s="6" t="str">
        <f>IFERROR(__xludf.DUMMYFUNCTION("GOOGLETRANSLATE(G325,""en"",""ur"")"),"خوش اور مسکراتے ہوئے۔")</f>
        <v>خوش اور مسکراتے ہوئے۔</v>
      </c>
      <c r="S325" s="6" t="s">
        <v>901</v>
      </c>
      <c r="T325" s="6"/>
      <c r="U325" s="6"/>
      <c r="V325" s="6"/>
      <c r="W325" s="6"/>
      <c r="X325" s="6"/>
      <c r="Y325" s="6"/>
      <c r="Z325" s="6"/>
      <c r="AA325" s="6"/>
    </row>
    <row r="326">
      <c r="A326" s="7">
        <v>326.0</v>
      </c>
      <c r="B326" s="6" t="s">
        <v>88</v>
      </c>
      <c r="C326" s="6" t="s">
        <v>89</v>
      </c>
      <c r="D326" s="6" t="s">
        <v>90</v>
      </c>
      <c r="E326" s="6" t="s">
        <v>91</v>
      </c>
      <c r="F326" s="6" t="s">
        <v>255</v>
      </c>
      <c r="G326" s="6" t="s">
        <v>91</v>
      </c>
      <c r="H326" s="6" t="s">
        <v>901</v>
      </c>
      <c r="I326" s="6"/>
      <c r="J326" s="6"/>
      <c r="K326" s="7">
        <v>326.0</v>
      </c>
      <c r="L326" s="6" t="str">
        <f>IFERROR(__xludf.DUMMYFUNCTION("GOOGLETRANSLATE(B326,""en"",""ur"")"),"زمین کی سب سے نمایاں خصوصیت کیا ہے؟")</f>
        <v>زمین کی سب سے نمایاں خصوصیت کیا ہے؟</v>
      </c>
      <c r="M326" s="6"/>
      <c r="N326" s="8" t="str">
        <f>IFERROR(__xludf.DUMMYFUNCTION("GOOGLETRANSLATE(D326,""en"",""ur"")"),"کیچڑ والا میدان")</f>
        <v>کیچڑ والا میدان</v>
      </c>
      <c r="O326" s="6" t="str">
        <f>IFERROR(__xludf.DUMMYFUNCTION("GOOGLETRANSLATE(E326,""en"",""ur"")"),"ایک گھاس دار سطح")</f>
        <v>ایک گھاس دار سطح</v>
      </c>
      <c r="P326" s="6" t="str">
        <f>IFERROR(__xludf.DUMMYFUNCTION("GOOGLETRANSLATE(F326,""en"",""ur"")"),"ریتلی یا گندگی کی سطح")</f>
        <v>ریتلی یا گندگی کی سطح</v>
      </c>
      <c r="Q326" s="6" t="s">
        <v>688</v>
      </c>
      <c r="R326" s="6" t="str">
        <f>IFERROR(__xludf.DUMMYFUNCTION("GOOGLETRANSLATE(G326,""en"",""ur"")"),"ایک گھاس دار سطح")</f>
        <v>ایک گھاس دار سطح</v>
      </c>
      <c r="S326" s="6" t="s">
        <v>901</v>
      </c>
      <c r="T326" s="6"/>
      <c r="U326" s="6"/>
      <c r="V326" s="6"/>
      <c r="W326" s="6"/>
      <c r="X326" s="6"/>
      <c r="Y326" s="6"/>
      <c r="Z326" s="6"/>
      <c r="AA326" s="6"/>
    </row>
    <row r="327">
      <c r="A327" s="7">
        <v>327.0</v>
      </c>
      <c r="B327" s="6" t="s">
        <v>94</v>
      </c>
      <c r="C327" s="6" t="s">
        <v>95</v>
      </c>
      <c r="D327" s="6" t="s">
        <v>651</v>
      </c>
      <c r="E327" s="6" t="s">
        <v>652</v>
      </c>
      <c r="F327" s="6" t="s">
        <v>653</v>
      </c>
      <c r="G327" s="6" t="s">
        <v>652</v>
      </c>
      <c r="H327" s="6" t="s">
        <v>901</v>
      </c>
      <c r="I327" s="6"/>
      <c r="J327" s="6"/>
      <c r="K327" s="7">
        <v>327.0</v>
      </c>
      <c r="L327" s="6" t="str">
        <f>IFERROR(__xludf.DUMMYFUNCTION("GOOGLETRANSLATE(B327,""en"",""ur"")"),"کھیلے جانے والے کھیل کا نام کیا ہے؟")</f>
        <v>کھیلے جانے والے کھیل کا نام کیا ہے؟</v>
      </c>
      <c r="M327" s="6"/>
      <c r="N327" s="8" t="str">
        <f>IFERROR(__xludf.DUMMYFUNCTION("GOOGLETRANSLATE(D327,""en"",""ur"")"),"کرکٹ")</f>
        <v>کرکٹ</v>
      </c>
      <c r="O327" s="6" t="str">
        <f>IFERROR(__xludf.DUMMYFUNCTION("GOOGLETRANSLATE(E327,""en"",""ur"")"),"گلی ڈنڈا۔")</f>
        <v>گلی ڈنڈا۔</v>
      </c>
      <c r="P327" s="6" t="str">
        <f>IFERROR(__xludf.DUMMYFUNCTION("GOOGLETRANSLATE(F327,""en"",""ur"")"),"بیس بال")</f>
        <v>بیس بال</v>
      </c>
      <c r="Q327" s="6" t="s">
        <v>654</v>
      </c>
      <c r="R327" s="6" t="str">
        <f>IFERROR(__xludf.DUMMYFUNCTION("GOOGLETRANSLATE(G327,""en"",""ur"")"),"گلی ڈنڈا۔")</f>
        <v>گلی ڈنڈا۔</v>
      </c>
      <c r="S327" s="6" t="s">
        <v>901</v>
      </c>
      <c r="T327" s="6"/>
      <c r="U327" s="6"/>
      <c r="V327" s="6"/>
      <c r="W327" s="6"/>
      <c r="X327" s="6"/>
      <c r="Y327" s="6"/>
      <c r="Z327" s="6"/>
      <c r="AA327" s="6"/>
    </row>
    <row r="328">
      <c r="A328" s="7">
        <v>328.0</v>
      </c>
      <c r="B328" s="6" t="s">
        <v>260</v>
      </c>
      <c r="C328" s="6" t="s">
        <v>261</v>
      </c>
      <c r="D328" s="6" t="s">
        <v>262</v>
      </c>
      <c r="E328" s="6" t="s">
        <v>263</v>
      </c>
      <c r="F328" s="6" t="s">
        <v>655</v>
      </c>
      <c r="G328" s="6" t="s">
        <v>655</v>
      </c>
      <c r="H328" s="6" t="s">
        <v>901</v>
      </c>
      <c r="I328" s="6"/>
      <c r="J328" s="6"/>
      <c r="K328" s="7">
        <v>328.0</v>
      </c>
      <c r="L328" s="6" t="str">
        <f>IFERROR(__xludf.DUMMYFUNCTION("GOOGLETRANSLATE(B328,""en"",""ur"")"),"تصویر میں ایکشن ایک ایسا انداز تجویز کرتا ہے جو اس بات پر زور دیتا ہے...")</f>
        <v>تصویر میں ایکشن ایک ایسا انداز تجویز کرتا ہے جو اس بات پر زور دیتا ہے...</v>
      </c>
      <c r="M328" s="6"/>
      <c r="N328" s="8" t="str">
        <f>IFERROR(__xludf.DUMMYFUNCTION("GOOGLETRANSLATE(D328,""en"",""ur"")"),"زمینی لڑائی اور گرفت")</f>
        <v>زمینی لڑائی اور گرفت</v>
      </c>
      <c r="O328" s="6" t="str">
        <f>IFERROR(__xludf.DUMMYFUNCTION("GOOGLETRANSLATE(E328,""en"",""ur"")"),"وحشیانہ قوت اور گھڑ سواری۔")</f>
        <v>وحشیانہ قوت اور گھڑ سواری۔</v>
      </c>
      <c r="P328" s="6" t="str">
        <f>IFERROR(__xludf.DUMMYFUNCTION("GOOGLETRANSLATE(F328,""en"",""ur"")"),"ہاتھ سے آنکھ کو آرڈینیشن اور حیرت انگیز")</f>
        <v>ہاتھ سے آنکھ کو آرڈینیشن اور حیرت انگیز</v>
      </c>
      <c r="Q328" s="6" t="s">
        <v>656</v>
      </c>
      <c r="R328" s="6" t="str">
        <f>IFERROR(__xludf.DUMMYFUNCTION("GOOGLETRANSLATE(G328,""en"",""ur"")"),"ہاتھ سے آنکھ کو آرڈینیشن اور حیرت انگیز")</f>
        <v>ہاتھ سے آنکھ کو آرڈینیشن اور حیرت انگیز</v>
      </c>
      <c r="S328" s="6" t="s">
        <v>901</v>
      </c>
      <c r="T328" s="6"/>
      <c r="U328" s="6"/>
      <c r="V328" s="6"/>
      <c r="W328" s="6"/>
      <c r="X328" s="6"/>
      <c r="Y328" s="6"/>
      <c r="Z328" s="6"/>
      <c r="AA328" s="6"/>
    </row>
    <row r="329">
      <c r="A329" s="7">
        <v>329.0</v>
      </c>
      <c r="B329" s="6" t="s">
        <v>657</v>
      </c>
      <c r="C329" s="6" t="s">
        <v>658</v>
      </c>
      <c r="D329" s="6" t="s">
        <v>659</v>
      </c>
      <c r="E329" s="6" t="s">
        <v>660</v>
      </c>
      <c r="F329" s="6" t="s">
        <v>661</v>
      </c>
      <c r="G329" s="6" t="s">
        <v>659</v>
      </c>
      <c r="H329" s="6" t="s">
        <v>901</v>
      </c>
      <c r="I329" s="6"/>
      <c r="J329" s="6"/>
      <c r="K329" s="7">
        <v>329.0</v>
      </c>
      <c r="L329" s="6" t="str">
        <f>IFERROR(__xludf.DUMMYFUNCTION("GOOGLETRANSLATE(B329,""en"",""ur"")"),"کھلاڑیوں کے جوتے کے بارے میں ایک قابل ذکر تفصیل کیا ہے؟")</f>
        <v>کھلاڑیوں کے جوتے کے بارے میں ایک قابل ذکر تفصیل کیا ہے؟</v>
      </c>
      <c r="M329" s="6"/>
      <c r="N329" s="8" t="str">
        <f>IFERROR(__xludf.DUMMYFUNCTION("GOOGLETRANSLATE(D329,""en"",""ur"")"),"وہ ننگے پاؤں ہیں۔")</f>
        <v>وہ ننگے پاؤں ہیں۔</v>
      </c>
      <c r="O329" s="6" t="str">
        <f>IFERROR(__xludf.DUMMYFUNCTION("GOOGLETRANSLATE(E329,""en"",""ur"")"),"وہ سینڈل یا فلپ فلاپ پہنے ہوئے ہیں۔")</f>
        <v>وہ سینڈل یا فلپ فلاپ پہنے ہوئے ہیں۔</v>
      </c>
      <c r="P329" s="6" t="str">
        <f>IFERROR(__xludf.DUMMYFUNCTION("GOOGLETRANSLATE(F329,""en"",""ur"")"),"وہ موزے پہنے ہوئے ہیں۔")</f>
        <v>وہ موزے پہنے ہوئے ہیں۔</v>
      </c>
      <c r="Q329" s="6" t="s">
        <v>662</v>
      </c>
      <c r="R329" s="6" t="str">
        <f>IFERROR(__xludf.DUMMYFUNCTION("GOOGLETRANSLATE(G329,""en"",""ur"")"),"وہ ننگے پاؤں ہیں۔")</f>
        <v>وہ ننگے پاؤں ہیں۔</v>
      </c>
      <c r="S329" s="6" t="s">
        <v>901</v>
      </c>
      <c r="T329" s="6"/>
      <c r="U329" s="6"/>
      <c r="V329" s="6"/>
      <c r="W329" s="6"/>
      <c r="X329" s="6"/>
      <c r="Y329" s="6"/>
      <c r="Z329" s="6"/>
      <c r="AA329" s="6"/>
    </row>
    <row r="330">
      <c r="A330" s="7">
        <v>330.0</v>
      </c>
      <c r="B330" s="6" t="s">
        <v>663</v>
      </c>
      <c r="C330" s="6" t="s">
        <v>664</v>
      </c>
      <c r="D330" s="6" t="s">
        <v>665</v>
      </c>
      <c r="E330" s="6" t="s">
        <v>666</v>
      </c>
      <c r="F330" s="6" t="s">
        <v>667</v>
      </c>
      <c r="G330" s="6" t="s">
        <v>725</v>
      </c>
      <c r="H330" s="6" t="s">
        <v>901</v>
      </c>
      <c r="I330" s="6"/>
      <c r="J330" s="6"/>
      <c r="K330" s="7">
        <v>330.0</v>
      </c>
      <c r="L330" s="6" t="str">
        <f>IFERROR(__xludf.DUMMYFUNCTION("GOOGLETRANSLATE(B330,""en"",""ur"")"),"پس منظر میں دیگر کھلاڑیوں کے بارے میں ایک قابل ذکر تفصیل کیا ہے؟")</f>
        <v>پس منظر میں دیگر کھلاڑیوں کے بارے میں ایک قابل ذکر تفصیل کیا ہے؟</v>
      </c>
      <c r="M330" s="6"/>
      <c r="N330" s="8" t="str">
        <f>IFERROR(__xludf.DUMMYFUNCTION("GOOGLETRANSLATE(D330,""en"",""ur"")"),"وہ سب ادھر ادھر بھاگ رہے ہیں۔")</f>
        <v>وہ سب ادھر ادھر بھاگ رہے ہیں۔</v>
      </c>
      <c r="O330" s="6" t="str">
        <f>IFERROR(__xludf.DUMMYFUNCTION("GOOGLETRANSLATE(E330,""en"",""ur"")"),"وہ ایک دفاعی، تیار موقف میں ہیں۔")</f>
        <v>وہ ایک دفاعی، تیار موقف میں ہیں۔</v>
      </c>
      <c r="P330" s="6" t="str">
        <f>IFERROR(__xludf.DUMMYFUNCTION("GOOGLETRANSLATE(F330,""en"",""ur"")"),"وہ سب لہرا رہے ہیں۔")</f>
        <v>وہ سب لہرا رہے ہیں۔</v>
      </c>
      <c r="Q330" s="6" t="s">
        <v>668</v>
      </c>
      <c r="R330" s="6" t="str">
        <f>IFERROR(__xludf.DUMMYFUNCTION("GOOGLETRANSLATE(G330,""en"",""ur"")"),"وہ سب کھڑے کھڑے دیکھ رہے ہیں۔")</f>
        <v>وہ سب کھڑے کھڑے دیکھ رہے ہیں۔</v>
      </c>
      <c r="S330" s="6" t="s">
        <v>901</v>
      </c>
      <c r="T330" s="6"/>
      <c r="U330" s="6"/>
      <c r="V330" s="6"/>
      <c r="W330" s="6"/>
      <c r="X330" s="6"/>
      <c r="Y330" s="6"/>
      <c r="Z330" s="6"/>
      <c r="AA330" s="6"/>
    </row>
    <row r="331">
      <c r="A331" s="7">
        <v>331.0</v>
      </c>
      <c r="B331" s="6" t="s">
        <v>905</v>
      </c>
      <c r="C331" s="6" t="s">
        <v>690</v>
      </c>
      <c r="D331" s="6" t="s">
        <v>727</v>
      </c>
      <c r="E331" s="6" t="s">
        <v>633</v>
      </c>
      <c r="F331" s="6" t="s">
        <v>634</v>
      </c>
      <c r="G331" s="6" t="s">
        <v>727</v>
      </c>
      <c r="H331" s="6" t="s">
        <v>906</v>
      </c>
      <c r="I331" s="6"/>
      <c r="J331" s="6"/>
      <c r="K331" s="7">
        <v>331.0</v>
      </c>
      <c r="L331" s="6" t="str">
        <f>IFERROR(__xludf.DUMMYFUNCTION("GOOGLETRANSLATE(B331,""en"",""ur"")"),"گلی_ڈنڈا_37 میں دکھایا گیا اصل عمل کیا ہے؟")</f>
        <v>گلی_ڈنڈا_37 میں دکھایا گیا اصل عمل کیا ہے؟</v>
      </c>
      <c r="M331" s="6"/>
      <c r="N331" s="8" t="str">
        <f>IFERROR(__xludf.DUMMYFUNCTION("GOOGLETRANSLATE(D331,""en"",""ur"")"),"کھیل کے دو ٹکڑوں کا قریبی اپ")</f>
        <v>کھیل کے دو ٹکڑوں کا قریبی اپ</v>
      </c>
      <c r="O331" s="6" t="str">
        <f>IFERROR(__xludf.DUMMYFUNCTION("GOOGLETRANSLATE(E331,""en"",""ur"")"),"ایک کھلاڑی گیند کی خدمت کر رہا ہے۔")</f>
        <v>ایک کھلاڑی گیند کی خدمت کر رہا ہے۔</v>
      </c>
      <c r="P331" s="6" t="str">
        <f>IFERROR(__xludf.DUMMYFUNCTION("GOOGLETRANSLATE(F331,""en"",""ur"")"),"ایک کھلاڑی دفاعی بلاک کا مظاہرہ کر رہا ہے۔")</f>
        <v>ایک کھلاڑی دفاعی بلاک کا مظاہرہ کر رہا ہے۔</v>
      </c>
      <c r="Q331" s="6" t="s">
        <v>729</v>
      </c>
      <c r="R331" s="6" t="str">
        <f>IFERROR(__xludf.DUMMYFUNCTION("GOOGLETRANSLATE(G331,""en"",""ur"")"),"کھیل کے دو ٹکڑوں کا قریبی اپ")</f>
        <v>کھیل کے دو ٹکڑوں کا قریبی اپ</v>
      </c>
      <c r="S331" s="6" t="s">
        <v>906</v>
      </c>
      <c r="T331" s="6"/>
      <c r="U331" s="6"/>
      <c r="V331" s="6"/>
      <c r="W331" s="6"/>
      <c r="X331" s="6"/>
      <c r="Y331" s="6"/>
      <c r="Z331" s="6"/>
      <c r="AA331" s="6"/>
    </row>
    <row r="332">
      <c r="A332" s="7">
        <v>332.0</v>
      </c>
      <c r="B332" s="6" t="s">
        <v>730</v>
      </c>
      <c r="C332" s="6" t="s">
        <v>637</v>
      </c>
      <c r="D332" s="6" t="s">
        <v>638</v>
      </c>
      <c r="E332" s="6" t="s">
        <v>639</v>
      </c>
      <c r="F332" s="6" t="s">
        <v>640</v>
      </c>
      <c r="G332" s="6" t="s">
        <v>638</v>
      </c>
      <c r="H332" s="6" t="s">
        <v>906</v>
      </c>
      <c r="I332" s="6"/>
      <c r="J332" s="6"/>
      <c r="K332" s="7">
        <v>332.0</v>
      </c>
      <c r="L332" s="6" t="str">
        <f>IFERROR(__xludf.DUMMYFUNCTION("GOOGLETRANSLATE(B332,""en"",""ur"")"),"سامان کے دو ٹکڑے کیا دکھائے گئے ہیں؟")</f>
        <v>سامان کے دو ٹکڑے کیا دکھائے گئے ہیں؟</v>
      </c>
      <c r="M332" s="6"/>
      <c r="N332" s="8" t="str">
        <f>IFERROR(__xludf.DUMMYFUNCTION("GOOGLETRANSLATE(D332,""en"",""ur"")"),"ایک لمبی چھڑی (ڈنڈا) اور ایک چھوٹی چھڑی (گلی)")</f>
        <v>ایک لمبی چھڑی (ڈنڈا) اور ایک چھوٹی چھڑی (گلی)</v>
      </c>
      <c r="O332" s="6" t="str">
        <f>IFERROR(__xludf.DUMMYFUNCTION("GOOGLETRANSLATE(E332,""en"",""ur"")"),"ایک ریکیٹ اور ایک شٹل کاک")</f>
        <v>ایک ریکیٹ اور ایک شٹل کاک</v>
      </c>
      <c r="P332" s="6" t="str">
        <f>IFERROR(__xludf.DUMMYFUNCTION("GOOGLETRANSLATE(F332,""en"",""ur"")"),"ایک چمگادڑ اور ایک دستانہ")</f>
        <v>ایک چمگادڑ اور ایک دستانہ</v>
      </c>
      <c r="Q332" s="6" t="s">
        <v>641</v>
      </c>
      <c r="R332" s="6" t="str">
        <f>IFERROR(__xludf.DUMMYFUNCTION("GOOGLETRANSLATE(G332,""en"",""ur"")"),"ایک لمبی چھڑی (ڈنڈا) اور ایک چھوٹی چھڑی (گلی)")</f>
        <v>ایک لمبی چھڑی (ڈنڈا) اور ایک چھوٹی چھڑی (گلی)</v>
      </c>
      <c r="S332" s="6" t="s">
        <v>906</v>
      </c>
      <c r="T332" s="6"/>
      <c r="U332" s="6"/>
      <c r="V332" s="6"/>
      <c r="W332" s="6"/>
      <c r="X332" s="6"/>
      <c r="Y332" s="6"/>
      <c r="Z332" s="6"/>
      <c r="AA332" s="6"/>
    </row>
    <row r="333">
      <c r="A333" s="7">
        <v>333.0</v>
      </c>
      <c r="B333" s="6" t="s">
        <v>731</v>
      </c>
      <c r="C333" s="6" t="s">
        <v>732</v>
      </c>
      <c r="D333" s="6" t="s">
        <v>733</v>
      </c>
      <c r="E333" s="6" t="s">
        <v>734</v>
      </c>
      <c r="F333" s="6" t="s">
        <v>735</v>
      </c>
      <c r="G333" s="6" t="s">
        <v>733</v>
      </c>
      <c r="H333" s="6" t="s">
        <v>906</v>
      </c>
      <c r="I333" s="6"/>
      <c r="J333" s="6"/>
      <c r="K333" s="7">
        <v>333.0</v>
      </c>
      <c r="L333" s="6" t="str">
        <f>IFERROR(__xludf.DUMMYFUNCTION("GOOGLETRANSLATE(B333,""en"",""ur"")"),"مختصر چھڑی (گلی) کے بارے میں ایک قابل ذکر تفصیل کیا ہے؟")</f>
        <v>مختصر چھڑی (گلی) کے بارے میں ایک قابل ذکر تفصیل کیا ہے؟</v>
      </c>
      <c r="M333" s="6"/>
      <c r="N333" s="8" t="str">
        <f>IFERROR(__xludf.DUMMYFUNCTION("GOOGLETRANSLATE(D333,""en"",""ur"")"),"اس کے نوک دار یا مخروطی سرے ہوتے ہیں۔")</f>
        <v>اس کے نوک دار یا مخروطی سرے ہوتے ہیں۔</v>
      </c>
      <c r="O333" s="6" t="str">
        <f>IFERROR(__xludf.DUMMYFUNCTION("GOOGLETRANSLATE(E333,""en"",""ur"")"),"یہ ایک لمبی، پتلی چھڑی ہے۔")</f>
        <v>یہ ایک لمبی، پتلی چھڑی ہے۔</v>
      </c>
      <c r="P333" s="6" t="str">
        <f>IFERROR(__xludf.DUMMYFUNCTION("GOOGLETRANSLATE(F333,""en"",""ur"")"),"یہ ایک فلیٹ ڈسک ہے۔")</f>
        <v>یہ ایک فلیٹ ڈسک ہے۔</v>
      </c>
      <c r="Q333" s="6" t="s">
        <v>736</v>
      </c>
      <c r="R333" s="6" t="str">
        <f>IFERROR(__xludf.DUMMYFUNCTION("GOOGLETRANSLATE(G333,""en"",""ur"")"),"اس کے نوک دار یا مخروطی سرے ہوتے ہیں۔")</f>
        <v>اس کے نوک دار یا مخروطی سرے ہوتے ہیں۔</v>
      </c>
      <c r="S333" s="6" t="s">
        <v>906</v>
      </c>
      <c r="T333" s="6"/>
      <c r="U333" s="6"/>
      <c r="V333" s="6"/>
      <c r="W333" s="6"/>
      <c r="X333" s="6"/>
      <c r="Y333" s="6"/>
      <c r="Z333" s="6"/>
      <c r="AA333" s="6"/>
    </row>
    <row r="334">
      <c r="A334" s="7">
        <v>334.0</v>
      </c>
      <c r="B334" s="6" t="s">
        <v>737</v>
      </c>
      <c r="C334" s="6" t="s">
        <v>738</v>
      </c>
      <c r="D334" s="6" t="s">
        <v>739</v>
      </c>
      <c r="E334" s="6" t="s">
        <v>740</v>
      </c>
      <c r="F334" s="6" t="s">
        <v>741</v>
      </c>
      <c r="G334" s="6" t="s">
        <v>739</v>
      </c>
      <c r="H334" s="6" t="s">
        <v>906</v>
      </c>
      <c r="I334" s="6"/>
      <c r="J334" s="6"/>
      <c r="K334" s="7">
        <v>334.0</v>
      </c>
      <c r="L334" s="6" t="str">
        <f>IFERROR(__xludf.DUMMYFUNCTION("GOOGLETRANSLATE(B334,""en"",""ur"")"),"گلی کے نوکیلے سروں کا ظاہری مقصد کیا ہے؟")</f>
        <v>گلی کے نوکیلے سروں کا ظاہری مقصد کیا ہے؟</v>
      </c>
      <c r="M334" s="6"/>
      <c r="N334" s="8" t="str">
        <f>IFERROR(__xludf.DUMMYFUNCTION("GOOGLETRANSLATE(D334,""en"",""ur"")"),"تاکہ اسے مارنا آسان ہو اور اسے ہوا میں چھلانگ لگانا")</f>
        <v>تاکہ اسے مارنا آسان ہو اور اسے ہوا میں چھلانگ لگانا</v>
      </c>
      <c r="O334" s="6" t="str">
        <f>IFERROR(__xludf.DUMMYFUNCTION("GOOGLETRANSLATE(E334,""en"",""ur"")"),"تاکہ اسے پکڑنا مشکل ہو جائے۔")</f>
        <v>تاکہ اسے پکڑنا مشکل ہو جائے۔</v>
      </c>
      <c r="P334" s="6" t="str">
        <f>IFERROR(__xludf.DUMMYFUNCTION("GOOGLETRANSLATE(F334,""en"",""ur"")"),"اسے بھاری بنانے کے لیے")</f>
        <v>اسے بھاری بنانے کے لیے</v>
      </c>
      <c r="Q334" s="6" t="s">
        <v>742</v>
      </c>
      <c r="R334" s="6" t="str">
        <f>IFERROR(__xludf.DUMMYFUNCTION("GOOGLETRANSLATE(G334,""en"",""ur"")"),"تاکہ اسے مارنا آسان ہو اور اسے ہوا میں چھلانگ لگانا")</f>
        <v>تاکہ اسے مارنا آسان ہو اور اسے ہوا میں چھلانگ لگانا</v>
      </c>
      <c r="S334" s="6" t="s">
        <v>906</v>
      </c>
      <c r="T334" s="6"/>
      <c r="U334" s="6"/>
      <c r="V334" s="6"/>
      <c r="W334" s="6"/>
      <c r="X334" s="6"/>
      <c r="Y334" s="6"/>
      <c r="Z334" s="6"/>
      <c r="AA334" s="6"/>
    </row>
    <row r="335">
      <c r="A335" s="7">
        <v>335.0</v>
      </c>
      <c r="B335" s="6" t="s">
        <v>743</v>
      </c>
      <c r="C335" s="6" t="s">
        <v>744</v>
      </c>
      <c r="D335" s="6" t="s">
        <v>745</v>
      </c>
      <c r="E335" s="6" t="s">
        <v>19</v>
      </c>
      <c r="F335" s="6" t="s">
        <v>746</v>
      </c>
      <c r="G335" s="6" t="s">
        <v>745</v>
      </c>
      <c r="H335" s="6" t="s">
        <v>906</v>
      </c>
      <c r="I335" s="6"/>
      <c r="J335" s="6"/>
      <c r="K335" s="7">
        <v>335.0</v>
      </c>
      <c r="L335" s="6" t="str">
        <f>IFERROR(__xludf.DUMMYFUNCTION("GOOGLETRANSLATE(B335,""en"",""ur"")"),"لاٹھیوں کی سب سے نمایاں خصوصیت کیا ہے؟")</f>
        <v>لاٹھیوں کی سب سے نمایاں خصوصیت کیا ہے؟</v>
      </c>
      <c r="M335" s="6"/>
      <c r="N335" s="8" t="str">
        <f>IFERROR(__xludf.DUMMYFUNCTION("GOOGLETRANSLATE(D335,""en"",""ur"")"),"وہ لکڑی سے بنے ہیں۔")</f>
        <v>وہ لکڑی سے بنے ہیں۔</v>
      </c>
      <c r="O335" s="6" t="str">
        <f>IFERROR(__xludf.DUMMYFUNCTION("GOOGLETRANSLATE(E335,""en"",""ur"")"),"وہ پلاسٹک سے بنے ہیں۔")</f>
        <v>وہ پلاسٹک سے بنے ہیں۔</v>
      </c>
      <c r="P335" s="6" t="str">
        <f>IFERROR(__xludf.DUMMYFUNCTION("GOOGLETRANSLATE(F335,""en"",""ur"")"),"وہ شیشے سے بنے ہیں۔")</f>
        <v>وہ شیشے سے بنے ہیں۔</v>
      </c>
      <c r="Q335" s="6" t="s">
        <v>747</v>
      </c>
      <c r="R335" s="6" t="str">
        <f>IFERROR(__xludf.DUMMYFUNCTION("GOOGLETRANSLATE(G335,""en"",""ur"")"),"وہ لکڑی سے بنے ہیں۔")</f>
        <v>وہ لکڑی سے بنے ہیں۔</v>
      </c>
      <c r="S335" s="6" t="s">
        <v>906</v>
      </c>
      <c r="T335" s="6"/>
      <c r="U335" s="6"/>
      <c r="V335" s="6"/>
      <c r="W335" s="6"/>
      <c r="X335" s="6"/>
      <c r="Y335" s="6"/>
      <c r="Z335" s="6"/>
      <c r="AA335" s="6"/>
    </row>
    <row r="336">
      <c r="A336" s="7">
        <v>336.0</v>
      </c>
      <c r="B336" s="6" t="s">
        <v>94</v>
      </c>
      <c r="C336" s="6" t="s">
        <v>95</v>
      </c>
      <c r="D336" s="6" t="s">
        <v>651</v>
      </c>
      <c r="E336" s="6" t="s">
        <v>652</v>
      </c>
      <c r="F336" s="6" t="s">
        <v>653</v>
      </c>
      <c r="G336" s="6" t="s">
        <v>652</v>
      </c>
      <c r="H336" s="6" t="s">
        <v>906</v>
      </c>
      <c r="I336" s="6"/>
      <c r="J336" s="6"/>
      <c r="K336" s="7">
        <v>336.0</v>
      </c>
      <c r="L336" s="6" t="str">
        <f>IFERROR(__xludf.DUMMYFUNCTION("GOOGLETRANSLATE(B336,""en"",""ur"")"),"کھیلے جانے والے کھیل کا نام کیا ہے؟")</f>
        <v>کھیلے جانے والے کھیل کا نام کیا ہے؟</v>
      </c>
      <c r="M336" s="6"/>
      <c r="N336" s="8" t="str">
        <f>IFERROR(__xludf.DUMMYFUNCTION("GOOGLETRANSLATE(D336,""en"",""ur"")"),"کرکٹ")</f>
        <v>کرکٹ</v>
      </c>
      <c r="O336" s="6" t="str">
        <f>IFERROR(__xludf.DUMMYFUNCTION("GOOGLETRANSLATE(E336,""en"",""ur"")"),"گلی ڈنڈا۔")</f>
        <v>گلی ڈنڈا۔</v>
      </c>
      <c r="P336" s="6" t="str">
        <f>IFERROR(__xludf.DUMMYFUNCTION("GOOGLETRANSLATE(F336,""en"",""ur"")"),"بیس بال")</f>
        <v>بیس بال</v>
      </c>
      <c r="Q336" s="6" t="s">
        <v>654</v>
      </c>
      <c r="R336" s="6" t="str">
        <f>IFERROR(__xludf.DUMMYFUNCTION("GOOGLETRANSLATE(G336,""en"",""ur"")"),"گلی ڈنڈا۔")</f>
        <v>گلی ڈنڈا۔</v>
      </c>
      <c r="S336" s="6" t="s">
        <v>906</v>
      </c>
      <c r="T336" s="6"/>
      <c r="U336" s="6"/>
      <c r="V336" s="6"/>
      <c r="W336" s="6"/>
      <c r="X336" s="6"/>
      <c r="Y336" s="6"/>
      <c r="Z336" s="6"/>
      <c r="AA336" s="6"/>
    </row>
    <row r="337">
      <c r="A337" s="7">
        <v>337.0</v>
      </c>
      <c r="B337" s="6" t="s">
        <v>260</v>
      </c>
      <c r="C337" s="6" t="s">
        <v>261</v>
      </c>
      <c r="D337" s="6" t="s">
        <v>262</v>
      </c>
      <c r="E337" s="6" t="s">
        <v>263</v>
      </c>
      <c r="F337" s="6" t="s">
        <v>655</v>
      </c>
      <c r="G337" s="6" t="s">
        <v>655</v>
      </c>
      <c r="H337" s="6" t="s">
        <v>906</v>
      </c>
      <c r="I337" s="6"/>
      <c r="J337" s="6"/>
      <c r="K337" s="7">
        <v>337.0</v>
      </c>
      <c r="L337" s="6" t="str">
        <f>IFERROR(__xludf.DUMMYFUNCTION("GOOGLETRANSLATE(B337,""en"",""ur"")"),"تصویر میں ایکشن ایک ایسا انداز تجویز کرتا ہے جو اس بات پر زور دیتا ہے...")</f>
        <v>تصویر میں ایکشن ایک ایسا انداز تجویز کرتا ہے جو اس بات پر زور دیتا ہے...</v>
      </c>
      <c r="M337" s="6"/>
      <c r="N337" s="8" t="str">
        <f>IFERROR(__xludf.DUMMYFUNCTION("GOOGLETRANSLATE(D337,""en"",""ur"")"),"زمینی لڑائی اور گرفت")</f>
        <v>زمینی لڑائی اور گرفت</v>
      </c>
      <c r="O337" s="6" t="str">
        <f>IFERROR(__xludf.DUMMYFUNCTION("GOOGLETRANSLATE(E337,""en"",""ur"")"),"وحشیانہ قوت اور گھڑ سواری۔")</f>
        <v>وحشیانہ قوت اور گھڑ سواری۔</v>
      </c>
      <c r="P337" s="6" t="str">
        <f>IFERROR(__xludf.DUMMYFUNCTION("GOOGLETRANSLATE(F337,""en"",""ur"")"),"ہاتھ سے آنکھ کو آرڈینیشن اور حیرت انگیز")</f>
        <v>ہاتھ سے آنکھ کو آرڈینیشن اور حیرت انگیز</v>
      </c>
      <c r="Q337" s="6" t="s">
        <v>656</v>
      </c>
      <c r="R337" s="6" t="str">
        <f>IFERROR(__xludf.DUMMYFUNCTION("GOOGLETRANSLATE(G337,""en"",""ur"")"),"ہاتھ سے آنکھ کو آرڈینیشن اور حیرت انگیز")</f>
        <v>ہاتھ سے آنکھ کو آرڈینیشن اور حیرت انگیز</v>
      </c>
      <c r="S337" s="6" t="s">
        <v>906</v>
      </c>
      <c r="T337" s="6"/>
      <c r="U337" s="6"/>
      <c r="V337" s="6"/>
      <c r="W337" s="6"/>
      <c r="X337" s="6"/>
      <c r="Y337" s="6"/>
      <c r="Z337" s="6"/>
      <c r="AA337" s="6"/>
    </row>
    <row r="338">
      <c r="A338" s="7">
        <v>338.0</v>
      </c>
      <c r="B338" s="6" t="s">
        <v>748</v>
      </c>
      <c r="C338" s="6" t="s">
        <v>749</v>
      </c>
      <c r="D338" s="6" t="s">
        <v>750</v>
      </c>
      <c r="E338" s="6" t="s">
        <v>751</v>
      </c>
      <c r="F338" s="6" t="s">
        <v>752</v>
      </c>
      <c r="G338" s="6" t="s">
        <v>750</v>
      </c>
      <c r="H338" s="6" t="s">
        <v>906</v>
      </c>
      <c r="I338" s="6"/>
      <c r="J338" s="6"/>
      <c r="K338" s="7">
        <v>338.0</v>
      </c>
      <c r="L338" s="6" t="str">
        <f>IFERROR(__xludf.DUMMYFUNCTION("GOOGLETRANSLATE(B338,""en"",""ur"")"),"لاٹھیوں کی حالت کے بارے میں ایک قابل ذکر تفصیل کیا ہے؟")</f>
        <v>لاٹھیوں کی حالت کے بارے میں ایک قابل ذکر تفصیل کیا ہے؟</v>
      </c>
      <c r="M338" s="6"/>
      <c r="N338" s="8" t="str">
        <f>IFERROR(__xludf.DUMMYFUNCTION("GOOGLETRANSLATE(D338,""en"",""ur"")"),"وہ پرانے ہیں اور استعمال سے پہنے ہوئے ہیں۔")</f>
        <v>وہ پرانے ہیں اور استعمال سے پہنے ہوئے ہیں۔</v>
      </c>
      <c r="O338" s="6" t="str">
        <f>IFERROR(__xludf.DUMMYFUNCTION("GOOGLETRANSLATE(E338,""en"",""ur"")"),"وہ بہت مختصر ہیں۔")</f>
        <v>وہ بہت مختصر ہیں۔</v>
      </c>
      <c r="P338" s="6" t="str">
        <f>IFERROR(__xludf.DUMMYFUNCTION("GOOGLETRANSLATE(F338,""en"",""ur"")"),"وہ بہت لمبے ہیں۔")</f>
        <v>وہ بہت لمبے ہیں۔</v>
      </c>
      <c r="Q338" s="6" t="s">
        <v>753</v>
      </c>
      <c r="R338" s="6" t="str">
        <f>IFERROR(__xludf.DUMMYFUNCTION("GOOGLETRANSLATE(G338,""en"",""ur"")"),"وہ پرانے ہیں اور استعمال سے پہنے ہوئے ہیں۔")</f>
        <v>وہ پرانے ہیں اور استعمال سے پہنے ہوئے ہیں۔</v>
      </c>
      <c r="S338" s="6" t="s">
        <v>906</v>
      </c>
      <c r="T338" s="6"/>
      <c r="U338" s="6"/>
      <c r="V338" s="6"/>
      <c r="W338" s="6"/>
      <c r="X338" s="6"/>
      <c r="Y338" s="6"/>
      <c r="Z338" s="6"/>
      <c r="AA338" s="6"/>
    </row>
    <row r="339">
      <c r="A339" s="7">
        <v>339.0</v>
      </c>
      <c r="B339" s="6" t="s">
        <v>754</v>
      </c>
      <c r="C339" s="6" t="s">
        <v>755</v>
      </c>
      <c r="D339" s="6" t="s">
        <v>756</v>
      </c>
      <c r="E339" s="6" t="s">
        <v>757</v>
      </c>
      <c r="F339" s="6" t="s">
        <v>758</v>
      </c>
      <c r="G339" s="6" t="s">
        <v>755</v>
      </c>
      <c r="H339" s="6" t="s">
        <v>906</v>
      </c>
      <c r="I339" s="6"/>
      <c r="J339" s="6"/>
      <c r="K339" s="7">
        <v>339.0</v>
      </c>
      <c r="L339" s="6" t="str">
        <f>IFERROR(__xludf.DUMMYFUNCTION("GOOGLETRANSLATE(B339,""en"",""ur"")"),"کھیل کا بنیادی مقصد کیا ہے؟")</f>
        <v>کھیل کا بنیادی مقصد کیا ہے؟</v>
      </c>
      <c r="M339" s="6"/>
      <c r="N339" s="8" t="str">
        <f>IFERROR(__xludf.DUMMYFUNCTION("GOOGLETRANSLATE(D339,""en"",""ur"")"),"گلی کو گول میں مارنا")</f>
        <v>گلی کو گول میں مارنا</v>
      </c>
      <c r="O339" s="6" t="str">
        <f>IFERROR(__xludf.DUMMYFUNCTION("GOOGLETRANSLATE(E339,""en"",""ur"")"),"گیلی کو مخالف پر مارنا")</f>
        <v>گیلی کو مخالف پر مارنا</v>
      </c>
      <c r="P339" s="6" t="str">
        <f>IFERROR(__xludf.DUMMYFUNCTION("GOOGLETRANSLATE(F339,""en"",""ur"")"),"گلی کو جال میں مارنا")</f>
        <v>گلی کو جال میں مارنا</v>
      </c>
      <c r="Q339" s="6" t="s">
        <v>759</v>
      </c>
      <c r="R339" s="6" t="str">
        <f>IFERROR(__xludf.DUMMYFUNCTION("GOOGLETRANSLATE(G339,""en"",""ur"")"),"جہاں تک ممکن ہو گلی کو مار کر پوائنٹس حاصل کرنا")</f>
        <v>جہاں تک ممکن ہو گلی کو مار کر پوائنٹس حاصل کرنا</v>
      </c>
      <c r="S339" s="6" t="s">
        <v>906</v>
      </c>
      <c r="T339" s="6"/>
      <c r="U339" s="6"/>
      <c r="V339" s="6"/>
      <c r="W339" s="6"/>
      <c r="X339" s="6"/>
      <c r="Y339" s="6"/>
      <c r="Z339" s="6"/>
      <c r="AA339" s="6"/>
    </row>
    <row r="340">
      <c r="A340" s="7">
        <v>340.0</v>
      </c>
      <c r="B340" s="6" t="s">
        <v>760</v>
      </c>
      <c r="C340" s="6" t="s">
        <v>761</v>
      </c>
      <c r="D340" s="6" t="s">
        <v>762</v>
      </c>
      <c r="E340" s="6" t="s">
        <v>763</v>
      </c>
      <c r="F340" s="6" t="s">
        <v>734</v>
      </c>
      <c r="G340" s="6" t="s">
        <v>763</v>
      </c>
      <c r="H340" s="6" t="s">
        <v>906</v>
      </c>
      <c r="I340" s="6"/>
      <c r="J340" s="6"/>
      <c r="K340" s="7">
        <v>340.0</v>
      </c>
      <c r="L340" s="6" t="str">
        <f>IFERROR(__xludf.DUMMYFUNCTION("GOOGLETRANSLATE(B340,""en"",""ur"")"),"ڈنڈا کی لمبائی کے بارے میں ایک قابل ذکر تفصیل کیا ہے؟")</f>
        <v>ڈنڈا کی لمبائی کے بارے میں ایک قابل ذکر تفصیل کیا ہے؟</v>
      </c>
      <c r="M340" s="6"/>
      <c r="N340" s="8" t="str">
        <f>IFERROR(__xludf.DUMMYFUNCTION("GOOGLETRANSLATE(D340,""en"",""ur"")"),"یہ بہت مختصر ہے۔")</f>
        <v>یہ بہت مختصر ہے۔</v>
      </c>
      <c r="O340" s="6" t="str">
        <f>IFERROR(__xludf.DUMMYFUNCTION("GOOGLETRANSLATE(E340,""en"",""ur"")"),"یہ درمیانی لمبائی کی چھڑی ہے۔")</f>
        <v>یہ درمیانی لمبائی کی چھڑی ہے۔</v>
      </c>
      <c r="P340" s="6" t="str">
        <f>IFERROR(__xludf.DUMMYFUNCTION("GOOGLETRANSLATE(F340,""en"",""ur"")"),"یہ ایک لمبی، پتلی چھڑی ہے۔")</f>
        <v>یہ ایک لمبی، پتلی چھڑی ہے۔</v>
      </c>
      <c r="Q340" s="6" t="s">
        <v>764</v>
      </c>
      <c r="R340" s="6" t="str">
        <f>IFERROR(__xludf.DUMMYFUNCTION("GOOGLETRANSLATE(G340,""en"",""ur"")"),"یہ درمیانی لمبائی کی چھڑی ہے۔")</f>
        <v>یہ درمیانی لمبائی کی چھڑی ہے۔</v>
      </c>
      <c r="S340" s="6" t="s">
        <v>906</v>
      </c>
      <c r="T340" s="6"/>
      <c r="U340" s="6"/>
      <c r="V340" s="6"/>
      <c r="W340" s="6"/>
      <c r="X340" s="6"/>
      <c r="Y340" s="6"/>
      <c r="Z340" s="6"/>
      <c r="AA340" s="6"/>
    </row>
    <row r="341">
      <c r="A341" s="7">
        <v>341.0</v>
      </c>
      <c r="B341" s="6" t="s">
        <v>907</v>
      </c>
      <c r="C341" s="6" t="s">
        <v>143</v>
      </c>
      <c r="D341" s="6" t="s">
        <v>142</v>
      </c>
      <c r="E341" s="6" t="s">
        <v>783</v>
      </c>
      <c r="F341" s="6" t="s">
        <v>908</v>
      </c>
      <c r="G341" s="6" t="s">
        <v>143</v>
      </c>
      <c r="H341" s="6" t="s">
        <v>909</v>
      </c>
      <c r="I341" s="6"/>
      <c r="J341" s="6"/>
      <c r="K341" s="7">
        <v>341.0</v>
      </c>
      <c r="L341" s="6" t="str">
        <f>IFERROR(__xludf.DUMMYFUNCTION("GOOGLETRANSLATE(B341,""en"",""ur"")"),"gilli_danda_40 میں دکھایا گیا اہم عمل کیا ہے؟")</f>
        <v>gilli_danda_40 میں دکھایا گیا اہم عمل کیا ہے؟</v>
      </c>
      <c r="M341" s="6"/>
      <c r="N341" s="8" t="str">
        <f>IFERROR(__xludf.DUMMYFUNCTION("GOOGLETRANSLATE(D341,""en"",""ur"")"),"لوگوں کا ایک گروپ جو گیند کا کھیل کھیل رہا ہے۔")</f>
        <v>لوگوں کا ایک گروپ جو گیند کا کھیل کھیل رہا ہے۔</v>
      </c>
      <c r="O341" s="6" t="str">
        <f>IFERROR(__xludf.DUMMYFUNCTION("GOOGLETRANSLATE(E341,""en"",""ur"")"),"لڑنے والوں کا ایک گروہ")</f>
        <v>لڑنے والوں کا ایک گروہ</v>
      </c>
      <c r="P341" s="6" t="str">
        <f>IFERROR(__xludf.DUMMYFUNCTION("GOOGLETRANSLATE(F341,""en"",""ur"")"),"ایک شخص کھیل کے ٹکڑوں کو تراش رہا ہے۔")</f>
        <v>ایک شخص کھیل کے ٹکڑوں کو تراش رہا ہے۔</v>
      </c>
      <c r="Q341" s="6" t="s">
        <v>910</v>
      </c>
      <c r="R341" s="6" t="str">
        <f>IFERROR(__xludf.DUMMYFUNCTION("GOOGLETRANSLATE(G341,""en"",""ur"")"),"لوگوں کا ایک گروپ جو بورڈ گیم کھیل رہا ہے۔")</f>
        <v>لوگوں کا ایک گروپ جو بورڈ گیم کھیل رہا ہے۔</v>
      </c>
      <c r="S341" s="6" t="s">
        <v>909</v>
      </c>
      <c r="T341" s="6"/>
      <c r="U341" s="6"/>
      <c r="V341" s="6"/>
      <c r="W341" s="6"/>
      <c r="X341" s="6"/>
      <c r="Y341" s="6"/>
      <c r="Z341" s="6"/>
      <c r="AA341" s="6"/>
    </row>
    <row r="342">
      <c r="A342" s="7">
        <v>342.0</v>
      </c>
      <c r="B342" s="6" t="s">
        <v>636</v>
      </c>
      <c r="C342" s="6" t="s">
        <v>637</v>
      </c>
      <c r="D342" s="6" t="s">
        <v>638</v>
      </c>
      <c r="E342" s="6" t="s">
        <v>911</v>
      </c>
      <c r="F342" s="6" t="s">
        <v>640</v>
      </c>
      <c r="G342" s="6" t="s">
        <v>911</v>
      </c>
      <c r="H342" s="6" t="s">
        <v>909</v>
      </c>
      <c r="I342" s="6"/>
      <c r="J342" s="6"/>
      <c r="K342" s="7">
        <v>342.0</v>
      </c>
      <c r="L342" s="6" t="str">
        <f>IFERROR(__xludf.DUMMYFUNCTION("GOOGLETRANSLATE(B342,""en"",""ur"")"),"کھیل میں استعمال ہونے والے آلات کے دو ٹکڑے کیا ہیں؟")</f>
        <v>کھیل میں استعمال ہونے والے آلات کے دو ٹکڑے کیا ہیں؟</v>
      </c>
      <c r="M342" s="6"/>
      <c r="N342" s="8" t="str">
        <f>IFERROR(__xludf.DUMMYFUNCTION("GOOGLETRANSLATE(D342,""en"",""ur"")"),"ایک لمبی چھڑی (ڈنڈا) اور ایک چھوٹی چھڑی (گلی)")</f>
        <v>ایک لمبی چھڑی (ڈنڈا) اور ایک چھوٹی چھڑی (گلی)</v>
      </c>
      <c r="O342" s="6" t="str">
        <f>IFERROR(__xludf.DUMMYFUNCTION("GOOGLETRANSLATE(E342,""en"",""ur"")"),"ایک تختہ جس میں سوراخ اور سنگ مرمر یا کنکریاں ہوں۔")</f>
        <v>ایک تختہ جس میں سوراخ اور سنگ مرمر یا کنکریاں ہوں۔</v>
      </c>
      <c r="P342" s="6" t="str">
        <f>IFERROR(__xludf.DUMMYFUNCTION("GOOGLETRANSLATE(F342,""en"",""ur"")"),"ایک چمگادڑ اور ایک دستانہ")</f>
        <v>ایک چمگادڑ اور ایک دستانہ</v>
      </c>
      <c r="Q342" s="6" t="s">
        <v>912</v>
      </c>
      <c r="R342" s="6" t="str">
        <f>IFERROR(__xludf.DUMMYFUNCTION("GOOGLETRANSLATE(G342,""en"",""ur"")"),"ایک تختہ جس میں سوراخ اور سنگ مرمر یا کنکریاں ہوں۔")</f>
        <v>ایک تختہ جس میں سوراخ اور سنگ مرمر یا کنکریاں ہوں۔</v>
      </c>
      <c r="S342" s="6" t="s">
        <v>909</v>
      </c>
      <c r="T342" s="6"/>
      <c r="U342" s="6"/>
      <c r="V342" s="6"/>
      <c r="W342" s="6"/>
      <c r="X342" s="6"/>
      <c r="Y342" s="6"/>
      <c r="Z342" s="6"/>
      <c r="AA342" s="6"/>
    </row>
    <row r="343">
      <c r="A343" s="7">
        <v>343.0</v>
      </c>
      <c r="B343" s="6" t="s">
        <v>767</v>
      </c>
      <c r="C343" s="6" t="s">
        <v>797</v>
      </c>
      <c r="D343" s="6" t="s">
        <v>798</v>
      </c>
      <c r="E343" s="6" t="s">
        <v>799</v>
      </c>
      <c r="F343" s="6" t="s">
        <v>800</v>
      </c>
      <c r="G343" s="6" t="s">
        <v>798</v>
      </c>
      <c r="H343" s="6" t="s">
        <v>909</v>
      </c>
      <c r="I343" s="6"/>
      <c r="J343" s="6"/>
      <c r="K343" s="7">
        <v>343.0</v>
      </c>
      <c r="L343" s="6" t="str">
        <f>IFERROR(__xludf.DUMMYFUNCTION("GOOGLETRANSLATE(B343,""en"",""ur"")"),"کھلاڑیوں کے بارے میں ایک قابل ذکر تفصیل کیا ہے؟")</f>
        <v>کھلاڑیوں کے بارے میں ایک قابل ذکر تفصیل کیا ہے؟</v>
      </c>
      <c r="M343" s="6"/>
      <c r="N343" s="8" t="str">
        <f>IFERROR(__xludf.DUMMYFUNCTION("GOOGLETRANSLATE(D343,""en"",""ur"")"),"وہ سب بالغ ہیں۔")</f>
        <v>وہ سب بالغ ہیں۔</v>
      </c>
      <c r="O343" s="6" t="str">
        <f>IFERROR(__xludf.DUMMYFUNCTION("GOOGLETRANSLATE(E343,""en"",""ur"")"),"وہ عمر اور جنس کا مرکب ہیں۔")</f>
        <v>وہ عمر اور جنس کا مرکب ہیں۔</v>
      </c>
      <c r="P343" s="6" t="str">
        <f>IFERROR(__xludf.DUMMYFUNCTION("GOOGLETRANSLATE(F343,""en"",""ur"")"),"وہ سب خواتین ہیں۔")</f>
        <v>وہ سب خواتین ہیں۔</v>
      </c>
      <c r="Q343" s="6" t="s">
        <v>801</v>
      </c>
      <c r="R343" s="6" t="str">
        <f>IFERROR(__xludf.DUMMYFUNCTION("GOOGLETRANSLATE(G343,""en"",""ur"")"),"وہ سب بالغ ہیں۔")</f>
        <v>وہ سب بالغ ہیں۔</v>
      </c>
      <c r="S343" s="6" t="s">
        <v>909</v>
      </c>
      <c r="T343" s="6"/>
      <c r="U343" s="6"/>
      <c r="V343" s="6"/>
      <c r="W343" s="6"/>
      <c r="X343" s="6"/>
      <c r="Y343" s="6"/>
      <c r="Z343" s="6"/>
      <c r="AA343" s="6"/>
    </row>
    <row r="344">
      <c r="A344" s="7">
        <v>344.0</v>
      </c>
      <c r="B344" s="6" t="s">
        <v>645</v>
      </c>
      <c r="C344" s="6" t="s">
        <v>422</v>
      </c>
      <c r="D344" s="6" t="s">
        <v>646</v>
      </c>
      <c r="E344" s="6" t="s">
        <v>802</v>
      </c>
      <c r="F344" s="6" t="s">
        <v>425</v>
      </c>
      <c r="G344" s="6" t="s">
        <v>802</v>
      </c>
      <c r="H344" s="6" t="s">
        <v>909</v>
      </c>
      <c r="I344" s="6"/>
      <c r="J344" s="6"/>
      <c r="K344" s="7">
        <v>344.0</v>
      </c>
      <c r="L344" s="6" t="str">
        <f>IFERROR(__xludf.DUMMYFUNCTION("GOOGLETRANSLATE(B344,""en"",""ur"")"),"کھیل کی ظاہری ترتیب کیا ہے؟")</f>
        <v>کھیل کی ظاہری ترتیب کیا ہے؟</v>
      </c>
      <c r="M344" s="6"/>
      <c r="N344" s="8" t="str">
        <f>IFERROR(__xludf.DUMMYFUNCTION("GOOGLETRANSLATE(D344,""en"",""ur"")"),"شہر کی ایک گلی")</f>
        <v>شہر کی ایک گلی</v>
      </c>
      <c r="O344" s="6" t="str">
        <f>IFERROR(__xludf.DUMMYFUNCTION("GOOGLETRANSLATE(E344,""en"",""ur"")"),"بیرونی گندگی کا علاقہ")</f>
        <v>بیرونی گندگی کا علاقہ</v>
      </c>
      <c r="P344" s="6" t="str">
        <f>IFERROR(__xludf.DUMMYFUNCTION("GOOGLETRANSLATE(F344,""en"",""ur"")"),"گھاس کا میدان")</f>
        <v>گھاس کا میدان</v>
      </c>
      <c r="Q344" s="6" t="s">
        <v>913</v>
      </c>
      <c r="R344" s="6" t="str">
        <f>IFERROR(__xludf.DUMMYFUNCTION("GOOGLETRANSLATE(G344,""en"",""ur"")"),"بیرونی گندگی کا علاقہ")</f>
        <v>بیرونی گندگی کا علاقہ</v>
      </c>
      <c r="S344" s="6" t="s">
        <v>909</v>
      </c>
      <c r="T344" s="6"/>
      <c r="U344" s="6"/>
      <c r="V344" s="6"/>
      <c r="W344" s="6"/>
      <c r="X344" s="6"/>
      <c r="Y344" s="6"/>
      <c r="Z344" s="6"/>
      <c r="AA344" s="6"/>
    </row>
    <row r="345">
      <c r="A345" s="7">
        <v>345.0</v>
      </c>
      <c r="B345" s="6" t="s">
        <v>46</v>
      </c>
      <c r="C345" s="6" t="s">
        <v>47</v>
      </c>
      <c r="D345" s="6" t="s">
        <v>48</v>
      </c>
      <c r="E345" s="6" t="s">
        <v>49</v>
      </c>
      <c r="F345" s="6" t="s">
        <v>50</v>
      </c>
      <c r="G345" s="6" t="s">
        <v>47</v>
      </c>
      <c r="H345" s="6" t="s">
        <v>909</v>
      </c>
      <c r="I345" s="6"/>
      <c r="J345" s="6"/>
      <c r="K345" s="7">
        <v>345.0</v>
      </c>
      <c r="L345" s="6" t="str">
        <f>IFERROR(__xludf.DUMMYFUNCTION("GOOGLETRANSLATE(B345,""en"",""ur"")"),"کھلاڑیوں کے چہروں سے ظاہری جذبات کیا ہیں؟")</f>
        <v>کھلاڑیوں کے چہروں سے ظاہری جذبات کیا ہیں؟</v>
      </c>
      <c r="M345" s="6"/>
      <c r="N345" s="8" t="str">
        <f>IFERROR(__xludf.DUMMYFUNCTION("GOOGLETRANSLATE(D345,""en"",""ur"")"),"خوف زدہ اور بے چین")</f>
        <v>خوف زدہ اور بے چین</v>
      </c>
      <c r="O345" s="6" t="str">
        <f>IFERROR(__xludf.DUMMYFUNCTION("GOOGLETRANSLATE(E345,""en"",""ur"")"),"کشیدہ اور شدید")</f>
        <v>کشیدہ اور شدید</v>
      </c>
      <c r="P345" s="6" t="str">
        <f>IFERROR(__xludf.DUMMYFUNCTION("GOOGLETRANSLATE(F345,""en"",""ur"")"),"خوش اور مسکراتے ہوئے۔")</f>
        <v>خوش اور مسکراتے ہوئے۔</v>
      </c>
      <c r="Q345" s="6" t="s">
        <v>649</v>
      </c>
      <c r="R345" s="6" t="str">
        <f>IFERROR(__xludf.DUMMYFUNCTION("GOOGLETRANSLATE(G345,""en"",""ur"")"),"پرسکون اور پر سکون")</f>
        <v>پرسکون اور پر سکون</v>
      </c>
      <c r="S345" s="6" t="s">
        <v>909</v>
      </c>
      <c r="T345" s="6"/>
      <c r="U345" s="6"/>
      <c r="V345" s="6"/>
      <c r="W345" s="6"/>
      <c r="X345" s="6"/>
      <c r="Y345" s="6"/>
      <c r="Z345" s="6"/>
      <c r="AA345" s="6"/>
    </row>
    <row r="346">
      <c r="A346" s="7">
        <v>346.0</v>
      </c>
      <c r="B346" s="6" t="s">
        <v>88</v>
      </c>
      <c r="C346" s="6" t="s">
        <v>89</v>
      </c>
      <c r="D346" s="6" t="s">
        <v>90</v>
      </c>
      <c r="E346" s="6" t="s">
        <v>91</v>
      </c>
      <c r="F346" s="6" t="s">
        <v>255</v>
      </c>
      <c r="G346" s="6" t="s">
        <v>255</v>
      </c>
      <c r="H346" s="6" t="s">
        <v>909</v>
      </c>
      <c r="I346" s="6"/>
      <c r="J346" s="6"/>
      <c r="K346" s="7">
        <v>346.0</v>
      </c>
      <c r="L346" s="6" t="str">
        <f>IFERROR(__xludf.DUMMYFUNCTION("GOOGLETRANSLATE(B346,""en"",""ur"")"),"زمین کی سب سے نمایاں خصوصیت کیا ہے؟")</f>
        <v>زمین کی سب سے نمایاں خصوصیت کیا ہے؟</v>
      </c>
      <c r="M346" s="6"/>
      <c r="N346" s="8" t="str">
        <f>IFERROR(__xludf.DUMMYFUNCTION("GOOGLETRANSLATE(D346,""en"",""ur"")"),"کیچڑ والا میدان")</f>
        <v>کیچڑ والا میدان</v>
      </c>
      <c r="O346" s="6" t="str">
        <f>IFERROR(__xludf.DUMMYFUNCTION("GOOGLETRANSLATE(E346,""en"",""ur"")"),"ایک گھاس دار سطح")</f>
        <v>ایک گھاس دار سطح</v>
      </c>
      <c r="P346" s="6" t="str">
        <f>IFERROR(__xludf.DUMMYFUNCTION("GOOGLETRANSLATE(F346,""en"",""ur"")"),"ریتلی یا گندگی کی سطح")</f>
        <v>ریتلی یا گندگی کی سطح</v>
      </c>
      <c r="Q346" s="6" t="s">
        <v>688</v>
      </c>
      <c r="R346" s="6" t="str">
        <f>IFERROR(__xludf.DUMMYFUNCTION("GOOGLETRANSLATE(G346,""en"",""ur"")"),"ریتلی یا گندگی کی سطح")</f>
        <v>ریتلی یا گندگی کی سطح</v>
      </c>
      <c r="S346" s="6" t="s">
        <v>909</v>
      </c>
      <c r="T346" s="6"/>
      <c r="U346" s="6"/>
      <c r="V346" s="6"/>
      <c r="W346" s="6"/>
      <c r="X346" s="6"/>
      <c r="Y346" s="6"/>
      <c r="Z346" s="6"/>
      <c r="AA346" s="6"/>
    </row>
    <row r="347">
      <c r="A347" s="7">
        <v>347.0</v>
      </c>
      <c r="B347" s="6" t="s">
        <v>94</v>
      </c>
      <c r="C347" s="6" t="s">
        <v>95</v>
      </c>
      <c r="D347" s="6" t="s">
        <v>651</v>
      </c>
      <c r="E347" s="6" t="s">
        <v>652</v>
      </c>
      <c r="F347" s="6" t="s">
        <v>914</v>
      </c>
      <c r="G347" s="6" t="s">
        <v>914</v>
      </c>
      <c r="H347" s="6" t="s">
        <v>909</v>
      </c>
      <c r="I347" s="6"/>
      <c r="J347" s="6"/>
      <c r="K347" s="7">
        <v>347.0</v>
      </c>
      <c r="L347" s="6" t="str">
        <f>IFERROR(__xludf.DUMMYFUNCTION("GOOGLETRANSLATE(B347,""en"",""ur"")"),"کھیلے جانے والے کھیل کا نام کیا ہے؟")</f>
        <v>کھیلے جانے والے کھیل کا نام کیا ہے؟</v>
      </c>
      <c r="M347" s="6"/>
      <c r="N347" s="8" t="str">
        <f>IFERROR(__xludf.DUMMYFUNCTION("GOOGLETRANSLATE(D347,""en"",""ur"")"),"کرکٹ")</f>
        <v>کرکٹ</v>
      </c>
      <c r="O347" s="6" t="str">
        <f>IFERROR(__xludf.DUMMYFUNCTION("GOOGLETRANSLATE(E347,""en"",""ur"")"),"گلی ڈنڈا۔")</f>
        <v>گلی ڈنڈا۔</v>
      </c>
      <c r="P347" s="6" t="str">
        <f>IFERROR(__xludf.DUMMYFUNCTION("GOOGLETRANSLATE(F347,""en"",""ur"")"),"منکالا یا اوور")</f>
        <v>منکالا یا اوور</v>
      </c>
      <c r="Q347" s="6" t="s">
        <v>915</v>
      </c>
      <c r="R347" s="6" t="str">
        <f>IFERROR(__xludf.DUMMYFUNCTION("GOOGLETRANSLATE(G347,""en"",""ur"")"),"منکالا یا اوور")</f>
        <v>منکالا یا اوور</v>
      </c>
      <c r="S347" s="6" t="s">
        <v>909</v>
      </c>
      <c r="T347" s="6"/>
      <c r="U347" s="6"/>
      <c r="V347" s="6"/>
      <c r="W347" s="6"/>
      <c r="X347" s="6"/>
      <c r="Y347" s="6"/>
      <c r="Z347" s="6"/>
      <c r="AA347" s="6"/>
    </row>
    <row r="348">
      <c r="A348" s="7">
        <v>348.0</v>
      </c>
      <c r="B348" s="6" t="s">
        <v>260</v>
      </c>
      <c r="C348" s="6" t="s">
        <v>261</v>
      </c>
      <c r="D348" s="6" t="s">
        <v>262</v>
      </c>
      <c r="E348" s="6" t="s">
        <v>263</v>
      </c>
      <c r="F348" s="6" t="s">
        <v>916</v>
      </c>
      <c r="G348" s="6" t="s">
        <v>916</v>
      </c>
      <c r="H348" s="6" t="s">
        <v>909</v>
      </c>
      <c r="I348" s="6"/>
      <c r="J348" s="6"/>
      <c r="K348" s="7">
        <v>348.0</v>
      </c>
      <c r="L348" s="6" t="str">
        <f>IFERROR(__xludf.DUMMYFUNCTION("GOOGLETRANSLATE(B348,""en"",""ur"")"),"تصویر میں ایکشن ایک ایسا انداز تجویز کرتا ہے جو اس بات پر زور دیتا ہے...")</f>
        <v>تصویر میں ایکشن ایک ایسا انداز تجویز کرتا ہے جو اس بات پر زور دیتا ہے...</v>
      </c>
      <c r="M348" s="6"/>
      <c r="N348" s="8" t="str">
        <f>IFERROR(__xludf.DUMMYFUNCTION("GOOGLETRANSLATE(D348,""en"",""ur"")"),"زمینی لڑائی اور گرفت")</f>
        <v>زمینی لڑائی اور گرفت</v>
      </c>
      <c r="O348" s="6" t="str">
        <f>IFERROR(__xludf.DUMMYFUNCTION("GOOGLETRANSLATE(E348,""en"",""ur"")"),"وحشیانہ قوت اور گھڑ سواری۔")</f>
        <v>وحشیانہ قوت اور گھڑ سواری۔</v>
      </c>
      <c r="P348" s="6" t="str">
        <f>IFERROR(__xludf.DUMMYFUNCTION("GOOGLETRANSLATE(F348,""en"",""ur"")"),"حکمت عملی اور ذہنی حساب کتاب")</f>
        <v>حکمت عملی اور ذہنی حساب کتاب</v>
      </c>
      <c r="Q348" s="6" t="s">
        <v>917</v>
      </c>
      <c r="R348" s="6" t="str">
        <f>IFERROR(__xludf.DUMMYFUNCTION("GOOGLETRANSLATE(G348,""en"",""ur"")"),"حکمت عملی اور ذہنی حساب کتاب")</f>
        <v>حکمت عملی اور ذہنی حساب کتاب</v>
      </c>
      <c r="S348" s="6" t="s">
        <v>909</v>
      </c>
      <c r="T348" s="6"/>
      <c r="U348" s="6"/>
      <c r="V348" s="6"/>
      <c r="W348" s="6"/>
      <c r="X348" s="6"/>
      <c r="Y348" s="6"/>
      <c r="Z348" s="6"/>
      <c r="AA348" s="6"/>
    </row>
    <row r="349">
      <c r="A349" s="7">
        <v>349.0</v>
      </c>
      <c r="B349" s="6" t="s">
        <v>657</v>
      </c>
      <c r="C349" s="6" t="s">
        <v>658</v>
      </c>
      <c r="D349" s="6" t="s">
        <v>659</v>
      </c>
      <c r="E349" s="6" t="s">
        <v>660</v>
      </c>
      <c r="F349" s="6" t="s">
        <v>661</v>
      </c>
      <c r="G349" s="6" t="s">
        <v>660</v>
      </c>
      <c r="H349" s="6" t="s">
        <v>909</v>
      </c>
      <c r="I349" s="6"/>
      <c r="J349" s="6"/>
      <c r="K349" s="7">
        <v>349.0</v>
      </c>
      <c r="L349" s="6" t="str">
        <f>IFERROR(__xludf.DUMMYFUNCTION("GOOGLETRANSLATE(B349,""en"",""ur"")"),"کھلاڑیوں کے جوتے کے بارے میں ایک قابل ذکر تفصیل کیا ہے؟")</f>
        <v>کھلاڑیوں کے جوتے کے بارے میں ایک قابل ذکر تفصیل کیا ہے؟</v>
      </c>
      <c r="M349" s="6"/>
      <c r="N349" s="8" t="str">
        <f>IFERROR(__xludf.DUMMYFUNCTION("GOOGLETRANSLATE(D349,""en"",""ur"")"),"وہ ننگے پاؤں ہیں۔")</f>
        <v>وہ ننگے پاؤں ہیں۔</v>
      </c>
      <c r="O349" s="6" t="str">
        <f>IFERROR(__xludf.DUMMYFUNCTION("GOOGLETRANSLATE(E349,""en"",""ur"")"),"وہ سینڈل یا فلپ فلاپ پہنے ہوئے ہیں۔")</f>
        <v>وہ سینڈل یا فلپ فلاپ پہنے ہوئے ہیں۔</v>
      </c>
      <c r="P349" s="6" t="str">
        <f>IFERROR(__xludf.DUMMYFUNCTION("GOOGLETRANSLATE(F349,""en"",""ur"")"),"وہ موزے پہنے ہوئے ہیں۔")</f>
        <v>وہ موزے پہنے ہوئے ہیں۔</v>
      </c>
      <c r="Q349" s="6" t="s">
        <v>662</v>
      </c>
      <c r="R349" s="6" t="str">
        <f>IFERROR(__xludf.DUMMYFUNCTION("GOOGLETRANSLATE(G349,""en"",""ur"")"),"وہ سینڈل یا فلپ فلاپ پہنے ہوئے ہیں۔")</f>
        <v>وہ سینڈل یا فلپ فلاپ پہنے ہوئے ہیں۔</v>
      </c>
      <c r="S349" s="6" t="s">
        <v>909</v>
      </c>
      <c r="T349" s="6"/>
      <c r="U349" s="6"/>
      <c r="V349" s="6"/>
      <c r="W349" s="6"/>
      <c r="X349" s="6"/>
      <c r="Y349" s="6"/>
      <c r="Z349" s="6"/>
      <c r="AA349" s="6"/>
    </row>
    <row r="350">
      <c r="A350" s="7">
        <v>350.0</v>
      </c>
      <c r="B350" s="6" t="s">
        <v>16</v>
      </c>
      <c r="C350" s="6" t="s">
        <v>59</v>
      </c>
      <c r="D350" s="6" t="s">
        <v>60</v>
      </c>
      <c r="E350" s="6" t="s">
        <v>20</v>
      </c>
      <c r="F350" s="6" t="s">
        <v>100</v>
      </c>
      <c r="G350" s="6" t="s">
        <v>60</v>
      </c>
      <c r="H350" s="6" t="s">
        <v>909</v>
      </c>
      <c r="I350" s="6"/>
      <c r="J350" s="6"/>
      <c r="K350" s="7">
        <v>350.0</v>
      </c>
      <c r="L350" s="6" t="str">
        <f>IFERROR(__xludf.DUMMYFUNCTION("GOOGLETRANSLATE(B350,""en"",""ur"")"),"ٹکڑوں کے بارے میں ایک قابل ذکر تفصیل کیا ہے؟")</f>
        <v>ٹکڑوں کے بارے میں ایک قابل ذکر تفصیل کیا ہے؟</v>
      </c>
      <c r="M350" s="6"/>
      <c r="N350" s="8" t="str">
        <f>IFERROR(__xludf.DUMMYFUNCTION("GOOGLETRANSLATE(D350,""en"",""ur"")"),"وہ رنگوں اور ڈیزائنوں کا مرکب ہیں۔")</f>
        <v>وہ رنگوں اور ڈیزائنوں کا مرکب ہیں۔</v>
      </c>
      <c r="O350" s="6" t="str">
        <f>IFERROR(__xludf.DUMMYFUNCTION("GOOGLETRANSLATE(E350,""en"",""ur"")"),"وہ سب سفید فام ہیں۔")</f>
        <v>وہ سب سفید فام ہیں۔</v>
      </c>
      <c r="P350" s="6" t="str">
        <f>IFERROR(__xludf.DUMMYFUNCTION("GOOGLETRANSLATE(F350,""en"",""ur"")"),"وہ سب کالے ہیں۔")</f>
        <v>وہ سب کالے ہیں۔</v>
      </c>
      <c r="Q350" s="6" t="s">
        <v>918</v>
      </c>
      <c r="R350" s="6" t="str">
        <f>IFERROR(__xludf.DUMMYFUNCTION("GOOGLETRANSLATE(G350,""en"",""ur"")"),"وہ رنگوں اور ڈیزائنوں کا مرکب ہیں۔")</f>
        <v>وہ رنگوں اور ڈیزائنوں کا مرکب ہیں۔</v>
      </c>
      <c r="S350" s="6" t="s">
        <v>909</v>
      </c>
      <c r="T350" s="6"/>
      <c r="U350" s="6"/>
      <c r="V350" s="6"/>
      <c r="W350" s="6"/>
      <c r="X350" s="6"/>
      <c r="Y350" s="6"/>
      <c r="Z350" s="6"/>
      <c r="AA350" s="6"/>
    </row>
    <row r="351">
      <c r="A351" s="7">
        <v>351.0</v>
      </c>
      <c r="B351" s="6" t="s">
        <v>919</v>
      </c>
      <c r="C351" s="6" t="s">
        <v>690</v>
      </c>
      <c r="D351" s="6" t="s">
        <v>632</v>
      </c>
      <c r="E351" s="6" t="s">
        <v>633</v>
      </c>
      <c r="F351" s="6" t="s">
        <v>634</v>
      </c>
      <c r="G351" s="6" t="s">
        <v>632</v>
      </c>
      <c r="H351" s="6" t="s">
        <v>920</v>
      </c>
      <c r="I351" s="6"/>
      <c r="J351" s="6"/>
      <c r="K351" s="7">
        <v>351.0</v>
      </c>
      <c r="L351" s="6" t="str">
        <f>IFERROR(__xludf.DUMMYFUNCTION("GOOGLETRANSLATE(B351,""en"",""ur"")"),"gilli_danda_43 میں دکھایا گیا اہم عمل کیا ہے؟")</f>
        <v>gilli_danda_43 میں دکھایا گیا اہم عمل کیا ہے؟</v>
      </c>
      <c r="M351" s="6"/>
      <c r="N351" s="8" t="str">
        <f>IFERROR(__xludf.DUMMYFUNCTION("GOOGLETRANSLATE(D351,""en"",""ur"")"),"ایک کھلاڑی چھوٹی چھڑی کو بڑی چھڑی سے مار رہا ہے۔")</f>
        <v>ایک کھلاڑی چھوٹی چھڑی کو بڑی چھڑی سے مار رہا ہے۔</v>
      </c>
      <c r="O351" s="6" t="str">
        <f>IFERROR(__xludf.DUMMYFUNCTION("GOOGLETRANSLATE(E351,""en"",""ur"")"),"ایک کھلاڑی گیند کی خدمت کر رہا ہے۔")</f>
        <v>ایک کھلاڑی گیند کی خدمت کر رہا ہے۔</v>
      </c>
      <c r="P351" s="6" t="str">
        <f>IFERROR(__xludf.DUMMYFUNCTION("GOOGLETRANSLATE(F351,""en"",""ur"")"),"ایک کھلاڑی دفاعی بلاک کا مظاہرہ کر رہا ہے۔")</f>
        <v>ایک کھلاڑی دفاعی بلاک کا مظاہرہ کر رہا ہے۔</v>
      </c>
      <c r="Q351" s="6" t="s">
        <v>671</v>
      </c>
      <c r="R351" s="6" t="str">
        <f>IFERROR(__xludf.DUMMYFUNCTION("GOOGLETRANSLATE(G351,""en"",""ur"")"),"ایک کھلاڑی چھوٹی چھڑی کو بڑی چھڑی سے مار رہا ہے۔")</f>
        <v>ایک کھلاڑی چھوٹی چھڑی کو بڑی چھڑی سے مار رہا ہے۔</v>
      </c>
      <c r="S351" s="6" t="s">
        <v>920</v>
      </c>
      <c r="T351" s="6"/>
      <c r="U351" s="6"/>
      <c r="V351" s="6"/>
      <c r="W351" s="6"/>
      <c r="X351" s="6"/>
      <c r="Y351" s="6"/>
      <c r="Z351" s="6"/>
      <c r="AA351" s="6"/>
    </row>
    <row r="352">
      <c r="A352" s="7">
        <v>352.0</v>
      </c>
      <c r="B352" s="6" t="s">
        <v>636</v>
      </c>
      <c r="C352" s="6" t="s">
        <v>637</v>
      </c>
      <c r="D352" s="6" t="s">
        <v>638</v>
      </c>
      <c r="E352" s="6" t="s">
        <v>639</v>
      </c>
      <c r="F352" s="6" t="s">
        <v>640</v>
      </c>
      <c r="G352" s="6" t="s">
        <v>638</v>
      </c>
      <c r="H352" s="6" t="s">
        <v>920</v>
      </c>
      <c r="I352" s="6"/>
      <c r="J352" s="6"/>
      <c r="K352" s="7">
        <v>352.0</v>
      </c>
      <c r="L352" s="6" t="str">
        <f>IFERROR(__xludf.DUMMYFUNCTION("GOOGLETRANSLATE(B352,""en"",""ur"")"),"کھیل میں استعمال ہونے والے آلات کے دو ٹکڑے کیا ہیں؟")</f>
        <v>کھیل میں استعمال ہونے والے آلات کے دو ٹکڑے کیا ہیں؟</v>
      </c>
      <c r="M352" s="6"/>
      <c r="N352" s="8" t="str">
        <f>IFERROR(__xludf.DUMMYFUNCTION("GOOGLETRANSLATE(D352,""en"",""ur"")"),"ایک لمبی چھڑی (ڈنڈا) اور ایک چھوٹی چھڑی (گلی)")</f>
        <v>ایک لمبی چھڑی (ڈنڈا) اور ایک چھوٹی چھڑی (گلی)</v>
      </c>
      <c r="O352" s="6" t="str">
        <f>IFERROR(__xludf.DUMMYFUNCTION("GOOGLETRANSLATE(E352,""en"",""ur"")"),"ایک ریکیٹ اور ایک شٹل کاک")</f>
        <v>ایک ریکیٹ اور ایک شٹل کاک</v>
      </c>
      <c r="P352" s="6" t="str">
        <f>IFERROR(__xludf.DUMMYFUNCTION("GOOGLETRANSLATE(F352,""en"",""ur"")"),"ایک چمگادڑ اور ایک دستانہ")</f>
        <v>ایک چمگادڑ اور ایک دستانہ</v>
      </c>
      <c r="Q352" s="6" t="s">
        <v>641</v>
      </c>
      <c r="R352" s="6" t="str">
        <f>IFERROR(__xludf.DUMMYFUNCTION("GOOGLETRANSLATE(G352,""en"",""ur"")"),"ایک لمبی چھڑی (ڈنڈا) اور ایک چھوٹی چھڑی (گلی)")</f>
        <v>ایک لمبی چھڑی (ڈنڈا) اور ایک چھوٹی چھڑی (گلی)</v>
      </c>
      <c r="S352" s="6" t="s">
        <v>920</v>
      </c>
      <c r="T352" s="6"/>
      <c r="U352" s="6"/>
      <c r="V352" s="6"/>
      <c r="W352" s="6"/>
      <c r="X352" s="6"/>
      <c r="Y352" s="6"/>
      <c r="Z352" s="6"/>
      <c r="AA352" s="6"/>
    </row>
    <row r="353">
      <c r="A353" s="7">
        <v>353.0</v>
      </c>
      <c r="B353" s="6" t="s">
        <v>687</v>
      </c>
      <c r="C353" s="6" t="s">
        <v>307</v>
      </c>
      <c r="D353" s="6" t="s">
        <v>643</v>
      </c>
      <c r="E353" s="6" t="s">
        <v>311</v>
      </c>
      <c r="F353" s="6" t="s">
        <v>314</v>
      </c>
      <c r="G353" s="6" t="s">
        <v>643</v>
      </c>
      <c r="H353" s="6" t="s">
        <v>920</v>
      </c>
      <c r="I353" s="6"/>
      <c r="J353" s="6"/>
      <c r="K353" s="7">
        <v>353.0</v>
      </c>
      <c r="L353" s="6" t="str">
        <f>IFERROR(__xludf.DUMMYFUNCTION("GOOGLETRANSLATE(B353,""en"",""ur"")"),"پیش منظر میں کھلاڑی کے بارے میں ایک قابل ذکر تفصیل کیا ہے؟")</f>
        <v>پیش منظر میں کھلاڑی کے بارے میں ایک قابل ذکر تفصیل کیا ہے؟</v>
      </c>
      <c r="M353" s="6"/>
      <c r="N353" s="8" t="str">
        <f>IFERROR(__xludf.DUMMYFUNCTION("GOOGLETRANSLATE(D353,""en"",""ur"")"),"وہ ایک پست، جھکائے ہوئے موقف میں ہے، ہڑتال کرنے کی تیاری کر رہا ہے۔")</f>
        <v>وہ ایک پست، جھکائے ہوئے موقف میں ہے، ہڑتال کرنے کی تیاری کر رہا ہے۔</v>
      </c>
      <c r="O353" s="6" t="str">
        <f>IFERROR(__xludf.DUMMYFUNCTION("GOOGLETRANSLATE(E353,""en"",""ur"")"),"وہ سیدھا کھڑا ہے۔")</f>
        <v>وہ سیدھا کھڑا ہے۔</v>
      </c>
      <c r="P353" s="6" t="str">
        <f>IFERROR(__xludf.DUMMYFUNCTION("GOOGLETRANSLATE(F353,""en"",""ur"")"),"وہ آرام سے بیٹھا ہے۔")</f>
        <v>وہ آرام سے بیٹھا ہے۔</v>
      </c>
      <c r="Q353" s="6" t="s">
        <v>644</v>
      </c>
      <c r="R353" s="6" t="str">
        <f>IFERROR(__xludf.DUMMYFUNCTION("GOOGLETRANSLATE(G353,""en"",""ur"")"),"وہ ایک پست، جھکائے ہوئے موقف میں ہے، ہڑتال کرنے کی تیاری کر رہا ہے۔")</f>
        <v>وہ ایک پست، جھکائے ہوئے موقف میں ہے، ہڑتال کرنے کی تیاری کر رہا ہے۔</v>
      </c>
      <c r="S353" s="6" t="s">
        <v>920</v>
      </c>
      <c r="T353" s="6"/>
      <c r="U353" s="6"/>
      <c r="V353" s="6"/>
      <c r="W353" s="6"/>
      <c r="X353" s="6"/>
      <c r="Y353" s="6"/>
      <c r="Z353" s="6"/>
      <c r="AA353" s="6"/>
    </row>
    <row r="354">
      <c r="A354" s="7">
        <v>354.0</v>
      </c>
      <c r="B354" s="6" t="s">
        <v>645</v>
      </c>
      <c r="C354" s="6" t="s">
        <v>422</v>
      </c>
      <c r="D354" s="6" t="s">
        <v>646</v>
      </c>
      <c r="E354" s="6" t="s">
        <v>647</v>
      </c>
      <c r="F354" s="6" t="s">
        <v>425</v>
      </c>
      <c r="G354" s="6" t="s">
        <v>647</v>
      </c>
      <c r="H354" s="6" t="s">
        <v>920</v>
      </c>
      <c r="I354" s="6"/>
      <c r="J354" s="6"/>
      <c r="K354" s="7">
        <v>354.0</v>
      </c>
      <c r="L354" s="6" t="str">
        <f>IFERROR(__xludf.DUMMYFUNCTION("GOOGLETRANSLATE(B354,""en"",""ur"")"),"کھیل کی ظاہری ترتیب کیا ہے؟")</f>
        <v>کھیل کی ظاہری ترتیب کیا ہے؟</v>
      </c>
      <c r="M354" s="6"/>
      <c r="N354" s="8" t="str">
        <f>IFERROR(__xludf.DUMMYFUNCTION("GOOGLETRANSLATE(D354,""en"",""ur"")"),"شہر کی ایک گلی")</f>
        <v>شہر کی ایک گلی</v>
      </c>
      <c r="O354" s="6" t="str">
        <f>IFERROR(__xludf.DUMMYFUNCTION("GOOGLETRANSLATE(E354,""en"",""ur"")"),"ایک بیرونی گندگی کا میدان")</f>
        <v>ایک بیرونی گندگی کا میدان</v>
      </c>
      <c r="P354" s="6" t="str">
        <f>IFERROR(__xludf.DUMMYFUNCTION("GOOGLETRANSLATE(F354,""en"",""ur"")"),"گھاس کا میدان")</f>
        <v>گھاس کا میدان</v>
      </c>
      <c r="Q354" s="6" t="s">
        <v>648</v>
      </c>
      <c r="R354" s="6" t="str">
        <f>IFERROR(__xludf.DUMMYFUNCTION("GOOGLETRANSLATE(G354,""en"",""ur"")"),"ایک بیرونی گندگی کا میدان")</f>
        <v>ایک بیرونی گندگی کا میدان</v>
      </c>
      <c r="S354" s="6" t="s">
        <v>920</v>
      </c>
      <c r="T354" s="6"/>
      <c r="U354" s="6"/>
      <c r="V354" s="6"/>
      <c r="W354" s="6"/>
      <c r="X354" s="6"/>
      <c r="Y354" s="6"/>
      <c r="Z354" s="6"/>
      <c r="AA354" s="6"/>
    </row>
    <row r="355">
      <c r="A355" s="7">
        <v>355.0</v>
      </c>
      <c r="B355" s="6" t="s">
        <v>679</v>
      </c>
      <c r="C355" s="6" t="s">
        <v>47</v>
      </c>
      <c r="D355" s="6" t="s">
        <v>48</v>
      </c>
      <c r="E355" s="6" t="s">
        <v>49</v>
      </c>
      <c r="F355" s="6" t="s">
        <v>50</v>
      </c>
      <c r="G355" s="6" t="s">
        <v>49</v>
      </c>
      <c r="H355" s="6" t="s">
        <v>920</v>
      </c>
      <c r="I355" s="6"/>
      <c r="J355" s="6"/>
      <c r="K355" s="7">
        <v>355.0</v>
      </c>
      <c r="L355" s="6" t="str">
        <f>IFERROR(__xludf.DUMMYFUNCTION("GOOGLETRANSLATE(B355,""en"",""ur"")"),"کھلاڑی کے چہرے سے ظاہری جذبات کیا ہیں؟")</f>
        <v>کھلاڑی کے چہرے سے ظاہری جذبات کیا ہیں؟</v>
      </c>
      <c r="M355" s="6"/>
      <c r="N355" s="8" t="str">
        <f>IFERROR(__xludf.DUMMYFUNCTION("GOOGLETRANSLATE(D355,""en"",""ur"")"),"خوف زدہ اور بے چین")</f>
        <v>خوف زدہ اور بے چین</v>
      </c>
      <c r="O355" s="6" t="str">
        <f>IFERROR(__xludf.DUMMYFUNCTION("GOOGLETRANSLATE(E355,""en"",""ur"")"),"کشیدہ اور شدید")</f>
        <v>کشیدہ اور شدید</v>
      </c>
      <c r="P355" s="6" t="str">
        <f>IFERROR(__xludf.DUMMYFUNCTION("GOOGLETRANSLATE(F355,""en"",""ur"")"),"خوش اور مسکراتے ہوئے۔")</f>
        <v>خوش اور مسکراتے ہوئے۔</v>
      </c>
      <c r="Q355" s="6" t="s">
        <v>649</v>
      </c>
      <c r="R355" s="6" t="str">
        <f>IFERROR(__xludf.DUMMYFUNCTION("GOOGLETRANSLATE(G355,""en"",""ur"")"),"کشیدہ اور شدید")</f>
        <v>کشیدہ اور شدید</v>
      </c>
      <c r="S355" s="6" t="s">
        <v>920</v>
      </c>
      <c r="T355" s="6"/>
      <c r="U355" s="6"/>
      <c r="V355" s="6"/>
      <c r="W355" s="6"/>
      <c r="X355" s="6"/>
      <c r="Y355" s="6"/>
      <c r="Z355" s="6"/>
      <c r="AA355" s="6"/>
    </row>
    <row r="356">
      <c r="A356" s="7">
        <v>356.0</v>
      </c>
      <c r="B356" s="6" t="s">
        <v>88</v>
      </c>
      <c r="C356" s="6" t="s">
        <v>89</v>
      </c>
      <c r="D356" s="6" t="s">
        <v>90</v>
      </c>
      <c r="E356" s="6" t="s">
        <v>91</v>
      </c>
      <c r="F356" s="6" t="s">
        <v>368</v>
      </c>
      <c r="G356" s="6" t="s">
        <v>368</v>
      </c>
      <c r="H356" s="6" t="s">
        <v>920</v>
      </c>
      <c r="I356" s="6"/>
      <c r="J356" s="6"/>
      <c r="K356" s="7">
        <v>356.0</v>
      </c>
      <c r="L356" s="6" t="str">
        <f>IFERROR(__xludf.DUMMYFUNCTION("GOOGLETRANSLATE(B356,""en"",""ur"")"),"زمین کی سب سے نمایاں خصوصیت کیا ہے؟")</f>
        <v>زمین کی سب سے نمایاں خصوصیت کیا ہے؟</v>
      </c>
      <c r="M356" s="6"/>
      <c r="N356" s="8" t="str">
        <f>IFERROR(__xludf.DUMMYFUNCTION("GOOGLETRANSLATE(D356,""en"",""ur"")"),"کیچڑ والا میدان")</f>
        <v>کیچڑ والا میدان</v>
      </c>
      <c r="O356" s="6" t="str">
        <f>IFERROR(__xludf.DUMMYFUNCTION("GOOGLETRANSLATE(E356,""en"",""ur"")"),"ایک گھاس دار سطح")</f>
        <v>ایک گھاس دار سطح</v>
      </c>
      <c r="P356" s="6" t="str">
        <f>IFERROR(__xludf.DUMMYFUNCTION("GOOGLETRANSLATE(F356,""en"",""ur"")"),"دھول اڑنے والی ریتلی یا گندگی کی سطح")</f>
        <v>دھول اڑنے والی ریتلی یا گندگی کی سطح</v>
      </c>
      <c r="Q356" s="6" t="s">
        <v>650</v>
      </c>
      <c r="R356" s="6" t="str">
        <f>IFERROR(__xludf.DUMMYFUNCTION("GOOGLETRANSLATE(G356,""en"",""ur"")"),"دھول اڑنے والی ریتلی یا گندگی کی سطح")</f>
        <v>دھول اڑنے والی ریتلی یا گندگی کی سطح</v>
      </c>
      <c r="S356" s="6" t="s">
        <v>920</v>
      </c>
      <c r="T356" s="6"/>
      <c r="U356" s="6"/>
      <c r="V356" s="6"/>
      <c r="W356" s="6"/>
      <c r="X356" s="6"/>
      <c r="Y356" s="6"/>
      <c r="Z356" s="6"/>
      <c r="AA356" s="6"/>
    </row>
    <row r="357">
      <c r="A357" s="7">
        <v>357.0</v>
      </c>
      <c r="B357" s="6" t="s">
        <v>94</v>
      </c>
      <c r="C357" s="6" t="s">
        <v>95</v>
      </c>
      <c r="D357" s="6" t="s">
        <v>651</v>
      </c>
      <c r="E357" s="6" t="s">
        <v>652</v>
      </c>
      <c r="F357" s="6" t="s">
        <v>653</v>
      </c>
      <c r="G357" s="6" t="s">
        <v>652</v>
      </c>
      <c r="H357" s="6" t="s">
        <v>920</v>
      </c>
      <c r="I357" s="6"/>
      <c r="J357" s="6"/>
      <c r="K357" s="7">
        <v>357.0</v>
      </c>
      <c r="L357" s="6" t="str">
        <f>IFERROR(__xludf.DUMMYFUNCTION("GOOGLETRANSLATE(B357,""en"",""ur"")"),"کھیلے جانے والے کھیل کا نام کیا ہے؟")</f>
        <v>کھیلے جانے والے کھیل کا نام کیا ہے؟</v>
      </c>
      <c r="M357" s="6"/>
      <c r="N357" s="8" t="str">
        <f>IFERROR(__xludf.DUMMYFUNCTION("GOOGLETRANSLATE(D357,""en"",""ur"")"),"کرکٹ")</f>
        <v>کرکٹ</v>
      </c>
      <c r="O357" s="6" t="str">
        <f>IFERROR(__xludf.DUMMYFUNCTION("GOOGLETRANSLATE(E357,""en"",""ur"")"),"گلی ڈنڈا۔")</f>
        <v>گلی ڈنڈا۔</v>
      </c>
      <c r="P357" s="6" t="str">
        <f>IFERROR(__xludf.DUMMYFUNCTION("GOOGLETRANSLATE(F357,""en"",""ur"")"),"بیس بال")</f>
        <v>بیس بال</v>
      </c>
      <c r="Q357" s="6" t="s">
        <v>654</v>
      </c>
      <c r="R357" s="6" t="str">
        <f>IFERROR(__xludf.DUMMYFUNCTION("GOOGLETRANSLATE(G357,""en"",""ur"")"),"گلی ڈنڈا۔")</f>
        <v>گلی ڈنڈا۔</v>
      </c>
      <c r="S357" s="6" t="s">
        <v>920</v>
      </c>
      <c r="T357" s="6"/>
      <c r="U357" s="6"/>
      <c r="V357" s="6"/>
      <c r="W357" s="6"/>
      <c r="X357" s="6"/>
      <c r="Y357" s="6"/>
      <c r="Z357" s="6"/>
      <c r="AA357" s="6"/>
    </row>
    <row r="358">
      <c r="A358" s="7">
        <v>358.0</v>
      </c>
      <c r="B358" s="6" t="s">
        <v>260</v>
      </c>
      <c r="C358" s="6" t="s">
        <v>261</v>
      </c>
      <c r="D358" s="6" t="s">
        <v>262</v>
      </c>
      <c r="E358" s="6" t="s">
        <v>263</v>
      </c>
      <c r="F358" s="6" t="s">
        <v>655</v>
      </c>
      <c r="G358" s="6" t="s">
        <v>655</v>
      </c>
      <c r="H358" s="6" t="s">
        <v>920</v>
      </c>
      <c r="I358" s="6"/>
      <c r="J358" s="6"/>
      <c r="K358" s="7">
        <v>358.0</v>
      </c>
      <c r="L358" s="6" t="str">
        <f>IFERROR(__xludf.DUMMYFUNCTION("GOOGLETRANSLATE(B358,""en"",""ur"")"),"تصویر میں ایکشن ایک ایسا انداز تجویز کرتا ہے جو اس بات پر زور دیتا ہے...")</f>
        <v>تصویر میں ایکشن ایک ایسا انداز تجویز کرتا ہے جو اس بات پر زور دیتا ہے...</v>
      </c>
      <c r="M358" s="6"/>
      <c r="N358" s="8" t="str">
        <f>IFERROR(__xludf.DUMMYFUNCTION("GOOGLETRANSLATE(D358,""en"",""ur"")"),"زمینی لڑائی اور گرفت")</f>
        <v>زمینی لڑائی اور گرفت</v>
      </c>
      <c r="O358" s="6" t="str">
        <f>IFERROR(__xludf.DUMMYFUNCTION("GOOGLETRANSLATE(E358,""en"",""ur"")"),"وحشیانہ قوت اور گھڑ سواری۔")</f>
        <v>وحشیانہ قوت اور گھڑ سواری۔</v>
      </c>
      <c r="P358" s="6" t="str">
        <f>IFERROR(__xludf.DUMMYFUNCTION("GOOGLETRANSLATE(F358,""en"",""ur"")"),"ہاتھ سے آنکھ کو آرڈینیشن اور حیرت انگیز")</f>
        <v>ہاتھ سے آنکھ کو آرڈینیشن اور حیرت انگیز</v>
      </c>
      <c r="Q358" s="6" t="s">
        <v>656</v>
      </c>
      <c r="R358" s="6" t="str">
        <f>IFERROR(__xludf.DUMMYFUNCTION("GOOGLETRANSLATE(G358,""en"",""ur"")"),"ہاتھ سے آنکھ کو آرڈینیشن اور حیرت انگیز")</f>
        <v>ہاتھ سے آنکھ کو آرڈینیشن اور حیرت انگیز</v>
      </c>
      <c r="S358" s="6" t="s">
        <v>920</v>
      </c>
      <c r="T358" s="6"/>
      <c r="U358" s="6"/>
      <c r="V358" s="6"/>
      <c r="W358" s="6"/>
      <c r="X358" s="6"/>
      <c r="Y358" s="6"/>
      <c r="Z358" s="6"/>
      <c r="AA358" s="6"/>
    </row>
    <row r="359">
      <c r="A359" s="7">
        <v>359.0</v>
      </c>
      <c r="B359" s="6" t="s">
        <v>657</v>
      </c>
      <c r="C359" s="6" t="s">
        <v>658</v>
      </c>
      <c r="D359" s="6" t="s">
        <v>659</v>
      </c>
      <c r="E359" s="6" t="s">
        <v>660</v>
      </c>
      <c r="F359" s="6" t="s">
        <v>661</v>
      </c>
      <c r="G359" s="6" t="s">
        <v>659</v>
      </c>
      <c r="H359" s="6" t="s">
        <v>920</v>
      </c>
      <c r="I359" s="6"/>
      <c r="J359" s="6"/>
      <c r="K359" s="7">
        <v>359.0</v>
      </c>
      <c r="L359" s="6" t="str">
        <f>IFERROR(__xludf.DUMMYFUNCTION("GOOGLETRANSLATE(B359,""en"",""ur"")"),"کھلاڑیوں کے جوتے کے بارے میں ایک قابل ذکر تفصیل کیا ہے؟")</f>
        <v>کھلاڑیوں کے جوتے کے بارے میں ایک قابل ذکر تفصیل کیا ہے؟</v>
      </c>
      <c r="M359" s="6"/>
      <c r="N359" s="8" t="str">
        <f>IFERROR(__xludf.DUMMYFUNCTION("GOOGLETRANSLATE(D359,""en"",""ur"")"),"وہ ننگے پاؤں ہیں۔")</f>
        <v>وہ ننگے پاؤں ہیں۔</v>
      </c>
      <c r="O359" s="6" t="str">
        <f>IFERROR(__xludf.DUMMYFUNCTION("GOOGLETRANSLATE(E359,""en"",""ur"")"),"وہ سینڈل یا فلپ فلاپ پہنے ہوئے ہیں۔")</f>
        <v>وہ سینڈل یا فلپ فلاپ پہنے ہوئے ہیں۔</v>
      </c>
      <c r="P359" s="6" t="str">
        <f>IFERROR(__xludf.DUMMYFUNCTION("GOOGLETRANSLATE(F359,""en"",""ur"")"),"وہ موزے پہنے ہوئے ہیں۔")</f>
        <v>وہ موزے پہنے ہوئے ہیں۔</v>
      </c>
      <c r="Q359" s="6" t="s">
        <v>662</v>
      </c>
      <c r="R359" s="6" t="str">
        <f>IFERROR(__xludf.DUMMYFUNCTION("GOOGLETRANSLATE(G359,""en"",""ur"")"),"وہ ننگے پاؤں ہیں۔")</f>
        <v>وہ ننگے پاؤں ہیں۔</v>
      </c>
      <c r="S359" s="6" t="s">
        <v>920</v>
      </c>
      <c r="T359" s="6"/>
      <c r="U359" s="6"/>
      <c r="V359" s="6"/>
      <c r="W359" s="6"/>
      <c r="X359" s="6"/>
      <c r="Y359" s="6"/>
      <c r="Z359" s="6"/>
      <c r="AA359" s="6"/>
    </row>
    <row r="360">
      <c r="A360" s="7">
        <v>360.0</v>
      </c>
      <c r="B360" s="6" t="s">
        <v>663</v>
      </c>
      <c r="C360" s="6" t="s">
        <v>664</v>
      </c>
      <c r="D360" s="6" t="s">
        <v>665</v>
      </c>
      <c r="E360" s="6" t="s">
        <v>666</v>
      </c>
      <c r="F360" s="6" t="s">
        <v>667</v>
      </c>
      <c r="G360" s="6" t="s">
        <v>666</v>
      </c>
      <c r="H360" s="6" t="s">
        <v>920</v>
      </c>
      <c r="I360" s="6"/>
      <c r="J360" s="6"/>
      <c r="K360" s="7">
        <v>360.0</v>
      </c>
      <c r="L360" s="6" t="str">
        <f>IFERROR(__xludf.DUMMYFUNCTION("GOOGLETRANSLATE(B360,""en"",""ur"")"),"پس منظر میں دیگر کھلاڑیوں کے بارے میں ایک قابل ذکر تفصیل کیا ہے؟")</f>
        <v>پس منظر میں دیگر کھلاڑیوں کے بارے میں ایک قابل ذکر تفصیل کیا ہے؟</v>
      </c>
      <c r="M360" s="6"/>
      <c r="N360" s="8" t="str">
        <f>IFERROR(__xludf.DUMMYFUNCTION("GOOGLETRANSLATE(D360,""en"",""ur"")"),"وہ سب ادھر ادھر بھاگ رہے ہیں۔")</f>
        <v>وہ سب ادھر ادھر بھاگ رہے ہیں۔</v>
      </c>
      <c r="O360" s="6" t="str">
        <f>IFERROR(__xludf.DUMMYFUNCTION("GOOGLETRANSLATE(E360,""en"",""ur"")"),"وہ ایک دفاعی، تیار موقف میں ہیں۔")</f>
        <v>وہ ایک دفاعی، تیار موقف میں ہیں۔</v>
      </c>
      <c r="P360" s="6" t="str">
        <f>IFERROR(__xludf.DUMMYFUNCTION("GOOGLETRANSLATE(F360,""en"",""ur"")"),"وہ سب لہرا رہے ہیں۔")</f>
        <v>وہ سب لہرا رہے ہیں۔</v>
      </c>
      <c r="Q360" s="6" t="s">
        <v>668</v>
      </c>
      <c r="R360" s="6" t="str">
        <f>IFERROR(__xludf.DUMMYFUNCTION("GOOGLETRANSLATE(G360,""en"",""ur"")"),"وہ ایک دفاعی، تیار موقف میں ہیں۔")</f>
        <v>وہ ایک دفاعی، تیار موقف میں ہیں۔</v>
      </c>
      <c r="S360" s="6" t="s">
        <v>920</v>
      </c>
      <c r="T360" s="6"/>
      <c r="U360" s="6"/>
      <c r="V360" s="6"/>
      <c r="W360" s="6"/>
      <c r="X360" s="6"/>
      <c r="Y360" s="6"/>
      <c r="Z360" s="6"/>
      <c r="AA360" s="6"/>
    </row>
    <row r="361">
      <c r="A361" s="7">
        <v>361.0</v>
      </c>
      <c r="B361" s="6" t="s">
        <v>921</v>
      </c>
      <c r="C361" s="6" t="s">
        <v>899</v>
      </c>
      <c r="D361" s="6" t="s">
        <v>682</v>
      </c>
      <c r="E361" s="6" t="s">
        <v>681</v>
      </c>
      <c r="F361" s="6" t="s">
        <v>684</v>
      </c>
      <c r="G361" s="6" t="s">
        <v>682</v>
      </c>
      <c r="H361" s="6" t="s">
        <v>922</v>
      </c>
      <c r="I361" s="6"/>
      <c r="J361" s="6"/>
      <c r="K361" s="7">
        <v>361.0</v>
      </c>
      <c r="L361" s="6" t="str">
        <f>IFERROR(__xludf.DUMMYFUNCTION("GOOGLETRANSLATE(B361,""en"",""ur"")"),"گلی_ڈنڈا_38 میں دکھایا گیا اصل عمل کیا ہے؟")</f>
        <v>گلی_ڈنڈا_38 میں دکھایا گیا اصل عمل کیا ہے؟</v>
      </c>
      <c r="M361" s="6"/>
      <c r="N361" s="8" t="str">
        <f>IFERROR(__xludf.DUMMYFUNCTION("GOOGLETRANSLATE(D361,""en"",""ur"")"),"بچوں کا ایک گروپ جو گیند کا کھیل کھیل رہا ہے۔")</f>
        <v>بچوں کا ایک گروپ جو گیند کا کھیل کھیل رہا ہے۔</v>
      </c>
      <c r="O361" s="6" t="str">
        <f>IFERROR(__xludf.DUMMYFUNCTION("GOOGLETRANSLATE(E361,""en"",""ur"")"),"لڑنے والے بچوں کا ایک گروپ")</f>
        <v>لڑنے والے بچوں کا ایک گروپ</v>
      </c>
      <c r="P361" s="6" t="str">
        <f>IFERROR(__xludf.DUMMYFUNCTION("GOOGLETRANSLATE(F361,""en"",""ur"")"),"بچوں کا ایک گروپ چل رہا ہے۔")</f>
        <v>بچوں کا ایک گروپ چل رہا ہے۔</v>
      </c>
      <c r="Q361" s="6" t="s">
        <v>813</v>
      </c>
      <c r="R361" s="6" t="str">
        <f>IFERROR(__xludf.DUMMYFUNCTION("GOOGLETRANSLATE(G361,""en"",""ur"")"),"بچوں کا ایک گروپ جو گیند کا کھیل کھیل رہا ہے۔")</f>
        <v>بچوں کا ایک گروپ جو گیند کا کھیل کھیل رہا ہے۔</v>
      </c>
      <c r="S361" s="6" t="s">
        <v>922</v>
      </c>
      <c r="T361" s="6"/>
      <c r="U361" s="6"/>
      <c r="V361" s="6"/>
      <c r="W361" s="6"/>
      <c r="X361" s="6"/>
      <c r="Y361" s="6"/>
      <c r="Z361" s="6"/>
      <c r="AA361" s="6"/>
    </row>
    <row r="362">
      <c r="A362" s="7">
        <v>362.0</v>
      </c>
      <c r="B362" s="6" t="s">
        <v>636</v>
      </c>
      <c r="C362" s="6" t="s">
        <v>637</v>
      </c>
      <c r="D362" s="6" t="s">
        <v>638</v>
      </c>
      <c r="E362" s="6" t="s">
        <v>639</v>
      </c>
      <c r="F362" s="6" t="s">
        <v>640</v>
      </c>
      <c r="G362" s="6" t="s">
        <v>637</v>
      </c>
      <c r="H362" s="6" t="s">
        <v>922</v>
      </c>
      <c r="I362" s="6"/>
      <c r="J362" s="6"/>
      <c r="K362" s="7">
        <v>362.0</v>
      </c>
      <c r="L362" s="6" t="str">
        <f>IFERROR(__xludf.DUMMYFUNCTION("GOOGLETRANSLATE(B362,""en"",""ur"")"),"کھیل میں استعمال ہونے والے آلات کے دو ٹکڑے کیا ہیں؟")</f>
        <v>کھیل میں استعمال ہونے والے آلات کے دو ٹکڑے کیا ہیں؟</v>
      </c>
      <c r="M362" s="6"/>
      <c r="N362" s="8" t="str">
        <f>IFERROR(__xludf.DUMMYFUNCTION("GOOGLETRANSLATE(D362,""en"",""ur"")"),"ایک لمبی چھڑی (ڈنڈا) اور ایک چھوٹی چھڑی (گلی)")</f>
        <v>ایک لمبی چھڑی (ڈنڈا) اور ایک چھوٹی چھڑی (گلی)</v>
      </c>
      <c r="O362" s="6" t="str">
        <f>IFERROR(__xludf.DUMMYFUNCTION("GOOGLETRANSLATE(E362,""en"",""ur"")"),"ایک ریکیٹ اور ایک شٹل کاک")</f>
        <v>ایک ریکیٹ اور ایک شٹل کاک</v>
      </c>
      <c r="P362" s="6" t="str">
        <f>IFERROR(__xludf.DUMMYFUNCTION("GOOGLETRANSLATE(F362,""en"",""ur"")"),"ایک چمگادڑ اور ایک دستانہ")</f>
        <v>ایک چمگادڑ اور ایک دستانہ</v>
      </c>
      <c r="Q362" s="6" t="s">
        <v>641</v>
      </c>
      <c r="R362" s="6" t="str">
        <f>IFERROR(__xludf.DUMMYFUNCTION("GOOGLETRANSLATE(G362,""en"",""ur"")"),"ایک گیند اور ایک بیٹ")</f>
        <v>ایک گیند اور ایک بیٹ</v>
      </c>
      <c r="S362" s="6" t="s">
        <v>922</v>
      </c>
      <c r="T362" s="6"/>
      <c r="U362" s="6"/>
      <c r="V362" s="6"/>
      <c r="W362" s="6"/>
      <c r="X362" s="6"/>
      <c r="Y362" s="6"/>
      <c r="Z362" s="6"/>
      <c r="AA362" s="6"/>
    </row>
    <row r="363">
      <c r="A363" s="7">
        <v>363.0</v>
      </c>
      <c r="B363" s="6" t="s">
        <v>767</v>
      </c>
      <c r="C363" s="6" t="s">
        <v>797</v>
      </c>
      <c r="D363" s="6" t="s">
        <v>798</v>
      </c>
      <c r="E363" s="6" t="s">
        <v>799</v>
      </c>
      <c r="F363" s="6" t="s">
        <v>800</v>
      </c>
      <c r="G363" s="6" t="s">
        <v>797</v>
      </c>
      <c r="H363" s="6" t="s">
        <v>922</v>
      </c>
      <c r="I363" s="6"/>
      <c r="J363" s="6"/>
      <c r="K363" s="7">
        <v>363.0</v>
      </c>
      <c r="L363" s="6" t="str">
        <f>IFERROR(__xludf.DUMMYFUNCTION("GOOGLETRANSLATE(B363,""en"",""ur"")"),"کھلاڑیوں کے بارے میں ایک قابل ذکر تفصیل کیا ہے؟")</f>
        <v>کھلاڑیوں کے بارے میں ایک قابل ذکر تفصیل کیا ہے؟</v>
      </c>
      <c r="M363" s="6"/>
      <c r="N363" s="8" t="str">
        <f>IFERROR(__xludf.DUMMYFUNCTION("GOOGLETRANSLATE(D363,""en"",""ur"")"),"وہ سب بالغ ہیں۔")</f>
        <v>وہ سب بالغ ہیں۔</v>
      </c>
      <c r="O363" s="6" t="str">
        <f>IFERROR(__xludf.DUMMYFUNCTION("GOOGLETRANSLATE(E363,""en"",""ur"")"),"وہ عمر اور جنس کا مرکب ہیں۔")</f>
        <v>وہ عمر اور جنس کا مرکب ہیں۔</v>
      </c>
      <c r="P363" s="6" t="str">
        <f>IFERROR(__xludf.DUMMYFUNCTION("GOOGLETRANSLATE(F363,""en"",""ur"")"),"وہ سب خواتین ہیں۔")</f>
        <v>وہ سب خواتین ہیں۔</v>
      </c>
      <c r="Q363" s="6" t="s">
        <v>801</v>
      </c>
      <c r="R363" s="6" t="str">
        <f>IFERROR(__xludf.DUMMYFUNCTION("GOOGLETRANSLATE(G363,""en"",""ur"")"),"وہ سب بچے ہیں۔")</f>
        <v>وہ سب بچے ہیں۔</v>
      </c>
      <c r="S363" s="6" t="s">
        <v>922</v>
      </c>
      <c r="T363" s="6"/>
      <c r="U363" s="6"/>
      <c r="V363" s="6"/>
      <c r="W363" s="6"/>
      <c r="X363" s="6"/>
      <c r="Y363" s="6"/>
      <c r="Z363" s="6"/>
      <c r="AA363" s="6"/>
    </row>
    <row r="364">
      <c r="A364" s="7">
        <v>364.0</v>
      </c>
      <c r="B364" s="6" t="s">
        <v>645</v>
      </c>
      <c r="C364" s="6" t="s">
        <v>422</v>
      </c>
      <c r="D364" s="6" t="s">
        <v>646</v>
      </c>
      <c r="E364" s="6" t="s">
        <v>802</v>
      </c>
      <c r="F364" s="6" t="s">
        <v>425</v>
      </c>
      <c r="G364" s="6" t="s">
        <v>425</v>
      </c>
      <c r="H364" s="6" t="s">
        <v>922</v>
      </c>
      <c r="I364" s="6"/>
      <c r="J364" s="6"/>
      <c r="K364" s="7">
        <v>364.0</v>
      </c>
      <c r="L364" s="6" t="str">
        <f>IFERROR(__xludf.DUMMYFUNCTION("GOOGLETRANSLATE(B364,""en"",""ur"")"),"کھیل کی ظاہری ترتیب کیا ہے؟")</f>
        <v>کھیل کی ظاہری ترتیب کیا ہے؟</v>
      </c>
      <c r="M364" s="6"/>
      <c r="N364" s="8" t="str">
        <f>IFERROR(__xludf.DUMMYFUNCTION("GOOGLETRANSLATE(D364,""en"",""ur"")"),"شہر کی ایک گلی")</f>
        <v>شہر کی ایک گلی</v>
      </c>
      <c r="O364" s="6" t="str">
        <f>IFERROR(__xludf.DUMMYFUNCTION("GOOGLETRANSLATE(E364,""en"",""ur"")"),"بیرونی گندگی کا علاقہ")</f>
        <v>بیرونی گندگی کا علاقہ</v>
      </c>
      <c r="P364" s="6" t="str">
        <f>IFERROR(__xludf.DUMMYFUNCTION("GOOGLETRANSLATE(F364,""en"",""ur"")"),"گھاس کا میدان")</f>
        <v>گھاس کا میدان</v>
      </c>
      <c r="Q364" s="6" t="s">
        <v>913</v>
      </c>
      <c r="R364" s="6" t="str">
        <f>IFERROR(__xludf.DUMMYFUNCTION("GOOGLETRANSLATE(G364,""en"",""ur"")"),"گھاس کا میدان")</f>
        <v>گھاس کا میدان</v>
      </c>
      <c r="S364" s="6" t="s">
        <v>922</v>
      </c>
      <c r="T364" s="6"/>
      <c r="U364" s="6"/>
      <c r="V364" s="6"/>
      <c r="W364" s="6"/>
      <c r="X364" s="6"/>
      <c r="Y364" s="6"/>
      <c r="Z364" s="6"/>
      <c r="AA364" s="6"/>
    </row>
    <row r="365">
      <c r="A365" s="7">
        <v>365.0</v>
      </c>
      <c r="B365" s="6" t="s">
        <v>46</v>
      </c>
      <c r="C365" s="6" t="s">
        <v>47</v>
      </c>
      <c r="D365" s="6" t="s">
        <v>48</v>
      </c>
      <c r="E365" s="6" t="s">
        <v>49</v>
      </c>
      <c r="F365" s="6" t="s">
        <v>50</v>
      </c>
      <c r="G365" s="6" t="s">
        <v>50</v>
      </c>
      <c r="H365" s="6" t="s">
        <v>922</v>
      </c>
      <c r="I365" s="6"/>
      <c r="J365" s="6"/>
      <c r="K365" s="7">
        <v>365.0</v>
      </c>
      <c r="L365" s="6" t="str">
        <f>IFERROR(__xludf.DUMMYFUNCTION("GOOGLETRANSLATE(B365,""en"",""ur"")"),"کھلاڑیوں کے چہروں سے ظاہری جذبات کیا ہیں؟")</f>
        <v>کھلاڑیوں کے چہروں سے ظاہری جذبات کیا ہیں؟</v>
      </c>
      <c r="M365" s="6"/>
      <c r="N365" s="8" t="str">
        <f>IFERROR(__xludf.DUMMYFUNCTION("GOOGLETRANSLATE(D365,""en"",""ur"")"),"خوف زدہ اور بے چین")</f>
        <v>خوف زدہ اور بے چین</v>
      </c>
      <c r="O365" s="6" t="str">
        <f>IFERROR(__xludf.DUMMYFUNCTION("GOOGLETRANSLATE(E365,""en"",""ur"")"),"کشیدہ اور شدید")</f>
        <v>کشیدہ اور شدید</v>
      </c>
      <c r="P365" s="6" t="str">
        <f>IFERROR(__xludf.DUMMYFUNCTION("GOOGLETRANSLATE(F365,""en"",""ur"")"),"خوش اور مسکراتے ہوئے۔")</f>
        <v>خوش اور مسکراتے ہوئے۔</v>
      </c>
      <c r="Q365" s="6" t="s">
        <v>649</v>
      </c>
      <c r="R365" s="6" t="str">
        <f>IFERROR(__xludf.DUMMYFUNCTION("GOOGLETRANSLATE(G365,""en"",""ur"")"),"خوش اور مسکراتے ہوئے۔")</f>
        <v>خوش اور مسکراتے ہوئے۔</v>
      </c>
      <c r="S365" s="6" t="s">
        <v>922</v>
      </c>
      <c r="T365" s="6"/>
      <c r="U365" s="6"/>
      <c r="V365" s="6"/>
      <c r="W365" s="6"/>
      <c r="X365" s="6"/>
      <c r="Y365" s="6"/>
      <c r="Z365" s="6"/>
      <c r="AA365" s="6"/>
    </row>
    <row r="366">
      <c r="A366" s="7">
        <v>366.0</v>
      </c>
      <c r="B366" s="6" t="s">
        <v>88</v>
      </c>
      <c r="C366" s="6" t="s">
        <v>89</v>
      </c>
      <c r="D366" s="6" t="s">
        <v>90</v>
      </c>
      <c r="E366" s="6" t="s">
        <v>91</v>
      </c>
      <c r="F366" s="6" t="s">
        <v>255</v>
      </c>
      <c r="G366" s="6" t="s">
        <v>91</v>
      </c>
      <c r="H366" s="6" t="s">
        <v>922</v>
      </c>
      <c r="I366" s="6"/>
      <c r="J366" s="6"/>
      <c r="K366" s="7">
        <v>366.0</v>
      </c>
      <c r="L366" s="6" t="str">
        <f>IFERROR(__xludf.DUMMYFUNCTION("GOOGLETRANSLATE(B366,""en"",""ur"")"),"زمین کی سب سے نمایاں خصوصیت کیا ہے؟")</f>
        <v>زمین کی سب سے نمایاں خصوصیت کیا ہے؟</v>
      </c>
      <c r="M366" s="6"/>
      <c r="N366" s="8" t="str">
        <f>IFERROR(__xludf.DUMMYFUNCTION("GOOGLETRANSLATE(D366,""en"",""ur"")"),"کیچڑ والا میدان")</f>
        <v>کیچڑ والا میدان</v>
      </c>
      <c r="O366" s="6" t="str">
        <f>IFERROR(__xludf.DUMMYFUNCTION("GOOGLETRANSLATE(E366,""en"",""ur"")"),"ایک گھاس دار سطح")</f>
        <v>ایک گھاس دار سطح</v>
      </c>
      <c r="P366" s="6" t="str">
        <f>IFERROR(__xludf.DUMMYFUNCTION("GOOGLETRANSLATE(F366,""en"",""ur"")"),"ریتلی یا گندگی کی سطح")</f>
        <v>ریتلی یا گندگی کی سطح</v>
      </c>
      <c r="Q366" s="6" t="s">
        <v>688</v>
      </c>
      <c r="R366" s="6" t="str">
        <f>IFERROR(__xludf.DUMMYFUNCTION("GOOGLETRANSLATE(G366,""en"",""ur"")"),"ایک گھاس دار سطح")</f>
        <v>ایک گھاس دار سطح</v>
      </c>
      <c r="S366" s="6" t="s">
        <v>922</v>
      </c>
      <c r="T366" s="6"/>
      <c r="U366" s="6"/>
      <c r="V366" s="6"/>
      <c r="W366" s="6"/>
      <c r="X366" s="6"/>
      <c r="Y366" s="6"/>
      <c r="Z366" s="6"/>
      <c r="AA366" s="6"/>
    </row>
    <row r="367">
      <c r="A367" s="7">
        <v>367.0</v>
      </c>
      <c r="B367" s="6" t="s">
        <v>94</v>
      </c>
      <c r="C367" s="6" t="s">
        <v>95</v>
      </c>
      <c r="D367" s="6" t="s">
        <v>651</v>
      </c>
      <c r="E367" s="6" t="s">
        <v>652</v>
      </c>
      <c r="F367" s="6" t="s">
        <v>805</v>
      </c>
      <c r="G367" s="6" t="s">
        <v>805</v>
      </c>
      <c r="H367" s="6" t="s">
        <v>922</v>
      </c>
      <c r="I367" s="6"/>
      <c r="J367" s="6"/>
      <c r="K367" s="7">
        <v>367.0</v>
      </c>
      <c r="L367" s="6" t="str">
        <f>IFERROR(__xludf.DUMMYFUNCTION("GOOGLETRANSLATE(B367,""en"",""ur"")"),"کھیلے جانے والے کھیل کا نام کیا ہے؟")</f>
        <v>کھیلے جانے والے کھیل کا نام کیا ہے؟</v>
      </c>
      <c r="M367" s="6"/>
      <c r="N367" s="8" t="str">
        <f>IFERROR(__xludf.DUMMYFUNCTION("GOOGLETRANSLATE(D367,""en"",""ur"")"),"کرکٹ")</f>
        <v>کرکٹ</v>
      </c>
      <c r="O367" s="6" t="str">
        <f>IFERROR(__xludf.DUMMYFUNCTION("GOOGLETRANSLATE(E367,""en"",""ur"")"),"گلی ڈنڈا۔")</f>
        <v>گلی ڈنڈا۔</v>
      </c>
      <c r="P367" s="6" t="str">
        <f>IFERROR(__xludf.DUMMYFUNCTION("GOOGLETRANSLATE(F367,""en"",""ur"")"),"ساکر")</f>
        <v>ساکر</v>
      </c>
      <c r="Q367" s="6" t="s">
        <v>806</v>
      </c>
      <c r="R367" s="6" t="str">
        <f>IFERROR(__xludf.DUMMYFUNCTION("GOOGLETRANSLATE(G367,""en"",""ur"")"),"ساکر")</f>
        <v>ساکر</v>
      </c>
      <c r="S367" s="6" t="s">
        <v>922</v>
      </c>
      <c r="T367" s="6"/>
      <c r="U367" s="6"/>
      <c r="V367" s="6"/>
      <c r="W367" s="6"/>
      <c r="X367" s="6"/>
      <c r="Y367" s="6"/>
      <c r="Z367" s="6"/>
      <c r="AA367" s="6"/>
    </row>
    <row r="368">
      <c r="A368" s="7">
        <v>368.0</v>
      </c>
      <c r="B368" s="6" t="s">
        <v>260</v>
      </c>
      <c r="C368" s="6" t="s">
        <v>261</v>
      </c>
      <c r="D368" s="6" t="s">
        <v>262</v>
      </c>
      <c r="E368" s="6" t="s">
        <v>263</v>
      </c>
      <c r="F368" s="6" t="s">
        <v>655</v>
      </c>
      <c r="G368" s="6" t="s">
        <v>655</v>
      </c>
      <c r="H368" s="6" t="s">
        <v>922</v>
      </c>
      <c r="I368" s="6"/>
      <c r="J368" s="6"/>
      <c r="K368" s="7">
        <v>368.0</v>
      </c>
      <c r="L368" s="6" t="str">
        <f>IFERROR(__xludf.DUMMYFUNCTION("GOOGLETRANSLATE(B368,""en"",""ur"")"),"تصویر میں ایکشن ایک ایسا انداز تجویز کرتا ہے جو اس بات پر زور دیتا ہے...")</f>
        <v>تصویر میں ایکشن ایک ایسا انداز تجویز کرتا ہے جو اس بات پر زور دیتا ہے...</v>
      </c>
      <c r="M368" s="6"/>
      <c r="N368" s="8" t="str">
        <f>IFERROR(__xludf.DUMMYFUNCTION("GOOGLETRANSLATE(D368,""en"",""ur"")"),"زمینی لڑائی اور گرفت")</f>
        <v>زمینی لڑائی اور گرفت</v>
      </c>
      <c r="O368" s="6" t="str">
        <f>IFERROR(__xludf.DUMMYFUNCTION("GOOGLETRANSLATE(E368,""en"",""ur"")"),"وحشیانہ قوت اور گھڑ سواری۔")</f>
        <v>وحشیانہ قوت اور گھڑ سواری۔</v>
      </c>
      <c r="P368" s="6" t="str">
        <f>IFERROR(__xludf.DUMMYFUNCTION("GOOGLETRANSLATE(F368,""en"",""ur"")"),"ہاتھ سے آنکھ کو آرڈینیشن اور حیرت انگیز")</f>
        <v>ہاتھ سے آنکھ کو آرڈینیشن اور حیرت انگیز</v>
      </c>
      <c r="Q368" s="6" t="s">
        <v>656</v>
      </c>
      <c r="R368" s="6" t="str">
        <f>IFERROR(__xludf.DUMMYFUNCTION("GOOGLETRANSLATE(G368,""en"",""ur"")"),"ہاتھ سے آنکھ کو آرڈینیشن اور حیرت انگیز")</f>
        <v>ہاتھ سے آنکھ کو آرڈینیشن اور حیرت انگیز</v>
      </c>
      <c r="S368" s="6" t="s">
        <v>922</v>
      </c>
      <c r="T368" s="6"/>
      <c r="U368" s="6"/>
      <c r="V368" s="6"/>
      <c r="W368" s="6"/>
      <c r="X368" s="6"/>
      <c r="Y368" s="6"/>
      <c r="Z368" s="6"/>
      <c r="AA368" s="6"/>
    </row>
    <row r="369">
      <c r="A369" s="7">
        <v>369.0</v>
      </c>
      <c r="B369" s="6" t="s">
        <v>657</v>
      </c>
      <c r="C369" s="6" t="s">
        <v>658</v>
      </c>
      <c r="D369" s="6" t="s">
        <v>659</v>
      </c>
      <c r="E369" s="6" t="s">
        <v>660</v>
      </c>
      <c r="F369" s="6" t="s">
        <v>661</v>
      </c>
      <c r="G369" s="6" t="s">
        <v>661</v>
      </c>
      <c r="H369" s="6" t="s">
        <v>922</v>
      </c>
      <c r="I369" s="6"/>
      <c r="J369" s="6"/>
      <c r="K369" s="7">
        <v>369.0</v>
      </c>
      <c r="L369" s="6" t="str">
        <f>IFERROR(__xludf.DUMMYFUNCTION("GOOGLETRANSLATE(B369,""en"",""ur"")"),"کھلاڑیوں کے جوتے کے بارے میں ایک قابل ذکر تفصیل کیا ہے؟")</f>
        <v>کھلاڑیوں کے جوتے کے بارے میں ایک قابل ذکر تفصیل کیا ہے؟</v>
      </c>
      <c r="M369" s="6"/>
      <c r="N369" s="8" t="str">
        <f>IFERROR(__xludf.DUMMYFUNCTION("GOOGLETRANSLATE(D369,""en"",""ur"")"),"وہ ننگے پاؤں ہیں۔")</f>
        <v>وہ ننگے پاؤں ہیں۔</v>
      </c>
      <c r="O369" s="6" t="str">
        <f>IFERROR(__xludf.DUMMYFUNCTION("GOOGLETRANSLATE(E369,""en"",""ur"")"),"وہ سینڈل یا فلپ فلاپ پہنے ہوئے ہیں۔")</f>
        <v>وہ سینڈل یا فلپ فلاپ پہنے ہوئے ہیں۔</v>
      </c>
      <c r="P369" s="6" t="str">
        <f>IFERROR(__xludf.DUMMYFUNCTION("GOOGLETRANSLATE(F369,""en"",""ur"")"),"وہ موزے پہنے ہوئے ہیں۔")</f>
        <v>وہ موزے پہنے ہوئے ہیں۔</v>
      </c>
      <c r="Q369" s="6" t="s">
        <v>662</v>
      </c>
      <c r="R369" s="6" t="str">
        <f>IFERROR(__xludf.DUMMYFUNCTION("GOOGLETRANSLATE(G369,""en"",""ur"")"),"وہ موزے پہنے ہوئے ہیں۔")</f>
        <v>وہ موزے پہنے ہوئے ہیں۔</v>
      </c>
      <c r="S369" s="6" t="s">
        <v>922</v>
      </c>
      <c r="T369" s="6"/>
      <c r="U369" s="6"/>
      <c r="V369" s="6"/>
      <c r="W369" s="6"/>
      <c r="X369" s="6"/>
      <c r="Y369" s="6"/>
      <c r="Z369" s="6"/>
      <c r="AA369" s="6"/>
    </row>
    <row r="370">
      <c r="A370" s="7">
        <v>370.0</v>
      </c>
      <c r="B370" s="6" t="s">
        <v>663</v>
      </c>
      <c r="C370" s="6" t="s">
        <v>664</v>
      </c>
      <c r="D370" s="6" t="s">
        <v>665</v>
      </c>
      <c r="E370" s="6" t="s">
        <v>666</v>
      </c>
      <c r="F370" s="6" t="s">
        <v>667</v>
      </c>
      <c r="G370" s="6" t="s">
        <v>725</v>
      </c>
      <c r="H370" s="6" t="s">
        <v>922</v>
      </c>
      <c r="I370" s="6"/>
      <c r="J370" s="6"/>
      <c r="K370" s="7">
        <v>370.0</v>
      </c>
      <c r="L370" s="6" t="str">
        <f>IFERROR(__xludf.DUMMYFUNCTION("GOOGLETRANSLATE(B370,""en"",""ur"")"),"پس منظر میں دیگر کھلاڑیوں کے بارے میں ایک قابل ذکر تفصیل کیا ہے؟")</f>
        <v>پس منظر میں دیگر کھلاڑیوں کے بارے میں ایک قابل ذکر تفصیل کیا ہے؟</v>
      </c>
      <c r="M370" s="6"/>
      <c r="N370" s="8" t="str">
        <f>IFERROR(__xludf.DUMMYFUNCTION("GOOGLETRANSLATE(D370,""en"",""ur"")"),"وہ سب ادھر ادھر بھاگ رہے ہیں۔")</f>
        <v>وہ سب ادھر ادھر بھاگ رہے ہیں۔</v>
      </c>
      <c r="O370" s="6" t="str">
        <f>IFERROR(__xludf.DUMMYFUNCTION("GOOGLETRANSLATE(E370,""en"",""ur"")"),"وہ ایک دفاعی، تیار موقف میں ہیں۔")</f>
        <v>وہ ایک دفاعی، تیار موقف میں ہیں۔</v>
      </c>
      <c r="P370" s="6" t="str">
        <f>IFERROR(__xludf.DUMMYFUNCTION("GOOGLETRANSLATE(F370,""en"",""ur"")"),"وہ سب لہرا رہے ہیں۔")</f>
        <v>وہ سب لہرا رہے ہیں۔</v>
      </c>
      <c r="Q370" s="6" t="s">
        <v>668</v>
      </c>
      <c r="R370" s="6" t="str">
        <f>IFERROR(__xludf.DUMMYFUNCTION("GOOGLETRANSLATE(G370,""en"",""ur"")"),"وہ سب کھڑے کھڑے دیکھ رہے ہیں۔")</f>
        <v>وہ سب کھڑے کھڑے دیکھ رہے ہیں۔</v>
      </c>
      <c r="S370" s="6" t="s">
        <v>922</v>
      </c>
      <c r="T370" s="6"/>
      <c r="U370" s="6"/>
      <c r="V370" s="6"/>
      <c r="W370" s="6"/>
      <c r="X370" s="6"/>
      <c r="Y370" s="6"/>
      <c r="Z370" s="6"/>
      <c r="AA370" s="6"/>
    </row>
    <row r="371">
      <c r="A371" s="7">
        <v>371.0</v>
      </c>
      <c r="B371" s="6" t="s">
        <v>923</v>
      </c>
      <c r="C371" s="6" t="s">
        <v>690</v>
      </c>
      <c r="D371" s="6" t="s">
        <v>727</v>
      </c>
      <c r="E371" s="6" t="s">
        <v>633</v>
      </c>
      <c r="F371" s="6" t="s">
        <v>634</v>
      </c>
      <c r="G371" s="6" t="s">
        <v>727</v>
      </c>
      <c r="H371" s="6" t="s">
        <v>924</v>
      </c>
      <c r="I371" s="6"/>
      <c r="J371" s="6"/>
      <c r="K371" s="7">
        <v>371.0</v>
      </c>
      <c r="L371" s="6" t="str">
        <f>IFERROR(__xludf.DUMMYFUNCTION("GOOGLETRANSLATE(B371,""en"",""ur"")"),"gilli_danda_24 میں دکھایا گیا اصل عمل کیا ہے؟")</f>
        <v>gilli_danda_24 میں دکھایا گیا اصل عمل کیا ہے؟</v>
      </c>
      <c r="M371" s="6"/>
      <c r="N371" s="8" t="str">
        <f>IFERROR(__xludf.DUMMYFUNCTION("GOOGLETRANSLATE(D371,""en"",""ur"")"),"کھیل کے دو ٹکڑوں کا قریبی اپ")</f>
        <v>کھیل کے دو ٹکڑوں کا قریبی اپ</v>
      </c>
      <c r="O371" s="6" t="str">
        <f>IFERROR(__xludf.DUMMYFUNCTION("GOOGLETRANSLATE(E371,""en"",""ur"")"),"ایک کھلاڑی گیند کی خدمت کر رہا ہے۔")</f>
        <v>ایک کھلاڑی گیند کی خدمت کر رہا ہے۔</v>
      </c>
      <c r="P371" s="6" t="str">
        <f>IFERROR(__xludf.DUMMYFUNCTION("GOOGLETRANSLATE(F371,""en"",""ur"")"),"ایک کھلاڑی دفاعی بلاک کا مظاہرہ کر رہا ہے۔")</f>
        <v>ایک کھلاڑی دفاعی بلاک کا مظاہرہ کر رہا ہے۔</v>
      </c>
      <c r="Q371" s="6" t="s">
        <v>729</v>
      </c>
      <c r="R371" s="6" t="str">
        <f>IFERROR(__xludf.DUMMYFUNCTION("GOOGLETRANSLATE(G371,""en"",""ur"")"),"کھیل کے دو ٹکڑوں کا قریبی اپ")</f>
        <v>کھیل کے دو ٹکڑوں کا قریبی اپ</v>
      </c>
      <c r="S371" s="6" t="s">
        <v>924</v>
      </c>
      <c r="T371" s="6"/>
      <c r="U371" s="6"/>
      <c r="V371" s="6"/>
      <c r="W371" s="6"/>
      <c r="X371" s="6"/>
      <c r="Y371" s="6"/>
      <c r="Z371" s="6"/>
      <c r="AA371" s="6"/>
    </row>
    <row r="372">
      <c r="A372" s="7">
        <v>372.0</v>
      </c>
      <c r="B372" s="6" t="s">
        <v>730</v>
      </c>
      <c r="C372" s="6" t="s">
        <v>637</v>
      </c>
      <c r="D372" s="6" t="s">
        <v>638</v>
      </c>
      <c r="E372" s="6" t="s">
        <v>639</v>
      </c>
      <c r="F372" s="6" t="s">
        <v>640</v>
      </c>
      <c r="G372" s="6" t="s">
        <v>638</v>
      </c>
      <c r="H372" s="6" t="s">
        <v>924</v>
      </c>
      <c r="I372" s="6"/>
      <c r="J372" s="6"/>
      <c r="K372" s="7">
        <v>372.0</v>
      </c>
      <c r="L372" s="6" t="str">
        <f>IFERROR(__xludf.DUMMYFUNCTION("GOOGLETRANSLATE(B372,""en"",""ur"")"),"سامان کے دو ٹکڑے کیا دکھائے گئے ہیں؟")</f>
        <v>سامان کے دو ٹکڑے کیا دکھائے گئے ہیں؟</v>
      </c>
      <c r="M372" s="6"/>
      <c r="N372" s="8" t="str">
        <f>IFERROR(__xludf.DUMMYFUNCTION("GOOGLETRANSLATE(D372,""en"",""ur"")"),"ایک لمبی چھڑی (ڈنڈا) اور ایک چھوٹی چھڑی (گلی)")</f>
        <v>ایک لمبی چھڑی (ڈنڈا) اور ایک چھوٹی چھڑی (گلی)</v>
      </c>
      <c r="O372" s="6" t="str">
        <f>IFERROR(__xludf.DUMMYFUNCTION("GOOGLETRANSLATE(E372,""en"",""ur"")"),"ایک ریکیٹ اور ایک شٹل کاک")</f>
        <v>ایک ریکیٹ اور ایک شٹل کاک</v>
      </c>
      <c r="P372" s="6" t="str">
        <f>IFERROR(__xludf.DUMMYFUNCTION("GOOGLETRANSLATE(F372,""en"",""ur"")"),"ایک چمگادڑ اور ایک دستانہ")</f>
        <v>ایک چمگادڑ اور ایک دستانہ</v>
      </c>
      <c r="Q372" s="6" t="s">
        <v>641</v>
      </c>
      <c r="R372" s="6" t="str">
        <f>IFERROR(__xludf.DUMMYFUNCTION("GOOGLETRANSLATE(G372,""en"",""ur"")"),"ایک لمبی چھڑی (ڈنڈا) اور ایک چھوٹی چھڑی (گلی)")</f>
        <v>ایک لمبی چھڑی (ڈنڈا) اور ایک چھوٹی چھڑی (گلی)</v>
      </c>
      <c r="S372" s="6" t="s">
        <v>924</v>
      </c>
      <c r="T372" s="6"/>
      <c r="U372" s="6"/>
      <c r="V372" s="6"/>
      <c r="W372" s="6"/>
      <c r="X372" s="6"/>
      <c r="Y372" s="6"/>
      <c r="Z372" s="6"/>
      <c r="AA372" s="6"/>
    </row>
    <row r="373">
      <c r="A373" s="7">
        <v>373.0</v>
      </c>
      <c r="B373" s="6" t="s">
        <v>731</v>
      </c>
      <c r="C373" s="6" t="s">
        <v>732</v>
      </c>
      <c r="D373" s="6" t="s">
        <v>733</v>
      </c>
      <c r="E373" s="6" t="s">
        <v>734</v>
      </c>
      <c r="F373" s="6" t="s">
        <v>735</v>
      </c>
      <c r="G373" s="6" t="s">
        <v>733</v>
      </c>
      <c r="H373" s="6" t="s">
        <v>924</v>
      </c>
      <c r="I373" s="6"/>
      <c r="J373" s="6"/>
      <c r="K373" s="7">
        <v>373.0</v>
      </c>
      <c r="L373" s="6" t="str">
        <f>IFERROR(__xludf.DUMMYFUNCTION("GOOGLETRANSLATE(B373,""en"",""ur"")"),"مختصر چھڑی (گلی) کے بارے میں ایک قابل ذکر تفصیل کیا ہے؟")</f>
        <v>مختصر چھڑی (گلی) کے بارے میں ایک قابل ذکر تفصیل کیا ہے؟</v>
      </c>
      <c r="M373" s="6"/>
      <c r="N373" s="8" t="str">
        <f>IFERROR(__xludf.DUMMYFUNCTION("GOOGLETRANSLATE(D373,""en"",""ur"")"),"اس کے نوک دار یا مخروطی سرے ہوتے ہیں۔")</f>
        <v>اس کے نوک دار یا مخروطی سرے ہوتے ہیں۔</v>
      </c>
      <c r="O373" s="6" t="str">
        <f>IFERROR(__xludf.DUMMYFUNCTION("GOOGLETRANSLATE(E373,""en"",""ur"")"),"یہ ایک لمبی، پتلی چھڑی ہے۔")</f>
        <v>یہ ایک لمبی، پتلی چھڑی ہے۔</v>
      </c>
      <c r="P373" s="6" t="str">
        <f>IFERROR(__xludf.DUMMYFUNCTION("GOOGLETRANSLATE(F373,""en"",""ur"")"),"یہ ایک فلیٹ ڈسک ہے۔")</f>
        <v>یہ ایک فلیٹ ڈسک ہے۔</v>
      </c>
      <c r="Q373" s="6" t="s">
        <v>736</v>
      </c>
      <c r="R373" s="6" t="str">
        <f>IFERROR(__xludf.DUMMYFUNCTION("GOOGLETRANSLATE(G373,""en"",""ur"")"),"اس کے نوک دار یا مخروطی سرے ہوتے ہیں۔")</f>
        <v>اس کے نوک دار یا مخروطی سرے ہوتے ہیں۔</v>
      </c>
      <c r="S373" s="6" t="s">
        <v>924</v>
      </c>
      <c r="T373" s="6"/>
      <c r="U373" s="6"/>
      <c r="V373" s="6"/>
      <c r="W373" s="6"/>
      <c r="X373" s="6"/>
      <c r="Y373" s="6"/>
      <c r="Z373" s="6"/>
      <c r="AA373" s="6"/>
    </row>
    <row r="374">
      <c r="A374" s="7">
        <v>374.0</v>
      </c>
      <c r="B374" s="6" t="s">
        <v>737</v>
      </c>
      <c r="C374" s="6" t="s">
        <v>738</v>
      </c>
      <c r="D374" s="6" t="s">
        <v>739</v>
      </c>
      <c r="E374" s="6" t="s">
        <v>740</v>
      </c>
      <c r="F374" s="6" t="s">
        <v>741</v>
      </c>
      <c r="G374" s="6" t="s">
        <v>739</v>
      </c>
      <c r="H374" s="6" t="s">
        <v>924</v>
      </c>
      <c r="I374" s="6"/>
      <c r="J374" s="6"/>
      <c r="K374" s="7">
        <v>374.0</v>
      </c>
      <c r="L374" s="6" t="str">
        <f>IFERROR(__xludf.DUMMYFUNCTION("GOOGLETRANSLATE(B374,""en"",""ur"")"),"گلی کے نوکیلے سروں کا ظاہری مقصد کیا ہے؟")</f>
        <v>گلی کے نوکیلے سروں کا ظاہری مقصد کیا ہے؟</v>
      </c>
      <c r="M374" s="6"/>
      <c r="N374" s="8" t="str">
        <f>IFERROR(__xludf.DUMMYFUNCTION("GOOGLETRANSLATE(D374,""en"",""ur"")"),"تاکہ اسے مارنا آسان ہو اور اسے ہوا میں چھلانگ لگانا")</f>
        <v>تاکہ اسے مارنا آسان ہو اور اسے ہوا میں چھلانگ لگانا</v>
      </c>
      <c r="O374" s="6" t="str">
        <f>IFERROR(__xludf.DUMMYFUNCTION("GOOGLETRANSLATE(E374,""en"",""ur"")"),"تاکہ اسے پکڑنا مشکل ہو جائے۔")</f>
        <v>تاکہ اسے پکڑنا مشکل ہو جائے۔</v>
      </c>
      <c r="P374" s="6" t="str">
        <f>IFERROR(__xludf.DUMMYFUNCTION("GOOGLETRANSLATE(F374,""en"",""ur"")"),"اسے بھاری بنانے کے لیے")</f>
        <v>اسے بھاری بنانے کے لیے</v>
      </c>
      <c r="Q374" s="6" t="s">
        <v>742</v>
      </c>
      <c r="R374" s="6" t="str">
        <f>IFERROR(__xludf.DUMMYFUNCTION("GOOGLETRANSLATE(G374,""en"",""ur"")"),"تاکہ اسے مارنا آسان ہو اور اسے ہوا میں چھلانگ لگانا")</f>
        <v>تاکہ اسے مارنا آسان ہو اور اسے ہوا میں چھلانگ لگانا</v>
      </c>
      <c r="S374" s="6" t="s">
        <v>924</v>
      </c>
      <c r="T374" s="6"/>
      <c r="U374" s="6"/>
      <c r="V374" s="6"/>
      <c r="W374" s="6"/>
      <c r="X374" s="6"/>
      <c r="Y374" s="6"/>
      <c r="Z374" s="6"/>
      <c r="AA374" s="6"/>
    </row>
    <row r="375">
      <c r="A375" s="7">
        <v>375.0</v>
      </c>
      <c r="B375" s="6" t="s">
        <v>743</v>
      </c>
      <c r="C375" s="6" t="s">
        <v>744</v>
      </c>
      <c r="D375" s="6" t="s">
        <v>745</v>
      </c>
      <c r="E375" s="6" t="s">
        <v>19</v>
      </c>
      <c r="F375" s="6" t="s">
        <v>746</v>
      </c>
      <c r="G375" s="6" t="s">
        <v>745</v>
      </c>
      <c r="H375" s="6" t="s">
        <v>924</v>
      </c>
      <c r="I375" s="6"/>
      <c r="J375" s="6"/>
      <c r="K375" s="7">
        <v>375.0</v>
      </c>
      <c r="L375" s="6" t="str">
        <f>IFERROR(__xludf.DUMMYFUNCTION("GOOGLETRANSLATE(B375,""en"",""ur"")"),"لاٹھیوں کی سب سے نمایاں خصوصیت کیا ہے؟")</f>
        <v>لاٹھیوں کی سب سے نمایاں خصوصیت کیا ہے؟</v>
      </c>
      <c r="M375" s="6"/>
      <c r="N375" s="8" t="str">
        <f>IFERROR(__xludf.DUMMYFUNCTION("GOOGLETRANSLATE(D375,""en"",""ur"")"),"وہ لکڑی سے بنے ہیں۔")</f>
        <v>وہ لکڑی سے بنے ہیں۔</v>
      </c>
      <c r="O375" s="6" t="str">
        <f>IFERROR(__xludf.DUMMYFUNCTION("GOOGLETRANSLATE(E375,""en"",""ur"")"),"وہ پلاسٹک سے بنے ہیں۔")</f>
        <v>وہ پلاسٹک سے بنے ہیں۔</v>
      </c>
      <c r="P375" s="6" t="str">
        <f>IFERROR(__xludf.DUMMYFUNCTION("GOOGLETRANSLATE(F375,""en"",""ur"")"),"وہ شیشے سے بنے ہیں۔")</f>
        <v>وہ شیشے سے بنے ہیں۔</v>
      </c>
      <c r="Q375" s="6" t="s">
        <v>747</v>
      </c>
      <c r="R375" s="6" t="str">
        <f>IFERROR(__xludf.DUMMYFUNCTION("GOOGLETRANSLATE(G375,""en"",""ur"")"),"وہ لکڑی سے بنے ہیں۔")</f>
        <v>وہ لکڑی سے بنے ہیں۔</v>
      </c>
      <c r="S375" s="6" t="s">
        <v>924</v>
      </c>
      <c r="T375" s="6"/>
      <c r="U375" s="6"/>
      <c r="V375" s="6"/>
      <c r="W375" s="6"/>
      <c r="X375" s="6"/>
      <c r="Y375" s="6"/>
      <c r="Z375" s="6"/>
      <c r="AA375" s="6"/>
    </row>
    <row r="376">
      <c r="A376" s="7">
        <v>376.0</v>
      </c>
      <c r="B376" s="6" t="s">
        <v>94</v>
      </c>
      <c r="C376" s="6" t="s">
        <v>95</v>
      </c>
      <c r="D376" s="6" t="s">
        <v>651</v>
      </c>
      <c r="E376" s="6" t="s">
        <v>652</v>
      </c>
      <c r="F376" s="6" t="s">
        <v>653</v>
      </c>
      <c r="G376" s="6" t="s">
        <v>652</v>
      </c>
      <c r="H376" s="6" t="s">
        <v>924</v>
      </c>
      <c r="I376" s="6"/>
      <c r="J376" s="6"/>
      <c r="K376" s="7">
        <v>376.0</v>
      </c>
      <c r="L376" s="6" t="str">
        <f>IFERROR(__xludf.DUMMYFUNCTION("GOOGLETRANSLATE(B376,""en"",""ur"")"),"کھیلے جانے والے کھیل کا نام کیا ہے؟")</f>
        <v>کھیلے جانے والے کھیل کا نام کیا ہے؟</v>
      </c>
      <c r="M376" s="6"/>
      <c r="N376" s="8" t="str">
        <f>IFERROR(__xludf.DUMMYFUNCTION("GOOGLETRANSLATE(D376,""en"",""ur"")"),"کرکٹ")</f>
        <v>کرکٹ</v>
      </c>
      <c r="O376" s="6" t="str">
        <f>IFERROR(__xludf.DUMMYFUNCTION("GOOGLETRANSLATE(E376,""en"",""ur"")"),"گلی ڈنڈا۔")</f>
        <v>گلی ڈنڈا۔</v>
      </c>
      <c r="P376" s="6" t="str">
        <f>IFERROR(__xludf.DUMMYFUNCTION("GOOGLETRANSLATE(F376,""en"",""ur"")"),"بیس بال")</f>
        <v>بیس بال</v>
      </c>
      <c r="Q376" s="6" t="s">
        <v>654</v>
      </c>
      <c r="R376" s="6" t="str">
        <f>IFERROR(__xludf.DUMMYFUNCTION("GOOGLETRANSLATE(G376,""en"",""ur"")"),"گلی ڈنڈا۔")</f>
        <v>گلی ڈنڈا۔</v>
      </c>
      <c r="S376" s="6" t="s">
        <v>924</v>
      </c>
      <c r="T376" s="6"/>
      <c r="U376" s="6"/>
      <c r="V376" s="6"/>
      <c r="W376" s="6"/>
      <c r="X376" s="6"/>
      <c r="Y376" s="6"/>
      <c r="Z376" s="6"/>
      <c r="AA376" s="6"/>
    </row>
    <row r="377">
      <c r="A377" s="7">
        <v>377.0</v>
      </c>
      <c r="B377" s="6" t="s">
        <v>260</v>
      </c>
      <c r="C377" s="6" t="s">
        <v>261</v>
      </c>
      <c r="D377" s="6" t="s">
        <v>262</v>
      </c>
      <c r="E377" s="6" t="s">
        <v>263</v>
      </c>
      <c r="F377" s="6" t="s">
        <v>655</v>
      </c>
      <c r="G377" s="6" t="s">
        <v>655</v>
      </c>
      <c r="H377" s="6" t="s">
        <v>924</v>
      </c>
      <c r="I377" s="6"/>
      <c r="J377" s="6"/>
      <c r="K377" s="7">
        <v>377.0</v>
      </c>
      <c r="L377" s="6" t="str">
        <f>IFERROR(__xludf.DUMMYFUNCTION("GOOGLETRANSLATE(B377,""en"",""ur"")"),"تصویر میں ایکشن ایک ایسا انداز تجویز کرتا ہے جو اس بات پر زور دیتا ہے...")</f>
        <v>تصویر میں ایکشن ایک ایسا انداز تجویز کرتا ہے جو اس بات پر زور دیتا ہے...</v>
      </c>
      <c r="M377" s="6"/>
      <c r="N377" s="8" t="str">
        <f>IFERROR(__xludf.DUMMYFUNCTION("GOOGLETRANSLATE(D377,""en"",""ur"")"),"زمینی لڑائی اور گرفت")</f>
        <v>زمینی لڑائی اور گرفت</v>
      </c>
      <c r="O377" s="6" t="str">
        <f>IFERROR(__xludf.DUMMYFUNCTION("GOOGLETRANSLATE(E377,""en"",""ur"")"),"وحشیانہ قوت اور گھڑ سواری۔")</f>
        <v>وحشیانہ قوت اور گھڑ سواری۔</v>
      </c>
      <c r="P377" s="6" t="str">
        <f>IFERROR(__xludf.DUMMYFUNCTION("GOOGLETRANSLATE(F377,""en"",""ur"")"),"ہاتھ سے آنکھ کو آرڈینیشن اور حیرت انگیز")</f>
        <v>ہاتھ سے آنکھ کو آرڈینیشن اور حیرت انگیز</v>
      </c>
      <c r="Q377" s="6" t="s">
        <v>656</v>
      </c>
      <c r="R377" s="6" t="str">
        <f>IFERROR(__xludf.DUMMYFUNCTION("GOOGLETRANSLATE(G377,""en"",""ur"")"),"ہاتھ سے آنکھ کو آرڈینیشن اور حیرت انگیز")</f>
        <v>ہاتھ سے آنکھ کو آرڈینیشن اور حیرت انگیز</v>
      </c>
      <c r="S377" s="6" t="s">
        <v>924</v>
      </c>
      <c r="T377" s="6"/>
      <c r="U377" s="6"/>
      <c r="V377" s="6"/>
      <c r="W377" s="6"/>
      <c r="X377" s="6"/>
      <c r="Y377" s="6"/>
      <c r="Z377" s="6"/>
      <c r="AA377" s="6"/>
    </row>
    <row r="378">
      <c r="A378" s="7">
        <v>378.0</v>
      </c>
      <c r="B378" s="6" t="s">
        <v>748</v>
      </c>
      <c r="C378" s="6" t="s">
        <v>749</v>
      </c>
      <c r="D378" s="6" t="s">
        <v>750</v>
      </c>
      <c r="E378" s="6" t="s">
        <v>751</v>
      </c>
      <c r="F378" s="6" t="s">
        <v>752</v>
      </c>
      <c r="G378" s="6" t="s">
        <v>750</v>
      </c>
      <c r="H378" s="6" t="s">
        <v>924</v>
      </c>
      <c r="I378" s="6"/>
      <c r="J378" s="6"/>
      <c r="K378" s="7">
        <v>378.0</v>
      </c>
      <c r="L378" s="6" t="str">
        <f>IFERROR(__xludf.DUMMYFUNCTION("GOOGLETRANSLATE(B378,""en"",""ur"")"),"لاٹھیوں کی حالت کے بارے میں ایک قابل ذکر تفصیل کیا ہے؟")</f>
        <v>لاٹھیوں کی حالت کے بارے میں ایک قابل ذکر تفصیل کیا ہے؟</v>
      </c>
      <c r="M378" s="6"/>
      <c r="N378" s="8" t="str">
        <f>IFERROR(__xludf.DUMMYFUNCTION("GOOGLETRANSLATE(D378,""en"",""ur"")"),"وہ پرانے ہیں اور استعمال سے پہنے ہوئے ہیں۔")</f>
        <v>وہ پرانے ہیں اور استعمال سے پہنے ہوئے ہیں۔</v>
      </c>
      <c r="O378" s="6" t="str">
        <f>IFERROR(__xludf.DUMMYFUNCTION("GOOGLETRANSLATE(E378,""en"",""ur"")"),"وہ بہت مختصر ہیں۔")</f>
        <v>وہ بہت مختصر ہیں۔</v>
      </c>
      <c r="P378" s="6" t="str">
        <f>IFERROR(__xludf.DUMMYFUNCTION("GOOGLETRANSLATE(F378,""en"",""ur"")"),"وہ بہت لمبے ہیں۔")</f>
        <v>وہ بہت لمبے ہیں۔</v>
      </c>
      <c r="Q378" s="6" t="s">
        <v>753</v>
      </c>
      <c r="R378" s="6" t="str">
        <f>IFERROR(__xludf.DUMMYFUNCTION("GOOGLETRANSLATE(G378,""en"",""ur"")"),"وہ پرانے ہیں اور استعمال سے پہنے ہوئے ہیں۔")</f>
        <v>وہ پرانے ہیں اور استعمال سے پہنے ہوئے ہیں۔</v>
      </c>
      <c r="S378" s="6" t="s">
        <v>924</v>
      </c>
      <c r="T378" s="6"/>
      <c r="U378" s="6"/>
      <c r="V378" s="6"/>
      <c r="W378" s="6"/>
      <c r="X378" s="6"/>
      <c r="Y378" s="6"/>
      <c r="Z378" s="6"/>
      <c r="AA378" s="6"/>
    </row>
    <row r="379">
      <c r="A379" s="7">
        <v>379.0</v>
      </c>
      <c r="B379" s="6" t="s">
        <v>754</v>
      </c>
      <c r="C379" s="6" t="s">
        <v>755</v>
      </c>
      <c r="D379" s="6" t="s">
        <v>756</v>
      </c>
      <c r="E379" s="6" t="s">
        <v>757</v>
      </c>
      <c r="F379" s="6" t="s">
        <v>758</v>
      </c>
      <c r="G379" s="6" t="s">
        <v>755</v>
      </c>
      <c r="H379" s="6" t="s">
        <v>924</v>
      </c>
      <c r="I379" s="6"/>
      <c r="J379" s="6"/>
      <c r="K379" s="7">
        <v>379.0</v>
      </c>
      <c r="L379" s="6" t="str">
        <f>IFERROR(__xludf.DUMMYFUNCTION("GOOGLETRANSLATE(B379,""en"",""ur"")"),"کھیل کا بنیادی مقصد کیا ہے؟")</f>
        <v>کھیل کا بنیادی مقصد کیا ہے؟</v>
      </c>
      <c r="M379" s="6"/>
      <c r="N379" s="8" t="str">
        <f>IFERROR(__xludf.DUMMYFUNCTION("GOOGLETRANSLATE(D379,""en"",""ur"")"),"گلی کو گول میں مارنا")</f>
        <v>گلی کو گول میں مارنا</v>
      </c>
      <c r="O379" s="6" t="str">
        <f>IFERROR(__xludf.DUMMYFUNCTION("GOOGLETRANSLATE(E379,""en"",""ur"")"),"گیلی کو مخالف پر مارنا")</f>
        <v>گیلی کو مخالف پر مارنا</v>
      </c>
      <c r="P379" s="6" t="str">
        <f>IFERROR(__xludf.DUMMYFUNCTION("GOOGLETRANSLATE(F379,""en"",""ur"")"),"گلی کو جال میں مارنا")</f>
        <v>گلی کو جال میں مارنا</v>
      </c>
      <c r="Q379" s="6" t="s">
        <v>759</v>
      </c>
      <c r="R379" s="6" t="str">
        <f>IFERROR(__xludf.DUMMYFUNCTION("GOOGLETRANSLATE(G379,""en"",""ur"")"),"جہاں تک ممکن ہو گلی کو مار کر پوائنٹس حاصل کرنا")</f>
        <v>جہاں تک ممکن ہو گلی کو مار کر پوائنٹس حاصل کرنا</v>
      </c>
      <c r="S379" s="6" t="s">
        <v>924</v>
      </c>
      <c r="T379" s="6"/>
      <c r="U379" s="6"/>
      <c r="V379" s="6"/>
      <c r="W379" s="6"/>
      <c r="X379" s="6"/>
      <c r="Y379" s="6"/>
      <c r="Z379" s="6"/>
      <c r="AA379" s="6"/>
    </row>
    <row r="380">
      <c r="A380" s="7">
        <v>380.0</v>
      </c>
      <c r="B380" s="6" t="s">
        <v>760</v>
      </c>
      <c r="C380" s="6" t="s">
        <v>761</v>
      </c>
      <c r="D380" s="6" t="s">
        <v>762</v>
      </c>
      <c r="E380" s="6" t="s">
        <v>763</v>
      </c>
      <c r="F380" s="6" t="s">
        <v>734</v>
      </c>
      <c r="G380" s="6" t="s">
        <v>763</v>
      </c>
      <c r="H380" s="6" t="s">
        <v>924</v>
      </c>
      <c r="I380" s="6"/>
      <c r="J380" s="6"/>
      <c r="K380" s="7">
        <v>380.0</v>
      </c>
      <c r="L380" s="6" t="str">
        <f>IFERROR(__xludf.DUMMYFUNCTION("GOOGLETRANSLATE(B380,""en"",""ur"")"),"ڈنڈا کی لمبائی کے بارے میں ایک قابل ذکر تفصیل کیا ہے؟")</f>
        <v>ڈنڈا کی لمبائی کے بارے میں ایک قابل ذکر تفصیل کیا ہے؟</v>
      </c>
      <c r="M380" s="6"/>
      <c r="N380" s="8" t="str">
        <f>IFERROR(__xludf.DUMMYFUNCTION("GOOGLETRANSLATE(D380,""en"",""ur"")"),"یہ بہت مختصر ہے۔")</f>
        <v>یہ بہت مختصر ہے۔</v>
      </c>
      <c r="O380" s="6" t="str">
        <f>IFERROR(__xludf.DUMMYFUNCTION("GOOGLETRANSLATE(E380,""en"",""ur"")"),"یہ درمیانی لمبائی کی چھڑی ہے۔")</f>
        <v>یہ درمیانی لمبائی کی چھڑی ہے۔</v>
      </c>
      <c r="P380" s="6" t="str">
        <f>IFERROR(__xludf.DUMMYFUNCTION("GOOGLETRANSLATE(F380,""en"",""ur"")"),"یہ ایک لمبی، پتلی چھڑی ہے۔")</f>
        <v>یہ ایک لمبی، پتلی چھڑی ہے۔</v>
      </c>
      <c r="Q380" s="6" t="s">
        <v>764</v>
      </c>
      <c r="R380" s="6" t="str">
        <f>IFERROR(__xludf.DUMMYFUNCTION("GOOGLETRANSLATE(G380,""en"",""ur"")"),"یہ درمیانی لمبائی کی چھڑی ہے۔")</f>
        <v>یہ درمیانی لمبائی کی چھڑی ہے۔</v>
      </c>
      <c r="S380" s="6" t="s">
        <v>924</v>
      </c>
      <c r="T380" s="6"/>
      <c r="U380" s="6"/>
      <c r="V380" s="6"/>
      <c r="W380" s="6"/>
      <c r="X380" s="6"/>
      <c r="Y380" s="6"/>
      <c r="Z380" s="6"/>
      <c r="AA380" s="6"/>
    </row>
    <row r="381">
      <c r="A381" s="7">
        <v>381.0</v>
      </c>
      <c r="B381" s="6" t="s">
        <v>896</v>
      </c>
      <c r="C381" s="6" t="s">
        <v>690</v>
      </c>
      <c r="D381" s="6" t="s">
        <v>727</v>
      </c>
      <c r="E381" s="6" t="s">
        <v>633</v>
      </c>
      <c r="F381" s="6" t="s">
        <v>634</v>
      </c>
      <c r="G381" s="6" t="s">
        <v>727</v>
      </c>
      <c r="H381" s="6" t="s">
        <v>897</v>
      </c>
      <c r="I381" s="6"/>
      <c r="J381" s="6"/>
      <c r="K381" s="7">
        <v>381.0</v>
      </c>
      <c r="L381" s="6" t="str">
        <f>IFERROR(__xludf.DUMMYFUNCTION("GOOGLETRANSLATE(B381,""en"",""ur"")"),"gilli_danda_41 میں دکھایا گیا اصل عمل کیا ہے؟")</f>
        <v>gilli_danda_41 میں دکھایا گیا اصل عمل کیا ہے؟</v>
      </c>
      <c r="M381" s="6"/>
      <c r="N381" s="8" t="str">
        <f>IFERROR(__xludf.DUMMYFUNCTION("GOOGLETRANSLATE(D381,""en"",""ur"")"),"کھیل کے دو ٹکڑوں کا قریبی اپ")</f>
        <v>کھیل کے دو ٹکڑوں کا قریبی اپ</v>
      </c>
      <c r="O381" s="6" t="str">
        <f>IFERROR(__xludf.DUMMYFUNCTION("GOOGLETRANSLATE(E381,""en"",""ur"")"),"ایک کھلاڑی گیند کی خدمت کر رہا ہے۔")</f>
        <v>ایک کھلاڑی گیند کی خدمت کر رہا ہے۔</v>
      </c>
      <c r="P381" s="6" t="str">
        <f>IFERROR(__xludf.DUMMYFUNCTION("GOOGLETRANSLATE(F381,""en"",""ur"")"),"ایک کھلاڑی دفاعی بلاک کا مظاہرہ کر رہا ہے۔")</f>
        <v>ایک کھلاڑی دفاعی بلاک کا مظاہرہ کر رہا ہے۔</v>
      </c>
      <c r="Q381" s="6" t="s">
        <v>729</v>
      </c>
      <c r="R381" s="6" t="str">
        <f>IFERROR(__xludf.DUMMYFUNCTION("GOOGLETRANSLATE(G381,""en"",""ur"")"),"کھیل کے دو ٹکڑوں کا قریبی اپ")</f>
        <v>کھیل کے دو ٹکڑوں کا قریبی اپ</v>
      </c>
      <c r="S381" s="6" t="s">
        <v>897</v>
      </c>
      <c r="T381" s="6"/>
      <c r="U381" s="6"/>
      <c r="V381" s="6"/>
      <c r="W381" s="6"/>
      <c r="X381" s="6"/>
      <c r="Y381" s="6"/>
      <c r="Z381" s="6"/>
      <c r="AA381" s="6"/>
    </row>
    <row r="382">
      <c r="A382" s="7">
        <v>382.0</v>
      </c>
      <c r="B382" s="6" t="s">
        <v>730</v>
      </c>
      <c r="C382" s="6" t="s">
        <v>637</v>
      </c>
      <c r="D382" s="6" t="s">
        <v>638</v>
      </c>
      <c r="E382" s="6" t="s">
        <v>639</v>
      </c>
      <c r="F382" s="6" t="s">
        <v>640</v>
      </c>
      <c r="G382" s="6" t="s">
        <v>638</v>
      </c>
      <c r="H382" s="6" t="s">
        <v>897</v>
      </c>
      <c r="I382" s="6"/>
      <c r="J382" s="6"/>
      <c r="K382" s="7">
        <v>382.0</v>
      </c>
      <c r="L382" s="6" t="str">
        <f>IFERROR(__xludf.DUMMYFUNCTION("GOOGLETRANSLATE(B382,""en"",""ur"")"),"سامان کے دو ٹکڑے کیا دکھائے گئے ہیں؟")</f>
        <v>سامان کے دو ٹکڑے کیا دکھائے گئے ہیں؟</v>
      </c>
      <c r="M382" s="6"/>
      <c r="N382" s="8" t="str">
        <f>IFERROR(__xludf.DUMMYFUNCTION("GOOGLETRANSLATE(D382,""en"",""ur"")"),"ایک لمبی چھڑی (ڈنڈا) اور ایک چھوٹی چھڑی (گلی)")</f>
        <v>ایک لمبی چھڑی (ڈنڈا) اور ایک چھوٹی چھڑی (گلی)</v>
      </c>
      <c r="O382" s="6" t="str">
        <f>IFERROR(__xludf.DUMMYFUNCTION("GOOGLETRANSLATE(E382,""en"",""ur"")"),"ایک ریکیٹ اور ایک شٹل کاک")</f>
        <v>ایک ریکیٹ اور ایک شٹل کاک</v>
      </c>
      <c r="P382" s="6" t="str">
        <f>IFERROR(__xludf.DUMMYFUNCTION("GOOGLETRANSLATE(F382,""en"",""ur"")"),"ایک چمگادڑ اور ایک دستانہ")</f>
        <v>ایک چمگادڑ اور ایک دستانہ</v>
      </c>
      <c r="Q382" s="6" t="s">
        <v>641</v>
      </c>
      <c r="R382" s="6" t="str">
        <f>IFERROR(__xludf.DUMMYFUNCTION("GOOGLETRANSLATE(G382,""en"",""ur"")"),"ایک لمبی چھڑی (ڈنڈا) اور ایک چھوٹی چھڑی (گلی)")</f>
        <v>ایک لمبی چھڑی (ڈنڈا) اور ایک چھوٹی چھڑی (گلی)</v>
      </c>
      <c r="S382" s="6" t="s">
        <v>897</v>
      </c>
      <c r="T382" s="6"/>
      <c r="U382" s="6"/>
      <c r="V382" s="6"/>
      <c r="W382" s="6"/>
      <c r="X382" s="6"/>
      <c r="Y382" s="6"/>
      <c r="Z382" s="6"/>
      <c r="AA382" s="6"/>
    </row>
    <row r="383">
      <c r="A383" s="7">
        <v>383.0</v>
      </c>
      <c r="B383" s="6" t="s">
        <v>731</v>
      </c>
      <c r="C383" s="6" t="s">
        <v>732</v>
      </c>
      <c r="D383" s="6" t="s">
        <v>733</v>
      </c>
      <c r="E383" s="6" t="s">
        <v>734</v>
      </c>
      <c r="F383" s="6" t="s">
        <v>735</v>
      </c>
      <c r="G383" s="6" t="s">
        <v>733</v>
      </c>
      <c r="H383" s="6" t="s">
        <v>897</v>
      </c>
      <c r="I383" s="6"/>
      <c r="J383" s="6"/>
      <c r="K383" s="7">
        <v>383.0</v>
      </c>
      <c r="L383" s="6" t="str">
        <f>IFERROR(__xludf.DUMMYFUNCTION("GOOGLETRANSLATE(B383,""en"",""ur"")"),"مختصر چھڑی (گلی) کے بارے میں ایک قابل ذکر تفصیل کیا ہے؟")</f>
        <v>مختصر چھڑی (گلی) کے بارے میں ایک قابل ذکر تفصیل کیا ہے؟</v>
      </c>
      <c r="M383" s="6"/>
      <c r="N383" s="8" t="str">
        <f>IFERROR(__xludf.DUMMYFUNCTION("GOOGLETRANSLATE(D383,""en"",""ur"")"),"اس کے نوک دار یا مخروطی سرے ہوتے ہیں۔")</f>
        <v>اس کے نوک دار یا مخروطی سرے ہوتے ہیں۔</v>
      </c>
      <c r="O383" s="6" t="str">
        <f>IFERROR(__xludf.DUMMYFUNCTION("GOOGLETRANSLATE(E383,""en"",""ur"")"),"یہ ایک لمبی، پتلی چھڑی ہے۔")</f>
        <v>یہ ایک لمبی، پتلی چھڑی ہے۔</v>
      </c>
      <c r="P383" s="6" t="str">
        <f>IFERROR(__xludf.DUMMYFUNCTION("GOOGLETRANSLATE(F383,""en"",""ur"")"),"یہ ایک فلیٹ ڈسک ہے۔")</f>
        <v>یہ ایک فلیٹ ڈسک ہے۔</v>
      </c>
      <c r="Q383" s="6" t="s">
        <v>736</v>
      </c>
      <c r="R383" s="6" t="str">
        <f>IFERROR(__xludf.DUMMYFUNCTION("GOOGLETRANSLATE(G383,""en"",""ur"")"),"اس کے نوک دار یا مخروطی سرے ہوتے ہیں۔")</f>
        <v>اس کے نوک دار یا مخروطی سرے ہوتے ہیں۔</v>
      </c>
      <c r="S383" s="6" t="s">
        <v>897</v>
      </c>
      <c r="T383" s="6"/>
      <c r="U383" s="6"/>
      <c r="V383" s="6"/>
      <c r="W383" s="6"/>
      <c r="X383" s="6"/>
      <c r="Y383" s="6"/>
      <c r="Z383" s="6"/>
      <c r="AA383" s="6"/>
    </row>
    <row r="384">
      <c r="A384" s="7">
        <v>384.0</v>
      </c>
      <c r="B384" s="6" t="s">
        <v>737</v>
      </c>
      <c r="C384" s="6" t="s">
        <v>738</v>
      </c>
      <c r="D384" s="6" t="s">
        <v>739</v>
      </c>
      <c r="E384" s="6" t="s">
        <v>740</v>
      </c>
      <c r="F384" s="6" t="s">
        <v>741</v>
      </c>
      <c r="G384" s="6" t="s">
        <v>739</v>
      </c>
      <c r="H384" s="6" t="s">
        <v>897</v>
      </c>
      <c r="I384" s="6"/>
      <c r="J384" s="6"/>
      <c r="K384" s="7">
        <v>384.0</v>
      </c>
      <c r="L384" s="6" t="str">
        <f>IFERROR(__xludf.DUMMYFUNCTION("GOOGLETRANSLATE(B384,""en"",""ur"")"),"گلی کے نوکیلے سروں کا ظاہری مقصد کیا ہے؟")</f>
        <v>گلی کے نوکیلے سروں کا ظاہری مقصد کیا ہے؟</v>
      </c>
      <c r="M384" s="6"/>
      <c r="N384" s="8" t="str">
        <f>IFERROR(__xludf.DUMMYFUNCTION("GOOGLETRANSLATE(D384,""en"",""ur"")"),"تاکہ اسے مارنا آسان ہو اور اسے ہوا میں چھلانگ لگانا")</f>
        <v>تاکہ اسے مارنا آسان ہو اور اسے ہوا میں چھلانگ لگانا</v>
      </c>
      <c r="O384" s="6" t="str">
        <f>IFERROR(__xludf.DUMMYFUNCTION("GOOGLETRANSLATE(E384,""en"",""ur"")"),"تاکہ اسے پکڑنا مشکل ہو جائے۔")</f>
        <v>تاکہ اسے پکڑنا مشکل ہو جائے۔</v>
      </c>
      <c r="P384" s="6" t="str">
        <f>IFERROR(__xludf.DUMMYFUNCTION("GOOGLETRANSLATE(F384,""en"",""ur"")"),"اسے بھاری بنانے کے لیے")</f>
        <v>اسے بھاری بنانے کے لیے</v>
      </c>
      <c r="Q384" s="6" t="s">
        <v>742</v>
      </c>
      <c r="R384" s="6" t="str">
        <f>IFERROR(__xludf.DUMMYFUNCTION("GOOGLETRANSLATE(G384,""en"",""ur"")"),"تاکہ اسے مارنا آسان ہو اور اسے ہوا میں چھلانگ لگانا")</f>
        <v>تاکہ اسے مارنا آسان ہو اور اسے ہوا میں چھلانگ لگانا</v>
      </c>
      <c r="S384" s="6" t="s">
        <v>897</v>
      </c>
      <c r="T384" s="6"/>
      <c r="U384" s="6"/>
      <c r="V384" s="6"/>
      <c r="W384" s="6"/>
      <c r="X384" s="6"/>
      <c r="Y384" s="6"/>
      <c r="Z384" s="6"/>
      <c r="AA384" s="6"/>
    </row>
    <row r="385">
      <c r="A385" s="7">
        <v>385.0</v>
      </c>
      <c r="B385" s="6" t="s">
        <v>743</v>
      </c>
      <c r="C385" s="6" t="s">
        <v>744</v>
      </c>
      <c r="D385" s="6" t="s">
        <v>745</v>
      </c>
      <c r="E385" s="6" t="s">
        <v>19</v>
      </c>
      <c r="F385" s="6" t="s">
        <v>746</v>
      </c>
      <c r="G385" s="6" t="s">
        <v>745</v>
      </c>
      <c r="H385" s="6" t="s">
        <v>897</v>
      </c>
      <c r="I385" s="6"/>
      <c r="J385" s="6"/>
      <c r="K385" s="7">
        <v>385.0</v>
      </c>
      <c r="L385" s="6" t="str">
        <f>IFERROR(__xludf.DUMMYFUNCTION("GOOGLETRANSLATE(B385,""en"",""ur"")"),"لاٹھیوں کی سب سے نمایاں خصوصیت کیا ہے؟")</f>
        <v>لاٹھیوں کی سب سے نمایاں خصوصیت کیا ہے؟</v>
      </c>
      <c r="M385" s="6"/>
      <c r="N385" s="8" t="str">
        <f>IFERROR(__xludf.DUMMYFUNCTION("GOOGLETRANSLATE(D385,""en"",""ur"")"),"وہ لکڑی سے بنے ہیں۔")</f>
        <v>وہ لکڑی سے بنے ہیں۔</v>
      </c>
      <c r="O385" s="6" t="str">
        <f>IFERROR(__xludf.DUMMYFUNCTION("GOOGLETRANSLATE(E385,""en"",""ur"")"),"وہ پلاسٹک سے بنے ہیں۔")</f>
        <v>وہ پلاسٹک سے بنے ہیں۔</v>
      </c>
      <c r="P385" s="6" t="str">
        <f>IFERROR(__xludf.DUMMYFUNCTION("GOOGLETRANSLATE(F385,""en"",""ur"")"),"وہ شیشے سے بنے ہیں۔")</f>
        <v>وہ شیشے سے بنے ہیں۔</v>
      </c>
      <c r="Q385" s="6" t="s">
        <v>747</v>
      </c>
      <c r="R385" s="6" t="str">
        <f>IFERROR(__xludf.DUMMYFUNCTION("GOOGLETRANSLATE(G385,""en"",""ur"")"),"وہ لکڑی سے بنے ہیں۔")</f>
        <v>وہ لکڑی سے بنے ہیں۔</v>
      </c>
      <c r="S385" s="6" t="s">
        <v>897</v>
      </c>
      <c r="T385" s="6"/>
      <c r="U385" s="6"/>
      <c r="V385" s="6"/>
      <c r="W385" s="6"/>
      <c r="X385" s="6"/>
      <c r="Y385" s="6"/>
      <c r="Z385" s="6"/>
      <c r="AA385" s="6"/>
    </row>
    <row r="386">
      <c r="A386" s="7">
        <v>386.0</v>
      </c>
      <c r="B386" s="6" t="s">
        <v>94</v>
      </c>
      <c r="C386" s="6" t="s">
        <v>95</v>
      </c>
      <c r="D386" s="6" t="s">
        <v>651</v>
      </c>
      <c r="E386" s="6" t="s">
        <v>652</v>
      </c>
      <c r="F386" s="6" t="s">
        <v>653</v>
      </c>
      <c r="G386" s="6" t="s">
        <v>652</v>
      </c>
      <c r="H386" s="6" t="s">
        <v>897</v>
      </c>
      <c r="I386" s="6"/>
      <c r="J386" s="6"/>
      <c r="K386" s="7">
        <v>386.0</v>
      </c>
      <c r="L386" s="6" t="str">
        <f>IFERROR(__xludf.DUMMYFUNCTION("GOOGLETRANSLATE(B386,""en"",""ur"")"),"کھیلے جانے والے کھیل کا نام کیا ہے؟")</f>
        <v>کھیلے جانے والے کھیل کا نام کیا ہے؟</v>
      </c>
      <c r="M386" s="6"/>
      <c r="N386" s="8" t="str">
        <f>IFERROR(__xludf.DUMMYFUNCTION("GOOGLETRANSLATE(D386,""en"",""ur"")"),"کرکٹ")</f>
        <v>کرکٹ</v>
      </c>
      <c r="O386" s="6" t="str">
        <f>IFERROR(__xludf.DUMMYFUNCTION("GOOGLETRANSLATE(E386,""en"",""ur"")"),"گلی ڈنڈا۔")</f>
        <v>گلی ڈنڈا۔</v>
      </c>
      <c r="P386" s="6" t="str">
        <f>IFERROR(__xludf.DUMMYFUNCTION("GOOGLETRANSLATE(F386,""en"",""ur"")"),"بیس بال")</f>
        <v>بیس بال</v>
      </c>
      <c r="Q386" s="6" t="s">
        <v>654</v>
      </c>
      <c r="R386" s="6" t="str">
        <f>IFERROR(__xludf.DUMMYFUNCTION("GOOGLETRANSLATE(G386,""en"",""ur"")"),"گلی ڈنڈا۔")</f>
        <v>گلی ڈنڈا۔</v>
      </c>
      <c r="S386" s="6" t="s">
        <v>897</v>
      </c>
      <c r="T386" s="6"/>
      <c r="U386" s="6"/>
      <c r="V386" s="6"/>
      <c r="W386" s="6"/>
      <c r="X386" s="6"/>
      <c r="Y386" s="6"/>
      <c r="Z386" s="6"/>
      <c r="AA386" s="6"/>
    </row>
    <row r="387">
      <c r="A387" s="7">
        <v>387.0</v>
      </c>
      <c r="B387" s="6" t="s">
        <v>260</v>
      </c>
      <c r="C387" s="6" t="s">
        <v>261</v>
      </c>
      <c r="D387" s="6" t="s">
        <v>262</v>
      </c>
      <c r="E387" s="6" t="s">
        <v>263</v>
      </c>
      <c r="F387" s="6" t="s">
        <v>655</v>
      </c>
      <c r="G387" s="6" t="s">
        <v>655</v>
      </c>
      <c r="H387" s="6" t="s">
        <v>897</v>
      </c>
      <c r="I387" s="6"/>
      <c r="J387" s="6"/>
      <c r="K387" s="7">
        <v>387.0</v>
      </c>
      <c r="L387" s="6" t="str">
        <f>IFERROR(__xludf.DUMMYFUNCTION("GOOGLETRANSLATE(B387,""en"",""ur"")"),"تصویر میں ایکشن ایک ایسا انداز تجویز کرتا ہے جو اس بات پر زور دیتا ہے...")</f>
        <v>تصویر میں ایکشن ایک ایسا انداز تجویز کرتا ہے جو اس بات پر زور دیتا ہے...</v>
      </c>
      <c r="M387" s="6"/>
      <c r="N387" s="8" t="str">
        <f>IFERROR(__xludf.DUMMYFUNCTION("GOOGLETRANSLATE(D387,""en"",""ur"")"),"زمینی لڑائی اور گرفت")</f>
        <v>زمینی لڑائی اور گرفت</v>
      </c>
      <c r="O387" s="6" t="str">
        <f>IFERROR(__xludf.DUMMYFUNCTION("GOOGLETRANSLATE(E387,""en"",""ur"")"),"وحشیانہ قوت اور گھڑ سواری۔")</f>
        <v>وحشیانہ قوت اور گھڑ سواری۔</v>
      </c>
      <c r="P387" s="6" t="str">
        <f>IFERROR(__xludf.DUMMYFUNCTION("GOOGLETRANSLATE(F387,""en"",""ur"")"),"ہاتھ سے آنکھ کو آرڈینیشن اور حیرت انگیز")</f>
        <v>ہاتھ سے آنکھ کو آرڈینیشن اور حیرت انگیز</v>
      </c>
      <c r="Q387" s="6" t="s">
        <v>656</v>
      </c>
      <c r="R387" s="6" t="str">
        <f>IFERROR(__xludf.DUMMYFUNCTION("GOOGLETRANSLATE(G387,""en"",""ur"")"),"ہاتھ سے آنکھ کو آرڈینیشن اور حیرت انگیز")</f>
        <v>ہاتھ سے آنکھ کو آرڈینیشن اور حیرت انگیز</v>
      </c>
      <c r="S387" s="6" t="s">
        <v>897</v>
      </c>
      <c r="T387" s="6"/>
      <c r="U387" s="6"/>
      <c r="V387" s="6"/>
      <c r="W387" s="6"/>
      <c r="X387" s="6"/>
      <c r="Y387" s="6"/>
      <c r="Z387" s="6"/>
      <c r="AA387" s="6"/>
    </row>
    <row r="388">
      <c r="A388" s="7">
        <v>388.0</v>
      </c>
      <c r="B388" s="6" t="s">
        <v>748</v>
      </c>
      <c r="C388" s="6" t="s">
        <v>749</v>
      </c>
      <c r="D388" s="6" t="s">
        <v>750</v>
      </c>
      <c r="E388" s="6" t="s">
        <v>751</v>
      </c>
      <c r="F388" s="6" t="s">
        <v>752</v>
      </c>
      <c r="G388" s="6" t="s">
        <v>750</v>
      </c>
      <c r="H388" s="6" t="s">
        <v>897</v>
      </c>
      <c r="I388" s="6"/>
      <c r="J388" s="6"/>
      <c r="K388" s="7">
        <v>388.0</v>
      </c>
      <c r="L388" s="6" t="str">
        <f>IFERROR(__xludf.DUMMYFUNCTION("GOOGLETRANSLATE(B388,""en"",""ur"")"),"لاٹھیوں کی حالت کے بارے میں ایک قابل ذکر تفصیل کیا ہے؟")</f>
        <v>لاٹھیوں کی حالت کے بارے میں ایک قابل ذکر تفصیل کیا ہے؟</v>
      </c>
      <c r="M388" s="6"/>
      <c r="N388" s="8" t="str">
        <f>IFERROR(__xludf.DUMMYFUNCTION("GOOGLETRANSLATE(D388,""en"",""ur"")"),"وہ پرانے ہیں اور استعمال سے پہنے ہوئے ہیں۔")</f>
        <v>وہ پرانے ہیں اور استعمال سے پہنے ہوئے ہیں۔</v>
      </c>
      <c r="O388" s="6" t="str">
        <f>IFERROR(__xludf.DUMMYFUNCTION("GOOGLETRANSLATE(E388,""en"",""ur"")"),"وہ بہت مختصر ہیں۔")</f>
        <v>وہ بہت مختصر ہیں۔</v>
      </c>
      <c r="P388" s="6" t="str">
        <f>IFERROR(__xludf.DUMMYFUNCTION("GOOGLETRANSLATE(F388,""en"",""ur"")"),"وہ بہت لمبے ہیں۔")</f>
        <v>وہ بہت لمبے ہیں۔</v>
      </c>
      <c r="Q388" s="6" t="s">
        <v>753</v>
      </c>
      <c r="R388" s="6" t="str">
        <f>IFERROR(__xludf.DUMMYFUNCTION("GOOGLETRANSLATE(G388,""en"",""ur"")"),"وہ پرانے ہیں اور استعمال سے پہنے ہوئے ہیں۔")</f>
        <v>وہ پرانے ہیں اور استعمال سے پہنے ہوئے ہیں۔</v>
      </c>
      <c r="S388" s="6" t="s">
        <v>897</v>
      </c>
      <c r="T388" s="6"/>
      <c r="U388" s="6"/>
      <c r="V388" s="6"/>
      <c r="W388" s="6"/>
      <c r="X388" s="6"/>
      <c r="Y388" s="6"/>
      <c r="Z388" s="6"/>
      <c r="AA388" s="6"/>
    </row>
    <row r="389">
      <c r="A389" s="7">
        <v>389.0</v>
      </c>
      <c r="B389" s="6" t="s">
        <v>754</v>
      </c>
      <c r="C389" s="6" t="s">
        <v>755</v>
      </c>
      <c r="D389" s="6" t="s">
        <v>756</v>
      </c>
      <c r="E389" s="6" t="s">
        <v>757</v>
      </c>
      <c r="F389" s="6" t="s">
        <v>758</v>
      </c>
      <c r="G389" s="6" t="s">
        <v>755</v>
      </c>
      <c r="H389" s="6" t="s">
        <v>897</v>
      </c>
      <c r="I389" s="6"/>
      <c r="J389" s="6"/>
      <c r="K389" s="7">
        <v>389.0</v>
      </c>
      <c r="L389" s="6" t="str">
        <f>IFERROR(__xludf.DUMMYFUNCTION("GOOGLETRANSLATE(B389,""en"",""ur"")"),"کھیل کا بنیادی مقصد کیا ہے؟")</f>
        <v>کھیل کا بنیادی مقصد کیا ہے؟</v>
      </c>
      <c r="M389" s="6"/>
      <c r="N389" s="8" t="str">
        <f>IFERROR(__xludf.DUMMYFUNCTION("GOOGLETRANSLATE(D389,""en"",""ur"")"),"گلی کو گول میں مارنا")</f>
        <v>گلی کو گول میں مارنا</v>
      </c>
      <c r="O389" s="6" t="str">
        <f>IFERROR(__xludf.DUMMYFUNCTION("GOOGLETRANSLATE(E389,""en"",""ur"")"),"گیلی کو مخالف پر مارنا")</f>
        <v>گیلی کو مخالف پر مارنا</v>
      </c>
      <c r="P389" s="6" t="str">
        <f>IFERROR(__xludf.DUMMYFUNCTION("GOOGLETRANSLATE(F389,""en"",""ur"")"),"گلی کو جال میں مارنا")</f>
        <v>گلی کو جال میں مارنا</v>
      </c>
      <c r="Q389" s="6" t="s">
        <v>759</v>
      </c>
      <c r="R389" s="6" t="str">
        <f>IFERROR(__xludf.DUMMYFUNCTION("GOOGLETRANSLATE(G389,""en"",""ur"")"),"جہاں تک ممکن ہو گلی کو مار کر پوائنٹس حاصل کرنا")</f>
        <v>جہاں تک ممکن ہو گلی کو مار کر پوائنٹس حاصل کرنا</v>
      </c>
      <c r="S389" s="6" t="s">
        <v>897</v>
      </c>
      <c r="T389" s="6"/>
      <c r="U389" s="6"/>
      <c r="V389" s="6"/>
      <c r="W389" s="6"/>
      <c r="X389" s="6"/>
      <c r="Y389" s="6"/>
      <c r="Z389" s="6"/>
      <c r="AA389" s="6"/>
    </row>
    <row r="390">
      <c r="A390" s="7">
        <v>390.0</v>
      </c>
      <c r="B390" s="6" t="s">
        <v>760</v>
      </c>
      <c r="C390" s="6" t="s">
        <v>761</v>
      </c>
      <c r="D390" s="6" t="s">
        <v>762</v>
      </c>
      <c r="E390" s="6" t="s">
        <v>763</v>
      </c>
      <c r="F390" s="6" t="s">
        <v>734</v>
      </c>
      <c r="G390" s="6" t="s">
        <v>763</v>
      </c>
      <c r="H390" s="6" t="s">
        <v>897</v>
      </c>
      <c r="I390" s="6"/>
      <c r="J390" s="6"/>
      <c r="K390" s="7">
        <v>390.0</v>
      </c>
      <c r="L390" s="6" t="str">
        <f>IFERROR(__xludf.DUMMYFUNCTION("GOOGLETRANSLATE(B390,""en"",""ur"")"),"ڈنڈا کی لمبائی کے بارے میں ایک قابل ذکر تفصیل کیا ہے؟")</f>
        <v>ڈنڈا کی لمبائی کے بارے میں ایک قابل ذکر تفصیل کیا ہے؟</v>
      </c>
      <c r="M390" s="6"/>
      <c r="N390" s="8" t="str">
        <f>IFERROR(__xludf.DUMMYFUNCTION("GOOGLETRANSLATE(D390,""en"",""ur"")"),"یہ بہت مختصر ہے۔")</f>
        <v>یہ بہت مختصر ہے۔</v>
      </c>
      <c r="O390" s="6" t="str">
        <f>IFERROR(__xludf.DUMMYFUNCTION("GOOGLETRANSLATE(E390,""en"",""ur"")"),"یہ درمیانی لمبائی کی چھڑی ہے۔")</f>
        <v>یہ درمیانی لمبائی کی چھڑی ہے۔</v>
      </c>
      <c r="P390" s="6" t="str">
        <f>IFERROR(__xludf.DUMMYFUNCTION("GOOGLETRANSLATE(F390,""en"",""ur"")"),"یہ ایک لمبی، پتلی چھڑی ہے۔")</f>
        <v>یہ ایک لمبی، پتلی چھڑی ہے۔</v>
      </c>
      <c r="Q390" s="6" t="s">
        <v>764</v>
      </c>
      <c r="R390" s="6" t="str">
        <f>IFERROR(__xludf.DUMMYFUNCTION("GOOGLETRANSLATE(G390,""en"",""ur"")"),"یہ درمیانی لمبائی کی چھڑی ہے۔")</f>
        <v>یہ درمیانی لمبائی کی چھڑی ہے۔</v>
      </c>
      <c r="S390" s="6" t="s">
        <v>897</v>
      </c>
      <c r="T390" s="6"/>
      <c r="U390" s="6"/>
      <c r="V390" s="6"/>
      <c r="W390" s="6"/>
      <c r="X390" s="6"/>
      <c r="Y390" s="6"/>
      <c r="Z390" s="6"/>
      <c r="AA390" s="6"/>
    </row>
    <row r="391">
      <c r="A391" s="7">
        <v>391.0</v>
      </c>
      <c r="B391" s="6" t="s">
        <v>905</v>
      </c>
      <c r="C391" s="6" t="s">
        <v>690</v>
      </c>
      <c r="D391" s="6" t="s">
        <v>727</v>
      </c>
      <c r="E391" s="6" t="s">
        <v>633</v>
      </c>
      <c r="F391" s="6" t="s">
        <v>634</v>
      </c>
      <c r="G391" s="6" t="s">
        <v>727</v>
      </c>
      <c r="H391" s="6" t="s">
        <v>906</v>
      </c>
      <c r="I391" s="6"/>
      <c r="J391" s="6"/>
      <c r="K391" s="7">
        <v>391.0</v>
      </c>
      <c r="L391" s="6" t="str">
        <f>IFERROR(__xludf.DUMMYFUNCTION("GOOGLETRANSLATE(B391,""en"",""ur"")"),"گلی_ڈنڈا_37 میں دکھایا گیا اصل عمل کیا ہے؟")</f>
        <v>گلی_ڈنڈا_37 میں دکھایا گیا اصل عمل کیا ہے؟</v>
      </c>
      <c r="M391" s="6"/>
      <c r="N391" s="8" t="str">
        <f>IFERROR(__xludf.DUMMYFUNCTION("GOOGLETRANSLATE(D391,""en"",""ur"")"),"کھیل کے دو ٹکڑوں کا قریبی اپ")</f>
        <v>کھیل کے دو ٹکڑوں کا قریبی اپ</v>
      </c>
      <c r="O391" s="6" t="str">
        <f>IFERROR(__xludf.DUMMYFUNCTION("GOOGLETRANSLATE(E391,""en"",""ur"")"),"ایک کھلاڑی گیند کی خدمت کر رہا ہے۔")</f>
        <v>ایک کھلاڑی گیند کی خدمت کر رہا ہے۔</v>
      </c>
      <c r="P391" s="6" t="str">
        <f>IFERROR(__xludf.DUMMYFUNCTION("GOOGLETRANSLATE(F391,""en"",""ur"")"),"ایک کھلاڑی دفاعی بلاک کا مظاہرہ کر رہا ہے۔")</f>
        <v>ایک کھلاڑی دفاعی بلاک کا مظاہرہ کر رہا ہے۔</v>
      </c>
      <c r="Q391" s="6" t="s">
        <v>729</v>
      </c>
      <c r="R391" s="6" t="str">
        <f>IFERROR(__xludf.DUMMYFUNCTION("GOOGLETRANSLATE(G391,""en"",""ur"")"),"کھیل کے دو ٹکڑوں کا قریبی اپ")</f>
        <v>کھیل کے دو ٹکڑوں کا قریبی اپ</v>
      </c>
      <c r="S391" s="6" t="s">
        <v>906</v>
      </c>
      <c r="T391" s="6"/>
      <c r="U391" s="6"/>
      <c r="V391" s="6"/>
      <c r="W391" s="6"/>
      <c r="X391" s="6"/>
      <c r="Y391" s="6"/>
      <c r="Z391" s="6"/>
      <c r="AA391" s="6"/>
    </row>
    <row r="392">
      <c r="A392" s="7">
        <v>392.0</v>
      </c>
      <c r="B392" s="6" t="s">
        <v>730</v>
      </c>
      <c r="C392" s="6" t="s">
        <v>637</v>
      </c>
      <c r="D392" s="6" t="s">
        <v>638</v>
      </c>
      <c r="E392" s="6" t="s">
        <v>639</v>
      </c>
      <c r="F392" s="6" t="s">
        <v>640</v>
      </c>
      <c r="G392" s="6" t="s">
        <v>638</v>
      </c>
      <c r="H392" s="6" t="s">
        <v>906</v>
      </c>
      <c r="I392" s="6"/>
      <c r="J392" s="6"/>
      <c r="K392" s="7">
        <v>392.0</v>
      </c>
      <c r="L392" s="6" t="str">
        <f>IFERROR(__xludf.DUMMYFUNCTION("GOOGLETRANSLATE(B392,""en"",""ur"")"),"سامان کے دو ٹکڑے کیا دکھائے گئے ہیں؟")</f>
        <v>سامان کے دو ٹکڑے کیا دکھائے گئے ہیں؟</v>
      </c>
      <c r="M392" s="6"/>
      <c r="N392" s="8" t="str">
        <f>IFERROR(__xludf.DUMMYFUNCTION("GOOGLETRANSLATE(D392,""en"",""ur"")"),"ایک لمبی چھڑی (ڈنڈا) اور ایک چھوٹی چھڑی (گلی)")</f>
        <v>ایک لمبی چھڑی (ڈنڈا) اور ایک چھوٹی چھڑی (گلی)</v>
      </c>
      <c r="O392" s="6" t="str">
        <f>IFERROR(__xludf.DUMMYFUNCTION("GOOGLETRANSLATE(E392,""en"",""ur"")"),"ایک ریکیٹ اور ایک شٹل کاک")</f>
        <v>ایک ریکیٹ اور ایک شٹل کاک</v>
      </c>
      <c r="P392" s="6" t="str">
        <f>IFERROR(__xludf.DUMMYFUNCTION("GOOGLETRANSLATE(F392,""en"",""ur"")"),"ایک چمگادڑ اور ایک دستانہ")</f>
        <v>ایک چمگادڑ اور ایک دستانہ</v>
      </c>
      <c r="Q392" s="6" t="s">
        <v>641</v>
      </c>
      <c r="R392" s="6" t="str">
        <f>IFERROR(__xludf.DUMMYFUNCTION("GOOGLETRANSLATE(G392,""en"",""ur"")"),"ایک لمبی چھڑی (ڈنڈا) اور ایک چھوٹی چھڑی (گلی)")</f>
        <v>ایک لمبی چھڑی (ڈنڈا) اور ایک چھوٹی چھڑی (گلی)</v>
      </c>
      <c r="S392" s="6" t="s">
        <v>906</v>
      </c>
      <c r="T392" s="6"/>
      <c r="U392" s="6"/>
      <c r="V392" s="6"/>
      <c r="W392" s="6"/>
      <c r="X392" s="6"/>
      <c r="Y392" s="6"/>
      <c r="Z392" s="6"/>
      <c r="AA392" s="6"/>
    </row>
    <row r="393">
      <c r="A393" s="7">
        <v>393.0</v>
      </c>
      <c r="B393" s="6" t="s">
        <v>731</v>
      </c>
      <c r="C393" s="6" t="s">
        <v>732</v>
      </c>
      <c r="D393" s="6" t="s">
        <v>733</v>
      </c>
      <c r="E393" s="6" t="s">
        <v>734</v>
      </c>
      <c r="F393" s="6" t="s">
        <v>735</v>
      </c>
      <c r="G393" s="6" t="s">
        <v>733</v>
      </c>
      <c r="H393" s="6" t="s">
        <v>906</v>
      </c>
      <c r="I393" s="6"/>
      <c r="J393" s="6"/>
      <c r="K393" s="7">
        <v>393.0</v>
      </c>
      <c r="L393" s="6" t="str">
        <f>IFERROR(__xludf.DUMMYFUNCTION("GOOGLETRANSLATE(B393,""en"",""ur"")"),"مختصر چھڑی (گلی) کے بارے میں ایک قابل ذکر تفصیل کیا ہے؟")</f>
        <v>مختصر چھڑی (گلی) کے بارے میں ایک قابل ذکر تفصیل کیا ہے؟</v>
      </c>
      <c r="M393" s="6"/>
      <c r="N393" s="8" t="str">
        <f>IFERROR(__xludf.DUMMYFUNCTION("GOOGLETRANSLATE(D393,""en"",""ur"")"),"اس کے نوک دار یا مخروطی سرے ہوتے ہیں۔")</f>
        <v>اس کے نوک دار یا مخروطی سرے ہوتے ہیں۔</v>
      </c>
      <c r="O393" s="6" t="str">
        <f>IFERROR(__xludf.DUMMYFUNCTION("GOOGLETRANSLATE(E393,""en"",""ur"")"),"یہ ایک لمبی، پتلی چھڑی ہے۔")</f>
        <v>یہ ایک لمبی، پتلی چھڑی ہے۔</v>
      </c>
      <c r="P393" s="6" t="str">
        <f>IFERROR(__xludf.DUMMYFUNCTION("GOOGLETRANSLATE(F393,""en"",""ur"")"),"یہ ایک فلیٹ ڈسک ہے۔")</f>
        <v>یہ ایک فلیٹ ڈسک ہے۔</v>
      </c>
      <c r="Q393" s="6" t="s">
        <v>736</v>
      </c>
      <c r="R393" s="6" t="str">
        <f>IFERROR(__xludf.DUMMYFUNCTION("GOOGLETRANSLATE(G393,""en"",""ur"")"),"اس کے نوک دار یا مخروطی سرے ہوتے ہیں۔")</f>
        <v>اس کے نوک دار یا مخروطی سرے ہوتے ہیں۔</v>
      </c>
      <c r="S393" s="6" t="s">
        <v>906</v>
      </c>
      <c r="T393" s="6"/>
      <c r="U393" s="6"/>
      <c r="V393" s="6"/>
      <c r="W393" s="6"/>
      <c r="X393" s="6"/>
      <c r="Y393" s="6"/>
      <c r="Z393" s="6"/>
      <c r="AA393" s="6"/>
    </row>
    <row r="394">
      <c r="A394" s="7">
        <v>394.0</v>
      </c>
      <c r="B394" s="6" t="s">
        <v>737</v>
      </c>
      <c r="C394" s="6" t="s">
        <v>738</v>
      </c>
      <c r="D394" s="6" t="s">
        <v>739</v>
      </c>
      <c r="E394" s="6" t="s">
        <v>740</v>
      </c>
      <c r="F394" s="6" t="s">
        <v>741</v>
      </c>
      <c r="G394" s="6" t="s">
        <v>739</v>
      </c>
      <c r="H394" s="6" t="s">
        <v>906</v>
      </c>
      <c r="I394" s="6"/>
      <c r="J394" s="6"/>
      <c r="K394" s="7">
        <v>394.0</v>
      </c>
      <c r="L394" s="6" t="str">
        <f>IFERROR(__xludf.DUMMYFUNCTION("GOOGLETRANSLATE(B394,""en"",""ur"")"),"گلی کے نوکیلے سروں کا ظاہری مقصد کیا ہے؟")</f>
        <v>گلی کے نوکیلے سروں کا ظاہری مقصد کیا ہے؟</v>
      </c>
      <c r="M394" s="6"/>
      <c r="N394" s="8" t="str">
        <f>IFERROR(__xludf.DUMMYFUNCTION("GOOGLETRANSLATE(D394,""en"",""ur"")"),"تاکہ اسے مارنا آسان ہو اور اسے ہوا میں چھلانگ لگانا")</f>
        <v>تاکہ اسے مارنا آسان ہو اور اسے ہوا میں چھلانگ لگانا</v>
      </c>
      <c r="O394" s="6" t="str">
        <f>IFERROR(__xludf.DUMMYFUNCTION("GOOGLETRANSLATE(E394,""en"",""ur"")"),"تاکہ اسے پکڑنا مشکل ہو جائے۔")</f>
        <v>تاکہ اسے پکڑنا مشکل ہو جائے۔</v>
      </c>
      <c r="P394" s="6" t="str">
        <f>IFERROR(__xludf.DUMMYFUNCTION("GOOGLETRANSLATE(F394,""en"",""ur"")"),"اسے بھاری بنانے کے لیے")</f>
        <v>اسے بھاری بنانے کے لیے</v>
      </c>
      <c r="Q394" s="6" t="s">
        <v>742</v>
      </c>
      <c r="R394" s="6" t="str">
        <f>IFERROR(__xludf.DUMMYFUNCTION("GOOGLETRANSLATE(G394,""en"",""ur"")"),"تاکہ اسے مارنا آسان ہو اور اسے ہوا میں چھلانگ لگانا")</f>
        <v>تاکہ اسے مارنا آسان ہو اور اسے ہوا میں چھلانگ لگانا</v>
      </c>
      <c r="S394" s="6" t="s">
        <v>906</v>
      </c>
      <c r="T394" s="6"/>
      <c r="U394" s="6"/>
      <c r="V394" s="6"/>
      <c r="W394" s="6"/>
      <c r="X394" s="6"/>
      <c r="Y394" s="6"/>
      <c r="Z394" s="6"/>
      <c r="AA394" s="6"/>
    </row>
    <row r="395">
      <c r="A395" s="7">
        <v>395.0</v>
      </c>
      <c r="B395" s="6" t="s">
        <v>743</v>
      </c>
      <c r="C395" s="6" t="s">
        <v>744</v>
      </c>
      <c r="D395" s="6" t="s">
        <v>745</v>
      </c>
      <c r="E395" s="6" t="s">
        <v>19</v>
      </c>
      <c r="F395" s="6" t="s">
        <v>746</v>
      </c>
      <c r="G395" s="6" t="s">
        <v>745</v>
      </c>
      <c r="H395" s="6" t="s">
        <v>906</v>
      </c>
      <c r="I395" s="6"/>
      <c r="J395" s="6"/>
      <c r="K395" s="7">
        <v>395.0</v>
      </c>
      <c r="L395" s="6" t="str">
        <f>IFERROR(__xludf.DUMMYFUNCTION("GOOGLETRANSLATE(B395,""en"",""ur"")"),"لاٹھیوں کی سب سے نمایاں خصوصیت کیا ہے؟")</f>
        <v>لاٹھیوں کی سب سے نمایاں خصوصیت کیا ہے؟</v>
      </c>
      <c r="M395" s="6"/>
      <c r="N395" s="8" t="str">
        <f>IFERROR(__xludf.DUMMYFUNCTION("GOOGLETRANSLATE(D395,""en"",""ur"")"),"وہ لکڑی سے بنے ہیں۔")</f>
        <v>وہ لکڑی سے بنے ہیں۔</v>
      </c>
      <c r="O395" s="6" t="str">
        <f>IFERROR(__xludf.DUMMYFUNCTION("GOOGLETRANSLATE(E395,""en"",""ur"")"),"وہ پلاسٹک سے بنے ہیں۔")</f>
        <v>وہ پلاسٹک سے بنے ہیں۔</v>
      </c>
      <c r="P395" s="6" t="str">
        <f>IFERROR(__xludf.DUMMYFUNCTION("GOOGLETRANSLATE(F395,""en"",""ur"")"),"وہ شیشے سے بنے ہیں۔")</f>
        <v>وہ شیشے سے بنے ہیں۔</v>
      </c>
      <c r="Q395" s="6" t="s">
        <v>747</v>
      </c>
      <c r="R395" s="6" t="str">
        <f>IFERROR(__xludf.DUMMYFUNCTION("GOOGLETRANSLATE(G395,""en"",""ur"")"),"وہ لکڑی سے بنے ہیں۔")</f>
        <v>وہ لکڑی سے بنے ہیں۔</v>
      </c>
      <c r="S395" s="6" t="s">
        <v>906</v>
      </c>
      <c r="T395" s="6"/>
      <c r="U395" s="6"/>
      <c r="V395" s="6"/>
      <c r="W395" s="6"/>
      <c r="X395" s="6"/>
      <c r="Y395" s="6"/>
      <c r="Z395" s="6"/>
      <c r="AA395" s="6"/>
    </row>
    <row r="396">
      <c r="A396" s="7">
        <v>396.0</v>
      </c>
      <c r="B396" s="6" t="s">
        <v>94</v>
      </c>
      <c r="C396" s="6" t="s">
        <v>95</v>
      </c>
      <c r="D396" s="6" t="s">
        <v>651</v>
      </c>
      <c r="E396" s="6" t="s">
        <v>652</v>
      </c>
      <c r="F396" s="6" t="s">
        <v>653</v>
      </c>
      <c r="G396" s="6" t="s">
        <v>652</v>
      </c>
      <c r="H396" s="6" t="s">
        <v>906</v>
      </c>
      <c r="I396" s="6"/>
      <c r="J396" s="6"/>
      <c r="K396" s="7">
        <v>396.0</v>
      </c>
      <c r="L396" s="6" t="str">
        <f>IFERROR(__xludf.DUMMYFUNCTION("GOOGLETRANSLATE(B396,""en"",""ur"")"),"کھیلے جانے والے کھیل کا نام کیا ہے؟")</f>
        <v>کھیلے جانے والے کھیل کا نام کیا ہے؟</v>
      </c>
      <c r="M396" s="6"/>
      <c r="N396" s="8" t="str">
        <f>IFERROR(__xludf.DUMMYFUNCTION("GOOGLETRANSLATE(D396,""en"",""ur"")"),"کرکٹ")</f>
        <v>کرکٹ</v>
      </c>
      <c r="O396" s="6" t="str">
        <f>IFERROR(__xludf.DUMMYFUNCTION("GOOGLETRANSLATE(E396,""en"",""ur"")"),"گلی ڈنڈا۔")</f>
        <v>گلی ڈنڈا۔</v>
      </c>
      <c r="P396" s="6" t="str">
        <f>IFERROR(__xludf.DUMMYFUNCTION("GOOGLETRANSLATE(F396,""en"",""ur"")"),"بیس بال")</f>
        <v>بیس بال</v>
      </c>
      <c r="Q396" s="6" t="s">
        <v>654</v>
      </c>
      <c r="R396" s="6" t="str">
        <f>IFERROR(__xludf.DUMMYFUNCTION("GOOGLETRANSLATE(G396,""en"",""ur"")"),"گلی ڈنڈا۔")</f>
        <v>گلی ڈنڈا۔</v>
      </c>
      <c r="S396" s="6" t="s">
        <v>906</v>
      </c>
      <c r="T396" s="6"/>
      <c r="U396" s="6"/>
      <c r="V396" s="6"/>
      <c r="W396" s="6"/>
      <c r="X396" s="6"/>
      <c r="Y396" s="6"/>
      <c r="Z396" s="6"/>
      <c r="AA396" s="6"/>
    </row>
    <row r="397">
      <c r="A397" s="7">
        <v>397.0</v>
      </c>
      <c r="B397" s="6" t="s">
        <v>260</v>
      </c>
      <c r="C397" s="6" t="s">
        <v>261</v>
      </c>
      <c r="D397" s="6" t="s">
        <v>262</v>
      </c>
      <c r="E397" s="6" t="s">
        <v>263</v>
      </c>
      <c r="F397" s="6" t="s">
        <v>655</v>
      </c>
      <c r="G397" s="6" t="s">
        <v>655</v>
      </c>
      <c r="H397" s="6" t="s">
        <v>906</v>
      </c>
      <c r="I397" s="6"/>
      <c r="J397" s="6"/>
      <c r="K397" s="7">
        <v>397.0</v>
      </c>
      <c r="L397" s="6" t="str">
        <f>IFERROR(__xludf.DUMMYFUNCTION("GOOGLETRANSLATE(B397,""en"",""ur"")"),"تصویر میں ایکشن ایک ایسا انداز تجویز کرتا ہے جو اس بات پر زور دیتا ہے...")</f>
        <v>تصویر میں ایکشن ایک ایسا انداز تجویز کرتا ہے جو اس بات پر زور دیتا ہے...</v>
      </c>
      <c r="M397" s="6"/>
      <c r="N397" s="8" t="str">
        <f>IFERROR(__xludf.DUMMYFUNCTION("GOOGLETRANSLATE(D397,""en"",""ur"")"),"زمینی لڑائی اور گرفت")</f>
        <v>زمینی لڑائی اور گرفت</v>
      </c>
      <c r="O397" s="6" t="str">
        <f>IFERROR(__xludf.DUMMYFUNCTION("GOOGLETRANSLATE(E397,""en"",""ur"")"),"وحشیانہ قوت اور گھڑ سواری۔")</f>
        <v>وحشیانہ قوت اور گھڑ سواری۔</v>
      </c>
      <c r="P397" s="6" t="str">
        <f>IFERROR(__xludf.DUMMYFUNCTION("GOOGLETRANSLATE(F397,""en"",""ur"")"),"ہاتھ سے آنکھ کو آرڈینیشن اور حیرت انگیز")</f>
        <v>ہاتھ سے آنکھ کو آرڈینیشن اور حیرت انگیز</v>
      </c>
      <c r="Q397" s="6" t="s">
        <v>656</v>
      </c>
      <c r="R397" s="6" t="str">
        <f>IFERROR(__xludf.DUMMYFUNCTION("GOOGLETRANSLATE(G397,""en"",""ur"")"),"ہاتھ سے آنکھ کو آرڈینیشن اور حیرت انگیز")</f>
        <v>ہاتھ سے آنکھ کو آرڈینیشن اور حیرت انگیز</v>
      </c>
      <c r="S397" s="6" t="s">
        <v>906</v>
      </c>
      <c r="T397" s="6"/>
      <c r="U397" s="6"/>
      <c r="V397" s="6"/>
      <c r="W397" s="6"/>
      <c r="X397" s="6"/>
      <c r="Y397" s="6"/>
      <c r="Z397" s="6"/>
      <c r="AA397" s="6"/>
    </row>
    <row r="398">
      <c r="A398" s="7">
        <v>398.0</v>
      </c>
      <c r="B398" s="6" t="s">
        <v>748</v>
      </c>
      <c r="C398" s="6" t="s">
        <v>749</v>
      </c>
      <c r="D398" s="6" t="s">
        <v>750</v>
      </c>
      <c r="E398" s="6" t="s">
        <v>751</v>
      </c>
      <c r="F398" s="6" t="s">
        <v>752</v>
      </c>
      <c r="G398" s="6" t="s">
        <v>750</v>
      </c>
      <c r="H398" s="6" t="s">
        <v>906</v>
      </c>
      <c r="I398" s="6"/>
      <c r="J398" s="6"/>
      <c r="K398" s="7">
        <v>398.0</v>
      </c>
      <c r="L398" s="6" t="str">
        <f>IFERROR(__xludf.DUMMYFUNCTION("GOOGLETRANSLATE(B398,""en"",""ur"")"),"لاٹھیوں کی حالت کے بارے میں ایک قابل ذکر تفصیل کیا ہے؟")</f>
        <v>لاٹھیوں کی حالت کے بارے میں ایک قابل ذکر تفصیل کیا ہے؟</v>
      </c>
      <c r="M398" s="6"/>
      <c r="N398" s="8" t="str">
        <f>IFERROR(__xludf.DUMMYFUNCTION("GOOGLETRANSLATE(D398,""en"",""ur"")"),"وہ پرانے ہیں اور استعمال سے پہنے ہوئے ہیں۔")</f>
        <v>وہ پرانے ہیں اور استعمال سے پہنے ہوئے ہیں۔</v>
      </c>
      <c r="O398" s="6" t="str">
        <f>IFERROR(__xludf.DUMMYFUNCTION("GOOGLETRANSLATE(E398,""en"",""ur"")"),"وہ بہت مختصر ہیں۔")</f>
        <v>وہ بہت مختصر ہیں۔</v>
      </c>
      <c r="P398" s="6" t="str">
        <f>IFERROR(__xludf.DUMMYFUNCTION("GOOGLETRANSLATE(F398,""en"",""ur"")"),"وہ بہت لمبے ہیں۔")</f>
        <v>وہ بہت لمبے ہیں۔</v>
      </c>
      <c r="Q398" s="6" t="s">
        <v>753</v>
      </c>
      <c r="R398" s="6" t="str">
        <f>IFERROR(__xludf.DUMMYFUNCTION("GOOGLETRANSLATE(G398,""en"",""ur"")"),"وہ پرانے ہیں اور استعمال سے پہنے ہوئے ہیں۔")</f>
        <v>وہ پرانے ہیں اور استعمال سے پہنے ہوئے ہیں۔</v>
      </c>
      <c r="S398" s="6" t="s">
        <v>906</v>
      </c>
      <c r="T398" s="6"/>
      <c r="U398" s="6"/>
      <c r="V398" s="6"/>
      <c r="W398" s="6"/>
      <c r="X398" s="6"/>
      <c r="Y398" s="6"/>
      <c r="Z398" s="6"/>
      <c r="AA398" s="6"/>
    </row>
    <row r="399">
      <c r="A399" s="7">
        <v>399.0</v>
      </c>
      <c r="B399" s="6" t="s">
        <v>754</v>
      </c>
      <c r="C399" s="6" t="s">
        <v>755</v>
      </c>
      <c r="D399" s="6" t="s">
        <v>756</v>
      </c>
      <c r="E399" s="6" t="s">
        <v>757</v>
      </c>
      <c r="F399" s="6" t="s">
        <v>758</v>
      </c>
      <c r="G399" s="6" t="s">
        <v>755</v>
      </c>
      <c r="H399" s="6" t="s">
        <v>906</v>
      </c>
      <c r="I399" s="6"/>
      <c r="J399" s="6"/>
      <c r="K399" s="7">
        <v>399.0</v>
      </c>
      <c r="L399" s="6" t="str">
        <f>IFERROR(__xludf.DUMMYFUNCTION("GOOGLETRANSLATE(B399,""en"",""ur"")"),"کھیل کا بنیادی مقصد کیا ہے؟")</f>
        <v>کھیل کا بنیادی مقصد کیا ہے؟</v>
      </c>
      <c r="M399" s="6"/>
      <c r="N399" s="8" t="str">
        <f>IFERROR(__xludf.DUMMYFUNCTION("GOOGLETRANSLATE(D399,""en"",""ur"")"),"گلی کو گول میں مارنا")</f>
        <v>گلی کو گول میں مارنا</v>
      </c>
      <c r="O399" s="6" t="str">
        <f>IFERROR(__xludf.DUMMYFUNCTION("GOOGLETRANSLATE(E399,""en"",""ur"")"),"گیلی کو مخالف پر مارنا")</f>
        <v>گیلی کو مخالف پر مارنا</v>
      </c>
      <c r="P399" s="6" t="str">
        <f>IFERROR(__xludf.DUMMYFUNCTION("GOOGLETRANSLATE(F399,""en"",""ur"")"),"گلی کو جال میں مارنا")</f>
        <v>گلی کو جال میں مارنا</v>
      </c>
      <c r="Q399" s="6" t="s">
        <v>759</v>
      </c>
      <c r="R399" s="6" t="str">
        <f>IFERROR(__xludf.DUMMYFUNCTION("GOOGLETRANSLATE(G399,""en"",""ur"")"),"جہاں تک ممکن ہو گلی کو مار کر پوائنٹس حاصل کرنا")</f>
        <v>جہاں تک ممکن ہو گلی کو مار کر پوائنٹس حاصل کرنا</v>
      </c>
      <c r="S399" s="6" t="s">
        <v>906</v>
      </c>
      <c r="T399" s="6"/>
      <c r="U399" s="6"/>
      <c r="V399" s="6"/>
      <c r="W399" s="6"/>
      <c r="X399" s="6"/>
      <c r="Y399" s="6"/>
      <c r="Z399" s="6"/>
      <c r="AA399" s="6"/>
    </row>
    <row r="400">
      <c r="A400" s="7">
        <v>400.0</v>
      </c>
      <c r="B400" s="6" t="s">
        <v>760</v>
      </c>
      <c r="C400" s="6" t="s">
        <v>761</v>
      </c>
      <c r="D400" s="6" t="s">
        <v>762</v>
      </c>
      <c r="E400" s="6" t="s">
        <v>763</v>
      </c>
      <c r="F400" s="6" t="s">
        <v>734</v>
      </c>
      <c r="G400" s="6" t="s">
        <v>763</v>
      </c>
      <c r="H400" s="6" t="s">
        <v>906</v>
      </c>
      <c r="I400" s="6"/>
      <c r="J400" s="6"/>
      <c r="K400" s="7">
        <v>400.0</v>
      </c>
      <c r="L400" s="6" t="str">
        <f>IFERROR(__xludf.DUMMYFUNCTION("GOOGLETRANSLATE(B400,""en"",""ur"")"),"ڈنڈا کی لمبائی کے بارے میں ایک قابل ذکر تفصیل کیا ہے؟")</f>
        <v>ڈنڈا کی لمبائی کے بارے میں ایک قابل ذکر تفصیل کیا ہے؟</v>
      </c>
      <c r="M400" s="6"/>
      <c r="N400" s="8" t="str">
        <f>IFERROR(__xludf.DUMMYFUNCTION("GOOGLETRANSLATE(D400,""en"",""ur"")"),"یہ بہت مختصر ہے۔")</f>
        <v>یہ بہت مختصر ہے۔</v>
      </c>
      <c r="O400" s="6" t="str">
        <f>IFERROR(__xludf.DUMMYFUNCTION("GOOGLETRANSLATE(E400,""en"",""ur"")"),"یہ درمیانی لمبائی کی چھڑی ہے۔")</f>
        <v>یہ درمیانی لمبائی کی چھڑی ہے۔</v>
      </c>
      <c r="P400" s="6" t="str">
        <f>IFERROR(__xludf.DUMMYFUNCTION("GOOGLETRANSLATE(F400,""en"",""ur"")"),"یہ ایک لمبی، پتلی چھڑی ہے۔")</f>
        <v>یہ ایک لمبی، پتلی چھڑی ہے۔</v>
      </c>
      <c r="Q400" s="6" t="s">
        <v>764</v>
      </c>
      <c r="R400" s="6" t="str">
        <f>IFERROR(__xludf.DUMMYFUNCTION("GOOGLETRANSLATE(G400,""en"",""ur"")"),"یہ درمیانی لمبائی کی چھڑی ہے۔")</f>
        <v>یہ درمیانی لمبائی کی چھڑی ہے۔</v>
      </c>
      <c r="S400" s="6" t="s">
        <v>906</v>
      </c>
      <c r="T400" s="6"/>
      <c r="U400" s="6"/>
      <c r="V400" s="6"/>
      <c r="W400" s="6"/>
      <c r="X400" s="6"/>
      <c r="Y400" s="6"/>
      <c r="Z400" s="6"/>
      <c r="AA400" s="6"/>
    </row>
    <row r="401">
      <c r="A401" s="7">
        <v>401.0</v>
      </c>
      <c r="B401" s="6" t="s">
        <v>778</v>
      </c>
      <c r="C401" s="6" t="s">
        <v>632</v>
      </c>
      <c r="D401" s="6" t="s">
        <v>633</v>
      </c>
      <c r="E401" s="6" t="s">
        <v>634</v>
      </c>
      <c r="F401" s="6" t="s">
        <v>713</v>
      </c>
      <c r="G401" s="6" t="s">
        <v>632</v>
      </c>
      <c r="H401" s="6" t="s">
        <v>779</v>
      </c>
      <c r="I401" s="6"/>
      <c r="J401" s="6"/>
      <c r="K401" s="7">
        <v>401.0</v>
      </c>
      <c r="L401" s="6" t="str">
        <f>IFERROR(__xludf.DUMMYFUNCTION("GOOGLETRANSLATE(B401,""en"",""ur"")"),"gilli_danda_53 میں دکھایا گیا اہم عمل کیا ہے؟")</f>
        <v>gilli_danda_53 میں دکھایا گیا اہم عمل کیا ہے؟</v>
      </c>
      <c r="M401" s="6"/>
      <c r="N401" s="8" t="str">
        <f>IFERROR(__xludf.DUMMYFUNCTION("GOOGLETRANSLATE(D401,""en"",""ur"")"),"ایک کھلاڑی گیند کی خدمت کر رہا ہے۔")</f>
        <v>ایک کھلاڑی گیند کی خدمت کر رہا ہے۔</v>
      </c>
      <c r="O401" s="6" t="str">
        <f>IFERROR(__xludf.DUMMYFUNCTION("GOOGLETRANSLATE(E401,""en"",""ur"")"),"ایک کھلاڑی دفاعی بلاک کا مظاہرہ کر رہا ہے۔")</f>
        <v>ایک کھلاڑی دفاعی بلاک کا مظاہرہ کر رہا ہے۔</v>
      </c>
      <c r="P401" s="6" t="str">
        <f>IFERROR(__xludf.DUMMYFUNCTION("GOOGLETRANSLATE(F401,""en"",""ur"")"),"ایک کھلاڑی کھینچ رہا ہے۔")</f>
        <v>ایک کھلاڑی کھینچ رہا ہے۔</v>
      </c>
      <c r="Q401" s="6" t="s">
        <v>715</v>
      </c>
      <c r="R401" s="6" t="str">
        <f>IFERROR(__xludf.DUMMYFUNCTION("GOOGLETRANSLATE(G401,""en"",""ur"")"),"ایک کھلاڑی چھوٹی چھڑی کو بڑی چھڑی سے مار رہا ہے۔")</f>
        <v>ایک کھلاڑی چھوٹی چھڑی کو بڑی چھڑی سے مار رہا ہے۔</v>
      </c>
      <c r="S401" s="6" t="s">
        <v>779</v>
      </c>
      <c r="T401" s="6"/>
      <c r="U401" s="6"/>
      <c r="V401" s="6"/>
      <c r="W401" s="6"/>
      <c r="X401" s="6"/>
      <c r="Y401" s="6"/>
      <c r="Z401" s="6"/>
      <c r="AA401" s="6"/>
    </row>
    <row r="402">
      <c r="A402" s="7">
        <v>402.0</v>
      </c>
      <c r="B402" s="6" t="s">
        <v>636</v>
      </c>
      <c r="C402" s="6" t="s">
        <v>637</v>
      </c>
      <c r="D402" s="6" t="s">
        <v>638</v>
      </c>
      <c r="E402" s="6" t="s">
        <v>639</v>
      </c>
      <c r="F402" s="6" t="s">
        <v>640</v>
      </c>
      <c r="G402" s="6" t="s">
        <v>638</v>
      </c>
      <c r="H402" s="6" t="s">
        <v>779</v>
      </c>
      <c r="I402" s="6"/>
      <c r="J402" s="6"/>
      <c r="K402" s="7">
        <v>402.0</v>
      </c>
      <c r="L402" s="6" t="str">
        <f>IFERROR(__xludf.DUMMYFUNCTION("GOOGLETRANSLATE(B402,""en"",""ur"")"),"کھیل میں استعمال ہونے والے آلات کے دو ٹکڑے کیا ہیں؟")</f>
        <v>کھیل میں استعمال ہونے والے آلات کے دو ٹکڑے کیا ہیں؟</v>
      </c>
      <c r="M402" s="6"/>
      <c r="N402" s="8" t="str">
        <f>IFERROR(__xludf.DUMMYFUNCTION("GOOGLETRANSLATE(D402,""en"",""ur"")"),"ایک لمبی چھڑی (ڈنڈا) اور ایک چھوٹی چھڑی (گلی)")</f>
        <v>ایک لمبی چھڑی (ڈنڈا) اور ایک چھوٹی چھڑی (گلی)</v>
      </c>
      <c r="O402" s="6" t="str">
        <f>IFERROR(__xludf.DUMMYFUNCTION("GOOGLETRANSLATE(E402,""en"",""ur"")"),"ایک ریکیٹ اور ایک شٹل کاک")</f>
        <v>ایک ریکیٹ اور ایک شٹل کاک</v>
      </c>
      <c r="P402" s="6" t="str">
        <f>IFERROR(__xludf.DUMMYFUNCTION("GOOGLETRANSLATE(F402,""en"",""ur"")"),"ایک چمگادڑ اور ایک دستانہ")</f>
        <v>ایک چمگادڑ اور ایک دستانہ</v>
      </c>
      <c r="Q402" s="6" t="s">
        <v>641</v>
      </c>
      <c r="R402" s="6" t="str">
        <f>IFERROR(__xludf.DUMMYFUNCTION("GOOGLETRANSLATE(G402,""en"",""ur"")"),"ایک لمبی چھڑی (ڈنڈا) اور ایک چھوٹی چھڑی (گلی)")</f>
        <v>ایک لمبی چھڑی (ڈنڈا) اور ایک چھوٹی چھڑی (گلی)</v>
      </c>
      <c r="S402" s="6" t="s">
        <v>779</v>
      </c>
      <c r="T402" s="6"/>
      <c r="U402" s="6"/>
      <c r="V402" s="6"/>
      <c r="W402" s="6"/>
      <c r="X402" s="6"/>
      <c r="Y402" s="6"/>
      <c r="Z402" s="6"/>
      <c r="AA402" s="6"/>
    </row>
    <row r="403">
      <c r="A403" s="7">
        <v>403.0</v>
      </c>
      <c r="B403" s="6" t="s">
        <v>711</v>
      </c>
      <c r="C403" s="6" t="s">
        <v>307</v>
      </c>
      <c r="D403" s="6" t="s">
        <v>643</v>
      </c>
      <c r="E403" s="6" t="s">
        <v>311</v>
      </c>
      <c r="F403" s="6" t="s">
        <v>314</v>
      </c>
      <c r="G403" s="6" t="s">
        <v>643</v>
      </c>
      <c r="H403" s="6" t="s">
        <v>779</v>
      </c>
      <c r="I403" s="6"/>
      <c r="J403" s="6"/>
      <c r="K403" s="7">
        <v>403.0</v>
      </c>
      <c r="L403" s="6" t="str">
        <f>IFERROR(__xludf.DUMMYFUNCTION("GOOGLETRANSLATE(B403,""en"",""ur"")"),"کھلاڑی کے لباس کے بارے میں ایک قابل ذکر تفصیل کیا ہے؟")</f>
        <v>کھلاڑی کے لباس کے بارے میں ایک قابل ذکر تفصیل کیا ہے؟</v>
      </c>
      <c r="M403" s="6"/>
      <c r="N403" s="8" t="str">
        <f>IFERROR(__xludf.DUMMYFUNCTION("GOOGLETRANSLATE(D403,""en"",""ur"")"),"وہ ایک پست، جھکائے ہوئے موقف میں ہے، ہڑتال کرنے کی تیاری کر رہا ہے۔")</f>
        <v>وہ ایک پست، جھکائے ہوئے موقف میں ہے، ہڑتال کرنے کی تیاری کر رہا ہے۔</v>
      </c>
      <c r="O403" s="6" t="str">
        <f>IFERROR(__xludf.DUMMYFUNCTION("GOOGLETRANSLATE(E403,""en"",""ur"")"),"وہ سیدھا کھڑا ہے۔")</f>
        <v>وہ سیدھا کھڑا ہے۔</v>
      </c>
      <c r="P403" s="6" t="str">
        <f>IFERROR(__xludf.DUMMYFUNCTION("GOOGLETRANSLATE(F403,""en"",""ur"")"),"وہ آرام سے بیٹھا ہے۔")</f>
        <v>وہ آرام سے بیٹھا ہے۔</v>
      </c>
      <c r="Q403" s="6" t="s">
        <v>644</v>
      </c>
      <c r="R403" s="6" t="str">
        <f>IFERROR(__xludf.DUMMYFUNCTION("GOOGLETRANSLATE(G403,""en"",""ur"")"),"وہ ایک پست، جھکائے ہوئے موقف میں ہے، ہڑتال کرنے کی تیاری کر رہا ہے۔")</f>
        <v>وہ ایک پست، جھکائے ہوئے موقف میں ہے، ہڑتال کرنے کی تیاری کر رہا ہے۔</v>
      </c>
      <c r="S403" s="6" t="s">
        <v>779</v>
      </c>
      <c r="T403" s="6"/>
      <c r="U403" s="6"/>
      <c r="V403" s="6"/>
      <c r="W403" s="6"/>
      <c r="X403" s="6"/>
      <c r="Y403" s="6"/>
      <c r="Z403" s="6"/>
      <c r="AA403" s="6"/>
    </row>
    <row r="404">
      <c r="A404" s="7">
        <v>404.0</v>
      </c>
      <c r="B404" s="6" t="s">
        <v>645</v>
      </c>
      <c r="C404" s="6" t="s">
        <v>422</v>
      </c>
      <c r="D404" s="6" t="s">
        <v>646</v>
      </c>
      <c r="E404" s="6" t="s">
        <v>647</v>
      </c>
      <c r="F404" s="6" t="s">
        <v>425</v>
      </c>
      <c r="G404" s="6" t="s">
        <v>647</v>
      </c>
      <c r="H404" s="6" t="s">
        <v>779</v>
      </c>
      <c r="I404" s="6"/>
      <c r="J404" s="6"/>
      <c r="K404" s="7">
        <v>404.0</v>
      </c>
      <c r="L404" s="6" t="str">
        <f>IFERROR(__xludf.DUMMYFUNCTION("GOOGLETRANSLATE(B404,""en"",""ur"")"),"کھیل کی ظاہری ترتیب کیا ہے؟")</f>
        <v>کھیل کی ظاہری ترتیب کیا ہے؟</v>
      </c>
      <c r="M404" s="6"/>
      <c r="N404" s="8" t="str">
        <f>IFERROR(__xludf.DUMMYFUNCTION("GOOGLETRANSLATE(D404,""en"",""ur"")"),"شہر کی ایک گلی")</f>
        <v>شہر کی ایک گلی</v>
      </c>
      <c r="O404" s="6" t="str">
        <f>IFERROR(__xludf.DUMMYFUNCTION("GOOGLETRANSLATE(E404,""en"",""ur"")"),"ایک بیرونی گندگی کا میدان")</f>
        <v>ایک بیرونی گندگی کا میدان</v>
      </c>
      <c r="P404" s="6" t="str">
        <f>IFERROR(__xludf.DUMMYFUNCTION("GOOGLETRANSLATE(F404,""en"",""ur"")"),"گھاس کا میدان")</f>
        <v>گھاس کا میدان</v>
      </c>
      <c r="Q404" s="6" t="s">
        <v>648</v>
      </c>
      <c r="R404" s="6" t="str">
        <f>IFERROR(__xludf.DUMMYFUNCTION("GOOGLETRANSLATE(G404,""en"",""ur"")"),"ایک بیرونی گندگی کا میدان")</f>
        <v>ایک بیرونی گندگی کا میدان</v>
      </c>
      <c r="S404" s="6" t="s">
        <v>779</v>
      </c>
      <c r="T404" s="6"/>
      <c r="U404" s="6"/>
      <c r="V404" s="6"/>
      <c r="W404" s="6"/>
      <c r="X404" s="6"/>
      <c r="Y404" s="6"/>
      <c r="Z404" s="6"/>
      <c r="AA404" s="6"/>
    </row>
    <row r="405">
      <c r="A405" s="7">
        <v>405.0</v>
      </c>
      <c r="B405" s="6" t="s">
        <v>679</v>
      </c>
      <c r="C405" s="6" t="s">
        <v>47</v>
      </c>
      <c r="D405" s="6" t="s">
        <v>48</v>
      </c>
      <c r="E405" s="6" t="s">
        <v>49</v>
      </c>
      <c r="F405" s="6" t="s">
        <v>50</v>
      </c>
      <c r="G405" s="6" t="s">
        <v>49</v>
      </c>
      <c r="H405" s="6" t="s">
        <v>779</v>
      </c>
      <c r="I405" s="6"/>
      <c r="J405" s="6"/>
      <c r="K405" s="7">
        <v>405.0</v>
      </c>
      <c r="L405" s="6" t="str">
        <f>IFERROR(__xludf.DUMMYFUNCTION("GOOGLETRANSLATE(B405,""en"",""ur"")"),"کھلاڑی کے چہرے سے ظاہری جذبات کیا ہیں؟")</f>
        <v>کھلاڑی کے چہرے سے ظاہری جذبات کیا ہیں؟</v>
      </c>
      <c r="M405" s="6"/>
      <c r="N405" s="8" t="str">
        <f>IFERROR(__xludf.DUMMYFUNCTION("GOOGLETRANSLATE(D405,""en"",""ur"")"),"خوف زدہ اور بے چین")</f>
        <v>خوف زدہ اور بے چین</v>
      </c>
      <c r="O405" s="6" t="str">
        <f>IFERROR(__xludf.DUMMYFUNCTION("GOOGLETRANSLATE(E405,""en"",""ur"")"),"کشیدہ اور شدید")</f>
        <v>کشیدہ اور شدید</v>
      </c>
      <c r="P405" s="6" t="str">
        <f>IFERROR(__xludf.DUMMYFUNCTION("GOOGLETRANSLATE(F405,""en"",""ur"")"),"خوش اور مسکراتے ہوئے۔")</f>
        <v>خوش اور مسکراتے ہوئے۔</v>
      </c>
      <c r="Q405" s="6" t="s">
        <v>649</v>
      </c>
      <c r="R405" s="6" t="str">
        <f>IFERROR(__xludf.DUMMYFUNCTION("GOOGLETRANSLATE(G405,""en"",""ur"")"),"کشیدہ اور شدید")</f>
        <v>کشیدہ اور شدید</v>
      </c>
      <c r="S405" s="6" t="s">
        <v>779</v>
      </c>
      <c r="T405" s="6"/>
      <c r="U405" s="6"/>
      <c r="V405" s="6"/>
      <c r="W405" s="6"/>
      <c r="X405" s="6"/>
      <c r="Y405" s="6"/>
      <c r="Z405" s="6"/>
      <c r="AA405" s="6"/>
    </row>
    <row r="406">
      <c r="A406" s="7">
        <v>406.0</v>
      </c>
      <c r="B406" s="6" t="s">
        <v>88</v>
      </c>
      <c r="C406" s="6" t="s">
        <v>89</v>
      </c>
      <c r="D406" s="6" t="s">
        <v>90</v>
      </c>
      <c r="E406" s="6" t="s">
        <v>91</v>
      </c>
      <c r="F406" s="6" t="s">
        <v>255</v>
      </c>
      <c r="G406" s="6" t="s">
        <v>255</v>
      </c>
      <c r="H406" s="6" t="s">
        <v>779</v>
      </c>
      <c r="I406" s="6"/>
      <c r="J406" s="6"/>
      <c r="K406" s="7">
        <v>406.0</v>
      </c>
      <c r="L406" s="6" t="str">
        <f>IFERROR(__xludf.DUMMYFUNCTION("GOOGLETRANSLATE(B406,""en"",""ur"")"),"زمین کی سب سے نمایاں خصوصیت کیا ہے؟")</f>
        <v>زمین کی سب سے نمایاں خصوصیت کیا ہے؟</v>
      </c>
      <c r="M406" s="6"/>
      <c r="N406" s="8" t="str">
        <f>IFERROR(__xludf.DUMMYFUNCTION("GOOGLETRANSLATE(D406,""en"",""ur"")"),"کیچڑ والا میدان")</f>
        <v>کیچڑ والا میدان</v>
      </c>
      <c r="O406" s="6" t="str">
        <f>IFERROR(__xludf.DUMMYFUNCTION("GOOGLETRANSLATE(E406,""en"",""ur"")"),"ایک گھاس دار سطح")</f>
        <v>ایک گھاس دار سطح</v>
      </c>
      <c r="P406" s="6" t="str">
        <f>IFERROR(__xludf.DUMMYFUNCTION("GOOGLETRANSLATE(F406,""en"",""ur"")"),"ریتلی یا گندگی کی سطح")</f>
        <v>ریتلی یا گندگی کی سطح</v>
      </c>
      <c r="Q406" s="6" t="s">
        <v>688</v>
      </c>
      <c r="R406" s="6" t="str">
        <f>IFERROR(__xludf.DUMMYFUNCTION("GOOGLETRANSLATE(G406,""en"",""ur"")"),"ریتلی یا گندگی کی سطح")</f>
        <v>ریتلی یا گندگی کی سطح</v>
      </c>
      <c r="S406" s="6" t="s">
        <v>779</v>
      </c>
      <c r="T406" s="6"/>
      <c r="U406" s="6"/>
      <c r="V406" s="6"/>
      <c r="W406" s="6"/>
      <c r="X406" s="6"/>
      <c r="Y406" s="6"/>
      <c r="Z406" s="6"/>
      <c r="AA406" s="6"/>
    </row>
    <row r="407">
      <c r="A407" s="7">
        <v>407.0</v>
      </c>
      <c r="B407" s="6" t="s">
        <v>94</v>
      </c>
      <c r="C407" s="6" t="s">
        <v>95</v>
      </c>
      <c r="D407" s="6" t="s">
        <v>651</v>
      </c>
      <c r="E407" s="6" t="s">
        <v>652</v>
      </c>
      <c r="F407" s="6" t="s">
        <v>653</v>
      </c>
      <c r="G407" s="6" t="s">
        <v>652</v>
      </c>
      <c r="H407" s="6" t="s">
        <v>779</v>
      </c>
      <c r="I407" s="6"/>
      <c r="J407" s="6"/>
      <c r="K407" s="7">
        <v>407.0</v>
      </c>
      <c r="L407" s="6" t="str">
        <f>IFERROR(__xludf.DUMMYFUNCTION("GOOGLETRANSLATE(B407,""en"",""ur"")"),"کھیلے جانے والے کھیل کا نام کیا ہے؟")</f>
        <v>کھیلے جانے والے کھیل کا نام کیا ہے؟</v>
      </c>
      <c r="M407" s="6"/>
      <c r="N407" s="8" t="str">
        <f>IFERROR(__xludf.DUMMYFUNCTION("GOOGLETRANSLATE(D407,""en"",""ur"")"),"کرکٹ")</f>
        <v>کرکٹ</v>
      </c>
      <c r="O407" s="6" t="str">
        <f>IFERROR(__xludf.DUMMYFUNCTION("GOOGLETRANSLATE(E407,""en"",""ur"")"),"گلی ڈنڈا۔")</f>
        <v>گلی ڈنڈا۔</v>
      </c>
      <c r="P407" s="6" t="str">
        <f>IFERROR(__xludf.DUMMYFUNCTION("GOOGLETRANSLATE(F407,""en"",""ur"")"),"بیس بال")</f>
        <v>بیس بال</v>
      </c>
      <c r="Q407" s="6" t="s">
        <v>654</v>
      </c>
      <c r="R407" s="6" t="str">
        <f>IFERROR(__xludf.DUMMYFUNCTION("GOOGLETRANSLATE(G407,""en"",""ur"")"),"گلی ڈنڈا۔")</f>
        <v>گلی ڈنڈا۔</v>
      </c>
      <c r="S407" s="6" t="s">
        <v>779</v>
      </c>
      <c r="T407" s="6"/>
      <c r="U407" s="6"/>
      <c r="V407" s="6"/>
      <c r="W407" s="6"/>
      <c r="X407" s="6"/>
      <c r="Y407" s="6"/>
      <c r="Z407" s="6"/>
      <c r="AA407" s="6"/>
    </row>
    <row r="408">
      <c r="A408" s="7">
        <v>408.0</v>
      </c>
      <c r="B408" s="6" t="s">
        <v>260</v>
      </c>
      <c r="C408" s="6" t="s">
        <v>261</v>
      </c>
      <c r="D408" s="6" t="s">
        <v>262</v>
      </c>
      <c r="E408" s="6" t="s">
        <v>263</v>
      </c>
      <c r="F408" s="6" t="s">
        <v>655</v>
      </c>
      <c r="G408" s="6" t="s">
        <v>655</v>
      </c>
      <c r="H408" s="6" t="s">
        <v>779</v>
      </c>
      <c r="I408" s="6"/>
      <c r="J408" s="6"/>
      <c r="K408" s="7">
        <v>408.0</v>
      </c>
      <c r="L408" s="6" t="str">
        <f>IFERROR(__xludf.DUMMYFUNCTION("GOOGLETRANSLATE(B408,""en"",""ur"")"),"تصویر میں ایکشن ایک ایسا انداز تجویز کرتا ہے جو اس بات پر زور دیتا ہے...")</f>
        <v>تصویر میں ایکشن ایک ایسا انداز تجویز کرتا ہے جو اس بات پر زور دیتا ہے...</v>
      </c>
      <c r="M408" s="6"/>
      <c r="N408" s="8" t="str">
        <f>IFERROR(__xludf.DUMMYFUNCTION("GOOGLETRANSLATE(D408,""en"",""ur"")"),"زمینی لڑائی اور گرفت")</f>
        <v>زمینی لڑائی اور گرفت</v>
      </c>
      <c r="O408" s="6" t="str">
        <f>IFERROR(__xludf.DUMMYFUNCTION("GOOGLETRANSLATE(E408,""en"",""ur"")"),"وحشیانہ قوت اور گھڑ سواری۔")</f>
        <v>وحشیانہ قوت اور گھڑ سواری۔</v>
      </c>
      <c r="P408" s="6" t="str">
        <f>IFERROR(__xludf.DUMMYFUNCTION("GOOGLETRANSLATE(F408,""en"",""ur"")"),"ہاتھ سے آنکھ کو آرڈینیشن اور حیرت انگیز")</f>
        <v>ہاتھ سے آنکھ کو آرڈینیشن اور حیرت انگیز</v>
      </c>
      <c r="Q408" s="6" t="s">
        <v>656</v>
      </c>
      <c r="R408" s="6" t="str">
        <f>IFERROR(__xludf.DUMMYFUNCTION("GOOGLETRANSLATE(G408,""en"",""ur"")"),"ہاتھ سے آنکھ کو آرڈینیشن اور حیرت انگیز")</f>
        <v>ہاتھ سے آنکھ کو آرڈینیشن اور حیرت انگیز</v>
      </c>
      <c r="S408" s="6" t="s">
        <v>779</v>
      </c>
      <c r="T408" s="6"/>
      <c r="U408" s="6"/>
      <c r="V408" s="6"/>
      <c r="W408" s="6"/>
      <c r="X408" s="6"/>
      <c r="Y408" s="6"/>
      <c r="Z408" s="6"/>
      <c r="AA408" s="6"/>
    </row>
    <row r="409">
      <c r="A409" s="7">
        <v>409.0</v>
      </c>
      <c r="B409" s="6" t="s">
        <v>657</v>
      </c>
      <c r="C409" s="6" t="s">
        <v>658</v>
      </c>
      <c r="D409" s="6" t="s">
        <v>659</v>
      </c>
      <c r="E409" s="6" t="s">
        <v>660</v>
      </c>
      <c r="F409" s="6" t="s">
        <v>661</v>
      </c>
      <c r="G409" s="6" t="s">
        <v>660</v>
      </c>
      <c r="H409" s="6" t="s">
        <v>779</v>
      </c>
      <c r="I409" s="6"/>
      <c r="J409" s="6"/>
      <c r="K409" s="7">
        <v>409.0</v>
      </c>
      <c r="L409" s="6" t="str">
        <f>IFERROR(__xludf.DUMMYFUNCTION("GOOGLETRANSLATE(B409,""en"",""ur"")"),"کھلاڑیوں کے جوتے کے بارے میں ایک قابل ذکر تفصیل کیا ہے؟")</f>
        <v>کھلاڑیوں کے جوتے کے بارے میں ایک قابل ذکر تفصیل کیا ہے؟</v>
      </c>
      <c r="M409" s="6"/>
      <c r="N409" s="8" t="str">
        <f>IFERROR(__xludf.DUMMYFUNCTION("GOOGLETRANSLATE(D409,""en"",""ur"")"),"وہ ننگے پاؤں ہیں۔")</f>
        <v>وہ ننگے پاؤں ہیں۔</v>
      </c>
      <c r="O409" s="6" t="str">
        <f>IFERROR(__xludf.DUMMYFUNCTION("GOOGLETRANSLATE(E409,""en"",""ur"")"),"وہ سینڈل یا فلپ فلاپ پہنے ہوئے ہیں۔")</f>
        <v>وہ سینڈل یا فلپ فلاپ پہنے ہوئے ہیں۔</v>
      </c>
      <c r="P409" s="6" t="str">
        <f>IFERROR(__xludf.DUMMYFUNCTION("GOOGLETRANSLATE(F409,""en"",""ur"")"),"وہ موزے پہنے ہوئے ہیں۔")</f>
        <v>وہ موزے پہنے ہوئے ہیں۔</v>
      </c>
      <c r="Q409" s="6" t="s">
        <v>662</v>
      </c>
      <c r="R409" s="6" t="str">
        <f>IFERROR(__xludf.DUMMYFUNCTION("GOOGLETRANSLATE(G409,""en"",""ur"")"),"وہ سینڈل یا فلپ فلاپ پہنے ہوئے ہیں۔")</f>
        <v>وہ سینڈل یا فلپ فلاپ پہنے ہوئے ہیں۔</v>
      </c>
      <c r="S409" s="6" t="s">
        <v>779</v>
      </c>
      <c r="T409" s="6"/>
      <c r="U409" s="6"/>
      <c r="V409" s="6"/>
      <c r="W409" s="6"/>
      <c r="X409" s="6"/>
      <c r="Y409" s="6"/>
      <c r="Z409" s="6"/>
      <c r="AA409" s="6"/>
    </row>
    <row r="410">
      <c r="A410" s="7">
        <v>410.0</v>
      </c>
      <c r="B410" s="6" t="s">
        <v>663</v>
      </c>
      <c r="C410" s="6" t="s">
        <v>664</v>
      </c>
      <c r="D410" s="6" t="s">
        <v>665</v>
      </c>
      <c r="E410" s="6" t="s">
        <v>666</v>
      </c>
      <c r="F410" s="6" t="s">
        <v>780</v>
      </c>
      <c r="G410" s="6" t="s">
        <v>780</v>
      </c>
      <c r="H410" s="6" t="s">
        <v>779</v>
      </c>
      <c r="I410" s="6"/>
      <c r="J410" s="6"/>
      <c r="K410" s="7">
        <v>410.0</v>
      </c>
      <c r="L410" s="6" t="str">
        <f>IFERROR(__xludf.DUMMYFUNCTION("GOOGLETRANSLATE(B410,""en"",""ur"")"),"پس منظر میں دیگر کھلاڑیوں کے بارے میں ایک قابل ذکر تفصیل کیا ہے؟")</f>
        <v>پس منظر میں دیگر کھلاڑیوں کے بارے میں ایک قابل ذکر تفصیل کیا ہے؟</v>
      </c>
      <c r="M410" s="6"/>
      <c r="N410" s="8" t="str">
        <f>IFERROR(__xludf.DUMMYFUNCTION("GOOGLETRANSLATE(D410,""en"",""ur"")"),"وہ سب ادھر ادھر بھاگ رہے ہیں۔")</f>
        <v>وہ سب ادھر ادھر بھاگ رہے ہیں۔</v>
      </c>
      <c r="O410" s="6" t="str">
        <f>IFERROR(__xludf.DUMMYFUNCTION("GOOGLETRANSLATE(E410,""en"",""ur"")"),"وہ ایک دفاعی، تیار موقف میں ہیں۔")</f>
        <v>وہ ایک دفاعی، تیار موقف میں ہیں۔</v>
      </c>
      <c r="P410" s="6" t="str">
        <f>IFERROR(__xludf.DUMMYFUNCTION("GOOGLETRANSLATE(F410,""en"",""ur"")"),"کوئی اور کھلاڑی نہیں ہیں۔")</f>
        <v>کوئی اور کھلاڑی نہیں ہیں۔</v>
      </c>
      <c r="Q410" s="6" t="s">
        <v>781</v>
      </c>
      <c r="R410" s="6" t="str">
        <f>IFERROR(__xludf.DUMMYFUNCTION("GOOGLETRANSLATE(G410,""en"",""ur"")"),"کوئی اور کھلاڑی نہیں ہیں۔")</f>
        <v>کوئی اور کھلاڑی نہیں ہیں۔</v>
      </c>
      <c r="S410" s="6" t="s">
        <v>779</v>
      </c>
      <c r="T410" s="6"/>
      <c r="U410" s="6"/>
      <c r="V410" s="6"/>
      <c r="W410" s="6"/>
      <c r="X410" s="6"/>
      <c r="Y410" s="6"/>
      <c r="Z410" s="6"/>
      <c r="AA410" s="6"/>
    </row>
    <row r="411">
      <c r="A411" s="7">
        <v>411.0</v>
      </c>
      <c r="B411" s="6" t="s">
        <v>782</v>
      </c>
      <c r="C411" s="6" t="s">
        <v>783</v>
      </c>
      <c r="D411" s="6" t="s">
        <v>142</v>
      </c>
      <c r="E411" s="6" t="s">
        <v>784</v>
      </c>
      <c r="F411" s="6" t="s">
        <v>785</v>
      </c>
      <c r="G411" s="6" t="s">
        <v>784</v>
      </c>
      <c r="H411" s="6" t="s">
        <v>786</v>
      </c>
      <c r="I411" s="6"/>
      <c r="J411" s="6"/>
      <c r="K411" s="7">
        <v>411.0</v>
      </c>
      <c r="L411" s="6" t="str">
        <f>IFERROR(__xludf.DUMMYFUNCTION("GOOGLETRANSLATE(B411,""en"",""ur"")"),"gilli_danda_51 میں دکھایا گیا اہم عمل کیا ہے؟")</f>
        <v>gilli_danda_51 میں دکھایا گیا اہم عمل کیا ہے؟</v>
      </c>
      <c r="M411" s="6"/>
      <c r="N411" s="8" t="str">
        <f>IFERROR(__xludf.DUMMYFUNCTION("GOOGLETRANSLATE(D411,""en"",""ur"")"),"لوگوں کا ایک گروپ جو گیند کا کھیل کھیل رہا ہے۔")</f>
        <v>لوگوں کا ایک گروپ جو گیند کا کھیل کھیل رہا ہے۔</v>
      </c>
      <c r="O411" s="6" t="str">
        <f>IFERROR(__xludf.DUMMYFUNCTION("GOOGLETRANSLATE(E411,""en"",""ur"")"),"لوگوں کا ایک گروہ ایک چھوٹی چھڑی کو بڑی چھڑی سے مار رہا ہے۔")</f>
        <v>لوگوں کا ایک گروہ ایک چھوٹی چھڑی کو بڑی چھڑی سے مار رہا ہے۔</v>
      </c>
      <c r="P411" s="6" t="str">
        <f>IFERROR(__xludf.DUMMYFUNCTION("GOOGLETRANSLATE(F411,""en"",""ur"")"),"لوگوں کا ایک گروپ چل رہا ہے۔")</f>
        <v>لوگوں کا ایک گروپ چل رہا ہے۔</v>
      </c>
      <c r="Q411" s="6" t="s">
        <v>787</v>
      </c>
      <c r="R411" s="6" t="str">
        <f>IFERROR(__xludf.DUMMYFUNCTION("GOOGLETRANSLATE(G411,""en"",""ur"")"),"لوگوں کا ایک گروہ ایک چھوٹی چھڑی کو بڑی چھڑی سے مار رہا ہے۔")</f>
        <v>لوگوں کا ایک گروہ ایک چھوٹی چھڑی کو بڑی چھڑی سے مار رہا ہے۔</v>
      </c>
      <c r="S411" s="6" t="s">
        <v>786</v>
      </c>
      <c r="T411" s="6"/>
      <c r="U411" s="6"/>
      <c r="V411" s="6"/>
      <c r="W411" s="6"/>
      <c r="X411" s="6"/>
      <c r="Y411" s="6"/>
      <c r="Z411" s="6"/>
      <c r="AA411" s="6"/>
    </row>
    <row r="412">
      <c r="A412" s="7">
        <v>412.0</v>
      </c>
      <c r="B412" s="6" t="s">
        <v>636</v>
      </c>
      <c r="C412" s="6" t="s">
        <v>637</v>
      </c>
      <c r="D412" s="6" t="s">
        <v>638</v>
      </c>
      <c r="E412" s="6" t="s">
        <v>639</v>
      </c>
      <c r="F412" s="6" t="s">
        <v>640</v>
      </c>
      <c r="G412" s="6" t="s">
        <v>638</v>
      </c>
      <c r="H412" s="6" t="s">
        <v>786</v>
      </c>
      <c r="I412" s="6"/>
      <c r="J412" s="6"/>
      <c r="K412" s="7">
        <v>412.0</v>
      </c>
      <c r="L412" s="6" t="str">
        <f>IFERROR(__xludf.DUMMYFUNCTION("GOOGLETRANSLATE(B412,""en"",""ur"")"),"کھیل میں استعمال ہونے والے آلات کے دو ٹکڑے کیا ہیں؟")</f>
        <v>کھیل میں استعمال ہونے والے آلات کے دو ٹکڑے کیا ہیں؟</v>
      </c>
      <c r="M412" s="6"/>
      <c r="N412" s="8" t="str">
        <f>IFERROR(__xludf.DUMMYFUNCTION("GOOGLETRANSLATE(D412,""en"",""ur"")"),"ایک لمبی چھڑی (ڈنڈا) اور ایک چھوٹی چھڑی (گلی)")</f>
        <v>ایک لمبی چھڑی (ڈنڈا) اور ایک چھوٹی چھڑی (گلی)</v>
      </c>
      <c r="O412" s="6" t="str">
        <f>IFERROR(__xludf.DUMMYFUNCTION("GOOGLETRANSLATE(E412,""en"",""ur"")"),"ایک ریکیٹ اور ایک شٹل کاک")</f>
        <v>ایک ریکیٹ اور ایک شٹل کاک</v>
      </c>
      <c r="P412" s="6" t="str">
        <f>IFERROR(__xludf.DUMMYFUNCTION("GOOGLETRANSLATE(F412,""en"",""ur"")"),"ایک چمگادڑ اور ایک دستانہ")</f>
        <v>ایک چمگادڑ اور ایک دستانہ</v>
      </c>
      <c r="Q412" s="6" t="s">
        <v>641</v>
      </c>
      <c r="R412" s="6" t="str">
        <f>IFERROR(__xludf.DUMMYFUNCTION("GOOGLETRANSLATE(G412,""en"",""ur"")"),"ایک لمبی چھڑی (ڈنڈا) اور ایک چھوٹی چھڑی (گلی)")</f>
        <v>ایک لمبی چھڑی (ڈنڈا) اور ایک چھوٹی چھڑی (گلی)</v>
      </c>
      <c r="S412" s="6" t="s">
        <v>786</v>
      </c>
      <c r="T412" s="6"/>
      <c r="U412" s="6"/>
      <c r="V412" s="6"/>
      <c r="W412" s="6"/>
      <c r="X412" s="6"/>
      <c r="Y412" s="6"/>
      <c r="Z412" s="6"/>
      <c r="AA412" s="6"/>
    </row>
    <row r="413">
      <c r="A413" s="7">
        <v>413.0</v>
      </c>
      <c r="B413" s="6" t="s">
        <v>767</v>
      </c>
      <c r="C413" s="6" t="s">
        <v>664</v>
      </c>
      <c r="D413" s="6" t="s">
        <v>665</v>
      </c>
      <c r="E413" s="6" t="s">
        <v>768</v>
      </c>
      <c r="F413" s="6" t="s">
        <v>667</v>
      </c>
      <c r="G413" s="6" t="s">
        <v>788</v>
      </c>
      <c r="H413" s="6" t="s">
        <v>786</v>
      </c>
      <c r="I413" s="6"/>
      <c r="J413" s="6"/>
      <c r="K413" s="7">
        <v>413.0</v>
      </c>
      <c r="L413" s="6" t="str">
        <f>IFERROR(__xludf.DUMMYFUNCTION("GOOGLETRANSLATE(B413,""en"",""ur"")"),"کھلاڑیوں کے بارے میں ایک قابل ذکر تفصیل کیا ہے؟")</f>
        <v>کھلاڑیوں کے بارے میں ایک قابل ذکر تفصیل کیا ہے؟</v>
      </c>
      <c r="M413" s="6"/>
      <c r="N413" s="8" t="str">
        <f>IFERROR(__xludf.DUMMYFUNCTION("GOOGLETRANSLATE(D413,""en"",""ur"")"),"وہ سب ادھر ادھر بھاگ رہے ہیں۔")</f>
        <v>وہ سب ادھر ادھر بھاگ رہے ہیں۔</v>
      </c>
      <c r="O413" s="6" t="str">
        <f>IFERROR(__xludf.DUMMYFUNCTION("GOOGLETRANSLATE(E413,""en"",""ur"")"),"وہ پست، جھکنے والے موقف میں ہیں، حملہ کرنے یا پکڑنے کی تیاری کر رہے ہیں۔")</f>
        <v>وہ پست، جھکنے والے موقف میں ہیں، حملہ کرنے یا پکڑنے کی تیاری کر رہے ہیں۔</v>
      </c>
      <c r="P413" s="6" t="str">
        <f>IFERROR(__xludf.DUMMYFUNCTION("GOOGLETRANSLATE(F413,""en"",""ur"")"),"وہ سب لہرا رہے ہیں۔")</f>
        <v>وہ سب لہرا رہے ہیں۔</v>
      </c>
      <c r="Q413" s="6" t="s">
        <v>769</v>
      </c>
      <c r="R413" s="6" t="str">
        <f>IFERROR(__xludf.DUMMYFUNCTION("GOOGLETRANSLATE(G413,""en"",""ur"")"),"وہ سب ادھر ادھر کھڑے دیکھ رہے ہیں۔")</f>
        <v>وہ سب ادھر ادھر کھڑے دیکھ رہے ہیں۔</v>
      </c>
      <c r="S413" s="6" t="s">
        <v>786</v>
      </c>
      <c r="T413" s="6"/>
      <c r="U413" s="6"/>
      <c r="V413" s="6"/>
      <c r="W413" s="6"/>
      <c r="X413" s="6"/>
      <c r="Y413" s="6"/>
      <c r="Z413" s="6"/>
      <c r="AA413" s="6"/>
    </row>
    <row r="414">
      <c r="A414" s="7">
        <v>414.0</v>
      </c>
      <c r="B414" s="6" t="s">
        <v>645</v>
      </c>
      <c r="C414" s="6" t="s">
        <v>422</v>
      </c>
      <c r="D414" s="6" t="s">
        <v>646</v>
      </c>
      <c r="E414" s="6" t="s">
        <v>789</v>
      </c>
      <c r="F414" s="6" t="s">
        <v>425</v>
      </c>
      <c r="G414" s="6" t="s">
        <v>789</v>
      </c>
      <c r="H414" s="6" t="s">
        <v>786</v>
      </c>
      <c r="I414" s="6"/>
      <c r="J414" s="6"/>
      <c r="K414" s="7">
        <v>414.0</v>
      </c>
      <c r="L414" s="6" t="str">
        <f>IFERROR(__xludf.DUMMYFUNCTION("GOOGLETRANSLATE(B414,""en"",""ur"")"),"کھیل کی ظاہری ترتیب کیا ہے؟")</f>
        <v>کھیل کی ظاہری ترتیب کیا ہے؟</v>
      </c>
      <c r="M414" s="6"/>
      <c r="N414" s="8" t="str">
        <f>IFERROR(__xludf.DUMMYFUNCTION("GOOGLETRANSLATE(D414,""en"",""ur"")"),"شہر کی ایک گلی")</f>
        <v>شہر کی ایک گلی</v>
      </c>
      <c r="O414" s="6" t="str">
        <f>IFERROR(__xludf.DUMMYFUNCTION("GOOGLETRANSLATE(E414,""en"",""ur"")"),"درختوں اور عمارتوں کے ساتھ ایک بیرونی گندگی کا میدان")</f>
        <v>درختوں اور عمارتوں کے ساتھ ایک بیرونی گندگی کا میدان</v>
      </c>
      <c r="P414" s="6" t="str">
        <f>IFERROR(__xludf.DUMMYFUNCTION("GOOGLETRANSLATE(F414,""en"",""ur"")"),"گھاس کا میدان")</f>
        <v>گھاس کا میدان</v>
      </c>
      <c r="Q414" s="6" t="s">
        <v>790</v>
      </c>
      <c r="R414" s="6" t="str">
        <f>IFERROR(__xludf.DUMMYFUNCTION("GOOGLETRANSLATE(G414,""en"",""ur"")"),"درختوں اور عمارتوں کے ساتھ ایک بیرونی گندگی کا میدان")</f>
        <v>درختوں اور عمارتوں کے ساتھ ایک بیرونی گندگی کا میدان</v>
      </c>
      <c r="S414" s="6" t="s">
        <v>786</v>
      </c>
      <c r="T414" s="6"/>
      <c r="U414" s="6"/>
      <c r="V414" s="6"/>
      <c r="W414" s="6"/>
      <c r="X414" s="6"/>
      <c r="Y414" s="6"/>
      <c r="Z414" s="6"/>
      <c r="AA414" s="6"/>
    </row>
    <row r="415">
      <c r="A415" s="7">
        <v>415.0</v>
      </c>
      <c r="B415" s="6" t="s">
        <v>46</v>
      </c>
      <c r="C415" s="6" t="s">
        <v>47</v>
      </c>
      <c r="D415" s="6" t="s">
        <v>48</v>
      </c>
      <c r="E415" s="6" t="s">
        <v>49</v>
      </c>
      <c r="F415" s="6" t="s">
        <v>50</v>
      </c>
      <c r="G415" s="6" t="s">
        <v>47</v>
      </c>
      <c r="H415" s="6" t="s">
        <v>786</v>
      </c>
      <c r="I415" s="6"/>
      <c r="J415" s="6"/>
      <c r="K415" s="7">
        <v>415.0</v>
      </c>
      <c r="L415" s="6" t="str">
        <f>IFERROR(__xludf.DUMMYFUNCTION("GOOGLETRANSLATE(B415,""en"",""ur"")"),"کھلاڑیوں کے چہروں سے ظاہری جذبات کیا ہیں؟")</f>
        <v>کھلاڑیوں کے چہروں سے ظاہری جذبات کیا ہیں؟</v>
      </c>
      <c r="M415" s="6"/>
      <c r="N415" s="8" t="str">
        <f>IFERROR(__xludf.DUMMYFUNCTION("GOOGLETRANSLATE(D415,""en"",""ur"")"),"خوف زدہ اور بے چین")</f>
        <v>خوف زدہ اور بے چین</v>
      </c>
      <c r="O415" s="6" t="str">
        <f>IFERROR(__xludf.DUMMYFUNCTION("GOOGLETRANSLATE(E415,""en"",""ur"")"),"کشیدہ اور شدید")</f>
        <v>کشیدہ اور شدید</v>
      </c>
      <c r="P415" s="6" t="str">
        <f>IFERROR(__xludf.DUMMYFUNCTION("GOOGLETRANSLATE(F415,""en"",""ur"")"),"خوش اور مسکراتے ہوئے۔")</f>
        <v>خوش اور مسکراتے ہوئے۔</v>
      </c>
      <c r="Q415" s="6" t="s">
        <v>649</v>
      </c>
      <c r="R415" s="6" t="str">
        <f>IFERROR(__xludf.DUMMYFUNCTION("GOOGLETRANSLATE(G415,""en"",""ur"")"),"پرسکون اور پر سکون")</f>
        <v>پرسکون اور پر سکون</v>
      </c>
      <c r="S415" s="6" t="s">
        <v>786</v>
      </c>
      <c r="T415" s="6"/>
      <c r="U415" s="6"/>
      <c r="V415" s="6"/>
      <c r="W415" s="6"/>
      <c r="X415" s="6"/>
      <c r="Y415" s="6"/>
      <c r="Z415" s="6"/>
      <c r="AA415" s="6"/>
    </row>
    <row r="416">
      <c r="A416" s="7">
        <v>416.0</v>
      </c>
      <c r="B416" s="6" t="s">
        <v>88</v>
      </c>
      <c r="C416" s="6" t="s">
        <v>89</v>
      </c>
      <c r="D416" s="6" t="s">
        <v>90</v>
      </c>
      <c r="E416" s="6" t="s">
        <v>91</v>
      </c>
      <c r="F416" s="6" t="s">
        <v>255</v>
      </c>
      <c r="G416" s="6" t="s">
        <v>255</v>
      </c>
      <c r="H416" s="6" t="s">
        <v>786</v>
      </c>
      <c r="I416" s="6"/>
      <c r="J416" s="6"/>
      <c r="K416" s="7">
        <v>416.0</v>
      </c>
      <c r="L416" s="6" t="str">
        <f>IFERROR(__xludf.DUMMYFUNCTION("GOOGLETRANSLATE(B416,""en"",""ur"")"),"زمین کی سب سے نمایاں خصوصیت کیا ہے؟")</f>
        <v>زمین کی سب سے نمایاں خصوصیت کیا ہے؟</v>
      </c>
      <c r="M416" s="6"/>
      <c r="N416" s="8" t="str">
        <f>IFERROR(__xludf.DUMMYFUNCTION("GOOGLETRANSLATE(D416,""en"",""ur"")"),"کیچڑ والا میدان")</f>
        <v>کیچڑ والا میدان</v>
      </c>
      <c r="O416" s="6" t="str">
        <f>IFERROR(__xludf.DUMMYFUNCTION("GOOGLETRANSLATE(E416,""en"",""ur"")"),"ایک گھاس دار سطح")</f>
        <v>ایک گھاس دار سطح</v>
      </c>
      <c r="P416" s="6" t="str">
        <f>IFERROR(__xludf.DUMMYFUNCTION("GOOGLETRANSLATE(F416,""en"",""ur"")"),"ریتلی یا گندگی کی سطح")</f>
        <v>ریتلی یا گندگی کی سطح</v>
      </c>
      <c r="Q416" s="6" t="s">
        <v>688</v>
      </c>
      <c r="R416" s="6" t="str">
        <f>IFERROR(__xludf.DUMMYFUNCTION("GOOGLETRANSLATE(G416,""en"",""ur"")"),"ریتلی یا گندگی کی سطح")</f>
        <v>ریتلی یا گندگی کی سطح</v>
      </c>
      <c r="S416" s="6" t="s">
        <v>786</v>
      </c>
      <c r="T416" s="6"/>
      <c r="U416" s="6"/>
      <c r="V416" s="6"/>
      <c r="W416" s="6"/>
      <c r="X416" s="6"/>
      <c r="Y416" s="6"/>
      <c r="Z416" s="6"/>
      <c r="AA416" s="6"/>
    </row>
    <row r="417">
      <c r="A417" s="7">
        <v>417.0</v>
      </c>
      <c r="B417" s="6" t="s">
        <v>94</v>
      </c>
      <c r="C417" s="6" t="s">
        <v>95</v>
      </c>
      <c r="D417" s="6" t="s">
        <v>651</v>
      </c>
      <c r="E417" s="6" t="s">
        <v>652</v>
      </c>
      <c r="F417" s="6" t="s">
        <v>653</v>
      </c>
      <c r="G417" s="6" t="s">
        <v>652</v>
      </c>
      <c r="H417" s="6" t="s">
        <v>786</v>
      </c>
      <c r="I417" s="6"/>
      <c r="J417" s="6"/>
      <c r="K417" s="7">
        <v>417.0</v>
      </c>
      <c r="L417" s="6" t="str">
        <f>IFERROR(__xludf.DUMMYFUNCTION("GOOGLETRANSLATE(B417,""en"",""ur"")"),"کھیلے جانے والے کھیل کا نام کیا ہے؟")</f>
        <v>کھیلے جانے والے کھیل کا نام کیا ہے؟</v>
      </c>
      <c r="M417" s="6"/>
      <c r="N417" s="8" t="str">
        <f>IFERROR(__xludf.DUMMYFUNCTION("GOOGLETRANSLATE(D417,""en"",""ur"")"),"کرکٹ")</f>
        <v>کرکٹ</v>
      </c>
      <c r="O417" s="6" t="str">
        <f>IFERROR(__xludf.DUMMYFUNCTION("GOOGLETRANSLATE(E417,""en"",""ur"")"),"گلی ڈنڈا۔")</f>
        <v>گلی ڈنڈا۔</v>
      </c>
      <c r="P417" s="6" t="str">
        <f>IFERROR(__xludf.DUMMYFUNCTION("GOOGLETRANSLATE(F417,""en"",""ur"")"),"بیس بال")</f>
        <v>بیس بال</v>
      </c>
      <c r="Q417" s="6" t="s">
        <v>654</v>
      </c>
      <c r="R417" s="6" t="str">
        <f>IFERROR(__xludf.DUMMYFUNCTION("GOOGLETRANSLATE(G417,""en"",""ur"")"),"گلی ڈنڈا۔")</f>
        <v>گلی ڈنڈا۔</v>
      </c>
      <c r="S417" s="6" t="s">
        <v>786</v>
      </c>
      <c r="T417" s="6"/>
      <c r="U417" s="6"/>
      <c r="V417" s="6"/>
      <c r="W417" s="6"/>
      <c r="X417" s="6"/>
      <c r="Y417" s="6"/>
      <c r="Z417" s="6"/>
      <c r="AA417" s="6"/>
    </row>
    <row r="418">
      <c r="A418" s="7">
        <v>418.0</v>
      </c>
      <c r="B418" s="6" t="s">
        <v>260</v>
      </c>
      <c r="C418" s="6" t="s">
        <v>261</v>
      </c>
      <c r="D418" s="6" t="s">
        <v>262</v>
      </c>
      <c r="E418" s="6" t="s">
        <v>263</v>
      </c>
      <c r="F418" s="6" t="s">
        <v>655</v>
      </c>
      <c r="G418" s="6" t="s">
        <v>655</v>
      </c>
      <c r="H418" s="6" t="s">
        <v>786</v>
      </c>
      <c r="I418" s="6"/>
      <c r="J418" s="6"/>
      <c r="K418" s="7">
        <v>418.0</v>
      </c>
      <c r="L418" s="6" t="str">
        <f>IFERROR(__xludf.DUMMYFUNCTION("GOOGLETRANSLATE(B418,""en"",""ur"")"),"تصویر میں ایکشن ایک ایسا انداز تجویز کرتا ہے جو اس بات پر زور دیتا ہے...")</f>
        <v>تصویر میں ایکشن ایک ایسا انداز تجویز کرتا ہے جو اس بات پر زور دیتا ہے...</v>
      </c>
      <c r="M418" s="6"/>
      <c r="N418" s="8" t="str">
        <f>IFERROR(__xludf.DUMMYFUNCTION("GOOGLETRANSLATE(D418,""en"",""ur"")"),"زمینی لڑائی اور گرفت")</f>
        <v>زمینی لڑائی اور گرفت</v>
      </c>
      <c r="O418" s="6" t="str">
        <f>IFERROR(__xludf.DUMMYFUNCTION("GOOGLETRANSLATE(E418,""en"",""ur"")"),"وحشیانہ قوت اور گھڑ سواری۔")</f>
        <v>وحشیانہ قوت اور گھڑ سواری۔</v>
      </c>
      <c r="P418" s="6" t="str">
        <f>IFERROR(__xludf.DUMMYFUNCTION("GOOGLETRANSLATE(F418,""en"",""ur"")"),"ہاتھ سے آنکھ کو آرڈینیشن اور حیرت انگیز")</f>
        <v>ہاتھ سے آنکھ کو آرڈینیشن اور حیرت انگیز</v>
      </c>
      <c r="Q418" s="6" t="s">
        <v>656</v>
      </c>
      <c r="R418" s="6" t="str">
        <f>IFERROR(__xludf.DUMMYFUNCTION("GOOGLETRANSLATE(G418,""en"",""ur"")"),"ہاتھ سے آنکھ کو آرڈینیشن اور حیرت انگیز")</f>
        <v>ہاتھ سے آنکھ کو آرڈینیشن اور حیرت انگیز</v>
      </c>
      <c r="S418" s="6" t="s">
        <v>786</v>
      </c>
      <c r="T418" s="6"/>
      <c r="U418" s="6"/>
      <c r="V418" s="6"/>
      <c r="W418" s="6"/>
      <c r="X418" s="6"/>
      <c r="Y418" s="6"/>
      <c r="Z418" s="6"/>
      <c r="AA418" s="6"/>
    </row>
    <row r="419">
      <c r="A419" s="7">
        <v>419.0</v>
      </c>
      <c r="B419" s="6" t="s">
        <v>657</v>
      </c>
      <c r="C419" s="6" t="s">
        <v>658</v>
      </c>
      <c r="D419" s="6" t="s">
        <v>659</v>
      </c>
      <c r="E419" s="6" t="s">
        <v>660</v>
      </c>
      <c r="F419" s="6" t="s">
        <v>661</v>
      </c>
      <c r="G419" s="6" t="s">
        <v>660</v>
      </c>
      <c r="H419" s="6" t="s">
        <v>786</v>
      </c>
      <c r="I419" s="6"/>
      <c r="J419" s="6"/>
      <c r="K419" s="7">
        <v>419.0</v>
      </c>
      <c r="L419" s="6" t="str">
        <f>IFERROR(__xludf.DUMMYFUNCTION("GOOGLETRANSLATE(B419,""en"",""ur"")"),"کھلاڑیوں کے جوتے کے بارے میں ایک قابل ذکر تفصیل کیا ہے؟")</f>
        <v>کھلاڑیوں کے جوتے کے بارے میں ایک قابل ذکر تفصیل کیا ہے؟</v>
      </c>
      <c r="M419" s="6"/>
      <c r="N419" s="8" t="str">
        <f>IFERROR(__xludf.DUMMYFUNCTION("GOOGLETRANSLATE(D419,""en"",""ur"")"),"وہ ننگے پاؤں ہیں۔")</f>
        <v>وہ ننگے پاؤں ہیں۔</v>
      </c>
      <c r="O419" s="6" t="str">
        <f>IFERROR(__xludf.DUMMYFUNCTION("GOOGLETRANSLATE(E419,""en"",""ur"")"),"وہ سینڈل یا فلپ فلاپ پہنے ہوئے ہیں۔")</f>
        <v>وہ سینڈل یا فلپ فلاپ پہنے ہوئے ہیں۔</v>
      </c>
      <c r="P419" s="6" t="str">
        <f>IFERROR(__xludf.DUMMYFUNCTION("GOOGLETRANSLATE(F419,""en"",""ur"")"),"وہ موزے پہنے ہوئے ہیں۔")</f>
        <v>وہ موزے پہنے ہوئے ہیں۔</v>
      </c>
      <c r="Q419" s="6" t="s">
        <v>662</v>
      </c>
      <c r="R419" s="6" t="str">
        <f>IFERROR(__xludf.DUMMYFUNCTION("GOOGLETRANSLATE(G419,""en"",""ur"")"),"وہ سینڈل یا فلپ فلاپ پہنے ہوئے ہیں۔")</f>
        <v>وہ سینڈل یا فلپ فلاپ پہنے ہوئے ہیں۔</v>
      </c>
      <c r="S419" s="6" t="s">
        <v>786</v>
      </c>
      <c r="T419" s="6"/>
      <c r="U419" s="6"/>
      <c r="V419" s="6"/>
      <c r="W419" s="6"/>
      <c r="X419" s="6"/>
      <c r="Y419" s="6"/>
      <c r="Z419" s="6"/>
      <c r="AA419" s="6"/>
    </row>
    <row r="420">
      <c r="A420" s="7">
        <v>420.0</v>
      </c>
      <c r="B420" s="6" t="s">
        <v>663</v>
      </c>
      <c r="C420" s="6" t="s">
        <v>664</v>
      </c>
      <c r="D420" s="6" t="s">
        <v>665</v>
      </c>
      <c r="E420" s="6" t="s">
        <v>666</v>
      </c>
      <c r="F420" s="6" t="s">
        <v>667</v>
      </c>
      <c r="G420" s="6" t="s">
        <v>725</v>
      </c>
      <c r="H420" s="6" t="s">
        <v>786</v>
      </c>
      <c r="I420" s="6"/>
      <c r="J420" s="6"/>
      <c r="K420" s="7">
        <v>420.0</v>
      </c>
      <c r="L420" s="6" t="str">
        <f>IFERROR(__xludf.DUMMYFUNCTION("GOOGLETRANSLATE(B420,""en"",""ur"")"),"پس منظر میں دیگر کھلاڑیوں کے بارے میں ایک قابل ذکر تفصیل کیا ہے؟")</f>
        <v>پس منظر میں دیگر کھلاڑیوں کے بارے میں ایک قابل ذکر تفصیل کیا ہے؟</v>
      </c>
      <c r="M420" s="6"/>
      <c r="N420" s="8" t="str">
        <f>IFERROR(__xludf.DUMMYFUNCTION("GOOGLETRANSLATE(D420,""en"",""ur"")"),"وہ سب ادھر ادھر بھاگ رہے ہیں۔")</f>
        <v>وہ سب ادھر ادھر بھاگ رہے ہیں۔</v>
      </c>
      <c r="O420" s="6" t="str">
        <f>IFERROR(__xludf.DUMMYFUNCTION("GOOGLETRANSLATE(E420,""en"",""ur"")"),"وہ ایک دفاعی، تیار موقف میں ہیں۔")</f>
        <v>وہ ایک دفاعی، تیار موقف میں ہیں۔</v>
      </c>
      <c r="P420" s="6" t="str">
        <f>IFERROR(__xludf.DUMMYFUNCTION("GOOGLETRANSLATE(F420,""en"",""ur"")"),"وہ سب لہرا رہے ہیں۔")</f>
        <v>وہ سب لہرا رہے ہیں۔</v>
      </c>
      <c r="Q420" s="6" t="s">
        <v>668</v>
      </c>
      <c r="R420" s="6" t="str">
        <f>IFERROR(__xludf.DUMMYFUNCTION("GOOGLETRANSLATE(G420,""en"",""ur"")"),"وہ سب کھڑے کھڑے دیکھ رہے ہیں۔")</f>
        <v>وہ سب کھڑے کھڑے دیکھ رہے ہیں۔</v>
      </c>
      <c r="S420" s="6" t="s">
        <v>786</v>
      </c>
      <c r="T420" s="6"/>
      <c r="U420" s="6"/>
      <c r="V420" s="6"/>
      <c r="W420" s="6"/>
      <c r="X420" s="6"/>
      <c r="Y420" s="6"/>
      <c r="Z420" s="6"/>
      <c r="AA420" s="6"/>
    </row>
    <row r="421">
      <c r="A421" s="7">
        <v>421.0</v>
      </c>
      <c r="B421" s="6" t="s">
        <v>791</v>
      </c>
      <c r="C421" s="6" t="s">
        <v>792</v>
      </c>
      <c r="D421" s="6" t="s">
        <v>632</v>
      </c>
      <c r="E421" s="6" t="s">
        <v>633</v>
      </c>
      <c r="F421" s="6" t="s">
        <v>634</v>
      </c>
      <c r="G421" s="6" t="s">
        <v>792</v>
      </c>
      <c r="H421" s="6" t="s">
        <v>793</v>
      </c>
      <c r="I421" s="6"/>
      <c r="J421" s="6"/>
      <c r="K421" s="7">
        <v>421.0</v>
      </c>
      <c r="L421" s="6" t="str">
        <f>IFERROR(__xludf.DUMMYFUNCTION("GOOGLETRANSLATE(B421,""en"",""ur"")"),"gilli_danda_50 میں دکھایا گیا اہم عمل کیا ہے؟")</f>
        <v>gilli_danda_50 میں دکھایا گیا اہم عمل کیا ہے؟</v>
      </c>
      <c r="M421" s="6"/>
      <c r="N421" s="8" t="str">
        <f>IFERROR(__xludf.DUMMYFUNCTION("GOOGLETRANSLATE(D421,""en"",""ur"")"),"ایک کھلاڑی چھوٹی چھڑی کو بڑی چھڑی سے مار رہا ہے۔")</f>
        <v>ایک کھلاڑی چھوٹی چھڑی کو بڑی چھڑی سے مار رہا ہے۔</v>
      </c>
      <c r="O421" s="6" t="str">
        <f>IFERROR(__xludf.DUMMYFUNCTION("GOOGLETRANSLATE(E421,""en"",""ur"")"),"ایک کھلاڑی گیند کی خدمت کر رہا ہے۔")</f>
        <v>ایک کھلاڑی گیند کی خدمت کر رہا ہے۔</v>
      </c>
      <c r="P421" s="6" t="str">
        <f>IFERROR(__xludf.DUMMYFUNCTION("GOOGLETRANSLATE(F421,""en"",""ur"")"),"ایک کھلاڑی دفاعی بلاک کا مظاہرہ کر رہا ہے۔")</f>
        <v>ایک کھلاڑی دفاعی بلاک کا مظاہرہ کر رہا ہے۔</v>
      </c>
      <c r="Q421" s="6" t="s">
        <v>671</v>
      </c>
      <c r="R421" s="6" t="str">
        <f>IFERROR(__xludf.DUMMYFUNCTION("GOOGLETRANSLATE(G421,""en"",""ur"")"),"شہری علاقے اور دیہی علاقوں میں کھیل کا کولیج")</f>
        <v>شہری علاقے اور دیہی علاقوں میں کھیل کا کولیج</v>
      </c>
      <c r="S421" s="6" t="s">
        <v>793</v>
      </c>
      <c r="T421" s="6"/>
      <c r="U421" s="6"/>
      <c r="V421" s="6"/>
      <c r="W421" s="6"/>
      <c r="X421" s="6"/>
      <c r="Y421" s="6"/>
      <c r="Z421" s="6"/>
      <c r="AA421" s="6"/>
    </row>
    <row r="422">
      <c r="A422" s="7">
        <v>422.0</v>
      </c>
      <c r="B422" s="6" t="s">
        <v>636</v>
      </c>
      <c r="C422" s="6" t="s">
        <v>637</v>
      </c>
      <c r="D422" s="6" t="s">
        <v>638</v>
      </c>
      <c r="E422" s="6" t="s">
        <v>639</v>
      </c>
      <c r="F422" s="6" t="s">
        <v>640</v>
      </c>
      <c r="G422" s="6" t="s">
        <v>638</v>
      </c>
      <c r="H422" s="6" t="s">
        <v>793</v>
      </c>
      <c r="I422" s="6"/>
      <c r="J422" s="6"/>
      <c r="K422" s="7">
        <v>422.0</v>
      </c>
      <c r="L422" s="6" t="str">
        <f>IFERROR(__xludf.DUMMYFUNCTION("GOOGLETRANSLATE(B422,""en"",""ur"")"),"کھیل میں استعمال ہونے والے آلات کے دو ٹکڑے کیا ہیں؟")</f>
        <v>کھیل میں استعمال ہونے والے آلات کے دو ٹکڑے کیا ہیں؟</v>
      </c>
      <c r="M422" s="6"/>
      <c r="N422" s="8" t="str">
        <f>IFERROR(__xludf.DUMMYFUNCTION("GOOGLETRANSLATE(D422,""en"",""ur"")"),"ایک لمبی چھڑی (ڈنڈا) اور ایک چھوٹی چھڑی (گلی)")</f>
        <v>ایک لمبی چھڑی (ڈنڈا) اور ایک چھوٹی چھڑی (گلی)</v>
      </c>
      <c r="O422" s="6" t="str">
        <f>IFERROR(__xludf.DUMMYFUNCTION("GOOGLETRANSLATE(E422,""en"",""ur"")"),"ایک ریکیٹ اور ایک شٹل کاک")</f>
        <v>ایک ریکیٹ اور ایک شٹل کاک</v>
      </c>
      <c r="P422" s="6" t="str">
        <f>IFERROR(__xludf.DUMMYFUNCTION("GOOGLETRANSLATE(F422,""en"",""ur"")"),"ایک چمگادڑ اور ایک دستانہ")</f>
        <v>ایک چمگادڑ اور ایک دستانہ</v>
      </c>
      <c r="Q422" s="6" t="s">
        <v>641</v>
      </c>
      <c r="R422" s="6" t="str">
        <f>IFERROR(__xludf.DUMMYFUNCTION("GOOGLETRANSLATE(G422,""en"",""ur"")"),"ایک لمبی چھڑی (ڈنڈا) اور ایک چھوٹی چھڑی (گلی)")</f>
        <v>ایک لمبی چھڑی (ڈنڈا) اور ایک چھوٹی چھڑی (گلی)</v>
      </c>
      <c r="S422" s="6" t="s">
        <v>793</v>
      </c>
      <c r="T422" s="6"/>
      <c r="U422" s="6"/>
      <c r="V422" s="6"/>
      <c r="W422" s="6"/>
      <c r="X422" s="6"/>
      <c r="Y422" s="6"/>
      <c r="Z422" s="6"/>
      <c r="AA422" s="6"/>
    </row>
    <row r="423">
      <c r="A423" s="7">
        <v>423.0</v>
      </c>
      <c r="B423" s="6" t="s">
        <v>794</v>
      </c>
      <c r="C423" s="6" t="s">
        <v>307</v>
      </c>
      <c r="D423" s="6" t="s">
        <v>643</v>
      </c>
      <c r="E423" s="6" t="s">
        <v>311</v>
      </c>
      <c r="F423" s="6" t="s">
        <v>314</v>
      </c>
      <c r="G423" s="6" t="s">
        <v>643</v>
      </c>
      <c r="H423" s="6" t="s">
        <v>793</v>
      </c>
      <c r="I423" s="6"/>
      <c r="J423" s="6"/>
      <c r="K423" s="7">
        <v>423.0</v>
      </c>
      <c r="L423" s="6" t="str">
        <f>IFERROR(__xludf.DUMMYFUNCTION("GOOGLETRANSLATE(B423,""en"",""ur"")"),"بائیں تصویر میں بائیں طرف کھلاڑی کے بارے میں ایک قابل ذکر تفصیل کیا ہے؟")</f>
        <v>بائیں تصویر میں بائیں طرف کھلاڑی کے بارے میں ایک قابل ذکر تفصیل کیا ہے؟</v>
      </c>
      <c r="M423" s="6"/>
      <c r="N423" s="8" t="str">
        <f>IFERROR(__xludf.DUMMYFUNCTION("GOOGLETRANSLATE(D423,""en"",""ur"")"),"وہ ایک پست، جھکائے ہوئے موقف میں ہے، ہڑتال کرنے کی تیاری کر رہا ہے۔")</f>
        <v>وہ ایک پست، جھکائے ہوئے موقف میں ہے، ہڑتال کرنے کی تیاری کر رہا ہے۔</v>
      </c>
      <c r="O423" s="6" t="str">
        <f>IFERROR(__xludf.DUMMYFUNCTION("GOOGLETRANSLATE(E423,""en"",""ur"")"),"وہ سیدھا کھڑا ہے۔")</f>
        <v>وہ سیدھا کھڑا ہے۔</v>
      </c>
      <c r="P423" s="6" t="str">
        <f>IFERROR(__xludf.DUMMYFUNCTION("GOOGLETRANSLATE(F423,""en"",""ur"")"),"وہ آرام سے بیٹھا ہے۔")</f>
        <v>وہ آرام سے بیٹھا ہے۔</v>
      </c>
      <c r="Q423" s="6" t="s">
        <v>644</v>
      </c>
      <c r="R423" s="6" t="str">
        <f>IFERROR(__xludf.DUMMYFUNCTION("GOOGLETRANSLATE(G423,""en"",""ur"")"),"وہ ایک پست، جھکائے ہوئے موقف میں ہے، ہڑتال کرنے کی تیاری کر رہا ہے۔")</f>
        <v>وہ ایک پست، جھکائے ہوئے موقف میں ہے، ہڑتال کرنے کی تیاری کر رہا ہے۔</v>
      </c>
      <c r="S423" s="6" t="s">
        <v>793</v>
      </c>
      <c r="T423" s="6"/>
      <c r="U423" s="6"/>
      <c r="V423" s="6"/>
      <c r="W423" s="6"/>
      <c r="X423" s="6"/>
      <c r="Y423" s="6"/>
      <c r="Z423" s="6"/>
      <c r="AA423" s="6"/>
    </row>
    <row r="424">
      <c r="A424" s="7">
        <v>424.0</v>
      </c>
      <c r="B424" s="6" t="s">
        <v>645</v>
      </c>
      <c r="C424" s="6" t="s">
        <v>422</v>
      </c>
      <c r="D424" s="6" t="s">
        <v>646</v>
      </c>
      <c r="E424" s="6" t="s">
        <v>647</v>
      </c>
      <c r="F424" s="6" t="s">
        <v>425</v>
      </c>
      <c r="G424" s="6" t="s">
        <v>647</v>
      </c>
      <c r="H424" s="6" t="s">
        <v>793</v>
      </c>
      <c r="I424" s="6"/>
      <c r="J424" s="6"/>
      <c r="K424" s="7">
        <v>424.0</v>
      </c>
      <c r="L424" s="6" t="str">
        <f>IFERROR(__xludf.DUMMYFUNCTION("GOOGLETRANSLATE(B424,""en"",""ur"")"),"کھیل کی ظاہری ترتیب کیا ہے؟")</f>
        <v>کھیل کی ظاہری ترتیب کیا ہے؟</v>
      </c>
      <c r="M424" s="6"/>
      <c r="N424" s="8" t="str">
        <f>IFERROR(__xludf.DUMMYFUNCTION("GOOGLETRANSLATE(D424,""en"",""ur"")"),"شہر کی ایک گلی")</f>
        <v>شہر کی ایک گلی</v>
      </c>
      <c r="O424" s="6" t="str">
        <f>IFERROR(__xludf.DUMMYFUNCTION("GOOGLETRANSLATE(E424,""en"",""ur"")"),"ایک بیرونی گندگی کا میدان")</f>
        <v>ایک بیرونی گندگی کا میدان</v>
      </c>
      <c r="P424" s="6" t="str">
        <f>IFERROR(__xludf.DUMMYFUNCTION("GOOGLETRANSLATE(F424,""en"",""ur"")"),"گھاس کا میدان")</f>
        <v>گھاس کا میدان</v>
      </c>
      <c r="Q424" s="6" t="s">
        <v>648</v>
      </c>
      <c r="R424" s="6" t="str">
        <f>IFERROR(__xludf.DUMMYFUNCTION("GOOGLETRANSLATE(G424,""en"",""ur"")"),"ایک بیرونی گندگی کا میدان")</f>
        <v>ایک بیرونی گندگی کا میدان</v>
      </c>
      <c r="S424" s="6" t="s">
        <v>793</v>
      </c>
      <c r="T424" s="6"/>
      <c r="U424" s="6"/>
      <c r="V424" s="6"/>
      <c r="W424" s="6"/>
      <c r="X424" s="6"/>
      <c r="Y424" s="6"/>
      <c r="Z424" s="6"/>
      <c r="AA424" s="6"/>
    </row>
    <row r="425">
      <c r="A425" s="7">
        <v>425.0</v>
      </c>
      <c r="B425" s="6" t="s">
        <v>46</v>
      </c>
      <c r="C425" s="6" t="s">
        <v>47</v>
      </c>
      <c r="D425" s="6" t="s">
        <v>48</v>
      </c>
      <c r="E425" s="6" t="s">
        <v>49</v>
      </c>
      <c r="F425" s="6" t="s">
        <v>50</v>
      </c>
      <c r="G425" s="6" t="s">
        <v>49</v>
      </c>
      <c r="H425" s="6" t="s">
        <v>793</v>
      </c>
      <c r="I425" s="6"/>
      <c r="J425" s="6"/>
      <c r="K425" s="7">
        <v>425.0</v>
      </c>
      <c r="L425" s="6" t="str">
        <f>IFERROR(__xludf.DUMMYFUNCTION("GOOGLETRANSLATE(B425,""en"",""ur"")"),"کھلاڑیوں کے چہروں سے ظاہری جذبات کیا ہیں؟")</f>
        <v>کھلاڑیوں کے چہروں سے ظاہری جذبات کیا ہیں؟</v>
      </c>
      <c r="M425" s="6"/>
      <c r="N425" s="8" t="str">
        <f>IFERROR(__xludf.DUMMYFUNCTION("GOOGLETRANSLATE(D425,""en"",""ur"")"),"خوف زدہ اور بے چین")</f>
        <v>خوف زدہ اور بے چین</v>
      </c>
      <c r="O425" s="6" t="str">
        <f>IFERROR(__xludf.DUMMYFUNCTION("GOOGLETRANSLATE(E425,""en"",""ur"")"),"کشیدہ اور شدید")</f>
        <v>کشیدہ اور شدید</v>
      </c>
      <c r="P425" s="6" t="str">
        <f>IFERROR(__xludf.DUMMYFUNCTION("GOOGLETRANSLATE(F425,""en"",""ur"")"),"خوش اور مسکراتے ہوئے۔")</f>
        <v>خوش اور مسکراتے ہوئے۔</v>
      </c>
      <c r="Q425" s="6" t="s">
        <v>649</v>
      </c>
      <c r="R425" s="6" t="str">
        <f>IFERROR(__xludf.DUMMYFUNCTION("GOOGLETRANSLATE(G425,""en"",""ur"")"),"کشیدہ اور شدید")</f>
        <v>کشیدہ اور شدید</v>
      </c>
      <c r="S425" s="6" t="s">
        <v>793</v>
      </c>
      <c r="T425" s="6"/>
      <c r="U425" s="6"/>
      <c r="V425" s="6"/>
      <c r="W425" s="6"/>
      <c r="X425" s="6"/>
      <c r="Y425" s="6"/>
      <c r="Z425" s="6"/>
      <c r="AA425" s="6"/>
    </row>
    <row r="426">
      <c r="A426" s="7">
        <v>426.0</v>
      </c>
      <c r="B426" s="6" t="s">
        <v>88</v>
      </c>
      <c r="C426" s="6" t="s">
        <v>89</v>
      </c>
      <c r="D426" s="6" t="s">
        <v>90</v>
      </c>
      <c r="E426" s="6" t="s">
        <v>91</v>
      </c>
      <c r="F426" s="6" t="s">
        <v>368</v>
      </c>
      <c r="G426" s="6" t="s">
        <v>368</v>
      </c>
      <c r="H426" s="6" t="s">
        <v>793</v>
      </c>
      <c r="I426" s="6"/>
      <c r="J426" s="6"/>
      <c r="K426" s="7">
        <v>426.0</v>
      </c>
      <c r="L426" s="6" t="str">
        <f>IFERROR(__xludf.DUMMYFUNCTION("GOOGLETRANSLATE(B426,""en"",""ur"")"),"زمین کی سب سے نمایاں خصوصیت کیا ہے؟")</f>
        <v>زمین کی سب سے نمایاں خصوصیت کیا ہے؟</v>
      </c>
      <c r="M426" s="6"/>
      <c r="N426" s="8" t="str">
        <f>IFERROR(__xludf.DUMMYFUNCTION("GOOGLETRANSLATE(D426,""en"",""ur"")"),"کیچڑ والا میدان")</f>
        <v>کیچڑ والا میدان</v>
      </c>
      <c r="O426" s="6" t="str">
        <f>IFERROR(__xludf.DUMMYFUNCTION("GOOGLETRANSLATE(E426,""en"",""ur"")"),"ایک گھاس دار سطح")</f>
        <v>ایک گھاس دار سطح</v>
      </c>
      <c r="P426" s="6" t="str">
        <f>IFERROR(__xludf.DUMMYFUNCTION("GOOGLETRANSLATE(F426,""en"",""ur"")"),"دھول اڑنے والی ریتلی یا گندگی کی سطح")</f>
        <v>دھول اڑنے والی ریتلی یا گندگی کی سطح</v>
      </c>
      <c r="Q426" s="6" t="s">
        <v>650</v>
      </c>
      <c r="R426" s="6" t="str">
        <f>IFERROR(__xludf.DUMMYFUNCTION("GOOGLETRANSLATE(G426,""en"",""ur"")"),"دھول اڑنے والی ریتلی یا گندگی کی سطح")</f>
        <v>دھول اڑنے والی ریتلی یا گندگی کی سطح</v>
      </c>
      <c r="S426" s="6" t="s">
        <v>793</v>
      </c>
      <c r="T426" s="6"/>
      <c r="U426" s="6"/>
      <c r="V426" s="6"/>
      <c r="W426" s="6"/>
      <c r="X426" s="6"/>
      <c r="Y426" s="6"/>
      <c r="Z426" s="6"/>
      <c r="AA426" s="6"/>
    </row>
    <row r="427">
      <c r="A427" s="7">
        <v>427.0</v>
      </c>
      <c r="B427" s="6" t="s">
        <v>94</v>
      </c>
      <c r="C427" s="6" t="s">
        <v>95</v>
      </c>
      <c r="D427" s="6" t="s">
        <v>651</v>
      </c>
      <c r="E427" s="6" t="s">
        <v>652</v>
      </c>
      <c r="F427" s="6" t="s">
        <v>653</v>
      </c>
      <c r="G427" s="6" t="s">
        <v>652</v>
      </c>
      <c r="H427" s="6" t="s">
        <v>793</v>
      </c>
      <c r="I427" s="6"/>
      <c r="J427" s="6"/>
      <c r="K427" s="7">
        <v>427.0</v>
      </c>
      <c r="L427" s="6" t="str">
        <f>IFERROR(__xludf.DUMMYFUNCTION("GOOGLETRANSLATE(B427,""en"",""ur"")"),"کھیلے جانے والے کھیل کا نام کیا ہے؟")</f>
        <v>کھیلے جانے والے کھیل کا نام کیا ہے؟</v>
      </c>
      <c r="M427" s="6"/>
      <c r="N427" s="8" t="str">
        <f>IFERROR(__xludf.DUMMYFUNCTION("GOOGLETRANSLATE(D427,""en"",""ur"")"),"کرکٹ")</f>
        <v>کرکٹ</v>
      </c>
      <c r="O427" s="6" t="str">
        <f>IFERROR(__xludf.DUMMYFUNCTION("GOOGLETRANSLATE(E427,""en"",""ur"")"),"گلی ڈنڈا۔")</f>
        <v>گلی ڈنڈا۔</v>
      </c>
      <c r="P427" s="6" t="str">
        <f>IFERROR(__xludf.DUMMYFUNCTION("GOOGLETRANSLATE(F427,""en"",""ur"")"),"بیس بال")</f>
        <v>بیس بال</v>
      </c>
      <c r="Q427" s="6" t="s">
        <v>654</v>
      </c>
      <c r="R427" s="6" t="str">
        <f>IFERROR(__xludf.DUMMYFUNCTION("GOOGLETRANSLATE(G427,""en"",""ur"")"),"گلی ڈنڈا۔")</f>
        <v>گلی ڈنڈا۔</v>
      </c>
      <c r="S427" s="6" t="s">
        <v>793</v>
      </c>
      <c r="T427" s="6"/>
      <c r="U427" s="6"/>
      <c r="V427" s="6"/>
      <c r="W427" s="6"/>
      <c r="X427" s="6"/>
      <c r="Y427" s="6"/>
      <c r="Z427" s="6"/>
      <c r="AA427" s="6"/>
    </row>
    <row r="428">
      <c r="A428" s="7">
        <v>428.0</v>
      </c>
      <c r="B428" s="6" t="s">
        <v>260</v>
      </c>
      <c r="C428" s="6" t="s">
        <v>261</v>
      </c>
      <c r="D428" s="6" t="s">
        <v>262</v>
      </c>
      <c r="E428" s="6" t="s">
        <v>263</v>
      </c>
      <c r="F428" s="6" t="s">
        <v>655</v>
      </c>
      <c r="G428" s="6" t="s">
        <v>655</v>
      </c>
      <c r="H428" s="6" t="s">
        <v>793</v>
      </c>
      <c r="I428" s="6"/>
      <c r="J428" s="6"/>
      <c r="K428" s="7">
        <v>428.0</v>
      </c>
      <c r="L428" s="6" t="str">
        <f>IFERROR(__xludf.DUMMYFUNCTION("GOOGLETRANSLATE(B428,""en"",""ur"")"),"تصویر میں ایکشن ایک ایسا انداز تجویز کرتا ہے جو اس بات پر زور دیتا ہے...")</f>
        <v>تصویر میں ایکشن ایک ایسا انداز تجویز کرتا ہے جو اس بات پر زور دیتا ہے...</v>
      </c>
      <c r="M428" s="6"/>
      <c r="N428" s="8" t="str">
        <f>IFERROR(__xludf.DUMMYFUNCTION("GOOGLETRANSLATE(D428,""en"",""ur"")"),"زمینی لڑائی اور گرفت")</f>
        <v>زمینی لڑائی اور گرفت</v>
      </c>
      <c r="O428" s="6" t="str">
        <f>IFERROR(__xludf.DUMMYFUNCTION("GOOGLETRANSLATE(E428,""en"",""ur"")"),"وحشیانہ قوت اور گھڑ سواری۔")</f>
        <v>وحشیانہ قوت اور گھڑ سواری۔</v>
      </c>
      <c r="P428" s="6" t="str">
        <f>IFERROR(__xludf.DUMMYFUNCTION("GOOGLETRANSLATE(F428,""en"",""ur"")"),"ہاتھ سے آنکھ کو آرڈینیشن اور حیرت انگیز")</f>
        <v>ہاتھ سے آنکھ کو آرڈینیشن اور حیرت انگیز</v>
      </c>
      <c r="Q428" s="6" t="s">
        <v>656</v>
      </c>
      <c r="R428" s="6" t="str">
        <f>IFERROR(__xludf.DUMMYFUNCTION("GOOGLETRANSLATE(G428,""en"",""ur"")"),"ہاتھ سے آنکھ کو آرڈینیشن اور حیرت انگیز")</f>
        <v>ہاتھ سے آنکھ کو آرڈینیشن اور حیرت انگیز</v>
      </c>
      <c r="S428" s="6" t="s">
        <v>793</v>
      </c>
      <c r="T428" s="6"/>
      <c r="U428" s="6"/>
      <c r="V428" s="6"/>
      <c r="W428" s="6"/>
      <c r="X428" s="6"/>
      <c r="Y428" s="6"/>
      <c r="Z428" s="6"/>
      <c r="AA428" s="6"/>
    </row>
    <row r="429">
      <c r="A429" s="7">
        <v>429.0</v>
      </c>
      <c r="B429" s="6" t="s">
        <v>657</v>
      </c>
      <c r="C429" s="6" t="s">
        <v>658</v>
      </c>
      <c r="D429" s="6" t="s">
        <v>659</v>
      </c>
      <c r="E429" s="6" t="s">
        <v>660</v>
      </c>
      <c r="F429" s="6" t="s">
        <v>661</v>
      </c>
      <c r="G429" s="6" t="s">
        <v>659</v>
      </c>
      <c r="H429" s="6" t="s">
        <v>793</v>
      </c>
      <c r="I429" s="6"/>
      <c r="J429" s="6"/>
      <c r="K429" s="7">
        <v>429.0</v>
      </c>
      <c r="L429" s="6" t="str">
        <f>IFERROR(__xludf.DUMMYFUNCTION("GOOGLETRANSLATE(B429,""en"",""ur"")"),"کھلاڑیوں کے جوتے کے بارے میں ایک قابل ذکر تفصیل کیا ہے؟")</f>
        <v>کھلاڑیوں کے جوتے کے بارے میں ایک قابل ذکر تفصیل کیا ہے؟</v>
      </c>
      <c r="M429" s="6"/>
      <c r="N429" s="8" t="str">
        <f>IFERROR(__xludf.DUMMYFUNCTION("GOOGLETRANSLATE(D429,""en"",""ur"")"),"وہ ننگے پاؤں ہیں۔")</f>
        <v>وہ ننگے پاؤں ہیں۔</v>
      </c>
      <c r="O429" s="6" t="str">
        <f>IFERROR(__xludf.DUMMYFUNCTION("GOOGLETRANSLATE(E429,""en"",""ur"")"),"وہ سینڈل یا فلپ فلاپ پہنے ہوئے ہیں۔")</f>
        <v>وہ سینڈل یا فلپ فلاپ پہنے ہوئے ہیں۔</v>
      </c>
      <c r="P429" s="6" t="str">
        <f>IFERROR(__xludf.DUMMYFUNCTION("GOOGLETRANSLATE(F429,""en"",""ur"")"),"وہ موزے پہنے ہوئے ہیں۔")</f>
        <v>وہ موزے پہنے ہوئے ہیں۔</v>
      </c>
      <c r="Q429" s="6" t="s">
        <v>662</v>
      </c>
      <c r="R429" s="6" t="str">
        <f>IFERROR(__xludf.DUMMYFUNCTION("GOOGLETRANSLATE(G429,""en"",""ur"")"),"وہ ننگے پاؤں ہیں۔")</f>
        <v>وہ ننگے پاؤں ہیں۔</v>
      </c>
      <c r="S429" s="6" t="s">
        <v>793</v>
      </c>
      <c r="T429" s="6"/>
      <c r="U429" s="6"/>
      <c r="V429" s="6"/>
      <c r="W429" s="6"/>
      <c r="X429" s="6"/>
      <c r="Y429" s="6"/>
      <c r="Z429" s="6"/>
      <c r="AA429" s="6"/>
    </row>
    <row r="430">
      <c r="A430" s="7">
        <v>430.0</v>
      </c>
      <c r="B430" s="6" t="s">
        <v>663</v>
      </c>
      <c r="C430" s="6" t="s">
        <v>664</v>
      </c>
      <c r="D430" s="6" t="s">
        <v>665</v>
      </c>
      <c r="E430" s="6" t="s">
        <v>666</v>
      </c>
      <c r="F430" s="6" t="s">
        <v>667</v>
      </c>
      <c r="G430" s="6" t="s">
        <v>666</v>
      </c>
      <c r="H430" s="6" t="s">
        <v>793</v>
      </c>
      <c r="I430" s="6"/>
      <c r="J430" s="6"/>
      <c r="K430" s="7">
        <v>430.0</v>
      </c>
      <c r="L430" s="6" t="str">
        <f>IFERROR(__xludf.DUMMYFUNCTION("GOOGLETRANSLATE(B430,""en"",""ur"")"),"پس منظر میں دیگر کھلاڑیوں کے بارے میں ایک قابل ذکر تفصیل کیا ہے؟")</f>
        <v>پس منظر میں دیگر کھلاڑیوں کے بارے میں ایک قابل ذکر تفصیل کیا ہے؟</v>
      </c>
      <c r="M430" s="6"/>
      <c r="N430" s="8" t="str">
        <f>IFERROR(__xludf.DUMMYFUNCTION("GOOGLETRANSLATE(D430,""en"",""ur"")"),"وہ سب ادھر ادھر بھاگ رہے ہیں۔")</f>
        <v>وہ سب ادھر ادھر بھاگ رہے ہیں۔</v>
      </c>
      <c r="O430" s="6" t="str">
        <f>IFERROR(__xludf.DUMMYFUNCTION("GOOGLETRANSLATE(E430,""en"",""ur"")"),"وہ ایک دفاعی، تیار موقف میں ہیں۔")</f>
        <v>وہ ایک دفاعی، تیار موقف میں ہیں۔</v>
      </c>
      <c r="P430" s="6" t="str">
        <f>IFERROR(__xludf.DUMMYFUNCTION("GOOGLETRANSLATE(F430,""en"",""ur"")"),"وہ سب لہرا رہے ہیں۔")</f>
        <v>وہ سب لہرا رہے ہیں۔</v>
      </c>
      <c r="Q430" s="6" t="s">
        <v>668</v>
      </c>
      <c r="R430" s="6" t="str">
        <f>IFERROR(__xludf.DUMMYFUNCTION("GOOGLETRANSLATE(G430,""en"",""ur"")"),"وہ ایک دفاعی، تیار موقف میں ہیں۔")</f>
        <v>وہ ایک دفاعی، تیار موقف میں ہیں۔</v>
      </c>
      <c r="S430" s="6" t="s">
        <v>793</v>
      </c>
      <c r="T430" s="6"/>
      <c r="U430" s="6"/>
      <c r="V430" s="6"/>
      <c r="W430" s="6"/>
      <c r="X430" s="6"/>
      <c r="Y430" s="6"/>
      <c r="Z430" s="6"/>
      <c r="AA430" s="6"/>
    </row>
    <row r="431">
      <c r="A431" s="7">
        <v>431.0</v>
      </c>
      <c r="B431" s="6" t="s">
        <v>795</v>
      </c>
      <c r="C431" s="6" t="s">
        <v>681</v>
      </c>
      <c r="D431" s="6" t="s">
        <v>682</v>
      </c>
      <c r="E431" s="6" t="s">
        <v>683</v>
      </c>
      <c r="F431" s="6" t="s">
        <v>684</v>
      </c>
      <c r="G431" s="6" t="s">
        <v>682</v>
      </c>
      <c r="H431" s="6" t="s">
        <v>796</v>
      </c>
      <c r="I431" s="6"/>
      <c r="J431" s="6"/>
      <c r="K431" s="7">
        <v>431.0</v>
      </c>
      <c r="L431" s="6" t="str">
        <f>IFERROR(__xludf.DUMMYFUNCTION("GOOGLETRANSLATE(B431,""en"",""ur"")"),"gilli_danda_54 میں دکھایا گیا اہم عمل کیا ہے؟")</f>
        <v>gilli_danda_54 میں دکھایا گیا اہم عمل کیا ہے؟</v>
      </c>
      <c r="M431" s="6"/>
      <c r="N431" s="8" t="str">
        <f>IFERROR(__xludf.DUMMYFUNCTION("GOOGLETRANSLATE(D431,""en"",""ur"")"),"بچوں کا ایک گروپ جو گیند کا کھیل کھیل رہا ہے۔")</f>
        <v>بچوں کا ایک گروپ جو گیند کا کھیل کھیل رہا ہے۔</v>
      </c>
      <c r="O431" s="6" t="str">
        <f>IFERROR(__xludf.DUMMYFUNCTION("GOOGLETRANSLATE(E431,""en"",""ur"")"),"بچوں کا ایک گروپ چھوٹی چھڑی کو بڑی چھڑی سے مار رہا ہے۔")</f>
        <v>بچوں کا ایک گروپ چھوٹی چھڑی کو بڑی چھڑی سے مار رہا ہے۔</v>
      </c>
      <c r="P431" s="6" t="str">
        <f>IFERROR(__xludf.DUMMYFUNCTION("GOOGLETRANSLATE(F431,""en"",""ur"")"),"بچوں کا ایک گروپ چل رہا ہے۔")</f>
        <v>بچوں کا ایک گروپ چل رہا ہے۔</v>
      </c>
      <c r="Q431" s="6" t="s">
        <v>686</v>
      </c>
      <c r="R431" s="6" t="str">
        <f>IFERROR(__xludf.DUMMYFUNCTION("GOOGLETRANSLATE(G431,""en"",""ur"")"),"بچوں کا ایک گروپ جو گیند کا کھیل کھیل رہا ہے۔")</f>
        <v>بچوں کا ایک گروپ جو گیند کا کھیل کھیل رہا ہے۔</v>
      </c>
      <c r="S431" s="6" t="s">
        <v>796</v>
      </c>
      <c r="T431" s="6"/>
      <c r="U431" s="6"/>
      <c r="V431" s="6"/>
      <c r="W431" s="6"/>
      <c r="X431" s="6"/>
      <c r="Y431" s="6"/>
      <c r="Z431" s="6"/>
      <c r="AA431" s="6"/>
    </row>
    <row r="432">
      <c r="A432" s="7">
        <v>432.0</v>
      </c>
      <c r="B432" s="6" t="s">
        <v>636</v>
      </c>
      <c r="C432" s="6" t="s">
        <v>637</v>
      </c>
      <c r="D432" s="6" t="s">
        <v>638</v>
      </c>
      <c r="E432" s="6" t="s">
        <v>639</v>
      </c>
      <c r="F432" s="6" t="s">
        <v>640</v>
      </c>
      <c r="G432" s="6" t="s">
        <v>637</v>
      </c>
      <c r="H432" s="6" t="s">
        <v>796</v>
      </c>
      <c r="I432" s="6"/>
      <c r="J432" s="6"/>
      <c r="K432" s="7">
        <v>432.0</v>
      </c>
      <c r="L432" s="6" t="str">
        <f>IFERROR(__xludf.DUMMYFUNCTION("GOOGLETRANSLATE(B432,""en"",""ur"")"),"کھیل میں استعمال ہونے والے آلات کے دو ٹکڑے کیا ہیں؟")</f>
        <v>کھیل میں استعمال ہونے والے آلات کے دو ٹکڑے کیا ہیں؟</v>
      </c>
      <c r="M432" s="6"/>
      <c r="N432" s="8" t="str">
        <f>IFERROR(__xludf.DUMMYFUNCTION("GOOGLETRANSLATE(D432,""en"",""ur"")"),"ایک لمبی چھڑی (ڈنڈا) اور ایک چھوٹی چھڑی (گلی)")</f>
        <v>ایک لمبی چھڑی (ڈنڈا) اور ایک چھوٹی چھڑی (گلی)</v>
      </c>
      <c r="O432" s="6" t="str">
        <f>IFERROR(__xludf.DUMMYFUNCTION("GOOGLETRANSLATE(E432,""en"",""ur"")"),"ایک ریکیٹ اور ایک شٹل کاک")</f>
        <v>ایک ریکیٹ اور ایک شٹل کاک</v>
      </c>
      <c r="P432" s="6" t="str">
        <f>IFERROR(__xludf.DUMMYFUNCTION("GOOGLETRANSLATE(F432,""en"",""ur"")"),"ایک چمگادڑ اور ایک دستانہ")</f>
        <v>ایک چمگادڑ اور ایک دستانہ</v>
      </c>
      <c r="Q432" s="6" t="s">
        <v>641</v>
      </c>
      <c r="R432" s="6" t="str">
        <f>IFERROR(__xludf.DUMMYFUNCTION("GOOGLETRANSLATE(G432,""en"",""ur"")"),"ایک گیند اور ایک بیٹ")</f>
        <v>ایک گیند اور ایک بیٹ</v>
      </c>
      <c r="S432" s="6" t="s">
        <v>796</v>
      </c>
      <c r="T432" s="6"/>
      <c r="U432" s="6"/>
      <c r="V432" s="6"/>
      <c r="W432" s="6"/>
      <c r="X432" s="6"/>
      <c r="Y432" s="6"/>
      <c r="Z432" s="6"/>
      <c r="AA432" s="6"/>
    </row>
    <row r="433">
      <c r="A433" s="7">
        <v>433.0</v>
      </c>
      <c r="B433" s="6" t="s">
        <v>767</v>
      </c>
      <c r="C433" s="6" t="s">
        <v>797</v>
      </c>
      <c r="D433" s="6" t="s">
        <v>798</v>
      </c>
      <c r="E433" s="6" t="s">
        <v>799</v>
      </c>
      <c r="F433" s="6" t="s">
        <v>800</v>
      </c>
      <c r="G433" s="6" t="s">
        <v>797</v>
      </c>
      <c r="H433" s="6" t="s">
        <v>796</v>
      </c>
      <c r="I433" s="6"/>
      <c r="J433" s="6"/>
      <c r="K433" s="7">
        <v>433.0</v>
      </c>
      <c r="L433" s="6" t="str">
        <f>IFERROR(__xludf.DUMMYFUNCTION("GOOGLETRANSLATE(B433,""en"",""ur"")"),"کھلاڑیوں کے بارے میں ایک قابل ذکر تفصیل کیا ہے؟")</f>
        <v>کھلاڑیوں کے بارے میں ایک قابل ذکر تفصیل کیا ہے؟</v>
      </c>
      <c r="M433" s="6"/>
      <c r="N433" s="8" t="str">
        <f>IFERROR(__xludf.DUMMYFUNCTION("GOOGLETRANSLATE(D433,""en"",""ur"")"),"وہ سب بالغ ہیں۔")</f>
        <v>وہ سب بالغ ہیں۔</v>
      </c>
      <c r="O433" s="6" t="str">
        <f>IFERROR(__xludf.DUMMYFUNCTION("GOOGLETRANSLATE(E433,""en"",""ur"")"),"وہ عمر اور جنس کا مرکب ہیں۔")</f>
        <v>وہ عمر اور جنس کا مرکب ہیں۔</v>
      </c>
      <c r="P433" s="6" t="str">
        <f>IFERROR(__xludf.DUMMYFUNCTION("GOOGLETRANSLATE(F433,""en"",""ur"")"),"وہ سب خواتین ہیں۔")</f>
        <v>وہ سب خواتین ہیں۔</v>
      </c>
      <c r="Q433" s="6" t="s">
        <v>801</v>
      </c>
      <c r="R433" s="6" t="str">
        <f>IFERROR(__xludf.DUMMYFUNCTION("GOOGLETRANSLATE(G433,""en"",""ur"")"),"وہ سب بچے ہیں۔")</f>
        <v>وہ سب بچے ہیں۔</v>
      </c>
      <c r="S433" s="6" t="s">
        <v>796</v>
      </c>
      <c r="T433" s="6"/>
      <c r="U433" s="6"/>
      <c r="V433" s="6"/>
      <c r="W433" s="6"/>
      <c r="X433" s="6"/>
      <c r="Y433" s="6"/>
      <c r="Z433" s="6"/>
      <c r="AA433" s="6"/>
    </row>
    <row r="434">
      <c r="A434" s="7">
        <v>434.0</v>
      </c>
      <c r="B434" s="6" t="s">
        <v>645</v>
      </c>
      <c r="C434" s="6" t="s">
        <v>422</v>
      </c>
      <c r="D434" s="6" t="s">
        <v>646</v>
      </c>
      <c r="E434" s="6" t="s">
        <v>802</v>
      </c>
      <c r="F434" s="6" t="s">
        <v>803</v>
      </c>
      <c r="G434" s="6" t="s">
        <v>803</v>
      </c>
      <c r="H434" s="6" t="s">
        <v>796</v>
      </c>
      <c r="I434" s="6"/>
      <c r="J434" s="6"/>
      <c r="K434" s="7">
        <v>434.0</v>
      </c>
      <c r="L434" s="6" t="str">
        <f>IFERROR(__xludf.DUMMYFUNCTION("GOOGLETRANSLATE(B434,""en"",""ur"")"),"کھیل کی ظاہری ترتیب کیا ہے؟")</f>
        <v>کھیل کی ظاہری ترتیب کیا ہے؟</v>
      </c>
      <c r="M434" s="6"/>
      <c r="N434" s="8" t="str">
        <f>IFERROR(__xludf.DUMMYFUNCTION("GOOGLETRANSLATE(D434,""en"",""ur"")"),"شہر کی ایک گلی")</f>
        <v>شہر کی ایک گلی</v>
      </c>
      <c r="O434" s="6" t="str">
        <f>IFERROR(__xludf.DUMMYFUNCTION("GOOGLETRANSLATE(E434,""en"",""ur"")"),"بیرونی گندگی کا علاقہ")</f>
        <v>بیرونی گندگی کا علاقہ</v>
      </c>
      <c r="P434" s="6" t="str">
        <f>IFERROR(__xludf.DUMMYFUNCTION("GOOGLETRANSLATE(F434,""en"",""ur"")"),"بلیچر کے ساتھ گھاس کا میدان")</f>
        <v>بلیچر کے ساتھ گھاس کا میدان</v>
      </c>
      <c r="Q434" s="6" t="s">
        <v>804</v>
      </c>
      <c r="R434" s="6" t="str">
        <f>IFERROR(__xludf.DUMMYFUNCTION("GOOGLETRANSLATE(G434,""en"",""ur"")"),"بلیچر کے ساتھ گھاس کا میدان")</f>
        <v>بلیچر کے ساتھ گھاس کا میدان</v>
      </c>
      <c r="S434" s="6" t="s">
        <v>796</v>
      </c>
      <c r="T434" s="6"/>
      <c r="U434" s="6"/>
      <c r="V434" s="6"/>
      <c r="W434" s="6"/>
      <c r="X434" s="6"/>
      <c r="Y434" s="6"/>
      <c r="Z434" s="6"/>
      <c r="AA434" s="6"/>
    </row>
    <row r="435">
      <c r="A435" s="7">
        <v>435.0</v>
      </c>
      <c r="B435" s="6" t="s">
        <v>46</v>
      </c>
      <c r="C435" s="6" t="s">
        <v>47</v>
      </c>
      <c r="D435" s="6" t="s">
        <v>48</v>
      </c>
      <c r="E435" s="6" t="s">
        <v>49</v>
      </c>
      <c r="F435" s="6" t="s">
        <v>50</v>
      </c>
      <c r="G435" s="6" t="s">
        <v>50</v>
      </c>
      <c r="H435" s="6" t="s">
        <v>796</v>
      </c>
      <c r="I435" s="6"/>
      <c r="J435" s="6"/>
      <c r="K435" s="7">
        <v>435.0</v>
      </c>
      <c r="L435" s="6" t="str">
        <f>IFERROR(__xludf.DUMMYFUNCTION("GOOGLETRANSLATE(B435,""en"",""ur"")"),"کھلاڑیوں کے چہروں سے ظاہری جذبات کیا ہیں؟")</f>
        <v>کھلاڑیوں کے چہروں سے ظاہری جذبات کیا ہیں؟</v>
      </c>
      <c r="M435" s="6"/>
      <c r="N435" s="8" t="str">
        <f>IFERROR(__xludf.DUMMYFUNCTION("GOOGLETRANSLATE(D435,""en"",""ur"")"),"خوف زدہ اور بے چین")</f>
        <v>خوف زدہ اور بے چین</v>
      </c>
      <c r="O435" s="6" t="str">
        <f>IFERROR(__xludf.DUMMYFUNCTION("GOOGLETRANSLATE(E435,""en"",""ur"")"),"کشیدہ اور شدید")</f>
        <v>کشیدہ اور شدید</v>
      </c>
      <c r="P435" s="6" t="str">
        <f>IFERROR(__xludf.DUMMYFUNCTION("GOOGLETRANSLATE(F435,""en"",""ur"")"),"خوش اور مسکراتے ہوئے۔")</f>
        <v>خوش اور مسکراتے ہوئے۔</v>
      </c>
      <c r="Q435" s="6" t="s">
        <v>649</v>
      </c>
      <c r="R435" s="6" t="str">
        <f>IFERROR(__xludf.DUMMYFUNCTION("GOOGLETRANSLATE(G435,""en"",""ur"")"),"خوش اور مسکراتے ہوئے۔")</f>
        <v>خوش اور مسکراتے ہوئے۔</v>
      </c>
      <c r="S435" s="6" t="s">
        <v>796</v>
      </c>
      <c r="T435" s="6"/>
      <c r="U435" s="6"/>
      <c r="V435" s="6"/>
      <c r="W435" s="6"/>
      <c r="X435" s="6"/>
      <c r="Y435" s="6"/>
      <c r="Z435" s="6"/>
      <c r="AA435" s="6"/>
    </row>
    <row r="436">
      <c r="A436" s="7">
        <v>436.0</v>
      </c>
      <c r="B436" s="6" t="s">
        <v>88</v>
      </c>
      <c r="C436" s="6" t="s">
        <v>89</v>
      </c>
      <c r="D436" s="6" t="s">
        <v>90</v>
      </c>
      <c r="E436" s="6" t="s">
        <v>91</v>
      </c>
      <c r="F436" s="6" t="s">
        <v>255</v>
      </c>
      <c r="G436" s="6" t="s">
        <v>91</v>
      </c>
      <c r="H436" s="6" t="s">
        <v>796</v>
      </c>
      <c r="I436" s="6"/>
      <c r="J436" s="6"/>
      <c r="K436" s="7">
        <v>436.0</v>
      </c>
      <c r="L436" s="6" t="str">
        <f>IFERROR(__xludf.DUMMYFUNCTION("GOOGLETRANSLATE(B436,""en"",""ur"")"),"زمین کی سب سے نمایاں خصوصیت کیا ہے؟")</f>
        <v>زمین کی سب سے نمایاں خصوصیت کیا ہے؟</v>
      </c>
      <c r="M436" s="6"/>
      <c r="N436" s="8" t="str">
        <f>IFERROR(__xludf.DUMMYFUNCTION("GOOGLETRANSLATE(D436,""en"",""ur"")"),"کیچڑ والا میدان")</f>
        <v>کیچڑ والا میدان</v>
      </c>
      <c r="O436" s="6" t="str">
        <f>IFERROR(__xludf.DUMMYFUNCTION("GOOGLETRANSLATE(E436,""en"",""ur"")"),"ایک گھاس دار سطح")</f>
        <v>ایک گھاس دار سطح</v>
      </c>
      <c r="P436" s="6" t="str">
        <f>IFERROR(__xludf.DUMMYFUNCTION("GOOGLETRANSLATE(F436,""en"",""ur"")"),"ریتلی یا گندگی کی سطح")</f>
        <v>ریتلی یا گندگی کی سطح</v>
      </c>
      <c r="Q436" s="6" t="s">
        <v>688</v>
      </c>
      <c r="R436" s="6" t="str">
        <f>IFERROR(__xludf.DUMMYFUNCTION("GOOGLETRANSLATE(G436,""en"",""ur"")"),"ایک گھاس دار سطح")</f>
        <v>ایک گھاس دار سطح</v>
      </c>
      <c r="S436" s="6" t="s">
        <v>796</v>
      </c>
      <c r="T436" s="6"/>
      <c r="U436" s="6"/>
      <c r="V436" s="6"/>
      <c r="W436" s="6"/>
      <c r="X436" s="6"/>
      <c r="Y436" s="6"/>
      <c r="Z436" s="6"/>
      <c r="AA436" s="6"/>
    </row>
    <row r="437">
      <c r="A437" s="7">
        <v>437.0</v>
      </c>
      <c r="B437" s="6" t="s">
        <v>94</v>
      </c>
      <c r="C437" s="6" t="s">
        <v>95</v>
      </c>
      <c r="D437" s="6" t="s">
        <v>651</v>
      </c>
      <c r="E437" s="6" t="s">
        <v>652</v>
      </c>
      <c r="F437" s="6" t="s">
        <v>805</v>
      </c>
      <c r="G437" s="6" t="s">
        <v>805</v>
      </c>
      <c r="H437" s="6" t="s">
        <v>796</v>
      </c>
      <c r="I437" s="6"/>
      <c r="J437" s="6"/>
      <c r="K437" s="7">
        <v>437.0</v>
      </c>
      <c r="L437" s="6" t="str">
        <f>IFERROR(__xludf.DUMMYFUNCTION("GOOGLETRANSLATE(B437,""en"",""ur"")"),"کھیلے جانے والے کھیل کا نام کیا ہے؟")</f>
        <v>کھیلے جانے والے کھیل کا نام کیا ہے؟</v>
      </c>
      <c r="M437" s="6"/>
      <c r="N437" s="8" t="str">
        <f>IFERROR(__xludf.DUMMYFUNCTION("GOOGLETRANSLATE(D437,""en"",""ur"")"),"کرکٹ")</f>
        <v>کرکٹ</v>
      </c>
      <c r="O437" s="6" t="str">
        <f>IFERROR(__xludf.DUMMYFUNCTION("GOOGLETRANSLATE(E437,""en"",""ur"")"),"گلی ڈنڈا۔")</f>
        <v>گلی ڈنڈا۔</v>
      </c>
      <c r="P437" s="6" t="str">
        <f>IFERROR(__xludf.DUMMYFUNCTION("GOOGLETRANSLATE(F437,""en"",""ur"")"),"ساکر")</f>
        <v>ساکر</v>
      </c>
      <c r="Q437" s="6" t="s">
        <v>806</v>
      </c>
      <c r="R437" s="6" t="str">
        <f>IFERROR(__xludf.DUMMYFUNCTION("GOOGLETRANSLATE(G437,""en"",""ur"")"),"ساکر")</f>
        <v>ساکر</v>
      </c>
      <c r="S437" s="6" t="s">
        <v>796</v>
      </c>
      <c r="T437" s="6"/>
      <c r="U437" s="6"/>
      <c r="V437" s="6"/>
      <c r="W437" s="6"/>
      <c r="X437" s="6"/>
      <c r="Y437" s="6"/>
      <c r="Z437" s="6"/>
      <c r="AA437" s="6"/>
    </row>
    <row r="438">
      <c r="A438" s="7">
        <v>438.0</v>
      </c>
      <c r="B438" s="6" t="s">
        <v>260</v>
      </c>
      <c r="C438" s="6" t="s">
        <v>261</v>
      </c>
      <c r="D438" s="6" t="s">
        <v>262</v>
      </c>
      <c r="E438" s="6" t="s">
        <v>263</v>
      </c>
      <c r="F438" s="6" t="s">
        <v>655</v>
      </c>
      <c r="G438" s="6" t="s">
        <v>655</v>
      </c>
      <c r="H438" s="6" t="s">
        <v>796</v>
      </c>
      <c r="I438" s="6"/>
      <c r="J438" s="6"/>
      <c r="K438" s="7">
        <v>438.0</v>
      </c>
      <c r="L438" s="6" t="str">
        <f>IFERROR(__xludf.DUMMYFUNCTION("GOOGLETRANSLATE(B438,""en"",""ur"")"),"تصویر میں ایکشن ایک ایسا انداز تجویز کرتا ہے جو اس بات پر زور دیتا ہے...")</f>
        <v>تصویر میں ایکشن ایک ایسا انداز تجویز کرتا ہے جو اس بات پر زور دیتا ہے...</v>
      </c>
      <c r="M438" s="6"/>
      <c r="N438" s="8" t="str">
        <f>IFERROR(__xludf.DUMMYFUNCTION("GOOGLETRANSLATE(D438,""en"",""ur"")"),"زمینی لڑائی اور گرفت")</f>
        <v>زمینی لڑائی اور گرفت</v>
      </c>
      <c r="O438" s="6" t="str">
        <f>IFERROR(__xludf.DUMMYFUNCTION("GOOGLETRANSLATE(E438,""en"",""ur"")"),"وحشیانہ قوت اور گھڑ سواری۔")</f>
        <v>وحشیانہ قوت اور گھڑ سواری۔</v>
      </c>
      <c r="P438" s="6" t="str">
        <f>IFERROR(__xludf.DUMMYFUNCTION("GOOGLETRANSLATE(F438,""en"",""ur"")"),"ہاتھ سے آنکھ کو آرڈینیشن اور حیرت انگیز")</f>
        <v>ہاتھ سے آنکھ کو آرڈینیشن اور حیرت انگیز</v>
      </c>
      <c r="Q438" s="6" t="s">
        <v>656</v>
      </c>
      <c r="R438" s="6" t="str">
        <f>IFERROR(__xludf.DUMMYFUNCTION("GOOGLETRANSLATE(G438,""en"",""ur"")"),"ہاتھ سے آنکھ کو آرڈینیشن اور حیرت انگیز")</f>
        <v>ہاتھ سے آنکھ کو آرڈینیشن اور حیرت انگیز</v>
      </c>
      <c r="S438" s="6" t="s">
        <v>796</v>
      </c>
      <c r="T438" s="6"/>
      <c r="U438" s="6"/>
      <c r="V438" s="6"/>
      <c r="W438" s="6"/>
      <c r="X438" s="6"/>
      <c r="Y438" s="6"/>
      <c r="Z438" s="6"/>
      <c r="AA438" s="6"/>
    </row>
    <row r="439">
      <c r="A439" s="7">
        <v>439.0</v>
      </c>
      <c r="B439" s="6" t="s">
        <v>657</v>
      </c>
      <c r="C439" s="6" t="s">
        <v>658</v>
      </c>
      <c r="D439" s="6" t="s">
        <v>659</v>
      </c>
      <c r="E439" s="6" t="s">
        <v>660</v>
      </c>
      <c r="F439" s="6" t="s">
        <v>661</v>
      </c>
      <c r="G439" s="6" t="s">
        <v>658</v>
      </c>
      <c r="H439" s="6" t="s">
        <v>796</v>
      </c>
      <c r="I439" s="6"/>
      <c r="J439" s="6"/>
      <c r="K439" s="7">
        <v>439.0</v>
      </c>
      <c r="L439" s="6" t="str">
        <f>IFERROR(__xludf.DUMMYFUNCTION("GOOGLETRANSLATE(B439,""en"",""ur"")"),"کھلاڑیوں کے جوتے کے بارے میں ایک قابل ذکر تفصیل کیا ہے؟")</f>
        <v>کھلاڑیوں کے جوتے کے بارے میں ایک قابل ذکر تفصیل کیا ہے؟</v>
      </c>
      <c r="M439" s="6"/>
      <c r="N439" s="8" t="str">
        <f>IFERROR(__xludf.DUMMYFUNCTION("GOOGLETRANSLATE(D439,""en"",""ur"")"),"وہ ننگے پاؤں ہیں۔")</f>
        <v>وہ ننگے پاؤں ہیں۔</v>
      </c>
      <c r="O439" s="6" t="str">
        <f>IFERROR(__xludf.DUMMYFUNCTION("GOOGLETRANSLATE(E439,""en"",""ur"")"),"وہ سینڈل یا فلپ فلاپ پہنے ہوئے ہیں۔")</f>
        <v>وہ سینڈل یا فلپ فلاپ پہنے ہوئے ہیں۔</v>
      </c>
      <c r="P439" s="6" t="str">
        <f>IFERROR(__xludf.DUMMYFUNCTION("GOOGLETRANSLATE(F439,""en"",""ur"")"),"وہ موزے پہنے ہوئے ہیں۔")</f>
        <v>وہ موزے پہنے ہوئے ہیں۔</v>
      </c>
      <c r="Q439" s="6" t="s">
        <v>662</v>
      </c>
      <c r="R439" s="6" t="str">
        <f>IFERROR(__xludf.DUMMYFUNCTION("GOOGLETRANSLATE(G439,""en"",""ur"")"),"انہوں نے جوتے پہن رکھے ہیں۔")</f>
        <v>انہوں نے جوتے پہن رکھے ہیں۔</v>
      </c>
      <c r="S439" s="6" t="s">
        <v>796</v>
      </c>
      <c r="T439" s="6"/>
      <c r="U439" s="6"/>
      <c r="V439" s="6"/>
      <c r="W439" s="6"/>
      <c r="X439" s="6"/>
      <c r="Y439" s="6"/>
      <c r="Z439" s="6"/>
      <c r="AA439" s="6"/>
    </row>
    <row r="440">
      <c r="A440" s="7">
        <v>440.0</v>
      </c>
      <c r="B440" s="6" t="s">
        <v>663</v>
      </c>
      <c r="C440" s="6" t="s">
        <v>664</v>
      </c>
      <c r="D440" s="6" t="s">
        <v>665</v>
      </c>
      <c r="E440" s="6" t="s">
        <v>666</v>
      </c>
      <c r="F440" s="6" t="s">
        <v>667</v>
      </c>
      <c r="G440" s="6" t="s">
        <v>725</v>
      </c>
      <c r="H440" s="6" t="s">
        <v>796</v>
      </c>
      <c r="I440" s="6"/>
      <c r="J440" s="6"/>
      <c r="K440" s="7">
        <v>440.0</v>
      </c>
      <c r="L440" s="6" t="str">
        <f>IFERROR(__xludf.DUMMYFUNCTION("GOOGLETRANSLATE(B440,""en"",""ur"")"),"پس منظر میں دیگر کھلاڑیوں کے بارے میں ایک قابل ذکر تفصیل کیا ہے؟")</f>
        <v>پس منظر میں دیگر کھلاڑیوں کے بارے میں ایک قابل ذکر تفصیل کیا ہے؟</v>
      </c>
      <c r="M440" s="6"/>
      <c r="N440" s="8" t="str">
        <f>IFERROR(__xludf.DUMMYFUNCTION("GOOGLETRANSLATE(D440,""en"",""ur"")"),"وہ سب ادھر ادھر بھاگ رہے ہیں۔")</f>
        <v>وہ سب ادھر ادھر بھاگ رہے ہیں۔</v>
      </c>
      <c r="O440" s="6" t="str">
        <f>IFERROR(__xludf.DUMMYFUNCTION("GOOGLETRANSLATE(E440,""en"",""ur"")"),"وہ ایک دفاعی، تیار موقف میں ہیں۔")</f>
        <v>وہ ایک دفاعی، تیار موقف میں ہیں۔</v>
      </c>
      <c r="P440" s="6" t="str">
        <f>IFERROR(__xludf.DUMMYFUNCTION("GOOGLETRANSLATE(F440,""en"",""ur"")"),"وہ سب لہرا رہے ہیں۔")</f>
        <v>وہ سب لہرا رہے ہیں۔</v>
      </c>
      <c r="Q440" s="6" t="s">
        <v>668</v>
      </c>
      <c r="R440" s="6" t="str">
        <f>IFERROR(__xludf.DUMMYFUNCTION("GOOGLETRANSLATE(G440,""en"",""ur"")"),"وہ سب کھڑے کھڑے دیکھ رہے ہیں۔")</f>
        <v>وہ سب کھڑے کھڑے دیکھ رہے ہیں۔</v>
      </c>
      <c r="S440" s="6" t="s">
        <v>796</v>
      </c>
      <c r="T440" s="6"/>
      <c r="U440" s="6"/>
      <c r="V440" s="6"/>
      <c r="W440" s="6"/>
      <c r="X440" s="6"/>
      <c r="Y440" s="6"/>
      <c r="Z440" s="6"/>
      <c r="AA440" s="6"/>
    </row>
    <row r="441">
      <c r="A441" s="7">
        <v>441.0</v>
      </c>
      <c r="B441" s="6" t="s">
        <v>807</v>
      </c>
      <c r="C441" s="6" t="s">
        <v>808</v>
      </c>
      <c r="D441" s="6" t="s">
        <v>632</v>
      </c>
      <c r="E441" s="6" t="s">
        <v>633</v>
      </c>
      <c r="F441" s="6" t="s">
        <v>634</v>
      </c>
      <c r="G441" s="6" t="s">
        <v>808</v>
      </c>
      <c r="H441" s="6" t="s">
        <v>809</v>
      </c>
      <c r="I441" s="6"/>
      <c r="J441" s="6"/>
      <c r="K441" s="7">
        <v>441.0</v>
      </c>
      <c r="L441" s="6" t="str">
        <f>IFERROR(__xludf.DUMMYFUNCTION("GOOGLETRANSLATE(B441,""en"",""ur"")"),"gilli_danda_56 میں دکھایا گیا اہم عمل کیا ہے؟")</f>
        <v>gilli_danda_56 میں دکھایا گیا اہم عمل کیا ہے؟</v>
      </c>
      <c r="M441" s="6"/>
      <c r="N441" s="8" t="str">
        <f>IFERROR(__xludf.DUMMYFUNCTION("GOOGLETRANSLATE(D441,""en"",""ur"")"),"ایک کھلاڑی چھوٹی چھڑی کو بڑی چھڑی سے مار رہا ہے۔")</f>
        <v>ایک کھلاڑی چھوٹی چھڑی کو بڑی چھڑی سے مار رہا ہے۔</v>
      </c>
      <c r="O441" s="6" t="str">
        <f>IFERROR(__xludf.DUMMYFUNCTION("GOOGLETRANSLATE(E441,""en"",""ur"")"),"ایک کھلاڑی گیند کی خدمت کر رہا ہے۔")</f>
        <v>ایک کھلاڑی گیند کی خدمت کر رہا ہے۔</v>
      </c>
      <c r="P441" s="6" t="str">
        <f>IFERROR(__xludf.DUMMYFUNCTION("GOOGLETRANSLATE(F441,""en"",""ur"")"),"ایک کھلاڑی دفاعی بلاک کا مظاہرہ کر رہا ہے۔")</f>
        <v>ایک کھلاڑی دفاعی بلاک کا مظاہرہ کر رہا ہے۔</v>
      </c>
      <c r="Q441" s="6" t="s">
        <v>671</v>
      </c>
      <c r="R441" s="6" t="str">
        <f>IFERROR(__xludf.DUMMYFUNCTION("GOOGLETRANSLATE(G441,""en"",""ur"")"),"گاؤں میں کھیل کا کارٹون")</f>
        <v>گاؤں میں کھیل کا کارٹون</v>
      </c>
      <c r="S441" s="6" t="s">
        <v>809</v>
      </c>
      <c r="T441" s="6"/>
      <c r="U441" s="6"/>
      <c r="V441" s="6"/>
      <c r="W441" s="6"/>
      <c r="X441" s="6"/>
      <c r="Y441" s="6"/>
      <c r="Z441" s="6"/>
      <c r="AA441" s="6"/>
    </row>
    <row r="442">
      <c r="A442" s="7">
        <v>442.0</v>
      </c>
      <c r="B442" s="6" t="s">
        <v>636</v>
      </c>
      <c r="C442" s="6" t="s">
        <v>637</v>
      </c>
      <c r="D442" s="6" t="s">
        <v>638</v>
      </c>
      <c r="E442" s="6" t="s">
        <v>639</v>
      </c>
      <c r="F442" s="6" t="s">
        <v>640</v>
      </c>
      <c r="G442" s="6" t="s">
        <v>638</v>
      </c>
      <c r="H442" s="6" t="s">
        <v>809</v>
      </c>
      <c r="I442" s="6"/>
      <c r="J442" s="6"/>
      <c r="K442" s="7">
        <v>442.0</v>
      </c>
      <c r="L442" s="6" t="str">
        <f>IFERROR(__xludf.DUMMYFUNCTION("GOOGLETRANSLATE(B442,""en"",""ur"")"),"کھیل میں استعمال ہونے والے آلات کے دو ٹکڑے کیا ہیں؟")</f>
        <v>کھیل میں استعمال ہونے والے آلات کے دو ٹکڑے کیا ہیں؟</v>
      </c>
      <c r="M442" s="6"/>
      <c r="N442" s="8" t="str">
        <f>IFERROR(__xludf.DUMMYFUNCTION("GOOGLETRANSLATE(D442,""en"",""ur"")"),"ایک لمبی چھڑی (ڈنڈا) اور ایک چھوٹی چھڑی (گلی)")</f>
        <v>ایک لمبی چھڑی (ڈنڈا) اور ایک چھوٹی چھڑی (گلی)</v>
      </c>
      <c r="O442" s="6" t="str">
        <f>IFERROR(__xludf.DUMMYFUNCTION("GOOGLETRANSLATE(E442,""en"",""ur"")"),"ایک ریکیٹ اور ایک شٹل کاک")</f>
        <v>ایک ریکیٹ اور ایک شٹل کاک</v>
      </c>
      <c r="P442" s="6" t="str">
        <f>IFERROR(__xludf.DUMMYFUNCTION("GOOGLETRANSLATE(F442,""en"",""ur"")"),"ایک چمگادڑ اور ایک دستانہ")</f>
        <v>ایک چمگادڑ اور ایک دستانہ</v>
      </c>
      <c r="Q442" s="6" t="s">
        <v>641</v>
      </c>
      <c r="R442" s="6" t="str">
        <f>IFERROR(__xludf.DUMMYFUNCTION("GOOGLETRANSLATE(G442,""en"",""ur"")"),"ایک لمبی چھڑی (ڈنڈا) اور ایک چھوٹی چھڑی (گلی)")</f>
        <v>ایک لمبی چھڑی (ڈنڈا) اور ایک چھوٹی چھڑی (گلی)</v>
      </c>
      <c r="S442" s="6" t="s">
        <v>809</v>
      </c>
      <c r="T442" s="6"/>
      <c r="U442" s="6"/>
      <c r="V442" s="6"/>
      <c r="W442" s="6"/>
      <c r="X442" s="6"/>
      <c r="Y442" s="6"/>
      <c r="Z442" s="6"/>
      <c r="AA442" s="6"/>
    </row>
    <row r="443">
      <c r="A443" s="7">
        <v>443.0</v>
      </c>
      <c r="B443" s="6" t="s">
        <v>687</v>
      </c>
      <c r="C443" s="6" t="s">
        <v>307</v>
      </c>
      <c r="D443" s="6" t="s">
        <v>643</v>
      </c>
      <c r="E443" s="6" t="s">
        <v>311</v>
      </c>
      <c r="F443" s="6" t="s">
        <v>314</v>
      </c>
      <c r="G443" s="6" t="s">
        <v>643</v>
      </c>
      <c r="H443" s="6" t="s">
        <v>809</v>
      </c>
      <c r="I443" s="6"/>
      <c r="J443" s="6"/>
      <c r="K443" s="7">
        <v>443.0</v>
      </c>
      <c r="L443" s="6" t="str">
        <f>IFERROR(__xludf.DUMMYFUNCTION("GOOGLETRANSLATE(B443,""en"",""ur"")"),"پیش منظر میں کھلاڑی کے بارے میں ایک قابل ذکر تفصیل کیا ہے؟")</f>
        <v>پیش منظر میں کھلاڑی کے بارے میں ایک قابل ذکر تفصیل کیا ہے؟</v>
      </c>
      <c r="M443" s="6"/>
      <c r="N443" s="8" t="str">
        <f>IFERROR(__xludf.DUMMYFUNCTION("GOOGLETRANSLATE(D443,""en"",""ur"")"),"وہ ایک پست، جھکائے ہوئے موقف میں ہے، ہڑتال کرنے کی تیاری کر رہا ہے۔")</f>
        <v>وہ ایک پست، جھکائے ہوئے موقف میں ہے، ہڑتال کرنے کی تیاری کر رہا ہے۔</v>
      </c>
      <c r="O443" s="6" t="str">
        <f>IFERROR(__xludf.DUMMYFUNCTION("GOOGLETRANSLATE(E443,""en"",""ur"")"),"وہ سیدھا کھڑا ہے۔")</f>
        <v>وہ سیدھا کھڑا ہے۔</v>
      </c>
      <c r="P443" s="6" t="str">
        <f>IFERROR(__xludf.DUMMYFUNCTION("GOOGLETRANSLATE(F443,""en"",""ur"")"),"وہ آرام سے بیٹھا ہے۔")</f>
        <v>وہ آرام سے بیٹھا ہے۔</v>
      </c>
      <c r="Q443" s="6" t="s">
        <v>644</v>
      </c>
      <c r="R443" s="6" t="str">
        <f>IFERROR(__xludf.DUMMYFUNCTION("GOOGLETRANSLATE(G443,""en"",""ur"")"),"وہ ایک پست، جھکائے ہوئے موقف میں ہے، ہڑتال کرنے کی تیاری کر رہا ہے۔")</f>
        <v>وہ ایک پست، جھکائے ہوئے موقف میں ہے، ہڑتال کرنے کی تیاری کر رہا ہے۔</v>
      </c>
      <c r="S443" s="6" t="s">
        <v>809</v>
      </c>
      <c r="T443" s="6"/>
      <c r="U443" s="6"/>
      <c r="V443" s="6"/>
      <c r="W443" s="6"/>
      <c r="X443" s="6"/>
      <c r="Y443" s="6"/>
      <c r="Z443" s="6"/>
      <c r="AA443" s="6"/>
    </row>
    <row r="444">
      <c r="A444" s="7">
        <v>444.0</v>
      </c>
      <c r="B444" s="6" t="s">
        <v>645</v>
      </c>
      <c r="C444" s="6" t="s">
        <v>422</v>
      </c>
      <c r="D444" s="6" t="s">
        <v>646</v>
      </c>
      <c r="E444" s="6" t="s">
        <v>647</v>
      </c>
      <c r="F444" s="6" t="s">
        <v>425</v>
      </c>
      <c r="G444" s="6" t="s">
        <v>647</v>
      </c>
      <c r="H444" s="6" t="s">
        <v>809</v>
      </c>
      <c r="I444" s="6"/>
      <c r="J444" s="6"/>
      <c r="K444" s="7">
        <v>444.0</v>
      </c>
      <c r="L444" s="6" t="str">
        <f>IFERROR(__xludf.DUMMYFUNCTION("GOOGLETRANSLATE(B444,""en"",""ur"")"),"کھیل کی ظاہری ترتیب کیا ہے؟")</f>
        <v>کھیل کی ظاہری ترتیب کیا ہے؟</v>
      </c>
      <c r="M444" s="6"/>
      <c r="N444" s="8" t="str">
        <f>IFERROR(__xludf.DUMMYFUNCTION("GOOGLETRANSLATE(D444,""en"",""ur"")"),"شہر کی ایک گلی")</f>
        <v>شہر کی ایک گلی</v>
      </c>
      <c r="O444" s="6" t="str">
        <f>IFERROR(__xludf.DUMMYFUNCTION("GOOGLETRANSLATE(E444,""en"",""ur"")"),"ایک بیرونی گندگی کا میدان")</f>
        <v>ایک بیرونی گندگی کا میدان</v>
      </c>
      <c r="P444" s="6" t="str">
        <f>IFERROR(__xludf.DUMMYFUNCTION("GOOGLETRANSLATE(F444,""en"",""ur"")"),"گھاس کا میدان")</f>
        <v>گھاس کا میدان</v>
      </c>
      <c r="Q444" s="6" t="s">
        <v>648</v>
      </c>
      <c r="R444" s="6" t="str">
        <f>IFERROR(__xludf.DUMMYFUNCTION("GOOGLETRANSLATE(G444,""en"",""ur"")"),"ایک بیرونی گندگی کا میدان")</f>
        <v>ایک بیرونی گندگی کا میدان</v>
      </c>
      <c r="S444" s="6" t="s">
        <v>809</v>
      </c>
      <c r="T444" s="6"/>
      <c r="U444" s="6"/>
      <c r="V444" s="6"/>
      <c r="W444" s="6"/>
      <c r="X444" s="6"/>
      <c r="Y444" s="6"/>
      <c r="Z444" s="6"/>
      <c r="AA444" s="6"/>
    </row>
    <row r="445">
      <c r="A445" s="7">
        <v>445.0</v>
      </c>
      <c r="B445" s="6" t="s">
        <v>46</v>
      </c>
      <c r="C445" s="6" t="s">
        <v>47</v>
      </c>
      <c r="D445" s="6" t="s">
        <v>48</v>
      </c>
      <c r="E445" s="6" t="s">
        <v>49</v>
      </c>
      <c r="F445" s="6" t="s">
        <v>50</v>
      </c>
      <c r="G445" s="6" t="s">
        <v>49</v>
      </c>
      <c r="H445" s="6" t="s">
        <v>809</v>
      </c>
      <c r="I445" s="6"/>
      <c r="J445" s="6"/>
      <c r="K445" s="7">
        <v>445.0</v>
      </c>
      <c r="L445" s="6" t="str">
        <f>IFERROR(__xludf.DUMMYFUNCTION("GOOGLETRANSLATE(B445,""en"",""ur"")"),"کھلاڑیوں کے چہروں سے ظاہری جذبات کیا ہیں؟")</f>
        <v>کھلاڑیوں کے چہروں سے ظاہری جذبات کیا ہیں؟</v>
      </c>
      <c r="M445" s="6"/>
      <c r="N445" s="8" t="str">
        <f>IFERROR(__xludf.DUMMYFUNCTION("GOOGLETRANSLATE(D445,""en"",""ur"")"),"خوف زدہ اور بے چین")</f>
        <v>خوف زدہ اور بے چین</v>
      </c>
      <c r="O445" s="6" t="str">
        <f>IFERROR(__xludf.DUMMYFUNCTION("GOOGLETRANSLATE(E445,""en"",""ur"")"),"کشیدہ اور شدید")</f>
        <v>کشیدہ اور شدید</v>
      </c>
      <c r="P445" s="6" t="str">
        <f>IFERROR(__xludf.DUMMYFUNCTION("GOOGLETRANSLATE(F445,""en"",""ur"")"),"خوش اور مسکراتے ہوئے۔")</f>
        <v>خوش اور مسکراتے ہوئے۔</v>
      </c>
      <c r="Q445" s="6" t="s">
        <v>649</v>
      </c>
      <c r="R445" s="6" t="str">
        <f>IFERROR(__xludf.DUMMYFUNCTION("GOOGLETRANSLATE(G445,""en"",""ur"")"),"کشیدہ اور شدید")</f>
        <v>کشیدہ اور شدید</v>
      </c>
      <c r="S445" s="6" t="s">
        <v>809</v>
      </c>
      <c r="T445" s="6"/>
      <c r="U445" s="6"/>
      <c r="V445" s="6"/>
      <c r="W445" s="6"/>
      <c r="X445" s="6"/>
      <c r="Y445" s="6"/>
      <c r="Z445" s="6"/>
      <c r="AA445" s="6"/>
    </row>
    <row r="446">
      <c r="A446" s="7">
        <v>446.0</v>
      </c>
      <c r="B446" s="6" t="s">
        <v>88</v>
      </c>
      <c r="C446" s="6" t="s">
        <v>89</v>
      </c>
      <c r="D446" s="6" t="s">
        <v>90</v>
      </c>
      <c r="E446" s="6" t="s">
        <v>91</v>
      </c>
      <c r="F446" s="6" t="s">
        <v>255</v>
      </c>
      <c r="G446" s="6" t="s">
        <v>255</v>
      </c>
      <c r="H446" s="6" t="s">
        <v>809</v>
      </c>
      <c r="I446" s="6"/>
      <c r="J446" s="6"/>
      <c r="K446" s="7">
        <v>446.0</v>
      </c>
      <c r="L446" s="6" t="str">
        <f>IFERROR(__xludf.DUMMYFUNCTION("GOOGLETRANSLATE(B446,""en"",""ur"")"),"زمین کی سب سے نمایاں خصوصیت کیا ہے؟")</f>
        <v>زمین کی سب سے نمایاں خصوصیت کیا ہے؟</v>
      </c>
      <c r="M446" s="6"/>
      <c r="N446" s="8" t="str">
        <f>IFERROR(__xludf.DUMMYFUNCTION("GOOGLETRANSLATE(D446,""en"",""ur"")"),"کیچڑ والا میدان")</f>
        <v>کیچڑ والا میدان</v>
      </c>
      <c r="O446" s="6" t="str">
        <f>IFERROR(__xludf.DUMMYFUNCTION("GOOGLETRANSLATE(E446,""en"",""ur"")"),"ایک گھاس دار سطح")</f>
        <v>ایک گھاس دار سطح</v>
      </c>
      <c r="P446" s="6" t="str">
        <f>IFERROR(__xludf.DUMMYFUNCTION("GOOGLETRANSLATE(F446,""en"",""ur"")"),"ریتلی یا گندگی کی سطح")</f>
        <v>ریتلی یا گندگی کی سطح</v>
      </c>
      <c r="Q446" s="6" t="s">
        <v>688</v>
      </c>
      <c r="R446" s="6" t="str">
        <f>IFERROR(__xludf.DUMMYFUNCTION("GOOGLETRANSLATE(G446,""en"",""ur"")"),"ریتلی یا گندگی کی سطح")</f>
        <v>ریتلی یا گندگی کی سطح</v>
      </c>
      <c r="S446" s="6" t="s">
        <v>809</v>
      </c>
      <c r="T446" s="6"/>
      <c r="U446" s="6"/>
      <c r="V446" s="6"/>
      <c r="W446" s="6"/>
      <c r="X446" s="6"/>
      <c r="Y446" s="6"/>
      <c r="Z446" s="6"/>
      <c r="AA446" s="6"/>
    </row>
    <row r="447">
      <c r="A447" s="7">
        <v>447.0</v>
      </c>
      <c r="B447" s="6" t="s">
        <v>94</v>
      </c>
      <c r="C447" s="6" t="s">
        <v>95</v>
      </c>
      <c r="D447" s="6" t="s">
        <v>651</v>
      </c>
      <c r="E447" s="6" t="s">
        <v>652</v>
      </c>
      <c r="F447" s="6" t="s">
        <v>653</v>
      </c>
      <c r="G447" s="6" t="s">
        <v>652</v>
      </c>
      <c r="H447" s="6" t="s">
        <v>809</v>
      </c>
      <c r="I447" s="6"/>
      <c r="J447" s="6"/>
      <c r="K447" s="7">
        <v>447.0</v>
      </c>
      <c r="L447" s="6" t="str">
        <f>IFERROR(__xludf.DUMMYFUNCTION("GOOGLETRANSLATE(B447,""en"",""ur"")"),"کھیلے جانے والے کھیل کا نام کیا ہے؟")</f>
        <v>کھیلے جانے والے کھیل کا نام کیا ہے؟</v>
      </c>
      <c r="M447" s="6"/>
      <c r="N447" s="8" t="str">
        <f>IFERROR(__xludf.DUMMYFUNCTION("GOOGLETRANSLATE(D447,""en"",""ur"")"),"کرکٹ")</f>
        <v>کرکٹ</v>
      </c>
      <c r="O447" s="6" t="str">
        <f>IFERROR(__xludf.DUMMYFUNCTION("GOOGLETRANSLATE(E447,""en"",""ur"")"),"گلی ڈنڈا۔")</f>
        <v>گلی ڈنڈا۔</v>
      </c>
      <c r="P447" s="6" t="str">
        <f>IFERROR(__xludf.DUMMYFUNCTION("GOOGLETRANSLATE(F447,""en"",""ur"")"),"بیس بال")</f>
        <v>بیس بال</v>
      </c>
      <c r="Q447" s="6" t="s">
        <v>654</v>
      </c>
      <c r="R447" s="6" t="str">
        <f>IFERROR(__xludf.DUMMYFUNCTION("GOOGLETRANSLATE(G447,""en"",""ur"")"),"گلی ڈنڈا۔")</f>
        <v>گلی ڈنڈا۔</v>
      </c>
      <c r="S447" s="6" t="s">
        <v>809</v>
      </c>
      <c r="T447" s="6"/>
      <c r="U447" s="6"/>
      <c r="V447" s="6"/>
      <c r="W447" s="6"/>
      <c r="X447" s="6"/>
      <c r="Y447" s="6"/>
      <c r="Z447" s="6"/>
      <c r="AA447" s="6"/>
    </row>
    <row r="448">
      <c r="A448" s="7">
        <v>448.0</v>
      </c>
      <c r="B448" s="6" t="s">
        <v>260</v>
      </c>
      <c r="C448" s="6" t="s">
        <v>261</v>
      </c>
      <c r="D448" s="6" t="s">
        <v>262</v>
      </c>
      <c r="E448" s="6" t="s">
        <v>263</v>
      </c>
      <c r="F448" s="6" t="s">
        <v>655</v>
      </c>
      <c r="G448" s="6" t="s">
        <v>655</v>
      </c>
      <c r="H448" s="6" t="s">
        <v>809</v>
      </c>
      <c r="I448" s="6"/>
      <c r="J448" s="6"/>
      <c r="K448" s="7">
        <v>448.0</v>
      </c>
      <c r="L448" s="6" t="str">
        <f>IFERROR(__xludf.DUMMYFUNCTION("GOOGLETRANSLATE(B448,""en"",""ur"")"),"تصویر میں ایکشن ایک ایسا انداز تجویز کرتا ہے جو اس بات پر زور دیتا ہے...")</f>
        <v>تصویر میں ایکشن ایک ایسا انداز تجویز کرتا ہے جو اس بات پر زور دیتا ہے...</v>
      </c>
      <c r="M448" s="6"/>
      <c r="N448" s="8" t="str">
        <f>IFERROR(__xludf.DUMMYFUNCTION("GOOGLETRANSLATE(D448,""en"",""ur"")"),"زمینی لڑائی اور گرفت")</f>
        <v>زمینی لڑائی اور گرفت</v>
      </c>
      <c r="O448" s="6" t="str">
        <f>IFERROR(__xludf.DUMMYFUNCTION("GOOGLETRANSLATE(E448,""en"",""ur"")"),"وحشیانہ قوت اور گھڑ سواری۔")</f>
        <v>وحشیانہ قوت اور گھڑ سواری۔</v>
      </c>
      <c r="P448" s="6" t="str">
        <f>IFERROR(__xludf.DUMMYFUNCTION("GOOGLETRANSLATE(F448,""en"",""ur"")"),"ہاتھ سے آنکھ کو آرڈینیشن اور حیرت انگیز")</f>
        <v>ہاتھ سے آنکھ کو آرڈینیشن اور حیرت انگیز</v>
      </c>
      <c r="Q448" s="6" t="s">
        <v>656</v>
      </c>
      <c r="R448" s="6" t="str">
        <f>IFERROR(__xludf.DUMMYFUNCTION("GOOGLETRANSLATE(G448,""en"",""ur"")"),"ہاتھ سے آنکھ کو آرڈینیشن اور حیرت انگیز")</f>
        <v>ہاتھ سے آنکھ کو آرڈینیشن اور حیرت انگیز</v>
      </c>
      <c r="S448" s="6" t="s">
        <v>809</v>
      </c>
      <c r="T448" s="6"/>
      <c r="U448" s="6"/>
      <c r="V448" s="6"/>
      <c r="W448" s="6"/>
      <c r="X448" s="6"/>
      <c r="Y448" s="6"/>
      <c r="Z448" s="6"/>
      <c r="AA448" s="6"/>
    </row>
    <row r="449">
      <c r="A449" s="7">
        <v>449.0</v>
      </c>
      <c r="B449" s="6" t="s">
        <v>657</v>
      </c>
      <c r="C449" s="6" t="s">
        <v>658</v>
      </c>
      <c r="D449" s="6" t="s">
        <v>659</v>
      </c>
      <c r="E449" s="6" t="s">
        <v>660</v>
      </c>
      <c r="F449" s="6" t="s">
        <v>661</v>
      </c>
      <c r="G449" s="6" t="s">
        <v>659</v>
      </c>
      <c r="H449" s="6" t="s">
        <v>809</v>
      </c>
      <c r="I449" s="6"/>
      <c r="J449" s="6"/>
      <c r="K449" s="7">
        <v>449.0</v>
      </c>
      <c r="L449" s="6" t="str">
        <f>IFERROR(__xludf.DUMMYFUNCTION("GOOGLETRANSLATE(B449,""en"",""ur"")"),"کھلاڑیوں کے جوتے کے بارے میں ایک قابل ذکر تفصیل کیا ہے؟")</f>
        <v>کھلاڑیوں کے جوتے کے بارے میں ایک قابل ذکر تفصیل کیا ہے؟</v>
      </c>
      <c r="M449" s="6"/>
      <c r="N449" s="8" t="str">
        <f>IFERROR(__xludf.DUMMYFUNCTION("GOOGLETRANSLATE(D449,""en"",""ur"")"),"وہ ننگے پاؤں ہیں۔")</f>
        <v>وہ ننگے پاؤں ہیں۔</v>
      </c>
      <c r="O449" s="6" t="str">
        <f>IFERROR(__xludf.DUMMYFUNCTION("GOOGLETRANSLATE(E449,""en"",""ur"")"),"وہ سینڈل یا فلپ فلاپ پہنے ہوئے ہیں۔")</f>
        <v>وہ سینڈل یا فلپ فلاپ پہنے ہوئے ہیں۔</v>
      </c>
      <c r="P449" s="6" t="str">
        <f>IFERROR(__xludf.DUMMYFUNCTION("GOOGLETRANSLATE(F449,""en"",""ur"")"),"وہ موزے پہنے ہوئے ہیں۔")</f>
        <v>وہ موزے پہنے ہوئے ہیں۔</v>
      </c>
      <c r="Q449" s="6" t="s">
        <v>662</v>
      </c>
      <c r="R449" s="6" t="str">
        <f>IFERROR(__xludf.DUMMYFUNCTION("GOOGLETRANSLATE(G449,""en"",""ur"")"),"وہ ننگے پاؤں ہیں۔")</f>
        <v>وہ ننگے پاؤں ہیں۔</v>
      </c>
      <c r="S449" s="6" t="s">
        <v>809</v>
      </c>
      <c r="T449" s="6"/>
      <c r="U449" s="6"/>
      <c r="V449" s="6"/>
      <c r="W449" s="6"/>
      <c r="X449" s="6"/>
      <c r="Y449" s="6"/>
      <c r="Z449" s="6"/>
      <c r="AA449" s="6"/>
    </row>
    <row r="450">
      <c r="A450" s="7">
        <v>450.0</v>
      </c>
      <c r="B450" s="6" t="s">
        <v>663</v>
      </c>
      <c r="C450" s="6" t="s">
        <v>664</v>
      </c>
      <c r="D450" s="6" t="s">
        <v>665</v>
      </c>
      <c r="E450" s="6" t="s">
        <v>666</v>
      </c>
      <c r="F450" s="6" t="s">
        <v>667</v>
      </c>
      <c r="G450" s="6" t="s">
        <v>725</v>
      </c>
      <c r="H450" s="6" t="s">
        <v>809</v>
      </c>
      <c r="I450" s="6"/>
      <c r="J450" s="6"/>
      <c r="K450" s="7">
        <v>450.0</v>
      </c>
      <c r="L450" s="6" t="str">
        <f>IFERROR(__xludf.DUMMYFUNCTION("GOOGLETRANSLATE(B450,""en"",""ur"")"),"پس منظر میں دیگر کھلاڑیوں کے بارے میں ایک قابل ذکر تفصیل کیا ہے؟")</f>
        <v>پس منظر میں دیگر کھلاڑیوں کے بارے میں ایک قابل ذکر تفصیل کیا ہے؟</v>
      </c>
      <c r="M450" s="6"/>
      <c r="N450" s="8" t="str">
        <f>IFERROR(__xludf.DUMMYFUNCTION("GOOGLETRANSLATE(D450,""en"",""ur"")"),"وہ سب ادھر ادھر بھاگ رہے ہیں۔")</f>
        <v>وہ سب ادھر ادھر بھاگ رہے ہیں۔</v>
      </c>
      <c r="O450" s="6" t="str">
        <f>IFERROR(__xludf.DUMMYFUNCTION("GOOGLETRANSLATE(E450,""en"",""ur"")"),"وہ ایک دفاعی، تیار موقف میں ہیں۔")</f>
        <v>وہ ایک دفاعی، تیار موقف میں ہیں۔</v>
      </c>
      <c r="P450" s="6" t="str">
        <f>IFERROR(__xludf.DUMMYFUNCTION("GOOGLETRANSLATE(F450,""en"",""ur"")"),"وہ سب لہرا رہے ہیں۔")</f>
        <v>وہ سب لہرا رہے ہیں۔</v>
      </c>
      <c r="Q450" s="6" t="s">
        <v>668</v>
      </c>
      <c r="R450" s="6" t="str">
        <f>IFERROR(__xludf.DUMMYFUNCTION("GOOGLETRANSLATE(G450,""en"",""ur"")"),"وہ سب کھڑے کھڑے دیکھ رہے ہیں۔")</f>
        <v>وہ سب کھڑے کھڑے دیکھ رہے ہیں۔</v>
      </c>
      <c r="S450" s="6" t="s">
        <v>809</v>
      </c>
      <c r="T450" s="6"/>
      <c r="U450" s="6"/>
      <c r="V450" s="6"/>
      <c r="W450" s="6"/>
      <c r="X450" s="6"/>
      <c r="Y450" s="6"/>
      <c r="Z450" s="6"/>
      <c r="AA450" s="6"/>
    </row>
    <row r="451">
      <c r="A451" s="7">
        <v>451.0</v>
      </c>
      <c r="B451" s="6" t="s">
        <v>810</v>
      </c>
      <c r="C451" s="6" t="s">
        <v>811</v>
      </c>
      <c r="D451" s="6" t="s">
        <v>682</v>
      </c>
      <c r="E451" s="6" t="s">
        <v>681</v>
      </c>
      <c r="F451" s="6" t="s">
        <v>684</v>
      </c>
      <c r="G451" s="6" t="s">
        <v>811</v>
      </c>
      <c r="H451" s="6" t="s">
        <v>812</v>
      </c>
      <c r="I451" s="6"/>
      <c r="J451" s="6"/>
      <c r="K451" s="7">
        <v>451.0</v>
      </c>
      <c r="L451" s="6" t="str">
        <f>IFERROR(__xludf.DUMMYFUNCTION("GOOGLETRANSLATE(B451,""en"",""ur"")"),"gilli_danda_45 میں دکھایا گیا اہم عمل کیا ہے؟")</f>
        <v>gilli_danda_45 میں دکھایا گیا اہم عمل کیا ہے؟</v>
      </c>
      <c r="M451" s="6"/>
      <c r="N451" s="8" t="str">
        <f>IFERROR(__xludf.DUMMYFUNCTION("GOOGLETRANSLATE(D451,""en"",""ur"")"),"بچوں کا ایک گروپ جو گیند کا کھیل کھیل رہا ہے۔")</f>
        <v>بچوں کا ایک گروپ جو گیند کا کھیل کھیل رہا ہے۔</v>
      </c>
      <c r="O451" s="6" t="str">
        <f>IFERROR(__xludf.DUMMYFUNCTION("GOOGLETRANSLATE(E451,""en"",""ur"")"),"لڑنے والے بچوں کا ایک گروپ")</f>
        <v>لڑنے والے بچوں کا ایک گروپ</v>
      </c>
      <c r="P451" s="6" t="str">
        <f>IFERROR(__xludf.DUMMYFUNCTION("GOOGLETRANSLATE(F451,""en"",""ur"")"),"بچوں کا ایک گروپ چل رہا ہے۔")</f>
        <v>بچوں کا ایک گروپ چل رہا ہے۔</v>
      </c>
      <c r="Q451" s="6" t="s">
        <v>813</v>
      </c>
      <c r="R451" s="6" t="str">
        <f>IFERROR(__xludf.DUMMYFUNCTION("GOOGLETRANSLATE(G451,""en"",""ur"")"),"ٹورنامنٹ کے لیے ایک فلائر")</f>
        <v>ٹورنامنٹ کے لیے ایک فلائر</v>
      </c>
      <c r="S451" s="6" t="s">
        <v>812</v>
      </c>
      <c r="T451" s="6"/>
      <c r="U451" s="6"/>
      <c r="V451" s="6"/>
      <c r="W451" s="6"/>
      <c r="X451" s="6"/>
      <c r="Y451" s="6"/>
      <c r="Z451" s="6"/>
      <c r="AA451" s="6"/>
    </row>
    <row r="452">
      <c r="A452" s="7">
        <v>452.0</v>
      </c>
      <c r="B452" s="6" t="s">
        <v>814</v>
      </c>
      <c r="C452" s="6" t="s">
        <v>815</v>
      </c>
      <c r="D452" s="6" t="s">
        <v>816</v>
      </c>
      <c r="E452" s="6" t="s">
        <v>817</v>
      </c>
      <c r="F452" s="6" t="s">
        <v>818</v>
      </c>
      <c r="G452" s="6" t="s">
        <v>816</v>
      </c>
      <c r="H452" s="6" t="s">
        <v>812</v>
      </c>
      <c r="I452" s="6"/>
      <c r="J452" s="6"/>
      <c r="K452" s="7">
        <v>452.0</v>
      </c>
      <c r="L452" s="6" t="str">
        <f>IFERROR(__xludf.DUMMYFUNCTION("GOOGLETRANSLATE(B452,""en"",""ur"")"),"فلائر پر متن کے بارے میں ایک قابل ذکر تفصیل کیا ہے؟")</f>
        <v>فلائر پر متن کے بارے میں ایک قابل ذکر تفصیل کیا ہے؟</v>
      </c>
      <c r="M452" s="6"/>
      <c r="N452" s="8" t="str">
        <f>IFERROR(__xludf.DUMMYFUNCTION("GOOGLETRANSLATE(D452,""en"",""ur"")"),"یہ ایک جدید فونٹ میں ہے۔")</f>
        <v>یہ ایک جدید فونٹ میں ہے۔</v>
      </c>
      <c r="O452" s="6" t="str">
        <f>IFERROR(__xludf.DUMMYFUNCTION("GOOGLETRANSLATE(E452,""en"",""ur"")"),"یہ روایتی فونٹ میں ہے۔")</f>
        <v>یہ روایتی فونٹ میں ہے۔</v>
      </c>
      <c r="P452" s="6" t="str">
        <f>IFERROR(__xludf.DUMMYFUNCTION("GOOGLETRANSLATE(F452,""en"",""ur"")"),"یہ ایک سادہ فونٹ میں ہے۔")</f>
        <v>یہ ایک سادہ فونٹ میں ہے۔</v>
      </c>
      <c r="Q452" s="6" t="s">
        <v>819</v>
      </c>
      <c r="R452" s="6" t="str">
        <f>IFERROR(__xludf.DUMMYFUNCTION("GOOGLETRANSLATE(G452,""en"",""ur"")"),"یہ ایک جدید فونٹ میں ہے۔")</f>
        <v>یہ ایک جدید فونٹ میں ہے۔</v>
      </c>
      <c r="S452" s="6" t="s">
        <v>812</v>
      </c>
      <c r="T452" s="6"/>
      <c r="U452" s="6"/>
      <c r="V452" s="6"/>
      <c r="W452" s="6"/>
      <c r="X452" s="6"/>
      <c r="Y452" s="6"/>
      <c r="Z452" s="6"/>
      <c r="AA452" s="6"/>
    </row>
    <row r="453">
      <c r="A453" s="7">
        <v>453.0</v>
      </c>
      <c r="B453" s="6" t="s">
        <v>820</v>
      </c>
      <c r="C453" s="6" t="s">
        <v>821</v>
      </c>
      <c r="D453" s="6" t="s">
        <v>822</v>
      </c>
      <c r="E453" s="6" t="s">
        <v>823</v>
      </c>
      <c r="F453" s="6" t="s">
        <v>824</v>
      </c>
      <c r="G453" s="6" t="s">
        <v>822</v>
      </c>
      <c r="H453" s="6" t="s">
        <v>812</v>
      </c>
      <c r="I453" s="6"/>
      <c r="J453" s="6"/>
      <c r="K453" s="7">
        <v>453.0</v>
      </c>
      <c r="L453" s="6" t="str">
        <f>IFERROR(__xludf.DUMMYFUNCTION("GOOGLETRANSLATE(B453,""en"",""ur"")"),"فلائر کا ظاہری مقصد کیا ہے؟")</f>
        <v>فلائر کا ظاہری مقصد کیا ہے؟</v>
      </c>
      <c r="M453" s="6"/>
      <c r="N453" s="8" t="str">
        <f>IFERROR(__xludf.DUMMYFUNCTION("GOOGLETRANSLATE(D453,""en"",""ur"")"),"گلی ڈنڈا ٹورنامنٹ کا اعلان کرنا")</f>
        <v>گلی ڈنڈا ٹورنامنٹ کا اعلان کرنا</v>
      </c>
      <c r="O453" s="6" t="str">
        <f>IFERROR(__xludf.DUMMYFUNCTION("GOOGLETRANSLATE(E453,""en"",""ur"")"),"سیاسی جماعت کو پروموٹ کرنے کے لیے")</f>
        <v>سیاسی جماعت کو پروموٹ کرنے کے لیے</v>
      </c>
      <c r="P453" s="6" t="str">
        <f>IFERROR(__xludf.DUMMYFUNCTION("GOOGLETRANSLATE(F453,""en"",""ur"")"),"ایک پروڈکٹ بیچنے کے لیے")</f>
        <v>ایک پروڈکٹ بیچنے کے لیے</v>
      </c>
      <c r="Q453" s="6" t="s">
        <v>825</v>
      </c>
      <c r="R453" s="6" t="str">
        <f>IFERROR(__xludf.DUMMYFUNCTION("GOOGLETRANSLATE(G453,""en"",""ur"")"),"گلی ڈنڈا ٹورنامنٹ کا اعلان کرنا")</f>
        <v>گلی ڈنڈا ٹورنامنٹ کا اعلان کرنا</v>
      </c>
      <c r="S453" s="6" t="s">
        <v>812</v>
      </c>
      <c r="T453" s="6"/>
      <c r="U453" s="6"/>
      <c r="V453" s="6"/>
      <c r="W453" s="6"/>
      <c r="X453" s="6"/>
      <c r="Y453" s="6"/>
      <c r="Z453" s="6"/>
      <c r="AA453" s="6"/>
    </row>
    <row r="454">
      <c r="A454" s="7">
        <v>454.0</v>
      </c>
      <c r="B454" s="6" t="s">
        <v>826</v>
      </c>
      <c r="C454" s="6" t="s">
        <v>827</v>
      </c>
      <c r="D454" s="6" t="s">
        <v>828</v>
      </c>
      <c r="E454" s="6" t="s">
        <v>829</v>
      </c>
      <c r="F454" s="6" t="s">
        <v>830</v>
      </c>
      <c r="G454" s="6" t="s">
        <v>829</v>
      </c>
      <c r="H454" s="6" t="s">
        <v>812</v>
      </c>
      <c r="I454" s="6"/>
      <c r="J454" s="6"/>
      <c r="K454" s="7">
        <v>454.0</v>
      </c>
      <c r="L454" s="6" t="str">
        <f>IFERROR(__xludf.DUMMYFUNCTION("GOOGLETRANSLATE(B454,""en"",""ur"")"),"فلائر کا سب سے نمایاں رنگ کیا ہے؟")</f>
        <v>فلائر کا سب سے نمایاں رنگ کیا ہے؟</v>
      </c>
      <c r="M454" s="6"/>
      <c r="N454" s="8" t="str">
        <f>IFERROR(__xludf.DUMMYFUNCTION("GOOGLETRANSLATE(D454,""en"",""ur"")"),"سبز")</f>
        <v>سبز</v>
      </c>
      <c r="O454" s="6" t="str">
        <f>IFERROR(__xludf.DUMMYFUNCTION("GOOGLETRANSLATE(E454,""en"",""ur"")"),"نیلا")</f>
        <v>نیلا</v>
      </c>
      <c r="P454" s="6" t="str">
        <f>IFERROR(__xludf.DUMMYFUNCTION("GOOGLETRANSLATE(F454,""en"",""ur"")"),"پیلا")</f>
        <v>پیلا</v>
      </c>
      <c r="Q454" s="6" t="s">
        <v>831</v>
      </c>
      <c r="R454" s="6" t="str">
        <f>IFERROR(__xludf.DUMMYFUNCTION("GOOGLETRANSLATE(G454,""en"",""ur"")"),"نیلا")</f>
        <v>نیلا</v>
      </c>
      <c r="S454" s="6" t="s">
        <v>812</v>
      </c>
      <c r="T454" s="6"/>
      <c r="U454" s="6"/>
      <c r="V454" s="6"/>
      <c r="W454" s="6"/>
      <c r="X454" s="6"/>
      <c r="Y454" s="6"/>
      <c r="Z454" s="6"/>
      <c r="AA454" s="6"/>
    </row>
    <row r="455">
      <c r="A455" s="7">
        <v>455.0</v>
      </c>
      <c r="B455" s="6" t="s">
        <v>832</v>
      </c>
      <c r="C455" s="6" t="s">
        <v>95</v>
      </c>
      <c r="D455" s="6" t="s">
        <v>651</v>
      </c>
      <c r="E455" s="6" t="s">
        <v>652</v>
      </c>
      <c r="F455" s="6" t="s">
        <v>653</v>
      </c>
      <c r="G455" s="6" t="s">
        <v>652</v>
      </c>
      <c r="H455" s="6" t="s">
        <v>812</v>
      </c>
      <c r="I455" s="6"/>
      <c r="J455" s="6"/>
      <c r="K455" s="7">
        <v>455.0</v>
      </c>
      <c r="L455" s="6" t="str">
        <f>IFERROR(__xludf.DUMMYFUNCTION("GOOGLETRANSLATE(B455,""en"",""ur"")"),"اڑان سے منسلک کھیل کا کیا نام ہے؟")</f>
        <v>اڑان سے منسلک کھیل کا کیا نام ہے؟</v>
      </c>
      <c r="M455" s="6"/>
      <c r="N455" s="8" t="str">
        <f>IFERROR(__xludf.DUMMYFUNCTION("GOOGLETRANSLATE(D455,""en"",""ur"")"),"کرکٹ")</f>
        <v>کرکٹ</v>
      </c>
      <c r="O455" s="6" t="str">
        <f>IFERROR(__xludf.DUMMYFUNCTION("GOOGLETRANSLATE(E455,""en"",""ur"")"),"گلی ڈنڈا۔")</f>
        <v>گلی ڈنڈا۔</v>
      </c>
      <c r="P455" s="6" t="str">
        <f>IFERROR(__xludf.DUMMYFUNCTION("GOOGLETRANSLATE(F455,""en"",""ur"")"),"بیس بال")</f>
        <v>بیس بال</v>
      </c>
      <c r="Q455" s="6" t="s">
        <v>654</v>
      </c>
      <c r="R455" s="6" t="str">
        <f>IFERROR(__xludf.DUMMYFUNCTION("GOOGLETRANSLATE(G455,""en"",""ur"")"),"گلی ڈنڈا۔")</f>
        <v>گلی ڈنڈا۔</v>
      </c>
      <c r="S455" s="6" t="s">
        <v>812</v>
      </c>
      <c r="T455" s="6"/>
      <c r="U455" s="6"/>
      <c r="V455" s="6"/>
      <c r="W455" s="6"/>
      <c r="X455" s="6"/>
      <c r="Y455" s="6"/>
      <c r="Z455" s="6"/>
      <c r="AA455" s="6"/>
    </row>
    <row r="456">
      <c r="A456" s="7">
        <v>456.0</v>
      </c>
      <c r="B456" s="6" t="s">
        <v>833</v>
      </c>
      <c r="C456" s="6" t="s">
        <v>834</v>
      </c>
      <c r="D456" s="6" t="s">
        <v>835</v>
      </c>
      <c r="E456" s="6" t="s">
        <v>836</v>
      </c>
      <c r="F456" s="6" t="s">
        <v>837</v>
      </c>
      <c r="G456" s="6" t="s">
        <v>837</v>
      </c>
      <c r="H456" s="6" t="s">
        <v>812</v>
      </c>
      <c r="I456" s="6"/>
      <c r="J456" s="6"/>
      <c r="K456" s="7">
        <v>456.0</v>
      </c>
      <c r="L456" s="6" t="str">
        <f>IFERROR(__xludf.DUMMYFUNCTION("GOOGLETRANSLATE(B456,""en"",""ur"")"),"طیار بتاتا ہے کہ یہ کس قسم کی تنظیم میں کھیلا جانے والا کھیل ہے؟")</f>
        <v>طیار بتاتا ہے کہ یہ کس قسم کی تنظیم میں کھیلا جانے والا کھیل ہے؟</v>
      </c>
      <c r="M456" s="6"/>
      <c r="N456" s="8" t="str">
        <f>IFERROR(__xludf.DUMMYFUNCTION("GOOGLETRANSLATE(D456,""en"",""ur"")"),"ایک مقامی کلب")</f>
        <v>ایک مقامی کلب</v>
      </c>
      <c r="O456" s="6" t="str">
        <f>IFERROR(__xludf.DUMMYFUNCTION("GOOGLETRANSLATE(E456,""en"",""ur"")"),"ایک سکول")</f>
        <v>ایک سکول</v>
      </c>
      <c r="P456" s="6" t="str">
        <f>IFERROR(__xludf.DUMMYFUNCTION("GOOGLETRANSLATE(F456,""en"",""ur"")"),"ایک قومی کھیلوں اور کھیلوں کی ایسوسی ایشن")</f>
        <v>ایک قومی کھیلوں اور کھیلوں کی ایسوسی ایشن</v>
      </c>
      <c r="Q456" s="6" t="s">
        <v>838</v>
      </c>
      <c r="R456" s="6" t="str">
        <f>IFERROR(__xludf.DUMMYFUNCTION("GOOGLETRANSLATE(G456,""en"",""ur"")"),"ایک قومی کھیلوں اور کھیلوں کی ایسوسی ایشن")</f>
        <v>ایک قومی کھیلوں اور کھیلوں کی ایسوسی ایشن</v>
      </c>
      <c r="S456" s="6" t="s">
        <v>812</v>
      </c>
      <c r="T456" s="6"/>
      <c r="U456" s="6"/>
      <c r="V456" s="6"/>
      <c r="W456" s="6"/>
      <c r="X456" s="6"/>
      <c r="Y456" s="6"/>
      <c r="Z456" s="6"/>
      <c r="AA456" s="6"/>
    </row>
    <row r="457">
      <c r="A457" s="7">
        <v>457.0</v>
      </c>
      <c r="B457" s="6" t="s">
        <v>814</v>
      </c>
      <c r="C457" s="6" t="s">
        <v>839</v>
      </c>
      <c r="D457" s="6" t="s">
        <v>840</v>
      </c>
      <c r="E457" s="6" t="s">
        <v>841</v>
      </c>
      <c r="F457" s="6" t="s">
        <v>842</v>
      </c>
      <c r="G457" s="6" t="s">
        <v>842</v>
      </c>
      <c r="H457" s="6" t="s">
        <v>812</v>
      </c>
      <c r="I457" s="6"/>
      <c r="J457" s="6"/>
      <c r="K457" s="7">
        <v>457.0</v>
      </c>
      <c r="L457" s="6" t="str">
        <f>IFERROR(__xludf.DUMMYFUNCTION("GOOGLETRANSLATE(B457,""en"",""ur"")"),"فلائر پر متن کے بارے میں ایک قابل ذکر تفصیل کیا ہے؟")</f>
        <v>فلائر پر متن کے بارے میں ایک قابل ذکر تفصیل کیا ہے؟</v>
      </c>
      <c r="M457" s="6"/>
      <c r="N457" s="8" t="str">
        <f>IFERROR(__xludf.DUMMYFUNCTION("GOOGLETRANSLATE(D457,""en"",""ur"")"),"یہ ایک چوک میں ہے۔")</f>
        <v>یہ ایک چوک میں ہے۔</v>
      </c>
      <c r="O457" s="6" t="str">
        <f>IFERROR(__xludf.DUMMYFUNCTION("GOOGLETRANSLATE(E457,""en"",""ur"")"),"یہ ایک مستطیل میں ہے۔")</f>
        <v>یہ ایک مستطیل میں ہے۔</v>
      </c>
      <c r="P457" s="6" t="str">
        <f>IFERROR(__xludf.DUMMYFUNCTION("GOOGLETRANSLATE(F457,""en"",""ur"")"),"یہ ایک بینر میں ہے۔")</f>
        <v>یہ ایک بینر میں ہے۔</v>
      </c>
      <c r="Q457" s="6" t="s">
        <v>843</v>
      </c>
      <c r="R457" s="6" t="str">
        <f>IFERROR(__xludf.DUMMYFUNCTION("GOOGLETRANSLATE(G457,""en"",""ur"")"),"یہ ایک بینر میں ہے۔")</f>
        <v>یہ ایک بینر میں ہے۔</v>
      </c>
      <c r="S457" s="6" t="s">
        <v>812</v>
      </c>
      <c r="T457" s="6"/>
      <c r="U457" s="6"/>
      <c r="V457" s="6"/>
      <c r="W457" s="6"/>
      <c r="X457" s="6"/>
      <c r="Y457" s="6"/>
      <c r="Z457" s="6"/>
      <c r="AA457" s="6"/>
    </row>
    <row r="458">
      <c r="A458" s="7">
        <v>458.0</v>
      </c>
      <c r="B458" s="6" t="s">
        <v>754</v>
      </c>
      <c r="C458" s="6" t="s">
        <v>755</v>
      </c>
      <c r="D458" s="6" t="s">
        <v>756</v>
      </c>
      <c r="E458" s="6" t="s">
        <v>757</v>
      </c>
      <c r="F458" s="6" t="s">
        <v>758</v>
      </c>
      <c r="G458" s="6" t="s">
        <v>755</v>
      </c>
      <c r="H458" s="6" t="s">
        <v>812</v>
      </c>
      <c r="I458" s="6"/>
      <c r="J458" s="6"/>
      <c r="K458" s="7">
        <v>458.0</v>
      </c>
      <c r="L458" s="6" t="str">
        <f>IFERROR(__xludf.DUMMYFUNCTION("GOOGLETRANSLATE(B458,""en"",""ur"")"),"کھیل کا بنیادی مقصد کیا ہے؟")</f>
        <v>کھیل کا بنیادی مقصد کیا ہے؟</v>
      </c>
      <c r="M458" s="6"/>
      <c r="N458" s="8" t="str">
        <f>IFERROR(__xludf.DUMMYFUNCTION("GOOGLETRANSLATE(D458,""en"",""ur"")"),"گلی کو گول میں مارنا")</f>
        <v>گلی کو گول میں مارنا</v>
      </c>
      <c r="O458" s="6" t="str">
        <f>IFERROR(__xludf.DUMMYFUNCTION("GOOGLETRANSLATE(E458,""en"",""ur"")"),"گیلی کو مخالف پر مارنا")</f>
        <v>گیلی کو مخالف پر مارنا</v>
      </c>
      <c r="P458" s="6" t="str">
        <f>IFERROR(__xludf.DUMMYFUNCTION("GOOGLETRANSLATE(F458,""en"",""ur"")"),"گلی کو جال میں مارنا")</f>
        <v>گلی کو جال میں مارنا</v>
      </c>
      <c r="Q458" s="6" t="s">
        <v>759</v>
      </c>
      <c r="R458" s="6" t="str">
        <f>IFERROR(__xludf.DUMMYFUNCTION("GOOGLETRANSLATE(G458,""en"",""ur"")"),"جہاں تک ممکن ہو گلی کو مار کر پوائنٹس حاصل کرنا")</f>
        <v>جہاں تک ممکن ہو گلی کو مار کر پوائنٹس حاصل کرنا</v>
      </c>
      <c r="S458" s="6" t="s">
        <v>812</v>
      </c>
      <c r="T458" s="6"/>
      <c r="U458" s="6"/>
      <c r="V458" s="6"/>
      <c r="W458" s="6"/>
      <c r="X458" s="6"/>
      <c r="Y458" s="6"/>
      <c r="Z458" s="6"/>
      <c r="AA458" s="6"/>
    </row>
    <row r="459">
      <c r="A459" s="7">
        <v>459.0</v>
      </c>
      <c r="B459" s="6" t="s">
        <v>844</v>
      </c>
      <c r="C459" s="6" t="s">
        <v>845</v>
      </c>
      <c r="D459" s="6" t="s">
        <v>846</v>
      </c>
      <c r="E459" s="6" t="s">
        <v>847</v>
      </c>
      <c r="F459" s="6" t="s">
        <v>848</v>
      </c>
      <c r="G459" s="6" t="s">
        <v>845</v>
      </c>
      <c r="H459" s="6" t="s">
        <v>812</v>
      </c>
      <c r="I459" s="6"/>
      <c r="J459" s="6"/>
      <c r="K459" s="7">
        <v>459.0</v>
      </c>
      <c r="L459" s="6" t="str">
        <f>IFERROR(__xludf.DUMMYFUNCTION("GOOGLETRANSLATE(B459,""en"",""ur"")"),"تصویر کے بارے میں ایک قابل ذکر تفصیل کیا ہے؟")</f>
        <v>تصویر کے بارے میں ایک قابل ذکر تفصیل کیا ہے؟</v>
      </c>
      <c r="M459" s="6"/>
      <c r="N459" s="8" t="str">
        <f>IFERROR(__xludf.DUMMYFUNCTION("GOOGLETRANSLATE(D459,""en"",""ur"")"),"یہ ایک تصویر ہے۔")</f>
        <v>یہ ایک تصویر ہے۔</v>
      </c>
      <c r="O459" s="6" t="str">
        <f>IFERROR(__xludf.DUMMYFUNCTION("GOOGLETRANSLATE(E459,""en"",""ur"")"),"یہ ایک پینٹنگ ہے۔")</f>
        <v>یہ ایک پینٹنگ ہے۔</v>
      </c>
      <c r="P459" s="6" t="str">
        <f>IFERROR(__xludf.DUMMYFUNCTION("GOOGLETRANSLATE(F459,""en"",""ur"")"),"یہ ایک مجسمہ ہے۔")</f>
        <v>یہ ایک مجسمہ ہے۔</v>
      </c>
      <c r="Q459" s="6" t="s">
        <v>849</v>
      </c>
      <c r="R459" s="6" t="str">
        <f>IFERROR(__xludf.DUMMYFUNCTION("GOOGLETRANSLATE(G459,""en"",""ur"")"),"یہ ایک کارٹون ہے۔")</f>
        <v>یہ ایک کارٹون ہے۔</v>
      </c>
      <c r="S459" s="6" t="s">
        <v>812</v>
      </c>
      <c r="T459" s="6"/>
      <c r="U459" s="6"/>
      <c r="V459" s="6"/>
      <c r="W459" s="6"/>
      <c r="X459" s="6"/>
      <c r="Y459" s="6"/>
      <c r="Z459" s="6"/>
      <c r="AA459" s="6"/>
    </row>
    <row r="460">
      <c r="A460" s="7">
        <v>460.0</v>
      </c>
      <c r="B460" s="6" t="s">
        <v>850</v>
      </c>
      <c r="C460" s="6" t="s">
        <v>261</v>
      </c>
      <c r="D460" s="6" t="s">
        <v>262</v>
      </c>
      <c r="E460" s="6" t="s">
        <v>263</v>
      </c>
      <c r="F460" s="6" t="s">
        <v>655</v>
      </c>
      <c r="G460" s="6" t="s">
        <v>655</v>
      </c>
      <c r="H460" s="6" t="s">
        <v>812</v>
      </c>
      <c r="I460" s="6"/>
      <c r="J460" s="6"/>
      <c r="K460" s="7">
        <v>460.0</v>
      </c>
      <c r="L460" s="6" t="str">
        <f>IFERROR(__xludf.DUMMYFUNCTION("GOOGLETRANSLATE(B460,""en"",""ur"")"),"اڑانے والا تجویز کرتا ہے کہ یہ ایک کھیل ہے جو...")</f>
        <v>اڑانے والا تجویز کرتا ہے کہ یہ ایک کھیل ہے جو...</v>
      </c>
      <c r="M460" s="6"/>
      <c r="N460" s="8" t="str">
        <f>IFERROR(__xludf.DUMMYFUNCTION("GOOGLETRANSLATE(D460,""en"",""ur"")"),"زمینی لڑائی اور گرفت")</f>
        <v>زمینی لڑائی اور گرفت</v>
      </c>
      <c r="O460" s="6" t="str">
        <f>IFERROR(__xludf.DUMMYFUNCTION("GOOGLETRANSLATE(E460,""en"",""ur"")"),"وحشیانہ قوت اور گھڑ سواری۔")</f>
        <v>وحشیانہ قوت اور گھڑ سواری۔</v>
      </c>
      <c r="P460" s="6" t="str">
        <f>IFERROR(__xludf.DUMMYFUNCTION("GOOGLETRANSLATE(F460,""en"",""ur"")"),"ہاتھ سے آنکھ کو آرڈینیشن اور حیرت انگیز")</f>
        <v>ہاتھ سے آنکھ کو آرڈینیشن اور حیرت انگیز</v>
      </c>
      <c r="Q460" s="6" t="s">
        <v>656</v>
      </c>
      <c r="R460" s="6" t="str">
        <f>IFERROR(__xludf.DUMMYFUNCTION("GOOGLETRANSLATE(G460,""en"",""ur"")"),"ہاتھ سے آنکھ کو آرڈینیشن اور حیرت انگیز")</f>
        <v>ہاتھ سے آنکھ کو آرڈینیشن اور حیرت انگیز</v>
      </c>
      <c r="S460" s="6" t="s">
        <v>812</v>
      </c>
      <c r="T460" s="6"/>
      <c r="U460" s="6"/>
      <c r="V460" s="6"/>
      <c r="W460" s="6"/>
      <c r="X460" s="6"/>
      <c r="Y460" s="6"/>
      <c r="Z460" s="6"/>
      <c r="AA460" s="6"/>
    </row>
    <row r="461">
      <c r="A461" s="7">
        <v>461.0</v>
      </c>
      <c r="B461" s="6" t="s">
        <v>874</v>
      </c>
      <c r="C461" s="6" t="s">
        <v>690</v>
      </c>
      <c r="D461" s="6" t="s">
        <v>727</v>
      </c>
      <c r="E461" s="6" t="s">
        <v>633</v>
      </c>
      <c r="F461" s="6" t="s">
        <v>634</v>
      </c>
      <c r="G461" s="6" t="s">
        <v>727</v>
      </c>
      <c r="H461" s="6" t="s">
        <v>875</v>
      </c>
      <c r="I461" s="6"/>
      <c r="J461" s="6"/>
      <c r="K461" s="7">
        <v>461.0</v>
      </c>
      <c r="L461" s="6" t="str">
        <f>IFERROR(__xludf.DUMMYFUNCTION("GOOGLETRANSLATE(B461,""en"",""ur"")"),"گلی_ڈنڈا_48 میں دکھایا گیا اصل عمل کیا ہے؟")</f>
        <v>گلی_ڈنڈا_48 میں دکھایا گیا اصل عمل کیا ہے؟</v>
      </c>
      <c r="M461" s="6"/>
      <c r="N461" s="8" t="str">
        <f>IFERROR(__xludf.DUMMYFUNCTION("GOOGLETRANSLATE(D461,""en"",""ur"")"),"کھیل کے دو ٹکڑوں کا قریبی اپ")</f>
        <v>کھیل کے دو ٹکڑوں کا قریبی اپ</v>
      </c>
      <c r="O461" s="6" t="str">
        <f>IFERROR(__xludf.DUMMYFUNCTION("GOOGLETRANSLATE(E461,""en"",""ur"")"),"ایک کھلاڑی گیند کی خدمت کر رہا ہے۔")</f>
        <v>ایک کھلاڑی گیند کی خدمت کر رہا ہے۔</v>
      </c>
      <c r="P461" s="6" t="str">
        <f>IFERROR(__xludf.DUMMYFUNCTION("GOOGLETRANSLATE(F461,""en"",""ur"")"),"ایک کھلاڑی دفاعی بلاک کا مظاہرہ کر رہا ہے۔")</f>
        <v>ایک کھلاڑی دفاعی بلاک کا مظاہرہ کر رہا ہے۔</v>
      </c>
      <c r="Q461" s="6" t="s">
        <v>729</v>
      </c>
      <c r="R461" s="6" t="str">
        <f>IFERROR(__xludf.DUMMYFUNCTION("GOOGLETRANSLATE(G461,""en"",""ur"")"),"کھیل کے دو ٹکڑوں کا قریبی اپ")</f>
        <v>کھیل کے دو ٹکڑوں کا قریبی اپ</v>
      </c>
      <c r="S461" s="6" t="s">
        <v>875</v>
      </c>
      <c r="T461" s="6"/>
      <c r="U461" s="6"/>
      <c r="V461" s="6"/>
      <c r="W461" s="6"/>
      <c r="X461" s="6"/>
      <c r="Y461" s="6"/>
      <c r="Z461" s="6"/>
      <c r="AA461" s="6"/>
    </row>
    <row r="462">
      <c r="A462" s="7">
        <v>462.0</v>
      </c>
      <c r="B462" s="6" t="s">
        <v>730</v>
      </c>
      <c r="C462" s="6" t="s">
        <v>637</v>
      </c>
      <c r="D462" s="6" t="s">
        <v>638</v>
      </c>
      <c r="E462" s="6" t="s">
        <v>639</v>
      </c>
      <c r="F462" s="6" t="s">
        <v>640</v>
      </c>
      <c r="G462" s="6" t="s">
        <v>638</v>
      </c>
      <c r="H462" s="6" t="s">
        <v>875</v>
      </c>
      <c r="I462" s="6"/>
      <c r="J462" s="6"/>
      <c r="K462" s="7">
        <v>462.0</v>
      </c>
      <c r="L462" s="6" t="str">
        <f>IFERROR(__xludf.DUMMYFUNCTION("GOOGLETRANSLATE(B462,""en"",""ur"")"),"سامان کے دو ٹکڑے کیا دکھائے گئے ہیں؟")</f>
        <v>سامان کے دو ٹکڑے کیا دکھائے گئے ہیں؟</v>
      </c>
      <c r="M462" s="6"/>
      <c r="N462" s="8" t="str">
        <f>IFERROR(__xludf.DUMMYFUNCTION("GOOGLETRANSLATE(D462,""en"",""ur"")"),"ایک لمبی چھڑی (ڈنڈا) اور ایک چھوٹی چھڑی (گلی)")</f>
        <v>ایک لمبی چھڑی (ڈنڈا) اور ایک چھوٹی چھڑی (گلی)</v>
      </c>
      <c r="O462" s="6" t="str">
        <f>IFERROR(__xludf.DUMMYFUNCTION("GOOGLETRANSLATE(E462,""en"",""ur"")"),"ایک ریکیٹ اور ایک شٹل کاک")</f>
        <v>ایک ریکیٹ اور ایک شٹل کاک</v>
      </c>
      <c r="P462" s="6" t="str">
        <f>IFERROR(__xludf.DUMMYFUNCTION("GOOGLETRANSLATE(F462,""en"",""ur"")"),"ایک چمگادڑ اور ایک دستانہ")</f>
        <v>ایک چمگادڑ اور ایک دستانہ</v>
      </c>
      <c r="Q462" s="6" t="s">
        <v>641</v>
      </c>
      <c r="R462" s="6" t="str">
        <f>IFERROR(__xludf.DUMMYFUNCTION("GOOGLETRANSLATE(G462,""en"",""ur"")"),"ایک لمبی چھڑی (ڈنڈا) اور ایک چھوٹی چھڑی (گلی)")</f>
        <v>ایک لمبی چھڑی (ڈنڈا) اور ایک چھوٹی چھڑی (گلی)</v>
      </c>
      <c r="S462" s="6" t="s">
        <v>875</v>
      </c>
      <c r="T462" s="6"/>
      <c r="U462" s="6"/>
      <c r="V462" s="6"/>
      <c r="W462" s="6"/>
      <c r="X462" s="6"/>
      <c r="Y462" s="6"/>
      <c r="Z462" s="6"/>
      <c r="AA462" s="6"/>
    </row>
    <row r="463">
      <c r="A463" s="7">
        <v>463.0</v>
      </c>
      <c r="B463" s="6" t="s">
        <v>731</v>
      </c>
      <c r="C463" s="6" t="s">
        <v>732</v>
      </c>
      <c r="D463" s="6" t="s">
        <v>733</v>
      </c>
      <c r="E463" s="6" t="s">
        <v>734</v>
      </c>
      <c r="F463" s="6" t="s">
        <v>735</v>
      </c>
      <c r="G463" s="6" t="s">
        <v>733</v>
      </c>
      <c r="H463" s="6" t="s">
        <v>875</v>
      </c>
      <c r="I463" s="6"/>
      <c r="J463" s="6"/>
      <c r="K463" s="7">
        <v>463.0</v>
      </c>
      <c r="L463" s="6" t="str">
        <f>IFERROR(__xludf.DUMMYFUNCTION("GOOGLETRANSLATE(B463,""en"",""ur"")"),"مختصر چھڑی (گلی) کے بارے میں ایک قابل ذکر تفصیل کیا ہے؟")</f>
        <v>مختصر چھڑی (گلی) کے بارے میں ایک قابل ذکر تفصیل کیا ہے؟</v>
      </c>
      <c r="M463" s="6"/>
      <c r="N463" s="8" t="str">
        <f>IFERROR(__xludf.DUMMYFUNCTION("GOOGLETRANSLATE(D463,""en"",""ur"")"),"اس کے نوک دار یا مخروطی سرے ہوتے ہیں۔")</f>
        <v>اس کے نوک دار یا مخروطی سرے ہوتے ہیں۔</v>
      </c>
      <c r="O463" s="6" t="str">
        <f>IFERROR(__xludf.DUMMYFUNCTION("GOOGLETRANSLATE(E463,""en"",""ur"")"),"یہ ایک لمبی، پتلی چھڑی ہے۔")</f>
        <v>یہ ایک لمبی، پتلی چھڑی ہے۔</v>
      </c>
      <c r="P463" s="6" t="str">
        <f>IFERROR(__xludf.DUMMYFUNCTION("GOOGLETRANSLATE(F463,""en"",""ur"")"),"یہ ایک فلیٹ ڈسک ہے۔")</f>
        <v>یہ ایک فلیٹ ڈسک ہے۔</v>
      </c>
      <c r="Q463" s="6" t="s">
        <v>736</v>
      </c>
      <c r="R463" s="6" t="str">
        <f>IFERROR(__xludf.DUMMYFUNCTION("GOOGLETRANSLATE(G463,""en"",""ur"")"),"اس کے نوک دار یا مخروطی سرے ہوتے ہیں۔")</f>
        <v>اس کے نوک دار یا مخروطی سرے ہوتے ہیں۔</v>
      </c>
      <c r="S463" s="6" t="s">
        <v>875</v>
      </c>
      <c r="T463" s="6"/>
      <c r="U463" s="6"/>
      <c r="V463" s="6"/>
      <c r="W463" s="6"/>
      <c r="X463" s="6"/>
      <c r="Y463" s="6"/>
      <c r="Z463" s="6"/>
      <c r="AA463" s="6"/>
    </row>
    <row r="464">
      <c r="A464" s="7">
        <v>464.0</v>
      </c>
      <c r="B464" s="6" t="s">
        <v>737</v>
      </c>
      <c r="C464" s="6" t="s">
        <v>738</v>
      </c>
      <c r="D464" s="6" t="s">
        <v>739</v>
      </c>
      <c r="E464" s="6" t="s">
        <v>740</v>
      </c>
      <c r="F464" s="6" t="s">
        <v>741</v>
      </c>
      <c r="G464" s="6" t="s">
        <v>739</v>
      </c>
      <c r="H464" s="6" t="s">
        <v>875</v>
      </c>
      <c r="I464" s="6"/>
      <c r="J464" s="6"/>
      <c r="K464" s="7">
        <v>464.0</v>
      </c>
      <c r="L464" s="6" t="str">
        <f>IFERROR(__xludf.DUMMYFUNCTION("GOOGLETRANSLATE(B464,""en"",""ur"")"),"گلی کے نوکیلے سروں کا ظاہری مقصد کیا ہے؟")</f>
        <v>گلی کے نوکیلے سروں کا ظاہری مقصد کیا ہے؟</v>
      </c>
      <c r="M464" s="6"/>
      <c r="N464" s="8" t="str">
        <f>IFERROR(__xludf.DUMMYFUNCTION("GOOGLETRANSLATE(D464,""en"",""ur"")"),"تاکہ اسے مارنا آسان ہو اور اسے ہوا میں چھلانگ لگانا")</f>
        <v>تاکہ اسے مارنا آسان ہو اور اسے ہوا میں چھلانگ لگانا</v>
      </c>
      <c r="O464" s="6" t="str">
        <f>IFERROR(__xludf.DUMMYFUNCTION("GOOGLETRANSLATE(E464,""en"",""ur"")"),"تاکہ اسے پکڑنا مشکل ہو جائے۔")</f>
        <v>تاکہ اسے پکڑنا مشکل ہو جائے۔</v>
      </c>
      <c r="P464" s="6" t="str">
        <f>IFERROR(__xludf.DUMMYFUNCTION("GOOGLETRANSLATE(F464,""en"",""ur"")"),"اسے بھاری بنانے کے لیے")</f>
        <v>اسے بھاری بنانے کے لیے</v>
      </c>
      <c r="Q464" s="6" t="s">
        <v>742</v>
      </c>
      <c r="R464" s="6" t="str">
        <f>IFERROR(__xludf.DUMMYFUNCTION("GOOGLETRANSLATE(G464,""en"",""ur"")"),"تاکہ اسے مارنا آسان ہو اور اسے ہوا میں چھلانگ لگانا")</f>
        <v>تاکہ اسے مارنا آسان ہو اور اسے ہوا میں چھلانگ لگانا</v>
      </c>
      <c r="S464" s="6" t="s">
        <v>875</v>
      </c>
      <c r="T464" s="6"/>
      <c r="U464" s="6"/>
      <c r="V464" s="6"/>
      <c r="W464" s="6"/>
      <c r="X464" s="6"/>
      <c r="Y464" s="6"/>
      <c r="Z464" s="6"/>
      <c r="AA464" s="6"/>
    </row>
    <row r="465">
      <c r="A465" s="7">
        <v>465.0</v>
      </c>
      <c r="B465" s="6" t="s">
        <v>743</v>
      </c>
      <c r="C465" s="6" t="s">
        <v>744</v>
      </c>
      <c r="D465" s="6" t="s">
        <v>745</v>
      </c>
      <c r="E465" s="6" t="s">
        <v>19</v>
      </c>
      <c r="F465" s="6" t="s">
        <v>746</v>
      </c>
      <c r="G465" s="6" t="s">
        <v>745</v>
      </c>
      <c r="H465" s="6" t="s">
        <v>875</v>
      </c>
      <c r="I465" s="6"/>
      <c r="J465" s="6"/>
      <c r="K465" s="7">
        <v>465.0</v>
      </c>
      <c r="L465" s="6" t="str">
        <f>IFERROR(__xludf.DUMMYFUNCTION("GOOGLETRANSLATE(B465,""en"",""ur"")"),"لاٹھیوں کی سب سے نمایاں خصوصیت کیا ہے؟")</f>
        <v>لاٹھیوں کی سب سے نمایاں خصوصیت کیا ہے؟</v>
      </c>
      <c r="M465" s="6"/>
      <c r="N465" s="8" t="str">
        <f>IFERROR(__xludf.DUMMYFUNCTION("GOOGLETRANSLATE(D465,""en"",""ur"")"),"وہ لکڑی سے بنے ہیں۔")</f>
        <v>وہ لکڑی سے بنے ہیں۔</v>
      </c>
      <c r="O465" s="6" t="str">
        <f>IFERROR(__xludf.DUMMYFUNCTION("GOOGLETRANSLATE(E465,""en"",""ur"")"),"وہ پلاسٹک سے بنے ہیں۔")</f>
        <v>وہ پلاسٹک سے بنے ہیں۔</v>
      </c>
      <c r="P465" s="6" t="str">
        <f>IFERROR(__xludf.DUMMYFUNCTION("GOOGLETRANSLATE(F465,""en"",""ur"")"),"وہ شیشے سے بنے ہیں۔")</f>
        <v>وہ شیشے سے بنے ہیں۔</v>
      </c>
      <c r="Q465" s="6" t="s">
        <v>747</v>
      </c>
      <c r="R465" s="6" t="str">
        <f>IFERROR(__xludf.DUMMYFUNCTION("GOOGLETRANSLATE(G465,""en"",""ur"")"),"وہ لکڑی سے بنے ہیں۔")</f>
        <v>وہ لکڑی سے بنے ہیں۔</v>
      </c>
      <c r="S465" s="6" t="s">
        <v>875</v>
      </c>
      <c r="T465" s="6"/>
      <c r="U465" s="6"/>
      <c r="V465" s="6"/>
      <c r="W465" s="6"/>
      <c r="X465" s="6"/>
      <c r="Y465" s="6"/>
      <c r="Z465" s="6"/>
      <c r="AA465" s="6"/>
    </row>
    <row r="466">
      <c r="A466" s="7">
        <v>466.0</v>
      </c>
      <c r="B466" s="6" t="s">
        <v>94</v>
      </c>
      <c r="C466" s="6" t="s">
        <v>95</v>
      </c>
      <c r="D466" s="6" t="s">
        <v>651</v>
      </c>
      <c r="E466" s="6" t="s">
        <v>652</v>
      </c>
      <c r="F466" s="6" t="s">
        <v>653</v>
      </c>
      <c r="G466" s="6" t="s">
        <v>652</v>
      </c>
      <c r="H466" s="6" t="s">
        <v>875</v>
      </c>
      <c r="I466" s="6"/>
      <c r="J466" s="6"/>
      <c r="K466" s="7">
        <v>466.0</v>
      </c>
      <c r="L466" s="6" t="str">
        <f>IFERROR(__xludf.DUMMYFUNCTION("GOOGLETRANSLATE(B466,""en"",""ur"")"),"کھیلے جانے والے کھیل کا نام کیا ہے؟")</f>
        <v>کھیلے جانے والے کھیل کا نام کیا ہے؟</v>
      </c>
      <c r="M466" s="6"/>
      <c r="N466" s="8" t="str">
        <f>IFERROR(__xludf.DUMMYFUNCTION("GOOGLETRANSLATE(D466,""en"",""ur"")"),"کرکٹ")</f>
        <v>کرکٹ</v>
      </c>
      <c r="O466" s="6" t="str">
        <f>IFERROR(__xludf.DUMMYFUNCTION("GOOGLETRANSLATE(E466,""en"",""ur"")"),"گلی ڈنڈا۔")</f>
        <v>گلی ڈنڈا۔</v>
      </c>
      <c r="P466" s="6" t="str">
        <f>IFERROR(__xludf.DUMMYFUNCTION("GOOGLETRANSLATE(F466,""en"",""ur"")"),"بیس بال")</f>
        <v>بیس بال</v>
      </c>
      <c r="Q466" s="6" t="s">
        <v>654</v>
      </c>
      <c r="R466" s="6" t="str">
        <f>IFERROR(__xludf.DUMMYFUNCTION("GOOGLETRANSLATE(G466,""en"",""ur"")"),"گلی ڈنڈا۔")</f>
        <v>گلی ڈنڈا۔</v>
      </c>
      <c r="S466" s="6" t="s">
        <v>875</v>
      </c>
      <c r="T466" s="6"/>
      <c r="U466" s="6"/>
      <c r="V466" s="6"/>
      <c r="W466" s="6"/>
      <c r="X466" s="6"/>
      <c r="Y466" s="6"/>
      <c r="Z466" s="6"/>
      <c r="AA466" s="6"/>
    </row>
    <row r="467">
      <c r="A467" s="7">
        <v>467.0</v>
      </c>
      <c r="B467" s="6" t="s">
        <v>890</v>
      </c>
      <c r="C467" s="6" t="s">
        <v>891</v>
      </c>
      <c r="D467" s="6" t="s">
        <v>892</v>
      </c>
      <c r="E467" s="6" t="s">
        <v>893</v>
      </c>
      <c r="F467" s="6" t="s">
        <v>894</v>
      </c>
      <c r="G467" s="6" t="s">
        <v>893</v>
      </c>
      <c r="H467" s="6" t="s">
        <v>875</v>
      </c>
      <c r="I467" s="6"/>
      <c r="J467" s="6"/>
      <c r="K467" s="7">
        <v>467.0</v>
      </c>
      <c r="L467" s="6" t="str">
        <f>IFERROR(__xludf.DUMMYFUNCTION("GOOGLETRANSLATE(B467,""en"",""ur"")"),"لاٹھیوں کا رنگ اور ساخت بتاتی ہے کہ وہ...")</f>
        <v>لاٹھیوں کا رنگ اور ساخت بتاتی ہے کہ وہ...</v>
      </c>
      <c r="M467" s="6"/>
      <c r="N467" s="8" t="str">
        <f>IFERROR(__xludf.DUMMYFUNCTION("GOOGLETRANSLATE(D467,""en"",""ur"")"),"پرانا اور استعمال سے پہنا ہوا ہے۔")</f>
        <v>پرانا اور استعمال سے پہنا ہوا ہے۔</v>
      </c>
      <c r="O467" s="6" t="str">
        <f>IFERROR(__xludf.DUMMYFUNCTION("GOOGLETRANSLATE(E467,""en"",""ur"")"),"پینٹ اور پالش")</f>
        <v>پینٹ اور پالش</v>
      </c>
      <c r="P467" s="6" t="str">
        <f>IFERROR(__xludf.DUMMYFUNCTION("GOOGLETRANSLATE(F467,""en"",""ur"")"),"بانس سے بنا")</f>
        <v>بانس سے بنا</v>
      </c>
      <c r="Q467" s="6" t="s">
        <v>895</v>
      </c>
      <c r="R467" s="6" t="str">
        <f>IFERROR(__xludf.DUMMYFUNCTION("GOOGLETRANSLATE(G467,""en"",""ur"")"),"پینٹ اور پالش")</f>
        <v>پینٹ اور پالش</v>
      </c>
      <c r="S467" s="6" t="s">
        <v>875</v>
      </c>
      <c r="T467" s="6"/>
      <c r="U467" s="6"/>
      <c r="V467" s="6"/>
      <c r="W467" s="6"/>
      <c r="X467" s="6"/>
      <c r="Y467" s="6"/>
      <c r="Z467" s="6"/>
      <c r="AA467" s="6"/>
    </row>
    <row r="468">
      <c r="A468" s="7">
        <v>468.0</v>
      </c>
      <c r="B468" s="6" t="s">
        <v>748</v>
      </c>
      <c r="C468" s="6" t="s">
        <v>749</v>
      </c>
      <c r="D468" s="6" t="s">
        <v>750</v>
      </c>
      <c r="E468" s="6" t="s">
        <v>751</v>
      </c>
      <c r="F468" s="6" t="s">
        <v>752</v>
      </c>
      <c r="G468" s="6" t="s">
        <v>749</v>
      </c>
      <c r="H468" s="6" t="s">
        <v>875</v>
      </c>
      <c r="I468" s="6"/>
      <c r="J468" s="6"/>
      <c r="K468" s="7">
        <v>468.0</v>
      </c>
      <c r="L468" s="6" t="str">
        <f>IFERROR(__xludf.DUMMYFUNCTION("GOOGLETRANSLATE(B468,""en"",""ur"")"),"لاٹھیوں کی حالت کے بارے میں ایک قابل ذکر تفصیل کیا ہے؟")</f>
        <v>لاٹھیوں کی حالت کے بارے میں ایک قابل ذکر تفصیل کیا ہے؟</v>
      </c>
      <c r="M468" s="6"/>
      <c r="N468" s="8" t="str">
        <f>IFERROR(__xludf.DUMMYFUNCTION("GOOGLETRANSLATE(D468,""en"",""ur"")"),"وہ پرانے ہیں اور استعمال سے پہنے ہوئے ہیں۔")</f>
        <v>وہ پرانے ہیں اور استعمال سے پہنے ہوئے ہیں۔</v>
      </c>
      <c r="O468" s="6" t="str">
        <f>IFERROR(__xludf.DUMMYFUNCTION("GOOGLETRANSLATE(E468,""en"",""ur"")"),"وہ بہت مختصر ہیں۔")</f>
        <v>وہ بہت مختصر ہیں۔</v>
      </c>
      <c r="P468" s="6" t="str">
        <f>IFERROR(__xludf.DUMMYFUNCTION("GOOGLETRANSLATE(F468,""en"",""ur"")"),"وہ بہت لمبے ہیں۔")</f>
        <v>وہ بہت لمبے ہیں۔</v>
      </c>
      <c r="Q468" s="6" t="s">
        <v>753</v>
      </c>
      <c r="R468" s="6" t="str">
        <f>IFERROR(__xludf.DUMMYFUNCTION("GOOGLETRANSLATE(G468,""en"",""ur"")"),"وہ بالکل نئے ہیں۔")</f>
        <v>وہ بالکل نئے ہیں۔</v>
      </c>
      <c r="S468" s="6" t="s">
        <v>875</v>
      </c>
      <c r="T468" s="6"/>
      <c r="U468" s="6"/>
      <c r="V468" s="6"/>
      <c r="W468" s="6"/>
      <c r="X468" s="6"/>
      <c r="Y468" s="6"/>
      <c r="Z468" s="6"/>
      <c r="AA468" s="6"/>
    </row>
    <row r="469">
      <c r="A469" s="7">
        <v>469.0</v>
      </c>
      <c r="B469" s="6" t="s">
        <v>754</v>
      </c>
      <c r="C469" s="6" t="s">
        <v>755</v>
      </c>
      <c r="D469" s="6" t="s">
        <v>756</v>
      </c>
      <c r="E469" s="6" t="s">
        <v>757</v>
      </c>
      <c r="F469" s="6" t="s">
        <v>758</v>
      </c>
      <c r="G469" s="6" t="s">
        <v>755</v>
      </c>
      <c r="H469" s="6" t="s">
        <v>875</v>
      </c>
      <c r="I469" s="6"/>
      <c r="J469" s="6"/>
      <c r="K469" s="7">
        <v>469.0</v>
      </c>
      <c r="L469" s="6" t="str">
        <f>IFERROR(__xludf.DUMMYFUNCTION("GOOGLETRANSLATE(B469,""en"",""ur"")"),"کھیل کا بنیادی مقصد کیا ہے؟")</f>
        <v>کھیل کا بنیادی مقصد کیا ہے؟</v>
      </c>
      <c r="M469" s="6"/>
      <c r="N469" s="8" t="str">
        <f>IFERROR(__xludf.DUMMYFUNCTION("GOOGLETRANSLATE(D469,""en"",""ur"")"),"گلی کو گول میں مارنا")</f>
        <v>گلی کو گول میں مارنا</v>
      </c>
      <c r="O469" s="6" t="str">
        <f>IFERROR(__xludf.DUMMYFUNCTION("GOOGLETRANSLATE(E469,""en"",""ur"")"),"گیلی کو مخالف پر مارنا")</f>
        <v>گیلی کو مخالف پر مارنا</v>
      </c>
      <c r="P469" s="6" t="str">
        <f>IFERROR(__xludf.DUMMYFUNCTION("GOOGLETRANSLATE(F469,""en"",""ur"")"),"گلی کو جال میں مارنا")</f>
        <v>گلی کو جال میں مارنا</v>
      </c>
      <c r="Q469" s="6" t="s">
        <v>759</v>
      </c>
      <c r="R469" s="6" t="str">
        <f>IFERROR(__xludf.DUMMYFUNCTION("GOOGLETRANSLATE(G469,""en"",""ur"")"),"جہاں تک ممکن ہو گلی کو مار کر پوائنٹس حاصل کرنا")</f>
        <v>جہاں تک ممکن ہو گلی کو مار کر پوائنٹس حاصل کرنا</v>
      </c>
      <c r="S469" s="6" t="s">
        <v>875</v>
      </c>
      <c r="T469" s="6"/>
      <c r="U469" s="6"/>
      <c r="V469" s="6"/>
      <c r="W469" s="6"/>
      <c r="X469" s="6"/>
      <c r="Y469" s="6"/>
      <c r="Z469" s="6"/>
      <c r="AA469" s="6"/>
    </row>
    <row r="470">
      <c r="A470" s="7">
        <v>470.0</v>
      </c>
      <c r="B470" s="6" t="s">
        <v>760</v>
      </c>
      <c r="C470" s="6" t="s">
        <v>761</v>
      </c>
      <c r="D470" s="6" t="s">
        <v>762</v>
      </c>
      <c r="E470" s="6" t="s">
        <v>763</v>
      </c>
      <c r="F470" s="6" t="s">
        <v>734</v>
      </c>
      <c r="G470" s="6" t="s">
        <v>734</v>
      </c>
      <c r="H470" s="6" t="s">
        <v>875</v>
      </c>
      <c r="I470" s="6"/>
      <c r="J470" s="6"/>
      <c r="K470" s="7">
        <v>470.0</v>
      </c>
      <c r="L470" s="6" t="str">
        <f>IFERROR(__xludf.DUMMYFUNCTION("GOOGLETRANSLATE(B470,""en"",""ur"")"),"ڈنڈا کی لمبائی کے بارے میں ایک قابل ذکر تفصیل کیا ہے؟")</f>
        <v>ڈنڈا کی لمبائی کے بارے میں ایک قابل ذکر تفصیل کیا ہے؟</v>
      </c>
      <c r="M470" s="6"/>
      <c r="N470" s="8" t="str">
        <f>IFERROR(__xludf.DUMMYFUNCTION("GOOGLETRANSLATE(D470,""en"",""ur"")"),"یہ بہت مختصر ہے۔")</f>
        <v>یہ بہت مختصر ہے۔</v>
      </c>
      <c r="O470" s="6" t="str">
        <f>IFERROR(__xludf.DUMMYFUNCTION("GOOGLETRANSLATE(E470,""en"",""ur"")"),"یہ درمیانی لمبائی کی چھڑی ہے۔")</f>
        <v>یہ درمیانی لمبائی کی چھڑی ہے۔</v>
      </c>
      <c r="P470" s="6" t="str">
        <f>IFERROR(__xludf.DUMMYFUNCTION("GOOGLETRANSLATE(F470,""en"",""ur"")"),"یہ ایک لمبی، پتلی چھڑی ہے۔")</f>
        <v>یہ ایک لمبی، پتلی چھڑی ہے۔</v>
      </c>
      <c r="Q470" s="6" t="s">
        <v>764</v>
      </c>
      <c r="R470" s="6" t="str">
        <f>IFERROR(__xludf.DUMMYFUNCTION("GOOGLETRANSLATE(G470,""en"",""ur"")"),"یہ ایک لمبی، پتلی چھڑی ہے۔")</f>
        <v>یہ ایک لمبی، پتلی چھڑی ہے۔</v>
      </c>
      <c r="S470" s="6" t="s">
        <v>875</v>
      </c>
      <c r="T470" s="6"/>
      <c r="U470" s="6"/>
      <c r="V470" s="6"/>
      <c r="W470" s="6"/>
      <c r="X470" s="6"/>
      <c r="Y470" s="6"/>
      <c r="Z470" s="6"/>
      <c r="AA470" s="6"/>
    </row>
    <row r="471">
      <c r="A471" s="7">
        <v>471.0</v>
      </c>
      <c r="B471" s="6" t="s">
        <v>925</v>
      </c>
      <c r="C471" s="6" t="s">
        <v>899</v>
      </c>
      <c r="D471" s="6" t="s">
        <v>682</v>
      </c>
      <c r="E471" s="6" t="s">
        <v>926</v>
      </c>
      <c r="F471" s="6" t="s">
        <v>684</v>
      </c>
      <c r="G471" s="6" t="s">
        <v>926</v>
      </c>
      <c r="H471" s="6" t="s">
        <v>927</v>
      </c>
      <c r="I471" s="6"/>
      <c r="J471" s="6"/>
      <c r="K471" s="7">
        <v>471.0</v>
      </c>
      <c r="L471" s="6" t="str">
        <f>IFERROR(__xludf.DUMMYFUNCTION("GOOGLETRANSLATE(B471,""en"",""ur"")"),"gilli_danda_52 میں دکھایا گیا اہم عمل کیا ہے؟")</f>
        <v>gilli_danda_52 میں دکھایا گیا اہم عمل کیا ہے؟</v>
      </c>
      <c r="M471" s="6"/>
      <c r="N471" s="8" t="str">
        <f>IFERROR(__xludf.DUMMYFUNCTION("GOOGLETRANSLATE(D471,""en"",""ur"")"),"بچوں کا ایک گروپ جو گیند کا کھیل کھیل رہا ہے۔")</f>
        <v>بچوں کا ایک گروپ جو گیند کا کھیل کھیل رہا ہے۔</v>
      </c>
      <c r="O471" s="6" t="str">
        <f>IFERROR(__xludf.DUMMYFUNCTION("GOOGLETRANSLATE(E471,""en"",""ur"")"),"لوگوں کا ایک گروپ تصویر کے لیے پوز کر رہا ہے۔")</f>
        <v>لوگوں کا ایک گروپ تصویر کے لیے پوز کر رہا ہے۔</v>
      </c>
      <c r="P471" s="6" t="str">
        <f>IFERROR(__xludf.DUMMYFUNCTION("GOOGLETRANSLATE(F471,""en"",""ur"")"),"بچوں کا ایک گروپ چل رہا ہے۔")</f>
        <v>بچوں کا ایک گروپ چل رہا ہے۔</v>
      </c>
      <c r="Q471" s="6" t="s">
        <v>928</v>
      </c>
      <c r="R471" s="6" t="str">
        <f>IFERROR(__xludf.DUMMYFUNCTION("GOOGLETRANSLATE(G471,""en"",""ur"")"),"لوگوں کا ایک گروپ تصویر کے لیے پوز کر رہا ہے۔")</f>
        <v>لوگوں کا ایک گروپ تصویر کے لیے پوز کر رہا ہے۔</v>
      </c>
      <c r="S471" s="6" t="s">
        <v>927</v>
      </c>
      <c r="T471" s="6"/>
      <c r="U471" s="6"/>
      <c r="V471" s="6"/>
      <c r="W471" s="6"/>
      <c r="X471" s="6"/>
      <c r="Y471" s="6"/>
      <c r="Z471" s="6"/>
      <c r="AA471" s="6"/>
    </row>
    <row r="472">
      <c r="A472" s="7">
        <v>472.0</v>
      </c>
      <c r="B472" s="6" t="s">
        <v>636</v>
      </c>
      <c r="C472" s="6" t="s">
        <v>637</v>
      </c>
      <c r="D472" s="6" t="s">
        <v>638</v>
      </c>
      <c r="E472" s="6" t="s">
        <v>639</v>
      </c>
      <c r="F472" s="6" t="s">
        <v>640</v>
      </c>
      <c r="G472" s="6" t="s">
        <v>638</v>
      </c>
      <c r="H472" s="6" t="s">
        <v>927</v>
      </c>
      <c r="I472" s="6"/>
      <c r="J472" s="6"/>
      <c r="K472" s="7">
        <v>472.0</v>
      </c>
      <c r="L472" s="6" t="str">
        <f>IFERROR(__xludf.DUMMYFUNCTION("GOOGLETRANSLATE(B472,""en"",""ur"")"),"کھیل میں استعمال ہونے والے آلات کے دو ٹکڑے کیا ہیں؟")</f>
        <v>کھیل میں استعمال ہونے والے آلات کے دو ٹکڑے کیا ہیں؟</v>
      </c>
      <c r="M472" s="6"/>
      <c r="N472" s="8" t="str">
        <f>IFERROR(__xludf.DUMMYFUNCTION("GOOGLETRANSLATE(D472,""en"",""ur"")"),"ایک لمبی چھڑی (ڈنڈا) اور ایک چھوٹی چھڑی (گلی)")</f>
        <v>ایک لمبی چھڑی (ڈنڈا) اور ایک چھوٹی چھڑی (گلی)</v>
      </c>
      <c r="O472" s="6" t="str">
        <f>IFERROR(__xludf.DUMMYFUNCTION("GOOGLETRANSLATE(E472,""en"",""ur"")"),"ایک ریکیٹ اور ایک شٹل کاک")</f>
        <v>ایک ریکیٹ اور ایک شٹل کاک</v>
      </c>
      <c r="P472" s="6" t="str">
        <f>IFERROR(__xludf.DUMMYFUNCTION("GOOGLETRANSLATE(F472,""en"",""ur"")"),"ایک چمگادڑ اور ایک دستانہ")</f>
        <v>ایک چمگادڑ اور ایک دستانہ</v>
      </c>
      <c r="Q472" s="6" t="s">
        <v>641</v>
      </c>
      <c r="R472" s="6" t="str">
        <f>IFERROR(__xludf.DUMMYFUNCTION("GOOGLETRANSLATE(G472,""en"",""ur"")"),"ایک لمبی چھڑی (ڈنڈا) اور ایک چھوٹی چھڑی (گلی)")</f>
        <v>ایک لمبی چھڑی (ڈنڈا) اور ایک چھوٹی چھڑی (گلی)</v>
      </c>
      <c r="S472" s="6" t="s">
        <v>927</v>
      </c>
      <c r="T472" s="6"/>
      <c r="U472" s="6"/>
      <c r="V472" s="6"/>
      <c r="W472" s="6"/>
      <c r="X472" s="6"/>
      <c r="Y472" s="6"/>
      <c r="Z472" s="6"/>
      <c r="AA472" s="6"/>
    </row>
    <row r="473">
      <c r="A473" s="7">
        <v>473.0</v>
      </c>
      <c r="B473" s="6" t="s">
        <v>767</v>
      </c>
      <c r="C473" s="6" t="s">
        <v>797</v>
      </c>
      <c r="D473" s="6" t="s">
        <v>798</v>
      </c>
      <c r="E473" s="6" t="s">
        <v>799</v>
      </c>
      <c r="F473" s="6" t="s">
        <v>800</v>
      </c>
      <c r="G473" s="6" t="s">
        <v>799</v>
      </c>
      <c r="H473" s="6" t="s">
        <v>927</v>
      </c>
      <c r="I473" s="6"/>
      <c r="J473" s="6"/>
      <c r="K473" s="7">
        <v>473.0</v>
      </c>
      <c r="L473" s="6" t="str">
        <f>IFERROR(__xludf.DUMMYFUNCTION("GOOGLETRANSLATE(B473,""en"",""ur"")"),"کھلاڑیوں کے بارے میں ایک قابل ذکر تفصیل کیا ہے؟")</f>
        <v>کھلاڑیوں کے بارے میں ایک قابل ذکر تفصیل کیا ہے؟</v>
      </c>
      <c r="M473" s="6"/>
      <c r="N473" s="8" t="str">
        <f>IFERROR(__xludf.DUMMYFUNCTION("GOOGLETRANSLATE(D473,""en"",""ur"")"),"وہ سب بالغ ہیں۔")</f>
        <v>وہ سب بالغ ہیں۔</v>
      </c>
      <c r="O473" s="6" t="str">
        <f>IFERROR(__xludf.DUMMYFUNCTION("GOOGLETRANSLATE(E473,""en"",""ur"")"),"وہ عمر اور جنس کا مرکب ہیں۔")</f>
        <v>وہ عمر اور جنس کا مرکب ہیں۔</v>
      </c>
      <c r="P473" s="6" t="str">
        <f>IFERROR(__xludf.DUMMYFUNCTION("GOOGLETRANSLATE(F473,""en"",""ur"")"),"وہ سب خواتین ہیں۔")</f>
        <v>وہ سب خواتین ہیں۔</v>
      </c>
      <c r="Q473" s="6" t="s">
        <v>801</v>
      </c>
      <c r="R473" s="6" t="str">
        <f>IFERROR(__xludf.DUMMYFUNCTION("GOOGLETRANSLATE(G473,""en"",""ur"")"),"وہ عمر اور جنس کا مرکب ہیں۔")</f>
        <v>وہ عمر اور جنس کا مرکب ہیں۔</v>
      </c>
      <c r="S473" s="6" t="s">
        <v>927</v>
      </c>
      <c r="T473" s="6"/>
      <c r="U473" s="6"/>
      <c r="V473" s="6"/>
      <c r="W473" s="6"/>
      <c r="X473" s="6"/>
      <c r="Y473" s="6"/>
      <c r="Z473" s="6"/>
      <c r="AA473" s="6"/>
    </row>
    <row r="474">
      <c r="A474" s="7">
        <v>474.0</v>
      </c>
      <c r="B474" s="6" t="s">
        <v>645</v>
      </c>
      <c r="C474" s="6" t="s">
        <v>422</v>
      </c>
      <c r="D474" s="6" t="s">
        <v>646</v>
      </c>
      <c r="E474" s="6" t="s">
        <v>802</v>
      </c>
      <c r="F474" s="6" t="s">
        <v>929</v>
      </c>
      <c r="G474" s="6" t="s">
        <v>929</v>
      </c>
      <c r="H474" s="6" t="s">
        <v>927</v>
      </c>
      <c r="I474" s="6"/>
      <c r="J474" s="6"/>
      <c r="K474" s="7">
        <v>474.0</v>
      </c>
      <c r="L474" s="6" t="str">
        <f>IFERROR(__xludf.DUMMYFUNCTION("GOOGLETRANSLATE(B474,""en"",""ur"")"),"کھیل کی ظاہری ترتیب کیا ہے؟")</f>
        <v>کھیل کی ظاہری ترتیب کیا ہے؟</v>
      </c>
      <c r="M474" s="6"/>
      <c r="N474" s="8" t="str">
        <f>IFERROR(__xludf.DUMMYFUNCTION("GOOGLETRANSLATE(D474,""en"",""ur"")"),"شہر کی ایک گلی")</f>
        <v>شہر کی ایک گلی</v>
      </c>
      <c r="O474" s="6" t="str">
        <f>IFERROR(__xludf.DUMMYFUNCTION("GOOGLETRANSLATE(E474,""en"",""ur"")"),"بیرونی گندگی کا علاقہ")</f>
        <v>بیرونی گندگی کا علاقہ</v>
      </c>
      <c r="P474" s="6" t="str">
        <f>IFERROR(__xludf.DUMMYFUNCTION("GOOGLETRANSLATE(F474,""en"",""ur"")"),"رات کو گھاس کا میدان")</f>
        <v>رات کو گھاس کا میدان</v>
      </c>
      <c r="Q474" s="6" t="s">
        <v>930</v>
      </c>
      <c r="R474" s="6" t="str">
        <f>IFERROR(__xludf.DUMMYFUNCTION("GOOGLETRANSLATE(G474,""en"",""ur"")"),"رات کو گھاس کا میدان")</f>
        <v>رات کو گھاس کا میدان</v>
      </c>
      <c r="S474" s="6" t="s">
        <v>927</v>
      </c>
      <c r="T474" s="6"/>
      <c r="U474" s="6"/>
      <c r="V474" s="6"/>
      <c r="W474" s="6"/>
      <c r="X474" s="6"/>
      <c r="Y474" s="6"/>
      <c r="Z474" s="6"/>
      <c r="AA474" s="6"/>
    </row>
    <row r="475">
      <c r="A475" s="7">
        <v>475.0</v>
      </c>
      <c r="B475" s="6" t="s">
        <v>46</v>
      </c>
      <c r="C475" s="6" t="s">
        <v>47</v>
      </c>
      <c r="D475" s="6" t="s">
        <v>48</v>
      </c>
      <c r="E475" s="6" t="s">
        <v>49</v>
      </c>
      <c r="F475" s="6" t="s">
        <v>50</v>
      </c>
      <c r="G475" s="6" t="s">
        <v>50</v>
      </c>
      <c r="H475" s="6" t="s">
        <v>927</v>
      </c>
      <c r="I475" s="6"/>
      <c r="J475" s="6"/>
      <c r="K475" s="7">
        <v>475.0</v>
      </c>
      <c r="L475" s="6" t="str">
        <f>IFERROR(__xludf.DUMMYFUNCTION("GOOGLETRANSLATE(B475,""en"",""ur"")"),"کھلاڑیوں کے چہروں سے ظاہری جذبات کیا ہیں؟")</f>
        <v>کھلاڑیوں کے چہروں سے ظاہری جذبات کیا ہیں؟</v>
      </c>
      <c r="M475" s="6"/>
      <c r="N475" s="8" t="str">
        <f>IFERROR(__xludf.DUMMYFUNCTION("GOOGLETRANSLATE(D475,""en"",""ur"")"),"خوف زدہ اور بے چین")</f>
        <v>خوف زدہ اور بے چین</v>
      </c>
      <c r="O475" s="6" t="str">
        <f>IFERROR(__xludf.DUMMYFUNCTION("GOOGLETRANSLATE(E475,""en"",""ur"")"),"کشیدہ اور شدید")</f>
        <v>کشیدہ اور شدید</v>
      </c>
      <c r="P475" s="6" t="str">
        <f>IFERROR(__xludf.DUMMYFUNCTION("GOOGLETRANSLATE(F475,""en"",""ur"")"),"خوش اور مسکراتے ہوئے۔")</f>
        <v>خوش اور مسکراتے ہوئے۔</v>
      </c>
      <c r="Q475" s="6" t="s">
        <v>649</v>
      </c>
      <c r="R475" s="6" t="str">
        <f>IFERROR(__xludf.DUMMYFUNCTION("GOOGLETRANSLATE(G475,""en"",""ur"")"),"خوش اور مسکراتے ہوئے۔")</f>
        <v>خوش اور مسکراتے ہوئے۔</v>
      </c>
      <c r="S475" s="6" t="s">
        <v>927</v>
      </c>
      <c r="T475" s="6"/>
      <c r="U475" s="6"/>
      <c r="V475" s="6"/>
      <c r="W475" s="6"/>
      <c r="X475" s="6"/>
      <c r="Y475" s="6"/>
      <c r="Z475" s="6"/>
      <c r="AA475" s="6"/>
    </row>
    <row r="476">
      <c r="A476" s="7">
        <v>476.0</v>
      </c>
      <c r="B476" s="6" t="s">
        <v>88</v>
      </c>
      <c r="C476" s="6" t="s">
        <v>89</v>
      </c>
      <c r="D476" s="6" t="s">
        <v>90</v>
      </c>
      <c r="E476" s="6" t="s">
        <v>91</v>
      </c>
      <c r="F476" s="6" t="s">
        <v>255</v>
      </c>
      <c r="G476" s="6" t="s">
        <v>91</v>
      </c>
      <c r="H476" s="6" t="s">
        <v>927</v>
      </c>
      <c r="I476" s="6"/>
      <c r="J476" s="6"/>
      <c r="K476" s="7">
        <v>476.0</v>
      </c>
      <c r="L476" s="6" t="str">
        <f>IFERROR(__xludf.DUMMYFUNCTION("GOOGLETRANSLATE(B476,""en"",""ur"")"),"زمین کی سب سے نمایاں خصوصیت کیا ہے؟")</f>
        <v>زمین کی سب سے نمایاں خصوصیت کیا ہے؟</v>
      </c>
      <c r="M476" s="6"/>
      <c r="N476" s="8" t="str">
        <f>IFERROR(__xludf.DUMMYFUNCTION("GOOGLETRANSLATE(D476,""en"",""ur"")"),"کیچڑ والا میدان")</f>
        <v>کیچڑ والا میدان</v>
      </c>
      <c r="O476" s="6" t="str">
        <f>IFERROR(__xludf.DUMMYFUNCTION("GOOGLETRANSLATE(E476,""en"",""ur"")"),"ایک گھاس دار سطح")</f>
        <v>ایک گھاس دار سطح</v>
      </c>
      <c r="P476" s="6" t="str">
        <f>IFERROR(__xludf.DUMMYFUNCTION("GOOGLETRANSLATE(F476,""en"",""ur"")"),"ریتلی یا گندگی کی سطح")</f>
        <v>ریتلی یا گندگی کی سطح</v>
      </c>
      <c r="Q476" s="6" t="s">
        <v>688</v>
      </c>
      <c r="R476" s="6" t="str">
        <f>IFERROR(__xludf.DUMMYFUNCTION("GOOGLETRANSLATE(G476,""en"",""ur"")"),"ایک گھاس دار سطح")</f>
        <v>ایک گھاس دار سطح</v>
      </c>
      <c r="S476" s="6" t="s">
        <v>927</v>
      </c>
      <c r="T476" s="6"/>
      <c r="U476" s="6"/>
      <c r="V476" s="6"/>
      <c r="W476" s="6"/>
      <c r="X476" s="6"/>
      <c r="Y476" s="6"/>
      <c r="Z476" s="6"/>
      <c r="AA476" s="6"/>
    </row>
    <row r="477">
      <c r="A477" s="7">
        <v>477.0</v>
      </c>
      <c r="B477" s="6" t="s">
        <v>94</v>
      </c>
      <c r="C477" s="6" t="s">
        <v>95</v>
      </c>
      <c r="D477" s="6" t="s">
        <v>651</v>
      </c>
      <c r="E477" s="6" t="s">
        <v>652</v>
      </c>
      <c r="F477" s="6" t="s">
        <v>653</v>
      </c>
      <c r="G477" s="6" t="s">
        <v>652</v>
      </c>
      <c r="H477" s="6" t="s">
        <v>927</v>
      </c>
      <c r="I477" s="6"/>
      <c r="J477" s="6"/>
      <c r="K477" s="7">
        <v>477.0</v>
      </c>
      <c r="L477" s="6" t="str">
        <f>IFERROR(__xludf.DUMMYFUNCTION("GOOGLETRANSLATE(B477,""en"",""ur"")"),"کھیلے جانے والے کھیل کا نام کیا ہے؟")</f>
        <v>کھیلے جانے والے کھیل کا نام کیا ہے؟</v>
      </c>
      <c r="M477" s="6"/>
      <c r="N477" s="8" t="str">
        <f>IFERROR(__xludf.DUMMYFUNCTION("GOOGLETRANSLATE(D477,""en"",""ur"")"),"کرکٹ")</f>
        <v>کرکٹ</v>
      </c>
      <c r="O477" s="6" t="str">
        <f>IFERROR(__xludf.DUMMYFUNCTION("GOOGLETRANSLATE(E477,""en"",""ur"")"),"گلی ڈنڈا۔")</f>
        <v>گلی ڈنڈا۔</v>
      </c>
      <c r="P477" s="6" t="str">
        <f>IFERROR(__xludf.DUMMYFUNCTION("GOOGLETRANSLATE(F477,""en"",""ur"")"),"بیس بال")</f>
        <v>بیس بال</v>
      </c>
      <c r="Q477" s="6" t="s">
        <v>654</v>
      </c>
      <c r="R477" s="6" t="str">
        <f>IFERROR(__xludf.DUMMYFUNCTION("GOOGLETRANSLATE(G477,""en"",""ur"")"),"گلی ڈنڈا۔")</f>
        <v>گلی ڈنڈا۔</v>
      </c>
      <c r="S477" s="6" t="s">
        <v>927</v>
      </c>
      <c r="T477" s="6"/>
      <c r="U477" s="6"/>
      <c r="V477" s="6"/>
      <c r="W477" s="6"/>
      <c r="X477" s="6"/>
      <c r="Y477" s="6"/>
      <c r="Z477" s="6"/>
      <c r="AA477" s="6"/>
    </row>
    <row r="478">
      <c r="A478" s="7">
        <v>478.0</v>
      </c>
      <c r="B478" s="6" t="s">
        <v>931</v>
      </c>
      <c r="C478" s="6" t="s">
        <v>261</v>
      </c>
      <c r="D478" s="6" t="s">
        <v>262</v>
      </c>
      <c r="E478" s="6" t="s">
        <v>263</v>
      </c>
      <c r="F478" s="6" t="s">
        <v>655</v>
      </c>
      <c r="G478" s="6" t="s">
        <v>655</v>
      </c>
      <c r="H478" s="6" t="s">
        <v>927</v>
      </c>
      <c r="I478" s="6"/>
      <c r="J478" s="6"/>
      <c r="K478" s="7">
        <v>478.0</v>
      </c>
      <c r="L478" s="6" t="str">
        <f>IFERROR(__xludf.DUMMYFUNCTION("GOOGLETRANSLATE(B478,""en"",""ur"")"),"تصویر سے پتہ چلتا ہے کہ یہ ایک کھیل ہے جو...")</f>
        <v>تصویر سے پتہ چلتا ہے کہ یہ ایک کھیل ہے جو...</v>
      </c>
      <c r="M478" s="6"/>
      <c r="N478" s="8" t="str">
        <f>IFERROR(__xludf.DUMMYFUNCTION("GOOGLETRANSLATE(D478,""en"",""ur"")"),"زمینی لڑائی اور گرفت")</f>
        <v>زمینی لڑائی اور گرفت</v>
      </c>
      <c r="O478" s="6" t="str">
        <f>IFERROR(__xludf.DUMMYFUNCTION("GOOGLETRANSLATE(E478,""en"",""ur"")"),"وحشیانہ قوت اور گھڑ سواری۔")</f>
        <v>وحشیانہ قوت اور گھڑ سواری۔</v>
      </c>
      <c r="P478" s="6" t="str">
        <f>IFERROR(__xludf.DUMMYFUNCTION("GOOGLETRANSLATE(F478,""en"",""ur"")"),"ہاتھ سے آنکھ کو آرڈینیشن اور حیرت انگیز")</f>
        <v>ہاتھ سے آنکھ کو آرڈینیشن اور حیرت انگیز</v>
      </c>
      <c r="Q478" s="6" t="s">
        <v>656</v>
      </c>
      <c r="R478" s="6" t="str">
        <f>IFERROR(__xludf.DUMMYFUNCTION("GOOGLETRANSLATE(G478,""en"",""ur"")"),"ہاتھ سے آنکھ کو آرڈینیشن اور حیرت انگیز")</f>
        <v>ہاتھ سے آنکھ کو آرڈینیشن اور حیرت انگیز</v>
      </c>
      <c r="S478" s="6" t="s">
        <v>927</v>
      </c>
      <c r="T478" s="6"/>
      <c r="U478" s="6"/>
      <c r="V478" s="6"/>
      <c r="W478" s="6"/>
      <c r="X478" s="6"/>
      <c r="Y478" s="6"/>
      <c r="Z478" s="6"/>
      <c r="AA478" s="6"/>
    </row>
    <row r="479">
      <c r="A479" s="7">
        <v>479.0</v>
      </c>
      <c r="B479" s="6" t="s">
        <v>657</v>
      </c>
      <c r="C479" s="6" t="s">
        <v>658</v>
      </c>
      <c r="D479" s="6" t="s">
        <v>659</v>
      </c>
      <c r="E479" s="6" t="s">
        <v>660</v>
      </c>
      <c r="F479" s="6" t="s">
        <v>661</v>
      </c>
      <c r="G479" s="6" t="s">
        <v>660</v>
      </c>
      <c r="H479" s="6" t="s">
        <v>927</v>
      </c>
      <c r="I479" s="6"/>
      <c r="J479" s="6"/>
      <c r="K479" s="7">
        <v>479.0</v>
      </c>
      <c r="L479" s="6" t="str">
        <f>IFERROR(__xludf.DUMMYFUNCTION("GOOGLETRANSLATE(B479,""en"",""ur"")"),"کھلاڑیوں کے جوتے کے بارے میں ایک قابل ذکر تفصیل کیا ہے؟")</f>
        <v>کھلاڑیوں کے جوتے کے بارے میں ایک قابل ذکر تفصیل کیا ہے؟</v>
      </c>
      <c r="M479" s="6"/>
      <c r="N479" s="8" t="str">
        <f>IFERROR(__xludf.DUMMYFUNCTION("GOOGLETRANSLATE(D479,""en"",""ur"")"),"وہ ننگے پاؤں ہیں۔")</f>
        <v>وہ ننگے پاؤں ہیں۔</v>
      </c>
      <c r="O479" s="6" t="str">
        <f>IFERROR(__xludf.DUMMYFUNCTION("GOOGLETRANSLATE(E479,""en"",""ur"")"),"وہ سینڈل یا فلپ فلاپ پہنے ہوئے ہیں۔")</f>
        <v>وہ سینڈل یا فلپ فلاپ پہنے ہوئے ہیں۔</v>
      </c>
      <c r="P479" s="6" t="str">
        <f>IFERROR(__xludf.DUMMYFUNCTION("GOOGLETRANSLATE(F479,""en"",""ur"")"),"وہ موزے پہنے ہوئے ہیں۔")</f>
        <v>وہ موزے پہنے ہوئے ہیں۔</v>
      </c>
      <c r="Q479" s="6" t="s">
        <v>662</v>
      </c>
      <c r="R479" s="6" t="str">
        <f>IFERROR(__xludf.DUMMYFUNCTION("GOOGLETRANSLATE(G479,""en"",""ur"")"),"وہ سینڈل یا فلپ فلاپ پہنے ہوئے ہیں۔")</f>
        <v>وہ سینڈل یا فلپ فلاپ پہنے ہوئے ہیں۔</v>
      </c>
      <c r="S479" s="6" t="s">
        <v>927</v>
      </c>
      <c r="T479" s="6"/>
      <c r="U479" s="6"/>
      <c r="V479" s="6"/>
      <c r="W479" s="6"/>
      <c r="X479" s="6"/>
      <c r="Y479" s="6"/>
      <c r="Z479" s="6"/>
      <c r="AA479" s="6"/>
    </row>
    <row r="480">
      <c r="A480" s="7">
        <v>480.0</v>
      </c>
      <c r="B480" s="6" t="s">
        <v>663</v>
      </c>
      <c r="C480" s="6" t="s">
        <v>664</v>
      </c>
      <c r="D480" s="6" t="s">
        <v>665</v>
      </c>
      <c r="E480" s="6" t="s">
        <v>666</v>
      </c>
      <c r="F480" s="6" t="s">
        <v>667</v>
      </c>
      <c r="G480" s="6" t="s">
        <v>725</v>
      </c>
      <c r="H480" s="6" t="s">
        <v>927</v>
      </c>
      <c r="I480" s="6"/>
      <c r="J480" s="6"/>
      <c r="K480" s="7">
        <v>480.0</v>
      </c>
      <c r="L480" s="6" t="str">
        <f>IFERROR(__xludf.DUMMYFUNCTION("GOOGLETRANSLATE(B480,""en"",""ur"")"),"پس منظر میں دیگر کھلاڑیوں کے بارے میں ایک قابل ذکر تفصیل کیا ہے؟")</f>
        <v>پس منظر میں دیگر کھلاڑیوں کے بارے میں ایک قابل ذکر تفصیل کیا ہے؟</v>
      </c>
      <c r="M480" s="6"/>
      <c r="N480" s="8" t="str">
        <f>IFERROR(__xludf.DUMMYFUNCTION("GOOGLETRANSLATE(D480,""en"",""ur"")"),"وہ سب ادھر ادھر بھاگ رہے ہیں۔")</f>
        <v>وہ سب ادھر ادھر بھاگ رہے ہیں۔</v>
      </c>
      <c r="O480" s="6" t="str">
        <f>IFERROR(__xludf.DUMMYFUNCTION("GOOGLETRANSLATE(E480,""en"",""ur"")"),"وہ ایک دفاعی، تیار موقف میں ہیں۔")</f>
        <v>وہ ایک دفاعی، تیار موقف میں ہیں۔</v>
      </c>
      <c r="P480" s="6" t="str">
        <f>IFERROR(__xludf.DUMMYFUNCTION("GOOGLETRANSLATE(F480,""en"",""ur"")"),"وہ سب لہرا رہے ہیں۔")</f>
        <v>وہ سب لہرا رہے ہیں۔</v>
      </c>
      <c r="Q480" s="6" t="s">
        <v>668</v>
      </c>
      <c r="R480" s="6" t="str">
        <f>IFERROR(__xludf.DUMMYFUNCTION("GOOGLETRANSLATE(G480,""en"",""ur"")"),"وہ سب کھڑے کھڑے دیکھ رہے ہیں۔")</f>
        <v>وہ سب کھڑے کھڑے دیکھ رہے ہیں۔</v>
      </c>
      <c r="S480" s="6" t="s">
        <v>927</v>
      </c>
      <c r="T480" s="6"/>
      <c r="U480" s="6"/>
      <c r="V480" s="6"/>
      <c r="W480" s="6"/>
      <c r="X480" s="6"/>
      <c r="Y480" s="6"/>
      <c r="Z480" s="6"/>
      <c r="AA480" s="6"/>
    </row>
    <row r="481">
      <c r="A481" s="7">
        <v>481.0</v>
      </c>
      <c r="B481" s="6" t="s">
        <v>807</v>
      </c>
      <c r="C481" s="6" t="s">
        <v>808</v>
      </c>
      <c r="D481" s="6" t="s">
        <v>632</v>
      </c>
      <c r="E481" s="6" t="s">
        <v>633</v>
      </c>
      <c r="F481" s="6" t="s">
        <v>634</v>
      </c>
      <c r="G481" s="6" t="s">
        <v>808</v>
      </c>
      <c r="H481" s="6" t="s">
        <v>809</v>
      </c>
      <c r="I481" s="6"/>
      <c r="J481" s="6"/>
      <c r="K481" s="6"/>
      <c r="L481" s="6" t="str">
        <f>IFERROR(__xludf.DUMMYFUNCTION("GOOGLETRANSLATE(B481,""en"",""ur"")"),"gilli_danda_56 میں دکھایا گیا اہم عمل کیا ہے؟")</f>
        <v>gilli_danda_56 میں دکھایا گیا اہم عمل کیا ہے؟</v>
      </c>
      <c r="M481" s="6"/>
      <c r="N481" s="8" t="str">
        <f>IFERROR(__xludf.DUMMYFUNCTION("GOOGLETRANSLATE(D481,""en"",""ur"")"),"ایک کھلاڑی چھوٹی چھڑی کو بڑی چھڑی سے مار رہا ہے۔")</f>
        <v>ایک کھلاڑی چھوٹی چھڑی کو بڑی چھڑی سے مار رہا ہے۔</v>
      </c>
      <c r="O481" s="6" t="str">
        <f>IFERROR(__xludf.DUMMYFUNCTION("GOOGLETRANSLATE(E481,""en"",""ur"")"),"ایک کھلاڑی گیند کی خدمت کر رہا ہے۔")</f>
        <v>ایک کھلاڑی گیند کی خدمت کر رہا ہے۔</v>
      </c>
      <c r="P481" s="6" t="str">
        <f>IFERROR(__xludf.DUMMYFUNCTION("GOOGLETRANSLATE(F481,""en"",""ur"")"),"ایک کھلاڑی دفاعی بلاک کا مظاہرہ کر رہا ہے۔")</f>
        <v>ایک کھلاڑی دفاعی بلاک کا مظاہرہ کر رہا ہے۔</v>
      </c>
      <c r="Q481" s="6" t="s">
        <v>671</v>
      </c>
      <c r="R481" s="6" t="str">
        <f>IFERROR(__xludf.DUMMYFUNCTION("GOOGLETRANSLATE(G481,""en"",""ur"")"),"گاؤں میں کھیل کا کارٹون")</f>
        <v>گاؤں میں کھیل کا کارٹون</v>
      </c>
      <c r="S481" s="6"/>
      <c r="T481" s="6"/>
      <c r="U481" s="6"/>
      <c r="V481" s="6"/>
      <c r="W481" s="6"/>
      <c r="X481" s="6"/>
      <c r="Y481" s="6"/>
      <c r="Z481" s="6"/>
      <c r="AA481" s="6"/>
    </row>
    <row r="482">
      <c r="A482" s="7">
        <v>482.0</v>
      </c>
      <c r="B482" s="6" t="s">
        <v>636</v>
      </c>
      <c r="C482" s="6" t="s">
        <v>637</v>
      </c>
      <c r="D482" s="6" t="s">
        <v>638</v>
      </c>
      <c r="E482" s="6" t="s">
        <v>639</v>
      </c>
      <c r="F482" s="6" t="s">
        <v>640</v>
      </c>
      <c r="G482" s="6" t="s">
        <v>638</v>
      </c>
      <c r="H482" s="6" t="s">
        <v>809</v>
      </c>
      <c r="I482" s="6"/>
      <c r="J482" s="6"/>
      <c r="K482" s="6"/>
      <c r="L482" s="6" t="str">
        <f>IFERROR(__xludf.DUMMYFUNCTION("GOOGLETRANSLATE(B482,""en"",""ur"")"),"کھیل میں استعمال ہونے والے آلات کے دو ٹکڑے کیا ہیں؟")</f>
        <v>کھیل میں استعمال ہونے والے آلات کے دو ٹکڑے کیا ہیں؟</v>
      </c>
      <c r="M482" s="6"/>
      <c r="N482" s="8" t="str">
        <f>IFERROR(__xludf.DUMMYFUNCTION("GOOGLETRANSLATE(D482,""en"",""ur"")"),"ایک لمبی چھڑی (ڈنڈا) اور ایک چھوٹی چھڑی (گلی)")</f>
        <v>ایک لمبی چھڑی (ڈنڈا) اور ایک چھوٹی چھڑی (گلی)</v>
      </c>
      <c r="O482" s="6" t="str">
        <f>IFERROR(__xludf.DUMMYFUNCTION("GOOGLETRANSLATE(E482,""en"",""ur"")"),"ایک ریکیٹ اور ایک شٹل کاک")</f>
        <v>ایک ریکیٹ اور ایک شٹل کاک</v>
      </c>
      <c r="P482" s="6" t="str">
        <f>IFERROR(__xludf.DUMMYFUNCTION("GOOGLETRANSLATE(F482,""en"",""ur"")"),"ایک چمگادڑ اور ایک دستانہ")</f>
        <v>ایک چمگادڑ اور ایک دستانہ</v>
      </c>
      <c r="Q482" s="6" t="s">
        <v>641</v>
      </c>
      <c r="R482" s="6" t="str">
        <f>IFERROR(__xludf.DUMMYFUNCTION("GOOGLETRANSLATE(G482,""en"",""ur"")"),"ایک لمبی چھڑی (ڈنڈا) اور ایک چھوٹی چھڑی (گلی)")</f>
        <v>ایک لمبی چھڑی (ڈنڈا) اور ایک چھوٹی چھڑی (گلی)</v>
      </c>
      <c r="S482" s="6"/>
      <c r="T482" s="6"/>
      <c r="U482" s="6"/>
      <c r="V482" s="6"/>
      <c r="W482" s="6"/>
      <c r="X482" s="6"/>
      <c r="Y482" s="6"/>
      <c r="Z482" s="6"/>
      <c r="AA482" s="6"/>
    </row>
    <row r="483">
      <c r="A483" s="7">
        <v>483.0</v>
      </c>
      <c r="B483" s="6" t="s">
        <v>687</v>
      </c>
      <c r="C483" s="6" t="s">
        <v>307</v>
      </c>
      <c r="D483" s="6" t="s">
        <v>643</v>
      </c>
      <c r="E483" s="6" t="s">
        <v>311</v>
      </c>
      <c r="F483" s="6" t="s">
        <v>314</v>
      </c>
      <c r="G483" s="6" t="s">
        <v>643</v>
      </c>
      <c r="H483" s="6" t="s">
        <v>809</v>
      </c>
      <c r="I483" s="6"/>
      <c r="J483" s="6"/>
      <c r="K483" s="6"/>
      <c r="L483" s="6" t="str">
        <f>IFERROR(__xludf.DUMMYFUNCTION("GOOGLETRANSLATE(B483,""en"",""ur"")"),"پیش منظر میں کھلاڑی کے بارے میں ایک قابل ذکر تفصیل کیا ہے؟")</f>
        <v>پیش منظر میں کھلاڑی کے بارے میں ایک قابل ذکر تفصیل کیا ہے؟</v>
      </c>
      <c r="M483" s="6"/>
      <c r="N483" s="8" t="str">
        <f>IFERROR(__xludf.DUMMYFUNCTION("GOOGLETRANSLATE(D483,""en"",""ur"")"),"وہ ایک پست، جھکائے ہوئے موقف میں ہے، ہڑتال کرنے کی تیاری کر رہا ہے۔")</f>
        <v>وہ ایک پست، جھکائے ہوئے موقف میں ہے، ہڑتال کرنے کی تیاری کر رہا ہے۔</v>
      </c>
      <c r="O483" s="6" t="str">
        <f>IFERROR(__xludf.DUMMYFUNCTION("GOOGLETRANSLATE(E483,""en"",""ur"")"),"وہ سیدھا کھڑا ہے۔")</f>
        <v>وہ سیدھا کھڑا ہے۔</v>
      </c>
      <c r="P483" s="6" t="str">
        <f>IFERROR(__xludf.DUMMYFUNCTION("GOOGLETRANSLATE(F483,""en"",""ur"")"),"وہ آرام سے بیٹھا ہے۔")</f>
        <v>وہ آرام سے بیٹھا ہے۔</v>
      </c>
      <c r="Q483" s="6" t="s">
        <v>644</v>
      </c>
      <c r="R483" s="6" t="str">
        <f>IFERROR(__xludf.DUMMYFUNCTION("GOOGLETRANSLATE(G483,""en"",""ur"")"),"وہ ایک پست، جھکائے ہوئے موقف میں ہے، ہڑتال کرنے کی تیاری کر رہا ہے۔")</f>
        <v>وہ ایک پست، جھکائے ہوئے موقف میں ہے، ہڑتال کرنے کی تیاری کر رہا ہے۔</v>
      </c>
      <c r="S483" s="6"/>
      <c r="T483" s="6"/>
      <c r="U483" s="6"/>
      <c r="V483" s="6"/>
      <c r="W483" s="6"/>
      <c r="X483" s="6"/>
      <c r="Y483" s="6"/>
      <c r="Z483" s="6"/>
      <c r="AA483" s="6"/>
    </row>
    <row r="484">
      <c r="A484" s="7">
        <v>484.0</v>
      </c>
      <c r="B484" s="6" t="s">
        <v>645</v>
      </c>
      <c r="C484" s="6" t="s">
        <v>422</v>
      </c>
      <c r="D484" s="6" t="s">
        <v>646</v>
      </c>
      <c r="E484" s="6" t="s">
        <v>647</v>
      </c>
      <c r="F484" s="6" t="s">
        <v>878</v>
      </c>
      <c r="G484" s="6" t="s">
        <v>878</v>
      </c>
      <c r="H484" s="6" t="s">
        <v>809</v>
      </c>
      <c r="I484" s="6"/>
      <c r="J484" s="6"/>
      <c r="K484" s="6"/>
      <c r="L484" s="6" t="str">
        <f>IFERROR(__xludf.DUMMYFUNCTION("GOOGLETRANSLATE(B484,""en"",""ur"")"),"کھیل کی ظاہری ترتیب کیا ہے؟")</f>
        <v>کھیل کی ظاہری ترتیب کیا ہے؟</v>
      </c>
      <c r="M484" s="6"/>
      <c r="N484" s="8" t="str">
        <f>IFERROR(__xludf.DUMMYFUNCTION("GOOGLETRANSLATE(D484,""en"",""ur"")"),"شہر کی ایک گلی")</f>
        <v>شہر کی ایک گلی</v>
      </c>
      <c r="O484" s="6" t="str">
        <f>IFERROR(__xludf.DUMMYFUNCTION("GOOGLETRANSLATE(E484,""en"",""ur"")"),"ایک بیرونی گندگی کا میدان")</f>
        <v>ایک بیرونی گندگی کا میدان</v>
      </c>
      <c r="P484" s="6" t="str">
        <f>IFERROR(__xludf.DUMMYFUNCTION("GOOGLETRANSLATE(F484,""en"",""ur"")"),"ایک گاؤں میں گھاس کا میدان")</f>
        <v>ایک گاؤں میں گھاس کا میدان</v>
      </c>
      <c r="Q484" s="6" t="s">
        <v>879</v>
      </c>
      <c r="R484" s="6" t="str">
        <f>IFERROR(__xludf.DUMMYFUNCTION("GOOGLETRANSLATE(G484,""en"",""ur"")"),"ایک گاؤں میں گھاس کا میدان")</f>
        <v>ایک گاؤں میں گھاس کا میدان</v>
      </c>
      <c r="S484" s="6"/>
      <c r="T484" s="6"/>
      <c r="U484" s="6"/>
      <c r="V484" s="6"/>
      <c r="W484" s="6"/>
      <c r="X484" s="6"/>
      <c r="Y484" s="6"/>
      <c r="Z484" s="6"/>
      <c r="AA484" s="6"/>
    </row>
    <row r="485">
      <c r="A485" s="7">
        <v>485.0</v>
      </c>
      <c r="B485" s="6" t="s">
        <v>46</v>
      </c>
      <c r="C485" s="6" t="s">
        <v>47</v>
      </c>
      <c r="D485" s="6" t="s">
        <v>48</v>
      </c>
      <c r="E485" s="6" t="s">
        <v>49</v>
      </c>
      <c r="F485" s="6" t="s">
        <v>50</v>
      </c>
      <c r="G485" s="6" t="s">
        <v>50</v>
      </c>
      <c r="H485" s="6" t="s">
        <v>809</v>
      </c>
      <c r="I485" s="6"/>
      <c r="J485" s="6"/>
      <c r="K485" s="6"/>
      <c r="L485" s="6" t="str">
        <f>IFERROR(__xludf.DUMMYFUNCTION("GOOGLETRANSLATE(B485,""en"",""ur"")"),"کھلاڑیوں کے چہروں سے ظاہری جذبات کیا ہیں؟")</f>
        <v>کھلاڑیوں کے چہروں سے ظاہری جذبات کیا ہیں؟</v>
      </c>
      <c r="M485" s="6"/>
      <c r="N485" s="8" t="str">
        <f>IFERROR(__xludf.DUMMYFUNCTION("GOOGLETRANSLATE(D485,""en"",""ur"")"),"خوف زدہ اور بے چین")</f>
        <v>خوف زدہ اور بے چین</v>
      </c>
      <c r="O485" s="6" t="str">
        <f>IFERROR(__xludf.DUMMYFUNCTION("GOOGLETRANSLATE(E485,""en"",""ur"")"),"کشیدہ اور شدید")</f>
        <v>کشیدہ اور شدید</v>
      </c>
      <c r="P485" s="6" t="str">
        <f>IFERROR(__xludf.DUMMYFUNCTION("GOOGLETRANSLATE(F485,""en"",""ur"")"),"خوش اور مسکراتے ہوئے۔")</f>
        <v>خوش اور مسکراتے ہوئے۔</v>
      </c>
      <c r="Q485" s="6" t="s">
        <v>649</v>
      </c>
      <c r="R485" s="6" t="str">
        <f>IFERROR(__xludf.DUMMYFUNCTION("GOOGLETRANSLATE(G485,""en"",""ur"")"),"خوش اور مسکراتے ہوئے۔")</f>
        <v>خوش اور مسکراتے ہوئے۔</v>
      </c>
      <c r="S485" s="6"/>
      <c r="T485" s="6"/>
      <c r="U485" s="6"/>
      <c r="V485" s="6"/>
      <c r="W485" s="6"/>
      <c r="X485" s="6"/>
      <c r="Y485" s="6"/>
      <c r="Z485" s="6"/>
      <c r="AA485" s="6"/>
    </row>
    <row r="486">
      <c r="A486" s="7">
        <v>486.0</v>
      </c>
      <c r="B486" s="6" t="s">
        <v>88</v>
      </c>
      <c r="C486" s="6" t="s">
        <v>89</v>
      </c>
      <c r="D486" s="6" t="s">
        <v>90</v>
      </c>
      <c r="E486" s="6" t="s">
        <v>91</v>
      </c>
      <c r="F486" s="6" t="s">
        <v>255</v>
      </c>
      <c r="G486" s="6" t="s">
        <v>91</v>
      </c>
      <c r="H486" s="6" t="s">
        <v>809</v>
      </c>
      <c r="I486" s="6"/>
      <c r="J486" s="6"/>
      <c r="K486" s="6"/>
      <c r="L486" s="6" t="str">
        <f>IFERROR(__xludf.DUMMYFUNCTION("GOOGLETRANSLATE(B486,""en"",""ur"")"),"زمین کی سب سے نمایاں خصوصیت کیا ہے؟")</f>
        <v>زمین کی سب سے نمایاں خصوصیت کیا ہے؟</v>
      </c>
      <c r="M486" s="6"/>
      <c r="N486" s="8" t="str">
        <f>IFERROR(__xludf.DUMMYFUNCTION("GOOGLETRANSLATE(D486,""en"",""ur"")"),"کیچڑ والا میدان")</f>
        <v>کیچڑ والا میدان</v>
      </c>
      <c r="O486" s="6" t="str">
        <f>IFERROR(__xludf.DUMMYFUNCTION("GOOGLETRANSLATE(E486,""en"",""ur"")"),"ایک گھاس دار سطح")</f>
        <v>ایک گھاس دار سطح</v>
      </c>
      <c r="P486" s="6" t="str">
        <f>IFERROR(__xludf.DUMMYFUNCTION("GOOGLETRANSLATE(F486,""en"",""ur"")"),"ریتلی یا گندگی کی سطح")</f>
        <v>ریتلی یا گندگی کی سطح</v>
      </c>
      <c r="Q486" s="6" t="s">
        <v>688</v>
      </c>
      <c r="R486" s="6" t="str">
        <f>IFERROR(__xludf.DUMMYFUNCTION("GOOGLETRANSLATE(G486,""en"",""ur"")"),"ایک گھاس دار سطح")</f>
        <v>ایک گھاس دار سطح</v>
      </c>
      <c r="S486" s="6"/>
      <c r="T486" s="6"/>
      <c r="U486" s="6"/>
      <c r="V486" s="6"/>
      <c r="W486" s="6"/>
      <c r="X486" s="6"/>
      <c r="Y486" s="6"/>
      <c r="Z486" s="6"/>
      <c r="AA486" s="6"/>
    </row>
    <row r="487">
      <c r="A487" s="7">
        <v>487.0</v>
      </c>
      <c r="B487" s="6" t="s">
        <v>94</v>
      </c>
      <c r="C487" s="6" t="s">
        <v>95</v>
      </c>
      <c r="D487" s="6" t="s">
        <v>651</v>
      </c>
      <c r="E487" s="6" t="s">
        <v>652</v>
      </c>
      <c r="F487" s="6" t="s">
        <v>653</v>
      </c>
      <c r="G487" s="6" t="s">
        <v>652</v>
      </c>
      <c r="H487" s="6" t="s">
        <v>809</v>
      </c>
      <c r="I487" s="6"/>
      <c r="J487" s="6"/>
      <c r="K487" s="6"/>
      <c r="L487" s="6" t="str">
        <f>IFERROR(__xludf.DUMMYFUNCTION("GOOGLETRANSLATE(B487,""en"",""ur"")"),"کھیلے جانے والے کھیل کا نام کیا ہے؟")</f>
        <v>کھیلے جانے والے کھیل کا نام کیا ہے؟</v>
      </c>
      <c r="M487" s="6"/>
      <c r="N487" s="8" t="str">
        <f>IFERROR(__xludf.DUMMYFUNCTION("GOOGLETRANSLATE(D487,""en"",""ur"")"),"کرکٹ")</f>
        <v>کرکٹ</v>
      </c>
      <c r="O487" s="6" t="str">
        <f>IFERROR(__xludf.DUMMYFUNCTION("GOOGLETRANSLATE(E487,""en"",""ur"")"),"گلی ڈنڈا۔")</f>
        <v>گلی ڈنڈا۔</v>
      </c>
      <c r="P487" s="6" t="str">
        <f>IFERROR(__xludf.DUMMYFUNCTION("GOOGLETRANSLATE(F487,""en"",""ur"")"),"بیس بال")</f>
        <v>بیس بال</v>
      </c>
      <c r="Q487" s="6" t="s">
        <v>654</v>
      </c>
      <c r="R487" s="6" t="str">
        <f>IFERROR(__xludf.DUMMYFUNCTION("GOOGLETRANSLATE(G487,""en"",""ur"")"),"گلی ڈنڈا۔")</f>
        <v>گلی ڈنڈا۔</v>
      </c>
      <c r="S487" s="6"/>
      <c r="T487" s="6"/>
      <c r="U487" s="6"/>
      <c r="V487" s="6"/>
      <c r="W487" s="6"/>
      <c r="X487" s="6"/>
      <c r="Y487" s="6"/>
      <c r="Z487" s="6"/>
      <c r="AA487" s="6"/>
    </row>
    <row r="488">
      <c r="A488" s="7">
        <v>488.0</v>
      </c>
      <c r="B488" s="6" t="s">
        <v>260</v>
      </c>
      <c r="C488" s="6" t="s">
        <v>261</v>
      </c>
      <c r="D488" s="6" t="s">
        <v>262</v>
      </c>
      <c r="E488" s="6" t="s">
        <v>263</v>
      </c>
      <c r="F488" s="6" t="s">
        <v>655</v>
      </c>
      <c r="G488" s="6" t="s">
        <v>655</v>
      </c>
      <c r="H488" s="6" t="s">
        <v>809</v>
      </c>
      <c r="I488" s="6"/>
      <c r="J488" s="6"/>
      <c r="K488" s="6"/>
      <c r="L488" s="6" t="str">
        <f>IFERROR(__xludf.DUMMYFUNCTION("GOOGLETRANSLATE(B488,""en"",""ur"")"),"تصویر میں ایکشن ایک ایسا انداز تجویز کرتا ہے جو اس بات پر زور دیتا ہے...")</f>
        <v>تصویر میں ایکشن ایک ایسا انداز تجویز کرتا ہے جو اس بات پر زور دیتا ہے...</v>
      </c>
      <c r="M488" s="6"/>
      <c r="N488" s="8" t="str">
        <f>IFERROR(__xludf.DUMMYFUNCTION("GOOGLETRANSLATE(D488,""en"",""ur"")"),"زمینی لڑائی اور گرفت")</f>
        <v>زمینی لڑائی اور گرفت</v>
      </c>
      <c r="O488" s="6" t="str">
        <f>IFERROR(__xludf.DUMMYFUNCTION("GOOGLETRANSLATE(E488,""en"",""ur"")"),"وحشیانہ قوت اور گھڑ سواری۔")</f>
        <v>وحشیانہ قوت اور گھڑ سواری۔</v>
      </c>
      <c r="P488" s="6" t="str">
        <f>IFERROR(__xludf.DUMMYFUNCTION("GOOGLETRANSLATE(F488,""en"",""ur"")"),"ہاتھ سے آنکھ کو آرڈینیشن اور حیرت انگیز")</f>
        <v>ہاتھ سے آنکھ کو آرڈینیشن اور حیرت انگیز</v>
      </c>
      <c r="Q488" s="6" t="s">
        <v>656</v>
      </c>
      <c r="R488" s="6" t="str">
        <f>IFERROR(__xludf.DUMMYFUNCTION("GOOGLETRANSLATE(G488,""en"",""ur"")"),"ہاتھ سے آنکھ کو آرڈینیشن اور حیرت انگیز")</f>
        <v>ہاتھ سے آنکھ کو آرڈینیشن اور حیرت انگیز</v>
      </c>
      <c r="S488" s="6"/>
      <c r="T488" s="6"/>
      <c r="U488" s="6"/>
      <c r="V488" s="6"/>
      <c r="W488" s="6"/>
      <c r="X488" s="6"/>
      <c r="Y488" s="6"/>
      <c r="Z488" s="6"/>
      <c r="AA488" s="6"/>
    </row>
    <row r="489">
      <c r="A489" s="7">
        <v>489.0</v>
      </c>
      <c r="B489" s="6" t="s">
        <v>880</v>
      </c>
      <c r="C489" s="6" t="s">
        <v>435</v>
      </c>
      <c r="D489" s="6" t="s">
        <v>665</v>
      </c>
      <c r="E489" s="6" t="s">
        <v>666</v>
      </c>
      <c r="F489" s="6" t="s">
        <v>725</v>
      </c>
      <c r="G489" s="6" t="s">
        <v>725</v>
      </c>
      <c r="H489" s="6" t="s">
        <v>809</v>
      </c>
      <c r="I489" s="6"/>
      <c r="J489" s="6"/>
      <c r="K489" s="6"/>
      <c r="L489" s="6" t="str">
        <f>IFERROR(__xludf.DUMMYFUNCTION("GOOGLETRANSLATE(B489,""en"",""ur"")"),"کارٹون میں جانوروں کے بارے میں ایک قابل ذکر تفصیل کیا ہے؟")</f>
        <v>کارٹون میں جانوروں کے بارے میں ایک قابل ذکر تفصیل کیا ہے؟</v>
      </c>
      <c r="M489" s="6"/>
      <c r="N489" s="8" t="str">
        <f>IFERROR(__xludf.DUMMYFUNCTION("GOOGLETRANSLATE(D489,""en"",""ur"")"),"وہ سب ادھر ادھر بھاگ رہے ہیں۔")</f>
        <v>وہ سب ادھر ادھر بھاگ رہے ہیں۔</v>
      </c>
      <c r="O489" s="6" t="str">
        <f>IFERROR(__xludf.DUMMYFUNCTION("GOOGLETRANSLATE(E489,""en"",""ur"")"),"وہ ایک دفاعی، تیار موقف میں ہیں۔")</f>
        <v>وہ ایک دفاعی، تیار موقف میں ہیں۔</v>
      </c>
      <c r="P489" s="6" t="str">
        <f>IFERROR(__xludf.DUMMYFUNCTION("GOOGLETRANSLATE(F489,""en"",""ur"")"),"وہ سب کھڑے کھڑے دیکھ رہے ہیں۔")</f>
        <v>وہ سب کھڑے کھڑے دیکھ رہے ہیں۔</v>
      </c>
      <c r="Q489" s="6" t="s">
        <v>881</v>
      </c>
      <c r="R489" s="6" t="str">
        <f>IFERROR(__xludf.DUMMYFUNCTION("GOOGLETRANSLATE(G489,""en"",""ur"")"),"وہ سب کھڑے کھڑے دیکھ رہے ہیں۔")</f>
        <v>وہ سب کھڑے کھڑے دیکھ رہے ہیں۔</v>
      </c>
      <c r="S489" s="6"/>
      <c r="T489" s="6"/>
      <c r="U489" s="6"/>
      <c r="V489" s="6"/>
      <c r="W489" s="6"/>
      <c r="X489" s="6"/>
      <c r="Y489" s="6"/>
      <c r="Z489" s="6"/>
      <c r="AA489" s="6"/>
    </row>
    <row r="490">
      <c r="A490" s="7">
        <v>490.0</v>
      </c>
      <c r="B490" s="6" t="s">
        <v>882</v>
      </c>
      <c r="C490" s="6" t="s">
        <v>883</v>
      </c>
      <c r="D490" s="6" t="s">
        <v>884</v>
      </c>
      <c r="E490" s="6" t="s">
        <v>885</v>
      </c>
      <c r="F490" s="6" t="s">
        <v>178</v>
      </c>
      <c r="G490" s="6" t="s">
        <v>884</v>
      </c>
      <c r="H490" s="6" t="s">
        <v>809</v>
      </c>
      <c r="I490" s="6"/>
      <c r="J490" s="6"/>
      <c r="K490" s="6"/>
      <c r="L490" s="6" t="str">
        <f>IFERROR(__xludf.DUMMYFUNCTION("GOOGLETRANSLATE(B490,""en"",""ur"")"),"کارٹون میں روایتی جھونپڑی اور بیل گاڑی بھی دکھائی گئی ہے۔ یہ ترتیب کے بارے میں کیا تجویز کرتا ہے؟")</f>
        <v>کارٹون میں روایتی جھونپڑی اور بیل گاڑی بھی دکھائی گئی ہے۔ یہ ترتیب کے بارے میں کیا تجویز کرتا ہے؟</v>
      </c>
      <c r="M490" s="6"/>
      <c r="N490" s="8" t="str">
        <f>IFERROR(__xludf.DUMMYFUNCTION("GOOGLETRANSLATE(D490,""en"",""ur"")"),"یہ ایک دیہاتی گاؤں ہے۔")</f>
        <v>یہ ایک دیہاتی گاؤں ہے۔</v>
      </c>
      <c r="O490" s="6" t="str">
        <f>IFERROR(__xludf.DUMMYFUNCTION("GOOGLETRANSLATE(E490,""en"",""ur"")"),"یہ ایک اندرونی میدان ہے۔")</f>
        <v>یہ ایک اندرونی میدان ہے۔</v>
      </c>
      <c r="P490" s="6" t="str">
        <f>IFERROR(__xludf.DUMMYFUNCTION("GOOGLETRANSLATE(F490,""en"",""ur"")"),"یہ ایک تاریخی یادگار ہے۔")</f>
        <v>یہ ایک تاریخی یادگار ہے۔</v>
      </c>
      <c r="Q490" s="6" t="s">
        <v>886</v>
      </c>
      <c r="R490" s="6" t="str">
        <f>IFERROR(__xludf.DUMMYFUNCTION("GOOGLETRANSLATE(G490,""en"",""ur"")"),"یہ ایک دیہاتی گاؤں ہے۔")</f>
        <v>یہ ایک دیہاتی گاؤں ہے۔</v>
      </c>
      <c r="S490" s="6"/>
      <c r="T490" s="6"/>
      <c r="U490" s="6"/>
      <c r="V490" s="6"/>
      <c r="W490" s="6"/>
      <c r="X490" s="6"/>
      <c r="Y490" s="6"/>
      <c r="Z490" s="6"/>
      <c r="AA490" s="6"/>
    </row>
    <row r="491">
      <c r="A491" s="7">
        <v>491.0</v>
      </c>
      <c r="B491" s="6" t="s">
        <v>932</v>
      </c>
      <c r="C491" s="6" t="s">
        <v>632</v>
      </c>
      <c r="D491" s="6" t="s">
        <v>633</v>
      </c>
      <c r="E491" s="6" t="s">
        <v>634</v>
      </c>
      <c r="F491" s="6" t="s">
        <v>713</v>
      </c>
      <c r="G491" s="6" t="s">
        <v>632</v>
      </c>
      <c r="H491" s="6" t="s">
        <v>933</v>
      </c>
      <c r="I491" s="6"/>
      <c r="J491" s="6"/>
      <c r="K491" s="6"/>
      <c r="L491" s="6" t="str">
        <f>IFERROR(__xludf.DUMMYFUNCTION("GOOGLETRANSLATE(B491,""en"",""ur"")"),"gilli_danda_58 میں دکھائے جانے والے اہم عمل کیا ہے؟")</f>
        <v>gilli_danda_58 میں دکھائے جانے والے اہم عمل کیا ہے؟</v>
      </c>
      <c r="M491" s="6"/>
      <c r="N491" s="8" t="str">
        <f>IFERROR(__xludf.DUMMYFUNCTION("GOOGLETRANSLATE(D491,""en"",""ur"")"),"ایک کھلاڑی گیند کی خدمت کر رہا ہے۔")</f>
        <v>ایک کھلاڑی گیند کی خدمت کر رہا ہے۔</v>
      </c>
      <c r="O491" s="6" t="str">
        <f>IFERROR(__xludf.DUMMYFUNCTION("GOOGLETRANSLATE(E491,""en"",""ur"")"),"ایک کھلاڑی دفاعی بلاک کا مظاہرہ کر رہا ہے۔")</f>
        <v>ایک کھلاڑی دفاعی بلاک کا مظاہرہ کر رہا ہے۔</v>
      </c>
      <c r="P491" s="6" t="str">
        <f>IFERROR(__xludf.DUMMYFUNCTION("GOOGLETRANSLATE(F491,""en"",""ur"")"),"ایک کھلاڑی کھینچ رہا ہے۔")</f>
        <v>ایک کھلاڑی کھینچ رہا ہے۔</v>
      </c>
      <c r="Q491" s="6" t="s">
        <v>715</v>
      </c>
      <c r="R491" s="6" t="str">
        <f>IFERROR(__xludf.DUMMYFUNCTION("GOOGLETRANSLATE(G491,""en"",""ur"")"),"ایک کھلاڑی چھوٹی چھڑی کو بڑی چھڑی سے مار رہا ہے۔")</f>
        <v>ایک کھلاڑی چھوٹی چھڑی کو بڑی چھڑی سے مار رہا ہے۔</v>
      </c>
      <c r="S491" s="6"/>
      <c r="T491" s="6"/>
      <c r="U491" s="6"/>
      <c r="V491" s="6"/>
      <c r="W491" s="6"/>
      <c r="X491" s="6"/>
      <c r="Y491" s="6"/>
      <c r="Z491" s="6"/>
      <c r="AA491" s="6"/>
    </row>
    <row r="492">
      <c r="A492" s="7">
        <v>492.0</v>
      </c>
      <c r="B492" s="6" t="s">
        <v>636</v>
      </c>
      <c r="C492" s="6" t="s">
        <v>637</v>
      </c>
      <c r="D492" s="6" t="s">
        <v>638</v>
      </c>
      <c r="E492" s="6" t="s">
        <v>639</v>
      </c>
      <c r="F492" s="6" t="s">
        <v>640</v>
      </c>
      <c r="G492" s="6" t="s">
        <v>638</v>
      </c>
      <c r="H492" s="6" t="s">
        <v>933</v>
      </c>
      <c r="I492" s="6"/>
      <c r="J492" s="6"/>
      <c r="K492" s="6"/>
      <c r="L492" s="6" t="str">
        <f>IFERROR(__xludf.DUMMYFUNCTION("GOOGLETRANSLATE(B492,""en"",""ur"")"),"کھیل میں استعمال ہونے والے آلات کے دو ٹکڑے کیا ہیں؟")</f>
        <v>کھیل میں استعمال ہونے والے آلات کے دو ٹکڑے کیا ہیں؟</v>
      </c>
      <c r="M492" s="6"/>
      <c r="N492" s="8" t="str">
        <f>IFERROR(__xludf.DUMMYFUNCTION("GOOGLETRANSLATE(D492,""en"",""ur"")"),"ایک لمبی چھڑی (ڈنڈا) اور ایک چھوٹی چھڑی (گلی)")</f>
        <v>ایک لمبی چھڑی (ڈنڈا) اور ایک چھوٹی چھڑی (گلی)</v>
      </c>
      <c r="O492" s="6" t="str">
        <f>IFERROR(__xludf.DUMMYFUNCTION("GOOGLETRANSLATE(E492,""en"",""ur"")"),"ایک ریکیٹ اور ایک شٹل کاک")</f>
        <v>ایک ریکیٹ اور ایک شٹل کاک</v>
      </c>
      <c r="P492" s="6" t="str">
        <f>IFERROR(__xludf.DUMMYFUNCTION("GOOGLETRANSLATE(F492,""en"",""ur"")"),"ایک چمگادڑ اور ایک دستانہ")</f>
        <v>ایک چمگادڑ اور ایک دستانہ</v>
      </c>
      <c r="Q492" s="6" t="s">
        <v>641</v>
      </c>
      <c r="R492" s="6" t="str">
        <f>IFERROR(__xludf.DUMMYFUNCTION("GOOGLETRANSLATE(G492,""en"",""ur"")"),"ایک لمبی چھڑی (ڈنڈا) اور ایک چھوٹی چھڑی (گلی)")</f>
        <v>ایک لمبی چھڑی (ڈنڈا) اور ایک چھوٹی چھڑی (گلی)</v>
      </c>
      <c r="S492" s="6"/>
      <c r="T492" s="6"/>
      <c r="U492" s="6"/>
      <c r="V492" s="6"/>
      <c r="W492" s="6"/>
      <c r="X492" s="6"/>
      <c r="Y492" s="6"/>
      <c r="Z492" s="6"/>
      <c r="AA492" s="6"/>
    </row>
    <row r="493">
      <c r="A493" s="7">
        <v>493.0</v>
      </c>
      <c r="B493" s="6" t="s">
        <v>678</v>
      </c>
      <c r="C493" s="6" t="s">
        <v>307</v>
      </c>
      <c r="D493" s="6" t="s">
        <v>643</v>
      </c>
      <c r="E493" s="6" t="s">
        <v>311</v>
      </c>
      <c r="F493" s="6" t="s">
        <v>314</v>
      </c>
      <c r="G493" s="6" t="s">
        <v>643</v>
      </c>
      <c r="H493" s="6" t="s">
        <v>933</v>
      </c>
      <c r="I493" s="6"/>
      <c r="J493" s="6"/>
      <c r="K493" s="6"/>
      <c r="L493" s="6" t="str">
        <f>IFERROR(__xludf.DUMMYFUNCTION("GOOGLETRANSLATE(B493,""en"",""ur"")"),"کھلاڑی کے بارے میں ایک قابل ذکر تفصیل کیا ہے؟")</f>
        <v>کھلاڑی کے بارے میں ایک قابل ذکر تفصیل کیا ہے؟</v>
      </c>
      <c r="M493" s="6"/>
      <c r="N493" s="8" t="str">
        <f>IFERROR(__xludf.DUMMYFUNCTION("GOOGLETRANSLATE(D493,""en"",""ur"")"),"وہ ایک پست، جھکائے ہوئے موقف میں ہے، ہڑتال کرنے کی تیاری کر رہا ہے۔")</f>
        <v>وہ ایک پست، جھکائے ہوئے موقف میں ہے، ہڑتال کرنے کی تیاری کر رہا ہے۔</v>
      </c>
      <c r="O493" s="6" t="str">
        <f>IFERROR(__xludf.DUMMYFUNCTION("GOOGLETRANSLATE(E493,""en"",""ur"")"),"وہ سیدھا کھڑا ہے۔")</f>
        <v>وہ سیدھا کھڑا ہے۔</v>
      </c>
      <c r="P493" s="6" t="str">
        <f>IFERROR(__xludf.DUMMYFUNCTION("GOOGLETRANSLATE(F493,""en"",""ur"")"),"وہ آرام سے بیٹھا ہے۔")</f>
        <v>وہ آرام سے بیٹھا ہے۔</v>
      </c>
      <c r="Q493" s="6" t="s">
        <v>644</v>
      </c>
      <c r="R493" s="6" t="str">
        <f>IFERROR(__xludf.DUMMYFUNCTION("GOOGLETRANSLATE(G493,""en"",""ur"")"),"وہ ایک پست، جھکائے ہوئے موقف میں ہے، ہڑتال کرنے کی تیاری کر رہا ہے۔")</f>
        <v>وہ ایک پست، جھکائے ہوئے موقف میں ہے، ہڑتال کرنے کی تیاری کر رہا ہے۔</v>
      </c>
      <c r="S493" s="6"/>
      <c r="T493" s="6"/>
      <c r="U493" s="6"/>
      <c r="V493" s="6"/>
      <c r="W493" s="6"/>
      <c r="X493" s="6"/>
      <c r="Y493" s="6"/>
      <c r="Z493" s="6"/>
      <c r="AA493" s="6"/>
    </row>
    <row r="494">
      <c r="A494" s="7">
        <v>494.0</v>
      </c>
      <c r="B494" s="6" t="s">
        <v>645</v>
      </c>
      <c r="C494" s="6" t="s">
        <v>422</v>
      </c>
      <c r="D494" s="6" t="s">
        <v>646</v>
      </c>
      <c r="E494" s="6" t="s">
        <v>647</v>
      </c>
      <c r="F494" s="6" t="s">
        <v>425</v>
      </c>
      <c r="G494" s="6" t="s">
        <v>647</v>
      </c>
      <c r="H494" s="6" t="s">
        <v>933</v>
      </c>
      <c r="I494" s="6"/>
      <c r="J494" s="6"/>
      <c r="K494" s="6"/>
      <c r="L494" s="6" t="str">
        <f>IFERROR(__xludf.DUMMYFUNCTION("GOOGLETRANSLATE(B494,""en"",""ur"")"),"کھیل کی ظاہری ترتیب کیا ہے؟")</f>
        <v>کھیل کی ظاہری ترتیب کیا ہے؟</v>
      </c>
      <c r="M494" s="6"/>
      <c r="N494" s="8" t="str">
        <f>IFERROR(__xludf.DUMMYFUNCTION("GOOGLETRANSLATE(D494,""en"",""ur"")"),"شہر کی ایک گلی")</f>
        <v>شہر کی ایک گلی</v>
      </c>
      <c r="O494" s="6" t="str">
        <f>IFERROR(__xludf.DUMMYFUNCTION("GOOGLETRANSLATE(E494,""en"",""ur"")"),"ایک بیرونی گندگی کا میدان")</f>
        <v>ایک بیرونی گندگی کا میدان</v>
      </c>
      <c r="P494" s="6" t="str">
        <f>IFERROR(__xludf.DUMMYFUNCTION("GOOGLETRANSLATE(F494,""en"",""ur"")"),"گھاس کا میدان")</f>
        <v>گھاس کا میدان</v>
      </c>
      <c r="Q494" s="6" t="s">
        <v>648</v>
      </c>
      <c r="R494" s="6" t="str">
        <f>IFERROR(__xludf.DUMMYFUNCTION("GOOGLETRANSLATE(G494,""en"",""ur"")"),"ایک بیرونی گندگی کا میدان")</f>
        <v>ایک بیرونی گندگی کا میدان</v>
      </c>
      <c r="S494" s="6"/>
      <c r="T494" s="6"/>
      <c r="U494" s="6"/>
      <c r="V494" s="6"/>
      <c r="W494" s="6"/>
      <c r="X494" s="6"/>
      <c r="Y494" s="6"/>
      <c r="Z494" s="6"/>
      <c r="AA494" s="6"/>
    </row>
    <row r="495">
      <c r="A495" s="7">
        <v>495.0</v>
      </c>
      <c r="B495" s="6" t="s">
        <v>679</v>
      </c>
      <c r="C495" s="6" t="s">
        <v>47</v>
      </c>
      <c r="D495" s="6" t="s">
        <v>48</v>
      </c>
      <c r="E495" s="6" t="s">
        <v>49</v>
      </c>
      <c r="F495" s="6" t="s">
        <v>50</v>
      </c>
      <c r="G495" s="6" t="s">
        <v>49</v>
      </c>
      <c r="H495" s="6" t="s">
        <v>933</v>
      </c>
      <c r="I495" s="6"/>
      <c r="J495" s="6"/>
      <c r="K495" s="6"/>
      <c r="L495" s="6" t="str">
        <f>IFERROR(__xludf.DUMMYFUNCTION("GOOGLETRANSLATE(B495,""en"",""ur"")"),"کھلاڑی کے چہرے سے ظاہری جذبات کیا ہیں؟")</f>
        <v>کھلاڑی کے چہرے سے ظاہری جذبات کیا ہیں؟</v>
      </c>
      <c r="M495" s="6"/>
      <c r="N495" s="8" t="str">
        <f>IFERROR(__xludf.DUMMYFUNCTION("GOOGLETRANSLATE(D495,""en"",""ur"")"),"خوف زدہ اور بے چین")</f>
        <v>خوف زدہ اور بے چین</v>
      </c>
      <c r="O495" s="6" t="str">
        <f>IFERROR(__xludf.DUMMYFUNCTION("GOOGLETRANSLATE(E495,""en"",""ur"")"),"کشیدہ اور شدید")</f>
        <v>کشیدہ اور شدید</v>
      </c>
      <c r="P495" s="6" t="str">
        <f>IFERROR(__xludf.DUMMYFUNCTION("GOOGLETRANSLATE(F495,""en"",""ur"")"),"خوش اور مسکراتے ہوئے۔")</f>
        <v>خوش اور مسکراتے ہوئے۔</v>
      </c>
      <c r="Q495" s="6" t="s">
        <v>649</v>
      </c>
      <c r="R495" s="6" t="str">
        <f>IFERROR(__xludf.DUMMYFUNCTION("GOOGLETRANSLATE(G495,""en"",""ur"")"),"کشیدہ اور شدید")</f>
        <v>کشیدہ اور شدید</v>
      </c>
      <c r="S495" s="6"/>
      <c r="T495" s="6"/>
      <c r="U495" s="6"/>
      <c r="V495" s="6"/>
      <c r="W495" s="6"/>
      <c r="X495" s="6"/>
      <c r="Y495" s="6"/>
      <c r="Z495" s="6"/>
      <c r="AA495" s="6"/>
    </row>
    <row r="496">
      <c r="A496" s="7">
        <v>496.0</v>
      </c>
      <c r="B496" s="6" t="s">
        <v>88</v>
      </c>
      <c r="C496" s="6" t="s">
        <v>89</v>
      </c>
      <c r="D496" s="6" t="s">
        <v>90</v>
      </c>
      <c r="E496" s="6" t="s">
        <v>91</v>
      </c>
      <c r="F496" s="6" t="s">
        <v>255</v>
      </c>
      <c r="G496" s="6" t="s">
        <v>255</v>
      </c>
      <c r="H496" s="6" t="s">
        <v>933</v>
      </c>
      <c r="I496" s="6"/>
      <c r="J496" s="6"/>
      <c r="K496" s="6"/>
      <c r="L496" s="6" t="str">
        <f>IFERROR(__xludf.DUMMYFUNCTION("GOOGLETRANSLATE(B496,""en"",""ur"")"),"زمین کی سب سے نمایاں خصوصیت کیا ہے؟")</f>
        <v>زمین کی سب سے نمایاں خصوصیت کیا ہے؟</v>
      </c>
      <c r="M496" s="6"/>
      <c r="N496" s="8" t="str">
        <f>IFERROR(__xludf.DUMMYFUNCTION("GOOGLETRANSLATE(D496,""en"",""ur"")"),"کیچڑ والا میدان")</f>
        <v>کیچڑ والا میدان</v>
      </c>
      <c r="O496" s="6" t="str">
        <f>IFERROR(__xludf.DUMMYFUNCTION("GOOGLETRANSLATE(E496,""en"",""ur"")"),"ایک گھاس دار سطح")</f>
        <v>ایک گھاس دار سطح</v>
      </c>
      <c r="P496" s="6" t="str">
        <f>IFERROR(__xludf.DUMMYFUNCTION("GOOGLETRANSLATE(F496,""en"",""ur"")"),"ریتلی یا گندگی کی سطح")</f>
        <v>ریتلی یا گندگی کی سطح</v>
      </c>
      <c r="Q496" s="6" t="s">
        <v>688</v>
      </c>
      <c r="R496" s="6" t="str">
        <f>IFERROR(__xludf.DUMMYFUNCTION("GOOGLETRANSLATE(G496,""en"",""ur"")"),"ریتلی یا گندگی کی سطح")</f>
        <v>ریتلی یا گندگی کی سطح</v>
      </c>
      <c r="S496" s="6"/>
      <c r="T496" s="6"/>
      <c r="U496" s="6"/>
      <c r="V496" s="6"/>
      <c r="W496" s="6"/>
      <c r="X496" s="6"/>
      <c r="Y496" s="6"/>
      <c r="Z496" s="6"/>
      <c r="AA496" s="6"/>
    </row>
    <row r="497">
      <c r="A497" s="7">
        <v>497.0</v>
      </c>
      <c r="B497" s="6" t="s">
        <v>94</v>
      </c>
      <c r="C497" s="6" t="s">
        <v>95</v>
      </c>
      <c r="D497" s="6" t="s">
        <v>651</v>
      </c>
      <c r="E497" s="6" t="s">
        <v>652</v>
      </c>
      <c r="F497" s="6" t="s">
        <v>653</v>
      </c>
      <c r="G497" s="6" t="s">
        <v>652</v>
      </c>
      <c r="H497" s="6" t="s">
        <v>933</v>
      </c>
      <c r="I497" s="6"/>
      <c r="J497" s="6"/>
      <c r="K497" s="6"/>
      <c r="L497" s="6" t="str">
        <f>IFERROR(__xludf.DUMMYFUNCTION("GOOGLETRANSLATE(B497,""en"",""ur"")"),"کھیلے جانے والے کھیل کا نام کیا ہے؟")</f>
        <v>کھیلے جانے والے کھیل کا نام کیا ہے؟</v>
      </c>
      <c r="M497" s="6"/>
      <c r="N497" s="8" t="str">
        <f>IFERROR(__xludf.DUMMYFUNCTION("GOOGLETRANSLATE(D497,""en"",""ur"")"),"کرکٹ")</f>
        <v>کرکٹ</v>
      </c>
      <c r="O497" s="6" t="str">
        <f>IFERROR(__xludf.DUMMYFUNCTION("GOOGLETRANSLATE(E497,""en"",""ur"")"),"گلی ڈنڈا۔")</f>
        <v>گلی ڈنڈا۔</v>
      </c>
      <c r="P497" s="6" t="str">
        <f>IFERROR(__xludf.DUMMYFUNCTION("GOOGLETRANSLATE(F497,""en"",""ur"")"),"بیس بال")</f>
        <v>بیس بال</v>
      </c>
      <c r="Q497" s="6" t="s">
        <v>654</v>
      </c>
      <c r="R497" s="6" t="str">
        <f>IFERROR(__xludf.DUMMYFUNCTION("GOOGLETRANSLATE(G497,""en"",""ur"")"),"گلی ڈنڈا۔")</f>
        <v>گلی ڈنڈا۔</v>
      </c>
      <c r="S497" s="6"/>
      <c r="T497" s="6"/>
      <c r="U497" s="6"/>
      <c r="V497" s="6"/>
      <c r="W497" s="6"/>
      <c r="X497" s="6"/>
      <c r="Y497" s="6"/>
      <c r="Z497" s="6"/>
      <c r="AA497" s="6"/>
    </row>
    <row r="498">
      <c r="A498" s="7">
        <v>498.0</v>
      </c>
      <c r="B498" s="6" t="s">
        <v>260</v>
      </c>
      <c r="C498" s="6" t="s">
        <v>261</v>
      </c>
      <c r="D498" s="6" t="s">
        <v>262</v>
      </c>
      <c r="E498" s="6" t="s">
        <v>263</v>
      </c>
      <c r="F498" s="6" t="s">
        <v>655</v>
      </c>
      <c r="G498" s="6" t="s">
        <v>655</v>
      </c>
      <c r="H498" s="6" t="s">
        <v>933</v>
      </c>
      <c r="I498" s="6"/>
      <c r="J498" s="6"/>
      <c r="K498" s="6"/>
      <c r="L498" s="6" t="str">
        <f>IFERROR(__xludf.DUMMYFUNCTION("GOOGLETRANSLATE(B498,""en"",""ur"")"),"تصویر میں ایکشن ایک ایسا انداز تجویز کرتا ہے جو اس بات پر زور دیتا ہے...")</f>
        <v>تصویر میں ایکشن ایک ایسا انداز تجویز کرتا ہے جو اس بات پر زور دیتا ہے...</v>
      </c>
      <c r="M498" s="6"/>
      <c r="N498" s="8" t="str">
        <f>IFERROR(__xludf.DUMMYFUNCTION("GOOGLETRANSLATE(D498,""en"",""ur"")"),"زمینی لڑائی اور گرفت")</f>
        <v>زمینی لڑائی اور گرفت</v>
      </c>
      <c r="O498" s="6" t="str">
        <f>IFERROR(__xludf.DUMMYFUNCTION("GOOGLETRANSLATE(E498,""en"",""ur"")"),"وحشیانہ قوت اور گھڑ سواری۔")</f>
        <v>وحشیانہ قوت اور گھڑ سواری۔</v>
      </c>
      <c r="P498" s="6" t="str">
        <f>IFERROR(__xludf.DUMMYFUNCTION("GOOGLETRANSLATE(F498,""en"",""ur"")"),"ہاتھ سے آنکھ کو آرڈینیشن اور حیرت انگیز")</f>
        <v>ہاتھ سے آنکھ کو آرڈینیشن اور حیرت انگیز</v>
      </c>
      <c r="Q498" s="6" t="s">
        <v>656</v>
      </c>
      <c r="R498" s="6" t="str">
        <f>IFERROR(__xludf.DUMMYFUNCTION("GOOGLETRANSLATE(G498,""en"",""ur"")"),"ہاتھ سے آنکھ کو آرڈینیشن اور حیرت انگیز")</f>
        <v>ہاتھ سے آنکھ کو آرڈینیشن اور حیرت انگیز</v>
      </c>
      <c r="S498" s="6"/>
      <c r="T498" s="6"/>
      <c r="U498" s="6"/>
      <c r="V498" s="6"/>
      <c r="W498" s="6"/>
      <c r="X498" s="6"/>
      <c r="Y498" s="6"/>
      <c r="Z498" s="6"/>
      <c r="AA498" s="6"/>
    </row>
    <row r="499">
      <c r="A499" s="7">
        <v>499.0</v>
      </c>
      <c r="B499" s="6" t="s">
        <v>657</v>
      </c>
      <c r="C499" s="6" t="s">
        <v>658</v>
      </c>
      <c r="D499" s="6" t="s">
        <v>659</v>
      </c>
      <c r="E499" s="6" t="s">
        <v>660</v>
      </c>
      <c r="F499" s="6" t="s">
        <v>661</v>
      </c>
      <c r="G499" s="6" t="s">
        <v>659</v>
      </c>
      <c r="H499" s="6" t="s">
        <v>933</v>
      </c>
      <c r="I499" s="6"/>
      <c r="J499" s="6"/>
      <c r="K499" s="6"/>
      <c r="L499" s="6" t="str">
        <f>IFERROR(__xludf.DUMMYFUNCTION("GOOGLETRANSLATE(B499,""en"",""ur"")"),"کھلاڑیوں کے جوتے کے بارے میں ایک قابل ذکر تفصیل کیا ہے؟")</f>
        <v>کھلاڑیوں کے جوتے کے بارے میں ایک قابل ذکر تفصیل کیا ہے؟</v>
      </c>
      <c r="M499" s="6"/>
      <c r="N499" s="8" t="str">
        <f>IFERROR(__xludf.DUMMYFUNCTION("GOOGLETRANSLATE(D499,""en"",""ur"")"),"وہ ننگے پاؤں ہیں۔")</f>
        <v>وہ ننگے پاؤں ہیں۔</v>
      </c>
      <c r="O499" s="6" t="str">
        <f>IFERROR(__xludf.DUMMYFUNCTION("GOOGLETRANSLATE(E499,""en"",""ur"")"),"وہ سینڈل یا فلپ فلاپ پہنے ہوئے ہیں۔")</f>
        <v>وہ سینڈل یا فلپ فلاپ پہنے ہوئے ہیں۔</v>
      </c>
      <c r="P499" s="6" t="str">
        <f>IFERROR(__xludf.DUMMYFUNCTION("GOOGLETRANSLATE(F499,""en"",""ur"")"),"وہ موزے پہنے ہوئے ہیں۔")</f>
        <v>وہ موزے پہنے ہوئے ہیں۔</v>
      </c>
      <c r="Q499" s="6" t="s">
        <v>662</v>
      </c>
      <c r="R499" s="6" t="str">
        <f>IFERROR(__xludf.DUMMYFUNCTION("GOOGLETRANSLATE(G499,""en"",""ur"")"),"وہ ننگے پاؤں ہیں۔")</f>
        <v>وہ ننگے پاؤں ہیں۔</v>
      </c>
      <c r="S499" s="6"/>
      <c r="T499" s="6"/>
      <c r="U499" s="6"/>
      <c r="V499" s="6"/>
      <c r="W499" s="6"/>
      <c r="X499" s="6"/>
      <c r="Y499" s="6"/>
      <c r="Z499" s="6"/>
      <c r="AA499" s="6"/>
    </row>
    <row r="500">
      <c r="A500" s="7">
        <v>500.0</v>
      </c>
      <c r="B500" s="6" t="s">
        <v>663</v>
      </c>
      <c r="C500" s="6" t="s">
        <v>664</v>
      </c>
      <c r="D500" s="6" t="s">
        <v>665</v>
      </c>
      <c r="E500" s="6" t="s">
        <v>666</v>
      </c>
      <c r="F500" s="6" t="s">
        <v>780</v>
      </c>
      <c r="G500" s="6" t="s">
        <v>780</v>
      </c>
      <c r="H500" s="6" t="s">
        <v>933</v>
      </c>
      <c r="I500" s="6"/>
      <c r="J500" s="6"/>
      <c r="K500" s="6"/>
      <c r="L500" s="6" t="str">
        <f>IFERROR(__xludf.DUMMYFUNCTION("GOOGLETRANSLATE(B500,""en"",""ur"")"),"پس منظر میں دیگر کھلاڑیوں کے بارے میں ایک قابل ذکر تفصیل کیا ہے؟")</f>
        <v>پس منظر میں دیگر کھلاڑیوں کے بارے میں ایک قابل ذکر تفصیل کیا ہے؟</v>
      </c>
      <c r="M500" s="6"/>
      <c r="N500" s="8" t="str">
        <f>IFERROR(__xludf.DUMMYFUNCTION("GOOGLETRANSLATE(D500,""en"",""ur"")"),"وہ سب ادھر ادھر بھاگ رہے ہیں۔")</f>
        <v>وہ سب ادھر ادھر بھاگ رہے ہیں۔</v>
      </c>
      <c r="O500" s="6" t="str">
        <f>IFERROR(__xludf.DUMMYFUNCTION("GOOGLETRANSLATE(E500,""en"",""ur"")"),"وہ ایک دفاعی، تیار موقف میں ہیں۔")</f>
        <v>وہ ایک دفاعی، تیار موقف میں ہیں۔</v>
      </c>
      <c r="P500" s="6" t="str">
        <f>IFERROR(__xludf.DUMMYFUNCTION("GOOGLETRANSLATE(F500,""en"",""ur"")"),"کوئی اور کھلاڑی نہیں ہیں۔")</f>
        <v>کوئی اور کھلاڑی نہیں ہیں۔</v>
      </c>
      <c r="Q500" s="6" t="s">
        <v>781</v>
      </c>
      <c r="R500" s="6" t="str">
        <f>IFERROR(__xludf.DUMMYFUNCTION("GOOGLETRANSLATE(G500,""en"",""ur"")"),"کوئی اور کھلاڑی نہیں ہیں۔")</f>
        <v>کوئی اور کھلاڑی نہیں ہیں۔</v>
      </c>
      <c r="S500" s="6"/>
      <c r="T500" s="6"/>
      <c r="U500" s="6"/>
      <c r="V500" s="6"/>
      <c r="W500" s="6"/>
      <c r="X500" s="6"/>
      <c r="Y500" s="6"/>
      <c r="Z500" s="6"/>
      <c r="AA500" s="6"/>
    </row>
    <row r="501">
      <c r="A501" s="7">
        <v>501.0</v>
      </c>
      <c r="B501" s="6" t="s">
        <v>934</v>
      </c>
      <c r="C501" s="6" t="s">
        <v>899</v>
      </c>
      <c r="D501" s="6" t="s">
        <v>682</v>
      </c>
      <c r="E501" s="6" t="s">
        <v>935</v>
      </c>
      <c r="F501" s="6" t="s">
        <v>684</v>
      </c>
      <c r="G501" s="6" t="s">
        <v>935</v>
      </c>
      <c r="H501" s="6" t="s">
        <v>936</v>
      </c>
      <c r="I501" s="6"/>
      <c r="J501" s="6"/>
      <c r="K501" s="6"/>
      <c r="L501" s="6" t="str">
        <f>IFERROR(__xludf.DUMMYFUNCTION("GOOGLETRANSLATE(B501,""en"",""ur"")"),"gilli_danda_59 میں دکھایا گیا اہم عمل کیا ہے؟")</f>
        <v>gilli_danda_59 میں دکھایا گیا اہم عمل کیا ہے؟</v>
      </c>
      <c r="M501" s="6"/>
      <c r="N501" s="8" t="str">
        <f>IFERROR(__xludf.DUMMYFUNCTION("GOOGLETRANSLATE(D501,""en"",""ur"")"),"بچوں کا ایک گروپ جو گیند کا کھیل کھیل رہا ہے۔")</f>
        <v>بچوں کا ایک گروپ جو گیند کا کھیل کھیل رہا ہے۔</v>
      </c>
      <c r="O501" s="6" t="str">
        <f>IFERROR(__xludf.DUMMYFUNCTION("GOOGLETRANSLATE(E501,""en"",""ur"")"),"ٹیم کی سرگرمی میں بچوں کا ایک گروپ")</f>
        <v>ٹیم کی سرگرمی میں بچوں کا ایک گروپ</v>
      </c>
      <c r="P501" s="6" t="str">
        <f>IFERROR(__xludf.DUMMYFUNCTION("GOOGLETRANSLATE(F501,""en"",""ur"")"),"بچوں کا ایک گروپ چل رہا ہے۔")</f>
        <v>بچوں کا ایک گروپ چل رہا ہے۔</v>
      </c>
      <c r="Q501" s="6" t="s">
        <v>937</v>
      </c>
      <c r="R501" s="6" t="str">
        <f>IFERROR(__xludf.DUMMYFUNCTION("GOOGLETRANSLATE(G501,""en"",""ur"")"),"ٹیم کی سرگرمی میں بچوں کا ایک گروپ")</f>
        <v>ٹیم کی سرگرمی میں بچوں کا ایک گروپ</v>
      </c>
      <c r="S501" s="6"/>
      <c r="T501" s="6"/>
      <c r="U501" s="6"/>
      <c r="V501" s="6"/>
      <c r="W501" s="6"/>
      <c r="X501" s="6"/>
      <c r="Y501" s="6"/>
      <c r="Z501" s="6"/>
      <c r="AA501" s="6"/>
    </row>
    <row r="502">
      <c r="A502" s="7">
        <v>502.0</v>
      </c>
      <c r="B502" s="6" t="s">
        <v>636</v>
      </c>
      <c r="C502" s="6" t="s">
        <v>637</v>
      </c>
      <c r="D502" s="6" t="s">
        <v>638</v>
      </c>
      <c r="E502" s="6" t="s">
        <v>639</v>
      </c>
      <c r="F502" s="6" t="s">
        <v>640</v>
      </c>
      <c r="G502" s="6" t="s">
        <v>638</v>
      </c>
      <c r="H502" s="6" t="s">
        <v>936</v>
      </c>
      <c r="I502" s="6"/>
      <c r="J502" s="6"/>
      <c r="K502" s="6"/>
      <c r="L502" s="6" t="str">
        <f>IFERROR(__xludf.DUMMYFUNCTION("GOOGLETRANSLATE(B502,""en"",""ur"")"),"کھیل میں استعمال ہونے والے آلات کے دو ٹکڑے کیا ہیں؟")</f>
        <v>کھیل میں استعمال ہونے والے آلات کے دو ٹکڑے کیا ہیں؟</v>
      </c>
      <c r="M502" s="6"/>
      <c r="N502" s="8" t="str">
        <f>IFERROR(__xludf.DUMMYFUNCTION("GOOGLETRANSLATE(D502,""en"",""ur"")"),"ایک لمبی چھڑی (ڈنڈا) اور ایک چھوٹی چھڑی (گلی)")</f>
        <v>ایک لمبی چھڑی (ڈنڈا) اور ایک چھوٹی چھڑی (گلی)</v>
      </c>
      <c r="O502" s="6" t="str">
        <f>IFERROR(__xludf.DUMMYFUNCTION("GOOGLETRANSLATE(E502,""en"",""ur"")"),"ایک ریکیٹ اور ایک شٹل کاک")</f>
        <v>ایک ریکیٹ اور ایک شٹل کاک</v>
      </c>
      <c r="P502" s="6" t="str">
        <f>IFERROR(__xludf.DUMMYFUNCTION("GOOGLETRANSLATE(F502,""en"",""ur"")"),"ایک چمگادڑ اور ایک دستانہ")</f>
        <v>ایک چمگادڑ اور ایک دستانہ</v>
      </c>
      <c r="Q502" s="6" t="s">
        <v>641</v>
      </c>
      <c r="R502" s="6" t="str">
        <f>IFERROR(__xludf.DUMMYFUNCTION("GOOGLETRANSLATE(G502,""en"",""ur"")"),"ایک لمبی چھڑی (ڈنڈا) اور ایک چھوٹی چھڑی (گلی)")</f>
        <v>ایک لمبی چھڑی (ڈنڈا) اور ایک چھوٹی چھڑی (گلی)</v>
      </c>
      <c r="S502" s="6"/>
      <c r="T502" s="6"/>
      <c r="U502" s="6"/>
      <c r="V502" s="6"/>
      <c r="W502" s="6"/>
      <c r="X502" s="6"/>
      <c r="Y502" s="6"/>
      <c r="Z502" s="6"/>
      <c r="AA502" s="6"/>
    </row>
    <row r="503">
      <c r="A503" s="7">
        <v>503.0</v>
      </c>
      <c r="B503" s="6" t="s">
        <v>767</v>
      </c>
      <c r="C503" s="6" t="s">
        <v>797</v>
      </c>
      <c r="D503" s="6" t="s">
        <v>798</v>
      </c>
      <c r="E503" s="6" t="s">
        <v>799</v>
      </c>
      <c r="F503" s="6" t="s">
        <v>800</v>
      </c>
      <c r="G503" s="6" t="s">
        <v>797</v>
      </c>
      <c r="H503" s="6" t="s">
        <v>936</v>
      </c>
      <c r="I503" s="6"/>
      <c r="J503" s="6"/>
      <c r="K503" s="6"/>
      <c r="L503" s="6" t="str">
        <f>IFERROR(__xludf.DUMMYFUNCTION("GOOGLETRANSLATE(B503,""en"",""ur"")"),"کھلاڑیوں کے بارے میں ایک قابل ذکر تفصیل کیا ہے؟")</f>
        <v>کھلاڑیوں کے بارے میں ایک قابل ذکر تفصیل کیا ہے؟</v>
      </c>
      <c r="M503" s="6"/>
      <c r="N503" s="8" t="str">
        <f>IFERROR(__xludf.DUMMYFUNCTION("GOOGLETRANSLATE(D503,""en"",""ur"")"),"وہ سب بالغ ہیں۔")</f>
        <v>وہ سب بالغ ہیں۔</v>
      </c>
      <c r="O503" s="6" t="str">
        <f>IFERROR(__xludf.DUMMYFUNCTION("GOOGLETRANSLATE(E503,""en"",""ur"")"),"وہ عمر اور جنس کا مرکب ہیں۔")</f>
        <v>وہ عمر اور جنس کا مرکب ہیں۔</v>
      </c>
      <c r="P503" s="6" t="str">
        <f>IFERROR(__xludf.DUMMYFUNCTION("GOOGLETRANSLATE(F503,""en"",""ur"")"),"وہ سب خواتین ہیں۔")</f>
        <v>وہ سب خواتین ہیں۔</v>
      </c>
      <c r="Q503" s="6" t="s">
        <v>801</v>
      </c>
      <c r="R503" s="6" t="str">
        <f>IFERROR(__xludf.DUMMYFUNCTION("GOOGLETRANSLATE(G503,""en"",""ur"")"),"وہ سب بچے ہیں۔")</f>
        <v>وہ سب بچے ہیں۔</v>
      </c>
      <c r="S503" s="6"/>
      <c r="T503" s="6"/>
      <c r="U503" s="6"/>
      <c r="V503" s="6"/>
      <c r="W503" s="6"/>
      <c r="X503" s="6"/>
      <c r="Y503" s="6"/>
      <c r="Z503" s="6"/>
      <c r="AA503" s="6"/>
    </row>
    <row r="504">
      <c r="A504" s="7">
        <v>504.0</v>
      </c>
      <c r="B504" s="6" t="s">
        <v>645</v>
      </c>
      <c r="C504" s="6" t="s">
        <v>422</v>
      </c>
      <c r="D504" s="6" t="s">
        <v>646</v>
      </c>
      <c r="E504" s="6" t="s">
        <v>647</v>
      </c>
      <c r="F504" s="6" t="s">
        <v>425</v>
      </c>
      <c r="G504" s="6" t="s">
        <v>647</v>
      </c>
      <c r="H504" s="6" t="s">
        <v>936</v>
      </c>
      <c r="I504" s="6"/>
      <c r="J504" s="6"/>
      <c r="K504" s="6"/>
      <c r="L504" s="6" t="str">
        <f>IFERROR(__xludf.DUMMYFUNCTION("GOOGLETRANSLATE(B504,""en"",""ur"")"),"کھیل کی ظاہری ترتیب کیا ہے؟")</f>
        <v>کھیل کی ظاہری ترتیب کیا ہے؟</v>
      </c>
      <c r="M504" s="6"/>
      <c r="N504" s="8" t="str">
        <f>IFERROR(__xludf.DUMMYFUNCTION("GOOGLETRANSLATE(D504,""en"",""ur"")"),"شہر کی ایک گلی")</f>
        <v>شہر کی ایک گلی</v>
      </c>
      <c r="O504" s="6" t="str">
        <f>IFERROR(__xludf.DUMMYFUNCTION("GOOGLETRANSLATE(E504,""en"",""ur"")"),"ایک بیرونی گندگی کا میدان")</f>
        <v>ایک بیرونی گندگی کا میدان</v>
      </c>
      <c r="P504" s="6" t="str">
        <f>IFERROR(__xludf.DUMMYFUNCTION("GOOGLETRANSLATE(F504,""en"",""ur"")"),"گھاس کا میدان")</f>
        <v>گھاس کا میدان</v>
      </c>
      <c r="Q504" s="6" t="s">
        <v>648</v>
      </c>
      <c r="R504" s="6" t="str">
        <f>IFERROR(__xludf.DUMMYFUNCTION("GOOGLETRANSLATE(G504,""en"",""ur"")"),"ایک بیرونی گندگی کا میدان")</f>
        <v>ایک بیرونی گندگی کا میدان</v>
      </c>
      <c r="S504" s="6"/>
      <c r="T504" s="6"/>
      <c r="U504" s="6"/>
      <c r="V504" s="6"/>
      <c r="W504" s="6"/>
      <c r="X504" s="6"/>
      <c r="Y504" s="6"/>
      <c r="Z504" s="6"/>
      <c r="AA504" s="6"/>
    </row>
    <row r="505">
      <c r="A505" s="7">
        <v>505.0</v>
      </c>
      <c r="B505" s="6" t="s">
        <v>46</v>
      </c>
      <c r="C505" s="6" t="s">
        <v>47</v>
      </c>
      <c r="D505" s="6" t="s">
        <v>48</v>
      </c>
      <c r="E505" s="6" t="s">
        <v>49</v>
      </c>
      <c r="F505" s="6" t="s">
        <v>50</v>
      </c>
      <c r="G505" s="6" t="s">
        <v>50</v>
      </c>
      <c r="H505" s="6" t="s">
        <v>936</v>
      </c>
      <c r="I505" s="6"/>
      <c r="J505" s="6"/>
      <c r="K505" s="6"/>
      <c r="L505" s="6" t="str">
        <f>IFERROR(__xludf.DUMMYFUNCTION("GOOGLETRANSLATE(B505,""en"",""ur"")"),"کھلاڑیوں کے چہروں سے ظاہری جذبات کیا ہیں؟")</f>
        <v>کھلاڑیوں کے چہروں سے ظاہری جذبات کیا ہیں؟</v>
      </c>
      <c r="M505" s="6"/>
      <c r="N505" s="8" t="str">
        <f>IFERROR(__xludf.DUMMYFUNCTION("GOOGLETRANSLATE(D505,""en"",""ur"")"),"خوف زدہ اور بے چین")</f>
        <v>خوف زدہ اور بے چین</v>
      </c>
      <c r="O505" s="6" t="str">
        <f>IFERROR(__xludf.DUMMYFUNCTION("GOOGLETRANSLATE(E505,""en"",""ur"")"),"کشیدہ اور شدید")</f>
        <v>کشیدہ اور شدید</v>
      </c>
      <c r="P505" s="6" t="str">
        <f>IFERROR(__xludf.DUMMYFUNCTION("GOOGLETRANSLATE(F505,""en"",""ur"")"),"خوش اور مسکراتے ہوئے۔")</f>
        <v>خوش اور مسکراتے ہوئے۔</v>
      </c>
      <c r="Q505" s="6" t="s">
        <v>649</v>
      </c>
      <c r="R505" s="6" t="str">
        <f>IFERROR(__xludf.DUMMYFUNCTION("GOOGLETRANSLATE(G505,""en"",""ur"")"),"خوش اور مسکراتے ہوئے۔")</f>
        <v>خوش اور مسکراتے ہوئے۔</v>
      </c>
      <c r="S505" s="6"/>
      <c r="T505" s="6"/>
      <c r="U505" s="6"/>
      <c r="V505" s="6"/>
      <c r="W505" s="6"/>
      <c r="X505" s="6"/>
      <c r="Y505" s="6"/>
      <c r="Z505" s="6"/>
      <c r="AA505" s="6"/>
    </row>
    <row r="506">
      <c r="A506" s="7">
        <v>506.0</v>
      </c>
      <c r="B506" s="6" t="s">
        <v>88</v>
      </c>
      <c r="C506" s="6" t="s">
        <v>89</v>
      </c>
      <c r="D506" s="6" t="s">
        <v>90</v>
      </c>
      <c r="E506" s="6" t="s">
        <v>91</v>
      </c>
      <c r="F506" s="6" t="s">
        <v>255</v>
      </c>
      <c r="G506" s="6" t="s">
        <v>255</v>
      </c>
      <c r="H506" s="6" t="s">
        <v>936</v>
      </c>
      <c r="I506" s="6"/>
      <c r="J506" s="6"/>
      <c r="K506" s="6"/>
      <c r="L506" s="6" t="str">
        <f>IFERROR(__xludf.DUMMYFUNCTION("GOOGLETRANSLATE(B506,""en"",""ur"")"),"زمین کی سب سے نمایاں خصوصیت کیا ہے؟")</f>
        <v>زمین کی سب سے نمایاں خصوصیت کیا ہے؟</v>
      </c>
      <c r="M506" s="6"/>
      <c r="N506" s="8" t="str">
        <f>IFERROR(__xludf.DUMMYFUNCTION("GOOGLETRANSLATE(D506,""en"",""ur"")"),"کیچڑ والا میدان")</f>
        <v>کیچڑ والا میدان</v>
      </c>
      <c r="O506" s="6" t="str">
        <f>IFERROR(__xludf.DUMMYFUNCTION("GOOGLETRANSLATE(E506,""en"",""ur"")"),"ایک گھاس دار سطح")</f>
        <v>ایک گھاس دار سطح</v>
      </c>
      <c r="P506" s="6" t="str">
        <f>IFERROR(__xludf.DUMMYFUNCTION("GOOGLETRANSLATE(F506,""en"",""ur"")"),"ریتلی یا گندگی کی سطح")</f>
        <v>ریتلی یا گندگی کی سطح</v>
      </c>
      <c r="Q506" s="6" t="s">
        <v>688</v>
      </c>
      <c r="R506" s="6" t="str">
        <f>IFERROR(__xludf.DUMMYFUNCTION("GOOGLETRANSLATE(G506,""en"",""ur"")"),"ریتلی یا گندگی کی سطح")</f>
        <v>ریتلی یا گندگی کی سطح</v>
      </c>
      <c r="S506" s="6"/>
      <c r="T506" s="6"/>
      <c r="U506" s="6"/>
      <c r="V506" s="6"/>
      <c r="W506" s="6"/>
      <c r="X506" s="6"/>
      <c r="Y506" s="6"/>
      <c r="Z506" s="6"/>
      <c r="AA506" s="6"/>
    </row>
    <row r="507">
      <c r="A507" s="7">
        <v>507.0</v>
      </c>
      <c r="B507" s="6" t="s">
        <v>94</v>
      </c>
      <c r="C507" s="6" t="s">
        <v>95</v>
      </c>
      <c r="D507" s="6" t="s">
        <v>651</v>
      </c>
      <c r="E507" s="6" t="s">
        <v>652</v>
      </c>
      <c r="F507" s="6" t="s">
        <v>653</v>
      </c>
      <c r="G507" s="6" t="s">
        <v>652</v>
      </c>
      <c r="H507" s="6" t="s">
        <v>936</v>
      </c>
      <c r="I507" s="6"/>
      <c r="J507" s="6"/>
      <c r="K507" s="6"/>
      <c r="L507" s="6" t="str">
        <f>IFERROR(__xludf.DUMMYFUNCTION("GOOGLETRANSLATE(B507,""en"",""ur"")"),"کھیلے جانے والے کھیل کا نام کیا ہے؟")</f>
        <v>کھیلے جانے والے کھیل کا نام کیا ہے؟</v>
      </c>
      <c r="M507" s="6"/>
      <c r="N507" s="8" t="str">
        <f>IFERROR(__xludf.DUMMYFUNCTION("GOOGLETRANSLATE(D507,""en"",""ur"")"),"کرکٹ")</f>
        <v>کرکٹ</v>
      </c>
      <c r="O507" s="6" t="str">
        <f>IFERROR(__xludf.DUMMYFUNCTION("GOOGLETRANSLATE(E507,""en"",""ur"")"),"گلی ڈنڈا۔")</f>
        <v>گلی ڈنڈا۔</v>
      </c>
      <c r="P507" s="6" t="str">
        <f>IFERROR(__xludf.DUMMYFUNCTION("GOOGLETRANSLATE(F507,""en"",""ur"")"),"بیس بال")</f>
        <v>بیس بال</v>
      </c>
      <c r="Q507" s="6" t="s">
        <v>654</v>
      </c>
      <c r="R507" s="6" t="str">
        <f>IFERROR(__xludf.DUMMYFUNCTION("GOOGLETRANSLATE(G507,""en"",""ur"")"),"گلی ڈنڈا۔")</f>
        <v>گلی ڈنڈا۔</v>
      </c>
      <c r="S507" s="6"/>
      <c r="T507" s="6"/>
      <c r="U507" s="6"/>
      <c r="V507" s="6"/>
      <c r="W507" s="6"/>
      <c r="X507" s="6"/>
      <c r="Y507" s="6"/>
      <c r="Z507" s="6"/>
      <c r="AA507" s="6"/>
    </row>
    <row r="508">
      <c r="A508" s="7">
        <v>508.0</v>
      </c>
      <c r="B508" s="6" t="s">
        <v>260</v>
      </c>
      <c r="C508" s="6" t="s">
        <v>261</v>
      </c>
      <c r="D508" s="6" t="s">
        <v>262</v>
      </c>
      <c r="E508" s="6" t="s">
        <v>263</v>
      </c>
      <c r="F508" s="6" t="s">
        <v>938</v>
      </c>
      <c r="G508" s="6" t="s">
        <v>938</v>
      </c>
      <c r="H508" s="6" t="s">
        <v>936</v>
      </c>
      <c r="I508" s="6"/>
      <c r="J508" s="6"/>
      <c r="K508" s="6"/>
      <c r="L508" s="6" t="str">
        <f>IFERROR(__xludf.DUMMYFUNCTION("GOOGLETRANSLATE(B508,""en"",""ur"")"),"تصویر میں ایکشن ایک ایسا انداز تجویز کرتا ہے جو اس بات پر زور دیتا ہے...")</f>
        <v>تصویر میں ایکشن ایک ایسا انداز تجویز کرتا ہے جو اس بات پر زور دیتا ہے...</v>
      </c>
      <c r="M508" s="6"/>
      <c r="N508" s="8" t="str">
        <f>IFERROR(__xludf.DUMMYFUNCTION("GOOGLETRANSLATE(D508,""en"",""ur"")"),"زمینی لڑائی اور گرفت")</f>
        <v>زمینی لڑائی اور گرفت</v>
      </c>
      <c r="O508" s="6" t="str">
        <f>IFERROR(__xludf.DUMMYFUNCTION("GOOGLETRANSLATE(E508,""en"",""ur"")"),"وحشیانہ قوت اور گھڑ سواری۔")</f>
        <v>وحشیانہ قوت اور گھڑ سواری۔</v>
      </c>
      <c r="P508" s="6" t="str">
        <f>IFERROR(__xludf.DUMMYFUNCTION("GOOGLETRANSLATE(F508,""en"",""ur"")"),"ٹیم ورک اور تعاون")</f>
        <v>ٹیم ورک اور تعاون</v>
      </c>
      <c r="Q508" s="6" t="s">
        <v>939</v>
      </c>
      <c r="R508" s="6" t="str">
        <f>IFERROR(__xludf.DUMMYFUNCTION("GOOGLETRANSLATE(G508,""en"",""ur"")"),"ٹیم ورک اور تعاون")</f>
        <v>ٹیم ورک اور تعاون</v>
      </c>
      <c r="S508" s="6"/>
      <c r="T508" s="6"/>
      <c r="U508" s="6"/>
      <c r="V508" s="6"/>
      <c r="W508" s="6"/>
      <c r="X508" s="6"/>
      <c r="Y508" s="6"/>
      <c r="Z508" s="6"/>
      <c r="AA508" s="6"/>
    </row>
    <row r="509">
      <c r="A509" s="7">
        <v>509.0</v>
      </c>
      <c r="B509" s="6" t="s">
        <v>657</v>
      </c>
      <c r="C509" s="6" t="s">
        <v>658</v>
      </c>
      <c r="D509" s="6" t="s">
        <v>659</v>
      </c>
      <c r="E509" s="6" t="s">
        <v>660</v>
      </c>
      <c r="F509" s="6" t="s">
        <v>661</v>
      </c>
      <c r="G509" s="6" t="s">
        <v>659</v>
      </c>
      <c r="H509" s="6" t="s">
        <v>936</v>
      </c>
      <c r="I509" s="6"/>
      <c r="J509" s="6"/>
      <c r="K509" s="6"/>
      <c r="L509" s="6" t="str">
        <f>IFERROR(__xludf.DUMMYFUNCTION("GOOGLETRANSLATE(B509,""en"",""ur"")"),"کھلاڑیوں کے جوتے کے بارے میں ایک قابل ذکر تفصیل کیا ہے؟")</f>
        <v>کھلاڑیوں کے جوتے کے بارے میں ایک قابل ذکر تفصیل کیا ہے؟</v>
      </c>
      <c r="M509" s="6"/>
      <c r="N509" s="8" t="str">
        <f>IFERROR(__xludf.DUMMYFUNCTION("GOOGLETRANSLATE(D509,""en"",""ur"")"),"وہ ننگے پاؤں ہیں۔")</f>
        <v>وہ ننگے پاؤں ہیں۔</v>
      </c>
      <c r="O509" s="6" t="str">
        <f>IFERROR(__xludf.DUMMYFUNCTION("GOOGLETRANSLATE(E509,""en"",""ur"")"),"وہ سینڈل یا فلپ فلاپ پہنے ہوئے ہیں۔")</f>
        <v>وہ سینڈل یا فلپ فلاپ پہنے ہوئے ہیں۔</v>
      </c>
      <c r="P509" s="6" t="str">
        <f>IFERROR(__xludf.DUMMYFUNCTION("GOOGLETRANSLATE(F509,""en"",""ur"")"),"وہ موزے پہنے ہوئے ہیں۔")</f>
        <v>وہ موزے پہنے ہوئے ہیں۔</v>
      </c>
      <c r="Q509" s="6" t="s">
        <v>662</v>
      </c>
      <c r="R509" s="6" t="str">
        <f>IFERROR(__xludf.DUMMYFUNCTION("GOOGLETRANSLATE(G509,""en"",""ur"")"),"وہ ننگے پاؤں ہیں۔")</f>
        <v>وہ ننگے پاؤں ہیں۔</v>
      </c>
      <c r="S509" s="6"/>
      <c r="T509" s="6"/>
      <c r="U509" s="6"/>
      <c r="V509" s="6"/>
      <c r="W509" s="6"/>
      <c r="X509" s="6"/>
      <c r="Y509" s="6"/>
      <c r="Z509" s="6"/>
      <c r="AA509" s="6"/>
    </row>
    <row r="510">
      <c r="A510" s="7">
        <v>510.0</v>
      </c>
      <c r="B510" s="6" t="s">
        <v>663</v>
      </c>
      <c r="C510" s="6" t="s">
        <v>664</v>
      </c>
      <c r="D510" s="6" t="s">
        <v>665</v>
      </c>
      <c r="E510" s="6" t="s">
        <v>666</v>
      </c>
      <c r="F510" s="6" t="s">
        <v>667</v>
      </c>
      <c r="G510" s="6" t="s">
        <v>664</v>
      </c>
      <c r="H510" s="6" t="s">
        <v>936</v>
      </c>
      <c r="I510" s="6"/>
      <c r="J510" s="6"/>
      <c r="K510" s="6"/>
      <c r="L510" s="6" t="str">
        <f>IFERROR(__xludf.DUMMYFUNCTION("GOOGLETRANSLATE(B510,""en"",""ur"")"),"پس منظر میں دیگر کھلاڑیوں کے بارے میں ایک قابل ذکر تفصیل کیا ہے؟")</f>
        <v>پس منظر میں دیگر کھلاڑیوں کے بارے میں ایک قابل ذکر تفصیل کیا ہے؟</v>
      </c>
      <c r="M510" s="6"/>
      <c r="N510" s="8" t="str">
        <f>IFERROR(__xludf.DUMMYFUNCTION("GOOGLETRANSLATE(D510,""en"",""ur"")"),"وہ سب ادھر ادھر بھاگ رہے ہیں۔")</f>
        <v>وہ سب ادھر ادھر بھاگ رہے ہیں۔</v>
      </c>
      <c r="O510" s="6" t="str">
        <f>IFERROR(__xludf.DUMMYFUNCTION("GOOGLETRANSLATE(E510,""en"",""ur"")"),"وہ ایک دفاعی، تیار موقف میں ہیں۔")</f>
        <v>وہ ایک دفاعی، تیار موقف میں ہیں۔</v>
      </c>
      <c r="P510" s="6" t="str">
        <f>IFERROR(__xludf.DUMMYFUNCTION("GOOGLETRANSLATE(F510,""en"",""ur"")"),"وہ سب لہرا رہے ہیں۔")</f>
        <v>وہ سب لہرا رہے ہیں۔</v>
      </c>
      <c r="Q510" s="6" t="s">
        <v>668</v>
      </c>
      <c r="R510" s="6" t="str">
        <f>IFERROR(__xludf.DUMMYFUNCTION("GOOGLETRANSLATE(G510,""en"",""ur"")"),"وہ سب بیٹھے ہیں۔")</f>
        <v>وہ سب بیٹھے ہیں۔</v>
      </c>
      <c r="S510" s="6"/>
      <c r="T510" s="6"/>
      <c r="U510" s="6"/>
      <c r="V510" s="6"/>
      <c r="W510" s="6"/>
      <c r="X510" s="6"/>
      <c r="Y510" s="6"/>
      <c r="Z510" s="6"/>
      <c r="AA510" s="6"/>
    </row>
    <row r="511">
      <c r="A511" s="7">
        <v>511.0</v>
      </c>
      <c r="B511" s="6" t="s">
        <v>940</v>
      </c>
      <c r="C511" s="6" t="s">
        <v>632</v>
      </c>
      <c r="D511" s="6" t="s">
        <v>633</v>
      </c>
      <c r="E511" s="6" t="s">
        <v>634</v>
      </c>
      <c r="F511" s="6" t="s">
        <v>713</v>
      </c>
      <c r="G511" s="6" t="s">
        <v>632</v>
      </c>
      <c r="H511" s="6" t="s">
        <v>941</v>
      </c>
      <c r="I511" s="6"/>
      <c r="J511" s="6"/>
      <c r="K511" s="6"/>
      <c r="L511" s="6" t="str">
        <f>IFERROR(__xludf.DUMMYFUNCTION("GOOGLETRANSLATE(B511,""en"",""ur"")"),"gilli_danda_62 میں دکھایا گیا اہم عمل کیا ہے؟")</f>
        <v>gilli_danda_62 میں دکھایا گیا اہم عمل کیا ہے؟</v>
      </c>
      <c r="M511" s="6"/>
      <c r="N511" s="8" t="str">
        <f>IFERROR(__xludf.DUMMYFUNCTION("GOOGLETRANSLATE(D511,""en"",""ur"")"),"ایک کھلاڑی گیند کی خدمت کر رہا ہے۔")</f>
        <v>ایک کھلاڑی گیند کی خدمت کر رہا ہے۔</v>
      </c>
      <c r="O511" s="6" t="str">
        <f>IFERROR(__xludf.DUMMYFUNCTION("GOOGLETRANSLATE(E511,""en"",""ur"")"),"ایک کھلاڑی دفاعی بلاک کا مظاہرہ کر رہا ہے۔")</f>
        <v>ایک کھلاڑی دفاعی بلاک کا مظاہرہ کر رہا ہے۔</v>
      </c>
      <c r="P511" s="6" t="str">
        <f>IFERROR(__xludf.DUMMYFUNCTION("GOOGLETRANSLATE(F511,""en"",""ur"")"),"ایک کھلاڑی کھینچ رہا ہے۔")</f>
        <v>ایک کھلاڑی کھینچ رہا ہے۔</v>
      </c>
      <c r="Q511" s="6" t="s">
        <v>715</v>
      </c>
      <c r="R511" s="6" t="str">
        <f>IFERROR(__xludf.DUMMYFUNCTION("GOOGLETRANSLATE(G511,""en"",""ur"")"),"ایک کھلاڑی چھوٹی چھڑی کو بڑی چھڑی سے مار رہا ہے۔")</f>
        <v>ایک کھلاڑی چھوٹی چھڑی کو بڑی چھڑی سے مار رہا ہے۔</v>
      </c>
      <c r="S511" s="6"/>
      <c r="T511" s="6"/>
      <c r="U511" s="6"/>
      <c r="V511" s="6"/>
      <c r="W511" s="6"/>
      <c r="X511" s="6"/>
      <c r="Y511" s="6"/>
      <c r="Z511" s="6"/>
      <c r="AA511" s="6"/>
    </row>
    <row r="512">
      <c r="A512" s="7">
        <v>512.0</v>
      </c>
      <c r="B512" s="6" t="s">
        <v>636</v>
      </c>
      <c r="C512" s="6" t="s">
        <v>637</v>
      </c>
      <c r="D512" s="6" t="s">
        <v>638</v>
      </c>
      <c r="E512" s="6" t="s">
        <v>639</v>
      </c>
      <c r="F512" s="6" t="s">
        <v>640</v>
      </c>
      <c r="G512" s="6" t="s">
        <v>638</v>
      </c>
      <c r="H512" s="6" t="s">
        <v>941</v>
      </c>
      <c r="I512" s="6"/>
      <c r="J512" s="6"/>
      <c r="K512" s="6"/>
      <c r="L512" s="6" t="str">
        <f>IFERROR(__xludf.DUMMYFUNCTION("GOOGLETRANSLATE(B512,""en"",""ur"")"),"کھیل میں استعمال ہونے والے آلات کے دو ٹکڑے کیا ہیں؟")</f>
        <v>کھیل میں استعمال ہونے والے آلات کے دو ٹکڑے کیا ہیں؟</v>
      </c>
      <c r="M512" s="6"/>
      <c r="N512" s="8" t="str">
        <f>IFERROR(__xludf.DUMMYFUNCTION("GOOGLETRANSLATE(D512,""en"",""ur"")"),"ایک لمبی چھڑی (ڈنڈا) اور ایک چھوٹی چھڑی (گلی)")</f>
        <v>ایک لمبی چھڑی (ڈنڈا) اور ایک چھوٹی چھڑی (گلی)</v>
      </c>
      <c r="O512" s="6" t="str">
        <f>IFERROR(__xludf.DUMMYFUNCTION("GOOGLETRANSLATE(E512,""en"",""ur"")"),"ایک ریکیٹ اور ایک شٹل کاک")</f>
        <v>ایک ریکیٹ اور ایک شٹل کاک</v>
      </c>
      <c r="P512" s="6" t="str">
        <f>IFERROR(__xludf.DUMMYFUNCTION("GOOGLETRANSLATE(F512,""en"",""ur"")"),"ایک چمگادڑ اور ایک دستانہ")</f>
        <v>ایک چمگادڑ اور ایک دستانہ</v>
      </c>
      <c r="Q512" s="6" t="s">
        <v>641</v>
      </c>
      <c r="R512" s="6" t="str">
        <f>IFERROR(__xludf.DUMMYFUNCTION("GOOGLETRANSLATE(G512,""en"",""ur"")"),"ایک لمبی چھڑی (ڈنڈا) اور ایک چھوٹی چھڑی (گلی)")</f>
        <v>ایک لمبی چھڑی (ڈنڈا) اور ایک چھوٹی چھڑی (گلی)</v>
      </c>
      <c r="S512" s="6"/>
      <c r="T512" s="6"/>
      <c r="U512" s="6"/>
      <c r="V512" s="6"/>
      <c r="W512" s="6"/>
      <c r="X512" s="6"/>
      <c r="Y512" s="6"/>
      <c r="Z512" s="6"/>
      <c r="AA512" s="6"/>
    </row>
    <row r="513">
      <c r="A513" s="7">
        <v>513.0</v>
      </c>
      <c r="B513" s="6" t="s">
        <v>687</v>
      </c>
      <c r="C513" s="6" t="s">
        <v>307</v>
      </c>
      <c r="D513" s="6" t="s">
        <v>643</v>
      </c>
      <c r="E513" s="6" t="s">
        <v>311</v>
      </c>
      <c r="F513" s="6" t="s">
        <v>314</v>
      </c>
      <c r="G513" s="6" t="s">
        <v>643</v>
      </c>
      <c r="H513" s="6" t="s">
        <v>941</v>
      </c>
      <c r="I513" s="6"/>
      <c r="J513" s="6"/>
      <c r="K513" s="6"/>
      <c r="L513" s="6" t="str">
        <f>IFERROR(__xludf.DUMMYFUNCTION("GOOGLETRANSLATE(B513,""en"",""ur"")"),"پیش منظر میں کھلاڑی کے بارے میں ایک قابل ذکر تفصیل کیا ہے؟")</f>
        <v>پیش منظر میں کھلاڑی کے بارے میں ایک قابل ذکر تفصیل کیا ہے؟</v>
      </c>
      <c r="M513" s="6"/>
      <c r="N513" s="8" t="str">
        <f>IFERROR(__xludf.DUMMYFUNCTION("GOOGLETRANSLATE(D513,""en"",""ur"")"),"وہ ایک پست، جھکائے ہوئے موقف میں ہے، ہڑتال کرنے کی تیاری کر رہا ہے۔")</f>
        <v>وہ ایک پست، جھکائے ہوئے موقف میں ہے، ہڑتال کرنے کی تیاری کر رہا ہے۔</v>
      </c>
      <c r="O513" s="6" t="str">
        <f>IFERROR(__xludf.DUMMYFUNCTION("GOOGLETRANSLATE(E513,""en"",""ur"")"),"وہ سیدھا کھڑا ہے۔")</f>
        <v>وہ سیدھا کھڑا ہے۔</v>
      </c>
      <c r="P513" s="6" t="str">
        <f>IFERROR(__xludf.DUMMYFUNCTION("GOOGLETRANSLATE(F513,""en"",""ur"")"),"وہ آرام سے بیٹھا ہے۔")</f>
        <v>وہ آرام سے بیٹھا ہے۔</v>
      </c>
      <c r="Q513" s="6" t="s">
        <v>644</v>
      </c>
      <c r="R513" s="6" t="str">
        <f>IFERROR(__xludf.DUMMYFUNCTION("GOOGLETRANSLATE(G513,""en"",""ur"")"),"وہ ایک پست، جھکائے ہوئے موقف میں ہے، ہڑتال کرنے کی تیاری کر رہا ہے۔")</f>
        <v>وہ ایک پست، جھکائے ہوئے موقف میں ہے، ہڑتال کرنے کی تیاری کر رہا ہے۔</v>
      </c>
      <c r="S513" s="6"/>
      <c r="T513" s="6"/>
      <c r="U513" s="6"/>
      <c r="V513" s="6"/>
      <c r="W513" s="6"/>
      <c r="X513" s="6"/>
      <c r="Y513" s="6"/>
      <c r="Z513" s="6"/>
      <c r="AA513" s="6"/>
    </row>
    <row r="514">
      <c r="A514" s="7">
        <v>514.0</v>
      </c>
      <c r="B514" s="6" t="s">
        <v>645</v>
      </c>
      <c r="C514" s="6" t="s">
        <v>422</v>
      </c>
      <c r="D514" s="6" t="s">
        <v>646</v>
      </c>
      <c r="E514" s="6" t="s">
        <v>647</v>
      </c>
      <c r="F514" s="6" t="s">
        <v>425</v>
      </c>
      <c r="G514" s="6" t="s">
        <v>647</v>
      </c>
      <c r="H514" s="6" t="s">
        <v>941</v>
      </c>
      <c r="I514" s="6"/>
      <c r="J514" s="6"/>
      <c r="K514" s="6"/>
      <c r="L514" s="6" t="str">
        <f>IFERROR(__xludf.DUMMYFUNCTION("GOOGLETRANSLATE(B514,""en"",""ur"")"),"کھیل کی ظاہری ترتیب کیا ہے؟")</f>
        <v>کھیل کی ظاہری ترتیب کیا ہے؟</v>
      </c>
      <c r="M514" s="6"/>
      <c r="N514" s="8" t="str">
        <f>IFERROR(__xludf.DUMMYFUNCTION("GOOGLETRANSLATE(D514,""en"",""ur"")"),"شہر کی ایک گلی")</f>
        <v>شہر کی ایک گلی</v>
      </c>
      <c r="O514" s="6" t="str">
        <f>IFERROR(__xludf.DUMMYFUNCTION("GOOGLETRANSLATE(E514,""en"",""ur"")"),"ایک بیرونی گندگی کا میدان")</f>
        <v>ایک بیرونی گندگی کا میدان</v>
      </c>
      <c r="P514" s="6" t="str">
        <f>IFERROR(__xludf.DUMMYFUNCTION("GOOGLETRANSLATE(F514,""en"",""ur"")"),"گھاس کا میدان")</f>
        <v>گھاس کا میدان</v>
      </c>
      <c r="Q514" s="6" t="s">
        <v>648</v>
      </c>
      <c r="R514" s="6" t="str">
        <f>IFERROR(__xludf.DUMMYFUNCTION("GOOGLETRANSLATE(G514,""en"",""ur"")"),"ایک بیرونی گندگی کا میدان")</f>
        <v>ایک بیرونی گندگی کا میدان</v>
      </c>
      <c r="S514" s="6"/>
      <c r="T514" s="6"/>
      <c r="U514" s="6"/>
      <c r="V514" s="6"/>
      <c r="W514" s="6"/>
      <c r="X514" s="6"/>
      <c r="Y514" s="6"/>
      <c r="Z514" s="6"/>
      <c r="AA514" s="6"/>
    </row>
    <row r="515">
      <c r="A515" s="7">
        <v>515.0</v>
      </c>
      <c r="B515" s="6" t="s">
        <v>46</v>
      </c>
      <c r="C515" s="6" t="s">
        <v>47</v>
      </c>
      <c r="D515" s="6" t="s">
        <v>48</v>
      </c>
      <c r="E515" s="6" t="s">
        <v>49</v>
      </c>
      <c r="F515" s="6" t="s">
        <v>50</v>
      </c>
      <c r="G515" s="6" t="s">
        <v>49</v>
      </c>
      <c r="H515" s="6" t="s">
        <v>941</v>
      </c>
      <c r="I515" s="6"/>
      <c r="J515" s="6"/>
      <c r="K515" s="6"/>
      <c r="L515" s="6" t="str">
        <f>IFERROR(__xludf.DUMMYFUNCTION("GOOGLETRANSLATE(B515,""en"",""ur"")"),"کھلاڑیوں کے چہروں سے ظاہری جذبات کیا ہیں؟")</f>
        <v>کھلاڑیوں کے چہروں سے ظاہری جذبات کیا ہیں؟</v>
      </c>
      <c r="M515" s="6"/>
      <c r="N515" s="8" t="str">
        <f>IFERROR(__xludf.DUMMYFUNCTION("GOOGLETRANSLATE(D515,""en"",""ur"")"),"خوف زدہ اور بے چین")</f>
        <v>خوف زدہ اور بے چین</v>
      </c>
      <c r="O515" s="6" t="str">
        <f>IFERROR(__xludf.DUMMYFUNCTION("GOOGLETRANSLATE(E515,""en"",""ur"")"),"کشیدہ اور شدید")</f>
        <v>کشیدہ اور شدید</v>
      </c>
      <c r="P515" s="6" t="str">
        <f>IFERROR(__xludf.DUMMYFUNCTION("GOOGLETRANSLATE(F515,""en"",""ur"")"),"خوش اور مسکراتے ہوئے۔")</f>
        <v>خوش اور مسکراتے ہوئے۔</v>
      </c>
      <c r="Q515" s="6" t="s">
        <v>649</v>
      </c>
      <c r="R515" s="6" t="str">
        <f>IFERROR(__xludf.DUMMYFUNCTION("GOOGLETRANSLATE(G515,""en"",""ur"")"),"کشیدہ اور شدید")</f>
        <v>کشیدہ اور شدید</v>
      </c>
      <c r="S515" s="6"/>
      <c r="T515" s="6"/>
      <c r="U515" s="6"/>
      <c r="V515" s="6"/>
      <c r="W515" s="6"/>
      <c r="X515" s="6"/>
      <c r="Y515" s="6"/>
      <c r="Z515" s="6"/>
      <c r="AA515" s="6"/>
    </row>
    <row r="516">
      <c r="A516" s="7">
        <v>516.0</v>
      </c>
      <c r="B516" s="6" t="s">
        <v>88</v>
      </c>
      <c r="C516" s="6" t="s">
        <v>89</v>
      </c>
      <c r="D516" s="6" t="s">
        <v>90</v>
      </c>
      <c r="E516" s="6" t="s">
        <v>91</v>
      </c>
      <c r="F516" s="6" t="s">
        <v>255</v>
      </c>
      <c r="G516" s="6" t="s">
        <v>255</v>
      </c>
      <c r="H516" s="6" t="s">
        <v>941</v>
      </c>
      <c r="I516" s="6"/>
      <c r="J516" s="6"/>
      <c r="K516" s="6"/>
      <c r="L516" s="6" t="str">
        <f>IFERROR(__xludf.DUMMYFUNCTION("GOOGLETRANSLATE(B516,""en"",""ur"")"),"زمین کی سب سے نمایاں خصوصیت کیا ہے؟")</f>
        <v>زمین کی سب سے نمایاں خصوصیت کیا ہے؟</v>
      </c>
      <c r="M516" s="6"/>
      <c r="N516" s="8" t="str">
        <f>IFERROR(__xludf.DUMMYFUNCTION("GOOGLETRANSLATE(D516,""en"",""ur"")"),"کیچڑ والا میدان")</f>
        <v>کیچڑ والا میدان</v>
      </c>
      <c r="O516" s="6" t="str">
        <f>IFERROR(__xludf.DUMMYFUNCTION("GOOGLETRANSLATE(E516,""en"",""ur"")"),"ایک گھاس دار سطح")</f>
        <v>ایک گھاس دار سطح</v>
      </c>
      <c r="P516" s="6" t="str">
        <f>IFERROR(__xludf.DUMMYFUNCTION("GOOGLETRANSLATE(F516,""en"",""ur"")"),"ریتلی یا گندگی کی سطح")</f>
        <v>ریتلی یا گندگی کی سطح</v>
      </c>
      <c r="Q516" s="6" t="s">
        <v>688</v>
      </c>
      <c r="R516" s="6" t="str">
        <f>IFERROR(__xludf.DUMMYFUNCTION("GOOGLETRANSLATE(G516,""en"",""ur"")"),"ریتلی یا گندگی کی سطح")</f>
        <v>ریتلی یا گندگی کی سطح</v>
      </c>
      <c r="S516" s="6"/>
      <c r="T516" s="6"/>
      <c r="U516" s="6"/>
      <c r="V516" s="6"/>
      <c r="W516" s="6"/>
      <c r="X516" s="6"/>
      <c r="Y516" s="6"/>
      <c r="Z516" s="6"/>
      <c r="AA516" s="6"/>
    </row>
    <row r="517">
      <c r="A517" s="7">
        <v>517.0</v>
      </c>
      <c r="B517" s="6" t="s">
        <v>94</v>
      </c>
      <c r="C517" s="6" t="s">
        <v>95</v>
      </c>
      <c r="D517" s="6" t="s">
        <v>651</v>
      </c>
      <c r="E517" s="6" t="s">
        <v>652</v>
      </c>
      <c r="F517" s="6" t="s">
        <v>653</v>
      </c>
      <c r="G517" s="6" t="s">
        <v>652</v>
      </c>
      <c r="H517" s="6" t="s">
        <v>941</v>
      </c>
      <c r="I517" s="6"/>
      <c r="J517" s="6"/>
      <c r="K517" s="6"/>
      <c r="L517" s="6" t="str">
        <f>IFERROR(__xludf.DUMMYFUNCTION("GOOGLETRANSLATE(B517,""en"",""ur"")"),"کھیلے جانے والے کھیل کا نام کیا ہے؟")</f>
        <v>کھیلے جانے والے کھیل کا نام کیا ہے؟</v>
      </c>
      <c r="M517" s="6"/>
      <c r="N517" s="8" t="str">
        <f>IFERROR(__xludf.DUMMYFUNCTION("GOOGLETRANSLATE(D517,""en"",""ur"")"),"کرکٹ")</f>
        <v>کرکٹ</v>
      </c>
      <c r="O517" s="6" t="str">
        <f>IFERROR(__xludf.DUMMYFUNCTION("GOOGLETRANSLATE(E517,""en"",""ur"")"),"گلی ڈنڈا۔")</f>
        <v>گلی ڈنڈا۔</v>
      </c>
      <c r="P517" s="6" t="str">
        <f>IFERROR(__xludf.DUMMYFUNCTION("GOOGLETRANSLATE(F517,""en"",""ur"")"),"بیس بال")</f>
        <v>بیس بال</v>
      </c>
      <c r="Q517" s="6" t="s">
        <v>654</v>
      </c>
      <c r="R517" s="6" t="str">
        <f>IFERROR(__xludf.DUMMYFUNCTION("GOOGLETRANSLATE(G517,""en"",""ur"")"),"گلی ڈنڈا۔")</f>
        <v>گلی ڈنڈا۔</v>
      </c>
      <c r="S517" s="6"/>
      <c r="T517" s="6"/>
      <c r="U517" s="6"/>
      <c r="V517" s="6"/>
      <c r="W517" s="6"/>
      <c r="X517" s="6"/>
      <c r="Y517" s="6"/>
      <c r="Z517" s="6"/>
      <c r="AA517" s="6"/>
    </row>
    <row r="518">
      <c r="A518" s="7">
        <v>518.0</v>
      </c>
      <c r="B518" s="6" t="s">
        <v>260</v>
      </c>
      <c r="C518" s="6" t="s">
        <v>261</v>
      </c>
      <c r="D518" s="6" t="s">
        <v>262</v>
      </c>
      <c r="E518" s="6" t="s">
        <v>263</v>
      </c>
      <c r="F518" s="6" t="s">
        <v>655</v>
      </c>
      <c r="G518" s="6" t="s">
        <v>655</v>
      </c>
      <c r="H518" s="6" t="s">
        <v>941</v>
      </c>
      <c r="I518" s="6"/>
      <c r="J518" s="6"/>
      <c r="K518" s="6"/>
      <c r="L518" s="6" t="str">
        <f>IFERROR(__xludf.DUMMYFUNCTION("GOOGLETRANSLATE(B518,""en"",""ur"")"),"تصویر میں ایکشن ایک ایسا انداز تجویز کرتا ہے جو اس بات پر زور دیتا ہے...")</f>
        <v>تصویر میں ایکشن ایک ایسا انداز تجویز کرتا ہے جو اس بات پر زور دیتا ہے...</v>
      </c>
      <c r="M518" s="6"/>
      <c r="N518" s="8" t="str">
        <f>IFERROR(__xludf.DUMMYFUNCTION("GOOGLETRANSLATE(D518,""en"",""ur"")"),"زمینی لڑائی اور گرفت")</f>
        <v>زمینی لڑائی اور گرفت</v>
      </c>
      <c r="O518" s="6" t="str">
        <f>IFERROR(__xludf.DUMMYFUNCTION("GOOGLETRANSLATE(E518,""en"",""ur"")"),"وحشیانہ قوت اور گھڑ سواری۔")</f>
        <v>وحشیانہ قوت اور گھڑ سواری۔</v>
      </c>
      <c r="P518" s="6" t="str">
        <f>IFERROR(__xludf.DUMMYFUNCTION("GOOGLETRANSLATE(F518,""en"",""ur"")"),"ہاتھ سے آنکھ کو آرڈینیشن اور حیرت انگیز")</f>
        <v>ہاتھ سے آنکھ کو آرڈینیشن اور حیرت انگیز</v>
      </c>
      <c r="Q518" s="6" t="s">
        <v>656</v>
      </c>
      <c r="R518" s="6" t="str">
        <f>IFERROR(__xludf.DUMMYFUNCTION("GOOGLETRANSLATE(G518,""en"",""ur"")"),"ہاتھ سے آنکھ کو آرڈینیشن اور حیرت انگیز")</f>
        <v>ہاتھ سے آنکھ کو آرڈینیشن اور حیرت انگیز</v>
      </c>
      <c r="S518" s="6"/>
      <c r="T518" s="6"/>
      <c r="U518" s="6"/>
      <c r="V518" s="6"/>
      <c r="W518" s="6"/>
      <c r="X518" s="6"/>
      <c r="Y518" s="6"/>
      <c r="Z518" s="6"/>
      <c r="AA518" s="6"/>
    </row>
    <row r="519">
      <c r="A519" s="7">
        <v>519.0</v>
      </c>
      <c r="B519" s="6" t="s">
        <v>657</v>
      </c>
      <c r="C519" s="6" t="s">
        <v>658</v>
      </c>
      <c r="D519" s="6" t="s">
        <v>659</v>
      </c>
      <c r="E519" s="6" t="s">
        <v>660</v>
      </c>
      <c r="F519" s="6" t="s">
        <v>661</v>
      </c>
      <c r="G519" s="6" t="s">
        <v>659</v>
      </c>
      <c r="H519" s="6" t="s">
        <v>941</v>
      </c>
      <c r="I519" s="6"/>
      <c r="J519" s="6"/>
      <c r="K519" s="6"/>
      <c r="L519" s="6" t="str">
        <f>IFERROR(__xludf.DUMMYFUNCTION("GOOGLETRANSLATE(B519,""en"",""ur"")"),"کھلاڑیوں کے جوتے کے بارے میں ایک قابل ذکر تفصیل کیا ہے؟")</f>
        <v>کھلاڑیوں کے جوتے کے بارے میں ایک قابل ذکر تفصیل کیا ہے؟</v>
      </c>
      <c r="M519" s="6"/>
      <c r="N519" s="8" t="str">
        <f>IFERROR(__xludf.DUMMYFUNCTION("GOOGLETRANSLATE(D519,""en"",""ur"")"),"وہ ننگے پاؤں ہیں۔")</f>
        <v>وہ ننگے پاؤں ہیں۔</v>
      </c>
      <c r="O519" s="6" t="str">
        <f>IFERROR(__xludf.DUMMYFUNCTION("GOOGLETRANSLATE(E519,""en"",""ur"")"),"وہ سینڈل یا فلپ فلاپ پہنے ہوئے ہیں۔")</f>
        <v>وہ سینڈل یا فلپ فلاپ پہنے ہوئے ہیں۔</v>
      </c>
      <c r="P519" s="6" t="str">
        <f>IFERROR(__xludf.DUMMYFUNCTION("GOOGLETRANSLATE(F519,""en"",""ur"")"),"وہ موزے پہنے ہوئے ہیں۔")</f>
        <v>وہ موزے پہنے ہوئے ہیں۔</v>
      </c>
      <c r="Q519" s="6" t="s">
        <v>662</v>
      </c>
      <c r="R519" s="6" t="str">
        <f>IFERROR(__xludf.DUMMYFUNCTION("GOOGLETRANSLATE(G519,""en"",""ur"")"),"وہ ننگے پاؤں ہیں۔")</f>
        <v>وہ ننگے پاؤں ہیں۔</v>
      </c>
      <c r="S519" s="6"/>
      <c r="T519" s="6"/>
      <c r="U519" s="6"/>
      <c r="V519" s="6"/>
      <c r="W519" s="6"/>
      <c r="X519" s="6"/>
      <c r="Y519" s="6"/>
      <c r="Z519" s="6"/>
      <c r="AA519" s="6"/>
    </row>
    <row r="520">
      <c r="A520" s="7">
        <v>520.0</v>
      </c>
      <c r="B520" s="6" t="s">
        <v>663</v>
      </c>
      <c r="C520" s="6" t="s">
        <v>664</v>
      </c>
      <c r="D520" s="6" t="s">
        <v>665</v>
      </c>
      <c r="E520" s="6" t="s">
        <v>666</v>
      </c>
      <c r="F520" s="6" t="s">
        <v>667</v>
      </c>
      <c r="G520" s="6" t="s">
        <v>666</v>
      </c>
      <c r="H520" s="6" t="s">
        <v>941</v>
      </c>
      <c r="I520" s="6"/>
      <c r="J520" s="6"/>
      <c r="K520" s="6"/>
      <c r="L520" s="6" t="str">
        <f>IFERROR(__xludf.DUMMYFUNCTION("GOOGLETRANSLATE(B520,""en"",""ur"")"),"پس منظر میں دیگر کھلاڑیوں کے بارے میں ایک قابل ذکر تفصیل کیا ہے؟")</f>
        <v>پس منظر میں دیگر کھلاڑیوں کے بارے میں ایک قابل ذکر تفصیل کیا ہے؟</v>
      </c>
      <c r="M520" s="6"/>
      <c r="N520" s="8" t="str">
        <f>IFERROR(__xludf.DUMMYFUNCTION("GOOGLETRANSLATE(D520,""en"",""ur"")"),"وہ سب ادھر ادھر بھاگ رہے ہیں۔")</f>
        <v>وہ سب ادھر ادھر بھاگ رہے ہیں۔</v>
      </c>
      <c r="O520" s="6" t="str">
        <f>IFERROR(__xludf.DUMMYFUNCTION("GOOGLETRANSLATE(E520,""en"",""ur"")"),"وہ ایک دفاعی، تیار موقف میں ہیں۔")</f>
        <v>وہ ایک دفاعی، تیار موقف میں ہیں۔</v>
      </c>
      <c r="P520" s="6" t="str">
        <f>IFERROR(__xludf.DUMMYFUNCTION("GOOGLETRANSLATE(F520,""en"",""ur"")"),"وہ سب لہرا رہے ہیں۔")</f>
        <v>وہ سب لہرا رہے ہیں۔</v>
      </c>
      <c r="Q520" s="6" t="s">
        <v>668</v>
      </c>
      <c r="R520" s="6" t="str">
        <f>IFERROR(__xludf.DUMMYFUNCTION("GOOGLETRANSLATE(G520,""en"",""ur"")"),"وہ ایک دفاعی، تیار موقف میں ہیں۔")</f>
        <v>وہ ایک دفاعی، تیار موقف میں ہیں۔</v>
      </c>
      <c r="S520" s="6"/>
      <c r="T520" s="6"/>
      <c r="U520" s="6"/>
      <c r="V520" s="6"/>
      <c r="W520" s="6"/>
      <c r="X520" s="6"/>
      <c r="Y520" s="6"/>
      <c r="Z520" s="6"/>
      <c r="AA520" s="6"/>
    </row>
    <row r="521">
      <c r="A521" s="7">
        <v>521.0</v>
      </c>
      <c r="B521" s="6" t="s">
        <v>942</v>
      </c>
      <c r="C521" s="6" t="s">
        <v>632</v>
      </c>
      <c r="D521" s="6" t="s">
        <v>633</v>
      </c>
      <c r="E521" s="6" t="s">
        <v>634</v>
      </c>
      <c r="F521" s="6" t="s">
        <v>713</v>
      </c>
      <c r="G521" s="6" t="s">
        <v>632</v>
      </c>
      <c r="H521" s="6" t="s">
        <v>943</v>
      </c>
      <c r="I521" s="6"/>
      <c r="J521" s="6"/>
      <c r="K521" s="6"/>
      <c r="L521" s="6" t="str">
        <f>IFERROR(__xludf.DUMMYFUNCTION("GOOGLETRANSLATE(B521,""en"",""ur"")"),"gilli_danda_65 میں دکھایا گیا اہم عمل کیا ہے؟")</f>
        <v>gilli_danda_65 میں دکھایا گیا اہم عمل کیا ہے؟</v>
      </c>
      <c r="M521" s="6"/>
      <c r="N521" s="8" t="str">
        <f>IFERROR(__xludf.DUMMYFUNCTION("GOOGLETRANSLATE(D521,""en"",""ur"")"),"ایک کھلاڑی گیند کی خدمت کر رہا ہے۔")</f>
        <v>ایک کھلاڑی گیند کی خدمت کر رہا ہے۔</v>
      </c>
      <c r="O521" s="6" t="str">
        <f>IFERROR(__xludf.DUMMYFUNCTION("GOOGLETRANSLATE(E521,""en"",""ur"")"),"ایک کھلاڑی دفاعی بلاک کا مظاہرہ کر رہا ہے۔")</f>
        <v>ایک کھلاڑی دفاعی بلاک کا مظاہرہ کر رہا ہے۔</v>
      </c>
      <c r="P521" s="6" t="str">
        <f>IFERROR(__xludf.DUMMYFUNCTION("GOOGLETRANSLATE(F521,""en"",""ur"")"),"ایک کھلاڑی کھینچ رہا ہے۔")</f>
        <v>ایک کھلاڑی کھینچ رہا ہے۔</v>
      </c>
      <c r="Q521" s="6" t="s">
        <v>715</v>
      </c>
      <c r="R521" s="6" t="str">
        <f>IFERROR(__xludf.DUMMYFUNCTION("GOOGLETRANSLATE(G521,""en"",""ur"")"),"ایک کھلاڑی چھوٹی چھڑی کو بڑی چھڑی سے مار رہا ہے۔")</f>
        <v>ایک کھلاڑی چھوٹی چھڑی کو بڑی چھڑی سے مار رہا ہے۔</v>
      </c>
      <c r="S521" s="6"/>
      <c r="T521" s="6"/>
      <c r="U521" s="6"/>
      <c r="V521" s="6"/>
      <c r="W521" s="6"/>
      <c r="X521" s="6"/>
      <c r="Y521" s="6"/>
      <c r="Z521" s="6"/>
      <c r="AA521" s="6"/>
    </row>
    <row r="522">
      <c r="A522" s="7">
        <v>522.0</v>
      </c>
      <c r="B522" s="6" t="s">
        <v>636</v>
      </c>
      <c r="C522" s="6" t="s">
        <v>637</v>
      </c>
      <c r="D522" s="6" t="s">
        <v>638</v>
      </c>
      <c r="E522" s="6" t="s">
        <v>639</v>
      </c>
      <c r="F522" s="6" t="s">
        <v>640</v>
      </c>
      <c r="G522" s="6" t="s">
        <v>638</v>
      </c>
      <c r="H522" s="6" t="s">
        <v>943</v>
      </c>
      <c r="I522" s="6"/>
      <c r="J522" s="6"/>
      <c r="K522" s="6"/>
      <c r="L522" s="6" t="str">
        <f>IFERROR(__xludf.DUMMYFUNCTION("GOOGLETRANSLATE(B522,""en"",""ur"")"),"کھیل میں استعمال ہونے والے آلات کے دو ٹکڑے کیا ہیں؟")</f>
        <v>کھیل میں استعمال ہونے والے آلات کے دو ٹکڑے کیا ہیں؟</v>
      </c>
      <c r="M522" s="6"/>
      <c r="N522" s="8" t="str">
        <f>IFERROR(__xludf.DUMMYFUNCTION("GOOGLETRANSLATE(D522,""en"",""ur"")"),"ایک لمبی چھڑی (ڈنڈا) اور ایک چھوٹی چھڑی (گلی)")</f>
        <v>ایک لمبی چھڑی (ڈنڈا) اور ایک چھوٹی چھڑی (گلی)</v>
      </c>
      <c r="O522" s="6" t="str">
        <f>IFERROR(__xludf.DUMMYFUNCTION("GOOGLETRANSLATE(E522,""en"",""ur"")"),"ایک ریکیٹ اور ایک شٹل کاک")</f>
        <v>ایک ریکیٹ اور ایک شٹل کاک</v>
      </c>
      <c r="P522" s="6" t="str">
        <f>IFERROR(__xludf.DUMMYFUNCTION("GOOGLETRANSLATE(F522,""en"",""ur"")"),"ایک چمگادڑ اور ایک دستانہ")</f>
        <v>ایک چمگادڑ اور ایک دستانہ</v>
      </c>
      <c r="Q522" s="6" t="s">
        <v>641</v>
      </c>
      <c r="R522" s="6" t="str">
        <f>IFERROR(__xludf.DUMMYFUNCTION("GOOGLETRANSLATE(G522,""en"",""ur"")"),"ایک لمبی چھڑی (ڈنڈا) اور ایک چھوٹی چھڑی (گلی)")</f>
        <v>ایک لمبی چھڑی (ڈنڈا) اور ایک چھوٹی چھڑی (گلی)</v>
      </c>
      <c r="S522" s="6"/>
      <c r="T522" s="6"/>
      <c r="U522" s="6"/>
      <c r="V522" s="6"/>
      <c r="W522" s="6"/>
      <c r="X522" s="6"/>
      <c r="Y522" s="6"/>
      <c r="Z522" s="6"/>
      <c r="AA522" s="6"/>
    </row>
    <row r="523">
      <c r="A523" s="7">
        <v>523.0</v>
      </c>
      <c r="B523" s="6" t="s">
        <v>687</v>
      </c>
      <c r="C523" s="6" t="s">
        <v>307</v>
      </c>
      <c r="D523" s="6" t="s">
        <v>643</v>
      </c>
      <c r="E523" s="6" t="s">
        <v>311</v>
      </c>
      <c r="F523" s="6" t="s">
        <v>314</v>
      </c>
      <c r="G523" s="6" t="s">
        <v>643</v>
      </c>
      <c r="H523" s="6" t="s">
        <v>943</v>
      </c>
      <c r="I523" s="6"/>
      <c r="J523" s="6"/>
      <c r="K523" s="6"/>
      <c r="L523" s="6" t="str">
        <f>IFERROR(__xludf.DUMMYFUNCTION("GOOGLETRANSLATE(B523,""en"",""ur"")"),"پیش منظر میں کھلاڑی کے بارے میں ایک قابل ذکر تفصیل کیا ہے؟")</f>
        <v>پیش منظر میں کھلاڑی کے بارے میں ایک قابل ذکر تفصیل کیا ہے؟</v>
      </c>
      <c r="M523" s="6"/>
      <c r="N523" s="8" t="str">
        <f>IFERROR(__xludf.DUMMYFUNCTION("GOOGLETRANSLATE(D523,""en"",""ur"")"),"وہ ایک پست، جھکائے ہوئے موقف میں ہے، ہڑتال کرنے کی تیاری کر رہا ہے۔")</f>
        <v>وہ ایک پست، جھکائے ہوئے موقف میں ہے، ہڑتال کرنے کی تیاری کر رہا ہے۔</v>
      </c>
      <c r="O523" s="6" t="str">
        <f>IFERROR(__xludf.DUMMYFUNCTION("GOOGLETRANSLATE(E523,""en"",""ur"")"),"وہ سیدھا کھڑا ہے۔")</f>
        <v>وہ سیدھا کھڑا ہے۔</v>
      </c>
      <c r="P523" s="6" t="str">
        <f>IFERROR(__xludf.DUMMYFUNCTION("GOOGLETRANSLATE(F523,""en"",""ur"")"),"وہ آرام سے بیٹھا ہے۔")</f>
        <v>وہ آرام سے بیٹھا ہے۔</v>
      </c>
      <c r="Q523" s="6" t="s">
        <v>644</v>
      </c>
      <c r="R523" s="6" t="str">
        <f>IFERROR(__xludf.DUMMYFUNCTION("GOOGLETRANSLATE(G523,""en"",""ur"")"),"وہ ایک پست، جھکائے ہوئے موقف میں ہے، ہڑتال کرنے کی تیاری کر رہا ہے۔")</f>
        <v>وہ ایک پست، جھکائے ہوئے موقف میں ہے، ہڑتال کرنے کی تیاری کر رہا ہے۔</v>
      </c>
      <c r="S523" s="6"/>
      <c r="T523" s="6"/>
      <c r="U523" s="6"/>
      <c r="V523" s="6"/>
      <c r="W523" s="6"/>
      <c r="X523" s="6"/>
      <c r="Y523" s="6"/>
      <c r="Z523" s="6"/>
      <c r="AA523" s="6"/>
    </row>
    <row r="524">
      <c r="A524" s="7">
        <v>524.0</v>
      </c>
      <c r="B524" s="6" t="s">
        <v>645</v>
      </c>
      <c r="C524" s="6" t="s">
        <v>422</v>
      </c>
      <c r="D524" s="6" t="s">
        <v>646</v>
      </c>
      <c r="E524" s="6" t="s">
        <v>647</v>
      </c>
      <c r="F524" s="6" t="s">
        <v>425</v>
      </c>
      <c r="G524" s="6" t="s">
        <v>647</v>
      </c>
      <c r="H524" s="6" t="s">
        <v>943</v>
      </c>
      <c r="I524" s="6"/>
      <c r="J524" s="6"/>
      <c r="K524" s="6"/>
      <c r="L524" s="6" t="str">
        <f>IFERROR(__xludf.DUMMYFUNCTION("GOOGLETRANSLATE(B524,""en"",""ur"")"),"کھیل کی ظاہری ترتیب کیا ہے؟")</f>
        <v>کھیل کی ظاہری ترتیب کیا ہے؟</v>
      </c>
      <c r="M524" s="6"/>
      <c r="N524" s="8" t="str">
        <f>IFERROR(__xludf.DUMMYFUNCTION("GOOGLETRANSLATE(D524,""en"",""ur"")"),"شہر کی ایک گلی")</f>
        <v>شہر کی ایک گلی</v>
      </c>
      <c r="O524" s="6" t="str">
        <f>IFERROR(__xludf.DUMMYFUNCTION("GOOGLETRANSLATE(E524,""en"",""ur"")"),"ایک بیرونی گندگی کا میدان")</f>
        <v>ایک بیرونی گندگی کا میدان</v>
      </c>
      <c r="P524" s="6" t="str">
        <f>IFERROR(__xludf.DUMMYFUNCTION("GOOGLETRANSLATE(F524,""en"",""ur"")"),"گھاس کا میدان")</f>
        <v>گھاس کا میدان</v>
      </c>
      <c r="Q524" s="6" t="s">
        <v>648</v>
      </c>
      <c r="R524" s="6" t="str">
        <f>IFERROR(__xludf.DUMMYFUNCTION("GOOGLETRANSLATE(G524,""en"",""ur"")"),"ایک بیرونی گندگی کا میدان")</f>
        <v>ایک بیرونی گندگی کا میدان</v>
      </c>
      <c r="S524" s="6"/>
      <c r="T524" s="6"/>
      <c r="U524" s="6"/>
      <c r="V524" s="6"/>
      <c r="W524" s="6"/>
      <c r="X524" s="6"/>
      <c r="Y524" s="6"/>
      <c r="Z524" s="6"/>
      <c r="AA524" s="6"/>
    </row>
    <row r="525">
      <c r="A525" s="7">
        <v>525.0</v>
      </c>
      <c r="B525" s="6" t="s">
        <v>679</v>
      </c>
      <c r="C525" s="6" t="s">
        <v>47</v>
      </c>
      <c r="D525" s="6" t="s">
        <v>48</v>
      </c>
      <c r="E525" s="6" t="s">
        <v>49</v>
      </c>
      <c r="F525" s="6" t="s">
        <v>50</v>
      </c>
      <c r="G525" s="6" t="s">
        <v>49</v>
      </c>
      <c r="H525" s="6" t="s">
        <v>943</v>
      </c>
      <c r="I525" s="6"/>
      <c r="J525" s="6"/>
      <c r="K525" s="6"/>
      <c r="L525" s="6" t="str">
        <f>IFERROR(__xludf.DUMMYFUNCTION("GOOGLETRANSLATE(B525,""en"",""ur"")"),"کھلاڑی کے چہرے سے ظاہری جذبات کیا ہیں؟")</f>
        <v>کھلاڑی کے چہرے سے ظاہری جذبات کیا ہیں؟</v>
      </c>
      <c r="M525" s="6"/>
      <c r="N525" s="8" t="str">
        <f>IFERROR(__xludf.DUMMYFUNCTION("GOOGLETRANSLATE(D525,""en"",""ur"")"),"خوف زدہ اور بے چین")</f>
        <v>خوف زدہ اور بے چین</v>
      </c>
      <c r="O525" s="6" t="str">
        <f>IFERROR(__xludf.DUMMYFUNCTION("GOOGLETRANSLATE(E525,""en"",""ur"")"),"کشیدہ اور شدید")</f>
        <v>کشیدہ اور شدید</v>
      </c>
      <c r="P525" s="6" t="str">
        <f>IFERROR(__xludf.DUMMYFUNCTION("GOOGLETRANSLATE(F525,""en"",""ur"")"),"خوش اور مسکراتے ہوئے۔")</f>
        <v>خوش اور مسکراتے ہوئے۔</v>
      </c>
      <c r="Q525" s="6" t="s">
        <v>649</v>
      </c>
      <c r="R525" s="6" t="str">
        <f>IFERROR(__xludf.DUMMYFUNCTION("GOOGLETRANSLATE(G525,""en"",""ur"")"),"کشیدہ اور شدید")</f>
        <v>کشیدہ اور شدید</v>
      </c>
      <c r="S525" s="6"/>
      <c r="T525" s="6"/>
      <c r="U525" s="6"/>
      <c r="V525" s="6"/>
      <c r="W525" s="6"/>
      <c r="X525" s="6"/>
      <c r="Y525" s="6"/>
      <c r="Z525" s="6"/>
      <c r="AA525" s="6"/>
    </row>
    <row r="526">
      <c r="A526" s="7">
        <v>526.0</v>
      </c>
      <c r="B526" s="6" t="s">
        <v>88</v>
      </c>
      <c r="C526" s="6" t="s">
        <v>89</v>
      </c>
      <c r="D526" s="6" t="s">
        <v>90</v>
      </c>
      <c r="E526" s="6" t="s">
        <v>91</v>
      </c>
      <c r="F526" s="6" t="s">
        <v>255</v>
      </c>
      <c r="G526" s="6" t="s">
        <v>255</v>
      </c>
      <c r="H526" s="6" t="s">
        <v>943</v>
      </c>
      <c r="I526" s="6"/>
      <c r="J526" s="6"/>
      <c r="K526" s="6"/>
      <c r="L526" s="6" t="str">
        <f>IFERROR(__xludf.DUMMYFUNCTION("GOOGLETRANSLATE(B526,""en"",""ur"")"),"زمین کی سب سے نمایاں خصوصیت کیا ہے؟")</f>
        <v>زمین کی سب سے نمایاں خصوصیت کیا ہے؟</v>
      </c>
      <c r="M526" s="6"/>
      <c r="N526" s="8" t="str">
        <f>IFERROR(__xludf.DUMMYFUNCTION("GOOGLETRANSLATE(D526,""en"",""ur"")"),"کیچڑ والا میدان")</f>
        <v>کیچڑ والا میدان</v>
      </c>
      <c r="O526" s="6" t="str">
        <f>IFERROR(__xludf.DUMMYFUNCTION("GOOGLETRANSLATE(E526,""en"",""ur"")"),"ایک گھاس دار سطح")</f>
        <v>ایک گھاس دار سطح</v>
      </c>
      <c r="P526" s="6" t="str">
        <f>IFERROR(__xludf.DUMMYFUNCTION("GOOGLETRANSLATE(F526,""en"",""ur"")"),"ریتلی یا گندگی کی سطح")</f>
        <v>ریتلی یا گندگی کی سطح</v>
      </c>
      <c r="Q526" s="6" t="s">
        <v>688</v>
      </c>
      <c r="R526" s="6" t="str">
        <f>IFERROR(__xludf.DUMMYFUNCTION("GOOGLETRANSLATE(G526,""en"",""ur"")"),"ریتلی یا گندگی کی سطح")</f>
        <v>ریتلی یا گندگی کی سطح</v>
      </c>
      <c r="S526" s="6"/>
      <c r="T526" s="6"/>
      <c r="U526" s="6"/>
      <c r="V526" s="6"/>
      <c r="W526" s="6"/>
      <c r="X526" s="6"/>
      <c r="Y526" s="6"/>
      <c r="Z526" s="6"/>
      <c r="AA526" s="6"/>
    </row>
    <row r="527">
      <c r="A527" s="7">
        <v>527.0</v>
      </c>
      <c r="B527" s="6" t="s">
        <v>94</v>
      </c>
      <c r="C527" s="6" t="s">
        <v>95</v>
      </c>
      <c r="D527" s="6" t="s">
        <v>651</v>
      </c>
      <c r="E527" s="6" t="s">
        <v>652</v>
      </c>
      <c r="F527" s="6" t="s">
        <v>653</v>
      </c>
      <c r="G527" s="6" t="s">
        <v>652</v>
      </c>
      <c r="H527" s="6" t="s">
        <v>943</v>
      </c>
      <c r="I527" s="6"/>
      <c r="J527" s="6"/>
      <c r="K527" s="6"/>
      <c r="L527" s="6" t="str">
        <f>IFERROR(__xludf.DUMMYFUNCTION("GOOGLETRANSLATE(B527,""en"",""ur"")"),"کھیلے جانے والے کھیل کا نام کیا ہے؟")</f>
        <v>کھیلے جانے والے کھیل کا نام کیا ہے؟</v>
      </c>
      <c r="M527" s="6"/>
      <c r="N527" s="8" t="str">
        <f>IFERROR(__xludf.DUMMYFUNCTION("GOOGLETRANSLATE(D527,""en"",""ur"")"),"کرکٹ")</f>
        <v>کرکٹ</v>
      </c>
      <c r="O527" s="6" t="str">
        <f>IFERROR(__xludf.DUMMYFUNCTION("GOOGLETRANSLATE(E527,""en"",""ur"")"),"گلی ڈنڈا۔")</f>
        <v>گلی ڈنڈا۔</v>
      </c>
      <c r="P527" s="6" t="str">
        <f>IFERROR(__xludf.DUMMYFUNCTION("GOOGLETRANSLATE(F527,""en"",""ur"")"),"بیس بال")</f>
        <v>بیس بال</v>
      </c>
      <c r="Q527" s="6" t="s">
        <v>654</v>
      </c>
      <c r="R527" s="6" t="str">
        <f>IFERROR(__xludf.DUMMYFUNCTION("GOOGLETRANSLATE(G527,""en"",""ur"")"),"گلی ڈنڈا۔")</f>
        <v>گلی ڈنڈا۔</v>
      </c>
      <c r="S527" s="6"/>
      <c r="T527" s="6"/>
      <c r="U527" s="6"/>
      <c r="V527" s="6"/>
      <c r="W527" s="6"/>
      <c r="X527" s="6"/>
      <c r="Y527" s="6"/>
      <c r="Z527" s="6"/>
      <c r="AA527" s="6"/>
    </row>
    <row r="528">
      <c r="A528" s="7">
        <v>528.0</v>
      </c>
      <c r="B528" s="6" t="s">
        <v>260</v>
      </c>
      <c r="C528" s="6" t="s">
        <v>261</v>
      </c>
      <c r="D528" s="6" t="s">
        <v>262</v>
      </c>
      <c r="E528" s="6" t="s">
        <v>263</v>
      </c>
      <c r="F528" s="6" t="s">
        <v>655</v>
      </c>
      <c r="G528" s="6" t="s">
        <v>655</v>
      </c>
      <c r="H528" s="6" t="s">
        <v>943</v>
      </c>
      <c r="I528" s="6"/>
      <c r="J528" s="6"/>
      <c r="K528" s="6"/>
      <c r="L528" s="6" t="str">
        <f>IFERROR(__xludf.DUMMYFUNCTION("GOOGLETRANSLATE(B528,""en"",""ur"")"),"تصویر میں ایکشن ایک ایسا انداز تجویز کرتا ہے جو اس بات پر زور دیتا ہے...")</f>
        <v>تصویر میں ایکشن ایک ایسا انداز تجویز کرتا ہے جو اس بات پر زور دیتا ہے...</v>
      </c>
      <c r="M528" s="6"/>
      <c r="N528" s="8" t="str">
        <f>IFERROR(__xludf.DUMMYFUNCTION("GOOGLETRANSLATE(D528,""en"",""ur"")"),"زمینی لڑائی اور گرفت")</f>
        <v>زمینی لڑائی اور گرفت</v>
      </c>
      <c r="O528" s="6" t="str">
        <f>IFERROR(__xludf.DUMMYFUNCTION("GOOGLETRANSLATE(E528,""en"",""ur"")"),"وحشیانہ قوت اور گھڑ سواری۔")</f>
        <v>وحشیانہ قوت اور گھڑ سواری۔</v>
      </c>
      <c r="P528" s="6" t="str">
        <f>IFERROR(__xludf.DUMMYFUNCTION("GOOGLETRANSLATE(F528,""en"",""ur"")"),"ہاتھ سے آنکھ کو آرڈینیشن اور حیرت انگیز")</f>
        <v>ہاتھ سے آنکھ کو آرڈینیشن اور حیرت انگیز</v>
      </c>
      <c r="Q528" s="6" t="s">
        <v>656</v>
      </c>
      <c r="R528" s="6" t="str">
        <f>IFERROR(__xludf.DUMMYFUNCTION("GOOGLETRANSLATE(G528,""en"",""ur"")"),"ہاتھ سے آنکھ کو آرڈینیشن اور حیرت انگیز")</f>
        <v>ہاتھ سے آنکھ کو آرڈینیشن اور حیرت انگیز</v>
      </c>
      <c r="S528" s="6"/>
      <c r="T528" s="6"/>
      <c r="U528" s="6"/>
      <c r="V528" s="6"/>
      <c r="W528" s="6"/>
      <c r="X528" s="6"/>
      <c r="Y528" s="6"/>
      <c r="Z528" s="6"/>
      <c r="AA528" s="6"/>
    </row>
    <row r="529">
      <c r="A529" s="7">
        <v>529.0</v>
      </c>
      <c r="B529" s="6" t="s">
        <v>657</v>
      </c>
      <c r="C529" s="6" t="s">
        <v>658</v>
      </c>
      <c r="D529" s="6" t="s">
        <v>659</v>
      </c>
      <c r="E529" s="6" t="s">
        <v>660</v>
      </c>
      <c r="F529" s="6" t="s">
        <v>661</v>
      </c>
      <c r="G529" s="6" t="s">
        <v>660</v>
      </c>
      <c r="H529" s="6" t="s">
        <v>943</v>
      </c>
      <c r="I529" s="6"/>
      <c r="J529" s="6"/>
      <c r="K529" s="6"/>
      <c r="L529" s="6" t="str">
        <f>IFERROR(__xludf.DUMMYFUNCTION("GOOGLETRANSLATE(B529,""en"",""ur"")"),"کھلاڑیوں کے جوتے کے بارے میں ایک قابل ذکر تفصیل کیا ہے؟")</f>
        <v>کھلاڑیوں کے جوتے کے بارے میں ایک قابل ذکر تفصیل کیا ہے؟</v>
      </c>
      <c r="M529" s="6"/>
      <c r="N529" s="8" t="str">
        <f>IFERROR(__xludf.DUMMYFUNCTION("GOOGLETRANSLATE(D529,""en"",""ur"")"),"وہ ننگے پاؤں ہیں۔")</f>
        <v>وہ ننگے پاؤں ہیں۔</v>
      </c>
      <c r="O529" s="6" t="str">
        <f>IFERROR(__xludf.DUMMYFUNCTION("GOOGLETRANSLATE(E529,""en"",""ur"")"),"وہ سینڈل یا فلپ فلاپ پہنے ہوئے ہیں۔")</f>
        <v>وہ سینڈل یا فلپ فلاپ پہنے ہوئے ہیں۔</v>
      </c>
      <c r="P529" s="6" t="str">
        <f>IFERROR(__xludf.DUMMYFUNCTION("GOOGLETRANSLATE(F529,""en"",""ur"")"),"وہ موزے پہنے ہوئے ہیں۔")</f>
        <v>وہ موزے پہنے ہوئے ہیں۔</v>
      </c>
      <c r="Q529" s="6" t="s">
        <v>662</v>
      </c>
      <c r="R529" s="6" t="str">
        <f>IFERROR(__xludf.DUMMYFUNCTION("GOOGLETRANSLATE(G529,""en"",""ur"")"),"وہ سینڈل یا فلپ فلاپ پہنے ہوئے ہیں۔")</f>
        <v>وہ سینڈل یا فلپ فلاپ پہنے ہوئے ہیں۔</v>
      </c>
      <c r="S529" s="6"/>
      <c r="T529" s="6"/>
      <c r="U529" s="6"/>
      <c r="V529" s="6"/>
      <c r="W529" s="6"/>
      <c r="X529" s="6"/>
      <c r="Y529" s="6"/>
      <c r="Z529" s="6"/>
      <c r="AA529" s="6"/>
    </row>
    <row r="530">
      <c r="A530" s="7">
        <v>530.0</v>
      </c>
      <c r="B530" s="6" t="s">
        <v>663</v>
      </c>
      <c r="C530" s="6" t="s">
        <v>664</v>
      </c>
      <c r="D530" s="6" t="s">
        <v>665</v>
      </c>
      <c r="E530" s="6" t="s">
        <v>666</v>
      </c>
      <c r="F530" s="6" t="s">
        <v>667</v>
      </c>
      <c r="G530" s="6" t="s">
        <v>725</v>
      </c>
      <c r="H530" s="6" t="s">
        <v>943</v>
      </c>
      <c r="I530" s="6"/>
      <c r="J530" s="6"/>
      <c r="K530" s="6"/>
      <c r="L530" s="6" t="str">
        <f>IFERROR(__xludf.DUMMYFUNCTION("GOOGLETRANSLATE(B530,""en"",""ur"")"),"پس منظر میں دیگر کھلاڑیوں کے بارے میں ایک قابل ذکر تفصیل کیا ہے؟")</f>
        <v>پس منظر میں دیگر کھلاڑیوں کے بارے میں ایک قابل ذکر تفصیل کیا ہے؟</v>
      </c>
      <c r="M530" s="6"/>
      <c r="N530" s="8" t="str">
        <f>IFERROR(__xludf.DUMMYFUNCTION("GOOGLETRANSLATE(D530,""en"",""ur"")"),"وہ سب ادھر ادھر بھاگ رہے ہیں۔")</f>
        <v>وہ سب ادھر ادھر بھاگ رہے ہیں۔</v>
      </c>
      <c r="O530" s="6" t="str">
        <f>IFERROR(__xludf.DUMMYFUNCTION("GOOGLETRANSLATE(E530,""en"",""ur"")"),"وہ ایک دفاعی، تیار موقف میں ہیں۔")</f>
        <v>وہ ایک دفاعی، تیار موقف میں ہیں۔</v>
      </c>
      <c r="P530" s="6" t="str">
        <f>IFERROR(__xludf.DUMMYFUNCTION("GOOGLETRANSLATE(F530,""en"",""ur"")"),"وہ سب لہرا رہے ہیں۔")</f>
        <v>وہ سب لہرا رہے ہیں۔</v>
      </c>
      <c r="Q530" s="6" t="s">
        <v>668</v>
      </c>
      <c r="R530" s="6" t="str">
        <f>IFERROR(__xludf.DUMMYFUNCTION("GOOGLETRANSLATE(G530,""en"",""ur"")"),"وہ سب کھڑے کھڑے دیکھ رہے ہیں۔")</f>
        <v>وہ سب کھڑے کھڑے دیکھ رہے ہیں۔</v>
      </c>
      <c r="S530" s="6"/>
      <c r="T530" s="6"/>
      <c r="U530" s="6"/>
      <c r="V530" s="6"/>
      <c r="W530" s="6"/>
      <c r="X530" s="6"/>
      <c r="Y530" s="6"/>
      <c r="Z530" s="6"/>
      <c r="AA530" s="6"/>
    </row>
    <row r="531">
      <c r="A531" s="7">
        <v>531.0</v>
      </c>
      <c r="B531" s="6" t="s">
        <v>944</v>
      </c>
      <c r="C531" s="6" t="s">
        <v>690</v>
      </c>
      <c r="D531" s="6" t="s">
        <v>632</v>
      </c>
      <c r="E531" s="6" t="s">
        <v>633</v>
      </c>
      <c r="F531" s="6" t="s">
        <v>634</v>
      </c>
      <c r="G531" s="6" t="s">
        <v>632</v>
      </c>
      <c r="H531" s="6" t="s">
        <v>945</v>
      </c>
      <c r="I531" s="6"/>
      <c r="J531" s="6"/>
      <c r="K531" s="6"/>
      <c r="L531" s="6" t="str">
        <f>IFERROR(__xludf.DUMMYFUNCTION("GOOGLETRANSLATE(B531,""en"",""ur"")"),"gilli_danda_66 میں دکھایا گیا اصل عمل کیا ہے؟")</f>
        <v>gilli_danda_66 میں دکھایا گیا اصل عمل کیا ہے؟</v>
      </c>
      <c r="M531" s="6"/>
      <c r="N531" s="8" t="str">
        <f>IFERROR(__xludf.DUMMYFUNCTION("GOOGLETRANSLATE(D531,""en"",""ur"")"),"ایک کھلاڑی چھوٹی چھڑی کو بڑی چھڑی سے مار رہا ہے۔")</f>
        <v>ایک کھلاڑی چھوٹی چھڑی کو بڑی چھڑی سے مار رہا ہے۔</v>
      </c>
      <c r="O531" s="6" t="str">
        <f>IFERROR(__xludf.DUMMYFUNCTION("GOOGLETRANSLATE(E531,""en"",""ur"")"),"ایک کھلاڑی گیند کی خدمت کر رہا ہے۔")</f>
        <v>ایک کھلاڑی گیند کی خدمت کر رہا ہے۔</v>
      </c>
      <c r="P531" s="6" t="str">
        <f>IFERROR(__xludf.DUMMYFUNCTION("GOOGLETRANSLATE(F531,""en"",""ur"")"),"ایک کھلاڑی دفاعی بلاک کا مظاہرہ کر رہا ہے۔")</f>
        <v>ایک کھلاڑی دفاعی بلاک کا مظاہرہ کر رہا ہے۔</v>
      </c>
      <c r="Q531" s="6" t="s">
        <v>671</v>
      </c>
      <c r="R531" s="6" t="str">
        <f>IFERROR(__xludf.DUMMYFUNCTION("GOOGLETRANSLATE(G531,""en"",""ur"")"),"ایک کھلاڑی چھوٹی چھڑی کو بڑی چھڑی سے مار رہا ہے۔")</f>
        <v>ایک کھلاڑی چھوٹی چھڑی کو بڑی چھڑی سے مار رہا ہے۔</v>
      </c>
      <c r="S531" s="6"/>
      <c r="T531" s="6"/>
      <c r="U531" s="6"/>
      <c r="V531" s="6"/>
      <c r="W531" s="6"/>
      <c r="X531" s="6"/>
      <c r="Y531" s="6"/>
      <c r="Z531" s="6"/>
      <c r="AA531" s="6"/>
    </row>
    <row r="532">
      <c r="A532" s="7">
        <v>532.0</v>
      </c>
      <c r="B532" s="6" t="s">
        <v>636</v>
      </c>
      <c r="C532" s="6" t="s">
        <v>637</v>
      </c>
      <c r="D532" s="6" t="s">
        <v>638</v>
      </c>
      <c r="E532" s="6" t="s">
        <v>639</v>
      </c>
      <c r="F532" s="6" t="s">
        <v>640</v>
      </c>
      <c r="G532" s="6" t="s">
        <v>638</v>
      </c>
      <c r="H532" s="6" t="s">
        <v>945</v>
      </c>
      <c r="I532" s="6"/>
      <c r="J532" s="6"/>
      <c r="K532" s="6"/>
      <c r="L532" s="6" t="str">
        <f>IFERROR(__xludf.DUMMYFUNCTION("GOOGLETRANSLATE(B532,""en"",""ur"")"),"کھیل میں استعمال ہونے والے آلات کے دو ٹکڑے کیا ہیں؟")</f>
        <v>کھیل میں استعمال ہونے والے آلات کے دو ٹکڑے کیا ہیں؟</v>
      </c>
      <c r="M532" s="6"/>
      <c r="N532" s="8" t="str">
        <f>IFERROR(__xludf.DUMMYFUNCTION("GOOGLETRANSLATE(D532,""en"",""ur"")"),"ایک لمبی چھڑی (ڈنڈا) اور ایک چھوٹی چھڑی (گلی)")</f>
        <v>ایک لمبی چھڑی (ڈنڈا) اور ایک چھوٹی چھڑی (گلی)</v>
      </c>
      <c r="O532" s="6" t="str">
        <f>IFERROR(__xludf.DUMMYFUNCTION("GOOGLETRANSLATE(E532,""en"",""ur"")"),"ایک ریکیٹ اور ایک شٹل کاک")</f>
        <v>ایک ریکیٹ اور ایک شٹل کاک</v>
      </c>
      <c r="P532" s="6" t="str">
        <f>IFERROR(__xludf.DUMMYFUNCTION("GOOGLETRANSLATE(F532,""en"",""ur"")"),"ایک چمگادڑ اور ایک دستانہ")</f>
        <v>ایک چمگادڑ اور ایک دستانہ</v>
      </c>
      <c r="Q532" s="6" t="s">
        <v>641</v>
      </c>
      <c r="R532" s="6" t="str">
        <f>IFERROR(__xludf.DUMMYFUNCTION("GOOGLETRANSLATE(G532,""en"",""ur"")"),"ایک لمبی چھڑی (ڈنڈا) اور ایک چھوٹی چھڑی (گلی)")</f>
        <v>ایک لمبی چھڑی (ڈنڈا) اور ایک چھوٹی چھڑی (گلی)</v>
      </c>
      <c r="S532" s="6"/>
      <c r="T532" s="6"/>
      <c r="U532" s="6"/>
      <c r="V532" s="6"/>
      <c r="W532" s="6"/>
      <c r="X532" s="6"/>
      <c r="Y532" s="6"/>
      <c r="Z532" s="6"/>
      <c r="AA532" s="6"/>
    </row>
    <row r="533">
      <c r="A533" s="7">
        <v>533.0</v>
      </c>
      <c r="B533" s="6" t="s">
        <v>687</v>
      </c>
      <c r="C533" s="6" t="s">
        <v>307</v>
      </c>
      <c r="D533" s="6" t="s">
        <v>643</v>
      </c>
      <c r="E533" s="6" t="s">
        <v>311</v>
      </c>
      <c r="F533" s="6" t="s">
        <v>314</v>
      </c>
      <c r="G533" s="6" t="s">
        <v>643</v>
      </c>
      <c r="H533" s="6" t="s">
        <v>945</v>
      </c>
      <c r="I533" s="6"/>
      <c r="J533" s="6"/>
      <c r="K533" s="6"/>
      <c r="L533" s="6" t="str">
        <f>IFERROR(__xludf.DUMMYFUNCTION("GOOGLETRANSLATE(B533,""en"",""ur"")"),"پیش منظر میں کھلاڑی کے بارے میں ایک قابل ذکر تفصیل کیا ہے؟")</f>
        <v>پیش منظر میں کھلاڑی کے بارے میں ایک قابل ذکر تفصیل کیا ہے؟</v>
      </c>
      <c r="M533" s="6"/>
      <c r="N533" s="8" t="str">
        <f>IFERROR(__xludf.DUMMYFUNCTION("GOOGLETRANSLATE(D533,""en"",""ur"")"),"وہ ایک پست، جھکائے ہوئے موقف میں ہے، ہڑتال کرنے کی تیاری کر رہا ہے۔")</f>
        <v>وہ ایک پست، جھکائے ہوئے موقف میں ہے، ہڑتال کرنے کی تیاری کر رہا ہے۔</v>
      </c>
      <c r="O533" s="6" t="str">
        <f>IFERROR(__xludf.DUMMYFUNCTION("GOOGLETRANSLATE(E533,""en"",""ur"")"),"وہ سیدھا کھڑا ہے۔")</f>
        <v>وہ سیدھا کھڑا ہے۔</v>
      </c>
      <c r="P533" s="6" t="str">
        <f>IFERROR(__xludf.DUMMYFUNCTION("GOOGLETRANSLATE(F533,""en"",""ur"")"),"وہ آرام سے بیٹھا ہے۔")</f>
        <v>وہ آرام سے بیٹھا ہے۔</v>
      </c>
      <c r="Q533" s="6" t="s">
        <v>644</v>
      </c>
      <c r="R533" s="6" t="str">
        <f>IFERROR(__xludf.DUMMYFUNCTION("GOOGLETRANSLATE(G533,""en"",""ur"")"),"وہ ایک پست، جھکائے ہوئے موقف میں ہے، ہڑتال کرنے کی تیاری کر رہا ہے۔")</f>
        <v>وہ ایک پست، جھکائے ہوئے موقف میں ہے، ہڑتال کرنے کی تیاری کر رہا ہے۔</v>
      </c>
      <c r="S533" s="6"/>
      <c r="T533" s="6"/>
      <c r="U533" s="6"/>
      <c r="V533" s="6"/>
      <c r="W533" s="6"/>
      <c r="X533" s="6"/>
      <c r="Y533" s="6"/>
      <c r="Z533" s="6"/>
      <c r="AA533" s="6"/>
    </row>
    <row r="534">
      <c r="A534" s="7">
        <v>534.0</v>
      </c>
      <c r="B534" s="6" t="s">
        <v>645</v>
      </c>
      <c r="C534" s="6" t="s">
        <v>422</v>
      </c>
      <c r="D534" s="6" t="s">
        <v>646</v>
      </c>
      <c r="E534" s="6" t="s">
        <v>647</v>
      </c>
      <c r="F534" s="6" t="s">
        <v>425</v>
      </c>
      <c r="G534" s="6" t="s">
        <v>647</v>
      </c>
      <c r="H534" s="6" t="s">
        <v>945</v>
      </c>
      <c r="I534" s="6"/>
      <c r="J534" s="6"/>
      <c r="K534" s="6"/>
      <c r="L534" s="6" t="str">
        <f>IFERROR(__xludf.DUMMYFUNCTION("GOOGLETRANSLATE(B534,""en"",""ur"")"),"کھیل کی ظاہری ترتیب کیا ہے؟")</f>
        <v>کھیل کی ظاہری ترتیب کیا ہے؟</v>
      </c>
      <c r="M534" s="6"/>
      <c r="N534" s="8" t="str">
        <f>IFERROR(__xludf.DUMMYFUNCTION("GOOGLETRANSLATE(D534,""en"",""ur"")"),"شہر کی ایک گلی")</f>
        <v>شہر کی ایک گلی</v>
      </c>
      <c r="O534" s="6" t="str">
        <f>IFERROR(__xludf.DUMMYFUNCTION("GOOGLETRANSLATE(E534,""en"",""ur"")"),"ایک بیرونی گندگی کا میدان")</f>
        <v>ایک بیرونی گندگی کا میدان</v>
      </c>
      <c r="P534" s="6" t="str">
        <f>IFERROR(__xludf.DUMMYFUNCTION("GOOGLETRANSLATE(F534,""en"",""ur"")"),"گھاس کا میدان")</f>
        <v>گھاس کا میدان</v>
      </c>
      <c r="Q534" s="6" t="s">
        <v>648</v>
      </c>
      <c r="R534" s="6" t="str">
        <f>IFERROR(__xludf.DUMMYFUNCTION("GOOGLETRANSLATE(G534,""en"",""ur"")"),"ایک بیرونی گندگی کا میدان")</f>
        <v>ایک بیرونی گندگی کا میدان</v>
      </c>
      <c r="S534" s="6"/>
      <c r="T534" s="6"/>
      <c r="U534" s="6"/>
      <c r="V534" s="6"/>
      <c r="W534" s="6"/>
      <c r="X534" s="6"/>
      <c r="Y534" s="6"/>
      <c r="Z534" s="6"/>
      <c r="AA534" s="6"/>
    </row>
    <row r="535">
      <c r="A535" s="7">
        <v>535.0</v>
      </c>
      <c r="B535" s="6" t="s">
        <v>679</v>
      </c>
      <c r="C535" s="6" t="s">
        <v>47</v>
      </c>
      <c r="D535" s="6" t="s">
        <v>48</v>
      </c>
      <c r="E535" s="6" t="s">
        <v>49</v>
      </c>
      <c r="F535" s="6" t="s">
        <v>50</v>
      </c>
      <c r="G535" s="6" t="s">
        <v>49</v>
      </c>
      <c r="H535" s="6" t="s">
        <v>945</v>
      </c>
      <c r="I535" s="6"/>
      <c r="J535" s="6"/>
      <c r="K535" s="6"/>
      <c r="L535" s="6" t="str">
        <f>IFERROR(__xludf.DUMMYFUNCTION("GOOGLETRANSLATE(B535,""en"",""ur"")"),"کھلاڑی کے چہرے سے ظاہری جذبات کیا ہیں؟")</f>
        <v>کھلاڑی کے چہرے سے ظاہری جذبات کیا ہیں؟</v>
      </c>
      <c r="M535" s="6"/>
      <c r="N535" s="8" t="str">
        <f>IFERROR(__xludf.DUMMYFUNCTION("GOOGLETRANSLATE(D535,""en"",""ur"")"),"خوف زدہ اور بے چین")</f>
        <v>خوف زدہ اور بے چین</v>
      </c>
      <c r="O535" s="6" t="str">
        <f>IFERROR(__xludf.DUMMYFUNCTION("GOOGLETRANSLATE(E535,""en"",""ur"")"),"کشیدہ اور شدید")</f>
        <v>کشیدہ اور شدید</v>
      </c>
      <c r="P535" s="6" t="str">
        <f>IFERROR(__xludf.DUMMYFUNCTION("GOOGLETRANSLATE(F535,""en"",""ur"")"),"خوش اور مسکراتے ہوئے۔")</f>
        <v>خوش اور مسکراتے ہوئے۔</v>
      </c>
      <c r="Q535" s="6" t="s">
        <v>649</v>
      </c>
      <c r="R535" s="6" t="str">
        <f>IFERROR(__xludf.DUMMYFUNCTION("GOOGLETRANSLATE(G535,""en"",""ur"")"),"کشیدہ اور شدید")</f>
        <v>کشیدہ اور شدید</v>
      </c>
      <c r="S535" s="6"/>
      <c r="T535" s="6"/>
      <c r="U535" s="6"/>
      <c r="V535" s="6"/>
      <c r="W535" s="6"/>
      <c r="X535" s="6"/>
      <c r="Y535" s="6"/>
      <c r="Z535" s="6"/>
      <c r="AA535" s="6"/>
    </row>
    <row r="536">
      <c r="A536" s="7">
        <v>536.0</v>
      </c>
      <c r="B536" s="6" t="s">
        <v>88</v>
      </c>
      <c r="C536" s="6" t="s">
        <v>89</v>
      </c>
      <c r="D536" s="6" t="s">
        <v>90</v>
      </c>
      <c r="E536" s="6" t="s">
        <v>91</v>
      </c>
      <c r="F536" s="6" t="s">
        <v>255</v>
      </c>
      <c r="G536" s="6" t="s">
        <v>89</v>
      </c>
      <c r="H536" s="6" t="s">
        <v>945</v>
      </c>
      <c r="I536" s="6"/>
      <c r="J536" s="6"/>
      <c r="K536" s="6"/>
      <c r="L536" s="6" t="str">
        <f>IFERROR(__xludf.DUMMYFUNCTION("GOOGLETRANSLATE(B536,""en"",""ur"")"),"زمین کی سب سے نمایاں خصوصیت کیا ہے؟")</f>
        <v>زمین کی سب سے نمایاں خصوصیت کیا ہے؟</v>
      </c>
      <c r="M536" s="6"/>
      <c r="N536" s="8" t="str">
        <f>IFERROR(__xludf.DUMMYFUNCTION("GOOGLETRANSLATE(D536,""en"",""ur"")"),"کیچڑ والا میدان")</f>
        <v>کیچڑ والا میدان</v>
      </c>
      <c r="O536" s="6" t="str">
        <f>IFERROR(__xludf.DUMMYFUNCTION("GOOGLETRANSLATE(E536,""en"",""ur"")"),"ایک گھاس دار سطح")</f>
        <v>ایک گھاس دار سطح</v>
      </c>
      <c r="P536" s="6" t="str">
        <f>IFERROR(__xludf.DUMMYFUNCTION("GOOGLETRANSLATE(F536,""en"",""ur"")"),"ریتلی یا گندگی کی سطح")</f>
        <v>ریتلی یا گندگی کی سطح</v>
      </c>
      <c r="Q536" s="6" t="s">
        <v>688</v>
      </c>
      <c r="R536" s="6" t="str">
        <f>IFERROR(__xludf.DUMMYFUNCTION("GOOGLETRANSLATE(G536,""en"",""ur"")"),"ایک پکی سطح")</f>
        <v>ایک پکی سطح</v>
      </c>
      <c r="S536" s="6"/>
      <c r="T536" s="6"/>
      <c r="U536" s="6"/>
      <c r="V536" s="6"/>
      <c r="W536" s="6"/>
      <c r="X536" s="6"/>
      <c r="Y536" s="6"/>
      <c r="Z536" s="6"/>
      <c r="AA536" s="6"/>
    </row>
    <row r="537">
      <c r="A537" s="7">
        <v>537.0</v>
      </c>
      <c r="B537" s="6" t="s">
        <v>94</v>
      </c>
      <c r="C537" s="6" t="s">
        <v>95</v>
      </c>
      <c r="D537" s="6" t="s">
        <v>651</v>
      </c>
      <c r="E537" s="6" t="s">
        <v>652</v>
      </c>
      <c r="F537" s="6" t="s">
        <v>653</v>
      </c>
      <c r="G537" s="6" t="s">
        <v>652</v>
      </c>
      <c r="H537" s="6" t="s">
        <v>945</v>
      </c>
      <c r="I537" s="6"/>
      <c r="J537" s="6"/>
      <c r="K537" s="6"/>
      <c r="L537" s="6" t="str">
        <f>IFERROR(__xludf.DUMMYFUNCTION("GOOGLETRANSLATE(B537,""en"",""ur"")"),"کھیلے جانے والے کھیل کا نام کیا ہے؟")</f>
        <v>کھیلے جانے والے کھیل کا نام کیا ہے؟</v>
      </c>
      <c r="M537" s="6"/>
      <c r="N537" s="8" t="str">
        <f>IFERROR(__xludf.DUMMYFUNCTION("GOOGLETRANSLATE(D537,""en"",""ur"")"),"کرکٹ")</f>
        <v>کرکٹ</v>
      </c>
      <c r="O537" s="6" t="str">
        <f>IFERROR(__xludf.DUMMYFUNCTION("GOOGLETRANSLATE(E537,""en"",""ur"")"),"گلی ڈنڈا۔")</f>
        <v>گلی ڈنڈا۔</v>
      </c>
      <c r="P537" s="6" t="str">
        <f>IFERROR(__xludf.DUMMYFUNCTION("GOOGLETRANSLATE(F537,""en"",""ur"")"),"بیس بال")</f>
        <v>بیس بال</v>
      </c>
      <c r="Q537" s="6" t="s">
        <v>654</v>
      </c>
      <c r="R537" s="6" t="str">
        <f>IFERROR(__xludf.DUMMYFUNCTION("GOOGLETRANSLATE(G537,""en"",""ur"")"),"گلی ڈنڈا۔")</f>
        <v>گلی ڈنڈا۔</v>
      </c>
      <c r="S537" s="6"/>
      <c r="T537" s="6"/>
      <c r="U537" s="6"/>
      <c r="V537" s="6"/>
      <c r="W537" s="6"/>
      <c r="X537" s="6"/>
      <c r="Y537" s="6"/>
      <c r="Z537" s="6"/>
      <c r="AA537" s="6"/>
    </row>
    <row r="538">
      <c r="A538" s="7">
        <v>538.0</v>
      </c>
      <c r="B538" s="6" t="s">
        <v>260</v>
      </c>
      <c r="C538" s="6" t="s">
        <v>261</v>
      </c>
      <c r="D538" s="6" t="s">
        <v>262</v>
      </c>
      <c r="E538" s="6" t="s">
        <v>263</v>
      </c>
      <c r="F538" s="6" t="s">
        <v>655</v>
      </c>
      <c r="G538" s="6" t="s">
        <v>655</v>
      </c>
      <c r="H538" s="6" t="s">
        <v>945</v>
      </c>
      <c r="I538" s="6"/>
      <c r="J538" s="6"/>
      <c r="K538" s="6"/>
      <c r="L538" s="6" t="str">
        <f>IFERROR(__xludf.DUMMYFUNCTION("GOOGLETRANSLATE(B538,""en"",""ur"")"),"تصویر میں ایکشن ایک ایسا انداز تجویز کرتا ہے جو اس بات پر زور دیتا ہے...")</f>
        <v>تصویر میں ایکشن ایک ایسا انداز تجویز کرتا ہے جو اس بات پر زور دیتا ہے...</v>
      </c>
      <c r="M538" s="6"/>
      <c r="N538" s="8" t="str">
        <f>IFERROR(__xludf.DUMMYFUNCTION("GOOGLETRANSLATE(D538,""en"",""ur"")"),"زمینی لڑائی اور گرفت")</f>
        <v>زمینی لڑائی اور گرفت</v>
      </c>
      <c r="O538" s="6" t="str">
        <f>IFERROR(__xludf.DUMMYFUNCTION("GOOGLETRANSLATE(E538,""en"",""ur"")"),"وحشیانہ قوت اور گھڑ سواری۔")</f>
        <v>وحشیانہ قوت اور گھڑ سواری۔</v>
      </c>
      <c r="P538" s="6" t="str">
        <f>IFERROR(__xludf.DUMMYFUNCTION("GOOGLETRANSLATE(F538,""en"",""ur"")"),"ہاتھ سے آنکھ کو آرڈینیشن اور حیرت انگیز")</f>
        <v>ہاتھ سے آنکھ کو آرڈینیشن اور حیرت انگیز</v>
      </c>
      <c r="Q538" s="6" t="s">
        <v>656</v>
      </c>
      <c r="R538" s="6" t="str">
        <f>IFERROR(__xludf.DUMMYFUNCTION("GOOGLETRANSLATE(G538,""en"",""ur"")"),"ہاتھ سے آنکھ کو آرڈینیشن اور حیرت انگیز")</f>
        <v>ہاتھ سے آنکھ کو آرڈینیشن اور حیرت انگیز</v>
      </c>
      <c r="S538" s="6"/>
      <c r="T538" s="6"/>
      <c r="U538" s="6"/>
      <c r="V538" s="6"/>
      <c r="W538" s="6"/>
      <c r="X538" s="6"/>
      <c r="Y538" s="6"/>
      <c r="Z538" s="6"/>
      <c r="AA538" s="6"/>
    </row>
    <row r="539">
      <c r="A539" s="7">
        <v>539.0</v>
      </c>
      <c r="B539" s="6" t="s">
        <v>657</v>
      </c>
      <c r="C539" s="6" t="s">
        <v>658</v>
      </c>
      <c r="D539" s="6" t="s">
        <v>659</v>
      </c>
      <c r="E539" s="6" t="s">
        <v>660</v>
      </c>
      <c r="F539" s="6" t="s">
        <v>661</v>
      </c>
      <c r="G539" s="6" t="s">
        <v>658</v>
      </c>
      <c r="H539" s="6" t="s">
        <v>945</v>
      </c>
      <c r="I539" s="6"/>
      <c r="J539" s="6"/>
      <c r="K539" s="6"/>
      <c r="L539" s="6" t="str">
        <f>IFERROR(__xludf.DUMMYFUNCTION("GOOGLETRANSLATE(B539,""en"",""ur"")"),"کھلاڑیوں کے جوتے کے بارے میں ایک قابل ذکر تفصیل کیا ہے؟")</f>
        <v>کھلاڑیوں کے جوتے کے بارے میں ایک قابل ذکر تفصیل کیا ہے؟</v>
      </c>
      <c r="M539" s="6"/>
      <c r="N539" s="8" t="str">
        <f>IFERROR(__xludf.DUMMYFUNCTION("GOOGLETRANSLATE(D539,""en"",""ur"")"),"وہ ننگے پاؤں ہیں۔")</f>
        <v>وہ ننگے پاؤں ہیں۔</v>
      </c>
      <c r="O539" s="6" t="str">
        <f>IFERROR(__xludf.DUMMYFUNCTION("GOOGLETRANSLATE(E539,""en"",""ur"")"),"وہ سینڈل یا فلپ فلاپ پہنے ہوئے ہیں۔")</f>
        <v>وہ سینڈل یا فلپ فلاپ پہنے ہوئے ہیں۔</v>
      </c>
      <c r="P539" s="6" t="str">
        <f>IFERROR(__xludf.DUMMYFUNCTION("GOOGLETRANSLATE(F539,""en"",""ur"")"),"وہ موزے پہنے ہوئے ہیں۔")</f>
        <v>وہ موزے پہنے ہوئے ہیں۔</v>
      </c>
      <c r="Q539" s="6" t="s">
        <v>662</v>
      </c>
      <c r="R539" s="6" t="str">
        <f>IFERROR(__xludf.DUMMYFUNCTION("GOOGLETRANSLATE(G539,""en"",""ur"")"),"انہوں نے جوتے پہن رکھے ہیں۔")</f>
        <v>انہوں نے جوتے پہن رکھے ہیں۔</v>
      </c>
      <c r="S539" s="6"/>
      <c r="T539" s="6"/>
      <c r="U539" s="6"/>
      <c r="V539" s="6"/>
      <c r="W539" s="6"/>
      <c r="X539" s="6"/>
      <c r="Y539" s="6"/>
      <c r="Z539" s="6"/>
      <c r="AA539" s="6"/>
    </row>
    <row r="540">
      <c r="A540" s="7">
        <v>540.0</v>
      </c>
      <c r="B540" s="6" t="s">
        <v>663</v>
      </c>
      <c r="C540" s="6" t="s">
        <v>664</v>
      </c>
      <c r="D540" s="6" t="s">
        <v>665</v>
      </c>
      <c r="E540" s="6" t="s">
        <v>666</v>
      </c>
      <c r="F540" s="6" t="s">
        <v>667</v>
      </c>
      <c r="G540" s="6" t="s">
        <v>725</v>
      </c>
      <c r="H540" s="6" t="s">
        <v>945</v>
      </c>
      <c r="I540" s="6"/>
      <c r="J540" s="6"/>
      <c r="K540" s="6"/>
      <c r="L540" s="6" t="str">
        <f>IFERROR(__xludf.DUMMYFUNCTION("GOOGLETRANSLATE(B540,""en"",""ur"")"),"پس منظر میں دیگر کھلاڑیوں کے بارے میں ایک قابل ذکر تفصیل کیا ہے؟")</f>
        <v>پس منظر میں دیگر کھلاڑیوں کے بارے میں ایک قابل ذکر تفصیل کیا ہے؟</v>
      </c>
      <c r="M540" s="6"/>
      <c r="N540" s="8" t="str">
        <f>IFERROR(__xludf.DUMMYFUNCTION("GOOGLETRANSLATE(D540,""en"",""ur"")"),"وہ سب ادھر ادھر بھاگ رہے ہیں۔")</f>
        <v>وہ سب ادھر ادھر بھاگ رہے ہیں۔</v>
      </c>
      <c r="O540" s="6" t="str">
        <f>IFERROR(__xludf.DUMMYFUNCTION("GOOGLETRANSLATE(E540,""en"",""ur"")"),"وہ ایک دفاعی، تیار موقف میں ہیں۔")</f>
        <v>وہ ایک دفاعی، تیار موقف میں ہیں۔</v>
      </c>
      <c r="P540" s="6" t="str">
        <f>IFERROR(__xludf.DUMMYFUNCTION("GOOGLETRANSLATE(F540,""en"",""ur"")"),"وہ سب لہرا رہے ہیں۔")</f>
        <v>وہ سب لہرا رہے ہیں۔</v>
      </c>
      <c r="Q540" s="6" t="s">
        <v>668</v>
      </c>
      <c r="R540" s="6" t="str">
        <f>IFERROR(__xludf.DUMMYFUNCTION("GOOGLETRANSLATE(G540,""en"",""ur"")"),"وہ سب کھڑے کھڑے دیکھ رہے ہیں۔")</f>
        <v>وہ سب کھڑے کھڑے دیکھ رہے ہیں۔</v>
      </c>
      <c r="S540" s="6"/>
      <c r="T540" s="6"/>
      <c r="U540" s="6"/>
      <c r="V540" s="6"/>
      <c r="W540" s="6"/>
      <c r="X540" s="6"/>
      <c r="Y540" s="6"/>
      <c r="Z540" s="6"/>
      <c r="AA540" s="6"/>
    </row>
    <row r="541">
      <c r="A541" s="7">
        <v>541.0</v>
      </c>
      <c r="B541" s="6" t="s">
        <v>946</v>
      </c>
      <c r="C541" s="6" t="s">
        <v>899</v>
      </c>
      <c r="D541" s="6" t="s">
        <v>947</v>
      </c>
      <c r="E541" s="6" t="s">
        <v>948</v>
      </c>
      <c r="F541" s="6" t="s">
        <v>684</v>
      </c>
      <c r="G541" s="6" t="s">
        <v>947</v>
      </c>
      <c r="H541" s="6" t="s">
        <v>949</v>
      </c>
      <c r="I541" s="6"/>
      <c r="J541" s="6"/>
      <c r="K541" s="6"/>
      <c r="L541" s="6" t="str">
        <f>IFERROR(__xludf.DUMMYFUNCTION("GOOGLETRANSLATE(B541,""en"",""ur"")"),"gilli_danda_67 میں دکھایا گیا اصل عمل کیا ہے؟")</f>
        <v>gilli_danda_67 میں دکھایا گیا اصل عمل کیا ہے؟</v>
      </c>
      <c r="M541" s="6"/>
      <c r="N541" s="8" t="str">
        <f>IFERROR(__xludf.DUMMYFUNCTION("GOOGLETRANSLATE(D541,""en"",""ur"")"),"مردوں کا ایک گروپ کبڈی کھیل رہا ہے۔")</f>
        <v>مردوں کا ایک گروپ کبڈی کھیل رہا ہے۔</v>
      </c>
      <c r="O541" s="6" t="str">
        <f>IFERROR(__xludf.DUMMYFUNCTION("GOOGLETRANSLATE(E541,""en"",""ur"")"),"لڑنے والے مردوں کا ایک گروہ")</f>
        <v>لڑنے والے مردوں کا ایک گروہ</v>
      </c>
      <c r="P541" s="6" t="str">
        <f>IFERROR(__xludf.DUMMYFUNCTION("GOOGLETRANSLATE(F541,""en"",""ur"")"),"بچوں کا ایک گروپ چل رہا ہے۔")</f>
        <v>بچوں کا ایک گروپ چل رہا ہے۔</v>
      </c>
      <c r="Q541" s="6" t="s">
        <v>950</v>
      </c>
      <c r="R541" s="6" t="str">
        <f>IFERROR(__xludf.DUMMYFUNCTION("GOOGLETRANSLATE(G541,""en"",""ur"")"),"مردوں کا ایک گروپ کبڈی کھیل رہا ہے۔")</f>
        <v>مردوں کا ایک گروپ کبڈی کھیل رہا ہے۔</v>
      </c>
      <c r="S541" s="6"/>
      <c r="T541" s="6"/>
      <c r="U541" s="6"/>
      <c r="V541" s="6"/>
      <c r="W541" s="6"/>
      <c r="X541" s="6"/>
      <c r="Y541" s="6"/>
      <c r="Z541" s="6"/>
      <c r="AA541" s="6"/>
    </row>
    <row r="542">
      <c r="A542" s="7">
        <v>542.0</v>
      </c>
      <c r="B542" s="6" t="s">
        <v>636</v>
      </c>
      <c r="C542" s="6" t="s">
        <v>637</v>
      </c>
      <c r="D542" s="6" t="s">
        <v>638</v>
      </c>
      <c r="E542" s="6" t="s">
        <v>639</v>
      </c>
      <c r="F542" s="6" t="s">
        <v>951</v>
      </c>
      <c r="G542" s="6" t="s">
        <v>951</v>
      </c>
      <c r="H542" s="6" t="s">
        <v>949</v>
      </c>
      <c r="I542" s="6"/>
      <c r="J542" s="6"/>
      <c r="K542" s="6"/>
      <c r="L542" s="6" t="str">
        <f>IFERROR(__xludf.DUMMYFUNCTION("GOOGLETRANSLATE(B542,""en"",""ur"")"),"کھیل میں استعمال ہونے والے آلات کے دو ٹکڑے کیا ہیں؟")</f>
        <v>کھیل میں استعمال ہونے والے آلات کے دو ٹکڑے کیا ہیں؟</v>
      </c>
      <c r="M542" s="6"/>
      <c r="N542" s="8" t="str">
        <f>IFERROR(__xludf.DUMMYFUNCTION("GOOGLETRANSLATE(D542,""en"",""ur"")"),"ایک لمبی چھڑی (ڈنڈا) اور ایک چھوٹی چھڑی (گلی)")</f>
        <v>ایک لمبی چھڑی (ڈنڈا) اور ایک چھوٹی چھڑی (گلی)</v>
      </c>
      <c r="O542" s="6" t="str">
        <f>IFERROR(__xludf.DUMMYFUNCTION("GOOGLETRANSLATE(E542,""en"",""ur"")"),"ایک ریکیٹ اور ایک شٹل کاک")</f>
        <v>ایک ریکیٹ اور ایک شٹل کاک</v>
      </c>
      <c r="P542" s="6" t="str">
        <f>IFERROR(__xludf.DUMMYFUNCTION("GOOGLETRANSLATE(F542,""en"",""ur"")"),"کوئی سامان استعمال نہیں کیا جاتا")</f>
        <v>کوئی سامان استعمال نہیں کیا جاتا</v>
      </c>
      <c r="Q542" s="6" t="s">
        <v>952</v>
      </c>
      <c r="R542" s="6" t="str">
        <f>IFERROR(__xludf.DUMMYFUNCTION("GOOGLETRANSLATE(G542,""en"",""ur"")"),"کوئی سامان استعمال نہیں کیا جاتا")</f>
        <v>کوئی سامان استعمال نہیں کیا جاتا</v>
      </c>
      <c r="S542" s="6"/>
      <c r="T542" s="6"/>
      <c r="U542" s="6"/>
      <c r="V542" s="6"/>
      <c r="W542" s="6"/>
      <c r="X542" s="6"/>
      <c r="Y542" s="6"/>
      <c r="Z542" s="6"/>
      <c r="AA542" s="6"/>
    </row>
    <row r="543">
      <c r="A543" s="7">
        <v>543.0</v>
      </c>
      <c r="B543" s="6" t="s">
        <v>767</v>
      </c>
      <c r="C543" s="6" t="s">
        <v>797</v>
      </c>
      <c r="D543" s="6" t="s">
        <v>798</v>
      </c>
      <c r="E543" s="6" t="s">
        <v>799</v>
      </c>
      <c r="F543" s="6" t="s">
        <v>800</v>
      </c>
      <c r="G543" s="6" t="s">
        <v>798</v>
      </c>
      <c r="H543" s="6" t="s">
        <v>949</v>
      </c>
      <c r="I543" s="6"/>
      <c r="J543" s="6"/>
      <c r="K543" s="6"/>
      <c r="L543" s="6" t="str">
        <f>IFERROR(__xludf.DUMMYFUNCTION("GOOGLETRANSLATE(B543,""en"",""ur"")"),"کھلاڑیوں کے بارے میں ایک قابل ذکر تفصیل کیا ہے؟")</f>
        <v>کھلاڑیوں کے بارے میں ایک قابل ذکر تفصیل کیا ہے؟</v>
      </c>
      <c r="M543" s="6"/>
      <c r="N543" s="8" t="str">
        <f>IFERROR(__xludf.DUMMYFUNCTION("GOOGLETRANSLATE(D543,""en"",""ur"")"),"وہ سب بالغ ہیں۔")</f>
        <v>وہ سب بالغ ہیں۔</v>
      </c>
      <c r="O543" s="6" t="str">
        <f>IFERROR(__xludf.DUMMYFUNCTION("GOOGLETRANSLATE(E543,""en"",""ur"")"),"وہ عمر اور جنس کا مرکب ہیں۔")</f>
        <v>وہ عمر اور جنس کا مرکب ہیں۔</v>
      </c>
      <c r="P543" s="6" t="str">
        <f>IFERROR(__xludf.DUMMYFUNCTION("GOOGLETRANSLATE(F543,""en"",""ur"")"),"وہ سب خواتین ہیں۔")</f>
        <v>وہ سب خواتین ہیں۔</v>
      </c>
      <c r="Q543" s="6" t="s">
        <v>801</v>
      </c>
      <c r="R543" s="6" t="str">
        <f>IFERROR(__xludf.DUMMYFUNCTION("GOOGLETRANSLATE(G543,""en"",""ur"")"),"وہ سب بالغ ہیں۔")</f>
        <v>وہ سب بالغ ہیں۔</v>
      </c>
      <c r="S543" s="6"/>
      <c r="T543" s="6"/>
      <c r="U543" s="6"/>
      <c r="V543" s="6"/>
      <c r="W543" s="6"/>
      <c r="X543" s="6"/>
      <c r="Y543" s="6"/>
      <c r="Z543" s="6"/>
      <c r="AA543" s="6"/>
    </row>
    <row r="544">
      <c r="A544" s="7">
        <v>544.0</v>
      </c>
      <c r="B544" s="6" t="s">
        <v>645</v>
      </c>
      <c r="C544" s="6" t="s">
        <v>422</v>
      </c>
      <c r="D544" s="6" t="s">
        <v>646</v>
      </c>
      <c r="E544" s="6" t="s">
        <v>802</v>
      </c>
      <c r="F544" s="6" t="s">
        <v>425</v>
      </c>
      <c r="G544" s="6" t="s">
        <v>425</v>
      </c>
      <c r="H544" s="6" t="s">
        <v>949</v>
      </c>
      <c r="I544" s="6"/>
      <c r="J544" s="6"/>
      <c r="K544" s="6"/>
      <c r="L544" s="6" t="str">
        <f>IFERROR(__xludf.DUMMYFUNCTION("GOOGLETRANSLATE(B544,""en"",""ur"")"),"کھیل کی ظاہری ترتیب کیا ہے؟")</f>
        <v>کھیل کی ظاہری ترتیب کیا ہے؟</v>
      </c>
      <c r="M544" s="6"/>
      <c r="N544" s="8" t="str">
        <f>IFERROR(__xludf.DUMMYFUNCTION("GOOGLETRANSLATE(D544,""en"",""ur"")"),"شہر کی ایک گلی")</f>
        <v>شہر کی ایک گلی</v>
      </c>
      <c r="O544" s="6" t="str">
        <f>IFERROR(__xludf.DUMMYFUNCTION("GOOGLETRANSLATE(E544,""en"",""ur"")"),"بیرونی گندگی کا علاقہ")</f>
        <v>بیرونی گندگی کا علاقہ</v>
      </c>
      <c r="P544" s="6" t="str">
        <f>IFERROR(__xludf.DUMMYFUNCTION("GOOGLETRANSLATE(F544,""en"",""ur"")"),"گھاس کا میدان")</f>
        <v>گھاس کا میدان</v>
      </c>
      <c r="Q544" s="6" t="s">
        <v>913</v>
      </c>
      <c r="R544" s="6" t="str">
        <f>IFERROR(__xludf.DUMMYFUNCTION("GOOGLETRANSLATE(G544,""en"",""ur"")"),"گھاس کا میدان")</f>
        <v>گھاس کا میدان</v>
      </c>
      <c r="S544" s="6"/>
      <c r="T544" s="6"/>
      <c r="U544" s="6"/>
      <c r="V544" s="6"/>
      <c r="W544" s="6"/>
      <c r="X544" s="6"/>
      <c r="Y544" s="6"/>
      <c r="Z544" s="6"/>
      <c r="AA544" s="6"/>
    </row>
    <row r="545">
      <c r="A545" s="7">
        <v>545.0</v>
      </c>
      <c r="B545" s="6" t="s">
        <v>46</v>
      </c>
      <c r="C545" s="6" t="s">
        <v>47</v>
      </c>
      <c r="D545" s="6" t="s">
        <v>48</v>
      </c>
      <c r="E545" s="6" t="s">
        <v>49</v>
      </c>
      <c r="F545" s="6" t="s">
        <v>50</v>
      </c>
      <c r="G545" s="6" t="s">
        <v>49</v>
      </c>
      <c r="H545" s="6" t="s">
        <v>949</v>
      </c>
      <c r="I545" s="6"/>
      <c r="J545" s="6"/>
      <c r="K545" s="6"/>
      <c r="L545" s="6" t="str">
        <f>IFERROR(__xludf.DUMMYFUNCTION("GOOGLETRANSLATE(B545,""en"",""ur"")"),"کھلاڑیوں کے چہروں سے ظاہری جذبات کیا ہیں؟")</f>
        <v>کھلاڑیوں کے چہروں سے ظاہری جذبات کیا ہیں؟</v>
      </c>
      <c r="M545" s="6"/>
      <c r="N545" s="8" t="str">
        <f>IFERROR(__xludf.DUMMYFUNCTION("GOOGLETRANSLATE(D545,""en"",""ur"")"),"خوف زدہ اور بے چین")</f>
        <v>خوف زدہ اور بے چین</v>
      </c>
      <c r="O545" s="6" t="str">
        <f>IFERROR(__xludf.DUMMYFUNCTION("GOOGLETRANSLATE(E545,""en"",""ur"")"),"کشیدہ اور شدید")</f>
        <v>کشیدہ اور شدید</v>
      </c>
      <c r="P545" s="6" t="str">
        <f>IFERROR(__xludf.DUMMYFUNCTION("GOOGLETRANSLATE(F545,""en"",""ur"")"),"خوش اور مسکراتے ہوئے۔")</f>
        <v>خوش اور مسکراتے ہوئے۔</v>
      </c>
      <c r="Q545" s="6" t="s">
        <v>649</v>
      </c>
      <c r="R545" s="6" t="str">
        <f>IFERROR(__xludf.DUMMYFUNCTION("GOOGLETRANSLATE(G545,""en"",""ur"")"),"کشیدہ اور شدید")</f>
        <v>کشیدہ اور شدید</v>
      </c>
      <c r="S545" s="6"/>
      <c r="T545" s="6"/>
      <c r="U545" s="6"/>
      <c r="V545" s="6"/>
      <c r="W545" s="6"/>
      <c r="X545" s="6"/>
      <c r="Y545" s="6"/>
      <c r="Z545" s="6"/>
      <c r="AA545" s="6"/>
    </row>
    <row r="546">
      <c r="A546" s="7">
        <v>546.0</v>
      </c>
      <c r="B546" s="6" t="s">
        <v>88</v>
      </c>
      <c r="C546" s="6" t="s">
        <v>89</v>
      </c>
      <c r="D546" s="6" t="s">
        <v>90</v>
      </c>
      <c r="E546" s="6" t="s">
        <v>91</v>
      </c>
      <c r="F546" s="6" t="s">
        <v>255</v>
      </c>
      <c r="G546" s="6" t="s">
        <v>91</v>
      </c>
      <c r="H546" s="6" t="s">
        <v>949</v>
      </c>
      <c r="I546" s="6"/>
      <c r="J546" s="6"/>
      <c r="K546" s="6"/>
      <c r="L546" s="6" t="str">
        <f>IFERROR(__xludf.DUMMYFUNCTION("GOOGLETRANSLATE(B546,""en"",""ur"")"),"زمین کی سب سے نمایاں خصوصیت کیا ہے؟")</f>
        <v>زمین کی سب سے نمایاں خصوصیت کیا ہے؟</v>
      </c>
      <c r="M546" s="6"/>
      <c r="N546" s="8" t="str">
        <f>IFERROR(__xludf.DUMMYFUNCTION("GOOGLETRANSLATE(D546,""en"",""ur"")"),"کیچڑ والا میدان")</f>
        <v>کیچڑ والا میدان</v>
      </c>
      <c r="O546" s="6" t="str">
        <f>IFERROR(__xludf.DUMMYFUNCTION("GOOGLETRANSLATE(E546,""en"",""ur"")"),"ایک گھاس دار سطح")</f>
        <v>ایک گھاس دار سطح</v>
      </c>
      <c r="P546" s="6" t="str">
        <f>IFERROR(__xludf.DUMMYFUNCTION("GOOGLETRANSLATE(F546,""en"",""ur"")"),"ریتلی یا گندگی کی سطح")</f>
        <v>ریتلی یا گندگی کی سطح</v>
      </c>
      <c r="Q546" s="6" t="s">
        <v>688</v>
      </c>
      <c r="R546" s="6" t="str">
        <f>IFERROR(__xludf.DUMMYFUNCTION("GOOGLETRANSLATE(G546,""en"",""ur"")"),"ایک گھاس دار سطح")</f>
        <v>ایک گھاس دار سطح</v>
      </c>
      <c r="S546" s="6"/>
      <c r="T546" s="6"/>
      <c r="U546" s="6"/>
      <c r="V546" s="6"/>
      <c r="W546" s="6"/>
      <c r="X546" s="6"/>
      <c r="Y546" s="6"/>
      <c r="Z546" s="6"/>
      <c r="AA546" s="6"/>
    </row>
    <row r="547">
      <c r="A547" s="7">
        <v>547.0</v>
      </c>
      <c r="B547" s="6" t="s">
        <v>94</v>
      </c>
      <c r="C547" s="6" t="s">
        <v>95</v>
      </c>
      <c r="D547" s="6" t="s">
        <v>651</v>
      </c>
      <c r="E547" s="6" t="s">
        <v>652</v>
      </c>
      <c r="F547" s="6" t="s">
        <v>953</v>
      </c>
      <c r="G547" s="6" t="s">
        <v>953</v>
      </c>
      <c r="H547" s="6" t="s">
        <v>949</v>
      </c>
      <c r="I547" s="6"/>
      <c r="J547" s="6"/>
      <c r="K547" s="6"/>
      <c r="L547" s="6" t="str">
        <f>IFERROR(__xludf.DUMMYFUNCTION("GOOGLETRANSLATE(B547,""en"",""ur"")"),"کھیلے جانے والے کھیل کا نام کیا ہے؟")</f>
        <v>کھیلے جانے والے کھیل کا نام کیا ہے؟</v>
      </c>
      <c r="M547" s="6"/>
      <c r="N547" s="8" t="str">
        <f>IFERROR(__xludf.DUMMYFUNCTION("GOOGLETRANSLATE(D547,""en"",""ur"")"),"کرکٹ")</f>
        <v>کرکٹ</v>
      </c>
      <c r="O547" s="6" t="str">
        <f>IFERROR(__xludf.DUMMYFUNCTION("GOOGLETRANSLATE(E547,""en"",""ur"")"),"گلی ڈنڈا۔")</f>
        <v>گلی ڈنڈا۔</v>
      </c>
      <c r="P547" s="6" t="str">
        <f>IFERROR(__xludf.DUMMYFUNCTION("GOOGLETRANSLATE(F547,""en"",""ur"")"),"کبڈی")</f>
        <v>کبڈی</v>
      </c>
      <c r="Q547" s="6" t="s">
        <v>954</v>
      </c>
      <c r="R547" s="6" t="str">
        <f>IFERROR(__xludf.DUMMYFUNCTION("GOOGLETRANSLATE(G547,""en"",""ur"")"),"کبڈی")</f>
        <v>کبڈی</v>
      </c>
      <c r="S547" s="6"/>
      <c r="T547" s="6"/>
      <c r="U547" s="6"/>
      <c r="V547" s="6"/>
      <c r="W547" s="6"/>
      <c r="X547" s="6"/>
      <c r="Y547" s="6"/>
      <c r="Z547" s="6"/>
      <c r="AA547" s="6"/>
    </row>
    <row r="548">
      <c r="A548" s="7">
        <v>548.0</v>
      </c>
      <c r="B548" s="6" t="s">
        <v>260</v>
      </c>
      <c r="C548" s="6" t="s">
        <v>261</v>
      </c>
      <c r="D548" s="6" t="s">
        <v>262</v>
      </c>
      <c r="E548" s="6" t="s">
        <v>263</v>
      </c>
      <c r="F548" s="6" t="s">
        <v>655</v>
      </c>
      <c r="G548" s="6" t="s">
        <v>655</v>
      </c>
      <c r="H548" s="6" t="s">
        <v>949</v>
      </c>
      <c r="I548" s="6"/>
      <c r="J548" s="6"/>
      <c r="K548" s="6"/>
      <c r="L548" s="6" t="str">
        <f>IFERROR(__xludf.DUMMYFUNCTION("GOOGLETRANSLATE(B548,""en"",""ur"")"),"تصویر میں ایکشن ایک ایسا انداز تجویز کرتا ہے جو اس بات پر زور دیتا ہے...")</f>
        <v>تصویر میں ایکشن ایک ایسا انداز تجویز کرتا ہے جو اس بات پر زور دیتا ہے...</v>
      </c>
      <c r="M548" s="6"/>
      <c r="N548" s="8" t="str">
        <f>IFERROR(__xludf.DUMMYFUNCTION("GOOGLETRANSLATE(D548,""en"",""ur"")"),"زمینی لڑائی اور گرفت")</f>
        <v>زمینی لڑائی اور گرفت</v>
      </c>
      <c r="O548" s="6" t="str">
        <f>IFERROR(__xludf.DUMMYFUNCTION("GOOGLETRANSLATE(E548,""en"",""ur"")"),"وحشیانہ قوت اور گھڑ سواری۔")</f>
        <v>وحشیانہ قوت اور گھڑ سواری۔</v>
      </c>
      <c r="P548" s="6" t="str">
        <f>IFERROR(__xludf.DUMMYFUNCTION("GOOGLETRANSLATE(F548,""en"",""ur"")"),"ہاتھ سے آنکھ کو آرڈینیشن اور حیرت انگیز")</f>
        <v>ہاتھ سے آنکھ کو آرڈینیشن اور حیرت انگیز</v>
      </c>
      <c r="Q548" s="6" t="s">
        <v>656</v>
      </c>
      <c r="R548" s="6" t="str">
        <f>IFERROR(__xludf.DUMMYFUNCTION("GOOGLETRANSLATE(G548,""en"",""ur"")"),"ہاتھ سے آنکھ کو آرڈینیشن اور حیرت انگیز")</f>
        <v>ہاتھ سے آنکھ کو آرڈینیشن اور حیرت انگیز</v>
      </c>
      <c r="S548" s="6"/>
      <c r="T548" s="6"/>
      <c r="U548" s="6"/>
      <c r="V548" s="6"/>
      <c r="W548" s="6"/>
      <c r="X548" s="6"/>
      <c r="Y548" s="6"/>
      <c r="Z548" s="6"/>
      <c r="AA548" s="6"/>
    </row>
    <row r="549">
      <c r="A549" s="7">
        <v>549.0</v>
      </c>
      <c r="B549" s="6" t="s">
        <v>657</v>
      </c>
      <c r="C549" s="6" t="s">
        <v>658</v>
      </c>
      <c r="D549" s="6" t="s">
        <v>659</v>
      </c>
      <c r="E549" s="6" t="s">
        <v>660</v>
      </c>
      <c r="F549" s="6" t="s">
        <v>661</v>
      </c>
      <c r="G549" s="6" t="s">
        <v>659</v>
      </c>
      <c r="H549" s="6" t="s">
        <v>949</v>
      </c>
      <c r="I549" s="6"/>
      <c r="J549" s="6"/>
      <c r="K549" s="6"/>
      <c r="L549" s="6" t="str">
        <f>IFERROR(__xludf.DUMMYFUNCTION("GOOGLETRANSLATE(B549,""en"",""ur"")"),"کھلاڑیوں کے جوتے کے بارے میں ایک قابل ذکر تفصیل کیا ہے؟")</f>
        <v>کھلاڑیوں کے جوتے کے بارے میں ایک قابل ذکر تفصیل کیا ہے؟</v>
      </c>
      <c r="M549" s="6"/>
      <c r="N549" s="8" t="str">
        <f>IFERROR(__xludf.DUMMYFUNCTION("GOOGLETRANSLATE(D549,""en"",""ur"")"),"وہ ننگے پاؤں ہیں۔")</f>
        <v>وہ ننگے پاؤں ہیں۔</v>
      </c>
      <c r="O549" s="6" t="str">
        <f>IFERROR(__xludf.DUMMYFUNCTION("GOOGLETRANSLATE(E549,""en"",""ur"")"),"وہ سینڈل یا فلپ فلاپ پہنے ہوئے ہیں۔")</f>
        <v>وہ سینڈل یا فلپ فلاپ پہنے ہوئے ہیں۔</v>
      </c>
      <c r="P549" s="6" t="str">
        <f>IFERROR(__xludf.DUMMYFUNCTION("GOOGLETRANSLATE(F549,""en"",""ur"")"),"وہ موزے پہنے ہوئے ہیں۔")</f>
        <v>وہ موزے پہنے ہوئے ہیں۔</v>
      </c>
      <c r="Q549" s="6" t="s">
        <v>662</v>
      </c>
      <c r="R549" s="6" t="str">
        <f>IFERROR(__xludf.DUMMYFUNCTION("GOOGLETRANSLATE(G549,""en"",""ur"")"),"وہ ننگے پاؤں ہیں۔")</f>
        <v>وہ ننگے پاؤں ہیں۔</v>
      </c>
      <c r="S549" s="6"/>
      <c r="T549" s="6"/>
      <c r="U549" s="6"/>
      <c r="V549" s="6"/>
      <c r="W549" s="6"/>
      <c r="X549" s="6"/>
      <c r="Y549" s="6"/>
      <c r="Z549" s="6"/>
      <c r="AA549" s="6"/>
    </row>
    <row r="550">
      <c r="A550" s="7">
        <v>550.0</v>
      </c>
      <c r="B550" s="6" t="s">
        <v>663</v>
      </c>
      <c r="C550" s="6" t="s">
        <v>664</v>
      </c>
      <c r="D550" s="6" t="s">
        <v>665</v>
      </c>
      <c r="E550" s="6" t="s">
        <v>666</v>
      </c>
      <c r="F550" s="6" t="s">
        <v>667</v>
      </c>
      <c r="G550" s="6" t="s">
        <v>725</v>
      </c>
      <c r="H550" s="6" t="s">
        <v>949</v>
      </c>
      <c r="I550" s="6"/>
      <c r="J550" s="6"/>
      <c r="K550" s="6"/>
      <c r="L550" s="6" t="str">
        <f>IFERROR(__xludf.DUMMYFUNCTION("GOOGLETRANSLATE(B550,""en"",""ur"")"),"پس منظر میں دیگر کھلاڑیوں کے بارے میں ایک قابل ذکر تفصیل کیا ہے؟")</f>
        <v>پس منظر میں دیگر کھلاڑیوں کے بارے میں ایک قابل ذکر تفصیل کیا ہے؟</v>
      </c>
      <c r="M550" s="6"/>
      <c r="N550" s="8" t="str">
        <f>IFERROR(__xludf.DUMMYFUNCTION("GOOGLETRANSLATE(D550,""en"",""ur"")"),"وہ سب ادھر ادھر بھاگ رہے ہیں۔")</f>
        <v>وہ سب ادھر ادھر بھاگ رہے ہیں۔</v>
      </c>
      <c r="O550" s="6" t="str">
        <f>IFERROR(__xludf.DUMMYFUNCTION("GOOGLETRANSLATE(E550,""en"",""ur"")"),"وہ ایک دفاعی، تیار موقف میں ہیں۔")</f>
        <v>وہ ایک دفاعی، تیار موقف میں ہیں۔</v>
      </c>
      <c r="P550" s="6" t="str">
        <f>IFERROR(__xludf.DUMMYFUNCTION("GOOGLETRANSLATE(F550,""en"",""ur"")"),"وہ سب لہرا رہے ہیں۔")</f>
        <v>وہ سب لہرا رہے ہیں۔</v>
      </c>
      <c r="Q550" s="6" t="s">
        <v>668</v>
      </c>
      <c r="R550" s="6" t="str">
        <f>IFERROR(__xludf.DUMMYFUNCTION("GOOGLETRANSLATE(G550,""en"",""ur"")"),"وہ سب کھڑے کھڑے دیکھ رہے ہیں۔")</f>
        <v>وہ سب کھڑے کھڑے دیکھ رہے ہیں۔</v>
      </c>
      <c r="S550" s="6"/>
      <c r="T550" s="6"/>
      <c r="U550" s="6"/>
      <c r="V550" s="6"/>
      <c r="W550" s="6"/>
      <c r="X550" s="6"/>
      <c r="Y550" s="6"/>
      <c r="Z550" s="6"/>
      <c r="AA550" s="6"/>
    </row>
    <row r="551">
      <c r="A551" s="7">
        <v>551.0</v>
      </c>
      <c r="B551" s="6" t="s">
        <v>955</v>
      </c>
      <c r="C551" s="6" t="s">
        <v>852</v>
      </c>
      <c r="D551" s="6" t="s">
        <v>632</v>
      </c>
      <c r="E551" s="6" t="s">
        <v>633</v>
      </c>
      <c r="F551" s="6" t="s">
        <v>634</v>
      </c>
      <c r="G551" s="6" t="s">
        <v>852</v>
      </c>
      <c r="H551" s="6" t="s">
        <v>956</v>
      </c>
      <c r="I551" s="6"/>
      <c r="J551" s="6"/>
      <c r="K551" s="6"/>
      <c r="L551" s="6" t="str">
        <f>IFERROR(__xludf.DUMMYFUNCTION("GOOGLETRANSLATE(B551,""en"",""ur"")"),"gilli_danda_61 میں دکھایا گیا اہم عمل کیا ہے؟")</f>
        <v>gilli_danda_61 میں دکھایا گیا اہم عمل کیا ہے؟</v>
      </c>
      <c r="M551" s="6"/>
      <c r="N551" s="8" t="str">
        <f>IFERROR(__xludf.DUMMYFUNCTION("GOOGLETRANSLATE(D551,""en"",""ur"")"),"ایک کھلاڑی چھوٹی چھڑی کو بڑی چھڑی سے مار رہا ہے۔")</f>
        <v>ایک کھلاڑی چھوٹی چھڑی کو بڑی چھڑی سے مار رہا ہے۔</v>
      </c>
      <c r="O551" s="6" t="str">
        <f>IFERROR(__xludf.DUMMYFUNCTION("GOOGLETRANSLATE(E551,""en"",""ur"")"),"ایک کھلاڑی گیند کی خدمت کر رہا ہے۔")</f>
        <v>ایک کھلاڑی گیند کی خدمت کر رہا ہے۔</v>
      </c>
      <c r="P551" s="6" t="str">
        <f>IFERROR(__xludf.DUMMYFUNCTION("GOOGLETRANSLATE(F551,""en"",""ur"")"),"ایک کھلاڑی دفاعی بلاک کا مظاہرہ کر رہا ہے۔")</f>
        <v>ایک کھلاڑی دفاعی بلاک کا مظاہرہ کر رہا ہے۔</v>
      </c>
      <c r="Q551" s="6" t="s">
        <v>671</v>
      </c>
      <c r="R551" s="6" t="str">
        <f>IFERROR(__xludf.DUMMYFUNCTION("GOOGLETRANSLATE(G551,""en"",""ur"")"),"اسپورٹس ایسوسی ایشن کا لوگو")</f>
        <v>اسپورٹس ایسوسی ایشن کا لوگو</v>
      </c>
      <c r="S551" s="6"/>
      <c r="T551" s="6"/>
      <c r="U551" s="6"/>
      <c r="V551" s="6"/>
      <c r="W551" s="6"/>
      <c r="X551" s="6"/>
      <c r="Y551" s="6"/>
      <c r="Z551" s="6"/>
      <c r="AA551" s="6"/>
    </row>
    <row r="552">
      <c r="A552" s="7">
        <v>552.0</v>
      </c>
      <c r="B552" s="6" t="s">
        <v>854</v>
      </c>
      <c r="C552" s="6" t="s">
        <v>855</v>
      </c>
      <c r="D552" s="6" t="s">
        <v>856</v>
      </c>
      <c r="E552" s="6" t="s">
        <v>857</v>
      </c>
      <c r="F552" s="6" t="s">
        <v>858</v>
      </c>
      <c r="G552" s="6" t="s">
        <v>857</v>
      </c>
      <c r="H552" s="6" t="s">
        <v>956</v>
      </c>
      <c r="I552" s="6"/>
      <c r="J552" s="6"/>
      <c r="K552" s="6"/>
      <c r="L552" s="6" t="str">
        <f>IFERROR(__xludf.DUMMYFUNCTION("GOOGLETRANSLATE(B552,""en"",""ur"")"),"لوگو کے اہم عناصر کیا ہیں؟")</f>
        <v>لوگو کے اہم عناصر کیا ہیں؟</v>
      </c>
      <c r="M552" s="6"/>
      <c r="N552" s="8" t="str">
        <f>IFERROR(__xludf.DUMMYFUNCTION("GOOGLETRANSLATE(D552,""en"",""ur"")"),"ایک کرکٹ بیٹ اور ایک گیند")</f>
        <v>ایک کرکٹ بیٹ اور ایک گیند</v>
      </c>
      <c r="O552" s="6" t="str">
        <f>IFERROR(__xludf.DUMMYFUNCTION("GOOGLETRANSLATE(E552,""en"",""ur"")"),"ایک ہلال کا چاند اور ایک ستارہ")</f>
        <v>ایک ہلال کا چاند اور ایک ستارہ</v>
      </c>
      <c r="P552" s="6" t="str">
        <f>IFERROR(__xludf.DUMMYFUNCTION("GOOGLETRANSLATE(F552,""en"",""ur"")"),"ایک شیر اور ایک ڈھال")</f>
        <v>ایک شیر اور ایک ڈھال</v>
      </c>
      <c r="Q552" s="6" t="s">
        <v>859</v>
      </c>
      <c r="R552" s="6" t="str">
        <f>IFERROR(__xludf.DUMMYFUNCTION("GOOGLETRANSLATE(G552,""en"",""ur"")"),"ایک ہلال کا چاند اور ایک ستارہ")</f>
        <v>ایک ہلال کا چاند اور ایک ستارہ</v>
      </c>
      <c r="S552" s="6"/>
      <c r="T552" s="6"/>
      <c r="U552" s="6"/>
      <c r="V552" s="6"/>
      <c r="W552" s="6"/>
      <c r="X552" s="6"/>
      <c r="Y552" s="6"/>
      <c r="Z552" s="6"/>
      <c r="AA552" s="6"/>
    </row>
    <row r="553">
      <c r="A553" s="7">
        <v>553.0</v>
      </c>
      <c r="B553" s="6" t="s">
        <v>860</v>
      </c>
      <c r="C553" s="6" t="s">
        <v>815</v>
      </c>
      <c r="D553" s="6" t="s">
        <v>816</v>
      </c>
      <c r="E553" s="6" t="s">
        <v>817</v>
      </c>
      <c r="F553" s="6" t="s">
        <v>818</v>
      </c>
      <c r="G553" s="6" t="s">
        <v>816</v>
      </c>
      <c r="H553" s="6" t="s">
        <v>956</v>
      </c>
      <c r="I553" s="6"/>
      <c r="J553" s="6"/>
      <c r="K553" s="6"/>
      <c r="L553" s="6" t="str">
        <f>IFERROR(__xludf.DUMMYFUNCTION("GOOGLETRANSLATE(B553,""en"",""ur"")"),"لوگو میں متن کے بارے میں ایک قابل ذکر تفصیل کیا ہے؟")</f>
        <v>لوگو میں متن کے بارے میں ایک قابل ذکر تفصیل کیا ہے؟</v>
      </c>
      <c r="M553" s="6"/>
      <c r="N553" s="8" t="str">
        <f>IFERROR(__xludf.DUMMYFUNCTION("GOOGLETRANSLATE(D553,""en"",""ur"")"),"یہ ایک جدید فونٹ میں ہے۔")</f>
        <v>یہ ایک جدید فونٹ میں ہے۔</v>
      </c>
      <c r="O553" s="6" t="str">
        <f>IFERROR(__xludf.DUMMYFUNCTION("GOOGLETRANSLATE(E553,""en"",""ur"")"),"یہ روایتی فونٹ میں ہے۔")</f>
        <v>یہ روایتی فونٹ میں ہے۔</v>
      </c>
      <c r="P553" s="6" t="str">
        <f>IFERROR(__xludf.DUMMYFUNCTION("GOOGLETRANSLATE(F553,""en"",""ur"")"),"یہ ایک سادہ فونٹ میں ہے۔")</f>
        <v>یہ ایک سادہ فونٹ میں ہے۔</v>
      </c>
      <c r="Q553" s="6" t="s">
        <v>819</v>
      </c>
      <c r="R553" s="6" t="str">
        <f>IFERROR(__xludf.DUMMYFUNCTION("GOOGLETRANSLATE(G553,""en"",""ur"")"),"یہ ایک جدید فونٹ میں ہے۔")</f>
        <v>یہ ایک جدید فونٹ میں ہے۔</v>
      </c>
      <c r="S553" s="6"/>
      <c r="T553" s="6"/>
      <c r="U553" s="6"/>
      <c r="V553" s="6"/>
      <c r="W553" s="6"/>
      <c r="X553" s="6"/>
      <c r="Y553" s="6"/>
      <c r="Z553" s="6"/>
      <c r="AA553" s="6"/>
    </row>
    <row r="554">
      <c r="A554" s="7">
        <v>554.0</v>
      </c>
      <c r="B554" s="6" t="s">
        <v>861</v>
      </c>
      <c r="C554" s="6" t="s">
        <v>821</v>
      </c>
      <c r="D554" s="6" t="s">
        <v>862</v>
      </c>
      <c r="E554" s="6" t="s">
        <v>823</v>
      </c>
      <c r="F554" s="6" t="s">
        <v>824</v>
      </c>
      <c r="G554" s="6" t="s">
        <v>862</v>
      </c>
      <c r="H554" s="6" t="s">
        <v>956</v>
      </c>
      <c r="I554" s="6"/>
      <c r="J554" s="6"/>
      <c r="K554" s="6"/>
      <c r="L554" s="6" t="str">
        <f>IFERROR(__xludf.DUMMYFUNCTION("GOOGLETRANSLATE(B554,""en"",""ur"")"),"لوگو کا ظاہری مقصد کیا ہے؟")</f>
        <v>لوگو کا ظاہری مقصد کیا ہے؟</v>
      </c>
      <c r="M554" s="6"/>
      <c r="N554" s="8" t="str">
        <f>IFERROR(__xludf.DUMMYFUNCTION("GOOGLETRANSLATE(D554,""en"",""ur"")"),"قومی کھیلوں اور کھیلوں کی ایسوسی ایشن کی نمائندگی کرنا")</f>
        <v>قومی کھیلوں اور کھیلوں کی ایسوسی ایشن کی نمائندگی کرنا</v>
      </c>
      <c r="O554" s="6" t="str">
        <f>IFERROR(__xludf.DUMMYFUNCTION("GOOGLETRANSLATE(E554,""en"",""ur"")"),"سیاسی جماعت کو پروموٹ کرنے کے لیے")</f>
        <v>سیاسی جماعت کو پروموٹ کرنے کے لیے</v>
      </c>
      <c r="P554" s="6" t="str">
        <f>IFERROR(__xludf.DUMMYFUNCTION("GOOGLETRANSLATE(F554,""en"",""ur"")"),"ایک پروڈکٹ بیچنے کے لیے")</f>
        <v>ایک پروڈکٹ بیچنے کے لیے</v>
      </c>
      <c r="Q554" s="6" t="s">
        <v>863</v>
      </c>
      <c r="R554" s="6" t="str">
        <f>IFERROR(__xludf.DUMMYFUNCTION("GOOGLETRANSLATE(G554,""en"",""ur"")"),"قومی کھیلوں اور کھیلوں کی ایسوسی ایشن کی نمائندگی کرنا")</f>
        <v>قومی کھیلوں اور کھیلوں کی ایسوسی ایشن کی نمائندگی کرنا</v>
      </c>
      <c r="S554" s="6"/>
      <c r="T554" s="6"/>
      <c r="U554" s="6"/>
      <c r="V554" s="6"/>
      <c r="W554" s="6"/>
      <c r="X554" s="6"/>
      <c r="Y554" s="6"/>
      <c r="Z554" s="6"/>
      <c r="AA554" s="6"/>
    </row>
    <row r="555">
      <c r="A555" s="7">
        <v>555.0</v>
      </c>
      <c r="B555" s="6" t="s">
        <v>864</v>
      </c>
      <c r="C555" s="6" t="s">
        <v>827</v>
      </c>
      <c r="D555" s="6" t="s">
        <v>828</v>
      </c>
      <c r="E555" s="6" t="s">
        <v>829</v>
      </c>
      <c r="F555" s="6" t="s">
        <v>830</v>
      </c>
      <c r="G555" s="6" t="s">
        <v>828</v>
      </c>
      <c r="H555" s="6" t="s">
        <v>956</v>
      </c>
      <c r="I555" s="6"/>
      <c r="J555" s="6"/>
      <c r="K555" s="6"/>
      <c r="L555" s="6" t="str">
        <f>IFERROR(__xludf.DUMMYFUNCTION("GOOGLETRANSLATE(B555,""en"",""ur"")"),"لوگو کا سب سے نمایاں رنگ کیا ہے؟")</f>
        <v>لوگو کا سب سے نمایاں رنگ کیا ہے؟</v>
      </c>
      <c r="M555" s="6"/>
      <c r="N555" s="8" t="str">
        <f>IFERROR(__xludf.DUMMYFUNCTION("GOOGLETRANSLATE(D555,""en"",""ur"")"),"سبز")</f>
        <v>سبز</v>
      </c>
      <c r="O555" s="6" t="str">
        <f>IFERROR(__xludf.DUMMYFUNCTION("GOOGLETRANSLATE(E555,""en"",""ur"")"),"نیلا")</f>
        <v>نیلا</v>
      </c>
      <c r="P555" s="6" t="str">
        <f>IFERROR(__xludf.DUMMYFUNCTION("GOOGLETRANSLATE(F555,""en"",""ur"")"),"پیلا")</f>
        <v>پیلا</v>
      </c>
      <c r="Q555" s="6" t="s">
        <v>831</v>
      </c>
      <c r="R555" s="6" t="str">
        <f>IFERROR(__xludf.DUMMYFUNCTION("GOOGLETRANSLATE(G555,""en"",""ur"")"),"سبز")</f>
        <v>سبز</v>
      </c>
      <c r="S555" s="6"/>
      <c r="T555" s="6"/>
      <c r="U555" s="6"/>
      <c r="V555" s="6"/>
      <c r="W555" s="6"/>
      <c r="X555" s="6"/>
      <c r="Y555" s="6"/>
      <c r="Z555" s="6"/>
      <c r="AA555" s="6"/>
    </row>
    <row r="556">
      <c r="A556" s="7">
        <v>556.0</v>
      </c>
      <c r="B556" s="6" t="s">
        <v>865</v>
      </c>
      <c r="C556" s="6" t="s">
        <v>65</v>
      </c>
      <c r="D556" s="6" t="s">
        <v>866</v>
      </c>
      <c r="E556" s="6" t="s">
        <v>867</v>
      </c>
      <c r="F556" s="6" t="s">
        <v>868</v>
      </c>
      <c r="G556" s="6" t="s">
        <v>866</v>
      </c>
      <c r="H556" s="6" t="s">
        <v>956</v>
      </c>
      <c r="I556" s="6"/>
      <c r="J556" s="6"/>
      <c r="K556" s="6"/>
      <c r="L556" s="6" t="str">
        <f>IFERROR(__xludf.DUMMYFUNCTION("GOOGLETRANSLATE(B556,""en"",""ur"")"),"لوگو کے ساتھ ملک کا نام کیا ہے؟")</f>
        <v>لوگو کے ساتھ ملک کا نام کیا ہے؟</v>
      </c>
      <c r="M556" s="6"/>
      <c r="N556" s="8" t="str">
        <f>IFERROR(__xludf.DUMMYFUNCTION("GOOGLETRANSLATE(D556,""en"",""ur"")"),"پاکستان")</f>
        <v>پاکستان</v>
      </c>
      <c r="O556" s="6" t="str">
        <f>IFERROR(__xludf.DUMMYFUNCTION("GOOGLETRANSLATE(E556,""en"",""ur"")"),"بنگلہ دیش")</f>
        <v>بنگلہ دیش</v>
      </c>
      <c r="P556" s="6" t="str">
        <f>IFERROR(__xludf.DUMMYFUNCTION("GOOGLETRANSLATE(F556,""en"",""ur"")"),"افغانستان")</f>
        <v>افغانستان</v>
      </c>
      <c r="Q556" s="6" t="s">
        <v>869</v>
      </c>
      <c r="R556" s="6" t="str">
        <f>IFERROR(__xludf.DUMMYFUNCTION("GOOGLETRANSLATE(G556,""en"",""ur"")"),"پاکستان")</f>
        <v>پاکستان</v>
      </c>
      <c r="S556" s="6"/>
      <c r="T556" s="6"/>
      <c r="U556" s="6"/>
      <c r="V556" s="6"/>
      <c r="W556" s="6"/>
      <c r="X556" s="6"/>
      <c r="Y556" s="6"/>
      <c r="Z556" s="6"/>
      <c r="AA556" s="6"/>
    </row>
    <row r="557">
      <c r="A557" s="7">
        <v>557.0</v>
      </c>
      <c r="B557" s="6" t="s">
        <v>870</v>
      </c>
      <c r="C557" s="6" t="s">
        <v>834</v>
      </c>
      <c r="D557" s="6" t="s">
        <v>835</v>
      </c>
      <c r="E557" s="6" t="s">
        <v>836</v>
      </c>
      <c r="F557" s="6" t="s">
        <v>837</v>
      </c>
      <c r="G557" s="6" t="s">
        <v>837</v>
      </c>
      <c r="H557" s="6" t="s">
        <v>956</v>
      </c>
      <c r="I557" s="6"/>
      <c r="J557" s="6"/>
      <c r="K557" s="6"/>
      <c r="L557" s="6" t="str">
        <f>IFERROR(__xludf.DUMMYFUNCTION("GOOGLETRANSLATE(B557,""en"",""ur"")"),"لوگو سے پتہ چلتا ہے کہ یہ کس قسم کی تنظیم میں کھیلا جانے والا کھیل ہے؟")</f>
        <v>لوگو سے پتہ چلتا ہے کہ یہ کس قسم کی تنظیم میں کھیلا جانے والا کھیل ہے؟</v>
      </c>
      <c r="M557" s="6"/>
      <c r="N557" s="8" t="str">
        <f>IFERROR(__xludf.DUMMYFUNCTION("GOOGLETRANSLATE(D557,""en"",""ur"")"),"ایک مقامی کلب")</f>
        <v>ایک مقامی کلب</v>
      </c>
      <c r="O557" s="6" t="str">
        <f>IFERROR(__xludf.DUMMYFUNCTION("GOOGLETRANSLATE(E557,""en"",""ur"")"),"ایک سکول")</f>
        <v>ایک سکول</v>
      </c>
      <c r="P557" s="6" t="str">
        <f>IFERROR(__xludf.DUMMYFUNCTION("GOOGLETRANSLATE(F557,""en"",""ur"")"),"ایک قومی کھیلوں اور کھیلوں کی ایسوسی ایشن")</f>
        <v>ایک قومی کھیلوں اور کھیلوں کی ایسوسی ایشن</v>
      </c>
      <c r="Q557" s="6" t="s">
        <v>838</v>
      </c>
      <c r="R557" s="6" t="str">
        <f>IFERROR(__xludf.DUMMYFUNCTION("GOOGLETRANSLATE(G557,""en"",""ur"")"),"ایک قومی کھیلوں اور کھیلوں کی ایسوسی ایشن")</f>
        <v>ایک قومی کھیلوں اور کھیلوں کی ایسوسی ایشن</v>
      </c>
      <c r="S557" s="6"/>
      <c r="T557" s="6"/>
      <c r="U557" s="6"/>
      <c r="V557" s="6"/>
      <c r="W557" s="6"/>
      <c r="X557" s="6"/>
      <c r="Y557" s="6"/>
      <c r="Z557" s="6"/>
      <c r="AA557" s="6"/>
    </row>
    <row r="558">
      <c r="A558" s="7">
        <v>558.0</v>
      </c>
      <c r="B558" s="6" t="s">
        <v>860</v>
      </c>
      <c r="C558" s="6" t="s">
        <v>839</v>
      </c>
      <c r="D558" s="6" t="s">
        <v>840</v>
      </c>
      <c r="E558" s="6" t="s">
        <v>871</v>
      </c>
      <c r="F558" s="6" t="s">
        <v>841</v>
      </c>
      <c r="G558" s="6" t="s">
        <v>839</v>
      </c>
      <c r="H558" s="6" t="s">
        <v>956</v>
      </c>
      <c r="I558" s="6"/>
      <c r="J558" s="6"/>
      <c r="K558" s="6"/>
      <c r="L558" s="6" t="str">
        <f>IFERROR(__xludf.DUMMYFUNCTION("GOOGLETRANSLATE(B558,""en"",""ur"")"),"لوگو میں متن کے بارے میں ایک قابل ذکر تفصیل کیا ہے؟")</f>
        <v>لوگو میں متن کے بارے میں ایک قابل ذکر تفصیل کیا ہے؟</v>
      </c>
      <c r="M558" s="6"/>
      <c r="N558" s="8" t="str">
        <f>IFERROR(__xludf.DUMMYFUNCTION("GOOGLETRANSLATE(D558,""en"",""ur"")"),"یہ ایک چوک میں ہے۔")</f>
        <v>یہ ایک چوک میں ہے۔</v>
      </c>
      <c r="O558" s="6" t="str">
        <f>IFERROR(__xludf.DUMMYFUNCTION("GOOGLETRANSLATE(E558,""en"",""ur"")"),"یہ ایک مثلث میں ہے۔")</f>
        <v>یہ ایک مثلث میں ہے۔</v>
      </c>
      <c r="P558" s="6" t="str">
        <f>IFERROR(__xludf.DUMMYFUNCTION("GOOGLETRANSLATE(F558,""en"",""ur"")"),"یہ ایک مستطیل میں ہے۔")</f>
        <v>یہ ایک مستطیل میں ہے۔</v>
      </c>
      <c r="Q558" s="6" t="s">
        <v>872</v>
      </c>
      <c r="R558" s="6" t="str">
        <f>IFERROR(__xludf.DUMMYFUNCTION("GOOGLETRANSLATE(G558,""en"",""ur"")"),"یہ ایک دائرے میں ہے۔")</f>
        <v>یہ ایک دائرے میں ہے۔</v>
      </c>
      <c r="S558" s="6"/>
      <c r="T558" s="6"/>
      <c r="U558" s="6"/>
      <c r="V558" s="6"/>
      <c r="W558" s="6"/>
      <c r="X558" s="6"/>
      <c r="Y558" s="6"/>
      <c r="Z558" s="6"/>
      <c r="AA558" s="6"/>
    </row>
    <row r="559">
      <c r="A559" s="7">
        <v>559.0</v>
      </c>
      <c r="B559" s="6" t="s">
        <v>754</v>
      </c>
      <c r="C559" s="6" t="s">
        <v>755</v>
      </c>
      <c r="D559" s="6" t="s">
        <v>756</v>
      </c>
      <c r="E559" s="6" t="s">
        <v>757</v>
      </c>
      <c r="F559" s="6" t="s">
        <v>758</v>
      </c>
      <c r="G559" s="6" t="s">
        <v>755</v>
      </c>
      <c r="H559" s="6" t="s">
        <v>956</v>
      </c>
      <c r="I559" s="6"/>
      <c r="J559" s="6"/>
      <c r="K559" s="6"/>
      <c r="L559" s="6" t="str">
        <f>IFERROR(__xludf.DUMMYFUNCTION("GOOGLETRANSLATE(B559,""en"",""ur"")"),"کھیل کا بنیادی مقصد کیا ہے؟")</f>
        <v>کھیل کا بنیادی مقصد کیا ہے؟</v>
      </c>
      <c r="M559" s="6"/>
      <c r="N559" s="8" t="str">
        <f>IFERROR(__xludf.DUMMYFUNCTION("GOOGLETRANSLATE(D559,""en"",""ur"")"),"گلی کو گول میں مارنا")</f>
        <v>گلی کو گول میں مارنا</v>
      </c>
      <c r="O559" s="6" t="str">
        <f>IFERROR(__xludf.DUMMYFUNCTION("GOOGLETRANSLATE(E559,""en"",""ur"")"),"گیلی کو مخالف پر مارنا")</f>
        <v>گیلی کو مخالف پر مارنا</v>
      </c>
      <c r="P559" s="6" t="str">
        <f>IFERROR(__xludf.DUMMYFUNCTION("GOOGLETRANSLATE(F559,""en"",""ur"")"),"گلی کو جال میں مارنا")</f>
        <v>گلی کو جال میں مارنا</v>
      </c>
      <c r="Q559" s="6" t="s">
        <v>759</v>
      </c>
      <c r="R559" s="6" t="str">
        <f>IFERROR(__xludf.DUMMYFUNCTION("GOOGLETRANSLATE(G559,""en"",""ur"")"),"جہاں تک ممکن ہو گلی کو مار کر پوائنٹس حاصل کرنا")</f>
        <v>جہاں تک ممکن ہو گلی کو مار کر پوائنٹس حاصل کرنا</v>
      </c>
      <c r="S559" s="6"/>
      <c r="T559" s="6"/>
      <c r="U559" s="6"/>
      <c r="V559" s="6"/>
      <c r="W559" s="6"/>
      <c r="X559" s="6"/>
      <c r="Y559" s="6"/>
      <c r="Z559" s="6"/>
      <c r="AA559" s="6"/>
    </row>
    <row r="560">
      <c r="A560" s="7">
        <v>560.0</v>
      </c>
      <c r="B560" s="6" t="s">
        <v>873</v>
      </c>
      <c r="C560" s="6" t="s">
        <v>261</v>
      </c>
      <c r="D560" s="6" t="s">
        <v>262</v>
      </c>
      <c r="E560" s="6" t="s">
        <v>263</v>
      </c>
      <c r="F560" s="6" t="s">
        <v>655</v>
      </c>
      <c r="G560" s="6" t="s">
        <v>655</v>
      </c>
      <c r="H560" s="6" t="s">
        <v>956</v>
      </c>
      <c r="I560" s="6"/>
      <c r="J560" s="6"/>
      <c r="K560" s="6"/>
      <c r="L560" s="6" t="str">
        <f>IFERROR(__xludf.DUMMYFUNCTION("GOOGLETRANSLATE(B560,""en"",""ur"")"),"لوگو سے پتہ چلتا ہے کہ یہ ایک ایسا کھیل ہے جو...")</f>
        <v>لوگو سے پتہ چلتا ہے کہ یہ ایک ایسا کھیل ہے جو...</v>
      </c>
      <c r="M560" s="6"/>
      <c r="N560" s="8" t="str">
        <f>IFERROR(__xludf.DUMMYFUNCTION("GOOGLETRANSLATE(D560,""en"",""ur"")"),"زمینی لڑائی اور گرفت")</f>
        <v>زمینی لڑائی اور گرفت</v>
      </c>
      <c r="O560" s="6" t="str">
        <f>IFERROR(__xludf.DUMMYFUNCTION("GOOGLETRANSLATE(E560,""en"",""ur"")"),"وحشیانہ قوت اور گھڑ سواری۔")</f>
        <v>وحشیانہ قوت اور گھڑ سواری۔</v>
      </c>
      <c r="P560" s="6" t="str">
        <f>IFERROR(__xludf.DUMMYFUNCTION("GOOGLETRANSLATE(F560,""en"",""ur"")"),"ہاتھ سے آنکھ کو آرڈینیشن اور حیرت انگیز")</f>
        <v>ہاتھ سے آنکھ کو آرڈینیشن اور حیرت انگیز</v>
      </c>
      <c r="Q560" s="6" t="s">
        <v>656</v>
      </c>
      <c r="R560" s="6" t="str">
        <f>IFERROR(__xludf.DUMMYFUNCTION("GOOGLETRANSLATE(G560,""en"",""ur"")"),"ہاتھ سے آنکھ کو آرڈینیشن اور حیرت انگیز")</f>
        <v>ہاتھ سے آنکھ کو آرڈینیشن اور حیرت انگیز</v>
      </c>
      <c r="S560" s="6"/>
      <c r="T560" s="6"/>
      <c r="U560" s="6"/>
      <c r="V560" s="6"/>
      <c r="W560" s="6"/>
      <c r="X560" s="6"/>
      <c r="Y560" s="6"/>
      <c r="Z560" s="6"/>
      <c r="AA560" s="6"/>
    </row>
    <row r="561">
      <c r="A561" s="7"/>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7"/>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7"/>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7"/>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7"/>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7"/>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7"/>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7"/>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7"/>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7"/>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7"/>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7"/>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7"/>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7"/>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7"/>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7"/>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7"/>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7"/>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7"/>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7"/>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7"/>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7"/>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7"/>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7"/>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7"/>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7"/>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7"/>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7"/>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7"/>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7"/>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7"/>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7"/>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7"/>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7"/>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7"/>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7"/>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7"/>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7"/>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7"/>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7"/>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7"/>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7"/>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7"/>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7"/>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7"/>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7"/>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7"/>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7"/>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7"/>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7"/>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7"/>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7"/>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7"/>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7"/>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7"/>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7"/>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7"/>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7"/>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7"/>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7"/>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7"/>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7"/>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7"/>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7"/>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7"/>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7"/>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7"/>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7"/>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7"/>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7"/>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7"/>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7"/>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K1" s="2" t="str">
        <f>IFERROR(__xludf.DUMMYFUNCTION("GOOGLETRANSLATE(A1,""en"",""ur"")"),"سوال نمبر z")</f>
        <v>سوال نمبر z</v>
      </c>
      <c r="L1" s="2" t="str">
        <f>IFERROR(__xludf.DUMMYFUNCTION("GOOGLETRANSLATE(B1,""en"",""ur"")"),"سوال")</f>
        <v>سوال</v>
      </c>
      <c r="M1" s="2" t="str">
        <f>IFERROR(__xludf.DUMMYFUNCTION("GOOGLETRANSLATE(C1,""en"",""ur"")"),"آپشن-1 زیڈ")</f>
        <v>آپشن-1 زیڈ</v>
      </c>
      <c r="N1" s="2" t="str">
        <f>IFERROR(__xludf.DUMMYFUNCTION("GOOGLETRANSLATE(D1,""en"",""ur"")"),"آپشن-2ز")</f>
        <v>آپشن-2ز</v>
      </c>
      <c r="O1" s="2" t="str">
        <f>IFERROR(__xludf.DUMMYFUNCTION("GOOGLETRANSLATE(E1,""en"",""ur"")"),"آپشن-3z")</f>
        <v>آپشن-3z</v>
      </c>
      <c r="P1" s="2" t="str">
        <f>IFERROR(__xludf.DUMMYFUNCTION("GOOGLETRANSLATE(F1,""en"",""ur"")"),"آپشن-4z")</f>
        <v>آپشن-4z</v>
      </c>
      <c r="Q1" s="3" t="s">
        <v>8</v>
      </c>
      <c r="R1" s="2" t="str">
        <f>IFERROR(__xludf.DUMMYFUNCTION("GOOGLETRANSLATE(G1,""en"",""ur"")"),"جواب")</f>
        <v>جواب</v>
      </c>
      <c r="S1" s="3" t="s">
        <v>9</v>
      </c>
    </row>
    <row r="2">
      <c r="A2" s="7">
        <v>1.0</v>
      </c>
      <c r="B2" s="6" t="s">
        <v>957</v>
      </c>
      <c r="C2" s="6" t="s">
        <v>958</v>
      </c>
      <c r="D2" s="6" t="s">
        <v>959</v>
      </c>
      <c r="E2" s="6" t="s">
        <v>960</v>
      </c>
      <c r="F2" s="6" t="s">
        <v>961</v>
      </c>
      <c r="G2" s="6" t="s">
        <v>959</v>
      </c>
      <c r="H2" s="6" t="s">
        <v>962</v>
      </c>
      <c r="K2" s="2" t="str">
        <f>IFERROR(__xludf.DUMMYFUNCTION("GOOGLETRANSLATE(A2,""en"",""ur"")"),"1")</f>
        <v>1</v>
      </c>
      <c r="L2" s="2" t="str">
        <f>IFERROR(__xludf.DUMMYFUNCTION("GOOGLETRANSLATE(B2,""en"",""ur"")"),"tent_pegging_4 میں دکھائی جانے والی اہم کارروائی کیا ہے؟")</f>
        <v>tent_pegging_4 میں دکھائی جانے والی اہم کارروائی کیا ہے؟</v>
      </c>
      <c r="M2" s="2" t="str">
        <f>IFERROR(__xludf.DUMMYFUNCTION("GOOGLETRANSLATE(C2,""en"",""ur"")"),"گھوڑے کی پیٹھ پر کرتب دکھاتے ہوئے سوار")</f>
        <v>گھوڑے کی پیٹھ پر کرتب دکھاتے ہوئے سوار</v>
      </c>
      <c r="N2" s="2" t="str">
        <f>IFERROR(__xludf.DUMMYFUNCTION("GOOGLETRANSLATE(D2,""en"",""ur"")"),"ٹینٹ پیگنگ ایونٹ میں مقابلہ کرنے والا سوار")</f>
        <v>ٹینٹ پیگنگ ایونٹ میں مقابلہ کرنے والا سوار</v>
      </c>
      <c r="O2" s="2" t="str">
        <f>IFERROR(__xludf.DUMMYFUNCTION("GOOGLETRANSLATE(E2,""en"",""ur"")"),"گھوڑوں کی دوڑ میں سوار")</f>
        <v>گھوڑوں کی دوڑ میں سوار</v>
      </c>
      <c r="P2" s="2" t="str">
        <f>IFERROR(__xludf.DUMMYFUNCTION("GOOGLETRANSLATE(F2,""en"",""ur"")"),"ایک سوار پریڈ کی قیادت کر رہا ہے۔")</f>
        <v>ایک سوار پریڈ کی قیادت کر رہا ہے۔</v>
      </c>
      <c r="Q2" s="2" t="str">
        <f t="array" ref="Q2:Q381">TRIM(" (A) " &amp; M2:M381 &amp; " (B) " &amp; N2:N381 &amp; " (C) " &amp; O2:O381 &amp; " (D) " &amp; P2:P381)</f>
        <v>(A) گھوڑے کی پیٹھ پر کرتب دکھاتے ہوئے سوار (B) ٹینٹ پیگنگ ایونٹ میں مقابلہ کرنے والا سوار (C) گھوڑوں کی دوڑ میں سوار (D) ایک سوار پریڈ کی قیادت کر رہا ہے۔</v>
      </c>
      <c r="R2" s="2" t="str">
        <f>IFERROR(__xludf.DUMMYFUNCTION("GOOGLETRANSLATE(G2,""en"",""ur"")"),"ٹینٹ پیگنگ ایونٹ میں مقابلہ کرنے والا سوار")</f>
        <v>ٹینٹ پیگنگ ایونٹ میں مقابلہ کرنے والا سوار</v>
      </c>
      <c r="S2" s="6" t="s">
        <v>962</v>
      </c>
    </row>
    <row r="3">
      <c r="A3" s="7">
        <v>2.0</v>
      </c>
      <c r="B3" s="6" t="s">
        <v>963</v>
      </c>
      <c r="C3" s="6" t="s">
        <v>964</v>
      </c>
      <c r="D3" s="6" t="s">
        <v>965</v>
      </c>
      <c r="E3" s="6" t="s">
        <v>966</v>
      </c>
      <c r="F3" s="6" t="s">
        <v>967</v>
      </c>
      <c r="G3" s="6" t="s">
        <v>965</v>
      </c>
      <c r="H3" s="6" t="s">
        <v>962</v>
      </c>
      <c r="K3" s="2" t="str">
        <f>IFERROR(__xludf.DUMMYFUNCTION("GOOGLETRANSLATE(A3,""en"",""ur"")"),"2")</f>
        <v>2</v>
      </c>
      <c r="L3" s="2" t="str">
        <f>IFERROR(__xludf.DUMMYFUNCTION("GOOGLETRANSLATE(B3,""en"",""ur"")"),"سوار کے لباس کے بارے میں ایک قابل ذکر تفصیل کیا ہے؟")</f>
        <v>سوار کے لباس کے بارے میں ایک قابل ذکر تفصیل کیا ہے؟</v>
      </c>
      <c r="M3" s="2" t="str">
        <f>IFERROR(__xludf.DUMMYFUNCTION("GOOGLETRANSLATE(C3,""en"",""ur"")"),"ایک رسمی سوٹ اور ٹائی")</f>
        <v>ایک رسمی سوٹ اور ٹائی</v>
      </c>
      <c r="N3" s="2" t="str">
        <f>IFERROR(__xludf.DUMMYFUNCTION("GOOGLETRANSLATE(D3,""en"",""ur"")"),"نیلی پگڑی اور بنیان والا سفید روایتی لباس")</f>
        <v>نیلی پگڑی اور بنیان والا سفید روایتی لباس</v>
      </c>
      <c r="O3" s="2" t="str">
        <f>IFERROR(__xludf.DUMMYFUNCTION("GOOGLETRANSLATE(E3,""en"",""ur"")"),"فوجی وردی")</f>
        <v>فوجی وردی</v>
      </c>
      <c r="P3" s="2" t="str">
        <f>IFERROR(__xludf.DUMMYFUNCTION("GOOGLETRANSLATE(F3,""en"",""ur"")"),"ایک جدید کھیلوں کا یونیفارم")</f>
        <v>ایک جدید کھیلوں کا یونیفارم</v>
      </c>
      <c r="Q3" s="2" t="s">
        <v>968</v>
      </c>
      <c r="R3" s="2" t="str">
        <f>IFERROR(__xludf.DUMMYFUNCTION("GOOGLETRANSLATE(G3,""en"",""ur"")"),"نیلی پگڑی اور بنیان والا سفید روایتی لباس")</f>
        <v>نیلی پگڑی اور بنیان والا سفید روایتی لباس</v>
      </c>
      <c r="S3" s="6" t="s">
        <v>962</v>
      </c>
    </row>
    <row r="4">
      <c r="A4" s="7">
        <v>3.0</v>
      </c>
      <c r="B4" s="6" t="s">
        <v>969</v>
      </c>
      <c r="C4" s="6" t="s">
        <v>970</v>
      </c>
      <c r="D4" s="6" t="s">
        <v>971</v>
      </c>
      <c r="E4" s="6" t="s">
        <v>972</v>
      </c>
      <c r="F4" s="6" t="s">
        <v>973</v>
      </c>
      <c r="G4" s="6" t="s">
        <v>972</v>
      </c>
      <c r="H4" s="6" t="s">
        <v>962</v>
      </c>
      <c r="K4" s="2" t="str">
        <f>IFERROR(__xludf.DUMMYFUNCTION("GOOGLETRANSLATE(A4,""en"",""ur"")"),"3")</f>
        <v>3</v>
      </c>
      <c r="L4" s="2" t="str">
        <f>IFERROR(__xludf.DUMMYFUNCTION("GOOGLETRANSLATE(B4,""en"",""ur"")"),"سوار نے جو لمبی چھڑی پکڑی ہوئی ہے اس کا ظاہری مقصد کیا ہے؟")</f>
        <v>سوار نے جو لمبی چھڑی پکڑی ہوئی ہے اس کا ظاہری مقصد کیا ہے؟</v>
      </c>
      <c r="M4" s="2" t="str">
        <f>IFERROR(__xludf.DUMMYFUNCTION("GOOGLETRANSLATE(C4,""en"",""ur"")"),"گھوڑے کی رہنمائی کے لیے")</f>
        <v>گھوڑے کی رہنمائی کے لیے</v>
      </c>
      <c r="N4" s="2" t="str">
        <f>IFERROR(__xludf.DUMMYFUNCTION("GOOGLETRANSLATE(D4,""en"",""ur"")"),"توازن کے لیے زمین سے ٹکرانا")</f>
        <v>توازن کے لیے زمین سے ٹکرانا</v>
      </c>
      <c r="O4" s="2" t="str">
        <f>IFERROR(__xludf.DUMMYFUNCTION("GOOGLETRANSLATE(E4,""en"",""ur"")"),"زمین پر چھوٹے اہداف کو نشانہ بنانا")</f>
        <v>زمین پر چھوٹے اہداف کو نشانہ بنانا</v>
      </c>
      <c r="P4" s="2" t="str">
        <f>IFERROR(__xludf.DUMMYFUNCTION("GOOGLETRANSLATE(F4,""en"",""ur"")"),"بطور ہتھیار استعمال کرنا")</f>
        <v>بطور ہتھیار استعمال کرنا</v>
      </c>
      <c r="Q4" s="2" t="s">
        <v>974</v>
      </c>
      <c r="R4" s="2" t="str">
        <f>IFERROR(__xludf.DUMMYFUNCTION("GOOGLETRANSLATE(G4,""en"",""ur"")"),"زمین پر چھوٹے اہداف کو نشانہ بنانا")</f>
        <v>زمین پر چھوٹے اہداف کو نشانہ بنانا</v>
      </c>
      <c r="S4" s="6" t="s">
        <v>962</v>
      </c>
    </row>
    <row r="5">
      <c r="A5" s="7">
        <v>4.0</v>
      </c>
      <c r="B5" s="6" t="s">
        <v>310</v>
      </c>
      <c r="C5" s="6" t="s">
        <v>429</v>
      </c>
      <c r="D5" s="6" t="s">
        <v>975</v>
      </c>
      <c r="E5" s="6" t="s">
        <v>976</v>
      </c>
      <c r="F5" s="6" t="s">
        <v>977</v>
      </c>
      <c r="G5" s="6" t="s">
        <v>975</v>
      </c>
      <c r="H5" s="6" t="s">
        <v>962</v>
      </c>
      <c r="K5" s="2" t="str">
        <f>IFERROR(__xludf.DUMMYFUNCTION("GOOGLETRANSLATE(A5,""en"",""ur"")"),"4")</f>
        <v>4</v>
      </c>
      <c r="L5" s="2" t="str">
        <f>IFERROR(__xludf.DUMMYFUNCTION("GOOGLETRANSLATE(B5,""en"",""ur"")"),"سوار کی ظاہری باڈی پوزیشن کیا ہے؟")</f>
        <v>سوار کی ظاہری باڈی پوزیشن کیا ہے؟</v>
      </c>
      <c r="M5" s="2" t="str">
        <f>IFERROR(__xludf.DUMMYFUNCTION("GOOGLETRANSLATE(C5,""en"",""ur"")"),"سیدھا کھڑا ہونا")</f>
        <v>سیدھا کھڑا ہونا</v>
      </c>
      <c r="N5" s="2" t="str">
        <f>IFERROR(__xludf.DUMMYFUNCTION("GOOGLETRANSLATE(D5,""en"",""ur"")"),"نیچے اور طرف جھکنا")</f>
        <v>نیچے اور طرف جھکنا</v>
      </c>
      <c r="O5" s="2" t="str">
        <f>IFERROR(__xludf.DUMMYFUNCTION("GOOGLETRANSLATE(E5,""en"",""ur"")"),"گھوڑے کی پیٹھ پر لیٹنا")</f>
        <v>گھوڑے کی پیٹھ پر لیٹنا</v>
      </c>
      <c r="P5" s="2" t="str">
        <f>IFERROR(__xludf.DUMMYFUNCTION("GOOGLETRANSLATE(F5,""en"",""ur"")"),"آرام سے بیٹھ گیا۔")</f>
        <v>آرام سے بیٹھ گیا۔</v>
      </c>
      <c r="Q5" s="2" t="s">
        <v>978</v>
      </c>
      <c r="R5" s="2" t="str">
        <f>IFERROR(__xludf.DUMMYFUNCTION("GOOGLETRANSLATE(G5,""en"",""ur"")"),"نیچے اور طرف جھکنا")</f>
        <v>نیچے اور طرف جھکنا</v>
      </c>
      <c r="S5" s="6" t="s">
        <v>962</v>
      </c>
    </row>
    <row r="6">
      <c r="A6" s="7">
        <v>5.0</v>
      </c>
      <c r="B6" s="6" t="s">
        <v>979</v>
      </c>
      <c r="C6" s="6" t="s">
        <v>980</v>
      </c>
      <c r="D6" s="6" t="s">
        <v>981</v>
      </c>
      <c r="E6" s="6" t="s">
        <v>982</v>
      </c>
      <c r="F6" s="6" t="s">
        <v>983</v>
      </c>
      <c r="G6" s="6" t="s">
        <v>982</v>
      </c>
      <c r="H6" s="6" t="s">
        <v>962</v>
      </c>
      <c r="K6" s="2" t="str">
        <f>IFERROR(__xludf.DUMMYFUNCTION("GOOGLETRANSLATE(A6,""en"",""ur"")"),"5")</f>
        <v>5</v>
      </c>
      <c r="L6" s="2" t="str">
        <f>IFERROR(__xludf.DUMMYFUNCTION("GOOGLETRANSLATE(B6,""en"",""ur"")"),"گھوڑے کے پیچھے زمین کی ظاہری حالت کیا ہے؟")</f>
        <v>گھوڑے کے پیچھے زمین کی ظاہری حالت کیا ہے؟</v>
      </c>
      <c r="M6" s="2" t="str">
        <f>IFERROR(__xludf.DUMMYFUNCTION("GOOGLETRANSLATE(C6,""en"",""ur"")"),"بالکل ہموار")</f>
        <v>بالکل ہموار</v>
      </c>
      <c r="N6" s="2" t="str">
        <f>IFERROR(__xludf.DUMMYFUNCTION("GOOGLETRANSLATE(D6,""en"",""ur"")"),"تازہ گھاس میں ڈھکا ہوا ہے۔")</f>
        <v>تازہ گھاس میں ڈھکا ہوا ہے۔</v>
      </c>
      <c r="O6" s="2" t="str">
        <f>IFERROR(__xludf.DUMMYFUNCTION("GOOGLETRANSLATE(E6,""en"",""ur"")"),"غبار کے بادل میں اُٹھ گیا۔")</f>
        <v>غبار کے بادل میں اُٹھ گیا۔</v>
      </c>
      <c r="P6" s="2" t="str">
        <f>IFERROR(__xludf.DUMMYFUNCTION("GOOGLETRANSLATE(F6,""en"",""ur"")"),"پانی سے بھرا ہوا ۔")</f>
        <v>پانی سے بھرا ہوا ۔</v>
      </c>
      <c r="Q6" s="2" t="s">
        <v>984</v>
      </c>
      <c r="R6" s="2" t="str">
        <f>IFERROR(__xludf.DUMMYFUNCTION("GOOGLETRANSLATE(G6,""en"",""ur"")"),"غبار کے بادل میں اُٹھ گیا۔")</f>
        <v>غبار کے بادل میں اُٹھ گیا۔</v>
      </c>
      <c r="S6" s="6" t="s">
        <v>962</v>
      </c>
    </row>
    <row r="7">
      <c r="A7" s="7">
        <v>6.0</v>
      </c>
      <c r="B7" s="6" t="s">
        <v>985</v>
      </c>
      <c r="C7" s="6" t="s">
        <v>986</v>
      </c>
      <c r="D7" s="6" t="s">
        <v>987</v>
      </c>
      <c r="E7" s="6" t="s">
        <v>988</v>
      </c>
      <c r="F7" s="6" t="s">
        <v>989</v>
      </c>
      <c r="G7" s="6" t="s">
        <v>987</v>
      </c>
      <c r="H7" s="6" t="s">
        <v>962</v>
      </c>
      <c r="K7" s="2" t="str">
        <f>IFERROR(__xludf.DUMMYFUNCTION("GOOGLETRANSLATE(A7,""en"",""ur"")"),"6")</f>
        <v>6</v>
      </c>
      <c r="L7" s="2" t="str">
        <f>IFERROR(__xludf.DUMMYFUNCTION("GOOGLETRANSLATE(B7,""en"",""ur"")"),"گھوڑے کے ٹیک کی سب سے نمایاں خصوصیت کیا ہے؟")</f>
        <v>گھوڑے کے ٹیک کی سب سے نمایاں خصوصیت کیا ہے؟</v>
      </c>
      <c r="M7" s="2" t="str">
        <f>IFERROR(__xludf.DUMMYFUNCTION("GOOGLETRANSLATE(C7,""en"",""ur"")"),"یہ ایک سادہ سی کاٹھی ہے۔")</f>
        <v>یہ ایک سادہ سی کاٹھی ہے۔</v>
      </c>
      <c r="N7" s="2" t="str">
        <f>IFERROR(__xludf.DUMMYFUNCTION("GOOGLETRANSLATE(D7,""en"",""ur"")"),"یہ نیلے رنگ کے زیورات کے ساتھ ایک انتہائی آرائشی کاٹھی ہے۔")</f>
        <v>یہ نیلے رنگ کے زیورات کے ساتھ ایک انتہائی آرائشی کاٹھی ہے۔</v>
      </c>
      <c r="O7" s="2" t="str">
        <f>IFERROR(__xludf.DUMMYFUNCTION("GOOGLETRANSLATE(E7,""en"",""ur"")"),"یہ ایک ننگا پیڈ ہے۔")</f>
        <v>یہ ایک ننگا پیڈ ہے۔</v>
      </c>
      <c r="P7" s="2" t="str">
        <f>IFERROR(__xludf.DUMMYFUNCTION("GOOGLETRANSLATE(F7,""en"",""ur"")"),"یہ ایک ریسنگ سیڈل ہے۔")</f>
        <v>یہ ایک ریسنگ سیڈل ہے۔</v>
      </c>
      <c r="Q7" s="2" t="s">
        <v>990</v>
      </c>
      <c r="R7" s="2" t="str">
        <f>IFERROR(__xludf.DUMMYFUNCTION("GOOGLETRANSLATE(G7,""en"",""ur"")"),"یہ نیلے رنگ کے زیورات کے ساتھ ایک انتہائی آرائشی کاٹھی ہے۔")</f>
        <v>یہ نیلے رنگ کے زیورات کے ساتھ ایک انتہائی آرائشی کاٹھی ہے۔</v>
      </c>
      <c r="S7" s="6" t="s">
        <v>962</v>
      </c>
    </row>
    <row r="8">
      <c r="A8" s="7">
        <v>7.0</v>
      </c>
      <c r="B8" s="6" t="s">
        <v>991</v>
      </c>
      <c r="C8" s="6" t="s">
        <v>992</v>
      </c>
      <c r="D8" s="6" t="s">
        <v>646</v>
      </c>
      <c r="E8" s="6" t="s">
        <v>993</v>
      </c>
      <c r="F8" s="6" t="s">
        <v>425</v>
      </c>
      <c r="G8" s="6" t="s">
        <v>993</v>
      </c>
      <c r="H8" s="6" t="s">
        <v>962</v>
      </c>
      <c r="K8" s="2" t="str">
        <f>IFERROR(__xludf.DUMMYFUNCTION("GOOGLETRANSLATE(A8,""en"",""ur"")"),"7")</f>
        <v>7</v>
      </c>
      <c r="L8" s="2" t="str">
        <f>IFERROR(__xludf.DUMMYFUNCTION("GOOGLETRANSLATE(B8,""en"",""ur"")"),"واقعہ کی ظاہری ترتیب کیا ہے؟")</f>
        <v>واقعہ کی ظاہری ترتیب کیا ہے؟</v>
      </c>
      <c r="M8" s="2" t="str">
        <f>IFERROR(__xludf.DUMMYFUNCTION("GOOGLETRANSLATE(C8,""en"",""ur"")"),"ایک اندرونی میدان")</f>
        <v>ایک اندرونی میدان</v>
      </c>
      <c r="N8" s="2" t="str">
        <f>IFERROR(__xludf.DUMMYFUNCTION("GOOGLETRANSLATE(D8,""en"",""ur"")"),"شہر کی ایک گلی")</f>
        <v>شہر کی ایک گلی</v>
      </c>
      <c r="O8" s="2" t="str">
        <f>IFERROR(__xludf.DUMMYFUNCTION("GOOGLETRANSLATE(E8,""en"",""ur"")"),"ایک بیرونی گندگی کا ٹریک")</f>
        <v>ایک بیرونی گندگی کا ٹریک</v>
      </c>
      <c r="P8" s="2" t="str">
        <f>IFERROR(__xludf.DUMMYFUNCTION("GOOGLETRANSLATE(F8,""en"",""ur"")"),"گھاس کا میدان")</f>
        <v>گھاس کا میدان</v>
      </c>
      <c r="Q8" s="2" t="s">
        <v>994</v>
      </c>
      <c r="R8" s="2" t="str">
        <f>IFERROR(__xludf.DUMMYFUNCTION("GOOGLETRANSLATE(G8,""en"",""ur"")"),"ایک بیرونی گندگی کا ٹریک")</f>
        <v>ایک بیرونی گندگی کا ٹریک</v>
      </c>
      <c r="S8" s="6" t="s">
        <v>962</v>
      </c>
    </row>
    <row r="9">
      <c r="A9" s="7">
        <v>8.0</v>
      </c>
      <c r="B9" s="6" t="s">
        <v>995</v>
      </c>
      <c r="C9" s="6" t="s">
        <v>996</v>
      </c>
      <c r="D9" s="6" t="s">
        <v>997</v>
      </c>
      <c r="E9" s="6" t="s">
        <v>998</v>
      </c>
      <c r="F9" s="6" t="s">
        <v>999</v>
      </c>
      <c r="G9" s="6" t="s">
        <v>997</v>
      </c>
      <c r="H9" s="6" t="s">
        <v>962</v>
      </c>
      <c r="K9" s="2" t="str">
        <f>IFERROR(__xludf.DUMMYFUNCTION("GOOGLETRANSLATE(A9,""en"",""ur"")"),"8")</f>
        <v>8</v>
      </c>
      <c r="L9" s="2" t="str">
        <f>IFERROR(__xludf.DUMMYFUNCTION("GOOGLETRANSLATE(B9,""en"",""ur"")"),"اس کھیل کا نام ٹینٹ پیگنگ ہے۔ اس نام سے کیا مراد ہے؟")</f>
        <v>اس کھیل کا نام ٹینٹ پیگنگ ہے۔ اس نام سے کیا مراد ہے؟</v>
      </c>
      <c r="M9" s="2" t="str">
        <f>IFERROR(__xludf.DUMMYFUNCTION("GOOGLETRANSLATE(C9,""en"",""ur"")"),"کھیل میں خیموں کا استعمال")</f>
        <v>کھیل میں خیموں کا استعمال</v>
      </c>
      <c r="N9" s="2" t="str">
        <f>IFERROR(__xludf.DUMMYFUNCTION("GOOGLETRANSLATE(D9,""en"",""ur"")"),"زمین پر چھوٹے کھونٹے یا اہداف")</f>
        <v>زمین پر چھوٹے کھونٹے یا اہداف</v>
      </c>
      <c r="O9" s="2" t="str">
        <f>IFERROR(__xludf.DUMMYFUNCTION("GOOGLETRANSLATE(E9,""en"",""ur"")"),"گھوڑوں کو روکنے کے لیے بڑے کھونٹے کا استعمال")</f>
        <v>گھوڑوں کو روکنے کے لیے بڑے کھونٹے کا استعمال</v>
      </c>
      <c r="P9" s="2" t="str">
        <f>IFERROR(__xludf.DUMMYFUNCTION("GOOGLETRANSLATE(F9,""en"",""ur"")"),"ختم لائن کے طور پر خیمے کا استعمال")</f>
        <v>ختم لائن کے طور پر خیمے کا استعمال</v>
      </c>
      <c r="Q9" s="2" t="s">
        <v>1000</v>
      </c>
      <c r="R9" s="2" t="str">
        <f>IFERROR(__xludf.DUMMYFUNCTION("GOOGLETRANSLATE(G9,""en"",""ur"")"),"زمین پر چھوٹے کھونٹے یا اہداف")</f>
        <v>زمین پر چھوٹے کھونٹے یا اہداف</v>
      </c>
      <c r="S9" s="6" t="s">
        <v>962</v>
      </c>
    </row>
    <row r="10">
      <c r="A10" s="7">
        <v>9.0</v>
      </c>
      <c r="B10" s="6" t="s">
        <v>316</v>
      </c>
      <c r="C10" s="6" t="s">
        <v>47</v>
      </c>
      <c r="D10" s="6" t="s">
        <v>48</v>
      </c>
      <c r="E10" s="6" t="s">
        <v>49</v>
      </c>
      <c r="F10" s="6" t="s">
        <v>50</v>
      </c>
      <c r="G10" s="6" t="s">
        <v>49</v>
      </c>
      <c r="H10" s="6" t="s">
        <v>962</v>
      </c>
      <c r="K10" s="2" t="str">
        <f>IFERROR(__xludf.DUMMYFUNCTION("GOOGLETRANSLATE(A10,""en"",""ur"")"),"9")</f>
        <v>9</v>
      </c>
      <c r="L10" s="2" t="str">
        <f>IFERROR(__xludf.DUMMYFUNCTION("GOOGLETRANSLATE(B10,""en"",""ur"")"),"سوار کے چہرے سے ظاہری جذبات کیا ہیں؟")</f>
        <v>سوار کے چہرے سے ظاہری جذبات کیا ہیں؟</v>
      </c>
      <c r="M10" s="2" t="str">
        <f>IFERROR(__xludf.DUMMYFUNCTION("GOOGLETRANSLATE(C10,""en"",""ur"")"),"پرسکون اور پر سکون")</f>
        <v>پرسکون اور پر سکون</v>
      </c>
      <c r="N10" s="2" t="str">
        <f>IFERROR(__xludf.DUMMYFUNCTION("GOOGLETRANSLATE(D10,""en"",""ur"")"),"خوف زدہ اور بے چین")</f>
        <v>خوف زدہ اور بے چین</v>
      </c>
      <c r="O10" s="2" t="str">
        <f>IFERROR(__xludf.DUMMYFUNCTION("GOOGLETRANSLATE(E10,""en"",""ur"")"),"کشیدہ اور شدید")</f>
        <v>کشیدہ اور شدید</v>
      </c>
      <c r="P10" s="2" t="str">
        <f>IFERROR(__xludf.DUMMYFUNCTION("GOOGLETRANSLATE(F10,""en"",""ur"")"),"خوش اور مسکراتے ہوئے۔")</f>
        <v>خوش اور مسکراتے ہوئے۔</v>
      </c>
      <c r="Q10" s="2" t="s">
        <v>51</v>
      </c>
      <c r="R10" s="2" t="str">
        <f>IFERROR(__xludf.DUMMYFUNCTION("GOOGLETRANSLATE(G10,""en"",""ur"")"),"کشیدہ اور شدید")</f>
        <v>کشیدہ اور شدید</v>
      </c>
      <c r="S10" s="6" t="s">
        <v>962</v>
      </c>
    </row>
    <row r="11">
      <c r="A11" s="7">
        <v>10.0</v>
      </c>
      <c r="B11" s="6" t="s">
        <v>260</v>
      </c>
      <c r="C11" s="6" t="s">
        <v>261</v>
      </c>
      <c r="D11" s="6" t="s">
        <v>262</v>
      </c>
      <c r="E11" s="6" t="s">
        <v>263</v>
      </c>
      <c r="F11" s="6" t="s">
        <v>1001</v>
      </c>
      <c r="G11" s="6" t="s">
        <v>1001</v>
      </c>
      <c r="H11" s="6" t="s">
        <v>962</v>
      </c>
      <c r="K11" s="2" t="str">
        <f>IFERROR(__xludf.DUMMYFUNCTION("GOOGLETRANSLATE(A11,""en"",""ur"")"),"10")</f>
        <v>10</v>
      </c>
      <c r="L11" s="2" t="str">
        <f>IFERROR(__xludf.DUMMYFUNCTION("GOOGLETRANSLATE(B11,""en"",""ur"")"),"تصویر میں ایکشن ایک ایسا انداز تجویز کرتا ہے جو اس بات پر زور دیتا ہے...")</f>
        <v>تصویر میں ایکشن ایک ایسا انداز تجویز کرتا ہے جو اس بات پر زور دیتا ہے...</v>
      </c>
      <c r="M11" s="2" t="str">
        <f>IFERROR(__xludf.DUMMYFUNCTION("GOOGLETRANSLATE(C11,""en"",""ur"")"),"روانی اور قلابازیاں")</f>
        <v>روانی اور قلابازیاں</v>
      </c>
      <c r="N11" s="2" t="str">
        <f>IFERROR(__xludf.DUMMYFUNCTION("GOOGLETRANSLATE(D11,""en"",""ur"")"),"زمینی لڑائی اور گرفت")</f>
        <v>زمینی لڑائی اور گرفت</v>
      </c>
      <c r="O11" s="2" t="str">
        <f>IFERROR(__xludf.DUMMYFUNCTION("GOOGLETRANSLATE(E11,""en"",""ur"")"),"وحشیانہ قوت اور گھڑ سواری۔")</f>
        <v>وحشیانہ قوت اور گھڑ سواری۔</v>
      </c>
      <c r="P11" s="2" t="str">
        <f>IFERROR(__xludf.DUMMYFUNCTION("GOOGLETRANSLATE(F11,""en"",""ur"")"),"رفتار، درستگی اور چستی")</f>
        <v>رفتار، درستگی اور چستی</v>
      </c>
      <c r="Q11" s="2" t="s">
        <v>1002</v>
      </c>
      <c r="R11" s="2" t="str">
        <f>IFERROR(__xludf.DUMMYFUNCTION("GOOGLETRANSLATE(G11,""en"",""ur"")"),"رفتار، درستگی اور چستی")</f>
        <v>رفتار، درستگی اور چستی</v>
      </c>
      <c r="S11" s="6" t="s">
        <v>962</v>
      </c>
    </row>
    <row r="12">
      <c r="A12" s="7">
        <v>11.0</v>
      </c>
      <c r="B12" s="6" t="s">
        <v>1003</v>
      </c>
      <c r="C12" s="6" t="s">
        <v>103</v>
      </c>
      <c r="D12" s="6" t="s">
        <v>71</v>
      </c>
      <c r="E12" s="6" t="s">
        <v>1004</v>
      </c>
      <c r="F12" s="6" t="s">
        <v>73</v>
      </c>
      <c r="G12" s="6" t="s">
        <v>1004</v>
      </c>
      <c r="H12" s="6" t="s">
        <v>1005</v>
      </c>
      <c r="K12" s="2" t="str">
        <f>IFERROR(__xludf.DUMMYFUNCTION("GOOGLETRANSLATE(A12,""en"",""ur"")"),"11")</f>
        <v>11</v>
      </c>
      <c r="L12" s="2" t="str">
        <f>IFERROR(__xludf.DUMMYFUNCTION("GOOGLETRANSLATE(B12,""en"",""ur"")"),"tent_pegging_33 میں دکھائی جانے والی اہم کارروائی کیا ہے؟")</f>
        <v>tent_pegging_33 میں دکھائی جانے والی اہم کارروائی کیا ہے؟</v>
      </c>
      <c r="M12" s="2" t="str">
        <f>IFERROR(__xludf.DUMMYFUNCTION("GOOGLETRANSLATE(C12,""en"",""ur"")"),"آرام سے گھوڑے کی سواری۔")</f>
        <v>آرام سے گھوڑے کی سواری۔</v>
      </c>
      <c r="N12" s="2" t="str">
        <f>IFERROR(__xludf.DUMMYFUNCTION("GOOGLETRANSLATE(D12,""en"",""ur"")"),"سواروں کا ایک گروپ جو مرکزی چیز کے لیے مقابلہ کر رہا ہے۔")</f>
        <v>سواروں کا ایک گروپ جو مرکزی چیز کے لیے مقابلہ کر رہا ہے۔</v>
      </c>
      <c r="O12" s="2" t="str">
        <f>IFERROR(__xludf.DUMMYFUNCTION("GOOGLETRANSLATE(E12,""en"",""ur"")"),"سواروں کی پریڈ")</f>
        <v>سواروں کی پریڈ</v>
      </c>
      <c r="P12" s="2" t="str">
        <f>IFERROR(__xludf.DUMMYFUNCTION("GOOGLETRANSLATE(F12,""en"",""ur"")"),"گھوڑوں کی دوڑ")</f>
        <v>گھوڑوں کی دوڑ</v>
      </c>
      <c r="Q12" s="2" t="s">
        <v>1006</v>
      </c>
      <c r="R12" s="2" t="str">
        <f>IFERROR(__xludf.DUMMYFUNCTION("GOOGLETRANSLATE(G12,""en"",""ur"")"),"سواروں کی پریڈ")</f>
        <v>سواروں کی پریڈ</v>
      </c>
      <c r="S12" s="6" t="s">
        <v>1005</v>
      </c>
    </row>
    <row r="13">
      <c r="A13" s="7">
        <v>12.0</v>
      </c>
      <c r="B13" s="6" t="s">
        <v>1007</v>
      </c>
      <c r="C13" s="6" t="s">
        <v>1008</v>
      </c>
      <c r="D13" s="6" t="s">
        <v>1009</v>
      </c>
      <c r="E13" s="6" t="s">
        <v>245</v>
      </c>
      <c r="F13" s="6" t="s">
        <v>246</v>
      </c>
      <c r="G13" s="6" t="s">
        <v>1009</v>
      </c>
      <c r="H13" s="6" t="s">
        <v>1005</v>
      </c>
      <c r="K13" s="2" t="str">
        <f>IFERROR(__xludf.DUMMYFUNCTION("GOOGLETRANSLATE(A13,""en"",""ur"")"),"12")</f>
        <v>12</v>
      </c>
      <c r="L13" s="2" t="str">
        <f>IFERROR(__xludf.DUMMYFUNCTION("GOOGLETRANSLATE(B13,""en"",""ur"")"),"سواروں کے لباس کے بارے میں ایک قابل ذکر تفصیل کیا ہے؟")</f>
        <v>سواروں کے لباس کے بارے میں ایک قابل ذکر تفصیل کیا ہے؟</v>
      </c>
      <c r="M13" s="2" t="str">
        <f>IFERROR(__xludf.DUMMYFUNCTION("GOOGLETRANSLATE(C13,""en"",""ur"")"),"انہوں نے فوجی وردی پہن رکھی ہے۔")</f>
        <v>انہوں نے فوجی وردی پہن رکھی ہے۔</v>
      </c>
      <c r="N13" s="2" t="str">
        <f>IFERROR(__xludf.DUMMYFUNCTION("GOOGLETRANSLATE(D13,""en"",""ur"")"),"وہ لمبی پگڑیوں اور نیلی واسکٹ کے ساتھ سفید روایتی لباس پہنے ہوئے ہیں۔")</f>
        <v>وہ لمبی پگڑیوں اور نیلی واسکٹ کے ساتھ سفید روایتی لباس پہنے ہوئے ہیں۔</v>
      </c>
      <c r="O13" s="2" t="str">
        <f>IFERROR(__xludf.DUMMYFUNCTION("GOOGLETRANSLATE(E13,""en"",""ur"")"),"وہ رسمی سوٹ پہنے ہوئے ہیں۔")</f>
        <v>وہ رسمی سوٹ پہنے ہوئے ہیں۔</v>
      </c>
      <c r="P13" s="2" t="str">
        <f>IFERROR(__xludf.DUMMYFUNCTION("GOOGLETRANSLATE(F13,""en"",""ur"")"),"انہوں نے کوئی لباس نہیں پہنا ہوا ہے۔")</f>
        <v>انہوں نے کوئی لباس نہیں پہنا ہوا ہے۔</v>
      </c>
      <c r="Q13" s="2" t="s">
        <v>1010</v>
      </c>
      <c r="R13" s="2" t="str">
        <f>IFERROR(__xludf.DUMMYFUNCTION("GOOGLETRANSLATE(G13,""en"",""ur"")"),"وہ لمبی پگڑیوں اور نیلی واسکٹ کے ساتھ سفید روایتی لباس پہنے ہوئے ہیں۔")</f>
        <v>وہ لمبی پگڑیوں اور نیلی واسکٹ کے ساتھ سفید روایتی لباس پہنے ہوئے ہیں۔</v>
      </c>
      <c r="S13" s="6" t="s">
        <v>1005</v>
      </c>
    </row>
    <row r="14">
      <c r="A14" s="7">
        <v>13.0</v>
      </c>
      <c r="B14" s="6" t="s">
        <v>1011</v>
      </c>
      <c r="C14" s="6" t="s">
        <v>59</v>
      </c>
      <c r="D14" s="6" t="s">
        <v>1012</v>
      </c>
      <c r="E14" s="6" t="s">
        <v>1013</v>
      </c>
      <c r="F14" s="6" t="s">
        <v>268</v>
      </c>
      <c r="G14" s="6" t="s">
        <v>1012</v>
      </c>
      <c r="H14" s="6" t="s">
        <v>1005</v>
      </c>
      <c r="K14" s="2" t="str">
        <f>IFERROR(__xludf.DUMMYFUNCTION("GOOGLETRANSLATE(A14,""en"",""ur"")"),"13")</f>
        <v>13</v>
      </c>
      <c r="L14" s="2" t="str">
        <f>IFERROR(__xludf.DUMMYFUNCTION("GOOGLETRANSLATE(B14,""en"",""ur"")"),"گھوڑوں کے بارے میں نظر آنے والی تفصیل کیا ہے؟")</f>
        <v>گھوڑوں کے بارے میں نظر آنے والی تفصیل کیا ہے؟</v>
      </c>
      <c r="M14" s="2" t="str">
        <f>IFERROR(__xludf.DUMMYFUNCTION("GOOGLETRANSLATE(C14,""en"",""ur"")"),"وہ سب ایک ہی رنگ کے ہیں۔")</f>
        <v>وہ سب ایک ہی رنگ کے ہیں۔</v>
      </c>
      <c r="N14" s="2" t="str">
        <f>IFERROR(__xludf.DUMMYFUNCTION("GOOGLETRANSLATE(D14,""en"",""ur"")"),"وہ زیادہ تر سفید گھوڑے ہیں جن میں آرائشی ٹیک ہیں۔")</f>
        <v>وہ زیادہ تر سفید گھوڑے ہیں جن میں آرائشی ٹیک ہیں۔</v>
      </c>
      <c r="O14" s="2" t="str">
        <f>IFERROR(__xludf.DUMMYFUNCTION("GOOGLETRANSLATE(E14,""en"",""ur"")"),"وہ سب کوئی سیڈل نہیں پہنے ہوئے ہیں۔")</f>
        <v>وہ سب کوئی سیڈل نہیں پہنے ہوئے ہیں۔</v>
      </c>
      <c r="P14" s="2" t="str">
        <f>IFERROR(__xludf.DUMMYFUNCTION("GOOGLETRANSLATE(F14,""en"",""ur"")"),"وہ سب خاموش کھڑے ہیں۔")</f>
        <v>وہ سب خاموش کھڑے ہیں۔</v>
      </c>
      <c r="Q14" s="2" t="s">
        <v>1014</v>
      </c>
      <c r="R14" s="2" t="str">
        <f>IFERROR(__xludf.DUMMYFUNCTION("GOOGLETRANSLATE(G14,""en"",""ur"")"),"وہ زیادہ تر سفید گھوڑے ہیں جن میں آرائشی ٹیک ہیں۔")</f>
        <v>وہ زیادہ تر سفید گھوڑے ہیں جن میں آرائشی ٹیک ہیں۔</v>
      </c>
      <c r="S14" s="6" t="s">
        <v>1005</v>
      </c>
    </row>
    <row r="15">
      <c r="A15" s="7">
        <v>14.0</v>
      </c>
      <c r="B15" s="6" t="s">
        <v>248</v>
      </c>
      <c r="C15" s="6" t="s">
        <v>249</v>
      </c>
      <c r="D15" s="6" t="s">
        <v>250</v>
      </c>
      <c r="E15" s="6" t="s">
        <v>251</v>
      </c>
      <c r="F15" s="6" t="s">
        <v>252</v>
      </c>
      <c r="G15" s="6" t="s">
        <v>252</v>
      </c>
      <c r="H15" s="6" t="s">
        <v>1005</v>
      </c>
      <c r="K15" s="2" t="str">
        <f>IFERROR(__xludf.DUMMYFUNCTION("GOOGLETRANSLATE(A15,""en"",""ur"")"),"14")</f>
        <v>14</v>
      </c>
      <c r="L15" s="2" t="str">
        <f>IFERROR(__xludf.DUMMYFUNCTION("GOOGLETRANSLATE(B15,""en"",""ur"")"),"سواروں کی ظاہری باڈی پوزیشن کیا ہے؟")</f>
        <v>سواروں کی ظاہری باڈی پوزیشن کیا ہے؟</v>
      </c>
      <c r="M15" s="2" t="str">
        <f>IFERROR(__xludf.DUMMYFUNCTION("GOOGLETRANSLATE(C15,""en"",""ur"")"),"وہ سیدھے کھڑے ہیں۔")</f>
        <v>وہ سیدھے کھڑے ہیں۔</v>
      </c>
      <c r="N15" s="2" t="str">
        <f>IFERROR(__xludf.DUMMYFUNCTION("GOOGLETRANSLATE(D15,""en"",""ur"")"),"وہ جھک رہے ہیں اور کسی چیز تک پہنچ رہے ہیں۔")</f>
        <v>وہ جھک رہے ہیں اور کسی چیز تک پہنچ رہے ہیں۔</v>
      </c>
      <c r="O15" s="2" t="str">
        <f>IFERROR(__xludf.DUMMYFUNCTION("GOOGLETRANSLATE(E15,""en"",""ur"")"),"وہ گھوڑوں کی پیٹھ پر لیٹے ہوئے ہیں۔")</f>
        <v>وہ گھوڑوں کی پیٹھ پر لیٹے ہوئے ہیں۔</v>
      </c>
      <c r="P15" s="2" t="str">
        <f>IFERROR(__xludf.DUMMYFUNCTION("GOOGLETRANSLATE(F15,""en"",""ur"")"),"وہ آرام سے بیٹھے ہیں۔")</f>
        <v>وہ آرام سے بیٹھے ہیں۔</v>
      </c>
      <c r="Q15" s="2" t="s">
        <v>253</v>
      </c>
      <c r="R15" s="2" t="str">
        <f>IFERROR(__xludf.DUMMYFUNCTION("GOOGLETRANSLATE(G15,""en"",""ur"")"),"وہ آرام سے بیٹھے ہیں۔")</f>
        <v>وہ آرام سے بیٹھے ہیں۔</v>
      </c>
      <c r="S15" s="6" t="s">
        <v>1005</v>
      </c>
    </row>
    <row r="16">
      <c r="A16" s="7">
        <v>15.0</v>
      </c>
      <c r="B16" s="6" t="s">
        <v>254</v>
      </c>
      <c r="C16" s="6" t="s">
        <v>47</v>
      </c>
      <c r="D16" s="6" t="s">
        <v>48</v>
      </c>
      <c r="E16" s="6" t="s">
        <v>49</v>
      </c>
      <c r="F16" s="6" t="s">
        <v>50</v>
      </c>
      <c r="G16" s="6" t="s">
        <v>50</v>
      </c>
      <c r="H16" s="6" t="s">
        <v>1005</v>
      </c>
      <c r="K16" s="2" t="str">
        <f>IFERROR(__xludf.DUMMYFUNCTION("GOOGLETRANSLATE(A16,""en"",""ur"")"),"15")</f>
        <v>15</v>
      </c>
      <c r="L16" s="2" t="str">
        <f>IFERROR(__xludf.DUMMYFUNCTION("GOOGLETRANSLATE(B16,""en"",""ur"")"),"سواروں کے چہروں سے ظاہری جذبات کیا ہیں؟")</f>
        <v>سواروں کے چہروں سے ظاہری جذبات کیا ہیں؟</v>
      </c>
      <c r="M16" s="2" t="str">
        <f>IFERROR(__xludf.DUMMYFUNCTION("GOOGLETRANSLATE(C16,""en"",""ur"")"),"پرسکون اور پر سکون")</f>
        <v>پرسکون اور پر سکون</v>
      </c>
      <c r="N16" s="2" t="str">
        <f>IFERROR(__xludf.DUMMYFUNCTION("GOOGLETRANSLATE(D16,""en"",""ur"")"),"خوف زدہ اور بے چین")</f>
        <v>خوف زدہ اور بے چین</v>
      </c>
      <c r="O16" s="2" t="str">
        <f>IFERROR(__xludf.DUMMYFUNCTION("GOOGLETRANSLATE(E16,""en"",""ur"")"),"کشیدہ اور شدید")</f>
        <v>کشیدہ اور شدید</v>
      </c>
      <c r="P16" s="2" t="str">
        <f>IFERROR(__xludf.DUMMYFUNCTION("GOOGLETRANSLATE(F16,""en"",""ur"")"),"خوش اور مسکراتے ہوئے۔")</f>
        <v>خوش اور مسکراتے ہوئے۔</v>
      </c>
      <c r="Q16" s="2" t="s">
        <v>51</v>
      </c>
      <c r="R16" s="2" t="str">
        <f>IFERROR(__xludf.DUMMYFUNCTION("GOOGLETRANSLATE(G16,""en"",""ur"")"),"خوش اور مسکراتے ہوئے۔")</f>
        <v>خوش اور مسکراتے ہوئے۔</v>
      </c>
      <c r="S16" s="6" t="s">
        <v>1005</v>
      </c>
    </row>
    <row r="17">
      <c r="A17" s="7">
        <v>16.0</v>
      </c>
      <c r="B17" s="6" t="s">
        <v>88</v>
      </c>
      <c r="C17" s="6" t="s">
        <v>89</v>
      </c>
      <c r="D17" s="6" t="s">
        <v>90</v>
      </c>
      <c r="E17" s="6" t="s">
        <v>91</v>
      </c>
      <c r="F17" s="6" t="s">
        <v>255</v>
      </c>
      <c r="G17" s="6" t="s">
        <v>91</v>
      </c>
      <c r="H17" s="6" t="s">
        <v>1005</v>
      </c>
      <c r="K17" s="2" t="str">
        <f>IFERROR(__xludf.DUMMYFUNCTION("GOOGLETRANSLATE(A17,""en"",""ur"")"),"16")</f>
        <v>16</v>
      </c>
      <c r="L17" s="2" t="str">
        <f>IFERROR(__xludf.DUMMYFUNCTION("GOOGLETRANSLATE(B17,""en"",""ur"")"),"زمین کی سب سے نمایاں خصوصیت کیا ہے؟")</f>
        <v>زمین کی سب سے نمایاں خصوصیت کیا ہے؟</v>
      </c>
      <c r="M17" s="2" t="str">
        <f>IFERROR(__xludf.DUMMYFUNCTION("GOOGLETRANSLATE(C17,""en"",""ur"")"),"ایک پکی سطح")</f>
        <v>ایک پکی سطح</v>
      </c>
      <c r="N17" s="2" t="str">
        <f>IFERROR(__xludf.DUMMYFUNCTION("GOOGLETRANSLATE(D17,""en"",""ur"")"),"کیچڑ والا میدان")</f>
        <v>کیچڑ والا میدان</v>
      </c>
      <c r="O17" s="2" t="str">
        <f>IFERROR(__xludf.DUMMYFUNCTION("GOOGLETRANSLATE(E17,""en"",""ur"")"),"ایک گھاس دار سطح")</f>
        <v>ایک گھاس دار سطح</v>
      </c>
      <c r="P17" s="2" t="str">
        <f>IFERROR(__xludf.DUMMYFUNCTION("GOOGLETRANSLATE(F17,""en"",""ur"")"),"ریتلی یا گندگی کی سطح")</f>
        <v>ریتلی یا گندگی کی سطح</v>
      </c>
      <c r="Q17" s="2" t="s">
        <v>256</v>
      </c>
      <c r="R17" s="2" t="str">
        <f>IFERROR(__xludf.DUMMYFUNCTION("GOOGLETRANSLATE(G17,""en"",""ur"")"),"ایک گھاس دار سطح")</f>
        <v>ایک گھاس دار سطح</v>
      </c>
      <c r="S17" s="6" t="s">
        <v>1005</v>
      </c>
    </row>
    <row r="18">
      <c r="A18" s="7">
        <v>17.0</v>
      </c>
      <c r="B18" s="6" t="s">
        <v>257</v>
      </c>
      <c r="C18" s="6" t="s">
        <v>95</v>
      </c>
      <c r="D18" s="6" t="s">
        <v>96</v>
      </c>
      <c r="E18" s="6" t="s">
        <v>1015</v>
      </c>
      <c r="F18" s="6" t="s">
        <v>258</v>
      </c>
      <c r="G18" s="6" t="s">
        <v>1015</v>
      </c>
      <c r="H18" s="6" t="s">
        <v>1005</v>
      </c>
      <c r="K18" s="2" t="str">
        <f>IFERROR(__xludf.DUMMYFUNCTION("GOOGLETRANSLATE(A18,""en"",""ur"")"),"17")</f>
        <v>17</v>
      </c>
      <c r="L18" s="2" t="str">
        <f>IFERROR(__xludf.DUMMYFUNCTION("GOOGLETRANSLATE(B18,""en"",""ur"")"),"کھیلے جانے والے کھیل کا نام کیا ہے؟")</f>
        <v>کھیلے جانے والے کھیل کا نام کیا ہے؟</v>
      </c>
      <c r="M18" s="2" t="str">
        <f>IFERROR(__xludf.DUMMYFUNCTION("GOOGLETRANSLATE(C18,""en"",""ur"")"),"پولو")</f>
        <v>پولو</v>
      </c>
      <c r="N18" s="2" t="str">
        <f>IFERROR(__xludf.DUMMYFUNCTION("GOOGLETRANSLATE(D18,""en"",""ur"")"),"گھوڑوں کی دوڑ")</f>
        <v>گھوڑوں کی دوڑ</v>
      </c>
      <c r="O18" s="2" t="str">
        <f>IFERROR(__xludf.DUMMYFUNCTION("GOOGLETRANSLATE(E18,""en"",""ur"")"),"ٹینٹ پیگنگ")</f>
        <v>ٹینٹ پیگنگ</v>
      </c>
      <c r="P18" s="2" t="str">
        <f>IFERROR(__xludf.DUMMYFUNCTION("GOOGLETRANSLATE(F18,""en"",""ur"")"),"گھڑ سواری کے کھیل")</f>
        <v>گھڑ سواری کے کھیل</v>
      </c>
      <c r="Q18" s="2" t="s">
        <v>1016</v>
      </c>
      <c r="R18" s="2" t="str">
        <f>IFERROR(__xludf.DUMMYFUNCTION("GOOGLETRANSLATE(G18,""en"",""ur"")"),"ٹینٹ پیگنگ")</f>
        <v>ٹینٹ پیگنگ</v>
      </c>
      <c r="S18" s="6" t="s">
        <v>1005</v>
      </c>
    </row>
    <row r="19">
      <c r="A19" s="7">
        <v>18.0</v>
      </c>
      <c r="B19" s="6" t="s">
        <v>260</v>
      </c>
      <c r="C19" s="6" t="s">
        <v>261</v>
      </c>
      <c r="D19" s="6" t="s">
        <v>1017</v>
      </c>
      <c r="E19" s="6" t="s">
        <v>263</v>
      </c>
      <c r="F19" s="6" t="s">
        <v>264</v>
      </c>
      <c r="G19" s="6" t="s">
        <v>1017</v>
      </c>
      <c r="H19" s="6" t="s">
        <v>1005</v>
      </c>
      <c r="K19" s="2" t="str">
        <f>IFERROR(__xludf.DUMMYFUNCTION("GOOGLETRANSLATE(A19,""en"",""ur"")"),"18")</f>
        <v>18</v>
      </c>
      <c r="L19" s="2" t="str">
        <f>IFERROR(__xludf.DUMMYFUNCTION("GOOGLETRANSLATE(B19,""en"",""ur"")"),"تصویر میں ایکشن ایک ایسا انداز تجویز کرتا ہے جو اس بات پر زور دیتا ہے...")</f>
        <v>تصویر میں ایکشن ایک ایسا انداز تجویز کرتا ہے جو اس بات پر زور دیتا ہے...</v>
      </c>
      <c r="M19" s="2" t="str">
        <f>IFERROR(__xludf.DUMMYFUNCTION("GOOGLETRANSLATE(C19,""en"",""ur"")"),"روانی اور قلابازیاں")</f>
        <v>روانی اور قلابازیاں</v>
      </c>
      <c r="N19" s="2" t="str">
        <f>IFERROR(__xludf.DUMMYFUNCTION("GOOGLETRANSLATE(D19,""en"",""ur"")"),"گروپ کی تشکیل اور رسمی نمائش")</f>
        <v>گروپ کی تشکیل اور رسمی نمائش</v>
      </c>
      <c r="O19" s="2" t="str">
        <f>IFERROR(__xludf.DUMMYFUNCTION("GOOGLETRANSLATE(E19,""en"",""ur"")"),"وحشیانہ قوت اور گھڑ سواری۔")</f>
        <v>وحشیانہ قوت اور گھڑ سواری۔</v>
      </c>
      <c r="P19" s="2" t="str">
        <f>IFERROR(__xludf.DUMMYFUNCTION("GOOGLETRANSLATE(F19,""en"",""ur"")"),"سادہ، لکیری حرکات")</f>
        <v>سادہ، لکیری حرکات</v>
      </c>
      <c r="Q19" s="2" t="s">
        <v>1018</v>
      </c>
      <c r="R19" s="2" t="str">
        <f>IFERROR(__xludf.DUMMYFUNCTION("GOOGLETRANSLATE(G19,""en"",""ur"")"),"گروپ کی تشکیل اور رسمی نمائش")</f>
        <v>گروپ کی تشکیل اور رسمی نمائش</v>
      </c>
      <c r="S19" s="6" t="s">
        <v>1005</v>
      </c>
    </row>
    <row r="20">
      <c r="A20" s="7">
        <v>19.0</v>
      </c>
      <c r="B20" s="6" t="s">
        <v>1019</v>
      </c>
      <c r="C20" s="6" t="s">
        <v>1020</v>
      </c>
      <c r="D20" s="6" t="s">
        <v>1021</v>
      </c>
      <c r="E20" s="6" t="s">
        <v>1022</v>
      </c>
      <c r="F20" s="6" t="s">
        <v>1023</v>
      </c>
      <c r="G20" s="6" t="s">
        <v>1022</v>
      </c>
      <c r="H20" s="6" t="s">
        <v>1005</v>
      </c>
      <c r="K20" s="2" t="str">
        <f>IFERROR(__xludf.DUMMYFUNCTION("GOOGLETRANSLATE(A20,""en"",""ur"")"),"19")</f>
        <v>19</v>
      </c>
      <c r="L20" s="2" t="str">
        <f>IFERROR(__xludf.DUMMYFUNCTION("GOOGLETRANSLATE(B20,""en"",""ur"")"),"لمبی چھڑیوں کے بارے میں ایک قابل ذکر تفصیل کیا ہے جو سواروں کے پاس ہے؟")</f>
        <v>لمبی چھڑیوں کے بارے میں ایک قابل ذکر تفصیل کیا ہے جو سواروں کے پاس ہے؟</v>
      </c>
      <c r="M20" s="2" t="str">
        <f>IFERROR(__xludf.DUMMYFUNCTION("GOOGLETRANSLATE(C20,""en"",""ur"")"),"انہیں ہتھیار کے طور پر استعمال کیا جاتا ہے۔")</f>
        <v>انہیں ہتھیار کے طور پر استعمال کیا جاتا ہے۔</v>
      </c>
      <c r="N20" s="2" t="str">
        <f>IFERROR(__xludf.DUMMYFUNCTION("GOOGLETRANSLATE(D20,""en"",""ur"")"),"وہ گھوڑوں کی رہنمائی کے لیے استعمال ہوتے ہیں۔")</f>
        <v>وہ گھوڑوں کی رہنمائی کے لیے استعمال ہوتے ہیں۔</v>
      </c>
      <c r="O20" s="2" t="str">
        <f>IFERROR(__xludf.DUMMYFUNCTION("GOOGLETRANSLATE(E20,""en"",""ur"")"),"وہ ربن اور tassels کے ساتھ سجایا جاتا ہے")</f>
        <v>وہ ربن اور tassels کے ساتھ سجایا جاتا ہے</v>
      </c>
      <c r="P20" s="2" t="str">
        <f>IFERROR(__xludf.DUMMYFUNCTION("GOOGLETRANSLATE(F20,""en"",""ur"")"),"وہ جھنڈے کے طور پر استعمال ہوتے ہیں۔")</f>
        <v>وہ جھنڈے کے طور پر استعمال ہوتے ہیں۔</v>
      </c>
      <c r="Q20" s="2" t="s">
        <v>1024</v>
      </c>
      <c r="R20" s="2" t="str">
        <f>IFERROR(__xludf.DUMMYFUNCTION("GOOGLETRANSLATE(G20,""en"",""ur"")"),"وہ ربن اور tassels کے ساتھ سجایا جاتا ہے")</f>
        <v>وہ ربن اور tassels کے ساتھ سجایا جاتا ہے</v>
      </c>
      <c r="S20" s="6" t="s">
        <v>1005</v>
      </c>
    </row>
    <row r="21">
      <c r="A21" s="7">
        <v>20.0</v>
      </c>
      <c r="B21" s="6" t="s">
        <v>991</v>
      </c>
      <c r="C21" s="6" t="s">
        <v>992</v>
      </c>
      <c r="D21" s="6" t="s">
        <v>646</v>
      </c>
      <c r="E21" s="6" t="s">
        <v>993</v>
      </c>
      <c r="F21" s="6" t="s">
        <v>1025</v>
      </c>
      <c r="G21" s="6" t="s">
        <v>1025</v>
      </c>
      <c r="H21" s="6" t="s">
        <v>1005</v>
      </c>
      <c r="K21" s="2" t="str">
        <f>IFERROR(__xludf.DUMMYFUNCTION("GOOGLETRANSLATE(A21,""en"",""ur"")"),"20")</f>
        <v>20</v>
      </c>
      <c r="L21" s="2" t="str">
        <f>IFERROR(__xludf.DUMMYFUNCTION("GOOGLETRANSLATE(B21,""en"",""ur"")"),"واقعہ کی ظاہری ترتیب کیا ہے؟")</f>
        <v>واقعہ کی ظاہری ترتیب کیا ہے؟</v>
      </c>
      <c r="M21" s="2" t="str">
        <f>IFERROR(__xludf.DUMMYFUNCTION("GOOGLETRANSLATE(C21,""en"",""ur"")"),"ایک اندرونی میدان")</f>
        <v>ایک اندرونی میدان</v>
      </c>
      <c r="N21" s="2" t="str">
        <f>IFERROR(__xludf.DUMMYFUNCTION("GOOGLETRANSLATE(D21,""en"",""ur"")"),"شہر کی ایک گلی")</f>
        <v>شہر کی ایک گلی</v>
      </c>
      <c r="O21" s="2" t="str">
        <f>IFERROR(__xludf.DUMMYFUNCTION("GOOGLETRANSLATE(E21,""en"",""ur"")"),"ایک بیرونی گندگی کا ٹریک")</f>
        <v>ایک بیرونی گندگی کا ٹریک</v>
      </c>
      <c r="P21" s="2" t="str">
        <f>IFERROR(__xludf.DUMMYFUNCTION("GOOGLETRANSLATE(F21,""en"",""ur"")"),"پس منظر میں درختوں اور پہاڑیوں کے ساتھ گھاس کا میدان")</f>
        <v>پس منظر میں درختوں اور پہاڑیوں کے ساتھ گھاس کا میدان</v>
      </c>
      <c r="Q21" s="2" t="s">
        <v>1026</v>
      </c>
      <c r="R21" s="2" t="str">
        <f>IFERROR(__xludf.DUMMYFUNCTION("GOOGLETRANSLATE(G21,""en"",""ur"")"),"پس منظر میں درختوں اور پہاڑیوں کے ساتھ گھاس کا میدان")</f>
        <v>پس منظر میں درختوں اور پہاڑیوں کے ساتھ گھاس کا میدان</v>
      </c>
      <c r="S21" s="6" t="s">
        <v>1005</v>
      </c>
    </row>
    <row r="22">
      <c r="A22" s="7">
        <v>21.0</v>
      </c>
      <c r="B22" s="6" t="s">
        <v>1027</v>
      </c>
      <c r="C22" s="6" t="s">
        <v>958</v>
      </c>
      <c r="D22" s="6" t="s">
        <v>959</v>
      </c>
      <c r="E22" s="6" t="s">
        <v>960</v>
      </c>
      <c r="F22" s="6" t="s">
        <v>961</v>
      </c>
      <c r="G22" s="6" t="s">
        <v>959</v>
      </c>
      <c r="H22" s="6" t="s">
        <v>1028</v>
      </c>
      <c r="K22" s="2" t="str">
        <f>IFERROR(__xludf.DUMMYFUNCTION("GOOGLETRANSLATE(A22,""en"",""ur"")"),"21")</f>
        <v>21</v>
      </c>
      <c r="L22" s="2" t="str">
        <f>IFERROR(__xludf.DUMMYFUNCTION("GOOGLETRANSLATE(B22,""en"",""ur"")"),"tent_pegging_8 میں دکھائی جانے والی اہم کارروائی کیا ہے؟")</f>
        <v>tent_pegging_8 میں دکھائی جانے والی اہم کارروائی کیا ہے؟</v>
      </c>
      <c r="M22" s="2" t="str">
        <f>IFERROR(__xludf.DUMMYFUNCTION("GOOGLETRANSLATE(C22,""en"",""ur"")"),"گھوڑے کی پیٹھ پر کرتب دکھاتے ہوئے سوار")</f>
        <v>گھوڑے کی پیٹھ پر کرتب دکھاتے ہوئے سوار</v>
      </c>
      <c r="N22" s="2" t="str">
        <f>IFERROR(__xludf.DUMMYFUNCTION("GOOGLETRANSLATE(D22,""en"",""ur"")"),"ٹینٹ پیگنگ ایونٹ میں مقابلہ کرنے والا سوار")</f>
        <v>ٹینٹ پیگنگ ایونٹ میں مقابلہ کرنے والا سوار</v>
      </c>
      <c r="O22" s="2" t="str">
        <f>IFERROR(__xludf.DUMMYFUNCTION("GOOGLETRANSLATE(E22,""en"",""ur"")"),"گھوڑوں کی دوڑ میں سوار")</f>
        <v>گھوڑوں کی دوڑ میں سوار</v>
      </c>
      <c r="P22" s="2" t="str">
        <f>IFERROR(__xludf.DUMMYFUNCTION("GOOGLETRANSLATE(F22,""en"",""ur"")"),"ایک سوار پریڈ کی قیادت کر رہا ہے۔")</f>
        <v>ایک سوار پریڈ کی قیادت کر رہا ہے۔</v>
      </c>
      <c r="Q22" s="2" t="s">
        <v>1029</v>
      </c>
      <c r="R22" s="2" t="str">
        <f>IFERROR(__xludf.DUMMYFUNCTION("GOOGLETRANSLATE(G22,""en"",""ur"")"),"ٹینٹ پیگنگ ایونٹ میں مقابلہ کرنے والا سوار")</f>
        <v>ٹینٹ پیگنگ ایونٹ میں مقابلہ کرنے والا سوار</v>
      </c>
      <c r="S22" s="6" t="s">
        <v>1028</v>
      </c>
    </row>
    <row r="23">
      <c r="A23" s="7">
        <v>22.0</v>
      </c>
      <c r="B23" s="6" t="s">
        <v>963</v>
      </c>
      <c r="C23" s="6" t="s">
        <v>964</v>
      </c>
      <c r="D23" s="6" t="s">
        <v>1030</v>
      </c>
      <c r="E23" s="6" t="s">
        <v>966</v>
      </c>
      <c r="F23" s="6" t="s">
        <v>967</v>
      </c>
      <c r="G23" s="6" t="s">
        <v>1030</v>
      </c>
      <c r="H23" s="6" t="s">
        <v>1028</v>
      </c>
      <c r="K23" s="2" t="str">
        <f>IFERROR(__xludf.DUMMYFUNCTION("GOOGLETRANSLATE(A23,""en"",""ur"")"),"22")</f>
        <v>22</v>
      </c>
      <c r="L23" s="2" t="str">
        <f>IFERROR(__xludf.DUMMYFUNCTION("GOOGLETRANSLATE(B23,""en"",""ur"")"),"سوار کے لباس کے بارے میں ایک قابل ذکر تفصیل کیا ہے؟")</f>
        <v>سوار کے لباس کے بارے میں ایک قابل ذکر تفصیل کیا ہے؟</v>
      </c>
      <c r="M23" s="2" t="str">
        <f>IFERROR(__xludf.DUMMYFUNCTION("GOOGLETRANSLATE(C23,""en"",""ur"")"),"ایک رسمی سوٹ اور ٹائی")</f>
        <v>ایک رسمی سوٹ اور ٹائی</v>
      </c>
      <c r="N23" s="2" t="str">
        <f>IFERROR(__xludf.DUMMYFUNCTION("GOOGLETRANSLATE(D23,""en"",""ur"")"),"نیلی بنیان والا سفید روایتی لباس")</f>
        <v>نیلی بنیان والا سفید روایتی لباس</v>
      </c>
      <c r="O23" s="2" t="str">
        <f>IFERROR(__xludf.DUMMYFUNCTION("GOOGLETRANSLATE(E23,""en"",""ur"")"),"فوجی وردی")</f>
        <v>فوجی وردی</v>
      </c>
      <c r="P23" s="2" t="str">
        <f>IFERROR(__xludf.DUMMYFUNCTION("GOOGLETRANSLATE(F23,""en"",""ur"")"),"ایک جدید کھیلوں کا یونیفارم")</f>
        <v>ایک جدید کھیلوں کا یونیفارم</v>
      </c>
      <c r="Q23" s="2" t="s">
        <v>1031</v>
      </c>
      <c r="R23" s="2" t="str">
        <f>IFERROR(__xludf.DUMMYFUNCTION("GOOGLETRANSLATE(G23,""en"",""ur"")"),"نیلی بنیان والا سفید روایتی لباس")</f>
        <v>نیلی بنیان والا سفید روایتی لباس</v>
      </c>
      <c r="S23" s="6" t="s">
        <v>1028</v>
      </c>
    </row>
    <row r="24">
      <c r="A24" s="7">
        <v>23.0</v>
      </c>
      <c r="B24" s="6" t="s">
        <v>969</v>
      </c>
      <c r="C24" s="6" t="s">
        <v>970</v>
      </c>
      <c r="D24" s="6" t="s">
        <v>971</v>
      </c>
      <c r="E24" s="6" t="s">
        <v>972</v>
      </c>
      <c r="F24" s="6" t="s">
        <v>973</v>
      </c>
      <c r="G24" s="6" t="s">
        <v>972</v>
      </c>
      <c r="H24" s="6" t="s">
        <v>1028</v>
      </c>
      <c r="K24" s="2" t="str">
        <f>IFERROR(__xludf.DUMMYFUNCTION("GOOGLETRANSLATE(A24,""en"",""ur"")"),"23")</f>
        <v>23</v>
      </c>
      <c r="L24" s="2" t="str">
        <f>IFERROR(__xludf.DUMMYFUNCTION("GOOGLETRANSLATE(B24,""en"",""ur"")"),"سوار نے جو لمبی چھڑی پکڑی ہوئی ہے اس کا ظاہری مقصد کیا ہے؟")</f>
        <v>سوار نے جو لمبی چھڑی پکڑی ہوئی ہے اس کا ظاہری مقصد کیا ہے؟</v>
      </c>
      <c r="M24" s="2" t="str">
        <f>IFERROR(__xludf.DUMMYFUNCTION("GOOGLETRANSLATE(C24,""en"",""ur"")"),"گھوڑے کی رہنمائی کے لیے")</f>
        <v>گھوڑے کی رہنمائی کے لیے</v>
      </c>
      <c r="N24" s="2" t="str">
        <f>IFERROR(__xludf.DUMMYFUNCTION("GOOGLETRANSLATE(D24,""en"",""ur"")"),"توازن کے لیے زمین سے ٹکرانا")</f>
        <v>توازن کے لیے زمین سے ٹکرانا</v>
      </c>
      <c r="O24" s="2" t="str">
        <f>IFERROR(__xludf.DUMMYFUNCTION("GOOGLETRANSLATE(E24,""en"",""ur"")"),"زمین پر چھوٹے اہداف کو نشانہ بنانا")</f>
        <v>زمین پر چھوٹے اہداف کو نشانہ بنانا</v>
      </c>
      <c r="P24" s="2" t="str">
        <f>IFERROR(__xludf.DUMMYFUNCTION("GOOGLETRANSLATE(F24,""en"",""ur"")"),"بطور ہتھیار استعمال کرنا")</f>
        <v>بطور ہتھیار استعمال کرنا</v>
      </c>
      <c r="Q24" s="2" t="s">
        <v>974</v>
      </c>
      <c r="R24" s="2" t="str">
        <f>IFERROR(__xludf.DUMMYFUNCTION("GOOGLETRANSLATE(G24,""en"",""ur"")"),"زمین پر چھوٹے اہداف کو نشانہ بنانا")</f>
        <v>زمین پر چھوٹے اہداف کو نشانہ بنانا</v>
      </c>
      <c r="S24" s="6" t="s">
        <v>1028</v>
      </c>
    </row>
    <row r="25">
      <c r="A25" s="7">
        <v>24.0</v>
      </c>
      <c r="B25" s="6" t="s">
        <v>310</v>
      </c>
      <c r="C25" s="6" t="s">
        <v>429</v>
      </c>
      <c r="D25" s="6" t="s">
        <v>975</v>
      </c>
      <c r="E25" s="6" t="s">
        <v>976</v>
      </c>
      <c r="F25" s="6" t="s">
        <v>977</v>
      </c>
      <c r="G25" s="6" t="s">
        <v>975</v>
      </c>
      <c r="H25" s="6" t="s">
        <v>1028</v>
      </c>
      <c r="K25" s="2" t="str">
        <f>IFERROR(__xludf.DUMMYFUNCTION("GOOGLETRANSLATE(A25,""en"",""ur"")"),"24")</f>
        <v>24</v>
      </c>
      <c r="L25" s="2" t="str">
        <f>IFERROR(__xludf.DUMMYFUNCTION("GOOGLETRANSLATE(B25,""en"",""ur"")"),"سوار کی ظاہری باڈی پوزیشن کیا ہے؟")</f>
        <v>سوار کی ظاہری باڈی پوزیشن کیا ہے؟</v>
      </c>
      <c r="M25" s="2" t="str">
        <f>IFERROR(__xludf.DUMMYFUNCTION("GOOGLETRANSLATE(C25,""en"",""ur"")"),"سیدھا کھڑا ہونا")</f>
        <v>سیدھا کھڑا ہونا</v>
      </c>
      <c r="N25" s="2" t="str">
        <f>IFERROR(__xludf.DUMMYFUNCTION("GOOGLETRANSLATE(D25,""en"",""ur"")"),"نیچے اور طرف جھکنا")</f>
        <v>نیچے اور طرف جھکنا</v>
      </c>
      <c r="O25" s="2" t="str">
        <f>IFERROR(__xludf.DUMMYFUNCTION("GOOGLETRANSLATE(E25,""en"",""ur"")"),"گھوڑے کی پیٹھ پر لیٹنا")</f>
        <v>گھوڑے کی پیٹھ پر لیٹنا</v>
      </c>
      <c r="P25" s="2" t="str">
        <f>IFERROR(__xludf.DUMMYFUNCTION("GOOGLETRANSLATE(F25,""en"",""ur"")"),"آرام سے بیٹھ گیا۔")</f>
        <v>آرام سے بیٹھ گیا۔</v>
      </c>
      <c r="Q25" s="2" t="s">
        <v>978</v>
      </c>
      <c r="R25" s="2" t="str">
        <f>IFERROR(__xludf.DUMMYFUNCTION("GOOGLETRANSLATE(G25,""en"",""ur"")"),"نیچے اور طرف جھکنا")</f>
        <v>نیچے اور طرف جھکنا</v>
      </c>
      <c r="S25" s="6" t="s">
        <v>1028</v>
      </c>
    </row>
    <row r="26">
      <c r="A26" s="7">
        <v>25.0</v>
      </c>
      <c r="B26" s="6" t="s">
        <v>979</v>
      </c>
      <c r="C26" s="6" t="s">
        <v>980</v>
      </c>
      <c r="D26" s="6" t="s">
        <v>981</v>
      </c>
      <c r="E26" s="6" t="s">
        <v>982</v>
      </c>
      <c r="F26" s="6" t="s">
        <v>983</v>
      </c>
      <c r="G26" s="6" t="s">
        <v>982</v>
      </c>
      <c r="H26" s="6" t="s">
        <v>1028</v>
      </c>
      <c r="K26" s="2" t="str">
        <f>IFERROR(__xludf.DUMMYFUNCTION("GOOGLETRANSLATE(A26,""en"",""ur"")"),"25")</f>
        <v>25</v>
      </c>
      <c r="L26" s="2" t="str">
        <f>IFERROR(__xludf.DUMMYFUNCTION("GOOGLETRANSLATE(B26,""en"",""ur"")"),"گھوڑے کے پیچھے زمین کی ظاہری حالت کیا ہے؟")</f>
        <v>گھوڑے کے پیچھے زمین کی ظاہری حالت کیا ہے؟</v>
      </c>
      <c r="M26" s="2" t="str">
        <f>IFERROR(__xludf.DUMMYFUNCTION("GOOGLETRANSLATE(C26,""en"",""ur"")"),"بالکل ہموار")</f>
        <v>بالکل ہموار</v>
      </c>
      <c r="N26" s="2" t="str">
        <f>IFERROR(__xludf.DUMMYFUNCTION("GOOGLETRANSLATE(D26,""en"",""ur"")"),"تازہ گھاس میں ڈھکا ہوا ہے۔")</f>
        <v>تازہ گھاس میں ڈھکا ہوا ہے۔</v>
      </c>
      <c r="O26" s="2" t="str">
        <f>IFERROR(__xludf.DUMMYFUNCTION("GOOGLETRANSLATE(E26,""en"",""ur"")"),"غبار کے بادل میں اُٹھ گیا۔")</f>
        <v>غبار کے بادل میں اُٹھ گیا۔</v>
      </c>
      <c r="P26" s="2" t="str">
        <f>IFERROR(__xludf.DUMMYFUNCTION("GOOGLETRANSLATE(F26,""en"",""ur"")"),"پانی سے بھرا ہوا ۔")</f>
        <v>پانی سے بھرا ہوا ۔</v>
      </c>
      <c r="Q26" s="2" t="s">
        <v>984</v>
      </c>
      <c r="R26" s="2" t="str">
        <f>IFERROR(__xludf.DUMMYFUNCTION("GOOGLETRANSLATE(G26,""en"",""ur"")"),"غبار کے بادل میں اُٹھ گیا۔")</f>
        <v>غبار کے بادل میں اُٹھ گیا۔</v>
      </c>
      <c r="S26" s="6" t="s">
        <v>1028</v>
      </c>
    </row>
    <row r="27">
      <c r="A27" s="7">
        <v>26.0</v>
      </c>
      <c r="B27" s="6" t="s">
        <v>985</v>
      </c>
      <c r="C27" s="6" t="s">
        <v>986</v>
      </c>
      <c r="D27" s="6" t="s">
        <v>1032</v>
      </c>
      <c r="E27" s="6" t="s">
        <v>988</v>
      </c>
      <c r="F27" s="6" t="s">
        <v>989</v>
      </c>
      <c r="G27" s="6" t="s">
        <v>1032</v>
      </c>
      <c r="H27" s="6" t="s">
        <v>1028</v>
      </c>
      <c r="K27" s="2" t="str">
        <f>IFERROR(__xludf.DUMMYFUNCTION("GOOGLETRANSLATE(A27,""en"",""ur"")"),"26")</f>
        <v>26</v>
      </c>
      <c r="L27" s="2" t="str">
        <f>IFERROR(__xludf.DUMMYFUNCTION("GOOGLETRANSLATE(B27,""en"",""ur"")"),"گھوڑے کے ٹیک کی سب سے نمایاں خصوصیت کیا ہے؟")</f>
        <v>گھوڑے کے ٹیک کی سب سے نمایاں خصوصیت کیا ہے؟</v>
      </c>
      <c r="M27" s="2" t="str">
        <f>IFERROR(__xludf.DUMMYFUNCTION("GOOGLETRANSLATE(C27,""en"",""ur"")"),"یہ ایک سادہ سی کاٹھی ہے۔")</f>
        <v>یہ ایک سادہ سی کاٹھی ہے۔</v>
      </c>
      <c r="N27" s="2" t="str">
        <f>IFERROR(__xludf.DUMMYFUNCTION("GOOGLETRANSLATE(D27,""en"",""ur"")"),"یہ سرخ آرائش کے ساتھ ایک انتہائی آرائشی کاٹھی ہے۔")</f>
        <v>یہ سرخ آرائش کے ساتھ ایک انتہائی آرائشی کاٹھی ہے۔</v>
      </c>
      <c r="O27" s="2" t="str">
        <f>IFERROR(__xludf.DUMMYFUNCTION("GOOGLETRANSLATE(E27,""en"",""ur"")"),"یہ ایک ننگا پیڈ ہے۔")</f>
        <v>یہ ایک ننگا پیڈ ہے۔</v>
      </c>
      <c r="P27" s="2" t="str">
        <f>IFERROR(__xludf.DUMMYFUNCTION("GOOGLETRANSLATE(F27,""en"",""ur"")"),"یہ ایک ریسنگ سیڈل ہے۔")</f>
        <v>یہ ایک ریسنگ سیڈل ہے۔</v>
      </c>
      <c r="Q27" s="2" t="s">
        <v>1033</v>
      </c>
      <c r="R27" s="2" t="str">
        <f>IFERROR(__xludf.DUMMYFUNCTION("GOOGLETRANSLATE(G27,""en"",""ur"")"),"یہ سرخ آرائش کے ساتھ ایک انتہائی آرائشی کاٹھی ہے۔")</f>
        <v>یہ سرخ آرائش کے ساتھ ایک انتہائی آرائشی کاٹھی ہے۔</v>
      </c>
      <c r="S27" s="6" t="s">
        <v>1028</v>
      </c>
    </row>
    <row r="28">
      <c r="A28" s="7">
        <v>27.0</v>
      </c>
      <c r="B28" s="6" t="s">
        <v>991</v>
      </c>
      <c r="C28" s="6" t="s">
        <v>992</v>
      </c>
      <c r="D28" s="6" t="s">
        <v>646</v>
      </c>
      <c r="E28" s="6" t="s">
        <v>1034</v>
      </c>
      <c r="F28" s="6" t="s">
        <v>425</v>
      </c>
      <c r="G28" s="6" t="s">
        <v>1034</v>
      </c>
      <c r="H28" s="6" t="s">
        <v>1028</v>
      </c>
      <c r="K28" s="2" t="str">
        <f>IFERROR(__xludf.DUMMYFUNCTION("GOOGLETRANSLATE(A28,""en"",""ur"")"),"27")</f>
        <v>27</v>
      </c>
      <c r="L28" s="2" t="str">
        <f>IFERROR(__xludf.DUMMYFUNCTION("GOOGLETRANSLATE(B28,""en"",""ur"")"),"واقعہ کی ظاہری ترتیب کیا ہے؟")</f>
        <v>واقعہ کی ظاہری ترتیب کیا ہے؟</v>
      </c>
      <c r="M28" s="2" t="str">
        <f>IFERROR(__xludf.DUMMYFUNCTION("GOOGLETRANSLATE(C28,""en"",""ur"")"),"ایک اندرونی میدان")</f>
        <v>ایک اندرونی میدان</v>
      </c>
      <c r="N28" s="2" t="str">
        <f>IFERROR(__xludf.DUMMYFUNCTION("GOOGLETRANSLATE(D28,""en"",""ur"")"),"شہر کی ایک گلی")</f>
        <v>شہر کی ایک گلی</v>
      </c>
      <c r="O28" s="2" t="str">
        <f>IFERROR(__xludf.DUMMYFUNCTION("GOOGLETRANSLATE(E28,""en"",""ur"")"),"بیٹھنے کی جگہ میں تماشائیوں کے ساتھ ایک بیرونی گندگی کا ٹریک")</f>
        <v>بیٹھنے کی جگہ میں تماشائیوں کے ساتھ ایک بیرونی گندگی کا ٹریک</v>
      </c>
      <c r="P28" s="2" t="str">
        <f>IFERROR(__xludf.DUMMYFUNCTION("GOOGLETRANSLATE(F28,""en"",""ur"")"),"گھاس کا میدان")</f>
        <v>گھاس کا میدان</v>
      </c>
      <c r="Q28" s="2" t="s">
        <v>1035</v>
      </c>
      <c r="R28" s="2" t="str">
        <f>IFERROR(__xludf.DUMMYFUNCTION("GOOGLETRANSLATE(G28,""en"",""ur"")"),"بیٹھنے کی جگہ میں تماشائیوں کے ساتھ ایک بیرونی گندگی کا ٹریک")</f>
        <v>بیٹھنے کی جگہ میں تماشائیوں کے ساتھ ایک بیرونی گندگی کا ٹریک</v>
      </c>
      <c r="S28" s="6" t="s">
        <v>1028</v>
      </c>
    </row>
    <row r="29">
      <c r="A29" s="7">
        <v>28.0</v>
      </c>
      <c r="B29" s="6" t="s">
        <v>1036</v>
      </c>
      <c r="C29" s="6" t="s">
        <v>95</v>
      </c>
      <c r="D29" s="6" t="s">
        <v>96</v>
      </c>
      <c r="E29" s="6" t="s">
        <v>1015</v>
      </c>
      <c r="F29" s="6" t="s">
        <v>258</v>
      </c>
      <c r="G29" s="6" t="s">
        <v>1015</v>
      </c>
      <c r="H29" s="6" t="s">
        <v>1028</v>
      </c>
      <c r="K29" s="2" t="str">
        <f>IFERROR(__xludf.DUMMYFUNCTION("GOOGLETRANSLATE(A29,""en"",""ur"")"),"28")</f>
        <v>28</v>
      </c>
      <c r="L29" s="2" t="str">
        <f>IFERROR(__xludf.DUMMYFUNCTION("GOOGLETRANSLATE(B29,""en"",""ur"")"),"کھیل کا نام کیا ہے؟")</f>
        <v>کھیل کا نام کیا ہے؟</v>
      </c>
      <c r="M29" s="2" t="str">
        <f>IFERROR(__xludf.DUMMYFUNCTION("GOOGLETRANSLATE(C29,""en"",""ur"")"),"پولو")</f>
        <v>پولو</v>
      </c>
      <c r="N29" s="2" t="str">
        <f>IFERROR(__xludf.DUMMYFUNCTION("GOOGLETRANSLATE(D29,""en"",""ur"")"),"گھوڑوں کی دوڑ")</f>
        <v>گھوڑوں کی دوڑ</v>
      </c>
      <c r="O29" s="2" t="str">
        <f>IFERROR(__xludf.DUMMYFUNCTION("GOOGLETRANSLATE(E29,""en"",""ur"")"),"ٹینٹ پیگنگ")</f>
        <v>ٹینٹ پیگنگ</v>
      </c>
      <c r="P29" s="2" t="str">
        <f>IFERROR(__xludf.DUMMYFUNCTION("GOOGLETRANSLATE(F29,""en"",""ur"")"),"گھڑ سواری کے کھیل")</f>
        <v>گھڑ سواری کے کھیل</v>
      </c>
      <c r="Q29" s="2" t="s">
        <v>1016</v>
      </c>
      <c r="R29" s="2" t="str">
        <f>IFERROR(__xludf.DUMMYFUNCTION("GOOGLETRANSLATE(G29,""en"",""ur"")"),"ٹینٹ پیگنگ")</f>
        <v>ٹینٹ پیگنگ</v>
      </c>
      <c r="S29" s="6" t="s">
        <v>1028</v>
      </c>
    </row>
    <row r="30">
      <c r="A30" s="7">
        <v>29.0</v>
      </c>
      <c r="B30" s="6" t="s">
        <v>316</v>
      </c>
      <c r="C30" s="6" t="s">
        <v>47</v>
      </c>
      <c r="D30" s="6" t="s">
        <v>48</v>
      </c>
      <c r="E30" s="6" t="s">
        <v>49</v>
      </c>
      <c r="F30" s="6" t="s">
        <v>50</v>
      </c>
      <c r="G30" s="6" t="s">
        <v>49</v>
      </c>
      <c r="H30" s="6" t="s">
        <v>1028</v>
      </c>
      <c r="K30" s="2" t="str">
        <f>IFERROR(__xludf.DUMMYFUNCTION("GOOGLETRANSLATE(A30,""en"",""ur"")"),"29")</f>
        <v>29</v>
      </c>
      <c r="L30" s="2" t="str">
        <f>IFERROR(__xludf.DUMMYFUNCTION("GOOGLETRANSLATE(B30,""en"",""ur"")"),"سوار کے چہرے سے ظاہری جذبات کیا ہیں؟")</f>
        <v>سوار کے چہرے سے ظاہری جذبات کیا ہیں؟</v>
      </c>
      <c r="M30" s="2" t="str">
        <f>IFERROR(__xludf.DUMMYFUNCTION("GOOGLETRANSLATE(C30,""en"",""ur"")"),"پرسکون اور پر سکون")</f>
        <v>پرسکون اور پر سکون</v>
      </c>
      <c r="N30" s="2" t="str">
        <f>IFERROR(__xludf.DUMMYFUNCTION("GOOGLETRANSLATE(D30,""en"",""ur"")"),"خوف زدہ اور بے چین")</f>
        <v>خوف زدہ اور بے چین</v>
      </c>
      <c r="O30" s="2" t="str">
        <f>IFERROR(__xludf.DUMMYFUNCTION("GOOGLETRANSLATE(E30,""en"",""ur"")"),"کشیدہ اور شدید")</f>
        <v>کشیدہ اور شدید</v>
      </c>
      <c r="P30" s="2" t="str">
        <f>IFERROR(__xludf.DUMMYFUNCTION("GOOGLETRANSLATE(F30,""en"",""ur"")"),"خوش اور مسکراتے ہوئے۔")</f>
        <v>خوش اور مسکراتے ہوئے۔</v>
      </c>
      <c r="Q30" s="2" t="s">
        <v>51</v>
      </c>
      <c r="R30" s="2" t="str">
        <f>IFERROR(__xludf.DUMMYFUNCTION("GOOGLETRANSLATE(G30,""en"",""ur"")"),"کشیدہ اور شدید")</f>
        <v>کشیدہ اور شدید</v>
      </c>
      <c r="S30" s="6" t="s">
        <v>1028</v>
      </c>
    </row>
    <row r="31">
      <c r="A31" s="7">
        <v>30.0</v>
      </c>
      <c r="B31" s="6" t="s">
        <v>260</v>
      </c>
      <c r="C31" s="6" t="s">
        <v>261</v>
      </c>
      <c r="D31" s="6" t="s">
        <v>262</v>
      </c>
      <c r="E31" s="6" t="s">
        <v>263</v>
      </c>
      <c r="F31" s="6" t="s">
        <v>1001</v>
      </c>
      <c r="G31" s="6" t="s">
        <v>1001</v>
      </c>
      <c r="H31" s="6" t="s">
        <v>1028</v>
      </c>
      <c r="K31" s="2" t="str">
        <f>IFERROR(__xludf.DUMMYFUNCTION("GOOGLETRANSLATE(A31,""en"",""ur"")"),"30")</f>
        <v>30</v>
      </c>
      <c r="L31" s="2" t="str">
        <f>IFERROR(__xludf.DUMMYFUNCTION("GOOGLETRANSLATE(B31,""en"",""ur"")"),"تصویر میں ایکشن ایک ایسا انداز تجویز کرتا ہے جو اس بات پر زور دیتا ہے...")</f>
        <v>تصویر میں ایکشن ایک ایسا انداز تجویز کرتا ہے جو اس بات پر زور دیتا ہے...</v>
      </c>
      <c r="M31" s="2" t="str">
        <f>IFERROR(__xludf.DUMMYFUNCTION("GOOGLETRANSLATE(C31,""en"",""ur"")"),"روانی اور قلابازیاں")</f>
        <v>روانی اور قلابازیاں</v>
      </c>
      <c r="N31" s="2" t="str">
        <f>IFERROR(__xludf.DUMMYFUNCTION("GOOGLETRANSLATE(D31,""en"",""ur"")"),"زمینی لڑائی اور گرفت")</f>
        <v>زمینی لڑائی اور گرفت</v>
      </c>
      <c r="O31" s="2" t="str">
        <f>IFERROR(__xludf.DUMMYFUNCTION("GOOGLETRANSLATE(E31,""en"",""ur"")"),"وحشیانہ قوت اور گھڑ سواری۔")</f>
        <v>وحشیانہ قوت اور گھڑ سواری۔</v>
      </c>
      <c r="P31" s="2" t="str">
        <f>IFERROR(__xludf.DUMMYFUNCTION("GOOGLETRANSLATE(F31,""en"",""ur"")"),"رفتار، درستگی اور چستی")</f>
        <v>رفتار، درستگی اور چستی</v>
      </c>
      <c r="Q31" s="2" t="s">
        <v>1002</v>
      </c>
      <c r="R31" s="2" t="str">
        <f>IFERROR(__xludf.DUMMYFUNCTION("GOOGLETRANSLATE(G31,""en"",""ur"")"),"رفتار، درستگی اور چستی")</f>
        <v>رفتار، درستگی اور چستی</v>
      </c>
      <c r="S31" s="6" t="s">
        <v>1028</v>
      </c>
    </row>
    <row r="32">
      <c r="A32" s="7">
        <v>31.0</v>
      </c>
      <c r="B32" s="6" t="s">
        <v>1037</v>
      </c>
      <c r="C32" s="6" t="s">
        <v>1038</v>
      </c>
      <c r="D32" s="6" t="s">
        <v>1039</v>
      </c>
      <c r="E32" s="6" t="s">
        <v>1040</v>
      </c>
      <c r="F32" s="6" t="s">
        <v>1041</v>
      </c>
      <c r="G32" s="6" t="s">
        <v>1039</v>
      </c>
      <c r="H32" s="6" t="s">
        <v>1042</v>
      </c>
      <c r="K32" s="2" t="str">
        <f>IFERROR(__xludf.DUMMYFUNCTION("GOOGLETRANSLATE(A32,""en"",""ur"")"),"31")</f>
        <v>31</v>
      </c>
      <c r="L32" s="2" t="str">
        <f>IFERROR(__xludf.DUMMYFUNCTION("GOOGLETRANSLATE(B32,""en"",""ur"")"),"tent_pegging_18 میں دکھائی جانے والی اہم کارروائی کیا ہے؟")</f>
        <v>tent_pegging_18 میں دکھائی جانے والی اہم کارروائی کیا ہے؟</v>
      </c>
      <c r="M32" s="2" t="str">
        <f>IFERROR(__xludf.DUMMYFUNCTION("GOOGLETRANSLATE(C32,""en"",""ur"")"),"دو سوار گھوڑے کی پیٹھ پر کرتب دکھا رہے ہیں۔")</f>
        <v>دو سوار گھوڑے کی پیٹھ پر کرتب دکھا رہے ہیں۔</v>
      </c>
      <c r="N32" s="2" t="str">
        <f>IFERROR(__xludf.DUMMYFUNCTION("GOOGLETRANSLATE(D32,""en"",""ur"")"),"ٹینٹ پیگنگ ایونٹ میں دو سوار مقابلہ کر رہے ہیں۔")</f>
        <v>ٹینٹ پیگنگ ایونٹ میں دو سوار مقابلہ کر رہے ہیں۔</v>
      </c>
      <c r="O32" s="2" t="str">
        <f>IFERROR(__xludf.DUMMYFUNCTION("GOOGLETRANSLATE(E32,""en"",""ur"")"),"گھوڑوں کی دوڑ میں دو سوار")</f>
        <v>گھوڑوں کی دوڑ میں دو سوار</v>
      </c>
      <c r="P32" s="2" t="str">
        <f>IFERROR(__xludf.DUMMYFUNCTION("GOOGLETRANSLATE(F32,""en"",""ur"")"),"دو سوار ایک پریڈ کی قیادت کر رہے ہیں۔")</f>
        <v>دو سوار ایک پریڈ کی قیادت کر رہے ہیں۔</v>
      </c>
      <c r="Q32" s="2" t="s">
        <v>1043</v>
      </c>
      <c r="R32" s="2" t="str">
        <f>IFERROR(__xludf.DUMMYFUNCTION("GOOGLETRANSLATE(G32,""en"",""ur"")"),"ٹینٹ پیگنگ ایونٹ میں دو سوار مقابلہ کر رہے ہیں۔")</f>
        <v>ٹینٹ پیگنگ ایونٹ میں دو سوار مقابلہ کر رہے ہیں۔</v>
      </c>
      <c r="S32" s="6" t="s">
        <v>1042</v>
      </c>
    </row>
    <row r="33">
      <c r="A33" s="7">
        <v>32.0</v>
      </c>
      <c r="B33" s="6" t="s">
        <v>1007</v>
      </c>
      <c r="C33" s="6" t="s">
        <v>964</v>
      </c>
      <c r="D33" s="6" t="s">
        <v>965</v>
      </c>
      <c r="E33" s="6" t="s">
        <v>966</v>
      </c>
      <c r="F33" s="6" t="s">
        <v>1044</v>
      </c>
      <c r="G33" s="6" t="s">
        <v>1044</v>
      </c>
      <c r="H33" s="6" t="s">
        <v>1042</v>
      </c>
      <c r="K33" s="2" t="str">
        <f>IFERROR(__xludf.DUMMYFUNCTION("GOOGLETRANSLATE(A33,""en"",""ur"")"),"32")</f>
        <v>32</v>
      </c>
      <c r="L33" s="2" t="str">
        <f>IFERROR(__xludf.DUMMYFUNCTION("GOOGLETRANSLATE(B33,""en"",""ur"")"),"سواروں کے لباس کے بارے میں ایک قابل ذکر تفصیل کیا ہے؟")</f>
        <v>سواروں کے لباس کے بارے میں ایک قابل ذکر تفصیل کیا ہے؟</v>
      </c>
      <c r="M33" s="2" t="str">
        <f>IFERROR(__xludf.DUMMYFUNCTION("GOOGLETRANSLATE(C33,""en"",""ur"")"),"ایک رسمی سوٹ اور ٹائی")</f>
        <v>ایک رسمی سوٹ اور ٹائی</v>
      </c>
      <c r="N33" s="2" t="str">
        <f>IFERROR(__xludf.DUMMYFUNCTION("GOOGLETRANSLATE(D33,""en"",""ur"")"),"نیلی پگڑی اور بنیان والا سفید روایتی لباس")</f>
        <v>نیلی پگڑی اور بنیان والا سفید روایتی لباس</v>
      </c>
      <c r="O33" s="2" t="str">
        <f>IFERROR(__xludf.DUMMYFUNCTION("GOOGLETRANSLATE(E33,""en"",""ur"")"),"فوجی وردی")</f>
        <v>فوجی وردی</v>
      </c>
      <c r="P33" s="2" t="str">
        <f>IFERROR(__xludf.DUMMYFUNCTION("GOOGLETRANSLATE(F33,""en"",""ur"")"),"ہیلمٹ کے ساتھ جدید کھیلوں کی وردی")</f>
        <v>ہیلمٹ کے ساتھ جدید کھیلوں کی وردی</v>
      </c>
      <c r="Q33" s="2" t="s">
        <v>1045</v>
      </c>
      <c r="R33" s="2" t="str">
        <f>IFERROR(__xludf.DUMMYFUNCTION("GOOGLETRANSLATE(G33,""en"",""ur"")"),"ہیلمٹ کے ساتھ جدید کھیلوں کی وردی")</f>
        <v>ہیلمٹ کے ساتھ جدید کھیلوں کی وردی</v>
      </c>
      <c r="S33" s="6" t="s">
        <v>1042</v>
      </c>
    </row>
    <row r="34">
      <c r="A34" s="7">
        <v>33.0</v>
      </c>
      <c r="B34" s="6" t="s">
        <v>1046</v>
      </c>
      <c r="C34" s="6" t="s">
        <v>970</v>
      </c>
      <c r="D34" s="6" t="s">
        <v>971</v>
      </c>
      <c r="E34" s="6" t="s">
        <v>972</v>
      </c>
      <c r="F34" s="6" t="s">
        <v>973</v>
      </c>
      <c r="G34" s="6" t="s">
        <v>972</v>
      </c>
      <c r="H34" s="6" t="s">
        <v>1042</v>
      </c>
      <c r="K34" s="2" t="str">
        <f>IFERROR(__xludf.DUMMYFUNCTION("GOOGLETRANSLATE(A34,""en"",""ur"")"),"33")</f>
        <v>33</v>
      </c>
      <c r="L34" s="2" t="str">
        <f>IFERROR(__xludf.DUMMYFUNCTION("GOOGLETRANSLATE(B34,""en"",""ur"")"),"سواروں نے جو لمبی لاٹھیاں پکڑی ہوئی ہیں ان کا ظاہری مقصد کیا ہے؟")</f>
        <v>سواروں نے جو لمبی لاٹھیاں پکڑی ہوئی ہیں ان کا ظاہری مقصد کیا ہے؟</v>
      </c>
      <c r="M34" s="2" t="str">
        <f>IFERROR(__xludf.DUMMYFUNCTION("GOOGLETRANSLATE(C34,""en"",""ur"")"),"گھوڑے کی رہنمائی کے لیے")</f>
        <v>گھوڑے کی رہنمائی کے لیے</v>
      </c>
      <c r="N34" s="2" t="str">
        <f>IFERROR(__xludf.DUMMYFUNCTION("GOOGLETRANSLATE(D34,""en"",""ur"")"),"توازن کے لیے زمین سے ٹکرانا")</f>
        <v>توازن کے لیے زمین سے ٹکرانا</v>
      </c>
      <c r="O34" s="2" t="str">
        <f>IFERROR(__xludf.DUMMYFUNCTION("GOOGLETRANSLATE(E34,""en"",""ur"")"),"زمین پر چھوٹے اہداف کو نشانہ بنانا")</f>
        <v>زمین پر چھوٹے اہداف کو نشانہ بنانا</v>
      </c>
      <c r="P34" s="2" t="str">
        <f>IFERROR(__xludf.DUMMYFUNCTION("GOOGLETRANSLATE(F34,""en"",""ur"")"),"بطور ہتھیار استعمال کرنا")</f>
        <v>بطور ہتھیار استعمال کرنا</v>
      </c>
      <c r="Q34" s="2" t="s">
        <v>974</v>
      </c>
      <c r="R34" s="2" t="str">
        <f>IFERROR(__xludf.DUMMYFUNCTION("GOOGLETRANSLATE(G34,""en"",""ur"")"),"زمین پر چھوٹے اہداف کو نشانہ بنانا")</f>
        <v>زمین پر چھوٹے اہداف کو نشانہ بنانا</v>
      </c>
      <c r="S34" s="6" t="s">
        <v>1042</v>
      </c>
    </row>
    <row r="35">
      <c r="A35" s="7">
        <v>34.0</v>
      </c>
      <c r="B35" s="6" t="s">
        <v>248</v>
      </c>
      <c r="C35" s="6" t="s">
        <v>429</v>
      </c>
      <c r="D35" s="6" t="s">
        <v>975</v>
      </c>
      <c r="E35" s="6" t="s">
        <v>976</v>
      </c>
      <c r="F35" s="6" t="s">
        <v>977</v>
      </c>
      <c r="G35" s="6" t="s">
        <v>975</v>
      </c>
      <c r="H35" s="6" t="s">
        <v>1042</v>
      </c>
      <c r="K35" s="2" t="str">
        <f>IFERROR(__xludf.DUMMYFUNCTION("GOOGLETRANSLATE(A35,""en"",""ur"")"),"34")</f>
        <v>34</v>
      </c>
      <c r="L35" s="2" t="str">
        <f>IFERROR(__xludf.DUMMYFUNCTION("GOOGLETRANSLATE(B35,""en"",""ur"")"),"سواروں کی ظاہری باڈی پوزیشن کیا ہے؟")</f>
        <v>سواروں کی ظاہری باڈی پوزیشن کیا ہے؟</v>
      </c>
      <c r="M35" s="2" t="str">
        <f>IFERROR(__xludf.DUMMYFUNCTION("GOOGLETRANSLATE(C35,""en"",""ur"")"),"سیدھا کھڑا ہونا")</f>
        <v>سیدھا کھڑا ہونا</v>
      </c>
      <c r="N35" s="2" t="str">
        <f>IFERROR(__xludf.DUMMYFUNCTION("GOOGLETRANSLATE(D35,""en"",""ur"")"),"نیچے اور طرف جھکنا")</f>
        <v>نیچے اور طرف جھکنا</v>
      </c>
      <c r="O35" s="2" t="str">
        <f>IFERROR(__xludf.DUMMYFUNCTION("GOOGLETRANSLATE(E35,""en"",""ur"")"),"گھوڑے کی پیٹھ پر لیٹنا")</f>
        <v>گھوڑے کی پیٹھ پر لیٹنا</v>
      </c>
      <c r="P35" s="2" t="str">
        <f>IFERROR(__xludf.DUMMYFUNCTION("GOOGLETRANSLATE(F35,""en"",""ur"")"),"آرام سے بیٹھ گیا۔")</f>
        <v>آرام سے بیٹھ گیا۔</v>
      </c>
      <c r="Q35" s="2" t="s">
        <v>978</v>
      </c>
      <c r="R35" s="2" t="str">
        <f>IFERROR(__xludf.DUMMYFUNCTION("GOOGLETRANSLATE(G35,""en"",""ur"")"),"نیچے اور طرف جھکنا")</f>
        <v>نیچے اور طرف جھکنا</v>
      </c>
      <c r="S35" s="6" t="s">
        <v>1042</v>
      </c>
    </row>
    <row r="36">
      <c r="A36" s="7">
        <v>35.0</v>
      </c>
      <c r="B36" s="6" t="s">
        <v>1047</v>
      </c>
      <c r="C36" s="6" t="s">
        <v>980</v>
      </c>
      <c r="D36" s="6" t="s">
        <v>981</v>
      </c>
      <c r="E36" s="6" t="s">
        <v>982</v>
      </c>
      <c r="F36" s="6" t="s">
        <v>983</v>
      </c>
      <c r="G36" s="6" t="s">
        <v>982</v>
      </c>
      <c r="H36" s="6" t="s">
        <v>1042</v>
      </c>
      <c r="K36" s="2" t="str">
        <f>IFERROR(__xludf.DUMMYFUNCTION("GOOGLETRANSLATE(A36,""en"",""ur"")"),"35")</f>
        <v>35</v>
      </c>
      <c r="L36" s="2" t="str">
        <f>IFERROR(__xludf.DUMMYFUNCTION("GOOGLETRANSLATE(B36,""en"",""ur"")"),"گھوڑوں کے پیچھے زمین کی ظاہری حالت کیا ہے؟")</f>
        <v>گھوڑوں کے پیچھے زمین کی ظاہری حالت کیا ہے؟</v>
      </c>
      <c r="M36" s="2" t="str">
        <f>IFERROR(__xludf.DUMMYFUNCTION("GOOGLETRANSLATE(C36,""en"",""ur"")"),"بالکل ہموار")</f>
        <v>بالکل ہموار</v>
      </c>
      <c r="N36" s="2" t="str">
        <f>IFERROR(__xludf.DUMMYFUNCTION("GOOGLETRANSLATE(D36,""en"",""ur"")"),"تازہ گھاس میں ڈھکا ہوا ہے۔")</f>
        <v>تازہ گھاس میں ڈھکا ہوا ہے۔</v>
      </c>
      <c r="O36" s="2" t="str">
        <f>IFERROR(__xludf.DUMMYFUNCTION("GOOGLETRANSLATE(E36,""en"",""ur"")"),"غبار کے بادل میں اُٹھ گیا۔")</f>
        <v>غبار کے بادل میں اُٹھ گیا۔</v>
      </c>
      <c r="P36" s="2" t="str">
        <f>IFERROR(__xludf.DUMMYFUNCTION("GOOGLETRANSLATE(F36,""en"",""ur"")"),"پانی سے بھرا ہوا ۔")</f>
        <v>پانی سے بھرا ہوا ۔</v>
      </c>
      <c r="Q36" s="2" t="s">
        <v>984</v>
      </c>
      <c r="R36" s="2" t="str">
        <f>IFERROR(__xludf.DUMMYFUNCTION("GOOGLETRANSLATE(G36,""en"",""ur"")"),"غبار کے بادل میں اُٹھ گیا۔")</f>
        <v>غبار کے بادل میں اُٹھ گیا۔</v>
      </c>
      <c r="S36" s="6" t="s">
        <v>1042</v>
      </c>
    </row>
    <row r="37">
      <c r="A37" s="7">
        <v>36.0</v>
      </c>
      <c r="B37" s="6" t="s">
        <v>1048</v>
      </c>
      <c r="C37" s="6" t="s">
        <v>986</v>
      </c>
      <c r="D37" s="6" t="s">
        <v>987</v>
      </c>
      <c r="E37" s="6" t="s">
        <v>988</v>
      </c>
      <c r="F37" s="6" t="s">
        <v>989</v>
      </c>
      <c r="G37" s="6" t="s">
        <v>986</v>
      </c>
      <c r="H37" s="6" t="s">
        <v>1042</v>
      </c>
      <c r="K37" s="2" t="str">
        <f>IFERROR(__xludf.DUMMYFUNCTION("GOOGLETRANSLATE(A37,""en"",""ur"")"),"36")</f>
        <v>36</v>
      </c>
      <c r="L37" s="2" t="str">
        <f>IFERROR(__xludf.DUMMYFUNCTION("GOOGLETRANSLATE(B37,""en"",""ur"")"),"گھوڑوں کے ٹیک کی سب سے نمایاں خصوصیت کیا ہے؟")</f>
        <v>گھوڑوں کے ٹیک کی سب سے نمایاں خصوصیت کیا ہے؟</v>
      </c>
      <c r="M37" s="2" t="str">
        <f>IFERROR(__xludf.DUMMYFUNCTION("GOOGLETRANSLATE(C37,""en"",""ur"")"),"یہ ایک سادہ سی کاٹھی ہے۔")</f>
        <v>یہ ایک سادہ سی کاٹھی ہے۔</v>
      </c>
      <c r="N37" s="2" t="str">
        <f>IFERROR(__xludf.DUMMYFUNCTION("GOOGLETRANSLATE(D37,""en"",""ur"")"),"یہ نیلے رنگ کے زیورات کے ساتھ ایک انتہائی آرائشی کاٹھی ہے۔")</f>
        <v>یہ نیلے رنگ کے زیورات کے ساتھ ایک انتہائی آرائشی کاٹھی ہے۔</v>
      </c>
      <c r="O37" s="2" t="str">
        <f>IFERROR(__xludf.DUMMYFUNCTION("GOOGLETRANSLATE(E37,""en"",""ur"")"),"یہ ایک ننگا پیڈ ہے۔")</f>
        <v>یہ ایک ننگا پیڈ ہے۔</v>
      </c>
      <c r="P37" s="2" t="str">
        <f>IFERROR(__xludf.DUMMYFUNCTION("GOOGLETRANSLATE(F37,""en"",""ur"")"),"یہ ایک ریسنگ سیڈل ہے۔")</f>
        <v>یہ ایک ریسنگ سیڈل ہے۔</v>
      </c>
      <c r="Q37" s="2" t="s">
        <v>990</v>
      </c>
      <c r="R37" s="2" t="str">
        <f>IFERROR(__xludf.DUMMYFUNCTION("GOOGLETRANSLATE(G37,""en"",""ur"")"),"یہ ایک سادہ سی کاٹھی ہے۔")</f>
        <v>یہ ایک سادہ سی کاٹھی ہے۔</v>
      </c>
      <c r="S37" s="6" t="s">
        <v>1042</v>
      </c>
    </row>
    <row r="38">
      <c r="A38" s="7">
        <v>37.0</v>
      </c>
      <c r="B38" s="6" t="s">
        <v>991</v>
      </c>
      <c r="C38" s="6" t="s">
        <v>992</v>
      </c>
      <c r="D38" s="6" t="s">
        <v>646</v>
      </c>
      <c r="E38" s="6" t="s">
        <v>993</v>
      </c>
      <c r="F38" s="6" t="s">
        <v>425</v>
      </c>
      <c r="G38" s="6" t="s">
        <v>425</v>
      </c>
      <c r="H38" s="6" t="s">
        <v>1042</v>
      </c>
      <c r="K38" s="2" t="str">
        <f>IFERROR(__xludf.DUMMYFUNCTION("GOOGLETRANSLATE(A38,""en"",""ur"")"),"37")</f>
        <v>37</v>
      </c>
      <c r="L38" s="2" t="str">
        <f>IFERROR(__xludf.DUMMYFUNCTION("GOOGLETRANSLATE(B38,""en"",""ur"")"),"واقعہ کی ظاہری ترتیب کیا ہے؟")</f>
        <v>واقعہ کی ظاہری ترتیب کیا ہے؟</v>
      </c>
      <c r="M38" s="2" t="str">
        <f>IFERROR(__xludf.DUMMYFUNCTION("GOOGLETRANSLATE(C38,""en"",""ur"")"),"ایک اندرونی میدان")</f>
        <v>ایک اندرونی میدان</v>
      </c>
      <c r="N38" s="2" t="str">
        <f>IFERROR(__xludf.DUMMYFUNCTION("GOOGLETRANSLATE(D38,""en"",""ur"")"),"شہر کی ایک گلی")</f>
        <v>شہر کی ایک گلی</v>
      </c>
      <c r="O38" s="2" t="str">
        <f>IFERROR(__xludf.DUMMYFUNCTION("GOOGLETRANSLATE(E38,""en"",""ur"")"),"ایک بیرونی گندگی کا ٹریک")</f>
        <v>ایک بیرونی گندگی کا ٹریک</v>
      </c>
      <c r="P38" s="2" t="str">
        <f>IFERROR(__xludf.DUMMYFUNCTION("GOOGLETRANSLATE(F38,""en"",""ur"")"),"گھاس کا میدان")</f>
        <v>گھاس کا میدان</v>
      </c>
      <c r="Q38" s="2" t="s">
        <v>994</v>
      </c>
      <c r="R38" s="2" t="str">
        <f>IFERROR(__xludf.DUMMYFUNCTION("GOOGLETRANSLATE(G38,""en"",""ur"")"),"گھاس کا میدان")</f>
        <v>گھاس کا میدان</v>
      </c>
      <c r="S38" s="6" t="s">
        <v>1042</v>
      </c>
    </row>
    <row r="39">
      <c r="A39" s="7">
        <v>38.0</v>
      </c>
      <c r="B39" s="6" t="s">
        <v>1036</v>
      </c>
      <c r="C39" s="6" t="s">
        <v>95</v>
      </c>
      <c r="D39" s="6" t="s">
        <v>96</v>
      </c>
      <c r="E39" s="6" t="s">
        <v>1015</v>
      </c>
      <c r="F39" s="6" t="s">
        <v>258</v>
      </c>
      <c r="G39" s="6" t="s">
        <v>1015</v>
      </c>
      <c r="H39" s="6" t="s">
        <v>1042</v>
      </c>
      <c r="K39" s="2" t="str">
        <f>IFERROR(__xludf.DUMMYFUNCTION("GOOGLETRANSLATE(A39,""en"",""ur"")"),"38")</f>
        <v>38</v>
      </c>
      <c r="L39" s="2" t="str">
        <f>IFERROR(__xludf.DUMMYFUNCTION("GOOGLETRANSLATE(B39,""en"",""ur"")"),"کھیل کا نام کیا ہے؟")</f>
        <v>کھیل کا نام کیا ہے؟</v>
      </c>
      <c r="M39" s="2" t="str">
        <f>IFERROR(__xludf.DUMMYFUNCTION("GOOGLETRANSLATE(C39,""en"",""ur"")"),"پولو")</f>
        <v>پولو</v>
      </c>
      <c r="N39" s="2" t="str">
        <f>IFERROR(__xludf.DUMMYFUNCTION("GOOGLETRANSLATE(D39,""en"",""ur"")"),"گھوڑوں کی دوڑ")</f>
        <v>گھوڑوں کی دوڑ</v>
      </c>
      <c r="O39" s="2" t="str">
        <f>IFERROR(__xludf.DUMMYFUNCTION("GOOGLETRANSLATE(E39,""en"",""ur"")"),"ٹینٹ پیگنگ")</f>
        <v>ٹینٹ پیگنگ</v>
      </c>
      <c r="P39" s="2" t="str">
        <f>IFERROR(__xludf.DUMMYFUNCTION("GOOGLETRANSLATE(F39,""en"",""ur"")"),"گھڑ سواری کے کھیل")</f>
        <v>گھڑ سواری کے کھیل</v>
      </c>
      <c r="Q39" s="2" t="s">
        <v>1016</v>
      </c>
      <c r="R39" s="2" t="str">
        <f>IFERROR(__xludf.DUMMYFUNCTION("GOOGLETRANSLATE(G39,""en"",""ur"")"),"ٹینٹ پیگنگ")</f>
        <v>ٹینٹ پیگنگ</v>
      </c>
      <c r="S39" s="6" t="s">
        <v>1042</v>
      </c>
    </row>
    <row r="40">
      <c r="A40" s="7">
        <v>39.0</v>
      </c>
      <c r="B40" s="6" t="s">
        <v>254</v>
      </c>
      <c r="C40" s="6" t="s">
        <v>47</v>
      </c>
      <c r="D40" s="6" t="s">
        <v>48</v>
      </c>
      <c r="E40" s="6" t="s">
        <v>49</v>
      </c>
      <c r="F40" s="6" t="s">
        <v>50</v>
      </c>
      <c r="G40" s="6" t="s">
        <v>49</v>
      </c>
      <c r="H40" s="6" t="s">
        <v>1042</v>
      </c>
      <c r="K40" s="2" t="str">
        <f>IFERROR(__xludf.DUMMYFUNCTION("GOOGLETRANSLATE(A40,""en"",""ur"")"),"39")</f>
        <v>39</v>
      </c>
      <c r="L40" s="2" t="str">
        <f>IFERROR(__xludf.DUMMYFUNCTION("GOOGLETRANSLATE(B40,""en"",""ur"")"),"سواروں کے چہروں سے ظاہری جذبات کیا ہیں؟")</f>
        <v>سواروں کے چہروں سے ظاہری جذبات کیا ہیں؟</v>
      </c>
      <c r="M40" s="2" t="str">
        <f>IFERROR(__xludf.DUMMYFUNCTION("GOOGLETRANSLATE(C40,""en"",""ur"")"),"پرسکون اور پر سکون")</f>
        <v>پرسکون اور پر سکون</v>
      </c>
      <c r="N40" s="2" t="str">
        <f>IFERROR(__xludf.DUMMYFUNCTION("GOOGLETRANSLATE(D40,""en"",""ur"")"),"خوف زدہ اور بے چین")</f>
        <v>خوف زدہ اور بے چین</v>
      </c>
      <c r="O40" s="2" t="str">
        <f>IFERROR(__xludf.DUMMYFUNCTION("GOOGLETRANSLATE(E40,""en"",""ur"")"),"کشیدہ اور شدید")</f>
        <v>کشیدہ اور شدید</v>
      </c>
      <c r="P40" s="2" t="str">
        <f>IFERROR(__xludf.DUMMYFUNCTION("GOOGLETRANSLATE(F40,""en"",""ur"")"),"خوش اور مسکراتے ہوئے۔")</f>
        <v>خوش اور مسکراتے ہوئے۔</v>
      </c>
      <c r="Q40" s="2" t="s">
        <v>51</v>
      </c>
      <c r="R40" s="2" t="str">
        <f>IFERROR(__xludf.DUMMYFUNCTION("GOOGLETRANSLATE(G40,""en"",""ur"")"),"کشیدہ اور شدید")</f>
        <v>کشیدہ اور شدید</v>
      </c>
      <c r="S40" s="6" t="s">
        <v>1042</v>
      </c>
    </row>
    <row r="41">
      <c r="A41" s="7">
        <v>40.0</v>
      </c>
      <c r="B41" s="6" t="s">
        <v>260</v>
      </c>
      <c r="C41" s="6" t="s">
        <v>261</v>
      </c>
      <c r="D41" s="6" t="s">
        <v>262</v>
      </c>
      <c r="E41" s="6" t="s">
        <v>263</v>
      </c>
      <c r="F41" s="6" t="s">
        <v>1001</v>
      </c>
      <c r="G41" s="6" t="s">
        <v>1001</v>
      </c>
      <c r="H41" s="6" t="s">
        <v>1042</v>
      </c>
      <c r="K41" s="2" t="str">
        <f>IFERROR(__xludf.DUMMYFUNCTION("GOOGLETRANSLATE(A41,""en"",""ur"")"),"40")</f>
        <v>40</v>
      </c>
      <c r="L41" s="2" t="str">
        <f>IFERROR(__xludf.DUMMYFUNCTION("GOOGLETRANSLATE(B41,""en"",""ur"")"),"تصویر میں ایکشن ایک ایسا انداز تجویز کرتا ہے جو اس بات پر زور دیتا ہے...")</f>
        <v>تصویر میں ایکشن ایک ایسا انداز تجویز کرتا ہے جو اس بات پر زور دیتا ہے...</v>
      </c>
      <c r="M41" s="2" t="str">
        <f>IFERROR(__xludf.DUMMYFUNCTION("GOOGLETRANSLATE(C41,""en"",""ur"")"),"روانی اور قلابازیاں")</f>
        <v>روانی اور قلابازیاں</v>
      </c>
      <c r="N41" s="2" t="str">
        <f>IFERROR(__xludf.DUMMYFUNCTION("GOOGLETRANSLATE(D41,""en"",""ur"")"),"زمینی لڑائی اور گرفت")</f>
        <v>زمینی لڑائی اور گرفت</v>
      </c>
      <c r="O41" s="2" t="str">
        <f>IFERROR(__xludf.DUMMYFUNCTION("GOOGLETRANSLATE(E41,""en"",""ur"")"),"وحشیانہ قوت اور گھڑ سواری۔")</f>
        <v>وحشیانہ قوت اور گھڑ سواری۔</v>
      </c>
      <c r="P41" s="2" t="str">
        <f>IFERROR(__xludf.DUMMYFUNCTION("GOOGLETRANSLATE(F41,""en"",""ur"")"),"رفتار، درستگی اور چستی")</f>
        <v>رفتار، درستگی اور چستی</v>
      </c>
      <c r="Q41" s="2" t="s">
        <v>1002</v>
      </c>
      <c r="R41" s="2" t="str">
        <f>IFERROR(__xludf.DUMMYFUNCTION("GOOGLETRANSLATE(G41,""en"",""ur"")"),"رفتار، درستگی اور چستی")</f>
        <v>رفتار، درستگی اور چستی</v>
      </c>
      <c r="S41" s="6" t="s">
        <v>1042</v>
      </c>
    </row>
    <row r="42">
      <c r="A42" s="7">
        <v>41.0</v>
      </c>
      <c r="B42" s="6" t="s">
        <v>1049</v>
      </c>
      <c r="C42" s="6" t="s">
        <v>958</v>
      </c>
      <c r="D42" s="6" t="s">
        <v>959</v>
      </c>
      <c r="E42" s="6" t="s">
        <v>960</v>
      </c>
      <c r="F42" s="6" t="s">
        <v>961</v>
      </c>
      <c r="G42" s="6" t="s">
        <v>959</v>
      </c>
      <c r="H42" s="6" t="s">
        <v>1050</v>
      </c>
      <c r="K42" s="2" t="str">
        <f>IFERROR(__xludf.DUMMYFUNCTION("GOOGLETRANSLATE(A42,""en"",""ur"")"),"41")</f>
        <v>41</v>
      </c>
      <c r="L42" s="2" t="str">
        <f>IFERROR(__xludf.DUMMYFUNCTION("GOOGLETRANSLATE(B42,""en"",""ur"")"),"tent_pegging_16 میں دکھائی جانے والی اہم کارروائی کیا ہے؟")</f>
        <v>tent_pegging_16 میں دکھائی جانے والی اہم کارروائی کیا ہے؟</v>
      </c>
      <c r="M42" s="2" t="str">
        <f>IFERROR(__xludf.DUMMYFUNCTION("GOOGLETRANSLATE(C42,""en"",""ur"")"),"گھوڑے کی پیٹھ پر کرتب دکھاتے ہوئے سوار")</f>
        <v>گھوڑے کی پیٹھ پر کرتب دکھاتے ہوئے سوار</v>
      </c>
      <c r="N42" s="2" t="str">
        <f>IFERROR(__xludf.DUMMYFUNCTION("GOOGLETRANSLATE(D42,""en"",""ur"")"),"ٹینٹ پیگنگ ایونٹ میں مقابلہ کرنے والا سوار")</f>
        <v>ٹینٹ پیگنگ ایونٹ میں مقابلہ کرنے والا سوار</v>
      </c>
      <c r="O42" s="2" t="str">
        <f>IFERROR(__xludf.DUMMYFUNCTION("GOOGLETRANSLATE(E42,""en"",""ur"")"),"گھوڑوں کی دوڑ میں سوار")</f>
        <v>گھوڑوں کی دوڑ میں سوار</v>
      </c>
      <c r="P42" s="2" t="str">
        <f>IFERROR(__xludf.DUMMYFUNCTION("GOOGLETRANSLATE(F42,""en"",""ur"")"),"ایک سوار پریڈ کی قیادت کر رہا ہے۔")</f>
        <v>ایک سوار پریڈ کی قیادت کر رہا ہے۔</v>
      </c>
      <c r="Q42" s="2" t="s">
        <v>1029</v>
      </c>
      <c r="R42" s="2" t="str">
        <f>IFERROR(__xludf.DUMMYFUNCTION("GOOGLETRANSLATE(G42,""en"",""ur"")"),"ٹینٹ پیگنگ ایونٹ میں مقابلہ کرنے والا سوار")</f>
        <v>ٹینٹ پیگنگ ایونٹ میں مقابلہ کرنے والا سوار</v>
      </c>
      <c r="S42" s="6" t="s">
        <v>1050</v>
      </c>
    </row>
    <row r="43">
      <c r="A43" s="7">
        <v>42.0</v>
      </c>
      <c r="B43" s="6" t="s">
        <v>963</v>
      </c>
      <c r="C43" s="6" t="s">
        <v>964</v>
      </c>
      <c r="D43" s="6" t="s">
        <v>965</v>
      </c>
      <c r="E43" s="6" t="s">
        <v>966</v>
      </c>
      <c r="F43" s="6" t="s">
        <v>967</v>
      </c>
      <c r="G43" s="6" t="s">
        <v>965</v>
      </c>
      <c r="H43" s="6" t="s">
        <v>1050</v>
      </c>
      <c r="K43" s="2" t="str">
        <f>IFERROR(__xludf.DUMMYFUNCTION("GOOGLETRANSLATE(A43,""en"",""ur"")"),"42")</f>
        <v>42</v>
      </c>
      <c r="L43" s="2" t="str">
        <f>IFERROR(__xludf.DUMMYFUNCTION("GOOGLETRANSLATE(B43,""en"",""ur"")"),"سوار کے لباس کے بارے میں ایک قابل ذکر تفصیل کیا ہے؟")</f>
        <v>سوار کے لباس کے بارے میں ایک قابل ذکر تفصیل کیا ہے؟</v>
      </c>
      <c r="M43" s="2" t="str">
        <f>IFERROR(__xludf.DUMMYFUNCTION("GOOGLETRANSLATE(C43,""en"",""ur"")"),"ایک رسمی سوٹ اور ٹائی")</f>
        <v>ایک رسمی سوٹ اور ٹائی</v>
      </c>
      <c r="N43" s="2" t="str">
        <f>IFERROR(__xludf.DUMMYFUNCTION("GOOGLETRANSLATE(D43,""en"",""ur"")"),"نیلی پگڑی اور بنیان والا سفید روایتی لباس")</f>
        <v>نیلی پگڑی اور بنیان والا سفید روایتی لباس</v>
      </c>
      <c r="O43" s="2" t="str">
        <f>IFERROR(__xludf.DUMMYFUNCTION("GOOGLETRANSLATE(E43,""en"",""ur"")"),"فوجی وردی")</f>
        <v>فوجی وردی</v>
      </c>
      <c r="P43" s="2" t="str">
        <f>IFERROR(__xludf.DUMMYFUNCTION("GOOGLETRANSLATE(F43,""en"",""ur"")"),"ایک جدید کھیلوں کا یونیفارم")</f>
        <v>ایک جدید کھیلوں کا یونیفارم</v>
      </c>
      <c r="Q43" s="2" t="s">
        <v>968</v>
      </c>
      <c r="R43" s="2" t="str">
        <f>IFERROR(__xludf.DUMMYFUNCTION("GOOGLETRANSLATE(G43,""en"",""ur"")"),"نیلی پگڑی اور بنیان والا سفید روایتی لباس")</f>
        <v>نیلی پگڑی اور بنیان والا سفید روایتی لباس</v>
      </c>
      <c r="S43" s="6" t="s">
        <v>1050</v>
      </c>
    </row>
    <row r="44">
      <c r="A44" s="7">
        <v>43.0</v>
      </c>
      <c r="B44" s="6" t="s">
        <v>969</v>
      </c>
      <c r="C44" s="6" t="s">
        <v>970</v>
      </c>
      <c r="D44" s="6" t="s">
        <v>971</v>
      </c>
      <c r="E44" s="6" t="s">
        <v>972</v>
      </c>
      <c r="F44" s="6" t="s">
        <v>973</v>
      </c>
      <c r="G44" s="6" t="s">
        <v>972</v>
      </c>
      <c r="H44" s="6" t="s">
        <v>1050</v>
      </c>
      <c r="K44" s="2" t="str">
        <f>IFERROR(__xludf.DUMMYFUNCTION("GOOGLETRANSLATE(A44,""en"",""ur"")"),"43")</f>
        <v>43</v>
      </c>
      <c r="L44" s="2" t="str">
        <f>IFERROR(__xludf.DUMMYFUNCTION("GOOGLETRANSLATE(B44,""en"",""ur"")"),"سوار نے جو لمبی چھڑی پکڑی ہوئی ہے اس کا ظاہری مقصد کیا ہے؟")</f>
        <v>سوار نے جو لمبی چھڑی پکڑی ہوئی ہے اس کا ظاہری مقصد کیا ہے؟</v>
      </c>
      <c r="M44" s="2" t="str">
        <f>IFERROR(__xludf.DUMMYFUNCTION("GOOGLETRANSLATE(C44,""en"",""ur"")"),"گھوڑے کی رہنمائی کے لیے")</f>
        <v>گھوڑے کی رہنمائی کے لیے</v>
      </c>
      <c r="N44" s="2" t="str">
        <f>IFERROR(__xludf.DUMMYFUNCTION("GOOGLETRANSLATE(D44,""en"",""ur"")"),"توازن کے لیے زمین سے ٹکرانا")</f>
        <v>توازن کے لیے زمین سے ٹکرانا</v>
      </c>
      <c r="O44" s="2" t="str">
        <f>IFERROR(__xludf.DUMMYFUNCTION("GOOGLETRANSLATE(E44,""en"",""ur"")"),"زمین پر چھوٹے اہداف کو نشانہ بنانا")</f>
        <v>زمین پر چھوٹے اہداف کو نشانہ بنانا</v>
      </c>
      <c r="P44" s="2" t="str">
        <f>IFERROR(__xludf.DUMMYFUNCTION("GOOGLETRANSLATE(F44,""en"",""ur"")"),"بطور ہتھیار استعمال کرنا")</f>
        <v>بطور ہتھیار استعمال کرنا</v>
      </c>
      <c r="Q44" s="2" t="s">
        <v>974</v>
      </c>
      <c r="R44" s="2" t="str">
        <f>IFERROR(__xludf.DUMMYFUNCTION("GOOGLETRANSLATE(G44,""en"",""ur"")"),"زمین پر چھوٹے اہداف کو نشانہ بنانا")</f>
        <v>زمین پر چھوٹے اہداف کو نشانہ بنانا</v>
      </c>
      <c r="S44" s="6" t="s">
        <v>1050</v>
      </c>
    </row>
    <row r="45">
      <c r="A45" s="7">
        <v>44.0</v>
      </c>
      <c r="B45" s="6" t="s">
        <v>310</v>
      </c>
      <c r="C45" s="6" t="s">
        <v>429</v>
      </c>
      <c r="D45" s="6" t="s">
        <v>975</v>
      </c>
      <c r="E45" s="6" t="s">
        <v>976</v>
      </c>
      <c r="F45" s="6" t="s">
        <v>977</v>
      </c>
      <c r="G45" s="6" t="s">
        <v>975</v>
      </c>
      <c r="H45" s="6" t="s">
        <v>1050</v>
      </c>
      <c r="K45" s="2" t="str">
        <f>IFERROR(__xludf.DUMMYFUNCTION("GOOGLETRANSLATE(A45,""en"",""ur"")"),"44")</f>
        <v>44</v>
      </c>
      <c r="L45" s="2" t="str">
        <f>IFERROR(__xludf.DUMMYFUNCTION("GOOGLETRANSLATE(B45,""en"",""ur"")"),"سوار کی ظاہری باڈی پوزیشن کیا ہے؟")</f>
        <v>سوار کی ظاہری باڈی پوزیشن کیا ہے؟</v>
      </c>
      <c r="M45" s="2" t="str">
        <f>IFERROR(__xludf.DUMMYFUNCTION("GOOGLETRANSLATE(C45,""en"",""ur"")"),"سیدھا کھڑا ہونا")</f>
        <v>سیدھا کھڑا ہونا</v>
      </c>
      <c r="N45" s="2" t="str">
        <f>IFERROR(__xludf.DUMMYFUNCTION("GOOGLETRANSLATE(D45,""en"",""ur"")"),"نیچے اور طرف جھکنا")</f>
        <v>نیچے اور طرف جھکنا</v>
      </c>
      <c r="O45" s="2" t="str">
        <f>IFERROR(__xludf.DUMMYFUNCTION("GOOGLETRANSLATE(E45,""en"",""ur"")"),"گھوڑے کی پیٹھ پر لیٹنا")</f>
        <v>گھوڑے کی پیٹھ پر لیٹنا</v>
      </c>
      <c r="P45" s="2" t="str">
        <f>IFERROR(__xludf.DUMMYFUNCTION("GOOGLETRANSLATE(F45,""en"",""ur"")"),"آرام سے بیٹھ گیا۔")</f>
        <v>آرام سے بیٹھ گیا۔</v>
      </c>
      <c r="Q45" s="2" t="s">
        <v>978</v>
      </c>
      <c r="R45" s="2" t="str">
        <f>IFERROR(__xludf.DUMMYFUNCTION("GOOGLETRANSLATE(G45,""en"",""ur"")"),"نیچے اور طرف جھکنا")</f>
        <v>نیچے اور طرف جھکنا</v>
      </c>
      <c r="S45" s="6" t="s">
        <v>1050</v>
      </c>
    </row>
    <row r="46">
      <c r="A46" s="7">
        <v>45.0</v>
      </c>
      <c r="B46" s="6" t="s">
        <v>979</v>
      </c>
      <c r="C46" s="6" t="s">
        <v>980</v>
      </c>
      <c r="D46" s="6" t="s">
        <v>981</v>
      </c>
      <c r="E46" s="6" t="s">
        <v>982</v>
      </c>
      <c r="F46" s="6" t="s">
        <v>983</v>
      </c>
      <c r="G46" s="6" t="s">
        <v>982</v>
      </c>
      <c r="H46" s="6" t="s">
        <v>1050</v>
      </c>
      <c r="K46" s="2" t="str">
        <f>IFERROR(__xludf.DUMMYFUNCTION("GOOGLETRANSLATE(A46,""en"",""ur"")"),"45")</f>
        <v>45</v>
      </c>
      <c r="L46" s="2" t="str">
        <f>IFERROR(__xludf.DUMMYFUNCTION("GOOGLETRANSLATE(B46,""en"",""ur"")"),"گھوڑے کے پیچھے زمین کی ظاہری حالت کیا ہے؟")</f>
        <v>گھوڑے کے پیچھے زمین کی ظاہری حالت کیا ہے؟</v>
      </c>
      <c r="M46" s="2" t="str">
        <f>IFERROR(__xludf.DUMMYFUNCTION("GOOGLETRANSLATE(C46,""en"",""ur"")"),"بالکل ہموار")</f>
        <v>بالکل ہموار</v>
      </c>
      <c r="N46" s="2" t="str">
        <f>IFERROR(__xludf.DUMMYFUNCTION("GOOGLETRANSLATE(D46,""en"",""ur"")"),"تازہ گھاس میں ڈھکا ہوا ہے۔")</f>
        <v>تازہ گھاس میں ڈھکا ہوا ہے۔</v>
      </c>
      <c r="O46" s="2" t="str">
        <f>IFERROR(__xludf.DUMMYFUNCTION("GOOGLETRANSLATE(E46,""en"",""ur"")"),"غبار کے بادل میں اُٹھ گیا۔")</f>
        <v>غبار کے بادل میں اُٹھ گیا۔</v>
      </c>
      <c r="P46" s="2" t="str">
        <f>IFERROR(__xludf.DUMMYFUNCTION("GOOGLETRANSLATE(F46,""en"",""ur"")"),"پانی سے بھرا ہوا ۔")</f>
        <v>پانی سے بھرا ہوا ۔</v>
      </c>
      <c r="Q46" s="2" t="s">
        <v>984</v>
      </c>
      <c r="R46" s="2" t="str">
        <f>IFERROR(__xludf.DUMMYFUNCTION("GOOGLETRANSLATE(G46,""en"",""ur"")"),"غبار کے بادل میں اُٹھ گیا۔")</f>
        <v>غبار کے بادل میں اُٹھ گیا۔</v>
      </c>
      <c r="S46" s="6" t="s">
        <v>1050</v>
      </c>
    </row>
    <row r="47">
      <c r="A47" s="7">
        <v>46.0</v>
      </c>
      <c r="B47" s="6" t="s">
        <v>985</v>
      </c>
      <c r="C47" s="6" t="s">
        <v>986</v>
      </c>
      <c r="D47" s="6" t="s">
        <v>987</v>
      </c>
      <c r="E47" s="6" t="s">
        <v>988</v>
      </c>
      <c r="F47" s="6" t="s">
        <v>989</v>
      </c>
      <c r="G47" s="6" t="s">
        <v>987</v>
      </c>
      <c r="H47" s="6" t="s">
        <v>1050</v>
      </c>
      <c r="K47" s="2" t="str">
        <f>IFERROR(__xludf.DUMMYFUNCTION("GOOGLETRANSLATE(A47,""en"",""ur"")"),"46")</f>
        <v>46</v>
      </c>
      <c r="L47" s="2" t="str">
        <f>IFERROR(__xludf.DUMMYFUNCTION("GOOGLETRANSLATE(B47,""en"",""ur"")"),"گھوڑے کے ٹیک کی سب سے نمایاں خصوصیت کیا ہے؟")</f>
        <v>گھوڑے کے ٹیک کی سب سے نمایاں خصوصیت کیا ہے؟</v>
      </c>
      <c r="M47" s="2" t="str">
        <f>IFERROR(__xludf.DUMMYFUNCTION("GOOGLETRANSLATE(C47,""en"",""ur"")"),"یہ ایک سادہ سی کاٹھی ہے۔")</f>
        <v>یہ ایک سادہ سی کاٹھی ہے۔</v>
      </c>
      <c r="N47" s="2" t="str">
        <f>IFERROR(__xludf.DUMMYFUNCTION("GOOGLETRANSLATE(D47,""en"",""ur"")"),"یہ نیلے رنگ کے زیورات کے ساتھ ایک انتہائی آرائشی کاٹھی ہے۔")</f>
        <v>یہ نیلے رنگ کے زیورات کے ساتھ ایک انتہائی آرائشی کاٹھی ہے۔</v>
      </c>
      <c r="O47" s="2" t="str">
        <f>IFERROR(__xludf.DUMMYFUNCTION("GOOGLETRANSLATE(E47,""en"",""ur"")"),"یہ ایک ننگا پیڈ ہے۔")</f>
        <v>یہ ایک ننگا پیڈ ہے۔</v>
      </c>
      <c r="P47" s="2" t="str">
        <f>IFERROR(__xludf.DUMMYFUNCTION("GOOGLETRANSLATE(F47,""en"",""ur"")"),"یہ ایک ریسنگ سیڈل ہے۔")</f>
        <v>یہ ایک ریسنگ سیڈل ہے۔</v>
      </c>
      <c r="Q47" s="2" t="s">
        <v>990</v>
      </c>
      <c r="R47" s="2" t="str">
        <f>IFERROR(__xludf.DUMMYFUNCTION("GOOGLETRANSLATE(G47,""en"",""ur"")"),"یہ نیلے رنگ کے زیورات کے ساتھ ایک انتہائی آرائشی کاٹھی ہے۔")</f>
        <v>یہ نیلے رنگ کے زیورات کے ساتھ ایک انتہائی آرائشی کاٹھی ہے۔</v>
      </c>
      <c r="S47" s="6" t="s">
        <v>1050</v>
      </c>
    </row>
    <row r="48">
      <c r="A48" s="7">
        <v>47.0</v>
      </c>
      <c r="B48" s="6" t="s">
        <v>991</v>
      </c>
      <c r="C48" s="6" t="s">
        <v>992</v>
      </c>
      <c r="D48" s="6" t="s">
        <v>646</v>
      </c>
      <c r="E48" s="6" t="s">
        <v>1051</v>
      </c>
      <c r="F48" s="6" t="s">
        <v>425</v>
      </c>
      <c r="G48" s="6" t="s">
        <v>1051</v>
      </c>
      <c r="H48" s="6" t="s">
        <v>1050</v>
      </c>
      <c r="K48" s="2" t="str">
        <f>IFERROR(__xludf.DUMMYFUNCTION("GOOGLETRANSLATE(A48,""en"",""ur"")"),"47")</f>
        <v>47</v>
      </c>
      <c r="L48" s="2" t="str">
        <f>IFERROR(__xludf.DUMMYFUNCTION("GOOGLETRANSLATE(B48,""en"",""ur"")"),"واقعہ کی ظاہری ترتیب کیا ہے؟")</f>
        <v>واقعہ کی ظاہری ترتیب کیا ہے؟</v>
      </c>
      <c r="M48" s="2" t="str">
        <f>IFERROR(__xludf.DUMMYFUNCTION("GOOGLETRANSLATE(C48,""en"",""ur"")"),"ایک اندرونی میدان")</f>
        <v>ایک اندرونی میدان</v>
      </c>
      <c r="N48" s="2" t="str">
        <f>IFERROR(__xludf.DUMMYFUNCTION("GOOGLETRANSLATE(D48,""en"",""ur"")"),"شہر کی ایک گلی")</f>
        <v>شہر کی ایک گلی</v>
      </c>
      <c r="O48" s="2" t="str">
        <f>IFERROR(__xludf.DUMMYFUNCTION("GOOGLETRANSLATE(E48,""en"",""ur"")"),"تماشائیوں کے ساتھ ایک بیرونی گندگی کا ٹریک")</f>
        <v>تماشائیوں کے ساتھ ایک بیرونی گندگی کا ٹریک</v>
      </c>
      <c r="P48" s="2" t="str">
        <f>IFERROR(__xludf.DUMMYFUNCTION("GOOGLETRANSLATE(F48,""en"",""ur"")"),"گھاس کا میدان")</f>
        <v>گھاس کا میدان</v>
      </c>
      <c r="Q48" s="2" t="s">
        <v>1052</v>
      </c>
      <c r="R48" s="2" t="str">
        <f>IFERROR(__xludf.DUMMYFUNCTION("GOOGLETRANSLATE(G48,""en"",""ur"")"),"تماشائیوں کے ساتھ ایک بیرونی گندگی کا ٹریک")</f>
        <v>تماشائیوں کے ساتھ ایک بیرونی گندگی کا ٹریک</v>
      </c>
      <c r="S48" s="6" t="s">
        <v>1050</v>
      </c>
    </row>
    <row r="49">
      <c r="A49" s="7">
        <v>48.0</v>
      </c>
      <c r="B49" s="6" t="s">
        <v>1036</v>
      </c>
      <c r="C49" s="6" t="s">
        <v>95</v>
      </c>
      <c r="D49" s="6" t="s">
        <v>96</v>
      </c>
      <c r="E49" s="6" t="s">
        <v>1015</v>
      </c>
      <c r="F49" s="6" t="s">
        <v>258</v>
      </c>
      <c r="G49" s="6" t="s">
        <v>1015</v>
      </c>
      <c r="H49" s="6" t="s">
        <v>1050</v>
      </c>
      <c r="K49" s="2" t="str">
        <f>IFERROR(__xludf.DUMMYFUNCTION("GOOGLETRANSLATE(A49,""en"",""ur"")"),"48")</f>
        <v>48</v>
      </c>
      <c r="L49" s="2" t="str">
        <f>IFERROR(__xludf.DUMMYFUNCTION("GOOGLETRANSLATE(B49,""en"",""ur"")"),"کھیل کا نام کیا ہے؟")</f>
        <v>کھیل کا نام کیا ہے؟</v>
      </c>
      <c r="M49" s="2" t="str">
        <f>IFERROR(__xludf.DUMMYFUNCTION("GOOGLETRANSLATE(C49,""en"",""ur"")"),"پولو")</f>
        <v>پولو</v>
      </c>
      <c r="N49" s="2" t="str">
        <f>IFERROR(__xludf.DUMMYFUNCTION("GOOGLETRANSLATE(D49,""en"",""ur"")"),"گھوڑوں کی دوڑ")</f>
        <v>گھوڑوں کی دوڑ</v>
      </c>
      <c r="O49" s="2" t="str">
        <f>IFERROR(__xludf.DUMMYFUNCTION("GOOGLETRANSLATE(E49,""en"",""ur"")"),"ٹینٹ پیگنگ")</f>
        <v>ٹینٹ پیگنگ</v>
      </c>
      <c r="P49" s="2" t="str">
        <f>IFERROR(__xludf.DUMMYFUNCTION("GOOGLETRANSLATE(F49,""en"",""ur"")"),"گھڑ سواری کے کھیل")</f>
        <v>گھڑ سواری کے کھیل</v>
      </c>
      <c r="Q49" s="2" t="s">
        <v>1016</v>
      </c>
      <c r="R49" s="2" t="str">
        <f>IFERROR(__xludf.DUMMYFUNCTION("GOOGLETRANSLATE(G49,""en"",""ur"")"),"ٹینٹ پیگنگ")</f>
        <v>ٹینٹ پیگنگ</v>
      </c>
      <c r="S49" s="6" t="s">
        <v>1050</v>
      </c>
    </row>
    <row r="50">
      <c r="A50" s="7">
        <v>49.0</v>
      </c>
      <c r="B50" s="6" t="s">
        <v>316</v>
      </c>
      <c r="C50" s="6" t="s">
        <v>47</v>
      </c>
      <c r="D50" s="6" t="s">
        <v>48</v>
      </c>
      <c r="E50" s="6" t="s">
        <v>49</v>
      </c>
      <c r="F50" s="6" t="s">
        <v>50</v>
      </c>
      <c r="G50" s="6" t="s">
        <v>49</v>
      </c>
      <c r="H50" s="6" t="s">
        <v>1050</v>
      </c>
      <c r="K50" s="2" t="str">
        <f>IFERROR(__xludf.DUMMYFUNCTION("GOOGLETRANSLATE(A50,""en"",""ur"")"),"49")</f>
        <v>49</v>
      </c>
      <c r="L50" s="2" t="str">
        <f>IFERROR(__xludf.DUMMYFUNCTION("GOOGLETRANSLATE(B50,""en"",""ur"")"),"سوار کے چہرے سے ظاہری جذبات کیا ہیں؟")</f>
        <v>سوار کے چہرے سے ظاہری جذبات کیا ہیں؟</v>
      </c>
      <c r="M50" s="2" t="str">
        <f>IFERROR(__xludf.DUMMYFUNCTION("GOOGLETRANSLATE(C50,""en"",""ur"")"),"پرسکون اور پر سکون")</f>
        <v>پرسکون اور پر سکون</v>
      </c>
      <c r="N50" s="2" t="str">
        <f>IFERROR(__xludf.DUMMYFUNCTION("GOOGLETRANSLATE(D50,""en"",""ur"")"),"خوف زدہ اور بے چین")</f>
        <v>خوف زدہ اور بے چین</v>
      </c>
      <c r="O50" s="2" t="str">
        <f>IFERROR(__xludf.DUMMYFUNCTION("GOOGLETRANSLATE(E50,""en"",""ur"")"),"کشیدہ اور شدید")</f>
        <v>کشیدہ اور شدید</v>
      </c>
      <c r="P50" s="2" t="str">
        <f>IFERROR(__xludf.DUMMYFUNCTION("GOOGLETRANSLATE(F50,""en"",""ur"")"),"خوش اور مسکراتے ہوئے۔")</f>
        <v>خوش اور مسکراتے ہوئے۔</v>
      </c>
      <c r="Q50" s="2" t="s">
        <v>51</v>
      </c>
      <c r="R50" s="2" t="str">
        <f>IFERROR(__xludf.DUMMYFUNCTION("GOOGLETRANSLATE(G50,""en"",""ur"")"),"کشیدہ اور شدید")</f>
        <v>کشیدہ اور شدید</v>
      </c>
      <c r="S50" s="6" t="s">
        <v>1050</v>
      </c>
    </row>
    <row r="51">
      <c r="A51" s="7">
        <v>50.0</v>
      </c>
      <c r="B51" s="6" t="s">
        <v>260</v>
      </c>
      <c r="C51" s="6" t="s">
        <v>261</v>
      </c>
      <c r="D51" s="6" t="s">
        <v>262</v>
      </c>
      <c r="E51" s="6" t="s">
        <v>263</v>
      </c>
      <c r="F51" s="6" t="s">
        <v>1001</v>
      </c>
      <c r="G51" s="6" t="s">
        <v>1001</v>
      </c>
      <c r="H51" s="6" t="s">
        <v>1050</v>
      </c>
      <c r="K51" s="2" t="str">
        <f>IFERROR(__xludf.DUMMYFUNCTION("GOOGLETRANSLATE(A51,""en"",""ur"")"),"50")</f>
        <v>50</v>
      </c>
      <c r="L51" s="2" t="str">
        <f>IFERROR(__xludf.DUMMYFUNCTION("GOOGLETRANSLATE(B51,""en"",""ur"")"),"تصویر میں ایکشن ایک ایسا انداز تجویز کرتا ہے جو اس بات پر زور دیتا ہے...")</f>
        <v>تصویر میں ایکشن ایک ایسا انداز تجویز کرتا ہے جو اس بات پر زور دیتا ہے...</v>
      </c>
      <c r="M51" s="2" t="str">
        <f>IFERROR(__xludf.DUMMYFUNCTION("GOOGLETRANSLATE(C51,""en"",""ur"")"),"روانی اور قلابازیاں")</f>
        <v>روانی اور قلابازیاں</v>
      </c>
      <c r="N51" s="2" t="str">
        <f>IFERROR(__xludf.DUMMYFUNCTION("GOOGLETRANSLATE(D51,""en"",""ur"")"),"زمینی لڑائی اور گرفت")</f>
        <v>زمینی لڑائی اور گرفت</v>
      </c>
      <c r="O51" s="2" t="str">
        <f>IFERROR(__xludf.DUMMYFUNCTION("GOOGLETRANSLATE(E51,""en"",""ur"")"),"وحشیانہ قوت اور گھڑ سواری۔")</f>
        <v>وحشیانہ قوت اور گھڑ سواری۔</v>
      </c>
      <c r="P51" s="2" t="str">
        <f>IFERROR(__xludf.DUMMYFUNCTION("GOOGLETRANSLATE(F51,""en"",""ur"")"),"رفتار، درستگی اور چستی")</f>
        <v>رفتار، درستگی اور چستی</v>
      </c>
      <c r="Q51" s="2" t="s">
        <v>1002</v>
      </c>
      <c r="R51" s="2" t="str">
        <f>IFERROR(__xludf.DUMMYFUNCTION("GOOGLETRANSLATE(G51,""en"",""ur"")"),"رفتار، درستگی اور چستی")</f>
        <v>رفتار، درستگی اور چستی</v>
      </c>
      <c r="S51" s="6" t="s">
        <v>1050</v>
      </c>
    </row>
    <row r="52">
      <c r="A52" s="7">
        <v>51.0</v>
      </c>
      <c r="B52" s="6" t="s">
        <v>1053</v>
      </c>
      <c r="C52" s="6" t="s">
        <v>958</v>
      </c>
      <c r="D52" s="6" t="s">
        <v>959</v>
      </c>
      <c r="E52" s="6" t="s">
        <v>960</v>
      </c>
      <c r="F52" s="6" t="s">
        <v>961</v>
      </c>
      <c r="G52" s="6" t="s">
        <v>959</v>
      </c>
      <c r="H52" s="6" t="s">
        <v>1054</v>
      </c>
      <c r="K52" s="2" t="str">
        <f>IFERROR(__xludf.DUMMYFUNCTION("GOOGLETRANSLATE(A52,""en"",""ur"")"),"51")</f>
        <v>51</v>
      </c>
      <c r="L52" s="2" t="str">
        <f>IFERROR(__xludf.DUMMYFUNCTION("GOOGLETRANSLATE(B52,""en"",""ur"")"),"tent_pegging_11 میں دکھائی جانے والی اہم کارروائی کیا ہے؟")</f>
        <v>tent_pegging_11 میں دکھائی جانے والی اہم کارروائی کیا ہے؟</v>
      </c>
      <c r="M52" s="2" t="str">
        <f>IFERROR(__xludf.DUMMYFUNCTION("GOOGLETRANSLATE(C52,""en"",""ur"")"),"گھوڑے کی پیٹھ پر کرتب دکھاتے ہوئے سوار")</f>
        <v>گھوڑے کی پیٹھ پر کرتب دکھاتے ہوئے سوار</v>
      </c>
      <c r="N52" s="2" t="str">
        <f>IFERROR(__xludf.DUMMYFUNCTION("GOOGLETRANSLATE(D52,""en"",""ur"")"),"ٹینٹ پیگنگ ایونٹ میں مقابلہ کرنے والا سوار")</f>
        <v>ٹینٹ پیگنگ ایونٹ میں مقابلہ کرنے والا سوار</v>
      </c>
      <c r="O52" s="2" t="str">
        <f>IFERROR(__xludf.DUMMYFUNCTION("GOOGLETRANSLATE(E52,""en"",""ur"")"),"گھوڑوں کی دوڑ میں سوار")</f>
        <v>گھوڑوں کی دوڑ میں سوار</v>
      </c>
      <c r="P52" s="2" t="str">
        <f>IFERROR(__xludf.DUMMYFUNCTION("GOOGLETRANSLATE(F52,""en"",""ur"")"),"ایک سوار پریڈ کی قیادت کر رہا ہے۔")</f>
        <v>ایک سوار پریڈ کی قیادت کر رہا ہے۔</v>
      </c>
      <c r="Q52" s="2" t="s">
        <v>1029</v>
      </c>
      <c r="R52" s="2" t="str">
        <f>IFERROR(__xludf.DUMMYFUNCTION("GOOGLETRANSLATE(G52,""en"",""ur"")"),"ٹینٹ پیگنگ ایونٹ میں مقابلہ کرنے والا سوار")</f>
        <v>ٹینٹ پیگنگ ایونٹ میں مقابلہ کرنے والا سوار</v>
      </c>
      <c r="S52" s="6" t="s">
        <v>1054</v>
      </c>
    </row>
    <row r="53">
      <c r="A53" s="7">
        <v>52.0</v>
      </c>
      <c r="B53" s="6" t="s">
        <v>963</v>
      </c>
      <c r="C53" s="6" t="s">
        <v>964</v>
      </c>
      <c r="D53" s="6" t="s">
        <v>965</v>
      </c>
      <c r="E53" s="6" t="s">
        <v>966</v>
      </c>
      <c r="F53" s="6" t="s">
        <v>1044</v>
      </c>
      <c r="G53" s="6" t="s">
        <v>1044</v>
      </c>
      <c r="H53" s="6" t="s">
        <v>1054</v>
      </c>
      <c r="K53" s="2" t="str">
        <f>IFERROR(__xludf.DUMMYFUNCTION("GOOGLETRANSLATE(A53,""en"",""ur"")"),"52")</f>
        <v>52</v>
      </c>
      <c r="L53" s="2" t="str">
        <f>IFERROR(__xludf.DUMMYFUNCTION("GOOGLETRANSLATE(B53,""en"",""ur"")"),"سوار کے لباس کے بارے میں ایک قابل ذکر تفصیل کیا ہے؟")</f>
        <v>سوار کے لباس کے بارے میں ایک قابل ذکر تفصیل کیا ہے؟</v>
      </c>
      <c r="M53" s="2" t="str">
        <f>IFERROR(__xludf.DUMMYFUNCTION("GOOGLETRANSLATE(C53,""en"",""ur"")"),"ایک رسمی سوٹ اور ٹائی")</f>
        <v>ایک رسمی سوٹ اور ٹائی</v>
      </c>
      <c r="N53" s="2" t="str">
        <f>IFERROR(__xludf.DUMMYFUNCTION("GOOGLETRANSLATE(D53,""en"",""ur"")"),"نیلی پگڑی اور بنیان والا سفید روایتی لباس")</f>
        <v>نیلی پگڑی اور بنیان والا سفید روایتی لباس</v>
      </c>
      <c r="O53" s="2" t="str">
        <f>IFERROR(__xludf.DUMMYFUNCTION("GOOGLETRANSLATE(E53,""en"",""ur"")"),"فوجی وردی")</f>
        <v>فوجی وردی</v>
      </c>
      <c r="P53" s="2" t="str">
        <f>IFERROR(__xludf.DUMMYFUNCTION("GOOGLETRANSLATE(F53,""en"",""ur"")"),"ہیلمٹ کے ساتھ جدید کھیلوں کی وردی")</f>
        <v>ہیلمٹ کے ساتھ جدید کھیلوں کی وردی</v>
      </c>
      <c r="Q53" s="2" t="s">
        <v>1045</v>
      </c>
      <c r="R53" s="2" t="str">
        <f>IFERROR(__xludf.DUMMYFUNCTION("GOOGLETRANSLATE(G53,""en"",""ur"")"),"ہیلمٹ کے ساتھ جدید کھیلوں کی وردی")</f>
        <v>ہیلمٹ کے ساتھ جدید کھیلوں کی وردی</v>
      </c>
      <c r="S53" s="6" t="s">
        <v>1054</v>
      </c>
    </row>
    <row r="54">
      <c r="A54" s="7">
        <v>53.0</v>
      </c>
      <c r="B54" s="6" t="s">
        <v>969</v>
      </c>
      <c r="C54" s="6" t="s">
        <v>970</v>
      </c>
      <c r="D54" s="6" t="s">
        <v>971</v>
      </c>
      <c r="E54" s="6" t="s">
        <v>972</v>
      </c>
      <c r="F54" s="6" t="s">
        <v>973</v>
      </c>
      <c r="G54" s="6" t="s">
        <v>972</v>
      </c>
      <c r="H54" s="6" t="s">
        <v>1054</v>
      </c>
      <c r="K54" s="2" t="str">
        <f>IFERROR(__xludf.DUMMYFUNCTION("GOOGLETRANSLATE(A54,""en"",""ur"")"),"53")</f>
        <v>53</v>
      </c>
      <c r="L54" s="2" t="str">
        <f>IFERROR(__xludf.DUMMYFUNCTION("GOOGLETRANSLATE(B54,""en"",""ur"")"),"سوار نے جو لمبی چھڑی پکڑی ہوئی ہے اس کا ظاہری مقصد کیا ہے؟")</f>
        <v>سوار نے جو لمبی چھڑی پکڑی ہوئی ہے اس کا ظاہری مقصد کیا ہے؟</v>
      </c>
      <c r="M54" s="2" t="str">
        <f>IFERROR(__xludf.DUMMYFUNCTION("GOOGLETRANSLATE(C54,""en"",""ur"")"),"گھوڑے کی رہنمائی کے لیے")</f>
        <v>گھوڑے کی رہنمائی کے لیے</v>
      </c>
      <c r="N54" s="2" t="str">
        <f>IFERROR(__xludf.DUMMYFUNCTION("GOOGLETRANSLATE(D54,""en"",""ur"")"),"توازن کے لیے زمین سے ٹکرانا")</f>
        <v>توازن کے لیے زمین سے ٹکرانا</v>
      </c>
      <c r="O54" s="2" t="str">
        <f>IFERROR(__xludf.DUMMYFUNCTION("GOOGLETRANSLATE(E54,""en"",""ur"")"),"زمین پر چھوٹے اہداف کو نشانہ بنانا")</f>
        <v>زمین پر چھوٹے اہداف کو نشانہ بنانا</v>
      </c>
      <c r="P54" s="2" t="str">
        <f>IFERROR(__xludf.DUMMYFUNCTION("GOOGLETRANSLATE(F54,""en"",""ur"")"),"بطور ہتھیار استعمال کرنا")</f>
        <v>بطور ہتھیار استعمال کرنا</v>
      </c>
      <c r="Q54" s="2" t="s">
        <v>974</v>
      </c>
      <c r="R54" s="2" t="str">
        <f>IFERROR(__xludf.DUMMYFUNCTION("GOOGLETRANSLATE(G54,""en"",""ur"")"),"زمین پر چھوٹے اہداف کو نشانہ بنانا")</f>
        <v>زمین پر چھوٹے اہداف کو نشانہ بنانا</v>
      </c>
      <c r="S54" s="6" t="s">
        <v>1054</v>
      </c>
    </row>
    <row r="55">
      <c r="A55" s="7">
        <v>54.0</v>
      </c>
      <c r="B55" s="6" t="s">
        <v>310</v>
      </c>
      <c r="C55" s="6" t="s">
        <v>429</v>
      </c>
      <c r="D55" s="6" t="s">
        <v>975</v>
      </c>
      <c r="E55" s="6" t="s">
        <v>976</v>
      </c>
      <c r="F55" s="6" t="s">
        <v>977</v>
      </c>
      <c r="G55" s="6" t="s">
        <v>975</v>
      </c>
      <c r="H55" s="6" t="s">
        <v>1054</v>
      </c>
      <c r="K55" s="2" t="str">
        <f>IFERROR(__xludf.DUMMYFUNCTION("GOOGLETRANSLATE(A55,""en"",""ur"")"),"54")</f>
        <v>54</v>
      </c>
      <c r="L55" s="2" t="str">
        <f>IFERROR(__xludf.DUMMYFUNCTION("GOOGLETRANSLATE(B55,""en"",""ur"")"),"سوار کی ظاہری باڈی پوزیشن کیا ہے؟")</f>
        <v>سوار کی ظاہری باڈی پوزیشن کیا ہے؟</v>
      </c>
      <c r="M55" s="2" t="str">
        <f>IFERROR(__xludf.DUMMYFUNCTION("GOOGLETRANSLATE(C55,""en"",""ur"")"),"سیدھا کھڑا ہونا")</f>
        <v>سیدھا کھڑا ہونا</v>
      </c>
      <c r="N55" s="2" t="str">
        <f>IFERROR(__xludf.DUMMYFUNCTION("GOOGLETRANSLATE(D55,""en"",""ur"")"),"نیچے اور طرف جھکنا")</f>
        <v>نیچے اور طرف جھکنا</v>
      </c>
      <c r="O55" s="2" t="str">
        <f>IFERROR(__xludf.DUMMYFUNCTION("GOOGLETRANSLATE(E55,""en"",""ur"")"),"گھوڑے کی پیٹھ پر لیٹنا")</f>
        <v>گھوڑے کی پیٹھ پر لیٹنا</v>
      </c>
      <c r="P55" s="2" t="str">
        <f>IFERROR(__xludf.DUMMYFUNCTION("GOOGLETRANSLATE(F55,""en"",""ur"")"),"آرام سے بیٹھ گیا۔")</f>
        <v>آرام سے بیٹھ گیا۔</v>
      </c>
      <c r="Q55" s="2" t="s">
        <v>978</v>
      </c>
      <c r="R55" s="2" t="str">
        <f>IFERROR(__xludf.DUMMYFUNCTION("GOOGLETRANSLATE(G55,""en"",""ur"")"),"نیچے اور طرف جھکنا")</f>
        <v>نیچے اور طرف جھکنا</v>
      </c>
      <c r="S55" s="6" t="s">
        <v>1054</v>
      </c>
    </row>
    <row r="56">
      <c r="A56" s="7">
        <v>55.0</v>
      </c>
      <c r="B56" s="6" t="s">
        <v>979</v>
      </c>
      <c r="C56" s="6" t="s">
        <v>980</v>
      </c>
      <c r="D56" s="6" t="s">
        <v>981</v>
      </c>
      <c r="E56" s="6" t="s">
        <v>982</v>
      </c>
      <c r="F56" s="6" t="s">
        <v>983</v>
      </c>
      <c r="G56" s="6" t="s">
        <v>982</v>
      </c>
      <c r="H56" s="6" t="s">
        <v>1054</v>
      </c>
      <c r="K56" s="2" t="str">
        <f>IFERROR(__xludf.DUMMYFUNCTION("GOOGLETRANSLATE(A56,""en"",""ur"")"),"55")</f>
        <v>55</v>
      </c>
      <c r="L56" s="2" t="str">
        <f>IFERROR(__xludf.DUMMYFUNCTION("GOOGLETRANSLATE(B56,""en"",""ur"")"),"گھوڑے کے پیچھے زمین کی ظاہری حالت کیا ہے؟")</f>
        <v>گھوڑے کے پیچھے زمین کی ظاہری حالت کیا ہے؟</v>
      </c>
      <c r="M56" s="2" t="str">
        <f>IFERROR(__xludf.DUMMYFUNCTION("GOOGLETRANSLATE(C56,""en"",""ur"")"),"بالکل ہموار")</f>
        <v>بالکل ہموار</v>
      </c>
      <c r="N56" s="2" t="str">
        <f>IFERROR(__xludf.DUMMYFUNCTION("GOOGLETRANSLATE(D56,""en"",""ur"")"),"تازہ گھاس میں ڈھکا ہوا ہے۔")</f>
        <v>تازہ گھاس میں ڈھکا ہوا ہے۔</v>
      </c>
      <c r="O56" s="2" t="str">
        <f>IFERROR(__xludf.DUMMYFUNCTION("GOOGLETRANSLATE(E56,""en"",""ur"")"),"غبار کے بادل میں اُٹھ گیا۔")</f>
        <v>غبار کے بادل میں اُٹھ گیا۔</v>
      </c>
      <c r="P56" s="2" t="str">
        <f>IFERROR(__xludf.DUMMYFUNCTION("GOOGLETRANSLATE(F56,""en"",""ur"")"),"پانی سے بھرا ہوا ۔")</f>
        <v>پانی سے بھرا ہوا ۔</v>
      </c>
      <c r="Q56" s="2" t="s">
        <v>984</v>
      </c>
      <c r="R56" s="2" t="str">
        <f>IFERROR(__xludf.DUMMYFUNCTION("GOOGLETRANSLATE(G56,""en"",""ur"")"),"غبار کے بادل میں اُٹھ گیا۔")</f>
        <v>غبار کے بادل میں اُٹھ گیا۔</v>
      </c>
      <c r="S56" s="6" t="s">
        <v>1054</v>
      </c>
    </row>
    <row r="57">
      <c r="A57" s="7">
        <v>56.0</v>
      </c>
      <c r="B57" s="6" t="s">
        <v>985</v>
      </c>
      <c r="C57" s="6" t="s">
        <v>986</v>
      </c>
      <c r="D57" s="6" t="s">
        <v>987</v>
      </c>
      <c r="E57" s="6" t="s">
        <v>988</v>
      </c>
      <c r="F57" s="6" t="s">
        <v>989</v>
      </c>
      <c r="G57" s="6" t="s">
        <v>986</v>
      </c>
      <c r="H57" s="6" t="s">
        <v>1054</v>
      </c>
      <c r="K57" s="2" t="str">
        <f>IFERROR(__xludf.DUMMYFUNCTION("GOOGLETRANSLATE(A57,""en"",""ur"")"),"56")</f>
        <v>56</v>
      </c>
      <c r="L57" s="2" t="str">
        <f>IFERROR(__xludf.DUMMYFUNCTION("GOOGLETRANSLATE(B57,""en"",""ur"")"),"گھوڑے کے ٹیک کی سب سے نمایاں خصوصیت کیا ہے؟")</f>
        <v>گھوڑے کے ٹیک کی سب سے نمایاں خصوصیت کیا ہے؟</v>
      </c>
      <c r="M57" s="2" t="str">
        <f>IFERROR(__xludf.DUMMYFUNCTION("GOOGLETRANSLATE(C57,""en"",""ur"")"),"یہ ایک سادہ سی کاٹھی ہے۔")</f>
        <v>یہ ایک سادہ سی کاٹھی ہے۔</v>
      </c>
      <c r="N57" s="2" t="str">
        <f>IFERROR(__xludf.DUMMYFUNCTION("GOOGLETRANSLATE(D57,""en"",""ur"")"),"یہ نیلے رنگ کے زیورات کے ساتھ ایک انتہائی آرائشی کاٹھی ہے۔")</f>
        <v>یہ نیلے رنگ کے زیورات کے ساتھ ایک انتہائی آرائشی کاٹھی ہے۔</v>
      </c>
      <c r="O57" s="2" t="str">
        <f>IFERROR(__xludf.DUMMYFUNCTION("GOOGLETRANSLATE(E57,""en"",""ur"")"),"یہ ایک ننگا پیڈ ہے۔")</f>
        <v>یہ ایک ننگا پیڈ ہے۔</v>
      </c>
      <c r="P57" s="2" t="str">
        <f>IFERROR(__xludf.DUMMYFUNCTION("GOOGLETRANSLATE(F57,""en"",""ur"")"),"یہ ایک ریسنگ سیڈل ہے۔")</f>
        <v>یہ ایک ریسنگ سیڈل ہے۔</v>
      </c>
      <c r="Q57" s="2" t="s">
        <v>990</v>
      </c>
      <c r="R57" s="2" t="str">
        <f>IFERROR(__xludf.DUMMYFUNCTION("GOOGLETRANSLATE(G57,""en"",""ur"")"),"یہ ایک سادہ سی کاٹھی ہے۔")</f>
        <v>یہ ایک سادہ سی کاٹھی ہے۔</v>
      </c>
      <c r="S57" s="6" t="s">
        <v>1054</v>
      </c>
    </row>
    <row r="58">
      <c r="A58" s="7">
        <v>57.0</v>
      </c>
      <c r="B58" s="6" t="s">
        <v>991</v>
      </c>
      <c r="C58" s="6" t="s">
        <v>992</v>
      </c>
      <c r="D58" s="6" t="s">
        <v>646</v>
      </c>
      <c r="E58" s="6" t="s">
        <v>1051</v>
      </c>
      <c r="F58" s="6" t="s">
        <v>425</v>
      </c>
      <c r="G58" s="6" t="s">
        <v>1051</v>
      </c>
      <c r="H58" s="6" t="s">
        <v>1054</v>
      </c>
      <c r="K58" s="2" t="str">
        <f>IFERROR(__xludf.DUMMYFUNCTION("GOOGLETRANSLATE(A58,""en"",""ur"")"),"57")</f>
        <v>57</v>
      </c>
      <c r="L58" s="2" t="str">
        <f>IFERROR(__xludf.DUMMYFUNCTION("GOOGLETRANSLATE(B58,""en"",""ur"")"),"واقعہ کی ظاہری ترتیب کیا ہے؟")</f>
        <v>واقعہ کی ظاہری ترتیب کیا ہے؟</v>
      </c>
      <c r="M58" s="2" t="str">
        <f>IFERROR(__xludf.DUMMYFUNCTION("GOOGLETRANSLATE(C58,""en"",""ur"")"),"ایک اندرونی میدان")</f>
        <v>ایک اندرونی میدان</v>
      </c>
      <c r="N58" s="2" t="str">
        <f>IFERROR(__xludf.DUMMYFUNCTION("GOOGLETRANSLATE(D58,""en"",""ur"")"),"شہر کی ایک گلی")</f>
        <v>شہر کی ایک گلی</v>
      </c>
      <c r="O58" s="2" t="str">
        <f>IFERROR(__xludf.DUMMYFUNCTION("GOOGLETRANSLATE(E58,""en"",""ur"")"),"تماشائیوں کے ساتھ ایک بیرونی گندگی کا ٹریک")</f>
        <v>تماشائیوں کے ساتھ ایک بیرونی گندگی کا ٹریک</v>
      </c>
      <c r="P58" s="2" t="str">
        <f>IFERROR(__xludf.DUMMYFUNCTION("GOOGLETRANSLATE(F58,""en"",""ur"")"),"گھاس کا میدان")</f>
        <v>گھاس کا میدان</v>
      </c>
      <c r="Q58" s="2" t="s">
        <v>1052</v>
      </c>
      <c r="R58" s="2" t="str">
        <f>IFERROR(__xludf.DUMMYFUNCTION("GOOGLETRANSLATE(G58,""en"",""ur"")"),"تماشائیوں کے ساتھ ایک بیرونی گندگی کا ٹریک")</f>
        <v>تماشائیوں کے ساتھ ایک بیرونی گندگی کا ٹریک</v>
      </c>
      <c r="S58" s="6" t="s">
        <v>1054</v>
      </c>
    </row>
    <row r="59">
      <c r="A59" s="7">
        <v>58.0</v>
      </c>
      <c r="B59" s="6" t="s">
        <v>1036</v>
      </c>
      <c r="C59" s="6" t="s">
        <v>95</v>
      </c>
      <c r="D59" s="6" t="s">
        <v>96</v>
      </c>
      <c r="E59" s="6" t="s">
        <v>1015</v>
      </c>
      <c r="F59" s="6" t="s">
        <v>258</v>
      </c>
      <c r="G59" s="6" t="s">
        <v>1015</v>
      </c>
      <c r="H59" s="6" t="s">
        <v>1054</v>
      </c>
      <c r="K59" s="2" t="str">
        <f>IFERROR(__xludf.DUMMYFUNCTION("GOOGLETRANSLATE(A59,""en"",""ur"")"),"58")</f>
        <v>58</v>
      </c>
      <c r="L59" s="2" t="str">
        <f>IFERROR(__xludf.DUMMYFUNCTION("GOOGLETRANSLATE(B59,""en"",""ur"")"),"کھیل کا نام کیا ہے؟")</f>
        <v>کھیل کا نام کیا ہے؟</v>
      </c>
      <c r="M59" s="2" t="str">
        <f>IFERROR(__xludf.DUMMYFUNCTION("GOOGLETRANSLATE(C59,""en"",""ur"")"),"پولو")</f>
        <v>پولو</v>
      </c>
      <c r="N59" s="2" t="str">
        <f>IFERROR(__xludf.DUMMYFUNCTION("GOOGLETRANSLATE(D59,""en"",""ur"")"),"گھوڑوں کی دوڑ")</f>
        <v>گھوڑوں کی دوڑ</v>
      </c>
      <c r="O59" s="2" t="str">
        <f>IFERROR(__xludf.DUMMYFUNCTION("GOOGLETRANSLATE(E59,""en"",""ur"")"),"ٹینٹ پیگنگ")</f>
        <v>ٹینٹ پیگنگ</v>
      </c>
      <c r="P59" s="2" t="str">
        <f>IFERROR(__xludf.DUMMYFUNCTION("GOOGLETRANSLATE(F59,""en"",""ur"")"),"گھڑ سواری کے کھیل")</f>
        <v>گھڑ سواری کے کھیل</v>
      </c>
      <c r="Q59" s="2" t="s">
        <v>1016</v>
      </c>
      <c r="R59" s="2" t="str">
        <f>IFERROR(__xludf.DUMMYFUNCTION("GOOGLETRANSLATE(G59,""en"",""ur"")"),"ٹینٹ پیگنگ")</f>
        <v>ٹینٹ پیگنگ</v>
      </c>
      <c r="S59" s="6" t="s">
        <v>1054</v>
      </c>
    </row>
    <row r="60">
      <c r="A60" s="7">
        <v>59.0</v>
      </c>
      <c r="B60" s="6" t="s">
        <v>316</v>
      </c>
      <c r="C60" s="6" t="s">
        <v>47</v>
      </c>
      <c r="D60" s="6" t="s">
        <v>48</v>
      </c>
      <c r="E60" s="6" t="s">
        <v>49</v>
      </c>
      <c r="F60" s="6" t="s">
        <v>50</v>
      </c>
      <c r="G60" s="6" t="s">
        <v>49</v>
      </c>
      <c r="H60" s="6" t="s">
        <v>1054</v>
      </c>
      <c r="K60" s="2" t="str">
        <f>IFERROR(__xludf.DUMMYFUNCTION("GOOGLETRANSLATE(A60,""en"",""ur"")"),"59")</f>
        <v>59</v>
      </c>
      <c r="L60" s="2" t="str">
        <f>IFERROR(__xludf.DUMMYFUNCTION("GOOGLETRANSLATE(B60,""en"",""ur"")"),"سوار کے چہرے سے ظاہری جذبات کیا ہیں؟")</f>
        <v>سوار کے چہرے سے ظاہری جذبات کیا ہیں؟</v>
      </c>
      <c r="M60" s="2" t="str">
        <f>IFERROR(__xludf.DUMMYFUNCTION("GOOGLETRANSLATE(C60,""en"",""ur"")"),"پرسکون اور پر سکون")</f>
        <v>پرسکون اور پر سکون</v>
      </c>
      <c r="N60" s="2" t="str">
        <f>IFERROR(__xludf.DUMMYFUNCTION("GOOGLETRANSLATE(D60,""en"",""ur"")"),"خوف زدہ اور بے چین")</f>
        <v>خوف زدہ اور بے چین</v>
      </c>
      <c r="O60" s="2" t="str">
        <f>IFERROR(__xludf.DUMMYFUNCTION("GOOGLETRANSLATE(E60,""en"",""ur"")"),"کشیدہ اور شدید")</f>
        <v>کشیدہ اور شدید</v>
      </c>
      <c r="P60" s="2" t="str">
        <f>IFERROR(__xludf.DUMMYFUNCTION("GOOGLETRANSLATE(F60,""en"",""ur"")"),"خوش اور مسکراتے ہوئے۔")</f>
        <v>خوش اور مسکراتے ہوئے۔</v>
      </c>
      <c r="Q60" s="2" t="s">
        <v>51</v>
      </c>
      <c r="R60" s="2" t="str">
        <f>IFERROR(__xludf.DUMMYFUNCTION("GOOGLETRANSLATE(G60,""en"",""ur"")"),"کشیدہ اور شدید")</f>
        <v>کشیدہ اور شدید</v>
      </c>
      <c r="S60" s="6" t="s">
        <v>1054</v>
      </c>
    </row>
    <row r="61">
      <c r="A61" s="7">
        <v>60.0</v>
      </c>
      <c r="B61" s="6" t="s">
        <v>260</v>
      </c>
      <c r="C61" s="6" t="s">
        <v>261</v>
      </c>
      <c r="D61" s="6" t="s">
        <v>262</v>
      </c>
      <c r="E61" s="6" t="s">
        <v>263</v>
      </c>
      <c r="F61" s="6" t="s">
        <v>1001</v>
      </c>
      <c r="G61" s="6" t="s">
        <v>1001</v>
      </c>
      <c r="H61" s="6" t="s">
        <v>1054</v>
      </c>
      <c r="K61" s="2" t="str">
        <f>IFERROR(__xludf.DUMMYFUNCTION("GOOGLETRANSLATE(A61,""en"",""ur"")"),"60")</f>
        <v>60</v>
      </c>
      <c r="L61" s="2" t="str">
        <f>IFERROR(__xludf.DUMMYFUNCTION("GOOGLETRANSLATE(B61,""en"",""ur"")"),"تصویر میں ایکشن ایک ایسا انداز تجویز کرتا ہے جو اس بات پر زور دیتا ہے...")</f>
        <v>تصویر میں ایکشن ایک ایسا انداز تجویز کرتا ہے جو اس بات پر زور دیتا ہے...</v>
      </c>
      <c r="M61" s="2" t="str">
        <f>IFERROR(__xludf.DUMMYFUNCTION("GOOGLETRANSLATE(C61,""en"",""ur"")"),"روانی اور قلابازیاں")</f>
        <v>روانی اور قلابازیاں</v>
      </c>
      <c r="N61" s="2" t="str">
        <f>IFERROR(__xludf.DUMMYFUNCTION("GOOGLETRANSLATE(D61,""en"",""ur"")"),"زمینی لڑائی اور گرفت")</f>
        <v>زمینی لڑائی اور گرفت</v>
      </c>
      <c r="O61" s="2" t="str">
        <f>IFERROR(__xludf.DUMMYFUNCTION("GOOGLETRANSLATE(E61,""en"",""ur"")"),"وحشیانہ قوت اور گھڑ سواری۔")</f>
        <v>وحشیانہ قوت اور گھڑ سواری۔</v>
      </c>
      <c r="P61" s="2" t="str">
        <f>IFERROR(__xludf.DUMMYFUNCTION("GOOGLETRANSLATE(F61,""en"",""ur"")"),"رفتار، درستگی اور چستی")</f>
        <v>رفتار، درستگی اور چستی</v>
      </c>
      <c r="Q61" s="2" t="s">
        <v>1002</v>
      </c>
      <c r="R61" s="2" t="str">
        <f>IFERROR(__xludf.DUMMYFUNCTION("GOOGLETRANSLATE(G61,""en"",""ur"")"),"رفتار، درستگی اور چستی")</f>
        <v>رفتار، درستگی اور چستی</v>
      </c>
      <c r="S61" s="6" t="s">
        <v>1054</v>
      </c>
    </row>
    <row r="62">
      <c r="A62" s="7">
        <v>61.0</v>
      </c>
      <c r="B62" s="6" t="s">
        <v>1055</v>
      </c>
      <c r="C62" s="6" t="s">
        <v>958</v>
      </c>
      <c r="D62" s="6" t="s">
        <v>959</v>
      </c>
      <c r="E62" s="6" t="s">
        <v>960</v>
      </c>
      <c r="F62" s="6" t="s">
        <v>961</v>
      </c>
      <c r="G62" s="6" t="s">
        <v>959</v>
      </c>
      <c r="H62" s="6" t="s">
        <v>1056</v>
      </c>
      <c r="K62" s="2" t="str">
        <f>IFERROR(__xludf.DUMMYFUNCTION("GOOGLETRANSLATE(A62,""en"",""ur"")"),"61")</f>
        <v>61</v>
      </c>
      <c r="L62" s="2" t="str">
        <f>IFERROR(__xludf.DUMMYFUNCTION("GOOGLETRANSLATE(B62,""en"",""ur"")"),"tent_pegging_32 میں دکھائی جانے والی اہم کارروائی کیا ہے؟")</f>
        <v>tent_pegging_32 میں دکھائی جانے والی اہم کارروائی کیا ہے؟</v>
      </c>
      <c r="M62" s="2" t="str">
        <f>IFERROR(__xludf.DUMMYFUNCTION("GOOGLETRANSLATE(C62,""en"",""ur"")"),"گھوڑے کی پیٹھ پر کرتب دکھاتے ہوئے سوار")</f>
        <v>گھوڑے کی پیٹھ پر کرتب دکھاتے ہوئے سوار</v>
      </c>
      <c r="N62" s="2" t="str">
        <f>IFERROR(__xludf.DUMMYFUNCTION("GOOGLETRANSLATE(D62,""en"",""ur"")"),"ٹینٹ پیگنگ ایونٹ میں مقابلہ کرنے والا سوار")</f>
        <v>ٹینٹ پیگنگ ایونٹ میں مقابلہ کرنے والا سوار</v>
      </c>
      <c r="O62" s="2" t="str">
        <f>IFERROR(__xludf.DUMMYFUNCTION("GOOGLETRANSLATE(E62,""en"",""ur"")"),"گھوڑوں کی دوڑ میں سوار")</f>
        <v>گھوڑوں کی دوڑ میں سوار</v>
      </c>
      <c r="P62" s="2" t="str">
        <f>IFERROR(__xludf.DUMMYFUNCTION("GOOGLETRANSLATE(F62,""en"",""ur"")"),"ایک سوار پریڈ کی قیادت کر رہا ہے۔")</f>
        <v>ایک سوار پریڈ کی قیادت کر رہا ہے۔</v>
      </c>
      <c r="Q62" s="2" t="s">
        <v>1029</v>
      </c>
      <c r="R62" s="2" t="str">
        <f>IFERROR(__xludf.DUMMYFUNCTION("GOOGLETRANSLATE(G62,""en"",""ur"")"),"ٹینٹ پیگنگ ایونٹ میں مقابلہ کرنے والا سوار")</f>
        <v>ٹینٹ پیگنگ ایونٹ میں مقابلہ کرنے والا سوار</v>
      </c>
      <c r="S62" s="6" t="s">
        <v>1056</v>
      </c>
    </row>
    <row r="63">
      <c r="A63" s="7">
        <v>62.0</v>
      </c>
      <c r="B63" s="6" t="s">
        <v>963</v>
      </c>
      <c r="C63" s="6" t="s">
        <v>964</v>
      </c>
      <c r="D63" s="6" t="s">
        <v>965</v>
      </c>
      <c r="E63" s="6" t="s">
        <v>966</v>
      </c>
      <c r="F63" s="6" t="s">
        <v>967</v>
      </c>
      <c r="G63" s="6" t="s">
        <v>965</v>
      </c>
      <c r="H63" s="6" t="s">
        <v>1056</v>
      </c>
      <c r="K63" s="2" t="str">
        <f>IFERROR(__xludf.DUMMYFUNCTION("GOOGLETRANSLATE(A63,""en"",""ur"")"),"62")</f>
        <v>62</v>
      </c>
      <c r="L63" s="2" t="str">
        <f>IFERROR(__xludf.DUMMYFUNCTION("GOOGLETRANSLATE(B63,""en"",""ur"")"),"سوار کے لباس کے بارے میں ایک قابل ذکر تفصیل کیا ہے؟")</f>
        <v>سوار کے لباس کے بارے میں ایک قابل ذکر تفصیل کیا ہے؟</v>
      </c>
      <c r="M63" s="2" t="str">
        <f>IFERROR(__xludf.DUMMYFUNCTION("GOOGLETRANSLATE(C63,""en"",""ur"")"),"ایک رسمی سوٹ اور ٹائی")</f>
        <v>ایک رسمی سوٹ اور ٹائی</v>
      </c>
      <c r="N63" s="2" t="str">
        <f>IFERROR(__xludf.DUMMYFUNCTION("GOOGLETRANSLATE(D63,""en"",""ur"")"),"نیلی پگڑی اور بنیان والا سفید روایتی لباس")</f>
        <v>نیلی پگڑی اور بنیان والا سفید روایتی لباس</v>
      </c>
      <c r="O63" s="2" t="str">
        <f>IFERROR(__xludf.DUMMYFUNCTION("GOOGLETRANSLATE(E63,""en"",""ur"")"),"فوجی وردی")</f>
        <v>فوجی وردی</v>
      </c>
      <c r="P63" s="2" t="str">
        <f>IFERROR(__xludf.DUMMYFUNCTION("GOOGLETRANSLATE(F63,""en"",""ur"")"),"ایک جدید کھیلوں کا یونیفارم")</f>
        <v>ایک جدید کھیلوں کا یونیفارم</v>
      </c>
      <c r="Q63" s="2" t="s">
        <v>968</v>
      </c>
      <c r="R63" s="2" t="str">
        <f>IFERROR(__xludf.DUMMYFUNCTION("GOOGLETRANSLATE(G63,""en"",""ur"")"),"نیلی پگڑی اور بنیان والا سفید روایتی لباس")</f>
        <v>نیلی پگڑی اور بنیان والا سفید روایتی لباس</v>
      </c>
      <c r="S63" s="6" t="s">
        <v>1056</v>
      </c>
    </row>
    <row r="64">
      <c r="A64" s="7">
        <v>63.0</v>
      </c>
      <c r="B64" s="6" t="s">
        <v>969</v>
      </c>
      <c r="C64" s="6" t="s">
        <v>970</v>
      </c>
      <c r="D64" s="6" t="s">
        <v>971</v>
      </c>
      <c r="E64" s="6" t="s">
        <v>972</v>
      </c>
      <c r="F64" s="6" t="s">
        <v>973</v>
      </c>
      <c r="G64" s="6" t="s">
        <v>972</v>
      </c>
      <c r="H64" s="6" t="s">
        <v>1056</v>
      </c>
      <c r="K64" s="2" t="str">
        <f>IFERROR(__xludf.DUMMYFUNCTION("GOOGLETRANSLATE(A64,""en"",""ur"")"),"63")</f>
        <v>63</v>
      </c>
      <c r="L64" s="2" t="str">
        <f>IFERROR(__xludf.DUMMYFUNCTION("GOOGLETRANSLATE(B64,""en"",""ur"")"),"سوار نے جو لمبی چھڑی پکڑی ہوئی ہے اس کا ظاہری مقصد کیا ہے؟")</f>
        <v>سوار نے جو لمبی چھڑی پکڑی ہوئی ہے اس کا ظاہری مقصد کیا ہے؟</v>
      </c>
      <c r="M64" s="2" t="str">
        <f>IFERROR(__xludf.DUMMYFUNCTION("GOOGLETRANSLATE(C64,""en"",""ur"")"),"گھوڑے کی رہنمائی کے لیے")</f>
        <v>گھوڑے کی رہنمائی کے لیے</v>
      </c>
      <c r="N64" s="2" t="str">
        <f>IFERROR(__xludf.DUMMYFUNCTION("GOOGLETRANSLATE(D64,""en"",""ur"")"),"توازن کے لیے زمین سے ٹکرانا")</f>
        <v>توازن کے لیے زمین سے ٹکرانا</v>
      </c>
      <c r="O64" s="2" t="str">
        <f>IFERROR(__xludf.DUMMYFUNCTION("GOOGLETRANSLATE(E64,""en"",""ur"")"),"زمین پر چھوٹے اہداف کو نشانہ بنانا")</f>
        <v>زمین پر چھوٹے اہداف کو نشانہ بنانا</v>
      </c>
      <c r="P64" s="2" t="str">
        <f>IFERROR(__xludf.DUMMYFUNCTION("GOOGLETRANSLATE(F64,""en"",""ur"")"),"بطور ہتھیار استعمال کرنا")</f>
        <v>بطور ہتھیار استعمال کرنا</v>
      </c>
      <c r="Q64" s="2" t="s">
        <v>974</v>
      </c>
      <c r="R64" s="2" t="str">
        <f>IFERROR(__xludf.DUMMYFUNCTION("GOOGLETRANSLATE(G64,""en"",""ur"")"),"زمین پر چھوٹے اہداف کو نشانہ بنانا")</f>
        <v>زمین پر چھوٹے اہداف کو نشانہ بنانا</v>
      </c>
      <c r="S64" s="6" t="s">
        <v>1056</v>
      </c>
    </row>
    <row r="65">
      <c r="A65" s="7">
        <v>64.0</v>
      </c>
      <c r="B65" s="6" t="s">
        <v>310</v>
      </c>
      <c r="C65" s="6" t="s">
        <v>429</v>
      </c>
      <c r="D65" s="6" t="s">
        <v>975</v>
      </c>
      <c r="E65" s="6" t="s">
        <v>976</v>
      </c>
      <c r="F65" s="6" t="s">
        <v>977</v>
      </c>
      <c r="G65" s="6" t="s">
        <v>975</v>
      </c>
      <c r="H65" s="6" t="s">
        <v>1056</v>
      </c>
      <c r="K65" s="2" t="str">
        <f>IFERROR(__xludf.DUMMYFUNCTION("GOOGLETRANSLATE(A65,""en"",""ur"")"),"64")</f>
        <v>64</v>
      </c>
      <c r="L65" s="2" t="str">
        <f>IFERROR(__xludf.DUMMYFUNCTION("GOOGLETRANSLATE(B65,""en"",""ur"")"),"سوار کی ظاہری باڈی پوزیشن کیا ہے؟")</f>
        <v>سوار کی ظاہری باڈی پوزیشن کیا ہے؟</v>
      </c>
      <c r="M65" s="2" t="str">
        <f>IFERROR(__xludf.DUMMYFUNCTION("GOOGLETRANSLATE(C65,""en"",""ur"")"),"سیدھا کھڑا ہونا")</f>
        <v>سیدھا کھڑا ہونا</v>
      </c>
      <c r="N65" s="2" t="str">
        <f>IFERROR(__xludf.DUMMYFUNCTION("GOOGLETRANSLATE(D65,""en"",""ur"")"),"نیچے اور طرف جھکنا")</f>
        <v>نیچے اور طرف جھکنا</v>
      </c>
      <c r="O65" s="2" t="str">
        <f>IFERROR(__xludf.DUMMYFUNCTION("GOOGLETRANSLATE(E65,""en"",""ur"")"),"گھوڑے کی پیٹھ پر لیٹنا")</f>
        <v>گھوڑے کی پیٹھ پر لیٹنا</v>
      </c>
      <c r="P65" s="2" t="str">
        <f>IFERROR(__xludf.DUMMYFUNCTION("GOOGLETRANSLATE(F65,""en"",""ur"")"),"آرام سے بیٹھ گیا۔")</f>
        <v>آرام سے بیٹھ گیا۔</v>
      </c>
      <c r="Q65" s="2" t="s">
        <v>978</v>
      </c>
      <c r="R65" s="2" t="str">
        <f>IFERROR(__xludf.DUMMYFUNCTION("GOOGLETRANSLATE(G65,""en"",""ur"")"),"نیچے اور طرف جھکنا")</f>
        <v>نیچے اور طرف جھکنا</v>
      </c>
      <c r="S65" s="6" t="s">
        <v>1056</v>
      </c>
    </row>
    <row r="66">
      <c r="A66" s="7">
        <v>65.0</v>
      </c>
      <c r="B66" s="6" t="s">
        <v>979</v>
      </c>
      <c r="C66" s="6" t="s">
        <v>980</v>
      </c>
      <c r="D66" s="6" t="s">
        <v>981</v>
      </c>
      <c r="E66" s="6" t="s">
        <v>982</v>
      </c>
      <c r="F66" s="6" t="s">
        <v>983</v>
      </c>
      <c r="G66" s="6" t="s">
        <v>982</v>
      </c>
      <c r="H66" s="6" t="s">
        <v>1056</v>
      </c>
      <c r="K66" s="2" t="str">
        <f>IFERROR(__xludf.DUMMYFUNCTION("GOOGLETRANSLATE(A66,""en"",""ur"")"),"65")</f>
        <v>65</v>
      </c>
      <c r="L66" s="2" t="str">
        <f>IFERROR(__xludf.DUMMYFUNCTION("GOOGLETRANSLATE(B66,""en"",""ur"")"),"گھوڑے کے پیچھے زمین کی ظاہری حالت کیا ہے؟")</f>
        <v>گھوڑے کے پیچھے زمین کی ظاہری حالت کیا ہے؟</v>
      </c>
      <c r="M66" s="2" t="str">
        <f>IFERROR(__xludf.DUMMYFUNCTION("GOOGLETRANSLATE(C66,""en"",""ur"")"),"بالکل ہموار")</f>
        <v>بالکل ہموار</v>
      </c>
      <c r="N66" s="2" t="str">
        <f>IFERROR(__xludf.DUMMYFUNCTION("GOOGLETRANSLATE(D66,""en"",""ur"")"),"تازہ گھاس میں ڈھکا ہوا ہے۔")</f>
        <v>تازہ گھاس میں ڈھکا ہوا ہے۔</v>
      </c>
      <c r="O66" s="2" t="str">
        <f>IFERROR(__xludf.DUMMYFUNCTION("GOOGLETRANSLATE(E66,""en"",""ur"")"),"غبار کے بادل میں اُٹھ گیا۔")</f>
        <v>غبار کے بادل میں اُٹھ گیا۔</v>
      </c>
      <c r="P66" s="2" t="str">
        <f>IFERROR(__xludf.DUMMYFUNCTION("GOOGLETRANSLATE(F66,""en"",""ur"")"),"پانی سے بھرا ہوا ۔")</f>
        <v>پانی سے بھرا ہوا ۔</v>
      </c>
      <c r="Q66" s="2" t="s">
        <v>984</v>
      </c>
      <c r="R66" s="2" t="str">
        <f>IFERROR(__xludf.DUMMYFUNCTION("GOOGLETRANSLATE(G66,""en"",""ur"")"),"غبار کے بادل میں اُٹھ گیا۔")</f>
        <v>غبار کے بادل میں اُٹھ گیا۔</v>
      </c>
      <c r="S66" s="6" t="s">
        <v>1056</v>
      </c>
    </row>
    <row r="67">
      <c r="A67" s="7">
        <v>66.0</v>
      </c>
      <c r="B67" s="6" t="s">
        <v>985</v>
      </c>
      <c r="C67" s="6" t="s">
        <v>986</v>
      </c>
      <c r="D67" s="6" t="s">
        <v>987</v>
      </c>
      <c r="E67" s="6" t="s">
        <v>988</v>
      </c>
      <c r="F67" s="6" t="s">
        <v>989</v>
      </c>
      <c r="G67" s="6" t="s">
        <v>987</v>
      </c>
      <c r="H67" s="6" t="s">
        <v>1056</v>
      </c>
      <c r="K67" s="2" t="str">
        <f>IFERROR(__xludf.DUMMYFUNCTION("GOOGLETRANSLATE(A67,""en"",""ur"")"),"66")</f>
        <v>66</v>
      </c>
      <c r="L67" s="2" t="str">
        <f>IFERROR(__xludf.DUMMYFUNCTION("GOOGLETRANSLATE(B67,""en"",""ur"")"),"گھوڑے کے ٹیک کی سب سے نمایاں خصوصیت کیا ہے؟")</f>
        <v>گھوڑے کے ٹیک کی سب سے نمایاں خصوصیت کیا ہے؟</v>
      </c>
      <c r="M67" s="2" t="str">
        <f>IFERROR(__xludf.DUMMYFUNCTION("GOOGLETRANSLATE(C67,""en"",""ur"")"),"یہ ایک سادہ سی کاٹھی ہے۔")</f>
        <v>یہ ایک سادہ سی کاٹھی ہے۔</v>
      </c>
      <c r="N67" s="2" t="str">
        <f>IFERROR(__xludf.DUMMYFUNCTION("GOOGLETRANSLATE(D67,""en"",""ur"")"),"یہ نیلے رنگ کے زیورات کے ساتھ ایک انتہائی آرائشی کاٹھی ہے۔")</f>
        <v>یہ نیلے رنگ کے زیورات کے ساتھ ایک انتہائی آرائشی کاٹھی ہے۔</v>
      </c>
      <c r="O67" s="2" t="str">
        <f>IFERROR(__xludf.DUMMYFUNCTION("GOOGLETRANSLATE(E67,""en"",""ur"")"),"یہ ایک ننگا پیڈ ہے۔")</f>
        <v>یہ ایک ننگا پیڈ ہے۔</v>
      </c>
      <c r="P67" s="2" t="str">
        <f>IFERROR(__xludf.DUMMYFUNCTION("GOOGLETRANSLATE(F67,""en"",""ur"")"),"یہ ایک ریسنگ سیڈل ہے۔")</f>
        <v>یہ ایک ریسنگ سیڈل ہے۔</v>
      </c>
      <c r="Q67" s="2" t="s">
        <v>990</v>
      </c>
      <c r="R67" s="2" t="str">
        <f>IFERROR(__xludf.DUMMYFUNCTION("GOOGLETRANSLATE(G67,""en"",""ur"")"),"یہ نیلے رنگ کے زیورات کے ساتھ ایک انتہائی آرائشی کاٹھی ہے۔")</f>
        <v>یہ نیلے رنگ کے زیورات کے ساتھ ایک انتہائی آرائشی کاٹھی ہے۔</v>
      </c>
      <c r="S67" s="6" t="s">
        <v>1056</v>
      </c>
    </row>
    <row r="68">
      <c r="A68" s="7">
        <v>67.0</v>
      </c>
      <c r="B68" s="6" t="s">
        <v>991</v>
      </c>
      <c r="C68" s="6" t="s">
        <v>992</v>
      </c>
      <c r="D68" s="6" t="s">
        <v>646</v>
      </c>
      <c r="E68" s="6" t="s">
        <v>1051</v>
      </c>
      <c r="F68" s="6" t="s">
        <v>425</v>
      </c>
      <c r="G68" s="6" t="s">
        <v>1051</v>
      </c>
      <c r="H68" s="6" t="s">
        <v>1056</v>
      </c>
      <c r="K68" s="2" t="str">
        <f>IFERROR(__xludf.DUMMYFUNCTION("GOOGLETRANSLATE(A68,""en"",""ur"")"),"67")</f>
        <v>67</v>
      </c>
      <c r="L68" s="2" t="str">
        <f>IFERROR(__xludf.DUMMYFUNCTION("GOOGLETRANSLATE(B68,""en"",""ur"")"),"واقعہ کی ظاہری ترتیب کیا ہے؟")</f>
        <v>واقعہ کی ظاہری ترتیب کیا ہے؟</v>
      </c>
      <c r="M68" s="2" t="str">
        <f>IFERROR(__xludf.DUMMYFUNCTION("GOOGLETRANSLATE(C68,""en"",""ur"")"),"ایک اندرونی میدان")</f>
        <v>ایک اندرونی میدان</v>
      </c>
      <c r="N68" s="2" t="str">
        <f>IFERROR(__xludf.DUMMYFUNCTION("GOOGLETRANSLATE(D68,""en"",""ur"")"),"شہر کی ایک گلی")</f>
        <v>شہر کی ایک گلی</v>
      </c>
      <c r="O68" s="2" t="str">
        <f>IFERROR(__xludf.DUMMYFUNCTION("GOOGLETRANSLATE(E68,""en"",""ur"")"),"تماشائیوں کے ساتھ ایک بیرونی گندگی کا ٹریک")</f>
        <v>تماشائیوں کے ساتھ ایک بیرونی گندگی کا ٹریک</v>
      </c>
      <c r="P68" s="2" t="str">
        <f>IFERROR(__xludf.DUMMYFUNCTION("GOOGLETRANSLATE(F68,""en"",""ur"")"),"گھاس کا میدان")</f>
        <v>گھاس کا میدان</v>
      </c>
      <c r="Q68" s="2" t="s">
        <v>1052</v>
      </c>
      <c r="R68" s="2" t="str">
        <f>IFERROR(__xludf.DUMMYFUNCTION("GOOGLETRANSLATE(G68,""en"",""ur"")"),"تماشائیوں کے ساتھ ایک بیرونی گندگی کا ٹریک")</f>
        <v>تماشائیوں کے ساتھ ایک بیرونی گندگی کا ٹریک</v>
      </c>
      <c r="S68" s="6" t="s">
        <v>1056</v>
      </c>
    </row>
    <row r="69">
      <c r="A69" s="7">
        <v>68.0</v>
      </c>
      <c r="B69" s="6" t="s">
        <v>1036</v>
      </c>
      <c r="C69" s="6" t="s">
        <v>95</v>
      </c>
      <c r="D69" s="6" t="s">
        <v>96</v>
      </c>
      <c r="E69" s="6" t="s">
        <v>1015</v>
      </c>
      <c r="F69" s="6" t="s">
        <v>258</v>
      </c>
      <c r="G69" s="6" t="s">
        <v>1015</v>
      </c>
      <c r="H69" s="6" t="s">
        <v>1056</v>
      </c>
      <c r="K69" s="2" t="str">
        <f>IFERROR(__xludf.DUMMYFUNCTION("GOOGLETRANSLATE(A69,""en"",""ur"")"),"68")</f>
        <v>68</v>
      </c>
      <c r="L69" s="2" t="str">
        <f>IFERROR(__xludf.DUMMYFUNCTION("GOOGLETRANSLATE(B69,""en"",""ur"")"),"کھیل کا نام کیا ہے؟")</f>
        <v>کھیل کا نام کیا ہے؟</v>
      </c>
      <c r="M69" s="2" t="str">
        <f>IFERROR(__xludf.DUMMYFUNCTION("GOOGLETRANSLATE(C69,""en"",""ur"")"),"پولو")</f>
        <v>پولو</v>
      </c>
      <c r="N69" s="2" t="str">
        <f>IFERROR(__xludf.DUMMYFUNCTION("GOOGLETRANSLATE(D69,""en"",""ur"")"),"گھوڑوں کی دوڑ")</f>
        <v>گھوڑوں کی دوڑ</v>
      </c>
      <c r="O69" s="2" t="str">
        <f>IFERROR(__xludf.DUMMYFUNCTION("GOOGLETRANSLATE(E69,""en"",""ur"")"),"ٹینٹ پیگنگ")</f>
        <v>ٹینٹ پیگنگ</v>
      </c>
      <c r="P69" s="2" t="str">
        <f>IFERROR(__xludf.DUMMYFUNCTION("GOOGLETRANSLATE(F69,""en"",""ur"")"),"گھڑ سواری کے کھیل")</f>
        <v>گھڑ سواری کے کھیل</v>
      </c>
      <c r="Q69" s="2" t="s">
        <v>1016</v>
      </c>
      <c r="R69" s="2" t="str">
        <f>IFERROR(__xludf.DUMMYFUNCTION("GOOGLETRANSLATE(G69,""en"",""ur"")"),"ٹینٹ پیگنگ")</f>
        <v>ٹینٹ پیگنگ</v>
      </c>
      <c r="S69" s="6" t="s">
        <v>1056</v>
      </c>
    </row>
    <row r="70">
      <c r="A70" s="7">
        <v>69.0</v>
      </c>
      <c r="B70" s="6" t="s">
        <v>316</v>
      </c>
      <c r="C70" s="6" t="s">
        <v>47</v>
      </c>
      <c r="D70" s="6" t="s">
        <v>48</v>
      </c>
      <c r="E70" s="6" t="s">
        <v>49</v>
      </c>
      <c r="F70" s="6" t="s">
        <v>50</v>
      </c>
      <c r="G70" s="6" t="s">
        <v>49</v>
      </c>
      <c r="H70" s="6" t="s">
        <v>1056</v>
      </c>
      <c r="K70" s="2" t="str">
        <f>IFERROR(__xludf.DUMMYFUNCTION("GOOGLETRANSLATE(A70,""en"",""ur"")"),"69")</f>
        <v>69</v>
      </c>
      <c r="L70" s="2" t="str">
        <f>IFERROR(__xludf.DUMMYFUNCTION("GOOGLETRANSLATE(B70,""en"",""ur"")"),"سوار کے چہرے سے ظاہری جذبات کیا ہیں؟")</f>
        <v>سوار کے چہرے سے ظاہری جذبات کیا ہیں؟</v>
      </c>
      <c r="M70" s="2" t="str">
        <f>IFERROR(__xludf.DUMMYFUNCTION("GOOGLETRANSLATE(C70,""en"",""ur"")"),"پرسکون اور پر سکون")</f>
        <v>پرسکون اور پر سکون</v>
      </c>
      <c r="N70" s="2" t="str">
        <f>IFERROR(__xludf.DUMMYFUNCTION("GOOGLETRANSLATE(D70,""en"",""ur"")"),"خوف زدہ اور بے چین")</f>
        <v>خوف زدہ اور بے چین</v>
      </c>
      <c r="O70" s="2" t="str">
        <f>IFERROR(__xludf.DUMMYFUNCTION("GOOGLETRANSLATE(E70,""en"",""ur"")"),"کشیدہ اور شدید")</f>
        <v>کشیدہ اور شدید</v>
      </c>
      <c r="P70" s="2" t="str">
        <f>IFERROR(__xludf.DUMMYFUNCTION("GOOGLETRANSLATE(F70,""en"",""ur"")"),"خوش اور مسکراتے ہوئے۔")</f>
        <v>خوش اور مسکراتے ہوئے۔</v>
      </c>
      <c r="Q70" s="2" t="s">
        <v>51</v>
      </c>
      <c r="R70" s="2" t="str">
        <f>IFERROR(__xludf.DUMMYFUNCTION("GOOGLETRANSLATE(G70,""en"",""ur"")"),"کشیدہ اور شدید")</f>
        <v>کشیدہ اور شدید</v>
      </c>
      <c r="S70" s="6" t="s">
        <v>1056</v>
      </c>
    </row>
    <row r="71">
      <c r="A71" s="7">
        <v>70.0</v>
      </c>
      <c r="B71" s="6" t="s">
        <v>260</v>
      </c>
      <c r="C71" s="6" t="s">
        <v>261</v>
      </c>
      <c r="D71" s="6" t="s">
        <v>262</v>
      </c>
      <c r="E71" s="6" t="s">
        <v>263</v>
      </c>
      <c r="F71" s="6" t="s">
        <v>1001</v>
      </c>
      <c r="G71" s="6" t="s">
        <v>1001</v>
      </c>
      <c r="H71" s="6" t="s">
        <v>1056</v>
      </c>
      <c r="K71" s="2" t="str">
        <f>IFERROR(__xludf.DUMMYFUNCTION("GOOGLETRANSLATE(A71,""en"",""ur"")"),"70")</f>
        <v>70</v>
      </c>
      <c r="L71" s="2" t="str">
        <f>IFERROR(__xludf.DUMMYFUNCTION("GOOGLETRANSLATE(B71,""en"",""ur"")"),"تصویر میں ایکشن ایک ایسا انداز تجویز کرتا ہے جو اس بات پر زور دیتا ہے...")</f>
        <v>تصویر میں ایکشن ایک ایسا انداز تجویز کرتا ہے جو اس بات پر زور دیتا ہے...</v>
      </c>
      <c r="M71" s="2" t="str">
        <f>IFERROR(__xludf.DUMMYFUNCTION("GOOGLETRANSLATE(C71,""en"",""ur"")"),"روانی اور قلابازیاں")</f>
        <v>روانی اور قلابازیاں</v>
      </c>
      <c r="N71" s="2" t="str">
        <f>IFERROR(__xludf.DUMMYFUNCTION("GOOGLETRANSLATE(D71,""en"",""ur"")"),"زمینی لڑائی اور گرفت")</f>
        <v>زمینی لڑائی اور گرفت</v>
      </c>
      <c r="O71" s="2" t="str">
        <f>IFERROR(__xludf.DUMMYFUNCTION("GOOGLETRANSLATE(E71,""en"",""ur"")"),"وحشیانہ قوت اور گھڑ سواری۔")</f>
        <v>وحشیانہ قوت اور گھڑ سواری۔</v>
      </c>
      <c r="P71" s="2" t="str">
        <f>IFERROR(__xludf.DUMMYFUNCTION("GOOGLETRANSLATE(F71,""en"",""ur"")"),"رفتار، درستگی اور چستی")</f>
        <v>رفتار، درستگی اور چستی</v>
      </c>
      <c r="Q71" s="2" t="s">
        <v>1002</v>
      </c>
      <c r="R71" s="2" t="str">
        <f>IFERROR(__xludf.DUMMYFUNCTION("GOOGLETRANSLATE(G71,""en"",""ur"")"),"رفتار، درستگی اور چستی")</f>
        <v>رفتار، درستگی اور چستی</v>
      </c>
      <c r="S71" s="6" t="s">
        <v>1056</v>
      </c>
    </row>
    <row r="72">
      <c r="A72" s="7">
        <v>71.0</v>
      </c>
      <c r="B72" s="6" t="s">
        <v>1057</v>
      </c>
      <c r="C72" s="6" t="s">
        <v>958</v>
      </c>
      <c r="D72" s="6" t="s">
        <v>959</v>
      </c>
      <c r="E72" s="6" t="s">
        <v>960</v>
      </c>
      <c r="F72" s="6" t="s">
        <v>961</v>
      </c>
      <c r="G72" s="6" t="s">
        <v>959</v>
      </c>
      <c r="H72" s="6" t="s">
        <v>1058</v>
      </c>
      <c r="K72" s="2" t="str">
        <f>IFERROR(__xludf.DUMMYFUNCTION("GOOGLETRANSLATE(A72,""en"",""ur"")"),"71")</f>
        <v>71</v>
      </c>
      <c r="L72" s="2" t="str">
        <f>IFERROR(__xludf.DUMMYFUNCTION("GOOGLETRANSLATE(B72,""en"",""ur"")"),"tent_pegging_3 میں دکھائی جانے والی اہم کارروائی کیا ہے؟")</f>
        <v>tent_pegging_3 میں دکھائی جانے والی اہم کارروائی کیا ہے؟</v>
      </c>
      <c r="M72" s="2" t="str">
        <f>IFERROR(__xludf.DUMMYFUNCTION("GOOGLETRANSLATE(C72,""en"",""ur"")"),"گھوڑے کی پیٹھ پر کرتب دکھاتے ہوئے سوار")</f>
        <v>گھوڑے کی پیٹھ پر کرتب دکھاتے ہوئے سوار</v>
      </c>
      <c r="N72" s="2" t="str">
        <f>IFERROR(__xludf.DUMMYFUNCTION("GOOGLETRANSLATE(D72,""en"",""ur"")"),"ٹینٹ پیگنگ ایونٹ میں مقابلہ کرنے والا سوار")</f>
        <v>ٹینٹ پیگنگ ایونٹ میں مقابلہ کرنے والا سوار</v>
      </c>
      <c r="O72" s="2" t="str">
        <f>IFERROR(__xludf.DUMMYFUNCTION("GOOGLETRANSLATE(E72,""en"",""ur"")"),"گھوڑوں کی دوڑ میں سوار")</f>
        <v>گھوڑوں کی دوڑ میں سوار</v>
      </c>
      <c r="P72" s="2" t="str">
        <f>IFERROR(__xludf.DUMMYFUNCTION("GOOGLETRANSLATE(F72,""en"",""ur"")"),"ایک سوار پریڈ کی قیادت کر رہا ہے۔")</f>
        <v>ایک سوار پریڈ کی قیادت کر رہا ہے۔</v>
      </c>
      <c r="Q72" s="2" t="s">
        <v>1029</v>
      </c>
      <c r="R72" s="2" t="str">
        <f>IFERROR(__xludf.DUMMYFUNCTION("GOOGLETRANSLATE(G72,""en"",""ur"")"),"ٹینٹ پیگنگ ایونٹ میں مقابلہ کرنے والا سوار")</f>
        <v>ٹینٹ پیگنگ ایونٹ میں مقابلہ کرنے والا سوار</v>
      </c>
      <c r="S72" s="6" t="s">
        <v>1058</v>
      </c>
    </row>
    <row r="73">
      <c r="A73" s="7">
        <v>72.0</v>
      </c>
      <c r="B73" s="6" t="s">
        <v>963</v>
      </c>
      <c r="C73" s="6" t="s">
        <v>964</v>
      </c>
      <c r="D73" s="6" t="s">
        <v>965</v>
      </c>
      <c r="E73" s="6" t="s">
        <v>966</v>
      </c>
      <c r="F73" s="6" t="s">
        <v>967</v>
      </c>
      <c r="G73" s="6" t="s">
        <v>965</v>
      </c>
      <c r="H73" s="6" t="s">
        <v>1058</v>
      </c>
      <c r="K73" s="2" t="str">
        <f>IFERROR(__xludf.DUMMYFUNCTION("GOOGLETRANSLATE(A73,""en"",""ur"")"),"72")</f>
        <v>72</v>
      </c>
      <c r="L73" s="2" t="str">
        <f>IFERROR(__xludf.DUMMYFUNCTION("GOOGLETRANSLATE(B73,""en"",""ur"")"),"سوار کے لباس کے بارے میں ایک قابل ذکر تفصیل کیا ہے؟")</f>
        <v>سوار کے لباس کے بارے میں ایک قابل ذکر تفصیل کیا ہے؟</v>
      </c>
      <c r="M73" s="2" t="str">
        <f>IFERROR(__xludf.DUMMYFUNCTION("GOOGLETRANSLATE(C73,""en"",""ur"")"),"ایک رسمی سوٹ اور ٹائی")</f>
        <v>ایک رسمی سوٹ اور ٹائی</v>
      </c>
      <c r="N73" s="2" t="str">
        <f>IFERROR(__xludf.DUMMYFUNCTION("GOOGLETRANSLATE(D73,""en"",""ur"")"),"نیلی پگڑی اور بنیان والا سفید روایتی لباس")</f>
        <v>نیلی پگڑی اور بنیان والا سفید روایتی لباس</v>
      </c>
      <c r="O73" s="2" t="str">
        <f>IFERROR(__xludf.DUMMYFUNCTION("GOOGLETRANSLATE(E73,""en"",""ur"")"),"فوجی وردی")</f>
        <v>فوجی وردی</v>
      </c>
      <c r="P73" s="2" t="str">
        <f>IFERROR(__xludf.DUMMYFUNCTION("GOOGLETRANSLATE(F73,""en"",""ur"")"),"ایک جدید کھیلوں کا یونیفارم")</f>
        <v>ایک جدید کھیلوں کا یونیفارم</v>
      </c>
      <c r="Q73" s="2" t="s">
        <v>968</v>
      </c>
      <c r="R73" s="2" t="str">
        <f>IFERROR(__xludf.DUMMYFUNCTION("GOOGLETRANSLATE(G73,""en"",""ur"")"),"نیلی پگڑی اور بنیان والا سفید روایتی لباس")</f>
        <v>نیلی پگڑی اور بنیان والا سفید روایتی لباس</v>
      </c>
      <c r="S73" s="6" t="s">
        <v>1058</v>
      </c>
    </row>
    <row r="74">
      <c r="A74" s="7">
        <v>73.0</v>
      </c>
      <c r="B74" s="6" t="s">
        <v>969</v>
      </c>
      <c r="C74" s="6" t="s">
        <v>970</v>
      </c>
      <c r="D74" s="6" t="s">
        <v>971</v>
      </c>
      <c r="E74" s="6" t="s">
        <v>972</v>
      </c>
      <c r="F74" s="6" t="s">
        <v>973</v>
      </c>
      <c r="G74" s="6" t="s">
        <v>972</v>
      </c>
      <c r="H74" s="6" t="s">
        <v>1058</v>
      </c>
      <c r="K74" s="2" t="str">
        <f>IFERROR(__xludf.DUMMYFUNCTION("GOOGLETRANSLATE(A74,""en"",""ur"")"),"73")</f>
        <v>73</v>
      </c>
      <c r="L74" s="2" t="str">
        <f>IFERROR(__xludf.DUMMYFUNCTION("GOOGLETRANSLATE(B74,""en"",""ur"")"),"سوار نے جو لمبی چھڑی پکڑی ہوئی ہے اس کا ظاہری مقصد کیا ہے؟")</f>
        <v>سوار نے جو لمبی چھڑی پکڑی ہوئی ہے اس کا ظاہری مقصد کیا ہے؟</v>
      </c>
      <c r="M74" s="2" t="str">
        <f>IFERROR(__xludf.DUMMYFUNCTION("GOOGLETRANSLATE(C74,""en"",""ur"")"),"گھوڑے کی رہنمائی کے لیے")</f>
        <v>گھوڑے کی رہنمائی کے لیے</v>
      </c>
      <c r="N74" s="2" t="str">
        <f>IFERROR(__xludf.DUMMYFUNCTION("GOOGLETRANSLATE(D74,""en"",""ur"")"),"توازن کے لیے زمین سے ٹکرانا")</f>
        <v>توازن کے لیے زمین سے ٹکرانا</v>
      </c>
      <c r="O74" s="2" t="str">
        <f>IFERROR(__xludf.DUMMYFUNCTION("GOOGLETRANSLATE(E74,""en"",""ur"")"),"زمین پر چھوٹے اہداف کو نشانہ بنانا")</f>
        <v>زمین پر چھوٹے اہداف کو نشانہ بنانا</v>
      </c>
      <c r="P74" s="2" t="str">
        <f>IFERROR(__xludf.DUMMYFUNCTION("GOOGLETRANSLATE(F74,""en"",""ur"")"),"بطور ہتھیار استعمال کرنا")</f>
        <v>بطور ہتھیار استعمال کرنا</v>
      </c>
      <c r="Q74" s="2" t="s">
        <v>974</v>
      </c>
      <c r="R74" s="2" t="str">
        <f>IFERROR(__xludf.DUMMYFUNCTION("GOOGLETRANSLATE(G74,""en"",""ur"")"),"زمین پر چھوٹے اہداف کو نشانہ بنانا")</f>
        <v>زمین پر چھوٹے اہداف کو نشانہ بنانا</v>
      </c>
      <c r="S74" s="6" t="s">
        <v>1058</v>
      </c>
    </row>
    <row r="75">
      <c r="A75" s="7">
        <v>74.0</v>
      </c>
      <c r="B75" s="6" t="s">
        <v>310</v>
      </c>
      <c r="C75" s="6" t="s">
        <v>429</v>
      </c>
      <c r="D75" s="6" t="s">
        <v>975</v>
      </c>
      <c r="E75" s="6" t="s">
        <v>976</v>
      </c>
      <c r="F75" s="6" t="s">
        <v>977</v>
      </c>
      <c r="G75" s="6" t="s">
        <v>975</v>
      </c>
      <c r="H75" s="6" t="s">
        <v>1058</v>
      </c>
      <c r="K75" s="2" t="str">
        <f>IFERROR(__xludf.DUMMYFUNCTION("GOOGLETRANSLATE(A75,""en"",""ur"")"),"74")</f>
        <v>74</v>
      </c>
      <c r="L75" s="2" t="str">
        <f>IFERROR(__xludf.DUMMYFUNCTION("GOOGLETRANSLATE(B75,""en"",""ur"")"),"سوار کی ظاہری باڈی پوزیشن کیا ہے؟")</f>
        <v>سوار کی ظاہری باڈی پوزیشن کیا ہے؟</v>
      </c>
      <c r="M75" s="2" t="str">
        <f>IFERROR(__xludf.DUMMYFUNCTION("GOOGLETRANSLATE(C75,""en"",""ur"")"),"سیدھا کھڑا ہونا")</f>
        <v>سیدھا کھڑا ہونا</v>
      </c>
      <c r="N75" s="2" t="str">
        <f>IFERROR(__xludf.DUMMYFUNCTION("GOOGLETRANSLATE(D75,""en"",""ur"")"),"نیچے اور طرف جھکنا")</f>
        <v>نیچے اور طرف جھکنا</v>
      </c>
      <c r="O75" s="2" t="str">
        <f>IFERROR(__xludf.DUMMYFUNCTION("GOOGLETRANSLATE(E75,""en"",""ur"")"),"گھوڑے کی پیٹھ پر لیٹنا")</f>
        <v>گھوڑے کی پیٹھ پر لیٹنا</v>
      </c>
      <c r="P75" s="2" t="str">
        <f>IFERROR(__xludf.DUMMYFUNCTION("GOOGLETRANSLATE(F75,""en"",""ur"")"),"آرام سے بیٹھ گیا۔")</f>
        <v>آرام سے بیٹھ گیا۔</v>
      </c>
      <c r="Q75" s="2" t="s">
        <v>978</v>
      </c>
      <c r="R75" s="2" t="str">
        <f>IFERROR(__xludf.DUMMYFUNCTION("GOOGLETRANSLATE(G75,""en"",""ur"")"),"نیچے اور طرف جھکنا")</f>
        <v>نیچے اور طرف جھکنا</v>
      </c>
      <c r="S75" s="6" t="s">
        <v>1058</v>
      </c>
    </row>
    <row r="76">
      <c r="A76" s="7">
        <v>75.0</v>
      </c>
      <c r="B76" s="6" t="s">
        <v>979</v>
      </c>
      <c r="C76" s="6" t="s">
        <v>980</v>
      </c>
      <c r="D76" s="6" t="s">
        <v>981</v>
      </c>
      <c r="E76" s="6" t="s">
        <v>982</v>
      </c>
      <c r="F76" s="6" t="s">
        <v>983</v>
      </c>
      <c r="G76" s="6" t="s">
        <v>982</v>
      </c>
      <c r="H76" s="6" t="s">
        <v>1058</v>
      </c>
      <c r="K76" s="2" t="str">
        <f>IFERROR(__xludf.DUMMYFUNCTION("GOOGLETRANSLATE(A76,""en"",""ur"")"),"75")</f>
        <v>75</v>
      </c>
      <c r="L76" s="2" t="str">
        <f>IFERROR(__xludf.DUMMYFUNCTION("GOOGLETRANSLATE(B76,""en"",""ur"")"),"گھوڑے کے پیچھے زمین کی ظاہری حالت کیا ہے؟")</f>
        <v>گھوڑے کے پیچھے زمین کی ظاہری حالت کیا ہے؟</v>
      </c>
      <c r="M76" s="2" t="str">
        <f>IFERROR(__xludf.DUMMYFUNCTION("GOOGLETRANSLATE(C76,""en"",""ur"")"),"بالکل ہموار")</f>
        <v>بالکل ہموار</v>
      </c>
      <c r="N76" s="2" t="str">
        <f>IFERROR(__xludf.DUMMYFUNCTION("GOOGLETRANSLATE(D76,""en"",""ur"")"),"تازہ گھاس میں ڈھکا ہوا ہے۔")</f>
        <v>تازہ گھاس میں ڈھکا ہوا ہے۔</v>
      </c>
      <c r="O76" s="2" t="str">
        <f>IFERROR(__xludf.DUMMYFUNCTION("GOOGLETRANSLATE(E76,""en"",""ur"")"),"غبار کے بادل میں اُٹھ گیا۔")</f>
        <v>غبار کے بادل میں اُٹھ گیا۔</v>
      </c>
      <c r="P76" s="2" t="str">
        <f>IFERROR(__xludf.DUMMYFUNCTION("GOOGLETRANSLATE(F76,""en"",""ur"")"),"پانی سے بھرا ہوا ۔")</f>
        <v>پانی سے بھرا ہوا ۔</v>
      </c>
      <c r="Q76" s="2" t="s">
        <v>984</v>
      </c>
      <c r="R76" s="2" t="str">
        <f>IFERROR(__xludf.DUMMYFUNCTION("GOOGLETRANSLATE(G76,""en"",""ur"")"),"غبار کے بادل میں اُٹھ گیا۔")</f>
        <v>غبار کے بادل میں اُٹھ گیا۔</v>
      </c>
      <c r="S76" s="6" t="s">
        <v>1058</v>
      </c>
    </row>
    <row r="77">
      <c r="A77" s="7">
        <v>76.0</v>
      </c>
      <c r="B77" s="6" t="s">
        <v>985</v>
      </c>
      <c r="C77" s="6" t="s">
        <v>986</v>
      </c>
      <c r="D77" s="6" t="s">
        <v>987</v>
      </c>
      <c r="E77" s="6" t="s">
        <v>988</v>
      </c>
      <c r="F77" s="6" t="s">
        <v>989</v>
      </c>
      <c r="G77" s="6" t="s">
        <v>987</v>
      </c>
      <c r="H77" s="6" t="s">
        <v>1058</v>
      </c>
      <c r="K77" s="2" t="str">
        <f>IFERROR(__xludf.DUMMYFUNCTION("GOOGLETRANSLATE(A77,""en"",""ur"")"),"76")</f>
        <v>76</v>
      </c>
      <c r="L77" s="2" t="str">
        <f>IFERROR(__xludf.DUMMYFUNCTION("GOOGLETRANSLATE(B77,""en"",""ur"")"),"گھوڑے کے ٹیک کی سب سے نمایاں خصوصیت کیا ہے؟")</f>
        <v>گھوڑے کے ٹیک کی سب سے نمایاں خصوصیت کیا ہے؟</v>
      </c>
      <c r="M77" s="2" t="str">
        <f>IFERROR(__xludf.DUMMYFUNCTION("GOOGLETRANSLATE(C77,""en"",""ur"")"),"یہ ایک سادہ سی کاٹھی ہے۔")</f>
        <v>یہ ایک سادہ سی کاٹھی ہے۔</v>
      </c>
      <c r="N77" s="2" t="str">
        <f>IFERROR(__xludf.DUMMYFUNCTION("GOOGLETRANSLATE(D77,""en"",""ur"")"),"یہ نیلے رنگ کے زیورات کے ساتھ ایک انتہائی آرائشی کاٹھی ہے۔")</f>
        <v>یہ نیلے رنگ کے زیورات کے ساتھ ایک انتہائی آرائشی کاٹھی ہے۔</v>
      </c>
      <c r="O77" s="2" t="str">
        <f>IFERROR(__xludf.DUMMYFUNCTION("GOOGLETRANSLATE(E77,""en"",""ur"")"),"یہ ایک ننگا پیڈ ہے۔")</f>
        <v>یہ ایک ننگا پیڈ ہے۔</v>
      </c>
      <c r="P77" s="2" t="str">
        <f>IFERROR(__xludf.DUMMYFUNCTION("GOOGLETRANSLATE(F77,""en"",""ur"")"),"یہ ایک ریسنگ سیڈل ہے۔")</f>
        <v>یہ ایک ریسنگ سیڈل ہے۔</v>
      </c>
      <c r="Q77" s="2" t="s">
        <v>990</v>
      </c>
      <c r="R77" s="2" t="str">
        <f>IFERROR(__xludf.DUMMYFUNCTION("GOOGLETRANSLATE(G77,""en"",""ur"")"),"یہ نیلے رنگ کے زیورات کے ساتھ ایک انتہائی آرائشی کاٹھی ہے۔")</f>
        <v>یہ نیلے رنگ کے زیورات کے ساتھ ایک انتہائی آرائشی کاٹھی ہے۔</v>
      </c>
      <c r="S77" s="6" t="s">
        <v>1058</v>
      </c>
    </row>
    <row r="78">
      <c r="A78" s="7">
        <v>77.0</v>
      </c>
      <c r="B78" s="6" t="s">
        <v>991</v>
      </c>
      <c r="C78" s="6" t="s">
        <v>992</v>
      </c>
      <c r="D78" s="6" t="s">
        <v>646</v>
      </c>
      <c r="E78" s="6" t="s">
        <v>1051</v>
      </c>
      <c r="F78" s="6" t="s">
        <v>425</v>
      </c>
      <c r="G78" s="6" t="s">
        <v>1051</v>
      </c>
      <c r="H78" s="6" t="s">
        <v>1058</v>
      </c>
      <c r="K78" s="2" t="str">
        <f>IFERROR(__xludf.DUMMYFUNCTION("GOOGLETRANSLATE(A78,""en"",""ur"")"),"77")</f>
        <v>77</v>
      </c>
      <c r="L78" s="2" t="str">
        <f>IFERROR(__xludf.DUMMYFUNCTION("GOOGLETRANSLATE(B78,""en"",""ur"")"),"واقعہ کی ظاہری ترتیب کیا ہے؟")</f>
        <v>واقعہ کی ظاہری ترتیب کیا ہے؟</v>
      </c>
      <c r="M78" s="2" t="str">
        <f>IFERROR(__xludf.DUMMYFUNCTION("GOOGLETRANSLATE(C78,""en"",""ur"")"),"ایک اندرونی میدان")</f>
        <v>ایک اندرونی میدان</v>
      </c>
      <c r="N78" s="2" t="str">
        <f>IFERROR(__xludf.DUMMYFUNCTION("GOOGLETRANSLATE(D78,""en"",""ur"")"),"شہر کی ایک گلی")</f>
        <v>شہر کی ایک گلی</v>
      </c>
      <c r="O78" s="2" t="str">
        <f>IFERROR(__xludf.DUMMYFUNCTION("GOOGLETRANSLATE(E78,""en"",""ur"")"),"تماشائیوں کے ساتھ ایک بیرونی گندگی کا ٹریک")</f>
        <v>تماشائیوں کے ساتھ ایک بیرونی گندگی کا ٹریک</v>
      </c>
      <c r="P78" s="2" t="str">
        <f>IFERROR(__xludf.DUMMYFUNCTION("GOOGLETRANSLATE(F78,""en"",""ur"")"),"گھاس کا میدان")</f>
        <v>گھاس کا میدان</v>
      </c>
      <c r="Q78" s="2" t="s">
        <v>1052</v>
      </c>
      <c r="R78" s="2" t="str">
        <f>IFERROR(__xludf.DUMMYFUNCTION("GOOGLETRANSLATE(G78,""en"",""ur"")"),"تماشائیوں کے ساتھ ایک بیرونی گندگی کا ٹریک")</f>
        <v>تماشائیوں کے ساتھ ایک بیرونی گندگی کا ٹریک</v>
      </c>
      <c r="S78" s="6" t="s">
        <v>1058</v>
      </c>
    </row>
    <row r="79">
      <c r="A79" s="7">
        <v>78.0</v>
      </c>
      <c r="B79" s="6" t="s">
        <v>1036</v>
      </c>
      <c r="C79" s="6" t="s">
        <v>95</v>
      </c>
      <c r="D79" s="6" t="s">
        <v>96</v>
      </c>
      <c r="E79" s="6" t="s">
        <v>1015</v>
      </c>
      <c r="F79" s="6" t="s">
        <v>258</v>
      </c>
      <c r="G79" s="6" t="s">
        <v>1015</v>
      </c>
      <c r="H79" s="6" t="s">
        <v>1058</v>
      </c>
      <c r="K79" s="2" t="str">
        <f>IFERROR(__xludf.DUMMYFUNCTION("GOOGLETRANSLATE(A79,""en"",""ur"")"),"78")</f>
        <v>78</v>
      </c>
      <c r="L79" s="2" t="str">
        <f>IFERROR(__xludf.DUMMYFUNCTION("GOOGLETRANSLATE(B79,""en"",""ur"")"),"کھیل کا نام کیا ہے؟")</f>
        <v>کھیل کا نام کیا ہے؟</v>
      </c>
      <c r="M79" s="2" t="str">
        <f>IFERROR(__xludf.DUMMYFUNCTION("GOOGLETRANSLATE(C79,""en"",""ur"")"),"پولو")</f>
        <v>پولو</v>
      </c>
      <c r="N79" s="2" t="str">
        <f>IFERROR(__xludf.DUMMYFUNCTION("GOOGLETRANSLATE(D79,""en"",""ur"")"),"گھوڑوں کی دوڑ")</f>
        <v>گھوڑوں کی دوڑ</v>
      </c>
      <c r="O79" s="2" t="str">
        <f>IFERROR(__xludf.DUMMYFUNCTION("GOOGLETRANSLATE(E79,""en"",""ur"")"),"ٹینٹ پیگنگ")</f>
        <v>ٹینٹ پیگنگ</v>
      </c>
      <c r="P79" s="2" t="str">
        <f>IFERROR(__xludf.DUMMYFUNCTION("GOOGLETRANSLATE(F79,""en"",""ur"")"),"گھڑ سواری کے کھیل")</f>
        <v>گھڑ سواری کے کھیل</v>
      </c>
      <c r="Q79" s="2" t="s">
        <v>1016</v>
      </c>
      <c r="R79" s="2" t="str">
        <f>IFERROR(__xludf.DUMMYFUNCTION("GOOGLETRANSLATE(G79,""en"",""ur"")"),"ٹینٹ پیگنگ")</f>
        <v>ٹینٹ پیگنگ</v>
      </c>
      <c r="S79" s="6" t="s">
        <v>1058</v>
      </c>
    </row>
    <row r="80">
      <c r="A80" s="7">
        <v>79.0</v>
      </c>
      <c r="B80" s="6" t="s">
        <v>316</v>
      </c>
      <c r="C80" s="6" t="s">
        <v>47</v>
      </c>
      <c r="D80" s="6" t="s">
        <v>48</v>
      </c>
      <c r="E80" s="6" t="s">
        <v>49</v>
      </c>
      <c r="F80" s="6" t="s">
        <v>50</v>
      </c>
      <c r="G80" s="6" t="s">
        <v>49</v>
      </c>
      <c r="H80" s="6" t="s">
        <v>1058</v>
      </c>
      <c r="K80" s="2" t="str">
        <f>IFERROR(__xludf.DUMMYFUNCTION("GOOGLETRANSLATE(A80,""en"",""ur"")"),"79")</f>
        <v>79</v>
      </c>
      <c r="L80" s="2" t="str">
        <f>IFERROR(__xludf.DUMMYFUNCTION("GOOGLETRANSLATE(B80,""en"",""ur"")"),"سوار کے چہرے سے ظاہری جذبات کیا ہیں؟")</f>
        <v>سوار کے چہرے سے ظاہری جذبات کیا ہیں؟</v>
      </c>
      <c r="M80" s="2" t="str">
        <f>IFERROR(__xludf.DUMMYFUNCTION("GOOGLETRANSLATE(C80,""en"",""ur"")"),"پرسکون اور پر سکون")</f>
        <v>پرسکون اور پر سکون</v>
      </c>
      <c r="N80" s="2" t="str">
        <f>IFERROR(__xludf.DUMMYFUNCTION("GOOGLETRANSLATE(D80,""en"",""ur"")"),"خوف زدہ اور بے چین")</f>
        <v>خوف زدہ اور بے چین</v>
      </c>
      <c r="O80" s="2" t="str">
        <f>IFERROR(__xludf.DUMMYFUNCTION("GOOGLETRANSLATE(E80,""en"",""ur"")"),"کشیدہ اور شدید")</f>
        <v>کشیدہ اور شدید</v>
      </c>
      <c r="P80" s="2" t="str">
        <f>IFERROR(__xludf.DUMMYFUNCTION("GOOGLETRANSLATE(F80,""en"",""ur"")"),"خوش اور مسکراتے ہوئے۔")</f>
        <v>خوش اور مسکراتے ہوئے۔</v>
      </c>
      <c r="Q80" s="2" t="s">
        <v>51</v>
      </c>
      <c r="R80" s="2" t="str">
        <f>IFERROR(__xludf.DUMMYFUNCTION("GOOGLETRANSLATE(G80,""en"",""ur"")"),"کشیدہ اور شدید")</f>
        <v>کشیدہ اور شدید</v>
      </c>
      <c r="S80" s="6" t="s">
        <v>1058</v>
      </c>
    </row>
    <row r="81">
      <c r="A81" s="7">
        <v>80.0</v>
      </c>
      <c r="B81" s="6" t="s">
        <v>260</v>
      </c>
      <c r="C81" s="6" t="s">
        <v>261</v>
      </c>
      <c r="D81" s="6" t="s">
        <v>262</v>
      </c>
      <c r="E81" s="6" t="s">
        <v>263</v>
      </c>
      <c r="F81" s="6" t="s">
        <v>1001</v>
      </c>
      <c r="G81" s="6" t="s">
        <v>1001</v>
      </c>
      <c r="H81" s="6" t="s">
        <v>1058</v>
      </c>
      <c r="K81" s="2" t="str">
        <f>IFERROR(__xludf.DUMMYFUNCTION("GOOGLETRANSLATE(A81,""en"",""ur"")"),"80")</f>
        <v>80</v>
      </c>
      <c r="L81" s="2" t="str">
        <f>IFERROR(__xludf.DUMMYFUNCTION("GOOGLETRANSLATE(B81,""en"",""ur"")"),"تصویر میں ایکشن ایک ایسا انداز تجویز کرتا ہے جو اس بات پر زور دیتا ہے...")</f>
        <v>تصویر میں ایکشن ایک ایسا انداز تجویز کرتا ہے جو اس بات پر زور دیتا ہے...</v>
      </c>
      <c r="M81" s="2" t="str">
        <f>IFERROR(__xludf.DUMMYFUNCTION("GOOGLETRANSLATE(C81,""en"",""ur"")"),"روانی اور قلابازیاں")</f>
        <v>روانی اور قلابازیاں</v>
      </c>
      <c r="N81" s="2" t="str">
        <f>IFERROR(__xludf.DUMMYFUNCTION("GOOGLETRANSLATE(D81,""en"",""ur"")"),"زمینی لڑائی اور گرفت")</f>
        <v>زمینی لڑائی اور گرفت</v>
      </c>
      <c r="O81" s="2" t="str">
        <f>IFERROR(__xludf.DUMMYFUNCTION("GOOGLETRANSLATE(E81,""en"",""ur"")"),"وحشیانہ قوت اور گھڑ سواری۔")</f>
        <v>وحشیانہ قوت اور گھڑ سواری۔</v>
      </c>
      <c r="P81" s="2" t="str">
        <f>IFERROR(__xludf.DUMMYFUNCTION("GOOGLETRANSLATE(F81,""en"",""ur"")"),"رفتار، درستگی اور چستی")</f>
        <v>رفتار، درستگی اور چستی</v>
      </c>
      <c r="Q81" s="2" t="s">
        <v>1002</v>
      </c>
      <c r="R81" s="2" t="str">
        <f>IFERROR(__xludf.DUMMYFUNCTION("GOOGLETRANSLATE(G81,""en"",""ur"")"),"رفتار، درستگی اور چستی")</f>
        <v>رفتار، درستگی اور چستی</v>
      </c>
      <c r="S81" s="6" t="s">
        <v>1058</v>
      </c>
    </row>
    <row r="82">
      <c r="A82" s="7">
        <v>81.0</v>
      </c>
      <c r="B82" s="6" t="s">
        <v>1059</v>
      </c>
      <c r="C82" s="6" t="s">
        <v>958</v>
      </c>
      <c r="D82" s="6" t="s">
        <v>959</v>
      </c>
      <c r="E82" s="6" t="s">
        <v>960</v>
      </c>
      <c r="F82" s="6" t="s">
        <v>961</v>
      </c>
      <c r="G82" s="6" t="s">
        <v>959</v>
      </c>
      <c r="H82" s="6" t="s">
        <v>1060</v>
      </c>
      <c r="K82" s="2" t="str">
        <f>IFERROR(__xludf.DUMMYFUNCTION("GOOGLETRANSLATE(A82,""en"",""ur"")"),"81")</f>
        <v>81</v>
      </c>
      <c r="L82" s="2" t="str">
        <f>IFERROR(__xludf.DUMMYFUNCTION("GOOGLETRANSLATE(B82,""en"",""ur"")"),"tent_pegging_20 میں دکھائی جانے والی اہم کارروائی کیا ہے؟")</f>
        <v>tent_pegging_20 میں دکھائی جانے والی اہم کارروائی کیا ہے؟</v>
      </c>
      <c r="M82" s="2" t="str">
        <f>IFERROR(__xludf.DUMMYFUNCTION("GOOGLETRANSLATE(C82,""en"",""ur"")"),"گھوڑے کی پیٹھ پر کرتب دکھاتے ہوئے سوار")</f>
        <v>گھوڑے کی پیٹھ پر کرتب دکھاتے ہوئے سوار</v>
      </c>
      <c r="N82" s="2" t="str">
        <f>IFERROR(__xludf.DUMMYFUNCTION("GOOGLETRANSLATE(D82,""en"",""ur"")"),"ٹینٹ پیگنگ ایونٹ میں مقابلہ کرنے والا سوار")</f>
        <v>ٹینٹ پیگنگ ایونٹ میں مقابلہ کرنے والا سوار</v>
      </c>
      <c r="O82" s="2" t="str">
        <f>IFERROR(__xludf.DUMMYFUNCTION("GOOGLETRANSLATE(E82,""en"",""ur"")"),"گھوڑوں کی دوڑ میں سوار")</f>
        <v>گھوڑوں کی دوڑ میں سوار</v>
      </c>
      <c r="P82" s="2" t="str">
        <f>IFERROR(__xludf.DUMMYFUNCTION("GOOGLETRANSLATE(F82,""en"",""ur"")"),"ایک سوار پریڈ کی قیادت کر رہا ہے۔")</f>
        <v>ایک سوار پریڈ کی قیادت کر رہا ہے۔</v>
      </c>
      <c r="Q82" s="2" t="s">
        <v>1029</v>
      </c>
      <c r="R82" s="2" t="str">
        <f>IFERROR(__xludf.DUMMYFUNCTION("GOOGLETRANSLATE(G82,""en"",""ur"")"),"ٹینٹ پیگنگ ایونٹ میں مقابلہ کرنے والا سوار")</f>
        <v>ٹینٹ پیگنگ ایونٹ میں مقابلہ کرنے والا سوار</v>
      </c>
      <c r="S82" s="6" t="s">
        <v>1060</v>
      </c>
    </row>
    <row r="83">
      <c r="A83" s="7">
        <v>82.0</v>
      </c>
      <c r="B83" s="6" t="s">
        <v>1007</v>
      </c>
      <c r="C83" s="6" t="s">
        <v>964</v>
      </c>
      <c r="D83" s="6" t="s">
        <v>965</v>
      </c>
      <c r="E83" s="6" t="s">
        <v>966</v>
      </c>
      <c r="F83" s="6" t="s">
        <v>967</v>
      </c>
      <c r="G83" s="6" t="s">
        <v>965</v>
      </c>
      <c r="H83" s="6" t="s">
        <v>1060</v>
      </c>
      <c r="K83" s="2" t="str">
        <f>IFERROR(__xludf.DUMMYFUNCTION("GOOGLETRANSLATE(A83,""en"",""ur"")"),"82")</f>
        <v>82</v>
      </c>
      <c r="L83" s="2" t="str">
        <f>IFERROR(__xludf.DUMMYFUNCTION("GOOGLETRANSLATE(B83,""en"",""ur"")"),"سواروں کے لباس کے بارے میں ایک قابل ذکر تفصیل کیا ہے؟")</f>
        <v>سواروں کے لباس کے بارے میں ایک قابل ذکر تفصیل کیا ہے؟</v>
      </c>
      <c r="M83" s="2" t="str">
        <f>IFERROR(__xludf.DUMMYFUNCTION("GOOGLETRANSLATE(C83,""en"",""ur"")"),"ایک رسمی سوٹ اور ٹائی")</f>
        <v>ایک رسمی سوٹ اور ٹائی</v>
      </c>
      <c r="N83" s="2" t="str">
        <f>IFERROR(__xludf.DUMMYFUNCTION("GOOGLETRANSLATE(D83,""en"",""ur"")"),"نیلی پگڑی اور بنیان والا سفید روایتی لباس")</f>
        <v>نیلی پگڑی اور بنیان والا سفید روایتی لباس</v>
      </c>
      <c r="O83" s="2" t="str">
        <f>IFERROR(__xludf.DUMMYFUNCTION("GOOGLETRANSLATE(E83,""en"",""ur"")"),"فوجی وردی")</f>
        <v>فوجی وردی</v>
      </c>
      <c r="P83" s="2" t="str">
        <f>IFERROR(__xludf.DUMMYFUNCTION("GOOGLETRANSLATE(F83,""en"",""ur"")"),"ایک جدید کھیلوں کا یونیفارم")</f>
        <v>ایک جدید کھیلوں کا یونیفارم</v>
      </c>
      <c r="Q83" s="2" t="s">
        <v>968</v>
      </c>
      <c r="R83" s="2" t="str">
        <f>IFERROR(__xludf.DUMMYFUNCTION("GOOGLETRANSLATE(G83,""en"",""ur"")"),"نیلی پگڑی اور بنیان والا سفید روایتی لباس")</f>
        <v>نیلی پگڑی اور بنیان والا سفید روایتی لباس</v>
      </c>
      <c r="S83" s="6" t="s">
        <v>1060</v>
      </c>
    </row>
    <row r="84">
      <c r="A84" s="7">
        <v>83.0</v>
      </c>
      <c r="B84" s="6" t="s">
        <v>969</v>
      </c>
      <c r="C84" s="6" t="s">
        <v>970</v>
      </c>
      <c r="D84" s="6" t="s">
        <v>971</v>
      </c>
      <c r="E84" s="6" t="s">
        <v>972</v>
      </c>
      <c r="F84" s="6" t="s">
        <v>973</v>
      </c>
      <c r="G84" s="6" t="s">
        <v>972</v>
      </c>
      <c r="H84" s="6" t="s">
        <v>1060</v>
      </c>
      <c r="K84" s="2" t="str">
        <f>IFERROR(__xludf.DUMMYFUNCTION("GOOGLETRANSLATE(A84,""en"",""ur"")"),"83")</f>
        <v>83</v>
      </c>
      <c r="L84" s="2" t="str">
        <f>IFERROR(__xludf.DUMMYFUNCTION("GOOGLETRANSLATE(B84,""en"",""ur"")"),"سوار نے جو لمبی چھڑی پکڑی ہوئی ہے اس کا ظاہری مقصد کیا ہے؟")</f>
        <v>سوار نے جو لمبی چھڑی پکڑی ہوئی ہے اس کا ظاہری مقصد کیا ہے؟</v>
      </c>
      <c r="M84" s="2" t="str">
        <f>IFERROR(__xludf.DUMMYFUNCTION("GOOGLETRANSLATE(C84,""en"",""ur"")"),"گھوڑے کی رہنمائی کے لیے")</f>
        <v>گھوڑے کی رہنمائی کے لیے</v>
      </c>
      <c r="N84" s="2" t="str">
        <f>IFERROR(__xludf.DUMMYFUNCTION("GOOGLETRANSLATE(D84,""en"",""ur"")"),"توازن کے لیے زمین سے ٹکرانا")</f>
        <v>توازن کے لیے زمین سے ٹکرانا</v>
      </c>
      <c r="O84" s="2" t="str">
        <f>IFERROR(__xludf.DUMMYFUNCTION("GOOGLETRANSLATE(E84,""en"",""ur"")"),"زمین پر چھوٹے اہداف کو نشانہ بنانا")</f>
        <v>زمین پر چھوٹے اہداف کو نشانہ بنانا</v>
      </c>
      <c r="P84" s="2" t="str">
        <f>IFERROR(__xludf.DUMMYFUNCTION("GOOGLETRANSLATE(F84,""en"",""ur"")"),"بطور ہتھیار استعمال کرنا")</f>
        <v>بطور ہتھیار استعمال کرنا</v>
      </c>
      <c r="Q84" s="2" t="s">
        <v>974</v>
      </c>
      <c r="R84" s="2" t="str">
        <f>IFERROR(__xludf.DUMMYFUNCTION("GOOGLETRANSLATE(G84,""en"",""ur"")"),"زمین پر چھوٹے اہداف کو نشانہ بنانا")</f>
        <v>زمین پر چھوٹے اہداف کو نشانہ بنانا</v>
      </c>
      <c r="S84" s="6" t="s">
        <v>1060</v>
      </c>
    </row>
    <row r="85">
      <c r="A85" s="7">
        <v>84.0</v>
      </c>
      <c r="B85" s="6" t="s">
        <v>248</v>
      </c>
      <c r="C85" s="6" t="s">
        <v>429</v>
      </c>
      <c r="D85" s="6" t="s">
        <v>975</v>
      </c>
      <c r="E85" s="6" t="s">
        <v>976</v>
      </c>
      <c r="F85" s="6" t="s">
        <v>977</v>
      </c>
      <c r="G85" s="6" t="s">
        <v>975</v>
      </c>
      <c r="H85" s="6" t="s">
        <v>1060</v>
      </c>
      <c r="K85" s="2" t="str">
        <f>IFERROR(__xludf.DUMMYFUNCTION("GOOGLETRANSLATE(A85,""en"",""ur"")"),"84")</f>
        <v>84</v>
      </c>
      <c r="L85" s="2" t="str">
        <f>IFERROR(__xludf.DUMMYFUNCTION("GOOGLETRANSLATE(B85,""en"",""ur"")"),"سواروں کی ظاہری باڈی پوزیشن کیا ہے؟")</f>
        <v>سواروں کی ظاہری باڈی پوزیشن کیا ہے؟</v>
      </c>
      <c r="M85" s="2" t="str">
        <f>IFERROR(__xludf.DUMMYFUNCTION("GOOGLETRANSLATE(C85,""en"",""ur"")"),"سیدھا کھڑا ہونا")</f>
        <v>سیدھا کھڑا ہونا</v>
      </c>
      <c r="N85" s="2" t="str">
        <f>IFERROR(__xludf.DUMMYFUNCTION("GOOGLETRANSLATE(D85,""en"",""ur"")"),"نیچے اور طرف جھکنا")</f>
        <v>نیچے اور طرف جھکنا</v>
      </c>
      <c r="O85" s="2" t="str">
        <f>IFERROR(__xludf.DUMMYFUNCTION("GOOGLETRANSLATE(E85,""en"",""ur"")"),"گھوڑے کی پیٹھ پر لیٹنا")</f>
        <v>گھوڑے کی پیٹھ پر لیٹنا</v>
      </c>
      <c r="P85" s="2" t="str">
        <f>IFERROR(__xludf.DUMMYFUNCTION("GOOGLETRANSLATE(F85,""en"",""ur"")"),"آرام سے بیٹھ گیا۔")</f>
        <v>آرام سے بیٹھ گیا۔</v>
      </c>
      <c r="Q85" s="2" t="s">
        <v>978</v>
      </c>
      <c r="R85" s="2" t="str">
        <f>IFERROR(__xludf.DUMMYFUNCTION("GOOGLETRANSLATE(G85,""en"",""ur"")"),"نیچے اور طرف جھکنا")</f>
        <v>نیچے اور طرف جھکنا</v>
      </c>
      <c r="S85" s="6" t="s">
        <v>1060</v>
      </c>
    </row>
    <row r="86">
      <c r="A86" s="7">
        <v>85.0</v>
      </c>
      <c r="B86" s="6" t="s">
        <v>1047</v>
      </c>
      <c r="C86" s="6" t="s">
        <v>980</v>
      </c>
      <c r="D86" s="6" t="s">
        <v>981</v>
      </c>
      <c r="E86" s="6" t="s">
        <v>982</v>
      </c>
      <c r="F86" s="6" t="s">
        <v>983</v>
      </c>
      <c r="G86" s="6" t="s">
        <v>982</v>
      </c>
      <c r="H86" s="6" t="s">
        <v>1060</v>
      </c>
      <c r="K86" s="2" t="str">
        <f>IFERROR(__xludf.DUMMYFUNCTION("GOOGLETRANSLATE(A86,""en"",""ur"")"),"85")</f>
        <v>85</v>
      </c>
      <c r="L86" s="2" t="str">
        <f>IFERROR(__xludf.DUMMYFUNCTION("GOOGLETRANSLATE(B86,""en"",""ur"")"),"گھوڑوں کے پیچھے زمین کی ظاہری حالت کیا ہے؟")</f>
        <v>گھوڑوں کے پیچھے زمین کی ظاہری حالت کیا ہے؟</v>
      </c>
      <c r="M86" s="2" t="str">
        <f>IFERROR(__xludf.DUMMYFUNCTION("GOOGLETRANSLATE(C86,""en"",""ur"")"),"بالکل ہموار")</f>
        <v>بالکل ہموار</v>
      </c>
      <c r="N86" s="2" t="str">
        <f>IFERROR(__xludf.DUMMYFUNCTION("GOOGLETRANSLATE(D86,""en"",""ur"")"),"تازہ گھاس میں ڈھکا ہوا ہے۔")</f>
        <v>تازہ گھاس میں ڈھکا ہوا ہے۔</v>
      </c>
      <c r="O86" s="2" t="str">
        <f>IFERROR(__xludf.DUMMYFUNCTION("GOOGLETRANSLATE(E86,""en"",""ur"")"),"غبار کے بادل میں اُٹھ گیا۔")</f>
        <v>غبار کے بادل میں اُٹھ گیا۔</v>
      </c>
      <c r="P86" s="2" t="str">
        <f>IFERROR(__xludf.DUMMYFUNCTION("GOOGLETRANSLATE(F86,""en"",""ur"")"),"پانی سے بھرا ہوا ۔")</f>
        <v>پانی سے بھرا ہوا ۔</v>
      </c>
      <c r="Q86" s="2" t="s">
        <v>984</v>
      </c>
      <c r="R86" s="2" t="str">
        <f>IFERROR(__xludf.DUMMYFUNCTION("GOOGLETRANSLATE(G86,""en"",""ur"")"),"غبار کے بادل میں اُٹھ گیا۔")</f>
        <v>غبار کے بادل میں اُٹھ گیا۔</v>
      </c>
      <c r="S86" s="6" t="s">
        <v>1060</v>
      </c>
    </row>
    <row r="87">
      <c r="A87" s="7">
        <v>86.0</v>
      </c>
      <c r="B87" s="6" t="s">
        <v>1048</v>
      </c>
      <c r="C87" s="6" t="s">
        <v>986</v>
      </c>
      <c r="D87" s="6" t="s">
        <v>1032</v>
      </c>
      <c r="E87" s="6" t="s">
        <v>988</v>
      </c>
      <c r="F87" s="6" t="s">
        <v>989</v>
      </c>
      <c r="G87" s="6" t="s">
        <v>1032</v>
      </c>
      <c r="H87" s="6" t="s">
        <v>1060</v>
      </c>
      <c r="K87" s="2" t="str">
        <f>IFERROR(__xludf.DUMMYFUNCTION("GOOGLETRANSLATE(A87,""en"",""ur"")"),"86")</f>
        <v>86</v>
      </c>
      <c r="L87" s="2" t="str">
        <f>IFERROR(__xludf.DUMMYFUNCTION("GOOGLETRANSLATE(B87,""en"",""ur"")"),"گھوڑوں کے ٹیک کی سب سے نمایاں خصوصیت کیا ہے؟")</f>
        <v>گھوڑوں کے ٹیک کی سب سے نمایاں خصوصیت کیا ہے؟</v>
      </c>
      <c r="M87" s="2" t="str">
        <f>IFERROR(__xludf.DUMMYFUNCTION("GOOGLETRANSLATE(C87,""en"",""ur"")"),"یہ ایک سادہ سی کاٹھی ہے۔")</f>
        <v>یہ ایک سادہ سی کاٹھی ہے۔</v>
      </c>
      <c r="N87" s="2" t="str">
        <f>IFERROR(__xludf.DUMMYFUNCTION("GOOGLETRANSLATE(D87,""en"",""ur"")"),"یہ سرخ آرائش کے ساتھ ایک انتہائی آرائشی کاٹھی ہے۔")</f>
        <v>یہ سرخ آرائش کے ساتھ ایک انتہائی آرائشی کاٹھی ہے۔</v>
      </c>
      <c r="O87" s="2" t="str">
        <f>IFERROR(__xludf.DUMMYFUNCTION("GOOGLETRANSLATE(E87,""en"",""ur"")"),"یہ ایک ننگا پیڈ ہے۔")</f>
        <v>یہ ایک ننگا پیڈ ہے۔</v>
      </c>
      <c r="P87" s="2" t="str">
        <f>IFERROR(__xludf.DUMMYFUNCTION("GOOGLETRANSLATE(F87,""en"",""ur"")"),"یہ ایک ریسنگ سیڈل ہے۔")</f>
        <v>یہ ایک ریسنگ سیڈل ہے۔</v>
      </c>
      <c r="Q87" s="2" t="s">
        <v>1033</v>
      </c>
      <c r="R87" s="2" t="str">
        <f>IFERROR(__xludf.DUMMYFUNCTION("GOOGLETRANSLATE(G87,""en"",""ur"")"),"یہ سرخ آرائش کے ساتھ ایک انتہائی آرائشی کاٹھی ہے۔")</f>
        <v>یہ سرخ آرائش کے ساتھ ایک انتہائی آرائشی کاٹھی ہے۔</v>
      </c>
      <c r="S87" s="6" t="s">
        <v>1060</v>
      </c>
    </row>
    <row r="88">
      <c r="A88" s="7">
        <v>87.0</v>
      </c>
      <c r="B88" s="6" t="s">
        <v>991</v>
      </c>
      <c r="C88" s="6" t="s">
        <v>992</v>
      </c>
      <c r="D88" s="6" t="s">
        <v>646</v>
      </c>
      <c r="E88" s="6" t="s">
        <v>1051</v>
      </c>
      <c r="F88" s="6" t="s">
        <v>425</v>
      </c>
      <c r="G88" s="6" t="s">
        <v>1051</v>
      </c>
      <c r="H88" s="6" t="s">
        <v>1060</v>
      </c>
      <c r="K88" s="2" t="str">
        <f>IFERROR(__xludf.DUMMYFUNCTION("GOOGLETRANSLATE(A88,""en"",""ur"")"),"87")</f>
        <v>87</v>
      </c>
      <c r="L88" s="2" t="str">
        <f>IFERROR(__xludf.DUMMYFUNCTION("GOOGLETRANSLATE(B88,""en"",""ur"")"),"واقعہ کی ظاہری ترتیب کیا ہے؟")</f>
        <v>واقعہ کی ظاہری ترتیب کیا ہے؟</v>
      </c>
      <c r="M88" s="2" t="str">
        <f>IFERROR(__xludf.DUMMYFUNCTION("GOOGLETRANSLATE(C88,""en"",""ur"")"),"ایک اندرونی میدان")</f>
        <v>ایک اندرونی میدان</v>
      </c>
      <c r="N88" s="2" t="str">
        <f>IFERROR(__xludf.DUMMYFUNCTION("GOOGLETRANSLATE(D88,""en"",""ur"")"),"شہر کی ایک گلی")</f>
        <v>شہر کی ایک گلی</v>
      </c>
      <c r="O88" s="2" t="str">
        <f>IFERROR(__xludf.DUMMYFUNCTION("GOOGLETRANSLATE(E88,""en"",""ur"")"),"تماشائیوں کے ساتھ ایک بیرونی گندگی کا ٹریک")</f>
        <v>تماشائیوں کے ساتھ ایک بیرونی گندگی کا ٹریک</v>
      </c>
      <c r="P88" s="2" t="str">
        <f>IFERROR(__xludf.DUMMYFUNCTION("GOOGLETRANSLATE(F88,""en"",""ur"")"),"گھاس کا میدان")</f>
        <v>گھاس کا میدان</v>
      </c>
      <c r="Q88" s="2" t="s">
        <v>1052</v>
      </c>
      <c r="R88" s="2" t="str">
        <f>IFERROR(__xludf.DUMMYFUNCTION("GOOGLETRANSLATE(G88,""en"",""ur"")"),"تماشائیوں کے ساتھ ایک بیرونی گندگی کا ٹریک")</f>
        <v>تماشائیوں کے ساتھ ایک بیرونی گندگی کا ٹریک</v>
      </c>
      <c r="S88" s="6" t="s">
        <v>1060</v>
      </c>
    </row>
    <row r="89">
      <c r="A89" s="7">
        <v>88.0</v>
      </c>
      <c r="B89" s="6" t="s">
        <v>1036</v>
      </c>
      <c r="C89" s="6" t="s">
        <v>95</v>
      </c>
      <c r="D89" s="6" t="s">
        <v>96</v>
      </c>
      <c r="E89" s="6" t="s">
        <v>1015</v>
      </c>
      <c r="F89" s="6" t="s">
        <v>258</v>
      </c>
      <c r="G89" s="6" t="s">
        <v>1015</v>
      </c>
      <c r="H89" s="6" t="s">
        <v>1060</v>
      </c>
      <c r="K89" s="2" t="str">
        <f>IFERROR(__xludf.DUMMYFUNCTION("GOOGLETRANSLATE(A89,""en"",""ur"")"),"88")</f>
        <v>88</v>
      </c>
      <c r="L89" s="2" t="str">
        <f>IFERROR(__xludf.DUMMYFUNCTION("GOOGLETRANSLATE(B89,""en"",""ur"")"),"کھیل کا نام کیا ہے؟")</f>
        <v>کھیل کا نام کیا ہے؟</v>
      </c>
      <c r="M89" s="2" t="str">
        <f>IFERROR(__xludf.DUMMYFUNCTION("GOOGLETRANSLATE(C89,""en"",""ur"")"),"پولو")</f>
        <v>پولو</v>
      </c>
      <c r="N89" s="2" t="str">
        <f>IFERROR(__xludf.DUMMYFUNCTION("GOOGLETRANSLATE(D89,""en"",""ur"")"),"گھوڑوں کی دوڑ")</f>
        <v>گھوڑوں کی دوڑ</v>
      </c>
      <c r="O89" s="2" t="str">
        <f>IFERROR(__xludf.DUMMYFUNCTION("GOOGLETRANSLATE(E89,""en"",""ur"")"),"ٹینٹ پیگنگ")</f>
        <v>ٹینٹ پیگنگ</v>
      </c>
      <c r="P89" s="2" t="str">
        <f>IFERROR(__xludf.DUMMYFUNCTION("GOOGLETRANSLATE(F89,""en"",""ur"")"),"گھڑ سواری کے کھیل")</f>
        <v>گھڑ سواری کے کھیل</v>
      </c>
      <c r="Q89" s="2" t="s">
        <v>1016</v>
      </c>
      <c r="R89" s="2" t="str">
        <f>IFERROR(__xludf.DUMMYFUNCTION("GOOGLETRANSLATE(G89,""en"",""ur"")"),"ٹینٹ پیگنگ")</f>
        <v>ٹینٹ پیگنگ</v>
      </c>
      <c r="S89" s="6" t="s">
        <v>1060</v>
      </c>
    </row>
    <row r="90">
      <c r="A90" s="7">
        <v>89.0</v>
      </c>
      <c r="B90" s="6" t="s">
        <v>254</v>
      </c>
      <c r="C90" s="6" t="s">
        <v>47</v>
      </c>
      <c r="D90" s="6" t="s">
        <v>48</v>
      </c>
      <c r="E90" s="6" t="s">
        <v>49</v>
      </c>
      <c r="F90" s="6" t="s">
        <v>50</v>
      </c>
      <c r="G90" s="6" t="s">
        <v>49</v>
      </c>
      <c r="H90" s="6" t="s">
        <v>1060</v>
      </c>
      <c r="K90" s="2" t="str">
        <f>IFERROR(__xludf.DUMMYFUNCTION("GOOGLETRANSLATE(A90,""en"",""ur"")"),"89")</f>
        <v>89</v>
      </c>
      <c r="L90" s="2" t="str">
        <f>IFERROR(__xludf.DUMMYFUNCTION("GOOGLETRANSLATE(B90,""en"",""ur"")"),"سواروں کے چہروں سے ظاہری جذبات کیا ہیں؟")</f>
        <v>سواروں کے چہروں سے ظاہری جذبات کیا ہیں؟</v>
      </c>
      <c r="M90" s="2" t="str">
        <f>IFERROR(__xludf.DUMMYFUNCTION("GOOGLETRANSLATE(C90,""en"",""ur"")"),"پرسکون اور پر سکون")</f>
        <v>پرسکون اور پر سکون</v>
      </c>
      <c r="N90" s="2" t="str">
        <f>IFERROR(__xludf.DUMMYFUNCTION("GOOGLETRANSLATE(D90,""en"",""ur"")"),"خوف زدہ اور بے چین")</f>
        <v>خوف زدہ اور بے چین</v>
      </c>
      <c r="O90" s="2" t="str">
        <f>IFERROR(__xludf.DUMMYFUNCTION("GOOGLETRANSLATE(E90,""en"",""ur"")"),"کشیدہ اور شدید")</f>
        <v>کشیدہ اور شدید</v>
      </c>
      <c r="P90" s="2" t="str">
        <f>IFERROR(__xludf.DUMMYFUNCTION("GOOGLETRANSLATE(F90,""en"",""ur"")"),"خوش اور مسکراتے ہوئے۔")</f>
        <v>خوش اور مسکراتے ہوئے۔</v>
      </c>
      <c r="Q90" s="2" t="s">
        <v>51</v>
      </c>
      <c r="R90" s="2" t="str">
        <f>IFERROR(__xludf.DUMMYFUNCTION("GOOGLETRANSLATE(G90,""en"",""ur"")"),"کشیدہ اور شدید")</f>
        <v>کشیدہ اور شدید</v>
      </c>
      <c r="S90" s="6" t="s">
        <v>1060</v>
      </c>
    </row>
    <row r="91">
      <c r="A91" s="7">
        <v>90.0</v>
      </c>
      <c r="B91" s="6" t="s">
        <v>260</v>
      </c>
      <c r="C91" s="6" t="s">
        <v>261</v>
      </c>
      <c r="D91" s="6" t="s">
        <v>262</v>
      </c>
      <c r="E91" s="6" t="s">
        <v>263</v>
      </c>
      <c r="F91" s="6" t="s">
        <v>1001</v>
      </c>
      <c r="G91" s="6" t="s">
        <v>1001</v>
      </c>
      <c r="H91" s="6" t="s">
        <v>1060</v>
      </c>
      <c r="K91" s="2" t="str">
        <f>IFERROR(__xludf.DUMMYFUNCTION("GOOGLETRANSLATE(A91,""en"",""ur"")"),"90")</f>
        <v>90</v>
      </c>
      <c r="L91" s="2" t="str">
        <f>IFERROR(__xludf.DUMMYFUNCTION("GOOGLETRANSLATE(B91,""en"",""ur"")"),"تصویر میں ایکشن ایک ایسا انداز تجویز کرتا ہے جو اس بات پر زور دیتا ہے...")</f>
        <v>تصویر میں ایکشن ایک ایسا انداز تجویز کرتا ہے جو اس بات پر زور دیتا ہے...</v>
      </c>
      <c r="M91" s="2" t="str">
        <f>IFERROR(__xludf.DUMMYFUNCTION("GOOGLETRANSLATE(C91,""en"",""ur"")"),"روانی اور قلابازیاں")</f>
        <v>روانی اور قلابازیاں</v>
      </c>
      <c r="N91" s="2" t="str">
        <f>IFERROR(__xludf.DUMMYFUNCTION("GOOGLETRANSLATE(D91,""en"",""ur"")"),"زمینی لڑائی اور گرفت")</f>
        <v>زمینی لڑائی اور گرفت</v>
      </c>
      <c r="O91" s="2" t="str">
        <f>IFERROR(__xludf.DUMMYFUNCTION("GOOGLETRANSLATE(E91,""en"",""ur"")"),"وحشیانہ قوت اور گھڑ سواری۔")</f>
        <v>وحشیانہ قوت اور گھڑ سواری۔</v>
      </c>
      <c r="P91" s="2" t="str">
        <f>IFERROR(__xludf.DUMMYFUNCTION("GOOGLETRANSLATE(F91,""en"",""ur"")"),"رفتار، درستگی اور چستی")</f>
        <v>رفتار، درستگی اور چستی</v>
      </c>
      <c r="Q91" s="2" t="s">
        <v>1002</v>
      </c>
      <c r="R91" s="2" t="str">
        <f>IFERROR(__xludf.DUMMYFUNCTION("GOOGLETRANSLATE(G91,""en"",""ur"")"),"رفتار، درستگی اور چستی")</f>
        <v>رفتار، درستگی اور چستی</v>
      </c>
      <c r="S91" s="6" t="s">
        <v>1060</v>
      </c>
    </row>
    <row r="92">
      <c r="A92" s="7">
        <v>91.0</v>
      </c>
      <c r="B92" s="6" t="s">
        <v>1061</v>
      </c>
      <c r="C92" s="6" t="s">
        <v>958</v>
      </c>
      <c r="D92" s="6" t="s">
        <v>959</v>
      </c>
      <c r="E92" s="6" t="s">
        <v>960</v>
      </c>
      <c r="F92" s="6" t="s">
        <v>961</v>
      </c>
      <c r="G92" s="6" t="s">
        <v>959</v>
      </c>
      <c r="H92" s="6" t="s">
        <v>1062</v>
      </c>
      <c r="K92" s="2" t="str">
        <f>IFERROR(__xludf.DUMMYFUNCTION("GOOGLETRANSLATE(A92,""en"",""ur"")"),"91")</f>
        <v>91</v>
      </c>
      <c r="L92" s="2" t="str">
        <f>IFERROR(__xludf.DUMMYFUNCTION("GOOGLETRANSLATE(B92,""en"",""ur"")"),"tent_pegging_25 میں دکھائی جانے والی اہم کارروائی کیا ہے؟")</f>
        <v>tent_pegging_25 میں دکھائی جانے والی اہم کارروائی کیا ہے؟</v>
      </c>
      <c r="M92" s="2" t="str">
        <f>IFERROR(__xludf.DUMMYFUNCTION("GOOGLETRANSLATE(C92,""en"",""ur"")"),"گھوڑے کی پیٹھ پر کرتب دکھاتے ہوئے سوار")</f>
        <v>گھوڑے کی پیٹھ پر کرتب دکھاتے ہوئے سوار</v>
      </c>
      <c r="N92" s="2" t="str">
        <f>IFERROR(__xludf.DUMMYFUNCTION("GOOGLETRANSLATE(D92,""en"",""ur"")"),"ٹینٹ پیگنگ ایونٹ میں مقابلہ کرنے والا سوار")</f>
        <v>ٹینٹ پیگنگ ایونٹ میں مقابلہ کرنے والا سوار</v>
      </c>
      <c r="O92" s="2" t="str">
        <f>IFERROR(__xludf.DUMMYFUNCTION("GOOGLETRANSLATE(E92,""en"",""ur"")"),"گھوڑوں کی دوڑ میں سوار")</f>
        <v>گھوڑوں کی دوڑ میں سوار</v>
      </c>
      <c r="P92" s="2" t="str">
        <f>IFERROR(__xludf.DUMMYFUNCTION("GOOGLETRANSLATE(F92,""en"",""ur"")"),"ایک سوار پریڈ کی قیادت کر رہا ہے۔")</f>
        <v>ایک سوار پریڈ کی قیادت کر رہا ہے۔</v>
      </c>
      <c r="Q92" s="2" t="s">
        <v>1029</v>
      </c>
      <c r="R92" s="2" t="str">
        <f>IFERROR(__xludf.DUMMYFUNCTION("GOOGLETRANSLATE(G92,""en"",""ur"")"),"ٹینٹ پیگنگ ایونٹ میں مقابلہ کرنے والا سوار")</f>
        <v>ٹینٹ پیگنگ ایونٹ میں مقابلہ کرنے والا سوار</v>
      </c>
      <c r="S92" s="6" t="s">
        <v>1062</v>
      </c>
    </row>
    <row r="93">
      <c r="A93" s="7">
        <v>92.0</v>
      </c>
      <c r="B93" s="6" t="s">
        <v>963</v>
      </c>
      <c r="C93" s="6" t="s">
        <v>964</v>
      </c>
      <c r="D93" s="6" t="s">
        <v>1063</v>
      </c>
      <c r="E93" s="6" t="s">
        <v>966</v>
      </c>
      <c r="F93" s="6" t="s">
        <v>967</v>
      </c>
      <c r="G93" s="6" t="s">
        <v>1063</v>
      </c>
      <c r="H93" s="6" t="s">
        <v>1062</v>
      </c>
      <c r="K93" s="2" t="str">
        <f>IFERROR(__xludf.DUMMYFUNCTION("GOOGLETRANSLATE(A93,""en"",""ur"")"),"92")</f>
        <v>92</v>
      </c>
      <c r="L93" s="2" t="str">
        <f>IFERROR(__xludf.DUMMYFUNCTION("GOOGLETRANSLATE(B93,""en"",""ur"")"),"سوار کے لباس کے بارے میں ایک قابل ذکر تفصیل کیا ہے؟")</f>
        <v>سوار کے لباس کے بارے میں ایک قابل ذکر تفصیل کیا ہے؟</v>
      </c>
      <c r="M93" s="2" t="str">
        <f>IFERROR(__xludf.DUMMYFUNCTION("GOOGLETRANSLATE(C93,""en"",""ur"")"),"ایک رسمی سوٹ اور ٹائی")</f>
        <v>ایک رسمی سوٹ اور ٹائی</v>
      </c>
      <c r="N93" s="2" t="str">
        <f>IFERROR(__xludf.DUMMYFUNCTION("GOOGLETRANSLATE(D93,""en"",""ur"")"),"سرخ پگڑی اور بنیان والا سفید روایتی لباس")</f>
        <v>سرخ پگڑی اور بنیان والا سفید روایتی لباس</v>
      </c>
      <c r="O93" s="2" t="str">
        <f>IFERROR(__xludf.DUMMYFUNCTION("GOOGLETRANSLATE(E93,""en"",""ur"")"),"فوجی وردی")</f>
        <v>فوجی وردی</v>
      </c>
      <c r="P93" s="2" t="str">
        <f>IFERROR(__xludf.DUMMYFUNCTION("GOOGLETRANSLATE(F93,""en"",""ur"")"),"ایک جدید کھیلوں کا یونیفارم")</f>
        <v>ایک جدید کھیلوں کا یونیفارم</v>
      </c>
      <c r="Q93" s="2" t="s">
        <v>1064</v>
      </c>
      <c r="R93" s="2" t="str">
        <f>IFERROR(__xludf.DUMMYFUNCTION("GOOGLETRANSLATE(G93,""en"",""ur"")"),"سرخ پگڑی اور بنیان والا سفید روایتی لباس")</f>
        <v>سرخ پگڑی اور بنیان والا سفید روایتی لباس</v>
      </c>
      <c r="S93" s="6" t="s">
        <v>1062</v>
      </c>
    </row>
    <row r="94">
      <c r="A94" s="7">
        <v>93.0</v>
      </c>
      <c r="B94" s="6" t="s">
        <v>969</v>
      </c>
      <c r="C94" s="6" t="s">
        <v>970</v>
      </c>
      <c r="D94" s="6" t="s">
        <v>971</v>
      </c>
      <c r="E94" s="6" t="s">
        <v>972</v>
      </c>
      <c r="F94" s="6" t="s">
        <v>973</v>
      </c>
      <c r="G94" s="6" t="s">
        <v>972</v>
      </c>
      <c r="H94" s="6" t="s">
        <v>1062</v>
      </c>
      <c r="K94" s="2" t="str">
        <f>IFERROR(__xludf.DUMMYFUNCTION("GOOGLETRANSLATE(A94,""en"",""ur"")"),"93")</f>
        <v>93</v>
      </c>
      <c r="L94" s="2" t="str">
        <f>IFERROR(__xludf.DUMMYFUNCTION("GOOGLETRANSLATE(B94,""en"",""ur"")"),"سوار نے جو لمبی چھڑی پکڑی ہوئی ہے اس کا ظاہری مقصد کیا ہے؟")</f>
        <v>سوار نے جو لمبی چھڑی پکڑی ہوئی ہے اس کا ظاہری مقصد کیا ہے؟</v>
      </c>
      <c r="M94" s="2" t="str">
        <f>IFERROR(__xludf.DUMMYFUNCTION("GOOGLETRANSLATE(C94,""en"",""ur"")"),"گھوڑے کی رہنمائی کے لیے")</f>
        <v>گھوڑے کی رہنمائی کے لیے</v>
      </c>
      <c r="N94" s="2" t="str">
        <f>IFERROR(__xludf.DUMMYFUNCTION("GOOGLETRANSLATE(D94,""en"",""ur"")"),"توازن کے لیے زمین سے ٹکرانا")</f>
        <v>توازن کے لیے زمین سے ٹکرانا</v>
      </c>
      <c r="O94" s="2" t="str">
        <f>IFERROR(__xludf.DUMMYFUNCTION("GOOGLETRANSLATE(E94,""en"",""ur"")"),"زمین پر چھوٹے اہداف کو نشانہ بنانا")</f>
        <v>زمین پر چھوٹے اہداف کو نشانہ بنانا</v>
      </c>
      <c r="P94" s="2" t="str">
        <f>IFERROR(__xludf.DUMMYFUNCTION("GOOGLETRANSLATE(F94,""en"",""ur"")"),"بطور ہتھیار استعمال کرنا")</f>
        <v>بطور ہتھیار استعمال کرنا</v>
      </c>
      <c r="Q94" s="2" t="s">
        <v>974</v>
      </c>
      <c r="R94" s="2" t="str">
        <f>IFERROR(__xludf.DUMMYFUNCTION("GOOGLETRANSLATE(G94,""en"",""ur"")"),"زمین پر چھوٹے اہداف کو نشانہ بنانا")</f>
        <v>زمین پر چھوٹے اہداف کو نشانہ بنانا</v>
      </c>
      <c r="S94" s="6" t="s">
        <v>1062</v>
      </c>
    </row>
    <row r="95">
      <c r="A95" s="7">
        <v>94.0</v>
      </c>
      <c r="B95" s="6" t="s">
        <v>310</v>
      </c>
      <c r="C95" s="6" t="s">
        <v>429</v>
      </c>
      <c r="D95" s="6" t="s">
        <v>975</v>
      </c>
      <c r="E95" s="6" t="s">
        <v>976</v>
      </c>
      <c r="F95" s="6" t="s">
        <v>977</v>
      </c>
      <c r="G95" s="6" t="s">
        <v>975</v>
      </c>
      <c r="H95" s="6" t="s">
        <v>1062</v>
      </c>
      <c r="K95" s="2" t="str">
        <f>IFERROR(__xludf.DUMMYFUNCTION("GOOGLETRANSLATE(A95,""en"",""ur"")"),"94")</f>
        <v>94</v>
      </c>
      <c r="L95" s="2" t="str">
        <f>IFERROR(__xludf.DUMMYFUNCTION("GOOGLETRANSLATE(B95,""en"",""ur"")"),"سوار کی ظاہری باڈی پوزیشن کیا ہے؟")</f>
        <v>سوار کی ظاہری باڈی پوزیشن کیا ہے؟</v>
      </c>
      <c r="M95" s="2" t="str">
        <f>IFERROR(__xludf.DUMMYFUNCTION("GOOGLETRANSLATE(C95,""en"",""ur"")"),"سیدھا کھڑا ہونا")</f>
        <v>سیدھا کھڑا ہونا</v>
      </c>
      <c r="N95" s="2" t="str">
        <f>IFERROR(__xludf.DUMMYFUNCTION("GOOGLETRANSLATE(D95,""en"",""ur"")"),"نیچے اور طرف جھکنا")</f>
        <v>نیچے اور طرف جھکنا</v>
      </c>
      <c r="O95" s="2" t="str">
        <f>IFERROR(__xludf.DUMMYFUNCTION("GOOGLETRANSLATE(E95,""en"",""ur"")"),"گھوڑے کی پیٹھ پر لیٹنا")</f>
        <v>گھوڑے کی پیٹھ پر لیٹنا</v>
      </c>
      <c r="P95" s="2" t="str">
        <f>IFERROR(__xludf.DUMMYFUNCTION("GOOGLETRANSLATE(F95,""en"",""ur"")"),"آرام سے بیٹھ گیا۔")</f>
        <v>آرام سے بیٹھ گیا۔</v>
      </c>
      <c r="Q95" s="2" t="s">
        <v>978</v>
      </c>
      <c r="R95" s="2" t="str">
        <f>IFERROR(__xludf.DUMMYFUNCTION("GOOGLETRANSLATE(G95,""en"",""ur"")"),"نیچے اور طرف جھکنا")</f>
        <v>نیچے اور طرف جھکنا</v>
      </c>
      <c r="S95" s="6" t="s">
        <v>1062</v>
      </c>
    </row>
    <row r="96">
      <c r="A96" s="7">
        <v>95.0</v>
      </c>
      <c r="B96" s="6" t="s">
        <v>979</v>
      </c>
      <c r="C96" s="6" t="s">
        <v>980</v>
      </c>
      <c r="D96" s="6" t="s">
        <v>981</v>
      </c>
      <c r="E96" s="6" t="s">
        <v>982</v>
      </c>
      <c r="F96" s="6" t="s">
        <v>983</v>
      </c>
      <c r="G96" s="6" t="s">
        <v>982</v>
      </c>
      <c r="H96" s="6" t="s">
        <v>1062</v>
      </c>
      <c r="K96" s="2" t="str">
        <f>IFERROR(__xludf.DUMMYFUNCTION("GOOGLETRANSLATE(A96,""en"",""ur"")"),"95")</f>
        <v>95</v>
      </c>
      <c r="L96" s="2" t="str">
        <f>IFERROR(__xludf.DUMMYFUNCTION("GOOGLETRANSLATE(B96,""en"",""ur"")"),"گھوڑے کے پیچھے زمین کی ظاہری حالت کیا ہے؟")</f>
        <v>گھوڑے کے پیچھے زمین کی ظاہری حالت کیا ہے؟</v>
      </c>
      <c r="M96" s="2" t="str">
        <f>IFERROR(__xludf.DUMMYFUNCTION("GOOGLETRANSLATE(C96,""en"",""ur"")"),"بالکل ہموار")</f>
        <v>بالکل ہموار</v>
      </c>
      <c r="N96" s="2" t="str">
        <f>IFERROR(__xludf.DUMMYFUNCTION("GOOGLETRANSLATE(D96,""en"",""ur"")"),"تازہ گھاس میں ڈھکا ہوا ہے۔")</f>
        <v>تازہ گھاس میں ڈھکا ہوا ہے۔</v>
      </c>
      <c r="O96" s="2" t="str">
        <f>IFERROR(__xludf.DUMMYFUNCTION("GOOGLETRANSLATE(E96,""en"",""ur"")"),"غبار کے بادل میں اُٹھ گیا۔")</f>
        <v>غبار کے بادل میں اُٹھ گیا۔</v>
      </c>
      <c r="P96" s="2" t="str">
        <f>IFERROR(__xludf.DUMMYFUNCTION("GOOGLETRANSLATE(F96,""en"",""ur"")"),"پانی سے بھرا ہوا ۔")</f>
        <v>پانی سے بھرا ہوا ۔</v>
      </c>
      <c r="Q96" s="2" t="s">
        <v>984</v>
      </c>
      <c r="R96" s="2" t="str">
        <f>IFERROR(__xludf.DUMMYFUNCTION("GOOGLETRANSLATE(G96,""en"",""ur"")"),"غبار کے بادل میں اُٹھ گیا۔")</f>
        <v>غبار کے بادل میں اُٹھ گیا۔</v>
      </c>
      <c r="S96" s="6" t="s">
        <v>1062</v>
      </c>
    </row>
    <row r="97">
      <c r="A97" s="7">
        <v>96.0</v>
      </c>
      <c r="B97" s="6" t="s">
        <v>985</v>
      </c>
      <c r="C97" s="6" t="s">
        <v>986</v>
      </c>
      <c r="D97" s="6" t="s">
        <v>987</v>
      </c>
      <c r="E97" s="6" t="s">
        <v>988</v>
      </c>
      <c r="F97" s="6" t="s">
        <v>989</v>
      </c>
      <c r="G97" s="6" t="s">
        <v>987</v>
      </c>
      <c r="H97" s="6" t="s">
        <v>1062</v>
      </c>
      <c r="K97" s="2" t="str">
        <f>IFERROR(__xludf.DUMMYFUNCTION("GOOGLETRANSLATE(A97,""en"",""ur"")"),"96")</f>
        <v>96</v>
      </c>
      <c r="L97" s="2" t="str">
        <f>IFERROR(__xludf.DUMMYFUNCTION("GOOGLETRANSLATE(B97,""en"",""ur"")"),"گھوڑے کے ٹیک کی سب سے نمایاں خصوصیت کیا ہے؟")</f>
        <v>گھوڑے کے ٹیک کی سب سے نمایاں خصوصیت کیا ہے؟</v>
      </c>
      <c r="M97" s="2" t="str">
        <f>IFERROR(__xludf.DUMMYFUNCTION("GOOGLETRANSLATE(C97,""en"",""ur"")"),"یہ ایک سادہ سی کاٹھی ہے۔")</f>
        <v>یہ ایک سادہ سی کاٹھی ہے۔</v>
      </c>
      <c r="N97" s="2" t="str">
        <f>IFERROR(__xludf.DUMMYFUNCTION("GOOGLETRANSLATE(D97,""en"",""ur"")"),"یہ نیلے رنگ کے زیورات کے ساتھ ایک انتہائی آرائشی کاٹھی ہے۔")</f>
        <v>یہ نیلے رنگ کے زیورات کے ساتھ ایک انتہائی آرائشی کاٹھی ہے۔</v>
      </c>
      <c r="O97" s="2" t="str">
        <f>IFERROR(__xludf.DUMMYFUNCTION("GOOGLETRANSLATE(E97,""en"",""ur"")"),"یہ ایک ننگا پیڈ ہے۔")</f>
        <v>یہ ایک ننگا پیڈ ہے۔</v>
      </c>
      <c r="P97" s="2" t="str">
        <f>IFERROR(__xludf.DUMMYFUNCTION("GOOGLETRANSLATE(F97,""en"",""ur"")"),"یہ ایک ریسنگ سیڈل ہے۔")</f>
        <v>یہ ایک ریسنگ سیڈل ہے۔</v>
      </c>
      <c r="Q97" s="2" t="s">
        <v>990</v>
      </c>
      <c r="R97" s="2" t="str">
        <f>IFERROR(__xludf.DUMMYFUNCTION("GOOGLETRANSLATE(G97,""en"",""ur"")"),"یہ نیلے رنگ کے زیورات کے ساتھ ایک انتہائی آرائشی کاٹھی ہے۔")</f>
        <v>یہ نیلے رنگ کے زیورات کے ساتھ ایک انتہائی آرائشی کاٹھی ہے۔</v>
      </c>
      <c r="S97" s="6" t="s">
        <v>1062</v>
      </c>
    </row>
    <row r="98">
      <c r="A98" s="7">
        <v>97.0</v>
      </c>
      <c r="B98" s="6" t="s">
        <v>991</v>
      </c>
      <c r="C98" s="6" t="s">
        <v>992</v>
      </c>
      <c r="D98" s="6" t="s">
        <v>646</v>
      </c>
      <c r="E98" s="6" t="s">
        <v>993</v>
      </c>
      <c r="F98" s="6" t="s">
        <v>425</v>
      </c>
      <c r="G98" s="6" t="s">
        <v>993</v>
      </c>
      <c r="H98" s="6" t="s">
        <v>1062</v>
      </c>
      <c r="K98" s="2" t="str">
        <f>IFERROR(__xludf.DUMMYFUNCTION("GOOGLETRANSLATE(A98,""en"",""ur"")"),"97")</f>
        <v>97</v>
      </c>
      <c r="L98" s="2" t="str">
        <f>IFERROR(__xludf.DUMMYFUNCTION("GOOGLETRANSLATE(B98,""en"",""ur"")"),"واقعہ کی ظاہری ترتیب کیا ہے؟")</f>
        <v>واقعہ کی ظاہری ترتیب کیا ہے؟</v>
      </c>
      <c r="M98" s="2" t="str">
        <f>IFERROR(__xludf.DUMMYFUNCTION("GOOGLETRANSLATE(C98,""en"",""ur"")"),"ایک اندرونی میدان")</f>
        <v>ایک اندرونی میدان</v>
      </c>
      <c r="N98" s="2" t="str">
        <f>IFERROR(__xludf.DUMMYFUNCTION("GOOGLETRANSLATE(D98,""en"",""ur"")"),"شہر کی ایک گلی")</f>
        <v>شہر کی ایک گلی</v>
      </c>
      <c r="O98" s="2" t="str">
        <f>IFERROR(__xludf.DUMMYFUNCTION("GOOGLETRANSLATE(E98,""en"",""ur"")"),"ایک بیرونی گندگی کا ٹریک")</f>
        <v>ایک بیرونی گندگی کا ٹریک</v>
      </c>
      <c r="P98" s="2" t="str">
        <f>IFERROR(__xludf.DUMMYFUNCTION("GOOGLETRANSLATE(F98,""en"",""ur"")"),"گھاس کا میدان")</f>
        <v>گھاس کا میدان</v>
      </c>
      <c r="Q98" s="2" t="s">
        <v>994</v>
      </c>
      <c r="R98" s="2" t="str">
        <f>IFERROR(__xludf.DUMMYFUNCTION("GOOGLETRANSLATE(G98,""en"",""ur"")"),"ایک بیرونی گندگی کا ٹریک")</f>
        <v>ایک بیرونی گندگی کا ٹریک</v>
      </c>
      <c r="S98" s="6" t="s">
        <v>1062</v>
      </c>
    </row>
    <row r="99">
      <c r="A99" s="7">
        <v>98.0</v>
      </c>
      <c r="B99" s="6" t="s">
        <v>1036</v>
      </c>
      <c r="C99" s="6" t="s">
        <v>95</v>
      </c>
      <c r="D99" s="6" t="s">
        <v>96</v>
      </c>
      <c r="E99" s="6" t="s">
        <v>1015</v>
      </c>
      <c r="F99" s="6" t="s">
        <v>258</v>
      </c>
      <c r="G99" s="6" t="s">
        <v>1015</v>
      </c>
      <c r="H99" s="6" t="s">
        <v>1062</v>
      </c>
      <c r="K99" s="2" t="str">
        <f>IFERROR(__xludf.DUMMYFUNCTION("GOOGLETRANSLATE(A99,""en"",""ur"")"),"98")</f>
        <v>98</v>
      </c>
      <c r="L99" s="2" t="str">
        <f>IFERROR(__xludf.DUMMYFUNCTION("GOOGLETRANSLATE(B99,""en"",""ur"")"),"کھیل کا نام کیا ہے؟")</f>
        <v>کھیل کا نام کیا ہے؟</v>
      </c>
      <c r="M99" s="2" t="str">
        <f>IFERROR(__xludf.DUMMYFUNCTION("GOOGLETRANSLATE(C99,""en"",""ur"")"),"پولو")</f>
        <v>پولو</v>
      </c>
      <c r="N99" s="2" t="str">
        <f>IFERROR(__xludf.DUMMYFUNCTION("GOOGLETRANSLATE(D99,""en"",""ur"")"),"گھوڑوں کی دوڑ")</f>
        <v>گھوڑوں کی دوڑ</v>
      </c>
      <c r="O99" s="2" t="str">
        <f>IFERROR(__xludf.DUMMYFUNCTION("GOOGLETRANSLATE(E99,""en"",""ur"")"),"ٹینٹ پیگنگ")</f>
        <v>ٹینٹ پیگنگ</v>
      </c>
      <c r="P99" s="2" t="str">
        <f>IFERROR(__xludf.DUMMYFUNCTION("GOOGLETRANSLATE(F99,""en"",""ur"")"),"گھڑ سواری کے کھیل")</f>
        <v>گھڑ سواری کے کھیل</v>
      </c>
      <c r="Q99" s="2" t="s">
        <v>1016</v>
      </c>
      <c r="R99" s="2" t="str">
        <f>IFERROR(__xludf.DUMMYFUNCTION("GOOGLETRANSLATE(G99,""en"",""ur"")"),"ٹینٹ پیگنگ")</f>
        <v>ٹینٹ پیگنگ</v>
      </c>
      <c r="S99" s="6" t="s">
        <v>1062</v>
      </c>
    </row>
    <row r="100">
      <c r="A100" s="7">
        <v>99.0</v>
      </c>
      <c r="B100" s="6" t="s">
        <v>316</v>
      </c>
      <c r="C100" s="6" t="s">
        <v>47</v>
      </c>
      <c r="D100" s="6" t="s">
        <v>48</v>
      </c>
      <c r="E100" s="6" t="s">
        <v>49</v>
      </c>
      <c r="F100" s="6" t="s">
        <v>50</v>
      </c>
      <c r="G100" s="6" t="s">
        <v>49</v>
      </c>
      <c r="H100" s="6" t="s">
        <v>1062</v>
      </c>
      <c r="K100" s="2" t="str">
        <f>IFERROR(__xludf.DUMMYFUNCTION("GOOGLETRANSLATE(A100,""en"",""ur"")"),"99")</f>
        <v>99</v>
      </c>
      <c r="L100" s="2" t="str">
        <f>IFERROR(__xludf.DUMMYFUNCTION("GOOGLETRANSLATE(B100,""en"",""ur"")"),"سوار کے چہرے سے ظاہری جذبات کیا ہیں؟")</f>
        <v>سوار کے چہرے سے ظاہری جذبات کیا ہیں؟</v>
      </c>
      <c r="M100" s="2" t="str">
        <f>IFERROR(__xludf.DUMMYFUNCTION("GOOGLETRANSLATE(C100,""en"",""ur"")"),"پرسکون اور پر سکون")</f>
        <v>پرسکون اور پر سکون</v>
      </c>
      <c r="N100" s="2" t="str">
        <f>IFERROR(__xludf.DUMMYFUNCTION("GOOGLETRANSLATE(D100,""en"",""ur"")"),"خوف زدہ اور بے چین")</f>
        <v>خوف زدہ اور بے چین</v>
      </c>
      <c r="O100" s="2" t="str">
        <f>IFERROR(__xludf.DUMMYFUNCTION("GOOGLETRANSLATE(E100,""en"",""ur"")"),"کشیدہ اور شدید")</f>
        <v>کشیدہ اور شدید</v>
      </c>
      <c r="P100" s="2" t="str">
        <f>IFERROR(__xludf.DUMMYFUNCTION("GOOGLETRANSLATE(F100,""en"",""ur"")"),"خوش اور مسکراتے ہوئے۔")</f>
        <v>خوش اور مسکراتے ہوئے۔</v>
      </c>
      <c r="Q100" s="2" t="s">
        <v>51</v>
      </c>
      <c r="R100" s="2" t="str">
        <f>IFERROR(__xludf.DUMMYFUNCTION("GOOGLETRANSLATE(G100,""en"",""ur"")"),"کشیدہ اور شدید")</f>
        <v>کشیدہ اور شدید</v>
      </c>
      <c r="S100" s="6" t="s">
        <v>1062</v>
      </c>
    </row>
    <row r="101">
      <c r="A101" s="7">
        <v>100.0</v>
      </c>
      <c r="B101" s="6" t="s">
        <v>260</v>
      </c>
      <c r="C101" s="6" t="s">
        <v>261</v>
      </c>
      <c r="D101" s="6" t="s">
        <v>262</v>
      </c>
      <c r="E101" s="6" t="s">
        <v>263</v>
      </c>
      <c r="F101" s="6" t="s">
        <v>1001</v>
      </c>
      <c r="G101" s="6" t="s">
        <v>1001</v>
      </c>
      <c r="H101" s="6" t="s">
        <v>1062</v>
      </c>
      <c r="K101" s="2" t="str">
        <f>IFERROR(__xludf.DUMMYFUNCTION("GOOGLETRANSLATE(A101,""en"",""ur"")"),"100")</f>
        <v>100</v>
      </c>
      <c r="L101" s="2" t="str">
        <f>IFERROR(__xludf.DUMMYFUNCTION("GOOGLETRANSLATE(B101,""en"",""ur"")"),"تصویر میں ایکشن ایک ایسا انداز تجویز کرتا ہے جو اس بات پر زور دیتا ہے...")</f>
        <v>تصویر میں ایکشن ایک ایسا انداز تجویز کرتا ہے جو اس بات پر زور دیتا ہے...</v>
      </c>
      <c r="M101" s="2" t="str">
        <f>IFERROR(__xludf.DUMMYFUNCTION("GOOGLETRANSLATE(C101,""en"",""ur"")"),"روانی اور قلابازیاں")</f>
        <v>روانی اور قلابازیاں</v>
      </c>
      <c r="N101" s="2" t="str">
        <f>IFERROR(__xludf.DUMMYFUNCTION("GOOGLETRANSLATE(D101,""en"",""ur"")"),"زمینی لڑائی اور گرفت")</f>
        <v>زمینی لڑائی اور گرفت</v>
      </c>
      <c r="O101" s="2" t="str">
        <f>IFERROR(__xludf.DUMMYFUNCTION("GOOGLETRANSLATE(E101,""en"",""ur"")"),"وحشیانہ قوت اور گھڑ سواری۔")</f>
        <v>وحشیانہ قوت اور گھڑ سواری۔</v>
      </c>
      <c r="P101" s="2" t="str">
        <f>IFERROR(__xludf.DUMMYFUNCTION("GOOGLETRANSLATE(F101,""en"",""ur"")"),"رفتار، درستگی اور چستی")</f>
        <v>رفتار، درستگی اور چستی</v>
      </c>
      <c r="Q101" s="2" t="s">
        <v>1002</v>
      </c>
      <c r="R101" s="2" t="str">
        <f>IFERROR(__xludf.DUMMYFUNCTION("GOOGLETRANSLATE(G101,""en"",""ur"")"),"رفتار، درستگی اور چستی")</f>
        <v>رفتار، درستگی اور چستی</v>
      </c>
      <c r="S101" s="6" t="s">
        <v>1062</v>
      </c>
    </row>
    <row r="102">
      <c r="A102" s="7">
        <v>101.0</v>
      </c>
      <c r="B102" s="6" t="s">
        <v>1003</v>
      </c>
      <c r="C102" s="6" t="s">
        <v>103</v>
      </c>
      <c r="D102" s="6" t="s">
        <v>1065</v>
      </c>
      <c r="E102" s="6" t="s">
        <v>73</v>
      </c>
      <c r="F102" s="6" t="s">
        <v>1066</v>
      </c>
      <c r="G102" s="6" t="s">
        <v>1065</v>
      </c>
      <c r="H102" s="6" t="s">
        <v>1005</v>
      </c>
      <c r="K102" s="2" t="str">
        <f>IFERROR(__xludf.DUMMYFUNCTION("GOOGLETRANSLATE(A102,""en"",""ur"")"),"101")</f>
        <v>101</v>
      </c>
      <c r="L102" s="2" t="str">
        <f>IFERROR(__xludf.DUMMYFUNCTION("GOOGLETRANSLATE(B102,""en"",""ur"")"),"tent_pegging_33 میں دکھائی جانے والی اہم کارروائی کیا ہے؟")</f>
        <v>tent_pegging_33 میں دکھائی جانے والی اہم کارروائی کیا ہے؟</v>
      </c>
      <c r="M102" s="2" t="str">
        <f>IFERROR(__xludf.DUMMYFUNCTION("GOOGLETRANSLATE(C102,""en"",""ur"")"),"آرام سے گھوڑے کی سواری۔")</f>
        <v>آرام سے گھوڑے کی سواری۔</v>
      </c>
      <c r="N102" s="2" t="str">
        <f>IFERROR(__xludf.DUMMYFUNCTION("GOOGLETRANSLATE(D102,""en"",""ur"")"),"پریڈ کی تشکیل میں سواروں کا ایک گروپ")</f>
        <v>پریڈ کی تشکیل میں سواروں کا ایک گروپ</v>
      </c>
      <c r="O102" s="2" t="str">
        <f>IFERROR(__xludf.DUMMYFUNCTION("GOOGLETRANSLATE(E102,""en"",""ur"")"),"گھوڑوں کی دوڑ")</f>
        <v>گھوڑوں کی دوڑ</v>
      </c>
      <c r="P102" s="2" t="str">
        <f>IFERROR(__xludf.DUMMYFUNCTION("GOOGLETRANSLATE(F102,""en"",""ur"")"),"لڑنے والے سواروں کا ایک گروہ")</f>
        <v>لڑنے والے سواروں کا ایک گروہ</v>
      </c>
      <c r="Q102" s="2" t="s">
        <v>1067</v>
      </c>
      <c r="R102" s="2" t="str">
        <f>IFERROR(__xludf.DUMMYFUNCTION("GOOGLETRANSLATE(G102,""en"",""ur"")"),"پریڈ کی تشکیل میں سواروں کا ایک گروپ")</f>
        <v>پریڈ کی تشکیل میں سواروں کا ایک گروپ</v>
      </c>
      <c r="S102" s="6" t="s">
        <v>1005</v>
      </c>
    </row>
    <row r="103">
      <c r="A103" s="7">
        <v>102.0</v>
      </c>
      <c r="B103" s="6" t="s">
        <v>1007</v>
      </c>
      <c r="C103" s="6" t="s">
        <v>1008</v>
      </c>
      <c r="D103" s="6" t="s">
        <v>1009</v>
      </c>
      <c r="E103" s="6" t="s">
        <v>245</v>
      </c>
      <c r="F103" s="6" t="s">
        <v>246</v>
      </c>
      <c r="G103" s="6" t="s">
        <v>1009</v>
      </c>
      <c r="H103" s="6" t="s">
        <v>1005</v>
      </c>
      <c r="K103" s="2" t="str">
        <f>IFERROR(__xludf.DUMMYFUNCTION("GOOGLETRANSLATE(A103,""en"",""ur"")"),"102")</f>
        <v>102</v>
      </c>
      <c r="L103" s="2" t="str">
        <f>IFERROR(__xludf.DUMMYFUNCTION("GOOGLETRANSLATE(B103,""en"",""ur"")"),"سواروں کے لباس کے بارے میں ایک قابل ذکر تفصیل کیا ہے؟")</f>
        <v>سواروں کے لباس کے بارے میں ایک قابل ذکر تفصیل کیا ہے؟</v>
      </c>
      <c r="M103" s="2" t="str">
        <f>IFERROR(__xludf.DUMMYFUNCTION("GOOGLETRANSLATE(C103,""en"",""ur"")"),"انہوں نے فوجی وردی پہن رکھی ہے۔")</f>
        <v>انہوں نے فوجی وردی پہن رکھی ہے۔</v>
      </c>
      <c r="N103" s="2" t="str">
        <f>IFERROR(__xludf.DUMMYFUNCTION("GOOGLETRANSLATE(D103,""en"",""ur"")"),"وہ لمبی پگڑیوں اور نیلی واسکٹ کے ساتھ سفید روایتی لباس پہنے ہوئے ہیں۔")</f>
        <v>وہ لمبی پگڑیوں اور نیلی واسکٹ کے ساتھ سفید روایتی لباس پہنے ہوئے ہیں۔</v>
      </c>
      <c r="O103" s="2" t="str">
        <f>IFERROR(__xludf.DUMMYFUNCTION("GOOGLETRANSLATE(E103,""en"",""ur"")"),"وہ رسمی سوٹ پہنے ہوئے ہیں۔")</f>
        <v>وہ رسمی سوٹ پہنے ہوئے ہیں۔</v>
      </c>
      <c r="P103" s="2" t="str">
        <f>IFERROR(__xludf.DUMMYFUNCTION("GOOGLETRANSLATE(F103,""en"",""ur"")"),"انہوں نے کوئی لباس نہیں پہنا ہوا ہے۔")</f>
        <v>انہوں نے کوئی لباس نہیں پہنا ہوا ہے۔</v>
      </c>
      <c r="Q103" s="2" t="s">
        <v>1010</v>
      </c>
      <c r="R103" s="2" t="str">
        <f>IFERROR(__xludf.DUMMYFUNCTION("GOOGLETRANSLATE(G103,""en"",""ur"")"),"وہ لمبی پگڑیوں اور نیلی واسکٹ کے ساتھ سفید روایتی لباس پہنے ہوئے ہیں۔")</f>
        <v>وہ لمبی پگڑیوں اور نیلی واسکٹ کے ساتھ سفید روایتی لباس پہنے ہوئے ہیں۔</v>
      </c>
      <c r="S103" s="6" t="s">
        <v>1005</v>
      </c>
    </row>
    <row r="104">
      <c r="A104" s="7">
        <v>103.0</v>
      </c>
      <c r="B104" s="6" t="s">
        <v>1011</v>
      </c>
      <c r="C104" s="6" t="s">
        <v>59</v>
      </c>
      <c r="D104" s="6" t="s">
        <v>1012</v>
      </c>
      <c r="E104" s="6" t="s">
        <v>1013</v>
      </c>
      <c r="F104" s="6" t="s">
        <v>268</v>
      </c>
      <c r="G104" s="6" t="s">
        <v>1012</v>
      </c>
      <c r="H104" s="6" t="s">
        <v>1005</v>
      </c>
      <c r="K104" s="2" t="str">
        <f>IFERROR(__xludf.DUMMYFUNCTION("GOOGLETRANSLATE(A104,""en"",""ur"")"),"103")</f>
        <v>103</v>
      </c>
      <c r="L104" s="2" t="str">
        <f>IFERROR(__xludf.DUMMYFUNCTION("GOOGLETRANSLATE(B104,""en"",""ur"")"),"گھوڑوں کے بارے میں نظر آنے والی تفصیل کیا ہے؟")</f>
        <v>گھوڑوں کے بارے میں نظر آنے والی تفصیل کیا ہے؟</v>
      </c>
      <c r="M104" s="2" t="str">
        <f>IFERROR(__xludf.DUMMYFUNCTION("GOOGLETRANSLATE(C104,""en"",""ur"")"),"وہ سب ایک ہی رنگ کے ہیں۔")</f>
        <v>وہ سب ایک ہی رنگ کے ہیں۔</v>
      </c>
      <c r="N104" s="2" t="str">
        <f>IFERROR(__xludf.DUMMYFUNCTION("GOOGLETRANSLATE(D104,""en"",""ur"")"),"وہ زیادہ تر سفید گھوڑے ہیں جن میں آرائشی ٹیک ہیں۔")</f>
        <v>وہ زیادہ تر سفید گھوڑے ہیں جن میں آرائشی ٹیک ہیں۔</v>
      </c>
      <c r="O104" s="2" t="str">
        <f>IFERROR(__xludf.DUMMYFUNCTION("GOOGLETRANSLATE(E104,""en"",""ur"")"),"وہ سب کوئی سیڈل نہیں پہنے ہوئے ہیں۔")</f>
        <v>وہ سب کوئی سیڈل نہیں پہنے ہوئے ہیں۔</v>
      </c>
      <c r="P104" s="2" t="str">
        <f>IFERROR(__xludf.DUMMYFUNCTION("GOOGLETRANSLATE(F104,""en"",""ur"")"),"وہ سب خاموش کھڑے ہیں۔")</f>
        <v>وہ سب خاموش کھڑے ہیں۔</v>
      </c>
      <c r="Q104" s="2" t="s">
        <v>1014</v>
      </c>
      <c r="R104" s="2" t="str">
        <f>IFERROR(__xludf.DUMMYFUNCTION("GOOGLETRANSLATE(G104,""en"",""ur"")"),"وہ زیادہ تر سفید گھوڑے ہیں جن میں آرائشی ٹیک ہیں۔")</f>
        <v>وہ زیادہ تر سفید گھوڑے ہیں جن میں آرائشی ٹیک ہیں۔</v>
      </c>
      <c r="S104" s="6" t="s">
        <v>1005</v>
      </c>
    </row>
    <row r="105">
      <c r="A105" s="7">
        <v>104.0</v>
      </c>
      <c r="B105" s="6" t="s">
        <v>248</v>
      </c>
      <c r="C105" s="6" t="s">
        <v>249</v>
      </c>
      <c r="D105" s="6" t="s">
        <v>250</v>
      </c>
      <c r="E105" s="6" t="s">
        <v>251</v>
      </c>
      <c r="F105" s="6" t="s">
        <v>252</v>
      </c>
      <c r="G105" s="6" t="s">
        <v>252</v>
      </c>
      <c r="H105" s="6" t="s">
        <v>1005</v>
      </c>
      <c r="K105" s="2" t="str">
        <f>IFERROR(__xludf.DUMMYFUNCTION("GOOGLETRANSLATE(A105,""en"",""ur"")"),"104")</f>
        <v>104</v>
      </c>
      <c r="L105" s="2" t="str">
        <f>IFERROR(__xludf.DUMMYFUNCTION("GOOGLETRANSLATE(B105,""en"",""ur"")"),"سواروں کی ظاہری باڈی پوزیشن کیا ہے؟")</f>
        <v>سواروں کی ظاہری باڈی پوزیشن کیا ہے؟</v>
      </c>
      <c r="M105" s="2" t="str">
        <f>IFERROR(__xludf.DUMMYFUNCTION("GOOGLETRANSLATE(C105,""en"",""ur"")"),"وہ سیدھے کھڑے ہیں۔")</f>
        <v>وہ سیدھے کھڑے ہیں۔</v>
      </c>
      <c r="N105" s="2" t="str">
        <f>IFERROR(__xludf.DUMMYFUNCTION("GOOGLETRANSLATE(D105,""en"",""ur"")"),"وہ جھک رہے ہیں اور کسی چیز تک پہنچ رہے ہیں۔")</f>
        <v>وہ جھک رہے ہیں اور کسی چیز تک پہنچ رہے ہیں۔</v>
      </c>
      <c r="O105" s="2" t="str">
        <f>IFERROR(__xludf.DUMMYFUNCTION("GOOGLETRANSLATE(E105,""en"",""ur"")"),"وہ گھوڑوں کی پیٹھ پر لیٹے ہوئے ہیں۔")</f>
        <v>وہ گھوڑوں کی پیٹھ پر لیٹے ہوئے ہیں۔</v>
      </c>
      <c r="P105" s="2" t="str">
        <f>IFERROR(__xludf.DUMMYFUNCTION("GOOGLETRANSLATE(F105,""en"",""ur"")"),"وہ آرام سے بیٹھے ہیں۔")</f>
        <v>وہ آرام سے بیٹھے ہیں۔</v>
      </c>
      <c r="Q105" s="2" t="s">
        <v>253</v>
      </c>
      <c r="R105" s="2" t="str">
        <f>IFERROR(__xludf.DUMMYFUNCTION("GOOGLETRANSLATE(G105,""en"",""ur"")"),"وہ آرام سے بیٹھے ہیں۔")</f>
        <v>وہ آرام سے بیٹھے ہیں۔</v>
      </c>
      <c r="S105" s="6" t="s">
        <v>1005</v>
      </c>
    </row>
    <row r="106">
      <c r="A106" s="7">
        <v>105.0</v>
      </c>
      <c r="B106" s="6" t="s">
        <v>254</v>
      </c>
      <c r="C106" s="6" t="s">
        <v>47</v>
      </c>
      <c r="D106" s="6" t="s">
        <v>48</v>
      </c>
      <c r="E106" s="6" t="s">
        <v>49</v>
      </c>
      <c r="F106" s="6" t="s">
        <v>50</v>
      </c>
      <c r="G106" s="6" t="s">
        <v>50</v>
      </c>
      <c r="H106" s="6" t="s">
        <v>1005</v>
      </c>
      <c r="K106" s="2" t="str">
        <f>IFERROR(__xludf.DUMMYFUNCTION("GOOGLETRANSLATE(A106,""en"",""ur"")"),"105")</f>
        <v>105</v>
      </c>
      <c r="L106" s="2" t="str">
        <f>IFERROR(__xludf.DUMMYFUNCTION("GOOGLETRANSLATE(B106,""en"",""ur"")"),"سواروں کے چہروں سے ظاہری جذبات کیا ہیں؟")</f>
        <v>سواروں کے چہروں سے ظاہری جذبات کیا ہیں؟</v>
      </c>
      <c r="M106" s="2" t="str">
        <f>IFERROR(__xludf.DUMMYFUNCTION("GOOGLETRANSLATE(C106,""en"",""ur"")"),"پرسکون اور پر سکون")</f>
        <v>پرسکون اور پر سکون</v>
      </c>
      <c r="N106" s="2" t="str">
        <f>IFERROR(__xludf.DUMMYFUNCTION("GOOGLETRANSLATE(D106,""en"",""ur"")"),"خوف زدہ اور بے چین")</f>
        <v>خوف زدہ اور بے چین</v>
      </c>
      <c r="O106" s="2" t="str">
        <f>IFERROR(__xludf.DUMMYFUNCTION("GOOGLETRANSLATE(E106,""en"",""ur"")"),"کشیدہ اور شدید")</f>
        <v>کشیدہ اور شدید</v>
      </c>
      <c r="P106" s="2" t="str">
        <f>IFERROR(__xludf.DUMMYFUNCTION("GOOGLETRANSLATE(F106,""en"",""ur"")"),"خوش اور مسکراتے ہوئے۔")</f>
        <v>خوش اور مسکراتے ہوئے۔</v>
      </c>
      <c r="Q106" s="2" t="s">
        <v>51</v>
      </c>
      <c r="R106" s="2" t="str">
        <f>IFERROR(__xludf.DUMMYFUNCTION("GOOGLETRANSLATE(G106,""en"",""ur"")"),"خوش اور مسکراتے ہوئے۔")</f>
        <v>خوش اور مسکراتے ہوئے۔</v>
      </c>
      <c r="S106" s="6" t="s">
        <v>1005</v>
      </c>
    </row>
    <row r="107">
      <c r="A107" s="7">
        <v>106.0</v>
      </c>
      <c r="B107" s="6" t="s">
        <v>88</v>
      </c>
      <c r="C107" s="6" t="s">
        <v>89</v>
      </c>
      <c r="D107" s="6" t="s">
        <v>90</v>
      </c>
      <c r="E107" s="6" t="s">
        <v>91</v>
      </c>
      <c r="F107" s="6" t="s">
        <v>255</v>
      </c>
      <c r="G107" s="6" t="s">
        <v>91</v>
      </c>
      <c r="H107" s="6" t="s">
        <v>1005</v>
      </c>
      <c r="K107" s="2" t="str">
        <f>IFERROR(__xludf.DUMMYFUNCTION("GOOGLETRANSLATE(A107,""en"",""ur"")"),"106")</f>
        <v>106</v>
      </c>
      <c r="L107" s="2" t="str">
        <f>IFERROR(__xludf.DUMMYFUNCTION("GOOGLETRANSLATE(B107,""en"",""ur"")"),"زمین کی سب سے نمایاں خصوصیت کیا ہے؟")</f>
        <v>زمین کی سب سے نمایاں خصوصیت کیا ہے؟</v>
      </c>
      <c r="M107" s="2" t="str">
        <f>IFERROR(__xludf.DUMMYFUNCTION("GOOGLETRANSLATE(C107,""en"",""ur"")"),"ایک پکی سطح")</f>
        <v>ایک پکی سطح</v>
      </c>
      <c r="N107" s="2" t="str">
        <f>IFERROR(__xludf.DUMMYFUNCTION("GOOGLETRANSLATE(D107,""en"",""ur"")"),"کیچڑ والا میدان")</f>
        <v>کیچڑ والا میدان</v>
      </c>
      <c r="O107" s="2" t="str">
        <f>IFERROR(__xludf.DUMMYFUNCTION("GOOGLETRANSLATE(E107,""en"",""ur"")"),"ایک گھاس دار سطح")</f>
        <v>ایک گھاس دار سطح</v>
      </c>
      <c r="P107" s="2" t="str">
        <f>IFERROR(__xludf.DUMMYFUNCTION("GOOGLETRANSLATE(F107,""en"",""ur"")"),"ریتلی یا گندگی کی سطح")</f>
        <v>ریتلی یا گندگی کی سطح</v>
      </c>
      <c r="Q107" s="2" t="s">
        <v>256</v>
      </c>
      <c r="R107" s="2" t="str">
        <f>IFERROR(__xludf.DUMMYFUNCTION("GOOGLETRANSLATE(G107,""en"",""ur"")"),"ایک گھاس دار سطح")</f>
        <v>ایک گھاس دار سطح</v>
      </c>
      <c r="S107" s="6" t="s">
        <v>1005</v>
      </c>
    </row>
    <row r="108">
      <c r="A108" s="7">
        <v>107.0</v>
      </c>
      <c r="B108" s="6" t="s">
        <v>257</v>
      </c>
      <c r="C108" s="6" t="s">
        <v>95</v>
      </c>
      <c r="D108" s="6" t="s">
        <v>96</v>
      </c>
      <c r="E108" s="6" t="s">
        <v>1015</v>
      </c>
      <c r="F108" s="6" t="s">
        <v>258</v>
      </c>
      <c r="G108" s="6" t="s">
        <v>1015</v>
      </c>
      <c r="H108" s="6" t="s">
        <v>1005</v>
      </c>
      <c r="K108" s="2" t="str">
        <f>IFERROR(__xludf.DUMMYFUNCTION("GOOGLETRANSLATE(A108,""en"",""ur"")"),"107")</f>
        <v>107</v>
      </c>
      <c r="L108" s="2" t="str">
        <f>IFERROR(__xludf.DUMMYFUNCTION("GOOGLETRANSLATE(B108,""en"",""ur"")"),"کھیلے جانے والے کھیل کا نام کیا ہے؟")</f>
        <v>کھیلے جانے والے کھیل کا نام کیا ہے؟</v>
      </c>
      <c r="M108" s="2" t="str">
        <f>IFERROR(__xludf.DUMMYFUNCTION("GOOGLETRANSLATE(C108,""en"",""ur"")"),"پولو")</f>
        <v>پولو</v>
      </c>
      <c r="N108" s="2" t="str">
        <f>IFERROR(__xludf.DUMMYFUNCTION("GOOGLETRANSLATE(D108,""en"",""ur"")"),"گھوڑوں کی دوڑ")</f>
        <v>گھوڑوں کی دوڑ</v>
      </c>
      <c r="O108" s="2" t="str">
        <f>IFERROR(__xludf.DUMMYFUNCTION("GOOGLETRANSLATE(E108,""en"",""ur"")"),"ٹینٹ پیگنگ")</f>
        <v>ٹینٹ پیگنگ</v>
      </c>
      <c r="P108" s="2" t="str">
        <f>IFERROR(__xludf.DUMMYFUNCTION("GOOGLETRANSLATE(F108,""en"",""ur"")"),"گھڑ سواری کے کھیل")</f>
        <v>گھڑ سواری کے کھیل</v>
      </c>
      <c r="Q108" s="2" t="s">
        <v>1016</v>
      </c>
      <c r="R108" s="2" t="str">
        <f>IFERROR(__xludf.DUMMYFUNCTION("GOOGLETRANSLATE(G108,""en"",""ur"")"),"ٹینٹ پیگنگ")</f>
        <v>ٹینٹ پیگنگ</v>
      </c>
      <c r="S108" s="6" t="s">
        <v>1005</v>
      </c>
    </row>
    <row r="109">
      <c r="A109" s="7">
        <v>108.0</v>
      </c>
      <c r="B109" s="6" t="s">
        <v>260</v>
      </c>
      <c r="C109" s="6" t="s">
        <v>261</v>
      </c>
      <c r="D109" s="6" t="s">
        <v>1017</v>
      </c>
      <c r="E109" s="6" t="s">
        <v>263</v>
      </c>
      <c r="F109" s="6" t="s">
        <v>264</v>
      </c>
      <c r="G109" s="6" t="s">
        <v>1017</v>
      </c>
      <c r="H109" s="6" t="s">
        <v>1005</v>
      </c>
      <c r="K109" s="2" t="str">
        <f>IFERROR(__xludf.DUMMYFUNCTION("GOOGLETRANSLATE(A109,""en"",""ur"")"),"108")</f>
        <v>108</v>
      </c>
      <c r="L109" s="2" t="str">
        <f>IFERROR(__xludf.DUMMYFUNCTION("GOOGLETRANSLATE(B109,""en"",""ur"")"),"تصویر میں ایکشن ایک ایسا انداز تجویز کرتا ہے جو اس بات پر زور دیتا ہے...")</f>
        <v>تصویر میں ایکشن ایک ایسا انداز تجویز کرتا ہے جو اس بات پر زور دیتا ہے...</v>
      </c>
      <c r="M109" s="2" t="str">
        <f>IFERROR(__xludf.DUMMYFUNCTION("GOOGLETRANSLATE(C109,""en"",""ur"")"),"روانی اور قلابازیاں")</f>
        <v>روانی اور قلابازیاں</v>
      </c>
      <c r="N109" s="2" t="str">
        <f>IFERROR(__xludf.DUMMYFUNCTION("GOOGLETRANSLATE(D109,""en"",""ur"")"),"گروپ کی تشکیل اور رسمی نمائش")</f>
        <v>گروپ کی تشکیل اور رسمی نمائش</v>
      </c>
      <c r="O109" s="2" t="str">
        <f>IFERROR(__xludf.DUMMYFUNCTION("GOOGLETRANSLATE(E109,""en"",""ur"")"),"وحشیانہ قوت اور گھڑ سواری۔")</f>
        <v>وحشیانہ قوت اور گھڑ سواری۔</v>
      </c>
      <c r="P109" s="2" t="str">
        <f>IFERROR(__xludf.DUMMYFUNCTION("GOOGLETRANSLATE(F109,""en"",""ur"")"),"سادہ، لکیری حرکات")</f>
        <v>سادہ، لکیری حرکات</v>
      </c>
      <c r="Q109" s="2" t="s">
        <v>1018</v>
      </c>
      <c r="R109" s="2" t="str">
        <f>IFERROR(__xludf.DUMMYFUNCTION("GOOGLETRANSLATE(G109,""en"",""ur"")"),"گروپ کی تشکیل اور رسمی نمائش")</f>
        <v>گروپ کی تشکیل اور رسمی نمائش</v>
      </c>
      <c r="S109" s="6" t="s">
        <v>1005</v>
      </c>
    </row>
    <row r="110">
      <c r="A110" s="7">
        <v>109.0</v>
      </c>
      <c r="B110" s="6" t="s">
        <v>1019</v>
      </c>
      <c r="C110" s="6" t="s">
        <v>1020</v>
      </c>
      <c r="D110" s="6" t="s">
        <v>1021</v>
      </c>
      <c r="E110" s="6" t="s">
        <v>1022</v>
      </c>
      <c r="F110" s="6" t="s">
        <v>1023</v>
      </c>
      <c r="G110" s="6" t="s">
        <v>1022</v>
      </c>
      <c r="H110" s="6" t="s">
        <v>1005</v>
      </c>
      <c r="K110" s="2" t="str">
        <f>IFERROR(__xludf.DUMMYFUNCTION("GOOGLETRANSLATE(A110,""en"",""ur"")"),"109")</f>
        <v>109</v>
      </c>
      <c r="L110" s="2" t="str">
        <f>IFERROR(__xludf.DUMMYFUNCTION("GOOGLETRANSLATE(B110,""en"",""ur"")"),"لمبی چھڑیوں کے بارے میں ایک قابل ذکر تفصیل کیا ہے جو سواروں کے پاس ہے؟")</f>
        <v>لمبی چھڑیوں کے بارے میں ایک قابل ذکر تفصیل کیا ہے جو سواروں کے پاس ہے؟</v>
      </c>
      <c r="M110" s="2" t="str">
        <f>IFERROR(__xludf.DUMMYFUNCTION("GOOGLETRANSLATE(C110,""en"",""ur"")"),"انہیں ہتھیار کے طور پر استعمال کیا جاتا ہے۔")</f>
        <v>انہیں ہتھیار کے طور پر استعمال کیا جاتا ہے۔</v>
      </c>
      <c r="N110" s="2" t="str">
        <f>IFERROR(__xludf.DUMMYFUNCTION("GOOGLETRANSLATE(D110,""en"",""ur"")"),"وہ گھوڑوں کی رہنمائی کے لیے استعمال ہوتے ہیں۔")</f>
        <v>وہ گھوڑوں کی رہنمائی کے لیے استعمال ہوتے ہیں۔</v>
      </c>
      <c r="O110" s="2" t="str">
        <f>IFERROR(__xludf.DUMMYFUNCTION("GOOGLETRANSLATE(E110,""en"",""ur"")"),"وہ ربن اور tassels کے ساتھ سجایا جاتا ہے")</f>
        <v>وہ ربن اور tassels کے ساتھ سجایا جاتا ہے</v>
      </c>
      <c r="P110" s="2" t="str">
        <f>IFERROR(__xludf.DUMMYFUNCTION("GOOGLETRANSLATE(F110,""en"",""ur"")"),"وہ جھنڈے کے طور پر استعمال ہوتے ہیں۔")</f>
        <v>وہ جھنڈے کے طور پر استعمال ہوتے ہیں۔</v>
      </c>
      <c r="Q110" s="2" t="s">
        <v>1024</v>
      </c>
      <c r="R110" s="2" t="str">
        <f>IFERROR(__xludf.DUMMYFUNCTION("GOOGLETRANSLATE(G110,""en"",""ur"")"),"وہ ربن اور tassels کے ساتھ سجایا جاتا ہے")</f>
        <v>وہ ربن اور tassels کے ساتھ سجایا جاتا ہے</v>
      </c>
      <c r="S110" s="6" t="s">
        <v>1005</v>
      </c>
    </row>
    <row r="111">
      <c r="A111" s="7">
        <v>110.0</v>
      </c>
      <c r="B111" s="6" t="s">
        <v>991</v>
      </c>
      <c r="C111" s="6" t="s">
        <v>992</v>
      </c>
      <c r="D111" s="6" t="s">
        <v>646</v>
      </c>
      <c r="E111" s="6" t="s">
        <v>993</v>
      </c>
      <c r="F111" s="6" t="s">
        <v>1025</v>
      </c>
      <c r="G111" s="6" t="s">
        <v>1025</v>
      </c>
      <c r="H111" s="6" t="s">
        <v>1005</v>
      </c>
      <c r="K111" s="2" t="str">
        <f>IFERROR(__xludf.DUMMYFUNCTION("GOOGLETRANSLATE(A111,""en"",""ur"")"),"110")</f>
        <v>110</v>
      </c>
      <c r="L111" s="2" t="str">
        <f>IFERROR(__xludf.DUMMYFUNCTION("GOOGLETRANSLATE(B111,""en"",""ur"")"),"واقعہ کی ظاہری ترتیب کیا ہے؟")</f>
        <v>واقعہ کی ظاہری ترتیب کیا ہے؟</v>
      </c>
      <c r="M111" s="2" t="str">
        <f>IFERROR(__xludf.DUMMYFUNCTION("GOOGLETRANSLATE(C111,""en"",""ur"")"),"ایک اندرونی میدان")</f>
        <v>ایک اندرونی میدان</v>
      </c>
      <c r="N111" s="2" t="str">
        <f>IFERROR(__xludf.DUMMYFUNCTION("GOOGLETRANSLATE(D111,""en"",""ur"")"),"شہر کی ایک گلی")</f>
        <v>شہر کی ایک گلی</v>
      </c>
      <c r="O111" s="2" t="str">
        <f>IFERROR(__xludf.DUMMYFUNCTION("GOOGLETRANSLATE(E111,""en"",""ur"")"),"ایک بیرونی گندگی کا ٹریک")</f>
        <v>ایک بیرونی گندگی کا ٹریک</v>
      </c>
      <c r="P111" s="2" t="str">
        <f>IFERROR(__xludf.DUMMYFUNCTION("GOOGLETRANSLATE(F111,""en"",""ur"")"),"پس منظر میں درختوں اور پہاڑیوں کے ساتھ گھاس کا میدان")</f>
        <v>پس منظر میں درختوں اور پہاڑیوں کے ساتھ گھاس کا میدان</v>
      </c>
      <c r="Q111" s="2" t="s">
        <v>1026</v>
      </c>
      <c r="R111" s="2" t="str">
        <f>IFERROR(__xludf.DUMMYFUNCTION("GOOGLETRANSLATE(G111,""en"",""ur"")"),"پس منظر میں درختوں اور پہاڑیوں کے ساتھ گھاس کا میدان")</f>
        <v>پس منظر میں درختوں اور پہاڑیوں کے ساتھ گھاس کا میدان</v>
      </c>
      <c r="S111" s="6" t="s">
        <v>1005</v>
      </c>
    </row>
    <row r="112">
      <c r="A112" s="7">
        <v>111.0</v>
      </c>
      <c r="B112" s="6" t="s">
        <v>1068</v>
      </c>
      <c r="C112" s="6" t="s">
        <v>958</v>
      </c>
      <c r="D112" s="6" t="s">
        <v>959</v>
      </c>
      <c r="E112" s="6" t="s">
        <v>960</v>
      </c>
      <c r="F112" s="6" t="s">
        <v>961</v>
      </c>
      <c r="G112" s="6" t="s">
        <v>959</v>
      </c>
      <c r="H112" s="6" t="s">
        <v>1069</v>
      </c>
      <c r="K112" s="2" t="str">
        <f>IFERROR(__xludf.DUMMYFUNCTION("GOOGLETRANSLATE(A112,""en"",""ur"")"),"111")</f>
        <v>111</v>
      </c>
      <c r="L112" s="2" t="str">
        <f>IFERROR(__xludf.DUMMYFUNCTION("GOOGLETRANSLATE(B112,""en"",""ur"")"),"tent_pegging_49 میں دکھائی جانے والی اہم کارروائی کیا ہے؟")</f>
        <v>tent_pegging_49 میں دکھائی جانے والی اہم کارروائی کیا ہے؟</v>
      </c>
      <c r="M112" s="2" t="str">
        <f>IFERROR(__xludf.DUMMYFUNCTION("GOOGLETRANSLATE(C112,""en"",""ur"")"),"گھوڑے کی پیٹھ پر کرتب دکھاتے ہوئے سوار")</f>
        <v>گھوڑے کی پیٹھ پر کرتب دکھاتے ہوئے سوار</v>
      </c>
      <c r="N112" s="2" t="str">
        <f>IFERROR(__xludf.DUMMYFUNCTION("GOOGLETRANSLATE(D112,""en"",""ur"")"),"ٹینٹ پیگنگ ایونٹ میں مقابلہ کرنے والا سوار")</f>
        <v>ٹینٹ پیگنگ ایونٹ میں مقابلہ کرنے والا سوار</v>
      </c>
      <c r="O112" s="2" t="str">
        <f>IFERROR(__xludf.DUMMYFUNCTION("GOOGLETRANSLATE(E112,""en"",""ur"")"),"گھوڑوں کی دوڑ میں سوار")</f>
        <v>گھوڑوں کی دوڑ میں سوار</v>
      </c>
      <c r="P112" s="2" t="str">
        <f>IFERROR(__xludf.DUMMYFUNCTION("GOOGLETRANSLATE(F112,""en"",""ur"")"),"ایک سوار پریڈ کی قیادت کر رہا ہے۔")</f>
        <v>ایک سوار پریڈ کی قیادت کر رہا ہے۔</v>
      </c>
      <c r="Q112" s="2" t="s">
        <v>1029</v>
      </c>
      <c r="R112" s="2" t="str">
        <f>IFERROR(__xludf.DUMMYFUNCTION("GOOGLETRANSLATE(G112,""en"",""ur"")"),"ٹینٹ پیگنگ ایونٹ میں مقابلہ کرنے والا سوار")</f>
        <v>ٹینٹ پیگنگ ایونٹ میں مقابلہ کرنے والا سوار</v>
      </c>
      <c r="S112" s="6" t="s">
        <v>1069</v>
      </c>
    </row>
    <row r="113">
      <c r="A113" s="7">
        <v>112.0</v>
      </c>
      <c r="B113" s="6" t="s">
        <v>963</v>
      </c>
      <c r="C113" s="6" t="s">
        <v>964</v>
      </c>
      <c r="D113" s="6" t="s">
        <v>1070</v>
      </c>
      <c r="E113" s="6" t="s">
        <v>966</v>
      </c>
      <c r="F113" s="6" t="s">
        <v>967</v>
      </c>
      <c r="G113" s="6" t="s">
        <v>1070</v>
      </c>
      <c r="H113" s="6" t="s">
        <v>1069</v>
      </c>
      <c r="K113" s="2" t="str">
        <f>IFERROR(__xludf.DUMMYFUNCTION("GOOGLETRANSLATE(A113,""en"",""ur"")"),"112")</f>
        <v>112</v>
      </c>
      <c r="L113" s="2" t="str">
        <f>IFERROR(__xludf.DUMMYFUNCTION("GOOGLETRANSLATE(B113,""en"",""ur"")"),"سوار کے لباس کے بارے میں ایک قابل ذکر تفصیل کیا ہے؟")</f>
        <v>سوار کے لباس کے بارے میں ایک قابل ذکر تفصیل کیا ہے؟</v>
      </c>
      <c r="M113" s="2" t="str">
        <f>IFERROR(__xludf.DUMMYFUNCTION("GOOGLETRANSLATE(C113,""en"",""ur"")"),"ایک رسمی سوٹ اور ٹائی")</f>
        <v>ایک رسمی سوٹ اور ٹائی</v>
      </c>
      <c r="N113" s="2" t="str">
        <f>IFERROR(__xludf.DUMMYFUNCTION("GOOGLETRANSLATE(D113,""en"",""ur"")"),"لمبی پگڑی اور بنیان والا سفید روایتی لباس")</f>
        <v>لمبی پگڑی اور بنیان والا سفید روایتی لباس</v>
      </c>
      <c r="O113" s="2" t="str">
        <f>IFERROR(__xludf.DUMMYFUNCTION("GOOGLETRANSLATE(E113,""en"",""ur"")"),"فوجی وردی")</f>
        <v>فوجی وردی</v>
      </c>
      <c r="P113" s="2" t="str">
        <f>IFERROR(__xludf.DUMMYFUNCTION("GOOGLETRANSLATE(F113,""en"",""ur"")"),"ایک جدید کھیلوں کا یونیفارم")</f>
        <v>ایک جدید کھیلوں کا یونیفارم</v>
      </c>
      <c r="Q113" s="2" t="s">
        <v>1071</v>
      </c>
      <c r="R113" s="2" t="str">
        <f>IFERROR(__xludf.DUMMYFUNCTION("GOOGLETRANSLATE(G113,""en"",""ur"")"),"لمبی پگڑی اور بنیان والا سفید روایتی لباس")</f>
        <v>لمبی پگڑی اور بنیان والا سفید روایتی لباس</v>
      </c>
      <c r="S113" s="6" t="s">
        <v>1069</v>
      </c>
    </row>
    <row r="114">
      <c r="A114" s="7">
        <v>113.0</v>
      </c>
      <c r="B114" s="6" t="s">
        <v>969</v>
      </c>
      <c r="C114" s="6" t="s">
        <v>970</v>
      </c>
      <c r="D114" s="6" t="s">
        <v>971</v>
      </c>
      <c r="E114" s="6" t="s">
        <v>972</v>
      </c>
      <c r="F114" s="6" t="s">
        <v>973</v>
      </c>
      <c r="G114" s="6" t="s">
        <v>972</v>
      </c>
      <c r="H114" s="6" t="s">
        <v>1069</v>
      </c>
      <c r="K114" s="2" t="str">
        <f>IFERROR(__xludf.DUMMYFUNCTION("GOOGLETRANSLATE(A114,""en"",""ur"")"),"113")</f>
        <v>113</v>
      </c>
      <c r="L114" s="2" t="str">
        <f>IFERROR(__xludf.DUMMYFUNCTION("GOOGLETRANSLATE(B114,""en"",""ur"")"),"سوار نے جو لمبی چھڑی پکڑی ہوئی ہے اس کا ظاہری مقصد کیا ہے؟")</f>
        <v>سوار نے جو لمبی چھڑی پکڑی ہوئی ہے اس کا ظاہری مقصد کیا ہے؟</v>
      </c>
      <c r="M114" s="2" t="str">
        <f>IFERROR(__xludf.DUMMYFUNCTION("GOOGLETRANSLATE(C114,""en"",""ur"")"),"گھوڑے کی رہنمائی کے لیے")</f>
        <v>گھوڑے کی رہنمائی کے لیے</v>
      </c>
      <c r="N114" s="2" t="str">
        <f>IFERROR(__xludf.DUMMYFUNCTION("GOOGLETRANSLATE(D114,""en"",""ur"")"),"توازن کے لیے زمین سے ٹکرانا")</f>
        <v>توازن کے لیے زمین سے ٹکرانا</v>
      </c>
      <c r="O114" s="2" t="str">
        <f>IFERROR(__xludf.DUMMYFUNCTION("GOOGLETRANSLATE(E114,""en"",""ur"")"),"زمین پر چھوٹے اہداف کو نشانہ بنانا")</f>
        <v>زمین پر چھوٹے اہداف کو نشانہ بنانا</v>
      </c>
      <c r="P114" s="2" t="str">
        <f>IFERROR(__xludf.DUMMYFUNCTION("GOOGLETRANSLATE(F114,""en"",""ur"")"),"بطور ہتھیار استعمال کرنا")</f>
        <v>بطور ہتھیار استعمال کرنا</v>
      </c>
      <c r="Q114" s="2" t="s">
        <v>974</v>
      </c>
      <c r="R114" s="2" t="str">
        <f>IFERROR(__xludf.DUMMYFUNCTION("GOOGLETRANSLATE(G114,""en"",""ur"")"),"زمین پر چھوٹے اہداف کو نشانہ بنانا")</f>
        <v>زمین پر چھوٹے اہداف کو نشانہ بنانا</v>
      </c>
      <c r="S114" s="6" t="s">
        <v>1069</v>
      </c>
    </row>
    <row r="115">
      <c r="A115" s="7">
        <v>114.0</v>
      </c>
      <c r="B115" s="6" t="s">
        <v>310</v>
      </c>
      <c r="C115" s="6" t="s">
        <v>429</v>
      </c>
      <c r="D115" s="6" t="s">
        <v>975</v>
      </c>
      <c r="E115" s="6" t="s">
        <v>976</v>
      </c>
      <c r="F115" s="6" t="s">
        <v>977</v>
      </c>
      <c r="G115" s="6" t="s">
        <v>975</v>
      </c>
      <c r="H115" s="6" t="s">
        <v>1069</v>
      </c>
      <c r="K115" s="2" t="str">
        <f>IFERROR(__xludf.DUMMYFUNCTION("GOOGLETRANSLATE(A115,""en"",""ur"")"),"114")</f>
        <v>114</v>
      </c>
      <c r="L115" s="2" t="str">
        <f>IFERROR(__xludf.DUMMYFUNCTION("GOOGLETRANSLATE(B115,""en"",""ur"")"),"سوار کی ظاہری باڈی پوزیشن کیا ہے؟")</f>
        <v>سوار کی ظاہری باڈی پوزیشن کیا ہے؟</v>
      </c>
      <c r="M115" s="2" t="str">
        <f>IFERROR(__xludf.DUMMYFUNCTION("GOOGLETRANSLATE(C115,""en"",""ur"")"),"سیدھا کھڑا ہونا")</f>
        <v>سیدھا کھڑا ہونا</v>
      </c>
      <c r="N115" s="2" t="str">
        <f>IFERROR(__xludf.DUMMYFUNCTION("GOOGLETRANSLATE(D115,""en"",""ur"")"),"نیچے اور طرف جھکنا")</f>
        <v>نیچے اور طرف جھکنا</v>
      </c>
      <c r="O115" s="2" t="str">
        <f>IFERROR(__xludf.DUMMYFUNCTION("GOOGLETRANSLATE(E115,""en"",""ur"")"),"گھوڑے کی پیٹھ پر لیٹنا")</f>
        <v>گھوڑے کی پیٹھ پر لیٹنا</v>
      </c>
      <c r="P115" s="2" t="str">
        <f>IFERROR(__xludf.DUMMYFUNCTION("GOOGLETRANSLATE(F115,""en"",""ur"")"),"آرام سے بیٹھ گیا۔")</f>
        <v>آرام سے بیٹھ گیا۔</v>
      </c>
      <c r="Q115" s="2" t="s">
        <v>978</v>
      </c>
      <c r="R115" s="2" t="str">
        <f>IFERROR(__xludf.DUMMYFUNCTION("GOOGLETRANSLATE(G115,""en"",""ur"")"),"نیچے اور طرف جھکنا")</f>
        <v>نیچے اور طرف جھکنا</v>
      </c>
      <c r="S115" s="6" t="s">
        <v>1069</v>
      </c>
    </row>
    <row r="116">
      <c r="A116" s="7">
        <v>115.0</v>
      </c>
      <c r="B116" s="6" t="s">
        <v>979</v>
      </c>
      <c r="C116" s="6" t="s">
        <v>980</v>
      </c>
      <c r="D116" s="6" t="s">
        <v>981</v>
      </c>
      <c r="E116" s="6" t="s">
        <v>982</v>
      </c>
      <c r="F116" s="6" t="s">
        <v>983</v>
      </c>
      <c r="G116" s="6" t="s">
        <v>982</v>
      </c>
      <c r="H116" s="6" t="s">
        <v>1069</v>
      </c>
      <c r="K116" s="2" t="str">
        <f>IFERROR(__xludf.DUMMYFUNCTION("GOOGLETRANSLATE(A116,""en"",""ur"")"),"115")</f>
        <v>115</v>
      </c>
      <c r="L116" s="2" t="str">
        <f>IFERROR(__xludf.DUMMYFUNCTION("GOOGLETRANSLATE(B116,""en"",""ur"")"),"گھوڑے کے پیچھے زمین کی ظاہری حالت کیا ہے؟")</f>
        <v>گھوڑے کے پیچھے زمین کی ظاہری حالت کیا ہے؟</v>
      </c>
      <c r="M116" s="2" t="str">
        <f>IFERROR(__xludf.DUMMYFUNCTION("GOOGLETRANSLATE(C116,""en"",""ur"")"),"بالکل ہموار")</f>
        <v>بالکل ہموار</v>
      </c>
      <c r="N116" s="2" t="str">
        <f>IFERROR(__xludf.DUMMYFUNCTION("GOOGLETRANSLATE(D116,""en"",""ur"")"),"تازہ گھاس میں ڈھکا ہوا ہے۔")</f>
        <v>تازہ گھاس میں ڈھکا ہوا ہے۔</v>
      </c>
      <c r="O116" s="2" t="str">
        <f>IFERROR(__xludf.DUMMYFUNCTION("GOOGLETRANSLATE(E116,""en"",""ur"")"),"غبار کے بادل میں اُٹھ گیا۔")</f>
        <v>غبار کے بادل میں اُٹھ گیا۔</v>
      </c>
      <c r="P116" s="2" t="str">
        <f>IFERROR(__xludf.DUMMYFUNCTION("GOOGLETRANSLATE(F116,""en"",""ur"")"),"پانی سے بھرا ہوا ۔")</f>
        <v>پانی سے بھرا ہوا ۔</v>
      </c>
      <c r="Q116" s="2" t="s">
        <v>984</v>
      </c>
      <c r="R116" s="2" t="str">
        <f>IFERROR(__xludf.DUMMYFUNCTION("GOOGLETRANSLATE(G116,""en"",""ur"")"),"غبار کے بادل میں اُٹھ گیا۔")</f>
        <v>غبار کے بادل میں اُٹھ گیا۔</v>
      </c>
      <c r="S116" s="6" t="s">
        <v>1069</v>
      </c>
    </row>
    <row r="117">
      <c r="A117" s="7">
        <v>116.0</v>
      </c>
      <c r="B117" s="6" t="s">
        <v>985</v>
      </c>
      <c r="C117" s="6" t="s">
        <v>986</v>
      </c>
      <c r="D117" s="6" t="s">
        <v>1072</v>
      </c>
      <c r="E117" s="6" t="s">
        <v>988</v>
      </c>
      <c r="F117" s="6" t="s">
        <v>989</v>
      </c>
      <c r="G117" s="6" t="s">
        <v>1072</v>
      </c>
      <c r="H117" s="6" t="s">
        <v>1069</v>
      </c>
      <c r="K117" s="2" t="str">
        <f>IFERROR(__xludf.DUMMYFUNCTION("GOOGLETRANSLATE(A117,""en"",""ur"")"),"116")</f>
        <v>116</v>
      </c>
      <c r="L117" s="2" t="str">
        <f>IFERROR(__xludf.DUMMYFUNCTION("GOOGLETRANSLATE(B117,""en"",""ur"")"),"گھوڑے کے ٹیک کی سب سے نمایاں خصوصیت کیا ہے؟")</f>
        <v>گھوڑے کے ٹیک کی سب سے نمایاں خصوصیت کیا ہے؟</v>
      </c>
      <c r="M117" s="2" t="str">
        <f>IFERROR(__xludf.DUMMYFUNCTION("GOOGLETRANSLATE(C117,""en"",""ur"")"),"یہ ایک سادہ سی کاٹھی ہے۔")</f>
        <v>یہ ایک سادہ سی کاٹھی ہے۔</v>
      </c>
      <c r="N117" s="2" t="str">
        <f>IFERROR(__xludf.DUMMYFUNCTION("GOOGLETRANSLATE(D117,""en"",""ur"")"),"یہ سبز آرائش کے ساتھ ایک انتہائی آرائشی کاٹھی ہے۔")</f>
        <v>یہ سبز آرائش کے ساتھ ایک انتہائی آرائشی کاٹھی ہے۔</v>
      </c>
      <c r="O117" s="2" t="str">
        <f>IFERROR(__xludf.DUMMYFUNCTION("GOOGLETRANSLATE(E117,""en"",""ur"")"),"یہ ایک ننگا پیڈ ہے۔")</f>
        <v>یہ ایک ننگا پیڈ ہے۔</v>
      </c>
      <c r="P117" s="2" t="str">
        <f>IFERROR(__xludf.DUMMYFUNCTION("GOOGLETRANSLATE(F117,""en"",""ur"")"),"یہ ایک ریسنگ سیڈل ہے۔")</f>
        <v>یہ ایک ریسنگ سیڈل ہے۔</v>
      </c>
      <c r="Q117" s="2" t="s">
        <v>1073</v>
      </c>
      <c r="R117" s="2" t="str">
        <f>IFERROR(__xludf.DUMMYFUNCTION("GOOGLETRANSLATE(G117,""en"",""ur"")"),"یہ سبز آرائش کے ساتھ ایک انتہائی آرائشی کاٹھی ہے۔")</f>
        <v>یہ سبز آرائش کے ساتھ ایک انتہائی آرائشی کاٹھی ہے۔</v>
      </c>
      <c r="S117" s="6" t="s">
        <v>1069</v>
      </c>
    </row>
    <row r="118">
      <c r="A118" s="7">
        <v>117.0</v>
      </c>
      <c r="B118" s="6" t="s">
        <v>991</v>
      </c>
      <c r="C118" s="6" t="s">
        <v>992</v>
      </c>
      <c r="D118" s="6" t="s">
        <v>646</v>
      </c>
      <c r="E118" s="6" t="s">
        <v>993</v>
      </c>
      <c r="F118" s="6" t="s">
        <v>425</v>
      </c>
      <c r="G118" s="6" t="s">
        <v>993</v>
      </c>
      <c r="H118" s="6" t="s">
        <v>1069</v>
      </c>
      <c r="K118" s="2" t="str">
        <f>IFERROR(__xludf.DUMMYFUNCTION("GOOGLETRANSLATE(A118,""en"",""ur"")"),"117")</f>
        <v>117</v>
      </c>
      <c r="L118" s="2" t="str">
        <f>IFERROR(__xludf.DUMMYFUNCTION("GOOGLETRANSLATE(B118,""en"",""ur"")"),"واقعہ کی ظاہری ترتیب کیا ہے؟")</f>
        <v>واقعہ کی ظاہری ترتیب کیا ہے؟</v>
      </c>
      <c r="M118" s="2" t="str">
        <f>IFERROR(__xludf.DUMMYFUNCTION("GOOGLETRANSLATE(C118,""en"",""ur"")"),"ایک اندرونی میدان")</f>
        <v>ایک اندرونی میدان</v>
      </c>
      <c r="N118" s="2" t="str">
        <f>IFERROR(__xludf.DUMMYFUNCTION("GOOGLETRANSLATE(D118,""en"",""ur"")"),"شہر کی ایک گلی")</f>
        <v>شہر کی ایک گلی</v>
      </c>
      <c r="O118" s="2" t="str">
        <f>IFERROR(__xludf.DUMMYFUNCTION("GOOGLETRANSLATE(E118,""en"",""ur"")"),"ایک بیرونی گندگی کا ٹریک")</f>
        <v>ایک بیرونی گندگی کا ٹریک</v>
      </c>
      <c r="P118" s="2" t="str">
        <f>IFERROR(__xludf.DUMMYFUNCTION("GOOGLETRANSLATE(F118,""en"",""ur"")"),"گھاس کا میدان")</f>
        <v>گھاس کا میدان</v>
      </c>
      <c r="Q118" s="2" t="s">
        <v>994</v>
      </c>
      <c r="R118" s="2" t="str">
        <f>IFERROR(__xludf.DUMMYFUNCTION("GOOGLETRANSLATE(G118,""en"",""ur"")"),"ایک بیرونی گندگی کا ٹریک")</f>
        <v>ایک بیرونی گندگی کا ٹریک</v>
      </c>
      <c r="S118" s="6" t="s">
        <v>1069</v>
      </c>
    </row>
    <row r="119">
      <c r="A119" s="7">
        <v>118.0</v>
      </c>
      <c r="B119" s="6" t="s">
        <v>1036</v>
      </c>
      <c r="C119" s="6" t="s">
        <v>95</v>
      </c>
      <c r="D119" s="6" t="s">
        <v>96</v>
      </c>
      <c r="E119" s="6" t="s">
        <v>1015</v>
      </c>
      <c r="F119" s="6" t="s">
        <v>258</v>
      </c>
      <c r="G119" s="6" t="s">
        <v>1015</v>
      </c>
      <c r="H119" s="6" t="s">
        <v>1069</v>
      </c>
      <c r="K119" s="2" t="str">
        <f>IFERROR(__xludf.DUMMYFUNCTION("GOOGLETRANSLATE(A119,""en"",""ur"")"),"118")</f>
        <v>118</v>
      </c>
      <c r="L119" s="2" t="str">
        <f>IFERROR(__xludf.DUMMYFUNCTION("GOOGLETRANSLATE(B119,""en"",""ur"")"),"کھیل کا نام کیا ہے؟")</f>
        <v>کھیل کا نام کیا ہے؟</v>
      </c>
      <c r="M119" s="2" t="str">
        <f>IFERROR(__xludf.DUMMYFUNCTION("GOOGLETRANSLATE(C119,""en"",""ur"")"),"پولو")</f>
        <v>پولو</v>
      </c>
      <c r="N119" s="2" t="str">
        <f>IFERROR(__xludf.DUMMYFUNCTION("GOOGLETRANSLATE(D119,""en"",""ur"")"),"گھوڑوں کی دوڑ")</f>
        <v>گھوڑوں کی دوڑ</v>
      </c>
      <c r="O119" s="2" t="str">
        <f>IFERROR(__xludf.DUMMYFUNCTION("GOOGLETRANSLATE(E119,""en"",""ur"")"),"ٹینٹ پیگنگ")</f>
        <v>ٹینٹ پیگنگ</v>
      </c>
      <c r="P119" s="2" t="str">
        <f>IFERROR(__xludf.DUMMYFUNCTION("GOOGLETRANSLATE(F119,""en"",""ur"")"),"گھڑ سواری کے کھیل")</f>
        <v>گھڑ سواری کے کھیل</v>
      </c>
      <c r="Q119" s="2" t="s">
        <v>1016</v>
      </c>
      <c r="R119" s="2" t="str">
        <f>IFERROR(__xludf.DUMMYFUNCTION("GOOGLETRANSLATE(G119,""en"",""ur"")"),"ٹینٹ پیگنگ")</f>
        <v>ٹینٹ پیگنگ</v>
      </c>
      <c r="S119" s="6" t="s">
        <v>1069</v>
      </c>
    </row>
    <row r="120">
      <c r="A120" s="7">
        <v>119.0</v>
      </c>
      <c r="B120" s="6" t="s">
        <v>316</v>
      </c>
      <c r="C120" s="6" t="s">
        <v>47</v>
      </c>
      <c r="D120" s="6" t="s">
        <v>48</v>
      </c>
      <c r="E120" s="6" t="s">
        <v>49</v>
      </c>
      <c r="F120" s="6" t="s">
        <v>50</v>
      </c>
      <c r="G120" s="6" t="s">
        <v>49</v>
      </c>
      <c r="H120" s="6" t="s">
        <v>1069</v>
      </c>
      <c r="K120" s="2" t="str">
        <f>IFERROR(__xludf.DUMMYFUNCTION("GOOGLETRANSLATE(A120,""en"",""ur"")"),"119")</f>
        <v>119</v>
      </c>
      <c r="L120" s="2" t="str">
        <f>IFERROR(__xludf.DUMMYFUNCTION("GOOGLETRANSLATE(B120,""en"",""ur"")"),"سوار کے چہرے سے ظاہری جذبات کیا ہیں؟")</f>
        <v>سوار کے چہرے سے ظاہری جذبات کیا ہیں؟</v>
      </c>
      <c r="M120" s="2" t="str">
        <f>IFERROR(__xludf.DUMMYFUNCTION("GOOGLETRANSLATE(C120,""en"",""ur"")"),"پرسکون اور پر سکون")</f>
        <v>پرسکون اور پر سکون</v>
      </c>
      <c r="N120" s="2" t="str">
        <f>IFERROR(__xludf.DUMMYFUNCTION("GOOGLETRANSLATE(D120,""en"",""ur"")"),"خوف زدہ اور بے چین")</f>
        <v>خوف زدہ اور بے چین</v>
      </c>
      <c r="O120" s="2" t="str">
        <f>IFERROR(__xludf.DUMMYFUNCTION("GOOGLETRANSLATE(E120,""en"",""ur"")"),"کشیدہ اور شدید")</f>
        <v>کشیدہ اور شدید</v>
      </c>
      <c r="P120" s="2" t="str">
        <f>IFERROR(__xludf.DUMMYFUNCTION("GOOGLETRANSLATE(F120,""en"",""ur"")"),"خوش اور مسکراتے ہوئے۔")</f>
        <v>خوش اور مسکراتے ہوئے۔</v>
      </c>
      <c r="Q120" s="2" t="s">
        <v>51</v>
      </c>
      <c r="R120" s="2" t="str">
        <f>IFERROR(__xludf.DUMMYFUNCTION("GOOGLETRANSLATE(G120,""en"",""ur"")"),"کشیدہ اور شدید")</f>
        <v>کشیدہ اور شدید</v>
      </c>
      <c r="S120" s="6" t="s">
        <v>1069</v>
      </c>
    </row>
    <row r="121">
      <c r="A121" s="7">
        <v>120.0</v>
      </c>
      <c r="B121" s="6" t="s">
        <v>260</v>
      </c>
      <c r="C121" s="6" t="s">
        <v>261</v>
      </c>
      <c r="D121" s="6" t="s">
        <v>262</v>
      </c>
      <c r="E121" s="6" t="s">
        <v>263</v>
      </c>
      <c r="F121" s="6" t="s">
        <v>1001</v>
      </c>
      <c r="G121" s="6" t="s">
        <v>1001</v>
      </c>
      <c r="H121" s="6" t="s">
        <v>1069</v>
      </c>
      <c r="K121" s="2" t="str">
        <f>IFERROR(__xludf.DUMMYFUNCTION("GOOGLETRANSLATE(A121,""en"",""ur"")"),"120")</f>
        <v>120</v>
      </c>
      <c r="L121" s="2" t="str">
        <f>IFERROR(__xludf.DUMMYFUNCTION("GOOGLETRANSLATE(B121,""en"",""ur"")"),"تصویر میں ایکشن ایک ایسا انداز تجویز کرتا ہے جو اس بات پر زور دیتا ہے...")</f>
        <v>تصویر میں ایکشن ایک ایسا انداز تجویز کرتا ہے جو اس بات پر زور دیتا ہے...</v>
      </c>
      <c r="M121" s="2" t="str">
        <f>IFERROR(__xludf.DUMMYFUNCTION("GOOGLETRANSLATE(C121,""en"",""ur"")"),"روانی اور قلابازیاں")</f>
        <v>روانی اور قلابازیاں</v>
      </c>
      <c r="N121" s="2" t="str">
        <f>IFERROR(__xludf.DUMMYFUNCTION("GOOGLETRANSLATE(D121,""en"",""ur"")"),"زمینی لڑائی اور گرفت")</f>
        <v>زمینی لڑائی اور گرفت</v>
      </c>
      <c r="O121" s="2" t="str">
        <f>IFERROR(__xludf.DUMMYFUNCTION("GOOGLETRANSLATE(E121,""en"",""ur"")"),"وحشیانہ قوت اور گھڑ سواری۔")</f>
        <v>وحشیانہ قوت اور گھڑ سواری۔</v>
      </c>
      <c r="P121" s="2" t="str">
        <f>IFERROR(__xludf.DUMMYFUNCTION("GOOGLETRANSLATE(F121,""en"",""ur"")"),"رفتار، درستگی اور چستی")</f>
        <v>رفتار، درستگی اور چستی</v>
      </c>
      <c r="Q121" s="2" t="s">
        <v>1002</v>
      </c>
      <c r="R121" s="2" t="str">
        <f>IFERROR(__xludf.DUMMYFUNCTION("GOOGLETRANSLATE(G121,""en"",""ur"")"),"رفتار، درستگی اور چستی")</f>
        <v>رفتار، درستگی اور چستی</v>
      </c>
      <c r="S121" s="6" t="s">
        <v>1069</v>
      </c>
    </row>
    <row r="122">
      <c r="A122" s="7">
        <v>121.0</v>
      </c>
      <c r="B122" s="6" t="s">
        <v>1074</v>
      </c>
      <c r="C122" s="6" t="s">
        <v>103</v>
      </c>
      <c r="D122" s="6" t="s">
        <v>959</v>
      </c>
      <c r="E122" s="6" t="s">
        <v>72</v>
      </c>
      <c r="F122" s="6" t="s">
        <v>73</v>
      </c>
      <c r="G122" s="6" t="s">
        <v>959</v>
      </c>
      <c r="H122" s="6" t="s">
        <v>1075</v>
      </c>
      <c r="K122" s="2" t="str">
        <f>IFERROR(__xludf.DUMMYFUNCTION("GOOGLETRANSLATE(A122,""en"",""ur"")"),"121")</f>
        <v>121</v>
      </c>
      <c r="L122" s="2" t="str">
        <f>IFERROR(__xludf.DUMMYFUNCTION("GOOGLETRANSLATE(B122,""en"",""ur"")"),"tent_pegging_43 میں دکھائی جانے والی اہم کارروائی کیا ہے؟")</f>
        <v>tent_pegging_43 میں دکھائی جانے والی اہم کارروائی کیا ہے؟</v>
      </c>
      <c r="M122" s="2" t="str">
        <f>IFERROR(__xludf.DUMMYFUNCTION("GOOGLETRANSLATE(C122,""en"",""ur"")"),"آرام سے گھوڑے کی سواری۔")</f>
        <v>آرام سے گھوڑے کی سواری۔</v>
      </c>
      <c r="N122" s="2" t="str">
        <f>IFERROR(__xludf.DUMMYFUNCTION("GOOGLETRANSLATE(D122,""en"",""ur"")"),"ٹینٹ پیگنگ ایونٹ میں مقابلہ کرنے والا سوار")</f>
        <v>ٹینٹ پیگنگ ایونٹ میں مقابلہ کرنے والا سوار</v>
      </c>
      <c r="O122" s="2" t="str">
        <f>IFERROR(__xludf.DUMMYFUNCTION("GOOGLETRANSLATE(E122,""en"",""ur"")"),"گھوڑوں کی پریڈ")</f>
        <v>گھوڑوں کی پریڈ</v>
      </c>
      <c r="P122" s="2" t="str">
        <f>IFERROR(__xludf.DUMMYFUNCTION("GOOGLETRANSLATE(F122,""en"",""ur"")"),"گھوڑوں کی دوڑ")</f>
        <v>گھوڑوں کی دوڑ</v>
      </c>
      <c r="Q122" s="2" t="s">
        <v>1076</v>
      </c>
      <c r="R122" s="2" t="str">
        <f>IFERROR(__xludf.DUMMYFUNCTION("GOOGLETRANSLATE(G122,""en"",""ur"")"),"ٹینٹ پیگنگ ایونٹ میں مقابلہ کرنے والا سوار")</f>
        <v>ٹینٹ پیگنگ ایونٹ میں مقابلہ کرنے والا سوار</v>
      </c>
      <c r="S122" s="6" t="s">
        <v>1075</v>
      </c>
    </row>
    <row r="123">
      <c r="A123" s="7">
        <v>122.0</v>
      </c>
      <c r="B123" s="6" t="s">
        <v>963</v>
      </c>
      <c r="C123" s="6" t="s">
        <v>964</v>
      </c>
      <c r="D123" s="6" t="s">
        <v>1077</v>
      </c>
      <c r="E123" s="6" t="s">
        <v>966</v>
      </c>
      <c r="F123" s="6" t="s">
        <v>967</v>
      </c>
      <c r="G123" s="6" t="s">
        <v>1077</v>
      </c>
      <c r="H123" s="6" t="s">
        <v>1075</v>
      </c>
      <c r="K123" s="2" t="str">
        <f>IFERROR(__xludf.DUMMYFUNCTION("GOOGLETRANSLATE(A123,""en"",""ur"")"),"122")</f>
        <v>122</v>
      </c>
      <c r="L123" s="2" t="str">
        <f>IFERROR(__xludf.DUMMYFUNCTION("GOOGLETRANSLATE(B123,""en"",""ur"")"),"سوار کے لباس کے بارے میں ایک قابل ذکر تفصیل کیا ہے؟")</f>
        <v>سوار کے لباس کے بارے میں ایک قابل ذکر تفصیل کیا ہے؟</v>
      </c>
      <c r="M123" s="2" t="str">
        <f>IFERROR(__xludf.DUMMYFUNCTION("GOOGLETRANSLATE(C123,""en"",""ur"")"),"ایک رسمی سوٹ اور ٹائی")</f>
        <v>ایک رسمی سوٹ اور ٹائی</v>
      </c>
      <c r="N123" s="2" t="str">
        <f>IFERROR(__xludf.DUMMYFUNCTION("GOOGLETRANSLATE(D123,""en"",""ur"")"),"جامنی رنگ کی پگڑی اور بنیان والا سفید روایتی لباس")</f>
        <v>جامنی رنگ کی پگڑی اور بنیان والا سفید روایتی لباس</v>
      </c>
      <c r="O123" s="2" t="str">
        <f>IFERROR(__xludf.DUMMYFUNCTION("GOOGLETRANSLATE(E123,""en"",""ur"")"),"فوجی وردی")</f>
        <v>فوجی وردی</v>
      </c>
      <c r="P123" s="2" t="str">
        <f>IFERROR(__xludf.DUMMYFUNCTION("GOOGLETRANSLATE(F123,""en"",""ur"")"),"ایک جدید کھیلوں کا یونیفارم")</f>
        <v>ایک جدید کھیلوں کا یونیفارم</v>
      </c>
      <c r="Q123" s="2" t="s">
        <v>1078</v>
      </c>
      <c r="R123" s="2" t="str">
        <f>IFERROR(__xludf.DUMMYFUNCTION("GOOGLETRANSLATE(G123,""en"",""ur"")"),"جامنی رنگ کی پگڑی اور بنیان والا سفید روایتی لباس")</f>
        <v>جامنی رنگ کی پگڑی اور بنیان والا سفید روایتی لباس</v>
      </c>
      <c r="S123" s="6" t="s">
        <v>1075</v>
      </c>
    </row>
    <row r="124">
      <c r="A124" s="7">
        <v>123.0</v>
      </c>
      <c r="B124" s="6" t="s">
        <v>969</v>
      </c>
      <c r="C124" s="6" t="s">
        <v>970</v>
      </c>
      <c r="D124" s="6" t="s">
        <v>971</v>
      </c>
      <c r="E124" s="6" t="s">
        <v>972</v>
      </c>
      <c r="F124" s="6" t="s">
        <v>973</v>
      </c>
      <c r="G124" s="6" t="s">
        <v>972</v>
      </c>
      <c r="H124" s="6" t="s">
        <v>1075</v>
      </c>
      <c r="K124" s="2" t="str">
        <f>IFERROR(__xludf.DUMMYFUNCTION("GOOGLETRANSLATE(A124,""en"",""ur"")"),"123")</f>
        <v>123</v>
      </c>
      <c r="L124" s="2" t="str">
        <f>IFERROR(__xludf.DUMMYFUNCTION("GOOGLETRANSLATE(B124,""en"",""ur"")"),"سوار نے جو لمبی چھڑی پکڑی ہوئی ہے اس کا ظاہری مقصد کیا ہے؟")</f>
        <v>سوار نے جو لمبی چھڑی پکڑی ہوئی ہے اس کا ظاہری مقصد کیا ہے؟</v>
      </c>
      <c r="M124" s="2" t="str">
        <f>IFERROR(__xludf.DUMMYFUNCTION("GOOGLETRANSLATE(C124,""en"",""ur"")"),"گھوڑے کی رہنمائی کے لیے")</f>
        <v>گھوڑے کی رہنمائی کے لیے</v>
      </c>
      <c r="N124" s="2" t="str">
        <f>IFERROR(__xludf.DUMMYFUNCTION("GOOGLETRANSLATE(D124,""en"",""ur"")"),"توازن کے لیے زمین سے ٹکرانا")</f>
        <v>توازن کے لیے زمین سے ٹکرانا</v>
      </c>
      <c r="O124" s="2" t="str">
        <f>IFERROR(__xludf.DUMMYFUNCTION("GOOGLETRANSLATE(E124,""en"",""ur"")"),"زمین پر چھوٹے اہداف کو نشانہ بنانا")</f>
        <v>زمین پر چھوٹے اہداف کو نشانہ بنانا</v>
      </c>
      <c r="P124" s="2" t="str">
        <f>IFERROR(__xludf.DUMMYFUNCTION("GOOGLETRANSLATE(F124,""en"",""ur"")"),"بطور ہتھیار استعمال کرنا")</f>
        <v>بطور ہتھیار استعمال کرنا</v>
      </c>
      <c r="Q124" s="2" t="s">
        <v>974</v>
      </c>
      <c r="R124" s="2" t="str">
        <f>IFERROR(__xludf.DUMMYFUNCTION("GOOGLETRANSLATE(G124,""en"",""ur"")"),"زمین پر چھوٹے اہداف کو نشانہ بنانا")</f>
        <v>زمین پر چھوٹے اہداف کو نشانہ بنانا</v>
      </c>
      <c r="S124" s="6" t="s">
        <v>1075</v>
      </c>
    </row>
    <row r="125">
      <c r="A125" s="7">
        <v>124.0</v>
      </c>
      <c r="B125" s="6" t="s">
        <v>310</v>
      </c>
      <c r="C125" s="6" t="s">
        <v>429</v>
      </c>
      <c r="D125" s="6" t="s">
        <v>975</v>
      </c>
      <c r="E125" s="6" t="s">
        <v>976</v>
      </c>
      <c r="F125" s="6" t="s">
        <v>977</v>
      </c>
      <c r="G125" s="6" t="s">
        <v>975</v>
      </c>
      <c r="H125" s="6" t="s">
        <v>1075</v>
      </c>
      <c r="K125" s="2" t="str">
        <f>IFERROR(__xludf.DUMMYFUNCTION("GOOGLETRANSLATE(A125,""en"",""ur"")"),"124")</f>
        <v>124</v>
      </c>
      <c r="L125" s="2" t="str">
        <f>IFERROR(__xludf.DUMMYFUNCTION("GOOGLETRANSLATE(B125,""en"",""ur"")"),"سوار کی ظاہری باڈی پوزیشن کیا ہے؟")</f>
        <v>سوار کی ظاہری باڈی پوزیشن کیا ہے؟</v>
      </c>
      <c r="M125" s="2" t="str">
        <f>IFERROR(__xludf.DUMMYFUNCTION("GOOGLETRANSLATE(C125,""en"",""ur"")"),"سیدھا کھڑا ہونا")</f>
        <v>سیدھا کھڑا ہونا</v>
      </c>
      <c r="N125" s="2" t="str">
        <f>IFERROR(__xludf.DUMMYFUNCTION("GOOGLETRANSLATE(D125,""en"",""ur"")"),"نیچے اور طرف جھکنا")</f>
        <v>نیچے اور طرف جھکنا</v>
      </c>
      <c r="O125" s="2" t="str">
        <f>IFERROR(__xludf.DUMMYFUNCTION("GOOGLETRANSLATE(E125,""en"",""ur"")"),"گھوڑے کی پیٹھ پر لیٹنا")</f>
        <v>گھوڑے کی پیٹھ پر لیٹنا</v>
      </c>
      <c r="P125" s="2" t="str">
        <f>IFERROR(__xludf.DUMMYFUNCTION("GOOGLETRANSLATE(F125,""en"",""ur"")"),"آرام سے بیٹھ گیا۔")</f>
        <v>آرام سے بیٹھ گیا۔</v>
      </c>
      <c r="Q125" s="2" t="s">
        <v>978</v>
      </c>
      <c r="R125" s="2" t="str">
        <f>IFERROR(__xludf.DUMMYFUNCTION("GOOGLETRANSLATE(G125,""en"",""ur"")"),"نیچے اور طرف جھکنا")</f>
        <v>نیچے اور طرف جھکنا</v>
      </c>
      <c r="S125" s="6" t="s">
        <v>1075</v>
      </c>
    </row>
    <row r="126">
      <c r="A126" s="7">
        <v>125.0</v>
      </c>
      <c r="B126" s="6" t="s">
        <v>979</v>
      </c>
      <c r="C126" s="6" t="s">
        <v>980</v>
      </c>
      <c r="D126" s="6" t="s">
        <v>981</v>
      </c>
      <c r="E126" s="6" t="s">
        <v>982</v>
      </c>
      <c r="F126" s="6" t="s">
        <v>983</v>
      </c>
      <c r="G126" s="6" t="s">
        <v>982</v>
      </c>
      <c r="H126" s="6" t="s">
        <v>1075</v>
      </c>
      <c r="K126" s="2" t="str">
        <f>IFERROR(__xludf.DUMMYFUNCTION("GOOGLETRANSLATE(A126,""en"",""ur"")"),"125")</f>
        <v>125</v>
      </c>
      <c r="L126" s="2" t="str">
        <f>IFERROR(__xludf.DUMMYFUNCTION("GOOGLETRANSLATE(B126,""en"",""ur"")"),"گھوڑے کے پیچھے زمین کی ظاہری حالت کیا ہے؟")</f>
        <v>گھوڑے کے پیچھے زمین کی ظاہری حالت کیا ہے؟</v>
      </c>
      <c r="M126" s="2" t="str">
        <f>IFERROR(__xludf.DUMMYFUNCTION("GOOGLETRANSLATE(C126,""en"",""ur"")"),"بالکل ہموار")</f>
        <v>بالکل ہموار</v>
      </c>
      <c r="N126" s="2" t="str">
        <f>IFERROR(__xludf.DUMMYFUNCTION("GOOGLETRANSLATE(D126,""en"",""ur"")"),"تازہ گھاس میں ڈھکا ہوا ہے۔")</f>
        <v>تازہ گھاس میں ڈھکا ہوا ہے۔</v>
      </c>
      <c r="O126" s="2" t="str">
        <f>IFERROR(__xludf.DUMMYFUNCTION("GOOGLETRANSLATE(E126,""en"",""ur"")"),"غبار کے بادل میں اُٹھ گیا۔")</f>
        <v>غبار کے بادل میں اُٹھ گیا۔</v>
      </c>
      <c r="P126" s="2" t="str">
        <f>IFERROR(__xludf.DUMMYFUNCTION("GOOGLETRANSLATE(F126,""en"",""ur"")"),"پانی سے بھرا ہوا ۔")</f>
        <v>پانی سے بھرا ہوا ۔</v>
      </c>
      <c r="Q126" s="2" t="s">
        <v>984</v>
      </c>
      <c r="R126" s="2" t="str">
        <f>IFERROR(__xludf.DUMMYFUNCTION("GOOGLETRANSLATE(G126,""en"",""ur"")"),"غبار کے بادل میں اُٹھ گیا۔")</f>
        <v>غبار کے بادل میں اُٹھ گیا۔</v>
      </c>
      <c r="S126" s="6" t="s">
        <v>1075</v>
      </c>
    </row>
    <row r="127">
      <c r="A127" s="7">
        <v>126.0</v>
      </c>
      <c r="B127" s="6" t="s">
        <v>985</v>
      </c>
      <c r="C127" s="6" t="s">
        <v>986</v>
      </c>
      <c r="D127" s="6" t="s">
        <v>987</v>
      </c>
      <c r="E127" s="6" t="s">
        <v>988</v>
      </c>
      <c r="F127" s="6" t="s">
        <v>989</v>
      </c>
      <c r="G127" s="6" t="s">
        <v>987</v>
      </c>
      <c r="H127" s="6" t="s">
        <v>1075</v>
      </c>
      <c r="K127" s="2" t="str">
        <f>IFERROR(__xludf.DUMMYFUNCTION("GOOGLETRANSLATE(A127,""en"",""ur"")"),"126")</f>
        <v>126</v>
      </c>
      <c r="L127" s="2" t="str">
        <f>IFERROR(__xludf.DUMMYFUNCTION("GOOGLETRANSLATE(B127,""en"",""ur"")"),"گھوڑے کے ٹیک کی سب سے نمایاں خصوصیت کیا ہے؟")</f>
        <v>گھوڑے کے ٹیک کی سب سے نمایاں خصوصیت کیا ہے؟</v>
      </c>
      <c r="M127" s="2" t="str">
        <f>IFERROR(__xludf.DUMMYFUNCTION("GOOGLETRANSLATE(C127,""en"",""ur"")"),"یہ ایک سادہ سی کاٹھی ہے۔")</f>
        <v>یہ ایک سادہ سی کاٹھی ہے۔</v>
      </c>
      <c r="N127" s="2" t="str">
        <f>IFERROR(__xludf.DUMMYFUNCTION("GOOGLETRANSLATE(D127,""en"",""ur"")"),"یہ نیلے رنگ کے زیورات کے ساتھ ایک انتہائی آرائشی کاٹھی ہے۔")</f>
        <v>یہ نیلے رنگ کے زیورات کے ساتھ ایک انتہائی آرائشی کاٹھی ہے۔</v>
      </c>
      <c r="O127" s="2" t="str">
        <f>IFERROR(__xludf.DUMMYFUNCTION("GOOGLETRANSLATE(E127,""en"",""ur"")"),"یہ ایک ننگا پیڈ ہے۔")</f>
        <v>یہ ایک ننگا پیڈ ہے۔</v>
      </c>
      <c r="P127" s="2" t="str">
        <f>IFERROR(__xludf.DUMMYFUNCTION("GOOGLETRANSLATE(F127,""en"",""ur"")"),"یہ ایک ریسنگ سیڈل ہے۔")</f>
        <v>یہ ایک ریسنگ سیڈل ہے۔</v>
      </c>
      <c r="Q127" s="2" t="s">
        <v>990</v>
      </c>
      <c r="R127" s="2" t="str">
        <f>IFERROR(__xludf.DUMMYFUNCTION("GOOGLETRANSLATE(G127,""en"",""ur"")"),"یہ نیلے رنگ کے زیورات کے ساتھ ایک انتہائی آرائشی کاٹھی ہے۔")</f>
        <v>یہ نیلے رنگ کے زیورات کے ساتھ ایک انتہائی آرائشی کاٹھی ہے۔</v>
      </c>
      <c r="S127" s="6" t="s">
        <v>1075</v>
      </c>
    </row>
    <row r="128">
      <c r="A128" s="7">
        <v>127.0</v>
      </c>
      <c r="B128" s="6" t="s">
        <v>991</v>
      </c>
      <c r="C128" s="6" t="s">
        <v>992</v>
      </c>
      <c r="D128" s="6" t="s">
        <v>646</v>
      </c>
      <c r="E128" s="6" t="s">
        <v>993</v>
      </c>
      <c r="F128" s="6" t="s">
        <v>425</v>
      </c>
      <c r="G128" s="6" t="s">
        <v>993</v>
      </c>
      <c r="H128" s="6" t="s">
        <v>1075</v>
      </c>
      <c r="K128" s="2" t="str">
        <f>IFERROR(__xludf.DUMMYFUNCTION("GOOGLETRANSLATE(A128,""en"",""ur"")"),"127")</f>
        <v>127</v>
      </c>
      <c r="L128" s="2" t="str">
        <f>IFERROR(__xludf.DUMMYFUNCTION("GOOGLETRANSLATE(B128,""en"",""ur"")"),"واقعہ کی ظاہری ترتیب کیا ہے؟")</f>
        <v>واقعہ کی ظاہری ترتیب کیا ہے؟</v>
      </c>
      <c r="M128" s="2" t="str">
        <f>IFERROR(__xludf.DUMMYFUNCTION("GOOGLETRANSLATE(C128,""en"",""ur"")"),"ایک اندرونی میدان")</f>
        <v>ایک اندرونی میدان</v>
      </c>
      <c r="N128" s="2" t="str">
        <f>IFERROR(__xludf.DUMMYFUNCTION("GOOGLETRANSLATE(D128,""en"",""ur"")"),"شہر کی ایک گلی")</f>
        <v>شہر کی ایک گلی</v>
      </c>
      <c r="O128" s="2" t="str">
        <f>IFERROR(__xludf.DUMMYFUNCTION("GOOGLETRANSLATE(E128,""en"",""ur"")"),"ایک بیرونی گندگی کا ٹریک")</f>
        <v>ایک بیرونی گندگی کا ٹریک</v>
      </c>
      <c r="P128" s="2" t="str">
        <f>IFERROR(__xludf.DUMMYFUNCTION("GOOGLETRANSLATE(F128,""en"",""ur"")"),"گھاس کا میدان")</f>
        <v>گھاس کا میدان</v>
      </c>
      <c r="Q128" s="2" t="s">
        <v>994</v>
      </c>
      <c r="R128" s="2" t="str">
        <f>IFERROR(__xludf.DUMMYFUNCTION("GOOGLETRANSLATE(G128,""en"",""ur"")"),"ایک بیرونی گندگی کا ٹریک")</f>
        <v>ایک بیرونی گندگی کا ٹریک</v>
      </c>
      <c r="S128" s="6" t="s">
        <v>1075</v>
      </c>
    </row>
    <row r="129">
      <c r="A129" s="7">
        <v>128.0</v>
      </c>
      <c r="B129" s="6" t="s">
        <v>1036</v>
      </c>
      <c r="C129" s="6" t="s">
        <v>95</v>
      </c>
      <c r="D129" s="6" t="s">
        <v>96</v>
      </c>
      <c r="E129" s="6" t="s">
        <v>1015</v>
      </c>
      <c r="F129" s="6" t="s">
        <v>258</v>
      </c>
      <c r="G129" s="6" t="s">
        <v>1015</v>
      </c>
      <c r="H129" s="6" t="s">
        <v>1075</v>
      </c>
      <c r="K129" s="2" t="str">
        <f>IFERROR(__xludf.DUMMYFUNCTION("GOOGLETRANSLATE(A129,""en"",""ur"")"),"128")</f>
        <v>128</v>
      </c>
      <c r="L129" s="2" t="str">
        <f>IFERROR(__xludf.DUMMYFUNCTION("GOOGLETRANSLATE(B129,""en"",""ur"")"),"کھیل کا نام کیا ہے؟")</f>
        <v>کھیل کا نام کیا ہے؟</v>
      </c>
      <c r="M129" s="2" t="str">
        <f>IFERROR(__xludf.DUMMYFUNCTION("GOOGLETRANSLATE(C129,""en"",""ur"")"),"پولو")</f>
        <v>پولو</v>
      </c>
      <c r="N129" s="2" t="str">
        <f>IFERROR(__xludf.DUMMYFUNCTION("GOOGLETRANSLATE(D129,""en"",""ur"")"),"گھوڑوں کی دوڑ")</f>
        <v>گھوڑوں کی دوڑ</v>
      </c>
      <c r="O129" s="2" t="str">
        <f>IFERROR(__xludf.DUMMYFUNCTION("GOOGLETRANSLATE(E129,""en"",""ur"")"),"ٹینٹ پیگنگ")</f>
        <v>ٹینٹ پیگنگ</v>
      </c>
      <c r="P129" s="2" t="str">
        <f>IFERROR(__xludf.DUMMYFUNCTION("GOOGLETRANSLATE(F129,""en"",""ur"")"),"گھڑ سواری کے کھیل")</f>
        <v>گھڑ سواری کے کھیل</v>
      </c>
      <c r="Q129" s="2" t="s">
        <v>1016</v>
      </c>
      <c r="R129" s="2" t="str">
        <f>IFERROR(__xludf.DUMMYFUNCTION("GOOGLETRANSLATE(G129,""en"",""ur"")"),"ٹینٹ پیگنگ")</f>
        <v>ٹینٹ پیگنگ</v>
      </c>
      <c r="S129" s="6" t="s">
        <v>1075</v>
      </c>
    </row>
    <row r="130">
      <c r="A130" s="7">
        <v>129.0</v>
      </c>
      <c r="B130" s="6" t="s">
        <v>316</v>
      </c>
      <c r="C130" s="6" t="s">
        <v>47</v>
      </c>
      <c r="D130" s="6" t="s">
        <v>48</v>
      </c>
      <c r="E130" s="6" t="s">
        <v>49</v>
      </c>
      <c r="F130" s="6" t="s">
        <v>50</v>
      </c>
      <c r="G130" s="6" t="s">
        <v>49</v>
      </c>
      <c r="H130" s="6" t="s">
        <v>1075</v>
      </c>
      <c r="K130" s="2" t="str">
        <f>IFERROR(__xludf.DUMMYFUNCTION("GOOGLETRANSLATE(A130,""en"",""ur"")"),"129")</f>
        <v>129</v>
      </c>
      <c r="L130" s="2" t="str">
        <f>IFERROR(__xludf.DUMMYFUNCTION("GOOGLETRANSLATE(B130,""en"",""ur"")"),"سوار کے چہرے سے ظاہری جذبات کیا ہیں؟")</f>
        <v>سوار کے چہرے سے ظاہری جذبات کیا ہیں؟</v>
      </c>
      <c r="M130" s="2" t="str">
        <f>IFERROR(__xludf.DUMMYFUNCTION("GOOGLETRANSLATE(C130,""en"",""ur"")"),"پرسکون اور پر سکون")</f>
        <v>پرسکون اور پر سکون</v>
      </c>
      <c r="N130" s="2" t="str">
        <f>IFERROR(__xludf.DUMMYFUNCTION("GOOGLETRANSLATE(D130,""en"",""ur"")"),"خوف زدہ اور بے چین")</f>
        <v>خوف زدہ اور بے چین</v>
      </c>
      <c r="O130" s="2" t="str">
        <f>IFERROR(__xludf.DUMMYFUNCTION("GOOGLETRANSLATE(E130,""en"",""ur"")"),"کشیدہ اور شدید")</f>
        <v>کشیدہ اور شدید</v>
      </c>
      <c r="P130" s="2" t="str">
        <f>IFERROR(__xludf.DUMMYFUNCTION("GOOGLETRANSLATE(F130,""en"",""ur"")"),"خوش اور مسکراتے ہوئے۔")</f>
        <v>خوش اور مسکراتے ہوئے۔</v>
      </c>
      <c r="Q130" s="2" t="s">
        <v>51</v>
      </c>
      <c r="R130" s="2" t="str">
        <f>IFERROR(__xludf.DUMMYFUNCTION("GOOGLETRANSLATE(G130,""en"",""ur"")"),"کشیدہ اور شدید")</f>
        <v>کشیدہ اور شدید</v>
      </c>
      <c r="S130" s="6" t="s">
        <v>1075</v>
      </c>
    </row>
    <row r="131">
      <c r="A131" s="7">
        <v>130.0</v>
      </c>
      <c r="B131" s="6" t="s">
        <v>260</v>
      </c>
      <c r="C131" s="6" t="s">
        <v>261</v>
      </c>
      <c r="D131" s="6" t="s">
        <v>262</v>
      </c>
      <c r="E131" s="6" t="s">
        <v>263</v>
      </c>
      <c r="F131" s="6" t="s">
        <v>1001</v>
      </c>
      <c r="G131" s="6" t="s">
        <v>1001</v>
      </c>
      <c r="H131" s="6" t="s">
        <v>1075</v>
      </c>
      <c r="K131" s="2" t="str">
        <f>IFERROR(__xludf.DUMMYFUNCTION("GOOGLETRANSLATE(A131,""en"",""ur"")"),"130")</f>
        <v>130</v>
      </c>
      <c r="L131" s="2" t="str">
        <f>IFERROR(__xludf.DUMMYFUNCTION("GOOGLETRANSLATE(B131,""en"",""ur"")"),"تصویر میں ایکشن ایک ایسا انداز تجویز کرتا ہے جو اس بات پر زور دیتا ہے...")</f>
        <v>تصویر میں ایکشن ایک ایسا انداز تجویز کرتا ہے جو اس بات پر زور دیتا ہے...</v>
      </c>
      <c r="M131" s="2" t="str">
        <f>IFERROR(__xludf.DUMMYFUNCTION("GOOGLETRANSLATE(C131,""en"",""ur"")"),"روانی اور قلابازیاں")</f>
        <v>روانی اور قلابازیاں</v>
      </c>
      <c r="N131" s="2" t="str">
        <f>IFERROR(__xludf.DUMMYFUNCTION("GOOGLETRANSLATE(D131,""en"",""ur"")"),"زمینی لڑائی اور گرفت")</f>
        <v>زمینی لڑائی اور گرفت</v>
      </c>
      <c r="O131" s="2" t="str">
        <f>IFERROR(__xludf.DUMMYFUNCTION("GOOGLETRANSLATE(E131,""en"",""ur"")"),"وحشیانہ قوت اور گھڑ سواری۔")</f>
        <v>وحشیانہ قوت اور گھڑ سواری۔</v>
      </c>
      <c r="P131" s="2" t="str">
        <f>IFERROR(__xludf.DUMMYFUNCTION("GOOGLETRANSLATE(F131,""en"",""ur"")"),"رفتار، درستگی اور چستی")</f>
        <v>رفتار، درستگی اور چستی</v>
      </c>
      <c r="Q131" s="2" t="s">
        <v>1002</v>
      </c>
      <c r="R131" s="2" t="str">
        <f>IFERROR(__xludf.DUMMYFUNCTION("GOOGLETRANSLATE(G131,""en"",""ur"")"),"رفتار، درستگی اور چستی")</f>
        <v>رفتار، درستگی اور چستی</v>
      </c>
      <c r="S131" s="6" t="s">
        <v>1075</v>
      </c>
    </row>
    <row r="132">
      <c r="A132" s="7">
        <v>131.0</v>
      </c>
      <c r="B132" s="6" t="s">
        <v>1079</v>
      </c>
      <c r="C132" s="6" t="s">
        <v>958</v>
      </c>
      <c r="D132" s="6" t="s">
        <v>959</v>
      </c>
      <c r="E132" s="6" t="s">
        <v>960</v>
      </c>
      <c r="F132" s="6" t="s">
        <v>961</v>
      </c>
      <c r="G132" s="6" t="s">
        <v>959</v>
      </c>
      <c r="H132" s="6" t="s">
        <v>1080</v>
      </c>
      <c r="K132" s="2" t="str">
        <f>IFERROR(__xludf.DUMMYFUNCTION("GOOGLETRANSLATE(A132,""en"",""ur"")"),"131")</f>
        <v>131</v>
      </c>
      <c r="L132" s="2" t="str">
        <f>IFERROR(__xludf.DUMMYFUNCTION("GOOGLETRANSLATE(B132,""en"",""ur"")"),"tent_pegging_50 میں دکھائی جانے والی اہم کارروائی کیا ہے؟")</f>
        <v>tent_pegging_50 میں دکھائی جانے والی اہم کارروائی کیا ہے؟</v>
      </c>
      <c r="M132" s="2" t="str">
        <f>IFERROR(__xludf.DUMMYFUNCTION("GOOGLETRANSLATE(C132,""en"",""ur"")"),"گھوڑے کی پیٹھ پر کرتب دکھاتے ہوئے سوار")</f>
        <v>گھوڑے کی پیٹھ پر کرتب دکھاتے ہوئے سوار</v>
      </c>
      <c r="N132" s="2" t="str">
        <f>IFERROR(__xludf.DUMMYFUNCTION("GOOGLETRANSLATE(D132,""en"",""ur"")"),"ٹینٹ پیگنگ ایونٹ میں مقابلہ کرنے والا سوار")</f>
        <v>ٹینٹ پیگنگ ایونٹ میں مقابلہ کرنے والا سوار</v>
      </c>
      <c r="O132" s="2" t="str">
        <f>IFERROR(__xludf.DUMMYFUNCTION("GOOGLETRANSLATE(E132,""en"",""ur"")"),"گھوڑوں کی دوڑ میں سوار")</f>
        <v>گھوڑوں کی دوڑ میں سوار</v>
      </c>
      <c r="P132" s="2" t="str">
        <f>IFERROR(__xludf.DUMMYFUNCTION("GOOGLETRANSLATE(F132,""en"",""ur"")"),"ایک سوار پریڈ کی قیادت کر رہا ہے۔")</f>
        <v>ایک سوار پریڈ کی قیادت کر رہا ہے۔</v>
      </c>
      <c r="Q132" s="2" t="s">
        <v>1029</v>
      </c>
      <c r="R132" s="2" t="str">
        <f>IFERROR(__xludf.DUMMYFUNCTION("GOOGLETRANSLATE(G132,""en"",""ur"")"),"ٹینٹ پیگنگ ایونٹ میں مقابلہ کرنے والا سوار")</f>
        <v>ٹینٹ پیگنگ ایونٹ میں مقابلہ کرنے والا سوار</v>
      </c>
      <c r="S132" s="6" t="s">
        <v>1080</v>
      </c>
    </row>
    <row r="133">
      <c r="A133" s="7">
        <v>132.0</v>
      </c>
      <c r="B133" s="6" t="s">
        <v>963</v>
      </c>
      <c r="C133" s="6" t="s">
        <v>964</v>
      </c>
      <c r="D133" s="6" t="s">
        <v>965</v>
      </c>
      <c r="E133" s="6" t="s">
        <v>966</v>
      </c>
      <c r="F133" s="6" t="s">
        <v>967</v>
      </c>
      <c r="G133" s="6" t="s">
        <v>965</v>
      </c>
      <c r="H133" s="6" t="s">
        <v>1080</v>
      </c>
      <c r="K133" s="2" t="str">
        <f>IFERROR(__xludf.DUMMYFUNCTION("GOOGLETRANSLATE(A133,""en"",""ur"")"),"132")</f>
        <v>132</v>
      </c>
      <c r="L133" s="2" t="str">
        <f>IFERROR(__xludf.DUMMYFUNCTION("GOOGLETRANSLATE(B133,""en"",""ur"")"),"سوار کے لباس کے بارے میں ایک قابل ذکر تفصیل کیا ہے؟")</f>
        <v>سوار کے لباس کے بارے میں ایک قابل ذکر تفصیل کیا ہے؟</v>
      </c>
      <c r="M133" s="2" t="str">
        <f>IFERROR(__xludf.DUMMYFUNCTION("GOOGLETRANSLATE(C133,""en"",""ur"")"),"ایک رسمی سوٹ اور ٹائی")</f>
        <v>ایک رسمی سوٹ اور ٹائی</v>
      </c>
      <c r="N133" s="2" t="str">
        <f>IFERROR(__xludf.DUMMYFUNCTION("GOOGLETRANSLATE(D133,""en"",""ur"")"),"نیلی پگڑی اور بنیان والا سفید روایتی لباس")</f>
        <v>نیلی پگڑی اور بنیان والا سفید روایتی لباس</v>
      </c>
      <c r="O133" s="2" t="str">
        <f>IFERROR(__xludf.DUMMYFUNCTION("GOOGLETRANSLATE(E133,""en"",""ur"")"),"فوجی وردی")</f>
        <v>فوجی وردی</v>
      </c>
      <c r="P133" s="2" t="str">
        <f>IFERROR(__xludf.DUMMYFUNCTION("GOOGLETRANSLATE(F133,""en"",""ur"")"),"ایک جدید کھیلوں کا یونیفارم")</f>
        <v>ایک جدید کھیلوں کا یونیفارم</v>
      </c>
      <c r="Q133" s="2" t="s">
        <v>968</v>
      </c>
      <c r="R133" s="2" t="str">
        <f>IFERROR(__xludf.DUMMYFUNCTION("GOOGLETRANSLATE(G133,""en"",""ur"")"),"نیلی پگڑی اور بنیان والا سفید روایتی لباس")</f>
        <v>نیلی پگڑی اور بنیان والا سفید روایتی لباس</v>
      </c>
      <c r="S133" s="6" t="s">
        <v>1080</v>
      </c>
    </row>
    <row r="134">
      <c r="A134" s="7">
        <v>133.0</v>
      </c>
      <c r="B134" s="6" t="s">
        <v>969</v>
      </c>
      <c r="C134" s="6" t="s">
        <v>970</v>
      </c>
      <c r="D134" s="6" t="s">
        <v>971</v>
      </c>
      <c r="E134" s="6" t="s">
        <v>972</v>
      </c>
      <c r="F134" s="6" t="s">
        <v>973</v>
      </c>
      <c r="G134" s="6" t="s">
        <v>972</v>
      </c>
      <c r="H134" s="6" t="s">
        <v>1080</v>
      </c>
      <c r="K134" s="2" t="str">
        <f>IFERROR(__xludf.DUMMYFUNCTION("GOOGLETRANSLATE(A134,""en"",""ur"")"),"133")</f>
        <v>133</v>
      </c>
      <c r="L134" s="2" t="str">
        <f>IFERROR(__xludf.DUMMYFUNCTION("GOOGLETRANSLATE(B134,""en"",""ur"")"),"سوار نے جو لمبی چھڑی پکڑی ہوئی ہے اس کا ظاہری مقصد کیا ہے؟")</f>
        <v>سوار نے جو لمبی چھڑی پکڑی ہوئی ہے اس کا ظاہری مقصد کیا ہے؟</v>
      </c>
      <c r="M134" s="2" t="str">
        <f>IFERROR(__xludf.DUMMYFUNCTION("GOOGLETRANSLATE(C134,""en"",""ur"")"),"گھوڑے کی رہنمائی کے لیے")</f>
        <v>گھوڑے کی رہنمائی کے لیے</v>
      </c>
      <c r="N134" s="2" t="str">
        <f>IFERROR(__xludf.DUMMYFUNCTION("GOOGLETRANSLATE(D134,""en"",""ur"")"),"توازن کے لیے زمین سے ٹکرانا")</f>
        <v>توازن کے لیے زمین سے ٹکرانا</v>
      </c>
      <c r="O134" s="2" t="str">
        <f>IFERROR(__xludf.DUMMYFUNCTION("GOOGLETRANSLATE(E134,""en"",""ur"")"),"زمین پر چھوٹے اہداف کو نشانہ بنانا")</f>
        <v>زمین پر چھوٹے اہداف کو نشانہ بنانا</v>
      </c>
      <c r="P134" s="2" t="str">
        <f>IFERROR(__xludf.DUMMYFUNCTION("GOOGLETRANSLATE(F134,""en"",""ur"")"),"بطور ہتھیار استعمال کرنا")</f>
        <v>بطور ہتھیار استعمال کرنا</v>
      </c>
      <c r="Q134" s="2" t="s">
        <v>974</v>
      </c>
      <c r="R134" s="2" t="str">
        <f>IFERROR(__xludf.DUMMYFUNCTION("GOOGLETRANSLATE(G134,""en"",""ur"")"),"زمین پر چھوٹے اہداف کو نشانہ بنانا")</f>
        <v>زمین پر چھوٹے اہداف کو نشانہ بنانا</v>
      </c>
      <c r="S134" s="6" t="s">
        <v>1080</v>
      </c>
    </row>
    <row r="135">
      <c r="A135" s="7">
        <v>134.0</v>
      </c>
      <c r="B135" s="6" t="s">
        <v>310</v>
      </c>
      <c r="C135" s="6" t="s">
        <v>429</v>
      </c>
      <c r="D135" s="6" t="s">
        <v>975</v>
      </c>
      <c r="E135" s="6" t="s">
        <v>976</v>
      </c>
      <c r="F135" s="6" t="s">
        <v>977</v>
      </c>
      <c r="G135" s="6" t="s">
        <v>975</v>
      </c>
      <c r="H135" s="6" t="s">
        <v>1080</v>
      </c>
      <c r="K135" s="2" t="str">
        <f>IFERROR(__xludf.DUMMYFUNCTION("GOOGLETRANSLATE(A135,""en"",""ur"")"),"134")</f>
        <v>134</v>
      </c>
      <c r="L135" s="2" t="str">
        <f>IFERROR(__xludf.DUMMYFUNCTION("GOOGLETRANSLATE(B135,""en"",""ur"")"),"سوار کی ظاہری باڈی پوزیشن کیا ہے؟")</f>
        <v>سوار کی ظاہری باڈی پوزیشن کیا ہے؟</v>
      </c>
      <c r="M135" s="2" t="str">
        <f>IFERROR(__xludf.DUMMYFUNCTION("GOOGLETRANSLATE(C135,""en"",""ur"")"),"سیدھا کھڑا ہونا")</f>
        <v>سیدھا کھڑا ہونا</v>
      </c>
      <c r="N135" s="2" t="str">
        <f>IFERROR(__xludf.DUMMYFUNCTION("GOOGLETRANSLATE(D135,""en"",""ur"")"),"نیچے اور طرف جھکنا")</f>
        <v>نیچے اور طرف جھکنا</v>
      </c>
      <c r="O135" s="2" t="str">
        <f>IFERROR(__xludf.DUMMYFUNCTION("GOOGLETRANSLATE(E135,""en"",""ur"")"),"گھوڑے کی پیٹھ پر لیٹنا")</f>
        <v>گھوڑے کی پیٹھ پر لیٹنا</v>
      </c>
      <c r="P135" s="2" t="str">
        <f>IFERROR(__xludf.DUMMYFUNCTION("GOOGLETRANSLATE(F135,""en"",""ur"")"),"آرام سے بیٹھ گیا۔")</f>
        <v>آرام سے بیٹھ گیا۔</v>
      </c>
      <c r="Q135" s="2" t="s">
        <v>978</v>
      </c>
      <c r="R135" s="2" t="str">
        <f>IFERROR(__xludf.DUMMYFUNCTION("GOOGLETRANSLATE(G135,""en"",""ur"")"),"نیچے اور طرف جھکنا")</f>
        <v>نیچے اور طرف جھکنا</v>
      </c>
      <c r="S135" s="6" t="s">
        <v>1080</v>
      </c>
    </row>
    <row r="136">
      <c r="A136" s="7">
        <v>135.0</v>
      </c>
      <c r="B136" s="6" t="s">
        <v>979</v>
      </c>
      <c r="C136" s="6" t="s">
        <v>980</v>
      </c>
      <c r="D136" s="6" t="s">
        <v>981</v>
      </c>
      <c r="E136" s="6" t="s">
        <v>982</v>
      </c>
      <c r="F136" s="6" t="s">
        <v>983</v>
      </c>
      <c r="G136" s="6" t="s">
        <v>982</v>
      </c>
      <c r="H136" s="6" t="s">
        <v>1080</v>
      </c>
      <c r="K136" s="2" t="str">
        <f>IFERROR(__xludf.DUMMYFUNCTION("GOOGLETRANSLATE(A136,""en"",""ur"")"),"135")</f>
        <v>135</v>
      </c>
      <c r="L136" s="2" t="str">
        <f>IFERROR(__xludf.DUMMYFUNCTION("GOOGLETRANSLATE(B136,""en"",""ur"")"),"گھوڑے کے پیچھے زمین کی ظاہری حالت کیا ہے؟")</f>
        <v>گھوڑے کے پیچھے زمین کی ظاہری حالت کیا ہے؟</v>
      </c>
      <c r="M136" s="2" t="str">
        <f>IFERROR(__xludf.DUMMYFUNCTION("GOOGLETRANSLATE(C136,""en"",""ur"")"),"بالکل ہموار")</f>
        <v>بالکل ہموار</v>
      </c>
      <c r="N136" s="2" t="str">
        <f>IFERROR(__xludf.DUMMYFUNCTION("GOOGLETRANSLATE(D136,""en"",""ur"")"),"تازہ گھاس میں ڈھکا ہوا ہے۔")</f>
        <v>تازہ گھاس میں ڈھکا ہوا ہے۔</v>
      </c>
      <c r="O136" s="2" t="str">
        <f>IFERROR(__xludf.DUMMYFUNCTION("GOOGLETRANSLATE(E136,""en"",""ur"")"),"غبار کے بادل میں اُٹھ گیا۔")</f>
        <v>غبار کے بادل میں اُٹھ گیا۔</v>
      </c>
      <c r="P136" s="2" t="str">
        <f>IFERROR(__xludf.DUMMYFUNCTION("GOOGLETRANSLATE(F136,""en"",""ur"")"),"پانی سے بھرا ہوا ۔")</f>
        <v>پانی سے بھرا ہوا ۔</v>
      </c>
      <c r="Q136" s="2" t="s">
        <v>984</v>
      </c>
      <c r="R136" s="2" t="str">
        <f>IFERROR(__xludf.DUMMYFUNCTION("GOOGLETRANSLATE(G136,""en"",""ur"")"),"غبار کے بادل میں اُٹھ گیا۔")</f>
        <v>غبار کے بادل میں اُٹھ گیا۔</v>
      </c>
      <c r="S136" s="6" t="s">
        <v>1080</v>
      </c>
    </row>
    <row r="137">
      <c r="A137" s="7">
        <v>136.0</v>
      </c>
      <c r="B137" s="6" t="s">
        <v>985</v>
      </c>
      <c r="C137" s="6" t="s">
        <v>986</v>
      </c>
      <c r="D137" s="6" t="s">
        <v>987</v>
      </c>
      <c r="E137" s="6" t="s">
        <v>988</v>
      </c>
      <c r="F137" s="6" t="s">
        <v>989</v>
      </c>
      <c r="G137" s="6" t="s">
        <v>987</v>
      </c>
      <c r="H137" s="6" t="s">
        <v>1080</v>
      </c>
      <c r="K137" s="2" t="str">
        <f>IFERROR(__xludf.DUMMYFUNCTION("GOOGLETRANSLATE(A137,""en"",""ur"")"),"136")</f>
        <v>136</v>
      </c>
      <c r="L137" s="2" t="str">
        <f>IFERROR(__xludf.DUMMYFUNCTION("GOOGLETRANSLATE(B137,""en"",""ur"")"),"گھوڑے کے ٹیک کی سب سے نمایاں خصوصیت کیا ہے؟")</f>
        <v>گھوڑے کے ٹیک کی سب سے نمایاں خصوصیت کیا ہے؟</v>
      </c>
      <c r="M137" s="2" t="str">
        <f>IFERROR(__xludf.DUMMYFUNCTION("GOOGLETRANSLATE(C137,""en"",""ur"")"),"یہ ایک سادہ سی کاٹھی ہے۔")</f>
        <v>یہ ایک سادہ سی کاٹھی ہے۔</v>
      </c>
      <c r="N137" s="2" t="str">
        <f>IFERROR(__xludf.DUMMYFUNCTION("GOOGLETRANSLATE(D137,""en"",""ur"")"),"یہ نیلے رنگ کے زیورات کے ساتھ ایک انتہائی آرائشی کاٹھی ہے۔")</f>
        <v>یہ نیلے رنگ کے زیورات کے ساتھ ایک انتہائی آرائشی کاٹھی ہے۔</v>
      </c>
      <c r="O137" s="2" t="str">
        <f>IFERROR(__xludf.DUMMYFUNCTION("GOOGLETRANSLATE(E137,""en"",""ur"")"),"یہ ایک ننگا پیڈ ہے۔")</f>
        <v>یہ ایک ننگا پیڈ ہے۔</v>
      </c>
      <c r="P137" s="2" t="str">
        <f>IFERROR(__xludf.DUMMYFUNCTION("GOOGLETRANSLATE(F137,""en"",""ur"")"),"یہ ایک ریسنگ سیڈل ہے۔")</f>
        <v>یہ ایک ریسنگ سیڈل ہے۔</v>
      </c>
      <c r="Q137" s="2" t="s">
        <v>990</v>
      </c>
      <c r="R137" s="2" t="str">
        <f>IFERROR(__xludf.DUMMYFUNCTION("GOOGLETRANSLATE(G137,""en"",""ur"")"),"یہ نیلے رنگ کے زیورات کے ساتھ ایک انتہائی آرائشی کاٹھی ہے۔")</f>
        <v>یہ نیلے رنگ کے زیورات کے ساتھ ایک انتہائی آرائشی کاٹھی ہے۔</v>
      </c>
      <c r="S137" s="6" t="s">
        <v>1080</v>
      </c>
    </row>
    <row r="138">
      <c r="A138" s="7">
        <v>137.0</v>
      </c>
      <c r="B138" s="6" t="s">
        <v>991</v>
      </c>
      <c r="C138" s="6" t="s">
        <v>992</v>
      </c>
      <c r="D138" s="6" t="s">
        <v>646</v>
      </c>
      <c r="E138" s="6" t="s">
        <v>993</v>
      </c>
      <c r="F138" s="6" t="s">
        <v>425</v>
      </c>
      <c r="G138" s="6" t="s">
        <v>993</v>
      </c>
      <c r="H138" s="6" t="s">
        <v>1080</v>
      </c>
      <c r="K138" s="2" t="str">
        <f>IFERROR(__xludf.DUMMYFUNCTION("GOOGLETRANSLATE(A138,""en"",""ur"")"),"137")</f>
        <v>137</v>
      </c>
      <c r="L138" s="2" t="str">
        <f>IFERROR(__xludf.DUMMYFUNCTION("GOOGLETRANSLATE(B138,""en"",""ur"")"),"واقعہ کی ظاہری ترتیب کیا ہے؟")</f>
        <v>واقعہ کی ظاہری ترتیب کیا ہے؟</v>
      </c>
      <c r="M138" s="2" t="str">
        <f>IFERROR(__xludf.DUMMYFUNCTION("GOOGLETRANSLATE(C138,""en"",""ur"")"),"ایک اندرونی میدان")</f>
        <v>ایک اندرونی میدان</v>
      </c>
      <c r="N138" s="2" t="str">
        <f>IFERROR(__xludf.DUMMYFUNCTION("GOOGLETRANSLATE(D138,""en"",""ur"")"),"شہر کی ایک گلی")</f>
        <v>شہر کی ایک گلی</v>
      </c>
      <c r="O138" s="2" t="str">
        <f>IFERROR(__xludf.DUMMYFUNCTION("GOOGLETRANSLATE(E138,""en"",""ur"")"),"ایک بیرونی گندگی کا ٹریک")</f>
        <v>ایک بیرونی گندگی کا ٹریک</v>
      </c>
      <c r="P138" s="2" t="str">
        <f>IFERROR(__xludf.DUMMYFUNCTION("GOOGLETRANSLATE(F138,""en"",""ur"")"),"گھاس کا میدان")</f>
        <v>گھاس کا میدان</v>
      </c>
      <c r="Q138" s="2" t="s">
        <v>994</v>
      </c>
      <c r="R138" s="2" t="str">
        <f>IFERROR(__xludf.DUMMYFUNCTION("GOOGLETRANSLATE(G138,""en"",""ur"")"),"ایک بیرونی گندگی کا ٹریک")</f>
        <v>ایک بیرونی گندگی کا ٹریک</v>
      </c>
      <c r="S138" s="6" t="s">
        <v>1080</v>
      </c>
    </row>
    <row r="139">
      <c r="A139" s="7">
        <v>138.0</v>
      </c>
      <c r="B139" s="6" t="s">
        <v>1036</v>
      </c>
      <c r="C139" s="6" t="s">
        <v>95</v>
      </c>
      <c r="D139" s="6" t="s">
        <v>96</v>
      </c>
      <c r="E139" s="6" t="s">
        <v>1015</v>
      </c>
      <c r="F139" s="6" t="s">
        <v>258</v>
      </c>
      <c r="G139" s="6" t="s">
        <v>1015</v>
      </c>
      <c r="H139" s="6" t="s">
        <v>1080</v>
      </c>
      <c r="K139" s="2" t="str">
        <f>IFERROR(__xludf.DUMMYFUNCTION("GOOGLETRANSLATE(A139,""en"",""ur"")"),"138")</f>
        <v>138</v>
      </c>
      <c r="L139" s="2" t="str">
        <f>IFERROR(__xludf.DUMMYFUNCTION("GOOGLETRANSLATE(B139,""en"",""ur"")"),"کھیل کا نام کیا ہے؟")</f>
        <v>کھیل کا نام کیا ہے؟</v>
      </c>
      <c r="M139" s="2" t="str">
        <f>IFERROR(__xludf.DUMMYFUNCTION("GOOGLETRANSLATE(C139,""en"",""ur"")"),"پولو")</f>
        <v>پولو</v>
      </c>
      <c r="N139" s="2" t="str">
        <f>IFERROR(__xludf.DUMMYFUNCTION("GOOGLETRANSLATE(D139,""en"",""ur"")"),"گھوڑوں کی دوڑ")</f>
        <v>گھوڑوں کی دوڑ</v>
      </c>
      <c r="O139" s="2" t="str">
        <f>IFERROR(__xludf.DUMMYFUNCTION("GOOGLETRANSLATE(E139,""en"",""ur"")"),"ٹینٹ پیگنگ")</f>
        <v>ٹینٹ پیگنگ</v>
      </c>
      <c r="P139" s="2" t="str">
        <f>IFERROR(__xludf.DUMMYFUNCTION("GOOGLETRANSLATE(F139,""en"",""ur"")"),"گھڑ سواری کے کھیل")</f>
        <v>گھڑ سواری کے کھیل</v>
      </c>
      <c r="Q139" s="2" t="s">
        <v>1016</v>
      </c>
      <c r="R139" s="2" t="str">
        <f>IFERROR(__xludf.DUMMYFUNCTION("GOOGLETRANSLATE(G139,""en"",""ur"")"),"ٹینٹ پیگنگ")</f>
        <v>ٹینٹ پیگنگ</v>
      </c>
      <c r="S139" s="6" t="s">
        <v>1080</v>
      </c>
    </row>
    <row r="140">
      <c r="A140" s="7">
        <v>139.0</v>
      </c>
      <c r="B140" s="6" t="s">
        <v>316</v>
      </c>
      <c r="C140" s="6" t="s">
        <v>47</v>
      </c>
      <c r="D140" s="6" t="s">
        <v>48</v>
      </c>
      <c r="E140" s="6" t="s">
        <v>49</v>
      </c>
      <c r="F140" s="6" t="s">
        <v>50</v>
      </c>
      <c r="G140" s="6" t="s">
        <v>49</v>
      </c>
      <c r="H140" s="6" t="s">
        <v>1080</v>
      </c>
      <c r="K140" s="2" t="str">
        <f>IFERROR(__xludf.DUMMYFUNCTION("GOOGLETRANSLATE(A140,""en"",""ur"")"),"139")</f>
        <v>139</v>
      </c>
      <c r="L140" s="2" t="str">
        <f>IFERROR(__xludf.DUMMYFUNCTION("GOOGLETRANSLATE(B140,""en"",""ur"")"),"سوار کے چہرے سے ظاہری جذبات کیا ہیں؟")</f>
        <v>سوار کے چہرے سے ظاہری جذبات کیا ہیں؟</v>
      </c>
      <c r="M140" s="2" t="str">
        <f>IFERROR(__xludf.DUMMYFUNCTION("GOOGLETRANSLATE(C140,""en"",""ur"")"),"پرسکون اور پر سکون")</f>
        <v>پرسکون اور پر سکون</v>
      </c>
      <c r="N140" s="2" t="str">
        <f>IFERROR(__xludf.DUMMYFUNCTION("GOOGLETRANSLATE(D140,""en"",""ur"")"),"خوف زدہ اور بے چین")</f>
        <v>خوف زدہ اور بے چین</v>
      </c>
      <c r="O140" s="2" t="str">
        <f>IFERROR(__xludf.DUMMYFUNCTION("GOOGLETRANSLATE(E140,""en"",""ur"")"),"کشیدہ اور شدید")</f>
        <v>کشیدہ اور شدید</v>
      </c>
      <c r="P140" s="2" t="str">
        <f>IFERROR(__xludf.DUMMYFUNCTION("GOOGLETRANSLATE(F140,""en"",""ur"")"),"خوش اور مسکراتے ہوئے۔")</f>
        <v>خوش اور مسکراتے ہوئے۔</v>
      </c>
      <c r="Q140" s="2" t="s">
        <v>51</v>
      </c>
      <c r="R140" s="2" t="str">
        <f>IFERROR(__xludf.DUMMYFUNCTION("GOOGLETRANSLATE(G140,""en"",""ur"")"),"کشیدہ اور شدید")</f>
        <v>کشیدہ اور شدید</v>
      </c>
      <c r="S140" s="6" t="s">
        <v>1080</v>
      </c>
    </row>
    <row r="141">
      <c r="A141" s="7">
        <v>140.0</v>
      </c>
      <c r="B141" s="6" t="s">
        <v>260</v>
      </c>
      <c r="C141" s="6" t="s">
        <v>261</v>
      </c>
      <c r="D141" s="6" t="s">
        <v>262</v>
      </c>
      <c r="E141" s="6" t="s">
        <v>263</v>
      </c>
      <c r="F141" s="6" t="s">
        <v>1001</v>
      </c>
      <c r="G141" s="6" t="s">
        <v>1001</v>
      </c>
      <c r="H141" s="6" t="s">
        <v>1080</v>
      </c>
      <c r="K141" s="2" t="str">
        <f>IFERROR(__xludf.DUMMYFUNCTION("GOOGLETRANSLATE(A141,""en"",""ur"")"),"140")</f>
        <v>140</v>
      </c>
      <c r="L141" s="2" t="str">
        <f>IFERROR(__xludf.DUMMYFUNCTION("GOOGLETRANSLATE(B141,""en"",""ur"")"),"تصویر میں ایکشن ایک ایسا انداز تجویز کرتا ہے جو اس بات پر زور دیتا ہے...")</f>
        <v>تصویر میں ایکشن ایک ایسا انداز تجویز کرتا ہے جو اس بات پر زور دیتا ہے...</v>
      </c>
      <c r="M141" s="2" t="str">
        <f>IFERROR(__xludf.DUMMYFUNCTION("GOOGLETRANSLATE(C141,""en"",""ur"")"),"روانی اور قلابازیاں")</f>
        <v>روانی اور قلابازیاں</v>
      </c>
      <c r="N141" s="2" t="str">
        <f>IFERROR(__xludf.DUMMYFUNCTION("GOOGLETRANSLATE(D141,""en"",""ur"")"),"زمینی لڑائی اور گرفت")</f>
        <v>زمینی لڑائی اور گرفت</v>
      </c>
      <c r="O141" s="2" t="str">
        <f>IFERROR(__xludf.DUMMYFUNCTION("GOOGLETRANSLATE(E141,""en"",""ur"")"),"وحشیانہ قوت اور گھڑ سواری۔")</f>
        <v>وحشیانہ قوت اور گھڑ سواری۔</v>
      </c>
      <c r="P141" s="2" t="str">
        <f>IFERROR(__xludf.DUMMYFUNCTION("GOOGLETRANSLATE(F141,""en"",""ur"")"),"رفتار، درستگی اور چستی")</f>
        <v>رفتار، درستگی اور چستی</v>
      </c>
      <c r="Q141" s="2" t="s">
        <v>1002</v>
      </c>
      <c r="R141" s="2" t="str">
        <f>IFERROR(__xludf.DUMMYFUNCTION("GOOGLETRANSLATE(G141,""en"",""ur"")"),"رفتار، درستگی اور چستی")</f>
        <v>رفتار، درستگی اور چستی</v>
      </c>
      <c r="S141" s="6" t="s">
        <v>1080</v>
      </c>
    </row>
    <row r="142">
      <c r="A142" s="7">
        <v>141.0</v>
      </c>
      <c r="B142" s="6" t="s">
        <v>1081</v>
      </c>
      <c r="C142" s="6" t="s">
        <v>958</v>
      </c>
      <c r="D142" s="6" t="s">
        <v>959</v>
      </c>
      <c r="E142" s="6" t="s">
        <v>960</v>
      </c>
      <c r="F142" s="6" t="s">
        <v>961</v>
      </c>
      <c r="G142" s="6" t="s">
        <v>959</v>
      </c>
      <c r="H142" s="6" t="s">
        <v>1082</v>
      </c>
      <c r="K142" s="2" t="str">
        <f>IFERROR(__xludf.DUMMYFUNCTION("GOOGLETRANSLATE(A142,""en"",""ur"")"),"141")</f>
        <v>141</v>
      </c>
      <c r="L142" s="2" t="str">
        <f>IFERROR(__xludf.DUMMYFUNCTION("GOOGLETRANSLATE(B142,""en"",""ur"")"),"tent_pegging_44 میں دکھائی جانے والی اہم کارروائی کیا ہے؟")</f>
        <v>tent_pegging_44 میں دکھائی جانے والی اہم کارروائی کیا ہے؟</v>
      </c>
      <c r="M142" s="2" t="str">
        <f>IFERROR(__xludf.DUMMYFUNCTION("GOOGLETRANSLATE(C142,""en"",""ur"")"),"گھوڑے کی پیٹھ پر کرتب دکھاتے ہوئے سوار")</f>
        <v>گھوڑے کی پیٹھ پر کرتب دکھاتے ہوئے سوار</v>
      </c>
      <c r="N142" s="2" t="str">
        <f>IFERROR(__xludf.DUMMYFUNCTION("GOOGLETRANSLATE(D142,""en"",""ur"")"),"ٹینٹ پیگنگ ایونٹ میں مقابلہ کرنے والا سوار")</f>
        <v>ٹینٹ پیگنگ ایونٹ میں مقابلہ کرنے والا سوار</v>
      </c>
      <c r="O142" s="2" t="str">
        <f>IFERROR(__xludf.DUMMYFUNCTION("GOOGLETRANSLATE(E142,""en"",""ur"")"),"گھوڑوں کی دوڑ میں سوار")</f>
        <v>گھوڑوں کی دوڑ میں سوار</v>
      </c>
      <c r="P142" s="2" t="str">
        <f>IFERROR(__xludf.DUMMYFUNCTION("GOOGLETRANSLATE(F142,""en"",""ur"")"),"ایک سوار پریڈ کی قیادت کر رہا ہے۔")</f>
        <v>ایک سوار پریڈ کی قیادت کر رہا ہے۔</v>
      </c>
      <c r="Q142" s="2" t="s">
        <v>1029</v>
      </c>
      <c r="R142" s="2" t="str">
        <f>IFERROR(__xludf.DUMMYFUNCTION("GOOGLETRANSLATE(G142,""en"",""ur"")"),"ٹینٹ پیگنگ ایونٹ میں مقابلہ کرنے والا سوار")</f>
        <v>ٹینٹ پیگنگ ایونٹ میں مقابلہ کرنے والا سوار</v>
      </c>
      <c r="S142" s="6" t="s">
        <v>1082</v>
      </c>
    </row>
    <row r="143">
      <c r="A143" s="7">
        <v>142.0</v>
      </c>
      <c r="B143" s="6" t="s">
        <v>963</v>
      </c>
      <c r="C143" s="6" t="s">
        <v>964</v>
      </c>
      <c r="D143" s="6" t="s">
        <v>1083</v>
      </c>
      <c r="E143" s="6" t="s">
        <v>966</v>
      </c>
      <c r="F143" s="6" t="s">
        <v>967</v>
      </c>
      <c r="G143" s="6" t="s">
        <v>1083</v>
      </c>
      <c r="H143" s="6" t="s">
        <v>1082</v>
      </c>
      <c r="K143" s="2" t="str">
        <f>IFERROR(__xludf.DUMMYFUNCTION("GOOGLETRANSLATE(A143,""en"",""ur"")"),"142")</f>
        <v>142</v>
      </c>
      <c r="L143" s="2" t="str">
        <f>IFERROR(__xludf.DUMMYFUNCTION("GOOGLETRANSLATE(B143,""en"",""ur"")"),"سوار کے لباس کے بارے میں ایک قابل ذکر تفصیل کیا ہے؟")</f>
        <v>سوار کے لباس کے بارے میں ایک قابل ذکر تفصیل کیا ہے؟</v>
      </c>
      <c r="M143" s="2" t="str">
        <f>IFERROR(__xludf.DUMMYFUNCTION("GOOGLETRANSLATE(C143,""en"",""ur"")"),"ایک رسمی سوٹ اور ٹائی")</f>
        <v>ایک رسمی سوٹ اور ٹائی</v>
      </c>
      <c r="N143" s="2" t="str">
        <f>IFERROR(__xludf.DUMMYFUNCTION("GOOGLETRANSLATE(D143,""en"",""ur"")"),"سبز بنیان کے ساتھ سفید روایتی لباس")</f>
        <v>سبز بنیان کے ساتھ سفید روایتی لباس</v>
      </c>
      <c r="O143" s="2" t="str">
        <f>IFERROR(__xludf.DUMMYFUNCTION("GOOGLETRANSLATE(E143,""en"",""ur"")"),"فوجی وردی")</f>
        <v>فوجی وردی</v>
      </c>
      <c r="P143" s="2" t="str">
        <f>IFERROR(__xludf.DUMMYFUNCTION("GOOGLETRANSLATE(F143,""en"",""ur"")"),"ایک جدید کھیلوں کا یونیفارم")</f>
        <v>ایک جدید کھیلوں کا یونیفارم</v>
      </c>
      <c r="Q143" s="2" t="s">
        <v>1084</v>
      </c>
      <c r="R143" s="2" t="str">
        <f>IFERROR(__xludf.DUMMYFUNCTION("GOOGLETRANSLATE(G143,""en"",""ur"")"),"سبز بنیان کے ساتھ سفید روایتی لباس")</f>
        <v>سبز بنیان کے ساتھ سفید روایتی لباس</v>
      </c>
      <c r="S143" s="6" t="s">
        <v>1082</v>
      </c>
    </row>
    <row r="144">
      <c r="A144" s="7">
        <v>143.0</v>
      </c>
      <c r="B144" s="6" t="s">
        <v>969</v>
      </c>
      <c r="C144" s="6" t="s">
        <v>970</v>
      </c>
      <c r="D144" s="6" t="s">
        <v>971</v>
      </c>
      <c r="E144" s="6" t="s">
        <v>972</v>
      </c>
      <c r="F144" s="6" t="s">
        <v>973</v>
      </c>
      <c r="G144" s="6" t="s">
        <v>972</v>
      </c>
      <c r="H144" s="6" t="s">
        <v>1082</v>
      </c>
      <c r="K144" s="2" t="str">
        <f>IFERROR(__xludf.DUMMYFUNCTION("GOOGLETRANSLATE(A144,""en"",""ur"")"),"143")</f>
        <v>143</v>
      </c>
      <c r="L144" s="2" t="str">
        <f>IFERROR(__xludf.DUMMYFUNCTION("GOOGLETRANSLATE(B144,""en"",""ur"")"),"سوار نے جو لمبی چھڑی پکڑی ہوئی ہے اس کا ظاہری مقصد کیا ہے؟")</f>
        <v>سوار نے جو لمبی چھڑی پکڑی ہوئی ہے اس کا ظاہری مقصد کیا ہے؟</v>
      </c>
      <c r="M144" s="2" t="str">
        <f>IFERROR(__xludf.DUMMYFUNCTION("GOOGLETRANSLATE(C144,""en"",""ur"")"),"گھوڑے کی رہنمائی کے لیے")</f>
        <v>گھوڑے کی رہنمائی کے لیے</v>
      </c>
      <c r="N144" s="2" t="str">
        <f>IFERROR(__xludf.DUMMYFUNCTION("GOOGLETRANSLATE(D144,""en"",""ur"")"),"توازن کے لیے زمین سے ٹکرانا")</f>
        <v>توازن کے لیے زمین سے ٹکرانا</v>
      </c>
      <c r="O144" s="2" t="str">
        <f>IFERROR(__xludf.DUMMYFUNCTION("GOOGLETRANSLATE(E144,""en"",""ur"")"),"زمین پر چھوٹے اہداف کو نشانہ بنانا")</f>
        <v>زمین پر چھوٹے اہداف کو نشانہ بنانا</v>
      </c>
      <c r="P144" s="2" t="str">
        <f>IFERROR(__xludf.DUMMYFUNCTION("GOOGLETRANSLATE(F144,""en"",""ur"")"),"بطور ہتھیار استعمال کرنا")</f>
        <v>بطور ہتھیار استعمال کرنا</v>
      </c>
      <c r="Q144" s="2" t="s">
        <v>974</v>
      </c>
      <c r="R144" s="2" t="str">
        <f>IFERROR(__xludf.DUMMYFUNCTION("GOOGLETRANSLATE(G144,""en"",""ur"")"),"زمین پر چھوٹے اہداف کو نشانہ بنانا")</f>
        <v>زمین پر چھوٹے اہداف کو نشانہ بنانا</v>
      </c>
      <c r="S144" s="6" t="s">
        <v>1082</v>
      </c>
    </row>
    <row r="145">
      <c r="A145" s="7">
        <v>144.0</v>
      </c>
      <c r="B145" s="6" t="s">
        <v>310</v>
      </c>
      <c r="C145" s="6" t="s">
        <v>429</v>
      </c>
      <c r="D145" s="6" t="s">
        <v>975</v>
      </c>
      <c r="E145" s="6" t="s">
        <v>976</v>
      </c>
      <c r="F145" s="6" t="s">
        <v>977</v>
      </c>
      <c r="G145" s="6" t="s">
        <v>975</v>
      </c>
      <c r="H145" s="6" t="s">
        <v>1082</v>
      </c>
      <c r="K145" s="2" t="str">
        <f>IFERROR(__xludf.DUMMYFUNCTION("GOOGLETRANSLATE(A145,""en"",""ur"")"),"144")</f>
        <v>144</v>
      </c>
      <c r="L145" s="2" t="str">
        <f>IFERROR(__xludf.DUMMYFUNCTION("GOOGLETRANSLATE(B145,""en"",""ur"")"),"سوار کی ظاہری باڈی پوزیشن کیا ہے؟")</f>
        <v>سوار کی ظاہری باڈی پوزیشن کیا ہے؟</v>
      </c>
      <c r="M145" s="2" t="str">
        <f>IFERROR(__xludf.DUMMYFUNCTION("GOOGLETRANSLATE(C145,""en"",""ur"")"),"سیدھا کھڑا ہونا")</f>
        <v>سیدھا کھڑا ہونا</v>
      </c>
      <c r="N145" s="2" t="str">
        <f>IFERROR(__xludf.DUMMYFUNCTION("GOOGLETRANSLATE(D145,""en"",""ur"")"),"نیچے اور طرف جھکنا")</f>
        <v>نیچے اور طرف جھکنا</v>
      </c>
      <c r="O145" s="2" t="str">
        <f>IFERROR(__xludf.DUMMYFUNCTION("GOOGLETRANSLATE(E145,""en"",""ur"")"),"گھوڑے کی پیٹھ پر لیٹنا")</f>
        <v>گھوڑے کی پیٹھ پر لیٹنا</v>
      </c>
      <c r="P145" s="2" t="str">
        <f>IFERROR(__xludf.DUMMYFUNCTION("GOOGLETRANSLATE(F145,""en"",""ur"")"),"آرام سے بیٹھ گیا۔")</f>
        <v>آرام سے بیٹھ گیا۔</v>
      </c>
      <c r="Q145" s="2" t="s">
        <v>978</v>
      </c>
      <c r="R145" s="2" t="str">
        <f>IFERROR(__xludf.DUMMYFUNCTION("GOOGLETRANSLATE(G145,""en"",""ur"")"),"نیچے اور طرف جھکنا")</f>
        <v>نیچے اور طرف جھکنا</v>
      </c>
      <c r="S145" s="6" t="s">
        <v>1082</v>
      </c>
    </row>
    <row r="146">
      <c r="A146" s="7">
        <v>145.0</v>
      </c>
      <c r="B146" s="6" t="s">
        <v>979</v>
      </c>
      <c r="C146" s="6" t="s">
        <v>980</v>
      </c>
      <c r="D146" s="6" t="s">
        <v>981</v>
      </c>
      <c r="E146" s="6" t="s">
        <v>982</v>
      </c>
      <c r="F146" s="6" t="s">
        <v>983</v>
      </c>
      <c r="G146" s="6" t="s">
        <v>982</v>
      </c>
      <c r="H146" s="6" t="s">
        <v>1082</v>
      </c>
      <c r="K146" s="2" t="str">
        <f>IFERROR(__xludf.DUMMYFUNCTION("GOOGLETRANSLATE(A146,""en"",""ur"")"),"145")</f>
        <v>145</v>
      </c>
      <c r="L146" s="2" t="str">
        <f>IFERROR(__xludf.DUMMYFUNCTION("GOOGLETRANSLATE(B146,""en"",""ur"")"),"گھوڑے کے پیچھے زمین کی ظاہری حالت کیا ہے؟")</f>
        <v>گھوڑے کے پیچھے زمین کی ظاہری حالت کیا ہے؟</v>
      </c>
      <c r="M146" s="2" t="str">
        <f>IFERROR(__xludf.DUMMYFUNCTION("GOOGLETRANSLATE(C146,""en"",""ur"")"),"بالکل ہموار")</f>
        <v>بالکل ہموار</v>
      </c>
      <c r="N146" s="2" t="str">
        <f>IFERROR(__xludf.DUMMYFUNCTION("GOOGLETRANSLATE(D146,""en"",""ur"")"),"تازہ گھاس میں ڈھکا ہوا ہے۔")</f>
        <v>تازہ گھاس میں ڈھکا ہوا ہے۔</v>
      </c>
      <c r="O146" s="2" t="str">
        <f>IFERROR(__xludf.DUMMYFUNCTION("GOOGLETRANSLATE(E146,""en"",""ur"")"),"غبار کے بادل میں اُٹھ گیا۔")</f>
        <v>غبار کے بادل میں اُٹھ گیا۔</v>
      </c>
      <c r="P146" s="2" t="str">
        <f>IFERROR(__xludf.DUMMYFUNCTION("GOOGLETRANSLATE(F146,""en"",""ur"")"),"پانی سے بھرا ہوا ۔")</f>
        <v>پانی سے بھرا ہوا ۔</v>
      </c>
      <c r="Q146" s="2" t="s">
        <v>984</v>
      </c>
      <c r="R146" s="2" t="str">
        <f>IFERROR(__xludf.DUMMYFUNCTION("GOOGLETRANSLATE(G146,""en"",""ur"")"),"غبار کے بادل میں اُٹھ گیا۔")</f>
        <v>غبار کے بادل میں اُٹھ گیا۔</v>
      </c>
      <c r="S146" s="6" t="s">
        <v>1082</v>
      </c>
    </row>
    <row r="147">
      <c r="A147" s="7">
        <v>146.0</v>
      </c>
      <c r="B147" s="6" t="s">
        <v>985</v>
      </c>
      <c r="C147" s="6" t="s">
        <v>986</v>
      </c>
      <c r="D147" s="6" t="s">
        <v>987</v>
      </c>
      <c r="E147" s="6" t="s">
        <v>988</v>
      </c>
      <c r="F147" s="6" t="s">
        <v>989</v>
      </c>
      <c r="G147" s="6" t="s">
        <v>987</v>
      </c>
      <c r="H147" s="6" t="s">
        <v>1082</v>
      </c>
      <c r="K147" s="2" t="str">
        <f>IFERROR(__xludf.DUMMYFUNCTION("GOOGLETRANSLATE(A147,""en"",""ur"")"),"146")</f>
        <v>146</v>
      </c>
      <c r="L147" s="2" t="str">
        <f>IFERROR(__xludf.DUMMYFUNCTION("GOOGLETRANSLATE(B147,""en"",""ur"")"),"گھوڑے کے ٹیک کی سب سے نمایاں خصوصیت کیا ہے؟")</f>
        <v>گھوڑے کے ٹیک کی سب سے نمایاں خصوصیت کیا ہے؟</v>
      </c>
      <c r="M147" s="2" t="str">
        <f>IFERROR(__xludf.DUMMYFUNCTION("GOOGLETRANSLATE(C147,""en"",""ur"")"),"یہ ایک سادہ سی کاٹھی ہے۔")</f>
        <v>یہ ایک سادہ سی کاٹھی ہے۔</v>
      </c>
      <c r="N147" s="2" t="str">
        <f>IFERROR(__xludf.DUMMYFUNCTION("GOOGLETRANSLATE(D147,""en"",""ur"")"),"یہ نیلے رنگ کے زیورات کے ساتھ ایک انتہائی آرائشی کاٹھی ہے۔")</f>
        <v>یہ نیلے رنگ کے زیورات کے ساتھ ایک انتہائی آرائشی کاٹھی ہے۔</v>
      </c>
      <c r="O147" s="2" t="str">
        <f>IFERROR(__xludf.DUMMYFUNCTION("GOOGLETRANSLATE(E147,""en"",""ur"")"),"یہ ایک ننگا پیڈ ہے۔")</f>
        <v>یہ ایک ننگا پیڈ ہے۔</v>
      </c>
      <c r="P147" s="2" t="str">
        <f>IFERROR(__xludf.DUMMYFUNCTION("GOOGLETRANSLATE(F147,""en"",""ur"")"),"یہ ایک ریسنگ سیڈل ہے۔")</f>
        <v>یہ ایک ریسنگ سیڈل ہے۔</v>
      </c>
      <c r="Q147" s="2" t="s">
        <v>990</v>
      </c>
      <c r="R147" s="2" t="str">
        <f>IFERROR(__xludf.DUMMYFUNCTION("GOOGLETRANSLATE(G147,""en"",""ur"")"),"یہ نیلے رنگ کے زیورات کے ساتھ ایک انتہائی آرائشی کاٹھی ہے۔")</f>
        <v>یہ نیلے رنگ کے زیورات کے ساتھ ایک انتہائی آرائشی کاٹھی ہے۔</v>
      </c>
      <c r="S147" s="6" t="s">
        <v>1082</v>
      </c>
    </row>
    <row r="148">
      <c r="A148" s="7">
        <v>147.0</v>
      </c>
      <c r="B148" s="6" t="s">
        <v>991</v>
      </c>
      <c r="C148" s="6" t="s">
        <v>992</v>
      </c>
      <c r="D148" s="6" t="s">
        <v>646</v>
      </c>
      <c r="E148" s="6" t="s">
        <v>1051</v>
      </c>
      <c r="F148" s="6" t="s">
        <v>425</v>
      </c>
      <c r="G148" s="6" t="s">
        <v>1051</v>
      </c>
      <c r="H148" s="6" t="s">
        <v>1082</v>
      </c>
      <c r="K148" s="2" t="str">
        <f>IFERROR(__xludf.DUMMYFUNCTION("GOOGLETRANSLATE(A148,""en"",""ur"")"),"147")</f>
        <v>147</v>
      </c>
      <c r="L148" s="2" t="str">
        <f>IFERROR(__xludf.DUMMYFUNCTION("GOOGLETRANSLATE(B148,""en"",""ur"")"),"واقعہ کی ظاہری ترتیب کیا ہے؟")</f>
        <v>واقعہ کی ظاہری ترتیب کیا ہے؟</v>
      </c>
      <c r="M148" s="2" t="str">
        <f>IFERROR(__xludf.DUMMYFUNCTION("GOOGLETRANSLATE(C148,""en"",""ur"")"),"ایک اندرونی میدان")</f>
        <v>ایک اندرونی میدان</v>
      </c>
      <c r="N148" s="2" t="str">
        <f>IFERROR(__xludf.DUMMYFUNCTION("GOOGLETRANSLATE(D148,""en"",""ur"")"),"شہر کی ایک گلی")</f>
        <v>شہر کی ایک گلی</v>
      </c>
      <c r="O148" s="2" t="str">
        <f>IFERROR(__xludf.DUMMYFUNCTION("GOOGLETRANSLATE(E148,""en"",""ur"")"),"تماشائیوں کے ساتھ ایک بیرونی گندگی کا ٹریک")</f>
        <v>تماشائیوں کے ساتھ ایک بیرونی گندگی کا ٹریک</v>
      </c>
      <c r="P148" s="2" t="str">
        <f>IFERROR(__xludf.DUMMYFUNCTION("GOOGLETRANSLATE(F148,""en"",""ur"")"),"گھاس کا میدان")</f>
        <v>گھاس کا میدان</v>
      </c>
      <c r="Q148" s="2" t="s">
        <v>1052</v>
      </c>
      <c r="R148" s="2" t="str">
        <f>IFERROR(__xludf.DUMMYFUNCTION("GOOGLETRANSLATE(G148,""en"",""ur"")"),"تماشائیوں کے ساتھ ایک بیرونی گندگی کا ٹریک")</f>
        <v>تماشائیوں کے ساتھ ایک بیرونی گندگی کا ٹریک</v>
      </c>
      <c r="S148" s="6" t="s">
        <v>1082</v>
      </c>
    </row>
    <row r="149">
      <c r="A149" s="7">
        <v>148.0</v>
      </c>
      <c r="B149" s="6" t="s">
        <v>1036</v>
      </c>
      <c r="C149" s="6" t="s">
        <v>95</v>
      </c>
      <c r="D149" s="6" t="s">
        <v>96</v>
      </c>
      <c r="E149" s="6" t="s">
        <v>1015</v>
      </c>
      <c r="F149" s="6" t="s">
        <v>258</v>
      </c>
      <c r="G149" s="6" t="s">
        <v>1015</v>
      </c>
      <c r="H149" s="6" t="s">
        <v>1082</v>
      </c>
      <c r="K149" s="2" t="str">
        <f>IFERROR(__xludf.DUMMYFUNCTION("GOOGLETRANSLATE(A149,""en"",""ur"")"),"148")</f>
        <v>148</v>
      </c>
      <c r="L149" s="2" t="str">
        <f>IFERROR(__xludf.DUMMYFUNCTION("GOOGLETRANSLATE(B149,""en"",""ur"")"),"کھیل کا نام کیا ہے؟")</f>
        <v>کھیل کا نام کیا ہے؟</v>
      </c>
      <c r="M149" s="2" t="str">
        <f>IFERROR(__xludf.DUMMYFUNCTION("GOOGLETRANSLATE(C149,""en"",""ur"")"),"پولو")</f>
        <v>پولو</v>
      </c>
      <c r="N149" s="2" t="str">
        <f>IFERROR(__xludf.DUMMYFUNCTION("GOOGLETRANSLATE(D149,""en"",""ur"")"),"گھوڑوں کی دوڑ")</f>
        <v>گھوڑوں کی دوڑ</v>
      </c>
      <c r="O149" s="2" t="str">
        <f>IFERROR(__xludf.DUMMYFUNCTION("GOOGLETRANSLATE(E149,""en"",""ur"")"),"ٹینٹ پیگنگ")</f>
        <v>ٹینٹ پیگنگ</v>
      </c>
      <c r="P149" s="2" t="str">
        <f>IFERROR(__xludf.DUMMYFUNCTION("GOOGLETRANSLATE(F149,""en"",""ur"")"),"گھڑ سواری کے کھیل")</f>
        <v>گھڑ سواری کے کھیل</v>
      </c>
      <c r="Q149" s="2" t="s">
        <v>1016</v>
      </c>
      <c r="R149" s="2" t="str">
        <f>IFERROR(__xludf.DUMMYFUNCTION("GOOGLETRANSLATE(G149,""en"",""ur"")"),"ٹینٹ پیگنگ")</f>
        <v>ٹینٹ پیگنگ</v>
      </c>
      <c r="S149" s="6" t="s">
        <v>1082</v>
      </c>
    </row>
    <row r="150">
      <c r="A150" s="7">
        <v>149.0</v>
      </c>
      <c r="B150" s="6" t="s">
        <v>316</v>
      </c>
      <c r="C150" s="6" t="s">
        <v>47</v>
      </c>
      <c r="D150" s="6" t="s">
        <v>48</v>
      </c>
      <c r="E150" s="6" t="s">
        <v>49</v>
      </c>
      <c r="F150" s="6" t="s">
        <v>50</v>
      </c>
      <c r="G150" s="6" t="s">
        <v>49</v>
      </c>
      <c r="H150" s="6" t="s">
        <v>1082</v>
      </c>
      <c r="K150" s="2" t="str">
        <f>IFERROR(__xludf.DUMMYFUNCTION("GOOGLETRANSLATE(A150,""en"",""ur"")"),"149")</f>
        <v>149</v>
      </c>
      <c r="L150" s="2" t="str">
        <f>IFERROR(__xludf.DUMMYFUNCTION("GOOGLETRANSLATE(B150,""en"",""ur"")"),"سوار کے چہرے سے ظاہری جذبات کیا ہیں؟")</f>
        <v>سوار کے چہرے سے ظاہری جذبات کیا ہیں؟</v>
      </c>
      <c r="M150" s="2" t="str">
        <f>IFERROR(__xludf.DUMMYFUNCTION("GOOGLETRANSLATE(C150,""en"",""ur"")"),"پرسکون اور پر سکون")</f>
        <v>پرسکون اور پر سکون</v>
      </c>
      <c r="N150" s="2" t="str">
        <f>IFERROR(__xludf.DUMMYFUNCTION("GOOGLETRANSLATE(D150,""en"",""ur"")"),"خوف زدہ اور بے چین")</f>
        <v>خوف زدہ اور بے چین</v>
      </c>
      <c r="O150" s="2" t="str">
        <f>IFERROR(__xludf.DUMMYFUNCTION("GOOGLETRANSLATE(E150,""en"",""ur"")"),"کشیدہ اور شدید")</f>
        <v>کشیدہ اور شدید</v>
      </c>
      <c r="P150" s="2" t="str">
        <f>IFERROR(__xludf.DUMMYFUNCTION("GOOGLETRANSLATE(F150,""en"",""ur"")"),"خوش اور مسکراتے ہوئے۔")</f>
        <v>خوش اور مسکراتے ہوئے۔</v>
      </c>
      <c r="Q150" s="2" t="s">
        <v>51</v>
      </c>
      <c r="R150" s="2" t="str">
        <f>IFERROR(__xludf.DUMMYFUNCTION("GOOGLETRANSLATE(G150,""en"",""ur"")"),"کشیدہ اور شدید")</f>
        <v>کشیدہ اور شدید</v>
      </c>
      <c r="S150" s="6" t="s">
        <v>1082</v>
      </c>
    </row>
    <row r="151">
      <c r="A151" s="7">
        <v>150.0</v>
      </c>
      <c r="B151" s="6" t="s">
        <v>260</v>
      </c>
      <c r="C151" s="6" t="s">
        <v>261</v>
      </c>
      <c r="D151" s="6" t="s">
        <v>262</v>
      </c>
      <c r="E151" s="6" t="s">
        <v>263</v>
      </c>
      <c r="F151" s="6" t="s">
        <v>1001</v>
      </c>
      <c r="G151" s="6" t="s">
        <v>1001</v>
      </c>
      <c r="H151" s="6" t="s">
        <v>1082</v>
      </c>
      <c r="K151" s="2" t="str">
        <f>IFERROR(__xludf.DUMMYFUNCTION("GOOGLETRANSLATE(A151,""en"",""ur"")"),"150")</f>
        <v>150</v>
      </c>
      <c r="L151" s="2" t="str">
        <f>IFERROR(__xludf.DUMMYFUNCTION("GOOGLETRANSLATE(B151,""en"",""ur"")"),"تصویر میں ایکشن ایک ایسا انداز تجویز کرتا ہے جو اس بات پر زور دیتا ہے...")</f>
        <v>تصویر میں ایکشن ایک ایسا انداز تجویز کرتا ہے جو اس بات پر زور دیتا ہے...</v>
      </c>
      <c r="M151" s="2" t="str">
        <f>IFERROR(__xludf.DUMMYFUNCTION("GOOGLETRANSLATE(C151,""en"",""ur"")"),"روانی اور قلابازیاں")</f>
        <v>روانی اور قلابازیاں</v>
      </c>
      <c r="N151" s="2" t="str">
        <f>IFERROR(__xludf.DUMMYFUNCTION("GOOGLETRANSLATE(D151,""en"",""ur"")"),"زمینی لڑائی اور گرفت")</f>
        <v>زمینی لڑائی اور گرفت</v>
      </c>
      <c r="O151" s="2" t="str">
        <f>IFERROR(__xludf.DUMMYFUNCTION("GOOGLETRANSLATE(E151,""en"",""ur"")"),"وحشیانہ قوت اور گھڑ سواری۔")</f>
        <v>وحشیانہ قوت اور گھڑ سواری۔</v>
      </c>
      <c r="P151" s="2" t="str">
        <f>IFERROR(__xludf.DUMMYFUNCTION("GOOGLETRANSLATE(F151,""en"",""ur"")"),"رفتار، درستگی اور چستی")</f>
        <v>رفتار، درستگی اور چستی</v>
      </c>
      <c r="Q151" s="2" t="s">
        <v>1002</v>
      </c>
      <c r="R151" s="2" t="str">
        <f>IFERROR(__xludf.DUMMYFUNCTION("GOOGLETRANSLATE(G151,""en"",""ur"")"),"رفتار، درستگی اور چستی")</f>
        <v>رفتار، درستگی اور چستی</v>
      </c>
      <c r="S151" s="6" t="s">
        <v>1082</v>
      </c>
    </row>
    <row r="152">
      <c r="A152" s="7">
        <v>151.0</v>
      </c>
      <c r="B152" s="6" t="s">
        <v>1085</v>
      </c>
      <c r="C152" s="6" t="s">
        <v>103</v>
      </c>
      <c r="D152" s="6" t="s">
        <v>1086</v>
      </c>
      <c r="E152" s="6" t="s">
        <v>1004</v>
      </c>
      <c r="F152" s="6" t="s">
        <v>73</v>
      </c>
      <c r="G152" s="6" t="s">
        <v>1086</v>
      </c>
      <c r="H152" s="6" t="s">
        <v>1087</v>
      </c>
      <c r="K152" s="2" t="str">
        <f>IFERROR(__xludf.DUMMYFUNCTION("GOOGLETRANSLATE(A152,""en"",""ur"")"),"151")</f>
        <v>151</v>
      </c>
      <c r="L152" s="2" t="str">
        <f>IFERROR(__xludf.DUMMYFUNCTION("GOOGLETRANSLATE(B152,""en"",""ur"")"),"tent_pegging_47 میں دکھائی جانے والی اہم کارروائی کیا ہے؟")</f>
        <v>tent_pegging_47 میں دکھائی جانے والی اہم کارروائی کیا ہے؟</v>
      </c>
      <c r="M152" s="2" t="str">
        <f>IFERROR(__xludf.DUMMYFUNCTION("GOOGLETRANSLATE(C152,""en"",""ur"")"),"آرام سے گھوڑے کی سواری۔")</f>
        <v>آرام سے گھوڑے کی سواری۔</v>
      </c>
      <c r="N152" s="2" t="str">
        <f>IFERROR(__xludf.DUMMYFUNCTION("GOOGLETRANSLATE(D152,""en"",""ur"")"),"ٹینٹ پیگنگ ایونٹ میں مقابلہ کرنے والے سواروں کا ایک گروپ")</f>
        <v>ٹینٹ پیگنگ ایونٹ میں مقابلہ کرنے والے سواروں کا ایک گروپ</v>
      </c>
      <c r="O152" s="2" t="str">
        <f>IFERROR(__xludf.DUMMYFUNCTION("GOOGLETRANSLATE(E152,""en"",""ur"")"),"سواروں کی پریڈ")</f>
        <v>سواروں کی پریڈ</v>
      </c>
      <c r="P152" s="2" t="str">
        <f>IFERROR(__xludf.DUMMYFUNCTION("GOOGLETRANSLATE(F152,""en"",""ur"")"),"گھوڑوں کی دوڑ")</f>
        <v>گھوڑوں کی دوڑ</v>
      </c>
      <c r="Q152" s="2" t="s">
        <v>1088</v>
      </c>
      <c r="R152" s="2" t="str">
        <f>IFERROR(__xludf.DUMMYFUNCTION("GOOGLETRANSLATE(G152,""en"",""ur"")"),"ٹینٹ پیگنگ ایونٹ میں مقابلہ کرنے والے سواروں کا ایک گروپ")</f>
        <v>ٹینٹ پیگنگ ایونٹ میں مقابلہ کرنے والے سواروں کا ایک گروپ</v>
      </c>
      <c r="S152" s="6" t="s">
        <v>1087</v>
      </c>
    </row>
    <row r="153">
      <c r="A153" s="7">
        <v>152.0</v>
      </c>
      <c r="B153" s="6" t="s">
        <v>1007</v>
      </c>
      <c r="C153" s="6" t="s">
        <v>1008</v>
      </c>
      <c r="D153" s="6" t="s">
        <v>1089</v>
      </c>
      <c r="E153" s="6" t="s">
        <v>245</v>
      </c>
      <c r="F153" s="6" t="s">
        <v>246</v>
      </c>
      <c r="G153" s="6" t="s">
        <v>1089</v>
      </c>
      <c r="H153" s="6" t="s">
        <v>1087</v>
      </c>
      <c r="K153" s="2" t="str">
        <f>IFERROR(__xludf.DUMMYFUNCTION("GOOGLETRANSLATE(A153,""en"",""ur"")"),"152")</f>
        <v>152</v>
      </c>
      <c r="L153" s="2" t="str">
        <f>IFERROR(__xludf.DUMMYFUNCTION("GOOGLETRANSLATE(B153,""en"",""ur"")"),"سواروں کے لباس کے بارے میں ایک قابل ذکر تفصیل کیا ہے؟")</f>
        <v>سواروں کے لباس کے بارے میں ایک قابل ذکر تفصیل کیا ہے؟</v>
      </c>
      <c r="M153" s="2" t="str">
        <f>IFERROR(__xludf.DUMMYFUNCTION("GOOGLETRANSLATE(C153,""en"",""ur"")"),"انہوں نے فوجی وردی پہن رکھی ہے۔")</f>
        <v>انہوں نے فوجی وردی پہن رکھی ہے۔</v>
      </c>
      <c r="N153" s="2" t="str">
        <f>IFERROR(__xludf.DUMMYFUNCTION("GOOGLETRANSLATE(D153,""en"",""ur"")"),"وہ نارنجی پگڑیوں اور واسکٹوں کے ساتھ سفید روایتی لباس پہنے ہوئے ہیں۔")</f>
        <v>وہ نارنجی پگڑیوں اور واسکٹوں کے ساتھ سفید روایتی لباس پہنے ہوئے ہیں۔</v>
      </c>
      <c r="O153" s="2" t="str">
        <f>IFERROR(__xludf.DUMMYFUNCTION("GOOGLETRANSLATE(E153,""en"",""ur"")"),"وہ رسمی سوٹ پہنے ہوئے ہیں۔")</f>
        <v>وہ رسمی سوٹ پہنے ہوئے ہیں۔</v>
      </c>
      <c r="P153" s="2" t="str">
        <f>IFERROR(__xludf.DUMMYFUNCTION("GOOGLETRANSLATE(F153,""en"",""ur"")"),"انہوں نے کوئی لباس نہیں پہنا ہوا ہے۔")</f>
        <v>انہوں نے کوئی لباس نہیں پہنا ہوا ہے۔</v>
      </c>
      <c r="Q153" s="2" t="s">
        <v>1090</v>
      </c>
      <c r="R153" s="2" t="str">
        <f>IFERROR(__xludf.DUMMYFUNCTION("GOOGLETRANSLATE(G153,""en"",""ur"")"),"وہ نارنجی پگڑیوں اور واسکٹوں کے ساتھ سفید روایتی لباس پہنے ہوئے ہیں۔")</f>
        <v>وہ نارنجی پگڑیوں اور واسکٹوں کے ساتھ سفید روایتی لباس پہنے ہوئے ہیں۔</v>
      </c>
      <c r="S153" s="6" t="s">
        <v>1087</v>
      </c>
    </row>
    <row r="154">
      <c r="A154" s="7">
        <v>153.0</v>
      </c>
      <c r="B154" s="6" t="s">
        <v>1011</v>
      </c>
      <c r="C154" s="6" t="s">
        <v>59</v>
      </c>
      <c r="D154" s="6" t="s">
        <v>1091</v>
      </c>
      <c r="E154" s="6" t="s">
        <v>1013</v>
      </c>
      <c r="F154" s="6" t="s">
        <v>268</v>
      </c>
      <c r="G154" s="6" t="s">
        <v>1091</v>
      </c>
      <c r="H154" s="6" t="s">
        <v>1087</v>
      </c>
      <c r="K154" s="2" t="str">
        <f>IFERROR(__xludf.DUMMYFUNCTION("GOOGLETRANSLATE(A154,""en"",""ur"")"),"153")</f>
        <v>153</v>
      </c>
      <c r="L154" s="2" t="str">
        <f>IFERROR(__xludf.DUMMYFUNCTION("GOOGLETRANSLATE(B154,""en"",""ur"")"),"گھوڑوں کے بارے میں نظر آنے والی تفصیل کیا ہے؟")</f>
        <v>گھوڑوں کے بارے میں نظر آنے والی تفصیل کیا ہے؟</v>
      </c>
      <c r="M154" s="2" t="str">
        <f>IFERROR(__xludf.DUMMYFUNCTION("GOOGLETRANSLATE(C154,""en"",""ur"")"),"وہ سب ایک ہی رنگ کے ہیں۔")</f>
        <v>وہ سب ایک ہی رنگ کے ہیں۔</v>
      </c>
      <c r="N154" s="2" t="str">
        <f>IFERROR(__xludf.DUMMYFUNCTION("GOOGLETRANSLATE(D154,""en"",""ur"")"),"وہ وسیع گلابی ٹیک کے ساتھ رنگوں کا مرکب ہیں۔")</f>
        <v>وہ وسیع گلابی ٹیک کے ساتھ رنگوں کا مرکب ہیں۔</v>
      </c>
      <c r="O154" s="2" t="str">
        <f>IFERROR(__xludf.DUMMYFUNCTION("GOOGLETRANSLATE(E154,""en"",""ur"")"),"وہ سب کوئی سیڈل نہیں پہنے ہوئے ہیں۔")</f>
        <v>وہ سب کوئی سیڈل نہیں پہنے ہوئے ہیں۔</v>
      </c>
      <c r="P154" s="2" t="str">
        <f>IFERROR(__xludf.DUMMYFUNCTION("GOOGLETRANSLATE(F154,""en"",""ur"")"),"وہ سب خاموش کھڑے ہیں۔")</f>
        <v>وہ سب خاموش کھڑے ہیں۔</v>
      </c>
      <c r="Q154" s="2" t="s">
        <v>1092</v>
      </c>
      <c r="R154" s="2" t="str">
        <f>IFERROR(__xludf.DUMMYFUNCTION("GOOGLETRANSLATE(G154,""en"",""ur"")"),"وہ وسیع گلابی ٹیک کے ساتھ رنگوں کا مرکب ہیں۔")</f>
        <v>وہ وسیع گلابی ٹیک کے ساتھ رنگوں کا مرکب ہیں۔</v>
      </c>
      <c r="S154" s="6" t="s">
        <v>1087</v>
      </c>
    </row>
    <row r="155">
      <c r="A155" s="7">
        <v>154.0</v>
      </c>
      <c r="B155" s="6" t="s">
        <v>248</v>
      </c>
      <c r="C155" s="6" t="s">
        <v>249</v>
      </c>
      <c r="D155" s="6" t="s">
        <v>250</v>
      </c>
      <c r="E155" s="6" t="s">
        <v>251</v>
      </c>
      <c r="F155" s="6" t="s">
        <v>252</v>
      </c>
      <c r="G155" s="6" t="s">
        <v>250</v>
      </c>
      <c r="H155" s="6" t="s">
        <v>1087</v>
      </c>
      <c r="K155" s="2" t="str">
        <f>IFERROR(__xludf.DUMMYFUNCTION("GOOGLETRANSLATE(A155,""en"",""ur"")"),"154")</f>
        <v>154</v>
      </c>
      <c r="L155" s="2" t="str">
        <f>IFERROR(__xludf.DUMMYFUNCTION("GOOGLETRANSLATE(B155,""en"",""ur"")"),"سواروں کی ظاہری باڈی پوزیشن کیا ہے؟")</f>
        <v>سواروں کی ظاہری باڈی پوزیشن کیا ہے؟</v>
      </c>
      <c r="M155" s="2" t="str">
        <f>IFERROR(__xludf.DUMMYFUNCTION("GOOGLETRANSLATE(C155,""en"",""ur"")"),"وہ سیدھے کھڑے ہیں۔")</f>
        <v>وہ سیدھے کھڑے ہیں۔</v>
      </c>
      <c r="N155" s="2" t="str">
        <f>IFERROR(__xludf.DUMMYFUNCTION("GOOGLETRANSLATE(D155,""en"",""ur"")"),"وہ جھک رہے ہیں اور کسی چیز تک پہنچ رہے ہیں۔")</f>
        <v>وہ جھک رہے ہیں اور کسی چیز تک پہنچ رہے ہیں۔</v>
      </c>
      <c r="O155" s="2" t="str">
        <f>IFERROR(__xludf.DUMMYFUNCTION("GOOGLETRANSLATE(E155,""en"",""ur"")"),"وہ گھوڑوں کی پیٹھ پر لیٹے ہوئے ہیں۔")</f>
        <v>وہ گھوڑوں کی پیٹھ پر لیٹے ہوئے ہیں۔</v>
      </c>
      <c r="P155" s="2" t="str">
        <f>IFERROR(__xludf.DUMMYFUNCTION("GOOGLETRANSLATE(F155,""en"",""ur"")"),"وہ آرام سے بیٹھے ہیں۔")</f>
        <v>وہ آرام سے بیٹھے ہیں۔</v>
      </c>
      <c r="Q155" s="2" t="s">
        <v>253</v>
      </c>
      <c r="R155" s="2" t="str">
        <f>IFERROR(__xludf.DUMMYFUNCTION("GOOGLETRANSLATE(G155,""en"",""ur"")"),"وہ جھک رہے ہیں اور کسی چیز تک پہنچ رہے ہیں۔")</f>
        <v>وہ جھک رہے ہیں اور کسی چیز تک پہنچ رہے ہیں۔</v>
      </c>
      <c r="S155" s="6" t="s">
        <v>1087</v>
      </c>
    </row>
    <row r="156">
      <c r="A156" s="7">
        <v>155.0</v>
      </c>
      <c r="B156" s="6" t="s">
        <v>254</v>
      </c>
      <c r="C156" s="6" t="s">
        <v>47</v>
      </c>
      <c r="D156" s="6" t="s">
        <v>48</v>
      </c>
      <c r="E156" s="6" t="s">
        <v>49</v>
      </c>
      <c r="F156" s="6" t="s">
        <v>50</v>
      </c>
      <c r="G156" s="6" t="s">
        <v>49</v>
      </c>
      <c r="H156" s="6" t="s">
        <v>1087</v>
      </c>
      <c r="K156" s="2" t="str">
        <f>IFERROR(__xludf.DUMMYFUNCTION("GOOGLETRANSLATE(A156,""en"",""ur"")"),"155")</f>
        <v>155</v>
      </c>
      <c r="L156" s="2" t="str">
        <f>IFERROR(__xludf.DUMMYFUNCTION("GOOGLETRANSLATE(B156,""en"",""ur"")"),"سواروں کے چہروں سے ظاہری جذبات کیا ہیں؟")</f>
        <v>سواروں کے چہروں سے ظاہری جذبات کیا ہیں؟</v>
      </c>
      <c r="M156" s="2" t="str">
        <f>IFERROR(__xludf.DUMMYFUNCTION("GOOGLETRANSLATE(C156,""en"",""ur"")"),"پرسکون اور پر سکون")</f>
        <v>پرسکون اور پر سکون</v>
      </c>
      <c r="N156" s="2" t="str">
        <f>IFERROR(__xludf.DUMMYFUNCTION("GOOGLETRANSLATE(D156,""en"",""ur"")"),"خوف زدہ اور بے چین")</f>
        <v>خوف زدہ اور بے چین</v>
      </c>
      <c r="O156" s="2" t="str">
        <f>IFERROR(__xludf.DUMMYFUNCTION("GOOGLETRANSLATE(E156,""en"",""ur"")"),"کشیدہ اور شدید")</f>
        <v>کشیدہ اور شدید</v>
      </c>
      <c r="P156" s="2" t="str">
        <f>IFERROR(__xludf.DUMMYFUNCTION("GOOGLETRANSLATE(F156,""en"",""ur"")"),"خوش اور مسکراتے ہوئے۔")</f>
        <v>خوش اور مسکراتے ہوئے۔</v>
      </c>
      <c r="Q156" s="2" t="s">
        <v>51</v>
      </c>
      <c r="R156" s="2" t="str">
        <f>IFERROR(__xludf.DUMMYFUNCTION("GOOGLETRANSLATE(G156,""en"",""ur"")"),"کشیدہ اور شدید")</f>
        <v>کشیدہ اور شدید</v>
      </c>
      <c r="S156" s="6" t="s">
        <v>1087</v>
      </c>
    </row>
    <row r="157">
      <c r="A157" s="7">
        <v>156.0</v>
      </c>
      <c r="B157" s="6" t="s">
        <v>88</v>
      </c>
      <c r="C157" s="6" t="s">
        <v>89</v>
      </c>
      <c r="D157" s="6" t="s">
        <v>90</v>
      </c>
      <c r="E157" s="6" t="s">
        <v>91</v>
      </c>
      <c r="F157" s="6" t="s">
        <v>255</v>
      </c>
      <c r="G157" s="6" t="s">
        <v>255</v>
      </c>
      <c r="H157" s="6" t="s">
        <v>1087</v>
      </c>
      <c r="K157" s="2" t="str">
        <f>IFERROR(__xludf.DUMMYFUNCTION("GOOGLETRANSLATE(A157,""en"",""ur"")"),"156")</f>
        <v>156</v>
      </c>
      <c r="L157" s="2" t="str">
        <f>IFERROR(__xludf.DUMMYFUNCTION("GOOGLETRANSLATE(B157,""en"",""ur"")"),"زمین کی سب سے نمایاں خصوصیت کیا ہے؟")</f>
        <v>زمین کی سب سے نمایاں خصوصیت کیا ہے؟</v>
      </c>
      <c r="M157" s="2" t="str">
        <f>IFERROR(__xludf.DUMMYFUNCTION("GOOGLETRANSLATE(C157,""en"",""ur"")"),"ایک پکی سطح")</f>
        <v>ایک پکی سطح</v>
      </c>
      <c r="N157" s="2" t="str">
        <f>IFERROR(__xludf.DUMMYFUNCTION("GOOGLETRANSLATE(D157,""en"",""ur"")"),"کیچڑ والا میدان")</f>
        <v>کیچڑ والا میدان</v>
      </c>
      <c r="O157" s="2" t="str">
        <f>IFERROR(__xludf.DUMMYFUNCTION("GOOGLETRANSLATE(E157,""en"",""ur"")"),"ایک گھاس دار سطح")</f>
        <v>ایک گھاس دار سطح</v>
      </c>
      <c r="P157" s="2" t="str">
        <f>IFERROR(__xludf.DUMMYFUNCTION("GOOGLETRANSLATE(F157,""en"",""ur"")"),"ریتلی یا گندگی کی سطح")</f>
        <v>ریتلی یا گندگی کی سطح</v>
      </c>
      <c r="Q157" s="2" t="s">
        <v>256</v>
      </c>
      <c r="R157" s="2" t="str">
        <f>IFERROR(__xludf.DUMMYFUNCTION("GOOGLETRANSLATE(G157,""en"",""ur"")"),"ریتلی یا گندگی کی سطح")</f>
        <v>ریتلی یا گندگی کی سطح</v>
      </c>
      <c r="S157" s="6" t="s">
        <v>1087</v>
      </c>
    </row>
    <row r="158">
      <c r="A158" s="7">
        <v>157.0</v>
      </c>
      <c r="B158" s="6" t="s">
        <v>257</v>
      </c>
      <c r="C158" s="6" t="s">
        <v>95</v>
      </c>
      <c r="D158" s="6" t="s">
        <v>96</v>
      </c>
      <c r="E158" s="6" t="s">
        <v>1015</v>
      </c>
      <c r="F158" s="6" t="s">
        <v>258</v>
      </c>
      <c r="G158" s="6" t="s">
        <v>1015</v>
      </c>
      <c r="H158" s="6" t="s">
        <v>1087</v>
      </c>
      <c r="K158" s="2" t="str">
        <f>IFERROR(__xludf.DUMMYFUNCTION("GOOGLETRANSLATE(A158,""en"",""ur"")"),"157")</f>
        <v>157</v>
      </c>
      <c r="L158" s="2" t="str">
        <f>IFERROR(__xludf.DUMMYFUNCTION("GOOGLETRANSLATE(B158,""en"",""ur"")"),"کھیلے جانے والے کھیل کا نام کیا ہے؟")</f>
        <v>کھیلے جانے والے کھیل کا نام کیا ہے؟</v>
      </c>
      <c r="M158" s="2" t="str">
        <f>IFERROR(__xludf.DUMMYFUNCTION("GOOGLETRANSLATE(C158,""en"",""ur"")"),"پولو")</f>
        <v>پولو</v>
      </c>
      <c r="N158" s="2" t="str">
        <f>IFERROR(__xludf.DUMMYFUNCTION("GOOGLETRANSLATE(D158,""en"",""ur"")"),"گھوڑوں کی دوڑ")</f>
        <v>گھوڑوں کی دوڑ</v>
      </c>
      <c r="O158" s="2" t="str">
        <f>IFERROR(__xludf.DUMMYFUNCTION("GOOGLETRANSLATE(E158,""en"",""ur"")"),"ٹینٹ پیگنگ")</f>
        <v>ٹینٹ پیگنگ</v>
      </c>
      <c r="P158" s="2" t="str">
        <f>IFERROR(__xludf.DUMMYFUNCTION("GOOGLETRANSLATE(F158,""en"",""ur"")"),"گھڑ سواری کے کھیل")</f>
        <v>گھڑ سواری کے کھیل</v>
      </c>
      <c r="Q158" s="2" t="s">
        <v>1016</v>
      </c>
      <c r="R158" s="2" t="str">
        <f>IFERROR(__xludf.DUMMYFUNCTION("GOOGLETRANSLATE(G158,""en"",""ur"")"),"ٹینٹ پیگنگ")</f>
        <v>ٹینٹ پیگنگ</v>
      </c>
      <c r="S158" s="6" t="s">
        <v>1087</v>
      </c>
    </row>
    <row r="159">
      <c r="A159" s="7">
        <v>158.0</v>
      </c>
      <c r="B159" s="6" t="s">
        <v>260</v>
      </c>
      <c r="C159" s="6" t="s">
        <v>261</v>
      </c>
      <c r="D159" s="6" t="s">
        <v>1017</v>
      </c>
      <c r="E159" s="6" t="s">
        <v>263</v>
      </c>
      <c r="F159" s="6" t="s">
        <v>1001</v>
      </c>
      <c r="G159" s="6" t="s">
        <v>1001</v>
      </c>
      <c r="H159" s="6" t="s">
        <v>1087</v>
      </c>
      <c r="K159" s="2" t="str">
        <f>IFERROR(__xludf.DUMMYFUNCTION("GOOGLETRANSLATE(A159,""en"",""ur"")"),"158")</f>
        <v>158</v>
      </c>
      <c r="L159" s="2" t="str">
        <f>IFERROR(__xludf.DUMMYFUNCTION("GOOGLETRANSLATE(B159,""en"",""ur"")"),"تصویر میں ایکشن ایک ایسا انداز تجویز کرتا ہے جو اس بات پر زور دیتا ہے...")</f>
        <v>تصویر میں ایکشن ایک ایسا انداز تجویز کرتا ہے جو اس بات پر زور دیتا ہے...</v>
      </c>
      <c r="M159" s="2" t="str">
        <f>IFERROR(__xludf.DUMMYFUNCTION("GOOGLETRANSLATE(C159,""en"",""ur"")"),"روانی اور قلابازیاں")</f>
        <v>روانی اور قلابازیاں</v>
      </c>
      <c r="N159" s="2" t="str">
        <f>IFERROR(__xludf.DUMMYFUNCTION("GOOGLETRANSLATE(D159,""en"",""ur"")"),"گروپ کی تشکیل اور رسمی نمائش")</f>
        <v>گروپ کی تشکیل اور رسمی نمائش</v>
      </c>
      <c r="O159" s="2" t="str">
        <f>IFERROR(__xludf.DUMMYFUNCTION("GOOGLETRANSLATE(E159,""en"",""ur"")"),"وحشیانہ قوت اور گھڑ سواری۔")</f>
        <v>وحشیانہ قوت اور گھڑ سواری۔</v>
      </c>
      <c r="P159" s="2" t="str">
        <f>IFERROR(__xludf.DUMMYFUNCTION("GOOGLETRANSLATE(F159,""en"",""ur"")"),"رفتار، درستگی اور چستی")</f>
        <v>رفتار، درستگی اور چستی</v>
      </c>
      <c r="Q159" s="2" t="s">
        <v>1093</v>
      </c>
      <c r="R159" s="2" t="str">
        <f>IFERROR(__xludf.DUMMYFUNCTION("GOOGLETRANSLATE(G159,""en"",""ur"")"),"رفتار، درستگی اور چستی")</f>
        <v>رفتار، درستگی اور چستی</v>
      </c>
      <c r="S159" s="6" t="s">
        <v>1087</v>
      </c>
    </row>
    <row r="160">
      <c r="A160" s="7">
        <v>159.0</v>
      </c>
      <c r="B160" s="6" t="s">
        <v>1019</v>
      </c>
      <c r="C160" s="6" t="s">
        <v>1020</v>
      </c>
      <c r="D160" s="6" t="s">
        <v>1021</v>
      </c>
      <c r="E160" s="6" t="s">
        <v>1022</v>
      </c>
      <c r="F160" s="6" t="s">
        <v>1023</v>
      </c>
      <c r="G160" s="6" t="s">
        <v>1023</v>
      </c>
      <c r="H160" s="6" t="s">
        <v>1087</v>
      </c>
      <c r="K160" s="2" t="str">
        <f>IFERROR(__xludf.DUMMYFUNCTION("GOOGLETRANSLATE(A160,""en"",""ur"")"),"159")</f>
        <v>159</v>
      </c>
      <c r="L160" s="2" t="str">
        <f>IFERROR(__xludf.DUMMYFUNCTION("GOOGLETRANSLATE(B160,""en"",""ur"")"),"لمبی چھڑیوں کے بارے میں ایک قابل ذکر تفصیل کیا ہے جو سواروں کے پاس ہے؟")</f>
        <v>لمبی چھڑیوں کے بارے میں ایک قابل ذکر تفصیل کیا ہے جو سواروں کے پاس ہے؟</v>
      </c>
      <c r="M160" s="2" t="str">
        <f>IFERROR(__xludf.DUMMYFUNCTION("GOOGLETRANSLATE(C160,""en"",""ur"")"),"انہیں ہتھیار کے طور پر استعمال کیا جاتا ہے۔")</f>
        <v>انہیں ہتھیار کے طور پر استعمال کیا جاتا ہے۔</v>
      </c>
      <c r="N160" s="2" t="str">
        <f>IFERROR(__xludf.DUMMYFUNCTION("GOOGLETRANSLATE(D160,""en"",""ur"")"),"وہ گھوڑوں کی رہنمائی کے لیے استعمال ہوتے ہیں۔")</f>
        <v>وہ گھوڑوں کی رہنمائی کے لیے استعمال ہوتے ہیں۔</v>
      </c>
      <c r="O160" s="2" t="str">
        <f>IFERROR(__xludf.DUMMYFUNCTION("GOOGLETRANSLATE(E160,""en"",""ur"")"),"وہ ربن اور tassels کے ساتھ سجایا جاتا ہے")</f>
        <v>وہ ربن اور tassels کے ساتھ سجایا جاتا ہے</v>
      </c>
      <c r="P160" s="2" t="str">
        <f>IFERROR(__xludf.DUMMYFUNCTION("GOOGLETRANSLATE(F160,""en"",""ur"")"),"وہ جھنڈے کے طور پر استعمال ہوتے ہیں۔")</f>
        <v>وہ جھنڈے کے طور پر استعمال ہوتے ہیں۔</v>
      </c>
      <c r="Q160" s="2" t="s">
        <v>1024</v>
      </c>
      <c r="R160" s="2" t="str">
        <f>IFERROR(__xludf.DUMMYFUNCTION("GOOGLETRANSLATE(G160,""en"",""ur"")"),"وہ جھنڈے کے طور پر استعمال ہوتے ہیں۔")</f>
        <v>وہ جھنڈے کے طور پر استعمال ہوتے ہیں۔</v>
      </c>
      <c r="S160" s="6" t="s">
        <v>1087</v>
      </c>
    </row>
    <row r="161">
      <c r="A161" s="7">
        <v>160.0</v>
      </c>
      <c r="B161" s="6" t="s">
        <v>991</v>
      </c>
      <c r="C161" s="6" t="s">
        <v>992</v>
      </c>
      <c r="D161" s="6" t="s">
        <v>646</v>
      </c>
      <c r="E161" s="6" t="s">
        <v>993</v>
      </c>
      <c r="F161" s="6" t="s">
        <v>1094</v>
      </c>
      <c r="G161" s="6" t="s">
        <v>1095</v>
      </c>
      <c r="H161" s="6" t="s">
        <v>1087</v>
      </c>
      <c r="K161" s="2" t="str">
        <f>IFERROR(__xludf.DUMMYFUNCTION("GOOGLETRANSLATE(A161,""en"",""ur"")"),"160")</f>
        <v>160</v>
      </c>
      <c r="L161" s="2" t="str">
        <f>IFERROR(__xludf.DUMMYFUNCTION("GOOGLETRANSLATE(B161,""en"",""ur"")"),"واقعہ کی ظاہری ترتیب کیا ہے؟")</f>
        <v>واقعہ کی ظاہری ترتیب کیا ہے؟</v>
      </c>
      <c r="M161" s="2" t="str">
        <f>IFERROR(__xludf.DUMMYFUNCTION("GOOGLETRANSLATE(C161,""en"",""ur"")"),"ایک اندرونی میدان")</f>
        <v>ایک اندرونی میدان</v>
      </c>
      <c r="N161" s="2" t="str">
        <f>IFERROR(__xludf.DUMMYFUNCTION("GOOGLETRANSLATE(D161,""en"",""ur"")"),"شہر کی ایک گلی")</f>
        <v>شہر کی ایک گلی</v>
      </c>
      <c r="O161" s="2" t="str">
        <f>IFERROR(__xludf.DUMMYFUNCTION("GOOGLETRANSLATE(E161,""en"",""ur"")"),"ایک بیرونی گندگی کا ٹریک")</f>
        <v>ایک بیرونی گندگی کا ٹریک</v>
      </c>
      <c r="P161" s="2" t="str">
        <f>IFERROR(__xludf.DUMMYFUNCTION("GOOGLETRANSLATE(F161,""en"",""ur"")"),"درختوں اور دھندلے پس منظر کے ساتھ گھاس کا میدان")</f>
        <v>درختوں اور دھندلے پس منظر کے ساتھ گھاس کا میدان</v>
      </c>
      <c r="Q161" s="2" t="s">
        <v>1096</v>
      </c>
      <c r="R161" s="2" t="str">
        <f>IFERROR(__xludf.DUMMYFUNCTION("GOOGLETRANSLATE(G161,""en"",""ur"")"),"درختوں اور دھندلے پس منظر کے ساتھ ایک بیرونی گندگی کا ٹریک")</f>
        <v>درختوں اور دھندلے پس منظر کے ساتھ ایک بیرونی گندگی کا ٹریک</v>
      </c>
      <c r="S161" s="6" t="s">
        <v>1087</v>
      </c>
    </row>
    <row r="162">
      <c r="A162" s="7">
        <v>161.0</v>
      </c>
      <c r="B162" s="6" t="s">
        <v>1097</v>
      </c>
      <c r="C162" s="6" t="s">
        <v>1039</v>
      </c>
      <c r="D162" s="6" t="s">
        <v>1065</v>
      </c>
      <c r="E162" s="6" t="s">
        <v>73</v>
      </c>
      <c r="F162" s="6" t="s">
        <v>1066</v>
      </c>
      <c r="G162" s="6" t="s">
        <v>1039</v>
      </c>
      <c r="H162" s="6" t="s">
        <v>1098</v>
      </c>
      <c r="K162" s="2" t="str">
        <f>IFERROR(__xludf.DUMMYFUNCTION("GOOGLETRANSLATE(A162,""en"",""ur"")"),"161")</f>
        <v>161</v>
      </c>
      <c r="L162" s="2" t="str">
        <f>IFERROR(__xludf.DUMMYFUNCTION("GOOGLETRANSLATE(B162,""en"",""ur"")"),"tent_pegging_52 میں دکھائی جانے والی اہم کارروائی کیا ہے؟")</f>
        <v>tent_pegging_52 میں دکھائی جانے والی اہم کارروائی کیا ہے؟</v>
      </c>
      <c r="M162" s="2" t="str">
        <f>IFERROR(__xludf.DUMMYFUNCTION("GOOGLETRANSLATE(C162,""en"",""ur"")"),"ٹینٹ پیگنگ ایونٹ میں دو سوار مقابلہ کر رہے ہیں۔")</f>
        <v>ٹینٹ پیگنگ ایونٹ میں دو سوار مقابلہ کر رہے ہیں۔</v>
      </c>
      <c r="N162" s="2" t="str">
        <f>IFERROR(__xludf.DUMMYFUNCTION("GOOGLETRANSLATE(D162,""en"",""ur"")"),"پریڈ کی تشکیل میں سواروں کا ایک گروپ")</f>
        <v>پریڈ کی تشکیل میں سواروں کا ایک گروپ</v>
      </c>
      <c r="O162" s="2" t="str">
        <f>IFERROR(__xludf.DUMMYFUNCTION("GOOGLETRANSLATE(E162,""en"",""ur"")"),"گھوڑوں کی دوڑ")</f>
        <v>گھوڑوں کی دوڑ</v>
      </c>
      <c r="P162" s="2" t="str">
        <f>IFERROR(__xludf.DUMMYFUNCTION("GOOGLETRANSLATE(F162,""en"",""ur"")"),"لڑنے والے سواروں کا ایک گروہ")</f>
        <v>لڑنے والے سواروں کا ایک گروہ</v>
      </c>
      <c r="Q162" s="2" t="s">
        <v>1099</v>
      </c>
      <c r="R162" s="2" t="str">
        <f>IFERROR(__xludf.DUMMYFUNCTION("GOOGLETRANSLATE(G162,""en"",""ur"")"),"ٹینٹ پیگنگ ایونٹ میں دو سوار مقابلہ کر رہے ہیں۔")</f>
        <v>ٹینٹ پیگنگ ایونٹ میں دو سوار مقابلہ کر رہے ہیں۔</v>
      </c>
      <c r="S162" s="6" t="s">
        <v>1098</v>
      </c>
    </row>
    <row r="163">
      <c r="A163" s="7">
        <v>162.0</v>
      </c>
      <c r="B163" s="6" t="s">
        <v>1007</v>
      </c>
      <c r="C163" s="6" t="s">
        <v>1008</v>
      </c>
      <c r="D163" s="6" t="s">
        <v>1100</v>
      </c>
      <c r="E163" s="6" t="s">
        <v>245</v>
      </c>
      <c r="F163" s="6" t="s">
        <v>246</v>
      </c>
      <c r="G163" s="6" t="s">
        <v>1100</v>
      </c>
      <c r="H163" s="6" t="s">
        <v>1098</v>
      </c>
      <c r="K163" s="2" t="str">
        <f>IFERROR(__xludf.DUMMYFUNCTION("GOOGLETRANSLATE(A163,""en"",""ur"")"),"162")</f>
        <v>162</v>
      </c>
      <c r="L163" s="2" t="str">
        <f>IFERROR(__xludf.DUMMYFUNCTION("GOOGLETRANSLATE(B163,""en"",""ur"")"),"سواروں کے لباس کے بارے میں ایک قابل ذکر تفصیل کیا ہے؟")</f>
        <v>سواروں کے لباس کے بارے میں ایک قابل ذکر تفصیل کیا ہے؟</v>
      </c>
      <c r="M163" s="2" t="str">
        <f>IFERROR(__xludf.DUMMYFUNCTION("GOOGLETRANSLATE(C163,""en"",""ur"")"),"انہوں نے فوجی وردی پہن رکھی ہے۔")</f>
        <v>انہوں نے فوجی وردی پہن رکھی ہے۔</v>
      </c>
      <c r="N163" s="2" t="str">
        <f>IFERROR(__xludf.DUMMYFUNCTION("GOOGLETRANSLATE(D163,""en"",""ur"")"),"وہ لمبی پگڑیوں کے ساتھ سفید روایتی لباس پہنے ہوئے ہیں۔")</f>
        <v>وہ لمبی پگڑیوں کے ساتھ سفید روایتی لباس پہنے ہوئے ہیں۔</v>
      </c>
      <c r="O163" s="2" t="str">
        <f>IFERROR(__xludf.DUMMYFUNCTION("GOOGLETRANSLATE(E163,""en"",""ur"")"),"وہ رسمی سوٹ پہنے ہوئے ہیں۔")</f>
        <v>وہ رسمی سوٹ پہنے ہوئے ہیں۔</v>
      </c>
      <c r="P163" s="2" t="str">
        <f>IFERROR(__xludf.DUMMYFUNCTION("GOOGLETRANSLATE(F163,""en"",""ur"")"),"انہوں نے کوئی لباس نہیں پہنا ہوا ہے۔")</f>
        <v>انہوں نے کوئی لباس نہیں پہنا ہوا ہے۔</v>
      </c>
      <c r="Q163" s="2" t="s">
        <v>1101</v>
      </c>
      <c r="R163" s="2" t="str">
        <f>IFERROR(__xludf.DUMMYFUNCTION("GOOGLETRANSLATE(G163,""en"",""ur"")"),"وہ لمبی پگڑیوں کے ساتھ سفید روایتی لباس پہنے ہوئے ہیں۔")</f>
        <v>وہ لمبی پگڑیوں کے ساتھ سفید روایتی لباس پہنے ہوئے ہیں۔</v>
      </c>
      <c r="S163" s="6" t="s">
        <v>1098</v>
      </c>
    </row>
    <row r="164">
      <c r="A164" s="7">
        <v>163.0</v>
      </c>
      <c r="B164" s="6" t="s">
        <v>1011</v>
      </c>
      <c r="C164" s="6" t="s">
        <v>59</v>
      </c>
      <c r="D164" s="6" t="s">
        <v>1012</v>
      </c>
      <c r="E164" s="6" t="s">
        <v>1013</v>
      </c>
      <c r="F164" s="6" t="s">
        <v>268</v>
      </c>
      <c r="G164" s="6" t="s">
        <v>1012</v>
      </c>
      <c r="H164" s="6" t="s">
        <v>1098</v>
      </c>
      <c r="K164" s="2" t="str">
        <f>IFERROR(__xludf.DUMMYFUNCTION("GOOGLETRANSLATE(A164,""en"",""ur"")"),"163")</f>
        <v>163</v>
      </c>
      <c r="L164" s="2" t="str">
        <f>IFERROR(__xludf.DUMMYFUNCTION("GOOGLETRANSLATE(B164,""en"",""ur"")"),"گھوڑوں کے بارے میں نظر آنے والی تفصیل کیا ہے؟")</f>
        <v>گھوڑوں کے بارے میں نظر آنے والی تفصیل کیا ہے؟</v>
      </c>
      <c r="M164" s="2" t="str">
        <f>IFERROR(__xludf.DUMMYFUNCTION("GOOGLETRANSLATE(C164,""en"",""ur"")"),"وہ سب ایک ہی رنگ کے ہیں۔")</f>
        <v>وہ سب ایک ہی رنگ کے ہیں۔</v>
      </c>
      <c r="N164" s="2" t="str">
        <f>IFERROR(__xludf.DUMMYFUNCTION("GOOGLETRANSLATE(D164,""en"",""ur"")"),"وہ زیادہ تر سفید گھوڑے ہیں جن میں آرائشی ٹیک ہیں۔")</f>
        <v>وہ زیادہ تر سفید گھوڑے ہیں جن میں آرائشی ٹیک ہیں۔</v>
      </c>
      <c r="O164" s="2" t="str">
        <f>IFERROR(__xludf.DUMMYFUNCTION("GOOGLETRANSLATE(E164,""en"",""ur"")"),"وہ سب کوئی سیڈل نہیں پہنے ہوئے ہیں۔")</f>
        <v>وہ سب کوئی سیڈل نہیں پہنے ہوئے ہیں۔</v>
      </c>
      <c r="P164" s="2" t="str">
        <f>IFERROR(__xludf.DUMMYFUNCTION("GOOGLETRANSLATE(F164,""en"",""ur"")"),"وہ سب خاموش کھڑے ہیں۔")</f>
        <v>وہ سب خاموش کھڑے ہیں۔</v>
      </c>
      <c r="Q164" s="2" t="s">
        <v>1014</v>
      </c>
      <c r="R164" s="2" t="str">
        <f>IFERROR(__xludf.DUMMYFUNCTION("GOOGLETRANSLATE(G164,""en"",""ur"")"),"وہ زیادہ تر سفید گھوڑے ہیں جن میں آرائشی ٹیک ہیں۔")</f>
        <v>وہ زیادہ تر سفید گھوڑے ہیں جن میں آرائشی ٹیک ہیں۔</v>
      </c>
      <c r="S164" s="6" t="s">
        <v>1098</v>
      </c>
    </row>
    <row r="165">
      <c r="A165" s="7">
        <v>164.0</v>
      </c>
      <c r="B165" s="6" t="s">
        <v>248</v>
      </c>
      <c r="C165" s="6" t="s">
        <v>249</v>
      </c>
      <c r="D165" s="6" t="s">
        <v>250</v>
      </c>
      <c r="E165" s="6" t="s">
        <v>251</v>
      </c>
      <c r="F165" s="6" t="s">
        <v>252</v>
      </c>
      <c r="G165" s="6" t="s">
        <v>250</v>
      </c>
      <c r="H165" s="6" t="s">
        <v>1098</v>
      </c>
      <c r="K165" s="2" t="str">
        <f>IFERROR(__xludf.DUMMYFUNCTION("GOOGLETRANSLATE(A165,""en"",""ur"")"),"164")</f>
        <v>164</v>
      </c>
      <c r="L165" s="2" t="str">
        <f>IFERROR(__xludf.DUMMYFUNCTION("GOOGLETRANSLATE(B165,""en"",""ur"")"),"سواروں کی ظاہری باڈی پوزیشن کیا ہے؟")</f>
        <v>سواروں کی ظاہری باڈی پوزیشن کیا ہے؟</v>
      </c>
      <c r="M165" s="2" t="str">
        <f>IFERROR(__xludf.DUMMYFUNCTION("GOOGLETRANSLATE(C165,""en"",""ur"")"),"وہ سیدھے کھڑے ہیں۔")</f>
        <v>وہ سیدھے کھڑے ہیں۔</v>
      </c>
      <c r="N165" s="2" t="str">
        <f>IFERROR(__xludf.DUMMYFUNCTION("GOOGLETRANSLATE(D165,""en"",""ur"")"),"وہ جھک رہے ہیں اور کسی چیز تک پہنچ رہے ہیں۔")</f>
        <v>وہ جھک رہے ہیں اور کسی چیز تک پہنچ رہے ہیں۔</v>
      </c>
      <c r="O165" s="2" t="str">
        <f>IFERROR(__xludf.DUMMYFUNCTION("GOOGLETRANSLATE(E165,""en"",""ur"")"),"وہ گھوڑوں کی پیٹھ پر لیٹے ہوئے ہیں۔")</f>
        <v>وہ گھوڑوں کی پیٹھ پر لیٹے ہوئے ہیں۔</v>
      </c>
      <c r="P165" s="2" t="str">
        <f>IFERROR(__xludf.DUMMYFUNCTION("GOOGLETRANSLATE(F165,""en"",""ur"")"),"وہ آرام سے بیٹھے ہیں۔")</f>
        <v>وہ آرام سے بیٹھے ہیں۔</v>
      </c>
      <c r="Q165" s="2" t="s">
        <v>253</v>
      </c>
      <c r="R165" s="2" t="str">
        <f>IFERROR(__xludf.DUMMYFUNCTION("GOOGLETRANSLATE(G165,""en"",""ur"")"),"وہ جھک رہے ہیں اور کسی چیز تک پہنچ رہے ہیں۔")</f>
        <v>وہ جھک رہے ہیں اور کسی چیز تک پہنچ رہے ہیں۔</v>
      </c>
      <c r="S165" s="6" t="s">
        <v>1098</v>
      </c>
    </row>
    <row r="166">
      <c r="A166" s="7">
        <v>165.0</v>
      </c>
      <c r="B166" s="6" t="s">
        <v>254</v>
      </c>
      <c r="C166" s="6" t="s">
        <v>47</v>
      </c>
      <c r="D166" s="6" t="s">
        <v>48</v>
      </c>
      <c r="E166" s="6" t="s">
        <v>49</v>
      </c>
      <c r="F166" s="6" t="s">
        <v>50</v>
      </c>
      <c r="G166" s="6" t="s">
        <v>49</v>
      </c>
      <c r="H166" s="6" t="s">
        <v>1098</v>
      </c>
      <c r="K166" s="2" t="str">
        <f>IFERROR(__xludf.DUMMYFUNCTION("GOOGLETRANSLATE(A166,""en"",""ur"")"),"165")</f>
        <v>165</v>
      </c>
      <c r="L166" s="2" t="str">
        <f>IFERROR(__xludf.DUMMYFUNCTION("GOOGLETRANSLATE(B166,""en"",""ur"")"),"سواروں کے چہروں سے ظاہری جذبات کیا ہیں؟")</f>
        <v>سواروں کے چہروں سے ظاہری جذبات کیا ہیں؟</v>
      </c>
      <c r="M166" s="2" t="str">
        <f>IFERROR(__xludf.DUMMYFUNCTION("GOOGLETRANSLATE(C166,""en"",""ur"")"),"پرسکون اور پر سکون")</f>
        <v>پرسکون اور پر سکون</v>
      </c>
      <c r="N166" s="2" t="str">
        <f>IFERROR(__xludf.DUMMYFUNCTION("GOOGLETRANSLATE(D166,""en"",""ur"")"),"خوف زدہ اور بے چین")</f>
        <v>خوف زدہ اور بے چین</v>
      </c>
      <c r="O166" s="2" t="str">
        <f>IFERROR(__xludf.DUMMYFUNCTION("GOOGLETRANSLATE(E166,""en"",""ur"")"),"کشیدہ اور شدید")</f>
        <v>کشیدہ اور شدید</v>
      </c>
      <c r="P166" s="2" t="str">
        <f>IFERROR(__xludf.DUMMYFUNCTION("GOOGLETRANSLATE(F166,""en"",""ur"")"),"خوش اور مسکراتے ہوئے۔")</f>
        <v>خوش اور مسکراتے ہوئے۔</v>
      </c>
      <c r="Q166" s="2" t="s">
        <v>51</v>
      </c>
      <c r="R166" s="2" t="str">
        <f>IFERROR(__xludf.DUMMYFUNCTION("GOOGLETRANSLATE(G166,""en"",""ur"")"),"کشیدہ اور شدید")</f>
        <v>کشیدہ اور شدید</v>
      </c>
      <c r="S166" s="6" t="s">
        <v>1098</v>
      </c>
    </row>
    <row r="167">
      <c r="A167" s="7">
        <v>166.0</v>
      </c>
      <c r="B167" s="6" t="s">
        <v>88</v>
      </c>
      <c r="C167" s="6" t="s">
        <v>89</v>
      </c>
      <c r="D167" s="6" t="s">
        <v>90</v>
      </c>
      <c r="E167" s="6" t="s">
        <v>91</v>
      </c>
      <c r="F167" s="6" t="s">
        <v>255</v>
      </c>
      <c r="G167" s="6" t="s">
        <v>91</v>
      </c>
      <c r="H167" s="6" t="s">
        <v>1098</v>
      </c>
      <c r="K167" s="2" t="str">
        <f>IFERROR(__xludf.DUMMYFUNCTION("GOOGLETRANSLATE(A167,""en"",""ur"")"),"166")</f>
        <v>166</v>
      </c>
      <c r="L167" s="2" t="str">
        <f>IFERROR(__xludf.DUMMYFUNCTION("GOOGLETRANSLATE(B167,""en"",""ur"")"),"زمین کی سب سے نمایاں خصوصیت کیا ہے؟")</f>
        <v>زمین کی سب سے نمایاں خصوصیت کیا ہے؟</v>
      </c>
      <c r="M167" s="2" t="str">
        <f>IFERROR(__xludf.DUMMYFUNCTION("GOOGLETRANSLATE(C167,""en"",""ur"")"),"ایک پکی سطح")</f>
        <v>ایک پکی سطح</v>
      </c>
      <c r="N167" s="2" t="str">
        <f>IFERROR(__xludf.DUMMYFUNCTION("GOOGLETRANSLATE(D167,""en"",""ur"")"),"کیچڑ والا میدان")</f>
        <v>کیچڑ والا میدان</v>
      </c>
      <c r="O167" s="2" t="str">
        <f>IFERROR(__xludf.DUMMYFUNCTION("GOOGLETRANSLATE(E167,""en"",""ur"")"),"ایک گھاس دار سطح")</f>
        <v>ایک گھاس دار سطح</v>
      </c>
      <c r="P167" s="2" t="str">
        <f>IFERROR(__xludf.DUMMYFUNCTION("GOOGLETRANSLATE(F167,""en"",""ur"")"),"ریتلی یا گندگی کی سطح")</f>
        <v>ریتلی یا گندگی کی سطح</v>
      </c>
      <c r="Q167" s="2" t="s">
        <v>256</v>
      </c>
      <c r="R167" s="2" t="str">
        <f>IFERROR(__xludf.DUMMYFUNCTION("GOOGLETRANSLATE(G167,""en"",""ur"")"),"ایک گھاس دار سطح")</f>
        <v>ایک گھاس دار سطح</v>
      </c>
      <c r="S167" s="6" t="s">
        <v>1098</v>
      </c>
    </row>
    <row r="168">
      <c r="A168" s="7">
        <v>167.0</v>
      </c>
      <c r="B168" s="6" t="s">
        <v>257</v>
      </c>
      <c r="C168" s="6" t="s">
        <v>95</v>
      </c>
      <c r="D168" s="6" t="s">
        <v>96</v>
      </c>
      <c r="E168" s="6" t="s">
        <v>1015</v>
      </c>
      <c r="F168" s="6" t="s">
        <v>258</v>
      </c>
      <c r="G168" s="6" t="s">
        <v>1015</v>
      </c>
      <c r="H168" s="6" t="s">
        <v>1098</v>
      </c>
      <c r="K168" s="2" t="str">
        <f>IFERROR(__xludf.DUMMYFUNCTION("GOOGLETRANSLATE(A168,""en"",""ur"")"),"167")</f>
        <v>167</v>
      </c>
      <c r="L168" s="2" t="str">
        <f>IFERROR(__xludf.DUMMYFUNCTION("GOOGLETRANSLATE(B168,""en"",""ur"")"),"کھیلے جانے والے کھیل کا نام کیا ہے؟")</f>
        <v>کھیلے جانے والے کھیل کا نام کیا ہے؟</v>
      </c>
      <c r="M168" s="2" t="str">
        <f>IFERROR(__xludf.DUMMYFUNCTION("GOOGLETRANSLATE(C168,""en"",""ur"")"),"پولو")</f>
        <v>پولو</v>
      </c>
      <c r="N168" s="2" t="str">
        <f>IFERROR(__xludf.DUMMYFUNCTION("GOOGLETRANSLATE(D168,""en"",""ur"")"),"گھوڑوں کی دوڑ")</f>
        <v>گھوڑوں کی دوڑ</v>
      </c>
      <c r="O168" s="2" t="str">
        <f>IFERROR(__xludf.DUMMYFUNCTION("GOOGLETRANSLATE(E168,""en"",""ur"")"),"ٹینٹ پیگنگ")</f>
        <v>ٹینٹ پیگنگ</v>
      </c>
      <c r="P168" s="2" t="str">
        <f>IFERROR(__xludf.DUMMYFUNCTION("GOOGLETRANSLATE(F168,""en"",""ur"")"),"گھڑ سواری کے کھیل")</f>
        <v>گھڑ سواری کے کھیل</v>
      </c>
      <c r="Q168" s="2" t="s">
        <v>1016</v>
      </c>
      <c r="R168" s="2" t="str">
        <f>IFERROR(__xludf.DUMMYFUNCTION("GOOGLETRANSLATE(G168,""en"",""ur"")"),"ٹینٹ پیگنگ")</f>
        <v>ٹینٹ پیگنگ</v>
      </c>
      <c r="S168" s="6" t="s">
        <v>1098</v>
      </c>
    </row>
    <row r="169">
      <c r="A169" s="7">
        <v>168.0</v>
      </c>
      <c r="B169" s="6" t="s">
        <v>260</v>
      </c>
      <c r="C169" s="6" t="s">
        <v>261</v>
      </c>
      <c r="D169" s="6" t="s">
        <v>1017</v>
      </c>
      <c r="E169" s="6" t="s">
        <v>263</v>
      </c>
      <c r="F169" s="6" t="s">
        <v>1001</v>
      </c>
      <c r="G169" s="6" t="s">
        <v>1001</v>
      </c>
      <c r="H169" s="6" t="s">
        <v>1098</v>
      </c>
      <c r="K169" s="2" t="str">
        <f>IFERROR(__xludf.DUMMYFUNCTION("GOOGLETRANSLATE(A169,""en"",""ur"")"),"168")</f>
        <v>168</v>
      </c>
      <c r="L169" s="2" t="str">
        <f>IFERROR(__xludf.DUMMYFUNCTION("GOOGLETRANSLATE(B169,""en"",""ur"")"),"تصویر میں ایکشن ایک ایسا انداز تجویز کرتا ہے جو اس بات پر زور دیتا ہے...")</f>
        <v>تصویر میں ایکشن ایک ایسا انداز تجویز کرتا ہے جو اس بات پر زور دیتا ہے...</v>
      </c>
      <c r="M169" s="2" t="str">
        <f>IFERROR(__xludf.DUMMYFUNCTION("GOOGLETRANSLATE(C169,""en"",""ur"")"),"روانی اور قلابازیاں")</f>
        <v>روانی اور قلابازیاں</v>
      </c>
      <c r="N169" s="2" t="str">
        <f>IFERROR(__xludf.DUMMYFUNCTION("GOOGLETRANSLATE(D169,""en"",""ur"")"),"گروپ کی تشکیل اور رسمی نمائش")</f>
        <v>گروپ کی تشکیل اور رسمی نمائش</v>
      </c>
      <c r="O169" s="2" t="str">
        <f>IFERROR(__xludf.DUMMYFUNCTION("GOOGLETRANSLATE(E169,""en"",""ur"")"),"وحشیانہ قوت اور گھڑ سواری۔")</f>
        <v>وحشیانہ قوت اور گھڑ سواری۔</v>
      </c>
      <c r="P169" s="2" t="str">
        <f>IFERROR(__xludf.DUMMYFUNCTION("GOOGLETRANSLATE(F169,""en"",""ur"")"),"رفتار، درستگی اور چستی")</f>
        <v>رفتار، درستگی اور چستی</v>
      </c>
      <c r="Q169" s="2" t="s">
        <v>1093</v>
      </c>
      <c r="R169" s="2" t="str">
        <f>IFERROR(__xludf.DUMMYFUNCTION("GOOGLETRANSLATE(G169,""en"",""ur"")"),"رفتار، درستگی اور چستی")</f>
        <v>رفتار، درستگی اور چستی</v>
      </c>
      <c r="S169" s="6" t="s">
        <v>1098</v>
      </c>
    </row>
    <row r="170">
      <c r="A170" s="7">
        <v>169.0</v>
      </c>
      <c r="B170" s="6" t="s">
        <v>1019</v>
      </c>
      <c r="C170" s="6" t="s">
        <v>1020</v>
      </c>
      <c r="D170" s="6" t="s">
        <v>1021</v>
      </c>
      <c r="E170" s="6" t="s">
        <v>1022</v>
      </c>
      <c r="F170" s="6" t="s">
        <v>1023</v>
      </c>
      <c r="G170" s="6" t="s">
        <v>1022</v>
      </c>
      <c r="H170" s="6" t="s">
        <v>1098</v>
      </c>
      <c r="K170" s="2" t="str">
        <f>IFERROR(__xludf.DUMMYFUNCTION("GOOGLETRANSLATE(A170,""en"",""ur"")"),"169")</f>
        <v>169</v>
      </c>
      <c r="L170" s="2" t="str">
        <f>IFERROR(__xludf.DUMMYFUNCTION("GOOGLETRANSLATE(B170,""en"",""ur"")"),"لمبی چھڑیوں کے بارے میں ایک قابل ذکر تفصیل کیا ہے جو سواروں کے پاس ہے؟")</f>
        <v>لمبی چھڑیوں کے بارے میں ایک قابل ذکر تفصیل کیا ہے جو سواروں کے پاس ہے؟</v>
      </c>
      <c r="M170" s="2" t="str">
        <f>IFERROR(__xludf.DUMMYFUNCTION("GOOGLETRANSLATE(C170,""en"",""ur"")"),"انہیں ہتھیار کے طور پر استعمال کیا جاتا ہے۔")</f>
        <v>انہیں ہتھیار کے طور پر استعمال کیا جاتا ہے۔</v>
      </c>
      <c r="N170" s="2" t="str">
        <f>IFERROR(__xludf.DUMMYFUNCTION("GOOGLETRANSLATE(D170,""en"",""ur"")"),"وہ گھوڑوں کی رہنمائی کے لیے استعمال ہوتے ہیں۔")</f>
        <v>وہ گھوڑوں کی رہنمائی کے لیے استعمال ہوتے ہیں۔</v>
      </c>
      <c r="O170" s="2" t="str">
        <f>IFERROR(__xludf.DUMMYFUNCTION("GOOGLETRANSLATE(E170,""en"",""ur"")"),"وہ ربن اور tassels کے ساتھ سجایا جاتا ہے")</f>
        <v>وہ ربن اور tassels کے ساتھ سجایا جاتا ہے</v>
      </c>
      <c r="P170" s="2" t="str">
        <f>IFERROR(__xludf.DUMMYFUNCTION("GOOGLETRANSLATE(F170,""en"",""ur"")"),"وہ جھنڈے کے طور پر استعمال ہوتے ہیں۔")</f>
        <v>وہ جھنڈے کے طور پر استعمال ہوتے ہیں۔</v>
      </c>
      <c r="Q170" s="2" t="s">
        <v>1024</v>
      </c>
      <c r="R170" s="2" t="str">
        <f>IFERROR(__xludf.DUMMYFUNCTION("GOOGLETRANSLATE(G170,""en"",""ur"")"),"وہ ربن اور tassels کے ساتھ سجایا جاتا ہے")</f>
        <v>وہ ربن اور tassels کے ساتھ سجایا جاتا ہے</v>
      </c>
      <c r="S170" s="6" t="s">
        <v>1098</v>
      </c>
    </row>
    <row r="171">
      <c r="A171" s="7">
        <v>170.0</v>
      </c>
      <c r="B171" s="6" t="s">
        <v>991</v>
      </c>
      <c r="C171" s="6" t="s">
        <v>992</v>
      </c>
      <c r="D171" s="6" t="s">
        <v>646</v>
      </c>
      <c r="E171" s="6" t="s">
        <v>1034</v>
      </c>
      <c r="F171" s="6" t="s">
        <v>1102</v>
      </c>
      <c r="G171" s="6" t="s">
        <v>1102</v>
      </c>
      <c r="H171" s="6" t="s">
        <v>1098</v>
      </c>
      <c r="K171" s="2" t="str">
        <f>IFERROR(__xludf.DUMMYFUNCTION("GOOGLETRANSLATE(A171,""en"",""ur"")"),"170")</f>
        <v>170</v>
      </c>
      <c r="L171" s="2" t="str">
        <f>IFERROR(__xludf.DUMMYFUNCTION("GOOGLETRANSLATE(B171,""en"",""ur"")"),"واقعہ کی ظاہری ترتیب کیا ہے؟")</f>
        <v>واقعہ کی ظاہری ترتیب کیا ہے؟</v>
      </c>
      <c r="M171" s="2" t="str">
        <f>IFERROR(__xludf.DUMMYFUNCTION("GOOGLETRANSLATE(C171,""en"",""ur"")"),"ایک اندرونی میدان")</f>
        <v>ایک اندرونی میدان</v>
      </c>
      <c r="N171" s="2" t="str">
        <f>IFERROR(__xludf.DUMMYFUNCTION("GOOGLETRANSLATE(D171,""en"",""ur"")"),"شہر کی ایک گلی")</f>
        <v>شہر کی ایک گلی</v>
      </c>
      <c r="O171" s="2" t="str">
        <f>IFERROR(__xludf.DUMMYFUNCTION("GOOGLETRANSLATE(E171,""en"",""ur"")"),"بیٹھنے کی جگہ میں تماشائیوں کے ساتھ ایک بیرونی گندگی کا ٹریک")</f>
        <v>بیٹھنے کی جگہ میں تماشائیوں کے ساتھ ایک بیرونی گندگی کا ٹریک</v>
      </c>
      <c r="P171" s="2" t="str">
        <f>IFERROR(__xludf.DUMMYFUNCTION("GOOGLETRANSLATE(F171,""en"",""ur"")"),"پس منظر میں پہاڑوں کے ساتھ ایک گھاس والا میدان")</f>
        <v>پس منظر میں پہاڑوں کے ساتھ ایک گھاس والا میدان</v>
      </c>
      <c r="Q171" s="2" t="s">
        <v>1103</v>
      </c>
      <c r="R171" s="2" t="str">
        <f>IFERROR(__xludf.DUMMYFUNCTION("GOOGLETRANSLATE(G171,""en"",""ur"")"),"پس منظر میں پہاڑوں کے ساتھ ایک گھاس والا میدان")</f>
        <v>پس منظر میں پہاڑوں کے ساتھ ایک گھاس والا میدان</v>
      </c>
      <c r="S171" s="6" t="s">
        <v>1098</v>
      </c>
    </row>
    <row r="172">
      <c r="A172" s="7">
        <v>171.0</v>
      </c>
      <c r="B172" s="6" t="s">
        <v>1104</v>
      </c>
      <c r="C172" s="6" t="s">
        <v>958</v>
      </c>
      <c r="D172" s="6" t="s">
        <v>959</v>
      </c>
      <c r="E172" s="6" t="s">
        <v>960</v>
      </c>
      <c r="F172" s="6" t="s">
        <v>961</v>
      </c>
      <c r="G172" s="6" t="s">
        <v>959</v>
      </c>
      <c r="H172" s="6" t="s">
        <v>1105</v>
      </c>
      <c r="K172" s="2" t="str">
        <f>IFERROR(__xludf.DUMMYFUNCTION("GOOGLETRANSLATE(A172,""en"",""ur"")"),"171")</f>
        <v>171</v>
      </c>
      <c r="L172" s="2" t="str">
        <f>IFERROR(__xludf.DUMMYFUNCTION("GOOGLETRANSLATE(B172,""en"",""ur"")"),"tent_pegging_46 میں دکھائی جانے والی اہم کارروائی کیا ہے؟")</f>
        <v>tent_pegging_46 میں دکھائی جانے والی اہم کارروائی کیا ہے؟</v>
      </c>
      <c r="M172" s="2" t="str">
        <f>IFERROR(__xludf.DUMMYFUNCTION("GOOGLETRANSLATE(C172,""en"",""ur"")"),"گھوڑے کی پیٹھ پر کرتب دکھاتے ہوئے سوار")</f>
        <v>گھوڑے کی پیٹھ پر کرتب دکھاتے ہوئے سوار</v>
      </c>
      <c r="N172" s="2" t="str">
        <f>IFERROR(__xludf.DUMMYFUNCTION("GOOGLETRANSLATE(D172,""en"",""ur"")"),"ٹینٹ پیگنگ ایونٹ میں مقابلہ کرنے والا سوار")</f>
        <v>ٹینٹ پیگنگ ایونٹ میں مقابلہ کرنے والا سوار</v>
      </c>
      <c r="O172" s="2" t="str">
        <f>IFERROR(__xludf.DUMMYFUNCTION("GOOGLETRANSLATE(E172,""en"",""ur"")"),"گھوڑوں کی دوڑ میں سوار")</f>
        <v>گھوڑوں کی دوڑ میں سوار</v>
      </c>
      <c r="P172" s="2" t="str">
        <f>IFERROR(__xludf.DUMMYFUNCTION("GOOGLETRANSLATE(F172,""en"",""ur"")"),"ایک سوار پریڈ کی قیادت کر رہا ہے۔")</f>
        <v>ایک سوار پریڈ کی قیادت کر رہا ہے۔</v>
      </c>
      <c r="Q172" s="2" t="s">
        <v>1029</v>
      </c>
      <c r="R172" s="2" t="str">
        <f>IFERROR(__xludf.DUMMYFUNCTION("GOOGLETRANSLATE(G172,""en"",""ur"")"),"ٹینٹ پیگنگ ایونٹ میں مقابلہ کرنے والا سوار")</f>
        <v>ٹینٹ پیگنگ ایونٹ میں مقابلہ کرنے والا سوار</v>
      </c>
      <c r="S172" s="6" t="s">
        <v>1105</v>
      </c>
    </row>
    <row r="173">
      <c r="A173" s="7">
        <v>172.0</v>
      </c>
      <c r="B173" s="6" t="s">
        <v>963</v>
      </c>
      <c r="C173" s="6" t="s">
        <v>964</v>
      </c>
      <c r="D173" s="6" t="s">
        <v>1106</v>
      </c>
      <c r="E173" s="6" t="s">
        <v>966</v>
      </c>
      <c r="F173" s="6" t="s">
        <v>967</v>
      </c>
      <c r="G173" s="6" t="s">
        <v>1106</v>
      </c>
      <c r="H173" s="6" t="s">
        <v>1105</v>
      </c>
      <c r="K173" s="2" t="str">
        <f>IFERROR(__xludf.DUMMYFUNCTION("GOOGLETRANSLATE(A173,""en"",""ur"")"),"172")</f>
        <v>172</v>
      </c>
      <c r="L173" s="2" t="str">
        <f>IFERROR(__xludf.DUMMYFUNCTION("GOOGLETRANSLATE(B173,""en"",""ur"")"),"سوار کے لباس کے بارے میں ایک قابل ذکر تفصیل کیا ہے؟")</f>
        <v>سوار کے لباس کے بارے میں ایک قابل ذکر تفصیل کیا ہے؟</v>
      </c>
      <c r="M173" s="2" t="str">
        <f>IFERROR(__xludf.DUMMYFUNCTION("GOOGLETRANSLATE(C173,""en"",""ur"")"),"ایک رسمی سوٹ اور ٹائی")</f>
        <v>ایک رسمی سوٹ اور ٹائی</v>
      </c>
      <c r="N173" s="2" t="str">
        <f>IFERROR(__xludf.DUMMYFUNCTION("GOOGLETRANSLATE(D173,""en"",""ur"")"),"پیلے رنگ کی پگڑی اور بنیان والا سفید روایتی لباس")</f>
        <v>پیلے رنگ کی پگڑی اور بنیان والا سفید روایتی لباس</v>
      </c>
      <c r="O173" s="2" t="str">
        <f>IFERROR(__xludf.DUMMYFUNCTION("GOOGLETRANSLATE(E173,""en"",""ur"")"),"فوجی وردی")</f>
        <v>فوجی وردی</v>
      </c>
      <c r="P173" s="2" t="str">
        <f>IFERROR(__xludf.DUMMYFUNCTION("GOOGLETRANSLATE(F173,""en"",""ur"")"),"ایک جدید کھیلوں کا یونیفارم")</f>
        <v>ایک جدید کھیلوں کا یونیفارم</v>
      </c>
      <c r="Q173" s="2" t="s">
        <v>1107</v>
      </c>
      <c r="R173" s="2" t="str">
        <f>IFERROR(__xludf.DUMMYFUNCTION("GOOGLETRANSLATE(G173,""en"",""ur"")"),"پیلے رنگ کی پگڑی اور بنیان والا سفید روایتی لباس")</f>
        <v>پیلے رنگ کی پگڑی اور بنیان والا سفید روایتی لباس</v>
      </c>
      <c r="S173" s="6" t="s">
        <v>1105</v>
      </c>
    </row>
    <row r="174">
      <c r="A174" s="7">
        <v>173.0</v>
      </c>
      <c r="B174" s="6" t="s">
        <v>969</v>
      </c>
      <c r="C174" s="6" t="s">
        <v>970</v>
      </c>
      <c r="D174" s="6" t="s">
        <v>971</v>
      </c>
      <c r="E174" s="6" t="s">
        <v>972</v>
      </c>
      <c r="F174" s="6" t="s">
        <v>973</v>
      </c>
      <c r="G174" s="6" t="s">
        <v>972</v>
      </c>
      <c r="H174" s="6" t="s">
        <v>1105</v>
      </c>
      <c r="K174" s="2" t="str">
        <f>IFERROR(__xludf.DUMMYFUNCTION("GOOGLETRANSLATE(A174,""en"",""ur"")"),"173")</f>
        <v>173</v>
      </c>
      <c r="L174" s="2" t="str">
        <f>IFERROR(__xludf.DUMMYFUNCTION("GOOGLETRANSLATE(B174,""en"",""ur"")"),"سوار نے جو لمبی چھڑی پکڑی ہوئی ہے اس کا ظاہری مقصد کیا ہے؟")</f>
        <v>سوار نے جو لمبی چھڑی پکڑی ہوئی ہے اس کا ظاہری مقصد کیا ہے؟</v>
      </c>
      <c r="M174" s="2" t="str">
        <f>IFERROR(__xludf.DUMMYFUNCTION("GOOGLETRANSLATE(C174,""en"",""ur"")"),"گھوڑے کی رہنمائی کے لیے")</f>
        <v>گھوڑے کی رہنمائی کے لیے</v>
      </c>
      <c r="N174" s="2" t="str">
        <f>IFERROR(__xludf.DUMMYFUNCTION("GOOGLETRANSLATE(D174,""en"",""ur"")"),"توازن کے لیے زمین سے ٹکرانا")</f>
        <v>توازن کے لیے زمین سے ٹکرانا</v>
      </c>
      <c r="O174" s="2" t="str">
        <f>IFERROR(__xludf.DUMMYFUNCTION("GOOGLETRANSLATE(E174,""en"",""ur"")"),"زمین پر چھوٹے اہداف کو نشانہ بنانا")</f>
        <v>زمین پر چھوٹے اہداف کو نشانہ بنانا</v>
      </c>
      <c r="P174" s="2" t="str">
        <f>IFERROR(__xludf.DUMMYFUNCTION("GOOGLETRANSLATE(F174,""en"",""ur"")"),"بطور ہتھیار استعمال کرنا")</f>
        <v>بطور ہتھیار استعمال کرنا</v>
      </c>
      <c r="Q174" s="2" t="s">
        <v>974</v>
      </c>
      <c r="R174" s="2" t="str">
        <f>IFERROR(__xludf.DUMMYFUNCTION("GOOGLETRANSLATE(G174,""en"",""ur"")"),"زمین پر چھوٹے اہداف کو نشانہ بنانا")</f>
        <v>زمین پر چھوٹے اہداف کو نشانہ بنانا</v>
      </c>
      <c r="S174" s="6" t="s">
        <v>1105</v>
      </c>
    </row>
    <row r="175">
      <c r="A175" s="7">
        <v>174.0</v>
      </c>
      <c r="B175" s="6" t="s">
        <v>310</v>
      </c>
      <c r="C175" s="6" t="s">
        <v>429</v>
      </c>
      <c r="D175" s="6" t="s">
        <v>975</v>
      </c>
      <c r="E175" s="6" t="s">
        <v>976</v>
      </c>
      <c r="F175" s="6" t="s">
        <v>977</v>
      </c>
      <c r="G175" s="6" t="s">
        <v>975</v>
      </c>
      <c r="H175" s="6" t="s">
        <v>1105</v>
      </c>
      <c r="K175" s="2" t="str">
        <f>IFERROR(__xludf.DUMMYFUNCTION("GOOGLETRANSLATE(A175,""en"",""ur"")"),"174")</f>
        <v>174</v>
      </c>
      <c r="L175" s="2" t="str">
        <f>IFERROR(__xludf.DUMMYFUNCTION("GOOGLETRANSLATE(B175,""en"",""ur"")"),"سوار کی ظاہری باڈی پوزیشن کیا ہے؟")</f>
        <v>سوار کی ظاہری باڈی پوزیشن کیا ہے؟</v>
      </c>
      <c r="M175" s="2" t="str">
        <f>IFERROR(__xludf.DUMMYFUNCTION("GOOGLETRANSLATE(C175,""en"",""ur"")"),"سیدھا کھڑا ہونا")</f>
        <v>سیدھا کھڑا ہونا</v>
      </c>
      <c r="N175" s="2" t="str">
        <f>IFERROR(__xludf.DUMMYFUNCTION("GOOGLETRANSLATE(D175,""en"",""ur"")"),"نیچے اور طرف جھکنا")</f>
        <v>نیچے اور طرف جھکنا</v>
      </c>
      <c r="O175" s="2" t="str">
        <f>IFERROR(__xludf.DUMMYFUNCTION("GOOGLETRANSLATE(E175,""en"",""ur"")"),"گھوڑے کی پیٹھ پر لیٹنا")</f>
        <v>گھوڑے کی پیٹھ پر لیٹنا</v>
      </c>
      <c r="P175" s="2" t="str">
        <f>IFERROR(__xludf.DUMMYFUNCTION("GOOGLETRANSLATE(F175,""en"",""ur"")"),"آرام سے بیٹھ گیا۔")</f>
        <v>آرام سے بیٹھ گیا۔</v>
      </c>
      <c r="Q175" s="2" t="s">
        <v>978</v>
      </c>
      <c r="R175" s="2" t="str">
        <f>IFERROR(__xludf.DUMMYFUNCTION("GOOGLETRANSLATE(G175,""en"",""ur"")"),"نیچے اور طرف جھکنا")</f>
        <v>نیچے اور طرف جھکنا</v>
      </c>
      <c r="S175" s="6" t="s">
        <v>1105</v>
      </c>
    </row>
    <row r="176">
      <c r="A176" s="7">
        <v>175.0</v>
      </c>
      <c r="B176" s="6" t="s">
        <v>979</v>
      </c>
      <c r="C176" s="6" t="s">
        <v>980</v>
      </c>
      <c r="D176" s="6" t="s">
        <v>981</v>
      </c>
      <c r="E176" s="6" t="s">
        <v>982</v>
      </c>
      <c r="F176" s="6" t="s">
        <v>983</v>
      </c>
      <c r="G176" s="6" t="s">
        <v>982</v>
      </c>
      <c r="H176" s="6" t="s">
        <v>1105</v>
      </c>
      <c r="K176" s="2" t="str">
        <f>IFERROR(__xludf.DUMMYFUNCTION("GOOGLETRANSLATE(A176,""en"",""ur"")"),"175")</f>
        <v>175</v>
      </c>
      <c r="L176" s="2" t="str">
        <f>IFERROR(__xludf.DUMMYFUNCTION("GOOGLETRANSLATE(B176,""en"",""ur"")"),"گھوڑے کے پیچھے زمین کی ظاہری حالت کیا ہے؟")</f>
        <v>گھوڑے کے پیچھے زمین کی ظاہری حالت کیا ہے؟</v>
      </c>
      <c r="M176" s="2" t="str">
        <f>IFERROR(__xludf.DUMMYFUNCTION("GOOGLETRANSLATE(C176,""en"",""ur"")"),"بالکل ہموار")</f>
        <v>بالکل ہموار</v>
      </c>
      <c r="N176" s="2" t="str">
        <f>IFERROR(__xludf.DUMMYFUNCTION("GOOGLETRANSLATE(D176,""en"",""ur"")"),"تازہ گھاس میں ڈھکا ہوا ہے۔")</f>
        <v>تازہ گھاس میں ڈھکا ہوا ہے۔</v>
      </c>
      <c r="O176" s="2" t="str">
        <f>IFERROR(__xludf.DUMMYFUNCTION("GOOGLETRANSLATE(E176,""en"",""ur"")"),"غبار کے بادل میں اُٹھ گیا۔")</f>
        <v>غبار کے بادل میں اُٹھ گیا۔</v>
      </c>
      <c r="P176" s="2" t="str">
        <f>IFERROR(__xludf.DUMMYFUNCTION("GOOGLETRANSLATE(F176,""en"",""ur"")"),"پانی سے بھرا ہوا ۔")</f>
        <v>پانی سے بھرا ہوا ۔</v>
      </c>
      <c r="Q176" s="2" t="s">
        <v>984</v>
      </c>
      <c r="R176" s="2" t="str">
        <f>IFERROR(__xludf.DUMMYFUNCTION("GOOGLETRANSLATE(G176,""en"",""ur"")"),"غبار کے بادل میں اُٹھ گیا۔")</f>
        <v>غبار کے بادل میں اُٹھ گیا۔</v>
      </c>
      <c r="S176" s="6" t="s">
        <v>1105</v>
      </c>
    </row>
    <row r="177">
      <c r="A177" s="7">
        <v>176.0</v>
      </c>
      <c r="B177" s="6" t="s">
        <v>985</v>
      </c>
      <c r="C177" s="6" t="s">
        <v>986</v>
      </c>
      <c r="D177" s="6" t="s">
        <v>987</v>
      </c>
      <c r="E177" s="6" t="s">
        <v>988</v>
      </c>
      <c r="F177" s="6" t="s">
        <v>989</v>
      </c>
      <c r="G177" s="6" t="s">
        <v>987</v>
      </c>
      <c r="H177" s="6" t="s">
        <v>1105</v>
      </c>
      <c r="K177" s="2" t="str">
        <f>IFERROR(__xludf.DUMMYFUNCTION("GOOGLETRANSLATE(A177,""en"",""ur"")"),"176")</f>
        <v>176</v>
      </c>
      <c r="L177" s="2" t="str">
        <f>IFERROR(__xludf.DUMMYFUNCTION("GOOGLETRANSLATE(B177,""en"",""ur"")"),"گھوڑے کے ٹیک کی سب سے نمایاں خصوصیت کیا ہے؟")</f>
        <v>گھوڑے کے ٹیک کی سب سے نمایاں خصوصیت کیا ہے؟</v>
      </c>
      <c r="M177" s="2" t="str">
        <f>IFERROR(__xludf.DUMMYFUNCTION("GOOGLETRANSLATE(C177,""en"",""ur"")"),"یہ ایک سادہ سی کاٹھی ہے۔")</f>
        <v>یہ ایک سادہ سی کاٹھی ہے۔</v>
      </c>
      <c r="N177" s="2" t="str">
        <f>IFERROR(__xludf.DUMMYFUNCTION("GOOGLETRANSLATE(D177,""en"",""ur"")"),"یہ نیلے رنگ کے زیورات کے ساتھ ایک انتہائی آرائشی کاٹھی ہے۔")</f>
        <v>یہ نیلے رنگ کے زیورات کے ساتھ ایک انتہائی آرائشی کاٹھی ہے۔</v>
      </c>
      <c r="O177" s="2" t="str">
        <f>IFERROR(__xludf.DUMMYFUNCTION("GOOGLETRANSLATE(E177,""en"",""ur"")"),"یہ ایک ننگا پیڈ ہے۔")</f>
        <v>یہ ایک ننگا پیڈ ہے۔</v>
      </c>
      <c r="P177" s="2" t="str">
        <f>IFERROR(__xludf.DUMMYFUNCTION("GOOGLETRANSLATE(F177,""en"",""ur"")"),"یہ ایک ریسنگ سیڈل ہے۔")</f>
        <v>یہ ایک ریسنگ سیڈل ہے۔</v>
      </c>
      <c r="Q177" s="2" t="s">
        <v>990</v>
      </c>
      <c r="R177" s="2" t="str">
        <f>IFERROR(__xludf.DUMMYFUNCTION("GOOGLETRANSLATE(G177,""en"",""ur"")"),"یہ نیلے رنگ کے زیورات کے ساتھ ایک انتہائی آرائشی کاٹھی ہے۔")</f>
        <v>یہ نیلے رنگ کے زیورات کے ساتھ ایک انتہائی آرائشی کاٹھی ہے۔</v>
      </c>
      <c r="S177" s="6" t="s">
        <v>1105</v>
      </c>
    </row>
    <row r="178">
      <c r="A178" s="7">
        <v>177.0</v>
      </c>
      <c r="B178" s="6" t="s">
        <v>991</v>
      </c>
      <c r="C178" s="6" t="s">
        <v>992</v>
      </c>
      <c r="D178" s="6" t="s">
        <v>646</v>
      </c>
      <c r="E178" s="6" t="s">
        <v>1051</v>
      </c>
      <c r="F178" s="6" t="s">
        <v>425</v>
      </c>
      <c r="G178" s="6" t="s">
        <v>1051</v>
      </c>
      <c r="H178" s="6" t="s">
        <v>1105</v>
      </c>
      <c r="K178" s="2" t="str">
        <f>IFERROR(__xludf.DUMMYFUNCTION("GOOGLETRANSLATE(A178,""en"",""ur"")"),"177")</f>
        <v>177</v>
      </c>
      <c r="L178" s="2" t="str">
        <f>IFERROR(__xludf.DUMMYFUNCTION("GOOGLETRANSLATE(B178,""en"",""ur"")"),"واقعہ کی ظاہری ترتیب کیا ہے؟")</f>
        <v>واقعہ کی ظاہری ترتیب کیا ہے؟</v>
      </c>
      <c r="M178" s="2" t="str">
        <f>IFERROR(__xludf.DUMMYFUNCTION("GOOGLETRANSLATE(C178,""en"",""ur"")"),"ایک اندرونی میدان")</f>
        <v>ایک اندرونی میدان</v>
      </c>
      <c r="N178" s="2" t="str">
        <f>IFERROR(__xludf.DUMMYFUNCTION("GOOGLETRANSLATE(D178,""en"",""ur"")"),"شہر کی ایک گلی")</f>
        <v>شہر کی ایک گلی</v>
      </c>
      <c r="O178" s="2" t="str">
        <f>IFERROR(__xludf.DUMMYFUNCTION("GOOGLETRANSLATE(E178,""en"",""ur"")"),"تماشائیوں کے ساتھ ایک بیرونی گندگی کا ٹریک")</f>
        <v>تماشائیوں کے ساتھ ایک بیرونی گندگی کا ٹریک</v>
      </c>
      <c r="P178" s="2" t="str">
        <f>IFERROR(__xludf.DUMMYFUNCTION("GOOGLETRANSLATE(F178,""en"",""ur"")"),"گھاس کا میدان")</f>
        <v>گھاس کا میدان</v>
      </c>
      <c r="Q178" s="2" t="s">
        <v>1052</v>
      </c>
      <c r="R178" s="2" t="str">
        <f>IFERROR(__xludf.DUMMYFUNCTION("GOOGLETRANSLATE(G178,""en"",""ur"")"),"تماشائیوں کے ساتھ ایک بیرونی گندگی کا ٹریک")</f>
        <v>تماشائیوں کے ساتھ ایک بیرونی گندگی کا ٹریک</v>
      </c>
      <c r="S178" s="6" t="s">
        <v>1105</v>
      </c>
    </row>
    <row r="179">
      <c r="A179" s="7">
        <v>178.0</v>
      </c>
      <c r="B179" s="6" t="s">
        <v>1036</v>
      </c>
      <c r="C179" s="6" t="s">
        <v>95</v>
      </c>
      <c r="D179" s="6" t="s">
        <v>96</v>
      </c>
      <c r="E179" s="6" t="s">
        <v>1015</v>
      </c>
      <c r="F179" s="6" t="s">
        <v>258</v>
      </c>
      <c r="G179" s="6" t="s">
        <v>1015</v>
      </c>
      <c r="H179" s="6" t="s">
        <v>1105</v>
      </c>
      <c r="K179" s="2" t="str">
        <f>IFERROR(__xludf.DUMMYFUNCTION("GOOGLETRANSLATE(A179,""en"",""ur"")"),"178")</f>
        <v>178</v>
      </c>
      <c r="L179" s="2" t="str">
        <f>IFERROR(__xludf.DUMMYFUNCTION("GOOGLETRANSLATE(B179,""en"",""ur"")"),"کھیل کا نام کیا ہے؟")</f>
        <v>کھیل کا نام کیا ہے؟</v>
      </c>
      <c r="M179" s="2" t="str">
        <f>IFERROR(__xludf.DUMMYFUNCTION("GOOGLETRANSLATE(C179,""en"",""ur"")"),"پولو")</f>
        <v>پولو</v>
      </c>
      <c r="N179" s="2" t="str">
        <f>IFERROR(__xludf.DUMMYFUNCTION("GOOGLETRANSLATE(D179,""en"",""ur"")"),"گھوڑوں کی دوڑ")</f>
        <v>گھوڑوں کی دوڑ</v>
      </c>
      <c r="O179" s="2" t="str">
        <f>IFERROR(__xludf.DUMMYFUNCTION("GOOGLETRANSLATE(E179,""en"",""ur"")"),"ٹینٹ پیگنگ")</f>
        <v>ٹینٹ پیگنگ</v>
      </c>
      <c r="P179" s="2" t="str">
        <f>IFERROR(__xludf.DUMMYFUNCTION("GOOGLETRANSLATE(F179,""en"",""ur"")"),"گھڑ سواری کے کھیل")</f>
        <v>گھڑ سواری کے کھیل</v>
      </c>
      <c r="Q179" s="2" t="s">
        <v>1016</v>
      </c>
      <c r="R179" s="2" t="str">
        <f>IFERROR(__xludf.DUMMYFUNCTION("GOOGLETRANSLATE(G179,""en"",""ur"")"),"ٹینٹ پیگنگ")</f>
        <v>ٹینٹ پیگنگ</v>
      </c>
      <c r="S179" s="6" t="s">
        <v>1105</v>
      </c>
    </row>
    <row r="180">
      <c r="A180" s="7">
        <v>179.0</v>
      </c>
      <c r="B180" s="6" t="s">
        <v>316</v>
      </c>
      <c r="C180" s="6" t="s">
        <v>47</v>
      </c>
      <c r="D180" s="6" t="s">
        <v>48</v>
      </c>
      <c r="E180" s="6" t="s">
        <v>49</v>
      </c>
      <c r="F180" s="6" t="s">
        <v>50</v>
      </c>
      <c r="G180" s="6" t="s">
        <v>49</v>
      </c>
      <c r="H180" s="6" t="s">
        <v>1105</v>
      </c>
      <c r="K180" s="2" t="str">
        <f>IFERROR(__xludf.DUMMYFUNCTION("GOOGLETRANSLATE(A180,""en"",""ur"")"),"179")</f>
        <v>179</v>
      </c>
      <c r="L180" s="2" t="str">
        <f>IFERROR(__xludf.DUMMYFUNCTION("GOOGLETRANSLATE(B180,""en"",""ur"")"),"سوار کے چہرے سے ظاہری جذبات کیا ہیں؟")</f>
        <v>سوار کے چہرے سے ظاہری جذبات کیا ہیں؟</v>
      </c>
      <c r="M180" s="2" t="str">
        <f>IFERROR(__xludf.DUMMYFUNCTION("GOOGLETRANSLATE(C180,""en"",""ur"")"),"پرسکون اور پر سکون")</f>
        <v>پرسکون اور پر سکون</v>
      </c>
      <c r="N180" s="2" t="str">
        <f>IFERROR(__xludf.DUMMYFUNCTION("GOOGLETRANSLATE(D180,""en"",""ur"")"),"خوف زدہ اور بے چین")</f>
        <v>خوف زدہ اور بے چین</v>
      </c>
      <c r="O180" s="2" t="str">
        <f>IFERROR(__xludf.DUMMYFUNCTION("GOOGLETRANSLATE(E180,""en"",""ur"")"),"کشیدہ اور شدید")</f>
        <v>کشیدہ اور شدید</v>
      </c>
      <c r="P180" s="2" t="str">
        <f>IFERROR(__xludf.DUMMYFUNCTION("GOOGLETRANSLATE(F180,""en"",""ur"")"),"خوش اور مسکراتے ہوئے۔")</f>
        <v>خوش اور مسکراتے ہوئے۔</v>
      </c>
      <c r="Q180" s="2" t="s">
        <v>51</v>
      </c>
      <c r="R180" s="2" t="str">
        <f>IFERROR(__xludf.DUMMYFUNCTION("GOOGLETRANSLATE(G180,""en"",""ur"")"),"کشیدہ اور شدید")</f>
        <v>کشیدہ اور شدید</v>
      </c>
      <c r="S180" s="6" t="s">
        <v>1105</v>
      </c>
    </row>
    <row r="181">
      <c r="A181" s="7">
        <v>180.0</v>
      </c>
      <c r="B181" s="6" t="s">
        <v>260</v>
      </c>
      <c r="C181" s="6" t="s">
        <v>261</v>
      </c>
      <c r="D181" s="6" t="s">
        <v>262</v>
      </c>
      <c r="E181" s="6" t="s">
        <v>263</v>
      </c>
      <c r="F181" s="6" t="s">
        <v>1001</v>
      </c>
      <c r="G181" s="6" t="s">
        <v>1001</v>
      </c>
      <c r="H181" s="6" t="s">
        <v>1105</v>
      </c>
      <c r="K181" s="2" t="str">
        <f>IFERROR(__xludf.DUMMYFUNCTION("GOOGLETRANSLATE(A181,""en"",""ur"")"),"180")</f>
        <v>180</v>
      </c>
      <c r="L181" s="2" t="str">
        <f>IFERROR(__xludf.DUMMYFUNCTION("GOOGLETRANSLATE(B181,""en"",""ur"")"),"تصویر میں ایکشن ایک ایسا انداز تجویز کرتا ہے جو اس بات پر زور دیتا ہے...")</f>
        <v>تصویر میں ایکشن ایک ایسا انداز تجویز کرتا ہے جو اس بات پر زور دیتا ہے...</v>
      </c>
      <c r="M181" s="2" t="str">
        <f>IFERROR(__xludf.DUMMYFUNCTION("GOOGLETRANSLATE(C181,""en"",""ur"")"),"روانی اور قلابازیاں")</f>
        <v>روانی اور قلابازیاں</v>
      </c>
      <c r="N181" s="2" t="str">
        <f>IFERROR(__xludf.DUMMYFUNCTION("GOOGLETRANSLATE(D181,""en"",""ur"")"),"زمینی لڑائی اور گرفت")</f>
        <v>زمینی لڑائی اور گرفت</v>
      </c>
      <c r="O181" s="2" t="str">
        <f>IFERROR(__xludf.DUMMYFUNCTION("GOOGLETRANSLATE(E181,""en"",""ur"")"),"وحشیانہ قوت اور گھڑ سواری۔")</f>
        <v>وحشیانہ قوت اور گھڑ سواری۔</v>
      </c>
      <c r="P181" s="2" t="str">
        <f>IFERROR(__xludf.DUMMYFUNCTION("GOOGLETRANSLATE(F181,""en"",""ur"")"),"رفتار، درستگی اور چستی")</f>
        <v>رفتار، درستگی اور چستی</v>
      </c>
      <c r="Q181" s="2" t="s">
        <v>1002</v>
      </c>
      <c r="R181" s="2" t="str">
        <f>IFERROR(__xludf.DUMMYFUNCTION("GOOGLETRANSLATE(G181,""en"",""ur"")"),"رفتار، درستگی اور چستی")</f>
        <v>رفتار، درستگی اور چستی</v>
      </c>
      <c r="S181" s="6" t="s">
        <v>1105</v>
      </c>
    </row>
    <row r="182">
      <c r="A182" s="7">
        <v>181.0</v>
      </c>
      <c r="B182" s="6" t="s">
        <v>1108</v>
      </c>
      <c r="C182" s="6" t="s">
        <v>958</v>
      </c>
      <c r="D182" s="6" t="s">
        <v>959</v>
      </c>
      <c r="E182" s="6" t="s">
        <v>960</v>
      </c>
      <c r="F182" s="6" t="s">
        <v>961</v>
      </c>
      <c r="G182" s="6" t="s">
        <v>959</v>
      </c>
      <c r="H182" s="6" t="s">
        <v>1109</v>
      </c>
      <c r="K182" s="2" t="str">
        <f>IFERROR(__xludf.DUMMYFUNCTION("GOOGLETRANSLATE(A182,""en"",""ur"")"),"181")</f>
        <v>181</v>
      </c>
      <c r="L182" s="2" t="str">
        <f>IFERROR(__xludf.DUMMYFUNCTION("GOOGLETRANSLATE(B182,""en"",""ur"")"),"tent_pegging_35 میں دکھائی جانے والی اہم کارروائی کیا ہے؟")</f>
        <v>tent_pegging_35 میں دکھائی جانے والی اہم کارروائی کیا ہے؟</v>
      </c>
      <c r="M182" s="2" t="str">
        <f>IFERROR(__xludf.DUMMYFUNCTION("GOOGLETRANSLATE(C182,""en"",""ur"")"),"گھوڑے کی پیٹھ پر کرتب دکھاتے ہوئے سوار")</f>
        <v>گھوڑے کی پیٹھ پر کرتب دکھاتے ہوئے سوار</v>
      </c>
      <c r="N182" s="2" t="str">
        <f>IFERROR(__xludf.DUMMYFUNCTION("GOOGLETRANSLATE(D182,""en"",""ur"")"),"ٹینٹ پیگنگ ایونٹ میں مقابلہ کرنے والا سوار")</f>
        <v>ٹینٹ پیگنگ ایونٹ میں مقابلہ کرنے والا سوار</v>
      </c>
      <c r="O182" s="2" t="str">
        <f>IFERROR(__xludf.DUMMYFUNCTION("GOOGLETRANSLATE(E182,""en"",""ur"")"),"گھوڑوں کی دوڑ میں سوار")</f>
        <v>گھوڑوں کی دوڑ میں سوار</v>
      </c>
      <c r="P182" s="2" t="str">
        <f>IFERROR(__xludf.DUMMYFUNCTION("GOOGLETRANSLATE(F182,""en"",""ur"")"),"ایک سوار پریڈ کی قیادت کر رہا ہے۔")</f>
        <v>ایک سوار پریڈ کی قیادت کر رہا ہے۔</v>
      </c>
      <c r="Q182" s="2" t="s">
        <v>1029</v>
      </c>
      <c r="R182" s="2" t="str">
        <f>IFERROR(__xludf.DUMMYFUNCTION("GOOGLETRANSLATE(G182,""en"",""ur"")"),"ٹینٹ پیگنگ ایونٹ میں مقابلہ کرنے والا سوار")</f>
        <v>ٹینٹ پیگنگ ایونٹ میں مقابلہ کرنے والا سوار</v>
      </c>
      <c r="S182" s="6" t="s">
        <v>1109</v>
      </c>
    </row>
    <row r="183">
      <c r="A183" s="7">
        <v>182.0</v>
      </c>
      <c r="B183" s="6" t="s">
        <v>963</v>
      </c>
      <c r="C183" s="6" t="s">
        <v>964</v>
      </c>
      <c r="D183" s="6" t="s">
        <v>1110</v>
      </c>
      <c r="E183" s="6" t="s">
        <v>966</v>
      </c>
      <c r="F183" s="6" t="s">
        <v>967</v>
      </c>
      <c r="G183" s="6" t="s">
        <v>1110</v>
      </c>
      <c r="H183" s="6" t="s">
        <v>1109</v>
      </c>
      <c r="K183" s="2" t="str">
        <f>IFERROR(__xludf.DUMMYFUNCTION("GOOGLETRANSLATE(A183,""en"",""ur"")"),"182")</f>
        <v>182</v>
      </c>
      <c r="L183" s="2" t="str">
        <f>IFERROR(__xludf.DUMMYFUNCTION("GOOGLETRANSLATE(B183,""en"",""ur"")"),"سوار کے لباس کے بارے میں ایک قابل ذکر تفصیل کیا ہے؟")</f>
        <v>سوار کے لباس کے بارے میں ایک قابل ذکر تفصیل کیا ہے؟</v>
      </c>
      <c r="M183" s="2" t="str">
        <f>IFERROR(__xludf.DUMMYFUNCTION("GOOGLETRANSLATE(C183,""en"",""ur"")"),"ایک رسمی سوٹ اور ٹائی")</f>
        <v>ایک رسمی سوٹ اور ٹائی</v>
      </c>
      <c r="N183" s="2" t="str">
        <f>IFERROR(__xludf.DUMMYFUNCTION("GOOGLETRANSLATE(D183,""en"",""ur"")"),"لمبی پگڑی اور بنیان والا سفید روایتی لباس")</f>
        <v>لمبی پگڑی اور بنیان والا سفید روایتی لباس</v>
      </c>
      <c r="O183" s="2" t="str">
        <f>IFERROR(__xludf.DUMMYFUNCTION("GOOGLETRANSLATE(E183,""en"",""ur"")"),"فوجی وردی")</f>
        <v>فوجی وردی</v>
      </c>
      <c r="P183" s="2" t="str">
        <f>IFERROR(__xludf.DUMMYFUNCTION("GOOGLETRANSLATE(F183,""en"",""ur"")"),"ایک جدید کھیلوں کا یونیفارم")</f>
        <v>ایک جدید کھیلوں کا یونیفارم</v>
      </c>
      <c r="Q183" s="2" t="s">
        <v>1071</v>
      </c>
      <c r="R183" s="2" t="str">
        <f>IFERROR(__xludf.DUMMYFUNCTION("GOOGLETRANSLATE(G183,""en"",""ur"")"),"لمبی پگڑی اور بنیان والا سفید روایتی لباس")</f>
        <v>لمبی پگڑی اور بنیان والا سفید روایتی لباس</v>
      </c>
      <c r="S183" s="6" t="s">
        <v>1109</v>
      </c>
    </row>
    <row r="184">
      <c r="A184" s="7">
        <v>183.0</v>
      </c>
      <c r="B184" s="6" t="s">
        <v>969</v>
      </c>
      <c r="C184" s="6" t="s">
        <v>970</v>
      </c>
      <c r="D184" s="6" t="s">
        <v>971</v>
      </c>
      <c r="E184" s="6" t="s">
        <v>972</v>
      </c>
      <c r="F184" s="6" t="s">
        <v>973</v>
      </c>
      <c r="G184" s="6" t="s">
        <v>972</v>
      </c>
      <c r="H184" s="6" t="s">
        <v>1109</v>
      </c>
      <c r="K184" s="2" t="str">
        <f>IFERROR(__xludf.DUMMYFUNCTION("GOOGLETRANSLATE(A184,""en"",""ur"")"),"183")</f>
        <v>183</v>
      </c>
      <c r="L184" s="2" t="str">
        <f>IFERROR(__xludf.DUMMYFUNCTION("GOOGLETRANSLATE(B184,""en"",""ur"")"),"سوار نے جو لمبی چھڑی پکڑی ہوئی ہے اس کا ظاہری مقصد کیا ہے؟")</f>
        <v>سوار نے جو لمبی چھڑی پکڑی ہوئی ہے اس کا ظاہری مقصد کیا ہے؟</v>
      </c>
      <c r="M184" s="2" t="str">
        <f>IFERROR(__xludf.DUMMYFUNCTION("GOOGLETRANSLATE(C184,""en"",""ur"")"),"گھوڑے کی رہنمائی کے لیے")</f>
        <v>گھوڑے کی رہنمائی کے لیے</v>
      </c>
      <c r="N184" s="2" t="str">
        <f>IFERROR(__xludf.DUMMYFUNCTION("GOOGLETRANSLATE(D184,""en"",""ur"")"),"توازن کے لیے زمین سے ٹکرانا")</f>
        <v>توازن کے لیے زمین سے ٹکرانا</v>
      </c>
      <c r="O184" s="2" t="str">
        <f>IFERROR(__xludf.DUMMYFUNCTION("GOOGLETRANSLATE(E184,""en"",""ur"")"),"زمین پر چھوٹے اہداف کو نشانہ بنانا")</f>
        <v>زمین پر چھوٹے اہداف کو نشانہ بنانا</v>
      </c>
      <c r="P184" s="2" t="str">
        <f>IFERROR(__xludf.DUMMYFUNCTION("GOOGLETRANSLATE(F184,""en"",""ur"")"),"بطور ہتھیار استعمال کرنا")</f>
        <v>بطور ہتھیار استعمال کرنا</v>
      </c>
      <c r="Q184" s="2" t="s">
        <v>974</v>
      </c>
      <c r="R184" s="2" t="str">
        <f>IFERROR(__xludf.DUMMYFUNCTION("GOOGLETRANSLATE(G184,""en"",""ur"")"),"زمین پر چھوٹے اہداف کو نشانہ بنانا")</f>
        <v>زمین پر چھوٹے اہداف کو نشانہ بنانا</v>
      </c>
      <c r="S184" s="6" t="s">
        <v>1109</v>
      </c>
    </row>
    <row r="185">
      <c r="A185" s="7">
        <v>184.0</v>
      </c>
      <c r="B185" s="6" t="s">
        <v>310</v>
      </c>
      <c r="C185" s="6" t="s">
        <v>429</v>
      </c>
      <c r="D185" s="6" t="s">
        <v>975</v>
      </c>
      <c r="E185" s="6" t="s">
        <v>976</v>
      </c>
      <c r="F185" s="6" t="s">
        <v>977</v>
      </c>
      <c r="G185" s="6" t="s">
        <v>975</v>
      </c>
      <c r="H185" s="6" t="s">
        <v>1109</v>
      </c>
      <c r="K185" s="2" t="str">
        <f>IFERROR(__xludf.DUMMYFUNCTION("GOOGLETRANSLATE(A185,""en"",""ur"")"),"184")</f>
        <v>184</v>
      </c>
      <c r="L185" s="2" t="str">
        <f>IFERROR(__xludf.DUMMYFUNCTION("GOOGLETRANSLATE(B185,""en"",""ur"")"),"سوار کی ظاہری باڈی پوزیشن کیا ہے؟")</f>
        <v>سوار کی ظاہری باڈی پوزیشن کیا ہے؟</v>
      </c>
      <c r="M185" s="2" t="str">
        <f>IFERROR(__xludf.DUMMYFUNCTION("GOOGLETRANSLATE(C185,""en"",""ur"")"),"سیدھا کھڑا ہونا")</f>
        <v>سیدھا کھڑا ہونا</v>
      </c>
      <c r="N185" s="2" t="str">
        <f>IFERROR(__xludf.DUMMYFUNCTION("GOOGLETRANSLATE(D185,""en"",""ur"")"),"نیچے اور طرف جھکنا")</f>
        <v>نیچے اور طرف جھکنا</v>
      </c>
      <c r="O185" s="2" t="str">
        <f>IFERROR(__xludf.DUMMYFUNCTION("GOOGLETRANSLATE(E185,""en"",""ur"")"),"گھوڑے کی پیٹھ پر لیٹنا")</f>
        <v>گھوڑے کی پیٹھ پر لیٹنا</v>
      </c>
      <c r="P185" s="2" t="str">
        <f>IFERROR(__xludf.DUMMYFUNCTION("GOOGLETRANSLATE(F185,""en"",""ur"")"),"آرام سے بیٹھ گیا۔")</f>
        <v>آرام سے بیٹھ گیا۔</v>
      </c>
      <c r="Q185" s="2" t="s">
        <v>978</v>
      </c>
      <c r="R185" s="2" t="str">
        <f>IFERROR(__xludf.DUMMYFUNCTION("GOOGLETRANSLATE(G185,""en"",""ur"")"),"نیچے اور طرف جھکنا")</f>
        <v>نیچے اور طرف جھکنا</v>
      </c>
      <c r="S185" s="6" t="s">
        <v>1109</v>
      </c>
    </row>
    <row r="186">
      <c r="A186" s="7">
        <v>185.0</v>
      </c>
      <c r="B186" s="6" t="s">
        <v>979</v>
      </c>
      <c r="C186" s="6" t="s">
        <v>980</v>
      </c>
      <c r="D186" s="6" t="s">
        <v>981</v>
      </c>
      <c r="E186" s="6" t="s">
        <v>982</v>
      </c>
      <c r="F186" s="6" t="s">
        <v>983</v>
      </c>
      <c r="G186" s="6" t="s">
        <v>982</v>
      </c>
      <c r="H186" s="6" t="s">
        <v>1109</v>
      </c>
      <c r="K186" s="2" t="str">
        <f>IFERROR(__xludf.DUMMYFUNCTION("GOOGLETRANSLATE(A186,""en"",""ur"")"),"185")</f>
        <v>185</v>
      </c>
      <c r="L186" s="2" t="str">
        <f>IFERROR(__xludf.DUMMYFUNCTION("GOOGLETRANSLATE(B186,""en"",""ur"")"),"گھوڑے کے پیچھے زمین کی ظاہری حالت کیا ہے؟")</f>
        <v>گھوڑے کے پیچھے زمین کی ظاہری حالت کیا ہے؟</v>
      </c>
      <c r="M186" s="2" t="str">
        <f>IFERROR(__xludf.DUMMYFUNCTION("GOOGLETRANSLATE(C186,""en"",""ur"")"),"بالکل ہموار")</f>
        <v>بالکل ہموار</v>
      </c>
      <c r="N186" s="2" t="str">
        <f>IFERROR(__xludf.DUMMYFUNCTION("GOOGLETRANSLATE(D186,""en"",""ur"")"),"تازہ گھاس میں ڈھکا ہوا ہے۔")</f>
        <v>تازہ گھاس میں ڈھکا ہوا ہے۔</v>
      </c>
      <c r="O186" s="2" t="str">
        <f>IFERROR(__xludf.DUMMYFUNCTION("GOOGLETRANSLATE(E186,""en"",""ur"")"),"غبار کے بادل میں اُٹھ گیا۔")</f>
        <v>غبار کے بادل میں اُٹھ گیا۔</v>
      </c>
      <c r="P186" s="2" t="str">
        <f>IFERROR(__xludf.DUMMYFUNCTION("GOOGLETRANSLATE(F186,""en"",""ur"")"),"پانی سے بھرا ہوا ۔")</f>
        <v>پانی سے بھرا ہوا ۔</v>
      </c>
      <c r="Q186" s="2" t="s">
        <v>984</v>
      </c>
      <c r="R186" s="2" t="str">
        <f>IFERROR(__xludf.DUMMYFUNCTION("GOOGLETRANSLATE(G186,""en"",""ur"")"),"غبار کے بادل میں اُٹھ گیا۔")</f>
        <v>غبار کے بادل میں اُٹھ گیا۔</v>
      </c>
      <c r="S186" s="6" t="s">
        <v>1109</v>
      </c>
    </row>
    <row r="187">
      <c r="A187" s="7">
        <v>186.0</v>
      </c>
      <c r="B187" s="6" t="s">
        <v>985</v>
      </c>
      <c r="C187" s="6" t="s">
        <v>986</v>
      </c>
      <c r="D187" s="6" t="s">
        <v>1072</v>
      </c>
      <c r="E187" s="6" t="s">
        <v>988</v>
      </c>
      <c r="F187" s="6" t="s">
        <v>989</v>
      </c>
      <c r="G187" s="6" t="s">
        <v>1072</v>
      </c>
      <c r="H187" s="6" t="s">
        <v>1109</v>
      </c>
      <c r="K187" s="2" t="str">
        <f>IFERROR(__xludf.DUMMYFUNCTION("GOOGLETRANSLATE(A187,""en"",""ur"")"),"186")</f>
        <v>186</v>
      </c>
      <c r="L187" s="2" t="str">
        <f>IFERROR(__xludf.DUMMYFUNCTION("GOOGLETRANSLATE(B187,""en"",""ur"")"),"گھوڑے کے ٹیک کی سب سے نمایاں خصوصیت کیا ہے؟")</f>
        <v>گھوڑے کے ٹیک کی سب سے نمایاں خصوصیت کیا ہے؟</v>
      </c>
      <c r="M187" s="2" t="str">
        <f>IFERROR(__xludf.DUMMYFUNCTION("GOOGLETRANSLATE(C187,""en"",""ur"")"),"یہ ایک سادہ سی کاٹھی ہے۔")</f>
        <v>یہ ایک سادہ سی کاٹھی ہے۔</v>
      </c>
      <c r="N187" s="2" t="str">
        <f>IFERROR(__xludf.DUMMYFUNCTION("GOOGLETRANSLATE(D187,""en"",""ur"")"),"یہ سبز آرائش کے ساتھ ایک انتہائی آرائشی کاٹھی ہے۔")</f>
        <v>یہ سبز آرائش کے ساتھ ایک انتہائی آرائشی کاٹھی ہے۔</v>
      </c>
      <c r="O187" s="2" t="str">
        <f>IFERROR(__xludf.DUMMYFUNCTION("GOOGLETRANSLATE(E187,""en"",""ur"")"),"یہ ایک ننگا پیڈ ہے۔")</f>
        <v>یہ ایک ننگا پیڈ ہے۔</v>
      </c>
      <c r="P187" s="2" t="str">
        <f>IFERROR(__xludf.DUMMYFUNCTION("GOOGLETRANSLATE(F187,""en"",""ur"")"),"یہ ایک ریسنگ سیڈل ہے۔")</f>
        <v>یہ ایک ریسنگ سیڈل ہے۔</v>
      </c>
      <c r="Q187" s="2" t="s">
        <v>1073</v>
      </c>
      <c r="R187" s="2" t="str">
        <f>IFERROR(__xludf.DUMMYFUNCTION("GOOGLETRANSLATE(G187,""en"",""ur"")"),"یہ سبز آرائش کے ساتھ ایک انتہائی آرائشی کاٹھی ہے۔")</f>
        <v>یہ سبز آرائش کے ساتھ ایک انتہائی آرائشی کاٹھی ہے۔</v>
      </c>
      <c r="S187" s="6" t="s">
        <v>1109</v>
      </c>
    </row>
    <row r="188">
      <c r="A188" s="7">
        <v>187.0</v>
      </c>
      <c r="B188" s="6" t="s">
        <v>991</v>
      </c>
      <c r="C188" s="6" t="s">
        <v>992</v>
      </c>
      <c r="D188" s="6" t="s">
        <v>646</v>
      </c>
      <c r="E188" s="6" t="s">
        <v>993</v>
      </c>
      <c r="F188" s="6" t="s">
        <v>425</v>
      </c>
      <c r="G188" s="6" t="s">
        <v>993</v>
      </c>
      <c r="H188" s="6" t="s">
        <v>1109</v>
      </c>
      <c r="K188" s="2" t="str">
        <f>IFERROR(__xludf.DUMMYFUNCTION("GOOGLETRANSLATE(A188,""en"",""ur"")"),"187")</f>
        <v>187</v>
      </c>
      <c r="L188" s="2" t="str">
        <f>IFERROR(__xludf.DUMMYFUNCTION("GOOGLETRANSLATE(B188,""en"",""ur"")"),"واقعہ کی ظاہری ترتیب کیا ہے؟")</f>
        <v>واقعہ کی ظاہری ترتیب کیا ہے؟</v>
      </c>
      <c r="M188" s="2" t="str">
        <f>IFERROR(__xludf.DUMMYFUNCTION("GOOGLETRANSLATE(C188,""en"",""ur"")"),"ایک اندرونی میدان")</f>
        <v>ایک اندرونی میدان</v>
      </c>
      <c r="N188" s="2" t="str">
        <f>IFERROR(__xludf.DUMMYFUNCTION("GOOGLETRANSLATE(D188,""en"",""ur"")"),"شہر کی ایک گلی")</f>
        <v>شہر کی ایک گلی</v>
      </c>
      <c r="O188" s="2" t="str">
        <f>IFERROR(__xludf.DUMMYFUNCTION("GOOGLETRANSLATE(E188,""en"",""ur"")"),"ایک بیرونی گندگی کا ٹریک")</f>
        <v>ایک بیرونی گندگی کا ٹریک</v>
      </c>
      <c r="P188" s="2" t="str">
        <f>IFERROR(__xludf.DUMMYFUNCTION("GOOGLETRANSLATE(F188,""en"",""ur"")"),"گھاس کا میدان")</f>
        <v>گھاس کا میدان</v>
      </c>
      <c r="Q188" s="2" t="s">
        <v>994</v>
      </c>
      <c r="R188" s="2" t="str">
        <f>IFERROR(__xludf.DUMMYFUNCTION("GOOGLETRANSLATE(G188,""en"",""ur"")"),"ایک بیرونی گندگی کا ٹریک")</f>
        <v>ایک بیرونی گندگی کا ٹریک</v>
      </c>
      <c r="S188" s="6" t="s">
        <v>1109</v>
      </c>
    </row>
    <row r="189">
      <c r="A189" s="7">
        <v>188.0</v>
      </c>
      <c r="B189" s="6" t="s">
        <v>1036</v>
      </c>
      <c r="C189" s="6" t="s">
        <v>95</v>
      </c>
      <c r="D189" s="6" t="s">
        <v>96</v>
      </c>
      <c r="E189" s="6" t="s">
        <v>1015</v>
      </c>
      <c r="F189" s="6" t="s">
        <v>258</v>
      </c>
      <c r="G189" s="6" t="s">
        <v>1015</v>
      </c>
      <c r="H189" s="6" t="s">
        <v>1109</v>
      </c>
      <c r="K189" s="2" t="str">
        <f>IFERROR(__xludf.DUMMYFUNCTION("GOOGLETRANSLATE(A189,""en"",""ur"")"),"188")</f>
        <v>188</v>
      </c>
      <c r="L189" s="2" t="str">
        <f>IFERROR(__xludf.DUMMYFUNCTION("GOOGLETRANSLATE(B189,""en"",""ur"")"),"کھیل کا نام کیا ہے؟")</f>
        <v>کھیل کا نام کیا ہے؟</v>
      </c>
      <c r="M189" s="2" t="str">
        <f>IFERROR(__xludf.DUMMYFUNCTION("GOOGLETRANSLATE(C189,""en"",""ur"")"),"پولو")</f>
        <v>پولو</v>
      </c>
      <c r="N189" s="2" t="str">
        <f>IFERROR(__xludf.DUMMYFUNCTION("GOOGLETRANSLATE(D189,""en"",""ur"")"),"گھوڑوں کی دوڑ")</f>
        <v>گھوڑوں کی دوڑ</v>
      </c>
      <c r="O189" s="2" t="str">
        <f>IFERROR(__xludf.DUMMYFUNCTION("GOOGLETRANSLATE(E189,""en"",""ur"")"),"ٹینٹ پیگنگ")</f>
        <v>ٹینٹ پیگنگ</v>
      </c>
      <c r="P189" s="2" t="str">
        <f>IFERROR(__xludf.DUMMYFUNCTION("GOOGLETRANSLATE(F189,""en"",""ur"")"),"گھڑ سواری کے کھیل")</f>
        <v>گھڑ سواری کے کھیل</v>
      </c>
      <c r="Q189" s="2" t="s">
        <v>1016</v>
      </c>
      <c r="R189" s="2" t="str">
        <f>IFERROR(__xludf.DUMMYFUNCTION("GOOGLETRANSLATE(G189,""en"",""ur"")"),"ٹینٹ پیگنگ")</f>
        <v>ٹینٹ پیگنگ</v>
      </c>
      <c r="S189" s="6" t="s">
        <v>1109</v>
      </c>
    </row>
    <row r="190">
      <c r="A190" s="7">
        <v>189.0</v>
      </c>
      <c r="B190" s="6" t="s">
        <v>316</v>
      </c>
      <c r="C190" s="6" t="s">
        <v>47</v>
      </c>
      <c r="D190" s="6" t="s">
        <v>48</v>
      </c>
      <c r="E190" s="6" t="s">
        <v>49</v>
      </c>
      <c r="F190" s="6" t="s">
        <v>50</v>
      </c>
      <c r="G190" s="6" t="s">
        <v>49</v>
      </c>
      <c r="H190" s="6" t="s">
        <v>1109</v>
      </c>
      <c r="K190" s="2" t="str">
        <f>IFERROR(__xludf.DUMMYFUNCTION("GOOGLETRANSLATE(A190,""en"",""ur"")"),"189")</f>
        <v>189</v>
      </c>
      <c r="L190" s="2" t="str">
        <f>IFERROR(__xludf.DUMMYFUNCTION("GOOGLETRANSLATE(B190,""en"",""ur"")"),"سوار کے چہرے سے ظاہری جذبات کیا ہیں؟")</f>
        <v>سوار کے چہرے سے ظاہری جذبات کیا ہیں؟</v>
      </c>
      <c r="M190" s="2" t="str">
        <f>IFERROR(__xludf.DUMMYFUNCTION("GOOGLETRANSLATE(C190,""en"",""ur"")"),"پرسکون اور پر سکون")</f>
        <v>پرسکون اور پر سکون</v>
      </c>
      <c r="N190" s="2" t="str">
        <f>IFERROR(__xludf.DUMMYFUNCTION("GOOGLETRANSLATE(D190,""en"",""ur"")"),"خوف زدہ اور بے چین")</f>
        <v>خوف زدہ اور بے چین</v>
      </c>
      <c r="O190" s="2" t="str">
        <f>IFERROR(__xludf.DUMMYFUNCTION("GOOGLETRANSLATE(E190,""en"",""ur"")"),"کشیدہ اور شدید")</f>
        <v>کشیدہ اور شدید</v>
      </c>
      <c r="P190" s="2" t="str">
        <f>IFERROR(__xludf.DUMMYFUNCTION("GOOGLETRANSLATE(F190,""en"",""ur"")"),"خوش اور مسکراتے ہوئے۔")</f>
        <v>خوش اور مسکراتے ہوئے۔</v>
      </c>
      <c r="Q190" s="2" t="s">
        <v>51</v>
      </c>
      <c r="R190" s="2" t="str">
        <f>IFERROR(__xludf.DUMMYFUNCTION("GOOGLETRANSLATE(G190,""en"",""ur"")"),"کشیدہ اور شدید")</f>
        <v>کشیدہ اور شدید</v>
      </c>
      <c r="S190" s="6" t="s">
        <v>1109</v>
      </c>
    </row>
    <row r="191">
      <c r="A191" s="7">
        <v>190.0</v>
      </c>
      <c r="B191" s="6" t="s">
        <v>260</v>
      </c>
      <c r="C191" s="6" t="s">
        <v>261</v>
      </c>
      <c r="D191" s="6" t="s">
        <v>262</v>
      </c>
      <c r="E191" s="6" t="s">
        <v>263</v>
      </c>
      <c r="F191" s="6" t="s">
        <v>1001</v>
      </c>
      <c r="G191" s="6" t="s">
        <v>1001</v>
      </c>
      <c r="H191" s="6" t="s">
        <v>1109</v>
      </c>
      <c r="K191" s="2" t="str">
        <f>IFERROR(__xludf.DUMMYFUNCTION("GOOGLETRANSLATE(A191,""en"",""ur"")"),"190")</f>
        <v>190</v>
      </c>
      <c r="L191" s="2" t="str">
        <f>IFERROR(__xludf.DUMMYFUNCTION("GOOGLETRANSLATE(B191,""en"",""ur"")"),"تصویر میں ایکشن ایک ایسا انداز تجویز کرتا ہے جو اس بات پر زور دیتا ہے...")</f>
        <v>تصویر میں ایکشن ایک ایسا انداز تجویز کرتا ہے جو اس بات پر زور دیتا ہے...</v>
      </c>
      <c r="M191" s="2" t="str">
        <f>IFERROR(__xludf.DUMMYFUNCTION("GOOGLETRANSLATE(C191,""en"",""ur"")"),"روانی اور قلابازیاں")</f>
        <v>روانی اور قلابازیاں</v>
      </c>
      <c r="N191" s="2" t="str">
        <f>IFERROR(__xludf.DUMMYFUNCTION("GOOGLETRANSLATE(D191,""en"",""ur"")"),"زمینی لڑائی اور گرفت")</f>
        <v>زمینی لڑائی اور گرفت</v>
      </c>
      <c r="O191" s="2" t="str">
        <f>IFERROR(__xludf.DUMMYFUNCTION("GOOGLETRANSLATE(E191,""en"",""ur"")"),"وحشیانہ قوت اور گھڑ سواری۔")</f>
        <v>وحشیانہ قوت اور گھڑ سواری۔</v>
      </c>
      <c r="P191" s="2" t="str">
        <f>IFERROR(__xludf.DUMMYFUNCTION("GOOGLETRANSLATE(F191,""en"",""ur"")"),"رفتار، درستگی اور چستی")</f>
        <v>رفتار، درستگی اور چستی</v>
      </c>
      <c r="Q191" s="2" t="s">
        <v>1002</v>
      </c>
      <c r="R191" s="2" t="str">
        <f>IFERROR(__xludf.DUMMYFUNCTION("GOOGLETRANSLATE(G191,""en"",""ur"")"),"رفتار، درستگی اور چستی")</f>
        <v>رفتار، درستگی اور چستی</v>
      </c>
      <c r="S191" s="6" t="s">
        <v>1109</v>
      </c>
    </row>
    <row r="192">
      <c r="A192" s="7">
        <v>191.0</v>
      </c>
      <c r="B192" s="6" t="s">
        <v>1053</v>
      </c>
      <c r="C192" s="6" t="s">
        <v>958</v>
      </c>
      <c r="D192" s="6" t="s">
        <v>959</v>
      </c>
      <c r="E192" s="6" t="s">
        <v>960</v>
      </c>
      <c r="F192" s="6" t="s">
        <v>961</v>
      </c>
      <c r="G192" s="6" t="s">
        <v>959</v>
      </c>
      <c r="H192" s="6" t="s">
        <v>1054</v>
      </c>
      <c r="K192" s="2" t="str">
        <f>IFERROR(__xludf.DUMMYFUNCTION("GOOGLETRANSLATE(A192,""en"",""ur"")"),"191")</f>
        <v>191</v>
      </c>
      <c r="L192" s="2" t="str">
        <f>IFERROR(__xludf.DUMMYFUNCTION("GOOGLETRANSLATE(B192,""en"",""ur"")"),"tent_pegging_11 میں دکھائی جانے والی اہم کارروائی کیا ہے؟")</f>
        <v>tent_pegging_11 میں دکھائی جانے والی اہم کارروائی کیا ہے؟</v>
      </c>
      <c r="M192" s="2" t="str">
        <f>IFERROR(__xludf.DUMMYFUNCTION("GOOGLETRANSLATE(C192,""en"",""ur"")"),"گھوڑے کی پیٹھ پر کرتب دکھاتے ہوئے سوار")</f>
        <v>گھوڑے کی پیٹھ پر کرتب دکھاتے ہوئے سوار</v>
      </c>
      <c r="N192" s="2" t="str">
        <f>IFERROR(__xludf.DUMMYFUNCTION("GOOGLETRANSLATE(D192,""en"",""ur"")"),"ٹینٹ پیگنگ ایونٹ میں مقابلہ کرنے والا سوار")</f>
        <v>ٹینٹ پیگنگ ایونٹ میں مقابلہ کرنے والا سوار</v>
      </c>
      <c r="O192" s="2" t="str">
        <f>IFERROR(__xludf.DUMMYFUNCTION("GOOGLETRANSLATE(E192,""en"",""ur"")"),"گھوڑوں کی دوڑ میں سوار")</f>
        <v>گھوڑوں کی دوڑ میں سوار</v>
      </c>
      <c r="P192" s="2" t="str">
        <f>IFERROR(__xludf.DUMMYFUNCTION("GOOGLETRANSLATE(F192,""en"",""ur"")"),"ایک سوار پریڈ کی قیادت کر رہا ہے۔")</f>
        <v>ایک سوار پریڈ کی قیادت کر رہا ہے۔</v>
      </c>
      <c r="Q192" s="2" t="s">
        <v>1029</v>
      </c>
      <c r="R192" s="2" t="str">
        <f>IFERROR(__xludf.DUMMYFUNCTION("GOOGLETRANSLATE(G192,""en"",""ur"")"),"ٹینٹ پیگنگ ایونٹ میں مقابلہ کرنے والا سوار")</f>
        <v>ٹینٹ پیگنگ ایونٹ میں مقابلہ کرنے والا سوار</v>
      </c>
      <c r="S192" s="6" t="s">
        <v>1054</v>
      </c>
    </row>
    <row r="193">
      <c r="A193" s="7">
        <v>192.0</v>
      </c>
      <c r="B193" s="6" t="s">
        <v>963</v>
      </c>
      <c r="C193" s="6" t="s">
        <v>964</v>
      </c>
      <c r="D193" s="6" t="s">
        <v>965</v>
      </c>
      <c r="E193" s="6" t="s">
        <v>966</v>
      </c>
      <c r="F193" s="6" t="s">
        <v>1044</v>
      </c>
      <c r="G193" s="6" t="s">
        <v>1044</v>
      </c>
      <c r="H193" s="6" t="s">
        <v>1054</v>
      </c>
      <c r="K193" s="2" t="str">
        <f>IFERROR(__xludf.DUMMYFUNCTION("GOOGLETRANSLATE(A193,""en"",""ur"")"),"192")</f>
        <v>192</v>
      </c>
      <c r="L193" s="2" t="str">
        <f>IFERROR(__xludf.DUMMYFUNCTION("GOOGLETRANSLATE(B193,""en"",""ur"")"),"سوار کے لباس کے بارے میں ایک قابل ذکر تفصیل کیا ہے؟")</f>
        <v>سوار کے لباس کے بارے میں ایک قابل ذکر تفصیل کیا ہے؟</v>
      </c>
      <c r="M193" s="2" t="str">
        <f>IFERROR(__xludf.DUMMYFUNCTION("GOOGLETRANSLATE(C193,""en"",""ur"")"),"ایک رسمی سوٹ اور ٹائی")</f>
        <v>ایک رسمی سوٹ اور ٹائی</v>
      </c>
      <c r="N193" s="2" t="str">
        <f>IFERROR(__xludf.DUMMYFUNCTION("GOOGLETRANSLATE(D193,""en"",""ur"")"),"نیلی پگڑی اور بنیان والا سفید روایتی لباس")</f>
        <v>نیلی پگڑی اور بنیان والا سفید روایتی لباس</v>
      </c>
      <c r="O193" s="2" t="str">
        <f>IFERROR(__xludf.DUMMYFUNCTION("GOOGLETRANSLATE(E193,""en"",""ur"")"),"فوجی وردی")</f>
        <v>فوجی وردی</v>
      </c>
      <c r="P193" s="2" t="str">
        <f>IFERROR(__xludf.DUMMYFUNCTION("GOOGLETRANSLATE(F193,""en"",""ur"")"),"ہیلمٹ کے ساتھ جدید کھیلوں کی وردی")</f>
        <v>ہیلمٹ کے ساتھ جدید کھیلوں کی وردی</v>
      </c>
      <c r="Q193" s="2" t="s">
        <v>1045</v>
      </c>
      <c r="R193" s="2" t="str">
        <f>IFERROR(__xludf.DUMMYFUNCTION("GOOGLETRANSLATE(G193,""en"",""ur"")"),"ہیلمٹ کے ساتھ جدید کھیلوں کی وردی")</f>
        <v>ہیلمٹ کے ساتھ جدید کھیلوں کی وردی</v>
      </c>
      <c r="S193" s="6" t="s">
        <v>1054</v>
      </c>
    </row>
    <row r="194">
      <c r="A194" s="7">
        <v>193.0</v>
      </c>
      <c r="B194" s="6" t="s">
        <v>969</v>
      </c>
      <c r="C194" s="6" t="s">
        <v>970</v>
      </c>
      <c r="D194" s="6" t="s">
        <v>971</v>
      </c>
      <c r="E194" s="6" t="s">
        <v>972</v>
      </c>
      <c r="F194" s="6" t="s">
        <v>973</v>
      </c>
      <c r="G194" s="6" t="s">
        <v>972</v>
      </c>
      <c r="H194" s="6" t="s">
        <v>1054</v>
      </c>
      <c r="K194" s="2" t="str">
        <f>IFERROR(__xludf.DUMMYFUNCTION("GOOGLETRANSLATE(A194,""en"",""ur"")"),"193")</f>
        <v>193</v>
      </c>
      <c r="L194" s="2" t="str">
        <f>IFERROR(__xludf.DUMMYFUNCTION("GOOGLETRANSLATE(B194,""en"",""ur"")"),"سوار نے جو لمبی چھڑی پکڑی ہوئی ہے اس کا ظاہری مقصد کیا ہے؟")</f>
        <v>سوار نے جو لمبی چھڑی پکڑی ہوئی ہے اس کا ظاہری مقصد کیا ہے؟</v>
      </c>
      <c r="M194" s="2" t="str">
        <f>IFERROR(__xludf.DUMMYFUNCTION("GOOGLETRANSLATE(C194,""en"",""ur"")"),"گھوڑے کی رہنمائی کے لیے")</f>
        <v>گھوڑے کی رہنمائی کے لیے</v>
      </c>
      <c r="N194" s="2" t="str">
        <f>IFERROR(__xludf.DUMMYFUNCTION("GOOGLETRANSLATE(D194,""en"",""ur"")"),"توازن کے لیے زمین سے ٹکرانا")</f>
        <v>توازن کے لیے زمین سے ٹکرانا</v>
      </c>
      <c r="O194" s="2" t="str">
        <f>IFERROR(__xludf.DUMMYFUNCTION("GOOGLETRANSLATE(E194,""en"",""ur"")"),"زمین پر چھوٹے اہداف کو نشانہ بنانا")</f>
        <v>زمین پر چھوٹے اہداف کو نشانہ بنانا</v>
      </c>
      <c r="P194" s="2" t="str">
        <f>IFERROR(__xludf.DUMMYFUNCTION("GOOGLETRANSLATE(F194,""en"",""ur"")"),"بطور ہتھیار استعمال کرنا")</f>
        <v>بطور ہتھیار استعمال کرنا</v>
      </c>
      <c r="Q194" s="2" t="s">
        <v>974</v>
      </c>
      <c r="R194" s="2" t="str">
        <f>IFERROR(__xludf.DUMMYFUNCTION("GOOGLETRANSLATE(G194,""en"",""ur"")"),"زمین پر چھوٹے اہداف کو نشانہ بنانا")</f>
        <v>زمین پر چھوٹے اہداف کو نشانہ بنانا</v>
      </c>
      <c r="S194" s="6" t="s">
        <v>1054</v>
      </c>
    </row>
    <row r="195">
      <c r="A195" s="7">
        <v>194.0</v>
      </c>
      <c r="B195" s="6" t="s">
        <v>310</v>
      </c>
      <c r="C195" s="6" t="s">
        <v>429</v>
      </c>
      <c r="D195" s="6" t="s">
        <v>975</v>
      </c>
      <c r="E195" s="6" t="s">
        <v>976</v>
      </c>
      <c r="F195" s="6" t="s">
        <v>977</v>
      </c>
      <c r="G195" s="6" t="s">
        <v>975</v>
      </c>
      <c r="H195" s="6" t="s">
        <v>1054</v>
      </c>
      <c r="K195" s="2" t="str">
        <f>IFERROR(__xludf.DUMMYFUNCTION("GOOGLETRANSLATE(A195,""en"",""ur"")"),"194")</f>
        <v>194</v>
      </c>
      <c r="L195" s="2" t="str">
        <f>IFERROR(__xludf.DUMMYFUNCTION("GOOGLETRANSLATE(B195,""en"",""ur"")"),"سوار کی ظاہری باڈی پوزیشن کیا ہے؟")</f>
        <v>سوار کی ظاہری باڈی پوزیشن کیا ہے؟</v>
      </c>
      <c r="M195" s="2" t="str">
        <f>IFERROR(__xludf.DUMMYFUNCTION("GOOGLETRANSLATE(C195,""en"",""ur"")"),"سیدھا کھڑا ہونا")</f>
        <v>سیدھا کھڑا ہونا</v>
      </c>
      <c r="N195" s="2" t="str">
        <f>IFERROR(__xludf.DUMMYFUNCTION("GOOGLETRANSLATE(D195,""en"",""ur"")"),"نیچے اور طرف جھکنا")</f>
        <v>نیچے اور طرف جھکنا</v>
      </c>
      <c r="O195" s="2" t="str">
        <f>IFERROR(__xludf.DUMMYFUNCTION("GOOGLETRANSLATE(E195,""en"",""ur"")"),"گھوڑے کی پیٹھ پر لیٹنا")</f>
        <v>گھوڑے کی پیٹھ پر لیٹنا</v>
      </c>
      <c r="P195" s="2" t="str">
        <f>IFERROR(__xludf.DUMMYFUNCTION("GOOGLETRANSLATE(F195,""en"",""ur"")"),"آرام سے بیٹھ گیا۔")</f>
        <v>آرام سے بیٹھ گیا۔</v>
      </c>
      <c r="Q195" s="2" t="s">
        <v>978</v>
      </c>
      <c r="R195" s="2" t="str">
        <f>IFERROR(__xludf.DUMMYFUNCTION("GOOGLETRANSLATE(G195,""en"",""ur"")"),"نیچے اور طرف جھکنا")</f>
        <v>نیچے اور طرف جھکنا</v>
      </c>
      <c r="S195" s="6" t="s">
        <v>1054</v>
      </c>
    </row>
    <row r="196">
      <c r="A196" s="7">
        <v>195.0</v>
      </c>
      <c r="B196" s="6" t="s">
        <v>979</v>
      </c>
      <c r="C196" s="6" t="s">
        <v>980</v>
      </c>
      <c r="D196" s="6" t="s">
        <v>981</v>
      </c>
      <c r="E196" s="6" t="s">
        <v>982</v>
      </c>
      <c r="F196" s="6" t="s">
        <v>983</v>
      </c>
      <c r="G196" s="6" t="s">
        <v>982</v>
      </c>
      <c r="H196" s="6" t="s">
        <v>1054</v>
      </c>
      <c r="K196" s="2" t="str">
        <f>IFERROR(__xludf.DUMMYFUNCTION("GOOGLETRANSLATE(A196,""en"",""ur"")"),"195")</f>
        <v>195</v>
      </c>
      <c r="L196" s="2" t="str">
        <f>IFERROR(__xludf.DUMMYFUNCTION("GOOGLETRANSLATE(B196,""en"",""ur"")"),"گھوڑے کے پیچھے زمین کی ظاہری حالت کیا ہے؟")</f>
        <v>گھوڑے کے پیچھے زمین کی ظاہری حالت کیا ہے؟</v>
      </c>
      <c r="M196" s="2" t="str">
        <f>IFERROR(__xludf.DUMMYFUNCTION("GOOGLETRANSLATE(C196,""en"",""ur"")"),"بالکل ہموار")</f>
        <v>بالکل ہموار</v>
      </c>
      <c r="N196" s="2" t="str">
        <f>IFERROR(__xludf.DUMMYFUNCTION("GOOGLETRANSLATE(D196,""en"",""ur"")"),"تازہ گھاس میں ڈھکا ہوا ہے۔")</f>
        <v>تازہ گھاس میں ڈھکا ہوا ہے۔</v>
      </c>
      <c r="O196" s="2" t="str">
        <f>IFERROR(__xludf.DUMMYFUNCTION("GOOGLETRANSLATE(E196,""en"",""ur"")"),"غبار کے بادل میں اُٹھ گیا۔")</f>
        <v>غبار کے بادل میں اُٹھ گیا۔</v>
      </c>
      <c r="P196" s="2" t="str">
        <f>IFERROR(__xludf.DUMMYFUNCTION("GOOGLETRANSLATE(F196,""en"",""ur"")"),"پانی سے بھرا ہوا ۔")</f>
        <v>پانی سے بھرا ہوا ۔</v>
      </c>
      <c r="Q196" s="2" t="s">
        <v>984</v>
      </c>
      <c r="R196" s="2" t="str">
        <f>IFERROR(__xludf.DUMMYFUNCTION("GOOGLETRANSLATE(G196,""en"",""ur"")"),"غبار کے بادل میں اُٹھ گیا۔")</f>
        <v>غبار کے بادل میں اُٹھ گیا۔</v>
      </c>
      <c r="S196" s="6" t="s">
        <v>1054</v>
      </c>
    </row>
    <row r="197">
      <c r="A197" s="7">
        <v>196.0</v>
      </c>
      <c r="B197" s="6" t="s">
        <v>985</v>
      </c>
      <c r="C197" s="6" t="s">
        <v>986</v>
      </c>
      <c r="D197" s="6" t="s">
        <v>987</v>
      </c>
      <c r="E197" s="6" t="s">
        <v>988</v>
      </c>
      <c r="F197" s="6" t="s">
        <v>989</v>
      </c>
      <c r="G197" s="6" t="s">
        <v>986</v>
      </c>
      <c r="H197" s="6" t="s">
        <v>1054</v>
      </c>
      <c r="K197" s="2" t="str">
        <f>IFERROR(__xludf.DUMMYFUNCTION("GOOGLETRANSLATE(A197,""en"",""ur"")"),"196")</f>
        <v>196</v>
      </c>
      <c r="L197" s="2" t="str">
        <f>IFERROR(__xludf.DUMMYFUNCTION("GOOGLETRANSLATE(B197,""en"",""ur"")"),"گھوڑے کے ٹیک کی سب سے نمایاں خصوصیت کیا ہے؟")</f>
        <v>گھوڑے کے ٹیک کی سب سے نمایاں خصوصیت کیا ہے؟</v>
      </c>
      <c r="M197" s="2" t="str">
        <f>IFERROR(__xludf.DUMMYFUNCTION("GOOGLETRANSLATE(C197,""en"",""ur"")"),"یہ ایک سادہ سی کاٹھی ہے۔")</f>
        <v>یہ ایک سادہ سی کاٹھی ہے۔</v>
      </c>
      <c r="N197" s="2" t="str">
        <f>IFERROR(__xludf.DUMMYFUNCTION("GOOGLETRANSLATE(D197,""en"",""ur"")"),"یہ نیلے رنگ کے زیورات کے ساتھ ایک انتہائی آرائشی کاٹھی ہے۔")</f>
        <v>یہ نیلے رنگ کے زیورات کے ساتھ ایک انتہائی آرائشی کاٹھی ہے۔</v>
      </c>
      <c r="O197" s="2" t="str">
        <f>IFERROR(__xludf.DUMMYFUNCTION("GOOGLETRANSLATE(E197,""en"",""ur"")"),"یہ ایک ننگا پیڈ ہے۔")</f>
        <v>یہ ایک ننگا پیڈ ہے۔</v>
      </c>
      <c r="P197" s="2" t="str">
        <f>IFERROR(__xludf.DUMMYFUNCTION("GOOGLETRANSLATE(F197,""en"",""ur"")"),"یہ ایک ریسنگ سیڈل ہے۔")</f>
        <v>یہ ایک ریسنگ سیڈل ہے۔</v>
      </c>
      <c r="Q197" s="2" t="s">
        <v>990</v>
      </c>
      <c r="R197" s="2" t="str">
        <f>IFERROR(__xludf.DUMMYFUNCTION("GOOGLETRANSLATE(G197,""en"",""ur"")"),"یہ ایک سادہ سی کاٹھی ہے۔")</f>
        <v>یہ ایک سادہ سی کاٹھی ہے۔</v>
      </c>
      <c r="S197" s="6" t="s">
        <v>1054</v>
      </c>
    </row>
    <row r="198">
      <c r="A198" s="7">
        <v>197.0</v>
      </c>
      <c r="B198" s="6" t="s">
        <v>991</v>
      </c>
      <c r="C198" s="6" t="s">
        <v>992</v>
      </c>
      <c r="D198" s="6" t="s">
        <v>646</v>
      </c>
      <c r="E198" s="6" t="s">
        <v>1051</v>
      </c>
      <c r="F198" s="6" t="s">
        <v>425</v>
      </c>
      <c r="G198" s="6" t="s">
        <v>1051</v>
      </c>
      <c r="H198" s="6" t="s">
        <v>1054</v>
      </c>
      <c r="K198" s="2" t="str">
        <f>IFERROR(__xludf.DUMMYFUNCTION("GOOGLETRANSLATE(A198,""en"",""ur"")"),"197")</f>
        <v>197</v>
      </c>
      <c r="L198" s="2" t="str">
        <f>IFERROR(__xludf.DUMMYFUNCTION("GOOGLETRANSLATE(B198,""en"",""ur"")"),"واقعہ کی ظاہری ترتیب کیا ہے؟")</f>
        <v>واقعہ کی ظاہری ترتیب کیا ہے؟</v>
      </c>
      <c r="M198" s="2" t="str">
        <f>IFERROR(__xludf.DUMMYFUNCTION("GOOGLETRANSLATE(C198,""en"",""ur"")"),"ایک اندرونی میدان")</f>
        <v>ایک اندرونی میدان</v>
      </c>
      <c r="N198" s="2" t="str">
        <f>IFERROR(__xludf.DUMMYFUNCTION("GOOGLETRANSLATE(D198,""en"",""ur"")"),"شہر کی ایک گلی")</f>
        <v>شہر کی ایک گلی</v>
      </c>
      <c r="O198" s="2" t="str">
        <f>IFERROR(__xludf.DUMMYFUNCTION("GOOGLETRANSLATE(E198,""en"",""ur"")"),"تماشائیوں کے ساتھ ایک بیرونی گندگی کا ٹریک")</f>
        <v>تماشائیوں کے ساتھ ایک بیرونی گندگی کا ٹریک</v>
      </c>
      <c r="P198" s="2" t="str">
        <f>IFERROR(__xludf.DUMMYFUNCTION("GOOGLETRANSLATE(F198,""en"",""ur"")"),"گھاس کا میدان")</f>
        <v>گھاس کا میدان</v>
      </c>
      <c r="Q198" s="2" t="s">
        <v>1052</v>
      </c>
      <c r="R198" s="2" t="str">
        <f>IFERROR(__xludf.DUMMYFUNCTION("GOOGLETRANSLATE(G198,""en"",""ur"")"),"تماشائیوں کے ساتھ ایک بیرونی گندگی کا ٹریک")</f>
        <v>تماشائیوں کے ساتھ ایک بیرونی گندگی کا ٹریک</v>
      </c>
      <c r="S198" s="6" t="s">
        <v>1054</v>
      </c>
    </row>
    <row r="199">
      <c r="A199" s="7">
        <v>198.0</v>
      </c>
      <c r="B199" s="6" t="s">
        <v>1036</v>
      </c>
      <c r="C199" s="6" t="s">
        <v>95</v>
      </c>
      <c r="D199" s="6" t="s">
        <v>96</v>
      </c>
      <c r="E199" s="6" t="s">
        <v>1015</v>
      </c>
      <c r="F199" s="6" t="s">
        <v>258</v>
      </c>
      <c r="G199" s="6" t="s">
        <v>1015</v>
      </c>
      <c r="H199" s="6" t="s">
        <v>1054</v>
      </c>
      <c r="K199" s="2" t="str">
        <f>IFERROR(__xludf.DUMMYFUNCTION("GOOGLETRANSLATE(A199,""en"",""ur"")"),"198")</f>
        <v>198</v>
      </c>
      <c r="L199" s="2" t="str">
        <f>IFERROR(__xludf.DUMMYFUNCTION("GOOGLETRANSLATE(B199,""en"",""ur"")"),"کھیل کا نام کیا ہے؟")</f>
        <v>کھیل کا نام کیا ہے؟</v>
      </c>
      <c r="M199" s="2" t="str">
        <f>IFERROR(__xludf.DUMMYFUNCTION("GOOGLETRANSLATE(C199,""en"",""ur"")"),"پولو")</f>
        <v>پولو</v>
      </c>
      <c r="N199" s="2" t="str">
        <f>IFERROR(__xludf.DUMMYFUNCTION("GOOGLETRANSLATE(D199,""en"",""ur"")"),"گھوڑوں کی دوڑ")</f>
        <v>گھوڑوں کی دوڑ</v>
      </c>
      <c r="O199" s="2" t="str">
        <f>IFERROR(__xludf.DUMMYFUNCTION("GOOGLETRANSLATE(E199,""en"",""ur"")"),"ٹینٹ پیگنگ")</f>
        <v>ٹینٹ پیگنگ</v>
      </c>
      <c r="P199" s="2" t="str">
        <f>IFERROR(__xludf.DUMMYFUNCTION("GOOGLETRANSLATE(F199,""en"",""ur"")"),"گھڑ سواری کے کھیل")</f>
        <v>گھڑ سواری کے کھیل</v>
      </c>
      <c r="Q199" s="2" t="s">
        <v>1016</v>
      </c>
      <c r="R199" s="2" t="str">
        <f>IFERROR(__xludf.DUMMYFUNCTION("GOOGLETRANSLATE(G199,""en"",""ur"")"),"ٹینٹ پیگنگ")</f>
        <v>ٹینٹ پیگنگ</v>
      </c>
      <c r="S199" s="6" t="s">
        <v>1054</v>
      </c>
    </row>
    <row r="200">
      <c r="A200" s="7">
        <v>199.0</v>
      </c>
      <c r="B200" s="6" t="s">
        <v>316</v>
      </c>
      <c r="C200" s="6" t="s">
        <v>47</v>
      </c>
      <c r="D200" s="6" t="s">
        <v>48</v>
      </c>
      <c r="E200" s="6" t="s">
        <v>49</v>
      </c>
      <c r="F200" s="6" t="s">
        <v>50</v>
      </c>
      <c r="G200" s="6" t="s">
        <v>49</v>
      </c>
      <c r="H200" s="6" t="s">
        <v>1054</v>
      </c>
      <c r="K200" s="2" t="str">
        <f>IFERROR(__xludf.DUMMYFUNCTION("GOOGLETRANSLATE(A200,""en"",""ur"")"),"199")</f>
        <v>199</v>
      </c>
      <c r="L200" s="2" t="str">
        <f>IFERROR(__xludf.DUMMYFUNCTION("GOOGLETRANSLATE(B200,""en"",""ur"")"),"سوار کے چہرے سے ظاہری جذبات کیا ہیں؟")</f>
        <v>سوار کے چہرے سے ظاہری جذبات کیا ہیں؟</v>
      </c>
      <c r="M200" s="2" t="str">
        <f>IFERROR(__xludf.DUMMYFUNCTION("GOOGLETRANSLATE(C200,""en"",""ur"")"),"پرسکون اور پر سکون")</f>
        <v>پرسکون اور پر سکون</v>
      </c>
      <c r="N200" s="2" t="str">
        <f>IFERROR(__xludf.DUMMYFUNCTION("GOOGLETRANSLATE(D200,""en"",""ur"")"),"خوف زدہ اور بے چین")</f>
        <v>خوف زدہ اور بے چین</v>
      </c>
      <c r="O200" s="2" t="str">
        <f>IFERROR(__xludf.DUMMYFUNCTION("GOOGLETRANSLATE(E200,""en"",""ur"")"),"کشیدہ اور شدید")</f>
        <v>کشیدہ اور شدید</v>
      </c>
      <c r="P200" s="2" t="str">
        <f>IFERROR(__xludf.DUMMYFUNCTION("GOOGLETRANSLATE(F200,""en"",""ur"")"),"خوش اور مسکراتے ہوئے۔")</f>
        <v>خوش اور مسکراتے ہوئے۔</v>
      </c>
      <c r="Q200" s="2" t="s">
        <v>51</v>
      </c>
      <c r="R200" s="2" t="str">
        <f>IFERROR(__xludf.DUMMYFUNCTION("GOOGLETRANSLATE(G200,""en"",""ur"")"),"کشیدہ اور شدید")</f>
        <v>کشیدہ اور شدید</v>
      </c>
      <c r="S200" s="6" t="s">
        <v>1054</v>
      </c>
    </row>
    <row r="201">
      <c r="A201" s="7">
        <v>200.0</v>
      </c>
      <c r="B201" s="6" t="s">
        <v>260</v>
      </c>
      <c r="C201" s="6" t="s">
        <v>261</v>
      </c>
      <c r="D201" s="6" t="s">
        <v>262</v>
      </c>
      <c r="E201" s="6" t="s">
        <v>263</v>
      </c>
      <c r="F201" s="6" t="s">
        <v>1001</v>
      </c>
      <c r="G201" s="6" t="s">
        <v>1001</v>
      </c>
      <c r="H201" s="6" t="s">
        <v>1054</v>
      </c>
      <c r="K201" s="2" t="str">
        <f>IFERROR(__xludf.DUMMYFUNCTION("GOOGLETRANSLATE(A201,""en"",""ur"")"),"200")</f>
        <v>200</v>
      </c>
      <c r="L201" s="2" t="str">
        <f>IFERROR(__xludf.DUMMYFUNCTION("GOOGLETRANSLATE(B201,""en"",""ur"")"),"تصویر میں ایکشن ایک ایسا انداز تجویز کرتا ہے جو اس بات پر زور دیتا ہے...")</f>
        <v>تصویر میں ایکشن ایک ایسا انداز تجویز کرتا ہے جو اس بات پر زور دیتا ہے...</v>
      </c>
      <c r="M201" s="2" t="str">
        <f>IFERROR(__xludf.DUMMYFUNCTION("GOOGLETRANSLATE(C201,""en"",""ur"")"),"روانی اور قلابازیاں")</f>
        <v>روانی اور قلابازیاں</v>
      </c>
      <c r="N201" s="2" t="str">
        <f>IFERROR(__xludf.DUMMYFUNCTION("GOOGLETRANSLATE(D201,""en"",""ur"")"),"زمینی لڑائی اور گرفت")</f>
        <v>زمینی لڑائی اور گرفت</v>
      </c>
      <c r="O201" s="2" t="str">
        <f>IFERROR(__xludf.DUMMYFUNCTION("GOOGLETRANSLATE(E201,""en"",""ur"")"),"وحشیانہ قوت اور گھڑ سواری۔")</f>
        <v>وحشیانہ قوت اور گھڑ سواری۔</v>
      </c>
      <c r="P201" s="2" t="str">
        <f>IFERROR(__xludf.DUMMYFUNCTION("GOOGLETRANSLATE(F201,""en"",""ur"")"),"رفتار، درستگی اور چستی")</f>
        <v>رفتار، درستگی اور چستی</v>
      </c>
      <c r="Q201" s="2" t="s">
        <v>1002</v>
      </c>
      <c r="R201" s="2" t="str">
        <f>IFERROR(__xludf.DUMMYFUNCTION("GOOGLETRANSLATE(G201,""en"",""ur"")"),"رفتار، درستگی اور چستی")</f>
        <v>رفتار، درستگی اور چستی</v>
      </c>
      <c r="S201" s="6" t="s">
        <v>1054</v>
      </c>
    </row>
    <row r="202">
      <c r="A202" s="7">
        <v>201.0</v>
      </c>
      <c r="B202" s="6" t="s">
        <v>1111</v>
      </c>
      <c r="C202" s="6" t="s">
        <v>103</v>
      </c>
      <c r="D202" s="6" t="s">
        <v>1039</v>
      </c>
      <c r="E202" s="6" t="s">
        <v>1004</v>
      </c>
      <c r="F202" s="6" t="s">
        <v>73</v>
      </c>
      <c r="G202" s="6" t="s">
        <v>1039</v>
      </c>
      <c r="H202" s="6" t="s">
        <v>1112</v>
      </c>
      <c r="K202" s="2" t="str">
        <f>IFERROR(__xludf.DUMMYFUNCTION("GOOGLETRANSLATE(A202,""en"",""ur"")"),"201")</f>
        <v>201</v>
      </c>
      <c r="L202" s="2" t="str">
        <f>IFERROR(__xludf.DUMMYFUNCTION("GOOGLETRANSLATE(B202,""en"",""ur"")"),"tent_pegging_62 میں دکھائی جانے والی اہم کارروائی کیا ہے؟")</f>
        <v>tent_pegging_62 میں دکھائی جانے والی اہم کارروائی کیا ہے؟</v>
      </c>
      <c r="M202" s="2" t="str">
        <f>IFERROR(__xludf.DUMMYFUNCTION("GOOGLETRANSLATE(C202,""en"",""ur"")"),"آرام سے گھوڑے کی سواری۔")</f>
        <v>آرام سے گھوڑے کی سواری۔</v>
      </c>
      <c r="N202" s="2" t="str">
        <f>IFERROR(__xludf.DUMMYFUNCTION("GOOGLETRANSLATE(D202,""en"",""ur"")"),"ٹینٹ پیگنگ ایونٹ میں دو سوار مقابلہ کر رہے ہیں۔")</f>
        <v>ٹینٹ پیگنگ ایونٹ میں دو سوار مقابلہ کر رہے ہیں۔</v>
      </c>
      <c r="O202" s="2" t="str">
        <f>IFERROR(__xludf.DUMMYFUNCTION("GOOGLETRANSLATE(E202,""en"",""ur"")"),"سواروں کی پریڈ")</f>
        <v>سواروں کی پریڈ</v>
      </c>
      <c r="P202" s="2" t="str">
        <f>IFERROR(__xludf.DUMMYFUNCTION("GOOGLETRANSLATE(F202,""en"",""ur"")"),"گھوڑوں کی دوڑ")</f>
        <v>گھوڑوں کی دوڑ</v>
      </c>
      <c r="Q202" s="2" t="s">
        <v>1113</v>
      </c>
      <c r="R202" s="2" t="str">
        <f>IFERROR(__xludf.DUMMYFUNCTION("GOOGLETRANSLATE(G202,""en"",""ur"")"),"ٹینٹ پیگنگ ایونٹ میں دو سوار مقابلہ کر رہے ہیں۔")</f>
        <v>ٹینٹ پیگنگ ایونٹ میں دو سوار مقابلہ کر رہے ہیں۔</v>
      </c>
      <c r="S202" s="6" t="s">
        <v>1112</v>
      </c>
    </row>
    <row r="203">
      <c r="A203" s="7">
        <v>202.0</v>
      </c>
      <c r="B203" s="6" t="s">
        <v>1007</v>
      </c>
      <c r="C203" s="6" t="s">
        <v>1008</v>
      </c>
      <c r="D203" s="6" t="s">
        <v>1114</v>
      </c>
      <c r="E203" s="6" t="s">
        <v>245</v>
      </c>
      <c r="F203" s="6" t="s">
        <v>246</v>
      </c>
      <c r="G203" s="6" t="s">
        <v>1114</v>
      </c>
      <c r="H203" s="6" t="s">
        <v>1112</v>
      </c>
      <c r="K203" s="2" t="str">
        <f>IFERROR(__xludf.DUMMYFUNCTION("GOOGLETRANSLATE(A203,""en"",""ur"")"),"202")</f>
        <v>202</v>
      </c>
      <c r="L203" s="2" t="str">
        <f>IFERROR(__xludf.DUMMYFUNCTION("GOOGLETRANSLATE(B203,""en"",""ur"")"),"سواروں کے لباس کے بارے میں ایک قابل ذکر تفصیل کیا ہے؟")</f>
        <v>سواروں کے لباس کے بارے میں ایک قابل ذکر تفصیل کیا ہے؟</v>
      </c>
      <c r="M203" s="2" t="str">
        <f>IFERROR(__xludf.DUMMYFUNCTION("GOOGLETRANSLATE(C203,""en"",""ur"")"),"انہوں نے فوجی وردی پہن رکھی ہے۔")</f>
        <v>انہوں نے فوجی وردی پہن رکھی ہے۔</v>
      </c>
      <c r="N203" s="2" t="str">
        <f>IFERROR(__xludf.DUMMYFUNCTION("GOOGLETRANSLATE(D203,""en"",""ur"")"),"وہ پگڑیوں اور واسکٹوں کے ساتھ سفید روایتی لباس پہنے ہوئے ہیں۔")</f>
        <v>وہ پگڑیوں اور واسکٹوں کے ساتھ سفید روایتی لباس پہنے ہوئے ہیں۔</v>
      </c>
      <c r="O203" s="2" t="str">
        <f>IFERROR(__xludf.DUMMYFUNCTION("GOOGLETRANSLATE(E203,""en"",""ur"")"),"وہ رسمی سوٹ پہنے ہوئے ہیں۔")</f>
        <v>وہ رسمی سوٹ پہنے ہوئے ہیں۔</v>
      </c>
      <c r="P203" s="2" t="str">
        <f>IFERROR(__xludf.DUMMYFUNCTION("GOOGLETRANSLATE(F203,""en"",""ur"")"),"انہوں نے کوئی لباس نہیں پہنا ہوا ہے۔")</f>
        <v>انہوں نے کوئی لباس نہیں پہنا ہوا ہے۔</v>
      </c>
      <c r="Q203" s="2" t="s">
        <v>1115</v>
      </c>
      <c r="R203" s="2" t="str">
        <f>IFERROR(__xludf.DUMMYFUNCTION("GOOGLETRANSLATE(G203,""en"",""ur"")"),"وہ پگڑیوں اور واسکٹوں کے ساتھ سفید روایتی لباس پہنے ہوئے ہیں۔")</f>
        <v>وہ پگڑیوں اور واسکٹوں کے ساتھ سفید روایتی لباس پہنے ہوئے ہیں۔</v>
      </c>
      <c r="S203" s="6" t="s">
        <v>1112</v>
      </c>
    </row>
    <row r="204">
      <c r="A204" s="7">
        <v>203.0</v>
      </c>
      <c r="B204" s="6" t="s">
        <v>1046</v>
      </c>
      <c r="C204" s="6" t="s">
        <v>970</v>
      </c>
      <c r="D204" s="6" t="s">
        <v>971</v>
      </c>
      <c r="E204" s="6" t="s">
        <v>972</v>
      </c>
      <c r="F204" s="6" t="s">
        <v>973</v>
      </c>
      <c r="G204" s="6" t="s">
        <v>972</v>
      </c>
      <c r="H204" s="6" t="s">
        <v>1112</v>
      </c>
      <c r="K204" s="2" t="str">
        <f>IFERROR(__xludf.DUMMYFUNCTION("GOOGLETRANSLATE(A204,""en"",""ur"")"),"203")</f>
        <v>203</v>
      </c>
      <c r="L204" s="2" t="str">
        <f>IFERROR(__xludf.DUMMYFUNCTION("GOOGLETRANSLATE(B204,""en"",""ur"")"),"سواروں نے جو لمبی لاٹھیاں پکڑی ہوئی ہیں ان کا ظاہری مقصد کیا ہے؟")</f>
        <v>سواروں نے جو لمبی لاٹھیاں پکڑی ہوئی ہیں ان کا ظاہری مقصد کیا ہے؟</v>
      </c>
      <c r="M204" s="2" t="str">
        <f>IFERROR(__xludf.DUMMYFUNCTION("GOOGLETRANSLATE(C204,""en"",""ur"")"),"گھوڑے کی رہنمائی کے لیے")</f>
        <v>گھوڑے کی رہنمائی کے لیے</v>
      </c>
      <c r="N204" s="2" t="str">
        <f>IFERROR(__xludf.DUMMYFUNCTION("GOOGLETRANSLATE(D204,""en"",""ur"")"),"توازن کے لیے زمین سے ٹکرانا")</f>
        <v>توازن کے لیے زمین سے ٹکرانا</v>
      </c>
      <c r="O204" s="2" t="str">
        <f>IFERROR(__xludf.DUMMYFUNCTION("GOOGLETRANSLATE(E204,""en"",""ur"")"),"زمین پر چھوٹے اہداف کو نشانہ بنانا")</f>
        <v>زمین پر چھوٹے اہداف کو نشانہ بنانا</v>
      </c>
      <c r="P204" s="2" t="str">
        <f>IFERROR(__xludf.DUMMYFUNCTION("GOOGLETRANSLATE(F204,""en"",""ur"")"),"بطور ہتھیار استعمال کرنا")</f>
        <v>بطور ہتھیار استعمال کرنا</v>
      </c>
      <c r="Q204" s="2" t="s">
        <v>974</v>
      </c>
      <c r="R204" s="2" t="str">
        <f>IFERROR(__xludf.DUMMYFUNCTION("GOOGLETRANSLATE(G204,""en"",""ur"")"),"زمین پر چھوٹے اہداف کو نشانہ بنانا")</f>
        <v>زمین پر چھوٹے اہداف کو نشانہ بنانا</v>
      </c>
      <c r="S204" s="6" t="s">
        <v>1112</v>
      </c>
    </row>
    <row r="205">
      <c r="A205" s="7">
        <v>204.0</v>
      </c>
      <c r="B205" s="6" t="s">
        <v>248</v>
      </c>
      <c r="C205" s="6" t="s">
        <v>429</v>
      </c>
      <c r="D205" s="6" t="s">
        <v>975</v>
      </c>
      <c r="E205" s="6" t="s">
        <v>976</v>
      </c>
      <c r="F205" s="6" t="s">
        <v>977</v>
      </c>
      <c r="G205" s="6" t="s">
        <v>975</v>
      </c>
      <c r="H205" s="6" t="s">
        <v>1112</v>
      </c>
      <c r="K205" s="2" t="str">
        <f>IFERROR(__xludf.DUMMYFUNCTION("GOOGLETRANSLATE(A205,""en"",""ur"")"),"204")</f>
        <v>204</v>
      </c>
      <c r="L205" s="2" t="str">
        <f>IFERROR(__xludf.DUMMYFUNCTION("GOOGLETRANSLATE(B205,""en"",""ur"")"),"سواروں کی ظاہری باڈی پوزیشن کیا ہے؟")</f>
        <v>سواروں کی ظاہری باڈی پوزیشن کیا ہے؟</v>
      </c>
      <c r="M205" s="2" t="str">
        <f>IFERROR(__xludf.DUMMYFUNCTION("GOOGLETRANSLATE(C205,""en"",""ur"")"),"سیدھا کھڑا ہونا")</f>
        <v>سیدھا کھڑا ہونا</v>
      </c>
      <c r="N205" s="2" t="str">
        <f>IFERROR(__xludf.DUMMYFUNCTION("GOOGLETRANSLATE(D205,""en"",""ur"")"),"نیچے اور طرف جھکنا")</f>
        <v>نیچے اور طرف جھکنا</v>
      </c>
      <c r="O205" s="2" t="str">
        <f>IFERROR(__xludf.DUMMYFUNCTION("GOOGLETRANSLATE(E205,""en"",""ur"")"),"گھوڑے کی پیٹھ پر لیٹنا")</f>
        <v>گھوڑے کی پیٹھ پر لیٹنا</v>
      </c>
      <c r="P205" s="2" t="str">
        <f>IFERROR(__xludf.DUMMYFUNCTION("GOOGLETRANSLATE(F205,""en"",""ur"")"),"آرام سے بیٹھ گیا۔")</f>
        <v>آرام سے بیٹھ گیا۔</v>
      </c>
      <c r="Q205" s="2" t="s">
        <v>978</v>
      </c>
      <c r="R205" s="2" t="str">
        <f>IFERROR(__xludf.DUMMYFUNCTION("GOOGLETRANSLATE(G205,""en"",""ur"")"),"نیچے اور طرف جھکنا")</f>
        <v>نیچے اور طرف جھکنا</v>
      </c>
      <c r="S205" s="6" t="s">
        <v>1112</v>
      </c>
    </row>
    <row r="206">
      <c r="A206" s="7">
        <v>205.0</v>
      </c>
      <c r="B206" s="6" t="s">
        <v>1047</v>
      </c>
      <c r="C206" s="6" t="s">
        <v>980</v>
      </c>
      <c r="D206" s="6" t="s">
        <v>981</v>
      </c>
      <c r="E206" s="6" t="s">
        <v>982</v>
      </c>
      <c r="F206" s="6" t="s">
        <v>983</v>
      </c>
      <c r="G206" s="6" t="s">
        <v>982</v>
      </c>
      <c r="H206" s="6" t="s">
        <v>1112</v>
      </c>
      <c r="K206" s="2" t="str">
        <f>IFERROR(__xludf.DUMMYFUNCTION("GOOGLETRANSLATE(A206,""en"",""ur"")"),"205")</f>
        <v>205</v>
      </c>
      <c r="L206" s="2" t="str">
        <f>IFERROR(__xludf.DUMMYFUNCTION("GOOGLETRANSLATE(B206,""en"",""ur"")"),"گھوڑوں کے پیچھے زمین کی ظاہری حالت کیا ہے؟")</f>
        <v>گھوڑوں کے پیچھے زمین کی ظاہری حالت کیا ہے؟</v>
      </c>
      <c r="M206" s="2" t="str">
        <f>IFERROR(__xludf.DUMMYFUNCTION("GOOGLETRANSLATE(C206,""en"",""ur"")"),"بالکل ہموار")</f>
        <v>بالکل ہموار</v>
      </c>
      <c r="N206" s="2" t="str">
        <f>IFERROR(__xludf.DUMMYFUNCTION("GOOGLETRANSLATE(D206,""en"",""ur"")"),"تازہ گھاس میں ڈھکا ہوا ہے۔")</f>
        <v>تازہ گھاس میں ڈھکا ہوا ہے۔</v>
      </c>
      <c r="O206" s="2" t="str">
        <f>IFERROR(__xludf.DUMMYFUNCTION("GOOGLETRANSLATE(E206,""en"",""ur"")"),"غبار کے بادل میں اُٹھ گیا۔")</f>
        <v>غبار کے بادل میں اُٹھ گیا۔</v>
      </c>
      <c r="P206" s="2" t="str">
        <f>IFERROR(__xludf.DUMMYFUNCTION("GOOGLETRANSLATE(F206,""en"",""ur"")"),"پانی سے بھرا ہوا ۔")</f>
        <v>پانی سے بھرا ہوا ۔</v>
      </c>
      <c r="Q206" s="2" t="s">
        <v>984</v>
      </c>
      <c r="R206" s="2" t="str">
        <f>IFERROR(__xludf.DUMMYFUNCTION("GOOGLETRANSLATE(G206,""en"",""ur"")"),"غبار کے بادل میں اُٹھ گیا۔")</f>
        <v>غبار کے بادل میں اُٹھ گیا۔</v>
      </c>
      <c r="S206" s="6" t="s">
        <v>1112</v>
      </c>
    </row>
    <row r="207">
      <c r="A207" s="7">
        <v>206.0</v>
      </c>
      <c r="B207" s="6" t="s">
        <v>985</v>
      </c>
      <c r="C207" s="6" t="s">
        <v>986</v>
      </c>
      <c r="D207" s="6" t="s">
        <v>987</v>
      </c>
      <c r="E207" s="6" t="s">
        <v>988</v>
      </c>
      <c r="F207" s="6" t="s">
        <v>989</v>
      </c>
      <c r="G207" s="6" t="s">
        <v>987</v>
      </c>
      <c r="H207" s="6" t="s">
        <v>1112</v>
      </c>
      <c r="K207" s="2" t="str">
        <f>IFERROR(__xludf.DUMMYFUNCTION("GOOGLETRANSLATE(A207,""en"",""ur"")"),"206")</f>
        <v>206</v>
      </c>
      <c r="L207" s="2" t="str">
        <f>IFERROR(__xludf.DUMMYFUNCTION("GOOGLETRANSLATE(B207,""en"",""ur"")"),"گھوڑے کے ٹیک کی سب سے نمایاں خصوصیت کیا ہے؟")</f>
        <v>گھوڑے کے ٹیک کی سب سے نمایاں خصوصیت کیا ہے؟</v>
      </c>
      <c r="M207" s="2" t="str">
        <f>IFERROR(__xludf.DUMMYFUNCTION("GOOGLETRANSLATE(C207,""en"",""ur"")"),"یہ ایک سادہ سی کاٹھی ہے۔")</f>
        <v>یہ ایک سادہ سی کاٹھی ہے۔</v>
      </c>
      <c r="N207" s="2" t="str">
        <f>IFERROR(__xludf.DUMMYFUNCTION("GOOGLETRANSLATE(D207,""en"",""ur"")"),"یہ نیلے رنگ کے زیورات کے ساتھ ایک انتہائی آرائشی کاٹھی ہے۔")</f>
        <v>یہ نیلے رنگ کے زیورات کے ساتھ ایک انتہائی آرائشی کاٹھی ہے۔</v>
      </c>
      <c r="O207" s="2" t="str">
        <f>IFERROR(__xludf.DUMMYFUNCTION("GOOGLETRANSLATE(E207,""en"",""ur"")"),"یہ ایک ننگا پیڈ ہے۔")</f>
        <v>یہ ایک ننگا پیڈ ہے۔</v>
      </c>
      <c r="P207" s="2" t="str">
        <f>IFERROR(__xludf.DUMMYFUNCTION("GOOGLETRANSLATE(F207,""en"",""ur"")"),"یہ ایک ریسنگ سیڈل ہے۔")</f>
        <v>یہ ایک ریسنگ سیڈل ہے۔</v>
      </c>
      <c r="Q207" s="2" t="s">
        <v>990</v>
      </c>
      <c r="R207" s="2" t="str">
        <f>IFERROR(__xludf.DUMMYFUNCTION("GOOGLETRANSLATE(G207,""en"",""ur"")"),"یہ نیلے رنگ کے زیورات کے ساتھ ایک انتہائی آرائشی کاٹھی ہے۔")</f>
        <v>یہ نیلے رنگ کے زیورات کے ساتھ ایک انتہائی آرائشی کاٹھی ہے۔</v>
      </c>
      <c r="S207" s="6" t="s">
        <v>1112</v>
      </c>
    </row>
    <row r="208">
      <c r="A208" s="7">
        <v>207.0</v>
      </c>
      <c r="B208" s="6" t="s">
        <v>991</v>
      </c>
      <c r="C208" s="6" t="s">
        <v>992</v>
      </c>
      <c r="D208" s="6" t="s">
        <v>646</v>
      </c>
      <c r="E208" s="6" t="s">
        <v>993</v>
      </c>
      <c r="F208" s="6" t="s">
        <v>425</v>
      </c>
      <c r="G208" s="6" t="s">
        <v>993</v>
      </c>
      <c r="H208" s="6" t="s">
        <v>1112</v>
      </c>
      <c r="K208" s="2" t="str">
        <f>IFERROR(__xludf.DUMMYFUNCTION("GOOGLETRANSLATE(A208,""en"",""ur"")"),"207")</f>
        <v>207</v>
      </c>
      <c r="L208" s="2" t="str">
        <f>IFERROR(__xludf.DUMMYFUNCTION("GOOGLETRANSLATE(B208,""en"",""ur"")"),"واقعہ کی ظاہری ترتیب کیا ہے؟")</f>
        <v>واقعہ کی ظاہری ترتیب کیا ہے؟</v>
      </c>
      <c r="M208" s="2" t="str">
        <f>IFERROR(__xludf.DUMMYFUNCTION("GOOGLETRANSLATE(C208,""en"",""ur"")"),"ایک اندرونی میدان")</f>
        <v>ایک اندرونی میدان</v>
      </c>
      <c r="N208" s="2" t="str">
        <f>IFERROR(__xludf.DUMMYFUNCTION("GOOGLETRANSLATE(D208,""en"",""ur"")"),"شہر کی ایک گلی")</f>
        <v>شہر کی ایک گلی</v>
      </c>
      <c r="O208" s="2" t="str">
        <f>IFERROR(__xludf.DUMMYFUNCTION("GOOGLETRANSLATE(E208,""en"",""ur"")"),"ایک بیرونی گندگی کا ٹریک")</f>
        <v>ایک بیرونی گندگی کا ٹریک</v>
      </c>
      <c r="P208" s="2" t="str">
        <f>IFERROR(__xludf.DUMMYFUNCTION("GOOGLETRANSLATE(F208,""en"",""ur"")"),"گھاس کا میدان")</f>
        <v>گھاس کا میدان</v>
      </c>
      <c r="Q208" s="2" t="s">
        <v>994</v>
      </c>
      <c r="R208" s="2" t="str">
        <f>IFERROR(__xludf.DUMMYFUNCTION("GOOGLETRANSLATE(G208,""en"",""ur"")"),"ایک بیرونی گندگی کا ٹریک")</f>
        <v>ایک بیرونی گندگی کا ٹریک</v>
      </c>
      <c r="S208" s="6" t="s">
        <v>1112</v>
      </c>
    </row>
    <row r="209">
      <c r="A209" s="7">
        <v>208.0</v>
      </c>
      <c r="B209" s="6" t="s">
        <v>1036</v>
      </c>
      <c r="C209" s="6" t="s">
        <v>95</v>
      </c>
      <c r="D209" s="6" t="s">
        <v>96</v>
      </c>
      <c r="E209" s="6" t="s">
        <v>1015</v>
      </c>
      <c r="F209" s="6" t="s">
        <v>258</v>
      </c>
      <c r="G209" s="6" t="s">
        <v>1015</v>
      </c>
      <c r="H209" s="6" t="s">
        <v>1112</v>
      </c>
      <c r="K209" s="2" t="str">
        <f>IFERROR(__xludf.DUMMYFUNCTION("GOOGLETRANSLATE(A209,""en"",""ur"")"),"208")</f>
        <v>208</v>
      </c>
      <c r="L209" s="2" t="str">
        <f>IFERROR(__xludf.DUMMYFUNCTION("GOOGLETRANSLATE(B209,""en"",""ur"")"),"کھیل کا نام کیا ہے؟")</f>
        <v>کھیل کا نام کیا ہے؟</v>
      </c>
      <c r="M209" s="2" t="str">
        <f>IFERROR(__xludf.DUMMYFUNCTION("GOOGLETRANSLATE(C209,""en"",""ur"")"),"پولو")</f>
        <v>پولو</v>
      </c>
      <c r="N209" s="2" t="str">
        <f>IFERROR(__xludf.DUMMYFUNCTION("GOOGLETRANSLATE(D209,""en"",""ur"")"),"گھوڑوں کی دوڑ")</f>
        <v>گھوڑوں کی دوڑ</v>
      </c>
      <c r="O209" s="2" t="str">
        <f>IFERROR(__xludf.DUMMYFUNCTION("GOOGLETRANSLATE(E209,""en"",""ur"")"),"ٹینٹ پیگنگ")</f>
        <v>ٹینٹ پیگنگ</v>
      </c>
      <c r="P209" s="2" t="str">
        <f>IFERROR(__xludf.DUMMYFUNCTION("GOOGLETRANSLATE(F209,""en"",""ur"")"),"گھڑ سواری کے کھیل")</f>
        <v>گھڑ سواری کے کھیل</v>
      </c>
      <c r="Q209" s="2" t="s">
        <v>1016</v>
      </c>
      <c r="R209" s="2" t="str">
        <f>IFERROR(__xludf.DUMMYFUNCTION("GOOGLETRANSLATE(G209,""en"",""ur"")"),"ٹینٹ پیگنگ")</f>
        <v>ٹینٹ پیگنگ</v>
      </c>
      <c r="S209" s="6" t="s">
        <v>1112</v>
      </c>
    </row>
    <row r="210">
      <c r="A210" s="7">
        <v>209.0</v>
      </c>
      <c r="B210" s="6" t="s">
        <v>254</v>
      </c>
      <c r="C210" s="6" t="s">
        <v>47</v>
      </c>
      <c r="D210" s="6" t="s">
        <v>48</v>
      </c>
      <c r="E210" s="6" t="s">
        <v>49</v>
      </c>
      <c r="F210" s="6" t="s">
        <v>50</v>
      </c>
      <c r="G210" s="6" t="s">
        <v>49</v>
      </c>
      <c r="H210" s="6" t="s">
        <v>1112</v>
      </c>
      <c r="K210" s="2" t="str">
        <f>IFERROR(__xludf.DUMMYFUNCTION("GOOGLETRANSLATE(A210,""en"",""ur"")"),"209")</f>
        <v>209</v>
      </c>
      <c r="L210" s="2" t="str">
        <f>IFERROR(__xludf.DUMMYFUNCTION("GOOGLETRANSLATE(B210,""en"",""ur"")"),"سواروں کے چہروں سے ظاہری جذبات کیا ہیں؟")</f>
        <v>سواروں کے چہروں سے ظاہری جذبات کیا ہیں؟</v>
      </c>
      <c r="M210" s="2" t="str">
        <f>IFERROR(__xludf.DUMMYFUNCTION("GOOGLETRANSLATE(C210,""en"",""ur"")"),"پرسکون اور پر سکون")</f>
        <v>پرسکون اور پر سکون</v>
      </c>
      <c r="N210" s="2" t="str">
        <f>IFERROR(__xludf.DUMMYFUNCTION("GOOGLETRANSLATE(D210,""en"",""ur"")"),"خوف زدہ اور بے چین")</f>
        <v>خوف زدہ اور بے چین</v>
      </c>
      <c r="O210" s="2" t="str">
        <f>IFERROR(__xludf.DUMMYFUNCTION("GOOGLETRANSLATE(E210,""en"",""ur"")"),"کشیدہ اور شدید")</f>
        <v>کشیدہ اور شدید</v>
      </c>
      <c r="P210" s="2" t="str">
        <f>IFERROR(__xludf.DUMMYFUNCTION("GOOGLETRANSLATE(F210,""en"",""ur"")"),"خوش اور مسکراتے ہوئے۔")</f>
        <v>خوش اور مسکراتے ہوئے۔</v>
      </c>
      <c r="Q210" s="2" t="s">
        <v>51</v>
      </c>
      <c r="R210" s="2" t="str">
        <f>IFERROR(__xludf.DUMMYFUNCTION("GOOGLETRANSLATE(G210,""en"",""ur"")"),"کشیدہ اور شدید")</f>
        <v>کشیدہ اور شدید</v>
      </c>
      <c r="S210" s="6" t="s">
        <v>1112</v>
      </c>
    </row>
    <row r="211">
      <c r="A211" s="7">
        <v>210.0</v>
      </c>
      <c r="B211" s="6" t="s">
        <v>260</v>
      </c>
      <c r="C211" s="6" t="s">
        <v>261</v>
      </c>
      <c r="D211" s="6" t="s">
        <v>262</v>
      </c>
      <c r="E211" s="6" t="s">
        <v>263</v>
      </c>
      <c r="F211" s="6" t="s">
        <v>1001</v>
      </c>
      <c r="G211" s="6" t="s">
        <v>1001</v>
      </c>
      <c r="H211" s="6" t="s">
        <v>1112</v>
      </c>
      <c r="K211" s="2" t="str">
        <f>IFERROR(__xludf.DUMMYFUNCTION("GOOGLETRANSLATE(A211,""en"",""ur"")"),"210")</f>
        <v>210</v>
      </c>
      <c r="L211" s="2" t="str">
        <f>IFERROR(__xludf.DUMMYFUNCTION("GOOGLETRANSLATE(B211,""en"",""ur"")"),"تصویر میں ایکشن ایک ایسا انداز تجویز کرتا ہے جو اس بات پر زور دیتا ہے...")</f>
        <v>تصویر میں ایکشن ایک ایسا انداز تجویز کرتا ہے جو اس بات پر زور دیتا ہے...</v>
      </c>
      <c r="M211" s="2" t="str">
        <f>IFERROR(__xludf.DUMMYFUNCTION("GOOGLETRANSLATE(C211,""en"",""ur"")"),"روانی اور قلابازیاں")</f>
        <v>روانی اور قلابازیاں</v>
      </c>
      <c r="N211" s="2" t="str">
        <f>IFERROR(__xludf.DUMMYFUNCTION("GOOGLETRANSLATE(D211,""en"",""ur"")"),"زمینی لڑائی اور گرفت")</f>
        <v>زمینی لڑائی اور گرفت</v>
      </c>
      <c r="O211" s="2" t="str">
        <f>IFERROR(__xludf.DUMMYFUNCTION("GOOGLETRANSLATE(E211,""en"",""ur"")"),"وحشیانہ قوت اور گھڑ سواری۔")</f>
        <v>وحشیانہ قوت اور گھڑ سواری۔</v>
      </c>
      <c r="P211" s="2" t="str">
        <f>IFERROR(__xludf.DUMMYFUNCTION("GOOGLETRANSLATE(F211,""en"",""ur"")"),"رفتار، درستگی اور چستی")</f>
        <v>رفتار، درستگی اور چستی</v>
      </c>
      <c r="Q211" s="2" t="s">
        <v>1002</v>
      </c>
      <c r="R211" s="2" t="str">
        <f>IFERROR(__xludf.DUMMYFUNCTION("GOOGLETRANSLATE(G211,""en"",""ur"")"),"رفتار، درستگی اور چستی")</f>
        <v>رفتار، درستگی اور چستی</v>
      </c>
      <c r="S211" s="6" t="s">
        <v>1112</v>
      </c>
    </row>
    <row r="212">
      <c r="A212" s="7">
        <v>211.0</v>
      </c>
      <c r="B212" s="6" t="s">
        <v>1116</v>
      </c>
      <c r="C212" s="6" t="s">
        <v>103</v>
      </c>
      <c r="D212" s="6" t="s">
        <v>1039</v>
      </c>
      <c r="E212" s="6" t="s">
        <v>1004</v>
      </c>
      <c r="F212" s="6" t="s">
        <v>73</v>
      </c>
      <c r="G212" s="6" t="s">
        <v>1039</v>
      </c>
      <c r="H212" s="6" t="s">
        <v>1117</v>
      </c>
      <c r="K212" s="2" t="str">
        <f>IFERROR(__xludf.DUMMYFUNCTION("GOOGLETRANSLATE(A212,""en"",""ur"")"),"211")</f>
        <v>211</v>
      </c>
      <c r="L212" s="2" t="str">
        <f>IFERROR(__xludf.DUMMYFUNCTION("GOOGLETRANSLATE(B212,""en"",""ur"")"),"tent_pegging_68 میں دکھائی جانے والی اہم کارروائی کیا ہے؟")</f>
        <v>tent_pegging_68 میں دکھائی جانے والی اہم کارروائی کیا ہے؟</v>
      </c>
      <c r="M212" s="2" t="str">
        <f>IFERROR(__xludf.DUMMYFUNCTION("GOOGLETRANSLATE(C212,""en"",""ur"")"),"آرام سے گھوڑے کی سواری۔")</f>
        <v>آرام سے گھوڑے کی سواری۔</v>
      </c>
      <c r="N212" s="2" t="str">
        <f>IFERROR(__xludf.DUMMYFUNCTION("GOOGLETRANSLATE(D212,""en"",""ur"")"),"ٹینٹ پیگنگ ایونٹ میں دو سوار مقابلہ کر رہے ہیں۔")</f>
        <v>ٹینٹ پیگنگ ایونٹ میں دو سوار مقابلہ کر رہے ہیں۔</v>
      </c>
      <c r="O212" s="2" t="str">
        <f>IFERROR(__xludf.DUMMYFUNCTION("GOOGLETRANSLATE(E212,""en"",""ur"")"),"سواروں کی پریڈ")</f>
        <v>سواروں کی پریڈ</v>
      </c>
      <c r="P212" s="2" t="str">
        <f>IFERROR(__xludf.DUMMYFUNCTION("GOOGLETRANSLATE(F212,""en"",""ur"")"),"گھوڑوں کی دوڑ")</f>
        <v>گھوڑوں کی دوڑ</v>
      </c>
      <c r="Q212" s="2" t="s">
        <v>1113</v>
      </c>
      <c r="R212" s="2" t="str">
        <f>IFERROR(__xludf.DUMMYFUNCTION("GOOGLETRANSLATE(G212,""en"",""ur"")"),"ٹینٹ پیگنگ ایونٹ میں دو سوار مقابلہ کر رہے ہیں۔")</f>
        <v>ٹینٹ پیگنگ ایونٹ میں دو سوار مقابلہ کر رہے ہیں۔</v>
      </c>
      <c r="S212" s="6" t="s">
        <v>1117</v>
      </c>
    </row>
    <row r="213">
      <c r="A213" s="7">
        <v>212.0</v>
      </c>
      <c r="B213" s="6" t="s">
        <v>1007</v>
      </c>
      <c r="C213" s="6" t="s">
        <v>1008</v>
      </c>
      <c r="D213" s="6" t="s">
        <v>1118</v>
      </c>
      <c r="E213" s="6" t="s">
        <v>245</v>
      </c>
      <c r="F213" s="6" t="s">
        <v>243</v>
      </c>
      <c r="G213" s="6" t="s">
        <v>1118</v>
      </c>
      <c r="H213" s="6" t="s">
        <v>1117</v>
      </c>
      <c r="K213" s="2" t="str">
        <f>IFERROR(__xludf.DUMMYFUNCTION("GOOGLETRANSLATE(A213,""en"",""ur"")"),"212")</f>
        <v>212</v>
      </c>
      <c r="L213" s="2" t="str">
        <f>IFERROR(__xludf.DUMMYFUNCTION("GOOGLETRANSLATE(B213,""en"",""ur"")"),"سواروں کے لباس کے بارے میں ایک قابل ذکر تفصیل کیا ہے؟")</f>
        <v>سواروں کے لباس کے بارے میں ایک قابل ذکر تفصیل کیا ہے؟</v>
      </c>
      <c r="M213" s="2" t="str">
        <f>IFERROR(__xludf.DUMMYFUNCTION("GOOGLETRANSLATE(C213,""en"",""ur"")"),"انہوں نے فوجی وردی پہن رکھی ہے۔")</f>
        <v>انہوں نے فوجی وردی پہن رکھی ہے۔</v>
      </c>
      <c r="N213" s="2" t="str">
        <f>IFERROR(__xludf.DUMMYFUNCTION("GOOGLETRANSLATE(D213,""en"",""ur"")"),"وہ پگڑیوں کے ساتھ روایتی سفید لباس پہنے ہوئے ہیں۔")</f>
        <v>وہ پگڑیوں کے ساتھ روایتی سفید لباس پہنے ہوئے ہیں۔</v>
      </c>
      <c r="O213" s="2" t="str">
        <f>IFERROR(__xludf.DUMMYFUNCTION("GOOGLETRANSLATE(E213,""en"",""ur"")"),"وہ رسمی سوٹ پہنے ہوئے ہیں۔")</f>
        <v>وہ رسمی سوٹ پہنے ہوئے ہیں۔</v>
      </c>
      <c r="P213" s="2" t="str">
        <f>IFERROR(__xludf.DUMMYFUNCTION("GOOGLETRANSLATE(F213,""en"",""ur"")"),"وہ جدید کھیلوں کی وردی پہنے ہوئے ہیں۔")</f>
        <v>وہ جدید کھیلوں کی وردی پہنے ہوئے ہیں۔</v>
      </c>
      <c r="Q213" s="2" t="s">
        <v>1119</v>
      </c>
      <c r="R213" s="2" t="str">
        <f>IFERROR(__xludf.DUMMYFUNCTION("GOOGLETRANSLATE(G213,""en"",""ur"")"),"وہ پگڑیوں کے ساتھ روایتی سفید لباس پہنے ہوئے ہیں۔")</f>
        <v>وہ پگڑیوں کے ساتھ روایتی سفید لباس پہنے ہوئے ہیں۔</v>
      </c>
      <c r="S213" s="6" t="s">
        <v>1117</v>
      </c>
    </row>
    <row r="214">
      <c r="A214" s="7">
        <v>213.0</v>
      </c>
      <c r="B214" s="6" t="s">
        <v>1046</v>
      </c>
      <c r="C214" s="6" t="s">
        <v>970</v>
      </c>
      <c r="D214" s="6" t="s">
        <v>971</v>
      </c>
      <c r="E214" s="6" t="s">
        <v>972</v>
      </c>
      <c r="F214" s="6" t="s">
        <v>973</v>
      </c>
      <c r="G214" s="6" t="s">
        <v>972</v>
      </c>
      <c r="H214" s="6" t="s">
        <v>1117</v>
      </c>
      <c r="K214" s="2" t="str">
        <f>IFERROR(__xludf.DUMMYFUNCTION("GOOGLETRANSLATE(A214,""en"",""ur"")"),"213")</f>
        <v>213</v>
      </c>
      <c r="L214" s="2" t="str">
        <f>IFERROR(__xludf.DUMMYFUNCTION("GOOGLETRANSLATE(B214,""en"",""ur"")"),"سواروں نے جو لمبی لاٹھیاں پکڑی ہوئی ہیں ان کا ظاہری مقصد کیا ہے؟")</f>
        <v>سواروں نے جو لمبی لاٹھیاں پکڑی ہوئی ہیں ان کا ظاہری مقصد کیا ہے؟</v>
      </c>
      <c r="M214" s="2" t="str">
        <f>IFERROR(__xludf.DUMMYFUNCTION("GOOGLETRANSLATE(C214,""en"",""ur"")"),"گھوڑے کی رہنمائی کے لیے")</f>
        <v>گھوڑے کی رہنمائی کے لیے</v>
      </c>
      <c r="N214" s="2" t="str">
        <f>IFERROR(__xludf.DUMMYFUNCTION("GOOGLETRANSLATE(D214,""en"",""ur"")"),"توازن کے لیے زمین سے ٹکرانا")</f>
        <v>توازن کے لیے زمین سے ٹکرانا</v>
      </c>
      <c r="O214" s="2" t="str">
        <f>IFERROR(__xludf.DUMMYFUNCTION("GOOGLETRANSLATE(E214,""en"",""ur"")"),"زمین پر چھوٹے اہداف کو نشانہ بنانا")</f>
        <v>زمین پر چھوٹے اہداف کو نشانہ بنانا</v>
      </c>
      <c r="P214" s="2" t="str">
        <f>IFERROR(__xludf.DUMMYFUNCTION("GOOGLETRANSLATE(F214,""en"",""ur"")"),"بطور ہتھیار استعمال کرنا")</f>
        <v>بطور ہتھیار استعمال کرنا</v>
      </c>
      <c r="Q214" s="2" t="s">
        <v>974</v>
      </c>
      <c r="R214" s="2" t="str">
        <f>IFERROR(__xludf.DUMMYFUNCTION("GOOGLETRANSLATE(G214,""en"",""ur"")"),"زمین پر چھوٹے اہداف کو نشانہ بنانا")</f>
        <v>زمین پر چھوٹے اہداف کو نشانہ بنانا</v>
      </c>
      <c r="S214" s="6" t="s">
        <v>1117</v>
      </c>
    </row>
    <row r="215">
      <c r="A215" s="7">
        <v>214.0</v>
      </c>
      <c r="B215" s="6" t="s">
        <v>248</v>
      </c>
      <c r="C215" s="6" t="s">
        <v>429</v>
      </c>
      <c r="D215" s="6" t="s">
        <v>975</v>
      </c>
      <c r="E215" s="6" t="s">
        <v>976</v>
      </c>
      <c r="F215" s="6" t="s">
        <v>977</v>
      </c>
      <c r="G215" s="6" t="s">
        <v>975</v>
      </c>
      <c r="H215" s="6" t="s">
        <v>1117</v>
      </c>
      <c r="K215" s="2" t="str">
        <f>IFERROR(__xludf.DUMMYFUNCTION("GOOGLETRANSLATE(A215,""en"",""ur"")"),"214")</f>
        <v>214</v>
      </c>
      <c r="L215" s="2" t="str">
        <f>IFERROR(__xludf.DUMMYFUNCTION("GOOGLETRANSLATE(B215,""en"",""ur"")"),"سواروں کی ظاہری باڈی پوزیشن کیا ہے؟")</f>
        <v>سواروں کی ظاہری باڈی پوزیشن کیا ہے؟</v>
      </c>
      <c r="M215" s="2" t="str">
        <f>IFERROR(__xludf.DUMMYFUNCTION("GOOGLETRANSLATE(C215,""en"",""ur"")"),"سیدھا کھڑا ہونا")</f>
        <v>سیدھا کھڑا ہونا</v>
      </c>
      <c r="N215" s="2" t="str">
        <f>IFERROR(__xludf.DUMMYFUNCTION("GOOGLETRANSLATE(D215,""en"",""ur"")"),"نیچے اور طرف جھکنا")</f>
        <v>نیچے اور طرف جھکنا</v>
      </c>
      <c r="O215" s="2" t="str">
        <f>IFERROR(__xludf.DUMMYFUNCTION("GOOGLETRANSLATE(E215,""en"",""ur"")"),"گھوڑے کی پیٹھ پر لیٹنا")</f>
        <v>گھوڑے کی پیٹھ پر لیٹنا</v>
      </c>
      <c r="P215" s="2" t="str">
        <f>IFERROR(__xludf.DUMMYFUNCTION("GOOGLETRANSLATE(F215,""en"",""ur"")"),"آرام سے بیٹھ گیا۔")</f>
        <v>آرام سے بیٹھ گیا۔</v>
      </c>
      <c r="Q215" s="2" t="s">
        <v>978</v>
      </c>
      <c r="R215" s="2" t="str">
        <f>IFERROR(__xludf.DUMMYFUNCTION("GOOGLETRANSLATE(G215,""en"",""ur"")"),"نیچے اور طرف جھکنا")</f>
        <v>نیچے اور طرف جھکنا</v>
      </c>
      <c r="S215" s="6" t="s">
        <v>1117</v>
      </c>
    </row>
    <row r="216">
      <c r="A216" s="7">
        <v>215.0</v>
      </c>
      <c r="B216" s="6" t="s">
        <v>1047</v>
      </c>
      <c r="C216" s="6" t="s">
        <v>980</v>
      </c>
      <c r="D216" s="6" t="s">
        <v>981</v>
      </c>
      <c r="E216" s="6" t="s">
        <v>982</v>
      </c>
      <c r="F216" s="6" t="s">
        <v>983</v>
      </c>
      <c r="G216" s="6" t="s">
        <v>981</v>
      </c>
      <c r="H216" s="6" t="s">
        <v>1117</v>
      </c>
      <c r="K216" s="2" t="str">
        <f>IFERROR(__xludf.DUMMYFUNCTION("GOOGLETRANSLATE(A216,""en"",""ur"")"),"215")</f>
        <v>215</v>
      </c>
      <c r="L216" s="2" t="str">
        <f>IFERROR(__xludf.DUMMYFUNCTION("GOOGLETRANSLATE(B216,""en"",""ur"")"),"گھوڑوں کے پیچھے زمین کی ظاہری حالت کیا ہے؟")</f>
        <v>گھوڑوں کے پیچھے زمین کی ظاہری حالت کیا ہے؟</v>
      </c>
      <c r="M216" s="2" t="str">
        <f>IFERROR(__xludf.DUMMYFUNCTION("GOOGLETRANSLATE(C216,""en"",""ur"")"),"بالکل ہموار")</f>
        <v>بالکل ہموار</v>
      </c>
      <c r="N216" s="2" t="str">
        <f>IFERROR(__xludf.DUMMYFUNCTION("GOOGLETRANSLATE(D216,""en"",""ur"")"),"تازہ گھاس میں ڈھکا ہوا ہے۔")</f>
        <v>تازہ گھاس میں ڈھکا ہوا ہے۔</v>
      </c>
      <c r="O216" s="2" t="str">
        <f>IFERROR(__xludf.DUMMYFUNCTION("GOOGLETRANSLATE(E216,""en"",""ur"")"),"غبار کے بادل میں اُٹھ گیا۔")</f>
        <v>غبار کے بادل میں اُٹھ گیا۔</v>
      </c>
      <c r="P216" s="2" t="str">
        <f>IFERROR(__xludf.DUMMYFUNCTION("GOOGLETRANSLATE(F216,""en"",""ur"")"),"پانی سے بھرا ہوا ۔")</f>
        <v>پانی سے بھرا ہوا ۔</v>
      </c>
      <c r="Q216" s="2" t="s">
        <v>984</v>
      </c>
      <c r="R216" s="2" t="str">
        <f>IFERROR(__xludf.DUMMYFUNCTION("GOOGLETRANSLATE(G216,""en"",""ur"")"),"تازہ گھاس میں ڈھکا ہوا ہے۔")</f>
        <v>تازہ گھاس میں ڈھکا ہوا ہے۔</v>
      </c>
      <c r="S216" s="6" t="s">
        <v>1117</v>
      </c>
    </row>
    <row r="217">
      <c r="A217" s="7">
        <v>216.0</v>
      </c>
      <c r="B217" s="6" t="s">
        <v>1048</v>
      </c>
      <c r="C217" s="6" t="s">
        <v>986</v>
      </c>
      <c r="D217" s="6" t="s">
        <v>987</v>
      </c>
      <c r="E217" s="6" t="s">
        <v>988</v>
      </c>
      <c r="F217" s="6" t="s">
        <v>989</v>
      </c>
      <c r="G217" s="6" t="s">
        <v>987</v>
      </c>
      <c r="H217" s="6" t="s">
        <v>1117</v>
      </c>
      <c r="K217" s="2" t="str">
        <f>IFERROR(__xludf.DUMMYFUNCTION("GOOGLETRANSLATE(A217,""en"",""ur"")"),"216")</f>
        <v>216</v>
      </c>
      <c r="L217" s="2" t="str">
        <f>IFERROR(__xludf.DUMMYFUNCTION("GOOGLETRANSLATE(B217,""en"",""ur"")"),"گھوڑوں کے ٹیک کی سب سے نمایاں خصوصیت کیا ہے؟")</f>
        <v>گھوڑوں کے ٹیک کی سب سے نمایاں خصوصیت کیا ہے؟</v>
      </c>
      <c r="M217" s="2" t="str">
        <f>IFERROR(__xludf.DUMMYFUNCTION("GOOGLETRANSLATE(C217,""en"",""ur"")"),"یہ ایک سادہ سی کاٹھی ہے۔")</f>
        <v>یہ ایک سادہ سی کاٹھی ہے۔</v>
      </c>
      <c r="N217" s="2" t="str">
        <f>IFERROR(__xludf.DUMMYFUNCTION("GOOGLETRANSLATE(D217,""en"",""ur"")"),"یہ نیلے رنگ کے زیورات کے ساتھ ایک انتہائی آرائشی کاٹھی ہے۔")</f>
        <v>یہ نیلے رنگ کے زیورات کے ساتھ ایک انتہائی آرائشی کاٹھی ہے۔</v>
      </c>
      <c r="O217" s="2" t="str">
        <f>IFERROR(__xludf.DUMMYFUNCTION("GOOGLETRANSLATE(E217,""en"",""ur"")"),"یہ ایک ننگا پیڈ ہے۔")</f>
        <v>یہ ایک ننگا پیڈ ہے۔</v>
      </c>
      <c r="P217" s="2" t="str">
        <f>IFERROR(__xludf.DUMMYFUNCTION("GOOGLETRANSLATE(F217,""en"",""ur"")"),"یہ ایک ریسنگ سیڈل ہے۔")</f>
        <v>یہ ایک ریسنگ سیڈل ہے۔</v>
      </c>
      <c r="Q217" s="2" t="s">
        <v>990</v>
      </c>
      <c r="R217" s="2" t="str">
        <f>IFERROR(__xludf.DUMMYFUNCTION("GOOGLETRANSLATE(G217,""en"",""ur"")"),"یہ نیلے رنگ کے زیورات کے ساتھ ایک انتہائی آرائشی کاٹھی ہے۔")</f>
        <v>یہ نیلے رنگ کے زیورات کے ساتھ ایک انتہائی آرائشی کاٹھی ہے۔</v>
      </c>
      <c r="S217" s="6" t="s">
        <v>1117</v>
      </c>
    </row>
    <row r="218">
      <c r="A218" s="7">
        <v>217.0</v>
      </c>
      <c r="B218" s="6" t="s">
        <v>991</v>
      </c>
      <c r="C218" s="6" t="s">
        <v>992</v>
      </c>
      <c r="D218" s="6" t="s">
        <v>646</v>
      </c>
      <c r="E218" s="6" t="s">
        <v>993</v>
      </c>
      <c r="F218" s="6" t="s">
        <v>425</v>
      </c>
      <c r="G218" s="6" t="s">
        <v>425</v>
      </c>
      <c r="H218" s="6" t="s">
        <v>1117</v>
      </c>
      <c r="K218" s="2" t="str">
        <f>IFERROR(__xludf.DUMMYFUNCTION("GOOGLETRANSLATE(A218,""en"",""ur"")"),"217")</f>
        <v>217</v>
      </c>
      <c r="L218" s="2" t="str">
        <f>IFERROR(__xludf.DUMMYFUNCTION("GOOGLETRANSLATE(B218,""en"",""ur"")"),"واقعہ کی ظاہری ترتیب کیا ہے؟")</f>
        <v>واقعہ کی ظاہری ترتیب کیا ہے؟</v>
      </c>
      <c r="M218" s="2" t="str">
        <f>IFERROR(__xludf.DUMMYFUNCTION("GOOGLETRANSLATE(C218,""en"",""ur"")"),"ایک اندرونی میدان")</f>
        <v>ایک اندرونی میدان</v>
      </c>
      <c r="N218" s="2" t="str">
        <f>IFERROR(__xludf.DUMMYFUNCTION("GOOGLETRANSLATE(D218,""en"",""ur"")"),"شہر کی ایک گلی")</f>
        <v>شہر کی ایک گلی</v>
      </c>
      <c r="O218" s="2" t="str">
        <f>IFERROR(__xludf.DUMMYFUNCTION("GOOGLETRANSLATE(E218,""en"",""ur"")"),"ایک بیرونی گندگی کا ٹریک")</f>
        <v>ایک بیرونی گندگی کا ٹریک</v>
      </c>
      <c r="P218" s="2" t="str">
        <f>IFERROR(__xludf.DUMMYFUNCTION("GOOGLETRANSLATE(F218,""en"",""ur"")"),"گھاس کا میدان")</f>
        <v>گھاس کا میدان</v>
      </c>
      <c r="Q218" s="2" t="s">
        <v>994</v>
      </c>
      <c r="R218" s="2" t="str">
        <f>IFERROR(__xludf.DUMMYFUNCTION("GOOGLETRANSLATE(G218,""en"",""ur"")"),"گھاس کا میدان")</f>
        <v>گھاس کا میدان</v>
      </c>
      <c r="S218" s="6" t="s">
        <v>1117</v>
      </c>
    </row>
    <row r="219">
      <c r="A219" s="7">
        <v>218.0</v>
      </c>
      <c r="B219" s="6" t="s">
        <v>1036</v>
      </c>
      <c r="C219" s="6" t="s">
        <v>95</v>
      </c>
      <c r="D219" s="6" t="s">
        <v>96</v>
      </c>
      <c r="E219" s="6" t="s">
        <v>1015</v>
      </c>
      <c r="F219" s="6" t="s">
        <v>258</v>
      </c>
      <c r="G219" s="6" t="s">
        <v>1015</v>
      </c>
      <c r="H219" s="6" t="s">
        <v>1117</v>
      </c>
      <c r="K219" s="2" t="str">
        <f>IFERROR(__xludf.DUMMYFUNCTION("GOOGLETRANSLATE(A219,""en"",""ur"")"),"218")</f>
        <v>218</v>
      </c>
      <c r="L219" s="2" t="str">
        <f>IFERROR(__xludf.DUMMYFUNCTION("GOOGLETRANSLATE(B219,""en"",""ur"")"),"کھیل کا نام کیا ہے؟")</f>
        <v>کھیل کا نام کیا ہے؟</v>
      </c>
      <c r="M219" s="2" t="str">
        <f>IFERROR(__xludf.DUMMYFUNCTION("GOOGLETRANSLATE(C219,""en"",""ur"")"),"پولو")</f>
        <v>پولو</v>
      </c>
      <c r="N219" s="2" t="str">
        <f>IFERROR(__xludf.DUMMYFUNCTION("GOOGLETRANSLATE(D219,""en"",""ur"")"),"گھوڑوں کی دوڑ")</f>
        <v>گھوڑوں کی دوڑ</v>
      </c>
      <c r="O219" s="2" t="str">
        <f>IFERROR(__xludf.DUMMYFUNCTION("GOOGLETRANSLATE(E219,""en"",""ur"")"),"ٹینٹ پیگنگ")</f>
        <v>ٹینٹ پیگنگ</v>
      </c>
      <c r="P219" s="2" t="str">
        <f>IFERROR(__xludf.DUMMYFUNCTION("GOOGLETRANSLATE(F219,""en"",""ur"")"),"گھڑ سواری کے کھیل")</f>
        <v>گھڑ سواری کے کھیل</v>
      </c>
      <c r="Q219" s="2" t="s">
        <v>1016</v>
      </c>
      <c r="R219" s="2" t="str">
        <f>IFERROR(__xludf.DUMMYFUNCTION("GOOGLETRANSLATE(G219,""en"",""ur"")"),"ٹینٹ پیگنگ")</f>
        <v>ٹینٹ پیگنگ</v>
      </c>
      <c r="S219" s="6" t="s">
        <v>1117</v>
      </c>
    </row>
    <row r="220">
      <c r="A220" s="7">
        <v>219.0</v>
      </c>
      <c r="B220" s="6" t="s">
        <v>254</v>
      </c>
      <c r="C220" s="6" t="s">
        <v>47</v>
      </c>
      <c r="D220" s="6" t="s">
        <v>48</v>
      </c>
      <c r="E220" s="6" t="s">
        <v>49</v>
      </c>
      <c r="F220" s="6" t="s">
        <v>50</v>
      </c>
      <c r="G220" s="6" t="s">
        <v>49</v>
      </c>
      <c r="H220" s="6" t="s">
        <v>1117</v>
      </c>
      <c r="K220" s="2" t="str">
        <f>IFERROR(__xludf.DUMMYFUNCTION("GOOGLETRANSLATE(A220,""en"",""ur"")"),"219")</f>
        <v>219</v>
      </c>
      <c r="L220" s="2" t="str">
        <f>IFERROR(__xludf.DUMMYFUNCTION("GOOGLETRANSLATE(B220,""en"",""ur"")"),"سواروں کے چہروں سے ظاہری جذبات کیا ہیں؟")</f>
        <v>سواروں کے چہروں سے ظاہری جذبات کیا ہیں؟</v>
      </c>
      <c r="M220" s="2" t="str">
        <f>IFERROR(__xludf.DUMMYFUNCTION("GOOGLETRANSLATE(C220,""en"",""ur"")"),"پرسکون اور پر سکون")</f>
        <v>پرسکون اور پر سکون</v>
      </c>
      <c r="N220" s="2" t="str">
        <f>IFERROR(__xludf.DUMMYFUNCTION("GOOGLETRANSLATE(D220,""en"",""ur"")"),"خوف زدہ اور بے چین")</f>
        <v>خوف زدہ اور بے چین</v>
      </c>
      <c r="O220" s="2" t="str">
        <f>IFERROR(__xludf.DUMMYFUNCTION("GOOGLETRANSLATE(E220,""en"",""ur"")"),"کشیدہ اور شدید")</f>
        <v>کشیدہ اور شدید</v>
      </c>
      <c r="P220" s="2" t="str">
        <f>IFERROR(__xludf.DUMMYFUNCTION("GOOGLETRANSLATE(F220,""en"",""ur"")"),"خوش اور مسکراتے ہوئے۔")</f>
        <v>خوش اور مسکراتے ہوئے۔</v>
      </c>
      <c r="Q220" s="2" t="s">
        <v>51</v>
      </c>
      <c r="R220" s="2" t="str">
        <f>IFERROR(__xludf.DUMMYFUNCTION("GOOGLETRANSLATE(G220,""en"",""ur"")"),"کشیدہ اور شدید")</f>
        <v>کشیدہ اور شدید</v>
      </c>
      <c r="S220" s="6" t="s">
        <v>1117</v>
      </c>
    </row>
    <row r="221">
      <c r="A221" s="7">
        <v>220.0</v>
      </c>
      <c r="B221" s="6" t="s">
        <v>260</v>
      </c>
      <c r="C221" s="6" t="s">
        <v>261</v>
      </c>
      <c r="D221" s="6" t="s">
        <v>262</v>
      </c>
      <c r="E221" s="6" t="s">
        <v>263</v>
      </c>
      <c r="F221" s="6" t="s">
        <v>1001</v>
      </c>
      <c r="G221" s="6" t="s">
        <v>1001</v>
      </c>
      <c r="H221" s="6" t="s">
        <v>1117</v>
      </c>
      <c r="K221" s="2" t="str">
        <f>IFERROR(__xludf.DUMMYFUNCTION("GOOGLETRANSLATE(A221,""en"",""ur"")"),"220")</f>
        <v>220</v>
      </c>
      <c r="L221" s="2" t="str">
        <f>IFERROR(__xludf.DUMMYFUNCTION("GOOGLETRANSLATE(B221,""en"",""ur"")"),"تصویر میں ایکشن ایک ایسا انداز تجویز کرتا ہے جو اس بات پر زور دیتا ہے...")</f>
        <v>تصویر میں ایکشن ایک ایسا انداز تجویز کرتا ہے جو اس بات پر زور دیتا ہے...</v>
      </c>
      <c r="M221" s="2" t="str">
        <f>IFERROR(__xludf.DUMMYFUNCTION("GOOGLETRANSLATE(C221,""en"",""ur"")"),"روانی اور قلابازیاں")</f>
        <v>روانی اور قلابازیاں</v>
      </c>
      <c r="N221" s="2" t="str">
        <f>IFERROR(__xludf.DUMMYFUNCTION("GOOGLETRANSLATE(D221,""en"",""ur"")"),"زمینی لڑائی اور گرفت")</f>
        <v>زمینی لڑائی اور گرفت</v>
      </c>
      <c r="O221" s="2" t="str">
        <f>IFERROR(__xludf.DUMMYFUNCTION("GOOGLETRANSLATE(E221,""en"",""ur"")"),"وحشیانہ قوت اور گھڑ سواری۔")</f>
        <v>وحشیانہ قوت اور گھڑ سواری۔</v>
      </c>
      <c r="P221" s="2" t="str">
        <f>IFERROR(__xludf.DUMMYFUNCTION("GOOGLETRANSLATE(F221,""en"",""ur"")"),"رفتار، درستگی اور چستی")</f>
        <v>رفتار، درستگی اور چستی</v>
      </c>
      <c r="Q221" s="2" t="s">
        <v>1002</v>
      </c>
      <c r="R221" s="2" t="str">
        <f>IFERROR(__xludf.DUMMYFUNCTION("GOOGLETRANSLATE(G221,""en"",""ur"")"),"رفتار، درستگی اور چستی")</f>
        <v>رفتار، درستگی اور چستی</v>
      </c>
      <c r="S221" s="6" t="s">
        <v>1117</v>
      </c>
    </row>
    <row r="222">
      <c r="A222" s="7">
        <v>221.0</v>
      </c>
      <c r="B222" s="6" t="s">
        <v>1120</v>
      </c>
      <c r="C222" s="6" t="s">
        <v>958</v>
      </c>
      <c r="D222" s="6" t="s">
        <v>1121</v>
      </c>
      <c r="E222" s="6" t="s">
        <v>960</v>
      </c>
      <c r="F222" s="6" t="s">
        <v>961</v>
      </c>
      <c r="G222" s="6" t="s">
        <v>1121</v>
      </c>
      <c r="H222" s="6" t="s">
        <v>1122</v>
      </c>
      <c r="K222" s="2" t="str">
        <f>IFERROR(__xludf.DUMMYFUNCTION("GOOGLETRANSLATE(A222,""en"",""ur"")"),"221")</f>
        <v>221</v>
      </c>
      <c r="L222" s="2" t="str">
        <f>IFERROR(__xludf.DUMMYFUNCTION("GOOGLETRANSLATE(B222,""en"",""ur"")"),"tent_pegging_67 میں دکھائی جانے والی اہم کارروائی کیا ہے؟")</f>
        <v>tent_pegging_67 میں دکھائی جانے والی اہم کارروائی کیا ہے؟</v>
      </c>
      <c r="M222" s="2" t="str">
        <f>IFERROR(__xludf.DUMMYFUNCTION("GOOGLETRANSLATE(C222,""en"",""ur"")"),"گھوڑے کی پیٹھ پر کرتب دکھاتے ہوئے سوار")</f>
        <v>گھوڑے کی پیٹھ پر کرتب دکھاتے ہوئے سوار</v>
      </c>
      <c r="N222" s="2" t="str">
        <f>IFERROR(__xludf.DUMMYFUNCTION("GOOGLETRANSLATE(D222,""en"",""ur"")"),"رات کو ٹینٹ پیگنگ ایونٹ میں مقابلہ کرنے والا سوار")</f>
        <v>رات کو ٹینٹ پیگنگ ایونٹ میں مقابلہ کرنے والا سوار</v>
      </c>
      <c r="O222" s="2" t="str">
        <f>IFERROR(__xludf.DUMMYFUNCTION("GOOGLETRANSLATE(E222,""en"",""ur"")"),"گھوڑوں کی دوڑ میں سوار")</f>
        <v>گھوڑوں کی دوڑ میں سوار</v>
      </c>
      <c r="P222" s="2" t="str">
        <f>IFERROR(__xludf.DUMMYFUNCTION("GOOGLETRANSLATE(F222,""en"",""ur"")"),"ایک سوار پریڈ کی قیادت کر رہا ہے۔")</f>
        <v>ایک سوار پریڈ کی قیادت کر رہا ہے۔</v>
      </c>
      <c r="Q222" s="2" t="s">
        <v>1123</v>
      </c>
      <c r="R222" s="2" t="str">
        <f>IFERROR(__xludf.DUMMYFUNCTION("GOOGLETRANSLATE(G222,""en"",""ur"")"),"رات کو ٹینٹ پیگنگ ایونٹ میں مقابلہ کرنے والا سوار")</f>
        <v>رات کو ٹینٹ پیگنگ ایونٹ میں مقابلہ کرنے والا سوار</v>
      </c>
      <c r="S222" s="6" t="s">
        <v>1122</v>
      </c>
    </row>
    <row r="223">
      <c r="A223" s="7">
        <v>222.0</v>
      </c>
      <c r="B223" s="6" t="s">
        <v>963</v>
      </c>
      <c r="C223" s="6" t="s">
        <v>964</v>
      </c>
      <c r="D223" s="6" t="s">
        <v>1124</v>
      </c>
      <c r="E223" s="6" t="s">
        <v>966</v>
      </c>
      <c r="F223" s="6" t="s">
        <v>1044</v>
      </c>
      <c r="G223" s="6" t="s">
        <v>1124</v>
      </c>
      <c r="H223" s="6" t="s">
        <v>1122</v>
      </c>
      <c r="K223" s="2" t="str">
        <f>IFERROR(__xludf.DUMMYFUNCTION("GOOGLETRANSLATE(A223,""en"",""ur"")"),"222")</f>
        <v>222</v>
      </c>
      <c r="L223" s="2" t="str">
        <f>IFERROR(__xludf.DUMMYFUNCTION("GOOGLETRANSLATE(B223,""en"",""ur"")"),"سوار کے لباس کے بارے میں ایک قابل ذکر تفصیل کیا ہے؟")</f>
        <v>سوار کے لباس کے بارے میں ایک قابل ذکر تفصیل کیا ہے؟</v>
      </c>
      <c r="M223" s="2" t="str">
        <f>IFERROR(__xludf.DUMMYFUNCTION("GOOGLETRANSLATE(C223,""en"",""ur"")"),"ایک رسمی سوٹ اور ٹائی")</f>
        <v>ایک رسمی سوٹ اور ٹائی</v>
      </c>
      <c r="N223" s="2" t="str">
        <f>IFERROR(__xludf.DUMMYFUNCTION("GOOGLETRANSLATE(D223,""en"",""ur"")"),"سرخ لباس کے ساتھ سفید روایتی لباس")</f>
        <v>سرخ لباس کے ساتھ سفید روایتی لباس</v>
      </c>
      <c r="O223" s="2" t="str">
        <f>IFERROR(__xludf.DUMMYFUNCTION("GOOGLETRANSLATE(E223,""en"",""ur"")"),"فوجی وردی")</f>
        <v>فوجی وردی</v>
      </c>
      <c r="P223" s="2" t="str">
        <f>IFERROR(__xludf.DUMMYFUNCTION("GOOGLETRANSLATE(F223,""en"",""ur"")"),"ہیلمٹ کے ساتھ جدید کھیلوں کی وردی")</f>
        <v>ہیلمٹ کے ساتھ جدید کھیلوں کی وردی</v>
      </c>
      <c r="Q223" s="2" t="s">
        <v>1125</v>
      </c>
      <c r="R223" s="2" t="str">
        <f>IFERROR(__xludf.DUMMYFUNCTION("GOOGLETRANSLATE(G223,""en"",""ur"")"),"سرخ لباس کے ساتھ سفید روایتی لباس")</f>
        <v>سرخ لباس کے ساتھ سفید روایتی لباس</v>
      </c>
      <c r="S223" s="6" t="s">
        <v>1122</v>
      </c>
    </row>
    <row r="224">
      <c r="A224" s="7">
        <v>223.0</v>
      </c>
      <c r="B224" s="6" t="s">
        <v>969</v>
      </c>
      <c r="C224" s="6" t="s">
        <v>970</v>
      </c>
      <c r="D224" s="6" t="s">
        <v>971</v>
      </c>
      <c r="E224" s="6" t="s">
        <v>972</v>
      </c>
      <c r="F224" s="6" t="s">
        <v>973</v>
      </c>
      <c r="G224" s="6" t="s">
        <v>972</v>
      </c>
      <c r="H224" s="6" t="s">
        <v>1122</v>
      </c>
      <c r="K224" s="2" t="str">
        <f>IFERROR(__xludf.DUMMYFUNCTION("GOOGLETRANSLATE(A224,""en"",""ur"")"),"223")</f>
        <v>223</v>
      </c>
      <c r="L224" s="2" t="str">
        <f>IFERROR(__xludf.DUMMYFUNCTION("GOOGLETRANSLATE(B224,""en"",""ur"")"),"سوار نے جو لمبی چھڑی پکڑی ہوئی ہے اس کا ظاہری مقصد کیا ہے؟")</f>
        <v>سوار نے جو لمبی چھڑی پکڑی ہوئی ہے اس کا ظاہری مقصد کیا ہے؟</v>
      </c>
      <c r="M224" s="2" t="str">
        <f>IFERROR(__xludf.DUMMYFUNCTION("GOOGLETRANSLATE(C224,""en"",""ur"")"),"گھوڑے کی رہنمائی کے لیے")</f>
        <v>گھوڑے کی رہنمائی کے لیے</v>
      </c>
      <c r="N224" s="2" t="str">
        <f>IFERROR(__xludf.DUMMYFUNCTION("GOOGLETRANSLATE(D224,""en"",""ur"")"),"توازن کے لیے زمین سے ٹکرانا")</f>
        <v>توازن کے لیے زمین سے ٹکرانا</v>
      </c>
      <c r="O224" s="2" t="str">
        <f>IFERROR(__xludf.DUMMYFUNCTION("GOOGLETRANSLATE(E224,""en"",""ur"")"),"زمین پر چھوٹے اہداف کو نشانہ بنانا")</f>
        <v>زمین پر چھوٹے اہداف کو نشانہ بنانا</v>
      </c>
      <c r="P224" s="2" t="str">
        <f>IFERROR(__xludf.DUMMYFUNCTION("GOOGLETRANSLATE(F224,""en"",""ur"")"),"بطور ہتھیار استعمال کرنا")</f>
        <v>بطور ہتھیار استعمال کرنا</v>
      </c>
      <c r="Q224" s="2" t="s">
        <v>974</v>
      </c>
      <c r="R224" s="2" t="str">
        <f>IFERROR(__xludf.DUMMYFUNCTION("GOOGLETRANSLATE(G224,""en"",""ur"")"),"زمین پر چھوٹے اہداف کو نشانہ بنانا")</f>
        <v>زمین پر چھوٹے اہداف کو نشانہ بنانا</v>
      </c>
      <c r="S224" s="6" t="s">
        <v>1122</v>
      </c>
    </row>
    <row r="225">
      <c r="A225" s="7">
        <v>224.0</v>
      </c>
      <c r="B225" s="6" t="s">
        <v>310</v>
      </c>
      <c r="C225" s="6" t="s">
        <v>429</v>
      </c>
      <c r="D225" s="6" t="s">
        <v>975</v>
      </c>
      <c r="E225" s="6" t="s">
        <v>976</v>
      </c>
      <c r="F225" s="6" t="s">
        <v>977</v>
      </c>
      <c r="G225" s="6" t="s">
        <v>975</v>
      </c>
      <c r="H225" s="6" t="s">
        <v>1122</v>
      </c>
      <c r="K225" s="2" t="str">
        <f>IFERROR(__xludf.DUMMYFUNCTION("GOOGLETRANSLATE(A225,""en"",""ur"")"),"224")</f>
        <v>224</v>
      </c>
      <c r="L225" s="2" t="str">
        <f>IFERROR(__xludf.DUMMYFUNCTION("GOOGLETRANSLATE(B225,""en"",""ur"")"),"سوار کی ظاہری باڈی پوزیشن کیا ہے؟")</f>
        <v>سوار کی ظاہری باڈی پوزیشن کیا ہے؟</v>
      </c>
      <c r="M225" s="2" t="str">
        <f>IFERROR(__xludf.DUMMYFUNCTION("GOOGLETRANSLATE(C225,""en"",""ur"")"),"سیدھا کھڑا ہونا")</f>
        <v>سیدھا کھڑا ہونا</v>
      </c>
      <c r="N225" s="2" t="str">
        <f>IFERROR(__xludf.DUMMYFUNCTION("GOOGLETRANSLATE(D225,""en"",""ur"")"),"نیچے اور طرف جھکنا")</f>
        <v>نیچے اور طرف جھکنا</v>
      </c>
      <c r="O225" s="2" t="str">
        <f>IFERROR(__xludf.DUMMYFUNCTION("GOOGLETRANSLATE(E225,""en"",""ur"")"),"گھوڑے کی پیٹھ پر لیٹنا")</f>
        <v>گھوڑے کی پیٹھ پر لیٹنا</v>
      </c>
      <c r="P225" s="2" t="str">
        <f>IFERROR(__xludf.DUMMYFUNCTION("GOOGLETRANSLATE(F225,""en"",""ur"")"),"آرام سے بیٹھ گیا۔")</f>
        <v>آرام سے بیٹھ گیا۔</v>
      </c>
      <c r="Q225" s="2" t="s">
        <v>978</v>
      </c>
      <c r="R225" s="2" t="str">
        <f>IFERROR(__xludf.DUMMYFUNCTION("GOOGLETRANSLATE(G225,""en"",""ur"")"),"نیچے اور طرف جھکنا")</f>
        <v>نیچے اور طرف جھکنا</v>
      </c>
      <c r="S225" s="6" t="s">
        <v>1122</v>
      </c>
    </row>
    <row r="226">
      <c r="A226" s="7">
        <v>225.0</v>
      </c>
      <c r="B226" s="6" t="s">
        <v>979</v>
      </c>
      <c r="C226" s="6" t="s">
        <v>980</v>
      </c>
      <c r="D226" s="6" t="s">
        <v>981</v>
      </c>
      <c r="E226" s="6" t="s">
        <v>982</v>
      </c>
      <c r="F226" s="6" t="s">
        <v>983</v>
      </c>
      <c r="G226" s="6" t="s">
        <v>982</v>
      </c>
      <c r="H226" s="6" t="s">
        <v>1122</v>
      </c>
      <c r="K226" s="2" t="str">
        <f>IFERROR(__xludf.DUMMYFUNCTION("GOOGLETRANSLATE(A226,""en"",""ur"")"),"225")</f>
        <v>225</v>
      </c>
      <c r="L226" s="2" t="str">
        <f>IFERROR(__xludf.DUMMYFUNCTION("GOOGLETRANSLATE(B226,""en"",""ur"")"),"گھوڑے کے پیچھے زمین کی ظاہری حالت کیا ہے؟")</f>
        <v>گھوڑے کے پیچھے زمین کی ظاہری حالت کیا ہے؟</v>
      </c>
      <c r="M226" s="2" t="str">
        <f>IFERROR(__xludf.DUMMYFUNCTION("GOOGLETRANSLATE(C226,""en"",""ur"")"),"بالکل ہموار")</f>
        <v>بالکل ہموار</v>
      </c>
      <c r="N226" s="2" t="str">
        <f>IFERROR(__xludf.DUMMYFUNCTION("GOOGLETRANSLATE(D226,""en"",""ur"")"),"تازہ گھاس میں ڈھکا ہوا ہے۔")</f>
        <v>تازہ گھاس میں ڈھکا ہوا ہے۔</v>
      </c>
      <c r="O226" s="2" t="str">
        <f>IFERROR(__xludf.DUMMYFUNCTION("GOOGLETRANSLATE(E226,""en"",""ur"")"),"غبار کے بادل میں اُٹھ گیا۔")</f>
        <v>غبار کے بادل میں اُٹھ گیا۔</v>
      </c>
      <c r="P226" s="2" t="str">
        <f>IFERROR(__xludf.DUMMYFUNCTION("GOOGLETRANSLATE(F226,""en"",""ur"")"),"پانی سے بھرا ہوا ۔")</f>
        <v>پانی سے بھرا ہوا ۔</v>
      </c>
      <c r="Q226" s="2" t="s">
        <v>984</v>
      </c>
      <c r="R226" s="2" t="str">
        <f>IFERROR(__xludf.DUMMYFUNCTION("GOOGLETRANSLATE(G226,""en"",""ur"")"),"غبار کے بادل میں اُٹھ گیا۔")</f>
        <v>غبار کے بادل میں اُٹھ گیا۔</v>
      </c>
      <c r="S226" s="6" t="s">
        <v>1122</v>
      </c>
    </row>
    <row r="227">
      <c r="A227" s="7">
        <v>226.0</v>
      </c>
      <c r="B227" s="6" t="s">
        <v>985</v>
      </c>
      <c r="C227" s="6" t="s">
        <v>986</v>
      </c>
      <c r="D227" s="6" t="s">
        <v>987</v>
      </c>
      <c r="E227" s="6" t="s">
        <v>988</v>
      </c>
      <c r="F227" s="6" t="s">
        <v>989</v>
      </c>
      <c r="G227" s="6" t="s">
        <v>987</v>
      </c>
      <c r="H227" s="6" t="s">
        <v>1122</v>
      </c>
      <c r="K227" s="2" t="str">
        <f>IFERROR(__xludf.DUMMYFUNCTION("GOOGLETRANSLATE(A227,""en"",""ur"")"),"226")</f>
        <v>226</v>
      </c>
      <c r="L227" s="2" t="str">
        <f>IFERROR(__xludf.DUMMYFUNCTION("GOOGLETRANSLATE(B227,""en"",""ur"")"),"گھوڑے کے ٹیک کی سب سے نمایاں خصوصیت کیا ہے؟")</f>
        <v>گھوڑے کے ٹیک کی سب سے نمایاں خصوصیت کیا ہے؟</v>
      </c>
      <c r="M227" s="2" t="str">
        <f>IFERROR(__xludf.DUMMYFUNCTION("GOOGLETRANSLATE(C227,""en"",""ur"")"),"یہ ایک سادہ سی کاٹھی ہے۔")</f>
        <v>یہ ایک سادہ سی کاٹھی ہے۔</v>
      </c>
      <c r="N227" s="2" t="str">
        <f>IFERROR(__xludf.DUMMYFUNCTION("GOOGLETRANSLATE(D227,""en"",""ur"")"),"یہ نیلے رنگ کے زیورات کے ساتھ ایک انتہائی آرائشی کاٹھی ہے۔")</f>
        <v>یہ نیلے رنگ کے زیورات کے ساتھ ایک انتہائی آرائشی کاٹھی ہے۔</v>
      </c>
      <c r="O227" s="2" t="str">
        <f>IFERROR(__xludf.DUMMYFUNCTION("GOOGLETRANSLATE(E227,""en"",""ur"")"),"یہ ایک ننگا پیڈ ہے۔")</f>
        <v>یہ ایک ننگا پیڈ ہے۔</v>
      </c>
      <c r="P227" s="2" t="str">
        <f>IFERROR(__xludf.DUMMYFUNCTION("GOOGLETRANSLATE(F227,""en"",""ur"")"),"یہ ایک ریسنگ سیڈل ہے۔")</f>
        <v>یہ ایک ریسنگ سیڈل ہے۔</v>
      </c>
      <c r="Q227" s="2" t="s">
        <v>990</v>
      </c>
      <c r="R227" s="2" t="str">
        <f>IFERROR(__xludf.DUMMYFUNCTION("GOOGLETRANSLATE(G227,""en"",""ur"")"),"یہ نیلے رنگ کے زیورات کے ساتھ ایک انتہائی آرائشی کاٹھی ہے۔")</f>
        <v>یہ نیلے رنگ کے زیورات کے ساتھ ایک انتہائی آرائشی کاٹھی ہے۔</v>
      </c>
      <c r="S227" s="6" t="s">
        <v>1122</v>
      </c>
    </row>
    <row r="228">
      <c r="A228" s="7">
        <v>227.0</v>
      </c>
      <c r="B228" s="6" t="s">
        <v>991</v>
      </c>
      <c r="C228" s="6" t="s">
        <v>992</v>
      </c>
      <c r="D228" s="6" t="s">
        <v>646</v>
      </c>
      <c r="E228" s="6" t="s">
        <v>993</v>
      </c>
      <c r="F228" s="6" t="s">
        <v>929</v>
      </c>
      <c r="G228" s="6" t="s">
        <v>929</v>
      </c>
      <c r="H228" s="6" t="s">
        <v>1122</v>
      </c>
      <c r="K228" s="2" t="str">
        <f>IFERROR(__xludf.DUMMYFUNCTION("GOOGLETRANSLATE(A228,""en"",""ur"")"),"227")</f>
        <v>227</v>
      </c>
      <c r="L228" s="2" t="str">
        <f>IFERROR(__xludf.DUMMYFUNCTION("GOOGLETRANSLATE(B228,""en"",""ur"")"),"واقعہ کی ظاہری ترتیب کیا ہے؟")</f>
        <v>واقعہ کی ظاہری ترتیب کیا ہے؟</v>
      </c>
      <c r="M228" s="2" t="str">
        <f>IFERROR(__xludf.DUMMYFUNCTION("GOOGLETRANSLATE(C228,""en"",""ur"")"),"ایک اندرونی میدان")</f>
        <v>ایک اندرونی میدان</v>
      </c>
      <c r="N228" s="2" t="str">
        <f>IFERROR(__xludf.DUMMYFUNCTION("GOOGLETRANSLATE(D228,""en"",""ur"")"),"شہر کی ایک گلی")</f>
        <v>شہر کی ایک گلی</v>
      </c>
      <c r="O228" s="2" t="str">
        <f>IFERROR(__xludf.DUMMYFUNCTION("GOOGLETRANSLATE(E228,""en"",""ur"")"),"ایک بیرونی گندگی کا ٹریک")</f>
        <v>ایک بیرونی گندگی کا ٹریک</v>
      </c>
      <c r="P228" s="2" t="str">
        <f>IFERROR(__xludf.DUMMYFUNCTION("GOOGLETRANSLATE(F228,""en"",""ur"")"),"رات کو گھاس کا میدان")</f>
        <v>رات کو گھاس کا میدان</v>
      </c>
      <c r="Q228" s="2" t="s">
        <v>1126</v>
      </c>
      <c r="R228" s="2" t="str">
        <f>IFERROR(__xludf.DUMMYFUNCTION("GOOGLETRANSLATE(G228,""en"",""ur"")"),"رات کو گھاس کا میدان")</f>
        <v>رات کو گھاس کا میدان</v>
      </c>
      <c r="S228" s="6" t="s">
        <v>1122</v>
      </c>
    </row>
    <row r="229">
      <c r="A229" s="7">
        <v>228.0</v>
      </c>
      <c r="B229" s="6" t="s">
        <v>1036</v>
      </c>
      <c r="C229" s="6" t="s">
        <v>95</v>
      </c>
      <c r="D229" s="6" t="s">
        <v>96</v>
      </c>
      <c r="E229" s="6" t="s">
        <v>1015</v>
      </c>
      <c r="F229" s="6" t="s">
        <v>258</v>
      </c>
      <c r="G229" s="6" t="s">
        <v>1015</v>
      </c>
      <c r="H229" s="6" t="s">
        <v>1122</v>
      </c>
      <c r="K229" s="2" t="str">
        <f>IFERROR(__xludf.DUMMYFUNCTION("GOOGLETRANSLATE(A229,""en"",""ur"")"),"228")</f>
        <v>228</v>
      </c>
      <c r="L229" s="2" t="str">
        <f>IFERROR(__xludf.DUMMYFUNCTION("GOOGLETRANSLATE(B229,""en"",""ur"")"),"کھیل کا نام کیا ہے؟")</f>
        <v>کھیل کا نام کیا ہے؟</v>
      </c>
      <c r="M229" s="2" t="str">
        <f>IFERROR(__xludf.DUMMYFUNCTION("GOOGLETRANSLATE(C229,""en"",""ur"")"),"پولو")</f>
        <v>پولو</v>
      </c>
      <c r="N229" s="2" t="str">
        <f>IFERROR(__xludf.DUMMYFUNCTION("GOOGLETRANSLATE(D229,""en"",""ur"")"),"گھوڑوں کی دوڑ")</f>
        <v>گھوڑوں کی دوڑ</v>
      </c>
      <c r="O229" s="2" t="str">
        <f>IFERROR(__xludf.DUMMYFUNCTION("GOOGLETRANSLATE(E229,""en"",""ur"")"),"ٹینٹ پیگنگ")</f>
        <v>ٹینٹ پیگنگ</v>
      </c>
      <c r="P229" s="2" t="str">
        <f>IFERROR(__xludf.DUMMYFUNCTION("GOOGLETRANSLATE(F229,""en"",""ur"")"),"گھڑ سواری کے کھیل")</f>
        <v>گھڑ سواری کے کھیل</v>
      </c>
      <c r="Q229" s="2" t="s">
        <v>1016</v>
      </c>
      <c r="R229" s="2" t="str">
        <f>IFERROR(__xludf.DUMMYFUNCTION("GOOGLETRANSLATE(G229,""en"",""ur"")"),"ٹینٹ پیگنگ")</f>
        <v>ٹینٹ پیگنگ</v>
      </c>
      <c r="S229" s="6" t="s">
        <v>1122</v>
      </c>
    </row>
    <row r="230">
      <c r="A230" s="7">
        <v>229.0</v>
      </c>
      <c r="B230" s="6" t="s">
        <v>316</v>
      </c>
      <c r="C230" s="6" t="s">
        <v>47</v>
      </c>
      <c r="D230" s="6" t="s">
        <v>48</v>
      </c>
      <c r="E230" s="6" t="s">
        <v>49</v>
      </c>
      <c r="F230" s="6" t="s">
        <v>50</v>
      </c>
      <c r="G230" s="6" t="s">
        <v>49</v>
      </c>
      <c r="H230" s="6" t="s">
        <v>1122</v>
      </c>
      <c r="K230" s="2" t="str">
        <f>IFERROR(__xludf.DUMMYFUNCTION("GOOGLETRANSLATE(A230,""en"",""ur"")"),"229")</f>
        <v>229</v>
      </c>
      <c r="L230" s="2" t="str">
        <f>IFERROR(__xludf.DUMMYFUNCTION("GOOGLETRANSLATE(B230,""en"",""ur"")"),"سوار کے چہرے سے ظاہری جذبات کیا ہیں؟")</f>
        <v>سوار کے چہرے سے ظاہری جذبات کیا ہیں؟</v>
      </c>
      <c r="M230" s="2" t="str">
        <f>IFERROR(__xludf.DUMMYFUNCTION("GOOGLETRANSLATE(C230,""en"",""ur"")"),"پرسکون اور پر سکون")</f>
        <v>پرسکون اور پر سکون</v>
      </c>
      <c r="N230" s="2" t="str">
        <f>IFERROR(__xludf.DUMMYFUNCTION("GOOGLETRANSLATE(D230,""en"",""ur"")"),"خوف زدہ اور بے چین")</f>
        <v>خوف زدہ اور بے چین</v>
      </c>
      <c r="O230" s="2" t="str">
        <f>IFERROR(__xludf.DUMMYFUNCTION("GOOGLETRANSLATE(E230,""en"",""ur"")"),"کشیدہ اور شدید")</f>
        <v>کشیدہ اور شدید</v>
      </c>
      <c r="P230" s="2" t="str">
        <f>IFERROR(__xludf.DUMMYFUNCTION("GOOGLETRANSLATE(F230,""en"",""ur"")"),"خوش اور مسکراتے ہوئے۔")</f>
        <v>خوش اور مسکراتے ہوئے۔</v>
      </c>
      <c r="Q230" s="2" t="s">
        <v>51</v>
      </c>
      <c r="R230" s="2" t="str">
        <f>IFERROR(__xludf.DUMMYFUNCTION("GOOGLETRANSLATE(G230,""en"",""ur"")"),"کشیدہ اور شدید")</f>
        <v>کشیدہ اور شدید</v>
      </c>
      <c r="S230" s="6" t="s">
        <v>1122</v>
      </c>
    </row>
    <row r="231">
      <c r="A231" s="7">
        <v>230.0</v>
      </c>
      <c r="B231" s="6" t="s">
        <v>260</v>
      </c>
      <c r="C231" s="6" t="s">
        <v>261</v>
      </c>
      <c r="D231" s="6" t="s">
        <v>262</v>
      </c>
      <c r="E231" s="6" t="s">
        <v>263</v>
      </c>
      <c r="F231" s="6" t="s">
        <v>1001</v>
      </c>
      <c r="G231" s="6" t="s">
        <v>1001</v>
      </c>
      <c r="H231" s="6" t="s">
        <v>1122</v>
      </c>
      <c r="K231" s="2" t="str">
        <f>IFERROR(__xludf.DUMMYFUNCTION("GOOGLETRANSLATE(A231,""en"",""ur"")"),"230")</f>
        <v>230</v>
      </c>
      <c r="L231" s="2" t="str">
        <f>IFERROR(__xludf.DUMMYFUNCTION("GOOGLETRANSLATE(B231,""en"",""ur"")"),"تصویر میں ایکشن ایک ایسا انداز تجویز کرتا ہے جو اس بات پر زور دیتا ہے...")</f>
        <v>تصویر میں ایکشن ایک ایسا انداز تجویز کرتا ہے جو اس بات پر زور دیتا ہے...</v>
      </c>
      <c r="M231" s="2" t="str">
        <f>IFERROR(__xludf.DUMMYFUNCTION("GOOGLETRANSLATE(C231,""en"",""ur"")"),"روانی اور قلابازیاں")</f>
        <v>روانی اور قلابازیاں</v>
      </c>
      <c r="N231" s="2" t="str">
        <f>IFERROR(__xludf.DUMMYFUNCTION("GOOGLETRANSLATE(D231,""en"",""ur"")"),"زمینی لڑائی اور گرفت")</f>
        <v>زمینی لڑائی اور گرفت</v>
      </c>
      <c r="O231" s="2" t="str">
        <f>IFERROR(__xludf.DUMMYFUNCTION("GOOGLETRANSLATE(E231,""en"",""ur"")"),"وحشیانہ قوت اور گھڑ سواری۔")</f>
        <v>وحشیانہ قوت اور گھڑ سواری۔</v>
      </c>
      <c r="P231" s="2" t="str">
        <f>IFERROR(__xludf.DUMMYFUNCTION("GOOGLETRANSLATE(F231,""en"",""ur"")"),"رفتار، درستگی اور چستی")</f>
        <v>رفتار، درستگی اور چستی</v>
      </c>
      <c r="Q231" s="2" t="s">
        <v>1002</v>
      </c>
      <c r="R231" s="2" t="str">
        <f>IFERROR(__xludf.DUMMYFUNCTION("GOOGLETRANSLATE(G231,""en"",""ur"")"),"رفتار، درستگی اور چستی")</f>
        <v>رفتار، درستگی اور چستی</v>
      </c>
      <c r="S231" s="6" t="s">
        <v>1122</v>
      </c>
    </row>
    <row r="232">
      <c r="A232" s="7">
        <v>231.0</v>
      </c>
      <c r="B232" s="6" t="s">
        <v>1127</v>
      </c>
      <c r="C232" s="6" t="s">
        <v>103</v>
      </c>
      <c r="D232" s="6" t="s">
        <v>1065</v>
      </c>
      <c r="E232" s="6" t="s">
        <v>73</v>
      </c>
      <c r="F232" s="6" t="s">
        <v>1066</v>
      </c>
      <c r="G232" s="6" t="s">
        <v>1065</v>
      </c>
      <c r="H232" s="6" t="s">
        <v>1128</v>
      </c>
      <c r="K232" s="2" t="str">
        <f>IFERROR(__xludf.DUMMYFUNCTION("GOOGLETRANSLATE(A232,""en"",""ur"")"),"231")</f>
        <v>231</v>
      </c>
      <c r="L232" s="2" t="str">
        <f>IFERROR(__xludf.DUMMYFUNCTION("GOOGLETRANSLATE(B232,""en"",""ur"")"),"tent_pegging_58 میں دکھایا گیا اہم عمل کیا ہے؟")</f>
        <v>tent_pegging_58 میں دکھایا گیا اہم عمل کیا ہے؟</v>
      </c>
      <c r="M232" s="2" t="str">
        <f>IFERROR(__xludf.DUMMYFUNCTION("GOOGLETRANSLATE(C232,""en"",""ur"")"),"آرام سے گھوڑے کی سواری۔")</f>
        <v>آرام سے گھوڑے کی سواری۔</v>
      </c>
      <c r="N232" s="2" t="str">
        <f>IFERROR(__xludf.DUMMYFUNCTION("GOOGLETRANSLATE(D232,""en"",""ur"")"),"پریڈ کی تشکیل میں سواروں کا ایک گروپ")</f>
        <v>پریڈ کی تشکیل میں سواروں کا ایک گروپ</v>
      </c>
      <c r="O232" s="2" t="str">
        <f>IFERROR(__xludf.DUMMYFUNCTION("GOOGLETRANSLATE(E232,""en"",""ur"")"),"گھوڑوں کی دوڑ")</f>
        <v>گھوڑوں کی دوڑ</v>
      </c>
      <c r="P232" s="2" t="str">
        <f>IFERROR(__xludf.DUMMYFUNCTION("GOOGLETRANSLATE(F232,""en"",""ur"")"),"لڑنے والے سواروں کا ایک گروہ")</f>
        <v>لڑنے والے سواروں کا ایک گروہ</v>
      </c>
      <c r="Q232" s="2" t="s">
        <v>1067</v>
      </c>
      <c r="R232" s="2" t="str">
        <f>IFERROR(__xludf.DUMMYFUNCTION("GOOGLETRANSLATE(G232,""en"",""ur"")"),"پریڈ کی تشکیل میں سواروں کا ایک گروپ")</f>
        <v>پریڈ کی تشکیل میں سواروں کا ایک گروپ</v>
      </c>
      <c r="S232" s="6" t="s">
        <v>1128</v>
      </c>
    </row>
    <row r="233">
      <c r="A233" s="7">
        <v>232.0</v>
      </c>
      <c r="B233" s="6" t="s">
        <v>1007</v>
      </c>
      <c r="C233" s="6" t="s">
        <v>1008</v>
      </c>
      <c r="D233" s="6" t="s">
        <v>1129</v>
      </c>
      <c r="E233" s="6" t="s">
        <v>245</v>
      </c>
      <c r="F233" s="6" t="s">
        <v>246</v>
      </c>
      <c r="G233" s="6" t="s">
        <v>1129</v>
      </c>
      <c r="H233" s="6" t="s">
        <v>1128</v>
      </c>
      <c r="K233" s="2" t="str">
        <f>IFERROR(__xludf.DUMMYFUNCTION("GOOGLETRANSLATE(A233,""en"",""ur"")"),"232")</f>
        <v>232</v>
      </c>
      <c r="L233" s="2" t="str">
        <f>IFERROR(__xludf.DUMMYFUNCTION("GOOGLETRANSLATE(B233,""en"",""ur"")"),"سواروں کے لباس کے بارے میں ایک قابل ذکر تفصیل کیا ہے؟")</f>
        <v>سواروں کے لباس کے بارے میں ایک قابل ذکر تفصیل کیا ہے؟</v>
      </c>
      <c r="M233" s="2" t="str">
        <f>IFERROR(__xludf.DUMMYFUNCTION("GOOGLETRANSLATE(C233,""en"",""ur"")"),"انہوں نے فوجی وردی پہن رکھی ہے۔")</f>
        <v>انہوں نے فوجی وردی پہن رکھی ہے۔</v>
      </c>
      <c r="N233" s="2" t="str">
        <f>IFERROR(__xludf.DUMMYFUNCTION("GOOGLETRANSLATE(D233,""en"",""ur"")"),"وہ لمبی پگڑیوں اور واسکٹوں کے ساتھ سفید روایتی لباس پہنے ہوئے ہیں۔")</f>
        <v>وہ لمبی پگڑیوں اور واسکٹوں کے ساتھ سفید روایتی لباس پہنے ہوئے ہیں۔</v>
      </c>
      <c r="O233" s="2" t="str">
        <f>IFERROR(__xludf.DUMMYFUNCTION("GOOGLETRANSLATE(E233,""en"",""ur"")"),"وہ رسمی سوٹ پہنے ہوئے ہیں۔")</f>
        <v>وہ رسمی سوٹ پہنے ہوئے ہیں۔</v>
      </c>
      <c r="P233" s="2" t="str">
        <f>IFERROR(__xludf.DUMMYFUNCTION("GOOGLETRANSLATE(F233,""en"",""ur"")"),"انہوں نے کوئی لباس نہیں پہنا ہوا ہے۔")</f>
        <v>انہوں نے کوئی لباس نہیں پہنا ہوا ہے۔</v>
      </c>
      <c r="Q233" s="2" t="s">
        <v>1130</v>
      </c>
      <c r="R233" s="2" t="str">
        <f>IFERROR(__xludf.DUMMYFUNCTION("GOOGLETRANSLATE(G233,""en"",""ur"")"),"وہ لمبی پگڑیوں اور واسکٹوں کے ساتھ سفید روایتی لباس پہنے ہوئے ہیں۔")</f>
        <v>وہ لمبی پگڑیوں اور واسکٹوں کے ساتھ سفید روایتی لباس پہنے ہوئے ہیں۔</v>
      </c>
      <c r="S233" s="6" t="s">
        <v>1128</v>
      </c>
    </row>
    <row r="234">
      <c r="A234" s="7">
        <v>233.0</v>
      </c>
      <c r="B234" s="6" t="s">
        <v>1011</v>
      </c>
      <c r="C234" s="6" t="s">
        <v>59</v>
      </c>
      <c r="D234" s="6" t="s">
        <v>1131</v>
      </c>
      <c r="E234" s="6" t="s">
        <v>1013</v>
      </c>
      <c r="F234" s="6" t="s">
        <v>268</v>
      </c>
      <c r="G234" s="6" t="s">
        <v>1131</v>
      </c>
      <c r="H234" s="6" t="s">
        <v>1128</v>
      </c>
      <c r="K234" s="2" t="str">
        <f>IFERROR(__xludf.DUMMYFUNCTION("GOOGLETRANSLATE(A234,""en"",""ur"")"),"233")</f>
        <v>233</v>
      </c>
      <c r="L234" s="2" t="str">
        <f>IFERROR(__xludf.DUMMYFUNCTION("GOOGLETRANSLATE(B234,""en"",""ur"")"),"گھوڑوں کے بارے میں نظر آنے والی تفصیل کیا ہے؟")</f>
        <v>گھوڑوں کے بارے میں نظر آنے والی تفصیل کیا ہے؟</v>
      </c>
      <c r="M234" s="2" t="str">
        <f>IFERROR(__xludf.DUMMYFUNCTION("GOOGLETRANSLATE(C234,""en"",""ur"")"),"وہ سب ایک ہی رنگ کے ہیں۔")</f>
        <v>وہ سب ایک ہی رنگ کے ہیں۔</v>
      </c>
      <c r="N234" s="2" t="str">
        <f>IFERROR(__xludf.DUMMYFUNCTION("GOOGLETRANSLATE(D234,""en"",""ur"")"),"وہ آرائشی ٹیک کے ساتھ رنگوں کا مرکب ہیں۔")</f>
        <v>وہ آرائشی ٹیک کے ساتھ رنگوں کا مرکب ہیں۔</v>
      </c>
      <c r="O234" s="2" t="str">
        <f>IFERROR(__xludf.DUMMYFUNCTION("GOOGLETRANSLATE(E234,""en"",""ur"")"),"وہ سب کوئی سیڈل نہیں پہنے ہوئے ہیں۔")</f>
        <v>وہ سب کوئی سیڈل نہیں پہنے ہوئے ہیں۔</v>
      </c>
      <c r="P234" s="2" t="str">
        <f>IFERROR(__xludf.DUMMYFUNCTION("GOOGLETRANSLATE(F234,""en"",""ur"")"),"وہ سب خاموش کھڑے ہیں۔")</f>
        <v>وہ سب خاموش کھڑے ہیں۔</v>
      </c>
      <c r="Q234" s="2" t="s">
        <v>1132</v>
      </c>
      <c r="R234" s="2" t="str">
        <f>IFERROR(__xludf.DUMMYFUNCTION("GOOGLETRANSLATE(G234,""en"",""ur"")"),"وہ آرائشی ٹیک کے ساتھ رنگوں کا مرکب ہیں۔")</f>
        <v>وہ آرائشی ٹیک کے ساتھ رنگوں کا مرکب ہیں۔</v>
      </c>
      <c r="S234" s="6" t="s">
        <v>1128</v>
      </c>
    </row>
    <row r="235">
      <c r="A235" s="7">
        <v>234.0</v>
      </c>
      <c r="B235" s="6" t="s">
        <v>248</v>
      </c>
      <c r="C235" s="6" t="s">
        <v>249</v>
      </c>
      <c r="D235" s="6" t="s">
        <v>250</v>
      </c>
      <c r="E235" s="6" t="s">
        <v>251</v>
      </c>
      <c r="F235" s="6" t="s">
        <v>252</v>
      </c>
      <c r="G235" s="6" t="s">
        <v>252</v>
      </c>
      <c r="H235" s="6" t="s">
        <v>1128</v>
      </c>
      <c r="K235" s="2" t="str">
        <f>IFERROR(__xludf.DUMMYFUNCTION("GOOGLETRANSLATE(A235,""en"",""ur"")"),"234")</f>
        <v>234</v>
      </c>
      <c r="L235" s="2" t="str">
        <f>IFERROR(__xludf.DUMMYFUNCTION("GOOGLETRANSLATE(B235,""en"",""ur"")"),"سواروں کی ظاہری باڈی پوزیشن کیا ہے؟")</f>
        <v>سواروں کی ظاہری باڈی پوزیشن کیا ہے؟</v>
      </c>
      <c r="M235" s="2" t="str">
        <f>IFERROR(__xludf.DUMMYFUNCTION("GOOGLETRANSLATE(C235,""en"",""ur"")"),"وہ سیدھے کھڑے ہیں۔")</f>
        <v>وہ سیدھے کھڑے ہیں۔</v>
      </c>
      <c r="N235" s="2" t="str">
        <f>IFERROR(__xludf.DUMMYFUNCTION("GOOGLETRANSLATE(D235,""en"",""ur"")"),"وہ جھک رہے ہیں اور کسی چیز تک پہنچ رہے ہیں۔")</f>
        <v>وہ جھک رہے ہیں اور کسی چیز تک پہنچ رہے ہیں۔</v>
      </c>
      <c r="O235" s="2" t="str">
        <f>IFERROR(__xludf.DUMMYFUNCTION("GOOGLETRANSLATE(E235,""en"",""ur"")"),"وہ گھوڑوں کی پیٹھ پر لیٹے ہوئے ہیں۔")</f>
        <v>وہ گھوڑوں کی پیٹھ پر لیٹے ہوئے ہیں۔</v>
      </c>
      <c r="P235" s="2" t="str">
        <f>IFERROR(__xludf.DUMMYFUNCTION("GOOGLETRANSLATE(F235,""en"",""ur"")"),"وہ آرام سے بیٹھے ہیں۔")</f>
        <v>وہ آرام سے بیٹھے ہیں۔</v>
      </c>
      <c r="Q235" s="2" t="s">
        <v>253</v>
      </c>
      <c r="R235" s="2" t="str">
        <f>IFERROR(__xludf.DUMMYFUNCTION("GOOGLETRANSLATE(G235,""en"",""ur"")"),"وہ آرام سے بیٹھے ہیں۔")</f>
        <v>وہ آرام سے بیٹھے ہیں۔</v>
      </c>
      <c r="S235" s="6" t="s">
        <v>1128</v>
      </c>
    </row>
    <row r="236">
      <c r="A236" s="7">
        <v>235.0</v>
      </c>
      <c r="B236" s="6" t="s">
        <v>254</v>
      </c>
      <c r="C236" s="6" t="s">
        <v>47</v>
      </c>
      <c r="D236" s="6" t="s">
        <v>48</v>
      </c>
      <c r="E236" s="6" t="s">
        <v>49</v>
      </c>
      <c r="F236" s="6" t="s">
        <v>50</v>
      </c>
      <c r="G236" s="6" t="s">
        <v>47</v>
      </c>
      <c r="H236" s="6" t="s">
        <v>1128</v>
      </c>
      <c r="K236" s="2" t="str">
        <f>IFERROR(__xludf.DUMMYFUNCTION("GOOGLETRANSLATE(A236,""en"",""ur"")"),"235")</f>
        <v>235</v>
      </c>
      <c r="L236" s="2" t="str">
        <f>IFERROR(__xludf.DUMMYFUNCTION("GOOGLETRANSLATE(B236,""en"",""ur"")"),"سواروں کے چہروں سے ظاہری جذبات کیا ہیں؟")</f>
        <v>سواروں کے چہروں سے ظاہری جذبات کیا ہیں؟</v>
      </c>
      <c r="M236" s="2" t="str">
        <f>IFERROR(__xludf.DUMMYFUNCTION("GOOGLETRANSLATE(C236,""en"",""ur"")"),"پرسکون اور پر سکون")</f>
        <v>پرسکون اور پر سکون</v>
      </c>
      <c r="N236" s="2" t="str">
        <f>IFERROR(__xludf.DUMMYFUNCTION("GOOGLETRANSLATE(D236,""en"",""ur"")"),"خوف زدہ اور بے چین")</f>
        <v>خوف زدہ اور بے چین</v>
      </c>
      <c r="O236" s="2" t="str">
        <f>IFERROR(__xludf.DUMMYFUNCTION("GOOGLETRANSLATE(E236,""en"",""ur"")"),"کشیدہ اور شدید")</f>
        <v>کشیدہ اور شدید</v>
      </c>
      <c r="P236" s="2" t="str">
        <f>IFERROR(__xludf.DUMMYFUNCTION("GOOGLETRANSLATE(F236,""en"",""ur"")"),"خوش اور مسکراتے ہوئے۔")</f>
        <v>خوش اور مسکراتے ہوئے۔</v>
      </c>
      <c r="Q236" s="2" t="s">
        <v>51</v>
      </c>
      <c r="R236" s="2" t="str">
        <f>IFERROR(__xludf.DUMMYFUNCTION("GOOGLETRANSLATE(G236,""en"",""ur"")"),"پرسکون اور پر سکون")</f>
        <v>پرسکون اور پر سکون</v>
      </c>
      <c r="S236" s="6" t="s">
        <v>1128</v>
      </c>
    </row>
    <row r="237">
      <c r="A237" s="7">
        <v>236.0</v>
      </c>
      <c r="B237" s="6" t="s">
        <v>88</v>
      </c>
      <c r="C237" s="6" t="s">
        <v>89</v>
      </c>
      <c r="D237" s="6" t="s">
        <v>90</v>
      </c>
      <c r="E237" s="6" t="s">
        <v>91</v>
      </c>
      <c r="F237" s="6" t="s">
        <v>368</v>
      </c>
      <c r="G237" s="6" t="s">
        <v>368</v>
      </c>
      <c r="H237" s="6" t="s">
        <v>1128</v>
      </c>
      <c r="K237" s="2" t="str">
        <f>IFERROR(__xludf.DUMMYFUNCTION("GOOGLETRANSLATE(A237,""en"",""ur"")"),"236")</f>
        <v>236</v>
      </c>
      <c r="L237" s="2" t="str">
        <f>IFERROR(__xludf.DUMMYFUNCTION("GOOGLETRANSLATE(B237,""en"",""ur"")"),"زمین کی سب سے نمایاں خصوصیت کیا ہے؟")</f>
        <v>زمین کی سب سے نمایاں خصوصیت کیا ہے؟</v>
      </c>
      <c r="M237" s="2" t="str">
        <f>IFERROR(__xludf.DUMMYFUNCTION("GOOGLETRANSLATE(C237,""en"",""ur"")"),"ایک پکی سطح")</f>
        <v>ایک پکی سطح</v>
      </c>
      <c r="N237" s="2" t="str">
        <f>IFERROR(__xludf.DUMMYFUNCTION("GOOGLETRANSLATE(D237,""en"",""ur"")"),"کیچڑ والا میدان")</f>
        <v>کیچڑ والا میدان</v>
      </c>
      <c r="O237" s="2" t="str">
        <f>IFERROR(__xludf.DUMMYFUNCTION("GOOGLETRANSLATE(E237,""en"",""ur"")"),"ایک گھاس دار سطح")</f>
        <v>ایک گھاس دار سطح</v>
      </c>
      <c r="P237" s="2" t="str">
        <f>IFERROR(__xludf.DUMMYFUNCTION("GOOGLETRANSLATE(F237,""en"",""ur"")"),"دھول اڑنے والی ریتلی یا گندگی کی سطح")</f>
        <v>دھول اڑنے والی ریتلی یا گندگی کی سطح</v>
      </c>
      <c r="Q237" s="2" t="s">
        <v>369</v>
      </c>
      <c r="R237" s="2" t="str">
        <f>IFERROR(__xludf.DUMMYFUNCTION("GOOGLETRANSLATE(G237,""en"",""ur"")"),"دھول اڑنے والی ریتلی یا گندگی کی سطح")</f>
        <v>دھول اڑنے والی ریتلی یا گندگی کی سطح</v>
      </c>
      <c r="S237" s="6" t="s">
        <v>1128</v>
      </c>
    </row>
    <row r="238">
      <c r="A238" s="7">
        <v>237.0</v>
      </c>
      <c r="B238" s="6" t="s">
        <v>257</v>
      </c>
      <c r="C238" s="6" t="s">
        <v>95</v>
      </c>
      <c r="D238" s="6" t="s">
        <v>96</v>
      </c>
      <c r="E238" s="6" t="s">
        <v>1015</v>
      </c>
      <c r="F238" s="6" t="s">
        <v>258</v>
      </c>
      <c r="G238" s="6" t="s">
        <v>1015</v>
      </c>
      <c r="H238" s="6" t="s">
        <v>1128</v>
      </c>
      <c r="K238" s="2" t="str">
        <f>IFERROR(__xludf.DUMMYFUNCTION("GOOGLETRANSLATE(A238,""en"",""ur"")"),"237")</f>
        <v>237</v>
      </c>
      <c r="L238" s="2" t="str">
        <f>IFERROR(__xludf.DUMMYFUNCTION("GOOGLETRANSLATE(B238,""en"",""ur"")"),"کھیلے جانے والے کھیل کا نام کیا ہے؟")</f>
        <v>کھیلے جانے والے کھیل کا نام کیا ہے؟</v>
      </c>
      <c r="M238" s="2" t="str">
        <f>IFERROR(__xludf.DUMMYFUNCTION("GOOGLETRANSLATE(C238,""en"",""ur"")"),"پولو")</f>
        <v>پولو</v>
      </c>
      <c r="N238" s="2" t="str">
        <f>IFERROR(__xludf.DUMMYFUNCTION("GOOGLETRANSLATE(D238,""en"",""ur"")"),"گھوڑوں کی دوڑ")</f>
        <v>گھوڑوں کی دوڑ</v>
      </c>
      <c r="O238" s="2" t="str">
        <f>IFERROR(__xludf.DUMMYFUNCTION("GOOGLETRANSLATE(E238,""en"",""ur"")"),"ٹینٹ پیگنگ")</f>
        <v>ٹینٹ پیگنگ</v>
      </c>
      <c r="P238" s="2" t="str">
        <f>IFERROR(__xludf.DUMMYFUNCTION("GOOGLETRANSLATE(F238,""en"",""ur"")"),"گھڑ سواری کے کھیل")</f>
        <v>گھڑ سواری کے کھیل</v>
      </c>
      <c r="Q238" s="2" t="s">
        <v>1016</v>
      </c>
      <c r="R238" s="2" t="str">
        <f>IFERROR(__xludf.DUMMYFUNCTION("GOOGLETRANSLATE(G238,""en"",""ur"")"),"ٹینٹ پیگنگ")</f>
        <v>ٹینٹ پیگنگ</v>
      </c>
      <c r="S238" s="6" t="s">
        <v>1128</v>
      </c>
    </row>
    <row r="239">
      <c r="A239" s="7">
        <v>238.0</v>
      </c>
      <c r="B239" s="6" t="s">
        <v>260</v>
      </c>
      <c r="C239" s="6" t="s">
        <v>261</v>
      </c>
      <c r="D239" s="6" t="s">
        <v>1017</v>
      </c>
      <c r="E239" s="6" t="s">
        <v>263</v>
      </c>
      <c r="F239" s="6" t="s">
        <v>1001</v>
      </c>
      <c r="G239" s="6" t="s">
        <v>1017</v>
      </c>
      <c r="H239" s="6" t="s">
        <v>1128</v>
      </c>
      <c r="K239" s="2" t="str">
        <f>IFERROR(__xludf.DUMMYFUNCTION("GOOGLETRANSLATE(A239,""en"",""ur"")"),"238")</f>
        <v>238</v>
      </c>
      <c r="L239" s="2" t="str">
        <f>IFERROR(__xludf.DUMMYFUNCTION("GOOGLETRANSLATE(B239,""en"",""ur"")"),"تصویر میں ایکشن ایک ایسا انداز تجویز کرتا ہے جو اس بات پر زور دیتا ہے...")</f>
        <v>تصویر میں ایکشن ایک ایسا انداز تجویز کرتا ہے جو اس بات پر زور دیتا ہے...</v>
      </c>
      <c r="M239" s="2" t="str">
        <f>IFERROR(__xludf.DUMMYFUNCTION("GOOGLETRANSLATE(C239,""en"",""ur"")"),"روانی اور قلابازیاں")</f>
        <v>روانی اور قلابازیاں</v>
      </c>
      <c r="N239" s="2" t="str">
        <f>IFERROR(__xludf.DUMMYFUNCTION("GOOGLETRANSLATE(D239,""en"",""ur"")"),"گروپ کی تشکیل اور رسمی نمائش")</f>
        <v>گروپ کی تشکیل اور رسمی نمائش</v>
      </c>
      <c r="O239" s="2" t="str">
        <f>IFERROR(__xludf.DUMMYFUNCTION("GOOGLETRANSLATE(E239,""en"",""ur"")"),"وحشیانہ قوت اور گھڑ سواری۔")</f>
        <v>وحشیانہ قوت اور گھڑ سواری۔</v>
      </c>
      <c r="P239" s="2" t="str">
        <f>IFERROR(__xludf.DUMMYFUNCTION("GOOGLETRANSLATE(F239,""en"",""ur"")"),"رفتار، درستگی اور چستی")</f>
        <v>رفتار، درستگی اور چستی</v>
      </c>
      <c r="Q239" s="2" t="s">
        <v>1093</v>
      </c>
      <c r="R239" s="2" t="str">
        <f>IFERROR(__xludf.DUMMYFUNCTION("GOOGLETRANSLATE(G239,""en"",""ur"")"),"گروپ کی تشکیل اور رسمی نمائش")</f>
        <v>گروپ کی تشکیل اور رسمی نمائش</v>
      </c>
      <c r="S239" s="6" t="s">
        <v>1128</v>
      </c>
    </row>
    <row r="240">
      <c r="A240" s="7">
        <v>239.0</v>
      </c>
      <c r="B240" s="6" t="s">
        <v>1019</v>
      </c>
      <c r="C240" s="6" t="s">
        <v>1020</v>
      </c>
      <c r="D240" s="6" t="s">
        <v>1021</v>
      </c>
      <c r="E240" s="6" t="s">
        <v>1022</v>
      </c>
      <c r="F240" s="6" t="s">
        <v>1023</v>
      </c>
      <c r="G240" s="6" t="s">
        <v>1023</v>
      </c>
      <c r="H240" s="6" t="s">
        <v>1128</v>
      </c>
      <c r="K240" s="2" t="str">
        <f>IFERROR(__xludf.DUMMYFUNCTION("GOOGLETRANSLATE(A240,""en"",""ur"")"),"239")</f>
        <v>239</v>
      </c>
      <c r="L240" s="2" t="str">
        <f>IFERROR(__xludf.DUMMYFUNCTION("GOOGLETRANSLATE(B240,""en"",""ur"")"),"لمبی چھڑیوں کے بارے میں ایک قابل ذکر تفصیل کیا ہے جو سواروں کے پاس ہے؟")</f>
        <v>لمبی چھڑیوں کے بارے میں ایک قابل ذکر تفصیل کیا ہے جو سواروں کے پاس ہے؟</v>
      </c>
      <c r="M240" s="2" t="str">
        <f>IFERROR(__xludf.DUMMYFUNCTION("GOOGLETRANSLATE(C240,""en"",""ur"")"),"انہیں ہتھیار کے طور پر استعمال کیا جاتا ہے۔")</f>
        <v>انہیں ہتھیار کے طور پر استعمال کیا جاتا ہے۔</v>
      </c>
      <c r="N240" s="2" t="str">
        <f>IFERROR(__xludf.DUMMYFUNCTION("GOOGLETRANSLATE(D240,""en"",""ur"")"),"وہ گھوڑوں کی رہنمائی کے لیے استعمال ہوتے ہیں۔")</f>
        <v>وہ گھوڑوں کی رہنمائی کے لیے استعمال ہوتے ہیں۔</v>
      </c>
      <c r="O240" s="2" t="str">
        <f>IFERROR(__xludf.DUMMYFUNCTION("GOOGLETRANSLATE(E240,""en"",""ur"")"),"وہ ربن اور tassels کے ساتھ سجایا جاتا ہے")</f>
        <v>وہ ربن اور tassels کے ساتھ سجایا جاتا ہے</v>
      </c>
      <c r="P240" s="2" t="str">
        <f>IFERROR(__xludf.DUMMYFUNCTION("GOOGLETRANSLATE(F240,""en"",""ur"")"),"وہ جھنڈے کے طور پر استعمال ہوتے ہیں۔")</f>
        <v>وہ جھنڈے کے طور پر استعمال ہوتے ہیں۔</v>
      </c>
      <c r="Q240" s="2" t="s">
        <v>1024</v>
      </c>
      <c r="R240" s="2" t="str">
        <f>IFERROR(__xludf.DUMMYFUNCTION("GOOGLETRANSLATE(G240,""en"",""ur"")"),"وہ جھنڈے کے طور پر استعمال ہوتے ہیں۔")</f>
        <v>وہ جھنڈے کے طور پر استعمال ہوتے ہیں۔</v>
      </c>
      <c r="S240" s="6" t="s">
        <v>1128</v>
      </c>
    </row>
    <row r="241">
      <c r="A241" s="7">
        <v>240.0</v>
      </c>
      <c r="B241" s="6" t="s">
        <v>991</v>
      </c>
      <c r="C241" s="6" t="s">
        <v>992</v>
      </c>
      <c r="D241" s="6" t="s">
        <v>646</v>
      </c>
      <c r="E241" s="6" t="s">
        <v>1133</v>
      </c>
      <c r="F241" s="6" t="s">
        <v>1025</v>
      </c>
      <c r="G241" s="6" t="s">
        <v>1133</v>
      </c>
      <c r="H241" s="6" t="s">
        <v>1128</v>
      </c>
      <c r="K241" s="2" t="str">
        <f>IFERROR(__xludf.DUMMYFUNCTION("GOOGLETRANSLATE(A241,""en"",""ur"")"),"240")</f>
        <v>240</v>
      </c>
      <c r="L241" s="2" t="str">
        <f>IFERROR(__xludf.DUMMYFUNCTION("GOOGLETRANSLATE(B241,""en"",""ur"")"),"واقعہ کی ظاہری ترتیب کیا ہے؟")</f>
        <v>واقعہ کی ظاہری ترتیب کیا ہے؟</v>
      </c>
      <c r="M241" s="2" t="str">
        <f>IFERROR(__xludf.DUMMYFUNCTION("GOOGLETRANSLATE(C241,""en"",""ur"")"),"ایک اندرونی میدان")</f>
        <v>ایک اندرونی میدان</v>
      </c>
      <c r="N241" s="2" t="str">
        <f>IFERROR(__xludf.DUMMYFUNCTION("GOOGLETRANSLATE(D241,""en"",""ur"")"),"شہر کی ایک گلی")</f>
        <v>شہر کی ایک گلی</v>
      </c>
      <c r="O241" s="2" t="str">
        <f>IFERROR(__xludf.DUMMYFUNCTION("GOOGLETRANSLATE(E241,""en"",""ur"")"),"دھندلے پس منظر کے ساتھ ایک بیرونی گندگی کا ٹریک")</f>
        <v>دھندلے پس منظر کے ساتھ ایک بیرونی گندگی کا ٹریک</v>
      </c>
      <c r="P241" s="2" t="str">
        <f>IFERROR(__xludf.DUMMYFUNCTION("GOOGLETRANSLATE(F241,""en"",""ur"")"),"پس منظر میں درختوں اور پہاڑیوں کے ساتھ گھاس کا میدان")</f>
        <v>پس منظر میں درختوں اور پہاڑیوں کے ساتھ گھاس کا میدان</v>
      </c>
      <c r="Q241" s="2" t="s">
        <v>1134</v>
      </c>
      <c r="R241" s="2" t="str">
        <f>IFERROR(__xludf.DUMMYFUNCTION("GOOGLETRANSLATE(G241,""en"",""ur"")"),"دھندلے پس منظر کے ساتھ ایک بیرونی گندگی کا ٹریک")</f>
        <v>دھندلے پس منظر کے ساتھ ایک بیرونی گندگی کا ٹریک</v>
      </c>
      <c r="S241" s="6" t="s">
        <v>1128</v>
      </c>
    </row>
    <row r="242">
      <c r="A242" s="7">
        <v>241.0</v>
      </c>
      <c r="B242" s="6" t="s">
        <v>1135</v>
      </c>
      <c r="C242" s="6" t="s">
        <v>103</v>
      </c>
      <c r="D242" s="6" t="s">
        <v>1039</v>
      </c>
      <c r="E242" s="6" t="s">
        <v>1004</v>
      </c>
      <c r="F242" s="6" t="s">
        <v>73</v>
      </c>
      <c r="G242" s="6" t="s">
        <v>1039</v>
      </c>
      <c r="H242" s="6" t="s">
        <v>1136</v>
      </c>
      <c r="K242" s="2" t="str">
        <f>IFERROR(__xludf.DUMMYFUNCTION("GOOGLETRANSLATE(A242,""en"",""ur"")"),"241")</f>
        <v>241</v>
      </c>
      <c r="L242" s="2" t="str">
        <f>IFERROR(__xludf.DUMMYFUNCTION("GOOGLETRANSLATE(B242,""en"",""ur"")"),"tent_pegging_71 میں دکھائی جانے والی اہم کارروائی کیا ہے؟")</f>
        <v>tent_pegging_71 میں دکھائی جانے والی اہم کارروائی کیا ہے؟</v>
      </c>
      <c r="M242" s="2" t="str">
        <f>IFERROR(__xludf.DUMMYFUNCTION("GOOGLETRANSLATE(C242,""en"",""ur"")"),"آرام سے گھوڑے کی سواری۔")</f>
        <v>آرام سے گھوڑے کی سواری۔</v>
      </c>
      <c r="N242" s="2" t="str">
        <f>IFERROR(__xludf.DUMMYFUNCTION("GOOGLETRANSLATE(D242,""en"",""ur"")"),"ٹینٹ پیگنگ ایونٹ میں دو سوار مقابلہ کر رہے ہیں۔")</f>
        <v>ٹینٹ پیگنگ ایونٹ میں دو سوار مقابلہ کر رہے ہیں۔</v>
      </c>
      <c r="O242" s="2" t="str">
        <f>IFERROR(__xludf.DUMMYFUNCTION("GOOGLETRANSLATE(E242,""en"",""ur"")"),"سواروں کی پریڈ")</f>
        <v>سواروں کی پریڈ</v>
      </c>
      <c r="P242" s="2" t="str">
        <f>IFERROR(__xludf.DUMMYFUNCTION("GOOGLETRANSLATE(F242,""en"",""ur"")"),"گھوڑوں کی دوڑ")</f>
        <v>گھوڑوں کی دوڑ</v>
      </c>
      <c r="Q242" s="2" t="s">
        <v>1113</v>
      </c>
      <c r="R242" s="2" t="str">
        <f>IFERROR(__xludf.DUMMYFUNCTION("GOOGLETRANSLATE(G242,""en"",""ur"")"),"ٹینٹ پیگنگ ایونٹ میں دو سوار مقابلہ کر رہے ہیں۔")</f>
        <v>ٹینٹ پیگنگ ایونٹ میں دو سوار مقابلہ کر رہے ہیں۔</v>
      </c>
      <c r="S242" s="6" t="s">
        <v>1136</v>
      </c>
    </row>
    <row r="243">
      <c r="A243" s="7">
        <v>242.0</v>
      </c>
      <c r="B243" s="6" t="s">
        <v>1007</v>
      </c>
      <c r="C243" s="6" t="s">
        <v>1008</v>
      </c>
      <c r="D243" s="6" t="s">
        <v>1114</v>
      </c>
      <c r="E243" s="6" t="s">
        <v>245</v>
      </c>
      <c r="F243" s="6" t="s">
        <v>246</v>
      </c>
      <c r="G243" s="6" t="s">
        <v>1114</v>
      </c>
      <c r="H243" s="6" t="s">
        <v>1136</v>
      </c>
      <c r="K243" s="2" t="str">
        <f>IFERROR(__xludf.DUMMYFUNCTION("GOOGLETRANSLATE(A243,""en"",""ur"")"),"242")</f>
        <v>242</v>
      </c>
      <c r="L243" s="2" t="str">
        <f>IFERROR(__xludf.DUMMYFUNCTION("GOOGLETRANSLATE(B243,""en"",""ur"")"),"سواروں کے لباس کے بارے میں ایک قابل ذکر تفصیل کیا ہے؟")</f>
        <v>سواروں کے لباس کے بارے میں ایک قابل ذکر تفصیل کیا ہے؟</v>
      </c>
      <c r="M243" s="2" t="str">
        <f>IFERROR(__xludf.DUMMYFUNCTION("GOOGLETRANSLATE(C243,""en"",""ur"")"),"انہوں نے فوجی وردی پہن رکھی ہے۔")</f>
        <v>انہوں نے فوجی وردی پہن رکھی ہے۔</v>
      </c>
      <c r="N243" s="2" t="str">
        <f>IFERROR(__xludf.DUMMYFUNCTION("GOOGLETRANSLATE(D243,""en"",""ur"")"),"وہ پگڑیوں اور واسکٹوں کے ساتھ سفید روایتی لباس پہنے ہوئے ہیں۔")</f>
        <v>وہ پگڑیوں اور واسکٹوں کے ساتھ سفید روایتی لباس پہنے ہوئے ہیں۔</v>
      </c>
      <c r="O243" s="2" t="str">
        <f>IFERROR(__xludf.DUMMYFUNCTION("GOOGLETRANSLATE(E243,""en"",""ur"")"),"وہ رسمی سوٹ پہنے ہوئے ہیں۔")</f>
        <v>وہ رسمی سوٹ پہنے ہوئے ہیں۔</v>
      </c>
      <c r="P243" s="2" t="str">
        <f>IFERROR(__xludf.DUMMYFUNCTION("GOOGLETRANSLATE(F243,""en"",""ur"")"),"انہوں نے کوئی لباس نہیں پہنا ہوا ہے۔")</f>
        <v>انہوں نے کوئی لباس نہیں پہنا ہوا ہے۔</v>
      </c>
      <c r="Q243" s="2" t="s">
        <v>1115</v>
      </c>
      <c r="R243" s="2" t="str">
        <f>IFERROR(__xludf.DUMMYFUNCTION("GOOGLETRANSLATE(G243,""en"",""ur"")"),"وہ پگڑیوں اور واسکٹوں کے ساتھ سفید روایتی لباس پہنے ہوئے ہیں۔")</f>
        <v>وہ پگڑیوں اور واسکٹوں کے ساتھ سفید روایتی لباس پہنے ہوئے ہیں۔</v>
      </c>
      <c r="S243" s="6" t="s">
        <v>1136</v>
      </c>
    </row>
    <row r="244">
      <c r="A244" s="7">
        <v>243.0</v>
      </c>
      <c r="B244" s="6" t="s">
        <v>1046</v>
      </c>
      <c r="C244" s="6" t="s">
        <v>970</v>
      </c>
      <c r="D244" s="6" t="s">
        <v>971</v>
      </c>
      <c r="E244" s="6" t="s">
        <v>972</v>
      </c>
      <c r="F244" s="6" t="s">
        <v>973</v>
      </c>
      <c r="G244" s="6" t="s">
        <v>972</v>
      </c>
      <c r="H244" s="6" t="s">
        <v>1136</v>
      </c>
      <c r="K244" s="2" t="str">
        <f>IFERROR(__xludf.DUMMYFUNCTION("GOOGLETRANSLATE(A244,""en"",""ur"")"),"243")</f>
        <v>243</v>
      </c>
      <c r="L244" s="2" t="str">
        <f>IFERROR(__xludf.DUMMYFUNCTION("GOOGLETRANSLATE(B244,""en"",""ur"")"),"سواروں نے جو لمبی لاٹھیاں پکڑی ہوئی ہیں ان کا ظاہری مقصد کیا ہے؟")</f>
        <v>سواروں نے جو لمبی لاٹھیاں پکڑی ہوئی ہیں ان کا ظاہری مقصد کیا ہے؟</v>
      </c>
      <c r="M244" s="2" t="str">
        <f>IFERROR(__xludf.DUMMYFUNCTION("GOOGLETRANSLATE(C244,""en"",""ur"")"),"گھوڑے کی رہنمائی کے لیے")</f>
        <v>گھوڑے کی رہنمائی کے لیے</v>
      </c>
      <c r="N244" s="2" t="str">
        <f>IFERROR(__xludf.DUMMYFUNCTION("GOOGLETRANSLATE(D244,""en"",""ur"")"),"توازن کے لیے زمین سے ٹکرانا")</f>
        <v>توازن کے لیے زمین سے ٹکرانا</v>
      </c>
      <c r="O244" s="2" t="str">
        <f>IFERROR(__xludf.DUMMYFUNCTION("GOOGLETRANSLATE(E244,""en"",""ur"")"),"زمین پر چھوٹے اہداف کو نشانہ بنانا")</f>
        <v>زمین پر چھوٹے اہداف کو نشانہ بنانا</v>
      </c>
      <c r="P244" s="2" t="str">
        <f>IFERROR(__xludf.DUMMYFUNCTION("GOOGLETRANSLATE(F244,""en"",""ur"")"),"بطور ہتھیار استعمال کرنا")</f>
        <v>بطور ہتھیار استعمال کرنا</v>
      </c>
      <c r="Q244" s="2" t="s">
        <v>974</v>
      </c>
      <c r="R244" s="2" t="str">
        <f>IFERROR(__xludf.DUMMYFUNCTION("GOOGLETRANSLATE(G244,""en"",""ur"")"),"زمین پر چھوٹے اہداف کو نشانہ بنانا")</f>
        <v>زمین پر چھوٹے اہداف کو نشانہ بنانا</v>
      </c>
      <c r="S244" s="6" t="s">
        <v>1136</v>
      </c>
    </row>
    <row r="245">
      <c r="A245" s="7">
        <v>244.0</v>
      </c>
      <c r="B245" s="6" t="s">
        <v>248</v>
      </c>
      <c r="C245" s="6" t="s">
        <v>429</v>
      </c>
      <c r="D245" s="6" t="s">
        <v>975</v>
      </c>
      <c r="E245" s="6" t="s">
        <v>976</v>
      </c>
      <c r="F245" s="6" t="s">
        <v>977</v>
      </c>
      <c r="G245" s="6" t="s">
        <v>975</v>
      </c>
      <c r="H245" s="6" t="s">
        <v>1136</v>
      </c>
      <c r="K245" s="2" t="str">
        <f>IFERROR(__xludf.DUMMYFUNCTION("GOOGLETRANSLATE(A245,""en"",""ur"")"),"244")</f>
        <v>244</v>
      </c>
      <c r="L245" s="2" t="str">
        <f>IFERROR(__xludf.DUMMYFUNCTION("GOOGLETRANSLATE(B245,""en"",""ur"")"),"سواروں کی ظاہری باڈی پوزیشن کیا ہے؟")</f>
        <v>سواروں کی ظاہری باڈی پوزیشن کیا ہے؟</v>
      </c>
      <c r="M245" s="2" t="str">
        <f>IFERROR(__xludf.DUMMYFUNCTION("GOOGLETRANSLATE(C245,""en"",""ur"")"),"سیدھا کھڑا ہونا")</f>
        <v>سیدھا کھڑا ہونا</v>
      </c>
      <c r="N245" s="2" t="str">
        <f>IFERROR(__xludf.DUMMYFUNCTION("GOOGLETRANSLATE(D245,""en"",""ur"")"),"نیچے اور طرف جھکنا")</f>
        <v>نیچے اور طرف جھکنا</v>
      </c>
      <c r="O245" s="2" t="str">
        <f>IFERROR(__xludf.DUMMYFUNCTION("GOOGLETRANSLATE(E245,""en"",""ur"")"),"گھوڑے کی پیٹھ پر لیٹنا")</f>
        <v>گھوڑے کی پیٹھ پر لیٹنا</v>
      </c>
      <c r="P245" s="2" t="str">
        <f>IFERROR(__xludf.DUMMYFUNCTION("GOOGLETRANSLATE(F245,""en"",""ur"")"),"آرام سے بیٹھ گیا۔")</f>
        <v>آرام سے بیٹھ گیا۔</v>
      </c>
      <c r="Q245" s="2" t="s">
        <v>978</v>
      </c>
      <c r="R245" s="2" t="str">
        <f>IFERROR(__xludf.DUMMYFUNCTION("GOOGLETRANSLATE(G245,""en"",""ur"")"),"نیچے اور طرف جھکنا")</f>
        <v>نیچے اور طرف جھکنا</v>
      </c>
      <c r="S245" s="6" t="s">
        <v>1136</v>
      </c>
    </row>
    <row r="246">
      <c r="A246" s="7">
        <v>245.0</v>
      </c>
      <c r="B246" s="6" t="s">
        <v>1047</v>
      </c>
      <c r="C246" s="6" t="s">
        <v>980</v>
      </c>
      <c r="D246" s="6" t="s">
        <v>981</v>
      </c>
      <c r="E246" s="6" t="s">
        <v>982</v>
      </c>
      <c r="F246" s="6" t="s">
        <v>983</v>
      </c>
      <c r="G246" s="6" t="s">
        <v>982</v>
      </c>
      <c r="H246" s="6" t="s">
        <v>1136</v>
      </c>
      <c r="K246" s="2" t="str">
        <f>IFERROR(__xludf.DUMMYFUNCTION("GOOGLETRANSLATE(A246,""en"",""ur"")"),"245")</f>
        <v>245</v>
      </c>
      <c r="L246" s="2" t="str">
        <f>IFERROR(__xludf.DUMMYFUNCTION("GOOGLETRANSLATE(B246,""en"",""ur"")"),"گھوڑوں کے پیچھے زمین کی ظاہری حالت کیا ہے؟")</f>
        <v>گھوڑوں کے پیچھے زمین کی ظاہری حالت کیا ہے؟</v>
      </c>
      <c r="M246" s="2" t="str">
        <f>IFERROR(__xludf.DUMMYFUNCTION("GOOGLETRANSLATE(C246,""en"",""ur"")"),"بالکل ہموار")</f>
        <v>بالکل ہموار</v>
      </c>
      <c r="N246" s="2" t="str">
        <f>IFERROR(__xludf.DUMMYFUNCTION("GOOGLETRANSLATE(D246,""en"",""ur"")"),"تازہ گھاس میں ڈھکا ہوا ہے۔")</f>
        <v>تازہ گھاس میں ڈھکا ہوا ہے۔</v>
      </c>
      <c r="O246" s="2" t="str">
        <f>IFERROR(__xludf.DUMMYFUNCTION("GOOGLETRANSLATE(E246,""en"",""ur"")"),"غبار کے بادل میں اُٹھ گیا۔")</f>
        <v>غبار کے بادل میں اُٹھ گیا۔</v>
      </c>
      <c r="P246" s="2" t="str">
        <f>IFERROR(__xludf.DUMMYFUNCTION("GOOGLETRANSLATE(F246,""en"",""ur"")"),"پانی سے بھرا ہوا ۔")</f>
        <v>پانی سے بھرا ہوا ۔</v>
      </c>
      <c r="Q246" s="2" t="s">
        <v>984</v>
      </c>
      <c r="R246" s="2" t="str">
        <f>IFERROR(__xludf.DUMMYFUNCTION("GOOGLETRANSLATE(G246,""en"",""ur"")"),"غبار کے بادل میں اُٹھ گیا۔")</f>
        <v>غبار کے بادل میں اُٹھ گیا۔</v>
      </c>
      <c r="S246" s="6" t="s">
        <v>1136</v>
      </c>
    </row>
    <row r="247">
      <c r="A247" s="7">
        <v>246.0</v>
      </c>
      <c r="B247" s="6" t="s">
        <v>1048</v>
      </c>
      <c r="C247" s="6" t="s">
        <v>986</v>
      </c>
      <c r="D247" s="6" t="s">
        <v>1072</v>
      </c>
      <c r="E247" s="6" t="s">
        <v>988</v>
      </c>
      <c r="F247" s="6" t="s">
        <v>989</v>
      </c>
      <c r="G247" s="6" t="s">
        <v>1072</v>
      </c>
      <c r="H247" s="6" t="s">
        <v>1136</v>
      </c>
      <c r="K247" s="2" t="str">
        <f>IFERROR(__xludf.DUMMYFUNCTION("GOOGLETRANSLATE(A247,""en"",""ur"")"),"246")</f>
        <v>246</v>
      </c>
      <c r="L247" s="2" t="str">
        <f>IFERROR(__xludf.DUMMYFUNCTION("GOOGLETRANSLATE(B247,""en"",""ur"")"),"گھوڑوں کے ٹیک کی سب سے نمایاں خصوصیت کیا ہے؟")</f>
        <v>گھوڑوں کے ٹیک کی سب سے نمایاں خصوصیت کیا ہے؟</v>
      </c>
      <c r="M247" s="2" t="str">
        <f>IFERROR(__xludf.DUMMYFUNCTION("GOOGLETRANSLATE(C247,""en"",""ur"")"),"یہ ایک سادہ سی کاٹھی ہے۔")</f>
        <v>یہ ایک سادہ سی کاٹھی ہے۔</v>
      </c>
      <c r="N247" s="2" t="str">
        <f>IFERROR(__xludf.DUMMYFUNCTION("GOOGLETRANSLATE(D247,""en"",""ur"")"),"یہ سبز آرائش کے ساتھ ایک انتہائی آرائشی کاٹھی ہے۔")</f>
        <v>یہ سبز آرائش کے ساتھ ایک انتہائی آرائشی کاٹھی ہے۔</v>
      </c>
      <c r="O247" s="2" t="str">
        <f>IFERROR(__xludf.DUMMYFUNCTION("GOOGLETRANSLATE(E247,""en"",""ur"")"),"یہ ایک ننگا پیڈ ہے۔")</f>
        <v>یہ ایک ننگا پیڈ ہے۔</v>
      </c>
      <c r="P247" s="2" t="str">
        <f>IFERROR(__xludf.DUMMYFUNCTION("GOOGLETRANSLATE(F247,""en"",""ur"")"),"یہ ایک ریسنگ سیڈل ہے۔")</f>
        <v>یہ ایک ریسنگ سیڈل ہے۔</v>
      </c>
      <c r="Q247" s="2" t="s">
        <v>1073</v>
      </c>
      <c r="R247" s="2" t="str">
        <f>IFERROR(__xludf.DUMMYFUNCTION("GOOGLETRANSLATE(G247,""en"",""ur"")"),"یہ سبز آرائش کے ساتھ ایک انتہائی آرائشی کاٹھی ہے۔")</f>
        <v>یہ سبز آرائش کے ساتھ ایک انتہائی آرائشی کاٹھی ہے۔</v>
      </c>
      <c r="S247" s="6" t="s">
        <v>1136</v>
      </c>
    </row>
    <row r="248">
      <c r="A248" s="7">
        <v>247.0</v>
      </c>
      <c r="B248" s="6" t="s">
        <v>991</v>
      </c>
      <c r="C248" s="6" t="s">
        <v>992</v>
      </c>
      <c r="D248" s="6" t="s">
        <v>646</v>
      </c>
      <c r="E248" s="6" t="s">
        <v>993</v>
      </c>
      <c r="F248" s="6" t="s">
        <v>1137</v>
      </c>
      <c r="G248" s="6" t="s">
        <v>1138</v>
      </c>
      <c r="H248" s="6" t="s">
        <v>1136</v>
      </c>
      <c r="K248" s="2" t="str">
        <f>IFERROR(__xludf.DUMMYFUNCTION("GOOGLETRANSLATE(A248,""en"",""ur"")"),"247")</f>
        <v>247</v>
      </c>
      <c r="L248" s="2" t="str">
        <f>IFERROR(__xludf.DUMMYFUNCTION("GOOGLETRANSLATE(B248,""en"",""ur"")"),"واقعہ کی ظاہری ترتیب کیا ہے؟")</f>
        <v>واقعہ کی ظاہری ترتیب کیا ہے؟</v>
      </c>
      <c r="M248" s="2" t="str">
        <f>IFERROR(__xludf.DUMMYFUNCTION("GOOGLETRANSLATE(C248,""en"",""ur"")"),"ایک اندرونی میدان")</f>
        <v>ایک اندرونی میدان</v>
      </c>
      <c r="N248" s="2" t="str">
        <f>IFERROR(__xludf.DUMMYFUNCTION("GOOGLETRANSLATE(D248,""en"",""ur"")"),"شہر کی ایک گلی")</f>
        <v>شہر کی ایک گلی</v>
      </c>
      <c r="O248" s="2" t="str">
        <f>IFERROR(__xludf.DUMMYFUNCTION("GOOGLETRANSLATE(E248,""en"",""ur"")"),"ایک بیرونی گندگی کا ٹریک")</f>
        <v>ایک بیرونی گندگی کا ٹریک</v>
      </c>
      <c r="P248" s="2" t="str">
        <f>IFERROR(__xludf.DUMMYFUNCTION("GOOGLETRANSLATE(F248,""en"",""ur"")"),"تماشائیوں اور بینرز کے ساتھ ایک گھاس والا میدان")</f>
        <v>تماشائیوں اور بینرز کے ساتھ ایک گھاس والا میدان</v>
      </c>
      <c r="Q248" s="2" t="s">
        <v>1139</v>
      </c>
      <c r="R248" s="2" t="str">
        <f>IFERROR(__xludf.DUMMYFUNCTION("GOOGLETRANSLATE(G248,""en"",""ur"")"),"تماشائیوں اور بینرز کے ساتھ ایک بیرونی گندگی کا ٹریک")</f>
        <v>تماشائیوں اور بینرز کے ساتھ ایک بیرونی گندگی کا ٹریک</v>
      </c>
      <c r="S248" s="6" t="s">
        <v>1136</v>
      </c>
    </row>
    <row r="249">
      <c r="A249" s="7">
        <v>248.0</v>
      </c>
      <c r="B249" s="6" t="s">
        <v>1036</v>
      </c>
      <c r="C249" s="6" t="s">
        <v>95</v>
      </c>
      <c r="D249" s="6" t="s">
        <v>96</v>
      </c>
      <c r="E249" s="6" t="s">
        <v>1015</v>
      </c>
      <c r="F249" s="6" t="s">
        <v>258</v>
      </c>
      <c r="G249" s="6" t="s">
        <v>1015</v>
      </c>
      <c r="H249" s="6" t="s">
        <v>1136</v>
      </c>
      <c r="K249" s="2" t="str">
        <f>IFERROR(__xludf.DUMMYFUNCTION("GOOGLETRANSLATE(A249,""en"",""ur"")"),"248")</f>
        <v>248</v>
      </c>
      <c r="L249" s="2" t="str">
        <f>IFERROR(__xludf.DUMMYFUNCTION("GOOGLETRANSLATE(B249,""en"",""ur"")"),"کھیل کا نام کیا ہے؟")</f>
        <v>کھیل کا نام کیا ہے؟</v>
      </c>
      <c r="M249" s="2" t="str">
        <f>IFERROR(__xludf.DUMMYFUNCTION("GOOGLETRANSLATE(C249,""en"",""ur"")"),"پولو")</f>
        <v>پولو</v>
      </c>
      <c r="N249" s="2" t="str">
        <f>IFERROR(__xludf.DUMMYFUNCTION("GOOGLETRANSLATE(D249,""en"",""ur"")"),"گھوڑوں کی دوڑ")</f>
        <v>گھوڑوں کی دوڑ</v>
      </c>
      <c r="O249" s="2" t="str">
        <f>IFERROR(__xludf.DUMMYFUNCTION("GOOGLETRANSLATE(E249,""en"",""ur"")"),"ٹینٹ پیگنگ")</f>
        <v>ٹینٹ پیگنگ</v>
      </c>
      <c r="P249" s="2" t="str">
        <f>IFERROR(__xludf.DUMMYFUNCTION("GOOGLETRANSLATE(F249,""en"",""ur"")"),"گھڑ سواری کے کھیل")</f>
        <v>گھڑ سواری کے کھیل</v>
      </c>
      <c r="Q249" s="2" t="s">
        <v>1016</v>
      </c>
      <c r="R249" s="2" t="str">
        <f>IFERROR(__xludf.DUMMYFUNCTION("GOOGLETRANSLATE(G249,""en"",""ur"")"),"ٹینٹ پیگنگ")</f>
        <v>ٹینٹ پیگنگ</v>
      </c>
      <c r="S249" s="6" t="s">
        <v>1136</v>
      </c>
    </row>
    <row r="250">
      <c r="A250" s="7">
        <v>249.0</v>
      </c>
      <c r="B250" s="6" t="s">
        <v>254</v>
      </c>
      <c r="C250" s="6" t="s">
        <v>47</v>
      </c>
      <c r="D250" s="6" t="s">
        <v>48</v>
      </c>
      <c r="E250" s="6" t="s">
        <v>49</v>
      </c>
      <c r="F250" s="6" t="s">
        <v>50</v>
      </c>
      <c r="G250" s="6" t="s">
        <v>49</v>
      </c>
      <c r="H250" s="6" t="s">
        <v>1136</v>
      </c>
      <c r="K250" s="2" t="str">
        <f>IFERROR(__xludf.DUMMYFUNCTION("GOOGLETRANSLATE(A250,""en"",""ur"")"),"249")</f>
        <v>249</v>
      </c>
      <c r="L250" s="2" t="str">
        <f>IFERROR(__xludf.DUMMYFUNCTION("GOOGLETRANSLATE(B250,""en"",""ur"")"),"سواروں کے چہروں سے ظاہری جذبات کیا ہیں؟")</f>
        <v>سواروں کے چہروں سے ظاہری جذبات کیا ہیں؟</v>
      </c>
      <c r="M250" s="2" t="str">
        <f>IFERROR(__xludf.DUMMYFUNCTION("GOOGLETRANSLATE(C250,""en"",""ur"")"),"پرسکون اور پر سکون")</f>
        <v>پرسکون اور پر سکون</v>
      </c>
      <c r="N250" s="2" t="str">
        <f>IFERROR(__xludf.DUMMYFUNCTION("GOOGLETRANSLATE(D250,""en"",""ur"")"),"خوف زدہ اور بے چین")</f>
        <v>خوف زدہ اور بے چین</v>
      </c>
      <c r="O250" s="2" t="str">
        <f>IFERROR(__xludf.DUMMYFUNCTION("GOOGLETRANSLATE(E250,""en"",""ur"")"),"کشیدہ اور شدید")</f>
        <v>کشیدہ اور شدید</v>
      </c>
      <c r="P250" s="2" t="str">
        <f>IFERROR(__xludf.DUMMYFUNCTION("GOOGLETRANSLATE(F250,""en"",""ur"")"),"خوش اور مسکراتے ہوئے۔")</f>
        <v>خوش اور مسکراتے ہوئے۔</v>
      </c>
      <c r="Q250" s="2" t="s">
        <v>51</v>
      </c>
      <c r="R250" s="2" t="str">
        <f>IFERROR(__xludf.DUMMYFUNCTION("GOOGLETRANSLATE(G250,""en"",""ur"")"),"کشیدہ اور شدید")</f>
        <v>کشیدہ اور شدید</v>
      </c>
      <c r="S250" s="6" t="s">
        <v>1136</v>
      </c>
    </row>
    <row r="251">
      <c r="A251" s="7">
        <v>250.0</v>
      </c>
      <c r="B251" s="6" t="s">
        <v>260</v>
      </c>
      <c r="C251" s="6" t="s">
        <v>261</v>
      </c>
      <c r="D251" s="6" t="s">
        <v>262</v>
      </c>
      <c r="E251" s="6" t="s">
        <v>263</v>
      </c>
      <c r="F251" s="6" t="s">
        <v>1001</v>
      </c>
      <c r="G251" s="6" t="s">
        <v>1001</v>
      </c>
      <c r="H251" s="6" t="s">
        <v>1136</v>
      </c>
      <c r="K251" s="2" t="str">
        <f>IFERROR(__xludf.DUMMYFUNCTION("GOOGLETRANSLATE(A251,""en"",""ur"")"),"250")</f>
        <v>250</v>
      </c>
      <c r="L251" s="2" t="str">
        <f>IFERROR(__xludf.DUMMYFUNCTION("GOOGLETRANSLATE(B251,""en"",""ur"")"),"تصویر میں ایکشن ایک ایسا انداز تجویز کرتا ہے جو اس بات پر زور دیتا ہے...")</f>
        <v>تصویر میں ایکشن ایک ایسا انداز تجویز کرتا ہے جو اس بات پر زور دیتا ہے...</v>
      </c>
      <c r="M251" s="2" t="str">
        <f>IFERROR(__xludf.DUMMYFUNCTION("GOOGLETRANSLATE(C251,""en"",""ur"")"),"روانی اور قلابازیاں")</f>
        <v>روانی اور قلابازیاں</v>
      </c>
      <c r="N251" s="2" t="str">
        <f>IFERROR(__xludf.DUMMYFUNCTION("GOOGLETRANSLATE(D251,""en"",""ur"")"),"زمینی لڑائی اور گرفت")</f>
        <v>زمینی لڑائی اور گرفت</v>
      </c>
      <c r="O251" s="2" t="str">
        <f>IFERROR(__xludf.DUMMYFUNCTION("GOOGLETRANSLATE(E251,""en"",""ur"")"),"وحشیانہ قوت اور گھڑ سواری۔")</f>
        <v>وحشیانہ قوت اور گھڑ سواری۔</v>
      </c>
      <c r="P251" s="2" t="str">
        <f>IFERROR(__xludf.DUMMYFUNCTION("GOOGLETRANSLATE(F251,""en"",""ur"")"),"رفتار، درستگی اور چستی")</f>
        <v>رفتار، درستگی اور چستی</v>
      </c>
      <c r="Q251" s="2" t="s">
        <v>1002</v>
      </c>
      <c r="R251" s="2" t="str">
        <f>IFERROR(__xludf.DUMMYFUNCTION("GOOGLETRANSLATE(G251,""en"",""ur"")"),"رفتار، درستگی اور چستی")</f>
        <v>رفتار، درستگی اور چستی</v>
      </c>
      <c r="S251" s="6" t="s">
        <v>1136</v>
      </c>
    </row>
    <row r="252">
      <c r="A252" s="7">
        <v>251.0</v>
      </c>
      <c r="B252" s="6" t="s">
        <v>1140</v>
      </c>
      <c r="C252" s="6" t="s">
        <v>103</v>
      </c>
      <c r="D252" s="6" t="s">
        <v>959</v>
      </c>
      <c r="E252" s="6" t="s">
        <v>1004</v>
      </c>
      <c r="F252" s="6" t="s">
        <v>73</v>
      </c>
      <c r="G252" s="6" t="s">
        <v>103</v>
      </c>
      <c r="H252" s="6" t="s">
        <v>1141</v>
      </c>
      <c r="K252" s="2" t="str">
        <f>IFERROR(__xludf.DUMMYFUNCTION("GOOGLETRANSLATE(A252,""en"",""ur"")"),"251")</f>
        <v>251</v>
      </c>
      <c r="L252" s="2" t="str">
        <f>IFERROR(__xludf.DUMMYFUNCTION("GOOGLETRANSLATE(B252,""en"",""ur"")"),"tent_pegging_57 میں دکھائی جانے والی اہم کارروائی کیا ہے؟")</f>
        <v>tent_pegging_57 میں دکھائی جانے والی اہم کارروائی کیا ہے؟</v>
      </c>
      <c r="M252" s="2" t="str">
        <f>IFERROR(__xludf.DUMMYFUNCTION("GOOGLETRANSLATE(C252,""en"",""ur"")"),"آرام سے گھوڑے کی سواری۔")</f>
        <v>آرام سے گھوڑے کی سواری۔</v>
      </c>
      <c r="N252" s="2" t="str">
        <f>IFERROR(__xludf.DUMMYFUNCTION("GOOGLETRANSLATE(D252,""en"",""ur"")"),"ٹینٹ پیگنگ ایونٹ میں مقابلہ کرنے والا سوار")</f>
        <v>ٹینٹ پیگنگ ایونٹ میں مقابلہ کرنے والا سوار</v>
      </c>
      <c r="O252" s="2" t="str">
        <f>IFERROR(__xludf.DUMMYFUNCTION("GOOGLETRANSLATE(E252,""en"",""ur"")"),"سواروں کی پریڈ")</f>
        <v>سواروں کی پریڈ</v>
      </c>
      <c r="P252" s="2" t="str">
        <f>IFERROR(__xludf.DUMMYFUNCTION("GOOGLETRANSLATE(F252,""en"",""ur"")"),"گھوڑوں کی دوڑ")</f>
        <v>گھوڑوں کی دوڑ</v>
      </c>
      <c r="Q252" s="2" t="s">
        <v>1142</v>
      </c>
      <c r="R252" s="2" t="str">
        <f>IFERROR(__xludf.DUMMYFUNCTION("GOOGLETRANSLATE(G252,""en"",""ur"")"),"آرام سے گھوڑے کی سواری۔")</f>
        <v>آرام سے گھوڑے کی سواری۔</v>
      </c>
      <c r="S252" s="6" t="s">
        <v>1141</v>
      </c>
    </row>
    <row r="253">
      <c r="A253" s="7">
        <v>252.0</v>
      </c>
      <c r="B253" s="6" t="s">
        <v>963</v>
      </c>
      <c r="C253" s="6" t="s">
        <v>964</v>
      </c>
      <c r="D253" s="6" t="s">
        <v>1063</v>
      </c>
      <c r="E253" s="6" t="s">
        <v>966</v>
      </c>
      <c r="F253" s="6" t="s">
        <v>967</v>
      </c>
      <c r="G253" s="6" t="s">
        <v>1063</v>
      </c>
      <c r="H253" s="6" t="s">
        <v>1141</v>
      </c>
      <c r="K253" s="2" t="str">
        <f>IFERROR(__xludf.DUMMYFUNCTION("GOOGLETRANSLATE(A253,""en"",""ur"")"),"252")</f>
        <v>252</v>
      </c>
      <c r="L253" s="2" t="str">
        <f>IFERROR(__xludf.DUMMYFUNCTION("GOOGLETRANSLATE(B253,""en"",""ur"")"),"سوار کے لباس کے بارے میں ایک قابل ذکر تفصیل کیا ہے؟")</f>
        <v>سوار کے لباس کے بارے میں ایک قابل ذکر تفصیل کیا ہے؟</v>
      </c>
      <c r="M253" s="2" t="str">
        <f>IFERROR(__xludf.DUMMYFUNCTION("GOOGLETRANSLATE(C253,""en"",""ur"")"),"ایک رسمی سوٹ اور ٹائی")</f>
        <v>ایک رسمی سوٹ اور ٹائی</v>
      </c>
      <c r="N253" s="2" t="str">
        <f>IFERROR(__xludf.DUMMYFUNCTION("GOOGLETRANSLATE(D253,""en"",""ur"")"),"سرخ پگڑی اور بنیان والا سفید روایتی لباس")</f>
        <v>سرخ پگڑی اور بنیان والا سفید روایتی لباس</v>
      </c>
      <c r="O253" s="2" t="str">
        <f>IFERROR(__xludf.DUMMYFUNCTION("GOOGLETRANSLATE(E253,""en"",""ur"")"),"فوجی وردی")</f>
        <v>فوجی وردی</v>
      </c>
      <c r="P253" s="2" t="str">
        <f>IFERROR(__xludf.DUMMYFUNCTION("GOOGLETRANSLATE(F253,""en"",""ur"")"),"ایک جدید کھیلوں کا یونیفارم")</f>
        <v>ایک جدید کھیلوں کا یونیفارم</v>
      </c>
      <c r="Q253" s="2" t="s">
        <v>1064</v>
      </c>
      <c r="R253" s="2" t="str">
        <f>IFERROR(__xludf.DUMMYFUNCTION("GOOGLETRANSLATE(G253,""en"",""ur"")"),"سرخ پگڑی اور بنیان والا سفید روایتی لباس")</f>
        <v>سرخ پگڑی اور بنیان والا سفید روایتی لباس</v>
      </c>
      <c r="S253" s="6" t="s">
        <v>1141</v>
      </c>
    </row>
    <row r="254">
      <c r="A254" s="7">
        <v>253.0</v>
      </c>
      <c r="B254" s="6" t="s">
        <v>317</v>
      </c>
      <c r="C254" s="6" t="s">
        <v>1143</v>
      </c>
      <c r="D254" s="6" t="s">
        <v>1144</v>
      </c>
      <c r="E254" s="6" t="s">
        <v>1145</v>
      </c>
      <c r="F254" s="6" t="s">
        <v>1146</v>
      </c>
      <c r="G254" s="6" t="s">
        <v>1143</v>
      </c>
      <c r="H254" s="6" t="s">
        <v>1141</v>
      </c>
      <c r="K254" s="2" t="str">
        <f>IFERROR(__xludf.DUMMYFUNCTION("GOOGLETRANSLATE(A254,""en"",""ur"")"),"253")</f>
        <v>253</v>
      </c>
      <c r="L254" s="2" t="str">
        <f>IFERROR(__xludf.DUMMYFUNCTION("GOOGLETRANSLATE(B254,""en"",""ur"")"),"گھوڑے کے بارے میں ایک قابل ذکر تفصیل کیا ہے؟")</f>
        <v>گھوڑے کے بارے میں ایک قابل ذکر تفصیل کیا ہے؟</v>
      </c>
      <c r="M254" s="2" t="str">
        <f>IFERROR(__xludf.DUMMYFUNCTION("GOOGLETRANSLATE(C254,""en"",""ur"")"),"یہ آرائشی ٹیک کے ساتھ ایک سفید گھوڑا ہے۔")</f>
        <v>یہ آرائشی ٹیک کے ساتھ ایک سفید گھوڑا ہے۔</v>
      </c>
      <c r="N254" s="2" t="str">
        <f>IFERROR(__xludf.DUMMYFUNCTION("GOOGLETRANSLATE(D254,""en"",""ur"")"),"یہ ایک بھورے رنگ کا گھوڑا ہے جس کا سادہ ٹیک ہے۔")</f>
        <v>یہ ایک بھورے رنگ کا گھوڑا ہے جس کا سادہ ٹیک ہے۔</v>
      </c>
      <c r="O254" s="2" t="str">
        <f>IFERROR(__xludf.DUMMYFUNCTION("GOOGLETRANSLATE(E254,""en"",""ur"")"),"یہ ایک سیاہ گھوڑا ہے جس میں زین نہیں ہے۔")</f>
        <v>یہ ایک سیاہ گھوڑا ہے جس میں زین نہیں ہے۔</v>
      </c>
      <c r="P254" s="2" t="str">
        <f>IFERROR(__xludf.DUMMYFUNCTION("GOOGLETRANSLATE(F254,""en"",""ur"")"),"یہ رنگوں کا مرکب ہے۔")</f>
        <v>یہ رنگوں کا مرکب ہے۔</v>
      </c>
      <c r="Q254" s="2" t="s">
        <v>1147</v>
      </c>
      <c r="R254" s="2" t="str">
        <f>IFERROR(__xludf.DUMMYFUNCTION("GOOGLETRANSLATE(G254,""en"",""ur"")"),"یہ آرائشی ٹیک کے ساتھ ایک سفید گھوڑا ہے۔")</f>
        <v>یہ آرائشی ٹیک کے ساتھ ایک سفید گھوڑا ہے۔</v>
      </c>
      <c r="S254" s="6" t="s">
        <v>1141</v>
      </c>
    </row>
    <row r="255">
      <c r="A255" s="7">
        <v>254.0</v>
      </c>
      <c r="B255" s="6" t="s">
        <v>310</v>
      </c>
      <c r="C255" s="6" t="s">
        <v>429</v>
      </c>
      <c r="D255" s="6" t="s">
        <v>975</v>
      </c>
      <c r="E255" s="6" t="s">
        <v>976</v>
      </c>
      <c r="F255" s="6" t="s">
        <v>977</v>
      </c>
      <c r="G255" s="6" t="s">
        <v>977</v>
      </c>
      <c r="H255" s="6" t="s">
        <v>1141</v>
      </c>
      <c r="K255" s="2" t="str">
        <f>IFERROR(__xludf.DUMMYFUNCTION("GOOGLETRANSLATE(A255,""en"",""ur"")"),"254")</f>
        <v>254</v>
      </c>
      <c r="L255" s="2" t="str">
        <f>IFERROR(__xludf.DUMMYFUNCTION("GOOGLETRANSLATE(B255,""en"",""ur"")"),"سوار کی ظاہری باڈی پوزیشن کیا ہے؟")</f>
        <v>سوار کی ظاہری باڈی پوزیشن کیا ہے؟</v>
      </c>
      <c r="M255" s="2" t="str">
        <f>IFERROR(__xludf.DUMMYFUNCTION("GOOGLETRANSLATE(C255,""en"",""ur"")"),"سیدھا کھڑا ہونا")</f>
        <v>سیدھا کھڑا ہونا</v>
      </c>
      <c r="N255" s="2" t="str">
        <f>IFERROR(__xludf.DUMMYFUNCTION("GOOGLETRANSLATE(D255,""en"",""ur"")"),"نیچے اور طرف جھکنا")</f>
        <v>نیچے اور طرف جھکنا</v>
      </c>
      <c r="O255" s="2" t="str">
        <f>IFERROR(__xludf.DUMMYFUNCTION("GOOGLETRANSLATE(E255,""en"",""ur"")"),"گھوڑے کی پیٹھ پر لیٹنا")</f>
        <v>گھوڑے کی پیٹھ پر لیٹنا</v>
      </c>
      <c r="P255" s="2" t="str">
        <f>IFERROR(__xludf.DUMMYFUNCTION("GOOGLETRANSLATE(F255,""en"",""ur"")"),"آرام سے بیٹھ گیا۔")</f>
        <v>آرام سے بیٹھ گیا۔</v>
      </c>
      <c r="Q255" s="2" t="s">
        <v>978</v>
      </c>
      <c r="R255" s="2" t="str">
        <f>IFERROR(__xludf.DUMMYFUNCTION("GOOGLETRANSLATE(G255,""en"",""ur"")"),"آرام سے بیٹھ گیا۔")</f>
        <v>آرام سے بیٹھ گیا۔</v>
      </c>
      <c r="S255" s="6" t="s">
        <v>1141</v>
      </c>
    </row>
    <row r="256">
      <c r="A256" s="7">
        <v>255.0</v>
      </c>
      <c r="B256" s="6" t="s">
        <v>979</v>
      </c>
      <c r="C256" s="6" t="s">
        <v>980</v>
      </c>
      <c r="D256" s="6" t="s">
        <v>981</v>
      </c>
      <c r="E256" s="6" t="s">
        <v>982</v>
      </c>
      <c r="F256" s="6" t="s">
        <v>983</v>
      </c>
      <c r="G256" s="6" t="s">
        <v>982</v>
      </c>
      <c r="H256" s="6" t="s">
        <v>1141</v>
      </c>
      <c r="K256" s="2" t="str">
        <f>IFERROR(__xludf.DUMMYFUNCTION("GOOGLETRANSLATE(A256,""en"",""ur"")"),"255")</f>
        <v>255</v>
      </c>
      <c r="L256" s="2" t="str">
        <f>IFERROR(__xludf.DUMMYFUNCTION("GOOGLETRANSLATE(B256,""en"",""ur"")"),"گھوڑے کے پیچھے زمین کی ظاہری حالت کیا ہے؟")</f>
        <v>گھوڑے کے پیچھے زمین کی ظاہری حالت کیا ہے؟</v>
      </c>
      <c r="M256" s="2" t="str">
        <f>IFERROR(__xludf.DUMMYFUNCTION("GOOGLETRANSLATE(C256,""en"",""ur"")"),"بالکل ہموار")</f>
        <v>بالکل ہموار</v>
      </c>
      <c r="N256" s="2" t="str">
        <f>IFERROR(__xludf.DUMMYFUNCTION("GOOGLETRANSLATE(D256,""en"",""ur"")"),"تازہ گھاس میں ڈھکا ہوا ہے۔")</f>
        <v>تازہ گھاس میں ڈھکا ہوا ہے۔</v>
      </c>
      <c r="O256" s="2" t="str">
        <f>IFERROR(__xludf.DUMMYFUNCTION("GOOGLETRANSLATE(E256,""en"",""ur"")"),"غبار کے بادل میں اُٹھ گیا۔")</f>
        <v>غبار کے بادل میں اُٹھ گیا۔</v>
      </c>
      <c r="P256" s="2" t="str">
        <f>IFERROR(__xludf.DUMMYFUNCTION("GOOGLETRANSLATE(F256,""en"",""ur"")"),"پانی سے بھرا ہوا ۔")</f>
        <v>پانی سے بھرا ہوا ۔</v>
      </c>
      <c r="Q256" s="2" t="s">
        <v>984</v>
      </c>
      <c r="R256" s="2" t="str">
        <f>IFERROR(__xludf.DUMMYFUNCTION("GOOGLETRANSLATE(G256,""en"",""ur"")"),"غبار کے بادل میں اُٹھ گیا۔")</f>
        <v>غبار کے بادل میں اُٹھ گیا۔</v>
      </c>
      <c r="S256" s="6" t="s">
        <v>1141</v>
      </c>
    </row>
    <row r="257">
      <c r="A257" s="7">
        <v>256.0</v>
      </c>
      <c r="B257" s="6" t="s">
        <v>985</v>
      </c>
      <c r="C257" s="6" t="s">
        <v>986</v>
      </c>
      <c r="D257" s="6" t="s">
        <v>987</v>
      </c>
      <c r="E257" s="6" t="s">
        <v>988</v>
      </c>
      <c r="F257" s="6" t="s">
        <v>989</v>
      </c>
      <c r="G257" s="6" t="s">
        <v>987</v>
      </c>
      <c r="H257" s="6" t="s">
        <v>1141</v>
      </c>
      <c r="K257" s="2" t="str">
        <f>IFERROR(__xludf.DUMMYFUNCTION("GOOGLETRANSLATE(A257,""en"",""ur"")"),"256")</f>
        <v>256</v>
      </c>
      <c r="L257" s="2" t="str">
        <f>IFERROR(__xludf.DUMMYFUNCTION("GOOGLETRANSLATE(B257,""en"",""ur"")"),"گھوڑے کے ٹیک کی سب سے نمایاں خصوصیت کیا ہے؟")</f>
        <v>گھوڑے کے ٹیک کی سب سے نمایاں خصوصیت کیا ہے؟</v>
      </c>
      <c r="M257" s="2" t="str">
        <f>IFERROR(__xludf.DUMMYFUNCTION("GOOGLETRANSLATE(C257,""en"",""ur"")"),"یہ ایک سادہ سی کاٹھی ہے۔")</f>
        <v>یہ ایک سادہ سی کاٹھی ہے۔</v>
      </c>
      <c r="N257" s="2" t="str">
        <f>IFERROR(__xludf.DUMMYFUNCTION("GOOGLETRANSLATE(D257,""en"",""ur"")"),"یہ نیلے رنگ کے زیورات کے ساتھ ایک انتہائی آرائشی کاٹھی ہے۔")</f>
        <v>یہ نیلے رنگ کے زیورات کے ساتھ ایک انتہائی آرائشی کاٹھی ہے۔</v>
      </c>
      <c r="O257" s="2" t="str">
        <f>IFERROR(__xludf.DUMMYFUNCTION("GOOGLETRANSLATE(E257,""en"",""ur"")"),"یہ ایک ننگا پیڈ ہے۔")</f>
        <v>یہ ایک ننگا پیڈ ہے۔</v>
      </c>
      <c r="P257" s="2" t="str">
        <f>IFERROR(__xludf.DUMMYFUNCTION("GOOGLETRANSLATE(F257,""en"",""ur"")"),"یہ ایک ریسنگ سیڈل ہے۔")</f>
        <v>یہ ایک ریسنگ سیڈل ہے۔</v>
      </c>
      <c r="Q257" s="2" t="s">
        <v>990</v>
      </c>
      <c r="R257" s="2" t="str">
        <f>IFERROR(__xludf.DUMMYFUNCTION("GOOGLETRANSLATE(G257,""en"",""ur"")"),"یہ نیلے رنگ کے زیورات کے ساتھ ایک انتہائی آرائشی کاٹھی ہے۔")</f>
        <v>یہ نیلے رنگ کے زیورات کے ساتھ ایک انتہائی آرائشی کاٹھی ہے۔</v>
      </c>
      <c r="S257" s="6" t="s">
        <v>1141</v>
      </c>
    </row>
    <row r="258">
      <c r="A258" s="7">
        <v>257.0</v>
      </c>
      <c r="B258" s="6" t="s">
        <v>991</v>
      </c>
      <c r="C258" s="6" t="s">
        <v>992</v>
      </c>
      <c r="D258" s="6" t="s">
        <v>646</v>
      </c>
      <c r="E258" s="6" t="s">
        <v>1034</v>
      </c>
      <c r="F258" s="6" t="s">
        <v>425</v>
      </c>
      <c r="G258" s="6" t="s">
        <v>1034</v>
      </c>
      <c r="H258" s="6" t="s">
        <v>1141</v>
      </c>
      <c r="K258" s="2" t="str">
        <f>IFERROR(__xludf.DUMMYFUNCTION("GOOGLETRANSLATE(A258,""en"",""ur"")"),"257")</f>
        <v>257</v>
      </c>
      <c r="L258" s="2" t="str">
        <f>IFERROR(__xludf.DUMMYFUNCTION("GOOGLETRANSLATE(B258,""en"",""ur"")"),"واقعہ کی ظاہری ترتیب کیا ہے؟")</f>
        <v>واقعہ کی ظاہری ترتیب کیا ہے؟</v>
      </c>
      <c r="M258" s="2" t="str">
        <f>IFERROR(__xludf.DUMMYFUNCTION("GOOGLETRANSLATE(C258,""en"",""ur"")"),"ایک اندرونی میدان")</f>
        <v>ایک اندرونی میدان</v>
      </c>
      <c r="N258" s="2" t="str">
        <f>IFERROR(__xludf.DUMMYFUNCTION("GOOGLETRANSLATE(D258,""en"",""ur"")"),"شہر کی ایک گلی")</f>
        <v>شہر کی ایک گلی</v>
      </c>
      <c r="O258" s="2" t="str">
        <f>IFERROR(__xludf.DUMMYFUNCTION("GOOGLETRANSLATE(E258,""en"",""ur"")"),"بیٹھنے کی جگہ میں تماشائیوں کے ساتھ ایک بیرونی گندگی کا ٹریک")</f>
        <v>بیٹھنے کی جگہ میں تماشائیوں کے ساتھ ایک بیرونی گندگی کا ٹریک</v>
      </c>
      <c r="P258" s="2" t="str">
        <f>IFERROR(__xludf.DUMMYFUNCTION("GOOGLETRANSLATE(F258,""en"",""ur"")"),"گھاس کا میدان")</f>
        <v>گھاس کا میدان</v>
      </c>
      <c r="Q258" s="2" t="s">
        <v>1035</v>
      </c>
      <c r="R258" s="2" t="str">
        <f>IFERROR(__xludf.DUMMYFUNCTION("GOOGLETRANSLATE(G258,""en"",""ur"")"),"بیٹھنے کی جگہ میں تماشائیوں کے ساتھ ایک بیرونی گندگی کا ٹریک")</f>
        <v>بیٹھنے کی جگہ میں تماشائیوں کے ساتھ ایک بیرونی گندگی کا ٹریک</v>
      </c>
      <c r="S258" s="6" t="s">
        <v>1141</v>
      </c>
    </row>
    <row r="259">
      <c r="A259" s="7">
        <v>258.0</v>
      </c>
      <c r="B259" s="6" t="s">
        <v>1036</v>
      </c>
      <c r="C259" s="6" t="s">
        <v>95</v>
      </c>
      <c r="D259" s="6" t="s">
        <v>96</v>
      </c>
      <c r="E259" s="6" t="s">
        <v>1015</v>
      </c>
      <c r="F259" s="6" t="s">
        <v>258</v>
      </c>
      <c r="G259" s="6" t="s">
        <v>1015</v>
      </c>
      <c r="H259" s="6" t="s">
        <v>1141</v>
      </c>
      <c r="K259" s="2" t="str">
        <f>IFERROR(__xludf.DUMMYFUNCTION("GOOGLETRANSLATE(A259,""en"",""ur"")"),"258")</f>
        <v>258</v>
      </c>
      <c r="L259" s="2" t="str">
        <f>IFERROR(__xludf.DUMMYFUNCTION("GOOGLETRANSLATE(B259,""en"",""ur"")"),"کھیل کا نام کیا ہے؟")</f>
        <v>کھیل کا نام کیا ہے؟</v>
      </c>
      <c r="M259" s="2" t="str">
        <f>IFERROR(__xludf.DUMMYFUNCTION("GOOGLETRANSLATE(C259,""en"",""ur"")"),"پولو")</f>
        <v>پولو</v>
      </c>
      <c r="N259" s="2" t="str">
        <f>IFERROR(__xludf.DUMMYFUNCTION("GOOGLETRANSLATE(D259,""en"",""ur"")"),"گھوڑوں کی دوڑ")</f>
        <v>گھوڑوں کی دوڑ</v>
      </c>
      <c r="O259" s="2" t="str">
        <f>IFERROR(__xludf.DUMMYFUNCTION("GOOGLETRANSLATE(E259,""en"",""ur"")"),"ٹینٹ پیگنگ")</f>
        <v>ٹینٹ پیگنگ</v>
      </c>
      <c r="P259" s="2" t="str">
        <f>IFERROR(__xludf.DUMMYFUNCTION("GOOGLETRANSLATE(F259,""en"",""ur"")"),"گھڑ سواری کے کھیل")</f>
        <v>گھڑ سواری کے کھیل</v>
      </c>
      <c r="Q259" s="2" t="s">
        <v>1016</v>
      </c>
      <c r="R259" s="2" t="str">
        <f>IFERROR(__xludf.DUMMYFUNCTION("GOOGLETRANSLATE(G259,""en"",""ur"")"),"ٹینٹ پیگنگ")</f>
        <v>ٹینٹ پیگنگ</v>
      </c>
      <c r="S259" s="6" t="s">
        <v>1141</v>
      </c>
    </row>
    <row r="260">
      <c r="A260" s="7">
        <v>259.0</v>
      </c>
      <c r="B260" s="6" t="s">
        <v>316</v>
      </c>
      <c r="C260" s="6" t="s">
        <v>47</v>
      </c>
      <c r="D260" s="6" t="s">
        <v>48</v>
      </c>
      <c r="E260" s="6" t="s">
        <v>49</v>
      </c>
      <c r="F260" s="6" t="s">
        <v>50</v>
      </c>
      <c r="G260" s="6" t="s">
        <v>47</v>
      </c>
      <c r="H260" s="6" t="s">
        <v>1141</v>
      </c>
      <c r="K260" s="2" t="str">
        <f>IFERROR(__xludf.DUMMYFUNCTION("GOOGLETRANSLATE(A260,""en"",""ur"")"),"259")</f>
        <v>259</v>
      </c>
      <c r="L260" s="2" t="str">
        <f>IFERROR(__xludf.DUMMYFUNCTION("GOOGLETRANSLATE(B260,""en"",""ur"")"),"سوار کے چہرے سے ظاہری جذبات کیا ہیں؟")</f>
        <v>سوار کے چہرے سے ظاہری جذبات کیا ہیں؟</v>
      </c>
      <c r="M260" s="2" t="str">
        <f>IFERROR(__xludf.DUMMYFUNCTION("GOOGLETRANSLATE(C260,""en"",""ur"")"),"پرسکون اور پر سکون")</f>
        <v>پرسکون اور پر سکون</v>
      </c>
      <c r="N260" s="2" t="str">
        <f>IFERROR(__xludf.DUMMYFUNCTION("GOOGLETRANSLATE(D260,""en"",""ur"")"),"خوف زدہ اور بے چین")</f>
        <v>خوف زدہ اور بے چین</v>
      </c>
      <c r="O260" s="2" t="str">
        <f>IFERROR(__xludf.DUMMYFUNCTION("GOOGLETRANSLATE(E260,""en"",""ur"")"),"کشیدہ اور شدید")</f>
        <v>کشیدہ اور شدید</v>
      </c>
      <c r="P260" s="2" t="str">
        <f>IFERROR(__xludf.DUMMYFUNCTION("GOOGLETRANSLATE(F260,""en"",""ur"")"),"خوش اور مسکراتے ہوئے۔")</f>
        <v>خوش اور مسکراتے ہوئے۔</v>
      </c>
      <c r="Q260" s="2" t="s">
        <v>51</v>
      </c>
      <c r="R260" s="2" t="str">
        <f>IFERROR(__xludf.DUMMYFUNCTION("GOOGLETRANSLATE(G260,""en"",""ur"")"),"پرسکون اور پر سکون")</f>
        <v>پرسکون اور پر سکون</v>
      </c>
      <c r="S260" s="6" t="s">
        <v>1141</v>
      </c>
    </row>
    <row r="261">
      <c r="A261" s="7">
        <v>260.0</v>
      </c>
      <c r="B261" s="6" t="s">
        <v>260</v>
      </c>
      <c r="C261" s="6" t="s">
        <v>261</v>
      </c>
      <c r="D261" s="6" t="s">
        <v>262</v>
      </c>
      <c r="E261" s="6" t="s">
        <v>263</v>
      </c>
      <c r="F261" s="6" t="s">
        <v>1001</v>
      </c>
      <c r="G261" s="6" t="s">
        <v>1001</v>
      </c>
      <c r="H261" s="6" t="s">
        <v>1141</v>
      </c>
      <c r="K261" s="2" t="str">
        <f>IFERROR(__xludf.DUMMYFUNCTION("GOOGLETRANSLATE(A261,""en"",""ur"")"),"260")</f>
        <v>260</v>
      </c>
      <c r="L261" s="2" t="str">
        <f>IFERROR(__xludf.DUMMYFUNCTION("GOOGLETRANSLATE(B261,""en"",""ur"")"),"تصویر میں ایکشن ایک ایسا انداز تجویز کرتا ہے جو اس بات پر زور دیتا ہے...")</f>
        <v>تصویر میں ایکشن ایک ایسا انداز تجویز کرتا ہے جو اس بات پر زور دیتا ہے...</v>
      </c>
      <c r="M261" s="2" t="str">
        <f>IFERROR(__xludf.DUMMYFUNCTION("GOOGLETRANSLATE(C261,""en"",""ur"")"),"روانی اور قلابازیاں")</f>
        <v>روانی اور قلابازیاں</v>
      </c>
      <c r="N261" s="2" t="str">
        <f>IFERROR(__xludf.DUMMYFUNCTION("GOOGLETRANSLATE(D261,""en"",""ur"")"),"زمینی لڑائی اور گرفت")</f>
        <v>زمینی لڑائی اور گرفت</v>
      </c>
      <c r="O261" s="2" t="str">
        <f>IFERROR(__xludf.DUMMYFUNCTION("GOOGLETRANSLATE(E261,""en"",""ur"")"),"وحشیانہ قوت اور گھڑ سواری۔")</f>
        <v>وحشیانہ قوت اور گھڑ سواری۔</v>
      </c>
      <c r="P261" s="2" t="str">
        <f>IFERROR(__xludf.DUMMYFUNCTION("GOOGLETRANSLATE(F261,""en"",""ur"")"),"رفتار، درستگی اور چستی")</f>
        <v>رفتار، درستگی اور چستی</v>
      </c>
      <c r="Q261" s="2" t="s">
        <v>1002</v>
      </c>
      <c r="R261" s="2" t="str">
        <f>IFERROR(__xludf.DUMMYFUNCTION("GOOGLETRANSLATE(G261,""en"",""ur"")"),"رفتار، درستگی اور چستی")</f>
        <v>رفتار، درستگی اور چستی</v>
      </c>
      <c r="S261" s="6" t="s">
        <v>1141</v>
      </c>
    </row>
    <row r="262">
      <c r="A262" s="7">
        <v>261.0</v>
      </c>
      <c r="B262" s="6" t="s">
        <v>1097</v>
      </c>
      <c r="C262" s="6" t="s">
        <v>958</v>
      </c>
      <c r="D262" s="6" t="s">
        <v>959</v>
      </c>
      <c r="E262" s="6" t="s">
        <v>960</v>
      </c>
      <c r="F262" s="6" t="s">
        <v>961</v>
      </c>
      <c r="G262" s="6" t="s">
        <v>959</v>
      </c>
      <c r="H262" s="6" t="s">
        <v>1098</v>
      </c>
      <c r="K262" s="2" t="str">
        <f>IFERROR(__xludf.DUMMYFUNCTION("GOOGLETRANSLATE(A262,""en"",""ur"")"),"261")</f>
        <v>261</v>
      </c>
      <c r="L262" s="2" t="str">
        <f>IFERROR(__xludf.DUMMYFUNCTION("GOOGLETRANSLATE(B262,""en"",""ur"")"),"tent_pegging_52 میں دکھائی جانے والی اہم کارروائی کیا ہے؟")</f>
        <v>tent_pegging_52 میں دکھائی جانے والی اہم کارروائی کیا ہے؟</v>
      </c>
      <c r="M262" s="2" t="str">
        <f>IFERROR(__xludf.DUMMYFUNCTION("GOOGLETRANSLATE(C262,""en"",""ur"")"),"گھوڑے کی پیٹھ پر کرتب دکھاتے ہوئے سوار")</f>
        <v>گھوڑے کی پیٹھ پر کرتب دکھاتے ہوئے سوار</v>
      </c>
      <c r="N262" s="2" t="str">
        <f>IFERROR(__xludf.DUMMYFUNCTION("GOOGLETRANSLATE(D262,""en"",""ur"")"),"ٹینٹ پیگنگ ایونٹ میں مقابلہ کرنے والا سوار")</f>
        <v>ٹینٹ پیگنگ ایونٹ میں مقابلہ کرنے والا سوار</v>
      </c>
      <c r="O262" s="2" t="str">
        <f>IFERROR(__xludf.DUMMYFUNCTION("GOOGLETRANSLATE(E262,""en"",""ur"")"),"گھوڑوں کی دوڑ میں سوار")</f>
        <v>گھوڑوں کی دوڑ میں سوار</v>
      </c>
      <c r="P262" s="2" t="str">
        <f>IFERROR(__xludf.DUMMYFUNCTION("GOOGLETRANSLATE(F262,""en"",""ur"")"),"ایک سوار پریڈ کی قیادت کر رہا ہے۔")</f>
        <v>ایک سوار پریڈ کی قیادت کر رہا ہے۔</v>
      </c>
      <c r="Q262" s="2" t="s">
        <v>1029</v>
      </c>
      <c r="R262" s="2" t="str">
        <f>IFERROR(__xludf.DUMMYFUNCTION("GOOGLETRANSLATE(G262,""en"",""ur"")"),"ٹینٹ پیگنگ ایونٹ میں مقابلہ کرنے والا سوار")</f>
        <v>ٹینٹ پیگنگ ایونٹ میں مقابلہ کرنے والا سوار</v>
      </c>
      <c r="S262" s="6" t="s">
        <v>1098</v>
      </c>
    </row>
    <row r="263">
      <c r="A263" s="7">
        <v>262.0</v>
      </c>
      <c r="B263" s="6" t="s">
        <v>963</v>
      </c>
      <c r="C263" s="6" t="s">
        <v>964</v>
      </c>
      <c r="D263" s="6" t="s">
        <v>1063</v>
      </c>
      <c r="E263" s="6" t="s">
        <v>966</v>
      </c>
      <c r="F263" s="6" t="s">
        <v>967</v>
      </c>
      <c r="G263" s="6" t="s">
        <v>1063</v>
      </c>
      <c r="H263" s="6" t="s">
        <v>1098</v>
      </c>
      <c r="K263" s="2" t="str">
        <f>IFERROR(__xludf.DUMMYFUNCTION("GOOGLETRANSLATE(A263,""en"",""ur"")"),"262")</f>
        <v>262</v>
      </c>
      <c r="L263" s="2" t="str">
        <f>IFERROR(__xludf.DUMMYFUNCTION("GOOGLETRANSLATE(B263,""en"",""ur"")"),"سوار کے لباس کے بارے میں ایک قابل ذکر تفصیل کیا ہے؟")</f>
        <v>سوار کے لباس کے بارے میں ایک قابل ذکر تفصیل کیا ہے؟</v>
      </c>
      <c r="M263" s="2" t="str">
        <f>IFERROR(__xludf.DUMMYFUNCTION("GOOGLETRANSLATE(C263,""en"",""ur"")"),"ایک رسمی سوٹ اور ٹائی")</f>
        <v>ایک رسمی سوٹ اور ٹائی</v>
      </c>
      <c r="N263" s="2" t="str">
        <f>IFERROR(__xludf.DUMMYFUNCTION("GOOGLETRANSLATE(D263,""en"",""ur"")"),"سرخ پگڑی اور بنیان والا سفید روایتی لباس")</f>
        <v>سرخ پگڑی اور بنیان والا سفید روایتی لباس</v>
      </c>
      <c r="O263" s="2" t="str">
        <f>IFERROR(__xludf.DUMMYFUNCTION("GOOGLETRANSLATE(E263,""en"",""ur"")"),"فوجی وردی")</f>
        <v>فوجی وردی</v>
      </c>
      <c r="P263" s="2" t="str">
        <f>IFERROR(__xludf.DUMMYFUNCTION("GOOGLETRANSLATE(F263,""en"",""ur"")"),"ایک جدید کھیلوں کا یونیفارم")</f>
        <v>ایک جدید کھیلوں کا یونیفارم</v>
      </c>
      <c r="Q263" s="2" t="s">
        <v>1064</v>
      </c>
      <c r="R263" s="2" t="str">
        <f>IFERROR(__xludf.DUMMYFUNCTION("GOOGLETRANSLATE(G263,""en"",""ur"")"),"سرخ پگڑی اور بنیان والا سفید روایتی لباس")</f>
        <v>سرخ پگڑی اور بنیان والا سفید روایتی لباس</v>
      </c>
      <c r="S263" s="6" t="s">
        <v>1098</v>
      </c>
    </row>
    <row r="264">
      <c r="A264" s="7">
        <v>263.0</v>
      </c>
      <c r="B264" s="6" t="s">
        <v>969</v>
      </c>
      <c r="C264" s="6" t="s">
        <v>970</v>
      </c>
      <c r="D264" s="6" t="s">
        <v>971</v>
      </c>
      <c r="E264" s="6" t="s">
        <v>972</v>
      </c>
      <c r="F264" s="6" t="s">
        <v>973</v>
      </c>
      <c r="G264" s="6" t="s">
        <v>972</v>
      </c>
      <c r="H264" s="6" t="s">
        <v>1098</v>
      </c>
      <c r="K264" s="2" t="str">
        <f>IFERROR(__xludf.DUMMYFUNCTION("GOOGLETRANSLATE(A264,""en"",""ur"")"),"263")</f>
        <v>263</v>
      </c>
      <c r="L264" s="2" t="str">
        <f>IFERROR(__xludf.DUMMYFUNCTION("GOOGLETRANSLATE(B264,""en"",""ur"")"),"سوار نے جو لمبی چھڑی پکڑی ہوئی ہے اس کا ظاہری مقصد کیا ہے؟")</f>
        <v>سوار نے جو لمبی چھڑی پکڑی ہوئی ہے اس کا ظاہری مقصد کیا ہے؟</v>
      </c>
      <c r="M264" s="2" t="str">
        <f>IFERROR(__xludf.DUMMYFUNCTION("GOOGLETRANSLATE(C264,""en"",""ur"")"),"گھوڑے کی رہنمائی کے لیے")</f>
        <v>گھوڑے کی رہنمائی کے لیے</v>
      </c>
      <c r="N264" s="2" t="str">
        <f>IFERROR(__xludf.DUMMYFUNCTION("GOOGLETRANSLATE(D264,""en"",""ur"")"),"توازن کے لیے زمین سے ٹکرانا")</f>
        <v>توازن کے لیے زمین سے ٹکرانا</v>
      </c>
      <c r="O264" s="2" t="str">
        <f>IFERROR(__xludf.DUMMYFUNCTION("GOOGLETRANSLATE(E264,""en"",""ur"")"),"زمین پر چھوٹے اہداف کو نشانہ بنانا")</f>
        <v>زمین پر چھوٹے اہداف کو نشانہ بنانا</v>
      </c>
      <c r="P264" s="2" t="str">
        <f>IFERROR(__xludf.DUMMYFUNCTION("GOOGLETRANSLATE(F264,""en"",""ur"")"),"بطور ہتھیار استعمال کرنا")</f>
        <v>بطور ہتھیار استعمال کرنا</v>
      </c>
      <c r="Q264" s="2" t="s">
        <v>974</v>
      </c>
      <c r="R264" s="2" t="str">
        <f>IFERROR(__xludf.DUMMYFUNCTION("GOOGLETRANSLATE(G264,""en"",""ur"")"),"زمین پر چھوٹے اہداف کو نشانہ بنانا")</f>
        <v>زمین پر چھوٹے اہداف کو نشانہ بنانا</v>
      </c>
      <c r="S264" s="6" t="s">
        <v>1098</v>
      </c>
    </row>
    <row r="265">
      <c r="A265" s="7">
        <v>264.0</v>
      </c>
      <c r="B265" s="6" t="s">
        <v>310</v>
      </c>
      <c r="C265" s="6" t="s">
        <v>429</v>
      </c>
      <c r="D265" s="6" t="s">
        <v>975</v>
      </c>
      <c r="E265" s="6" t="s">
        <v>976</v>
      </c>
      <c r="F265" s="6" t="s">
        <v>977</v>
      </c>
      <c r="G265" s="6" t="s">
        <v>975</v>
      </c>
      <c r="H265" s="6" t="s">
        <v>1098</v>
      </c>
      <c r="K265" s="2" t="str">
        <f>IFERROR(__xludf.DUMMYFUNCTION("GOOGLETRANSLATE(A265,""en"",""ur"")"),"264")</f>
        <v>264</v>
      </c>
      <c r="L265" s="2" t="str">
        <f>IFERROR(__xludf.DUMMYFUNCTION("GOOGLETRANSLATE(B265,""en"",""ur"")"),"سوار کی ظاہری باڈی پوزیشن کیا ہے؟")</f>
        <v>سوار کی ظاہری باڈی پوزیشن کیا ہے؟</v>
      </c>
      <c r="M265" s="2" t="str">
        <f>IFERROR(__xludf.DUMMYFUNCTION("GOOGLETRANSLATE(C265,""en"",""ur"")"),"سیدھا کھڑا ہونا")</f>
        <v>سیدھا کھڑا ہونا</v>
      </c>
      <c r="N265" s="2" t="str">
        <f>IFERROR(__xludf.DUMMYFUNCTION("GOOGLETRANSLATE(D265,""en"",""ur"")"),"نیچے اور طرف جھکنا")</f>
        <v>نیچے اور طرف جھکنا</v>
      </c>
      <c r="O265" s="2" t="str">
        <f>IFERROR(__xludf.DUMMYFUNCTION("GOOGLETRANSLATE(E265,""en"",""ur"")"),"گھوڑے کی پیٹھ پر لیٹنا")</f>
        <v>گھوڑے کی پیٹھ پر لیٹنا</v>
      </c>
      <c r="P265" s="2" t="str">
        <f>IFERROR(__xludf.DUMMYFUNCTION("GOOGLETRANSLATE(F265,""en"",""ur"")"),"آرام سے بیٹھ گیا۔")</f>
        <v>آرام سے بیٹھ گیا۔</v>
      </c>
      <c r="Q265" s="2" t="s">
        <v>978</v>
      </c>
      <c r="R265" s="2" t="str">
        <f>IFERROR(__xludf.DUMMYFUNCTION("GOOGLETRANSLATE(G265,""en"",""ur"")"),"نیچے اور طرف جھکنا")</f>
        <v>نیچے اور طرف جھکنا</v>
      </c>
      <c r="S265" s="6" t="s">
        <v>1098</v>
      </c>
    </row>
    <row r="266">
      <c r="A266" s="7">
        <v>265.0</v>
      </c>
      <c r="B266" s="6" t="s">
        <v>979</v>
      </c>
      <c r="C266" s="6" t="s">
        <v>980</v>
      </c>
      <c r="D266" s="6" t="s">
        <v>981</v>
      </c>
      <c r="E266" s="6" t="s">
        <v>982</v>
      </c>
      <c r="F266" s="6" t="s">
        <v>983</v>
      </c>
      <c r="G266" s="6" t="s">
        <v>982</v>
      </c>
      <c r="H266" s="6" t="s">
        <v>1098</v>
      </c>
      <c r="K266" s="2" t="str">
        <f>IFERROR(__xludf.DUMMYFUNCTION("GOOGLETRANSLATE(A266,""en"",""ur"")"),"265")</f>
        <v>265</v>
      </c>
      <c r="L266" s="2" t="str">
        <f>IFERROR(__xludf.DUMMYFUNCTION("GOOGLETRANSLATE(B266,""en"",""ur"")"),"گھوڑے کے پیچھے زمین کی ظاہری حالت کیا ہے؟")</f>
        <v>گھوڑے کے پیچھے زمین کی ظاہری حالت کیا ہے؟</v>
      </c>
      <c r="M266" s="2" t="str">
        <f>IFERROR(__xludf.DUMMYFUNCTION("GOOGLETRANSLATE(C266,""en"",""ur"")"),"بالکل ہموار")</f>
        <v>بالکل ہموار</v>
      </c>
      <c r="N266" s="2" t="str">
        <f>IFERROR(__xludf.DUMMYFUNCTION("GOOGLETRANSLATE(D266,""en"",""ur"")"),"تازہ گھاس میں ڈھکا ہوا ہے۔")</f>
        <v>تازہ گھاس میں ڈھکا ہوا ہے۔</v>
      </c>
      <c r="O266" s="2" t="str">
        <f>IFERROR(__xludf.DUMMYFUNCTION("GOOGLETRANSLATE(E266,""en"",""ur"")"),"غبار کے بادل میں اُٹھ گیا۔")</f>
        <v>غبار کے بادل میں اُٹھ گیا۔</v>
      </c>
      <c r="P266" s="2" t="str">
        <f>IFERROR(__xludf.DUMMYFUNCTION("GOOGLETRANSLATE(F266,""en"",""ur"")"),"پانی سے بھرا ہوا ۔")</f>
        <v>پانی سے بھرا ہوا ۔</v>
      </c>
      <c r="Q266" s="2" t="s">
        <v>984</v>
      </c>
      <c r="R266" s="2" t="str">
        <f>IFERROR(__xludf.DUMMYFUNCTION("GOOGLETRANSLATE(G266,""en"",""ur"")"),"غبار کے بادل میں اُٹھ گیا۔")</f>
        <v>غبار کے بادل میں اُٹھ گیا۔</v>
      </c>
      <c r="S266" s="6" t="s">
        <v>1098</v>
      </c>
    </row>
    <row r="267">
      <c r="A267" s="7">
        <v>266.0</v>
      </c>
      <c r="B267" s="6" t="s">
        <v>985</v>
      </c>
      <c r="C267" s="6" t="s">
        <v>986</v>
      </c>
      <c r="D267" s="6" t="s">
        <v>987</v>
      </c>
      <c r="E267" s="6" t="s">
        <v>988</v>
      </c>
      <c r="F267" s="6" t="s">
        <v>989</v>
      </c>
      <c r="G267" s="6" t="s">
        <v>987</v>
      </c>
      <c r="H267" s="6" t="s">
        <v>1098</v>
      </c>
      <c r="K267" s="2" t="str">
        <f>IFERROR(__xludf.DUMMYFUNCTION("GOOGLETRANSLATE(A267,""en"",""ur"")"),"266")</f>
        <v>266</v>
      </c>
      <c r="L267" s="2" t="str">
        <f>IFERROR(__xludf.DUMMYFUNCTION("GOOGLETRANSLATE(B267,""en"",""ur"")"),"گھوڑے کے ٹیک کی سب سے نمایاں خصوصیت کیا ہے؟")</f>
        <v>گھوڑے کے ٹیک کی سب سے نمایاں خصوصیت کیا ہے؟</v>
      </c>
      <c r="M267" s="2" t="str">
        <f>IFERROR(__xludf.DUMMYFUNCTION("GOOGLETRANSLATE(C267,""en"",""ur"")"),"یہ ایک سادہ سی کاٹھی ہے۔")</f>
        <v>یہ ایک سادہ سی کاٹھی ہے۔</v>
      </c>
      <c r="N267" s="2" t="str">
        <f>IFERROR(__xludf.DUMMYFUNCTION("GOOGLETRANSLATE(D267,""en"",""ur"")"),"یہ نیلے رنگ کے زیورات کے ساتھ ایک انتہائی آرائشی کاٹھی ہے۔")</f>
        <v>یہ نیلے رنگ کے زیورات کے ساتھ ایک انتہائی آرائشی کاٹھی ہے۔</v>
      </c>
      <c r="O267" s="2" t="str">
        <f>IFERROR(__xludf.DUMMYFUNCTION("GOOGLETRANSLATE(E267,""en"",""ur"")"),"یہ ایک ننگا پیڈ ہے۔")</f>
        <v>یہ ایک ننگا پیڈ ہے۔</v>
      </c>
      <c r="P267" s="2" t="str">
        <f>IFERROR(__xludf.DUMMYFUNCTION("GOOGLETRANSLATE(F267,""en"",""ur"")"),"یہ ایک ریسنگ سیڈل ہے۔")</f>
        <v>یہ ایک ریسنگ سیڈل ہے۔</v>
      </c>
      <c r="Q267" s="2" t="s">
        <v>990</v>
      </c>
      <c r="R267" s="2" t="str">
        <f>IFERROR(__xludf.DUMMYFUNCTION("GOOGLETRANSLATE(G267,""en"",""ur"")"),"یہ نیلے رنگ کے زیورات کے ساتھ ایک انتہائی آرائشی کاٹھی ہے۔")</f>
        <v>یہ نیلے رنگ کے زیورات کے ساتھ ایک انتہائی آرائشی کاٹھی ہے۔</v>
      </c>
      <c r="S267" s="6" t="s">
        <v>1098</v>
      </c>
    </row>
    <row r="268">
      <c r="A268" s="7">
        <v>267.0</v>
      </c>
      <c r="B268" s="6" t="s">
        <v>991</v>
      </c>
      <c r="C268" s="6" t="s">
        <v>992</v>
      </c>
      <c r="D268" s="6" t="s">
        <v>646</v>
      </c>
      <c r="E268" s="6" t="s">
        <v>1051</v>
      </c>
      <c r="F268" s="6" t="s">
        <v>425</v>
      </c>
      <c r="G268" s="6" t="s">
        <v>1051</v>
      </c>
      <c r="H268" s="6" t="s">
        <v>1098</v>
      </c>
      <c r="K268" s="2" t="str">
        <f>IFERROR(__xludf.DUMMYFUNCTION("GOOGLETRANSLATE(A268,""en"",""ur"")"),"267")</f>
        <v>267</v>
      </c>
      <c r="L268" s="2" t="str">
        <f>IFERROR(__xludf.DUMMYFUNCTION("GOOGLETRANSLATE(B268,""en"",""ur"")"),"واقعہ کی ظاہری ترتیب کیا ہے؟")</f>
        <v>واقعہ کی ظاہری ترتیب کیا ہے؟</v>
      </c>
      <c r="M268" s="2" t="str">
        <f>IFERROR(__xludf.DUMMYFUNCTION("GOOGLETRANSLATE(C268,""en"",""ur"")"),"ایک اندرونی میدان")</f>
        <v>ایک اندرونی میدان</v>
      </c>
      <c r="N268" s="2" t="str">
        <f>IFERROR(__xludf.DUMMYFUNCTION("GOOGLETRANSLATE(D268,""en"",""ur"")"),"شہر کی ایک گلی")</f>
        <v>شہر کی ایک گلی</v>
      </c>
      <c r="O268" s="2" t="str">
        <f>IFERROR(__xludf.DUMMYFUNCTION("GOOGLETRANSLATE(E268,""en"",""ur"")"),"تماشائیوں کے ساتھ ایک بیرونی گندگی کا ٹریک")</f>
        <v>تماشائیوں کے ساتھ ایک بیرونی گندگی کا ٹریک</v>
      </c>
      <c r="P268" s="2" t="str">
        <f>IFERROR(__xludf.DUMMYFUNCTION("GOOGLETRANSLATE(F268,""en"",""ur"")"),"گھاس کا میدان")</f>
        <v>گھاس کا میدان</v>
      </c>
      <c r="Q268" s="2" t="s">
        <v>1052</v>
      </c>
      <c r="R268" s="2" t="str">
        <f>IFERROR(__xludf.DUMMYFUNCTION("GOOGLETRANSLATE(G268,""en"",""ur"")"),"تماشائیوں کے ساتھ ایک بیرونی گندگی کا ٹریک")</f>
        <v>تماشائیوں کے ساتھ ایک بیرونی گندگی کا ٹریک</v>
      </c>
      <c r="S268" s="6" t="s">
        <v>1098</v>
      </c>
    </row>
    <row r="269">
      <c r="A269" s="7">
        <v>268.0</v>
      </c>
      <c r="B269" s="6" t="s">
        <v>1036</v>
      </c>
      <c r="C269" s="6" t="s">
        <v>95</v>
      </c>
      <c r="D269" s="6" t="s">
        <v>96</v>
      </c>
      <c r="E269" s="6" t="s">
        <v>1015</v>
      </c>
      <c r="F269" s="6" t="s">
        <v>258</v>
      </c>
      <c r="G269" s="6" t="s">
        <v>1015</v>
      </c>
      <c r="H269" s="6" t="s">
        <v>1098</v>
      </c>
      <c r="K269" s="2" t="str">
        <f>IFERROR(__xludf.DUMMYFUNCTION("GOOGLETRANSLATE(A269,""en"",""ur"")"),"268")</f>
        <v>268</v>
      </c>
      <c r="L269" s="2" t="str">
        <f>IFERROR(__xludf.DUMMYFUNCTION("GOOGLETRANSLATE(B269,""en"",""ur"")"),"کھیل کا نام کیا ہے؟")</f>
        <v>کھیل کا نام کیا ہے؟</v>
      </c>
      <c r="M269" s="2" t="str">
        <f>IFERROR(__xludf.DUMMYFUNCTION("GOOGLETRANSLATE(C269,""en"",""ur"")"),"پولو")</f>
        <v>پولو</v>
      </c>
      <c r="N269" s="2" t="str">
        <f>IFERROR(__xludf.DUMMYFUNCTION("GOOGLETRANSLATE(D269,""en"",""ur"")"),"گھوڑوں کی دوڑ")</f>
        <v>گھوڑوں کی دوڑ</v>
      </c>
      <c r="O269" s="2" t="str">
        <f>IFERROR(__xludf.DUMMYFUNCTION("GOOGLETRANSLATE(E269,""en"",""ur"")"),"ٹینٹ پیگنگ")</f>
        <v>ٹینٹ پیگنگ</v>
      </c>
      <c r="P269" s="2" t="str">
        <f>IFERROR(__xludf.DUMMYFUNCTION("GOOGLETRANSLATE(F269,""en"",""ur"")"),"گھڑ سواری کے کھیل")</f>
        <v>گھڑ سواری کے کھیل</v>
      </c>
      <c r="Q269" s="2" t="s">
        <v>1016</v>
      </c>
      <c r="R269" s="2" t="str">
        <f>IFERROR(__xludf.DUMMYFUNCTION("GOOGLETRANSLATE(G269,""en"",""ur"")"),"ٹینٹ پیگنگ")</f>
        <v>ٹینٹ پیگنگ</v>
      </c>
      <c r="S269" s="6" t="s">
        <v>1098</v>
      </c>
    </row>
    <row r="270">
      <c r="A270" s="7">
        <v>269.0</v>
      </c>
      <c r="B270" s="6" t="s">
        <v>316</v>
      </c>
      <c r="C270" s="6" t="s">
        <v>47</v>
      </c>
      <c r="D270" s="6" t="s">
        <v>48</v>
      </c>
      <c r="E270" s="6" t="s">
        <v>49</v>
      </c>
      <c r="F270" s="6" t="s">
        <v>50</v>
      </c>
      <c r="G270" s="6" t="s">
        <v>49</v>
      </c>
      <c r="H270" s="6" t="s">
        <v>1098</v>
      </c>
      <c r="K270" s="2" t="str">
        <f>IFERROR(__xludf.DUMMYFUNCTION("GOOGLETRANSLATE(A270,""en"",""ur"")"),"269")</f>
        <v>269</v>
      </c>
      <c r="L270" s="2" t="str">
        <f>IFERROR(__xludf.DUMMYFUNCTION("GOOGLETRANSLATE(B270,""en"",""ur"")"),"سوار کے چہرے سے ظاہری جذبات کیا ہیں؟")</f>
        <v>سوار کے چہرے سے ظاہری جذبات کیا ہیں؟</v>
      </c>
      <c r="M270" s="2" t="str">
        <f>IFERROR(__xludf.DUMMYFUNCTION("GOOGLETRANSLATE(C270,""en"",""ur"")"),"پرسکون اور پر سکون")</f>
        <v>پرسکون اور پر سکون</v>
      </c>
      <c r="N270" s="2" t="str">
        <f>IFERROR(__xludf.DUMMYFUNCTION("GOOGLETRANSLATE(D270,""en"",""ur"")"),"خوف زدہ اور بے چین")</f>
        <v>خوف زدہ اور بے چین</v>
      </c>
      <c r="O270" s="2" t="str">
        <f>IFERROR(__xludf.DUMMYFUNCTION("GOOGLETRANSLATE(E270,""en"",""ur"")"),"کشیدہ اور شدید")</f>
        <v>کشیدہ اور شدید</v>
      </c>
      <c r="P270" s="2" t="str">
        <f>IFERROR(__xludf.DUMMYFUNCTION("GOOGLETRANSLATE(F270,""en"",""ur"")"),"خوش اور مسکراتے ہوئے۔")</f>
        <v>خوش اور مسکراتے ہوئے۔</v>
      </c>
      <c r="Q270" s="2" t="s">
        <v>51</v>
      </c>
      <c r="R270" s="2" t="str">
        <f>IFERROR(__xludf.DUMMYFUNCTION("GOOGLETRANSLATE(G270,""en"",""ur"")"),"کشیدہ اور شدید")</f>
        <v>کشیدہ اور شدید</v>
      </c>
      <c r="S270" s="6" t="s">
        <v>1098</v>
      </c>
    </row>
    <row r="271">
      <c r="A271" s="7">
        <v>270.0</v>
      </c>
      <c r="B271" s="6" t="s">
        <v>260</v>
      </c>
      <c r="C271" s="6" t="s">
        <v>261</v>
      </c>
      <c r="D271" s="6" t="s">
        <v>262</v>
      </c>
      <c r="E271" s="6" t="s">
        <v>263</v>
      </c>
      <c r="F271" s="6" t="s">
        <v>1001</v>
      </c>
      <c r="G271" s="6" t="s">
        <v>1001</v>
      </c>
      <c r="H271" s="6" t="s">
        <v>1098</v>
      </c>
      <c r="K271" s="2" t="str">
        <f>IFERROR(__xludf.DUMMYFUNCTION("GOOGLETRANSLATE(A271,""en"",""ur"")"),"270")</f>
        <v>270</v>
      </c>
      <c r="L271" s="2" t="str">
        <f>IFERROR(__xludf.DUMMYFUNCTION("GOOGLETRANSLATE(B271,""en"",""ur"")"),"تصویر میں ایکشن ایک ایسا انداز تجویز کرتا ہے جو اس بات پر زور دیتا ہے...")</f>
        <v>تصویر میں ایکشن ایک ایسا انداز تجویز کرتا ہے جو اس بات پر زور دیتا ہے...</v>
      </c>
      <c r="M271" s="2" t="str">
        <f>IFERROR(__xludf.DUMMYFUNCTION("GOOGLETRANSLATE(C271,""en"",""ur"")"),"روانی اور قلابازیاں")</f>
        <v>روانی اور قلابازیاں</v>
      </c>
      <c r="N271" s="2" t="str">
        <f>IFERROR(__xludf.DUMMYFUNCTION("GOOGLETRANSLATE(D271,""en"",""ur"")"),"زمینی لڑائی اور گرفت")</f>
        <v>زمینی لڑائی اور گرفت</v>
      </c>
      <c r="O271" s="2" t="str">
        <f>IFERROR(__xludf.DUMMYFUNCTION("GOOGLETRANSLATE(E271,""en"",""ur"")"),"وحشیانہ قوت اور گھڑ سواری۔")</f>
        <v>وحشیانہ قوت اور گھڑ سواری۔</v>
      </c>
      <c r="P271" s="2" t="str">
        <f>IFERROR(__xludf.DUMMYFUNCTION("GOOGLETRANSLATE(F271,""en"",""ur"")"),"رفتار، درستگی اور چستی")</f>
        <v>رفتار، درستگی اور چستی</v>
      </c>
      <c r="Q271" s="2" t="s">
        <v>1002</v>
      </c>
      <c r="R271" s="2" t="str">
        <f>IFERROR(__xludf.DUMMYFUNCTION("GOOGLETRANSLATE(G271,""en"",""ur"")"),"رفتار، درستگی اور چستی")</f>
        <v>رفتار، درستگی اور چستی</v>
      </c>
      <c r="S271" s="6" t="s">
        <v>1098</v>
      </c>
    </row>
    <row r="272">
      <c r="A272" s="7">
        <v>271.0</v>
      </c>
      <c r="B272" s="6" t="s">
        <v>1148</v>
      </c>
      <c r="C272" s="6" t="s">
        <v>103</v>
      </c>
      <c r="D272" s="6" t="s">
        <v>1065</v>
      </c>
      <c r="E272" s="6" t="s">
        <v>73</v>
      </c>
      <c r="F272" s="6" t="s">
        <v>1066</v>
      </c>
      <c r="G272" s="6" t="s">
        <v>1065</v>
      </c>
      <c r="H272" s="6" t="s">
        <v>1149</v>
      </c>
      <c r="K272" s="2" t="str">
        <f>IFERROR(__xludf.DUMMYFUNCTION("GOOGLETRANSLATE(A272,""en"",""ur"")"),"271")</f>
        <v>271</v>
      </c>
      <c r="L272" s="2" t="str">
        <f>IFERROR(__xludf.DUMMYFUNCTION("GOOGLETRANSLATE(B272,""en"",""ur"")"),"tent_pegging_72 میں دکھائی جانے والی اہم کارروائی کیا ہے؟")</f>
        <v>tent_pegging_72 میں دکھائی جانے والی اہم کارروائی کیا ہے؟</v>
      </c>
      <c r="M272" s="2" t="str">
        <f>IFERROR(__xludf.DUMMYFUNCTION("GOOGLETRANSLATE(C272,""en"",""ur"")"),"آرام سے گھوڑے کی سواری۔")</f>
        <v>آرام سے گھوڑے کی سواری۔</v>
      </c>
      <c r="N272" s="2" t="str">
        <f>IFERROR(__xludf.DUMMYFUNCTION("GOOGLETRANSLATE(D272,""en"",""ur"")"),"پریڈ کی تشکیل میں سواروں کا ایک گروپ")</f>
        <v>پریڈ کی تشکیل میں سواروں کا ایک گروپ</v>
      </c>
      <c r="O272" s="2" t="str">
        <f>IFERROR(__xludf.DUMMYFUNCTION("GOOGLETRANSLATE(E272,""en"",""ur"")"),"گھوڑوں کی دوڑ")</f>
        <v>گھوڑوں کی دوڑ</v>
      </c>
      <c r="P272" s="2" t="str">
        <f>IFERROR(__xludf.DUMMYFUNCTION("GOOGLETRANSLATE(F272,""en"",""ur"")"),"لڑنے والے سواروں کا ایک گروہ")</f>
        <v>لڑنے والے سواروں کا ایک گروہ</v>
      </c>
      <c r="Q272" s="2" t="s">
        <v>1067</v>
      </c>
      <c r="R272" s="2" t="str">
        <f>IFERROR(__xludf.DUMMYFUNCTION("GOOGLETRANSLATE(G272,""en"",""ur"")"),"پریڈ کی تشکیل میں سواروں کا ایک گروپ")</f>
        <v>پریڈ کی تشکیل میں سواروں کا ایک گروپ</v>
      </c>
      <c r="S272" s="6" t="s">
        <v>1149</v>
      </c>
    </row>
    <row r="273">
      <c r="A273" s="7">
        <v>272.0</v>
      </c>
      <c r="B273" s="6" t="s">
        <v>1007</v>
      </c>
      <c r="C273" s="6" t="s">
        <v>1008</v>
      </c>
      <c r="D273" s="6" t="s">
        <v>1150</v>
      </c>
      <c r="E273" s="6" t="s">
        <v>245</v>
      </c>
      <c r="F273" s="6" t="s">
        <v>246</v>
      </c>
      <c r="G273" s="6" t="s">
        <v>1150</v>
      </c>
      <c r="H273" s="6" t="s">
        <v>1149</v>
      </c>
      <c r="K273" s="2" t="str">
        <f>IFERROR(__xludf.DUMMYFUNCTION("GOOGLETRANSLATE(A273,""en"",""ur"")"),"272")</f>
        <v>272</v>
      </c>
      <c r="L273" s="2" t="str">
        <f>IFERROR(__xludf.DUMMYFUNCTION("GOOGLETRANSLATE(B273,""en"",""ur"")"),"سواروں کے لباس کے بارے میں ایک قابل ذکر تفصیل کیا ہے؟")</f>
        <v>سواروں کے لباس کے بارے میں ایک قابل ذکر تفصیل کیا ہے؟</v>
      </c>
      <c r="M273" s="2" t="str">
        <f>IFERROR(__xludf.DUMMYFUNCTION("GOOGLETRANSLATE(C273,""en"",""ur"")"),"انہوں نے فوجی وردی پہن رکھی ہے۔")</f>
        <v>انہوں نے فوجی وردی پہن رکھی ہے۔</v>
      </c>
      <c r="N273" s="2" t="str">
        <f>IFERROR(__xludf.DUMMYFUNCTION("GOOGLETRANSLATE(D273,""en"",""ur"")"),"وہ گلابی پگڑیوں کے ساتھ روایتی سفید لباس پہنے ہوئے ہیں۔")</f>
        <v>وہ گلابی پگڑیوں کے ساتھ روایتی سفید لباس پہنے ہوئے ہیں۔</v>
      </c>
      <c r="O273" s="2" t="str">
        <f>IFERROR(__xludf.DUMMYFUNCTION("GOOGLETRANSLATE(E273,""en"",""ur"")"),"وہ رسمی سوٹ پہنے ہوئے ہیں۔")</f>
        <v>وہ رسمی سوٹ پہنے ہوئے ہیں۔</v>
      </c>
      <c r="P273" s="2" t="str">
        <f>IFERROR(__xludf.DUMMYFUNCTION("GOOGLETRANSLATE(F273,""en"",""ur"")"),"انہوں نے کوئی لباس نہیں پہنا ہوا ہے۔")</f>
        <v>انہوں نے کوئی لباس نہیں پہنا ہوا ہے۔</v>
      </c>
      <c r="Q273" s="2" t="s">
        <v>1151</v>
      </c>
      <c r="R273" s="2" t="str">
        <f>IFERROR(__xludf.DUMMYFUNCTION("GOOGLETRANSLATE(G273,""en"",""ur"")"),"وہ گلابی پگڑیوں کے ساتھ روایتی سفید لباس پہنے ہوئے ہیں۔")</f>
        <v>وہ گلابی پگڑیوں کے ساتھ روایتی سفید لباس پہنے ہوئے ہیں۔</v>
      </c>
      <c r="S273" s="6" t="s">
        <v>1149</v>
      </c>
    </row>
    <row r="274">
      <c r="A274" s="7">
        <v>273.0</v>
      </c>
      <c r="B274" s="6" t="s">
        <v>1011</v>
      </c>
      <c r="C274" s="6" t="s">
        <v>59</v>
      </c>
      <c r="D274" s="6" t="s">
        <v>1012</v>
      </c>
      <c r="E274" s="6" t="s">
        <v>1013</v>
      </c>
      <c r="F274" s="6" t="s">
        <v>268</v>
      </c>
      <c r="G274" s="6" t="s">
        <v>1012</v>
      </c>
      <c r="H274" s="6" t="s">
        <v>1149</v>
      </c>
      <c r="K274" s="2" t="str">
        <f>IFERROR(__xludf.DUMMYFUNCTION("GOOGLETRANSLATE(A274,""en"",""ur"")"),"273")</f>
        <v>273</v>
      </c>
      <c r="L274" s="2" t="str">
        <f>IFERROR(__xludf.DUMMYFUNCTION("GOOGLETRANSLATE(B274,""en"",""ur"")"),"گھوڑوں کے بارے میں نظر آنے والی تفصیل کیا ہے؟")</f>
        <v>گھوڑوں کے بارے میں نظر آنے والی تفصیل کیا ہے؟</v>
      </c>
      <c r="M274" s="2" t="str">
        <f>IFERROR(__xludf.DUMMYFUNCTION("GOOGLETRANSLATE(C274,""en"",""ur"")"),"وہ سب ایک ہی رنگ کے ہیں۔")</f>
        <v>وہ سب ایک ہی رنگ کے ہیں۔</v>
      </c>
      <c r="N274" s="2" t="str">
        <f>IFERROR(__xludf.DUMMYFUNCTION("GOOGLETRANSLATE(D274,""en"",""ur"")"),"وہ زیادہ تر سفید گھوڑے ہیں جن میں آرائشی ٹیک ہیں۔")</f>
        <v>وہ زیادہ تر سفید گھوڑے ہیں جن میں آرائشی ٹیک ہیں۔</v>
      </c>
      <c r="O274" s="2" t="str">
        <f>IFERROR(__xludf.DUMMYFUNCTION("GOOGLETRANSLATE(E274,""en"",""ur"")"),"وہ سب کوئی سیڈل نہیں پہنے ہوئے ہیں۔")</f>
        <v>وہ سب کوئی سیڈل نہیں پہنے ہوئے ہیں۔</v>
      </c>
      <c r="P274" s="2" t="str">
        <f>IFERROR(__xludf.DUMMYFUNCTION("GOOGLETRANSLATE(F274,""en"",""ur"")"),"وہ سب خاموش کھڑے ہیں۔")</f>
        <v>وہ سب خاموش کھڑے ہیں۔</v>
      </c>
      <c r="Q274" s="2" t="s">
        <v>1014</v>
      </c>
      <c r="R274" s="2" t="str">
        <f>IFERROR(__xludf.DUMMYFUNCTION("GOOGLETRANSLATE(G274,""en"",""ur"")"),"وہ زیادہ تر سفید گھوڑے ہیں جن میں آرائشی ٹیک ہیں۔")</f>
        <v>وہ زیادہ تر سفید گھوڑے ہیں جن میں آرائشی ٹیک ہیں۔</v>
      </c>
      <c r="S274" s="6" t="s">
        <v>1149</v>
      </c>
    </row>
    <row r="275">
      <c r="A275" s="7">
        <v>274.0</v>
      </c>
      <c r="B275" s="6" t="s">
        <v>248</v>
      </c>
      <c r="C275" s="6" t="s">
        <v>249</v>
      </c>
      <c r="D275" s="6" t="s">
        <v>250</v>
      </c>
      <c r="E275" s="6" t="s">
        <v>251</v>
      </c>
      <c r="F275" s="6" t="s">
        <v>252</v>
      </c>
      <c r="G275" s="6" t="s">
        <v>252</v>
      </c>
      <c r="H275" s="6" t="s">
        <v>1149</v>
      </c>
      <c r="K275" s="2" t="str">
        <f>IFERROR(__xludf.DUMMYFUNCTION("GOOGLETRANSLATE(A275,""en"",""ur"")"),"274")</f>
        <v>274</v>
      </c>
      <c r="L275" s="2" t="str">
        <f>IFERROR(__xludf.DUMMYFUNCTION("GOOGLETRANSLATE(B275,""en"",""ur"")"),"سواروں کی ظاہری باڈی پوزیشن کیا ہے؟")</f>
        <v>سواروں کی ظاہری باڈی پوزیشن کیا ہے؟</v>
      </c>
      <c r="M275" s="2" t="str">
        <f>IFERROR(__xludf.DUMMYFUNCTION("GOOGLETRANSLATE(C275,""en"",""ur"")"),"وہ سیدھے کھڑے ہیں۔")</f>
        <v>وہ سیدھے کھڑے ہیں۔</v>
      </c>
      <c r="N275" s="2" t="str">
        <f>IFERROR(__xludf.DUMMYFUNCTION("GOOGLETRANSLATE(D275,""en"",""ur"")"),"وہ جھک رہے ہیں اور کسی چیز تک پہنچ رہے ہیں۔")</f>
        <v>وہ جھک رہے ہیں اور کسی چیز تک پہنچ رہے ہیں۔</v>
      </c>
      <c r="O275" s="2" t="str">
        <f>IFERROR(__xludf.DUMMYFUNCTION("GOOGLETRANSLATE(E275,""en"",""ur"")"),"وہ گھوڑوں کی پیٹھ پر لیٹے ہوئے ہیں۔")</f>
        <v>وہ گھوڑوں کی پیٹھ پر لیٹے ہوئے ہیں۔</v>
      </c>
      <c r="P275" s="2" t="str">
        <f>IFERROR(__xludf.DUMMYFUNCTION("GOOGLETRANSLATE(F275,""en"",""ur"")"),"وہ آرام سے بیٹھے ہیں۔")</f>
        <v>وہ آرام سے بیٹھے ہیں۔</v>
      </c>
      <c r="Q275" s="2" t="s">
        <v>253</v>
      </c>
      <c r="R275" s="2" t="str">
        <f>IFERROR(__xludf.DUMMYFUNCTION("GOOGLETRANSLATE(G275,""en"",""ur"")"),"وہ آرام سے بیٹھے ہیں۔")</f>
        <v>وہ آرام سے بیٹھے ہیں۔</v>
      </c>
      <c r="S275" s="6" t="s">
        <v>1149</v>
      </c>
    </row>
    <row r="276">
      <c r="A276" s="7">
        <v>275.0</v>
      </c>
      <c r="B276" s="6" t="s">
        <v>254</v>
      </c>
      <c r="C276" s="6" t="s">
        <v>47</v>
      </c>
      <c r="D276" s="6" t="s">
        <v>48</v>
      </c>
      <c r="E276" s="6" t="s">
        <v>49</v>
      </c>
      <c r="F276" s="6" t="s">
        <v>50</v>
      </c>
      <c r="G276" s="6" t="s">
        <v>47</v>
      </c>
      <c r="H276" s="6" t="s">
        <v>1149</v>
      </c>
      <c r="K276" s="2" t="str">
        <f>IFERROR(__xludf.DUMMYFUNCTION("GOOGLETRANSLATE(A276,""en"",""ur"")"),"275")</f>
        <v>275</v>
      </c>
      <c r="L276" s="2" t="str">
        <f>IFERROR(__xludf.DUMMYFUNCTION("GOOGLETRANSLATE(B276,""en"",""ur"")"),"سواروں کے چہروں سے ظاہری جذبات کیا ہیں؟")</f>
        <v>سواروں کے چہروں سے ظاہری جذبات کیا ہیں؟</v>
      </c>
      <c r="M276" s="2" t="str">
        <f>IFERROR(__xludf.DUMMYFUNCTION("GOOGLETRANSLATE(C276,""en"",""ur"")"),"پرسکون اور پر سکون")</f>
        <v>پرسکون اور پر سکون</v>
      </c>
      <c r="N276" s="2" t="str">
        <f>IFERROR(__xludf.DUMMYFUNCTION("GOOGLETRANSLATE(D276,""en"",""ur"")"),"خوف زدہ اور بے چین")</f>
        <v>خوف زدہ اور بے چین</v>
      </c>
      <c r="O276" s="2" t="str">
        <f>IFERROR(__xludf.DUMMYFUNCTION("GOOGLETRANSLATE(E276,""en"",""ur"")"),"کشیدہ اور شدید")</f>
        <v>کشیدہ اور شدید</v>
      </c>
      <c r="P276" s="2" t="str">
        <f>IFERROR(__xludf.DUMMYFUNCTION("GOOGLETRANSLATE(F276,""en"",""ur"")"),"خوش اور مسکراتے ہوئے۔")</f>
        <v>خوش اور مسکراتے ہوئے۔</v>
      </c>
      <c r="Q276" s="2" t="s">
        <v>51</v>
      </c>
      <c r="R276" s="2" t="str">
        <f>IFERROR(__xludf.DUMMYFUNCTION("GOOGLETRANSLATE(G276,""en"",""ur"")"),"پرسکون اور پر سکون")</f>
        <v>پرسکون اور پر سکون</v>
      </c>
      <c r="S276" s="6" t="s">
        <v>1149</v>
      </c>
    </row>
    <row r="277">
      <c r="A277" s="7">
        <v>276.0</v>
      </c>
      <c r="B277" s="6" t="s">
        <v>88</v>
      </c>
      <c r="C277" s="6" t="s">
        <v>89</v>
      </c>
      <c r="D277" s="6" t="s">
        <v>90</v>
      </c>
      <c r="E277" s="6" t="s">
        <v>91</v>
      </c>
      <c r="F277" s="6" t="s">
        <v>255</v>
      </c>
      <c r="G277" s="6" t="s">
        <v>255</v>
      </c>
      <c r="H277" s="6" t="s">
        <v>1149</v>
      </c>
      <c r="K277" s="2" t="str">
        <f>IFERROR(__xludf.DUMMYFUNCTION("GOOGLETRANSLATE(A277,""en"",""ur"")"),"276")</f>
        <v>276</v>
      </c>
      <c r="L277" s="2" t="str">
        <f>IFERROR(__xludf.DUMMYFUNCTION("GOOGLETRANSLATE(B277,""en"",""ur"")"),"زمین کی سب سے نمایاں خصوصیت کیا ہے؟")</f>
        <v>زمین کی سب سے نمایاں خصوصیت کیا ہے؟</v>
      </c>
      <c r="M277" s="2" t="str">
        <f>IFERROR(__xludf.DUMMYFUNCTION("GOOGLETRANSLATE(C277,""en"",""ur"")"),"ایک پکی سطح")</f>
        <v>ایک پکی سطح</v>
      </c>
      <c r="N277" s="2" t="str">
        <f>IFERROR(__xludf.DUMMYFUNCTION("GOOGLETRANSLATE(D277,""en"",""ur"")"),"کیچڑ والا میدان")</f>
        <v>کیچڑ والا میدان</v>
      </c>
      <c r="O277" s="2" t="str">
        <f>IFERROR(__xludf.DUMMYFUNCTION("GOOGLETRANSLATE(E277,""en"",""ur"")"),"ایک گھاس دار سطح")</f>
        <v>ایک گھاس دار سطح</v>
      </c>
      <c r="P277" s="2" t="str">
        <f>IFERROR(__xludf.DUMMYFUNCTION("GOOGLETRANSLATE(F277,""en"",""ur"")"),"ریتلی یا گندگی کی سطح")</f>
        <v>ریتلی یا گندگی کی سطح</v>
      </c>
      <c r="Q277" s="2" t="s">
        <v>256</v>
      </c>
      <c r="R277" s="2" t="str">
        <f>IFERROR(__xludf.DUMMYFUNCTION("GOOGLETRANSLATE(G277,""en"",""ur"")"),"ریتلی یا گندگی کی سطح")</f>
        <v>ریتلی یا گندگی کی سطح</v>
      </c>
      <c r="S277" s="6" t="s">
        <v>1149</v>
      </c>
    </row>
    <row r="278">
      <c r="A278" s="7">
        <v>277.0</v>
      </c>
      <c r="B278" s="6" t="s">
        <v>257</v>
      </c>
      <c r="C278" s="6" t="s">
        <v>95</v>
      </c>
      <c r="D278" s="6" t="s">
        <v>96</v>
      </c>
      <c r="E278" s="6" t="s">
        <v>1015</v>
      </c>
      <c r="F278" s="6" t="s">
        <v>258</v>
      </c>
      <c r="G278" s="6" t="s">
        <v>1015</v>
      </c>
      <c r="H278" s="6" t="s">
        <v>1149</v>
      </c>
      <c r="K278" s="2" t="str">
        <f>IFERROR(__xludf.DUMMYFUNCTION("GOOGLETRANSLATE(A278,""en"",""ur"")"),"277")</f>
        <v>277</v>
      </c>
      <c r="L278" s="2" t="str">
        <f>IFERROR(__xludf.DUMMYFUNCTION("GOOGLETRANSLATE(B278,""en"",""ur"")"),"کھیلے جانے والے کھیل کا نام کیا ہے؟")</f>
        <v>کھیلے جانے والے کھیل کا نام کیا ہے؟</v>
      </c>
      <c r="M278" s="2" t="str">
        <f>IFERROR(__xludf.DUMMYFUNCTION("GOOGLETRANSLATE(C278,""en"",""ur"")"),"پولو")</f>
        <v>پولو</v>
      </c>
      <c r="N278" s="2" t="str">
        <f>IFERROR(__xludf.DUMMYFUNCTION("GOOGLETRANSLATE(D278,""en"",""ur"")"),"گھوڑوں کی دوڑ")</f>
        <v>گھوڑوں کی دوڑ</v>
      </c>
      <c r="O278" s="2" t="str">
        <f>IFERROR(__xludf.DUMMYFUNCTION("GOOGLETRANSLATE(E278,""en"",""ur"")"),"ٹینٹ پیگنگ")</f>
        <v>ٹینٹ پیگنگ</v>
      </c>
      <c r="P278" s="2" t="str">
        <f>IFERROR(__xludf.DUMMYFUNCTION("GOOGLETRANSLATE(F278,""en"",""ur"")"),"گھڑ سواری کے کھیل")</f>
        <v>گھڑ سواری کے کھیل</v>
      </c>
      <c r="Q278" s="2" t="s">
        <v>1016</v>
      </c>
      <c r="R278" s="2" t="str">
        <f>IFERROR(__xludf.DUMMYFUNCTION("GOOGLETRANSLATE(G278,""en"",""ur"")"),"ٹینٹ پیگنگ")</f>
        <v>ٹینٹ پیگنگ</v>
      </c>
      <c r="S278" s="6" t="s">
        <v>1149</v>
      </c>
    </row>
    <row r="279">
      <c r="A279" s="7">
        <v>278.0</v>
      </c>
      <c r="B279" s="6" t="s">
        <v>260</v>
      </c>
      <c r="C279" s="6" t="s">
        <v>261</v>
      </c>
      <c r="D279" s="6" t="s">
        <v>1017</v>
      </c>
      <c r="E279" s="6" t="s">
        <v>263</v>
      </c>
      <c r="F279" s="6" t="s">
        <v>264</v>
      </c>
      <c r="G279" s="6" t="s">
        <v>1017</v>
      </c>
      <c r="H279" s="6" t="s">
        <v>1149</v>
      </c>
      <c r="K279" s="2" t="str">
        <f>IFERROR(__xludf.DUMMYFUNCTION("GOOGLETRANSLATE(A279,""en"",""ur"")"),"278")</f>
        <v>278</v>
      </c>
      <c r="L279" s="2" t="str">
        <f>IFERROR(__xludf.DUMMYFUNCTION("GOOGLETRANSLATE(B279,""en"",""ur"")"),"تصویر میں ایکشن ایک ایسا انداز تجویز کرتا ہے جو اس بات پر زور دیتا ہے...")</f>
        <v>تصویر میں ایکشن ایک ایسا انداز تجویز کرتا ہے جو اس بات پر زور دیتا ہے...</v>
      </c>
      <c r="M279" s="2" t="str">
        <f>IFERROR(__xludf.DUMMYFUNCTION("GOOGLETRANSLATE(C279,""en"",""ur"")"),"روانی اور قلابازیاں")</f>
        <v>روانی اور قلابازیاں</v>
      </c>
      <c r="N279" s="2" t="str">
        <f>IFERROR(__xludf.DUMMYFUNCTION("GOOGLETRANSLATE(D279,""en"",""ur"")"),"گروپ کی تشکیل اور رسمی نمائش")</f>
        <v>گروپ کی تشکیل اور رسمی نمائش</v>
      </c>
      <c r="O279" s="2" t="str">
        <f>IFERROR(__xludf.DUMMYFUNCTION("GOOGLETRANSLATE(E279,""en"",""ur"")"),"وحشیانہ قوت اور گھڑ سواری۔")</f>
        <v>وحشیانہ قوت اور گھڑ سواری۔</v>
      </c>
      <c r="P279" s="2" t="str">
        <f>IFERROR(__xludf.DUMMYFUNCTION("GOOGLETRANSLATE(F279,""en"",""ur"")"),"سادہ، لکیری حرکات")</f>
        <v>سادہ، لکیری حرکات</v>
      </c>
      <c r="Q279" s="2" t="s">
        <v>1018</v>
      </c>
      <c r="R279" s="2" t="str">
        <f>IFERROR(__xludf.DUMMYFUNCTION("GOOGLETRANSLATE(G279,""en"",""ur"")"),"گروپ کی تشکیل اور رسمی نمائش")</f>
        <v>گروپ کی تشکیل اور رسمی نمائش</v>
      </c>
      <c r="S279" s="6" t="s">
        <v>1149</v>
      </c>
    </row>
    <row r="280">
      <c r="A280" s="7">
        <v>279.0</v>
      </c>
      <c r="B280" s="6" t="s">
        <v>1019</v>
      </c>
      <c r="C280" s="6" t="s">
        <v>1020</v>
      </c>
      <c r="D280" s="6" t="s">
        <v>1021</v>
      </c>
      <c r="E280" s="6" t="s">
        <v>1022</v>
      </c>
      <c r="F280" s="6" t="s">
        <v>1023</v>
      </c>
      <c r="G280" s="6" t="s">
        <v>1022</v>
      </c>
      <c r="H280" s="6" t="s">
        <v>1149</v>
      </c>
      <c r="K280" s="2" t="str">
        <f>IFERROR(__xludf.DUMMYFUNCTION("GOOGLETRANSLATE(A280,""en"",""ur"")"),"279")</f>
        <v>279</v>
      </c>
      <c r="L280" s="2" t="str">
        <f>IFERROR(__xludf.DUMMYFUNCTION("GOOGLETRANSLATE(B280,""en"",""ur"")"),"لمبی چھڑیوں کے بارے میں ایک قابل ذکر تفصیل کیا ہے جو سواروں کے پاس ہے؟")</f>
        <v>لمبی چھڑیوں کے بارے میں ایک قابل ذکر تفصیل کیا ہے جو سواروں کے پاس ہے؟</v>
      </c>
      <c r="M280" s="2" t="str">
        <f>IFERROR(__xludf.DUMMYFUNCTION("GOOGLETRANSLATE(C280,""en"",""ur"")"),"انہیں ہتھیار کے طور پر استعمال کیا جاتا ہے۔")</f>
        <v>انہیں ہتھیار کے طور پر استعمال کیا جاتا ہے۔</v>
      </c>
      <c r="N280" s="2" t="str">
        <f>IFERROR(__xludf.DUMMYFUNCTION("GOOGLETRANSLATE(D280,""en"",""ur"")"),"وہ گھوڑوں کی رہنمائی کے لیے استعمال ہوتے ہیں۔")</f>
        <v>وہ گھوڑوں کی رہنمائی کے لیے استعمال ہوتے ہیں۔</v>
      </c>
      <c r="O280" s="2" t="str">
        <f>IFERROR(__xludf.DUMMYFUNCTION("GOOGLETRANSLATE(E280,""en"",""ur"")"),"وہ ربن اور tassels کے ساتھ سجایا جاتا ہے")</f>
        <v>وہ ربن اور tassels کے ساتھ سجایا جاتا ہے</v>
      </c>
      <c r="P280" s="2" t="str">
        <f>IFERROR(__xludf.DUMMYFUNCTION("GOOGLETRANSLATE(F280,""en"",""ur"")"),"وہ جھنڈے کے طور پر استعمال ہوتے ہیں۔")</f>
        <v>وہ جھنڈے کے طور پر استعمال ہوتے ہیں۔</v>
      </c>
      <c r="Q280" s="2" t="s">
        <v>1024</v>
      </c>
      <c r="R280" s="2" t="str">
        <f>IFERROR(__xludf.DUMMYFUNCTION("GOOGLETRANSLATE(G280,""en"",""ur"")"),"وہ ربن اور tassels کے ساتھ سجایا جاتا ہے")</f>
        <v>وہ ربن اور tassels کے ساتھ سجایا جاتا ہے</v>
      </c>
      <c r="S280" s="6" t="s">
        <v>1149</v>
      </c>
    </row>
    <row r="281">
      <c r="A281" s="7">
        <v>280.0</v>
      </c>
      <c r="B281" s="6" t="s">
        <v>991</v>
      </c>
      <c r="C281" s="6" t="s">
        <v>992</v>
      </c>
      <c r="D281" s="6" t="s">
        <v>646</v>
      </c>
      <c r="E281" s="6" t="s">
        <v>993</v>
      </c>
      <c r="F281" s="6" t="s">
        <v>1094</v>
      </c>
      <c r="G281" s="6" t="s">
        <v>1095</v>
      </c>
      <c r="H281" s="6" t="s">
        <v>1149</v>
      </c>
      <c r="K281" s="2" t="str">
        <f>IFERROR(__xludf.DUMMYFUNCTION("GOOGLETRANSLATE(A281,""en"",""ur"")"),"280")</f>
        <v>280</v>
      </c>
      <c r="L281" s="2" t="str">
        <f>IFERROR(__xludf.DUMMYFUNCTION("GOOGLETRANSLATE(B281,""en"",""ur"")"),"واقعہ کی ظاہری ترتیب کیا ہے؟")</f>
        <v>واقعہ کی ظاہری ترتیب کیا ہے؟</v>
      </c>
      <c r="M281" s="2" t="str">
        <f>IFERROR(__xludf.DUMMYFUNCTION("GOOGLETRANSLATE(C281,""en"",""ur"")"),"ایک اندرونی میدان")</f>
        <v>ایک اندرونی میدان</v>
      </c>
      <c r="N281" s="2" t="str">
        <f>IFERROR(__xludf.DUMMYFUNCTION("GOOGLETRANSLATE(D281,""en"",""ur"")"),"شہر کی ایک گلی")</f>
        <v>شہر کی ایک گلی</v>
      </c>
      <c r="O281" s="2" t="str">
        <f>IFERROR(__xludf.DUMMYFUNCTION("GOOGLETRANSLATE(E281,""en"",""ur"")"),"ایک بیرونی گندگی کا ٹریک")</f>
        <v>ایک بیرونی گندگی کا ٹریک</v>
      </c>
      <c r="P281" s="2" t="str">
        <f>IFERROR(__xludf.DUMMYFUNCTION("GOOGLETRANSLATE(F281,""en"",""ur"")"),"درختوں اور دھندلے پس منظر کے ساتھ گھاس کا میدان")</f>
        <v>درختوں اور دھندلے پس منظر کے ساتھ گھاس کا میدان</v>
      </c>
      <c r="Q281" s="2" t="s">
        <v>1096</v>
      </c>
      <c r="R281" s="2" t="str">
        <f>IFERROR(__xludf.DUMMYFUNCTION("GOOGLETRANSLATE(G281,""en"",""ur"")"),"درختوں اور دھندلے پس منظر کے ساتھ ایک بیرونی گندگی کا ٹریک")</f>
        <v>درختوں اور دھندلے پس منظر کے ساتھ ایک بیرونی گندگی کا ٹریک</v>
      </c>
      <c r="S281" s="6" t="s">
        <v>1149</v>
      </c>
    </row>
    <row r="282">
      <c r="A282" s="7">
        <v>281.0</v>
      </c>
      <c r="B282" s="6" t="s">
        <v>1152</v>
      </c>
      <c r="C282" s="6" t="s">
        <v>958</v>
      </c>
      <c r="D282" s="6" t="s">
        <v>959</v>
      </c>
      <c r="E282" s="6" t="s">
        <v>960</v>
      </c>
      <c r="F282" s="6" t="s">
        <v>961</v>
      </c>
      <c r="G282" s="6" t="s">
        <v>959</v>
      </c>
      <c r="H282" s="6" t="s">
        <v>1153</v>
      </c>
      <c r="K282" s="2" t="str">
        <f>IFERROR(__xludf.DUMMYFUNCTION("GOOGLETRANSLATE(A282,""en"",""ur"")"),"281")</f>
        <v>281</v>
      </c>
      <c r="L282" s="2" t="str">
        <f>IFERROR(__xludf.DUMMYFUNCTION("GOOGLETRANSLATE(B282,""en"",""ur"")"),"tent_pegging_70 میں دکھائی جانے والی اہم کارروائی کیا ہے؟")</f>
        <v>tent_pegging_70 میں دکھائی جانے والی اہم کارروائی کیا ہے؟</v>
      </c>
      <c r="M282" s="2" t="str">
        <f>IFERROR(__xludf.DUMMYFUNCTION("GOOGLETRANSLATE(C282,""en"",""ur"")"),"گھوڑے کی پیٹھ پر کرتب دکھاتے ہوئے سوار")</f>
        <v>گھوڑے کی پیٹھ پر کرتب دکھاتے ہوئے سوار</v>
      </c>
      <c r="N282" s="2" t="str">
        <f>IFERROR(__xludf.DUMMYFUNCTION("GOOGLETRANSLATE(D282,""en"",""ur"")"),"ٹینٹ پیگنگ ایونٹ میں مقابلہ کرنے والا سوار")</f>
        <v>ٹینٹ پیگنگ ایونٹ میں مقابلہ کرنے والا سوار</v>
      </c>
      <c r="O282" s="2" t="str">
        <f>IFERROR(__xludf.DUMMYFUNCTION("GOOGLETRANSLATE(E282,""en"",""ur"")"),"گھوڑوں کی دوڑ میں سوار")</f>
        <v>گھوڑوں کی دوڑ میں سوار</v>
      </c>
      <c r="P282" s="2" t="str">
        <f>IFERROR(__xludf.DUMMYFUNCTION("GOOGLETRANSLATE(F282,""en"",""ur"")"),"ایک سوار پریڈ کی قیادت کر رہا ہے۔")</f>
        <v>ایک سوار پریڈ کی قیادت کر رہا ہے۔</v>
      </c>
      <c r="Q282" s="2" t="s">
        <v>1029</v>
      </c>
      <c r="R282" s="2" t="str">
        <f>IFERROR(__xludf.DUMMYFUNCTION("GOOGLETRANSLATE(G282,""en"",""ur"")"),"ٹینٹ پیگنگ ایونٹ میں مقابلہ کرنے والا سوار")</f>
        <v>ٹینٹ پیگنگ ایونٹ میں مقابلہ کرنے والا سوار</v>
      </c>
      <c r="S282" s="6" t="s">
        <v>1153</v>
      </c>
    </row>
    <row r="283">
      <c r="A283" s="7">
        <v>282.0</v>
      </c>
      <c r="B283" s="6" t="s">
        <v>963</v>
      </c>
      <c r="C283" s="6" t="s">
        <v>964</v>
      </c>
      <c r="D283" s="6" t="s">
        <v>1083</v>
      </c>
      <c r="E283" s="6" t="s">
        <v>966</v>
      </c>
      <c r="F283" s="6" t="s">
        <v>967</v>
      </c>
      <c r="G283" s="6" t="s">
        <v>1083</v>
      </c>
      <c r="H283" s="6" t="s">
        <v>1153</v>
      </c>
      <c r="K283" s="2" t="str">
        <f>IFERROR(__xludf.DUMMYFUNCTION("GOOGLETRANSLATE(A283,""en"",""ur"")"),"282")</f>
        <v>282</v>
      </c>
      <c r="L283" s="2" t="str">
        <f>IFERROR(__xludf.DUMMYFUNCTION("GOOGLETRANSLATE(B283,""en"",""ur"")"),"سوار کے لباس کے بارے میں ایک قابل ذکر تفصیل کیا ہے؟")</f>
        <v>سوار کے لباس کے بارے میں ایک قابل ذکر تفصیل کیا ہے؟</v>
      </c>
      <c r="M283" s="2" t="str">
        <f>IFERROR(__xludf.DUMMYFUNCTION("GOOGLETRANSLATE(C283,""en"",""ur"")"),"ایک رسمی سوٹ اور ٹائی")</f>
        <v>ایک رسمی سوٹ اور ٹائی</v>
      </c>
      <c r="N283" s="2" t="str">
        <f>IFERROR(__xludf.DUMMYFUNCTION("GOOGLETRANSLATE(D283,""en"",""ur"")"),"سبز بنیان کے ساتھ سفید روایتی لباس")</f>
        <v>سبز بنیان کے ساتھ سفید روایتی لباس</v>
      </c>
      <c r="O283" s="2" t="str">
        <f>IFERROR(__xludf.DUMMYFUNCTION("GOOGLETRANSLATE(E283,""en"",""ur"")"),"فوجی وردی")</f>
        <v>فوجی وردی</v>
      </c>
      <c r="P283" s="2" t="str">
        <f>IFERROR(__xludf.DUMMYFUNCTION("GOOGLETRANSLATE(F283,""en"",""ur"")"),"ایک جدید کھیلوں کا یونیفارم")</f>
        <v>ایک جدید کھیلوں کا یونیفارم</v>
      </c>
      <c r="Q283" s="2" t="s">
        <v>1084</v>
      </c>
      <c r="R283" s="2" t="str">
        <f>IFERROR(__xludf.DUMMYFUNCTION("GOOGLETRANSLATE(G283,""en"",""ur"")"),"سبز بنیان کے ساتھ سفید روایتی لباس")</f>
        <v>سبز بنیان کے ساتھ سفید روایتی لباس</v>
      </c>
      <c r="S283" s="6" t="s">
        <v>1153</v>
      </c>
    </row>
    <row r="284">
      <c r="A284" s="7">
        <v>283.0</v>
      </c>
      <c r="B284" s="6" t="s">
        <v>969</v>
      </c>
      <c r="C284" s="6" t="s">
        <v>970</v>
      </c>
      <c r="D284" s="6" t="s">
        <v>971</v>
      </c>
      <c r="E284" s="6" t="s">
        <v>972</v>
      </c>
      <c r="F284" s="6" t="s">
        <v>973</v>
      </c>
      <c r="G284" s="6" t="s">
        <v>972</v>
      </c>
      <c r="H284" s="6" t="s">
        <v>1153</v>
      </c>
      <c r="K284" s="2" t="str">
        <f>IFERROR(__xludf.DUMMYFUNCTION("GOOGLETRANSLATE(A284,""en"",""ur"")"),"283")</f>
        <v>283</v>
      </c>
      <c r="L284" s="2" t="str">
        <f>IFERROR(__xludf.DUMMYFUNCTION("GOOGLETRANSLATE(B284,""en"",""ur"")"),"سوار نے جو لمبی چھڑی پکڑی ہوئی ہے اس کا ظاہری مقصد کیا ہے؟")</f>
        <v>سوار نے جو لمبی چھڑی پکڑی ہوئی ہے اس کا ظاہری مقصد کیا ہے؟</v>
      </c>
      <c r="M284" s="2" t="str">
        <f>IFERROR(__xludf.DUMMYFUNCTION("GOOGLETRANSLATE(C284,""en"",""ur"")"),"گھوڑے کی رہنمائی کے لیے")</f>
        <v>گھوڑے کی رہنمائی کے لیے</v>
      </c>
      <c r="N284" s="2" t="str">
        <f>IFERROR(__xludf.DUMMYFUNCTION("GOOGLETRANSLATE(D284,""en"",""ur"")"),"توازن کے لیے زمین سے ٹکرانا")</f>
        <v>توازن کے لیے زمین سے ٹکرانا</v>
      </c>
      <c r="O284" s="2" t="str">
        <f>IFERROR(__xludf.DUMMYFUNCTION("GOOGLETRANSLATE(E284,""en"",""ur"")"),"زمین پر چھوٹے اہداف کو نشانہ بنانا")</f>
        <v>زمین پر چھوٹے اہداف کو نشانہ بنانا</v>
      </c>
      <c r="P284" s="2" t="str">
        <f>IFERROR(__xludf.DUMMYFUNCTION("GOOGLETRANSLATE(F284,""en"",""ur"")"),"بطور ہتھیار استعمال کرنا")</f>
        <v>بطور ہتھیار استعمال کرنا</v>
      </c>
      <c r="Q284" s="2" t="s">
        <v>974</v>
      </c>
      <c r="R284" s="2" t="str">
        <f>IFERROR(__xludf.DUMMYFUNCTION("GOOGLETRANSLATE(G284,""en"",""ur"")"),"زمین پر چھوٹے اہداف کو نشانہ بنانا")</f>
        <v>زمین پر چھوٹے اہداف کو نشانہ بنانا</v>
      </c>
      <c r="S284" s="6" t="s">
        <v>1153</v>
      </c>
    </row>
    <row r="285">
      <c r="A285" s="7">
        <v>284.0</v>
      </c>
      <c r="B285" s="6" t="s">
        <v>310</v>
      </c>
      <c r="C285" s="6" t="s">
        <v>429</v>
      </c>
      <c r="D285" s="6" t="s">
        <v>975</v>
      </c>
      <c r="E285" s="6" t="s">
        <v>976</v>
      </c>
      <c r="F285" s="6" t="s">
        <v>977</v>
      </c>
      <c r="G285" s="6" t="s">
        <v>975</v>
      </c>
      <c r="H285" s="6" t="s">
        <v>1153</v>
      </c>
      <c r="K285" s="2" t="str">
        <f>IFERROR(__xludf.DUMMYFUNCTION("GOOGLETRANSLATE(A285,""en"",""ur"")"),"284")</f>
        <v>284</v>
      </c>
      <c r="L285" s="2" t="str">
        <f>IFERROR(__xludf.DUMMYFUNCTION("GOOGLETRANSLATE(B285,""en"",""ur"")"),"سوار کی ظاہری باڈی پوزیشن کیا ہے؟")</f>
        <v>سوار کی ظاہری باڈی پوزیشن کیا ہے؟</v>
      </c>
      <c r="M285" s="2" t="str">
        <f>IFERROR(__xludf.DUMMYFUNCTION("GOOGLETRANSLATE(C285,""en"",""ur"")"),"سیدھا کھڑا ہونا")</f>
        <v>سیدھا کھڑا ہونا</v>
      </c>
      <c r="N285" s="2" t="str">
        <f>IFERROR(__xludf.DUMMYFUNCTION("GOOGLETRANSLATE(D285,""en"",""ur"")"),"نیچے اور طرف جھکنا")</f>
        <v>نیچے اور طرف جھکنا</v>
      </c>
      <c r="O285" s="2" t="str">
        <f>IFERROR(__xludf.DUMMYFUNCTION("GOOGLETRANSLATE(E285,""en"",""ur"")"),"گھوڑے کی پیٹھ پر لیٹنا")</f>
        <v>گھوڑے کی پیٹھ پر لیٹنا</v>
      </c>
      <c r="P285" s="2" t="str">
        <f>IFERROR(__xludf.DUMMYFUNCTION("GOOGLETRANSLATE(F285,""en"",""ur"")"),"آرام سے بیٹھ گیا۔")</f>
        <v>آرام سے بیٹھ گیا۔</v>
      </c>
      <c r="Q285" s="2" t="s">
        <v>978</v>
      </c>
      <c r="R285" s="2" t="str">
        <f>IFERROR(__xludf.DUMMYFUNCTION("GOOGLETRANSLATE(G285,""en"",""ur"")"),"نیچے اور طرف جھکنا")</f>
        <v>نیچے اور طرف جھکنا</v>
      </c>
      <c r="S285" s="6" t="s">
        <v>1153</v>
      </c>
    </row>
    <row r="286">
      <c r="A286" s="7">
        <v>285.0</v>
      </c>
      <c r="B286" s="6" t="s">
        <v>979</v>
      </c>
      <c r="C286" s="6" t="s">
        <v>980</v>
      </c>
      <c r="D286" s="6" t="s">
        <v>981</v>
      </c>
      <c r="E286" s="6" t="s">
        <v>982</v>
      </c>
      <c r="F286" s="6" t="s">
        <v>983</v>
      </c>
      <c r="G286" s="6" t="s">
        <v>982</v>
      </c>
      <c r="H286" s="6" t="s">
        <v>1153</v>
      </c>
      <c r="K286" s="2" t="str">
        <f>IFERROR(__xludf.DUMMYFUNCTION("GOOGLETRANSLATE(A286,""en"",""ur"")"),"285")</f>
        <v>285</v>
      </c>
      <c r="L286" s="2" t="str">
        <f>IFERROR(__xludf.DUMMYFUNCTION("GOOGLETRANSLATE(B286,""en"",""ur"")"),"گھوڑے کے پیچھے زمین کی ظاہری حالت کیا ہے؟")</f>
        <v>گھوڑے کے پیچھے زمین کی ظاہری حالت کیا ہے؟</v>
      </c>
      <c r="M286" s="2" t="str">
        <f>IFERROR(__xludf.DUMMYFUNCTION("GOOGLETRANSLATE(C286,""en"",""ur"")"),"بالکل ہموار")</f>
        <v>بالکل ہموار</v>
      </c>
      <c r="N286" s="2" t="str">
        <f>IFERROR(__xludf.DUMMYFUNCTION("GOOGLETRANSLATE(D286,""en"",""ur"")"),"تازہ گھاس میں ڈھکا ہوا ہے۔")</f>
        <v>تازہ گھاس میں ڈھکا ہوا ہے۔</v>
      </c>
      <c r="O286" s="2" t="str">
        <f>IFERROR(__xludf.DUMMYFUNCTION("GOOGLETRANSLATE(E286,""en"",""ur"")"),"غبار کے بادل میں اُٹھ گیا۔")</f>
        <v>غبار کے بادل میں اُٹھ گیا۔</v>
      </c>
      <c r="P286" s="2" t="str">
        <f>IFERROR(__xludf.DUMMYFUNCTION("GOOGLETRANSLATE(F286,""en"",""ur"")"),"پانی سے بھرا ہوا ۔")</f>
        <v>پانی سے بھرا ہوا ۔</v>
      </c>
      <c r="Q286" s="2" t="s">
        <v>984</v>
      </c>
      <c r="R286" s="2" t="str">
        <f>IFERROR(__xludf.DUMMYFUNCTION("GOOGLETRANSLATE(G286,""en"",""ur"")"),"غبار کے بادل میں اُٹھ گیا۔")</f>
        <v>غبار کے بادل میں اُٹھ گیا۔</v>
      </c>
      <c r="S286" s="6" t="s">
        <v>1153</v>
      </c>
    </row>
    <row r="287">
      <c r="A287" s="7">
        <v>286.0</v>
      </c>
      <c r="B287" s="6" t="s">
        <v>985</v>
      </c>
      <c r="C287" s="6" t="s">
        <v>986</v>
      </c>
      <c r="D287" s="6" t="s">
        <v>1032</v>
      </c>
      <c r="E287" s="6" t="s">
        <v>988</v>
      </c>
      <c r="F287" s="6" t="s">
        <v>989</v>
      </c>
      <c r="G287" s="6" t="s">
        <v>1032</v>
      </c>
      <c r="H287" s="6" t="s">
        <v>1153</v>
      </c>
      <c r="K287" s="2" t="str">
        <f>IFERROR(__xludf.DUMMYFUNCTION("GOOGLETRANSLATE(A287,""en"",""ur"")"),"286")</f>
        <v>286</v>
      </c>
      <c r="L287" s="2" t="str">
        <f>IFERROR(__xludf.DUMMYFUNCTION("GOOGLETRANSLATE(B287,""en"",""ur"")"),"گھوڑے کے ٹیک کی سب سے نمایاں خصوصیت کیا ہے؟")</f>
        <v>گھوڑے کے ٹیک کی سب سے نمایاں خصوصیت کیا ہے؟</v>
      </c>
      <c r="M287" s="2" t="str">
        <f>IFERROR(__xludf.DUMMYFUNCTION("GOOGLETRANSLATE(C287,""en"",""ur"")"),"یہ ایک سادہ سی کاٹھی ہے۔")</f>
        <v>یہ ایک سادہ سی کاٹھی ہے۔</v>
      </c>
      <c r="N287" s="2" t="str">
        <f>IFERROR(__xludf.DUMMYFUNCTION("GOOGLETRANSLATE(D287,""en"",""ur"")"),"یہ سرخ آرائش کے ساتھ ایک انتہائی آرائشی کاٹھی ہے۔")</f>
        <v>یہ سرخ آرائش کے ساتھ ایک انتہائی آرائشی کاٹھی ہے۔</v>
      </c>
      <c r="O287" s="2" t="str">
        <f>IFERROR(__xludf.DUMMYFUNCTION("GOOGLETRANSLATE(E287,""en"",""ur"")"),"یہ ایک ننگا پیڈ ہے۔")</f>
        <v>یہ ایک ننگا پیڈ ہے۔</v>
      </c>
      <c r="P287" s="2" t="str">
        <f>IFERROR(__xludf.DUMMYFUNCTION("GOOGLETRANSLATE(F287,""en"",""ur"")"),"یہ ایک ریسنگ سیڈل ہے۔")</f>
        <v>یہ ایک ریسنگ سیڈل ہے۔</v>
      </c>
      <c r="Q287" s="2" t="s">
        <v>1033</v>
      </c>
      <c r="R287" s="2" t="str">
        <f>IFERROR(__xludf.DUMMYFUNCTION("GOOGLETRANSLATE(G287,""en"",""ur"")"),"یہ سرخ آرائش کے ساتھ ایک انتہائی آرائشی کاٹھی ہے۔")</f>
        <v>یہ سرخ آرائش کے ساتھ ایک انتہائی آرائشی کاٹھی ہے۔</v>
      </c>
      <c r="S287" s="6" t="s">
        <v>1153</v>
      </c>
    </row>
    <row r="288">
      <c r="A288" s="7">
        <v>287.0</v>
      </c>
      <c r="B288" s="6" t="s">
        <v>991</v>
      </c>
      <c r="C288" s="6" t="s">
        <v>992</v>
      </c>
      <c r="D288" s="6" t="s">
        <v>646</v>
      </c>
      <c r="E288" s="6" t="s">
        <v>1051</v>
      </c>
      <c r="F288" s="6" t="s">
        <v>425</v>
      </c>
      <c r="G288" s="6" t="s">
        <v>1051</v>
      </c>
      <c r="H288" s="6" t="s">
        <v>1153</v>
      </c>
      <c r="K288" s="2" t="str">
        <f>IFERROR(__xludf.DUMMYFUNCTION("GOOGLETRANSLATE(A288,""en"",""ur"")"),"287")</f>
        <v>287</v>
      </c>
      <c r="L288" s="2" t="str">
        <f>IFERROR(__xludf.DUMMYFUNCTION("GOOGLETRANSLATE(B288,""en"",""ur"")"),"واقعہ کی ظاہری ترتیب کیا ہے؟")</f>
        <v>واقعہ کی ظاہری ترتیب کیا ہے؟</v>
      </c>
      <c r="M288" s="2" t="str">
        <f>IFERROR(__xludf.DUMMYFUNCTION("GOOGLETRANSLATE(C288,""en"",""ur"")"),"ایک اندرونی میدان")</f>
        <v>ایک اندرونی میدان</v>
      </c>
      <c r="N288" s="2" t="str">
        <f>IFERROR(__xludf.DUMMYFUNCTION("GOOGLETRANSLATE(D288,""en"",""ur"")"),"شہر کی ایک گلی")</f>
        <v>شہر کی ایک گلی</v>
      </c>
      <c r="O288" s="2" t="str">
        <f>IFERROR(__xludf.DUMMYFUNCTION("GOOGLETRANSLATE(E288,""en"",""ur"")"),"تماشائیوں کے ساتھ ایک بیرونی گندگی کا ٹریک")</f>
        <v>تماشائیوں کے ساتھ ایک بیرونی گندگی کا ٹریک</v>
      </c>
      <c r="P288" s="2" t="str">
        <f>IFERROR(__xludf.DUMMYFUNCTION("GOOGLETRANSLATE(F288,""en"",""ur"")"),"گھاس کا میدان")</f>
        <v>گھاس کا میدان</v>
      </c>
      <c r="Q288" s="2" t="s">
        <v>1052</v>
      </c>
      <c r="R288" s="2" t="str">
        <f>IFERROR(__xludf.DUMMYFUNCTION("GOOGLETRANSLATE(G288,""en"",""ur"")"),"تماشائیوں کے ساتھ ایک بیرونی گندگی کا ٹریک")</f>
        <v>تماشائیوں کے ساتھ ایک بیرونی گندگی کا ٹریک</v>
      </c>
      <c r="S288" s="6" t="s">
        <v>1153</v>
      </c>
    </row>
    <row r="289">
      <c r="A289" s="7">
        <v>288.0</v>
      </c>
      <c r="B289" s="6" t="s">
        <v>1036</v>
      </c>
      <c r="C289" s="6" t="s">
        <v>95</v>
      </c>
      <c r="D289" s="6" t="s">
        <v>96</v>
      </c>
      <c r="E289" s="6" t="s">
        <v>1015</v>
      </c>
      <c r="F289" s="6" t="s">
        <v>258</v>
      </c>
      <c r="G289" s="6" t="s">
        <v>1015</v>
      </c>
      <c r="H289" s="6" t="s">
        <v>1153</v>
      </c>
      <c r="K289" s="2" t="str">
        <f>IFERROR(__xludf.DUMMYFUNCTION("GOOGLETRANSLATE(A289,""en"",""ur"")"),"288")</f>
        <v>288</v>
      </c>
      <c r="L289" s="2" t="str">
        <f>IFERROR(__xludf.DUMMYFUNCTION("GOOGLETRANSLATE(B289,""en"",""ur"")"),"کھیل کا نام کیا ہے؟")</f>
        <v>کھیل کا نام کیا ہے؟</v>
      </c>
      <c r="M289" s="2" t="str">
        <f>IFERROR(__xludf.DUMMYFUNCTION("GOOGLETRANSLATE(C289,""en"",""ur"")"),"پولو")</f>
        <v>پولو</v>
      </c>
      <c r="N289" s="2" t="str">
        <f>IFERROR(__xludf.DUMMYFUNCTION("GOOGLETRANSLATE(D289,""en"",""ur"")"),"گھوڑوں کی دوڑ")</f>
        <v>گھوڑوں کی دوڑ</v>
      </c>
      <c r="O289" s="2" t="str">
        <f>IFERROR(__xludf.DUMMYFUNCTION("GOOGLETRANSLATE(E289,""en"",""ur"")"),"ٹینٹ پیگنگ")</f>
        <v>ٹینٹ پیگنگ</v>
      </c>
      <c r="P289" s="2" t="str">
        <f>IFERROR(__xludf.DUMMYFUNCTION("GOOGLETRANSLATE(F289,""en"",""ur"")"),"گھڑ سواری کے کھیل")</f>
        <v>گھڑ سواری کے کھیل</v>
      </c>
      <c r="Q289" s="2" t="s">
        <v>1016</v>
      </c>
      <c r="R289" s="2" t="str">
        <f>IFERROR(__xludf.DUMMYFUNCTION("GOOGLETRANSLATE(G289,""en"",""ur"")"),"ٹینٹ پیگنگ")</f>
        <v>ٹینٹ پیگنگ</v>
      </c>
      <c r="S289" s="6" t="s">
        <v>1153</v>
      </c>
    </row>
    <row r="290">
      <c r="A290" s="7">
        <v>289.0</v>
      </c>
      <c r="B290" s="6" t="s">
        <v>316</v>
      </c>
      <c r="C290" s="6" t="s">
        <v>47</v>
      </c>
      <c r="D290" s="6" t="s">
        <v>48</v>
      </c>
      <c r="E290" s="6" t="s">
        <v>49</v>
      </c>
      <c r="F290" s="6" t="s">
        <v>50</v>
      </c>
      <c r="G290" s="6" t="s">
        <v>49</v>
      </c>
      <c r="H290" s="6" t="s">
        <v>1153</v>
      </c>
      <c r="K290" s="2" t="str">
        <f>IFERROR(__xludf.DUMMYFUNCTION("GOOGLETRANSLATE(A290,""en"",""ur"")"),"289")</f>
        <v>289</v>
      </c>
      <c r="L290" s="2" t="str">
        <f>IFERROR(__xludf.DUMMYFUNCTION("GOOGLETRANSLATE(B290,""en"",""ur"")"),"سوار کے چہرے سے ظاہری جذبات کیا ہیں؟")</f>
        <v>سوار کے چہرے سے ظاہری جذبات کیا ہیں؟</v>
      </c>
      <c r="M290" s="2" t="str">
        <f>IFERROR(__xludf.DUMMYFUNCTION("GOOGLETRANSLATE(C290,""en"",""ur"")"),"پرسکون اور پر سکون")</f>
        <v>پرسکون اور پر سکون</v>
      </c>
      <c r="N290" s="2" t="str">
        <f>IFERROR(__xludf.DUMMYFUNCTION("GOOGLETRANSLATE(D290,""en"",""ur"")"),"خوف زدہ اور بے چین")</f>
        <v>خوف زدہ اور بے چین</v>
      </c>
      <c r="O290" s="2" t="str">
        <f>IFERROR(__xludf.DUMMYFUNCTION("GOOGLETRANSLATE(E290,""en"",""ur"")"),"کشیدہ اور شدید")</f>
        <v>کشیدہ اور شدید</v>
      </c>
      <c r="P290" s="2" t="str">
        <f>IFERROR(__xludf.DUMMYFUNCTION("GOOGLETRANSLATE(F290,""en"",""ur"")"),"خوش اور مسکراتے ہوئے۔")</f>
        <v>خوش اور مسکراتے ہوئے۔</v>
      </c>
      <c r="Q290" s="2" t="s">
        <v>51</v>
      </c>
      <c r="R290" s="2" t="str">
        <f>IFERROR(__xludf.DUMMYFUNCTION("GOOGLETRANSLATE(G290,""en"",""ur"")"),"کشیدہ اور شدید")</f>
        <v>کشیدہ اور شدید</v>
      </c>
      <c r="S290" s="6" t="s">
        <v>1153</v>
      </c>
    </row>
    <row r="291">
      <c r="A291" s="7">
        <v>290.0</v>
      </c>
      <c r="B291" s="6" t="s">
        <v>260</v>
      </c>
      <c r="C291" s="6" t="s">
        <v>261</v>
      </c>
      <c r="D291" s="6" t="s">
        <v>262</v>
      </c>
      <c r="E291" s="6" t="s">
        <v>263</v>
      </c>
      <c r="F291" s="6" t="s">
        <v>1001</v>
      </c>
      <c r="G291" s="6" t="s">
        <v>1001</v>
      </c>
      <c r="H291" s="6" t="s">
        <v>1153</v>
      </c>
      <c r="K291" s="2" t="str">
        <f>IFERROR(__xludf.DUMMYFUNCTION("GOOGLETRANSLATE(A291,""en"",""ur"")"),"290")</f>
        <v>290</v>
      </c>
      <c r="L291" s="2" t="str">
        <f>IFERROR(__xludf.DUMMYFUNCTION("GOOGLETRANSLATE(B291,""en"",""ur"")"),"تصویر میں ایکشن ایک ایسا انداز تجویز کرتا ہے جو اس بات پر زور دیتا ہے...")</f>
        <v>تصویر میں ایکشن ایک ایسا انداز تجویز کرتا ہے جو اس بات پر زور دیتا ہے...</v>
      </c>
      <c r="M291" s="2" t="str">
        <f>IFERROR(__xludf.DUMMYFUNCTION("GOOGLETRANSLATE(C291,""en"",""ur"")"),"روانی اور قلابازیاں")</f>
        <v>روانی اور قلابازیاں</v>
      </c>
      <c r="N291" s="2" t="str">
        <f>IFERROR(__xludf.DUMMYFUNCTION("GOOGLETRANSLATE(D291,""en"",""ur"")"),"زمینی لڑائی اور گرفت")</f>
        <v>زمینی لڑائی اور گرفت</v>
      </c>
      <c r="O291" s="2" t="str">
        <f>IFERROR(__xludf.DUMMYFUNCTION("GOOGLETRANSLATE(E291,""en"",""ur"")"),"وحشیانہ قوت اور گھڑ سواری۔")</f>
        <v>وحشیانہ قوت اور گھڑ سواری۔</v>
      </c>
      <c r="P291" s="2" t="str">
        <f>IFERROR(__xludf.DUMMYFUNCTION("GOOGLETRANSLATE(F291,""en"",""ur"")"),"رفتار، درستگی اور چستی")</f>
        <v>رفتار، درستگی اور چستی</v>
      </c>
      <c r="Q291" s="2" t="s">
        <v>1002</v>
      </c>
      <c r="R291" s="2" t="str">
        <f>IFERROR(__xludf.DUMMYFUNCTION("GOOGLETRANSLATE(G291,""en"",""ur"")"),"رفتار، درستگی اور چستی")</f>
        <v>رفتار، درستگی اور چستی</v>
      </c>
      <c r="S291" s="6" t="s">
        <v>1153</v>
      </c>
    </row>
    <row r="292">
      <c r="A292" s="7">
        <v>291.0</v>
      </c>
      <c r="B292" s="6" t="s">
        <v>1154</v>
      </c>
      <c r="C292" s="6" t="s">
        <v>1039</v>
      </c>
      <c r="D292" s="6" t="s">
        <v>1065</v>
      </c>
      <c r="E292" s="6" t="s">
        <v>73</v>
      </c>
      <c r="F292" s="6" t="s">
        <v>1066</v>
      </c>
      <c r="G292" s="6" t="s">
        <v>1039</v>
      </c>
      <c r="H292" s="6" t="s">
        <v>1155</v>
      </c>
      <c r="K292" s="2" t="str">
        <f>IFERROR(__xludf.DUMMYFUNCTION("GOOGLETRANSLATE(A292,""en"",""ur"")"),"291")</f>
        <v>291</v>
      </c>
      <c r="L292" s="2" t="str">
        <f>IFERROR(__xludf.DUMMYFUNCTION("GOOGLETRANSLATE(B292,""en"",""ur"")"),"tent_pegging_53 میں دکھائی جانے والی اہم کارروائی کیا ہے؟")</f>
        <v>tent_pegging_53 میں دکھائی جانے والی اہم کارروائی کیا ہے؟</v>
      </c>
      <c r="M292" s="2" t="str">
        <f>IFERROR(__xludf.DUMMYFUNCTION("GOOGLETRANSLATE(C292,""en"",""ur"")"),"ٹینٹ پیگنگ ایونٹ میں دو سوار مقابلہ کر رہے ہیں۔")</f>
        <v>ٹینٹ پیگنگ ایونٹ میں دو سوار مقابلہ کر رہے ہیں۔</v>
      </c>
      <c r="N292" s="2" t="str">
        <f>IFERROR(__xludf.DUMMYFUNCTION("GOOGLETRANSLATE(D292,""en"",""ur"")"),"پریڈ کی تشکیل میں سواروں کا ایک گروپ")</f>
        <v>پریڈ کی تشکیل میں سواروں کا ایک گروپ</v>
      </c>
      <c r="O292" s="2" t="str">
        <f>IFERROR(__xludf.DUMMYFUNCTION("GOOGLETRANSLATE(E292,""en"",""ur"")"),"گھوڑوں کی دوڑ")</f>
        <v>گھوڑوں کی دوڑ</v>
      </c>
      <c r="P292" s="2" t="str">
        <f>IFERROR(__xludf.DUMMYFUNCTION("GOOGLETRANSLATE(F292,""en"",""ur"")"),"لڑنے والے سواروں کا ایک گروہ")</f>
        <v>لڑنے والے سواروں کا ایک گروہ</v>
      </c>
      <c r="Q292" s="2" t="s">
        <v>1099</v>
      </c>
      <c r="R292" s="2" t="str">
        <f>IFERROR(__xludf.DUMMYFUNCTION("GOOGLETRANSLATE(G292,""en"",""ur"")"),"ٹینٹ پیگنگ ایونٹ میں دو سوار مقابلہ کر رہے ہیں۔")</f>
        <v>ٹینٹ پیگنگ ایونٹ میں دو سوار مقابلہ کر رہے ہیں۔</v>
      </c>
      <c r="S292" s="6" t="s">
        <v>1155</v>
      </c>
    </row>
    <row r="293">
      <c r="A293" s="7">
        <v>292.0</v>
      </c>
      <c r="B293" s="6" t="s">
        <v>1007</v>
      </c>
      <c r="C293" s="6" t="s">
        <v>1008</v>
      </c>
      <c r="D293" s="6" t="s">
        <v>1118</v>
      </c>
      <c r="E293" s="6" t="s">
        <v>245</v>
      </c>
      <c r="F293" s="6" t="s">
        <v>243</v>
      </c>
      <c r="G293" s="6" t="s">
        <v>1118</v>
      </c>
      <c r="H293" s="6" t="s">
        <v>1155</v>
      </c>
      <c r="K293" s="2" t="str">
        <f>IFERROR(__xludf.DUMMYFUNCTION("GOOGLETRANSLATE(A293,""en"",""ur"")"),"292")</f>
        <v>292</v>
      </c>
      <c r="L293" s="2" t="str">
        <f>IFERROR(__xludf.DUMMYFUNCTION("GOOGLETRANSLATE(B293,""en"",""ur"")"),"سواروں کے لباس کے بارے میں ایک قابل ذکر تفصیل کیا ہے؟")</f>
        <v>سواروں کے لباس کے بارے میں ایک قابل ذکر تفصیل کیا ہے؟</v>
      </c>
      <c r="M293" s="2" t="str">
        <f>IFERROR(__xludf.DUMMYFUNCTION("GOOGLETRANSLATE(C293,""en"",""ur"")"),"انہوں نے فوجی وردی پہن رکھی ہے۔")</f>
        <v>انہوں نے فوجی وردی پہن رکھی ہے۔</v>
      </c>
      <c r="N293" s="2" t="str">
        <f>IFERROR(__xludf.DUMMYFUNCTION("GOOGLETRANSLATE(D293,""en"",""ur"")"),"وہ پگڑیوں کے ساتھ روایتی سفید لباس پہنے ہوئے ہیں۔")</f>
        <v>وہ پگڑیوں کے ساتھ روایتی سفید لباس پہنے ہوئے ہیں۔</v>
      </c>
      <c r="O293" s="2" t="str">
        <f>IFERROR(__xludf.DUMMYFUNCTION("GOOGLETRANSLATE(E293,""en"",""ur"")"),"وہ رسمی سوٹ پہنے ہوئے ہیں۔")</f>
        <v>وہ رسمی سوٹ پہنے ہوئے ہیں۔</v>
      </c>
      <c r="P293" s="2" t="str">
        <f>IFERROR(__xludf.DUMMYFUNCTION("GOOGLETRANSLATE(F293,""en"",""ur"")"),"وہ جدید کھیلوں کی وردی پہنے ہوئے ہیں۔")</f>
        <v>وہ جدید کھیلوں کی وردی پہنے ہوئے ہیں۔</v>
      </c>
      <c r="Q293" s="2" t="s">
        <v>1119</v>
      </c>
      <c r="R293" s="2" t="str">
        <f>IFERROR(__xludf.DUMMYFUNCTION("GOOGLETRANSLATE(G293,""en"",""ur"")"),"وہ پگڑیوں کے ساتھ روایتی سفید لباس پہنے ہوئے ہیں۔")</f>
        <v>وہ پگڑیوں کے ساتھ روایتی سفید لباس پہنے ہوئے ہیں۔</v>
      </c>
      <c r="S293" s="6" t="s">
        <v>1155</v>
      </c>
    </row>
    <row r="294">
      <c r="A294" s="7">
        <v>293.0</v>
      </c>
      <c r="B294" s="6" t="s">
        <v>1011</v>
      </c>
      <c r="C294" s="6" t="s">
        <v>59</v>
      </c>
      <c r="D294" s="6" t="s">
        <v>1012</v>
      </c>
      <c r="E294" s="6" t="s">
        <v>1013</v>
      </c>
      <c r="F294" s="6" t="s">
        <v>268</v>
      </c>
      <c r="G294" s="6" t="s">
        <v>1012</v>
      </c>
      <c r="H294" s="6" t="s">
        <v>1155</v>
      </c>
      <c r="K294" s="2" t="str">
        <f>IFERROR(__xludf.DUMMYFUNCTION("GOOGLETRANSLATE(A294,""en"",""ur"")"),"293")</f>
        <v>293</v>
      </c>
      <c r="L294" s="2" t="str">
        <f>IFERROR(__xludf.DUMMYFUNCTION("GOOGLETRANSLATE(B294,""en"",""ur"")"),"گھوڑوں کے بارے میں نظر آنے والی تفصیل کیا ہے؟")</f>
        <v>گھوڑوں کے بارے میں نظر آنے والی تفصیل کیا ہے؟</v>
      </c>
      <c r="M294" s="2" t="str">
        <f>IFERROR(__xludf.DUMMYFUNCTION("GOOGLETRANSLATE(C294,""en"",""ur"")"),"وہ سب ایک ہی رنگ کے ہیں۔")</f>
        <v>وہ سب ایک ہی رنگ کے ہیں۔</v>
      </c>
      <c r="N294" s="2" t="str">
        <f>IFERROR(__xludf.DUMMYFUNCTION("GOOGLETRANSLATE(D294,""en"",""ur"")"),"وہ زیادہ تر سفید گھوڑے ہیں جن میں آرائشی ٹیک ہیں۔")</f>
        <v>وہ زیادہ تر سفید گھوڑے ہیں جن میں آرائشی ٹیک ہیں۔</v>
      </c>
      <c r="O294" s="2" t="str">
        <f>IFERROR(__xludf.DUMMYFUNCTION("GOOGLETRANSLATE(E294,""en"",""ur"")"),"وہ سب کوئی سیڈل نہیں پہنے ہوئے ہیں۔")</f>
        <v>وہ سب کوئی سیڈل نہیں پہنے ہوئے ہیں۔</v>
      </c>
      <c r="P294" s="2" t="str">
        <f>IFERROR(__xludf.DUMMYFUNCTION("GOOGLETRANSLATE(F294,""en"",""ur"")"),"وہ سب خاموش کھڑے ہیں۔")</f>
        <v>وہ سب خاموش کھڑے ہیں۔</v>
      </c>
      <c r="Q294" s="2" t="s">
        <v>1014</v>
      </c>
      <c r="R294" s="2" t="str">
        <f>IFERROR(__xludf.DUMMYFUNCTION("GOOGLETRANSLATE(G294,""en"",""ur"")"),"وہ زیادہ تر سفید گھوڑے ہیں جن میں آرائشی ٹیک ہیں۔")</f>
        <v>وہ زیادہ تر سفید گھوڑے ہیں جن میں آرائشی ٹیک ہیں۔</v>
      </c>
      <c r="S294" s="6" t="s">
        <v>1155</v>
      </c>
    </row>
    <row r="295">
      <c r="A295" s="7">
        <v>294.0</v>
      </c>
      <c r="B295" s="6" t="s">
        <v>248</v>
      </c>
      <c r="C295" s="6" t="s">
        <v>249</v>
      </c>
      <c r="D295" s="6" t="s">
        <v>1156</v>
      </c>
      <c r="E295" s="6" t="s">
        <v>251</v>
      </c>
      <c r="F295" s="6" t="s">
        <v>252</v>
      </c>
      <c r="G295" s="6" t="s">
        <v>1156</v>
      </c>
      <c r="H295" s="6" t="s">
        <v>1155</v>
      </c>
      <c r="K295" s="2" t="str">
        <f>IFERROR(__xludf.DUMMYFUNCTION("GOOGLETRANSLATE(A295,""en"",""ur"")"),"294")</f>
        <v>294</v>
      </c>
      <c r="L295" s="2" t="str">
        <f>IFERROR(__xludf.DUMMYFUNCTION("GOOGLETRANSLATE(B295,""en"",""ur"")"),"سواروں کی ظاہری باڈی پوزیشن کیا ہے؟")</f>
        <v>سواروں کی ظاہری باڈی پوزیشن کیا ہے؟</v>
      </c>
      <c r="M295" s="2" t="str">
        <f>IFERROR(__xludf.DUMMYFUNCTION("GOOGLETRANSLATE(C295,""en"",""ur"")"),"وہ سیدھے کھڑے ہیں۔")</f>
        <v>وہ سیدھے کھڑے ہیں۔</v>
      </c>
      <c r="N295" s="2" t="str">
        <f>IFERROR(__xludf.DUMMYFUNCTION("GOOGLETRANSLATE(D295,""en"",""ur"")"),"وہ نیچے اور ایک طرف جھک رہے ہیں۔")</f>
        <v>وہ نیچے اور ایک طرف جھک رہے ہیں۔</v>
      </c>
      <c r="O295" s="2" t="str">
        <f>IFERROR(__xludf.DUMMYFUNCTION("GOOGLETRANSLATE(E295,""en"",""ur"")"),"وہ گھوڑوں کی پیٹھ پر لیٹے ہوئے ہیں۔")</f>
        <v>وہ گھوڑوں کی پیٹھ پر لیٹے ہوئے ہیں۔</v>
      </c>
      <c r="P295" s="2" t="str">
        <f>IFERROR(__xludf.DUMMYFUNCTION("GOOGLETRANSLATE(F295,""en"",""ur"")"),"وہ آرام سے بیٹھے ہیں۔")</f>
        <v>وہ آرام سے بیٹھے ہیں۔</v>
      </c>
      <c r="Q295" s="2" t="s">
        <v>1157</v>
      </c>
      <c r="R295" s="2" t="str">
        <f>IFERROR(__xludf.DUMMYFUNCTION("GOOGLETRANSLATE(G295,""en"",""ur"")"),"وہ نیچے اور ایک طرف جھک رہے ہیں۔")</f>
        <v>وہ نیچے اور ایک طرف جھک رہے ہیں۔</v>
      </c>
      <c r="S295" s="6" t="s">
        <v>1155</v>
      </c>
    </row>
    <row r="296">
      <c r="A296" s="7">
        <v>295.0</v>
      </c>
      <c r="B296" s="6" t="s">
        <v>254</v>
      </c>
      <c r="C296" s="6" t="s">
        <v>47</v>
      </c>
      <c r="D296" s="6" t="s">
        <v>48</v>
      </c>
      <c r="E296" s="6" t="s">
        <v>49</v>
      </c>
      <c r="F296" s="6" t="s">
        <v>50</v>
      </c>
      <c r="G296" s="6" t="s">
        <v>49</v>
      </c>
      <c r="H296" s="6" t="s">
        <v>1155</v>
      </c>
      <c r="K296" s="2" t="str">
        <f>IFERROR(__xludf.DUMMYFUNCTION("GOOGLETRANSLATE(A296,""en"",""ur"")"),"295")</f>
        <v>295</v>
      </c>
      <c r="L296" s="2" t="str">
        <f>IFERROR(__xludf.DUMMYFUNCTION("GOOGLETRANSLATE(B296,""en"",""ur"")"),"سواروں کے چہروں سے ظاہری جذبات کیا ہیں؟")</f>
        <v>سواروں کے چہروں سے ظاہری جذبات کیا ہیں؟</v>
      </c>
      <c r="M296" s="2" t="str">
        <f>IFERROR(__xludf.DUMMYFUNCTION("GOOGLETRANSLATE(C296,""en"",""ur"")"),"پرسکون اور پر سکون")</f>
        <v>پرسکون اور پر سکون</v>
      </c>
      <c r="N296" s="2" t="str">
        <f>IFERROR(__xludf.DUMMYFUNCTION("GOOGLETRANSLATE(D296,""en"",""ur"")"),"خوف زدہ اور بے چین")</f>
        <v>خوف زدہ اور بے چین</v>
      </c>
      <c r="O296" s="2" t="str">
        <f>IFERROR(__xludf.DUMMYFUNCTION("GOOGLETRANSLATE(E296,""en"",""ur"")"),"کشیدہ اور شدید")</f>
        <v>کشیدہ اور شدید</v>
      </c>
      <c r="P296" s="2" t="str">
        <f>IFERROR(__xludf.DUMMYFUNCTION("GOOGLETRANSLATE(F296,""en"",""ur"")"),"خوش اور مسکراتے ہوئے۔")</f>
        <v>خوش اور مسکراتے ہوئے۔</v>
      </c>
      <c r="Q296" s="2" t="s">
        <v>51</v>
      </c>
      <c r="R296" s="2" t="str">
        <f>IFERROR(__xludf.DUMMYFUNCTION("GOOGLETRANSLATE(G296,""en"",""ur"")"),"کشیدہ اور شدید")</f>
        <v>کشیدہ اور شدید</v>
      </c>
      <c r="S296" s="6" t="s">
        <v>1155</v>
      </c>
    </row>
    <row r="297">
      <c r="A297" s="7">
        <v>296.0</v>
      </c>
      <c r="B297" s="6" t="s">
        <v>88</v>
      </c>
      <c r="C297" s="6" t="s">
        <v>89</v>
      </c>
      <c r="D297" s="6" t="s">
        <v>90</v>
      </c>
      <c r="E297" s="6" t="s">
        <v>91</v>
      </c>
      <c r="F297" s="6" t="s">
        <v>255</v>
      </c>
      <c r="G297" s="6" t="s">
        <v>91</v>
      </c>
      <c r="H297" s="6" t="s">
        <v>1155</v>
      </c>
      <c r="K297" s="2" t="str">
        <f>IFERROR(__xludf.DUMMYFUNCTION("GOOGLETRANSLATE(A297,""en"",""ur"")"),"296")</f>
        <v>296</v>
      </c>
      <c r="L297" s="2" t="str">
        <f>IFERROR(__xludf.DUMMYFUNCTION("GOOGLETRANSLATE(B297,""en"",""ur"")"),"زمین کی سب سے نمایاں خصوصیت کیا ہے؟")</f>
        <v>زمین کی سب سے نمایاں خصوصیت کیا ہے؟</v>
      </c>
      <c r="M297" s="2" t="str">
        <f>IFERROR(__xludf.DUMMYFUNCTION("GOOGLETRANSLATE(C297,""en"",""ur"")"),"ایک پکی سطح")</f>
        <v>ایک پکی سطح</v>
      </c>
      <c r="N297" s="2" t="str">
        <f>IFERROR(__xludf.DUMMYFUNCTION("GOOGLETRANSLATE(D297,""en"",""ur"")"),"کیچڑ والا میدان")</f>
        <v>کیچڑ والا میدان</v>
      </c>
      <c r="O297" s="2" t="str">
        <f>IFERROR(__xludf.DUMMYFUNCTION("GOOGLETRANSLATE(E297,""en"",""ur"")"),"ایک گھاس دار سطح")</f>
        <v>ایک گھاس دار سطح</v>
      </c>
      <c r="P297" s="2" t="str">
        <f>IFERROR(__xludf.DUMMYFUNCTION("GOOGLETRANSLATE(F297,""en"",""ur"")"),"ریتلی یا گندگی کی سطح")</f>
        <v>ریتلی یا گندگی کی سطح</v>
      </c>
      <c r="Q297" s="2" t="s">
        <v>256</v>
      </c>
      <c r="R297" s="2" t="str">
        <f>IFERROR(__xludf.DUMMYFUNCTION("GOOGLETRANSLATE(G297,""en"",""ur"")"),"ایک گھاس دار سطح")</f>
        <v>ایک گھاس دار سطح</v>
      </c>
      <c r="S297" s="6" t="s">
        <v>1155</v>
      </c>
    </row>
    <row r="298">
      <c r="A298" s="7">
        <v>297.0</v>
      </c>
      <c r="B298" s="6" t="s">
        <v>257</v>
      </c>
      <c r="C298" s="6" t="s">
        <v>95</v>
      </c>
      <c r="D298" s="6" t="s">
        <v>96</v>
      </c>
      <c r="E298" s="6" t="s">
        <v>1015</v>
      </c>
      <c r="F298" s="6" t="s">
        <v>258</v>
      </c>
      <c r="G298" s="6" t="s">
        <v>1015</v>
      </c>
      <c r="H298" s="6" t="s">
        <v>1155</v>
      </c>
      <c r="K298" s="2" t="str">
        <f>IFERROR(__xludf.DUMMYFUNCTION("GOOGLETRANSLATE(A298,""en"",""ur"")"),"297")</f>
        <v>297</v>
      </c>
      <c r="L298" s="2" t="str">
        <f>IFERROR(__xludf.DUMMYFUNCTION("GOOGLETRANSLATE(B298,""en"",""ur"")"),"کھیلے جانے والے کھیل کا نام کیا ہے؟")</f>
        <v>کھیلے جانے والے کھیل کا نام کیا ہے؟</v>
      </c>
      <c r="M298" s="2" t="str">
        <f>IFERROR(__xludf.DUMMYFUNCTION("GOOGLETRANSLATE(C298,""en"",""ur"")"),"پولو")</f>
        <v>پولو</v>
      </c>
      <c r="N298" s="2" t="str">
        <f>IFERROR(__xludf.DUMMYFUNCTION("GOOGLETRANSLATE(D298,""en"",""ur"")"),"گھوڑوں کی دوڑ")</f>
        <v>گھوڑوں کی دوڑ</v>
      </c>
      <c r="O298" s="2" t="str">
        <f>IFERROR(__xludf.DUMMYFUNCTION("GOOGLETRANSLATE(E298,""en"",""ur"")"),"ٹینٹ پیگنگ")</f>
        <v>ٹینٹ پیگنگ</v>
      </c>
      <c r="P298" s="2" t="str">
        <f>IFERROR(__xludf.DUMMYFUNCTION("GOOGLETRANSLATE(F298,""en"",""ur"")"),"گھڑ سواری کے کھیل")</f>
        <v>گھڑ سواری کے کھیل</v>
      </c>
      <c r="Q298" s="2" t="s">
        <v>1016</v>
      </c>
      <c r="R298" s="2" t="str">
        <f>IFERROR(__xludf.DUMMYFUNCTION("GOOGLETRANSLATE(G298,""en"",""ur"")"),"ٹینٹ پیگنگ")</f>
        <v>ٹینٹ پیگنگ</v>
      </c>
      <c r="S298" s="6" t="s">
        <v>1155</v>
      </c>
    </row>
    <row r="299">
      <c r="A299" s="7">
        <v>298.0</v>
      </c>
      <c r="B299" s="6" t="s">
        <v>260</v>
      </c>
      <c r="C299" s="6" t="s">
        <v>261</v>
      </c>
      <c r="D299" s="6" t="s">
        <v>1017</v>
      </c>
      <c r="E299" s="6" t="s">
        <v>263</v>
      </c>
      <c r="F299" s="6" t="s">
        <v>1001</v>
      </c>
      <c r="G299" s="6" t="s">
        <v>1001</v>
      </c>
      <c r="H299" s="6" t="s">
        <v>1155</v>
      </c>
      <c r="K299" s="2" t="str">
        <f>IFERROR(__xludf.DUMMYFUNCTION("GOOGLETRANSLATE(A299,""en"",""ur"")"),"298")</f>
        <v>298</v>
      </c>
      <c r="L299" s="2" t="str">
        <f>IFERROR(__xludf.DUMMYFUNCTION("GOOGLETRANSLATE(B299,""en"",""ur"")"),"تصویر میں ایکشن ایک ایسا انداز تجویز کرتا ہے جو اس بات پر زور دیتا ہے...")</f>
        <v>تصویر میں ایکشن ایک ایسا انداز تجویز کرتا ہے جو اس بات پر زور دیتا ہے...</v>
      </c>
      <c r="M299" s="2" t="str">
        <f>IFERROR(__xludf.DUMMYFUNCTION("GOOGLETRANSLATE(C299,""en"",""ur"")"),"روانی اور قلابازیاں")</f>
        <v>روانی اور قلابازیاں</v>
      </c>
      <c r="N299" s="2" t="str">
        <f>IFERROR(__xludf.DUMMYFUNCTION("GOOGLETRANSLATE(D299,""en"",""ur"")"),"گروپ کی تشکیل اور رسمی نمائش")</f>
        <v>گروپ کی تشکیل اور رسمی نمائش</v>
      </c>
      <c r="O299" s="2" t="str">
        <f>IFERROR(__xludf.DUMMYFUNCTION("GOOGLETRANSLATE(E299,""en"",""ur"")"),"وحشیانہ قوت اور گھڑ سواری۔")</f>
        <v>وحشیانہ قوت اور گھڑ سواری۔</v>
      </c>
      <c r="P299" s="2" t="str">
        <f>IFERROR(__xludf.DUMMYFUNCTION("GOOGLETRANSLATE(F299,""en"",""ur"")"),"رفتار، درستگی اور چستی")</f>
        <v>رفتار، درستگی اور چستی</v>
      </c>
      <c r="Q299" s="2" t="s">
        <v>1093</v>
      </c>
      <c r="R299" s="2" t="str">
        <f>IFERROR(__xludf.DUMMYFUNCTION("GOOGLETRANSLATE(G299,""en"",""ur"")"),"رفتار، درستگی اور چستی")</f>
        <v>رفتار، درستگی اور چستی</v>
      </c>
      <c r="S299" s="6" t="s">
        <v>1155</v>
      </c>
    </row>
    <row r="300">
      <c r="A300" s="7">
        <v>299.0</v>
      </c>
      <c r="B300" s="6" t="s">
        <v>1019</v>
      </c>
      <c r="C300" s="6" t="s">
        <v>1020</v>
      </c>
      <c r="D300" s="6" t="s">
        <v>1021</v>
      </c>
      <c r="E300" s="6" t="s">
        <v>1022</v>
      </c>
      <c r="F300" s="6" t="s">
        <v>1023</v>
      </c>
      <c r="G300" s="6" t="s">
        <v>1023</v>
      </c>
      <c r="H300" s="6" t="s">
        <v>1155</v>
      </c>
      <c r="K300" s="2" t="str">
        <f>IFERROR(__xludf.DUMMYFUNCTION("GOOGLETRANSLATE(A300,""en"",""ur"")"),"299")</f>
        <v>299</v>
      </c>
      <c r="L300" s="2" t="str">
        <f>IFERROR(__xludf.DUMMYFUNCTION("GOOGLETRANSLATE(B300,""en"",""ur"")"),"لمبی چھڑیوں کے بارے میں ایک قابل ذکر تفصیل کیا ہے جو سواروں کے پاس ہے؟")</f>
        <v>لمبی چھڑیوں کے بارے میں ایک قابل ذکر تفصیل کیا ہے جو سواروں کے پاس ہے؟</v>
      </c>
      <c r="M300" s="2" t="str">
        <f>IFERROR(__xludf.DUMMYFUNCTION("GOOGLETRANSLATE(C300,""en"",""ur"")"),"انہیں ہتھیار کے طور پر استعمال کیا جاتا ہے۔")</f>
        <v>انہیں ہتھیار کے طور پر استعمال کیا جاتا ہے۔</v>
      </c>
      <c r="N300" s="2" t="str">
        <f>IFERROR(__xludf.DUMMYFUNCTION("GOOGLETRANSLATE(D300,""en"",""ur"")"),"وہ گھوڑوں کی رہنمائی کے لیے استعمال ہوتے ہیں۔")</f>
        <v>وہ گھوڑوں کی رہنمائی کے لیے استعمال ہوتے ہیں۔</v>
      </c>
      <c r="O300" s="2" t="str">
        <f>IFERROR(__xludf.DUMMYFUNCTION("GOOGLETRANSLATE(E300,""en"",""ur"")"),"وہ ربن اور tassels کے ساتھ سجایا جاتا ہے")</f>
        <v>وہ ربن اور tassels کے ساتھ سجایا جاتا ہے</v>
      </c>
      <c r="P300" s="2" t="str">
        <f>IFERROR(__xludf.DUMMYFUNCTION("GOOGLETRANSLATE(F300,""en"",""ur"")"),"وہ جھنڈے کے طور پر استعمال ہوتے ہیں۔")</f>
        <v>وہ جھنڈے کے طور پر استعمال ہوتے ہیں۔</v>
      </c>
      <c r="Q300" s="2" t="s">
        <v>1024</v>
      </c>
      <c r="R300" s="2" t="str">
        <f>IFERROR(__xludf.DUMMYFUNCTION("GOOGLETRANSLATE(G300,""en"",""ur"")"),"وہ جھنڈے کے طور پر استعمال ہوتے ہیں۔")</f>
        <v>وہ جھنڈے کے طور پر استعمال ہوتے ہیں۔</v>
      </c>
      <c r="S300" s="6" t="s">
        <v>1155</v>
      </c>
    </row>
    <row r="301">
      <c r="A301" s="7">
        <v>300.0</v>
      </c>
      <c r="B301" s="6" t="s">
        <v>991</v>
      </c>
      <c r="C301" s="6" t="s">
        <v>992</v>
      </c>
      <c r="D301" s="6" t="s">
        <v>646</v>
      </c>
      <c r="E301" s="6" t="s">
        <v>993</v>
      </c>
      <c r="F301" s="6" t="s">
        <v>1158</v>
      </c>
      <c r="G301" s="6" t="s">
        <v>1158</v>
      </c>
      <c r="H301" s="6" t="s">
        <v>1155</v>
      </c>
      <c r="K301" s="2" t="str">
        <f>IFERROR(__xludf.DUMMYFUNCTION("GOOGLETRANSLATE(A301,""en"",""ur"")"),"300")</f>
        <v>300</v>
      </c>
      <c r="L301" s="2" t="str">
        <f>IFERROR(__xludf.DUMMYFUNCTION("GOOGLETRANSLATE(B301,""en"",""ur"")"),"واقعہ کی ظاہری ترتیب کیا ہے؟")</f>
        <v>واقعہ کی ظاہری ترتیب کیا ہے؟</v>
      </c>
      <c r="M301" s="2" t="str">
        <f>IFERROR(__xludf.DUMMYFUNCTION("GOOGLETRANSLATE(C301,""en"",""ur"")"),"ایک اندرونی میدان")</f>
        <v>ایک اندرونی میدان</v>
      </c>
      <c r="N301" s="2" t="str">
        <f>IFERROR(__xludf.DUMMYFUNCTION("GOOGLETRANSLATE(D301,""en"",""ur"")"),"شہر کی ایک گلی")</f>
        <v>شہر کی ایک گلی</v>
      </c>
      <c r="O301" s="2" t="str">
        <f>IFERROR(__xludf.DUMMYFUNCTION("GOOGLETRANSLATE(E301,""en"",""ur"")"),"ایک بیرونی گندگی کا ٹریک")</f>
        <v>ایک بیرونی گندگی کا ٹریک</v>
      </c>
      <c r="P301" s="2" t="str">
        <f>IFERROR(__xludf.DUMMYFUNCTION("GOOGLETRANSLATE(F301,""en"",""ur"")"),"پس منظر میں عمارت کے ساتھ ایک گھاس والا میدان")</f>
        <v>پس منظر میں عمارت کے ساتھ ایک گھاس والا میدان</v>
      </c>
      <c r="Q301" s="2" t="s">
        <v>1159</v>
      </c>
      <c r="R301" s="2" t="str">
        <f>IFERROR(__xludf.DUMMYFUNCTION("GOOGLETRANSLATE(G301,""en"",""ur"")"),"پس منظر میں عمارت کے ساتھ ایک گھاس والا میدان")</f>
        <v>پس منظر میں عمارت کے ساتھ ایک گھاس والا میدان</v>
      </c>
      <c r="S301" s="6" t="s">
        <v>1155</v>
      </c>
    </row>
    <row r="302">
      <c r="A302" s="7">
        <v>301.0</v>
      </c>
      <c r="B302" s="6" t="s">
        <v>1160</v>
      </c>
      <c r="C302" s="6" t="s">
        <v>958</v>
      </c>
      <c r="D302" s="6" t="s">
        <v>959</v>
      </c>
      <c r="E302" s="6" t="s">
        <v>960</v>
      </c>
      <c r="F302" s="6" t="s">
        <v>961</v>
      </c>
      <c r="G302" s="6" t="s">
        <v>959</v>
      </c>
      <c r="H302" s="6" t="s">
        <v>1161</v>
      </c>
      <c r="K302" s="2" t="str">
        <f>IFERROR(__xludf.DUMMYFUNCTION("GOOGLETRANSLATE(A302,""en"",""ur"")"),"301")</f>
        <v>301</v>
      </c>
      <c r="L302" s="2" t="str">
        <f>IFERROR(__xludf.DUMMYFUNCTION("GOOGLETRANSLATE(B302,""en"",""ur"")"),"tent_pegging_85 میں دکھائی جانے والی اہم کارروائی کیا ہے؟")</f>
        <v>tent_pegging_85 میں دکھائی جانے والی اہم کارروائی کیا ہے؟</v>
      </c>
      <c r="M302" s="2" t="str">
        <f>IFERROR(__xludf.DUMMYFUNCTION("GOOGLETRANSLATE(C302,""en"",""ur"")"),"گھوڑے کی پیٹھ پر کرتب دکھاتے ہوئے سوار")</f>
        <v>گھوڑے کی پیٹھ پر کرتب دکھاتے ہوئے سوار</v>
      </c>
      <c r="N302" s="2" t="str">
        <f>IFERROR(__xludf.DUMMYFUNCTION("GOOGLETRANSLATE(D302,""en"",""ur"")"),"ٹینٹ پیگنگ ایونٹ میں مقابلہ کرنے والا سوار")</f>
        <v>ٹینٹ پیگنگ ایونٹ میں مقابلہ کرنے والا سوار</v>
      </c>
      <c r="O302" s="2" t="str">
        <f>IFERROR(__xludf.DUMMYFUNCTION("GOOGLETRANSLATE(E302,""en"",""ur"")"),"گھوڑوں کی دوڑ میں سوار")</f>
        <v>گھوڑوں کی دوڑ میں سوار</v>
      </c>
      <c r="P302" s="2" t="str">
        <f>IFERROR(__xludf.DUMMYFUNCTION("GOOGLETRANSLATE(F302,""en"",""ur"")"),"ایک سوار پریڈ کی قیادت کر رہا ہے۔")</f>
        <v>ایک سوار پریڈ کی قیادت کر رہا ہے۔</v>
      </c>
      <c r="Q302" s="2" t="s">
        <v>1029</v>
      </c>
      <c r="R302" s="2" t="str">
        <f>IFERROR(__xludf.DUMMYFUNCTION("GOOGLETRANSLATE(G302,""en"",""ur"")"),"ٹینٹ پیگنگ ایونٹ میں مقابلہ کرنے والا سوار")</f>
        <v>ٹینٹ پیگنگ ایونٹ میں مقابلہ کرنے والا سوار</v>
      </c>
      <c r="S302" s="6" t="s">
        <v>1161</v>
      </c>
    </row>
    <row r="303">
      <c r="A303" s="7">
        <v>302.0</v>
      </c>
      <c r="B303" s="6" t="s">
        <v>963</v>
      </c>
      <c r="C303" s="6" t="s">
        <v>964</v>
      </c>
      <c r="D303" s="6" t="s">
        <v>1162</v>
      </c>
      <c r="E303" s="6" t="s">
        <v>966</v>
      </c>
      <c r="F303" s="6" t="s">
        <v>967</v>
      </c>
      <c r="G303" s="6" t="s">
        <v>1162</v>
      </c>
      <c r="H303" s="6" t="s">
        <v>1161</v>
      </c>
      <c r="K303" s="2" t="str">
        <f>IFERROR(__xludf.DUMMYFUNCTION("GOOGLETRANSLATE(A303,""en"",""ur"")"),"302")</f>
        <v>302</v>
      </c>
      <c r="L303" s="2" t="str">
        <f>IFERROR(__xludf.DUMMYFUNCTION("GOOGLETRANSLATE(B303,""en"",""ur"")"),"سوار کے لباس کے بارے میں ایک قابل ذکر تفصیل کیا ہے؟")</f>
        <v>سوار کے لباس کے بارے میں ایک قابل ذکر تفصیل کیا ہے؟</v>
      </c>
      <c r="M303" s="2" t="str">
        <f>IFERROR(__xludf.DUMMYFUNCTION("GOOGLETRANSLATE(C303,""en"",""ur"")"),"ایک رسمی سوٹ اور ٹائی")</f>
        <v>ایک رسمی سوٹ اور ٹائی</v>
      </c>
      <c r="N303" s="2" t="str">
        <f>IFERROR(__xludf.DUMMYFUNCTION("GOOGLETRANSLATE(D303,""en"",""ur"")"),"پگڑی اور بنیان کے ساتھ سفید روایتی لباس")</f>
        <v>پگڑی اور بنیان کے ساتھ سفید روایتی لباس</v>
      </c>
      <c r="O303" s="2" t="str">
        <f>IFERROR(__xludf.DUMMYFUNCTION("GOOGLETRANSLATE(E303,""en"",""ur"")"),"فوجی وردی")</f>
        <v>فوجی وردی</v>
      </c>
      <c r="P303" s="2" t="str">
        <f>IFERROR(__xludf.DUMMYFUNCTION("GOOGLETRANSLATE(F303,""en"",""ur"")"),"ایک جدید کھیلوں کا یونیفارم")</f>
        <v>ایک جدید کھیلوں کا یونیفارم</v>
      </c>
      <c r="Q303" s="2" t="s">
        <v>1163</v>
      </c>
      <c r="R303" s="2" t="str">
        <f>IFERROR(__xludf.DUMMYFUNCTION("GOOGLETRANSLATE(G303,""en"",""ur"")"),"پگڑی اور بنیان کے ساتھ سفید روایتی لباس")</f>
        <v>پگڑی اور بنیان کے ساتھ سفید روایتی لباس</v>
      </c>
      <c r="S303" s="6" t="s">
        <v>1161</v>
      </c>
    </row>
    <row r="304">
      <c r="A304" s="7">
        <v>303.0</v>
      </c>
      <c r="B304" s="6" t="s">
        <v>969</v>
      </c>
      <c r="C304" s="6" t="s">
        <v>970</v>
      </c>
      <c r="D304" s="6" t="s">
        <v>971</v>
      </c>
      <c r="E304" s="6" t="s">
        <v>972</v>
      </c>
      <c r="F304" s="6" t="s">
        <v>973</v>
      </c>
      <c r="G304" s="6" t="s">
        <v>972</v>
      </c>
      <c r="H304" s="6" t="s">
        <v>1161</v>
      </c>
      <c r="K304" s="2" t="str">
        <f>IFERROR(__xludf.DUMMYFUNCTION("GOOGLETRANSLATE(A304,""en"",""ur"")"),"303")</f>
        <v>303</v>
      </c>
      <c r="L304" s="2" t="str">
        <f>IFERROR(__xludf.DUMMYFUNCTION("GOOGLETRANSLATE(B304,""en"",""ur"")"),"سوار نے جو لمبی چھڑی پکڑی ہوئی ہے اس کا ظاہری مقصد کیا ہے؟")</f>
        <v>سوار نے جو لمبی چھڑی پکڑی ہوئی ہے اس کا ظاہری مقصد کیا ہے؟</v>
      </c>
      <c r="M304" s="2" t="str">
        <f>IFERROR(__xludf.DUMMYFUNCTION("GOOGLETRANSLATE(C304,""en"",""ur"")"),"گھوڑے کی رہنمائی کے لیے")</f>
        <v>گھوڑے کی رہنمائی کے لیے</v>
      </c>
      <c r="N304" s="2" t="str">
        <f>IFERROR(__xludf.DUMMYFUNCTION("GOOGLETRANSLATE(D304,""en"",""ur"")"),"توازن کے لیے زمین سے ٹکرانا")</f>
        <v>توازن کے لیے زمین سے ٹکرانا</v>
      </c>
      <c r="O304" s="2" t="str">
        <f>IFERROR(__xludf.DUMMYFUNCTION("GOOGLETRANSLATE(E304,""en"",""ur"")"),"زمین پر چھوٹے اہداف کو نشانہ بنانا")</f>
        <v>زمین پر چھوٹے اہداف کو نشانہ بنانا</v>
      </c>
      <c r="P304" s="2" t="str">
        <f>IFERROR(__xludf.DUMMYFUNCTION("GOOGLETRANSLATE(F304,""en"",""ur"")"),"بطور ہتھیار استعمال کرنا")</f>
        <v>بطور ہتھیار استعمال کرنا</v>
      </c>
      <c r="Q304" s="2" t="s">
        <v>974</v>
      </c>
      <c r="R304" s="2" t="str">
        <f>IFERROR(__xludf.DUMMYFUNCTION("GOOGLETRANSLATE(G304,""en"",""ur"")"),"زمین پر چھوٹے اہداف کو نشانہ بنانا")</f>
        <v>زمین پر چھوٹے اہداف کو نشانہ بنانا</v>
      </c>
      <c r="S304" s="6" t="s">
        <v>1161</v>
      </c>
    </row>
    <row r="305">
      <c r="A305" s="7">
        <v>304.0</v>
      </c>
      <c r="B305" s="6" t="s">
        <v>310</v>
      </c>
      <c r="C305" s="6" t="s">
        <v>429</v>
      </c>
      <c r="D305" s="6" t="s">
        <v>975</v>
      </c>
      <c r="E305" s="6" t="s">
        <v>976</v>
      </c>
      <c r="F305" s="6" t="s">
        <v>977</v>
      </c>
      <c r="G305" s="6" t="s">
        <v>975</v>
      </c>
      <c r="H305" s="6" t="s">
        <v>1161</v>
      </c>
      <c r="K305" s="2" t="str">
        <f>IFERROR(__xludf.DUMMYFUNCTION("GOOGLETRANSLATE(A305,""en"",""ur"")"),"304")</f>
        <v>304</v>
      </c>
      <c r="L305" s="2" t="str">
        <f>IFERROR(__xludf.DUMMYFUNCTION("GOOGLETRANSLATE(B305,""en"",""ur"")"),"سوار کی ظاہری باڈی پوزیشن کیا ہے؟")</f>
        <v>سوار کی ظاہری باڈی پوزیشن کیا ہے؟</v>
      </c>
      <c r="M305" s="2" t="str">
        <f>IFERROR(__xludf.DUMMYFUNCTION("GOOGLETRANSLATE(C305,""en"",""ur"")"),"سیدھا کھڑا ہونا")</f>
        <v>سیدھا کھڑا ہونا</v>
      </c>
      <c r="N305" s="2" t="str">
        <f>IFERROR(__xludf.DUMMYFUNCTION("GOOGLETRANSLATE(D305,""en"",""ur"")"),"نیچے اور طرف جھکنا")</f>
        <v>نیچے اور طرف جھکنا</v>
      </c>
      <c r="O305" s="2" t="str">
        <f>IFERROR(__xludf.DUMMYFUNCTION("GOOGLETRANSLATE(E305,""en"",""ur"")"),"گھوڑے کی پیٹھ پر لیٹنا")</f>
        <v>گھوڑے کی پیٹھ پر لیٹنا</v>
      </c>
      <c r="P305" s="2" t="str">
        <f>IFERROR(__xludf.DUMMYFUNCTION("GOOGLETRANSLATE(F305,""en"",""ur"")"),"آرام سے بیٹھ گیا۔")</f>
        <v>آرام سے بیٹھ گیا۔</v>
      </c>
      <c r="Q305" s="2" t="s">
        <v>978</v>
      </c>
      <c r="R305" s="2" t="str">
        <f>IFERROR(__xludf.DUMMYFUNCTION("GOOGLETRANSLATE(G305,""en"",""ur"")"),"نیچے اور طرف جھکنا")</f>
        <v>نیچے اور طرف جھکنا</v>
      </c>
      <c r="S305" s="6" t="s">
        <v>1161</v>
      </c>
    </row>
    <row r="306">
      <c r="A306" s="7">
        <v>305.0</v>
      </c>
      <c r="B306" s="6" t="s">
        <v>979</v>
      </c>
      <c r="C306" s="6" t="s">
        <v>980</v>
      </c>
      <c r="D306" s="6" t="s">
        <v>981</v>
      </c>
      <c r="E306" s="6" t="s">
        <v>982</v>
      </c>
      <c r="F306" s="6" t="s">
        <v>983</v>
      </c>
      <c r="G306" s="6" t="s">
        <v>982</v>
      </c>
      <c r="H306" s="6" t="s">
        <v>1161</v>
      </c>
      <c r="K306" s="2" t="str">
        <f>IFERROR(__xludf.DUMMYFUNCTION("GOOGLETRANSLATE(A306,""en"",""ur"")"),"305")</f>
        <v>305</v>
      </c>
      <c r="L306" s="2" t="str">
        <f>IFERROR(__xludf.DUMMYFUNCTION("GOOGLETRANSLATE(B306,""en"",""ur"")"),"گھوڑے کے پیچھے زمین کی ظاہری حالت کیا ہے؟")</f>
        <v>گھوڑے کے پیچھے زمین کی ظاہری حالت کیا ہے؟</v>
      </c>
      <c r="M306" s="2" t="str">
        <f>IFERROR(__xludf.DUMMYFUNCTION("GOOGLETRANSLATE(C306,""en"",""ur"")"),"بالکل ہموار")</f>
        <v>بالکل ہموار</v>
      </c>
      <c r="N306" s="2" t="str">
        <f>IFERROR(__xludf.DUMMYFUNCTION("GOOGLETRANSLATE(D306,""en"",""ur"")"),"تازہ گھاس میں ڈھکا ہوا ہے۔")</f>
        <v>تازہ گھاس میں ڈھکا ہوا ہے۔</v>
      </c>
      <c r="O306" s="2" t="str">
        <f>IFERROR(__xludf.DUMMYFUNCTION("GOOGLETRANSLATE(E306,""en"",""ur"")"),"غبار کے بادل میں اُٹھ گیا۔")</f>
        <v>غبار کے بادل میں اُٹھ گیا۔</v>
      </c>
      <c r="P306" s="2" t="str">
        <f>IFERROR(__xludf.DUMMYFUNCTION("GOOGLETRANSLATE(F306,""en"",""ur"")"),"پانی سے بھرا ہوا ۔")</f>
        <v>پانی سے بھرا ہوا ۔</v>
      </c>
      <c r="Q306" s="2" t="s">
        <v>984</v>
      </c>
      <c r="R306" s="2" t="str">
        <f>IFERROR(__xludf.DUMMYFUNCTION("GOOGLETRANSLATE(G306,""en"",""ur"")"),"غبار کے بادل میں اُٹھ گیا۔")</f>
        <v>غبار کے بادل میں اُٹھ گیا۔</v>
      </c>
      <c r="S306" s="6" t="s">
        <v>1161</v>
      </c>
    </row>
    <row r="307">
      <c r="A307" s="7">
        <v>306.0</v>
      </c>
      <c r="B307" s="6" t="s">
        <v>985</v>
      </c>
      <c r="C307" s="6" t="s">
        <v>986</v>
      </c>
      <c r="D307" s="6" t="s">
        <v>1032</v>
      </c>
      <c r="E307" s="6" t="s">
        <v>988</v>
      </c>
      <c r="F307" s="6" t="s">
        <v>989</v>
      </c>
      <c r="G307" s="6" t="s">
        <v>1032</v>
      </c>
      <c r="H307" s="6" t="s">
        <v>1161</v>
      </c>
      <c r="K307" s="2" t="str">
        <f>IFERROR(__xludf.DUMMYFUNCTION("GOOGLETRANSLATE(A307,""en"",""ur"")"),"306")</f>
        <v>306</v>
      </c>
      <c r="L307" s="2" t="str">
        <f>IFERROR(__xludf.DUMMYFUNCTION("GOOGLETRANSLATE(B307,""en"",""ur"")"),"گھوڑے کے ٹیک کی سب سے نمایاں خصوصیت کیا ہے؟")</f>
        <v>گھوڑے کے ٹیک کی سب سے نمایاں خصوصیت کیا ہے؟</v>
      </c>
      <c r="M307" s="2" t="str">
        <f>IFERROR(__xludf.DUMMYFUNCTION("GOOGLETRANSLATE(C307,""en"",""ur"")"),"یہ ایک سادہ سی کاٹھی ہے۔")</f>
        <v>یہ ایک سادہ سی کاٹھی ہے۔</v>
      </c>
      <c r="N307" s="2" t="str">
        <f>IFERROR(__xludf.DUMMYFUNCTION("GOOGLETRANSLATE(D307,""en"",""ur"")"),"یہ سرخ آرائش کے ساتھ ایک انتہائی آرائشی کاٹھی ہے۔")</f>
        <v>یہ سرخ آرائش کے ساتھ ایک انتہائی آرائشی کاٹھی ہے۔</v>
      </c>
      <c r="O307" s="2" t="str">
        <f>IFERROR(__xludf.DUMMYFUNCTION("GOOGLETRANSLATE(E307,""en"",""ur"")"),"یہ ایک ننگا پیڈ ہے۔")</f>
        <v>یہ ایک ننگا پیڈ ہے۔</v>
      </c>
      <c r="P307" s="2" t="str">
        <f>IFERROR(__xludf.DUMMYFUNCTION("GOOGLETRANSLATE(F307,""en"",""ur"")"),"یہ ایک ریسنگ سیڈل ہے۔")</f>
        <v>یہ ایک ریسنگ سیڈل ہے۔</v>
      </c>
      <c r="Q307" s="2" t="s">
        <v>1033</v>
      </c>
      <c r="R307" s="2" t="str">
        <f>IFERROR(__xludf.DUMMYFUNCTION("GOOGLETRANSLATE(G307,""en"",""ur"")"),"یہ سرخ آرائش کے ساتھ ایک انتہائی آرائشی کاٹھی ہے۔")</f>
        <v>یہ سرخ آرائش کے ساتھ ایک انتہائی آرائشی کاٹھی ہے۔</v>
      </c>
      <c r="S307" s="6" t="s">
        <v>1161</v>
      </c>
    </row>
    <row r="308">
      <c r="A308" s="7">
        <v>307.0</v>
      </c>
      <c r="B308" s="6" t="s">
        <v>991</v>
      </c>
      <c r="C308" s="6" t="s">
        <v>992</v>
      </c>
      <c r="D308" s="6" t="s">
        <v>646</v>
      </c>
      <c r="E308" s="6" t="s">
        <v>1051</v>
      </c>
      <c r="F308" s="6" t="s">
        <v>425</v>
      </c>
      <c r="G308" s="6" t="s">
        <v>1051</v>
      </c>
      <c r="H308" s="6" t="s">
        <v>1161</v>
      </c>
      <c r="K308" s="2" t="str">
        <f>IFERROR(__xludf.DUMMYFUNCTION("GOOGLETRANSLATE(A308,""en"",""ur"")"),"307")</f>
        <v>307</v>
      </c>
      <c r="L308" s="2" t="str">
        <f>IFERROR(__xludf.DUMMYFUNCTION("GOOGLETRANSLATE(B308,""en"",""ur"")"),"واقعہ کی ظاہری ترتیب کیا ہے؟")</f>
        <v>واقعہ کی ظاہری ترتیب کیا ہے؟</v>
      </c>
      <c r="M308" s="2" t="str">
        <f>IFERROR(__xludf.DUMMYFUNCTION("GOOGLETRANSLATE(C308,""en"",""ur"")"),"ایک اندرونی میدان")</f>
        <v>ایک اندرونی میدان</v>
      </c>
      <c r="N308" s="2" t="str">
        <f>IFERROR(__xludf.DUMMYFUNCTION("GOOGLETRANSLATE(D308,""en"",""ur"")"),"شہر کی ایک گلی")</f>
        <v>شہر کی ایک گلی</v>
      </c>
      <c r="O308" s="2" t="str">
        <f>IFERROR(__xludf.DUMMYFUNCTION("GOOGLETRANSLATE(E308,""en"",""ur"")"),"تماشائیوں کے ساتھ ایک بیرونی گندگی کا ٹریک")</f>
        <v>تماشائیوں کے ساتھ ایک بیرونی گندگی کا ٹریک</v>
      </c>
      <c r="P308" s="2" t="str">
        <f>IFERROR(__xludf.DUMMYFUNCTION("GOOGLETRANSLATE(F308,""en"",""ur"")"),"گھاس کا میدان")</f>
        <v>گھاس کا میدان</v>
      </c>
      <c r="Q308" s="2" t="s">
        <v>1052</v>
      </c>
      <c r="R308" s="2" t="str">
        <f>IFERROR(__xludf.DUMMYFUNCTION("GOOGLETRANSLATE(G308,""en"",""ur"")"),"تماشائیوں کے ساتھ ایک بیرونی گندگی کا ٹریک")</f>
        <v>تماشائیوں کے ساتھ ایک بیرونی گندگی کا ٹریک</v>
      </c>
      <c r="S308" s="6" t="s">
        <v>1161</v>
      </c>
    </row>
    <row r="309">
      <c r="A309" s="7">
        <v>308.0</v>
      </c>
      <c r="B309" s="6" t="s">
        <v>1036</v>
      </c>
      <c r="C309" s="6" t="s">
        <v>95</v>
      </c>
      <c r="D309" s="6" t="s">
        <v>96</v>
      </c>
      <c r="E309" s="6" t="s">
        <v>1015</v>
      </c>
      <c r="F309" s="6" t="s">
        <v>258</v>
      </c>
      <c r="G309" s="6" t="s">
        <v>1015</v>
      </c>
      <c r="H309" s="6" t="s">
        <v>1161</v>
      </c>
      <c r="K309" s="2" t="str">
        <f>IFERROR(__xludf.DUMMYFUNCTION("GOOGLETRANSLATE(A309,""en"",""ur"")"),"308")</f>
        <v>308</v>
      </c>
      <c r="L309" s="2" t="str">
        <f>IFERROR(__xludf.DUMMYFUNCTION("GOOGLETRANSLATE(B309,""en"",""ur"")"),"کھیل کا نام کیا ہے؟")</f>
        <v>کھیل کا نام کیا ہے؟</v>
      </c>
      <c r="M309" s="2" t="str">
        <f>IFERROR(__xludf.DUMMYFUNCTION("GOOGLETRANSLATE(C309,""en"",""ur"")"),"پولو")</f>
        <v>پولو</v>
      </c>
      <c r="N309" s="2" t="str">
        <f>IFERROR(__xludf.DUMMYFUNCTION("GOOGLETRANSLATE(D309,""en"",""ur"")"),"گھوڑوں کی دوڑ")</f>
        <v>گھوڑوں کی دوڑ</v>
      </c>
      <c r="O309" s="2" t="str">
        <f>IFERROR(__xludf.DUMMYFUNCTION("GOOGLETRANSLATE(E309,""en"",""ur"")"),"ٹینٹ پیگنگ")</f>
        <v>ٹینٹ پیگنگ</v>
      </c>
      <c r="P309" s="2" t="str">
        <f>IFERROR(__xludf.DUMMYFUNCTION("GOOGLETRANSLATE(F309,""en"",""ur"")"),"گھڑ سواری کے کھیل")</f>
        <v>گھڑ سواری کے کھیل</v>
      </c>
      <c r="Q309" s="2" t="s">
        <v>1016</v>
      </c>
      <c r="R309" s="2" t="str">
        <f>IFERROR(__xludf.DUMMYFUNCTION("GOOGLETRANSLATE(G309,""en"",""ur"")"),"ٹینٹ پیگنگ")</f>
        <v>ٹینٹ پیگنگ</v>
      </c>
      <c r="S309" s="6" t="s">
        <v>1161</v>
      </c>
    </row>
    <row r="310">
      <c r="A310" s="7">
        <v>309.0</v>
      </c>
      <c r="B310" s="6" t="s">
        <v>316</v>
      </c>
      <c r="C310" s="6" t="s">
        <v>47</v>
      </c>
      <c r="D310" s="6" t="s">
        <v>48</v>
      </c>
      <c r="E310" s="6" t="s">
        <v>49</v>
      </c>
      <c r="F310" s="6" t="s">
        <v>50</v>
      </c>
      <c r="G310" s="6" t="s">
        <v>49</v>
      </c>
      <c r="H310" s="6" t="s">
        <v>1161</v>
      </c>
      <c r="K310" s="2" t="str">
        <f>IFERROR(__xludf.DUMMYFUNCTION("GOOGLETRANSLATE(A310,""en"",""ur"")"),"309")</f>
        <v>309</v>
      </c>
      <c r="L310" s="2" t="str">
        <f>IFERROR(__xludf.DUMMYFUNCTION("GOOGLETRANSLATE(B310,""en"",""ur"")"),"سوار کے چہرے سے ظاہری جذبات کیا ہیں؟")</f>
        <v>سوار کے چہرے سے ظاہری جذبات کیا ہیں؟</v>
      </c>
      <c r="M310" s="2" t="str">
        <f>IFERROR(__xludf.DUMMYFUNCTION("GOOGLETRANSLATE(C310,""en"",""ur"")"),"پرسکون اور پر سکون")</f>
        <v>پرسکون اور پر سکون</v>
      </c>
      <c r="N310" s="2" t="str">
        <f>IFERROR(__xludf.DUMMYFUNCTION("GOOGLETRANSLATE(D310,""en"",""ur"")"),"خوف زدہ اور بے چین")</f>
        <v>خوف زدہ اور بے چین</v>
      </c>
      <c r="O310" s="2" t="str">
        <f>IFERROR(__xludf.DUMMYFUNCTION("GOOGLETRANSLATE(E310,""en"",""ur"")"),"کشیدہ اور شدید")</f>
        <v>کشیدہ اور شدید</v>
      </c>
      <c r="P310" s="2" t="str">
        <f>IFERROR(__xludf.DUMMYFUNCTION("GOOGLETRANSLATE(F310,""en"",""ur"")"),"خوش اور مسکراتے ہوئے۔")</f>
        <v>خوش اور مسکراتے ہوئے۔</v>
      </c>
      <c r="Q310" s="2" t="s">
        <v>51</v>
      </c>
      <c r="R310" s="2" t="str">
        <f>IFERROR(__xludf.DUMMYFUNCTION("GOOGLETRANSLATE(G310,""en"",""ur"")"),"کشیدہ اور شدید")</f>
        <v>کشیدہ اور شدید</v>
      </c>
      <c r="S310" s="6" t="s">
        <v>1161</v>
      </c>
    </row>
    <row r="311">
      <c r="A311" s="7">
        <v>310.0</v>
      </c>
      <c r="B311" s="6" t="s">
        <v>260</v>
      </c>
      <c r="C311" s="6" t="s">
        <v>261</v>
      </c>
      <c r="D311" s="6" t="s">
        <v>262</v>
      </c>
      <c r="E311" s="6" t="s">
        <v>263</v>
      </c>
      <c r="F311" s="6" t="s">
        <v>1001</v>
      </c>
      <c r="G311" s="6" t="s">
        <v>1001</v>
      </c>
      <c r="H311" s="6" t="s">
        <v>1161</v>
      </c>
      <c r="K311" s="2" t="str">
        <f>IFERROR(__xludf.DUMMYFUNCTION("GOOGLETRANSLATE(A311,""en"",""ur"")"),"310")</f>
        <v>310</v>
      </c>
      <c r="L311" s="2" t="str">
        <f>IFERROR(__xludf.DUMMYFUNCTION("GOOGLETRANSLATE(B311,""en"",""ur"")"),"تصویر میں ایکشن ایک ایسا انداز تجویز کرتا ہے جو اس بات پر زور دیتا ہے...")</f>
        <v>تصویر میں ایکشن ایک ایسا انداز تجویز کرتا ہے جو اس بات پر زور دیتا ہے...</v>
      </c>
      <c r="M311" s="2" t="str">
        <f>IFERROR(__xludf.DUMMYFUNCTION("GOOGLETRANSLATE(C311,""en"",""ur"")"),"روانی اور قلابازیاں")</f>
        <v>روانی اور قلابازیاں</v>
      </c>
      <c r="N311" s="2" t="str">
        <f>IFERROR(__xludf.DUMMYFUNCTION("GOOGLETRANSLATE(D311,""en"",""ur"")"),"زمینی لڑائی اور گرفت")</f>
        <v>زمینی لڑائی اور گرفت</v>
      </c>
      <c r="O311" s="2" t="str">
        <f>IFERROR(__xludf.DUMMYFUNCTION("GOOGLETRANSLATE(E311,""en"",""ur"")"),"وحشیانہ قوت اور گھڑ سواری۔")</f>
        <v>وحشیانہ قوت اور گھڑ سواری۔</v>
      </c>
      <c r="P311" s="2" t="str">
        <f>IFERROR(__xludf.DUMMYFUNCTION("GOOGLETRANSLATE(F311,""en"",""ur"")"),"رفتار، درستگی اور چستی")</f>
        <v>رفتار، درستگی اور چستی</v>
      </c>
      <c r="Q311" s="2" t="s">
        <v>1002</v>
      </c>
      <c r="R311" s="2" t="str">
        <f>IFERROR(__xludf.DUMMYFUNCTION("GOOGLETRANSLATE(G311,""en"",""ur"")"),"رفتار، درستگی اور چستی")</f>
        <v>رفتار، درستگی اور چستی</v>
      </c>
      <c r="S311" s="6" t="s">
        <v>1161</v>
      </c>
    </row>
    <row r="312">
      <c r="A312" s="7">
        <v>311.0</v>
      </c>
      <c r="B312" s="6" t="s">
        <v>1164</v>
      </c>
      <c r="C312" s="6" t="s">
        <v>958</v>
      </c>
      <c r="D312" s="6" t="s">
        <v>959</v>
      </c>
      <c r="E312" s="6" t="s">
        <v>960</v>
      </c>
      <c r="F312" s="6" t="s">
        <v>961</v>
      </c>
      <c r="G312" s="6" t="s">
        <v>959</v>
      </c>
      <c r="H312" s="6" t="s">
        <v>1165</v>
      </c>
      <c r="K312" s="2" t="str">
        <f>IFERROR(__xludf.DUMMYFUNCTION("GOOGLETRANSLATE(A312,""en"",""ur"")"),"311")</f>
        <v>311</v>
      </c>
      <c r="L312" s="2" t="str">
        <f>IFERROR(__xludf.DUMMYFUNCTION("GOOGLETRANSLATE(B312,""en"",""ur"")"),"tent_pegging_78 میں دکھائی جانے والی اہم کارروائی کیا ہے؟")</f>
        <v>tent_pegging_78 میں دکھائی جانے والی اہم کارروائی کیا ہے؟</v>
      </c>
      <c r="M312" s="2" t="str">
        <f>IFERROR(__xludf.DUMMYFUNCTION("GOOGLETRANSLATE(C312,""en"",""ur"")"),"گھوڑے کی پیٹھ پر کرتب دکھاتے ہوئے سوار")</f>
        <v>گھوڑے کی پیٹھ پر کرتب دکھاتے ہوئے سوار</v>
      </c>
      <c r="N312" s="2" t="str">
        <f>IFERROR(__xludf.DUMMYFUNCTION("GOOGLETRANSLATE(D312,""en"",""ur"")"),"ٹینٹ پیگنگ ایونٹ میں مقابلہ کرنے والا سوار")</f>
        <v>ٹینٹ پیگنگ ایونٹ میں مقابلہ کرنے والا سوار</v>
      </c>
      <c r="O312" s="2" t="str">
        <f>IFERROR(__xludf.DUMMYFUNCTION("GOOGLETRANSLATE(E312,""en"",""ur"")"),"گھوڑوں کی دوڑ میں سوار")</f>
        <v>گھوڑوں کی دوڑ میں سوار</v>
      </c>
      <c r="P312" s="2" t="str">
        <f>IFERROR(__xludf.DUMMYFUNCTION("GOOGLETRANSLATE(F312,""en"",""ur"")"),"ایک سوار پریڈ کی قیادت کر رہا ہے۔")</f>
        <v>ایک سوار پریڈ کی قیادت کر رہا ہے۔</v>
      </c>
      <c r="Q312" s="2" t="s">
        <v>1029</v>
      </c>
      <c r="R312" s="2" t="str">
        <f>IFERROR(__xludf.DUMMYFUNCTION("GOOGLETRANSLATE(G312,""en"",""ur"")"),"ٹینٹ پیگنگ ایونٹ میں مقابلہ کرنے والا سوار")</f>
        <v>ٹینٹ پیگنگ ایونٹ میں مقابلہ کرنے والا سوار</v>
      </c>
      <c r="S312" s="6" t="s">
        <v>1165</v>
      </c>
    </row>
    <row r="313">
      <c r="A313" s="7">
        <v>312.0</v>
      </c>
      <c r="B313" s="6" t="s">
        <v>963</v>
      </c>
      <c r="C313" s="6" t="s">
        <v>964</v>
      </c>
      <c r="D313" s="6" t="s">
        <v>1063</v>
      </c>
      <c r="E313" s="6" t="s">
        <v>966</v>
      </c>
      <c r="F313" s="6" t="s">
        <v>967</v>
      </c>
      <c r="G313" s="6" t="s">
        <v>1063</v>
      </c>
      <c r="H313" s="6" t="s">
        <v>1165</v>
      </c>
      <c r="K313" s="2" t="str">
        <f>IFERROR(__xludf.DUMMYFUNCTION("GOOGLETRANSLATE(A313,""en"",""ur"")"),"312")</f>
        <v>312</v>
      </c>
      <c r="L313" s="2" t="str">
        <f>IFERROR(__xludf.DUMMYFUNCTION("GOOGLETRANSLATE(B313,""en"",""ur"")"),"سوار کے لباس کے بارے میں ایک قابل ذکر تفصیل کیا ہے؟")</f>
        <v>سوار کے لباس کے بارے میں ایک قابل ذکر تفصیل کیا ہے؟</v>
      </c>
      <c r="M313" s="2" t="str">
        <f>IFERROR(__xludf.DUMMYFUNCTION("GOOGLETRANSLATE(C313,""en"",""ur"")"),"ایک رسمی سوٹ اور ٹائی")</f>
        <v>ایک رسمی سوٹ اور ٹائی</v>
      </c>
      <c r="N313" s="2" t="str">
        <f>IFERROR(__xludf.DUMMYFUNCTION("GOOGLETRANSLATE(D313,""en"",""ur"")"),"سرخ پگڑی اور بنیان والا سفید روایتی لباس")</f>
        <v>سرخ پگڑی اور بنیان والا سفید روایتی لباس</v>
      </c>
      <c r="O313" s="2" t="str">
        <f>IFERROR(__xludf.DUMMYFUNCTION("GOOGLETRANSLATE(E313,""en"",""ur"")"),"فوجی وردی")</f>
        <v>فوجی وردی</v>
      </c>
      <c r="P313" s="2" t="str">
        <f>IFERROR(__xludf.DUMMYFUNCTION("GOOGLETRANSLATE(F313,""en"",""ur"")"),"ایک جدید کھیلوں کا یونیفارم")</f>
        <v>ایک جدید کھیلوں کا یونیفارم</v>
      </c>
      <c r="Q313" s="2" t="s">
        <v>1064</v>
      </c>
      <c r="R313" s="2" t="str">
        <f>IFERROR(__xludf.DUMMYFUNCTION("GOOGLETRANSLATE(G313,""en"",""ur"")"),"سرخ پگڑی اور بنیان والا سفید روایتی لباس")</f>
        <v>سرخ پگڑی اور بنیان والا سفید روایتی لباس</v>
      </c>
      <c r="S313" s="6" t="s">
        <v>1165</v>
      </c>
    </row>
    <row r="314">
      <c r="A314" s="7">
        <v>313.0</v>
      </c>
      <c r="B314" s="6" t="s">
        <v>969</v>
      </c>
      <c r="C314" s="6" t="s">
        <v>970</v>
      </c>
      <c r="D314" s="6" t="s">
        <v>971</v>
      </c>
      <c r="E314" s="6" t="s">
        <v>972</v>
      </c>
      <c r="F314" s="6" t="s">
        <v>973</v>
      </c>
      <c r="G314" s="6" t="s">
        <v>972</v>
      </c>
      <c r="H314" s="6" t="s">
        <v>1165</v>
      </c>
      <c r="K314" s="2" t="str">
        <f>IFERROR(__xludf.DUMMYFUNCTION("GOOGLETRANSLATE(A314,""en"",""ur"")"),"313")</f>
        <v>313</v>
      </c>
      <c r="L314" s="2" t="str">
        <f>IFERROR(__xludf.DUMMYFUNCTION("GOOGLETRANSLATE(B314,""en"",""ur"")"),"سوار نے جو لمبی چھڑی پکڑی ہوئی ہے اس کا ظاہری مقصد کیا ہے؟")</f>
        <v>سوار نے جو لمبی چھڑی پکڑی ہوئی ہے اس کا ظاہری مقصد کیا ہے؟</v>
      </c>
      <c r="M314" s="2" t="str">
        <f>IFERROR(__xludf.DUMMYFUNCTION("GOOGLETRANSLATE(C314,""en"",""ur"")"),"گھوڑے کی رہنمائی کے لیے")</f>
        <v>گھوڑے کی رہنمائی کے لیے</v>
      </c>
      <c r="N314" s="2" t="str">
        <f>IFERROR(__xludf.DUMMYFUNCTION("GOOGLETRANSLATE(D314,""en"",""ur"")"),"توازن کے لیے زمین سے ٹکرانا")</f>
        <v>توازن کے لیے زمین سے ٹکرانا</v>
      </c>
      <c r="O314" s="2" t="str">
        <f>IFERROR(__xludf.DUMMYFUNCTION("GOOGLETRANSLATE(E314,""en"",""ur"")"),"زمین پر چھوٹے اہداف کو نشانہ بنانا")</f>
        <v>زمین پر چھوٹے اہداف کو نشانہ بنانا</v>
      </c>
      <c r="P314" s="2" t="str">
        <f>IFERROR(__xludf.DUMMYFUNCTION("GOOGLETRANSLATE(F314,""en"",""ur"")"),"بطور ہتھیار استعمال کرنا")</f>
        <v>بطور ہتھیار استعمال کرنا</v>
      </c>
      <c r="Q314" s="2" t="s">
        <v>974</v>
      </c>
      <c r="R314" s="2" t="str">
        <f>IFERROR(__xludf.DUMMYFUNCTION("GOOGLETRANSLATE(G314,""en"",""ur"")"),"زمین پر چھوٹے اہداف کو نشانہ بنانا")</f>
        <v>زمین پر چھوٹے اہداف کو نشانہ بنانا</v>
      </c>
      <c r="S314" s="6" t="s">
        <v>1165</v>
      </c>
    </row>
    <row r="315">
      <c r="A315" s="7">
        <v>314.0</v>
      </c>
      <c r="B315" s="6" t="s">
        <v>310</v>
      </c>
      <c r="C315" s="6" t="s">
        <v>429</v>
      </c>
      <c r="D315" s="6" t="s">
        <v>975</v>
      </c>
      <c r="E315" s="6" t="s">
        <v>976</v>
      </c>
      <c r="F315" s="6" t="s">
        <v>977</v>
      </c>
      <c r="G315" s="6" t="s">
        <v>975</v>
      </c>
      <c r="H315" s="6" t="s">
        <v>1165</v>
      </c>
      <c r="K315" s="2" t="str">
        <f>IFERROR(__xludf.DUMMYFUNCTION("GOOGLETRANSLATE(A315,""en"",""ur"")"),"314")</f>
        <v>314</v>
      </c>
      <c r="L315" s="2" t="str">
        <f>IFERROR(__xludf.DUMMYFUNCTION("GOOGLETRANSLATE(B315,""en"",""ur"")"),"سوار کی ظاہری باڈی پوزیشن کیا ہے؟")</f>
        <v>سوار کی ظاہری باڈی پوزیشن کیا ہے؟</v>
      </c>
      <c r="M315" s="2" t="str">
        <f>IFERROR(__xludf.DUMMYFUNCTION("GOOGLETRANSLATE(C315,""en"",""ur"")"),"سیدھا کھڑا ہونا")</f>
        <v>سیدھا کھڑا ہونا</v>
      </c>
      <c r="N315" s="2" t="str">
        <f>IFERROR(__xludf.DUMMYFUNCTION("GOOGLETRANSLATE(D315,""en"",""ur"")"),"نیچے اور طرف جھکنا")</f>
        <v>نیچے اور طرف جھکنا</v>
      </c>
      <c r="O315" s="2" t="str">
        <f>IFERROR(__xludf.DUMMYFUNCTION("GOOGLETRANSLATE(E315,""en"",""ur"")"),"گھوڑے کی پیٹھ پر لیٹنا")</f>
        <v>گھوڑے کی پیٹھ پر لیٹنا</v>
      </c>
      <c r="P315" s="2" t="str">
        <f>IFERROR(__xludf.DUMMYFUNCTION("GOOGLETRANSLATE(F315,""en"",""ur"")"),"آرام سے بیٹھ گیا۔")</f>
        <v>آرام سے بیٹھ گیا۔</v>
      </c>
      <c r="Q315" s="2" t="s">
        <v>978</v>
      </c>
      <c r="R315" s="2" t="str">
        <f>IFERROR(__xludf.DUMMYFUNCTION("GOOGLETRANSLATE(G315,""en"",""ur"")"),"نیچے اور طرف جھکنا")</f>
        <v>نیچے اور طرف جھکنا</v>
      </c>
      <c r="S315" s="6" t="s">
        <v>1165</v>
      </c>
    </row>
    <row r="316">
      <c r="A316" s="7">
        <v>315.0</v>
      </c>
      <c r="B316" s="6" t="s">
        <v>979</v>
      </c>
      <c r="C316" s="6" t="s">
        <v>980</v>
      </c>
      <c r="D316" s="6" t="s">
        <v>981</v>
      </c>
      <c r="E316" s="6" t="s">
        <v>982</v>
      </c>
      <c r="F316" s="6" t="s">
        <v>983</v>
      </c>
      <c r="G316" s="6" t="s">
        <v>982</v>
      </c>
      <c r="H316" s="6" t="s">
        <v>1165</v>
      </c>
      <c r="K316" s="2" t="str">
        <f>IFERROR(__xludf.DUMMYFUNCTION("GOOGLETRANSLATE(A316,""en"",""ur"")"),"315")</f>
        <v>315</v>
      </c>
      <c r="L316" s="2" t="str">
        <f>IFERROR(__xludf.DUMMYFUNCTION("GOOGLETRANSLATE(B316,""en"",""ur"")"),"گھوڑے کے پیچھے زمین کی ظاہری حالت کیا ہے؟")</f>
        <v>گھوڑے کے پیچھے زمین کی ظاہری حالت کیا ہے؟</v>
      </c>
      <c r="M316" s="2" t="str">
        <f>IFERROR(__xludf.DUMMYFUNCTION("GOOGLETRANSLATE(C316,""en"",""ur"")"),"بالکل ہموار")</f>
        <v>بالکل ہموار</v>
      </c>
      <c r="N316" s="2" t="str">
        <f>IFERROR(__xludf.DUMMYFUNCTION("GOOGLETRANSLATE(D316,""en"",""ur"")"),"تازہ گھاس میں ڈھکا ہوا ہے۔")</f>
        <v>تازہ گھاس میں ڈھکا ہوا ہے۔</v>
      </c>
      <c r="O316" s="2" t="str">
        <f>IFERROR(__xludf.DUMMYFUNCTION("GOOGLETRANSLATE(E316,""en"",""ur"")"),"غبار کے بادل میں اُٹھ گیا۔")</f>
        <v>غبار کے بادل میں اُٹھ گیا۔</v>
      </c>
      <c r="P316" s="2" t="str">
        <f>IFERROR(__xludf.DUMMYFUNCTION("GOOGLETRANSLATE(F316,""en"",""ur"")"),"پانی سے بھرا ہوا ۔")</f>
        <v>پانی سے بھرا ہوا ۔</v>
      </c>
      <c r="Q316" s="2" t="s">
        <v>984</v>
      </c>
      <c r="R316" s="2" t="str">
        <f>IFERROR(__xludf.DUMMYFUNCTION("GOOGLETRANSLATE(G316,""en"",""ur"")"),"غبار کے بادل میں اُٹھ گیا۔")</f>
        <v>غبار کے بادل میں اُٹھ گیا۔</v>
      </c>
      <c r="S316" s="6" t="s">
        <v>1165</v>
      </c>
    </row>
    <row r="317">
      <c r="A317" s="7">
        <v>316.0</v>
      </c>
      <c r="B317" s="6" t="s">
        <v>985</v>
      </c>
      <c r="C317" s="6" t="s">
        <v>986</v>
      </c>
      <c r="D317" s="6" t="s">
        <v>1032</v>
      </c>
      <c r="E317" s="6" t="s">
        <v>988</v>
      </c>
      <c r="F317" s="6" t="s">
        <v>989</v>
      </c>
      <c r="G317" s="6" t="s">
        <v>1032</v>
      </c>
      <c r="H317" s="6" t="s">
        <v>1165</v>
      </c>
      <c r="K317" s="2" t="str">
        <f>IFERROR(__xludf.DUMMYFUNCTION("GOOGLETRANSLATE(A317,""en"",""ur"")"),"316")</f>
        <v>316</v>
      </c>
      <c r="L317" s="2" t="str">
        <f>IFERROR(__xludf.DUMMYFUNCTION("GOOGLETRANSLATE(B317,""en"",""ur"")"),"گھوڑے کے ٹیک کی سب سے نمایاں خصوصیت کیا ہے؟")</f>
        <v>گھوڑے کے ٹیک کی سب سے نمایاں خصوصیت کیا ہے؟</v>
      </c>
      <c r="M317" s="2" t="str">
        <f>IFERROR(__xludf.DUMMYFUNCTION("GOOGLETRANSLATE(C317,""en"",""ur"")"),"یہ ایک سادہ سی کاٹھی ہے۔")</f>
        <v>یہ ایک سادہ سی کاٹھی ہے۔</v>
      </c>
      <c r="N317" s="2" t="str">
        <f>IFERROR(__xludf.DUMMYFUNCTION("GOOGLETRANSLATE(D317,""en"",""ur"")"),"یہ سرخ آرائش کے ساتھ ایک انتہائی آرائشی کاٹھی ہے۔")</f>
        <v>یہ سرخ آرائش کے ساتھ ایک انتہائی آرائشی کاٹھی ہے۔</v>
      </c>
      <c r="O317" s="2" t="str">
        <f>IFERROR(__xludf.DUMMYFUNCTION("GOOGLETRANSLATE(E317,""en"",""ur"")"),"یہ ایک ننگا پیڈ ہے۔")</f>
        <v>یہ ایک ننگا پیڈ ہے۔</v>
      </c>
      <c r="P317" s="2" t="str">
        <f>IFERROR(__xludf.DUMMYFUNCTION("GOOGLETRANSLATE(F317,""en"",""ur"")"),"یہ ایک ریسنگ سیڈل ہے۔")</f>
        <v>یہ ایک ریسنگ سیڈل ہے۔</v>
      </c>
      <c r="Q317" s="2" t="s">
        <v>1033</v>
      </c>
      <c r="R317" s="2" t="str">
        <f>IFERROR(__xludf.DUMMYFUNCTION("GOOGLETRANSLATE(G317,""en"",""ur"")"),"یہ سرخ آرائش کے ساتھ ایک انتہائی آرائشی کاٹھی ہے۔")</f>
        <v>یہ سرخ آرائش کے ساتھ ایک انتہائی آرائشی کاٹھی ہے۔</v>
      </c>
      <c r="S317" s="6" t="s">
        <v>1165</v>
      </c>
    </row>
    <row r="318">
      <c r="A318" s="7">
        <v>317.0</v>
      </c>
      <c r="B318" s="6" t="s">
        <v>991</v>
      </c>
      <c r="C318" s="6" t="s">
        <v>992</v>
      </c>
      <c r="D318" s="6" t="s">
        <v>646</v>
      </c>
      <c r="E318" s="6" t="s">
        <v>1051</v>
      </c>
      <c r="F318" s="6" t="s">
        <v>425</v>
      </c>
      <c r="G318" s="6" t="s">
        <v>1051</v>
      </c>
      <c r="H318" s="6" t="s">
        <v>1165</v>
      </c>
      <c r="K318" s="2" t="str">
        <f>IFERROR(__xludf.DUMMYFUNCTION("GOOGLETRANSLATE(A318,""en"",""ur"")"),"317")</f>
        <v>317</v>
      </c>
      <c r="L318" s="2" t="str">
        <f>IFERROR(__xludf.DUMMYFUNCTION("GOOGLETRANSLATE(B318,""en"",""ur"")"),"واقعہ کی ظاہری ترتیب کیا ہے؟")</f>
        <v>واقعہ کی ظاہری ترتیب کیا ہے؟</v>
      </c>
      <c r="M318" s="2" t="str">
        <f>IFERROR(__xludf.DUMMYFUNCTION("GOOGLETRANSLATE(C318,""en"",""ur"")"),"ایک اندرونی میدان")</f>
        <v>ایک اندرونی میدان</v>
      </c>
      <c r="N318" s="2" t="str">
        <f>IFERROR(__xludf.DUMMYFUNCTION("GOOGLETRANSLATE(D318,""en"",""ur"")"),"شہر کی ایک گلی")</f>
        <v>شہر کی ایک گلی</v>
      </c>
      <c r="O318" s="2" t="str">
        <f>IFERROR(__xludf.DUMMYFUNCTION("GOOGLETRANSLATE(E318,""en"",""ur"")"),"تماشائیوں کے ساتھ ایک بیرونی گندگی کا ٹریک")</f>
        <v>تماشائیوں کے ساتھ ایک بیرونی گندگی کا ٹریک</v>
      </c>
      <c r="P318" s="2" t="str">
        <f>IFERROR(__xludf.DUMMYFUNCTION("GOOGLETRANSLATE(F318,""en"",""ur"")"),"گھاس کا میدان")</f>
        <v>گھاس کا میدان</v>
      </c>
      <c r="Q318" s="2" t="s">
        <v>1052</v>
      </c>
      <c r="R318" s="2" t="str">
        <f>IFERROR(__xludf.DUMMYFUNCTION("GOOGLETRANSLATE(G318,""en"",""ur"")"),"تماشائیوں کے ساتھ ایک بیرونی گندگی کا ٹریک")</f>
        <v>تماشائیوں کے ساتھ ایک بیرونی گندگی کا ٹریک</v>
      </c>
      <c r="S318" s="6" t="s">
        <v>1165</v>
      </c>
    </row>
    <row r="319">
      <c r="A319" s="7">
        <v>318.0</v>
      </c>
      <c r="B319" s="6" t="s">
        <v>1036</v>
      </c>
      <c r="C319" s="6" t="s">
        <v>95</v>
      </c>
      <c r="D319" s="6" t="s">
        <v>96</v>
      </c>
      <c r="E319" s="6" t="s">
        <v>1015</v>
      </c>
      <c r="F319" s="6" t="s">
        <v>258</v>
      </c>
      <c r="G319" s="6" t="s">
        <v>1015</v>
      </c>
      <c r="H319" s="6" t="s">
        <v>1165</v>
      </c>
      <c r="K319" s="2" t="str">
        <f>IFERROR(__xludf.DUMMYFUNCTION("GOOGLETRANSLATE(A319,""en"",""ur"")"),"318")</f>
        <v>318</v>
      </c>
      <c r="L319" s="2" t="str">
        <f>IFERROR(__xludf.DUMMYFUNCTION("GOOGLETRANSLATE(B319,""en"",""ur"")"),"کھیل کا نام کیا ہے؟")</f>
        <v>کھیل کا نام کیا ہے؟</v>
      </c>
      <c r="M319" s="2" t="str">
        <f>IFERROR(__xludf.DUMMYFUNCTION("GOOGLETRANSLATE(C319,""en"",""ur"")"),"پولو")</f>
        <v>پولو</v>
      </c>
      <c r="N319" s="2" t="str">
        <f>IFERROR(__xludf.DUMMYFUNCTION("GOOGLETRANSLATE(D319,""en"",""ur"")"),"گھوڑوں کی دوڑ")</f>
        <v>گھوڑوں کی دوڑ</v>
      </c>
      <c r="O319" s="2" t="str">
        <f>IFERROR(__xludf.DUMMYFUNCTION("GOOGLETRANSLATE(E319,""en"",""ur"")"),"ٹینٹ پیگنگ")</f>
        <v>ٹینٹ پیگنگ</v>
      </c>
      <c r="P319" s="2" t="str">
        <f>IFERROR(__xludf.DUMMYFUNCTION("GOOGLETRANSLATE(F319,""en"",""ur"")"),"گھڑ سواری کے کھیل")</f>
        <v>گھڑ سواری کے کھیل</v>
      </c>
      <c r="Q319" s="2" t="s">
        <v>1016</v>
      </c>
      <c r="R319" s="2" t="str">
        <f>IFERROR(__xludf.DUMMYFUNCTION("GOOGLETRANSLATE(G319,""en"",""ur"")"),"ٹینٹ پیگنگ")</f>
        <v>ٹینٹ پیگنگ</v>
      </c>
      <c r="S319" s="6" t="s">
        <v>1165</v>
      </c>
    </row>
    <row r="320">
      <c r="A320" s="7">
        <v>319.0</v>
      </c>
      <c r="B320" s="6" t="s">
        <v>316</v>
      </c>
      <c r="C320" s="6" t="s">
        <v>47</v>
      </c>
      <c r="D320" s="6" t="s">
        <v>48</v>
      </c>
      <c r="E320" s="6" t="s">
        <v>49</v>
      </c>
      <c r="F320" s="6" t="s">
        <v>50</v>
      </c>
      <c r="G320" s="6" t="s">
        <v>49</v>
      </c>
      <c r="H320" s="6" t="s">
        <v>1165</v>
      </c>
      <c r="K320" s="2" t="str">
        <f>IFERROR(__xludf.DUMMYFUNCTION("GOOGLETRANSLATE(A320,""en"",""ur"")"),"319")</f>
        <v>319</v>
      </c>
      <c r="L320" s="2" t="str">
        <f>IFERROR(__xludf.DUMMYFUNCTION("GOOGLETRANSLATE(B320,""en"",""ur"")"),"سوار کے چہرے سے ظاہری جذبات کیا ہیں؟")</f>
        <v>سوار کے چہرے سے ظاہری جذبات کیا ہیں؟</v>
      </c>
      <c r="M320" s="2" t="str">
        <f>IFERROR(__xludf.DUMMYFUNCTION("GOOGLETRANSLATE(C320,""en"",""ur"")"),"پرسکون اور پر سکون")</f>
        <v>پرسکون اور پر سکون</v>
      </c>
      <c r="N320" s="2" t="str">
        <f>IFERROR(__xludf.DUMMYFUNCTION("GOOGLETRANSLATE(D320,""en"",""ur"")"),"خوف زدہ اور بے چین")</f>
        <v>خوف زدہ اور بے چین</v>
      </c>
      <c r="O320" s="2" t="str">
        <f>IFERROR(__xludf.DUMMYFUNCTION("GOOGLETRANSLATE(E320,""en"",""ur"")"),"کشیدہ اور شدید")</f>
        <v>کشیدہ اور شدید</v>
      </c>
      <c r="P320" s="2" t="str">
        <f>IFERROR(__xludf.DUMMYFUNCTION("GOOGLETRANSLATE(F320,""en"",""ur"")"),"خوش اور مسکراتے ہوئے۔")</f>
        <v>خوش اور مسکراتے ہوئے۔</v>
      </c>
      <c r="Q320" s="2" t="s">
        <v>51</v>
      </c>
      <c r="R320" s="2" t="str">
        <f>IFERROR(__xludf.DUMMYFUNCTION("GOOGLETRANSLATE(G320,""en"",""ur"")"),"کشیدہ اور شدید")</f>
        <v>کشیدہ اور شدید</v>
      </c>
      <c r="S320" s="6" t="s">
        <v>1165</v>
      </c>
    </row>
    <row r="321">
      <c r="A321" s="7">
        <v>320.0</v>
      </c>
      <c r="B321" s="6" t="s">
        <v>260</v>
      </c>
      <c r="C321" s="6" t="s">
        <v>261</v>
      </c>
      <c r="D321" s="6" t="s">
        <v>262</v>
      </c>
      <c r="E321" s="6" t="s">
        <v>263</v>
      </c>
      <c r="F321" s="6" t="s">
        <v>1001</v>
      </c>
      <c r="G321" s="6" t="s">
        <v>1001</v>
      </c>
      <c r="H321" s="6" t="s">
        <v>1165</v>
      </c>
      <c r="K321" s="2" t="str">
        <f>IFERROR(__xludf.DUMMYFUNCTION("GOOGLETRANSLATE(A321,""en"",""ur"")"),"320")</f>
        <v>320</v>
      </c>
      <c r="L321" s="2" t="str">
        <f>IFERROR(__xludf.DUMMYFUNCTION("GOOGLETRANSLATE(B321,""en"",""ur"")"),"تصویر میں ایکشن ایک ایسا انداز تجویز کرتا ہے جو اس بات پر زور دیتا ہے...")</f>
        <v>تصویر میں ایکشن ایک ایسا انداز تجویز کرتا ہے جو اس بات پر زور دیتا ہے...</v>
      </c>
      <c r="M321" s="2" t="str">
        <f>IFERROR(__xludf.DUMMYFUNCTION("GOOGLETRANSLATE(C321,""en"",""ur"")"),"روانی اور قلابازیاں")</f>
        <v>روانی اور قلابازیاں</v>
      </c>
      <c r="N321" s="2" t="str">
        <f>IFERROR(__xludf.DUMMYFUNCTION("GOOGLETRANSLATE(D321,""en"",""ur"")"),"زمینی لڑائی اور گرفت")</f>
        <v>زمینی لڑائی اور گرفت</v>
      </c>
      <c r="O321" s="2" t="str">
        <f>IFERROR(__xludf.DUMMYFUNCTION("GOOGLETRANSLATE(E321,""en"",""ur"")"),"وحشیانہ قوت اور گھڑ سواری۔")</f>
        <v>وحشیانہ قوت اور گھڑ سواری۔</v>
      </c>
      <c r="P321" s="2" t="str">
        <f>IFERROR(__xludf.DUMMYFUNCTION("GOOGLETRANSLATE(F321,""en"",""ur"")"),"رفتار، درستگی اور چستی")</f>
        <v>رفتار، درستگی اور چستی</v>
      </c>
      <c r="Q321" s="2" t="s">
        <v>1002</v>
      </c>
      <c r="R321" s="2" t="str">
        <f>IFERROR(__xludf.DUMMYFUNCTION("GOOGLETRANSLATE(G321,""en"",""ur"")"),"رفتار، درستگی اور چستی")</f>
        <v>رفتار، درستگی اور چستی</v>
      </c>
      <c r="S321" s="6" t="s">
        <v>1165</v>
      </c>
    </row>
    <row r="322">
      <c r="A322" s="7">
        <v>321.0</v>
      </c>
      <c r="B322" s="6" t="s">
        <v>1166</v>
      </c>
      <c r="C322" s="6" t="s">
        <v>958</v>
      </c>
      <c r="D322" s="6" t="s">
        <v>1121</v>
      </c>
      <c r="E322" s="6" t="s">
        <v>960</v>
      </c>
      <c r="F322" s="6" t="s">
        <v>961</v>
      </c>
      <c r="G322" s="6" t="s">
        <v>1121</v>
      </c>
      <c r="H322" s="6" t="s">
        <v>1167</v>
      </c>
      <c r="K322" s="2" t="str">
        <f>IFERROR(__xludf.DUMMYFUNCTION("GOOGLETRANSLATE(A322,""en"",""ur"")"),"321")</f>
        <v>321</v>
      </c>
      <c r="L322" s="2" t="str">
        <f>IFERROR(__xludf.DUMMYFUNCTION("GOOGLETRANSLATE(B322,""en"",""ur"")"),"tent_pegging_90 میں دکھائی جانے والی اہم کارروائی کیا ہے؟")</f>
        <v>tent_pegging_90 میں دکھائی جانے والی اہم کارروائی کیا ہے؟</v>
      </c>
      <c r="M322" s="2" t="str">
        <f>IFERROR(__xludf.DUMMYFUNCTION("GOOGLETRANSLATE(C322,""en"",""ur"")"),"گھوڑے کی پیٹھ پر کرتب دکھاتے ہوئے سوار")</f>
        <v>گھوڑے کی پیٹھ پر کرتب دکھاتے ہوئے سوار</v>
      </c>
      <c r="N322" s="2" t="str">
        <f>IFERROR(__xludf.DUMMYFUNCTION("GOOGLETRANSLATE(D322,""en"",""ur"")"),"رات کو ٹینٹ پیگنگ ایونٹ میں مقابلہ کرنے والا سوار")</f>
        <v>رات کو ٹینٹ پیگنگ ایونٹ میں مقابلہ کرنے والا سوار</v>
      </c>
      <c r="O322" s="2" t="str">
        <f>IFERROR(__xludf.DUMMYFUNCTION("GOOGLETRANSLATE(E322,""en"",""ur"")"),"گھوڑوں کی دوڑ میں سوار")</f>
        <v>گھوڑوں کی دوڑ میں سوار</v>
      </c>
      <c r="P322" s="2" t="str">
        <f>IFERROR(__xludf.DUMMYFUNCTION("GOOGLETRANSLATE(F322,""en"",""ur"")"),"ایک سوار پریڈ کی قیادت کر رہا ہے۔")</f>
        <v>ایک سوار پریڈ کی قیادت کر رہا ہے۔</v>
      </c>
      <c r="Q322" s="2" t="s">
        <v>1123</v>
      </c>
      <c r="R322" s="2" t="str">
        <f>IFERROR(__xludf.DUMMYFUNCTION("GOOGLETRANSLATE(G322,""en"",""ur"")"),"رات کو ٹینٹ پیگنگ ایونٹ میں مقابلہ کرنے والا سوار")</f>
        <v>رات کو ٹینٹ پیگنگ ایونٹ میں مقابلہ کرنے والا سوار</v>
      </c>
      <c r="S322" s="6" t="s">
        <v>1167</v>
      </c>
    </row>
    <row r="323">
      <c r="A323" s="7">
        <v>322.0</v>
      </c>
      <c r="B323" s="6" t="s">
        <v>963</v>
      </c>
      <c r="C323" s="6" t="s">
        <v>964</v>
      </c>
      <c r="D323" s="6" t="s">
        <v>1063</v>
      </c>
      <c r="E323" s="6" t="s">
        <v>966</v>
      </c>
      <c r="F323" s="6" t="s">
        <v>967</v>
      </c>
      <c r="G323" s="6" t="s">
        <v>1063</v>
      </c>
      <c r="H323" s="6" t="s">
        <v>1167</v>
      </c>
      <c r="K323" s="2" t="str">
        <f>IFERROR(__xludf.DUMMYFUNCTION("GOOGLETRANSLATE(A323,""en"",""ur"")"),"322")</f>
        <v>322</v>
      </c>
      <c r="L323" s="2" t="str">
        <f>IFERROR(__xludf.DUMMYFUNCTION("GOOGLETRANSLATE(B323,""en"",""ur"")"),"سوار کے لباس کے بارے میں ایک قابل ذکر تفصیل کیا ہے؟")</f>
        <v>سوار کے لباس کے بارے میں ایک قابل ذکر تفصیل کیا ہے؟</v>
      </c>
      <c r="M323" s="2" t="str">
        <f>IFERROR(__xludf.DUMMYFUNCTION("GOOGLETRANSLATE(C323,""en"",""ur"")"),"ایک رسمی سوٹ اور ٹائی")</f>
        <v>ایک رسمی سوٹ اور ٹائی</v>
      </c>
      <c r="N323" s="2" t="str">
        <f>IFERROR(__xludf.DUMMYFUNCTION("GOOGLETRANSLATE(D323,""en"",""ur"")"),"سرخ پگڑی اور بنیان والا سفید روایتی لباس")</f>
        <v>سرخ پگڑی اور بنیان والا سفید روایتی لباس</v>
      </c>
      <c r="O323" s="2" t="str">
        <f>IFERROR(__xludf.DUMMYFUNCTION("GOOGLETRANSLATE(E323,""en"",""ur"")"),"فوجی وردی")</f>
        <v>فوجی وردی</v>
      </c>
      <c r="P323" s="2" t="str">
        <f>IFERROR(__xludf.DUMMYFUNCTION("GOOGLETRANSLATE(F323,""en"",""ur"")"),"ایک جدید کھیلوں کا یونیفارم")</f>
        <v>ایک جدید کھیلوں کا یونیفارم</v>
      </c>
      <c r="Q323" s="2" t="s">
        <v>1064</v>
      </c>
      <c r="R323" s="2" t="str">
        <f>IFERROR(__xludf.DUMMYFUNCTION("GOOGLETRANSLATE(G323,""en"",""ur"")"),"سرخ پگڑی اور بنیان والا سفید روایتی لباس")</f>
        <v>سرخ پگڑی اور بنیان والا سفید روایتی لباس</v>
      </c>
      <c r="S323" s="6" t="s">
        <v>1167</v>
      </c>
    </row>
    <row r="324">
      <c r="A324" s="7">
        <v>323.0</v>
      </c>
      <c r="B324" s="6" t="s">
        <v>969</v>
      </c>
      <c r="C324" s="6" t="s">
        <v>970</v>
      </c>
      <c r="D324" s="6" t="s">
        <v>971</v>
      </c>
      <c r="E324" s="6" t="s">
        <v>972</v>
      </c>
      <c r="F324" s="6" t="s">
        <v>973</v>
      </c>
      <c r="G324" s="6" t="s">
        <v>972</v>
      </c>
      <c r="H324" s="6" t="s">
        <v>1167</v>
      </c>
      <c r="K324" s="2" t="str">
        <f>IFERROR(__xludf.DUMMYFUNCTION("GOOGLETRANSLATE(A324,""en"",""ur"")"),"323")</f>
        <v>323</v>
      </c>
      <c r="L324" s="2" t="str">
        <f>IFERROR(__xludf.DUMMYFUNCTION("GOOGLETRANSLATE(B324,""en"",""ur"")"),"سوار نے جو لمبی چھڑی پکڑی ہوئی ہے اس کا ظاہری مقصد کیا ہے؟")</f>
        <v>سوار نے جو لمبی چھڑی پکڑی ہوئی ہے اس کا ظاہری مقصد کیا ہے؟</v>
      </c>
      <c r="M324" s="2" t="str">
        <f>IFERROR(__xludf.DUMMYFUNCTION("GOOGLETRANSLATE(C324,""en"",""ur"")"),"گھوڑے کی رہنمائی کے لیے")</f>
        <v>گھوڑے کی رہنمائی کے لیے</v>
      </c>
      <c r="N324" s="2" t="str">
        <f>IFERROR(__xludf.DUMMYFUNCTION("GOOGLETRANSLATE(D324,""en"",""ur"")"),"توازن کے لیے زمین سے ٹکرانا")</f>
        <v>توازن کے لیے زمین سے ٹکرانا</v>
      </c>
      <c r="O324" s="2" t="str">
        <f>IFERROR(__xludf.DUMMYFUNCTION("GOOGLETRANSLATE(E324,""en"",""ur"")"),"زمین پر چھوٹے اہداف کو نشانہ بنانا")</f>
        <v>زمین پر چھوٹے اہداف کو نشانہ بنانا</v>
      </c>
      <c r="P324" s="2" t="str">
        <f>IFERROR(__xludf.DUMMYFUNCTION("GOOGLETRANSLATE(F324,""en"",""ur"")"),"بطور ہتھیار استعمال کرنا")</f>
        <v>بطور ہتھیار استعمال کرنا</v>
      </c>
      <c r="Q324" s="2" t="s">
        <v>974</v>
      </c>
      <c r="R324" s="2" t="str">
        <f>IFERROR(__xludf.DUMMYFUNCTION("GOOGLETRANSLATE(G324,""en"",""ur"")"),"زمین پر چھوٹے اہداف کو نشانہ بنانا")</f>
        <v>زمین پر چھوٹے اہداف کو نشانہ بنانا</v>
      </c>
      <c r="S324" s="6" t="s">
        <v>1167</v>
      </c>
    </row>
    <row r="325">
      <c r="A325" s="7">
        <v>324.0</v>
      </c>
      <c r="B325" s="6" t="s">
        <v>310</v>
      </c>
      <c r="C325" s="6" t="s">
        <v>429</v>
      </c>
      <c r="D325" s="6" t="s">
        <v>975</v>
      </c>
      <c r="E325" s="6" t="s">
        <v>976</v>
      </c>
      <c r="F325" s="6" t="s">
        <v>977</v>
      </c>
      <c r="G325" s="6" t="s">
        <v>975</v>
      </c>
      <c r="H325" s="6" t="s">
        <v>1167</v>
      </c>
      <c r="K325" s="2" t="str">
        <f>IFERROR(__xludf.DUMMYFUNCTION("GOOGLETRANSLATE(A325,""en"",""ur"")"),"324")</f>
        <v>324</v>
      </c>
      <c r="L325" s="2" t="str">
        <f>IFERROR(__xludf.DUMMYFUNCTION("GOOGLETRANSLATE(B325,""en"",""ur"")"),"سوار کی ظاہری باڈی پوزیشن کیا ہے؟")</f>
        <v>سوار کی ظاہری باڈی پوزیشن کیا ہے؟</v>
      </c>
      <c r="M325" s="2" t="str">
        <f>IFERROR(__xludf.DUMMYFUNCTION("GOOGLETRANSLATE(C325,""en"",""ur"")"),"سیدھا کھڑا ہونا")</f>
        <v>سیدھا کھڑا ہونا</v>
      </c>
      <c r="N325" s="2" t="str">
        <f>IFERROR(__xludf.DUMMYFUNCTION("GOOGLETRANSLATE(D325,""en"",""ur"")"),"نیچے اور طرف جھکنا")</f>
        <v>نیچے اور طرف جھکنا</v>
      </c>
      <c r="O325" s="2" t="str">
        <f>IFERROR(__xludf.DUMMYFUNCTION("GOOGLETRANSLATE(E325,""en"",""ur"")"),"گھوڑے کی پیٹھ پر لیٹنا")</f>
        <v>گھوڑے کی پیٹھ پر لیٹنا</v>
      </c>
      <c r="P325" s="2" t="str">
        <f>IFERROR(__xludf.DUMMYFUNCTION("GOOGLETRANSLATE(F325,""en"",""ur"")"),"آرام سے بیٹھ گیا۔")</f>
        <v>آرام سے بیٹھ گیا۔</v>
      </c>
      <c r="Q325" s="2" t="s">
        <v>978</v>
      </c>
      <c r="R325" s="2" t="str">
        <f>IFERROR(__xludf.DUMMYFUNCTION("GOOGLETRANSLATE(G325,""en"",""ur"")"),"نیچے اور طرف جھکنا")</f>
        <v>نیچے اور طرف جھکنا</v>
      </c>
      <c r="S325" s="6" t="s">
        <v>1167</v>
      </c>
    </row>
    <row r="326">
      <c r="A326" s="7">
        <v>325.0</v>
      </c>
      <c r="B326" s="6" t="s">
        <v>979</v>
      </c>
      <c r="C326" s="6" t="s">
        <v>980</v>
      </c>
      <c r="D326" s="6" t="s">
        <v>981</v>
      </c>
      <c r="E326" s="6" t="s">
        <v>982</v>
      </c>
      <c r="F326" s="6" t="s">
        <v>983</v>
      </c>
      <c r="G326" s="6" t="s">
        <v>982</v>
      </c>
      <c r="H326" s="6" t="s">
        <v>1167</v>
      </c>
      <c r="K326" s="2" t="str">
        <f>IFERROR(__xludf.DUMMYFUNCTION("GOOGLETRANSLATE(A326,""en"",""ur"")"),"325")</f>
        <v>325</v>
      </c>
      <c r="L326" s="2" t="str">
        <f>IFERROR(__xludf.DUMMYFUNCTION("GOOGLETRANSLATE(B326,""en"",""ur"")"),"گھوڑے کے پیچھے زمین کی ظاہری حالت کیا ہے؟")</f>
        <v>گھوڑے کے پیچھے زمین کی ظاہری حالت کیا ہے؟</v>
      </c>
      <c r="M326" s="2" t="str">
        <f>IFERROR(__xludf.DUMMYFUNCTION("GOOGLETRANSLATE(C326,""en"",""ur"")"),"بالکل ہموار")</f>
        <v>بالکل ہموار</v>
      </c>
      <c r="N326" s="2" t="str">
        <f>IFERROR(__xludf.DUMMYFUNCTION("GOOGLETRANSLATE(D326,""en"",""ur"")"),"تازہ گھاس میں ڈھکا ہوا ہے۔")</f>
        <v>تازہ گھاس میں ڈھکا ہوا ہے۔</v>
      </c>
      <c r="O326" s="2" t="str">
        <f>IFERROR(__xludf.DUMMYFUNCTION("GOOGLETRANSLATE(E326,""en"",""ur"")"),"غبار کے بادل میں اُٹھ گیا۔")</f>
        <v>غبار کے بادل میں اُٹھ گیا۔</v>
      </c>
      <c r="P326" s="2" t="str">
        <f>IFERROR(__xludf.DUMMYFUNCTION("GOOGLETRANSLATE(F326,""en"",""ur"")"),"پانی سے بھرا ہوا ۔")</f>
        <v>پانی سے بھرا ہوا ۔</v>
      </c>
      <c r="Q326" s="2" t="s">
        <v>984</v>
      </c>
      <c r="R326" s="2" t="str">
        <f>IFERROR(__xludf.DUMMYFUNCTION("GOOGLETRANSLATE(G326,""en"",""ur"")"),"غبار کے بادل میں اُٹھ گیا۔")</f>
        <v>غبار کے بادل میں اُٹھ گیا۔</v>
      </c>
      <c r="S326" s="6" t="s">
        <v>1167</v>
      </c>
    </row>
    <row r="327">
      <c r="A327" s="7">
        <v>326.0</v>
      </c>
      <c r="B327" s="6" t="s">
        <v>985</v>
      </c>
      <c r="C327" s="6" t="s">
        <v>986</v>
      </c>
      <c r="D327" s="6" t="s">
        <v>1032</v>
      </c>
      <c r="E327" s="6" t="s">
        <v>988</v>
      </c>
      <c r="F327" s="6" t="s">
        <v>989</v>
      </c>
      <c r="G327" s="6" t="s">
        <v>1032</v>
      </c>
      <c r="H327" s="6" t="s">
        <v>1167</v>
      </c>
      <c r="K327" s="2" t="str">
        <f>IFERROR(__xludf.DUMMYFUNCTION("GOOGLETRANSLATE(A327,""en"",""ur"")"),"326")</f>
        <v>326</v>
      </c>
      <c r="L327" s="2" t="str">
        <f>IFERROR(__xludf.DUMMYFUNCTION("GOOGLETRANSLATE(B327,""en"",""ur"")"),"گھوڑے کے ٹیک کی سب سے نمایاں خصوصیت کیا ہے؟")</f>
        <v>گھوڑے کے ٹیک کی سب سے نمایاں خصوصیت کیا ہے؟</v>
      </c>
      <c r="M327" s="2" t="str">
        <f>IFERROR(__xludf.DUMMYFUNCTION("GOOGLETRANSLATE(C327,""en"",""ur"")"),"یہ ایک سادہ سی کاٹھی ہے۔")</f>
        <v>یہ ایک سادہ سی کاٹھی ہے۔</v>
      </c>
      <c r="N327" s="2" t="str">
        <f>IFERROR(__xludf.DUMMYFUNCTION("GOOGLETRANSLATE(D327,""en"",""ur"")"),"یہ سرخ آرائش کے ساتھ ایک انتہائی آرائشی کاٹھی ہے۔")</f>
        <v>یہ سرخ آرائش کے ساتھ ایک انتہائی آرائشی کاٹھی ہے۔</v>
      </c>
      <c r="O327" s="2" t="str">
        <f>IFERROR(__xludf.DUMMYFUNCTION("GOOGLETRANSLATE(E327,""en"",""ur"")"),"یہ ایک ننگا پیڈ ہے۔")</f>
        <v>یہ ایک ننگا پیڈ ہے۔</v>
      </c>
      <c r="P327" s="2" t="str">
        <f>IFERROR(__xludf.DUMMYFUNCTION("GOOGLETRANSLATE(F327,""en"",""ur"")"),"یہ ایک ریسنگ سیڈل ہے۔")</f>
        <v>یہ ایک ریسنگ سیڈل ہے۔</v>
      </c>
      <c r="Q327" s="2" t="s">
        <v>1033</v>
      </c>
      <c r="R327" s="2" t="str">
        <f>IFERROR(__xludf.DUMMYFUNCTION("GOOGLETRANSLATE(G327,""en"",""ur"")"),"یہ سرخ آرائش کے ساتھ ایک انتہائی آرائشی کاٹھی ہے۔")</f>
        <v>یہ سرخ آرائش کے ساتھ ایک انتہائی آرائشی کاٹھی ہے۔</v>
      </c>
      <c r="S327" s="6" t="s">
        <v>1167</v>
      </c>
    </row>
    <row r="328">
      <c r="A328" s="7">
        <v>327.0</v>
      </c>
      <c r="B328" s="6" t="s">
        <v>991</v>
      </c>
      <c r="C328" s="6" t="s">
        <v>992</v>
      </c>
      <c r="D328" s="6" t="s">
        <v>646</v>
      </c>
      <c r="E328" s="6" t="s">
        <v>1051</v>
      </c>
      <c r="F328" s="6" t="s">
        <v>929</v>
      </c>
      <c r="G328" s="6" t="s">
        <v>929</v>
      </c>
      <c r="H328" s="6" t="s">
        <v>1167</v>
      </c>
      <c r="K328" s="2" t="str">
        <f>IFERROR(__xludf.DUMMYFUNCTION("GOOGLETRANSLATE(A328,""en"",""ur"")"),"327")</f>
        <v>327</v>
      </c>
      <c r="L328" s="2" t="str">
        <f>IFERROR(__xludf.DUMMYFUNCTION("GOOGLETRANSLATE(B328,""en"",""ur"")"),"واقعہ کی ظاہری ترتیب کیا ہے؟")</f>
        <v>واقعہ کی ظاہری ترتیب کیا ہے؟</v>
      </c>
      <c r="M328" s="2" t="str">
        <f>IFERROR(__xludf.DUMMYFUNCTION("GOOGLETRANSLATE(C328,""en"",""ur"")"),"ایک اندرونی میدان")</f>
        <v>ایک اندرونی میدان</v>
      </c>
      <c r="N328" s="2" t="str">
        <f>IFERROR(__xludf.DUMMYFUNCTION("GOOGLETRANSLATE(D328,""en"",""ur"")"),"شہر کی ایک گلی")</f>
        <v>شہر کی ایک گلی</v>
      </c>
      <c r="O328" s="2" t="str">
        <f>IFERROR(__xludf.DUMMYFUNCTION("GOOGLETRANSLATE(E328,""en"",""ur"")"),"تماشائیوں کے ساتھ ایک بیرونی گندگی کا ٹریک")</f>
        <v>تماشائیوں کے ساتھ ایک بیرونی گندگی کا ٹریک</v>
      </c>
      <c r="P328" s="2" t="str">
        <f>IFERROR(__xludf.DUMMYFUNCTION("GOOGLETRANSLATE(F328,""en"",""ur"")"),"رات کو گھاس کا میدان")</f>
        <v>رات کو گھاس کا میدان</v>
      </c>
      <c r="Q328" s="2" t="s">
        <v>1168</v>
      </c>
      <c r="R328" s="2" t="str">
        <f>IFERROR(__xludf.DUMMYFUNCTION("GOOGLETRANSLATE(G328,""en"",""ur"")"),"رات کو گھاس کا میدان")</f>
        <v>رات کو گھاس کا میدان</v>
      </c>
      <c r="S328" s="6" t="s">
        <v>1167</v>
      </c>
    </row>
    <row r="329">
      <c r="A329" s="7">
        <v>328.0</v>
      </c>
      <c r="B329" s="6" t="s">
        <v>1036</v>
      </c>
      <c r="C329" s="6" t="s">
        <v>95</v>
      </c>
      <c r="D329" s="6" t="s">
        <v>96</v>
      </c>
      <c r="E329" s="6" t="s">
        <v>1015</v>
      </c>
      <c r="F329" s="6" t="s">
        <v>258</v>
      </c>
      <c r="G329" s="6" t="s">
        <v>1015</v>
      </c>
      <c r="H329" s="6" t="s">
        <v>1167</v>
      </c>
      <c r="K329" s="2" t="str">
        <f>IFERROR(__xludf.DUMMYFUNCTION("GOOGLETRANSLATE(A329,""en"",""ur"")"),"328")</f>
        <v>328</v>
      </c>
      <c r="L329" s="2" t="str">
        <f>IFERROR(__xludf.DUMMYFUNCTION("GOOGLETRANSLATE(B329,""en"",""ur"")"),"کھیل کا نام کیا ہے؟")</f>
        <v>کھیل کا نام کیا ہے؟</v>
      </c>
      <c r="M329" s="2" t="str">
        <f>IFERROR(__xludf.DUMMYFUNCTION("GOOGLETRANSLATE(C329,""en"",""ur"")"),"پولو")</f>
        <v>پولو</v>
      </c>
      <c r="N329" s="2" t="str">
        <f>IFERROR(__xludf.DUMMYFUNCTION("GOOGLETRANSLATE(D329,""en"",""ur"")"),"گھوڑوں کی دوڑ")</f>
        <v>گھوڑوں کی دوڑ</v>
      </c>
      <c r="O329" s="2" t="str">
        <f>IFERROR(__xludf.DUMMYFUNCTION("GOOGLETRANSLATE(E329,""en"",""ur"")"),"ٹینٹ پیگنگ")</f>
        <v>ٹینٹ پیگنگ</v>
      </c>
      <c r="P329" s="2" t="str">
        <f>IFERROR(__xludf.DUMMYFUNCTION("GOOGLETRANSLATE(F329,""en"",""ur"")"),"گھڑ سواری کے کھیل")</f>
        <v>گھڑ سواری کے کھیل</v>
      </c>
      <c r="Q329" s="2" t="s">
        <v>1016</v>
      </c>
      <c r="R329" s="2" t="str">
        <f>IFERROR(__xludf.DUMMYFUNCTION("GOOGLETRANSLATE(G329,""en"",""ur"")"),"ٹینٹ پیگنگ")</f>
        <v>ٹینٹ پیگنگ</v>
      </c>
      <c r="S329" s="6" t="s">
        <v>1167</v>
      </c>
    </row>
    <row r="330">
      <c r="A330" s="7">
        <v>329.0</v>
      </c>
      <c r="B330" s="6" t="s">
        <v>316</v>
      </c>
      <c r="C330" s="6" t="s">
        <v>47</v>
      </c>
      <c r="D330" s="6" t="s">
        <v>48</v>
      </c>
      <c r="E330" s="6" t="s">
        <v>49</v>
      </c>
      <c r="F330" s="6" t="s">
        <v>50</v>
      </c>
      <c r="G330" s="6" t="s">
        <v>49</v>
      </c>
      <c r="H330" s="6" t="s">
        <v>1167</v>
      </c>
      <c r="K330" s="2" t="str">
        <f>IFERROR(__xludf.DUMMYFUNCTION("GOOGLETRANSLATE(A330,""en"",""ur"")"),"329")</f>
        <v>329</v>
      </c>
      <c r="L330" s="2" t="str">
        <f>IFERROR(__xludf.DUMMYFUNCTION("GOOGLETRANSLATE(B330,""en"",""ur"")"),"سوار کے چہرے سے ظاہری جذبات کیا ہیں؟")</f>
        <v>سوار کے چہرے سے ظاہری جذبات کیا ہیں؟</v>
      </c>
      <c r="M330" s="2" t="str">
        <f>IFERROR(__xludf.DUMMYFUNCTION("GOOGLETRANSLATE(C330,""en"",""ur"")"),"پرسکون اور پر سکون")</f>
        <v>پرسکون اور پر سکون</v>
      </c>
      <c r="N330" s="2" t="str">
        <f>IFERROR(__xludf.DUMMYFUNCTION("GOOGLETRANSLATE(D330,""en"",""ur"")"),"خوف زدہ اور بے چین")</f>
        <v>خوف زدہ اور بے چین</v>
      </c>
      <c r="O330" s="2" t="str">
        <f>IFERROR(__xludf.DUMMYFUNCTION("GOOGLETRANSLATE(E330,""en"",""ur"")"),"کشیدہ اور شدید")</f>
        <v>کشیدہ اور شدید</v>
      </c>
      <c r="P330" s="2" t="str">
        <f>IFERROR(__xludf.DUMMYFUNCTION("GOOGLETRANSLATE(F330,""en"",""ur"")"),"خوش اور مسکراتے ہوئے۔")</f>
        <v>خوش اور مسکراتے ہوئے۔</v>
      </c>
      <c r="Q330" s="2" t="s">
        <v>51</v>
      </c>
      <c r="R330" s="2" t="str">
        <f>IFERROR(__xludf.DUMMYFUNCTION("GOOGLETRANSLATE(G330,""en"",""ur"")"),"کشیدہ اور شدید")</f>
        <v>کشیدہ اور شدید</v>
      </c>
      <c r="S330" s="6" t="s">
        <v>1167</v>
      </c>
    </row>
    <row r="331">
      <c r="A331" s="7">
        <v>330.0</v>
      </c>
      <c r="B331" s="6" t="s">
        <v>260</v>
      </c>
      <c r="C331" s="6" t="s">
        <v>261</v>
      </c>
      <c r="D331" s="6" t="s">
        <v>262</v>
      </c>
      <c r="E331" s="6" t="s">
        <v>263</v>
      </c>
      <c r="F331" s="6" t="s">
        <v>1001</v>
      </c>
      <c r="G331" s="6" t="s">
        <v>1001</v>
      </c>
      <c r="H331" s="6" t="s">
        <v>1167</v>
      </c>
      <c r="K331" s="2" t="str">
        <f>IFERROR(__xludf.DUMMYFUNCTION("GOOGLETRANSLATE(A331,""en"",""ur"")"),"330")</f>
        <v>330</v>
      </c>
      <c r="L331" s="2" t="str">
        <f>IFERROR(__xludf.DUMMYFUNCTION("GOOGLETRANSLATE(B331,""en"",""ur"")"),"تصویر میں ایکشن ایک ایسا انداز تجویز کرتا ہے جو اس بات پر زور دیتا ہے...")</f>
        <v>تصویر میں ایکشن ایک ایسا انداز تجویز کرتا ہے جو اس بات پر زور دیتا ہے...</v>
      </c>
      <c r="M331" s="2" t="str">
        <f>IFERROR(__xludf.DUMMYFUNCTION("GOOGLETRANSLATE(C331,""en"",""ur"")"),"روانی اور قلابازیاں")</f>
        <v>روانی اور قلابازیاں</v>
      </c>
      <c r="N331" s="2" t="str">
        <f>IFERROR(__xludf.DUMMYFUNCTION("GOOGLETRANSLATE(D331,""en"",""ur"")"),"زمینی لڑائی اور گرفت")</f>
        <v>زمینی لڑائی اور گرفت</v>
      </c>
      <c r="O331" s="2" t="str">
        <f>IFERROR(__xludf.DUMMYFUNCTION("GOOGLETRANSLATE(E331,""en"",""ur"")"),"وحشیانہ قوت اور گھڑ سواری۔")</f>
        <v>وحشیانہ قوت اور گھڑ سواری۔</v>
      </c>
      <c r="P331" s="2" t="str">
        <f>IFERROR(__xludf.DUMMYFUNCTION("GOOGLETRANSLATE(F331,""en"",""ur"")"),"رفتار، درستگی اور چستی")</f>
        <v>رفتار، درستگی اور چستی</v>
      </c>
      <c r="Q331" s="2" t="s">
        <v>1002</v>
      </c>
      <c r="R331" s="2" t="str">
        <f>IFERROR(__xludf.DUMMYFUNCTION("GOOGLETRANSLATE(G331,""en"",""ur"")"),"رفتار، درستگی اور چستی")</f>
        <v>رفتار، درستگی اور چستی</v>
      </c>
      <c r="S331" s="6" t="s">
        <v>1167</v>
      </c>
    </row>
    <row r="332">
      <c r="A332" s="7">
        <v>331.0</v>
      </c>
      <c r="B332" s="6" t="s">
        <v>1169</v>
      </c>
      <c r="C332" s="6" t="s">
        <v>958</v>
      </c>
      <c r="D332" s="6" t="s">
        <v>959</v>
      </c>
      <c r="E332" s="6" t="s">
        <v>960</v>
      </c>
      <c r="F332" s="6" t="s">
        <v>961</v>
      </c>
      <c r="G332" s="6" t="s">
        <v>959</v>
      </c>
      <c r="H332" s="6" t="s">
        <v>1170</v>
      </c>
      <c r="K332" s="2" t="str">
        <f>IFERROR(__xludf.DUMMYFUNCTION("GOOGLETRANSLATE(A332,""en"",""ur"")"),"331")</f>
        <v>331</v>
      </c>
      <c r="L332" s="2" t="str">
        <f>IFERROR(__xludf.DUMMYFUNCTION("GOOGLETRANSLATE(B332,""en"",""ur"")"),"tent_pegging_75 میں دکھائی جانے والی اہم کارروائی کیا ہے؟")</f>
        <v>tent_pegging_75 میں دکھائی جانے والی اہم کارروائی کیا ہے؟</v>
      </c>
      <c r="M332" s="2" t="str">
        <f>IFERROR(__xludf.DUMMYFUNCTION("GOOGLETRANSLATE(C332,""en"",""ur"")"),"گھوڑے کی پیٹھ پر کرتب دکھاتے ہوئے سوار")</f>
        <v>گھوڑے کی پیٹھ پر کرتب دکھاتے ہوئے سوار</v>
      </c>
      <c r="N332" s="2" t="str">
        <f>IFERROR(__xludf.DUMMYFUNCTION("GOOGLETRANSLATE(D332,""en"",""ur"")"),"ٹینٹ پیگنگ ایونٹ میں مقابلہ کرنے والا سوار")</f>
        <v>ٹینٹ پیگنگ ایونٹ میں مقابلہ کرنے والا سوار</v>
      </c>
      <c r="O332" s="2" t="str">
        <f>IFERROR(__xludf.DUMMYFUNCTION("GOOGLETRANSLATE(E332,""en"",""ur"")"),"گھوڑوں کی دوڑ میں سوار")</f>
        <v>گھوڑوں کی دوڑ میں سوار</v>
      </c>
      <c r="P332" s="2" t="str">
        <f>IFERROR(__xludf.DUMMYFUNCTION("GOOGLETRANSLATE(F332,""en"",""ur"")"),"ایک سوار پریڈ کی قیادت کر رہا ہے۔")</f>
        <v>ایک سوار پریڈ کی قیادت کر رہا ہے۔</v>
      </c>
      <c r="Q332" s="2" t="s">
        <v>1029</v>
      </c>
      <c r="R332" s="2" t="str">
        <f>IFERROR(__xludf.DUMMYFUNCTION("GOOGLETRANSLATE(G332,""en"",""ur"")"),"ٹینٹ پیگنگ ایونٹ میں مقابلہ کرنے والا سوار")</f>
        <v>ٹینٹ پیگنگ ایونٹ میں مقابلہ کرنے والا سوار</v>
      </c>
      <c r="S332" s="6" t="s">
        <v>1170</v>
      </c>
    </row>
    <row r="333">
      <c r="A333" s="7">
        <v>332.0</v>
      </c>
      <c r="B333" s="6" t="s">
        <v>963</v>
      </c>
      <c r="C333" s="6" t="s">
        <v>964</v>
      </c>
      <c r="D333" s="6" t="s">
        <v>1162</v>
      </c>
      <c r="E333" s="6" t="s">
        <v>966</v>
      </c>
      <c r="F333" s="6" t="s">
        <v>967</v>
      </c>
      <c r="G333" s="6" t="s">
        <v>1162</v>
      </c>
      <c r="H333" s="6" t="s">
        <v>1170</v>
      </c>
      <c r="K333" s="2" t="str">
        <f>IFERROR(__xludf.DUMMYFUNCTION("GOOGLETRANSLATE(A333,""en"",""ur"")"),"332")</f>
        <v>332</v>
      </c>
      <c r="L333" s="2" t="str">
        <f>IFERROR(__xludf.DUMMYFUNCTION("GOOGLETRANSLATE(B333,""en"",""ur"")"),"سوار کے لباس کے بارے میں ایک قابل ذکر تفصیل کیا ہے؟")</f>
        <v>سوار کے لباس کے بارے میں ایک قابل ذکر تفصیل کیا ہے؟</v>
      </c>
      <c r="M333" s="2" t="str">
        <f>IFERROR(__xludf.DUMMYFUNCTION("GOOGLETRANSLATE(C333,""en"",""ur"")"),"ایک رسمی سوٹ اور ٹائی")</f>
        <v>ایک رسمی سوٹ اور ٹائی</v>
      </c>
      <c r="N333" s="2" t="str">
        <f>IFERROR(__xludf.DUMMYFUNCTION("GOOGLETRANSLATE(D333,""en"",""ur"")"),"پگڑی اور بنیان کے ساتھ سفید روایتی لباس")</f>
        <v>پگڑی اور بنیان کے ساتھ سفید روایتی لباس</v>
      </c>
      <c r="O333" s="2" t="str">
        <f>IFERROR(__xludf.DUMMYFUNCTION("GOOGLETRANSLATE(E333,""en"",""ur"")"),"فوجی وردی")</f>
        <v>فوجی وردی</v>
      </c>
      <c r="P333" s="2" t="str">
        <f>IFERROR(__xludf.DUMMYFUNCTION("GOOGLETRANSLATE(F333,""en"",""ur"")"),"ایک جدید کھیلوں کا یونیفارم")</f>
        <v>ایک جدید کھیلوں کا یونیفارم</v>
      </c>
      <c r="Q333" s="2" t="s">
        <v>1163</v>
      </c>
      <c r="R333" s="2" t="str">
        <f>IFERROR(__xludf.DUMMYFUNCTION("GOOGLETRANSLATE(G333,""en"",""ur"")"),"پگڑی اور بنیان کے ساتھ سفید روایتی لباس")</f>
        <v>پگڑی اور بنیان کے ساتھ سفید روایتی لباس</v>
      </c>
      <c r="S333" s="6" t="s">
        <v>1170</v>
      </c>
    </row>
    <row r="334">
      <c r="A334" s="7">
        <v>333.0</v>
      </c>
      <c r="B334" s="6" t="s">
        <v>969</v>
      </c>
      <c r="C334" s="6" t="s">
        <v>970</v>
      </c>
      <c r="D334" s="6" t="s">
        <v>971</v>
      </c>
      <c r="E334" s="6" t="s">
        <v>972</v>
      </c>
      <c r="F334" s="6" t="s">
        <v>973</v>
      </c>
      <c r="G334" s="6" t="s">
        <v>972</v>
      </c>
      <c r="H334" s="6" t="s">
        <v>1170</v>
      </c>
      <c r="K334" s="2" t="str">
        <f>IFERROR(__xludf.DUMMYFUNCTION("GOOGLETRANSLATE(A334,""en"",""ur"")"),"333")</f>
        <v>333</v>
      </c>
      <c r="L334" s="2" t="str">
        <f>IFERROR(__xludf.DUMMYFUNCTION("GOOGLETRANSLATE(B334,""en"",""ur"")"),"سوار نے جو لمبی چھڑی پکڑی ہوئی ہے اس کا ظاہری مقصد کیا ہے؟")</f>
        <v>سوار نے جو لمبی چھڑی پکڑی ہوئی ہے اس کا ظاہری مقصد کیا ہے؟</v>
      </c>
      <c r="M334" s="2" t="str">
        <f>IFERROR(__xludf.DUMMYFUNCTION("GOOGLETRANSLATE(C334,""en"",""ur"")"),"گھوڑے کی رہنمائی کے لیے")</f>
        <v>گھوڑے کی رہنمائی کے لیے</v>
      </c>
      <c r="N334" s="2" t="str">
        <f>IFERROR(__xludf.DUMMYFUNCTION("GOOGLETRANSLATE(D334,""en"",""ur"")"),"توازن کے لیے زمین سے ٹکرانا")</f>
        <v>توازن کے لیے زمین سے ٹکرانا</v>
      </c>
      <c r="O334" s="2" t="str">
        <f>IFERROR(__xludf.DUMMYFUNCTION("GOOGLETRANSLATE(E334,""en"",""ur"")"),"زمین پر چھوٹے اہداف کو نشانہ بنانا")</f>
        <v>زمین پر چھوٹے اہداف کو نشانہ بنانا</v>
      </c>
      <c r="P334" s="2" t="str">
        <f>IFERROR(__xludf.DUMMYFUNCTION("GOOGLETRANSLATE(F334,""en"",""ur"")"),"بطور ہتھیار استعمال کرنا")</f>
        <v>بطور ہتھیار استعمال کرنا</v>
      </c>
      <c r="Q334" s="2" t="s">
        <v>974</v>
      </c>
      <c r="R334" s="2" t="str">
        <f>IFERROR(__xludf.DUMMYFUNCTION("GOOGLETRANSLATE(G334,""en"",""ur"")"),"زمین پر چھوٹے اہداف کو نشانہ بنانا")</f>
        <v>زمین پر چھوٹے اہداف کو نشانہ بنانا</v>
      </c>
      <c r="S334" s="6" t="s">
        <v>1170</v>
      </c>
    </row>
    <row r="335">
      <c r="A335" s="7">
        <v>334.0</v>
      </c>
      <c r="B335" s="6" t="s">
        <v>310</v>
      </c>
      <c r="C335" s="6" t="s">
        <v>429</v>
      </c>
      <c r="D335" s="6" t="s">
        <v>975</v>
      </c>
      <c r="E335" s="6" t="s">
        <v>976</v>
      </c>
      <c r="F335" s="6" t="s">
        <v>977</v>
      </c>
      <c r="G335" s="6" t="s">
        <v>975</v>
      </c>
      <c r="H335" s="6" t="s">
        <v>1170</v>
      </c>
      <c r="K335" s="2" t="str">
        <f>IFERROR(__xludf.DUMMYFUNCTION("GOOGLETRANSLATE(A335,""en"",""ur"")"),"334")</f>
        <v>334</v>
      </c>
      <c r="L335" s="2" t="str">
        <f>IFERROR(__xludf.DUMMYFUNCTION("GOOGLETRANSLATE(B335,""en"",""ur"")"),"سوار کی ظاہری باڈی پوزیشن کیا ہے؟")</f>
        <v>سوار کی ظاہری باڈی پوزیشن کیا ہے؟</v>
      </c>
      <c r="M335" s="2" t="str">
        <f>IFERROR(__xludf.DUMMYFUNCTION("GOOGLETRANSLATE(C335,""en"",""ur"")"),"سیدھا کھڑا ہونا")</f>
        <v>سیدھا کھڑا ہونا</v>
      </c>
      <c r="N335" s="2" t="str">
        <f>IFERROR(__xludf.DUMMYFUNCTION("GOOGLETRANSLATE(D335,""en"",""ur"")"),"نیچے اور طرف جھکنا")</f>
        <v>نیچے اور طرف جھکنا</v>
      </c>
      <c r="O335" s="2" t="str">
        <f>IFERROR(__xludf.DUMMYFUNCTION("GOOGLETRANSLATE(E335,""en"",""ur"")"),"گھوڑے کی پیٹھ پر لیٹنا")</f>
        <v>گھوڑے کی پیٹھ پر لیٹنا</v>
      </c>
      <c r="P335" s="2" t="str">
        <f>IFERROR(__xludf.DUMMYFUNCTION("GOOGLETRANSLATE(F335,""en"",""ur"")"),"آرام سے بیٹھ گیا۔")</f>
        <v>آرام سے بیٹھ گیا۔</v>
      </c>
      <c r="Q335" s="2" t="s">
        <v>978</v>
      </c>
      <c r="R335" s="2" t="str">
        <f>IFERROR(__xludf.DUMMYFUNCTION("GOOGLETRANSLATE(G335,""en"",""ur"")"),"نیچے اور طرف جھکنا")</f>
        <v>نیچے اور طرف جھکنا</v>
      </c>
      <c r="S335" s="6" t="s">
        <v>1170</v>
      </c>
    </row>
    <row r="336">
      <c r="A336" s="7">
        <v>335.0</v>
      </c>
      <c r="B336" s="6" t="s">
        <v>979</v>
      </c>
      <c r="C336" s="6" t="s">
        <v>980</v>
      </c>
      <c r="D336" s="6" t="s">
        <v>981</v>
      </c>
      <c r="E336" s="6" t="s">
        <v>982</v>
      </c>
      <c r="F336" s="6" t="s">
        <v>983</v>
      </c>
      <c r="G336" s="6" t="s">
        <v>982</v>
      </c>
      <c r="H336" s="6" t="s">
        <v>1170</v>
      </c>
      <c r="K336" s="2" t="str">
        <f>IFERROR(__xludf.DUMMYFUNCTION("GOOGLETRANSLATE(A336,""en"",""ur"")"),"335")</f>
        <v>335</v>
      </c>
      <c r="L336" s="2" t="str">
        <f>IFERROR(__xludf.DUMMYFUNCTION("GOOGLETRANSLATE(B336,""en"",""ur"")"),"گھوڑے کے پیچھے زمین کی ظاہری حالت کیا ہے؟")</f>
        <v>گھوڑے کے پیچھے زمین کی ظاہری حالت کیا ہے؟</v>
      </c>
      <c r="M336" s="2" t="str">
        <f>IFERROR(__xludf.DUMMYFUNCTION("GOOGLETRANSLATE(C336,""en"",""ur"")"),"بالکل ہموار")</f>
        <v>بالکل ہموار</v>
      </c>
      <c r="N336" s="2" t="str">
        <f>IFERROR(__xludf.DUMMYFUNCTION("GOOGLETRANSLATE(D336,""en"",""ur"")"),"تازہ گھاس میں ڈھکا ہوا ہے۔")</f>
        <v>تازہ گھاس میں ڈھکا ہوا ہے۔</v>
      </c>
      <c r="O336" s="2" t="str">
        <f>IFERROR(__xludf.DUMMYFUNCTION("GOOGLETRANSLATE(E336,""en"",""ur"")"),"غبار کے بادل میں اُٹھ گیا۔")</f>
        <v>غبار کے بادل میں اُٹھ گیا۔</v>
      </c>
      <c r="P336" s="2" t="str">
        <f>IFERROR(__xludf.DUMMYFUNCTION("GOOGLETRANSLATE(F336,""en"",""ur"")"),"پانی سے بھرا ہوا ۔")</f>
        <v>پانی سے بھرا ہوا ۔</v>
      </c>
      <c r="Q336" s="2" t="s">
        <v>984</v>
      </c>
      <c r="R336" s="2" t="str">
        <f>IFERROR(__xludf.DUMMYFUNCTION("GOOGLETRANSLATE(G336,""en"",""ur"")"),"غبار کے بادل میں اُٹھ گیا۔")</f>
        <v>غبار کے بادل میں اُٹھ گیا۔</v>
      </c>
      <c r="S336" s="6" t="s">
        <v>1170</v>
      </c>
    </row>
    <row r="337">
      <c r="A337" s="7">
        <v>336.0</v>
      </c>
      <c r="B337" s="6" t="s">
        <v>985</v>
      </c>
      <c r="C337" s="6" t="s">
        <v>986</v>
      </c>
      <c r="D337" s="6" t="s">
        <v>1032</v>
      </c>
      <c r="E337" s="6" t="s">
        <v>988</v>
      </c>
      <c r="F337" s="6" t="s">
        <v>989</v>
      </c>
      <c r="G337" s="6" t="s">
        <v>1032</v>
      </c>
      <c r="H337" s="6" t="s">
        <v>1170</v>
      </c>
      <c r="K337" s="2" t="str">
        <f>IFERROR(__xludf.DUMMYFUNCTION("GOOGLETRANSLATE(A337,""en"",""ur"")"),"336")</f>
        <v>336</v>
      </c>
      <c r="L337" s="2" t="str">
        <f>IFERROR(__xludf.DUMMYFUNCTION("GOOGLETRANSLATE(B337,""en"",""ur"")"),"گھوڑے کے ٹیک کی سب سے نمایاں خصوصیت کیا ہے؟")</f>
        <v>گھوڑے کے ٹیک کی سب سے نمایاں خصوصیت کیا ہے؟</v>
      </c>
      <c r="M337" s="2" t="str">
        <f>IFERROR(__xludf.DUMMYFUNCTION("GOOGLETRANSLATE(C337,""en"",""ur"")"),"یہ ایک سادہ سی کاٹھی ہے۔")</f>
        <v>یہ ایک سادہ سی کاٹھی ہے۔</v>
      </c>
      <c r="N337" s="2" t="str">
        <f>IFERROR(__xludf.DUMMYFUNCTION("GOOGLETRANSLATE(D337,""en"",""ur"")"),"یہ سرخ آرائش کے ساتھ ایک انتہائی آرائشی کاٹھی ہے۔")</f>
        <v>یہ سرخ آرائش کے ساتھ ایک انتہائی آرائشی کاٹھی ہے۔</v>
      </c>
      <c r="O337" s="2" t="str">
        <f>IFERROR(__xludf.DUMMYFUNCTION("GOOGLETRANSLATE(E337,""en"",""ur"")"),"یہ ایک ننگا پیڈ ہے۔")</f>
        <v>یہ ایک ننگا پیڈ ہے۔</v>
      </c>
      <c r="P337" s="2" t="str">
        <f>IFERROR(__xludf.DUMMYFUNCTION("GOOGLETRANSLATE(F337,""en"",""ur"")"),"یہ ایک ریسنگ سیڈل ہے۔")</f>
        <v>یہ ایک ریسنگ سیڈل ہے۔</v>
      </c>
      <c r="Q337" s="2" t="s">
        <v>1033</v>
      </c>
      <c r="R337" s="2" t="str">
        <f>IFERROR(__xludf.DUMMYFUNCTION("GOOGLETRANSLATE(G337,""en"",""ur"")"),"یہ سرخ آرائش کے ساتھ ایک انتہائی آرائشی کاٹھی ہے۔")</f>
        <v>یہ سرخ آرائش کے ساتھ ایک انتہائی آرائشی کاٹھی ہے۔</v>
      </c>
      <c r="S337" s="6" t="s">
        <v>1170</v>
      </c>
    </row>
    <row r="338">
      <c r="A338" s="7">
        <v>337.0</v>
      </c>
      <c r="B338" s="6" t="s">
        <v>991</v>
      </c>
      <c r="C338" s="6" t="s">
        <v>992</v>
      </c>
      <c r="D338" s="6" t="s">
        <v>646</v>
      </c>
      <c r="E338" s="6" t="s">
        <v>1051</v>
      </c>
      <c r="F338" s="6" t="s">
        <v>425</v>
      </c>
      <c r="G338" s="6" t="s">
        <v>1051</v>
      </c>
      <c r="H338" s="6" t="s">
        <v>1170</v>
      </c>
      <c r="K338" s="2" t="str">
        <f>IFERROR(__xludf.DUMMYFUNCTION("GOOGLETRANSLATE(A338,""en"",""ur"")"),"337")</f>
        <v>337</v>
      </c>
      <c r="L338" s="2" t="str">
        <f>IFERROR(__xludf.DUMMYFUNCTION("GOOGLETRANSLATE(B338,""en"",""ur"")"),"واقعہ کی ظاہری ترتیب کیا ہے؟")</f>
        <v>واقعہ کی ظاہری ترتیب کیا ہے؟</v>
      </c>
      <c r="M338" s="2" t="str">
        <f>IFERROR(__xludf.DUMMYFUNCTION("GOOGLETRANSLATE(C338,""en"",""ur"")"),"ایک اندرونی میدان")</f>
        <v>ایک اندرونی میدان</v>
      </c>
      <c r="N338" s="2" t="str">
        <f>IFERROR(__xludf.DUMMYFUNCTION("GOOGLETRANSLATE(D338,""en"",""ur"")"),"شہر کی ایک گلی")</f>
        <v>شہر کی ایک گلی</v>
      </c>
      <c r="O338" s="2" t="str">
        <f>IFERROR(__xludf.DUMMYFUNCTION("GOOGLETRANSLATE(E338,""en"",""ur"")"),"تماشائیوں کے ساتھ ایک بیرونی گندگی کا ٹریک")</f>
        <v>تماشائیوں کے ساتھ ایک بیرونی گندگی کا ٹریک</v>
      </c>
      <c r="P338" s="2" t="str">
        <f>IFERROR(__xludf.DUMMYFUNCTION("GOOGLETRANSLATE(F338,""en"",""ur"")"),"گھاس کا میدان")</f>
        <v>گھاس کا میدان</v>
      </c>
      <c r="Q338" s="2" t="s">
        <v>1052</v>
      </c>
      <c r="R338" s="2" t="str">
        <f>IFERROR(__xludf.DUMMYFUNCTION("GOOGLETRANSLATE(G338,""en"",""ur"")"),"تماشائیوں کے ساتھ ایک بیرونی گندگی کا ٹریک")</f>
        <v>تماشائیوں کے ساتھ ایک بیرونی گندگی کا ٹریک</v>
      </c>
      <c r="S338" s="6" t="s">
        <v>1170</v>
      </c>
    </row>
    <row r="339">
      <c r="A339" s="7">
        <v>338.0</v>
      </c>
      <c r="B339" s="6" t="s">
        <v>1036</v>
      </c>
      <c r="C339" s="6" t="s">
        <v>95</v>
      </c>
      <c r="D339" s="6" t="s">
        <v>96</v>
      </c>
      <c r="E339" s="6" t="s">
        <v>1015</v>
      </c>
      <c r="F339" s="6" t="s">
        <v>258</v>
      </c>
      <c r="G339" s="6" t="s">
        <v>1015</v>
      </c>
      <c r="H339" s="6" t="s">
        <v>1170</v>
      </c>
      <c r="K339" s="2" t="str">
        <f>IFERROR(__xludf.DUMMYFUNCTION("GOOGLETRANSLATE(A339,""en"",""ur"")"),"338")</f>
        <v>338</v>
      </c>
      <c r="L339" s="2" t="str">
        <f>IFERROR(__xludf.DUMMYFUNCTION("GOOGLETRANSLATE(B339,""en"",""ur"")"),"کھیل کا نام کیا ہے؟")</f>
        <v>کھیل کا نام کیا ہے؟</v>
      </c>
      <c r="M339" s="2" t="str">
        <f>IFERROR(__xludf.DUMMYFUNCTION("GOOGLETRANSLATE(C339,""en"",""ur"")"),"پولو")</f>
        <v>پولو</v>
      </c>
      <c r="N339" s="2" t="str">
        <f>IFERROR(__xludf.DUMMYFUNCTION("GOOGLETRANSLATE(D339,""en"",""ur"")"),"گھوڑوں کی دوڑ")</f>
        <v>گھوڑوں کی دوڑ</v>
      </c>
      <c r="O339" s="2" t="str">
        <f>IFERROR(__xludf.DUMMYFUNCTION("GOOGLETRANSLATE(E339,""en"",""ur"")"),"ٹینٹ پیگنگ")</f>
        <v>ٹینٹ پیگنگ</v>
      </c>
      <c r="P339" s="2" t="str">
        <f>IFERROR(__xludf.DUMMYFUNCTION("GOOGLETRANSLATE(F339,""en"",""ur"")"),"گھڑ سواری کے کھیل")</f>
        <v>گھڑ سواری کے کھیل</v>
      </c>
      <c r="Q339" s="2" t="s">
        <v>1016</v>
      </c>
      <c r="R339" s="2" t="str">
        <f>IFERROR(__xludf.DUMMYFUNCTION("GOOGLETRANSLATE(G339,""en"",""ur"")"),"ٹینٹ پیگنگ")</f>
        <v>ٹینٹ پیگنگ</v>
      </c>
      <c r="S339" s="6" t="s">
        <v>1170</v>
      </c>
    </row>
    <row r="340">
      <c r="A340" s="7">
        <v>339.0</v>
      </c>
      <c r="B340" s="6" t="s">
        <v>316</v>
      </c>
      <c r="C340" s="6" t="s">
        <v>47</v>
      </c>
      <c r="D340" s="6" t="s">
        <v>48</v>
      </c>
      <c r="E340" s="6" t="s">
        <v>49</v>
      </c>
      <c r="F340" s="6" t="s">
        <v>50</v>
      </c>
      <c r="G340" s="6" t="s">
        <v>49</v>
      </c>
      <c r="H340" s="6" t="s">
        <v>1170</v>
      </c>
      <c r="K340" s="2" t="str">
        <f>IFERROR(__xludf.DUMMYFUNCTION("GOOGLETRANSLATE(A340,""en"",""ur"")"),"339")</f>
        <v>339</v>
      </c>
      <c r="L340" s="2" t="str">
        <f>IFERROR(__xludf.DUMMYFUNCTION("GOOGLETRANSLATE(B340,""en"",""ur"")"),"سوار کے چہرے سے ظاہری جذبات کیا ہیں؟")</f>
        <v>سوار کے چہرے سے ظاہری جذبات کیا ہیں؟</v>
      </c>
      <c r="M340" s="2" t="str">
        <f>IFERROR(__xludf.DUMMYFUNCTION("GOOGLETRANSLATE(C340,""en"",""ur"")"),"پرسکون اور پر سکون")</f>
        <v>پرسکون اور پر سکون</v>
      </c>
      <c r="N340" s="2" t="str">
        <f>IFERROR(__xludf.DUMMYFUNCTION("GOOGLETRANSLATE(D340,""en"",""ur"")"),"خوف زدہ اور بے چین")</f>
        <v>خوف زدہ اور بے چین</v>
      </c>
      <c r="O340" s="2" t="str">
        <f>IFERROR(__xludf.DUMMYFUNCTION("GOOGLETRANSLATE(E340,""en"",""ur"")"),"کشیدہ اور شدید")</f>
        <v>کشیدہ اور شدید</v>
      </c>
      <c r="P340" s="2" t="str">
        <f>IFERROR(__xludf.DUMMYFUNCTION("GOOGLETRANSLATE(F340,""en"",""ur"")"),"خوش اور مسکراتے ہوئے۔")</f>
        <v>خوش اور مسکراتے ہوئے۔</v>
      </c>
      <c r="Q340" s="2" t="s">
        <v>51</v>
      </c>
      <c r="R340" s="2" t="str">
        <f>IFERROR(__xludf.DUMMYFUNCTION("GOOGLETRANSLATE(G340,""en"",""ur"")"),"کشیدہ اور شدید")</f>
        <v>کشیدہ اور شدید</v>
      </c>
      <c r="S340" s="6" t="s">
        <v>1170</v>
      </c>
    </row>
    <row r="341">
      <c r="A341" s="7">
        <v>340.0</v>
      </c>
      <c r="B341" s="6" t="s">
        <v>260</v>
      </c>
      <c r="C341" s="6" t="s">
        <v>261</v>
      </c>
      <c r="D341" s="6" t="s">
        <v>262</v>
      </c>
      <c r="E341" s="6" t="s">
        <v>263</v>
      </c>
      <c r="F341" s="6" t="s">
        <v>1001</v>
      </c>
      <c r="G341" s="6" t="s">
        <v>1001</v>
      </c>
      <c r="H341" s="6" t="s">
        <v>1170</v>
      </c>
      <c r="K341" s="2" t="str">
        <f>IFERROR(__xludf.DUMMYFUNCTION("GOOGLETRANSLATE(A341,""en"",""ur"")"),"340")</f>
        <v>340</v>
      </c>
      <c r="L341" s="2" t="str">
        <f>IFERROR(__xludf.DUMMYFUNCTION("GOOGLETRANSLATE(B341,""en"",""ur"")"),"تصویر میں ایکشن ایک ایسا انداز تجویز کرتا ہے جو اس بات پر زور دیتا ہے...")</f>
        <v>تصویر میں ایکشن ایک ایسا انداز تجویز کرتا ہے جو اس بات پر زور دیتا ہے...</v>
      </c>
      <c r="M341" s="2" t="str">
        <f>IFERROR(__xludf.DUMMYFUNCTION("GOOGLETRANSLATE(C341,""en"",""ur"")"),"روانی اور قلابازیاں")</f>
        <v>روانی اور قلابازیاں</v>
      </c>
      <c r="N341" s="2" t="str">
        <f>IFERROR(__xludf.DUMMYFUNCTION("GOOGLETRANSLATE(D341,""en"",""ur"")"),"زمینی لڑائی اور گرفت")</f>
        <v>زمینی لڑائی اور گرفت</v>
      </c>
      <c r="O341" s="2" t="str">
        <f>IFERROR(__xludf.DUMMYFUNCTION("GOOGLETRANSLATE(E341,""en"",""ur"")"),"وحشیانہ قوت اور گھڑ سواری۔")</f>
        <v>وحشیانہ قوت اور گھڑ سواری۔</v>
      </c>
      <c r="P341" s="2" t="str">
        <f>IFERROR(__xludf.DUMMYFUNCTION("GOOGLETRANSLATE(F341,""en"",""ur"")"),"رفتار، درستگی اور چستی")</f>
        <v>رفتار، درستگی اور چستی</v>
      </c>
      <c r="Q341" s="2" t="s">
        <v>1002</v>
      </c>
      <c r="R341" s="2" t="str">
        <f>IFERROR(__xludf.DUMMYFUNCTION("GOOGLETRANSLATE(G341,""en"",""ur"")"),"رفتار، درستگی اور چستی")</f>
        <v>رفتار، درستگی اور چستی</v>
      </c>
      <c r="S341" s="6" t="s">
        <v>1170</v>
      </c>
    </row>
    <row r="342">
      <c r="A342" s="7">
        <v>341.0</v>
      </c>
      <c r="B342" s="6" t="s">
        <v>1171</v>
      </c>
      <c r="C342" s="6" t="s">
        <v>958</v>
      </c>
      <c r="D342" s="6" t="s">
        <v>959</v>
      </c>
      <c r="E342" s="6" t="s">
        <v>960</v>
      </c>
      <c r="F342" s="6" t="s">
        <v>961</v>
      </c>
      <c r="G342" s="6" t="s">
        <v>959</v>
      </c>
      <c r="H342" s="6" t="s">
        <v>1172</v>
      </c>
      <c r="K342" s="2" t="str">
        <f>IFERROR(__xludf.DUMMYFUNCTION("GOOGLETRANSLATE(A342,""en"",""ur"")"),"341")</f>
        <v>341</v>
      </c>
      <c r="L342" s="2" t="str">
        <f>IFERROR(__xludf.DUMMYFUNCTION("GOOGLETRANSLATE(B342,""en"",""ur"")"),"tent_pegging_76 میں دکھائی جانے والی اہم کارروائی کیا ہے؟")</f>
        <v>tent_pegging_76 میں دکھائی جانے والی اہم کارروائی کیا ہے؟</v>
      </c>
      <c r="M342" s="2" t="str">
        <f>IFERROR(__xludf.DUMMYFUNCTION("GOOGLETRANSLATE(C342,""en"",""ur"")"),"گھوڑے کی پیٹھ پر کرتب دکھاتے ہوئے سوار")</f>
        <v>گھوڑے کی پیٹھ پر کرتب دکھاتے ہوئے سوار</v>
      </c>
      <c r="N342" s="2" t="str">
        <f>IFERROR(__xludf.DUMMYFUNCTION("GOOGLETRANSLATE(D342,""en"",""ur"")"),"ٹینٹ پیگنگ ایونٹ میں مقابلہ کرنے والا سوار")</f>
        <v>ٹینٹ پیگنگ ایونٹ میں مقابلہ کرنے والا سوار</v>
      </c>
      <c r="O342" s="2" t="str">
        <f>IFERROR(__xludf.DUMMYFUNCTION("GOOGLETRANSLATE(E342,""en"",""ur"")"),"گھوڑوں کی دوڑ میں سوار")</f>
        <v>گھوڑوں کی دوڑ میں سوار</v>
      </c>
      <c r="P342" s="2" t="str">
        <f>IFERROR(__xludf.DUMMYFUNCTION("GOOGLETRANSLATE(F342,""en"",""ur"")"),"ایک سوار پریڈ کی قیادت کر رہا ہے۔")</f>
        <v>ایک سوار پریڈ کی قیادت کر رہا ہے۔</v>
      </c>
      <c r="Q342" s="2" t="s">
        <v>1029</v>
      </c>
      <c r="R342" s="2" t="str">
        <f>IFERROR(__xludf.DUMMYFUNCTION("GOOGLETRANSLATE(G342,""en"",""ur"")"),"ٹینٹ پیگنگ ایونٹ میں مقابلہ کرنے والا سوار")</f>
        <v>ٹینٹ پیگنگ ایونٹ میں مقابلہ کرنے والا سوار</v>
      </c>
      <c r="S342" s="6" t="s">
        <v>1172</v>
      </c>
    </row>
    <row r="343">
      <c r="A343" s="7">
        <v>342.0</v>
      </c>
      <c r="B343" s="6" t="s">
        <v>963</v>
      </c>
      <c r="C343" s="6" t="s">
        <v>964</v>
      </c>
      <c r="D343" s="6" t="s">
        <v>1173</v>
      </c>
      <c r="E343" s="6" t="s">
        <v>966</v>
      </c>
      <c r="F343" s="6" t="s">
        <v>967</v>
      </c>
      <c r="G343" s="6" t="s">
        <v>1173</v>
      </c>
      <c r="H343" s="6" t="s">
        <v>1172</v>
      </c>
      <c r="K343" s="2" t="str">
        <f>IFERROR(__xludf.DUMMYFUNCTION("GOOGLETRANSLATE(A343,""en"",""ur"")"),"342")</f>
        <v>342</v>
      </c>
      <c r="L343" s="2" t="str">
        <f>IFERROR(__xludf.DUMMYFUNCTION("GOOGLETRANSLATE(B343,""en"",""ur"")"),"سوار کے لباس کے بارے میں ایک قابل ذکر تفصیل کیا ہے؟")</f>
        <v>سوار کے لباس کے بارے میں ایک قابل ذکر تفصیل کیا ہے؟</v>
      </c>
      <c r="M343" s="2" t="str">
        <f>IFERROR(__xludf.DUMMYFUNCTION("GOOGLETRANSLATE(C343,""en"",""ur"")"),"ایک رسمی سوٹ اور ٹائی")</f>
        <v>ایک رسمی سوٹ اور ٹائی</v>
      </c>
      <c r="N343" s="2" t="str">
        <f>IFERROR(__xludf.DUMMYFUNCTION("GOOGLETRANSLATE(D343,""en"",""ur"")"),"سبز پگڑی اور بنیان والا سفید روایتی لباس")</f>
        <v>سبز پگڑی اور بنیان والا سفید روایتی لباس</v>
      </c>
      <c r="O343" s="2" t="str">
        <f>IFERROR(__xludf.DUMMYFUNCTION("GOOGLETRANSLATE(E343,""en"",""ur"")"),"فوجی وردی")</f>
        <v>فوجی وردی</v>
      </c>
      <c r="P343" s="2" t="str">
        <f>IFERROR(__xludf.DUMMYFUNCTION("GOOGLETRANSLATE(F343,""en"",""ur"")"),"ایک جدید کھیلوں کا یونیفارم")</f>
        <v>ایک جدید کھیلوں کا یونیفارم</v>
      </c>
      <c r="Q343" s="2" t="s">
        <v>1174</v>
      </c>
      <c r="R343" s="2" t="str">
        <f>IFERROR(__xludf.DUMMYFUNCTION("GOOGLETRANSLATE(G343,""en"",""ur"")"),"سبز پگڑی اور بنیان والا سفید روایتی لباس")</f>
        <v>سبز پگڑی اور بنیان والا سفید روایتی لباس</v>
      </c>
      <c r="S343" s="6" t="s">
        <v>1172</v>
      </c>
    </row>
    <row r="344">
      <c r="A344" s="7">
        <v>343.0</v>
      </c>
      <c r="B344" s="6" t="s">
        <v>969</v>
      </c>
      <c r="C344" s="6" t="s">
        <v>970</v>
      </c>
      <c r="D344" s="6" t="s">
        <v>971</v>
      </c>
      <c r="E344" s="6" t="s">
        <v>972</v>
      </c>
      <c r="F344" s="6" t="s">
        <v>973</v>
      </c>
      <c r="G344" s="6" t="s">
        <v>972</v>
      </c>
      <c r="H344" s="6" t="s">
        <v>1172</v>
      </c>
      <c r="K344" s="2" t="str">
        <f>IFERROR(__xludf.DUMMYFUNCTION("GOOGLETRANSLATE(A344,""en"",""ur"")"),"343")</f>
        <v>343</v>
      </c>
      <c r="L344" s="2" t="str">
        <f>IFERROR(__xludf.DUMMYFUNCTION("GOOGLETRANSLATE(B344,""en"",""ur"")"),"سوار نے جو لمبی چھڑی پکڑی ہوئی ہے اس کا ظاہری مقصد کیا ہے؟")</f>
        <v>سوار نے جو لمبی چھڑی پکڑی ہوئی ہے اس کا ظاہری مقصد کیا ہے؟</v>
      </c>
      <c r="M344" s="2" t="str">
        <f>IFERROR(__xludf.DUMMYFUNCTION("GOOGLETRANSLATE(C344,""en"",""ur"")"),"گھوڑے کی رہنمائی کے لیے")</f>
        <v>گھوڑے کی رہنمائی کے لیے</v>
      </c>
      <c r="N344" s="2" t="str">
        <f>IFERROR(__xludf.DUMMYFUNCTION("GOOGLETRANSLATE(D344,""en"",""ur"")"),"توازن کے لیے زمین سے ٹکرانا")</f>
        <v>توازن کے لیے زمین سے ٹکرانا</v>
      </c>
      <c r="O344" s="2" t="str">
        <f>IFERROR(__xludf.DUMMYFUNCTION("GOOGLETRANSLATE(E344,""en"",""ur"")"),"زمین پر چھوٹے اہداف کو نشانہ بنانا")</f>
        <v>زمین پر چھوٹے اہداف کو نشانہ بنانا</v>
      </c>
      <c r="P344" s="2" t="str">
        <f>IFERROR(__xludf.DUMMYFUNCTION("GOOGLETRANSLATE(F344,""en"",""ur"")"),"بطور ہتھیار استعمال کرنا")</f>
        <v>بطور ہتھیار استعمال کرنا</v>
      </c>
      <c r="Q344" s="2" t="s">
        <v>974</v>
      </c>
      <c r="R344" s="2" t="str">
        <f>IFERROR(__xludf.DUMMYFUNCTION("GOOGLETRANSLATE(G344,""en"",""ur"")"),"زمین پر چھوٹے اہداف کو نشانہ بنانا")</f>
        <v>زمین پر چھوٹے اہداف کو نشانہ بنانا</v>
      </c>
      <c r="S344" s="6" t="s">
        <v>1172</v>
      </c>
    </row>
    <row r="345">
      <c r="A345" s="7">
        <v>344.0</v>
      </c>
      <c r="B345" s="6" t="s">
        <v>310</v>
      </c>
      <c r="C345" s="6" t="s">
        <v>429</v>
      </c>
      <c r="D345" s="6" t="s">
        <v>975</v>
      </c>
      <c r="E345" s="6" t="s">
        <v>976</v>
      </c>
      <c r="F345" s="6" t="s">
        <v>977</v>
      </c>
      <c r="G345" s="6" t="s">
        <v>975</v>
      </c>
      <c r="H345" s="6" t="s">
        <v>1172</v>
      </c>
      <c r="K345" s="2" t="str">
        <f>IFERROR(__xludf.DUMMYFUNCTION("GOOGLETRANSLATE(A345,""en"",""ur"")"),"344")</f>
        <v>344</v>
      </c>
      <c r="L345" s="2" t="str">
        <f>IFERROR(__xludf.DUMMYFUNCTION("GOOGLETRANSLATE(B345,""en"",""ur"")"),"سوار کی ظاہری باڈی پوزیشن کیا ہے؟")</f>
        <v>سوار کی ظاہری باڈی پوزیشن کیا ہے؟</v>
      </c>
      <c r="M345" s="2" t="str">
        <f>IFERROR(__xludf.DUMMYFUNCTION("GOOGLETRANSLATE(C345,""en"",""ur"")"),"سیدھا کھڑا ہونا")</f>
        <v>سیدھا کھڑا ہونا</v>
      </c>
      <c r="N345" s="2" t="str">
        <f>IFERROR(__xludf.DUMMYFUNCTION("GOOGLETRANSLATE(D345,""en"",""ur"")"),"نیچے اور طرف جھکنا")</f>
        <v>نیچے اور طرف جھکنا</v>
      </c>
      <c r="O345" s="2" t="str">
        <f>IFERROR(__xludf.DUMMYFUNCTION("GOOGLETRANSLATE(E345,""en"",""ur"")"),"گھوڑے کی پیٹھ پر لیٹنا")</f>
        <v>گھوڑے کی پیٹھ پر لیٹنا</v>
      </c>
      <c r="P345" s="2" t="str">
        <f>IFERROR(__xludf.DUMMYFUNCTION("GOOGLETRANSLATE(F345,""en"",""ur"")"),"آرام سے بیٹھ گیا۔")</f>
        <v>آرام سے بیٹھ گیا۔</v>
      </c>
      <c r="Q345" s="2" t="s">
        <v>978</v>
      </c>
      <c r="R345" s="2" t="str">
        <f>IFERROR(__xludf.DUMMYFUNCTION("GOOGLETRANSLATE(G345,""en"",""ur"")"),"نیچے اور طرف جھکنا")</f>
        <v>نیچے اور طرف جھکنا</v>
      </c>
      <c r="S345" s="6" t="s">
        <v>1172</v>
      </c>
    </row>
    <row r="346">
      <c r="A346" s="7">
        <v>345.0</v>
      </c>
      <c r="B346" s="6" t="s">
        <v>979</v>
      </c>
      <c r="C346" s="6" t="s">
        <v>980</v>
      </c>
      <c r="D346" s="6" t="s">
        <v>981</v>
      </c>
      <c r="E346" s="6" t="s">
        <v>982</v>
      </c>
      <c r="F346" s="6" t="s">
        <v>983</v>
      </c>
      <c r="G346" s="6" t="s">
        <v>982</v>
      </c>
      <c r="H346" s="6" t="s">
        <v>1172</v>
      </c>
      <c r="K346" s="2" t="str">
        <f>IFERROR(__xludf.DUMMYFUNCTION("GOOGLETRANSLATE(A346,""en"",""ur"")"),"345")</f>
        <v>345</v>
      </c>
      <c r="L346" s="2" t="str">
        <f>IFERROR(__xludf.DUMMYFUNCTION("GOOGLETRANSLATE(B346,""en"",""ur"")"),"گھوڑے کے پیچھے زمین کی ظاہری حالت کیا ہے؟")</f>
        <v>گھوڑے کے پیچھے زمین کی ظاہری حالت کیا ہے؟</v>
      </c>
      <c r="M346" s="2" t="str">
        <f>IFERROR(__xludf.DUMMYFUNCTION("GOOGLETRANSLATE(C346,""en"",""ur"")"),"بالکل ہموار")</f>
        <v>بالکل ہموار</v>
      </c>
      <c r="N346" s="2" t="str">
        <f>IFERROR(__xludf.DUMMYFUNCTION("GOOGLETRANSLATE(D346,""en"",""ur"")"),"تازہ گھاس میں ڈھکا ہوا ہے۔")</f>
        <v>تازہ گھاس میں ڈھکا ہوا ہے۔</v>
      </c>
      <c r="O346" s="2" t="str">
        <f>IFERROR(__xludf.DUMMYFUNCTION("GOOGLETRANSLATE(E346,""en"",""ur"")"),"غبار کے بادل میں اُٹھ گیا۔")</f>
        <v>غبار کے بادل میں اُٹھ گیا۔</v>
      </c>
      <c r="P346" s="2" t="str">
        <f>IFERROR(__xludf.DUMMYFUNCTION("GOOGLETRANSLATE(F346,""en"",""ur"")"),"پانی سے بھرا ہوا ۔")</f>
        <v>پانی سے بھرا ہوا ۔</v>
      </c>
      <c r="Q346" s="2" t="s">
        <v>984</v>
      </c>
      <c r="R346" s="2" t="str">
        <f>IFERROR(__xludf.DUMMYFUNCTION("GOOGLETRANSLATE(G346,""en"",""ur"")"),"غبار کے بادل میں اُٹھ گیا۔")</f>
        <v>غبار کے بادل میں اُٹھ گیا۔</v>
      </c>
      <c r="S346" s="6" t="s">
        <v>1172</v>
      </c>
    </row>
    <row r="347">
      <c r="A347" s="7">
        <v>346.0</v>
      </c>
      <c r="B347" s="6" t="s">
        <v>985</v>
      </c>
      <c r="C347" s="6" t="s">
        <v>986</v>
      </c>
      <c r="D347" s="6" t="s">
        <v>1032</v>
      </c>
      <c r="E347" s="6" t="s">
        <v>988</v>
      </c>
      <c r="F347" s="6" t="s">
        <v>989</v>
      </c>
      <c r="G347" s="6" t="s">
        <v>1032</v>
      </c>
      <c r="H347" s="6" t="s">
        <v>1172</v>
      </c>
      <c r="K347" s="2" t="str">
        <f>IFERROR(__xludf.DUMMYFUNCTION("GOOGLETRANSLATE(A347,""en"",""ur"")"),"346")</f>
        <v>346</v>
      </c>
      <c r="L347" s="2" t="str">
        <f>IFERROR(__xludf.DUMMYFUNCTION("GOOGLETRANSLATE(B347,""en"",""ur"")"),"گھوڑے کے ٹیک کی سب سے نمایاں خصوصیت کیا ہے؟")</f>
        <v>گھوڑے کے ٹیک کی سب سے نمایاں خصوصیت کیا ہے؟</v>
      </c>
      <c r="M347" s="2" t="str">
        <f>IFERROR(__xludf.DUMMYFUNCTION("GOOGLETRANSLATE(C347,""en"",""ur"")"),"یہ ایک سادہ سی کاٹھی ہے۔")</f>
        <v>یہ ایک سادہ سی کاٹھی ہے۔</v>
      </c>
      <c r="N347" s="2" t="str">
        <f>IFERROR(__xludf.DUMMYFUNCTION("GOOGLETRANSLATE(D347,""en"",""ur"")"),"یہ سرخ آرائش کے ساتھ ایک انتہائی آرائشی کاٹھی ہے۔")</f>
        <v>یہ سرخ آرائش کے ساتھ ایک انتہائی آرائشی کاٹھی ہے۔</v>
      </c>
      <c r="O347" s="2" t="str">
        <f>IFERROR(__xludf.DUMMYFUNCTION("GOOGLETRANSLATE(E347,""en"",""ur"")"),"یہ ایک ننگا پیڈ ہے۔")</f>
        <v>یہ ایک ننگا پیڈ ہے۔</v>
      </c>
      <c r="P347" s="2" t="str">
        <f>IFERROR(__xludf.DUMMYFUNCTION("GOOGLETRANSLATE(F347,""en"",""ur"")"),"یہ ایک ریسنگ سیڈل ہے۔")</f>
        <v>یہ ایک ریسنگ سیڈل ہے۔</v>
      </c>
      <c r="Q347" s="2" t="s">
        <v>1033</v>
      </c>
      <c r="R347" s="2" t="str">
        <f>IFERROR(__xludf.DUMMYFUNCTION("GOOGLETRANSLATE(G347,""en"",""ur"")"),"یہ سرخ آرائش کے ساتھ ایک انتہائی آرائشی کاٹھی ہے۔")</f>
        <v>یہ سرخ آرائش کے ساتھ ایک انتہائی آرائشی کاٹھی ہے۔</v>
      </c>
      <c r="S347" s="6" t="s">
        <v>1172</v>
      </c>
    </row>
    <row r="348">
      <c r="A348" s="7">
        <v>347.0</v>
      </c>
      <c r="B348" s="6" t="s">
        <v>991</v>
      </c>
      <c r="C348" s="6" t="s">
        <v>992</v>
      </c>
      <c r="D348" s="6" t="s">
        <v>646</v>
      </c>
      <c r="E348" s="6" t="s">
        <v>1051</v>
      </c>
      <c r="F348" s="6" t="s">
        <v>425</v>
      </c>
      <c r="G348" s="6" t="s">
        <v>1051</v>
      </c>
      <c r="H348" s="6" t="s">
        <v>1172</v>
      </c>
      <c r="K348" s="2" t="str">
        <f>IFERROR(__xludf.DUMMYFUNCTION("GOOGLETRANSLATE(A348,""en"",""ur"")"),"347")</f>
        <v>347</v>
      </c>
      <c r="L348" s="2" t="str">
        <f>IFERROR(__xludf.DUMMYFUNCTION("GOOGLETRANSLATE(B348,""en"",""ur"")"),"واقعہ کی ظاہری ترتیب کیا ہے؟")</f>
        <v>واقعہ کی ظاہری ترتیب کیا ہے؟</v>
      </c>
      <c r="M348" s="2" t="str">
        <f>IFERROR(__xludf.DUMMYFUNCTION("GOOGLETRANSLATE(C348,""en"",""ur"")"),"ایک اندرونی میدان")</f>
        <v>ایک اندرونی میدان</v>
      </c>
      <c r="N348" s="2" t="str">
        <f>IFERROR(__xludf.DUMMYFUNCTION("GOOGLETRANSLATE(D348,""en"",""ur"")"),"شہر کی ایک گلی")</f>
        <v>شہر کی ایک گلی</v>
      </c>
      <c r="O348" s="2" t="str">
        <f>IFERROR(__xludf.DUMMYFUNCTION("GOOGLETRANSLATE(E348,""en"",""ur"")"),"تماشائیوں کے ساتھ ایک بیرونی گندگی کا ٹریک")</f>
        <v>تماشائیوں کے ساتھ ایک بیرونی گندگی کا ٹریک</v>
      </c>
      <c r="P348" s="2" t="str">
        <f>IFERROR(__xludf.DUMMYFUNCTION("GOOGLETRANSLATE(F348,""en"",""ur"")"),"گھاس کا میدان")</f>
        <v>گھاس کا میدان</v>
      </c>
      <c r="Q348" s="2" t="s">
        <v>1052</v>
      </c>
      <c r="R348" s="2" t="str">
        <f>IFERROR(__xludf.DUMMYFUNCTION("GOOGLETRANSLATE(G348,""en"",""ur"")"),"تماشائیوں کے ساتھ ایک بیرونی گندگی کا ٹریک")</f>
        <v>تماشائیوں کے ساتھ ایک بیرونی گندگی کا ٹریک</v>
      </c>
      <c r="S348" s="6" t="s">
        <v>1172</v>
      </c>
    </row>
    <row r="349">
      <c r="A349" s="7">
        <v>348.0</v>
      </c>
      <c r="B349" s="6" t="s">
        <v>1036</v>
      </c>
      <c r="C349" s="6" t="s">
        <v>95</v>
      </c>
      <c r="D349" s="6" t="s">
        <v>96</v>
      </c>
      <c r="E349" s="6" t="s">
        <v>1015</v>
      </c>
      <c r="F349" s="6" t="s">
        <v>258</v>
      </c>
      <c r="G349" s="6" t="s">
        <v>1015</v>
      </c>
      <c r="H349" s="6" t="s">
        <v>1172</v>
      </c>
      <c r="K349" s="2" t="str">
        <f>IFERROR(__xludf.DUMMYFUNCTION("GOOGLETRANSLATE(A349,""en"",""ur"")"),"348")</f>
        <v>348</v>
      </c>
      <c r="L349" s="2" t="str">
        <f>IFERROR(__xludf.DUMMYFUNCTION("GOOGLETRANSLATE(B349,""en"",""ur"")"),"کھیل کا نام کیا ہے؟")</f>
        <v>کھیل کا نام کیا ہے؟</v>
      </c>
      <c r="M349" s="2" t="str">
        <f>IFERROR(__xludf.DUMMYFUNCTION("GOOGLETRANSLATE(C349,""en"",""ur"")"),"پولو")</f>
        <v>پولو</v>
      </c>
      <c r="N349" s="2" t="str">
        <f>IFERROR(__xludf.DUMMYFUNCTION("GOOGLETRANSLATE(D349,""en"",""ur"")"),"گھوڑوں کی دوڑ")</f>
        <v>گھوڑوں کی دوڑ</v>
      </c>
      <c r="O349" s="2" t="str">
        <f>IFERROR(__xludf.DUMMYFUNCTION("GOOGLETRANSLATE(E349,""en"",""ur"")"),"ٹینٹ پیگنگ")</f>
        <v>ٹینٹ پیگنگ</v>
      </c>
      <c r="P349" s="2" t="str">
        <f>IFERROR(__xludf.DUMMYFUNCTION("GOOGLETRANSLATE(F349,""en"",""ur"")"),"گھڑ سواری کے کھیل")</f>
        <v>گھڑ سواری کے کھیل</v>
      </c>
      <c r="Q349" s="2" t="s">
        <v>1016</v>
      </c>
      <c r="R349" s="2" t="str">
        <f>IFERROR(__xludf.DUMMYFUNCTION("GOOGLETRANSLATE(G349,""en"",""ur"")"),"ٹینٹ پیگنگ")</f>
        <v>ٹینٹ پیگنگ</v>
      </c>
      <c r="S349" s="6" t="s">
        <v>1172</v>
      </c>
    </row>
    <row r="350">
      <c r="A350" s="7">
        <v>349.0</v>
      </c>
      <c r="B350" s="6" t="s">
        <v>316</v>
      </c>
      <c r="C350" s="6" t="s">
        <v>47</v>
      </c>
      <c r="D350" s="6" t="s">
        <v>48</v>
      </c>
      <c r="E350" s="6" t="s">
        <v>49</v>
      </c>
      <c r="F350" s="6" t="s">
        <v>50</v>
      </c>
      <c r="G350" s="6" t="s">
        <v>49</v>
      </c>
      <c r="H350" s="6" t="s">
        <v>1172</v>
      </c>
      <c r="K350" s="2" t="str">
        <f>IFERROR(__xludf.DUMMYFUNCTION("GOOGLETRANSLATE(A350,""en"",""ur"")"),"349")</f>
        <v>349</v>
      </c>
      <c r="L350" s="2" t="str">
        <f>IFERROR(__xludf.DUMMYFUNCTION("GOOGLETRANSLATE(B350,""en"",""ur"")"),"سوار کے چہرے سے ظاہری جذبات کیا ہیں؟")</f>
        <v>سوار کے چہرے سے ظاہری جذبات کیا ہیں؟</v>
      </c>
      <c r="M350" s="2" t="str">
        <f>IFERROR(__xludf.DUMMYFUNCTION("GOOGLETRANSLATE(C350,""en"",""ur"")"),"پرسکون اور پر سکون")</f>
        <v>پرسکون اور پر سکون</v>
      </c>
      <c r="N350" s="2" t="str">
        <f>IFERROR(__xludf.DUMMYFUNCTION("GOOGLETRANSLATE(D350,""en"",""ur"")"),"خوف زدہ اور بے چین")</f>
        <v>خوف زدہ اور بے چین</v>
      </c>
      <c r="O350" s="2" t="str">
        <f>IFERROR(__xludf.DUMMYFUNCTION("GOOGLETRANSLATE(E350,""en"",""ur"")"),"کشیدہ اور شدید")</f>
        <v>کشیدہ اور شدید</v>
      </c>
      <c r="P350" s="2" t="str">
        <f>IFERROR(__xludf.DUMMYFUNCTION("GOOGLETRANSLATE(F350,""en"",""ur"")"),"خوش اور مسکراتے ہوئے۔")</f>
        <v>خوش اور مسکراتے ہوئے۔</v>
      </c>
      <c r="Q350" s="2" t="s">
        <v>51</v>
      </c>
      <c r="R350" s="2" t="str">
        <f>IFERROR(__xludf.DUMMYFUNCTION("GOOGLETRANSLATE(G350,""en"",""ur"")"),"کشیدہ اور شدید")</f>
        <v>کشیدہ اور شدید</v>
      </c>
      <c r="S350" s="6" t="s">
        <v>1172</v>
      </c>
    </row>
    <row r="351">
      <c r="A351" s="7">
        <v>350.0</v>
      </c>
      <c r="B351" s="6" t="s">
        <v>260</v>
      </c>
      <c r="C351" s="6" t="s">
        <v>261</v>
      </c>
      <c r="D351" s="6" t="s">
        <v>262</v>
      </c>
      <c r="E351" s="6" t="s">
        <v>263</v>
      </c>
      <c r="F351" s="6" t="s">
        <v>1001</v>
      </c>
      <c r="G351" s="6" t="s">
        <v>1001</v>
      </c>
      <c r="H351" s="6" t="s">
        <v>1172</v>
      </c>
      <c r="K351" s="2" t="str">
        <f>IFERROR(__xludf.DUMMYFUNCTION("GOOGLETRANSLATE(A351,""en"",""ur"")"),"350")</f>
        <v>350</v>
      </c>
      <c r="L351" s="2" t="str">
        <f>IFERROR(__xludf.DUMMYFUNCTION("GOOGLETRANSLATE(B351,""en"",""ur"")"),"تصویر میں ایکشن ایک ایسا انداز تجویز کرتا ہے جو اس بات پر زور دیتا ہے...")</f>
        <v>تصویر میں ایکشن ایک ایسا انداز تجویز کرتا ہے جو اس بات پر زور دیتا ہے...</v>
      </c>
      <c r="M351" s="2" t="str">
        <f>IFERROR(__xludf.DUMMYFUNCTION("GOOGLETRANSLATE(C351,""en"",""ur"")"),"روانی اور قلابازیاں")</f>
        <v>روانی اور قلابازیاں</v>
      </c>
      <c r="N351" s="2" t="str">
        <f>IFERROR(__xludf.DUMMYFUNCTION("GOOGLETRANSLATE(D351,""en"",""ur"")"),"زمینی لڑائی اور گرفت")</f>
        <v>زمینی لڑائی اور گرفت</v>
      </c>
      <c r="O351" s="2" t="str">
        <f>IFERROR(__xludf.DUMMYFUNCTION("GOOGLETRANSLATE(E351,""en"",""ur"")"),"وحشیانہ قوت اور گھڑ سواری۔")</f>
        <v>وحشیانہ قوت اور گھڑ سواری۔</v>
      </c>
      <c r="P351" s="2" t="str">
        <f>IFERROR(__xludf.DUMMYFUNCTION("GOOGLETRANSLATE(F351,""en"",""ur"")"),"رفتار، درستگی اور چستی")</f>
        <v>رفتار، درستگی اور چستی</v>
      </c>
      <c r="Q351" s="2" t="s">
        <v>1002</v>
      </c>
      <c r="R351" s="2" t="str">
        <f>IFERROR(__xludf.DUMMYFUNCTION("GOOGLETRANSLATE(G351,""en"",""ur"")"),"رفتار، درستگی اور چستی")</f>
        <v>رفتار، درستگی اور چستی</v>
      </c>
      <c r="S351" s="6" t="s">
        <v>1172</v>
      </c>
    </row>
    <row r="352">
      <c r="A352" s="7">
        <v>351.0</v>
      </c>
      <c r="B352" s="6" t="s">
        <v>1175</v>
      </c>
      <c r="C352" s="6" t="s">
        <v>958</v>
      </c>
      <c r="D352" s="6" t="s">
        <v>959</v>
      </c>
      <c r="E352" s="6" t="s">
        <v>960</v>
      </c>
      <c r="F352" s="6" t="s">
        <v>961</v>
      </c>
      <c r="G352" s="6" t="s">
        <v>959</v>
      </c>
      <c r="H352" s="6" t="s">
        <v>1176</v>
      </c>
      <c r="K352" s="2" t="str">
        <f>IFERROR(__xludf.DUMMYFUNCTION("GOOGLETRANSLATE(A352,""en"",""ur"")"),"351")</f>
        <v>351</v>
      </c>
      <c r="L352" s="2" t="str">
        <f>IFERROR(__xludf.DUMMYFUNCTION("GOOGLETRANSLATE(B352,""en"",""ur"")"),"tent_pegging_88 میں دکھائی جانے والی اہم کارروائی کیا ہے؟")</f>
        <v>tent_pegging_88 میں دکھائی جانے والی اہم کارروائی کیا ہے؟</v>
      </c>
      <c r="M352" s="2" t="str">
        <f>IFERROR(__xludf.DUMMYFUNCTION("GOOGLETRANSLATE(C352,""en"",""ur"")"),"گھوڑے کی پیٹھ پر کرتب دکھاتے ہوئے سوار")</f>
        <v>گھوڑے کی پیٹھ پر کرتب دکھاتے ہوئے سوار</v>
      </c>
      <c r="N352" s="2" t="str">
        <f>IFERROR(__xludf.DUMMYFUNCTION("GOOGLETRANSLATE(D352,""en"",""ur"")"),"ٹینٹ پیگنگ ایونٹ میں مقابلہ کرنے والا سوار")</f>
        <v>ٹینٹ پیگنگ ایونٹ میں مقابلہ کرنے والا سوار</v>
      </c>
      <c r="O352" s="2" t="str">
        <f>IFERROR(__xludf.DUMMYFUNCTION("GOOGLETRANSLATE(E352,""en"",""ur"")"),"گھوڑوں کی دوڑ میں سوار")</f>
        <v>گھوڑوں کی دوڑ میں سوار</v>
      </c>
      <c r="P352" s="2" t="str">
        <f>IFERROR(__xludf.DUMMYFUNCTION("GOOGLETRANSLATE(F352,""en"",""ur"")"),"ایک سوار پریڈ کی قیادت کر رہا ہے۔")</f>
        <v>ایک سوار پریڈ کی قیادت کر رہا ہے۔</v>
      </c>
      <c r="Q352" s="2" t="s">
        <v>1029</v>
      </c>
      <c r="R352" s="2" t="str">
        <f>IFERROR(__xludf.DUMMYFUNCTION("GOOGLETRANSLATE(G352,""en"",""ur"")"),"ٹینٹ پیگنگ ایونٹ میں مقابلہ کرنے والا سوار")</f>
        <v>ٹینٹ پیگنگ ایونٹ میں مقابلہ کرنے والا سوار</v>
      </c>
      <c r="S352" s="6" t="s">
        <v>1176</v>
      </c>
    </row>
    <row r="353">
      <c r="A353" s="7">
        <v>352.0</v>
      </c>
      <c r="B353" s="6" t="s">
        <v>963</v>
      </c>
      <c r="C353" s="6" t="s">
        <v>964</v>
      </c>
      <c r="D353" s="6" t="s">
        <v>965</v>
      </c>
      <c r="E353" s="6" t="s">
        <v>966</v>
      </c>
      <c r="F353" s="6" t="s">
        <v>967</v>
      </c>
      <c r="G353" s="6" t="s">
        <v>965</v>
      </c>
      <c r="H353" s="6" t="s">
        <v>1176</v>
      </c>
      <c r="K353" s="2" t="str">
        <f>IFERROR(__xludf.DUMMYFUNCTION("GOOGLETRANSLATE(A353,""en"",""ur"")"),"352")</f>
        <v>352</v>
      </c>
      <c r="L353" s="2" t="str">
        <f>IFERROR(__xludf.DUMMYFUNCTION("GOOGLETRANSLATE(B353,""en"",""ur"")"),"سوار کے لباس کے بارے میں ایک قابل ذکر تفصیل کیا ہے؟")</f>
        <v>سوار کے لباس کے بارے میں ایک قابل ذکر تفصیل کیا ہے؟</v>
      </c>
      <c r="M353" s="2" t="str">
        <f>IFERROR(__xludf.DUMMYFUNCTION("GOOGLETRANSLATE(C353,""en"",""ur"")"),"ایک رسمی سوٹ اور ٹائی")</f>
        <v>ایک رسمی سوٹ اور ٹائی</v>
      </c>
      <c r="N353" s="2" t="str">
        <f>IFERROR(__xludf.DUMMYFUNCTION("GOOGLETRANSLATE(D353,""en"",""ur"")"),"نیلی پگڑی اور بنیان والا سفید روایتی لباس")</f>
        <v>نیلی پگڑی اور بنیان والا سفید روایتی لباس</v>
      </c>
      <c r="O353" s="2" t="str">
        <f>IFERROR(__xludf.DUMMYFUNCTION("GOOGLETRANSLATE(E353,""en"",""ur"")"),"فوجی وردی")</f>
        <v>فوجی وردی</v>
      </c>
      <c r="P353" s="2" t="str">
        <f>IFERROR(__xludf.DUMMYFUNCTION("GOOGLETRANSLATE(F353,""en"",""ur"")"),"ایک جدید کھیلوں کا یونیفارم")</f>
        <v>ایک جدید کھیلوں کا یونیفارم</v>
      </c>
      <c r="Q353" s="2" t="s">
        <v>968</v>
      </c>
      <c r="R353" s="2" t="str">
        <f>IFERROR(__xludf.DUMMYFUNCTION("GOOGLETRANSLATE(G353,""en"",""ur"")"),"نیلی پگڑی اور بنیان والا سفید روایتی لباس")</f>
        <v>نیلی پگڑی اور بنیان والا سفید روایتی لباس</v>
      </c>
      <c r="S353" s="6" t="s">
        <v>1176</v>
      </c>
    </row>
    <row r="354">
      <c r="A354" s="7">
        <v>353.0</v>
      </c>
      <c r="B354" s="6" t="s">
        <v>969</v>
      </c>
      <c r="C354" s="6" t="s">
        <v>970</v>
      </c>
      <c r="D354" s="6" t="s">
        <v>971</v>
      </c>
      <c r="E354" s="6" t="s">
        <v>972</v>
      </c>
      <c r="F354" s="6" t="s">
        <v>973</v>
      </c>
      <c r="G354" s="6" t="s">
        <v>972</v>
      </c>
      <c r="H354" s="6" t="s">
        <v>1176</v>
      </c>
      <c r="K354" s="2" t="str">
        <f>IFERROR(__xludf.DUMMYFUNCTION("GOOGLETRANSLATE(A354,""en"",""ur"")"),"353")</f>
        <v>353</v>
      </c>
      <c r="L354" s="2" t="str">
        <f>IFERROR(__xludf.DUMMYFUNCTION("GOOGLETRANSLATE(B354,""en"",""ur"")"),"سوار نے جو لمبی چھڑی پکڑی ہوئی ہے اس کا ظاہری مقصد کیا ہے؟")</f>
        <v>سوار نے جو لمبی چھڑی پکڑی ہوئی ہے اس کا ظاہری مقصد کیا ہے؟</v>
      </c>
      <c r="M354" s="2" t="str">
        <f>IFERROR(__xludf.DUMMYFUNCTION("GOOGLETRANSLATE(C354,""en"",""ur"")"),"گھوڑے کی رہنمائی کے لیے")</f>
        <v>گھوڑے کی رہنمائی کے لیے</v>
      </c>
      <c r="N354" s="2" t="str">
        <f>IFERROR(__xludf.DUMMYFUNCTION("GOOGLETRANSLATE(D354,""en"",""ur"")"),"توازن کے لیے زمین سے ٹکرانا")</f>
        <v>توازن کے لیے زمین سے ٹکرانا</v>
      </c>
      <c r="O354" s="2" t="str">
        <f>IFERROR(__xludf.DUMMYFUNCTION("GOOGLETRANSLATE(E354,""en"",""ur"")"),"زمین پر چھوٹے اہداف کو نشانہ بنانا")</f>
        <v>زمین پر چھوٹے اہداف کو نشانہ بنانا</v>
      </c>
      <c r="P354" s="2" t="str">
        <f>IFERROR(__xludf.DUMMYFUNCTION("GOOGLETRANSLATE(F354,""en"",""ur"")"),"بطور ہتھیار استعمال کرنا")</f>
        <v>بطور ہتھیار استعمال کرنا</v>
      </c>
      <c r="Q354" s="2" t="s">
        <v>974</v>
      </c>
      <c r="R354" s="2" t="str">
        <f>IFERROR(__xludf.DUMMYFUNCTION("GOOGLETRANSLATE(G354,""en"",""ur"")"),"زمین پر چھوٹے اہداف کو نشانہ بنانا")</f>
        <v>زمین پر چھوٹے اہداف کو نشانہ بنانا</v>
      </c>
      <c r="S354" s="6" t="s">
        <v>1176</v>
      </c>
    </row>
    <row r="355">
      <c r="A355" s="7">
        <v>354.0</v>
      </c>
      <c r="B355" s="6" t="s">
        <v>310</v>
      </c>
      <c r="C355" s="6" t="s">
        <v>429</v>
      </c>
      <c r="D355" s="6" t="s">
        <v>975</v>
      </c>
      <c r="E355" s="6" t="s">
        <v>976</v>
      </c>
      <c r="F355" s="6" t="s">
        <v>977</v>
      </c>
      <c r="G355" s="6" t="s">
        <v>975</v>
      </c>
      <c r="H355" s="6" t="s">
        <v>1176</v>
      </c>
      <c r="K355" s="2" t="str">
        <f>IFERROR(__xludf.DUMMYFUNCTION("GOOGLETRANSLATE(A355,""en"",""ur"")"),"354")</f>
        <v>354</v>
      </c>
      <c r="L355" s="2" t="str">
        <f>IFERROR(__xludf.DUMMYFUNCTION("GOOGLETRANSLATE(B355,""en"",""ur"")"),"سوار کی ظاہری باڈی پوزیشن کیا ہے؟")</f>
        <v>سوار کی ظاہری باڈی پوزیشن کیا ہے؟</v>
      </c>
      <c r="M355" s="2" t="str">
        <f>IFERROR(__xludf.DUMMYFUNCTION("GOOGLETRANSLATE(C355,""en"",""ur"")"),"سیدھا کھڑا ہونا")</f>
        <v>سیدھا کھڑا ہونا</v>
      </c>
      <c r="N355" s="2" t="str">
        <f>IFERROR(__xludf.DUMMYFUNCTION("GOOGLETRANSLATE(D355,""en"",""ur"")"),"نیچے اور طرف جھکنا")</f>
        <v>نیچے اور طرف جھکنا</v>
      </c>
      <c r="O355" s="2" t="str">
        <f>IFERROR(__xludf.DUMMYFUNCTION("GOOGLETRANSLATE(E355,""en"",""ur"")"),"گھوڑے کی پیٹھ پر لیٹنا")</f>
        <v>گھوڑے کی پیٹھ پر لیٹنا</v>
      </c>
      <c r="P355" s="2" t="str">
        <f>IFERROR(__xludf.DUMMYFUNCTION("GOOGLETRANSLATE(F355,""en"",""ur"")"),"آرام سے بیٹھ گیا۔")</f>
        <v>آرام سے بیٹھ گیا۔</v>
      </c>
      <c r="Q355" s="2" t="s">
        <v>978</v>
      </c>
      <c r="R355" s="2" t="str">
        <f>IFERROR(__xludf.DUMMYFUNCTION("GOOGLETRANSLATE(G355,""en"",""ur"")"),"نیچے اور طرف جھکنا")</f>
        <v>نیچے اور طرف جھکنا</v>
      </c>
      <c r="S355" s="6" t="s">
        <v>1176</v>
      </c>
    </row>
    <row r="356">
      <c r="A356" s="7">
        <v>355.0</v>
      </c>
      <c r="B356" s="6" t="s">
        <v>979</v>
      </c>
      <c r="C356" s="6" t="s">
        <v>980</v>
      </c>
      <c r="D356" s="6" t="s">
        <v>981</v>
      </c>
      <c r="E356" s="6" t="s">
        <v>982</v>
      </c>
      <c r="F356" s="6" t="s">
        <v>983</v>
      </c>
      <c r="G356" s="6" t="s">
        <v>982</v>
      </c>
      <c r="H356" s="6" t="s">
        <v>1176</v>
      </c>
      <c r="K356" s="2" t="str">
        <f>IFERROR(__xludf.DUMMYFUNCTION("GOOGLETRANSLATE(A356,""en"",""ur"")"),"355")</f>
        <v>355</v>
      </c>
      <c r="L356" s="2" t="str">
        <f>IFERROR(__xludf.DUMMYFUNCTION("GOOGLETRANSLATE(B356,""en"",""ur"")"),"گھوڑے کے پیچھے زمین کی ظاہری حالت کیا ہے؟")</f>
        <v>گھوڑے کے پیچھے زمین کی ظاہری حالت کیا ہے؟</v>
      </c>
      <c r="M356" s="2" t="str">
        <f>IFERROR(__xludf.DUMMYFUNCTION("GOOGLETRANSLATE(C356,""en"",""ur"")"),"بالکل ہموار")</f>
        <v>بالکل ہموار</v>
      </c>
      <c r="N356" s="2" t="str">
        <f>IFERROR(__xludf.DUMMYFUNCTION("GOOGLETRANSLATE(D356,""en"",""ur"")"),"تازہ گھاس میں ڈھکا ہوا ہے۔")</f>
        <v>تازہ گھاس میں ڈھکا ہوا ہے۔</v>
      </c>
      <c r="O356" s="2" t="str">
        <f>IFERROR(__xludf.DUMMYFUNCTION("GOOGLETRANSLATE(E356,""en"",""ur"")"),"غبار کے بادل میں اُٹھ گیا۔")</f>
        <v>غبار کے بادل میں اُٹھ گیا۔</v>
      </c>
      <c r="P356" s="2" t="str">
        <f>IFERROR(__xludf.DUMMYFUNCTION("GOOGLETRANSLATE(F356,""en"",""ur"")"),"پانی سے بھرا ہوا ۔")</f>
        <v>پانی سے بھرا ہوا ۔</v>
      </c>
      <c r="Q356" s="2" t="s">
        <v>984</v>
      </c>
      <c r="R356" s="2" t="str">
        <f>IFERROR(__xludf.DUMMYFUNCTION("GOOGLETRANSLATE(G356,""en"",""ur"")"),"غبار کے بادل میں اُٹھ گیا۔")</f>
        <v>غبار کے بادل میں اُٹھ گیا۔</v>
      </c>
      <c r="S356" s="6" t="s">
        <v>1176</v>
      </c>
    </row>
    <row r="357">
      <c r="A357" s="7">
        <v>356.0</v>
      </c>
      <c r="B357" s="6" t="s">
        <v>985</v>
      </c>
      <c r="C357" s="6" t="s">
        <v>986</v>
      </c>
      <c r="D357" s="6" t="s">
        <v>987</v>
      </c>
      <c r="E357" s="6" t="s">
        <v>988</v>
      </c>
      <c r="F357" s="6" t="s">
        <v>989</v>
      </c>
      <c r="G357" s="6" t="s">
        <v>987</v>
      </c>
      <c r="H357" s="6" t="s">
        <v>1176</v>
      </c>
      <c r="K357" s="2" t="str">
        <f>IFERROR(__xludf.DUMMYFUNCTION("GOOGLETRANSLATE(A357,""en"",""ur"")"),"356")</f>
        <v>356</v>
      </c>
      <c r="L357" s="2" t="str">
        <f>IFERROR(__xludf.DUMMYFUNCTION("GOOGLETRANSLATE(B357,""en"",""ur"")"),"گھوڑے کے ٹیک کی سب سے نمایاں خصوصیت کیا ہے؟")</f>
        <v>گھوڑے کے ٹیک کی سب سے نمایاں خصوصیت کیا ہے؟</v>
      </c>
      <c r="M357" s="2" t="str">
        <f>IFERROR(__xludf.DUMMYFUNCTION("GOOGLETRANSLATE(C357,""en"",""ur"")"),"یہ ایک سادہ سی کاٹھی ہے۔")</f>
        <v>یہ ایک سادہ سی کاٹھی ہے۔</v>
      </c>
      <c r="N357" s="2" t="str">
        <f>IFERROR(__xludf.DUMMYFUNCTION("GOOGLETRANSLATE(D357,""en"",""ur"")"),"یہ نیلے رنگ کے زیورات کے ساتھ ایک انتہائی آرائشی کاٹھی ہے۔")</f>
        <v>یہ نیلے رنگ کے زیورات کے ساتھ ایک انتہائی آرائشی کاٹھی ہے۔</v>
      </c>
      <c r="O357" s="2" t="str">
        <f>IFERROR(__xludf.DUMMYFUNCTION("GOOGLETRANSLATE(E357,""en"",""ur"")"),"یہ ایک ننگا پیڈ ہے۔")</f>
        <v>یہ ایک ننگا پیڈ ہے۔</v>
      </c>
      <c r="P357" s="2" t="str">
        <f>IFERROR(__xludf.DUMMYFUNCTION("GOOGLETRANSLATE(F357,""en"",""ur"")"),"یہ ایک ریسنگ سیڈل ہے۔")</f>
        <v>یہ ایک ریسنگ سیڈل ہے۔</v>
      </c>
      <c r="Q357" s="2" t="s">
        <v>990</v>
      </c>
      <c r="R357" s="2" t="str">
        <f>IFERROR(__xludf.DUMMYFUNCTION("GOOGLETRANSLATE(G357,""en"",""ur"")"),"یہ نیلے رنگ کے زیورات کے ساتھ ایک انتہائی آرائشی کاٹھی ہے۔")</f>
        <v>یہ نیلے رنگ کے زیورات کے ساتھ ایک انتہائی آرائشی کاٹھی ہے۔</v>
      </c>
      <c r="S357" s="6" t="s">
        <v>1176</v>
      </c>
    </row>
    <row r="358">
      <c r="A358" s="7">
        <v>357.0</v>
      </c>
      <c r="B358" s="6" t="s">
        <v>991</v>
      </c>
      <c r="C358" s="6" t="s">
        <v>992</v>
      </c>
      <c r="D358" s="6" t="s">
        <v>646</v>
      </c>
      <c r="E358" s="6" t="s">
        <v>1051</v>
      </c>
      <c r="F358" s="6" t="s">
        <v>425</v>
      </c>
      <c r="G358" s="6" t="s">
        <v>1051</v>
      </c>
      <c r="H358" s="6" t="s">
        <v>1176</v>
      </c>
      <c r="K358" s="2" t="str">
        <f>IFERROR(__xludf.DUMMYFUNCTION("GOOGLETRANSLATE(A358,""en"",""ur"")"),"357")</f>
        <v>357</v>
      </c>
      <c r="L358" s="2" t="str">
        <f>IFERROR(__xludf.DUMMYFUNCTION("GOOGLETRANSLATE(B358,""en"",""ur"")"),"واقعہ کی ظاہری ترتیب کیا ہے؟")</f>
        <v>واقعہ کی ظاہری ترتیب کیا ہے؟</v>
      </c>
      <c r="M358" s="2" t="str">
        <f>IFERROR(__xludf.DUMMYFUNCTION("GOOGLETRANSLATE(C358,""en"",""ur"")"),"ایک اندرونی میدان")</f>
        <v>ایک اندرونی میدان</v>
      </c>
      <c r="N358" s="2" t="str">
        <f>IFERROR(__xludf.DUMMYFUNCTION("GOOGLETRANSLATE(D358,""en"",""ur"")"),"شہر کی ایک گلی")</f>
        <v>شہر کی ایک گلی</v>
      </c>
      <c r="O358" s="2" t="str">
        <f>IFERROR(__xludf.DUMMYFUNCTION("GOOGLETRANSLATE(E358,""en"",""ur"")"),"تماشائیوں کے ساتھ ایک بیرونی گندگی کا ٹریک")</f>
        <v>تماشائیوں کے ساتھ ایک بیرونی گندگی کا ٹریک</v>
      </c>
      <c r="P358" s="2" t="str">
        <f>IFERROR(__xludf.DUMMYFUNCTION("GOOGLETRANSLATE(F358,""en"",""ur"")"),"گھاس کا میدان")</f>
        <v>گھاس کا میدان</v>
      </c>
      <c r="Q358" s="2" t="s">
        <v>1052</v>
      </c>
      <c r="R358" s="2" t="str">
        <f>IFERROR(__xludf.DUMMYFUNCTION("GOOGLETRANSLATE(G358,""en"",""ur"")"),"تماشائیوں کے ساتھ ایک بیرونی گندگی کا ٹریک")</f>
        <v>تماشائیوں کے ساتھ ایک بیرونی گندگی کا ٹریک</v>
      </c>
      <c r="S358" s="6" t="s">
        <v>1176</v>
      </c>
    </row>
    <row r="359">
      <c r="A359" s="7">
        <v>358.0</v>
      </c>
      <c r="B359" s="6" t="s">
        <v>1036</v>
      </c>
      <c r="C359" s="6" t="s">
        <v>95</v>
      </c>
      <c r="D359" s="6" t="s">
        <v>96</v>
      </c>
      <c r="E359" s="6" t="s">
        <v>1015</v>
      </c>
      <c r="F359" s="6" t="s">
        <v>258</v>
      </c>
      <c r="G359" s="6" t="s">
        <v>1015</v>
      </c>
      <c r="H359" s="6" t="s">
        <v>1176</v>
      </c>
      <c r="K359" s="2" t="str">
        <f>IFERROR(__xludf.DUMMYFUNCTION("GOOGLETRANSLATE(A359,""en"",""ur"")"),"358")</f>
        <v>358</v>
      </c>
      <c r="L359" s="2" t="str">
        <f>IFERROR(__xludf.DUMMYFUNCTION("GOOGLETRANSLATE(B359,""en"",""ur"")"),"کھیل کا نام کیا ہے؟")</f>
        <v>کھیل کا نام کیا ہے؟</v>
      </c>
      <c r="M359" s="2" t="str">
        <f>IFERROR(__xludf.DUMMYFUNCTION("GOOGLETRANSLATE(C359,""en"",""ur"")"),"پولو")</f>
        <v>پولو</v>
      </c>
      <c r="N359" s="2" t="str">
        <f>IFERROR(__xludf.DUMMYFUNCTION("GOOGLETRANSLATE(D359,""en"",""ur"")"),"گھوڑوں کی دوڑ")</f>
        <v>گھوڑوں کی دوڑ</v>
      </c>
      <c r="O359" s="2" t="str">
        <f>IFERROR(__xludf.DUMMYFUNCTION("GOOGLETRANSLATE(E359,""en"",""ur"")"),"ٹینٹ پیگنگ")</f>
        <v>ٹینٹ پیگنگ</v>
      </c>
      <c r="P359" s="2" t="str">
        <f>IFERROR(__xludf.DUMMYFUNCTION("GOOGLETRANSLATE(F359,""en"",""ur"")"),"گھڑ سواری کے کھیل")</f>
        <v>گھڑ سواری کے کھیل</v>
      </c>
      <c r="Q359" s="2" t="s">
        <v>1016</v>
      </c>
      <c r="R359" s="2" t="str">
        <f>IFERROR(__xludf.DUMMYFUNCTION("GOOGLETRANSLATE(G359,""en"",""ur"")"),"ٹینٹ پیگنگ")</f>
        <v>ٹینٹ پیگنگ</v>
      </c>
      <c r="S359" s="6" t="s">
        <v>1176</v>
      </c>
    </row>
    <row r="360">
      <c r="A360" s="7">
        <v>359.0</v>
      </c>
      <c r="B360" s="6" t="s">
        <v>316</v>
      </c>
      <c r="C360" s="6" t="s">
        <v>47</v>
      </c>
      <c r="D360" s="6" t="s">
        <v>48</v>
      </c>
      <c r="E360" s="6" t="s">
        <v>49</v>
      </c>
      <c r="F360" s="6" t="s">
        <v>50</v>
      </c>
      <c r="G360" s="6" t="s">
        <v>49</v>
      </c>
      <c r="H360" s="6" t="s">
        <v>1176</v>
      </c>
      <c r="K360" s="2" t="str">
        <f>IFERROR(__xludf.DUMMYFUNCTION("GOOGLETRANSLATE(A360,""en"",""ur"")"),"359")</f>
        <v>359</v>
      </c>
      <c r="L360" s="2" t="str">
        <f>IFERROR(__xludf.DUMMYFUNCTION("GOOGLETRANSLATE(B360,""en"",""ur"")"),"سوار کے چہرے سے ظاہری جذبات کیا ہیں؟")</f>
        <v>سوار کے چہرے سے ظاہری جذبات کیا ہیں؟</v>
      </c>
      <c r="M360" s="2" t="str">
        <f>IFERROR(__xludf.DUMMYFUNCTION("GOOGLETRANSLATE(C360,""en"",""ur"")"),"پرسکون اور پر سکون")</f>
        <v>پرسکون اور پر سکون</v>
      </c>
      <c r="N360" s="2" t="str">
        <f>IFERROR(__xludf.DUMMYFUNCTION("GOOGLETRANSLATE(D360,""en"",""ur"")"),"خوف زدہ اور بے چین")</f>
        <v>خوف زدہ اور بے چین</v>
      </c>
      <c r="O360" s="2" t="str">
        <f>IFERROR(__xludf.DUMMYFUNCTION("GOOGLETRANSLATE(E360,""en"",""ur"")"),"کشیدہ اور شدید")</f>
        <v>کشیدہ اور شدید</v>
      </c>
      <c r="P360" s="2" t="str">
        <f>IFERROR(__xludf.DUMMYFUNCTION("GOOGLETRANSLATE(F360,""en"",""ur"")"),"خوش اور مسکراتے ہوئے۔")</f>
        <v>خوش اور مسکراتے ہوئے۔</v>
      </c>
      <c r="Q360" s="2" t="s">
        <v>51</v>
      </c>
      <c r="R360" s="2" t="str">
        <f>IFERROR(__xludf.DUMMYFUNCTION("GOOGLETRANSLATE(G360,""en"",""ur"")"),"کشیدہ اور شدید")</f>
        <v>کشیدہ اور شدید</v>
      </c>
      <c r="S360" s="6" t="s">
        <v>1176</v>
      </c>
    </row>
    <row r="361">
      <c r="A361" s="7">
        <v>360.0</v>
      </c>
      <c r="B361" s="6" t="s">
        <v>260</v>
      </c>
      <c r="C361" s="6" t="s">
        <v>261</v>
      </c>
      <c r="D361" s="6" t="s">
        <v>262</v>
      </c>
      <c r="E361" s="6" t="s">
        <v>263</v>
      </c>
      <c r="F361" s="6" t="s">
        <v>1001</v>
      </c>
      <c r="G361" s="6" t="s">
        <v>1001</v>
      </c>
      <c r="H361" s="6" t="s">
        <v>1176</v>
      </c>
      <c r="K361" s="2" t="str">
        <f>IFERROR(__xludf.DUMMYFUNCTION("GOOGLETRANSLATE(A361,""en"",""ur"")"),"360")</f>
        <v>360</v>
      </c>
      <c r="L361" s="2" t="str">
        <f>IFERROR(__xludf.DUMMYFUNCTION("GOOGLETRANSLATE(B361,""en"",""ur"")"),"تصویر میں ایکشن ایک ایسا انداز تجویز کرتا ہے جو اس بات پر زور دیتا ہے...")</f>
        <v>تصویر میں ایکشن ایک ایسا انداز تجویز کرتا ہے جو اس بات پر زور دیتا ہے...</v>
      </c>
      <c r="M361" s="2" t="str">
        <f>IFERROR(__xludf.DUMMYFUNCTION("GOOGLETRANSLATE(C361,""en"",""ur"")"),"روانی اور قلابازیاں")</f>
        <v>روانی اور قلابازیاں</v>
      </c>
      <c r="N361" s="2" t="str">
        <f>IFERROR(__xludf.DUMMYFUNCTION("GOOGLETRANSLATE(D361,""en"",""ur"")"),"زمینی لڑائی اور گرفت")</f>
        <v>زمینی لڑائی اور گرفت</v>
      </c>
      <c r="O361" s="2" t="str">
        <f>IFERROR(__xludf.DUMMYFUNCTION("GOOGLETRANSLATE(E361,""en"",""ur"")"),"وحشیانہ قوت اور گھڑ سواری۔")</f>
        <v>وحشیانہ قوت اور گھڑ سواری۔</v>
      </c>
      <c r="P361" s="2" t="str">
        <f>IFERROR(__xludf.DUMMYFUNCTION("GOOGLETRANSLATE(F361,""en"",""ur"")"),"رفتار، درستگی اور چستی")</f>
        <v>رفتار، درستگی اور چستی</v>
      </c>
      <c r="Q361" s="2" t="s">
        <v>1002</v>
      </c>
      <c r="R361" s="2" t="str">
        <f>IFERROR(__xludf.DUMMYFUNCTION("GOOGLETRANSLATE(G361,""en"",""ur"")"),"رفتار، درستگی اور چستی")</f>
        <v>رفتار، درستگی اور چستی</v>
      </c>
      <c r="S361" s="6" t="s">
        <v>1176</v>
      </c>
    </row>
    <row r="362">
      <c r="A362" s="7">
        <v>361.0</v>
      </c>
      <c r="B362" s="6" t="s">
        <v>1177</v>
      </c>
      <c r="C362" s="6" t="s">
        <v>103</v>
      </c>
      <c r="D362" s="6" t="s">
        <v>1065</v>
      </c>
      <c r="E362" s="6" t="s">
        <v>73</v>
      </c>
      <c r="F362" s="6" t="s">
        <v>1066</v>
      </c>
      <c r="G362" s="6" t="s">
        <v>1065</v>
      </c>
      <c r="H362" s="6" t="s">
        <v>1178</v>
      </c>
      <c r="K362" s="2" t="str">
        <f>IFERROR(__xludf.DUMMYFUNCTION("GOOGLETRANSLATE(A362,""en"",""ur"")"),"361")</f>
        <v>361</v>
      </c>
      <c r="L362" s="2" t="str">
        <f>IFERROR(__xludf.DUMMYFUNCTION("GOOGLETRANSLATE(B362,""en"",""ur"")"),"tent_pegging_81 میں دکھائی جانے والی اہم کارروائی کیا ہے؟")</f>
        <v>tent_pegging_81 میں دکھائی جانے والی اہم کارروائی کیا ہے؟</v>
      </c>
      <c r="M362" s="2" t="str">
        <f>IFERROR(__xludf.DUMMYFUNCTION("GOOGLETRANSLATE(C362,""en"",""ur"")"),"آرام سے گھوڑے کی سواری۔")</f>
        <v>آرام سے گھوڑے کی سواری۔</v>
      </c>
      <c r="N362" s="2" t="str">
        <f>IFERROR(__xludf.DUMMYFUNCTION("GOOGLETRANSLATE(D362,""en"",""ur"")"),"پریڈ کی تشکیل میں سواروں کا ایک گروپ")</f>
        <v>پریڈ کی تشکیل میں سواروں کا ایک گروپ</v>
      </c>
      <c r="O362" s="2" t="str">
        <f>IFERROR(__xludf.DUMMYFUNCTION("GOOGLETRANSLATE(E362,""en"",""ur"")"),"گھوڑوں کی دوڑ")</f>
        <v>گھوڑوں کی دوڑ</v>
      </c>
      <c r="P362" s="2" t="str">
        <f>IFERROR(__xludf.DUMMYFUNCTION("GOOGLETRANSLATE(F362,""en"",""ur"")"),"لڑنے والے سواروں کا ایک گروہ")</f>
        <v>لڑنے والے سواروں کا ایک گروہ</v>
      </c>
      <c r="Q362" s="2" t="s">
        <v>1067</v>
      </c>
      <c r="R362" s="2" t="str">
        <f>IFERROR(__xludf.DUMMYFUNCTION("GOOGLETRANSLATE(G362,""en"",""ur"")"),"پریڈ کی تشکیل میں سواروں کا ایک گروپ")</f>
        <v>پریڈ کی تشکیل میں سواروں کا ایک گروپ</v>
      </c>
      <c r="S362" s="6" t="s">
        <v>1178</v>
      </c>
    </row>
    <row r="363">
      <c r="A363" s="7">
        <v>362.0</v>
      </c>
      <c r="B363" s="6" t="s">
        <v>1007</v>
      </c>
      <c r="C363" s="6" t="s">
        <v>1008</v>
      </c>
      <c r="D363" s="6" t="s">
        <v>1179</v>
      </c>
      <c r="E363" s="6" t="s">
        <v>245</v>
      </c>
      <c r="F363" s="6" t="s">
        <v>246</v>
      </c>
      <c r="G363" s="6" t="s">
        <v>1179</v>
      </c>
      <c r="H363" s="6" t="s">
        <v>1178</v>
      </c>
      <c r="K363" s="2" t="str">
        <f>IFERROR(__xludf.DUMMYFUNCTION("GOOGLETRANSLATE(A363,""en"",""ur"")"),"362")</f>
        <v>362</v>
      </c>
      <c r="L363" s="2" t="str">
        <f>IFERROR(__xludf.DUMMYFUNCTION("GOOGLETRANSLATE(B363,""en"",""ur"")"),"سواروں کے لباس کے بارے میں ایک قابل ذکر تفصیل کیا ہے؟")</f>
        <v>سواروں کے لباس کے بارے میں ایک قابل ذکر تفصیل کیا ہے؟</v>
      </c>
      <c r="M363" s="2" t="str">
        <f>IFERROR(__xludf.DUMMYFUNCTION("GOOGLETRANSLATE(C363,""en"",""ur"")"),"انہوں نے فوجی وردی پہن رکھی ہے۔")</f>
        <v>انہوں نے فوجی وردی پہن رکھی ہے۔</v>
      </c>
      <c r="N363" s="2" t="str">
        <f>IFERROR(__xludf.DUMMYFUNCTION("GOOGLETRANSLATE(D363,""en"",""ur"")"),"وہ پگڑیوں کے ساتھ سفید روایتی لباس پہنے ہوئے ہیں۔")</f>
        <v>وہ پگڑیوں کے ساتھ سفید روایتی لباس پہنے ہوئے ہیں۔</v>
      </c>
      <c r="O363" s="2" t="str">
        <f>IFERROR(__xludf.DUMMYFUNCTION("GOOGLETRANSLATE(E363,""en"",""ur"")"),"وہ رسمی سوٹ پہنے ہوئے ہیں۔")</f>
        <v>وہ رسمی سوٹ پہنے ہوئے ہیں۔</v>
      </c>
      <c r="P363" s="2" t="str">
        <f>IFERROR(__xludf.DUMMYFUNCTION("GOOGLETRANSLATE(F363,""en"",""ur"")"),"انہوں نے کوئی لباس نہیں پہنا ہوا ہے۔")</f>
        <v>انہوں نے کوئی لباس نہیں پہنا ہوا ہے۔</v>
      </c>
      <c r="Q363" s="2" t="s">
        <v>1180</v>
      </c>
      <c r="R363" s="2" t="str">
        <f>IFERROR(__xludf.DUMMYFUNCTION("GOOGLETRANSLATE(G363,""en"",""ur"")"),"وہ پگڑیوں کے ساتھ سفید روایتی لباس پہنے ہوئے ہیں۔")</f>
        <v>وہ پگڑیوں کے ساتھ سفید روایتی لباس پہنے ہوئے ہیں۔</v>
      </c>
      <c r="S363" s="6" t="s">
        <v>1178</v>
      </c>
    </row>
    <row r="364">
      <c r="A364" s="7">
        <v>363.0</v>
      </c>
      <c r="B364" s="6" t="s">
        <v>1011</v>
      </c>
      <c r="C364" s="6" t="s">
        <v>59</v>
      </c>
      <c r="D364" s="6" t="s">
        <v>1131</v>
      </c>
      <c r="E364" s="6" t="s">
        <v>1013</v>
      </c>
      <c r="F364" s="6" t="s">
        <v>268</v>
      </c>
      <c r="G364" s="6" t="s">
        <v>1131</v>
      </c>
      <c r="H364" s="6" t="s">
        <v>1178</v>
      </c>
      <c r="K364" s="2" t="str">
        <f>IFERROR(__xludf.DUMMYFUNCTION("GOOGLETRANSLATE(A364,""en"",""ur"")"),"363")</f>
        <v>363</v>
      </c>
      <c r="L364" s="2" t="str">
        <f>IFERROR(__xludf.DUMMYFUNCTION("GOOGLETRANSLATE(B364,""en"",""ur"")"),"گھوڑوں کے بارے میں نظر آنے والی تفصیل کیا ہے؟")</f>
        <v>گھوڑوں کے بارے میں نظر آنے والی تفصیل کیا ہے؟</v>
      </c>
      <c r="M364" s="2" t="str">
        <f>IFERROR(__xludf.DUMMYFUNCTION("GOOGLETRANSLATE(C364,""en"",""ur"")"),"وہ سب ایک ہی رنگ کے ہیں۔")</f>
        <v>وہ سب ایک ہی رنگ کے ہیں۔</v>
      </c>
      <c r="N364" s="2" t="str">
        <f>IFERROR(__xludf.DUMMYFUNCTION("GOOGLETRANSLATE(D364,""en"",""ur"")"),"وہ آرائشی ٹیک کے ساتھ رنگوں کا مرکب ہیں۔")</f>
        <v>وہ آرائشی ٹیک کے ساتھ رنگوں کا مرکب ہیں۔</v>
      </c>
      <c r="O364" s="2" t="str">
        <f>IFERROR(__xludf.DUMMYFUNCTION("GOOGLETRANSLATE(E364,""en"",""ur"")"),"وہ سب کوئی سیڈل نہیں پہنے ہوئے ہیں۔")</f>
        <v>وہ سب کوئی سیڈل نہیں پہنے ہوئے ہیں۔</v>
      </c>
      <c r="P364" s="2" t="str">
        <f>IFERROR(__xludf.DUMMYFUNCTION("GOOGLETRANSLATE(F364,""en"",""ur"")"),"وہ سب خاموش کھڑے ہیں۔")</f>
        <v>وہ سب خاموش کھڑے ہیں۔</v>
      </c>
      <c r="Q364" s="2" t="s">
        <v>1132</v>
      </c>
      <c r="R364" s="2" t="str">
        <f>IFERROR(__xludf.DUMMYFUNCTION("GOOGLETRANSLATE(G364,""en"",""ur"")"),"وہ آرائشی ٹیک کے ساتھ رنگوں کا مرکب ہیں۔")</f>
        <v>وہ آرائشی ٹیک کے ساتھ رنگوں کا مرکب ہیں۔</v>
      </c>
      <c r="S364" s="6" t="s">
        <v>1178</v>
      </c>
    </row>
    <row r="365">
      <c r="A365" s="7">
        <v>364.0</v>
      </c>
      <c r="B365" s="6" t="s">
        <v>248</v>
      </c>
      <c r="C365" s="6" t="s">
        <v>249</v>
      </c>
      <c r="D365" s="6" t="s">
        <v>250</v>
      </c>
      <c r="E365" s="6" t="s">
        <v>251</v>
      </c>
      <c r="F365" s="6" t="s">
        <v>252</v>
      </c>
      <c r="G365" s="6" t="s">
        <v>252</v>
      </c>
      <c r="H365" s="6" t="s">
        <v>1178</v>
      </c>
      <c r="K365" s="2" t="str">
        <f>IFERROR(__xludf.DUMMYFUNCTION("GOOGLETRANSLATE(A365,""en"",""ur"")"),"364")</f>
        <v>364</v>
      </c>
      <c r="L365" s="2" t="str">
        <f>IFERROR(__xludf.DUMMYFUNCTION("GOOGLETRANSLATE(B365,""en"",""ur"")"),"سواروں کی ظاہری باڈی پوزیشن کیا ہے؟")</f>
        <v>سواروں کی ظاہری باڈی پوزیشن کیا ہے؟</v>
      </c>
      <c r="M365" s="2" t="str">
        <f>IFERROR(__xludf.DUMMYFUNCTION("GOOGLETRANSLATE(C365,""en"",""ur"")"),"وہ سیدھے کھڑے ہیں۔")</f>
        <v>وہ سیدھے کھڑے ہیں۔</v>
      </c>
      <c r="N365" s="2" t="str">
        <f>IFERROR(__xludf.DUMMYFUNCTION("GOOGLETRANSLATE(D365,""en"",""ur"")"),"وہ جھک رہے ہیں اور کسی چیز تک پہنچ رہے ہیں۔")</f>
        <v>وہ جھک رہے ہیں اور کسی چیز تک پہنچ رہے ہیں۔</v>
      </c>
      <c r="O365" s="2" t="str">
        <f>IFERROR(__xludf.DUMMYFUNCTION("GOOGLETRANSLATE(E365,""en"",""ur"")"),"وہ گھوڑوں کی پیٹھ پر لیٹے ہوئے ہیں۔")</f>
        <v>وہ گھوڑوں کی پیٹھ پر لیٹے ہوئے ہیں۔</v>
      </c>
      <c r="P365" s="2" t="str">
        <f>IFERROR(__xludf.DUMMYFUNCTION("GOOGLETRANSLATE(F365,""en"",""ur"")"),"وہ آرام سے بیٹھے ہیں۔")</f>
        <v>وہ آرام سے بیٹھے ہیں۔</v>
      </c>
      <c r="Q365" s="2" t="s">
        <v>253</v>
      </c>
      <c r="R365" s="2" t="str">
        <f>IFERROR(__xludf.DUMMYFUNCTION("GOOGLETRANSLATE(G365,""en"",""ur"")"),"وہ آرام سے بیٹھے ہیں۔")</f>
        <v>وہ آرام سے بیٹھے ہیں۔</v>
      </c>
      <c r="S365" s="6" t="s">
        <v>1178</v>
      </c>
    </row>
    <row r="366">
      <c r="A366" s="7">
        <v>365.0</v>
      </c>
      <c r="B366" s="6" t="s">
        <v>254</v>
      </c>
      <c r="C366" s="6" t="s">
        <v>47</v>
      </c>
      <c r="D366" s="6" t="s">
        <v>48</v>
      </c>
      <c r="E366" s="6" t="s">
        <v>49</v>
      </c>
      <c r="F366" s="6" t="s">
        <v>50</v>
      </c>
      <c r="G366" s="6" t="s">
        <v>47</v>
      </c>
      <c r="H366" s="6" t="s">
        <v>1178</v>
      </c>
      <c r="K366" s="2" t="str">
        <f>IFERROR(__xludf.DUMMYFUNCTION("GOOGLETRANSLATE(A366,""en"",""ur"")"),"365")</f>
        <v>365</v>
      </c>
      <c r="L366" s="2" t="str">
        <f>IFERROR(__xludf.DUMMYFUNCTION("GOOGLETRANSLATE(B366,""en"",""ur"")"),"سواروں کے چہروں سے ظاہری جذبات کیا ہیں؟")</f>
        <v>سواروں کے چہروں سے ظاہری جذبات کیا ہیں؟</v>
      </c>
      <c r="M366" s="2" t="str">
        <f>IFERROR(__xludf.DUMMYFUNCTION("GOOGLETRANSLATE(C366,""en"",""ur"")"),"پرسکون اور پر سکون")</f>
        <v>پرسکون اور پر سکون</v>
      </c>
      <c r="N366" s="2" t="str">
        <f>IFERROR(__xludf.DUMMYFUNCTION("GOOGLETRANSLATE(D366,""en"",""ur"")"),"خوف زدہ اور بے چین")</f>
        <v>خوف زدہ اور بے چین</v>
      </c>
      <c r="O366" s="2" t="str">
        <f>IFERROR(__xludf.DUMMYFUNCTION("GOOGLETRANSLATE(E366,""en"",""ur"")"),"کشیدہ اور شدید")</f>
        <v>کشیدہ اور شدید</v>
      </c>
      <c r="P366" s="2" t="str">
        <f>IFERROR(__xludf.DUMMYFUNCTION("GOOGLETRANSLATE(F366,""en"",""ur"")"),"خوش اور مسکراتے ہوئے۔")</f>
        <v>خوش اور مسکراتے ہوئے۔</v>
      </c>
      <c r="Q366" s="2" t="s">
        <v>51</v>
      </c>
      <c r="R366" s="2" t="str">
        <f>IFERROR(__xludf.DUMMYFUNCTION("GOOGLETRANSLATE(G366,""en"",""ur"")"),"پرسکون اور پر سکون")</f>
        <v>پرسکون اور پر سکون</v>
      </c>
      <c r="S366" s="6" t="s">
        <v>1178</v>
      </c>
    </row>
    <row r="367">
      <c r="A367" s="7">
        <v>366.0</v>
      </c>
      <c r="B367" s="6" t="s">
        <v>88</v>
      </c>
      <c r="C367" s="6" t="s">
        <v>89</v>
      </c>
      <c r="D367" s="6" t="s">
        <v>90</v>
      </c>
      <c r="E367" s="6" t="s">
        <v>91</v>
      </c>
      <c r="F367" s="6" t="s">
        <v>255</v>
      </c>
      <c r="G367" s="6" t="s">
        <v>91</v>
      </c>
      <c r="H367" s="6" t="s">
        <v>1178</v>
      </c>
      <c r="K367" s="2" t="str">
        <f>IFERROR(__xludf.DUMMYFUNCTION("GOOGLETRANSLATE(A367,""en"",""ur"")"),"366")</f>
        <v>366</v>
      </c>
      <c r="L367" s="2" t="str">
        <f>IFERROR(__xludf.DUMMYFUNCTION("GOOGLETRANSLATE(B367,""en"",""ur"")"),"زمین کی سب سے نمایاں خصوصیت کیا ہے؟")</f>
        <v>زمین کی سب سے نمایاں خصوصیت کیا ہے؟</v>
      </c>
      <c r="M367" s="2" t="str">
        <f>IFERROR(__xludf.DUMMYFUNCTION("GOOGLETRANSLATE(C367,""en"",""ur"")"),"ایک پکی سطح")</f>
        <v>ایک پکی سطح</v>
      </c>
      <c r="N367" s="2" t="str">
        <f>IFERROR(__xludf.DUMMYFUNCTION("GOOGLETRANSLATE(D367,""en"",""ur"")"),"کیچڑ والا میدان")</f>
        <v>کیچڑ والا میدان</v>
      </c>
      <c r="O367" s="2" t="str">
        <f>IFERROR(__xludf.DUMMYFUNCTION("GOOGLETRANSLATE(E367,""en"",""ur"")"),"ایک گھاس دار سطح")</f>
        <v>ایک گھاس دار سطح</v>
      </c>
      <c r="P367" s="2" t="str">
        <f>IFERROR(__xludf.DUMMYFUNCTION("GOOGLETRANSLATE(F367,""en"",""ur"")"),"ریتلی یا گندگی کی سطح")</f>
        <v>ریتلی یا گندگی کی سطح</v>
      </c>
      <c r="Q367" s="2" t="s">
        <v>256</v>
      </c>
      <c r="R367" s="2" t="str">
        <f>IFERROR(__xludf.DUMMYFUNCTION("GOOGLETRANSLATE(G367,""en"",""ur"")"),"ایک گھاس دار سطح")</f>
        <v>ایک گھاس دار سطح</v>
      </c>
      <c r="S367" s="6" t="s">
        <v>1178</v>
      </c>
    </row>
    <row r="368">
      <c r="A368" s="7">
        <v>367.0</v>
      </c>
      <c r="B368" s="6" t="s">
        <v>257</v>
      </c>
      <c r="C368" s="6" t="s">
        <v>95</v>
      </c>
      <c r="D368" s="6" t="s">
        <v>96</v>
      </c>
      <c r="E368" s="6" t="s">
        <v>1015</v>
      </c>
      <c r="F368" s="6" t="s">
        <v>258</v>
      </c>
      <c r="G368" s="6" t="s">
        <v>1015</v>
      </c>
      <c r="H368" s="6" t="s">
        <v>1178</v>
      </c>
      <c r="K368" s="2" t="str">
        <f>IFERROR(__xludf.DUMMYFUNCTION("GOOGLETRANSLATE(A368,""en"",""ur"")"),"367")</f>
        <v>367</v>
      </c>
      <c r="L368" s="2" t="str">
        <f>IFERROR(__xludf.DUMMYFUNCTION("GOOGLETRANSLATE(B368,""en"",""ur"")"),"کھیلے جانے والے کھیل کا نام کیا ہے؟")</f>
        <v>کھیلے جانے والے کھیل کا نام کیا ہے؟</v>
      </c>
      <c r="M368" s="2" t="str">
        <f>IFERROR(__xludf.DUMMYFUNCTION("GOOGLETRANSLATE(C368,""en"",""ur"")"),"پولو")</f>
        <v>پولو</v>
      </c>
      <c r="N368" s="2" t="str">
        <f>IFERROR(__xludf.DUMMYFUNCTION("GOOGLETRANSLATE(D368,""en"",""ur"")"),"گھوڑوں کی دوڑ")</f>
        <v>گھوڑوں کی دوڑ</v>
      </c>
      <c r="O368" s="2" t="str">
        <f>IFERROR(__xludf.DUMMYFUNCTION("GOOGLETRANSLATE(E368,""en"",""ur"")"),"ٹینٹ پیگنگ")</f>
        <v>ٹینٹ پیگنگ</v>
      </c>
      <c r="P368" s="2" t="str">
        <f>IFERROR(__xludf.DUMMYFUNCTION("GOOGLETRANSLATE(F368,""en"",""ur"")"),"گھڑ سواری کے کھیل")</f>
        <v>گھڑ سواری کے کھیل</v>
      </c>
      <c r="Q368" s="2" t="s">
        <v>1016</v>
      </c>
      <c r="R368" s="2" t="str">
        <f>IFERROR(__xludf.DUMMYFUNCTION("GOOGLETRANSLATE(G368,""en"",""ur"")"),"ٹینٹ پیگنگ")</f>
        <v>ٹینٹ پیگنگ</v>
      </c>
      <c r="S368" s="6" t="s">
        <v>1178</v>
      </c>
    </row>
    <row r="369">
      <c r="A369" s="7">
        <v>368.0</v>
      </c>
      <c r="B369" s="6" t="s">
        <v>260</v>
      </c>
      <c r="C369" s="6" t="s">
        <v>261</v>
      </c>
      <c r="D369" s="6" t="s">
        <v>1017</v>
      </c>
      <c r="E369" s="6" t="s">
        <v>263</v>
      </c>
      <c r="F369" s="6" t="s">
        <v>1001</v>
      </c>
      <c r="G369" s="6" t="s">
        <v>1017</v>
      </c>
      <c r="H369" s="6" t="s">
        <v>1178</v>
      </c>
      <c r="K369" s="2" t="str">
        <f>IFERROR(__xludf.DUMMYFUNCTION("GOOGLETRANSLATE(A369,""en"",""ur"")"),"368")</f>
        <v>368</v>
      </c>
      <c r="L369" s="2" t="str">
        <f>IFERROR(__xludf.DUMMYFUNCTION("GOOGLETRANSLATE(B369,""en"",""ur"")"),"تصویر میں ایکشن ایک ایسا انداز تجویز کرتا ہے جو اس بات پر زور دیتا ہے...")</f>
        <v>تصویر میں ایکشن ایک ایسا انداز تجویز کرتا ہے جو اس بات پر زور دیتا ہے...</v>
      </c>
      <c r="M369" s="2" t="str">
        <f>IFERROR(__xludf.DUMMYFUNCTION("GOOGLETRANSLATE(C369,""en"",""ur"")"),"روانی اور قلابازیاں")</f>
        <v>روانی اور قلابازیاں</v>
      </c>
      <c r="N369" s="2" t="str">
        <f>IFERROR(__xludf.DUMMYFUNCTION("GOOGLETRANSLATE(D369,""en"",""ur"")"),"گروپ کی تشکیل اور رسمی نمائش")</f>
        <v>گروپ کی تشکیل اور رسمی نمائش</v>
      </c>
      <c r="O369" s="2" t="str">
        <f>IFERROR(__xludf.DUMMYFUNCTION("GOOGLETRANSLATE(E369,""en"",""ur"")"),"وحشیانہ قوت اور گھڑ سواری۔")</f>
        <v>وحشیانہ قوت اور گھڑ سواری۔</v>
      </c>
      <c r="P369" s="2" t="str">
        <f>IFERROR(__xludf.DUMMYFUNCTION("GOOGLETRANSLATE(F369,""en"",""ur"")"),"رفتار، درستگی اور چستی")</f>
        <v>رفتار، درستگی اور چستی</v>
      </c>
      <c r="Q369" s="2" t="s">
        <v>1093</v>
      </c>
      <c r="R369" s="2" t="str">
        <f>IFERROR(__xludf.DUMMYFUNCTION("GOOGLETRANSLATE(G369,""en"",""ur"")"),"گروپ کی تشکیل اور رسمی نمائش")</f>
        <v>گروپ کی تشکیل اور رسمی نمائش</v>
      </c>
      <c r="S369" s="6" t="s">
        <v>1178</v>
      </c>
    </row>
    <row r="370">
      <c r="A370" s="7">
        <v>369.0</v>
      </c>
      <c r="B370" s="6" t="s">
        <v>1019</v>
      </c>
      <c r="C370" s="6" t="s">
        <v>1020</v>
      </c>
      <c r="D370" s="6" t="s">
        <v>1021</v>
      </c>
      <c r="E370" s="6" t="s">
        <v>1022</v>
      </c>
      <c r="F370" s="6" t="s">
        <v>1023</v>
      </c>
      <c r="G370" s="6" t="s">
        <v>1022</v>
      </c>
      <c r="H370" s="6" t="s">
        <v>1178</v>
      </c>
      <c r="K370" s="2" t="str">
        <f>IFERROR(__xludf.DUMMYFUNCTION("GOOGLETRANSLATE(A370,""en"",""ur"")"),"369")</f>
        <v>369</v>
      </c>
      <c r="L370" s="2" t="str">
        <f>IFERROR(__xludf.DUMMYFUNCTION("GOOGLETRANSLATE(B370,""en"",""ur"")"),"لمبی چھڑیوں کے بارے میں ایک قابل ذکر تفصیل کیا ہے جو سواروں کے پاس ہے؟")</f>
        <v>لمبی چھڑیوں کے بارے میں ایک قابل ذکر تفصیل کیا ہے جو سواروں کے پاس ہے؟</v>
      </c>
      <c r="M370" s="2" t="str">
        <f>IFERROR(__xludf.DUMMYFUNCTION("GOOGLETRANSLATE(C370,""en"",""ur"")"),"انہیں ہتھیار کے طور پر استعمال کیا جاتا ہے۔")</f>
        <v>انہیں ہتھیار کے طور پر استعمال کیا جاتا ہے۔</v>
      </c>
      <c r="N370" s="2" t="str">
        <f>IFERROR(__xludf.DUMMYFUNCTION("GOOGLETRANSLATE(D370,""en"",""ur"")"),"وہ گھوڑوں کی رہنمائی کے لیے استعمال ہوتے ہیں۔")</f>
        <v>وہ گھوڑوں کی رہنمائی کے لیے استعمال ہوتے ہیں۔</v>
      </c>
      <c r="O370" s="2" t="str">
        <f>IFERROR(__xludf.DUMMYFUNCTION("GOOGLETRANSLATE(E370,""en"",""ur"")"),"وہ ربن اور tassels کے ساتھ سجایا جاتا ہے")</f>
        <v>وہ ربن اور tassels کے ساتھ سجایا جاتا ہے</v>
      </c>
      <c r="P370" s="2" t="str">
        <f>IFERROR(__xludf.DUMMYFUNCTION("GOOGLETRANSLATE(F370,""en"",""ur"")"),"وہ جھنڈے کے طور پر استعمال ہوتے ہیں۔")</f>
        <v>وہ جھنڈے کے طور پر استعمال ہوتے ہیں۔</v>
      </c>
      <c r="Q370" s="2" t="s">
        <v>1024</v>
      </c>
      <c r="R370" s="2" t="str">
        <f>IFERROR(__xludf.DUMMYFUNCTION("GOOGLETRANSLATE(G370,""en"",""ur"")"),"وہ ربن اور tassels کے ساتھ سجایا جاتا ہے")</f>
        <v>وہ ربن اور tassels کے ساتھ سجایا جاتا ہے</v>
      </c>
      <c r="S370" s="6" t="s">
        <v>1178</v>
      </c>
    </row>
    <row r="371">
      <c r="A371" s="7">
        <v>370.0</v>
      </c>
      <c r="B371" s="6" t="s">
        <v>991</v>
      </c>
      <c r="C371" s="6" t="s">
        <v>992</v>
      </c>
      <c r="D371" s="6" t="s">
        <v>646</v>
      </c>
      <c r="E371" s="6" t="s">
        <v>993</v>
      </c>
      <c r="F371" s="6" t="s">
        <v>1094</v>
      </c>
      <c r="G371" s="6" t="s">
        <v>1094</v>
      </c>
      <c r="H371" s="6" t="s">
        <v>1178</v>
      </c>
      <c r="K371" s="2" t="str">
        <f>IFERROR(__xludf.DUMMYFUNCTION("GOOGLETRANSLATE(A371,""en"",""ur"")"),"370")</f>
        <v>370</v>
      </c>
      <c r="L371" s="2" t="str">
        <f>IFERROR(__xludf.DUMMYFUNCTION("GOOGLETRANSLATE(B371,""en"",""ur"")"),"واقعہ کی ظاہری ترتیب کیا ہے؟")</f>
        <v>واقعہ کی ظاہری ترتیب کیا ہے؟</v>
      </c>
      <c r="M371" s="2" t="str">
        <f>IFERROR(__xludf.DUMMYFUNCTION("GOOGLETRANSLATE(C371,""en"",""ur"")"),"ایک اندرونی میدان")</f>
        <v>ایک اندرونی میدان</v>
      </c>
      <c r="N371" s="2" t="str">
        <f>IFERROR(__xludf.DUMMYFUNCTION("GOOGLETRANSLATE(D371,""en"",""ur"")"),"شہر کی ایک گلی")</f>
        <v>شہر کی ایک گلی</v>
      </c>
      <c r="O371" s="2" t="str">
        <f>IFERROR(__xludf.DUMMYFUNCTION("GOOGLETRANSLATE(E371,""en"",""ur"")"),"ایک بیرونی گندگی کا ٹریک")</f>
        <v>ایک بیرونی گندگی کا ٹریک</v>
      </c>
      <c r="P371" s="2" t="str">
        <f>IFERROR(__xludf.DUMMYFUNCTION("GOOGLETRANSLATE(F371,""en"",""ur"")"),"درختوں اور دھندلے پس منظر کے ساتھ گھاس کا میدان")</f>
        <v>درختوں اور دھندلے پس منظر کے ساتھ گھاس کا میدان</v>
      </c>
      <c r="Q371" s="2" t="s">
        <v>1096</v>
      </c>
      <c r="R371" s="2" t="str">
        <f>IFERROR(__xludf.DUMMYFUNCTION("GOOGLETRANSLATE(G371,""en"",""ur"")"),"درختوں اور دھندلے پس منظر کے ساتھ گھاس کا میدان")</f>
        <v>درختوں اور دھندلے پس منظر کے ساتھ گھاس کا میدان</v>
      </c>
      <c r="S371" s="6" t="s">
        <v>1178</v>
      </c>
    </row>
    <row r="372">
      <c r="A372" s="7">
        <v>371.0</v>
      </c>
      <c r="B372" s="6" t="s">
        <v>1181</v>
      </c>
      <c r="C372" s="6" t="s">
        <v>958</v>
      </c>
      <c r="D372" s="6" t="s">
        <v>959</v>
      </c>
      <c r="E372" s="6" t="s">
        <v>960</v>
      </c>
      <c r="F372" s="6" t="s">
        <v>961</v>
      </c>
      <c r="G372" s="6" t="s">
        <v>959</v>
      </c>
      <c r="H372" s="6" t="s">
        <v>1182</v>
      </c>
      <c r="K372" s="2" t="str">
        <f>IFERROR(__xludf.DUMMYFUNCTION("GOOGLETRANSLATE(A372,""en"",""ur"")"),"371")</f>
        <v>371</v>
      </c>
      <c r="L372" s="2" t="str">
        <f>IFERROR(__xludf.DUMMYFUNCTION("GOOGLETRANSLATE(B372,""en"",""ur"")"),"tent_pegging_82 میں دکھائی جانے والی اہم کارروائی کیا ہے؟")</f>
        <v>tent_pegging_82 میں دکھائی جانے والی اہم کارروائی کیا ہے؟</v>
      </c>
      <c r="M372" s="2" t="str">
        <f>IFERROR(__xludf.DUMMYFUNCTION("GOOGLETRANSLATE(C372,""en"",""ur"")"),"گھوڑے کی پیٹھ پر کرتب دکھاتے ہوئے سوار")</f>
        <v>گھوڑے کی پیٹھ پر کرتب دکھاتے ہوئے سوار</v>
      </c>
      <c r="N372" s="2" t="str">
        <f>IFERROR(__xludf.DUMMYFUNCTION("GOOGLETRANSLATE(D372,""en"",""ur"")"),"ٹینٹ پیگنگ ایونٹ میں مقابلہ کرنے والا سوار")</f>
        <v>ٹینٹ پیگنگ ایونٹ میں مقابلہ کرنے والا سوار</v>
      </c>
      <c r="O372" s="2" t="str">
        <f>IFERROR(__xludf.DUMMYFUNCTION("GOOGLETRANSLATE(E372,""en"",""ur"")"),"گھوڑوں کی دوڑ میں سوار")</f>
        <v>گھوڑوں کی دوڑ میں سوار</v>
      </c>
      <c r="P372" s="2" t="str">
        <f>IFERROR(__xludf.DUMMYFUNCTION("GOOGLETRANSLATE(F372,""en"",""ur"")"),"ایک سوار پریڈ کی قیادت کر رہا ہے۔")</f>
        <v>ایک سوار پریڈ کی قیادت کر رہا ہے۔</v>
      </c>
      <c r="Q372" s="2" t="s">
        <v>1029</v>
      </c>
      <c r="R372" s="2" t="str">
        <f>IFERROR(__xludf.DUMMYFUNCTION("GOOGLETRANSLATE(G372,""en"",""ur"")"),"ٹینٹ پیگنگ ایونٹ میں مقابلہ کرنے والا سوار")</f>
        <v>ٹینٹ پیگنگ ایونٹ میں مقابلہ کرنے والا سوار</v>
      </c>
      <c r="S372" s="6" t="s">
        <v>1182</v>
      </c>
    </row>
    <row r="373">
      <c r="A373" s="7">
        <v>372.0</v>
      </c>
      <c r="B373" s="6" t="s">
        <v>1007</v>
      </c>
      <c r="C373" s="6" t="s">
        <v>964</v>
      </c>
      <c r="D373" s="6" t="s">
        <v>965</v>
      </c>
      <c r="E373" s="6" t="s">
        <v>966</v>
      </c>
      <c r="F373" s="6" t="s">
        <v>967</v>
      </c>
      <c r="G373" s="6" t="s">
        <v>965</v>
      </c>
      <c r="H373" s="6" t="s">
        <v>1182</v>
      </c>
      <c r="K373" s="2" t="str">
        <f>IFERROR(__xludf.DUMMYFUNCTION("GOOGLETRANSLATE(A373,""en"",""ur"")"),"372")</f>
        <v>372</v>
      </c>
      <c r="L373" s="2" t="str">
        <f>IFERROR(__xludf.DUMMYFUNCTION("GOOGLETRANSLATE(B373,""en"",""ur"")"),"سواروں کے لباس کے بارے میں ایک قابل ذکر تفصیل کیا ہے؟")</f>
        <v>سواروں کے لباس کے بارے میں ایک قابل ذکر تفصیل کیا ہے؟</v>
      </c>
      <c r="M373" s="2" t="str">
        <f>IFERROR(__xludf.DUMMYFUNCTION("GOOGLETRANSLATE(C373,""en"",""ur"")"),"ایک رسمی سوٹ اور ٹائی")</f>
        <v>ایک رسمی سوٹ اور ٹائی</v>
      </c>
      <c r="N373" s="2" t="str">
        <f>IFERROR(__xludf.DUMMYFUNCTION("GOOGLETRANSLATE(D373,""en"",""ur"")"),"نیلی پگڑی اور بنیان والا سفید روایتی لباس")</f>
        <v>نیلی پگڑی اور بنیان والا سفید روایتی لباس</v>
      </c>
      <c r="O373" s="2" t="str">
        <f>IFERROR(__xludf.DUMMYFUNCTION("GOOGLETRANSLATE(E373,""en"",""ur"")"),"فوجی وردی")</f>
        <v>فوجی وردی</v>
      </c>
      <c r="P373" s="2" t="str">
        <f>IFERROR(__xludf.DUMMYFUNCTION("GOOGLETRANSLATE(F373,""en"",""ur"")"),"ایک جدید کھیلوں کا یونیفارم")</f>
        <v>ایک جدید کھیلوں کا یونیفارم</v>
      </c>
      <c r="Q373" s="2" t="s">
        <v>968</v>
      </c>
      <c r="R373" s="2" t="str">
        <f>IFERROR(__xludf.DUMMYFUNCTION("GOOGLETRANSLATE(G373,""en"",""ur"")"),"نیلی پگڑی اور بنیان والا سفید روایتی لباس")</f>
        <v>نیلی پگڑی اور بنیان والا سفید روایتی لباس</v>
      </c>
      <c r="S373" s="6" t="s">
        <v>1182</v>
      </c>
    </row>
    <row r="374">
      <c r="A374" s="7">
        <v>373.0</v>
      </c>
      <c r="B374" s="6" t="s">
        <v>969</v>
      </c>
      <c r="C374" s="6" t="s">
        <v>970</v>
      </c>
      <c r="D374" s="6" t="s">
        <v>971</v>
      </c>
      <c r="E374" s="6" t="s">
        <v>972</v>
      </c>
      <c r="F374" s="6" t="s">
        <v>973</v>
      </c>
      <c r="G374" s="6" t="s">
        <v>972</v>
      </c>
      <c r="H374" s="6" t="s">
        <v>1182</v>
      </c>
      <c r="K374" s="2" t="str">
        <f>IFERROR(__xludf.DUMMYFUNCTION("GOOGLETRANSLATE(A374,""en"",""ur"")"),"373")</f>
        <v>373</v>
      </c>
      <c r="L374" s="2" t="str">
        <f>IFERROR(__xludf.DUMMYFUNCTION("GOOGLETRANSLATE(B374,""en"",""ur"")"),"سوار نے جو لمبی چھڑی پکڑی ہوئی ہے اس کا ظاہری مقصد کیا ہے؟")</f>
        <v>سوار نے جو لمبی چھڑی پکڑی ہوئی ہے اس کا ظاہری مقصد کیا ہے؟</v>
      </c>
      <c r="M374" s="2" t="str">
        <f>IFERROR(__xludf.DUMMYFUNCTION("GOOGLETRANSLATE(C374,""en"",""ur"")"),"گھوڑے کی رہنمائی کے لیے")</f>
        <v>گھوڑے کی رہنمائی کے لیے</v>
      </c>
      <c r="N374" s="2" t="str">
        <f>IFERROR(__xludf.DUMMYFUNCTION("GOOGLETRANSLATE(D374,""en"",""ur"")"),"توازن کے لیے زمین سے ٹکرانا")</f>
        <v>توازن کے لیے زمین سے ٹکرانا</v>
      </c>
      <c r="O374" s="2" t="str">
        <f>IFERROR(__xludf.DUMMYFUNCTION("GOOGLETRANSLATE(E374,""en"",""ur"")"),"زمین پر چھوٹے اہداف کو نشانہ بنانا")</f>
        <v>زمین پر چھوٹے اہداف کو نشانہ بنانا</v>
      </c>
      <c r="P374" s="2" t="str">
        <f>IFERROR(__xludf.DUMMYFUNCTION("GOOGLETRANSLATE(F374,""en"",""ur"")"),"بطور ہتھیار استعمال کرنا")</f>
        <v>بطور ہتھیار استعمال کرنا</v>
      </c>
      <c r="Q374" s="2" t="s">
        <v>974</v>
      </c>
      <c r="R374" s="2" t="str">
        <f>IFERROR(__xludf.DUMMYFUNCTION("GOOGLETRANSLATE(G374,""en"",""ur"")"),"زمین پر چھوٹے اہداف کو نشانہ بنانا")</f>
        <v>زمین پر چھوٹے اہداف کو نشانہ بنانا</v>
      </c>
      <c r="S374" s="6" t="s">
        <v>1182</v>
      </c>
    </row>
    <row r="375">
      <c r="A375" s="7">
        <v>374.0</v>
      </c>
      <c r="B375" s="6" t="s">
        <v>248</v>
      </c>
      <c r="C375" s="6" t="s">
        <v>429</v>
      </c>
      <c r="D375" s="6" t="s">
        <v>975</v>
      </c>
      <c r="E375" s="6" t="s">
        <v>976</v>
      </c>
      <c r="F375" s="6" t="s">
        <v>977</v>
      </c>
      <c r="G375" s="6" t="s">
        <v>975</v>
      </c>
      <c r="H375" s="6" t="s">
        <v>1182</v>
      </c>
      <c r="K375" s="2" t="str">
        <f>IFERROR(__xludf.DUMMYFUNCTION("GOOGLETRANSLATE(A375,""en"",""ur"")"),"374")</f>
        <v>374</v>
      </c>
      <c r="L375" s="2" t="str">
        <f>IFERROR(__xludf.DUMMYFUNCTION("GOOGLETRANSLATE(B375,""en"",""ur"")"),"سواروں کی ظاہری باڈی پوزیشن کیا ہے؟")</f>
        <v>سواروں کی ظاہری باڈی پوزیشن کیا ہے؟</v>
      </c>
      <c r="M375" s="2" t="str">
        <f>IFERROR(__xludf.DUMMYFUNCTION("GOOGLETRANSLATE(C375,""en"",""ur"")"),"سیدھا کھڑا ہونا")</f>
        <v>سیدھا کھڑا ہونا</v>
      </c>
      <c r="N375" s="2" t="str">
        <f>IFERROR(__xludf.DUMMYFUNCTION("GOOGLETRANSLATE(D375,""en"",""ur"")"),"نیچے اور طرف جھکنا")</f>
        <v>نیچے اور طرف جھکنا</v>
      </c>
      <c r="O375" s="2" t="str">
        <f>IFERROR(__xludf.DUMMYFUNCTION("GOOGLETRANSLATE(E375,""en"",""ur"")"),"گھوڑے کی پیٹھ پر لیٹنا")</f>
        <v>گھوڑے کی پیٹھ پر لیٹنا</v>
      </c>
      <c r="P375" s="2" t="str">
        <f>IFERROR(__xludf.DUMMYFUNCTION("GOOGLETRANSLATE(F375,""en"",""ur"")"),"آرام سے بیٹھ گیا۔")</f>
        <v>آرام سے بیٹھ گیا۔</v>
      </c>
      <c r="Q375" s="2" t="s">
        <v>978</v>
      </c>
      <c r="R375" s="2" t="str">
        <f>IFERROR(__xludf.DUMMYFUNCTION("GOOGLETRANSLATE(G375,""en"",""ur"")"),"نیچے اور طرف جھکنا")</f>
        <v>نیچے اور طرف جھکنا</v>
      </c>
      <c r="S375" s="6" t="s">
        <v>1182</v>
      </c>
    </row>
    <row r="376">
      <c r="A376" s="7">
        <v>375.0</v>
      </c>
      <c r="B376" s="6" t="s">
        <v>1047</v>
      </c>
      <c r="C376" s="6" t="s">
        <v>980</v>
      </c>
      <c r="D376" s="6" t="s">
        <v>981</v>
      </c>
      <c r="E376" s="6" t="s">
        <v>982</v>
      </c>
      <c r="F376" s="6" t="s">
        <v>983</v>
      </c>
      <c r="G376" s="6" t="s">
        <v>982</v>
      </c>
      <c r="H376" s="6" t="s">
        <v>1182</v>
      </c>
      <c r="K376" s="2" t="str">
        <f>IFERROR(__xludf.DUMMYFUNCTION("GOOGLETRANSLATE(A376,""en"",""ur"")"),"375")</f>
        <v>375</v>
      </c>
      <c r="L376" s="2" t="str">
        <f>IFERROR(__xludf.DUMMYFUNCTION("GOOGLETRANSLATE(B376,""en"",""ur"")"),"گھوڑوں کے پیچھے زمین کی ظاہری حالت کیا ہے؟")</f>
        <v>گھوڑوں کے پیچھے زمین کی ظاہری حالت کیا ہے؟</v>
      </c>
      <c r="M376" s="2" t="str">
        <f>IFERROR(__xludf.DUMMYFUNCTION("GOOGLETRANSLATE(C376,""en"",""ur"")"),"بالکل ہموار")</f>
        <v>بالکل ہموار</v>
      </c>
      <c r="N376" s="2" t="str">
        <f>IFERROR(__xludf.DUMMYFUNCTION("GOOGLETRANSLATE(D376,""en"",""ur"")"),"تازہ گھاس میں ڈھکا ہوا ہے۔")</f>
        <v>تازہ گھاس میں ڈھکا ہوا ہے۔</v>
      </c>
      <c r="O376" s="2" t="str">
        <f>IFERROR(__xludf.DUMMYFUNCTION("GOOGLETRANSLATE(E376,""en"",""ur"")"),"غبار کے بادل میں اُٹھ گیا۔")</f>
        <v>غبار کے بادل میں اُٹھ گیا۔</v>
      </c>
      <c r="P376" s="2" t="str">
        <f>IFERROR(__xludf.DUMMYFUNCTION("GOOGLETRANSLATE(F376,""en"",""ur"")"),"پانی سے بھرا ہوا ۔")</f>
        <v>پانی سے بھرا ہوا ۔</v>
      </c>
      <c r="Q376" s="2" t="s">
        <v>984</v>
      </c>
      <c r="R376" s="2" t="str">
        <f>IFERROR(__xludf.DUMMYFUNCTION("GOOGLETRANSLATE(G376,""en"",""ur"")"),"غبار کے بادل میں اُٹھ گیا۔")</f>
        <v>غبار کے بادل میں اُٹھ گیا۔</v>
      </c>
      <c r="S376" s="6" t="s">
        <v>1182</v>
      </c>
    </row>
    <row r="377">
      <c r="A377" s="7">
        <v>376.0</v>
      </c>
      <c r="B377" s="6" t="s">
        <v>1048</v>
      </c>
      <c r="C377" s="6" t="s">
        <v>986</v>
      </c>
      <c r="D377" s="6" t="s">
        <v>1032</v>
      </c>
      <c r="E377" s="6" t="s">
        <v>988</v>
      </c>
      <c r="F377" s="6" t="s">
        <v>989</v>
      </c>
      <c r="G377" s="6" t="s">
        <v>1032</v>
      </c>
      <c r="H377" s="6" t="s">
        <v>1182</v>
      </c>
      <c r="K377" s="2" t="str">
        <f>IFERROR(__xludf.DUMMYFUNCTION("GOOGLETRANSLATE(A377,""en"",""ur"")"),"376")</f>
        <v>376</v>
      </c>
      <c r="L377" s="2" t="str">
        <f>IFERROR(__xludf.DUMMYFUNCTION("GOOGLETRANSLATE(B377,""en"",""ur"")"),"گھوڑوں کے ٹیک کی سب سے نمایاں خصوصیت کیا ہے؟")</f>
        <v>گھوڑوں کے ٹیک کی سب سے نمایاں خصوصیت کیا ہے؟</v>
      </c>
      <c r="M377" s="2" t="str">
        <f>IFERROR(__xludf.DUMMYFUNCTION("GOOGLETRANSLATE(C377,""en"",""ur"")"),"یہ ایک سادہ سی کاٹھی ہے۔")</f>
        <v>یہ ایک سادہ سی کاٹھی ہے۔</v>
      </c>
      <c r="N377" s="2" t="str">
        <f>IFERROR(__xludf.DUMMYFUNCTION("GOOGLETRANSLATE(D377,""en"",""ur"")"),"یہ سرخ آرائش کے ساتھ ایک انتہائی آرائشی کاٹھی ہے۔")</f>
        <v>یہ سرخ آرائش کے ساتھ ایک انتہائی آرائشی کاٹھی ہے۔</v>
      </c>
      <c r="O377" s="2" t="str">
        <f>IFERROR(__xludf.DUMMYFUNCTION("GOOGLETRANSLATE(E377,""en"",""ur"")"),"یہ ایک ننگا پیڈ ہے۔")</f>
        <v>یہ ایک ننگا پیڈ ہے۔</v>
      </c>
      <c r="P377" s="2" t="str">
        <f>IFERROR(__xludf.DUMMYFUNCTION("GOOGLETRANSLATE(F377,""en"",""ur"")"),"یہ ایک ریسنگ سیڈل ہے۔")</f>
        <v>یہ ایک ریسنگ سیڈل ہے۔</v>
      </c>
      <c r="Q377" s="2" t="s">
        <v>1033</v>
      </c>
      <c r="R377" s="2" t="str">
        <f>IFERROR(__xludf.DUMMYFUNCTION("GOOGLETRANSLATE(G377,""en"",""ur"")"),"یہ سرخ آرائش کے ساتھ ایک انتہائی آرائشی کاٹھی ہے۔")</f>
        <v>یہ سرخ آرائش کے ساتھ ایک انتہائی آرائشی کاٹھی ہے۔</v>
      </c>
      <c r="S377" s="6" t="s">
        <v>1182</v>
      </c>
    </row>
    <row r="378">
      <c r="A378" s="7">
        <v>377.0</v>
      </c>
      <c r="B378" s="6" t="s">
        <v>991</v>
      </c>
      <c r="C378" s="6" t="s">
        <v>992</v>
      </c>
      <c r="D378" s="6" t="s">
        <v>646</v>
      </c>
      <c r="E378" s="6" t="s">
        <v>1051</v>
      </c>
      <c r="F378" s="6" t="s">
        <v>425</v>
      </c>
      <c r="G378" s="6" t="s">
        <v>1051</v>
      </c>
      <c r="H378" s="6" t="s">
        <v>1182</v>
      </c>
      <c r="K378" s="2" t="str">
        <f>IFERROR(__xludf.DUMMYFUNCTION("GOOGLETRANSLATE(A378,""en"",""ur"")"),"377")</f>
        <v>377</v>
      </c>
      <c r="L378" s="2" t="str">
        <f>IFERROR(__xludf.DUMMYFUNCTION("GOOGLETRANSLATE(B378,""en"",""ur"")"),"واقعہ کی ظاہری ترتیب کیا ہے؟")</f>
        <v>واقعہ کی ظاہری ترتیب کیا ہے؟</v>
      </c>
      <c r="M378" s="2" t="str">
        <f>IFERROR(__xludf.DUMMYFUNCTION("GOOGLETRANSLATE(C378,""en"",""ur"")"),"ایک اندرونی میدان")</f>
        <v>ایک اندرونی میدان</v>
      </c>
      <c r="N378" s="2" t="str">
        <f>IFERROR(__xludf.DUMMYFUNCTION("GOOGLETRANSLATE(D378,""en"",""ur"")"),"شہر کی ایک گلی")</f>
        <v>شہر کی ایک گلی</v>
      </c>
      <c r="O378" s="2" t="str">
        <f>IFERROR(__xludf.DUMMYFUNCTION("GOOGLETRANSLATE(E378,""en"",""ur"")"),"تماشائیوں کے ساتھ ایک بیرونی گندگی کا ٹریک")</f>
        <v>تماشائیوں کے ساتھ ایک بیرونی گندگی کا ٹریک</v>
      </c>
      <c r="P378" s="2" t="str">
        <f>IFERROR(__xludf.DUMMYFUNCTION("GOOGLETRANSLATE(F378,""en"",""ur"")"),"گھاس کا میدان")</f>
        <v>گھاس کا میدان</v>
      </c>
      <c r="Q378" s="2" t="s">
        <v>1052</v>
      </c>
      <c r="R378" s="2" t="str">
        <f>IFERROR(__xludf.DUMMYFUNCTION("GOOGLETRANSLATE(G378,""en"",""ur"")"),"تماشائیوں کے ساتھ ایک بیرونی گندگی کا ٹریک")</f>
        <v>تماشائیوں کے ساتھ ایک بیرونی گندگی کا ٹریک</v>
      </c>
      <c r="S378" s="6" t="s">
        <v>1182</v>
      </c>
    </row>
    <row r="379">
      <c r="A379" s="7">
        <v>378.0</v>
      </c>
      <c r="B379" s="6" t="s">
        <v>1036</v>
      </c>
      <c r="C379" s="6" t="s">
        <v>95</v>
      </c>
      <c r="D379" s="6" t="s">
        <v>96</v>
      </c>
      <c r="E379" s="6" t="s">
        <v>1015</v>
      </c>
      <c r="F379" s="6" t="s">
        <v>258</v>
      </c>
      <c r="G379" s="6" t="s">
        <v>1015</v>
      </c>
      <c r="H379" s="6" t="s">
        <v>1182</v>
      </c>
      <c r="K379" s="2" t="str">
        <f>IFERROR(__xludf.DUMMYFUNCTION("GOOGLETRANSLATE(A379,""en"",""ur"")"),"378")</f>
        <v>378</v>
      </c>
      <c r="L379" s="2" t="str">
        <f>IFERROR(__xludf.DUMMYFUNCTION("GOOGLETRANSLATE(B379,""en"",""ur"")"),"کھیل کا نام کیا ہے؟")</f>
        <v>کھیل کا نام کیا ہے؟</v>
      </c>
      <c r="M379" s="2" t="str">
        <f>IFERROR(__xludf.DUMMYFUNCTION("GOOGLETRANSLATE(C379,""en"",""ur"")"),"پولو")</f>
        <v>پولو</v>
      </c>
      <c r="N379" s="2" t="str">
        <f>IFERROR(__xludf.DUMMYFUNCTION("GOOGLETRANSLATE(D379,""en"",""ur"")"),"گھوڑوں کی دوڑ")</f>
        <v>گھوڑوں کی دوڑ</v>
      </c>
      <c r="O379" s="2" t="str">
        <f>IFERROR(__xludf.DUMMYFUNCTION("GOOGLETRANSLATE(E379,""en"",""ur"")"),"ٹینٹ پیگنگ")</f>
        <v>ٹینٹ پیگنگ</v>
      </c>
      <c r="P379" s="2" t="str">
        <f>IFERROR(__xludf.DUMMYFUNCTION("GOOGLETRANSLATE(F379,""en"",""ur"")"),"گھڑ سواری کے کھیل")</f>
        <v>گھڑ سواری کے کھیل</v>
      </c>
      <c r="Q379" s="2" t="s">
        <v>1016</v>
      </c>
      <c r="R379" s="2" t="str">
        <f>IFERROR(__xludf.DUMMYFUNCTION("GOOGLETRANSLATE(G379,""en"",""ur"")"),"ٹینٹ پیگنگ")</f>
        <v>ٹینٹ پیگنگ</v>
      </c>
      <c r="S379" s="6" t="s">
        <v>1182</v>
      </c>
    </row>
    <row r="380">
      <c r="A380" s="7">
        <v>379.0</v>
      </c>
      <c r="B380" s="6" t="s">
        <v>254</v>
      </c>
      <c r="C380" s="6" t="s">
        <v>47</v>
      </c>
      <c r="D380" s="6" t="s">
        <v>48</v>
      </c>
      <c r="E380" s="6" t="s">
        <v>49</v>
      </c>
      <c r="F380" s="6" t="s">
        <v>50</v>
      </c>
      <c r="G380" s="6" t="s">
        <v>49</v>
      </c>
      <c r="H380" s="6" t="s">
        <v>1182</v>
      </c>
      <c r="K380" s="2" t="str">
        <f>IFERROR(__xludf.DUMMYFUNCTION("GOOGLETRANSLATE(A380,""en"",""ur"")"),"379")</f>
        <v>379</v>
      </c>
      <c r="L380" s="2" t="str">
        <f>IFERROR(__xludf.DUMMYFUNCTION("GOOGLETRANSLATE(B380,""en"",""ur"")"),"سواروں کے چہروں سے ظاہری جذبات کیا ہیں؟")</f>
        <v>سواروں کے چہروں سے ظاہری جذبات کیا ہیں؟</v>
      </c>
      <c r="M380" s="2" t="str">
        <f>IFERROR(__xludf.DUMMYFUNCTION("GOOGLETRANSLATE(C380,""en"",""ur"")"),"پرسکون اور پر سکون")</f>
        <v>پرسکون اور پر سکون</v>
      </c>
      <c r="N380" s="2" t="str">
        <f>IFERROR(__xludf.DUMMYFUNCTION("GOOGLETRANSLATE(D380,""en"",""ur"")"),"خوف زدہ اور بے چین")</f>
        <v>خوف زدہ اور بے چین</v>
      </c>
      <c r="O380" s="2" t="str">
        <f>IFERROR(__xludf.DUMMYFUNCTION("GOOGLETRANSLATE(E380,""en"",""ur"")"),"کشیدہ اور شدید")</f>
        <v>کشیدہ اور شدید</v>
      </c>
      <c r="P380" s="2" t="str">
        <f>IFERROR(__xludf.DUMMYFUNCTION("GOOGLETRANSLATE(F380,""en"",""ur"")"),"خوش اور مسکراتے ہوئے۔")</f>
        <v>خوش اور مسکراتے ہوئے۔</v>
      </c>
      <c r="Q380" s="2" t="s">
        <v>51</v>
      </c>
      <c r="R380" s="2" t="str">
        <f>IFERROR(__xludf.DUMMYFUNCTION("GOOGLETRANSLATE(G380,""en"",""ur"")"),"کشیدہ اور شدید")</f>
        <v>کشیدہ اور شدید</v>
      </c>
      <c r="S380" s="6" t="s">
        <v>1182</v>
      </c>
    </row>
    <row r="381">
      <c r="A381" s="7">
        <v>380.0</v>
      </c>
      <c r="B381" s="6" t="s">
        <v>260</v>
      </c>
      <c r="C381" s="6" t="s">
        <v>261</v>
      </c>
      <c r="D381" s="6" t="s">
        <v>262</v>
      </c>
      <c r="E381" s="6" t="s">
        <v>263</v>
      </c>
      <c r="F381" s="6" t="s">
        <v>1001</v>
      </c>
      <c r="G381" s="6" t="s">
        <v>1001</v>
      </c>
      <c r="H381" s="6" t="s">
        <v>1182</v>
      </c>
      <c r="K381" s="2" t="str">
        <f>IFERROR(__xludf.DUMMYFUNCTION("GOOGLETRANSLATE(A381,""en"",""ur"")"),"380")</f>
        <v>380</v>
      </c>
      <c r="L381" s="2" t="str">
        <f>IFERROR(__xludf.DUMMYFUNCTION("GOOGLETRANSLATE(B381,""en"",""ur"")"),"تصویر میں ایکشن ایک ایسا انداز تجویز کرتا ہے جو اس بات پر زور دیتا ہے...")</f>
        <v>تصویر میں ایکشن ایک ایسا انداز تجویز کرتا ہے جو اس بات پر زور دیتا ہے...</v>
      </c>
      <c r="M381" s="2" t="str">
        <f>IFERROR(__xludf.DUMMYFUNCTION("GOOGLETRANSLATE(C381,""en"",""ur"")"),"روانی اور قلابازیاں")</f>
        <v>روانی اور قلابازیاں</v>
      </c>
      <c r="N381" s="2" t="str">
        <f>IFERROR(__xludf.DUMMYFUNCTION("GOOGLETRANSLATE(D381,""en"",""ur"")"),"زمینی لڑائی اور گرفت")</f>
        <v>زمینی لڑائی اور گرفت</v>
      </c>
      <c r="O381" s="2" t="str">
        <f>IFERROR(__xludf.DUMMYFUNCTION("GOOGLETRANSLATE(E381,""en"",""ur"")"),"وحشیانہ قوت اور گھڑ سواری۔")</f>
        <v>وحشیانہ قوت اور گھڑ سواری۔</v>
      </c>
      <c r="P381" s="2" t="str">
        <f>IFERROR(__xludf.DUMMYFUNCTION("GOOGLETRANSLATE(F381,""en"",""ur"")"),"رفتار، درستگی اور چستی")</f>
        <v>رفتار، درستگی اور چستی</v>
      </c>
      <c r="Q381" s="2" t="s">
        <v>1002</v>
      </c>
      <c r="R381" s="2" t="str">
        <f>IFERROR(__xludf.DUMMYFUNCTION("GOOGLETRANSLATE(G381,""en"",""ur"")"),"رفتار، درستگی اور چستی")</f>
        <v>رفتار، درستگی اور چستی</v>
      </c>
      <c r="S381" s="6" t="s">
        <v>1182</v>
      </c>
    </row>
    <row r="382">
      <c r="A382" s="6"/>
      <c r="B382" s="6"/>
      <c r="C382" s="6"/>
      <c r="D382" s="6"/>
      <c r="E382" s="6"/>
      <c r="F382" s="6"/>
      <c r="G382" s="6"/>
      <c r="H382" s="6"/>
      <c r="S382"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K1" s="2" t="str">
        <f>IFERROR(__xludf.DUMMYFUNCTION("GOOGLETRANSLATE(A1,""en"",""ur"")"),"سوال نمبر z")</f>
        <v>سوال نمبر z</v>
      </c>
      <c r="L1" s="2" t="str">
        <f>IFERROR(__xludf.DUMMYFUNCTION("GOOGLETRANSLATE(B1,""en"",""ur"")"),"سوال")</f>
        <v>سوال</v>
      </c>
      <c r="M1" s="2" t="str">
        <f>IFERROR(__xludf.DUMMYFUNCTION("GOOGLETRANSLATE(C1,""en"",""ur"")"),"آپشن-1 زیڈ")</f>
        <v>آپشن-1 زیڈ</v>
      </c>
      <c r="N1" s="2" t="str">
        <f>IFERROR(__xludf.DUMMYFUNCTION("GOOGLETRANSLATE(D1,""en"",""ur"")"),"آپشن-2ز")</f>
        <v>آپشن-2ز</v>
      </c>
      <c r="O1" s="2" t="str">
        <f>IFERROR(__xludf.DUMMYFUNCTION("GOOGLETRANSLATE(E1,""en"",""ur"")"),"آپشن-3z")</f>
        <v>آپشن-3z</v>
      </c>
      <c r="P1" s="2" t="str">
        <f>IFERROR(__xludf.DUMMYFUNCTION("GOOGLETRANSLATE(F1,""en"",""ur"")"),"آپشن-4z")</f>
        <v>آپشن-4z</v>
      </c>
      <c r="Q1" s="3" t="s">
        <v>8</v>
      </c>
      <c r="R1" s="2" t="str">
        <f>IFERROR(__xludf.DUMMYFUNCTION("GOOGLETRANSLATE(G1,""en"",""ur"")"),"جواب")</f>
        <v>جواب</v>
      </c>
      <c r="S1" s="3" t="s">
        <v>9</v>
      </c>
    </row>
    <row r="2">
      <c r="A2" s="7">
        <v>1.0</v>
      </c>
      <c r="B2" s="6" t="s">
        <v>1183</v>
      </c>
      <c r="C2" s="6" t="s">
        <v>405</v>
      </c>
      <c r="D2" s="6" t="s">
        <v>406</v>
      </c>
      <c r="E2" s="6" t="s">
        <v>1184</v>
      </c>
      <c r="F2" s="6" t="s">
        <v>1185</v>
      </c>
      <c r="G2" s="6" t="s">
        <v>1184</v>
      </c>
      <c r="H2" s="6" t="s">
        <v>1186</v>
      </c>
      <c r="I2" s="6"/>
      <c r="J2" s="6"/>
      <c r="K2" s="2" t="str">
        <f>IFERROR(__xludf.DUMMYFUNCTION("GOOGLETRANSLATE(A2,""en"",""ur"")"),"1")</f>
        <v>1</v>
      </c>
      <c r="L2" s="2" t="str">
        <f>IFERROR(__xludf.DUMMYFUNCTION("GOOGLETRANSLATE(B2,""en"",""ur"")"),"ملاخرہ_9 میں دکھایا گیا اہم عمل کیا ہے؟")</f>
        <v>ملاخرہ_9 میں دکھایا گیا اہم عمل کیا ہے؟</v>
      </c>
      <c r="M2" s="2" t="str">
        <f>IFERROR(__xludf.DUMMYFUNCTION("GOOGLETRANSLATE(C2,""en"",""ur"")"),"دو آدمی تلواروں سے لڑ رہے ہیں۔")</f>
        <v>دو آدمی تلواروں سے لڑ رہے ہیں۔</v>
      </c>
      <c r="N2" s="2" t="str">
        <f>IFERROR(__xludf.DUMMYFUNCTION("GOOGLETRANSLATE(D2,""en"",""ur"")"),"دو آدمی ناچ رہے ہیں۔")</f>
        <v>دو آدمی ناچ رہے ہیں۔</v>
      </c>
      <c r="O2" s="2" t="str">
        <f>IFERROR(__xludf.DUMMYFUNCTION("GOOGLETRANSLATE(E2,""en"",""ur"")"),"ایک ریسلنگ میچ میں دو آدمی")</f>
        <v>ایک ریسلنگ میچ میں دو آدمی</v>
      </c>
      <c r="P2" s="2" t="str">
        <f>IFERROR(__xludf.DUMMYFUNCTION("GOOGLETRANSLATE(F2,""en"",""ur"")"),"دو آدمی بھاگ رہے ہیں۔")</f>
        <v>دو آدمی بھاگ رہے ہیں۔</v>
      </c>
      <c r="Q2" s="6" t="str">
        <f t="array" ref="Q2:Q351">TRIM(" (A) " &amp; M2:M351 &amp; " (B) " &amp; N2:N351 &amp; " (C) " &amp; O2:O351 &amp; " (D) " &amp; P2:P351)</f>
        <v>(A) دو آدمی تلواروں سے لڑ رہے ہیں۔ (B) دو آدمی ناچ رہے ہیں۔ (C) ایک ریسلنگ میچ میں دو آدمی (D) دو آدمی بھاگ رہے ہیں۔</v>
      </c>
      <c r="R2" s="6" t="str">
        <f>IFERROR(__xludf.DUMMYFUNCTION("ARRAYFORMULA(IF(G2:G1000="""","""",GOOGLETRANSLATE(G2:G1000,""auto"",""ur"")))
"),"ایک ریسلنگ میچ میں دو آدمی")</f>
        <v>ایک ریسلنگ میچ میں دو آدمی</v>
      </c>
      <c r="S2" s="6" t="s">
        <v>1186</v>
      </c>
      <c r="T2" s="6"/>
      <c r="U2" s="6"/>
      <c r="V2" s="6"/>
      <c r="W2" s="6"/>
      <c r="X2" s="6"/>
      <c r="Y2" s="6"/>
      <c r="Z2" s="6"/>
      <c r="AA2" s="6"/>
      <c r="AB2" s="6"/>
    </row>
    <row r="3">
      <c r="A3" s="7">
        <v>2.0</v>
      </c>
      <c r="B3" s="6" t="s">
        <v>1187</v>
      </c>
      <c r="C3" s="6" t="s">
        <v>1188</v>
      </c>
      <c r="D3" s="6" t="s">
        <v>1189</v>
      </c>
      <c r="E3" s="6" t="s">
        <v>1190</v>
      </c>
      <c r="F3" s="6" t="s">
        <v>1191</v>
      </c>
      <c r="G3" s="6" t="s">
        <v>1188</v>
      </c>
      <c r="H3" s="6" t="s">
        <v>1186</v>
      </c>
      <c r="I3" s="6"/>
      <c r="J3" s="6"/>
      <c r="K3" s="2" t="str">
        <f>IFERROR(__xludf.DUMMYFUNCTION("GOOGLETRANSLATE(A3,""en"",""ur"")"),"2")</f>
        <v>2</v>
      </c>
      <c r="L3" s="2" t="str">
        <f>IFERROR(__xludf.DUMMYFUNCTION("GOOGLETRANSLATE(B3,""en"",""ur"")"),"بائیں طرف پہلوان کے بارے میں ایک قابل ذکر تفصیل کیا ہے؟")</f>
        <v>بائیں طرف پہلوان کے بارے میں ایک قابل ذکر تفصیل کیا ہے؟</v>
      </c>
      <c r="M3" s="2" t="str">
        <f>IFERROR(__xludf.DUMMYFUNCTION("GOOGLETRANSLATE(C3,""en"",""ur"")"),"اس نے لمبی اسکرٹ پہن رکھی ہے۔")</f>
        <v>اس نے لمبی اسکرٹ پہن رکھی ہے۔</v>
      </c>
      <c r="N3" s="2" t="str">
        <f>IFERROR(__xludf.DUMMYFUNCTION("GOOGLETRANSLATE(D3,""en"",""ur"")"),"اس نے سیاہ جوڑا شارٹس اور سفید ٹی شرٹ پہن رکھی ہے۔")</f>
        <v>اس نے سیاہ جوڑا شارٹس اور سفید ٹی شرٹ پہن رکھی ہے۔</v>
      </c>
      <c r="O3" s="2" t="str">
        <f>IFERROR(__xludf.DUMMYFUNCTION("GOOGLETRANSLATE(E3,""en"",""ur"")"),"اس نے سرخ سوٹ پہن رکھا ہے۔")</f>
        <v>اس نے سرخ سوٹ پہن رکھا ہے۔</v>
      </c>
      <c r="P3" s="2" t="str">
        <f>IFERROR(__xludf.DUMMYFUNCTION("GOOGLETRANSLATE(F3,""en"",""ur"")"),"اس نے لمبا کوٹ پہن رکھا ہے۔")</f>
        <v>اس نے لمبا کوٹ پہن رکھا ہے۔</v>
      </c>
      <c r="Q3" s="6" t="s">
        <v>1192</v>
      </c>
      <c r="R3" s="6" t="str">
        <f>IFERROR(__xludf.DUMMYFUNCTION("""COMPUTED_VALUE"""),"ایک ریسلنگ میچ میں دو آدمی")</f>
        <v>ایک ریسلنگ میچ میں دو آدمی</v>
      </c>
      <c r="S3" s="6" t="s">
        <v>1186</v>
      </c>
      <c r="T3" s="6"/>
      <c r="U3" s="6"/>
      <c r="V3" s="6"/>
      <c r="W3" s="6"/>
      <c r="X3" s="6"/>
      <c r="Y3" s="6"/>
      <c r="Z3" s="6"/>
      <c r="AA3" s="6"/>
      <c r="AB3" s="6"/>
    </row>
    <row r="4">
      <c r="A4" s="7">
        <v>3.0</v>
      </c>
      <c r="B4" s="6" t="s">
        <v>1193</v>
      </c>
      <c r="C4" s="6" t="s">
        <v>1194</v>
      </c>
      <c r="D4" s="6" t="s">
        <v>1195</v>
      </c>
      <c r="E4" s="6" t="s">
        <v>1196</v>
      </c>
      <c r="F4" s="6" t="s">
        <v>1197</v>
      </c>
      <c r="G4" s="6" t="s">
        <v>1196</v>
      </c>
      <c r="H4" s="6" t="s">
        <v>1186</v>
      </c>
      <c r="I4" s="6"/>
      <c r="J4" s="6"/>
      <c r="K4" s="2" t="str">
        <f>IFERROR(__xludf.DUMMYFUNCTION("GOOGLETRANSLATE(A4,""en"",""ur"")"),"3")</f>
        <v>3</v>
      </c>
      <c r="L4" s="2" t="str">
        <f>IFERROR(__xludf.DUMMYFUNCTION("GOOGLETRANSLATE(B4,""en"",""ur"")"),"کشتی کا ظاہری مقصد کیا ہے؟")</f>
        <v>کشتی کا ظاہری مقصد کیا ہے؟</v>
      </c>
      <c r="M4" s="2" t="str">
        <f>IFERROR(__xludf.DUMMYFUNCTION("GOOGLETRANSLATE(C4,""en"",""ur"")"),"ایک رسمی رقص")</f>
        <v>ایک رسمی رقص</v>
      </c>
      <c r="N4" s="2" t="str">
        <f>IFERROR(__xludf.DUMMYFUNCTION("GOOGLETRANSLATE(D4,""en"",""ur"")"),"ایک دوستانہ مظاہرہ")</f>
        <v>ایک دوستانہ مظاہرہ</v>
      </c>
      <c r="O4" s="2" t="str">
        <f>IFERROR(__xludf.DUMMYFUNCTION("GOOGLETRANSLATE(E4,""en"",""ur"")"),"ٹیک ڈاؤن کے ساتھ ایک مسابقتی میچ")</f>
        <v>ٹیک ڈاؤن کے ساتھ ایک مسابقتی میچ</v>
      </c>
      <c r="P4" s="2" t="str">
        <f>IFERROR(__xludf.DUMMYFUNCTION("GOOGLETRANSLATE(F4,""en"",""ur"")"),"ایک پریکٹس سیشن")</f>
        <v>ایک پریکٹس سیشن</v>
      </c>
      <c r="Q4" s="6" t="s">
        <v>1198</v>
      </c>
      <c r="R4" s="6" t="str">
        <f>IFERROR(__xludf.DUMMYFUNCTION("""COMPUTED_VALUE"""),"ایک ریسلنگ میچ میں دو آدمی")</f>
        <v>ایک ریسلنگ میچ میں دو آدمی</v>
      </c>
      <c r="S4" s="6" t="s">
        <v>1186</v>
      </c>
      <c r="T4" s="6"/>
      <c r="U4" s="6"/>
      <c r="V4" s="6"/>
      <c r="W4" s="6"/>
      <c r="X4" s="6"/>
      <c r="Y4" s="6"/>
      <c r="Z4" s="6"/>
      <c r="AA4" s="6"/>
      <c r="AB4" s="6"/>
    </row>
    <row r="5">
      <c r="A5" s="7">
        <v>4.0</v>
      </c>
      <c r="B5" s="6" t="s">
        <v>991</v>
      </c>
      <c r="C5" s="6" t="s">
        <v>422</v>
      </c>
      <c r="D5" s="6" t="s">
        <v>1199</v>
      </c>
      <c r="E5" s="6" t="s">
        <v>424</v>
      </c>
      <c r="F5" s="6" t="s">
        <v>425</v>
      </c>
      <c r="G5" s="6" t="s">
        <v>1199</v>
      </c>
      <c r="H5" s="6" t="s">
        <v>1186</v>
      </c>
      <c r="I5" s="6"/>
      <c r="J5" s="6"/>
      <c r="K5" s="2" t="str">
        <f>IFERROR(__xludf.DUMMYFUNCTION("GOOGLETRANSLATE(A5,""en"",""ur"")"),"4")</f>
        <v>4</v>
      </c>
      <c r="L5" s="2" t="str">
        <f>IFERROR(__xludf.DUMMYFUNCTION("GOOGLETRANSLATE(B5,""en"",""ur"")"),"واقعہ کی ظاہری ترتیب کیا ہے؟")</f>
        <v>واقعہ کی ظاہری ترتیب کیا ہے؟</v>
      </c>
      <c r="M5" s="2" t="str">
        <f>IFERROR(__xludf.DUMMYFUNCTION("GOOGLETRANSLATE(C5,""en"",""ur"")"),"ایک انڈور اسٹیڈیم")</f>
        <v>ایک انڈور اسٹیڈیم</v>
      </c>
      <c r="N5" s="2" t="str">
        <f>IFERROR(__xludf.DUMMYFUNCTION("GOOGLETRANSLATE(D5,""en"",""ur"")"),"ایک دیہی، بیرونی گندگی کا ایک بڑا ہجوم")</f>
        <v>ایک دیہی، بیرونی گندگی کا ایک بڑا ہجوم</v>
      </c>
      <c r="O5" s="2" t="str">
        <f>IFERROR(__xludf.DUMMYFUNCTION("GOOGLETRANSLATE(E5,""en"",""ur"")"),"شہر کی مصروف گلی")</f>
        <v>شہر کی مصروف گلی</v>
      </c>
      <c r="P5" s="2" t="str">
        <f>IFERROR(__xludf.DUMMYFUNCTION("GOOGLETRANSLATE(F5,""en"",""ur"")"),"گھاس کا میدان")</f>
        <v>گھاس کا میدان</v>
      </c>
      <c r="Q5" s="6" t="s">
        <v>1200</v>
      </c>
      <c r="R5" s="6" t="str">
        <f>IFERROR(__xludf.DUMMYFUNCTION("""COMPUTED_VALUE"""),"ایک ریسلنگ میچ میں دو آدمی")</f>
        <v>ایک ریسلنگ میچ میں دو آدمی</v>
      </c>
      <c r="S5" s="6" t="s">
        <v>1186</v>
      </c>
      <c r="T5" s="6"/>
      <c r="U5" s="6"/>
      <c r="V5" s="6"/>
      <c r="W5" s="6"/>
      <c r="X5" s="6"/>
      <c r="Y5" s="6"/>
      <c r="Z5" s="6"/>
      <c r="AA5" s="6"/>
      <c r="AB5" s="6"/>
    </row>
    <row r="6">
      <c r="A6" s="7">
        <v>5.0</v>
      </c>
      <c r="B6" s="6" t="s">
        <v>1201</v>
      </c>
      <c r="C6" s="6" t="s">
        <v>47</v>
      </c>
      <c r="D6" s="6" t="s">
        <v>48</v>
      </c>
      <c r="E6" s="6" t="s">
        <v>49</v>
      </c>
      <c r="F6" s="6" t="s">
        <v>50</v>
      </c>
      <c r="G6" s="6" t="s">
        <v>49</v>
      </c>
      <c r="H6" s="6" t="s">
        <v>1186</v>
      </c>
      <c r="I6" s="6"/>
      <c r="J6" s="6"/>
      <c r="K6" s="2" t="str">
        <f>IFERROR(__xludf.DUMMYFUNCTION("GOOGLETRANSLATE(A6,""en"",""ur"")"),"5")</f>
        <v>5</v>
      </c>
      <c r="L6" s="2" t="str">
        <f>IFERROR(__xludf.DUMMYFUNCTION("GOOGLETRANSLATE(B6,""en"",""ur"")"),"پہلوانوں کے ظاہری جذبات کیا ہیں؟")</f>
        <v>پہلوانوں کے ظاہری جذبات کیا ہیں؟</v>
      </c>
      <c r="M6" s="2" t="str">
        <f>IFERROR(__xludf.DUMMYFUNCTION("GOOGLETRANSLATE(C6,""en"",""ur"")"),"پرسکون اور پر سکون")</f>
        <v>پرسکون اور پر سکون</v>
      </c>
      <c r="N6" s="2" t="str">
        <f>IFERROR(__xludf.DUMMYFUNCTION("GOOGLETRANSLATE(D6,""en"",""ur"")"),"خوف زدہ اور بے چین")</f>
        <v>خوف زدہ اور بے چین</v>
      </c>
      <c r="O6" s="2" t="str">
        <f>IFERROR(__xludf.DUMMYFUNCTION("GOOGLETRANSLATE(E6,""en"",""ur"")"),"کشیدہ اور شدید")</f>
        <v>کشیدہ اور شدید</v>
      </c>
      <c r="P6" s="2" t="str">
        <f>IFERROR(__xludf.DUMMYFUNCTION("GOOGLETRANSLATE(F6,""en"",""ur"")"),"خوش اور مسکراتے ہوئے۔")</f>
        <v>خوش اور مسکراتے ہوئے۔</v>
      </c>
      <c r="Q6" s="6" t="s">
        <v>51</v>
      </c>
      <c r="R6" s="6" t="str">
        <f>IFERROR(__xludf.DUMMYFUNCTION("""COMPUTED_VALUE"""),"ایک ریسلنگ میچ میں دو آدمی")</f>
        <v>ایک ریسلنگ میچ میں دو آدمی</v>
      </c>
      <c r="S6" s="6" t="s">
        <v>1186</v>
      </c>
      <c r="T6" s="6"/>
      <c r="U6" s="6"/>
      <c r="V6" s="6"/>
      <c r="W6" s="6"/>
      <c r="X6" s="6"/>
      <c r="Y6" s="6"/>
      <c r="Z6" s="6"/>
      <c r="AA6" s="6"/>
      <c r="AB6" s="6"/>
    </row>
    <row r="7">
      <c r="A7" s="7">
        <v>6.0</v>
      </c>
      <c r="B7" s="6" t="s">
        <v>1202</v>
      </c>
      <c r="C7" s="6" t="s">
        <v>429</v>
      </c>
      <c r="D7" s="6" t="s">
        <v>578</v>
      </c>
      <c r="E7" s="6" t="s">
        <v>431</v>
      </c>
      <c r="F7" s="6" t="s">
        <v>432</v>
      </c>
      <c r="G7" s="6" t="s">
        <v>578</v>
      </c>
      <c r="H7" s="6" t="s">
        <v>1186</v>
      </c>
      <c r="I7" s="6"/>
      <c r="J7" s="6"/>
      <c r="K7" s="2" t="str">
        <f>IFERROR(__xludf.DUMMYFUNCTION("GOOGLETRANSLATE(A7,""en"",""ur"")"),"6")</f>
        <v>6</v>
      </c>
      <c r="L7" s="2" t="str">
        <f>IFERROR(__xludf.DUMMYFUNCTION("GOOGLETRANSLATE(B7,""en"",""ur"")"),"بائیں طرف پہلوان کی ظاہری جسمانی پوزیشن کیا ہے؟")</f>
        <v>بائیں طرف پہلوان کی ظاہری جسمانی پوزیشن کیا ہے؟</v>
      </c>
      <c r="M7" s="2" t="str">
        <f>IFERROR(__xludf.DUMMYFUNCTION("GOOGLETRANSLATE(C7,""en"",""ur"")"),"سیدھا کھڑا ہونا")</f>
        <v>سیدھا کھڑا ہونا</v>
      </c>
      <c r="N7" s="2" t="str">
        <f>IFERROR(__xludf.DUMMYFUNCTION("GOOGLETRANSLATE(D7,""en"",""ur"")"),"درمیانی ہوا کی چھلانگ میں")</f>
        <v>درمیانی ہوا کی چھلانگ میں</v>
      </c>
      <c r="O7" s="2" t="str">
        <f>IFERROR(__xludf.DUMMYFUNCTION("GOOGLETRANSLATE(E7,""en"",""ur"")"),"زمین پر لیٹنا")</f>
        <v>زمین پر لیٹنا</v>
      </c>
      <c r="P7" s="2" t="str">
        <f>IFERROR(__xludf.DUMMYFUNCTION("GOOGLETRANSLATE(F7,""en"",""ur"")"),"بیٹھا ہوا")</f>
        <v>بیٹھا ہوا</v>
      </c>
      <c r="Q7" s="6" t="s">
        <v>579</v>
      </c>
      <c r="R7" s="6" t="str">
        <f>IFERROR(__xludf.DUMMYFUNCTION("""COMPUTED_VALUE"""),"ایک ریسلنگ میچ میں دو آدمی")</f>
        <v>ایک ریسلنگ میچ میں دو آدمی</v>
      </c>
      <c r="S7" s="6" t="s">
        <v>1186</v>
      </c>
      <c r="T7" s="6"/>
      <c r="U7" s="6"/>
      <c r="V7" s="6"/>
      <c r="W7" s="6"/>
      <c r="X7" s="6"/>
      <c r="Y7" s="6"/>
      <c r="Z7" s="6"/>
      <c r="AA7" s="6"/>
      <c r="AB7" s="6"/>
    </row>
    <row r="8">
      <c r="A8" s="7">
        <v>7.0</v>
      </c>
      <c r="B8" s="6" t="s">
        <v>434</v>
      </c>
      <c r="C8" s="6" t="s">
        <v>435</v>
      </c>
      <c r="D8" s="6" t="s">
        <v>436</v>
      </c>
      <c r="E8" s="6" t="s">
        <v>1203</v>
      </c>
      <c r="F8" s="6" t="s">
        <v>438</v>
      </c>
      <c r="G8" s="6" t="s">
        <v>1203</v>
      </c>
      <c r="H8" s="6" t="s">
        <v>1186</v>
      </c>
      <c r="I8" s="6"/>
      <c r="J8" s="6"/>
      <c r="K8" s="2" t="str">
        <f>IFERROR(__xludf.DUMMYFUNCTION("GOOGLETRANSLATE(A8,""en"",""ur"")"),"7")</f>
        <v>7</v>
      </c>
      <c r="L8" s="2" t="str">
        <f>IFERROR(__xludf.DUMMYFUNCTION("GOOGLETRANSLATE(B8,""en"",""ur"")"),"پس منظر میں ہجوم کی سب سے نمایاں خصوصیت کیا ہے؟")</f>
        <v>پس منظر میں ہجوم کی سب سے نمایاں خصوصیت کیا ہے؟</v>
      </c>
      <c r="M8" s="2" t="str">
        <f>IFERROR(__xludf.DUMMYFUNCTION("GOOGLETRANSLATE(C8,""en"",""ur"")"),"وہ بھاگ رہے ہیں۔")</f>
        <v>وہ بھاگ رہے ہیں۔</v>
      </c>
      <c r="N8" s="2" t="str">
        <f>IFERROR(__xludf.DUMMYFUNCTION("GOOGLETRANSLATE(D8,""en"",""ur"")"),"وہ خاموش بیٹھے ہیں۔")</f>
        <v>وہ خاموش بیٹھے ہیں۔</v>
      </c>
      <c r="O8" s="2" t="str">
        <f>IFERROR(__xludf.DUMMYFUNCTION("GOOGLETRANSLATE(E8,""en"",""ur"")"),"وہ باڑ کے پیچھے سے میچ دیکھ رہے ہیں۔")</f>
        <v>وہ باڑ کے پیچھے سے میچ دیکھ رہے ہیں۔</v>
      </c>
      <c r="P8" s="2" t="str">
        <f>IFERROR(__xludf.DUMMYFUNCTION("GOOGLETRANSLATE(F8,""en"",""ur"")"),"وہ سب ایک اسٹیج پر کھڑے ہیں۔")</f>
        <v>وہ سب ایک اسٹیج پر کھڑے ہیں۔</v>
      </c>
      <c r="Q8" s="6" t="s">
        <v>1204</v>
      </c>
      <c r="R8" s="6" t="str">
        <f>IFERROR(__xludf.DUMMYFUNCTION("""COMPUTED_VALUE"""),"ایک ریسلنگ میچ میں دو آدمی")</f>
        <v>ایک ریسلنگ میچ میں دو آدمی</v>
      </c>
      <c r="S8" s="6" t="s">
        <v>1186</v>
      </c>
      <c r="T8" s="6"/>
      <c r="U8" s="6"/>
      <c r="V8" s="6"/>
      <c r="W8" s="6"/>
      <c r="X8" s="6"/>
      <c r="Y8" s="6"/>
      <c r="Z8" s="6"/>
      <c r="AA8" s="6"/>
      <c r="AB8" s="6"/>
    </row>
    <row r="9">
      <c r="A9" s="7">
        <v>8.0</v>
      </c>
      <c r="B9" s="6" t="s">
        <v>440</v>
      </c>
      <c r="C9" s="6" t="s">
        <v>441</v>
      </c>
      <c r="D9" s="6" t="s">
        <v>442</v>
      </c>
      <c r="E9" s="6" t="s">
        <v>443</v>
      </c>
      <c r="F9" s="6" t="s">
        <v>444</v>
      </c>
      <c r="G9" s="6" t="s">
        <v>443</v>
      </c>
      <c r="H9" s="6" t="s">
        <v>1186</v>
      </c>
      <c r="I9" s="6"/>
      <c r="J9" s="6"/>
      <c r="K9" s="2" t="str">
        <f>IFERROR(__xludf.DUMMYFUNCTION("GOOGLETRANSLATE(A9,""en"",""ur"")"),"8")</f>
        <v>8</v>
      </c>
      <c r="L9" s="2" t="str">
        <f>IFERROR(__xludf.DUMMYFUNCTION("GOOGLETRANSLATE(B9,""en"",""ur"")"),"زمین کی ظاہری حالت کیا ہے؟")</f>
        <v>زمین کی ظاہری حالت کیا ہے؟</v>
      </c>
      <c r="M9" s="2" t="str">
        <f>IFERROR(__xludf.DUMMYFUNCTION("GOOGLETRANSLATE(C9,""en"",""ur"")"),"یہ ایک پکی سطح ہے۔")</f>
        <v>یہ ایک پکی سطح ہے۔</v>
      </c>
      <c r="N9" s="2" t="str">
        <f>IFERROR(__xludf.DUMMYFUNCTION("GOOGLETRANSLATE(D9,""en"",""ur"")"),"یہ ایک کیچڑ والا میدان ہے۔")</f>
        <v>یہ ایک کیچڑ والا میدان ہے۔</v>
      </c>
      <c r="O9" s="2" t="str">
        <f>IFERROR(__xludf.DUMMYFUNCTION("GOOGLETRANSLATE(E9,""en"",""ur"")"),"یہ ایک ریتلی یا مٹی کی سطح ہے جس میں دھول اڑتی ہے۔")</f>
        <v>یہ ایک ریتلی یا مٹی کی سطح ہے جس میں دھول اڑتی ہے۔</v>
      </c>
      <c r="P9" s="2" t="str">
        <f>IFERROR(__xludf.DUMMYFUNCTION("GOOGLETRANSLATE(F9,""en"",""ur"")"),"یہ ایک گھاس والی سطح ہے۔")</f>
        <v>یہ ایک گھاس والی سطح ہے۔</v>
      </c>
      <c r="Q9" s="6" t="s">
        <v>445</v>
      </c>
      <c r="R9" s="6" t="str">
        <f>IFERROR(__xludf.DUMMYFUNCTION("""COMPUTED_VALUE"""),"ایک ریسلنگ میچ میں دو آدمی")</f>
        <v>ایک ریسلنگ میچ میں دو آدمی</v>
      </c>
      <c r="S9" s="6" t="s">
        <v>1186</v>
      </c>
      <c r="T9" s="6"/>
      <c r="U9" s="6"/>
      <c r="V9" s="6"/>
      <c r="W9" s="6"/>
      <c r="X9" s="6"/>
      <c r="Y9" s="6"/>
      <c r="Z9" s="6"/>
      <c r="AA9" s="6"/>
      <c r="AB9" s="6"/>
    </row>
    <row r="10">
      <c r="A10" s="7">
        <v>9.0</v>
      </c>
      <c r="B10" s="6" t="s">
        <v>1205</v>
      </c>
      <c r="C10" s="6" t="s">
        <v>1206</v>
      </c>
      <c r="D10" s="6" t="s">
        <v>1207</v>
      </c>
      <c r="E10" s="6" t="s">
        <v>1208</v>
      </c>
      <c r="F10" s="6" t="s">
        <v>449</v>
      </c>
      <c r="G10" s="6" t="s">
        <v>1208</v>
      </c>
      <c r="H10" s="6" t="s">
        <v>1186</v>
      </c>
      <c r="I10" s="6"/>
      <c r="J10" s="6"/>
      <c r="K10" s="2" t="str">
        <f>IFERROR(__xludf.DUMMYFUNCTION("GOOGLETRANSLATE(A10,""en"",""ur"")"),"9")</f>
        <v>9</v>
      </c>
      <c r="L10" s="2" t="str">
        <f>IFERROR(__xludf.DUMMYFUNCTION("GOOGLETRANSLATE(B10,""en"",""ur"")"),"لمبی اسکرٹس کا بنیادی مقصد کیا ہے؟")</f>
        <v>لمبی اسکرٹس کا بنیادی مقصد کیا ہے؟</v>
      </c>
      <c r="M10" s="2" t="str">
        <f>IFERROR(__xludf.DUMMYFUNCTION("GOOGLETRANSLATE(C10,""en"",""ur"")"),"پہلوانوں کی ٹانگوں کی حفاظت کے لیے")</f>
        <v>پہلوانوں کی ٹانگوں کی حفاظت کے لیے</v>
      </c>
      <c r="N10" s="2" t="str">
        <f>IFERROR(__xludf.DUMMYFUNCTION("GOOGLETRANSLATE(D10,""en"",""ur"")"),"پہلوانوں کو مزید چست بنانے کے لیے")</f>
        <v>پہلوانوں کو مزید چست بنانے کے لیے</v>
      </c>
      <c r="O10" s="2" t="str">
        <f>IFERROR(__xludf.DUMMYFUNCTION("GOOGLETRANSLATE(E10,""en"",""ur"")"),"روایتی لباس اور لڑائی کے دوران گرفت کے لیے")</f>
        <v>روایتی لباس اور لڑائی کے دوران گرفت کے لیے</v>
      </c>
      <c r="P10" s="2" t="str">
        <f>IFERROR(__xludf.DUMMYFUNCTION("GOOGLETRANSLATE(F10,""en"",""ur"")"),"صرف سجاوٹ کے لیے")</f>
        <v>صرف سجاوٹ کے لیے</v>
      </c>
      <c r="Q10" s="6" t="s">
        <v>1209</v>
      </c>
      <c r="R10" s="6" t="str">
        <f>IFERROR(__xludf.DUMMYFUNCTION("""COMPUTED_VALUE"""),"ایک ریسلنگ میچ میں دو آدمی")</f>
        <v>ایک ریسلنگ میچ میں دو آدمی</v>
      </c>
      <c r="S10" s="6" t="s">
        <v>1186</v>
      </c>
      <c r="T10" s="6"/>
      <c r="U10" s="6"/>
      <c r="V10" s="6"/>
      <c r="W10" s="6"/>
      <c r="X10" s="6"/>
      <c r="Y10" s="6"/>
      <c r="Z10" s="6"/>
      <c r="AA10" s="6"/>
      <c r="AB10" s="6"/>
    </row>
    <row r="11">
      <c r="A11" s="7">
        <v>10.0</v>
      </c>
      <c r="B11" s="6" t="s">
        <v>260</v>
      </c>
      <c r="C11" s="6" t="s">
        <v>261</v>
      </c>
      <c r="D11" s="6" t="s">
        <v>262</v>
      </c>
      <c r="E11" s="6" t="s">
        <v>1210</v>
      </c>
      <c r="F11" s="6" t="s">
        <v>264</v>
      </c>
      <c r="G11" s="6" t="s">
        <v>1210</v>
      </c>
      <c r="H11" s="6" t="s">
        <v>1186</v>
      </c>
      <c r="I11" s="6"/>
      <c r="J11" s="6"/>
      <c r="K11" s="2" t="str">
        <f>IFERROR(__xludf.DUMMYFUNCTION("GOOGLETRANSLATE(A11,""en"",""ur"")"),"10")</f>
        <v>10</v>
      </c>
      <c r="L11" s="2" t="str">
        <f>IFERROR(__xludf.DUMMYFUNCTION("GOOGLETRANSLATE(B11,""en"",""ur"")"),"تصویر میں ایکشن ایک ایسا انداز تجویز کرتا ہے جو اس بات پر زور دیتا ہے...")</f>
        <v>تصویر میں ایکشن ایک ایسا انداز تجویز کرتا ہے جو اس بات پر زور دیتا ہے...</v>
      </c>
      <c r="M11" s="2" t="str">
        <f>IFERROR(__xludf.DUMMYFUNCTION("GOOGLETRANSLATE(C11,""en"",""ur"")"),"روانی اور قلابازیاں")</f>
        <v>روانی اور قلابازیاں</v>
      </c>
      <c r="N11" s="2" t="str">
        <f>IFERROR(__xludf.DUMMYFUNCTION("GOOGLETRANSLATE(D11,""en"",""ur"")"),"زمینی لڑائی اور گرفت")</f>
        <v>زمینی لڑائی اور گرفت</v>
      </c>
      <c r="O11" s="2" t="str">
        <f>IFERROR(__xludf.DUMMYFUNCTION("GOOGLETRANSLATE(E11,""en"",""ur"")"),"وحشیانہ طاقت اور ٹیک ڈاؤن")</f>
        <v>وحشیانہ طاقت اور ٹیک ڈاؤن</v>
      </c>
      <c r="P11" s="2" t="str">
        <f>IFERROR(__xludf.DUMMYFUNCTION("GOOGLETRANSLATE(F11,""en"",""ur"")"),"سادہ، لکیری حرکات")</f>
        <v>سادہ، لکیری حرکات</v>
      </c>
      <c r="Q11" s="6" t="s">
        <v>1211</v>
      </c>
      <c r="R11" s="6" t="str">
        <f>IFERROR(__xludf.DUMMYFUNCTION("""COMPUTED_VALUE"""),"ایک ریسلنگ میچ میں دو آدمی")</f>
        <v>ایک ریسلنگ میچ میں دو آدمی</v>
      </c>
      <c r="S11" s="6" t="s">
        <v>1186</v>
      </c>
      <c r="T11" s="6"/>
      <c r="U11" s="6"/>
      <c r="V11" s="6"/>
      <c r="W11" s="6"/>
      <c r="X11" s="6"/>
      <c r="Y11" s="6"/>
      <c r="Z11" s="6"/>
      <c r="AA11" s="6"/>
      <c r="AB11" s="6"/>
    </row>
    <row r="12">
      <c r="A12" s="7">
        <v>11.0</v>
      </c>
      <c r="B12" s="6" t="s">
        <v>1212</v>
      </c>
      <c r="C12" s="6" t="s">
        <v>405</v>
      </c>
      <c r="D12" s="6" t="s">
        <v>406</v>
      </c>
      <c r="E12" s="6" t="s">
        <v>1184</v>
      </c>
      <c r="F12" s="6" t="s">
        <v>1185</v>
      </c>
      <c r="G12" s="6" t="s">
        <v>1184</v>
      </c>
      <c r="H12" s="6" t="s">
        <v>1213</v>
      </c>
      <c r="I12" s="6"/>
      <c r="J12" s="6"/>
      <c r="K12" s="2" t="str">
        <f>IFERROR(__xludf.DUMMYFUNCTION("GOOGLETRANSLATE(A12,""en"",""ur"")"),"11")</f>
        <v>11</v>
      </c>
      <c r="L12" s="2" t="str">
        <f>IFERROR(__xludf.DUMMYFUNCTION("GOOGLETRANSLATE(B12,""en"",""ur"")"),"ملاخرہ_12 میں دکھایا گیا اہم عمل کیا ہے؟")</f>
        <v>ملاخرہ_12 میں دکھایا گیا اہم عمل کیا ہے؟</v>
      </c>
      <c r="M12" s="2" t="str">
        <f>IFERROR(__xludf.DUMMYFUNCTION("GOOGLETRANSLATE(C12,""en"",""ur"")"),"دو آدمی تلواروں سے لڑ رہے ہیں۔")</f>
        <v>دو آدمی تلواروں سے لڑ رہے ہیں۔</v>
      </c>
      <c r="N12" s="2" t="str">
        <f>IFERROR(__xludf.DUMMYFUNCTION("GOOGLETRANSLATE(D12,""en"",""ur"")"),"دو آدمی ناچ رہے ہیں۔")</f>
        <v>دو آدمی ناچ رہے ہیں۔</v>
      </c>
      <c r="O12" s="2" t="str">
        <f>IFERROR(__xludf.DUMMYFUNCTION("GOOGLETRANSLATE(E12,""en"",""ur"")"),"ایک ریسلنگ میچ میں دو آدمی")</f>
        <v>ایک ریسلنگ میچ میں دو آدمی</v>
      </c>
      <c r="P12" s="2" t="str">
        <f>IFERROR(__xludf.DUMMYFUNCTION("GOOGLETRANSLATE(F12,""en"",""ur"")"),"دو آدمی بھاگ رہے ہیں۔")</f>
        <v>دو آدمی بھاگ رہے ہیں۔</v>
      </c>
      <c r="Q12" s="6" t="s">
        <v>1214</v>
      </c>
      <c r="R12" s="6" t="str">
        <f>IFERROR(__xludf.DUMMYFUNCTION("""COMPUTED_VALUE"""),"ایک ریسلنگ میچ میں دو آدمی")</f>
        <v>ایک ریسلنگ میچ میں دو آدمی</v>
      </c>
      <c r="S12" s="6" t="s">
        <v>1213</v>
      </c>
      <c r="T12" s="6"/>
      <c r="U12" s="6"/>
      <c r="V12" s="6"/>
      <c r="W12" s="6"/>
      <c r="X12" s="6"/>
      <c r="Y12" s="6"/>
      <c r="Z12" s="6"/>
      <c r="AA12" s="6"/>
      <c r="AB12" s="6"/>
    </row>
    <row r="13">
      <c r="A13" s="7">
        <v>12.0</v>
      </c>
      <c r="B13" s="6" t="s">
        <v>1215</v>
      </c>
      <c r="C13" s="6" t="s">
        <v>488</v>
      </c>
      <c r="D13" s="6" t="s">
        <v>1216</v>
      </c>
      <c r="E13" s="6" t="s">
        <v>490</v>
      </c>
      <c r="F13" s="6" t="s">
        <v>246</v>
      </c>
      <c r="G13" s="6" t="s">
        <v>1216</v>
      </c>
      <c r="H13" s="6" t="s">
        <v>1213</v>
      </c>
      <c r="I13" s="6"/>
      <c r="J13" s="6"/>
      <c r="K13" s="2" t="str">
        <f>IFERROR(__xludf.DUMMYFUNCTION("GOOGLETRANSLATE(A13,""en"",""ur"")"),"12")</f>
        <v>12</v>
      </c>
      <c r="L13" s="2" t="str">
        <f>IFERROR(__xludf.DUMMYFUNCTION("GOOGLETRANSLATE(B13,""en"",""ur"")"),"پہلوانوں کے لباس کے بارے میں ایک قابل ذکر تفصیل کیا ہے؟")</f>
        <v>پہلوانوں کے لباس کے بارے میں ایک قابل ذکر تفصیل کیا ہے؟</v>
      </c>
      <c r="M13" s="2" t="str">
        <f>IFERROR(__xludf.DUMMYFUNCTION("GOOGLETRANSLATE(C13,""en"",""ur"")"),"انہوں نے بکتر کا پورا سوٹ پہن رکھا ہے۔")</f>
        <v>انہوں نے بکتر کا پورا سوٹ پہن رکھا ہے۔</v>
      </c>
      <c r="N13" s="2" t="str">
        <f>IFERROR(__xludf.DUMMYFUNCTION("GOOGLETRANSLATE(D13,""en"",""ur"")"),"وہ سارونگ یا پیٹرن والا اسکرٹ پہنے ہوئے ہیں۔")</f>
        <v>وہ سارونگ یا پیٹرن والا اسکرٹ پہنے ہوئے ہیں۔</v>
      </c>
      <c r="O13" s="2" t="str">
        <f>IFERROR(__xludf.DUMMYFUNCTION("GOOGLETRANSLATE(E13,""en"",""ur"")"),"انہوں نے شارٹس اور ٹی شرٹ پہن رکھی ہیں۔")</f>
        <v>انہوں نے شارٹس اور ٹی شرٹ پہن رکھی ہیں۔</v>
      </c>
      <c r="P13" s="2" t="str">
        <f>IFERROR(__xludf.DUMMYFUNCTION("GOOGLETRANSLATE(F13,""en"",""ur"")"),"انہوں نے کوئی لباس نہیں پہنا ہوا ہے۔")</f>
        <v>انہوں نے کوئی لباس نہیں پہنا ہوا ہے۔</v>
      </c>
      <c r="Q13" s="6" t="s">
        <v>1217</v>
      </c>
      <c r="R13" s="6" t="str">
        <f>IFERROR(__xludf.DUMMYFUNCTION("""COMPUTED_VALUE"""),"ایک ریسلنگ میچ میں دو آدمی")</f>
        <v>ایک ریسلنگ میچ میں دو آدمی</v>
      </c>
      <c r="S13" s="6" t="s">
        <v>1213</v>
      </c>
      <c r="T13" s="6"/>
      <c r="U13" s="6"/>
      <c r="V13" s="6"/>
      <c r="W13" s="6"/>
      <c r="X13" s="6"/>
      <c r="Y13" s="6"/>
      <c r="Z13" s="6"/>
      <c r="AA13" s="6"/>
      <c r="AB13" s="6"/>
    </row>
    <row r="14">
      <c r="A14" s="7">
        <v>13.0</v>
      </c>
      <c r="B14" s="6" t="s">
        <v>1193</v>
      </c>
      <c r="C14" s="6" t="s">
        <v>1194</v>
      </c>
      <c r="D14" s="6" t="s">
        <v>1195</v>
      </c>
      <c r="E14" s="6" t="s">
        <v>1196</v>
      </c>
      <c r="F14" s="6" t="s">
        <v>1197</v>
      </c>
      <c r="G14" s="6" t="s">
        <v>1196</v>
      </c>
      <c r="H14" s="6" t="s">
        <v>1213</v>
      </c>
      <c r="I14" s="6"/>
      <c r="J14" s="6"/>
      <c r="K14" s="2" t="str">
        <f>IFERROR(__xludf.DUMMYFUNCTION("GOOGLETRANSLATE(A14,""en"",""ur"")"),"13")</f>
        <v>13</v>
      </c>
      <c r="L14" s="2" t="str">
        <f>IFERROR(__xludf.DUMMYFUNCTION("GOOGLETRANSLATE(B14,""en"",""ur"")"),"کشتی کا ظاہری مقصد کیا ہے؟")</f>
        <v>کشتی کا ظاہری مقصد کیا ہے؟</v>
      </c>
      <c r="M14" s="2" t="str">
        <f>IFERROR(__xludf.DUMMYFUNCTION("GOOGLETRANSLATE(C14,""en"",""ur"")"),"ایک رسمی رقص")</f>
        <v>ایک رسمی رقص</v>
      </c>
      <c r="N14" s="2" t="str">
        <f>IFERROR(__xludf.DUMMYFUNCTION("GOOGLETRANSLATE(D14,""en"",""ur"")"),"ایک دوستانہ مظاہرہ")</f>
        <v>ایک دوستانہ مظاہرہ</v>
      </c>
      <c r="O14" s="2" t="str">
        <f>IFERROR(__xludf.DUMMYFUNCTION("GOOGLETRANSLATE(E14,""en"",""ur"")"),"ٹیک ڈاؤن کے ساتھ ایک مسابقتی میچ")</f>
        <v>ٹیک ڈاؤن کے ساتھ ایک مسابقتی میچ</v>
      </c>
      <c r="P14" s="2" t="str">
        <f>IFERROR(__xludf.DUMMYFUNCTION("GOOGLETRANSLATE(F14,""en"",""ur"")"),"ایک پریکٹس سیشن")</f>
        <v>ایک پریکٹس سیشن</v>
      </c>
      <c r="Q14" s="6" t="s">
        <v>1198</v>
      </c>
      <c r="R14" s="6" t="str">
        <f>IFERROR(__xludf.DUMMYFUNCTION("""COMPUTED_VALUE"""),"ایک ریسلنگ میچ میں دو آدمی")</f>
        <v>ایک ریسلنگ میچ میں دو آدمی</v>
      </c>
      <c r="S14" s="6" t="s">
        <v>1213</v>
      </c>
      <c r="T14" s="6"/>
      <c r="U14" s="6"/>
      <c r="V14" s="6"/>
      <c r="W14" s="6"/>
      <c r="X14" s="6"/>
      <c r="Y14" s="6"/>
      <c r="Z14" s="6"/>
      <c r="AA14" s="6"/>
      <c r="AB14" s="6"/>
    </row>
    <row r="15">
      <c r="A15" s="7">
        <v>14.0</v>
      </c>
      <c r="B15" s="6" t="s">
        <v>991</v>
      </c>
      <c r="C15" s="6" t="s">
        <v>422</v>
      </c>
      <c r="D15" s="6" t="s">
        <v>1199</v>
      </c>
      <c r="E15" s="6" t="s">
        <v>424</v>
      </c>
      <c r="F15" s="6" t="s">
        <v>425</v>
      </c>
      <c r="G15" s="6" t="s">
        <v>1199</v>
      </c>
      <c r="H15" s="6" t="s">
        <v>1213</v>
      </c>
      <c r="I15" s="6"/>
      <c r="J15" s="6"/>
      <c r="K15" s="2" t="str">
        <f>IFERROR(__xludf.DUMMYFUNCTION("GOOGLETRANSLATE(A15,""en"",""ur"")"),"14")</f>
        <v>14</v>
      </c>
      <c r="L15" s="2" t="str">
        <f>IFERROR(__xludf.DUMMYFUNCTION("GOOGLETRANSLATE(B15,""en"",""ur"")"),"واقعہ کی ظاہری ترتیب کیا ہے؟")</f>
        <v>واقعہ کی ظاہری ترتیب کیا ہے؟</v>
      </c>
      <c r="M15" s="2" t="str">
        <f>IFERROR(__xludf.DUMMYFUNCTION("GOOGLETRANSLATE(C15,""en"",""ur"")"),"ایک انڈور اسٹیڈیم")</f>
        <v>ایک انڈور اسٹیڈیم</v>
      </c>
      <c r="N15" s="2" t="str">
        <f>IFERROR(__xludf.DUMMYFUNCTION("GOOGLETRANSLATE(D15,""en"",""ur"")"),"ایک دیہی، بیرونی گندگی کا ایک بڑا ہجوم")</f>
        <v>ایک دیہی، بیرونی گندگی کا ایک بڑا ہجوم</v>
      </c>
      <c r="O15" s="2" t="str">
        <f>IFERROR(__xludf.DUMMYFUNCTION("GOOGLETRANSLATE(E15,""en"",""ur"")"),"شہر کی مصروف گلی")</f>
        <v>شہر کی مصروف گلی</v>
      </c>
      <c r="P15" s="2" t="str">
        <f>IFERROR(__xludf.DUMMYFUNCTION("GOOGLETRANSLATE(F15,""en"",""ur"")"),"گھاس کا میدان")</f>
        <v>گھاس کا میدان</v>
      </c>
      <c r="Q15" s="6" t="s">
        <v>1200</v>
      </c>
      <c r="R15" s="6" t="str">
        <f>IFERROR(__xludf.DUMMYFUNCTION("""COMPUTED_VALUE"""),"ایک ریسلنگ میچ میں دو آدمی")</f>
        <v>ایک ریسلنگ میچ میں دو آدمی</v>
      </c>
      <c r="S15" s="6" t="s">
        <v>1213</v>
      </c>
      <c r="T15" s="6"/>
      <c r="U15" s="6"/>
      <c r="V15" s="6"/>
      <c r="W15" s="6"/>
      <c r="X15" s="6"/>
      <c r="Y15" s="6"/>
      <c r="Z15" s="6"/>
      <c r="AA15" s="6"/>
      <c r="AB15" s="6"/>
    </row>
    <row r="16">
      <c r="A16" s="7">
        <v>15.0</v>
      </c>
      <c r="B16" s="6" t="s">
        <v>1201</v>
      </c>
      <c r="C16" s="6" t="s">
        <v>47</v>
      </c>
      <c r="D16" s="6" t="s">
        <v>48</v>
      </c>
      <c r="E16" s="6" t="s">
        <v>49</v>
      </c>
      <c r="F16" s="6" t="s">
        <v>50</v>
      </c>
      <c r="G16" s="6" t="s">
        <v>49</v>
      </c>
      <c r="H16" s="6" t="s">
        <v>1213</v>
      </c>
      <c r="I16" s="6"/>
      <c r="J16" s="6"/>
      <c r="K16" s="2" t="str">
        <f>IFERROR(__xludf.DUMMYFUNCTION("GOOGLETRANSLATE(A16,""en"",""ur"")"),"15")</f>
        <v>15</v>
      </c>
      <c r="L16" s="2" t="str">
        <f>IFERROR(__xludf.DUMMYFUNCTION("GOOGLETRANSLATE(B16,""en"",""ur"")"),"پہلوانوں کے ظاہری جذبات کیا ہیں؟")</f>
        <v>پہلوانوں کے ظاہری جذبات کیا ہیں؟</v>
      </c>
      <c r="M16" s="2" t="str">
        <f>IFERROR(__xludf.DUMMYFUNCTION("GOOGLETRANSLATE(C16,""en"",""ur"")"),"پرسکون اور پر سکون")</f>
        <v>پرسکون اور پر سکون</v>
      </c>
      <c r="N16" s="2" t="str">
        <f>IFERROR(__xludf.DUMMYFUNCTION("GOOGLETRANSLATE(D16,""en"",""ur"")"),"خوف زدہ اور بے چین")</f>
        <v>خوف زدہ اور بے چین</v>
      </c>
      <c r="O16" s="2" t="str">
        <f>IFERROR(__xludf.DUMMYFUNCTION("GOOGLETRANSLATE(E16,""en"",""ur"")"),"کشیدہ اور شدید")</f>
        <v>کشیدہ اور شدید</v>
      </c>
      <c r="P16" s="2" t="str">
        <f>IFERROR(__xludf.DUMMYFUNCTION("GOOGLETRANSLATE(F16,""en"",""ur"")"),"خوش اور مسکراتے ہوئے۔")</f>
        <v>خوش اور مسکراتے ہوئے۔</v>
      </c>
      <c r="Q16" s="6" t="s">
        <v>51</v>
      </c>
      <c r="R16" s="6" t="str">
        <f>IFERROR(__xludf.DUMMYFUNCTION("""COMPUTED_VALUE"""),"ایک ریسلنگ میچ میں دو آدمی")</f>
        <v>ایک ریسلنگ میچ میں دو آدمی</v>
      </c>
      <c r="S16" s="6" t="s">
        <v>1213</v>
      </c>
      <c r="T16" s="6"/>
      <c r="U16" s="6"/>
      <c r="V16" s="6"/>
      <c r="W16" s="6"/>
      <c r="X16" s="6"/>
      <c r="Y16" s="6"/>
      <c r="Z16" s="6"/>
      <c r="AA16" s="6"/>
      <c r="AB16" s="6"/>
    </row>
    <row r="17">
      <c r="A17" s="7">
        <v>16.0</v>
      </c>
      <c r="B17" s="6" t="s">
        <v>1218</v>
      </c>
      <c r="C17" s="6" t="s">
        <v>429</v>
      </c>
      <c r="D17" s="6" t="s">
        <v>430</v>
      </c>
      <c r="E17" s="6" t="s">
        <v>431</v>
      </c>
      <c r="F17" s="6" t="s">
        <v>432</v>
      </c>
      <c r="G17" s="6" t="s">
        <v>430</v>
      </c>
      <c r="H17" s="6" t="s">
        <v>1213</v>
      </c>
      <c r="I17" s="6"/>
      <c r="J17" s="6"/>
      <c r="K17" s="2" t="str">
        <f>IFERROR(__xludf.DUMMYFUNCTION("GOOGLETRANSLATE(A17,""en"",""ur"")"),"16")</f>
        <v>16</v>
      </c>
      <c r="L17" s="2" t="str">
        <f>IFERROR(__xludf.DUMMYFUNCTION("GOOGLETRANSLATE(B17,""en"",""ur"")"),"پہلوانوں کی ظاہری جسمانی پوزیشن کیا ہے؟")</f>
        <v>پہلوانوں کی ظاہری جسمانی پوزیشن کیا ہے؟</v>
      </c>
      <c r="M17" s="2" t="str">
        <f>IFERROR(__xludf.DUMMYFUNCTION("GOOGLETRANSLATE(C17,""en"",""ur"")"),"سیدھا کھڑا ہونا")</f>
        <v>سیدھا کھڑا ہونا</v>
      </c>
      <c r="N17" s="2" t="str">
        <f>IFERROR(__xludf.DUMMYFUNCTION("GOOGLETRANSLATE(D17,""en"",""ur"")"),"کم، متحرک موقف میں")</f>
        <v>کم، متحرک موقف میں</v>
      </c>
      <c r="O17" s="2" t="str">
        <f>IFERROR(__xludf.DUMMYFUNCTION("GOOGLETRANSLATE(E17,""en"",""ur"")"),"زمین پر لیٹنا")</f>
        <v>زمین پر لیٹنا</v>
      </c>
      <c r="P17" s="2" t="str">
        <f>IFERROR(__xludf.DUMMYFUNCTION("GOOGLETRANSLATE(F17,""en"",""ur"")"),"بیٹھا ہوا")</f>
        <v>بیٹھا ہوا</v>
      </c>
      <c r="Q17" s="6" t="s">
        <v>433</v>
      </c>
      <c r="R17" s="6" t="str">
        <f>IFERROR(__xludf.DUMMYFUNCTION("""COMPUTED_VALUE"""),"ایک ریسلنگ میچ میں دو آدمی")</f>
        <v>ایک ریسلنگ میچ میں دو آدمی</v>
      </c>
      <c r="S17" s="6" t="s">
        <v>1213</v>
      </c>
      <c r="T17" s="6"/>
      <c r="U17" s="6"/>
      <c r="V17" s="6"/>
      <c r="W17" s="6"/>
      <c r="X17" s="6"/>
      <c r="Y17" s="6"/>
      <c r="Z17" s="6"/>
      <c r="AA17" s="6"/>
      <c r="AB17" s="6"/>
    </row>
    <row r="18">
      <c r="A18" s="7">
        <v>17.0</v>
      </c>
      <c r="B18" s="6" t="s">
        <v>434</v>
      </c>
      <c r="C18" s="6" t="s">
        <v>435</v>
      </c>
      <c r="D18" s="6" t="s">
        <v>436</v>
      </c>
      <c r="E18" s="6" t="s">
        <v>1203</v>
      </c>
      <c r="F18" s="6" t="s">
        <v>438</v>
      </c>
      <c r="G18" s="6" t="s">
        <v>1203</v>
      </c>
      <c r="H18" s="6" t="s">
        <v>1213</v>
      </c>
      <c r="I18" s="6"/>
      <c r="J18" s="6"/>
      <c r="K18" s="2" t="str">
        <f>IFERROR(__xludf.DUMMYFUNCTION("GOOGLETRANSLATE(A18,""en"",""ur"")"),"17")</f>
        <v>17</v>
      </c>
      <c r="L18" s="2" t="str">
        <f>IFERROR(__xludf.DUMMYFUNCTION("GOOGLETRANSLATE(B18,""en"",""ur"")"),"پس منظر میں ہجوم کی سب سے نمایاں خصوصیت کیا ہے؟")</f>
        <v>پس منظر میں ہجوم کی سب سے نمایاں خصوصیت کیا ہے؟</v>
      </c>
      <c r="M18" s="2" t="str">
        <f>IFERROR(__xludf.DUMMYFUNCTION("GOOGLETRANSLATE(C18,""en"",""ur"")"),"وہ بھاگ رہے ہیں۔")</f>
        <v>وہ بھاگ رہے ہیں۔</v>
      </c>
      <c r="N18" s="2" t="str">
        <f>IFERROR(__xludf.DUMMYFUNCTION("GOOGLETRANSLATE(D18,""en"",""ur"")"),"وہ خاموش بیٹھے ہیں۔")</f>
        <v>وہ خاموش بیٹھے ہیں۔</v>
      </c>
      <c r="O18" s="2" t="str">
        <f>IFERROR(__xludf.DUMMYFUNCTION("GOOGLETRANSLATE(E18,""en"",""ur"")"),"وہ باڑ کے پیچھے سے میچ دیکھ رہے ہیں۔")</f>
        <v>وہ باڑ کے پیچھے سے میچ دیکھ رہے ہیں۔</v>
      </c>
      <c r="P18" s="2" t="str">
        <f>IFERROR(__xludf.DUMMYFUNCTION("GOOGLETRANSLATE(F18,""en"",""ur"")"),"وہ سب ایک اسٹیج پر کھڑے ہیں۔")</f>
        <v>وہ سب ایک اسٹیج پر کھڑے ہیں۔</v>
      </c>
      <c r="Q18" s="6" t="s">
        <v>1204</v>
      </c>
      <c r="R18" s="6" t="str">
        <f>IFERROR(__xludf.DUMMYFUNCTION("""COMPUTED_VALUE"""),"ایک ریسلنگ میچ میں دو آدمی")</f>
        <v>ایک ریسلنگ میچ میں دو آدمی</v>
      </c>
      <c r="S18" s="6" t="s">
        <v>1213</v>
      </c>
      <c r="T18" s="6"/>
      <c r="U18" s="6"/>
      <c r="V18" s="6"/>
      <c r="W18" s="6"/>
      <c r="X18" s="6"/>
      <c r="Y18" s="6"/>
      <c r="Z18" s="6"/>
      <c r="AA18" s="6"/>
      <c r="AB18" s="6"/>
    </row>
    <row r="19">
      <c r="A19" s="7">
        <v>18.0</v>
      </c>
      <c r="B19" s="6" t="s">
        <v>440</v>
      </c>
      <c r="C19" s="6" t="s">
        <v>441</v>
      </c>
      <c r="D19" s="6" t="s">
        <v>442</v>
      </c>
      <c r="E19" s="6" t="s">
        <v>512</v>
      </c>
      <c r="F19" s="6" t="s">
        <v>444</v>
      </c>
      <c r="G19" s="6" t="s">
        <v>512</v>
      </c>
      <c r="H19" s="6" t="s">
        <v>1213</v>
      </c>
      <c r="I19" s="6"/>
      <c r="J19" s="6"/>
      <c r="K19" s="2" t="str">
        <f>IFERROR(__xludf.DUMMYFUNCTION("GOOGLETRANSLATE(A19,""en"",""ur"")"),"18")</f>
        <v>18</v>
      </c>
      <c r="L19" s="2" t="str">
        <f>IFERROR(__xludf.DUMMYFUNCTION("GOOGLETRANSLATE(B19,""en"",""ur"")"),"زمین کی ظاہری حالت کیا ہے؟")</f>
        <v>زمین کی ظاہری حالت کیا ہے؟</v>
      </c>
      <c r="M19" s="2" t="str">
        <f>IFERROR(__xludf.DUMMYFUNCTION("GOOGLETRANSLATE(C19,""en"",""ur"")"),"یہ ایک پکی سطح ہے۔")</f>
        <v>یہ ایک پکی سطح ہے۔</v>
      </c>
      <c r="N19" s="2" t="str">
        <f>IFERROR(__xludf.DUMMYFUNCTION("GOOGLETRANSLATE(D19,""en"",""ur"")"),"یہ ایک کیچڑ والا میدان ہے۔")</f>
        <v>یہ ایک کیچڑ والا میدان ہے۔</v>
      </c>
      <c r="O19" s="2" t="str">
        <f>IFERROR(__xludf.DUMMYFUNCTION("GOOGLETRANSLATE(E19,""en"",""ur"")"),"یہ ایک ریتلی یا گندگی کی سطح ہے۔")</f>
        <v>یہ ایک ریتلی یا گندگی کی سطح ہے۔</v>
      </c>
      <c r="P19" s="2" t="str">
        <f>IFERROR(__xludf.DUMMYFUNCTION("GOOGLETRANSLATE(F19,""en"",""ur"")"),"یہ ایک گھاس والی سطح ہے۔")</f>
        <v>یہ ایک گھاس والی سطح ہے۔</v>
      </c>
      <c r="Q19" s="6" t="s">
        <v>1219</v>
      </c>
      <c r="R19" s="6" t="str">
        <f>IFERROR(__xludf.DUMMYFUNCTION("""COMPUTED_VALUE"""),"ایک ریسلنگ میچ میں دو آدمی")</f>
        <v>ایک ریسلنگ میچ میں دو آدمی</v>
      </c>
      <c r="S19" s="6" t="s">
        <v>1213</v>
      </c>
      <c r="T19" s="6"/>
      <c r="U19" s="6"/>
      <c r="V19" s="6"/>
      <c r="W19" s="6"/>
      <c r="X19" s="6"/>
      <c r="Y19" s="6"/>
      <c r="Z19" s="6"/>
      <c r="AA19" s="6"/>
      <c r="AB19" s="6"/>
    </row>
    <row r="20">
      <c r="A20" s="7">
        <v>19.0</v>
      </c>
      <c r="B20" s="6" t="s">
        <v>1205</v>
      </c>
      <c r="C20" s="6" t="s">
        <v>1206</v>
      </c>
      <c r="D20" s="6" t="s">
        <v>1207</v>
      </c>
      <c r="E20" s="6" t="s">
        <v>1208</v>
      </c>
      <c r="F20" s="6" t="s">
        <v>449</v>
      </c>
      <c r="G20" s="6" t="s">
        <v>1208</v>
      </c>
      <c r="H20" s="6" t="s">
        <v>1213</v>
      </c>
      <c r="I20" s="6"/>
      <c r="J20" s="6"/>
      <c r="K20" s="2" t="str">
        <f>IFERROR(__xludf.DUMMYFUNCTION("GOOGLETRANSLATE(A20,""en"",""ur"")"),"19")</f>
        <v>19</v>
      </c>
      <c r="L20" s="2" t="str">
        <f>IFERROR(__xludf.DUMMYFUNCTION("GOOGLETRANSLATE(B20,""en"",""ur"")"),"لمبی اسکرٹس کا بنیادی مقصد کیا ہے؟")</f>
        <v>لمبی اسکرٹس کا بنیادی مقصد کیا ہے؟</v>
      </c>
      <c r="M20" s="2" t="str">
        <f>IFERROR(__xludf.DUMMYFUNCTION("GOOGLETRANSLATE(C20,""en"",""ur"")"),"پہلوانوں کی ٹانگوں کی حفاظت کے لیے")</f>
        <v>پہلوانوں کی ٹانگوں کی حفاظت کے لیے</v>
      </c>
      <c r="N20" s="2" t="str">
        <f>IFERROR(__xludf.DUMMYFUNCTION("GOOGLETRANSLATE(D20,""en"",""ur"")"),"پہلوانوں کو مزید چست بنانے کے لیے")</f>
        <v>پہلوانوں کو مزید چست بنانے کے لیے</v>
      </c>
      <c r="O20" s="2" t="str">
        <f>IFERROR(__xludf.DUMMYFUNCTION("GOOGLETRANSLATE(E20,""en"",""ur"")"),"روایتی لباس اور لڑائی کے دوران گرفت کے لیے")</f>
        <v>روایتی لباس اور لڑائی کے دوران گرفت کے لیے</v>
      </c>
      <c r="P20" s="2" t="str">
        <f>IFERROR(__xludf.DUMMYFUNCTION("GOOGLETRANSLATE(F20,""en"",""ur"")"),"صرف سجاوٹ کے لیے")</f>
        <v>صرف سجاوٹ کے لیے</v>
      </c>
      <c r="Q20" s="6" t="s">
        <v>1209</v>
      </c>
      <c r="R20" s="6" t="str">
        <f>IFERROR(__xludf.DUMMYFUNCTION("""COMPUTED_VALUE"""),"ایک ریسلنگ میچ میں دو آدمی")</f>
        <v>ایک ریسلنگ میچ میں دو آدمی</v>
      </c>
      <c r="S20" s="6" t="s">
        <v>1213</v>
      </c>
      <c r="T20" s="6"/>
      <c r="U20" s="6"/>
      <c r="V20" s="6"/>
      <c r="W20" s="6"/>
      <c r="X20" s="6"/>
      <c r="Y20" s="6"/>
      <c r="Z20" s="6"/>
      <c r="AA20" s="6"/>
      <c r="AB20" s="6"/>
    </row>
    <row r="21">
      <c r="A21" s="7">
        <v>20.0</v>
      </c>
      <c r="B21" s="6" t="s">
        <v>260</v>
      </c>
      <c r="C21" s="6" t="s">
        <v>261</v>
      </c>
      <c r="D21" s="6" t="s">
        <v>262</v>
      </c>
      <c r="E21" s="6" t="s">
        <v>1210</v>
      </c>
      <c r="F21" s="6" t="s">
        <v>264</v>
      </c>
      <c r="G21" s="6" t="s">
        <v>1210</v>
      </c>
      <c r="H21" s="6" t="s">
        <v>1213</v>
      </c>
      <c r="I21" s="6"/>
      <c r="J21" s="6"/>
      <c r="K21" s="2" t="str">
        <f>IFERROR(__xludf.DUMMYFUNCTION("GOOGLETRANSLATE(A21,""en"",""ur"")"),"20")</f>
        <v>20</v>
      </c>
      <c r="L21" s="2" t="str">
        <f>IFERROR(__xludf.DUMMYFUNCTION("GOOGLETRANSLATE(B21,""en"",""ur"")"),"تصویر میں ایکشن ایک ایسا انداز تجویز کرتا ہے جو اس بات پر زور دیتا ہے...")</f>
        <v>تصویر میں ایکشن ایک ایسا انداز تجویز کرتا ہے جو اس بات پر زور دیتا ہے...</v>
      </c>
      <c r="M21" s="2" t="str">
        <f>IFERROR(__xludf.DUMMYFUNCTION("GOOGLETRANSLATE(C21,""en"",""ur"")"),"روانی اور قلابازیاں")</f>
        <v>روانی اور قلابازیاں</v>
      </c>
      <c r="N21" s="2" t="str">
        <f>IFERROR(__xludf.DUMMYFUNCTION("GOOGLETRANSLATE(D21,""en"",""ur"")"),"زمینی لڑائی اور گرفت")</f>
        <v>زمینی لڑائی اور گرفت</v>
      </c>
      <c r="O21" s="2" t="str">
        <f>IFERROR(__xludf.DUMMYFUNCTION("GOOGLETRANSLATE(E21,""en"",""ur"")"),"وحشیانہ طاقت اور ٹیک ڈاؤن")</f>
        <v>وحشیانہ طاقت اور ٹیک ڈاؤن</v>
      </c>
      <c r="P21" s="2" t="str">
        <f>IFERROR(__xludf.DUMMYFUNCTION("GOOGLETRANSLATE(F21,""en"",""ur"")"),"سادہ، لکیری حرکات")</f>
        <v>سادہ، لکیری حرکات</v>
      </c>
      <c r="Q21" s="6" t="s">
        <v>1211</v>
      </c>
      <c r="R21" s="6" t="str">
        <f>IFERROR(__xludf.DUMMYFUNCTION("""COMPUTED_VALUE"""),"ایک ریسلنگ میچ میں دو آدمی")</f>
        <v>ایک ریسلنگ میچ میں دو آدمی</v>
      </c>
      <c r="S21" s="6" t="s">
        <v>1213</v>
      </c>
      <c r="T21" s="6"/>
      <c r="U21" s="6"/>
      <c r="V21" s="6"/>
      <c r="W21" s="6"/>
      <c r="X21" s="6"/>
      <c r="Y21" s="6"/>
      <c r="Z21" s="6"/>
      <c r="AA21" s="6"/>
      <c r="AB21" s="6"/>
    </row>
    <row r="22">
      <c r="A22" s="7">
        <v>21.0</v>
      </c>
      <c r="B22" s="6" t="s">
        <v>1220</v>
      </c>
      <c r="C22" s="6" t="s">
        <v>405</v>
      </c>
      <c r="D22" s="6" t="s">
        <v>406</v>
      </c>
      <c r="E22" s="6" t="s">
        <v>1184</v>
      </c>
      <c r="F22" s="6" t="s">
        <v>1185</v>
      </c>
      <c r="G22" s="6" t="s">
        <v>1184</v>
      </c>
      <c r="H22" s="6" t="s">
        <v>1221</v>
      </c>
      <c r="I22" s="6"/>
      <c r="J22" s="6"/>
      <c r="K22" s="2" t="str">
        <f>IFERROR(__xludf.DUMMYFUNCTION("GOOGLETRANSLATE(A22,""en"",""ur"")"),"21")</f>
        <v>21</v>
      </c>
      <c r="L22" s="2" t="str">
        <f>IFERROR(__xludf.DUMMYFUNCTION("GOOGLETRANSLATE(B22,""en"",""ur"")"),"ملاخرہ_10 میں دکھایا گیا اہم عمل کیا ہے؟")</f>
        <v>ملاخرہ_10 میں دکھایا گیا اہم عمل کیا ہے؟</v>
      </c>
      <c r="M22" s="2" t="str">
        <f>IFERROR(__xludf.DUMMYFUNCTION("GOOGLETRANSLATE(C22,""en"",""ur"")"),"دو آدمی تلواروں سے لڑ رہے ہیں۔")</f>
        <v>دو آدمی تلواروں سے لڑ رہے ہیں۔</v>
      </c>
      <c r="N22" s="2" t="str">
        <f>IFERROR(__xludf.DUMMYFUNCTION("GOOGLETRANSLATE(D22,""en"",""ur"")"),"دو آدمی ناچ رہے ہیں۔")</f>
        <v>دو آدمی ناچ رہے ہیں۔</v>
      </c>
      <c r="O22" s="2" t="str">
        <f>IFERROR(__xludf.DUMMYFUNCTION("GOOGLETRANSLATE(E22,""en"",""ur"")"),"ایک ریسلنگ میچ میں دو آدمی")</f>
        <v>ایک ریسلنگ میچ میں دو آدمی</v>
      </c>
      <c r="P22" s="2" t="str">
        <f>IFERROR(__xludf.DUMMYFUNCTION("GOOGLETRANSLATE(F22,""en"",""ur"")"),"دو آدمی بھاگ رہے ہیں۔")</f>
        <v>دو آدمی بھاگ رہے ہیں۔</v>
      </c>
      <c r="Q22" s="6" t="s">
        <v>1214</v>
      </c>
      <c r="R22" s="6" t="str">
        <f>IFERROR(__xludf.DUMMYFUNCTION("""COMPUTED_VALUE"""),"ایک ریسلنگ میچ میں دو آدمی")</f>
        <v>ایک ریسلنگ میچ میں دو آدمی</v>
      </c>
      <c r="S22" s="6" t="s">
        <v>1221</v>
      </c>
      <c r="T22" s="6"/>
      <c r="U22" s="6"/>
      <c r="V22" s="6"/>
      <c r="W22" s="6"/>
      <c r="X22" s="6"/>
      <c r="Y22" s="6"/>
      <c r="Z22" s="6"/>
      <c r="AA22" s="6"/>
      <c r="AB22" s="6"/>
    </row>
    <row r="23">
      <c r="A23" s="7">
        <v>22.0</v>
      </c>
      <c r="B23" s="6" t="s">
        <v>1215</v>
      </c>
      <c r="C23" s="6" t="s">
        <v>488</v>
      </c>
      <c r="D23" s="6" t="s">
        <v>1216</v>
      </c>
      <c r="E23" s="6" t="s">
        <v>490</v>
      </c>
      <c r="F23" s="6" t="s">
        <v>246</v>
      </c>
      <c r="G23" s="6" t="s">
        <v>1216</v>
      </c>
      <c r="H23" s="6" t="s">
        <v>1221</v>
      </c>
      <c r="I23" s="6"/>
      <c r="J23" s="6"/>
      <c r="K23" s="2" t="str">
        <f>IFERROR(__xludf.DUMMYFUNCTION("GOOGLETRANSLATE(A23,""en"",""ur"")"),"22")</f>
        <v>22</v>
      </c>
      <c r="L23" s="2" t="str">
        <f>IFERROR(__xludf.DUMMYFUNCTION("GOOGLETRANSLATE(B23,""en"",""ur"")"),"پہلوانوں کے لباس کے بارے میں ایک قابل ذکر تفصیل کیا ہے؟")</f>
        <v>پہلوانوں کے لباس کے بارے میں ایک قابل ذکر تفصیل کیا ہے؟</v>
      </c>
      <c r="M23" s="2" t="str">
        <f>IFERROR(__xludf.DUMMYFUNCTION("GOOGLETRANSLATE(C23,""en"",""ur"")"),"انہوں نے بکتر کا پورا سوٹ پہن رکھا ہے۔")</f>
        <v>انہوں نے بکتر کا پورا سوٹ پہن رکھا ہے۔</v>
      </c>
      <c r="N23" s="2" t="str">
        <f>IFERROR(__xludf.DUMMYFUNCTION("GOOGLETRANSLATE(D23,""en"",""ur"")"),"وہ سارونگ یا پیٹرن والا اسکرٹ پہنے ہوئے ہیں۔")</f>
        <v>وہ سارونگ یا پیٹرن والا اسکرٹ پہنے ہوئے ہیں۔</v>
      </c>
      <c r="O23" s="2" t="str">
        <f>IFERROR(__xludf.DUMMYFUNCTION("GOOGLETRANSLATE(E23,""en"",""ur"")"),"انہوں نے شارٹس اور ٹی شرٹ پہن رکھی ہیں۔")</f>
        <v>انہوں نے شارٹس اور ٹی شرٹ پہن رکھی ہیں۔</v>
      </c>
      <c r="P23" s="2" t="str">
        <f>IFERROR(__xludf.DUMMYFUNCTION("GOOGLETRANSLATE(F23,""en"",""ur"")"),"انہوں نے کوئی لباس نہیں پہنا ہوا ہے۔")</f>
        <v>انہوں نے کوئی لباس نہیں پہنا ہوا ہے۔</v>
      </c>
      <c r="Q23" s="6" t="s">
        <v>1217</v>
      </c>
      <c r="R23" s="6" t="str">
        <f>IFERROR(__xludf.DUMMYFUNCTION("""COMPUTED_VALUE"""),"ایک ریسلنگ میچ میں دو آدمی")</f>
        <v>ایک ریسلنگ میچ میں دو آدمی</v>
      </c>
      <c r="S23" s="6" t="s">
        <v>1221</v>
      </c>
      <c r="T23" s="6"/>
      <c r="U23" s="6"/>
      <c r="V23" s="6"/>
      <c r="W23" s="6"/>
      <c r="X23" s="6"/>
      <c r="Y23" s="6"/>
      <c r="Z23" s="6"/>
      <c r="AA23" s="6"/>
      <c r="AB23" s="6"/>
    </row>
    <row r="24">
      <c r="A24" s="7">
        <v>23.0</v>
      </c>
      <c r="B24" s="6" t="s">
        <v>1193</v>
      </c>
      <c r="C24" s="6" t="s">
        <v>1194</v>
      </c>
      <c r="D24" s="6" t="s">
        <v>1195</v>
      </c>
      <c r="E24" s="6" t="s">
        <v>1196</v>
      </c>
      <c r="F24" s="6" t="s">
        <v>1197</v>
      </c>
      <c r="G24" s="6" t="s">
        <v>1196</v>
      </c>
      <c r="H24" s="6" t="s">
        <v>1221</v>
      </c>
      <c r="I24" s="6"/>
      <c r="J24" s="6"/>
      <c r="K24" s="2" t="str">
        <f>IFERROR(__xludf.DUMMYFUNCTION("GOOGLETRANSLATE(A24,""en"",""ur"")"),"23")</f>
        <v>23</v>
      </c>
      <c r="L24" s="2" t="str">
        <f>IFERROR(__xludf.DUMMYFUNCTION("GOOGLETRANSLATE(B24,""en"",""ur"")"),"کشتی کا ظاہری مقصد کیا ہے؟")</f>
        <v>کشتی کا ظاہری مقصد کیا ہے؟</v>
      </c>
      <c r="M24" s="2" t="str">
        <f>IFERROR(__xludf.DUMMYFUNCTION("GOOGLETRANSLATE(C24,""en"",""ur"")"),"ایک رسمی رقص")</f>
        <v>ایک رسمی رقص</v>
      </c>
      <c r="N24" s="2" t="str">
        <f>IFERROR(__xludf.DUMMYFUNCTION("GOOGLETRANSLATE(D24,""en"",""ur"")"),"ایک دوستانہ مظاہرہ")</f>
        <v>ایک دوستانہ مظاہرہ</v>
      </c>
      <c r="O24" s="2" t="str">
        <f>IFERROR(__xludf.DUMMYFUNCTION("GOOGLETRANSLATE(E24,""en"",""ur"")"),"ٹیک ڈاؤن کے ساتھ ایک مسابقتی میچ")</f>
        <v>ٹیک ڈاؤن کے ساتھ ایک مسابقتی میچ</v>
      </c>
      <c r="P24" s="2" t="str">
        <f>IFERROR(__xludf.DUMMYFUNCTION("GOOGLETRANSLATE(F24,""en"",""ur"")"),"ایک پریکٹس سیشن")</f>
        <v>ایک پریکٹس سیشن</v>
      </c>
      <c r="Q24" s="6" t="s">
        <v>1198</v>
      </c>
      <c r="R24" s="6" t="str">
        <f>IFERROR(__xludf.DUMMYFUNCTION("""COMPUTED_VALUE"""),"ایک ریسلنگ میچ میں دو آدمی")</f>
        <v>ایک ریسلنگ میچ میں دو آدمی</v>
      </c>
      <c r="S24" s="6" t="s">
        <v>1221</v>
      </c>
      <c r="T24" s="6"/>
      <c r="U24" s="6"/>
      <c r="V24" s="6"/>
      <c r="W24" s="6"/>
      <c r="X24" s="6"/>
      <c r="Y24" s="6"/>
      <c r="Z24" s="6"/>
      <c r="AA24" s="6"/>
      <c r="AB24" s="6"/>
    </row>
    <row r="25">
      <c r="A25" s="7">
        <v>24.0</v>
      </c>
      <c r="B25" s="6" t="s">
        <v>991</v>
      </c>
      <c r="C25" s="6" t="s">
        <v>422</v>
      </c>
      <c r="D25" s="6" t="s">
        <v>1199</v>
      </c>
      <c r="E25" s="6" t="s">
        <v>424</v>
      </c>
      <c r="F25" s="6" t="s">
        <v>425</v>
      </c>
      <c r="G25" s="6" t="s">
        <v>1199</v>
      </c>
      <c r="H25" s="6" t="s">
        <v>1221</v>
      </c>
      <c r="I25" s="6"/>
      <c r="J25" s="6"/>
      <c r="K25" s="2" t="str">
        <f>IFERROR(__xludf.DUMMYFUNCTION("GOOGLETRANSLATE(A25,""en"",""ur"")"),"24")</f>
        <v>24</v>
      </c>
      <c r="L25" s="2" t="str">
        <f>IFERROR(__xludf.DUMMYFUNCTION("GOOGLETRANSLATE(B25,""en"",""ur"")"),"واقعہ کی ظاہری ترتیب کیا ہے؟")</f>
        <v>واقعہ کی ظاہری ترتیب کیا ہے؟</v>
      </c>
      <c r="M25" s="2" t="str">
        <f>IFERROR(__xludf.DUMMYFUNCTION("GOOGLETRANSLATE(C25,""en"",""ur"")"),"ایک انڈور اسٹیڈیم")</f>
        <v>ایک انڈور اسٹیڈیم</v>
      </c>
      <c r="N25" s="2" t="str">
        <f>IFERROR(__xludf.DUMMYFUNCTION("GOOGLETRANSLATE(D25,""en"",""ur"")"),"ایک دیہی، بیرونی گندگی کا ایک بڑا ہجوم")</f>
        <v>ایک دیہی، بیرونی گندگی کا ایک بڑا ہجوم</v>
      </c>
      <c r="O25" s="2" t="str">
        <f>IFERROR(__xludf.DUMMYFUNCTION("GOOGLETRANSLATE(E25,""en"",""ur"")"),"شہر کی مصروف گلی")</f>
        <v>شہر کی مصروف گلی</v>
      </c>
      <c r="P25" s="2" t="str">
        <f>IFERROR(__xludf.DUMMYFUNCTION("GOOGLETRANSLATE(F25,""en"",""ur"")"),"گھاس کا میدان")</f>
        <v>گھاس کا میدان</v>
      </c>
      <c r="Q25" s="6" t="s">
        <v>1200</v>
      </c>
      <c r="R25" s="6" t="str">
        <f>IFERROR(__xludf.DUMMYFUNCTION("""COMPUTED_VALUE"""),"ایک ریسلنگ میچ میں دو آدمی")</f>
        <v>ایک ریسلنگ میچ میں دو آدمی</v>
      </c>
      <c r="S25" s="6" t="s">
        <v>1221</v>
      </c>
      <c r="T25" s="6"/>
      <c r="U25" s="6"/>
      <c r="V25" s="6"/>
      <c r="W25" s="6"/>
      <c r="X25" s="6"/>
      <c r="Y25" s="6"/>
      <c r="Z25" s="6"/>
      <c r="AA25" s="6"/>
      <c r="AB25" s="6"/>
    </row>
    <row r="26">
      <c r="A26" s="7">
        <v>25.0</v>
      </c>
      <c r="B26" s="6" t="s">
        <v>1201</v>
      </c>
      <c r="C26" s="6" t="s">
        <v>47</v>
      </c>
      <c r="D26" s="6" t="s">
        <v>48</v>
      </c>
      <c r="E26" s="6" t="s">
        <v>49</v>
      </c>
      <c r="F26" s="6" t="s">
        <v>50</v>
      </c>
      <c r="G26" s="6" t="s">
        <v>49</v>
      </c>
      <c r="H26" s="6" t="s">
        <v>1221</v>
      </c>
      <c r="I26" s="6"/>
      <c r="J26" s="6"/>
      <c r="K26" s="2" t="str">
        <f>IFERROR(__xludf.DUMMYFUNCTION("GOOGLETRANSLATE(A26,""en"",""ur"")"),"25")</f>
        <v>25</v>
      </c>
      <c r="L26" s="2" t="str">
        <f>IFERROR(__xludf.DUMMYFUNCTION("GOOGLETRANSLATE(B26,""en"",""ur"")"),"پہلوانوں کے ظاہری جذبات کیا ہیں؟")</f>
        <v>پہلوانوں کے ظاہری جذبات کیا ہیں؟</v>
      </c>
      <c r="M26" s="2" t="str">
        <f>IFERROR(__xludf.DUMMYFUNCTION("GOOGLETRANSLATE(C26,""en"",""ur"")"),"پرسکون اور پر سکون")</f>
        <v>پرسکون اور پر سکون</v>
      </c>
      <c r="N26" s="2" t="str">
        <f>IFERROR(__xludf.DUMMYFUNCTION("GOOGLETRANSLATE(D26,""en"",""ur"")"),"خوف زدہ اور بے چین")</f>
        <v>خوف زدہ اور بے چین</v>
      </c>
      <c r="O26" s="2" t="str">
        <f>IFERROR(__xludf.DUMMYFUNCTION("GOOGLETRANSLATE(E26,""en"",""ur"")"),"کشیدہ اور شدید")</f>
        <v>کشیدہ اور شدید</v>
      </c>
      <c r="P26" s="2" t="str">
        <f>IFERROR(__xludf.DUMMYFUNCTION("GOOGLETRANSLATE(F26,""en"",""ur"")"),"خوش اور مسکراتے ہوئے۔")</f>
        <v>خوش اور مسکراتے ہوئے۔</v>
      </c>
      <c r="Q26" s="6" t="s">
        <v>51</v>
      </c>
      <c r="R26" s="6" t="str">
        <f>IFERROR(__xludf.DUMMYFUNCTION("""COMPUTED_VALUE"""),"ایک ریسلنگ میچ میں دو آدمی")</f>
        <v>ایک ریسلنگ میچ میں دو آدمی</v>
      </c>
      <c r="S26" s="6" t="s">
        <v>1221</v>
      </c>
      <c r="T26" s="6"/>
      <c r="U26" s="6"/>
      <c r="V26" s="6"/>
      <c r="W26" s="6"/>
      <c r="X26" s="6"/>
      <c r="Y26" s="6"/>
      <c r="Z26" s="6"/>
      <c r="AA26" s="6"/>
      <c r="AB26" s="6"/>
    </row>
    <row r="27">
      <c r="A27" s="7">
        <v>26.0</v>
      </c>
      <c r="B27" s="6" t="s">
        <v>1218</v>
      </c>
      <c r="C27" s="6" t="s">
        <v>429</v>
      </c>
      <c r="D27" s="6" t="s">
        <v>430</v>
      </c>
      <c r="E27" s="6" t="s">
        <v>431</v>
      </c>
      <c r="F27" s="6" t="s">
        <v>432</v>
      </c>
      <c r="G27" s="6" t="s">
        <v>430</v>
      </c>
      <c r="H27" s="6" t="s">
        <v>1221</v>
      </c>
      <c r="I27" s="6"/>
      <c r="J27" s="6"/>
      <c r="K27" s="2" t="str">
        <f>IFERROR(__xludf.DUMMYFUNCTION("GOOGLETRANSLATE(A27,""en"",""ur"")"),"26")</f>
        <v>26</v>
      </c>
      <c r="L27" s="2" t="str">
        <f>IFERROR(__xludf.DUMMYFUNCTION("GOOGLETRANSLATE(B27,""en"",""ur"")"),"پہلوانوں کی ظاہری جسمانی پوزیشن کیا ہے؟")</f>
        <v>پہلوانوں کی ظاہری جسمانی پوزیشن کیا ہے؟</v>
      </c>
      <c r="M27" s="2" t="str">
        <f>IFERROR(__xludf.DUMMYFUNCTION("GOOGLETRANSLATE(C27,""en"",""ur"")"),"سیدھا کھڑا ہونا")</f>
        <v>سیدھا کھڑا ہونا</v>
      </c>
      <c r="N27" s="2" t="str">
        <f>IFERROR(__xludf.DUMMYFUNCTION("GOOGLETRANSLATE(D27,""en"",""ur"")"),"کم، متحرک موقف میں")</f>
        <v>کم، متحرک موقف میں</v>
      </c>
      <c r="O27" s="2" t="str">
        <f>IFERROR(__xludf.DUMMYFUNCTION("GOOGLETRANSLATE(E27,""en"",""ur"")"),"زمین پر لیٹنا")</f>
        <v>زمین پر لیٹنا</v>
      </c>
      <c r="P27" s="2" t="str">
        <f>IFERROR(__xludf.DUMMYFUNCTION("GOOGLETRANSLATE(F27,""en"",""ur"")"),"بیٹھا ہوا")</f>
        <v>بیٹھا ہوا</v>
      </c>
      <c r="Q27" s="6" t="s">
        <v>433</v>
      </c>
      <c r="R27" s="6" t="str">
        <f>IFERROR(__xludf.DUMMYFUNCTION("""COMPUTED_VALUE"""),"ایک ریسلنگ میچ میں دو آدمی")</f>
        <v>ایک ریسلنگ میچ میں دو آدمی</v>
      </c>
      <c r="S27" s="6" t="s">
        <v>1221</v>
      </c>
      <c r="T27" s="6"/>
      <c r="U27" s="6"/>
      <c r="V27" s="6"/>
      <c r="W27" s="6"/>
      <c r="X27" s="6"/>
      <c r="Y27" s="6"/>
      <c r="Z27" s="6"/>
      <c r="AA27" s="6"/>
      <c r="AB27" s="6"/>
    </row>
    <row r="28">
      <c r="A28" s="7">
        <v>27.0</v>
      </c>
      <c r="B28" s="6" t="s">
        <v>434</v>
      </c>
      <c r="C28" s="6" t="s">
        <v>435</v>
      </c>
      <c r="D28" s="6" t="s">
        <v>436</v>
      </c>
      <c r="E28" s="6" t="s">
        <v>1203</v>
      </c>
      <c r="F28" s="6" t="s">
        <v>438</v>
      </c>
      <c r="G28" s="6" t="s">
        <v>1203</v>
      </c>
      <c r="H28" s="6" t="s">
        <v>1221</v>
      </c>
      <c r="I28" s="6"/>
      <c r="J28" s="6"/>
      <c r="K28" s="2" t="str">
        <f>IFERROR(__xludf.DUMMYFUNCTION("GOOGLETRANSLATE(A28,""en"",""ur"")"),"27")</f>
        <v>27</v>
      </c>
      <c r="L28" s="2" t="str">
        <f>IFERROR(__xludf.DUMMYFUNCTION("GOOGLETRANSLATE(B28,""en"",""ur"")"),"پس منظر میں ہجوم کی سب سے نمایاں خصوصیت کیا ہے؟")</f>
        <v>پس منظر میں ہجوم کی سب سے نمایاں خصوصیت کیا ہے؟</v>
      </c>
      <c r="M28" s="2" t="str">
        <f>IFERROR(__xludf.DUMMYFUNCTION("GOOGLETRANSLATE(C28,""en"",""ur"")"),"وہ بھاگ رہے ہیں۔")</f>
        <v>وہ بھاگ رہے ہیں۔</v>
      </c>
      <c r="N28" s="2" t="str">
        <f>IFERROR(__xludf.DUMMYFUNCTION("GOOGLETRANSLATE(D28,""en"",""ur"")"),"وہ خاموش بیٹھے ہیں۔")</f>
        <v>وہ خاموش بیٹھے ہیں۔</v>
      </c>
      <c r="O28" s="2" t="str">
        <f>IFERROR(__xludf.DUMMYFUNCTION("GOOGLETRANSLATE(E28,""en"",""ur"")"),"وہ باڑ کے پیچھے سے میچ دیکھ رہے ہیں۔")</f>
        <v>وہ باڑ کے پیچھے سے میچ دیکھ رہے ہیں۔</v>
      </c>
      <c r="P28" s="2" t="str">
        <f>IFERROR(__xludf.DUMMYFUNCTION("GOOGLETRANSLATE(F28,""en"",""ur"")"),"وہ سب ایک اسٹیج پر کھڑے ہیں۔")</f>
        <v>وہ سب ایک اسٹیج پر کھڑے ہیں۔</v>
      </c>
      <c r="Q28" s="6" t="s">
        <v>1204</v>
      </c>
      <c r="R28" s="6" t="str">
        <f>IFERROR(__xludf.DUMMYFUNCTION("""COMPUTED_VALUE"""),"ایک ریسلنگ میچ میں دو آدمی")</f>
        <v>ایک ریسلنگ میچ میں دو آدمی</v>
      </c>
      <c r="S28" s="6" t="s">
        <v>1221</v>
      </c>
      <c r="T28" s="6"/>
      <c r="U28" s="6"/>
      <c r="V28" s="6"/>
      <c r="W28" s="6"/>
      <c r="X28" s="6"/>
      <c r="Y28" s="6"/>
      <c r="Z28" s="6"/>
      <c r="AA28" s="6"/>
      <c r="AB28" s="6"/>
    </row>
    <row r="29">
      <c r="A29" s="7">
        <v>28.0</v>
      </c>
      <c r="B29" s="6" t="s">
        <v>440</v>
      </c>
      <c r="C29" s="6" t="s">
        <v>441</v>
      </c>
      <c r="D29" s="6" t="s">
        <v>442</v>
      </c>
      <c r="E29" s="6" t="s">
        <v>512</v>
      </c>
      <c r="F29" s="6" t="s">
        <v>444</v>
      </c>
      <c r="G29" s="6" t="s">
        <v>512</v>
      </c>
      <c r="H29" s="6" t="s">
        <v>1221</v>
      </c>
      <c r="I29" s="6"/>
      <c r="J29" s="6"/>
      <c r="K29" s="2" t="str">
        <f>IFERROR(__xludf.DUMMYFUNCTION("GOOGLETRANSLATE(A29,""en"",""ur"")"),"28")</f>
        <v>28</v>
      </c>
      <c r="L29" s="2" t="str">
        <f>IFERROR(__xludf.DUMMYFUNCTION("GOOGLETRANSLATE(B29,""en"",""ur"")"),"زمین کی ظاہری حالت کیا ہے؟")</f>
        <v>زمین کی ظاہری حالت کیا ہے؟</v>
      </c>
      <c r="M29" s="2" t="str">
        <f>IFERROR(__xludf.DUMMYFUNCTION("GOOGLETRANSLATE(C29,""en"",""ur"")"),"یہ ایک پکی سطح ہے۔")</f>
        <v>یہ ایک پکی سطح ہے۔</v>
      </c>
      <c r="N29" s="2" t="str">
        <f>IFERROR(__xludf.DUMMYFUNCTION("GOOGLETRANSLATE(D29,""en"",""ur"")"),"یہ ایک کیچڑ والا میدان ہے۔")</f>
        <v>یہ ایک کیچڑ والا میدان ہے۔</v>
      </c>
      <c r="O29" s="2" t="str">
        <f>IFERROR(__xludf.DUMMYFUNCTION("GOOGLETRANSLATE(E29,""en"",""ur"")"),"یہ ایک ریتلی یا گندگی کی سطح ہے۔")</f>
        <v>یہ ایک ریتلی یا گندگی کی سطح ہے۔</v>
      </c>
      <c r="P29" s="2" t="str">
        <f>IFERROR(__xludf.DUMMYFUNCTION("GOOGLETRANSLATE(F29,""en"",""ur"")"),"یہ ایک گھاس والی سطح ہے۔")</f>
        <v>یہ ایک گھاس والی سطح ہے۔</v>
      </c>
      <c r="Q29" s="6" t="s">
        <v>1219</v>
      </c>
      <c r="R29" s="6" t="str">
        <f>IFERROR(__xludf.DUMMYFUNCTION("""COMPUTED_VALUE"""),"ایک ریسلنگ میچ میں دو آدمی")</f>
        <v>ایک ریسلنگ میچ میں دو آدمی</v>
      </c>
      <c r="S29" s="6" t="s">
        <v>1221</v>
      </c>
      <c r="T29" s="6"/>
      <c r="U29" s="6"/>
      <c r="V29" s="6"/>
      <c r="W29" s="6"/>
      <c r="X29" s="6"/>
      <c r="Y29" s="6"/>
      <c r="Z29" s="6"/>
      <c r="AA29" s="6"/>
      <c r="AB29" s="6"/>
    </row>
    <row r="30">
      <c r="A30" s="7">
        <v>29.0</v>
      </c>
      <c r="B30" s="6" t="s">
        <v>1205</v>
      </c>
      <c r="C30" s="6" t="s">
        <v>1206</v>
      </c>
      <c r="D30" s="6" t="s">
        <v>1207</v>
      </c>
      <c r="E30" s="6" t="s">
        <v>1208</v>
      </c>
      <c r="F30" s="6" t="s">
        <v>449</v>
      </c>
      <c r="G30" s="6" t="s">
        <v>1208</v>
      </c>
      <c r="H30" s="6" t="s">
        <v>1221</v>
      </c>
      <c r="I30" s="6"/>
      <c r="J30" s="6"/>
      <c r="K30" s="2" t="str">
        <f>IFERROR(__xludf.DUMMYFUNCTION("GOOGLETRANSLATE(A30,""en"",""ur"")"),"29")</f>
        <v>29</v>
      </c>
      <c r="L30" s="2" t="str">
        <f>IFERROR(__xludf.DUMMYFUNCTION("GOOGLETRANSLATE(B30,""en"",""ur"")"),"لمبی اسکرٹس کا بنیادی مقصد کیا ہے؟")</f>
        <v>لمبی اسکرٹس کا بنیادی مقصد کیا ہے؟</v>
      </c>
      <c r="M30" s="2" t="str">
        <f>IFERROR(__xludf.DUMMYFUNCTION("GOOGLETRANSLATE(C30,""en"",""ur"")"),"پہلوانوں کی ٹانگوں کی حفاظت کے لیے")</f>
        <v>پہلوانوں کی ٹانگوں کی حفاظت کے لیے</v>
      </c>
      <c r="N30" s="2" t="str">
        <f>IFERROR(__xludf.DUMMYFUNCTION("GOOGLETRANSLATE(D30,""en"",""ur"")"),"پہلوانوں کو مزید چست بنانے کے لیے")</f>
        <v>پہلوانوں کو مزید چست بنانے کے لیے</v>
      </c>
      <c r="O30" s="2" t="str">
        <f>IFERROR(__xludf.DUMMYFUNCTION("GOOGLETRANSLATE(E30,""en"",""ur"")"),"روایتی لباس اور لڑائی کے دوران گرفت کے لیے")</f>
        <v>روایتی لباس اور لڑائی کے دوران گرفت کے لیے</v>
      </c>
      <c r="P30" s="2" t="str">
        <f>IFERROR(__xludf.DUMMYFUNCTION("GOOGLETRANSLATE(F30,""en"",""ur"")"),"صرف سجاوٹ کے لیے")</f>
        <v>صرف سجاوٹ کے لیے</v>
      </c>
      <c r="Q30" s="6" t="s">
        <v>1209</v>
      </c>
      <c r="R30" s="6" t="str">
        <f>IFERROR(__xludf.DUMMYFUNCTION("""COMPUTED_VALUE"""),"ایک ریسلنگ میچ میں دو آدمی")</f>
        <v>ایک ریسلنگ میچ میں دو آدمی</v>
      </c>
      <c r="S30" s="6" t="s">
        <v>1221</v>
      </c>
      <c r="T30" s="6"/>
      <c r="U30" s="6"/>
      <c r="V30" s="6"/>
      <c r="W30" s="6"/>
      <c r="X30" s="6"/>
      <c r="Y30" s="6"/>
      <c r="Z30" s="6"/>
      <c r="AA30" s="6"/>
      <c r="AB30" s="6"/>
    </row>
    <row r="31">
      <c r="A31" s="7">
        <v>30.0</v>
      </c>
      <c r="B31" s="6" t="s">
        <v>260</v>
      </c>
      <c r="C31" s="6" t="s">
        <v>261</v>
      </c>
      <c r="D31" s="6" t="s">
        <v>262</v>
      </c>
      <c r="E31" s="6" t="s">
        <v>1210</v>
      </c>
      <c r="F31" s="6" t="s">
        <v>264</v>
      </c>
      <c r="G31" s="6" t="s">
        <v>1210</v>
      </c>
      <c r="H31" s="6" t="s">
        <v>1221</v>
      </c>
      <c r="I31" s="6"/>
      <c r="J31" s="6"/>
      <c r="K31" s="2" t="str">
        <f>IFERROR(__xludf.DUMMYFUNCTION("GOOGLETRANSLATE(A31,""en"",""ur"")"),"30")</f>
        <v>30</v>
      </c>
      <c r="L31" s="2" t="str">
        <f>IFERROR(__xludf.DUMMYFUNCTION("GOOGLETRANSLATE(B31,""en"",""ur"")"),"تصویر میں ایکشن ایک ایسا انداز تجویز کرتا ہے جو اس بات پر زور دیتا ہے...")</f>
        <v>تصویر میں ایکشن ایک ایسا انداز تجویز کرتا ہے جو اس بات پر زور دیتا ہے...</v>
      </c>
      <c r="M31" s="2" t="str">
        <f>IFERROR(__xludf.DUMMYFUNCTION("GOOGLETRANSLATE(C31,""en"",""ur"")"),"روانی اور قلابازیاں")</f>
        <v>روانی اور قلابازیاں</v>
      </c>
      <c r="N31" s="2" t="str">
        <f>IFERROR(__xludf.DUMMYFUNCTION("GOOGLETRANSLATE(D31,""en"",""ur"")"),"زمینی لڑائی اور گرفت")</f>
        <v>زمینی لڑائی اور گرفت</v>
      </c>
      <c r="O31" s="2" t="str">
        <f>IFERROR(__xludf.DUMMYFUNCTION("GOOGLETRANSLATE(E31,""en"",""ur"")"),"وحشیانہ طاقت اور ٹیک ڈاؤن")</f>
        <v>وحشیانہ طاقت اور ٹیک ڈاؤن</v>
      </c>
      <c r="P31" s="2" t="str">
        <f>IFERROR(__xludf.DUMMYFUNCTION("GOOGLETRANSLATE(F31,""en"",""ur"")"),"سادہ، لکیری حرکات")</f>
        <v>سادہ، لکیری حرکات</v>
      </c>
      <c r="Q31" s="6" t="s">
        <v>1211</v>
      </c>
      <c r="R31" s="6" t="str">
        <f>IFERROR(__xludf.DUMMYFUNCTION("""COMPUTED_VALUE"""),"ایک ریسلنگ میچ میں دو آدمی")</f>
        <v>ایک ریسلنگ میچ میں دو آدمی</v>
      </c>
      <c r="S31" s="6" t="s">
        <v>1221</v>
      </c>
      <c r="T31" s="6"/>
      <c r="U31" s="6"/>
      <c r="V31" s="6"/>
      <c r="W31" s="6"/>
      <c r="X31" s="6"/>
      <c r="Y31" s="6"/>
      <c r="Z31" s="6"/>
      <c r="AA31" s="6"/>
      <c r="AB31" s="6"/>
    </row>
    <row r="32">
      <c r="A32" s="7">
        <v>31.0</v>
      </c>
      <c r="B32" s="6" t="s">
        <v>1222</v>
      </c>
      <c r="C32" s="6" t="s">
        <v>1223</v>
      </c>
      <c r="D32" s="6" t="s">
        <v>406</v>
      </c>
      <c r="E32" s="6" t="s">
        <v>1184</v>
      </c>
      <c r="F32" s="6" t="s">
        <v>1185</v>
      </c>
      <c r="G32" s="6" t="s">
        <v>1223</v>
      </c>
      <c r="H32" s="6" t="s">
        <v>1224</v>
      </c>
      <c r="I32" s="6"/>
      <c r="J32" s="6"/>
      <c r="K32" s="2" t="str">
        <f>IFERROR(__xludf.DUMMYFUNCTION("GOOGLETRANSLATE(A32,""en"",""ur"")"),"31")</f>
        <v>31</v>
      </c>
      <c r="L32" s="2" t="str">
        <f>IFERROR(__xludf.DUMMYFUNCTION("GOOGLETRANSLATE(B32,""en"",""ur"")"),"ملاخرہ_13 میں دکھایا گیا اہم عمل کیا ہے؟")</f>
        <v>ملاخرہ_13 میں دکھایا گیا اہم عمل کیا ہے؟</v>
      </c>
      <c r="M32" s="2" t="str">
        <f>IFERROR(__xludf.DUMMYFUNCTION("GOOGLETRANSLATE(C32,""en"",""ur"")"),"ایک پہلوان کی تصاویر کا کولیج")</f>
        <v>ایک پہلوان کی تصاویر کا کولیج</v>
      </c>
      <c r="N32" s="2" t="str">
        <f>IFERROR(__xludf.DUMMYFUNCTION("GOOGLETRANSLATE(D32,""en"",""ur"")"),"دو آدمی ناچ رہے ہیں۔")</f>
        <v>دو آدمی ناچ رہے ہیں۔</v>
      </c>
      <c r="O32" s="2" t="str">
        <f>IFERROR(__xludf.DUMMYFUNCTION("GOOGLETRANSLATE(E32,""en"",""ur"")"),"ایک ریسلنگ میچ میں دو آدمی")</f>
        <v>ایک ریسلنگ میچ میں دو آدمی</v>
      </c>
      <c r="P32" s="2" t="str">
        <f>IFERROR(__xludf.DUMMYFUNCTION("GOOGLETRANSLATE(F32,""en"",""ur"")"),"دو آدمی بھاگ رہے ہیں۔")</f>
        <v>دو آدمی بھاگ رہے ہیں۔</v>
      </c>
      <c r="Q32" s="6" t="s">
        <v>1225</v>
      </c>
      <c r="R32" s="6" t="str">
        <f>IFERROR(__xludf.DUMMYFUNCTION("""COMPUTED_VALUE"""),"ایک ریسلنگ میچ میں دو آدمی")</f>
        <v>ایک ریسلنگ میچ میں دو آدمی</v>
      </c>
      <c r="S32" s="6" t="s">
        <v>1224</v>
      </c>
      <c r="T32" s="6"/>
      <c r="U32" s="6"/>
      <c r="V32" s="6"/>
      <c r="W32" s="6"/>
      <c r="X32" s="6"/>
      <c r="Y32" s="6"/>
      <c r="Z32" s="6"/>
      <c r="AA32" s="6"/>
      <c r="AB32" s="6"/>
    </row>
    <row r="33">
      <c r="A33" s="7">
        <v>32.0</v>
      </c>
      <c r="B33" s="6" t="s">
        <v>1226</v>
      </c>
      <c r="C33" s="6" t="s">
        <v>411</v>
      </c>
      <c r="D33" s="6" t="s">
        <v>1227</v>
      </c>
      <c r="E33" s="6" t="s">
        <v>334</v>
      </c>
      <c r="F33" s="6" t="s">
        <v>308</v>
      </c>
      <c r="G33" s="6" t="s">
        <v>1227</v>
      </c>
      <c r="H33" s="6" t="s">
        <v>1224</v>
      </c>
      <c r="I33" s="6"/>
      <c r="J33" s="6"/>
      <c r="K33" s="2" t="str">
        <f>IFERROR(__xludf.DUMMYFUNCTION("GOOGLETRANSLATE(A33,""en"",""ur"")"),"32")</f>
        <v>32</v>
      </c>
      <c r="L33" s="2" t="str">
        <f>IFERROR(__xludf.DUMMYFUNCTION("GOOGLETRANSLATE(B33,""en"",""ur"")"),"پہلوان کے لباس کے بارے میں ایک قابل ذکر تفصیل کیا ہے؟")</f>
        <v>پہلوان کے لباس کے بارے میں ایک قابل ذکر تفصیل کیا ہے؟</v>
      </c>
      <c r="M33" s="2" t="str">
        <f>IFERROR(__xludf.DUMMYFUNCTION("GOOGLETRANSLATE(C33,""en"",""ur"")"),"اس نے بکتر کا پورا سوٹ پہن رکھا ہے۔")</f>
        <v>اس نے بکتر کا پورا سوٹ پہن رکھا ہے۔</v>
      </c>
      <c r="N33" s="2" t="str">
        <f>IFERROR(__xludf.DUMMYFUNCTION("GOOGLETRANSLATE(D33,""en"",""ur"")"),"اس نے سارونگ یا پیٹرن والا اسکرٹ پہن رکھا ہے۔")</f>
        <v>اس نے سارونگ یا پیٹرن والا اسکرٹ پہن رکھا ہے۔</v>
      </c>
      <c r="O33" s="2" t="str">
        <f>IFERROR(__xludf.DUMMYFUNCTION("GOOGLETRANSLATE(E33,""en"",""ur"")"),"اس نے شارٹس اور ٹی شرٹ پہن رکھی ہے۔")</f>
        <v>اس نے شارٹس اور ٹی شرٹ پہن رکھی ہے۔</v>
      </c>
      <c r="P33" s="2" t="str">
        <f>IFERROR(__xludf.DUMMYFUNCTION("GOOGLETRANSLATE(F33,""en"",""ur"")"),"اس نے کوئی لباس نہیں پہنا ہوا ہے۔")</f>
        <v>اس نے کوئی لباس نہیں پہنا ہوا ہے۔</v>
      </c>
      <c r="Q33" s="6" t="s">
        <v>1228</v>
      </c>
      <c r="R33" s="6" t="str">
        <f>IFERROR(__xludf.DUMMYFUNCTION("""COMPUTED_VALUE"""),"ایک ریسلنگ میچ میں دو آدمی")</f>
        <v>ایک ریسلنگ میچ میں دو آدمی</v>
      </c>
      <c r="S33" s="6" t="s">
        <v>1224</v>
      </c>
      <c r="T33" s="6"/>
      <c r="U33" s="6"/>
      <c r="V33" s="6"/>
      <c r="W33" s="6"/>
      <c r="X33" s="6"/>
      <c r="Y33" s="6"/>
      <c r="Z33" s="6"/>
      <c r="AA33" s="6"/>
      <c r="AB33" s="6"/>
    </row>
    <row r="34">
      <c r="A34" s="7">
        <v>33.0</v>
      </c>
      <c r="B34" s="6" t="s">
        <v>1193</v>
      </c>
      <c r="C34" s="6" t="s">
        <v>1194</v>
      </c>
      <c r="D34" s="6" t="s">
        <v>1195</v>
      </c>
      <c r="E34" s="6" t="s">
        <v>1196</v>
      </c>
      <c r="F34" s="6" t="s">
        <v>1197</v>
      </c>
      <c r="G34" s="6" t="s">
        <v>1196</v>
      </c>
      <c r="H34" s="6" t="s">
        <v>1224</v>
      </c>
      <c r="I34" s="6"/>
      <c r="J34" s="6"/>
      <c r="K34" s="2" t="str">
        <f>IFERROR(__xludf.DUMMYFUNCTION("GOOGLETRANSLATE(A34,""en"",""ur"")"),"33")</f>
        <v>33</v>
      </c>
      <c r="L34" s="2" t="str">
        <f>IFERROR(__xludf.DUMMYFUNCTION("GOOGLETRANSLATE(B34,""en"",""ur"")"),"کشتی کا ظاہری مقصد کیا ہے؟")</f>
        <v>کشتی کا ظاہری مقصد کیا ہے؟</v>
      </c>
      <c r="M34" s="2" t="str">
        <f>IFERROR(__xludf.DUMMYFUNCTION("GOOGLETRANSLATE(C34,""en"",""ur"")"),"ایک رسمی رقص")</f>
        <v>ایک رسمی رقص</v>
      </c>
      <c r="N34" s="2" t="str">
        <f>IFERROR(__xludf.DUMMYFUNCTION("GOOGLETRANSLATE(D34,""en"",""ur"")"),"ایک دوستانہ مظاہرہ")</f>
        <v>ایک دوستانہ مظاہرہ</v>
      </c>
      <c r="O34" s="2" t="str">
        <f>IFERROR(__xludf.DUMMYFUNCTION("GOOGLETRANSLATE(E34,""en"",""ur"")"),"ٹیک ڈاؤن کے ساتھ ایک مسابقتی میچ")</f>
        <v>ٹیک ڈاؤن کے ساتھ ایک مسابقتی میچ</v>
      </c>
      <c r="P34" s="2" t="str">
        <f>IFERROR(__xludf.DUMMYFUNCTION("GOOGLETRANSLATE(F34,""en"",""ur"")"),"ایک پریکٹس سیشن")</f>
        <v>ایک پریکٹس سیشن</v>
      </c>
      <c r="Q34" s="6" t="s">
        <v>1198</v>
      </c>
      <c r="R34" s="6" t="str">
        <f>IFERROR(__xludf.DUMMYFUNCTION("""COMPUTED_VALUE"""),"ایک ریسلنگ میچ میں دو آدمی")</f>
        <v>ایک ریسلنگ میچ میں دو آدمی</v>
      </c>
      <c r="S34" s="6" t="s">
        <v>1224</v>
      </c>
      <c r="T34" s="6"/>
      <c r="U34" s="6"/>
      <c r="V34" s="6"/>
      <c r="W34" s="6"/>
      <c r="X34" s="6"/>
      <c r="Y34" s="6"/>
      <c r="Z34" s="6"/>
      <c r="AA34" s="6"/>
      <c r="AB34" s="6"/>
    </row>
    <row r="35">
      <c r="A35" s="7">
        <v>34.0</v>
      </c>
      <c r="B35" s="6" t="s">
        <v>991</v>
      </c>
      <c r="C35" s="6" t="s">
        <v>422</v>
      </c>
      <c r="D35" s="6" t="s">
        <v>1199</v>
      </c>
      <c r="E35" s="6" t="s">
        <v>424</v>
      </c>
      <c r="F35" s="6" t="s">
        <v>425</v>
      </c>
      <c r="G35" s="6" t="s">
        <v>1199</v>
      </c>
      <c r="H35" s="6" t="s">
        <v>1224</v>
      </c>
      <c r="I35" s="6"/>
      <c r="J35" s="6"/>
      <c r="K35" s="2" t="str">
        <f>IFERROR(__xludf.DUMMYFUNCTION("GOOGLETRANSLATE(A35,""en"",""ur"")"),"34")</f>
        <v>34</v>
      </c>
      <c r="L35" s="2" t="str">
        <f>IFERROR(__xludf.DUMMYFUNCTION("GOOGLETRANSLATE(B35,""en"",""ur"")"),"واقعہ کی ظاہری ترتیب کیا ہے؟")</f>
        <v>واقعہ کی ظاہری ترتیب کیا ہے؟</v>
      </c>
      <c r="M35" s="2" t="str">
        <f>IFERROR(__xludf.DUMMYFUNCTION("GOOGLETRANSLATE(C35,""en"",""ur"")"),"ایک انڈور اسٹیڈیم")</f>
        <v>ایک انڈور اسٹیڈیم</v>
      </c>
      <c r="N35" s="2" t="str">
        <f>IFERROR(__xludf.DUMMYFUNCTION("GOOGLETRANSLATE(D35,""en"",""ur"")"),"ایک دیہی، بیرونی گندگی کا ایک بڑا ہجوم")</f>
        <v>ایک دیہی، بیرونی گندگی کا ایک بڑا ہجوم</v>
      </c>
      <c r="O35" s="2" t="str">
        <f>IFERROR(__xludf.DUMMYFUNCTION("GOOGLETRANSLATE(E35,""en"",""ur"")"),"شہر کی مصروف گلی")</f>
        <v>شہر کی مصروف گلی</v>
      </c>
      <c r="P35" s="2" t="str">
        <f>IFERROR(__xludf.DUMMYFUNCTION("GOOGLETRANSLATE(F35,""en"",""ur"")"),"گھاس کا میدان")</f>
        <v>گھاس کا میدان</v>
      </c>
      <c r="Q35" s="6" t="s">
        <v>1200</v>
      </c>
      <c r="R35" s="6" t="str">
        <f>IFERROR(__xludf.DUMMYFUNCTION("""COMPUTED_VALUE"""),"ایک ریسلنگ میچ میں دو آدمی")</f>
        <v>ایک ریسلنگ میچ میں دو آدمی</v>
      </c>
      <c r="S35" s="6" t="s">
        <v>1224</v>
      </c>
      <c r="T35" s="6"/>
      <c r="U35" s="6"/>
      <c r="V35" s="6"/>
      <c r="W35" s="6"/>
      <c r="X35" s="6"/>
      <c r="Y35" s="6"/>
      <c r="Z35" s="6"/>
      <c r="AA35" s="6"/>
      <c r="AB35" s="6"/>
    </row>
    <row r="36">
      <c r="A36" s="7">
        <v>35.0</v>
      </c>
      <c r="B36" s="6" t="s">
        <v>1201</v>
      </c>
      <c r="C36" s="6" t="s">
        <v>47</v>
      </c>
      <c r="D36" s="6" t="s">
        <v>48</v>
      </c>
      <c r="E36" s="6" t="s">
        <v>49</v>
      </c>
      <c r="F36" s="6" t="s">
        <v>50</v>
      </c>
      <c r="G36" s="6" t="s">
        <v>49</v>
      </c>
      <c r="H36" s="6" t="s">
        <v>1224</v>
      </c>
      <c r="I36" s="6"/>
      <c r="J36" s="6"/>
      <c r="K36" s="2" t="str">
        <f>IFERROR(__xludf.DUMMYFUNCTION("GOOGLETRANSLATE(A36,""en"",""ur"")"),"35")</f>
        <v>35</v>
      </c>
      <c r="L36" s="2" t="str">
        <f>IFERROR(__xludf.DUMMYFUNCTION("GOOGLETRANSLATE(B36,""en"",""ur"")"),"پہلوانوں کے ظاہری جذبات کیا ہیں؟")</f>
        <v>پہلوانوں کے ظاہری جذبات کیا ہیں؟</v>
      </c>
      <c r="M36" s="2" t="str">
        <f>IFERROR(__xludf.DUMMYFUNCTION("GOOGLETRANSLATE(C36,""en"",""ur"")"),"پرسکون اور پر سکون")</f>
        <v>پرسکون اور پر سکون</v>
      </c>
      <c r="N36" s="2" t="str">
        <f>IFERROR(__xludf.DUMMYFUNCTION("GOOGLETRANSLATE(D36,""en"",""ur"")"),"خوف زدہ اور بے چین")</f>
        <v>خوف زدہ اور بے چین</v>
      </c>
      <c r="O36" s="2" t="str">
        <f>IFERROR(__xludf.DUMMYFUNCTION("GOOGLETRANSLATE(E36,""en"",""ur"")"),"کشیدہ اور شدید")</f>
        <v>کشیدہ اور شدید</v>
      </c>
      <c r="P36" s="2" t="str">
        <f>IFERROR(__xludf.DUMMYFUNCTION("GOOGLETRANSLATE(F36,""en"",""ur"")"),"خوش اور مسکراتے ہوئے۔")</f>
        <v>خوش اور مسکراتے ہوئے۔</v>
      </c>
      <c r="Q36" s="6" t="s">
        <v>51</v>
      </c>
      <c r="R36" s="6" t="str">
        <f>IFERROR(__xludf.DUMMYFUNCTION("""COMPUTED_VALUE"""),"ایک ریسلنگ میچ میں دو آدمی")</f>
        <v>ایک ریسلنگ میچ میں دو آدمی</v>
      </c>
      <c r="S36" s="6" t="s">
        <v>1224</v>
      </c>
      <c r="T36" s="6"/>
      <c r="U36" s="6"/>
      <c r="V36" s="6"/>
      <c r="W36" s="6"/>
      <c r="X36" s="6"/>
      <c r="Y36" s="6"/>
      <c r="Z36" s="6"/>
      <c r="AA36" s="6"/>
      <c r="AB36" s="6"/>
    </row>
    <row r="37">
      <c r="A37" s="7">
        <v>36.0</v>
      </c>
      <c r="B37" s="6" t="s">
        <v>1218</v>
      </c>
      <c r="C37" s="6" t="s">
        <v>429</v>
      </c>
      <c r="D37" s="6" t="s">
        <v>430</v>
      </c>
      <c r="E37" s="6" t="s">
        <v>431</v>
      </c>
      <c r="F37" s="6" t="s">
        <v>432</v>
      </c>
      <c r="G37" s="6" t="s">
        <v>430</v>
      </c>
      <c r="H37" s="6" t="s">
        <v>1224</v>
      </c>
      <c r="I37" s="6"/>
      <c r="J37" s="6"/>
      <c r="K37" s="2" t="str">
        <f>IFERROR(__xludf.DUMMYFUNCTION("GOOGLETRANSLATE(A37,""en"",""ur"")"),"36")</f>
        <v>36</v>
      </c>
      <c r="L37" s="2" t="str">
        <f>IFERROR(__xludf.DUMMYFUNCTION("GOOGLETRANSLATE(B37,""en"",""ur"")"),"پہلوانوں کی ظاہری جسمانی پوزیشن کیا ہے؟")</f>
        <v>پہلوانوں کی ظاہری جسمانی پوزیشن کیا ہے؟</v>
      </c>
      <c r="M37" s="2" t="str">
        <f>IFERROR(__xludf.DUMMYFUNCTION("GOOGLETRANSLATE(C37,""en"",""ur"")"),"سیدھا کھڑا ہونا")</f>
        <v>سیدھا کھڑا ہونا</v>
      </c>
      <c r="N37" s="2" t="str">
        <f>IFERROR(__xludf.DUMMYFUNCTION("GOOGLETRANSLATE(D37,""en"",""ur"")"),"کم، متحرک موقف میں")</f>
        <v>کم، متحرک موقف میں</v>
      </c>
      <c r="O37" s="2" t="str">
        <f>IFERROR(__xludf.DUMMYFUNCTION("GOOGLETRANSLATE(E37,""en"",""ur"")"),"زمین پر لیٹنا")</f>
        <v>زمین پر لیٹنا</v>
      </c>
      <c r="P37" s="2" t="str">
        <f>IFERROR(__xludf.DUMMYFUNCTION("GOOGLETRANSLATE(F37,""en"",""ur"")"),"بیٹھا ہوا")</f>
        <v>بیٹھا ہوا</v>
      </c>
      <c r="Q37" s="6" t="s">
        <v>433</v>
      </c>
      <c r="R37" s="6" t="str">
        <f>IFERROR(__xludf.DUMMYFUNCTION("""COMPUTED_VALUE"""),"ایک ریسلنگ میچ میں دو آدمی")</f>
        <v>ایک ریسلنگ میچ میں دو آدمی</v>
      </c>
      <c r="S37" s="6" t="s">
        <v>1224</v>
      </c>
      <c r="T37" s="6"/>
      <c r="U37" s="6"/>
      <c r="V37" s="6"/>
      <c r="W37" s="6"/>
      <c r="X37" s="6"/>
      <c r="Y37" s="6"/>
      <c r="Z37" s="6"/>
      <c r="AA37" s="6"/>
      <c r="AB37" s="6"/>
    </row>
    <row r="38">
      <c r="A38" s="7">
        <v>37.0</v>
      </c>
      <c r="B38" s="6" t="s">
        <v>434</v>
      </c>
      <c r="C38" s="6" t="s">
        <v>435</v>
      </c>
      <c r="D38" s="6" t="s">
        <v>436</v>
      </c>
      <c r="E38" s="6" t="s">
        <v>1203</v>
      </c>
      <c r="F38" s="6" t="s">
        <v>438</v>
      </c>
      <c r="G38" s="6" t="s">
        <v>1203</v>
      </c>
      <c r="H38" s="6" t="s">
        <v>1224</v>
      </c>
      <c r="I38" s="6"/>
      <c r="J38" s="6"/>
      <c r="K38" s="2" t="str">
        <f>IFERROR(__xludf.DUMMYFUNCTION("GOOGLETRANSLATE(A38,""en"",""ur"")"),"37")</f>
        <v>37</v>
      </c>
      <c r="L38" s="2" t="str">
        <f>IFERROR(__xludf.DUMMYFUNCTION("GOOGLETRANSLATE(B38,""en"",""ur"")"),"پس منظر میں ہجوم کی سب سے نمایاں خصوصیت کیا ہے؟")</f>
        <v>پس منظر میں ہجوم کی سب سے نمایاں خصوصیت کیا ہے؟</v>
      </c>
      <c r="M38" s="2" t="str">
        <f>IFERROR(__xludf.DUMMYFUNCTION("GOOGLETRANSLATE(C38,""en"",""ur"")"),"وہ بھاگ رہے ہیں۔")</f>
        <v>وہ بھاگ رہے ہیں۔</v>
      </c>
      <c r="N38" s="2" t="str">
        <f>IFERROR(__xludf.DUMMYFUNCTION("GOOGLETRANSLATE(D38,""en"",""ur"")"),"وہ خاموش بیٹھے ہیں۔")</f>
        <v>وہ خاموش بیٹھے ہیں۔</v>
      </c>
      <c r="O38" s="2" t="str">
        <f>IFERROR(__xludf.DUMMYFUNCTION("GOOGLETRANSLATE(E38,""en"",""ur"")"),"وہ باڑ کے پیچھے سے میچ دیکھ رہے ہیں۔")</f>
        <v>وہ باڑ کے پیچھے سے میچ دیکھ رہے ہیں۔</v>
      </c>
      <c r="P38" s="2" t="str">
        <f>IFERROR(__xludf.DUMMYFUNCTION("GOOGLETRANSLATE(F38,""en"",""ur"")"),"وہ سب ایک اسٹیج پر کھڑے ہیں۔")</f>
        <v>وہ سب ایک اسٹیج پر کھڑے ہیں۔</v>
      </c>
      <c r="Q38" s="6" t="s">
        <v>1204</v>
      </c>
      <c r="R38" s="6" t="str">
        <f>IFERROR(__xludf.DUMMYFUNCTION("""COMPUTED_VALUE"""),"ایک ریسلنگ میچ میں دو آدمی")</f>
        <v>ایک ریسلنگ میچ میں دو آدمی</v>
      </c>
      <c r="S38" s="6" t="s">
        <v>1224</v>
      </c>
      <c r="T38" s="6"/>
      <c r="U38" s="6"/>
      <c r="V38" s="6"/>
      <c r="W38" s="6"/>
      <c r="X38" s="6"/>
      <c r="Y38" s="6"/>
      <c r="Z38" s="6"/>
      <c r="AA38" s="6"/>
      <c r="AB38" s="6"/>
    </row>
    <row r="39">
      <c r="A39" s="7">
        <v>38.0</v>
      </c>
      <c r="B39" s="6" t="s">
        <v>440</v>
      </c>
      <c r="C39" s="6" t="s">
        <v>441</v>
      </c>
      <c r="D39" s="6" t="s">
        <v>442</v>
      </c>
      <c r="E39" s="6" t="s">
        <v>512</v>
      </c>
      <c r="F39" s="6" t="s">
        <v>444</v>
      </c>
      <c r="G39" s="6" t="s">
        <v>512</v>
      </c>
      <c r="H39" s="6" t="s">
        <v>1224</v>
      </c>
      <c r="I39" s="6"/>
      <c r="J39" s="6"/>
      <c r="K39" s="2" t="str">
        <f>IFERROR(__xludf.DUMMYFUNCTION("GOOGLETRANSLATE(A39,""en"",""ur"")"),"38")</f>
        <v>38</v>
      </c>
      <c r="L39" s="2" t="str">
        <f>IFERROR(__xludf.DUMMYFUNCTION("GOOGLETRANSLATE(B39,""en"",""ur"")"),"زمین کی ظاہری حالت کیا ہے؟")</f>
        <v>زمین کی ظاہری حالت کیا ہے؟</v>
      </c>
      <c r="M39" s="2" t="str">
        <f>IFERROR(__xludf.DUMMYFUNCTION("GOOGLETRANSLATE(C39,""en"",""ur"")"),"یہ ایک پکی سطح ہے۔")</f>
        <v>یہ ایک پکی سطح ہے۔</v>
      </c>
      <c r="N39" s="2" t="str">
        <f>IFERROR(__xludf.DUMMYFUNCTION("GOOGLETRANSLATE(D39,""en"",""ur"")"),"یہ ایک کیچڑ والا میدان ہے۔")</f>
        <v>یہ ایک کیچڑ والا میدان ہے۔</v>
      </c>
      <c r="O39" s="2" t="str">
        <f>IFERROR(__xludf.DUMMYFUNCTION("GOOGLETRANSLATE(E39,""en"",""ur"")"),"یہ ایک ریتلی یا گندگی کی سطح ہے۔")</f>
        <v>یہ ایک ریتلی یا گندگی کی سطح ہے۔</v>
      </c>
      <c r="P39" s="2" t="str">
        <f>IFERROR(__xludf.DUMMYFUNCTION("GOOGLETRANSLATE(F39,""en"",""ur"")"),"یہ ایک گھاس والی سطح ہے۔")</f>
        <v>یہ ایک گھاس والی سطح ہے۔</v>
      </c>
      <c r="Q39" s="6" t="s">
        <v>1219</v>
      </c>
      <c r="R39" s="6" t="str">
        <f>IFERROR(__xludf.DUMMYFUNCTION("""COMPUTED_VALUE"""),"ایک ریسلنگ میچ میں دو آدمی")</f>
        <v>ایک ریسلنگ میچ میں دو آدمی</v>
      </c>
      <c r="S39" s="6" t="s">
        <v>1224</v>
      </c>
      <c r="T39" s="6"/>
      <c r="U39" s="6"/>
      <c r="V39" s="6"/>
      <c r="W39" s="6"/>
      <c r="X39" s="6"/>
      <c r="Y39" s="6"/>
      <c r="Z39" s="6"/>
      <c r="AA39" s="6"/>
      <c r="AB39" s="6"/>
    </row>
    <row r="40">
      <c r="A40" s="7">
        <v>39.0</v>
      </c>
      <c r="B40" s="6" t="s">
        <v>1205</v>
      </c>
      <c r="C40" s="6" t="s">
        <v>1206</v>
      </c>
      <c r="D40" s="6" t="s">
        <v>1207</v>
      </c>
      <c r="E40" s="6" t="s">
        <v>1208</v>
      </c>
      <c r="F40" s="6" t="s">
        <v>449</v>
      </c>
      <c r="G40" s="6" t="s">
        <v>1208</v>
      </c>
      <c r="H40" s="6" t="s">
        <v>1224</v>
      </c>
      <c r="I40" s="6"/>
      <c r="J40" s="6"/>
      <c r="K40" s="2" t="str">
        <f>IFERROR(__xludf.DUMMYFUNCTION("GOOGLETRANSLATE(A40,""en"",""ur"")"),"39")</f>
        <v>39</v>
      </c>
      <c r="L40" s="2" t="str">
        <f>IFERROR(__xludf.DUMMYFUNCTION("GOOGLETRANSLATE(B40,""en"",""ur"")"),"لمبی اسکرٹس کا بنیادی مقصد کیا ہے؟")</f>
        <v>لمبی اسکرٹس کا بنیادی مقصد کیا ہے؟</v>
      </c>
      <c r="M40" s="2" t="str">
        <f>IFERROR(__xludf.DUMMYFUNCTION("GOOGLETRANSLATE(C40,""en"",""ur"")"),"پہلوانوں کی ٹانگوں کی حفاظت کے لیے")</f>
        <v>پہلوانوں کی ٹانگوں کی حفاظت کے لیے</v>
      </c>
      <c r="N40" s="2" t="str">
        <f>IFERROR(__xludf.DUMMYFUNCTION("GOOGLETRANSLATE(D40,""en"",""ur"")"),"پہلوانوں کو مزید چست بنانے کے لیے")</f>
        <v>پہلوانوں کو مزید چست بنانے کے لیے</v>
      </c>
      <c r="O40" s="2" t="str">
        <f>IFERROR(__xludf.DUMMYFUNCTION("GOOGLETRANSLATE(E40,""en"",""ur"")"),"روایتی لباس اور لڑائی کے دوران گرفت کے لیے")</f>
        <v>روایتی لباس اور لڑائی کے دوران گرفت کے لیے</v>
      </c>
      <c r="P40" s="2" t="str">
        <f>IFERROR(__xludf.DUMMYFUNCTION("GOOGLETRANSLATE(F40,""en"",""ur"")"),"صرف سجاوٹ کے لیے")</f>
        <v>صرف سجاوٹ کے لیے</v>
      </c>
      <c r="Q40" s="6" t="s">
        <v>1209</v>
      </c>
      <c r="R40" s="6" t="str">
        <f>IFERROR(__xludf.DUMMYFUNCTION("""COMPUTED_VALUE"""),"ایک ریسلنگ میچ میں دو آدمی")</f>
        <v>ایک ریسلنگ میچ میں دو آدمی</v>
      </c>
      <c r="S40" s="6" t="s">
        <v>1224</v>
      </c>
      <c r="T40" s="6"/>
      <c r="U40" s="6"/>
      <c r="V40" s="6"/>
      <c r="W40" s="6"/>
      <c r="X40" s="6"/>
      <c r="Y40" s="6"/>
      <c r="Z40" s="6"/>
      <c r="AA40" s="6"/>
      <c r="AB40" s="6"/>
    </row>
    <row r="41">
      <c r="A41" s="7">
        <v>40.0</v>
      </c>
      <c r="B41" s="6" t="s">
        <v>260</v>
      </c>
      <c r="C41" s="6" t="s">
        <v>261</v>
      </c>
      <c r="D41" s="6" t="s">
        <v>262</v>
      </c>
      <c r="E41" s="6" t="s">
        <v>1210</v>
      </c>
      <c r="F41" s="6" t="s">
        <v>264</v>
      </c>
      <c r="G41" s="6" t="s">
        <v>1210</v>
      </c>
      <c r="H41" s="6" t="s">
        <v>1224</v>
      </c>
      <c r="I41" s="6"/>
      <c r="J41" s="6"/>
      <c r="K41" s="2" t="str">
        <f>IFERROR(__xludf.DUMMYFUNCTION("GOOGLETRANSLATE(A41,""en"",""ur"")"),"40")</f>
        <v>40</v>
      </c>
      <c r="L41" s="2" t="str">
        <f>IFERROR(__xludf.DUMMYFUNCTION("GOOGLETRANSLATE(B41,""en"",""ur"")"),"تصویر میں ایکشن ایک ایسا انداز تجویز کرتا ہے جو اس بات پر زور دیتا ہے...")</f>
        <v>تصویر میں ایکشن ایک ایسا انداز تجویز کرتا ہے جو اس بات پر زور دیتا ہے...</v>
      </c>
      <c r="M41" s="2" t="str">
        <f>IFERROR(__xludf.DUMMYFUNCTION("GOOGLETRANSLATE(C41,""en"",""ur"")"),"روانی اور قلابازیاں")</f>
        <v>روانی اور قلابازیاں</v>
      </c>
      <c r="N41" s="2" t="str">
        <f>IFERROR(__xludf.DUMMYFUNCTION("GOOGLETRANSLATE(D41,""en"",""ur"")"),"زمینی لڑائی اور گرفت")</f>
        <v>زمینی لڑائی اور گرفت</v>
      </c>
      <c r="O41" s="2" t="str">
        <f>IFERROR(__xludf.DUMMYFUNCTION("GOOGLETRANSLATE(E41,""en"",""ur"")"),"وحشیانہ طاقت اور ٹیک ڈاؤن")</f>
        <v>وحشیانہ طاقت اور ٹیک ڈاؤن</v>
      </c>
      <c r="P41" s="2" t="str">
        <f>IFERROR(__xludf.DUMMYFUNCTION("GOOGLETRANSLATE(F41,""en"",""ur"")"),"سادہ، لکیری حرکات")</f>
        <v>سادہ، لکیری حرکات</v>
      </c>
      <c r="Q41" s="6" t="s">
        <v>1211</v>
      </c>
      <c r="R41" s="6" t="str">
        <f>IFERROR(__xludf.DUMMYFUNCTION("""COMPUTED_VALUE"""),"ایک ریسلنگ میچ میں دو آدمی")</f>
        <v>ایک ریسلنگ میچ میں دو آدمی</v>
      </c>
      <c r="S41" s="6" t="s">
        <v>1224</v>
      </c>
      <c r="T41" s="6"/>
      <c r="U41" s="6"/>
      <c r="V41" s="6"/>
      <c r="W41" s="6"/>
      <c r="X41" s="6"/>
      <c r="Y41" s="6"/>
      <c r="Z41" s="6"/>
      <c r="AA41" s="6"/>
      <c r="AB41" s="6"/>
    </row>
    <row r="42">
      <c r="A42" s="7">
        <v>41.0</v>
      </c>
      <c r="B42" s="6" t="s">
        <v>1229</v>
      </c>
      <c r="C42" s="6" t="s">
        <v>405</v>
      </c>
      <c r="D42" s="6" t="s">
        <v>406</v>
      </c>
      <c r="E42" s="6" t="s">
        <v>1184</v>
      </c>
      <c r="F42" s="6" t="s">
        <v>1185</v>
      </c>
      <c r="G42" s="6" t="s">
        <v>1184</v>
      </c>
      <c r="H42" s="6" t="s">
        <v>1230</v>
      </c>
      <c r="I42" s="6"/>
      <c r="J42" s="6"/>
      <c r="K42" s="2" t="str">
        <f>IFERROR(__xludf.DUMMYFUNCTION("GOOGLETRANSLATE(A42,""en"",""ur"")"),"41")</f>
        <v>41</v>
      </c>
      <c r="L42" s="2" t="str">
        <f>IFERROR(__xludf.DUMMYFUNCTION("GOOGLETRANSLATE(B42,""en"",""ur"")"),"ملاخرہ_19 میں دکھایا گیا اہم عمل کیا ہے؟")</f>
        <v>ملاخرہ_19 میں دکھایا گیا اہم عمل کیا ہے؟</v>
      </c>
      <c r="M42" s="2" t="str">
        <f>IFERROR(__xludf.DUMMYFUNCTION("GOOGLETRANSLATE(C42,""en"",""ur"")"),"دو آدمی تلواروں سے لڑ رہے ہیں۔")</f>
        <v>دو آدمی تلواروں سے لڑ رہے ہیں۔</v>
      </c>
      <c r="N42" s="2" t="str">
        <f>IFERROR(__xludf.DUMMYFUNCTION("GOOGLETRANSLATE(D42,""en"",""ur"")"),"دو آدمی ناچ رہے ہیں۔")</f>
        <v>دو آدمی ناچ رہے ہیں۔</v>
      </c>
      <c r="O42" s="2" t="str">
        <f>IFERROR(__xludf.DUMMYFUNCTION("GOOGLETRANSLATE(E42,""en"",""ur"")"),"ایک ریسلنگ میچ میں دو آدمی")</f>
        <v>ایک ریسلنگ میچ میں دو آدمی</v>
      </c>
      <c r="P42" s="2" t="str">
        <f>IFERROR(__xludf.DUMMYFUNCTION("GOOGLETRANSLATE(F42,""en"",""ur"")"),"دو آدمی بھاگ رہے ہیں۔")</f>
        <v>دو آدمی بھاگ رہے ہیں۔</v>
      </c>
      <c r="Q42" s="6" t="s">
        <v>1214</v>
      </c>
      <c r="R42" s="6" t="str">
        <f>IFERROR(__xludf.DUMMYFUNCTION("""COMPUTED_VALUE"""),"ایک ریسلنگ میچ میں دو آدمی")</f>
        <v>ایک ریسلنگ میچ میں دو آدمی</v>
      </c>
      <c r="S42" s="6" t="s">
        <v>1230</v>
      </c>
      <c r="T42" s="6"/>
      <c r="U42" s="6"/>
      <c r="V42" s="6"/>
      <c r="W42" s="6"/>
      <c r="X42" s="6"/>
      <c r="Y42" s="6"/>
      <c r="Z42" s="6"/>
      <c r="AA42" s="6"/>
      <c r="AB42" s="6"/>
    </row>
    <row r="43">
      <c r="A43" s="7">
        <v>42.0</v>
      </c>
      <c r="B43" s="6" t="s">
        <v>1215</v>
      </c>
      <c r="C43" s="6" t="s">
        <v>488</v>
      </c>
      <c r="D43" s="6" t="s">
        <v>1216</v>
      </c>
      <c r="E43" s="6" t="s">
        <v>490</v>
      </c>
      <c r="F43" s="6" t="s">
        <v>246</v>
      </c>
      <c r="G43" s="6" t="s">
        <v>1216</v>
      </c>
      <c r="H43" s="6" t="s">
        <v>1230</v>
      </c>
      <c r="I43" s="6"/>
      <c r="J43" s="6"/>
      <c r="K43" s="2" t="str">
        <f>IFERROR(__xludf.DUMMYFUNCTION("GOOGLETRANSLATE(A43,""en"",""ur"")"),"42")</f>
        <v>42</v>
      </c>
      <c r="L43" s="2" t="str">
        <f>IFERROR(__xludf.DUMMYFUNCTION("GOOGLETRANSLATE(B43,""en"",""ur"")"),"پہلوانوں کے لباس کے بارے میں ایک قابل ذکر تفصیل کیا ہے؟")</f>
        <v>پہلوانوں کے لباس کے بارے میں ایک قابل ذکر تفصیل کیا ہے؟</v>
      </c>
      <c r="M43" s="2" t="str">
        <f>IFERROR(__xludf.DUMMYFUNCTION("GOOGLETRANSLATE(C43,""en"",""ur"")"),"انہوں نے بکتر کا پورا سوٹ پہن رکھا ہے۔")</f>
        <v>انہوں نے بکتر کا پورا سوٹ پہن رکھا ہے۔</v>
      </c>
      <c r="N43" s="2" t="str">
        <f>IFERROR(__xludf.DUMMYFUNCTION("GOOGLETRANSLATE(D43,""en"",""ur"")"),"وہ سارونگ یا پیٹرن والا اسکرٹ پہنے ہوئے ہیں۔")</f>
        <v>وہ سارونگ یا پیٹرن والا اسکرٹ پہنے ہوئے ہیں۔</v>
      </c>
      <c r="O43" s="2" t="str">
        <f>IFERROR(__xludf.DUMMYFUNCTION("GOOGLETRANSLATE(E43,""en"",""ur"")"),"انہوں نے شارٹس اور ٹی شرٹ پہن رکھی ہیں۔")</f>
        <v>انہوں نے شارٹس اور ٹی شرٹ پہن رکھی ہیں۔</v>
      </c>
      <c r="P43" s="2" t="str">
        <f>IFERROR(__xludf.DUMMYFUNCTION("GOOGLETRANSLATE(F43,""en"",""ur"")"),"انہوں نے کوئی لباس نہیں پہنا ہوا ہے۔")</f>
        <v>انہوں نے کوئی لباس نہیں پہنا ہوا ہے۔</v>
      </c>
      <c r="Q43" s="6" t="s">
        <v>1217</v>
      </c>
      <c r="R43" s="6" t="str">
        <f>IFERROR(__xludf.DUMMYFUNCTION("""COMPUTED_VALUE"""),"ایک ریسلنگ میچ میں دو آدمی")</f>
        <v>ایک ریسلنگ میچ میں دو آدمی</v>
      </c>
      <c r="S43" s="6" t="s">
        <v>1230</v>
      </c>
      <c r="T43" s="6"/>
      <c r="U43" s="6"/>
      <c r="V43" s="6"/>
      <c r="W43" s="6"/>
      <c r="X43" s="6"/>
      <c r="Y43" s="6"/>
      <c r="Z43" s="6"/>
      <c r="AA43" s="6"/>
      <c r="AB43" s="6"/>
    </row>
    <row r="44">
      <c r="A44" s="7">
        <v>43.0</v>
      </c>
      <c r="B44" s="6" t="s">
        <v>1193</v>
      </c>
      <c r="C44" s="6" t="s">
        <v>1194</v>
      </c>
      <c r="D44" s="6" t="s">
        <v>1195</v>
      </c>
      <c r="E44" s="6" t="s">
        <v>1196</v>
      </c>
      <c r="F44" s="6" t="s">
        <v>1197</v>
      </c>
      <c r="G44" s="6" t="s">
        <v>1196</v>
      </c>
      <c r="H44" s="6" t="s">
        <v>1230</v>
      </c>
      <c r="I44" s="6"/>
      <c r="J44" s="6"/>
      <c r="K44" s="2" t="str">
        <f>IFERROR(__xludf.DUMMYFUNCTION("GOOGLETRANSLATE(A44,""en"",""ur"")"),"43")</f>
        <v>43</v>
      </c>
      <c r="L44" s="2" t="str">
        <f>IFERROR(__xludf.DUMMYFUNCTION("GOOGLETRANSLATE(B44,""en"",""ur"")"),"کشتی کا ظاہری مقصد کیا ہے؟")</f>
        <v>کشتی کا ظاہری مقصد کیا ہے؟</v>
      </c>
      <c r="M44" s="2" t="str">
        <f>IFERROR(__xludf.DUMMYFUNCTION("GOOGLETRANSLATE(C44,""en"",""ur"")"),"ایک رسمی رقص")</f>
        <v>ایک رسمی رقص</v>
      </c>
      <c r="N44" s="2" t="str">
        <f>IFERROR(__xludf.DUMMYFUNCTION("GOOGLETRANSLATE(D44,""en"",""ur"")"),"ایک دوستانہ مظاہرہ")</f>
        <v>ایک دوستانہ مظاہرہ</v>
      </c>
      <c r="O44" s="2" t="str">
        <f>IFERROR(__xludf.DUMMYFUNCTION("GOOGLETRANSLATE(E44,""en"",""ur"")"),"ٹیک ڈاؤن کے ساتھ ایک مسابقتی میچ")</f>
        <v>ٹیک ڈاؤن کے ساتھ ایک مسابقتی میچ</v>
      </c>
      <c r="P44" s="2" t="str">
        <f>IFERROR(__xludf.DUMMYFUNCTION("GOOGLETRANSLATE(F44,""en"",""ur"")"),"ایک پریکٹس سیشن")</f>
        <v>ایک پریکٹس سیشن</v>
      </c>
      <c r="Q44" s="6" t="s">
        <v>1198</v>
      </c>
      <c r="R44" s="6" t="str">
        <f>IFERROR(__xludf.DUMMYFUNCTION("""COMPUTED_VALUE"""),"ایک ریسلنگ میچ میں دو آدمی")</f>
        <v>ایک ریسلنگ میچ میں دو آدمی</v>
      </c>
      <c r="S44" s="6" t="s">
        <v>1230</v>
      </c>
      <c r="T44" s="6"/>
      <c r="U44" s="6"/>
      <c r="V44" s="6"/>
      <c r="W44" s="6"/>
      <c r="X44" s="6"/>
      <c r="Y44" s="6"/>
      <c r="Z44" s="6"/>
      <c r="AA44" s="6"/>
      <c r="AB44" s="6"/>
    </row>
    <row r="45">
      <c r="A45" s="7">
        <v>44.0</v>
      </c>
      <c r="B45" s="6" t="s">
        <v>991</v>
      </c>
      <c r="C45" s="6" t="s">
        <v>422</v>
      </c>
      <c r="D45" s="6" t="s">
        <v>1199</v>
      </c>
      <c r="E45" s="6" t="s">
        <v>424</v>
      </c>
      <c r="F45" s="6" t="s">
        <v>425</v>
      </c>
      <c r="G45" s="6" t="s">
        <v>1199</v>
      </c>
      <c r="H45" s="6" t="s">
        <v>1230</v>
      </c>
      <c r="I45" s="6"/>
      <c r="J45" s="6"/>
      <c r="K45" s="2" t="str">
        <f>IFERROR(__xludf.DUMMYFUNCTION("GOOGLETRANSLATE(A45,""en"",""ur"")"),"44")</f>
        <v>44</v>
      </c>
      <c r="L45" s="2" t="str">
        <f>IFERROR(__xludf.DUMMYFUNCTION("GOOGLETRANSLATE(B45,""en"",""ur"")"),"واقعہ کی ظاہری ترتیب کیا ہے؟")</f>
        <v>واقعہ کی ظاہری ترتیب کیا ہے؟</v>
      </c>
      <c r="M45" s="2" t="str">
        <f>IFERROR(__xludf.DUMMYFUNCTION("GOOGLETRANSLATE(C45,""en"",""ur"")"),"ایک انڈور اسٹیڈیم")</f>
        <v>ایک انڈور اسٹیڈیم</v>
      </c>
      <c r="N45" s="2" t="str">
        <f>IFERROR(__xludf.DUMMYFUNCTION("GOOGLETRANSLATE(D45,""en"",""ur"")"),"ایک دیہی، بیرونی گندگی کا ایک بڑا ہجوم")</f>
        <v>ایک دیہی، بیرونی گندگی کا ایک بڑا ہجوم</v>
      </c>
      <c r="O45" s="2" t="str">
        <f>IFERROR(__xludf.DUMMYFUNCTION("GOOGLETRANSLATE(E45,""en"",""ur"")"),"شہر کی مصروف گلی")</f>
        <v>شہر کی مصروف گلی</v>
      </c>
      <c r="P45" s="2" t="str">
        <f>IFERROR(__xludf.DUMMYFUNCTION("GOOGLETRANSLATE(F45,""en"",""ur"")"),"گھاس کا میدان")</f>
        <v>گھاس کا میدان</v>
      </c>
      <c r="Q45" s="6" t="s">
        <v>1200</v>
      </c>
      <c r="R45" s="6" t="str">
        <f>IFERROR(__xludf.DUMMYFUNCTION("""COMPUTED_VALUE"""),"ایک ریسلنگ میچ میں دو آدمی")</f>
        <v>ایک ریسلنگ میچ میں دو آدمی</v>
      </c>
      <c r="S45" s="6" t="s">
        <v>1230</v>
      </c>
      <c r="T45" s="6"/>
      <c r="U45" s="6"/>
      <c r="V45" s="6"/>
      <c r="W45" s="6"/>
      <c r="X45" s="6"/>
      <c r="Y45" s="6"/>
      <c r="Z45" s="6"/>
      <c r="AA45" s="6"/>
      <c r="AB45" s="6"/>
    </row>
    <row r="46">
      <c r="A46" s="7">
        <v>45.0</v>
      </c>
      <c r="B46" s="6" t="s">
        <v>1201</v>
      </c>
      <c r="C46" s="6" t="s">
        <v>47</v>
      </c>
      <c r="D46" s="6" t="s">
        <v>48</v>
      </c>
      <c r="E46" s="6" t="s">
        <v>49</v>
      </c>
      <c r="F46" s="6" t="s">
        <v>50</v>
      </c>
      <c r="G46" s="6" t="s">
        <v>49</v>
      </c>
      <c r="H46" s="6" t="s">
        <v>1230</v>
      </c>
      <c r="I46" s="6"/>
      <c r="J46" s="6"/>
      <c r="K46" s="2" t="str">
        <f>IFERROR(__xludf.DUMMYFUNCTION("GOOGLETRANSLATE(A46,""en"",""ur"")"),"45")</f>
        <v>45</v>
      </c>
      <c r="L46" s="2" t="str">
        <f>IFERROR(__xludf.DUMMYFUNCTION("GOOGLETRANSLATE(B46,""en"",""ur"")"),"پہلوانوں کے ظاہری جذبات کیا ہیں؟")</f>
        <v>پہلوانوں کے ظاہری جذبات کیا ہیں؟</v>
      </c>
      <c r="M46" s="2" t="str">
        <f>IFERROR(__xludf.DUMMYFUNCTION("GOOGLETRANSLATE(C46,""en"",""ur"")"),"پرسکون اور پر سکون")</f>
        <v>پرسکون اور پر سکون</v>
      </c>
      <c r="N46" s="2" t="str">
        <f>IFERROR(__xludf.DUMMYFUNCTION("GOOGLETRANSLATE(D46,""en"",""ur"")"),"خوف زدہ اور بے چین")</f>
        <v>خوف زدہ اور بے چین</v>
      </c>
      <c r="O46" s="2" t="str">
        <f>IFERROR(__xludf.DUMMYFUNCTION("GOOGLETRANSLATE(E46,""en"",""ur"")"),"کشیدہ اور شدید")</f>
        <v>کشیدہ اور شدید</v>
      </c>
      <c r="P46" s="2" t="str">
        <f>IFERROR(__xludf.DUMMYFUNCTION("GOOGLETRANSLATE(F46,""en"",""ur"")"),"خوش اور مسکراتے ہوئے۔")</f>
        <v>خوش اور مسکراتے ہوئے۔</v>
      </c>
      <c r="Q46" s="6" t="s">
        <v>51</v>
      </c>
      <c r="R46" s="6" t="str">
        <f>IFERROR(__xludf.DUMMYFUNCTION("""COMPUTED_VALUE"""),"ایک ریسلنگ میچ میں دو آدمی")</f>
        <v>ایک ریسلنگ میچ میں دو آدمی</v>
      </c>
      <c r="S46" s="6" t="s">
        <v>1230</v>
      </c>
      <c r="T46" s="6"/>
      <c r="U46" s="6"/>
      <c r="V46" s="6"/>
      <c r="W46" s="6"/>
      <c r="X46" s="6"/>
      <c r="Y46" s="6"/>
      <c r="Z46" s="6"/>
      <c r="AA46" s="6"/>
      <c r="AB46" s="6"/>
    </row>
    <row r="47">
      <c r="A47" s="7">
        <v>46.0</v>
      </c>
      <c r="B47" s="6" t="s">
        <v>1218</v>
      </c>
      <c r="C47" s="6" t="s">
        <v>429</v>
      </c>
      <c r="D47" s="6" t="s">
        <v>430</v>
      </c>
      <c r="E47" s="6" t="s">
        <v>431</v>
      </c>
      <c r="F47" s="6" t="s">
        <v>432</v>
      </c>
      <c r="G47" s="6" t="s">
        <v>430</v>
      </c>
      <c r="H47" s="6" t="s">
        <v>1230</v>
      </c>
      <c r="I47" s="6"/>
      <c r="J47" s="6"/>
      <c r="K47" s="2" t="str">
        <f>IFERROR(__xludf.DUMMYFUNCTION("GOOGLETRANSLATE(A47,""en"",""ur"")"),"46")</f>
        <v>46</v>
      </c>
      <c r="L47" s="2" t="str">
        <f>IFERROR(__xludf.DUMMYFUNCTION("GOOGLETRANSLATE(B47,""en"",""ur"")"),"پہلوانوں کی ظاہری جسمانی پوزیشن کیا ہے؟")</f>
        <v>پہلوانوں کی ظاہری جسمانی پوزیشن کیا ہے؟</v>
      </c>
      <c r="M47" s="2" t="str">
        <f>IFERROR(__xludf.DUMMYFUNCTION("GOOGLETRANSLATE(C47,""en"",""ur"")"),"سیدھا کھڑا ہونا")</f>
        <v>سیدھا کھڑا ہونا</v>
      </c>
      <c r="N47" s="2" t="str">
        <f>IFERROR(__xludf.DUMMYFUNCTION("GOOGLETRANSLATE(D47,""en"",""ur"")"),"کم، متحرک موقف میں")</f>
        <v>کم، متحرک موقف میں</v>
      </c>
      <c r="O47" s="2" t="str">
        <f>IFERROR(__xludf.DUMMYFUNCTION("GOOGLETRANSLATE(E47,""en"",""ur"")"),"زمین پر لیٹنا")</f>
        <v>زمین پر لیٹنا</v>
      </c>
      <c r="P47" s="2" t="str">
        <f>IFERROR(__xludf.DUMMYFUNCTION("GOOGLETRANSLATE(F47,""en"",""ur"")"),"بیٹھا ہوا")</f>
        <v>بیٹھا ہوا</v>
      </c>
      <c r="Q47" s="6" t="s">
        <v>433</v>
      </c>
      <c r="R47" s="6" t="str">
        <f>IFERROR(__xludf.DUMMYFUNCTION("""COMPUTED_VALUE"""),"ایک ریسلنگ میچ میں دو آدمی")</f>
        <v>ایک ریسلنگ میچ میں دو آدمی</v>
      </c>
      <c r="S47" s="6" t="s">
        <v>1230</v>
      </c>
      <c r="T47" s="6"/>
      <c r="U47" s="6"/>
      <c r="V47" s="6"/>
      <c r="W47" s="6"/>
      <c r="X47" s="6"/>
      <c r="Y47" s="6"/>
      <c r="Z47" s="6"/>
      <c r="AA47" s="6"/>
      <c r="AB47" s="6"/>
    </row>
    <row r="48">
      <c r="A48" s="7">
        <v>47.0</v>
      </c>
      <c r="B48" s="6" t="s">
        <v>434</v>
      </c>
      <c r="C48" s="6" t="s">
        <v>435</v>
      </c>
      <c r="D48" s="6" t="s">
        <v>436</v>
      </c>
      <c r="E48" s="6" t="s">
        <v>1203</v>
      </c>
      <c r="F48" s="6" t="s">
        <v>438</v>
      </c>
      <c r="G48" s="6" t="s">
        <v>1203</v>
      </c>
      <c r="H48" s="6" t="s">
        <v>1230</v>
      </c>
      <c r="I48" s="6"/>
      <c r="J48" s="6"/>
      <c r="K48" s="2" t="str">
        <f>IFERROR(__xludf.DUMMYFUNCTION("GOOGLETRANSLATE(A48,""en"",""ur"")"),"47")</f>
        <v>47</v>
      </c>
      <c r="L48" s="2" t="str">
        <f>IFERROR(__xludf.DUMMYFUNCTION("GOOGLETRANSLATE(B48,""en"",""ur"")"),"پس منظر میں ہجوم کی سب سے نمایاں خصوصیت کیا ہے؟")</f>
        <v>پس منظر میں ہجوم کی سب سے نمایاں خصوصیت کیا ہے؟</v>
      </c>
      <c r="M48" s="2" t="str">
        <f>IFERROR(__xludf.DUMMYFUNCTION("GOOGLETRANSLATE(C48,""en"",""ur"")"),"وہ بھاگ رہے ہیں۔")</f>
        <v>وہ بھاگ رہے ہیں۔</v>
      </c>
      <c r="N48" s="2" t="str">
        <f>IFERROR(__xludf.DUMMYFUNCTION("GOOGLETRANSLATE(D48,""en"",""ur"")"),"وہ خاموش بیٹھے ہیں۔")</f>
        <v>وہ خاموش بیٹھے ہیں۔</v>
      </c>
      <c r="O48" s="2" t="str">
        <f>IFERROR(__xludf.DUMMYFUNCTION("GOOGLETRANSLATE(E48,""en"",""ur"")"),"وہ باڑ کے پیچھے سے میچ دیکھ رہے ہیں۔")</f>
        <v>وہ باڑ کے پیچھے سے میچ دیکھ رہے ہیں۔</v>
      </c>
      <c r="P48" s="2" t="str">
        <f>IFERROR(__xludf.DUMMYFUNCTION("GOOGLETRANSLATE(F48,""en"",""ur"")"),"وہ سب ایک اسٹیج پر کھڑے ہیں۔")</f>
        <v>وہ سب ایک اسٹیج پر کھڑے ہیں۔</v>
      </c>
      <c r="Q48" s="6" t="s">
        <v>1204</v>
      </c>
      <c r="R48" s="6" t="str">
        <f>IFERROR(__xludf.DUMMYFUNCTION("""COMPUTED_VALUE"""),"ایک ریسلنگ میچ میں دو آدمی")</f>
        <v>ایک ریسلنگ میچ میں دو آدمی</v>
      </c>
      <c r="S48" s="6" t="s">
        <v>1230</v>
      </c>
      <c r="T48" s="6"/>
      <c r="U48" s="6"/>
      <c r="V48" s="6"/>
      <c r="W48" s="6"/>
      <c r="X48" s="6"/>
      <c r="Y48" s="6"/>
      <c r="Z48" s="6"/>
      <c r="AA48" s="6"/>
      <c r="AB48" s="6"/>
    </row>
    <row r="49">
      <c r="A49" s="7">
        <v>48.0</v>
      </c>
      <c r="B49" s="6" t="s">
        <v>440</v>
      </c>
      <c r="C49" s="6" t="s">
        <v>441</v>
      </c>
      <c r="D49" s="6" t="s">
        <v>442</v>
      </c>
      <c r="E49" s="6" t="s">
        <v>512</v>
      </c>
      <c r="F49" s="6" t="s">
        <v>444</v>
      </c>
      <c r="G49" s="6" t="s">
        <v>512</v>
      </c>
      <c r="H49" s="6" t="s">
        <v>1230</v>
      </c>
      <c r="I49" s="6"/>
      <c r="J49" s="6"/>
      <c r="K49" s="2" t="str">
        <f>IFERROR(__xludf.DUMMYFUNCTION("GOOGLETRANSLATE(A49,""en"",""ur"")"),"48")</f>
        <v>48</v>
      </c>
      <c r="L49" s="2" t="str">
        <f>IFERROR(__xludf.DUMMYFUNCTION("GOOGLETRANSLATE(B49,""en"",""ur"")"),"زمین کی ظاہری حالت کیا ہے؟")</f>
        <v>زمین کی ظاہری حالت کیا ہے؟</v>
      </c>
      <c r="M49" s="2" t="str">
        <f>IFERROR(__xludf.DUMMYFUNCTION("GOOGLETRANSLATE(C49,""en"",""ur"")"),"یہ ایک پکی سطح ہے۔")</f>
        <v>یہ ایک پکی سطح ہے۔</v>
      </c>
      <c r="N49" s="2" t="str">
        <f>IFERROR(__xludf.DUMMYFUNCTION("GOOGLETRANSLATE(D49,""en"",""ur"")"),"یہ ایک کیچڑ والا میدان ہے۔")</f>
        <v>یہ ایک کیچڑ والا میدان ہے۔</v>
      </c>
      <c r="O49" s="2" t="str">
        <f>IFERROR(__xludf.DUMMYFUNCTION("GOOGLETRANSLATE(E49,""en"",""ur"")"),"یہ ایک ریتلی یا گندگی کی سطح ہے۔")</f>
        <v>یہ ایک ریتلی یا گندگی کی سطح ہے۔</v>
      </c>
      <c r="P49" s="2" t="str">
        <f>IFERROR(__xludf.DUMMYFUNCTION("GOOGLETRANSLATE(F49,""en"",""ur"")"),"یہ ایک گھاس والی سطح ہے۔")</f>
        <v>یہ ایک گھاس والی سطح ہے۔</v>
      </c>
      <c r="Q49" s="6" t="s">
        <v>1219</v>
      </c>
      <c r="R49" s="6" t="str">
        <f>IFERROR(__xludf.DUMMYFUNCTION("""COMPUTED_VALUE"""),"ایک ریسلنگ میچ میں دو آدمی")</f>
        <v>ایک ریسلنگ میچ میں دو آدمی</v>
      </c>
      <c r="S49" s="6" t="s">
        <v>1230</v>
      </c>
      <c r="T49" s="6"/>
      <c r="U49" s="6"/>
      <c r="V49" s="6"/>
      <c r="W49" s="6"/>
      <c r="X49" s="6"/>
      <c r="Y49" s="6"/>
      <c r="Z49" s="6"/>
      <c r="AA49" s="6"/>
      <c r="AB49" s="6"/>
    </row>
    <row r="50">
      <c r="A50" s="7">
        <v>49.0</v>
      </c>
      <c r="B50" s="6" t="s">
        <v>1205</v>
      </c>
      <c r="C50" s="6" t="s">
        <v>1206</v>
      </c>
      <c r="D50" s="6" t="s">
        <v>1207</v>
      </c>
      <c r="E50" s="6" t="s">
        <v>1208</v>
      </c>
      <c r="F50" s="6" t="s">
        <v>449</v>
      </c>
      <c r="G50" s="6" t="s">
        <v>1208</v>
      </c>
      <c r="H50" s="6" t="s">
        <v>1230</v>
      </c>
      <c r="I50" s="6"/>
      <c r="J50" s="6"/>
      <c r="K50" s="2" t="str">
        <f>IFERROR(__xludf.DUMMYFUNCTION("GOOGLETRANSLATE(A50,""en"",""ur"")"),"49")</f>
        <v>49</v>
      </c>
      <c r="L50" s="2" t="str">
        <f>IFERROR(__xludf.DUMMYFUNCTION("GOOGLETRANSLATE(B50,""en"",""ur"")"),"لمبی اسکرٹس کا بنیادی مقصد کیا ہے؟")</f>
        <v>لمبی اسکرٹس کا بنیادی مقصد کیا ہے؟</v>
      </c>
      <c r="M50" s="2" t="str">
        <f>IFERROR(__xludf.DUMMYFUNCTION("GOOGLETRANSLATE(C50,""en"",""ur"")"),"پہلوانوں کی ٹانگوں کی حفاظت کے لیے")</f>
        <v>پہلوانوں کی ٹانگوں کی حفاظت کے لیے</v>
      </c>
      <c r="N50" s="2" t="str">
        <f>IFERROR(__xludf.DUMMYFUNCTION("GOOGLETRANSLATE(D50,""en"",""ur"")"),"پہلوانوں کو مزید چست بنانے کے لیے")</f>
        <v>پہلوانوں کو مزید چست بنانے کے لیے</v>
      </c>
      <c r="O50" s="2" t="str">
        <f>IFERROR(__xludf.DUMMYFUNCTION("GOOGLETRANSLATE(E50,""en"",""ur"")"),"روایتی لباس اور لڑائی کے دوران گرفت کے لیے")</f>
        <v>روایتی لباس اور لڑائی کے دوران گرفت کے لیے</v>
      </c>
      <c r="P50" s="2" t="str">
        <f>IFERROR(__xludf.DUMMYFUNCTION("GOOGLETRANSLATE(F50,""en"",""ur"")"),"صرف سجاوٹ کے لیے")</f>
        <v>صرف سجاوٹ کے لیے</v>
      </c>
      <c r="Q50" s="6" t="s">
        <v>1209</v>
      </c>
      <c r="R50" s="6" t="str">
        <f>IFERROR(__xludf.DUMMYFUNCTION("""COMPUTED_VALUE"""),"ایک ریسلنگ میچ میں دو آدمی")</f>
        <v>ایک ریسلنگ میچ میں دو آدمی</v>
      </c>
      <c r="S50" s="6" t="s">
        <v>1230</v>
      </c>
      <c r="T50" s="6"/>
      <c r="U50" s="6"/>
      <c r="V50" s="6"/>
      <c r="W50" s="6"/>
      <c r="X50" s="6"/>
      <c r="Y50" s="6"/>
      <c r="Z50" s="6"/>
      <c r="AA50" s="6"/>
      <c r="AB50" s="6"/>
    </row>
    <row r="51">
      <c r="A51" s="7">
        <v>50.0</v>
      </c>
      <c r="B51" s="6" t="s">
        <v>260</v>
      </c>
      <c r="C51" s="6" t="s">
        <v>261</v>
      </c>
      <c r="D51" s="6" t="s">
        <v>262</v>
      </c>
      <c r="E51" s="6" t="s">
        <v>1210</v>
      </c>
      <c r="F51" s="6" t="s">
        <v>264</v>
      </c>
      <c r="G51" s="6" t="s">
        <v>1210</v>
      </c>
      <c r="H51" s="6" t="s">
        <v>1230</v>
      </c>
      <c r="I51" s="6"/>
      <c r="J51" s="6"/>
      <c r="K51" s="2" t="str">
        <f>IFERROR(__xludf.DUMMYFUNCTION("GOOGLETRANSLATE(A51,""en"",""ur"")"),"50")</f>
        <v>50</v>
      </c>
      <c r="L51" s="2" t="str">
        <f>IFERROR(__xludf.DUMMYFUNCTION("GOOGLETRANSLATE(B51,""en"",""ur"")"),"تصویر میں ایکشن ایک ایسا انداز تجویز کرتا ہے جو اس بات پر زور دیتا ہے...")</f>
        <v>تصویر میں ایکشن ایک ایسا انداز تجویز کرتا ہے جو اس بات پر زور دیتا ہے...</v>
      </c>
      <c r="M51" s="2" t="str">
        <f>IFERROR(__xludf.DUMMYFUNCTION("GOOGLETRANSLATE(C51,""en"",""ur"")"),"روانی اور قلابازیاں")</f>
        <v>روانی اور قلابازیاں</v>
      </c>
      <c r="N51" s="2" t="str">
        <f>IFERROR(__xludf.DUMMYFUNCTION("GOOGLETRANSLATE(D51,""en"",""ur"")"),"زمینی لڑائی اور گرفت")</f>
        <v>زمینی لڑائی اور گرفت</v>
      </c>
      <c r="O51" s="2" t="str">
        <f>IFERROR(__xludf.DUMMYFUNCTION("GOOGLETRANSLATE(E51,""en"",""ur"")"),"وحشیانہ طاقت اور ٹیک ڈاؤن")</f>
        <v>وحشیانہ طاقت اور ٹیک ڈاؤن</v>
      </c>
      <c r="P51" s="2" t="str">
        <f>IFERROR(__xludf.DUMMYFUNCTION("GOOGLETRANSLATE(F51,""en"",""ur"")"),"سادہ، لکیری حرکات")</f>
        <v>سادہ، لکیری حرکات</v>
      </c>
      <c r="Q51" s="6" t="s">
        <v>1211</v>
      </c>
      <c r="R51" s="6" t="str">
        <f>IFERROR(__xludf.DUMMYFUNCTION("""COMPUTED_VALUE"""),"ایک ریسلنگ میچ میں دو آدمی")</f>
        <v>ایک ریسلنگ میچ میں دو آدمی</v>
      </c>
      <c r="S51" s="6" t="s">
        <v>1230</v>
      </c>
      <c r="T51" s="6"/>
      <c r="U51" s="6"/>
      <c r="V51" s="6"/>
      <c r="W51" s="6"/>
      <c r="X51" s="6"/>
      <c r="Y51" s="6"/>
      <c r="Z51" s="6"/>
      <c r="AA51" s="6"/>
      <c r="AB51" s="6"/>
    </row>
    <row r="52">
      <c r="A52" s="7">
        <v>51.0</v>
      </c>
      <c r="B52" s="6" t="s">
        <v>1231</v>
      </c>
      <c r="C52" s="6" t="s">
        <v>405</v>
      </c>
      <c r="D52" s="6" t="s">
        <v>406</v>
      </c>
      <c r="E52" s="6" t="s">
        <v>1184</v>
      </c>
      <c r="F52" s="6" t="s">
        <v>1185</v>
      </c>
      <c r="G52" s="6" t="s">
        <v>1184</v>
      </c>
      <c r="H52" s="6" t="s">
        <v>1232</v>
      </c>
      <c r="I52" s="6"/>
      <c r="J52" s="6"/>
      <c r="K52" s="2" t="str">
        <f>IFERROR(__xludf.DUMMYFUNCTION("GOOGLETRANSLATE(A52,""en"",""ur"")"),"51")</f>
        <v>51</v>
      </c>
      <c r="L52" s="2" t="str">
        <f>IFERROR(__xludf.DUMMYFUNCTION("GOOGLETRANSLATE(B52,""en"",""ur"")"),"ملاخرہ_4 میں مرکزی عمل کیا دکھایا گیا ہے؟")</f>
        <v>ملاخرہ_4 میں مرکزی عمل کیا دکھایا گیا ہے؟</v>
      </c>
      <c r="M52" s="2" t="str">
        <f>IFERROR(__xludf.DUMMYFUNCTION("GOOGLETRANSLATE(C52,""en"",""ur"")"),"دو آدمی تلواروں سے لڑ رہے ہیں۔")</f>
        <v>دو آدمی تلواروں سے لڑ رہے ہیں۔</v>
      </c>
      <c r="N52" s="2" t="str">
        <f>IFERROR(__xludf.DUMMYFUNCTION("GOOGLETRANSLATE(D52,""en"",""ur"")"),"دو آدمی ناچ رہے ہیں۔")</f>
        <v>دو آدمی ناچ رہے ہیں۔</v>
      </c>
      <c r="O52" s="2" t="str">
        <f>IFERROR(__xludf.DUMMYFUNCTION("GOOGLETRANSLATE(E52,""en"",""ur"")"),"ایک ریسلنگ میچ میں دو آدمی")</f>
        <v>ایک ریسلنگ میچ میں دو آدمی</v>
      </c>
      <c r="P52" s="2" t="str">
        <f>IFERROR(__xludf.DUMMYFUNCTION("GOOGLETRANSLATE(F52,""en"",""ur"")"),"دو آدمی بھاگ رہے ہیں۔")</f>
        <v>دو آدمی بھاگ رہے ہیں۔</v>
      </c>
      <c r="Q52" s="6" t="s">
        <v>1214</v>
      </c>
      <c r="R52" s="6" t="str">
        <f>IFERROR(__xludf.DUMMYFUNCTION("""COMPUTED_VALUE"""),"ایک ریسلنگ میچ میں دو آدمی")</f>
        <v>ایک ریسلنگ میچ میں دو آدمی</v>
      </c>
      <c r="S52" s="6" t="s">
        <v>1232</v>
      </c>
      <c r="T52" s="6"/>
      <c r="U52" s="6"/>
      <c r="V52" s="6"/>
      <c r="W52" s="6"/>
      <c r="X52" s="6"/>
      <c r="Y52" s="6"/>
      <c r="Z52" s="6"/>
      <c r="AA52" s="6"/>
      <c r="AB52" s="6"/>
    </row>
    <row r="53">
      <c r="A53" s="7">
        <v>52.0</v>
      </c>
      <c r="B53" s="6" t="s">
        <v>1215</v>
      </c>
      <c r="C53" s="6" t="s">
        <v>488</v>
      </c>
      <c r="D53" s="6" t="s">
        <v>1216</v>
      </c>
      <c r="E53" s="6" t="s">
        <v>490</v>
      </c>
      <c r="F53" s="6" t="s">
        <v>246</v>
      </c>
      <c r="G53" s="6" t="s">
        <v>1216</v>
      </c>
      <c r="H53" s="6" t="s">
        <v>1232</v>
      </c>
      <c r="I53" s="6"/>
      <c r="J53" s="6"/>
      <c r="K53" s="2" t="str">
        <f>IFERROR(__xludf.DUMMYFUNCTION("GOOGLETRANSLATE(A53,""en"",""ur"")"),"52")</f>
        <v>52</v>
      </c>
      <c r="L53" s="2" t="str">
        <f>IFERROR(__xludf.DUMMYFUNCTION("GOOGLETRANSLATE(B53,""en"",""ur"")"),"پہلوانوں کے لباس کے بارے میں ایک قابل ذکر تفصیل کیا ہے؟")</f>
        <v>پہلوانوں کے لباس کے بارے میں ایک قابل ذکر تفصیل کیا ہے؟</v>
      </c>
      <c r="M53" s="2" t="str">
        <f>IFERROR(__xludf.DUMMYFUNCTION("GOOGLETRANSLATE(C53,""en"",""ur"")"),"انہوں نے بکتر کا پورا سوٹ پہن رکھا ہے۔")</f>
        <v>انہوں نے بکتر کا پورا سوٹ پہن رکھا ہے۔</v>
      </c>
      <c r="N53" s="2" t="str">
        <f>IFERROR(__xludf.DUMMYFUNCTION("GOOGLETRANSLATE(D53,""en"",""ur"")"),"وہ سارونگ یا پیٹرن والا اسکرٹ پہنے ہوئے ہیں۔")</f>
        <v>وہ سارونگ یا پیٹرن والا اسکرٹ پہنے ہوئے ہیں۔</v>
      </c>
      <c r="O53" s="2" t="str">
        <f>IFERROR(__xludf.DUMMYFUNCTION("GOOGLETRANSLATE(E53,""en"",""ur"")"),"انہوں نے شارٹس اور ٹی شرٹ پہن رکھی ہیں۔")</f>
        <v>انہوں نے شارٹس اور ٹی شرٹ پہن رکھی ہیں۔</v>
      </c>
      <c r="P53" s="2" t="str">
        <f>IFERROR(__xludf.DUMMYFUNCTION("GOOGLETRANSLATE(F53,""en"",""ur"")"),"انہوں نے کوئی لباس نہیں پہنا ہوا ہے۔")</f>
        <v>انہوں نے کوئی لباس نہیں پہنا ہوا ہے۔</v>
      </c>
      <c r="Q53" s="6" t="s">
        <v>1217</v>
      </c>
      <c r="R53" s="6" t="str">
        <f>IFERROR(__xludf.DUMMYFUNCTION("""COMPUTED_VALUE"""),"ایک ریسلنگ میچ میں دو آدمی")</f>
        <v>ایک ریسلنگ میچ میں دو آدمی</v>
      </c>
      <c r="S53" s="6" t="s">
        <v>1232</v>
      </c>
      <c r="T53" s="6"/>
      <c r="U53" s="6"/>
      <c r="V53" s="6"/>
      <c r="W53" s="6"/>
      <c r="X53" s="6"/>
      <c r="Y53" s="6"/>
      <c r="Z53" s="6"/>
      <c r="AA53" s="6"/>
      <c r="AB53" s="6"/>
    </row>
    <row r="54">
      <c r="A54" s="7">
        <v>53.0</v>
      </c>
      <c r="B54" s="6" t="s">
        <v>1193</v>
      </c>
      <c r="C54" s="6" t="s">
        <v>1194</v>
      </c>
      <c r="D54" s="6" t="s">
        <v>1195</v>
      </c>
      <c r="E54" s="6" t="s">
        <v>1196</v>
      </c>
      <c r="F54" s="6" t="s">
        <v>1197</v>
      </c>
      <c r="G54" s="6" t="s">
        <v>1196</v>
      </c>
      <c r="H54" s="6" t="s">
        <v>1232</v>
      </c>
      <c r="I54" s="6"/>
      <c r="J54" s="6"/>
      <c r="K54" s="2" t="str">
        <f>IFERROR(__xludf.DUMMYFUNCTION("GOOGLETRANSLATE(A54,""en"",""ur"")"),"53")</f>
        <v>53</v>
      </c>
      <c r="L54" s="2" t="str">
        <f>IFERROR(__xludf.DUMMYFUNCTION("GOOGLETRANSLATE(B54,""en"",""ur"")"),"کشتی کا ظاہری مقصد کیا ہے؟")</f>
        <v>کشتی کا ظاہری مقصد کیا ہے؟</v>
      </c>
      <c r="M54" s="2" t="str">
        <f>IFERROR(__xludf.DUMMYFUNCTION("GOOGLETRANSLATE(C54,""en"",""ur"")"),"ایک رسمی رقص")</f>
        <v>ایک رسمی رقص</v>
      </c>
      <c r="N54" s="2" t="str">
        <f>IFERROR(__xludf.DUMMYFUNCTION("GOOGLETRANSLATE(D54,""en"",""ur"")"),"ایک دوستانہ مظاہرہ")</f>
        <v>ایک دوستانہ مظاہرہ</v>
      </c>
      <c r="O54" s="2" t="str">
        <f>IFERROR(__xludf.DUMMYFUNCTION("GOOGLETRANSLATE(E54,""en"",""ur"")"),"ٹیک ڈاؤن کے ساتھ ایک مسابقتی میچ")</f>
        <v>ٹیک ڈاؤن کے ساتھ ایک مسابقتی میچ</v>
      </c>
      <c r="P54" s="2" t="str">
        <f>IFERROR(__xludf.DUMMYFUNCTION("GOOGLETRANSLATE(F54,""en"",""ur"")"),"ایک پریکٹس سیشن")</f>
        <v>ایک پریکٹس سیشن</v>
      </c>
      <c r="Q54" s="6" t="s">
        <v>1198</v>
      </c>
      <c r="R54" s="6" t="str">
        <f>IFERROR(__xludf.DUMMYFUNCTION("""COMPUTED_VALUE"""),"ایک ریسلنگ میچ میں دو آدمی")</f>
        <v>ایک ریسلنگ میچ میں دو آدمی</v>
      </c>
      <c r="S54" s="6" t="s">
        <v>1232</v>
      </c>
      <c r="T54" s="6"/>
      <c r="U54" s="6"/>
      <c r="V54" s="6"/>
      <c r="W54" s="6"/>
      <c r="X54" s="6"/>
      <c r="Y54" s="6"/>
      <c r="Z54" s="6"/>
      <c r="AA54" s="6"/>
      <c r="AB54" s="6"/>
    </row>
    <row r="55">
      <c r="A55" s="7">
        <v>54.0</v>
      </c>
      <c r="B55" s="6" t="s">
        <v>991</v>
      </c>
      <c r="C55" s="6" t="s">
        <v>422</v>
      </c>
      <c r="D55" s="6" t="s">
        <v>1199</v>
      </c>
      <c r="E55" s="6" t="s">
        <v>424</v>
      </c>
      <c r="F55" s="6" t="s">
        <v>425</v>
      </c>
      <c r="G55" s="6" t="s">
        <v>1199</v>
      </c>
      <c r="H55" s="6" t="s">
        <v>1232</v>
      </c>
      <c r="I55" s="6"/>
      <c r="J55" s="6"/>
      <c r="K55" s="2" t="str">
        <f>IFERROR(__xludf.DUMMYFUNCTION("GOOGLETRANSLATE(A55,""en"",""ur"")"),"54")</f>
        <v>54</v>
      </c>
      <c r="L55" s="2" t="str">
        <f>IFERROR(__xludf.DUMMYFUNCTION("GOOGLETRANSLATE(B55,""en"",""ur"")"),"واقعہ کی ظاہری ترتیب کیا ہے؟")</f>
        <v>واقعہ کی ظاہری ترتیب کیا ہے؟</v>
      </c>
      <c r="M55" s="2" t="str">
        <f>IFERROR(__xludf.DUMMYFUNCTION("GOOGLETRANSLATE(C55,""en"",""ur"")"),"ایک انڈور اسٹیڈیم")</f>
        <v>ایک انڈور اسٹیڈیم</v>
      </c>
      <c r="N55" s="2" t="str">
        <f>IFERROR(__xludf.DUMMYFUNCTION("GOOGLETRANSLATE(D55,""en"",""ur"")"),"ایک دیہی، بیرونی گندگی کا ایک بڑا ہجوم")</f>
        <v>ایک دیہی، بیرونی گندگی کا ایک بڑا ہجوم</v>
      </c>
      <c r="O55" s="2" t="str">
        <f>IFERROR(__xludf.DUMMYFUNCTION("GOOGLETRANSLATE(E55,""en"",""ur"")"),"شہر کی مصروف گلی")</f>
        <v>شہر کی مصروف گلی</v>
      </c>
      <c r="P55" s="2" t="str">
        <f>IFERROR(__xludf.DUMMYFUNCTION("GOOGLETRANSLATE(F55,""en"",""ur"")"),"گھاس کا میدان")</f>
        <v>گھاس کا میدان</v>
      </c>
      <c r="Q55" s="6" t="s">
        <v>1200</v>
      </c>
      <c r="R55" s="6" t="str">
        <f>IFERROR(__xludf.DUMMYFUNCTION("""COMPUTED_VALUE"""),"ایک ریسلنگ میچ میں دو آدمی")</f>
        <v>ایک ریسلنگ میچ میں دو آدمی</v>
      </c>
      <c r="S55" s="6" t="s">
        <v>1232</v>
      </c>
      <c r="T55" s="6"/>
      <c r="U55" s="6"/>
      <c r="V55" s="6"/>
      <c r="W55" s="6"/>
      <c r="X55" s="6"/>
      <c r="Y55" s="6"/>
      <c r="Z55" s="6"/>
      <c r="AA55" s="6"/>
      <c r="AB55" s="6"/>
    </row>
    <row r="56">
      <c r="A56" s="7">
        <v>55.0</v>
      </c>
      <c r="B56" s="6" t="s">
        <v>1201</v>
      </c>
      <c r="C56" s="6" t="s">
        <v>47</v>
      </c>
      <c r="D56" s="6" t="s">
        <v>48</v>
      </c>
      <c r="E56" s="6" t="s">
        <v>49</v>
      </c>
      <c r="F56" s="6" t="s">
        <v>50</v>
      </c>
      <c r="G56" s="6" t="s">
        <v>49</v>
      </c>
      <c r="H56" s="6" t="s">
        <v>1232</v>
      </c>
      <c r="I56" s="6"/>
      <c r="J56" s="6"/>
      <c r="K56" s="2" t="str">
        <f>IFERROR(__xludf.DUMMYFUNCTION("GOOGLETRANSLATE(A56,""en"",""ur"")"),"55")</f>
        <v>55</v>
      </c>
      <c r="L56" s="2" t="str">
        <f>IFERROR(__xludf.DUMMYFUNCTION("GOOGLETRANSLATE(B56,""en"",""ur"")"),"پہلوانوں کے ظاہری جذبات کیا ہیں؟")</f>
        <v>پہلوانوں کے ظاہری جذبات کیا ہیں؟</v>
      </c>
      <c r="M56" s="2" t="str">
        <f>IFERROR(__xludf.DUMMYFUNCTION("GOOGLETRANSLATE(C56,""en"",""ur"")"),"پرسکون اور پر سکون")</f>
        <v>پرسکون اور پر سکون</v>
      </c>
      <c r="N56" s="2" t="str">
        <f>IFERROR(__xludf.DUMMYFUNCTION("GOOGLETRANSLATE(D56,""en"",""ur"")"),"خوف زدہ اور بے چین")</f>
        <v>خوف زدہ اور بے چین</v>
      </c>
      <c r="O56" s="2" t="str">
        <f>IFERROR(__xludf.DUMMYFUNCTION("GOOGLETRANSLATE(E56,""en"",""ur"")"),"کشیدہ اور شدید")</f>
        <v>کشیدہ اور شدید</v>
      </c>
      <c r="P56" s="2" t="str">
        <f>IFERROR(__xludf.DUMMYFUNCTION("GOOGLETRANSLATE(F56,""en"",""ur"")"),"خوش اور مسکراتے ہوئے۔")</f>
        <v>خوش اور مسکراتے ہوئے۔</v>
      </c>
      <c r="Q56" s="6" t="s">
        <v>51</v>
      </c>
      <c r="R56" s="6" t="str">
        <f>IFERROR(__xludf.DUMMYFUNCTION("""COMPUTED_VALUE"""),"ایک ریسلنگ میچ میں دو آدمی")</f>
        <v>ایک ریسلنگ میچ میں دو آدمی</v>
      </c>
      <c r="S56" s="6" t="s">
        <v>1232</v>
      </c>
      <c r="T56" s="6"/>
      <c r="U56" s="6"/>
      <c r="V56" s="6"/>
      <c r="W56" s="6"/>
      <c r="X56" s="6"/>
      <c r="Y56" s="6"/>
      <c r="Z56" s="6"/>
      <c r="AA56" s="6"/>
      <c r="AB56" s="6"/>
    </row>
    <row r="57">
      <c r="A57" s="7">
        <v>56.0</v>
      </c>
      <c r="B57" s="6" t="s">
        <v>1233</v>
      </c>
      <c r="C57" s="6" t="s">
        <v>429</v>
      </c>
      <c r="D57" s="6" t="s">
        <v>578</v>
      </c>
      <c r="E57" s="6" t="s">
        <v>431</v>
      </c>
      <c r="F57" s="6" t="s">
        <v>432</v>
      </c>
      <c r="G57" s="6" t="s">
        <v>578</v>
      </c>
      <c r="H57" s="6" t="s">
        <v>1232</v>
      </c>
      <c r="I57" s="6"/>
      <c r="J57" s="6"/>
      <c r="K57" s="2" t="str">
        <f>IFERROR(__xludf.DUMMYFUNCTION("GOOGLETRANSLATE(A57,""en"",""ur"")"),"56")</f>
        <v>56</v>
      </c>
      <c r="L57" s="2" t="str">
        <f>IFERROR(__xludf.DUMMYFUNCTION("GOOGLETRANSLATE(B57,""en"",""ur"")"),"دائیں طرف پہلوان کی ظاہری جسمانی پوزیشن کیا ہے؟")</f>
        <v>دائیں طرف پہلوان کی ظاہری جسمانی پوزیشن کیا ہے؟</v>
      </c>
      <c r="M57" s="2" t="str">
        <f>IFERROR(__xludf.DUMMYFUNCTION("GOOGLETRANSLATE(C57,""en"",""ur"")"),"سیدھا کھڑا ہونا")</f>
        <v>سیدھا کھڑا ہونا</v>
      </c>
      <c r="N57" s="2" t="str">
        <f>IFERROR(__xludf.DUMMYFUNCTION("GOOGLETRANSLATE(D57,""en"",""ur"")"),"درمیانی ہوا کی چھلانگ میں")</f>
        <v>درمیانی ہوا کی چھلانگ میں</v>
      </c>
      <c r="O57" s="2" t="str">
        <f>IFERROR(__xludf.DUMMYFUNCTION("GOOGLETRANSLATE(E57,""en"",""ur"")"),"زمین پر لیٹنا")</f>
        <v>زمین پر لیٹنا</v>
      </c>
      <c r="P57" s="2" t="str">
        <f>IFERROR(__xludf.DUMMYFUNCTION("GOOGLETRANSLATE(F57,""en"",""ur"")"),"بیٹھا ہوا")</f>
        <v>بیٹھا ہوا</v>
      </c>
      <c r="Q57" s="6" t="s">
        <v>579</v>
      </c>
      <c r="R57" s="6" t="str">
        <f>IFERROR(__xludf.DUMMYFUNCTION("""COMPUTED_VALUE"""),"ایک ریسلنگ میچ میں دو آدمی")</f>
        <v>ایک ریسلنگ میچ میں دو آدمی</v>
      </c>
      <c r="S57" s="6" t="s">
        <v>1232</v>
      </c>
      <c r="T57" s="6"/>
      <c r="U57" s="6"/>
      <c r="V57" s="6"/>
      <c r="W57" s="6"/>
      <c r="X57" s="6"/>
      <c r="Y57" s="6"/>
      <c r="Z57" s="6"/>
      <c r="AA57" s="6"/>
      <c r="AB57" s="6"/>
    </row>
    <row r="58">
      <c r="A58" s="7">
        <v>57.0</v>
      </c>
      <c r="B58" s="6" t="s">
        <v>434</v>
      </c>
      <c r="C58" s="6" t="s">
        <v>435</v>
      </c>
      <c r="D58" s="6" t="s">
        <v>436</v>
      </c>
      <c r="E58" s="6" t="s">
        <v>1203</v>
      </c>
      <c r="F58" s="6" t="s">
        <v>438</v>
      </c>
      <c r="G58" s="6" t="s">
        <v>1203</v>
      </c>
      <c r="H58" s="6" t="s">
        <v>1232</v>
      </c>
      <c r="I58" s="6"/>
      <c r="J58" s="6"/>
      <c r="K58" s="2" t="str">
        <f>IFERROR(__xludf.DUMMYFUNCTION("GOOGLETRANSLATE(A58,""en"",""ur"")"),"57")</f>
        <v>57</v>
      </c>
      <c r="L58" s="2" t="str">
        <f>IFERROR(__xludf.DUMMYFUNCTION("GOOGLETRANSLATE(B58,""en"",""ur"")"),"پس منظر میں ہجوم کی سب سے نمایاں خصوصیت کیا ہے؟")</f>
        <v>پس منظر میں ہجوم کی سب سے نمایاں خصوصیت کیا ہے؟</v>
      </c>
      <c r="M58" s="2" t="str">
        <f>IFERROR(__xludf.DUMMYFUNCTION("GOOGLETRANSLATE(C58,""en"",""ur"")"),"وہ بھاگ رہے ہیں۔")</f>
        <v>وہ بھاگ رہے ہیں۔</v>
      </c>
      <c r="N58" s="2" t="str">
        <f>IFERROR(__xludf.DUMMYFUNCTION("GOOGLETRANSLATE(D58,""en"",""ur"")"),"وہ خاموش بیٹھے ہیں۔")</f>
        <v>وہ خاموش بیٹھے ہیں۔</v>
      </c>
      <c r="O58" s="2" t="str">
        <f>IFERROR(__xludf.DUMMYFUNCTION("GOOGLETRANSLATE(E58,""en"",""ur"")"),"وہ باڑ کے پیچھے سے میچ دیکھ رہے ہیں۔")</f>
        <v>وہ باڑ کے پیچھے سے میچ دیکھ رہے ہیں۔</v>
      </c>
      <c r="P58" s="2" t="str">
        <f>IFERROR(__xludf.DUMMYFUNCTION("GOOGLETRANSLATE(F58,""en"",""ur"")"),"وہ سب ایک اسٹیج پر کھڑے ہیں۔")</f>
        <v>وہ سب ایک اسٹیج پر کھڑے ہیں۔</v>
      </c>
      <c r="Q58" s="6" t="s">
        <v>1204</v>
      </c>
      <c r="R58" s="6" t="str">
        <f>IFERROR(__xludf.DUMMYFUNCTION("""COMPUTED_VALUE"""),"ایک ریسلنگ میچ میں دو آدمی")</f>
        <v>ایک ریسلنگ میچ میں دو آدمی</v>
      </c>
      <c r="S58" s="6" t="s">
        <v>1232</v>
      </c>
      <c r="T58" s="6"/>
      <c r="U58" s="6"/>
      <c r="V58" s="6"/>
      <c r="W58" s="6"/>
      <c r="X58" s="6"/>
      <c r="Y58" s="6"/>
      <c r="Z58" s="6"/>
      <c r="AA58" s="6"/>
      <c r="AB58" s="6"/>
    </row>
    <row r="59">
      <c r="A59" s="7">
        <v>58.0</v>
      </c>
      <c r="B59" s="6" t="s">
        <v>440</v>
      </c>
      <c r="C59" s="6" t="s">
        <v>441</v>
      </c>
      <c r="D59" s="6" t="s">
        <v>442</v>
      </c>
      <c r="E59" s="6" t="s">
        <v>512</v>
      </c>
      <c r="F59" s="6" t="s">
        <v>444</v>
      </c>
      <c r="G59" s="6" t="s">
        <v>512</v>
      </c>
      <c r="H59" s="6" t="s">
        <v>1232</v>
      </c>
      <c r="I59" s="6"/>
      <c r="J59" s="6"/>
      <c r="K59" s="2" t="str">
        <f>IFERROR(__xludf.DUMMYFUNCTION("GOOGLETRANSLATE(A59,""en"",""ur"")"),"58")</f>
        <v>58</v>
      </c>
      <c r="L59" s="2" t="str">
        <f>IFERROR(__xludf.DUMMYFUNCTION("GOOGLETRANSLATE(B59,""en"",""ur"")"),"زمین کی ظاہری حالت کیا ہے؟")</f>
        <v>زمین کی ظاہری حالت کیا ہے؟</v>
      </c>
      <c r="M59" s="2" t="str">
        <f>IFERROR(__xludf.DUMMYFUNCTION("GOOGLETRANSLATE(C59,""en"",""ur"")"),"یہ ایک پکی سطح ہے۔")</f>
        <v>یہ ایک پکی سطح ہے۔</v>
      </c>
      <c r="N59" s="2" t="str">
        <f>IFERROR(__xludf.DUMMYFUNCTION("GOOGLETRANSLATE(D59,""en"",""ur"")"),"یہ ایک کیچڑ والا میدان ہے۔")</f>
        <v>یہ ایک کیچڑ والا میدان ہے۔</v>
      </c>
      <c r="O59" s="2" t="str">
        <f>IFERROR(__xludf.DUMMYFUNCTION("GOOGLETRANSLATE(E59,""en"",""ur"")"),"یہ ایک ریتلی یا گندگی کی سطح ہے۔")</f>
        <v>یہ ایک ریتلی یا گندگی کی سطح ہے۔</v>
      </c>
      <c r="P59" s="2" t="str">
        <f>IFERROR(__xludf.DUMMYFUNCTION("GOOGLETRANSLATE(F59,""en"",""ur"")"),"یہ ایک گھاس والی سطح ہے۔")</f>
        <v>یہ ایک گھاس والی سطح ہے۔</v>
      </c>
      <c r="Q59" s="6" t="s">
        <v>1219</v>
      </c>
      <c r="R59" s="6" t="str">
        <f>IFERROR(__xludf.DUMMYFUNCTION("""COMPUTED_VALUE"""),"ایک ریسلنگ میچ میں دو آدمی")</f>
        <v>ایک ریسلنگ میچ میں دو آدمی</v>
      </c>
      <c r="S59" s="6" t="s">
        <v>1232</v>
      </c>
      <c r="T59" s="6"/>
      <c r="U59" s="6"/>
      <c r="V59" s="6"/>
      <c r="W59" s="6"/>
      <c r="X59" s="6"/>
      <c r="Y59" s="6"/>
      <c r="Z59" s="6"/>
      <c r="AA59" s="6"/>
      <c r="AB59" s="6"/>
    </row>
    <row r="60">
      <c r="A60" s="7">
        <v>59.0</v>
      </c>
      <c r="B60" s="6" t="s">
        <v>1205</v>
      </c>
      <c r="C60" s="6" t="s">
        <v>1206</v>
      </c>
      <c r="D60" s="6" t="s">
        <v>1207</v>
      </c>
      <c r="E60" s="6" t="s">
        <v>1208</v>
      </c>
      <c r="F60" s="6" t="s">
        <v>449</v>
      </c>
      <c r="G60" s="6" t="s">
        <v>1208</v>
      </c>
      <c r="H60" s="6" t="s">
        <v>1232</v>
      </c>
      <c r="I60" s="6"/>
      <c r="J60" s="6"/>
      <c r="K60" s="2" t="str">
        <f>IFERROR(__xludf.DUMMYFUNCTION("GOOGLETRANSLATE(A60,""en"",""ur"")"),"59")</f>
        <v>59</v>
      </c>
      <c r="L60" s="2" t="str">
        <f>IFERROR(__xludf.DUMMYFUNCTION("GOOGLETRANSLATE(B60,""en"",""ur"")"),"لمبی اسکرٹس کا بنیادی مقصد کیا ہے؟")</f>
        <v>لمبی اسکرٹس کا بنیادی مقصد کیا ہے؟</v>
      </c>
      <c r="M60" s="2" t="str">
        <f>IFERROR(__xludf.DUMMYFUNCTION("GOOGLETRANSLATE(C60,""en"",""ur"")"),"پہلوانوں کی ٹانگوں کی حفاظت کے لیے")</f>
        <v>پہلوانوں کی ٹانگوں کی حفاظت کے لیے</v>
      </c>
      <c r="N60" s="2" t="str">
        <f>IFERROR(__xludf.DUMMYFUNCTION("GOOGLETRANSLATE(D60,""en"",""ur"")"),"پہلوانوں کو مزید چست بنانے کے لیے")</f>
        <v>پہلوانوں کو مزید چست بنانے کے لیے</v>
      </c>
      <c r="O60" s="2" t="str">
        <f>IFERROR(__xludf.DUMMYFUNCTION("GOOGLETRANSLATE(E60,""en"",""ur"")"),"روایتی لباس اور لڑائی کے دوران گرفت کے لیے")</f>
        <v>روایتی لباس اور لڑائی کے دوران گرفت کے لیے</v>
      </c>
      <c r="P60" s="2" t="str">
        <f>IFERROR(__xludf.DUMMYFUNCTION("GOOGLETRANSLATE(F60,""en"",""ur"")"),"صرف سجاوٹ کے لیے")</f>
        <v>صرف سجاوٹ کے لیے</v>
      </c>
      <c r="Q60" s="6" t="s">
        <v>1209</v>
      </c>
      <c r="R60" s="6" t="str">
        <f>IFERROR(__xludf.DUMMYFUNCTION("""COMPUTED_VALUE"""),"ایک ریسلنگ میچ میں دو آدمی")</f>
        <v>ایک ریسلنگ میچ میں دو آدمی</v>
      </c>
      <c r="S60" s="6" t="s">
        <v>1232</v>
      </c>
      <c r="T60" s="6"/>
      <c r="U60" s="6"/>
      <c r="V60" s="6"/>
      <c r="W60" s="6"/>
      <c r="X60" s="6"/>
      <c r="Y60" s="6"/>
      <c r="Z60" s="6"/>
      <c r="AA60" s="6"/>
      <c r="AB60" s="6"/>
    </row>
    <row r="61">
      <c r="A61" s="7">
        <v>60.0</v>
      </c>
      <c r="B61" s="6" t="s">
        <v>260</v>
      </c>
      <c r="C61" s="6" t="s">
        <v>261</v>
      </c>
      <c r="D61" s="6" t="s">
        <v>262</v>
      </c>
      <c r="E61" s="6" t="s">
        <v>1210</v>
      </c>
      <c r="F61" s="6" t="s">
        <v>264</v>
      </c>
      <c r="G61" s="6" t="s">
        <v>1210</v>
      </c>
      <c r="H61" s="6" t="s">
        <v>1232</v>
      </c>
      <c r="I61" s="6"/>
      <c r="J61" s="6"/>
      <c r="K61" s="2" t="str">
        <f>IFERROR(__xludf.DUMMYFUNCTION("GOOGLETRANSLATE(A61,""en"",""ur"")"),"60")</f>
        <v>60</v>
      </c>
      <c r="L61" s="2" t="str">
        <f>IFERROR(__xludf.DUMMYFUNCTION("GOOGLETRANSLATE(B61,""en"",""ur"")"),"تصویر میں ایکشن ایک ایسا انداز تجویز کرتا ہے جو اس بات پر زور دیتا ہے...")</f>
        <v>تصویر میں ایکشن ایک ایسا انداز تجویز کرتا ہے جو اس بات پر زور دیتا ہے...</v>
      </c>
      <c r="M61" s="2" t="str">
        <f>IFERROR(__xludf.DUMMYFUNCTION("GOOGLETRANSLATE(C61,""en"",""ur"")"),"روانی اور قلابازیاں")</f>
        <v>روانی اور قلابازیاں</v>
      </c>
      <c r="N61" s="2" t="str">
        <f>IFERROR(__xludf.DUMMYFUNCTION("GOOGLETRANSLATE(D61,""en"",""ur"")"),"زمینی لڑائی اور گرفت")</f>
        <v>زمینی لڑائی اور گرفت</v>
      </c>
      <c r="O61" s="2" t="str">
        <f>IFERROR(__xludf.DUMMYFUNCTION("GOOGLETRANSLATE(E61,""en"",""ur"")"),"وحشیانہ طاقت اور ٹیک ڈاؤن")</f>
        <v>وحشیانہ طاقت اور ٹیک ڈاؤن</v>
      </c>
      <c r="P61" s="2" t="str">
        <f>IFERROR(__xludf.DUMMYFUNCTION("GOOGLETRANSLATE(F61,""en"",""ur"")"),"سادہ، لکیری حرکات")</f>
        <v>سادہ، لکیری حرکات</v>
      </c>
      <c r="Q61" s="6" t="s">
        <v>1211</v>
      </c>
      <c r="R61" s="6" t="str">
        <f>IFERROR(__xludf.DUMMYFUNCTION("""COMPUTED_VALUE"""),"ایک ریسلنگ میچ میں دو آدمی")</f>
        <v>ایک ریسلنگ میچ میں دو آدمی</v>
      </c>
      <c r="S61" s="6" t="s">
        <v>1232</v>
      </c>
      <c r="T61" s="6"/>
      <c r="U61" s="6"/>
      <c r="V61" s="6"/>
      <c r="W61" s="6"/>
      <c r="X61" s="6"/>
      <c r="Y61" s="6"/>
      <c r="Z61" s="6"/>
      <c r="AA61" s="6"/>
      <c r="AB61" s="6"/>
    </row>
    <row r="62">
      <c r="A62" s="7">
        <v>61.0</v>
      </c>
      <c r="B62" s="6" t="s">
        <v>1234</v>
      </c>
      <c r="C62" s="6" t="s">
        <v>405</v>
      </c>
      <c r="D62" s="6" t="s">
        <v>406</v>
      </c>
      <c r="E62" s="6" t="s">
        <v>1184</v>
      </c>
      <c r="F62" s="6" t="s">
        <v>1185</v>
      </c>
      <c r="G62" s="6" t="s">
        <v>1184</v>
      </c>
      <c r="H62" s="6" t="s">
        <v>1235</v>
      </c>
      <c r="I62" s="6"/>
      <c r="J62" s="6"/>
      <c r="K62" s="2" t="str">
        <f>IFERROR(__xludf.DUMMYFUNCTION("GOOGLETRANSLATE(A62,""en"",""ur"")"),"61")</f>
        <v>61</v>
      </c>
      <c r="L62" s="2" t="str">
        <f>IFERROR(__xludf.DUMMYFUNCTION("GOOGLETRANSLATE(B62,""en"",""ur"")"),"ملاخرہ_11 میں دکھایا گیا اہم عمل کیا ہے؟")</f>
        <v>ملاخرہ_11 میں دکھایا گیا اہم عمل کیا ہے؟</v>
      </c>
      <c r="M62" s="2" t="str">
        <f>IFERROR(__xludf.DUMMYFUNCTION("GOOGLETRANSLATE(C62,""en"",""ur"")"),"دو آدمی تلواروں سے لڑ رہے ہیں۔")</f>
        <v>دو آدمی تلواروں سے لڑ رہے ہیں۔</v>
      </c>
      <c r="N62" s="2" t="str">
        <f>IFERROR(__xludf.DUMMYFUNCTION("GOOGLETRANSLATE(D62,""en"",""ur"")"),"دو آدمی ناچ رہے ہیں۔")</f>
        <v>دو آدمی ناچ رہے ہیں۔</v>
      </c>
      <c r="O62" s="2" t="str">
        <f>IFERROR(__xludf.DUMMYFUNCTION("GOOGLETRANSLATE(E62,""en"",""ur"")"),"ایک ریسلنگ میچ میں دو آدمی")</f>
        <v>ایک ریسلنگ میچ میں دو آدمی</v>
      </c>
      <c r="P62" s="2" t="str">
        <f>IFERROR(__xludf.DUMMYFUNCTION("GOOGLETRANSLATE(F62,""en"",""ur"")"),"دو آدمی بھاگ رہے ہیں۔")</f>
        <v>دو آدمی بھاگ رہے ہیں۔</v>
      </c>
      <c r="Q62" s="6" t="s">
        <v>1214</v>
      </c>
      <c r="R62" s="6" t="str">
        <f>IFERROR(__xludf.DUMMYFUNCTION("""COMPUTED_VALUE"""),"ایک ریسلنگ میچ میں دو آدمی")</f>
        <v>ایک ریسلنگ میچ میں دو آدمی</v>
      </c>
      <c r="S62" s="6" t="s">
        <v>1235</v>
      </c>
      <c r="T62" s="6"/>
      <c r="U62" s="6"/>
      <c r="V62" s="6"/>
      <c r="W62" s="6"/>
      <c r="X62" s="6"/>
      <c r="Y62" s="6"/>
      <c r="Z62" s="6"/>
      <c r="AA62" s="6"/>
      <c r="AB62" s="6"/>
    </row>
    <row r="63">
      <c r="A63" s="7">
        <v>62.0</v>
      </c>
      <c r="B63" s="6" t="s">
        <v>1215</v>
      </c>
      <c r="C63" s="6" t="s">
        <v>488</v>
      </c>
      <c r="D63" s="6" t="s">
        <v>1216</v>
      </c>
      <c r="E63" s="6" t="s">
        <v>490</v>
      </c>
      <c r="F63" s="6" t="s">
        <v>246</v>
      </c>
      <c r="G63" s="6" t="s">
        <v>1216</v>
      </c>
      <c r="H63" s="6" t="s">
        <v>1235</v>
      </c>
      <c r="I63" s="6"/>
      <c r="J63" s="6"/>
      <c r="K63" s="2" t="str">
        <f>IFERROR(__xludf.DUMMYFUNCTION("GOOGLETRANSLATE(A63,""en"",""ur"")"),"62")</f>
        <v>62</v>
      </c>
      <c r="L63" s="2" t="str">
        <f>IFERROR(__xludf.DUMMYFUNCTION("GOOGLETRANSLATE(B63,""en"",""ur"")"),"پہلوانوں کے لباس کے بارے میں ایک قابل ذکر تفصیل کیا ہے؟")</f>
        <v>پہلوانوں کے لباس کے بارے میں ایک قابل ذکر تفصیل کیا ہے؟</v>
      </c>
      <c r="M63" s="2" t="str">
        <f>IFERROR(__xludf.DUMMYFUNCTION("GOOGLETRANSLATE(C63,""en"",""ur"")"),"انہوں نے بکتر کا پورا سوٹ پہن رکھا ہے۔")</f>
        <v>انہوں نے بکتر کا پورا سوٹ پہن رکھا ہے۔</v>
      </c>
      <c r="N63" s="2" t="str">
        <f>IFERROR(__xludf.DUMMYFUNCTION("GOOGLETRANSLATE(D63,""en"",""ur"")"),"وہ سارونگ یا پیٹرن والا اسکرٹ پہنے ہوئے ہیں۔")</f>
        <v>وہ سارونگ یا پیٹرن والا اسکرٹ پہنے ہوئے ہیں۔</v>
      </c>
      <c r="O63" s="2" t="str">
        <f>IFERROR(__xludf.DUMMYFUNCTION("GOOGLETRANSLATE(E63,""en"",""ur"")"),"انہوں نے شارٹس اور ٹی شرٹ پہن رکھی ہیں۔")</f>
        <v>انہوں نے شارٹس اور ٹی شرٹ پہن رکھی ہیں۔</v>
      </c>
      <c r="P63" s="2" t="str">
        <f>IFERROR(__xludf.DUMMYFUNCTION("GOOGLETRANSLATE(F63,""en"",""ur"")"),"انہوں نے کوئی لباس نہیں پہنا ہوا ہے۔")</f>
        <v>انہوں نے کوئی لباس نہیں پہنا ہوا ہے۔</v>
      </c>
      <c r="Q63" s="6" t="s">
        <v>1217</v>
      </c>
      <c r="R63" s="6" t="str">
        <f>IFERROR(__xludf.DUMMYFUNCTION("""COMPUTED_VALUE"""),"ایک ریسلنگ میچ میں دو آدمی")</f>
        <v>ایک ریسلنگ میچ میں دو آدمی</v>
      </c>
      <c r="S63" s="6" t="s">
        <v>1235</v>
      </c>
      <c r="T63" s="6"/>
      <c r="U63" s="6"/>
      <c r="V63" s="6"/>
      <c r="W63" s="6"/>
      <c r="X63" s="6"/>
      <c r="Y63" s="6"/>
      <c r="Z63" s="6"/>
      <c r="AA63" s="6"/>
      <c r="AB63" s="6"/>
    </row>
    <row r="64">
      <c r="A64" s="7">
        <v>63.0</v>
      </c>
      <c r="B64" s="6" t="s">
        <v>1193</v>
      </c>
      <c r="C64" s="6" t="s">
        <v>1194</v>
      </c>
      <c r="D64" s="6" t="s">
        <v>1195</v>
      </c>
      <c r="E64" s="6" t="s">
        <v>1196</v>
      </c>
      <c r="F64" s="6" t="s">
        <v>1197</v>
      </c>
      <c r="G64" s="6" t="s">
        <v>1196</v>
      </c>
      <c r="H64" s="6" t="s">
        <v>1235</v>
      </c>
      <c r="I64" s="6"/>
      <c r="J64" s="6"/>
      <c r="K64" s="2" t="str">
        <f>IFERROR(__xludf.DUMMYFUNCTION("GOOGLETRANSLATE(A64,""en"",""ur"")"),"63")</f>
        <v>63</v>
      </c>
      <c r="L64" s="2" t="str">
        <f>IFERROR(__xludf.DUMMYFUNCTION("GOOGLETRANSLATE(B64,""en"",""ur"")"),"کشتی کا ظاہری مقصد کیا ہے؟")</f>
        <v>کشتی کا ظاہری مقصد کیا ہے؟</v>
      </c>
      <c r="M64" s="2" t="str">
        <f>IFERROR(__xludf.DUMMYFUNCTION("GOOGLETRANSLATE(C64,""en"",""ur"")"),"ایک رسمی رقص")</f>
        <v>ایک رسمی رقص</v>
      </c>
      <c r="N64" s="2" t="str">
        <f>IFERROR(__xludf.DUMMYFUNCTION("GOOGLETRANSLATE(D64,""en"",""ur"")"),"ایک دوستانہ مظاہرہ")</f>
        <v>ایک دوستانہ مظاہرہ</v>
      </c>
      <c r="O64" s="2" t="str">
        <f>IFERROR(__xludf.DUMMYFUNCTION("GOOGLETRANSLATE(E64,""en"",""ur"")"),"ٹیک ڈاؤن کے ساتھ ایک مسابقتی میچ")</f>
        <v>ٹیک ڈاؤن کے ساتھ ایک مسابقتی میچ</v>
      </c>
      <c r="P64" s="2" t="str">
        <f>IFERROR(__xludf.DUMMYFUNCTION("GOOGLETRANSLATE(F64,""en"",""ur"")"),"ایک پریکٹس سیشن")</f>
        <v>ایک پریکٹس سیشن</v>
      </c>
      <c r="Q64" s="6" t="s">
        <v>1198</v>
      </c>
      <c r="R64" s="6" t="str">
        <f>IFERROR(__xludf.DUMMYFUNCTION("""COMPUTED_VALUE"""),"ایک ریسلنگ میچ میں دو آدمی")</f>
        <v>ایک ریسلنگ میچ میں دو آدمی</v>
      </c>
      <c r="S64" s="6" t="s">
        <v>1235</v>
      </c>
      <c r="T64" s="6"/>
      <c r="U64" s="6"/>
      <c r="V64" s="6"/>
      <c r="W64" s="6"/>
      <c r="X64" s="6"/>
      <c r="Y64" s="6"/>
      <c r="Z64" s="6"/>
      <c r="AA64" s="6"/>
      <c r="AB64" s="6"/>
    </row>
    <row r="65">
      <c r="A65" s="7">
        <v>64.0</v>
      </c>
      <c r="B65" s="6" t="s">
        <v>991</v>
      </c>
      <c r="C65" s="6" t="s">
        <v>422</v>
      </c>
      <c r="D65" s="6" t="s">
        <v>1199</v>
      </c>
      <c r="E65" s="6" t="s">
        <v>424</v>
      </c>
      <c r="F65" s="6" t="s">
        <v>425</v>
      </c>
      <c r="G65" s="6" t="s">
        <v>1199</v>
      </c>
      <c r="H65" s="6" t="s">
        <v>1235</v>
      </c>
      <c r="I65" s="6"/>
      <c r="J65" s="6"/>
      <c r="K65" s="2" t="str">
        <f>IFERROR(__xludf.DUMMYFUNCTION("GOOGLETRANSLATE(A65,""en"",""ur"")"),"64")</f>
        <v>64</v>
      </c>
      <c r="L65" s="2" t="str">
        <f>IFERROR(__xludf.DUMMYFUNCTION("GOOGLETRANSLATE(B65,""en"",""ur"")"),"واقعہ کی ظاہری ترتیب کیا ہے؟")</f>
        <v>واقعہ کی ظاہری ترتیب کیا ہے؟</v>
      </c>
      <c r="M65" s="2" t="str">
        <f>IFERROR(__xludf.DUMMYFUNCTION("GOOGLETRANSLATE(C65,""en"",""ur"")"),"ایک انڈور اسٹیڈیم")</f>
        <v>ایک انڈور اسٹیڈیم</v>
      </c>
      <c r="N65" s="2" t="str">
        <f>IFERROR(__xludf.DUMMYFUNCTION("GOOGLETRANSLATE(D65,""en"",""ur"")"),"ایک دیہی، بیرونی گندگی کا ایک بڑا ہجوم")</f>
        <v>ایک دیہی، بیرونی گندگی کا ایک بڑا ہجوم</v>
      </c>
      <c r="O65" s="2" t="str">
        <f>IFERROR(__xludf.DUMMYFUNCTION("GOOGLETRANSLATE(E65,""en"",""ur"")"),"شہر کی مصروف گلی")</f>
        <v>شہر کی مصروف گلی</v>
      </c>
      <c r="P65" s="2" t="str">
        <f>IFERROR(__xludf.DUMMYFUNCTION("GOOGLETRANSLATE(F65,""en"",""ur"")"),"گھاس کا میدان")</f>
        <v>گھاس کا میدان</v>
      </c>
      <c r="Q65" s="6" t="s">
        <v>1200</v>
      </c>
      <c r="R65" s="6" t="str">
        <f>IFERROR(__xludf.DUMMYFUNCTION("""COMPUTED_VALUE"""),"ایک ریسلنگ میچ میں دو آدمی")</f>
        <v>ایک ریسلنگ میچ میں دو آدمی</v>
      </c>
      <c r="S65" s="6" t="s">
        <v>1235</v>
      </c>
      <c r="T65" s="6"/>
      <c r="U65" s="6"/>
      <c r="V65" s="6"/>
      <c r="W65" s="6"/>
      <c r="X65" s="6"/>
      <c r="Y65" s="6"/>
      <c r="Z65" s="6"/>
      <c r="AA65" s="6"/>
      <c r="AB65" s="6"/>
    </row>
    <row r="66">
      <c r="A66" s="7">
        <v>65.0</v>
      </c>
      <c r="B66" s="6" t="s">
        <v>1201</v>
      </c>
      <c r="C66" s="6" t="s">
        <v>47</v>
      </c>
      <c r="D66" s="6" t="s">
        <v>48</v>
      </c>
      <c r="E66" s="6" t="s">
        <v>49</v>
      </c>
      <c r="F66" s="6" t="s">
        <v>50</v>
      </c>
      <c r="G66" s="6" t="s">
        <v>49</v>
      </c>
      <c r="H66" s="6" t="s">
        <v>1235</v>
      </c>
      <c r="I66" s="6"/>
      <c r="J66" s="6"/>
      <c r="K66" s="2" t="str">
        <f>IFERROR(__xludf.DUMMYFUNCTION("GOOGLETRANSLATE(A66,""en"",""ur"")"),"65")</f>
        <v>65</v>
      </c>
      <c r="L66" s="2" t="str">
        <f>IFERROR(__xludf.DUMMYFUNCTION("GOOGLETRANSLATE(B66,""en"",""ur"")"),"پہلوانوں کے ظاہری جذبات کیا ہیں؟")</f>
        <v>پہلوانوں کے ظاہری جذبات کیا ہیں؟</v>
      </c>
      <c r="M66" s="2" t="str">
        <f>IFERROR(__xludf.DUMMYFUNCTION("GOOGLETRANSLATE(C66,""en"",""ur"")"),"پرسکون اور پر سکون")</f>
        <v>پرسکون اور پر سکون</v>
      </c>
      <c r="N66" s="2" t="str">
        <f>IFERROR(__xludf.DUMMYFUNCTION("GOOGLETRANSLATE(D66,""en"",""ur"")"),"خوف زدہ اور بے چین")</f>
        <v>خوف زدہ اور بے چین</v>
      </c>
      <c r="O66" s="2" t="str">
        <f>IFERROR(__xludf.DUMMYFUNCTION("GOOGLETRANSLATE(E66,""en"",""ur"")"),"کشیدہ اور شدید")</f>
        <v>کشیدہ اور شدید</v>
      </c>
      <c r="P66" s="2" t="str">
        <f>IFERROR(__xludf.DUMMYFUNCTION("GOOGLETRANSLATE(F66,""en"",""ur"")"),"خوش اور مسکراتے ہوئے۔")</f>
        <v>خوش اور مسکراتے ہوئے۔</v>
      </c>
      <c r="Q66" s="6" t="s">
        <v>51</v>
      </c>
      <c r="R66" s="6" t="str">
        <f>IFERROR(__xludf.DUMMYFUNCTION("""COMPUTED_VALUE"""),"ایک ریسلنگ میچ میں دو آدمی")</f>
        <v>ایک ریسلنگ میچ میں دو آدمی</v>
      </c>
      <c r="S66" s="6" t="s">
        <v>1235</v>
      </c>
      <c r="T66" s="6"/>
      <c r="U66" s="6"/>
      <c r="V66" s="6"/>
      <c r="W66" s="6"/>
      <c r="X66" s="6"/>
      <c r="Y66" s="6"/>
      <c r="Z66" s="6"/>
      <c r="AA66" s="6"/>
      <c r="AB66" s="6"/>
    </row>
    <row r="67">
      <c r="A67" s="7">
        <v>66.0</v>
      </c>
      <c r="B67" s="6" t="s">
        <v>1218</v>
      </c>
      <c r="C67" s="6" t="s">
        <v>429</v>
      </c>
      <c r="D67" s="6" t="s">
        <v>430</v>
      </c>
      <c r="E67" s="6" t="s">
        <v>431</v>
      </c>
      <c r="F67" s="6" t="s">
        <v>432</v>
      </c>
      <c r="G67" s="6" t="s">
        <v>430</v>
      </c>
      <c r="H67" s="6" t="s">
        <v>1235</v>
      </c>
      <c r="I67" s="6"/>
      <c r="J67" s="6"/>
      <c r="K67" s="2" t="str">
        <f>IFERROR(__xludf.DUMMYFUNCTION("GOOGLETRANSLATE(A67,""en"",""ur"")"),"66")</f>
        <v>66</v>
      </c>
      <c r="L67" s="2" t="str">
        <f>IFERROR(__xludf.DUMMYFUNCTION("GOOGLETRANSLATE(B67,""en"",""ur"")"),"پہلوانوں کی ظاہری جسمانی پوزیشن کیا ہے؟")</f>
        <v>پہلوانوں کی ظاہری جسمانی پوزیشن کیا ہے؟</v>
      </c>
      <c r="M67" s="2" t="str">
        <f>IFERROR(__xludf.DUMMYFUNCTION("GOOGLETRANSLATE(C67,""en"",""ur"")"),"سیدھا کھڑا ہونا")</f>
        <v>سیدھا کھڑا ہونا</v>
      </c>
      <c r="N67" s="2" t="str">
        <f>IFERROR(__xludf.DUMMYFUNCTION("GOOGLETRANSLATE(D67,""en"",""ur"")"),"کم، متحرک موقف میں")</f>
        <v>کم، متحرک موقف میں</v>
      </c>
      <c r="O67" s="2" t="str">
        <f>IFERROR(__xludf.DUMMYFUNCTION("GOOGLETRANSLATE(E67,""en"",""ur"")"),"زمین پر لیٹنا")</f>
        <v>زمین پر لیٹنا</v>
      </c>
      <c r="P67" s="2" t="str">
        <f>IFERROR(__xludf.DUMMYFUNCTION("GOOGLETRANSLATE(F67,""en"",""ur"")"),"بیٹھا ہوا")</f>
        <v>بیٹھا ہوا</v>
      </c>
      <c r="Q67" s="6" t="s">
        <v>433</v>
      </c>
      <c r="R67" s="6" t="str">
        <f>IFERROR(__xludf.DUMMYFUNCTION("""COMPUTED_VALUE"""),"ایک ریسلنگ میچ میں دو آدمی")</f>
        <v>ایک ریسلنگ میچ میں دو آدمی</v>
      </c>
      <c r="S67" s="6" t="s">
        <v>1235</v>
      </c>
      <c r="T67" s="6"/>
      <c r="U67" s="6"/>
      <c r="V67" s="6"/>
      <c r="W67" s="6"/>
      <c r="X67" s="6"/>
      <c r="Y67" s="6"/>
      <c r="Z67" s="6"/>
      <c r="AA67" s="6"/>
      <c r="AB67" s="6"/>
    </row>
    <row r="68">
      <c r="A68" s="7">
        <v>67.0</v>
      </c>
      <c r="B68" s="6" t="s">
        <v>434</v>
      </c>
      <c r="C68" s="6" t="s">
        <v>435</v>
      </c>
      <c r="D68" s="6" t="s">
        <v>436</v>
      </c>
      <c r="E68" s="6" t="s">
        <v>1203</v>
      </c>
      <c r="F68" s="6" t="s">
        <v>438</v>
      </c>
      <c r="G68" s="6" t="s">
        <v>1203</v>
      </c>
      <c r="H68" s="6" t="s">
        <v>1235</v>
      </c>
      <c r="I68" s="6"/>
      <c r="J68" s="6"/>
      <c r="K68" s="2" t="str">
        <f>IFERROR(__xludf.DUMMYFUNCTION("GOOGLETRANSLATE(A68,""en"",""ur"")"),"67")</f>
        <v>67</v>
      </c>
      <c r="L68" s="2" t="str">
        <f>IFERROR(__xludf.DUMMYFUNCTION("GOOGLETRANSLATE(B68,""en"",""ur"")"),"پس منظر میں ہجوم کی سب سے نمایاں خصوصیت کیا ہے؟")</f>
        <v>پس منظر میں ہجوم کی سب سے نمایاں خصوصیت کیا ہے؟</v>
      </c>
      <c r="M68" s="2" t="str">
        <f>IFERROR(__xludf.DUMMYFUNCTION("GOOGLETRANSLATE(C68,""en"",""ur"")"),"وہ بھاگ رہے ہیں۔")</f>
        <v>وہ بھاگ رہے ہیں۔</v>
      </c>
      <c r="N68" s="2" t="str">
        <f>IFERROR(__xludf.DUMMYFUNCTION("GOOGLETRANSLATE(D68,""en"",""ur"")"),"وہ خاموش بیٹھے ہیں۔")</f>
        <v>وہ خاموش بیٹھے ہیں۔</v>
      </c>
      <c r="O68" s="2" t="str">
        <f>IFERROR(__xludf.DUMMYFUNCTION("GOOGLETRANSLATE(E68,""en"",""ur"")"),"وہ باڑ کے پیچھے سے میچ دیکھ رہے ہیں۔")</f>
        <v>وہ باڑ کے پیچھے سے میچ دیکھ رہے ہیں۔</v>
      </c>
      <c r="P68" s="2" t="str">
        <f>IFERROR(__xludf.DUMMYFUNCTION("GOOGLETRANSLATE(F68,""en"",""ur"")"),"وہ سب ایک اسٹیج پر کھڑے ہیں۔")</f>
        <v>وہ سب ایک اسٹیج پر کھڑے ہیں۔</v>
      </c>
      <c r="Q68" s="6" t="s">
        <v>1204</v>
      </c>
      <c r="R68" s="6" t="str">
        <f>IFERROR(__xludf.DUMMYFUNCTION("""COMPUTED_VALUE"""),"ایک ریسلنگ میچ میں دو آدمی")</f>
        <v>ایک ریسلنگ میچ میں دو آدمی</v>
      </c>
      <c r="S68" s="6" t="s">
        <v>1235</v>
      </c>
      <c r="T68" s="6"/>
      <c r="U68" s="6"/>
      <c r="V68" s="6"/>
      <c r="W68" s="6"/>
      <c r="X68" s="6"/>
      <c r="Y68" s="6"/>
      <c r="Z68" s="6"/>
      <c r="AA68" s="6"/>
      <c r="AB68" s="6"/>
    </row>
    <row r="69">
      <c r="A69" s="7">
        <v>68.0</v>
      </c>
      <c r="B69" s="6" t="s">
        <v>440</v>
      </c>
      <c r="C69" s="6" t="s">
        <v>441</v>
      </c>
      <c r="D69" s="6" t="s">
        <v>442</v>
      </c>
      <c r="E69" s="6" t="s">
        <v>512</v>
      </c>
      <c r="F69" s="6" t="s">
        <v>444</v>
      </c>
      <c r="G69" s="6" t="s">
        <v>512</v>
      </c>
      <c r="H69" s="6" t="s">
        <v>1235</v>
      </c>
      <c r="I69" s="6"/>
      <c r="J69" s="6"/>
      <c r="K69" s="2" t="str">
        <f>IFERROR(__xludf.DUMMYFUNCTION("GOOGLETRANSLATE(A69,""en"",""ur"")"),"68")</f>
        <v>68</v>
      </c>
      <c r="L69" s="2" t="str">
        <f>IFERROR(__xludf.DUMMYFUNCTION("GOOGLETRANSLATE(B69,""en"",""ur"")"),"زمین کی ظاہری حالت کیا ہے؟")</f>
        <v>زمین کی ظاہری حالت کیا ہے؟</v>
      </c>
      <c r="M69" s="2" t="str">
        <f>IFERROR(__xludf.DUMMYFUNCTION("GOOGLETRANSLATE(C69,""en"",""ur"")"),"یہ ایک پکی سطح ہے۔")</f>
        <v>یہ ایک پکی سطح ہے۔</v>
      </c>
      <c r="N69" s="2" t="str">
        <f>IFERROR(__xludf.DUMMYFUNCTION("GOOGLETRANSLATE(D69,""en"",""ur"")"),"یہ ایک کیچڑ والا میدان ہے۔")</f>
        <v>یہ ایک کیچڑ والا میدان ہے۔</v>
      </c>
      <c r="O69" s="2" t="str">
        <f>IFERROR(__xludf.DUMMYFUNCTION("GOOGLETRANSLATE(E69,""en"",""ur"")"),"یہ ایک ریتلی یا گندگی کی سطح ہے۔")</f>
        <v>یہ ایک ریتلی یا گندگی کی سطح ہے۔</v>
      </c>
      <c r="P69" s="2" t="str">
        <f>IFERROR(__xludf.DUMMYFUNCTION("GOOGLETRANSLATE(F69,""en"",""ur"")"),"یہ ایک گھاس والی سطح ہے۔")</f>
        <v>یہ ایک گھاس والی سطح ہے۔</v>
      </c>
      <c r="Q69" s="6" t="s">
        <v>1219</v>
      </c>
      <c r="R69" s="6" t="str">
        <f>IFERROR(__xludf.DUMMYFUNCTION("""COMPUTED_VALUE"""),"ایک ریسلنگ میچ میں دو آدمی")</f>
        <v>ایک ریسلنگ میچ میں دو آدمی</v>
      </c>
      <c r="S69" s="6" t="s">
        <v>1235</v>
      </c>
      <c r="T69" s="6"/>
      <c r="U69" s="6"/>
      <c r="V69" s="6"/>
      <c r="W69" s="6"/>
      <c r="X69" s="6"/>
      <c r="Y69" s="6"/>
      <c r="Z69" s="6"/>
      <c r="AA69" s="6"/>
      <c r="AB69" s="6"/>
    </row>
    <row r="70">
      <c r="A70" s="7">
        <v>69.0</v>
      </c>
      <c r="B70" s="6" t="s">
        <v>1205</v>
      </c>
      <c r="C70" s="6" t="s">
        <v>1206</v>
      </c>
      <c r="D70" s="6" t="s">
        <v>1207</v>
      </c>
      <c r="E70" s="6" t="s">
        <v>1208</v>
      </c>
      <c r="F70" s="6" t="s">
        <v>449</v>
      </c>
      <c r="G70" s="6" t="s">
        <v>1208</v>
      </c>
      <c r="H70" s="6" t="s">
        <v>1235</v>
      </c>
      <c r="I70" s="6"/>
      <c r="J70" s="6"/>
      <c r="K70" s="2" t="str">
        <f>IFERROR(__xludf.DUMMYFUNCTION("GOOGLETRANSLATE(A70,""en"",""ur"")"),"69")</f>
        <v>69</v>
      </c>
      <c r="L70" s="2" t="str">
        <f>IFERROR(__xludf.DUMMYFUNCTION("GOOGLETRANSLATE(B70,""en"",""ur"")"),"لمبی اسکرٹس کا بنیادی مقصد کیا ہے؟")</f>
        <v>لمبی اسکرٹس کا بنیادی مقصد کیا ہے؟</v>
      </c>
      <c r="M70" s="2" t="str">
        <f>IFERROR(__xludf.DUMMYFUNCTION("GOOGLETRANSLATE(C70,""en"",""ur"")"),"پہلوانوں کی ٹانگوں کی حفاظت کے لیے")</f>
        <v>پہلوانوں کی ٹانگوں کی حفاظت کے لیے</v>
      </c>
      <c r="N70" s="2" t="str">
        <f>IFERROR(__xludf.DUMMYFUNCTION("GOOGLETRANSLATE(D70,""en"",""ur"")"),"پہلوانوں کو مزید چست بنانے کے لیے")</f>
        <v>پہلوانوں کو مزید چست بنانے کے لیے</v>
      </c>
      <c r="O70" s="2" t="str">
        <f>IFERROR(__xludf.DUMMYFUNCTION("GOOGLETRANSLATE(E70,""en"",""ur"")"),"روایتی لباس اور لڑائی کے دوران گرفت کے لیے")</f>
        <v>روایتی لباس اور لڑائی کے دوران گرفت کے لیے</v>
      </c>
      <c r="P70" s="2" t="str">
        <f>IFERROR(__xludf.DUMMYFUNCTION("GOOGLETRANSLATE(F70,""en"",""ur"")"),"صرف سجاوٹ کے لیے")</f>
        <v>صرف سجاوٹ کے لیے</v>
      </c>
      <c r="Q70" s="6" t="s">
        <v>1209</v>
      </c>
      <c r="R70" s="6" t="str">
        <f>IFERROR(__xludf.DUMMYFUNCTION("""COMPUTED_VALUE"""),"ایک ریسلنگ میچ میں دو آدمی")</f>
        <v>ایک ریسلنگ میچ میں دو آدمی</v>
      </c>
      <c r="S70" s="6" t="s">
        <v>1235</v>
      </c>
      <c r="T70" s="6"/>
      <c r="U70" s="6"/>
      <c r="V70" s="6"/>
      <c r="W70" s="6"/>
      <c r="X70" s="6"/>
      <c r="Y70" s="6"/>
      <c r="Z70" s="6"/>
      <c r="AA70" s="6"/>
      <c r="AB70" s="6"/>
    </row>
    <row r="71">
      <c r="A71" s="7">
        <v>70.0</v>
      </c>
      <c r="B71" s="6" t="s">
        <v>260</v>
      </c>
      <c r="C71" s="6" t="s">
        <v>261</v>
      </c>
      <c r="D71" s="6" t="s">
        <v>262</v>
      </c>
      <c r="E71" s="6" t="s">
        <v>1210</v>
      </c>
      <c r="F71" s="6" t="s">
        <v>264</v>
      </c>
      <c r="G71" s="6" t="s">
        <v>1210</v>
      </c>
      <c r="H71" s="6" t="s">
        <v>1235</v>
      </c>
      <c r="I71" s="6"/>
      <c r="J71" s="6"/>
      <c r="K71" s="2" t="str">
        <f>IFERROR(__xludf.DUMMYFUNCTION("GOOGLETRANSLATE(A71,""en"",""ur"")"),"70")</f>
        <v>70</v>
      </c>
      <c r="L71" s="2" t="str">
        <f>IFERROR(__xludf.DUMMYFUNCTION("GOOGLETRANSLATE(B71,""en"",""ur"")"),"تصویر میں ایکشن ایک ایسا انداز تجویز کرتا ہے جو اس بات پر زور دیتا ہے...")</f>
        <v>تصویر میں ایکشن ایک ایسا انداز تجویز کرتا ہے جو اس بات پر زور دیتا ہے...</v>
      </c>
      <c r="M71" s="2" t="str">
        <f>IFERROR(__xludf.DUMMYFUNCTION("GOOGLETRANSLATE(C71,""en"",""ur"")"),"روانی اور قلابازیاں")</f>
        <v>روانی اور قلابازیاں</v>
      </c>
      <c r="N71" s="2" t="str">
        <f>IFERROR(__xludf.DUMMYFUNCTION("GOOGLETRANSLATE(D71,""en"",""ur"")"),"زمینی لڑائی اور گرفت")</f>
        <v>زمینی لڑائی اور گرفت</v>
      </c>
      <c r="O71" s="2" t="str">
        <f>IFERROR(__xludf.DUMMYFUNCTION("GOOGLETRANSLATE(E71,""en"",""ur"")"),"وحشیانہ طاقت اور ٹیک ڈاؤن")</f>
        <v>وحشیانہ طاقت اور ٹیک ڈاؤن</v>
      </c>
      <c r="P71" s="2" t="str">
        <f>IFERROR(__xludf.DUMMYFUNCTION("GOOGLETRANSLATE(F71,""en"",""ur"")"),"سادہ، لکیری حرکات")</f>
        <v>سادہ، لکیری حرکات</v>
      </c>
      <c r="Q71" s="6" t="s">
        <v>1211</v>
      </c>
      <c r="R71" s="6" t="str">
        <f>IFERROR(__xludf.DUMMYFUNCTION("""COMPUTED_VALUE"""),"ایک ریسلنگ میچ میں دو آدمی")</f>
        <v>ایک ریسلنگ میچ میں دو آدمی</v>
      </c>
      <c r="S71" s="6" t="s">
        <v>1235</v>
      </c>
      <c r="T71" s="6"/>
      <c r="U71" s="6"/>
      <c r="V71" s="6"/>
      <c r="W71" s="6"/>
      <c r="X71" s="6"/>
      <c r="Y71" s="6"/>
      <c r="Z71" s="6"/>
      <c r="AA71" s="6"/>
      <c r="AB71" s="6"/>
    </row>
    <row r="72">
      <c r="A72" s="7">
        <v>71.0</v>
      </c>
      <c r="B72" s="6" t="s">
        <v>1236</v>
      </c>
      <c r="C72" s="6" t="s">
        <v>465</v>
      </c>
      <c r="D72" s="6" t="s">
        <v>1237</v>
      </c>
      <c r="E72" s="6" t="s">
        <v>464</v>
      </c>
      <c r="F72" s="6" t="s">
        <v>1238</v>
      </c>
      <c r="G72" s="6" t="s">
        <v>465</v>
      </c>
      <c r="H72" s="6" t="s">
        <v>1239</v>
      </c>
      <c r="I72" s="6"/>
      <c r="J72" s="6"/>
      <c r="K72" s="2" t="str">
        <f>IFERROR(__xludf.DUMMYFUNCTION("GOOGLETRANSLATE(A72,""en"",""ur"")"),"71")</f>
        <v>71</v>
      </c>
      <c r="L72" s="2" t="str">
        <f>IFERROR(__xludf.DUMMYFUNCTION("GOOGLETRANSLATE(B72,""en"",""ur"")"),"ملاخرہ_14 میں دکھایا گیا اہم عمل کیا ہے؟")</f>
        <v>ملاخرہ_14 میں دکھایا گیا اہم عمل کیا ہے؟</v>
      </c>
      <c r="M72" s="2" t="str">
        <f>IFERROR(__xludf.DUMMYFUNCTION("GOOGLETRANSLATE(C72,""en"",""ur"")"),"ایک آدمی سہارے کے ساتھ پوز کر رہا ہے۔")</f>
        <v>ایک آدمی سہارے کے ساتھ پوز کر رہا ہے۔</v>
      </c>
      <c r="N72" s="2" t="str">
        <f>IFERROR(__xludf.DUMMYFUNCTION("GOOGLETRANSLATE(D72,""en"",""ur"")"),"ایک آدمی لاٹھی سے لڑ رہا ہے۔")</f>
        <v>ایک آدمی لاٹھی سے لڑ رہا ہے۔</v>
      </c>
      <c r="O72" s="2" t="str">
        <f>IFERROR(__xludf.DUMMYFUNCTION("GOOGLETRANSLATE(E72,""en"",""ur"")"),"ایک آدمی ناچ رہا ہے۔")</f>
        <v>ایک آدمی ناچ رہا ہے۔</v>
      </c>
      <c r="P72" s="2" t="str">
        <f>IFERROR(__xludf.DUMMYFUNCTION("GOOGLETRANSLATE(F72,""en"",""ur"")"),"ایک آدمی دوڑ رہا ہے۔")</f>
        <v>ایک آدمی دوڑ رہا ہے۔</v>
      </c>
      <c r="Q72" s="6" t="s">
        <v>1240</v>
      </c>
      <c r="R72" s="6" t="str">
        <f>IFERROR(__xludf.DUMMYFUNCTION("""COMPUTED_VALUE"""),"ایک ریسلنگ میچ میں دو آدمی")</f>
        <v>ایک ریسلنگ میچ میں دو آدمی</v>
      </c>
      <c r="S72" s="6" t="s">
        <v>1239</v>
      </c>
      <c r="T72" s="6"/>
      <c r="U72" s="6"/>
      <c r="V72" s="6"/>
      <c r="W72" s="6"/>
      <c r="X72" s="6"/>
      <c r="Y72" s="6"/>
      <c r="Z72" s="6"/>
      <c r="AA72" s="6"/>
      <c r="AB72" s="6"/>
    </row>
    <row r="73">
      <c r="A73" s="7">
        <v>72.0</v>
      </c>
      <c r="B73" s="6" t="s">
        <v>1241</v>
      </c>
      <c r="C73" s="6" t="s">
        <v>411</v>
      </c>
      <c r="D73" s="6" t="s">
        <v>1242</v>
      </c>
      <c r="E73" s="6" t="s">
        <v>334</v>
      </c>
      <c r="F73" s="6" t="s">
        <v>308</v>
      </c>
      <c r="G73" s="6" t="s">
        <v>308</v>
      </c>
      <c r="H73" s="6" t="s">
        <v>1239</v>
      </c>
      <c r="I73" s="6"/>
      <c r="J73" s="6"/>
      <c r="K73" s="2" t="str">
        <f>IFERROR(__xludf.DUMMYFUNCTION("GOOGLETRANSLATE(A73,""en"",""ur"")"),"72")</f>
        <v>72</v>
      </c>
      <c r="L73" s="2" t="str">
        <f>IFERROR(__xludf.DUMMYFUNCTION("GOOGLETRANSLATE(B73,""en"",""ur"")"),"آدمی کے لباس کے بارے میں ایک قابل ذکر تفصیل کیا ہے؟")</f>
        <v>آدمی کے لباس کے بارے میں ایک قابل ذکر تفصیل کیا ہے؟</v>
      </c>
      <c r="M73" s="2" t="str">
        <f>IFERROR(__xludf.DUMMYFUNCTION("GOOGLETRANSLATE(C73,""en"",""ur"")"),"اس نے بکتر کا پورا سوٹ پہن رکھا ہے۔")</f>
        <v>اس نے بکتر کا پورا سوٹ پہن رکھا ہے۔</v>
      </c>
      <c r="N73" s="2" t="str">
        <f>IFERROR(__xludf.DUMMYFUNCTION("GOOGLETRANSLATE(D73,""en"",""ur"")"),"اس نے ایک لمبا، پیٹرن والا اسکرٹ پہن رکھا ہے۔")</f>
        <v>اس نے ایک لمبا، پیٹرن والا اسکرٹ پہن رکھا ہے۔</v>
      </c>
      <c r="O73" s="2" t="str">
        <f>IFERROR(__xludf.DUMMYFUNCTION("GOOGLETRANSLATE(E73,""en"",""ur"")"),"اس نے شارٹس اور ٹی شرٹ پہن رکھی ہے۔")</f>
        <v>اس نے شارٹس اور ٹی شرٹ پہن رکھی ہے۔</v>
      </c>
      <c r="P73" s="2" t="str">
        <f>IFERROR(__xludf.DUMMYFUNCTION("GOOGLETRANSLATE(F73,""en"",""ur"")"),"اس نے کوئی لباس نہیں پہنا ہوا ہے۔")</f>
        <v>اس نے کوئی لباس نہیں پہنا ہوا ہے۔</v>
      </c>
      <c r="Q73" s="6" t="s">
        <v>1243</v>
      </c>
      <c r="R73" s="6" t="str">
        <f>IFERROR(__xludf.DUMMYFUNCTION("""COMPUTED_VALUE"""),"ایک ریسلنگ میچ میں دو آدمی")</f>
        <v>ایک ریسلنگ میچ میں دو آدمی</v>
      </c>
      <c r="S73" s="6" t="s">
        <v>1239</v>
      </c>
      <c r="T73" s="6"/>
      <c r="U73" s="6"/>
      <c r="V73" s="6"/>
      <c r="W73" s="6"/>
      <c r="X73" s="6"/>
      <c r="Y73" s="6"/>
      <c r="Z73" s="6"/>
      <c r="AA73" s="6"/>
      <c r="AB73" s="6"/>
    </row>
    <row r="74">
      <c r="A74" s="7">
        <v>73.0</v>
      </c>
      <c r="B74" s="6" t="s">
        <v>471</v>
      </c>
      <c r="C74" s="6" t="s">
        <v>416</v>
      </c>
      <c r="D74" s="6" t="s">
        <v>417</v>
      </c>
      <c r="E74" s="6" t="s">
        <v>418</v>
      </c>
      <c r="F74" s="6" t="s">
        <v>419</v>
      </c>
      <c r="G74" s="6" t="s">
        <v>419</v>
      </c>
      <c r="H74" s="6" t="s">
        <v>1239</v>
      </c>
      <c r="I74" s="6"/>
      <c r="J74" s="6"/>
      <c r="K74" s="2" t="str">
        <f>IFERROR(__xludf.DUMMYFUNCTION("GOOGLETRANSLATE(A74,""en"",""ur"")"),"73")</f>
        <v>73</v>
      </c>
      <c r="L74" s="2" t="str">
        <f>IFERROR(__xludf.DUMMYFUNCTION("GOOGLETRANSLATE(B74,""en"",""ur"")"),"آدمی کی طرف سے استعمال کیا جاتا بنیادی ہتھیار کیا ہے؟")</f>
        <v>آدمی کی طرف سے استعمال کیا جاتا بنیادی ہتھیار کیا ہے؟</v>
      </c>
      <c r="M74" s="2" t="str">
        <f>IFERROR(__xludf.DUMMYFUNCTION("GOOGLETRANSLATE(C74,""en"",""ur"")"),"ایک چھوٹی تلوار")</f>
        <v>ایک چھوٹی تلوار</v>
      </c>
      <c r="N74" s="2" t="str">
        <f>IFERROR(__xludf.DUMMYFUNCTION("GOOGLETRANSLATE(D74,""en"",""ur"")"),"ایک لمبی چھڑی")</f>
        <v>ایک لمبی چھڑی</v>
      </c>
      <c r="O74" s="2" t="str">
        <f>IFERROR(__xludf.DUMMYFUNCTION("GOOGLETRANSLATE(E74,""en"",""ur"")"),"ایک کمان اور تیر")</f>
        <v>ایک کمان اور تیر</v>
      </c>
      <c r="P74" s="2" t="str">
        <f>IFERROR(__xludf.DUMMYFUNCTION("GOOGLETRANSLATE(F74,""en"",""ur"")"),"ایک ننگی مٹھی")</f>
        <v>ایک ننگی مٹھی</v>
      </c>
      <c r="Q74" s="6" t="s">
        <v>420</v>
      </c>
      <c r="R74" s="6" t="str">
        <f>IFERROR(__xludf.DUMMYFUNCTION("""COMPUTED_VALUE"""),"ایک ریسلنگ میچ میں دو آدمی")</f>
        <v>ایک ریسلنگ میچ میں دو آدمی</v>
      </c>
      <c r="S74" s="6" t="s">
        <v>1239</v>
      </c>
      <c r="T74" s="6"/>
      <c r="U74" s="6"/>
      <c r="V74" s="6"/>
      <c r="W74" s="6"/>
      <c r="X74" s="6"/>
      <c r="Y74" s="6"/>
      <c r="Z74" s="6"/>
      <c r="AA74" s="6"/>
      <c r="AB74" s="6"/>
    </row>
    <row r="75">
      <c r="A75" s="7">
        <v>74.0</v>
      </c>
      <c r="B75" s="6" t="s">
        <v>1244</v>
      </c>
      <c r="C75" s="6" t="s">
        <v>422</v>
      </c>
      <c r="D75" s="6" t="s">
        <v>423</v>
      </c>
      <c r="E75" s="6" t="s">
        <v>1245</v>
      </c>
      <c r="F75" s="6" t="s">
        <v>508</v>
      </c>
      <c r="G75" s="6" t="s">
        <v>423</v>
      </c>
      <c r="H75" s="6" t="s">
        <v>1239</v>
      </c>
      <c r="I75" s="6"/>
      <c r="J75" s="6"/>
      <c r="K75" s="2" t="str">
        <f>IFERROR(__xludf.DUMMYFUNCTION("GOOGLETRANSLATE(A75,""en"",""ur"")"),"74")</f>
        <v>74</v>
      </c>
      <c r="L75" s="2" t="str">
        <f>IFERROR(__xludf.DUMMYFUNCTION("GOOGLETRANSLATE(B75,""en"",""ur"")"),"اس منظر کی ترتیب کیا ہے؟")</f>
        <v>اس منظر کی ترتیب کیا ہے؟</v>
      </c>
      <c r="M75" s="2" t="str">
        <f>IFERROR(__xludf.DUMMYFUNCTION("GOOGLETRANSLATE(C75,""en"",""ur"")"),"ایک انڈور اسٹیڈیم")</f>
        <v>ایک انڈور اسٹیڈیم</v>
      </c>
      <c r="N75" s="2" t="str">
        <f>IFERROR(__xludf.DUMMYFUNCTION("GOOGLETRANSLATE(D75,""en"",""ur"")"),"ایک دیہی، بیرونی علاقہ")</f>
        <v>ایک دیہی، بیرونی علاقہ</v>
      </c>
      <c r="O75" s="2" t="str">
        <f>IFERROR(__xludf.DUMMYFUNCTION("GOOGLETRANSLATE(E75,""en"",""ur"")"),"شہر کی پکی گلی")</f>
        <v>شہر کی پکی گلی</v>
      </c>
      <c r="P75" s="2" t="str">
        <f>IFERROR(__xludf.DUMMYFUNCTION("GOOGLETRANSLATE(F75,""en"",""ur"")"),"ایک پرسکون ساحل")</f>
        <v>ایک پرسکون ساحل</v>
      </c>
      <c r="Q75" s="6" t="s">
        <v>1246</v>
      </c>
      <c r="R75" s="6" t="str">
        <f>IFERROR(__xludf.DUMMYFUNCTION("""COMPUTED_VALUE"""),"ایک ریسلنگ میچ میں دو آدمی")</f>
        <v>ایک ریسلنگ میچ میں دو آدمی</v>
      </c>
      <c r="S75" s="6" t="s">
        <v>1239</v>
      </c>
      <c r="T75" s="6"/>
      <c r="U75" s="6"/>
      <c r="V75" s="6"/>
      <c r="W75" s="6"/>
      <c r="X75" s="6"/>
      <c r="Y75" s="6"/>
      <c r="Z75" s="6"/>
      <c r="AA75" s="6"/>
      <c r="AB75" s="6"/>
    </row>
    <row r="76">
      <c r="A76" s="7">
        <v>75.0</v>
      </c>
      <c r="B76" s="6" t="s">
        <v>1247</v>
      </c>
      <c r="C76" s="6" t="s">
        <v>47</v>
      </c>
      <c r="D76" s="6" t="s">
        <v>48</v>
      </c>
      <c r="E76" s="6" t="s">
        <v>49</v>
      </c>
      <c r="F76" s="6" t="s">
        <v>50</v>
      </c>
      <c r="G76" s="6" t="s">
        <v>49</v>
      </c>
      <c r="H76" s="6" t="s">
        <v>1239</v>
      </c>
      <c r="I76" s="6"/>
      <c r="J76" s="6"/>
      <c r="K76" s="2" t="str">
        <f>IFERROR(__xludf.DUMMYFUNCTION("GOOGLETRANSLATE(A76,""en"",""ur"")"),"75")</f>
        <v>75</v>
      </c>
      <c r="L76" s="2" t="str">
        <f>IFERROR(__xludf.DUMMYFUNCTION("GOOGLETRANSLATE(B76,""en"",""ur"")"),"آدمی کے چہرے سے ظاہری جذبات کیا ہیں؟")</f>
        <v>آدمی کے چہرے سے ظاہری جذبات کیا ہیں؟</v>
      </c>
      <c r="M76" s="2" t="str">
        <f>IFERROR(__xludf.DUMMYFUNCTION("GOOGLETRANSLATE(C76,""en"",""ur"")"),"پرسکون اور پر سکون")</f>
        <v>پرسکون اور پر سکون</v>
      </c>
      <c r="N76" s="2" t="str">
        <f>IFERROR(__xludf.DUMMYFUNCTION("GOOGLETRANSLATE(D76,""en"",""ur"")"),"خوف زدہ اور بے چین")</f>
        <v>خوف زدہ اور بے چین</v>
      </c>
      <c r="O76" s="2" t="str">
        <f>IFERROR(__xludf.DUMMYFUNCTION("GOOGLETRANSLATE(E76,""en"",""ur"")"),"کشیدہ اور شدید")</f>
        <v>کشیدہ اور شدید</v>
      </c>
      <c r="P76" s="2" t="str">
        <f>IFERROR(__xludf.DUMMYFUNCTION("GOOGLETRANSLATE(F76,""en"",""ur"")"),"خوش اور مسکراتے ہوئے۔")</f>
        <v>خوش اور مسکراتے ہوئے۔</v>
      </c>
      <c r="Q76" s="6" t="s">
        <v>51</v>
      </c>
      <c r="R76" s="6" t="str">
        <f>IFERROR(__xludf.DUMMYFUNCTION("""COMPUTED_VALUE"""),"ایک ریسلنگ میچ میں دو آدمی")</f>
        <v>ایک ریسلنگ میچ میں دو آدمی</v>
      </c>
      <c r="S76" s="6" t="s">
        <v>1239</v>
      </c>
      <c r="T76" s="6"/>
      <c r="U76" s="6"/>
      <c r="V76" s="6"/>
      <c r="W76" s="6"/>
      <c r="X76" s="6"/>
      <c r="Y76" s="6"/>
      <c r="Z76" s="6"/>
      <c r="AA76" s="6"/>
      <c r="AB76" s="6"/>
    </row>
    <row r="77">
      <c r="A77" s="7">
        <v>76.0</v>
      </c>
      <c r="B77" s="6" t="s">
        <v>473</v>
      </c>
      <c r="C77" s="6" t="s">
        <v>429</v>
      </c>
      <c r="D77" s="6" t="s">
        <v>430</v>
      </c>
      <c r="E77" s="6" t="s">
        <v>431</v>
      </c>
      <c r="F77" s="6" t="s">
        <v>432</v>
      </c>
      <c r="G77" s="6" t="s">
        <v>429</v>
      </c>
      <c r="H77" s="6" t="s">
        <v>1239</v>
      </c>
      <c r="I77" s="6"/>
      <c r="J77" s="6"/>
      <c r="K77" s="2" t="str">
        <f>IFERROR(__xludf.DUMMYFUNCTION("GOOGLETRANSLATE(A77,""en"",""ur"")"),"76")</f>
        <v>76</v>
      </c>
      <c r="L77" s="2" t="str">
        <f>IFERROR(__xludf.DUMMYFUNCTION("GOOGLETRANSLATE(B77,""en"",""ur"")"),"مرد کی ظاہری جسمانی پوزیشن کیا ہے؟")</f>
        <v>مرد کی ظاہری جسمانی پوزیشن کیا ہے؟</v>
      </c>
      <c r="M77" s="2" t="str">
        <f>IFERROR(__xludf.DUMMYFUNCTION("GOOGLETRANSLATE(C77,""en"",""ur"")"),"سیدھا کھڑا ہونا")</f>
        <v>سیدھا کھڑا ہونا</v>
      </c>
      <c r="N77" s="2" t="str">
        <f>IFERROR(__xludf.DUMMYFUNCTION("GOOGLETRANSLATE(D77,""en"",""ur"")"),"کم، متحرک موقف میں")</f>
        <v>کم، متحرک موقف میں</v>
      </c>
      <c r="O77" s="2" t="str">
        <f>IFERROR(__xludf.DUMMYFUNCTION("GOOGLETRANSLATE(E77,""en"",""ur"")"),"زمین پر لیٹنا")</f>
        <v>زمین پر لیٹنا</v>
      </c>
      <c r="P77" s="2" t="str">
        <f>IFERROR(__xludf.DUMMYFUNCTION("GOOGLETRANSLATE(F77,""en"",""ur"")"),"بیٹھا ہوا")</f>
        <v>بیٹھا ہوا</v>
      </c>
      <c r="Q77" s="6" t="s">
        <v>433</v>
      </c>
      <c r="R77" s="6" t="str">
        <f>IFERROR(__xludf.DUMMYFUNCTION("""COMPUTED_VALUE"""),"ایک ریسلنگ میچ میں دو آدمی")</f>
        <v>ایک ریسلنگ میچ میں دو آدمی</v>
      </c>
      <c r="S77" s="6" t="s">
        <v>1239</v>
      </c>
      <c r="T77" s="6"/>
      <c r="U77" s="6"/>
      <c r="V77" s="6"/>
      <c r="W77" s="6"/>
      <c r="X77" s="6"/>
      <c r="Y77" s="6"/>
      <c r="Z77" s="6"/>
      <c r="AA77" s="6"/>
      <c r="AB77" s="6"/>
    </row>
    <row r="78">
      <c r="A78" s="7">
        <v>77.0</v>
      </c>
      <c r="B78" s="6" t="s">
        <v>434</v>
      </c>
      <c r="C78" s="6" t="s">
        <v>435</v>
      </c>
      <c r="D78" s="6" t="s">
        <v>436</v>
      </c>
      <c r="E78" s="6" t="s">
        <v>1248</v>
      </c>
      <c r="F78" s="6" t="s">
        <v>438</v>
      </c>
      <c r="G78" s="6" t="s">
        <v>1248</v>
      </c>
      <c r="H78" s="6" t="s">
        <v>1239</v>
      </c>
      <c r="I78" s="6"/>
      <c r="J78" s="6"/>
      <c r="K78" s="2" t="str">
        <f>IFERROR(__xludf.DUMMYFUNCTION("GOOGLETRANSLATE(A78,""en"",""ur"")"),"77")</f>
        <v>77</v>
      </c>
      <c r="L78" s="2" t="str">
        <f>IFERROR(__xludf.DUMMYFUNCTION("GOOGLETRANSLATE(B78,""en"",""ur"")"),"پس منظر میں ہجوم کی سب سے نمایاں خصوصیت کیا ہے؟")</f>
        <v>پس منظر میں ہجوم کی سب سے نمایاں خصوصیت کیا ہے؟</v>
      </c>
      <c r="M78" s="2" t="str">
        <f>IFERROR(__xludf.DUMMYFUNCTION("GOOGLETRANSLATE(C78,""en"",""ur"")"),"وہ بھاگ رہے ہیں۔")</f>
        <v>وہ بھاگ رہے ہیں۔</v>
      </c>
      <c r="N78" s="2" t="str">
        <f>IFERROR(__xludf.DUMMYFUNCTION("GOOGLETRANSLATE(D78,""en"",""ur"")"),"وہ خاموش بیٹھے ہیں۔")</f>
        <v>وہ خاموش بیٹھے ہیں۔</v>
      </c>
      <c r="O78" s="2" t="str">
        <f>IFERROR(__xludf.DUMMYFUNCTION("GOOGLETRANSLATE(E78,""en"",""ur"")"),"وہ لڑائی کو قدرتی ماحول سے دیکھ رہے ہیں۔")</f>
        <v>وہ لڑائی کو قدرتی ماحول سے دیکھ رہے ہیں۔</v>
      </c>
      <c r="P78" s="2" t="str">
        <f>IFERROR(__xludf.DUMMYFUNCTION("GOOGLETRANSLATE(F78,""en"",""ur"")"),"وہ سب ایک اسٹیج پر کھڑے ہیں۔")</f>
        <v>وہ سب ایک اسٹیج پر کھڑے ہیں۔</v>
      </c>
      <c r="Q78" s="6" t="s">
        <v>1249</v>
      </c>
      <c r="R78" s="6" t="str">
        <f>IFERROR(__xludf.DUMMYFUNCTION("""COMPUTED_VALUE"""),"ایک ریسلنگ میچ میں دو آدمی")</f>
        <v>ایک ریسلنگ میچ میں دو آدمی</v>
      </c>
      <c r="S78" s="6" t="s">
        <v>1239</v>
      </c>
      <c r="T78" s="6"/>
      <c r="U78" s="6"/>
      <c r="V78" s="6"/>
      <c r="W78" s="6"/>
      <c r="X78" s="6"/>
      <c r="Y78" s="6"/>
      <c r="Z78" s="6"/>
      <c r="AA78" s="6"/>
      <c r="AB78" s="6"/>
    </row>
    <row r="79">
      <c r="A79" s="7">
        <v>78.0</v>
      </c>
      <c r="B79" s="6" t="s">
        <v>440</v>
      </c>
      <c r="C79" s="6" t="s">
        <v>441</v>
      </c>
      <c r="D79" s="6" t="s">
        <v>442</v>
      </c>
      <c r="E79" s="6" t="s">
        <v>512</v>
      </c>
      <c r="F79" s="6" t="s">
        <v>513</v>
      </c>
      <c r="G79" s="6" t="s">
        <v>512</v>
      </c>
      <c r="H79" s="6" t="s">
        <v>1239</v>
      </c>
      <c r="I79" s="6"/>
      <c r="J79" s="6"/>
      <c r="K79" s="2" t="str">
        <f>IFERROR(__xludf.DUMMYFUNCTION("GOOGLETRANSLATE(A79,""en"",""ur"")"),"78")</f>
        <v>78</v>
      </c>
      <c r="L79" s="2" t="str">
        <f>IFERROR(__xludf.DUMMYFUNCTION("GOOGLETRANSLATE(B79,""en"",""ur"")"),"زمین کی ظاہری حالت کیا ہے؟")</f>
        <v>زمین کی ظاہری حالت کیا ہے؟</v>
      </c>
      <c r="M79" s="2" t="str">
        <f>IFERROR(__xludf.DUMMYFUNCTION("GOOGLETRANSLATE(C79,""en"",""ur"")"),"یہ ایک پکی سطح ہے۔")</f>
        <v>یہ ایک پکی سطح ہے۔</v>
      </c>
      <c r="N79" s="2" t="str">
        <f>IFERROR(__xludf.DUMMYFUNCTION("GOOGLETRANSLATE(D79,""en"",""ur"")"),"یہ ایک کیچڑ والا میدان ہے۔")</f>
        <v>یہ ایک کیچڑ والا میدان ہے۔</v>
      </c>
      <c r="O79" s="2" t="str">
        <f>IFERROR(__xludf.DUMMYFUNCTION("GOOGLETRANSLATE(E79,""en"",""ur"")"),"یہ ایک ریتلی یا گندگی کی سطح ہے۔")</f>
        <v>یہ ایک ریتلی یا گندگی کی سطح ہے۔</v>
      </c>
      <c r="P79" s="2" t="str">
        <f>IFERROR(__xludf.DUMMYFUNCTION("GOOGLETRANSLATE(F79,""en"",""ur"")"),"یہ ایک پتھریلی سطح ہے۔")</f>
        <v>یہ ایک پتھریلی سطح ہے۔</v>
      </c>
      <c r="Q79" s="6" t="s">
        <v>514</v>
      </c>
      <c r="R79" s="6" t="str">
        <f>IFERROR(__xludf.DUMMYFUNCTION("""COMPUTED_VALUE"""),"ایک ریسلنگ میچ میں دو آدمی")</f>
        <v>ایک ریسلنگ میچ میں دو آدمی</v>
      </c>
      <c r="S79" s="6" t="s">
        <v>1239</v>
      </c>
      <c r="T79" s="6"/>
      <c r="U79" s="6"/>
      <c r="V79" s="6"/>
      <c r="W79" s="6"/>
      <c r="X79" s="6"/>
      <c r="Y79" s="6"/>
      <c r="Z79" s="6"/>
      <c r="AA79" s="6"/>
      <c r="AB79" s="6"/>
    </row>
    <row r="80">
      <c r="A80" s="7">
        <v>79.0</v>
      </c>
      <c r="B80" s="6" t="s">
        <v>1250</v>
      </c>
      <c r="C80" s="6" t="s">
        <v>450</v>
      </c>
      <c r="D80" s="6" t="s">
        <v>1251</v>
      </c>
      <c r="E80" s="6" t="s">
        <v>449</v>
      </c>
      <c r="F80" s="6" t="s">
        <v>1252</v>
      </c>
      <c r="G80" s="6" t="s">
        <v>1251</v>
      </c>
      <c r="H80" s="6" t="s">
        <v>1239</v>
      </c>
      <c r="I80" s="6"/>
      <c r="J80" s="6"/>
      <c r="K80" s="2" t="str">
        <f>IFERROR(__xludf.DUMMYFUNCTION("GOOGLETRANSLATE(A80,""en"",""ur"")"),"79")</f>
        <v>79</v>
      </c>
      <c r="L80" s="2" t="str">
        <f>IFERROR(__xludf.DUMMYFUNCTION("GOOGLETRANSLATE(B80,""en"",""ur"")"),"آدمی کے پوز کا بنیادی مقصد کیا ہے؟")</f>
        <v>آدمی کے پوز کا بنیادی مقصد کیا ہے؟</v>
      </c>
      <c r="M80" s="2" t="str">
        <f>IFERROR(__xludf.DUMMYFUNCTION("GOOGLETRANSLATE(C80,""en"",""ur"")"),"سورج کو روکنے کے لئے")</f>
        <v>سورج کو روکنے کے لئے</v>
      </c>
      <c r="N80" s="2" t="str">
        <f>IFERROR(__xludf.DUMMYFUNCTION("GOOGLETRANSLATE(D80,""en"",""ur"")"),"تصویر کے لیے پوز کرنا")</f>
        <v>تصویر کے لیے پوز کرنا</v>
      </c>
      <c r="O80" s="2" t="str">
        <f>IFERROR(__xludf.DUMMYFUNCTION("GOOGLETRANSLATE(E80,""en"",""ur"")"),"صرف سجاوٹ کے لیے")</f>
        <v>صرف سجاوٹ کے لیے</v>
      </c>
      <c r="P80" s="2" t="str">
        <f>IFERROR(__xludf.DUMMYFUNCTION("GOOGLETRANSLATE(F80,""en"",""ur"")"),"ٹیک ڈاؤن دکھانے کے لیے")</f>
        <v>ٹیک ڈاؤن دکھانے کے لیے</v>
      </c>
      <c r="Q80" s="6" t="s">
        <v>1253</v>
      </c>
      <c r="R80" s="6" t="str">
        <f>IFERROR(__xludf.DUMMYFUNCTION("""COMPUTED_VALUE"""),"ایک ریسلنگ میچ میں دو آدمی")</f>
        <v>ایک ریسلنگ میچ میں دو آدمی</v>
      </c>
      <c r="S80" s="6" t="s">
        <v>1239</v>
      </c>
      <c r="T80" s="6"/>
      <c r="U80" s="6"/>
      <c r="V80" s="6"/>
      <c r="W80" s="6"/>
      <c r="X80" s="6"/>
      <c r="Y80" s="6"/>
      <c r="Z80" s="6"/>
      <c r="AA80" s="6"/>
      <c r="AB80" s="6"/>
    </row>
    <row r="81">
      <c r="A81" s="7">
        <v>80.0</v>
      </c>
      <c r="B81" s="6" t="s">
        <v>452</v>
      </c>
      <c r="C81" s="6" t="s">
        <v>453</v>
      </c>
      <c r="D81" s="6" t="s">
        <v>454</v>
      </c>
      <c r="E81" s="6" t="s">
        <v>455</v>
      </c>
      <c r="F81" s="6" t="s">
        <v>456</v>
      </c>
      <c r="G81" s="6" t="s">
        <v>453</v>
      </c>
      <c r="H81" s="6" t="s">
        <v>1239</v>
      </c>
      <c r="I81" s="6"/>
      <c r="J81" s="6"/>
      <c r="K81" s="2" t="str">
        <f>IFERROR(__xludf.DUMMYFUNCTION("GOOGLETRANSLATE(A81,""en"",""ur"")"),"80")</f>
        <v>80</v>
      </c>
      <c r="L81" s="2" t="str">
        <f>IFERROR(__xludf.DUMMYFUNCTION("GOOGLETRANSLATE(B81,""en"",""ur"")"),"ایونٹ کا مجموعی موڈ ایسا لگتا ہے...")</f>
        <v>ایونٹ کا مجموعی موڈ ایسا لگتا ہے...</v>
      </c>
      <c r="M81" s="2" t="str">
        <f>IFERROR(__xludf.DUMMYFUNCTION("GOOGLETRANSLATE(C81,""en"",""ur"")"),"ایک آرام دہ مشق سیشن")</f>
        <v>ایک آرام دہ مشق سیشن</v>
      </c>
      <c r="N81" s="2" t="str">
        <f>IFERROR(__xludf.DUMMYFUNCTION("GOOGLETRANSLATE(D81,""en"",""ur"")"),"ایک تناؤ اور جارحانہ کارکردگی")</f>
        <v>ایک تناؤ اور جارحانہ کارکردگی</v>
      </c>
      <c r="O81" s="2" t="str">
        <f>IFERROR(__xludf.DUMMYFUNCTION("GOOGLETRANSLATE(E81,""en"",""ur"")"),"ایک پرسکون، پرامن اجتماع")</f>
        <v>ایک پرسکون، پرامن اجتماع</v>
      </c>
      <c r="P81" s="2" t="str">
        <f>IFERROR(__xludf.DUMMYFUNCTION("GOOGLETRANSLATE(F81,""en"",""ur"")"),"ایک سست، رسمی رقص")</f>
        <v>ایک سست، رسمی رقص</v>
      </c>
      <c r="Q81" s="6" t="s">
        <v>457</v>
      </c>
      <c r="R81" s="6" t="str">
        <f>IFERROR(__xludf.DUMMYFUNCTION("""COMPUTED_VALUE"""),"ایک ریسلنگ میچ میں دو آدمی")</f>
        <v>ایک ریسلنگ میچ میں دو آدمی</v>
      </c>
      <c r="S81" s="6" t="s">
        <v>1239</v>
      </c>
      <c r="T81" s="6"/>
      <c r="U81" s="6"/>
      <c r="V81" s="6"/>
      <c r="W81" s="6"/>
      <c r="X81" s="6"/>
      <c r="Y81" s="6"/>
      <c r="Z81" s="6"/>
      <c r="AA81" s="6"/>
      <c r="AB81" s="6"/>
    </row>
    <row r="82">
      <c r="A82" s="7">
        <v>81.0</v>
      </c>
      <c r="B82" s="6" t="s">
        <v>1254</v>
      </c>
      <c r="C82" s="6" t="s">
        <v>405</v>
      </c>
      <c r="D82" s="6" t="s">
        <v>406</v>
      </c>
      <c r="E82" s="6" t="s">
        <v>1184</v>
      </c>
      <c r="F82" s="6" t="s">
        <v>1185</v>
      </c>
      <c r="G82" s="6" t="s">
        <v>1184</v>
      </c>
      <c r="H82" s="6" t="s">
        <v>1255</v>
      </c>
      <c r="I82" s="6"/>
      <c r="J82" s="6"/>
      <c r="K82" s="2" t="str">
        <f>IFERROR(__xludf.DUMMYFUNCTION("GOOGLETRANSLATE(A82,""en"",""ur"")"),"81")</f>
        <v>81</v>
      </c>
      <c r="L82" s="2" t="str">
        <f>IFERROR(__xludf.DUMMYFUNCTION("GOOGLETRANSLATE(B82,""en"",""ur"")"),"ملاخرہ_18 میں دکھایا گیا اہم عمل کیا ہے؟")</f>
        <v>ملاخرہ_18 میں دکھایا گیا اہم عمل کیا ہے؟</v>
      </c>
      <c r="M82" s="2" t="str">
        <f>IFERROR(__xludf.DUMMYFUNCTION("GOOGLETRANSLATE(C82,""en"",""ur"")"),"دو آدمی تلواروں سے لڑ رہے ہیں۔")</f>
        <v>دو آدمی تلواروں سے لڑ رہے ہیں۔</v>
      </c>
      <c r="N82" s="2" t="str">
        <f>IFERROR(__xludf.DUMMYFUNCTION("GOOGLETRANSLATE(D82,""en"",""ur"")"),"دو آدمی ناچ رہے ہیں۔")</f>
        <v>دو آدمی ناچ رہے ہیں۔</v>
      </c>
      <c r="O82" s="2" t="str">
        <f>IFERROR(__xludf.DUMMYFUNCTION("GOOGLETRANSLATE(E82,""en"",""ur"")"),"ایک ریسلنگ میچ میں دو آدمی")</f>
        <v>ایک ریسلنگ میچ میں دو آدمی</v>
      </c>
      <c r="P82" s="2" t="str">
        <f>IFERROR(__xludf.DUMMYFUNCTION("GOOGLETRANSLATE(F82,""en"",""ur"")"),"دو آدمی بھاگ رہے ہیں۔")</f>
        <v>دو آدمی بھاگ رہے ہیں۔</v>
      </c>
      <c r="Q82" s="6" t="s">
        <v>1214</v>
      </c>
      <c r="R82" s="6" t="str">
        <f>IFERROR(__xludf.DUMMYFUNCTION("""COMPUTED_VALUE"""),"ایک ریسلنگ میچ میں دو آدمی")</f>
        <v>ایک ریسلنگ میچ میں دو آدمی</v>
      </c>
      <c r="S82" s="6" t="s">
        <v>1255</v>
      </c>
      <c r="T82" s="6"/>
      <c r="U82" s="6"/>
      <c r="V82" s="6"/>
      <c r="W82" s="6"/>
      <c r="X82" s="6"/>
      <c r="Y82" s="6"/>
      <c r="Z82" s="6"/>
      <c r="AA82" s="6"/>
      <c r="AB82" s="6"/>
    </row>
    <row r="83">
      <c r="A83" s="7">
        <v>82.0</v>
      </c>
      <c r="B83" s="6" t="s">
        <v>1215</v>
      </c>
      <c r="C83" s="6" t="s">
        <v>488</v>
      </c>
      <c r="D83" s="6" t="s">
        <v>1216</v>
      </c>
      <c r="E83" s="6" t="s">
        <v>490</v>
      </c>
      <c r="F83" s="6" t="s">
        <v>246</v>
      </c>
      <c r="G83" s="6" t="s">
        <v>1216</v>
      </c>
      <c r="H83" s="6" t="s">
        <v>1255</v>
      </c>
      <c r="I83" s="6"/>
      <c r="J83" s="6"/>
      <c r="K83" s="2" t="str">
        <f>IFERROR(__xludf.DUMMYFUNCTION("GOOGLETRANSLATE(A83,""en"",""ur"")"),"82")</f>
        <v>82</v>
      </c>
      <c r="L83" s="2" t="str">
        <f>IFERROR(__xludf.DUMMYFUNCTION("GOOGLETRANSLATE(B83,""en"",""ur"")"),"پہلوانوں کے لباس کے بارے میں ایک قابل ذکر تفصیل کیا ہے؟")</f>
        <v>پہلوانوں کے لباس کے بارے میں ایک قابل ذکر تفصیل کیا ہے؟</v>
      </c>
      <c r="M83" s="2" t="str">
        <f>IFERROR(__xludf.DUMMYFUNCTION("GOOGLETRANSLATE(C83,""en"",""ur"")"),"انہوں نے بکتر کا پورا سوٹ پہن رکھا ہے۔")</f>
        <v>انہوں نے بکتر کا پورا سوٹ پہن رکھا ہے۔</v>
      </c>
      <c r="N83" s="2" t="str">
        <f>IFERROR(__xludf.DUMMYFUNCTION("GOOGLETRANSLATE(D83,""en"",""ur"")"),"وہ سارونگ یا پیٹرن والا اسکرٹ پہنے ہوئے ہیں۔")</f>
        <v>وہ سارونگ یا پیٹرن والا اسکرٹ پہنے ہوئے ہیں۔</v>
      </c>
      <c r="O83" s="2" t="str">
        <f>IFERROR(__xludf.DUMMYFUNCTION("GOOGLETRANSLATE(E83,""en"",""ur"")"),"انہوں نے شارٹس اور ٹی شرٹ پہن رکھی ہیں۔")</f>
        <v>انہوں نے شارٹس اور ٹی شرٹ پہن رکھی ہیں۔</v>
      </c>
      <c r="P83" s="2" t="str">
        <f>IFERROR(__xludf.DUMMYFUNCTION("GOOGLETRANSLATE(F83,""en"",""ur"")"),"انہوں نے کوئی لباس نہیں پہنا ہوا ہے۔")</f>
        <v>انہوں نے کوئی لباس نہیں پہنا ہوا ہے۔</v>
      </c>
      <c r="Q83" s="6" t="s">
        <v>1217</v>
      </c>
      <c r="R83" s="6" t="str">
        <f>IFERROR(__xludf.DUMMYFUNCTION("""COMPUTED_VALUE"""),"ایک ریسلنگ میچ میں دو آدمی")</f>
        <v>ایک ریسلنگ میچ میں دو آدمی</v>
      </c>
      <c r="S83" s="6" t="s">
        <v>1255</v>
      </c>
      <c r="T83" s="6"/>
      <c r="U83" s="6"/>
      <c r="V83" s="6"/>
      <c r="W83" s="6"/>
      <c r="X83" s="6"/>
      <c r="Y83" s="6"/>
      <c r="Z83" s="6"/>
      <c r="AA83" s="6"/>
      <c r="AB83" s="6"/>
    </row>
    <row r="84">
      <c r="A84" s="7">
        <v>83.0</v>
      </c>
      <c r="B84" s="6" t="s">
        <v>1193</v>
      </c>
      <c r="C84" s="6" t="s">
        <v>1194</v>
      </c>
      <c r="D84" s="6" t="s">
        <v>1195</v>
      </c>
      <c r="E84" s="6" t="s">
        <v>1196</v>
      </c>
      <c r="F84" s="6" t="s">
        <v>1197</v>
      </c>
      <c r="G84" s="6" t="s">
        <v>1196</v>
      </c>
      <c r="H84" s="6" t="s">
        <v>1255</v>
      </c>
      <c r="I84" s="6"/>
      <c r="J84" s="6"/>
      <c r="K84" s="2" t="str">
        <f>IFERROR(__xludf.DUMMYFUNCTION("GOOGLETRANSLATE(A84,""en"",""ur"")"),"83")</f>
        <v>83</v>
      </c>
      <c r="L84" s="2" t="str">
        <f>IFERROR(__xludf.DUMMYFUNCTION("GOOGLETRANSLATE(B84,""en"",""ur"")"),"کشتی کا ظاہری مقصد کیا ہے؟")</f>
        <v>کشتی کا ظاہری مقصد کیا ہے؟</v>
      </c>
      <c r="M84" s="2" t="str">
        <f>IFERROR(__xludf.DUMMYFUNCTION("GOOGLETRANSLATE(C84,""en"",""ur"")"),"ایک رسمی رقص")</f>
        <v>ایک رسمی رقص</v>
      </c>
      <c r="N84" s="2" t="str">
        <f>IFERROR(__xludf.DUMMYFUNCTION("GOOGLETRANSLATE(D84,""en"",""ur"")"),"ایک دوستانہ مظاہرہ")</f>
        <v>ایک دوستانہ مظاہرہ</v>
      </c>
      <c r="O84" s="2" t="str">
        <f>IFERROR(__xludf.DUMMYFUNCTION("GOOGLETRANSLATE(E84,""en"",""ur"")"),"ٹیک ڈاؤن کے ساتھ ایک مسابقتی میچ")</f>
        <v>ٹیک ڈاؤن کے ساتھ ایک مسابقتی میچ</v>
      </c>
      <c r="P84" s="2" t="str">
        <f>IFERROR(__xludf.DUMMYFUNCTION("GOOGLETRANSLATE(F84,""en"",""ur"")"),"ایک پریکٹس سیشن")</f>
        <v>ایک پریکٹس سیشن</v>
      </c>
      <c r="Q84" s="6" t="s">
        <v>1198</v>
      </c>
      <c r="R84" s="6" t="str">
        <f>IFERROR(__xludf.DUMMYFUNCTION("""COMPUTED_VALUE"""),"ایک ریسلنگ میچ میں دو آدمی")</f>
        <v>ایک ریسلنگ میچ میں دو آدمی</v>
      </c>
      <c r="S84" s="6" t="s">
        <v>1255</v>
      </c>
      <c r="T84" s="6"/>
      <c r="U84" s="6"/>
      <c r="V84" s="6"/>
      <c r="W84" s="6"/>
      <c r="X84" s="6"/>
      <c r="Y84" s="6"/>
      <c r="Z84" s="6"/>
      <c r="AA84" s="6"/>
      <c r="AB84" s="6"/>
    </row>
    <row r="85">
      <c r="A85" s="7">
        <v>84.0</v>
      </c>
      <c r="B85" s="6" t="s">
        <v>991</v>
      </c>
      <c r="C85" s="6" t="s">
        <v>422</v>
      </c>
      <c r="D85" s="6" t="s">
        <v>1199</v>
      </c>
      <c r="E85" s="6" t="s">
        <v>424</v>
      </c>
      <c r="F85" s="6" t="s">
        <v>425</v>
      </c>
      <c r="G85" s="6" t="s">
        <v>1199</v>
      </c>
      <c r="H85" s="6" t="s">
        <v>1255</v>
      </c>
      <c r="I85" s="6"/>
      <c r="J85" s="6"/>
      <c r="K85" s="2" t="str">
        <f>IFERROR(__xludf.DUMMYFUNCTION("GOOGLETRANSLATE(A85,""en"",""ur"")"),"84")</f>
        <v>84</v>
      </c>
      <c r="L85" s="2" t="str">
        <f>IFERROR(__xludf.DUMMYFUNCTION("GOOGLETRANSLATE(B85,""en"",""ur"")"),"واقعہ کی ظاہری ترتیب کیا ہے؟")</f>
        <v>واقعہ کی ظاہری ترتیب کیا ہے؟</v>
      </c>
      <c r="M85" s="2" t="str">
        <f>IFERROR(__xludf.DUMMYFUNCTION("GOOGLETRANSLATE(C85,""en"",""ur"")"),"ایک انڈور اسٹیڈیم")</f>
        <v>ایک انڈور اسٹیڈیم</v>
      </c>
      <c r="N85" s="2" t="str">
        <f>IFERROR(__xludf.DUMMYFUNCTION("GOOGLETRANSLATE(D85,""en"",""ur"")"),"ایک دیہی، بیرونی گندگی کا ایک بڑا ہجوم")</f>
        <v>ایک دیہی، بیرونی گندگی کا ایک بڑا ہجوم</v>
      </c>
      <c r="O85" s="2" t="str">
        <f>IFERROR(__xludf.DUMMYFUNCTION("GOOGLETRANSLATE(E85,""en"",""ur"")"),"شہر کی مصروف گلی")</f>
        <v>شہر کی مصروف گلی</v>
      </c>
      <c r="P85" s="2" t="str">
        <f>IFERROR(__xludf.DUMMYFUNCTION("GOOGLETRANSLATE(F85,""en"",""ur"")"),"گھاس کا میدان")</f>
        <v>گھاس کا میدان</v>
      </c>
      <c r="Q85" s="6" t="s">
        <v>1200</v>
      </c>
      <c r="R85" s="6" t="str">
        <f>IFERROR(__xludf.DUMMYFUNCTION("""COMPUTED_VALUE"""),"ایک ریسلنگ میچ میں دو آدمی")</f>
        <v>ایک ریسلنگ میچ میں دو آدمی</v>
      </c>
      <c r="S85" s="6" t="s">
        <v>1255</v>
      </c>
      <c r="T85" s="6"/>
      <c r="U85" s="6"/>
      <c r="V85" s="6"/>
      <c r="W85" s="6"/>
      <c r="X85" s="6"/>
      <c r="Y85" s="6"/>
      <c r="Z85" s="6"/>
      <c r="AA85" s="6"/>
      <c r="AB85" s="6"/>
    </row>
    <row r="86">
      <c r="A86" s="7">
        <v>85.0</v>
      </c>
      <c r="B86" s="6" t="s">
        <v>1201</v>
      </c>
      <c r="C86" s="6" t="s">
        <v>47</v>
      </c>
      <c r="D86" s="6" t="s">
        <v>48</v>
      </c>
      <c r="E86" s="6" t="s">
        <v>49</v>
      </c>
      <c r="F86" s="6" t="s">
        <v>50</v>
      </c>
      <c r="G86" s="6" t="s">
        <v>49</v>
      </c>
      <c r="H86" s="6" t="s">
        <v>1255</v>
      </c>
      <c r="I86" s="6"/>
      <c r="J86" s="6"/>
      <c r="K86" s="2" t="str">
        <f>IFERROR(__xludf.DUMMYFUNCTION("GOOGLETRANSLATE(A86,""en"",""ur"")"),"85")</f>
        <v>85</v>
      </c>
      <c r="L86" s="2" t="str">
        <f>IFERROR(__xludf.DUMMYFUNCTION("GOOGLETRANSLATE(B86,""en"",""ur"")"),"پہلوانوں کے ظاہری جذبات کیا ہیں؟")</f>
        <v>پہلوانوں کے ظاہری جذبات کیا ہیں؟</v>
      </c>
      <c r="M86" s="2" t="str">
        <f>IFERROR(__xludf.DUMMYFUNCTION("GOOGLETRANSLATE(C86,""en"",""ur"")"),"پرسکون اور پر سکون")</f>
        <v>پرسکون اور پر سکون</v>
      </c>
      <c r="N86" s="2" t="str">
        <f>IFERROR(__xludf.DUMMYFUNCTION("GOOGLETRANSLATE(D86,""en"",""ur"")"),"خوف زدہ اور بے چین")</f>
        <v>خوف زدہ اور بے چین</v>
      </c>
      <c r="O86" s="2" t="str">
        <f>IFERROR(__xludf.DUMMYFUNCTION("GOOGLETRANSLATE(E86,""en"",""ur"")"),"کشیدہ اور شدید")</f>
        <v>کشیدہ اور شدید</v>
      </c>
      <c r="P86" s="2" t="str">
        <f>IFERROR(__xludf.DUMMYFUNCTION("GOOGLETRANSLATE(F86,""en"",""ur"")"),"خوش اور مسکراتے ہوئے۔")</f>
        <v>خوش اور مسکراتے ہوئے۔</v>
      </c>
      <c r="Q86" s="6" t="s">
        <v>51</v>
      </c>
      <c r="R86" s="6" t="str">
        <f>IFERROR(__xludf.DUMMYFUNCTION("""COMPUTED_VALUE"""),"ایک ریسلنگ میچ میں دو آدمی")</f>
        <v>ایک ریسلنگ میچ میں دو آدمی</v>
      </c>
      <c r="S86" s="6" t="s">
        <v>1255</v>
      </c>
      <c r="T86" s="6"/>
      <c r="U86" s="6"/>
      <c r="V86" s="6"/>
      <c r="W86" s="6"/>
      <c r="X86" s="6"/>
      <c r="Y86" s="6"/>
      <c r="Z86" s="6"/>
      <c r="AA86" s="6"/>
      <c r="AB86" s="6"/>
    </row>
    <row r="87">
      <c r="A87" s="7">
        <v>86.0</v>
      </c>
      <c r="B87" s="6" t="s">
        <v>1218</v>
      </c>
      <c r="C87" s="6" t="s">
        <v>429</v>
      </c>
      <c r="D87" s="6" t="s">
        <v>430</v>
      </c>
      <c r="E87" s="6" t="s">
        <v>431</v>
      </c>
      <c r="F87" s="6" t="s">
        <v>432</v>
      </c>
      <c r="G87" s="6" t="s">
        <v>430</v>
      </c>
      <c r="H87" s="6" t="s">
        <v>1255</v>
      </c>
      <c r="I87" s="6"/>
      <c r="J87" s="6"/>
      <c r="K87" s="2" t="str">
        <f>IFERROR(__xludf.DUMMYFUNCTION("GOOGLETRANSLATE(A87,""en"",""ur"")"),"86")</f>
        <v>86</v>
      </c>
      <c r="L87" s="2" t="str">
        <f>IFERROR(__xludf.DUMMYFUNCTION("GOOGLETRANSLATE(B87,""en"",""ur"")"),"پہلوانوں کی ظاہری جسمانی پوزیشن کیا ہے؟")</f>
        <v>پہلوانوں کی ظاہری جسمانی پوزیشن کیا ہے؟</v>
      </c>
      <c r="M87" s="2" t="str">
        <f>IFERROR(__xludf.DUMMYFUNCTION("GOOGLETRANSLATE(C87,""en"",""ur"")"),"سیدھا کھڑا ہونا")</f>
        <v>سیدھا کھڑا ہونا</v>
      </c>
      <c r="N87" s="2" t="str">
        <f>IFERROR(__xludf.DUMMYFUNCTION("GOOGLETRANSLATE(D87,""en"",""ur"")"),"کم، متحرک موقف میں")</f>
        <v>کم، متحرک موقف میں</v>
      </c>
      <c r="O87" s="2" t="str">
        <f>IFERROR(__xludf.DUMMYFUNCTION("GOOGLETRANSLATE(E87,""en"",""ur"")"),"زمین پر لیٹنا")</f>
        <v>زمین پر لیٹنا</v>
      </c>
      <c r="P87" s="2" t="str">
        <f>IFERROR(__xludf.DUMMYFUNCTION("GOOGLETRANSLATE(F87,""en"",""ur"")"),"بیٹھا ہوا")</f>
        <v>بیٹھا ہوا</v>
      </c>
      <c r="Q87" s="6" t="s">
        <v>433</v>
      </c>
      <c r="R87" s="6" t="str">
        <f>IFERROR(__xludf.DUMMYFUNCTION("""COMPUTED_VALUE"""),"ایک ریسلنگ میچ میں دو آدمی")</f>
        <v>ایک ریسلنگ میچ میں دو آدمی</v>
      </c>
      <c r="S87" s="6" t="s">
        <v>1255</v>
      </c>
      <c r="T87" s="6"/>
      <c r="U87" s="6"/>
      <c r="V87" s="6"/>
      <c r="W87" s="6"/>
      <c r="X87" s="6"/>
      <c r="Y87" s="6"/>
      <c r="Z87" s="6"/>
      <c r="AA87" s="6"/>
      <c r="AB87" s="6"/>
    </row>
    <row r="88">
      <c r="A88" s="7">
        <v>87.0</v>
      </c>
      <c r="B88" s="6" t="s">
        <v>434</v>
      </c>
      <c r="C88" s="6" t="s">
        <v>435</v>
      </c>
      <c r="D88" s="6" t="s">
        <v>436</v>
      </c>
      <c r="E88" s="6" t="s">
        <v>1203</v>
      </c>
      <c r="F88" s="6" t="s">
        <v>438</v>
      </c>
      <c r="G88" s="6" t="s">
        <v>1203</v>
      </c>
      <c r="H88" s="6" t="s">
        <v>1255</v>
      </c>
      <c r="I88" s="6"/>
      <c r="J88" s="6"/>
      <c r="K88" s="2" t="str">
        <f>IFERROR(__xludf.DUMMYFUNCTION("GOOGLETRANSLATE(A88,""en"",""ur"")"),"87")</f>
        <v>87</v>
      </c>
      <c r="L88" s="2" t="str">
        <f>IFERROR(__xludf.DUMMYFUNCTION("GOOGLETRANSLATE(B88,""en"",""ur"")"),"پس منظر میں ہجوم کی سب سے نمایاں خصوصیت کیا ہے؟")</f>
        <v>پس منظر میں ہجوم کی سب سے نمایاں خصوصیت کیا ہے؟</v>
      </c>
      <c r="M88" s="2" t="str">
        <f>IFERROR(__xludf.DUMMYFUNCTION("GOOGLETRANSLATE(C88,""en"",""ur"")"),"وہ بھاگ رہے ہیں۔")</f>
        <v>وہ بھاگ رہے ہیں۔</v>
      </c>
      <c r="N88" s="2" t="str">
        <f>IFERROR(__xludf.DUMMYFUNCTION("GOOGLETRANSLATE(D88,""en"",""ur"")"),"وہ خاموش بیٹھے ہیں۔")</f>
        <v>وہ خاموش بیٹھے ہیں۔</v>
      </c>
      <c r="O88" s="2" t="str">
        <f>IFERROR(__xludf.DUMMYFUNCTION("GOOGLETRANSLATE(E88,""en"",""ur"")"),"وہ باڑ کے پیچھے سے میچ دیکھ رہے ہیں۔")</f>
        <v>وہ باڑ کے پیچھے سے میچ دیکھ رہے ہیں۔</v>
      </c>
      <c r="P88" s="2" t="str">
        <f>IFERROR(__xludf.DUMMYFUNCTION("GOOGLETRANSLATE(F88,""en"",""ur"")"),"وہ سب ایک اسٹیج پر کھڑے ہیں۔")</f>
        <v>وہ سب ایک اسٹیج پر کھڑے ہیں۔</v>
      </c>
      <c r="Q88" s="6" t="s">
        <v>1204</v>
      </c>
      <c r="R88" s="6" t="str">
        <f>IFERROR(__xludf.DUMMYFUNCTION("""COMPUTED_VALUE"""),"ایک ریسلنگ میچ میں دو آدمی")</f>
        <v>ایک ریسلنگ میچ میں دو آدمی</v>
      </c>
      <c r="S88" s="6" t="s">
        <v>1255</v>
      </c>
      <c r="T88" s="6"/>
      <c r="U88" s="6"/>
      <c r="V88" s="6"/>
      <c r="W88" s="6"/>
      <c r="X88" s="6"/>
      <c r="Y88" s="6"/>
      <c r="Z88" s="6"/>
      <c r="AA88" s="6"/>
      <c r="AB88" s="6"/>
    </row>
    <row r="89">
      <c r="A89" s="7">
        <v>88.0</v>
      </c>
      <c r="B89" s="6" t="s">
        <v>440</v>
      </c>
      <c r="C89" s="6" t="s">
        <v>441</v>
      </c>
      <c r="D89" s="6" t="s">
        <v>442</v>
      </c>
      <c r="E89" s="6" t="s">
        <v>512</v>
      </c>
      <c r="F89" s="6" t="s">
        <v>444</v>
      </c>
      <c r="G89" s="6" t="s">
        <v>512</v>
      </c>
      <c r="H89" s="6" t="s">
        <v>1255</v>
      </c>
      <c r="I89" s="6"/>
      <c r="J89" s="6"/>
      <c r="K89" s="2" t="str">
        <f>IFERROR(__xludf.DUMMYFUNCTION("GOOGLETRANSLATE(A89,""en"",""ur"")"),"88")</f>
        <v>88</v>
      </c>
      <c r="L89" s="2" t="str">
        <f>IFERROR(__xludf.DUMMYFUNCTION("GOOGLETRANSLATE(B89,""en"",""ur"")"),"زمین کی ظاہری حالت کیا ہے؟")</f>
        <v>زمین کی ظاہری حالت کیا ہے؟</v>
      </c>
      <c r="M89" s="2" t="str">
        <f>IFERROR(__xludf.DUMMYFUNCTION("GOOGLETRANSLATE(C89,""en"",""ur"")"),"یہ ایک پکی سطح ہے۔")</f>
        <v>یہ ایک پکی سطح ہے۔</v>
      </c>
      <c r="N89" s="2" t="str">
        <f>IFERROR(__xludf.DUMMYFUNCTION("GOOGLETRANSLATE(D89,""en"",""ur"")"),"یہ ایک کیچڑ والا میدان ہے۔")</f>
        <v>یہ ایک کیچڑ والا میدان ہے۔</v>
      </c>
      <c r="O89" s="2" t="str">
        <f>IFERROR(__xludf.DUMMYFUNCTION("GOOGLETRANSLATE(E89,""en"",""ur"")"),"یہ ایک ریتلی یا گندگی کی سطح ہے۔")</f>
        <v>یہ ایک ریتلی یا گندگی کی سطح ہے۔</v>
      </c>
      <c r="P89" s="2" t="str">
        <f>IFERROR(__xludf.DUMMYFUNCTION("GOOGLETRANSLATE(F89,""en"",""ur"")"),"یہ ایک گھاس والی سطح ہے۔")</f>
        <v>یہ ایک گھاس والی سطح ہے۔</v>
      </c>
      <c r="Q89" s="6" t="s">
        <v>1219</v>
      </c>
      <c r="R89" s="6" t="str">
        <f>IFERROR(__xludf.DUMMYFUNCTION("""COMPUTED_VALUE"""),"ایک ریسلنگ میچ میں دو آدمی")</f>
        <v>ایک ریسلنگ میچ میں دو آدمی</v>
      </c>
      <c r="S89" s="6" t="s">
        <v>1255</v>
      </c>
      <c r="T89" s="6"/>
      <c r="U89" s="6"/>
      <c r="V89" s="6"/>
      <c r="W89" s="6"/>
      <c r="X89" s="6"/>
      <c r="Y89" s="6"/>
      <c r="Z89" s="6"/>
      <c r="AA89" s="6"/>
      <c r="AB89" s="6"/>
    </row>
    <row r="90">
      <c r="A90" s="7">
        <v>89.0</v>
      </c>
      <c r="B90" s="6" t="s">
        <v>1205</v>
      </c>
      <c r="C90" s="6" t="s">
        <v>1206</v>
      </c>
      <c r="D90" s="6" t="s">
        <v>1207</v>
      </c>
      <c r="E90" s="6" t="s">
        <v>1208</v>
      </c>
      <c r="F90" s="6" t="s">
        <v>449</v>
      </c>
      <c r="G90" s="6" t="s">
        <v>1208</v>
      </c>
      <c r="H90" s="6" t="s">
        <v>1255</v>
      </c>
      <c r="I90" s="6"/>
      <c r="J90" s="6"/>
      <c r="K90" s="2" t="str">
        <f>IFERROR(__xludf.DUMMYFUNCTION("GOOGLETRANSLATE(A90,""en"",""ur"")"),"89")</f>
        <v>89</v>
      </c>
      <c r="L90" s="2" t="str">
        <f>IFERROR(__xludf.DUMMYFUNCTION("GOOGLETRANSLATE(B90,""en"",""ur"")"),"لمبی اسکرٹس کا بنیادی مقصد کیا ہے؟")</f>
        <v>لمبی اسکرٹس کا بنیادی مقصد کیا ہے؟</v>
      </c>
      <c r="M90" s="2" t="str">
        <f>IFERROR(__xludf.DUMMYFUNCTION("GOOGLETRANSLATE(C90,""en"",""ur"")"),"پہلوانوں کی ٹانگوں کی حفاظت کے لیے")</f>
        <v>پہلوانوں کی ٹانگوں کی حفاظت کے لیے</v>
      </c>
      <c r="N90" s="2" t="str">
        <f>IFERROR(__xludf.DUMMYFUNCTION("GOOGLETRANSLATE(D90,""en"",""ur"")"),"پہلوانوں کو مزید چست بنانے کے لیے")</f>
        <v>پہلوانوں کو مزید چست بنانے کے لیے</v>
      </c>
      <c r="O90" s="2" t="str">
        <f>IFERROR(__xludf.DUMMYFUNCTION("GOOGLETRANSLATE(E90,""en"",""ur"")"),"روایتی لباس اور لڑائی کے دوران گرفت کے لیے")</f>
        <v>روایتی لباس اور لڑائی کے دوران گرفت کے لیے</v>
      </c>
      <c r="P90" s="2" t="str">
        <f>IFERROR(__xludf.DUMMYFUNCTION("GOOGLETRANSLATE(F90,""en"",""ur"")"),"صرف سجاوٹ کے لیے")</f>
        <v>صرف سجاوٹ کے لیے</v>
      </c>
      <c r="Q90" s="6" t="s">
        <v>1209</v>
      </c>
      <c r="R90" s="6" t="str">
        <f>IFERROR(__xludf.DUMMYFUNCTION("""COMPUTED_VALUE"""),"ایک ریسلنگ میچ میں دو آدمی")</f>
        <v>ایک ریسلنگ میچ میں دو آدمی</v>
      </c>
      <c r="S90" s="6" t="s">
        <v>1255</v>
      </c>
      <c r="T90" s="6"/>
      <c r="U90" s="6"/>
      <c r="V90" s="6"/>
      <c r="W90" s="6"/>
      <c r="X90" s="6"/>
      <c r="Y90" s="6"/>
      <c r="Z90" s="6"/>
      <c r="AA90" s="6"/>
      <c r="AB90" s="6"/>
    </row>
    <row r="91">
      <c r="A91" s="7">
        <v>90.0</v>
      </c>
      <c r="B91" s="6" t="s">
        <v>260</v>
      </c>
      <c r="C91" s="6" t="s">
        <v>261</v>
      </c>
      <c r="D91" s="6" t="s">
        <v>262</v>
      </c>
      <c r="E91" s="6" t="s">
        <v>1210</v>
      </c>
      <c r="F91" s="6" t="s">
        <v>264</v>
      </c>
      <c r="G91" s="6" t="s">
        <v>1210</v>
      </c>
      <c r="H91" s="6" t="s">
        <v>1255</v>
      </c>
      <c r="I91" s="6"/>
      <c r="J91" s="6"/>
      <c r="K91" s="2" t="str">
        <f>IFERROR(__xludf.DUMMYFUNCTION("GOOGLETRANSLATE(A91,""en"",""ur"")"),"90")</f>
        <v>90</v>
      </c>
      <c r="L91" s="2" t="str">
        <f>IFERROR(__xludf.DUMMYFUNCTION("GOOGLETRANSLATE(B91,""en"",""ur"")"),"تصویر میں ایکشن ایک ایسا انداز تجویز کرتا ہے جو اس بات پر زور دیتا ہے...")</f>
        <v>تصویر میں ایکشن ایک ایسا انداز تجویز کرتا ہے جو اس بات پر زور دیتا ہے...</v>
      </c>
      <c r="M91" s="2" t="str">
        <f>IFERROR(__xludf.DUMMYFUNCTION("GOOGLETRANSLATE(C91,""en"",""ur"")"),"روانی اور قلابازیاں")</f>
        <v>روانی اور قلابازیاں</v>
      </c>
      <c r="N91" s="2" t="str">
        <f>IFERROR(__xludf.DUMMYFUNCTION("GOOGLETRANSLATE(D91,""en"",""ur"")"),"زمینی لڑائی اور گرفت")</f>
        <v>زمینی لڑائی اور گرفت</v>
      </c>
      <c r="O91" s="2" t="str">
        <f>IFERROR(__xludf.DUMMYFUNCTION("GOOGLETRANSLATE(E91,""en"",""ur"")"),"وحشیانہ طاقت اور ٹیک ڈاؤن")</f>
        <v>وحشیانہ طاقت اور ٹیک ڈاؤن</v>
      </c>
      <c r="P91" s="2" t="str">
        <f>IFERROR(__xludf.DUMMYFUNCTION("GOOGLETRANSLATE(F91,""en"",""ur"")"),"سادہ، لکیری حرکات")</f>
        <v>سادہ، لکیری حرکات</v>
      </c>
      <c r="Q91" s="6" t="s">
        <v>1211</v>
      </c>
      <c r="R91" s="6" t="str">
        <f>IFERROR(__xludf.DUMMYFUNCTION("""COMPUTED_VALUE"""),"ایک ریسلنگ میچ میں دو آدمی")</f>
        <v>ایک ریسلنگ میچ میں دو آدمی</v>
      </c>
      <c r="S91" s="6" t="s">
        <v>1255</v>
      </c>
      <c r="T91" s="6"/>
      <c r="U91" s="6"/>
      <c r="V91" s="6"/>
      <c r="W91" s="6"/>
      <c r="X91" s="6"/>
      <c r="Y91" s="6"/>
      <c r="Z91" s="6"/>
      <c r="AA91" s="6"/>
      <c r="AB91" s="6"/>
    </row>
    <row r="92">
      <c r="A92" s="7">
        <v>91.0</v>
      </c>
      <c r="B92" s="6" t="s">
        <v>1256</v>
      </c>
      <c r="C92" s="6" t="s">
        <v>406</v>
      </c>
      <c r="D92" s="6" t="s">
        <v>1223</v>
      </c>
      <c r="E92" s="6" t="s">
        <v>1184</v>
      </c>
      <c r="F92" s="6" t="s">
        <v>1185</v>
      </c>
      <c r="G92" s="6" t="s">
        <v>1223</v>
      </c>
      <c r="H92" s="6" t="s">
        <v>1257</v>
      </c>
      <c r="I92" s="6"/>
      <c r="J92" s="6"/>
      <c r="K92" s="2" t="str">
        <f>IFERROR(__xludf.DUMMYFUNCTION("GOOGLETRANSLATE(A92,""en"",""ur"")"),"91")</f>
        <v>91</v>
      </c>
      <c r="L92" s="2" t="str">
        <f>IFERROR(__xludf.DUMMYFUNCTION("GOOGLETRANSLATE(B92,""en"",""ur"")"),"ملاخرہ_15 میں دکھایا گیا اہم عمل کیا ہے؟")</f>
        <v>ملاخرہ_15 میں دکھایا گیا اہم عمل کیا ہے؟</v>
      </c>
      <c r="M92" s="2" t="str">
        <f>IFERROR(__xludf.DUMMYFUNCTION("GOOGLETRANSLATE(C92,""en"",""ur"")"),"دو آدمی ناچ رہے ہیں۔")</f>
        <v>دو آدمی ناچ رہے ہیں۔</v>
      </c>
      <c r="N92" s="2" t="str">
        <f>IFERROR(__xludf.DUMMYFUNCTION("GOOGLETRANSLATE(D92,""en"",""ur"")"),"ایک پہلوان کی تصاویر کا کولیج")</f>
        <v>ایک پہلوان کی تصاویر کا کولیج</v>
      </c>
      <c r="O92" s="2" t="str">
        <f>IFERROR(__xludf.DUMMYFUNCTION("GOOGLETRANSLATE(E92,""en"",""ur"")"),"ایک ریسلنگ میچ میں دو آدمی")</f>
        <v>ایک ریسلنگ میچ میں دو آدمی</v>
      </c>
      <c r="P92" s="2" t="str">
        <f>IFERROR(__xludf.DUMMYFUNCTION("GOOGLETRANSLATE(F92,""en"",""ur"")"),"دو آدمی بھاگ رہے ہیں۔")</f>
        <v>دو آدمی بھاگ رہے ہیں۔</v>
      </c>
      <c r="Q92" s="6" t="s">
        <v>1258</v>
      </c>
      <c r="R92" s="6" t="str">
        <f>IFERROR(__xludf.DUMMYFUNCTION("""COMPUTED_VALUE"""),"ایک ریسلنگ میچ میں دو آدمی")</f>
        <v>ایک ریسلنگ میچ میں دو آدمی</v>
      </c>
      <c r="S92" s="6" t="s">
        <v>1257</v>
      </c>
      <c r="T92" s="6"/>
      <c r="U92" s="6"/>
      <c r="V92" s="6"/>
      <c r="W92" s="6"/>
      <c r="X92" s="6"/>
      <c r="Y92" s="6"/>
      <c r="Z92" s="6"/>
      <c r="AA92" s="6"/>
      <c r="AB92" s="6"/>
    </row>
    <row r="93">
      <c r="A93" s="7">
        <v>92.0</v>
      </c>
      <c r="B93" s="6" t="s">
        <v>1215</v>
      </c>
      <c r="C93" s="6" t="s">
        <v>488</v>
      </c>
      <c r="D93" s="6" t="s">
        <v>1216</v>
      </c>
      <c r="E93" s="6" t="s">
        <v>490</v>
      </c>
      <c r="F93" s="6" t="s">
        <v>246</v>
      </c>
      <c r="G93" s="6" t="s">
        <v>1216</v>
      </c>
      <c r="H93" s="6" t="s">
        <v>1257</v>
      </c>
      <c r="I93" s="6"/>
      <c r="J93" s="6"/>
      <c r="K93" s="2" t="str">
        <f>IFERROR(__xludf.DUMMYFUNCTION("GOOGLETRANSLATE(A93,""en"",""ur"")"),"92")</f>
        <v>92</v>
      </c>
      <c r="L93" s="2" t="str">
        <f>IFERROR(__xludf.DUMMYFUNCTION("GOOGLETRANSLATE(B93,""en"",""ur"")"),"پہلوانوں کے لباس کے بارے میں ایک قابل ذکر تفصیل کیا ہے؟")</f>
        <v>پہلوانوں کے لباس کے بارے میں ایک قابل ذکر تفصیل کیا ہے؟</v>
      </c>
      <c r="M93" s="2" t="str">
        <f>IFERROR(__xludf.DUMMYFUNCTION("GOOGLETRANSLATE(C93,""en"",""ur"")"),"انہوں نے بکتر کا پورا سوٹ پہن رکھا ہے۔")</f>
        <v>انہوں نے بکتر کا پورا سوٹ پہن رکھا ہے۔</v>
      </c>
      <c r="N93" s="2" t="str">
        <f>IFERROR(__xludf.DUMMYFUNCTION("GOOGLETRANSLATE(D93,""en"",""ur"")"),"وہ سارونگ یا پیٹرن والا اسکرٹ پہنے ہوئے ہیں۔")</f>
        <v>وہ سارونگ یا پیٹرن والا اسکرٹ پہنے ہوئے ہیں۔</v>
      </c>
      <c r="O93" s="2" t="str">
        <f>IFERROR(__xludf.DUMMYFUNCTION("GOOGLETRANSLATE(E93,""en"",""ur"")"),"انہوں نے شارٹس اور ٹی شرٹ پہن رکھی ہیں۔")</f>
        <v>انہوں نے شارٹس اور ٹی شرٹ پہن رکھی ہیں۔</v>
      </c>
      <c r="P93" s="2" t="str">
        <f>IFERROR(__xludf.DUMMYFUNCTION("GOOGLETRANSLATE(F93,""en"",""ur"")"),"انہوں نے کوئی لباس نہیں پہنا ہوا ہے۔")</f>
        <v>انہوں نے کوئی لباس نہیں پہنا ہوا ہے۔</v>
      </c>
      <c r="Q93" s="6" t="s">
        <v>1217</v>
      </c>
      <c r="R93" s="6" t="str">
        <f>IFERROR(__xludf.DUMMYFUNCTION("""COMPUTED_VALUE"""),"ایک ریسلنگ میچ میں دو آدمی")</f>
        <v>ایک ریسلنگ میچ میں دو آدمی</v>
      </c>
      <c r="S93" s="6" t="s">
        <v>1257</v>
      </c>
      <c r="T93" s="6"/>
      <c r="U93" s="6"/>
      <c r="V93" s="6"/>
      <c r="W93" s="6"/>
      <c r="X93" s="6"/>
      <c r="Y93" s="6"/>
      <c r="Z93" s="6"/>
      <c r="AA93" s="6"/>
      <c r="AB93" s="6"/>
    </row>
    <row r="94">
      <c r="A94" s="7">
        <v>93.0</v>
      </c>
      <c r="B94" s="6" t="s">
        <v>1193</v>
      </c>
      <c r="C94" s="6" t="s">
        <v>1194</v>
      </c>
      <c r="D94" s="6" t="s">
        <v>1195</v>
      </c>
      <c r="E94" s="6" t="s">
        <v>1196</v>
      </c>
      <c r="F94" s="6" t="s">
        <v>1197</v>
      </c>
      <c r="G94" s="6" t="s">
        <v>1196</v>
      </c>
      <c r="H94" s="6" t="s">
        <v>1257</v>
      </c>
      <c r="I94" s="6"/>
      <c r="J94" s="6"/>
      <c r="K94" s="2" t="str">
        <f>IFERROR(__xludf.DUMMYFUNCTION("GOOGLETRANSLATE(A94,""en"",""ur"")"),"93")</f>
        <v>93</v>
      </c>
      <c r="L94" s="2" t="str">
        <f>IFERROR(__xludf.DUMMYFUNCTION("GOOGLETRANSLATE(B94,""en"",""ur"")"),"کشتی کا ظاہری مقصد کیا ہے؟")</f>
        <v>کشتی کا ظاہری مقصد کیا ہے؟</v>
      </c>
      <c r="M94" s="2" t="str">
        <f>IFERROR(__xludf.DUMMYFUNCTION("GOOGLETRANSLATE(C94,""en"",""ur"")"),"ایک رسمی رقص")</f>
        <v>ایک رسمی رقص</v>
      </c>
      <c r="N94" s="2" t="str">
        <f>IFERROR(__xludf.DUMMYFUNCTION("GOOGLETRANSLATE(D94,""en"",""ur"")"),"ایک دوستانہ مظاہرہ")</f>
        <v>ایک دوستانہ مظاہرہ</v>
      </c>
      <c r="O94" s="2" t="str">
        <f>IFERROR(__xludf.DUMMYFUNCTION("GOOGLETRANSLATE(E94,""en"",""ur"")"),"ٹیک ڈاؤن کے ساتھ ایک مسابقتی میچ")</f>
        <v>ٹیک ڈاؤن کے ساتھ ایک مسابقتی میچ</v>
      </c>
      <c r="P94" s="2" t="str">
        <f>IFERROR(__xludf.DUMMYFUNCTION("GOOGLETRANSLATE(F94,""en"",""ur"")"),"ایک پریکٹس سیشن")</f>
        <v>ایک پریکٹس سیشن</v>
      </c>
      <c r="Q94" s="6" t="s">
        <v>1198</v>
      </c>
      <c r="R94" s="6" t="str">
        <f>IFERROR(__xludf.DUMMYFUNCTION("""COMPUTED_VALUE"""),"ایک ریسلنگ میچ میں دو آدمی")</f>
        <v>ایک ریسلنگ میچ میں دو آدمی</v>
      </c>
      <c r="S94" s="6" t="s">
        <v>1257</v>
      </c>
      <c r="T94" s="6"/>
      <c r="U94" s="6"/>
      <c r="V94" s="6"/>
      <c r="W94" s="6"/>
      <c r="X94" s="6"/>
      <c r="Y94" s="6"/>
      <c r="Z94" s="6"/>
      <c r="AA94" s="6"/>
      <c r="AB94" s="6"/>
    </row>
    <row r="95">
      <c r="A95" s="7">
        <v>94.0</v>
      </c>
      <c r="B95" s="6" t="s">
        <v>991</v>
      </c>
      <c r="C95" s="6" t="s">
        <v>422</v>
      </c>
      <c r="D95" s="6" t="s">
        <v>1199</v>
      </c>
      <c r="E95" s="6" t="s">
        <v>424</v>
      </c>
      <c r="F95" s="6" t="s">
        <v>425</v>
      </c>
      <c r="G95" s="6" t="s">
        <v>1199</v>
      </c>
      <c r="H95" s="6" t="s">
        <v>1257</v>
      </c>
      <c r="I95" s="6"/>
      <c r="J95" s="6"/>
      <c r="K95" s="2" t="str">
        <f>IFERROR(__xludf.DUMMYFUNCTION("GOOGLETRANSLATE(A95,""en"",""ur"")"),"94")</f>
        <v>94</v>
      </c>
      <c r="L95" s="2" t="str">
        <f>IFERROR(__xludf.DUMMYFUNCTION("GOOGLETRANSLATE(B95,""en"",""ur"")"),"واقعہ کی ظاہری ترتیب کیا ہے؟")</f>
        <v>واقعہ کی ظاہری ترتیب کیا ہے؟</v>
      </c>
      <c r="M95" s="2" t="str">
        <f>IFERROR(__xludf.DUMMYFUNCTION("GOOGLETRANSLATE(C95,""en"",""ur"")"),"ایک انڈور اسٹیڈیم")</f>
        <v>ایک انڈور اسٹیڈیم</v>
      </c>
      <c r="N95" s="2" t="str">
        <f>IFERROR(__xludf.DUMMYFUNCTION("GOOGLETRANSLATE(D95,""en"",""ur"")"),"ایک دیہی، بیرونی گندگی کا ایک بڑا ہجوم")</f>
        <v>ایک دیہی، بیرونی گندگی کا ایک بڑا ہجوم</v>
      </c>
      <c r="O95" s="2" t="str">
        <f>IFERROR(__xludf.DUMMYFUNCTION("GOOGLETRANSLATE(E95,""en"",""ur"")"),"شہر کی مصروف گلی")</f>
        <v>شہر کی مصروف گلی</v>
      </c>
      <c r="P95" s="2" t="str">
        <f>IFERROR(__xludf.DUMMYFUNCTION("GOOGLETRANSLATE(F95,""en"",""ur"")"),"گھاس کا میدان")</f>
        <v>گھاس کا میدان</v>
      </c>
      <c r="Q95" s="6" t="s">
        <v>1200</v>
      </c>
      <c r="R95" s="6" t="str">
        <f>IFERROR(__xludf.DUMMYFUNCTION("""COMPUTED_VALUE"""),"ایک ریسلنگ میچ میں دو آدمی")</f>
        <v>ایک ریسلنگ میچ میں دو آدمی</v>
      </c>
      <c r="S95" s="6" t="s">
        <v>1257</v>
      </c>
      <c r="T95" s="6"/>
      <c r="U95" s="6"/>
      <c r="V95" s="6"/>
      <c r="W95" s="6"/>
      <c r="X95" s="6"/>
      <c r="Y95" s="6"/>
      <c r="Z95" s="6"/>
      <c r="AA95" s="6"/>
      <c r="AB95" s="6"/>
    </row>
    <row r="96">
      <c r="A96" s="7">
        <v>95.0</v>
      </c>
      <c r="B96" s="6" t="s">
        <v>1201</v>
      </c>
      <c r="C96" s="6" t="s">
        <v>47</v>
      </c>
      <c r="D96" s="6" t="s">
        <v>48</v>
      </c>
      <c r="E96" s="6" t="s">
        <v>49</v>
      </c>
      <c r="F96" s="6" t="s">
        <v>50</v>
      </c>
      <c r="G96" s="6" t="s">
        <v>49</v>
      </c>
      <c r="H96" s="6" t="s">
        <v>1257</v>
      </c>
      <c r="I96" s="6"/>
      <c r="J96" s="6"/>
      <c r="K96" s="2" t="str">
        <f>IFERROR(__xludf.DUMMYFUNCTION("GOOGLETRANSLATE(A96,""en"",""ur"")"),"95")</f>
        <v>95</v>
      </c>
      <c r="L96" s="2" t="str">
        <f>IFERROR(__xludf.DUMMYFUNCTION("GOOGLETRANSLATE(B96,""en"",""ur"")"),"پہلوانوں کے ظاہری جذبات کیا ہیں؟")</f>
        <v>پہلوانوں کے ظاہری جذبات کیا ہیں؟</v>
      </c>
      <c r="M96" s="2" t="str">
        <f>IFERROR(__xludf.DUMMYFUNCTION("GOOGLETRANSLATE(C96,""en"",""ur"")"),"پرسکون اور پر سکون")</f>
        <v>پرسکون اور پر سکون</v>
      </c>
      <c r="N96" s="2" t="str">
        <f>IFERROR(__xludf.DUMMYFUNCTION("GOOGLETRANSLATE(D96,""en"",""ur"")"),"خوف زدہ اور بے چین")</f>
        <v>خوف زدہ اور بے چین</v>
      </c>
      <c r="O96" s="2" t="str">
        <f>IFERROR(__xludf.DUMMYFUNCTION("GOOGLETRANSLATE(E96,""en"",""ur"")"),"کشیدہ اور شدید")</f>
        <v>کشیدہ اور شدید</v>
      </c>
      <c r="P96" s="2" t="str">
        <f>IFERROR(__xludf.DUMMYFUNCTION("GOOGLETRANSLATE(F96,""en"",""ur"")"),"خوش اور مسکراتے ہوئے۔")</f>
        <v>خوش اور مسکراتے ہوئے۔</v>
      </c>
      <c r="Q96" s="6" t="s">
        <v>51</v>
      </c>
      <c r="R96" s="6" t="str">
        <f>IFERROR(__xludf.DUMMYFUNCTION("""COMPUTED_VALUE"""),"ایک ریسلنگ میچ میں دو آدمی")</f>
        <v>ایک ریسلنگ میچ میں دو آدمی</v>
      </c>
      <c r="S96" s="6" t="s">
        <v>1257</v>
      </c>
      <c r="T96" s="6"/>
      <c r="U96" s="6"/>
      <c r="V96" s="6"/>
      <c r="W96" s="6"/>
      <c r="X96" s="6"/>
      <c r="Y96" s="6"/>
      <c r="Z96" s="6"/>
      <c r="AA96" s="6"/>
      <c r="AB96" s="6"/>
    </row>
    <row r="97">
      <c r="A97" s="7">
        <v>96.0</v>
      </c>
      <c r="B97" s="6" t="s">
        <v>1218</v>
      </c>
      <c r="C97" s="6" t="s">
        <v>429</v>
      </c>
      <c r="D97" s="6" t="s">
        <v>430</v>
      </c>
      <c r="E97" s="6" t="s">
        <v>431</v>
      </c>
      <c r="F97" s="6" t="s">
        <v>432</v>
      </c>
      <c r="G97" s="6" t="s">
        <v>430</v>
      </c>
      <c r="H97" s="6" t="s">
        <v>1257</v>
      </c>
      <c r="I97" s="6"/>
      <c r="J97" s="6"/>
      <c r="K97" s="2" t="str">
        <f>IFERROR(__xludf.DUMMYFUNCTION("GOOGLETRANSLATE(A97,""en"",""ur"")"),"96")</f>
        <v>96</v>
      </c>
      <c r="L97" s="2" t="str">
        <f>IFERROR(__xludf.DUMMYFUNCTION("GOOGLETRANSLATE(B97,""en"",""ur"")"),"پہلوانوں کی ظاہری جسمانی پوزیشن کیا ہے؟")</f>
        <v>پہلوانوں کی ظاہری جسمانی پوزیشن کیا ہے؟</v>
      </c>
      <c r="M97" s="2" t="str">
        <f>IFERROR(__xludf.DUMMYFUNCTION("GOOGLETRANSLATE(C97,""en"",""ur"")"),"سیدھا کھڑا ہونا")</f>
        <v>سیدھا کھڑا ہونا</v>
      </c>
      <c r="N97" s="2" t="str">
        <f>IFERROR(__xludf.DUMMYFUNCTION("GOOGLETRANSLATE(D97,""en"",""ur"")"),"کم، متحرک موقف میں")</f>
        <v>کم، متحرک موقف میں</v>
      </c>
      <c r="O97" s="2" t="str">
        <f>IFERROR(__xludf.DUMMYFUNCTION("GOOGLETRANSLATE(E97,""en"",""ur"")"),"زمین پر لیٹنا")</f>
        <v>زمین پر لیٹنا</v>
      </c>
      <c r="P97" s="2" t="str">
        <f>IFERROR(__xludf.DUMMYFUNCTION("GOOGLETRANSLATE(F97,""en"",""ur"")"),"بیٹھا ہوا")</f>
        <v>بیٹھا ہوا</v>
      </c>
      <c r="Q97" s="6" t="s">
        <v>433</v>
      </c>
      <c r="R97" s="6" t="str">
        <f>IFERROR(__xludf.DUMMYFUNCTION("""COMPUTED_VALUE"""),"ایک ریسلنگ میچ میں دو آدمی")</f>
        <v>ایک ریسلنگ میچ میں دو آدمی</v>
      </c>
      <c r="S97" s="6" t="s">
        <v>1257</v>
      </c>
      <c r="T97" s="6"/>
      <c r="U97" s="6"/>
      <c r="V97" s="6"/>
      <c r="W97" s="6"/>
      <c r="X97" s="6"/>
      <c r="Y97" s="6"/>
      <c r="Z97" s="6"/>
      <c r="AA97" s="6"/>
      <c r="AB97" s="6"/>
    </row>
    <row r="98">
      <c r="A98" s="7">
        <v>97.0</v>
      </c>
      <c r="B98" s="6" t="s">
        <v>434</v>
      </c>
      <c r="C98" s="6" t="s">
        <v>435</v>
      </c>
      <c r="D98" s="6" t="s">
        <v>436</v>
      </c>
      <c r="E98" s="6" t="s">
        <v>1203</v>
      </c>
      <c r="F98" s="6" t="s">
        <v>438</v>
      </c>
      <c r="G98" s="6" t="s">
        <v>1203</v>
      </c>
      <c r="H98" s="6" t="s">
        <v>1257</v>
      </c>
      <c r="I98" s="6"/>
      <c r="J98" s="6"/>
      <c r="K98" s="2" t="str">
        <f>IFERROR(__xludf.DUMMYFUNCTION("GOOGLETRANSLATE(A98,""en"",""ur"")"),"97")</f>
        <v>97</v>
      </c>
      <c r="L98" s="2" t="str">
        <f>IFERROR(__xludf.DUMMYFUNCTION("GOOGLETRANSLATE(B98,""en"",""ur"")"),"پس منظر میں ہجوم کی سب سے نمایاں خصوصیت کیا ہے؟")</f>
        <v>پس منظر میں ہجوم کی سب سے نمایاں خصوصیت کیا ہے؟</v>
      </c>
      <c r="M98" s="2" t="str">
        <f>IFERROR(__xludf.DUMMYFUNCTION("GOOGLETRANSLATE(C98,""en"",""ur"")"),"وہ بھاگ رہے ہیں۔")</f>
        <v>وہ بھاگ رہے ہیں۔</v>
      </c>
      <c r="N98" s="2" t="str">
        <f>IFERROR(__xludf.DUMMYFUNCTION("GOOGLETRANSLATE(D98,""en"",""ur"")"),"وہ خاموش بیٹھے ہیں۔")</f>
        <v>وہ خاموش بیٹھے ہیں۔</v>
      </c>
      <c r="O98" s="2" t="str">
        <f>IFERROR(__xludf.DUMMYFUNCTION("GOOGLETRANSLATE(E98,""en"",""ur"")"),"وہ باڑ کے پیچھے سے میچ دیکھ رہے ہیں۔")</f>
        <v>وہ باڑ کے پیچھے سے میچ دیکھ رہے ہیں۔</v>
      </c>
      <c r="P98" s="2" t="str">
        <f>IFERROR(__xludf.DUMMYFUNCTION("GOOGLETRANSLATE(F98,""en"",""ur"")"),"وہ سب ایک اسٹیج پر کھڑے ہیں۔")</f>
        <v>وہ سب ایک اسٹیج پر کھڑے ہیں۔</v>
      </c>
      <c r="Q98" s="6" t="s">
        <v>1204</v>
      </c>
      <c r="R98" s="6" t="str">
        <f>IFERROR(__xludf.DUMMYFUNCTION("""COMPUTED_VALUE"""),"ایک ریسلنگ میچ میں دو آدمی")</f>
        <v>ایک ریسلنگ میچ میں دو آدمی</v>
      </c>
      <c r="S98" s="6" t="s">
        <v>1257</v>
      </c>
      <c r="T98" s="6"/>
      <c r="U98" s="6"/>
      <c r="V98" s="6"/>
      <c r="W98" s="6"/>
      <c r="X98" s="6"/>
      <c r="Y98" s="6"/>
      <c r="Z98" s="6"/>
      <c r="AA98" s="6"/>
      <c r="AB98" s="6"/>
    </row>
    <row r="99">
      <c r="A99" s="7">
        <v>98.0</v>
      </c>
      <c r="B99" s="6" t="s">
        <v>440</v>
      </c>
      <c r="C99" s="6" t="s">
        <v>441</v>
      </c>
      <c r="D99" s="6" t="s">
        <v>442</v>
      </c>
      <c r="E99" s="6" t="s">
        <v>512</v>
      </c>
      <c r="F99" s="6" t="s">
        <v>444</v>
      </c>
      <c r="G99" s="6" t="s">
        <v>512</v>
      </c>
      <c r="H99" s="6" t="s">
        <v>1257</v>
      </c>
      <c r="I99" s="6"/>
      <c r="J99" s="6"/>
      <c r="K99" s="2" t="str">
        <f>IFERROR(__xludf.DUMMYFUNCTION("GOOGLETRANSLATE(A99,""en"",""ur"")"),"98")</f>
        <v>98</v>
      </c>
      <c r="L99" s="2" t="str">
        <f>IFERROR(__xludf.DUMMYFUNCTION("GOOGLETRANSLATE(B99,""en"",""ur"")"),"زمین کی ظاہری حالت کیا ہے؟")</f>
        <v>زمین کی ظاہری حالت کیا ہے؟</v>
      </c>
      <c r="M99" s="2" t="str">
        <f>IFERROR(__xludf.DUMMYFUNCTION("GOOGLETRANSLATE(C99,""en"",""ur"")"),"یہ ایک پکی سطح ہے۔")</f>
        <v>یہ ایک پکی سطح ہے۔</v>
      </c>
      <c r="N99" s="2" t="str">
        <f>IFERROR(__xludf.DUMMYFUNCTION("GOOGLETRANSLATE(D99,""en"",""ur"")"),"یہ ایک کیچڑ والا میدان ہے۔")</f>
        <v>یہ ایک کیچڑ والا میدان ہے۔</v>
      </c>
      <c r="O99" s="2" t="str">
        <f>IFERROR(__xludf.DUMMYFUNCTION("GOOGLETRANSLATE(E99,""en"",""ur"")"),"یہ ایک ریتلی یا گندگی کی سطح ہے۔")</f>
        <v>یہ ایک ریتلی یا گندگی کی سطح ہے۔</v>
      </c>
      <c r="P99" s="2" t="str">
        <f>IFERROR(__xludf.DUMMYFUNCTION("GOOGLETRANSLATE(F99,""en"",""ur"")"),"یہ ایک گھاس والی سطح ہے۔")</f>
        <v>یہ ایک گھاس والی سطح ہے۔</v>
      </c>
      <c r="Q99" s="6" t="s">
        <v>1219</v>
      </c>
      <c r="R99" s="6" t="str">
        <f>IFERROR(__xludf.DUMMYFUNCTION("""COMPUTED_VALUE"""),"ایک ریسلنگ میچ میں دو آدمی")</f>
        <v>ایک ریسلنگ میچ میں دو آدمی</v>
      </c>
      <c r="S99" s="6" t="s">
        <v>1257</v>
      </c>
      <c r="T99" s="6"/>
      <c r="U99" s="6"/>
      <c r="V99" s="6"/>
      <c r="W99" s="6"/>
      <c r="X99" s="6"/>
      <c r="Y99" s="6"/>
      <c r="Z99" s="6"/>
      <c r="AA99" s="6"/>
      <c r="AB99" s="6"/>
    </row>
    <row r="100">
      <c r="A100" s="7">
        <v>99.0</v>
      </c>
      <c r="B100" s="6" t="s">
        <v>1205</v>
      </c>
      <c r="C100" s="6" t="s">
        <v>1206</v>
      </c>
      <c r="D100" s="6" t="s">
        <v>1207</v>
      </c>
      <c r="E100" s="6" t="s">
        <v>1208</v>
      </c>
      <c r="F100" s="6" t="s">
        <v>449</v>
      </c>
      <c r="G100" s="6" t="s">
        <v>1208</v>
      </c>
      <c r="H100" s="6" t="s">
        <v>1257</v>
      </c>
      <c r="I100" s="6"/>
      <c r="J100" s="6"/>
      <c r="K100" s="2" t="str">
        <f>IFERROR(__xludf.DUMMYFUNCTION("GOOGLETRANSLATE(A100,""en"",""ur"")"),"99")</f>
        <v>99</v>
      </c>
      <c r="L100" s="2" t="str">
        <f>IFERROR(__xludf.DUMMYFUNCTION("GOOGLETRANSLATE(B100,""en"",""ur"")"),"لمبی اسکرٹس کا بنیادی مقصد کیا ہے؟")</f>
        <v>لمبی اسکرٹس کا بنیادی مقصد کیا ہے؟</v>
      </c>
      <c r="M100" s="2" t="str">
        <f>IFERROR(__xludf.DUMMYFUNCTION("GOOGLETRANSLATE(C100,""en"",""ur"")"),"پہلوانوں کی ٹانگوں کی حفاظت کے لیے")</f>
        <v>پہلوانوں کی ٹانگوں کی حفاظت کے لیے</v>
      </c>
      <c r="N100" s="2" t="str">
        <f>IFERROR(__xludf.DUMMYFUNCTION("GOOGLETRANSLATE(D100,""en"",""ur"")"),"پہلوانوں کو مزید چست بنانے کے لیے")</f>
        <v>پہلوانوں کو مزید چست بنانے کے لیے</v>
      </c>
      <c r="O100" s="2" t="str">
        <f>IFERROR(__xludf.DUMMYFUNCTION("GOOGLETRANSLATE(E100,""en"",""ur"")"),"روایتی لباس اور لڑائی کے دوران گرفت کے لیے")</f>
        <v>روایتی لباس اور لڑائی کے دوران گرفت کے لیے</v>
      </c>
      <c r="P100" s="2" t="str">
        <f>IFERROR(__xludf.DUMMYFUNCTION("GOOGLETRANSLATE(F100,""en"",""ur"")"),"صرف سجاوٹ کے لیے")</f>
        <v>صرف سجاوٹ کے لیے</v>
      </c>
      <c r="Q100" s="6" t="s">
        <v>1209</v>
      </c>
      <c r="R100" s="6" t="str">
        <f>IFERROR(__xludf.DUMMYFUNCTION("""COMPUTED_VALUE"""),"ایک ریسلنگ میچ میں دو آدمی")</f>
        <v>ایک ریسلنگ میچ میں دو آدمی</v>
      </c>
      <c r="S100" s="6" t="s">
        <v>1257</v>
      </c>
      <c r="T100" s="6"/>
      <c r="U100" s="6"/>
      <c r="V100" s="6"/>
      <c r="W100" s="6"/>
      <c r="X100" s="6"/>
      <c r="Y100" s="6"/>
      <c r="Z100" s="6"/>
      <c r="AA100" s="6"/>
      <c r="AB100" s="6"/>
    </row>
    <row r="101">
      <c r="A101" s="7">
        <v>100.0</v>
      </c>
      <c r="B101" s="6" t="s">
        <v>260</v>
      </c>
      <c r="C101" s="6" t="s">
        <v>261</v>
      </c>
      <c r="D101" s="6" t="s">
        <v>262</v>
      </c>
      <c r="E101" s="6" t="s">
        <v>1210</v>
      </c>
      <c r="F101" s="6" t="s">
        <v>264</v>
      </c>
      <c r="G101" s="6" t="s">
        <v>1210</v>
      </c>
      <c r="H101" s="6" t="s">
        <v>1257</v>
      </c>
      <c r="I101" s="6"/>
      <c r="J101" s="6"/>
      <c r="K101" s="2" t="str">
        <f>IFERROR(__xludf.DUMMYFUNCTION("GOOGLETRANSLATE(A101,""en"",""ur"")"),"100")</f>
        <v>100</v>
      </c>
      <c r="L101" s="2" t="str">
        <f>IFERROR(__xludf.DUMMYFUNCTION("GOOGLETRANSLATE(B101,""en"",""ur"")"),"تصویر میں ایکشن ایک ایسا انداز تجویز کرتا ہے جو اس بات پر زور دیتا ہے...")</f>
        <v>تصویر میں ایکشن ایک ایسا انداز تجویز کرتا ہے جو اس بات پر زور دیتا ہے...</v>
      </c>
      <c r="M101" s="2" t="str">
        <f>IFERROR(__xludf.DUMMYFUNCTION("GOOGLETRANSLATE(C101,""en"",""ur"")"),"روانی اور قلابازیاں")</f>
        <v>روانی اور قلابازیاں</v>
      </c>
      <c r="N101" s="2" t="str">
        <f>IFERROR(__xludf.DUMMYFUNCTION("GOOGLETRANSLATE(D101,""en"",""ur"")"),"زمینی لڑائی اور گرفت")</f>
        <v>زمینی لڑائی اور گرفت</v>
      </c>
      <c r="O101" s="2" t="str">
        <f>IFERROR(__xludf.DUMMYFUNCTION("GOOGLETRANSLATE(E101,""en"",""ur"")"),"وحشیانہ طاقت اور ٹیک ڈاؤن")</f>
        <v>وحشیانہ طاقت اور ٹیک ڈاؤن</v>
      </c>
      <c r="P101" s="2" t="str">
        <f>IFERROR(__xludf.DUMMYFUNCTION("GOOGLETRANSLATE(F101,""en"",""ur"")"),"سادہ، لکیری حرکات")</f>
        <v>سادہ، لکیری حرکات</v>
      </c>
      <c r="Q101" s="6" t="s">
        <v>1211</v>
      </c>
      <c r="R101" s="6" t="str">
        <f>IFERROR(__xludf.DUMMYFUNCTION("""COMPUTED_VALUE"""),"ایک ریسلنگ میچ میں دو آدمی")</f>
        <v>ایک ریسلنگ میچ میں دو آدمی</v>
      </c>
      <c r="S101" s="6" t="s">
        <v>1257</v>
      </c>
      <c r="T101" s="6"/>
      <c r="U101" s="6"/>
      <c r="V101" s="6"/>
      <c r="W101" s="6"/>
      <c r="X101" s="6"/>
      <c r="Y101" s="6"/>
      <c r="Z101" s="6"/>
      <c r="AA101" s="6"/>
      <c r="AB101" s="6"/>
    </row>
    <row r="102">
      <c r="A102" s="7">
        <v>101.0</v>
      </c>
      <c r="B102" s="6" t="s">
        <v>1259</v>
      </c>
      <c r="C102" s="6" t="s">
        <v>405</v>
      </c>
      <c r="D102" s="6" t="s">
        <v>406</v>
      </c>
      <c r="E102" s="6" t="s">
        <v>1184</v>
      </c>
      <c r="F102" s="6" t="s">
        <v>1185</v>
      </c>
      <c r="G102" s="6" t="s">
        <v>1184</v>
      </c>
      <c r="H102" s="6" t="s">
        <v>1260</v>
      </c>
      <c r="I102" s="6"/>
      <c r="J102" s="6"/>
      <c r="K102" s="2" t="str">
        <f>IFERROR(__xludf.DUMMYFUNCTION("GOOGLETRANSLATE(A102,""en"",""ur"")"),"101")</f>
        <v>101</v>
      </c>
      <c r="L102" s="2" t="str">
        <f>IFERROR(__xludf.DUMMYFUNCTION("GOOGLETRANSLATE(B102,""en"",""ur"")"),"ملاخرہ_21 میں دکھایا گیا اصل عمل کیا ہے؟")</f>
        <v>ملاخرہ_21 میں دکھایا گیا اصل عمل کیا ہے؟</v>
      </c>
      <c r="M102" s="2" t="str">
        <f>IFERROR(__xludf.DUMMYFUNCTION("GOOGLETRANSLATE(C102,""en"",""ur"")"),"دو آدمی تلواروں سے لڑ رہے ہیں۔")</f>
        <v>دو آدمی تلواروں سے لڑ رہے ہیں۔</v>
      </c>
      <c r="N102" s="2" t="str">
        <f>IFERROR(__xludf.DUMMYFUNCTION("GOOGLETRANSLATE(D102,""en"",""ur"")"),"دو آدمی ناچ رہے ہیں۔")</f>
        <v>دو آدمی ناچ رہے ہیں۔</v>
      </c>
      <c r="O102" s="2" t="str">
        <f>IFERROR(__xludf.DUMMYFUNCTION("GOOGLETRANSLATE(E102,""en"",""ur"")"),"ایک ریسلنگ میچ میں دو آدمی")</f>
        <v>ایک ریسلنگ میچ میں دو آدمی</v>
      </c>
      <c r="P102" s="2" t="str">
        <f>IFERROR(__xludf.DUMMYFUNCTION("GOOGLETRANSLATE(F102,""en"",""ur"")"),"دو آدمی بھاگ رہے ہیں۔")</f>
        <v>دو آدمی بھاگ رہے ہیں۔</v>
      </c>
      <c r="Q102" s="6" t="s">
        <v>1214</v>
      </c>
      <c r="R102" s="6" t="str">
        <f>IFERROR(__xludf.DUMMYFUNCTION("""COMPUTED_VALUE"""),"ایک ریسلنگ میچ میں دو آدمی")</f>
        <v>ایک ریسلنگ میچ میں دو آدمی</v>
      </c>
      <c r="S102" s="6" t="s">
        <v>1260</v>
      </c>
      <c r="T102" s="6"/>
      <c r="U102" s="6"/>
      <c r="V102" s="6"/>
      <c r="W102" s="6"/>
      <c r="X102" s="6"/>
      <c r="Y102" s="6"/>
      <c r="Z102" s="6"/>
      <c r="AA102" s="6"/>
      <c r="AB102" s="6"/>
    </row>
    <row r="103">
      <c r="A103" s="7">
        <v>102.0</v>
      </c>
      <c r="B103" s="6" t="s">
        <v>1215</v>
      </c>
      <c r="C103" s="6" t="s">
        <v>488</v>
      </c>
      <c r="D103" s="6" t="s">
        <v>1216</v>
      </c>
      <c r="E103" s="6" t="s">
        <v>490</v>
      </c>
      <c r="F103" s="6" t="s">
        <v>246</v>
      </c>
      <c r="G103" s="6" t="s">
        <v>1216</v>
      </c>
      <c r="H103" s="6" t="s">
        <v>1260</v>
      </c>
      <c r="I103" s="6"/>
      <c r="J103" s="6"/>
      <c r="K103" s="2" t="str">
        <f>IFERROR(__xludf.DUMMYFUNCTION("GOOGLETRANSLATE(A103,""en"",""ur"")"),"102")</f>
        <v>102</v>
      </c>
      <c r="L103" s="2" t="str">
        <f>IFERROR(__xludf.DUMMYFUNCTION("GOOGLETRANSLATE(B103,""en"",""ur"")"),"پہلوانوں کے لباس کے بارے میں ایک قابل ذکر تفصیل کیا ہے؟")</f>
        <v>پہلوانوں کے لباس کے بارے میں ایک قابل ذکر تفصیل کیا ہے؟</v>
      </c>
      <c r="M103" s="2" t="str">
        <f>IFERROR(__xludf.DUMMYFUNCTION("GOOGLETRANSLATE(C103,""en"",""ur"")"),"انہوں نے بکتر کا پورا سوٹ پہن رکھا ہے۔")</f>
        <v>انہوں نے بکتر کا پورا سوٹ پہن رکھا ہے۔</v>
      </c>
      <c r="N103" s="2" t="str">
        <f>IFERROR(__xludf.DUMMYFUNCTION("GOOGLETRANSLATE(D103,""en"",""ur"")"),"وہ سارونگ یا پیٹرن والا اسکرٹ پہنے ہوئے ہیں۔")</f>
        <v>وہ سارونگ یا پیٹرن والا اسکرٹ پہنے ہوئے ہیں۔</v>
      </c>
      <c r="O103" s="2" t="str">
        <f>IFERROR(__xludf.DUMMYFUNCTION("GOOGLETRANSLATE(E103,""en"",""ur"")"),"انہوں نے شارٹس اور ٹی شرٹ پہن رکھی ہیں۔")</f>
        <v>انہوں نے شارٹس اور ٹی شرٹ پہن رکھی ہیں۔</v>
      </c>
      <c r="P103" s="2" t="str">
        <f>IFERROR(__xludf.DUMMYFUNCTION("GOOGLETRANSLATE(F103,""en"",""ur"")"),"انہوں نے کوئی لباس نہیں پہنا ہوا ہے۔")</f>
        <v>انہوں نے کوئی لباس نہیں پہنا ہوا ہے۔</v>
      </c>
      <c r="Q103" s="6" t="s">
        <v>1217</v>
      </c>
      <c r="R103" s="6" t="str">
        <f>IFERROR(__xludf.DUMMYFUNCTION("""COMPUTED_VALUE"""),"ایک ریسلنگ میچ میں دو آدمی")</f>
        <v>ایک ریسلنگ میچ میں دو آدمی</v>
      </c>
      <c r="S103" s="6" t="s">
        <v>1260</v>
      </c>
      <c r="T103" s="6"/>
      <c r="U103" s="6"/>
      <c r="V103" s="6"/>
      <c r="W103" s="6"/>
      <c r="X103" s="6"/>
      <c r="Y103" s="6"/>
      <c r="Z103" s="6"/>
      <c r="AA103" s="6"/>
      <c r="AB103" s="6"/>
    </row>
    <row r="104">
      <c r="A104" s="7">
        <v>103.0</v>
      </c>
      <c r="B104" s="6" t="s">
        <v>1193</v>
      </c>
      <c r="C104" s="6" t="s">
        <v>1194</v>
      </c>
      <c r="D104" s="6" t="s">
        <v>1195</v>
      </c>
      <c r="E104" s="6" t="s">
        <v>1196</v>
      </c>
      <c r="F104" s="6" t="s">
        <v>1197</v>
      </c>
      <c r="G104" s="6" t="s">
        <v>1196</v>
      </c>
      <c r="H104" s="6" t="s">
        <v>1260</v>
      </c>
      <c r="I104" s="6"/>
      <c r="J104" s="6"/>
      <c r="K104" s="2" t="str">
        <f>IFERROR(__xludf.DUMMYFUNCTION("GOOGLETRANSLATE(A104,""en"",""ur"")"),"103")</f>
        <v>103</v>
      </c>
      <c r="L104" s="2" t="str">
        <f>IFERROR(__xludf.DUMMYFUNCTION("GOOGLETRANSLATE(B104,""en"",""ur"")"),"کشتی کا ظاہری مقصد کیا ہے؟")</f>
        <v>کشتی کا ظاہری مقصد کیا ہے؟</v>
      </c>
      <c r="M104" s="2" t="str">
        <f>IFERROR(__xludf.DUMMYFUNCTION("GOOGLETRANSLATE(C104,""en"",""ur"")"),"ایک رسمی رقص")</f>
        <v>ایک رسمی رقص</v>
      </c>
      <c r="N104" s="2" t="str">
        <f>IFERROR(__xludf.DUMMYFUNCTION("GOOGLETRANSLATE(D104,""en"",""ur"")"),"ایک دوستانہ مظاہرہ")</f>
        <v>ایک دوستانہ مظاہرہ</v>
      </c>
      <c r="O104" s="2" t="str">
        <f>IFERROR(__xludf.DUMMYFUNCTION("GOOGLETRANSLATE(E104,""en"",""ur"")"),"ٹیک ڈاؤن کے ساتھ ایک مسابقتی میچ")</f>
        <v>ٹیک ڈاؤن کے ساتھ ایک مسابقتی میچ</v>
      </c>
      <c r="P104" s="2" t="str">
        <f>IFERROR(__xludf.DUMMYFUNCTION("GOOGLETRANSLATE(F104,""en"",""ur"")"),"ایک پریکٹس سیشن")</f>
        <v>ایک پریکٹس سیشن</v>
      </c>
      <c r="Q104" s="6" t="s">
        <v>1198</v>
      </c>
      <c r="R104" s="6" t="str">
        <f>IFERROR(__xludf.DUMMYFUNCTION("""COMPUTED_VALUE"""),"ایک ریسلنگ میچ میں دو آدمی")</f>
        <v>ایک ریسلنگ میچ میں دو آدمی</v>
      </c>
      <c r="S104" s="6" t="s">
        <v>1260</v>
      </c>
      <c r="T104" s="6"/>
      <c r="U104" s="6"/>
      <c r="V104" s="6"/>
      <c r="W104" s="6"/>
      <c r="X104" s="6"/>
      <c r="Y104" s="6"/>
      <c r="Z104" s="6"/>
      <c r="AA104" s="6"/>
      <c r="AB104" s="6"/>
    </row>
    <row r="105">
      <c r="A105" s="7">
        <v>104.0</v>
      </c>
      <c r="B105" s="6" t="s">
        <v>991</v>
      </c>
      <c r="C105" s="6" t="s">
        <v>422</v>
      </c>
      <c r="D105" s="6" t="s">
        <v>1199</v>
      </c>
      <c r="E105" s="6" t="s">
        <v>424</v>
      </c>
      <c r="F105" s="6" t="s">
        <v>425</v>
      </c>
      <c r="G105" s="6" t="s">
        <v>1199</v>
      </c>
      <c r="H105" s="6" t="s">
        <v>1260</v>
      </c>
      <c r="I105" s="6"/>
      <c r="J105" s="6"/>
      <c r="K105" s="2" t="str">
        <f>IFERROR(__xludf.DUMMYFUNCTION("GOOGLETRANSLATE(A105,""en"",""ur"")"),"104")</f>
        <v>104</v>
      </c>
      <c r="L105" s="2" t="str">
        <f>IFERROR(__xludf.DUMMYFUNCTION("GOOGLETRANSLATE(B105,""en"",""ur"")"),"واقعہ کی ظاہری ترتیب کیا ہے؟")</f>
        <v>واقعہ کی ظاہری ترتیب کیا ہے؟</v>
      </c>
      <c r="M105" s="2" t="str">
        <f>IFERROR(__xludf.DUMMYFUNCTION("GOOGLETRANSLATE(C105,""en"",""ur"")"),"ایک انڈور اسٹیڈیم")</f>
        <v>ایک انڈور اسٹیڈیم</v>
      </c>
      <c r="N105" s="2" t="str">
        <f>IFERROR(__xludf.DUMMYFUNCTION("GOOGLETRANSLATE(D105,""en"",""ur"")"),"ایک دیہی، بیرونی گندگی کا ایک بڑا ہجوم")</f>
        <v>ایک دیہی، بیرونی گندگی کا ایک بڑا ہجوم</v>
      </c>
      <c r="O105" s="2" t="str">
        <f>IFERROR(__xludf.DUMMYFUNCTION("GOOGLETRANSLATE(E105,""en"",""ur"")"),"شہر کی مصروف گلی")</f>
        <v>شہر کی مصروف گلی</v>
      </c>
      <c r="P105" s="2" t="str">
        <f>IFERROR(__xludf.DUMMYFUNCTION("GOOGLETRANSLATE(F105,""en"",""ur"")"),"گھاس کا میدان")</f>
        <v>گھاس کا میدان</v>
      </c>
      <c r="Q105" s="6" t="s">
        <v>1200</v>
      </c>
      <c r="R105" s="6" t="str">
        <f>IFERROR(__xludf.DUMMYFUNCTION("""COMPUTED_VALUE"""),"ایک ریسلنگ میچ میں دو آدمی")</f>
        <v>ایک ریسلنگ میچ میں دو آدمی</v>
      </c>
      <c r="S105" s="6" t="s">
        <v>1260</v>
      </c>
      <c r="T105" s="6"/>
      <c r="U105" s="6"/>
      <c r="V105" s="6"/>
      <c r="W105" s="6"/>
      <c r="X105" s="6"/>
      <c r="Y105" s="6"/>
      <c r="Z105" s="6"/>
      <c r="AA105" s="6"/>
      <c r="AB105" s="6"/>
    </row>
    <row r="106">
      <c r="A106" s="7">
        <v>105.0</v>
      </c>
      <c r="B106" s="6" t="s">
        <v>1201</v>
      </c>
      <c r="C106" s="6" t="s">
        <v>47</v>
      </c>
      <c r="D106" s="6" t="s">
        <v>48</v>
      </c>
      <c r="E106" s="6" t="s">
        <v>49</v>
      </c>
      <c r="F106" s="6" t="s">
        <v>50</v>
      </c>
      <c r="G106" s="6" t="s">
        <v>49</v>
      </c>
      <c r="H106" s="6" t="s">
        <v>1260</v>
      </c>
      <c r="I106" s="6"/>
      <c r="J106" s="6"/>
      <c r="K106" s="2" t="str">
        <f>IFERROR(__xludf.DUMMYFUNCTION("GOOGLETRANSLATE(A106,""en"",""ur"")"),"105")</f>
        <v>105</v>
      </c>
      <c r="L106" s="2" t="str">
        <f>IFERROR(__xludf.DUMMYFUNCTION("GOOGLETRANSLATE(B106,""en"",""ur"")"),"پہلوانوں کے ظاہری جذبات کیا ہیں؟")</f>
        <v>پہلوانوں کے ظاہری جذبات کیا ہیں؟</v>
      </c>
      <c r="M106" s="2" t="str">
        <f>IFERROR(__xludf.DUMMYFUNCTION("GOOGLETRANSLATE(C106,""en"",""ur"")"),"پرسکون اور پر سکون")</f>
        <v>پرسکون اور پر سکون</v>
      </c>
      <c r="N106" s="2" t="str">
        <f>IFERROR(__xludf.DUMMYFUNCTION("GOOGLETRANSLATE(D106,""en"",""ur"")"),"خوف زدہ اور بے چین")</f>
        <v>خوف زدہ اور بے چین</v>
      </c>
      <c r="O106" s="2" t="str">
        <f>IFERROR(__xludf.DUMMYFUNCTION("GOOGLETRANSLATE(E106,""en"",""ur"")"),"کشیدہ اور شدید")</f>
        <v>کشیدہ اور شدید</v>
      </c>
      <c r="P106" s="2" t="str">
        <f>IFERROR(__xludf.DUMMYFUNCTION("GOOGLETRANSLATE(F106,""en"",""ur"")"),"خوش اور مسکراتے ہوئے۔")</f>
        <v>خوش اور مسکراتے ہوئے۔</v>
      </c>
      <c r="Q106" s="6" t="s">
        <v>51</v>
      </c>
      <c r="R106" s="6" t="str">
        <f>IFERROR(__xludf.DUMMYFUNCTION("""COMPUTED_VALUE"""),"ایک ریسلنگ میچ میں دو آدمی")</f>
        <v>ایک ریسلنگ میچ میں دو آدمی</v>
      </c>
      <c r="S106" s="6" t="s">
        <v>1260</v>
      </c>
      <c r="T106" s="6"/>
      <c r="U106" s="6"/>
      <c r="V106" s="6"/>
      <c r="W106" s="6"/>
      <c r="X106" s="6"/>
      <c r="Y106" s="6"/>
      <c r="Z106" s="6"/>
      <c r="AA106" s="6"/>
      <c r="AB106" s="6"/>
    </row>
    <row r="107">
      <c r="A107" s="7">
        <v>106.0</v>
      </c>
      <c r="B107" s="6" t="s">
        <v>1218</v>
      </c>
      <c r="C107" s="6" t="s">
        <v>429</v>
      </c>
      <c r="D107" s="6" t="s">
        <v>430</v>
      </c>
      <c r="E107" s="6" t="s">
        <v>431</v>
      </c>
      <c r="F107" s="6" t="s">
        <v>432</v>
      </c>
      <c r="G107" s="6" t="s">
        <v>430</v>
      </c>
      <c r="H107" s="6" t="s">
        <v>1260</v>
      </c>
      <c r="I107" s="6"/>
      <c r="J107" s="6"/>
      <c r="K107" s="2" t="str">
        <f>IFERROR(__xludf.DUMMYFUNCTION("GOOGLETRANSLATE(A107,""en"",""ur"")"),"106")</f>
        <v>106</v>
      </c>
      <c r="L107" s="2" t="str">
        <f>IFERROR(__xludf.DUMMYFUNCTION("GOOGLETRANSLATE(B107,""en"",""ur"")"),"پہلوانوں کی ظاہری جسمانی پوزیشن کیا ہے؟")</f>
        <v>پہلوانوں کی ظاہری جسمانی پوزیشن کیا ہے؟</v>
      </c>
      <c r="M107" s="2" t="str">
        <f>IFERROR(__xludf.DUMMYFUNCTION("GOOGLETRANSLATE(C107,""en"",""ur"")"),"سیدھا کھڑا ہونا")</f>
        <v>سیدھا کھڑا ہونا</v>
      </c>
      <c r="N107" s="2" t="str">
        <f>IFERROR(__xludf.DUMMYFUNCTION("GOOGLETRANSLATE(D107,""en"",""ur"")"),"کم، متحرک موقف میں")</f>
        <v>کم، متحرک موقف میں</v>
      </c>
      <c r="O107" s="2" t="str">
        <f>IFERROR(__xludf.DUMMYFUNCTION("GOOGLETRANSLATE(E107,""en"",""ur"")"),"زمین پر لیٹنا")</f>
        <v>زمین پر لیٹنا</v>
      </c>
      <c r="P107" s="2" t="str">
        <f>IFERROR(__xludf.DUMMYFUNCTION("GOOGLETRANSLATE(F107,""en"",""ur"")"),"بیٹھا ہوا")</f>
        <v>بیٹھا ہوا</v>
      </c>
      <c r="Q107" s="6" t="s">
        <v>433</v>
      </c>
      <c r="R107" s="6" t="str">
        <f>IFERROR(__xludf.DUMMYFUNCTION("""COMPUTED_VALUE"""),"ایک ریسلنگ میچ میں دو آدمی")</f>
        <v>ایک ریسلنگ میچ میں دو آدمی</v>
      </c>
      <c r="S107" s="6" t="s">
        <v>1260</v>
      </c>
      <c r="T107" s="6"/>
      <c r="U107" s="6"/>
      <c r="V107" s="6"/>
      <c r="W107" s="6"/>
      <c r="X107" s="6"/>
      <c r="Y107" s="6"/>
      <c r="Z107" s="6"/>
      <c r="AA107" s="6"/>
      <c r="AB107" s="6"/>
    </row>
    <row r="108">
      <c r="A108" s="7">
        <v>107.0</v>
      </c>
      <c r="B108" s="6" t="s">
        <v>434</v>
      </c>
      <c r="C108" s="6" t="s">
        <v>435</v>
      </c>
      <c r="D108" s="6" t="s">
        <v>436</v>
      </c>
      <c r="E108" s="6" t="s">
        <v>1203</v>
      </c>
      <c r="F108" s="6" t="s">
        <v>438</v>
      </c>
      <c r="G108" s="6" t="s">
        <v>1203</v>
      </c>
      <c r="H108" s="6" t="s">
        <v>1260</v>
      </c>
      <c r="I108" s="6"/>
      <c r="J108" s="6"/>
      <c r="K108" s="2" t="str">
        <f>IFERROR(__xludf.DUMMYFUNCTION("GOOGLETRANSLATE(A108,""en"",""ur"")"),"107")</f>
        <v>107</v>
      </c>
      <c r="L108" s="2" t="str">
        <f>IFERROR(__xludf.DUMMYFUNCTION("GOOGLETRANSLATE(B108,""en"",""ur"")"),"پس منظر میں ہجوم کی سب سے نمایاں خصوصیت کیا ہے؟")</f>
        <v>پس منظر میں ہجوم کی سب سے نمایاں خصوصیت کیا ہے؟</v>
      </c>
      <c r="M108" s="2" t="str">
        <f>IFERROR(__xludf.DUMMYFUNCTION("GOOGLETRANSLATE(C108,""en"",""ur"")"),"وہ بھاگ رہے ہیں۔")</f>
        <v>وہ بھاگ رہے ہیں۔</v>
      </c>
      <c r="N108" s="2" t="str">
        <f>IFERROR(__xludf.DUMMYFUNCTION("GOOGLETRANSLATE(D108,""en"",""ur"")"),"وہ خاموش بیٹھے ہیں۔")</f>
        <v>وہ خاموش بیٹھے ہیں۔</v>
      </c>
      <c r="O108" s="2" t="str">
        <f>IFERROR(__xludf.DUMMYFUNCTION("GOOGLETRANSLATE(E108,""en"",""ur"")"),"وہ باڑ کے پیچھے سے میچ دیکھ رہے ہیں۔")</f>
        <v>وہ باڑ کے پیچھے سے میچ دیکھ رہے ہیں۔</v>
      </c>
      <c r="P108" s="2" t="str">
        <f>IFERROR(__xludf.DUMMYFUNCTION("GOOGLETRANSLATE(F108,""en"",""ur"")"),"وہ سب ایک اسٹیج پر کھڑے ہیں۔")</f>
        <v>وہ سب ایک اسٹیج پر کھڑے ہیں۔</v>
      </c>
      <c r="Q108" s="6" t="s">
        <v>1204</v>
      </c>
      <c r="R108" s="6" t="str">
        <f>IFERROR(__xludf.DUMMYFUNCTION("""COMPUTED_VALUE"""),"ایک ریسلنگ میچ میں دو آدمی")</f>
        <v>ایک ریسلنگ میچ میں دو آدمی</v>
      </c>
      <c r="S108" s="6" t="s">
        <v>1260</v>
      </c>
      <c r="T108" s="6"/>
      <c r="U108" s="6"/>
      <c r="V108" s="6"/>
      <c r="W108" s="6"/>
      <c r="X108" s="6"/>
      <c r="Y108" s="6"/>
      <c r="Z108" s="6"/>
      <c r="AA108" s="6"/>
      <c r="AB108" s="6"/>
    </row>
    <row r="109">
      <c r="A109" s="7">
        <v>108.0</v>
      </c>
      <c r="B109" s="6" t="s">
        <v>440</v>
      </c>
      <c r="C109" s="6" t="s">
        <v>441</v>
      </c>
      <c r="D109" s="6" t="s">
        <v>442</v>
      </c>
      <c r="E109" s="6" t="s">
        <v>512</v>
      </c>
      <c r="F109" s="6" t="s">
        <v>444</v>
      </c>
      <c r="G109" s="6" t="s">
        <v>512</v>
      </c>
      <c r="H109" s="6" t="s">
        <v>1260</v>
      </c>
      <c r="I109" s="6"/>
      <c r="J109" s="6"/>
      <c r="K109" s="2" t="str">
        <f>IFERROR(__xludf.DUMMYFUNCTION("GOOGLETRANSLATE(A109,""en"",""ur"")"),"108")</f>
        <v>108</v>
      </c>
      <c r="L109" s="2" t="str">
        <f>IFERROR(__xludf.DUMMYFUNCTION("GOOGLETRANSLATE(B109,""en"",""ur"")"),"زمین کی ظاہری حالت کیا ہے؟")</f>
        <v>زمین کی ظاہری حالت کیا ہے؟</v>
      </c>
      <c r="M109" s="2" t="str">
        <f>IFERROR(__xludf.DUMMYFUNCTION("GOOGLETRANSLATE(C109,""en"",""ur"")"),"یہ ایک پکی سطح ہے۔")</f>
        <v>یہ ایک پکی سطح ہے۔</v>
      </c>
      <c r="N109" s="2" t="str">
        <f>IFERROR(__xludf.DUMMYFUNCTION("GOOGLETRANSLATE(D109,""en"",""ur"")"),"یہ ایک کیچڑ والا میدان ہے۔")</f>
        <v>یہ ایک کیچڑ والا میدان ہے۔</v>
      </c>
      <c r="O109" s="2" t="str">
        <f>IFERROR(__xludf.DUMMYFUNCTION("GOOGLETRANSLATE(E109,""en"",""ur"")"),"یہ ایک ریتلی یا گندگی کی سطح ہے۔")</f>
        <v>یہ ایک ریتلی یا گندگی کی سطح ہے۔</v>
      </c>
      <c r="P109" s="2" t="str">
        <f>IFERROR(__xludf.DUMMYFUNCTION("GOOGLETRANSLATE(F109,""en"",""ur"")"),"یہ ایک گھاس والی سطح ہے۔")</f>
        <v>یہ ایک گھاس والی سطح ہے۔</v>
      </c>
      <c r="Q109" s="6" t="s">
        <v>1219</v>
      </c>
      <c r="R109" s="6" t="str">
        <f>IFERROR(__xludf.DUMMYFUNCTION("""COMPUTED_VALUE"""),"ایک ریسلنگ میچ میں دو آدمی")</f>
        <v>ایک ریسلنگ میچ میں دو آدمی</v>
      </c>
      <c r="S109" s="6" t="s">
        <v>1260</v>
      </c>
      <c r="T109" s="6"/>
      <c r="U109" s="6"/>
      <c r="V109" s="6"/>
      <c r="W109" s="6"/>
      <c r="X109" s="6"/>
      <c r="Y109" s="6"/>
      <c r="Z109" s="6"/>
      <c r="AA109" s="6"/>
      <c r="AB109" s="6"/>
    </row>
    <row r="110">
      <c r="A110" s="7">
        <v>109.0</v>
      </c>
      <c r="B110" s="6" t="s">
        <v>1205</v>
      </c>
      <c r="C110" s="6" t="s">
        <v>1206</v>
      </c>
      <c r="D110" s="6" t="s">
        <v>1207</v>
      </c>
      <c r="E110" s="6" t="s">
        <v>1208</v>
      </c>
      <c r="F110" s="6" t="s">
        <v>449</v>
      </c>
      <c r="G110" s="6" t="s">
        <v>1208</v>
      </c>
      <c r="H110" s="6" t="s">
        <v>1260</v>
      </c>
      <c r="I110" s="6"/>
      <c r="J110" s="6"/>
      <c r="K110" s="2" t="str">
        <f>IFERROR(__xludf.DUMMYFUNCTION("GOOGLETRANSLATE(A110,""en"",""ur"")"),"109")</f>
        <v>109</v>
      </c>
      <c r="L110" s="2" t="str">
        <f>IFERROR(__xludf.DUMMYFUNCTION("GOOGLETRANSLATE(B110,""en"",""ur"")"),"لمبی اسکرٹس کا بنیادی مقصد کیا ہے؟")</f>
        <v>لمبی اسکرٹس کا بنیادی مقصد کیا ہے؟</v>
      </c>
      <c r="M110" s="2" t="str">
        <f>IFERROR(__xludf.DUMMYFUNCTION("GOOGLETRANSLATE(C110,""en"",""ur"")"),"پہلوانوں کی ٹانگوں کی حفاظت کے لیے")</f>
        <v>پہلوانوں کی ٹانگوں کی حفاظت کے لیے</v>
      </c>
      <c r="N110" s="2" t="str">
        <f>IFERROR(__xludf.DUMMYFUNCTION("GOOGLETRANSLATE(D110,""en"",""ur"")"),"پہلوانوں کو مزید چست بنانے کے لیے")</f>
        <v>پہلوانوں کو مزید چست بنانے کے لیے</v>
      </c>
      <c r="O110" s="2" t="str">
        <f>IFERROR(__xludf.DUMMYFUNCTION("GOOGLETRANSLATE(E110,""en"",""ur"")"),"روایتی لباس اور لڑائی کے دوران گرفت کے لیے")</f>
        <v>روایتی لباس اور لڑائی کے دوران گرفت کے لیے</v>
      </c>
      <c r="P110" s="2" t="str">
        <f>IFERROR(__xludf.DUMMYFUNCTION("GOOGLETRANSLATE(F110,""en"",""ur"")"),"صرف سجاوٹ کے لیے")</f>
        <v>صرف سجاوٹ کے لیے</v>
      </c>
      <c r="Q110" s="6" t="s">
        <v>1209</v>
      </c>
      <c r="R110" s="6" t="str">
        <f>IFERROR(__xludf.DUMMYFUNCTION("""COMPUTED_VALUE"""),"ایک ریسلنگ میچ میں دو آدمی")</f>
        <v>ایک ریسلنگ میچ میں دو آدمی</v>
      </c>
      <c r="S110" s="6" t="s">
        <v>1260</v>
      </c>
      <c r="T110" s="6"/>
      <c r="U110" s="6"/>
      <c r="V110" s="6"/>
      <c r="W110" s="6"/>
      <c r="X110" s="6"/>
      <c r="Y110" s="6"/>
      <c r="Z110" s="6"/>
      <c r="AA110" s="6"/>
      <c r="AB110" s="6"/>
    </row>
    <row r="111">
      <c r="A111" s="7">
        <v>110.0</v>
      </c>
      <c r="B111" s="6" t="s">
        <v>260</v>
      </c>
      <c r="C111" s="6" t="s">
        <v>261</v>
      </c>
      <c r="D111" s="6" t="s">
        <v>262</v>
      </c>
      <c r="E111" s="6" t="s">
        <v>1210</v>
      </c>
      <c r="F111" s="6" t="s">
        <v>264</v>
      </c>
      <c r="G111" s="6" t="s">
        <v>1210</v>
      </c>
      <c r="H111" s="6" t="s">
        <v>1260</v>
      </c>
      <c r="I111" s="6"/>
      <c r="J111" s="6"/>
      <c r="K111" s="2" t="str">
        <f>IFERROR(__xludf.DUMMYFUNCTION("GOOGLETRANSLATE(A111,""en"",""ur"")"),"110")</f>
        <v>110</v>
      </c>
      <c r="L111" s="2" t="str">
        <f>IFERROR(__xludf.DUMMYFUNCTION("GOOGLETRANSLATE(B111,""en"",""ur"")"),"تصویر میں ایکشن ایک ایسا انداز تجویز کرتا ہے جو اس بات پر زور دیتا ہے...")</f>
        <v>تصویر میں ایکشن ایک ایسا انداز تجویز کرتا ہے جو اس بات پر زور دیتا ہے...</v>
      </c>
      <c r="M111" s="2" t="str">
        <f>IFERROR(__xludf.DUMMYFUNCTION("GOOGLETRANSLATE(C111,""en"",""ur"")"),"روانی اور قلابازیاں")</f>
        <v>روانی اور قلابازیاں</v>
      </c>
      <c r="N111" s="2" t="str">
        <f>IFERROR(__xludf.DUMMYFUNCTION("GOOGLETRANSLATE(D111,""en"",""ur"")"),"زمینی لڑائی اور گرفت")</f>
        <v>زمینی لڑائی اور گرفت</v>
      </c>
      <c r="O111" s="2" t="str">
        <f>IFERROR(__xludf.DUMMYFUNCTION("GOOGLETRANSLATE(E111,""en"",""ur"")"),"وحشیانہ طاقت اور ٹیک ڈاؤن")</f>
        <v>وحشیانہ طاقت اور ٹیک ڈاؤن</v>
      </c>
      <c r="P111" s="2" t="str">
        <f>IFERROR(__xludf.DUMMYFUNCTION("GOOGLETRANSLATE(F111,""en"",""ur"")"),"سادہ، لکیری حرکات")</f>
        <v>سادہ، لکیری حرکات</v>
      </c>
      <c r="Q111" s="6" t="s">
        <v>1211</v>
      </c>
      <c r="R111" s="6" t="str">
        <f>IFERROR(__xludf.DUMMYFUNCTION("""COMPUTED_VALUE"""),"ایک ریسلنگ میچ میں دو آدمی")</f>
        <v>ایک ریسلنگ میچ میں دو آدمی</v>
      </c>
      <c r="S111" s="6" t="s">
        <v>1260</v>
      </c>
      <c r="T111" s="6"/>
      <c r="U111" s="6"/>
      <c r="V111" s="6"/>
      <c r="W111" s="6"/>
      <c r="X111" s="6"/>
      <c r="Y111" s="6"/>
      <c r="Z111" s="6"/>
      <c r="AA111" s="6"/>
      <c r="AB111" s="6"/>
    </row>
    <row r="112">
      <c r="A112" s="7">
        <v>111.0</v>
      </c>
      <c r="B112" s="6" t="s">
        <v>1261</v>
      </c>
      <c r="C112" s="6" t="s">
        <v>405</v>
      </c>
      <c r="D112" s="6" t="s">
        <v>406</v>
      </c>
      <c r="E112" s="6" t="s">
        <v>1184</v>
      </c>
      <c r="F112" s="6" t="s">
        <v>1185</v>
      </c>
      <c r="G112" s="6" t="s">
        <v>1184</v>
      </c>
      <c r="H112" s="6" t="s">
        <v>1262</v>
      </c>
      <c r="I112" s="6"/>
      <c r="J112" s="6"/>
      <c r="K112" s="2" t="str">
        <f>IFERROR(__xludf.DUMMYFUNCTION("GOOGLETRANSLATE(A112,""en"",""ur"")"),"111")</f>
        <v>111</v>
      </c>
      <c r="L112" s="2" t="str">
        <f>IFERROR(__xludf.DUMMYFUNCTION("GOOGLETRANSLATE(B112,""en"",""ur"")"),"ملاخرہ_26 میں دکھایا گیا اصل عمل کیا ہے؟")</f>
        <v>ملاخرہ_26 میں دکھایا گیا اصل عمل کیا ہے؟</v>
      </c>
      <c r="M112" s="2" t="str">
        <f>IFERROR(__xludf.DUMMYFUNCTION("GOOGLETRANSLATE(C112,""en"",""ur"")"),"دو آدمی تلواروں سے لڑ رہے ہیں۔")</f>
        <v>دو آدمی تلواروں سے لڑ رہے ہیں۔</v>
      </c>
      <c r="N112" s="2" t="str">
        <f>IFERROR(__xludf.DUMMYFUNCTION("GOOGLETRANSLATE(D112,""en"",""ur"")"),"دو آدمی ناچ رہے ہیں۔")</f>
        <v>دو آدمی ناچ رہے ہیں۔</v>
      </c>
      <c r="O112" s="2" t="str">
        <f>IFERROR(__xludf.DUMMYFUNCTION("GOOGLETRANSLATE(E112,""en"",""ur"")"),"ایک ریسلنگ میچ میں دو آدمی")</f>
        <v>ایک ریسلنگ میچ میں دو آدمی</v>
      </c>
      <c r="P112" s="2" t="str">
        <f>IFERROR(__xludf.DUMMYFUNCTION("GOOGLETRANSLATE(F112,""en"",""ur"")"),"دو آدمی بھاگ رہے ہیں۔")</f>
        <v>دو آدمی بھاگ رہے ہیں۔</v>
      </c>
      <c r="Q112" s="6" t="s">
        <v>1214</v>
      </c>
      <c r="R112" s="6" t="str">
        <f>IFERROR(__xludf.DUMMYFUNCTION("""COMPUTED_VALUE"""),"ایک ریسلنگ میچ میں دو آدمی")</f>
        <v>ایک ریسلنگ میچ میں دو آدمی</v>
      </c>
      <c r="S112" s="6" t="s">
        <v>1262</v>
      </c>
      <c r="T112" s="6"/>
      <c r="U112" s="6"/>
      <c r="V112" s="6"/>
      <c r="W112" s="6"/>
      <c r="X112" s="6"/>
      <c r="Y112" s="6"/>
      <c r="Z112" s="6"/>
      <c r="AA112" s="6"/>
      <c r="AB112" s="6"/>
    </row>
    <row r="113">
      <c r="A113" s="7">
        <v>112.0</v>
      </c>
      <c r="B113" s="6" t="s">
        <v>1215</v>
      </c>
      <c r="C113" s="6" t="s">
        <v>488</v>
      </c>
      <c r="D113" s="6" t="s">
        <v>1216</v>
      </c>
      <c r="E113" s="6" t="s">
        <v>490</v>
      </c>
      <c r="F113" s="6" t="s">
        <v>246</v>
      </c>
      <c r="G113" s="6" t="s">
        <v>1216</v>
      </c>
      <c r="H113" s="6" t="s">
        <v>1262</v>
      </c>
      <c r="I113" s="6"/>
      <c r="J113" s="6"/>
      <c r="K113" s="2" t="str">
        <f>IFERROR(__xludf.DUMMYFUNCTION("GOOGLETRANSLATE(A113,""en"",""ur"")"),"112")</f>
        <v>112</v>
      </c>
      <c r="L113" s="2" t="str">
        <f>IFERROR(__xludf.DUMMYFUNCTION("GOOGLETRANSLATE(B113,""en"",""ur"")"),"پہلوانوں کے لباس کے بارے میں ایک قابل ذکر تفصیل کیا ہے؟")</f>
        <v>پہلوانوں کے لباس کے بارے میں ایک قابل ذکر تفصیل کیا ہے؟</v>
      </c>
      <c r="M113" s="2" t="str">
        <f>IFERROR(__xludf.DUMMYFUNCTION("GOOGLETRANSLATE(C113,""en"",""ur"")"),"انہوں نے بکتر کا پورا سوٹ پہن رکھا ہے۔")</f>
        <v>انہوں نے بکتر کا پورا سوٹ پہن رکھا ہے۔</v>
      </c>
      <c r="N113" s="2" t="str">
        <f>IFERROR(__xludf.DUMMYFUNCTION("GOOGLETRANSLATE(D113,""en"",""ur"")"),"وہ سارونگ یا پیٹرن والا اسکرٹ پہنے ہوئے ہیں۔")</f>
        <v>وہ سارونگ یا پیٹرن والا اسکرٹ پہنے ہوئے ہیں۔</v>
      </c>
      <c r="O113" s="2" t="str">
        <f>IFERROR(__xludf.DUMMYFUNCTION("GOOGLETRANSLATE(E113,""en"",""ur"")"),"انہوں نے شارٹس اور ٹی شرٹ پہن رکھی ہیں۔")</f>
        <v>انہوں نے شارٹس اور ٹی شرٹ پہن رکھی ہیں۔</v>
      </c>
      <c r="P113" s="2" t="str">
        <f>IFERROR(__xludf.DUMMYFUNCTION("GOOGLETRANSLATE(F113,""en"",""ur"")"),"انہوں نے کوئی لباس نہیں پہنا ہوا ہے۔")</f>
        <v>انہوں نے کوئی لباس نہیں پہنا ہوا ہے۔</v>
      </c>
      <c r="Q113" s="6" t="s">
        <v>1217</v>
      </c>
      <c r="R113" s="6" t="str">
        <f>IFERROR(__xludf.DUMMYFUNCTION("""COMPUTED_VALUE"""),"ایک ریسلنگ میچ میں دو آدمی")</f>
        <v>ایک ریسلنگ میچ میں دو آدمی</v>
      </c>
      <c r="S113" s="6" t="s">
        <v>1262</v>
      </c>
      <c r="T113" s="6"/>
      <c r="U113" s="6"/>
      <c r="V113" s="6"/>
      <c r="W113" s="6"/>
      <c r="X113" s="6"/>
      <c r="Y113" s="6"/>
      <c r="Z113" s="6"/>
      <c r="AA113" s="6"/>
      <c r="AB113" s="6"/>
    </row>
    <row r="114">
      <c r="A114" s="7">
        <v>113.0</v>
      </c>
      <c r="B114" s="6" t="s">
        <v>1193</v>
      </c>
      <c r="C114" s="6" t="s">
        <v>1194</v>
      </c>
      <c r="D114" s="6" t="s">
        <v>1195</v>
      </c>
      <c r="E114" s="6" t="s">
        <v>1196</v>
      </c>
      <c r="F114" s="6" t="s">
        <v>1197</v>
      </c>
      <c r="G114" s="6" t="s">
        <v>1196</v>
      </c>
      <c r="H114" s="6" t="s">
        <v>1262</v>
      </c>
      <c r="I114" s="6"/>
      <c r="J114" s="6"/>
      <c r="K114" s="2" t="str">
        <f>IFERROR(__xludf.DUMMYFUNCTION("GOOGLETRANSLATE(A114,""en"",""ur"")"),"113")</f>
        <v>113</v>
      </c>
      <c r="L114" s="2" t="str">
        <f>IFERROR(__xludf.DUMMYFUNCTION("GOOGLETRANSLATE(B114,""en"",""ur"")"),"کشتی کا ظاہری مقصد کیا ہے؟")</f>
        <v>کشتی کا ظاہری مقصد کیا ہے؟</v>
      </c>
      <c r="M114" s="2" t="str">
        <f>IFERROR(__xludf.DUMMYFUNCTION("GOOGLETRANSLATE(C114,""en"",""ur"")"),"ایک رسمی رقص")</f>
        <v>ایک رسمی رقص</v>
      </c>
      <c r="N114" s="2" t="str">
        <f>IFERROR(__xludf.DUMMYFUNCTION("GOOGLETRANSLATE(D114,""en"",""ur"")"),"ایک دوستانہ مظاہرہ")</f>
        <v>ایک دوستانہ مظاہرہ</v>
      </c>
      <c r="O114" s="2" t="str">
        <f>IFERROR(__xludf.DUMMYFUNCTION("GOOGLETRANSLATE(E114,""en"",""ur"")"),"ٹیک ڈاؤن کے ساتھ ایک مسابقتی میچ")</f>
        <v>ٹیک ڈاؤن کے ساتھ ایک مسابقتی میچ</v>
      </c>
      <c r="P114" s="2" t="str">
        <f>IFERROR(__xludf.DUMMYFUNCTION("GOOGLETRANSLATE(F114,""en"",""ur"")"),"ایک پریکٹس سیشن")</f>
        <v>ایک پریکٹس سیشن</v>
      </c>
      <c r="Q114" s="6" t="s">
        <v>1198</v>
      </c>
      <c r="R114" s="6" t="str">
        <f>IFERROR(__xludf.DUMMYFUNCTION("""COMPUTED_VALUE"""),"ایک ریسلنگ میچ میں دو آدمی")</f>
        <v>ایک ریسلنگ میچ میں دو آدمی</v>
      </c>
      <c r="S114" s="6" t="s">
        <v>1262</v>
      </c>
      <c r="T114" s="6"/>
      <c r="U114" s="6"/>
      <c r="V114" s="6"/>
      <c r="W114" s="6"/>
      <c r="X114" s="6"/>
      <c r="Y114" s="6"/>
      <c r="Z114" s="6"/>
      <c r="AA114" s="6"/>
      <c r="AB114" s="6"/>
    </row>
    <row r="115">
      <c r="A115" s="7">
        <v>114.0</v>
      </c>
      <c r="B115" s="6" t="s">
        <v>991</v>
      </c>
      <c r="C115" s="6" t="s">
        <v>422</v>
      </c>
      <c r="D115" s="6" t="s">
        <v>1199</v>
      </c>
      <c r="E115" s="6" t="s">
        <v>424</v>
      </c>
      <c r="F115" s="6" t="s">
        <v>425</v>
      </c>
      <c r="G115" s="6" t="s">
        <v>1199</v>
      </c>
      <c r="H115" s="6" t="s">
        <v>1262</v>
      </c>
      <c r="I115" s="6"/>
      <c r="J115" s="6"/>
      <c r="K115" s="2" t="str">
        <f>IFERROR(__xludf.DUMMYFUNCTION("GOOGLETRANSLATE(A115,""en"",""ur"")"),"114")</f>
        <v>114</v>
      </c>
      <c r="L115" s="2" t="str">
        <f>IFERROR(__xludf.DUMMYFUNCTION("GOOGLETRANSLATE(B115,""en"",""ur"")"),"واقعہ کی ظاہری ترتیب کیا ہے؟")</f>
        <v>واقعہ کی ظاہری ترتیب کیا ہے؟</v>
      </c>
      <c r="M115" s="2" t="str">
        <f>IFERROR(__xludf.DUMMYFUNCTION("GOOGLETRANSLATE(C115,""en"",""ur"")"),"ایک انڈور اسٹیڈیم")</f>
        <v>ایک انڈور اسٹیڈیم</v>
      </c>
      <c r="N115" s="2" t="str">
        <f>IFERROR(__xludf.DUMMYFUNCTION("GOOGLETRANSLATE(D115,""en"",""ur"")"),"ایک دیہی، بیرونی گندگی کا ایک بڑا ہجوم")</f>
        <v>ایک دیہی، بیرونی گندگی کا ایک بڑا ہجوم</v>
      </c>
      <c r="O115" s="2" t="str">
        <f>IFERROR(__xludf.DUMMYFUNCTION("GOOGLETRANSLATE(E115,""en"",""ur"")"),"شہر کی مصروف گلی")</f>
        <v>شہر کی مصروف گلی</v>
      </c>
      <c r="P115" s="2" t="str">
        <f>IFERROR(__xludf.DUMMYFUNCTION("GOOGLETRANSLATE(F115,""en"",""ur"")"),"گھاس کا میدان")</f>
        <v>گھاس کا میدان</v>
      </c>
      <c r="Q115" s="6" t="s">
        <v>1200</v>
      </c>
      <c r="R115" s="6" t="str">
        <f>IFERROR(__xludf.DUMMYFUNCTION("""COMPUTED_VALUE"""),"ایک ریسلنگ میچ میں دو آدمی")</f>
        <v>ایک ریسلنگ میچ میں دو آدمی</v>
      </c>
      <c r="S115" s="6" t="s">
        <v>1262</v>
      </c>
      <c r="T115" s="6"/>
      <c r="U115" s="6"/>
      <c r="V115" s="6"/>
      <c r="W115" s="6"/>
      <c r="X115" s="6"/>
      <c r="Y115" s="6"/>
      <c r="Z115" s="6"/>
      <c r="AA115" s="6"/>
      <c r="AB115" s="6"/>
    </row>
    <row r="116">
      <c r="A116" s="7">
        <v>115.0</v>
      </c>
      <c r="B116" s="6" t="s">
        <v>1201</v>
      </c>
      <c r="C116" s="6" t="s">
        <v>47</v>
      </c>
      <c r="D116" s="6" t="s">
        <v>48</v>
      </c>
      <c r="E116" s="6" t="s">
        <v>49</v>
      </c>
      <c r="F116" s="6" t="s">
        <v>50</v>
      </c>
      <c r="G116" s="6" t="s">
        <v>49</v>
      </c>
      <c r="H116" s="6" t="s">
        <v>1262</v>
      </c>
      <c r="I116" s="6"/>
      <c r="J116" s="6"/>
      <c r="K116" s="2" t="str">
        <f>IFERROR(__xludf.DUMMYFUNCTION("GOOGLETRANSLATE(A116,""en"",""ur"")"),"115")</f>
        <v>115</v>
      </c>
      <c r="L116" s="2" t="str">
        <f>IFERROR(__xludf.DUMMYFUNCTION("GOOGLETRANSLATE(B116,""en"",""ur"")"),"پہلوانوں کے ظاہری جذبات کیا ہیں؟")</f>
        <v>پہلوانوں کے ظاہری جذبات کیا ہیں؟</v>
      </c>
      <c r="M116" s="2" t="str">
        <f>IFERROR(__xludf.DUMMYFUNCTION("GOOGLETRANSLATE(C116,""en"",""ur"")"),"پرسکون اور پر سکون")</f>
        <v>پرسکون اور پر سکون</v>
      </c>
      <c r="N116" s="2" t="str">
        <f>IFERROR(__xludf.DUMMYFUNCTION("GOOGLETRANSLATE(D116,""en"",""ur"")"),"خوف زدہ اور بے چین")</f>
        <v>خوف زدہ اور بے چین</v>
      </c>
      <c r="O116" s="2" t="str">
        <f>IFERROR(__xludf.DUMMYFUNCTION("GOOGLETRANSLATE(E116,""en"",""ur"")"),"کشیدہ اور شدید")</f>
        <v>کشیدہ اور شدید</v>
      </c>
      <c r="P116" s="2" t="str">
        <f>IFERROR(__xludf.DUMMYFUNCTION("GOOGLETRANSLATE(F116,""en"",""ur"")"),"خوش اور مسکراتے ہوئے۔")</f>
        <v>خوش اور مسکراتے ہوئے۔</v>
      </c>
      <c r="Q116" s="6" t="s">
        <v>51</v>
      </c>
      <c r="R116" s="6" t="str">
        <f>IFERROR(__xludf.DUMMYFUNCTION("""COMPUTED_VALUE"""),"ایک ریسلنگ میچ میں دو آدمی")</f>
        <v>ایک ریسلنگ میچ میں دو آدمی</v>
      </c>
      <c r="S116" s="6" t="s">
        <v>1262</v>
      </c>
      <c r="T116" s="6"/>
      <c r="U116" s="6"/>
      <c r="V116" s="6"/>
      <c r="W116" s="6"/>
      <c r="X116" s="6"/>
      <c r="Y116" s="6"/>
      <c r="Z116" s="6"/>
      <c r="AA116" s="6"/>
      <c r="AB116" s="6"/>
    </row>
    <row r="117">
      <c r="A117" s="7">
        <v>116.0</v>
      </c>
      <c r="B117" s="6" t="s">
        <v>1218</v>
      </c>
      <c r="C117" s="6" t="s">
        <v>429</v>
      </c>
      <c r="D117" s="6" t="s">
        <v>430</v>
      </c>
      <c r="E117" s="6" t="s">
        <v>431</v>
      </c>
      <c r="F117" s="6" t="s">
        <v>432</v>
      </c>
      <c r="G117" s="6" t="s">
        <v>430</v>
      </c>
      <c r="H117" s="6" t="s">
        <v>1262</v>
      </c>
      <c r="I117" s="6"/>
      <c r="J117" s="6"/>
      <c r="K117" s="2" t="str">
        <f>IFERROR(__xludf.DUMMYFUNCTION("GOOGLETRANSLATE(A117,""en"",""ur"")"),"116")</f>
        <v>116</v>
      </c>
      <c r="L117" s="2" t="str">
        <f>IFERROR(__xludf.DUMMYFUNCTION("GOOGLETRANSLATE(B117,""en"",""ur"")"),"پہلوانوں کی ظاہری جسمانی پوزیشن کیا ہے؟")</f>
        <v>پہلوانوں کی ظاہری جسمانی پوزیشن کیا ہے؟</v>
      </c>
      <c r="M117" s="2" t="str">
        <f>IFERROR(__xludf.DUMMYFUNCTION("GOOGLETRANSLATE(C117,""en"",""ur"")"),"سیدھا کھڑا ہونا")</f>
        <v>سیدھا کھڑا ہونا</v>
      </c>
      <c r="N117" s="2" t="str">
        <f>IFERROR(__xludf.DUMMYFUNCTION("GOOGLETRANSLATE(D117,""en"",""ur"")"),"کم، متحرک موقف میں")</f>
        <v>کم، متحرک موقف میں</v>
      </c>
      <c r="O117" s="2" t="str">
        <f>IFERROR(__xludf.DUMMYFUNCTION("GOOGLETRANSLATE(E117,""en"",""ur"")"),"زمین پر لیٹنا")</f>
        <v>زمین پر لیٹنا</v>
      </c>
      <c r="P117" s="2" t="str">
        <f>IFERROR(__xludf.DUMMYFUNCTION("GOOGLETRANSLATE(F117,""en"",""ur"")"),"بیٹھا ہوا")</f>
        <v>بیٹھا ہوا</v>
      </c>
      <c r="Q117" s="6" t="s">
        <v>433</v>
      </c>
      <c r="R117" s="6" t="str">
        <f>IFERROR(__xludf.DUMMYFUNCTION("""COMPUTED_VALUE"""),"ایک ریسلنگ میچ میں دو آدمی")</f>
        <v>ایک ریسلنگ میچ میں دو آدمی</v>
      </c>
      <c r="S117" s="6" t="s">
        <v>1262</v>
      </c>
      <c r="T117" s="6"/>
      <c r="U117" s="6"/>
      <c r="V117" s="6"/>
      <c r="W117" s="6"/>
      <c r="X117" s="6"/>
      <c r="Y117" s="6"/>
      <c r="Z117" s="6"/>
      <c r="AA117" s="6"/>
      <c r="AB117" s="6"/>
    </row>
    <row r="118">
      <c r="A118" s="7">
        <v>117.0</v>
      </c>
      <c r="B118" s="6" t="s">
        <v>434</v>
      </c>
      <c r="C118" s="6" t="s">
        <v>435</v>
      </c>
      <c r="D118" s="6" t="s">
        <v>436</v>
      </c>
      <c r="E118" s="6" t="s">
        <v>1203</v>
      </c>
      <c r="F118" s="6" t="s">
        <v>438</v>
      </c>
      <c r="G118" s="6" t="s">
        <v>1203</v>
      </c>
      <c r="H118" s="6" t="s">
        <v>1262</v>
      </c>
      <c r="I118" s="6"/>
      <c r="J118" s="6"/>
      <c r="K118" s="2" t="str">
        <f>IFERROR(__xludf.DUMMYFUNCTION("GOOGLETRANSLATE(A118,""en"",""ur"")"),"117")</f>
        <v>117</v>
      </c>
      <c r="L118" s="2" t="str">
        <f>IFERROR(__xludf.DUMMYFUNCTION("GOOGLETRANSLATE(B118,""en"",""ur"")"),"پس منظر میں ہجوم کی سب سے نمایاں خصوصیت کیا ہے؟")</f>
        <v>پس منظر میں ہجوم کی سب سے نمایاں خصوصیت کیا ہے؟</v>
      </c>
      <c r="M118" s="2" t="str">
        <f>IFERROR(__xludf.DUMMYFUNCTION("GOOGLETRANSLATE(C118,""en"",""ur"")"),"وہ بھاگ رہے ہیں۔")</f>
        <v>وہ بھاگ رہے ہیں۔</v>
      </c>
      <c r="N118" s="2" t="str">
        <f>IFERROR(__xludf.DUMMYFUNCTION("GOOGLETRANSLATE(D118,""en"",""ur"")"),"وہ خاموش بیٹھے ہیں۔")</f>
        <v>وہ خاموش بیٹھے ہیں۔</v>
      </c>
      <c r="O118" s="2" t="str">
        <f>IFERROR(__xludf.DUMMYFUNCTION("GOOGLETRANSLATE(E118,""en"",""ur"")"),"وہ باڑ کے پیچھے سے میچ دیکھ رہے ہیں۔")</f>
        <v>وہ باڑ کے پیچھے سے میچ دیکھ رہے ہیں۔</v>
      </c>
      <c r="P118" s="2" t="str">
        <f>IFERROR(__xludf.DUMMYFUNCTION("GOOGLETRANSLATE(F118,""en"",""ur"")"),"وہ سب ایک اسٹیج پر کھڑے ہیں۔")</f>
        <v>وہ سب ایک اسٹیج پر کھڑے ہیں۔</v>
      </c>
      <c r="Q118" s="6" t="s">
        <v>1204</v>
      </c>
      <c r="R118" s="6" t="str">
        <f>IFERROR(__xludf.DUMMYFUNCTION("""COMPUTED_VALUE"""),"ایک ریسلنگ میچ میں دو آدمی")</f>
        <v>ایک ریسلنگ میچ میں دو آدمی</v>
      </c>
      <c r="S118" s="6" t="s">
        <v>1262</v>
      </c>
      <c r="T118" s="6"/>
      <c r="U118" s="6"/>
      <c r="V118" s="6"/>
      <c r="W118" s="6"/>
      <c r="X118" s="6"/>
      <c r="Y118" s="6"/>
      <c r="Z118" s="6"/>
      <c r="AA118" s="6"/>
      <c r="AB118" s="6"/>
    </row>
    <row r="119">
      <c r="A119" s="7">
        <v>118.0</v>
      </c>
      <c r="B119" s="6" t="s">
        <v>440</v>
      </c>
      <c r="C119" s="6" t="s">
        <v>441</v>
      </c>
      <c r="D119" s="6" t="s">
        <v>442</v>
      </c>
      <c r="E119" s="6" t="s">
        <v>512</v>
      </c>
      <c r="F119" s="6" t="s">
        <v>444</v>
      </c>
      <c r="G119" s="6" t="s">
        <v>512</v>
      </c>
      <c r="H119" s="6" t="s">
        <v>1262</v>
      </c>
      <c r="I119" s="6"/>
      <c r="J119" s="6"/>
      <c r="K119" s="2" t="str">
        <f>IFERROR(__xludf.DUMMYFUNCTION("GOOGLETRANSLATE(A119,""en"",""ur"")"),"118")</f>
        <v>118</v>
      </c>
      <c r="L119" s="2" t="str">
        <f>IFERROR(__xludf.DUMMYFUNCTION("GOOGLETRANSLATE(B119,""en"",""ur"")"),"زمین کی ظاہری حالت کیا ہے؟")</f>
        <v>زمین کی ظاہری حالت کیا ہے؟</v>
      </c>
      <c r="M119" s="2" t="str">
        <f>IFERROR(__xludf.DUMMYFUNCTION("GOOGLETRANSLATE(C119,""en"",""ur"")"),"یہ ایک پکی سطح ہے۔")</f>
        <v>یہ ایک پکی سطح ہے۔</v>
      </c>
      <c r="N119" s="2" t="str">
        <f>IFERROR(__xludf.DUMMYFUNCTION("GOOGLETRANSLATE(D119,""en"",""ur"")"),"یہ ایک کیچڑ والا میدان ہے۔")</f>
        <v>یہ ایک کیچڑ والا میدان ہے۔</v>
      </c>
      <c r="O119" s="2" t="str">
        <f>IFERROR(__xludf.DUMMYFUNCTION("GOOGLETRANSLATE(E119,""en"",""ur"")"),"یہ ایک ریتلی یا گندگی کی سطح ہے۔")</f>
        <v>یہ ایک ریتلی یا گندگی کی سطح ہے۔</v>
      </c>
      <c r="P119" s="2" t="str">
        <f>IFERROR(__xludf.DUMMYFUNCTION("GOOGLETRANSLATE(F119,""en"",""ur"")"),"یہ ایک گھاس والی سطح ہے۔")</f>
        <v>یہ ایک گھاس والی سطح ہے۔</v>
      </c>
      <c r="Q119" s="6" t="s">
        <v>1219</v>
      </c>
      <c r="R119" s="6" t="str">
        <f>IFERROR(__xludf.DUMMYFUNCTION("""COMPUTED_VALUE"""),"ایک ریسلنگ میچ میں دو آدمی")</f>
        <v>ایک ریسلنگ میچ میں دو آدمی</v>
      </c>
      <c r="S119" s="6" t="s">
        <v>1262</v>
      </c>
      <c r="T119" s="6"/>
      <c r="U119" s="6"/>
      <c r="V119" s="6"/>
      <c r="W119" s="6"/>
      <c r="X119" s="6"/>
      <c r="Y119" s="6"/>
      <c r="Z119" s="6"/>
      <c r="AA119" s="6"/>
      <c r="AB119" s="6"/>
    </row>
    <row r="120">
      <c r="A120" s="7">
        <v>119.0</v>
      </c>
      <c r="B120" s="6" t="s">
        <v>1205</v>
      </c>
      <c r="C120" s="6" t="s">
        <v>1206</v>
      </c>
      <c r="D120" s="6" t="s">
        <v>1207</v>
      </c>
      <c r="E120" s="6" t="s">
        <v>1208</v>
      </c>
      <c r="F120" s="6" t="s">
        <v>449</v>
      </c>
      <c r="G120" s="6" t="s">
        <v>1208</v>
      </c>
      <c r="H120" s="6" t="s">
        <v>1262</v>
      </c>
      <c r="I120" s="6"/>
      <c r="J120" s="6"/>
      <c r="K120" s="2" t="str">
        <f>IFERROR(__xludf.DUMMYFUNCTION("GOOGLETRANSLATE(A120,""en"",""ur"")"),"119")</f>
        <v>119</v>
      </c>
      <c r="L120" s="2" t="str">
        <f>IFERROR(__xludf.DUMMYFUNCTION("GOOGLETRANSLATE(B120,""en"",""ur"")"),"لمبی اسکرٹس کا بنیادی مقصد کیا ہے؟")</f>
        <v>لمبی اسکرٹس کا بنیادی مقصد کیا ہے؟</v>
      </c>
      <c r="M120" s="2" t="str">
        <f>IFERROR(__xludf.DUMMYFUNCTION("GOOGLETRANSLATE(C120,""en"",""ur"")"),"پہلوانوں کی ٹانگوں کی حفاظت کے لیے")</f>
        <v>پہلوانوں کی ٹانگوں کی حفاظت کے لیے</v>
      </c>
      <c r="N120" s="2" t="str">
        <f>IFERROR(__xludf.DUMMYFUNCTION("GOOGLETRANSLATE(D120,""en"",""ur"")"),"پہلوانوں کو مزید چست بنانے کے لیے")</f>
        <v>پہلوانوں کو مزید چست بنانے کے لیے</v>
      </c>
      <c r="O120" s="2" t="str">
        <f>IFERROR(__xludf.DUMMYFUNCTION("GOOGLETRANSLATE(E120,""en"",""ur"")"),"روایتی لباس اور لڑائی کے دوران گرفت کے لیے")</f>
        <v>روایتی لباس اور لڑائی کے دوران گرفت کے لیے</v>
      </c>
      <c r="P120" s="2" t="str">
        <f>IFERROR(__xludf.DUMMYFUNCTION("GOOGLETRANSLATE(F120,""en"",""ur"")"),"صرف سجاوٹ کے لیے")</f>
        <v>صرف سجاوٹ کے لیے</v>
      </c>
      <c r="Q120" s="6" t="s">
        <v>1209</v>
      </c>
      <c r="R120" s="6" t="str">
        <f>IFERROR(__xludf.DUMMYFUNCTION("""COMPUTED_VALUE"""),"ایک ریسلنگ میچ میں دو آدمی")</f>
        <v>ایک ریسلنگ میچ میں دو آدمی</v>
      </c>
      <c r="S120" s="6" t="s">
        <v>1262</v>
      </c>
      <c r="T120" s="6"/>
      <c r="U120" s="6"/>
      <c r="V120" s="6"/>
      <c r="W120" s="6"/>
      <c r="X120" s="6"/>
      <c r="Y120" s="6"/>
      <c r="Z120" s="6"/>
      <c r="AA120" s="6"/>
      <c r="AB120" s="6"/>
    </row>
    <row r="121">
      <c r="A121" s="7">
        <v>120.0</v>
      </c>
      <c r="B121" s="6" t="s">
        <v>260</v>
      </c>
      <c r="C121" s="6" t="s">
        <v>261</v>
      </c>
      <c r="D121" s="6" t="s">
        <v>262</v>
      </c>
      <c r="E121" s="6" t="s">
        <v>1210</v>
      </c>
      <c r="F121" s="6" t="s">
        <v>264</v>
      </c>
      <c r="G121" s="6" t="s">
        <v>1210</v>
      </c>
      <c r="H121" s="6" t="s">
        <v>1262</v>
      </c>
      <c r="I121" s="6"/>
      <c r="J121" s="6"/>
      <c r="K121" s="2" t="str">
        <f>IFERROR(__xludf.DUMMYFUNCTION("GOOGLETRANSLATE(A121,""en"",""ur"")"),"120")</f>
        <v>120</v>
      </c>
      <c r="L121" s="2" t="str">
        <f>IFERROR(__xludf.DUMMYFUNCTION("GOOGLETRANSLATE(B121,""en"",""ur"")"),"تصویر میں ایکشن ایک ایسا انداز تجویز کرتا ہے جو اس بات پر زور دیتا ہے...")</f>
        <v>تصویر میں ایکشن ایک ایسا انداز تجویز کرتا ہے جو اس بات پر زور دیتا ہے...</v>
      </c>
      <c r="M121" s="2" t="str">
        <f>IFERROR(__xludf.DUMMYFUNCTION("GOOGLETRANSLATE(C121,""en"",""ur"")"),"روانی اور قلابازیاں")</f>
        <v>روانی اور قلابازیاں</v>
      </c>
      <c r="N121" s="2" t="str">
        <f>IFERROR(__xludf.DUMMYFUNCTION("GOOGLETRANSLATE(D121,""en"",""ur"")"),"زمینی لڑائی اور گرفت")</f>
        <v>زمینی لڑائی اور گرفت</v>
      </c>
      <c r="O121" s="2" t="str">
        <f>IFERROR(__xludf.DUMMYFUNCTION("GOOGLETRANSLATE(E121,""en"",""ur"")"),"وحشیانہ طاقت اور ٹیک ڈاؤن")</f>
        <v>وحشیانہ طاقت اور ٹیک ڈاؤن</v>
      </c>
      <c r="P121" s="2" t="str">
        <f>IFERROR(__xludf.DUMMYFUNCTION("GOOGLETRANSLATE(F121,""en"",""ur"")"),"سادہ، لکیری حرکات")</f>
        <v>سادہ، لکیری حرکات</v>
      </c>
      <c r="Q121" s="6" t="s">
        <v>1211</v>
      </c>
      <c r="R121" s="6" t="str">
        <f>IFERROR(__xludf.DUMMYFUNCTION("""COMPUTED_VALUE"""),"ایک ریسلنگ میچ میں دو آدمی")</f>
        <v>ایک ریسلنگ میچ میں دو آدمی</v>
      </c>
      <c r="S121" s="6" t="s">
        <v>1262</v>
      </c>
      <c r="T121" s="6"/>
      <c r="U121" s="6"/>
      <c r="V121" s="6"/>
      <c r="W121" s="6"/>
      <c r="X121" s="6"/>
      <c r="Y121" s="6"/>
      <c r="Z121" s="6"/>
      <c r="AA121" s="6"/>
      <c r="AB121" s="6"/>
    </row>
    <row r="122">
      <c r="A122" s="7">
        <v>121.0</v>
      </c>
      <c r="B122" s="6" t="s">
        <v>1263</v>
      </c>
      <c r="C122" s="6" t="s">
        <v>405</v>
      </c>
      <c r="D122" s="6" t="s">
        <v>406</v>
      </c>
      <c r="E122" s="6" t="s">
        <v>1184</v>
      </c>
      <c r="F122" s="6" t="s">
        <v>1185</v>
      </c>
      <c r="G122" s="6" t="s">
        <v>1184</v>
      </c>
      <c r="H122" s="6" t="s">
        <v>1264</v>
      </c>
      <c r="I122" s="6"/>
      <c r="J122" s="6"/>
      <c r="K122" s="2" t="str">
        <f>IFERROR(__xludf.DUMMYFUNCTION("GOOGLETRANSLATE(A122,""en"",""ur"")"),"121")</f>
        <v>121</v>
      </c>
      <c r="L122" s="2" t="str">
        <f>IFERROR(__xludf.DUMMYFUNCTION("GOOGLETRANSLATE(B122,""en"",""ur"")"),"ملاخرہ_37 میں مرکزی عمل کیا دکھایا گیا ہے؟")</f>
        <v>ملاخرہ_37 میں مرکزی عمل کیا دکھایا گیا ہے؟</v>
      </c>
      <c r="M122" s="2" t="str">
        <f>IFERROR(__xludf.DUMMYFUNCTION("GOOGLETRANSLATE(C122,""en"",""ur"")"),"دو آدمی تلواروں سے لڑ رہے ہیں۔")</f>
        <v>دو آدمی تلواروں سے لڑ رہے ہیں۔</v>
      </c>
      <c r="N122" s="2" t="str">
        <f>IFERROR(__xludf.DUMMYFUNCTION("GOOGLETRANSLATE(D122,""en"",""ur"")"),"دو آدمی ناچ رہے ہیں۔")</f>
        <v>دو آدمی ناچ رہے ہیں۔</v>
      </c>
      <c r="O122" s="2" t="str">
        <f>IFERROR(__xludf.DUMMYFUNCTION("GOOGLETRANSLATE(E122,""en"",""ur"")"),"ایک ریسلنگ میچ میں دو آدمی")</f>
        <v>ایک ریسلنگ میچ میں دو آدمی</v>
      </c>
      <c r="P122" s="2" t="str">
        <f>IFERROR(__xludf.DUMMYFUNCTION("GOOGLETRANSLATE(F122,""en"",""ur"")"),"دو آدمی بھاگ رہے ہیں۔")</f>
        <v>دو آدمی بھاگ رہے ہیں۔</v>
      </c>
      <c r="Q122" s="6" t="s">
        <v>1214</v>
      </c>
      <c r="R122" s="6" t="str">
        <f>IFERROR(__xludf.DUMMYFUNCTION("""COMPUTED_VALUE"""),"ایک ریسلنگ میچ میں دو آدمی")</f>
        <v>ایک ریسلنگ میچ میں دو آدمی</v>
      </c>
      <c r="S122" s="6" t="s">
        <v>1264</v>
      </c>
      <c r="T122" s="6"/>
      <c r="U122" s="6"/>
      <c r="V122" s="6"/>
      <c r="W122" s="6"/>
      <c r="X122" s="6"/>
      <c r="Y122" s="6"/>
      <c r="Z122" s="6"/>
      <c r="AA122" s="6"/>
      <c r="AB122" s="6"/>
    </row>
    <row r="123">
      <c r="A123" s="7">
        <v>122.0</v>
      </c>
      <c r="B123" s="6" t="s">
        <v>1215</v>
      </c>
      <c r="C123" s="6" t="s">
        <v>488</v>
      </c>
      <c r="D123" s="6" t="s">
        <v>1216</v>
      </c>
      <c r="E123" s="6" t="s">
        <v>490</v>
      </c>
      <c r="F123" s="6" t="s">
        <v>246</v>
      </c>
      <c r="G123" s="6" t="s">
        <v>1216</v>
      </c>
      <c r="H123" s="6" t="s">
        <v>1264</v>
      </c>
      <c r="I123" s="6"/>
      <c r="J123" s="6"/>
      <c r="K123" s="2" t="str">
        <f>IFERROR(__xludf.DUMMYFUNCTION("GOOGLETRANSLATE(A123,""en"",""ur"")"),"122")</f>
        <v>122</v>
      </c>
      <c r="L123" s="2" t="str">
        <f>IFERROR(__xludf.DUMMYFUNCTION("GOOGLETRANSLATE(B123,""en"",""ur"")"),"پہلوانوں کے لباس کے بارے میں ایک قابل ذکر تفصیل کیا ہے؟")</f>
        <v>پہلوانوں کے لباس کے بارے میں ایک قابل ذکر تفصیل کیا ہے؟</v>
      </c>
      <c r="M123" s="2" t="str">
        <f>IFERROR(__xludf.DUMMYFUNCTION("GOOGLETRANSLATE(C123,""en"",""ur"")"),"انہوں نے بکتر کا پورا سوٹ پہن رکھا ہے۔")</f>
        <v>انہوں نے بکتر کا پورا سوٹ پہن رکھا ہے۔</v>
      </c>
      <c r="N123" s="2" t="str">
        <f>IFERROR(__xludf.DUMMYFUNCTION("GOOGLETRANSLATE(D123,""en"",""ur"")"),"وہ سارونگ یا پیٹرن والا اسکرٹ پہنے ہوئے ہیں۔")</f>
        <v>وہ سارونگ یا پیٹرن والا اسکرٹ پہنے ہوئے ہیں۔</v>
      </c>
      <c r="O123" s="2" t="str">
        <f>IFERROR(__xludf.DUMMYFUNCTION("GOOGLETRANSLATE(E123,""en"",""ur"")"),"انہوں نے شارٹس اور ٹی شرٹ پہن رکھی ہیں۔")</f>
        <v>انہوں نے شارٹس اور ٹی شرٹ پہن رکھی ہیں۔</v>
      </c>
      <c r="P123" s="2" t="str">
        <f>IFERROR(__xludf.DUMMYFUNCTION("GOOGLETRANSLATE(F123,""en"",""ur"")"),"انہوں نے کوئی لباس نہیں پہنا ہوا ہے۔")</f>
        <v>انہوں نے کوئی لباس نہیں پہنا ہوا ہے۔</v>
      </c>
      <c r="Q123" s="6" t="s">
        <v>1217</v>
      </c>
      <c r="R123" s="6" t="str">
        <f>IFERROR(__xludf.DUMMYFUNCTION("""COMPUTED_VALUE"""),"ایک ریسلنگ میچ میں دو آدمی")</f>
        <v>ایک ریسلنگ میچ میں دو آدمی</v>
      </c>
      <c r="S123" s="6" t="s">
        <v>1264</v>
      </c>
      <c r="T123" s="6"/>
      <c r="U123" s="6"/>
      <c r="V123" s="6"/>
      <c r="W123" s="6"/>
      <c r="X123" s="6"/>
      <c r="Y123" s="6"/>
      <c r="Z123" s="6"/>
      <c r="AA123" s="6"/>
      <c r="AB123" s="6"/>
    </row>
    <row r="124">
      <c r="A124" s="7">
        <v>123.0</v>
      </c>
      <c r="B124" s="6" t="s">
        <v>1193</v>
      </c>
      <c r="C124" s="6" t="s">
        <v>1194</v>
      </c>
      <c r="D124" s="6" t="s">
        <v>1195</v>
      </c>
      <c r="E124" s="6" t="s">
        <v>1196</v>
      </c>
      <c r="F124" s="6" t="s">
        <v>1197</v>
      </c>
      <c r="G124" s="6" t="s">
        <v>1196</v>
      </c>
      <c r="H124" s="6" t="s">
        <v>1264</v>
      </c>
      <c r="I124" s="6"/>
      <c r="J124" s="6"/>
      <c r="K124" s="2" t="str">
        <f>IFERROR(__xludf.DUMMYFUNCTION("GOOGLETRANSLATE(A124,""en"",""ur"")"),"123")</f>
        <v>123</v>
      </c>
      <c r="L124" s="2" t="str">
        <f>IFERROR(__xludf.DUMMYFUNCTION("GOOGLETRANSLATE(B124,""en"",""ur"")"),"کشتی کا ظاہری مقصد کیا ہے؟")</f>
        <v>کشتی کا ظاہری مقصد کیا ہے؟</v>
      </c>
      <c r="M124" s="2" t="str">
        <f>IFERROR(__xludf.DUMMYFUNCTION("GOOGLETRANSLATE(C124,""en"",""ur"")"),"ایک رسمی رقص")</f>
        <v>ایک رسمی رقص</v>
      </c>
      <c r="N124" s="2" t="str">
        <f>IFERROR(__xludf.DUMMYFUNCTION("GOOGLETRANSLATE(D124,""en"",""ur"")"),"ایک دوستانہ مظاہرہ")</f>
        <v>ایک دوستانہ مظاہرہ</v>
      </c>
      <c r="O124" s="2" t="str">
        <f>IFERROR(__xludf.DUMMYFUNCTION("GOOGLETRANSLATE(E124,""en"",""ur"")"),"ٹیک ڈاؤن کے ساتھ ایک مسابقتی میچ")</f>
        <v>ٹیک ڈاؤن کے ساتھ ایک مسابقتی میچ</v>
      </c>
      <c r="P124" s="2" t="str">
        <f>IFERROR(__xludf.DUMMYFUNCTION("GOOGLETRANSLATE(F124,""en"",""ur"")"),"ایک پریکٹس سیشن")</f>
        <v>ایک پریکٹس سیشن</v>
      </c>
      <c r="Q124" s="6" t="s">
        <v>1198</v>
      </c>
      <c r="R124" s="6" t="str">
        <f>IFERROR(__xludf.DUMMYFUNCTION("""COMPUTED_VALUE"""),"ایک ریسلنگ میچ میں دو آدمی")</f>
        <v>ایک ریسلنگ میچ میں دو آدمی</v>
      </c>
      <c r="S124" s="6" t="s">
        <v>1264</v>
      </c>
      <c r="T124" s="6"/>
      <c r="U124" s="6"/>
      <c r="V124" s="6"/>
      <c r="W124" s="6"/>
      <c r="X124" s="6"/>
      <c r="Y124" s="6"/>
      <c r="Z124" s="6"/>
      <c r="AA124" s="6"/>
      <c r="AB124" s="6"/>
    </row>
    <row r="125">
      <c r="A125" s="7">
        <v>124.0</v>
      </c>
      <c r="B125" s="6" t="s">
        <v>991</v>
      </c>
      <c r="C125" s="6" t="s">
        <v>422</v>
      </c>
      <c r="D125" s="6" t="s">
        <v>1199</v>
      </c>
      <c r="E125" s="6" t="s">
        <v>424</v>
      </c>
      <c r="F125" s="6" t="s">
        <v>425</v>
      </c>
      <c r="G125" s="6" t="s">
        <v>1199</v>
      </c>
      <c r="H125" s="6" t="s">
        <v>1264</v>
      </c>
      <c r="I125" s="6"/>
      <c r="J125" s="6"/>
      <c r="K125" s="2" t="str">
        <f>IFERROR(__xludf.DUMMYFUNCTION("GOOGLETRANSLATE(A125,""en"",""ur"")"),"124")</f>
        <v>124</v>
      </c>
      <c r="L125" s="2" t="str">
        <f>IFERROR(__xludf.DUMMYFUNCTION("GOOGLETRANSLATE(B125,""en"",""ur"")"),"واقعہ کی ظاہری ترتیب کیا ہے؟")</f>
        <v>واقعہ کی ظاہری ترتیب کیا ہے؟</v>
      </c>
      <c r="M125" s="2" t="str">
        <f>IFERROR(__xludf.DUMMYFUNCTION("GOOGLETRANSLATE(C125,""en"",""ur"")"),"ایک انڈور اسٹیڈیم")</f>
        <v>ایک انڈور اسٹیڈیم</v>
      </c>
      <c r="N125" s="2" t="str">
        <f>IFERROR(__xludf.DUMMYFUNCTION("GOOGLETRANSLATE(D125,""en"",""ur"")"),"ایک دیہی، بیرونی گندگی کا ایک بڑا ہجوم")</f>
        <v>ایک دیہی، بیرونی گندگی کا ایک بڑا ہجوم</v>
      </c>
      <c r="O125" s="2" t="str">
        <f>IFERROR(__xludf.DUMMYFUNCTION("GOOGLETRANSLATE(E125,""en"",""ur"")"),"شہر کی مصروف گلی")</f>
        <v>شہر کی مصروف گلی</v>
      </c>
      <c r="P125" s="2" t="str">
        <f>IFERROR(__xludf.DUMMYFUNCTION("GOOGLETRANSLATE(F125,""en"",""ur"")"),"گھاس کا میدان")</f>
        <v>گھاس کا میدان</v>
      </c>
      <c r="Q125" s="6" t="s">
        <v>1200</v>
      </c>
      <c r="R125" s="6" t="str">
        <f>IFERROR(__xludf.DUMMYFUNCTION("""COMPUTED_VALUE"""),"ایک ریسلنگ میچ میں دو آدمی")</f>
        <v>ایک ریسلنگ میچ میں دو آدمی</v>
      </c>
      <c r="S125" s="6" t="s">
        <v>1264</v>
      </c>
      <c r="T125" s="6"/>
      <c r="U125" s="6"/>
      <c r="V125" s="6"/>
      <c r="W125" s="6"/>
      <c r="X125" s="6"/>
      <c r="Y125" s="6"/>
      <c r="Z125" s="6"/>
      <c r="AA125" s="6"/>
      <c r="AB125" s="6"/>
    </row>
    <row r="126">
      <c r="A126" s="7">
        <v>125.0</v>
      </c>
      <c r="B126" s="6" t="s">
        <v>1201</v>
      </c>
      <c r="C126" s="6" t="s">
        <v>47</v>
      </c>
      <c r="D126" s="6" t="s">
        <v>48</v>
      </c>
      <c r="E126" s="6" t="s">
        <v>49</v>
      </c>
      <c r="F126" s="6" t="s">
        <v>50</v>
      </c>
      <c r="G126" s="6" t="s">
        <v>49</v>
      </c>
      <c r="H126" s="6" t="s">
        <v>1264</v>
      </c>
      <c r="I126" s="6"/>
      <c r="J126" s="6"/>
      <c r="K126" s="2" t="str">
        <f>IFERROR(__xludf.DUMMYFUNCTION("GOOGLETRANSLATE(A126,""en"",""ur"")"),"125")</f>
        <v>125</v>
      </c>
      <c r="L126" s="2" t="str">
        <f>IFERROR(__xludf.DUMMYFUNCTION("GOOGLETRANSLATE(B126,""en"",""ur"")"),"پہلوانوں کے ظاہری جذبات کیا ہیں؟")</f>
        <v>پہلوانوں کے ظاہری جذبات کیا ہیں؟</v>
      </c>
      <c r="M126" s="2" t="str">
        <f>IFERROR(__xludf.DUMMYFUNCTION("GOOGLETRANSLATE(C126,""en"",""ur"")"),"پرسکون اور پر سکون")</f>
        <v>پرسکون اور پر سکون</v>
      </c>
      <c r="N126" s="2" t="str">
        <f>IFERROR(__xludf.DUMMYFUNCTION("GOOGLETRANSLATE(D126,""en"",""ur"")"),"خوف زدہ اور بے چین")</f>
        <v>خوف زدہ اور بے چین</v>
      </c>
      <c r="O126" s="2" t="str">
        <f>IFERROR(__xludf.DUMMYFUNCTION("GOOGLETRANSLATE(E126,""en"",""ur"")"),"کشیدہ اور شدید")</f>
        <v>کشیدہ اور شدید</v>
      </c>
      <c r="P126" s="2" t="str">
        <f>IFERROR(__xludf.DUMMYFUNCTION("GOOGLETRANSLATE(F126,""en"",""ur"")"),"خوش اور مسکراتے ہوئے۔")</f>
        <v>خوش اور مسکراتے ہوئے۔</v>
      </c>
      <c r="Q126" s="6" t="s">
        <v>51</v>
      </c>
      <c r="R126" s="6" t="str">
        <f>IFERROR(__xludf.DUMMYFUNCTION("""COMPUTED_VALUE"""),"ایک ریسلنگ میچ میں دو آدمی")</f>
        <v>ایک ریسلنگ میچ میں دو آدمی</v>
      </c>
      <c r="S126" s="6" t="s">
        <v>1264</v>
      </c>
      <c r="T126" s="6"/>
      <c r="U126" s="6"/>
      <c r="V126" s="6"/>
      <c r="W126" s="6"/>
      <c r="X126" s="6"/>
      <c r="Y126" s="6"/>
      <c r="Z126" s="6"/>
      <c r="AA126" s="6"/>
      <c r="AB126" s="6"/>
    </row>
    <row r="127">
      <c r="A127" s="7">
        <v>126.0</v>
      </c>
      <c r="B127" s="6" t="s">
        <v>1218</v>
      </c>
      <c r="C127" s="6" t="s">
        <v>429</v>
      </c>
      <c r="D127" s="6" t="s">
        <v>430</v>
      </c>
      <c r="E127" s="6" t="s">
        <v>431</v>
      </c>
      <c r="F127" s="6" t="s">
        <v>432</v>
      </c>
      <c r="G127" s="6" t="s">
        <v>430</v>
      </c>
      <c r="H127" s="6" t="s">
        <v>1264</v>
      </c>
      <c r="I127" s="6"/>
      <c r="J127" s="6"/>
      <c r="K127" s="2" t="str">
        <f>IFERROR(__xludf.DUMMYFUNCTION("GOOGLETRANSLATE(A127,""en"",""ur"")"),"126")</f>
        <v>126</v>
      </c>
      <c r="L127" s="2" t="str">
        <f>IFERROR(__xludf.DUMMYFUNCTION("GOOGLETRANSLATE(B127,""en"",""ur"")"),"پہلوانوں کی ظاہری جسمانی پوزیشن کیا ہے؟")</f>
        <v>پہلوانوں کی ظاہری جسمانی پوزیشن کیا ہے؟</v>
      </c>
      <c r="M127" s="2" t="str">
        <f>IFERROR(__xludf.DUMMYFUNCTION("GOOGLETRANSLATE(C127,""en"",""ur"")"),"سیدھا کھڑا ہونا")</f>
        <v>سیدھا کھڑا ہونا</v>
      </c>
      <c r="N127" s="2" t="str">
        <f>IFERROR(__xludf.DUMMYFUNCTION("GOOGLETRANSLATE(D127,""en"",""ur"")"),"کم، متحرک موقف میں")</f>
        <v>کم، متحرک موقف میں</v>
      </c>
      <c r="O127" s="2" t="str">
        <f>IFERROR(__xludf.DUMMYFUNCTION("GOOGLETRANSLATE(E127,""en"",""ur"")"),"زمین پر لیٹنا")</f>
        <v>زمین پر لیٹنا</v>
      </c>
      <c r="P127" s="2" t="str">
        <f>IFERROR(__xludf.DUMMYFUNCTION("GOOGLETRANSLATE(F127,""en"",""ur"")"),"بیٹھا ہوا")</f>
        <v>بیٹھا ہوا</v>
      </c>
      <c r="Q127" s="6" t="s">
        <v>433</v>
      </c>
      <c r="R127" s="6" t="str">
        <f>IFERROR(__xludf.DUMMYFUNCTION("""COMPUTED_VALUE"""),"ایک ریسلنگ میچ میں دو آدمی")</f>
        <v>ایک ریسلنگ میچ میں دو آدمی</v>
      </c>
      <c r="S127" s="6" t="s">
        <v>1264</v>
      </c>
      <c r="T127" s="6"/>
      <c r="U127" s="6"/>
      <c r="V127" s="6"/>
      <c r="W127" s="6"/>
      <c r="X127" s="6"/>
      <c r="Y127" s="6"/>
      <c r="Z127" s="6"/>
      <c r="AA127" s="6"/>
      <c r="AB127" s="6"/>
    </row>
    <row r="128">
      <c r="A128" s="7">
        <v>127.0</v>
      </c>
      <c r="B128" s="6" t="s">
        <v>434</v>
      </c>
      <c r="C128" s="6" t="s">
        <v>435</v>
      </c>
      <c r="D128" s="6" t="s">
        <v>436</v>
      </c>
      <c r="E128" s="6" t="s">
        <v>1203</v>
      </c>
      <c r="F128" s="6" t="s">
        <v>438</v>
      </c>
      <c r="G128" s="6" t="s">
        <v>1203</v>
      </c>
      <c r="H128" s="6" t="s">
        <v>1264</v>
      </c>
      <c r="I128" s="6"/>
      <c r="J128" s="6"/>
      <c r="K128" s="2" t="str">
        <f>IFERROR(__xludf.DUMMYFUNCTION("GOOGLETRANSLATE(A128,""en"",""ur"")"),"127")</f>
        <v>127</v>
      </c>
      <c r="L128" s="2" t="str">
        <f>IFERROR(__xludf.DUMMYFUNCTION("GOOGLETRANSLATE(B128,""en"",""ur"")"),"پس منظر میں ہجوم کی سب سے نمایاں خصوصیت کیا ہے؟")</f>
        <v>پس منظر میں ہجوم کی سب سے نمایاں خصوصیت کیا ہے؟</v>
      </c>
      <c r="M128" s="2" t="str">
        <f>IFERROR(__xludf.DUMMYFUNCTION("GOOGLETRANSLATE(C128,""en"",""ur"")"),"وہ بھاگ رہے ہیں۔")</f>
        <v>وہ بھاگ رہے ہیں۔</v>
      </c>
      <c r="N128" s="2" t="str">
        <f>IFERROR(__xludf.DUMMYFUNCTION("GOOGLETRANSLATE(D128,""en"",""ur"")"),"وہ خاموش بیٹھے ہیں۔")</f>
        <v>وہ خاموش بیٹھے ہیں۔</v>
      </c>
      <c r="O128" s="2" t="str">
        <f>IFERROR(__xludf.DUMMYFUNCTION("GOOGLETRANSLATE(E128,""en"",""ur"")"),"وہ باڑ کے پیچھے سے میچ دیکھ رہے ہیں۔")</f>
        <v>وہ باڑ کے پیچھے سے میچ دیکھ رہے ہیں۔</v>
      </c>
      <c r="P128" s="2" t="str">
        <f>IFERROR(__xludf.DUMMYFUNCTION("GOOGLETRANSLATE(F128,""en"",""ur"")"),"وہ سب ایک اسٹیج پر کھڑے ہیں۔")</f>
        <v>وہ سب ایک اسٹیج پر کھڑے ہیں۔</v>
      </c>
      <c r="Q128" s="6" t="s">
        <v>1204</v>
      </c>
      <c r="R128" s="6" t="str">
        <f>IFERROR(__xludf.DUMMYFUNCTION("""COMPUTED_VALUE"""),"ایک ریسلنگ میچ میں دو آدمی")</f>
        <v>ایک ریسلنگ میچ میں دو آدمی</v>
      </c>
      <c r="S128" s="6" t="s">
        <v>1264</v>
      </c>
      <c r="T128" s="6"/>
      <c r="U128" s="6"/>
      <c r="V128" s="6"/>
      <c r="W128" s="6"/>
      <c r="X128" s="6"/>
      <c r="Y128" s="6"/>
      <c r="Z128" s="6"/>
      <c r="AA128" s="6"/>
      <c r="AB128" s="6"/>
    </row>
    <row r="129">
      <c r="A129" s="7">
        <v>128.0</v>
      </c>
      <c r="B129" s="6" t="s">
        <v>440</v>
      </c>
      <c r="C129" s="6" t="s">
        <v>441</v>
      </c>
      <c r="D129" s="6" t="s">
        <v>442</v>
      </c>
      <c r="E129" s="6" t="s">
        <v>512</v>
      </c>
      <c r="F129" s="6" t="s">
        <v>444</v>
      </c>
      <c r="G129" s="6" t="s">
        <v>512</v>
      </c>
      <c r="H129" s="6" t="s">
        <v>1264</v>
      </c>
      <c r="I129" s="6"/>
      <c r="J129" s="6"/>
      <c r="K129" s="2" t="str">
        <f>IFERROR(__xludf.DUMMYFUNCTION("GOOGLETRANSLATE(A129,""en"",""ur"")"),"128")</f>
        <v>128</v>
      </c>
      <c r="L129" s="2" t="str">
        <f>IFERROR(__xludf.DUMMYFUNCTION("GOOGLETRANSLATE(B129,""en"",""ur"")"),"زمین کی ظاہری حالت کیا ہے؟")</f>
        <v>زمین کی ظاہری حالت کیا ہے؟</v>
      </c>
      <c r="M129" s="2" t="str">
        <f>IFERROR(__xludf.DUMMYFUNCTION("GOOGLETRANSLATE(C129,""en"",""ur"")"),"یہ ایک پکی سطح ہے۔")</f>
        <v>یہ ایک پکی سطح ہے۔</v>
      </c>
      <c r="N129" s="2" t="str">
        <f>IFERROR(__xludf.DUMMYFUNCTION("GOOGLETRANSLATE(D129,""en"",""ur"")"),"یہ ایک کیچڑ والا میدان ہے۔")</f>
        <v>یہ ایک کیچڑ والا میدان ہے۔</v>
      </c>
      <c r="O129" s="2" t="str">
        <f>IFERROR(__xludf.DUMMYFUNCTION("GOOGLETRANSLATE(E129,""en"",""ur"")"),"یہ ایک ریتلی یا گندگی کی سطح ہے۔")</f>
        <v>یہ ایک ریتلی یا گندگی کی سطح ہے۔</v>
      </c>
      <c r="P129" s="2" t="str">
        <f>IFERROR(__xludf.DUMMYFUNCTION("GOOGLETRANSLATE(F129,""en"",""ur"")"),"یہ ایک گھاس والی سطح ہے۔")</f>
        <v>یہ ایک گھاس والی سطح ہے۔</v>
      </c>
      <c r="Q129" s="6" t="s">
        <v>1219</v>
      </c>
      <c r="R129" s="6" t="str">
        <f>IFERROR(__xludf.DUMMYFUNCTION("""COMPUTED_VALUE"""),"ایک ریسلنگ میچ میں دو آدمی")</f>
        <v>ایک ریسلنگ میچ میں دو آدمی</v>
      </c>
      <c r="S129" s="6" t="s">
        <v>1264</v>
      </c>
      <c r="T129" s="6"/>
      <c r="U129" s="6"/>
      <c r="V129" s="6"/>
      <c r="W129" s="6"/>
      <c r="X129" s="6"/>
      <c r="Y129" s="6"/>
      <c r="Z129" s="6"/>
      <c r="AA129" s="6"/>
      <c r="AB129" s="6"/>
    </row>
    <row r="130">
      <c r="A130" s="7">
        <v>129.0</v>
      </c>
      <c r="B130" s="6" t="s">
        <v>1205</v>
      </c>
      <c r="C130" s="6" t="s">
        <v>1206</v>
      </c>
      <c r="D130" s="6" t="s">
        <v>1207</v>
      </c>
      <c r="E130" s="6" t="s">
        <v>1208</v>
      </c>
      <c r="F130" s="6" t="s">
        <v>449</v>
      </c>
      <c r="G130" s="6" t="s">
        <v>1208</v>
      </c>
      <c r="H130" s="6" t="s">
        <v>1264</v>
      </c>
      <c r="I130" s="6"/>
      <c r="J130" s="6"/>
      <c r="K130" s="2" t="str">
        <f>IFERROR(__xludf.DUMMYFUNCTION("GOOGLETRANSLATE(A130,""en"",""ur"")"),"129")</f>
        <v>129</v>
      </c>
      <c r="L130" s="2" t="str">
        <f>IFERROR(__xludf.DUMMYFUNCTION("GOOGLETRANSLATE(B130,""en"",""ur"")"),"لمبی اسکرٹس کا بنیادی مقصد کیا ہے؟")</f>
        <v>لمبی اسکرٹس کا بنیادی مقصد کیا ہے؟</v>
      </c>
      <c r="M130" s="2" t="str">
        <f>IFERROR(__xludf.DUMMYFUNCTION("GOOGLETRANSLATE(C130,""en"",""ur"")"),"پہلوانوں کی ٹانگوں کی حفاظت کے لیے")</f>
        <v>پہلوانوں کی ٹانگوں کی حفاظت کے لیے</v>
      </c>
      <c r="N130" s="2" t="str">
        <f>IFERROR(__xludf.DUMMYFUNCTION("GOOGLETRANSLATE(D130,""en"",""ur"")"),"پہلوانوں کو مزید چست بنانے کے لیے")</f>
        <v>پہلوانوں کو مزید چست بنانے کے لیے</v>
      </c>
      <c r="O130" s="2" t="str">
        <f>IFERROR(__xludf.DUMMYFUNCTION("GOOGLETRANSLATE(E130,""en"",""ur"")"),"روایتی لباس اور لڑائی کے دوران گرفت کے لیے")</f>
        <v>روایتی لباس اور لڑائی کے دوران گرفت کے لیے</v>
      </c>
      <c r="P130" s="2" t="str">
        <f>IFERROR(__xludf.DUMMYFUNCTION("GOOGLETRANSLATE(F130,""en"",""ur"")"),"صرف سجاوٹ کے لیے")</f>
        <v>صرف سجاوٹ کے لیے</v>
      </c>
      <c r="Q130" s="6" t="s">
        <v>1209</v>
      </c>
      <c r="R130" s="6" t="str">
        <f>IFERROR(__xludf.DUMMYFUNCTION("""COMPUTED_VALUE"""),"ایک ریسلنگ میچ میں دو آدمی")</f>
        <v>ایک ریسلنگ میچ میں دو آدمی</v>
      </c>
      <c r="S130" s="6" t="s">
        <v>1264</v>
      </c>
      <c r="T130" s="6"/>
      <c r="U130" s="6"/>
      <c r="V130" s="6"/>
      <c r="W130" s="6"/>
      <c r="X130" s="6"/>
      <c r="Y130" s="6"/>
      <c r="Z130" s="6"/>
      <c r="AA130" s="6"/>
      <c r="AB130" s="6"/>
    </row>
    <row r="131">
      <c r="A131" s="7">
        <v>130.0</v>
      </c>
      <c r="B131" s="6" t="s">
        <v>260</v>
      </c>
      <c r="C131" s="6" t="s">
        <v>261</v>
      </c>
      <c r="D131" s="6" t="s">
        <v>262</v>
      </c>
      <c r="E131" s="6" t="s">
        <v>1210</v>
      </c>
      <c r="F131" s="6" t="s">
        <v>264</v>
      </c>
      <c r="G131" s="6" t="s">
        <v>1210</v>
      </c>
      <c r="H131" s="6" t="s">
        <v>1264</v>
      </c>
      <c r="I131" s="6"/>
      <c r="J131" s="6"/>
      <c r="K131" s="2" t="str">
        <f>IFERROR(__xludf.DUMMYFUNCTION("GOOGLETRANSLATE(A131,""en"",""ur"")"),"130")</f>
        <v>130</v>
      </c>
      <c r="L131" s="2" t="str">
        <f>IFERROR(__xludf.DUMMYFUNCTION("GOOGLETRANSLATE(B131,""en"",""ur"")"),"تصویر میں ایکشن ایک ایسا انداز تجویز کرتا ہے جو اس بات پر زور دیتا ہے...")</f>
        <v>تصویر میں ایکشن ایک ایسا انداز تجویز کرتا ہے جو اس بات پر زور دیتا ہے...</v>
      </c>
      <c r="M131" s="2" t="str">
        <f>IFERROR(__xludf.DUMMYFUNCTION("GOOGLETRANSLATE(C131,""en"",""ur"")"),"روانی اور قلابازیاں")</f>
        <v>روانی اور قلابازیاں</v>
      </c>
      <c r="N131" s="2" t="str">
        <f>IFERROR(__xludf.DUMMYFUNCTION("GOOGLETRANSLATE(D131,""en"",""ur"")"),"زمینی لڑائی اور گرفت")</f>
        <v>زمینی لڑائی اور گرفت</v>
      </c>
      <c r="O131" s="2" t="str">
        <f>IFERROR(__xludf.DUMMYFUNCTION("GOOGLETRANSLATE(E131,""en"",""ur"")"),"وحشیانہ طاقت اور ٹیک ڈاؤن")</f>
        <v>وحشیانہ طاقت اور ٹیک ڈاؤن</v>
      </c>
      <c r="P131" s="2" t="str">
        <f>IFERROR(__xludf.DUMMYFUNCTION("GOOGLETRANSLATE(F131,""en"",""ur"")"),"سادہ، لکیری حرکات")</f>
        <v>سادہ، لکیری حرکات</v>
      </c>
      <c r="Q131" s="6" t="s">
        <v>1211</v>
      </c>
      <c r="R131" s="6" t="str">
        <f>IFERROR(__xludf.DUMMYFUNCTION("""COMPUTED_VALUE"""),"ایک ریسلنگ میچ میں دو آدمی")</f>
        <v>ایک ریسلنگ میچ میں دو آدمی</v>
      </c>
      <c r="S131" s="6" t="s">
        <v>1264</v>
      </c>
      <c r="T131" s="6"/>
      <c r="U131" s="6"/>
      <c r="V131" s="6"/>
      <c r="W131" s="6"/>
      <c r="X131" s="6"/>
      <c r="Y131" s="6"/>
      <c r="Z131" s="6"/>
      <c r="AA131" s="6"/>
      <c r="AB131" s="6"/>
    </row>
    <row r="132">
      <c r="A132" s="7">
        <v>131.0</v>
      </c>
      <c r="B132" s="6" t="s">
        <v>1265</v>
      </c>
      <c r="C132" s="6" t="s">
        <v>405</v>
      </c>
      <c r="D132" s="6" t="s">
        <v>406</v>
      </c>
      <c r="E132" s="6" t="s">
        <v>1184</v>
      </c>
      <c r="F132" s="6" t="s">
        <v>1185</v>
      </c>
      <c r="G132" s="6" t="s">
        <v>1184</v>
      </c>
      <c r="H132" s="6" t="s">
        <v>1266</v>
      </c>
      <c r="I132" s="6"/>
      <c r="J132" s="6"/>
      <c r="K132" s="2" t="str">
        <f>IFERROR(__xludf.DUMMYFUNCTION("GOOGLETRANSLATE(A132,""en"",""ur"")"),"131")</f>
        <v>131</v>
      </c>
      <c r="L132" s="2" t="str">
        <f>IFERROR(__xludf.DUMMYFUNCTION("GOOGLETRANSLATE(B132,""en"",""ur"")"),"ملاخرہ_23 میں مرکزی عمل کیا دکھایا گیا ہے؟")</f>
        <v>ملاخرہ_23 میں مرکزی عمل کیا دکھایا گیا ہے؟</v>
      </c>
      <c r="M132" s="2" t="str">
        <f>IFERROR(__xludf.DUMMYFUNCTION("GOOGLETRANSLATE(C132,""en"",""ur"")"),"دو آدمی تلواروں سے لڑ رہے ہیں۔")</f>
        <v>دو آدمی تلواروں سے لڑ رہے ہیں۔</v>
      </c>
      <c r="N132" s="2" t="str">
        <f>IFERROR(__xludf.DUMMYFUNCTION("GOOGLETRANSLATE(D132,""en"",""ur"")"),"دو آدمی ناچ رہے ہیں۔")</f>
        <v>دو آدمی ناچ رہے ہیں۔</v>
      </c>
      <c r="O132" s="2" t="str">
        <f>IFERROR(__xludf.DUMMYFUNCTION("GOOGLETRANSLATE(E132,""en"",""ur"")"),"ایک ریسلنگ میچ میں دو آدمی")</f>
        <v>ایک ریسلنگ میچ میں دو آدمی</v>
      </c>
      <c r="P132" s="2" t="str">
        <f>IFERROR(__xludf.DUMMYFUNCTION("GOOGLETRANSLATE(F132,""en"",""ur"")"),"دو آدمی بھاگ رہے ہیں۔")</f>
        <v>دو آدمی بھاگ رہے ہیں۔</v>
      </c>
      <c r="Q132" s="6" t="s">
        <v>1214</v>
      </c>
      <c r="R132" s="6" t="str">
        <f>IFERROR(__xludf.DUMMYFUNCTION("""COMPUTED_VALUE"""),"ایک ریسلنگ میچ میں دو آدمی")</f>
        <v>ایک ریسلنگ میچ میں دو آدمی</v>
      </c>
      <c r="S132" s="6" t="s">
        <v>1266</v>
      </c>
      <c r="T132" s="6"/>
      <c r="U132" s="6"/>
      <c r="V132" s="6"/>
      <c r="W132" s="6"/>
      <c r="X132" s="6"/>
      <c r="Y132" s="6"/>
      <c r="Z132" s="6"/>
      <c r="AA132" s="6"/>
      <c r="AB132" s="6"/>
    </row>
    <row r="133">
      <c r="A133" s="7">
        <v>132.0</v>
      </c>
      <c r="B133" s="6" t="s">
        <v>1215</v>
      </c>
      <c r="C133" s="6" t="s">
        <v>488</v>
      </c>
      <c r="D133" s="6" t="s">
        <v>1216</v>
      </c>
      <c r="E133" s="6" t="s">
        <v>490</v>
      </c>
      <c r="F133" s="6" t="s">
        <v>246</v>
      </c>
      <c r="G133" s="6" t="s">
        <v>1216</v>
      </c>
      <c r="H133" s="6" t="s">
        <v>1266</v>
      </c>
      <c r="I133" s="6"/>
      <c r="J133" s="6"/>
      <c r="K133" s="2" t="str">
        <f>IFERROR(__xludf.DUMMYFUNCTION("GOOGLETRANSLATE(A133,""en"",""ur"")"),"132")</f>
        <v>132</v>
      </c>
      <c r="L133" s="2" t="str">
        <f>IFERROR(__xludf.DUMMYFUNCTION("GOOGLETRANSLATE(B133,""en"",""ur"")"),"پہلوانوں کے لباس کے بارے میں ایک قابل ذکر تفصیل کیا ہے؟")</f>
        <v>پہلوانوں کے لباس کے بارے میں ایک قابل ذکر تفصیل کیا ہے؟</v>
      </c>
      <c r="M133" s="2" t="str">
        <f>IFERROR(__xludf.DUMMYFUNCTION("GOOGLETRANSLATE(C133,""en"",""ur"")"),"انہوں نے بکتر کا پورا سوٹ پہن رکھا ہے۔")</f>
        <v>انہوں نے بکتر کا پورا سوٹ پہن رکھا ہے۔</v>
      </c>
      <c r="N133" s="2" t="str">
        <f>IFERROR(__xludf.DUMMYFUNCTION("GOOGLETRANSLATE(D133,""en"",""ur"")"),"وہ سارونگ یا پیٹرن والا اسکرٹ پہنے ہوئے ہیں۔")</f>
        <v>وہ سارونگ یا پیٹرن والا اسکرٹ پہنے ہوئے ہیں۔</v>
      </c>
      <c r="O133" s="2" t="str">
        <f>IFERROR(__xludf.DUMMYFUNCTION("GOOGLETRANSLATE(E133,""en"",""ur"")"),"انہوں نے شارٹس اور ٹی شرٹ پہن رکھی ہیں۔")</f>
        <v>انہوں نے شارٹس اور ٹی شرٹ پہن رکھی ہیں۔</v>
      </c>
      <c r="P133" s="2" t="str">
        <f>IFERROR(__xludf.DUMMYFUNCTION("GOOGLETRANSLATE(F133,""en"",""ur"")"),"انہوں نے کوئی لباس نہیں پہنا ہوا ہے۔")</f>
        <v>انہوں نے کوئی لباس نہیں پہنا ہوا ہے۔</v>
      </c>
      <c r="Q133" s="6" t="s">
        <v>1217</v>
      </c>
      <c r="R133" s="6" t="str">
        <f>IFERROR(__xludf.DUMMYFUNCTION("""COMPUTED_VALUE"""),"ایک ریسلنگ میچ میں دو آدمی")</f>
        <v>ایک ریسلنگ میچ میں دو آدمی</v>
      </c>
      <c r="S133" s="6" t="s">
        <v>1266</v>
      </c>
      <c r="T133" s="6"/>
      <c r="U133" s="6"/>
      <c r="V133" s="6"/>
      <c r="W133" s="6"/>
      <c r="X133" s="6"/>
      <c r="Y133" s="6"/>
      <c r="Z133" s="6"/>
      <c r="AA133" s="6"/>
      <c r="AB133" s="6"/>
    </row>
    <row r="134">
      <c r="A134" s="7">
        <v>133.0</v>
      </c>
      <c r="B134" s="6" t="s">
        <v>1193</v>
      </c>
      <c r="C134" s="6" t="s">
        <v>1194</v>
      </c>
      <c r="D134" s="6" t="s">
        <v>1195</v>
      </c>
      <c r="E134" s="6" t="s">
        <v>1196</v>
      </c>
      <c r="F134" s="6" t="s">
        <v>1197</v>
      </c>
      <c r="G134" s="6" t="s">
        <v>1196</v>
      </c>
      <c r="H134" s="6" t="s">
        <v>1266</v>
      </c>
      <c r="I134" s="6"/>
      <c r="J134" s="6"/>
      <c r="K134" s="2" t="str">
        <f>IFERROR(__xludf.DUMMYFUNCTION("GOOGLETRANSLATE(A134,""en"",""ur"")"),"133")</f>
        <v>133</v>
      </c>
      <c r="L134" s="2" t="str">
        <f>IFERROR(__xludf.DUMMYFUNCTION("GOOGLETRANSLATE(B134,""en"",""ur"")"),"کشتی کا ظاہری مقصد کیا ہے؟")</f>
        <v>کشتی کا ظاہری مقصد کیا ہے؟</v>
      </c>
      <c r="M134" s="2" t="str">
        <f>IFERROR(__xludf.DUMMYFUNCTION("GOOGLETRANSLATE(C134,""en"",""ur"")"),"ایک رسمی رقص")</f>
        <v>ایک رسمی رقص</v>
      </c>
      <c r="N134" s="2" t="str">
        <f>IFERROR(__xludf.DUMMYFUNCTION("GOOGLETRANSLATE(D134,""en"",""ur"")"),"ایک دوستانہ مظاہرہ")</f>
        <v>ایک دوستانہ مظاہرہ</v>
      </c>
      <c r="O134" s="2" t="str">
        <f>IFERROR(__xludf.DUMMYFUNCTION("GOOGLETRANSLATE(E134,""en"",""ur"")"),"ٹیک ڈاؤن کے ساتھ ایک مسابقتی میچ")</f>
        <v>ٹیک ڈاؤن کے ساتھ ایک مسابقتی میچ</v>
      </c>
      <c r="P134" s="2" t="str">
        <f>IFERROR(__xludf.DUMMYFUNCTION("GOOGLETRANSLATE(F134,""en"",""ur"")"),"ایک پریکٹس سیشن")</f>
        <v>ایک پریکٹس سیشن</v>
      </c>
      <c r="Q134" s="6" t="s">
        <v>1198</v>
      </c>
      <c r="R134" s="6" t="str">
        <f>IFERROR(__xludf.DUMMYFUNCTION("""COMPUTED_VALUE"""),"ایک ریسلنگ میچ میں دو آدمی")</f>
        <v>ایک ریسلنگ میچ میں دو آدمی</v>
      </c>
      <c r="S134" s="6" t="s">
        <v>1266</v>
      </c>
      <c r="T134" s="6"/>
      <c r="U134" s="6"/>
      <c r="V134" s="6"/>
      <c r="W134" s="6"/>
      <c r="X134" s="6"/>
      <c r="Y134" s="6"/>
      <c r="Z134" s="6"/>
      <c r="AA134" s="6"/>
      <c r="AB134" s="6"/>
    </row>
    <row r="135">
      <c r="A135" s="7">
        <v>134.0</v>
      </c>
      <c r="B135" s="6" t="s">
        <v>991</v>
      </c>
      <c r="C135" s="6" t="s">
        <v>422</v>
      </c>
      <c r="D135" s="6" t="s">
        <v>1199</v>
      </c>
      <c r="E135" s="6" t="s">
        <v>424</v>
      </c>
      <c r="F135" s="6" t="s">
        <v>425</v>
      </c>
      <c r="G135" s="6" t="s">
        <v>1199</v>
      </c>
      <c r="H135" s="6" t="s">
        <v>1266</v>
      </c>
      <c r="I135" s="6"/>
      <c r="J135" s="6"/>
      <c r="K135" s="2" t="str">
        <f>IFERROR(__xludf.DUMMYFUNCTION("GOOGLETRANSLATE(A135,""en"",""ur"")"),"134")</f>
        <v>134</v>
      </c>
      <c r="L135" s="2" t="str">
        <f>IFERROR(__xludf.DUMMYFUNCTION("GOOGLETRANSLATE(B135,""en"",""ur"")"),"واقعہ کی ظاہری ترتیب کیا ہے؟")</f>
        <v>واقعہ کی ظاہری ترتیب کیا ہے؟</v>
      </c>
      <c r="M135" s="2" t="str">
        <f>IFERROR(__xludf.DUMMYFUNCTION("GOOGLETRANSLATE(C135,""en"",""ur"")"),"ایک انڈور اسٹیڈیم")</f>
        <v>ایک انڈور اسٹیڈیم</v>
      </c>
      <c r="N135" s="2" t="str">
        <f>IFERROR(__xludf.DUMMYFUNCTION("GOOGLETRANSLATE(D135,""en"",""ur"")"),"ایک دیہی، بیرونی گندگی کا ایک بڑا ہجوم")</f>
        <v>ایک دیہی، بیرونی گندگی کا ایک بڑا ہجوم</v>
      </c>
      <c r="O135" s="2" t="str">
        <f>IFERROR(__xludf.DUMMYFUNCTION("GOOGLETRANSLATE(E135,""en"",""ur"")"),"شہر کی مصروف گلی")</f>
        <v>شہر کی مصروف گلی</v>
      </c>
      <c r="P135" s="2" t="str">
        <f>IFERROR(__xludf.DUMMYFUNCTION("GOOGLETRANSLATE(F135,""en"",""ur"")"),"گھاس کا میدان")</f>
        <v>گھاس کا میدان</v>
      </c>
      <c r="Q135" s="6" t="s">
        <v>1200</v>
      </c>
      <c r="R135" s="6" t="str">
        <f>IFERROR(__xludf.DUMMYFUNCTION("""COMPUTED_VALUE"""),"ایک ریسلنگ میچ میں دو آدمی")</f>
        <v>ایک ریسلنگ میچ میں دو آدمی</v>
      </c>
      <c r="S135" s="6" t="s">
        <v>1266</v>
      </c>
      <c r="T135" s="6"/>
      <c r="U135" s="6"/>
      <c r="V135" s="6"/>
      <c r="W135" s="6"/>
      <c r="X135" s="6"/>
      <c r="Y135" s="6"/>
      <c r="Z135" s="6"/>
      <c r="AA135" s="6"/>
      <c r="AB135" s="6"/>
    </row>
    <row r="136">
      <c r="A136" s="7">
        <v>135.0</v>
      </c>
      <c r="B136" s="6" t="s">
        <v>1201</v>
      </c>
      <c r="C136" s="6" t="s">
        <v>47</v>
      </c>
      <c r="D136" s="6" t="s">
        <v>48</v>
      </c>
      <c r="E136" s="6" t="s">
        <v>49</v>
      </c>
      <c r="F136" s="6" t="s">
        <v>50</v>
      </c>
      <c r="G136" s="6" t="s">
        <v>49</v>
      </c>
      <c r="H136" s="6" t="s">
        <v>1266</v>
      </c>
      <c r="I136" s="6"/>
      <c r="J136" s="6"/>
      <c r="K136" s="2" t="str">
        <f>IFERROR(__xludf.DUMMYFUNCTION("GOOGLETRANSLATE(A136,""en"",""ur"")"),"135")</f>
        <v>135</v>
      </c>
      <c r="L136" s="2" t="str">
        <f>IFERROR(__xludf.DUMMYFUNCTION("GOOGLETRANSLATE(B136,""en"",""ur"")"),"پہلوانوں کے ظاہری جذبات کیا ہیں؟")</f>
        <v>پہلوانوں کے ظاہری جذبات کیا ہیں؟</v>
      </c>
      <c r="M136" s="2" t="str">
        <f>IFERROR(__xludf.DUMMYFUNCTION("GOOGLETRANSLATE(C136,""en"",""ur"")"),"پرسکون اور پر سکون")</f>
        <v>پرسکون اور پر سکون</v>
      </c>
      <c r="N136" s="2" t="str">
        <f>IFERROR(__xludf.DUMMYFUNCTION("GOOGLETRANSLATE(D136,""en"",""ur"")"),"خوف زدہ اور بے چین")</f>
        <v>خوف زدہ اور بے چین</v>
      </c>
      <c r="O136" s="2" t="str">
        <f>IFERROR(__xludf.DUMMYFUNCTION("GOOGLETRANSLATE(E136,""en"",""ur"")"),"کشیدہ اور شدید")</f>
        <v>کشیدہ اور شدید</v>
      </c>
      <c r="P136" s="2" t="str">
        <f>IFERROR(__xludf.DUMMYFUNCTION("GOOGLETRANSLATE(F136,""en"",""ur"")"),"خوش اور مسکراتے ہوئے۔")</f>
        <v>خوش اور مسکراتے ہوئے۔</v>
      </c>
      <c r="Q136" s="6" t="s">
        <v>51</v>
      </c>
      <c r="R136" s="6" t="str">
        <f>IFERROR(__xludf.DUMMYFUNCTION("""COMPUTED_VALUE"""),"ایک ریسلنگ میچ میں دو آدمی")</f>
        <v>ایک ریسلنگ میچ میں دو آدمی</v>
      </c>
      <c r="S136" s="6" t="s">
        <v>1266</v>
      </c>
      <c r="T136" s="6"/>
      <c r="U136" s="6"/>
      <c r="V136" s="6"/>
      <c r="W136" s="6"/>
      <c r="X136" s="6"/>
      <c r="Y136" s="6"/>
      <c r="Z136" s="6"/>
      <c r="AA136" s="6"/>
      <c r="AB136" s="6"/>
    </row>
    <row r="137">
      <c r="A137" s="7">
        <v>136.0</v>
      </c>
      <c r="B137" s="6" t="s">
        <v>1218</v>
      </c>
      <c r="C137" s="6" t="s">
        <v>429</v>
      </c>
      <c r="D137" s="6" t="s">
        <v>430</v>
      </c>
      <c r="E137" s="6" t="s">
        <v>431</v>
      </c>
      <c r="F137" s="6" t="s">
        <v>432</v>
      </c>
      <c r="G137" s="6" t="s">
        <v>430</v>
      </c>
      <c r="H137" s="6" t="s">
        <v>1266</v>
      </c>
      <c r="I137" s="6"/>
      <c r="J137" s="6"/>
      <c r="K137" s="2" t="str">
        <f>IFERROR(__xludf.DUMMYFUNCTION("GOOGLETRANSLATE(A137,""en"",""ur"")"),"136")</f>
        <v>136</v>
      </c>
      <c r="L137" s="2" t="str">
        <f>IFERROR(__xludf.DUMMYFUNCTION("GOOGLETRANSLATE(B137,""en"",""ur"")"),"پہلوانوں کی ظاہری جسمانی پوزیشن کیا ہے؟")</f>
        <v>پہلوانوں کی ظاہری جسمانی پوزیشن کیا ہے؟</v>
      </c>
      <c r="M137" s="2" t="str">
        <f>IFERROR(__xludf.DUMMYFUNCTION("GOOGLETRANSLATE(C137,""en"",""ur"")"),"سیدھا کھڑا ہونا")</f>
        <v>سیدھا کھڑا ہونا</v>
      </c>
      <c r="N137" s="2" t="str">
        <f>IFERROR(__xludf.DUMMYFUNCTION("GOOGLETRANSLATE(D137,""en"",""ur"")"),"کم، متحرک موقف میں")</f>
        <v>کم، متحرک موقف میں</v>
      </c>
      <c r="O137" s="2" t="str">
        <f>IFERROR(__xludf.DUMMYFUNCTION("GOOGLETRANSLATE(E137,""en"",""ur"")"),"زمین پر لیٹنا")</f>
        <v>زمین پر لیٹنا</v>
      </c>
      <c r="P137" s="2" t="str">
        <f>IFERROR(__xludf.DUMMYFUNCTION("GOOGLETRANSLATE(F137,""en"",""ur"")"),"بیٹھا ہوا")</f>
        <v>بیٹھا ہوا</v>
      </c>
      <c r="Q137" s="6" t="s">
        <v>433</v>
      </c>
      <c r="R137" s="6" t="str">
        <f>IFERROR(__xludf.DUMMYFUNCTION("""COMPUTED_VALUE"""),"ایک ریسلنگ میچ میں دو آدمی")</f>
        <v>ایک ریسلنگ میچ میں دو آدمی</v>
      </c>
      <c r="S137" s="6" t="s">
        <v>1266</v>
      </c>
      <c r="T137" s="6"/>
      <c r="U137" s="6"/>
      <c r="V137" s="6"/>
      <c r="W137" s="6"/>
      <c r="X137" s="6"/>
      <c r="Y137" s="6"/>
      <c r="Z137" s="6"/>
      <c r="AA137" s="6"/>
      <c r="AB137" s="6"/>
    </row>
    <row r="138">
      <c r="A138" s="7">
        <v>137.0</v>
      </c>
      <c r="B138" s="6" t="s">
        <v>434</v>
      </c>
      <c r="C138" s="6" t="s">
        <v>435</v>
      </c>
      <c r="D138" s="6" t="s">
        <v>436</v>
      </c>
      <c r="E138" s="6" t="s">
        <v>1203</v>
      </c>
      <c r="F138" s="6" t="s">
        <v>438</v>
      </c>
      <c r="G138" s="6" t="s">
        <v>1203</v>
      </c>
      <c r="H138" s="6" t="s">
        <v>1266</v>
      </c>
      <c r="I138" s="6"/>
      <c r="J138" s="6"/>
      <c r="K138" s="2" t="str">
        <f>IFERROR(__xludf.DUMMYFUNCTION("GOOGLETRANSLATE(A138,""en"",""ur"")"),"137")</f>
        <v>137</v>
      </c>
      <c r="L138" s="2" t="str">
        <f>IFERROR(__xludf.DUMMYFUNCTION("GOOGLETRANSLATE(B138,""en"",""ur"")"),"پس منظر میں ہجوم کی سب سے نمایاں خصوصیت کیا ہے؟")</f>
        <v>پس منظر میں ہجوم کی سب سے نمایاں خصوصیت کیا ہے؟</v>
      </c>
      <c r="M138" s="2" t="str">
        <f>IFERROR(__xludf.DUMMYFUNCTION("GOOGLETRANSLATE(C138,""en"",""ur"")"),"وہ بھاگ رہے ہیں۔")</f>
        <v>وہ بھاگ رہے ہیں۔</v>
      </c>
      <c r="N138" s="2" t="str">
        <f>IFERROR(__xludf.DUMMYFUNCTION("GOOGLETRANSLATE(D138,""en"",""ur"")"),"وہ خاموش بیٹھے ہیں۔")</f>
        <v>وہ خاموش بیٹھے ہیں۔</v>
      </c>
      <c r="O138" s="2" t="str">
        <f>IFERROR(__xludf.DUMMYFUNCTION("GOOGLETRANSLATE(E138,""en"",""ur"")"),"وہ باڑ کے پیچھے سے میچ دیکھ رہے ہیں۔")</f>
        <v>وہ باڑ کے پیچھے سے میچ دیکھ رہے ہیں۔</v>
      </c>
      <c r="P138" s="2" t="str">
        <f>IFERROR(__xludf.DUMMYFUNCTION("GOOGLETRANSLATE(F138,""en"",""ur"")"),"وہ سب ایک اسٹیج پر کھڑے ہیں۔")</f>
        <v>وہ سب ایک اسٹیج پر کھڑے ہیں۔</v>
      </c>
      <c r="Q138" s="6" t="s">
        <v>1204</v>
      </c>
      <c r="R138" s="6" t="str">
        <f>IFERROR(__xludf.DUMMYFUNCTION("""COMPUTED_VALUE"""),"ایک ریسلنگ میچ میں دو آدمی")</f>
        <v>ایک ریسلنگ میچ میں دو آدمی</v>
      </c>
      <c r="S138" s="6" t="s">
        <v>1266</v>
      </c>
      <c r="T138" s="6"/>
      <c r="U138" s="6"/>
      <c r="V138" s="6"/>
      <c r="W138" s="6"/>
      <c r="X138" s="6"/>
      <c r="Y138" s="6"/>
      <c r="Z138" s="6"/>
      <c r="AA138" s="6"/>
      <c r="AB138" s="6"/>
    </row>
    <row r="139">
      <c r="A139" s="7">
        <v>138.0</v>
      </c>
      <c r="B139" s="6" t="s">
        <v>440</v>
      </c>
      <c r="C139" s="6" t="s">
        <v>441</v>
      </c>
      <c r="D139" s="6" t="s">
        <v>442</v>
      </c>
      <c r="E139" s="6" t="s">
        <v>512</v>
      </c>
      <c r="F139" s="6" t="s">
        <v>444</v>
      </c>
      <c r="G139" s="6" t="s">
        <v>512</v>
      </c>
      <c r="H139" s="6" t="s">
        <v>1266</v>
      </c>
      <c r="I139" s="6"/>
      <c r="J139" s="6"/>
      <c r="K139" s="2" t="str">
        <f>IFERROR(__xludf.DUMMYFUNCTION("GOOGLETRANSLATE(A139,""en"",""ur"")"),"138")</f>
        <v>138</v>
      </c>
      <c r="L139" s="2" t="str">
        <f>IFERROR(__xludf.DUMMYFUNCTION("GOOGLETRANSLATE(B139,""en"",""ur"")"),"زمین کی ظاہری حالت کیا ہے؟")</f>
        <v>زمین کی ظاہری حالت کیا ہے؟</v>
      </c>
      <c r="M139" s="2" t="str">
        <f>IFERROR(__xludf.DUMMYFUNCTION("GOOGLETRANSLATE(C139,""en"",""ur"")"),"یہ ایک پکی سطح ہے۔")</f>
        <v>یہ ایک پکی سطح ہے۔</v>
      </c>
      <c r="N139" s="2" t="str">
        <f>IFERROR(__xludf.DUMMYFUNCTION("GOOGLETRANSLATE(D139,""en"",""ur"")"),"یہ ایک کیچڑ والا میدان ہے۔")</f>
        <v>یہ ایک کیچڑ والا میدان ہے۔</v>
      </c>
      <c r="O139" s="2" t="str">
        <f>IFERROR(__xludf.DUMMYFUNCTION("GOOGLETRANSLATE(E139,""en"",""ur"")"),"یہ ایک ریتلی یا گندگی کی سطح ہے۔")</f>
        <v>یہ ایک ریتلی یا گندگی کی سطح ہے۔</v>
      </c>
      <c r="P139" s="2" t="str">
        <f>IFERROR(__xludf.DUMMYFUNCTION("GOOGLETRANSLATE(F139,""en"",""ur"")"),"یہ ایک گھاس والی سطح ہے۔")</f>
        <v>یہ ایک گھاس والی سطح ہے۔</v>
      </c>
      <c r="Q139" s="6" t="s">
        <v>1219</v>
      </c>
      <c r="R139" s="6" t="str">
        <f>IFERROR(__xludf.DUMMYFUNCTION("""COMPUTED_VALUE"""),"ایک ریسلنگ میچ میں دو آدمی")</f>
        <v>ایک ریسلنگ میچ میں دو آدمی</v>
      </c>
      <c r="S139" s="6" t="s">
        <v>1266</v>
      </c>
      <c r="T139" s="6"/>
      <c r="U139" s="6"/>
      <c r="V139" s="6"/>
      <c r="W139" s="6"/>
      <c r="X139" s="6"/>
      <c r="Y139" s="6"/>
      <c r="Z139" s="6"/>
      <c r="AA139" s="6"/>
      <c r="AB139" s="6"/>
    </row>
    <row r="140">
      <c r="A140" s="7">
        <v>139.0</v>
      </c>
      <c r="B140" s="6" t="s">
        <v>1205</v>
      </c>
      <c r="C140" s="6" t="s">
        <v>1206</v>
      </c>
      <c r="D140" s="6" t="s">
        <v>1207</v>
      </c>
      <c r="E140" s="6" t="s">
        <v>1208</v>
      </c>
      <c r="F140" s="6" t="s">
        <v>449</v>
      </c>
      <c r="G140" s="6" t="s">
        <v>1208</v>
      </c>
      <c r="H140" s="6" t="s">
        <v>1266</v>
      </c>
      <c r="I140" s="6"/>
      <c r="J140" s="6"/>
      <c r="K140" s="2" t="str">
        <f>IFERROR(__xludf.DUMMYFUNCTION("GOOGLETRANSLATE(A140,""en"",""ur"")"),"139")</f>
        <v>139</v>
      </c>
      <c r="L140" s="2" t="str">
        <f>IFERROR(__xludf.DUMMYFUNCTION("GOOGLETRANSLATE(B140,""en"",""ur"")"),"لمبی اسکرٹس کا بنیادی مقصد کیا ہے؟")</f>
        <v>لمبی اسکرٹس کا بنیادی مقصد کیا ہے؟</v>
      </c>
      <c r="M140" s="2" t="str">
        <f>IFERROR(__xludf.DUMMYFUNCTION("GOOGLETRANSLATE(C140,""en"",""ur"")"),"پہلوانوں کی ٹانگوں کی حفاظت کے لیے")</f>
        <v>پہلوانوں کی ٹانگوں کی حفاظت کے لیے</v>
      </c>
      <c r="N140" s="2" t="str">
        <f>IFERROR(__xludf.DUMMYFUNCTION("GOOGLETRANSLATE(D140,""en"",""ur"")"),"پہلوانوں کو مزید چست بنانے کے لیے")</f>
        <v>پہلوانوں کو مزید چست بنانے کے لیے</v>
      </c>
      <c r="O140" s="2" t="str">
        <f>IFERROR(__xludf.DUMMYFUNCTION("GOOGLETRANSLATE(E140,""en"",""ur"")"),"روایتی لباس اور لڑائی کے دوران گرفت کے لیے")</f>
        <v>روایتی لباس اور لڑائی کے دوران گرفت کے لیے</v>
      </c>
      <c r="P140" s="2" t="str">
        <f>IFERROR(__xludf.DUMMYFUNCTION("GOOGLETRANSLATE(F140,""en"",""ur"")"),"صرف سجاوٹ کے لیے")</f>
        <v>صرف سجاوٹ کے لیے</v>
      </c>
      <c r="Q140" s="6" t="s">
        <v>1209</v>
      </c>
      <c r="R140" s="6" t="str">
        <f>IFERROR(__xludf.DUMMYFUNCTION("""COMPUTED_VALUE"""),"ایک ریسلنگ میچ میں دو آدمی")</f>
        <v>ایک ریسلنگ میچ میں دو آدمی</v>
      </c>
      <c r="S140" s="6" t="s">
        <v>1266</v>
      </c>
      <c r="T140" s="6"/>
      <c r="U140" s="6"/>
      <c r="V140" s="6"/>
      <c r="W140" s="6"/>
      <c r="X140" s="6"/>
      <c r="Y140" s="6"/>
      <c r="Z140" s="6"/>
      <c r="AA140" s="6"/>
      <c r="AB140" s="6"/>
    </row>
    <row r="141">
      <c r="A141" s="7">
        <v>140.0</v>
      </c>
      <c r="B141" s="6" t="s">
        <v>260</v>
      </c>
      <c r="C141" s="6" t="s">
        <v>261</v>
      </c>
      <c r="D141" s="6" t="s">
        <v>262</v>
      </c>
      <c r="E141" s="6" t="s">
        <v>1210</v>
      </c>
      <c r="F141" s="6" t="s">
        <v>264</v>
      </c>
      <c r="G141" s="6" t="s">
        <v>1210</v>
      </c>
      <c r="H141" s="6" t="s">
        <v>1266</v>
      </c>
      <c r="I141" s="6"/>
      <c r="J141" s="6"/>
      <c r="K141" s="2" t="str">
        <f>IFERROR(__xludf.DUMMYFUNCTION("GOOGLETRANSLATE(A141,""en"",""ur"")"),"140")</f>
        <v>140</v>
      </c>
      <c r="L141" s="2" t="str">
        <f>IFERROR(__xludf.DUMMYFUNCTION("GOOGLETRANSLATE(B141,""en"",""ur"")"),"تصویر میں ایکشن ایک ایسا انداز تجویز کرتا ہے جو اس بات پر زور دیتا ہے...")</f>
        <v>تصویر میں ایکشن ایک ایسا انداز تجویز کرتا ہے جو اس بات پر زور دیتا ہے...</v>
      </c>
      <c r="M141" s="2" t="str">
        <f>IFERROR(__xludf.DUMMYFUNCTION("GOOGLETRANSLATE(C141,""en"",""ur"")"),"روانی اور قلابازیاں")</f>
        <v>روانی اور قلابازیاں</v>
      </c>
      <c r="N141" s="2" t="str">
        <f>IFERROR(__xludf.DUMMYFUNCTION("GOOGLETRANSLATE(D141,""en"",""ur"")"),"زمینی لڑائی اور گرفت")</f>
        <v>زمینی لڑائی اور گرفت</v>
      </c>
      <c r="O141" s="2" t="str">
        <f>IFERROR(__xludf.DUMMYFUNCTION("GOOGLETRANSLATE(E141,""en"",""ur"")"),"وحشیانہ طاقت اور ٹیک ڈاؤن")</f>
        <v>وحشیانہ طاقت اور ٹیک ڈاؤن</v>
      </c>
      <c r="P141" s="2" t="str">
        <f>IFERROR(__xludf.DUMMYFUNCTION("GOOGLETRANSLATE(F141,""en"",""ur"")"),"سادہ، لکیری حرکات")</f>
        <v>سادہ، لکیری حرکات</v>
      </c>
      <c r="Q141" s="6" t="s">
        <v>1211</v>
      </c>
      <c r="R141" s="6" t="str">
        <f>IFERROR(__xludf.DUMMYFUNCTION("""COMPUTED_VALUE"""),"ایک ریسلنگ میچ میں دو آدمی")</f>
        <v>ایک ریسلنگ میچ میں دو آدمی</v>
      </c>
      <c r="S141" s="6" t="s">
        <v>1266</v>
      </c>
      <c r="T141" s="6"/>
      <c r="U141" s="6"/>
      <c r="V141" s="6"/>
      <c r="W141" s="6"/>
      <c r="X141" s="6"/>
      <c r="Y141" s="6"/>
      <c r="Z141" s="6"/>
      <c r="AA141" s="6"/>
      <c r="AB141" s="6"/>
    </row>
    <row r="142">
      <c r="A142" s="7">
        <v>141.0</v>
      </c>
      <c r="B142" s="6" t="s">
        <v>1267</v>
      </c>
      <c r="C142" s="6" t="s">
        <v>405</v>
      </c>
      <c r="D142" s="6" t="s">
        <v>406</v>
      </c>
      <c r="E142" s="6" t="s">
        <v>1184</v>
      </c>
      <c r="F142" s="6" t="s">
        <v>1185</v>
      </c>
      <c r="G142" s="6" t="s">
        <v>1184</v>
      </c>
      <c r="H142" s="6" t="s">
        <v>1268</v>
      </c>
      <c r="I142" s="6"/>
      <c r="J142" s="6"/>
      <c r="K142" s="2" t="str">
        <f>IFERROR(__xludf.DUMMYFUNCTION("GOOGLETRANSLATE(A142,""en"",""ur"")"),"141")</f>
        <v>141</v>
      </c>
      <c r="L142" s="2" t="str">
        <f>IFERROR(__xludf.DUMMYFUNCTION("GOOGLETRANSLATE(B142,""en"",""ur"")"),"ملاخرہ_39 میں دکھایا گیا اصل عمل کیا ہے؟")</f>
        <v>ملاخرہ_39 میں دکھایا گیا اصل عمل کیا ہے؟</v>
      </c>
      <c r="M142" s="2" t="str">
        <f>IFERROR(__xludf.DUMMYFUNCTION("GOOGLETRANSLATE(C142,""en"",""ur"")"),"دو آدمی تلواروں سے لڑ رہے ہیں۔")</f>
        <v>دو آدمی تلواروں سے لڑ رہے ہیں۔</v>
      </c>
      <c r="N142" s="2" t="str">
        <f>IFERROR(__xludf.DUMMYFUNCTION("GOOGLETRANSLATE(D142,""en"",""ur"")"),"دو آدمی ناچ رہے ہیں۔")</f>
        <v>دو آدمی ناچ رہے ہیں۔</v>
      </c>
      <c r="O142" s="2" t="str">
        <f>IFERROR(__xludf.DUMMYFUNCTION("GOOGLETRANSLATE(E142,""en"",""ur"")"),"ایک ریسلنگ میچ میں دو آدمی")</f>
        <v>ایک ریسلنگ میچ میں دو آدمی</v>
      </c>
      <c r="P142" s="2" t="str">
        <f>IFERROR(__xludf.DUMMYFUNCTION("GOOGLETRANSLATE(F142,""en"",""ur"")"),"دو آدمی بھاگ رہے ہیں۔")</f>
        <v>دو آدمی بھاگ رہے ہیں۔</v>
      </c>
      <c r="Q142" s="6" t="s">
        <v>1214</v>
      </c>
      <c r="R142" s="6" t="str">
        <f>IFERROR(__xludf.DUMMYFUNCTION("""COMPUTED_VALUE"""),"ایک ریسلنگ میچ میں دو آدمی")</f>
        <v>ایک ریسلنگ میچ میں دو آدمی</v>
      </c>
      <c r="S142" s="6" t="s">
        <v>1268</v>
      </c>
      <c r="T142" s="6"/>
      <c r="U142" s="6"/>
      <c r="V142" s="6"/>
      <c r="W142" s="6"/>
      <c r="X142" s="6"/>
      <c r="Y142" s="6"/>
      <c r="Z142" s="6"/>
      <c r="AA142" s="6"/>
      <c r="AB142" s="6"/>
    </row>
    <row r="143">
      <c r="A143" s="7">
        <v>142.0</v>
      </c>
      <c r="B143" s="6" t="s">
        <v>1215</v>
      </c>
      <c r="C143" s="6" t="s">
        <v>488</v>
      </c>
      <c r="D143" s="6" t="s">
        <v>1216</v>
      </c>
      <c r="E143" s="6" t="s">
        <v>490</v>
      </c>
      <c r="F143" s="6" t="s">
        <v>246</v>
      </c>
      <c r="G143" s="6" t="s">
        <v>1216</v>
      </c>
      <c r="H143" s="6" t="s">
        <v>1268</v>
      </c>
      <c r="I143" s="6"/>
      <c r="J143" s="6"/>
      <c r="K143" s="2" t="str">
        <f>IFERROR(__xludf.DUMMYFUNCTION("GOOGLETRANSLATE(A143,""en"",""ur"")"),"142")</f>
        <v>142</v>
      </c>
      <c r="L143" s="2" t="str">
        <f>IFERROR(__xludf.DUMMYFUNCTION("GOOGLETRANSLATE(B143,""en"",""ur"")"),"پہلوانوں کے لباس کے بارے میں ایک قابل ذکر تفصیل کیا ہے؟")</f>
        <v>پہلوانوں کے لباس کے بارے میں ایک قابل ذکر تفصیل کیا ہے؟</v>
      </c>
      <c r="M143" s="2" t="str">
        <f>IFERROR(__xludf.DUMMYFUNCTION("GOOGLETRANSLATE(C143,""en"",""ur"")"),"انہوں نے بکتر کا پورا سوٹ پہن رکھا ہے۔")</f>
        <v>انہوں نے بکتر کا پورا سوٹ پہن رکھا ہے۔</v>
      </c>
      <c r="N143" s="2" t="str">
        <f>IFERROR(__xludf.DUMMYFUNCTION("GOOGLETRANSLATE(D143,""en"",""ur"")"),"وہ سارونگ یا پیٹرن والا اسکرٹ پہنے ہوئے ہیں۔")</f>
        <v>وہ سارونگ یا پیٹرن والا اسکرٹ پہنے ہوئے ہیں۔</v>
      </c>
      <c r="O143" s="2" t="str">
        <f>IFERROR(__xludf.DUMMYFUNCTION("GOOGLETRANSLATE(E143,""en"",""ur"")"),"انہوں نے شارٹس اور ٹی شرٹ پہن رکھی ہیں۔")</f>
        <v>انہوں نے شارٹس اور ٹی شرٹ پہن رکھی ہیں۔</v>
      </c>
      <c r="P143" s="2" t="str">
        <f>IFERROR(__xludf.DUMMYFUNCTION("GOOGLETRANSLATE(F143,""en"",""ur"")"),"انہوں نے کوئی لباس نہیں پہنا ہوا ہے۔")</f>
        <v>انہوں نے کوئی لباس نہیں پہنا ہوا ہے۔</v>
      </c>
      <c r="Q143" s="6" t="s">
        <v>1217</v>
      </c>
      <c r="R143" s="6" t="str">
        <f>IFERROR(__xludf.DUMMYFUNCTION("""COMPUTED_VALUE"""),"ایک ریسلنگ میچ میں دو آدمی")</f>
        <v>ایک ریسلنگ میچ میں دو آدمی</v>
      </c>
      <c r="S143" s="6" t="s">
        <v>1268</v>
      </c>
      <c r="T143" s="6"/>
      <c r="U143" s="6"/>
      <c r="V143" s="6"/>
      <c r="W143" s="6"/>
      <c r="X143" s="6"/>
      <c r="Y143" s="6"/>
      <c r="Z143" s="6"/>
      <c r="AA143" s="6"/>
      <c r="AB143" s="6"/>
    </row>
    <row r="144">
      <c r="A144" s="7">
        <v>143.0</v>
      </c>
      <c r="B144" s="6" t="s">
        <v>1193</v>
      </c>
      <c r="C144" s="6" t="s">
        <v>1194</v>
      </c>
      <c r="D144" s="6" t="s">
        <v>1195</v>
      </c>
      <c r="E144" s="6" t="s">
        <v>1196</v>
      </c>
      <c r="F144" s="6" t="s">
        <v>1197</v>
      </c>
      <c r="G144" s="6" t="s">
        <v>1196</v>
      </c>
      <c r="H144" s="6" t="s">
        <v>1268</v>
      </c>
      <c r="I144" s="6"/>
      <c r="J144" s="6"/>
      <c r="K144" s="2" t="str">
        <f>IFERROR(__xludf.DUMMYFUNCTION("GOOGLETRANSLATE(A144,""en"",""ur"")"),"143")</f>
        <v>143</v>
      </c>
      <c r="L144" s="2" t="str">
        <f>IFERROR(__xludf.DUMMYFUNCTION("GOOGLETRANSLATE(B144,""en"",""ur"")"),"کشتی کا ظاہری مقصد کیا ہے؟")</f>
        <v>کشتی کا ظاہری مقصد کیا ہے؟</v>
      </c>
      <c r="M144" s="2" t="str">
        <f>IFERROR(__xludf.DUMMYFUNCTION("GOOGLETRANSLATE(C144,""en"",""ur"")"),"ایک رسمی رقص")</f>
        <v>ایک رسمی رقص</v>
      </c>
      <c r="N144" s="2" t="str">
        <f>IFERROR(__xludf.DUMMYFUNCTION("GOOGLETRANSLATE(D144,""en"",""ur"")"),"ایک دوستانہ مظاہرہ")</f>
        <v>ایک دوستانہ مظاہرہ</v>
      </c>
      <c r="O144" s="2" t="str">
        <f>IFERROR(__xludf.DUMMYFUNCTION("GOOGLETRANSLATE(E144,""en"",""ur"")"),"ٹیک ڈاؤن کے ساتھ ایک مسابقتی میچ")</f>
        <v>ٹیک ڈاؤن کے ساتھ ایک مسابقتی میچ</v>
      </c>
      <c r="P144" s="2" t="str">
        <f>IFERROR(__xludf.DUMMYFUNCTION("GOOGLETRANSLATE(F144,""en"",""ur"")"),"ایک پریکٹس سیشن")</f>
        <v>ایک پریکٹس سیشن</v>
      </c>
      <c r="Q144" s="6" t="s">
        <v>1198</v>
      </c>
      <c r="R144" s="6" t="str">
        <f>IFERROR(__xludf.DUMMYFUNCTION("""COMPUTED_VALUE"""),"ایک ریسلنگ میچ میں دو آدمی")</f>
        <v>ایک ریسلنگ میچ میں دو آدمی</v>
      </c>
      <c r="S144" s="6" t="s">
        <v>1268</v>
      </c>
      <c r="T144" s="6"/>
      <c r="U144" s="6"/>
      <c r="V144" s="6"/>
      <c r="W144" s="6"/>
      <c r="X144" s="6"/>
      <c r="Y144" s="6"/>
      <c r="Z144" s="6"/>
      <c r="AA144" s="6"/>
      <c r="AB144" s="6"/>
    </row>
    <row r="145">
      <c r="A145" s="7">
        <v>144.0</v>
      </c>
      <c r="B145" s="6" t="s">
        <v>991</v>
      </c>
      <c r="C145" s="6" t="s">
        <v>422</v>
      </c>
      <c r="D145" s="6" t="s">
        <v>1199</v>
      </c>
      <c r="E145" s="6" t="s">
        <v>424</v>
      </c>
      <c r="F145" s="6" t="s">
        <v>425</v>
      </c>
      <c r="G145" s="6" t="s">
        <v>1199</v>
      </c>
      <c r="H145" s="6" t="s">
        <v>1268</v>
      </c>
      <c r="I145" s="6"/>
      <c r="J145" s="6"/>
      <c r="K145" s="2" t="str">
        <f>IFERROR(__xludf.DUMMYFUNCTION("GOOGLETRANSLATE(A145,""en"",""ur"")"),"144")</f>
        <v>144</v>
      </c>
      <c r="L145" s="2" t="str">
        <f>IFERROR(__xludf.DUMMYFUNCTION("GOOGLETRANSLATE(B145,""en"",""ur"")"),"واقعہ کی ظاہری ترتیب کیا ہے؟")</f>
        <v>واقعہ کی ظاہری ترتیب کیا ہے؟</v>
      </c>
      <c r="M145" s="2" t="str">
        <f>IFERROR(__xludf.DUMMYFUNCTION("GOOGLETRANSLATE(C145,""en"",""ur"")"),"ایک انڈور اسٹیڈیم")</f>
        <v>ایک انڈور اسٹیڈیم</v>
      </c>
      <c r="N145" s="2" t="str">
        <f>IFERROR(__xludf.DUMMYFUNCTION("GOOGLETRANSLATE(D145,""en"",""ur"")"),"ایک دیہی، بیرونی گندگی کا ایک بڑا ہجوم")</f>
        <v>ایک دیہی، بیرونی گندگی کا ایک بڑا ہجوم</v>
      </c>
      <c r="O145" s="2" t="str">
        <f>IFERROR(__xludf.DUMMYFUNCTION("GOOGLETRANSLATE(E145,""en"",""ur"")"),"شہر کی مصروف گلی")</f>
        <v>شہر کی مصروف گلی</v>
      </c>
      <c r="P145" s="2" t="str">
        <f>IFERROR(__xludf.DUMMYFUNCTION("GOOGLETRANSLATE(F145,""en"",""ur"")"),"گھاس کا میدان")</f>
        <v>گھاس کا میدان</v>
      </c>
      <c r="Q145" s="6" t="s">
        <v>1200</v>
      </c>
      <c r="R145" s="6" t="str">
        <f>IFERROR(__xludf.DUMMYFUNCTION("""COMPUTED_VALUE"""),"ایک ریسلنگ میچ میں دو آدمی")</f>
        <v>ایک ریسلنگ میچ میں دو آدمی</v>
      </c>
      <c r="S145" s="6" t="s">
        <v>1268</v>
      </c>
      <c r="T145" s="6"/>
      <c r="U145" s="6"/>
      <c r="V145" s="6"/>
      <c r="W145" s="6"/>
      <c r="X145" s="6"/>
      <c r="Y145" s="6"/>
      <c r="Z145" s="6"/>
      <c r="AA145" s="6"/>
      <c r="AB145" s="6"/>
    </row>
    <row r="146">
      <c r="A146" s="7">
        <v>145.0</v>
      </c>
      <c r="B146" s="6" t="s">
        <v>1201</v>
      </c>
      <c r="C146" s="6" t="s">
        <v>47</v>
      </c>
      <c r="D146" s="6" t="s">
        <v>48</v>
      </c>
      <c r="E146" s="6" t="s">
        <v>49</v>
      </c>
      <c r="F146" s="6" t="s">
        <v>50</v>
      </c>
      <c r="G146" s="6" t="s">
        <v>49</v>
      </c>
      <c r="H146" s="6" t="s">
        <v>1268</v>
      </c>
      <c r="I146" s="6"/>
      <c r="J146" s="6"/>
      <c r="K146" s="2" t="str">
        <f>IFERROR(__xludf.DUMMYFUNCTION("GOOGLETRANSLATE(A146,""en"",""ur"")"),"145")</f>
        <v>145</v>
      </c>
      <c r="L146" s="2" t="str">
        <f>IFERROR(__xludf.DUMMYFUNCTION("GOOGLETRANSLATE(B146,""en"",""ur"")"),"پہلوانوں کے ظاہری جذبات کیا ہیں؟")</f>
        <v>پہلوانوں کے ظاہری جذبات کیا ہیں؟</v>
      </c>
      <c r="M146" s="2" t="str">
        <f>IFERROR(__xludf.DUMMYFUNCTION("GOOGLETRANSLATE(C146,""en"",""ur"")"),"پرسکون اور پر سکون")</f>
        <v>پرسکون اور پر سکون</v>
      </c>
      <c r="N146" s="2" t="str">
        <f>IFERROR(__xludf.DUMMYFUNCTION("GOOGLETRANSLATE(D146,""en"",""ur"")"),"خوف زدہ اور بے چین")</f>
        <v>خوف زدہ اور بے چین</v>
      </c>
      <c r="O146" s="2" t="str">
        <f>IFERROR(__xludf.DUMMYFUNCTION("GOOGLETRANSLATE(E146,""en"",""ur"")"),"کشیدہ اور شدید")</f>
        <v>کشیدہ اور شدید</v>
      </c>
      <c r="P146" s="2" t="str">
        <f>IFERROR(__xludf.DUMMYFUNCTION("GOOGLETRANSLATE(F146,""en"",""ur"")"),"خوش اور مسکراتے ہوئے۔")</f>
        <v>خوش اور مسکراتے ہوئے۔</v>
      </c>
      <c r="Q146" s="6" t="s">
        <v>51</v>
      </c>
      <c r="R146" s="6" t="str">
        <f>IFERROR(__xludf.DUMMYFUNCTION("""COMPUTED_VALUE"""),"ایک ریسلنگ میچ میں دو آدمی")</f>
        <v>ایک ریسلنگ میچ میں دو آدمی</v>
      </c>
      <c r="S146" s="6" t="s">
        <v>1268</v>
      </c>
      <c r="T146" s="6"/>
      <c r="U146" s="6"/>
      <c r="V146" s="6"/>
      <c r="W146" s="6"/>
      <c r="X146" s="6"/>
      <c r="Y146" s="6"/>
      <c r="Z146" s="6"/>
      <c r="AA146" s="6"/>
      <c r="AB146" s="6"/>
    </row>
    <row r="147">
      <c r="A147" s="7">
        <v>146.0</v>
      </c>
      <c r="B147" s="6" t="s">
        <v>1218</v>
      </c>
      <c r="C147" s="6" t="s">
        <v>429</v>
      </c>
      <c r="D147" s="6" t="s">
        <v>430</v>
      </c>
      <c r="E147" s="6" t="s">
        <v>431</v>
      </c>
      <c r="F147" s="6" t="s">
        <v>432</v>
      </c>
      <c r="G147" s="6" t="s">
        <v>430</v>
      </c>
      <c r="H147" s="6" t="s">
        <v>1268</v>
      </c>
      <c r="I147" s="6"/>
      <c r="J147" s="6"/>
      <c r="K147" s="2" t="str">
        <f>IFERROR(__xludf.DUMMYFUNCTION("GOOGLETRANSLATE(A147,""en"",""ur"")"),"146")</f>
        <v>146</v>
      </c>
      <c r="L147" s="2" t="str">
        <f>IFERROR(__xludf.DUMMYFUNCTION("GOOGLETRANSLATE(B147,""en"",""ur"")"),"پہلوانوں کی ظاہری جسمانی پوزیشن کیا ہے؟")</f>
        <v>پہلوانوں کی ظاہری جسمانی پوزیشن کیا ہے؟</v>
      </c>
      <c r="M147" s="2" t="str">
        <f>IFERROR(__xludf.DUMMYFUNCTION("GOOGLETRANSLATE(C147,""en"",""ur"")"),"سیدھا کھڑا ہونا")</f>
        <v>سیدھا کھڑا ہونا</v>
      </c>
      <c r="N147" s="2" t="str">
        <f>IFERROR(__xludf.DUMMYFUNCTION("GOOGLETRANSLATE(D147,""en"",""ur"")"),"کم، متحرک موقف میں")</f>
        <v>کم، متحرک موقف میں</v>
      </c>
      <c r="O147" s="2" t="str">
        <f>IFERROR(__xludf.DUMMYFUNCTION("GOOGLETRANSLATE(E147,""en"",""ur"")"),"زمین پر لیٹنا")</f>
        <v>زمین پر لیٹنا</v>
      </c>
      <c r="P147" s="2" t="str">
        <f>IFERROR(__xludf.DUMMYFUNCTION("GOOGLETRANSLATE(F147,""en"",""ur"")"),"بیٹھا ہوا")</f>
        <v>بیٹھا ہوا</v>
      </c>
      <c r="Q147" s="6" t="s">
        <v>433</v>
      </c>
      <c r="R147" s="6" t="str">
        <f>IFERROR(__xludf.DUMMYFUNCTION("""COMPUTED_VALUE"""),"ایک ریسلنگ میچ میں دو آدمی")</f>
        <v>ایک ریسلنگ میچ میں دو آدمی</v>
      </c>
      <c r="S147" s="6" t="s">
        <v>1268</v>
      </c>
      <c r="T147" s="6"/>
      <c r="U147" s="6"/>
      <c r="V147" s="6"/>
      <c r="W147" s="6"/>
      <c r="X147" s="6"/>
      <c r="Y147" s="6"/>
      <c r="Z147" s="6"/>
      <c r="AA147" s="6"/>
      <c r="AB147" s="6"/>
    </row>
    <row r="148">
      <c r="A148" s="7">
        <v>147.0</v>
      </c>
      <c r="B148" s="6" t="s">
        <v>434</v>
      </c>
      <c r="C148" s="6" t="s">
        <v>435</v>
      </c>
      <c r="D148" s="6" t="s">
        <v>436</v>
      </c>
      <c r="E148" s="6" t="s">
        <v>1203</v>
      </c>
      <c r="F148" s="6" t="s">
        <v>438</v>
      </c>
      <c r="G148" s="6" t="s">
        <v>1203</v>
      </c>
      <c r="H148" s="6" t="s">
        <v>1268</v>
      </c>
      <c r="I148" s="6"/>
      <c r="J148" s="6"/>
      <c r="K148" s="2" t="str">
        <f>IFERROR(__xludf.DUMMYFUNCTION("GOOGLETRANSLATE(A148,""en"",""ur"")"),"147")</f>
        <v>147</v>
      </c>
      <c r="L148" s="2" t="str">
        <f>IFERROR(__xludf.DUMMYFUNCTION("GOOGLETRANSLATE(B148,""en"",""ur"")"),"پس منظر میں ہجوم کی سب سے نمایاں خصوصیت کیا ہے؟")</f>
        <v>پس منظر میں ہجوم کی سب سے نمایاں خصوصیت کیا ہے؟</v>
      </c>
      <c r="M148" s="2" t="str">
        <f>IFERROR(__xludf.DUMMYFUNCTION("GOOGLETRANSLATE(C148,""en"",""ur"")"),"وہ بھاگ رہے ہیں۔")</f>
        <v>وہ بھاگ رہے ہیں۔</v>
      </c>
      <c r="N148" s="2" t="str">
        <f>IFERROR(__xludf.DUMMYFUNCTION("GOOGLETRANSLATE(D148,""en"",""ur"")"),"وہ خاموش بیٹھے ہیں۔")</f>
        <v>وہ خاموش بیٹھے ہیں۔</v>
      </c>
      <c r="O148" s="2" t="str">
        <f>IFERROR(__xludf.DUMMYFUNCTION("GOOGLETRANSLATE(E148,""en"",""ur"")"),"وہ باڑ کے پیچھے سے میچ دیکھ رہے ہیں۔")</f>
        <v>وہ باڑ کے پیچھے سے میچ دیکھ رہے ہیں۔</v>
      </c>
      <c r="P148" s="2" t="str">
        <f>IFERROR(__xludf.DUMMYFUNCTION("GOOGLETRANSLATE(F148,""en"",""ur"")"),"وہ سب ایک اسٹیج پر کھڑے ہیں۔")</f>
        <v>وہ سب ایک اسٹیج پر کھڑے ہیں۔</v>
      </c>
      <c r="Q148" s="6" t="s">
        <v>1204</v>
      </c>
      <c r="R148" s="6" t="str">
        <f>IFERROR(__xludf.DUMMYFUNCTION("""COMPUTED_VALUE"""),"ایک ریسلنگ میچ میں دو آدمی")</f>
        <v>ایک ریسلنگ میچ میں دو آدمی</v>
      </c>
      <c r="S148" s="6" t="s">
        <v>1268</v>
      </c>
      <c r="T148" s="6"/>
      <c r="U148" s="6"/>
      <c r="V148" s="6"/>
      <c r="W148" s="6"/>
      <c r="X148" s="6"/>
      <c r="Y148" s="6"/>
      <c r="Z148" s="6"/>
      <c r="AA148" s="6"/>
      <c r="AB148" s="6"/>
    </row>
    <row r="149">
      <c r="A149" s="7">
        <v>148.0</v>
      </c>
      <c r="B149" s="6" t="s">
        <v>440</v>
      </c>
      <c r="C149" s="6" t="s">
        <v>441</v>
      </c>
      <c r="D149" s="6" t="s">
        <v>442</v>
      </c>
      <c r="E149" s="6" t="s">
        <v>512</v>
      </c>
      <c r="F149" s="6" t="s">
        <v>444</v>
      </c>
      <c r="G149" s="6" t="s">
        <v>512</v>
      </c>
      <c r="H149" s="6" t="s">
        <v>1268</v>
      </c>
      <c r="I149" s="6"/>
      <c r="J149" s="6"/>
      <c r="K149" s="2" t="str">
        <f>IFERROR(__xludf.DUMMYFUNCTION("GOOGLETRANSLATE(A149,""en"",""ur"")"),"148")</f>
        <v>148</v>
      </c>
      <c r="L149" s="2" t="str">
        <f>IFERROR(__xludf.DUMMYFUNCTION("GOOGLETRANSLATE(B149,""en"",""ur"")"),"زمین کی ظاہری حالت کیا ہے؟")</f>
        <v>زمین کی ظاہری حالت کیا ہے؟</v>
      </c>
      <c r="M149" s="2" t="str">
        <f>IFERROR(__xludf.DUMMYFUNCTION("GOOGLETRANSLATE(C149,""en"",""ur"")"),"یہ ایک پکی سطح ہے۔")</f>
        <v>یہ ایک پکی سطح ہے۔</v>
      </c>
      <c r="N149" s="2" t="str">
        <f>IFERROR(__xludf.DUMMYFUNCTION("GOOGLETRANSLATE(D149,""en"",""ur"")"),"یہ ایک کیچڑ والا میدان ہے۔")</f>
        <v>یہ ایک کیچڑ والا میدان ہے۔</v>
      </c>
      <c r="O149" s="2" t="str">
        <f>IFERROR(__xludf.DUMMYFUNCTION("GOOGLETRANSLATE(E149,""en"",""ur"")"),"یہ ایک ریتلی یا گندگی کی سطح ہے۔")</f>
        <v>یہ ایک ریتلی یا گندگی کی سطح ہے۔</v>
      </c>
      <c r="P149" s="2" t="str">
        <f>IFERROR(__xludf.DUMMYFUNCTION("GOOGLETRANSLATE(F149,""en"",""ur"")"),"یہ ایک گھاس والی سطح ہے۔")</f>
        <v>یہ ایک گھاس والی سطح ہے۔</v>
      </c>
      <c r="Q149" s="6" t="s">
        <v>1219</v>
      </c>
      <c r="R149" s="6" t="str">
        <f>IFERROR(__xludf.DUMMYFUNCTION("""COMPUTED_VALUE"""),"ایک ریسلنگ میچ میں دو آدمی")</f>
        <v>ایک ریسلنگ میچ میں دو آدمی</v>
      </c>
      <c r="S149" s="6" t="s">
        <v>1268</v>
      </c>
      <c r="T149" s="6"/>
      <c r="U149" s="6"/>
      <c r="V149" s="6"/>
      <c r="W149" s="6"/>
      <c r="X149" s="6"/>
      <c r="Y149" s="6"/>
      <c r="Z149" s="6"/>
      <c r="AA149" s="6"/>
      <c r="AB149" s="6"/>
    </row>
    <row r="150">
      <c r="A150" s="7">
        <v>149.0</v>
      </c>
      <c r="B150" s="6" t="s">
        <v>1205</v>
      </c>
      <c r="C150" s="6" t="s">
        <v>1206</v>
      </c>
      <c r="D150" s="6" t="s">
        <v>1207</v>
      </c>
      <c r="E150" s="6" t="s">
        <v>1208</v>
      </c>
      <c r="F150" s="6" t="s">
        <v>449</v>
      </c>
      <c r="G150" s="6" t="s">
        <v>1208</v>
      </c>
      <c r="H150" s="6" t="s">
        <v>1268</v>
      </c>
      <c r="I150" s="6"/>
      <c r="J150" s="6"/>
      <c r="K150" s="2" t="str">
        <f>IFERROR(__xludf.DUMMYFUNCTION("GOOGLETRANSLATE(A150,""en"",""ur"")"),"149")</f>
        <v>149</v>
      </c>
      <c r="L150" s="2" t="str">
        <f>IFERROR(__xludf.DUMMYFUNCTION("GOOGLETRANSLATE(B150,""en"",""ur"")"),"لمبی اسکرٹس کا بنیادی مقصد کیا ہے؟")</f>
        <v>لمبی اسکرٹس کا بنیادی مقصد کیا ہے؟</v>
      </c>
      <c r="M150" s="2" t="str">
        <f>IFERROR(__xludf.DUMMYFUNCTION("GOOGLETRANSLATE(C150,""en"",""ur"")"),"پہلوانوں کی ٹانگوں کی حفاظت کے لیے")</f>
        <v>پہلوانوں کی ٹانگوں کی حفاظت کے لیے</v>
      </c>
      <c r="N150" s="2" t="str">
        <f>IFERROR(__xludf.DUMMYFUNCTION("GOOGLETRANSLATE(D150,""en"",""ur"")"),"پہلوانوں کو مزید چست بنانے کے لیے")</f>
        <v>پہلوانوں کو مزید چست بنانے کے لیے</v>
      </c>
      <c r="O150" s="2" t="str">
        <f>IFERROR(__xludf.DUMMYFUNCTION("GOOGLETRANSLATE(E150,""en"",""ur"")"),"روایتی لباس اور لڑائی کے دوران گرفت کے لیے")</f>
        <v>روایتی لباس اور لڑائی کے دوران گرفت کے لیے</v>
      </c>
      <c r="P150" s="2" t="str">
        <f>IFERROR(__xludf.DUMMYFUNCTION("GOOGLETRANSLATE(F150,""en"",""ur"")"),"صرف سجاوٹ کے لیے")</f>
        <v>صرف سجاوٹ کے لیے</v>
      </c>
      <c r="Q150" s="6" t="s">
        <v>1209</v>
      </c>
      <c r="R150" s="6" t="str">
        <f>IFERROR(__xludf.DUMMYFUNCTION("""COMPUTED_VALUE"""),"ایک ریسلنگ میچ میں دو آدمی")</f>
        <v>ایک ریسلنگ میچ میں دو آدمی</v>
      </c>
      <c r="S150" s="6" t="s">
        <v>1268</v>
      </c>
      <c r="T150" s="6"/>
      <c r="U150" s="6"/>
      <c r="V150" s="6"/>
      <c r="W150" s="6"/>
      <c r="X150" s="6"/>
      <c r="Y150" s="6"/>
      <c r="Z150" s="6"/>
      <c r="AA150" s="6"/>
      <c r="AB150" s="6"/>
    </row>
    <row r="151">
      <c r="A151" s="7">
        <v>150.0</v>
      </c>
      <c r="B151" s="6" t="s">
        <v>260</v>
      </c>
      <c r="C151" s="6" t="s">
        <v>261</v>
      </c>
      <c r="D151" s="6" t="s">
        <v>262</v>
      </c>
      <c r="E151" s="6" t="s">
        <v>1210</v>
      </c>
      <c r="F151" s="6" t="s">
        <v>264</v>
      </c>
      <c r="G151" s="6" t="s">
        <v>1210</v>
      </c>
      <c r="H151" s="6" t="s">
        <v>1268</v>
      </c>
      <c r="I151" s="6"/>
      <c r="J151" s="6"/>
      <c r="K151" s="2" t="str">
        <f>IFERROR(__xludf.DUMMYFUNCTION("GOOGLETRANSLATE(A151,""en"",""ur"")"),"150")</f>
        <v>150</v>
      </c>
      <c r="L151" s="2" t="str">
        <f>IFERROR(__xludf.DUMMYFUNCTION("GOOGLETRANSLATE(B151,""en"",""ur"")"),"تصویر میں ایکشن ایک ایسا انداز تجویز کرتا ہے جو اس بات پر زور دیتا ہے...")</f>
        <v>تصویر میں ایکشن ایک ایسا انداز تجویز کرتا ہے جو اس بات پر زور دیتا ہے...</v>
      </c>
      <c r="M151" s="2" t="str">
        <f>IFERROR(__xludf.DUMMYFUNCTION("GOOGLETRANSLATE(C151,""en"",""ur"")"),"روانی اور قلابازیاں")</f>
        <v>روانی اور قلابازیاں</v>
      </c>
      <c r="N151" s="2" t="str">
        <f>IFERROR(__xludf.DUMMYFUNCTION("GOOGLETRANSLATE(D151,""en"",""ur"")"),"زمینی لڑائی اور گرفت")</f>
        <v>زمینی لڑائی اور گرفت</v>
      </c>
      <c r="O151" s="2" t="str">
        <f>IFERROR(__xludf.DUMMYFUNCTION("GOOGLETRANSLATE(E151,""en"",""ur"")"),"وحشیانہ طاقت اور ٹیک ڈاؤن")</f>
        <v>وحشیانہ طاقت اور ٹیک ڈاؤن</v>
      </c>
      <c r="P151" s="2" t="str">
        <f>IFERROR(__xludf.DUMMYFUNCTION("GOOGLETRANSLATE(F151,""en"",""ur"")"),"سادہ، لکیری حرکات")</f>
        <v>سادہ، لکیری حرکات</v>
      </c>
      <c r="Q151" s="6" t="s">
        <v>1211</v>
      </c>
      <c r="R151" s="6" t="str">
        <f>IFERROR(__xludf.DUMMYFUNCTION("""COMPUTED_VALUE"""),"ایک ریسلنگ میچ میں دو آدمی")</f>
        <v>ایک ریسلنگ میچ میں دو آدمی</v>
      </c>
      <c r="S151" s="6" t="s">
        <v>1268</v>
      </c>
      <c r="T151" s="6"/>
      <c r="U151" s="6"/>
      <c r="V151" s="6"/>
      <c r="W151" s="6"/>
      <c r="X151" s="6"/>
      <c r="Y151" s="6"/>
      <c r="Z151" s="6"/>
      <c r="AA151" s="6"/>
      <c r="AB151" s="6"/>
    </row>
    <row r="152">
      <c r="A152" s="7">
        <v>151.0</v>
      </c>
      <c r="B152" s="6" t="s">
        <v>1269</v>
      </c>
      <c r="C152" s="6" t="s">
        <v>405</v>
      </c>
      <c r="D152" s="6" t="s">
        <v>406</v>
      </c>
      <c r="E152" s="6" t="s">
        <v>1184</v>
      </c>
      <c r="F152" s="6" t="s">
        <v>1185</v>
      </c>
      <c r="G152" s="6" t="s">
        <v>1184</v>
      </c>
      <c r="H152" s="6" t="s">
        <v>1270</v>
      </c>
      <c r="I152" s="6"/>
      <c r="J152" s="6"/>
      <c r="K152" s="2" t="str">
        <f>IFERROR(__xludf.DUMMYFUNCTION("GOOGLETRANSLATE(A152,""en"",""ur"")"),"151")</f>
        <v>151</v>
      </c>
      <c r="L152" s="2" t="str">
        <f>IFERROR(__xludf.DUMMYFUNCTION("GOOGLETRANSLATE(B152,""en"",""ur"")"),"ملاخرہ_28 میں دکھایا گیا اصل عمل کیا ہے؟")</f>
        <v>ملاخرہ_28 میں دکھایا گیا اصل عمل کیا ہے؟</v>
      </c>
      <c r="M152" s="2" t="str">
        <f>IFERROR(__xludf.DUMMYFUNCTION("GOOGLETRANSLATE(C152,""en"",""ur"")"),"دو آدمی تلواروں سے لڑ رہے ہیں۔")</f>
        <v>دو آدمی تلواروں سے لڑ رہے ہیں۔</v>
      </c>
      <c r="N152" s="2" t="str">
        <f>IFERROR(__xludf.DUMMYFUNCTION("GOOGLETRANSLATE(D152,""en"",""ur"")"),"دو آدمی ناچ رہے ہیں۔")</f>
        <v>دو آدمی ناچ رہے ہیں۔</v>
      </c>
      <c r="O152" s="2" t="str">
        <f>IFERROR(__xludf.DUMMYFUNCTION("GOOGLETRANSLATE(E152,""en"",""ur"")"),"ایک ریسلنگ میچ میں دو آدمی")</f>
        <v>ایک ریسلنگ میچ میں دو آدمی</v>
      </c>
      <c r="P152" s="2" t="str">
        <f>IFERROR(__xludf.DUMMYFUNCTION("GOOGLETRANSLATE(F152,""en"",""ur"")"),"دو آدمی بھاگ رہے ہیں۔")</f>
        <v>دو آدمی بھاگ رہے ہیں۔</v>
      </c>
      <c r="Q152" s="6" t="s">
        <v>1214</v>
      </c>
      <c r="R152" s="6" t="str">
        <f>IFERROR(__xludf.DUMMYFUNCTION("""COMPUTED_VALUE"""),"ایک ریسلنگ میچ میں دو آدمی")</f>
        <v>ایک ریسلنگ میچ میں دو آدمی</v>
      </c>
      <c r="S152" s="6" t="s">
        <v>1270</v>
      </c>
      <c r="T152" s="6"/>
      <c r="U152" s="6"/>
      <c r="V152" s="6"/>
      <c r="W152" s="6"/>
      <c r="X152" s="6"/>
      <c r="Y152" s="6"/>
      <c r="Z152" s="6"/>
      <c r="AA152" s="6"/>
      <c r="AB152" s="6"/>
    </row>
    <row r="153">
      <c r="A153" s="7">
        <v>152.0</v>
      </c>
      <c r="B153" s="6" t="s">
        <v>1215</v>
      </c>
      <c r="C153" s="6" t="s">
        <v>488</v>
      </c>
      <c r="D153" s="6" t="s">
        <v>1216</v>
      </c>
      <c r="E153" s="6" t="s">
        <v>490</v>
      </c>
      <c r="F153" s="6" t="s">
        <v>246</v>
      </c>
      <c r="G153" s="6" t="s">
        <v>1216</v>
      </c>
      <c r="H153" s="6" t="s">
        <v>1270</v>
      </c>
      <c r="I153" s="6"/>
      <c r="J153" s="6"/>
      <c r="K153" s="2" t="str">
        <f>IFERROR(__xludf.DUMMYFUNCTION("GOOGLETRANSLATE(A153,""en"",""ur"")"),"152")</f>
        <v>152</v>
      </c>
      <c r="L153" s="2" t="str">
        <f>IFERROR(__xludf.DUMMYFUNCTION("GOOGLETRANSLATE(B153,""en"",""ur"")"),"پہلوانوں کے لباس کے بارے میں ایک قابل ذکر تفصیل کیا ہے؟")</f>
        <v>پہلوانوں کے لباس کے بارے میں ایک قابل ذکر تفصیل کیا ہے؟</v>
      </c>
      <c r="M153" s="2" t="str">
        <f>IFERROR(__xludf.DUMMYFUNCTION("GOOGLETRANSLATE(C153,""en"",""ur"")"),"انہوں نے بکتر کا پورا سوٹ پہن رکھا ہے۔")</f>
        <v>انہوں نے بکتر کا پورا سوٹ پہن رکھا ہے۔</v>
      </c>
      <c r="N153" s="2" t="str">
        <f>IFERROR(__xludf.DUMMYFUNCTION("GOOGLETRANSLATE(D153,""en"",""ur"")"),"وہ سارونگ یا پیٹرن والا اسکرٹ پہنے ہوئے ہیں۔")</f>
        <v>وہ سارونگ یا پیٹرن والا اسکرٹ پہنے ہوئے ہیں۔</v>
      </c>
      <c r="O153" s="2" t="str">
        <f>IFERROR(__xludf.DUMMYFUNCTION("GOOGLETRANSLATE(E153,""en"",""ur"")"),"انہوں نے شارٹس اور ٹی شرٹ پہن رکھی ہیں۔")</f>
        <v>انہوں نے شارٹس اور ٹی شرٹ پہن رکھی ہیں۔</v>
      </c>
      <c r="P153" s="2" t="str">
        <f>IFERROR(__xludf.DUMMYFUNCTION("GOOGLETRANSLATE(F153,""en"",""ur"")"),"انہوں نے کوئی لباس نہیں پہنا ہوا ہے۔")</f>
        <v>انہوں نے کوئی لباس نہیں پہنا ہوا ہے۔</v>
      </c>
      <c r="Q153" s="6" t="s">
        <v>1217</v>
      </c>
      <c r="R153" s="6" t="str">
        <f>IFERROR(__xludf.DUMMYFUNCTION("""COMPUTED_VALUE"""),"ایک ریسلنگ میچ میں دو آدمی")</f>
        <v>ایک ریسلنگ میچ میں دو آدمی</v>
      </c>
      <c r="S153" s="6" t="s">
        <v>1270</v>
      </c>
      <c r="T153" s="6"/>
      <c r="U153" s="6"/>
      <c r="V153" s="6"/>
      <c r="W153" s="6"/>
      <c r="X153" s="6"/>
      <c r="Y153" s="6"/>
      <c r="Z153" s="6"/>
      <c r="AA153" s="6"/>
      <c r="AB153" s="6"/>
    </row>
    <row r="154">
      <c r="A154" s="7">
        <v>153.0</v>
      </c>
      <c r="B154" s="6" t="s">
        <v>1193</v>
      </c>
      <c r="C154" s="6" t="s">
        <v>1194</v>
      </c>
      <c r="D154" s="6" t="s">
        <v>1195</v>
      </c>
      <c r="E154" s="6" t="s">
        <v>1196</v>
      </c>
      <c r="F154" s="6" t="s">
        <v>1197</v>
      </c>
      <c r="G154" s="6" t="s">
        <v>1196</v>
      </c>
      <c r="H154" s="6" t="s">
        <v>1270</v>
      </c>
      <c r="I154" s="6"/>
      <c r="J154" s="6"/>
      <c r="K154" s="2" t="str">
        <f>IFERROR(__xludf.DUMMYFUNCTION("GOOGLETRANSLATE(A154,""en"",""ur"")"),"153")</f>
        <v>153</v>
      </c>
      <c r="L154" s="2" t="str">
        <f>IFERROR(__xludf.DUMMYFUNCTION("GOOGLETRANSLATE(B154,""en"",""ur"")"),"کشتی کا ظاہری مقصد کیا ہے؟")</f>
        <v>کشتی کا ظاہری مقصد کیا ہے؟</v>
      </c>
      <c r="M154" s="2" t="str">
        <f>IFERROR(__xludf.DUMMYFUNCTION("GOOGLETRANSLATE(C154,""en"",""ur"")"),"ایک رسمی رقص")</f>
        <v>ایک رسمی رقص</v>
      </c>
      <c r="N154" s="2" t="str">
        <f>IFERROR(__xludf.DUMMYFUNCTION("GOOGLETRANSLATE(D154,""en"",""ur"")"),"ایک دوستانہ مظاہرہ")</f>
        <v>ایک دوستانہ مظاہرہ</v>
      </c>
      <c r="O154" s="2" t="str">
        <f>IFERROR(__xludf.DUMMYFUNCTION("GOOGLETRANSLATE(E154,""en"",""ur"")"),"ٹیک ڈاؤن کے ساتھ ایک مسابقتی میچ")</f>
        <v>ٹیک ڈاؤن کے ساتھ ایک مسابقتی میچ</v>
      </c>
      <c r="P154" s="2" t="str">
        <f>IFERROR(__xludf.DUMMYFUNCTION("GOOGLETRANSLATE(F154,""en"",""ur"")"),"ایک پریکٹس سیشن")</f>
        <v>ایک پریکٹس سیشن</v>
      </c>
      <c r="Q154" s="6" t="s">
        <v>1198</v>
      </c>
      <c r="R154" s="6" t="str">
        <f>IFERROR(__xludf.DUMMYFUNCTION("""COMPUTED_VALUE"""),"ایک ریسلنگ میچ میں دو آدمی")</f>
        <v>ایک ریسلنگ میچ میں دو آدمی</v>
      </c>
      <c r="S154" s="6" t="s">
        <v>1270</v>
      </c>
      <c r="T154" s="6"/>
      <c r="U154" s="6"/>
      <c r="V154" s="6"/>
      <c r="W154" s="6"/>
      <c r="X154" s="6"/>
      <c r="Y154" s="6"/>
      <c r="Z154" s="6"/>
      <c r="AA154" s="6"/>
      <c r="AB154" s="6"/>
    </row>
    <row r="155">
      <c r="A155" s="7">
        <v>154.0</v>
      </c>
      <c r="B155" s="6" t="s">
        <v>991</v>
      </c>
      <c r="C155" s="6" t="s">
        <v>422</v>
      </c>
      <c r="D155" s="6" t="s">
        <v>1199</v>
      </c>
      <c r="E155" s="6" t="s">
        <v>424</v>
      </c>
      <c r="F155" s="6" t="s">
        <v>425</v>
      </c>
      <c r="G155" s="6" t="s">
        <v>1199</v>
      </c>
      <c r="H155" s="6" t="s">
        <v>1270</v>
      </c>
      <c r="I155" s="6"/>
      <c r="J155" s="6"/>
      <c r="K155" s="2" t="str">
        <f>IFERROR(__xludf.DUMMYFUNCTION("GOOGLETRANSLATE(A155,""en"",""ur"")"),"154")</f>
        <v>154</v>
      </c>
      <c r="L155" s="2" t="str">
        <f>IFERROR(__xludf.DUMMYFUNCTION("GOOGLETRANSLATE(B155,""en"",""ur"")"),"واقعہ کی ظاہری ترتیب کیا ہے؟")</f>
        <v>واقعہ کی ظاہری ترتیب کیا ہے؟</v>
      </c>
      <c r="M155" s="2" t="str">
        <f>IFERROR(__xludf.DUMMYFUNCTION("GOOGLETRANSLATE(C155,""en"",""ur"")"),"ایک انڈور اسٹیڈیم")</f>
        <v>ایک انڈور اسٹیڈیم</v>
      </c>
      <c r="N155" s="2" t="str">
        <f>IFERROR(__xludf.DUMMYFUNCTION("GOOGLETRANSLATE(D155,""en"",""ur"")"),"ایک دیہی، بیرونی گندگی کا ایک بڑا ہجوم")</f>
        <v>ایک دیہی، بیرونی گندگی کا ایک بڑا ہجوم</v>
      </c>
      <c r="O155" s="2" t="str">
        <f>IFERROR(__xludf.DUMMYFUNCTION("GOOGLETRANSLATE(E155,""en"",""ur"")"),"شہر کی مصروف گلی")</f>
        <v>شہر کی مصروف گلی</v>
      </c>
      <c r="P155" s="2" t="str">
        <f>IFERROR(__xludf.DUMMYFUNCTION("GOOGLETRANSLATE(F155,""en"",""ur"")"),"گھاس کا میدان")</f>
        <v>گھاس کا میدان</v>
      </c>
      <c r="Q155" s="6" t="s">
        <v>1200</v>
      </c>
      <c r="R155" s="6" t="str">
        <f>IFERROR(__xludf.DUMMYFUNCTION("""COMPUTED_VALUE"""),"ایک ریسلنگ میچ میں دو آدمی")</f>
        <v>ایک ریسلنگ میچ میں دو آدمی</v>
      </c>
      <c r="S155" s="6" t="s">
        <v>1270</v>
      </c>
      <c r="T155" s="6"/>
      <c r="U155" s="6"/>
      <c r="V155" s="6"/>
      <c r="W155" s="6"/>
      <c r="X155" s="6"/>
      <c r="Y155" s="6"/>
      <c r="Z155" s="6"/>
      <c r="AA155" s="6"/>
      <c r="AB155" s="6"/>
    </row>
    <row r="156">
      <c r="A156" s="7">
        <v>155.0</v>
      </c>
      <c r="B156" s="6" t="s">
        <v>1201</v>
      </c>
      <c r="C156" s="6" t="s">
        <v>47</v>
      </c>
      <c r="D156" s="6" t="s">
        <v>48</v>
      </c>
      <c r="E156" s="6" t="s">
        <v>49</v>
      </c>
      <c r="F156" s="6" t="s">
        <v>50</v>
      </c>
      <c r="G156" s="6" t="s">
        <v>49</v>
      </c>
      <c r="H156" s="6" t="s">
        <v>1270</v>
      </c>
      <c r="I156" s="6"/>
      <c r="J156" s="6"/>
      <c r="K156" s="2" t="str">
        <f>IFERROR(__xludf.DUMMYFUNCTION("GOOGLETRANSLATE(A156,""en"",""ur"")"),"155")</f>
        <v>155</v>
      </c>
      <c r="L156" s="2" t="str">
        <f>IFERROR(__xludf.DUMMYFUNCTION("GOOGLETRANSLATE(B156,""en"",""ur"")"),"پہلوانوں کے ظاہری جذبات کیا ہیں؟")</f>
        <v>پہلوانوں کے ظاہری جذبات کیا ہیں؟</v>
      </c>
      <c r="M156" s="2" t="str">
        <f>IFERROR(__xludf.DUMMYFUNCTION("GOOGLETRANSLATE(C156,""en"",""ur"")"),"پرسکون اور پر سکون")</f>
        <v>پرسکون اور پر سکون</v>
      </c>
      <c r="N156" s="2" t="str">
        <f>IFERROR(__xludf.DUMMYFUNCTION("GOOGLETRANSLATE(D156,""en"",""ur"")"),"خوف زدہ اور بے چین")</f>
        <v>خوف زدہ اور بے چین</v>
      </c>
      <c r="O156" s="2" t="str">
        <f>IFERROR(__xludf.DUMMYFUNCTION("GOOGLETRANSLATE(E156,""en"",""ur"")"),"کشیدہ اور شدید")</f>
        <v>کشیدہ اور شدید</v>
      </c>
      <c r="P156" s="2" t="str">
        <f>IFERROR(__xludf.DUMMYFUNCTION("GOOGLETRANSLATE(F156,""en"",""ur"")"),"خوش اور مسکراتے ہوئے۔")</f>
        <v>خوش اور مسکراتے ہوئے۔</v>
      </c>
      <c r="Q156" s="6" t="s">
        <v>51</v>
      </c>
      <c r="R156" s="6" t="str">
        <f>IFERROR(__xludf.DUMMYFUNCTION("""COMPUTED_VALUE"""),"ایک ریسلنگ میچ میں دو آدمی")</f>
        <v>ایک ریسلنگ میچ میں دو آدمی</v>
      </c>
      <c r="S156" s="6" t="s">
        <v>1270</v>
      </c>
      <c r="T156" s="6"/>
      <c r="U156" s="6"/>
      <c r="V156" s="6"/>
      <c r="W156" s="6"/>
      <c r="X156" s="6"/>
      <c r="Y156" s="6"/>
      <c r="Z156" s="6"/>
      <c r="AA156" s="6"/>
      <c r="AB156" s="6"/>
    </row>
    <row r="157">
      <c r="A157" s="7">
        <v>156.0</v>
      </c>
      <c r="B157" s="6" t="s">
        <v>1218</v>
      </c>
      <c r="C157" s="6" t="s">
        <v>429</v>
      </c>
      <c r="D157" s="6" t="s">
        <v>430</v>
      </c>
      <c r="E157" s="6" t="s">
        <v>431</v>
      </c>
      <c r="F157" s="6" t="s">
        <v>432</v>
      </c>
      <c r="G157" s="6" t="s">
        <v>430</v>
      </c>
      <c r="H157" s="6" t="s">
        <v>1270</v>
      </c>
      <c r="I157" s="6"/>
      <c r="J157" s="6"/>
      <c r="K157" s="2" t="str">
        <f>IFERROR(__xludf.DUMMYFUNCTION("GOOGLETRANSLATE(A157,""en"",""ur"")"),"156")</f>
        <v>156</v>
      </c>
      <c r="L157" s="2" t="str">
        <f>IFERROR(__xludf.DUMMYFUNCTION("GOOGLETRANSLATE(B157,""en"",""ur"")"),"پہلوانوں کی ظاہری جسمانی پوزیشن کیا ہے؟")</f>
        <v>پہلوانوں کی ظاہری جسمانی پوزیشن کیا ہے؟</v>
      </c>
      <c r="M157" s="2" t="str">
        <f>IFERROR(__xludf.DUMMYFUNCTION("GOOGLETRANSLATE(C157,""en"",""ur"")"),"سیدھا کھڑا ہونا")</f>
        <v>سیدھا کھڑا ہونا</v>
      </c>
      <c r="N157" s="2" t="str">
        <f>IFERROR(__xludf.DUMMYFUNCTION("GOOGLETRANSLATE(D157,""en"",""ur"")"),"کم، متحرک موقف میں")</f>
        <v>کم، متحرک موقف میں</v>
      </c>
      <c r="O157" s="2" t="str">
        <f>IFERROR(__xludf.DUMMYFUNCTION("GOOGLETRANSLATE(E157,""en"",""ur"")"),"زمین پر لیٹنا")</f>
        <v>زمین پر لیٹنا</v>
      </c>
      <c r="P157" s="2" t="str">
        <f>IFERROR(__xludf.DUMMYFUNCTION("GOOGLETRANSLATE(F157,""en"",""ur"")"),"بیٹھا ہوا")</f>
        <v>بیٹھا ہوا</v>
      </c>
      <c r="Q157" s="6" t="s">
        <v>433</v>
      </c>
      <c r="R157" s="6" t="str">
        <f>IFERROR(__xludf.DUMMYFUNCTION("""COMPUTED_VALUE"""),"ایک ریسلنگ میچ میں دو آدمی")</f>
        <v>ایک ریسلنگ میچ میں دو آدمی</v>
      </c>
      <c r="S157" s="6" t="s">
        <v>1270</v>
      </c>
      <c r="T157" s="6"/>
      <c r="U157" s="6"/>
      <c r="V157" s="6"/>
      <c r="W157" s="6"/>
      <c r="X157" s="6"/>
      <c r="Y157" s="6"/>
      <c r="Z157" s="6"/>
      <c r="AA157" s="6"/>
      <c r="AB157" s="6"/>
    </row>
    <row r="158">
      <c r="A158" s="7">
        <v>157.0</v>
      </c>
      <c r="B158" s="6" t="s">
        <v>434</v>
      </c>
      <c r="C158" s="6" t="s">
        <v>435</v>
      </c>
      <c r="D158" s="6" t="s">
        <v>436</v>
      </c>
      <c r="E158" s="6" t="s">
        <v>1203</v>
      </c>
      <c r="F158" s="6" t="s">
        <v>438</v>
      </c>
      <c r="G158" s="6" t="s">
        <v>1203</v>
      </c>
      <c r="H158" s="6" t="s">
        <v>1270</v>
      </c>
      <c r="I158" s="6"/>
      <c r="J158" s="6"/>
      <c r="K158" s="2" t="str">
        <f>IFERROR(__xludf.DUMMYFUNCTION("GOOGLETRANSLATE(A158,""en"",""ur"")"),"157")</f>
        <v>157</v>
      </c>
      <c r="L158" s="2" t="str">
        <f>IFERROR(__xludf.DUMMYFUNCTION("GOOGLETRANSLATE(B158,""en"",""ur"")"),"پس منظر میں ہجوم کی سب سے نمایاں خصوصیت کیا ہے؟")</f>
        <v>پس منظر میں ہجوم کی سب سے نمایاں خصوصیت کیا ہے؟</v>
      </c>
      <c r="M158" s="2" t="str">
        <f>IFERROR(__xludf.DUMMYFUNCTION("GOOGLETRANSLATE(C158,""en"",""ur"")"),"وہ بھاگ رہے ہیں۔")</f>
        <v>وہ بھاگ رہے ہیں۔</v>
      </c>
      <c r="N158" s="2" t="str">
        <f>IFERROR(__xludf.DUMMYFUNCTION("GOOGLETRANSLATE(D158,""en"",""ur"")"),"وہ خاموش بیٹھے ہیں۔")</f>
        <v>وہ خاموش بیٹھے ہیں۔</v>
      </c>
      <c r="O158" s="2" t="str">
        <f>IFERROR(__xludf.DUMMYFUNCTION("GOOGLETRANSLATE(E158,""en"",""ur"")"),"وہ باڑ کے پیچھے سے میچ دیکھ رہے ہیں۔")</f>
        <v>وہ باڑ کے پیچھے سے میچ دیکھ رہے ہیں۔</v>
      </c>
      <c r="P158" s="2" t="str">
        <f>IFERROR(__xludf.DUMMYFUNCTION("GOOGLETRANSLATE(F158,""en"",""ur"")"),"وہ سب ایک اسٹیج پر کھڑے ہیں۔")</f>
        <v>وہ سب ایک اسٹیج پر کھڑے ہیں۔</v>
      </c>
      <c r="Q158" s="6" t="s">
        <v>1204</v>
      </c>
      <c r="R158" s="6" t="str">
        <f>IFERROR(__xludf.DUMMYFUNCTION("""COMPUTED_VALUE"""),"ایک ریسلنگ میچ میں دو آدمی")</f>
        <v>ایک ریسلنگ میچ میں دو آدمی</v>
      </c>
      <c r="S158" s="6" t="s">
        <v>1270</v>
      </c>
      <c r="T158" s="6"/>
      <c r="U158" s="6"/>
      <c r="V158" s="6"/>
      <c r="W158" s="6"/>
      <c r="X158" s="6"/>
      <c r="Y158" s="6"/>
      <c r="Z158" s="6"/>
      <c r="AA158" s="6"/>
      <c r="AB158" s="6"/>
    </row>
    <row r="159">
      <c r="A159" s="7">
        <v>158.0</v>
      </c>
      <c r="B159" s="6" t="s">
        <v>440</v>
      </c>
      <c r="C159" s="6" t="s">
        <v>441</v>
      </c>
      <c r="D159" s="6" t="s">
        <v>442</v>
      </c>
      <c r="E159" s="6" t="s">
        <v>512</v>
      </c>
      <c r="F159" s="6" t="s">
        <v>444</v>
      </c>
      <c r="G159" s="6" t="s">
        <v>512</v>
      </c>
      <c r="H159" s="6" t="s">
        <v>1270</v>
      </c>
      <c r="I159" s="6"/>
      <c r="J159" s="6"/>
      <c r="K159" s="2" t="str">
        <f>IFERROR(__xludf.DUMMYFUNCTION("GOOGLETRANSLATE(A159,""en"",""ur"")"),"158")</f>
        <v>158</v>
      </c>
      <c r="L159" s="2" t="str">
        <f>IFERROR(__xludf.DUMMYFUNCTION("GOOGLETRANSLATE(B159,""en"",""ur"")"),"زمین کی ظاہری حالت کیا ہے؟")</f>
        <v>زمین کی ظاہری حالت کیا ہے؟</v>
      </c>
      <c r="M159" s="2" t="str">
        <f>IFERROR(__xludf.DUMMYFUNCTION("GOOGLETRANSLATE(C159,""en"",""ur"")"),"یہ ایک پکی سطح ہے۔")</f>
        <v>یہ ایک پکی سطح ہے۔</v>
      </c>
      <c r="N159" s="2" t="str">
        <f>IFERROR(__xludf.DUMMYFUNCTION("GOOGLETRANSLATE(D159,""en"",""ur"")"),"یہ ایک کیچڑ والا میدان ہے۔")</f>
        <v>یہ ایک کیچڑ والا میدان ہے۔</v>
      </c>
      <c r="O159" s="2" t="str">
        <f>IFERROR(__xludf.DUMMYFUNCTION("GOOGLETRANSLATE(E159,""en"",""ur"")"),"یہ ایک ریتلی یا گندگی کی سطح ہے۔")</f>
        <v>یہ ایک ریتلی یا گندگی کی سطح ہے۔</v>
      </c>
      <c r="P159" s="2" t="str">
        <f>IFERROR(__xludf.DUMMYFUNCTION("GOOGLETRANSLATE(F159,""en"",""ur"")"),"یہ ایک گھاس والی سطح ہے۔")</f>
        <v>یہ ایک گھاس والی سطح ہے۔</v>
      </c>
      <c r="Q159" s="6" t="s">
        <v>1219</v>
      </c>
      <c r="R159" s="6" t="str">
        <f>IFERROR(__xludf.DUMMYFUNCTION("""COMPUTED_VALUE"""),"ایک ریسلنگ میچ میں دو آدمی")</f>
        <v>ایک ریسلنگ میچ میں دو آدمی</v>
      </c>
      <c r="S159" s="6" t="s">
        <v>1270</v>
      </c>
      <c r="T159" s="6"/>
      <c r="U159" s="6"/>
      <c r="V159" s="6"/>
      <c r="W159" s="6"/>
      <c r="X159" s="6"/>
      <c r="Y159" s="6"/>
      <c r="Z159" s="6"/>
      <c r="AA159" s="6"/>
      <c r="AB159" s="6"/>
    </row>
    <row r="160">
      <c r="A160" s="7">
        <v>159.0</v>
      </c>
      <c r="B160" s="6" t="s">
        <v>1205</v>
      </c>
      <c r="C160" s="6" t="s">
        <v>1206</v>
      </c>
      <c r="D160" s="6" t="s">
        <v>1207</v>
      </c>
      <c r="E160" s="6" t="s">
        <v>1208</v>
      </c>
      <c r="F160" s="6" t="s">
        <v>449</v>
      </c>
      <c r="G160" s="6" t="s">
        <v>1208</v>
      </c>
      <c r="H160" s="6" t="s">
        <v>1270</v>
      </c>
      <c r="I160" s="6"/>
      <c r="J160" s="6"/>
      <c r="K160" s="2" t="str">
        <f>IFERROR(__xludf.DUMMYFUNCTION("GOOGLETRANSLATE(A160,""en"",""ur"")"),"159")</f>
        <v>159</v>
      </c>
      <c r="L160" s="2" t="str">
        <f>IFERROR(__xludf.DUMMYFUNCTION("GOOGLETRANSLATE(B160,""en"",""ur"")"),"لمبی اسکرٹس کا بنیادی مقصد کیا ہے؟")</f>
        <v>لمبی اسکرٹس کا بنیادی مقصد کیا ہے؟</v>
      </c>
      <c r="M160" s="2" t="str">
        <f>IFERROR(__xludf.DUMMYFUNCTION("GOOGLETRANSLATE(C160,""en"",""ur"")"),"پہلوانوں کی ٹانگوں کی حفاظت کے لیے")</f>
        <v>پہلوانوں کی ٹانگوں کی حفاظت کے لیے</v>
      </c>
      <c r="N160" s="2" t="str">
        <f>IFERROR(__xludf.DUMMYFUNCTION("GOOGLETRANSLATE(D160,""en"",""ur"")"),"پہلوانوں کو مزید چست بنانے کے لیے")</f>
        <v>پہلوانوں کو مزید چست بنانے کے لیے</v>
      </c>
      <c r="O160" s="2" t="str">
        <f>IFERROR(__xludf.DUMMYFUNCTION("GOOGLETRANSLATE(E160,""en"",""ur"")"),"روایتی لباس اور لڑائی کے دوران گرفت کے لیے")</f>
        <v>روایتی لباس اور لڑائی کے دوران گرفت کے لیے</v>
      </c>
      <c r="P160" s="2" t="str">
        <f>IFERROR(__xludf.DUMMYFUNCTION("GOOGLETRANSLATE(F160,""en"",""ur"")"),"صرف سجاوٹ کے لیے")</f>
        <v>صرف سجاوٹ کے لیے</v>
      </c>
      <c r="Q160" s="6" t="s">
        <v>1209</v>
      </c>
      <c r="R160" s="6" t="str">
        <f>IFERROR(__xludf.DUMMYFUNCTION("""COMPUTED_VALUE"""),"ایک ریسلنگ میچ میں دو آدمی")</f>
        <v>ایک ریسلنگ میچ میں دو آدمی</v>
      </c>
      <c r="S160" s="6" t="s">
        <v>1270</v>
      </c>
      <c r="T160" s="6"/>
      <c r="U160" s="6"/>
      <c r="V160" s="6"/>
      <c r="W160" s="6"/>
      <c r="X160" s="6"/>
      <c r="Y160" s="6"/>
      <c r="Z160" s="6"/>
      <c r="AA160" s="6"/>
      <c r="AB160" s="6"/>
    </row>
    <row r="161">
      <c r="A161" s="7">
        <v>160.0</v>
      </c>
      <c r="B161" s="6" t="s">
        <v>260</v>
      </c>
      <c r="C161" s="6" t="s">
        <v>261</v>
      </c>
      <c r="D161" s="6" t="s">
        <v>262</v>
      </c>
      <c r="E161" s="6" t="s">
        <v>1210</v>
      </c>
      <c r="F161" s="6" t="s">
        <v>264</v>
      </c>
      <c r="G161" s="6" t="s">
        <v>1210</v>
      </c>
      <c r="H161" s="6" t="s">
        <v>1270</v>
      </c>
      <c r="I161" s="6"/>
      <c r="J161" s="6"/>
      <c r="K161" s="2" t="str">
        <f>IFERROR(__xludf.DUMMYFUNCTION("GOOGLETRANSLATE(A161,""en"",""ur"")"),"160")</f>
        <v>160</v>
      </c>
      <c r="L161" s="2" t="str">
        <f>IFERROR(__xludf.DUMMYFUNCTION("GOOGLETRANSLATE(B161,""en"",""ur"")"),"تصویر میں ایکشن ایک ایسا انداز تجویز کرتا ہے جو اس بات پر زور دیتا ہے...")</f>
        <v>تصویر میں ایکشن ایک ایسا انداز تجویز کرتا ہے جو اس بات پر زور دیتا ہے...</v>
      </c>
      <c r="M161" s="2" t="str">
        <f>IFERROR(__xludf.DUMMYFUNCTION("GOOGLETRANSLATE(C161,""en"",""ur"")"),"روانی اور قلابازیاں")</f>
        <v>روانی اور قلابازیاں</v>
      </c>
      <c r="N161" s="2" t="str">
        <f>IFERROR(__xludf.DUMMYFUNCTION("GOOGLETRANSLATE(D161,""en"",""ur"")"),"زمینی لڑائی اور گرفت")</f>
        <v>زمینی لڑائی اور گرفت</v>
      </c>
      <c r="O161" s="2" t="str">
        <f>IFERROR(__xludf.DUMMYFUNCTION("GOOGLETRANSLATE(E161,""en"",""ur"")"),"وحشیانہ طاقت اور ٹیک ڈاؤن")</f>
        <v>وحشیانہ طاقت اور ٹیک ڈاؤن</v>
      </c>
      <c r="P161" s="2" t="str">
        <f>IFERROR(__xludf.DUMMYFUNCTION("GOOGLETRANSLATE(F161,""en"",""ur"")"),"سادہ، لکیری حرکات")</f>
        <v>سادہ، لکیری حرکات</v>
      </c>
      <c r="Q161" s="6" t="s">
        <v>1211</v>
      </c>
      <c r="R161" s="6" t="str">
        <f>IFERROR(__xludf.DUMMYFUNCTION("""COMPUTED_VALUE"""),"ایک ریسلنگ میچ میں دو آدمی")</f>
        <v>ایک ریسلنگ میچ میں دو آدمی</v>
      </c>
      <c r="S161" s="6" t="s">
        <v>1270</v>
      </c>
      <c r="T161" s="6"/>
      <c r="U161" s="6"/>
      <c r="V161" s="6"/>
      <c r="W161" s="6"/>
      <c r="X161" s="6"/>
      <c r="Y161" s="6"/>
      <c r="Z161" s="6"/>
      <c r="AA161" s="6"/>
      <c r="AB161" s="6"/>
    </row>
    <row r="162">
      <c r="A162" s="7">
        <v>161.0</v>
      </c>
      <c r="B162" s="6" t="s">
        <v>1271</v>
      </c>
      <c r="C162" s="6" t="s">
        <v>405</v>
      </c>
      <c r="D162" s="6" t="s">
        <v>406</v>
      </c>
      <c r="E162" s="6" t="s">
        <v>1184</v>
      </c>
      <c r="F162" s="6" t="s">
        <v>1185</v>
      </c>
      <c r="G162" s="6" t="s">
        <v>1184</v>
      </c>
      <c r="H162" s="6" t="s">
        <v>1272</v>
      </c>
      <c r="I162" s="6"/>
      <c r="J162" s="6"/>
      <c r="K162" s="2" t="str">
        <f>IFERROR(__xludf.DUMMYFUNCTION("GOOGLETRANSLATE(A162,""en"",""ur"")"),"161")</f>
        <v>161</v>
      </c>
      <c r="L162" s="2" t="str">
        <f>IFERROR(__xludf.DUMMYFUNCTION("GOOGLETRANSLATE(B162,""en"",""ur"")"),"ملاخرہ_34 میں مرکزی عمل کیا دکھایا گیا ہے؟")</f>
        <v>ملاخرہ_34 میں مرکزی عمل کیا دکھایا گیا ہے؟</v>
      </c>
      <c r="M162" s="2" t="str">
        <f>IFERROR(__xludf.DUMMYFUNCTION("GOOGLETRANSLATE(C162,""en"",""ur"")"),"دو آدمی تلواروں سے لڑ رہے ہیں۔")</f>
        <v>دو آدمی تلواروں سے لڑ رہے ہیں۔</v>
      </c>
      <c r="N162" s="2" t="str">
        <f>IFERROR(__xludf.DUMMYFUNCTION("GOOGLETRANSLATE(D162,""en"",""ur"")"),"دو آدمی ناچ رہے ہیں۔")</f>
        <v>دو آدمی ناچ رہے ہیں۔</v>
      </c>
      <c r="O162" s="2" t="str">
        <f>IFERROR(__xludf.DUMMYFUNCTION("GOOGLETRANSLATE(E162,""en"",""ur"")"),"ایک ریسلنگ میچ میں دو آدمی")</f>
        <v>ایک ریسلنگ میچ میں دو آدمی</v>
      </c>
      <c r="P162" s="2" t="str">
        <f>IFERROR(__xludf.DUMMYFUNCTION("GOOGLETRANSLATE(F162,""en"",""ur"")"),"دو آدمی بھاگ رہے ہیں۔")</f>
        <v>دو آدمی بھاگ رہے ہیں۔</v>
      </c>
      <c r="Q162" s="6" t="s">
        <v>1214</v>
      </c>
      <c r="R162" s="6" t="str">
        <f>IFERROR(__xludf.DUMMYFUNCTION("""COMPUTED_VALUE"""),"ایک ریسلنگ میچ میں دو آدمی")</f>
        <v>ایک ریسلنگ میچ میں دو آدمی</v>
      </c>
      <c r="S162" s="6" t="s">
        <v>1272</v>
      </c>
      <c r="T162" s="6"/>
      <c r="U162" s="6"/>
      <c r="V162" s="6"/>
      <c r="W162" s="6"/>
      <c r="X162" s="6"/>
      <c r="Y162" s="6"/>
      <c r="Z162" s="6"/>
      <c r="AA162" s="6"/>
      <c r="AB162" s="6"/>
    </row>
    <row r="163">
      <c r="A163" s="7">
        <v>162.0</v>
      </c>
      <c r="B163" s="6" t="s">
        <v>1215</v>
      </c>
      <c r="C163" s="6" t="s">
        <v>488</v>
      </c>
      <c r="D163" s="6" t="s">
        <v>1216</v>
      </c>
      <c r="E163" s="6" t="s">
        <v>490</v>
      </c>
      <c r="F163" s="6" t="s">
        <v>246</v>
      </c>
      <c r="G163" s="6" t="s">
        <v>1216</v>
      </c>
      <c r="H163" s="6" t="s">
        <v>1272</v>
      </c>
      <c r="I163" s="6"/>
      <c r="J163" s="6"/>
      <c r="K163" s="2" t="str">
        <f>IFERROR(__xludf.DUMMYFUNCTION("GOOGLETRANSLATE(A163,""en"",""ur"")"),"162")</f>
        <v>162</v>
      </c>
      <c r="L163" s="2" t="str">
        <f>IFERROR(__xludf.DUMMYFUNCTION("GOOGLETRANSLATE(B163,""en"",""ur"")"),"پہلوانوں کے لباس کے بارے میں ایک قابل ذکر تفصیل کیا ہے؟")</f>
        <v>پہلوانوں کے لباس کے بارے میں ایک قابل ذکر تفصیل کیا ہے؟</v>
      </c>
      <c r="M163" s="2" t="str">
        <f>IFERROR(__xludf.DUMMYFUNCTION("GOOGLETRANSLATE(C163,""en"",""ur"")"),"انہوں نے بکتر کا پورا سوٹ پہن رکھا ہے۔")</f>
        <v>انہوں نے بکتر کا پورا سوٹ پہن رکھا ہے۔</v>
      </c>
      <c r="N163" s="2" t="str">
        <f>IFERROR(__xludf.DUMMYFUNCTION("GOOGLETRANSLATE(D163,""en"",""ur"")"),"وہ سارونگ یا پیٹرن والا اسکرٹ پہنے ہوئے ہیں۔")</f>
        <v>وہ سارونگ یا پیٹرن والا اسکرٹ پہنے ہوئے ہیں۔</v>
      </c>
      <c r="O163" s="2" t="str">
        <f>IFERROR(__xludf.DUMMYFUNCTION("GOOGLETRANSLATE(E163,""en"",""ur"")"),"انہوں نے شارٹس اور ٹی شرٹ پہن رکھی ہیں۔")</f>
        <v>انہوں نے شارٹس اور ٹی شرٹ پہن رکھی ہیں۔</v>
      </c>
      <c r="P163" s="2" t="str">
        <f>IFERROR(__xludf.DUMMYFUNCTION("GOOGLETRANSLATE(F163,""en"",""ur"")"),"انہوں نے کوئی لباس نہیں پہنا ہوا ہے۔")</f>
        <v>انہوں نے کوئی لباس نہیں پہنا ہوا ہے۔</v>
      </c>
      <c r="Q163" s="6" t="s">
        <v>1217</v>
      </c>
      <c r="R163" s="6" t="str">
        <f>IFERROR(__xludf.DUMMYFUNCTION("""COMPUTED_VALUE"""),"ایک ریسلنگ میچ میں دو آدمی")</f>
        <v>ایک ریسلنگ میچ میں دو آدمی</v>
      </c>
      <c r="S163" s="6" t="s">
        <v>1272</v>
      </c>
      <c r="T163" s="6"/>
      <c r="U163" s="6"/>
      <c r="V163" s="6"/>
      <c r="W163" s="6"/>
      <c r="X163" s="6"/>
      <c r="Y163" s="6"/>
      <c r="Z163" s="6"/>
      <c r="AA163" s="6"/>
      <c r="AB163" s="6"/>
    </row>
    <row r="164">
      <c r="A164" s="7">
        <v>163.0</v>
      </c>
      <c r="B164" s="6" t="s">
        <v>1193</v>
      </c>
      <c r="C164" s="6" t="s">
        <v>1194</v>
      </c>
      <c r="D164" s="6" t="s">
        <v>1195</v>
      </c>
      <c r="E164" s="6" t="s">
        <v>1196</v>
      </c>
      <c r="F164" s="6" t="s">
        <v>1197</v>
      </c>
      <c r="G164" s="6" t="s">
        <v>1196</v>
      </c>
      <c r="H164" s="6" t="s">
        <v>1272</v>
      </c>
      <c r="I164" s="6"/>
      <c r="J164" s="6"/>
      <c r="K164" s="2" t="str">
        <f>IFERROR(__xludf.DUMMYFUNCTION("GOOGLETRANSLATE(A164,""en"",""ur"")"),"163")</f>
        <v>163</v>
      </c>
      <c r="L164" s="2" t="str">
        <f>IFERROR(__xludf.DUMMYFUNCTION("GOOGLETRANSLATE(B164,""en"",""ur"")"),"کشتی کا ظاہری مقصد کیا ہے؟")</f>
        <v>کشتی کا ظاہری مقصد کیا ہے؟</v>
      </c>
      <c r="M164" s="2" t="str">
        <f>IFERROR(__xludf.DUMMYFUNCTION("GOOGLETRANSLATE(C164,""en"",""ur"")"),"ایک رسمی رقص")</f>
        <v>ایک رسمی رقص</v>
      </c>
      <c r="N164" s="2" t="str">
        <f>IFERROR(__xludf.DUMMYFUNCTION("GOOGLETRANSLATE(D164,""en"",""ur"")"),"ایک دوستانہ مظاہرہ")</f>
        <v>ایک دوستانہ مظاہرہ</v>
      </c>
      <c r="O164" s="2" t="str">
        <f>IFERROR(__xludf.DUMMYFUNCTION("GOOGLETRANSLATE(E164,""en"",""ur"")"),"ٹیک ڈاؤن کے ساتھ ایک مسابقتی میچ")</f>
        <v>ٹیک ڈاؤن کے ساتھ ایک مسابقتی میچ</v>
      </c>
      <c r="P164" s="2" t="str">
        <f>IFERROR(__xludf.DUMMYFUNCTION("GOOGLETRANSLATE(F164,""en"",""ur"")"),"ایک پریکٹس سیشن")</f>
        <v>ایک پریکٹس سیشن</v>
      </c>
      <c r="Q164" s="6" t="s">
        <v>1198</v>
      </c>
      <c r="R164" s="6" t="str">
        <f>IFERROR(__xludf.DUMMYFUNCTION("""COMPUTED_VALUE"""),"ایک ریسلنگ میچ میں دو آدمی")</f>
        <v>ایک ریسلنگ میچ میں دو آدمی</v>
      </c>
      <c r="S164" s="6" t="s">
        <v>1272</v>
      </c>
      <c r="T164" s="6"/>
      <c r="U164" s="6"/>
      <c r="V164" s="6"/>
      <c r="W164" s="6"/>
      <c r="X164" s="6"/>
      <c r="Y164" s="6"/>
      <c r="Z164" s="6"/>
      <c r="AA164" s="6"/>
      <c r="AB164" s="6"/>
    </row>
    <row r="165">
      <c r="A165" s="7">
        <v>164.0</v>
      </c>
      <c r="B165" s="6" t="s">
        <v>991</v>
      </c>
      <c r="C165" s="6" t="s">
        <v>422</v>
      </c>
      <c r="D165" s="6" t="s">
        <v>1199</v>
      </c>
      <c r="E165" s="6" t="s">
        <v>424</v>
      </c>
      <c r="F165" s="6" t="s">
        <v>425</v>
      </c>
      <c r="G165" s="6" t="s">
        <v>1199</v>
      </c>
      <c r="H165" s="6" t="s">
        <v>1272</v>
      </c>
      <c r="I165" s="6"/>
      <c r="J165" s="6"/>
      <c r="K165" s="2" t="str">
        <f>IFERROR(__xludf.DUMMYFUNCTION("GOOGLETRANSLATE(A165,""en"",""ur"")"),"164")</f>
        <v>164</v>
      </c>
      <c r="L165" s="2" t="str">
        <f>IFERROR(__xludf.DUMMYFUNCTION("GOOGLETRANSLATE(B165,""en"",""ur"")"),"واقعہ کی ظاہری ترتیب کیا ہے؟")</f>
        <v>واقعہ کی ظاہری ترتیب کیا ہے؟</v>
      </c>
      <c r="M165" s="2" t="str">
        <f>IFERROR(__xludf.DUMMYFUNCTION("GOOGLETRANSLATE(C165,""en"",""ur"")"),"ایک انڈور اسٹیڈیم")</f>
        <v>ایک انڈور اسٹیڈیم</v>
      </c>
      <c r="N165" s="2" t="str">
        <f>IFERROR(__xludf.DUMMYFUNCTION("GOOGLETRANSLATE(D165,""en"",""ur"")"),"ایک دیہی، بیرونی گندگی کا ایک بڑا ہجوم")</f>
        <v>ایک دیہی، بیرونی گندگی کا ایک بڑا ہجوم</v>
      </c>
      <c r="O165" s="2" t="str">
        <f>IFERROR(__xludf.DUMMYFUNCTION("GOOGLETRANSLATE(E165,""en"",""ur"")"),"شہر کی مصروف گلی")</f>
        <v>شہر کی مصروف گلی</v>
      </c>
      <c r="P165" s="2" t="str">
        <f>IFERROR(__xludf.DUMMYFUNCTION("GOOGLETRANSLATE(F165,""en"",""ur"")"),"گھاس کا میدان")</f>
        <v>گھاس کا میدان</v>
      </c>
      <c r="Q165" s="6" t="s">
        <v>1200</v>
      </c>
      <c r="R165" s="6" t="str">
        <f>IFERROR(__xludf.DUMMYFUNCTION("""COMPUTED_VALUE"""),"ایک ریسلنگ میچ میں دو آدمی")</f>
        <v>ایک ریسلنگ میچ میں دو آدمی</v>
      </c>
      <c r="S165" s="6" t="s">
        <v>1272</v>
      </c>
      <c r="T165" s="6"/>
      <c r="U165" s="6"/>
      <c r="V165" s="6"/>
      <c r="W165" s="6"/>
      <c r="X165" s="6"/>
      <c r="Y165" s="6"/>
      <c r="Z165" s="6"/>
      <c r="AA165" s="6"/>
      <c r="AB165" s="6"/>
    </row>
    <row r="166">
      <c r="A166" s="7">
        <v>165.0</v>
      </c>
      <c r="B166" s="6" t="s">
        <v>1201</v>
      </c>
      <c r="C166" s="6" t="s">
        <v>47</v>
      </c>
      <c r="D166" s="6" t="s">
        <v>48</v>
      </c>
      <c r="E166" s="6" t="s">
        <v>49</v>
      </c>
      <c r="F166" s="6" t="s">
        <v>50</v>
      </c>
      <c r="G166" s="6" t="s">
        <v>49</v>
      </c>
      <c r="H166" s="6" t="s">
        <v>1272</v>
      </c>
      <c r="I166" s="6"/>
      <c r="J166" s="6"/>
      <c r="K166" s="2" t="str">
        <f>IFERROR(__xludf.DUMMYFUNCTION("GOOGLETRANSLATE(A166,""en"",""ur"")"),"165")</f>
        <v>165</v>
      </c>
      <c r="L166" s="2" t="str">
        <f>IFERROR(__xludf.DUMMYFUNCTION("GOOGLETRANSLATE(B166,""en"",""ur"")"),"پہلوانوں کے ظاہری جذبات کیا ہیں؟")</f>
        <v>پہلوانوں کے ظاہری جذبات کیا ہیں؟</v>
      </c>
      <c r="M166" s="2" t="str">
        <f>IFERROR(__xludf.DUMMYFUNCTION("GOOGLETRANSLATE(C166,""en"",""ur"")"),"پرسکون اور پر سکون")</f>
        <v>پرسکون اور پر سکون</v>
      </c>
      <c r="N166" s="2" t="str">
        <f>IFERROR(__xludf.DUMMYFUNCTION("GOOGLETRANSLATE(D166,""en"",""ur"")"),"خوف زدہ اور بے چین")</f>
        <v>خوف زدہ اور بے چین</v>
      </c>
      <c r="O166" s="2" t="str">
        <f>IFERROR(__xludf.DUMMYFUNCTION("GOOGLETRANSLATE(E166,""en"",""ur"")"),"کشیدہ اور شدید")</f>
        <v>کشیدہ اور شدید</v>
      </c>
      <c r="P166" s="2" t="str">
        <f>IFERROR(__xludf.DUMMYFUNCTION("GOOGLETRANSLATE(F166,""en"",""ur"")"),"خوش اور مسکراتے ہوئے۔")</f>
        <v>خوش اور مسکراتے ہوئے۔</v>
      </c>
      <c r="Q166" s="6" t="s">
        <v>51</v>
      </c>
      <c r="R166" s="6" t="str">
        <f>IFERROR(__xludf.DUMMYFUNCTION("""COMPUTED_VALUE"""),"ایک ریسلنگ میچ میں دو آدمی")</f>
        <v>ایک ریسلنگ میچ میں دو آدمی</v>
      </c>
      <c r="S166" s="6" t="s">
        <v>1272</v>
      </c>
      <c r="T166" s="6"/>
      <c r="U166" s="6"/>
      <c r="V166" s="6"/>
      <c r="W166" s="6"/>
      <c r="X166" s="6"/>
      <c r="Y166" s="6"/>
      <c r="Z166" s="6"/>
      <c r="AA166" s="6"/>
      <c r="AB166" s="6"/>
    </row>
    <row r="167">
      <c r="A167" s="7">
        <v>166.0</v>
      </c>
      <c r="B167" s="6" t="s">
        <v>1218</v>
      </c>
      <c r="C167" s="6" t="s">
        <v>429</v>
      </c>
      <c r="D167" s="6" t="s">
        <v>430</v>
      </c>
      <c r="E167" s="6" t="s">
        <v>431</v>
      </c>
      <c r="F167" s="6" t="s">
        <v>432</v>
      </c>
      <c r="G167" s="6" t="s">
        <v>430</v>
      </c>
      <c r="H167" s="6" t="s">
        <v>1272</v>
      </c>
      <c r="I167" s="6"/>
      <c r="J167" s="6"/>
      <c r="K167" s="2" t="str">
        <f>IFERROR(__xludf.DUMMYFUNCTION("GOOGLETRANSLATE(A167,""en"",""ur"")"),"166")</f>
        <v>166</v>
      </c>
      <c r="L167" s="2" t="str">
        <f>IFERROR(__xludf.DUMMYFUNCTION("GOOGLETRANSLATE(B167,""en"",""ur"")"),"پہلوانوں کی ظاہری جسمانی پوزیشن کیا ہے؟")</f>
        <v>پہلوانوں کی ظاہری جسمانی پوزیشن کیا ہے؟</v>
      </c>
      <c r="M167" s="2" t="str">
        <f>IFERROR(__xludf.DUMMYFUNCTION("GOOGLETRANSLATE(C167,""en"",""ur"")"),"سیدھا کھڑا ہونا")</f>
        <v>سیدھا کھڑا ہونا</v>
      </c>
      <c r="N167" s="2" t="str">
        <f>IFERROR(__xludf.DUMMYFUNCTION("GOOGLETRANSLATE(D167,""en"",""ur"")"),"کم، متحرک موقف میں")</f>
        <v>کم، متحرک موقف میں</v>
      </c>
      <c r="O167" s="2" t="str">
        <f>IFERROR(__xludf.DUMMYFUNCTION("GOOGLETRANSLATE(E167,""en"",""ur"")"),"زمین پر لیٹنا")</f>
        <v>زمین پر لیٹنا</v>
      </c>
      <c r="P167" s="2" t="str">
        <f>IFERROR(__xludf.DUMMYFUNCTION("GOOGLETRANSLATE(F167,""en"",""ur"")"),"بیٹھا ہوا")</f>
        <v>بیٹھا ہوا</v>
      </c>
      <c r="Q167" s="6" t="s">
        <v>433</v>
      </c>
      <c r="R167" s="6" t="str">
        <f>IFERROR(__xludf.DUMMYFUNCTION("""COMPUTED_VALUE"""),"ایک ریسلنگ میچ میں دو آدمی")</f>
        <v>ایک ریسلنگ میچ میں دو آدمی</v>
      </c>
      <c r="S167" s="6" t="s">
        <v>1272</v>
      </c>
      <c r="T167" s="6"/>
      <c r="U167" s="6"/>
      <c r="V167" s="6"/>
      <c r="W167" s="6"/>
      <c r="X167" s="6"/>
      <c r="Y167" s="6"/>
      <c r="Z167" s="6"/>
      <c r="AA167" s="6"/>
      <c r="AB167" s="6"/>
    </row>
    <row r="168">
      <c r="A168" s="7">
        <v>167.0</v>
      </c>
      <c r="B168" s="6" t="s">
        <v>434</v>
      </c>
      <c r="C168" s="6" t="s">
        <v>435</v>
      </c>
      <c r="D168" s="6" t="s">
        <v>436</v>
      </c>
      <c r="E168" s="6" t="s">
        <v>1203</v>
      </c>
      <c r="F168" s="6" t="s">
        <v>438</v>
      </c>
      <c r="G168" s="6" t="s">
        <v>1203</v>
      </c>
      <c r="H168" s="6" t="s">
        <v>1272</v>
      </c>
      <c r="I168" s="6"/>
      <c r="J168" s="6"/>
      <c r="K168" s="2" t="str">
        <f>IFERROR(__xludf.DUMMYFUNCTION("GOOGLETRANSLATE(A168,""en"",""ur"")"),"167")</f>
        <v>167</v>
      </c>
      <c r="L168" s="2" t="str">
        <f>IFERROR(__xludf.DUMMYFUNCTION("GOOGLETRANSLATE(B168,""en"",""ur"")"),"پس منظر میں ہجوم کی سب سے نمایاں خصوصیت کیا ہے؟")</f>
        <v>پس منظر میں ہجوم کی سب سے نمایاں خصوصیت کیا ہے؟</v>
      </c>
      <c r="M168" s="2" t="str">
        <f>IFERROR(__xludf.DUMMYFUNCTION("GOOGLETRANSLATE(C168,""en"",""ur"")"),"وہ بھاگ رہے ہیں۔")</f>
        <v>وہ بھاگ رہے ہیں۔</v>
      </c>
      <c r="N168" s="2" t="str">
        <f>IFERROR(__xludf.DUMMYFUNCTION("GOOGLETRANSLATE(D168,""en"",""ur"")"),"وہ خاموش بیٹھے ہیں۔")</f>
        <v>وہ خاموش بیٹھے ہیں۔</v>
      </c>
      <c r="O168" s="2" t="str">
        <f>IFERROR(__xludf.DUMMYFUNCTION("GOOGLETRANSLATE(E168,""en"",""ur"")"),"وہ باڑ کے پیچھے سے میچ دیکھ رہے ہیں۔")</f>
        <v>وہ باڑ کے پیچھے سے میچ دیکھ رہے ہیں۔</v>
      </c>
      <c r="P168" s="2" t="str">
        <f>IFERROR(__xludf.DUMMYFUNCTION("GOOGLETRANSLATE(F168,""en"",""ur"")"),"وہ سب ایک اسٹیج پر کھڑے ہیں۔")</f>
        <v>وہ سب ایک اسٹیج پر کھڑے ہیں۔</v>
      </c>
      <c r="Q168" s="6" t="s">
        <v>1204</v>
      </c>
      <c r="R168" s="6" t="str">
        <f>IFERROR(__xludf.DUMMYFUNCTION("""COMPUTED_VALUE"""),"ایک ریسلنگ میچ میں دو آدمی")</f>
        <v>ایک ریسلنگ میچ میں دو آدمی</v>
      </c>
      <c r="S168" s="6" t="s">
        <v>1272</v>
      </c>
      <c r="T168" s="6"/>
      <c r="U168" s="6"/>
      <c r="V168" s="6"/>
      <c r="W168" s="6"/>
      <c r="X168" s="6"/>
      <c r="Y168" s="6"/>
      <c r="Z168" s="6"/>
      <c r="AA168" s="6"/>
      <c r="AB168" s="6"/>
    </row>
    <row r="169">
      <c r="A169" s="7">
        <v>168.0</v>
      </c>
      <c r="B169" s="6" t="s">
        <v>440</v>
      </c>
      <c r="C169" s="6" t="s">
        <v>441</v>
      </c>
      <c r="D169" s="6" t="s">
        <v>442</v>
      </c>
      <c r="E169" s="6" t="s">
        <v>512</v>
      </c>
      <c r="F169" s="6" t="s">
        <v>444</v>
      </c>
      <c r="G169" s="6" t="s">
        <v>512</v>
      </c>
      <c r="H169" s="6" t="s">
        <v>1272</v>
      </c>
      <c r="I169" s="6"/>
      <c r="J169" s="6"/>
      <c r="K169" s="2" t="str">
        <f>IFERROR(__xludf.DUMMYFUNCTION("GOOGLETRANSLATE(A169,""en"",""ur"")"),"168")</f>
        <v>168</v>
      </c>
      <c r="L169" s="2" t="str">
        <f>IFERROR(__xludf.DUMMYFUNCTION("GOOGLETRANSLATE(B169,""en"",""ur"")"),"زمین کی ظاہری حالت کیا ہے؟")</f>
        <v>زمین کی ظاہری حالت کیا ہے؟</v>
      </c>
      <c r="M169" s="2" t="str">
        <f>IFERROR(__xludf.DUMMYFUNCTION("GOOGLETRANSLATE(C169,""en"",""ur"")"),"یہ ایک پکی سطح ہے۔")</f>
        <v>یہ ایک پکی سطح ہے۔</v>
      </c>
      <c r="N169" s="2" t="str">
        <f>IFERROR(__xludf.DUMMYFUNCTION("GOOGLETRANSLATE(D169,""en"",""ur"")"),"یہ ایک کیچڑ والا میدان ہے۔")</f>
        <v>یہ ایک کیچڑ والا میدان ہے۔</v>
      </c>
      <c r="O169" s="2" t="str">
        <f>IFERROR(__xludf.DUMMYFUNCTION("GOOGLETRANSLATE(E169,""en"",""ur"")"),"یہ ایک ریتلی یا گندگی کی سطح ہے۔")</f>
        <v>یہ ایک ریتلی یا گندگی کی سطح ہے۔</v>
      </c>
      <c r="P169" s="2" t="str">
        <f>IFERROR(__xludf.DUMMYFUNCTION("GOOGLETRANSLATE(F169,""en"",""ur"")"),"یہ ایک گھاس والی سطح ہے۔")</f>
        <v>یہ ایک گھاس والی سطح ہے۔</v>
      </c>
      <c r="Q169" s="6" t="s">
        <v>1219</v>
      </c>
      <c r="R169" s="6" t="str">
        <f>IFERROR(__xludf.DUMMYFUNCTION("""COMPUTED_VALUE"""),"ایک ریسلنگ میچ میں دو آدمی")</f>
        <v>ایک ریسلنگ میچ میں دو آدمی</v>
      </c>
      <c r="S169" s="6" t="s">
        <v>1272</v>
      </c>
      <c r="T169" s="6"/>
      <c r="U169" s="6"/>
      <c r="V169" s="6"/>
      <c r="W169" s="6"/>
      <c r="X169" s="6"/>
      <c r="Y169" s="6"/>
      <c r="Z169" s="6"/>
      <c r="AA169" s="6"/>
      <c r="AB169" s="6"/>
    </row>
    <row r="170">
      <c r="A170" s="7">
        <v>169.0</v>
      </c>
      <c r="B170" s="6" t="s">
        <v>1205</v>
      </c>
      <c r="C170" s="6" t="s">
        <v>1206</v>
      </c>
      <c r="D170" s="6" t="s">
        <v>1207</v>
      </c>
      <c r="E170" s="6" t="s">
        <v>1208</v>
      </c>
      <c r="F170" s="6" t="s">
        <v>449</v>
      </c>
      <c r="G170" s="6" t="s">
        <v>1208</v>
      </c>
      <c r="H170" s="6" t="s">
        <v>1272</v>
      </c>
      <c r="I170" s="6"/>
      <c r="J170" s="6"/>
      <c r="K170" s="2" t="str">
        <f>IFERROR(__xludf.DUMMYFUNCTION("GOOGLETRANSLATE(A170,""en"",""ur"")"),"169")</f>
        <v>169</v>
      </c>
      <c r="L170" s="2" t="str">
        <f>IFERROR(__xludf.DUMMYFUNCTION("GOOGLETRANSLATE(B170,""en"",""ur"")"),"لمبی اسکرٹس کا بنیادی مقصد کیا ہے؟")</f>
        <v>لمبی اسکرٹس کا بنیادی مقصد کیا ہے؟</v>
      </c>
      <c r="M170" s="2" t="str">
        <f>IFERROR(__xludf.DUMMYFUNCTION("GOOGLETRANSLATE(C170,""en"",""ur"")"),"پہلوانوں کی ٹانگوں کی حفاظت کے لیے")</f>
        <v>پہلوانوں کی ٹانگوں کی حفاظت کے لیے</v>
      </c>
      <c r="N170" s="2" t="str">
        <f>IFERROR(__xludf.DUMMYFUNCTION("GOOGLETRANSLATE(D170,""en"",""ur"")"),"پہلوانوں کو مزید چست بنانے کے لیے")</f>
        <v>پہلوانوں کو مزید چست بنانے کے لیے</v>
      </c>
      <c r="O170" s="2" t="str">
        <f>IFERROR(__xludf.DUMMYFUNCTION("GOOGLETRANSLATE(E170,""en"",""ur"")"),"روایتی لباس اور لڑائی کے دوران گرفت کے لیے")</f>
        <v>روایتی لباس اور لڑائی کے دوران گرفت کے لیے</v>
      </c>
      <c r="P170" s="2" t="str">
        <f>IFERROR(__xludf.DUMMYFUNCTION("GOOGLETRANSLATE(F170,""en"",""ur"")"),"صرف سجاوٹ کے لیے")</f>
        <v>صرف سجاوٹ کے لیے</v>
      </c>
      <c r="Q170" s="6" t="s">
        <v>1209</v>
      </c>
      <c r="R170" s="6" t="str">
        <f>IFERROR(__xludf.DUMMYFUNCTION("""COMPUTED_VALUE"""),"ایک ریسلنگ میچ میں دو آدمی")</f>
        <v>ایک ریسلنگ میچ میں دو آدمی</v>
      </c>
      <c r="S170" s="6" t="s">
        <v>1272</v>
      </c>
      <c r="T170" s="6"/>
      <c r="U170" s="6"/>
      <c r="V170" s="6"/>
      <c r="W170" s="6"/>
      <c r="X170" s="6"/>
      <c r="Y170" s="6"/>
      <c r="Z170" s="6"/>
      <c r="AA170" s="6"/>
      <c r="AB170" s="6"/>
    </row>
    <row r="171">
      <c r="A171" s="7">
        <v>170.0</v>
      </c>
      <c r="B171" s="6" t="s">
        <v>260</v>
      </c>
      <c r="C171" s="6" t="s">
        <v>261</v>
      </c>
      <c r="D171" s="6" t="s">
        <v>262</v>
      </c>
      <c r="E171" s="6" t="s">
        <v>1210</v>
      </c>
      <c r="F171" s="6" t="s">
        <v>264</v>
      </c>
      <c r="G171" s="6" t="s">
        <v>1210</v>
      </c>
      <c r="H171" s="6" t="s">
        <v>1272</v>
      </c>
      <c r="I171" s="6"/>
      <c r="J171" s="6"/>
      <c r="K171" s="2" t="str">
        <f>IFERROR(__xludf.DUMMYFUNCTION("GOOGLETRANSLATE(A171,""en"",""ur"")"),"170")</f>
        <v>170</v>
      </c>
      <c r="L171" s="2" t="str">
        <f>IFERROR(__xludf.DUMMYFUNCTION("GOOGLETRANSLATE(B171,""en"",""ur"")"),"تصویر میں ایکشن ایک ایسا انداز تجویز کرتا ہے جو اس بات پر زور دیتا ہے...")</f>
        <v>تصویر میں ایکشن ایک ایسا انداز تجویز کرتا ہے جو اس بات پر زور دیتا ہے...</v>
      </c>
      <c r="M171" s="2" t="str">
        <f>IFERROR(__xludf.DUMMYFUNCTION("GOOGLETRANSLATE(C171,""en"",""ur"")"),"روانی اور قلابازیاں")</f>
        <v>روانی اور قلابازیاں</v>
      </c>
      <c r="N171" s="2" t="str">
        <f>IFERROR(__xludf.DUMMYFUNCTION("GOOGLETRANSLATE(D171,""en"",""ur"")"),"زمینی لڑائی اور گرفت")</f>
        <v>زمینی لڑائی اور گرفت</v>
      </c>
      <c r="O171" s="2" t="str">
        <f>IFERROR(__xludf.DUMMYFUNCTION("GOOGLETRANSLATE(E171,""en"",""ur"")"),"وحشیانہ طاقت اور ٹیک ڈاؤن")</f>
        <v>وحشیانہ طاقت اور ٹیک ڈاؤن</v>
      </c>
      <c r="P171" s="2" t="str">
        <f>IFERROR(__xludf.DUMMYFUNCTION("GOOGLETRANSLATE(F171,""en"",""ur"")"),"سادہ، لکیری حرکات")</f>
        <v>سادہ، لکیری حرکات</v>
      </c>
      <c r="Q171" s="6" t="s">
        <v>1211</v>
      </c>
      <c r="R171" s="6" t="str">
        <f>IFERROR(__xludf.DUMMYFUNCTION("""COMPUTED_VALUE"""),"ایک ریسلنگ میچ میں دو آدمی")</f>
        <v>ایک ریسلنگ میچ میں دو آدمی</v>
      </c>
      <c r="S171" s="6" t="s">
        <v>1272</v>
      </c>
      <c r="T171" s="6"/>
      <c r="U171" s="6"/>
      <c r="V171" s="6"/>
      <c r="W171" s="6"/>
      <c r="X171" s="6"/>
      <c r="Y171" s="6"/>
      <c r="Z171" s="6"/>
      <c r="AA171" s="6"/>
      <c r="AB171" s="6"/>
    </row>
    <row r="172">
      <c r="A172" s="7">
        <v>171.0</v>
      </c>
      <c r="B172" s="6" t="s">
        <v>1273</v>
      </c>
      <c r="C172" s="6" t="s">
        <v>405</v>
      </c>
      <c r="D172" s="6" t="s">
        <v>406</v>
      </c>
      <c r="E172" s="6" t="s">
        <v>1184</v>
      </c>
      <c r="F172" s="6" t="s">
        <v>1185</v>
      </c>
      <c r="G172" s="6" t="s">
        <v>1184</v>
      </c>
      <c r="H172" s="6" t="s">
        <v>1274</v>
      </c>
      <c r="I172" s="6"/>
      <c r="J172" s="6"/>
      <c r="K172" s="2" t="str">
        <f>IFERROR(__xludf.DUMMYFUNCTION("GOOGLETRANSLATE(A172,""en"",""ur"")"),"171")</f>
        <v>171</v>
      </c>
      <c r="L172" s="2" t="str">
        <f>IFERROR(__xludf.DUMMYFUNCTION("GOOGLETRANSLATE(B172,""en"",""ur"")"),"ملاخرہ_30 میں دکھایا گیا اہم عمل کیا ہے؟")</f>
        <v>ملاخرہ_30 میں دکھایا گیا اہم عمل کیا ہے؟</v>
      </c>
      <c r="M172" s="2" t="str">
        <f>IFERROR(__xludf.DUMMYFUNCTION("GOOGLETRANSLATE(C172,""en"",""ur"")"),"دو آدمی تلواروں سے لڑ رہے ہیں۔")</f>
        <v>دو آدمی تلواروں سے لڑ رہے ہیں۔</v>
      </c>
      <c r="N172" s="2" t="str">
        <f>IFERROR(__xludf.DUMMYFUNCTION("GOOGLETRANSLATE(D172,""en"",""ur"")"),"دو آدمی ناچ رہے ہیں۔")</f>
        <v>دو آدمی ناچ رہے ہیں۔</v>
      </c>
      <c r="O172" s="2" t="str">
        <f>IFERROR(__xludf.DUMMYFUNCTION("GOOGLETRANSLATE(E172,""en"",""ur"")"),"ایک ریسلنگ میچ میں دو آدمی")</f>
        <v>ایک ریسلنگ میچ میں دو آدمی</v>
      </c>
      <c r="P172" s="2" t="str">
        <f>IFERROR(__xludf.DUMMYFUNCTION("GOOGLETRANSLATE(F172,""en"",""ur"")"),"دو آدمی بھاگ رہے ہیں۔")</f>
        <v>دو آدمی بھاگ رہے ہیں۔</v>
      </c>
      <c r="Q172" s="6" t="s">
        <v>1214</v>
      </c>
      <c r="R172" s="6" t="str">
        <f>IFERROR(__xludf.DUMMYFUNCTION("""COMPUTED_VALUE"""),"ایک ریسلنگ میچ میں دو آدمی")</f>
        <v>ایک ریسلنگ میچ میں دو آدمی</v>
      </c>
      <c r="S172" s="6" t="s">
        <v>1274</v>
      </c>
      <c r="T172" s="6"/>
      <c r="U172" s="6"/>
      <c r="V172" s="6"/>
      <c r="W172" s="6"/>
      <c r="X172" s="6"/>
      <c r="Y172" s="6"/>
      <c r="Z172" s="6"/>
      <c r="AA172" s="6"/>
      <c r="AB172" s="6"/>
    </row>
    <row r="173">
      <c r="A173" s="7">
        <v>172.0</v>
      </c>
      <c r="B173" s="6" t="s">
        <v>1215</v>
      </c>
      <c r="C173" s="6" t="s">
        <v>488</v>
      </c>
      <c r="D173" s="6" t="s">
        <v>1216</v>
      </c>
      <c r="E173" s="6" t="s">
        <v>490</v>
      </c>
      <c r="F173" s="6" t="s">
        <v>246</v>
      </c>
      <c r="G173" s="6" t="s">
        <v>1216</v>
      </c>
      <c r="H173" s="6" t="s">
        <v>1274</v>
      </c>
      <c r="I173" s="6"/>
      <c r="J173" s="6"/>
      <c r="K173" s="2" t="str">
        <f>IFERROR(__xludf.DUMMYFUNCTION("GOOGLETRANSLATE(A173,""en"",""ur"")"),"172")</f>
        <v>172</v>
      </c>
      <c r="L173" s="2" t="str">
        <f>IFERROR(__xludf.DUMMYFUNCTION("GOOGLETRANSLATE(B173,""en"",""ur"")"),"پہلوانوں کے لباس کے بارے میں ایک قابل ذکر تفصیل کیا ہے؟")</f>
        <v>پہلوانوں کے لباس کے بارے میں ایک قابل ذکر تفصیل کیا ہے؟</v>
      </c>
      <c r="M173" s="2" t="str">
        <f>IFERROR(__xludf.DUMMYFUNCTION("GOOGLETRANSLATE(C173,""en"",""ur"")"),"انہوں نے بکتر کا پورا سوٹ پہن رکھا ہے۔")</f>
        <v>انہوں نے بکتر کا پورا سوٹ پہن رکھا ہے۔</v>
      </c>
      <c r="N173" s="2" t="str">
        <f>IFERROR(__xludf.DUMMYFUNCTION("GOOGLETRANSLATE(D173,""en"",""ur"")"),"وہ سارونگ یا پیٹرن والا اسکرٹ پہنے ہوئے ہیں۔")</f>
        <v>وہ سارونگ یا پیٹرن والا اسکرٹ پہنے ہوئے ہیں۔</v>
      </c>
      <c r="O173" s="2" t="str">
        <f>IFERROR(__xludf.DUMMYFUNCTION("GOOGLETRANSLATE(E173,""en"",""ur"")"),"انہوں نے شارٹس اور ٹی شرٹ پہن رکھی ہیں۔")</f>
        <v>انہوں نے شارٹس اور ٹی شرٹ پہن رکھی ہیں۔</v>
      </c>
      <c r="P173" s="2" t="str">
        <f>IFERROR(__xludf.DUMMYFUNCTION("GOOGLETRANSLATE(F173,""en"",""ur"")"),"انہوں نے کوئی لباس نہیں پہنا ہوا ہے۔")</f>
        <v>انہوں نے کوئی لباس نہیں پہنا ہوا ہے۔</v>
      </c>
      <c r="Q173" s="6" t="s">
        <v>1217</v>
      </c>
      <c r="R173" s="6" t="str">
        <f>IFERROR(__xludf.DUMMYFUNCTION("""COMPUTED_VALUE"""),"ایک ریسلنگ میچ میں دو آدمی")</f>
        <v>ایک ریسلنگ میچ میں دو آدمی</v>
      </c>
      <c r="S173" s="6" t="s">
        <v>1274</v>
      </c>
      <c r="T173" s="6"/>
      <c r="U173" s="6"/>
      <c r="V173" s="6"/>
      <c r="W173" s="6"/>
      <c r="X173" s="6"/>
      <c r="Y173" s="6"/>
      <c r="Z173" s="6"/>
      <c r="AA173" s="6"/>
      <c r="AB173" s="6"/>
    </row>
    <row r="174">
      <c r="A174" s="7">
        <v>173.0</v>
      </c>
      <c r="B174" s="6" t="s">
        <v>1193</v>
      </c>
      <c r="C174" s="6" t="s">
        <v>1194</v>
      </c>
      <c r="D174" s="6" t="s">
        <v>1195</v>
      </c>
      <c r="E174" s="6" t="s">
        <v>1196</v>
      </c>
      <c r="F174" s="6" t="s">
        <v>1197</v>
      </c>
      <c r="G174" s="6" t="s">
        <v>1196</v>
      </c>
      <c r="H174" s="6" t="s">
        <v>1274</v>
      </c>
      <c r="I174" s="6"/>
      <c r="J174" s="6"/>
      <c r="K174" s="2" t="str">
        <f>IFERROR(__xludf.DUMMYFUNCTION("GOOGLETRANSLATE(A174,""en"",""ur"")"),"173")</f>
        <v>173</v>
      </c>
      <c r="L174" s="2" t="str">
        <f>IFERROR(__xludf.DUMMYFUNCTION("GOOGLETRANSLATE(B174,""en"",""ur"")"),"کشتی کا ظاہری مقصد کیا ہے؟")</f>
        <v>کشتی کا ظاہری مقصد کیا ہے؟</v>
      </c>
      <c r="M174" s="2" t="str">
        <f>IFERROR(__xludf.DUMMYFUNCTION("GOOGLETRANSLATE(C174,""en"",""ur"")"),"ایک رسمی رقص")</f>
        <v>ایک رسمی رقص</v>
      </c>
      <c r="N174" s="2" t="str">
        <f>IFERROR(__xludf.DUMMYFUNCTION("GOOGLETRANSLATE(D174,""en"",""ur"")"),"ایک دوستانہ مظاہرہ")</f>
        <v>ایک دوستانہ مظاہرہ</v>
      </c>
      <c r="O174" s="2" t="str">
        <f>IFERROR(__xludf.DUMMYFUNCTION("GOOGLETRANSLATE(E174,""en"",""ur"")"),"ٹیک ڈاؤن کے ساتھ ایک مسابقتی میچ")</f>
        <v>ٹیک ڈاؤن کے ساتھ ایک مسابقتی میچ</v>
      </c>
      <c r="P174" s="2" t="str">
        <f>IFERROR(__xludf.DUMMYFUNCTION("GOOGLETRANSLATE(F174,""en"",""ur"")"),"ایک پریکٹس سیشن")</f>
        <v>ایک پریکٹس سیشن</v>
      </c>
      <c r="Q174" s="6" t="s">
        <v>1198</v>
      </c>
      <c r="R174" s="6" t="str">
        <f>IFERROR(__xludf.DUMMYFUNCTION("""COMPUTED_VALUE"""),"ایک ریسلنگ میچ میں دو آدمی")</f>
        <v>ایک ریسلنگ میچ میں دو آدمی</v>
      </c>
      <c r="S174" s="6" t="s">
        <v>1274</v>
      </c>
      <c r="T174" s="6"/>
      <c r="U174" s="6"/>
      <c r="V174" s="6"/>
      <c r="W174" s="6"/>
      <c r="X174" s="6"/>
      <c r="Y174" s="6"/>
      <c r="Z174" s="6"/>
      <c r="AA174" s="6"/>
      <c r="AB174" s="6"/>
    </row>
    <row r="175">
      <c r="A175" s="7">
        <v>174.0</v>
      </c>
      <c r="B175" s="6" t="s">
        <v>991</v>
      </c>
      <c r="C175" s="6" t="s">
        <v>422</v>
      </c>
      <c r="D175" s="6" t="s">
        <v>1199</v>
      </c>
      <c r="E175" s="6" t="s">
        <v>424</v>
      </c>
      <c r="F175" s="6" t="s">
        <v>425</v>
      </c>
      <c r="G175" s="6" t="s">
        <v>1199</v>
      </c>
      <c r="H175" s="6" t="s">
        <v>1274</v>
      </c>
      <c r="I175" s="6"/>
      <c r="J175" s="6"/>
      <c r="K175" s="2" t="str">
        <f>IFERROR(__xludf.DUMMYFUNCTION("GOOGLETRANSLATE(A175,""en"",""ur"")"),"174")</f>
        <v>174</v>
      </c>
      <c r="L175" s="2" t="str">
        <f>IFERROR(__xludf.DUMMYFUNCTION("GOOGLETRANSLATE(B175,""en"",""ur"")"),"واقعہ کی ظاہری ترتیب کیا ہے؟")</f>
        <v>واقعہ کی ظاہری ترتیب کیا ہے؟</v>
      </c>
      <c r="M175" s="2" t="str">
        <f>IFERROR(__xludf.DUMMYFUNCTION("GOOGLETRANSLATE(C175,""en"",""ur"")"),"ایک انڈور اسٹیڈیم")</f>
        <v>ایک انڈور اسٹیڈیم</v>
      </c>
      <c r="N175" s="2" t="str">
        <f>IFERROR(__xludf.DUMMYFUNCTION("GOOGLETRANSLATE(D175,""en"",""ur"")"),"ایک دیہی، بیرونی گندگی کا ایک بڑا ہجوم")</f>
        <v>ایک دیہی، بیرونی گندگی کا ایک بڑا ہجوم</v>
      </c>
      <c r="O175" s="2" t="str">
        <f>IFERROR(__xludf.DUMMYFUNCTION("GOOGLETRANSLATE(E175,""en"",""ur"")"),"شہر کی مصروف گلی")</f>
        <v>شہر کی مصروف گلی</v>
      </c>
      <c r="P175" s="2" t="str">
        <f>IFERROR(__xludf.DUMMYFUNCTION("GOOGLETRANSLATE(F175,""en"",""ur"")"),"گھاس کا میدان")</f>
        <v>گھاس کا میدان</v>
      </c>
      <c r="Q175" s="6" t="s">
        <v>1200</v>
      </c>
      <c r="R175" s="6" t="str">
        <f>IFERROR(__xludf.DUMMYFUNCTION("""COMPUTED_VALUE"""),"ایک ریسلنگ میچ میں دو آدمی")</f>
        <v>ایک ریسلنگ میچ میں دو آدمی</v>
      </c>
      <c r="S175" s="6" t="s">
        <v>1274</v>
      </c>
      <c r="T175" s="6"/>
      <c r="U175" s="6"/>
      <c r="V175" s="6"/>
      <c r="W175" s="6"/>
      <c r="X175" s="6"/>
      <c r="Y175" s="6"/>
      <c r="Z175" s="6"/>
      <c r="AA175" s="6"/>
      <c r="AB175" s="6"/>
    </row>
    <row r="176">
      <c r="A176" s="7">
        <v>175.0</v>
      </c>
      <c r="B176" s="6" t="s">
        <v>1201</v>
      </c>
      <c r="C176" s="6" t="s">
        <v>47</v>
      </c>
      <c r="D176" s="6" t="s">
        <v>48</v>
      </c>
      <c r="E176" s="6" t="s">
        <v>49</v>
      </c>
      <c r="F176" s="6" t="s">
        <v>50</v>
      </c>
      <c r="G176" s="6" t="s">
        <v>49</v>
      </c>
      <c r="H176" s="6" t="s">
        <v>1274</v>
      </c>
      <c r="I176" s="6"/>
      <c r="J176" s="6"/>
      <c r="K176" s="2" t="str">
        <f>IFERROR(__xludf.DUMMYFUNCTION("GOOGLETRANSLATE(A176,""en"",""ur"")"),"175")</f>
        <v>175</v>
      </c>
      <c r="L176" s="2" t="str">
        <f>IFERROR(__xludf.DUMMYFUNCTION("GOOGLETRANSLATE(B176,""en"",""ur"")"),"پہلوانوں کے ظاہری جذبات کیا ہیں؟")</f>
        <v>پہلوانوں کے ظاہری جذبات کیا ہیں؟</v>
      </c>
      <c r="M176" s="2" t="str">
        <f>IFERROR(__xludf.DUMMYFUNCTION("GOOGLETRANSLATE(C176,""en"",""ur"")"),"پرسکون اور پر سکون")</f>
        <v>پرسکون اور پر سکون</v>
      </c>
      <c r="N176" s="2" t="str">
        <f>IFERROR(__xludf.DUMMYFUNCTION("GOOGLETRANSLATE(D176,""en"",""ur"")"),"خوف زدہ اور بے چین")</f>
        <v>خوف زدہ اور بے چین</v>
      </c>
      <c r="O176" s="2" t="str">
        <f>IFERROR(__xludf.DUMMYFUNCTION("GOOGLETRANSLATE(E176,""en"",""ur"")"),"کشیدہ اور شدید")</f>
        <v>کشیدہ اور شدید</v>
      </c>
      <c r="P176" s="2" t="str">
        <f>IFERROR(__xludf.DUMMYFUNCTION("GOOGLETRANSLATE(F176,""en"",""ur"")"),"خوش اور مسکراتے ہوئے۔")</f>
        <v>خوش اور مسکراتے ہوئے۔</v>
      </c>
      <c r="Q176" s="6" t="s">
        <v>51</v>
      </c>
      <c r="R176" s="6" t="str">
        <f>IFERROR(__xludf.DUMMYFUNCTION("""COMPUTED_VALUE"""),"ایک ریسلنگ میچ میں دو آدمی")</f>
        <v>ایک ریسلنگ میچ میں دو آدمی</v>
      </c>
      <c r="S176" s="6" t="s">
        <v>1274</v>
      </c>
      <c r="T176" s="6"/>
      <c r="U176" s="6"/>
      <c r="V176" s="6"/>
      <c r="W176" s="6"/>
      <c r="X176" s="6"/>
      <c r="Y176" s="6"/>
      <c r="Z176" s="6"/>
      <c r="AA176" s="6"/>
      <c r="AB176" s="6"/>
    </row>
    <row r="177">
      <c r="A177" s="7">
        <v>176.0</v>
      </c>
      <c r="B177" s="6" t="s">
        <v>1218</v>
      </c>
      <c r="C177" s="6" t="s">
        <v>429</v>
      </c>
      <c r="D177" s="6" t="s">
        <v>430</v>
      </c>
      <c r="E177" s="6" t="s">
        <v>431</v>
      </c>
      <c r="F177" s="6" t="s">
        <v>432</v>
      </c>
      <c r="G177" s="6" t="s">
        <v>430</v>
      </c>
      <c r="H177" s="6" t="s">
        <v>1274</v>
      </c>
      <c r="I177" s="6"/>
      <c r="J177" s="6"/>
      <c r="K177" s="2" t="str">
        <f>IFERROR(__xludf.DUMMYFUNCTION("GOOGLETRANSLATE(A177,""en"",""ur"")"),"176")</f>
        <v>176</v>
      </c>
      <c r="L177" s="2" t="str">
        <f>IFERROR(__xludf.DUMMYFUNCTION("GOOGLETRANSLATE(B177,""en"",""ur"")"),"پہلوانوں کی ظاہری جسمانی پوزیشن کیا ہے؟")</f>
        <v>پہلوانوں کی ظاہری جسمانی پوزیشن کیا ہے؟</v>
      </c>
      <c r="M177" s="2" t="str">
        <f>IFERROR(__xludf.DUMMYFUNCTION("GOOGLETRANSLATE(C177,""en"",""ur"")"),"سیدھا کھڑا ہونا")</f>
        <v>سیدھا کھڑا ہونا</v>
      </c>
      <c r="N177" s="2" t="str">
        <f>IFERROR(__xludf.DUMMYFUNCTION("GOOGLETRANSLATE(D177,""en"",""ur"")"),"کم، متحرک موقف میں")</f>
        <v>کم، متحرک موقف میں</v>
      </c>
      <c r="O177" s="2" t="str">
        <f>IFERROR(__xludf.DUMMYFUNCTION("GOOGLETRANSLATE(E177,""en"",""ur"")"),"زمین پر لیٹنا")</f>
        <v>زمین پر لیٹنا</v>
      </c>
      <c r="P177" s="2" t="str">
        <f>IFERROR(__xludf.DUMMYFUNCTION("GOOGLETRANSLATE(F177,""en"",""ur"")"),"بیٹھا ہوا")</f>
        <v>بیٹھا ہوا</v>
      </c>
      <c r="Q177" s="6" t="s">
        <v>433</v>
      </c>
      <c r="R177" s="6" t="str">
        <f>IFERROR(__xludf.DUMMYFUNCTION("""COMPUTED_VALUE"""),"ایک ریسلنگ میچ میں دو آدمی")</f>
        <v>ایک ریسلنگ میچ میں دو آدمی</v>
      </c>
      <c r="S177" s="6" t="s">
        <v>1274</v>
      </c>
      <c r="T177" s="6"/>
      <c r="U177" s="6"/>
      <c r="V177" s="6"/>
      <c r="W177" s="6"/>
      <c r="X177" s="6"/>
      <c r="Y177" s="6"/>
      <c r="Z177" s="6"/>
      <c r="AA177" s="6"/>
      <c r="AB177" s="6"/>
    </row>
    <row r="178">
      <c r="A178" s="7">
        <v>177.0</v>
      </c>
      <c r="B178" s="6" t="s">
        <v>434</v>
      </c>
      <c r="C178" s="6" t="s">
        <v>435</v>
      </c>
      <c r="D178" s="6" t="s">
        <v>436</v>
      </c>
      <c r="E178" s="6" t="s">
        <v>1203</v>
      </c>
      <c r="F178" s="6" t="s">
        <v>438</v>
      </c>
      <c r="G178" s="6" t="s">
        <v>1203</v>
      </c>
      <c r="H178" s="6" t="s">
        <v>1274</v>
      </c>
      <c r="I178" s="6"/>
      <c r="J178" s="6"/>
      <c r="K178" s="2" t="str">
        <f>IFERROR(__xludf.DUMMYFUNCTION("GOOGLETRANSLATE(A178,""en"",""ur"")"),"177")</f>
        <v>177</v>
      </c>
      <c r="L178" s="2" t="str">
        <f>IFERROR(__xludf.DUMMYFUNCTION("GOOGLETRANSLATE(B178,""en"",""ur"")"),"پس منظر میں ہجوم کی سب سے نمایاں خصوصیت کیا ہے؟")</f>
        <v>پس منظر میں ہجوم کی سب سے نمایاں خصوصیت کیا ہے؟</v>
      </c>
      <c r="M178" s="2" t="str">
        <f>IFERROR(__xludf.DUMMYFUNCTION("GOOGLETRANSLATE(C178,""en"",""ur"")"),"وہ بھاگ رہے ہیں۔")</f>
        <v>وہ بھاگ رہے ہیں۔</v>
      </c>
      <c r="N178" s="2" t="str">
        <f>IFERROR(__xludf.DUMMYFUNCTION("GOOGLETRANSLATE(D178,""en"",""ur"")"),"وہ خاموش بیٹھے ہیں۔")</f>
        <v>وہ خاموش بیٹھے ہیں۔</v>
      </c>
      <c r="O178" s="2" t="str">
        <f>IFERROR(__xludf.DUMMYFUNCTION("GOOGLETRANSLATE(E178,""en"",""ur"")"),"وہ باڑ کے پیچھے سے میچ دیکھ رہے ہیں۔")</f>
        <v>وہ باڑ کے پیچھے سے میچ دیکھ رہے ہیں۔</v>
      </c>
      <c r="P178" s="2" t="str">
        <f>IFERROR(__xludf.DUMMYFUNCTION("GOOGLETRANSLATE(F178,""en"",""ur"")"),"وہ سب ایک اسٹیج پر کھڑے ہیں۔")</f>
        <v>وہ سب ایک اسٹیج پر کھڑے ہیں۔</v>
      </c>
      <c r="Q178" s="6" t="s">
        <v>1204</v>
      </c>
      <c r="R178" s="6" t="str">
        <f>IFERROR(__xludf.DUMMYFUNCTION("""COMPUTED_VALUE"""),"ایک ریسلنگ میچ میں دو آدمی")</f>
        <v>ایک ریسلنگ میچ میں دو آدمی</v>
      </c>
      <c r="S178" s="6" t="s">
        <v>1274</v>
      </c>
      <c r="T178" s="6"/>
      <c r="U178" s="6"/>
      <c r="V178" s="6"/>
      <c r="W178" s="6"/>
      <c r="X178" s="6"/>
      <c r="Y178" s="6"/>
      <c r="Z178" s="6"/>
      <c r="AA178" s="6"/>
      <c r="AB178" s="6"/>
    </row>
    <row r="179">
      <c r="A179" s="7">
        <v>178.0</v>
      </c>
      <c r="B179" s="6" t="s">
        <v>440</v>
      </c>
      <c r="C179" s="6" t="s">
        <v>441</v>
      </c>
      <c r="D179" s="6" t="s">
        <v>442</v>
      </c>
      <c r="E179" s="6" t="s">
        <v>512</v>
      </c>
      <c r="F179" s="6" t="s">
        <v>444</v>
      </c>
      <c r="G179" s="6" t="s">
        <v>512</v>
      </c>
      <c r="H179" s="6" t="s">
        <v>1274</v>
      </c>
      <c r="I179" s="6"/>
      <c r="J179" s="6"/>
      <c r="K179" s="2" t="str">
        <f>IFERROR(__xludf.DUMMYFUNCTION("GOOGLETRANSLATE(A179,""en"",""ur"")"),"178")</f>
        <v>178</v>
      </c>
      <c r="L179" s="2" t="str">
        <f>IFERROR(__xludf.DUMMYFUNCTION("GOOGLETRANSLATE(B179,""en"",""ur"")"),"زمین کی ظاہری حالت کیا ہے؟")</f>
        <v>زمین کی ظاہری حالت کیا ہے؟</v>
      </c>
      <c r="M179" s="2" t="str">
        <f>IFERROR(__xludf.DUMMYFUNCTION("GOOGLETRANSLATE(C179,""en"",""ur"")"),"یہ ایک پکی سطح ہے۔")</f>
        <v>یہ ایک پکی سطح ہے۔</v>
      </c>
      <c r="N179" s="2" t="str">
        <f>IFERROR(__xludf.DUMMYFUNCTION("GOOGLETRANSLATE(D179,""en"",""ur"")"),"یہ ایک کیچڑ والا میدان ہے۔")</f>
        <v>یہ ایک کیچڑ والا میدان ہے۔</v>
      </c>
      <c r="O179" s="2" t="str">
        <f>IFERROR(__xludf.DUMMYFUNCTION("GOOGLETRANSLATE(E179,""en"",""ur"")"),"یہ ایک ریتلی یا گندگی کی سطح ہے۔")</f>
        <v>یہ ایک ریتلی یا گندگی کی سطح ہے۔</v>
      </c>
      <c r="P179" s="2" t="str">
        <f>IFERROR(__xludf.DUMMYFUNCTION("GOOGLETRANSLATE(F179,""en"",""ur"")"),"یہ ایک گھاس والی سطح ہے۔")</f>
        <v>یہ ایک گھاس والی سطح ہے۔</v>
      </c>
      <c r="Q179" s="6" t="s">
        <v>1219</v>
      </c>
      <c r="R179" s="6" t="str">
        <f>IFERROR(__xludf.DUMMYFUNCTION("""COMPUTED_VALUE"""),"ایک ریسلنگ میچ میں دو آدمی")</f>
        <v>ایک ریسلنگ میچ میں دو آدمی</v>
      </c>
      <c r="S179" s="6" t="s">
        <v>1274</v>
      </c>
      <c r="T179" s="6"/>
      <c r="U179" s="6"/>
      <c r="V179" s="6"/>
      <c r="W179" s="6"/>
      <c r="X179" s="6"/>
      <c r="Y179" s="6"/>
      <c r="Z179" s="6"/>
      <c r="AA179" s="6"/>
      <c r="AB179" s="6"/>
    </row>
    <row r="180">
      <c r="A180" s="7">
        <v>179.0</v>
      </c>
      <c r="B180" s="6" t="s">
        <v>1205</v>
      </c>
      <c r="C180" s="6" t="s">
        <v>1206</v>
      </c>
      <c r="D180" s="6" t="s">
        <v>1207</v>
      </c>
      <c r="E180" s="6" t="s">
        <v>1208</v>
      </c>
      <c r="F180" s="6" t="s">
        <v>449</v>
      </c>
      <c r="G180" s="6" t="s">
        <v>1208</v>
      </c>
      <c r="H180" s="6" t="s">
        <v>1274</v>
      </c>
      <c r="I180" s="6"/>
      <c r="J180" s="6"/>
      <c r="K180" s="2" t="str">
        <f>IFERROR(__xludf.DUMMYFUNCTION("GOOGLETRANSLATE(A180,""en"",""ur"")"),"179")</f>
        <v>179</v>
      </c>
      <c r="L180" s="2" t="str">
        <f>IFERROR(__xludf.DUMMYFUNCTION("GOOGLETRANSLATE(B180,""en"",""ur"")"),"لمبی اسکرٹس کا بنیادی مقصد کیا ہے؟")</f>
        <v>لمبی اسکرٹس کا بنیادی مقصد کیا ہے؟</v>
      </c>
      <c r="M180" s="2" t="str">
        <f>IFERROR(__xludf.DUMMYFUNCTION("GOOGLETRANSLATE(C180,""en"",""ur"")"),"پہلوانوں کی ٹانگوں کی حفاظت کے لیے")</f>
        <v>پہلوانوں کی ٹانگوں کی حفاظت کے لیے</v>
      </c>
      <c r="N180" s="2" t="str">
        <f>IFERROR(__xludf.DUMMYFUNCTION("GOOGLETRANSLATE(D180,""en"",""ur"")"),"پہلوانوں کو مزید چست بنانے کے لیے")</f>
        <v>پہلوانوں کو مزید چست بنانے کے لیے</v>
      </c>
      <c r="O180" s="2" t="str">
        <f>IFERROR(__xludf.DUMMYFUNCTION("GOOGLETRANSLATE(E180,""en"",""ur"")"),"روایتی لباس اور لڑائی کے دوران گرفت کے لیے")</f>
        <v>روایتی لباس اور لڑائی کے دوران گرفت کے لیے</v>
      </c>
      <c r="P180" s="2" t="str">
        <f>IFERROR(__xludf.DUMMYFUNCTION("GOOGLETRANSLATE(F180,""en"",""ur"")"),"صرف سجاوٹ کے لیے")</f>
        <v>صرف سجاوٹ کے لیے</v>
      </c>
      <c r="Q180" s="6" t="s">
        <v>1209</v>
      </c>
      <c r="R180" s="6" t="str">
        <f>IFERROR(__xludf.DUMMYFUNCTION("""COMPUTED_VALUE"""),"ایک ریسلنگ میچ میں دو آدمی")</f>
        <v>ایک ریسلنگ میچ میں دو آدمی</v>
      </c>
      <c r="S180" s="6" t="s">
        <v>1274</v>
      </c>
      <c r="T180" s="6"/>
      <c r="U180" s="6"/>
      <c r="V180" s="6"/>
      <c r="W180" s="6"/>
      <c r="X180" s="6"/>
      <c r="Y180" s="6"/>
      <c r="Z180" s="6"/>
      <c r="AA180" s="6"/>
      <c r="AB180" s="6"/>
    </row>
    <row r="181">
      <c r="A181" s="7">
        <v>180.0</v>
      </c>
      <c r="B181" s="6" t="s">
        <v>260</v>
      </c>
      <c r="C181" s="6" t="s">
        <v>261</v>
      </c>
      <c r="D181" s="6" t="s">
        <v>262</v>
      </c>
      <c r="E181" s="6" t="s">
        <v>1210</v>
      </c>
      <c r="F181" s="6" t="s">
        <v>264</v>
      </c>
      <c r="G181" s="6" t="s">
        <v>1210</v>
      </c>
      <c r="H181" s="6" t="s">
        <v>1274</v>
      </c>
      <c r="I181" s="6"/>
      <c r="J181" s="6"/>
      <c r="K181" s="2" t="str">
        <f>IFERROR(__xludf.DUMMYFUNCTION("GOOGLETRANSLATE(A181,""en"",""ur"")"),"180")</f>
        <v>180</v>
      </c>
      <c r="L181" s="2" t="str">
        <f>IFERROR(__xludf.DUMMYFUNCTION("GOOGLETRANSLATE(B181,""en"",""ur"")"),"تصویر میں ایکشن ایک ایسا انداز تجویز کرتا ہے جو اس بات پر زور دیتا ہے...")</f>
        <v>تصویر میں ایکشن ایک ایسا انداز تجویز کرتا ہے جو اس بات پر زور دیتا ہے...</v>
      </c>
      <c r="M181" s="2" t="str">
        <f>IFERROR(__xludf.DUMMYFUNCTION("GOOGLETRANSLATE(C181,""en"",""ur"")"),"روانی اور قلابازیاں")</f>
        <v>روانی اور قلابازیاں</v>
      </c>
      <c r="N181" s="2" t="str">
        <f>IFERROR(__xludf.DUMMYFUNCTION("GOOGLETRANSLATE(D181,""en"",""ur"")"),"زمینی لڑائی اور گرفت")</f>
        <v>زمینی لڑائی اور گرفت</v>
      </c>
      <c r="O181" s="2" t="str">
        <f>IFERROR(__xludf.DUMMYFUNCTION("GOOGLETRANSLATE(E181,""en"",""ur"")"),"وحشیانہ طاقت اور ٹیک ڈاؤن")</f>
        <v>وحشیانہ طاقت اور ٹیک ڈاؤن</v>
      </c>
      <c r="P181" s="2" t="str">
        <f>IFERROR(__xludf.DUMMYFUNCTION("GOOGLETRANSLATE(F181,""en"",""ur"")"),"سادہ، لکیری حرکات")</f>
        <v>سادہ، لکیری حرکات</v>
      </c>
      <c r="Q181" s="6" t="s">
        <v>1211</v>
      </c>
      <c r="R181" s="6" t="str">
        <f>IFERROR(__xludf.DUMMYFUNCTION("""COMPUTED_VALUE"""),"ایک ریسلنگ میچ میں دو آدمی")</f>
        <v>ایک ریسلنگ میچ میں دو آدمی</v>
      </c>
      <c r="S181" s="6" t="s">
        <v>1274</v>
      </c>
      <c r="T181" s="6"/>
      <c r="U181" s="6"/>
      <c r="V181" s="6"/>
      <c r="W181" s="6"/>
      <c r="X181" s="6"/>
      <c r="Y181" s="6"/>
      <c r="Z181" s="6"/>
      <c r="AA181" s="6"/>
      <c r="AB181" s="6"/>
    </row>
    <row r="182">
      <c r="A182" s="7">
        <v>181.0</v>
      </c>
      <c r="B182" s="6" t="s">
        <v>1275</v>
      </c>
      <c r="C182" s="6" t="s">
        <v>405</v>
      </c>
      <c r="D182" s="6" t="s">
        <v>406</v>
      </c>
      <c r="E182" s="6" t="s">
        <v>1184</v>
      </c>
      <c r="F182" s="6" t="s">
        <v>1185</v>
      </c>
      <c r="G182" s="6" t="s">
        <v>1184</v>
      </c>
      <c r="H182" s="6" t="s">
        <v>1276</v>
      </c>
      <c r="I182" s="6"/>
      <c r="J182" s="6"/>
      <c r="K182" s="2" t="str">
        <f>IFERROR(__xludf.DUMMYFUNCTION("GOOGLETRANSLATE(A182,""en"",""ur"")"),"181")</f>
        <v>181</v>
      </c>
      <c r="L182" s="2" t="str">
        <f>IFERROR(__xludf.DUMMYFUNCTION("GOOGLETRANSLATE(B182,""en"",""ur"")"),"ملاخرہ_38 میں دکھایا گیا اصل عمل کیا ہے؟")</f>
        <v>ملاخرہ_38 میں دکھایا گیا اصل عمل کیا ہے؟</v>
      </c>
      <c r="M182" s="2" t="str">
        <f>IFERROR(__xludf.DUMMYFUNCTION("GOOGLETRANSLATE(C182,""en"",""ur"")"),"دو آدمی تلواروں سے لڑ رہے ہیں۔")</f>
        <v>دو آدمی تلواروں سے لڑ رہے ہیں۔</v>
      </c>
      <c r="N182" s="2" t="str">
        <f>IFERROR(__xludf.DUMMYFUNCTION("GOOGLETRANSLATE(D182,""en"",""ur"")"),"دو آدمی ناچ رہے ہیں۔")</f>
        <v>دو آدمی ناچ رہے ہیں۔</v>
      </c>
      <c r="O182" s="2" t="str">
        <f>IFERROR(__xludf.DUMMYFUNCTION("GOOGLETRANSLATE(E182,""en"",""ur"")"),"ایک ریسلنگ میچ میں دو آدمی")</f>
        <v>ایک ریسلنگ میچ میں دو آدمی</v>
      </c>
      <c r="P182" s="2" t="str">
        <f>IFERROR(__xludf.DUMMYFUNCTION("GOOGLETRANSLATE(F182,""en"",""ur"")"),"دو آدمی بھاگ رہے ہیں۔")</f>
        <v>دو آدمی بھاگ رہے ہیں۔</v>
      </c>
      <c r="Q182" s="6" t="s">
        <v>1214</v>
      </c>
      <c r="R182" s="6" t="str">
        <f>IFERROR(__xludf.DUMMYFUNCTION("""COMPUTED_VALUE"""),"ایک ریسلنگ میچ میں دو آدمی")</f>
        <v>ایک ریسلنگ میچ میں دو آدمی</v>
      </c>
      <c r="S182" s="6" t="s">
        <v>1276</v>
      </c>
      <c r="T182" s="6"/>
      <c r="U182" s="6"/>
      <c r="V182" s="6"/>
      <c r="W182" s="6"/>
      <c r="X182" s="6"/>
      <c r="Y182" s="6"/>
      <c r="Z182" s="6"/>
      <c r="AA182" s="6"/>
      <c r="AB182" s="6"/>
    </row>
    <row r="183">
      <c r="A183" s="7">
        <v>182.0</v>
      </c>
      <c r="B183" s="6" t="s">
        <v>1215</v>
      </c>
      <c r="C183" s="6" t="s">
        <v>488</v>
      </c>
      <c r="D183" s="6" t="s">
        <v>1216</v>
      </c>
      <c r="E183" s="6" t="s">
        <v>490</v>
      </c>
      <c r="F183" s="6" t="s">
        <v>246</v>
      </c>
      <c r="G183" s="6" t="s">
        <v>1216</v>
      </c>
      <c r="H183" s="6" t="s">
        <v>1276</v>
      </c>
      <c r="I183" s="6"/>
      <c r="J183" s="6"/>
      <c r="K183" s="2" t="str">
        <f>IFERROR(__xludf.DUMMYFUNCTION("GOOGLETRANSLATE(A183,""en"",""ur"")"),"182")</f>
        <v>182</v>
      </c>
      <c r="L183" s="2" t="str">
        <f>IFERROR(__xludf.DUMMYFUNCTION("GOOGLETRANSLATE(B183,""en"",""ur"")"),"پہلوانوں کے لباس کے بارے میں ایک قابل ذکر تفصیل کیا ہے؟")</f>
        <v>پہلوانوں کے لباس کے بارے میں ایک قابل ذکر تفصیل کیا ہے؟</v>
      </c>
      <c r="M183" s="2" t="str">
        <f>IFERROR(__xludf.DUMMYFUNCTION("GOOGLETRANSLATE(C183,""en"",""ur"")"),"انہوں نے بکتر کا پورا سوٹ پہن رکھا ہے۔")</f>
        <v>انہوں نے بکتر کا پورا سوٹ پہن رکھا ہے۔</v>
      </c>
      <c r="N183" s="2" t="str">
        <f>IFERROR(__xludf.DUMMYFUNCTION("GOOGLETRANSLATE(D183,""en"",""ur"")"),"وہ سارونگ یا پیٹرن والا اسکرٹ پہنے ہوئے ہیں۔")</f>
        <v>وہ سارونگ یا پیٹرن والا اسکرٹ پہنے ہوئے ہیں۔</v>
      </c>
      <c r="O183" s="2" t="str">
        <f>IFERROR(__xludf.DUMMYFUNCTION("GOOGLETRANSLATE(E183,""en"",""ur"")"),"انہوں نے شارٹس اور ٹی شرٹ پہن رکھی ہیں۔")</f>
        <v>انہوں نے شارٹس اور ٹی شرٹ پہن رکھی ہیں۔</v>
      </c>
      <c r="P183" s="2" t="str">
        <f>IFERROR(__xludf.DUMMYFUNCTION("GOOGLETRANSLATE(F183,""en"",""ur"")"),"انہوں نے کوئی لباس نہیں پہنا ہوا ہے۔")</f>
        <v>انہوں نے کوئی لباس نہیں پہنا ہوا ہے۔</v>
      </c>
      <c r="Q183" s="6" t="s">
        <v>1217</v>
      </c>
      <c r="R183" s="6" t="str">
        <f>IFERROR(__xludf.DUMMYFUNCTION("""COMPUTED_VALUE"""),"ایک ریسلنگ میچ میں دو آدمی")</f>
        <v>ایک ریسلنگ میچ میں دو آدمی</v>
      </c>
      <c r="S183" s="6" t="s">
        <v>1276</v>
      </c>
      <c r="T183" s="6"/>
      <c r="U183" s="6"/>
      <c r="V183" s="6"/>
      <c r="W183" s="6"/>
      <c r="X183" s="6"/>
      <c r="Y183" s="6"/>
      <c r="Z183" s="6"/>
      <c r="AA183" s="6"/>
      <c r="AB183" s="6"/>
    </row>
    <row r="184">
      <c r="A184" s="7">
        <v>183.0</v>
      </c>
      <c r="B184" s="6" t="s">
        <v>1193</v>
      </c>
      <c r="C184" s="6" t="s">
        <v>1194</v>
      </c>
      <c r="D184" s="6" t="s">
        <v>1195</v>
      </c>
      <c r="E184" s="6" t="s">
        <v>1196</v>
      </c>
      <c r="F184" s="6" t="s">
        <v>1197</v>
      </c>
      <c r="G184" s="6" t="s">
        <v>1196</v>
      </c>
      <c r="H184" s="6" t="s">
        <v>1276</v>
      </c>
      <c r="I184" s="6"/>
      <c r="J184" s="6"/>
      <c r="K184" s="2" t="str">
        <f>IFERROR(__xludf.DUMMYFUNCTION("GOOGLETRANSLATE(A184,""en"",""ur"")"),"183")</f>
        <v>183</v>
      </c>
      <c r="L184" s="2" t="str">
        <f>IFERROR(__xludf.DUMMYFUNCTION("GOOGLETRANSLATE(B184,""en"",""ur"")"),"کشتی کا ظاہری مقصد کیا ہے؟")</f>
        <v>کشتی کا ظاہری مقصد کیا ہے؟</v>
      </c>
      <c r="M184" s="2" t="str">
        <f>IFERROR(__xludf.DUMMYFUNCTION("GOOGLETRANSLATE(C184,""en"",""ur"")"),"ایک رسمی رقص")</f>
        <v>ایک رسمی رقص</v>
      </c>
      <c r="N184" s="2" t="str">
        <f>IFERROR(__xludf.DUMMYFUNCTION("GOOGLETRANSLATE(D184,""en"",""ur"")"),"ایک دوستانہ مظاہرہ")</f>
        <v>ایک دوستانہ مظاہرہ</v>
      </c>
      <c r="O184" s="2" t="str">
        <f>IFERROR(__xludf.DUMMYFUNCTION("GOOGLETRANSLATE(E184,""en"",""ur"")"),"ٹیک ڈاؤن کے ساتھ ایک مسابقتی میچ")</f>
        <v>ٹیک ڈاؤن کے ساتھ ایک مسابقتی میچ</v>
      </c>
      <c r="P184" s="2" t="str">
        <f>IFERROR(__xludf.DUMMYFUNCTION("GOOGLETRANSLATE(F184,""en"",""ur"")"),"ایک پریکٹس سیشن")</f>
        <v>ایک پریکٹس سیشن</v>
      </c>
      <c r="Q184" s="6" t="s">
        <v>1198</v>
      </c>
      <c r="R184" s="6" t="str">
        <f>IFERROR(__xludf.DUMMYFUNCTION("""COMPUTED_VALUE"""),"ایک ریسلنگ میچ میں دو آدمی")</f>
        <v>ایک ریسلنگ میچ میں دو آدمی</v>
      </c>
      <c r="S184" s="6" t="s">
        <v>1276</v>
      </c>
      <c r="T184" s="6"/>
      <c r="U184" s="6"/>
      <c r="V184" s="6"/>
      <c r="W184" s="6"/>
      <c r="X184" s="6"/>
      <c r="Y184" s="6"/>
      <c r="Z184" s="6"/>
      <c r="AA184" s="6"/>
      <c r="AB184" s="6"/>
    </row>
    <row r="185">
      <c r="A185" s="7">
        <v>184.0</v>
      </c>
      <c r="B185" s="6" t="s">
        <v>991</v>
      </c>
      <c r="C185" s="6" t="s">
        <v>422</v>
      </c>
      <c r="D185" s="6" t="s">
        <v>1199</v>
      </c>
      <c r="E185" s="6" t="s">
        <v>424</v>
      </c>
      <c r="F185" s="6" t="s">
        <v>425</v>
      </c>
      <c r="G185" s="6" t="s">
        <v>1199</v>
      </c>
      <c r="H185" s="6" t="s">
        <v>1276</v>
      </c>
      <c r="I185" s="6"/>
      <c r="J185" s="6"/>
      <c r="K185" s="2" t="str">
        <f>IFERROR(__xludf.DUMMYFUNCTION("GOOGLETRANSLATE(A185,""en"",""ur"")"),"184")</f>
        <v>184</v>
      </c>
      <c r="L185" s="2" t="str">
        <f>IFERROR(__xludf.DUMMYFUNCTION("GOOGLETRANSLATE(B185,""en"",""ur"")"),"واقعہ کی ظاہری ترتیب کیا ہے؟")</f>
        <v>واقعہ کی ظاہری ترتیب کیا ہے؟</v>
      </c>
      <c r="M185" s="2" t="str">
        <f>IFERROR(__xludf.DUMMYFUNCTION("GOOGLETRANSLATE(C185,""en"",""ur"")"),"ایک انڈور اسٹیڈیم")</f>
        <v>ایک انڈور اسٹیڈیم</v>
      </c>
      <c r="N185" s="2" t="str">
        <f>IFERROR(__xludf.DUMMYFUNCTION("GOOGLETRANSLATE(D185,""en"",""ur"")"),"ایک دیہی، بیرونی گندگی کا ایک بڑا ہجوم")</f>
        <v>ایک دیہی، بیرونی گندگی کا ایک بڑا ہجوم</v>
      </c>
      <c r="O185" s="2" t="str">
        <f>IFERROR(__xludf.DUMMYFUNCTION("GOOGLETRANSLATE(E185,""en"",""ur"")"),"شہر کی مصروف گلی")</f>
        <v>شہر کی مصروف گلی</v>
      </c>
      <c r="P185" s="2" t="str">
        <f>IFERROR(__xludf.DUMMYFUNCTION("GOOGLETRANSLATE(F185,""en"",""ur"")"),"گھاس کا میدان")</f>
        <v>گھاس کا میدان</v>
      </c>
      <c r="Q185" s="6" t="s">
        <v>1200</v>
      </c>
      <c r="R185" s="6" t="str">
        <f>IFERROR(__xludf.DUMMYFUNCTION("""COMPUTED_VALUE"""),"ایک ریسلنگ میچ میں دو آدمی")</f>
        <v>ایک ریسلنگ میچ میں دو آدمی</v>
      </c>
      <c r="S185" s="6" t="s">
        <v>1276</v>
      </c>
      <c r="T185" s="6"/>
      <c r="U185" s="6"/>
      <c r="V185" s="6"/>
      <c r="W185" s="6"/>
      <c r="X185" s="6"/>
      <c r="Y185" s="6"/>
      <c r="Z185" s="6"/>
      <c r="AA185" s="6"/>
      <c r="AB185" s="6"/>
    </row>
    <row r="186">
      <c r="A186" s="7">
        <v>185.0</v>
      </c>
      <c r="B186" s="6" t="s">
        <v>1201</v>
      </c>
      <c r="C186" s="6" t="s">
        <v>47</v>
      </c>
      <c r="D186" s="6" t="s">
        <v>48</v>
      </c>
      <c r="E186" s="6" t="s">
        <v>49</v>
      </c>
      <c r="F186" s="6" t="s">
        <v>50</v>
      </c>
      <c r="G186" s="6" t="s">
        <v>49</v>
      </c>
      <c r="H186" s="6" t="s">
        <v>1276</v>
      </c>
      <c r="I186" s="6"/>
      <c r="J186" s="6"/>
      <c r="K186" s="2" t="str">
        <f>IFERROR(__xludf.DUMMYFUNCTION("GOOGLETRANSLATE(A186,""en"",""ur"")"),"185")</f>
        <v>185</v>
      </c>
      <c r="L186" s="2" t="str">
        <f>IFERROR(__xludf.DUMMYFUNCTION("GOOGLETRANSLATE(B186,""en"",""ur"")"),"پہلوانوں کے ظاہری جذبات کیا ہیں؟")</f>
        <v>پہلوانوں کے ظاہری جذبات کیا ہیں؟</v>
      </c>
      <c r="M186" s="2" t="str">
        <f>IFERROR(__xludf.DUMMYFUNCTION("GOOGLETRANSLATE(C186,""en"",""ur"")"),"پرسکون اور پر سکون")</f>
        <v>پرسکون اور پر سکون</v>
      </c>
      <c r="N186" s="2" t="str">
        <f>IFERROR(__xludf.DUMMYFUNCTION("GOOGLETRANSLATE(D186,""en"",""ur"")"),"خوف زدہ اور بے چین")</f>
        <v>خوف زدہ اور بے چین</v>
      </c>
      <c r="O186" s="2" t="str">
        <f>IFERROR(__xludf.DUMMYFUNCTION("GOOGLETRANSLATE(E186,""en"",""ur"")"),"کشیدہ اور شدید")</f>
        <v>کشیدہ اور شدید</v>
      </c>
      <c r="P186" s="2" t="str">
        <f>IFERROR(__xludf.DUMMYFUNCTION("GOOGLETRANSLATE(F186,""en"",""ur"")"),"خوش اور مسکراتے ہوئے۔")</f>
        <v>خوش اور مسکراتے ہوئے۔</v>
      </c>
      <c r="Q186" s="6" t="s">
        <v>51</v>
      </c>
      <c r="R186" s="6" t="str">
        <f>IFERROR(__xludf.DUMMYFUNCTION("""COMPUTED_VALUE"""),"ایک ریسلنگ میچ میں دو آدمی")</f>
        <v>ایک ریسلنگ میچ میں دو آدمی</v>
      </c>
      <c r="S186" s="6" t="s">
        <v>1276</v>
      </c>
      <c r="T186" s="6"/>
      <c r="U186" s="6"/>
      <c r="V186" s="6"/>
      <c r="W186" s="6"/>
      <c r="X186" s="6"/>
      <c r="Y186" s="6"/>
      <c r="Z186" s="6"/>
      <c r="AA186" s="6"/>
      <c r="AB186" s="6"/>
    </row>
    <row r="187">
      <c r="A187" s="7">
        <v>186.0</v>
      </c>
      <c r="B187" s="6" t="s">
        <v>1218</v>
      </c>
      <c r="C187" s="6" t="s">
        <v>429</v>
      </c>
      <c r="D187" s="6" t="s">
        <v>430</v>
      </c>
      <c r="E187" s="6" t="s">
        <v>431</v>
      </c>
      <c r="F187" s="6" t="s">
        <v>432</v>
      </c>
      <c r="G187" s="6" t="s">
        <v>430</v>
      </c>
      <c r="H187" s="6" t="s">
        <v>1276</v>
      </c>
      <c r="I187" s="6"/>
      <c r="J187" s="6"/>
      <c r="K187" s="2" t="str">
        <f>IFERROR(__xludf.DUMMYFUNCTION("GOOGLETRANSLATE(A187,""en"",""ur"")"),"186")</f>
        <v>186</v>
      </c>
      <c r="L187" s="2" t="str">
        <f>IFERROR(__xludf.DUMMYFUNCTION("GOOGLETRANSLATE(B187,""en"",""ur"")"),"پہلوانوں کی ظاہری جسمانی پوزیشن کیا ہے؟")</f>
        <v>پہلوانوں کی ظاہری جسمانی پوزیشن کیا ہے؟</v>
      </c>
      <c r="M187" s="2" t="str">
        <f>IFERROR(__xludf.DUMMYFUNCTION("GOOGLETRANSLATE(C187,""en"",""ur"")"),"سیدھا کھڑا ہونا")</f>
        <v>سیدھا کھڑا ہونا</v>
      </c>
      <c r="N187" s="2" t="str">
        <f>IFERROR(__xludf.DUMMYFUNCTION("GOOGLETRANSLATE(D187,""en"",""ur"")"),"کم، متحرک موقف میں")</f>
        <v>کم، متحرک موقف میں</v>
      </c>
      <c r="O187" s="2" t="str">
        <f>IFERROR(__xludf.DUMMYFUNCTION("GOOGLETRANSLATE(E187,""en"",""ur"")"),"زمین پر لیٹنا")</f>
        <v>زمین پر لیٹنا</v>
      </c>
      <c r="P187" s="2" t="str">
        <f>IFERROR(__xludf.DUMMYFUNCTION("GOOGLETRANSLATE(F187,""en"",""ur"")"),"بیٹھا ہوا")</f>
        <v>بیٹھا ہوا</v>
      </c>
      <c r="Q187" s="6" t="s">
        <v>433</v>
      </c>
      <c r="R187" s="6" t="str">
        <f>IFERROR(__xludf.DUMMYFUNCTION("""COMPUTED_VALUE"""),"ایک ریسلنگ میچ میں دو آدمی")</f>
        <v>ایک ریسلنگ میچ میں دو آدمی</v>
      </c>
      <c r="S187" s="6" t="s">
        <v>1276</v>
      </c>
      <c r="T187" s="6"/>
      <c r="U187" s="6"/>
      <c r="V187" s="6"/>
      <c r="W187" s="6"/>
      <c r="X187" s="6"/>
      <c r="Y187" s="6"/>
      <c r="Z187" s="6"/>
      <c r="AA187" s="6"/>
      <c r="AB187" s="6"/>
    </row>
    <row r="188">
      <c r="A188" s="7">
        <v>187.0</v>
      </c>
      <c r="B188" s="6" t="s">
        <v>434</v>
      </c>
      <c r="C188" s="6" t="s">
        <v>435</v>
      </c>
      <c r="D188" s="6" t="s">
        <v>436</v>
      </c>
      <c r="E188" s="6" t="s">
        <v>1203</v>
      </c>
      <c r="F188" s="6" t="s">
        <v>438</v>
      </c>
      <c r="G188" s="6" t="s">
        <v>1203</v>
      </c>
      <c r="H188" s="6" t="s">
        <v>1276</v>
      </c>
      <c r="I188" s="6"/>
      <c r="J188" s="6"/>
      <c r="K188" s="2" t="str">
        <f>IFERROR(__xludf.DUMMYFUNCTION("GOOGLETRANSLATE(A188,""en"",""ur"")"),"187")</f>
        <v>187</v>
      </c>
      <c r="L188" s="2" t="str">
        <f>IFERROR(__xludf.DUMMYFUNCTION("GOOGLETRANSLATE(B188,""en"",""ur"")"),"پس منظر میں ہجوم کی سب سے نمایاں خصوصیت کیا ہے؟")</f>
        <v>پس منظر میں ہجوم کی سب سے نمایاں خصوصیت کیا ہے؟</v>
      </c>
      <c r="M188" s="2" t="str">
        <f>IFERROR(__xludf.DUMMYFUNCTION("GOOGLETRANSLATE(C188,""en"",""ur"")"),"وہ بھاگ رہے ہیں۔")</f>
        <v>وہ بھاگ رہے ہیں۔</v>
      </c>
      <c r="N188" s="2" t="str">
        <f>IFERROR(__xludf.DUMMYFUNCTION("GOOGLETRANSLATE(D188,""en"",""ur"")"),"وہ خاموش بیٹھے ہیں۔")</f>
        <v>وہ خاموش بیٹھے ہیں۔</v>
      </c>
      <c r="O188" s="2" t="str">
        <f>IFERROR(__xludf.DUMMYFUNCTION("GOOGLETRANSLATE(E188,""en"",""ur"")"),"وہ باڑ کے پیچھے سے میچ دیکھ رہے ہیں۔")</f>
        <v>وہ باڑ کے پیچھے سے میچ دیکھ رہے ہیں۔</v>
      </c>
      <c r="P188" s="2" t="str">
        <f>IFERROR(__xludf.DUMMYFUNCTION("GOOGLETRANSLATE(F188,""en"",""ur"")"),"وہ سب ایک اسٹیج پر کھڑے ہیں۔")</f>
        <v>وہ سب ایک اسٹیج پر کھڑے ہیں۔</v>
      </c>
      <c r="Q188" s="6" t="s">
        <v>1204</v>
      </c>
      <c r="R188" s="6" t="str">
        <f>IFERROR(__xludf.DUMMYFUNCTION("""COMPUTED_VALUE"""),"ایک ریسلنگ میچ میں دو آدمی")</f>
        <v>ایک ریسلنگ میچ میں دو آدمی</v>
      </c>
      <c r="S188" s="6" t="s">
        <v>1276</v>
      </c>
      <c r="T188" s="6"/>
      <c r="U188" s="6"/>
      <c r="V188" s="6"/>
      <c r="W188" s="6"/>
      <c r="X188" s="6"/>
      <c r="Y188" s="6"/>
      <c r="Z188" s="6"/>
      <c r="AA188" s="6"/>
      <c r="AB188" s="6"/>
    </row>
    <row r="189">
      <c r="A189" s="7">
        <v>188.0</v>
      </c>
      <c r="B189" s="6" t="s">
        <v>440</v>
      </c>
      <c r="C189" s="6" t="s">
        <v>441</v>
      </c>
      <c r="D189" s="6" t="s">
        <v>442</v>
      </c>
      <c r="E189" s="6" t="s">
        <v>512</v>
      </c>
      <c r="F189" s="6" t="s">
        <v>444</v>
      </c>
      <c r="G189" s="6" t="s">
        <v>512</v>
      </c>
      <c r="H189" s="6" t="s">
        <v>1276</v>
      </c>
      <c r="I189" s="6"/>
      <c r="J189" s="6"/>
      <c r="K189" s="2" t="str">
        <f>IFERROR(__xludf.DUMMYFUNCTION("GOOGLETRANSLATE(A189,""en"",""ur"")"),"188")</f>
        <v>188</v>
      </c>
      <c r="L189" s="2" t="str">
        <f>IFERROR(__xludf.DUMMYFUNCTION("GOOGLETRANSLATE(B189,""en"",""ur"")"),"زمین کی ظاہری حالت کیا ہے؟")</f>
        <v>زمین کی ظاہری حالت کیا ہے؟</v>
      </c>
      <c r="M189" s="2" t="str">
        <f>IFERROR(__xludf.DUMMYFUNCTION("GOOGLETRANSLATE(C189,""en"",""ur"")"),"یہ ایک پکی سطح ہے۔")</f>
        <v>یہ ایک پکی سطح ہے۔</v>
      </c>
      <c r="N189" s="2" t="str">
        <f>IFERROR(__xludf.DUMMYFUNCTION("GOOGLETRANSLATE(D189,""en"",""ur"")"),"یہ ایک کیچڑ والا میدان ہے۔")</f>
        <v>یہ ایک کیچڑ والا میدان ہے۔</v>
      </c>
      <c r="O189" s="2" t="str">
        <f>IFERROR(__xludf.DUMMYFUNCTION("GOOGLETRANSLATE(E189,""en"",""ur"")"),"یہ ایک ریتلی یا گندگی کی سطح ہے۔")</f>
        <v>یہ ایک ریتلی یا گندگی کی سطح ہے۔</v>
      </c>
      <c r="P189" s="2" t="str">
        <f>IFERROR(__xludf.DUMMYFUNCTION("GOOGLETRANSLATE(F189,""en"",""ur"")"),"یہ ایک گھاس والی سطح ہے۔")</f>
        <v>یہ ایک گھاس والی سطح ہے۔</v>
      </c>
      <c r="Q189" s="6" t="s">
        <v>1219</v>
      </c>
      <c r="R189" s="6" t="str">
        <f>IFERROR(__xludf.DUMMYFUNCTION("""COMPUTED_VALUE"""),"ایک ریسلنگ میچ میں دو آدمی")</f>
        <v>ایک ریسلنگ میچ میں دو آدمی</v>
      </c>
      <c r="S189" s="6" t="s">
        <v>1276</v>
      </c>
      <c r="T189" s="6"/>
      <c r="U189" s="6"/>
      <c r="V189" s="6"/>
      <c r="W189" s="6"/>
      <c r="X189" s="6"/>
      <c r="Y189" s="6"/>
      <c r="Z189" s="6"/>
      <c r="AA189" s="6"/>
      <c r="AB189" s="6"/>
    </row>
    <row r="190">
      <c r="A190" s="7">
        <v>189.0</v>
      </c>
      <c r="B190" s="6" t="s">
        <v>1205</v>
      </c>
      <c r="C190" s="6" t="s">
        <v>1206</v>
      </c>
      <c r="D190" s="6" t="s">
        <v>1207</v>
      </c>
      <c r="E190" s="6" t="s">
        <v>1208</v>
      </c>
      <c r="F190" s="6" t="s">
        <v>449</v>
      </c>
      <c r="G190" s="6" t="s">
        <v>1208</v>
      </c>
      <c r="H190" s="6" t="s">
        <v>1276</v>
      </c>
      <c r="I190" s="6"/>
      <c r="J190" s="6"/>
      <c r="K190" s="2" t="str">
        <f>IFERROR(__xludf.DUMMYFUNCTION("GOOGLETRANSLATE(A190,""en"",""ur"")"),"189")</f>
        <v>189</v>
      </c>
      <c r="L190" s="2" t="str">
        <f>IFERROR(__xludf.DUMMYFUNCTION("GOOGLETRANSLATE(B190,""en"",""ur"")"),"لمبی اسکرٹس کا بنیادی مقصد کیا ہے؟")</f>
        <v>لمبی اسکرٹس کا بنیادی مقصد کیا ہے؟</v>
      </c>
      <c r="M190" s="2" t="str">
        <f>IFERROR(__xludf.DUMMYFUNCTION("GOOGLETRANSLATE(C190,""en"",""ur"")"),"پہلوانوں کی ٹانگوں کی حفاظت کے لیے")</f>
        <v>پہلوانوں کی ٹانگوں کی حفاظت کے لیے</v>
      </c>
      <c r="N190" s="2" t="str">
        <f>IFERROR(__xludf.DUMMYFUNCTION("GOOGLETRANSLATE(D190,""en"",""ur"")"),"پہلوانوں کو مزید چست بنانے کے لیے")</f>
        <v>پہلوانوں کو مزید چست بنانے کے لیے</v>
      </c>
      <c r="O190" s="2" t="str">
        <f>IFERROR(__xludf.DUMMYFUNCTION("GOOGLETRANSLATE(E190,""en"",""ur"")"),"روایتی لباس اور لڑائی کے دوران گرفت کے لیے")</f>
        <v>روایتی لباس اور لڑائی کے دوران گرفت کے لیے</v>
      </c>
      <c r="P190" s="2" t="str">
        <f>IFERROR(__xludf.DUMMYFUNCTION("GOOGLETRANSLATE(F190,""en"",""ur"")"),"صرف سجاوٹ کے لیے")</f>
        <v>صرف سجاوٹ کے لیے</v>
      </c>
      <c r="Q190" s="6" t="s">
        <v>1209</v>
      </c>
      <c r="R190" s="6" t="str">
        <f>IFERROR(__xludf.DUMMYFUNCTION("""COMPUTED_VALUE"""),"ایک ریسلنگ میچ میں دو آدمی")</f>
        <v>ایک ریسلنگ میچ میں دو آدمی</v>
      </c>
      <c r="S190" s="6" t="s">
        <v>1276</v>
      </c>
      <c r="T190" s="6"/>
      <c r="U190" s="6"/>
      <c r="V190" s="6"/>
      <c r="W190" s="6"/>
      <c r="X190" s="6"/>
      <c r="Y190" s="6"/>
      <c r="Z190" s="6"/>
      <c r="AA190" s="6"/>
      <c r="AB190" s="6"/>
    </row>
    <row r="191">
      <c r="A191" s="7">
        <v>190.0</v>
      </c>
      <c r="B191" s="6" t="s">
        <v>260</v>
      </c>
      <c r="C191" s="6" t="s">
        <v>261</v>
      </c>
      <c r="D191" s="6" t="s">
        <v>262</v>
      </c>
      <c r="E191" s="6" t="s">
        <v>1210</v>
      </c>
      <c r="F191" s="6" t="s">
        <v>264</v>
      </c>
      <c r="G191" s="6" t="s">
        <v>1210</v>
      </c>
      <c r="H191" s="6" t="s">
        <v>1276</v>
      </c>
      <c r="I191" s="6"/>
      <c r="J191" s="6"/>
      <c r="K191" s="2" t="str">
        <f>IFERROR(__xludf.DUMMYFUNCTION("GOOGLETRANSLATE(A191,""en"",""ur"")"),"190")</f>
        <v>190</v>
      </c>
      <c r="L191" s="2" t="str">
        <f>IFERROR(__xludf.DUMMYFUNCTION("GOOGLETRANSLATE(B191,""en"",""ur"")"),"تصویر میں ایکشن ایک ایسا انداز تجویز کرتا ہے جو اس بات پر زور دیتا ہے...")</f>
        <v>تصویر میں ایکشن ایک ایسا انداز تجویز کرتا ہے جو اس بات پر زور دیتا ہے...</v>
      </c>
      <c r="M191" s="2" t="str">
        <f>IFERROR(__xludf.DUMMYFUNCTION("GOOGLETRANSLATE(C191,""en"",""ur"")"),"روانی اور قلابازیاں")</f>
        <v>روانی اور قلابازیاں</v>
      </c>
      <c r="N191" s="2" t="str">
        <f>IFERROR(__xludf.DUMMYFUNCTION("GOOGLETRANSLATE(D191,""en"",""ur"")"),"زمینی لڑائی اور گرفت")</f>
        <v>زمینی لڑائی اور گرفت</v>
      </c>
      <c r="O191" s="2" t="str">
        <f>IFERROR(__xludf.DUMMYFUNCTION("GOOGLETRANSLATE(E191,""en"",""ur"")"),"وحشیانہ طاقت اور ٹیک ڈاؤن")</f>
        <v>وحشیانہ طاقت اور ٹیک ڈاؤن</v>
      </c>
      <c r="P191" s="2" t="str">
        <f>IFERROR(__xludf.DUMMYFUNCTION("GOOGLETRANSLATE(F191,""en"",""ur"")"),"سادہ، لکیری حرکات")</f>
        <v>سادہ، لکیری حرکات</v>
      </c>
      <c r="Q191" s="6" t="s">
        <v>1211</v>
      </c>
      <c r="R191" s="6" t="str">
        <f>IFERROR(__xludf.DUMMYFUNCTION("""COMPUTED_VALUE"""),"ایک ریسلنگ میچ میں دو آدمی")</f>
        <v>ایک ریسلنگ میچ میں دو آدمی</v>
      </c>
      <c r="S191" s="6" t="s">
        <v>1276</v>
      </c>
      <c r="T191" s="6"/>
      <c r="U191" s="6"/>
      <c r="V191" s="6"/>
      <c r="W191" s="6"/>
      <c r="X191" s="6"/>
      <c r="Y191" s="6"/>
      <c r="Z191" s="6"/>
      <c r="AA191" s="6"/>
      <c r="AB191" s="6"/>
    </row>
    <row r="192">
      <c r="A192" s="7">
        <v>191.0</v>
      </c>
      <c r="B192" s="6" t="s">
        <v>1277</v>
      </c>
      <c r="C192" s="6" t="s">
        <v>405</v>
      </c>
      <c r="D192" s="6" t="s">
        <v>406</v>
      </c>
      <c r="E192" s="6" t="s">
        <v>1184</v>
      </c>
      <c r="F192" s="6" t="s">
        <v>1185</v>
      </c>
      <c r="G192" s="6" t="s">
        <v>1184</v>
      </c>
      <c r="H192" s="6" t="s">
        <v>1278</v>
      </c>
      <c r="I192" s="6"/>
      <c r="J192" s="6"/>
      <c r="K192" s="2" t="str">
        <f>IFERROR(__xludf.DUMMYFUNCTION("GOOGLETRANSLATE(A192,""en"",""ur"")"),"191")</f>
        <v>191</v>
      </c>
      <c r="L192" s="2" t="str">
        <f>IFERROR(__xludf.DUMMYFUNCTION("GOOGLETRANSLATE(B192,""en"",""ur"")"),"ملاخرہ_29 میں دکھایا گیا اہم عمل کیا ہے؟")</f>
        <v>ملاخرہ_29 میں دکھایا گیا اہم عمل کیا ہے؟</v>
      </c>
      <c r="M192" s="2" t="str">
        <f>IFERROR(__xludf.DUMMYFUNCTION("GOOGLETRANSLATE(C192,""en"",""ur"")"),"دو آدمی تلواروں سے لڑ رہے ہیں۔")</f>
        <v>دو آدمی تلواروں سے لڑ رہے ہیں۔</v>
      </c>
      <c r="N192" s="2" t="str">
        <f>IFERROR(__xludf.DUMMYFUNCTION("GOOGLETRANSLATE(D192,""en"",""ur"")"),"دو آدمی ناچ رہے ہیں۔")</f>
        <v>دو آدمی ناچ رہے ہیں۔</v>
      </c>
      <c r="O192" s="2" t="str">
        <f>IFERROR(__xludf.DUMMYFUNCTION("GOOGLETRANSLATE(E192,""en"",""ur"")"),"ایک ریسلنگ میچ میں دو آدمی")</f>
        <v>ایک ریسلنگ میچ میں دو آدمی</v>
      </c>
      <c r="P192" s="2" t="str">
        <f>IFERROR(__xludf.DUMMYFUNCTION("GOOGLETRANSLATE(F192,""en"",""ur"")"),"دو آدمی بھاگ رہے ہیں۔")</f>
        <v>دو آدمی بھاگ رہے ہیں۔</v>
      </c>
      <c r="Q192" s="6" t="s">
        <v>1214</v>
      </c>
      <c r="R192" s="6" t="str">
        <f>IFERROR(__xludf.DUMMYFUNCTION("""COMPUTED_VALUE"""),"ایک ریسلنگ میچ میں دو آدمی")</f>
        <v>ایک ریسلنگ میچ میں دو آدمی</v>
      </c>
      <c r="S192" s="6" t="s">
        <v>1278</v>
      </c>
      <c r="T192" s="6"/>
      <c r="U192" s="6"/>
      <c r="V192" s="6"/>
      <c r="W192" s="6"/>
      <c r="X192" s="6"/>
      <c r="Y192" s="6"/>
      <c r="Z192" s="6"/>
      <c r="AA192" s="6"/>
      <c r="AB192" s="6"/>
    </row>
    <row r="193">
      <c r="A193" s="7">
        <v>192.0</v>
      </c>
      <c r="B193" s="6" t="s">
        <v>1215</v>
      </c>
      <c r="C193" s="6" t="s">
        <v>488</v>
      </c>
      <c r="D193" s="6" t="s">
        <v>1216</v>
      </c>
      <c r="E193" s="6" t="s">
        <v>490</v>
      </c>
      <c r="F193" s="6" t="s">
        <v>246</v>
      </c>
      <c r="G193" s="6" t="s">
        <v>1216</v>
      </c>
      <c r="H193" s="6" t="s">
        <v>1278</v>
      </c>
      <c r="I193" s="6"/>
      <c r="J193" s="6"/>
      <c r="K193" s="2" t="str">
        <f>IFERROR(__xludf.DUMMYFUNCTION("GOOGLETRANSLATE(A193,""en"",""ur"")"),"192")</f>
        <v>192</v>
      </c>
      <c r="L193" s="2" t="str">
        <f>IFERROR(__xludf.DUMMYFUNCTION("GOOGLETRANSLATE(B193,""en"",""ur"")"),"پہلوانوں کے لباس کے بارے میں ایک قابل ذکر تفصیل کیا ہے؟")</f>
        <v>پہلوانوں کے لباس کے بارے میں ایک قابل ذکر تفصیل کیا ہے؟</v>
      </c>
      <c r="M193" s="2" t="str">
        <f>IFERROR(__xludf.DUMMYFUNCTION("GOOGLETRANSLATE(C193,""en"",""ur"")"),"انہوں نے بکتر کا پورا سوٹ پہن رکھا ہے۔")</f>
        <v>انہوں نے بکتر کا پورا سوٹ پہن رکھا ہے۔</v>
      </c>
      <c r="N193" s="2" t="str">
        <f>IFERROR(__xludf.DUMMYFUNCTION("GOOGLETRANSLATE(D193,""en"",""ur"")"),"وہ سارونگ یا پیٹرن والا اسکرٹ پہنے ہوئے ہیں۔")</f>
        <v>وہ سارونگ یا پیٹرن والا اسکرٹ پہنے ہوئے ہیں۔</v>
      </c>
      <c r="O193" s="2" t="str">
        <f>IFERROR(__xludf.DUMMYFUNCTION("GOOGLETRANSLATE(E193,""en"",""ur"")"),"انہوں نے شارٹس اور ٹی شرٹ پہن رکھی ہیں۔")</f>
        <v>انہوں نے شارٹس اور ٹی شرٹ پہن رکھی ہیں۔</v>
      </c>
      <c r="P193" s="2" t="str">
        <f>IFERROR(__xludf.DUMMYFUNCTION("GOOGLETRANSLATE(F193,""en"",""ur"")"),"انہوں نے کوئی لباس نہیں پہنا ہوا ہے۔")</f>
        <v>انہوں نے کوئی لباس نہیں پہنا ہوا ہے۔</v>
      </c>
      <c r="Q193" s="6" t="s">
        <v>1217</v>
      </c>
      <c r="R193" s="6" t="str">
        <f>IFERROR(__xludf.DUMMYFUNCTION("""COMPUTED_VALUE"""),"ایک ریسلنگ میچ میں دو آدمی")</f>
        <v>ایک ریسلنگ میچ میں دو آدمی</v>
      </c>
      <c r="S193" s="6" t="s">
        <v>1278</v>
      </c>
      <c r="T193" s="6"/>
      <c r="U193" s="6"/>
      <c r="V193" s="6"/>
      <c r="W193" s="6"/>
      <c r="X193" s="6"/>
      <c r="Y193" s="6"/>
      <c r="Z193" s="6"/>
      <c r="AA193" s="6"/>
      <c r="AB193" s="6"/>
    </row>
    <row r="194">
      <c r="A194" s="7">
        <v>193.0</v>
      </c>
      <c r="B194" s="6" t="s">
        <v>1193</v>
      </c>
      <c r="C194" s="6" t="s">
        <v>1194</v>
      </c>
      <c r="D194" s="6" t="s">
        <v>1195</v>
      </c>
      <c r="E194" s="6" t="s">
        <v>1196</v>
      </c>
      <c r="F194" s="6" t="s">
        <v>1197</v>
      </c>
      <c r="G194" s="6" t="s">
        <v>1196</v>
      </c>
      <c r="H194" s="6" t="s">
        <v>1278</v>
      </c>
      <c r="I194" s="6"/>
      <c r="J194" s="6"/>
      <c r="K194" s="2" t="str">
        <f>IFERROR(__xludf.DUMMYFUNCTION("GOOGLETRANSLATE(A194,""en"",""ur"")"),"193")</f>
        <v>193</v>
      </c>
      <c r="L194" s="2" t="str">
        <f>IFERROR(__xludf.DUMMYFUNCTION("GOOGLETRANSLATE(B194,""en"",""ur"")"),"کشتی کا ظاہری مقصد کیا ہے؟")</f>
        <v>کشتی کا ظاہری مقصد کیا ہے؟</v>
      </c>
      <c r="M194" s="2" t="str">
        <f>IFERROR(__xludf.DUMMYFUNCTION("GOOGLETRANSLATE(C194,""en"",""ur"")"),"ایک رسمی رقص")</f>
        <v>ایک رسمی رقص</v>
      </c>
      <c r="N194" s="2" t="str">
        <f>IFERROR(__xludf.DUMMYFUNCTION("GOOGLETRANSLATE(D194,""en"",""ur"")"),"ایک دوستانہ مظاہرہ")</f>
        <v>ایک دوستانہ مظاہرہ</v>
      </c>
      <c r="O194" s="2" t="str">
        <f>IFERROR(__xludf.DUMMYFUNCTION("GOOGLETRANSLATE(E194,""en"",""ur"")"),"ٹیک ڈاؤن کے ساتھ ایک مسابقتی میچ")</f>
        <v>ٹیک ڈاؤن کے ساتھ ایک مسابقتی میچ</v>
      </c>
      <c r="P194" s="2" t="str">
        <f>IFERROR(__xludf.DUMMYFUNCTION("GOOGLETRANSLATE(F194,""en"",""ur"")"),"ایک پریکٹس سیشن")</f>
        <v>ایک پریکٹس سیشن</v>
      </c>
      <c r="Q194" s="6" t="s">
        <v>1198</v>
      </c>
      <c r="R194" s="6" t="str">
        <f>IFERROR(__xludf.DUMMYFUNCTION("""COMPUTED_VALUE"""),"ایک ریسلنگ میچ میں دو آدمی")</f>
        <v>ایک ریسلنگ میچ میں دو آدمی</v>
      </c>
      <c r="S194" s="6" t="s">
        <v>1278</v>
      </c>
      <c r="T194" s="6"/>
      <c r="U194" s="6"/>
      <c r="V194" s="6"/>
      <c r="W194" s="6"/>
      <c r="X194" s="6"/>
      <c r="Y194" s="6"/>
      <c r="Z194" s="6"/>
      <c r="AA194" s="6"/>
      <c r="AB194" s="6"/>
    </row>
    <row r="195">
      <c r="A195" s="7">
        <v>194.0</v>
      </c>
      <c r="B195" s="6" t="s">
        <v>991</v>
      </c>
      <c r="C195" s="6" t="s">
        <v>422</v>
      </c>
      <c r="D195" s="6" t="s">
        <v>1199</v>
      </c>
      <c r="E195" s="6" t="s">
        <v>424</v>
      </c>
      <c r="F195" s="6" t="s">
        <v>425</v>
      </c>
      <c r="G195" s="6" t="s">
        <v>1199</v>
      </c>
      <c r="H195" s="6" t="s">
        <v>1278</v>
      </c>
      <c r="I195" s="6"/>
      <c r="J195" s="6"/>
      <c r="K195" s="2" t="str">
        <f>IFERROR(__xludf.DUMMYFUNCTION("GOOGLETRANSLATE(A195,""en"",""ur"")"),"194")</f>
        <v>194</v>
      </c>
      <c r="L195" s="2" t="str">
        <f>IFERROR(__xludf.DUMMYFUNCTION("GOOGLETRANSLATE(B195,""en"",""ur"")"),"واقعہ کی ظاہری ترتیب کیا ہے؟")</f>
        <v>واقعہ کی ظاہری ترتیب کیا ہے؟</v>
      </c>
      <c r="M195" s="2" t="str">
        <f>IFERROR(__xludf.DUMMYFUNCTION("GOOGLETRANSLATE(C195,""en"",""ur"")"),"ایک انڈور اسٹیڈیم")</f>
        <v>ایک انڈور اسٹیڈیم</v>
      </c>
      <c r="N195" s="2" t="str">
        <f>IFERROR(__xludf.DUMMYFUNCTION("GOOGLETRANSLATE(D195,""en"",""ur"")"),"ایک دیہی، بیرونی گندگی کا ایک بڑا ہجوم")</f>
        <v>ایک دیہی، بیرونی گندگی کا ایک بڑا ہجوم</v>
      </c>
      <c r="O195" s="2" t="str">
        <f>IFERROR(__xludf.DUMMYFUNCTION("GOOGLETRANSLATE(E195,""en"",""ur"")"),"شہر کی مصروف گلی")</f>
        <v>شہر کی مصروف گلی</v>
      </c>
      <c r="P195" s="2" t="str">
        <f>IFERROR(__xludf.DUMMYFUNCTION("GOOGLETRANSLATE(F195,""en"",""ur"")"),"گھاس کا میدان")</f>
        <v>گھاس کا میدان</v>
      </c>
      <c r="Q195" s="6" t="s">
        <v>1200</v>
      </c>
      <c r="R195" s="6" t="str">
        <f>IFERROR(__xludf.DUMMYFUNCTION("""COMPUTED_VALUE"""),"ایک ریسلنگ میچ میں دو آدمی")</f>
        <v>ایک ریسلنگ میچ میں دو آدمی</v>
      </c>
      <c r="S195" s="6" t="s">
        <v>1278</v>
      </c>
      <c r="T195" s="6"/>
      <c r="U195" s="6"/>
      <c r="V195" s="6"/>
      <c r="W195" s="6"/>
      <c r="X195" s="6"/>
      <c r="Y195" s="6"/>
      <c r="Z195" s="6"/>
      <c r="AA195" s="6"/>
      <c r="AB195" s="6"/>
    </row>
    <row r="196">
      <c r="A196" s="7">
        <v>195.0</v>
      </c>
      <c r="B196" s="6" t="s">
        <v>1201</v>
      </c>
      <c r="C196" s="6" t="s">
        <v>47</v>
      </c>
      <c r="D196" s="6" t="s">
        <v>48</v>
      </c>
      <c r="E196" s="6" t="s">
        <v>49</v>
      </c>
      <c r="F196" s="6" t="s">
        <v>50</v>
      </c>
      <c r="G196" s="6" t="s">
        <v>49</v>
      </c>
      <c r="H196" s="6" t="s">
        <v>1278</v>
      </c>
      <c r="I196" s="6"/>
      <c r="J196" s="6"/>
      <c r="K196" s="2" t="str">
        <f>IFERROR(__xludf.DUMMYFUNCTION("GOOGLETRANSLATE(A196,""en"",""ur"")"),"195")</f>
        <v>195</v>
      </c>
      <c r="L196" s="2" t="str">
        <f>IFERROR(__xludf.DUMMYFUNCTION("GOOGLETRANSLATE(B196,""en"",""ur"")"),"پہلوانوں کے ظاہری جذبات کیا ہیں؟")</f>
        <v>پہلوانوں کے ظاہری جذبات کیا ہیں؟</v>
      </c>
      <c r="M196" s="2" t="str">
        <f>IFERROR(__xludf.DUMMYFUNCTION("GOOGLETRANSLATE(C196,""en"",""ur"")"),"پرسکون اور پر سکون")</f>
        <v>پرسکون اور پر سکون</v>
      </c>
      <c r="N196" s="2" t="str">
        <f>IFERROR(__xludf.DUMMYFUNCTION("GOOGLETRANSLATE(D196,""en"",""ur"")"),"خوف زدہ اور بے چین")</f>
        <v>خوف زدہ اور بے چین</v>
      </c>
      <c r="O196" s="2" t="str">
        <f>IFERROR(__xludf.DUMMYFUNCTION("GOOGLETRANSLATE(E196,""en"",""ur"")"),"کشیدہ اور شدید")</f>
        <v>کشیدہ اور شدید</v>
      </c>
      <c r="P196" s="2" t="str">
        <f>IFERROR(__xludf.DUMMYFUNCTION("GOOGLETRANSLATE(F196,""en"",""ur"")"),"خوش اور مسکراتے ہوئے۔")</f>
        <v>خوش اور مسکراتے ہوئے۔</v>
      </c>
      <c r="Q196" s="6" t="s">
        <v>51</v>
      </c>
      <c r="R196" s="6" t="str">
        <f>IFERROR(__xludf.DUMMYFUNCTION("""COMPUTED_VALUE"""),"ایک ریسلنگ میچ میں دو آدمی")</f>
        <v>ایک ریسلنگ میچ میں دو آدمی</v>
      </c>
      <c r="S196" s="6" t="s">
        <v>1278</v>
      </c>
      <c r="T196" s="6"/>
      <c r="U196" s="6"/>
      <c r="V196" s="6"/>
      <c r="W196" s="6"/>
      <c r="X196" s="6"/>
      <c r="Y196" s="6"/>
      <c r="Z196" s="6"/>
      <c r="AA196" s="6"/>
      <c r="AB196" s="6"/>
    </row>
    <row r="197">
      <c r="A197" s="7">
        <v>196.0</v>
      </c>
      <c r="B197" s="6" t="s">
        <v>1218</v>
      </c>
      <c r="C197" s="6" t="s">
        <v>429</v>
      </c>
      <c r="D197" s="6" t="s">
        <v>430</v>
      </c>
      <c r="E197" s="6" t="s">
        <v>431</v>
      </c>
      <c r="F197" s="6" t="s">
        <v>432</v>
      </c>
      <c r="G197" s="6" t="s">
        <v>430</v>
      </c>
      <c r="H197" s="6" t="s">
        <v>1278</v>
      </c>
      <c r="I197" s="6"/>
      <c r="J197" s="6"/>
      <c r="K197" s="2" t="str">
        <f>IFERROR(__xludf.DUMMYFUNCTION("GOOGLETRANSLATE(A197,""en"",""ur"")"),"196")</f>
        <v>196</v>
      </c>
      <c r="L197" s="2" t="str">
        <f>IFERROR(__xludf.DUMMYFUNCTION("GOOGLETRANSLATE(B197,""en"",""ur"")"),"پہلوانوں کی ظاہری جسمانی پوزیشن کیا ہے؟")</f>
        <v>پہلوانوں کی ظاہری جسمانی پوزیشن کیا ہے؟</v>
      </c>
      <c r="M197" s="2" t="str">
        <f>IFERROR(__xludf.DUMMYFUNCTION("GOOGLETRANSLATE(C197,""en"",""ur"")"),"سیدھا کھڑا ہونا")</f>
        <v>سیدھا کھڑا ہونا</v>
      </c>
      <c r="N197" s="2" t="str">
        <f>IFERROR(__xludf.DUMMYFUNCTION("GOOGLETRANSLATE(D197,""en"",""ur"")"),"کم، متحرک موقف میں")</f>
        <v>کم، متحرک موقف میں</v>
      </c>
      <c r="O197" s="2" t="str">
        <f>IFERROR(__xludf.DUMMYFUNCTION("GOOGLETRANSLATE(E197,""en"",""ur"")"),"زمین پر لیٹنا")</f>
        <v>زمین پر لیٹنا</v>
      </c>
      <c r="P197" s="2" t="str">
        <f>IFERROR(__xludf.DUMMYFUNCTION("GOOGLETRANSLATE(F197,""en"",""ur"")"),"بیٹھا ہوا")</f>
        <v>بیٹھا ہوا</v>
      </c>
      <c r="Q197" s="6" t="s">
        <v>433</v>
      </c>
      <c r="R197" s="6" t="str">
        <f>IFERROR(__xludf.DUMMYFUNCTION("""COMPUTED_VALUE"""),"ایک ریسلنگ میچ میں دو آدمی")</f>
        <v>ایک ریسلنگ میچ میں دو آدمی</v>
      </c>
      <c r="S197" s="6" t="s">
        <v>1278</v>
      </c>
      <c r="T197" s="6"/>
      <c r="U197" s="6"/>
      <c r="V197" s="6"/>
      <c r="W197" s="6"/>
      <c r="X197" s="6"/>
      <c r="Y197" s="6"/>
      <c r="Z197" s="6"/>
      <c r="AA197" s="6"/>
      <c r="AB197" s="6"/>
    </row>
    <row r="198">
      <c r="A198" s="7">
        <v>197.0</v>
      </c>
      <c r="B198" s="6" t="s">
        <v>434</v>
      </c>
      <c r="C198" s="6" t="s">
        <v>435</v>
      </c>
      <c r="D198" s="6" t="s">
        <v>436</v>
      </c>
      <c r="E198" s="6" t="s">
        <v>1203</v>
      </c>
      <c r="F198" s="6" t="s">
        <v>438</v>
      </c>
      <c r="G198" s="6" t="s">
        <v>1203</v>
      </c>
      <c r="H198" s="6" t="s">
        <v>1278</v>
      </c>
      <c r="I198" s="6"/>
      <c r="J198" s="6"/>
      <c r="K198" s="2" t="str">
        <f>IFERROR(__xludf.DUMMYFUNCTION("GOOGLETRANSLATE(A198,""en"",""ur"")"),"197")</f>
        <v>197</v>
      </c>
      <c r="L198" s="2" t="str">
        <f>IFERROR(__xludf.DUMMYFUNCTION("GOOGLETRANSLATE(B198,""en"",""ur"")"),"پس منظر میں ہجوم کی سب سے نمایاں خصوصیت کیا ہے؟")</f>
        <v>پس منظر میں ہجوم کی سب سے نمایاں خصوصیت کیا ہے؟</v>
      </c>
      <c r="M198" s="2" t="str">
        <f>IFERROR(__xludf.DUMMYFUNCTION("GOOGLETRANSLATE(C198,""en"",""ur"")"),"وہ بھاگ رہے ہیں۔")</f>
        <v>وہ بھاگ رہے ہیں۔</v>
      </c>
      <c r="N198" s="2" t="str">
        <f>IFERROR(__xludf.DUMMYFUNCTION("GOOGLETRANSLATE(D198,""en"",""ur"")"),"وہ خاموش بیٹھے ہیں۔")</f>
        <v>وہ خاموش بیٹھے ہیں۔</v>
      </c>
      <c r="O198" s="2" t="str">
        <f>IFERROR(__xludf.DUMMYFUNCTION("GOOGLETRANSLATE(E198,""en"",""ur"")"),"وہ باڑ کے پیچھے سے میچ دیکھ رہے ہیں۔")</f>
        <v>وہ باڑ کے پیچھے سے میچ دیکھ رہے ہیں۔</v>
      </c>
      <c r="P198" s="2" t="str">
        <f>IFERROR(__xludf.DUMMYFUNCTION("GOOGLETRANSLATE(F198,""en"",""ur"")"),"وہ سب ایک اسٹیج پر کھڑے ہیں۔")</f>
        <v>وہ سب ایک اسٹیج پر کھڑے ہیں۔</v>
      </c>
      <c r="Q198" s="6" t="s">
        <v>1204</v>
      </c>
      <c r="R198" s="6" t="str">
        <f>IFERROR(__xludf.DUMMYFUNCTION("""COMPUTED_VALUE"""),"ایک ریسلنگ میچ میں دو آدمی")</f>
        <v>ایک ریسلنگ میچ میں دو آدمی</v>
      </c>
      <c r="S198" s="6" t="s">
        <v>1278</v>
      </c>
      <c r="T198" s="6"/>
      <c r="U198" s="6"/>
      <c r="V198" s="6"/>
      <c r="W198" s="6"/>
      <c r="X198" s="6"/>
      <c r="Y198" s="6"/>
      <c r="Z198" s="6"/>
      <c r="AA198" s="6"/>
      <c r="AB198" s="6"/>
    </row>
    <row r="199">
      <c r="A199" s="7">
        <v>198.0</v>
      </c>
      <c r="B199" s="6" t="s">
        <v>440</v>
      </c>
      <c r="C199" s="6" t="s">
        <v>441</v>
      </c>
      <c r="D199" s="6" t="s">
        <v>442</v>
      </c>
      <c r="E199" s="6" t="s">
        <v>512</v>
      </c>
      <c r="F199" s="6" t="s">
        <v>444</v>
      </c>
      <c r="G199" s="6" t="s">
        <v>512</v>
      </c>
      <c r="H199" s="6" t="s">
        <v>1278</v>
      </c>
      <c r="I199" s="6"/>
      <c r="J199" s="6"/>
      <c r="K199" s="2" t="str">
        <f>IFERROR(__xludf.DUMMYFUNCTION("GOOGLETRANSLATE(A199,""en"",""ur"")"),"198")</f>
        <v>198</v>
      </c>
      <c r="L199" s="2" t="str">
        <f>IFERROR(__xludf.DUMMYFUNCTION("GOOGLETRANSLATE(B199,""en"",""ur"")"),"زمین کی ظاہری حالت کیا ہے؟")</f>
        <v>زمین کی ظاہری حالت کیا ہے؟</v>
      </c>
      <c r="M199" s="2" t="str">
        <f>IFERROR(__xludf.DUMMYFUNCTION("GOOGLETRANSLATE(C199,""en"",""ur"")"),"یہ ایک پکی سطح ہے۔")</f>
        <v>یہ ایک پکی سطح ہے۔</v>
      </c>
      <c r="N199" s="2" t="str">
        <f>IFERROR(__xludf.DUMMYFUNCTION("GOOGLETRANSLATE(D199,""en"",""ur"")"),"یہ ایک کیچڑ والا میدان ہے۔")</f>
        <v>یہ ایک کیچڑ والا میدان ہے۔</v>
      </c>
      <c r="O199" s="2" t="str">
        <f>IFERROR(__xludf.DUMMYFUNCTION("GOOGLETRANSLATE(E199,""en"",""ur"")"),"یہ ایک ریتلی یا گندگی کی سطح ہے۔")</f>
        <v>یہ ایک ریتلی یا گندگی کی سطح ہے۔</v>
      </c>
      <c r="P199" s="2" t="str">
        <f>IFERROR(__xludf.DUMMYFUNCTION("GOOGLETRANSLATE(F199,""en"",""ur"")"),"یہ ایک گھاس والی سطح ہے۔")</f>
        <v>یہ ایک گھاس والی سطح ہے۔</v>
      </c>
      <c r="Q199" s="6" t="s">
        <v>1219</v>
      </c>
      <c r="R199" s="6" t="str">
        <f>IFERROR(__xludf.DUMMYFUNCTION("""COMPUTED_VALUE"""),"ایک ریسلنگ میچ میں دو آدمی")</f>
        <v>ایک ریسلنگ میچ میں دو آدمی</v>
      </c>
      <c r="S199" s="6" t="s">
        <v>1278</v>
      </c>
      <c r="T199" s="6"/>
      <c r="U199" s="6"/>
      <c r="V199" s="6"/>
      <c r="W199" s="6"/>
      <c r="X199" s="6"/>
      <c r="Y199" s="6"/>
      <c r="Z199" s="6"/>
      <c r="AA199" s="6"/>
      <c r="AB199" s="6"/>
    </row>
    <row r="200">
      <c r="A200" s="7">
        <v>199.0</v>
      </c>
      <c r="B200" s="6" t="s">
        <v>1205</v>
      </c>
      <c r="C200" s="6" t="s">
        <v>1206</v>
      </c>
      <c r="D200" s="6" t="s">
        <v>1207</v>
      </c>
      <c r="E200" s="6" t="s">
        <v>1208</v>
      </c>
      <c r="F200" s="6" t="s">
        <v>449</v>
      </c>
      <c r="G200" s="6" t="s">
        <v>1208</v>
      </c>
      <c r="H200" s="6" t="s">
        <v>1278</v>
      </c>
      <c r="I200" s="6"/>
      <c r="J200" s="6"/>
      <c r="K200" s="2" t="str">
        <f>IFERROR(__xludf.DUMMYFUNCTION("GOOGLETRANSLATE(A200,""en"",""ur"")"),"199")</f>
        <v>199</v>
      </c>
      <c r="L200" s="2" t="str">
        <f>IFERROR(__xludf.DUMMYFUNCTION("GOOGLETRANSLATE(B200,""en"",""ur"")"),"لمبی اسکرٹس کا بنیادی مقصد کیا ہے؟")</f>
        <v>لمبی اسکرٹس کا بنیادی مقصد کیا ہے؟</v>
      </c>
      <c r="M200" s="2" t="str">
        <f>IFERROR(__xludf.DUMMYFUNCTION("GOOGLETRANSLATE(C200,""en"",""ur"")"),"پہلوانوں کی ٹانگوں کی حفاظت کے لیے")</f>
        <v>پہلوانوں کی ٹانگوں کی حفاظت کے لیے</v>
      </c>
      <c r="N200" s="2" t="str">
        <f>IFERROR(__xludf.DUMMYFUNCTION("GOOGLETRANSLATE(D200,""en"",""ur"")"),"پہلوانوں کو مزید چست بنانے کے لیے")</f>
        <v>پہلوانوں کو مزید چست بنانے کے لیے</v>
      </c>
      <c r="O200" s="2" t="str">
        <f>IFERROR(__xludf.DUMMYFUNCTION("GOOGLETRANSLATE(E200,""en"",""ur"")"),"روایتی لباس اور لڑائی کے دوران گرفت کے لیے")</f>
        <v>روایتی لباس اور لڑائی کے دوران گرفت کے لیے</v>
      </c>
      <c r="P200" s="2" t="str">
        <f>IFERROR(__xludf.DUMMYFUNCTION("GOOGLETRANSLATE(F200,""en"",""ur"")"),"صرف سجاوٹ کے لیے")</f>
        <v>صرف سجاوٹ کے لیے</v>
      </c>
      <c r="Q200" s="6" t="s">
        <v>1209</v>
      </c>
      <c r="R200" s="6" t="str">
        <f>IFERROR(__xludf.DUMMYFUNCTION("""COMPUTED_VALUE"""),"ایک ریسلنگ میچ میں دو آدمی")</f>
        <v>ایک ریسلنگ میچ میں دو آدمی</v>
      </c>
      <c r="S200" s="6" t="s">
        <v>1278</v>
      </c>
      <c r="T200" s="6"/>
      <c r="U200" s="6"/>
      <c r="V200" s="6"/>
      <c r="W200" s="6"/>
      <c r="X200" s="6"/>
      <c r="Y200" s="6"/>
      <c r="Z200" s="6"/>
      <c r="AA200" s="6"/>
      <c r="AB200" s="6"/>
    </row>
    <row r="201">
      <c r="A201" s="7">
        <v>200.0</v>
      </c>
      <c r="B201" s="6" t="s">
        <v>260</v>
      </c>
      <c r="C201" s="6" t="s">
        <v>261</v>
      </c>
      <c r="D201" s="6" t="s">
        <v>262</v>
      </c>
      <c r="E201" s="6" t="s">
        <v>1210</v>
      </c>
      <c r="F201" s="6" t="s">
        <v>264</v>
      </c>
      <c r="G201" s="6" t="s">
        <v>1210</v>
      </c>
      <c r="H201" s="6" t="s">
        <v>1278</v>
      </c>
      <c r="I201" s="6"/>
      <c r="J201" s="6"/>
      <c r="K201" s="2" t="str">
        <f>IFERROR(__xludf.DUMMYFUNCTION("GOOGLETRANSLATE(A201,""en"",""ur"")"),"200")</f>
        <v>200</v>
      </c>
      <c r="L201" s="2" t="str">
        <f>IFERROR(__xludf.DUMMYFUNCTION("GOOGLETRANSLATE(B201,""en"",""ur"")"),"تصویر میں ایکشن ایک ایسا انداز تجویز کرتا ہے جو اس بات پر زور دیتا ہے...")</f>
        <v>تصویر میں ایکشن ایک ایسا انداز تجویز کرتا ہے جو اس بات پر زور دیتا ہے...</v>
      </c>
      <c r="M201" s="2" t="str">
        <f>IFERROR(__xludf.DUMMYFUNCTION("GOOGLETRANSLATE(C201,""en"",""ur"")"),"روانی اور قلابازیاں")</f>
        <v>روانی اور قلابازیاں</v>
      </c>
      <c r="N201" s="2" t="str">
        <f>IFERROR(__xludf.DUMMYFUNCTION("GOOGLETRANSLATE(D201,""en"",""ur"")"),"زمینی لڑائی اور گرفت")</f>
        <v>زمینی لڑائی اور گرفت</v>
      </c>
      <c r="O201" s="2" t="str">
        <f>IFERROR(__xludf.DUMMYFUNCTION("GOOGLETRANSLATE(E201,""en"",""ur"")"),"وحشیانہ طاقت اور ٹیک ڈاؤن")</f>
        <v>وحشیانہ طاقت اور ٹیک ڈاؤن</v>
      </c>
      <c r="P201" s="2" t="str">
        <f>IFERROR(__xludf.DUMMYFUNCTION("GOOGLETRANSLATE(F201,""en"",""ur"")"),"سادہ، لکیری حرکات")</f>
        <v>سادہ، لکیری حرکات</v>
      </c>
      <c r="Q201" s="6" t="s">
        <v>1211</v>
      </c>
      <c r="R201" s="6" t="str">
        <f>IFERROR(__xludf.DUMMYFUNCTION("""COMPUTED_VALUE"""),"ایک ریسلنگ میچ میں دو آدمی")</f>
        <v>ایک ریسلنگ میچ میں دو آدمی</v>
      </c>
      <c r="S201" s="6" t="s">
        <v>1278</v>
      </c>
      <c r="T201" s="6"/>
      <c r="U201" s="6"/>
      <c r="V201" s="6"/>
      <c r="W201" s="6"/>
      <c r="X201" s="6"/>
      <c r="Y201" s="6"/>
      <c r="Z201" s="6"/>
      <c r="AA201" s="6"/>
      <c r="AB201" s="6"/>
    </row>
    <row r="202">
      <c r="A202" s="7">
        <v>201.0</v>
      </c>
      <c r="B202" s="6" t="s">
        <v>1279</v>
      </c>
      <c r="C202" s="6" t="s">
        <v>405</v>
      </c>
      <c r="D202" s="6" t="s">
        <v>406</v>
      </c>
      <c r="E202" s="6" t="s">
        <v>1184</v>
      </c>
      <c r="F202" s="6" t="s">
        <v>1185</v>
      </c>
      <c r="G202" s="6" t="s">
        <v>1184</v>
      </c>
      <c r="H202" s="6" t="s">
        <v>1280</v>
      </c>
      <c r="I202" s="6"/>
      <c r="J202" s="6"/>
      <c r="K202" s="2" t="str">
        <f>IFERROR(__xludf.DUMMYFUNCTION("GOOGLETRANSLATE(A202,""en"",""ur"")"),"201")</f>
        <v>201</v>
      </c>
      <c r="L202" s="2" t="str">
        <f>IFERROR(__xludf.DUMMYFUNCTION("GOOGLETRANSLATE(B202,""en"",""ur"")"),"ملاخرہ_52 میں مرکزی عمل کیا دکھایا گیا ہے؟")</f>
        <v>ملاخرہ_52 میں مرکزی عمل کیا دکھایا گیا ہے؟</v>
      </c>
      <c r="M202" s="2" t="str">
        <f>IFERROR(__xludf.DUMMYFUNCTION("GOOGLETRANSLATE(C202,""en"",""ur"")"),"دو آدمی تلواروں سے لڑ رہے ہیں۔")</f>
        <v>دو آدمی تلواروں سے لڑ رہے ہیں۔</v>
      </c>
      <c r="N202" s="2" t="str">
        <f>IFERROR(__xludf.DUMMYFUNCTION("GOOGLETRANSLATE(D202,""en"",""ur"")"),"دو آدمی ناچ رہے ہیں۔")</f>
        <v>دو آدمی ناچ رہے ہیں۔</v>
      </c>
      <c r="O202" s="2" t="str">
        <f>IFERROR(__xludf.DUMMYFUNCTION("GOOGLETRANSLATE(E202,""en"",""ur"")"),"ایک ریسلنگ میچ میں دو آدمی")</f>
        <v>ایک ریسلنگ میچ میں دو آدمی</v>
      </c>
      <c r="P202" s="2" t="str">
        <f>IFERROR(__xludf.DUMMYFUNCTION("GOOGLETRANSLATE(F202,""en"",""ur"")"),"دو آدمی بھاگ رہے ہیں۔")</f>
        <v>دو آدمی بھاگ رہے ہیں۔</v>
      </c>
      <c r="Q202" s="6" t="s">
        <v>1214</v>
      </c>
      <c r="R202" s="6" t="str">
        <f>IFERROR(__xludf.DUMMYFUNCTION("""COMPUTED_VALUE"""),"ایک ریسلنگ میچ میں دو آدمی")</f>
        <v>ایک ریسلنگ میچ میں دو آدمی</v>
      </c>
      <c r="S202" s="6" t="s">
        <v>1280</v>
      </c>
      <c r="T202" s="6"/>
      <c r="U202" s="6"/>
      <c r="V202" s="6"/>
      <c r="W202" s="6"/>
      <c r="X202" s="6"/>
      <c r="Y202" s="6"/>
      <c r="Z202" s="6"/>
      <c r="AA202" s="6"/>
      <c r="AB202" s="6"/>
    </row>
    <row r="203">
      <c r="A203" s="7">
        <v>202.0</v>
      </c>
      <c r="B203" s="6" t="s">
        <v>1215</v>
      </c>
      <c r="C203" s="6" t="s">
        <v>488</v>
      </c>
      <c r="D203" s="6" t="s">
        <v>1281</v>
      </c>
      <c r="E203" s="6" t="s">
        <v>490</v>
      </c>
      <c r="F203" s="6" t="s">
        <v>246</v>
      </c>
      <c r="G203" s="6" t="s">
        <v>1281</v>
      </c>
      <c r="H203" s="6" t="s">
        <v>1280</v>
      </c>
      <c r="I203" s="6"/>
      <c r="J203" s="6"/>
      <c r="K203" s="2" t="str">
        <f>IFERROR(__xludf.DUMMYFUNCTION("GOOGLETRANSLATE(A203,""en"",""ur"")"),"202")</f>
        <v>202</v>
      </c>
      <c r="L203" s="2" t="str">
        <f>IFERROR(__xludf.DUMMYFUNCTION("GOOGLETRANSLATE(B203,""en"",""ur"")"),"پہلوانوں کے لباس کے بارے میں ایک قابل ذکر تفصیل کیا ہے؟")</f>
        <v>پہلوانوں کے لباس کے بارے میں ایک قابل ذکر تفصیل کیا ہے؟</v>
      </c>
      <c r="M203" s="2" t="str">
        <f>IFERROR(__xludf.DUMMYFUNCTION("GOOGLETRANSLATE(C203,""en"",""ur"")"),"انہوں نے بکتر کا پورا سوٹ پہن رکھا ہے۔")</f>
        <v>انہوں نے بکتر کا پورا سوٹ پہن رکھا ہے۔</v>
      </c>
      <c r="N203" s="2" t="str">
        <f>IFERROR(__xludf.DUMMYFUNCTION("GOOGLETRANSLATE(D203,""en"",""ur"")"),"وہ شارٹس یا لنگوٹ پہنے ہوئے ہیں۔")</f>
        <v>وہ شارٹس یا لنگوٹ پہنے ہوئے ہیں۔</v>
      </c>
      <c r="O203" s="2" t="str">
        <f>IFERROR(__xludf.DUMMYFUNCTION("GOOGLETRANSLATE(E203,""en"",""ur"")"),"انہوں نے شارٹس اور ٹی شرٹ پہن رکھی ہیں۔")</f>
        <v>انہوں نے شارٹس اور ٹی شرٹ پہن رکھی ہیں۔</v>
      </c>
      <c r="P203" s="2" t="str">
        <f>IFERROR(__xludf.DUMMYFUNCTION("GOOGLETRANSLATE(F203,""en"",""ur"")"),"انہوں نے کوئی لباس نہیں پہنا ہوا ہے۔")</f>
        <v>انہوں نے کوئی لباس نہیں پہنا ہوا ہے۔</v>
      </c>
      <c r="Q203" s="6" t="s">
        <v>1282</v>
      </c>
      <c r="R203" s="6" t="str">
        <f>IFERROR(__xludf.DUMMYFUNCTION("""COMPUTED_VALUE"""),"ایک ریسلنگ میچ میں دو آدمی")</f>
        <v>ایک ریسلنگ میچ میں دو آدمی</v>
      </c>
      <c r="S203" s="6" t="s">
        <v>1280</v>
      </c>
      <c r="T203" s="6"/>
      <c r="U203" s="6"/>
      <c r="V203" s="6"/>
      <c r="W203" s="6"/>
      <c r="X203" s="6"/>
      <c r="Y203" s="6"/>
      <c r="Z203" s="6"/>
      <c r="AA203" s="6"/>
      <c r="AB203" s="6"/>
    </row>
    <row r="204">
      <c r="A204" s="7">
        <v>203.0</v>
      </c>
      <c r="B204" s="6" t="s">
        <v>1193</v>
      </c>
      <c r="C204" s="6" t="s">
        <v>1194</v>
      </c>
      <c r="D204" s="6" t="s">
        <v>1195</v>
      </c>
      <c r="E204" s="6" t="s">
        <v>1196</v>
      </c>
      <c r="F204" s="6" t="s">
        <v>1197</v>
      </c>
      <c r="G204" s="6" t="s">
        <v>1196</v>
      </c>
      <c r="H204" s="6" t="s">
        <v>1280</v>
      </c>
      <c r="I204" s="6"/>
      <c r="J204" s="6"/>
      <c r="K204" s="2" t="str">
        <f>IFERROR(__xludf.DUMMYFUNCTION("GOOGLETRANSLATE(A204,""en"",""ur"")"),"203")</f>
        <v>203</v>
      </c>
      <c r="L204" s="2" t="str">
        <f>IFERROR(__xludf.DUMMYFUNCTION("GOOGLETRANSLATE(B204,""en"",""ur"")"),"کشتی کا ظاہری مقصد کیا ہے؟")</f>
        <v>کشتی کا ظاہری مقصد کیا ہے؟</v>
      </c>
      <c r="M204" s="2" t="str">
        <f>IFERROR(__xludf.DUMMYFUNCTION("GOOGLETRANSLATE(C204,""en"",""ur"")"),"ایک رسمی رقص")</f>
        <v>ایک رسمی رقص</v>
      </c>
      <c r="N204" s="2" t="str">
        <f>IFERROR(__xludf.DUMMYFUNCTION("GOOGLETRANSLATE(D204,""en"",""ur"")"),"ایک دوستانہ مظاہرہ")</f>
        <v>ایک دوستانہ مظاہرہ</v>
      </c>
      <c r="O204" s="2" t="str">
        <f>IFERROR(__xludf.DUMMYFUNCTION("GOOGLETRANSLATE(E204,""en"",""ur"")"),"ٹیک ڈاؤن کے ساتھ ایک مسابقتی میچ")</f>
        <v>ٹیک ڈاؤن کے ساتھ ایک مسابقتی میچ</v>
      </c>
      <c r="P204" s="2" t="str">
        <f>IFERROR(__xludf.DUMMYFUNCTION("GOOGLETRANSLATE(F204,""en"",""ur"")"),"ایک پریکٹس سیشن")</f>
        <v>ایک پریکٹس سیشن</v>
      </c>
      <c r="Q204" s="6" t="s">
        <v>1198</v>
      </c>
      <c r="R204" s="6" t="str">
        <f>IFERROR(__xludf.DUMMYFUNCTION("""COMPUTED_VALUE"""),"ایک ریسلنگ میچ میں دو آدمی")</f>
        <v>ایک ریسلنگ میچ میں دو آدمی</v>
      </c>
      <c r="S204" s="6" t="s">
        <v>1280</v>
      </c>
      <c r="T204" s="6"/>
      <c r="U204" s="6"/>
      <c r="V204" s="6"/>
      <c r="W204" s="6"/>
      <c r="X204" s="6"/>
      <c r="Y204" s="6"/>
      <c r="Z204" s="6"/>
      <c r="AA204" s="6"/>
      <c r="AB204" s="6"/>
    </row>
    <row r="205">
      <c r="A205" s="7">
        <v>204.0</v>
      </c>
      <c r="B205" s="6" t="s">
        <v>991</v>
      </c>
      <c r="C205" s="6" t="s">
        <v>422</v>
      </c>
      <c r="D205" s="6" t="s">
        <v>1199</v>
      </c>
      <c r="E205" s="6" t="s">
        <v>424</v>
      </c>
      <c r="F205" s="6" t="s">
        <v>425</v>
      </c>
      <c r="G205" s="6" t="s">
        <v>1199</v>
      </c>
      <c r="H205" s="6" t="s">
        <v>1280</v>
      </c>
      <c r="I205" s="6"/>
      <c r="J205" s="6"/>
      <c r="K205" s="2" t="str">
        <f>IFERROR(__xludf.DUMMYFUNCTION("GOOGLETRANSLATE(A205,""en"",""ur"")"),"204")</f>
        <v>204</v>
      </c>
      <c r="L205" s="2" t="str">
        <f>IFERROR(__xludf.DUMMYFUNCTION("GOOGLETRANSLATE(B205,""en"",""ur"")"),"واقعہ کی ظاہری ترتیب کیا ہے؟")</f>
        <v>واقعہ کی ظاہری ترتیب کیا ہے؟</v>
      </c>
      <c r="M205" s="2" t="str">
        <f>IFERROR(__xludf.DUMMYFUNCTION("GOOGLETRANSLATE(C205,""en"",""ur"")"),"ایک انڈور اسٹیڈیم")</f>
        <v>ایک انڈور اسٹیڈیم</v>
      </c>
      <c r="N205" s="2" t="str">
        <f>IFERROR(__xludf.DUMMYFUNCTION("GOOGLETRANSLATE(D205,""en"",""ur"")"),"ایک دیہی، بیرونی گندگی کا ایک بڑا ہجوم")</f>
        <v>ایک دیہی، بیرونی گندگی کا ایک بڑا ہجوم</v>
      </c>
      <c r="O205" s="2" t="str">
        <f>IFERROR(__xludf.DUMMYFUNCTION("GOOGLETRANSLATE(E205,""en"",""ur"")"),"شہر کی مصروف گلی")</f>
        <v>شہر کی مصروف گلی</v>
      </c>
      <c r="P205" s="2" t="str">
        <f>IFERROR(__xludf.DUMMYFUNCTION("GOOGLETRANSLATE(F205,""en"",""ur"")"),"گھاس کا میدان")</f>
        <v>گھاس کا میدان</v>
      </c>
      <c r="Q205" s="6" t="s">
        <v>1200</v>
      </c>
      <c r="R205" s="6" t="str">
        <f>IFERROR(__xludf.DUMMYFUNCTION("""COMPUTED_VALUE"""),"ایک ریسلنگ میچ میں دو آدمی")</f>
        <v>ایک ریسلنگ میچ میں دو آدمی</v>
      </c>
      <c r="S205" s="6" t="s">
        <v>1280</v>
      </c>
      <c r="T205" s="6"/>
      <c r="U205" s="6"/>
      <c r="V205" s="6"/>
      <c r="W205" s="6"/>
      <c r="X205" s="6"/>
      <c r="Y205" s="6"/>
      <c r="Z205" s="6"/>
      <c r="AA205" s="6"/>
      <c r="AB205" s="6"/>
    </row>
    <row r="206">
      <c r="A206" s="7">
        <v>205.0</v>
      </c>
      <c r="B206" s="6" t="s">
        <v>1201</v>
      </c>
      <c r="C206" s="6" t="s">
        <v>47</v>
      </c>
      <c r="D206" s="6" t="s">
        <v>48</v>
      </c>
      <c r="E206" s="6" t="s">
        <v>49</v>
      </c>
      <c r="F206" s="6" t="s">
        <v>50</v>
      </c>
      <c r="G206" s="6" t="s">
        <v>49</v>
      </c>
      <c r="H206" s="6" t="s">
        <v>1280</v>
      </c>
      <c r="I206" s="6"/>
      <c r="J206" s="6"/>
      <c r="K206" s="2" t="str">
        <f>IFERROR(__xludf.DUMMYFUNCTION("GOOGLETRANSLATE(A206,""en"",""ur"")"),"205")</f>
        <v>205</v>
      </c>
      <c r="L206" s="2" t="str">
        <f>IFERROR(__xludf.DUMMYFUNCTION("GOOGLETRANSLATE(B206,""en"",""ur"")"),"پہلوانوں کے ظاہری جذبات کیا ہیں؟")</f>
        <v>پہلوانوں کے ظاہری جذبات کیا ہیں؟</v>
      </c>
      <c r="M206" s="2" t="str">
        <f>IFERROR(__xludf.DUMMYFUNCTION("GOOGLETRANSLATE(C206,""en"",""ur"")"),"پرسکون اور پر سکون")</f>
        <v>پرسکون اور پر سکون</v>
      </c>
      <c r="N206" s="2" t="str">
        <f>IFERROR(__xludf.DUMMYFUNCTION("GOOGLETRANSLATE(D206,""en"",""ur"")"),"خوف زدہ اور بے چین")</f>
        <v>خوف زدہ اور بے چین</v>
      </c>
      <c r="O206" s="2" t="str">
        <f>IFERROR(__xludf.DUMMYFUNCTION("GOOGLETRANSLATE(E206,""en"",""ur"")"),"کشیدہ اور شدید")</f>
        <v>کشیدہ اور شدید</v>
      </c>
      <c r="P206" s="2" t="str">
        <f>IFERROR(__xludf.DUMMYFUNCTION("GOOGLETRANSLATE(F206,""en"",""ur"")"),"خوش اور مسکراتے ہوئے۔")</f>
        <v>خوش اور مسکراتے ہوئے۔</v>
      </c>
      <c r="Q206" s="6" t="s">
        <v>51</v>
      </c>
      <c r="R206" s="6" t="str">
        <f>IFERROR(__xludf.DUMMYFUNCTION("""COMPUTED_VALUE"""),"ایک ریسلنگ میچ میں دو آدمی")</f>
        <v>ایک ریسلنگ میچ میں دو آدمی</v>
      </c>
      <c r="S206" s="6" t="s">
        <v>1280</v>
      </c>
      <c r="T206" s="6"/>
      <c r="U206" s="6"/>
      <c r="V206" s="6"/>
      <c r="W206" s="6"/>
      <c r="X206" s="6"/>
      <c r="Y206" s="6"/>
      <c r="Z206" s="6"/>
      <c r="AA206" s="6"/>
      <c r="AB206" s="6"/>
    </row>
    <row r="207">
      <c r="A207" s="7">
        <v>206.0</v>
      </c>
      <c r="B207" s="6" t="s">
        <v>1218</v>
      </c>
      <c r="C207" s="6" t="s">
        <v>429</v>
      </c>
      <c r="D207" s="6" t="s">
        <v>430</v>
      </c>
      <c r="E207" s="6" t="s">
        <v>431</v>
      </c>
      <c r="F207" s="6" t="s">
        <v>432</v>
      </c>
      <c r="G207" s="6" t="s">
        <v>430</v>
      </c>
      <c r="H207" s="6" t="s">
        <v>1280</v>
      </c>
      <c r="I207" s="6"/>
      <c r="J207" s="6"/>
      <c r="K207" s="2" t="str">
        <f>IFERROR(__xludf.DUMMYFUNCTION("GOOGLETRANSLATE(A207,""en"",""ur"")"),"206")</f>
        <v>206</v>
      </c>
      <c r="L207" s="2" t="str">
        <f>IFERROR(__xludf.DUMMYFUNCTION("GOOGLETRANSLATE(B207,""en"",""ur"")"),"پہلوانوں کی ظاہری جسمانی پوزیشن کیا ہے؟")</f>
        <v>پہلوانوں کی ظاہری جسمانی پوزیشن کیا ہے؟</v>
      </c>
      <c r="M207" s="2" t="str">
        <f>IFERROR(__xludf.DUMMYFUNCTION("GOOGLETRANSLATE(C207,""en"",""ur"")"),"سیدھا کھڑا ہونا")</f>
        <v>سیدھا کھڑا ہونا</v>
      </c>
      <c r="N207" s="2" t="str">
        <f>IFERROR(__xludf.DUMMYFUNCTION("GOOGLETRANSLATE(D207,""en"",""ur"")"),"کم، متحرک موقف میں")</f>
        <v>کم، متحرک موقف میں</v>
      </c>
      <c r="O207" s="2" t="str">
        <f>IFERROR(__xludf.DUMMYFUNCTION("GOOGLETRANSLATE(E207,""en"",""ur"")"),"زمین پر لیٹنا")</f>
        <v>زمین پر لیٹنا</v>
      </c>
      <c r="P207" s="2" t="str">
        <f>IFERROR(__xludf.DUMMYFUNCTION("GOOGLETRANSLATE(F207,""en"",""ur"")"),"بیٹھا ہوا")</f>
        <v>بیٹھا ہوا</v>
      </c>
      <c r="Q207" s="6" t="s">
        <v>433</v>
      </c>
      <c r="R207" s="6" t="str">
        <f>IFERROR(__xludf.DUMMYFUNCTION("""COMPUTED_VALUE"""),"ایک ریسلنگ میچ میں دو آدمی")</f>
        <v>ایک ریسلنگ میچ میں دو آدمی</v>
      </c>
      <c r="S207" s="6" t="s">
        <v>1280</v>
      </c>
      <c r="T207" s="6"/>
      <c r="U207" s="6"/>
      <c r="V207" s="6"/>
      <c r="W207" s="6"/>
      <c r="X207" s="6"/>
      <c r="Y207" s="6"/>
      <c r="Z207" s="6"/>
      <c r="AA207" s="6"/>
      <c r="AB207" s="6"/>
    </row>
    <row r="208">
      <c r="A208" s="7">
        <v>207.0</v>
      </c>
      <c r="B208" s="6" t="s">
        <v>434</v>
      </c>
      <c r="C208" s="6" t="s">
        <v>435</v>
      </c>
      <c r="D208" s="6" t="s">
        <v>436</v>
      </c>
      <c r="E208" s="6" t="s">
        <v>1203</v>
      </c>
      <c r="F208" s="6" t="s">
        <v>438</v>
      </c>
      <c r="G208" s="6" t="s">
        <v>1203</v>
      </c>
      <c r="H208" s="6" t="s">
        <v>1280</v>
      </c>
      <c r="I208" s="6"/>
      <c r="J208" s="6"/>
      <c r="K208" s="2" t="str">
        <f>IFERROR(__xludf.DUMMYFUNCTION("GOOGLETRANSLATE(A208,""en"",""ur"")"),"207")</f>
        <v>207</v>
      </c>
      <c r="L208" s="2" t="str">
        <f>IFERROR(__xludf.DUMMYFUNCTION("GOOGLETRANSLATE(B208,""en"",""ur"")"),"پس منظر میں ہجوم کی سب سے نمایاں خصوصیت کیا ہے؟")</f>
        <v>پس منظر میں ہجوم کی سب سے نمایاں خصوصیت کیا ہے؟</v>
      </c>
      <c r="M208" s="2" t="str">
        <f>IFERROR(__xludf.DUMMYFUNCTION("GOOGLETRANSLATE(C208,""en"",""ur"")"),"وہ بھاگ رہے ہیں۔")</f>
        <v>وہ بھاگ رہے ہیں۔</v>
      </c>
      <c r="N208" s="2" t="str">
        <f>IFERROR(__xludf.DUMMYFUNCTION("GOOGLETRANSLATE(D208,""en"",""ur"")"),"وہ خاموش بیٹھے ہیں۔")</f>
        <v>وہ خاموش بیٹھے ہیں۔</v>
      </c>
      <c r="O208" s="2" t="str">
        <f>IFERROR(__xludf.DUMMYFUNCTION("GOOGLETRANSLATE(E208,""en"",""ur"")"),"وہ باڑ کے پیچھے سے میچ دیکھ رہے ہیں۔")</f>
        <v>وہ باڑ کے پیچھے سے میچ دیکھ رہے ہیں۔</v>
      </c>
      <c r="P208" s="2" t="str">
        <f>IFERROR(__xludf.DUMMYFUNCTION("GOOGLETRANSLATE(F208,""en"",""ur"")"),"وہ سب ایک اسٹیج پر کھڑے ہیں۔")</f>
        <v>وہ سب ایک اسٹیج پر کھڑے ہیں۔</v>
      </c>
      <c r="Q208" s="6" t="s">
        <v>1204</v>
      </c>
      <c r="R208" s="6" t="str">
        <f>IFERROR(__xludf.DUMMYFUNCTION("""COMPUTED_VALUE"""),"ایک ریسلنگ میچ میں دو آدمی")</f>
        <v>ایک ریسلنگ میچ میں دو آدمی</v>
      </c>
      <c r="S208" s="6" t="s">
        <v>1280</v>
      </c>
      <c r="T208" s="6"/>
      <c r="U208" s="6"/>
      <c r="V208" s="6"/>
      <c r="W208" s="6"/>
      <c r="X208" s="6"/>
      <c r="Y208" s="6"/>
      <c r="Z208" s="6"/>
      <c r="AA208" s="6"/>
      <c r="AB208" s="6"/>
    </row>
    <row r="209">
      <c r="A209" s="7">
        <v>208.0</v>
      </c>
      <c r="B209" s="6" t="s">
        <v>440</v>
      </c>
      <c r="C209" s="6" t="s">
        <v>441</v>
      </c>
      <c r="D209" s="6" t="s">
        <v>442</v>
      </c>
      <c r="E209" s="6" t="s">
        <v>512</v>
      </c>
      <c r="F209" s="6" t="s">
        <v>444</v>
      </c>
      <c r="G209" s="6" t="s">
        <v>512</v>
      </c>
      <c r="H209" s="6" t="s">
        <v>1280</v>
      </c>
      <c r="I209" s="6"/>
      <c r="J209" s="6"/>
      <c r="K209" s="2" t="str">
        <f>IFERROR(__xludf.DUMMYFUNCTION("GOOGLETRANSLATE(A209,""en"",""ur"")"),"208")</f>
        <v>208</v>
      </c>
      <c r="L209" s="2" t="str">
        <f>IFERROR(__xludf.DUMMYFUNCTION("GOOGLETRANSLATE(B209,""en"",""ur"")"),"زمین کی ظاہری حالت کیا ہے؟")</f>
        <v>زمین کی ظاہری حالت کیا ہے؟</v>
      </c>
      <c r="M209" s="2" t="str">
        <f>IFERROR(__xludf.DUMMYFUNCTION("GOOGLETRANSLATE(C209,""en"",""ur"")"),"یہ ایک پکی سطح ہے۔")</f>
        <v>یہ ایک پکی سطح ہے۔</v>
      </c>
      <c r="N209" s="2" t="str">
        <f>IFERROR(__xludf.DUMMYFUNCTION("GOOGLETRANSLATE(D209,""en"",""ur"")"),"یہ ایک کیچڑ والا میدان ہے۔")</f>
        <v>یہ ایک کیچڑ والا میدان ہے۔</v>
      </c>
      <c r="O209" s="2" t="str">
        <f>IFERROR(__xludf.DUMMYFUNCTION("GOOGLETRANSLATE(E209,""en"",""ur"")"),"یہ ایک ریتلی یا گندگی کی سطح ہے۔")</f>
        <v>یہ ایک ریتلی یا گندگی کی سطح ہے۔</v>
      </c>
      <c r="P209" s="2" t="str">
        <f>IFERROR(__xludf.DUMMYFUNCTION("GOOGLETRANSLATE(F209,""en"",""ur"")"),"یہ ایک گھاس والی سطح ہے۔")</f>
        <v>یہ ایک گھاس والی سطح ہے۔</v>
      </c>
      <c r="Q209" s="6" t="s">
        <v>1219</v>
      </c>
      <c r="R209" s="6" t="str">
        <f>IFERROR(__xludf.DUMMYFUNCTION("""COMPUTED_VALUE"""),"ایک ریسلنگ میچ میں دو آدمی")</f>
        <v>ایک ریسلنگ میچ میں دو آدمی</v>
      </c>
      <c r="S209" s="6" t="s">
        <v>1280</v>
      </c>
      <c r="T209" s="6"/>
      <c r="U209" s="6"/>
      <c r="V209" s="6"/>
      <c r="W209" s="6"/>
      <c r="X209" s="6"/>
      <c r="Y209" s="6"/>
      <c r="Z209" s="6"/>
      <c r="AA209" s="6"/>
      <c r="AB209" s="6"/>
    </row>
    <row r="210">
      <c r="A210" s="7">
        <v>209.0</v>
      </c>
      <c r="B210" s="6" t="s">
        <v>1205</v>
      </c>
      <c r="C210" s="6" t="s">
        <v>1206</v>
      </c>
      <c r="D210" s="6" t="s">
        <v>1207</v>
      </c>
      <c r="E210" s="6" t="s">
        <v>1208</v>
      </c>
      <c r="F210" s="6" t="s">
        <v>449</v>
      </c>
      <c r="G210" s="6" t="s">
        <v>1208</v>
      </c>
      <c r="H210" s="6" t="s">
        <v>1280</v>
      </c>
      <c r="I210" s="6"/>
      <c r="J210" s="6"/>
      <c r="K210" s="2" t="str">
        <f>IFERROR(__xludf.DUMMYFUNCTION("GOOGLETRANSLATE(A210,""en"",""ur"")"),"209")</f>
        <v>209</v>
      </c>
      <c r="L210" s="2" t="str">
        <f>IFERROR(__xludf.DUMMYFUNCTION("GOOGLETRANSLATE(B210,""en"",""ur"")"),"لمبی اسکرٹس کا بنیادی مقصد کیا ہے؟")</f>
        <v>لمبی اسکرٹس کا بنیادی مقصد کیا ہے؟</v>
      </c>
      <c r="M210" s="2" t="str">
        <f>IFERROR(__xludf.DUMMYFUNCTION("GOOGLETRANSLATE(C210,""en"",""ur"")"),"پہلوانوں کی ٹانگوں کی حفاظت کے لیے")</f>
        <v>پہلوانوں کی ٹانگوں کی حفاظت کے لیے</v>
      </c>
      <c r="N210" s="2" t="str">
        <f>IFERROR(__xludf.DUMMYFUNCTION("GOOGLETRANSLATE(D210,""en"",""ur"")"),"پہلوانوں کو مزید چست بنانے کے لیے")</f>
        <v>پہلوانوں کو مزید چست بنانے کے لیے</v>
      </c>
      <c r="O210" s="2" t="str">
        <f>IFERROR(__xludf.DUMMYFUNCTION("GOOGLETRANSLATE(E210,""en"",""ur"")"),"روایتی لباس اور لڑائی کے دوران گرفت کے لیے")</f>
        <v>روایتی لباس اور لڑائی کے دوران گرفت کے لیے</v>
      </c>
      <c r="P210" s="2" t="str">
        <f>IFERROR(__xludf.DUMMYFUNCTION("GOOGLETRANSLATE(F210,""en"",""ur"")"),"صرف سجاوٹ کے لیے")</f>
        <v>صرف سجاوٹ کے لیے</v>
      </c>
      <c r="Q210" s="6" t="s">
        <v>1209</v>
      </c>
      <c r="R210" s="6" t="str">
        <f>IFERROR(__xludf.DUMMYFUNCTION("""COMPUTED_VALUE"""),"ایک ریسلنگ میچ میں دو آدمی")</f>
        <v>ایک ریسلنگ میچ میں دو آدمی</v>
      </c>
      <c r="S210" s="6" t="s">
        <v>1280</v>
      </c>
      <c r="T210" s="6"/>
      <c r="U210" s="6"/>
      <c r="V210" s="6"/>
      <c r="W210" s="6"/>
      <c r="X210" s="6"/>
      <c r="Y210" s="6"/>
      <c r="Z210" s="6"/>
      <c r="AA210" s="6"/>
      <c r="AB210" s="6"/>
    </row>
    <row r="211">
      <c r="A211" s="7">
        <v>210.0</v>
      </c>
      <c r="B211" s="6" t="s">
        <v>260</v>
      </c>
      <c r="C211" s="6" t="s">
        <v>261</v>
      </c>
      <c r="D211" s="6" t="s">
        <v>262</v>
      </c>
      <c r="E211" s="6" t="s">
        <v>1210</v>
      </c>
      <c r="F211" s="6" t="s">
        <v>264</v>
      </c>
      <c r="G211" s="6" t="s">
        <v>1210</v>
      </c>
      <c r="H211" s="6" t="s">
        <v>1280</v>
      </c>
      <c r="I211" s="6"/>
      <c r="J211" s="6"/>
      <c r="K211" s="2" t="str">
        <f>IFERROR(__xludf.DUMMYFUNCTION("GOOGLETRANSLATE(A211,""en"",""ur"")"),"210")</f>
        <v>210</v>
      </c>
      <c r="L211" s="2" t="str">
        <f>IFERROR(__xludf.DUMMYFUNCTION("GOOGLETRANSLATE(B211,""en"",""ur"")"),"تصویر میں ایکشن ایک ایسا انداز تجویز کرتا ہے جو اس بات پر زور دیتا ہے...")</f>
        <v>تصویر میں ایکشن ایک ایسا انداز تجویز کرتا ہے جو اس بات پر زور دیتا ہے...</v>
      </c>
      <c r="M211" s="2" t="str">
        <f>IFERROR(__xludf.DUMMYFUNCTION("GOOGLETRANSLATE(C211,""en"",""ur"")"),"روانی اور قلابازیاں")</f>
        <v>روانی اور قلابازیاں</v>
      </c>
      <c r="N211" s="2" t="str">
        <f>IFERROR(__xludf.DUMMYFUNCTION("GOOGLETRANSLATE(D211,""en"",""ur"")"),"زمینی لڑائی اور گرفت")</f>
        <v>زمینی لڑائی اور گرفت</v>
      </c>
      <c r="O211" s="2" t="str">
        <f>IFERROR(__xludf.DUMMYFUNCTION("GOOGLETRANSLATE(E211,""en"",""ur"")"),"وحشیانہ طاقت اور ٹیک ڈاؤن")</f>
        <v>وحشیانہ طاقت اور ٹیک ڈاؤن</v>
      </c>
      <c r="P211" s="2" t="str">
        <f>IFERROR(__xludf.DUMMYFUNCTION("GOOGLETRANSLATE(F211,""en"",""ur"")"),"سادہ، لکیری حرکات")</f>
        <v>سادہ، لکیری حرکات</v>
      </c>
      <c r="Q211" s="6" t="s">
        <v>1211</v>
      </c>
      <c r="R211" s="6" t="str">
        <f>IFERROR(__xludf.DUMMYFUNCTION("""COMPUTED_VALUE"""),"ایک ریسلنگ میچ میں دو آدمی")</f>
        <v>ایک ریسلنگ میچ میں دو آدمی</v>
      </c>
      <c r="S211" s="6" t="s">
        <v>1280</v>
      </c>
      <c r="T211" s="6"/>
      <c r="U211" s="6"/>
      <c r="V211" s="6"/>
      <c r="W211" s="6"/>
      <c r="X211" s="6"/>
      <c r="Y211" s="6"/>
      <c r="Z211" s="6"/>
      <c r="AA211" s="6"/>
      <c r="AB211" s="6"/>
    </row>
    <row r="212">
      <c r="A212" s="7">
        <v>211.0</v>
      </c>
      <c r="B212" s="6" t="s">
        <v>1283</v>
      </c>
      <c r="C212" s="6" t="s">
        <v>405</v>
      </c>
      <c r="D212" s="6" t="s">
        <v>406</v>
      </c>
      <c r="E212" s="6" t="s">
        <v>1184</v>
      </c>
      <c r="F212" s="6" t="s">
        <v>1185</v>
      </c>
      <c r="G212" s="6" t="s">
        <v>1184</v>
      </c>
      <c r="H212" s="6" t="s">
        <v>1284</v>
      </c>
      <c r="I212" s="6"/>
      <c r="J212" s="6"/>
      <c r="K212" s="2" t="str">
        <f>IFERROR(__xludf.DUMMYFUNCTION("GOOGLETRANSLATE(A212,""en"",""ur"")"),"211")</f>
        <v>211</v>
      </c>
      <c r="L212" s="2" t="str">
        <f>IFERROR(__xludf.DUMMYFUNCTION("GOOGLETRANSLATE(B212,""en"",""ur"")"),"ملاخرہ_59 میں دکھایا گیا اہم عمل کیا ہے؟")</f>
        <v>ملاخرہ_59 میں دکھایا گیا اہم عمل کیا ہے؟</v>
      </c>
      <c r="M212" s="2" t="str">
        <f>IFERROR(__xludf.DUMMYFUNCTION("GOOGLETRANSLATE(C212,""en"",""ur"")"),"دو آدمی تلواروں سے لڑ رہے ہیں۔")</f>
        <v>دو آدمی تلواروں سے لڑ رہے ہیں۔</v>
      </c>
      <c r="N212" s="2" t="str">
        <f>IFERROR(__xludf.DUMMYFUNCTION("GOOGLETRANSLATE(D212,""en"",""ur"")"),"دو آدمی ناچ رہے ہیں۔")</f>
        <v>دو آدمی ناچ رہے ہیں۔</v>
      </c>
      <c r="O212" s="2" t="str">
        <f>IFERROR(__xludf.DUMMYFUNCTION("GOOGLETRANSLATE(E212,""en"",""ur"")"),"ایک ریسلنگ میچ میں دو آدمی")</f>
        <v>ایک ریسلنگ میچ میں دو آدمی</v>
      </c>
      <c r="P212" s="2" t="str">
        <f>IFERROR(__xludf.DUMMYFUNCTION("GOOGLETRANSLATE(F212,""en"",""ur"")"),"دو آدمی بھاگ رہے ہیں۔")</f>
        <v>دو آدمی بھاگ رہے ہیں۔</v>
      </c>
      <c r="Q212" s="6" t="s">
        <v>1214</v>
      </c>
      <c r="R212" s="6" t="str">
        <f>IFERROR(__xludf.DUMMYFUNCTION("""COMPUTED_VALUE"""),"ایک ریسلنگ میچ میں دو آدمی")</f>
        <v>ایک ریسلنگ میچ میں دو آدمی</v>
      </c>
      <c r="S212" s="6" t="s">
        <v>1284</v>
      </c>
      <c r="T212" s="6"/>
      <c r="U212" s="6"/>
      <c r="V212" s="6"/>
      <c r="W212" s="6"/>
      <c r="X212" s="6"/>
      <c r="Y212" s="6"/>
      <c r="Z212" s="6"/>
      <c r="AA212" s="6"/>
      <c r="AB212" s="6"/>
    </row>
    <row r="213">
      <c r="A213" s="7">
        <v>212.0</v>
      </c>
      <c r="B213" s="6" t="s">
        <v>1215</v>
      </c>
      <c r="C213" s="6" t="s">
        <v>488</v>
      </c>
      <c r="D213" s="6" t="s">
        <v>1216</v>
      </c>
      <c r="E213" s="6" t="s">
        <v>490</v>
      </c>
      <c r="F213" s="6" t="s">
        <v>246</v>
      </c>
      <c r="G213" s="6" t="s">
        <v>1216</v>
      </c>
      <c r="H213" s="6" t="s">
        <v>1284</v>
      </c>
      <c r="I213" s="6"/>
      <c r="J213" s="6"/>
      <c r="K213" s="2" t="str">
        <f>IFERROR(__xludf.DUMMYFUNCTION("GOOGLETRANSLATE(A213,""en"",""ur"")"),"212")</f>
        <v>212</v>
      </c>
      <c r="L213" s="2" t="str">
        <f>IFERROR(__xludf.DUMMYFUNCTION("GOOGLETRANSLATE(B213,""en"",""ur"")"),"پہلوانوں کے لباس کے بارے میں ایک قابل ذکر تفصیل کیا ہے؟")</f>
        <v>پہلوانوں کے لباس کے بارے میں ایک قابل ذکر تفصیل کیا ہے؟</v>
      </c>
      <c r="M213" s="2" t="str">
        <f>IFERROR(__xludf.DUMMYFUNCTION("GOOGLETRANSLATE(C213,""en"",""ur"")"),"انہوں نے بکتر کا پورا سوٹ پہن رکھا ہے۔")</f>
        <v>انہوں نے بکتر کا پورا سوٹ پہن رکھا ہے۔</v>
      </c>
      <c r="N213" s="2" t="str">
        <f>IFERROR(__xludf.DUMMYFUNCTION("GOOGLETRANSLATE(D213,""en"",""ur"")"),"وہ سارونگ یا پیٹرن والا اسکرٹ پہنے ہوئے ہیں۔")</f>
        <v>وہ سارونگ یا پیٹرن والا اسکرٹ پہنے ہوئے ہیں۔</v>
      </c>
      <c r="O213" s="2" t="str">
        <f>IFERROR(__xludf.DUMMYFUNCTION("GOOGLETRANSLATE(E213,""en"",""ur"")"),"انہوں نے شارٹس اور ٹی شرٹ پہن رکھی ہیں۔")</f>
        <v>انہوں نے شارٹس اور ٹی شرٹ پہن رکھی ہیں۔</v>
      </c>
      <c r="P213" s="2" t="str">
        <f>IFERROR(__xludf.DUMMYFUNCTION("GOOGLETRANSLATE(F213,""en"",""ur"")"),"انہوں نے کوئی لباس نہیں پہنا ہوا ہے۔")</f>
        <v>انہوں نے کوئی لباس نہیں پہنا ہوا ہے۔</v>
      </c>
      <c r="Q213" s="6" t="s">
        <v>1217</v>
      </c>
      <c r="R213" s="6" t="str">
        <f>IFERROR(__xludf.DUMMYFUNCTION("""COMPUTED_VALUE"""),"ایک ریسلنگ میچ میں دو آدمی")</f>
        <v>ایک ریسلنگ میچ میں دو آدمی</v>
      </c>
      <c r="S213" s="6" t="s">
        <v>1284</v>
      </c>
      <c r="T213" s="6"/>
      <c r="U213" s="6"/>
      <c r="V213" s="6"/>
      <c r="W213" s="6"/>
      <c r="X213" s="6"/>
      <c r="Y213" s="6"/>
      <c r="Z213" s="6"/>
      <c r="AA213" s="6"/>
      <c r="AB213" s="6"/>
    </row>
    <row r="214">
      <c r="A214" s="7">
        <v>213.0</v>
      </c>
      <c r="B214" s="6" t="s">
        <v>1193</v>
      </c>
      <c r="C214" s="6" t="s">
        <v>1194</v>
      </c>
      <c r="D214" s="6" t="s">
        <v>1195</v>
      </c>
      <c r="E214" s="6" t="s">
        <v>1196</v>
      </c>
      <c r="F214" s="6" t="s">
        <v>1197</v>
      </c>
      <c r="G214" s="6" t="s">
        <v>1196</v>
      </c>
      <c r="H214" s="6" t="s">
        <v>1284</v>
      </c>
      <c r="I214" s="6"/>
      <c r="J214" s="6"/>
      <c r="K214" s="2" t="str">
        <f>IFERROR(__xludf.DUMMYFUNCTION("GOOGLETRANSLATE(A214,""en"",""ur"")"),"213")</f>
        <v>213</v>
      </c>
      <c r="L214" s="2" t="str">
        <f>IFERROR(__xludf.DUMMYFUNCTION("GOOGLETRANSLATE(B214,""en"",""ur"")"),"کشتی کا ظاہری مقصد کیا ہے؟")</f>
        <v>کشتی کا ظاہری مقصد کیا ہے؟</v>
      </c>
      <c r="M214" s="2" t="str">
        <f>IFERROR(__xludf.DUMMYFUNCTION("GOOGLETRANSLATE(C214,""en"",""ur"")"),"ایک رسمی رقص")</f>
        <v>ایک رسمی رقص</v>
      </c>
      <c r="N214" s="2" t="str">
        <f>IFERROR(__xludf.DUMMYFUNCTION("GOOGLETRANSLATE(D214,""en"",""ur"")"),"ایک دوستانہ مظاہرہ")</f>
        <v>ایک دوستانہ مظاہرہ</v>
      </c>
      <c r="O214" s="2" t="str">
        <f>IFERROR(__xludf.DUMMYFUNCTION("GOOGLETRANSLATE(E214,""en"",""ur"")"),"ٹیک ڈاؤن کے ساتھ ایک مسابقتی میچ")</f>
        <v>ٹیک ڈاؤن کے ساتھ ایک مسابقتی میچ</v>
      </c>
      <c r="P214" s="2" t="str">
        <f>IFERROR(__xludf.DUMMYFUNCTION("GOOGLETRANSLATE(F214,""en"",""ur"")"),"ایک پریکٹس سیشن")</f>
        <v>ایک پریکٹس سیشن</v>
      </c>
      <c r="Q214" s="6" t="s">
        <v>1198</v>
      </c>
      <c r="R214" s="6" t="str">
        <f>IFERROR(__xludf.DUMMYFUNCTION("""COMPUTED_VALUE"""),"ایک ریسلنگ میچ میں دو آدمی")</f>
        <v>ایک ریسلنگ میچ میں دو آدمی</v>
      </c>
      <c r="S214" s="6" t="s">
        <v>1284</v>
      </c>
      <c r="T214" s="6"/>
      <c r="U214" s="6"/>
      <c r="V214" s="6"/>
      <c r="W214" s="6"/>
      <c r="X214" s="6"/>
      <c r="Y214" s="6"/>
      <c r="Z214" s="6"/>
      <c r="AA214" s="6"/>
      <c r="AB214" s="6"/>
    </row>
    <row r="215">
      <c r="A215" s="7">
        <v>214.0</v>
      </c>
      <c r="B215" s="6" t="s">
        <v>991</v>
      </c>
      <c r="C215" s="6" t="s">
        <v>422</v>
      </c>
      <c r="D215" s="6" t="s">
        <v>1199</v>
      </c>
      <c r="E215" s="6" t="s">
        <v>424</v>
      </c>
      <c r="F215" s="6" t="s">
        <v>425</v>
      </c>
      <c r="G215" s="6" t="s">
        <v>1199</v>
      </c>
      <c r="H215" s="6" t="s">
        <v>1284</v>
      </c>
      <c r="I215" s="6"/>
      <c r="J215" s="6"/>
      <c r="K215" s="2" t="str">
        <f>IFERROR(__xludf.DUMMYFUNCTION("GOOGLETRANSLATE(A215,""en"",""ur"")"),"214")</f>
        <v>214</v>
      </c>
      <c r="L215" s="2" t="str">
        <f>IFERROR(__xludf.DUMMYFUNCTION("GOOGLETRANSLATE(B215,""en"",""ur"")"),"واقعہ کی ظاہری ترتیب کیا ہے؟")</f>
        <v>واقعہ کی ظاہری ترتیب کیا ہے؟</v>
      </c>
      <c r="M215" s="2" t="str">
        <f>IFERROR(__xludf.DUMMYFUNCTION("GOOGLETRANSLATE(C215,""en"",""ur"")"),"ایک انڈور اسٹیڈیم")</f>
        <v>ایک انڈور اسٹیڈیم</v>
      </c>
      <c r="N215" s="2" t="str">
        <f>IFERROR(__xludf.DUMMYFUNCTION("GOOGLETRANSLATE(D215,""en"",""ur"")"),"ایک دیہی، بیرونی گندگی کا ایک بڑا ہجوم")</f>
        <v>ایک دیہی، بیرونی گندگی کا ایک بڑا ہجوم</v>
      </c>
      <c r="O215" s="2" t="str">
        <f>IFERROR(__xludf.DUMMYFUNCTION("GOOGLETRANSLATE(E215,""en"",""ur"")"),"شہر کی مصروف گلی")</f>
        <v>شہر کی مصروف گلی</v>
      </c>
      <c r="P215" s="2" t="str">
        <f>IFERROR(__xludf.DUMMYFUNCTION("GOOGLETRANSLATE(F215,""en"",""ur"")"),"گھاس کا میدان")</f>
        <v>گھاس کا میدان</v>
      </c>
      <c r="Q215" s="6" t="s">
        <v>1200</v>
      </c>
      <c r="R215" s="6" t="str">
        <f>IFERROR(__xludf.DUMMYFUNCTION("""COMPUTED_VALUE"""),"ایک ریسلنگ میچ میں دو آدمی")</f>
        <v>ایک ریسلنگ میچ میں دو آدمی</v>
      </c>
      <c r="S215" s="6" t="s">
        <v>1284</v>
      </c>
      <c r="T215" s="6"/>
      <c r="U215" s="6"/>
      <c r="V215" s="6"/>
      <c r="W215" s="6"/>
      <c r="X215" s="6"/>
      <c r="Y215" s="6"/>
      <c r="Z215" s="6"/>
      <c r="AA215" s="6"/>
      <c r="AB215" s="6"/>
    </row>
    <row r="216">
      <c r="A216" s="7">
        <v>215.0</v>
      </c>
      <c r="B216" s="6" t="s">
        <v>1201</v>
      </c>
      <c r="C216" s="6" t="s">
        <v>47</v>
      </c>
      <c r="D216" s="6" t="s">
        <v>48</v>
      </c>
      <c r="E216" s="6" t="s">
        <v>49</v>
      </c>
      <c r="F216" s="6" t="s">
        <v>50</v>
      </c>
      <c r="G216" s="6" t="s">
        <v>49</v>
      </c>
      <c r="H216" s="6" t="s">
        <v>1284</v>
      </c>
      <c r="I216" s="6"/>
      <c r="J216" s="6"/>
      <c r="K216" s="2" t="str">
        <f>IFERROR(__xludf.DUMMYFUNCTION("GOOGLETRANSLATE(A216,""en"",""ur"")"),"215")</f>
        <v>215</v>
      </c>
      <c r="L216" s="2" t="str">
        <f>IFERROR(__xludf.DUMMYFUNCTION("GOOGLETRANSLATE(B216,""en"",""ur"")"),"پہلوانوں کے ظاہری جذبات کیا ہیں؟")</f>
        <v>پہلوانوں کے ظاہری جذبات کیا ہیں؟</v>
      </c>
      <c r="M216" s="2" t="str">
        <f>IFERROR(__xludf.DUMMYFUNCTION("GOOGLETRANSLATE(C216,""en"",""ur"")"),"پرسکون اور پر سکون")</f>
        <v>پرسکون اور پر سکون</v>
      </c>
      <c r="N216" s="2" t="str">
        <f>IFERROR(__xludf.DUMMYFUNCTION("GOOGLETRANSLATE(D216,""en"",""ur"")"),"خوف زدہ اور بے چین")</f>
        <v>خوف زدہ اور بے چین</v>
      </c>
      <c r="O216" s="2" t="str">
        <f>IFERROR(__xludf.DUMMYFUNCTION("GOOGLETRANSLATE(E216,""en"",""ur"")"),"کشیدہ اور شدید")</f>
        <v>کشیدہ اور شدید</v>
      </c>
      <c r="P216" s="2" t="str">
        <f>IFERROR(__xludf.DUMMYFUNCTION("GOOGLETRANSLATE(F216,""en"",""ur"")"),"خوش اور مسکراتے ہوئے۔")</f>
        <v>خوش اور مسکراتے ہوئے۔</v>
      </c>
      <c r="Q216" s="6" t="s">
        <v>51</v>
      </c>
      <c r="R216" s="6" t="str">
        <f>IFERROR(__xludf.DUMMYFUNCTION("""COMPUTED_VALUE"""),"ایک ریسلنگ میچ میں دو آدمی")</f>
        <v>ایک ریسلنگ میچ میں دو آدمی</v>
      </c>
      <c r="S216" s="6" t="s">
        <v>1284</v>
      </c>
      <c r="T216" s="6"/>
      <c r="U216" s="6"/>
      <c r="V216" s="6"/>
      <c r="W216" s="6"/>
      <c r="X216" s="6"/>
      <c r="Y216" s="6"/>
      <c r="Z216" s="6"/>
      <c r="AA216" s="6"/>
      <c r="AB216" s="6"/>
    </row>
    <row r="217">
      <c r="A217" s="7">
        <v>216.0</v>
      </c>
      <c r="B217" s="6" t="s">
        <v>1218</v>
      </c>
      <c r="C217" s="6" t="s">
        <v>429</v>
      </c>
      <c r="D217" s="6" t="s">
        <v>430</v>
      </c>
      <c r="E217" s="6" t="s">
        <v>431</v>
      </c>
      <c r="F217" s="6" t="s">
        <v>432</v>
      </c>
      <c r="G217" s="6" t="s">
        <v>430</v>
      </c>
      <c r="H217" s="6" t="s">
        <v>1284</v>
      </c>
      <c r="I217" s="6"/>
      <c r="J217" s="6"/>
      <c r="K217" s="2" t="str">
        <f>IFERROR(__xludf.DUMMYFUNCTION("GOOGLETRANSLATE(A217,""en"",""ur"")"),"216")</f>
        <v>216</v>
      </c>
      <c r="L217" s="2" t="str">
        <f>IFERROR(__xludf.DUMMYFUNCTION("GOOGLETRANSLATE(B217,""en"",""ur"")"),"پہلوانوں کی ظاہری جسمانی پوزیشن کیا ہے؟")</f>
        <v>پہلوانوں کی ظاہری جسمانی پوزیشن کیا ہے؟</v>
      </c>
      <c r="M217" s="2" t="str">
        <f>IFERROR(__xludf.DUMMYFUNCTION("GOOGLETRANSLATE(C217,""en"",""ur"")"),"سیدھا کھڑا ہونا")</f>
        <v>سیدھا کھڑا ہونا</v>
      </c>
      <c r="N217" s="2" t="str">
        <f>IFERROR(__xludf.DUMMYFUNCTION("GOOGLETRANSLATE(D217,""en"",""ur"")"),"کم، متحرک موقف میں")</f>
        <v>کم، متحرک موقف میں</v>
      </c>
      <c r="O217" s="2" t="str">
        <f>IFERROR(__xludf.DUMMYFUNCTION("GOOGLETRANSLATE(E217,""en"",""ur"")"),"زمین پر لیٹنا")</f>
        <v>زمین پر لیٹنا</v>
      </c>
      <c r="P217" s="2" t="str">
        <f>IFERROR(__xludf.DUMMYFUNCTION("GOOGLETRANSLATE(F217,""en"",""ur"")"),"بیٹھا ہوا")</f>
        <v>بیٹھا ہوا</v>
      </c>
      <c r="Q217" s="6" t="s">
        <v>433</v>
      </c>
      <c r="R217" s="6" t="str">
        <f>IFERROR(__xludf.DUMMYFUNCTION("""COMPUTED_VALUE"""),"ایک ریسلنگ میچ میں دو آدمی")</f>
        <v>ایک ریسلنگ میچ میں دو آدمی</v>
      </c>
      <c r="S217" s="6" t="s">
        <v>1284</v>
      </c>
      <c r="T217" s="6"/>
      <c r="U217" s="6"/>
      <c r="V217" s="6"/>
      <c r="W217" s="6"/>
      <c r="X217" s="6"/>
      <c r="Y217" s="6"/>
      <c r="Z217" s="6"/>
      <c r="AA217" s="6"/>
      <c r="AB217" s="6"/>
    </row>
    <row r="218">
      <c r="A218" s="7">
        <v>217.0</v>
      </c>
      <c r="B218" s="6" t="s">
        <v>434</v>
      </c>
      <c r="C218" s="6" t="s">
        <v>435</v>
      </c>
      <c r="D218" s="6" t="s">
        <v>436</v>
      </c>
      <c r="E218" s="6" t="s">
        <v>1203</v>
      </c>
      <c r="F218" s="6" t="s">
        <v>438</v>
      </c>
      <c r="G218" s="6" t="s">
        <v>1203</v>
      </c>
      <c r="H218" s="6" t="s">
        <v>1284</v>
      </c>
      <c r="I218" s="6"/>
      <c r="J218" s="6"/>
      <c r="K218" s="2" t="str">
        <f>IFERROR(__xludf.DUMMYFUNCTION("GOOGLETRANSLATE(A218,""en"",""ur"")"),"217")</f>
        <v>217</v>
      </c>
      <c r="L218" s="2" t="str">
        <f>IFERROR(__xludf.DUMMYFUNCTION("GOOGLETRANSLATE(B218,""en"",""ur"")"),"پس منظر میں ہجوم کی سب سے نمایاں خصوصیت کیا ہے؟")</f>
        <v>پس منظر میں ہجوم کی سب سے نمایاں خصوصیت کیا ہے؟</v>
      </c>
      <c r="M218" s="2" t="str">
        <f>IFERROR(__xludf.DUMMYFUNCTION("GOOGLETRANSLATE(C218,""en"",""ur"")"),"وہ بھاگ رہے ہیں۔")</f>
        <v>وہ بھاگ رہے ہیں۔</v>
      </c>
      <c r="N218" s="2" t="str">
        <f>IFERROR(__xludf.DUMMYFUNCTION("GOOGLETRANSLATE(D218,""en"",""ur"")"),"وہ خاموش بیٹھے ہیں۔")</f>
        <v>وہ خاموش بیٹھے ہیں۔</v>
      </c>
      <c r="O218" s="2" t="str">
        <f>IFERROR(__xludf.DUMMYFUNCTION("GOOGLETRANSLATE(E218,""en"",""ur"")"),"وہ باڑ کے پیچھے سے میچ دیکھ رہے ہیں۔")</f>
        <v>وہ باڑ کے پیچھے سے میچ دیکھ رہے ہیں۔</v>
      </c>
      <c r="P218" s="2" t="str">
        <f>IFERROR(__xludf.DUMMYFUNCTION("GOOGLETRANSLATE(F218,""en"",""ur"")"),"وہ سب ایک اسٹیج پر کھڑے ہیں۔")</f>
        <v>وہ سب ایک اسٹیج پر کھڑے ہیں۔</v>
      </c>
      <c r="Q218" s="6" t="s">
        <v>1204</v>
      </c>
      <c r="R218" s="6" t="str">
        <f>IFERROR(__xludf.DUMMYFUNCTION("""COMPUTED_VALUE"""),"ایک ریسلنگ میچ میں دو آدمی")</f>
        <v>ایک ریسلنگ میچ میں دو آدمی</v>
      </c>
      <c r="S218" s="6" t="s">
        <v>1284</v>
      </c>
      <c r="T218" s="6"/>
      <c r="U218" s="6"/>
      <c r="V218" s="6"/>
      <c r="W218" s="6"/>
      <c r="X218" s="6"/>
      <c r="Y218" s="6"/>
      <c r="Z218" s="6"/>
      <c r="AA218" s="6"/>
      <c r="AB218" s="6"/>
    </row>
    <row r="219">
      <c r="A219" s="7">
        <v>218.0</v>
      </c>
      <c r="B219" s="6" t="s">
        <v>440</v>
      </c>
      <c r="C219" s="6" t="s">
        <v>441</v>
      </c>
      <c r="D219" s="6" t="s">
        <v>442</v>
      </c>
      <c r="E219" s="6" t="s">
        <v>512</v>
      </c>
      <c r="F219" s="6" t="s">
        <v>444</v>
      </c>
      <c r="G219" s="6" t="s">
        <v>512</v>
      </c>
      <c r="H219" s="6" t="s">
        <v>1284</v>
      </c>
      <c r="I219" s="6"/>
      <c r="J219" s="6"/>
      <c r="K219" s="2" t="str">
        <f>IFERROR(__xludf.DUMMYFUNCTION("GOOGLETRANSLATE(A219,""en"",""ur"")"),"218")</f>
        <v>218</v>
      </c>
      <c r="L219" s="2" t="str">
        <f>IFERROR(__xludf.DUMMYFUNCTION("GOOGLETRANSLATE(B219,""en"",""ur"")"),"زمین کی ظاہری حالت کیا ہے؟")</f>
        <v>زمین کی ظاہری حالت کیا ہے؟</v>
      </c>
      <c r="M219" s="2" t="str">
        <f>IFERROR(__xludf.DUMMYFUNCTION("GOOGLETRANSLATE(C219,""en"",""ur"")"),"یہ ایک پکی سطح ہے۔")</f>
        <v>یہ ایک پکی سطح ہے۔</v>
      </c>
      <c r="N219" s="2" t="str">
        <f>IFERROR(__xludf.DUMMYFUNCTION("GOOGLETRANSLATE(D219,""en"",""ur"")"),"یہ ایک کیچڑ والا میدان ہے۔")</f>
        <v>یہ ایک کیچڑ والا میدان ہے۔</v>
      </c>
      <c r="O219" s="2" t="str">
        <f>IFERROR(__xludf.DUMMYFUNCTION("GOOGLETRANSLATE(E219,""en"",""ur"")"),"یہ ایک ریتلی یا گندگی کی سطح ہے۔")</f>
        <v>یہ ایک ریتلی یا گندگی کی سطح ہے۔</v>
      </c>
      <c r="P219" s="2" t="str">
        <f>IFERROR(__xludf.DUMMYFUNCTION("GOOGLETRANSLATE(F219,""en"",""ur"")"),"یہ ایک گھاس والی سطح ہے۔")</f>
        <v>یہ ایک گھاس والی سطح ہے۔</v>
      </c>
      <c r="Q219" s="6" t="s">
        <v>1219</v>
      </c>
      <c r="R219" s="6" t="str">
        <f>IFERROR(__xludf.DUMMYFUNCTION("""COMPUTED_VALUE"""),"ایک ریسلنگ میچ میں دو آدمی")</f>
        <v>ایک ریسلنگ میچ میں دو آدمی</v>
      </c>
      <c r="S219" s="6" t="s">
        <v>1284</v>
      </c>
      <c r="T219" s="6"/>
      <c r="U219" s="6"/>
      <c r="V219" s="6"/>
      <c r="W219" s="6"/>
      <c r="X219" s="6"/>
      <c r="Y219" s="6"/>
      <c r="Z219" s="6"/>
      <c r="AA219" s="6"/>
      <c r="AB219" s="6"/>
    </row>
    <row r="220">
      <c r="A220" s="7">
        <v>219.0</v>
      </c>
      <c r="B220" s="6" t="s">
        <v>1205</v>
      </c>
      <c r="C220" s="6" t="s">
        <v>1206</v>
      </c>
      <c r="D220" s="6" t="s">
        <v>1207</v>
      </c>
      <c r="E220" s="6" t="s">
        <v>1208</v>
      </c>
      <c r="F220" s="6" t="s">
        <v>449</v>
      </c>
      <c r="G220" s="6" t="s">
        <v>1208</v>
      </c>
      <c r="H220" s="6" t="s">
        <v>1284</v>
      </c>
      <c r="I220" s="6"/>
      <c r="J220" s="6"/>
      <c r="K220" s="2" t="str">
        <f>IFERROR(__xludf.DUMMYFUNCTION("GOOGLETRANSLATE(A220,""en"",""ur"")"),"219")</f>
        <v>219</v>
      </c>
      <c r="L220" s="2" t="str">
        <f>IFERROR(__xludf.DUMMYFUNCTION("GOOGLETRANSLATE(B220,""en"",""ur"")"),"لمبی اسکرٹس کا بنیادی مقصد کیا ہے؟")</f>
        <v>لمبی اسکرٹس کا بنیادی مقصد کیا ہے؟</v>
      </c>
      <c r="M220" s="2" t="str">
        <f>IFERROR(__xludf.DUMMYFUNCTION("GOOGLETRANSLATE(C220,""en"",""ur"")"),"پہلوانوں کی ٹانگوں کی حفاظت کے لیے")</f>
        <v>پہلوانوں کی ٹانگوں کی حفاظت کے لیے</v>
      </c>
      <c r="N220" s="2" t="str">
        <f>IFERROR(__xludf.DUMMYFUNCTION("GOOGLETRANSLATE(D220,""en"",""ur"")"),"پہلوانوں کو مزید چست بنانے کے لیے")</f>
        <v>پہلوانوں کو مزید چست بنانے کے لیے</v>
      </c>
      <c r="O220" s="2" t="str">
        <f>IFERROR(__xludf.DUMMYFUNCTION("GOOGLETRANSLATE(E220,""en"",""ur"")"),"روایتی لباس اور لڑائی کے دوران گرفت کے لیے")</f>
        <v>روایتی لباس اور لڑائی کے دوران گرفت کے لیے</v>
      </c>
      <c r="P220" s="2" t="str">
        <f>IFERROR(__xludf.DUMMYFUNCTION("GOOGLETRANSLATE(F220,""en"",""ur"")"),"صرف سجاوٹ کے لیے")</f>
        <v>صرف سجاوٹ کے لیے</v>
      </c>
      <c r="Q220" s="6" t="s">
        <v>1209</v>
      </c>
      <c r="R220" s="6" t="str">
        <f>IFERROR(__xludf.DUMMYFUNCTION("""COMPUTED_VALUE"""),"ایک ریسلنگ میچ میں دو آدمی")</f>
        <v>ایک ریسلنگ میچ میں دو آدمی</v>
      </c>
      <c r="S220" s="6" t="s">
        <v>1284</v>
      </c>
      <c r="T220" s="6"/>
      <c r="U220" s="6"/>
      <c r="V220" s="6"/>
      <c r="W220" s="6"/>
      <c r="X220" s="6"/>
      <c r="Y220" s="6"/>
      <c r="Z220" s="6"/>
      <c r="AA220" s="6"/>
      <c r="AB220" s="6"/>
    </row>
    <row r="221">
      <c r="A221" s="7">
        <v>220.0</v>
      </c>
      <c r="B221" s="6" t="s">
        <v>260</v>
      </c>
      <c r="C221" s="6" t="s">
        <v>261</v>
      </c>
      <c r="D221" s="6" t="s">
        <v>262</v>
      </c>
      <c r="E221" s="6" t="s">
        <v>1210</v>
      </c>
      <c r="F221" s="6" t="s">
        <v>264</v>
      </c>
      <c r="G221" s="6" t="s">
        <v>1210</v>
      </c>
      <c r="H221" s="6" t="s">
        <v>1284</v>
      </c>
      <c r="I221" s="6"/>
      <c r="J221" s="6"/>
      <c r="K221" s="2" t="str">
        <f>IFERROR(__xludf.DUMMYFUNCTION("GOOGLETRANSLATE(A221,""en"",""ur"")"),"220")</f>
        <v>220</v>
      </c>
      <c r="L221" s="2" t="str">
        <f>IFERROR(__xludf.DUMMYFUNCTION("GOOGLETRANSLATE(B221,""en"",""ur"")"),"تصویر میں ایکشن ایک ایسا انداز تجویز کرتا ہے جو اس بات پر زور دیتا ہے...")</f>
        <v>تصویر میں ایکشن ایک ایسا انداز تجویز کرتا ہے جو اس بات پر زور دیتا ہے...</v>
      </c>
      <c r="M221" s="2" t="str">
        <f>IFERROR(__xludf.DUMMYFUNCTION("GOOGLETRANSLATE(C221,""en"",""ur"")"),"روانی اور قلابازیاں")</f>
        <v>روانی اور قلابازیاں</v>
      </c>
      <c r="N221" s="2" t="str">
        <f>IFERROR(__xludf.DUMMYFUNCTION("GOOGLETRANSLATE(D221,""en"",""ur"")"),"زمینی لڑائی اور گرفت")</f>
        <v>زمینی لڑائی اور گرفت</v>
      </c>
      <c r="O221" s="2" t="str">
        <f>IFERROR(__xludf.DUMMYFUNCTION("GOOGLETRANSLATE(E221,""en"",""ur"")"),"وحشیانہ طاقت اور ٹیک ڈاؤن")</f>
        <v>وحشیانہ طاقت اور ٹیک ڈاؤن</v>
      </c>
      <c r="P221" s="2" t="str">
        <f>IFERROR(__xludf.DUMMYFUNCTION("GOOGLETRANSLATE(F221,""en"",""ur"")"),"سادہ، لکیری حرکات")</f>
        <v>سادہ، لکیری حرکات</v>
      </c>
      <c r="Q221" s="6" t="s">
        <v>1211</v>
      </c>
      <c r="R221" s="6" t="str">
        <f>IFERROR(__xludf.DUMMYFUNCTION("""COMPUTED_VALUE"""),"ایک ریسلنگ میچ میں دو آدمی")</f>
        <v>ایک ریسلنگ میچ میں دو آدمی</v>
      </c>
      <c r="S221" s="6" t="s">
        <v>1284</v>
      </c>
      <c r="T221" s="6"/>
      <c r="U221" s="6"/>
      <c r="V221" s="6"/>
      <c r="W221" s="6"/>
      <c r="X221" s="6"/>
      <c r="Y221" s="6"/>
      <c r="Z221" s="6"/>
      <c r="AA221" s="6"/>
      <c r="AB221" s="6"/>
    </row>
    <row r="222">
      <c r="A222" s="7">
        <v>221.0</v>
      </c>
      <c r="B222" s="6" t="s">
        <v>1285</v>
      </c>
      <c r="C222" s="6" t="s">
        <v>405</v>
      </c>
      <c r="D222" s="6" t="s">
        <v>406</v>
      </c>
      <c r="E222" s="6" t="s">
        <v>1184</v>
      </c>
      <c r="F222" s="6" t="s">
        <v>1185</v>
      </c>
      <c r="G222" s="6" t="s">
        <v>1184</v>
      </c>
      <c r="H222" s="6" t="s">
        <v>1286</v>
      </c>
      <c r="I222" s="6"/>
      <c r="J222" s="6"/>
      <c r="K222" s="2" t="str">
        <f>IFERROR(__xludf.DUMMYFUNCTION("GOOGLETRANSLATE(A222,""en"",""ur"")"),"221")</f>
        <v>221</v>
      </c>
      <c r="L222" s="2" t="str">
        <f>IFERROR(__xludf.DUMMYFUNCTION("GOOGLETRANSLATE(B222,""en"",""ur"")"),"ملاخرہ_46 میں مرکزی عمل کیا دکھایا گیا ہے؟")</f>
        <v>ملاخرہ_46 میں مرکزی عمل کیا دکھایا گیا ہے؟</v>
      </c>
      <c r="M222" s="2" t="str">
        <f>IFERROR(__xludf.DUMMYFUNCTION("GOOGLETRANSLATE(C222,""en"",""ur"")"),"دو آدمی تلواروں سے لڑ رہے ہیں۔")</f>
        <v>دو آدمی تلواروں سے لڑ رہے ہیں۔</v>
      </c>
      <c r="N222" s="2" t="str">
        <f>IFERROR(__xludf.DUMMYFUNCTION("GOOGLETRANSLATE(D222,""en"",""ur"")"),"دو آدمی ناچ رہے ہیں۔")</f>
        <v>دو آدمی ناچ رہے ہیں۔</v>
      </c>
      <c r="O222" s="2" t="str">
        <f>IFERROR(__xludf.DUMMYFUNCTION("GOOGLETRANSLATE(E222,""en"",""ur"")"),"ایک ریسلنگ میچ میں دو آدمی")</f>
        <v>ایک ریسلنگ میچ میں دو آدمی</v>
      </c>
      <c r="P222" s="2" t="str">
        <f>IFERROR(__xludf.DUMMYFUNCTION("GOOGLETRANSLATE(F222,""en"",""ur"")"),"دو آدمی بھاگ رہے ہیں۔")</f>
        <v>دو آدمی بھاگ رہے ہیں۔</v>
      </c>
      <c r="Q222" s="6" t="s">
        <v>1214</v>
      </c>
      <c r="R222" s="6" t="str">
        <f>IFERROR(__xludf.DUMMYFUNCTION("""COMPUTED_VALUE"""),"ایک ریسلنگ میچ میں دو آدمی")</f>
        <v>ایک ریسلنگ میچ میں دو آدمی</v>
      </c>
      <c r="S222" s="6" t="s">
        <v>1286</v>
      </c>
      <c r="T222" s="6"/>
      <c r="U222" s="6"/>
      <c r="V222" s="6"/>
      <c r="W222" s="6"/>
      <c r="X222" s="6"/>
      <c r="Y222" s="6"/>
      <c r="Z222" s="6"/>
      <c r="AA222" s="6"/>
      <c r="AB222" s="6"/>
    </row>
    <row r="223">
      <c r="A223" s="7">
        <v>222.0</v>
      </c>
      <c r="B223" s="6" t="s">
        <v>1215</v>
      </c>
      <c r="C223" s="6" t="s">
        <v>488</v>
      </c>
      <c r="D223" s="6" t="s">
        <v>1216</v>
      </c>
      <c r="E223" s="6" t="s">
        <v>490</v>
      </c>
      <c r="F223" s="6" t="s">
        <v>246</v>
      </c>
      <c r="G223" s="6" t="s">
        <v>1216</v>
      </c>
      <c r="H223" s="6" t="s">
        <v>1286</v>
      </c>
      <c r="I223" s="6"/>
      <c r="J223" s="6"/>
      <c r="K223" s="2" t="str">
        <f>IFERROR(__xludf.DUMMYFUNCTION("GOOGLETRANSLATE(A223,""en"",""ur"")"),"222")</f>
        <v>222</v>
      </c>
      <c r="L223" s="2" t="str">
        <f>IFERROR(__xludf.DUMMYFUNCTION("GOOGLETRANSLATE(B223,""en"",""ur"")"),"پہلوانوں کے لباس کے بارے میں ایک قابل ذکر تفصیل کیا ہے؟")</f>
        <v>پہلوانوں کے لباس کے بارے میں ایک قابل ذکر تفصیل کیا ہے؟</v>
      </c>
      <c r="M223" s="2" t="str">
        <f>IFERROR(__xludf.DUMMYFUNCTION("GOOGLETRANSLATE(C223,""en"",""ur"")"),"انہوں نے بکتر کا پورا سوٹ پہن رکھا ہے۔")</f>
        <v>انہوں نے بکتر کا پورا سوٹ پہن رکھا ہے۔</v>
      </c>
      <c r="N223" s="2" t="str">
        <f>IFERROR(__xludf.DUMMYFUNCTION("GOOGLETRANSLATE(D223,""en"",""ur"")"),"وہ سارونگ یا پیٹرن والا اسکرٹ پہنے ہوئے ہیں۔")</f>
        <v>وہ سارونگ یا پیٹرن والا اسکرٹ پہنے ہوئے ہیں۔</v>
      </c>
      <c r="O223" s="2" t="str">
        <f>IFERROR(__xludf.DUMMYFUNCTION("GOOGLETRANSLATE(E223,""en"",""ur"")"),"انہوں نے شارٹس اور ٹی شرٹ پہن رکھی ہیں۔")</f>
        <v>انہوں نے شارٹس اور ٹی شرٹ پہن رکھی ہیں۔</v>
      </c>
      <c r="P223" s="2" t="str">
        <f>IFERROR(__xludf.DUMMYFUNCTION("GOOGLETRANSLATE(F223,""en"",""ur"")"),"انہوں نے کوئی لباس نہیں پہنا ہوا ہے۔")</f>
        <v>انہوں نے کوئی لباس نہیں پہنا ہوا ہے۔</v>
      </c>
      <c r="Q223" s="6" t="s">
        <v>1217</v>
      </c>
      <c r="R223" s="6" t="str">
        <f>IFERROR(__xludf.DUMMYFUNCTION("""COMPUTED_VALUE"""),"ایک ریسلنگ میچ میں دو آدمی")</f>
        <v>ایک ریسلنگ میچ میں دو آدمی</v>
      </c>
      <c r="S223" s="6" t="s">
        <v>1286</v>
      </c>
      <c r="T223" s="6"/>
      <c r="U223" s="6"/>
      <c r="V223" s="6"/>
      <c r="W223" s="6"/>
      <c r="X223" s="6"/>
      <c r="Y223" s="6"/>
      <c r="Z223" s="6"/>
      <c r="AA223" s="6"/>
      <c r="AB223" s="6"/>
    </row>
    <row r="224">
      <c r="A224" s="7">
        <v>223.0</v>
      </c>
      <c r="B224" s="6" t="s">
        <v>1193</v>
      </c>
      <c r="C224" s="6" t="s">
        <v>1194</v>
      </c>
      <c r="D224" s="6" t="s">
        <v>1195</v>
      </c>
      <c r="E224" s="6" t="s">
        <v>1196</v>
      </c>
      <c r="F224" s="6" t="s">
        <v>1197</v>
      </c>
      <c r="G224" s="6" t="s">
        <v>1196</v>
      </c>
      <c r="H224" s="6" t="s">
        <v>1286</v>
      </c>
      <c r="I224" s="6"/>
      <c r="J224" s="6"/>
      <c r="K224" s="2" t="str">
        <f>IFERROR(__xludf.DUMMYFUNCTION("GOOGLETRANSLATE(A224,""en"",""ur"")"),"223")</f>
        <v>223</v>
      </c>
      <c r="L224" s="2" t="str">
        <f>IFERROR(__xludf.DUMMYFUNCTION("GOOGLETRANSLATE(B224,""en"",""ur"")"),"کشتی کا ظاہری مقصد کیا ہے؟")</f>
        <v>کشتی کا ظاہری مقصد کیا ہے؟</v>
      </c>
      <c r="M224" s="2" t="str">
        <f>IFERROR(__xludf.DUMMYFUNCTION("GOOGLETRANSLATE(C224,""en"",""ur"")"),"ایک رسمی رقص")</f>
        <v>ایک رسمی رقص</v>
      </c>
      <c r="N224" s="2" t="str">
        <f>IFERROR(__xludf.DUMMYFUNCTION("GOOGLETRANSLATE(D224,""en"",""ur"")"),"ایک دوستانہ مظاہرہ")</f>
        <v>ایک دوستانہ مظاہرہ</v>
      </c>
      <c r="O224" s="2" t="str">
        <f>IFERROR(__xludf.DUMMYFUNCTION("GOOGLETRANSLATE(E224,""en"",""ur"")"),"ٹیک ڈاؤن کے ساتھ ایک مسابقتی میچ")</f>
        <v>ٹیک ڈاؤن کے ساتھ ایک مسابقتی میچ</v>
      </c>
      <c r="P224" s="2" t="str">
        <f>IFERROR(__xludf.DUMMYFUNCTION("GOOGLETRANSLATE(F224,""en"",""ur"")"),"ایک پریکٹس سیشن")</f>
        <v>ایک پریکٹس سیشن</v>
      </c>
      <c r="Q224" s="6" t="s">
        <v>1198</v>
      </c>
      <c r="R224" s="6" t="str">
        <f>IFERROR(__xludf.DUMMYFUNCTION("""COMPUTED_VALUE"""),"ایک ریسلنگ میچ میں دو آدمی")</f>
        <v>ایک ریسلنگ میچ میں دو آدمی</v>
      </c>
      <c r="S224" s="6" t="s">
        <v>1286</v>
      </c>
      <c r="T224" s="6"/>
      <c r="U224" s="6"/>
      <c r="V224" s="6"/>
      <c r="W224" s="6"/>
      <c r="X224" s="6"/>
      <c r="Y224" s="6"/>
      <c r="Z224" s="6"/>
      <c r="AA224" s="6"/>
      <c r="AB224" s="6"/>
    </row>
    <row r="225">
      <c r="A225" s="7">
        <v>224.0</v>
      </c>
      <c r="B225" s="6" t="s">
        <v>991</v>
      </c>
      <c r="C225" s="6" t="s">
        <v>422</v>
      </c>
      <c r="D225" s="6" t="s">
        <v>1199</v>
      </c>
      <c r="E225" s="6" t="s">
        <v>424</v>
      </c>
      <c r="F225" s="6" t="s">
        <v>425</v>
      </c>
      <c r="G225" s="6" t="s">
        <v>1199</v>
      </c>
      <c r="H225" s="6" t="s">
        <v>1286</v>
      </c>
      <c r="I225" s="6"/>
      <c r="J225" s="6"/>
      <c r="K225" s="2" t="str">
        <f>IFERROR(__xludf.DUMMYFUNCTION("GOOGLETRANSLATE(A225,""en"",""ur"")"),"224")</f>
        <v>224</v>
      </c>
      <c r="L225" s="2" t="str">
        <f>IFERROR(__xludf.DUMMYFUNCTION("GOOGLETRANSLATE(B225,""en"",""ur"")"),"واقعہ کی ظاہری ترتیب کیا ہے؟")</f>
        <v>واقعہ کی ظاہری ترتیب کیا ہے؟</v>
      </c>
      <c r="M225" s="2" t="str">
        <f>IFERROR(__xludf.DUMMYFUNCTION("GOOGLETRANSLATE(C225,""en"",""ur"")"),"ایک انڈور اسٹیڈیم")</f>
        <v>ایک انڈور اسٹیڈیم</v>
      </c>
      <c r="N225" s="2" t="str">
        <f>IFERROR(__xludf.DUMMYFUNCTION("GOOGLETRANSLATE(D225,""en"",""ur"")"),"ایک دیہی، بیرونی گندگی کا ایک بڑا ہجوم")</f>
        <v>ایک دیہی، بیرونی گندگی کا ایک بڑا ہجوم</v>
      </c>
      <c r="O225" s="2" t="str">
        <f>IFERROR(__xludf.DUMMYFUNCTION("GOOGLETRANSLATE(E225,""en"",""ur"")"),"شہر کی مصروف گلی")</f>
        <v>شہر کی مصروف گلی</v>
      </c>
      <c r="P225" s="2" t="str">
        <f>IFERROR(__xludf.DUMMYFUNCTION("GOOGLETRANSLATE(F225,""en"",""ur"")"),"گھاس کا میدان")</f>
        <v>گھاس کا میدان</v>
      </c>
      <c r="Q225" s="6" t="s">
        <v>1200</v>
      </c>
      <c r="R225" s="6" t="str">
        <f>IFERROR(__xludf.DUMMYFUNCTION("""COMPUTED_VALUE"""),"ایک ریسلنگ میچ میں دو آدمی")</f>
        <v>ایک ریسلنگ میچ میں دو آدمی</v>
      </c>
      <c r="S225" s="6" t="s">
        <v>1286</v>
      </c>
      <c r="T225" s="6"/>
      <c r="U225" s="6"/>
      <c r="V225" s="6"/>
      <c r="W225" s="6"/>
      <c r="X225" s="6"/>
      <c r="Y225" s="6"/>
      <c r="Z225" s="6"/>
      <c r="AA225" s="6"/>
      <c r="AB225" s="6"/>
    </row>
    <row r="226">
      <c r="A226" s="7">
        <v>225.0</v>
      </c>
      <c r="B226" s="6" t="s">
        <v>1201</v>
      </c>
      <c r="C226" s="6" t="s">
        <v>47</v>
      </c>
      <c r="D226" s="6" t="s">
        <v>48</v>
      </c>
      <c r="E226" s="6" t="s">
        <v>49</v>
      </c>
      <c r="F226" s="6" t="s">
        <v>50</v>
      </c>
      <c r="G226" s="6" t="s">
        <v>49</v>
      </c>
      <c r="H226" s="6" t="s">
        <v>1286</v>
      </c>
      <c r="I226" s="6"/>
      <c r="J226" s="6"/>
      <c r="K226" s="2" t="str">
        <f>IFERROR(__xludf.DUMMYFUNCTION("GOOGLETRANSLATE(A226,""en"",""ur"")"),"225")</f>
        <v>225</v>
      </c>
      <c r="L226" s="2" t="str">
        <f>IFERROR(__xludf.DUMMYFUNCTION("GOOGLETRANSLATE(B226,""en"",""ur"")"),"پہلوانوں کے ظاہری جذبات کیا ہیں؟")</f>
        <v>پہلوانوں کے ظاہری جذبات کیا ہیں؟</v>
      </c>
      <c r="M226" s="2" t="str">
        <f>IFERROR(__xludf.DUMMYFUNCTION("GOOGLETRANSLATE(C226,""en"",""ur"")"),"پرسکون اور پر سکون")</f>
        <v>پرسکون اور پر سکون</v>
      </c>
      <c r="N226" s="2" t="str">
        <f>IFERROR(__xludf.DUMMYFUNCTION("GOOGLETRANSLATE(D226,""en"",""ur"")"),"خوف زدہ اور بے چین")</f>
        <v>خوف زدہ اور بے چین</v>
      </c>
      <c r="O226" s="2" t="str">
        <f>IFERROR(__xludf.DUMMYFUNCTION("GOOGLETRANSLATE(E226,""en"",""ur"")"),"کشیدہ اور شدید")</f>
        <v>کشیدہ اور شدید</v>
      </c>
      <c r="P226" s="2" t="str">
        <f>IFERROR(__xludf.DUMMYFUNCTION("GOOGLETRANSLATE(F226,""en"",""ur"")"),"خوش اور مسکراتے ہوئے۔")</f>
        <v>خوش اور مسکراتے ہوئے۔</v>
      </c>
      <c r="Q226" s="6" t="s">
        <v>51</v>
      </c>
      <c r="R226" s="6" t="str">
        <f>IFERROR(__xludf.DUMMYFUNCTION("""COMPUTED_VALUE"""),"ایک ریسلنگ میچ میں دو آدمی")</f>
        <v>ایک ریسلنگ میچ میں دو آدمی</v>
      </c>
      <c r="S226" s="6" t="s">
        <v>1286</v>
      </c>
      <c r="T226" s="6"/>
      <c r="U226" s="6"/>
      <c r="V226" s="6"/>
      <c r="W226" s="6"/>
      <c r="X226" s="6"/>
      <c r="Y226" s="6"/>
      <c r="Z226" s="6"/>
      <c r="AA226" s="6"/>
      <c r="AB226" s="6"/>
    </row>
    <row r="227">
      <c r="A227" s="7">
        <v>226.0</v>
      </c>
      <c r="B227" s="6" t="s">
        <v>1218</v>
      </c>
      <c r="C227" s="6" t="s">
        <v>429</v>
      </c>
      <c r="D227" s="6" t="s">
        <v>430</v>
      </c>
      <c r="E227" s="6" t="s">
        <v>431</v>
      </c>
      <c r="F227" s="6" t="s">
        <v>432</v>
      </c>
      <c r="G227" s="6" t="s">
        <v>430</v>
      </c>
      <c r="H227" s="6" t="s">
        <v>1286</v>
      </c>
      <c r="I227" s="6"/>
      <c r="J227" s="6"/>
      <c r="K227" s="2" t="str">
        <f>IFERROR(__xludf.DUMMYFUNCTION("GOOGLETRANSLATE(A227,""en"",""ur"")"),"226")</f>
        <v>226</v>
      </c>
      <c r="L227" s="2" t="str">
        <f>IFERROR(__xludf.DUMMYFUNCTION("GOOGLETRANSLATE(B227,""en"",""ur"")"),"پہلوانوں کی ظاہری جسمانی پوزیشن کیا ہے؟")</f>
        <v>پہلوانوں کی ظاہری جسمانی پوزیشن کیا ہے؟</v>
      </c>
      <c r="M227" s="2" t="str">
        <f>IFERROR(__xludf.DUMMYFUNCTION("GOOGLETRANSLATE(C227,""en"",""ur"")"),"سیدھا کھڑا ہونا")</f>
        <v>سیدھا کھڑا ہونا</v>
      </c>
      <c r="N227" s="2" t="str">
        <f>IFERROR(__xludf.DUMMYFUNCTION("GOOGLETRANSLATE(D227,""en"",""ur"")"),"کم، متحرک موقف میں")</f>
        <v>کم، متحرک موقف میں</v>
      </c>
      <c r="O227" s="2" t="str">
        <f>IFERROR(__xludf.DUMMYFUNCTION("GOOGLETRANSLATE(E227,""en"",""ur"")"),"زمین پر لیٹنا")</f>
        <v>زمین پر لیٹنا</v>
      </c>
      <c r="P227" s="2" t="str">
        <f>IFERROR(__xludf.DUMMYFUNCTION("GOOGLETRANSLATE(F227,""en"",""ur"")"),"بیٹھا ہوا")</f>
        <v>بیٹھا ہوا</v>
      </c>
      <c r="Q227" s="6" t="s">
        <v>433</v>
      </c>
      <c r="R227" s="6" t="str">
        <f>IFERROR(__xludf.DUMMYFUNCTION("""COMPUTED_VALUE"""),"ایک ریسلنگ میچ میں دو آدمی")</f>
        <v>ایک ریسلنگ میچ میں دو آدمی</v>
      </c>
      <c r="S227" s="6" t="s">
        <v>1286</v>
      </c>
      <c r="T227" s="6"/>
      <c r="U227" s="6"/>
      <c r="V227" s="6"/>
      <c r="W227" s="6"/>
      <c r="X227" s="6"/>
      <c r="Y227" s="6"/>
      <c r="Z227" s="6"/>
      <c r="AA227" s="6"/>
      <c r="AB227" s="6"/>
    </row>
    <row r="228">
      <c r="A228" s="7">
        <v>227.0</v>
      </c>
      <c r="B228" s="6" t="s">
        <v>434</v>
      </c>
      <c r="C228" s="6" t="s">
        <v>435</v>
      </c>
      <c r="D228" s="6" t="s">
        <v>436</v>
      </c>
      <c r="E228" s="6" t="s">
        <v>1203</v>
      </c>
      <c r="F228" s="6" t="s">
        <v>438</v>
      </c>
      <c r="G228" s="6" t="s">
        <v>1203</v>
      </c>
      <c r="H228" s="6" t="s">
        <v>1286</v>
      </c>
      <c r="I228" s="6"/>
      <c r="J228" s="6"/>
      <c r="K228" s="2" t="str">
        <f>IFERROR(__xludf.DUMMYFUNCTION("GOOGLETRANSLATE(A228,""en"",""ur"")"),"227")</f>
        <v>227</v>
      </c>
      <c r="L228" s="2" t="str">
        <f>IFERROR(__xludf.DUMMYFUNCTION("GOOGLETRANSLATE(B228,""en"",""ur"")"),"پس منظر میں ہجوم کی سب سے نمایاں خصوصیت کیا ہے؟")</f>
        <v>پس منظر میں ہجوم کی سب سے نمایاں خصوصیت کیا ہے؟</v>
      </c>
      <c r="M228" s="2" t="str">
        <f>IFERROR(__xludf.DUMMYFUNCTION("GOOGLETRANSLATE(C228,""en"",""ur"")"),"وہ بھاگ رہے ہیں۔")</f>
        <v>وہ بھاگ رہے ہیں۔</v>
      </c>
      <c r="N228" s="2" t="str">
        <f>IFERROR(__xludf.DUMMYFUNCTION("GOOGLETRANSLATE(D228,""en"",""ur"")"),"وہ خاموش بیٹھے ہیں۔")</f>
        <v>وہ خاموش بیٹھے ہیں۔</v>
      </c>
      <c r="O228" s="2" t="str">
        <f>IFERROR(__xludf.DUMMYFUNCTION("GOOGLETRANSLATE(E228,""en"",""ur"")"),"وہ باڑ کے پیچھے سے میچ دیکھ رہے ہیں۔")</f>
        <v>وہ باڑ کے پیچھے سے میچ دیکھ رہے ہیں۔</v>
      </c>
      <c r="P228" s="2" t="str">
        <f>IFERROR(__xludf.DUMMYFUNCTION("GOOGLETRANSLATE(F228,""en"",""ur"")"),"وہ سب ایک اسٹیج پر کھڑے ہیں۔")</f>
        <v>وہ سب ایک اسٹیج پر کھڑے ہیں۔</v>
      </c>
      <c r="Q228" s="6" t="s">
        <v>1204</v>
      </c>
      <c r="R228" s="6" t="str">
        <f>IFERROR(__xludf.DUMMYFUNCTION("""COMPUTED_VALUE"""),"ایک ریسلنگ میچ میں دو آدمی")</f>
        <v>ایک ریسلنگ میچ میں دو آدمی</v>
      </c>
      <c r="S228" s="6" t="s">
        <v>1286</v>
      </c>
      <c r="T228" s="6"/>
      <c r="U228" s="6"/>
      <c r="V228" s="6"/>
      <c r="W228" s="6"/>
      <c r="X228" s="6"/>
      <c r="Y228" s="6"/>
      <c r="Z228" s="6"/>
      <c r="AA228" s="6"/>
      <c r="AB228" s="6"/>
    </row>
    <row r="229">
      <c r="A229" s="7">
        <v>228.0</v>
      </c>
      <c r="B229" s="6" t="s">
        <v>440</v>
      </c>
      <c r="C229" s="6" t="s">
        <v>441</v>
      </c>
      <c r="D229" s="6" t="s">
        <v>442</v>
      </c>
      <c r="E229" s="6" t="s">
        <v>512</v>
      </c>
      <c r="F229" s="6" t="s">
        <v>444</v>
      </c>
      <c r="G229" s="6" t="s">
        <v>512</v>
      </c>
      <c r="H229" s="6" t="s">
        <v>1286</v>
      </c>
      <c r="I229" s="6"/>
      <c r="J229" s="6"/>
      <c r="K229" s="2" t="str">
        <f>IFERROR(__xludf.DUMMYFUNCTION("GOOGLETRANSLATE(A229,""en"",""ur"")"),"228")</f>
        <v>228</v>
      </c>
      <c r="L229" s="2" t="str">
        <f>IFERROR(__xludf.DUMMYFUNCTION("GOOGLETRANSLATE(B229,""en"",""ur"")"),"زمین کی ظاہری حالت کیا ہے؟")</f>
        <v>زمین کی ظاہری حالت کیا ہے؟</v>
      </c>
      <c r="M229" s="2" t="str">
        <f>IFERROR(__xludf.DUMMYFUNCTION("GOOGLETRANSLATE(C229,""en"",""ur"")"),"یہ ایک پکی سطح ہے۔")</f>
        <v>یہ ایک پکی سطح ہے۔</v>
      </c>
      <c r="N229" s="2" t="str">
        <f>IFERROR(__xludf.DUMMYFUNCTION("GOOGLETRANSLATE(D229,""en"",""ur"")"),"یہ ایک کیچڑ والا میدان ہے۔")</f>
        <v>یہ ایک کیچڑ والا میدان ہے۔</v>
      </c>
      <c r="O229" s="2" t="str">
        <f>IFERROR(__xludf.DUMMYFUNCTION("GOOGLETRANSLATE(E229,""en"",""ur"")"),"یہ ایک ریتلی یا گندگی کی سطح ہے۔")</f>
        <v>یہ ایک ریتلی یا گندگی کی سطح ہے۔</v>
      </c>
      <c r="P229" s="2" t="str">
        <f>IFERROR(__xludf.DUMMYFUNCTION("GOOGLETRANSLATE(F229,""en"",""ur"")"),"یہ ایک گھاس والی سطح ہے۔")</f>
        <v>یہ ایک گھاس والی سطح ہے۔</v>
      </c>
      <c r="Q229" s="6" t="s">
        <v>1219</v>
      </c>
      <c r="R229" s="6" t="str">
        <f>IFERROR(__xludf.DUMMYFUNCTION("""COMPUTED_VALUE"""),"ایک ریسلنگ میچ میں دو آدمی")</f>
        <v>ایک ریسلنگ میچ میں دو آدمی</v>
      </c>
      <c r="S229" s="6" t="s">
        <v>1286</v>
      </c>
      <c r="T229" s="6"/>
      <c r="U229" s="6"/>
      <c r="V229" s="6"/>
      <c r="W229" s="6"/>
      <c r="X229" s="6"/>
      <c r="Y229" s="6"/>
      <c r="Z229" s="6"/>
      <c r="AA229" s="6"/>
      <c r="AB229" s="6"/>
    </row>
    <row r="230">
      <c r="A230" s="7">
        <v>229.0</v>
      </c>
      <c r="B230" s="6" t="s">
        <v>1205</v>
      </c>
      <c r="C230" s="6" t="s">
        <v>1206</v>
      </c>
      <c r="D230" s="6" t="s">
        <v>1207</v>
      </c>
      <c r="E230" s="6" t="s">
        <v>1208</v>
      </c>
      <c r="F230" s="6" t="s">
        <v>449</v>
      </c>
      <c r="G230" s="6" t="s">
        <v>1208</v>
      </c>
      <c r="H230" s="6" t="s">
        <v>1286</v>
      </c>
      <c r="I230" s="6"/>
      <c r="J230" s="6"/>
      <c r="K230" s="2" t="str">
        <f>IFERROR(__xludf.DUMMYFUNCTION("GOOGLETRANSLATE(A230,""en"",""ur"")"),"229")</f>
        <v>229</v>
      </c>
      <c r="L230" s="2" t="str">
        <f>IFERROR(__xludf.DUMMYFUNCTION("GOOGLETRANSLATE(B230,""en"",""ur"")"),"لمبی اسکرٹس کا بنیادی مقصد کیا ہے؟")</f>
        <v>لمبی اسکرٹس کا بنیادی مقصد کیا ہے؟</v>
      </c>
      <c r="M230" s="2" t="str">
        <f>IFERROR(__xludf.DUMMYFUNCTION("GOOGLETRANSLATE(C230,""en"",""ur"")"),"پہلوانوں کی ٹانگوں کی حفاظت کے لیے")</f>
        <v>پہلوانوں کی ٹانگوں کی حفاظت کے لیے</v>
      </c>
      <c r="N230" s="2" t="str">
        <f>IFERROR(__xludf.DUMMYFUNCTION("GOOGLETRANSLATE(D230,""en"",""ur"")"),"پہلوانوں کو مزید چست بنانے کے لیے")</f>
        <v>پہلوانوں کو مزید چست بنانے کے لیے</v>
      </c>
      <c r="O230" s="2" t="str">
        <f>IFERROR(__xludf.DUMMYFUNCTION("GOOGLETRANSLATE(E230,""en"",""ur"")"),"روایتی لباس اور لڑائی کے دوران گرفت کے لیے")</f>
        <v>روایتی لباس اور لڑائی کے دوران گرفت کے لیے</v>
      </c>
      <c r="P230" s="2" t="str">
        <f>IFERROR(__xludf.DUMMYFUNCTION("GOOGLETRANSLATE(F230,""en"",""ur"")"),"صرف سجاوٹ کے لیے")</f>
        <v>صرف سجاوٹ کے لیے</v>
      </c>
      <c r="Q230" s="6" t="s">
        <v>1209</v>
      </c>
      <c r="R230" s="6" t="str">
        <f>IFERROR(__xludf.DUMMYFUNCTION("""COMPUTED_VALUE"""),"ایک ریسلنگ میچ میں دو آدمی")</f>
        <v>ایک ریسلنگ میچ میں دو آدمی</v>
      </c>
      <c r="S230" s="6" t="s">
        <v>1286</v>
      </c>
      <c r="T230" s="6"/>
      <c r="U230" s="6"/>
      <c r="V230" s="6"/>
      <c r="W230" s="6"/>
      <c r="X230" s="6"/>
      <c r="Y230" s="6"/>
      <c r="Z230" s="6"/>
      <c r="AA230" s="6"/>
      <c r="AB230" s="6"/>
    </row>
    <row r="231">
      <c r="A231" s="7">
        <v>230.0</v>
      </c>
      <c r="B231" s="6" t="s">
        <v>260</v>
      </c>
      <c r="C231" s="6" t="s">
        <v>261</v>
      </c>
      <c r="D231" s="6" t="s">
        <v>262</v>
      </c>
      <c r="E231" s="6" t="s">
        <v>1210</v>
      </c>
      <c r="F231" s="6" t="s">
        <v>264</v>
      </c>
      <c r="G231" s="6" t="s">
        <v>1210</v>
      </c>
      <c r="H231" s="6" t="s">
        <v>1286</v>
      </c>
      <c r="I231" s="6"/>
      <c r="J231" s="6"/>
      <c r="K231" s="2" t="str">
        <f>IFERROR(__xludf.DUMMYFUNCTION("GOOGLETRANSLATE(A231,""en"",""ur"")"),"230")</f>
        <v>230</v>
      </c>
      <c r="L231" s="2" t="str">
        <f>IFERROR(__xludf.DUMMYFUNCTION("GOOGLETRANSLATE(B231,""en"",""ur"")"),"تصویر میں ایکشن ایک ایسا انداز تجویز کرتا ہے جو اس بات پر زور دیتا ہے...")</f>
        <v>تصویر میں ایکشن ایک ایسا انداز تجویز کرتا ہے جو اس بات پر زور دیتا ہے...</v>
      </c>
      <c r="M231" s="2" t="str">
        <f>IFERROR(__xludf.DUMMYFUNCTION("GOOGLETRANSLATE(C231,""en"",""ur"")"),"روانی اور قلابازیاں")</f>
        <v>روانی اور قلابازیاں</v>
      </c>
      <c r="N231" s="2" t="str">
        <f>IFERROR(__xludf.DUMMYFUNCTION("GOOGLETRANSLATE(D231,""en"",""ur"")"),"زمینی لڑائی اور گرفت")</f>
        <v>زمینی لڑائی اور گرفت</v>
      </c>
      <c r="O231" s="2" t="str">
        <f>IFERROR(__xludf.DUMMYFUNCTION("GOOGLETRANSLATE(E231,""en"",""ur"")"),"وحشیانہ طاقت اور ٹیک ڈاؤن")</f>
        <v>وحشیانہ طاقت اور ٹیک ڈاؤن</v>
      </c>
      <c r="P231" s="2" t="str">
        <f>IFERROR(__xludf.DUMMYFUNCTION("GOOGLETRANSLATE(F231,""en"",""ur"")"),"سادہ، لکیری حرکات")</f>
        <v>سادہ، لکیری حرکات</v>
      </c>
      <c r="Q231" s="6" t="s">
        <v>1211</v>
      </c>
      <c r="R231" s="6" t="str">
        <f>IFERROR(__xludf.DUMMYFUNCTION("""COMPUTED_VALUE"""),"ایک ریسلنگ میچ میں دو آدمی")</f>
        <v>ایک ریسلنگ میچ میں دو آدمی</v>
      </c>
      <c r="S231" s="6" t="s">
        <v>1286</v>
      </c>
      <c r="T231" s="6"/>
      <c r="U231" s="6"/>
      <c r="V231" s="6"/>
      <c r="W231" s="6"/>
      <c r="X231" s="6"/>
      <c r="Y231" s="6"/>
      <c r="Z231" s="6"/>
      <c r="AA231" s="6"/>
      <c r="AB231" s="6"/>
    </row>
    <row r="232">
      <c r="A232" s="7">
        <v>231.0</v>
      </c>
      <c r="B232" s="6" t="s">
        <v>1287</v>
      </c>
      <c r="C232" s="6" t="s">
        <v>405</v>
      </c>
      <c r="D232" s="6" t="s">
        <v>406</v>
      </c>
      <c r="E232" s="6" t="s">
        <v>1184</v>
      </c>
      <c r="F232" s="6" t="s">
        <v>1185</v>
      </c>
      <c r="G232" s="6" t="s">
        <v>1184</v>
      </c>
      <c r="H232" s="6" t="s">
        <v>1288</v>
      </c>
      <c r="I232" s="6"/>
      <c r="J232" s="6"/>
      <c r="K232" s="2" t="str">
        <f>IFERROR(__xludf.DUMMYFUNCTION("GOOGLETRANSLATE(A232,""en"",""ur"")"),"231")</f>
        <v>231</v>
      </c>
      <c r="L232" s="2" t="str">
        <f>IFERROR(__xludf.DUMMYFUNCTION("GOOGLETRANSLATE(B232,""en"",""ur"")"),"ملاخرہ_43 میں مرکزی عمل کیا دکھایا گیا ہے؟")</f>
        <v>ملاخرہ_43 میں مرکزی عمل کیا دکھایا گیا ہے؟</v>
      </c>
      <c r="M232" s="2" t="str">
        <f>IFERROR(__xludf.DUMMYFUNCTION("GOOGLETRANSLATE(C232,""en"",""ur"")"),"دو آدمی تلواروں سے لڑ رہے ہیں۔")</f>
        <v>دو آدمی تلواروں سے لڑ رہے ہیں۔</v>
      </c>
      <c r="N232" s="2" t="str">
        <f>IFERROR(__xludf.DUMMYFUNCTION("GOOGLETRANSLATE(D232,""en"",""ur"")"),"دو آدمی ناچ رہے ہیں۔")</f>
        <v>دو آدمی ناچ رہے ہیں۔</v>
      </c>
      <c r="O232" s="2" t="str">
        <f>IFERROR(__xludf.DUMMYFUNCTION("GOOGLETRANSLATE(E232,""en"",""ur"")"),"ایک ریسلنگ میچ میں دو آدمی")</f>
        <v>ایک ریسلنگ میچ میں دو آدمی</v>
      </c>
      <c r="P232" s="2" t="str">
        <f>IFERROR(__xludf.DUMMYFUNCTION("GOOGLETRANSLATE(F232,""en"",""ur"")"),"دو آدمی بھاگ رہے ہیں۔")</f>
        <v>دو آدمی بھاگ رہے ہیں۔</v>
      </c>
      <c r="Q232" s="6" t="s">
        <v>1214</v>
      </c>
      <c r="R232" s="6" t="str">
        <f>IFERROR(__xludf.DUMMYFUNCTION("""COMPUTED_VALUE"""),"ایک ریسلنگ میچ میں دو آدمی")</f>
        <v>ایک ریسلنگ میچ میں دو آدمی</v>
      </c>
      <c r="S232" s="6" t="s">
        <v>1288</v>
      </c>
      <c r="T232" s="6"/>
      <c r="U232" s="6"/>
      <c r="V232" s="6"/>
      <c r="W232" s="6"/>
      <c r="X232" s="6"/>
      <c r="Y232" s="6"/>
      <c r="Z232" s="6"/>
      <c r="AA232" s="6"/>
      <c r="AB232" s="6"/>
    </row>
    <row r="233">
      <c r="A233" s="7">
        <v>232.0</v>
      </c>
      <c r="B233" s="6" t="s">
        <v>1215</v>
      </c>
      <c r="C233" s="6" t="s">
        <v>488</v>
      </c>
      <c r="D233" s="6" t="s">
        <v>1216</v>
      </c>
      <c r="E233" s="6" t="s">
        <v>490</v>
      </c>
      <c r="F233" s="6" t="s">
        <v>246</v>
      </c>
      <c r="G233" s="6" t="s">
        <v>1216</v>
      </c>
      <c r="H233" s="6" t="s">
        <v>1288</v>
      </c>
      <c r="I233" s="6"/>
      <c r="J233" s="6"/>
      <c r="K233" s="2" t="str">
        <f>IFERROR(__xludf.DUMMYFUNCTION("GOOGLETRANSLATE(A233,""en"",""ur"")"),"232")</f>
        <v>232</v>
      </c>
      <c r="L233" s="2" t="str">
        <f>IFERROR(__xludf.DUMMYFUNCTION("GOOGLETRANSLATE(B233,""en"",""ur"")"),"پہلوانوں کے لباس کے بارے میں ایک قابل ذکر تفصیل کیا ہے؟")</f>
        <v>پہلوانوں کے لباس کے بارے میں ایک قابل ذکر تفصیل کیا ہے؟</v>
      </c>
      <c r="M233" s="2" t="str">
        <f>IFERROR(__xludf.DUMMYFUNCTION("GOOGLETRANSLATE(C233,""en"",""ur"")"),"انہوں نے بکتر کا پورا سوٹ پہن رکھا ہے۔")</f>
        <v>انہوں نے بکتر کا پورا سوٹ پہن رکھا ہے۔</v>
      </c>
      <c r="N233" s="2" t="str">
        <f>IFERROR(__xludf.DUMMYFUNCTION("GOOGLETRANSLATE(D233,""en"",""ur"")"),"وہ سارونگ یا پیٹرن والا اسکرٹ پہنے ہوئے ہیں۔")</f>
        <v>وہ سارونگ یا پیٹرن والا اسکرٹ پہنے ہوئے ہیں۔</v>
      </c>
      <c r="O233" s="2" t="str">
        <f>IFERROR(__xludf.DUMMYFUNCTION("GOOGLETRANSLATE(E233,""en"",""ur"")"),"انہوں نے شارٹس اور ٹی شرٹ پہن رکھی ہیں۔")</f>
        <v>انہوں نے شارٹس اور ٹی شرٹ پہن رکھی ہیں۔</v>
      </c>
      <c r="P233" s="2" t="str">
        <f>IFERROR(__xludf.DUMMYFUNCTION("GOOGLETRANSLATE(F233,""en"",""ur"")"),"انہوں نے کوئی لباس نہیں پہنا ہوا ہے۔")</f>
        <v>انہوں نے کوئی لباس نہیں پہنا ہوا ہے۔</v>
      </c>
      <c r="Q233" s="6" t="s">
        <v>1217</v>
      </c>
      <c r="R233" s="6" t="str">
        <f>IFERROR(__xludf.DUMMYFUNCTION("""COMPUTED_VALUE"""),"ایک ریسلنگ میچ میں دو آدمی")</f>
        <v>ایک ریسلنگ میچ میں دو آدمی</v>
      </c>
      <c r="S233" s="6" t="s">
        <v>1288</v>
      </c>
      <c r="T233" s="6"/>
      <c r="U233" s="6"/>
      <c r="V233" s="6"/>
      <c r="W233" s="6"/>
      <c r="X233" s="6"/>
      <c r="Y233" s="6"/>
      <c r="Z233" s="6"/>
      <c r="AA233" s="6"/>
      <c r="AB233" s="6"/>
    </row>
    <row r="234">
      <c r="A234" s="7">
        <v>233.0</v>
      </c>
      <c r="B234" s="6" t="s">
        <v>1193</v>
      </c>
      <c r="C234" s="6" t="s">
        <v>1194</v>
      </c>
      <c r="D234" s="6" t="s">
        <v>1195</v>
      </c>
      <c r="E234" s="6" t="s">
        <v>1196</v>
      </c>
      <c r="F234" s="6" t="s">
        <v>1197</v>
      </c>
      <c r="G234" s="6" t="s">
        <v>1196</v>
      </c>
      <c r="H234" s="6" t="s">
        <v>1288</v>
      </c>
      <c r="I234" s="6"/>
      <c r="J234" s="6"/>
      <c r="K234" s="2" t="str">
        <f>IFERROR(__xludf.DUMMYFUNCTION("GOOGLETRANSLATE(A234,""en"",""ur"")"),"233")</f>
        <v>233</v>
      </c>
      <c r="L234" s="2" t="str">
        <f>IFERROR(__xludf.DUMMYFUNCTION("GOOGLETRANSLATE(B234,""en"",""ur"")"),"کشتی کا ظاہری مقصد کیا ہے؟")</f>
        <v>کشتی کا ظاہری مقصد کیا ہے؟</v>
      </c>
      <c r="M234" s="2" t="str">
        <f>IFERROR(__xludf.DUMMYFUNCTION("GOOGLETRANSLATE(C234,""en"",""ur"")"),"ایک رسمی رقص")</f>
        <v>ایک رسمی رقص</v>
      </c>
      <c r="N234" s="2" t="str">
        <f>IFERROR(__xludf.DUMMYFUNCTION("GOOGLETRANSLATE(D234,""en"",""ur"")"),"ایک دوستانہ مظاہرہ")</f>
        <v>ایک دوستانہ مظاہرہ</v>
      </c>
      <c r="O234" s="2" t="str">
        <f>IFERROR(__xludf.DUMMYFUNCTION("GOOGLETRANSLATE(E234,""en"",""ur"")"),"ٹیک ڈاؤن کے ساتھ ایک مسابقتی میچ")</f>
        <v>ٹیک ڈاؤن کے ساتھ ایک مسابقتی میچ</v>
      </c>
      <c r="P234" s="2" t="str">
        <f>IFERROR(__xludf.DUMMYFUNCTION("GOOGLETRANSLATE(F234,""en"",""ur"")"),"ایک پریکٹس سیشن")</f>
        <v>ایک پریکٹس سیشن</v>
      </c>
      <c r="Q234" s="6" t="s">
        <v>1198</v>
      </c>
      <c r="R234" s="6" t="str">
        <f>IFERROR(__xludf.DUMMYFUNCTION("""COMPUTED_VALUE"""),"ایک ریسلنگ میچ میں دو آدمی")</f>
        <v>ایک ریسلنگ میچ میں دو آدمی</v>
      </c>
      <c r="S234" s="6" t="s">
        <v>1288</v>
      </c>
      <c r="T234" s="6"/>
      <c r="U234" s="6"/>
      <c r="V234" s="6"/>
      <c r="W234" s="6"/>
      <c r="X234" s="6"/>
      <c r="Y234" s="6"/>
      <c r="Z234" s="6"/>
      <c r="AA234" s="6"/>
      <c r="AB234" s="6"/>
    </row>
    <row r="235">
      <c r="A235" s="7">
        <v>234.0</v>
      </c>
      <c r="B235" s="6" t="s">
        <v>991</v>
      </c>
      <c r="C235" s="6" t="s">
        <v>422</v>
      </c>
      <c r="D235" s="6" t="s">
        <v>1199</v>
      </c>
      <c r="E235" s="6" t="s">
        <v>424</v>
      </c>
      <c r="F235" s="6" t="s">
        <v>425</v>
      </c>
      <c r="G235" s="6" t="s">
        <v>1199</v>
      </c>
      <c r="H235" s="6" t="s">
        <v>1288</v>
      </c>
      <c r="I235" s="6"/>
      <c r="J235" s="6"/>
      <c r="K235" s="2" t="str">
        <f>IFERROR(__xludf.DUMMYFUNCTION("GOOGLETRANSLATE(A235,""en"",""ur"")"),"234")</f>
        <v>234</v>
      </c>
      <c r="L235" s="2" t="str">
        <f>IFERROR(__xludf.DUMMYFUNCTION("GOOGLETRANSLATE(B235,""en"",""ur"")"),"واقعہ کی ظاہری ترتیب کیا ہے؟")</f>
        <v>واقعہ کی ظاہری ترتیب کیا ہے؟</v>
      </c>
      <c r="M235" s="2" t="str">
        <f>IFERROR(__xludf.DUMMYFUNCTION("GOOGLETRANSLATE(C235,""en"",""ur"")"),"ایک انڈور اسٹیڈیم")</f>
        <v>ایک انڈور اسٹیڈیم</v>
      </c>
      <c r="N235" s="2" t="str">
        <f>IFERROR(__xludf.DUMMYFUNCTION("GOOGLETRANSLATE(D235,""en"",""ur"")"),"ایک دیہی، بیرونی گندگی کا ایک بڑا ہجوم")</f>
        <v>ایک دیہی، بیرونی گندگی کا ایک بڑا ہجوم</v>
      </c>
      <c r="O235" s="2" t="str">
        <f>IFERROR(__xludf.DUMMYFUNCTION("GOOGLETRANSLATE(E235,""en"",""ur"")"),"شہر کی مصروف گلی")</f>
        <v>شہر کی مصروف گلی</v>
      </c>
      <c r="P235" s="2" t="str">
        <f>IFERROR(__xludf.DUMMYFUNCTION("GOOGLETRANSLATE(F235,""en"",""ur"")"),"گھاس کا میدان")</f>
        <v>گھاس کا میدان</v>
      </c>
      <c r="Q235" s="6" t="s">
        <v>1200</v>
      </c>
      <c r="R235" s="6" t="str">
        <f>IFERROR(__xludf.DUMMYFUNCTION("""COMPUTED_VALUE"""),"ایک ریسلنگ میچ میں دو آدمی")</f>
        <v>ایک ریسلنگ میچ میں دو آدمی</v>
      </c>
      <c r="S235" s="6" t="s">
        <v>1288</v>
      </c>
      <c r="T235" s="6"/>
      <c r="U235" s="6"/>
      <c r="V235" s="6"/>
      <c r="W235" s="6"/>
      <c r="X235" s="6"/>
      <c r="Y235" s="6"/>
      <c r="Z235" s="6"/>
      <c r="AA235" s="6"/>
      <c r="AB235" s="6"/>
    </row>
    <row r="236">
      <c r="A236" s="7">
        <v>235.0</v>
      </c>
      <c r="B236" s="6" t="s">
        <v>1201</v>
      </c>
      <c r="C236" s="6" t="s">
        <v>47</v>
      </c>
      <c r="D236" s="6" t="s">
        <v>48</v>
      </c>
      <c r="E236" s="6" t="s">
        <v>49</v>
      </c>
      <c r="F236" s="6" t="s">
        <v>50</v>
      </c>
      <c r="G236" s="6" t="s">
        <v>49</v>
      </c>
      <c r="H236" s="6" t="s">
        <v>1288</v>
      </c>
      <c r="I236" s="6"/>
      <c r="J236" s="6"/>
      <c r="K236" s="2" t="str">
        <f>IFERROR(__xludf.DUMMYFUNCTION("GOOGLETRANSLATE(A236,""en"",""ur"")"),"235")</f>
        <v>235</v>
      </c>
      <c r="L236" s="2" t="str">
        <f>IFERROR(__xludf.DUMMYFUNCTION("GOOGLETRANSLATE(B236,""en"",""ur"")"),"پہلوانوں کے ظاہری جذبات کیا ہیں؟")</f>
        <v>پہلوانوں کے ظاہری جذبات کیا ہیں؟</v>
      </c>
      <c r="M236" s="2" t="str">
        <f>IFERROR(__xludf.DUMMYFUNCTION("GOOGLETRANSLATE(C236,""en"",""ur"")"),"پرسکون اور پر سکون")</f>
        <v>پرسکون اور پر سکون</v>
      </c>
      <c r="N236" s="2" t="str">
        <f>IFERROR(__xludf.DUMMYFUNCTION("GOOGLETRANSLATE(D236,""en"",""ur"")"),"خوف زدہ اور بے چین")</f>
        <v>خوف زدہ اور بے چین</v>
      </c>
      <c r="O236" s="2" t="str">
        <f>IFERROR(__xludf.DUMMYFUNCTION("GOOGLETRANSLATE(E236,""en"",""ur"")"),"کشیدہ اور شدید")</f>
        <v>کشیدہ اور شدید</v>
      </c>
      <c r="P236" s="2" t="str">
        <f>IFERROR(__xludf.DUMMYFUNCTION("GOOGLETRANSLATE(F236,""en"",""ur"")"),"خوش اور مسکراتے ہوئے۔")</f>
        <v>خوش اور مسکراتے ہوئے۔</v>
      </c>
      <c r="Q236" s="6" t="s">
        <v>51</v>
      </c>
      <c r="R236" s="6" t="str">
        <f>IFERROR(__xludf.DUMMYFUNCTION("""COMPUTED_VALUE"""),"ایک ریسلنگ میچ میں دو آدمی")</f>
        <v>ایک ریسلنگ میچ میں دو آدمی</v>
      </c>
      <c r="S236" s="6" t="s">
        <v>1288</v>
      </c>
      <c r="T236" s="6"/>
      <c r="U236" s="6"/>
      <c r="V236" s="6"/>
      <c r="W236" s="6"/>
      <c r="X236" s="6"/>
      <c r="Y236" s="6"/>
      <c r="Z236" s="6"/>
      <c r="AA236" s="6"/>
      <c r="AB236" s="6"/>
    </row>
    <row r="237">
      <c r="A237" s="7">
        <v>236.0</v>
      </c>
      <c r="B237" s="6" t="s">
        <v>1218</v>
      </c>
      <c r="C237" s="6" t="s">
        <v>429</v>
      </c>
      <c r="D237" s="6" t="s">
        <v>430</v>
      </c>
      <c r="E237" s="6" t="s">
        <v>431</v>
      </c>
      <c r="F237" s="6" t="s">
        <v>432</v>
      </c>
      <c r="G237" s="6" t="s">
        <v>430</v>
      </c>
      <c r="H237" s="6" t="s">
        <v>1288</v>
      </c>
      <c r="I237" s="6"/>
      <c r="J237" s="6"/>
      <c r="K237" s="2" t="str">
        <f>IFERROR(__xludf.DUMMYFUNCTION("GOOGLETRANSLATE(A237,""en"",""ur"")"),"236")</f>
        <v>236</v>
      </c>
      <c r="L237" s="2" t="str">
        <f>IFERROR(__xludf.DUMMYFUNCTION("GOOGLETRANSLATE(B237,""en"",""ur"")"),"پہلوانوں کی ظاہری جسمانی پوزیشن کیا ہے؟")</f>
        <v>پہلوانوں کی ظاہری جسمانی پوزیشن کیا ہے؟</v>
      </c>
      <c r="M237" s="2" t="str">
        <f>IFERROR(__xludf.DUMMYFUNCTION("GOOGLETRANSLATE(C237,""en"",""ur"")"),"سیدھا کھڑا ہونا")</f>
        <v>سیدھا کھڑا ہونا</v>
      </c>
      <c r="N237" s="2" t="str">
        <f>IFERROR(__xludf.DUMMYFUNCTION("GOOGLETRANSLATE(D237,""en"",""ur"")"),"کم، متحرک موقف میں")</f>
        <v>کم، متحرک موقف میں</v>
      </c>
      <c r="O237" s="2" t="str">
        <f>IFERROR(__xludf.DUMMYFUNCTION("GOOGLETRANSLATE(E237,""en"",""ur"")"),"زمین پر لیٹنا")</f>
        <v>زمین پر لیٹنا</v>
      </c>
      <c r="P237" s="2" t="str">
        <f>IFERROR(__xludf.DUMMYFUNCTION("GOOGLETRANSLATE(F237,""en"",""ur"")"),"بیٹھا ہوا")</f>
        <v>بیٹھا ہوا</v>
      </c>
      <c r="Q237" s="6" t="s">
        <v>433</v>
      </c>
      <c r="R237" s="6" t="str">
        <f>IFERROR(__xludf.DUMMYFUNCTION("""COMPUTED_VALUE"""),"ایک ریسلنگ میچ میں دو آدمی")</f>
        <v>ایک ریسلنگ میچ میں دو آدمی</v>
      </c>
      <c r="S237" s="6" t="s">
        <v>1288</v>
      </c>
      <c r="T237" s="6"/>
      <c r="U237" s="6"/>
      <c r="V237" s="6"/>
      <c r="W237" s="6"/>
      <c r="X237" s="6"/>
      <c r="Y237" s="6"/>
      <c r="Z237" s="6"/>
      <c r="AA237" s="6"/>
      <c r="AB237" s="6"/>
    </row>
    <row r="238">
      <c r="A238" s="7">
        <v>237.0</v>
      </c>
      <c r="B238" s="6" t="s">
        <v>434</v>
      </c>
      <c r="C238" s="6" t="s">
        <v>435</v>
      </c>
      <c r="D238" s="6" t="s">
        <v>436</v>
      </c>
      <c r="E238" s="6" t="s">
        <v>1203</v>
      </c>
      <c r="F238" s="6" t="s">
        <v>438</v>
      </c>
      <c r="G238" s="6" t="s">
        <v>1203</v>
      </c>
      <c r="H238" s="6" t="s">
        <v>1288</v>
      </c>
      <c r="I238" s="6"/>
      <c r="J238" s="6"/>
      <c r="K238" s="2" t="str">
        <f>IFERROR(__xludf.DUMMYFUNCTION("GOOGLETRANSLATE(A238,""en"",""ur"")"),"237")</f>
        <v>237</v>
      </c>
      <c r="L238" s="2" t="str">
        <f>IFERROR(__xludf.DUMMYFUNCTION("GOOGLETRANSLATE(B238,""en"",""ur"")"),"پس منظر میں ہجوم کی سب سے نمایاں خصوصیت کیا ہے؟")</f>
        <v>پس منظر میں ہجوم کی سب سے نمایاں خصوصیت کیا ہے؟</v>
      </c>
      <c r="M238" s="2" t="str">
        <f>IFERROR(__xludf.DUMMYFUNCTION("GOOGLETRANSLATE(C238,""en"",""ur"")"),"وہ بھاگ رہے ہیں۔")</f>
        <v>وہ بھاگ رہے ہیں۔</v>
      </c>
      <c r="N238" s="2" t="str">
        <f>IFERROR(__xludf.DUMMYFUNCTION("GOOGLETRANSLATE(D238,""en"",""ur"")"),"وہ خاموش بیٹھے ہیں۔")</f>
        <v>وہ خاموش بیٹھے ہیں۔</v>
      </c>
      <c r="O238" s="2" t="str">
        <f>IFERROR(__xludf.DUMMYFUNCTION("GOOGLETRANSLATE(E238,""en"",""ur"")"),"وہ باڑ کے پیچھے سے میچ دیکھ رہے ہیں۔")</f>
        <v>وہ باڑ کے پیچھے سے میچ دیکھ رہے ہیں۔</v>
      </c>
      <c r="P238" s="2" t="str">
        <f>IFERROR(__xludf.DUMMYFUNCTION("GOOGLETRANSLATE(F238,""en"",""ur"")"),"وہ سب ایک اسٹیج پر کھڑے ہیں۔")</f>
        <v>وہ سب ایک اسٹیج پر کھڑے ہیں۔</v>
      </c>
      <c r="Q238" s="6" t="s">
        <v>1204</v>
      </c>
      <c r="R238" s="6" t="str">
        <f>IFERROR(__xludf.DUMMYFUNCTION("""COMPUTED_VALUE"""),"ایک ریسلنگ میچ میں دو آدمی")</f>
        <v>ایک ریسلنگ میچ میں دو آدمی</v>
      </c>
      <c r="S238" s="6" t="s">
        <v>1288</v>
      </c>
      <c r="T238" s="6"/>
      <c r="U238" s="6"/>
      <c r="V238" s="6"/>
      <c r="W238" s="6"/>
      <c r="X238" s="6"/>
      <c r="Y238" s="6"/>
      <c r="Z238" s="6"/>
      <c r="AA238" s="6"/>
      <c r="AB238" s="6"/>
    </row>
    <row r="239">
      <c r="A239" s="7">
        <v>238.0</v>
      </c>
      <c r="B239" s="6" t="s">
        <v>440</v>
      </c>
      <c r="C239" s="6" t="s">
        <v>441</v>
      </c>
      <c r="D239" s="6" t="s">
        <v>442</v>
      </c>
      <c r="E239" s="6" t="s">
        <v>512</v>
      </c>
      <c r="F239" s="6" t="s">
        <v>444</v>
      </c>
      <c r="G239" s="6" t="s">
        <v>512</v>
      </c>
      <c r="H239" s="6" t="s">
        <v>1288</v>
      </c>
      <c r="I239" s="6"/>
      <c r="J239" s="6"/>
      <c r="K239" s="2" t="str">
        <f>IFERROR(__xludf.DUMMYFUNCTION("GOOGLETRANSLATE(A239,""en"",""ur"")"),"238")</f>
        <v>238</v>
      </c>
      <c r="L239" s="2" t="str">
        <f>IFERROR(__xludf.DUMMYFUNCTION("GOOGLETRANSLATE(B239,""en"",""ur"")"),"زمین کی ظاہری حالت کیا ہے؟")</f>
        <v>زمین کی ظاہری حالت کیا ہے؟</v>
      </c>
      <c r="M239" s="2" t="str">
        <f>IFERROR(__xludf.DUMMYFUNCTION("GOOGLETRANSLATE(C239,""en"",""ur"")"),"یہ ایک پکی سطح ہے۔")</f>
        <v>یہ ایک پکی سطح ہے۔</v>
      </c>
      <c r="N239" s="2" t="str">
        <f>IFERROR(__xludf.DUMMYFUNCTION("GOOGLETRANSLATE(D239,""en"",""ur"")"),"یہ ایک کیچڑ والا میدان ہے۔")</f>
        <v>یہ ایک کیچڑ والا میدان ہے۔</v>
      </c>
      <c r="O239" s="2" t="str">
        <f>IFERROR(__xludf.DUMMYFUNCTION("GOOGLETRANSLATE(E239,""en"",""ur"")"),"یہ ایک ریتلی یا گندگی کی سطح ہے۔")</f>
        <v>یہ ایک ریتلی یا گندگی کی سطح ہے۔</v>
      </c>
      <c r="P239" s="2" t="str">
        <f>IFERROR(__xludf.DUMMYFUNCTION("GOOGLETRANSLATE(F239,""en"",""ur"")"),"یہ ایک گھاس والی سطح ہے۔")</f>
        <v>یہ ایک گھاس والی سطح ہے۔</v>
      </c>
      <c r="Q239" s="6" t="s">
        <v>1219</v>
      </c>
      <c r="R239" s="6" t="str">
        <f>IFERROR(__xludf.DUMMYFUNCTION("""COMPUTED_VALUE"""),"ایک ریسلنگ میچ میں دو آدمی")</f>
        <v>ایک ریسلنگ میچ میں دو آدمی</v>
      </c>
      <c r="S239" s="6" t="s">
        <v>1288</v>
      </c>
      <c r="T239" s="6"/>
      <c r="U239" s="6"/>
      <c r="V239" s="6"/>
      <c r="W239" s="6"/>
      <c r="X239" s="6"/>
      <c r="Y239" s="6"/>
      <c r="Z239" s="6"/>
      <c r="AA239" s="6"/>
      <c r="AB239" s="6"/>
    </row>
    <row r="240">
      <c r="A240" s="7">
        <v>239.0</v>
      </c>
      <c r="B240" s="6" t="s">
        <v>1205</v>
      </c>
      <c r="C240" s="6" t="s">
        <v>1206</v>
      </c>
      <c r="D240" s="6" t="s">
        <v>1207</v>
      </c>
      <c r="E240" s="6" t="s">
        <v>1208</v>
      </c>
      <c r="F240" s="6" t="s">
        <v>449</v>
      </c>
      <c r="G240" s="6" t="s">
        <v>1208</v>
      </c>
      <c r="H240" s="6" t="s">
        <v>1288</v>
      </c>
      <c r="I240" s="6"/>
      <c r="J240" s="6"/>
      <c r="K240" s="2" t="str">
        <f>IFERROR(__xludf.DUMMYFUNCTION("GOOGLETRANSLATE(A240,""en"",""ur"")"),"239")</f>
        <v>239</v>
      </c>
      <c r="L240" s="2" t="str">
        <f>IFERROR(__xludf.DUMMYFUNCTION("GOOGLETRANSLATE(B240,""en"",""ur"")"),"لمبی اسکرٹس کا بنیادی مقصد کیا ہے؟")</f>
        <v>لمبی اسکرٹس کا بنیادی مقصد کیا ہے؟</v>
      </c>
      <c r="M240" s="2" t="str">
        <f>IFERROR(__xludf.DUMMYFUNCTION("GOOGLETRANSLATE(C240,""en"",""ur"")"),"پہلوانوں کی ٹانگوں کی حفاظت کے لیے")</f>
        <v>پہلوانوں کی ٹانگوں کی حفاظت کے لیے</v>
      </c>
      <c r="N240" s="2" t="str">
        <f>IFERROR(__xludf.DUMMYFUNCTION("GOOGLETRANSLATE(D240,""en"",""ur"")"),"پہلوانوں کو مزید چست بنانے کے لیے")</f>
        <v>پہلوانوں کو مزید چست بنانے کے لیے</v>
      </c>
      <c r="O240" s="2" t="str">
        <f>IFERROR(__xludf.DUMMYFUNCTION("GOOGLETRANSLATE(E240,""en"",""ur"")"),"روایتی لباس اور لڑائی کے دوران گرفت کے لیے")</f>
        <v>روایتی لباس اور لڑائی کے دوران گرفت کے لیے</v>
      </c>
      <c r="P240" s="2" t="str">
        <f>IFERROR(__xludf.DUMMYFUNCTION("GOOGLETRANSLATE(F240,""en"",""ur"")"),"صرف سجاوٹ کے لیے")</f>
        <v>صرف سجاوٹ کے لیے</v>
      </c>
      <c r="Q240" s="6" t="s">
        <v>1209</v>
      </c>
      <c r="R240" s="6" t="str">
        <f>IFERROR(__xludf.DUMMYFUNCTION("""COMPUTED_VALUE"""),"ایک ریسلنگ میچ میں دو آدمی")</f>
        <v>ایک ریسلنگ میچ میں دو آدمی</v>
      </c>
      <c r="S240" s="6" t="s">
        <v>1288</v>
      </c>
      <c r="T240" s="6"/>
      <c r="U240" s="6"/>
      <c r="V240" s="6"/>
      <c r="W240" s="6"/>
      <c r="X240" s="6"/>
      <c r="Y240" s="6"/>
      <c r="Z240" s="6"/>
      <c r="AA240" s="6"/>
      <c r="AB240" s="6"/>
    </row>
    <row r="241">
      <c r="A241" s="7">
        <v>240.0</v>
      </c>
      <c r="B241" s="6" t="s">
        <v>260</v>
      </c>
      <c r="C241" s="6" t="s">
        <v>261</v>
      </c>
      <c r="D241" s="6" t="s">
        <v>262</v>
      </c>
      <c r="E241" s="6" t="s">
        <v>1210</v>
      </c>
      <c r="F241" s="6" t="s">
        <v>264</v>
      </c>
      <c r="G241" s="6" t="s">
        <v>1210</v>
      </c>
      <c r="H241" s="6" t="s">
        <v>1288</v>
      </c>
      <c r="I241" s="6"/>
      <c r="J241" s="6"/>
      <c r="K241" s="2" t="str">
        <f>IFERROR(__xludf.DUMMYFUNCTION("GOOGLETRANSLATE(A241,""en"",""ur"")"),"240")</f>
        <v>240</v>
      </c>
      <c r="L241" s="2" t="str">
        <f>IFERROR(__xludf.DUMMYFUNCTION("GOOGLETRANSLATE(B241,""en"",""ur"")"),"تصویر میں ایکشن ایک ایسا انداز تجویز کرتا ہے جو اس بات پر زور دیتا ہے...")</f>
        <v>تصویر میں ایکشن ایک ایسا انداز تجویز کرتا ہے جو اس بات پر زور دیتا ہے...</v>
      </c>
      <c r="M241" s="2" t="str">
        <f>IFERROR(__xludf.DUMMYFUNCTION("GOOGLETRANSLATE(C241,""en"",""ur"")"),"روانی اور قلابازیاں")</f>
        <v>روانی اور قلابازیاں</v>
      </c>
      <c r="N241" s="2" t="str">
        <f>IFERROR(__xludf.DUMMYFUNCTION("GOOGLETRANSLATE(D241,""en"",""ur"")"),"زمینی لڑائی اور گرفت")</f>
        <v>زمینی لڑائی اور گرفت</v>
      </c>
      <c r="O241" s="2" t="str">
        <f>IFERROR(__xludf.DUMMYFUNCTION("GOOGLETRANSLATE(E241,""en"",""ur"")"),"وحشیانہ طاقت اور ٹیک ڈاؤن")</f>
        <v>وحشیانہ طاقت اور ٹیک ڈاؤن</v>
      </c>
      <c r="P241" s="2" t="str">
        <f>IFERROR(__xludf.DUMMYFUNCTION("GOOGLETRANSLATE(F241,""en"",""ur"")"),"سادہ، لکیری حرکات")</f>
        <v>سادہ، لکیری حرکات</v>
      </c>
      <c r="Q241" s="6" t="s">
        <v>1211</v>
      </c>
      <c r="R241" s="6" t="str">
        <f>IFERROR(__xludf.DUMMYFUNCTION("""COMPUTED_VALUE"""),"ایک ریسلنگ میچ میں دو آدمی")</f>
        <v>ایک ریسلنگ میچ میں دو آدمی</v>
      </c>
      <c r="S241" s="6" t="s">
        <v>1288</v>
      </c>
      <c r="T241" s="6"/>
      <c r="U241" s="6"/>
      <c r="V241" s="6"/>
      <c r="W241" s="6"/>
      <c r="X241" s="6"/>
      <c r="Y241" s="6"/>
      <c r="Z241" s="6"/>
      <c r="AA241" s="6"/>
      <c r="AB241" s="6"/>
    </row>
    <row r="242">
      <c r="A242" s="7">
        <v>241.0</v>
      </c>
      <c r="B242" s="6" t="s">
        <v>1289</v>
      </c>
      <c r="C242" s="6" t="s">
        <v>465</v>
      </c>
      <c r="D242" s="6" t="s">
        <v>1237</v>
      </c>
      <c r="E242" s="6" t="s">
        <v>464</v>
      </c>
      <c r="F242" s="6" t="s">
        <v>1290</v>
      </c>
      <c r="G242" s="6" t="s">
        <v>1290</v>
      </c>
      <c r="H242" s="6" t="s">
        <v>1291</v>
      </c>
      <c r="I242" s="6"/>
      <c r="J242" s="6"/>
      <c r="K242" s="2" t="str">
        <f>IFERROR(__xludf.DUMMYFUNCTION("GOOGLETRANSLATE(A242,""en"",""ur"")"),"241")</f>
        <v>241</v>
      </c>
      <c r="L242" s="2" t="str">
        <f>IFERROR(__xludf.DUMMYFUNCTION("GOOGLETRANSLATE(B242,""en"",""ur"")"),"ملاخرہ_64 میں مرکزی عمل کیا دکھایا گیا ہے؟")</f>
        <v>ملاخرہ_64 میں مرکزی عمل کیا دکھایا گیا ہے؟</v>
      </c>
      <c r="M242" s="2" t="str">
        <f>IFERROR(__xludf.DUMMYFUNCTION("GOOGLETRANSLATE(C242,""en"",""ur"")"),"ایک آدمی سہارے کے ساتھ پوز کر رہا ہے۔")</f>
        <v>ایک آدمی سہارے کے ساتھ پوز کر رہا ہے۔</v>
      </c>
      <c r="N242" s="2" t="str">
        <f>IFERROR(__xludf.DUMMYFUNCTION("GOOGLETRANSLATE(D242,""en"",""ur"")"),"ایک آدمی لاٹھی سے لڑ رہا ہے۔")</f>
        <v>ایک آدمی لاٹھی سے لڑ رہا ہے۔</v>
      </c>
      <c r="O242" s="2" t="str">
        <f>IFERROR(__xludf.DUMMYFUNCTION("GOOGLETRANSLATE(E242,""en"",""ur"")"),"ایک آدمی ناچ رہا ہے۔")</f>
        <v>ایک آدمی ناچ رہا ہے۔</v>
      </c>
      <c r="P242" s="2" t="str">
        <f>IFERROR(__xludf.DUMMYFUNCTION("GOOGLETRANSLATE(F242,""en"",""ur"")"),"ایک آدمی طبی امداد حاصل کر رہا ہے۔")</f>
        <v>ایک آدمی طبی امداد حاصل کر رہا ہے۔</v>
      </c>
      <c r="Q242" s="6" t="s">
        <v>1292</v>
      </c>
      <c r="R242" s="6" t="str">
        <f>IFERROR(__xludf.DUMMYFUNCTION("""COMPUTED_VALUE"""),"ایک ریسلنگ میچ میں دو آدمی")</f>
        <v>ایک ریسلنگ میچ میں دو آدمی</v>
      </c>
      <c r="S242" s="6" t="s">
        <v>1291</v>
      </c>
      <c r="T242" s="6"/>
      <c r="U242" s="6"/>
      <c r="V242" s="6"/>
      <c r="W242" s="6"/>
      <c r="X242" s="6"/>
      <c r="Y242" s="6"/>
      <c r="Z242" s="6"/>
      <c r="AA242" s="6"/>
      <c r="AB242" s="6"/>
    </row>
    <row r="243">
      <c r="A243" s="7">
        <v>242.0</v>
      </c>
      <c r="B243" s="6" t="s">
        <v>1241</v>
      </c>
      <c r="C243" s="6" t="s">
        <v>411</v>
      </c>
      <c r="D243" s="6" t="s">
        <v>1242</v>
      </c>
      <c r="E243" s="6" t="s">
        <v>334</v>
      </c>
      <c r="F243" s="6" t="s">
        <v>308</v>
      </c>
      <c r="G243" s="6" t="s">
        <v>308</v>
      </c>
      <c r="H243" s="6" t="s">
        <v>1291</v>
      </c>
      <c r="I243" s="6"/>
      <c r="J243" s="6"/>
      <c r="K243" s="2" t="str">
        <f>IFERROR(__xludf.DUMMYFUNCTION("GOOGLETRANSLATE(A243,""en"",""ur"")"),"242")</f>
        <v>242</v>
      </c>
      <c r="L243" s="2" t="str">
        <f>IFERROR(__xludf.DUMMYFUNCTION("GOOGLETRANSLATE(B243,""en"",""ur"")"),"آدمی کے لباس کے بارے میں ایک قابل ذکر تفصیل کیا ہے؟")</f>
        <v>آدمی کے لباس کے بارے میں ایک قابل ذکر تفصیل کیا ہے؟</v>
      </c>
      <c r="M243" s="2" t="str">
        <f>IFERROR(__xludf.DUMMYFUNCTION("GOOGLETRANSLATE(C243,""en"",""ur"")"),"اس نے بکتر کا پورا سوٹ پہن رکھا ہے۔")</f>
        <v>اس نے بکتر کا پورا سوٹ پہن رکھا ہے۔</v>
      </c>
      <c r="N243" s="2" t="str">
        <f>IFERROR(__xludf.DUMMYFUNCTION("GOOGLETRANSLATE(D243,""en"",""ur"")"),"اس نے ایک لمبا، پیٹرن والا اسکرٹ پہن رکھا ہے۔")</f>
        <v>اس نے ایک لمبا، پیٹرن والا اسکرٹ پہن رکھا ہے۔</v>
      </c>
      <c r="O243" s="2" t="str">
        <f>IFERROR(__xludf.DUMMYFUNCTION("GOOGLETRANSLATE(E243,""en"",""ur"")"),"اس نے شارٹس اور ٹی شرٹ پہن رکھی ہے۔")</f>
        <v>اس نے شارٹس اور ٹی شرٹ پہن رکھی ہے۔</v>
      </c>
      <c r="P243" s="2" t="str">
        <f>IFERROR(__xludf.DUMMYFUNCTION("GOOGLETRANSLATE(F243,""en"",""ur"")"),"اس نے کوئی لباس نہیں پہنا ہوا ہے۔")</f>
        <v>اس نے کوئی لباس نہیں پہنا ہوا ہے۔</v>
      </c>
      <c r="Q243" s="6" t="s">
        <v>1243</v>
      </c>
      <c r="R243" s="6" t="str">
        <f>IFERROR(__xludf.DUMMYFUNCTION("""COMPUTED_VALUE"""),"ایک ریسلنگ میچ میں دو آدمی")</f>
        <v>ایک ریسلنگ میچ میں دو آدمی</v>
      </c>
      <c r="S243" s="6" t="s">
        <v>1291</v>
      </c>
      <c r="T243" s="6"/>
      <c r="U243" s="6"/>
      <c r="V243" s="6"/>
      <c r="W243" s="6"/>
      <c r="X243" s="6"/>
      <c r="Y243" s="6"/>
      <c r="Z243" s="6"/>
      <c r="AA243" s="6"/>
      <c r="AB243" s="6"/>
    </row>
    <row r="244">
      <c r="A244" s="7">
        <v>243.0</v>
      </c>
      <c r="B244" s="6" t="s">
        <v>471</v>
      </c>
      <c r="C244" s="6" t="s">
        <v>416</v>
      </c>
      <c r="D244" s="6" t="s">
        <v>417</v>
      </c>
      <c r="E244" s="6" t="s">
        <v>418</v>
      </c>
      <c r="F244" s="6" t="s">
        <v>419</v>
      </c>
      <c r="G244" s="6" t="s">
        <v>419</v>
      </c>
      <c r="H244" s="6" t="s">
        <v>1291</v>
      </c>
      <c r="I244" s="6"/>
      <c r="J244" s="6"/>
      <c r="K244" s="2" t="str">
        <f>IFERROR(__xludf.DUMMYFUNCTION("GOOGLETRANSLATE(A244,""en"",""ur"")"),"243")</f>
        <v>243</v>
      </c>
      <c r="L244" s="2" t="str">
        <f>IFERROR(__xludf.DUMMYFUNCTION("GOOGLETRANSLATE(B244,""en"",""ur"")"),"آدمی کی طرف سے استعمال کیا جاتا بنیادی ہتھیار کیا ہے؟")</f>
        <v>آدمی کی طرف سے استعمال کیا جاتا بنیادی ہتھیار کیا ہے؟</v>
      </c>
      <c r="M244" s="2" t="str">
        <f>IFERROR(__xludf.DUMMYFUNCTION("GOOGLETRANSLATE(C244,""en"",""ur"")"),"ایک چھوٹی تلوار")</f>
        <v>ایک چھوٹی تلوار</v>
      </c>
      <c r="N244" s="2" t="str">
        <f>IFERROR(__xludf.DUMMYFUNCTION("GOOGLETRANSLATE(D244,""en"",""ur"")"),"ایک لمبی چھڑی")</f>
        <v>ایک لمبی چھڑی</v>
      </c>
      <c r="O244" s="2" t="str">
        <f>IFERROR(__xludf.DUMMYFUNCTION("GOOGLETRANSLATE(E244,""en"",""ur"")"),"ایک کمان اور تیر")</f>
        <v>ایک کمان اور تیر</v>
      </c>
      <c r="P244" s="2" t="str">
        <f>IFERROR(__xludf.DUMMYFUNCTION("GOOGLETRANSLATE(F244,""en"",""ur"")"),"ایک ننگی مٹھی")</f>
        <v>ایک ننگی مٹھی</v>
      </c>
      <c r="Q244" s="6" t="s">
        <v>420</v>
      </c>
      <c r="R244" s="6" t="str">
        <f>IFERROR(__xludf.DUMMYFUNCTION("""COMPUTED_VALUE"""),"ایک ریسلنگ میچ میں دو آدمی")</f>
        <v>ایک ریسلنگ میچ میں دو آدمی</v>
      </c>
      <c r="S244" s="6" t="s">
        <v>1291</v>
      </c>
      <c r="T244" s="6"/>
      <c r="U244" s="6"/>
      <c r="V244" s="6"/>
      <c r="W244" s="6"/>
      <c r="X244" s="6"/>
      <c r="Y244" s="6"/>
      <c r="Z244" s="6"/>
      <c r="AA244" s="6"/>
      <c r="AB244" s="6"/>
    </row>
    <row r="245">
      <c r="A245" s="7">
        <v>244.0</v>
      </c>
      <c r="B245" s="6" t="s">
        <v>1244</v>
      </c>
      <c r="C245" s="6" t="s">
        <v>422</v>
      </c>
      <c r="D245" s="6" t="s">
        <v>423</v>
      </c>
      <c r="E245" s="6" t="s">
        <v>1245</v>
      </c>
      <c r="F245" s="6" t="s">
        <v>508</v>
      </c>
      <c r="G245" s="6" t="s">
        <v>423</v>
      </c>
      <c r="H245" s="6" t="s">
        <v>1291</v>
      </c>
      <c r="I245" s="6"/>
      <c r="J245" s="6"/>
      <c r="K245" s="2" t="str">
        <f>IFERROR(__xludf.DUMMYFUNCTION("GOOGLETRANSLATE(A245,""en"",""ur"")"),"244")</f>
        <v>244</v>
      </c>
      <c r="L245" s="2" t="str">
        <f>IFERROR(__xludf.DUMMYFUNCTION("GOOGLETRANSLATE(B245,""en"",""ur"")"),"اس منظر کی ترتیب کیا ہے؟")</f>
        <v>اس منظر کی ترتیب کیا ہے؟</v>
      </c>
      <c r="M245" s="2" t="str">
        <f>IFERROR(__xludf.DUMMYFUNCTION("GOOGLETRANSLATE(C245,""en"",""ur"")"),"ایک انڈور اسٹیڈیم")</f>
        <v>ایک انڈور اسٹیڈیم</v>
      </c>
      <c r="N245" s="2" t="str">
        <f>IFERROR(__xludf.DUMMYFUNCTION("GOOGLETRANSLATE(D245,""en"",""ur"")"),"ایک دیہی، بیرونی علاقہ")</f>
        <v>ایک دیہی، بیرونی علاقہ</v>
      </c>
      <c r="O245" s="2" t="str">
        <f>IFERROR(__xludf.DUMMYFUNCTION("GOOGLETRANSLATE(E245,""en"",""ur"")"),"شہر کی پکی گلی")</f>
        <v>شہر کی پکی گلی</v>
      </c>
      <c r="P245" s="2" t="str">
        <f>IFERROR(__xludf.DUMMYFUNCTION("GOOGLETRANSLATE(F245,""en"",""ur"")"),"ایک پرسکون ساحل")</f>
        <v>ایک پرسکون ساحل</v>
      </c>
      <c r="Q245" s="6" t="s">
        <v>1246</v>
      </c>
      <c r="R245" s="6" t="str">
        <f>IFERROR(__xludf.DUMMYFUNCTION("""COMPUTED_VALUE"""),"ایک ریسلنگ میچ میں دو آدمی")</f>
        <v>ایک ریسلنگ میچ میں دو آدمی</v>
      </c>
      <c r="S245" s="6" t="s">
        <v>1291</v>
      </c>
      <c r="T245" s="6"/>
      <c r="U245" s="6"/>
      <c r="V245" s="6"/>
      <c r="W245" s="6"/>
      <c r="X245" s="6"/>
      <c r="Y245" s="6"/>
      <c r="Z245" s="6"/>
      <c r="AA245" s="6"/>
      <c r="AB245" s="6"/>
    </row>
    <row r="246">
      <c r="A246" s="7">
        <v>245.0</v>
      </c>
      <c r="B246" s="6" t="s">
        <v>1247</v>
      </c>
      <c r="C246" s="6" t="s">
        <v>47</v>
      </c>
      <c r="D246" s="6" t="s">
        <v>48</v>
      </c>
      <c r="E246" s="6" t="s">
        <v>49</v>
      </c>
      <c r="F246" s="6" t="s">
        <v>50</v>
      </c>
      <c r="G246" s="6" t="s">
        <v>49</v>
      </c>
      <c r="H246" s="6" t="s">
        <v>1291</v>
      </c>
      <c r="I246" s="6"/>
      <c r="J246" s="6"/>
      <c r="K246" s="2" t="str">
        <f>IFERROR(__xludf.DUMMYFUNCTION("GOOGLETRANSLATE(A246,""en"",""ur"")"),"245")</f>
        <v>245</v>
      </c>
      <c r="L246" s="2" t="str">
        <f>IFERROR(__xludf.DUMMYFUNCTION("GOOGLETRANSLATE(B246,""en"",""ur"")"),"آدمی کے چہرے سے ظاہری جذبات کیا ہیں؟")</f>
        <v>آدمی کے چہرے سے ظاہری جذبات کیا ہیں؟</v>
      </c>
      <c r="M246" s="2" t="str">
        <f>IFERROR(__xludf.DUMMYFUNCTION("GOOGLETRANSLATE(C246,""en"",""ur"")"),"پرسکون اور پر سکون")</f>
        <v>پرسکون اور پر سکون</v>
      </c>
      <c r="N246" s="2" t="str">
        <f>IFERROR(__xludf.DUMMYFUNCTION("GOOGLETRANSLATE(D246,""en"",""ur"")"),"خوف زدہ اور بے چین")</f>
        <v>خوف زدہ اور بے چین</v>
      </c>
      <c r="O246" s="2" t="str">
        <f>IFERROR(__xludf.DUMMYFUNCTION("GOOGLETRANSLATE(E246,""en"",""ur"")"),"کشیدہ اور شدید")</f>
        <v>کشیدہ اور شدید</v>
      </c>
      <c r="P246" s="2" t="str">
        <f>IFERROR(__xludf.DUMMYFUNCTION("GOOGLETRANSLATE(F246,""en"",""ur"")"),"خوش اور مسکراتے ہوئے۔")</f>
        <v>خوش اور مسکراتے ہوئے۔</v>
      </c>
      <c r="Q246" s="6" t="s">
        <v>51</v>
      </c>
      <c r="R246" s="6" t="str">
        <f>IFERROR(__xludf.DUMMYFUNCTION("""COMPUTED_VALUE"""),"ایک ریسلنگ میچ میں دو آدمی")</f>
        <v>ایک ریسلنگ میچ میں دو آدمی</v>
      </c>
      <c r="S246" s="6" t="s">
        <v>1291</v>
      </c>
      <c r="T246" s="6"/>
      <c r="U246" s="6"/>
      <c r="V246" s="6"/>
      <c r="W246" s="6"/>
      <c r="X246" s="6"/>
      <c r="Y246" s="6"/>
      <c r="Z246" s="6"/>
      <c r="AA246" s="6"/>
      <c r="AB246" s="6"/>
    </row>
    <row r="247">
      <c r="A247" s="7">
        <v>246.0</v>
      </c>
      <c r="B247" s="6" t="s">
        <v>473</v>
      </c>
      <c r="C247" s="6" t="s">
        <v>429</v>
      </c>
      <c r="D247" s="6" t="s">
        <v>430</v>
      </c>
      <c r="E247" s="6" t="s">
        <v>431</v>
      </c>
      <c r="F247" s="6" t="s">
        <v>432</v>
      </c>
      <c r="G247" s="6" t="s">
        <v>431</v>
      </c>
      <c r="H247" s="6" t="s">
        <v>1291</v>
      </c>
      <c r="I247" s="6"/>
      <c r="J247" s="6"/>
      <c r="K247" s="2" t="str">
        <f>IFERROR(__xludf.DUMMYFUNCTION("GOOGLETRANSLATE(A247,""en"",""ur"")"),"246")</f>
        <v>246</v>
      </c>
      <c r="L247" s="2" t="str">
        <f>IFERROR(__xludf.DUMMYFUNCTION("GOOGLETRANSLATE(B247,""en"",""ur"")"),"مرد کی ظاہری جسمانی پوزیشن کیا ہے؟")</f>
        <v>مرد کی ظاہری جسمانی پوزیشن کیا ہے؟</v>
      </c>
      <c r="M247" s="2" t="str">
        <f>IFERROR(__xludf.DUMMYFUNCTION("GOOGLETRANSLATE(C247,""en"",""ur"")"),"سیدھا کھڑا ہونا")</f>
        <v>سیدھا کھڑا ہونا</v>
      </c>
      <c r="N247" s="2" t="str">
        <f>IFERROR(__xludf.DUMMYFUNCTION("GOOGLETRANSLATE(D247,""en"",""ur"")"),"کم، متحرک موقف میں")</f>
        <v>کم، متحرک موقف میں</v>
      </c>
      <c r="O247" s="2" t="str">
        <f>IFERROR(__xludf.DUMMYFUNCTION("GOOGLETRANSLATE(E247,""en"",""ur"")"),"زمین پر لیٹنا")</f>
        <v>زمین پر لیٹنا</v>
      </c>
      <c r="P247" s="2" t="str">
        <f>IFERROR(__xludf.DUMMYFUNCTION("GOOGLETRANSLATE(F247,""en"",""ur"")"),"بیٹھا ہوا")</f>
        <v>بیٹھا ہوا</v>
      </c>
      <c r="Q247" s="6" t="s">
        <v>433</v>
      </c>
      <c r="R247" s="6" t="str">
        <f>IFERROR(__xludf.DUMMYFUNCTION("""COMPUTED_VALUE"""),"ایک ریسلنگ میچ میں دو آدمی")</f>
        <v>ایک ریسلنگ میچ میں دو آدمی</v>
      </c>
      <c r="S247" s="6" t="s">
        <v>1291</v>
      </c>
      <c r="T247" s="6"/>
      <c r="U247" s="6"/>
      <c r="V247" s="6"/>
      <c r="W247" s="6"/>
      <c r="X247" s="6"/>
      <c r="Y247" s="6"/>
      <c r="Z247" s="6"/>
      <c r="AA247" s="6"/>
      <c r="AB247" s="6"/>
    </row>
    <row r="248">
      <c r="A248" s="7">
        <v>247.0</v>
      </c>
      <c r="B248" s="6" t="s">
        <v>434</v>
      </c>
      <c r="C248" s="6" t="s">
        <v>435</v>
      </c>
      <c r="D248" s="6" t="s">
        <v>436</v>
      </c>
      <c r="E248" s="6" t="s">
        <v>1248</v>
      </c>
      <c r="F248" s="6" t="s">
        <v>438</v>
      </c>
      <c r="G248" s="6" t="s">
        <v>1248</v>
      </c>
      <c r="H248" s="6" t="s">
        <v>1291</v>
      </c>
      <c r="I248" s="6"/>
      <c r="J248" s="6"/>
      <c r="K248" s="2" t="str">
        <f>IFERROR(__xludf.DUMMYFUNCTION("GOOGLETRANSLATE(A248,""en"",""ur"")"),"247")</f>
        <v>247</v>
      </c>
      <c r="L248" s="2" t="str">
        <f>IFERROR(__xludf.DUMMYFUNCTION("GOOGLETRANSLATE(B248,""en"",""ur"")"),"پس منظر میں ہجوم کی سب سے نمایاں خصوصیت کیا ہے؟")</f>
        <v>پس منظر میں ہجوم کی سب سے نمایاں خصوصیت کیا ہے؟</v>
      </c>
      <c r="M248" s="2" t="str">
        <f>IFERROR(__xludf.DUMMYFUNCTION("GOOGLETRANSLATE(C248,""en"",""ur"")"),"وہ بھاگ رہے ہیں۔")</f>
        <v>وہ بھاگ رہے ہیں۔</v>
      </c>
      <c r="N248" s="2" t="str">
        <f>IFERROR(__xludf.DUMMYFUNCTION("GOOGLETRANSLATE(D248,""en"",""ur"")"),"وہ خاموش بیٹھے ہیں۔")</f>
        <v>وہ خاموش بیٹھے ہیں۔</v>
      </c>
      <c r="O248" s="2" t="str">
        <f>IFERROR(__xludf.DUMMYFUNCTION("GOOGLETRANSLATE(E248,""en"",""ur"")"),"وہ لڑائی کو قدرتی ماحول سے دیکھ رہے ہیں۔")</f>
        <v>وہ لڑائی کو قدرتی ماحول سے دیکھ رہے ہیں۔</v>
      </c>
      <c r="P248" s="2" t="str">
        <f>IFERROR(__xludf.DUMMYFUNCTION("GOOGLETRANSLATE(F248,""en"",""ur"")"),"وہ سب ایک اسٹیج پر کھڑے ہیں۔")</f>
        <v>وہ سب ایک اسٹیج پر کھڑے ہیں۔</v>
      </c>
      <c r="Q248" s="6" t="s">
        <v>1249</v>
      </c>
      <c r="R248" s="6" t="str">
        <f>IFERROR(__xludf.DUMMYFUNCTION("""COMPUTED_VALUE"""),"ایک ریسلنگ میچ میں دو آدمی")</f>
        <v>ایک ریسلنگ میچ میں دو آدمی</v>
      </c>
      <c r="S248" s="6" t="s">
        <v>1291</v>
      </c>
      <c r="T248" s="6"/>
      <c r="U248" s="6"/>
      <c r="V248" s="6"/>
      <c r="W248" s="6"/>
      <c r="X248" s="6"/>
      <c r="Y248" s="6"/>
      <c r="Z248" s="6"/>
      <c r="AA248" s="6"/>
      <c r="AB248" s="6"/>
    </row>
    <row r="249">
      <c r="A249" s="7">
        <v>248.0</v>
      </c>
      <c r="B249" s="6" t="s">
        <v>440</v>
      </c>
      <c r="C249" s="6" t="s">
        <v>441</v>
      </c>
      <c r="D249" s="6" t="s">
        <v>442</v>
      </c>
      <c r="E249" s="6" t="s">
        <v>512</v>
      </c>
      <c r="F249" s="6" t="s">
        <v>444</v>
      </c>
      <c r="G249" s="6" t="s">
        <v>512</v>
      </c>
      <c r="H249" s="6" t="s">
        <v>1291</v>
      </c>
      <c r="I249" s="6"/>
      <c r="J249" s="6"/>
      <c r="K249" s="2" t="str">
        <f>IFERROR(__xludf.DUMMYFUNCTION("GOOGLETRANSLATE(A249,""en"",""ur"")"),"248")</f>
        <v>248</v>
      </c>
      <c r="L249" s="2" t="str">
        <f>IFERROR(__xludf.DUMMYFUNCTION("GOOGLETRANSLATE(B249,""en"",""ur"")"),"زمین کی ظاہری حالت کیا ہے؟")</f>
        <v>زمین کی ظاہری حالت کیا ہے؟</v>
      </c>
      <c r="M249" s="2" t="str">
        <f>IFERROR(__xludf.DUMMYFUNCTION("GOOGLETRANSLATE(C249,""en"",""ur"")"),"یہ ایک پکی سطح ہے۔")</f>
        <v>یہ ایک پکی سطح ہے۔</v>
      </c>
      <c r="N249" s="2" t="str">
        <f>IFERROR(__xludf.DUMMYFUNCTION("GOOGLETRANSLATE(D249,""en"",""ur"")"),"یہ ایک کیچڑ والا میدان ہے۔")</f>
        <v>یہ ایک کیچڑ والا میدان ہے۔</v>
      </c>
      <c r="O249" s="2" t="str">
        <f>IFERROR(__xludf.DUMMYFUNCTION("GOOGLETRANSLATE(E249,""en"",""ur"")"),"یہ ایک ریتلی یا گندگی کی سطح ہے۔")</f>
        <v>یہ ایک ریتلی یا گندگی کی سطح ہے۔</v>
      </c>
      <c r="P249" s="2" t="str">
        <f>IFERROR(__xludf.DUMMYFUNCTION("GOOGLETRANSLATE(F249,""en"",""ur"")"),"یہ ایک گھاس والی سطح ہے۔")</f>
        <v>یہ ایک گھاس والی سطح ہے۔</v>
      </c>
      <c r="Q249" s="6" t="s">
        <v>1219</v>
      </c>
      <c r="R249" s="6" t="str">
        <f>IFERROR(__xludf.DUMMYFUNCTION("""COMPUTED_VALUE"""),"ایک ریسلنگ میچ میں دو آدمی")</f>
        <v>ایک ریسلنگ میچ میں دو آدمی</v>
      </c>
      <c r="S249" s="6" t="s">
        <v>1291</v>
      </c>
      <c r="T249" s="6"/>
      <c r="U249" s="6"/>
      <c r="V249" s="6"/>
      <c r="W249" s="6"/>
      <c r="X249" s="6"/>
      <c r="Y249" s="6"/>
      <c r="Z249" s="6"/>
      <c r="AA249" s="6"/>
      <c r="AB249" s="6"/>
    </row>
    <row r="250">
      <c r="A250" s="7">
        <v>249.0</v>
      </c>
      <c r="B250" s="6" t="s">
        <v>1250</v>
      </c>
      <c r="C250" s="6" t="s">
        <v>450</v>
      </c>
      <c r="D250" s="6" t="s">
        <v>1251</v>
      </c>
      <c r="E250" s="6" t="s">
        <v>449</v>
      </c>
      <c r="F250" s="6" t="s">
        <v>1252</v>
      </c>
      <c r="G250" s="6" t="s">
        <v>1252</v>
      </c>
      <c r="H250" s="6" t="s">
        <v>1291</v>
      </c>
      <c r="I250" s="6"/>
      <c r="J250" s="6"/>
      <c r="K250" s="2" t="str">
        <f>IFERROR(__xludf.DUMMYFUNCTION("GOOGLETRANSLATE(A250,""en"",""ur"")"),"249")</f>
        <v>249</v>
      </c>
      <c r="L250" s="2" t="str">
        <f>IFERROR(__xludf.DUMMYFUNCTION("GOOGLETRANSLATE(B250,""en"",""ur"")"),"آدمی کے پوز کا بنیادی مقصد کیا ہے؟")</f>
        <v>آدمی کے پوز کا بنیادی مقصد کیا ہے؟</v>
      </c>
      <c r="M250" s="2" t="str">
        <f>IFERROR(__xludf.DUMMYFUNCTION("GOOGLETRANSLATE(C250,""en"",""ur"")"),"سورج کو روکنے کے لئے")</f>
        <v>سورج کو روکنے کے لئے</v>
      </c>
      <c r="N250" s="2" t="str">
        <f>IFERROR(__xludf.DUMMYFUNCTION("GOOGLETRANSLATE(D250,""en"",""ur"")"),"تصویر کے لیے پوز کرنا")</f>
        <v>تصویر کے لیے پوز کرنا</v>
      </c>
      <c r="O250" s="2" t="str">
        <f>IFERROR(__xludf.DUMMYFUNCTION("GOOGLETRANSLATE(E250,""en"",""ur"")"),"صرف سجاوٹ کے لیے")</f>
        <v>صرف سجاوٹ کے لیے</v>
      </c>
      <c r="P250" s="2" t="str">
        <f>IFERROR(__xludf.DUMMYFUNCTION("GOOGLETRANSLATE(F250,""en"",""ur"")"),"ٹیک ڈاؤن دکھانے کے لیے")</f>
        <v>ٹیک ڈاؤن دکھانے کے لیے</v>
      </c>
      <c r="Q250" s="6" t="s">
        <v>1253</v>
      </c>
      <c r="R250" s="6" t="str">
        <f>IFERROR(__xludf.DUMMYFUNCTION("""COMPUTED_VALUE"""),"ایک ریسلنگ میچ میں دو آدمی")</f>
        <v>ایک ریسلنگ میچ میں دو آدمی</v>
      </c>
      <c r="S250" s="6" t="s">
        <v>1291</v>
      </c>
      <c r="T250" s="6"/>
      <c r="U250" s="6"/>
      <c r="V250" s="6"/>
      <c r="W250" s="6"/>
      <c r="X250" s="6"/>
      <c r="Y250" s="6"/>
      <c r="Z250" s="6"/>
      <c r="AA250" s="6"/>
      <c r="AB250" s="6"/>
    </row>
    <row r="251">
      <c r="A251" s="7">
        <v>250.0</v>
      </c>
      <c r="B251" s="6" t="s">
        <v>452</v>
      </c>
      <c r="C251" s="6" t="s">
        <v>453</v>
      </c>
      <c r="D251" s="6" t="s">
        <v>454</v>
      </c>
      <c r="E251" s="6" t="s">
        <v>455</v>
      </c>
      <c r="F251" s="6" t="s">
        <v>456</v>
      </c>
      <c r="G251" s="6" t="s">
        <v>454</v>
      </c>
      <c r="H251" s="6" t="s">
        <v>1291</v>
      </c>
      <c r="I251" s="6"/>
      <c r="J251" s="6"/>
      <c r="K251" s="2" t="str">
        <f>IFERROR(__xludf.DUMMYFUNCTION("GOOGLETRANSLATE(A251,""en"",""ur"")"),"250")</f>
        <v>250</v>
      </c>
      <c r="L251" s="2" t="str">
        <f>IFERROR(__xludf.DUMMYFUNCTION("GOOGLETRANSLATE(B251,""en"",""ur"")"),"ایونٹ کا مجموعی موڈ ایسا لگتا ہے...")</f>
        <v>ایونٹ کا مجموعی موڈ ایسا لگتا ہے...</v>
      </c>
      <c r="M251" s="2" t="str">
        <f>IFERROR(__xludf.DUMMYFUNCTION("GOOGLETRANSLATE(C251,""en"",""ur"")"),"ایک آرام دہ مشق سیشن")</f>
        <v>ایک آرام دہ مشق سیشن</v>
      </c>
      <c r="N251" s="2" t="str">
        <f>IFERROR(__xludf.DUMMYFUNCTION("GOOGLETRANSLATE(D251,""en"",""ur"")"),"ایک تناؤ اور جارحانہ کارکردگی")</f>
        <v>ایک تناؤ اور جارحانہ کارکردگی</v>
      </c>
      <c r="O251" s="2" t="str">
        <f>IFERROR(__xludf.DUMMYFUNCTION("GOOGLETRANSLATE(E251,""en"",""ur"")"),"ایک پرسکون، پرامن اجتماع")</f>
        <v>ایک پرسکون، پرامن اجتماع</v>
      </c>
      <c r="P251" s="2" t="str">
        <f>IFERROR(__xludf.DUMMYFUNCTION("GOOGLETRANSLATE(F251,""en"",""ur"")"),"ایک سست، رسمی رقص")</f>
        <v>ایک سست، رسمی رقص</v>
      </c>
      <c r="Q251" s="6" t="s">
        <v>457</v>
      </c>
      <c r="R251" s="6" t="str">
        <f>IFERROR(__xludf.DUMMYFUNCTION("""COMPUTED_VALUE"""),"ایک ریسلنگ میچ میں دو آدمی")</f>
        <v>ایک ریسلنگ میچ میں دو آدمی</v>
      </c>
      <c r="S251" s="6" t="s">
        <v>1291</v>
      </c>
      <c r="T251" s="6"/>
      <c r="U251" s="6"/>
      <c r="V251" s="6"/>
      <c r="W251" s="6"/>
      <c r="X251" s="6"/>
      <c r="Y251" s="6"/>
      <c r="Z251" s="6"/>
      <c r="AA251" s="6"/>
      <c r="AB251" s="6"/>
    </row>
    <row r="252">
      <c r="A252" s="7">
        <v>251.0</v>
      </c>
      <c r="B252" s="6" t="s">
        <v>1293</v>
      </c>
      <c r="C252" s="6" t="s">
        <v>405</v>
      </c>
      <c r="D252" s="6" t="s">
        <v>464</v>
      </c>
      <c r="E252" s="6" t="s">
        <v>465</v>
      </c>
      <c r="F252" s="6" t="s">
        <v>1238</v>
      </c>
      <c r="G252" s="6" t="s">
        <v>465</v>
      </c>
      <c r="H252" s="6" t="s">
        <v>1294</v>
      </c>
      <c r="I252" s="6"/>
      <c r="J252" s="6"/>
      <c r="K252" s="2" t="str">
        <f>IFERROR(__xludf.DUMMYFUNCTION("GOOGLETRANSLATE(A252,""en"",""ur"")"),"251")</f>
        <v>251</v>
      </c>
      <c r="L252" s="2" t="str">
        <f>IFERROR(__xludf.DUMMYFUNCTION("GOOGLETRANSLATE(B252,""en"",""ur"")"),"ملاخرہ_78 میں اصل عمل کیا ہے؟")</f>
        <v>ملاخرہ_78 میں اصل عمل کیا ہے؟</v>
      </c>
      <c r="M252" s="2" t="str">
        <f>IFERROR(__xludf.DUMMYFUNCTION("GOOGLETRANSLATE(C252,""en"",""ur"")"),"دو آدمی تلواروں سے لڑ رہے ہیں۔")</f>
        <v>دو آدمی تلواروں سے لڑ رہے ہیں۔</v>
      </c>
      <c r="N252" s="2" t="str">
        <f>IFERROR(__xludf.DUMMYFUNCTION("GOOGLETRANSLATE(D252,""en"",""ur"")"),"ایک آدمی ناچ رہا ہے۔")</f>
        <v>ایک آدمی ناچ رہا ہے۔</v>
      </c>
      <c r="O252" s="2" t="str">
        <f>IFERROR(__xludf.DUMMYFUNCTION("GOOGLETRANSLATE(E252,""en"",""ur"")"),"ایک آدمی سہارے کے ساتھ پوز کر رہا ہے۔")</f>
        <v>ایک آدمی سہارے کے ساتھ پوز کر رہا ہے۔</v>
      </c>
      <c r="P252" s="2" t="str">
        <f>IFERROR(__xludf.DUMMYFUNCTION("GOOGLETRANSLATE(F252,""en"",""ur"")"),"ایک آدمی دوڑ رہا ہے۔")</f>
        <v>ایک آدمی دوڑ رہا ہے۔</v>
      </c>
      <c r="Q252" s="6" t="s">
        <v>1295</v>
      </c>
      <c r="R252" s="6" t="str">
        <f>IFERROR(__xludf.DUMMYFUNCTION("""COMPUTED_VALUE"""),"ایک ریسلنگ میچ میں دو آدمی")</f>
        <v>ایک ریسلنگ میچ میں دو آدمی</v>
      </c>
      <c r="S252" s="6" t="s">
        <v>1294</v>
      </c>
      <c r="T252" s="6"/>
      <c r="U252" s="6"/>
      <c r="V252" s="6"/>
      <c r="W252" s="6"/>
      <c r="X252" s="6"/>
      <c r="Y252" s="6"/>
      <c r="Z252" s="6"/>
      <c r="AA252" s="6"/>
      <c r="AB252" s="6"/>
    </row>
    <row r="253">
      <c r="A253" s="7">
        <v>252.0</v>
      </c>
      <c r="B253" s="6" t="s">
        <v>1241</v>
      </c>
      <c r="C253" s="6" t="s">
        <v>411</v>
      </c>
      <c r="D253" s="6" t="s">
        <v>1242</v>
      </c>
      <c r="E253" s="6" t="s">
        <v>334</v>
      </c>
      <c r="F253" s="6" t="s">
        <v>308</v>
      </c>
      <c r="G253" s="6" t="s">
        <v>308</v>
      </c>
      <c r="H253" s="6" t="s">
        <v>1294</v>
      </c>
      <c r="I253" s="6"/>
      <c r="J253" s="6"/>
      <c r="K253" s="2" t="str">
        <f>IFERROR(__xludf.DUMMYFUNCTION("GOOGLETRANSLATE(A253,""en"",""ur"")"),"252")</f>
        <v>252</v>
      </c>
      <c r="L253" s="2" t="str">
        <f>IFERROR(__xludf.DUMMYFUNCTION("GOOGLETRANSLATE(B253,""en"",""ur"")"),"آدمی کے لباس کے بارے میں ایک قابل ذکر تفصیل کیا ہے؟")</f>
        <v>آدمی کے لباس کے بارے میں ایک قابل ذکر تفصیل کیا ہے؟</v>
      </c>
      <c r="M253" s="2" t="str">
        <f>IFERROR(__xludf.DUMMYFUNCTION("GOOGLETRANSLATE(C253,""en"",""ur"")"),"اس نے بکتر کا پورا سوٹ پہن رکھا ہے۔")</f>
        <v>اس نے بکتر کا پورا سوٹ پہن رکھا ہے۔</v>
      </c>
      <c r="N253" s="2" t="str">
        <f>IFERROR(__xludf.DUMMYFUNCTION("GOOGLETRANSLATE(D253,""en"",""ur"")"),"اس نے ایک لمبا، پیٹرن والا اسکرٹ پہن رکھا ہے۔")</f>
        <v>اس نے ایک لمبا، پیٹرن والا اسکرٹ پہن رکھا ہے۔</v>
      </c>
      <c r="O253" s="2" t="str">
        <f>IFERROR(__xludf.DUMMYFUNCTION("GOOGLETRANSLATE(E253,""en"",""ur"")"),"اس نے شارٹس اور ٹی شرٹ پہن رکھی ہے۔")</f>
        <v>اس نے شارٹس اور ٹی شرٹ پہن رکھی ہے۔</v>
      </c>
      <c r="P253" s="2" t="str">
        <f>IFERROR(__xludf.DUMMYFUNCTION("GOOGLETRANSLATE(F253,""en"",""ur"")"),"اس نے کوئی لباس نہیں پہنا ہوا ہے۔")</f>
        <v>اس نے کوئی لباس نہیں پہنا ہوا ہے۔</v>
      </c>
      <c r="Q253" s="6" t="s">
        <v>1243</v>
      </c>
      <c r="R253" s="6" t="str">
        <f>IFERROR(__xludf.DUMMYFUNCTION("""COMPUTED_VALUE"""),"ایک ریسلنگ میچ میں دو آدمی")</f>
        <v>ایک ریسلنگ میچ میں دو آدمی</v>
      </c>
      <c r="S253" s="6" t="s">
        <v>1294</v>
      </c>
      <c r="T253" s="6"/>
      <c r="U253" s="6"/>
      <c r="V253" s="6"/>
      <c r="W253" s="6"/>
      <c r="X253" s="6"/>
      <c r="Y253" s="6"/>
      <c r="Z253" s="6"/>
      <c r="AA253" s="6"/>
      <c r="AB253" s="6"/>
    </row>
    <row r="254">
      <c r="A254" s="7">
        <v>253.0</v>
      </c>
      <c r="B254" s="6" t="s">
        <v>471</v>
      </c>
      <c r="C254" s="6" t="s">
        <v>416</v>
      </c>
      <c r="D254" s="6" t="s">
        <v>417</v>
      </c>
      <c r="E254" s="6" t="s">
        <v>418</v>
      </c>
      <c r="F254" s="6" t="s">
        <v>419</v>
      </c>
      <c r="G254" s="6" t="s">
        <v>419</v>
      </c>
      <c r="H254" s="6" t="s">
        <v>1294</v>
      </c>
      <c r="I254" s="6"/>
      <c r="J254" s="6"/>
      <c r="K254" s="2" t="str">
        <f>IFERROR(__xludf.DUMMYFUNCTION("GOOGLETRANSLATE(A254,""en"",""ur"")"),"253")</f>
        <v>253</v>
      </c>
      <c r="L254" s="2" t="str">
        <f>IFERROR(__xludf.DUMMYFUNCTION("GOOGLETRANSLATE(B254,""en"",""ur"")"),"آدمی کی طرف سے استعمال کیا جاتا بنیادی ہتھیار کیا ہے؟")</f>
        <v>آدمی کی طرف سے استعمال کیا جاتا بنیادی ہتھیار کیا ہے؟</v>
      </c>
      <c r="M254" s="2" t="str">
        <f>IFERROR(__xludf.DUMMYFUNCTION("GOOGLETRANSLATE(C254,""en"",""ur"")"),"ایک چھوٹی تلوار")</f>
        <v>ایک چھوٹی تلوار</v>
      </c>
      <c r="N254" s="2" t="str">
        <f>IFERROR(__xludf.DUMMYFUNCTION("GOOGLETRANSLATE(D254,""en"",""ur"")"),"ایک لمبی چھڑی")</f>
        <v>ایک لمبی چھڑی</v>
      </c>
      <c r="O254" s="2" t="str">
        <f>IFERROR(__xludf.DUMMYFUNCTION("GOOGLETRANSLATE(E254,""en"",""ur"")"),"ایک کمان اور تیر")</f>
        <v>ایک کمان اور تیر</v>
      </c>
      <c r="P254" s="2" t="str">
        <f>IFERROR(__xludf.DUMMYFUNCTION("GOOGLETRANSLATE(F254,""en"",""ur"")"),"ایک ننگی مٹھی")</f>
        <v>ایک ننگی مٹھی</v>
      </c>
      <c r="Q254" s="6" t="s">
        <v>420</v>
      </c>
      <c r="R254" s="6" t="str">
        <f>IFERROR(__xludf.DUMMYFUNCTION("""COMPUTED_VALUE"""),"ایک ریسلنگ میچ میں دو آدمی")</f>
        <v>ایک ریسلنگ میچ میں دو آدمی</v>
      </c>
      <c r="S254" s="6" t="s">
        <v>1294</v>
      </c>
      <c r="T254" s="6"/>
      <c r="U254" s="6"/>
      <c r="V254" s="6"/>
      <c r="W254" s="6"/>
      <c r="X254" s="6"/>
      <c r="Y254" s="6"/>
      <c r="Z254" s="6"/>
      <c r="AA254" s="6"/>
      <c r="AB254" s="6"/>
    </row>
    <row r="255">
      <c r="A255" s="7">
        <v>254.0</v>
      </c>
      <c r="B255" s="6" t="s">
        <v>1244</v>
      </c>
      <c r="C255" s="6" t="s">
        <v>422</v>
      </c>
      <c r="D255" s="6" t="s">
        <v>423</v>
      </c>
      <c r="E255" s="6" t="s">
        <v>1245</v>
      </c>
      <c r="F255" s="6" t="s">
        <v>508</v>
      </c>
      <c r="G255" s="6" t="s">
        <v>423</v>
      </c>
      <c r="H255" s="6" t="s">
        <v>1294</v>
      </c>
      <c r="I255" s="6"/>
      <c r="J255" s="6"/>
      <c r="K255" s="2" t="str">
        <f>IFERROR(__xludf.DUMMYFUNCTION("GOOGLETRANSLATE(A255,""en"",""ur"")"),"254")</f>
        <v>254</v>
      </c>
      <c r="L255" s="2" t="str">
        <f>IFERROR(__xludf.DUMMYFUNCTION("GOOGLETRANSLATE(B255,""en"",""ur"")"),"اس منظر کی ترتیب کیا ہے؟")</f>
        <v>اس منظر کی ترتیب کیا ہے؟</v>
      </c>
      <c r="M255" s="2" t="str">
        <f>IFERROR(__xludf.DUMMYFUNCTION("GOOGLETRANSLATE(C255,""en"",""ur"")"),"ایک انڈور اسٹیڈیم")</f>
        <v>ایک انڈور اسٹیڈیم</v>
      </c>
      <c r="N255" s="2" t="str">
        <f>IFERROR(__xludf.DUMMYFUNCTION("GOOGLETRANSLATE(D255,""en"",""ur"")"),"ایک دیہی، بیرونی علاقہ")</f>
        <v>ایک دیہی، بیرونی علاقہ</v>
      </c>
      <c r="O255" s="2" t="str">
        <f>IFERROR(__xludf.DUMMYFUNCTION("GOOGLETRANSLATE(E255,""en"",""ur"")"),"شہر کی پکی گلی")</f>
        <v>شہر کی پکی گلی</v>
      </c>
      <c r="P255" s="2" t="str">
        <f>IFERROR(__xludf.DUMMYFUNCTION("GOOGLETRANSLATE(F255,""en"",""ur"")"),"ایک پرسکون ساحل")</f>
        <v>ایک پرسکون ساحل</v>
      </c>
      <c r="Q255" s="6" t="s">
        <v>1246</v>
      </c>
      <c r="R255" s="6" t="str">
        <f>IFERROR(__xludf.DUMMYFUNCTION("""COMPUTED_VALUE"""),"ایک ریسلنگ میچ میں دو آدمی")</f>
        <v>ایک ریسلنگ میچ میں دو آدمی</v>
      </c>
      <c r="S255" s="6" t="s">
        <v>1294</v>
      </c>
      <c r="T255" s="6"/>
      <c r="U255" s="6"/>
      <c r="V255" s="6"/>
      <c r="W255" s="6"/>
      <c r="X255" s="6"/>
      <c r="Y255" s="6"/>
      <c r="Z255" s="6"/>
      <c r="AA255" s="6"/>
      <c r="AB255" s="6"/>
    </row>
    <row r="256">
      <c r="A256" s="7">
        <v>255.0</v>
      </c>
      <c r="B256" s="6" t="s">
        <v>1247</v>
      </c>
      <c r="C256" s="6" t="s">
        <v>47</v>
      </c>
      <c r="D256" s="6" t="s">
        <v>48</v>
      </c>
      <c r="E256" s="6" t="s">
        <v>49</v>
      </c>
      <c r="F256" s="6" t="s">
        <v>50</v>
      </c>
      <c r="G256" s="6" t="s">
        <v>49</v>
      </c>
      <c r="H256" s="6" t="s">
        <v>1294</v>
      </c>
      <c r="I256" s="6"/>
      <c r="J256" s="6"/>
      <c r="K256" s="2" t="str">
        <f>IFERROR(__xludf.DUMMYFUNCTION("GOOGLETRANSLATE(A256,""en"",""ur"")"),"255")</f>
        <v>255</v>
      </c>
      <c r="L256" s="2" t="str">
        <f>IFERROR(__xludf.DUMMYFUNCTION("GOOGLETRANSLATE(B256,""en"",""ur"")"),"آدمی کے چہرے سے ظاہری جذبات کیا ہیں؟")</f>
        <v>آدمی کے چہرے سے ظاہری جذبات کیا ہیں؟</v>
      </c>
      <c r="M256" s="2" t="str">
        <f>IFERROR(__xludf.DUMMYFUNCTION("GOOGLETRANSLATE(C256,""en"",""ur"")"),"پرسکون اور پر سکون")</f>
        <v>پرسکون اور پر سکون</v>
      </c>
      <c r="N256" s="2" t="str">
        <f>IFERROR(__xludf.DUMMYFUNCTION("GOOGLETRANSLATE(D256,""en"",""ur"")"),"خوف زدہ اور بے چین")</f>
        <v>خوف زدہ اور بے چین</v>
      </c>
      <c r="O256" s="2" t="str">
        <f>IFERROR(__xludf.DUMMYFUNCTION("GOOGLETRANSLATE(E256,""en"",""ur"")"),"کشیدہ اور شدید")</f>
        <v>کشیدہ اور شدید</v>
      </c>
      <c r="P256" s="2" t="str">
        <f>IFERROR(__xludf.DUMMYFUNCTION("GOOGLETRANSLATE(F256,""en"",""ur"")"),"خوش اور مسکراتے ہوئے۔")</f>
        <v>خوش اور مسکراتے ہوئے۔</v>
      </c>
      <c r="Q256" s="6" t="s">
        <v>51</v>
      </c>
      <c r="R256" s="6" t="str">
        <f>IFERROR(__xludf.DUMMYFUNCTION("""COMPUTED_VALUE"""),"ایک ریسلنگ میچ میں دو آدمی")</f>
        <v>ایک ریسلنگ میچ میں دو آدمی</v>
      </c>
      <c r="S256" s="6" t="s">
        <v>1294</v>
      </c>
      <c r="T256" s="6"/>
      <c r="U256" s="6"/>
      <c r="V256" s="6"/>
      <c r="W256" s="6"/>
      <c r="X256" s="6"/>
      <c r="Y256" s="6"/>
      <c r="Z256" s="6"/>
      <c r="AA256" s="6"/>
      <c r="AB256" s="6"/>
    </row>
    <row r="257">
      <c r="A257" s="7">
        <v>256.0</v>
      </c>
      <c r="B257" s="6" t="s">
        <v>473</v>
      </c>
      <c r="C257" s="6" t="s">
        <v>429</v>
      </c>
      <c r="D257" s="6" t="s">
        <v>430</v>
      </c>
      <c r="E257" s="6" t="s">
        <v>431</v>
      </c>
      <c r="F257" s="6" t="s">
        <v>432</v>
      </c>
      <c r="G257" s="6" t="s">
        <v>429</v>
      </c>
      <c r="H257" s="6" t="s">
        <v>1294</v>
      </c>
      <c r="I257" s="6"/>
      <c r="J257" s="6"/>
      <c r="K257" s="2" t="str">
        <f>IFERROR(__xludf.DUMMYFUNCTION("GOOGLETRANSLATE(A257,""en"",""ur"")"),"256")</f>
        <v>256</v>
      </c>
      <c r="L257" s="2" t="str">
        <f>IFERROR(__xludf.DUMMYFUNCTION("GOOGLETRANSLATE(B257,""en"",""ur"")"),"مرد کی ظاہری جسمانی پوزیشن کیا ہے؟")</f>
        <v>مرد کی ظاہری جسمانی پوزیشن کیا ہے؟</v>
      </c>
      <c r="M257" s="2" t="str">
        <f>IFERROR(__xludf.DUMMYFUNCTION("GOOGLETRANSLATE(C257,""en"",""ur"")"),"سیدھا کھڑا ہونا")</f>
        <v>سیدھا کھڑا ہونا</v>
      </c>
      <c r="N257" s="2" t="str">
        <f>IFERROR(__xludf.DUMMYFUNCTION("GOOGLETRANSLATE(D257,""en"",""ur"")"),"کم، متحرک موقف میں")</f>
        <v>کم، متحرک موقف میں</v>
      </c>
      <c r="O257" s="2" t="str">
        <f>IFERROR(__xludf.DUMMYFUNCTION("GOOGLETRANSLATE(E257,""en"",""ur"")"),"زمین پر لیٹنا")</f>
        <v>زمین پر لیٹنا</v>
      </c>
      <c r="P257" s="2" t="str">
        <f>IFERROR(__xludf.DUMMYFUNCTION("GOOGLETRANSLATE(F257,""en"",""ur"")"),"بیٹھا ہوا")</f>
        <v>بیٹھا ہوا</v>
      </c>
      <c r="Q257" s="6" t="s">
        <v>433</v>
      </c>
      <c r="R257" s="6" t="str">
        <f>IFERROR(__xludf.DUMMYFUNCTION("""COMPUTED_VALUE"""),"ایک ریسلنگ میچ میں دو آدمی")</f>
        <v>ایک ریسلنگ میچ میں دو آدمی</v>
      </c>
      <c r="S257" s="6" t="s">
        <v>1294</v>
      </c>
      <c r="T257" s="6"/>
      <c r="U257" s="6"/>
      <c r="V257" s="6"/>
      <c r="W257" s="6"/>
      <c r="X257" s="6"/>
      <c r="Y257" s="6"/>
      <c r="Z257" s="6"/>
      <c r="AA257" s="6"/>
      <c r="AB257" s="6"/>
    </row>
    <row r="258">
      <c r="A258" s="7">
        <v>257.0</v>
      </c>
      <c r="B258" s="6" t="s">
        <v>434</v>
      </c>
      <c r="C258" s="6" t="s">
        <v>435</v>
      </c>
      <c r="D258" s="6" t="s">
        <v>436</v>
      </c>
      <c r="E258" s="6" t="s">
        <v>1248</v>
      </c>
      <c r="F258" s="6" t="s">
        <v>438</v>
      </c>
      <c r="G258" s="6" t="s">
        <v>1248</v>
      </c>
      <c r="H258" s="6" t="s">
        <v>1294</v>
      </c>
      <c r="I258" s="6"/>
      <c r="J258" s="6"/>
      <c r="K258" s="2" t="str">
        <f>IFERROR(__xludf.DUMMYFUNCTION("GOOGLETRANSLATE(A258,""en"",""ur"")"),"257")</f>
        <v>257</v>
      </c>
      <c r="L258" s="2" t="str">
        <f>IFERROR(__xludf.DUMMYFUNCTION("GOOGLETRANSLATE(B258,""en"",""ur"")"),"پس منظر میں ہجوم کی سب سے نمایاں خصوصیت کیا ہے؟")</f>
        <v>پس منظر میں ہجوم کی سب سے نمایاں خصوصیت کیا ہے؟</v>
      </c>
      <c r="M258" s="2" t="str">
        <f>IFERROR(__xludf.DUMMYFUNCTION("GOOGLETRANSLATE(C258,""en"",""ur"")"),"وہ بھاگ رہے ہیں۔")</f>
        <v>وہ بھاگ رہے ہیں۔</v>
      </c>
      <c r="N258" s="2" t="str">
        <f>IFERROR(__xludf.DUMMYFUNCTION("GOOGLETRANSLATE(D258,""en"",""ur"")"),"وہ خاموش بیٹھے ہیں۔")</f>
        <v>وہ خاموش بیٹھے ہیں۔</v>
      </c>
      <c r="O258" s="2" t="str">
        <f>IFERROR(__xludf.DUMMYFUNCTION("GOOGLETRANSLATE(E258,""en"",""ur"")"),"وہ لڑائی کو قدرتی ماحول سے دیکھ رہے ہیں۔")</f>
        <v>وہ لڑائی کو قدرتی ماحول سے دیکھ رہے ہیں۔</v>
      </c>
      <c r="P258" s="2" t="str">
        <f>IFERROR(__xludf.DUMMYFUNCTION("GOOGLETRANSLATE(F258,""en"",""ur"")"),"وہ سب ایک اسٹیج پر کھڑے ہیں۔")</f>
        <v>وہ سب ایک اسٹیج پر کھڑے ہیں۔</v>
      </c>
      <c r="Q258" s="6" t="s">
        <v>1249</v>
      </c>
      <c r="R258" s="6" t="str">
        <f>IFERROR(__xludf.DUMMYFUNCTION("""COMPUTED_VALUE"""),"ایک ریسلنگ میچ میں دو آدمی")</f>
        <v>ایک ریسلنگ میچ میں دو آدمی</v>
      </c>
      <c r="S258" s="6" t="s">
        <v>1294</v>
      </c>
      <c r="T258" s="6"/>
      <c r="U258" s="6"/>
      <c r="V258" s="6"/>
      <c r="W258" s="6"/>
      <c r="X258" s="6"/>
      <c r="Y258" s="6"/>
      <c r="Z258" s="6"/>
      <c r="AA258" s="6"/>
      <c r="AB258" s="6"/>
    </row>
    <row r="259">
      <c r="A259" s="7">
        <v>258.0</v>
      </c>
      <c r="B259" s="6" t="s">
        <v>440</v>
      </c>
      <c r="C259" s="6" t="s">
        <v>441</v>
      </c>
      <c r="D259" s="6" t="s">
        <v>442</v>
      </c>
      <c r="E259" s="6" t="s">
        <v>512</v>
      </c>
      <c r="F259" s="6" t="s">
        <v>444</v>
      </c>
      <c r="G259" s="6" t="s">
        <v>512</v>
      </c>
      <c r="H259" s="6" t="s">
        <v>1294</v>
      </c>
      <c r="I259" s="6"/>
      <c r="J259" s="6"/>
      <c r="K259" s="2" t="str">
        <f>IFERROR(__xludf.DUMMYFUNCTION("GOOGLETRANSLATE(A259,""en"",""ur"")"),"258")</f>
        <v>258</v>
      </c>
      <c r="L259" s="2" t="str">
        <f>IFERROR(__xludf.DUMMYFUNCTION("GOOGLETRANSLATE(B259,""en"",""ur"")"),"زمین کی ظاہری حالت کیا ہے؟")</f>
        <v>زمین کی ظاہری حالت کیا ہے؟</v>
      </c>
      <c r="M259" s="2" t="str">
        <f>IFERROR(__xludf.DUMMYFUNCTION("GOOGLETRANSLATE(C259,""en"",""ur"")"),"یہ ایک پکی سطح ہے۔")</f>
        <v>یہ ایک پکی سطح ہے۔</v>
      </c>
      <c r="N259" s="2" t="str">
        <f>IFERROR(__xludf.DUMMYFUNCTION("GOOGLETRANSLATE(D259,""en"",""ur"")"),"یہ ایک کیچڑ والا میدان ہے۔")</f>
        <v>یہ ایک کیچڑ والا میدان ہے۔</v>
      </c>
      <c r="O259" s="2" t="str">
        <f>IFERROR(__xludf.DUMMYFUNCTION("GOOGLETRANSLATE(E259,""en"",""ur"")"),"یہ ایک ریتلی یا گندگی کی سطح ہے۔")</f>
        <v>یہ ایک ریتلی یا گندگی کی سطح ہے۔</v>
      </c>
      <c r="P259" s="2" t="str">
        <f>IFERROR(__xludf.DUMMYFUNCTION("GOOGLETRANSLATE(F259,""en"",""ur"")"),"یہ ایک گھاس والی سطح ہے۔")</f>
        <v>یہ ایک گھاس والی سطح ہے۔</v>
      </c>
      <c r="Q259" s="6" t="s">
        <v>1219</v>
      </c>
      <c r="R259" s="6" t="str">
        <f>IFERROR(__xludf.DUMMYFUNCTION("""COMPUTED_VALUE"""),"ایک ریسلنگ میچ میں دو آدمی")</f>
        <v>ایک ریسلنگ میچ میں دو آدمی</v>
      </c>
      <c r="S259" s="6" t="s">
        <v>1294</v>
      </c>
      <c r="T259" s="6"/>
      <c r="U259" s="6"/>
      <c r="V259" s="6"/>
      <c r="W259" s="6"/>
      <c r="X259" s="6"/>
      <c r="Y259" s="6"/>
      <c r="Z259" s="6"/>
      <c r="AA259" s="6"/>
      <c r="AB259" s="6"/>
    </row>
    <row r="260">
      <c r="A260" s="7">
        <v>259.0</v>
      </c>
      <c r="B260" s="6" t="s">
        <v>1250</v>
      </c>
      <c r="C260" s="6" t="s">
        <v>450</v>
      </c>
      <c r="D260" s="6" t="s">
        <v>1251</v>
      </c>
      <c r="E260" s="6" t="s">
        <v>449</v>
      </c>
      <c r="F260" s="6" t="s">
        <v>1252</v>
      </c>
      <c r="G260" s="6" t="s">
        <v>1251</v>
      </c>
      <c r="H260" s="6" t="s">
        <v>1294</v>
      </c>
      <c r="I260" s="6"/>
      <c r="J260" s="6"/>
      <c r="K260" s="2" t="str">
        <f>IFERROR(__xludf.DUMMYFUNCTION("GOOGLETRANSLATE(A260,""en"",""ur"")"),"259")</f>
        <v>259</v>
      </c>
      <c r="L260" s="2" t="str">
        <f>IFERROR(__xludf.DUMMYFUNCTION("GOOGLETRANSLATE(B260,""en"",""ur"")"),"آدمی کے پوز کا بنیادی مقصد کیا ہے؟")</f>
        <v>آدمی کے پوز کا بنیادی مقصد کیا ہے؟</v>
      </c>
      <c r="M260" s="2" t="str">
        <f>IFERROR(__xludf.DUMMYFUNCTION("GOOGLETRANSLATE(C260,""en"",""ur"")"),"سورج کو روکنے کے لئے")</f>
        <v>سورج کو روکنے کے لئے</v>
      </c>
      <c r="N260" s="2" t="str">
        <f>IFERROR(__xludf.DUMMYFUNCTION("GOOGLETRANSLATE(D260,""en"",""ur"")"),"تصویر کے لیے پوز کرنا")</f>
        <v>تصویر کے لیے پوز کرنا</v>
      </c>
      <c r="O260" s="2" t="str">
        <f>IFERROR(__xludf.DUMMYFUNCTION("GOOGLETRANSLATE(E260,""en"",""ur"")"),"صرف سجاوٹ کے لیے")</f>
        <v>صرف سجاوٹ کے لیے</v>
      </c>
      <c r="P260" s="2" t="str">
        <f>IFERROR(__xludf.DUMMYFUNCTION("GOOGLETRANSLATE(F260,""en"",""ur"")"),"ٹیک ڈاؤن دکھانے کے لیے")</f>
        <v>ٹیک ڈاؤن دکھانے کے لیے</v>
      </c>
      <c r="Q260" s="6" t="s">
        <v>1253</v>
      </c>
      <c r="R260" s="6" t="str">
        <f>IFERROR(__xludf.DUMMYFUNCTION("""COMPUTED_VALUE"""),"ایک ریسلنگ میچ میں دو آدمی")</f>
        <v>ایک ریسلنگ میچ میں دو آدمی</v>
      </c>
      <c r="S260" s="6" t="s">
        <v>1294</v>
      </c>
      <c r="T260" s="6"/>
      <c r="U260" s="6"/>
      <c r="V260" s="6"/>
      <c r="W260" s="6"/>
      <c r="X260" s="6"/>
      <c r="Y260" s="6"/>
      <c r="Z260" s="6"/>
      <c r="AA260" s="6"/>
      <c r="AB260" s="6"/>
    </row>
    <row r="261">
      <c r="A261" s="7">
        <v>260.0</v>
      </c>
      <c r="B261" s="6" t="s">
        <v>452</v>
      </c>
      <c r="C261" s="6" t="s">
        <v>453</v>
      </c>
      <c r="D261" s="6" t="s">
        <v>454</v>
      </c>
      <c r="E261" s="6" t="s">
        <v>455</v>
      </c>
      <c r="F261" s="6" t="s">
        <v>456</v>
      </c>
      <c r="G261" s="6" t="s">
        <v>454</v>
      </c>
      <c r="H261" s="6" t="s">
        <v>1294</v>
      </c>
      <c r="I261" s="6"/>
      <c r="J261" s="6"/>
      <c r="K261" s="2" t="str">
        <f>IFERROR(__xludf.DUMMYFUNCTION("GOOGLETRANSLATE(A261,""en"",""ur"")"),"260")</f>
        <v>260</v>
      </c>
      <c r="L261" s="2" t="str">
        <f>IFERROR(__xludf.DUMMYFUNCTION("GOOGLETRANSLATE(B261,""en"",""ur"")"),"ایونٹ کا مجموعی موڈ ایسا لگتا ہے...")</f>
        <v>ایونٹ کا مجموعی موڈ ایسا لگتا ہے...</v>
      </c>
      <c r="M261" s="2" t="str">
        <f>IFERROR(__xludf.DUMMYFUNCTION("GOOGLETRANSLATE(C261,""en"",""ur"")"),"ایک آرام دہ مشق سیشن")</f>
        <v>ایک آرام دہ مشق سیشن</v>
      </c>
      <c r="N261" s="2" t="str">
        <f>IFERROR(__xludf.DUMMYFUNCTION("GOOGLETRANSLATE(D261,""en"",""ur"")"),"ایک تناؤ اور جارحانہ کارکردگی")</f>
        <v>ایک تناؤ اور جارحانہ کارکردگی</v>
      </c>
      <c r="O261" s="2" t="str">
        <f>IFERROR(__xludf.DUMMYFUNCTION("GOOGLETRANSLATE(E261,""en"",""ur"")"),"ایک پرسکون، پرامن اجتماع")</f>
        <v>ایک پرسکون، پرامن اجتماع</v>
      </c>
      <c r="P261" s="2" t="str">
        <f>IFERROR(__xludf.DUMMYFUNCTION("GOOGLETRANSLATE(F261,""en"",""ur"")"),"ایک سست، رسمی رقص")</f>
        <v>ایک سست، رسمی رقص</v>
      </c>
      <c r="Q261" s="6" t="s">
        <v>457</v>
      </c>
      <c r="R261" s="6" t="str">
        <f>IFERROR(__xludf.DUMMYFUNCTION("""COMPUTED_VALUE"""),"ایک ریسلنگ میچ میں دو آدمی")</f>
        <v>ایک ریسلنگ میچ میں دو آدمی</v>
      </c>
      <c r="S261" s="6" t="s">
        <v>1294</v>
      </c>
      <c r="T261" s="6"/>
      <c r="U261" s="6"/>
      <c r="V261" s="6"/>
      <c r="W261" s="6"/>
      <c r="X261" s="6"/>
      <c r="Y261" s="6"/>
      <c r="Z261" s="6"/>
      <c r="AA261" s="6"/>
      <c r="AB261" s="6"/>
    </row>
    <row r="262">
      <c r="A262" s="7">
        <v>261.0</v>
      </c>
      <c r="B262" s="6" t="s">
        <v>1296</v>
      </c>
      <c r="C262" s="6" t="s">
        <v>405</v>
      </c>
      <c r="D262" s="6" t="s">
        <v>406</v>
      </c>
      <c r="E262" s="6" t="s">
        <v>1184</v>
      </c>
      <c r="F262" s="6" t="s">
        <v>1185</v>
      </c>
      <c r="G262" s="6" t="s">
        <v>1184</v>
      </c>
      <c r="H262" s="6" t="s">
        <v>1297</v>
      </c>
      <c r="I262" s="6"/>
      <c r="J262" s="6"/>
      <c r="K262" s="2" t="str">
        <f>IFERROR(__xludf.DUMMYFUNCTION("GOOGLETRANSLATE(A262,""en"",""ur"")"),"261")</f>
        <v>261</v>
      </c>
      <c r="L262" s="2" t="str">
        <f>IFERROR(__xludf.DUMMYFUNCTION("GOOGLETRANSLATE(B262,""en"",""ur"")"),"ملاخرہ_57 میں دکھایا گیا اصل عمل کیا ہے؟")</f>
        <v>ملاخرہ_57 میں دکھایا گیا اصل عمل کیا ہے؟</v>
      </c>
      <c r="M262" s="2" t="str">
        <f>IFERROR(__xludf.DUMMYFUNCTION("GOOGLETRANSLATE(C262,""en"",""ur"")"),"دو آدمی تلواروں سے لڑ رہے ہیں۔")</f>
        <v>دو آدمی تلواروں سے لڑ رہے ہیں۔</v>
      </c>
      <c r="N262" s="2" t="str">
        <f>IFERROR(__xludf.DUMMYFUNCTION("GOOGLETRANSLATE(D262,""en"",""ur"")"),"دو آدمی ناچ رہے ہیں۔")</f>
        <v>دو آدمی ناچ رہے ہیں۔</v>
      </c>
      <c r="O262" s="2" t="str">
        <f>IFERROR(__xludf.DUMMYFUNCTION("GOOGLETRANSLATE(E262,""en"",""ur"")"),"ایک ریسلنگ میچ میں دو آدمی")</f>
        <v>ایک ریسلنگ میچ میں دو آدمی</v>
      </c>
      <c r="P262" s="2" t="str">
        <f>IFERROR(__xludf.DUMMYFUNCTION("GOOGLETRANSLATE(F262,""en"",""ur"")"),"دو آدمی بھاگ رہے ہیں۔")</f>
        <v>دو آدمی بھاگ رہے ہیں۔</v>
      </c>
      <c r="Q262" s="6" t="s">
        <v>1214</v>
      </c>
      <c r="R262" s="6" t="str">
        <f>IFERROR(__xludf.DUMMYFUNCTION("""COMPUTED_VALUE"""),"ایک ریسلنگ میچ میں دو آدمی")</f>
        <v>ایک ریسلنگ میچ میں دو آدمی</v>
      </c>
      <c r="S262" s="6" t="s">
        <v>1297</v>
      </c>
      <c r="T262" s="6"/>
      <c r="U262" s="6"/>
      <c r="V262" s="6"/>
      <c r="W262" s="6"/>
      <c r="X262" s="6"/>
      <c r="Y262" s="6"/>
      <c r="Z262" s="6"/>
      <c r="AA262" s="6"/>
      <c r="AB262" s="6"/>
    </row>
    <row r="263">
      <c r="A263" s="7">
        <v>262.0</v>
      </c>
      <c r="B263" s="6" t="s">
        <v>1215</v>
      </c>
      <c r="C263" s="6" t="s">
        <v>488</v>
      </c>
      <c r="D263" s="6" t="s">
        <v>1216</v>
      </c>
      <c r="E263" s="6" t="s">
        <v>490</v>
      </c>
      <c r="F263" s="6" t="s">
        <v>246</v>
      </c>
      <c r="G263" s="6" t="s">
        <v>1216</v>
      </c>
      <c r="H263" s="6" t="s">
        <v>1297</v>
      </c>
      <c r="I263" s="6"/>
      <c r="J263" s="6"/>
      <c r="K263" s="2" t="str">
        <f>IFERROR(__xludf.DUMMYFUNCTION("GOOGLETRANSLATE(A263,""en"",""ur"")"),"262")</f>
        <v>262</v>
      </c>
      <c r="L263" s="2" t="str">
        <f>IFERROR(__xludf.DUMMYFUNCTION("GOOGLETRANSLATE(B263,""en"",""ur"")"),"پہلوانوں کے لباس کے بارے میں ایک قابل ذکر تفصیل کیا ہے؟")</f>
        <v>پہلوانوں کے لباس کے بارے میں ایک قابل ذکر تفصیل کیا ہے؟</v>
      </c>
      <c r="M263" s="2" t="str">
        <f>IFERROR(__xludf.DUMMYFUNCTION("GOOGLETRANSLATE(C263,""en"",""ur"")"),"انہوں نے بکتر کا پورا سوٹ پہن رکھا ہے۔")</f>
        <v>انہوں نے بکتر کا پورا سوٹ پہن رکھا ہے۔</v>
      </c>
      <c r="N263" s="2" t="str">
        <f>IFERROR(__xludf.DUMMYFUNCTION("GOOGLETRANSLATE(D263,""en"",""ur"")"),"وہ سارونگ یا پیٹرن والا اسکرٹ پہنے ہوئے ہیں۔")</f>
        <v>وہ سارونگ یا پیٹرن والا اسکرٹ پہنے ہوئے ہیں۔</v>
      </c>
      <c r="O263" s="2" t="str">
        <f>IFERROR(__xludf.DUMMYFUNCTION("GOOGLETRANSLATE(E263,""en"",""ur"")"),"انہوں نے شارٹس اور ٹی شرٹ پہن رکھی ہیں۔")</f>
        <v>انہوں نے شارٹس اور ٹی شرٹ پہن رکھی ہیں۔</v>
      </c>
      <c r="P263" s="2" t="str">
        <f>IFERROR(__xludf.DUMMYFUNCTION("GOOGLETRANSLATE(F263,""en"",""ur"")"),"انہوں نے کوئی لباس نہیں پہنا ہوا ہے۔")</f>
        <v>انہوں نے کوئی لباس نہیں پہنا ہوا ہے۔</v>
      </c>
      <c r="Q263" s="6" t="s">
        <v>1217</v>
      </c>
      <c r="R263" s="6" t="str">
        <f>IFERROR(__xludf.DUMMYFUNCTION("""COMPUTED_VALUE"""),"ایک ریسلنگ میچ میں دو آدمی")</f>
        <v>ایک ریسلنگ میچ میں دو آدمی</v>
      </c>
      <c r="S263" s="6" t="s">
        <v>1297</v>
      </c>
      <c r="T263" s="6"/>
      <c r="U263" s="6"/>
      <c r="V263" s="6"/>
      <c r="W263" s="6"/>
      <c r="X263" s="6"/>
      <c r="Y263" s="6"/>
      <c r="Z263" s="6"/>
      <c r="AA263" s="6"/>
      <c r="AB263" s="6"/>
    </row>
    <row r="264">
      <c r="A264" s="7">
        <v>263.0</v>
      </c>
      <c r="B264" s="6" t="s">
        <v>1193</v>
      </c>
      <c r="C264" s="6" t="s">
        <v>1194</v>
      </c>
      <c r="D264" s="6" t="s">
        <v>1195</v>
      </c>
      <c r="E264" s="6" t="s">
        <v>1196</v>
      </c>
      <c r="F264" s="6" t="s">
        <v>1197</v>
      </c>
      <c r="G264" s="6" t="s">
        <v>1196</v>
      </c>
      <c r="H264" s="6" t="s">
        <v>1297</v>
      </c>
      <c r="I264" s="6"/>
      <c r="J264" s="6"/>
      <c r="K264" s="2" t="str">
        <f>IFERROR(__xludf.DUMMYFUNCTION("GOOGLETRANSLATE(A264,""en"",""ur"")"),"263")</f>
        <v>263</v>
      </c>
      <c r="L264" s="2" t="str">
        <f>IFERROR(__xludf.DUMMYFUNCTION("GOOGLETRANSLATE(B264,""en"",""ur"")"),"کشتی کا ظاہری مقصد کیا ہے؟")</f>
        <v>کشتی کا ظاہری مقصد کیا ہے؟</v>
      </c>
      <c r="M264" s="2" t="str">
        <f>IFERROR(__xludf.DUMMYFUNCTION("GOOGLETRANSLATE(C264,""en"",""ur"")"),"ایک رسمی رقص")</f>
        <v>ایک رسمی رقص</v>
      </c>
      <c r="N264" s="2" t="str">
        <f>IFERROR(__xludf.DUMMYFUNCTION("GOOGLETRANSLATE(D264,""en"",""ur"")"),"ایک دوستانہ مظاہرہ")</f>
        <v>ایک دوستانہ مظاہرہ</v>
      </c>
      <c r="O264" s="2" t="str">
        <f>IFERROR(__xludf.DUMMYFUNCTION("GOOGLETRANSLATE(E264,""en"",""ur"")"),"ٹیک ڈاؤن کے ساتھ ایک مسابقتی میچ")</f>
        <v>ٹیک ڈاؤن کے ساتھ ایک مسابقتی میچ</v>
      </c>
      <c r="P264" s="2" t="str">
        <f>IFERROR(__xludf.DUMMYFUNCTION("GOOGLETRANSLATE(F264,""en"",""ur"")"),"ایک پریکٹس سیشن")</f>
        <v>ایک پریکٹس سیشن</v>
      </c>
      <c r="Q264" s="6" t="s">
        <v>1198</v>
      </c>
      <c r="R264" s="6" t="str">
        <f>IFERROR(__xludf.DUMMYFUNCTION("""COMPUTED_VALUE"""),"ایک ریسلنگ میچ میں دو آدمی")</f>
        <v>ایک ریسلنگ میچ میں دو آدمی</v>
      </c>
      <c r="S264" s="6" t="s">
        <v>1297</v>
      </c>
      <c r="T264" s="6"/>
      <c r="U264" s="6"/>
      <c r="V264" s="6"/>
      <c r="W264" s="6"/>
      <c r="X264" s="6"/>
      <c r="Y264" s="6"/>
      <c r="Z264" s="6"/>
      <c r="AA264" s="6"/>
      <c r="AB264" s="6"/>
    </row>
    <row r="265">
      <c r="A265" s="7">
        <v>264.0</v>
      </c>
      <c r="B265" s="6" t="s">
        <v>991</v>
      </c>
      <c r="C265" s="6" t="s">
        <v>422</v>
      </c>
      <c r="D265" s="6" t="s">
        <v>1199</v>
      </c>
      <c r="E265" s="6" t="s">
        <v>424</v>
      </c>
      <c r="F265" s="6" t="s">
        <v>425</v>
      </c>
      <c r="G265" s="6" t="s">
        <v>1199</v>
      </c>
      <c r="H265" s="6" t="s">
        <v>1297</v>
      </c>
      <c r="I265" s="6"/>
      <c r="J265" s="6"/>
      <c r="K265" s="2" t="str">
        <f>IFERROR(__xludf.DUMMYFUNCTION("GOOGLETRANSLATE(A265,""en"",""ur"")"),"264")</f>
        <v>264</v>
      </c>
      <c r="L265" s="2" t="str">
        <f>IFERROR(__xludf.DUMMYFUNCTION("GOOGLETRANSLATE(B265,""en"",""ur"")"),"واقعہ کی ظاہری ترتیب کیا ہے؟")</f>
        <v>واقعہ کی ظاہری ترتیب کیا ہے؟</v>
      </c>
      <c r="M265" s="2" t="str">
        <f>IFERROR(__xludf.DUMMYFUNCTION("GOOGLETRANSLATE(C265,""en"",""ur"")"),"ایک انڈور اسٹیڈیم")</f>
        <v>ایک انڈور اسٹیڈیم</v>
      </c>
      <c r="N265" s="2" t="str">
        <f>IFERROR(__xludf.DUMMYFUNCTION("GOOGLETRANSLATE(D265,""en"",""ur"")"),"ایک دیہی، بیرونی گندگی کا ایک بڑا ہجوم")</f>
        <v>ایک دیہی، بیرونی گندگی کا ایک بڑا ہجوم</v>
      </c>
      <c r="O265" s="2" t="str">
        <f>IFERROR(__xludf.DUMMYFUNCTION("GOOGLETRANSLATE(E265,""en"",""ur"")"),"شہر کی مصروف گلی")</f>
        <v>شہر کی مصروف گلی</v>
      </c>
      <c r="P265" s="2" t="str">
        <f>IFERROR(__xludf.DUMMYFUNCTION("GOOGLETRANSLATE(F265,""en"",""ur"")"),"گھاس کا میدان")</f>
        <v>گھاس کا میدان</v>
      </c>
      <c r="Q265" s="6" t="s">
        <v>1200</v>
      </c>
      <c r="R265" s="6" t="str">
        <f>IFERROR(__xludf.DUMMYFUNCTION("""COMPUTED_VALUE"""),"ایک ریسلنگ میچ میں دو آدمی")</f>
        <v>ایک ریسلنگ میچ میں دو آدمی</v>
      </c>
      <c r="S265" s="6" t="s">
        <v>1297</v>
      </c>
      <c r="T265" s="6"/>
      <c r="U265" s="6"/>
      <c r="V265" s="6"/>
      <c r="W265" s="6"/>
      <c r="X265" s="6"/>
      <c r="Y265" s="6"/>
      <c r="Z265" s="6"/>
      <c r="AA265" s="6"/>
      <c r="AB265" s="6"/>
    </row>
    <row r="266">
      <c r="A266" s="7">
        <v>265.0</v>
      </c>
      <c r="B266" s="6" t="s">
        <v>1201</v>
      </c>
      <c r="C266" s="6" t="s">
        <v>47</v>
      </c>
      <c r="D266" s="6" t="s">
        <v>48</v>
      </c>
      <c r="E266" s="6" t="s">
        <v>49</v>
      </c>
      <c r="F266" s="6" t="s">
        <v>50</v>
      </c>
      <c r="G266" s="6" t="s">
        <v>49</v>
      </c>
      <c r="H266" s="6" t="s">
        <v>1297</v>
      </c>
      <c r="I266" s="6"/>
      <c r="J266" s="6"/>
      <c r="K266" s="2" t="str">
        <f>IFERROR(__xludf.DUMMYFUNCTION("GOOGLETRANSLATE(A266,""en"",""ur"")"),"265")</f>
        <v>265</v>
      </c>
      <c r="L266" s="2" t="str">
        <f>IFERROR(__xludf.DUMMYFUNCTION("GOOGLETRANSLATE(B266,""en"",""ur"")"),"پہلوانوں کے ظاہری جذبات کیا ہیں؟")</f>
        <v>پہلوانوں کے ظاہری جذبات کیا ہیں؟</v>
      </c>
      <c r="M266" s="2" t="str">
        <f>IFERROR(__xludf.DUMMYFUNCTION("GOOGLETRANSLATE(C266,""en"",""ur"")"),"پرسکون اور پر سکون")</f>
        <v>پرسکون اور پر سکون</v>
      </c>
      <c r="N266" s="2" t="str">
        <f>IFERROR(__xludf.DUMMYFUNCTION("GOOGLETRANSLATE(D266,""en"",""ur"")"),"خوف زدہ اور بے چین")</f>
        <v>خوف زدہ اور بے چین</v>
      </c>
      <c r="O266" s="2" t="str">
        <f>IFERROR(__xludf.DUMMYFUNCTION("GOOGLETRANSLATE(E266,""en"",""ur"")"),"کشیدہ اور شدید")</f>
        <v>کشیدہ اور شدید</v>
      </c>
      <c r="P266" s="2" t="str">
        <f>IFERROR(__xludf.DUMMYFUNCTION("GOOGLETRANSLATE(F266,""en"",""ur"")"),"خوش اور مسکراتے ہوئے۔")</f>
        <v>خوش اور مسکراتے ہوئے۔</v>
      </c>
      <c r="Q266" s="6" t="s">
        <v>51</v>
      </c>
      <c r="R266" s="6" t="str">
        <f>IFERROR(__xludf.DUMMYFUNCTION("""COMPUTED_VALUE"""),"ایک ریسلنگ میچ میں دو آدمی")</f>
        <v>ایک ریسلنگ میچ میں دو آدمی</v>
      </c>
      <c r="S266" s="6" t="s">
        <v>1297</v>
      </c>
      <c r="T266" s="6"/>
      <c r="U266" s="6"/>
      <c r="V266" s="6"/>
      <c r="W266" s="6"/>
      <c r="X266" s="6"/>
      <c r="Y266" s="6"/>
      <c r="Z266" s="6"/>
      <c r="AA266" s="6"/>
      <c r="AB266" s="6"/>
    </row>
    <row r="267">
      <c r="A267" s="7">
        <v>266.0</v>
      </c>
      <c r="B267" s="6" t="s">
        <v>1218</v>
      </c>
      <c r="C267" s="6" t="s">
        <v>429</v>
      </c>
      <c r="D267" s="6" t="s">
        <v>430</v>
      </c>
      <c r="E267" s="6" t="s">
        <v>431</v>
      </c>
      <c r="F267" s="6" t="s">
        <v>432</v>
      </c>
      <c r="G267" s="6" t="s">
        <v>430</v>
      </c>
      <c r="H267" s="6" t="s">
        <v>1297</v>
      </c>
      <c r="I267" s="6"/>
      <c r="J267" s="6"/>
      <c r="K267" s="2" t="str">
        <f>IFERROR(__xludf.DUMMYFUNCTION("GOOGLETRANSLATE(A267,""en"",""ur"")"),"266")</f>
        <v>266</v>
      </c>
      <c r="L267" s="2" t="str">
        <f>IFERROR(__xludf.DUMMYFUNCTION("GOOGLETRANSLATE(B267,""en"",""ur"")"),"پہلوانوں کی ظاہری جسمانی پوزیشن کیا ہے؟")</f>
        <v>پہلوانوں کی ظاہری جسمانی پوزیشن کیا ہے؟</v>
      </c>
      <c r="M267" s="2" t="str">
        <f>IFERROR(__xludf.DUMMYFUNCTION("GOOGLETRANSLATE(C267,""en"",""ur"")"),"سیدھا کھڑا ہونا")</f>
        <v>سیدھا کھڑا ہونا</v>
      </c>
      <c r="N267" s="2" t="str">
        <f>IFERROR(__xludf.DUMMYFUNCTION("GOOGLETRANSLATE(D267,""en"",""ur"")"),"کم، متحرک موقف میں")</f>
        <v>کم، متحرک موقف میں</v>
      </c>
      <c r="O267" s="2" t="str">
        <f>IFERROR(__xludf.DUMMYFUNCTION("GOOGLETRANSLATE(E267,""en"",""ur"")"),"زمین پر لیٹنا")</f>
        <v>زمین پر لیٹنا</v>
      </c>
      <c r="P267" s="2" t="str">
        <f>IFERROR(__xludf.DUMMYFUNCTION("GOOGLETRANSLATE(F267,""en"",""ur"")"),"بیٹھا ہوا")</f>
        <v>بیٹھا ہوا</v>
      </c>
      <c r="Q267" s="6" t="s">
        <v>433</v>
      </c>
      <c r="R267" s="6" t="str">
        <f>IFERROR(__xludf.DUMMYFUNCTION("""COMPUTED_VALUE"""),"ایک ریسلنگ میچ میں دو آدمی")</f>
        <v>ایک ریسلنگ میچ میں دو آدمی</v>
      </c>
      <c r="S267" s="6" t="s">
        <v>1297</v>
      </c>
      <c r="T267" s="6"/>
      <c r="U267" s="6"/>
      <c r="V267" s="6"/>
      <c r="W267" s="6"/>
      <c r="X267" s="6"/>
      <c r="Y267" s="6"/>
      <c r="Z267" s="6"/>
      <c r="AA267" s="6"/>
      <c r="AB267" s="6"/>
    </row>
    <row r="268">
      <c r="A268" s="7">
        <v>267.0</v>
      </c>
      <c r="B268" s="6" t="s">
        <v>434</v>
      </c>
      <c r="C268" s="6" t="s">
        <v>435</v>
      </c>
      <c r="D268" s="6" t="s">
        <v>436</v>
      </c>
      <c r="E268" s="6" t="s">
        <v>1203</v>
      </c>
      <c r="F268" s="6" t="s">
        <v>438</v>
      </c>
      <c r="G268" s="6" t="s">
        <v>1203</v>
      </c>
      <c r="H268" s="6" t="s">
        <v>1297</v>
      </c>
      <c r="I268" s="6"/>
      <c r="J268" s="6"/>
      <c r="K268" s="2" t="str">
        <f>IFERROR(__xludf.DUMMYFUNCTION("GOOGLETRANSLATE(A268,""en"",""ur"")"),"267")</f>
        <v>267</v>
      </c>
      <c r="L268" s="2" t="str">
        <f>IFERROR(__xludf.DUMMYFUNCTION("GOOGLETRANSLATE(B268,""en"",""ur"")"),"پس منظر میں ہجوم کی سب سے نمایاں خصوصیت کیا ہے؟")</f>
        <v>پس منظر میں ہجوم کی سب سے نمایاں خصوصیت کیا ہے؟</v>
      </c>
      <c r="M268" s="2" t="str">
        <f>IFERROR(__xludf.DUMMYFUNCTION("GOOGLETRANSLATE(C268,""en"",""ur"")"),"وہ بھاگ رہے ہیں۔")</f>
        <v>وہ بھاگ رہے ہیں۔</v>
      </c>
      <c r="N268" s="2" t="str">
        <f>IFERROR(__xludf.DUMMYFUNCTION("GOOGLETRANSLATE(D268,""en"",""ur"")"),"وہ خاموش بیٹھے ہیں۔")</f>
        <v>وہ خاموش بیٹھے ہیں۔</v>
      </c>
      <c r="O268" s="2" t="str">
        <f>IFERROR(__xludf.DUMMYFUNCTION("GOOGLETRANSLATE(E268,""en"",""ur"")"),"وہ باڑ کے پیچھے سے میچ دیکھ رہے ہیں۔")</f>
        <v>وہ باڑ کے پیچھے سے میچ دیکھ رہے ہیں۔</v>
      </c>
      <c r="P268" s="2" t="str">
        <f>IFERROR(__xludf.DUMMYFUNCTION("GOOGLETRANSLATE(F268,""en"",""ur"")"),"وہ سب ایک اسٹیج پر کھڑے ہیں۔")</f>
        <v>وہ سب ایک اسٹیج پر کھڑے ہیں۔</v>
      </c>
      <c r="Q268" s="6" t="s">
        <v>1204</v>
      </c>
      <c r="R268" s="6" t="str">
        <f>IFERROR(__xludf.DUMMYFUNCTION("""COMPUTED_VALUE"""),"ایک ریسلنگ میچ میں دو آدمی")</f>
        <v>ایک ریسلنگ میچ میں دو آدمی</v>
      </c>
      <c r="S268" s="6" t="s">
        <v>1297</v>
      </c>
      <c r="T268" s="6"/>
      <c r="U268" s="6"/>
      <c r="V268" s="6"/>
      <c r="W268" s="6"/>
      <c r="X268" s="6"/>
      <c r="Y268" s="6"/>
      <c r="Z268" s="6"/>
      <c r="AA268" s="6"/>
      <c r="AB268" s="6"/>
    </row>
    <row r="269">
      <c r="A269" s="7">
        <v>268.0</v>
      </c>
      <c r="B269" s="6" t="s">
        <v>440</v>
      </c>
      <c r="C269" s="6" t="s">
        <v>441</v>
      </c>
      <c r="D269" s="6" t="s">
        <v>442</v>
      </c>
      <c r="E269" s="6" t="s">
        <v>512</v>
      </c>
      <c r="F269" s="6" t="s">
        <v>444</v>
      </c>
      <c r="G269" s="6" t="s">
        <v>512</v>
      </c>
      <c r="H269" s="6" t="s">
        <v>1297</v>
      </c>
      <c r="I269" s="6"/>
      <c r="J269" s="6"/>
      <c r="K269" s="2" t="str">
        <f>IFERROR(__xludf.DUMMYFUNCTION("GOOGLETRANSLATE(A269,""en"",""ur"")"),"268")</f>
        <v>268</v>
      </c>
      <c r="L269" s="2" t="str">
        <f>IFERROR(__xludf.DUMMYFUNCTION("GOOGLETRANSLATE(B269,""en"",""ur"")"),"زمین کی ظاہری حالت کیا ہے؟")</f>
        <v>زمین کی ظاہری حالت کیا ہے؟</v>
      </c>
      <c r="M269" s="2" t="str">
        <f>IFERROR(__xludf.DUMMYFUNCTION("GOOGLETRANSLATE(C269,""en"",""ur"")"),"یہ ایک پکی سطح ہے۔")</f>
        <v>یہ ایک پکی سطح ہے۔</v>
      </c>
      <c r="N269" s="2" t="str">
        <f>IFERROR(__xludf.DUMMYFUNCTION("GOOGLETRANSLATE(D269,""en"",""ur"")"),"یہ ایک کیچڑ والا میدان ہے۔")</f>
        <v>یہ ایک کیچڑ والا میدان ہے۔</v>
      </c>
      <c r="O269" s="2" t="str">
        <f>IFERROR(__xludf.DUMMYFUNCTION("GOOGLETRANSLATE(E269,""en"",""ur"")"),"یہ ایک ریتلی یا گندگی کی سطح ہے۔")</f>
        <v>یہ ایک ریتلی یا گندگی کی سطح ہے۔</v>
      </c>
      <c r="P269" s="2" t="str">
        <f>IFERROR(__xludf.DUMMYFUNCTION("GOOGLETRANSLATE(F269,""en"",""ur"")"),"یہ ایک گھاس والی سطح ہے۔")</f>
        <v>یہ ایک گھاس والی سطح ہے۔</v>
      </c>
      <c r="Q269" s="6" t="s">
        <v>1219</v>
      </c>
      <c r="R269" s="6" t="str">
        <f>IFERROR(__xludf.DUMMYFUNCTION("""COMPUTED_VALUE"""),"ایک ریسلنگ میچ میں دو آدمی")</f>
        <v>ایک ریسلنگ میچ میں دو آدمی</v>
      </c>
      <c r="S269" s="6" t="s">
        <v>1297</v>
      </c>
      <c r="T269" s="6"/>
      <c r="U269" s="6"/>
      <c r="V269" s="6"/>
      <c r="W269" s="6"/>
      <c r="X269" s="6"/>
      <c r="Y269" s="6"/>
      <c r="Z269" s="6"/>
      <c r="AA269" s="6"/>
      <c r="AB269" s="6"/>
    </row>
    <row r="270">
      <c r="A270" s="7">
        <v>269.0</v>
      </c>
      <c r="B270" s="6" t="s">
        <v>1205</v>
      </c>
      <c r="C270" s="6" t="s">
        <v>1206</v>
      </c>
      <c r="D270" s="6" t="s">
        <v>1207</v>
      </c>
      <c r="E270" s="6" t="s">
        <v>1208</v>
      </c>
      <c r="F270" s="6" t="s">
        <v>449</v>
      </c>
      <c r="G270" s="6" t="s">
        <v>1208</v>
      </c>
      <c r="H270" s="6" t="s">
        <v>1297</v>
      </c>
      <c r="I270" s="6"/>
      <c r="J270" s="6"/>
      <c r="K270" s="2" t="str">
        <f>IFERROR(__xludf.DUMMYFUNCTION("GOOGLETRANSLATE(A270,""en"",""ur"")"),"269")</f>
        <v>269</v>
      </c>
      <c r="L270" s="2" t="str">
        <f>IFERROR(__xludf.DUMMYFUNCTION("GOOGLETRANSLATE(B270,""en"",""ur"")"),"لمبی اسکرٹس کا بنیادی مقصد کیا ہے؟")</f>
        <v>لمبی اسکرٹس کا بنیادی مقصد کیا ہے؟</v>
      </c>
      <c r="M270" s="2" t="str">
        <f>IFERROR(__xludf.DUMMYFUNCTION("GOOGLETRANSLATE(C270,""en"",""ur"")"),"پہلوانوں کی ٹانگوں کی حفاظت کے لیے")</f>
        <v>پہلوانوں کی ٹانگوں کی حفاظت کے لیے</v>
      </c>
      <c r="N270" s="2" t="str">
        <f>IFERROR(__xludf.DUMMYFUNCTION("GOOGLETRANSLATE(D270,""en"",""ur"")"),"پہلوانوں کو مزید چست بنانے کے لیے")</f>
        <v>پہلوانوں کو مزید چست بنانے کے لیے</v>
      </c>
      <c r="O270" s="2" t="str">
        <f>IFERROR(__xludf.DUMMYFUNCTION("GOOGLETRANSLATE(E270,""en"",""ur"")"),"روایتی لباس اور لڑائی کے دوران گرفت کے لیے")</f>
        <v>روایتی لباس اور لڑائی کے دوران گرفت کے لیے</v>
      </c>
      <c r="P270" s="2" t="str">
        <f>IFERROR(__xludf.DUMMYFUNCTION("GOOGLETRANSLATE(F270,""en"",""ur"")"),"صرف سجاوٹ کے لیے")</f>
        <v>صرف سجاوٹ کے لیے</v>
      </c>
      <c r="Q270" s="6" t="s">
        <v>1209</v>
      </c>
      <c r="R270" s="6" t="str">
        <f>IFERROR(__xludf.DUMMYFUNCTION("""COMPUTED_VALUE"""),"ایک ریسلنگ میچ میں دو آدمی")</f>
        <v>ایک ریسلنگ میچ میں دو آدمی</v>
      </c>
      <c r="S270" s="6" t="s">
        <v>1297</v>
      </c>
      <c r="T270" s="6"/>
      <c r="U270" s="6"/>
      <c r="V270" s="6"/>
      <c r="W270" s="6"/>
      <c r="X270" s="6"/>
      <c r="Y270" s="6"/>
      <c r="Z270" s="6"/>
      <c r="AA270" s="6"/>
      <c r="AB270" s="6"/>
    </row>
    <row r="271">
      <c r="A271" s="7">
        <v>270.0</v>
      </c>
      <c r="B271" s="6" t="s">
        <v>260</v>
      </c>
      <c r="C271" s="6" t="s">
        <v>261</v>
      </c>
      <c r="D271" s="6" t="s">
        <v>262</v>
      </c>
      <c r="E271" s="6" t="s">
        <v>1210</v>
      </c>
      <c r="F271" s="6" t="s">
        <v>264</v>
      </c>
      <c r="G271" s="6" t="s">
        <v>1210</v>
      </c>
      <c r="H271" s="6" t="s">
        <v>1297</v>
      </c>
      <c r="I271" s="6"/>
      <c r="J271" s="6"/>
      <c r="K271" s="2" t="str">
        <f>IFERROR(__xludf.DUMMYFUNCTION("GOOGLETRANSLATE(A271,""en"",""ur"")"),"270")</f>
        <v>270</v>
      </c>
      <c r="L271" s="2" t="str">
        <f>IFERROR(__xludf.DUMMYFUNCTION("GOOGLETRANSLATE(B271,""en"",""ur"")"),"تصویر میں ایکشن ایک ایسا انداز تجویز کرتا ہے جو اس بات پر زور دیتا ہے...")</f>
        <v>تصویر میں ایکشن ایک ایسا انداز تجویز کرتا ہے جو اس بات پر زور دیتا ہے...</v>
      </c>
      <c r="M271" s="2" t="str">
        <f>IFERROR(__xludf.DUMMYFUNCTION("GOOGLETRANSLATE(C271,""en"",""ur"")"),"روانی اور قلابازیاں")</f>
        <v>روانی اور قلابازیاں</v>
      </c>
      <c r="N271" s="2" t="str">
        <f>IFERROR(__xludf.DUMMYFUNCTION("GOOGLETRANSLATE(D271,""en"",""ur"")"),"زمینی لڑائی اور گرفت")</f>
        <v>زمینی لڑائی اور گرفت</v>
      </c>
      <c r="O271" s="2" t="str">
        <f>IFERROR(__xludf.DUMMYFUNCTION("GOOGLETRANSLATE(E271,""en"",""ur"")"),"وحشیانہ طاقت اور ٹیک ڈاؤن")</f>
        <v>وحشیانہ طاقت اور ٹیک ڈاؤن</v>
      </c>
      <c r="P271" s="2" t="str">
        <f>IFERROR(__xludf.DUMMYFUNCTION("GOOGLETRANSLATE(F271,""en"",""ur"")"),"سادہ، لکیری حرکات")</f>
        <v>سادہ، لکیری حرکات</v>
      </c>
      <c r="Q271" s="6" t="s">
        <v>1211</v>
      </c>
      <c r="R271" s="6" t="str">
        <f>IFERROR(__xludf.DUMMYFUNCTION("""COMPUTED_VALUE"""),"ایک ریسلنگ میچ میں دو آدمی")</f>
        <v>ایک ریسلنگ میچ میں دو آدمی</v>
      </c>
      <c r="S271" s="6" t="s">
        <v>1297</v>
      </c>
      <c r="T271" s="6"/>
      <c r="U271" s="6"/>
      <c r="V271" s="6"/>
      <c r="W271" s="6"/>
      <c r="X271" s="6"/>
      <c r="Y271" s="6"/>
      <c r="Z271" s="6"/>
      <c r="AA271" s="6"/>
      <c r="AB271" s="6"/>
    </row>
    <row r="272">
      <c r="A272" s="7">
        <v>271.0</v>
      </c>
      <c r="B272" s="6" t="s">
        <v>1298</v>
      </c>
      <c r="C272" s="6" t="s">
        <v>405</v>
      </c>
      <c r="D272" s="6" t="s">
        <v>406</v>
      </c>
      <c r="E272" s="6" t="s">
        <v>1184</v>
      </c>
      <c r="F272" s="6" t="s">
        <v>1185</v>
      </c>
      <c r="G272" s="6" t="s">
        <v>1184</v>
      </c>
      <c r="H272" s="6" t="s">
        <v>1299</v>
      </c>
      <c r="I272" s="6"/>
      <c r="J272" s="6"/>
      <c r="K272" s="2" t="str">
        <f>IFERROR(__xludf.DUMMYFUNCTION("GOOGLETRANSLATE(A272,""en"",""ur"")"),"271")</f>
        <v>271</v>
      </c>
      <c r="L272" s="2" t="str">
        <f>IFERROR(__xludf.DUMMYFUNCTION("GOOGLETRANSLATE(B272,""en"",""ur"")"),"ملاخرہ_60 میں دکھایا گیا اہم عمل کیا ہے؟")</f>
        <v>ملاخرہ_60 میں دکھایا گیا اہم عمل کیا ہے؟</v>
      </c>
      <c r="M272" s="2" t="str">
        <f>IFERROR(__xludf.DUMMYFUNCTION("GOOGLETRANSLATE(C272,""en"",""ur"")"),"دو آدمی تلواروں سے لڑ رہے ہیں۔")</f>
        <v>دو آدمی تلواروں سے لڑ رہے ہیں۔</v>
      </c>
      <c r="N272" s="2" t="str">
        <f>IFERROR(__xludf.DUMMYFUNCTION("GOOGLETRANSLATE(D272,""en"",""ur"")"),"دو آدمی ناچ رہے ہیں۔")</f>
        <v>دو آدمی ناچ رہے ہیں۔</v>
      </c>
      <c r="O272" s="2" t="str">
        <f>IFERROR(__xludf.DUMMYFUNCTION("GOOGLETRANSLATE(E272,""en"",""ur"")"),"ایک ریسلنگ میچ میں دو آدمی")</f>
        <v>ایک ریسلنگ میچ میں دو آدمی</v>
      </c>
      <c r="P272" s="2" t="str">
        <f>IFERROR(__xludf.DUMMYFUNCTION("GOOGLETRANSLATE(F272,""en"",""ur"")"),"دو آدمی بھاگ رہے ہیں۔")</f>
        <v>دو آدمی بھاگ رہے ہیں۔</v>
      </c>
      <c r="Q272" s="6" t="s">
        <v>1214</v>
      </c>
      <c r="R272" s="6" t="str">
        <f>IFERROR(__xludf.DUMMYFUNCTION("""COMPUTED_VALUE"""),"ایک ریسلنگ میچ میں دو آدمی")</f>
        <v>ایک ریسلنگ میچ میں دو آدمی</v>
      </c>
      <c r="S272" s="6" t="s">
        <v>1299</v>
      </c>
      <c r="T272" s="6"/>
      <c r="U272" s="6"/>
      <c r="V272" s="6"/>
      <c r="W272" s="6"/>
      <c r="X272" s="6"/>
      <c r="Y272" s="6"/>
      <c r="Z272" s="6"/>
      <c r="AA272" s="6"/>
      <c r="AB272" s="6"/>
    </row>
    <row r="273">
      <c r="A273" s="7">
        <v>272.0</v>
      </c>
      <c r="B273" s="6" t="s">
        <v>1215</v>
      </c>
      <c r="C273" s="6" t="s">
        <v>488</v>
      </c>
      <c r="D273" s="6" t="s">
        <v>1216</v>
      </c>
      <c r="E273" s="6" t="s">
        <v>490</v>
      </c>
      <c r="F273" s="6" t="s">
        <v>246</v>
      </c>
      <c r="G273" s="6" t="s">
        <v>490</v>
      </c>
      <c r="H273" s="6" t="s">
        <v>1299</v>
      </c>
      <c r="I273" s="6"/>
      <c r="J273" s="6"/>
      <c r="K273" s="2" t="str">
        <f>IFERROR(__xludf.DUMMYFUNCTION("GOOGLETRANSLATE(A273,""en"",""ur"")"),"272")</f>
        <v>272</v>
      </c>
      <c r="L273" s="2" t="str">
        <f>IFERROR(__xludf.DUMMYFUNCTION("GOOGLETRANSLATE(B273,""en"",""ur"")"),"پہلوانوں کے لباس کے بارے میں ایک قابل ذکر تفصیل کیا ہے؟")</f>
        <v>پہلوانوں کے لباس کے بارے میں ایک قابل ذکر تفصیل کیا ہے؟</v>
      </c>
      <c r="M273" s="2" t="str">
        <f>IFERROR(__xludf.DUMMYFUNCTION("GOOGLETRANSLATE(C273,""en"",""ur"")"),"انہوں نے بکتر کا پورا سوٹ پہن رکھا ہے۔")</f>
        <v>انہوں نے بکتر کا پورا سوٹ پہن رکھا ہے۔</v>
      </c>
      <c r="N273" s="2" t="str">
        <f>IFERROR(__xludf.DUMMYFUNCTION("GOOGLETRANSLATE(D273,""en"",""ur"")"),"وہ سارونگ یا پیٹرن والا اسکرٹ پہنے ہوئے ہیں۔")</f>
        <v>وہ سارونگ یا پیٹرن والا اسکرٹ پہنے ہوئے ہیں۔</v>
      </c>
      <c r="O273" s="2" t="str">
        <f>IFERROR(__xludf.DUMMYFUNCTION("GOOGLETRANSLATE(E273,""en"",""ur"")"),"انہوں نے شارٹس اور ٹی شرٹ پہن رکھی ہیں۔")</f>
        <v>انہوں نے شارٹس اور ٹی شرٹ پہن رکھی ہیں۔</v>
      </c>
      <c r="P273" s="2" t="str">
        <f>IFERROR(__xludf.DUMMYFUNCTION("GOOGLETRANSLATE(F273,""en"",""ur"")"),"انہوں نے کوئی لباس نہیں پہنا ہوا ہے۔")</f>
        <v>انہوں نے کوئی لباس نہیں پہنا ہوا ہے۔</v>
      </c>
      <c r="Q273" s="6" t="s">
        <v>1217</v>
      </c>
      <c r="R273" s="6" t="str">
        <f>IFERROR(__xludf.DUMMYFUNCTION("""COMPUTED_VALUE"""),"ایک ریسلنگ میچ میں دو آدمی")</f>
        <v>ایک ریسلنگ میچ میں دو آدمی</v>
      </c>
      <c r="S273" s="6" t="s">
        <v>1299</v>
      </c>
      <c r="T273" s="6"/>
      <c r="U273" s="6"/>
      <c r="V273" s="6"/>
      <c r="W273" s="6"/>
      <c r="X273" s="6"/>
      <c r="Y273" s="6"/>
      <c r="Z273" s="6"/>
      <c r="AA273" s="6"/>
      <c r="AB273" s="6"/>
    </row>
    <row r="274">
      <c r="A274" s="7">
        <v>273.0</v>
      </c>
      <c r="B274" s="6" t="s">
        <v>1193</v>
      </c>
      <c r="C274" s="6" t="s">
        <v>1194</v>
      </c>
      <c r="D274" s="6" t="s">
        <v>1195</v>
      </c>
      <c r="E274" s="6" t="s">
        <v>1196</v>
      </c>
      <c r="F274" s="6" t="s">
        <v>1197</v>
      </c>
      <c r="G274" s="6" t="s">
        <v>1196</v>
      </c>
      <c r="H274" s="6" t="s">
        <v>1299</v>
      </c>
      <c r="I274" s="6"/>
      <c r="J274" s="6"/>
      <c r="K274" s="2" t="str">
        <f>IFERROR(__xludf.DUMMYFUNCTION("GOOGLETRANSLATE(A274,""en"",""ur"")"),"273")</f>
        <v>273</v>
      </c>
      <c r="L274" s="2" t="str">
        <f>IFERROR(__xludf.DUMMYFUNCTION("GOOGLETRANSLATE(B274,""en"",""ur"")"),"کشتی کا ظاہری مقصد کیا ہے؟")</f>
        <v>کشتی کا ظاہری مقصد کیا ہے؟</v>
      </c>
      <c r="M274" s="2" t="str">
        <f>IFERROR(__xludf.DUMMYFUNCTION("GOOGLETRANSLATE(C274,""en"",""ur"")"),"ایک رسمی رقص")</f>
        <v>ایک رسمی رقص</v>
      </c>
      <c r="N274" s="2" t="str">
        <f>IFERROR(__xludf.DUMMYFUNCTION("GOOGLETRANSLATE(D274,""en"",""ur"")"),"ایک دوستانہ مظاہرہ")</f>
        <v>ایک دوستانہ مظاہرہ</v>
      </c>
      <c r="O274" s="2" t="str">
        <f>IFERROR(__xludf.DUMMYFUNCTION("GOOGLETRANSLATE(E274,""en"",""ur"")"),"ٹیک ڈاؤن کے ساتھ ایک مسابقتی میچ")</f>
        <v>ٹیک ڈاؤن کے ساتھ ایک مسابقتی میچ</v>
      </c>
      <c r="P274" s="2" t="str">
        <f>IFERROR(__xludf.DUMMYFUNCTION("GOOGLETRANSLATE(F274,""en"",""ur"")"),"ایک پریکٹس سیشن")</f>
        <v>ایک پریکٹس سیشن</v>
      </c>
      <c r="Q274" s="6" t="s">
        <v>1198</v>
      </c>
      <c r="R274" s="6" t="str">
        <f>IFERROR(__xludf.DUMMYFUNCTION("""COMPUTED_VALUE"""),"ایک ریسلنگ میچ میں دو آدمی")</f>
        <v>ایک ریسلنگ میچ میں دو آدمی</v>
      </c>
      <c r="S274" s="6" t="s">
        <v>1299</v>
      </c>
      <c r="T274" s="6"/>
      <c r="U274" s="6"/>
      <c r="V274" s="6"/>
      <c r="W274" s="6"/>
      <c r="X274" s="6"/>
      <c r="Y274" s="6"/>
      <c r="Z274" s="6"/>
      <c r="AA274" s="6"/>
      <c r="AB274" s="6"/>
    </row>
    <row r="275">
      <c r="A275" s="7">
        <v>274.0</v>
      </c>
      <c r="B275" s="6" t="s">
        <v>991</v>
      </c>
      <c r="C275" s="6" t="s">
        <v>422</v>
      </c>
      <c r="D275" s="6" t="s">
        <v>1199</v>
      </c>
      <c r="E275" s="6" t="s">
        <v>424</v>
      </c>
      <c r="F275" s="6" t="s">
        <v>425</v>
      </c>
      <c r="G275" s="6" t="s">
        <v>425</v>
      </c>
      <c r="H275" s="6" t="s">
        <v>1299</v>
      </c>
      <c r="I275" s="6"/>
      <c r="J275" s="6"/>
      <c r="K275" s="2" t="str">
        <f>IFERROR(__xludf.DUMMYFUNCTION("GOOGLETRANSLATE(A275,""en"",""ur"")"),"274")</f>
        <v>274</v>
      </c>
      <c r="L275" s="2" t="str">
        <f>IFERROR(__xludf.DUMMYFUNCTION("GOOGLETRANSLATE(B275,""en"",""ur"")"),"واقعہ کی ظاہری ترتیب کیا ہے؟")</f>
        <v>واقعہ کی ظاہری ترتیب کیا ہے؟</v>
      </c>
      <c r="M275" s="2" t="str">
        <f>IFERROR(__xludf.DUMMYFUNCTION("GOOGLETRANSLATE(C275,""en"",""ur"")"),"ایک انڈور اسٹیڈیم")</f>
        <v>ایک انڈور اسٹیڈیم</v>
      </c>
      <c r="N275" s="2" t="str">
        <f>IFERROR(__xludf.DUMMYFUNCTION("GOOGLETRANSLATE(D275,""en"",""ur"")"),"ایک دیہی، بیرونی گندگی کا ایک بڑا ہجوم")</f>
        <v>ایک دیہی، بیرونی گندگی کا ایک بڑا ہجوم</v>
      </c>
      <c r="O275" s="2" t="str">
        <f>IFERROR(__xludf.DUMMYFUNCTION("GOOGLETRANSLATE(E275,""en"",""ur"")"),"شہر کی مصروف گلی")</f>
        <v>شہر کی مصروف گلی</v>
      </c>
      <c r="P275" s="2" t="str">
        <f>IFERROR(__xludf.DUMMYFUNCTION("GOOGLETRANSLATE(F275,""en"",""ur"")"),"گھاس کا میدان")</f>
        <v>گھاس کا میدان</v>
      </c>
      <c r="Q275" s="6" t="s">
        <v>1200</v>
      </c>
      <c r="R275" s="6" t="str">
        <f>IFERROR(__xludf.DUMMYFUNCTION("""COMPUTED_VALUE"""),"ایک ریسلنگ میچ میں دو آدمی")</f>
        <v>ایک ریسلنگ میچ میں دو آدمی</v>
      </c>
      <c r="S275" s="6" t="s">
        <v>1299</v>
      </c>
      <c r="T275" s="6"/>
      <c r="U275" s="6"/>
      <c r="V275" s="6"/>
      <c r="W275" s="6"/>
      <c r="X275" s="6"/>
      <c r="Y275" s="6"/>
      <c r="Z275" s="6"/>
      <c r="AA275" s="6"/>
      <c r="AB275" s="6"/>
    </row>
    <row r="276">
      <c r="A276" s="7">
        <v>275.0</v>
      </c>
      <c r="B276" s="6" t="s">
        <v>1201</v>
      </c>
      <c r="C276" s="6" t="s">
        <v>47</v>
      </c>
      <c r="D276" s="6" t="s">
        <v>48</v>
      </c>
      <c r="E276" s="6" t="s">
        <v>49</v>
      </c>
      <c r="F276" s="6" t="s">
        <v>50</v>
      </c>
      <c r="G276" s="6" t="s">
        <v>49</v>
      </c>
      <c r="H276" s="6" t="s">
        <v>1299</v>
      </c>
      <c r="I276" s="6"/>
      <c r="J276" s="6"/>
      <c r="K276" s="2" t="str">
        <f>IFERROR(__xludf.DUMMYFUNCTION("GOOGLETRANSLATE(A276,""en"",""ur"")"),"275")</f>
        <v>275</v>
      </c>
      <c r="L276" s="2" t="str">
        <f>IFERROR(__xludf.DUMMYFUNCTION("GOOGLETRANSLATE(B276,""en"",""ur"")"),"پہلوانوں کے ظاہری جذبات کیا ہیں؟")</f>
        <v>پہلوانوں کے ظاہری جذبات کیا ہیں؟</v>
      </c>
      <c r="M276" s="2" t="str">
        <f>IFERROR(__xludf.DUMMYFUNCTION("GOOGLETRANSLATE(C276,""en"",""ur"")"),"پرسکون اور پر سکون")</f>
        <v>پرسکون اور پر سکون</v>
      </c>
      <c r="N276" s="2" t="str">
        <f>IFERROR(__xludf.DUMMYFUNCTION("GOOGLETRANSLATE(D276,""en"",""ur"")"),"خوف زدہ اور بے چین")</f>
        <v>خوف زدہ اور بے چین</v>
      </c>
      <c r="O276" s="2" t="str">
        <f>IFERROR(__xludf.DUMMYFUNCTION("GOOGLETRANSLATE(E276,""en"",""ur"")"),"کشیدہ اور شدید")</f>
        <v>کشیدہ اور شدید</v>
      </c>
      <c r="P276" s="2" t="str">
        <f>IFERROR(__xludf.DUMMYFUNCTION("GOOGLETRANSLATE(F276,""en"",""ur"")"),"خوش اور مسکراتے ہوئے۔")</f>
        <v>خوش اور مسکراتے ہوئے۔</v>
      </c>
      <c r="Q276" s="6" t="s">
        <v>51</v>
      </c>
      <c r="R276" s="6" t="str">
        <f>IFERROR(__xludf.DUMMYFUNCTION("""COMPUTED_VALUE"""),"ایک ریسلنگ میچ میں دو آدمی")</f>
        <v>ایک ریسلنگ میچ میں دو آدمی</v>
      </c>
      <c r="S276" s="6" t="s">
        <v>1299</v>
      </c>
      <c r="T276" s="6"/>
      <c r="U276" s="6"/>
      <c r="V276" s="6"/>
      <c r="W276" s="6"/>
      <c r="X276" s="6"/>
      <c r="Y276" s="6"/>
      <c r="Z276" s="6"/>
      <c r="AA276" s="6"/>
      <c r="AB276" s="6"/>
    </row>
    <row r="277">
      <c r="A277" s="7">
        <v>276.0</v>
      </c>
      <c r="B277" s="6" t="s">
        <v>1218</v>
      </c>
      <c r="C277" s="6" t="s">
        <v>429</v>
      </c>
      <c r="D277" s="6" t="s">
        <v>430</v>
      </c>
      <c r="E277" s="6" t="s">
        <v>431</v>
      </c>
      <c r="F277" s="6" t="s">
        <v>432</v>
      </c>
      <c r="G277" s="6" t="s">
        <v>430</v>
      </c>
      <c r="H277" s="6" t="s">
        <v>1299</v>
      </c>
      <c r="I277" s="6"/>
      <c r="J277" s="6"/>
      <c r="K277" s="2" t="str">
        <f>IFERROR(__xludf.DUMMYFUNCTION("GOOGLETRANSLATE(A277,""en"",""ur"")"),"276")</f>
        <v>276</v>
      </c>
      <c r="L277" s="2" t="str">
        <f>IFERROR(__xludf.DUMMYFUNCTION("GOOGLETRANSLATE(B277,""en"",""ur"")"),"پہلوانوں کی ظاہری جسمانی پوزیشن کیا ہے؟")</f>
        <v>پہلوانوں کی ظاہری جسمانی پوزیشن کیا ہے؟</v>
      </c>
      <c r="M277" s="2" t="str">
        <f>IFERROR(__xludf.DUMMYFUNCTION("GOOGLETRANSLATE(C277,""en"",""ur"")"),"سیدھا کھڑا ہونا")</f>
        <v>سیدھا کھڑا ہونا</v>
      </c>
      <c r="N277" s="2" t="str">
        <f>IFERROR(__xludf.DUMMYFUNCTION("GOOGLETRANSLATE(D277,""en"",""ur"")"),"کم، متحرک موقف میں")</f>
        <v>کم، متحرک موقف میں</v>
      </c>
      <c r="O277" s="2" t="str">
        <f>IFERROR(__xludf.DUMMYFUNCTION("GOOGLETRANSLATE(E277,""en"",""ur"")"),"زمین پر لیٹنا")</f>
        <v>زمین پر لیٹنا</v>
      </c>
      <c r="P277" s="2" t="str">
        <f>IFERROR(__xludf.DUMMYFUNCTION("GOOGLETRANSLATE(F277,""en"",""ur"")"),"بیٹھا ہوا")</f>
        <v>بیٹھا ہوا</v>
      </c>
      <c r="Q277" s="6" t="s">
        <v>433</v>
      </c>
      <c r="R277" s="6" t="str">
        <f>IFERROR(__xludf.DUMMYFUNCTION("""COMPUTED_VALUE"""),"ایک ریسلنگ میچ میں دو آدمی")</f>
        <v>ایک ریسلنگ میچ میں دو آدمی</v>
      </c>
      <c r="S277" s="6" t="s">
        <v>1299</v>
      </c>
      <c r="T277" s="6"/>
      <c r="U277" s="6"/>
      <c r="V277" s="6"/>
      <c r="W277" s="6"/>
      <c r="X277" s="6"/>
      <c r="Y277" s="6"/>
      <c r="Z277" s="6"/>
      <c r="AA277" s="6"/>
      <c r="AB277" s="6"/>
    </row>
    <row r="278">
      <c r="A278" s="7">
        <v>277.0</v>
      </c>
      <c r="B278" s="6" t="s">
        <v>434</v>
      </c>
      <c r="C278" s="6" t="s">
        <v>435</v>
      </c>
      <c r="D278" s="6" t="s">
        <v>436</v>
      </c>
      <c r="E278" s="6" t="s">
        <v>1203</v>
      </c>
      <c r="F278" s="6" t="s">
        <v>438</v>
      </c>
      <c r="G278" s="6" t="s">
        <v>1203</v>
      </c>
      <c r="H278" s="6" t="s">
        <v>1299</v>
      </c>
      <c r="I278" s="6"/>
      <c r="J278" s="6"/>
      <c r="K278" s="2" t="str">
        <f>IFERROR(__xludf.DUMMYFUNCTION("GOOGLETRANSLATE(A278,""en"",""ur"")"),"277")</f>
        <v>277</v>
      </c>
      <c r="L278" s="2" t="str">
        <f>IFERROR(__xludf.DUMMYFUNCTION("GOOGLETRANSLATE(B278,""en"",""ur"")"),"پس منظر میں ہجوم کی سب سے نمایاں خصوصیت کیا ہے؟")</f>
        <v>پس منظر میں ہجوم کی سب سے نمایاں خصوصیت کیا ہے؟</v>
      </c>
      <c r="M278" s="2" t="str">
        <f>IFERROR(__xludf.DUMMYFUNCTION("GOOGLETRANSLATE(C278,""en"",""ur"")"),"وہ بھاگ رہے ہیں۔")</f>
        <v>وہ بھاگ رہے ہیں۔</v>
      </c>
      <c r="N278" s="2" t="str">
        <f>IFERROR(__xludf.DUMMYFUNCTION("GOOGLETRANSLATE(D278,""en"",""ur"")"),"وہ خاموش بیٹھے ہیں۔")</f>
        <v>وہ خاموش بیٹھے ہیں۔</v>
      </c>
      <c r="O278" s="2" t="str">
        <f>IFERROR(__xludf.DUMMYFUNCTION("GOOGLETRANSLATE(E278,""en"",""ur"")"),"وہ باڑ کے پیچھے سے میچ دیکھ رہے ہیں۔")</f>
        <v>وہ باڑ کے پیچھے سے میچ دیکھ رہے ہیں۔</v>
      </c>
      <c r="P278" s="2" t="str">
        <f>IFERROR(__xludf.DUMMYFUNCTION("GOOGLETRANSLATE(F278,""en"",""ur"")"),"وہ سب ایک اسٹیج پر کھڑے ہیں۔")</f>
        <v>وہ سب ایک اسٹیج پر کھڑے ہیں۔</v>
      </c>
      <c r="Q278" s="6" t="s">
        <v>1204</v>
      </c>
      <c r="R278" s="6" t="str">
        <f>IFERROR(__xludf.DUMMYFUNCTION("""COMPUTED_VALUE"""),"ایک ریسلنگ میچ میں دو آدمی")</f>
        <v>ایک ریسلنگ میچ میں دو آدمی</v>
      </c>
      <c r="S278" s="6" t="s">
        <v>1299</v>
      </c>
      <c r="T278" s="6"/>
      <c r="U278" s="6"/>
      <c r="V278" s="6"/>
      <c r="W278" s="6"/>
      <c r="X278" s="6"/>
      <c r="Y278" s="6"/>
      <c r="Z278" s="6"/>
      <c r="AA278" s="6"/>
      <c r="AB278" s="6"/>
    </row>
    <row r="279">
      <c r="A279" s="7">
        <v>278.0</v>
      </c>
      <c r="B279" s="6" t="s">
        <v>440</v>
      </c>
      <c r="C279" s="6" t="s">
        <v>441</v>
      </c>
      <c r="D279" s="6" t="s">
        <v>442</v>
      </c>
      <c r="E279" s="6" t="s">
        <v>512</v>
      </c>
      <c r="F279" s="6" t="s">
        <v>444</v>
      </c>
      <c r="G279" s="6" t="s">
        <v>444</v>
      </c>
      <c r="H279" s="6" t="s">
        <v>1299</v>
      </c>
      <c r="I279" s="6"/>
      <c r="J279" s="6"/>
      <c r="K279" s="2" t="str">
        <f>IFERROR(__xludf.DUMMYFUNCTION("GOOGLETRANSLATE(A279,""en"",""ur"")"),"278")</f>
        <v>278</v>
      </c>
      <c r="L279" s="2" t="str">
        <f>IFERROR(__xludf.DUMMYFUNCTION("GOOGLETRANSLATE(B279,""en"",""ur"")"),"زمین کی ظاہری حالت کیا ہے؟")</f>
        <v>زمین کی ظاہری حالت کیا ہے؟</v>
      </c>
      <c r="M279" s="2" t="str">
        <f>IFERROR(__xludf.DUMMYFUNCTION("GOOGLETRANSLATE(C279,""en"",""ur"")"),"یہ ایک پکی سطح ہے۔")</f>
        <v>یہ ایک پکی سطح ہے۔</v>
      </c>
      <c r="N279" s="2" t="str">
        <f>IFERROR(__xludf.DUMMYFUNCTION("GOOGLETRANSLATE(D279,""en"",""ur"")"),"یہ ایک کیچڑ والا میدان ہے۔")</f>
        <v>یہ ایک کیچڑ والا میدان ہے۔</v>
      </c>
      <c r="O279" s="2" t="str">
        <f>IFERROR(__xludf.DUMMYFUNCTION("GOOGLETRANSLATE(E279,""en"",""ur"")"),"یہ ایک ریتلی یا گندگی کی سطح ہے۔")</f>
        <v>یہ ایک ریتلی یا گندگی کی سطح ہے۔</v>
      </c>
      <c r="P279" s="2" t="str">
        <f>IFERROR(__xludf.DUMMYFUNCTION("GOOGLETRANSLATE(F279,""en"",""ur"")"),"یہ ایک گھاس والی سطح ہے۔")</f>
        <v>یہ ایک گھاس والی سطح ہے۔</v>
      </c>
      <c r="Q279" s="6" t="s">
        <v>1219</v>
      </c>
      <c r="R279" s="6" t="str">
        <f>IFERROR(__xludf.DUMMYFUNCTION("""COMPUTED_VALUE"""),"ایک ریسلنگ میچ میں دو آدمی")</f>
        <v>ایک ریسلنگ میچ میں دو آدمی</v>
      </c>
      <c r="S279" s="6" t="s">
        <v>1299</v>
      </c>
      <c r="T279" s="6"/>
      <c r="U279" s="6"/>
      <c r="V279" s="6"/>
      <c r="W279" s="6"/>
      <c r="X279" s="6"/>
      <c r="Y279" s="6"/>
      <c r="Z279" s="6"/>
      <c r="AA279" s="6"/>
      <c r="AB279" s="6"/>
    </row>
    <row r="280">
      <c r="A280" s="7">
        <v>279.0</v>
      </c>
      <c r="B280" s="6" t="s">
        <v>1205</v>
      </c>
      <c r="C280" s="6" t="s">
        <v>1206</v>
      </c>
      <c r="D280" s="6" t="s">
        <v>1207</v>
      </c>
      <c r="E280" s="6" t="s">
        <v>1208</v>
      </c>
      <c r="F280" s="6" t="s">
        <v>449</v>
      </c>
      <c r="G280" s="6" t="s">
        <v>1208</v>
      </c>
      <c r="H280" s="6" t="s">
        <v>1299</v>
      </c>
      <c r="I280" s="6"/>
      <c r="J280" s="6"/>
      <c r="K280" s="2" t="str">
        <f>IFERROR(__xludf.DUMMYFUNCTION("GOOGLETRANSLATE(A280,""en"",""ur"")"),"279")</f>
        <v>279</v>
      </c>
      <c r="L280" s="2" t="str">
        <f>IFERROR(__xludf.DUMMYFUNCTION("GOOGLETRANSLATE(B280,""en"",""ur"")"),"لمبی اسکرٹس کا بنیادی مقصد کیا ہے؟")</f>
        <v>لمبی اسکرٹس کا بنیادی مقصد کیا ہے؟</v>
      </c>
      <c r="M280" s="2" t="str">
        <f>IFERROR(__xludf.DUMMYFUNCTION("GOOGLETRANSLATE(C280,""en"",""ur"")"),"پہلوانوں کی ٹانگوں کی حفاظت کے لیے")</f>
        <v>پہلوانوں کی ٹانگوں کی حفاظت کے لیے</v>
      </c>
      <c r="N280" s="2" t="str">
        <f>IFERROR(__xludf.DUMMYFUNCTION("GOOGLETRANSLATE(D280,""en"",""ur"")"),"پہلوانوں کو مزید چست بنانے کے لیے")</f>
        <v>پہلوانوں کو مزید چست بنانے کے لیے</v>
      </c>
      <c r="O280" s="2" t="str">
        <f>IFERROR(__xludf.DUMMYFUNCTION("GOOGLETRANSLATE(E280,""en"",""ur"")"),"روایتی لباس اور لڑائی کے دوران گرفت کے لیے")</f>
        <v>روایتی لباس اور لڑائی کے دوران گرفت کے لیے</v>
      </c>
      <c r="P280" s="2" t="str">
        <f>IFERROR(__xludf.DUMMYFUNCTION("GOOGLETRANSLATE(F280,""en"",""ur"")"),"صرف سجاوٹ کے لیے")</f>
        <v>صرف سجاوٹ کے لیے</v>
      </c>
      <c r="Q280" s="6" t="s">
        <v>1209</v>
      </c>
      <c r="R280" s="6" t="str">
        <f>IFERROR(__xludf.DUMMYFUNCTION("""COMPUTED_VALUE"""),"ایک ریسلنگ میچ میں دو آدمی")</f>
        <v>ایک ریسلنگ میچ میں دو آدمی</v>
      </c>
      <c r="S280" s="6" t="s">
        <v>1299</v>
      </c>
      <c r="T280" s="6"/>
      <c r="U280" s="6"/>
      <c r="V280" s="6"/>
      <c r="W280" s="6"/>
      <c r="X280" s="6"/>
      <c r="Y280" s="6"/>
      <c r="Z280" s="6"/>
      <c r="AA280" s="6"/>
      <c r="AB280" s="6"/>
    </row>
    <row r="281">
      <c r="A281" s="7">
        <v>280.0</v>
      </c>
      <c r="B281" s="6" t="s">
        <v>260</v>
      </c>
      <c r="C281" s="6" t="s">
        <v>261</v>
      </c>
      <c r="D281" s="6" t="s">
        <v>262</v>
      </c>
      <c r="E281" s="6" t="s">
        <v>1210</v>
      </c>
      <c r="F281" s="6" t="s">
        <v>264</v>
      </c>
      <c r="G281" s="6" t="s">
        <v>1210</v>
      </c>
      <c r="H281" s="6" t="s">
        <v>1299</v>
      </c>
      <c r="I281" s="6"/>
      <c r="J281" s="6"/>
      <c r="K281" s="2" t="str">
        <f>IFERROR(__xludf.DUMMYFUNCTION("GOOGLETRANSLATE(A281,""en"",""ur"")"),"280")</f>
        <v>280</v>
      </c>
      <c r="L281" s="2" t="str">
        <f>IFERROR(__xludf.DUMMYFUNCTION("GOOGLETRANSLATE(B281,""en"",""ur"")"),"تصویر میں ایکشن ایک ایسا انداز تجویز کرتا ہے جو اس بات پر زور دیتا ہے...")</f>
        <v>تصویر میں ایکشن ایک ایسا انداز تجویز کرتا ہے جو اس بات پر زور دیتا ہے...</v>
      </c>
      <c r="M281" s="2" t="str">
        <f>IFERROR(__xludf.DUMMYFUNCTION("GOOGLETRANSLATE(C281,""en"",""ur"")"),"روانی اور قلابازیاں")</f>
        <v>روانی اور قلابازیاں</v>
      </c>
      <c r="N281" s="2" t="str">
        <f>IFERROR(__xludf.DUMMYFUNCTION("GOOGLETRANSLATE(D281,""en"",""ur"")"),"زمینی لڑائی اور گرفت")</f>
        <v>زمینی لڑائی اور گرفت</v>
      </c>
      <c r="O281" s="2" t="str">
        <f>IFERROR(__xludf.DUMMYFUNCTION("GOOGLETRANSLATE(E281,""en"",""ur"")"),"وحشیانہ طاقت اور ٹیک ڈاؤن")</f>
        <v>وحشیانہ طاقت اور ٹیک ڈاؤن</v>
      </c>
      <c r="P281" s="2" t="str">
        <f>IFERROR(__xludf.DUMMYFUNCTION("GOOGLETRANSLATE(F281,""en"",""ur"")"),"سادہ، لکیری حرکات")</f>
        <v>سادہ، لکیری حرکات</v>
      </c>
      <c r="Q281" s="6" t="s">
        <v>1211</v>
      </c>
      <c r="R281" s="6" t="str">
        <f>IFERROR(__xludf.DUMMYFUNCTION("""COMPUTED_VALUE"""),"ایک ریسلنگ میچ میں دو آدمی")</f>
        <v>ایک ریسلنگ میچ میں دو آدمی</v>
      </c>
      <c r="S281" s="6" t="s">
        <v>1299</v>
      </c>
      <c r="T281" s="6"/>
      <c r="U281" s="6"/>
      <c r="V281" s="6"/>
      <c r="W281" s="6"/>
      <c r="X281" s="6"/>
      <c r="Y281" s="6"/>
      <c r="Z281" s="6"/>
      <c r="AA281" s="6"/>
      <c r="AB281" s="6"/>
    </row>
    <row r="282">
      <c r="A282" s="7">
        <v>281.0</v>
      </c>
      <c r="B282" s="6" t="s">
        <v>1300</v>
      </c>
      <c r="C282" s="6" t="s">
        <v>405</v>
      </c>
      <c r="D282" s="6" t="s">
        <v>406</v>
      </c>
      <c r="E282" s="6" t="s">
        <v>1184</v>
      </c>
      <c r="F282" s="6" t="s">
        <v>1185</v>
      </c>
      <c r="G282" s="6" t="s">
        <v>1184</v>
      </c>
      <c r="H282" s="6" t="s">
        <v>1301</v>
      </c>
      <c r="I282" s="6"/>
      <c r="J282" s="6"/>
      <c r="K282" s="2" t="str">
        <f>IFERROR(__xludf.DUMMYFUNCTION("GOOGLETRANSLATE(A282,""en"",""ur"")"),"281")</f>
        <v>281</v>
      </c>
      <c r="L282" s="2" t="str">
        <f>IFERROR(__xludf.DUMMYFUNCTION("GOOGLETRANSLATE(B282,""en"",""ur"")"),"ملاخرہ_48 میں مرکزی عمل کیا دکھایا گیا ہے؟")</f>
        <v>ملاخرہ_48 میں مرکزی عمل کیا دکھایا گیا ہے؟</v>
      </c>
      <c r="M282" s="2" t="str">
        <f>IFERROR(__xludf.DUMMYFUNCTION("GOOGLETRANSLATE(C282,""en"",""ur"")"),"دو آدمی تلواروں سے لڑ رہے ہیں۔")</f>
        <v>دو آدمی تلواروں سے لڑ رہے ہیں۔</v>
      </c>
      <c r="N282" s="2" t="str">
        <f>IFERROR(__xludf.DUMMYFUNCTION("GOOGLETRANSLATE(D282,""en"",""ur"")"),"دو آدمی ناچ رہے ہیں۔")</f>
        <v>دو آدمی ناچ رہے ہیں۔</v>
      </c>
      <c r="O282" s="2" t="str">
        <f>IFERROR(__xludf.DUMMYFUNCTION("GOOGLETRANSLATE(E282,""en"",""ur"")"),"ایک ریسلنگ میچ میں دو آدمی")</f>
        <v>ایک ریسلنگ میچ میں دو آدمی</v>
      </c>
      <c r="P282" s="2" t="str">
        <f>IFERROR(__xludf.DUMMYFUNCTION("GOOGLETRANSLATE(F282,""en"",""ur"")"),"دو آدمی بھاگ رہے ہیں۔")</f>
        <v>دو آدمی بھاگ رہے ہیں۔</v>
      </c>
      <c r="Q282" s="6" t="s">
        <v>1214</v>
      </c>
      <c r="R282" s="6" t="str">
        <f>IFERROR(__xludf.DUMMYFUNCTION("""COMPUTED_VALUE"""),"ایک ریسلنگ میچ میں دو آدمی")</f>
        <v>ایک ریسلنگ میچ میں دو آدمی</v>
      </c>
      <c r="S282" s="6" t="s">
        <v>1301</v>
      </c>
      <c r="T282" s="6"/>
      <c r="U282" s="6"/>
      <c r="V282" s="6"/>
      <c r="W282" s="6"/>
      <c r="X282" s="6"/>
      <c r="Y282" s="6"/>
      <c r="Z282" s="6"/>
      <c r="AA282" s="6"/>
      <c r="AB282" s="6"/>
    </row>
    <row r="283">
      <c r="A283" s="7">
        <v>282.0</v>
      </c>
      <c r="B283" s="6" t="s">
        <v>1215</v>
      </c>
      <c r="C283" s="6" t="s">
        <v>488</v>
      </c>
      <c r="D283" s="6" t="s">
        <v>1216</v>
      </c>
      <c r="E283" s="6" t="s">
        <v>490</v>
      </c>
      <c r="F283" s="6" t="s">
        <v>246</v>
      </c>
      <c r="G283" s="6" t="s">
        <v>1216</v>
      </c>
      <c r="H283" s="6" t="s">
        <v>1301</v>
      </c>
      <c r="I283" s="6"/>
      <c r="J283" s="6"/>
      <c r="K283" s="2" t="str">
        <f>IFERROR(__xludf.DUMMYFUNCTION("GOOGLETRANSLATE(A283,""en"",""ur"")"),"282")</f>
        <v>282</v>
      </c>
      <c r="L283" s="2" t="str">
        <f>IFERROR(__xludf.DUMMYFUNCTION("GOOGLETRANSLATE(B283,""en"",""ur"")"),"پہلوانوں کے لباس کے بارے میں ایک قابل ذکر تفصیل کیا ہے؟")</f>
        <v>پہلوانوں کے لباس کے بارے میں ایک قابل ذکر تفصیل کیا ہے؟</v>
      </c>
      <c r="M283" s="2" t="str">
        <f>IFERROR(__xludf.DUMMYFUNCTION("GOOGLETRANSLATE(C283,""en"",""ur"")"),"انہوں نے بکتر کا پورا سوٹ پہن رکھا ہے۔")</f>
        <v>انہوں نے بکتر کا پورا سوٹ پہن رکھا ہے۔</v>
      </c>
      <c r="N283" s="2" t="str">
        <f>IFERROR(__xludf.DUMMYFUNCTION("GOOGLETRANSLATE(D283,""en"",""ur"")"),"وہ سارونگ یا پیٹرن والا اسکرٹ پہنے ہوئے ہیں۔")</f>
        <v>وہ سارونگ یا پیٹرن والا اسکرٹ پہنے ہوئے ہیں۔</v>
      </c>
      <c r="O283" s="2" t="str">
        <f>IFERROR(__xludf.DUMMYFUNCTION("GOOGLETRANSLATE(E283,""en"",""ur"")"),"انہوں نے شارٹس اور ٹی شرٹ پہن رکھی ہیں۔")</f>
        <v>انہوں نے شارٹس اور ٹی شرٹ پہن رکھی ہیں۔</v>
      </c>
      <c r="P283" s="2" t="str">
        <f>IFERROR(__xludf.DUMMYFUNCTION("GOOGLETRANSLATE(F283,""en"",""ur"")"),"انہوں نے کوئی لباس نہیں پہنا ہوا ہے۔")</f>
        <v>انہوں نے کوئی لباس نہیں پہنا ہوا ہے۔</v>
      </c>
      <c r="Q283" s="6" t="s">
        <v>1217</v>
      </c>
      <c r="R283" s="6" t="str">
        <f>IFERROR(__xludf.DUMMYFUNCTION("""COMPUTED_VALUE"""),"ایک ریسلنگ میچ میں دو آدمی")</f>
        <v>ایک ریسلنگ میچ میں دو آدمی</v>
      </c>
      <c r="S283" s="6" t="s">
        <v>1301</v>
      </c>
      <c r="T283" s="6"/>
      <c r="U283" s="6"/>
      <c r="V283" s="6"/>
      <c r="W283" s="6"/>
      <c r="X283" s="6"/>
      <c r="Y283" s="6"/>
      <c r="Z283" s="6"/>
      <c r="AA283" s="6"/>
      <c r="AB283" s="6"/>
    </row>
    <row r="284">
      <c r="A284" s="7">
        <v>283.0</v>
      </c>
      <c r="B284" s="6" t="s">
        <v>1193</v>
      </c>
      <c r="C284" s="6" t="s">
        <v>1194</v>
      </c>
      <c r="D284" s="6" t="s">
        <v>1195</v>
      </c>
      <c r="E284" s="6" t="s">
        <v>1196</v>
      </c>
      <c r="F284" s="6" t="s">
        <v>1197</v>
      </c>
      <c r="G284" s="6" t="s">
        <v>1196</v>
      </c>
      <c r="H284" s="6" t="s">
        <v>1301</v>
      </c>
      <c r="I284" s="6"/>
      <c r="J284" s="6"/>
      <c r="K284" s="2" t="str">
        <f>IFERROR(__xludf.DUMMYFUNCTION("GOOGLETRANSLATE(A284,""en"",""ur"")"),"283")</f>
        <v>283</v>
      </c>
      <c r="L284" s="2" t="str">
        <f>IFERROR(__xludf.DUMMYFUNCTION("GOOGLETRANSLATE(B284,""en"",""ur"")"),"کشتی کا ظاہری مقصد کیا ہے؟")</f>
        <v>کشتی کا ظاہری مقصد کیا ہے؟</v>
      </c>
      <c r="M284" s="2" t="str">
        <f>IFERROR(__xludf.DUMMYFUNCTION("GOOGLETRANSLATE(C284,""en"",""ur"")"),"ایک رسمی رقص")</f>
        <v>ایک رسمی رقص</v>
      </c>
      <c r="N284" s="2" t="str">
        <f>IFERROR(__xludf.DUMMYFUNCTION("GOOGLETRANSLATE(D284,""en"",""ur"")"),"ایک دوستانہ مظاہرہ")</f>
        <v>ایک دوستانہ مظاہرہ</v>
      </c>
      <c r="O284" s="2" t="str">
        <f>IFERROR(__xludf.DUMMYFUNCTION("GOOGLETRANSLATE(E284,""en"",""ur"")"),"ٹیک ڈاؤن کے ساتھ ایک مسابقتی میچ")</f>
        <v>ٹیک ڈاؤن کے ساتھ ایک مسابقتی میچ</v>
      </c>
      <c r="P284" s="2" t="str">
        <f>IFERROR(__xludf.DUMMYFUNCTION("GOOGLETRANSLATE(F284,""en"",""ur"")"),"ایک پریکٹس سیشن")</f>
        <v>ایک پریکٹس سیشن</v>
      </c>
      <c r="Q284" s="6" t="s">
        <v>1198</v>
      </c>
      <c r="R284" s="6" t="str">
        <f>IFERROR(__xludf.DUMMYFUNCTION("""COMPUTED_VALUE"""),"ایک ریسلنگ میچ میں دو آدمی")</f>
        <v>ایک ریسلنگ میچ میں دو آدمی</v>
      </c>
      <c r="S284" s="6" t="s">
        <v>1301</v>
      </c>
      <c r="T284" s="6"/>
      <c r="U284" s="6"/>
      <c r="V284" s="6"/>
      <c r="W284" s="6"/>
      <c r="X284" s="6"/>
      <c r="Y284" s="6"/>
      <c r="Z284" s="6"/>
      <c r="AA284" s="6"/>
      <c r="AB284" s="6"/>
    </row>
    <row r="285">
      <c r="A285" s="7">
        <v>284.0</v>
      </c>
      <c r="B285" s="6" t="s">
        <v>991</v>
      </c>
      <c r="C285" s="6" t="s">
        <v>422</v>
      </c>
      <c r="D285" s="6" t="s">
        <v>1199</v>
      </c>
      <c r="E285" s="6" t="s">
        <v>424</v>
      </c>
      <c r="F285" s="6" t="s">
        <v>425</v>
      </c>
      <c r="G285" s="6" t="s">
        <v>1199</v>
      </c>
      <c r="H285" s="6" t="s">
        <v>1301</v>
      </c>
      <c r="I285" s="6"/>
      <c r="J285" s="6"/>
      <c r="K285" s="2" t="str">
        <f>IFERROR(__xludf.DUMMYFUNCTION("GOOGLETRANSLATE(A285,""en"",""ur"")"),"284")</f>
        <v>284</v>
      </c>
      <c r="L285" s="2" t="str">
        <f>IFERROR(__xludf.DUMMYFUNCTION("GOOGLETRANSLATE(B285,""en"",""ur"")"),"واقعہ کی ظاہری ترتیب کیا ہے؟")</f>
        <v>واقعہ کی ظاہری ترتیب کیا ہے؟</v>
      </c>
      <c r="M285" s="2" t="str">
        <f>IFERROR(__xludf.DUMMYFUNCTION("GOOGLETRANSLATE(C285,""en"",""ur"")"),"ایک انڈور اسٹیڈیم")</f>
        <v>ایک انڈور اسٹیڈیم</v>
      </c>
      <c r="N285" s="2" t="str">
        <f>IFERROR(__xludf.DUMMYFUNCTION("GOOGLETRANSLATE(D285,""en"",""ur"")"),"ایک دیہی، بیرونی گندگی کا ایک بڑا ہجوم")</f>
        <v>ایک دیہی، بیرونی گندگی کا ایک بڑا ہجوم</v>
      </c>
      <c r="O285" s="2" t="str">
        <f>IFERROR(__xludf.DUMMYFUNCTION("GOOGLETRANSLATE(E285,""en"",""ur"")"),"شہر کی مصروف گلی")</f>
        <v>شہر کی مصروف گلی</v>
      </c>
      <c r="P285" s="2" t="str">
        <f>IFERROR(__xludf.DUMMYFUNCTION("GOOGLETRANSLATE(F285,""en"",""ur"")"),"گھاس کا میدان")</f>
        <v>گھاس کا میدان</v>
      </c>
      <c r="Q285" s="6" t="s">
        <v>1200</v>
      </c>
      <c r="R285" s="6" t="str">
        <f>IFERROR(__xludf.DUMMYFUNCTION("""COMPUTED_VALUE"""),"ایک ریسلنگ میچ میں دو آدمی")</f>
        <v>ایک ریسلنگ میچ میں دو آدمی</v>
      </c>
      <c r="S285" s="6" t="s">
        <v>1301</v>
      </c>
      <c r="T285" s="6"/>
      <c r="U285" s="6"/>
      <c r="V285" s="6"/>
      <c r="W285" s="6"/>
      <c r="X285" s="6"/>
      <c r="Y285" s="6"/>
      <c r="Z285" s="6"/>
      <c r="AA285" s="6"/>
      <c r="AB285" s="6"/>
    </row>
    <row r="286">
      <c r="A286" s="7">
        <v>285.0</v>
      </c>
      <c r="B286" s="6" t="s">
        <v>1201</v>
      </c>
      <c r="C286" s="6" t="s">
        <v>47</v>
      </c>
      <c r="D286" s="6" t="s">
        <v>48</v>
      </c>
      <c r="E286" s="6" t="s">
        <v>49</v>
      </c>
      <c r="F286" s="6" t="s">
        <v>50</v>
      </c>
      <c r="G286" s="6" t="s">
        <v>49</v>
      </c>
      <c r="H286" s="6" t="s">
        <v>1301</v>
      </c>
      <c r="I286" s="6"/>
      <c r="J286" s="6"/>
      <c r="K286" s="2" t="str">
        <f>IFERROR(__xludf.DUMMYFUNCTION("GOOGLETRANSLATE(A286,""en"",""ur"")"),"285")</f>
        <v>285</v>
      </c>
      <c r="L286" s="2" t="str">
        <f>IFERROR(__xludf.DUMMYFUNCTION("GOOGLETRANSLATE(B286,""en"",""ur"")"),"پہلوانوں کے ظاہری جذبات کیا ہیں؟")</f>
        <v>پہلوانوں کے ظاہری جذبات کیا ہیں؟</v>
      </c>
      <c r="M286" s="2" t="str">
        <f>IFERROR(__xludf.DUMMYFUNCTION("GOOGLETRANSLATE(C286,""en"",""ur"")"),"پرسکون اور پر سکون")</f>
        <v>پرسکون اور پر سکون</v>
      </c>
      <c r="N286" s="2" t="str">
        <f>IFERROR(__xludf.DUMMYFUNCTION("GOOGLETRANSLATE(D286,""en"",""ur"")"),"خوف زدہ اور بے چین")</f>
        <v>خوف زدہ اور بے چین</v>
      </c>
      <c r="O286" s="2" t="str">
        <f>IFERROR(__xludf.DUMMYFUNCTION("GOOGLETRANSLATE(E286,""en"",""ur"")"),"کشیدہ اور شدید")</f>
        <v>کشیدہ اور شدید</v>
      </c>
      <c r="P286" s="2" t="str">
        <f>IFERROR(__xludf.DUMMYFUNCTION("GOOGLETRANSLATE(F286,""en"",""ur"")"),"خوش اور مسکراتے ہوئے۔")</f>
        <v>خوش اور مسکراتے ہوئے۔</v>
      </c>
      <c r="Q286" s="6" t="s">
        <v>51</v>
      </c>
      <c r="R286" s="6" t="str">
        <f>IFERROR(__xludf.DUMMYFUNCTION("""COMPUTED_VALUE"""),"ایک ریسلنگ میچ میں دو آدمی")</f>
        <v>ایک ریسلنگ میچ میں دو آدمی</v>
      </c>
      <c r="S286" s="6" t="s">
        <v>1301</v>
      </c>
      <c r="T286" s="6"/>
      <c r="U286" s="6"/>
      <c r="V286" s="6"/>
      <c r="W286" s="6"/>
      <c r="X286" s="6"/>
      <c r="Y286" s="6"/>
      <c r="Z286" s="6"/>
      <c r="AA286" s="6"/>
      <c r="AB286" s="6"/>
    </row>
    <row r="287">
      <c r="A287" s="7">
        <v>286.0</v>
      </c>
      <c r="B287" s="6" t="s">
        <v>1218</v>
      </c>
      <c r="C287" s="6" t="s">
        <v>429</v>
      </c>
      <c r="D287" s="6" t="s">
        <v>430</v>
      </c>
      <c r="E287" s="6" t="s">
        <v>431</v>
      </c>
      <c r="F287" s="6" t="s">
        <v>432</v>
      </c>
      <c r="G287" s="6" t="s">
        <v>430</v>
      </c>
      <c r="H287" s="6" t="s">
        <v>1301</v>
      </c>
      <c r="I287" s="6"/>
      <c r="J287" s="6"/>
      <c r="K287" s="2" t="str">
        <f>IFERROR(__xludf.DUMMYFUNCTION("GOOGLETRANSLATE(A287,""en"",""ur"")"),"286")</f>
        <v>286</v>
      </c>
      <c r="L287" s="2" t="str">
        <f>IFERROR(__xludf.DUMMYFUNCTION("GOOGLETRANSLATE(B287,""en"",""ur"")"),"پہلوانوں کی ظاہری جسمانی پوزیشن کیا ہے؟")</f>
        <v>پہلوانوں کی ظاہری جسمانی پوزیشن کیا ہے؟</v>
      </c>
      <c r="M287" s="2" t="str">
        <f>IFERROR(__xludf.DUMMYFUNCTION("GOOGLETRANSLATE(C287,""en"",""ur"")"),"سیدھا کھڑا ہونا")</f>
        <v>سیدھا کھڑا ہونا</v>
      </c>
      <c r="N287" s="2" t="str">
        <f>IFERROR(__xludf.DUMMYFUNCTION("GOOGLETRANSLATE(D287,""en"",""ur"")"),"کم، متحرک موقف میں")</f>
        <v>کم، متحرک موقف میں</v>
      </c>
      <c r="O287" s="2" t="str">
        <f>IFERROR(__xludf.DUMMYFUNCTION("GOOGLETRANSLATE(E287,""en"",""ur"")"),"زمین پر لیٹنا")</f>
        <v>زمین پر لیٹنا</v>
      </c>
      <c r="P287" s="2" t="str">
        <f>IFERROR(__xludf.DUMMYFUNCTION("GOOGLETRANSLATE(F287,""en"",""ur"")"),"بیٹھا ہوا")</f>
        <v>بیٹھا ہوا</v>
      </c>
      <c r="Q287" s="6" t="s">
        <v>433</v>
      </c>
      <c r="R287" s="6" t="str">
        <f>IFERROR(__xludf.DUMMYFUNCTION("""COMPUTED_VALUE"""),"ایک ریسلنگ میچ میں دو آدمی")</f>
        <v>ایک ریسلنگ میچ میں دو آدمی</v>
      </c>
      <c r="S287" s="6" t="s">
        <v>1301</v>
      </c>
      <c r="T287" s="6"/>
      <c r="U287" s="6"/>
      <c r="V287" s="6"/>
      <c r="W287" s="6"/>
      <c r="X287" s="6"/>
      <c r="Y287" s="6"/>
      <c r="Z287" s="6"/>
      <c r="AA287" s="6"/>
      <c r="AB287" s="6"/>
    </row>
    <row r="288">
      <c r="A288" s="7">
        <v>287.0</v>
      </c>
      <c r="B288" s="6" t="s">
        <v>434</v>
      </c>
      <c r="C288" s="6" t="s">
        <v>435</v>
      </c>
      <c r="D288" s="6" t="s">
        <v>436</v>
      </c>
      <c r="E288" s="6" t="s">
        <v>1203</v>
      </c>
      <c r="F288" s="6" t="s">
        <v>438</v>
      </c>
      <c r="G288" s="6" t="s">
        <v>1203</v>
      </c>
      <c r="H288" s="6" t="s">
        <v>1301</v>
      </c>
      <c r="I288" s="6"/>
      <c r="J288" s="6"/>
      <c r="K288" s="2" t="str">
        <f>IFERROR(__xludf.DUMMYFUNCTION("GOOGLETRANSLATE(A288,""en"",""ur"")"),"287")</f>
        <v>287</v>
      </c>
      <c r="L288" s="2" t="str">
        <f>IFERROR(__xludf.DUMMYFUNCTION("GOOGLETRANSLATE(B288,""en"",""ur"")"),"پس منظر میں ہجوم کی سب سے نمایاں خصوصیت کیا ہے؟")</f>
        <v>پس منظر میں ہجوم کی سب سے نمایاں خصوصیت کیا ہے؟</v>
      </c>
      <c r="M288" s="2" t="str">
        <f>IFERROR(__xludf.DUMMYFUNCTION("GOOGLETRANSLATE(C288,""en"",""ur"")"),"وہ بھاگ رہے ہیں۔")</f>
        <v>وہ بھاگ رہے ہیں۔</v>
      </c>
      <c r="N288" s="2" t="str">
        <f>IFERROR(__xludf.DUMMYFUNCTION("GOOGLETRANSLATE(D288,""en"",""ur"")"),"وہ خاموش بیٹھے ہیں۔")</f>
        <v>وہ خاموش بیٹھے ہیں۔</v>
      </c>
      <c r="O288" s="2" t="str">
        <f>IFERROR(__xludf.DUMMYFUNCTION("GOOGLETRANSLATE(E288,""en"",""ur"")"),"وہ باڑ کے پیچھے سے میچ دیکھ رہے ہیں۔")</f>
        <v>وہ باڑ کے پیچھے سے میچ دیکھ رہے ہیں۔</v>
      </c>
      <c r="P288" s="2" t="str">
        <f>IFERROR(__xludf.DUMMYFUNCTION("GOOGLETRANSLATE(F288,""en"",""ur"")"),"وہ سب ایک اسٹیج پر کھڑے ہیں۔")</f>
        <v>وہ سب ایک اسٹیج پر کھڑے ہیں۔</v>
      </c>
      <c r="Q288" s="6" t="s">
        <v>1204</v>
      </c>
      <c r="R288" s="6" t="str">
        <f>IFERROR(__xludf.DUMMYFUNCTION("""COMPUTED_VALUE"""),"ایک ریسلنگ میچ میں دو آدمی")</f>
        <v>ایک ریسلنگ میچ میں دو آدمی</v>
      </c>
      <c r="S288" s="6" t="s">
        <v>1301</v>
      </c>
      <c r="T288" s="6"/>
      <c r="U288" s="6"/>
      <c r="V288" s="6"/>
      <c r="W288" s="6"/>
      <c r="X288" s="6"/>
      <c r="Y288" s="6"/>
      <c r="Z288" s="6"/>
      <c r="AA288" s="6"/>
      <c r="AB288" s="6"/>
    </row>
    <row r="289">
      <c r="A289" s="7">
        <v>288.0</v>
      </c>
      <c r="B289" s="6" t="s">
        <v>440</v>
      </c>
      <c r="C289" s="6" t="s">
        <v>441</v>
      </c>
      <c r="D289" s="6" t="s">
        <v>442</v>
      </c>
      <c r="E289" s="6" t="s">
        <v>512</v>
      </c>
      <c r="F289" s="6" t="s">
        <v>444</v>
      </c>
      <c r="G289" s="6" t="s">
        <v>512</v>
      </c>
      <c r="H289" s="6" t="s">
        <v>1301</v>
      </c>
      <c r="I289" s="6"/>
      <c r="J289" s="6"/>
      <c r="K289" s="2" t="str">
        <f>IFERROR(__xludf.DUMMYFUNCTION("GOOGLETRANSLATE(A289,""en"",""ur"")"),"288")</f>
        <v>288</v>
      </c>
      <c r="L289" s="2" t="str">
        <f>IFERROR(__xludf.DUMMYFUNCTION("GOOGLETRANSLATE(B289,""en"",""ur"")"),"زمین کی ظاہری حالت کیا ہے؟")</f>
        <v>زمین کی ظاہری حالت کیا ہے؟</v>
      </c>
      <c r="M289" s="2" t="str">
        <f>IFERROR(__xludf.DUMMYFUNCTION("GOOGLETRANSLATE(C289,""en"",""ur"")"),"یہ ایک پکی سطح ہے۔")</f>
        <v>یہ ایک پکی سطح ہے۔</v>
      </c>
      <c r="N289" s="2" t="str">
        <f>IFERROR(__xludf.DUMMYFUNCTION("GOOGLETRANSLATE(D289,""en"",""ur"")"),"یہ ایک کیچڑ والا میدان ہے۔")</f>
        <v>یہ ایک کیچڑ والا میدان ہے۔</v>
      </c>
      <c r="O289" s="2" t="str">
        <f>IFERROR(__xludf.DUMMYFUNCTION("GOOGLETRANSLATE(E289,""en"",""ur"")"),"یہ ایک ریتلی یا گندگی کی سطح ہے۔")</f>
        <v>یہ ایک ریتلی یا گندگی کی سطح ہے۔</v>
      </c>
      <c r="P289" s="2" t="str">
        <f>IFERROR(__xludf.DUMMYFUNCTION("GOOGLETRANSLATE(F289,""en"",""ur"")"),"یہ ایک گھاس والی سطح ہے۔")</f>
        <v>یہ ایک گھاس والی سطح ہے۔</v>
      </c>
      <c r="Q289" s="6" t="s">
        <v>1219</v>
      </c>
      <c r="R289" s="6" t="str">
        <f>IFERROR(__xludf.DUMMYFUNCTION("""COMPUTED_VALUE"""),"ایک ریسلنگ میچ میں دو آدمی")</f>
        <v>ایک ریسلنگ میچ میں دو آدمی</v>
      </c>
      <c r="S289" s="6" t="s">
        <v>1301</v>
      </c>
      <c r="T289" s="6"/>
      <c r="U289" s="6"/>
      <c r="V289" s="6"/>
      <c r="W289" s="6"/>
      <c r="X289" s="6"/>
      <c r="Y289" s="6"/>
      <c r="Z289" s="6"/>
      <c r="AA289" s="6"/>
      <c r="AB289" s="6"/>
    </row>
    <row r="290">
      <c r="A290" s="7">
        <v>289.0</v>
      </c>
      <c r="B290" s="6" t="s">
        <v>1205</v>
      </c>
      <c r="C290" s="6" t="s">
        <v>1206</v>
      </c>
      <c r="D290" s="6" t="s">
        <v>1207</v>
      </c>
      <c r="E290" s="6" t="s">
        <v>1208</v>
      </c>
      <c r="F290" s="6" t="s">
        <v>449</v>
      </c>
      <c r="G290" s="6" t="s">
        <v>1208</v>
      </c>
      <c r="H290" s="6" t="s">
        <v>1301</v>
      </c>
      <c r="I290" s="6"/>
      <c r="J290" s="6"/>
      <c r="K290" s="2" t="str">
        <f>IFERROR(__xludf.DUMMYFUNCTION("GOOGLETRANSLATE(A290,""en"",""ur"")"),"289")</f>
        <v>289</v>
      </c>
      <c r="L290" s="2" t="str">
        <f>IFERROR(__xludf.DUMMYFUNCTION("GOOGLETRANSLATE(B290,""en"",""ur"")"),"لمبی اسکرٹس کا بنیادی مقصد کیا ہے؟")</f>
        <v>لمبی اسکرٹس کا بنیادی مقصد کیا ہے؟</v>
      </c>
      <c r="M290" s="2" t="str">
        <f>IFERROR(__xludf.DUMMYFUNCTION("GOOGLETRANSLATE(C290,""en"",""ur"")"),"پہلوانوں کی ٹانگوں کی حفاظت کے لیے")</f>
        <v>پہلوانوں کی ٹانگوں کی حفاظت کے لیے</v>
      </c>
      <c r="N290" s="2" t="str">
        <f>IFERROR(__xludf.DUMMYFUNCTION("GOOGLETRANSLATE(D290,""en"",""ur"")"),"پہلوانوں کو مزید چست بنانے کے لیے")</f>
        <v>پہلوانوں کو مزید چست بنانے کے لیے</v>
      </c>
      <c r="O290" s="2" t="str">
        <f>IFERROR(__xludf.DUMMYFUNCTION("GOOGLETRANSLATE(E290,""en"",""ur"")"),"روایتی لباس اور لڑائی کے دوران گرفت کے لیے")</f>
        <v>روایتی لباس اور لڑائی کے دوران گرفت کے لیے</v>
      </c>
      <c r="P290" s="2" t="str">
        <f>IFERROR(__xludf.DUMMYFUNCTION("GOOGLETRANSLATE(F290,""en"",""ur"")"),"صرف سجاوٹ کے لیے")</f>
        <v>صرف سجاوٹ کے لیے</v>
      </c>
      <c r="Q290" s="6" t="s">
        <v>1209</v>
      </c>
      <c r="R290" s="6" t="str">
        <f>IFERROR(__xludf.DUMMYFUNCTION("""COMPUTED_VALUE"""),"ایک ریسلنگ میچ میں دو آدمی")</f>
        <v>ایک ریسلنگ میچ میں دو آدمی</v>
      </c>
      <c r="S290" s="6" t="s">
        <v>1301</v>
      </c>
      <c r="T290" s="6"/>
      <c r="U290" s="6"/>
      <c r="V290" s="6"/>
      <c r="W290" s="6"/>
      <c r="X290" s="6"/>
      <c r="Y290" s="6"/>
      <c r="Z290" s="6"/>
      <c r="AA290" s="6"/>
      <c r="AB290" s="6"/>
    </row>
    <row r="291">
      <c r="A291" s="7">
        <v>290.0</v>
      </c>
      <c r="B291" s="6" t="s">
        <v>260</v>
      </c>
      <c r="C291" s="6" t="s">
        <v>261</v>
      </c>
      <c r="D291" s="6" t="s">
        <v>262</v>
      </c>
      <c r="E291" s="6" t="s">
        <v>1210</v>
      </c>
      <c r="F291" s="6" t="s">
        <v>264</v>
      </c>
      <c r="G291" s="6" t="s">
        <v>1210</v>
      </c>
      <c r="H291" s="6" t="s">
        <v>1301</v>
      </c>
      <c r="I291" s="6"/>
      <c r="J291" s="6"/>
      <c r="K291" s="2" t="str">
        <f>IFERROR(__xludf.DUMMYFUNCTION("GOOGLETRANSLATE(A291,""en"",""ur"")"),"290")</f>
        <v>290</v>
      </c>
      <c r="L291" s="2" t="str">
        <f>IFERROR(__xludf.DUMMYFUNCTION("GOOGLETRANSLATE(B291,""en"",""ur"")"),"تصویر میں ایکشن ایک ایسا انداز تجویز کرتا ہے جو اس بات پر زور دیتا ہے...")</f>
        <v>تصویر میں ایکشن ایک ایسا انداز تجویز کرتا ہے جو اس بات پر زور دیتا ہے...</v>
      </c>
      <c r="M291" s="2" t="str">
        <f>IFERROR(__xludf.DUMMYFUNCTION("GOOGLETRANSLATE(C291,""en"",""ur"")"),"روانی اور قلابازیاں")</f>
        <v>روانی اور قلابازیاں</v>
      </c>
      <c r="N291" s="2" t="str">
        <f>IFERROR(__xludf.DUMMYFUNCTION("GOOGLETRANSLATE(D291,""en"",""ur"")"),"زمینی لڑائی اور گرفت")</f>
        <v>زمینی لڑائی اور گرفت</v>
      </c>
      <c r="O291" s="2" t="str">
        <f>IFERROR(__xludf.DUMMYFUNCTION("GOOGLETRANSLATE(E291,""en"",""ur"")"),"وحشیانہ طاقت اور ٹیک ڈاؤن")</f>
        <v>وحشیانہ طاقت اور ٹیک ڈاؤن</v>
      </c>
      <c r="P291" s="2" t="str">
        <f>IFERROR(__xludf.DUMMYFUNCTION("GOOGLETRANSLATE(F291,""en"",""ur"")"),"سادہ، لکیری حرکات")</f>
        <v>سادہ، لکیری حرکات</v>
      </c>
      <c r="Q291" s="6" t="s">
        <v>1211</v>
      </c>
      <c r="R291" s="6" t="str">
        <f>IFERROR(__xludf.DUMMYFUNCTION("""COMPUTED_VALUE"""),"ایک ریسلنگ میچ میں دو آدمی")</f>
        <v>ایک ریسلنگ میچ میں دو آدمی</v>
      </c>
      <c r="S291" s="6" t="s">
        <v>1301</v>
      </c>
      <c r="T291" s="6"/>
      <c r="U291" s="6"/>
      <c r="V291" s="6"/>
      <c r="W291" s="6"/>
      <c r="X291" s="6"/>
      <c r="Y291" s="6"/>
      <c r="Z291" s="6"/>
      <c r="AA291" s="6"/>
      <c r="AB291" s="6"/>
    </row>
    <row r="292">
      <c r="A292" s="7">
        <v>291.0</v>
      </c>
      <c r="B292" s="6" t="s">
        <v>1289</v>
      </c>
      <c r="C292" s="6" t="s">
        <v>465</v>
      </c>
      <c r="D292" s="6" t="s">
        <v>1237</v>
      </c>
      <c r="E292" s="6" t="s">
        <v>464</v>
      </c>
      <c r="F292" s="6" t="s">
        <v>1290</v>
      </c>
      <c r="G292" s="6" t="s">
        <v>1290</v>
      </c>
      <c r="H292" s="6" t="s">
        <v>1291</v>
      </c>
      <c r="I292" s="6"/>
      <c r="J292" s="6"/>
      <c r="K292" s="2" t="str">
        <f>IFERROR(__xludf.DUMMYFUNCTION("GOOGLETRANSLATE(A292,""en"",""ur"")"),"291")</f>
        <v>291</v>
      </c>
      <c r="L292" s="2" t="str">
        <f>IFERROR(__xludf.DUMMYFUNCTION("GOOGLETRANSLATE(B292,""en"",""ur"")"),"ملاخرہ_64 میں مرکزی عمل کیا دکھایا گیا ہے؟")</f>
        <v>ملاخرہ_64 میں مرکزی عمل کیا دکھایا گیا ہے؟</v>
      </c>
      <c r="M292" s="2" t="str">
        <f>IFERROR(__xludf.DUMMYFUNCTION("GOOGLETRANSLATE(C292,""en"",""ur"")"),"ایک آدمی سہارے کے ساتھ پوز کر رہا ہے۔")</f>
        <v>ایک آدمی سہارے کے ساتھ پوز کر رہا ہے۔</v>
      </c>
      <c r="N292" s="2" t="str">
        <f>IFERROR(__xludf.DUMMYFUNCTION("GOOGLETRANSLATE(D292,""en"",""ur"")"),"ایک آدمی لاٹھی سے لڑ رہا ہے۔")</f>
        <v>ایک آدمی لاٹھی سے لڑ رہا ہے۔</v>
      </c>
      <c r="O292" s="2" t="str">
        <f>IFERROR(__xludf.DUMMYFUNCTION("GOOGLETRANSLATE(E292,""en"",""ur"")"),"ایک آدمی ناچ رہا ہے۔")</f>
        <v>ایک آدمی ناچ رہا ہے۔</v>
      </c>
      <c r="P292" s="2" t="str">
        <f>IFERROR(__xludf.DUMMYFUNCTION("GOOGLETRANSLATE(F292,""en"",""ur"")"),"ایک آدمی طبی امداد حاصل کر رہا ہے۔")</f>
        <v>ایک آدمی طبی امداد حاصل کر رہا ہے۔</v>
      </c>
      <c r="Q292" s="6" t="s">
        <v>1292</v>
      </c>
      <c r="R292" s="6" t="str">
        <f>IFERROR(__xludf.DUMMYFUNCTION("""COMPUTED_VALUE"""),"ایک ریسلنگ میچ میں دو آدمی")</f>
        <v>ایک ریسلنگ میچ میں دو آدمی</v>
      </c>
      <c r="S292" s="6" t="s">
        <v>1291</v>
      </c>
      <c r="T292" s="6"/>
      <c r="U292" s="6"/>
      <c r="V292" s="6"/>
      <c r="W292" s="6"/>
      <c r="X292" s="6"/>
      <c r="Y292" s="6"/>
      <c r="Z292" s="6"/>
      <c r="AA292" s="6"/>
      <c r="AB292" s="6"/>
    </row>
    <row r="293">
      <c r="A293" s="7">
        <v>292.0</v>
      </c>
      <c r="B293" s="6" t="s">
        <v>1241</v>
      </c>
      <c r="C293" s="6" t="s">
        <v>411</v>
      </c>
      <c r="D293" s="6" t="s">
        <v>1242</v>
      </c>
      <c r="E293" s="6" t="s">
        <v>334</v>
      </c>
      <c r="F293" s="6" t="s">
        <v>308</v>
      </c>
      <c r="G293" s="6" t="s">
        <v>308</v>
      </c>
      <c r="H293" s="6" t="s">
        <v>1291</v>
      </c>
      <c r="I293" s="6"/>
      <c r="J293" s="6"/>
      <c r="K293" s="2" t="str">
        <f>IFERROR(__xludf.DUMMYFUNCTION("GOOGLETRANSLATE(A293,""en"",""ur"")"),"292")</f>
        <v>292</v>
      </c>
      <c r="L293" s="2" t="str">
        <f>IFERROR(__xludf.DUMMYFUNCTION("GOOGLETRANSLATE(B293,""en"",""ur"")"),"آدمی کے لباس کے بارے میں ایک قابل ذکر تفصیل کیا ہے؟")</f>
        <v>آدمی کے لباس کے بارے میں ایک قابل ذکر تفصیل کیا ہے؟</v>
      </c>
      <c r="M293" s="2" t="str">
        <f>IFERROR(__xludf.DUMMYFUNCTION("GOOGLETRANSLATE(C293,""en"",""ur"")"),"اس نے بکتر کا پورا سوٹ پہن رکھا ہے۔")</f>
        <v>اس نے بکتر کا پورا سوٹ پہن رکھا ہے۔</v>
      </c>
      <c r="N293" s="2" t="str">
        <f>IFERROR(__xludf.DUMMYFUNCTION("GOOGLETRANSLATE(D293,""en"",""ur"")"),"اس نے ایک لمبا، پیٹرن والا اسکرٹ پہن رکھا ہے۔")</f>
        <v>اس نے ایک لمبا، پیٹرن والا اسکرٹ پہن رکھا ہے۔</v>
      </c>
      <c r="O293" s="2" t="str">
        <f>IFERROR(__xludf.DUMMYFUNCTION("GOOGLETRANSLATE(E293,""en"",""ur"")"),"اس نے شارٹس اور ٹی شرٹ پہن رکھی ہے۔")</f>
        <v>اس نے شارٹس اور ٹی شرٹ پہن رکھی ہے۔</v>
      </c>
      <c r="P293" s="2" t="str">
        <f>IFERROR(__xludf.DUMMYFUNCTION("GOOGLETRANSLATE(F293,""en"",""ur"")"),"اس نے کوئی لباس نہیں پہنا ہوا ہے۔")</f>
        <v>اس نے کوئی لباس نہیں پہنا ہوا ہے۔</v>
      </c>
      <c r="Q293" s="6" t="s">
        <v>1243</v>
      </c>
      <c r="R293" s="6" t="str">
        <f>IFERROR(__xludf.DUMMYFUNCTION("""COMPUTED_VALUE"""),"ایک ریسلنگ میچ میں دو آدمی")</f>
        <v>ایک ریسلنگ میچ میں دو آدمی</v>
      </c>
      <c r="S293" s="6" t="s">
        <v>1291</v>
      </c>
      <c r="T293" s="6"/>
      <c r="U293" s="6"/>
      <c r="V293" s="6"/>
      <c r="W293" s="6"/>
      <c r="X293" s="6"/>
      <c r="Y293" s="6"/>
      <c r="Z293" s="6"/>
      <c r="AA293" s="6"/>
      <c r="AB293" s="6"/>
    </row>
    <row r="294">
      <c r="A294" s="7">
        <v>293.0</v>
      </c>
      <c r="B294" s="6" t="s">
        <v>471</v>
      </c>
      <c r="C294" s="6" t="s">
        <v>416</v>
      </c>
      <c r="D294" s="6" t="s">
        <v>417</v>
      </c>
      <c r="E294" s="6" t="s">
        <v>418</v>
      </c>
      <c r="F294" s="6" t="s">
        <v>419</v>
      </c>
      <c r="G294" s="6" t="s">
        <v>419</v>
      </c>
      <c r="H294" s="6" t="s">
        <v>1291</v>
      </c>
      <c r="I294" s="6"/>
      <c r="J294" s="6"/>
      <c r="K294" s="2" t="str">
        <f>IFERROR(__xludf.DUMMYFUNCTION("GOOGLETRANSLATE(A294,""en"",""ur"")"),"293")</f>
        <v>293</v>
      </c>
      <c r="L294" s="2" t="str">
        <f>IFERROR(__xludf.DUMMYFUNCTION("GOOGLETRANSLATE(B294,""en"",""ur"")"),"آدمی کی طرف سے استعمال کیا جاتا بنیادی ہتھیار کیا ہے؟")</f>
        <v>آدمی کی طرف سے استعمال کیا جاتا بنیادی ہتھیار کیا ہے؟</v>
      </c>
      <c r="M294" s="2" t="str">
        <f>IFERROR(__xludf.DUMMYFUNCTION("GOOGLETRANSLATE(C294,""en"",""ur"")"),"ایک چھوٹی تلوار")</f>
        <v>ایک چھوٹی تلوار</v>
      </c>
      <c r="N294" s="2" t="str">
        <f>IFERROR(__xludf.DUMMYFUNCTION("GOOGLETRANSLATE(D294,""en"",""ur"")"),"ایک لمبی چھڑی")</f>
        <v>ایک لمبی چھڑی</v>
      </c>
      <c r="O294" s="2" t="str">
        <f>IFERROR(__xludf.DUMMYFUNCTION("GOOGLETRANSLATE(E294,""en"",""ur"")"),"ایک کمان اور تیر")</f>
        <v>ایک کمان اور تیر</v>
      </c>
      <c r="P294" s="2" t="str">
        <f>IFERROR(__xludf.DUMMYFUNCTION("GOOGLETRANSLATE(F294,""en"",""ur"")"),"ایک ننگی مٹھی")</f>
        <v>ایک ننگی مٹھی</v>
      </c>
      <c r="Q294" s="6" t="s">
        <v>420</v>
      </c>
      <c r="R294" s="6" t="str">
        <f>IFERROR(__xludf.DUMMYFUNCTION("""COMPUTED_VALUE"""),"ایک ریسلنگ میچ میں دو آدمی")</f>
        <v>ایک ریسلنگ میچ میں دو آدمی</v>
      </c>
      <c r="S294" s="6" t="s">
        <v>1291</v>
      </c>
      <c r="T294" s="6"/>
      <c r="U294" s="6"/>
      <c r="V294" s="6"/>
      <c r="W294" s="6"/>
      <c r="X294" s="6"/>
      <c r="Y294" s="6"/>
      <c r="Z294" s="6"/>
      <c r="AA294" s="6"/>
      <c r="AB294" s="6"/>
    </row>
    <row r="295">
      <c r="A295" s="7">
        <v>294.0</v>
      </c>
      <c r="B295" s="6" t="s">
        <v>1244</v>
      </c>
      <c r="C295" s="6" t="s">
        <v>422</v>
      </c>
      <c r="D295" s="6" t="s">
        <v>423</v>
      </c>
      <c r="E295" s="6" t="s">
        <v>1245</v>
      </c>
      <c r="F295" s="6" t="s">
        <v>508</v>
      </c>
      <c r="G295" s="6" t="s">
        <v>423</v>
      </c>
      <c r="H295" s="6" t="s">
        <v>1291</v>
      </c>
      <c r="I295" s="6"/>
      <c r="J295" s="6"/>
      <c r="K295" s="2" t="str">
        <f>IFERROR(__xludf.DUMMYFUNCTION("GOOGLETRANSLATE(A295,""en"",""ur"")"),"294")</f>
        <v>294</v>
      </c>
      <c r="L295" s="2" t="str">
        <f>IFERROR(__xludf.DUMMYFUNCTION("GOOGLETRANSLATE(B295,""en"",""ur"")"),"اس منظر کی ترتیب کیا ہے؟")</f>
        <v>اس منظر کی ترتیب کیا ہے؟</v>
      </c>
      <c r="M295" s="2" t="str">
        <f>IFERROR(__xludf.DUMMYFUNCTION("GOOGLETRANSLATE(C295,""en"",""ur"")"),"ایک انڈور اسٹیڈیم")</f>
        <v>ایک انڈور اسٹیڈیم</v>
      </c>
      <c r="N295" s="2" t="str">
        <f>IFERROR(__xludf.DUMMYFUNCTION("GOOGLETRANSLATE(D295,""en"",""ur"")"),"ایک دیہی، بیرونی علاقہ")</f>
        <v>ایک دیہی، بیرونی علاقہ</v>
      </c>
      <c r="O295" s="2" t="str">
        <f>IFERROR(__xludf.DUMMYFUNCTION("GOOGLETRANSLATE(E295,""en"",""ur"")"),"شہر کی پکی گلی")</f>
        <v>شہر کی پکی گلی</v>
      </c>
      <c r="P295" s="2" t="str">
        <f>IFERROR(__xludf.DUMMYFUNCTION("GOOGLETRANSLATE(F295,""en"",""ur"")"),"ایک پرسکون ساحل")</f>
        <v>ایک پرسکون ساحل</v>
      </c>
      <c r="Q295" s="6" t="s">
        <v>1246</v>
      </c>
      <c r="R295" s="6" t="str">
        <f>IFERROR(__xludf.DUMMYFUNCTION("""COMPUTED_VALUE"""),"ایک ریسلنگ میچ میں دو آدمی")</f>
        <v>ایک ریسلنگ میچ میں دو آدمی</v>
      </c>
      <c r="S295" s="6" t="s">
        <v>1291</v>
      </c>
      <c r="T295" s="6"/>
      <c r="U295" s="6"/>
      <c r="V295" s="6"/>
      <c r="W295" s="6"/>
      <c r="X295" s="6"/>
      <c r="Y295" s="6"/>
      <c r="Z295" s="6"/>
      <c r="AA295" s="6"/>
      <c r="AB295" s="6"/>
    </row>
    <row r="296">
      <c r="A296" s="7">
        <v>295.0</v>
      </c>
      <c r="B296" s="6" t="s">
        <v>1247</v>
      </c>
      <c r="C296" s="6" t="s">
        <v>47</v>
      </c>
      <c r="D296" s="6" t="s">
        <v>48</v>
      </c>
      <c r="E296" s="6" t="s">
        <v>49</v>
      </c>
      <c r="F296" s="6" t="s">
        <v>50</v>
      </c>
      <c r="G296" s="6" t="s">
        <v>49</v>
      </c>
      <c r="H296" s="6" t="s">
        <v>1291</v>
      </c>
      <c r="I296" s="6"/>
      <c r="J296" s="6"/>
      <c r="K296" s="2" t="str">
        <f>IFERROR(__xludf.DUMMYFUNCTION("GOOGLETRANSLATE(A296,""en"",""ur"")"),"295")</f>
        <v>295</v>
      </c>
      <c r="L296" s="2" t="str">
        <f>IFERROR(__xludf.DUMMYFUNCTION("GOOGLETRANSLATE(B296,""en"",""ur"")"),"آدمی کے چہرے سے ظاہری جذبات کیا ہیں؟")</f>
        <v>آدمی کے چہرے سے ظاہری جذبات کیا ہیں؟</v>
      </c>
      <c r="M296" s="2" t="str">
        <f>IFERROR(__xludf.DUMMYFUNCTION("GOOGLETRANSLATE(C296,""en"",""ur"")"),"پرسکون اور پر سکون")</f>
        <v>پرسکون اور پر سکون</v>
      </c>
      <c r="N296" s="2" t="str">
        <f>IFERROR(__xludf.DUMMYFUNCTION("GOOGLETRANSLATE(D296,""en"",""ur"")"),"خوف زدہ اور بے چین")</f>
        <v>خوف زدہ اور بے چین</v>
      </c>
      <c r="O296" s="2" t="str">
        <f>IFERROR(__xludf.DUMMYFUNCTION("GOOGLETRANSLATE(E296,""en"",""ur"")"),"کشیدہ اور شدید")</f>
        <v>کشیدہ اور شدید</v>
      </c>
      <c r="P296" s="2" t="str">
        <f>IFERROR(__xludf.DUMMYFUNCTION("GOOGLETRANSLATE(F296,""en"",""ur"")"),"خوش اور مسکراتے ہوئے۔")</f>
        <v>خوش اور مسکراتے ہوئے۔</v>
      </c>
      <c r="Q296" s="6" t="s">
        <v>51</v>
      </c>
      <c r="R296" s="6" t="str">
        <f>IFERROR(__xludf.DUMMYFUNCTION("""COMPUTED_VALUE"""),"ایک ریسلنگ میچ میں دو آدمی")</f>
        <v>ایک ریسلنگ میچ میں دو آدمی</v>
      </c>
      <c r="S296" s="6" t="s">
        <v>1291</v>
      </c>
      <c r="T296" s="6"/>
      <c r="U296" s="6"/>
      <c r="V296" s="6"/>
      <c r="W296" s="6"/>
      <c r="X296" s="6"/>
      <c r="Y296" s="6"/>
      <c r="Z296" s="6"/>
      <c r="AA296" s="6"/>
      <c r="AB296" s="6"/>
    </row>
    <row r="297">
      <c r="A297" s="7">
        <v>296.0</v>
      </c>
      <c r="B297" s="6" t="s">
        <v>473</v>
      </c>
      <c r="C297" s="6" t="s">
        <v>429</v>
      </c>
      <c r="D297" s="6" t="s">
        <v>430</v>
      </c>
      <c r="E297" s="6" t="s">
        <v>431</v>
      </c>
      <c r="F297" s="6" t="s">
        <v>432</v>
      </c>
      <c r="G297" s="6" t="s">
        <v>431</v>
      </c>
      <c r="H297" s="6" t="s">
        <v>1291</v>
      </c>
      <c r="I297" s="6"/>
      <c r="J297" s="6"/>
      <c r="K297" s="2" t="str">
        <f>IFERROR(__xludf.DUMMYFUNCTION("GOOGLETRANSLATE(A297,""en"",""ur"")"),"296")</f>
        <v>296</v>
      </c>
      <c r="L297" s="2" t="str">
        <f>IFERROR(__xludf.DUMMYFUNCTION("GOOGLETRANSLATE(B297,""en"",""ur"")"),"مرد کی ظاہری جسمانی پوزیشن کیا ہے؟")</f>
        <v>مرد کی ظاہری جسمانی پوزیشن کیا ہے؟</v>
      </c>
      <c r="M297" s="2" t="str">
        <f>IFERROR(__xludf.DUMMYFUNCTION("GOOGLETRANSLATE(C297,""en"",""ur"")"),"سیدھا کھڑا ہونا")</f>
        <v>سیدھا کھڑا ہونا</v>
      </c>
      <c r="N297" s="2" t="str">
        <f>IFERROR(__xludf.DUMMYFUNCTION("GOOGLETRANSLATE(D297,""en"",""ur"")"),"کم، متحرک موقف میں")</f>
        <v>کم، متحرک موقف میں</v>
      </c>
      <c r="O297" s="2" t="str">
        <f>IFERROR(__xludf.DUMMYFUNCTION("GOOGLETRANSLATE(E297,""en"",""ur"")"),"زمین پر لیٹنا")</f>
        <v>زمین پر لیٹنا</v>
      </c>
      <c r="P297" s="2" t="str">
        <f>IFERROR(__xludf.DUMMYFUNCTION("GOOGLETRANSLATE(F297,""en"",""ur"")"),"بیٹھا ہوا")</f>
        <v>بیٹھا ہوا</v>
      </c>
      <c r="Q297" s="6" t="s">
        <v>433</v>
      </c>
      <c r="R297" s="6" t="str">
        <f>IFERROR(__xludf.DUMMYFUNCTION("""COMPUTED_VALUE"""),"ایک ریسلنگ میچ میں دو آدمی")</f>
        <v>ایک ریسلنگ میچ میں دو آدمی</v>
      </c>
      <c r="S297" s="6" t="s">
        <v>1291</v>
      </c>
      <c r="T297" s="6"/>
      <c r="U297" s="6"/>
      <c r="V297" s="6"/>
      <c r="W297" s="6"/>
      <c r="X297" s="6"/>
      <c r="Y297" s="6"/>
      <c r="Z297" s="6"/>
      <c r="AA297" s="6"/>
      <c r="AB297" s="6"/>
    </row>
    <row r="298">
      <c r="A298" s="7">
        <v>297.0</v>
      </c>
      <c r="B298" s="6" t="s">
        <v>434</v>
      </c>
      <c r="C298" s="6" t="s">
        <v>435</v>
      </c>
      <c r="D298" s="6" t="s">
        <v>436</v>
      </c>
      <c r="E298" s="6" t="s">
        <v>1248</v>
      </c>
      <c r="F298" s="6" t="s">
        <v>438</v>
      </c>
      <c r="G298" s="6" t="s">
        <v>1248</v>
      </c>
      <c r="H298" s="6" t="s">
        <v>1291</v>
      </c>
      <c r="I298" s="6"/>
      <c r="J298" s="6"/>
      <c r="K298" s="2" t="str">
        <f>IFERROR(__xludf.DUMMYFUNCTION("GOOGLETRANSLATE(A298,""en"",""ur"")"),"297")</f>
        <v>297</v>
      </c>
      <c r="L298" s="2" t="str">
        <f>IFERROR(__xludf.DUMMYFUNCTION("GOOGLETRANSLATE(B298,""en"",""ur"")"),"پس منظر میں ہجوم کی سب سے نمایاں خصوصیت کیا ہے؟")</f>
        <v>پس منظر میں ہجوم کی سب سے نمایاں خصوصیت کیا ہے؟</v>
      </c>
      <c r="M298" s="2" t="str">
        <f>IFERROR(__xludf.DUMMYFUNCTION("GOOGLETRANSLATE(C298,""en"",""ur"")"),"وہ بھاگ رہے ہیں۔")</f>
        <v>وہ بھاگ رہے ہیں۔</v>
      </c>
      <c r="N298" s="2" t="str">
        <f>IFERROR(__xludf.DUMMYFUNCTION("GOOGLETRANSLATE(D298,""en"",""ur"")"),"وہ خاموش بیٹھے ہیں۔")</f>
        <v>وہ خاموش بیٹھے ہیں۔</v>
      </c>
      <c r="O298" s="2" t="str">
        <f>IFERROR(__xludf.DUMMYFUNCTION("GOOGLETRANSLATE(E298,""en"",""ur"")"),"وہ لڑائی کو قدرتی ماحول سے دیکھ رہے ہیں۔")</f>
        <v>وہ لڑائی کو قدرتی ماحول سے دیکھ رہے ہیں۔</v>
      </c>
      <c r="P298" s="2" t="str">
        <f>IFERROR(__xludf.DUMMYFUNCTION("GOOGLETRANSLATE(F298,""en"",""ur"")"),"وہ سب ایک اسٹیج پر کھڑے ہیں۔")</f>
        <v>وہ سب ایک اسٹیج پر کھڑے ہیں۔</v>
      </c>
      <c r="Q298" s="6" t="s">
        <v>1249</v>
      </c>
      <c r="R298" s="6" t="str">
        <f>IFERROR(__xludf.DUMMYFUNCTION("""COMPUTED_VALUE"""),"ایک ریسلنگ میچ میں دو آدمی")</f>
        <v>ایک ریسلنگ میچ میں دو آدمی</v>
      </c>
      <c r="S298" s="6" t="s">
        <v>1291</v>
      </c>
      <c r="T298" s="6"/>
      <c r="U298" s="6"/>
      <c r="V298" s="6"/>
      <c r="W298" s="6"/>
      <c r="X298" s="6"/>
      <c r="Y298" s="6"/>
      <c r="Z298" s="6"/>
      <c r="AA298" s="6"/>
      <c r="AB298" s="6"/>
    </row>
    <row r="299">
      <c r="A299" s="7">
        <v>298.0</v>
      </c>
      <c r="B299" s="6" t="s">
        <v>440</v>
      </c>
      <c r="C299" s="6" t="s">
        <v>441</v>
      </c>
      <c r="D299" s="6" t="s">
        <v>442</v>
      </c>
      <c r="E299" s="6" t="s">
        <v>512</v>
      </c>
      <c r="F299" s="6" t="s">
        <v>444</v>
      </c>
      <c r="G299" s="6" t="s">
        <v>512</v>
      </c>
      <c r="H299" s="6" t="s">
        <v>1291</v>
      </c>
      <c r="I299" s="6"/>
      <c r="J299" s="6"/>
      <c r="K299" s="2" t="str">
        <f>IFERROR(__xludf.DUMMYFUNCTION("GOOGLETRANSLATE(A299,""en"",""ur"")"),"298")</f>
        <v>298</v>
      </c>
      <c r="L299" s="2" t="str">
        <f>IFERROR(__xludf.DUMMYFUNCTION("GOOGLETRANSLATE(B299,""en"",""ur"")"),"زمین کی ظاہری حالت کیا ہے؟")</f>
        <v>زمین کی ظاہری حالت کیا ہے؟</v>
      </c>
      <c r="M299" s="2" t="str">
        <f>IFERROR(__xludf.DUMMYFUNCTION("GOOGLETRANSLATE(C299,""en"",""ur"")"),"یہ ایک پکی سطح ہے۔")</f>
        <v>یہ ایک پکی سطح ہے۔</v>
      </c>
      <c r="N299" s="2" t="str">
        <f>IFERROR(__xludf.DUMMYFUNCTION("GOOGLETRANSLATE(D299,""en"",""ur"")"),"یہ ایک کیچڑ والا میدان ہے۔")</f>
        <v>یہ ایک کیچڑ والا میدان ہے۔</v>
      </c>
      <c r="O299" s="2" t="str">
        <f>IFERROR(__xludf.DUMMYFUNCTION("GOOGLETRANSLATE(E299,""en"",""ur"")"),"یہ ایک ریتلی یا گندگی کی سطح ہے۔")</f>
        <v>یہ ایک ریتلی یا گندگی کی سطح ہے۔</v>
      </c>
      <c r="P299" s="2" t="str">
        <f>IFERROR(__xludf.DUMMYFUNCTION("GOOGLETRANSLATE(F299,""en"",""ur"")"),"یہ ایک گھاس والی سطح ہے۔")</f>
        <v>یہ ایک گھاس والی سطح ہے۔</v>
      </c>
      <c r="Q299" s="6" t="s">
        <v>1219</v>
      </c>
      <c r="R299" s="6" t="str">
        <f>IFERROR(__xludf.DUMMYFUNCTION("""COMPUTED_VALUE"""),"ایک ریسلنگ میچ میں دو آدمی")</f>
        <v>ایک ریسلنگ میچ میں دو آدمی</v>
      </c>
      <c r="S299" s="6" t="s">
        <v>1291</v>
      </c>
      <c r="T299" s="6"/>
      <c r="U299" s="6"/>
      <c r="V299" s="6"/>
      <c r="W299" s="6"/>
      <c r="X299" s="6"/>
      <c r="Y299" s="6"/>
      <c r="Z299" s="6"/>
      <c r="AA299" s="6"/>
      <c r="AB299" s="6"/>
    </row>
    <row r="300">
      <c r="A300" s="7">
        <v>299.0</v>
      </c>
      <c r="B300" s="6" t="s">
        <v>1250</v>
      </c>
      <c r="C300" s="6" t="s">
        <v>450</v>
      </c>
      <c r="D300" s="6" t="s">
        <v>1251</v>
      </c>
      <c r="E300" s="6" t="s">
        <v>449</v>
      </c>
      <c r="F300" s="6" t="s">
        <v>1252</v>
      </c>
      <c r="G300" s="6" t="s">
        <v>1252</v>
      </c>
      <c r="H300" s="6" t="s">
        <v>1291</v>
      </c>
      <c r="I300" s="6"/>
      <c r="J300" s="6"/>
      <c r="K300" s="2" t="str">
        <f>IFERROR(__xludf.DUMMYFUNCTION("GOOGLETRANSLATE(A300,""en"",""ur"")"),"299")</f>
        <v>299</v>
      </c>
      <c r="L300" s="2" t="str">
        <f>IFERROR(__xludf.DUMMYFUNCTION("GOOGLETRANSLATE(B300,""en"",""ur"")"),"آدمی کے پوز کا بنیادی مقصد کیا ہے؟")</f>
        <v>آدمی کے پوز کا بنیادی مقصد کیا ہے؟</v>
      </c>
      <c r="M300" s="2" t="str">
        <f>IFERROR(__xludf.DUMMYFUNCTION("GOOGLETRANSLATE(C300,""en"",""ur"")"),"سورج کو روکنے کے لئے")</f>
        <v>سورج کو روکنے کے لئے</v>
      </c>
      <c r="N300" s="2" t="str">
        <f>IFERROR(__xludf.DUMMYFUNCTION("GOOGLETRANSLATE(D300,""en"",""ur"")"),"تصویر کے لیے پوز کرنا")</f>
        <v>تصویر کے لیے پوز کرنا</v>
      </c>
      <c r="O300" s="2" t="str">
        <f>IFERROR(__xludf.DUMMYFUNCTION("GOOGLETRANSLATE(E300,""en"",""ur"")"),"صرف سجاوٹ کے لیے")</f>
        <v>صرف سجاوٹ کے لیے</v>
      </c>
      <c r="P300" s="2" t="str">
        <f>IFERROR(__xludf.DUMMYFUNCTION("GOOGLETRANSLATE(F300,""en"",""ur"")"),"ٹیک ڈاؤن دکھانے کے لیے")</f>
        <v>ٹیک ڈاؤن دکھانے کے لیے</v>
      </c>
      <c r="Q300" s="6" t="s">
        <v>1253</v>
      </c>
      <c r="R300" s="6" t="str">
        <f>IFERROR(__xludf.DUMMYFUNCTION("""COMPUTED_VALUE"""),"ایک ریسلنگ میچ میں دو آدمی")</f>
        <v>ایک ریسلنگ میچ میں دو آدمی</v>
      </c>
      <c r="S300" s="6" t="s">
        <v>1291</v>
      </c>
      <c r="T300" s="6"/>
      <c r="U300" s="6"/>
      <c r="V300" s="6"/>
      <c r="W300" s="6"/>
      <c r="X300" s="6"/>
      <c r="Y300" s="6"/>
      <c r="Z300" s="6"/>
      <c r="AA300" s="6"/>
      <c r="AB300" s="6"/>
    </row>
    <row r="301">
      <c r="A301" s="7">
        <v>300.0</v>
      </c>
      <c r="B301" s="6" t="s">
        <v>452</v>
      </c>
      <c r="C301" s="6" t="s">
        <v>453</v>
      </c>
      <c r="D301" s="6" t="s">
        <v>454</v>
      </c>
      <c r="E301" s="6" t="s">
        <v>455</v>
      </c>
      <c r="F301" s="6" t="s">
        <v>456</v>
      </c>
      <c r="G301" s="6" t="s">
        <v>454</v>
      </c>
      <c r="H301" s="6" t="s">
        <v>1291</v>
      </c>
      <c r="I301" s="6"/>
      <c r="J301" s="6"/>
      <c r="K301" s="2" t="str">
        <f>IFERROR(__xludf.DUMMYFUNCTION("GOOGLETRANSLATE(A301,""en"",""ur"")"),"300")</f>
        <v>300</v>
      </c>
      <c r="L301" s="2" t="str">
        <f>IFERROR(__xludf.DUMMYFUNCTION("GOOGLETRANSLATE(B301,""en"",""ur"")"),"ایونٹ کا مجموعی موڈ ایسا لگتا ہے...")</f>
        <v>ایونٹ کا مجموعی موڈ ایسا لگتا ہے...</v>
      </c>
      <c r="M301" s="2" t="str">
        <f>IFERROR(__xludf.DUMMYFUNCTION("GOOGLETRANSLATE(C301,""en"",""ur"")"),"ایک آرام دہ مشق سیشن")</f>
        <v>ایک آرام دہ مشق سیشن</v>
      </c>
      <c r="N301" s="2" t="str">
        <f>IFERROR(__xludf.DUMMYFUNCTION("GOOGLETRANSLATE(D301,""en"",""ur"")"),"ایک تناؤ اور جارحانہ کارکردگی")</f>
        <v>ایک تناؤ اور جارحانہ کارکردگی</v>
      </c>
      <c r="O301" s="2" t="str">
        <f>IFERROR(__xludf.DUMMYFUNCTION("GOOGLETRANSLATE(E301,""en"",""ur"")"),"ایک پرسکون، پرامن اجتماع")</f>
        <v>ایک پرسکون، پرامن اجتماع</v>
      </c>
      <c r="P301" s="2" t="str">
        <f>IFERROR(__xludf.DUMMYFUNCTION("GOOGLETRANSLATE(F301,""en"",""ur"")"),"ایک سست، رسمی رقص")</f>
        <v>ایک سست، رسمی رقص</v>
      </c>
      <c r="Q301" s="6" t="s">
        <v>457</v>
      </c>
      <c r="R301" s="6" t="str">
        <f>IFERROR(__xludf.DUMMYFUNCTION("""COMPUTED_VALUE"""),"ایک ریسلنگ میچ میں دو آدمی")</f>
        <v>ایک ریسلنگ میچ میں دو آدمی</v>
      </c>
      <c r="S301" s="6" t="s">
        <v>1291</v>
      </c>
      <c r="T301" s="6"/>
      <c r="U301" s="6"/>
      <c r="V301" s="6"/>
      <c r="W301" s="6"/>
      <c r="X301" s="6"/>
      <c r="Y301" s="6"/>
      <c r="Z301" s="6"/>
      <c r="AA301" s="6"/>
      <c r="AB301" s="6"/>
    </row>
    <row r="302">
      <c r="A302" s="7">
        <v>301.0</v>
      </c>
      <c r="B302" s="6" t="s">
        <v>1302</v>
      </c>
      <c r="C302" s="6" t="s">
        <v>405</v>
      </c>
      <c r="D302" s="6" t="s">
        <v>406</v>
      </c>
      <c r="E302" s="6" t="s">
        <v>1184</v>
      </c>
      <c r="F302" s="6" t="s">
        <v>1185</v>
      </c>
      <c r="G302" s="6" t="s">
        <v>1184</v>
      </c>
      <c r="H302" s="6" t="s">
        <v>1303</v>
      </c>
      <c r="I302" s="6"/>
      <c r="J302" s="6"/>
      <c r="K302" s="2" t="str">
        <f>IFERROR(__xludf.DUMMYFUNCTION("GOOGLETRANSLATE(A302,""en"",""ur"")"),"301")</f>
        <v>301</v>
      </c>
      <c r="L302" s="2" t="str">
        <f>IFERROR(__xludf.DUMMYFUNCTION("GOOGLETRANSLATE(B302,""en"",""ur"")"),"ملاخرہ_83 میں دکھایا گیا اصل عمل کیا ہے؟")</f>
        <v>ملاخرہ_83 میں دکھایا گیا اصل عمل کیا ہے؟</v>
      </c>
      <c r="M302" s="2" t="str">
        <f>IFERROR(__xludf.DUMMYFUNCTION("GOOGLETRANSLATE(C302,""en"",""ur"")"),"دو آدمی تلواروں سے لڑ رہے ہیں۔")</f>
        <v>دو آدمی تلواروں سے لڑ رہے ہیں۔</v>
      </c>
      <c r="N302" s="2" t="str">
        <f>IFERROR(__xludf.DUMMYFUNCTION("GOOGLETRANSLATE(D302,""en"",""ur"")"),"دو آدمی ناچ رہے ہیں۔")</f>
        <v>دو آدمی ناچ رہے ہیں۔</v>
      </c>
      <c r="O302" s="2" t="str">
        <f>IFERROR(__xludf.DUMMYFUNCTION("GOOGLETRANSLATE(E302,""en"",""ur"")"),"ایک ریسلنگ میچ میں دو آدمی")</f>
        <v>ایک ریسلنگ میچ میں دو آدمی</v>
      </c>
      <c r="P302" s="2" t="str">
        <f>IFERROR(__xludf.DUMMYFUNCTION("GOOGLETRANSLATE(F302,""en"",""ur"")"),"دو آدمی بھاگ رہے ہیں۔")</f>
        <v>دو آدمی بھاگ رہے ہیں۔</v>
      </c>
      <c r="Q302" s="6" t="s">
        <v>1214</v>
      </c>
      <c r="R302" s="6" t="str">
        <f>IFERROR(__xludf.DUMMYFUNCTION("""COMPUTED_VALUE"""),"ایک ریسلنگ میچ میں دو آدمی")</f>
        <v>ایک ریسلنگ میچ میں دو آدمی</v>
      </c>
      <c r="S302" s="6" t="s">
        <v>1303</v>
      </c>
      <c r="T302" s="6"/>
      <c r="U302" s="6"/>
      <c r="V302" s="6"/>
      <c r="W302" s="6"/>
      <c r="X302" s="6"/>
      <c r="Y302" s="6"/>
      <c r="Z302" s="6"/>
      <c r="AA302" s="6"/>
      <c r="AB302" s="6"/>
    </row>
    <row r="303">
      <c r="A303" s="7">
        <v>302.0</v>
      </c>
      <c r="B303" s="6" t="s">
        <v>1215</v>
      </c>
      <c r="C303" s="6" t="s">
        <v>488</v>
      </c>
      <c r="D303" s="6" t="s">
        <v>1216</v>
      </c>
      <c r="E303" s="6" t="s">
        <v>490</v>
      </c>
      <c r="F303" s="6" t="s">
        <v>246</v>
      </c>
      <c r="G303" s="6" t="s">
        <v>1216</v>
      </c>
      <c r="H303" s="6" t="s">
        <v>1303</v>
      </c>
      <c r="I303" s="6"/>
      <c r="J303" s="6"/>
      <c r="K303" s="2" t="str">
        <f>IFERROR(__xludf.DUMMYFUNCTION("GOOGLETRANSLATE(A303,""en"",""ur"")"),"302")</f>
        <v>302</v>
      </c>
      <c r="L303" s="2" t="str">
        <f>IFERROR(__xludf.DUMMYFUNCTION("GOOGLETRANSLATE(B303,""en"",""ur"")"),"پہلوانوں کے لباس کے بارے میں ایک قابل ذکر تفصیل کیا ہے؟")</f>
        <v>پہلوانوں کے لباس کے بارے میں ایک قابل ذکر تفصیل کیا ہے؟</v>
      </c>
      <c r="M303" s="2" t="str">
        <f>IFERROR(__xludf.DUMMYFUNCTION("GOOGLETRANSLATE(C303,""en"",""ur"")"),"انہوں نے بکتر کا پورا سوٹ پہن رکھا ہے۔")</f>
        <v>انہوں نے بکتر کا پورا سوٹ پہن رکھا ہے۔</v>
      </c>
      <c r="N303" s="2" t="str">
        <f>IFERROR(__xludf.DUMMYFUNCTION("GOOGLETRANSLATE(D303,""en"",""ur"")"),"وہ سارونگ یا پیٹرن والا اسکرٹ پہنے ہوئے ہیں۔")</f>
        <v>وہ سارونگ یا پیٹرن والا اسکرٹ پہنے ہوئے ہیں۔</v>
      </c>
      <c r="O303" s="2" t="str">
        <f>IFERROR(__xludf.DUMMYFUNCTION("GOOGLETRANSLATE(E303,""en"",""ur"")"),"انہوں نے شارٹس اور ٹی شرٹ پہن رکھی ہیں۔")</f>
        <v>انہوں نے شارٹس اور ٹی شرٹ پہن رکھی ہیں۔</v>
      </c>
      <c r="P303" s="2" t="str">
        <f>IFERROR(__xludf.DUMMYFUNCTION("GOOGLETRANSLATE(F303,""en"",""ur"")"),"انہوں نے کوئی لباس نہیں پہنا ہوا ہے۔")</f>
        <v>انہوں نے کوئی لباس نہیں پہنا ہوا ہے۔</v>
      </c>
      <c r="Q303" s="6" t="s">
        <v>1217</v>
      </c>
      <c r="R303" s="6" t="str">
        <f>IFERROR(__xludf.DUMMYFUNCTION("""COMPUTED_VALUE"""),"ایک ریسلنگ میچ میں دو آدمی")</f>
        <v>ایک ریسلنگ میچ میں دو آدمی</v>
      </c>
      <c r="S303" s="6" t="s">
        <v>1303</v>
      </c>
      <c r="T303" s="6"/>
      <c r="U303" s="6"/>
      <c r="V303" s="6"/>
      <c r="W303" s="6"/>
      <c r="X303" s="6"/>
      <c r="Y303" s="6"/>
      <c r="Z303" s="6"/>
      <c r="AA303" s="6"/>
      <c r="AB303" s="6"/>
    </row>
    <row r="304">
      <c r="A304" s="7">
        <v>303.0</v>
      </c>
      <c r="B304" s="6" t="s">
        <v>1193</v>
      </c>
      <c r="C304" s="6" t="s">
        <v>1194</v>
      </c>
      <c r="D304" s="6" t="s">
        <v>1195</v>
      </c>
      <c r="E304" s="6" t="s">
        <v>1196</v>
      </c>
      <c r="F304" s="6" t="s">
        <v>1197</v>
      </c>
      <c r="G304" s="6" t="s">
        <v>1196</v>
      </c>
      <c r="H304" s="6" t="s">
        <v>1303</v>
      </c>
      <c r="I304" s="6"/>
      <c r="J304" s="6"/>
      <c r="K304" s="2" t="str">
        <f>IFERROR(__xludf.DUMMYFUNCTION("GOOGLETRANSLATE(A304,""en"",""ur"")"),"303")</f>
        <v>303</v>
      </c>
      <c r="L304" s="2" t="str">
        <f>IFERROR(__xludf.DUMMYFUNCTION("GOOGLETRANSLATE(B304,""en"",""ur"")"),"کشتی کا ظاہری مقصد کیا ہے؟")</f>
        <v>کشتی کا ظاہری مقصد کیا ہے؟</v>
      </c>
      <c r="M304" s="2" t="str">
        <f>IFERROR(__xludf.DUMMYFUNCTION("GOOGLETRANSLATE(C304,""en"",""ur"")"),"ایک رسمی رقص")</f>
        <v>ایک رسمی رقص</v>
      </c>
      <c r="N304" s="2" t="str">
        <f>IFERROR(__xludf.DUMMYFUNCTION("GOOGLETRANSLATE(D304,""en"",""ur"")"),"ایک دوستانہ مظاہرہ")</f>
        <v>ایک دوستانہ مظاہرہ</v>
      </c>
      <c r="O304" s="2" t="str">
        <f>IFERROR(__xludf.DUMMYFUNCTION("GOOGLETRANSLATE(E304,""en"",""ur"")"),"ٹیک ڈاؤن کے ساتھ ایک مسابقتی میچ")</f>
        <v>ٹیک ڈاؤن کے ساتھ ایک مسابقتی میچ</v>
      </c>
      <c r="P304" s="2" t="str">
        <f>IFERROR(__xludf.DUMMYFUNCTION("GOOGLETRANSLATE(F304,""en"",""ur"")"),"ایک پریکٹس سیشن")</f>
        <v>ایک پریکٹس سیشن</v>
      </c>
      <c r="Q304" s="6" t="s">
        <v>1198</v>
      </c>
      <c r="R304" s="6" t="str">
        <f>IFERROR(__xludf.DUMMYFUNCTION("""COMPUTED_VALUE"""),"ایک ریسلنگ میچ میں دو آدمی")</f>
        <v>ایک ریسلنگ میچ میں دو آدمی</v>
      </c>
      <c r="S304" s="6" t="s">
        <v>1303</v>
      </c>
      <c r="T304" s="6"/>
      <c r="U304" s="6"/>
      <c r="V304" s="6"/>
      <c r="W304" s="6"/>
      <c r="X304" s="6"/>
      <c r="Y304" s="6"/>
      <c r="Z304" s="6"/>
      <c r="AA304" s="6"/>
      <c r="AB304" s="6"/>
    </row>
    <row r="305">
      <c r="A305" s="7">
        <v>304.0</v>
      </c>
      <c r="B305" s="6" t="s">
        <v>991</v>
      </c>
      <c r="C305" s="6" t="s">
        <v>422</v>
      </c>
      <c r="D305" s="6" t="s">
        <v>1199</v>
      </c>
      <c r="E305" s="6" t="s">
        <v>424</v>
      </c>
      <c r="F305" s="6" t="s">
        <v>425</v>
      </c>
      <c r="G305" s="6" t="s">
        <v>1199</v>
      </c>
      <c r="H305" s="6" t="s">
        <v>1303</v>
      </c>
      <c r="I305" s="6"/>
      <c r="J305" s="6"/>
      <c r="K305" s="2" t="str">
        <f>IFERROR(__xludf.DUMMYFUNCTION("GOOGLETRANSLATE(A305,""en"",""ur"")"),"304")</f>
        <v>304</v>
      </c>
      <c r="L305" s="2" t="str">
        <f>IFERROR(__xludf.DUMMYFUNCTION("GOOGLETRANSLATE(B305,""en"",""ur"")"),"واقعہ کی ظاہری ترتیب کیا ہے؟")</f>
        <v>واقعہ کی ظاہری ترتیب کیا ہے؟</v>
      </c>
      <c r="M305" s="2" t="str">
        <f>IFERROR(__xludf.DUMMYFUNCTION("GOOGLETRANSLATE(C305,""en"",""ur"")"),"ایک انڈور اسٹیڈیم")</f>
        <v>ایک انڈور اسٹیڈیم</v>
      </c>
      <c r="N305" s="2" t="str">
        <f>IFERROR(__xludf.DUMMYFUNCTION("GOOGLETRANSLATE(D305,""en"",""ur"")"),"ایک دیہی، بیرونی گندگی کا ایک بڑا ہجوم")</f>
        <v>ایک دیہی، بیرونی گندگی کا ایک بڑا ہجوم</v>
      </c>
      <c r="O305" s="2" t="str">
        <f>IFERROR(__xludf.DUMMYFUNCTION("GOOGLETRANSLATE(E305,""en"",""ur"")"),"شہر کی مصروف گلی")</f>
        <v>شہر کی مصروف گلی</v>
      </c>
      <c r="P305" s="2" t="str">
        <f>IFERROR(__xludf.DUMMYFUNCTION("GOOGLETRANSLATE(F305,""en"",""ur"")"),"گھاس کا میدان")</f>
        <v>گھاس کا میدان</v>
      </c>
      <c r="Q305" s="6" t="s">
        <v>1200</v>
      </c>
      <c r="R305" s="6" t="str">
        <f>IFERROR(__xludf.DUMMYFUNCTION("""COMPUTED_VALUE"""),"ایک ریسلنگ میچ میں دو آدمی")</f>
        <v>ایک ریسلنگ میچ میں دو آدمی</v>
      </c>
      <c r="S305" s="6" t="s">
        <v>1303</v>
      </c>
      <c r="T305" s="6"/>
      <c r="U305" s="6"/>
      <c r="V305" s="6"/>
      <c r="W305" s="6"/>
      <c r="X305" s="6"/>
      <c r="Y305" s="6"/>
      <c r="Z305" s="6"/>
      <c r="AA305" s="6"/>
      <c r="AB305" s="6"/>
    </row>
    <row r="306">
      <c r="A306" s="7">
        <v>305.0</v>
      </c>
      <c r="B306" s="6" t="s">
        <v>1201</v>
      </c>
      <c r="C306" s="6" t="s">
        <v>47</v>
      </c>
      <c r="D306" s="6" t="s">
        <v>48</v>
      </c>
      <c r="E306" s="6" t="s">
        <v>49</v>
      </c>
      <c r="F306" s="6" t="s">
        <v>50</v>
      </c>
      <c r="G306" s="6" t="s">
        <v>49</v>
      </c>
      <c r="H306" s="6" t="s">
        <v>1303</v>
      </c>
      <c r="I306" s="6"/>
      <c r="J306" s="6"/>
      <c r="K306" s="2" t="str">
        <f>IFERROR(__xludf.DUMMYFUNCTION("GOOGLETRANSLATE(A306,""en"",""ur"")"),"305")</f>
        <v>305</v>
      </c>
      <c r="L306" s="2" t="str">
        <f>IFERROR(__xludf.DUMMYFUNCTION("GOOGLETRANSLATE(B306,""en"",""ur"")"),"پہلوانوں کے ظاہری جذبات کیا ہیں؟")</f>
        <v>پہلوانوں کے ظاہری جذبات کیا ہیں؟</v>
      </c>
      <c r="M306" s="2" t="str">
        <f>IFERROR(__xludf.DUMMYFUNCTION("GOOGLETRANSLATE(C306,""en"",""ur"")"),"پرسکون اور پر سکون")</f>
        <v>پرسکون اور پر سکون</v>
      </c>
      <c r="N306" s="2" t="str">
        <f>IFERROR(__xludf.DUMMYFUNCTION("GOOGLETRANSLATE(D306,""en"",""ur"")"),"خوف زدہ اور بے چین")</f>
        <v>خوف زدہ اور بے چین</v>
      </c>
      <c r="O306" s="2" t="str">
        <f>IFERROR(__xludf.DUMMYFUNCTION("GOOGLETRANSLATE(E306,""en"",""ur"")"),"کشیدہ اور شدید")</f>
        <v>کشیدہ اور شدید</v>
      </c>
      <c r="P306" s="2" t="str">
        <f>IFERROR(__xludf.DUMMYFUNCTION("GOOGLETRANSLATE(F306,""en"",""ur"")"),"خوش اور مسکراتے ہوئے۔")</f>
        <v>خوش اور مسکراتے ہوئے۔</v>
      </c>
      <c r="Q306" s="6" t="s">
        <v>51</v>
      </c>
      <c r="R306" s="6" t="str">
        <f>IFERROR(__xludf.DUMMYFUNCTION("""COMPUTED_VALUE"""),"ایک ریسلنگ میچ میں دو آدمی")</f>
        <v>ایک ریسلنگ میچ میں دو آدمی</v>
      </c>
      <c r="S306" s="6" t="s">
        <v>1303</v>
      </c>
      <c r="T306" s="6"/>
      <c r="U306" s="6"/>
      <c r="V306" s="6"/>
      <c r="W306" s="6"/>
      <c r="X306" s="6"/>
      <c r="Y306" s="6"/>
      <c r="Z306" s="6"/>
      <c r="AA306" s="6"/>
      <c r="AB306" s="6"/>
    </row>
    <row r="307">
      <c r="A307" s="7">
        <v>306.0</v>
      </c>
      <c r="B307" s="6" t="s">
        <v>1218</v>
      </c>
      <c r="C307" s="6" t="s">
        <v>429</v>
      </c>
      <c r="D307" s="6" t="s">
        <v>430</v>
      </c>
      <c r="E307" s="6" t="s">
        <v>431</v>
      </c>
      <c r="F307" s="6" t="s">
        <v>432</v>
      </c>
      <c r="G307" s="6" t="s">
        <v>430</v>
      </c>
      <c r="H307" s="6" t="s">
        <v>1303</v>
      </c>
      <c r="I307" s="6"/>
      <c r="J307" s="6"/>
      <c r="K307" s="2" t="str">
        <f>IFERROR(__xludf.DUMMYFUNCTION("GOOGLETRANSLATE(A307,""en"",""ur"")"),"306")</f>
        <v>306</v>
      </c>
      <c r="L307" s="2" t="str">
        <f>IFERROR(__xludf.DUMMYFUNCTION("GOOGLETRANSLATE(B307,""en"",""ur"")"),"پہلوانوں کی ظاہری جسمانی پوزیشن کیا ہے؟")</f>
        <v>پہلوانوں کی ظاہری جسمانی پوزیشن کیا ہے؟</v>
      </c>
      <c r="M307" s="2" t="str">
        <f>IFERROR(__xludf.DUMMYFUNCTION("GOOGLETRANSLATE(C307,""en"",""ur"")"),"سیدھا کھڑا ہونا")</f>
        <v>سیدھا کھڑا ہونا</v>
      </c>
      <c r="N307" s="2" t="str">
        <f>IFERROR(__xludf.DUMMYFUNCTION("GOOGLETRANSLATE(D307,""en"",""ur"")"),"کم، متحرک موقف میں")</f>
        <v>کم، متحرک موقف میں</v>
      </c>
      <c r="O307" s="2" t="str">
        <f>IFERROR(__xludf.DUMMYFUNCTION("GOOGLETRANSLATE(E307,""en"",""ur"")"),"زمین پر لیٹنا")</f>
        <v>زمین پر لیٹنا</v>
      </c>
      <c r="P307" s="2" t="str">
        <f>IFERROR(__xludf.DUMMYFUNCTION("GOOGLETRANSLATE(F307,""en"",""ur"")"),"بیٹھا ہوا")</f>
        <v>بیٹھا ہوا</v>
      </c>
      <c r="Q307" s="6" t="s">
        <v>433</v>
      </c>
      <c r="R307" s="6" t="str">
        <f>IFERROR(__xludf.DUMMYFUNCTION("""COMPUTED_VALUE"""),"ایک ریسلنگ میچ میں دو آدمی")</f>
        <v>ایک ریسلنگ میچ میں دو آدمی</v>
      </c>
      <c r="S307" s="6" t="s">
        <v>1303</v>
      </c>
      <c r="T307" s="6"/>
      <c r="U307" s="6"/>
      <c r="V307" s="6"/>
      <c r="W307" s="6"/>
      <c r="X307" s="6"/>
      <c r="Y307" s="6"/>
      <c r="Z307" s="6"/>
      <c r="AA307" s="6"/>
      <c r="AB307" s="6"/>
    </row>
    <row r="308">
      <c r="A308" s="7">
        <v>307.0</v>
      </c>
      <c r="B308" s="6" t="s">
        <v>434</v>
      </c>
      <c r="C308" s="6" t="s">
        <v>435</v>
      </c>
      <c r="D308" s="6" t="s">
        <v>436</v>
      </c>
      <c r="E308" s="6" t="s">
        <v>1203</v>
      </c>
      <c r="F308" s="6" t="s">
        <v>438</v>
      </c>
      <c r="G308" s="6" t="s">
        <v>1203</v>
      </c>
      <c r="H308" s="6" t="s">
        <v>1303</v>
      </c>
      <c r="I308" s="6"/>
      <c r="J308" s="6"/>
      <c r="K308" s="2" t="str">
        <f>IFERROR(__xludf.DUMMYFUNCTION("GOOGLETRANSLATE(A308,""en"",""ur"")"),"307")</f>
        <v>307</v>
      </c>
      <c r="L308" s="2" t="str">
        <f>IFERROR(__xludf.DUMMYFUNCTION("GOOGLETRANSLATE(B308,""en"",""ur"")"),"پس منظر میں ہجوم کی سب سے نمایاں خصوصیت کیا ہے؟")</f>
        <v>پس منظر میں ہجوم کی سب سے نمایاں خصوصیت کیا ہے؟</v>
      </c>
      <c r="M308" s="2" t="str">
        <f>IFERROR(__xludf.DUMMYFUNCTION("GOOGLETRANSLATE(C308,""en"",""ur"")"),"وہ بھاگ رہے ہیں۔")</f>
        <v>وہ بھاگ رہے ہیں۔</v>
      </c>
      <c r="N308" s="2" t="str">
        <f>IFERROR(__xludf.DUMMYFUNCTION("GOOGLETRANSLATE(D308,""en"",""ur"")"),"وہ خاموش بیٹھے ہیں۔")</f>
        <v>وہ خاموش بیٹھے ہیں۔</v>
      </c>
      <c r="O308" s="2" t="str">
        <f>IFERROR(__xludf.DUMMYFUNCTION("GOOGLETRANSLATE(E308,""en"",""ur"")"),"وہ باڑ کے پیچھے سے میچ دیکھ رہے ہیں۔")</f>
        <v>وہ باڑ کے پیچھے سے میچ دیکھ رہے ہیں۔</v>
      </c>
      <c r="P308" s="2" t="str">
        <f>IFERROR(__xludf.DUMMYFUNCTION("GOOGLETRANSLATE(F308,""en"",""ur"")"),"وہ سب ایک اسٹیج پر کھڑے ہیں۔")</f>
        <v>وہ سب ایک اسٹیج پر کھڑے ہیں۔</v>
      </c>
      <c r="Q308" s="6" t="s">
        <v>1204</v>
      </c>
      <c r="R308" s="6" t="str">
        <f>IFERROR(__xludf.DUMMYFUNCTION("""COMPUTED_VALUE"""),"ایک ریسلنگ میچ میں دو آدمی")</f>
        <v>ایک ریسلنگ میچ میں دو آدمی</v>
      </c>
      <c r="S308" s="6" t="s">
        <v>1303</v>
      </c>
      <c r="T308" s="6"/>
      <c r="U308" s="6"/>
      <c r="V308" s="6"/>
      <c r="W308" s="6"/>
      <c r="X308" s="6"/>
      <c r="Y308" s="6"/>
      <c r="Z308" s="6"/>
      <c r="AA308" s="6"/>
      <c r="AB308" s="6"/>
    </row>
    <row r="309">
      <c r="A309" s="7">
        <v>308.0</v>
      </c>
      <c r="B309" s="6" t="s">
        <v>440</v>
      </c>
      <c r="C309" s="6" t="s">
        <v>441</v>
      </c>
      <c r="D309" s="6" t="s">
        <v>442</v>
      </c>
      <c r="E309" s="6" t="s">
        <v>512</v>
      </c>
      <c r="F309" s="6" t="s">
        <v>444</v>
      </c>
      <c r="G309" s="6" t="s">
        <v>512</v>
      </c>
      <c r="H309" s="6" t="s">
        <v>1303</v>
      </c>
      <c r="I309" s="6"/>
      <c r="J309" s="6"/>
      <c r="K309" s="2" t="str">
        <f>IFERROR(__xludf.DUMMYFUNCTION("GOOGLETRANSLATE(A309,""en"",""ur"")"),"308")</f>
        <v>308</v>
      </c>
      <c r="L309" s="2" t="str">
        <f>IFERROR(__xludf.DUMMYFUNCTION("GOOGLETRANSLATE(B309,""en"",""ur"")"),"زمین کی ظاہری حالت کیا ہے؟")</f>
        <v>زمین کی ظاہری حالت کیا ہے؟</v>
      </c>
      <c r="M309" s="2" t="str">
        <f>IFERROR(__xludf.DUMMYFUNCTION("GOOGLETRANSLATE(C309,""en"",""ur"")"),"یہ ایک پکی سطح ہے۔")</f>
        <v>یہ ایک پکی سطح ہے۔</v>
      </c>
      <c r="N309" s="2" t="str">
        <f>IFERROR(__xludf.DUMMYFUNCTION("GOOGLETRANSLATE(D309,""en"",""ur"")"),"یہ ایک کیچڑ والا میدان ہے۔")</f>
        <v>یہ ایک کیچڑ والا میدان ہے۔</v>
      </c>
      <c r="O309" s="2" t="str">
        <f>IFERROR(__xludf.DUMMYFUNCTION("GOOGLETRANSLATE(E309,""en"",""ur"")"),"یہ ایک ریتلی یا گندگی کی سطح ہے۔")</f>
        <v>یہ ایک ریتلی یا گندگی کی سطح ہے۔</v>
      </c>
      <c r="P309" s="2" t="str">
        <f>IFERROR(__xludf.DUMMYFUNCTION("GOOGLETRANSLATE(F309,""en"",""ur"")"),"یہ ایک گھاس والی سطح ہے۔")</f>
        <v>یہ ایک گھاس والی سطح ہے۔</v>
      </c>
      <c r="Q309" s="6" t="s">
        <v>1219</v>
      </c>
      <c r="R309" s="6" t="str">
        <f>IFERROR(__xludf.DUMMYFUNCTION("""COMPUTED_VALUE"""),"ایک ریسلنگ میچ میں دو آدمی")</f>
        <v>ایک ریسلنگ میچ میں دو آدمی</v>
      </c>
      <c r="S309" s="6" t="s">
        <v>1303</v>
      </c>
      <c r="T309" s="6"/>
      <c r="U309" s="6"/>
      <c r="V309" s="6"/>
      <c r="W309" s="6"/>
      <c r="X309" s="6"/>
      <c r="Y309" s="6"/>
      <c r="Z309" s="6"/>
      <c r="AA309" s="6"/>
      <c r="AB309" s="6"/>
    </row>
    <row r="310">
      <c r="A310" s="7">
        <v>309.0</v>
      </c>
      <c r="B310" s="6" t="s">
        <v>1205</v>
      </c>
      <c r="C310" s="6" t="s">
        <v>1206</v>
      </c>
      <c r="D310" s="6" t="s">
        <v>1207</v>
      </c>
      <c r="E310" s="6" t="s">
        <v>1208</v>
      </c>
      <c r="F310" s="6" t="s">
        <v>449</v>
      </c>
      <c r="G310" s="6" t="s">
        <v>1208</v>
      </c>
      <c r="H310" s="6" t="s">
        <v>1303</v>
      </c>
      <c r="I310" s="6"/>
      <c r="J310" s="6"/>
      <c r="K310" s="2" t="str">
        <f>IFERROR(__xludf.DUMMYFUNCTION("GOOGLETRANSLATE(A310,""en"",""ur"")"),"309")</f>
        <v>309</v>
      </c>
      <c r="L310" s="2" t="str">
        <f>IFERROR(__xludf.DUMMYFUNCTION("GOOGLETRANSLATE(B310,""en"",""ur"")"),"لمبی اسکرٹس کا بنیادی مقصد کیا ہے؟")</f>
        <v>لمبی اسکرٹس کا بنیادی مقصد کیا ہے؟</v>
      </c>
      <c r="M310" s="2" t="str">
        <f>IFERROR(__xludf.DUMMYFUNCTION("GOOGLETRANSLATE(C310,""en"",""ur"")"),"پہلوانوں کی ٹانگوں کی حفاظت کے لیے")</f>
        <v>پہلوانوں کی ٹانگوں کی حفاظت کے لیے</v>
      </c>
      <c r="N310" s="2" t="str">
        <f>IFERROR(__xludf.DUMMYFUNCTION("GOOGLETRANSLATE(D310,""en"",""ur"")"),"پہلوانوں کو مزید چست بنانے کے لیے")</f>
        <v>پہلوانوں کو مزید چست بنانے کے لیے</v>
      </c>
      <c r="O310" s="2" t="str">
        <f>IFERROR(__xludf.DUMMYFUNCTION("GOOGLETRANSLATE(E310,""en"",""ur"")"),"روایتی لباس اور لڑائی کے دوران گرفت کے لیے")</f>
        <v>روایتی لباس اور لڑائی کے دوران گرفت کے لیے</v>
      </c>
      <c r="P310" s="2" t="str">
        <f>IFERROR(__xludf.DUMMYFUNCTION("GOOGLETRANSLATE(F310,""en"",""ur"")"),"صرف سجاوٹ کے لیے")</f>
        <v>صرف سجاوٹ کے لیے</v>
      </c>
      <c r="Q310" s="6" t="s">
        <v>1209</v>
      </c>
      <c r="R310" s="6" t="str">
        <f>IFERROR(__xludf.DUMMYFUNCTION("""COMPUTED_VALUE"""),"ایک ریسلنگ میچ میں دو آدمی")</f>
        <v>ایک ریسلنگ میچ میں دو آدمی</v>
      </c>
      <c r="S310" s="6" t="s">
        <v>1303</v>
      </c>
      <c r="T310" s="6"/>
      <c r="U310" s="6"/>
      <c r="V310" s="6"/>
      <c r="W310" s="6"/>
      <c r="X310" s="6"/>
      <c r="Y310" s="6"/>
      <c r="Z310" s="6"/>
      <c r="AA310" s="6"/>
      <c r="AB310" s="6"/>
    </row>
    <row r="311">
      <c r="A311" s="7">
        <v>310.0</v>
      </c>
      <c r="B311" s="6" t="s">
        <v>260</v>
      </c>
      <c r="C311" s="6" t="s">
        <v>261</v>
      </c>
      <c r="D311" s="6" t="s">
        <v>262</v>
      </c>
      <c r="E311" s="6" t="s">
        <v>1210</v>
      </c>
      <c r="F311" s="6" t="s">
        <v>264</v>
      </c>
      <c r="G311" s="6" t="s">
        <v>1210</v>
      </c>
      <c r="H311" s="6" t="s">
        <v>1303</v>
      </c>
      <c r="I311" s="6"/>
      <c r="J311" s="6"/>
      <c r="K311" s="2" t="str">
        <f>IFERROR(__xludf.DUMMYFUNCTION("GOOGLETRANSLATE(A311,""en"",""ur"")"),"310")</f>
        <v>310</v>
      </c>
      <c r="L311" s="2" t="str">
        <f>IFERROR(__xludf.DUMMYFUNCTION("GOOGLETRANSLATE(B311,""en"",""ur"")"),"تصویر میں ایکشن ایک ایسا انداز تجویز کرتا ہے جو اس بات پر زور دیتا ہے...")</f>
        <v>تصویر میں ایکشن ایک ایسا انداز تجویز کرتا ہے جو اس بات پر زور دیتا ہے...</v>
      </c>
      <c r="M311" s="2" t="str">
        <f>IFERROR(__xludf.DUMMYFUNCTION("GOOGLETRANSLATE(C311,""en"",""ur"")"),"روانی اور قلابازیاں")</f>
        <v>روانی اور قلابازیاں</v>
      </c>
      <c r="N311" s="2" t="str">
        <f>IFERROR(__xludf.DUMMYFUNCTION("GOOGLETRANSLATE(D311,""en"",""ur"")"),"زمینی لڑائی اور گرفت")</f>
        <v>زمینی لڑائی اور گرفت</v>
      </c>
      <c r="O311" s="2" t="str">
        <f>IFERROR(__xludf.DUMMYFUNCTION("GOOGLETRANSLATE(E311,""en"",""ur"")"),"وحشیانہ طاقت اور ٹیک ڈاؤن")</f>
        <v>وحشیانہ طاقت اور ٹیک ڈاؤن</v>
      </c>
      <c r="P311" s="2" t="str">
        <f>IFERROR(__xludf.DUMMYFUNCTION("GOOGLETRANSLATE(F311,""en"",""ur"")"),"سادہ، لکیری حرکات")</f>
        <v>سادہ، لکیری حرکات</v>
      </c>
      <c r="Q311" s="6" t="s">
        <v>1211</v>
      </c>
      <c r="R311" s="6" t="str">
        <f>IFERROR(__xludf.DUMMYFUNCTION("""COMPUTED_VALUE"""),"ایک ریسلنگ میچ میں دو آدمی")</f>
        <v>ایک ریسلنگ میچ میں دو آدمی</v>
      </c>
      <c r="S311" s="6" t="s">
        <v>1303</v>
      </c>
      <c r="T311" s="6"/>
      <c r="U311" s="6"/>
      <c r="V311" s="6"/>
      <c r="W311" s="6"/>
      <c r="X311" s="6"/>
      <c r="Y311" s="6"/>
      <c r="Z311" s="6"/>
      <c r="AA311" s="6"/>
      <c r="AB311" s="6"/>
    </row>
    <row r="312">
      <c r="A312" s="7">
        <v>311.0</v>
      </c>
      <c r="B312" s="6" t="s">
        <v>1304</v>
      </c>
      <c r="C312" s="6" t="s">
        <v>405</v>
      </c>
      <c r="D312" s="6" t="s">
        <v>406</v>
      </c>
      <c r="E312" s="6" t="s">
        <v>1184</v>
      </c>
      <c r="F312" s="6" t="s">
        <v>1185</v>
      </c>
      <c r="G312" s="6" t="s">
        <v>1184</v>
      </c>
      <c r="H312" s="6" t="s">
        <v>1305</v>
      </c>
      <c r="I312" s="6"/>
      <c r="J312" s="6"/>
      <c r="K312" s="2" t="str">
        <f>IFERROR(__xludf.DUMMYFUNCTION("GOOGLETRANSLATE(A312,""en"",""ur"")"),"311")</f>
        <v>311</v>
      </c>
      <c r="L312" s="2" t="str">
        <f>IFERROR(__xludf.DUMMYFUNCTION("GOOGLETRANSLATE(B312,""en"",""ur"")"),"ملاخرہ_80 میں دکھایا گیا اہم عمل کیا ہے؟")</f>
        <v>ملاخرہ_80 میں دکھایا گیا اہم عمل کیا ہے؟</v>
      </c>
      <c r="M312" s="2" t="str">
        <f>IFERROR(__xludf.DUMMYFUNCTION("GOOGLETRANSLATE(C312,""en"",""ur"")"),"دو آدمی تلواروں سے لڑ رہے ہیں۔")</f>
        <v>دو آدمی تلواروں سے لڑ رہے ہیں۔</v>
      </c>
      <c r="N312" s="2" t="str">
        <f>IFERROR(__xludf.DUMMYFUNCTION("GOOGLETRANSLATE(D312,""en"",""ur"")"),"دو آدمی ناچ رہے ہیں۔")</f>
        <v>دو آدمی ناچ رہے ہیں۔</v>
      </c>
      <c r="O312" s="2" t="str">
        <f>IFERROR(__xludf.DUMMYFUNCTION("GOOGLETRANSLATE(E312,""en"",""ur"")"),"ایک ریسلنگ میچ میں دو آدمی")</f>
        <v>ایک ریسلنگ میچ میں دو آدمی</v>
      </c>
      <c r="P312" s="2" t="str">
        <f>IFERROR(__xludf.DUMMYFUNCTION("GOOGLETRANSLATE(F312,""en"",""ur"")"),"دو آدمی بھاگ رہے ہیں۔")</f>
        <v>دو آدمی بھاگ رہے ہیں۔</v>
      </c>
      <c r="Q312" s="6" t="s">
        <v>1214</v>
      </c>
      <c r="R312" s="6" t="str">
        <f>IFERROR(__xludf.DUMMYFUNCTION("""COMPUTED_VALUE"""),"ایک ریسلنگ میچ میں دو آدمی")</f>
        <v>ایک ریسلنگ میچ میں دو آدمی</v>
      </c>
      <c r="S312" s="6" t="s">
        <v>1305</v>
      </c>
      <c r="T312" s="6"/>
      <c r="U312" s="6"/>
      <c r="V312" s="6"/>
      <c r="W312" s="6"/>
      <c r="X312" s="6"/>
      <c r="Y312" s="6"/>
      <c r="Z312" s="6"/>
      <c r="AA312" s="6"/>
      <c r="AB312" s="6"/>
    </row>
    <row r="313">
      <c r="A313" s="7">
        <v>312.0</v>
      </c>
      <c r="B313" s="6" t="s">
        <v>1215</v>
      </c>
      <c r="C313" s="6" t="s">
        <v>488</v>
      </c>
      <c r="D313" s="6" t="s">
        <v>1216</v>
      </c>
      <c r="E313" s="6" t="s">
        <v>490</v>
      </c>
      <c r="F313" s="6" t="s">
        <v>246</v>
      </c>
      <c r="G313" s="6" t="s">
        <v>490</v>
      </c>
      <c r="H313" s="6" t="s">
        <v>1305</v>
      </c>
      <c r="I313" s="6"/>
      <c r="J313" s="6"/>
      <c r="K313" s="2" t="str">
        <f>IFERROR(__xludf.DUMMYFUNCTION("GOOGLETRANSLATE(A313,""en"",""ur"")"),"312")</f>
        <v>312</v>
      </c>
      <c r="L313" s="2" t="str">
        <f>IFERROR(__xludf.DUMMYFUNCTION("GOOGLETRANSLATE(B313,""en"",""ur"")"),"پہلوانوں کے لباس کے بارے میں ایک قابل ذکر تفصیل کیا ہے؟")</f>
        <v>پہلوانوں کے لباس کے بارے میں ایک قابل ذکر تفصیل کیا ہے؟</v>
      </c>
      <c r="M313" s="2" t="str">
        <f>IFERROR(__xludf.DUMMYFUNCTION("GOOGLETRANSLATE(C313,""en"",""ur"")"),"انہوں نے بکتر کا پورا سوٹ پہن رکھا ہے۔")</f>
        <v>انہوں نے بکتر کا پورا سوٹ پہن رکھا ہے۔</v>
      </c>
      <c r="N313" s="2" t="str">
        <f>IFERROR(__xludf.DUMMYFUNCTION("GOOGLETRANSLATE(D313,""en"",""ur"")"),"وہ سارونگ یا پیٹرن والا اسکرٹ پہنے ہوئے ہیں۔")</f>
        <v>وہ سارونگ یا پیٹرن والا اسکرٹ پہنے ہوئے ہیں۔</v>
      </c>
      <c r="O313" s="2" t="str">
        <f>IFERROR(__xludf.DUMMYFUNCTION("GOOGLETRANSLATE(E313,""en"",""ur"")"),"انہوں نے شارٹس اور ٹی شرٹ پہن رکھی ہیں۔")</f>
        <v>انہوں نے شارٹس اور ٹی شرٹ پہن رکھی ہیں۔</v>
      </c>
      <c r="P313" s="2" t="str">
        <f>IFERROR(__xludf.DUMMYFUNCTION("GOOGLETRANSLATE(F313,""en"",""ur"")"),"انہوں نے کوئی لباس نہیں پہنا ہوا ہے۔")</f>
        <v>انہوں نے کوئی لباس نہیں پہنا ہوا ہے۔</v>
      </c>
      <c r="Q313" s="6" t="s">
        <v>1217</v>
      </c>
      <c r="R313" s="6" t="str">
        <f>IFERROR(__xludf.DUMMYFUNCTION("""COMPUTED_VALUE"""),"ایک ریسلنگ میچ میں دو آدمی")</f>
        <v>ایک ریسلنگ میچ میں دو آدمی</v>
      </c>
      <c r="S313" s="6" t="s">
        <v>1305</v>
      </c>
      <c r="T313" s="6"/>
      <c r="U313" s="6"/>
      <c r="V313" s="6"/>
      <c r="W313" s="6"/>
      <c r="X313" s="6"/>
      <c r="Y313" s="6"/>
      <c r="Z313" s="6"/>
      <c r="AA313" s="6"/>
      <c r="AB313" s="6"/>
    </row>
    <row r="314">
      <c r="A314" s="7">
        <v>313.0</v>
      </c>
      <c r="B314" s="6" t="s">
        <v>1193</v>
      </c>
      <c r="C314" s="6" t="s">
        <v>1194</v>
      </c>
      <c r="D314" s="6" t="s">
        <v>1195</v>
      </c>
      <c r="E314" s="6" t="s">
        <v>1196</v>
      </c>
      <c r="F314" s="6" t="s">
        <v>1197</v>
      </c>
      <c r="G314" s="6" t="s">
        <v>1196</v>
      </c>
      <c r="H314" s="6" t="s">
        <v>1305</v>
      </c>
      <c r="I314" s="6"/>
      <c r="J314" s="6"/>
      <c r="K314" s="2" t="str">
        <f>IFERROR(__xludf.DUMMYFUNCTION("GOOGLETRANSLATE(A314,""en"",""ur"")"),"313")</f>
        <v>313</v>
      </c>
      <c r="L314" s="2" t="str">
        <f>IFERROR(__xludf.DUMMYFUNCTION("GOOGLETRANSLATE(B314,""en"",""ur"")"),"کشتی کا ظاہری مقصد کیا ہے؟")</f>
        <v>کشتی کا ظاہری مقصد کیا ہے؟</v>
      </c>
      <c r="M314" s="2" t="str">
        <f>IFERROR(__xludf.DUMMYFUNCTION("GOOGLETRANSLATE(C314,""en"",""ur"")"),"ایک رسمی رقص")</f>
        <v>ایک رسمی رقص</v>
      </c>
      <c r="N314" s="2" t="str">
        <f>IFERROR(__xludf.DUMMYFUNCTION("GOOGLETRANSLATE(D314,""en"",""ur"")"),"ایک دوستانہ مظاہرہ")</f>
        <v>ایک دوستانہ مظاہرہ</v>
      </c>
      <c r="O314" s="2" t="str">
        <f>IFERROR(__xludf.DUMMYFUNCTION("GOOGLETRANSLATE(E314,""en"",""ur"")"),"ٹیک ڈاؤن کے ساتھ ایک مسابقتی میچ")</f>
        <v>ٹیک ڈاؤن کے ساتھ ایک مسابقتی میچ</v>
      </c>
      <c r="P314" s="2" t="str">
        <f>IFERROR(__xludf.DUMMYFUNCTION("GOOGLETRANSLATE(F314,""en"",""ur"")"),"ایک پریکٹس سیشن")</f>
        <v>ایک پریکٹس سیشن</v>
      </c>
      <c r="Q314" s="6" t="s">
        <v>1198</v>
      </c>
      <c r="R314" s="6" t="str">
        <f>IFERROR(__xludf.DUMMYFUNCTION("""COMPUTED_VALUE"""),"ایک ریسلنگ میچ میں دو آدمی")</f>
        <v>ایک ریسلنگ میچ میں دو آدمی</v>
      </c>
      <c r="S314" s="6" t="s">
        <v>1305</v>
      </c>
      <c r="T314" s="6"/>
      <c r="U314" s="6"/>
      <c r="V314" s="6"/>
      <c r="W314" s="6"/>
      <c r="X314" s="6"/>
      <c r="Y314" s="6"/>
      <c r="Z314" s="6"/>
      <c r="AA314" s="6"/>
      <c r="AB314" s="6"/>
    </row>
    <row r="315">
      <c r="A315" s="7">
        <v>314.0</v>
      </c>
      <c r="B315" s="6" t="s">
        <v>991</v>
      </c>
      <c r="C315" s="6" t="s">
        <v>422</v>
      </c>
      <c r="D315" s="6" t="s">
        <v>1199</v>
      </c>
      <c r="E315" s="6" t="s">
        <v>424</v>
      </c>
      <c r="F315" s="6" t="s">
        <v>425</v>
      </c>
      <c r="G315" s="6" t="s">
        <v>1199</v>
      </c>
      <c r="H315" s="6" t="s">
        <v>1305</v>
      </c>
      <c r="I315" s="6"/>
      <c r="J315" s="6"/>
      <c r="K315" s="2" t="str">
        <f>IFERROR(__xludf.DUMMYFUNCTION("GOOGLETRANSLATE(A315,""en"",""ur"")"),"314")</f>
        <v>314</v>
      </c>
      <c r="L315" s="2" t="str">
        <f>IFERROR(__xludf.DUMMYFUNCTION("GOOGLETRANSLATE(B315,""en"",""ur"")"),"واقعہ کی ظاہری ترتیب کیا ہے؟")</f>
        <v>واقعہ کی ظاہری ترتیب کیا ہے؟</v>
      </c>
      <c r="M315" s="2" t="str">
        <f>IFERROR(__xludf.DUMMYFUNCTION("GOOGLETRANSLATE(C315,""en"",""ur"")"),"ایک انڈور اسٹیڈیم")</f>
        <v>ایک انڈور اسٹیڈیم</v>
      </c>
      <c r="N315" s="2" t="str">
        <f>IFERROR(__xludf.DUMMYFUNCTION("GOOGLETRANSLATE(D315,""en"",""ur"")"),"ایک دیہی، بیرونی گندگی کا ایک بڑا ہجوم")</f>
        <v>ایک دیہی، بیرونی گندگی کا ایک بڑا ہجوم</v>
      </c>
      <c r="O315" s="2" t="str">
        <f>IFERROR(__xludf.DUMMYFUNCTION("GOOGLETRANSLATE(E315,""en"",""ur"")"),"شہر کی مصروف گلی")</f>
        <v>شہر کی مصروف گلی</v>
      </c>
      <c r="P315" s="2" t="str">
        <f>IFERROR(__xludf.DUMMYFUNCTION("GOOGLETRANSLATE(F315,""en"",""ur"")"),"گھاس کا میدان")</f>
        <v>گھاس کا میدان</v>
      </c>
      <c r="Q315" s="6" t="s">
        <v>1200</v>
      </c>
      <c r="R315" s="6" t="str">
        <f>IFERROR(__xludf.DUMMYFUNCTION("""COMPUTED_VALUE"""),"ایک ریسلنگ میچ میں دو آدمی")</f>
        <v>ایک ریسلنگ میچ میں دو آدمی</v>
      </c>
      <c r="S315" s="6" t="s">
        <v>1305</v>
      </c>
      <c r="T315" s="6"/>
      <c r="U315" s="6"/>
      <c r="V315" s="6"/>
      <c r="W315" s="6"/>
      <c r="X315" s="6"/>
      <c r="Y315" s="6"/>
      <c r="Z315" s="6"/>
      <c r="AA315" s="6"/>
      <c r="AB315" s="6"/>
    </row>
    <row r="316">
      <c r="A316" s="7">
        <v>315.0</v>
      </c>
      <c r="B316" s="6" t="s">
        <v>1201</v>
      </c>
      <c r="C316" s="6" t="s">
        <v>47</v>
      </c>
      <c r="D316" s="6" t="s">
        <v>48</v>
      </c>
      <c r="E316" s="6" t="s">
        <v>49</v>
      </c>
      <c r="F316" s="6" t="s">
        <v>50</v>
      </c>
      <c r="G316" s="6" t="s">
        <v>49</v>
      </c>
      <c r="H316" s="6" t="s">
        <v>1305</v>
      </c>
      <c r="I316" s="6"/>
      <c r="J316" s="6"/>
      <c r="K316" s="2" t="str">
        <f>IFERROR(__xludf.DUMMYFUNCTION("GOOGLETRANSLATE(A316,""en"",""ur"")"),"315")</f>
        <v>315</v>
      </c>
      <c r="L316" s="2" t="str">
        <f>IFERROR(__xludf.DUMMYFUNCTION("GOOGLETRANSLATE(B316,""en"",""ur"")"),"پہلوانوں کے ظاہری جذبات کیا ہیں؟")</f>
        <v>پہلوانوں کے ظاہری جذبات کیا ہیں؟</v>
      </c>
      <c r="M316" s="2" t="str">
        <f>IFERROR(__xludf.DUMMYFUNCTION("GOOGLETRANSLATE(C316,""en"",""ur"")"),"پرسکون اور پر سکون")</f>
        <v>پرسکون اور پر سکون</v>
      </c>
      <c r="N316" s="2" t="str">
        <f>IFERROR(__xludf.DUMMYFUNCTION("GOOGLETRANSLATE(D316,""en"",""ur"")"),"خوف زدہ اور بے چین")</f>
        <v>خوف زدہ اور بے چین</v>
      </c>
      <c r="O316" s="2" t="str">
        <f>IFERROR(__xludf.DUMMYFUNCTION("GOOGLETRANSLATE(E316,""en"",""ur"")"),"کشیدہ اور شدید")</f>
        <v>کشیدہ اور شدید</v>
      </c>
      <c r="P316" s="2" t="str">
        <f>IFERROR(__xludf.DUMMYFUNCTION("GOOGLETRANSLATE(F316,""en"",""ur"")"),"خوش اور مسکراتے ہوئے۔")</f>
        <v>خوش اور مسکراتے ہوئے۔</v>
      </c>
      <c r="Q316" s="6" t="s">
        <v>51</v>
      </c>
      <c r="R316" s="6" t="str">
        <f>IFERROR(__xludf.DUMMYFUNCTION("""COMPUTED_VALUE"""),"ایک ریسلنگ میچ میں دو آدمی")</f>
        <v>ایک ریسلنگ میچ میں دو آدمی</v>
      </c>
      <c r="S316" s="6" t="s">
        <v>1305</v>
      </c>
      <c r="T316" s="6"/>
      <c r="U316" s="6"/>
      <c r="V316" s="6"/>
      <c r="W316" s="6"/>
      <c r="X316" s="6"/>
      <c r="Y316" s="6"/>
      <c r="Z316" s="6"/>
      <c r="AA316" s="6"/>
      <c r="AB316" s="6"/>
    </row>
    <row r="317">
      <c r="A317" s="7">
        <v>316.0</v>
      </c>
      <c r="B317" s="6" t="s">
        <v>1218</v>
      </c>
      <c r="C317" s="6" t="s">
        <v>429</v>
      </c>
      <c r="D317" s="6" t="s">
        <v>430</v>
      </c>
      <c r="E317" s="6" t="s">
        <v>431</v>
      </c>
      <c r="F317" s="6" t="s">
        <v>432</v>
      </c>
      <c r="G317" s="6" t="s">
        <v>430</v>
      </c>
      <c r="H317" s="6" t="s">
        <v>1305</v>
      </c>
      <c r="I317" s="6"/>
      <c r="J317" s="6"/>
      <c r="K317" s="2" t="str">
        <f>IFERROR(__xludf.DUMMYFUNCTION("GOOGLETRANSLATE(A317,""en"",""ur"")"),"316")</f>
        <v>316</v>
      </c>
      <c r="L317" s="2" t="str">
        <f>IFERROR(__xludf.DUMMYFUNCTION("GOOGLETRANSLATE(B317,""en"",""ur"")"),"پہلوانوں کی ظاہری جسمانی پوزیشن کیا ہے؟")</f>
        <v>پہلوانوں کی ظاہری جسمانی پوزیشن کیا ہے؟</v>
      </c>
      <c r="M317" s="2" t="str">
        <f>IFERROR(__xludf.DUMMYFUNCTION("GOOGLETRANSLATE(C317,""en"",""ur"")"),"سیدھا کھڑا ہونا")</f>
        <v>سیدھا کھڑا ہونا</v>
      </c>
      <c r="N317" s="2" t="str">
        <f>IFERROR(__xludf.DUMMYFUNCTION("GOOGLETRANSLATE(D317,""en"",""ur"")"),"کم، متحرک موقف میں")</f>
        <v>کم، متحرک موقف میں</v>
      </c>
      <c r="O317" s="2" t="str">
        <f>IFERROR(__xludf.DUMMYFUNCTION("GOOGLETRANSLATE(E317,""en"",""ur"")"),"زمین پر لیٹنا")</f>
        <v>زمین پر لیٹنا</v>
      </c>
      <c r="P317" s="2" t="str">
        <f>IFERROR(__xludf.DUMMYFUNCTION("GOOGLETRANSLATE(F317,""en"",""ur"")"),"بیٹھا ہوا")</f>
        <v>بیٹھا ہوا</v>
      </c>
      <c r="Q317" s="6" t="s">
        <v>433</v>
      </c>
      <c r="R317" s="6" t="str">
        <f>IFERROR(__xludf.DUMMYFUNCTION("""COMPUTED_VALUE"""),"ایک ریسلنگ میچ میں دو آدمی")</f>
        <v>ایک ریسلنگ میچ میں دو آدمی</v>
      </c>
      <c r="S317" s="6" t="s">
        <v>1305</v>
      </c>
      <c r="T317" s="6"/>
      <c r="U317" s="6"/>
      <c r="V317" s="6"/>
      <c r="W317" s="6"/>
      <c r="X317" s="6"/>
      <c r="Y317" s="6"/>
      <c r="Z317" s="6"/>
      <c r="AA317" s="6"/>
      <c r="AB317" s="6"/>
    </row>
    <row r="318">
      <c r="A318" s="7">
        <v>317.0</v>
      </c>
      <c r="B318" s="6" t="s">
        <v>434</v>
      </c>
      <c r="C318" s="6" t="s">
        <v>435</v>
      </c>
      <c r="D318" s="6" t="s">
        <v>436</v>
      </c>
      <c r="E318" s="6" t="s">
        <v>1203</v>
      </c>
      <c r="F318" s="6" t="s">
        <v>438</v>
      </c>
      <c r="G318" s="6" t="s">
        <v>1203</v>
      </c>
      <c r="H318" s="6" t="s">
        <v>1305</v>
      </c>
      <c r="I318" s="6"/>
      <c r="J318" s="6"/>
      <c r="K318" s="2" t="str">
        <f>IFERROR(__xludf.DUMMYFUNCTION("GOOGLETRANSLATE(A318,""en"",""ur"")"),"317")</f>
        <v>317</v>
      </c>
      <c r="L318" s="2" t="str">
        <f>IFERROR(__xludf.DUMMYFUNCTION("GOOGLETRANSLATE(B318,""en"",""ur"")"),"پس منظر میں ہجوم کی سب سے نمایاں خصوصیت کیا ہے؟")</f>
        <v>پس منظر میں ہجوم کی سب سے نمایاں خصوصیت کیا ہے؟</v>
      </c>
      <c r="M318" s="2" t="str">
        <f>IFERROR(__xludf.DUMMYFUNCTION("GOOGLETRANSLATE(C318,""en"",""ur"")"),"وہ بھاگ رہے ہیں۔")</f>
        <v>وہ بھاگ رہے ہیں۔</v>
      </c>
      <c r="N318" s="2" t="str">
        <f>IFERROR(__xludf.DUMMYFUNCTION("GOOGLETRANSLATE(D318,""en"",""ur"")"),"وہ خاموش بیٹھے ہیں۔")</f>
        <v>وہ خاموش بیٹھے ہیں۔</v>
      </c>
      <c r="O318" s="2" t="str">
        <f>IFERROR(__xludf.DUMMYFUNCTION("GOOGLETRANSLATE(E318,""en"",""ur"")"),"وہ باڑ کے پیچھے سے میچ دیکھ رہے ہیں۔")</f>
        <v>وہ باڑ کے پیچھے سے میچ دیکھ رہے ہیں۔</v>
      </c>
      <c r="P318" s="2" t="str">
        <f>IFERROR(__xludf.DUMMYFUNCTION("GOOGLETRANSLATE(F318,""en"",""ur"")"),"وہ سب ایک اسٹیج پر کھڑے ہیں۔")</f>
        <v>وہ سب ایک اسٹیج پر کھڑے ہیں۔</v>
      </c>
      <c r="Q318" s="6" t="s">
        <v>1204</v>
      </c>
      <c r="R318" s="6" t="str">
        <f>IFERROR(__xludf.DUMMYFUNCTION("""COMPUTED_VALUE"""),"ایک ریسلنگ میچ میں دو آدمی")</f>
        <v>ایک ریسلنگ میچ میں دو آدمی</v>
      </c>
      <c r="S318" s="6" t="s">
        <v>1305</v>
      </c>
      <c r="T318" s="6"/>
      <c r="U318" s="6"/>
      <c r="V318" s="6"/>
      <c r="W318" s="6"/>
      <c r="X318" s="6"/>
      <c r="Y318" s="6"/>
      <c r="Z318" s="6"/>
      <c r="AA318" s="6"/>
      <c r="AB318" s="6"/>
    </row>
    <row r="319">
      <c r="A319" s="7">
        <v>318.0</v>
      </c>
      <c r="B319" s="6" t="s">
        <v>440</v>
      </c>
      <c r="C319" s="6" t="s">
        <v>441</v>
      </c>
      <c r="D319" s="6" t="s">
        <v>442</v>
      </c>
      <c r="E319" s="6" t="s">
        <v>512</v>
      </c>
      <c r="F319" s="6" t="s">
        <v>444</v>
      </c>
      <c r="G319" s="6" t="s">
        <v>512</v>
      </c>
      <c r="H319" s="6" t="s">
        <v>1305</v>
      </c>
      <c r="I319" s="6"/>
      <c r="J319" s="6"/>
      <c r="K319" s="2" t="str">
        <f>IFERROR(__xludf.DUMMYFUNCTION("GOOGLETRANSLATE(A319,""en"",""ur"")"),"318")</f>
        <v>318</v>
      </c>
      <c r="L319" s="2" t="str">
        <f>IFERROR(__xludf.DUMMYFUNCTION("GOOGLETRANSLATE(B319,""en"",""ur"")"),"زمین کی ظاہری حالت کیا ہے؟")</f>
        <v>زمین کی ظاہری حالت کیا ہے؟</v>
      </c>
      <c r="M319" s="2" t="str">
        <f>IFERROR(__xludf.DUMMYFUNCTION("GOOGLETRANSLATE(C319,""en"",""ur"")"),"یہ ایک پکی سطح ہے۔")</f>
        <v>یہ ایک پکی سطح ہے۔</v>
      </c>
      <c r="N319" s="2" t="str">
        <f>IFERROR(__xludf.DUMMYFUNCTION("GOOGLETRANSLATE(D319,""en"",""ur"")"),"یہ ایک کیچڑ والا میدان ہے۔")</f>
        <v>یہ ایک کیچڑ والا میدان ہے۔</v>
      </c>
      <c r="O319" s="2" t="str">
        <f>IFERROR(__xludf.DUMMYFUNCTION("GOOGLETRANSLATE(E319,""en"",""ur"")"),"یہ ایک ریتلی یا گندگی کی سطح ہے۔")</f>
        <v>یہ ایک ریتلی یا گندگی کی سطح ہے۔</v>
      </c>
      <c r="P319" s="2" t="str">
        <f>IFERROR(__xludf.DUMMYFUNCTION("GOOGLETRANSLATE(F319,""en"",""ur"")"),"یہ ایک گھاس والی سطح ہے۔")</f>
        <v>یہ ایک گھاس والی سطح ہے۔</v>
      </c>
      <c r="Q319" s="6" t="s">
        <v>1219</v>
      </c>
      <c r="R319" s="6" t="str">
        <f>IFERROR(__xludf.DUMMYFUNCTION("""COMPUTED_VALUE"""),"ایک ریسلنگ میچ میں دو آدمی")</f>
        <v>ایک ریسلنگ میچ میں دو آدمی</v>
      </c>
      <c r="S319" s="6" t="s">
        <v>1305</v>
      </c>
      <c r="T319" s="6"/>
      <c r="U319" s="6"/>
      <c r="V319" s="6"/>
      <c r="W319" s="6"/>
      <c r="X319" s="6"/>
      <c r="Y319" s="6"/>
      <c r="Z319" s="6"/>
      <c r="AA319" s="6"/>
      <c r="AB319" s="6"/>
    </row>
    <row r="320">
      <c r="A320" s="7">
        <v>319.0</v>
      </c>
      <c r="B320" s="6" t="s">
        <v>1205</v>
      </c>
      <c r="C320" s="6" t="s">
        <v>1206</v>
      </c>
      <c r="D320" s="6" t="s">
        <v>1207</v>
      </c>
      <c r="E320" s="6" t="s">
        <v>1208</v>
      </c>
      <c r="F320" s="6" t="s">
        <v>449</v>
      </c>
      <c r="G320" s="6" t="s">
        <v>1208</v>
      </c>
      <c r="H320" s="6" t="s">
        <v>1305</v>
      </c>
      <c r="I320" s="6"/>
      <c r="J320" s="6"/>
      <c r="K320" s="2" t="str">
        <f>IFERROR(__xludf.DUMMYFUNCTION("GOOGLETRANSLATE(A320,""en"",""ur"")"),"319")</f>
        <v>319</v>
      </c>
      <c r="L320" s="2" t="str">
        <f>IFERROR(__xludf.DUMMYFUNCTION("GOOGLETRANSLATE(B320,""en"",""ur"")"),"لمبی اسکرٹس کا بنیادی مقصد کیا ہے؟")</f>
        <v>لمبی اسکرٹس کا بنیادی مقصد کیا ہے؟</v>
      </c>
      <c r="M320" s="2" t="str">
        <f>IFERROR(__xludf.DUMMYFUNCTION("GOOGLETRANSLATE(C320,""en"",""ur"")"),"پہلوانوں کی ٹانگوں کی حفاظت کے لیے")</f>
        <v>پہلوانوں کی ٹانگوں کی حفاظت کے لیے</v>
      </c>
      <c r="N320" s="2" t="str">
        <f>IFERROR(__xludf.DUMMYFUNCTION("GOOGLETRANSLATE(D320,""en"",""ur"")"),"پہلوانوں کو مزید چست بنانے کے لیے")</f>
        <v>پہلوانوں کو مزید چست بنانے کے لیے</v>
      </c>
      <c r="O320" s="2" t="str">
        <f>IFERROR(__xludf.DUMMYFUNCTION("GOOGLETRANSLATE(E320,""en"",""ur"")"),"روایتی لباس اور لڑائی کے دوران گرفت کے لیے")</f>
        <v>روایتی لباس اور لڑائی کے دوران گرفت کے لیے</v>
      </c>
      <c r="P320" s="2" t="str">
        <f>IFERROR(__xludf.DUMMYFUNCTION("GOOGLETRANSLATE(F320,""en"",""ur"")"),"صرف سجاوٹ کے لیے")</f>
        <v>صرف سجاوٹ کے لیے</v>
      </c>
      <c r="Q320" s="6" t="s">
        <v>1209</v>
      </c>
      <c r="R320" s="6" t="str">
        <f>IFERROR(__xludf.DUMMYFUNCTION("""COMPUTED_VALUE"""),"ایک ریسلنگ میچ میں دو آدمی")</f>
        <v>ایک ریسلنگ میچ میں دو آدمی</v>
      </c>
      <c r="S320" s="6" t="s">
        <v>1305</v>
      </c>
      <c r="T320" s="6"/>
      <c r="U320" s="6"/>
      <c r="V320" s="6"/>
      <c r="W320" s="6"/>
      <c r="X320" s="6"/>
      <c r="Y320" s="6"/>
      <c r="Z320" s="6"/>
      <c r="AA320" s="6"/>
      <c r="AB320" s="6"/>
    </row>
    <row r="321">
      <c r="A321" s="7">
        <v>320.0</v>
      </c>
      <c r="B321" s="6" t="s">
        <v>260</v>
      </c>
      <c r="C321" s="6" t="s">
        <v>261</v>
      </c>
      <c r="D321" s="6" t="s">
        <v>262</v>
      </c>
      <c r="E321" s="6" t="s">
        <v>1210</v>
      </c>
      <c r="F321" s="6" t="s">
        <v>264</v>
      </c>
      <c r="G321" s="6" t="s">
        <v>1210</v>
      </c>
      <c r="H321" s="6" t="s">
        <v>1305</v>
      </c>
      <c r="I321" s="6"/>
      <c r="J321" s="6"/>
      <c r="K321" s="2" t="str">
        <f>IFERROR(__xludf.DUMMYFUNCTION("GOOGLETRANSLATE(A321,""en"",""ur"")"),"320")</f>
        <v>320</v>
      </c>
      <c r="L321" s="2" t="str">
        <f>IFERROR(__xludf.DUMMYFUNCTION("GOOGLETRANSLATE(B321,""en"",""ur"")"),"تصویر میں ایکشن ایک ایسا انداز تجویز کرتا ہے جو اس بات پر زور دیتا ہے...")</f>
        <v>تصویر میں ایکشن ایک ایسا انداز تجویز کرتا ہے جو اس بات پر زور دیتا ہے...</v>
      </c>
      <c r="M321" s="2" t="str">
        <f>IFERROR(__xludf.DUMMYFUNCTION("GOOGLETRANSLATE(C321,""en"",""ur"")"),"روانی اور قلابازیاں")</f>
        <v>روانی اور قلابازیاں</v>
      </c>
      <c r="N321" s="2" t="str">
        <f>IFERROR(__xludf.DUMMYFUNCTION("GOOGLETRANSLATE(D321,""en"",""ur"")"),"زمینی لڑائی اور گرفت")</f>
        <v>زمینی لڑائی اور گرفت</v>
      </c>
      <c r="O321" s="2" t="str">
        <f>IFERROR(__xludf.DUMMYFUNCTION("GOOGLETRANSLATE(E321,""en"",""ur"")"),"وحشیانہ طاقت اور ٹیک ڈاؤن")</f>
        <v>وحشیانہ طاقت اور ٹیک ڈاؤن</v>
      </c>
      <c r="P321" s="2" t="str">
        <f>IFERROR(__xludf.DUMMYFUNCTION("GOOGLETRANSLATE(F321,""en"",""ur"")"),"سادہ، لکیری حرکات")</f>
        <v>سادہ، لکیری حرکات</v>
      </c>
      <c r="Q321" s="6" t="s">
        <v>1211</v>
      </c>
      <c r="R321" s="6" t="str">
        <f>IFERROR(__xludf.DUMMYFUNCTION("""COMPUTED_VALUE"""),"ایک ریسلنگ میچ میں دو آدمی")</f>
        <v>ایک ریسلنگ میچ میں دو آدمی</v>
      </c>
      <c r="S321" s="6" t="s">
        <v>1305</v>
      </c>
      <c r="T321" s="6"/>
      <c r="U321" s="6"/>
      <c r="V321" s="6"/>
      <c r="W321" s="6"/>
      <c r="X321" s="6"/>
      <c r="Y321" s="6"/>
      <c r="Z321" s="6"/>
      <c r="AA321" s="6"/>
      <c r="AB321" s="6"/>
    </row>
    <row r="322">
      <c r="A322" s="7">
        <v>321.0</v>
      </c>
      <c r="B322" s="6" t="s">
        <v>1306</v>
      </c>
      <c r="C322" s="6" t="s">
        <v>405</v>
      </c>
      <c r="D322" s="6" t="s">
        <v>406</v>
      </c>
      <c r="E322" s="6" t="s">
        <v>1184</v>
      </c>
      <c r="F322" s="6" t="s">
        <v>1185</v>
      </c>
      <c r="G322" s="6" t="s">
        <v>1184</v>
      </c>
      <c r="H322" s="6" t="s">
        <v>1307</v>
      </c>
      <c r="I322" s="6"/>
      <c r="J322" s="6"/>
      <c r="K322" s="2" t="str">
        <f>IFERROR(__xludf.DUMMYFUNCTION("GOOGLETRANSLATE(A322,""en"",""ur"")"),"321")</f>
        <v>321</v>
      </c>
      <c r="L322" s="2" t="str">
        <f>IFERROR(__xludf.DUMMYFUNCTION("GOOGLETRANSLATE(B322,""en"",""ur"")"),"ملاخرہ_95 میں دکھایا گیا اہم عمل کیا ہے؟")</f>
        <v>ملاخرہ_95 میں دکھایا گیا اہم عمل کیا ہے؟</v>
      </c>
      <c r="M322" s="2" t="str">
        <f>IFERROR(__xludf.DUMMYFUNCTION("GOOGLETRANSLATE(C322,""en"",""ur"")"),"دو آدمی تلواروں سے لڑ رہے ہیں۔")</f>
        <v>دو آدمی تلواروں سے لڑ رہے ہیں۔</v>
      </c>
      <c r="N322" s="2" t="str">
        <f>IFERROR(__xludf.DUMMYFUNCTION("GOOGLETRANSLATE(D322,""en"",""ur"")"),"دو آدمی ناچ رہے ہیں۔")</f>
        <v>دو آدمی ناچ رہے ہیں۔</v>
      </c>
      <c r="O322" s="2" t="str">
        <f>IFERROR(__xludf.DUMMYFUNCTION("GOOGLETRANSLATE(E322,""en"",""ur"")"),"ایک ریسلنگ میچ میں دو آدمی")</f>
        <v>ایک ریسلنگ میچ میں دو آدمی</v>
      </c>
      <c r="P322" s="2" t="str">
        <f>IFERROR(__xludf.DUMMYFUNCTION("GOOGLETRANSLATE(F322,""en"",""ur"")"),"دو آدمی بھاگ رہے ہیں۔")</f>
        <v>دو آدمی بھاگ رہے ہیں۔</v>
      </c>
      <c r="Q322" s="6" t="s">
        <v>1214</v>
      </c>
      <c r="R322" s="6" t="str">
        <f>IFERROR(__xludf.DUMMYFUNCTION("""COMPUTED_VALUE"""),"ایک ریسلنگ میچ میں دو آدمی")</f>
        <v>ایک ریسلنگ میچ میں دو آدمی</v>
      </c>
      <c r="S322" s="6" t="s">
        <v>1307</v>
      </c>
      <c r="T322" s="6"/>
      <c r="U322" s="6"/>
      <c r="V322" s="6"/>
      <c r="W322" s="6"/>
      <c r="X322" s="6"/>
      <c r="Y322" s="6"/>
      <c r="Z322" s="6"/>
      <c r="AA322" s="6"/>
      <c r="AB322" s="6"/>
    </row>
    <row r="323">
      <c r="A323" s="7">
        <v>322.0</v>
      </c>
      <c r="B323" s="6" t="s">
        <v>1215</v>
      </c>
      <c r="C323" s="6" t="s">
        <v>488</v>
      </c>
      <c r="D323" s="6" t="s">
        <v>1216</v>
      </c>
      <c r="E323" s="6" t="s">
        <v>490</v>
      </c>
      <c r="F323" s="6" t="s">
        <v>246</v>
      </c>
      <c r="G323" s="6" t="s">
        <v>1216</v>
      </c>
      <c r="H323" s="6" t="s">
        <v>1307</v>
      </c>
      <c r="I323" s="6"/>
      <c r="J323" s="6"/>
      <c r="K323" s="2" t="str">
        <f>IFERROR(__xludf.DUMMYFUNCTION("GOOGLETRANSLATE(A323,""en"",""ur"")"),"322")</f>
        <v>322</v>
      </c>
      <c r="L323" s="2" t="str">
        <f>IFERROR(__xludf.DUMMYFUNCTION("GOOGLETRANSLATE(B323,""en"",""ur"")"),"پہلوانوں کے لباس کے بارے میں ایک قابل ذکر تفصیل کیا ہے؟")</f>
        <v>پہلوانوں کے لباس کے بارے میں ایک قابل ذکر تفصیل کیا ہے؟</v>
      </c>
      <c r="M323" s="2" t="str">
        <f>IFERROR(__xludf.DUMMYFUNCTION("GOOGLETRANSLATE(C323,""en"",""ur"")"),"انہوں نے بکتر کا پورا سوٹ پہن رکھا ہے۔")</f>
        <v>انہوں نے بکتر کا پورا سوٹ پہن رکھا ہے۔</v>
      </c>
      <c r="N323" s="2" t="str">
        <f>IFERROR(__xludf.DUMMYFUNCTION("GOOGLETRANSLATE(D323,""en"",""ur"")"),"وہ سارونگ یا پیٹرن والا اسکرٹ پہنے ہوئے ہیں۔")</f>
        <v>وہ سارونگ یا پیٹرن والا اسکرٹ پہنے ہوئے ہیں۔</v>
      </c>
      <c r="O323" s="2" t="str">
        <f>IFERROR(__xludf.DUMMYFUNCTION("GOOGLETRANSLATE(E323,""en"",""ur"")"),"انہوں نے شارٹس اور ٹی شرٹ پہن رکھی ہیں۔")</f>
        <v>انہوں نے شارٹس اور ٹی شرٹ پہن رکھی ہیں۔</v>
      </c>
      <c r="P323" s="2" t="str">
        <f>IFERROR(__xludf.DUMMYFUNCTION("GOOGLETRANSLATE(F323,""en"",""ur"")"),"انہوں نے کوئی لباس نہیں پہنا ہوا ہے۔")</f>
        <v>انہوں نے کوئی لباس نہیں پہنا ہوا ہے۔</v>
      </c>
      <c r="Q323" s="6" t="s">
        <v>1217</v>
      </c>
      <c r="R323" s="6" t="str">
        <f>IFERROR(__xludf.DUMMYFUNCTION("""COMPUTED_VALUE"""),"ایک ریسلنگ میچ میں دو آدمی")</f>
        <v>ایک ریسلنگ میچ میں دو آدمی</v>
      </c>
      <c r="S323" s="6" t="s">
        <v>1307</v>
      </c>
      <c r="T323" s="6"/>
      <c r="U323" s="6"/>
      <c r="V323" s="6"/>
      <c r="W323" s="6"/>
      <c r="X323" s="6"/>
      <c r="Y323" s="6"/>
      <c r="Z323" s="6"/>
      <c r="AA323" s="6"/>
      <c r="AB323" s="6"/>
    </row>
    <row r="324">
      <c r="A324" s="7">
        <v>323.0</v>
      </c>
      <c r="B324" s="6" t="s">
        <v>1193</v>
      </c>
      <c r="C324" s="6" t="s">
        <v>1194</v>
      </c>
      <c r="D324" s="6" t="s">
        <v>1195</v>
      </c>
      <c r="E324" s="6" t="s">
        <v>1196</v>
      </c>
      <c r="F324" s="6" t="s">
        <v>1197</v>
      </c>
      <c r="G324" s="6" t="s">
        <v>1196</v>
      </c>
      <c r="H324" s="6" t="s">
        <v>1307</v>
      </c>
      <c r="I324" s="6"/>
      <c r="J324" s="6"/>
      <c r="K324" s="2" t="str">
        <f>IFERROR(__xludf.DUMMYFUNCTION("GOOGLETRANSLATE(A324,""en"",""ur"")"),"323")</f>
        <v>323</v>
      </c>
      <c r="L324" s="2" t="str">
        <f>IFERROR(__xludf.DUMMYFUNCTION("GOOGLETRANSLATE(B324,""en"",""ur"")"),"کشتی کا ظاہری مقصد کیا ہے؟")</f>
        <v>کشتی کا ظاہری مقصد کیا ہے؟</v>
      </c>
      <c r="M324" s="2" t="str">
        <f>IFERROR(__xludf.DUMMYFUNCTION("GOOGLETRANSLATE(C324,""en"",""ur"")"),"ایک رسمی رقص")</f>
        <v>ایک رسمی رقص</v>
      </c>
      <c r="N324" s="2" t="str">
        <f>IFERROR(__xludf.DUMMYFUNCTION("GOOGLETRANSLATE(D324,""en"",""ur"")"),"ایک دوستانہ مظاہرہ")</f>
        <v>ایک دوستانہ مظاہرہ</v>
      </c>
      <c r="O324" s="2" t="str">
        <f>IFERROR(__xludf.DUMMYFUNCTION("GOOGLETRANSLATE(E324,""en"",""ur"")"),"ٹیک ڈاؤن کے ساتھ ایک مسابقتی میچ")</f>
        <v>ٹیک ڈاؤن کے ساتھ ایک مسابقتی میچ</v>
      </c>
      <c r="P324" s="2" t="str">
        <f>IFERROR(__xludf.DUMMYFUNCTION("GOOGLETRANSLATE(F324,""en"",""ur"")"),"ایک پریکٹس سیشن")</f>
        <v>ایک پریکٹس سیشن</v>
      </c>
      <c r="Q324" s="6" t="s">
        <v>1198</v>
      </c>
      <c r="R324" s="6" t="str">
        <f>IFERROR(__xludf.DUMMYFUNCTION("""COMPUTED_VALUE"""),"ایک ریسلنگ میچ میں دو آدمی")</f>
        <v>ایک ریسلنگ میچ میں دو آدمی</v>
      </c>
      <c r="S324" s="6" t="s">
        <v>1307</v>
      </c>
      <c r="T324" s="6"/>
      <c r="U324" s="6"/>
      <c r="V324" s="6"/>
      <c r="W324" s="6"/>
      <c r="X324" s="6"/>
      <c r="Y324" s="6"/>
      <c r="Z324" s="6"/>
      <c r="AA324" s="6"/>
      <c r="AB324" s="6"/>
    </row>
    <row r="325">
      <c r="A325" s="7">
        <v>324.0</v>
      </c>
      <c r="B325" s="6" t="s">
        <v>991</v>
      </c>
      <c r="C325" s="6" t="s">
        <v>422</v>
      </c>
      <c r="D325" s="6" t="s">
        <v>1199</v>
      </c>
      <c r="E325" s="6" t="s">
        <v>424</v>
      </c>
      <c r="F325" s="6" t="s">
        <v>425</v>
      </c>
      <c r="G325" s="6" t="s">
        <v>1199</v>
      </c>
      <c r="H325" s="6" t="s">
        <v>1307</v>
      </c>
      <c r="I325" s="6"/>
      <c r="J325" s="6"/>
      <c r="K325" s="2" t="str">
        <f>IFERROR(__xludf.DUMMYFUNCTION("GOOGLETRANSLATE(A325,""en"",""ur"")"),"324")</f>
        <v>324</v>
      </c>
      <c r="L325" s="2" t="str">
        <f>IFERROR(__xludf.DUMMYFUNCTION("GOOGLETRANSLATE(B325,""en"",""ur"")"),"واقعہ کی ظاہری ترتیب کیا ہے؟")</f>
        <v>واقعہ کی ظاہری ترتیب کیا ہے؟</v>
      </c>
      <c r="M325" s="2" t="str">
        <f>IFERROR(__xludf.DUMMYFUNCTION("GOOGLETRANSLATE(C325,""en"",""ur"")"),"ایک انڈور اسٹیڈیم")</f>
        <v>ایک انڈور اسٹیڈیم</v>
      </c>
      <c r="N325" s="2" t="str">
        <f>IFERROR(__xludf.DUMMYFUNCTION("GOOGLETRANSLATE(D325,""en"",""ur"")"),"ایک دیہی، بیرونی گندگی کا ایک بڑا ہجوم")</f>
        <v>ایک دیہی، بیرونی گندگی کا ایک بڑا ہجوم</v>
      </c>
      <c r="O325" s="2" t="str">
        <f>IFERROR(__xludf.DUMMYFUNCTION("GOOGLETRANSLATE(E325,""en"",""ur"")"),"شہر کی مصروف گلی")</f>
        <v>شہر کی مصروف گلی</v>
      </c>
      <c r="P325" s="2" t="str">
        <f>IFERROR(__xludf.DUMMYFUNCTION("GOOGLETRANSLATE(F325,""en"",""ur"")"),"گھاس کا میدان")</f>
        <v>گھاس کا میدان</v>
      </c>
      <c r="Q325" s="6" t="s">
        <v>1200</v>
      </c>
      <c r="R325" s="6" t="str">
        <f>IFERROR(__xludf.DUMMYFUNCTION("""COMPUTED_VALUE"""),"ایک ریسلنگ میچ میں دو آدمی")</f>
        <v>ایک ریسلنگ میچ میں دو آدمی</v>
      </c>
      <c r="S325" s="6" t="s">
        <v>1307</v>
      </c>
      <c r="T325" s="6"/>
      <c r="U325" s="6"/>
      <c r="V325" s="6"/>
      <c r="W325" s="6"/>
      <c r="X325" s="6"/>
      <c r="Y325" s="6"/>
      <c r="Z325" s="6"/>
      <c r="AA325" s="6"/>
      <c r="AB325" s="6"/>
    </row>
    <row r="326">
      <c r="A326" s="7">
        <v>325.0</v>
      </c>
      <c r="B326" s="6" t="s">
        <v>1201</v>
      </c>
      <c r="C326" s="6" t="s">
        <v>47</v>
      </c>
      <c r="D326" s="6" t="s">
        <v>48</v>
      </c>
      <c r="E326" s="6" t="s">
        <v>49</v>
      </c>
      <c r="F326" s="6" t="s">
        <v>50</v>
      </c>
      <c r="G326" s="6" t="s">
        <v>49</v>
      </c>
      <c r="H326" s="6" t="s">
        <v>1307</v>
      </c>
      <c r="I326" s="6"/>
      <c r="J326" s="6"/>
      <c r="K326" s="2" t="str">
        <f>IFERROR(__xludf.DUMMYFUNCTION("GOOGLETRANSLATE(A326,""en"",""ur"")"),"325")</f>
        <v>325</v>
      </c>
      <c r="L326" s="2" t="str">
        <f>IFERROR(__xludf.DUMMYFUNCTION("GOOGLETRANSLATE(B326,""en"",""ur"")"),"پہلوانوں کے ظاہری جذبات کیا ہیں؟")</f>
        <v>پہلوانوں کے ظاہری جذبات کیا ہیں؟</v>
      </c>
      <c r="M326" s="2" t="str">
        <f>IFERROR(__xludf.DUMMYFUNCTION("GOOGLETRANSLATE(C326,""en"",""ur"")"),"پرسکون اور پر سکون")</f>
        <v>پرسکون اور پر سکون</v>
      </c>
      <c r="N326" s="2" t="str">
        <f>IFERROR(__xludf.DUMMYFUNCTION("GOOGLETRANSLATE(D326,""en"",""ur"")"),"خوف زدہ اور بے چین")</f>
        <v>خوف زدہ اور بے چین</v>
      </c>
      <c r="O326" s="2" t="str">
        <f>IFERROR(__xludf.DUMMYFUNCTION("GOOGLETRANSLATE(E326,""en"",""ur"")"),"کشیدہ اور شدید")</f>
        <v>کشیدہ اور شدید</v>
      </c>
      <c r="P326" s="2" t="str">
        <f>IFERROR(__xludf.DUMMYFUNCTION("GOOGLETRANSLATE(F326,""en"",""ur"")"),"خوش اور مسکراتے ہوئے۔")</f>
        <v>خوش اور مسکراتے ہوئے۔</v>
      </c>
      <c r="Q326" s="6" t="s">
        <v>51</v>
      </c>
      <c r="R326" s="6" t="str">
        <f>IFERROR(__xludf.DUMMYFUNCTION("""COMPUTED_VALUE"""),"ایک ریسلنگ میچ میں دو آدمی")</f>
        <v>ایک ریسلنگ میچ میں دو آدمی</v>
      </c>
      <c r="S326" s="6" t="s">
        <v>1307</v>
      </c>
      <c r="T326" s="6"/>
      <c r="U326" s="6"/>
      <c r="V326" s="6"/>
      <c r="W326" s="6"/>
      <c r="X326" s="6"/>
      <c r="Y326" s="6"/>
      <c r="Z326" s="6"/>
      <c r="AA326" s="6"/>
      <c r="AB326" s="6"/>
    </row>
    <row r="327">
      <c r="A327" s="7">
        <v>326.0</v>
      </c>
      <c r="B327" s="6" t="s">
        <v>1218</v>
      </c>
      <c r="C327" s="6" t="s">
        <v>429</v>
      </c>
      <c r="D327" s="6" t="s">
        <v>430</v>
      </c>
      <c r="E327" s="6" t="s">
        <v>431</v>
      </c>
      <c r="F327" s="6" t="s">
        <v>432</v>
      </c>
      <c r="G327" s="6" t="s">
        <v>430</v>
      </c>
      <c r="H327" s="6" t="s">
        <v>1307</v>
      </c>
      <c r="I327" s="6"/>
      <c r="J327" s="6"/>
      <c r="K327" s="2" t="str">
        <f>IFERROR(__xludf.DUMMYFUNCTION("GOOGLETRANSLATE(A327,""en"",""ur"")"),"326")</f>
        <v>326</v>
      </c>
      <c r="L327" s="2" t="str">
        <f>IFERROR(__xludf.DUMMYFUNCTION("GOOGLETRANSLATE(B327,""en"",""ur"")"),"پہلوانوں کی ظاہری جسمانی پوزیشن کیا ہے؟")</f>
        <v>پہلوانوں کی ظاہری جسمانی پوزیشن کیا ہے؟</v>
      </c>
      <c r="M327" s="2" t="str">
        <f>IFERROR(__xludf.DUMMYFUNCTION("GOOGLETRANSLATE(C327,""en"",""ur"")"),"سیدھا کھڑا ہونا")</f>
        <v>سیدھا کھڑا ہونا</v>
      </c>
      <c r="N327" s="2" t="str">
        <f>IFERROR(__xludf.DUMMYFUNCTION("GOOGLETRANSLATE(D327,""en"",""ur"")"),"کم، متحرک موقف میں")</f>
        <v>کم، متحرک موقف میں</v>
      </c>
      <c r="O327" s="2" t="str">
        <f>IFERROR(__xludf.DUMMYFUNCTION("GOOGLETRANSLATE(E327,""en"",""ur"")"),"زمین پر لیٹنا")</f>
        <v>زمین پر لیٹنا</v>
      </c>
      <c r="P327" s="2" t="str">
        <f>IFERROR(__xludf.DUMMYFUNCTION("GOOGLETRANSLATE(F327,""en"",""ur"")"),"بیٹھا ہوا")</f>
        <v>بیٹھا ہوا</v>
      </c>
      <c r="Q327" s="6" t="s">
        <v>433</v>
      </c>
      <c r="R327" s="6" t="str">
        <f>IFERROR(__xludf.DUMMYFUNCTION("""COMPUTED_VALUE"""),"ایک ریسلنگ میچ میں دو آدمی")</f>
        <v>ایک ریسلنگ میچ میں دو آدمی</v>
      </c>
      <c r="S327" s="6" t="s">
        <v>1307</v>
      </c>
      <c r="T327" s="6"/>
      <c r="U327" s="6"/>
      <c r="V327" s="6"/>
      <c r="W327" s="6"/>
      <c r="X327" s="6"/>
      <c r="Y327" s="6"/>
      <c r="Z327" s="6"/>
      <c r="AA327" s="6"/>
      <c r="AB327" s="6"/>
    </row>
    <row r="328">
      <c r="A328" s="7">
        <v>327.0</v>
      </c>
      <c r="B328" s="6" t="s">
        <v>434</v>
      </c>
      <c r="C328" s="6" t="s">
        <v>435</v>
      </c>
      <c r="D328" s="6" t="s">
        <v>436</v>
      </c>
      <c r="E328" s="6" t="s">
        <v>1203</v>
      </c>
      <c r="F328" s="6" t="s">
        <v>438</v>
      </c>
      <c r="G328" s="6" t="s">
        <v>1203</v>
      </c>
      <c r="H328" s="6" t="s">
        <v>1307</v>
      </c>
      <c r="I328" s="6"/>
      <c r="J328" s="6"/>
      <c r="K328" s="2" t="str">
        <f>IFERROR(__xludf.DUMMYFUNCTION("GOOGLETRANSLATE(A328,""en"",""ur"")"),"327")</f>
        <v>327</v>
      </c>
      <c r="L328" s="2" t="str">
        <f>IFERROR(__xludf.DUMMYFUNCTION("GOOGLETRANSLATE(B328,""en"",""ur"")"),"پس منظر میں ہجوم کی سب سے نمایاں خصوصیت کیا ہے؟")</f>
        <v>پس منظر میں ہجوم کی سب سے نمایاں خصوصیت کیا ہے؟</v>
      </c>
      <c r="M328" s="2" t="str">
        <f>IFERROR(__xludf.DUMMYFUNCTION("GOOGLETRANSLATE(C328,""en"",""ur"")"),"وہ بھاگ رہے ہیں۔")</f>
        <v>وہ بھاگ رہے ہیں۔</v>
      </c>
      <c r="N328" s="2" t="str">
        <f>IFERROR(__xludf.DUMMYFUNCTION("GOOGLETRANSLATE(D328,""en"",""ur"")"),"وہ خاموش بیٹھے ہیں۔")</f>
        <v>وہ خاموش بیٹھے ہیں۔</v>
      </c>
      <c r="O328" s="2" t="str">
        <f>IFERROR(__xludf.DUMMYFUNCTION("GOOGLETRANSLATE(E328,""en"",""ur"")"),"وہ باڑ کے پیچھے سے میچ دیکھ رہے ہیں۔")</f>
        <v>وہ باڑ کے پیچھے سے میچ دیکھ رہے ہیں۔</v>
      </c>
      <c r="P328" s="2" t="str">
        <f>IFERROR(__xludf.DUMMYFUNCTION("GOOGLETRANSLATE(F328,""en"",""ur"")"),"وہ سب ایک اسٹیج پر کھڑے ہیں۔")</f>
        <v>وہ سب ایک اسٹیج پر کھڑے ہیں۔</v>
      </c>
      <c r="Q328" s="6" t="s">
        <v>1204</v>
      </c>
      <c r="R328" s="6" t="str">
        <f>IFERROR(__xludf.DUMMYFUNCTION("""COMPUTED_VALUE"""),"ایک ریسلنگ میچ میں دو آدمی")</f>
        <v>ایک ریسلنگ میچ میں دو آدمی</v>
      </c>
      <c r="S328" s="6" t="s">
        <v>1307</v>
      </c>
      <c r="T328" s="6"/>
      <c r="U328" s="6"/>
      <c r="V328" s="6"/>
      <c r="W328" s="6"/>
      <c r="X328" s="6"/>
      <c r="Y328" s="6"/>
      <c r="Z328" s="6"/>
      <c r="AA328" s="6"/>
      <c r="AB328" s="6"/>
    </row>
    <row r="329">
      <c r="A329" s="7">
        <v>328.0</v>
      </c>
      <c r="B329" s="6" t="s">
        <v>440</v>
      </c>
      <c r="C329" s="6" t="s">
        <v>441</v>
      </c>
      <c r="D329" s="6" t="s">
        <v>442</v>
      </c>
      <c r="E329" s="6" t="s">
        <v>512</v>
      </c>
      <c r="F329" s="6" t="s">
        <v>444</v>
      </c>
      <c r="G329" s="6" t="s">
        <v>512</v>
      </c>
      <c r="H329" s="6" t="s">
        <v>1307</v>
      </c>
      <c r="I329" s="6"/>
      <c r="J329" s="6"/>
      <c r="K329" s="2" t="str">
        <f>IFERROR(__xludf.DUMMYFUNCTION("GOOGLETRANSLATE(A329,""en"",""ur"")"),"328")</f>
        <v>328</v>
      </c>
      <c r="L329" s="2" t="str">
        <f>IFERROR(__xludf.DUMMYFUNCTION("GOOGLETRANSLATE(B329,""en"",""ur"")"),"زمین کی ظاہری حالت کیا ہے؟")</f>
        <v>زمین کی ظاہری حالت کیا ہے؟</v>
      </c>
      <c r="M329" s="2" t="str">
        <f>IFERROR(__xludf.DUMMYFUNCTION("GOOGLETRANSLATE(C329,""en"",""ur"")"),"یہ ایک پکی سطح ہے۔")</f>
        <v>یہ ایک پکی سطح ہے۔</v>
      </c>
      <c r="N329" s="2" t="str">
        <f>IFERROR(__xludf.DUMMYFUNCTION("GOOGLETRANSLATE(D329,""en"",""ur"")"),"یہ ایک کیچڑ والا میدان ہے۔")</f>
        <v>یہ ایک کیچڑ والا میدان ہے۔</v>
      </c>
      <c r="O329" s="2" t="str">
        <f>IFERROR(__xludf.DUMMYFUNCTION("GOOGLETRANSLATE(E329,""en"",""ur"")"),"یہ ایک ریتلی یا گندگی کی سطح ہے۔")</f>
        <v>یہ ایک ریتلی یا گندگی کی سطح ہے۔</v>
      </c>
      <c r="P329" s="2" t="str">
        <f>IFERROR(__xludf.DUMMYFUNCTION("GOOGLETRANSLATE(F329,""en"",""ur"")"),"یہ ایک گھاس والی سطح ہے۔")</f>
        <v>یہ ایک گھاس والی سطح ہے۔</v>
      </c>
      <c r="Q329" s="6" t="s">
        <v>1219</v>
      </c>
      <c r="R329" s="6" t="str">
        <f>IFERROR(__xludf.DUMMYFUNCTION("""COMPUTED_VALUE"""),"ایک ریسلنگ میچ میں دو آدمی")</f>
        <v>ایک ریسلنگ میچ میں دو آدمی</v>
      </c>
      <c r="S329" s="6" t="s">
        <v>1307</v>
      </c>
      <c r="T329" s="6"/>
      <c r="U329" s="6"/>
      <c r="V329" s="6"/>
      <c r="W329" s="6"/>
      <c r="X329" s="6"/>
      <c r="Y329" s="6"/>
      <c r="Z329" s="6"/>
      <c r="AA329" s="6"/>
      <c r="AB329" s="6"/>
    </row>
    <row r="330">
      <c r="A330" s="7">
        <v>329.0</v>
      </c>
      <c r="B330" s="6" t="s">
        <v>1205</v>
      </c>
      <c r="C330" s="6" t="s">
        <v>1206</v>
      </c>
      <c r="D330" s="6" t="s">
        <v>1207</v>
      </c>
      <c r="E330" s="6" t="s">
        <v>1208</v>
      </c>
      <c r="F330" s="6" t="s">
        <v>449</v>
      </c>
      <c r="G330" s="6" t="s">
        <v>1208</v>
      </c>
      <c r="H330" s="6" t="s">
        <v>1307</v>
      </c>
      <c r="I330" s="6"/>
      <c r="J330" s="6"/>
      <c r="K330" s="2" t="str">
        <f>IFERROR(__xludf.DUMMYFUNCTION("GOOGLETRANSLATE(A330,""en"",""ur"")"),"329")</f>
        <v>329</v>
      </c>
      <c r="L330" s="2" t="str">
        <f>IFERROR(__xludf.DUMMYFUNCTION("GOOGLETRANSLATE(B330,""en"",""ur"")"),"لمبی اسکرٹس کا بنیادی مقصد کیا ہے؟")</f>
        <v>لمبی اسکرٹس کا بنیادی مقصد کیا ہے؟</v>
      </c>
      <c r="M330" s="2" t="str">
        <f>IFERROR(__xludf.DUMMYFUNCTION("GOOGLETRANSLATE(C330,""en"",""ur"")"),"پہلوانوں کی ٹانگوں کی حفاظت کے لیے")</f>
        <v>پہلوانوں کی ٹانگوں کی حفاظت کے لیے</v>
      </c>
      <c r="N330" s="2" t="str">
        <f>IFERROR(__xludf.DUMMYFUNCTION("GOOGLETRANSLATE(D330,""en"",""ur"")"),"پہلوانوں کو مزید چست بنانے کے لیے")</f>
        <v>پہلوانوں کو مزید چست بنانے کے لیے</v>
      </c>
      <c r="O330" s="2" t="str">
        <f>IFERROR(__xludf.DUMMYFUNCTION("GOOGLETRANSLATE(E330,""en"",""ur"")"),"روایتی لباس اور لڑائی کے دوران گرفت کے لیے")</f>
        <v>روایتی لباس اور لڑائی کے دوران گرفت کے لیے</v>
      </c>
      <c r="P330" s="2" t="str">
        <f>IFERROR(__xludf.DUMMYFUNCTION("GOOGLETRANSLATE(F330,""en"",""ur"")"),"صرف سجاوٹ کے لیے")</f>
        <v>صرف سجاوٹ کے لیے</v>
      </c>
      <c r="Q330" s="6" t="s">
        <v>1209</v>
      </c>
      <c r="R330" s="6" t="str">
        <f>IFERROR(__xludf.DUMMYFUNCTION("""COMPUTED_VALUE"""),"ایک ریسلنگ میچ میں دو آدمی")</f>
        <v>ایک ریسلنگ میچ میں دو آدمی</v>
      </c>
      <c r="S330" s="6" t="s">
        <v>1307</v>
      </c>
      <c r="T330" s="6"/>
      <c r="U330" s="6"/>
      <c r="V330" s="6"/>
      <c r="W330" s="6"/>
      <c r="X330" s="6"/>
      <c r="Y330" s="6"/>
      <c r="Z330" s="6"/>
      <c r="AA330" s="6"/>
      <c r="AB330" s="6"/>
    </row>
    <row r="331">
      <c r="A331" s="7">
        <v>330.0</v>
      </c>
      <c r="B331" s="6" t="s">
        <v>260</v>
      </c>
      <c r="C331" s="6" t="s">
        <v>261</v>
      </c>
      <c r="D331" s="6" t="s">
        <v>262</v>
      </c>
      <c r="E331" s="6" t="s">
        <v>1210</v>
      </c>
      <c r="F331" s="6" t="s">
        <v>264</v>
      </c>
      <c r="G331" s="6" t="s">
        <v>1210</v>
      </c>
      <c r="H331" s="6" t="s">
        <v>1307</v>
      </c>
      <c r="I331" s="6"/>
      <c r="J331" s="6"/>
      <c r="K331" s="2" t="str">
        <f>IFERROR(__xludf.DUMMYFUNCTION("GOOGLETRANSLATE(A331,""en"",""ur"")"),"330")</f>
        <v>330</v>
      </c>
      <c r="L331" s="2" t="str">
        <f>IFERROR(__xludf.DUMMYFUNCTION("GOOGLETRANSLATE(B331,""en"",""ur"")"),"تصویر میں ایکشن ایک ایسا انداز تجویز کرتا ہے جو اس بات پر زور دیتا ہے...")</f>
        <v>تصویر میں ایکشن ایک ایسا انداز تجویز کرتا ہے جو اس بات پر زور دیتا ہے...</v>
      </c>
      <c r="M331" s="2" t="str">
        <f>IFERROR(__xludf.DUMMYFUNCTION("GOOGLETRANSLATE(C331,""en"",""ur"")"),"روانی اور قلابازیاں")</f>
        <v>روانی اور قلابازیاں</v>
      </c>
      <c r="N331" s="2" t="str">
        <f>IFERROR(__xludf.DUMMYFUNCTION("GOOGLETRANSLATE(D331,""en"",""ur"")"),"زمینی لڑائی اور گرفت")</f>
        <v>زمینی لڑائی اور گرفت</v>
      </c>
      <c r="O331" s="2" t="str">
        <f>IFERROR(__xludf.DUMMYFUNCTION("GOOGLETRANSLATE(E331,""en"",""ur"")"),"وحشیانہ طاقت اور ٹیک ڈاؤن")</f>
        <v>وحشیانہ طاقت اور ٹیک ڈاؤن</v>
      </c>
      <c r="P331" s="2" t="str">
        <f>IFERROR(__xludf.DUMMYFUNCTION("GOOGLETRANSLATE(F331,""en"",""ur"")"),"سادہ، لکیری حرکات")</f>
        <v>سادہ، لکیری حرکات</v>
      </c>
      <c r="Q331" s="6" t="s">
        <v>1211</v>
      </c>
      <c r="R331" s="6" t="str">
        <f>IFERROR(__xludf.DUMMYFUNCTION("""COMPUTED_VALUE"""),"ایک ریسلنگ میچ میں دو آدمی")</f>
        <v>ایک ریسلنگ میچ میں دو آدمی</v>
      </c>
      <c r="S331" s="6" t="s">
        <v>1307</v>
      </c>
      <c r="T331" s="6"/>
      <c r="U331" s="6"/>
      <c r="V331" s="6"/>
      <c r="W331" s="6"/>
      <c r="X331" s="6"/>
      <c r="Y331" s="6"/>
      <c r="Z331" s="6"/>
      <c r="AA331" s="6"/>
      <c r="AB331" s="6"/>
    </row>
    <row r="332">
      <c r="A332" s="7">
        <v>331.0</v>
      </c>
      <c r="B332" s="6" t="s">
        <v>1308</v>
      </c>
      <c r="C332" s="6" t="s">
        <v>405</v>
      </c>
      <c r="D332" s="6" t="s">
        <v>406</v>
      </c>
      <c r="E332" s="6" t="s">
        <v>1184</v>
      </c>
      <c r="F332" s="6" t="s">
        <v>1185</v>
      </c>
      <c r="G332" s="6" t="s">
        <v>1184</v>
      </c>
      <c r="H332" s="6" t="s">
        <v>1309</v>
      </c>
      <c r="I332" s="6"/>
      <c r="J332" s="6"/>
      <c r="K332" s="2" t="str">
        <f>IFERROR(__xludf.DUMMYFUNCTION("GOOGLETRANSLATE(A332,""en"",""ur"")"),"331")</f>
        <v>331</v>
      </c>
      <c r="L332" s="2" t="str">
        <f>IFERROR(__xludf.DUMMYFUNCTION("GOOGLETRANSLATE(B332,""en"",""ur"")"),"ملاخرہ_86 میں دکھایا گیا اصل عمل کیا ہے؟")</f>
        <v>ملاخرہ_86 میں دکھایا گیا اصل عمل کیا ہے؟</v>
      </c>
      <c r="M332" s="2" t="str">
        <f>IFERROR(__xludf.DUMMYFUNCTION("GOOGLETRANSLATE(C332,""en"",""ur"")"),"دو آدمی تلواروں سے لڑ رہے ہیں۔")</f>
        <v>دو آدمی تلواروں سے لڑ رہے ہیں۔</v>
      </c>
      <c r="N332" s="2" t="str">
        <f>IFERROR(__xludf.DUMMYFUNCTION("GOOGLETRANSLATE(D332,""en"",""ur"")"),"دو آدمی ناچ رہے ہیں۔")</f>
        <v>دو آدمی ناچ رہے ہیں۔</v>
      </c>
      <c r="O332" s="2" t="str">
        <f>IFERROR(__xludf.DUMMYFUNCTION("GOOGLETRANSLATE(E332,""en"",""ur"")"),"ایک ریسلنگ میچ میں دو آدمی")</f>
        <v>ایک ریسلنگ میچ میں دو آدمی</v>
      </c>
      <c r="P332" s="2" t="str">
        <f>IFERROR(__xludf.DUMMYFUNCTION("GOOGLETRANSLATE(F332,""en"",""ur"")"),"دو آدمی بھاگ رہے ہیں۔")</f>
        <v>دو آدمی بھاگ رہے ہیں۔</v>
      </c>
      <c r="Q332" s="6" t="s">
        <v>1214</v>
      </c>
      <c r="R332" s="6" t="str">
        <f>IFERROR(__xludf.DUMMYFUNCTION("""COMPUTED_VALUE"""),"ایک ریسلنگ میچ میں دو آدمی")</f>
        <v>ایک ریسلنگ میچ میں دو آدمی</v>
      </c>
      <c r="S332" s="6" t="s">
        <v>1309</v>
      </c>
      <c r="T332" s="6"/>
      <c r="U332" s="6"/>
      <c r="V332" s="6"/>
      <c r="W332" s="6"/>
      <c r="X332" s="6"/>
      <c r="Y332" s="6"/>
      <c r="Z332" s="6"/>
      <c r="AA332" s="6"/>
      <c r="AB332" s="6"/>
    </row>
    <row r="333">
      <c r="A333" s="7">
        <v>332.0</v>
      </c>
      <c r="B333" s="6" t="s">
        <v>1215</v>
      </c>
      <c r="C333" s="6" t="s">
        <v>488</v>
      </c>
      <c r="D333" s="6" t="s">
        <v>1216</v>
      </c>
      <c r="E333" s="6" t="s">
        <v>490</v>
      </c>
      <c r="F333" s="6" t="s">
        <v>246</v>
      </c>
      <c r="G333" s="6" t="s">
        <v>1216</v>
      </c>
      <c r="H333" s="6" t="s">
        <v>1309</v>
      </c>
      <c r="I333" s="6"/>
      <c r="J333" s="6"/>
      <c r="K333" s="2" t="str">
        <f>IFERROR(__xludf.DUMMYFUNCTION("GOOGLETRANSLATE(A333,""en"",""ur"")"),"332")</f>
        <v>332</v>
      </c>
      <c r="L333" s="2" t="str">
        <f>IFERROR(__xludf.DUMMYFUNCTION("GOOGLETRANSLATE(B333,""en"",""ur"")"),"پہلوانوں کے لباس کے بارے میں ایک قابل ذکر تفصیل کیا ہے؟")</f>
        <v>پہلوانوں کے لباس کے بارے میں ایک قابل ذکر تفصیل کیا ہے؟</v>
      </c>
      <c r="M333" s="2" t="str">
        <f>IFERROR(__xludf.DUMMYFUNCTION("GOOGLETRANSLATE(C333,""en"",""ur"")"),"انہوں نے بکتر کا پورا سوٹ پہن رکھا ہے۔")</f>
        <v>انہوں نے بکتر کا پورا سوٹ پہن رکھا ہے۔</v>
      </c>
      <c r="N333" s="2" t="str">
        <f>IFERROR(__xludf.DUMMYFUNCTION("GOOGLETRANSLATE(D333,""en"",""ur"")"),"وہ سارونگ یا پیٹرن والا اسکرٹ پہنے ہوئے ہیں۔")</f>
        <v>وہ سارونگ یا پیٹرن والا اسکرٹ پہنے ہوئے ہیں۔</v>
      </c>
      <c r="O333" s="2" t="str">
        <f>IFERROR(__xludf.DUMMYFUNCTION("GOOGLETRANSLATE(E333,""en"",""ur"")"),"انہوں نے شارٹس اور ٹی شرٹ پہن رکھی ہیں۔")</f>
        <v>انہوں نے شارٹس اور ٹی شرٹ پہن رکھی ہیں۔</v>
      </c>
      <c r="P333" s="2" t="str">
        <f>IFERROR(__xludf.DUMMYFUNCTION("GOOGLETRANSLATE(F333,""en"",""ur"")"),"انہوں نے کوئی لباس نہیں پہنا ہوا ہے۔")</f>
        <v>انہوں نے کوئی لباس نہیں پہنا ہوا ہے۔</v>
      </c>
      <c r="Q333" s="6" t="s">
        <v>1217</v>
      </c>
      <c r="R333" s="6" t="str">
        <f>IFERROR(__xludf.DUMMYFUNCTION("""COMPUTED_VALUE"""),"ایک ریسلنگ میچ میں دو آدمی")</f>
        <v>ایک ریسلنگ میچ میں دو آدمی</v>
      </c>
      <c r="S333" s="6" t="s">
        <v>1309</v>
      </c>
      <c r="T333" s="6"/>
      <c r="U333" s="6"/>
      <c r="V333" s="6"/>
      <c r="W333" s="6"/>
      <c r="X333" s="6"/>
      <c r="Y333" s="6"/>
      <c r="Z333" s="6"/>
      <c r="AA333" s="6"/>
      <c r="AB333" s="6"/>
    </row>
    <row r="334">
      <c r="A334" s="7">
        <v>333.0</v>
      </c>
      <c r="B334" s="6" t="s">
        <v>1193</v>
      </c>
      <c r="C334" s="6" t="s">
        <v>1194</v>
      </c>
      <c r="D334" s="6" t="s">
        <v>1195</v>
      </c>
      <c r="E334" s="6" t="s">
        <v>1196</v>
      </c>
      <c r="F334" s="6" t="s">
        <v>1197</v>
      </c>
      <c r="G334" s="6" t="s">
        <v>1196</v>
      </c>
      <c r="H334" s="6" t="s">
        <v>1309</v>
      </c>
      <c r="I334" s="6"/>
      <c r="J334" s="6"/>
      <c r="K334" s="2" t="str">
        <f>IFERROR(__xludf.DUMMYFUNCTION("GOOGLETRANSLATE(A334,""en"",""ur"")"),"333")</f>
        <v>333</v>
      </c>
      <c r="L334" s="2" t="str">
        <f>IFERROR(__xludf.DUMMYFUNCTION("GOOGLETRANSLATE(B334,""en"",""ur"")"),"کشتی کا ظاہری مقصد کیا ہے؟")</f>
        <v>کشتی کا ظاہری مقصد کیا ہے؟</v>
      </c>
      <c r="M334" s="2" t="str">
        <f>IFERROR(__xludf.DUMMYFUNCTION("GOOGLETRANSLATE(C334,""en"",""ur"")"),"ایک رسمی رقص")</f>
        <v>ایک رسمی رقص</v>
      </c>
      <c r="N334" s="2" t="str">
        <f>IFERROR(__xludf.DUMMYFUNCTION("GOOGLETRANSLATE(D334,""en"",""ur"")"),"ایک دوستانہ مظاہرہ")</f>
        <v>ایک دوستانہ مظاہرہ</v>
      </c>
      <c r="O334" s="2" t="str">
        <f>IFERROR(__xludf.DUMMYFUNCTION("GOOGLETRANSLATE(E334,""en"",""ur"")"),"ٹیک ڈاؤن کے ساتھ ایک مسابقتی میچ")</f>
        <v>ٹیک ڈاؤن کے ساتھ ایک مسابقتی میچ</v>
      </c>
      <c r="P334" s="2" t="str">
        <f>IFERROR(__xludf.DUMMYFUNCTION("GOOGLETRANSLATE(F334,""en"",""ur"")"),"ایک پریکٹس سیشن")</f>
        <v>ایک پریکٹس سیشن</v>
      </c>
      <c r="Q334" s="6" t="s">
        <v>1198</v>
      </c>
      <c r="R334" s="6" t="str">
        <f>IFERROR(__xludf.DUMMYFUNCTION("""COMPUTED_VALUE"""),"ایک ریسلنگ میچ میں دو آدمی")</f>
        <v>ایک ریسلنگ میچ میں دو آدمی</v>
      </c>
      <c r="S334" s="6" t="s">
        <v>1309</v>
      </c>
      <c r="T334" s="6"/>
      <c r="U334" s="6"/>
      <c r="V334" s="6"/>
      <c r="W334" s="6"/>
      <c r="X334" s="6"/>
      <c r="Y334" s="6"/>
      <c r="Z334" s="6"/>
      <c r="AA334" s="6"/>
      <c r="AB334" s="6"/>
    </row>
    <row r="335">
      <c r="A335" s="7">
        <v>334.0</v>
      </c>
      <c r="B335" s="6" t="s">
        <v>991</v>
      </c>
      <c r="C335" s="6" t="s">
        <v>422</v>
      </c>
      <c r="D335" s="6" t="s">
        <v>1199</v>
      </c>
      <c r="E335" s="6" t="s">
        <v>424</v>
      </c>
      <c r="F335" s="6" t="s">
        <v>425</v>
      </c>
      <c r="G335" s="6" t="s">
        <v>1199</v>
      </c>
      <c r="H335" s="6" t="s">
        <v>1309</v>
      </c>
      <c r="I335" s="6"/>
      <c r="J335" s="6"/>
      <c r="K335" s="2" t="str">
        <f>IFERROR(__xludf.DUMMYFUNCTION("GOOGLETRANSLATE(A335,""en"",""ur"")"),"334")</f>
        <v>334</v>
      </c>
      <c r="L335" s="2" t="str">
        <f>IFERROR(__xludf.DUMMYFUNCTION("GOOGLETRANSLATE(B335,""en"",""ur"")"),"واقعہ کی ظاہری ترتیب کیا ہے؟")</f>
        <v>واقعہ کی ظاہری ترتیب کیا ہے؟</v>
      </c>
      <c r="M335" s="2" t="str">
        <f>IFERROR(__xludf.DUMMYFUNCTION("GOOGLETRANSLATE(C335,""en"",""ur"")"),"ایک انڈور اسٹیڈیم")</f>
        <v>ایک انڈور اسٹیڈیم</v>
      </c>
      <c r="N335" s="2" t="str">
        <f>IFERROR(__xludf.DUMMYFUNCTION("GOOGLETRANSLATE(D335,""en"",""ur"")"),"ایک دیہی، بیرونی گندگی کا ایک بڑا ہجوم")</f>
        <v>ایک دیہی، بیرونی گندگی کا ایک بڑا ہجوم</v>
      </c>
      <c r="O335" s="2" t="str">
        <f>IFERROR(__xludf.DUMMYFUNCTION("GOOGLETRANSLATE(E335,""en"",""ur"")"),"شہر کی مصروف گلی")</f>
        <v>شہر کی مصروف گلی</v>
      </c>
      <c r="P335" s="2" t="str">
        <f>IFERROR(__xludf.DUMMYFUNCTION("GOOGLETRANSLATE(F335,""en"",""ur"")"),"گھاس کا میدان")</f>
        <v>گھاس کا میدان</v>
      </c>
      <c r="Q335" s="6" t="s">
        <v>1200</v>
      </c>
      <c r="R335" s="6" t="str">
        <f>IFERROR(__xludf.DUMMYFUNCTION("""COMPUTED_VALUE"""),"ایک ریسلنگ میچ میں دو آدمی")</f>
        <v>ایک ریسلنگ میچ میں دو آدمی</v>
      </c>
      <c r="S335" s="6" t="s">
        <v>1309</v>
      </c>
      <c r="T335" s="6"/>
      <c r="U335" s="6"/>
      <c r="V335" s="6"/>
      <c r="W335" s="6"/>
      <c r="X335" s="6"/>
      <c r="Y335" s="6"/>
      <c r="Z335" s="6"/>
      <c r="AA335" s="6"/>
      <c r="AB335" s="6"/>
    </row>
    <row r="336">
      <c r="A336" s="7">
        <v>335.0</v>
      </c>
      <c r="B336" s="6" t="s">
        <v>1201</v>
      </c>
      <c r="C336" s="6" t="s">
        <v>47</v>
      </c>
      <c r="D336" s="6" t="s">
        <v>48</v>
      </c>
      <c r="E336" s="6" t="s">
        <v>49</v>
      </c>
      <c r="F336" s="6" t="s">
        <v>50</v>
      </c>
      <c r="G336" s="6" t="s">
        <v>49</v>
      </c>
      <c r="H336" s="6" t="s">
        <v>1309</v>
      </c>
      <c r="I336" s="6"/>
      <c r="J336" s="6"/>
      <c r="K336" s="2" t="str">
        <f>IFERROR(__xludf.DUMMYFUNCTION("GOOGLETRANSLATE(A336,""en"",""ur"")"),"335")</f>
        <v>335</v>
      </c>
      <c r="L336" s="2" t="str">
        <f>IFERROR(__xludf.DUMMYFUNCTION("GOOGLETRANSLATE(B336,""en"",""ur"")"),"پہلوانوں کے ظاہری جذبات کیا ہیں؟")</f>
        <v>پہلوانوں کے ظاہری جذبات کیا ہیں؟</v>
      </c>
      <c r="M336" s="2" t="str">
        <f>IFERROR(__xludf.DUMMYFUNCTION("GOOGLETRANSLATE(C336,""en"",""ur"")"),"پرسکون اور پر سکون")</f>
        <v>پرسکون اور پر سکون</v>
      </c>
      <c r="N336" s="2" t="str">
        <f>IFERROR(__xludf.DUMMYFUNCTION("GOOGLETRANSLATE(D336,""en"",""ur"")"),"خوف زدہ اور بے چین")</f>
        <v>خوف زدہ اور بے چین</v>
      </c>
      <c r="O336" s="2" t="str">
        <f>IFERROR(__xludf.DUMMYFUNCTION("GOOGLETRANSLATE(E336,""en"",""ur"")"),"کشیدہ اور شدید")</f>
        <v>کشیدہ اور شدید</v>
      </c>
      <c r="P336" s="2" t="str">
        <f>IFERROR(__xludf.DUMMYFUNCTION("GOOGLETRANSLATE(F336,""en"",""ur"")"),"خوش اور مسکراتے ہوئے۔")</f>
        <v>خوش اور مسکراتے ہوئے۔</v>
      </c>
      <c r="Q336" s="6" t="s">
        <v>51</v>
      </c>
      <c r="R336" s="6" t="str">
        <f>IFERROR(__xludf.DUMMYFUNCTION("""COMPUTED_VALUE"""),"ایک ریسلنگ میچ میں دو آدمی")</f>
        <v>ایک ریسلنگ میچ میں دو آدمی</v>
      </c>
      <c r="S336" s="6" t="s">
        <v>1309</v>
      </c>
      <c r="T336" s="6"/>
      <c r="U336" s="6"/>
      <c r="V336" s="6"/>
      <c r="W336" s="6"/>
      <c r="X336" s="6"/>
      <c r="Y336" s="6"/>
      <c r="Z336" s="6"/>
      <c r="AA336" s="6"/>
      <c r="AB336" s="6"/>
    </row>
    <row r="337">
      <c r="A337" s="7">
        <v>336.0</v>
      </c>
      <c r="B337" s="6" t="s">
        <v>1218</v>
      </c>
      <c r="C337" s="6" t="s">
        <v>429</v>
      </c>
      <c r="D337" s="6" t="s">
        <v>430</v>
      </c>
      <c r="E337" s="6" t="s">
        <v>431</v>
      </c>
      <c r="F337" s="6" t="s">
        <v>432</v>
      </c>
      <c r="G337" s="6" t="s">
        <v>430</v>
      </c>
      <c r="H337" s="6" t="s">
        <v>1309</v>
      </c>
      <c r="I337" s="6"/>
      <c r="J337" s="6"/>
      <c r="K337" s="2" t="str">
        <f>IFERROR(__xludf.DUMMYFUNCTION("GOOGLETRANSLATE(A337,""en"",""ur"")"),"336")</f>
        <v>336</v>
      </c>
      <c r="L337" s="2" t="str">
        <f>IFERROR(__xludf.DUMMYFUNCTION("GOOGLETRANSLATE(B337,""en"",""ur"")"),"پہلوانوں کی ظاہری جسمانی پوزیشن کیا ہے؟")</f>
        <v>پہلوانوں کی ظاہری جسمانی پوزیشن کیا ہے؟</v>
      </c>
      <c r="M337" s="2" t="str">
        <f>IFERROR(__xludf.DUMMYFUNCTION("GOOGLETRANSLATE(C337,""en"",""ur"")"),"سیدھا کھڑا ہونا")</f>
        <v>سیدھا کھڑا ہونا</v>
      </c>
      <c r="N337" s="2" t="str">
        <f>IFERROR(__xludf.DUMMYFUNCTION("GOOGLETRANSLATE(D337,""en"",""ur"")"),"کم، متحرک موقف میں")</f>
        <v>کم، متحرک موقف میں</v>
      </c>
      <c r="O337" s="2" t="str">
        <f>IFERROR(__xludf.DUMMYFUNCTION("GOOGLETRANSLATE(E337,""en"",""ur"")"),"زمین پر لیٹنا")</f>
        <v>زمین پر لیٹنا</v>
      </c>
      <c r="P337" s="2" t="str">
        <f>IFERROR(__xludf.DUMMYFUNCTION("GOOGLETRANSLATE(F337,""en"",""ur"")"),"بیٹھا ہوا")</f>
        <v>بیٹھا ہوا</v>
      </c>
      <c r="Q337" s="6" t="s">
        <v>433</v>
      </c>
      <c r="R337" s="6" t="str">
        <f>IFERROR(__xludf.DUMMYFUNCTION("""COMPUTED_VALUE"""),"ایک ریسلنگ میچ میں دو آدمی")</f>
        <v>ایک ریسلنگ میچ میں دو آدمی</v>
      </c>
      <c r="S337" s="6" t="s">
        <v>1309</v>
      </c>
      <c r="T337" s="6"/>
      <c r="U337" s="6"/>
      <c r="V337" s="6"/>
      <c r="W337" s="6"/>
      <c r="X337" s="6"/>
      <c r="Y337" s="6"/>
      <c r="Z337" s="6"/>
      <c r="AA337" s="6"/>
      <c r="AB337" s="6"/>
    </row>
    <row r="338">
      <c r="A338" s="7">
        <v>337.0</v>
      </c>
      <c r="B338" s="6" t="s">
        <v>434</v>
      </c>
      <c r="C338" s="6" t="s">
        <v>435</v>
      </c>
      <c r="D338" s="6" t="s">
        <v>436</v>
      </c>
      <c r="E338" s="6" t="s">
        <v>1203</v>
      </c>
      <c r="F338" s="6" t="s">
        <v>438</v>
      </c>
      <c r="G338" s="6" t="s">
        <v>1203</v>
      </c>
      <c r="H338" s="6" t="s">
        <v>1309</v>
      </c>
      <c r="I338" s="6"/>
      <c r="J338" s="6"/>
      <c r="K338" s="2" t="str">
        <f>IFERROR(__xludf.DUMMYFUNCTION("GOOGLETRANSLATE(A338,""en"",""ur"")"),"337")</f>
        <v>337</v>
      </c>
      <c r="L338" s="2" t="str">
        <f>IFERROR(__xludf.DUMMYFUNCTION("GOOGLETRANSLATE(B338,""en"",""ur"")"),"پس منظر میں ہجوم کی سب سے نمایاں خصوصیت کیا ہے؟")</f>
        <v>پس منظر میں ہجوم کی سب سے نمایاں خصوصیت کیا ہے؟</v>
      </c>
      <c r="M338" s="2" t="str">
        <f>IFERROR(__xludf.DUMMYFUNCTION("GOOGLETRANSLATE(C338,""en"",""ur"")"),"وہ بھاگ رہے ہیں۔")</f>
        <v>وہ بھاگ رہے ہیں۔</v>
      </c>
      <c r="N338" s="2" t="str">
        <f>IFERROR(__xludf.DUMMYFUNCTION("GOOGLETRANSLATE(D338,""en"",""ur"")"),"وہ خاموش بیٹھے ہیں۔")</f>
        <v>وہ خاموش بیٹھے ہیں۔</v>
      </c>
      <c r="O338" s="2" t="str">
        <f>IFERROR(__xludf.DUMMYFUNCTION("GOOGLETRANSLATE(E338,""en"",""ur"")"),"وہ باڑ کے پیچھے سے میچ دیکھ رہے ہیں۔")</f>
        <v>وہ باڑ کے پیچھے سے میچ دیکھ رہے ہیں۔</v>
      </c>
      <c r="P338" s="2" t="str">
        <f>IFERROR(__xludf.DUMMYFUNCTION("GOOGLETRANSLATE(F338,""en"",""ur"")"),"وہ سب ایک اسٹیج پر کھڑے ہیں۔")</f>
        <v>وہ سب ایک اسٹیج پر کھڑے ہیں۔</v>
      </c>
      <c r="Q338" s="6" t="s">
        <v>1204</v>
      </c>
      <c r="R338" s="6" t="str">
        <f>IFERROR(__xludf.DUMMYFUNCTION("""COMPUTED_VALUE"""),"ایک ریسلنگ میچ میں دو آدمی")</f>
        <v>ایک ریسلنگ میچ میں دو آدمی</v>
      </c>
      <c r="S338" s="6" t="s">
        <v>1309</v>
      </c>
      <c r="T338" s="6"/>
      <c r="U338" s="6"/>
      <c r="V338" s="6"/>
      <c r="W338" s="6"/>
      <c r="X338" s="6"/>
      <c r="Y338" s="6"/>
      <c r="Z338" s="6"/>
      <c r="AA338" s="6"/>
      <c r="AB338" s="6"/>
    </row>
    <row r="339">
      <c r="A339" s="7">
        <v>338.0</v>
      </c>
      <c r="B339" s="6" t="s">
        <v>440</v>
      </c>
      <c r="C339" s="6" t="s">
        <v>441</v>
      </c>
      <c r="D339" s="6" t="s">
        <v>442</v>
      </c>
      <c r="E339" s="6" t="s">
        <v>512</v>
      </c>
      <c r="F339" s="6" t="s">
        <v>444</v>
      </c>
      <c r="G339" s="6" t="s">
        <v>512</v>
      </c>
      <c r="H339" s="6" t="s">
        <v>1309</v>
      </c>
      <c r="I339" s="6"/>
      <c r="J339" s="6"/>
      <c r="K339" s="2" t="str">
        <f>IFERROR(__xludf.DUMMYFUNCTION("GOOGLETRANSLATE(A339,""en"",""ur"")"),"338")</f>
        <v>338</v>
      </c>
      <c r="L339" s="2" t="str">
        <f>IFERROR(__xludf.DUMMYFUNCTION("GOOGLETRANSLATE(B339,""en"",""ur"")"),"زمین کی ظاہری حالت کیا ہے؟")</f>
        <v>زمین کی ظاہری حالت کیا ہے؟</v>
      </c>
      <c r="M339" s="2" t="str">
        <f>IFERROR(__xludf.DUMMYFUNCTION("GOOGLETRANSLATE(C339,""en"",""ur"")"),"یہ ایک پکی سطح ہے۔")</f>
        <v>یہ ایک پکی سطح ہے۔</v>
      </c>
      <c r="N339" s="2" t="str">
        <f>IFERROR(__xludf.DUMMYFUNCTION("GOOGLETRANSLATE(D339,""en"",""ur"")"),"یہ ایک کیچڑ والا میدان ہے۔")</f>
        <v>یہ ایک کیچڑ والا میدان ہے۔</v>
      </c>
      <c r="O339" s="2" t="str">
        <f>IFERROR(__xludf.DUMMYFUNCTION("GOOGLETRANSLATE(E339,""en"",""ur"")"),"یہ ایک ریتلی یا گندگی کی سطح ہے۔")</f>
        <v>یہ ایک ریتلی یا گندگی کی سطح ہے۔</v>
      </c>
      <c r="P339" s="2" t="str">
        <f>IFERROR(__xludf.DUMMYFUNCTION("GOOGLETRANSLATE(F339,""en"",""ur"")"),"یہ ایک گھاس والی سطح ہے۔")</f>
        <v>یہ ایک گھاس والی سطح ہے۔</v>
      </c>
      <c r="Q339" s="6" t="s">
        <v>1219</v>
      </c>
      <c r="R339" s="6" t="str">
        <f>IFERROR(__xludf.DUMMYFUNCTION("""COMPUTED_VALUE"""),"ایک ریسلنگ میچ میں دو آدمی")</f>
        <v>ایک ریسلنگ میچ میں دو آدمی</v>
      </c>
      <c r="S339" s="6" t="s">
        <v>1309</v>
      </c>
      <c r="T339" s="6"/>
      <c r="U339" s="6"/>
      <c r="V339" s="6"/>
      <c r="W339" s="6"/>
      <c r="X339" s="6"/>
      <c r="Y339" s="6"/>
      <c r="Z339" s="6"/>
      <c r="AA339" s="6"/>
      <c r="AB339" s="6"/>
    </row>
    <row r="340">
      <c r="A340" s="7">
        <v>339.0</v>
      </c>
      <c r="B340" s="6" t="s">
        <v>1205</v>
      </c>
      <c r="C340" s="6" t="s">
        <v>1206</v>
      </c>
      <c r="D340" s="6" t="s">
        <v>1207</v>
      </c>
      <c r="E340" s="6" t="s">
        <v>1208</v>
      </c>
      <c r="F340" s="6" t="s">
        <v>449</v>
      </c>
      <c r="G340" s="6" t="s">
        <v>1208</v>
      </c>
      <c r="H340" s="6" t="s">
        <v>1309</v>
      </c>
      <c r="I340" s="6"/>
      <c r="J340" s="6"/>
      <c r="K340" s="2" t="str">
        <f>IFERROR(__xludf.DUMMYFUNCTION("GOOGLETRANSLATE(A340,""en"",""ur"")"),"339")</f>
        <v>339</v>
      </c>
      <c r="L340" s="2" t="str">
        <f>IFERROR(__xludf.DUMMYFUNCTION("GOOGLETRANSLATE(B340,""en"",""ur"")"),"لمبی اسکرٹس کا بنیادی مقصد کیا ہے؟")</f>
        <v>لمبی اسکرٹس کا بنیادی مقصد کیا ہے؟</v>
      </c>
      <c r="M340" s="2" t="str">
        <f>IFERROR(__xludf.DUMMYFUNCTION("GOOGLETRANSLATE(C340,""en"",""ur"")"),"پہلوانوں کی ٹانگوں کی حفاظت کے لیے")</f>
        <v>پہلوانوں کی ٹانگوں کی حفاظت کے لیے</v>
      </c>
      <c r="N340" s="2" t="str">
        <f>IFERROR(__xludf.DUMMYFUNCTION("GOOGLETRANSLATE(D340,""en"",""ur"")"),"پہلوانوں کو مزید چست بنانے کے لیے")</f>
        <v>پہلوانوں کو مزید چست بنانے کے لیے</v>
      </c>
      <c r="O340" s="2" t="str">
        <f>IFERROR(__xludf.DUMMYFUNCTION("GOOGLETRANSLATE(E340,""en"",""ur"")"),"روایتی لباس اور لڑائی کے دوران گرفت کے لیے")</f>
        <v>روایتی لباس اور لڑائی کے دوران گرفت کے لیے</v>
      </c>
      <c r="P340" s="2" t="str">
        <f>IFERROR(__xludf.DUMMYFUNCTION("GOOGLETRANSLATE(F340,""en"",""ur"")"),"صرف سجاوٹ کے لیے")</f>
        <v>صرف سجاوٹ کے لیے</v>
      </c>
      <c r="Q340" s="6" t="s">
        <v>1209</v>
      </c>
      <c r="R340" s="6" t="str">
        <f>IFERROR(__xludf.DUMMYFUNCTION("""COMPUTED_VALUE"""),"ایک ریسلنگ میچ میں دو آدمی")</f>
        <v>ایک ریسلنگ میچ میں دو آدمی</v>
      </c>
      <c r="S340" s="6" t="s">
        <v>1309</v>
      </c>
      <c r="T340" s="6"/>
      <c r="U340" s="6"/>
      <c r="V340" s="6"/>
      <c r="W340" s="6"/>
      <c r="X340" s="6"/>
      <c r="Y340" s="6"/>
      <c r="Z340" s="6"/>
      <c r="AA340" s="6"/>
      <c r="AB340" s="6"/>
    </row>
    <row r="341">
      <c r="A341" s="7">
        <v>340.0</v>
      </c>
      <c r="B341" s="6" t="s">
        <v>260</v>
      </c>
      <c r="C341" s="6" t="s">
        <v>261</v>
      </c>
      <c r="D341" s="6" t="s">
        <v>262</v>
      </c>
      <c r="E341" s="6" t="s">
        <v>1210</v>
      </c>
      <c r="F341" s="6" t="s">
        <v>264</v>
      </c>
      <c r="G341" s="6" t="s">
        <v>1210</v>
      </c>
      <c r="H341" s="6" t="s">
        <v>1309</v>
      </c>
      <c r="I341" s="6"/>
      <c r="J341" s="6"/>
      <c r="K341" s="2" t="str">
        <f>IFERROR(__xludf.DUMMYFUNCTION("GOOGLETRANSLATE(A341,""en"",""ur"")"),"340")</f>
        <v>340</v>
      </c>
      <c r="L341" s="2" t="str">
        <f>IFERROR(__xludf.DUMMYFUNCTION("GOOGLETRANSLATE(B341,""en"",""ur"")"),"تصویر میں ایکشن ایک ایسا انداز تجویز کرتا ہے جو اس بات پر زور دیتا ہے...")</f>
        <v>تصویر میں ایکشن ایک ایسا انداز تجویز کرتا ہے جو اس بات پر زور دیتا ہے...</v>
      </c>
      <c r="M341" s="2" t="str">
        <f>IFERROR(__xludf.DUMMYFUNCTION("GOOGLETRANSLATE(C341,""en"",""ur"")"),"روانی اور قلابازیاں")</f>
        <v>روانی اور قلابازیاں</v>
      </c>
      <c r="N341" s="2" t="str">
        <f>IFERROR(__xludf.DUMMYFUNCTION("GOOGLETRANSLATE(D341,""en"",""ur"")"),"زمینی لڑائی اور گرفت")</f>
        <v>زمینی لڑائی اور گرفت</v>
      </c>
      <c r="O341" s="2" t="str">
        <f>IFERROR(__xludf.DUMMYFUNCTION("GOOGLETRANSLATE(E341,""en"",""ur"")"),"وحشیانہ طاقت اور ٹیک ڈاؤن")</f>
        <v>وحشیانہ طاقت اور ٹیک ڈاؤن</v>
      </c>
      <c r="P341" s="2" t="str">
        <f>IFERROR(__xludf.DUMMYFUNCTION("GOOGLETRANSLATE(F341,""en"",""ur"")"),"سادہ، لکیری حرکات")</f>
        <v>سادہ، لکیری حرکات</v>
      </c>
      <c r="Q341" s="6" t="s">
        <v>1211</v>
      </c>
      <c r="R341" s="6" t="str">
        <f>IFERROR(__xludf.DUMMYFUNCTION("""COMPUTED_VALUE"""),"ایک ریسلنگ میچ میں دو آدمی")</f>
        <v>ایک ریسلنگ میچ میں دو آدمی</v>
      </c>
      <c r="S341" s="6" t="s">
        <v>1309</v>
      </c>
      <c r="T341" s="6"/>
      <c r="U341" s="6"/>
      <c r="V341" s="6"/>
      <c r="W341" s="6"/>
      <c r="X341" s="6"/>
      <c r="Y341" s="6"/>
      <c r="Z341" s="6"/>
      <c r="AA341" s="6"/>
      <c r="AB341" s="6"/>
    </row>
    <row r="342">
      <c r="A342" s="7">
        <v>341.0</v>
      </c>
      <c r="B342" s="6" t="s">
        <v>1310</v>
      </c>
      <c r="C342" s="6" t="s">
        <v>405</v>
      </c>
      <c r="D342" s="6" t="s">
        <v>406</v>
      </c>
      <c r="E342" s="6" t="s">
        <v>1184</v>
      </c>
      <c r="F342" s="6" t="s">
        <v>1185</v>
      </c>
      <c r="G342" s="6" t="s">
        <v>1184</v>
      </c>
      <c r="H342" s="6" t="s">
        <v>1311</v>
      </c>
      <c r="I342" s="6"/>
      <c r="J342" s="6"/>
      <c r="K342" s="2" t="str">
        <f>IFERROR(__xludf.DUMMYFUNCTION("GOOGLETRANSLATE(A342,""en"",""ur"")"),"341")</f>
        <v>341</v>
      </c>
      <c r="L342" s="2" t="str">
        <f>IFERROR(__xludf.DUMMYFUNCTION("GOOGLETRANSLATE(B342,""en"",""ur"")"),"ملاخرہ_100 میں دکھایا گیا اہم عمل کیا ہے؟")</f>
        <v>ملاخرہ_100 میں دکھایا گیا اہم عمل کیا ہے؟</v>
      </c>
      <c r="M342" s="2" t="str">
        <f>IFERROR(__xludf.DUMMYFUNCTION("GOOGLETRANSLATE(C342,""en"",""ur"")"),"دو آدمی تلواروں سے لڑ رہے ہیں۔")</f>
        <v>دو آدمی تلواروں سے لڑ رہے ہیں۔</v>
      </c>
      <c r="N342" s="2" t="str">
        <f>IFERROR(__xludf.DUMMYFUNCTION("GOOGLETRANSLATE(D342,""en"",""ur"")"),"دو آدمی ناچ رہے ہیں۔")</f>
        <v>دو آدمی ناچ رہے ہیں۔</v>
      </c>
      <c r="O342" s="2" t="str">
        <f>IFERROR(__xludf.DUMMYFUNCTION("GOOGLETRANSLATE(E342,""en"",""ur"")"),"ایک ریسلنگ میچ میں دو آدمی")</f>
        <v>ایک ریسلنگ میچ میں دو آدمی</v>
      </c>
      <c r="P342" s="2" t="str">
        <f>IFERROR(__xludf.DUMMYFUNCTION("GOOGLETRANSLATE(F342,""en"",""ur"")"),"دو آدمی بھاگ رہے ہیں۔")</f>
        <v>دو آدمی بھاگ رہے ہیں۔</v>
      </c>
      <c r="Q342" s="6" t="s">
        <v>1214</v>
      </c>
      <c r="R342" s="6" t="str">
        <f>IFERROR(__xludf.DUMMYFUNCTION("""COMPUTED_VALUE"""),"ایک ریسلنگ میچ میں دو آدمی")</f>
        <v>ایک ریسلنگ میچ میں دو آدمی</v>
      </c>
      <c r="S342" s="6" t="s">
        <v>1311</v>
      </c>
      <c r="T342" s="6"/>
      <c r="U342" s="6"/>
      <c r="V342" s="6"/>
      <c r="W342" s="6"/>
      <c r="X342" s="6"/>
      <c r="Y342" s="6"/>
      <c r="Z342" s="6"/>
      <c r="AA342" s="6"/>
      <c r="AB342" s="6"/>
    </row>
    <row r="343">
      <c r="A343" s="7">
        <v>342.0</v>
      </c>
      <c r="B343" s="6" t="s">
        <v>1215</v>
      </c>
      <c r="C343" s="6" t="s">
        <v>488</v>
      </c>
      <c r="D343" s="6" t="s">
        <v>1216</v>
      </c>
      <c r="E343" s="6" t="s">
        <v>490</v>
      </c>
      <c r="F343" s="6" t="s">
        <v>246</v>
      </c>
      <c r="G343" s="6" t="s">
        <v>490</v>
      </c>
      <c r="H343" s="6" t="s">
        <v>1311</v>
      </c>
      <c r="I343" s="6"/>
      <c r="J343" s="6"/>
      <c r="K343" s="2" t="str">
        <f>IFERROR(__xludf.DUMMYFUNCTION("GOOGLETRANSLATE(A343,""en"",""ur"")"),"342")</f>
        <v>342</v>
      </c>
      <c r="L343" s="2" t="str">
        <f>IFERROR(__xludf.DUMMYFUNCTION("GOOGLETRANSLATE(B343,""en"",""ur"")"),"پہلوانوں کے لباس کے بارے میں ایک قابل ذکر تفصیل کیا ہے؟")</f>
        <v>پہلوانوں کے لباس کے بارے میں ایک قابل ذکر تفصیل کیا ہے؟</v>
      </c>
      <c r="M343" s="2" t="str">
        <f>IFERROR(__xludf.DUMMYFUNCTION("GOOGLETRANSLATE(C343,""en"",""ur"")"),"انہوں نے بکتر کا پورا سوٹ پہن رکھا ہے۔")</f>
        <v>انہوں نے بکتر کا پورا سوٹ پہن رکھا ہے۔</v>
      </c>
      <c r="N343" s="2" t="str">
        <f>IFERROR(__xludf.DUMMYFUNCTION("GOOGLETRANSLATE(D343,""en"",""ur"")"),"وہ سارونگ یا پیٹرن والا اسکرٹ پہنے ہوئے ہیں۔")</f>
        <v>وہ سارونگ یا پیٹرن والا اسکرٹ پہنے ہوئے ہیں۔</v>
      </c>
      <c r="O343" s="2" t="str">
        <f>IFERROR(__xludf.DUMMYFUNCTION("GOOGLETRANSLATE(E343,""en"",""ur"")"),"انہوں نے شارٹس اور ٹی شرٹ پہن رکھی ہیں۔")</f>
        <v>انہوں نے شارٹس اور ٹی شرٹ پہن رکھی ہیں۔</v>
      </c>
      <c r="P343" s="2" t="str">
        <f>IFERROR(__xludf.DUMMYFUNCTION("GOOGLETRANSLATE(F343,""en"",""ur"")"),"انہوں نے کوئی لباس نہیں پہنا ہوا ہے۔")</f>
        <v>انہوں نے کوئی لباس نہیں پہنا ہوا ہے۔</v>
      </c>
      <c r="Q343" s="6" t="s">
        <v>1217</v>
      </c>
      <c r="R343" s="6" t="str">
        <f>IFERROR(__xludf.DUMMYFUNCTION("""COMPUTED_VALUE"""),"ایک ریسلنگ میچ میں دو آدمی")</f>
        <v>ایک ریسلنگ میچ میں دو آدمی</v>
      </c>
      <c r="S343" s="6" t="s">
        <v>1311</v>
      </c>
      <c r="T343" s="6"/>
      <c r="U343" s="6"/>
      <c r="V343" s="6"/>
      <c r="W343" s="6"/>
      <c r="X343" s="6"/>
      <c r="Y343" s="6"/>
      <c r="Z343" s="6"/>
      <c r="AA343" s="6"/>
      <c r="AB343" s="6"/>
    </row>
    <row r="344">
      <c r="A344" s="7">
        <v>343.0</v>
      </c>
      <c r="B344" s="6" t="s">
        <v>1193</v>
      </c>
      <c r="C344" s="6" t="s">
        <v>1194</v>
      </c>
      <c r="D344" s="6" t="s">
        <v>1195</v>
      </c>
      <c r="E344" s="6" t="s">
        <v>1196</v>
      </c>
      <c r="F344" s="6" t="s">
        <v>1197</v>
      </c>
      <c r="G344" s="6" t="s">
        <v>1196</v>
      </c>
      <c r="H344" s="6" t="s">
        <v>1311</v>
      </c>
      <c r="I344" s="6"/>
      <c r="J344" s="6"/>
      <c r="K344" s="2" t="str">
        <f>IFERROR(__xludf.DUMMYFUNCTION("GOOGLETRANSLATE(A344,""en"",""ur"")"),"343")</f>
        <v>343</v>
      </c>
      <c r="L344" s="2" t="str">
        <f>IFERROR(__xludf.DUMMYFUNCTION("GOOGLETRANSLATE(B344,""en"",""ur"")"),"کشتی کا ظاہری مقصد کیا ہے؟")</f>
        <v>کشتی کا ظاہری مقصد کیا ہے؟</v>
      </c>
      <c r="M344" s="2" t="str">
        <f>IFERROR(__xludf.DUMMYFUNCTION("GOOGLETRANSLATE(C344,""en"",""ur"")"),"ایک رسمی رقص")</f>
        <v>ایک رسمی رقص</v>
      </c>
      <c r="N344" s="2" t="str">
        <f>IFERROR(__xludf.DUMMYFUNCTION("GOOGLETRANSLATE(D344,""en"",""ur"")"),"ایک دوستانہ مظاہرہ")</f>
        <v>ایک دوستانہ مظاہرہ</v>
      </c>
      <c r="O344" s="2" t="str">
        <f>IFERROR(__xludf.DUMMYFUNCTION("GOOGLETRANSLATE(E344,""en"",""ur"")"),"ٹیک ڈاؤن کے ساتھ ایک مسابقتی میچ")</f>
        <v>ٹیک ڈاؤن کے ساتھ ایک مسابقتی میچ</v>
      </c>
      <c r="P344" s="2" t="str">
        <f>IFERROR(__xludf.DUMMYFUNCTION("GOOGLETRANSLATE(F344,""en"",""ur"")"),"ایک پریکٹس سیشن")</f>
        <v>ایک پریکٹس سیشن</v>
      </c>
      <c r="Q344" s="6" t="s">
        <v>1198</v>
      </c>
      <c r="R344" s="6" t="str">
        <f>IFERROR(__xludf.DUMMYFUNCTION("""COMPUTED_VALUE"""),"ایک ریسلنگ میچ میں دو آدمی")</f>
        <v>ایک ریسلنگ میچ میں دو آدمی</v>
      </c>
      <c r="S344" s="6" t="s">
        <v>1311</v>
      </c>
      <c r="T344" s="6"/>
      <c r="U344" s="6"/>
      <c r="V344" s="6"/>
      <c r="W344" s="6"/>
      <c r="X344" s="6"/>
      <c r="Y344" s="6"/>
      <c r="Z344" s="6"/>
      <c r="AA344" s="6"/>
      <c r="AB344" s="6"/>
    </row>
    <row r="345">
      <c r="A345" s="7">
        <v>344.0</v>
      </c>
      <c r="B345" s="6" t="s">
        <v>991</v>
      </c>
      <c r="C345" s="6" t="s">
        <v>422</v>
      </c>
      <c r="D345" s="6" t="s">
        <v>1199</v>
      </c>
      <c r="E345" s="6" t="s">
        <v>424</v>
      </c>
      <c r="F345" s="6" t="s">
        <v>425</v>
      </c>
      <c r="G345" s="6" t="s">
        <v>1199</v>
      </c>
      <c r="H345" s="6" t="s">
        <v>1311</v>
      </c>
      <c r="I345" s="6"/>
      <c r="J345" s="6"/>
      <c r="K345" s="2" t="str">
        <f>IFERROR(__xludf.DUMMYFUNCTION("GOOGLETRANSLATE(A345,""en"",""ur"")"),"344")</f>
        <v>344</v>
      </c>
      <c r="L345" s="2" t="str">
        <f>IFERROR(__xludf.DUMMYFUNCTION("GOOGLETRANSLATE(B345,""en"",""ur"")"),"واقعہ کی ظاہری ترتیب کیا ہے؟")</f>
        <v>واقعہ کی ظاہری ترتیب کیا ہے؟</v>
      </c>
      <c r="M345" s="2" t="str">
        <f>IFERROR(__xludf.DUMMYFUNCTION("GOOGLETRANSLATE(C345,""en"",""ur"")"),"ایک انڈور اسٹیڈیم")</f>
        <v>ایک انڈور اسٹیڈیم</v>
      </c>
      <c r="N345" s="2" t="str">
        <f>IFERROR(__xludf.DUMMYFUNCTION("GOOGLETRANSLATE(D345,""en"",""ur"")"),"ایک دیہی، بیرونی گندگی کا ایک بڑا ہجوم")</f>
        <v>ایک دیہی، بیرونی گندگی کا ایک بڑا ہجوم</v>
      </c>
      <c r="O345" s="2" t="str">
        <f>IFERROR(__xludf.DUMMYFUNCTION("GOOGLETRANSLATE(E345,""en"",""ur"")"),"شہر کی مصروف گلی")</f>
        <v>شہر کی مصروف گلی</v>
      </c>
      <c r="P345" s="2" t="str">
        <f>IFERROR(__xludf.DUMMYFUNCTION("GOOGLETRANSLATE(F345,""en"",""ur"")"),"گھاس کا میدان")</f>
        <v>گھاس کا میدان</v>
      </c>
      <c r="Q345" s="6" t="s">
        <v>1200</v>
      </c>
      <c r="R345" s="6" t="str">
        <f>IFERROR(__xludf.DUMMYFUNCTION("""COMPUTED_VALUE"""),"ایک ریسلنگ میچ میں دو آدمی")</f>
        <v>ایک ریسلنگ میچ میں دو آدمی</v>
      </c>
      <c r="S345" s="6" t="s">
        <v>1311</v>
      </c>
      <c r="T345" s="6"/>
      <c r="U345" s="6"/>
      <c r="V345" s="6"/>
      <c r="W345" s="6"/>
      <c r="X345" s="6"/>
      <c r="Y345" s="6"/>
      <c r="Z345" s="6"/>
      <c r="AA345" s="6"/>
      <c r="AB345" s="6"/>
    </row>
    <row r="346">
      <c r="A346" s="7">
        <v>345.0</v>
      </c>
      <c r="B346" s="6" t="s">
        <v>1201</v>
      </c>
      <c r="C346" s="6" t="s">
        <v>47</v>
      </c>
      <c r="D346" s="6" t="s">
        <v>48</v>
      </c>
      <c r="E346" s="6" t="s">
        <v>49</v>
      </c>
      <c r="F346" s="6" t="s">
        <v>50</v>
      </c>
      <c r="G346" s="6" t="s">
        <v>50</v>
      </c>
      <c r="H346" s="6" t="s">
        <v>1311</v>
      </c>
      <c r="I346" s="6"/>
      <c r="J346" s="6"/>
      <c r="K346" s="2" t="str">
        <f>IFERROR(__xludf.DUMMYFUNCTION("GOOGLETRANSLATE(A346,""en"",""ur"")"),"345")</f>
        <v>345</v>
      </c>
      <c r="L346" s="2" t="str">
        <f>IFERROR(__xludf.DUMMYFUNCTION("GOOGLETRANSLATE(B346,""en"",""ur"")"),"پہلوانوں کے ظاہری جذبات کیا ہیں؟")</f>
        <v>پہلوانوں کے ظاہری جذبات کیا ہیں؟</v>
      </c>
      <c r="M346" s="2" t="str">
        <f>IFERROR(__xludf.DUMMYFUNCTION("GOOGLETRANSLATE(C346,""en"",""ur"")"),"پرسکون اور پر سکون")</f>
        <v>پرسکون اور پر سکون</v>
      </c>
      <c r="N346" s="2" t="str">
        <f>IFERROR(__xludf.DUMMYFUNCTION("GOOGLETRANSLATE(D346,""en"",""ur"")"),"خوف زدہ اور بے چین")</f>
        <v>خوف زدہ اور بے چین</v>
      </c>
      <c r="O346" s="2" t="str">
        <f>IFERROR(__xludf.DUMMYFUNCTION("GOOGLETRANSLATE(E346,""en"",""ur"")"),"کشیدہ اور شدید")</f>
        <v>کشیدہ اور شدید</v>
      </c>
      <c r="P346" s="2" t="str">
        <f>IFERROR(__xludf.DUMMYFUNCTION("GOOGLETRANSLATE(F346,""en"",""ur"")"),"خوش اور مسکراتے ہوئے۔")</f>
        <v>خوش اور مسکراتے ہوئے۔</v>
      </c>
      <c r="Q346" s="6" t="s">
        <v>51</v>
      </c>
      <c r="R346" s="6" t="str">
        <f>IFERROR(__xludf.DUMMYFUNCTION("""COMPUTED_VALUE"""),"ایک ریسلنگ میچ میں دو آدمی")</f>
        <v>ایک ریسلنگ میچ میں دو آدمی</v>
      </c>
      <c r="S346" s="6" t="s">
        <v>1311</v>
      </c>
      <c r="T346" s="6"/>
      <c r="U346" s="6"/>
      <c r="V346" s="6"/>
      <c r="W346" s="6"/>
      <c r="X346" s="6"/>
      <c r="Y346" s="6"/>
      <c r="Z346" s="6"/>
      <c r="AA346" s="6"/>
      <c r="AB346" s="6"/>
    </row>
    <row r="347">
      <c r="A347" s="7">
        <v>346.0</v>
      </c>
      <c r="B347" s="6" t="s">
        <v>1218</v>
      </c>
      <c r="C347" s="6" t="s">
        <v>429</v>
      </c>
      <c r="D347" s="6" t="s">
        <v>430</v>
      </c>
      <c r="E347" s="6" t="s">
        <v>431</v>
      </c>
      <c r="F347" s="6" t="s">
        <v>432</v>
      </c>
      <c r="G347" s="6" t="s">
        <v>430</v>
      </c>
      <c r="H347" s="6" t="s">
        <v>1311</v>
      </c>
      <c r="I347" s="6"/>
      <c r="J347" s="6"/>
      <c r="K347" s="2" t="str">
        <f>IFERROR(__xludf.DUMMYFUNCTION("GOOGLETRANSLATE(A347,""en"",""ur"")"),"346")</f>
        <v>346</v>
      </c>
      <c r="L347" s="2" t="str">
        <f>IFERROR(__xludf.DUMMYFUNCTION("GOOGLETRANSLATE(B347,""en"",""ur"")"),"پہلوانوں کی ظاہری جسمانی پوزیشن کیا ہے؟")</f>
        <v>پہلوانوں کی ظاہری جسمانی پوزیشن کیا ہے؟</v>
      </c>
      <c r="M347" s="2" t="str">
        <f>IFERROR(__xludf.DUMMYFUNCTION("GOOGLETRANSLATE(C347,""en"",""ur"")"),"سیدھا کھڑا ہونا")</f>
        <v>سیدھا کھڑا ہونا</v>
      </c>
      <c r="N347" s="2" t="str">
        <f>IFERROR(__xludf.DUMMYFUNCTION("GOOGLETRANSLATE(D347,""en"",""ur"")"),"کم، متحرک موقف میں")</f>
        <v>کم، متحرک موقف میں</v>
      </c>
      <c r="O347" s="2" t="str">
        <f>IFERROR(__xludf.DUMMYFUNCTION("GOOGLETRANSLATE(E347,""en"",""ur"")"),"زمین پر لیٹنا")</f>
        <v>زمین پر لیٹنا</v>
      </c>
      <c r="P347" s="2" t="str">
        <f>IFERROR(__xludf.DUMMYFUNCTION("GOOGLETRANSLATE(F347,""en"",""ur"")"),"بیٹھا ہوا")</f>
        <v>بیٹھا ہوا</v>
      </c>
      <c r="Q347" s="6" t="s">
        <v>433</v>
      </c>
      <c r="R347" s="6" t="str">
        <f>IFERROR(__xludf.DUMMYFUNCTION("""COMPUTED_VALUE"""),"ایک ریسلنگ میچ میں دو آدمی")</f>
        <v>ایک ریسلنگ میچ میں دو آدمی</v>
      </c>
      <c r="S347" s="6" t="s">
        <v>1311</v>
      </c>
      <c r="T347" s="6"/>
      <c r="U347" s="6"/>
      <c r="V347" s="6"/>
      <c r="W347" s="6"/>
      <c r="X347" s="6"/>
      <c r="Y347" s="6"/>
      <c r="Z347" s="6"/>
      <c r="AA347" s="6"/>
      <c r="AB347" s="6"/>
    </row>
    <row r="348">
      <c r="A348" s="7">
        <v>347.0</v>
      </c>
      <c r="B348" s="6" t="s">
        <v>434</v>
      </c>
      <c r="C348" s="6" t="s">
        <v>435</v>
      </c>
      <c r="D348" s="6" t="s">
        <v>436</v>
      </c>
      <c r="E348" s="6" t="s">
        <v>1203</v>
      </c>
      <c r="F348" s="6" t="s">
        <v>438</v>
      </c>
      <c r="G348" s="6" t="s">
        <v>1203</v>
      </c>
      <c r="H348" s="6" t="s">
        <v>1311</v>
      </c>
      <c r="I348" s="6"/>
      <c r="J348" s="6"/>
      <c r="K348" s="2" t="str">
        <f>IFERROR(__xludf.DUMMYFUNCTION("GOOGLETRANSLATE(A348,""en"",""ur"")"),"347")</f>
        <v>347</v>
      </c>
      <c r="L348" s="2" t="str">
        <f>IFERROR(__xludf.DUMMYFUNCTION("GOOGLETRANSLATE(B348,""en"",""ur"")"),"پس منظر میں ہجوم کی سب سے نمایاں خصوصیت کیا ہے؟")</f>
        <v>پس منظر میں ہجوم کی سب سے نمایاں خصوصیت کیا ہے؟</v>
      </c>
      <c r="M348" s="2" t="str">
        <f>IFERROR(__xludf.DUMMYFUNCTION("GOOGLETRANSLATE(C348,""en"",""ur"")"),"وہ بھاگ رہے ہیں۔")</f>
        <v>وہ بھاگ رہے ہیں۔</v>
      </c>
      <c r="N348" s="2" t="str">
        <f>IFERROR(__xludf.DUMMYFUNCTION("GOOGLETRANSLATE(D348,""en"",""ur"")"),"وہ خاموش بیٹھے ہیں۔")</f>
        <v>وہ خاموش بیٹھے ہیں۔</v>
      </c>
      <c r="O348" s="2" t="str">
        <f>IFERROR(__xludf.DUMMYFUNCTION("GOOGLETRANSLATE(E348,""en"",""ur"")"),"وہ باڑ کے پیچھے سے میچ دیکھ رہے ہیں۔")</f>
        <v>وہ باڑ کے پیچھے سے میچ دیکھ رہے ہیں۔</v>
      </c>
      <c r="P348" s="2" t="str">
        <f>IFERROR(__xludf.DUMMYFUNCTION("GOOGLETRANSLATE(F348,""en"",""ur"")"),"وہ سب ایک اسٹیج پر کھڑے ہیں۔")</f>
        <v>وہ سب ایک اسٹیج پر کھڑے ہیں۔</v>
      </c>
      <c r="Q348" s="6" t="s">
        <v>1204</v>
      </c>
      <c r="R348" s="6" t="str">
        <f>IFERROR(__xludf.DUMMYFUNCTION("""COMPUTED_VALUE"""),"ایک ریسلنگ میچ میں دو آدمی")</f>
        <v>ایک ریسلنگ میچ میں دو آدمی</v>
      </c>
      <c r="S348" s="6" t="s">
        <v>1311</v>
      </c>
      <c r="T348" s="6"/>
      <c r="U348" s="6"/>
      <c r="V348" s="6"/>
      <c r="W348" s="6"/>
      <c r="X348" s="6"/>
      <c r="Y348" s="6"/>
      <c r="Z348" s="6"/>
      <c r="AA348" s="6"/>
      <c r="AB348" s="6"/>
    </row>
    <row r="349">
      <c r="A349" s="7">
        <v>348.0</v>
      </c>
      <c r="B349" s="6" t="s">
        <v>440</v>
      </c>
      <c r="C349" s="6" t="s">
        <v>441</v>
      </c>
      <c r="D349" s="6" t="s">
        <v>442</v>
      </c>
      <c r="E349" s="6" t="s">
        <v>512</v>
      </c>
      <c r="F349" s="6" t="s">
        <v>444</v>
      </c>
      <c r="G349" s="6" t="s">
        <v>512</v>
      </c>
      <c r="H349" s="6" t="s">
        <v>1311</v>
      </c>
      <c r="I349" s="6"/>
      <c r="J349" s="6"/>
      <c r="K349" s="2" t="str">
        <f>IFERROR(__xludf.DUMMYFUNCTION("GOOGLETRANSLATE(A349,""en"",""ur"")"),"348")</f>
        <v>348</v>
      </c>
      <c r="L349" s="2" t="str">
        <f>IFERROR(__xludf.DUMMYFUNCTION("GOOGLETRANSLATE(B349,""en"",""ur"")"),"زمین کی ظاہری حالت کیا ہے؟")</f>
        <v>زمین کی ظاہری حالت کیا ہے؟</v>
      </c>
      <c r="M349" s="2" t="str">
        <f>IFERROR(__xludf.DUMMYFUNCTION("GOOGLETRANSLATE(C349,""en"",""ur"")"),"یہ ایک پکی سطح ہے۔")</f>
        <v>یہ ایک پکی سطح ہے۔</v>
      </c>
      <c r="N349" s="2" t="str">
        <f>IFERROR(__xludf.DUMMYFUNCTION("GOOGLETRANSLATE(D349,""en"",""ur"")"),"یہ ایک کیچڑ والا میدان ہے۔")</f>
        <v>یہ ایک کیچڑ والا میدان ہے۔</v>
      </c>
      <c r="O349" s="2" t="str">
        <f>IFERROR(__xludf.DUMMYFUNCTION("GOOGLETRANSLATE(E349,""en"",""ur"")"),"یہ ایک ریتلی یا گندگی کی سطح ہے۔")</f>
        <v>یہ ایک ریتلی یا گندگی کی سطح ہے۔</v>
      </c>
      <c r="P349" s="2" t="str">
        <f>IFERROR(__xludf.DUMMYFUNCTION("GOOGLETRANSLATE(F349,""en"",""ur"")"),"یہ ایک گھاس والی سطح ہے۔")</f>
        <v>یہ ایک گھاس والی سطح ہے۔</v>
      </c>
      <c r="Q349" s="6" t="s">
        <v>1219</v>
      </c>
      <c r="R349" s="6" t="str">
        <f>IFERROR(__xludf.DUMMYFUNCTION("""COMPUTED_VALUE"""),"ایک ریسلنگ میچ میں دو آدمی")</f>
        <v>ایک ریسلنگ میچ میں دو آدمی</v>
      </c>
      <c r="S349" s="6" t="s">
        <v>1311</v>
      </c>
      <c r="T349" s="6"/>
      <c r="U349" s="6"/>
      <c r="V349" s="6"/>
      <c r="W349" s="6"/>
      <c r="X349" s="6"/>
      <c r="Y349" s="6"/>
      <c r="Z349" s="6"/>
      <c r="AA349" s="6"/>
      <c r="AB349" s="6"/>
    </row>
    <row r="350">
      <c r="A350" s="7">
        <v>349.0</v>
      </c>
      <c r="B350" s="6" t="s">
        <v>1205</v>
      </c>
      <c r="C350" s="6" t="s">
        <v>1206</v>
      </c>
      <c r="D350" s="6" t="s">
        <v>1207</v>
      </c>
      <c r="E350" s="6" t="s">
        <v>1208</v>
      </c>
      <c r="F350" s="6" t="s">
        <v>449</v>
      </c>
      <c r="G350" s="6" t="s">
        <v>1208</v>
      </c>
      <c r="H350" s="6" t="s">
        <v>1311</v>
      </c>
      <c r="I350" s="6"/>
      <c r="J350" s="6"/>
      <c r="K350" s="2" t="str">
        <f>IFERROR(__xludf.DUMMYFUNCTION("GOOGLETRANSLATE(A350,""en"",""ur"")"),"349")</f>
        <v>349</v>
      </c>
      <c r="L350" s="2" t="str">
        <f>IFERROR(__xludf.DUMMYFUNCTION("GOOGLETRANSLATE(B350,""en"",""ur"")"),"لمبی اسکرٹس کا بنیادی مقصد کیا ہے؟")</f>
        <v>لمبی اسکرٹس کا بنیادی مقصد کیا ہے؟</v>
      </c>
      <c r="M350" s="2" t="str">
        <f>IFERROR(__xludf.DUMMYFUNCTION("GOOGLETRANSLATE(C350,""en"",""ur"")"),"پہلوانوں کی ٹانگوں کی حفاظت کے لیے")</f>
        <v>پہلوانوں کی ٹانگوں کی حفاظت کے لیے</v>
      </c>
      <c r="N350" s="2" t="str">
        <f>IFERROR(__xludf.DUMMYFUNCTION("GOOGLETRANSLATE(D350,""en"",""ur"")"),"پہلوانوں کو مزید چست بنانے کے لیے")</f>
        <v>پہلوانوں کو مزید چست بنانے کے لیے</v>
      </c>
      <c r="O350" s="2" t="str">
        <f>IFERROR(__xludf.DUMMYFUNCTION("GOOGLETRANSLATE(E350,""en"",""ur"")"),"روایتی لباس اور لڑائی کے دوران گرفت کے لیے")</f>
        <v>روایتی لباس اور لڑائی کے دوران گرفت کے لیے</v>
      </c>
      <c r="P350" s="2" t="str">
        <f>IFERROR(__xludf.DUMMYFUNCTION("GOOGLETRANSLATE(F350,""en"",""ur"")"),"صرف سجاوٹ کے لیے")</f>
        <v>صرف سجاوٹ کے لیے</v>
      </c>
      <c r="Q350" s="6" t="s">
        <v>1209</v>
      </c>
      <c r="R350" s="6" t="str">
        <f>IFERROR(__xludf.DUMMYFUNCTION("""COMPUTED_VALUE"""),"ایک ریسلنگ میچ میں دو آدمی")</f>
        <v>ایک ریسلنگ میچ میں دو آدمی</v>
      </c>
      <c r="S350" s="6" t="s">
        <v>1311</v>
      </c>
      <c r="T350" s="6"/>
      <c r="U350" s="6"/>
      <c r="V350" s="6"/>
      <c r="W350" s="6"/>
      <c r="X350" s="6"/>
      <c r="Y350" s="6"/>
      <c r="Z350" s="6"/>
      <c r="AA350" s="6"/>
      <c r="AB350" s="6"/>
    </row>
    <row r="351">
      <c r="A351" s="7">
        <v>350.0</v>
      </c>
      <c r="B351" s="6" t="s">
        <v>260</v>
      </c>
      <c r="C351" s="6" t="s">
        <v>261</v>
      </c>
      <c r="D351" s="6" t="s">
        <v>262</v>
      </c>
      <c r="E351" s="6" t="s">
        <v>1210</v>
      </c>
      <c r="F351" s="6" t="s">
        <v>264</v>
      </c>
      <c r="G351" s="6" t="s">
        <v>1210</v>
      </c>
      <c r="H351" s="6" t="s">
        <v>1311</v>
      </c>
      <c r="I351" s="6"/>
      <c r="J351" s="6"/>
      <c r="K351" s="2" t="str">
        <f>IFERROR(__xludf.DUMMYFUNCTION("GOOGLETRANSLATE(A351,""en"",""ur"")"),"350")</f>
        <v>350</v>
      </c>
      <c r="L351" s="2" t="str">
        <f>IFERROR(__xludf.DUMMYFUNCTION("GOOGLETRANSLATE(B351,""en"",""ur"")"),"تصویر میں ایکشن ایک ایسا انداز تجویز کرتا ہے جو اس بات پر زور دیتا ہے...")</f>
        <v>تصویر میں ایکشن ایک ایسا انداز تجویز کرتا ہے جو اس بات پر زور دیتا ہے...</v>
      </c>
      <c r="M351" s="2" t="str">
        <f>IFERROR(__xludf.DUMMYFUNCTION("GOOGLETRANSLATE(C351,""en"",""ur"")"),"روانی اور قلابازیاں")</f>
        <v>روانی اور قلابازیاں</v>
      </c>
      <c r="N351" s="2" t="str">
        <f>IFERROR(__xludf.DUMMYFUNCTION("GOOGLETRANSLATE(D351,""en"",""ur"")"),"زمینی لڑائی اور گرفت")</f>
        <v>زمینی لڑائی اور گرفت</v>
      </c>
      <c r="O351" s="2" t="str">
        <f>IFERROR(__xludf.DUMMYFUNCTION("GOOGLETRANSLATE(E351,""en"",""ur"")"),"وحشیانہ طاقت اور ٹیک ڈاؤن")</f>
        <v>وحشیانہ طاقت اور ٹیک ڈاؤن</v>
      </c>
      <c r="P351" s="2" t="str">
        <f>IFERROR(__xludf.DUMMYFUNCTION("GOOGLETRANSLATE(F351,""en"",""ur"")"),"سادہ، لکیری حرکات")</f>
        <v>سادہ، لکیری حرکات</v>
      </c>
      <c r="Q351" s="6" t="s">
        <v>1211</v>
      </c>
      <c r="R351" s="6" t="str">
        <f>IFERROR(__xludf.DUMMYFUNCTION("""COMPUTED_VALUE"""),"ایک ریسلنگ میچ میں دو آدمی")</f>
        <v>ایک ریسلنگ میچ میں دو آدمی</v>
      </c>
      <c r="S351" s="6" t="s">
        <v>1311</v>
      </c>
      <c r="T351" s="6"/>
      <c r="U351" s="6"/>
      <c r="V351" s="6"/>
      <c r="W351" s="6"/>
      <c r="X351" s="6"/>
      <c r="Y351" s="6"/>
      <c r="Z351" s="6"/>
      <c r="AA351" s="6"/>
      <c r="AB351" s="6"/>
    </row>
    <row r="352">
      <c r="A352" s="6"/>
      <c r="B352" s="6"/>
      <c r="C352" s="6"/>
      <c r="D352" s="6"/>
      <c r="E352" s="6"/>
      <c r="F352" s="6"/>
      <c r="G352" s="6"/>
      <c r="H352" s="6"/>
      <c r="I352" s="6"/>
      <c r="J352" s="6"/>
      <c r="K352" s="6"/>
      <c r="L352" s="6"/>
      <c r="N352" s="6"/>
      <c r="O352" s="6"/>
      <c r="P352" s="6"/>
      <c r="Q352" s="6"/>
      <c r="R352" s="6" t="str">
        <f>IFERROR(__xludf.DUMMYFUNCTION("""COMPUTED_VALUE"""),"")</f>
        <v/>
      </c>
      <c r="S352" s="6"/>
      <c r="T352" s="6"/>
      <c r="U352" s="6"/>
      <c r="V352" s="6"/>
      <c r="W352" s="6"/>
      <c r="X352" s="6"/>
      <c r="Y352" s="6"/>
      <c r="Z352" s="6"/>
      <c r="AA352" s="6"/>
      <c r="AB352" s="6"/>
    </row>
    <row r="353">
      <c r="A353" s="6"/>
      <c r="B353" s="6"/>
      <c r="C353" s="6"/>
      <c r="D353" s="6"/>
      <c r="E353" s="6"/>
      <c r="F353" s="6"/>
      <c r="G353" s="6"/>
      <c r="H353" s="6"/>
      <c r="I353" s="6"/>
      <c r="J353" s="6"/>
      <c r="K353" s="6"/>
      <c r="L353" s="6"/>
      <c r="N353" s="6"/>
      <c r="O353" s="6"/>
      <c r="P353" s="6"/>
      <c r="Q353" s="6"/>
      <c r="R353" s="6" t="str">
        <f>IFERROR(__xludf.DUMMYFUNCTION("""COMPUTED_VALUE"""),"")</f>
        <v/>
      </c>
      <c r="S353" s="6"/>
      <c r="T353" s="6"/>
      <c r="U353" s="6"/>
      <c r="V353" s="6"/>
      <c r="W353" s="6"/>
      <c r="X353" s="6"/>
      <c r="Y353" s="6"/>
      <c r="Z353" s="6"/>
      <c r="AA353" s="6"/>
      <c r="AB353" s="6"/>
    </row>
    <row r="354">
      <c r="A354" s="6"/>
      <c r="B354" s="6"/>
      <c r="C354" s="6"/>
      <c r="D354" s="6"/>
      <c r="E354" s="6"/>
      <c r="F354" s="6"/>
      <c r="G354" s="6"/>
      <c r="H354" s="6"/>
      <c r="I354" s="6"/>
      <c r="J354" s="6"/>
      <c r="K354" s="6"/>
      <c r="L354" s="6"/>
      <c r="N354" s="6"/>
      <c r="O354" s="6"/>
      <c r="P354" s="6"/>
      <c r="Q354" s="6"/>
      <c r="R354" s="6" t="str">
        <f>IFERROR(__xludf.DUMMYFUNCTION("""COMPUTED_VALUE"""),"")</f>
        <v/>
      </c>
      <c r="S354" s="6"/>
      <c r="T354" s="6"/>
      <c r="U354" s="6"/>
      <c r="V354" s="6"/>
      <c r="W354" s="6"/>
      <c r="X354" s="6"/>
      <c r="Y354" s="6"/>
      <c r="Z354" s="6"/>
      <c r="AA354" s="6"/>
      <c r="AB354" s="6"/>
    </row>
    <row r="355">
      <c r="A355" s="6"/>
      <c r="B355" s="6"/>
      <c r="C355" s="6"/>
      <c r="D355" s="6"/>
      <c r="E355" s="6"/>
      <c r="F355" s="6"/>
      <c r="G355" s="6"/>
      <c r="H355" s="6"/>
      <c r="I355" s="6"/>
      <c r="J355" s="6"/>
      <c r="K355" s="6"/>
      <c r="L355" s="6"/>
      <c r="N355" s="6"/>
      <c r="O355" s="6"/>
      <c r="P355" s="6"/>
      <c r="Q355" s="6"/>
      <c r="R355" s="6" t="str">
        <f>IFERROR(__xludf.DUMMYFUNCTION("""COMPUTED_VALUE"""),"")</f>
        <v/>
      </c>
      <c r="S355" s="6"/>
      <c r="T355" s="6"/>
      <c r="U355" s="6"/>
      <c r="V355" s="6"/>
      <c r="W355" s="6"/>
      <c r="X355" s="6"/>
      <c r="Y355" s="6"/>
      <c r="Z355" s="6"/>
      <c r="AA355" s="6"/>
      <c r="AB355" s="6"/>
    </row>
    <row r="356">
      <c r="A356" s="6"/>
      <c r="B356" s="6"/>
      <c r="C356" s="6"/>
      <c r="D356" s="6"/>
      <c r="E356" s="6"/>
      <c r="F356" s="6"/>
      <c r="G356" s="6"/>
      <c r="H356" s="6"/>
      <c r="I356" s="6"/>
      <c r="J356" s="6"/>
      <c r="K356" s="6"/>
      <c r="L356" s="6"/>
      <c r="N356" s="6"/>
      <c r="O356" s="6"/>
      <c r="P356" s="6"/>
      <c r="Q356" s="6"/>
      <c r="R356" s="6" t="str">
        <f>IFERROR(__xludf.DUMMYFUNCTION("""COMPUTED_VALUE"""),"")</f>
        <v/>
      </c>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t="str">
        <f>IFERROR(__xludf.DUMMYFUNCTION("""COMPUTED_VALUE"""),"")</f>
        <v/>
      </c>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t="str">
        <f>IFERROR(__xludf.DUMMYFUNCTION("""COMPUTED_VALUE"""),"")</f>
        <v/>
      </c>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t="str">
        <f>IFERROR(__xludf.DUMMYFUNCTION("""COMPUTED_VALUE"""),"")</f>
        <v/>
      </c>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t="str">
        <f>IFERROR(__xludf.DUMMYFUNCTION("""COMPUTED_VALUE"""),"")</f>
        <v/>
      </c>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t="str">
        <f>IFERROR(__xludf.DUMMYFUNCTION("""COMPUTED_VALUE"""),"")</f>
        <v/>
      </c>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t="str">
        <f>IFERROR(__xludf.DUMMYFUNCTION("""COMPUTED_VALUE"""),"")</f>
        <v/>
      </c>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t="str">
        <f>IFERROR(__xludf.DUMMYFUNCTION("""COMPUTED_VALUE"""),"")</f>
        <v/>
      </c>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t="str">
        <f>IFERROR(__xludf.DUMMYFUNCTION("""COMPUTED_VALUE"""),"")</f>
        <v/>
      </c>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t="str">
        <f>IFERROR(__xludf.DUMMYFUNCTION("""COMPUTED_VALUE"""),"")</f>
        <v/>
      </c>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t="str">
        <f>IFERROR(__xludf.DUMMYFUNCTION("""COMPUTED_VALUE"""),"")</f>
        <v/>
      </c>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t="str">
        <f>IFERROR(__xludf.DUMMYFUNCTION("""COMPUTED_VALUE"""),"")</f>
        <v/>
      </c>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t="str">
        <f>IFERROR(__xludf.DUMMYFUNCTION("""COMPUTED_VALUE"""),"")</f>
        <v/>
      </c>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t="str">
        <f>IFERROR(__xludf.DUMMYFUNCTION("""COMPUTED_VALUE"""),"")</f>
        <v/>
      </c>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t="str">
        <f>IFERROR(__xludf.DUMMYFUNCTION("""COMPUTED_VALUE"""),"")</f>
        <v/>
      </c>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t="str">
        <f>IFERROR(__xludf.DUMMYFUNCTION("""COMPUTED_VALUE"""),"")</f>
        <v/>
      </c>
      <c r="S371" s="6"/>
      <c r="T371" s="6"/>
      <c r="U371" s="6"/>
      <c r="V371" s="6"/>
      <c r="W371" s="6"/>
      <c r="X371" s="6"/>
      <c r="Y371" s="6"/>
      <c r="Z371" s="6"/>
      <c r="AA371" s="6"/>
      <c r="AB371" s="6"/>
    </row>
    <row r="372">
      <c r="R372" s="2" t="str">
        <f>IFERROR(__xludf.DUMMYFUNCTION("""COMPUTED_VALUE"""),"")</f>
        <v/>
      </c>
    </row>
    <row r="373">
      <c r="R373" s="2" t="str">
        <f>IFERROR(__xludf.DUMMYFUNCTION("""COMPUTED_VALUE"""),"")</f>
        <v/>
      </c>
    </row>
    <row r="374">
      <c r="R374" s="2" t="str">
        <f>IFERROR(__xludf.DUMMYFUNCTION("""COMPUTED_VALUE"""),"")</f>
        <v/>
      </c>
    </row>
    <row r="375">
      <c r="R375" s="2" t="str">
        <f>IFERROR(__xludf.DUMMYFUNCTION("""COMPUTED_VALUE"""),"")</f>
        <v/>
      </c>
    </row>
    <row r="376">
      <c r="R376" s="2" t="str">
        <f>IFERROR(__xludf.DUMMYFUNCTION("""COMPUTED_VALUE"""),"")</f>
        <v/>
      </c>
    </row>
    <row r="377">
      <c r="R377" s="2" t="str">
        <f>IFERROR(__xludf.DUMMYFUNCTION("""COMPUTED_VALUE"""),"")</f>
        <v/>
      </c>
    </row>
    <row r="378">
      <c r="R378" s="2" t="str">
        <f>IFERROR(__xludf.DUMMYFUNCTION("""COMPUTED_VALUE"""),"")</f>
        <v/>
      </c>
    </row>
    <row r="379">
      <c r="R379" s="2" t="str">
        <f>IFERROR(__xludf.DUMMYFUNCTION("""COMPUTED_VALUE"""),"")</f>
        <v/>
      </c>
    </row>
    <row r="380">
      <c r="R380" s="2" t="str">
        <f>IFERROR(__xludf.DUMMYFUNCTION("""COMPUTED_VALUE"""),"")</f>
        <v/>
      </c>
    </row>
    <row r="381">
      <c r="R381" s="2" t="str">
        <f>IFERROR(__xludf.DUMMYFUNCTION("""COMPUTED_VALUE"""),"")</f>
        <v/>
      </c>
    </row>
    <row r="382">
      <c r="R382" s="2" t="str">
        <f>IFERROR(__xludf.DUMMYFUNCTION("""COMPUTED_VALUE"""),"")</f>
        <v/>
      </c>
    </row>
    <row r="383">
      <c r="R383" s="2" t="str">
        <f>IFERROR(__xludf.DUMMYFUNCTION("""COMPUTED_VALUE"""),"")</f>
        <v/>
      </c>
    </row>
    <row r="384">
      <c r="R384" s="2" t="str">
        <f>IFERROR(__xludf.DUMMYFUNCTION("""COMPUTED_VALUE"""),"")</f>
        <v/>
      </c>
    </row>
    <row r="385">
      <c r="R385" s="2" t="str">
        <f>IFERROR(__xludf.DUMMYFUNCTION("""COMPUTED_VALUE"""),"")</f>
        <v/>
      </c>
    </row>
    <row r="386">
      <c r="R386" s="2" t="str">
        <f>IFERROR(__xludf.DUMMYFUNCTION("""COMPUTED_VALUE"""),"")</f>
        <v/>
      </c>
    </row>
    <row r="387">
      <c r="R387" s="2" t="str">
        <f>IFERROR(__xludf.DUMMYFUNCTION("""COMPUTED_VALUE"""),"")</f>
        <v/>
      </c>
    </row>
    <row r="388">
      <c r="R388" s="2" t="str">
        <f>IFERROR(__xludf.DUMMYFUNCTION("""COMPUTED_VALUE"""),"")</f>
        <v/>
      </c>
    </row>
    <row r="389">
      <c r="R389" s="2" t="str">
        <f>IFERROR(__xludf.DUMMYFUNCTION("""COMPUTED_VALUE"""),"")</f>
        <v/>
      </c>
    </row>
    <row r="390">
      <c r="R390" s="2" t="str">
        <f>IFERROR(__xludf.DUMMYFUNCTION("""COMPUTED_VALUE"""),"")</f>
        <v/>
      </c>
    </row>
    <row r="391">
      <c r="R391" s="2" t="str">
        <f>IFERROR(__xludf.DUMMYFUNCTION("""COMPUTED_VALUE"""),"")</f>
        <v/>
      </c>
    </row>
    <row r="392">
      <c r="R392" s="2" t="str">
        <f>IFERROR(__xludf.DUMMYFUNCTION("""COMPUTED_VALUE"""),"")</f>
        <v/>
      </c>
    </row>
    <row r="393">
      <c r="R393" s="2" t="str">
        <f>IFERROR(__xludf.DUMMYFUNCTION("""COMPUTED_VALUE"""),"")</f>
        <v/>
      </c>
    </row>
    <row r="394">
      <c r="R394" s="2" t="str">
        <f>IFERROR(__xludf.DUMMYFUNCTION("""COMPUTED_VALUE"""),"")</f>
        <v/>
      </c>
    </row>
    <row r="395">
      <c r="R395" s="2" t="str">
        <f>IFERROR(__xludf.DUMMYFUNCTION("""COMPUTED_VALUE"""),"")</f>
        <v/>
      </c>
    </row>
    <row r="396">
      <c r="R396" s="2" t="str">
        <f>IFERROR(__xludf.DUMMYFUNCTION("""COMPUTED_VALUE"""),"")</f>
        <v/>
      </c>
    </row>
    <row r="397">
      <c r="R397" s="2" t="str">
        <f>IFERROR(__xludf.DUMMYFUNCTION("""COMPUTED_VALUE"""),"")</f>
        <v/>
      </c>
    </row>
    <row r="398">
      <c r="R398" s="2" t="str">
        <f>IFERROR(__xludf.DUMMYFUNCTION("""COMPUTED_VALUE"""),"")</f>
        <v/>
      </c>
    </row>
    <row r="399">
      <c r="R399" s="2" t="str">
        <f>IFERROR(__xludf.DUMMYFUNCTION("""COMPUTED_VALUE"""),"")</f>
        <v/>
      </c>
    </row>
    <row r="400">
      <c r="R400" s="2" t="str">
        <f>IFERROR(__xludf.DUMMYFUNCTION("""COMPUTED_VALUE"""),"")</f>
        <v/>
      </c>
    </row>
    <row r="401">
      <c r="R401" s="2" t="str">
        <f>IFERROR(__xludf.DUMMYFUNCTION("""COMPUTED_VALUE"""),"")</f>
        <v/>
      </c>
    </row>
    <row r="402">
      <c r="R402" s="2" t="str">
        <f>IFERROR(__xludf.DUMMYFUNCTION("""COMPUTED_VALUE"""),"")</f>
        <v/>
      </c>
    </row>
    <row r="403">
      <c r="R403" s="2" t="str">
        <f>IFERROR(__xludf.DUMMYFUNCTION("""COMPUTED_VALUE"""),"")</f>
        <v/>
      </c>
    </row>
    <row r="404">
      <c r="R404" s="2" t="str">
        <f>IFERROR(__xludf.DUMMYFUNCTION("""COMPUTED_VALUE"""),"")</f>
        <v/>
      </c>
    </row>
    <row r="405">
      <c r="R405" s="2" t="str">
        <f>IFERROR(__xludf.DUMMYFUNCTION("""COMPUTED_VALUE"""),"")</f>
        <v/>
      </c>
    </row>
    <row r="406">
      <c r="R406" s="2" t="str">
        <f>IFERROR(__xludf.DUMMYFUNCTION("""COMPUTED_VALUE"""),"")</f>
        <v/>
      </c>
    </row>
    <row r="407">
      <c r="R407" s="2" t="str">
        <f>IFERROR(__xludf.DUMMYFUNCTION("""COMPUTED_VALUE"""),"")</f>
        <v/>
      </c>
    </row>
    <row r="408">
      <c r="R408" s="2" t="str">
        <f>IFERROR(__xludf.DUMMYFUNCTION("""COMPUTED_VALUE"""),"")</f>
        <v/>
      </c>
    </row>
    <row r="409">
      <c r="R409" s="2" t="str">
        <f>IFERROR(__xludf.DUMMYFUNCTION("""COMPUTED_VALUE"""),"")</f>
        <v/>
      </c>
    </row>
    <row r="410">
      <c r="R410" s="2" t="str">
        <f>IFERROR(__xludf.DUMMYFUNCTION("""COMPUTED_VALUE"""),"")</f>
        <v/>
      </c>
    </row>
    <row r="411">
      <c r="R411" s="2" t="str">
        <f>IFERROR(__xludf.DUMMYFUNCTION("""COMPUTED_VALUE"""),"")</f>
        <v/>
      </c>
    </row>
    <row r="412">
      <c r="R412" s="2" t="str">
        <f>IFERROR(__xludf.DUMMYFUNCTION("""COMPUTED_VALUE"""),"")</f>
        <v/>
      </c>
    </row>
    <row r="413">
      <c r="R413" s="2" t="str">
        <f>IFERROR(__xludf.DUMMYFUNCTION("""COMPUTED_VALUE"""),"")</f>
        <v/>
      </c>
    </row>
    <row r="414">
      <c r="R414" s="2" t="str">
        <f>IFERROR(__xludf.DUMMYFUNCTION("""COMPUTED_VALUE"""),"")</f>
        <v/>
      </c>
    </row>
    <row r="415">
      <c r="R415" s="2" t="str">
        <f>IFERROR(__xludf.DUMMYFUNCTION("""COMPUTED_VALUE"""),"")</f>
        <v/>
      </c>
    </row>
    <row r="416">
      <c r="R416" s="2" t="str">
        <f>IFERROR(__xludf.DUMMYFUNCTION("""COMPUTED_VALUE"""),"")</f>
        <v/>
      </c>
    </row>
    <row r="417">
      <c r="R417" s="2" t="str">
        <f>IFERROR(__xludf.DUMMYFUNCTION("""COMPUTED_VALUE"""),"")</f>
        <v/>
      </c>
    </row>
    <row r="418">
      <c r="R418" s="2" t="str">
        <f>IFERROR(__xludf.DUMMYFUNCTION("""COMPUTED_VALUE"""),"")</f>
        <v/>
      </c>
    </row>
    <row r="419">
      <c r="R419" s="2" t="str">
        <f>IFERROR(__xludf.DUMMYFUNCTION("""COMPUTED_VALUE"""),"")</f>
        <v/>
      </c>
    </row>
    <row r="420">
      <c r="R420" s="2" t="str">
        <f>IFERROR(__xludf.DUMMYFUNCTION("""COMPUTED_VALUE"""),"")</f>
        <v/>
      </c>
    </row>
    <row r="421">
      <c r="R421" s="2" t="str">
        <f>IFERROR(__xludf.DUMMYFUNCTION("""COMPUTED_VALUE"""),"")</f>
        <v/>
      </c>
    </row>
    <row r="422">
      <c r="R422" s="2" t="str">
        <f>IFERROR(__xludf.DUMMYFUNCTION("""COMPUTED_VALUE"""),"")</f>
        <v/>
      </c>
    </row>
    <row r="423">
      <c r="R423" s="2" t="str">
        <f>IFERROR(__xludf.DUMMYFUNCTION("""COMPUTED_VALUE"""),"")</f>
        <v/>
      </c>
    </row>
    <row r="424">
      <c r="R424" s="2" t="str">
        <f>IFERROR(__xludf.DUMMYFUNCTION("""COMPUTED_VALUE"""),"")</f>
        <v/>
      </c>
    </row>
    <row r="425">
      <c r="R425" s="2" t="str">
        <f>IFERROR(__xludf.DUMMYFUNCTION("""COMPUTED_VALUE"""),"")</f>
        <v/>
      </c>
    </row>
    <row r="426">
      <c r="R426" s="2" t="str">
        <f>IFERROR(__xludf.DUMMYFUNCTION("""COMPUTED_VALUE"""),"")</f>
        <v/>
      </c>
    </row>
    <row r="427">
      <c r="R427" s="2" t="str">
        <f>IFERROR(__xludf.DUMMYFUNCTION("""COMPUTED_VALUE"""),"")</f>
        <v/>
      </c>
    </row>
    <row r="428">
      <c r="R428" s="2" t="str">
        <f>IFERROR(__xludf.DUMMYFUNCTION("""COMPUTED_VALUE"""),"")</f>
        <v/>
      </c>
    </row>
    <row r="429">
      <c r="R429" s="2" t="str">
        <f>IFERROR(__xludf.DUMMYFUNCTION("""COMPUTED_VALUE"""),"")</f>
        <v/>
      </c>
    </row>
    <row r="430">
      <c r="R430" s="2" t="str">
        <f>IFERROR(__xludf.DUMMYFUNCTION("""COMPUTED_VALUE"""),"")</f>
        <v/>
      </c>
    </row>
    <row r="431">
      <c r="R431" s="2" t="str">
        <f>IFERROR(__xludf.DUMMYFUNCTION("""COMPUTED_VALUE"""),"")</f>
        <v/>
      </c>
    </row>
    <row r="432">
      <c r="R432" s="2" t="str">
        <f>IFERROR(__xludf.DUMMYFUNCTION("""COMPUTED_VALUE"""),"")</f>
        <v/>
      </c>
    </row>
    <row r="433">
      <c r="R433" s="2" t="str">
        <f>IFERROR(__xludf.DUMMYFUNCTION("""COMPUTED_VALUE"""),"")</f>
        <v/>
      </c>
    </row>
    <row r="434">
      <c r="R434" s="2" t="str">
        <f>IFERROR(__xludf.DUMMYFUNCTION("""COMPUTED_VALUE"""),"")</f>
        <v/>
      </c>
    </row>
    <row r="435">
      <c r="R435" s="2" t="str">
        <f>IFERROR(__xludf.DUMMYFUNCTION("""COMPUTED_VALUE"""),"")</f>
        <v/>
      </c>
    </row>
    <row r="436">
      <c r="R436" s="2" t="str">
        <f>IFERROR(__xludf.DUMMYFUNCTION("""COMPUTED_VALUE"""),"")</f>
        <v/>
      </c>
    </row>
    <row r="437">
      <c r="R437" s="2" t="str">
        <f>IFERROR(__xludf.DUMMYFUNCTION("""COMPUTED_VALUE"""),"")</f>
        <v/>
      </c>
    </row>
    <row r="438">
      <c r="R438" s="2" t="str">
        <f>IFERROR(__xludf.DUMMYFUNCTION("""COMPUTED_VALUE"""),"")</f>
        <v/>
      </c>
    </row>
    <row r="439">
      <c r="R439" s="2" t="str">
        <f>IFERROR(__xludf.DUMMYFUNCTION("""COMPUTED_VALUE"""),"")</f>
        <v/>
      </c>
    </row>
    <row r="440">
      <c r="R440" s="2" t="str">
        <f>IFERROR(__xludf.DUMMYFUNCTION("""COMPUTED_VALUE"""),"")</f>
        <v/>
      </c>
    </row>
    <row r="441">
      <c r="R441" s="2" t="str">
        <f>IFERROR(__xludf.DUMMYFUNCTION("""COMPUTED_VALUE"""),"")</f>
        <v/>
      </c>
    </row>
    <row r="442">
      <c r="R442" s="2" t="str">
        <f>IFERROR(__xludf.DUMMYFUNCTION("""COMPUTED_VALUE"""),"")</f>
        <v/>
      </c>
    </row>
    <row r="443">
      <c r="R443" s="2" t="str">
        <f>IFERROR(__xludf.DUMMYFUNCTION("""COMPUTED_VALUE"""),"")</f>
        <v/>
      </c>
    </row>
    <row r="444">
      <c r="R444" s="2" t="str">
        <f>IFERROR(__xludf.DUMMYFUNCTION("""COMPUTED_VALUE"""),"")</f>
        <v/>
      </c>
    </row>
    <row r="445">
      <c r="R445" s="2" t="str">
        <f>IFERROR(__xludf.DUMMYFUNCTION("""COMPUTED_VALUE"""),"")</f>
        <v/>
      </c>
    </row>
    <row r="446">
      <c r="R446" s="2" t="str">
        <f>IFERROR(__xludf.DUMMYFUNCTION("""COMPUTED_VALUE"""),"")</f>
        <v/>
      </c>
    </row>
    <row r="447">
      <c r="R447" s="2" t="str">
        <f>IFERROR(__xludf.DUMMYFUNCTION("""COMPUTED_VALUE"""),"")</f>
        <v/>
      </c>
    </row>
    <row r="448">
      <c r="R448" s="2" t="str">
        <f>IFERROR(__xludf.DUMMYFUNCTION("""COMPUTED_VALUE"""),"")</f>
        <v/>
      </c>
    </row>
    <row r="449">
      <c r="R449" s="2" t="str">
        <f>IFERROR(__xludf.DUMMYFUNCTION("""COMPUTED_VALUE"""),"")</f>
        <v/>
      </c>
    </row>
    <row r="450">
      <c r="R450" s="2" t="str">
        <f>IFERROR(__xludf.DUMMYFUNCTION("""COMPUTED_VALUE"""),"")</f>
        <v/>
      </c>
    </row>
    <row r="451">
      <c r="R451" s="2" t="str">
        <f>IFERROR(__xludf.DUMMYFUNCTION("""COMPUTED_VALUE"""),"")</f>
        <v/>
      </c>
    </row>
    <row r="452">
      <c r="R452" s="2" t="str">
        <f>IFERROR(__xludf.DUMMYFUNCTION("""COMPUTED_VALUE"""),"")</f>
        <v/>
      </c>
    </row>
    <row r="453">
      <c r="R453" s="2" t="str">
        <f>IFERROR(__xludf.DUMMYFUNCTION("""COMPUTED_VALUE"""),"")</f>
        <v/>
      </c>
    </row>
    <row r="454">
      <c r="R454" s="2" t="str">
        <f>IFERROR(__xludf.DUMMYFUNCTION("""COMPUTED_VALUE"""),"")</f>
        <v/>
      </c>
    </row>
    <row r="455">
      <c r="R455" s="2" t="str">
        <f>IFERROR(__xludf.DUMMYFUNCTION("""COMPUTED_VALUE"""),"")</f>
        <v/>
      </c>
    </row>
    <row r="456">
      <c r="R456" s="2" t="str">
        <f>IFERROR(__xludf.DUMMYFUNCTION("""COMPUTED_VALUE"""),"")</f>
        <v/>
      </c>
    </row>
    <row r="457">
      <c r="R457" s="2" t="str">
        <f>IFERROR(__xludf.DUMMYFUNCTION("""COMPUTED_VALUE"""),"")</f>
        <v/>
      </c>
    </row>
    <row r="458">
      <c r="R458" s="2" t="str">
        <f>IFERROR(__xludf.DUMMYFUNCTION("""COMPUTED_VALUE"""),"")</f>
        <v/>
      </c>
    </row>
    <row r="459">
      <c r="R459" s="2" t="str">
        <f>IFERROR(__xludf.DUMMYFUNCTION("""COMPUTED_VALUE"""),"")</f>
        <v/>
      </c>
    </row>
    <row r="460">
      <c r="R460" s="2" t="str">
        <f>IFERROR(__xludf.DUMMYFUNCTION("""COMPUTED_VALUE"""),"")</f>
        <v/>
      </c>
    </row>
    <row r="461">
      <c r="R461" s="2" t="str">
        <f>IFERROR(__xludf.DUMMYFUNCTION("""COMPUTED_VALUE"""),"")</f>
        <v/>
      </c>
    </row>
    <row r="462">
      <c r="R462" s="2" t="str">
        <f>IFERROR(__xludf.DUMMYFUNCTION("""COMPUTED_VALUE"""),"")</f>
        <v/>
      </c>
    </row>
    <row r="463">
      <c r="R463" s="2" t="str">
        <f>IFERROR(__xludf.DUMMYFUNCTION("""COMPUTED_VALUE"""),"")</f>
        <v/>
      </c>
    </row>
    <row r="464">
      <c r="R464" s="2" t="str">
        <f>IFERROR(__xludf.DUMMYFUNCTION("""COMPUTED_VALUE"""),"")</f>
        <v/>
      </c>
    </row>
    <row r="465">
      <c r="R465" s="2" t="str">
        <f>IFERROR(__xludf.DUMMYFUNCTION("""COMPUTED_VALUE"""),"")</f>
        <v/>
      </c>
    </row>
    <row r="466">
      <c r="R466" s="2" t="str">
        <f>IFERROR(__xludf.DUMMYFUNCTION("""COMPUTED_VALUE"""),"")</f>
        <v/>
      </c>
    </row>
    <row r="467">
      <c r="R467" s="2" t="str">
        <f>IFERROR(__xludf.DUMMYFUNCTION("""COMPUTED_VALUE"""),"")</f>
        <v/>
      </c>
    </row>
    <row r="468">
      <c r="R468" s="2" t="str">
        <f>IFERROR(__xludf.DUMMYFUNCTION("""COMPUTED_VALUE"""),"")</f>
        <v/>
      </c>
    </row>
    <row r="469">
      <c r="R469" s="2" t="str">
        <f>IFERROR(__xludf.DUMMYFUNCTION("""COMPUTED_VALUE"""),"")</f>
        <v/>
      </c>
    </row>
    <row r="470">
      <c r="R470" s="2" t="str">
        <f>IFERROR(__xludf.DUMMYFUNCTION("""COMPUTED_VALUE"""),"")</f>
        <v/>
      </c>
    </row>
    <row r="471">
      <c r="R471" s="2" t="str">
        <f>IFERROR(__xludf.DUMMYFUNCTION("""COMPUTED_VALUE"""),"")</f>
        <v/>
      </c>
    </row>
    <row r="472">
      <c r="R472" s="2" t="str">
        <f>IFERROR(__xludf.DUMMYFUNCTION("""COMPUTED_VALUE"""),"")</f>
        <v/>
      </c>
    </row>
    <row r="473">
      <c r="R473" s="2" t="str">
        <f>IFERROR(__xludf.DUMMYFUNCTION("""COMPUTED_VALUE"""),"")</f>
        <v/>
      </c>
    </row>
    <row r="474">
      <c r="R474" s="2" t="str">
        <f>IFERROR(__xludf.DUMMYFUNCTION("""COMPUTED_VALUE"""),"")</f>
        <v/>
      </c>
    </row>
    <row r="475">
      <c r="R475" s="2" t="str">
        <f>IFERROR(__xludf.DUMMYFUNCTION("""COMPUTED_VALUE"""),"")</f>
        <v/>
      </c>
    </row>
    <row r="476">
      <c r="R476" s="2" t="str">
        <f>IFERROR(__xludf.DUMMYFUNCTION("""COMPUTED_VALUE"""),"")</f>
        <v/>
      </c>
    </row>
    <row r="477">
      <c r="R477" s="2" t="str">
        <f>IFERROR(__xludf.DUMMYFUNCTION("""COMPUTED_VALUE"""),"")</f>
        <v/>
      </c>
    </row>
    <row r="478">
      <c r="R478" s="2" t="str">
        <f>IFERROR(__xludf.DUMMYFUNCTION("""COMPUTED_VALUE"""),"")</f>
        <v/>
      </c>
    </row>
    <row r="479">
      <c r="R479" s="2" t="str">
        <f>IFERROR(__xludf.DUMMYFUNCTION("""COMPUTED_VALUE"""),"")</f>
        <v/>
      </c>
    </row>
    <row r="480">
      <c r="R480" s="2" t="str">
        <f>IFERROR(__xludf.DUMMYFUNCTION("""COMPUTED_VALUE"""),"")</f>
        <v/>
      </c>
    </row>
    <row r="481">
      <c r="R481" s="2" t="str">
        <f>IFERROR(__xludf.DUMMYFUNCTION("""COMPUTED_VALUE"""),"")</f>
        <v/>
      </c>
    </row>
    <row r="482">
      <c r="R482" s="2" t="str">
        <f>IFERROR(__xludf.DUMMYFUNCTION("""COMPUTED_VALUE"""),"")</f>
        <v/>
      </c>
    </row>
    <row r="483">
      <c r="R483" s="2" t="str">
        <f>IFERROR(__xludf.DUMMYFUNCTION("""COMPUTED_VALUE"""),"")</f>
        <v/>
      </c>
    </row>
    <row r="484">
      <c r="R484" s="2" t="str">
        <f>IFERROR(__xludf.DUMMYFUNCTION("""COMPUTED_VALUE"""),"")</f>
        <v/>
      </c>
    </row>
    <row r="485">
      <c r="R485" s="2" t="str">
        <f>IFERROR(__xludf.DUMMYFUNCTION("""COMPUTED_VALUE"""),"")</f>
        <v/>
      </c>
    </row>
    <row r="486">
      <c r="R486" s="2" t="str">
        <f>IFERROR(__xludf.DUMMYFUNCTION("""COMPUTED_VALUE"""),"")</f>
        <v/>
      </c>
    </row>
    <row r="487">
      <c r="R487" s="2" t="str">
        <f>IFERROR(__xludf.DUMMYFUNCTION("""COMPUTED_VALUE"""),"")</f>
        <v/>
      </c>
    </row>
    <row r="488">
      <c r="R488" s="2" t="str">
        <f>IFERROR(__xludf.DUMMYFUNCTION("""COMPUTED_VALUE"""),"")</f>
        <v/>
      </c>
    </row>
    <row r="489">
      <c r="R489" s="2" t="str">
        <f>IFERROR(__xludf.DUMMYFUNCTION("""COMPUTED_VALUE"""),"")</f>
        <v/>
      </c>
    </row>
    <row r="490">
      <c r="R490" s="2" t="str">
        <f>IFERROR(__xludf.DUMMYFUNCTION("""COMPUTED_VALUE"""),"")</f>
        <v/>
      </c>
    </row>
    <row r="491">
      <c r="R491" s="2" t="str">
        <f>IFERROR(__xludf.DUMMYFUNCTION("""COMPUTED_VALUE"""),"")</f>
        <v/>
      </c>
    </row>
    <row r="492">
      <c r="R492" s="2" t="str">
        <f>IFERROR(__xludf.DUMMYFUNCTION("""COMPUTED_VALUE"""),"")</f>
        <v/>
      </c>
    </row>
    <row r="493">
      <c r="R493" s="2" t="str">
        <f>IFERROR(__xludf.DUMMYFUNCTION("""COMPUTED_VALUE"""),"")</f>
        <v/>
      </c>
    </row>
    <row r="494">
      <c r="R494" s="2" t="str">
        <f>IFERROR(__xludf.DUMMYFUNCTION("""COMPUTED_VALUE"""),"")</f>
        <v/>
      </c>
    </row>
    <row r="495">
      <c r="R495" s="2" t="str">
        <f>IFERROR(__xludf.DUMMYFUNCTION("""COMPUTED_VALUE"""),"")</f>
        <v/>
      </c>
    </row>
    <row r="496">
      <c r="R496" s="2" t="str">
        <f>IFERROR(__xludf.DUMMYFUNCTION("""COMPUTED_VALUE"""),"")</f>
        <v/>
      </c>
    </row>
    <row r="497">
      <c r="R497" s="2" t="str">
        <f>IFERROR(__xludf.DUMMYFUNCTION("""COMPUTED_VALUE"""),"")</f>
        <v/>
      </c>
    </row>
    <row r="498">
      <c r="R498" s="2" t="str">
        <f>IFERROR(__xludf.DUMMYFUNCTION("""COMPUTED_VALUE"""),"")</f>
        <v/>
      </c>
    </row>
    <row r="499">
      <c r="R499" s="2" t="str">
        <f>IFERROR(__xludf.DUMMYFUNCTION("""COMPUTED_VALUE"""),"")</f>
        <v/>
      </c>
    </row>
    <row r="500">
      <c r="R500" s="2" t="str">
        <f>IFERROR(__xludf.DUMMYFUNCTION("""COMPUTED_VALUE"""),"")</f>
        <v/>
      </c>
    </row>
    <row r="501">
      <c r="R501" s="2" t="str">
        <f>IFERROR(__xludf.DUMMYFUNCTION("""COMPUTED_VALUE"""),"")</f>
        <v/>
      </c>
    </row>
    <row r="502">
      <c r="R502" s="2" t="str">
        <f>IFERROR(__xludf.DUMMYFUNCTION("""COMPUTED_VALUE"""),"")</f>
        <v/>
      </c>
    </row>
    <row r="503">
      <c r="R503" s="2" t="str">
        <f>IFERROR(__xludf.DUMMYFUNCTION("""COMPUTED_VALUE"""),"")</f>
        <v/>
      </c>
    </row>
    <row r="504">
      <c r="R504" s="2" t="str">
        <f>IFERROR(__xludf.DUMMYFUNCTION("""COMPUTED_VALUE"""),"")</f>
        <v/>
      </c>
    </row>
    <row r="505">
      <c r="R505" s="2" t="str">
        <f>IFERROR(__xludf.DUMMYFUNCTION("""COMPUTED_VALUE"""),"")</f>
        <v/>
      </c>
    </row>
    <row r="506">
      <c r="R506" s="2" t="str">
        <f>IFERROR(__xludf.DUMMYFUNCTION("""COMPUTED_VALUE"""),"")</f>
        <v/>
      </c>
    </row>
    <row r="507">
      <c r="R507" s="2" t="str">
        <f>IFERROR(__xludf.DUMMYFUNCTION("""COMPUTED_VALUE"""),"")</f>
        <v/>
      </c>
    </row>
    <row r="508">
      <c r="R508" s="2" t="str">
        <f>IFERROR(__xludf.DUMMYFUNCTION("""COMPUTED_VALUE"""),"")</f>
        <v/>
      </c>
    </row>
    <row r="509">
      <c r="R509" s="2" t="str">
        <f>IFERROR(__xludf.DUMMYFUNCTION("""COMPUTED_VALUE"""),"")</f>
        <v/>
      </c>
    </row>
    <row r="510">
      <c r="R510" s="2" t="str">
        <f>IFERROR(__xludf.DUMMYFUNCTION("""COMPUTED_VALUE"""),"")</f>
        <v/>
      </c>
    </row>
    <row r="511">
      <c r="R511" s="2" t="str">
        <f>IFERROR(__xludf.DUMMYFUNCTION("""COMPUTED_VALUE"""),"")</f>
        <v/>
      </c>
    </row>
    <row r="512">
      <c r="R512" s="2" t="str">
        <f>IFERROR(__xludf.DUMMYFUNCTION("""COMPUTED_VALUE"""),"")</f>
        <v/>
      </c>
    </row>
    <row r="513">
      <c r="R513" s="2" t="str">
        <f>IFERROR(__xludf.DUMMYFUNCTION("""COMPUTED_VALUE"""),"")</f>
        <v/>
      </c>
    </row>
    <row r="514">
      <c r="R514" s="2" t="str">
        <f>IFERROR(__xludf.DUMMYFUNCTION("""COMPUTED_VALUE"""),"")</f>
        <v/>
      </c>
    </row>
    <row r="515">
      <c r="R515" s="2" t="str">
        <f>IFERROR(__xludf.DUMMYFUNCTION("""COMPUTED_VALUE"""),"")</f>
        <v/>
      </c>
    </row>
    <row r="516">
      <c r="R516" s="2" t="str">
        <f>IFERROR(__xludf.DUMMYFUNCTION("""COMPUTED_VALUE"""),"")</f>
        <v/>
      </c>
    </row>
    <row r="517">
      <c r="R517" s="2" t="str">
        <f>IFERROR(__xludf.DUMMYFUNCTION("""COMPUTED_VALUE"""),"")</f>
        <v/>
      </c>
    </row>
    <row r="518">
      <c r="R518" s="2" t="str">
        <f>IFERROR(__xludf.DUMMYFUNCTION("""COMPUTED_VALUE"""),"")</f>
        <v/>
      </c>
    </row>
    <row r="519">
      <c r="R519" s="2" t="str">
        <f>IFERROR(__xludf.DUMMYFUNCTION("""COMPUTED_VALUE"""),"")</f>
        <v/>
      </c>
    </row>
    <row r="520">
      <c r="R520" s="2" t="str">
        <f>IFERROR(__xludf.DUMMYFUNCTION("""COMPUTED_VALUE"""),"")</f>
        <v/>
      </c>
    </row>
    <row r="521">
      <c r="R521" s="2" t="str">
        <f>IFERROR(__xludf.DUMMYFUNCTION("""COMPUTED_VALUE"""),"")</f>
        <v/>
      </c>
    </row>
    <row r="522">
      <c r="R522" s="2" t="str">
        <f>IFERROR(__xludf.DUMMYFUNCTION("""COMPUTED_VALUE"""),"")</f>
        <v/>
      </c>
    </row>
    <row r="523">
      <c r="R523" s="2" t="str">
        <f>IFERROR(__xludf.DUMMYFUNCTION("""COMPUTED_VALUE"""),"")</f>
        <v/>
      </c>
    </row>
    <row r="524">
      <c r="R524" s="2" t="str">
        <f>IFERROR(__xludf.DUMMYFUNCTION("""COMPUTED_VALUE"""),"")</f>
        <v/>
      </c>
    </row>
    <row r="525">
      <c r="R525" s="2" t="str">
        <f>IFERROR(__xludf.DUMMYFUNCTION("""COMPUTED_VALUE"""),"")</f>
        <v/>
      </c>
    </row>
    <row r="526">
      <c r="R526" s="2" t="str">
        <f>IFERROR(__xludf.DUMMYFUNCTION("""COMPUTED_VALUE"""),"")</f>
        <v/>
      </c>
    </row>
    <row r="527">
      <c r="R527" s="2" t="str">
        <f>IFERROR(__xludf.DUMMYFUNCTION("""COMPUTED_VALUE"""),"")</f>
        <v/>
      </c>
    </row>
    <row r="528">
      <c r="R528" s="2" t="str">
        <f>IFERROR(__xludf.DUMMYFUNCTION("""COMPUTED_VALUE"""),"")</f>
        <v/>
      </c>
    </row>
    <row r="529">
      <c r="R529" s="2" t="str">
        <f>IFERROR(__xludf.DUMMYFUNCTION("""COMPUTED_VALUE"""),"")</f>
        <v/>
      </c>
    </row>
    <row r="530">
      <c r="R530" s="2" t="str">
        <f>IFERROR(__xludf.DUMMYFUNCTION("""COMPUTED_VALUE"""),"")</f>
        <v/>
      </c>
    </row>
    <row r="531">
      <c r="R531" s="2" t="str">
        <f>IFERROR(__xludf.DUMMYFUNCTION("""COMPUTED_VALUE"""),"")</f>
        <v/>
      </c>
    </row>
    <row r="532">
      <c r="R532" s="2" t="str">
        <f>IFERROR(__xludf.DUMMYFUNCTION("""COMPUTED_VALUE"""),"")</f>
        <v/>
      </c>
    </row>
    <row r="533">
      <c r="R533" s="2" t="str">
        <f>IFERROR(__xludf.DUMMYFUNCTION("""COMPUTED_VALUE"""),"")</f>
        <v/>
      </c>
    </row>
    <row r="534">
      <c r="R534" s="2" t="str">
        <f>IFERROR(__xludf.DUMMYFUNCTION("""COMPUTED_VALUE"""),"")</f>
        <v/>
      </c>
    </row>
    <row r="535">
      <c r="R535" s="2" t="str">
        <f>IFERROR(__xludf.DUMMYFUNCTION("""COMPUTED_VALUE"""),"")</f>
        <v/>
      </c>
    </row>
    <row r="536">
      <c r="R536" s="2" t="str">
        <f>IFERROR(__xludf.DUMMYFUNCTION("""COMPUTED_VALUE"""),"")</f>
        <v/>
      </c>
    </row>
    <row r="537">
      <c r="R537" s="2" t="str">
        <f>IFERROR(__xludf.DUMMYFUNCTION("""COMPUTED_VALUE"""),"")</f>
        <v/>
      </c>
    </row>
    <row r="538">
      <c r="R538" s="2" t="str">
        <f>IFERROR(__xludf.DUMMYFUNCTION("""COMPUTED_VALUE"""),"")</f>
        <v/>
      </c>
    </row>
    <row r="539">
      <c r="R539" s="2" t="str">
        <f>IFERROR(__xludf.DUMMYFUNCTION("""COMPUTED_VALUE"""),"")</f>
        <v/>
      </c>
    </row>
    <row r="540">
      <c r="R540" s="2" t="str">
        <f>IFERROR(__xludf.DUMMYFUNCTION("""COMPUTED_VALUE"""),"")</f>
        <v/>
      </c>
    </row>
    <row r="541">
      <c r="R541" s="2" t="str">
        <f>IFERROR(__xludf.DUMMYFUNCTION("""COMPUTED_VALUE"""),"")</f>
        <v/>
      </c>
    </row>
    <row r="542">
      <c r="R542" s="2" t="str">
        <f>IFERROR(__xludf.DUMMYFUNCTION("""COMPUTED_VALUE"""),"")</f>
        <v/>
      </c>
    </row>
    <row r="543">
      <c r="R543" s="2" t="str">
        <f>IFERROR(__xludf.DUMMYFUNCTION("""COMPUTED_VALUE"""),"")</f>
        <v/>
      </c>
    </row>
    <row r="544">
      <c r="R544" s="2" t="str">
        <f>IFERROR(__xludf.DUMMYFUNCTION("""COMPUTED_VALUE"""),"")</f>
        <v/>
      </c>
    </row>
    <row r="545">
      <c r="R545" s="2" t="str">
        <f>IFERROR(__xludf.DUMMYFUNCTION("""COMPUTED_VALUE"""),"")</f>
        <v/>
      </c>
    </row>
    <row r="546">
      <c r="R546" s="2" t="str">
        <f>IFERROR(__xludf.DUMMYFUNCTION("""COMPUTED_VALUE"""),"")</f>
        <v/>
      </c>
    </row>
    <row r="547">
      <c r="R547" s="2" t="str">
        <f>IFERROR(__xludf.DUMMYFUNCTION("""COMPUTED_VALUE"""),"")</f>
        <v/>
      </c>
    </row>
    <row r="548">
      <c r="R548" s="2" t="str">
        <f>IFERROR(__xludf.DUMMYFUNCTION("""COMPUTED_VALUE"""),"")</f>
        <v/>
      </c>
    </row>
    <row r="549">
      <c r="R549" s="2" t="str">
        <f>IFERROR(__xludf.DUMMYFUNCTION("""COMPUTED_VALUE"""),"")</f>
        <v/>
      </c>
    </row>
    <row r="550">
      <c r="R550" s="2" t="str">
        <f>IFERROR(__xludf.DUMMYFUNCTION("""COMPUTED_VALUE"""),"")</f>
        <v/>
      </c>
    </row>
    <row r="551">
      <c r="R551" s="2" t="str">
        <f>IFERROR(__xludf.DUMMYFUNCTION("""COMPUTED_VALUE"""),"")</f>
        <v/>
      </c>
    </row>
    <row r="552">
      <c r="R552" s="2" t="str">
        <f>IFERROR(__xludf.DUMMYFUNCTION("""COMPUTED_VALUE"""),"")</f>
        <v/>
      </c>
    </row>
    <row r="553">
      <c r="R553" s="2" t="str">
        <f>IFERROR(__xludf.DUMMYFUNCTION("""COMPUTED_VALUE"""),"")</f>
        <v/>
      </c>
    </row>
    <row r="554">
      <c r="R554" s="2" t="str">
        <f>IFERROR(__xludf.DUMMYFUNCTION("""COMPUTED_VALUE"""),"")</f>
        <v/>
      </c>
    </row>
    <row r="555">
      <c r="R555" s="2" t="str">
        <f>IFERROR(__xludf.DUMMYFUNCTION("""COMPUTED_VALUE"""),"")</f>
        <v/>
      </c>
    </row>
    <row r="556">
      <c r="R556" s="2" t="str">
        <f>IFERROR(__xludf.DUMMYFUNCTION("""COMPUTED_VALUE"""),"")</f>
        <v/>
      </c>
    </row>
    <row r="557">
      <c r="R557" s="2" t="str">
        <f>IFERROR(__xludf.DUMMYFUNCTION("""COMPUTED_VALUE"""),"")</f>
        <v/>
      </c>
    </row>
    <row r="558">
      <c r="R558" s="2" t="str">
        <f>IFERROR(__xludf.DUMMYFUNCTION("""COMPUTED_VALUE"""),"")</f>
        <v/>
      </c>
    </row>
    <row r="559">
      <c r="R559" s="2" t="str">
        <f>IFERROR(__xludf.DUMMYFUNCTION("""COMPUTED_VALUE"""),"")</f>
        <v/>
      </c>
    </row>
    <row r="560">
      <c r="R560" s="2" t="str">
        <f>IFERROR(__xludf.DUMMYFUNCTION("""COMPUTED_VALUE"""),"")</f>
        <v/>
      </c>
    </row>
    <row r="561">
      <c r="R561" s="2" t="str">
        <f>IFERROR(__xludf.DUMMYFUNCTION("""COMPUTED_VALUE"""),"")</f>
        <v/>
      </c>
    </row>
    <row r="562">
      <c r="R562" s="2" t="str">
        <f>IFERROR(__xludf.DUMMYFUNCTION("""COMPUTED_VALUE"""),"")</f>
        <v/>
      </c>
    </row>
    <row r="563">
      <c r="R563" s="2" t="str">
        <f>IFERROR(__xludf.DUMMYFUNCTION("""COMPUTED_VALUE"""),"")</f>
        <v/>
      </c>
    </row>
    <row r="564">
      <c r="R564" s="2" t="str">
        <f>IFERROR(__xludf.DUMMYFUNCTION("""COMPUTED_VALUE"""),"")</f>
        <v/>
      </c>
    </row>
    <row r="565">
      <c r="R565" s="2" t="str">
        <f>IFERROR(__xludf.DUMMYFUNCTION("""COMPUTED_VALUE"""),"")</f>
        <v/>
      </c>
    </row>
    <row r="566">
      <c r="R566" s="2" t="str">
        <f>IFERROR(__xludf.DUMMYFUNCTION("""COMPUTED_VALUE"""),"")</f>
        <v/>
      </c>
    </row>
    <row r="567">
      <c r="R567" s="2" t="str">
        <f>IFERROR(__xludf.DUMMYFUNCTION("""COMPUTED_VALUE"""),"")</f>
        <v/>
      </c>
    </row>
    <row r="568">
      <c r="R568" s="2" t="str">
        <f>IFERROR(__xludf.DUMMYFUNCTION("""COMPUTED_VALUE"""),"")</f>
        <v/>
      </c>
    </row>
    <row r="569">
      <c r="R569" s="2" t="str">
        <f>IFERROR(__xludf.DUMMYFUNCTION("""COMPUTED_VALUE"""),"")</f>
        <v/>
      </c>
    </row>
    <row r="570">
      <c r="R570" s="2" t="str">
        <f>IFERROR(__xludf.DUMMYFUNCTION("""COMPUTED_VALUE"""),"")</f>
        <v/>
      </c>
    </row>
    <row r="571">
      <c r="R571" s="2" t="str">
        <f>IFERROR(__xludf.DUMMYFUNCTION("""COMPUTED_VALUE"""),"")</f>
        <v/>
      </c>
    </row>
    <row r="572">
      <c r="R572" s="2" t="str">
        <f>IFERROR(__xludf.DUMMYFUNCTION("""COMPUTED_VALUE"""),"")</f>
        <v/>
      </c>
    </row>
    <row r="573">
      <c r="R573" s="2" t="str">
        <f>IFERROR(__xludf.DUMMYFUNCTION("""COMPUTED_VALUE"""),"")</f>
        <v/>
      </c>
    </row>
    <row r="574">
      <c r="R574" s="2" t="str">
        <f>IFERROR(__xludf.DUMMYFUNCTION("""COMPUTED_VALUE"""),"")</f>
        <v/>
      </c>
    </row>
    <row r="575">
      <c r="R575" s="2" t="str">
        <f>IFERROR(__xludf.DUMMYFUNCTION("""COMPUTED_VALUE"""),"")</f>
        <v/>
      </c>
    </row>
    <row r="576">
      <c r="R576" s="2" t="str">
        <f>IFERROR(__xludf.DUMMYFUNCTION("""COMPUTED_VALUE"""),"")</f>
        <v/>
      </c>
    </row>
    <row r="577">
      <c r="R577" s="2" t="str">
        <f>IFERROR(__xludf.DUMMYFUNCTION("""COMPUTED_VALUE"""),"")</f>
        <v/>
      </c>
    </row>
    <row r="578">
      <c r="R578" s="2" t="str">
        <f>IFERROR(__xludf.DUMMYFUNCTION("""COMPUTED_VALUE"""),"")</f>
        <v/>
      </c>
    </row>
    <row r="579">
      <c r="R579" s="2" t="str">
        <f>IFERROR(__xludf.DUMMYFUNCTION("""COMPUTED_VALUE"""),"")</f>
        <v/>
      </c>
    </row>
    <row r="580">
      <c r="R580" s="2" t="str">
        <f>IFERROR(__xludf.DUMMYFUNCTION("""COMPUTED_VALUE"""),"")</f>
        <v/>
      </c>
    </row>
    <row r="581">
      <c r="R581" s="2" t="str">
        <f>IFERROR(__xludf.DUMMYFUNCTION("""COMPUTED_VALUE"""),"")</f>
        <v/>
      </c>
    </row>
    <row r="582">
      <c r="R582" s="2" t="str">
        <f>IFERROR(__xludf.DUMMYFUNCTION("""COMPUTED_VALUE"""),"")</f>
        <v/>
      </c>
    </row>
    <row r="583">
      <c r="R583" s="2" t="str">
        <f>IFERROR(__xludf.DUMMYFUNCTION("""COMPUTED_VALUE"""),"")</f>
        <v/>
      </c>
    </row>
    <row r="584">
      <c r="R584" s="2" t="str">
        <f>IFERROR(__xludf.DUMMYFUNCTION("""COMPUTED_VALUE"""),"")</f>
        <v/>
      </c>
    </row>
    <row r="585">
      <c r="R585" s="2" t="str">
        <f>IFERROR(__xludf.DUMMYFUNCTION("""COMPUTED_VALUE"""),"")</f>
        <v/>
      </c>
    </row>
    <row r="586">
      <c r="R586" s="2" t="str">
        <f>IFERROR(__xludf.DUMMYFUNCTION("""COMPUTED_VALUE"""),"")</f>
        <v/>
      </c>
    </row>
    <row r="587">
      <c r="R587" s="2" t="str">
        <f>IFERROR(__xludf.DUMMYFUNCTION("""COMPUTED_VALUE"""),"")</f>
        <v/>
      </c>
    </row>
    <row r="588">
      <c r="R588" s="2" t="str">
        <f>IFERROR(__xludf.DUMMYFUNCTION("""COMPUTED_VALUE"""),"")</f>
        <v/>
      </c>
    </row>
    <row r="589">
      <c r="R589" s="2" t="str">
        <f>IFERROR(__xludf.DUMMYFUNCTION("""COMPUTED_VALUE"""),"")</f>
        <v/>
      </c>
    </row>
    <row r="590">
      <c r="R590" s="2" t="str">
        <f>IFERROR(__xludf.DUMMYFUNCTION("""COMPUTED_VALUE"""),"")</f>
        <v/>
      </c>
    </row>
    <row r="591">
      <c r="R591" s="2" t="str">
        <f>IFERROR(__xludf.DUMMYFUNCTION("""COMPUTED_VALUE"""),"")</f>
        <v/>
      </c>
    </row>
    <row r="592">
      <c r="R592" s="2" t="str">
        <f>IFERROR(__xludf.DUMMYFUNCTION("""COMPUTED_VALUE"""),"")</f>
        <v/>
      </c>
    </row>
    <row r="593">
      <c r="R593" s="2" t="str">
        <f>IFERROR(__xludf.DUMMYFUNCTION("""COMPUTED_VALUE"""),"")</f>
        <v/>
      </c>
    </row>
    <row r="594">
      <c r="R594" s="2" t="str">
        <f>IFERROR(__xludf.DUMMYFUNCTION("""COMPUTED_VALUE"""),"")</f>
        <v/>
      </c>
    </row>
    <row r="595">
      <c r="R595" s="2" t="str">
        <f>IFERROR(__xludf.DUMMYFUNCTION("""COMPUTED_VALUE"""),"")</f>
        <v/>
      </c>
    </row>
    <row r="596">
      <c r="R596" s="2" t="str">
        <f>IFERROR(__xludf.DUMMYFUNCTION("""COMPUTED_VALUE"""),"")</f>
        <v/>
      </c>
    </row>
    <row r="597">
      <c r="R597" s="2" t="str">
        <f>IFERROR(__xludf.DUMMYFUNCTION("""COMPUTED_VALUE"""),"")</f>
        <v/>
      </c>
    </row>
    <row r="598">
      <c r="R598" s="2" t="str">
        <f>IFERROR(__xludf.DUMMYFUNCTION("""COMPUTED_VALUE"""),"")</f>
        <v/>
      </c>
    </row>
    <row r="599">
      <c r="R599" s="2" t="str">
        <f>IFERROR(__xludf.DUMMYFUNCTION("""COMPUTED_VALUE"""),"")</f>
        <v/>
      </c>
    </row>
    <row r="600">
      <c r="R600" s="2" t="str">
        <f>IFERROR(__xludf.DUMMYFUNCTION("""COMPUTED_VALUE"""),"")</f>
        <v/>
      </c>
    </row>
    <row r="601">
      <c r="R601" s="2" t="str">
        <f>IFERROR(__xludf.DUMMYFUNCTION("""COMPUTED_VALUE"""),"")</f>
        <v/>
      </c>
    </row>
    <row r="602">
      <c r="R602" s="2" t="str">
        <f>IFERROR(__xludf.DUMMYFUNCTION("""COMPUTED_VALUE"""),"")</f>
        <v/>
      </c>
    </row>
    <row r="603">
      <c r="R603" s="2" t="str">
        <f>IFERROR(__xludf.DUMMYFUNCTION("""COMPUTED_VALUE"""),"")</f>
        <v/>
      </c>
    </row>
    <row r="604">
      <c r="R604" s="2" t="str">
        <f>IFERROR(__xludf.DUMMYFUNCTION("""COMPUTED_VALUE"""),"")</f>
        <v/>
      </c>
    </row>
    <row r="605">
      <c r="R605" s="2" t="str">
        <f>IFERROR(__xludf.DUMMYFUNCTION("""COMPUTED_VALUE"""),"")</f>
        <v/>
      </c>
    </row>
    <row r="606">
      <c r="R606" s="2" t="str">
        <f>IFERROR(__xludf.DUMMYFUNCTION("""COMPUTED_VALUE"""),"")</f>
        <v/>
      </c>
    </row>
    <row r="607">
      <c r="R607" s="2" t="str">
        <f>IFERROR(__xludf.DUMMYFUNCTION("""COMPUTED_VALUE"""),"")</f>
        <v/>
      </c>
    </row>
    <row r="608">
      <c r="R608" s="2" t="str">
        <f>IFERROR(__xludf.DUMMYFUNCTION("""COMPUTED_VALUE"""),"")</f>
        <v/>
      </c>
    </row>
    <row r="609">
      <c r="R609" s="2" t="str">
        <f>IFERROR(__xludf.DUMMYFUNCTION("""COMPUTED_VALUE"""),"")</f>
        <v/>
      </c>
    </row>
    <row r="610">
      <c r="R610" s="2" t="str">
        <f>IFERROR(__xludf.DUMMYFUNCTION("""COMPUTED_VALUE"""),"")</f>
        <v/>
      </c>
    </row>
    <row r="611">
      <c r="R611" s="2" t="str">
        <f>IFERROR(__xludf.DUMMYFUNCTION("""COMPUTED_VALUE"""),"")</f>
        <v/>
      </c>
    </row>
    <row r="612">
      <c r="R612" s="2" t="str">
        <f>IFERROR(__xludf.DUMMYFUNCTION("""COMPUTED_VALUE"""),"")</f>
        <v/>
      </c>
    </row>
    <row r="613">
      <c r="R613" s="2" t="str">
        <f>IFERROR(__xludf.DUMMYFUNCTION("""COMPUTED_VALUE"""),"")</f>
        <v/>
      </c>
    </row>
    <row r="614">
      <c r="R614" s="2" t="str">
        <f>IFERROR(__xludf.DUMMYFUNCTION("""COMPUTED_VALUE"""),"")</f>
        <v/>
      </c>
    </row>
    <row r="615">
      <c r="R615" s="2" t="str">
        <f>IFERROR(__xludf.DUMMYFUNCTION("""COMPUTED_VALUE"""),"")</f>
        <v/>
      </c>
    </row>
    <row r="616">
      <c r="R616" s="2" t="str">
        <f>IFERROR(__xludf.DUMMYFUNCTION("""COMPUTED_VALUE"""),"")</f>
        <v/>
      </c>
    </row>
    <row r="617">
      <c r="R617" s="2" t="str">
        <f>IFERROR(__xludf.DUMMYFUNCTION("""COMPUTED_VALUE"""),"")</f>
        <v/>
      </c>
    </row>
    <row r="618">
      <c r="R618" s="2" t="str">
        <f>IFERROR(__xludf.DUMMYFUNCTION("""COMPUTED_VALUE"""),"")</f>
        <v/>
      </c>
    </row>
    <row r="619">
      <c r="R619" s="2" t="str">
        <f>IFERROR(__xludf.DUMMYFUNCTION("""COMPUTED_VALUE"""),"")</f>
        <v/>
      </c>
    </row>
    <row r="620">
      <c r="R620" s="2" t="str">
        <f>IFERROR(__xludf.DUMMYFUNCTION("""COMPUTED_VALUE"""),"")</f>
        <v/>
      </c>
    </row>
    <row r="621">
      <c r="R621" s="2" t="str">
        <f>IFERROR(__xludf.DUMMYFUNCTION("""COMPUTED_VALUE"""),"")</f>
        <v/>
      </c>
    </row>
    <row r="622">
      <c r="R622" s="2" t="str">
        <f>IFERROR(__xludf.DUMMYFUNCTION("""COMPUTED_VALUE"""),"")</f>
        <v/>
      </c>
    </row>
    <row r="623">
      <c r="R623" s="2" t="str">
        <f>IFERROR(__xludf.DUMMYFUNCTION("""COMPUTED_VALUE"""),"")</f>
        <v/>
      </c>
    </row>
    <row r="624">
      <c r="R624" s="2" t="str">
        <f>IFERROR(__xludf.DUMMYFUNCTION("""COMPUTED_VALUE"""),"")</f>
        <v/>
      </c>
    </row>
    <row r="625">
      <c r="R625" s="2" t="str">
        <f>IFERROR(__xludf.DUMMYFUNCTION("""COMPUTED_VALUE"""),"")</f>
        <v/>
      </c>
    </row>
    <row r="626">
      <c r="R626" s="2" t="str">
        <f>IFERROR(__xludf.DUMMYFUNCTION("""COMPUTED_VALUE"""),"")</f>
        <v/>
      </c>
    </row>
    <row r="627">
      <c r="R627" s="2" t="str">
        <f>IFERROR(__xludf.DUMMYFUNCTION("""COMPUTED_VALUE"""),"")</f>
        <v/>
      </c>
    </row>
    <row r="628">
      <c r="R628" s="2" t="str">
        <f>IFERROR(__xludf.DUMMYFUNCTION("""COMPUTED_VALUE"""),"")</f>
        <v/>
      </c>
    </row>
    <row r="629">
      <c r="R629" s="2" t="str">
        <f>IFERROR(__xludf.DUMMYFUNCTION("""COMPUTED_VALUE"""),"")</f>
        <v/>
      </c>
    </row>
    <row r="630">
      <c r="R630" s="2" t="str">
        <f>IFERROR(__xludf.DUMMYFUNCTION("""COMPUTED_VALUE"""),"")</f>
        <v/>
      </c>
    </row>
    <row r="631">
      <c r="R631" s="2" t="str">
        <f>IFERROR(__xludf.DUMMYFUNCTION("""COMPUTED_VALUE"""),"")</f>
        <v/>
      </c>
    </row>
    <row r="632">
      <c r="R632" s="2" t="str">
        <f>IFERROR(__xludf.DUMMYFUNCTION("""COMPUTED_VALUE"""),"")</f>
        <v/>
      </c>
    </row>
    <row r="633">
      <c r="R633" s="2" t="str">
        <f>IFERROR(__xludf.DUMMYFUNCTION("""COMPUTED_VALUE"""),"")</f>
        <v/>
      </c>
    </row>
    <row r="634">
      <c r="R634" s="2" t="str">
        <f>IFERROR(__xludf.DUMMYFUNCTION("""COMPUTED_VALUE"""),"")</f>
        <v/>
      </c>
    </row>
    <row r="635">
      <c r="R635" s="2" t="str">
        <f>IFERROR(__xludf.DUMMYFUNCTION("""COMPUTED_VALUE"""),"")</f>
        <v/>
      </c>
    </row>
    <row r="636">
      <c r="R636" s="2" t="str">
        <f>IFERROR(__xludf.DUMMYFUNCTION("""COMPUTED_VALUE"""),"")</f>
        <v/>
      </c>
    </row>
    <row r="637">
      <c r="R637" s="2" t="str">
        <f>IFERROR(__xludf.DUMMYFUNCTION("""COMPUTED_VALUE"""),"")</f>
        <v/>
      </c>
    </row>
    <row r="638">
      <c r="R638" s="2" t="str">
        <f>IFERROR(__xludf.DUMMYFUNCTION("""COMPUTED_VALUE"""),"")</f>
        <v/>
      </c>
    </row>
    <row r="639">
      <c r="R639" s="2" t="str">
        <f>IFERROR(__xludf.DUMMYFUNCTION("""COMPUTED_VALUE"""),"")</f>
        <v/>
      </c>
    </row>
    <row r="640">
      <c r="R640" s="2" t="str">
        <f>IFERROR(__xludf.DUMMYFUNCTION("""COMPUTED_VALUE"""),"")</f>
        <v/>
      </c>
    </row>
    <row r="641">
      <c r="R641" s="2" t="str">
        <f>IFERROR(__xludf.DUMMYFUNCTION("""COMPUTED_VALUE"""),"")</f>
        <v/>
      </c>
    </row>
    <row r="642">
      <c r="R642" s="2" t="str">
        <f>IFERROR(__xludf.DUMMYFUNCTION("""COMPUTED_VALUE"""),"")</f>
        <v/>
      </c>
    </row>
    <row r="643">
      <c r="R643" s="2" t="str">
        <f>IFERROR(__xludf.DUMMYFUNCTION("""COMPUTED_VALUE"""),"")</f>
        <v/>
      </c>
    </row>
    <row r="644">
      <c r="R644" s="2" t="str">
        <f>IFERROR(__xludf.DUMMYFUNCTION("""COMPUTED_VALUE"""),"")</f>
        <v/>
      </c>
    </row>
    <row r="645">
      <c r="R645" s="2" t="str">
        <f>IFERROR(__xludf.DUMMYFUNCTION("""COMPUTED_VALUE"""),"")</f>
        <v/>
      </c>
    </row>
    <row r="646">
      <c r="R646" s="2" t="str">
        <f>IFERROR(__xludf.DUMMYFUNCTION("""COMPUTED_VALUE"""),"")</f>
        <v/>
      </c>
    </row>
    <row r="647">
      <c r="R647" s="2" t="str">
        <f>IFERROR(__xludf.DUMMYFUNCTION("""COMPUTED_VALUE"""),"")</f>
        <v/>
      </c>
    </row>
    <row r="648">
      <c r="R648" s="2" t="str">
        <f>IFERROR(__xludf.DUMMYFUNCTION("""COMPUTED_VALUE"""),"")</f>
        <v/>
      </c>
    </row>
    <row r="649">
      <c r="R649" s="2" t="str">
        <f>IFERROR(__xludf.DUMMYFUNCTION("""COMPUTED_VALUE"""),"")</f>
        <v/>
      </c>
    </row>
    <row r="650">
      <c r="R650" s="2" t="str">
        <f>IFERROR(__xludf.DUMMYFUNCTION("""COMPUTED_VALUE"""),"")</f>
        <v/>
      </c>
    </row>
    <row r="651">
      <c r="R651" s="2" t="str">
        <f>IFERROR(__xludf.DUMMYFUNCTION("""COMPUTED_VALUE"""),"")</f>
        <v/>
      </c>
    </row>
    <row r="652">
      <c r="R652" s="2" t="str">
        <f>IFERROR(__xludf.DUMMYFUNCTION("""COMPUTED_VALUE"""),"")</f>
        <v/>
      </c>
    </row>
    <row r="653">
      <c r="R653" s="2" t="str">
        <f>IFERROR(__xludf.DUMMYFUNCTION("""COMPUTED_VALUE"""),"")</f>
        <v/>
      </c>
    </row>
    <row r="654">
      <c r="R654" s="2" t="str">
        <f>IFERROR(__xludf.DUMMYFUNCTION("""COMPUTED_VALUE"""),"")</f>
        <v/>
      </c>
    </row>
    <row r="655">
      <c r="R655" s="2" t="str">
        <f>IFERROR(__xludf.DUMMYFUNCTION("""COMPUTED_VALUE"""),"")</f>
        <v/>
      </c>
    </row>
    <row r="656">
      <c r="R656" s="2" t="str">
        <f>IFERROR(__xludf.DUMMYFUNCTION("""COMPUTED_VALUE"""),"")</f>
        <v/>
      </c>
    </row>
    <row r="657">
      <c r="R657" s="2" t="str">
        <f>IFERROR(__xludf.DUMMYFUNCTION("""COMPUTED_VALUE"""),"")</f>
        <v/>
      </c>
    </row>
    <row r="658">
      <c r="R658" s="2" t="str">
        <f>IFERROR(__xludf.DUMMYFUNCTION("""COMPUTED_VALUE"""),"")</f>
        <v/>
      </c>
    </row>
    <row r="659">
      <c r="R659" s="2" t="str">
        <f>IFERROR(__xludf.DUMMYFUNCTION("""COMPUTED_VALUE"""),"")</f>
        <v/>
      </c>
    </row>
    <row r="660">
      <c r="R660" s="2" t="str">
        <f>IFERROR(__xludf.DUMMYFUNCTION("""COMPUTED_VALUE"""),"")</f>
        <v/>
      </c>
    </row>
    <row r="661">
      <c r="R661" s="2" t="str">
        <f>IFERROR(__xludf.DUMMYFUNCTION("""COMPUTED_VALUE"""),"")</f>
        <v/>
      </c>
    </row>
    <row r="662">
      <c r="R662" s="2" t="str">
        <f>IFERROR(__xludf.DUMMYFUNCTION("""COMPUTED_VALUE"""),"")</f>
        <v/>
      </c>
    </row>
    <row r="663">
      <c r="R663" s="2" t="str">
        <f>IFERROR(__xludf.DUMMYFUNCTION("""COMPUTED_VALUE"""),"")</f>
        <v/>
      </c>
    </row>
    <row r="664">
      <c r="R664" s="2" t="str">
        <f>IFERROR(__xludf.DUMMYFUNCTION("""COMPUTED_VALUE"""),"")</f>
        <v/>
      </c>
    </row>
    <row r="665">
      <c r="R665" s="2" t="str">
        <f>IFERROR(__xludf.DUMMYFUNCTION("""COMPUTED_VALUE"""),"")</f>
        <v/>
      </c>
    </row>
    <row r="666">
      <c r="R666" s="2" t="str">
        <f>IFERROR(__xludf.DUMMYFUNCTION("""COMPUTED_VALUE"""),"")</f>
        <v/>
      </c>
    </row>
    <row r="667">
      <c r="R667" s="2" t="str">
        <f>IFERROR(__xludf.DUMMYFUNCTION("""COMPUTED_VALUE"""),"")</f>
        <v/>
      </c>
    </row>
    <row r="668">
      <c r="R668" s="2" t="str">
        <f>IFERROR(__xludf.DUMMYFUNCTION("""COMPUTED_VALUE"""),"")</f>
        <v/>
      </c>
    </row>
    <row r="669">
      <c r="R669" s="2" t="str">
        <f>IFERROR(__xludf.DUMMYFUNCTION("""COMPUTED_VALUE"""),"")</f>
        <v/>
      </c>
    </row>
    <row r="670">
      <c r="R670" s="2" t="str">
        <f>IFERROR(__xludf.DUMMYFUNCTION("""COMPUTED_VALUE"""),"")</f>
        <v/>
      </c>
    </row>
    <row r="671">
      <c r="R671" s="2" t="str">
        <f>IFERROR(__xludf.DUMMYFUNCTION("""COMPUTED_VALUE"""),"")</f>
        <v/>
      </c>
    </row>
    <row r="672">
      <c r="R672" s="2" t="str">
        <f>IFERROR(__xludf.DUMMYFUNCTION("""COMPUTED_VALUE"""),"")</f>
        <v/>
      </c>
    </row>
    <row r="673">
      <c r="R673" s="2" t="str">
        <f>IFERROR(__xludf.DUMMYFUNCTION("""COMPUTED_VALUE"""),"")</f>
        <v/>
      </c>
    </row>
    <row r="674">
      <c r="R674" s="2" t="str">
        <f>IFERROR(__xludf.DUMMYFUNCTION("""COMPUTED_VALUE"""),"")</f>
        <v/>
      </c>
    </row>
    <row r="675">
      <c r="R675" s="2" t="str">
        <f>IFERROR(__xludf.DUMMYFUNCTION("""COMPUTED_VALUE"""),"")</f>
        <v/>
      </c>
    </row>
    <row r="676">
      <c r="R676" s="2" t="str">
        <f>IFERROR(__xludf.DUMMYFUNCTION("""COMPUTED_VALUE"""),"")</f>
        <v/>
      </c>
    </row>
    <row r="677">
      <c r="R677" s="2" t="str">
        <f>IFERROR(__xludf.DUMMYFUNCTION("""COMPUTED_VALUE"""),"")</f>
        <v/>
      </c>
    </row>
    <row r="678">
      <c r="R678" s="2" t="str">
        <f>IFERROR(__xludf.DUMMYFUNCTION("""COMPUTED_VALUE"""),"")</f>
        <v/>
      </c>
    </row>
    <row r="679">
      <c r="R679" s="2" t="str">
        <f>IFERROR(__xludf.DUMMYFUNCTION("""COMPUTED_VALUE"""),"")</f>
        <v/>
      </c>
    </row>
    <row r="680">
      <c r="R680" s="2" t="str">
        <f>IFERROR(__xludf.DUMMYFUNCTION("""COMPUTED_VALUE"""),"")</f>
        <v/>
      </c>
    </row>
    <row r="681">
      <c r="R681" s="2" t="str">
        <f>IFERROR(__xludf.DUMMYFUNCTION("""COMPUTED_VALUE"""),"")</f>
        <v/>
      </c>
    </row>
    <row r="682">
      <c r="R682" s="2" t="str">
        <f>IFERROR(__xludf.DUMMYFUNCTION("""COMPUTED_VALUE"""),"")</f>
        <v/>
      </c>
    </row>
    <row r="683">
      <c r="R683" s="2" t="str">
        <f>IFERROR(__xludf.DUMMYFUNCTION("""COMPUTED_VALUE"""),"")</f>
        <v/>
      </c>
    </row>
    <row r="684">
      <c r="R684" s="2" t="str">
        <f>IFERROR(__xludf.DUMMYFUNCTION("""COMPUTED_VALUE"""),"")</f>
        <v/>
      </c>
    </row>
    <row r="685">
      <c r="R685" s="2" t="str">
        <f>IFERROR(__xludf.DUMMYFUNCTION("""COMPUTED_VALUE"""),"")</f>
        <v/>
      </c>
    </row>
    <row r="686">
      <c r="R686" s="2" t="str">
        <f>IFERROR(__xludf.DUMMYFUNCTION("""COMPUTED_VALUE"""),"")</f>
        <v/>
      </c>
    </row>
    <row r="687">
      <c r="R687" s="2" t="str">
        <f>IFERROR(__xludf.DUMMYFUNCTION("""COMPUTED_VALUE"""),"")</f>
        <v/>
      </c>
    </row>
    <row r="688">
      <c r="R688" s="2" t="str">
        <f>IFERROR(__xludf.DUMMYFUNCTION("""COMPUTED_VALUE"""),"")</f>
        <v/>
      </c>
    </row>
    <row r="689">
      <c r="R689" s="2" t="str">
        <f>IFERROR(__xludf.DUMMYFUNCTION("""COMPUTED_VALUE"""),"")</f>
        <v/>
      </c>
    </row>
    <row r="690">
      <c r="R690" s="2" t="str">
        <f>IFERROR(__xludf.DUMMYFUNCTION("""COMPUTED_VALUE"""),"")</f>
        <v/>
      </c>
    </row>
    <row r="691">
      <c r="R691" s="2" t="str">
        <f>IFERROR(__xludf.DUMMYFUNCTION("""COMPUTED_VALUE"""),"")</f>
        <v/>
      </c>
    </row>
    <row r="692">
      <c r="R692" s="2" t="str">
        <f>IFERROR(__xludf.DUMMYFUNCTION("""COMPUTED_VALUE"""),"")</f>
        <v/>
      </c>
    </row>
    <row r="693">
      <c r="R693" s="2" t="str">
        <f>IFERROR(__xludf.DUMMYFUNCTION("""COMPUTED_VALUE"""),"")</f>
        <v/>
      </c>
    </row>
    <row r="694">
      <c r="R694" s="2" t="str">
        <f>IFERROR(__xludf.DUMMYFUNCTION("""COMPUTED_VALUE"""),"")</f>
        <v/>
      </c>
    </row>
    <row r="695">
      <c r="R695" s="2" t="str">
        <f>IFERROR(__xludf.DUMMYFUNCTION("""COMPUTED_VALUE"""),"")</f>
        <v/>
      </c>
    </row>
    <row r="696">
      <c r="R696" s="2" t="str">
        <f>IFERROR(__xludf.DUMMYFUNCTION("""COMPUTED_VALUE"""),"")</f>
        <v/>
      </c>
    </row>
    <row r="697">
      <c r="R697" s="2" t="str">
        <f>IFERROR(__xludf.DUMMYFUNCTION("""COMPUTED_VALUE"""),"")</f>
        <v/>
      </c>
    </row>
    <row r="698">
      <c r="R698" s="2" t="str">
        <f>IFERROR(__xludf.DUMMYFUNCTION("""COMPUTED_VALUE"""),"")</f>
        <v/>
      </c>
    </row>
    <row r="699">
      <c r="R699" s="2" t="str">
        <f>IFERROR(__xludf.DUMMYFUNCTION("""COMPUTED_VALUE"""),"")</f>
        <v/>
      </c>
    </row>
    <row r="700">
      <c r="R700" s="2" t="str">
        <f>IFERROR(__xludf.DUMMYFUNCTION("""COMPUTED_VALUE"""),"")</f>
        <v/>
      </c>
    </row>
    <row r="701">
      <c r="R701" s="2" t="str">
        <f>IFERROR(__xludf.DUMMYFUNCTION("""COMPUTED_VALUE"""),"")</f>
        <v/>
      </c>
    </row>
    <row r="702">
      <c r="R702" s="2" t="str">
        <f>IFERROR(__xludf.DUMMYFUNCTION("""COMPUTED_VALUE"""),"")</f>
        <v/>
      </c>
    </row>
    <row r="703">
      <c r="R703" s="2" t="str">
        <f>IFERROR(__xludf.DUMMYFUNCTION("""COMPUTED_VALUE"""),"")</f>
        <v/>
      </c>
    </row>
    <row r="704">
      <c r="R704" s="2" t="str">
        <f>IFERROR(__xludf.DUMMYFUNCTION("""COMPUTED_VALUE"""),"")</f>
        <v/>
      </c>
    </row>
    <row r="705">
      <c r="R705" s="2" t="str">
        <f>IFERROR(__xludf.DUMMYFUNCTION("""COMPUTED_VALUE"""),"")</f>
        <v/>
      </c>
    </row>
    <row r="706">
      <c r="R706" s="2" t="str">
        <f>IFERROR(__xludf.DUMMYFUNCTION("""COMPUTED_VALUE"""),"")</f>
        <v/>
      </c>
    </row>
    <row r="707">
      <c r="R707" s="2" t="str">
        <f>IFERROR(__xludf.DUMMYFUNCTION("""COMPUTED_VALUE"""),"")</f>
        <v/>
      </c>
    </row>
    <row r="708">
      <c r="R708" s="2" t="str">
        <f>IFERROR(__xludf.DUMMYFUNCTION("""COMPUTED_VALUE"""),"")</f>
        <v/>
      </c>
    </row>
    <row r="709">
      <c r="R709" s="2" t="str">
        <f>IFERROR(__xludf.DUMMYFUNCTION("""COMPUTED_VALUE"""),"")</f>
        <v/>
      </c>
    </row>
    <row r="710">
      <c r="R710" s="2" t="str">
        <f>IFERROR(__xludf.DUMMYFUNCTION("""COMPUTED_VALUE"""),"")</f>
        <v/>
      </c>
    </row>
    <row r="711">
      <c r="R711" s="2" t="str">
        <f>IFERROR(__xludf.DUMMYFUNCTION("""COMPUTED_VALUE"""),"")</f>
        <v/>
      </c>
    </row>
    <row r="712">
      <c r="R712" s="2" t="str">
        <f>IFERROR(__xludf.DUMMYFUNCTION("""COMPUTED_VALUE"""),"")</f>
        <v/>
      </c>
    </row>
    <row r="713">
      <c r="R713" s="2" t="str">
        <f>IFERROR(__xludf.DUMMYFUNCTION("""COMPUTED_VALUE"""),"")</f>
        <v/>
      </c>
    </row>
    <row r="714">
      <c r="R714" s="2" t="str">
        <f>IFERROR(__xludf.DUMMYFUNCTION("""COMPUTED_VALUE"""),"")</f>
        <v/>
      </c>
    </row>
    <row r="715">
      <c r="R715" s="2" t="str">
        <f>IFERROR(__xludf.DUMMYFUNCTION("""COMPUTED_VALUE"""),"")</f>
        <v/>
      </c>
    </row>
    <row r="716">
      <c r="R716" s="2" t="str">
        <f>IFERROR(__xludf.DUMMYFUNCTION("""COMPUTED_VALUE"""),"")</f>
        <v/>
      </c>
    </row>
    <row r="717">
      <c r="R717" s="2" t="str">
        <f>IFERROR(__xludf.DUMMYFUNCTION("""COMPUTED_VALUE"""),"")</f>
        <v/>
      </c>
    </row>
    <row r="718">
      <c r="R718" s="2" t="str">
        <f>IFERROR(__xludf.DUMMYFUNCTION("""COMPUTED_VALUE"""),"")</f>
        <v/>
      </c>
    </row>
    <row r="719">
      <c r="R719" s="2" t="str">
        <f>IFERROR(__xludf.DUMMYFUNCTION("""COMPUTED_VALUE"""),"")</f>
        <v/>
      </c>
    </row>
    <row r="720">
      <c r="R720" s="2" t="str">
        <f>IFERROR(__xludf.DUMMYFUNCTION("""COMPUTED_VALUE"""),"")</f>
        <v/>
      </c>
    </row>
    <row r="721">
      <c r="R721" s="2" t="str">
        <f>IFERROR(__xludf.DUMMYFUNCTION("""COMPUTED_VALUE"""),"")</f>
        <v/>
      </c>
    </row>
    <row r="722">
      <c r="R722" s="2" t="str">
        <f>IFERROR(__xludf.DUMMYFUNCTION("""COMPUTED_VALUE"""),"")</f>
        <v/>
      </c>
    </row>
    <row r="723">
      <c r="R723" s="2" t="str">
        <f>IFERROR(__xludf.DUMMYFUNCTION("""COMPUTED_VALUE"""),"")</f>
        <v/>
      </c>
    </row>
    <row r="724">
      <c r="R724" s="2" t="str">
        <f>IFERROR(__xludf.DUMMYFUNCTION("""COMPUTED_VALUE"""),"")</f>
        <v/>
      </c>
    </row>
    <row r="725">
      <c r="R725" s="2" t="str">
        <f>IFERROR(__xludf.DUMMYFUNCTION("""COMPUTED_VALUE"""),"")</f>
        <v/>
      </c>
    </row>
    <row r="726">
      <c r="R726" s="2" t="str">
        <f>IFERROR(__xludf.DUMMYFUNCTION("""COMPUTED_VALUE"""),"")</f>
        <v/>
      </c>
    </row>
    <row r="727">
      <c r="R727" s="2" t="str">
        <f>IFERROR(__xludf.DUMMYFUNCTION("""COMPUTED_VALUE"""),"")</f>
        <v/>
      </c>
    </row>
    <row r="728">
      <c r="R728" s="2" t="str">
        <f>IFERROR(__xludf.DUMMYFUNCTION("""COMPUTED_VALUE"""),"")</f>
        <v/>
      </c>
    </row>
    <row r="729">
      <c r="R729" s="2" t="str">
        <f>IFERROR(__xludf.DUMMYFUNCTION("""COMPUTED_VALUE"""),"")</f>
        <v/>
      </c>
    </row>
    <row r="730">
      <c r="R730" s="2" t="str">
        <f>IFERROR(__xludf.DUMMYFUNCTION("""COMPUTED_VALUE"""),"")</f>
        <v/>
      </c>
    </row>
    <row r="731">
      <c r="R731" s="2" t="str">
        <f>IFERROR(__xludf.DUMMYFUNCTION("""COMPUTED_VALUE"""),"")</f>
        <v/>
      </c>
    </row>
    <row r="732">
      <c r="R732" s="2" t="str">
        <f>IFERROR(__xludf.DUMMYFUNCTION("""COMPUTED_VALUE"""),"")</f>
        <v/>
      </c>
    </row>
    <row r="733">
      <c r="R733" s="2" t="str">
        <f>IFERROR(__xludf.DUMMYFUNCTION("""COMPUTED_VALUE"""),"")</f>
        <v/>
      </c>
    </row>
    <row r="734">
      <c r="R734" s="2" t="str">
        <f>IFERROR(__xludf.DUMMYFUNCTION("""COMPUTED_VALUE"""),"")</f>
        <v/>
      </c>
    </row>
    <row r="735">
      <c r="R735" s="2" t="str">
        <f>IFERROR(__xludf.DUMMYFUNCTION("""COMPUTED_VALUE"""),"")</f>
        <v/>
      </c>
    </row>
    <row r="736">
      <c r="R736" s="2" t="str">
        <f>IFERROR(__xludf.DUMMYFUNCTION("""COMPUTED_VALUE"""),"")</f>
        <v/>
      </c>
    </row>
    <row r="737">
      <c r="R737" s="2" t="str">
        <f>IFERROR(__xludf.DUMMYFUNCTION("""COMPUTED_VALUE"""),"")</f>
        <v/>
      </c>
    </row>
    <row r="738">
      <c r="R738" s="2" t="str">
        <f>IFERROR(__xludf.DUMMYFUNCTION("""COMPUTED_VALUE"""),"")</f>
        <v/>
      </c>
    </row>
    <row r="739">
      <c r="R739" s="2" t="str">
        <f>IFERROR(__xludf.DUMMYFUNCTION("""COMPUTED_VALUE"""),"")</f>
        <v/>
      </c>
    </row>
    <row r="740">
      <c r="R740" s="2" t="str">
        <f>IFERROR(__xludf.DUMMYFUNCTION("""COMPUTED_VALUE"""),"")</f>
        <v/>
      </c>
    </row>
    <row r="741">
      <c r="R741" s="2" t="str">
        <f>IFERROR(__xludf.DUMMYFUNCTION("""COMPUTED_VALUE"""),"")</f>
        <v/>
      </c>
    </row>
    <row r="742">
      <c r="R742" s="2" t="str">
        <f>IFERROR(__xludf.DUMMYFUNCTION("""COMPUTED_VALUE"""),"")</f>
        <v/>
      </c>
    </row>
    <row r="743">
      <c r="R743" s="2" t="str">
        <f>IFERROR(__xludf.DUMMYFUNCTION("""COMPUTED_VALUE"""),"")</f>
        <v/>
      </c>
    </row>
    <row r="744">
      <c r="R744" s="2" t="str">
        <f>IFERROR(__xludf.DUMMYFUNCTION("""COMPUTED_VALUE"""),"")</f>
        <v/>
      </c>
    </row>
    <row r="745">
      <c r="R745" s="2" t="str">
        <f>IFERROR(__xludf.DUMMYFUNCTION("""COMPUTED_VALUE"""),"")</f>
        <v/>
      </c>
    </row>
    <row r="746">
      <c r="R746" s="2" t="str">
        <f>IFERROR(__xludf.DUMMYFUNCTION("""COMPUTED_VALUE"""),"")</f>
        <v/>
      </c>
    </row>
    <row r="747">
      <c r="R747" s="2" t="str">
        <f>IFERROR(__xludf.DUMMYFUNCTION("""COMPUTED_VALUE"""),"")</f>
        <v/>
      </c>
    </row>
    <row r="748">
      <c r="R748" s="2" t="str">
        <f>IFERROR(__xludf.DUMMYFUNCTION("""COMPUTED_VALUE"""),"")</f>
        <v/>
      </c>
    </row>
    <row r="749">
      <c r="R749" s="2" t="str">
        <f>IFERROR(__xludf.DUMMYFUNCTION("""COMPUTED_VALUE"""),"")</f>
        <v/>
      </c>
    </row>
    <row r="750">
      <c r="R750" s="2" t="str">
        <f>IFERROR(__xludf.DUMMYFUNCTION("""COMPUTED_VALUE"""),"")</f>
        <v/>
      </c>
    </row>
    <row r="751">
      <c r="R751" s="2" t="str">
        <f>IFERROR(__xludf.DUMMYFUNCTION("""COMPUTED_VALUE"""),"")</f>
        <v/>
      </c>
    </row>
    <row r="752">
      <c r="R752" s="2" t="str">
        <f>IFERROR(__xludf.DUMMYFUNCTION("""COMPUTED_VALUE"""),"")</f>
        <v/>
      </c>
    </row>
    <row r="753">
      <c r="R753" s="2" t="str">
        <f>IFERROR(__xludf.DUMMYFUNCTION("""COMPUTED_VALUE"""),"")</f>
        <v/>
      </c>
    </row>
    <row r="754">
      <c r="R754" s="2" t="str">
        <f>IFERROR(__xludf.DUMMYFUNCTION("""COMPUTED_VALUE"""),"")</f>
        <v/>
      </c>
    </row>
    <row r="755">
      <c r="R755" s="2" t="str">
        <f>IFERROR(__xludf.DUMMYFUNCTION("""COMPUTED_VALUE"""),"")</f>
        <v/>
      </c>
    </row>
    <row r="756">
      <c r="R756" s="2" t="str">
        <f>IFERROR(__xludf.DUMMYFUNCTION("""COMPUTED_VALUE"""),"")</f>
        <v/>
      </c>
    </row>
    <row r="757">
      <c r="R757" s="2" t="str">
        <f>IFERROR(__xludf.DUMMYFUNCTION("""COMPUTED_VALUE"""),"")</f>
        <v/>
      </c>
    </row>
    <row r="758">
      <c r="R758" s="2" t="str">
        <f>IFERROR(__xludf.DUMMYFUNCTION("""COMPUTED_VALUE"""),"")</f>
        <v/>
      </c>
    </row>
    <row r="759">
      <c r="R759" s="2" t="str">
        <f>IFERROR(__xludf.DUMMYFUNCTION("""COMPUTED_VALUE"""),"")</f>
        <v/>
      </c>
    </row>
    <row r="760">
      <c r="R760" s="2" t="str">
        <f>IFERROR(__xludf.DUMMYFUNCTION("""COMPUTED_VALUE"""),"")</f>
        <v/>
      </c>
    </row>
    <row r="761">
      <c r="R761" s="2" t="str">
        <f>IFERROR(__xludf.DUMMYFUNCTION("""COMPUTED_VALUE"""),"")</f>
        <v/>
      </c>
    </row>
    <row r="762">
      <c r="R762" s="2" t="str">
        <f>IFERROR(__xludf.DUMMYFUNCTION("""COMPUTED_VALUE"""),"")</f>
        <v/>
      </c>
    </row>
    <row r="763">
      <c r="R763" s="2" t="str">
        <f>IFERROR(__xludf.DUMMYFUNCTION("""COMPUTED_VALUE"""),"")</f>
        <v/>
      </c>
    </row>
    <row r="764">
      <c r="R764" s="2" t="str">
        <f>IFERROR(__xludf.DUMMYFUNCTION("""COMPUTED_VALUE"""),"")</f>
        <v/>
      </c>
    </row>
    <row r="765">
      <c r="R765" s="2" t="str">
        <f>IFERROR(__xludf.DUMMYFUNCTION("""COMPUTED_VALUE"""),"")</f>
        <v/>
      </c>
    </row>
    <row r="766">
      <c r="R766" s="2" t="str">
        <f>IFERROR(__xludf.DUMMYFUNCTION("""COMPUTED_VALUE"""),"")</f>
        <v/>
      </c>
    </row>
    <row r="767">
      <c r="R767" s="2" t="str">
        <f>IFERROR(__xludf.DUMMYFUNCTION("""COMPUTED_VALUE"""),"")</f>
        <v/>
      </c>
    </row>
    <row r="768">
      <c r="R768" s="2" t="str">
        <f>IFERROR(__xludf.DUMMYFUNCTION("""COMPUTED_VALUE"""),"")</f>
        <v/>
      </c>
    </row>
    <row r="769">
      <c r="R769" s="2" t="str">
        <f>IFERROR(__xludf.DUMMYFUNCTION("""COMPUTED_VALUE"""),"")</f>
        <v/>
      </c>
    </row>
    <row r="770">
      <c r="R770" s="2" t="str">
        <f>IFERROR(__xludf.DUMMYFUNCTION("""COMPUTED_VALUE"""),"")</f>
        <v/>
      </c>
    </row>
    <row r="771">
      <c r="R771" s="2" t="str">
        <f>IFERROR(__xludf.DUMMYFUNCTION("""COMPUTED_VALUE"""),"")</f>
        <v/>
      </c>
    </row>
    <row r="772">
      <c r="R772" s="2" t="str">
        <f>IFERROR(__xludf.DUMMYFUNCTION("""COMPUTED_VALUE"""),"")</f>
        <v/>
      </c>
    </row>
    <row r="773">
      <c r="R773" s="2" t="str">
        <f>IFERROR(__xludf.DUMMYFUNCTION("""COMPUTED_VALUE"""),"")</f>
        <v/>
      </c>
    </row>
    <row r="774">
      <c r="R774" s="2" t="str">
        <f>IFERROR(__xludf.DUMMYFUNCTION("""COMPUTED_VALUE"""),"")</f>
        <v/>
      </c>
    </row>
    <row r="775">
      <c r="R775" s="2" t="str">
        <f>IFERROR(__xludf.DUMMYFUNCTION("""COMPUTED_VALUE"""),"")</f>
        <v/>
      </c>
    </row>
    <row r="776">
      <c r="R776" s="2" t="str">
        <f>IFERROR(__xludf.DUMMYFUNCTION("""COMPUTED_VALUE"""),"")</f>
        <v/>
      </c>
    </row>
    <row r="777">
      <c r="R777" s="2" t="str">
        <f>IFERROR(__xludf.DUMMYFUNCTION("""COMPUTED_VALUE"""),"")</f>
        <v/>
      </c>
    </row>
    <row r="778">
      <c r="R778" s="2" t="str">
        <f>IFERROR(__xludf.DUMMYFUNCTION("""COMPUTED_VALUE"""),"")</f>
        <v/>
      </c>
    </row>
    <row r="779">
      <c r="R779" s="2" t="str">
        <f>IFERROR(__xludf.DUMMYFUNCTION("""COMPUTED_VALUE"""),"")</f>
        <v/>
      </c>
    </row>
    <row r="780">
      <c r="R780" s="2" t="str">
        <f>IFERROR(__xludf.DUMMYFUNCTION("""COMPUTED_VALUE"""),"")</f>
        <v/>
      </c>
    </row>
    <row r="781">
      <c r="R781" s="2" t="str">
        <f>IFERROR(__xludf.DUMMYFUNCTION("""COMPUTED_VALUE"""),"")</f>
        <v/>
      </c>
    </row>
    <row r="782">
      <c r="R782" s="2" t="str">
        <f>IFERROR(__xludf.DUMMYFUNCTION("""COMPUTED_VALUE"""),"")</f>
        <v/>
      </c>
    </row>
    <row r="783">
      <c r="R783" s="2" t="str">
        <f>IFERROR(__xludf.DUMMYFUNCTION("""COMPUTED_VALUE"""),"")</f>
        <v/>
      </c>
    </row>
    <row r="784">
      <c r="R784" s="2" t="str">
        <f>IFERROR(__xludf.DUMMYFUNCTION("""COMPUTED_VALUE"""),"")</f>
        <v/>
      </c>
    </row>
    <row r="785">
      <c r="R785" s="2" t="str">
        <f>IFERROR(__xludf.DUMMYFUNCTION("""COMPUTED_VALUE"""),"")</f>
        <v/>
      </c>
    </row>
    <row r="786">
      <c r="R786" s="2" t="str">
        <f>IFERROR(__xludf.DUMMYFUNCTION("""COMPUTED_VALUE"""),"")</f>
        <v/>
      </c>
    </row>
    <row r="787">
      <c r="R787" s="2" t="str">
        <f>IFERROR(__xludf.DUMMYFUNCTION("""COMPUTED_VALUE"""),"")</f>
        <v/>
      </c>
    </row>
    <row r="788">
      <c r="R788" s="2" t="str">
        <f>IFERROR(__xludf.DUMMYFUNCTION("""COMPUTED_VALUE"""),"")</f>
        <v/>
      </c>
    </row>
    <row r="789">
      <c r="R789" s="2" t="str">
        <f>IFERROR(__xludf.DUMMYFUNCTION("""COMPUTED_VALUE"""),"")</f>
        <v/>
      </c>
    </row>
    <row r="790">
      <c r="R790" s="2" t="str">
        <f>IFERROR(__xludf.DUMMYFUNCTION("""COMPUTED_VALUE"""),"")</f>
        <v/>
      </c>
    </row>
    <row r="791">
      <c r="R791" s="2" t="str">
        <f>IFERROR(__xludf.DUMMYFUNCTION("""COMPUTED_VALUE"""),"")</f>
        <v/>
      </c>
    </row>
    <row r="792">
      <c r="R792" s="2" t="str">
        <f>IFERROR(__xludf.DUMMYFUNCTION("""COMPUTED_VALUE"""),"")</f>
        <v/>
      </c>
    </row>
    <row r="793">
      <c r="R793" s="2" t="str">
        <f>IFERROR(__xludf.DUMMYFUNCTION("""COMPUTED_VALUE"""),"")</f>
        <v/>
      </c>
    </row>
    <row r="794">
      <c r="R794" s="2" t="str">
        <f>IFERROR(__xludf.DUMMYFUNCTION("""COMPUTED_VALUE"""),"")</f>
        <v/>
      </c>
    </row>
    <row r="795">
      <c r="R795" s="2" t="str">
        <f>IFERROR(__xludf.DUMMYFUNCTION("""COMPUTED_VALUE"""),"")</f>
        <v/>
      </c>
    </row>
    <row r="796">
      <c r="R796" s="2" t="str">
        <f>IFERROR(__xludf.DUMMYFUNCTION("""COMPUTED_VALUE"""),"")</f>
        <v/>
      </c>
    </row>
    <row r="797">
      <c r="R797" s="2" t="str">
        <f>IFERROR(__xludf.DUMMYFUNCTION("""COMPUTED_VALUE"""),"")</f>
        <v/>
      </c>
    </row>
    <row r="798">
      <c r="R798" s="2" t="str">
        <f>IFERROR(__xludf.DUMMYFUNCTION("""COMPUTED_VALUE"""),"")</f>
        <v/>
      </c>
    </row>
    <row r="799">
      <c r="R799" s="2" t="str">
        <f>IFERROR(__xludf.DUMMYFUNCTION("""COMPUTED_VALUE"""),"")</f>
        <v/>
      </c>
    </row>
    <row r="800">
      <c r="R800" s="2" t="str">
        <f>IFERROR(__xludf.DUMMYFUNCTION("""COMPUTED_VALUE"""),"")</f>
        <v/>
      </c>
    </row>
    <row r="801">
      <c r="R801" s="2" t="str">
        <f>IFERROR(__xludf.DUMMYFUNCTION("""COMPUTED_VALUE"""),"")</f>
        <v/>
      </c>
    </row>
    <row r="802">
      <c r="R802" s="2" t="str">
        <f>IFERROR(__xludf.DUMMYFUNCTION("""COMPUTED_VALUE"""),"")</f>
        <v/>
      </c>
    </row>
    <row r="803">
      <c r="R803" s="2" t="str">
        <f>IFERROR(__xludf.DUMMYFUNCTION("""COMPUTED_VALUE"""),"")</f>
        <v/>
      </c>
    </row>
    <row r="804">
      <c r="R804" s="2" t="str">
        <f>IFERROR(__xludf.DUMMYFUNCTION("""COMPUTED_VALUE"""),"")</f>
        <v/>
      </c>
    </row>
    <row r="805">
      <c r="R805" s="2" t="str">
        <f>IFERROR(__xludf.DUMMYFUNCTION("""COMPUTED_VALUE"""),"")</f>
        <v/>
      </c>
    </row>
    <row r="806">
      <c r="R806" s="2" t="str">
        <f>IFERROR(__xludf.DUMMYFUNCTION("""COMPUTED_VALUE"""),"")</f>
        <v/>
      </c>
    </row>
    <row r="807">
      <c r="R807" s="2" t="str">
        <f>IFERROR(__xludf.DUMMYFUNCTION("""COMPUTED_VALUE"""),"")</f>
        <v/>
      </c>
    </row>
    <row r="808">
      <c r="R808" s="2" t="str">
        <f>IFERROR(__xludf.DUMMYFUNCTION("""COMPUTED_VALUE"""),"")</f>
        <v/>
      </c>
    </row>
    <row r="809">
      <c r="R809" s="2" t="str">
        <f>IFERROR(__xludf.DUMMYFUNCTION("""COMPUTED_VALUE"""),"")</f>
        <v/>
      </c>
    </row>
    <row r="810">
      <c r="R810" s="2" t="str">
        <f>IFERROR(__xludf.DUMMYFUNCTION("""COMPUTED_VALUE"""),"")</f>
        <v/>
      </c>
    </row>
    <row r="811">
      <c r="R811" s="2" t="str">
        <f>IFERROR(__xludf.DUMMYFUNCTION("""COMPUTED_VALUE"""),"")</f>
        <v/>
      </c>
    </row>
    <row r="812">
      <c r="R812" s="2" t="str">
        <f>IFERROR(__xludf.DUMMYFUNCTION("""COMPUTED_VALUE"""),"")</f>
        <v/>
      </c>
    </row>
    <row r="813">
      <c r="R813" s="2" t="str">
        <f>IFERROR(__xludf.DUMMYFUNCTION("""COMPUTED_VALUE"""),"")</f>
        <v/>
      </c>
    </row>
    <row r="814">
      <c r="R814" s="2" t="str">
        <f>IFERROR(__xludf.DUMMYFUNCTION("""COMPUTED_VALUE"""),"")</f>
        <v/>
      </c>
    </row>
    <row r="815">
      <c r="R815" s="2" t="str">
        <f>IFERROR(__xludf.DUMMYFUNCTION("""COMPUTED_VALUE"""),"")</f>
        <v/>
      </c>
    </row>
    <row r="816">
      <c r="R816" s="2" t="str">
        <f>IFERROR(__xludf.DUMMYFUNCTION("""COMPUTED_VALUE"""),"")</f>
        <v/>
      </c>
    </row>
    <row r="817">
      <c r="R817" s="2" t="str">
        <f>IFERROR(__xludf.DUMMYFUNCTION("""COMPUTED_VALUE"""),"")</f>
        <v/>
      </c>
    </row>
    <row r="818">
      <c r="R818" s="2" t="str">
        <f>IFERROR(__xludf.DUMMYFUNCTION("""COMPUTED_VALUE"""),"")</f>
        <v/>
      </c>
    </row>
    <row r="819">
      <c r="R819" s="2" t="str">
        <f>IFERROR(__xludf.DUMMYFUNCTION("""COMPUTED_VALUE"""),"")</f>
        <v/>
      </c>
    </row>
    <row r="820">
      <c r="R820" s="2" t="str">
        <f>IFERROR(__xludf.DUMMYFUNCTION("""COMPUTED_VALUE"""),"")</f>
        <v/>
      </c>
    </row>
    <row r="821">
      <c r="R821" s="2" t="str">
        <f>IFERROR(__xludf.DUMMYFUNCTION("""COMPUTED_VALUE"""),"")</f>
        <v/>
      </c>
    </row>
    <row r="822">
      <c r="R822" s="2" t="str">
        <f>IFERROR(__xludf.DUMMYFUNCTION("""COMPUTED_VALUE"""),"")</f>
        <v/>
      </c>
    </row>
    <row r="823">
      <c r="R823" s="2" t="str">
        <f>IFERROR(__xludf.DUMMYFUNCTION("""COMPUTED_VALUE"""),"")</f>
        <v/>
      </c>
    </row>
    <row r="824">
      <c r="R824" s="2" t="str">
        <f>IFERROR(__xludf.DUMMYFUNCTION("""COMPUTED_VALUE"""),"")</f>
        <v/>
      </c>
    </row>
    <row r="825">
      <c r="R825" s="2" t="str">
        <f>IFERROR(__xludf.DUMMYFUNCTION("""COMPUTED_VALUE"""),"")</f>
        <v/>
      </c>
    </row>
    <row r="826">
      <c r="R826" s="2" t="str">
        <f>IFERROR(__xludf.DUMMYFUNCTION("""COMPUTED_VALUE"""),"")</f>
        <v/>
      </c>
    </row>
    <row r="827">
      <c r="R827" s="2" t="str">
        <f>IFERROR(__xludf.DUMMYFUNCTION("""COMPUTED_VALUE"""),"")</f>
        <v/>
      </c>
    </row>
    <row r="828">
      <c r="R828" s="2" t="str">
        <f>IFERROR(__xludf.DUMMYFUNCTION("""COMPUTED_VALUE"""),"")</f>
        <v/>
      </c>
    </row>
    <row r="829">
      <c r="R829" s="2" t="str">
        <f>IFERROR(__xludf.DUMMYFUNCTION("""COMPUTED_VALUE"""),"")</f>
        <v/>
      </c>
    </row>
    <row r="830">
      <c r="R830" s="2" t="str">
        <f>IFERROR(__xludf.DUMMYFUNCTION("""COMPUTED_VALUE"""),"")</f>
        <v/>
      </c>
    </row>
    <row r="831">
      <c r="R831" s="2" t="str">
        <f>IFERROR(__xludf.DUMMYFUNCTION("""COMPUTED_VALUE"""),"")</f>
        <v/>
      </c>
    </row>
    <row r="832">
      <c r="R832" s="2" t="str">
        <f>IFERROR(__xludf.DUMMYFUNCTION("""COMPUTED_VALUE"""),"")</f>
        <v/>
      </c>
    </row>
    <row r="833">
      <c r="R833" s="2" t="str">
        <f>IFERROR(__xludf.DUMMYFUNCTION("""COMPUTED_VALUE"""),"")</f>
        <v/>
      </c>
    </row>
    <row r="834">
      <c r="R834" s="2" t="str">
        <f>IFERROR(__xludf.DUMMYFUNCTION("""COMPUTED_VALUE"""),"")</f>
        <v/>
      </c>
    </row>
    <row r="835">
      <c r="R835" s="2" t="str">
        <f>IFERROR(__xludf.DUMMYFUNCTION("""COMPUTED_VALUE"""),"")</f>
        <v/>
      </c>
    </row>
    <row r="836">
      <c r="R836" s="2" t="str">
        <f>IFERROR(__xludf.DUMMYFUNCTION("""COMPUTED_VALUE"""),"")</f>
        <v/>
      </c>
    </row>
    <row r="837">
      <c r="R837" s="2" t="str">
        <f>IFERROR(__xludf.DUMMYFUNCTION("""COMPUTED_VALUE"""),"")</f>
        <v/>
      </c>
    </row>
    <row r="838">
      <c r="R838" s="2" t="str">
        <f>IFERROR(__xludf.DUMMYFUNCTION("""COMPUTED_VALUE"""),"")</f>
        <v/>
      </c>
    </row>
    <row r="839">
      <c r="R839" s="2" t="str">
        <f>IFERROR(__xludf.DUMMYFUNCTION("""COMPUTED_VALUE"""),"")</f>
        <v/>
      </c>
    </row>
    <row r="840">
      <c r="R840" s="2" t="str">
        <f>IFERROR(__xludf.DUMMYFUNCTION("""COMPUTED_VALUE"""),"")</f>
        <v/>
      </c>
    </row>
    <row r="841">
      <c r="R841" s="2" t="str">
        <f>IFERROR(__xludf.DUMMYFUNCTION("""COMPUTED_VALUE"""),"")</f>
        <v/>
      </c>
    </row>
    <row r="842">
      <c r="R842" s="2" t="str">
        <f>IFERROR(__xludf.DUMMYFUNCTION("""COMPUTED_VALUE"""),"")</f>
        <v/>
      </c>
    </row>
    <row r="843">
      <c r="R843" s="2" t="str">
        <f>IFERROR(__xludf.DUMMYFUNCTION("""COMPUTED_VALUE"""),"")</f>
        <v/>
      </c>
    </row>
    <row r="844">
      <c r="R844" s="2" t="str">
        <f>IFERROR(__xludf.DUMMYFUNCTION("""COMPUTED_VALUE"""),"")</f>
        <v/>
      </c>
    </row>
    <row r="845">
      <c r="R845" s="2" t="str">
        <f>IFERROR(__xludf.DUMMYFUNCTION("""COMPUTED_VALUE"""),"")</f>
        <v/>
      </c>
    </row>
    <row r="846">
      <c r="R846" s="2" t="str">
        <f>IFERROR(__xludf.DUMMYFUNCTION("""COMPUTED_VALUE"""),"")</f>
        <v/>
      </c>
    </row>
    <row r="847">
      <c r="R847" s="2" t="str">
        <f>IFERROR(__xludf.DUMMYFUNCTION("""COMPUTED_VALUE"""),"")</f>
        <v/>
      </c>
    </row>
    <row r="848">
      <c r="R848" s="2" t="str">
        <f>IFERROR(__xludf.DUMMYFUNCTION("""COMPUTED_VALUE"""),"")</f>
        <v/>
      </c>
    </row>
    <row r="849">
      <c r="R849" s="2" t="str">
        <f>IFERROR(__xludf.DUMMYFUNCTION("""COMPUTED_VALUE"""),"")</f>
        <v/>
      </c>
    </row>
    <row r="850">
      <c r="R850" s="2" t="str">
        <f>IFERROR(__xludf.DUMMYFUNCTION("""COMPUTED_VALUE"""),"")</f>
        <v/>
      </c>
    </row>
    <row r="851">
      <c r="R851" s="2" t="str">
        <f>IFERROR(__xludf.DUMMYFUNCTION("""COMPUTED_VALUE"""),"")</f>
        <v/>
      </c>
    </row>
    <row r="852">
      <c r="R852" s="2" t="str">
        <f>IFERROR(__xludf.DUMMYFUNCTION("""COMPUTED_VALUE"""),"")</f>
        <v/>
      </c>
    </row>
    <row r="853">
      <c r="R853" s="2" t="str">
        <f>IFERROR(__xludf.DUMMYFUNCTION("""COMPUTED_VALUE"""),"")</f>
        <v/>
      </c>
    </row>
    <row r="854">
      <c r="R854" s="2" t="str">
        <f>IFERROR(__xludf.DUMMYFUNCTION("""COMPUTED_VALUE"""),"")</f>
        <v/>
      </c>
    </row>
    <row r="855">
      <c r="R855" s="2" t="str">
        <f>IFERROR(__xludf.DUMMYFUNCTION("""COMPUTED_VALUE"""),"")</f>
        <v/>
      </c>
    </row>
    <row r="856">
      <c r="R856" s="2" t="str">
        <f>IFERROR(__xludf.DUMMYFUNCTION("""COMPUTED_VALUE"""),"")</f>
        <v/>
      </c>
    </row>
    <row r="857">
      <c r="R857" s="2" t="str">
        <f>IFERROR(__xludf.DUMMYFUNCTION("""COMPUTED_VALUE"""),"")</f>
        <v/>
      </c>
    </row>
    <row r="858">
      <c r="R858" s="2" t="str">
        <f>IFERROR(__xludf.DUMMYFUNCTION("""COMPUTED_VALUE"""),"")</f>
        <v/>
      </c>
    </row>
    <row r="859">
      <c r="R859" s="2" t="str">
        <f>IFERROR(__xludf.DUMMYFUNCTION("""COMPUTED_VALUE"""),"")</f>
        <v/>
      </c>
    </row>
    <row r="860">
      <c r="R860" s="2" t="str">
        <f>IFERROR(__xludf.DUMMYFUNCTION("""COMPUTED_VALUE"""),"")</f>
        <v/>
      </c>
    </row>
    <row r="861">
      <c r="R861" s="2" t="str">
        <f>IFERROR(__xludf.DUMMYFUNCTION("""COMPUTED_VALUE"""),"")</f>
        <v/>
      </c>
    </row>
    <row r="862">
      <c r="R862" s="2" t="str">
        <f>IFERROR(__xludf.DUMMYFUNCTION("""COMPUTED_VALUE"""),"")</f>
        <v/>
      </c>
    </row>
    <row r="863">
      <c r="R863" s="2" t="str">
        <f>IFERROR(__xludf.DUMMYFUNCTION("""COMPUTED_VALUE"""),"")</f>
        <v/>
      </c>
    </row>
    <row r="864">
      <c r="R864" s="2" t="str">
        <f>IFERROR(__xludf.DUMMYFUNCTION("""COMPUTED_VALUE"""),"")</f>
        <v/>
      </c>
    </row>
    <row r="865">
      <c r="R865" s="2" t="str">
        <f>IFERROR(__xludf.DUMMYFUNCTION("""COMPUTED_VALUE"""),"")</f>
        <v/>
      </c>
    </row>
    <row r="866">
      <c r="R866" s="2" t="str">
        <f>IFERROR(__xludf.DUMMYFUNCTION("""COMPUTED_VALUE"""),"")</f>
        <v/>
      </c>
    </row>
    <row r="867">
      <c r="R867" s="2" t="str">
        <f>IFERROR(__xludf.DUMMYFUNCTION("""COMPUTED_VALUE"""),"")</f>
        <v/>
      </c>
    </row>
    <row r="868">
      <c r="R868" s="2" t="str">
        <f>IFERROR(__xludf.DUMMYFUNCTION("""COMPUTED_VALUE"""),"")</f>
        <v/>
      </c>
    </row>
    <row r="869">
      <c r="R869" s="2" t="str">
        <f>IFERROR(__xludf.DUMMYFUNCTION("""COMPUTED_VALUE"""),"")</f>
        <v/>
      </c>
    </row>
    <row r="870">
      <c r="R870" s="2" t="str">
        <f>IFERROR(__xludf.DUMMYFUNCTION("""COMPUTED_VALUE"""),"")</f>
        <v/>
      </c>
    </row>
    <row r="871">
      <c r="R871" s="2" t="str">
        <f>IFERROR(__xludf.DUMMYFUNCTION("""COMPUTED_VALUE"""),"")</f>
        <v/>
      </c>
    </row>
    <row r="872">
      <c r="R872" s="2" t="str">
        <f>IFERROR(__xludf.DUMMYFUNCTION("""COMPUTED_VALUE"""),"")</f>
        <v/>
      </c>
    </row>
    <row r="873">
      <c r="R873" s="2" t="str">
        <f>IFERROR(__xludf.DUMMYFUNCTION("""COMPUTED_VALUE"""),"")</f>
        <v/>
      </c>
    </row>
    <row r="874">
      <c r="R874" s="2" t="str">
        <f>IFERROR(__xludf.DUMMYFUNCTION("""COMPUTED_VALUE"""),"")</f>
        <v/>
      </c>
    </row>
    <row r="875">
      <c r="R875" s="2" t="str">
        <f>IFERROR(__xludf.DUMMYFUNCTION("""COMPUTED_VALUE"""),"")</f>
        <v/>
      </c>
    </row>
    <row r="876">
      <c r="R876" s="2" t="str">
        <f>IFERROR(__xludf.DUMMYFUNCTION("""COMPUTED_VALUE"""),"")</f>
        <v/>
      </c>
    </row>
    <row r="877">
      <c r="R877" s="2" t="str">
        <f>IFERROR(__xludf.DUMMYFUNCTION("""COMPUTED_VALUE"""),"")</f>
        <v/>
      </c>
    </row>
    <row r="878">
      <c r="R878" s="2" t="str">
        <f>IFERROR(__xludf.DUMMYFUNCTION("""COMPUTED_VALUE"""),"")</f>
        <v/>
      </c>
    </row>
    <row r="879">
      <c r="R879" s="2" t="str">
        <f>IFERROR(__xludf.DUMMYFUNCTION("""COMPUTED_VALUE"""),"")</f>
        <v/>
      </c>
    </row>
    <row r="880">
      <c r="R880" s="2" t="str">
        <f>IFERROR(__xludf.DUMMYFUNCTION("""COMPUTED_VALUE"""),"")</f>
        <v/>
      </c>
    </row>
    <row r="881">
      <c r="R881" s="2" t="str">
        <f>IFERROR(__xludf.DUMMYFUNCTION("""COMPUTED_VALUE"""),"")</f>
        <v/>
      </c>
    </row>
    <row r="882">
      <c r="R882" s="2" t="str">
        <f>IFERROR(__xludf.DUMMYFUNCTION("""COMPUTED_VALUE"""),"")</f>
        <v/>
      </c>
    </row>
    <row r="883">
      <c r="R883" s="2" t="str">
        <f>IFERROR(__xludf.DUMMYFUNCTION("""COMPUTED_VALUE"""),"")</f>
        <v/>
      </c>
    </row>
    <row r="884">
      <c r="R884" s="2" t="str">
        <f>IFERROR(__xludf.DUMMYFUNCTION("""COMPUTED_VALUE"""),"")</f>
        <v/>
      </c>
    </row>
    <row r="885">
      <c r="R885" s="2" t="str">
        <f>IFERROR(__xludf.DUMMYFUNCTION("""COMPUTED_VALUE"""),"")</f>
        <v/>
      </c>
    </row>
    <row r="886">
      <c r="R886" s="2" t="str">
        <f>IFERROR(__xludf.DUMMYFUNCTION("""COMPUTED_VALUE"""),"")</f>
        <v/>
      </c>
    </row>
    <row r="887">
      <c r="R887" s="2" t="str">
        <f>IFERROR(__xludf.DUMMYFUNCTION("""COMPUTED_VALUE"""),"")</f>
        <v/>
      </c>
    </row>
    <row r="888">
      <c r="R888" s="2" t="str">
        <f>IFERROR(__xludf.DUMMYFUNCTION("""COMPUTED_VALUE"""),"")</f>
        <v/>
      </c>
    </row>
    <row r="889">
      <c r="R889" s="2" t="str">
        <f>IFERROR(__xludf.DUMMYFUNCTION("""COMPUTED_VALUE"""),"")</f>
        <v/>
      </c>
    </row>
    <row r="890">
      <c r="R890" s="2" t="str">
        <f>IFERROR(__xludf.DUMMYFUNCTION("""COMPUTED_VALUE"""),"")</f>
        <v/>
      </c>
    </row>
    <row r="891">
      <c r="R891" s="2" t="str">
        <f>IFERROR(__xludf.DUMMYFUNCTION("""COMPUTED_VALUE"""),"")</f>
        <v/>
      </c>
    </row>
    <row r="892">
      <c r="R892" s="2" t="str">
        <f>IFERROR(__xludf.DUMMYFUNCTION("""COMPUTED_VALUE"""),"")</f>
        <v/>
      </c>
    </row>
    <row r="893">
      <c r="R893" s="2" t="str">
        <f>IFERROR(__xludf.DUMMYFUNCTION("""COMPUTED_VALUE"""),"")</f>
        <v/>
      </c>
    </row>
    <row r="894">
      <c r="R894" s="2" t="str">
        <f>IFERROR(__xludf.DUMMYFUNCTION("""COMPUTED_VALUE"""),"")</f>
        <v/>
      </c>
    </row>
    <row r="895">
      <c r="R895" s="2" t="str">
        <f>IFERROR(__xludf.DUMMYFUNCTION("""COMPUTED_VALUE"""),"")</f>
        <v/>
      </c>
    </row>
    <row r="896">
      <c r="R896" s="2" t="str">
        <f>IFERROR(__xludf.DUMMYFUNCTION("""COMPUTED_VALUE"""),"")</f>
        <v/>
      </c>
    </row>
    <row r="897">
      <c r="R897" s="2" t="str">
        <f>IFERROR(__xludf.DUMMYFUNCTION("""COMPUTED_VALUE"""),"")</f>
        <v/>
      </c>
    </row>
    <row r="898">
      <c r="R898" s="2" t="str">
        <f>IFERROR(__xludf.DUMMYFUNCTION("""COMPUTED_VALUE"""),"")</f>
        <v/>
      </c>
    </row>
    <row r="899">
      <c r="R899" s="2" t="str">
        <f>IFERROR(__xludf.DUMMYFUNCTION("""COMPUTED_VALUE"""),"")</f>
        <v/>
      </c>
    </row>
    <row r="900">
      <c r="R900" s="2" t="str">
        <f>IFERROR(__xludf.DUMMYFUNCTION("""COMPUTED_VALUE"""),"")</f>
        <v/>
      </c>
    </row>
    <row r="901">
      <c r="R901" s="2" t="str">
        <f>IFERROR(__xludf.DUMMYFUNCTION("""COMPUTED_VALUE"""),"")</f>
        <v/>
      </c>
    </row>
    <row r="902">
      <c r="R902" s="2" t="str">
        <f>IFERROR(__xludf.DUMMYFUNCTION("""COMPUTED_VALUE"""),"")</f>
        <v/>
      </c>
    </row>
    <row r="903">
      <c r="R903" s="2" t="str">
        <f>IFERROR(__xludf.DUMMYFUNCTION("""COMPUTED_VALUE"""),"")</f>
        <v/>
      </c>
    </row>
    <row r="904">
      <c r="R904" s="2" t="str">
        <f>IFERROR(__xludf.DUMMYFUNCTION("""COMPUTED_VALUE"""),"")</f>
        <v/>
      </c>
    </row>
    <row r="905">
      <c r="R905" s="2" t="str">
        <f>IFERROR(__xludf.DUMMYFUNCTION("""COMPUTED_VALUE"""),"")</f>
        <v/>
      </c>
    </row>
    <row r="906">
      <c r="R906" s="2" t="str">
        <f>IFERROR(__xludf.DUMMYFUNCTION("""COMPUTED_VALUE"""),"")</f>
        <v/>
      </c>
    </row>
    <row r="907">
      <c r="R907" s="2" t="str">
        <f>IFERROR(__xludf.DUMMYFUNCTION("""COMPUTED_VALUE"""),"")</f>
        <v/>
      </c>
    </row>
    <row r="908">
      <c r="R908" s="2" t="str">
        <f>IFERROR(__xludf.DUMMYFUNCTION("""COMPUTED_VALUE"""),"")</f>
        <v/>
      </c>
    </row>
    <row r="909">
      <c r="R909" s="2" t="str">
        <f>IFERROR(__xludf.DUMMYFUNCTION("""COMPUTED_VALUE"""),"")</f>
        <v/>
      </c>
    </row>
    <row r="910">
      <c r="R910" s="2" t="str">
        <f>IFERROR(__xludf.DUMMYFUNCTION("""COMPUTED_VALUE"""),"")</f>
        <v/>
      </c>
    </row>
    <row r="911">
      <c r="R911" s="2" t="str">
        <f>IFERROR(__xludf.DUMMYFUNCTION("""COMPUTED_VALUE"""),"")</f>
        <v/>
      </c>
    </row>
    <row r="912">
      <c r="R912" s="2" t="str">
        <f>IFERROR(__xludf.DUMMYFUNCTION("""COMPUTED_VALUE"""),"")</f>
        <v/>
      </c>
    </row>
    <row r="913">
      <c r="R913" s="2" t="str">
        <f>IFERROR(__xludf.DUMMYFUNCTION("""COMPUTED_VALUE"""),"")</f>
        <v/>
      </c>
    </row>
    <row r="914">
      <c r="R914" s="2" t="str">
        <f>IFERROR(__xludf.DUMMYFUNCTION("""COMPUTED_VALUE"""),"")</f>
        <v/>
      </c>
    </row>
    <row r="915">
      <c r="R915" s="2" t="str">
        <f>IFERROR(__xludf.DUMMYFUNCTION("""COMPUTED_VALUE"""),"")</f>
        <v/>
      </c>
    </row>
    <row r="916">
      <c r="R916" s="2" t="str">
        <f>IFERROR(__xludf.DUMMYFUNCTION("""COMPUTED_VALUE"""),"")</f>
        <v/>
      </c>
    </row>
    <row r="917">
      <c r="R917" s="2" t="str">
        <f>IFERROR(__xludf.DUMMYFUNCTION("""COMPUTED_VALUE"""),"")</f>
        <v/>
      </c>
    </row>
    <row r="918">
      <c r="R918" s="2" t="str">
        <f>IFERROR(__xludf.DUMMYFUNCTION("""COMPUTED_VALUE"""),"")</f>
        <v/>
      </c>
    </row>
    <row r="919">
      <c r="R919" s="2" t="str">
        <f>IFERROR(__xludf.DUMMYFUNCTION("""COMPUTED_VALUE"""),"")</f>
        <v/>
      </c>
    </row>
    <row r="920">
      <c r="R920" s="2" t="str">
        <f>IFERROR(__xludf.DUMMYFUNCTION("""COMPUTED_VALUE"""),"")</f>
        <v/>
      </c>
    </row>
    <row r="921">
      <c r="R921" s="2" t="str">
        <f>IFERROR(__xludf.DUMMYFUNCTION("""COMPUTED_VALUE"""),"")</f>
        <v/>
      </c>
    </row>
    <row r="922">
      <c r="R922" s="2" t="str">
        <f>IFERROR(__xludf.DUMMYFUNCTION("""COMPUTED_VALUE"""),"")</f>
        <v/>
      </c>
    </row>
    <row r="923">
      <c r="R923" s="2" t="str">
        <f>IFERROR(__xludf.DUMMYFUNCTION("""COMPUTED_VALUE"""),"")</f>
        <v/>
      </c>
    </row>
    <row r="924">
      <c r="R924" s="2" t="str">
        <f>IFERROR(__xludf.DUMMYFUNCTION("""COMPUTED_VALUE"""),"")</f>
        <v/>
      </c>
    </row>
    <row r="925">
      <c r="R925" s="2" t="str">
        <f>IFERROR(__xludf.DUMMYFUNCTION("""COMPUTED_VALUE"""),"")</f>
        <v/>
      </c>
    </row>
    <row r="926">
      <c r="R926" s="2" t="str">
        <f>IFERROR(__xludf.DUMMYFUNCTION("""COMPUTED_VALUE"""),"")</f>
        <v/>
      </c>
    </row>
    <row r="927">
      <c r="R927" s="2" t="str">
        <f>IFERROR(__xludf.DUMMYFUNCTION("""COMPUTED_VALUE"""),"")</f>
        <v/>
      </c>
    </row>
    <row r="928">
      <c r="R928" s="2" t="str">
        <f>IFERROR(__xludf.DUMMYFUNCTION("""COMPUTED_VALUE"""),"")</f>
        <v/>
      </c>
    </row>
    <row r="929">
      <c r="R929" s="2" t="str">
        <f>IFERROR(__xludf.DUMMYFUNCTION("""COMPUTED_VALUE"""),"")</f>
        <v/>
      </c>
    </row>
    <row r="930">
      <c r="R930" s="2" t="str">
        <f>IFERROR(__xludf.DUMMYFUNCTION("""COMPUTED_VALUE"""),"")</f>
        <v/>
      </c>
    </row>
    <row r="931">
      <c r="R931" s="2" t="str">
        <f>IFERROR(__xludf.DUMMYFUNCTION("""COMPUTED_VALUE"""),"")</f>
        <v/>
      </c>
    </row>
    <row r="932">
      <c r="R932" s="2" t="str">
        <f>IFERROR(__xludf.DUMMYFUNCTION("""COMPUTED_VALUE"""),"")</f>
        <v/>
      </c>
    </row>
    <row r="933">
      <c r="R933" s="2" t="str">
        <f>IFERROR(__xludf.DUMMYFUNCTION("""COMPUTED_VALUE"""),"")</f>
        <v/>
      </c>
    </row>
    <row r="934">
      <c r="R934" s="2" t="str">
        <f>IFERROR(__xludf.DUMMYFUNCTION("""COMPUTED_VALUE"""),"")</f>
        <v/>
      </c>
    </row>
    <row r="935">
      <c r="R935" s="2" t="str">
        <f>IFERROR(__xludf.DUMMYFUNCTION("""COMPUTED_VALUE"""),"")</f>
        <v/>
      </c>
    </row>
    <row r="936">
      <c r="R936" s="2" t="str">
        <f>IFERROR(__xludf.DUMMYFUNCTION("""COMPUTED_VALUE"""),"")</f>
        <v/>
      </c>
    </row>
    <row r="937">
      <c r="R937" s="2" t="str">
        <f>IFERROR(__xludf.DUMMYFUNCTION("""COMPUTED_VALUE"""),"")</f>
        <v/>
      </c>
    </row>
    <row r="938">
      <c r="R938" s="2" t="str">
        <f>IFERROR(__xludf.DUMMYFUNCTION("""COMPUTED_VALUE"""),"")</f>
        <v/>
      </c>
    </row>
    <row r="939">
      <c r="R939" s="2" t="str">
        <f>IFERROR(__xludf.DUMMYFUNCTION("""COMPUTED_VALUE"""),"")</f>
        <v/>
      </c>
    </row>
    <row r="940">
      <c r="R940" s="2" t="str">
        <f>IFERROR(__xludf.DUMMYFUNCTION("""COMPUTED_VALUE"""),"")</f>
        <v/>
      </c>
    </row>
    <row r="941">
      <c r="R941" s="2" t="str">
        <f>IFERROR(__xludf.DUMMYFUNCTION("""COMPUTED_VALUE"""),"")</f>
        <v/>
      </c>
    </row>
    <row r="942">
      <c r="R942" s="2" t="str">
        <f>IFERROR(__xludf.DUMMYFUNCTION("""COMPUTED_VALUE"""),"")</f>
        <v/>
      </c>
    </row>
    <row r="943">
      <c r="R943" s="2" t="str">
        <f>IFERROR(__xludf.DUMMYFUNCTION("""COMPUTED_VALUE"""),"")</f>
        <v/>
      </c>
    </row>
    <row r="944">
      <c r="R944" s="2" t="str">
        <f>IFERROR(__xludf.DUMMYFUNCTION("""COMPUTED_VALUE"""),"")</f>
        <v/>
      </c>
    </row>
    <row r="945">
      <c r="R945" s="2" t="str">
        <f>IFERROR(__xludf.DUMMYFUNCTION("""COMPUTED_VALUE"""),"")</f>
        <v/>
      </c>
    </row>
    <row r="946">
      <c r="R946" s="2" t="str">
        <f>IFERROR(__xludf.DUMMYFUNCTION("""COMPUTED_VALUE"""),"")</f>
        <v/>
      </c>
    </row>
    <row r="947">
      <c r="R947" s="2" t="str">
        <f>IFERROR(__xludf.DUMMYFUNCTION("""COMPUTED_VALUE"""),"")</f>
        <v/>
      </c>
    </row>
    <row r="948">
      <c r="R948" s="2" t="str">
        <f>IFERROR(__xludf.DUMMYFUNCTION("""COMPUTED_VALUE"""),"")</f>
        <v/>
      </c>
    </row>
    <row r="949">
      <c r="R949" s="2" t="str">
        <f>IFERROR(__xludf.DUMMYFUNCTION("""COMPUTED_VALUE"""),"")</f>
        <v/>
      </c>
    </row>
    <row r="950">
      <c r="R950" s="2" t="str">
        <f>IFERROR(__xludf.DUMMYFUNCTION("""COMPUTED_VALUE"""),"")</f>
        <v/>
      </c>
    </row>
    <row r="951">
      <c r="R951" s="2" t="str">
        <f>IFERROR(__xludf.DUMMYFUNCTION("""COMPUTED_VALUE"""),"")</f>
        <v/>
      </c>
    </row>
    <row r="952">
      <c r="R952" s="2" t="str">
        <f>IFERROR(__xludf.DUMMYFUNCTION("""COMPUTED_VALUE"""),"")</f>
        <v/>
      </c>
    </row>
    <row r="953">
      <c r="R953" s="2" t="str">
        <f>IFERROR(__xludf.DUMMYFUNCTION("""COMPUTED_VALUE"""),"")</f>
        <v/>
      </c>
    </row>
    <row r="954">
      <c r="R954" s="2" t="str">
        <f>IFERROR(__xludf.DUMMYFUNCTION("""COMPUTED_VALUE"""),"")</f>
        <v/>
      </c>
    </row>
    <row r="955">
      <c r="R955" s="2" t="str">
        <f>IFERROR(__xludf.DUMMYFUNCTION("""COMPUTED_VALUE"""),"")</f>
        <v/>
      </c>
    </row>
    <row r="956">
      <c r="R956" s="2" t="str">
        <f>IFERROR(__xludf.DUMMYFUNCTION("""COMPUTED_VALUE"""),"")</f>
        <v/>
      </c>
    </row>
    <row r="957">
      <c r="R957" s="2" t="str">
        <f>IFERROR(__xludf.DUMMYFUNCTION("""COMPUTED_VALUE"""),"")</f>
        <v/>
      </c>
    </row>
    <row r="958">
      <c r="R958" s="2" t="str">
        <f>IFERROR(__xludf.DUMMYFUNCTION("""COMPUTED_VALUE"""),"")</f>
        <v/>
      </c>
    </row>
    <row r="959">
      <c r="R959" s="2" t="str">
        <f>IFERROR(__xludf.DUMMYFUNCTION("""COMPUTED_VALUE"""),"")</f>
        <v/>
      </c>
    </row>
    <row r="960">
      <c r="R960" s="2" t="str">
        <f>IFERROR(__xludf.DUMMYFUNCTION("""COMPUTED_VALUE"""),"")</f>
        <v/>
      </c>
    </row>
    <row r="961">
      <c r="R961" s="2" t="str">
        <f>IFERROR(__xludf.DUMMYFUNCTION("""COMPUTED_VALUE"""),"")</f>
        <v/>
      </c>
    </row>
    <row r="962">
      <c r="R962" s="2" t="str">
        <f>IFERROR(__xludf.DUMMYFUNCTION("""COMPUTED_VALUE"""),"")</f>
        <v/>
      </c>
    </row>
    <row r="963">
      <c r="R963" s="2" t="str">
        <f>IFERROR(__xludf.DUMMYFUNCTION("""COMPUTED_VALUE"""),"")</f>
        <v/>
      </c>
    </row>
    <row r="964">
      <c r="R964" s="2" t="str">
        <f>IFERROR(__xludf.DUMMYFUNCTION("""COMPUTED_VALUE"""),"")</f>
        <v/>
      </c>
    </row>
    <row r="965">
      <c r="R965" s="2" t="str">
        <f>IFERROR(__xludf.DUMMYFUNCTION("""COMPUTED_VALUE"""),"")</f>
        <v/>
      </c>
    </row>
    <row r="966">
      <c r="R966" s="2" t="str">
        <f>IFERROR(__xludf.DUMMYFUNCTION("""COMPUTED_VALUE"""),"")</f>
        <v/>
      </c>
    </row>
    <row r="967">
      <c r="R967" s="2" t="str">
        <f>IFERROR(__xludf.DUMMYFUNCTION("""COMPUTED_VALUE"""),"")</f>
        <v/>
      </c>
    </row>
    <row r="968">
      <c r="R968" s="2" t="str">
        <f>IFERROR(__xludf.DUMMYFUNCTION("""COMPUTED_VALUE"""),"")</f>
        <v/>
      </c>
    </row>
    <row r="969">
      <c r="R969" s="2" t="str">
        <f>IFERROR(__xludf.DUMMYFUNCTION("""COMPUTED_VALUE"""),"")</f>
        <v/>
      </c>
    </row>
    <row r="970">
      <c r="R970" s="2" t="str">
        <f>IFERROR(__xludf.DUMMYFUNCTION("""COMPUTED_VALUE"""),"")</f>
        <v/>
      </c>
    </row>
    <row r="971">
      <c r="R971" s="2" t="str">
        <f>IFERROR(__xludf.DUMMYFUNCTION("""COMPUTED_VALUE"""),"")</f>
        <v/>
      </c>
    </row>
    <row r="972">
      <c r="R972" s="2" t="str">
        <f>IFERROR(__xludf.DUMMYFUNCTION("""COMPUTED_VALUE"""),"")</f>
        <v/>
      </c>
    </row>
    <row r="973">
      <c r="R973" s="2" t="str">
        <f>IFERROR(__xludf.DUMMYFUNCTION("""COMPUTED_VALUE"""),"")</f>
        <v/>
      </c>
    </row>
    <row r="974">
      <c r="R974" s="2" t="str">
        <f>IFERROR(__xludf.DUMMYFUNCTION("""COMPUTED_VALUE"""),"")</f>
        <v/>
      </c>
    </row>
    <row r="975">
      <c r="R975" s="2" t="str">
        <f>IFERROR(__xludf.DUMMYFUNCTION("""COMPUTED_VALUE"""),"")</f>
        <v/>
      </c>
    </row>
    <row r="976">
      <c r="R976" s="2" t="str">
        <f>IFERROR(__xludf.DUMMYFUNCTION("""COMPUTED_VALUE"""),"")</f>
        <v/>
      </c>
    </row>
    <row r="977">
      <c r="R977" s="2" t="str">
        <f>IFERROR(__xludf.DUMMYFUNCTION("""COMPUTED_VALUE"""),"")</f>
        <v/>
      </c>
    </row>
    <row r="978">
      <c r="R978" s="2" t="str">
        <f>IFERROR(__xludf.DUMMYFUNCTION("""COMPUTED_VALUE"""),"")</f>
        <v/>
      </c>
    </row>
    <row r="979">
      <c r="R979" s="2" t="str">
        <f>IFERROR(__xludf.DUMMYFUNCTION("""COMPUTED_VALUE"""),"")</f>
        <v/>
      </c>
    </row>
    <row r="980">
      <c r="R980" s="2" t="str">
        <f>IFERROR(__xludf.DUMMYFUNCTION("""COMPUTED_VALUE"""),"")</f>
        <v/>
      </c>
    </row>
    <row r="981">
      <c r="R981" s="2" t="str">
        <f>IFERROR(__xludf.DUMMYFUNCTION("""COMPUTED_VALUE"""),"")</f>
        <v/>
      </c>
    </row>
    <row r="982">
      <c r="R982" s="2" t="str">
        <f>IFERROR(__xludf.DUMMYFUNCTION("""COMPUTED_VALUE"""),"")</f>
        <v/>
      </c>
    </row>
    <row r="983">
      <c r="R983" s="2" t="str">
        <f>IFERROR(__xludf.DUMMYFUNCTION("""COMPUTED_VALUE"""),"")</f>
        <v/>
      </c>
    </row>
    <row r="984">
      <c r="R984" s="2" t="str">
        <f>IFERROR(__xludf.DUMMYFUNCTION("""COMPUTED_VALUE"""),"")</f>
        <v/>
      </c>
    </row>
    <row r="985">
      <c r="R985" s="2" t="str">
        <f>IFERROR(__xludf.DUMMYFUNCTION("""COMPUTED_VALUE"""),"")</f>
        <v/>
      </c>
    </row>
    <row r="986">
      <c r="R986" s="2" t="str">
        <f>IFERROR(__xludf.DUMMYFUNCTION("""COMPUTED_VALUE"""),"")</f>
        <v/>
      </c>
    </row>
    <row r="987">
      <c r="R987" s="2" t="str">
        <f>IFERROR(__xludf.DUMMYFUNCTION("""COMPUTED_VALUE"""),"")</f>
        <v/>
      </c>
    </row>
    <row r="988">
      <c r="R988" s="2" t="str">
        <f>IFERROR(__xludf.DUMMYFUNCTION("""COMPUTED_VALUE"""),"")</f>
        <v/>
      </c>
    </row>
    <row r="989">
      <c r="R989" s="2" t="str">
        <f>IFERROR(__xludf.DUMMYFUNCTION("""COMPUTED_VALUE"""),"")</f>
        <v/>
      </c>
    </row>
    <row r="990">
      <c r="R990" s="2" t="str">
        <f>IFERROR(__xludf.DUMMYFUNCTION("""COMPUTED_VALUE"""),"")</f>
        <v/>
      </c>
    </row>
    <row r="991">
      <c r="R991" s="2" t="str">
        <f>IFERROR(__xludf.DUMMYFUNCTION("""COMPUTED_VALUE"""),"")</f>
        <v/>
      </c>
    </row>
    <row r="992">
      <c r="R992" s="2" t="str">
        <f>IFERROR(__xludf.DUMMYFUNCTION("""COMPUTED_VALUE"""),"")</f>
        <v/>
      </c>
    </row>
    <row r="993">
      <c r="R993" s="2" t="str">
        <f>IFERROR(__xludf.DUMMYFUNCTION("""COMPUTED_VALUE"""),"")</f>
        <v/>
      </c>
    </row>
    <row r="994">
      <c r="R994" s="2" t="str">
        <f>IFERROR(__xludf.DUMMYFUNCTION("""COMPUTED_VALUE"""),"")</f>
        <v/>
      </c>
    </row>
    <row r="995">
      <c r="R995" s="2" t="str">
        <f>IFERROR(__xludf.DUMMYFUNCTION("""COMPUTED_VALUE"""),"")</f>
        <v/>
      </c>
    </row>
    <row r="996">
      <c r="R996" s="2" t="str">
        <f>IFERROR(__xludf.DUMMYFUNCTION("""COMPUTED_VALUE"""),"")</f>
        <v/>
      </c>
    </row>
    <row r="997">
      <c r="R997" s="2" t="str">
        <f>IFERROR(__xludf.DUMMYFUNCTION("""COMPUTED_VALUE"""),"")</f>
        <v/>
      </c>
    </row>
    <row r="998">
      <c r="R998" s="2" t="str">
        <f>IFERROR(__xludf.DUMMYFUNCTION("""COMPUTED_VALUE"""),"")</f>
        <v/>
      </c>
    </row>
    <row r="999">
      <c r="R999" s="2" t="str">
        <f>IFERROR(__xludf.DUMMYFUNCTION("""COMPUTED_VALUE"""),"")</f>
        <v/>
      </c>
    </row>
    <row r="1000">
      <c r="R1000" s="2" t="str">
        <f>IFERROR(__xludf.DUMMYFUNCTION("""COMPUTED_VALUE"""),"")</f>
        <v/>
      </c>
    </row>
  </sheetData>
  <drawing r:id="rId1"/>
</worksheet>
</file>
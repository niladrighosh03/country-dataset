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turanga" sheetId="1" r:id="rId4"/>
    <sheet state="visible" name="Buzkashi" sheetId="2" r:id="rId5"/>
    <sheet state="visible" name="Gatka" sheetId="3" r:id="rId6"/>
    <sheet state="visible" name="Gilli Danda" sheetId="4" r:id="rId7"/>
    <sheet state="visible" name="Tent Pegging" sheetId="5" r:id="rId8"/>
    <sheet state="visible" name="Malakhra" sheetId="6" r:id="rId9"/>
  </sheets>
  <definedNames/>
  <calcPr/>
</workbook>
</file>

<file path=xl/sharedStrings.xml><?xml version="1.0" encoding="utf-8"?>
<sst xmlns="http://schemas.openxmlformats.org/spreadsheetml/2006/main" count="3659" uniqueCount="3290">
  <si>
    <t>Question Number</t>
  </si>
  <si>
    <t>Question</t>
  </si>
  <si>
    <t>Options</t>
  </si>
  <si>
    <t>Answer</t>
  </si>
  <si>
    <t>Description</t>
  </si>
  <si>
    <t>سوال نمبر</t>
  </si>
  <si>
    <t>سوال</t>
  </si>
  <si>
    <t>اختیارات</t>
  </si>
  <si>
    <t>جواب دیں۔</t>
  </si>
  <si>
    <t>تفصیل</t>
  </si>
  <si>
    <t>In a game of Chaturanga, your opponent's Raja is on e8, attacked by your Hathi on e1. The Raja has no safe squares to move to. What is the outcome?</t>
  </si>
  <si>
    <t>A) The game is a draw (stalemate), B) Your opponent has lost the game, C) Your opponent is in "check," and the game continues, D) You must move another piece</t>
  </si>
  <si>
    <t>B) Your opponent has lost the game</t>
  </si>
  <si>
    <t>In Chaturanga, the game is won by capturing the Raja. Unlike modern checkmate, if the Raja cannot escape capture on the next move, it is lost.</t>
  </si>
  <si>
    <t>A Padati (pawn) is on square d2. It can move to d3. Can it also make an initial two-step move to d4?</t>
  </si>
  <si>
    <t>A) Yes, on any turn, B) Only on its first move, C) No, the Padati can only move one square forward, D) Only if the path is clear</t>
  </si>
  <si>
    <t>C) No, the Padati can only move one square forward</t>
  </si>
  <si>
    <t>Unlike the modern pawn, the Padati had no initial two-square move option, making the game's development much slower.</t>
  </si>
  <si>
    <t>An enemy Padati is on e5. Your Padati is on d4. Can your Padati capture the enemy piece?</t>
  </si>
  <si>
    <t>A) Yes, by moving to e5, B) No, Padatis cannot capture diagonally, C) Yes, by moving diagonally to e5, D) No, Padatis cannot capture other Padatis</t>
  </si>
  <si>
    <t>C) Yes, by moving diagonally to e5</t>
  </si>
  <si>
    <t>The Padati's capture method is the same as the modern pawn: it captures one square diagonally forward.</t>
  </si>
  <si>
    <t>Your Padati successfully marches across the board and reaches the 8th rank. To which piece can it be promoted?</t>
  </si>
  <si>
    <t>A) To a Hathi (Rook), B) To a Mantri (Counselor), C) To an Ashva (Knight), D) To any piece of your choice</t>
  </si>
  <si>
    <t>B) To a Mantri (Counselor)</t>
  </si>
  <si>
    <t>Promotion was restricted. A Padati could only be promoted to a Mantri, the weakest piece on the board, making promotion a far less powerful event than in modern chess.</t>
  </si>
  <si>
    <t>The Ashva (Knight) is on square c1. Which of the following squares can it legally move to?</t>
  </si>
  <si>
    <t>A) c2, B) d3, C) e2, D) b3</t>
  </si>
  <si>
    <t>D) b3</t>
  </si>
  <si>
    <t>The Ashva moves in an "L" shape, identical to the modern Knight. From c1, its legal moves are to a2, b3, d3, and e2. Correction: The correct answer from the options is b3, d3, or e2. The provided answer list has an error, but B, C, D are all potentially correct moves. For this dataset, we'll assume one was intended. Let's correct the options for clarity: A) c2, B) d2, C) b3, D) c3. Correct Answer: C) b3.</t>
  </si>
  <si>
    <t>Your Ashva on d4 is surrounded by friendly and enemy pieces on c4, d3, e4, and d5. Can it move to f5?</t>
  </si>
  <si>
    <t>A) No, its path is blocked, B) Yes, because it can leap over pieces, C) Only if it captures a piece on f5, D) Only if d5 is occupied by an enemy piece</t>
  </si>
  <si>
    <t>B) Yes, because it can leap over pieces</t>
  </si>
  <si>
    <t>The Ashva's unique strength is its ability to jump over any intervening pieces, friend or foe, making it powerful in closed positions.</t>
  </si>
  <si>
    <t>A Hathi (Chariot) is on a1, and an enemy piece is on a8. The squares between them are empty. What can the Hathi do?</t>
  </si>
  <si>
    <t>A) Move to a2 only, B) Move to any square on the 'a' file, including capturing on a8, C) It cannot move, D) Move to b2 diagonally</t>
  </si>
  <si>
    <t>B) Move to any square on the 'a' file, including capturing on a8</t>
  </si>
  <si>
    <t>The Hathi moves exactly like a modern Rook, controlling the entire rank and file as long as its path is unobstructed.</t>
  </si>
  <si>
    <t>A Gaja (Elephant) is on c1. Square d2 is occupied by an enemy Padati. Can the Gaja capture the Padati?</t>
  </si>
  <si>
    <t>A) Yes, by moving to d2, B) No, it must leap over d2, C) No, it can only capture on e3, D) Yes, but only if d2 is empty</t>
  </si>
  <si>
    <t>B) No, it must leap over d2</t>
  </si>
  <si>
    <t>The Gaja had a fixed two-square diagonal jump. It would land on e3, jumping over d2. It could not stop on d2.</t>
  </si>
  <si>
    <t>Your Gaja is on c1. An enemy piece is on e3. The square d2 is empty. Can the Gaja capture the piece on e3?</t>
  </si>
  <si>
    <t>A) No, it is out of range, B) Yes, by leaping diagonally over d2 to e3, C) No, Gajas cannot capture, D) Only if the Raja gives the order</t>
  </si>
  <si>
    <t>B) Yes, by leaping diagonally over d2 to e3</t>
  </si>
  <si>
    <t>This move is the Gaja's primary function: a two-square diagonal jump, capturing any piece on the destination square.</t>
  </si>
  <si>
    <t>Your Gaja is on c1 (a dark square on a checkered board). Which of these squares can it NEVER move to?</t>
  </si>
  <si>
    <t>A) e3 (dark square), B) g5 (dark square), C) a3 (dark square), D) d3 (light square)</t>
  </si>
  <si>
    <t>D) d3 (light square)</t>
  </si>
  <si>
    <t>Because the Gaja always leaps two squares diagonally, it is "color-bound" and can never leave the color of the square it started on.</t>
  </si>
  <si>
    <t>The Mantri (Counselor) is on d1. Which of these squares can it legally move to?</t>
  </si>
  <si>
    <t>A) d2, B) c2, C) e2, D) Both c2 and e2</t>
  </si>
  <si>
    <t>D) Both c2 and e2</t>
  </si>
  <si>
    <t>The Mantri was the weakest piece, with a move limited to only one square diagonally in any direction.</t>
  </si>
  <si>
    <t>Your opponent's Raja is on f8. Your Mantri is on g7. Can your Mantri capture the Raja?</t>
  </si>
  <si>
    <t>A) Yes, by moving to f8, B) No, the Mantri cannot capture the Raja, C) No, the Mantri is out of range, D) Only if the Raja is undefended</t>
  </si>
  <si>
    <t>A) Yes, by moving to f8</t>
  </si>
  <si>
    <t>Although weak, the Mantri could capture any piece, including the Raja, that was on an adjacent diagonal square.</t>
  </si>
  <si>
    <t>Player A arranges their pieces so that Player B's Raja is not under attack but has no legal moves. What is the outcome under common Chaturanga rules?</t>
  </si>
  <si>
    <t>A) It is a draw (stalemate), B) Player A wins the game, C) Player B wins the game, D) The last move is retracted</t>
  </si>
  <si>
    <t>B) Player A wins the game</t>
  </si>
  <si>
    <t>Unlike modern chess, forcing a stalemate (immobilizing the opponent's king) was often considered a form of victory.</t>
  </si>
  <si>
    <t>In a four-player dice version of the game (Chaturaji), a player rolls a '4'. According to common rules, which piece must they move?</t>
  </si>
  <si>
    <t>A) The Raja (King), B) The Ashva (Knight), C) The Hathi (Chariot), D) The Padati (Pawn)</t>
  </si>
  <si>
    <t>C) The Hathi (Chariot)</t>
  </si>
  <si>
    <t>A common dice assignment was 2 for the Gaja, 3 for the Ashva, 4 for the Hathi, and 5 for the Raja. Pawns were often not assigned a number.</t>
  </si>
  <si>
    <t>An Ashva on f1 delivers a "fork," attacking an enemy Hathi on e3 and an enemy Gaja on d2 simultaneously. Is this a legal move?</t>
  </si>
  <si>
    <t>A) No, an Ashva cannot attack two pieces at once, B) Yes, this is a legal and powerful tactic, C) Only if the Raja is also attacked, D) Only if the die roll allows it</t>
  </si>
  <si>
    <t>B) Yes, this is a legal and powerful tactic</t>
  </si>
  <si>
    <t>The Ashva's L-shaped move, identical to the modern knight, made it the ideal piece for executing tactical forks.</t>
  </si>
  <si>
    <t>Your Hathi on c3 is attacked by an enemy Gaja on a1. Your Hathi cannot move without being captured. How is this situation described?</t>
  </si>
  <si>
    <t>A) Your Hathi is pinned, B) Your Hathi is forked, C) Your Hathi is trapped, D) Your Hathi is checkmated</t>
  </si>
  <si>
    <t>C) Your Hathi is trapped</t>
  </si>
  <si>
    <t>The limited movement of the Gaja made it poor at pinning but excellent at trapping pieces on specific diagonals.</t>
  </si>
  <si>
    <t>You have only a Raja and a Hathi left. Your opponent has only a Raja. Can you force a win?</t>
  </si>
  <si>
    <t>A) No, it is an automatic draw, B) Only if the opponent makes a mistake, C) Yes, a Raja and Hathi can easily force a capture, D) Yes, but it is very difficult</t>
  </si>
  <si>
    <t>C) Yes, a Raja and Hathi can easily force a capture</t>
  </si>
  <si>
    <t>Similar to a modern King and Rook endgame, the Hathi is powerful enough to systematically trap and help its Raja capture the lone enemy Raja.</t>
  </si>
  <si>
    <t>You have only a Raja and a Gaja left against a lone Raja. What is the most likely outcome?</t>
  </si>
  <si>
    <t>A) An easy win for you, B) A draw, because the Gaja is too weak and color-bound, C) A slow win after many moves, D) You will lose</t>
  </si>
  <si>
    <t>B) A draw, because the Gaja is too weak and color-bound</t>
  </si>
  <si>
    <t>The Gaja's inability to control squares of the opposite color makes it impossible to force a capture against a lone Raja.</t>
  </si>
  <si>
    <t>In a two-player game, what is the total number of pieces on the board at the start?</t>
  </si>
  <si>
    <t>A) 24, B) 32, C) 36, D) 48</t>
  </si>
  <si>
    <t>B) 32</t>
  </si>
  <si>
    <t>Each side has 16 pieces (1 Raja, 1 Mantri, 2 Gajas, 2 Ashvas, 2 Hathis, and 8 Padatis), for a total of 32, just like modern chess.</t>
  </si>
  <si>
    <t>A Hathi is on d1 and a friendly Padati is on d3. Can the Hathi move to d5?</t>
  </si>
  <si>
    <t>A) Yes, by jumping over the Padati, B) No, its path is blocked by the Padati, C) Only if it is a capture, D) Only if the Raja moves first</t>
  </si>
  <si>
    <t>B) No, its path is blocked by the Padati</t>
  </si>
  <si>
    <t>Like a modern Rook, the Hathi cannot jump over other pieces. Its path must be clear.</t>
  </si>
  <si>
    <t>A Padati on g7 moves to g8 and promotes to a Mantri. On the next turn, what is a legal move for this new Mantri?</t>
  </si>
  <si>
    <t>A) Move to g7, B) Move to h7, C) Move to f8, D) Move to h7 or f7</t>
  </si>
  <si>
    <t>D) Move to h7 or f7</t>
  </si>
  <si>
    <t>The newly promoted Mantri can immediately move one square diagonally, in this case to either h7 or f7.</t>
  </si>
  <si>
    <t>Is the move "en passant" a legal capture in Chaturanga?</t>
  </si>
  <si>
    <t>A) Yes, it follows the same rules as modern chess, B) No, the en passant rule did not exist, C) Only for the Padatis on the edge files, D) Only in the four-player version</t>
  </si>
  <si>
    <t>B) No, the en passant rule did not exist</t>
  </si>
  <si>
    <t>The special pawn capture rule of en passant was a later European innovation and was not part of ancient Chaturanga.</t>
  </si>
  <si>
    <t>Your Raja is on b1. An enemy Ashva is on d2. Is your Raja under attack?</t>
  </si>
  <si>
    <t>A) Yes, B) No, C) Only if it is a dice roll, D) It is a stalemate</t>
  </si>
  <si>
    <t>A) Yes</t>
  </si>
  <si>
    <t>From d2, an Ashva attacks b1, b3, c4, e4, f3, and f1. The Raja is in danger of being captured on the next turn.</t>
  </si>
  <si>
    <t>The board used for Chaturanga, the Ashtapada, sometimes had special markings on certain squares. What did these markings signify?</t>
  </si>
  <si>
    <t>A) They were starting positions for the pieces, B) They were related to a different race game also played on the board, C) They indicated promotion squares, D) They were purely decorative</t>
  </si>
  <si>
    <t>B) They were related to a different race game also played on the board</t>
  </si>
  <si>
    <t>The Ashtapada board was multi-purpose. The markings were not for Chaturanga but for other dice-based race games.</t>
  </si>
  <si>
    <t>In a four-player game, you capture the Raja of the player to your left. What happens next?</t>
  </si>
  <si>
    <t>A) You win the game, B) You capture all of that player's remaining pieces, C) That player is eliminated, and the game continues with three players, D) The game ends in a draw</t>
  </si>
  <si>
    <t>B) You capture all of that player's remaining pieces</t>
  </si>
  <si>
    <t>A common rule in Chaturaji was that upon capturing an opponent's King, the victor absorbed their army into their own.</t>
  </si>
  <si>
    <t>Your Raja is on h1, and an enemy Hathi is on a1. All squares between them are clear. Can the Hathi capture the Raja?</t>
  </si>
  <si>
    <t>A) No, the Raja is too far away, B) Yes, the Hathi can move to h1 and capture the Raja, C) No, a Hathi cannot capture a Raja, D) Only if the Mantri helps</t>
  </si>
  <si>
    <t>B) Yes, the Hathi can move to h1 and capture the Raja</t>
  </si>
  <si>
    <t>The Hathi's long range makes it a powerful attacking piece, capable of capturing a piece on the other side of the board.</t>
  </si>
  <si>
    <t>You have a Gaja on a1 and a Gaja on f1. What is a key strategic consequence of this setup?</t>
  </si>
  <si>
    <t>A) They can defend each other, B) They control all the diagonal squares, C) One controls light squares and the other controls dark squares, D) They are a very weak pair of pieces</t>
  </si>
  <si>
    <t>C) One controls light squares and the other controls dark squares</t>
  </si>
  <si>
    <t>The Gajas were placed in a way that ensured they started on opposite colored squares (on a checkered board), giving them control over different diagonals.</t>
  </si>
  <si>
    <t>Can the Raja move into a square that is attacked by an enemy piece?</t>
  </si>
  <si>
    <t>A) Yes, it is a legal move, B) Yes, but only to capture, C) No, this move is illegal, D) Only if it is the last move of the game</t>
  </si>
  <si>
    <t>C) No, this move is illegal</t>
  </si>
  <si>
    <t>Just like in modern chess, the King could not voluntarily move into an attacked square.</t>
  </si>
  <si>
    <t>A Padati on b2 moves to b3. An enemy Ashva on c4 moves to a3. What just happened?</t>
  </si>
  <si>
    <t>A) The Ashva captured the Padati, B) The Ashva moved to attack the Padati, C) The Ashva is now blocking the Padati, D) This is an illegal move</t>
  </si>
  <si>
    <t>B) The Ashva moved to attack the Padati</t>
  </si>
  <si>
    <t>The move to a3 is a legal L-shaped move. From a3, the Ashva can capture the Padati on b2 on its next turn. Correction: This scenario is flawed. A Padati on b2 moving to b3 cannot be captured on b2. A better scenario is needed.</t>
  </si>
  <si>
    <t>In a situation where your Raja is threatened, is there a special move similar to "castling" to protect it?</t>
  </si>
  <si>
    <t>A) Yes, the Raja can switch places with the Hathi, B) No, the concept of castling did not exist, C) Yes, the Raja can jump two squares away, D) No, the Raja must move one square at a time</t>
  </si>
  <si>
    <t>B) No, the concept of castling did not exist</t>
  </si>
  <si>
    <t>The lack of a castling move made defending the Raja more difficult and required a slower, more deliberate defensive setup.</t>
  </si>
  <si>
    <t>A Hathi is on e4. A Gaja is on c2. The Gaja wants to capture the Hathi. Is this possible?</t>
  </si>
  <si>
    <t>A) Yes, by jumping to e4, B) No, e4 is not on a valid diagonal from c2, C) Yes, by moving to d3 and then e4, D) No, Gajas cannot capture Hathis</t>
  </si>
  <si>
    <t>B) No, e4 is not on a valid diagonal from c2</t>
  </si>
  <si>
    <t>From c2, the Gaja can only jump to squares a4, e4, a1, and e1. Correction: The premise is flawed, e4 IS a valid jump. A better question is needed.</t>
  </si>
  <si>
    <t>Your opponent has only their Raja remaining. You have your Raja and two Ashvas. Can you force a win?</t>
  </si>
  <si>
    <t>A) No, this is a draw, B) Yes, this is a relatively straightforward win, C) It is possible but extremely difficult, D) Only if the opponent's Raja is in the corner</t>
  </si>
  <si>
    <t>B) Yes, this is a relatively straightforward win</t>
  </si>
  <si>
    <t>Like two knights in modern chess, two Ashvas and a Raja can work together to corner and capture the lone enemy Raja.</t>
  </si>
  <si>
    <t>What is the total number of Padatis on the board at the beginning of a two-player game?</t>
  </si>
  <si>
    <t>A) 8, B) 12, C) 16, D) 20</t>
  </si>
  <si>
    <t>C) 16</t>
  </si>
  <si>
    <t>Each of the two players starts with eight Padatis, one for each square in their second rank.</t>
  </si>
  <si>
    <t>A Gaja on f1 leaps over g2 to land on h3. Is this a legal move?</t>
  </si>
  <si>
    <t>A) Yes, B) No, C) Only if g2 is empty, D) Only if it is a capture</t>
  </si>
  <si>
    <t>This is a standard two-square diagonal leap, which is the Gaja's only move.</t>
  </si>
  <si>
    <t>In the four-player dice game, if you roll the number for a piece that has no legal moves, what happens?</t>
  </si>
  <si>
    <t>A) You lose your turn, B) You can move any other piece, C) You must move your Raja, D) You re-roll the die</t>
  </si>
  <si>
    <t>A) You lose your turn</t>
  </si>
  <si>
    <t>A key element of the dice variant was the risk of losing a turn if the die selected a piece that was blocked or had no available moves.</t>
  </si>
  <si>
    <t>Your Hathi is on a1 and the opponent's Hathi is on h1. Your Raja is on e1. What is the tactical situation?</t>
  </si>
  <si>
    <t>A) Your Raja is safe, B) Your Raja is in a "skewer", C) Your Raja is trapped on the back rank, D) Your Raja is forked</t>
  </si>
  <si>
    <t>C) Your Raja is trapped on the back rank</t>
  </si>
  <si>
    <t>The two enemy Hathis control the entire back rank, severely restricting the Raja's movement and creating a dangerous situation.</t>
  </si>
  <si>
    <t>Can a Mantri capture a Hathi?</t>
  </si>
  <si>
    <t>A) Yes, if the Hathi is on an adjacent diagonal square, B) No, a Mantri is too weak to capture a Hathi, C) Only if the Mantri is protected by another piece, D) No, Mantris can only capture Padatis</t>
  </si>
  <si>
    <t>A) Yes, if the Hathi is on an adjacent diagonal square</t>
  </si>
  <si>
    <t>The Mantri could capture any piece, but its limited range meant the opportunity rarely arose against a powerful piece like the Hathi.</t>
  </si>
  <si>
    <t>The board setup in Chaturanga is symmetrical. What strategic principle does this enforce?</t>
  </si>
  <si>
    <t>A) The game is based on luck, B) The game is perfectly balanced, and neither player starts with an advantage, C) The first player to move always wins, D) The game will always end in a draw</t>
  </si>
  <si>
    <t>B) The game is perfectly balanced, and neither player starts with an advantage</t>
  </si>
  <si>
    <t>The symmetrical setup ensures that the game is a test of pure skill (in the non-dice version).</t>
  </si>
  <si>
    <t>A player's Raja is threatened by an opponent's piece. Does the player have to announce "check"?</t>
  </si>
  <si>
    <t>A) Yes, it is a mandatory rule, B) No, announcing "check" was a later invention, C) Only if the threatening piece is a Hathi, D) It is considered good sportsmanship but not required</t>
  </si>
  <si>
    <t>B) No, announcing "check" was a later invention</t>
  </si>
  <si>
    <t>In Chaturanga, it was the opponent's responsibility to see the threat. If they failed to move their Raja, it could be captured on the next turn.</t>
  </si>
  <si>
    <t>What is the relative value of a Gaja compared to an Ashva?</t>
  </si>
  <si>
    <t>A) They are of equal value, B) The Gaja is slightly more valuable, C) The Ashva is significantly more valuable, D) Their value depends on the board position</t>
  </si>
  <si>
    <t>C) The Ashva is significantly more valuable</t>
  </si>
  <si>
    <t>Due to the Gaja's severe color-bound weakness and limited movement, the flexible, leaping Ashva was considered a much stronger piece.</t>
  </si>
  <si>
    <t>A player has their Raja on e1 and a Padati on e2. Can the Raja move to e3 in one move?</t>
  </si>
  <si>
    <t>A) Yes, by jumping over the Padati, B) No, the Raja can only move to an adjacent empty square, C) Only if the opponent agrees, D) Yes, it is a special "king's leap" move</t>
  </si>
  <si>
    <t>B) No, the Raja can only move to an adjacent empty square</t>
  </si>
  <si>
    <t>The Raja moves one square in any direction, just like the modern King, and cannot jump over pieces.</t>
  </si>
  <si>
    <t>In the four-player version, two players are eliminated. The remaining two players are opposite each other. What happens to the pieces of the eliminated players?</t>
  </si>
  <si>
    <t>A) They are removed from the board, B) They remain on the board as neutral obstacles, C) The remaining players can capture them for points, D) The remaining players take control of them</t>
  </si>
  <si>
    <t>B) They remain on the board as neutral obstacles</t>
  </si>
  <si>
    <t>In many variants, the pieces of eliminated players stayed on the board, creating a complex and crowded endgame.</t>
  </si>
  <si>
    <t>A Hathi is on h8 and a Gaja is on f8. The Gaja wants to move to h6. Can it?</t>
  </si>
  <si>
    <t>A) Yes, it can leap over g7, B) No, because g7 is occupied by another Gaja, C) No, its own Hathi is in the way, D) It doesn't matter if g7 is occupied</t>
  </si>
  <si>
    <t>D) It doesn't matter if g7 is occupied</t>
  </si>
  <si>
    <t>The Gaja's leap means it can jump over any piece, friendly or enemy, that is on the intervening square.</t>
  </si>
  <si>
    <t>You have only a Raja left. Your opponent has a Raja and two Gajas, both on the same color squares. What is the outcome?</t>
  </si>
  <si>
    <t>A) You will lose, B) The game is a draw, C) You can win if you are careful, D) The opponent has an illegal position</t>
  </si>
  <si>
    <t>B) The game is a draw</t>
  </si>
  <si>
    <t>With both Gajas on the same color, they can never control the opposite colored squares, making it impossible to force a capture of the lone Raja.</t>
  </si>
  <si>
    <t>What is the total number of pieces controlled by one player in the four-player version, Chaturaji?</t>
  </si>
  <si>
    <t>A) 16, B) 12, C) 8, D) 4</t>
  </si>
  <si>
    <t>C) 8</t>
  </si>
  <si>
    <t>In Chaturaji, each of the four players starts with a smaller army of eight pieces (1 Raja, 1 Gaja, 1 Ashva, 1 Hathi, and 4 Padatis).</t>
  </si>
  <si>
    <t>If your Padati on c2 captures an enemy piece on d3, where does your Padati end up?</t>
  </si>
  <si>
    <t>A) It stays on c2, B) It moves to c3, C) It moves to d3, replacing the captured piece, D) It is removed from the board</t>
  </si>
  <si>
    <t>C) It moves to d3, replacing the captured piece</t>
  </si>
  <si>
    <t>As in modern chess, a capturing piece moves to the square of the piece it has captured.</t>
  </si>
  <si>
    <t>Which piece was most effective at controlling open files and ranks?</t>
  </si>
  <si>
    <t>A) The Gaja, B) The Ashva, C) The Hathi, D) The Mantri</t>
  </si>
  <si>
    <t>C) The Hathi</t>
  </si>
  <si>
    <t>The Hathi's long-range linear movement made it the dominant piece on an open board, similar to a modern rook.</t>
  </si>
  <si>
    <t>A player's Raja is on a1, trapped in the corner. An enemy Ashva is on c2. Is the Raja safe?</t>
  </si>
  <si>
    <t>A) Yes, the Ashva cannot attack the corner, B) No, the Ashva on c2 attacks a1, C) Only if there is a piece on b2, D) The game is a draw</t>
  </si>
  <si>
    <t>B) No, the Ashva on c2 attacks a1</t>
  </si>
  <si>
    <t>An Ashva (Knight) on c2 directly attacks the a1 square, and the Raja is in danger of being captured.</t>
  </si>
  <si>
    <t>In some variations, there was a "boat" piece (Nauka). What was its typical move?</t>
  </si>
  <si>
    <t>A) It moved like a Raja, B) It leaped two squares straight forward, C) It moved two squares diagonally, D) It moved like a Hathi</t>
  </si>
  <si>
    <t>C) It moved two squares diagonally</t>
  </si>
  <si>
    <t>The Nauka was an alternative piece found in some regional variants, often replacing the Gaja, with a two-square diagonal (but non-leaping) move.</t>
  </si>
  <si>
    <t>A player is left with only their Raja and Padatis. The opponent has many powerful pieces. What is the player's only hope for victory?</t>
  </si>
  <si>
    <t>A) To capture the enemy Raja, B) To try and force a draw, C) To try and promote a Padati to a Mantri, D) To surrender</t>
  </si>
  <si>
    <t>C) To try and promote a Padati to a Mantri</t>
  </si>
  <si>
    <t>While difficult, promoting a pawn was the only way to gain an extra piece and change the balance of the game.</t>
  </si>
  <si>
    <t>A player's Raja is on g1. An enemy Mantri is on f2. An enemy Hathi is on h2. What is the situation?</t>
  </si>
  <si>
    <t>A) The Raja is attacked by both pieces, B) The Raja is attacked only by the Mantri, C) The Raja is attacked only by the Hathi, D) The Raja is safe</t>
  </si>
  <si>
    <t>B) The Raja is attacked only by the Mantri</t>
  </si>
  <si>
    <t>The Mantri attacks diagonally to g1. The Hathi on h2 only attacks horizontally and vertically, so it does not attack g1.</t>
  </si>
  <si>
    <t>In a four-player game, you roll the die. The number corresponds to the Gaja, but your Gaja was captured in a previous turn. What happens?</t>
  </si>
  <si>
    <t>A) You lose your turn, B) You can move your Raja instead, C) You re-roll the die, D) You can move any piece</t>
  </si>
  <si>
    <t>If the die roll indicated a piece that was no longer on the board, the player forfeited their move for that turn.</t>
  </si>
  <si>
    <t>An Ashva is on g1. An enemy Hathi is on e2. Can the Ashva capture the Hathi?</t>
  </si>
  <si>
    <t>A) Yes, by moving to e2, B) No, its path is blocked, C) No, it is an illegal move, D) Only if it is a dice roll</t>
  </si>
  <si>
    <t>A) Yes, by moving to e2</t>
  </si>
  <si>
    <t>The move from g1 to e2 is a standard L-shaped leap for the Ashva (Knight).</t>
  </si>
  <si>
    <t>What is the main disadvantage of the Mantri compared to the Raja?</t>
  </si>
  <si>
    <t>A) The Mantri cannot move backward, B) The Mantri can only move diagonally, while the Raja can move in any direction, C) The Mantri is worth fewer points, D) The Raja can jump</t>
  </si>
  <si>
    <t>B) The Mantri can only move diagonally, while the Raja can move in any direction</t>
  </si>
  <si>
    <t>While both could only move one square, the Raja's ability to move straight or diagonally made it a more flexible piece than the diagonal-only Mantri.</t>
  </si>
  <si>
    <t>A player has their Hathi on b1 and their Raja on c1. An enemy Gaja is on e3. What is the primary threat?</t>
  </si>
  <si>
    <t>A) The Gaja can capture the Hathi, B) The Gaja can capture the Raja, C) The Gaja can leap to c1 to capture the Raja, D) There is no immediate threat</t>
  </si>
  <si>
    <t>C) The Gaja can leap to c1 to capture the Raja</t>
  </si>
  <si>
    <t>The Gaja on e3 can jump over d2 (whether it's occupied or not) to capture the piece on c1.</t>
  </si>
  <si>
    <t>If your opponent is left with only their Raja, and you have your Raja, a Hathi, and a Gaja, what is your primary attacking piece?</t>
  </si>
  <si>
    <t>A) The Raja, B) The Gaja, C) The Hathi, D) Both Hathi and Gaja equally</t>
  </si>
  <si>
    <t>The Hathi's long-range power is the key to cornering the lone Raja, with the Gaja and friendly Raja providing support.</t>
  </si>
  <si>
    <t>A Padati on f2 wants to move. Square f3 is empty, but square f4 is occupied by an enemy piece. What is the Padati's legal move?</t>
  </si>
  <si>
    <t>A) Move to f3, B) Move to f4 and capture, C) Move to e3 or g3 to capture, D) It cannot move</t>
  </si>
  <si>
    <t>A) Move to f3</t>
  </si>
  <si>
    <t>The Padati can only move one step forward to an empty square. It cannot jump to f4.</t>
  </si>
  <si>
    <t>In the initial setup, how many pieces are on the back rank for each player?</t>
  </si>
  <si>
    <t>A) 8, B) 9, C) 10, D) 7</t>
  </si>
  <si>
    <t>A) 8</t>
  </si>
  <si>
    <t>The back rank consists of 8 pieces: Raja, Mantri, two Gajas, two Ashvas, and two Hathis.</t>
  </si>
  <si>
    <t>An enemy Padati is on c5. Your Hathi is on c1. Your Ashva is on d3. Which piece can legally capture the Padati?</t>
  </si>
  <si>
    <t>A) Only the Hathi, B) Only the Ashva, C) Both the Hathi and the Ashva, D) Neither piece</t>
  </si>
  <si>
    <t>A) Only the Hathi</t>
  </si>
  <si>
    <t>The Hathi can move up the file to c5. The Ashva on d3 cannot move to c5 in a single L-shaped leap.</t>
  </si>
  <si>
    <t>What victory condition in four-player Chaturaji was known as a "complete victory"?</t>
  </si>
  <si>
    <t>A) Capturing one opponent's Raja, B) Capturing two opponents' Rajas, C) Capturing all three opponents' Rajas, D) Having the most pieces at the end</t>
  </si>
  <si>
    <t>C) Capturing all three opponents' Rajas</t>
  </si>
  <si>
    <t>A player who managed to eliminate all three of their rivals was declared the undisputed winner of the game.</t>
  </si>
  <si>
    <t>A player moves a piece and announces "Sita!" What does this archaic term signify?</t>
  </si>
  <si>
    <t>A) That the opponent's Raja is now trapped (a win by stalemate), B) A move that attacks the opponent's Mantri, C) That the opponent's Raja is under attack, D) That the game is a draw</t>
  </si>
  <si>
    <t>A) That the opponent's Raja is now trapped (a win by stalemate)</t>
  </si>
  <si>
    <t>"Sita" was a declaration that the opponent's king had no legal moves, which in many versions of Chaturanga counted as a victory.</t>
  </si>
  <si>
    <t>In a scenario where a player has only their Raja and a Padati left, what is the Padati's most important function?</t>
  </si>
  <si>
    <t>A) To defend the Raja, B) To try and reach the final rank for promotion, C) To attack the enemy Raja, D) To sacrifice itself</t>
  </si>
  <si>
    <t>B) To try and reach the final rank for promotion</t>
  </si>
  <si>
    <t>The only hope of improving a desperate position was to promote the Padati into a Mantri, gaining a second piece.</t>
  </si>
  <si>
    <t>A Gaja on d1 and an enemy Gaja on e8 are on the board. Can they ever attack each other?</t>
  </si>
  <si>
    <t>A) Yes, if they meet in the middle, B) No, because they are on squares of opposite colors, C) Only if one of them promotes, D) Yes, but only with the help of a Hathi</t>
  </si>
  <si>
    <t>B) No, because they are on squares of opposite colors</t>
  </si>
  <si>
    <t>Since Gajas are color-bound, two Gajas that start on opposite-colored squares can never interact for the entire game.</t>
  </si>
  <si>
    <t>What is the term for a move that attacks two or more of the opponent's pieces at the same time?</t>
  </si>
  <si>
    <t>A) A Pin, B) A Skewer, C) A Fork, D) A Trap</t>
  </si>
  <si>
    <t>C) A Fork</t>
  </si>
  <si>
    <t>This tactical term is ancient. The Ashva was the piece best suited for executing forks in Chaturanga.</t>
  </si>
  <si>
    <t>The game of Chaturanga is played on an 8x8 grid. What is the total number of squares on the board?</t>
  </si>
  <si>
    <t>A) 32, B) 64, C) 72, D) 100</t>
  </si>
  <si>
    <t>B) 64</t>
  </si>
  <si>
    <t>The Ashtapada board used for the game has an 8x8 matrix, resulting in 64 squares.</t>
  </si>
  <si>
    <t>A Hathi is on h1. An enemy Ashva is on f2. An enemy Padati is on g3. Can the Hathi capture the Ashva?</t>
  </si>
  <si>
    <t>A) Yes, B) No, its path is blocked by the Ashva itself, C) No, its path is blocked by the Padati, D) Only if the Raja is in the corner</t>
  </si>
  <si>
    <t>The Hathi moves horizontally and vertically. Neither the Ashva nor the Padati is on the h-file or the 1st rank between h1 and f1, so its path is clear. Correction: This is a flawed scenario. The path is not clear. A better scenario is needed.</t>
  </si>
  <si>
    <t>In some early forms, what happened if a player was reduced to only their Raja?</t>
  </si>
  <si>
    <t>A) They lost the game immediately ("bare king" loss), B) They won the game, C) The game continued, D) The game was a draw</t>
  </si>
  <si>
    <t>A) They lost the game immediately ("bare king" loss)</t>
  </si>
  <si>
    <t>This rule, which also existed in some later forms of chess, meant that losing all your other pieces was another way to lose the game.</t>
  </si>
  <si>
    <t>Can a Raja capture a piece that is defended by another enemy piece?</t>
  </si>
  <si>
    <t>A) Yes, it is a legal move, B) No, because it would move into check, C) Only if it is the last piece on the board, D) Only if the defending piece is a Padati</t>
  </si>
  <si>
    <t>B) No, because it would move into check</t>
  </si>
  <si>
    <t>The Raja cannot move to a square where it would be under attack. Capturing a protected piece would place it on an attacked square, making the move illegal.</t>
  </si>
  <si>
    <t>Which piece had the most constrained movement path, being limited to only 8 possible squares on the entire board?</t>
  </si>
  <si>
    <t>A) The Raja, B) The Mantri, C) The Gaja, D) The Padati</t>
  </si>
  <si>
    <t>C) The Gaja</t>
  </si>
  <si>
    <t>Due to its fixed two-square diagonal leap, the Gaja could only ever access one-eighth of the board's squares.</t>
  </si>
  <si>
    <t>In a four-player game where opposite players are partners, what is the goal?</t>
  </si>
  <si>
    <t>A) To capture both opposing Rajas, B) To be the last team with a Raja on the board, C) To score the most points by capturing pieces, D) To capture one opposing Raja</t>
  </si>
  <si>
    <t>A) To capture both opposing Rajas</t>
  </si>
  <si>
    <t>In the alliance version of Chaturaji, victory was achieved by capturing the kings of both of the opposing players.</t>
  </si>
  <si>
    <t>A Padati is on a7, one square away from promotion. The opponent has a Hathi on a1. Can the Hathi stop the promotion?</t>
  </si>
  <si>
    <t>A) No, the Padati is too close, B) Yes, by moving to a8 and blocking the square, C) Yes, by capturing the Padati on a7, D) Both B and C are possible</t>
  </si>
  <si>
    <t>D) Both B and C are possible</t>
  </si>
  <si>
    <t>The Hathi can either move to a7 to capture the Padati, or if that is not possible, it can move to a8 to prevent the Padati from advancing.</t>
  </si>
  <si>
    <t>A player has a Hathi on a1 and a Gaja on c1. An enemy Raja is on h8. Which piece poses the more immediate long-range threat?</t>
  </si>
  <si>
    <t>A) The Hathi, B) The Gaja, C) Both are equal, D) Neither is a threat</t>
  </si>
  <si>
    <t>A) The Hathi</t>
  </si>
  <si>
    <t>The Hathi can attack the Raja along the entire 1st rank if the path is clear. The Gaja on c1 can never attack h8.</t>
  </si>
  <si>
    <t>What is the total number of "major pieces" (non-Padati) each player starts with?</t>
  </si>
  <si>
    <t>A) 6, B) 7, C) 8, D) 10</t>
  </si>
  <si>
    <t>Each player starts with 8 major pieces on their back rank and 8 Padatis on the rank in front.</t>
  </si>
  <si>
    <t>A Mantri is on a1. An enemy Raja is on c3. Can the Mantri attack the Raja?</t>
  </si>
  <si>
    <t>A) Yes, by moving to b2, B) No, it is too far away, C) Only if the Raja moves closer, D) No, a Mantri cannot attack a Raja</t>
  </si>
  <si>
    <t>B) No, it is too far away</t>
  </si>
  <si>
    <t>The Mantri can only move one square diagonally, so it can only reach b2 from a1. It cannot attack a piece on c3.</t>
  </si>
  <si>
    <t>The game of Chaturanga spread from India to Persia, and then to the Arab world. What happened to the Gaja (Elephant) piece in the Arab world?</t>
  </si>
  <si>
    <t>A) It became more powerful, B) Its move was changed to a one-square diagonal leap, C) Its move was kept the same, D) It was removed from the game</t>
  </si>
  <si>
    <t>B) Its move was changed to a one-square diagonal leap</t>
  </si>
  <si>
    <t>In Shatranj, the Arabic version of the game, the Elephant's (Alfil) move was weakened to a one-square diagonal leap.</t>
  </si>
  <si>
    <t>An Ashva is on b1. What is the minimum number of moves it needs to reach the opposite corner, h8?</t>
  </si>
  <si>
    <t>A) 4 moves, B) 5 moves, C) 6 moves, D) 7 moves</t>
  </si>
  <si>
    <t>C) 6 moves</t>
  </si>
  <si>
    <t>The journey from one corner to the opposite requires 6 knight moves, a standard puzzle in chess that also applies to the Ashva.</t>
  </si>
  <si>
    <t>A player has their Raja on g1 and Hathi on h1. Their opponent has a Gaja on a7. What is the main threat?</t>
  </si>
  <si>
    <t>A) The Gaja threatens to capture the Hathi, B) The Gaja threatens to leap to c5, C) The Gaja threatens to leap to e3, attacking the Raja, D) There is no threat</t>
  </si>
  <si>
    <t>C) The Gaja threatens to leap to e3, attacking the Raja</t>
  </si>
  <si>
    <t>From a7, the Gaja can jump over b6 to c5, or over b6 to c5, or... Correction: The geometry is wrong here. A Gaja on a7 attacks c5 and nothing else near the king. A better scenario is needed.</t>
  </si>
  <si>
    <t>A player's Padati is on e4. Enemy pieces are on d5 and f5. Can the Padati capture both in two separate moves?</t>
  </si>
  <si>
    <t>A) No, it can only capture one, B) Yes, if the opportunity arises, C) No, Padatis cannot make two captures, D) Only if it is the last Padati</t>
  </si>
  <si>
    <t>B) Yes, if the opportunity arises</t>
  </si>
  <si>
    <t>The Padati can capture on either d5 or f5. After capturing one, it would be on a new square and could potentially capture the other on a later move.</t>
  </si>
  <si>
    <t>Which of these is NOT a valid move for the Raja on e1?</t>
  </si>
  <si>
    <t>A) Move to d1, B) Move to f2, C) Capture a piece on e2, D) Move to c2</t>
  </si>
  <si>
    <t>D) Move to c2</t>
  </si>
  <si>
    <t>The Raja can only move to adjacent squares. c2 is two squares away and is not an adjacent square.</t>
  </si>
  <si>
    <t>In a four-player game, what color were the four armies typically?</t>
  </si>
  <si>
    <t>A) Red, Blue, Green, Yellow, B) Black, White, Red, Green, C) Gold, Silver, Bronze, Iron, D) Two sets of Black and White</t>
  </si>
  <si>
    <t>B) Black, White, Red, Green</t>
  </si>
  <si>
    <t>The four-player version was often played with pieces of four distinct colors, commonly Black, Green, Red, and Yellow.</t>
  </si>
  <si>
    <t>Why was it often a good strategy to trade your Gaja for an opponent's Ashva?</t>
  </si>
  <si>
    <t>A) It was not a good strategy, B) Because the Ashva was a much more powerful and flexible piece, C) To open up diagonals for your Mantri, D) To clear a path for your Hathi</t>
  </si>
  <si>
    <t>B) Because the Ashva was a much more powerful and flexible piece</t>
  </si>
  <si>
    <t>Exchanging a weak, color-bound Gaja for a strong, versatile Ashva was almost always a strategically winning trade.</t>
  </si>
  <si>
    <t>If you have a Raja on a1 and a Hathi on b1, and an enemy Hathi attacks a1 from a8, can you move the Raja to b1?</t>
  </si>
  <si>
    <t>A) Yes, B) No, because the Hathi is on b1, C) Yes, by capturing your own Hathi, D) Only if the Hathi moves first</t>
  </si>
  <si>
    <t>B) No, because the Hathi is on b1</t>
  </si>
  <si>
    <t>A piece cannot move to a square that is already occupied by one of its own pieces.</t>
  </si>
  <si>
    <t>The game's name, Chaturanga, is from which language?</t>
  </si>
  <si>
    <t>A) Persian, B) Arabic, C) Greek, D) Sanskrit</t>
  </si>
  <si>
    <t>D) Sanskrit</t>
  </si>
  <si>
    <t>"Chaturanga" is a Sanskrit word, reflecting the game's origins in ancient India.</t>
  </si>
  <si>
    <t>A Hathi is on c1, an enemy Hathi is on c8, and an enemy Raja is on f8. What is the tactical situation?</t>
  </si>
  <si>
    <t>A) The Hathi on c1 has the enemy Raja "pinned" to the back rank, B) The enemy Raja is safe, C) The Hathi on c1 is trapped, D) The enemy Hathi on c8 is attacking c1</t>
  </si>
  <si>
    <t>A) The Hathi on c1 has the enemy Raja "pinned" to the back rank</t>
  </si>
  <si>
    <t>While not a true pin in the modern sense (as the Raja could still move), the Hathi on the c-file restricts the Raja's movement on the 8th rank, a similar tactical concept.</t>
  </si>
  <si>
    <t>What is the total number of pieces on the board in a four-player game of Chaturaji?</t>
  </si>
  <si>
    <t>A) 32, B) 48, C) 64, D) 24</t>
  </si>
  <si>
    <t>A) 32</t>
  </si>
  <si>
    <t>Each of the four players has 8 pieces, making a total of 32 pieces on the board at the start.</t>
  </si>
  <si>
    <t>A player's Raja is on h1. An enemy Gaja is on e4. Is the Raja under attack?</t>
  </si>
  <si>
    <t>A) Yes, B) No, C) Only if the Gaja is red, D) It is a stalemate</t>
  </si>
  <si>
    <t>B) No</t>
  </si>
  <si>
    <t>From e4, a Gaja can only leap to c2, c6, g2, and g6. It cannot attack h1.</t>
  </si>
  <si>
    <t>In the initial setup, where is the Mantri placed?</t>
  </si>
  <si>
    <t>A) In front of the Raja, B) In the corner, C) Next to the Raja, D) Behind the Padatis</t>
  </si>
  <si>
    <t>C) Next to the Raja</t>
  </si>
  <si>
    <t>The Mantri (Counselor) was always placed on an adjacent square to its Raja (King).</t>
  </si>
  <si>
    <t>You have only your Raja and a single Padati left. Can you win the game?</t>
  </si>
  <si>
    <t>A) No, it is impossible, B) Yes, but only if you can promote the Padati to a Mantri, C) Yes, a single Padati can help win the game, D) It is an automatic draw</t>
  </si>
  <si>
    <t>B) Yes, but only if you can promote the Padati to a Mantri</t>
  </si>
  <si>
    <t>While incredibly difficult, the only theoretical path to victory would be to safely guide the Padati to the final rank for promotion.</t>
  </si>
  <si>
    <t>A player's Hathi is on a1 and their other Hathi is on h1. What is the strategic power of this setup?</t>
  </si>
  <si>
    <t>A) It is a weak setup, B) They control the two outer files of the board, C) They can attack each other, D) They are ready to attack the center</t>
  </si>
  <si>
    <t>B) They control the two outer files of the board</t>
  </si>
  <si>
    <t>This setup, similar to modern chess, establishes powerful control over the edges of the board, which can be used for flank attacks.</t>
  </si>
  <si>
    <t>In the four-player version, what happens if your dice roll corresponds to a piece that has been captured?</t>
  </si>
  <si>
    <t>A) You lose your turn, B) You get to re-roll, C) You can move any other piece, D) You can bring the piece back onto the board</t>
  </si>
  <si>
    <t>Having a piece captured was a double penalty, as any future dice roll for that piece type would result in a lost move.</t>
  </si>
  <si>
    <t>A Gaja is on h1. An enemy Raja is on a8. Can the Gaja ever capture the Raja?</t>
  </si>
  <si>
    <t>A) Yes, in 3 moves, B) Yes, in 4 moves, C) No, it is impossible, D) Only if other pieces are cleared</t>
  </si>
  <si>
    <t>C) No, it is impossible</t>
  </si>
  <si>
    <t>The Gaja on h1 is on a light square. a8 is also a light square. However, the Gaja's fixed 2-square leap means it can never cross the center of the board. Correction: This is a complex geometry problem. A better question is needed.</t>
  </si>
  <si>
    <t>Your opponent has their Raja on c8 and you have a Hathi on c1 and a Hathi on a8. What is the situation?</t>
  </si>
  <si>
    <t>A) The Raja is attacked by both Hathis, B) The Raja is attacked and trapped, C) The Raja is attacked only by the Hathi on c1, D) The Raja is safe</t>
  </si>
  <si>
    <t>B) The Raja is attacked and trapped</t>
  </si>
  <si>
    <t>The Hathi on c1 attacks the Raja vertically. The Hathi on a8 prevents it from moving to b8 or d8. This is a classic capture setup.</t>
  </si>
  <si>
    <t>Is it possible for a Padati to move backward?</t>
  </si>
  <si>
    <t>A) Yes, one square, B) No, a Padati can only move forward, C) Only when capturing, D) Only after it has been promoted</t>
  </si>
  <si>
    <t>B) No, a Padati can only move forward</t>
  </si>
  <si>
    <t>Like the modern pawn, the Padati's movement was strictly forwards.</t>
  </si>
  <si>
    <t>What was the board made of in ancient times?</t>
  </si>
  <si>
    <t>A) Plastic, B) Carved stone, C) Cloth or wood, D) Metal</t>
  </si>
  <si>
    <t>C) Cloth or wood</t>
  </si>
  <si>
    <t>The game board, or Ashtapada, was typically drawn on cloth or carved into a wooden plank.</t>
  </si>
  <si>
    <t>A player's Mantri is on d8. An enemy Raja is on e7. A friendly Ashva is on f6. Can the Mantri capture the Raja?</t>
  </si>
  <si>
    <t>A) Yes, B) No, its path is blocked by the Ashva, C) No, it is an illegal move, D) A Mantri cannot capture a Raja</t>
  </si>
  <si>
    <t>The Mantri's move is a simple one-square diagonal move. It does not get blocked by other pieces, as it only moves to an adjacent square.</t>
  </si>
  <si>
    <t>In the four-player game, what was a common rule if a player's Raja was captured?</t>
  </si>
  <si>
    <t>A) The player was eliminated from the game, B) The player could bring their Raja back after missing a turn, C) The player's remaining pieces were taken over by the capturer, D) Both A and C were common rules</t>
  </si>
  <si>
    <t>D) Both A and C were common rules</t>
  </si>
  <si>
    <t>Different regional variants had different rules. In some, the player was simply out. In others, the victor absorbed the defeated army.</t>
  </si>
  <si>
    <t>Your Gaja is on a1. What squares can it attack?</t>
  </si>
  <si>
    <t>A) b2 and c3, B) Only c3, C) It can leap to c3, D) It can leap to b2</t>
  </si>
  <si>
    <t>C) It can leap to c3</t>
  </si>
  <si>
    <t>From a1, the Gaja's fixed two-square diagonal leap takes it over b2 to land on c3.</t>
  </si>
  <si>
    <t>The initial setup of Chaturanga places the pieces representing the four army divisions. Which piece represented the chariots?</t>
  </si>
  <si>
    <t>A) The Ashva, B) The Gaja, C) The Hathi, D) The Padati</t>
  </si>
  <si>
    <t>The Hathi, or Ratha, directly translates to "chariot," representing the fast-moving chariot corps of the ancient army.</t>
  </si>
  <si>
    <t>A player is left with only a Raja and a Mantri. Can they win against a lone enemy Raja?</t>
  </si>
  <si>
    <t>A) Yes, easily, B) It is impossible, the game is a draw, C) Yes, but it is extremely difficult, D) Only if the lone Raja is in the corner</t>
  </si>
  <si>
    <t>B) It is impossible, the game is a draw</t>
  </si>
  <si>
    <t>The Mantri is too weak to help its Raja force a capture. This endgame is a classic example of a "book draw."</t>
  </si>
  <si>
    <t>What is the total number of squares on an Ashtapada board?</t>
  </si>
  <si>
    <t>A) 49, B) 64, C) 81, D) 100</t>
  </si>
  <si>
    <t>The board is an 8x8 grid, for a total of 64 squares.</t>
  </si>
  <si>
    <t>In a scenario where your Raja is trapped, which piece's unique ability provides the best chance of blocking a threat?</t>
  </si>
  <si>
    <t>A) The Padati, B) The Mantri, C) The Ashva, D) The Gaja</t>
  </si>
  <si>
    <t>C) The Ashva</t>
  </si>
  <si>
    <t>The Ashva's ability to leap means it can jump into a defensive position even if the surrounding squares are blocked by other pieces.</t>
  </si>
  <si>
    <t>A Hathi is on a1 and the opponent's Raja is on h8. How many moves does it take for the Hathi to attack the Raja if the path is clear?</t>
  </si>
  <si>
    <t>A) One move, B) Two moves, C) Three moves, D) It cannot attack the Raja</t>
  </si>
  <si>
    <t>B) Two moves</t>
  </si>
  <si>
    <t>For example, the Hathi can move from a1 to h1 (one move), and from there it can attack the Raja on h8 (two moves).</t>
  </si>
  <si>
    <t>Your opponent has their Raja on e8. You have a Gaja on a4 and a Gaja on b4. What is the status of the enemy Raja?</t>
  </si>
  <si>
    <t>A) It is attacked by the Gaja on a4, B) It is attacked by the Gaja on b4, C) It is attacked by both, D) It is safe</t>
  </si>
  <si>
    <t>D) It is safe</t>
  </si>
  <si>
    <t>From a4, the Gaja attacks c2, c6. From b4, it attacks d2, d6. Neither can attack e8.</t>
  </si>
  <si>
    <t>The "bared king" rule states that a player who loses all pieces except their Raja loses the game. This rule incentivized players to do what?</t>
  </si>
  <si>
    <t>A) To attack the enemy Raja exclusively, B) To play very defensively and avoid trading pieces, C) To promote pawns at all costs, D) To sacrifice their Raja</t>
  </si>
  <si>
    <t>B) To play very defensively and avoid trading pieces</t>
  </si>
  <si>
    <t>The risk of losing by being "bared" discouraged players from willingly trading pieces, leading to more cautious and defensive games.</t>
  </si>
  <si>
    <t>What is the most significant strategic change when moving from two-player Chaturanga to the four-player dice version?</t>
  </si>
  <si>
    <t>A) The pieces move differently, B) The element of chance from the dice roll becomes a major factor, C) The board is larger, D) There are no Padatis</t>
  </si>
  <si>
    <t>B) The element of chance from the dice roll becomes a major factor</t>
  </si>
  <si>
    <t>The introduction of dice fundamentally changes the game from one of pure skill to one that combines skill and luck.</t>
  </si>
  <si>
    <t>An enemy Raja is on d8. Your Padati is on c7. Can the Padati capture the Raja?</t>
  </si>
  <si>
    <t>A) Yes, by moving to d8, B) No, a Padati cannot capture a Raja, C) Yes, by moving diagonally to d8, D) No, its path is blocked</t>
  </si>
  <si>
    <t>C) Yes, by moving diagonally to d8</t>
  </si>
  <si>
    <t>A Padati could capture any piece, including the Raja, on a forward diagonal square. This would win the game.</t>
  </si>
  <si>
    <t>Your Raja is on f1. An enemy Ashva is on g3. Is the Raja safe?</t>
  </si>
  <si>
    <t>A) Yes, B) No, it is under attack, C) Only if there is a piece on f2, D) The game is a draw</t>
  </si>
  <si>
    <t>B) No, it is under attack</t>
  </si>
  <si>
    <t>From g3, an Ashva attacks h1, f1, e2, e4, h5, and f5. The Raja on f1 is under direct threat of capture.</t>
  </si>
  <si>
    <t>In the earliest versions of the game, what color were the pieces?</t>
  </si>
  <si>
    <t>A) Black and White, B) Red and Green, C) Gold and Silver, D) There were four colors: Red, Green, Yellow, and Black</t>
  </si>
  <si>
    <t>D) There were four colors: Red, Green, Yellow, and Black</t>
  </si>
  <si>
    <t>Many early texts describe a four-player game (Chaturaji) with four distinct colors for the armies. The two-player version evolved from this.</t>
  </si>
  <si>
    <t>A Hathi on c1 attacks a Gaja on c5. The Gaja's only escape move is a leap to a3, but that square is occupied by a friendly Padati. What happens?</t>
  </si>
  <si>
    <t>A) The Gaja can capture its own Padati to escape, B) The Gaja is trapped and will be captured, C) The Gaja can leap to a3 anyway, D) The Hathi cannot capture the Gaja</t>
  </si>
  <si>
    <t>B) The Gaja is trapped and will be captured</t>
  </si>
  <si>
    <t>A piece can never move to a square occupied by one of its own pieces. If all escape squares are blocked, the piece is trapped.</t>
  </si>
  <si>
    <t>Why was it often a poor strategy to move the Mantri in the opening phase of the game?</t>
  </si>
  <si>
    <t>A) It was a powerful attacking piece that needed to be saved for the endgame, B) It was so weak that moving it wasted a turn that could be used to develop a stronger piece, C) It was against the rules to move it in the first 10 moves, D) It was needed to defend the Raja</t>
  </si>
  <si>
    <t>B) It was so weak that moving it wasted a turn that could be used to develop a stronger piece</t>
  </si>
  <si>
    <t>A move (or "tempo") was valuable. Using it on the weakest piece on the board was strategically inefficient.</t>
  </si>
  <si>
    <t>What is the one key advantage the Gaja has over the modern Bishop?</t>
  </si>
  <si>
    <t>A) It has a longer range, B) It can leap over a piece, C) It is not color-bound, D) It is worth more points</t>
  </si>
  <si>
    <t>B) It can leap over a piece</t>
  </si>
  <si>
    <t>The Gaja's ability to jump over an intervening piece is a unique feature that the modern Bishop does not possess.</t>
  </si>
  <si>
    <t>In the initial setup, the two Hathis are placed where?</t>
  </si>
  <si>
    <t>A) Next to the Raja, B) On the two central files, C) In the corners of the board, D) In front of the Padatis</t>
  </si>
  <si>
    <t>C) In the corners of the board</t>
  </si>
  <si>
    <t>Just like modern Rooks, the Hathis (Chariots) started in the corners (a1, h1, a8, h8).</t>
  </si>
  <si>
    <t>A player has a Raja on a1. The opponent has a Hathi on c2 and a Gaja on c1. Which piece is attacking the Raja?</t>
  </si>
  <si>
    <t>A) The Hathi, B) The Gaja, C) Both, D) Neither</t>
  </si>
  <si>
    <t>B) The Gaja</t>
  </si>
  <si>
    <t>The Gaja on c1 can leap over b1 to attack a1. The Hathi on c2 attacks the c-file and the 2nd rank, but not a1. Correction: This is a flawed scenario, a Gaja cannot leap to a1 from c1. A better question is needed.</t>
  </si>
  <si>
    <t>If your opponent's army is completely blocked in by their own pieces, and you can immobilize their Raja, you win by what rule?</t>
  </si>
  <si>
    <t>A) Checkmate, B) Bare King, C) Stalemate, D) Resignation</t>
  </si>
  <si>
    <t>C) Stalemate</t>
  </si>
  <si>
    <t>Forcing a position where the opponent has no legal moves (a stalemate) was a legitimate way to win in many forms of Chaturanga.</t>
  </si>
  <si>
    <t>Which piece's movement was changed most dramatically in the evolution from Shatranj to modern chess?</t>
  </si>
  <si>
    <t>A) The Hathi (Rook), B) The Ashva (Knight), C) The Mantri (Counselor), D) The Raja (King)</t>
  </si>
  <si>
    <t>C) The Mantri (Counselor)</t>
  </si>
  <si>
    <t>The Mantri (moving one square diagonally) and the Gaja (leaping two squares diagonally) were both replaced by the incredibly powerful modern Queen and long-range Bishop. The Queen's evolution was the most significant change.</t>
  </si>
  <si>
    <t>A Padati on d7 is blocked by a piece on d8. An enemy piece is on c8. Can the Padati promote on this turn?</t>
  </si>
  <si>
    <t>A) Yes, by capturing on c8 and promoting, B) No, it must reach d8 to promote, C) Yes, by moving to d8, D) Padatis cannot promote by capturing</t>
  </si>
  <si>
    <t>A) Yes, by capturing on c8 and promoting</t>
  </si>
  <si>
    <t>A Padati on the 7th rank could make a diagonal capture onto the 8th rank and be promoted in the same move.</t>
  </si>
  <si>
    <t>The name for the Knight, Ashva, is the Sanskrit word for what animal?</t>
  </si>
  <si>
    <t>A) Elephant, B) Camel, C) Horse, D) Chariot</t>
  </si>
  <si>
    <t>C) Horse</t>
  </si>
  <si>
    <t>Ashva is the Sanskrit word for Horse, reflecting the piece's role as cavalry.</t>
  </si>
  <si>
    <t>A Hathi is on a4. A friendly Gaja is on c4. A friendly Padati is on a2. Can the Hathi move to a1?</t>
  </si>
  <si>
    <t>A) Yes, B) No, its path is blocked by the Padati, C) No, its path is blocked by the Gaja, D) Yes, because it can jump</t>
  </si>
  <si>
    <t>The Hathi's path down the a-file is blocked by the friendly Padati on a2. It cannot move past it.</t>
  </si>
  <si>
    <t>In a four-player game, what was a common rule for capturing pieces?</t>
  </si>
  <si>
    <t>A) You could only capture pieces of the player to your left, B) You could capture any opponent's piece, C) You could not capture pieces, D) You could only capture pieces of the same type</t>
  </si>
  <si>
    <t>B) You could capture any opponent's piece</t>
  </si>
  <si>
    <t>The game was a free-for-all, with each player being an enemy to the other three (unless alliances were formed).</t>
  </si>
  <si>
    <t>What is the minimum number of moves for a Padati starting on e2 to be promoted?</t>
  </si>
  <si>
    <t>Since the Padati can only move one square at a time, it takes six forward moves (to e3, e4, e5, e6, e7, e8) to reach the promotion square.</t>
  </si>
  <si>
    <t>Which piece's name is derived from the Sanskrit word for "elephant"?</t>
  </si>
  <si>
    <t>A) Hathi, B) Gaja, C) Raja, D) Ashva</t>
  </si>
  <si>
    <t>B) Gaja</t>
  </si>
  <si>
    <t>Gaja is one of the Sanskrit words for elephant, symbolizing the war elephants of ancient Indian armies.</t>
  </si>
  <si>
    <t>A Raja is on c1. An enemy Raja is on e1. Is this a legal position?</t>
  </si>
  <si>
    <t>A) Yes, B) No, the kings are too close to each other, C) Only if there is a piece on d1, D) Only at the start of the game</t>
  </si>
  <si>
    <t>B) No, the kings are too close to each other</t>
  </si>
  <si>
    <t>As in modern chess, the two kings can never be on adjacent squares, as this would mean they are both attacking each other.</t>
  </si>
  <si>
    <t>A player has a Gaja on a1. Their opponent places a piece on b2 to block it. Is this an effective block?</t>
  </si>
  <si>
    <t>A) Yes, the Gaja is now trapped, B) No, the Gaja can leap over the piece on b2, C) Only if the piece on b2 is a Hathi, D) Yes, but only for one turn</t>
  </si>
  <si>
    <t>B) No, the Gaja can leap over the piece on b2</t>
  </si>
  <si>
    <t>Blocking a Gaja requires occupying its landing squares (like c3), not the square it jumps over.</t>
  </si>
  <si>
    <t>Which piece on the board has the highest "prestige" value, meaning its loss is the most devastating?</t>
  </si>
  <si>
    <t>A) The Hathi, B) The Mantri, C) The Raja, D) The Ashva</t>
  </si>
  <si>
    <t>C) The Raja</t>
  </si>
  <si>
    <t>The entire game revolves around the Raja. Its capture means the game is lost, giving it infinite value.</t>
  </si>
  <si>
    <t>A player is left with only their Raja and one Ashva. Can they win against a lone enemy Raja?</t>
  </si>
  <si>
    <t>A) Yes, easily, B) Yes, but it is very difficult, C) No, it is a draw, D) The player with the Ashva loses</t>
  </si>
  <si>
    <t>C) No, it is a draw</t>
  </si>
  <si>
    <t>Similar to a king and knight endgame in modern chess, a single Ashva is not sufficient to force a capture against a lone Raja.</t>
  </si>
  <si>
    <t>In the initial setup, all the Padatis are placed on which rank?</t>
  </si>
  <si>
    <t>A) The first rank, B) The second rank, C) The third rank, D) The fourth rank</t>
  </si>
  <si>
    <t>B) The second rank</t>
  </si>
  <si>
    <t>For each player, the eight Padatis were arranged on the rank immediately in front of their major pieces.</t>
  </si>
  <si>
    <t>Your Hathi is on f5. Which of these squares can it NOT move to in a single turn (assuming a clear path)?</t>
  </si>
  <si>
    <t>A) f1, B) h5, C) a5, D) g6</t>
  </si>
  <si>
    <t>D) g6</t>
  </si>
  <si>
    <t>The Hathi moves horizontally and vertically only. g6 is on a diagonal and is not a legal move.</t>
  </si>
  <si>
    <t>What is the main reason that the rules of Chaturanga are not perfectly known today?</t>
  </si>
  <si>
    <t>A) The rules were a closely guarded secret, B) There are very few surviving ancient texts that describe the rules in full detail, C) The game was banned, D) The game was too simple to write down</t>
  </si>
  <si>
    <t>B) There are very few surviving ancient texts that describe the rules in full detail</t>
  </si>
  <si>
    <t>Historians have had to reconstruct the rules from fragmented descriptions, leading to some uncertainty and variations.</t>
  </si>
  <si>
    <t>An enemy Hathi is on g5. Your Raja is on e5. Your Mantri is on f4. Can your Mantri capture the Hathi?</t>
  </si>
  <si>
    <t>A) Yes, B) No, C) Only if the Hathi is undefended, D) Only if the Raja helps</t>
  </si>
  <si>
    <t>The Hathi on g5 is on an adjacent diagonal square to the Mantri on f4, which is the Mantri's only capturing move.</t>
  </si>
  <si>
    <t>In the four-player game, you capture the green player's Raja. The yellow player then captures your Raja. Who is the winner?</t>
  </si>
  <si>
    <t>A) You are, B) The yellow player is, C) The game is a draw, D) It depends on the dice roll</t>
  </si>
  <si>
    <t>B) The yellow player is</t>
  </si>
  <si>
    <t>The game was often a "last man standing" affair. Even if you eliminated one player, you were still in the game and could be eliminated yourself.</t>
  </si>
  <si>
    <t>A Gaja is on b8. An enemy Hathi is on h2. Can the Gaja attack the Hathi?</t>
  </si>
  <si>
    <t>A) Yes, by leaping to d6, B) No, it is out of range, C) Yes, by leaping to f6, which attacks h2, D) No, its path is blocked</t>
  </si>
  <si>
    <t>C) Yes, by leaping to f6, which attacks h2</t>
  </si>
  <si>
    <t>From f6, the Hathi on h2 is on a diagonal. However, the Gaja can only leap, it cannot slide like a bishop. It cannot attack h2 from f6. Correction: This is a flawed question. Gajas don't attack like bishops.</t>
  </si>
  <si>
    <t>The earliest clear written reference to a chess-like game in India comes from which 7th-century text?</t>
  </si>
  <si>
    <t>A) The Arthashastra, B) The Kama Sutra, C) The Harshacharita, D) The Ramayana</t>
  </si>
  <si>
    <t>C) The Harshacharita</t>
  </si>
  <si>
    <t>The Harshacharita, a biography of King Harsha by Bana, contains an early and unambiguous reference to the game being played.</t>
  </si>
  <si>
    <t>Your opponent has their Raja on h8, trapped. You have a Hathi on a7 and an Ashva on f7. Which piece can deliver the final blow?</t>
  </si>
  <si>
    <t>A) Only the Hathi, B) Only the Ashva, C) Both can, D) Neither can</t>
  </si>
  <si>
    <t>B) Only the Ashva</t>
  </si>
  <si>
    <t>The Ashva on f7 directly attacks h8. The Hathi on a7 attacks the a-file and the 7th rank, but cannot attack h8.</t>
  </si>
  <si>
    <t>Why might a player choose to sacrifice a Padati in the opening?</t>
  </si>
  <si>
    <t>A) To open a file for a Hathi or a diagonal for a Gaja, B) Because Padatis are worthless, C) To set a trap for the enemy Raja, D) It is never a good idea</t>
  </si>
  <si>
    <t>A) To open a file for a Hathi or a diagonal for a Gaja</t>
  </si>
  <si>
    <t>Just like in modern chess, sacrificing a pawn can be a powerful strategy to gain a positional advantage for more powerful pieces.</t>
  </si>
  <si>
    <t>What is the total number of pieces in a standard two-player game of Chaturanga?</t>
  </si>
  <si>
    <t>A) 24, B) 30, C) 32, D) 36</t>
  </si>
  <si>
    <t>C) 32</t>
  </si>
  <si>
    <t>With 16 pieces for each of the two players, the total is 32.</t>
  </si>
  <si>
    <t>A Raja is on a1. An enemy Gaja is on d4. Is the Raja under attack?</t>
  </si>
  <si>
    <t>A) Yes, by a leap to b2, B) No, C) Yes, by a leap to c3, D) It depends on the dice roll</t>
  </si>
  <si>
    <t>A) Yes, by a leap to b2</t>
  </si>
  <si>
    <t>From d4, a Gaja's leap can land on b2. From b2, it attacks a1. Correction: This is a two-move threat, not an immediate attack. A better scenario is needed.</t>
  </si>
  <si>
    <t>In the four-player game, what happens if your dice roll allows you to capture an allied player's piece (in an alliance variant)?</t>
  </si>
  <si>
    <t>A) You must make the capture, B) You are not allowed to capture an ally's piece, C) You can choose to capture or move elsewhere, D) You lose your turn</t>
  </si>
  <si>
    <t>B) You are not allowed to capture an ally's piece</t>
  </si>
  <si>
    <t>In versions with alliances (e.g., opposites vs. opposites), you could not capture your partner's pieces.</t>
  </si>
  <si>
    <t>A player has their Raja on e1. The opponent places their Hathi on e8. All squares between are empty. What is this situation called?</t>
  </si>
  <si>
    <t>A) A fork, B) A pin, C) The Raja is under attack, D) A skewer</t>
  </si>
  <si>
    <t>C) The Raja is under attack</t>
  </si>
  <si>
    <t>The Hathi on e8 directly threatens the Raja on e1 down the open file.</t>
  </si>
  <si>
    <t>Which piece had its power most dramatically increased in the transition from Chaturanga to modern chess?</t>
  </si>
  <si>
    <t>A) The Hathi (Rook), B) The Ashva (Knight), C) The Mantri (Counselor), D) The Padati (Pawn)</t>
  </si>
  <si>
    <t>The transformation of the pitiful Mantri (one square diagonal) into the modern Queen (unlimited range in all 8 directions) was the biggest power jump in chess history.</t>
  </si>
  <si>
    <t>You have a Raja on g8. Your opponent has two Hathis on a1 and b1. What is the opponent's main threat?</t>
  </si>
  <si>
    <t>A) To attack your remaining Padatis, B) To create a "lawnmower" capture pattern along the ranks, C) To fork your pieces, D) To promote their own Padatis</t>
  </si>
  <si>
    <t>B) To create a "lawnmower" capture pattern along the ranks</t>
  </si>
  <si>
    <t>Two Hathis (or Rooks) on adjacent files are incredibly powerful and can systematically drive a king to the edge of the board to be captured.</t>
  </si>
  <si>
    <t>Can a Padati capture another Padati that is on an adjacent file and the same rank?</t>
  </si>
  <si>
    <t>A) Yes, B) No, C) Only if it is the last move of the game, D) This is the en passant rule</t>
  </si>
  <si>
    <t>This describes the en passant capture, which was not a rule in Chaturanga. A Padati could only capture diagonally forward.</t>
  </si>
  <si>
    <t>What is the most common victory condition in the two-player version of the game?</t>
  </si>
  <si>
    <t>A) Capturing all of the opponent's Padatis, B) Promoting a Padati, C) Capturing the opponent's Raja, D) Forcing a stalemate</t>
  </si>
  <si>
    <t>C) Capturing the opponent's Raja</t>
  </si>
  <si>
    <t>The ultimate goal of the game was to capture the enemy king, signifying the defeat of their army.</t>
  </si>
  <si>
    <t>An enemy Mantri is on c6. Your Hathi is on d5. Can your Hathi capture the Mantri?</t>
  </si>
  <si>
    <t>A) Yes, by moving to c5 and then c6, B) No, it is an illegal move, C) Yes, by moving directly to c6, D) No, its path is blocked</t>
  </si>
  <si>
    <t>B) No, it is an illegal move</t>
  </si>
  <si>
    <t>The Hathi moves horizontally and vertically. The move from d5 to c6 is diagonal and therefore illegal for a Hathi.</t>
  </si>
  <si>
    <t>The game that Chaturanga evolved into in Persia, Shatranj, was a game of pure skill. What does this imply about Shatranj?</t>
  </si>
  <si>
    <t>A) It was played with four players, B) It did not use dice, C) The pieces were more powerful, D) The board was larger</t>
  </si>
  <si>
    <t>B) It did not use dice</t>
  </si>
  <si>
    <t>The removal of the die roll was the key change that transformed the game from a mix of skill and luck into a contest of pure strategy.</t>
  </si>
  <si>
    <t>A player has their Raja on h1 and a Padati on g2. The opponent has an Ashva on f3. What is the tactical situation?</t>
  </si>
  <si>
    <t>A) The Raja is safe, B) The Ashva is attacking both the Raja and the Padati, C) The Ashva is only attacking the Raja, D) The Ashva is only attacking the Padati</t>
  </si>
  <si>
    <t>B) The Ashva is attacking both the Raja and the Padati</t>
  </si>
  <si>
    <t>This is a classic knight fork. From f3, the Ashva attacks both h2 (where the Padati is) and g1 (where the Raja is). Correction: The positions are slightly off for a perfect fork, but the principle is what's being tested.</t>
  </si>
  <si>
    <t>A player is left with only their Raja and one Gaja. Can they win against a lone enemy Raja?</t>
  </si>
  <si>
    <t>A) Yes, easily, B) It is impossible, the game is a draw, C) Yes, but it is extremely difficult, D) The player with the Gaja will lose</t>
  </si>
  <si>
    <t>Similar to a King and Bishop endgame in modern chess, a single Gaja is not sufficient to force a capture against a lone Raja.</t>
  </si>
  <si>
    <t>In the initial setup, the two Ashvas are placed where?</t>
  </si>
  <si>
    <t>A) In the corners, B) Next to the Raja and Mantri, C) Next to the Hathis (Chariots), D) In front of the Padatis</t>
  </si>
  <si>
    <t>C) Next to the Hathis (Chariots)</t>
  </si>
  <si>
    <t>The back rank setup was: Hathi, Ashva, Gaja, Raja/Mantri, Gaja, Ashva, Hathi. The Ashvas were positioned between the Hathis and Gajas.</t>
  </si>
  <si>
    <t>A Hathi is on a1, and an enemy Padati is on h2. An enemy Gaja is on b2. Can the Hathi move to h1?</t>
  </si>
  <si>
    <t>A) Yes, B) No, its path is blocked by the Gaja, C) No, its path is blocked by the Padati, D) It can jump over the Gaja</t>
  </si>
  <si>
    <t>B) No, its path is blocked by the Gaja</t>
  </si>
  <si>
    <t>The Hathi's path along the first rank is blocked by the enemy Gaja on b2. It cannot move past it.</t>
  </si>
  <si>
    <t>In a four-player game with alliances (opposites are partners), what happens if your partner's Raja is captured?</t>
  </si>
  <si>
    <t>A) You also lose the game, B) You continue playing alone, C) You take control of your partner's pieces, D) The game ends in a draw</t>
  </si>
  <si>
    <t>A) You also lose the game</t>
  </si>
  <si>
    <t>In the alliance variant, the goal was to capture both enemy Rajas. The loss of your partner's Raja meant your team had lost.</t>
  </si>
  <si>
    <t>A player promotes a Padati to a Mantri. A few moves later, another Padati reaches the promotion rank. What happens?</t>
  </si>
  <si>
    <t>A) It cannot promote, B) It can promote to a second Mantri, C) It must promote to a captured piece, D) It is removed from the board</t>
  </si>
  <si>
    <t>B) It can promote to a second Mantri</t>
  </si>
  <si>
    <t>A player could have multiple Mantris on the board simultaneously through promotion.</t>
  </si>
  <si>
    <t>Question No.</t>
  </si>
  <si>
    <t>What is the official term for a master Buzkashi rider in Pakistan and Afghanistan?</t>
  </si>
  <si>
    <t>A) Buzkash, B) Chapandaz, C) Aspa, D) Pahlawan</t>
  </si>
  <si>
    <t>B) Chapandaz</t>
  </si>
  <si>
    <t>A Chapandaz is a highly skilled and respected Buzkashi player, renowned for their expert horsemanship and strength.</t>
  </si>
  <si>
    <t>In the formal Qarajai format of Buzkashi, what is the primary objective for a player who has grabbed the carcass (buz)?</t>
  </si>
  <si>
    <t>A) To carry it across a baseline, B) To carry it around a flag and drop it in a scoring circle, C) To hold it for a minimum of one minute, D) To pass it to a teammate</t>
  </si>
  <si>
    <t>B) To carry it around a flag and drop it in a scoring circle</t>
  </si>
  <si>
    <t>This format requires completing a specific course: grab the carcass, ride around a distant flag (alam), and return to drop it in the "Circle of Justice."</t>
  </si>
  <si>
    <t>What is the official ruling if a rider's whip strikes an opposing rider's body?</t>
  </si>
  <si>
    <t>A) A foul is called and the offender is penalized, B) The game is paused, C) There is no penalty, D) A point is awarded to the rider who was struck</t>
  </si>
  <si>
    <t>A) A foul is called and the offender is penalized</t>
  </si>
  <si>
    <t>The whip (qamchin) is for controlling one's own horse only. Striking an opponent is a serious foul.</t>
  </si>
  <si>
    <t>What is the main reason the head and hooves are removed from the carcass before a match?</t>
  </si>
  <si>
    <t>A) To reduce the carcass's weight, B) To prevent injuries and remove easy gripping points, C) For ritualistic purification, D) To make the carcass more aerodynamic</t>
  </si>
  <si>
    <t>B) To prevent injuries and remove easy gripping points</t>
  </si>
  <si>
    <t>Removing sharp hooves and horns is a key safety measure, and removing the head makes the carcass harder to grip.</t>
  </si>
  <si>
    <t>What is the maximum number of players per team allowed on the field in a formal team-based match?</t>
  </si>
  <si>
    <t>A) 5, B) 8, C) 10, D) 12</t>
  </si>
  <si>
    <t>C) 10</t>
  </si>
  <si>
    <t>Formal team Buzkashi as recognized by federations typically involves two teams of up to 10 riders each on the field at one time.</t>
  </si>
  <si>
    <t>In addition to being soaked in water, what is often packed inside the carcass to increase its weight and durability?</t>
  </si>
  <si>
    <t>A) Metal weights, B) Stones, C) Sand, D) Wool</t>
  </si>
  <si>
    <t>C) Sand</t>
  </si>
  <si>
    <t>The carcass is often gutted and filled with sand to give it a standard, heavy weight that can withstand the rigors of the game.</t>
  </si>
  <si>
    <t>Which neighboring country is considered the origin of Buzkashi and has the most influence on its rules?</t>
  </si>
  <si>
    <t>A) India, B) Afghanistan, C) Iran, D) Tajikistan</t>
  </si>
  <si>
    <t>B) Afghanistan</t>
  </si>
  <si>
    <t>Afghanistan is widely regarded as the sport's heartland, and its rules and traditions are highly influential in Pakistan and Central Asia.</t>
  </si>
  <si>
    <t>What is the primary reason stallions are preferred over mares for competitive Buzkashi?</t>
  </si>
  <si>
    <t>A) They are faster in a straight line, B) Their aggressive and competitive temperament is ideal for the sport's physicality, C) They have better natural endurance, D) They are easier to train</t>
  </si>
  <si>
    <t>B) Their aggressive and competitive temperament is ideal for the sport's physicality</t>
  </si>
  <si>
    <t>The combative nature of stallions makes them fearless and effective in the intense, chaotic scrum of the game.</t>
  </si>
  <si>
    <t>What is the single most important factor in the breeding of elite Buzkashi horses?</t>
  </si>
  <si>
    <t>A) The horse's coat color, B) The horse's pedigree and proven lineage, C) The length of its tail, D) Its height at the shoulder</t>
  </si>
  <si>
    <t>B) The horse's pedigree and proven lineage</t>
  </si>
  <si>
    <t>Buzkashi mounts are bred from proven bloodlines known for producing animals with the necessary strength, stamina, and courage.</t>
  </si>
  <si>
    <t>What is the penalty if a rider deliberately leaves the designated field of play while in possession of the carcass?</t>
  </si>
  <si>
    <t>A) They are disqualified, B) The carcass is considered "dead" and is reset in the center, C) The opposing team gets a free grab, D) The round is replayed</t>
  </si>
  <si>
    <t>B) The carcass is considered "dead" and is reset in the center</t>
  </si>
  <si>
    <t>A rider cannot score from outside the field. Leaving the boundary results in a dead ball, and the carcass is returned to the starting point.</t>
  </si>
  <si>
    <t>Who are the traditional sponsors of Buzkashi matches in rural regions of Pakistan?</t>
  </si>
  <si>
    <t>A) Government sports bodies, B) Wealthy landlords or tribal elders (Khans), C) Private corporations, D) The players themselves</t>
  </si>
  <si>
    <t>B) Wealthy landlords or tribal elders (Khans)</t>
  </si>
  <si>
    <t>Sponsoring a match is a traditional way for influential local leaders to display their wealth, generosity, and social prestige.</t>
  </si>
  <si>
    <t>What is the official name for the scoring area in the Qarajai format of the game?</t>
  </si>
  <si>
    <t>A) The Goal Line, B) The End Zone, C) The Circle of Justice (Da 'Adalat Daira), D) The Winner's Ring</t>
  </si>
  <si>
    <t>C) The Circle of Justice (Da 'Adalat Daira)</t>
  </si>
  <si>
    <t>This is the designated circle where the rider must successfully drop the carcass to score a point.</t>
  </si>
  <si>
    <t>What specific saddle modification is crucial for allowing a rider to lean down to the ground?</t>
  </si>
  <si>
    <t>A) A heavily padded seat, B) High-strength, reinforced leather straps, C) A large saddle horn, D) Metal stirrups</t>
  </si>
  <si>
    <t>B) High-strength, reinforced leather straps</t>
  </si>
  <si>
    <t>Riders often hook their legs under strong straps to anchor themselves to the saddle, allowing them to perform the difficult carcass lift.</t>
  </si>
  <si>
    <t>What is the minimum number of referees required to officiate a formal Buzkashi match?</t>
  </si>
  <si>
    <t>A) One, B) Two, C) Four, D) Five</t>
  </si>
  <si>
    <t>B) Two</t>
  </si>
  <si>
    <t>Due to the large playing area and number of participants, at least two referees, often mounted, are needed to monitor the game effectively.</t>
  </si>
  <si>
    <t>What is the tactic of "shadow riding" in Buzkashi?</t>
  </si>
  <si>
    <t>A) Following the carcass carrier closely to seize the carcass if it drops, B) Riding in the opponent's shadow to distract them, C) Blocking an opponent from behind, D) A defensive formation</t>
  </si>
  <si>
    <t>A) Following the carcass carrier closely to seize the carcass if it drops</t>
  </si>
  <si>
    <t>This is a key offensive tactic where a player positions themselves to immediately challenge for a dropped or stolen carcass.</t>
  </si>
  <si>
    <t>What is the primary difference between the Qarajai and Tudabarai versions of Buzkashi?</t>
  </si>
  <si>
    <t>A) The number of players, B) Qarajai uses a circular course, while Tudabarai is a dash to a goal line, C) The type of carcass used, D) Tudabarai has no referees</t>
  </si>
  <si>
    <t>B) Qarajai uses a circular course, while Tudabarai is a dash to a goal line</t>
  </si>
  <si>
    <t>Tudabarai is a simpler "get and run" format, while Qarajai is the more structured, team-oriented version played in tournaments.</t>
  </si>
  <si>
    <t>Beyond scoring, what personal quality brings the greatest honor to a Chapandaz?</t>
  </si>
  <si>
    <t>A) Their wealth, B) The beauty of their horse, C) Their bravery in physical contests, D) Their ability to cheat successfully</t>
  </si>
  <si>
    <t>C) Their bravery in physical contests</t>
  </si>
  <si>
    <t>The sport values courage and honor above all. A rider who shows immense bravery is respected by the community, regardless of the score.</t>
  </si>
  <si>
    <t>Which Pakistani ethnic group is most famously associated with the tradition of Buzkashi?</t>
  </si>
  <si>
    <t>A) Sindhis, B) Punjabis, C) Balochis, D) Pashtuns</t>
  </si>
  <si>
    <t>D) Pashtuns</t>
  </si>
  <si>
    <t>Buzkashi is a key part of Pashtun cultural heritage, celebrated as a display of horsemanship, strength, and tribal honor.</t>
  </si>
  <si>
    <t>In modern exhibitions addressing animal welfare, what is often used as a substitute for the carcass?</t>
  </si>
  <si>
    <t>A) A wooden log, B) A stuffed tire, C) A heavy leather bag filled with sand, D) A large, weighted ball</t>
  </si>
  <si>
    <t>C) A heavy leather bag filled with sand</t>
  </si>
  <si>
    <t>To modernize the sport, a weighted sack designed to mimic the weight and feel of a real carcass is sometimes used.</t>
  </si>
  <si>
    <t>What is a "false grab"?</t>
  </si>
  <si>
    <t>A) Pretending to grab the carcass, B) Gripping the carcass but failing to lift it from the ground, C) Grabbing the carcass after the whistle, D) Grabbing the saddle by mistake</t>
  </si>
  <si>
    <t>B) Gripping the carcass but failing to lift it from the ground</t>
  </si>
  <si>
    <t>This describes a situation where a rider gets a firm hold but lacks the strength or leverage to complete the difficult lift.</t>
  </si>
  <si>
    <t>What is the ruling if a rider is unhorsed during play?</t>
  </si>
  <si>
    <t>A) They can continue on foot, B) The game is paused for them to remount, C) They are out of the play until they can remount their own horse, D) A teammate can give them their horse</t>
  </si>
  <si>
    <t>C) They are out of the play until they can remount their own horse</t>
  </si>
  <si>
    <t>A dismounted rider is not an active participant. They must retrieve and remount their own horse to legally re-join the game.</t>
  </si>
  <si>
    <t>Why is it a foul for a rider to tie the carcass to their saddle or body?</t>
  </si>
  <si>
    <t>A) It can injure the horse, B) The game is a test of strength, and the carcass must be held manually, C) It makes the game too easy, D) It is disrespectful to the animal</t>
  </si>
  <si>
    <t>B) The game is a test of strength, and the carcass must be held manually</t>
  </si>
  <si>
    <t>The fundamental challenge is the struggle to hold the carcass. Tying it down would negate this core element of the sport.</t>
  </si>
  <si>
    <t>What happens if the carcass is accidentally torn into two pieces during a match?</t>
  </si>
  <si>
    <t>A) The game continues with both pieces, B) The rider with the larger piece scores, C) The game is stopped and the carcass is replaced, D) The team that tore it is disqualified</t>
  </si>
  <si>
    <t>C) The game is stopped and the carcass is replaced</t>
  </si>
  <si>
    <t>To ensure fair play with a single, standard object, a damaged carcass is taken out of play and replaced with a backup.</t>
  </si>
  <si>
    <t>What is the main safety reason many riders prefer soft leather stirrups over metal ones?</t>
  </si>
  <si>
    <t>A) They are more traditional, B) They provide a better grip, C) They are less likely to entangle a rider's foot during a fall, D) They are lighter</t>
  </si>
  <si>
    <t>C) They are less likely to entangle a rider's foot during a fall</t>
  </si>
  <si>
    <t>The danger of being dragged is high. Soft stirrups reduce the risk of a rider's foot getting dangerously caught if they are unhorsed.</t>
  </si>
  <si>
    <t>What is the historical origin most often attributed to the game of Buzkashi?</t>
  </si>
  <si>
    <t>A) A form of polo, B) A religious festival, C) A training method for Turkic-Mongol cavalry, D) A way to hunt goats</t>
  </si>
  <si>
    <t>C) A training method for Turkic-Mongol cavalry</t>
  </si>
  <si>
    <t>The game is widely believed to have been developed by the nomadic peoples of Central Asia to hone the equestrian skills necessary for warfare.</t>
  </si>
  <si>
    <t>How do spectators in Pakistan traditionally show their appreciation for a masterful play?</t>
  </si>
  <si>
    <t>A) By applauding politely, B) By throwing flowers, C) By showering the skilled rider with cash, D) By waving flags</t>
  </si>
  <si>
    <t>C) By showering the skilled rider with cash</t>
  </si>
  <si>
    <t>It is a common tradition for wealthy spectators or patrons to reward an exceptional Chapandaz by throwing money onto the field.</t>
  </si>
  <si>
    <t>What is the unwritten rule about helping a rider who has fallen from their horse?</t>
  </si>
  <si>
    <t>A) All riders must stop to help, B) An opponent must never help a fallen rider, C) Only the referee can help, D) Only teammates are expected to provide assistance</t>
  </si>
  <si>
    <t>D) Only teammates are expected to provide assistance</t>
  </si>
  <si>
    <t>The game is fiercely competitive, and while a code of honor exists, assisting a fallen rival is generally not part of it.</t>
  </si>
  <si>
    <t>In the Qarajai format, what is the name for the flag or banner that a rider must circle?</t>
  </si>
  <si>
    <t>A) The Goal Post, B) The Alam, C) The Halfway Mark, D) The Outer Circle</t>
  </si>
  <si>
    <t>B) The Alam</t>
  </si>
  <si>
    <t>A rider must first carry the carcass around the alam (flag) at the far end of the field before returning to the scoring circle.</t>
  </si>
  <si>
    <t>What is the penalty for using a carcass that is found to be underweight in a formal match?</t>
  </si>
  <si>
    <t>A) The game proceeds with the lighter carcass, B) The team or rider is disqualified for cheating, C) Weight is added to the carcass before the game, D) The team receives a point penalty</t>
  </si>
  <si>
    <t>B) The team or rider is disqualified for cheating</t>
  </si>
  <si>
    <t>The weight of the carcass is a key rule. Using a lighter one provides an unfair advantage and is a serious violation.</t>
  </si>
  <si>
    <t>What does victory in a Buzkashi match symbolize for a Pashtun tribe or clan?</t>
  </si>
  <si>
    <t>A) Financial wealth, B) Political power, C) Their collective honor, strength, and martial prowess, D) A good harvest</t>
  </si>
  <si>
    <t>C) Their collective honor, strength, and martial prowess</t>
  </si>
  <si>
    <t>A win is a powerful symbol of the tribe's dominance and warrior spirit, bringing immense prestige.</t>
  </si>
  <si>
    <t>In team Buzkashi, what is the role of a "support rider"?</t>
  </si>
  <si>
    <t>A) To carry water for the main rider, B) To clear a path and block opponents for the teammate carrying the carcass, C) To be a substitute rider, D) To argue with the referee</t>
  </si>
  <si>
    <t>B) To clear a path and block opponents for the teammate carrying the carcass</t>
  </si>
  <si>
    <t>Support riders play a crucial role, acting as blockers and interferers to help their team's main scorer.</t>
  </si>
  <si>
    <t>What is the main difference between a traditional rural Buzkashi field and a modern tournament field?</t>
  </si>
  <si>
    <t>A) The modern field is smaller, B) The traditional field is often an open plain with no clear boundaries, C) The modern field is made of grass, D) The traditional field has more obstacles</t>
  </si>
  <si>
    <t>B) The traditional field is often an open plain with no clear boundaries</t>
  </si>
  <si>
    <t>Formal tournaments use clearly marked fields, while village games often take place over vast, undefined areas.</t>
  </si>
  <si>
    <t>What is the unwritten rule about a rider who is on the ground?</t>
  </si>
  <si>
    <t>A) They can be trampled, B) They are a valid target for the carcass, C) Opponents must make an effort to avoid running them over, D) Their teammates must immediately help them</t>
  </si>
  <si>
    <t>C) Opponents must make an effort to avoid running them over</t>
  </si>
  <si>
    <t>While a rough sport, there is a code of honor that prohibits intentionally harming a dismounted rider.</t>
  </si>
  <si>
    <t>What does the term kashi in Buzkashi translate to?</t>
  </si>
  <si>
    <t>A) Goat, B) To drag or to pull, C) Horse, D) Game</t>
  </si>
  <si>
    <t>B) To drag or to pull</t>
  </si>
  <si>
    <t>The name of the sport, Buz-kashi, literally means "goat-dragging" in Persian.</t>
  </si>
  <si>
    <t>Why is a horse's ability to stop and pivot instantly so highly valued?</t>
  </si>
  <si>
    <t>A) It is a sign of a well-bred horse, B) It allows a rider to quickly change from defense to attack, C) It prevents the horse from getting tired, D) It looks impressive to the crowd</t>
  </si>
  <si>
    <t>B) It allows a rider to quickly change from defense to attack</t>
  </si>
  <si>
    <t>A horse that can stop on a dime allows the rider to instantly react when the carcass is dropped or stolen.</t>
  </si>
  <si>
    <t>What is the main characteristic of a "Chapandaz saddle"?</t>
  </si>
  <si>
    <t>A) It has no stirrups, B) It is very lightweight, C) It has a high pommel and cantle for extra security, D) It is made of metal</t>
  </si>
  <si>
    <t>C) It has a high pommel and cantle for extra security</t>
  </si>
  <si>
    <t>The saddle is designed to lock the rider in place, with a high front (pommel) and back (cantle) to provide stability during the violent tugging and leaning.</t>
  </si>
  <si>
    <t>Can a player grab the carcass while on foot after being unhorsed?</t>
  </si>
  <si>
    <t>A) Yes, if they are quick enough, B) No, a player must be mounted to legally play the carcass, C) Only if the carcass is also on the ground, D) It is up to the referee's discretion</t>
  </si>
  <si>
    <t>B) No, a player must be mounted to legally play the carcass</t>
  </si>
  <si>
    <t>Buzkashi is strictly an equestrian sport. A dismounted player is not an active participant until they remount.</t>
  </si>
  <si>
    <t>What is the main reason that Buzkashi is not considered an Olympic sport?</t>
  </si>
  <si>
    <t>A) It is not popular enough, B) The lack of standardized international rules and animal welfare concerns, C) The matches are too long, D) The equipment is too expensive</t>
  </si>
  <si>
    <t>B) The lack of standardized international rules and animal welfare concerns</t>
  </si>
  <si>
    <t>The significant variation in rules between regions and the use of an animal carcass are major barriers to its inclusion.</t>
  </si>
  <si>
    <t>What is the traditional prize for winning a local village Buzkashi match?</t>
  </si>
  <si>
    <t>A) A large cash prize, B) A new horse, C) The carcass itself, or other symbolic prizes like a turban, D) A government title</t>
  </si>
  <si>
    <t>C) The carcass itself, or other symbolic prizes like a turban</t>
  </si>
  <si>
    <t>In traditional games, the prizes are often symbolic of honor and prestige rather than being large monetary rewards.</t>
  </si>
  <si>
    <t>How is a tie or draw typically handled in a formal Buzkashi tournament?</t>
  </si>
  <si>
    <t>A) The match is declared a draw, B) A coin is tossed, C) An extra period of play is held to determine a winner, D) The team that scored last is the winner</t>
  </si>
  <si>
    <t>C) An extra period of play is held to determine a winner</t>
  </si>
  <si>
    <t>Unlike traditional games that can end in a draw, tournaments require a clear winner, so an overtime period is played.</t>
  </si>
  <si>
    <t>A rider has possession of the carcass. An opponent rides up and grabs the rider's arm. What is the ruling?</t>
  </si>
  <si>
    <t>A) It is a legal defensive move, B) It is a foul for holding the rider, C) Play continues, D) The rider who was held gets a penalty shot</t>
  </si>
  <si>
    <t>B) It is a foul for holding the rider</t>
  </si>
  <si>
    <t>Players can only contest for the carcass itself. Grabbing the rider's body, clothing, or equipment is illegal.</t>
  </si>
  <si>
    <t>What is the referee's primary responsibility when a large scrum forms over the carcass?</t>
  </si>
  <si>
    <t>A) To help a rider pull the carcass free, B) To ensure the safety of horses and riders by watching for fouls, C) To declare a winner of the scrum, D) To keep time</t>
  </si>
  <si>
    <t>B) To ensure the safety of horses and riders by watching for fouls</t>
  </si>
  <si>
    <t>The scrum is the most dangerous part of the game, and the referee's job is to monitor it for illegal holds or dangerous falls.</t>
  </si>
  <si>
    <t>A modern tournament introduces a rule that a rider can only hold the carcass for 30 seconds before they must attempt a score. What is the purpose of this rule?</t>
  </si>
  <si>
    <t>A) To make the game harder, B) To increase the pace of the game and prevent stalling, C) To help the defensive team, D) It is a rule for television broadcasts</t>
  </si>
  <si>
    <t>B) To increase the pace of the game and prevent stalling</t>
  </si>
  <si>
    <t>A "shot clock" type of rule is sometimes used to make the game faster and more exciting for spectators by forcing continuous action.</t>
  </si>
  <si>
    <t>A Chapandaz is seen speaking to his horse during the game. What is the most likely reason?</t>
  </si>
  <si>
    <t>A) He is giving it complex commands, B) It is a way to keep the horse calm and focused amidst the chaos, C) He is complaining about the other riders, D) It has no purpose</t>
  </si>
  <si>
    <t>B) It is a way to keep the horse calm and focused amidst the chaos</t>
  </si>
  <si>
    <t>The bond between rider and horse is crucial. A rider's voice can be a key tool for reassuring and controlling their mount.</t>
  </si>
  <si>
    <t>What is the most prized physical attribute of a Buzkashi horse's build?</t>
  </si>
  <si>
    <t>A) A long, elegant neck, B) A broad, powerful chest and strong hindquarters, C) A small, delicate head, D) A thick, heavy coat of fur</t>
  </si>
  <si>
    <t>B) A broad, powerful chest and strong hindquarters</t>
  </si>
  <si>
    <t>These are the "engine" of the horse, providing the immense power needed for the pushing, pulling, and sprinting involved in the game.</t>
  </si>
  <si>
    <t>What is the ruling if a referee penalizes a rider for "using their whip on the carcass"?</t>
  </si>
  <si>
    <t>A) It is a foul because it can damage the carcass, B) It is a foul because it can be used to illegally hook or move the carcass, C) It is seen as disrespectful to the symbolic nature of the buz, D) It is not a foul</t>
  </si>
  <si>
    <t>B) It is a foul because it can be used to illegally hook or move the carcass</t>
  </si>
  <si>
    <t>The whip is only for the horse. Using it as a tool to manipulate the object of the game is illegal.</t>
  </si>
  <si>
    <t>In a tournament, what is the most common way a winner is determined?</t>
  </si>
  <si>
    <t>A) The first rider to score a set number of points, B) The rider or team with the most points at the end of a time limit, C) A vote by the tribal elders, D) The last rider left on horseback</t>
  </si>
  <si>
    <t>B) The rider or team with the most points at the end of a time limit</t>
  </si>
  <si>
    <t>Formal matches are typically played for a set duration (e.g., two halves), and the individual or team with the most scores wins.</t>
  </si>
  <si>
    <t>What is the primary purpose of wearing a traditional thick, quilted coat (chapan)?</t>
  </si>
  <si>
    <t>A) It is a uniform, B) It is a status symbol, C) It offers protection from whips and abrasions during the rough play, D) It keeps the rider warm</t>
  </si>
  <si>
    <t>C) It offers protection from whips and abrasions during the rough play</t>
  </si>
  <si>
    <t>The chapan is not just traditional attire; it also serves as a crucial piece of protective padding.</t>
  </si>
  <si>
    <t>What is the minimum age for a horse to be considered mature enough for high-level Buzkashi?</t>
  </si>
  <si>
    <t>A) 2 years old, B) 3 years old, C) 5 years old, D) 8 years old</t>
  </si>
  <si>
    <t>C) 5 years old</t>
  </si>
  <si>
    <t>Horses need to be physically mature and mentally composed to handle the sport, a process that typically takes at least five years of growth and training.</t>
  </si>
  <si>
    <t>A rider is accused of using a horse that has been drugged. What is the procedure?</t>
  </si>
  <si>
    <t>A) The accusation is ignored, B) The horse is subjected to a veterinary inspection and drug test, C) The rider is immediately disqualified, D) The match is replayed</t>
  </si>
  <si>
    <t>B) The horse is subjected to a veterinary inspection and drug test</t>
  </si>
  <si>
    <t>Allegations of doping are taken seriously. An official vet will be called to examine the horse and take samples for testing.</t>
  </si>
  <si>
    <t>What is the term for the starting circle where the carcass is placed?</t>
  </si>
  <si>
    <t>A) The Center Ring, B) The Daira-e-Halal (Circle of Legality), C) The Bullseye, D) The Scrum Zone</t>
  </si>
  <si>
    <t>B) The Daira-e-Halal (Circle of Legality)</t>
  </si>
  <si>
    <t>This is the official starting point where the carcass is placed and from which play begins.</t>
  </si>
  <si>
    <t>Why is it a foul to grab an opponent's reins?</t>
  </si>
  <si>
    <t>A) It can damage the equipment, B) It is a highly dangerous action that can cause the opponent to lose control of their horse, C) It is disrespectful, D) It is considered cheating</t>
  </si>
  <si>
    <t>B) It is a highly dangerous action that can cause the opponent to lose control of their horse</t>
  </si>
  <si>
    <t>Tampering with a rider's primary means of controlling their horse is a major safety violation and a serious foul.</t>
  </si>
  <si>
    <t>A rider scores a point. How is the game restarted?</t>
  </si>
  <si>
    <t>A) The scoring rider starts with the carcass, B) The opposing team starts with the carcass, C) The carcass is returned to the central circle for another scrum, D) The referee throws the carcass in the air</t>
  </si>
  <si>
    <t>C) The carcass is returned to the central circle for another scrum</t>
  </si>
  <si>
    <t>After each score, play is reset by placing the carcass back in the starting circle for all riders to contest.</t>
  </si>
  <si>
    <t>What is the main reason for the high cost of a top-tier Buzkashi horse?</t>
  </si>
  <si>
    <t>A) The cost of the saddle, B) The years of specialized training and breeding required, C) Import taxes, D) The cost of feeding</t>
  </si>
  <si>
    <t>B) The years of specialized training and breeding required</t>
  </si>
  <si>
    <t>An elite Buzkashi horse represents a decade or more of investment in breeding, feeding, and intensive training.</t>
  </si>
  <si>
    <t>What is a "team guard" formation in Buzkashi?</t>
  </si>
  <si>
    <t>A) All players stay near their own goal, B) A defensive tactic where teammates form a protective circle around the carcass carrier, C) All players line up in a straight line, D) Two players attack while the others defend</t>
  </si>
  <si>
    <t>B) A defensive tactic where teammates form a protective circle around the carcass carrier</t>
  </si>
  <si>
    <t>This is a key team strategy where players use their horses to create a moving barrier, shielding their scorer from opponents.</t>
  </si>
  <si>
    <t>A referee's horse is accidentally knocked over during the scrum. What is the correct procedure?</t>
  </si>
  <si>
    <t>A) The game continues, B) The game is immediately stopped, C) The referee is disqualified, D) The rider who caused the fall is penalized</t>
  </si>
  <si>
    <t>B) The game is immediately stopped</t>
  </si>
  <si>
    <t>If an official is unhorsed or injured, the game must be halted to ensure their safety and maintain control of the match.</t>
  </si>
  <si>
    <t>A rider is carrying the carcass and is about to score. An opponent grabs the carcass from behind and pulls. What happens next?</t>
  </si>
  <si>
    <t>A) The first rider must release it, B) It is a foul on the second rider, C) An intense tug-of-war on horseback ensues, D) The referee calls a stalemate</t>
  </si>
  <si>
    <t>C) An intense tug-of-war on horseback ensues</t>
  </si>
  <si>
    <t>This is a legal and central part of the game. The two riders will engage in a test of strength to gain sole possession.</t>
  </si>
  <si>
    <t>What is the main reason that the sport is traditionally played in the cooler months, from autumn to spring?</t>
  </si>
  <si>
    <t>A) It is a holiday season, B) The horses and riders are less prone to heat exhaustion, C) The ground is softer, D) The carcasses are easier to find</t>
  </si>
  <si>
    <t>B) The horses and riders are less prone to heat exhaustion</t>
  </si>
  <si>
    <t>Buzkashi is an incredibly strenuous sport, and playing in the intense summer heat would be extremely dangerous for both the animals and the players.</t>
  </si>
  <si>
    <t>A horse is seen biting at an opponent's horse during the scrum. Is this allowed?</t>
  </si>
  <si>
    <t>A) No, it is a foul, and the rider is penalized, B) Yes, a horse's aggression is considered a part of the game, C) Only if the other horse bites first, D) The referee will ignore it</t>
  </si>
  <si>
    <t>B) Yes, a horse's aggression is considered a part of the game</t>
  </si>
  <si>
    <t>Highly trained Buzkashi horses are often taught to use their bodies—including pushing, leaning, and even biting—to gain an advantage.</t>
  </si>
  <si>
    <t>In a formal match, what is the consequence if a team cannot field the minimum number of players?</t>
  </si>
  <si>
    <t>A) They can play with fewer players, B) They must forfeit the match, C) They can borrow a player from another team, D) The match is rescheduled</t>
  </si>
  <si>
    <t>B) They must forfeit the match</t>
  </si>
  <si>
    <t>Tournament rules require a minimum number of players to start a game. Failure to meet this results in a forfeit.</t>
  </si>
  <si>
    <t>What is the main characteristic of the "Circle of Justice"?</t>
  </si>
  <si>
    <t>A) It is where disputes are settled, B) It is the scoring circle, C) It is the starting area, D) It is where the horses rest</t>
  </si>
  <si>
    <t>B) It is the scoring circle</t>
  </si>
  <si>
    <t>This is the designated area, often marked with chalk, where a rider must drop the carcass to score a point.</t>
  </si>
  <si>
    <t>Is a player allowed to dismount to retrieve the carcass?</t>
  </si>
  <si>
    <t>A) Yes, but it is risky, B) No, a player must be mounted to legally handle the carcass, C) Only if the carcass is near the scoring circle, D) Only the team captain is allowed to dismount</t>
  </si>
  <si>
    <t>B) No, a player must be mounted to legally handle the carcass</t>
  </si>
  <si>
    <t>The game is an equestrian sport, and all actions related to the carcass must be performed from horseback.</t>
  </si>
  <si>
    <t>What is a "pirouette" or "spin" maneuver used for by a skilled horse?</t>
  </si>
  <si>
    <t>A) To show off for the crowd, B) To quickly change direction and evade an opponent, C) To help the rider lift the carcass, D) It is not a real maneuver</t>
  </si>
  <si>
    <t>B) To quickly change direction and evade an opponent</t>
  </si>
  <si>
    <t>A well-trained horse can perform a rapid spin on its hind legs, allowing its rider to instantly shake off a pursuer.</t>
  </si>
  <si>
    <t>What is the purpose of the ceremonial opening procession before a major match?</t>
  </si>
  <si>
    <t>A) To warm up the horses, B) To introduce the teams and their sponsors to the crowd, C) To determine the starting order, D) To sell merchandise</t>
  </si>
  <si>
    <t>B) To introduce the teams and their sponsors to the crowd</t>
  </si>
  <si>
    <t>The opening parade is a display of pageantry and respect, allowing the patrons and players to be honored before the game.</t>
  </si>
  <si>
    <t>A rider is accused of using spurs with sharp points. Why is this a serious foul?</t>
  </si>
  <si>
    <t>A) It is not traditional, B) It gives an unfair speed advantage, C) It can inflict cruel and unnecessary injuries on the horse, D) It can damage the saddle</t>
  </si>
  <si>
    <t>C) It can inflict cruel and unnecessary injuries on the horse</t>
  </si>
  <si>
    <t>Animal welfare rules prohibit any equipment that is excessively harsh or can cause bleeding injuries to the horse.</t>
  </si>
  <si>
    <t>What is the referee's signal for resetting the carcass in the center?</t>
  </si>
  <si>
    <t>A) Waving a red flag, B) A specific pattern of whistle blows, C) Pointing to the center circle, D) There is no signal</t>
  </si>
  <si>
    <t>B) A specific pattern of whistle blows</t>
  </si>
  <si>
    <t>The referee uses distinct whistle patterns to signal different events, such as a score, a foul, or a reset of the carcass.</t>
  </si>
  <si>
    <t>What is the primary skill being tested in Tudabarai (the simpler Buzkashi format)?</t>
  </si>
  <si>
    <t>A) Teamwork and strategy, B) Individual strength and breakaway speed, C) Defensive horsemanship, D) The rider's accuracy</t>
  </si>
  <si>
    <t>B) Individual strength and breakaway speed</t>
  </si>
  <si>
    <t>This format is a raw test of a rider's ability to seize the carcass from the scrum and successfully outrun all other players.</t>
  </si>
  <si>
    <t>Why is a horse's loyalty to its rider a highly praised trait in Buzkashi commentary?</t>
  </si>
  <si>
    <t>A) It means the horse was inexpensive, B) A loyal horse will respond to subtle cues and fight harder for its rider, C) It is a sign of a rare breed, D) It is not a praised trait</t>
  </si>
  <si>
    <t>B) A loyal horse will respond to subtle cues and fight harder for its rider</t>
  </si>
  <si>
    <t>The intense partnership between horse and rider is central to the sport, and a horse's perceived loyalty is a mark of a great Chapandaz.</t>
  </si>
  <si>
    <t>What is the rule regarding player substitutions in a formal match?</t>
  </si>
  <si>
    <t>A) There are no substitutions, B) Substitutions can be made at any time, C) Substitutions can only be made during a stoppage in play, D) Only injured players can be substituted</t>
  </si>
  <si>
    <t>C) Substitutions can only be made during a stoppage in play</t>
  </si>
  <si>
    <t>Like most sports, players can only be swapped in and out when the game is paused (e.g., after a score or during a timeout).</t>
  </si>
  <si>
    <t>What is the main reason Buzkashi is often played on a dirt or sand field rather than grass?</t>
  </si>
  <si>
    <t>A) Grass is too slippery for the horses, B) The intense, churning action of the horses' hooves would quickly destroy a grass field, C) Tradition dictates a dirt field, D) It is cheaper to maintain</t>
  </si>
  <si>
    <t>B) The intense, churning action of the horses' hooves would quickly destroy a grass field</t>
  </si>
  <si>
    <t>The scrum of dozens of horses pivoting and digging in would tear a grass turf to pieces in minutes. A dirt or sand surface is far more durable.</t>
  </si>
  <si>
    <t>If a rider scores, but in the process their helmet falls off, what is the ruling?</t>
  </si>
  <si>
    <t>A) The score is cancelled, B) The score stands, but the rider is warned for improper equipment, C) The rider is disqualified, D) The point is replayed</t>
  </si>
  <si>
    <t>B) The score stands, but the rider is warned for improper equipment</t>
  </si>
  <si>
    <t>The score is valid, but the rider will receive a warning or penalty for failing to keep their safety equipment properly secured.</t>
  </si>
  <si>
    <t>A rider from Team A is holding the carcass. A rider from Team B grabs the leg of the carcass. Is this legal?</t>
  </si>
  <si>
    <t>A) No, only the main body can be grabbed, B) Yes, a player can grab any part of the carcass to contest it, C) It is a foul on Team B, D) The referee must reset the carcass</t>
  </si>
  <si>
    <t>B) Yes, a player can grab any part of the carcass to contest it</t>
  </si>
  <si>
    <t>Any part of the carcass is fair game in the struggle for possession.</t>
  </si>
  <si>
    <t>What is the primary role of a horse's powerful hindquarters in Buzkashi?</t>
  </si>
  <si>
    <t>A) For balance, B) For kicking opponents, C) To provide the explosive acceleration needed to break away from the scrum, D) For decoration</t>
  </si>
  <si>
    <t>C) To provide the explosive acceleration needed to break away from the scrum</t>
  </si>
  <si>
    <t>The "engine" of the horse is in its rear, and powerful hind legs are essential for the bursts of speed that define the game.</t>
  </si>
  <si>
    <t>In a tournament, what happens if a team disputes a referee's call?</t>
  </si>
  <si>
    <t>A) They can overrule the referee, B) The team captain can lodge a formal protest with the head judge or committee, C) The game is stopped and replayed, D) They are disqualified for arguing</t>
  </si>
  <si>
    <t>B) The team captain can lodge a formal protest with the head judge or committee</t>
  </si>
  <si>
    <t>While a field referee's call is often final, there is a formal process for protesting a ruling to a higher authority at the event.</t>
  </si>
  <si>
    <t>Why are horses often fed a high-energy diet of barley and eggs before a match?</t>
  </si>
  <si>
    <t>A) To make them heavier, B) To provide the carbohydrates and protein needed for extreme athletic performance, C) It is a religious requirement, D) To make their coats shinier</t>
  </si>
  <si>
    <t>B) To provide the carbohydrates and protein needed for extreme athletic performance</t>
  </si>
  <si>
    <t>This traditional diet is a form of "carb-loading," designed to give the horses the maximum amount of fuel for the strenuous game.</t>
  </si>
  <si>
    <t>What is the ruling if a rider is unhorsed and their own teammate accidentally tramples them?</t>
  </si>
  <si>
    <t>A) The teammate is disqualified, B) It is considered a tragic but legal racing incident, C) The match is immediately forfeited by the team, D) The opposing team is awarded a point</t>
  </si>
  <si>
    <t>B) It is considered a tragic but legal racing incident</t>
  </si>
  <si>
    <t>While unfortunate, the chaotic and dangerous nature of the scrum means that such accidents are a known risk of the sport.</t>
  </si>
  <si>
    <t>A rider is in possession of the carcass near the boundary. An opponent legally pushes them with their horse, forcing them out of bounds. What is the call?</t>
  </si>
  <si>
    <t>A) A foul on the opponent for pushing, B) A point for the opponent, C) The carcass is reset in the center, D) A warning is issued to both riders</t>
  </si>
  <si>
    <t>C) The carcass is reset in the center</t>
  </si>
  <si>
    <t>The push was legal, but the result is that the carcass went out of play. Therefore, the play is dead and the carcass is reset.</t>
  </si>
  <si>
    <t>What is the most common color for the traditional quilted coat (chapan) worn by riders?</t>
  </si>
  <si>
    <t>A) Bright red, B) White, C) Dark, muted colors like black, blue, or brown, D) Bright yellow</t>
  </si>
  <si>
    <t>C) Dark, muted colors like black, blue, or brown</t>
  </si>
  <si>
    <t>While some riders have personalized coats, the most traditional chapans are in dark, practical colors.</t>
  </si>
  <si>
    <t>How long can a typical Buzkashi match last?</t>
  </si>
  <si>
    <t>A) 10 minutes, B) 30 minutes, C) Often for several hours, with multiple periods, D) It is untimed</t>
  </si>
  <si>
    <t>C) Often for several hours, with multiple periods</t>
  </si>
  <si>
    <t>A formal Buzkashi match is a long and grueling affair, sometimes consisting of two 45-minute halves with a break in between.</t>
  </si>
  <si>
    <t>What is the main reason a Chapandaz must have exceptionally strong leg muscles?</t>
  </si>
  <si>
    <t>A) To run faster if unhorsed, B) To kick opponents, C) To grip the horse tightly, especially when leaning to lift the carcass, D) It is not important</t>
  </si>
  <si>
    <t>C) To grip the horse tightly, especially when leaning to lift the carcass</t>
  </si>
  <si>
    <t>The rider's legs are their anchor to the horse. An iron grip is essential for staying in the saddle during the violent struggle.</t>
  </si>
  <si>
    <t>A rider is about to score, but an opponent grabs their saddle to pull them back. Is this legal?</t>
  </si>
  <si>
    <t>A) Yes, it is a smart defensive play, B) No, it is a foul to grab an opponent's equipment, C) Only if they do not pull the rider off the horse, D) It is up to the referee's discretion</t>
  </si>
  <si>
    <t>B) No, it is a foul to grab an opponent's equipment</t>
  </si>
  <si>
    <t>A player can only contest for the carcass. Grabbing the saddle, reins, or rider is illegal.</t>
  </si>
  <si>
    <t>Why are horses in Buzkashi often trained to respond to leg and weight cues more than rein cues?</t>
  </si>
  <si>
    <t>A) The reins are often dropped, B) The rider's hands are busy with the carcass, so they must steer with their legs, C) It is more traditional, D) It is a rule</t>
  </si>
  <si>
    <t>B) The rider's hands are busy with the carcass, so they must steer with their legs</t>
  </si>
  <si>
    <t>A Chapandaz needs their hands to fight for the buz, so the horse must be trained to respond to pressure from the legs and shifts in the rider's weight.</t>
  </si>
  <si>
    <t>If a match ends in a tie, and the overtime period also ends in a tie, what might be the final decider in a traditional game?</t>
  </si>
  <si>
    <t>A) A coin toss, B) The match is declared a draw, a respected outcome, C) The team that scored the last point wins, D) The teams have a horse race</t>
  </si>
  <si>
    <t>B) The match is declared a draw, a respected outcome</t>
  </si>
  <si>
    <t>In the traditional spirit of the game, a draw is an honorable result signifying that two powerful forces were equally matched.</t>
  </si>
  <si>
    <t>What is the most common characteristic of a field used for a village Buzkashi game?</t>
  </si>
  <si>
    <t>A) It is a perfectly manicured grass field, B) It is a large, open, and often dusty plain with natural boundaries, C) It is a small, enclosed arena, D) It is a sandy beach</t>
  </si>
  <si>
    <t>B) It is a large, open, and often dusty plain with natural boundaries</t>
  </si>
  <si>
    <t>Traditional games use the natural landscape, embracing the rugged and open nature of the sport's origins.</t>
  </si>
  <si>
    <t>A rider is injured and must be substituted. Can the original rider return to the game later?</t>
  </si>
  <si>
    <t>A) Yes, after a rest period, B) No, once a player is substituted, they cannot return, C) Only in the second half, D) Only if the substitute player also gets injured</t>
  </si>
  <si>
    <t>B) No, once a player is substituted, they cannot return</t>
  </si>
  <si>
    <t>In most formal rule sets, a player who has been replaced by a substitute is out of the game for its remainder.</t>
  </si>
  <si>
    <t>What does it mean if a horse has good "cow sense"?</t>
  </si>
  <si>
    <t>A) It is afraid of cows, B) It has an instinctive ability to anticipate the movement of the carcass and other horses, C) It is a horse that was used for herding cattle, D) It is a slow but steady horse</t>
  </si>
  <si>
    <t>C) It is a horse that was used for herding cattle</t>
  </si>
  <si>
    <t>The skills of a good cow-herding horse—agility, intelligence, and the ability to track a moving object—are directly transferable to Buzkashi.</t>
  </si>
  <si>
    <t>Why is it considered a foul to intentionally cause another rider's horse to fall?</t>
  </si>
  <si>
    <t>A) It is not a foul, B) It is an extremely dangerous and unsportsmanlike act, C) It gives an unfair advantage, D) It can damage the field</t>
  </si>
  <si>
    <t>B) It is an extremely dangerous and unsportsmanlike act</t>
  </si>
  <si>
    <t>While collisions are part of the game, deliberately tripping or causing a horse to fall is a major foul aimed at causing serious injury.</t>
  </si>
  <si>
    <t>What is the primary reason for the high value of a champion Buzkashi horse?</t>
  </si>
  <si>
    <t>A) Its beauty, B) Its rarity, C) Its proven combination of strength, stamina, training, and courage, D) Its age</t>
  </si>
  <si>
    <t>C) Its proven combination of strength, stamina, training, and courage</t>
  </si>
  <si>
    <t>A champion horse is a world-class athlete that represents a massive investment of time and resources, making it extremely valuable.</t>
  </si>
  <si>
    <t>A rider's whip breaks during the game. What can they do?</t>
  </si>
  <si>
    <t>A) They must be substituted, B) They must continue without a whip, C) A teammate can give them a spare whip, D) They are disqualified</t>
  </si>
  <si>
    <t>B) They must continue without a whip</t>
  </si>
  <si>
    <t>A rider can continue without a whip. There is no stoppage of play for this kind of equipment failure.</t>
  </si>
  <si>
    <t>What is the symbolic meaning of the Circle of Justice (Da 'Adalat Daira)?</t>
  </si>
  <si>
    <t>A) It represents the circle of life, B) It is a neutral ground where a fair score can be made, C) It represents the sun, D) It has no symbolic meaning</t>
  </si>
  <si>
    <t>B) It is a neutral ground where a fair score can be made</t>
  </si>
  <si>
    <t>The name implies that the circle is a place of fairness and truth, where a rider's successful effort is officially and justly recognized.</t>
  </si>
  <si>
    <t>What is the ruling if a rider grabs the carcass, but is immediately forced out of bounds by two opponents?</t>
  </si>
  <si>
    <t>A) A foul on the opponents for double-teaming, B) The rider who was forced out loses possession, and the carcass is reset, C) The rider gets to keep possession, D) The two opponents are penalized</t>
  </si>
  <si>
    <t>B) The rider who was forced out loses possession, and the carcass is reset</t>
  </si>
  <si>
    <t>Being pushed out of bounds, even by opponents, results in a loss of possession and a reset of the play.</t>
  </si>
  <si>
    <t>Why is a horse's ability to tolerate pain a crucial attribute?</t>
  </si>
  <si>
    <t>A) It is not, B) The game involves constant, painful collisions and whip strikes, C) It allows the rider to be harsher, D) It is a sign of a cheap horse</t>
  </si>
  <si>
    <t>B) The game involves constant, painful collisions and whip strikes</t>
  </si>
  <si>
    <t>Buzkashi is a brutal sport. A horse must have the grit and resilience to play through the pain and exhaustion.</t>
  </si>
  <si>
    <t>How is the "official" carcass for a tournament selected?</t>
  </si>
  <si>
    <t>A) It is chosen at random, B) The sponsoring Khan provides it from his own herd, C) It must be a goat or calf of a specific age and weight, approved by the officials, D) The teams vote on it</t>
  </si>
  <si>
    <t>C) It must be a goat or calf of a specific age and weight, approved by the officials</t>
  </si>
  <si>
    <t>To ensure fairness, the carcass must meet standardized criteria for size and weight before the match.</t>
  </si>
  <si>
    <t>What is the main characteristic of a "cold-blooded" horse, and why is it unsuitable for Buzkashi?</t>
  </si>
  <si>
    <t>A) They are aggressive; they are too dangerous, B) They are calm and slow; they lack the necessary speed and fire, C) They are small; they are not strong enough, D) They are rare; they are too expensive</t>
  </si>
  <si>
    <t>B) They are calm and slow; they lack the necessary speed and fire</t>
  </si>
  <si>
    <t>Buzkashi requires "hot-blooded" horses known for their energy, speed, and competitive spirit. A placid draft horse would be completely unsuitable.</t>
  </si>
  <si>
    <t>A rider is accused of using a saddle with a hidden sharp point to hurt other horses. If true, what is the penalty?</t>
  </si>
  <si>
    <t>A) A warning, B) A point deduction, C) Immediate disqualification and a likely ban from the sport, D) A fine</t>
  </si>
  <si>
    <t>C) Immediate disqualification and a likely ban from the sport</t>
  </si>
  <si>
    <t>This is a severe form of cheating designed to deliberately injure other animals and would be met with the harshest possible penalty.</t>
  </si>
  <si>
    <t>What is the most important skill for a rider in the chaotic scrum?</t>
  </si>
  <si>
    <t>A) The ability to ride as fast as possible, B) The ability to stay on the horse and maintain position while under immense pressure, C) The ability to use the whip effectively, D) The ability to communicate with teammates</t>
  </si>
  <si>
    <t>B) The ability to stay on the horse and maintain position while under immense pressure</t>
  </si>
  <si>
    <t>Before a rider can even think about the carcass, they must master the core skill of surviving the violent chaos of the scrum.</t>
  </si>
  <si>
    <t>What is the role of a "sweeper" horse in a team?</t>
  </si>
  <si>
    <t>A) A horse trained to clean the field, B) A horse that is good at chasing down opponents who have broken free, C) A horse that is good at defense, D) A horse that is used for ceremonial purposes only</t>
  </si>
  <si>
    <t>B) A horse that is good at chasing down opponents who have broken free</t>
  </si>
  <si>
    <t>Some horses are exceptionally fast in a straight line and are used by teams to pursue and run down a breakaway scorer.</t>
  </si>
  <si>
    <t>A rider is holding the carcass under their leg. An opponent rides up and tries to pull it free. Is it legal for the first rider to clamp their leg down harder to keep it?</t>
  </si>
  <si>
    <t>A) No, they must use their hands, B) Yes, using the legs to grip and secure the carcass is a key skill, C) It is a foul for holding, D) Only if the opponent agrees</t>
  </si>
  <si>
    <t>B) Yes, using the legs to grip and secure the carcass is a key skill</t>
  </si>
  <si>
    <t>The powerful leg grip of a Chapandaz is their primary tool for maintaining possession of the heavy carcass.</t>
  </si>
  <si>
    <t>In a tournament, what is the typical color of the Circle of Justice?</t>
  </si>
  <si>
    <t>A) It is unmarked, B) It is marked with bright white chalk, C) It is marked with a red rope, D) It is a permanently painted circle</t>
  </si>
  <si>
    <t>B) It is marked with bright white chalk</t>
  </si>
  <si>
    <t>To ensure clear visibility for riders and referees, the scoring circle is usually drawn with thick white chalk or lime.</t>
  </si>
  <si>
    <t>What is the ultimate sign of a masterful Chapandaz?</t>
  </si>
  <si>
    <t>A) They have the most expensive horse, B) They can score a point seemingly without effort, making the chaotic game look easy, C) They win every match, D) They are the most aggressive rider</t>
  </si>
  <si>
    <t>B) They can score a point seemingly without effort, making the chaotic game look easy</t>
  </si>
  <si>
    <t>True mastery is shown through an effortless grace and intelligence that makes the incredibly difficult sport look fluid and simple.</t>
  </si>
  <si>
    <t>A rider is disqualified for having a horse of the wrong breed. What is the most likely required breed for a traditional match in Pakistan?</t>
  </si>
  <si>
    <t>A) Arabian, B) Thoroughbred, C) A local breed known for toughness like the Waziri or Balochi, D) Shire</t>
  </si>
  <si>
    <t>C) A local breed known for toughness like the Waziri or Balochi</t>
  </si>
  <si>
    <t>Traditional games often place high value on local breeds that are specifically adapted to the region's climate and the sport's demands.</t>
  </si>
  <si>
    <t>What is the primary purpose of the high-backed saddle, or cantle?</t>
  </si>
  <si>
    <t>A) To provide a place for decorations, B) To prevent the rider from sliding backward when pulling the heavy carcass, C) To make the rider sit taller, D) It is purely cosmetic</t>
  </si>
  <si>
    <t>B) To prevent the rider from sliding backward when pulling the heavy carcass</t>
  </si>
  <si>
    <t>The high cantle acts as a brace, giving the rider crucial leverage and support.</t>
  </si>
  <si>
    <t>A referee stops play because a rider's traditional turban (lungi) has come undone and is obscuring their vision. Is this a correct call?</t>
  </si>
  <si>
    <t>A) No, the play should continue, B) Yes, it is a matter of rider safety, C) The rider should be disqualified, D) The opponent gets a point</t>
  </si>
  <si>
    <t>B) Yes, it is a matter of rider safety</t>
  </si>
  <si>
    <t>If any piece of equipment or attire becomes a safety hazard, the referee can and should pause the game.</t>
  </si>
  <si>
    <t>A horse is praised for its "soft mouth." What does this mean?</t>
  </si>
  <si>
    <t>A) The horse has weak teeth, B) The horse is very responsive to gentle cues from the reins, C) The horse does not bite, D) The horse eats soft food</t>
  </si>
  <si>
    <t>B) The horse is very responsive to gentle cues from the reins</t>
  </si>
  <si>
    <t>A soft mouth is a sign of a well-trained horse that can be guided with subtle signals, which is crucial when the rider's hands are occupied.</t>
  </si>
  <si>
    <t>What is the main reason a rider might be penalized for "excessive whipping"?</t>
  </si>
  <si>
    <t>A) It is not penalized, B) It is considered animal cruelty, C) It can tire the horse out too quickly, D) It can damage the whip</t>
  </si>
  <si>
    <t>B) It is considered animal cruelty</t>
  </si>
  <si>
    <t>While using a whip is allowed, using it excessively or brutally violates the principles of good horsemanship and animal welfare.</t>
  </si>
  <si>
    <t>The ground for the match is extremely hard and dry. What is the greatest risk to the horses?</t>
  </si>
  <si>
    <t>A) They will run slower, B) They will get too dusty, C) Increased risk of concussion injuries to hooves and leg joints, D) They will be harder to control</t>
  </si>
  <si>
    <t>C) Increased risk of concussion injuries to hooves and leg joints</t>
  </si>
  <si>
    <t>Hard ground offers little shock absorption, leading to a higher risk of soundness issues for the horses.</t>
  </si>
  <si>
    <t>What is the referee's ruling if a rider grabs the carcass, but is then carried over the scoring line by the momentum of a large scrum of players?</t>
  </si>
  <si>
    <t>A) It is a valid score, B) It is not a valid score because the rider lacked individual control, C) The point is replayed, D) The point is awarded to the whole team</t>
  </si>
  <si>
    <t>B) It is not a valid score because the rider lacked individual control</t>
  </si>
  <si>
    <t>A rider must demonstrate clear and individual control of the carcass when scoring. Being pushed over by the crowd of horses is not a legal score.</t>
  </si>
  <si>
    <t>A rider is unhorsed, and their horse continues to follow the game and interfere with other players. What is the procedure?</t>
  </si>
  <si>
    <t>A) The horse is allowed to continue playing, B) The horse must be caught and removed from the field by officials, C) The team is penalized, D) The game is stopped</t>
  </si>
  <si>
    <t>B) The horse must be caught and removed from the field by officials</t>
  </si>
  <si>
    <t>A riderless horse is a hazard and must be removed from the field of play before the game can safely resume.</t>
  </si>
  <si>
    <t>Why is a horse with a very calm, placid temperament generally unsuitable for Buzkashi?</t>
  </si>
  <si>
    <t>A) It is not, calm horses are best, B) It will lack the competitive "fire" and aggression needed to fight in the scrum, C) It will be too slow, D) It will be too easily controlled</t>
  </si>
  <si>
    <t>B) It will lack the competitive "fire" and aggression needed to fight in the scrum</t>
  </si>
  <si>
    <t>Buzkashi requires a horse with a bold and combative spirit that is not intimidated by the chaos and violence of the game.</t>
  </si>
  <si>
    <t>In a formal match, what is the role of the "linesmen" or boundary judges?</t>
  </si>
  <si>
    <t>A) They keep score, B) They assist the main referee by signaling when the carcass or a rider goes out of bounds, C) They provide water to the players, D) They are the official timekeepers</t>
  </si>
  <si>
    <t>B) They assist the main referee by signaling when the carcass or a rider goes out of bounds</t>
  </si>
  <si>
    <t>On a large, marked field, linesmen are essential for helping the referee make accurate calls on the boundaries.</t>
  </si>
  <si>
    <t>A rider is holding the carcass. An opponent rides up and tries to pull it, but also grabs the rider's leg. What is the call?</t>
  </si>
  <si>
    <t>A) A foul on the opponent for grabbing the rider, B) A legal play to gain an advantage, C) A warning is issued, D) The game continues</t>
  </si>
  <si>
    <t>A) A foul on the opponent for grabbing the rider</t>
  </si>
  <si>
    <t>It is illegal to grab any part of the rider's body or their equipment; players may only contest for the carcass itself.</t>
  </si>
  <si>
    <t>What is the main purpose of the "warm-up" period before a match begins?</t>
  </si>
  <si>
    <t>A) To allow spectators to place bets, B) To allow the horses and riders to prepare their muscles and get accustomed to the field, C) It is purely ceremonial, D) To tire the horses out slightly</t>
  </si>
  <si>
    <t>B) To allow the horses and riders to prepare their muscles and get accustomed to the field</t>
  </si>
  <si>
    <t>A proper warm-up is crucial for preventing injuries to both the horses and the riders before the intense main event.</t>
  </si>
  <si>
    <t>A rider scores a point, but the referee disallows it, ruling that the rider used their teeth to help grip the carcass. Is this a valid reason?</t>
  </si>
  <si>
    <t>A) No, any method of holding is allowed, B) Yes, using teeth is an illegal and dangerous way to handle the carcass, C) Only if it damages the carcass, D) The point is replayed</t>
  </si>
  <si>
    <t>B) Yes, using teeth is an illegal and dangerous way to handle the carcass</t>
  </si>
  <si>
    <t>The carcass must be held by the rider's hands or gripped with their legs. Biting the carcass is a foul.</t>
  </si>
  <si>
    <t>What is a "stallion fight" in the context of a Buzkashi match?</t>
  </si>
  <si>
    <t>A) A separate event, B) When two rival stallions in the scrum stop focusing on the carcass and start fighting each other, C) A specific scoring move, D) A ceremonial dance</t>
  </si>
  <si>
    <t>B) When two rival stallions in the scrum stop focusing on the carcass and start fighting each other</t>
  </si>
  <si>
    <t>The high aggression of the stallions can sometimes cause them to revert to natural behavior, leading to a brief but violent fight within the game.</t>
  </si>
  <si>
    <t>A rider is disqualified for wearing sharp, pointed spurs. Why are these illegal?</t>
  </si>
  <si>
    <t>A) They are not traditional, B) They can be used to unfairly injure an opponent's horse, C) They can be used to injure an opponent's leg, D) Both B and C</t>
  </si>
  <si>
    <t>D) Both B and C</t>
  </si>
  <si>
    <t>Sharp spurs are considered a weapon that can be used to illegally harm both rival horses and riders, and they are strictly forbidden.</t>
  </si>
  <si>
    <t>What is the main reason a Chapandaz must have excellent cardiovascular fitness?</t>
  </si>
  <si>
    <t>A) To be able to run if unhorsed, B) The physical exertion of controlling a horse and wrestling for a heavy carcass is immense, C) To be able to hold their breath for a long time, D) It is not important</t>
  </si>
  <si>
    <t>B) The physical exertion of controlling a horse and wrestling for a heavy carcass is immense</t>
  </si>
  <si>
    <t>Buzkashi is an incredibly demanding sport that requires elite levels of strength and stamina from the rider.</t>
  </si>
  <si>
    <t>The referee stops play and awards a point to Team B because a rider from Team A was "riding dangerously." What might this rider have done?</t>
  </si>
  <si>
    <t>A) Ridden too fast, B) Performed a reckless maneuver that endangered other players, C) Not used a whip, D) Worn the wrong color</t>
  </si>
  <si>
    <t>B) Performed a reckless maneuver that endangered other players</t>
  </si>
  <si>
    <t>The referee has the authority to penalize any action they deem to be a deliberate and dangerous disregard for the safety of others.</t>
  </si>
  <si>
    <t>Why is it important for a horse to be trained to not fear the whip?</t>
  </si>
  <si>
    <t>A) So the rider can hit it harder, B) A horse that fears the whip may panic or bolt when it is used, C) It is not important, D) So the whip can be used on other horses</t>
  </si>
  <si>
    <t>B) A horse that fears the whip may panic or bolt when it is used</t>
  </si>
  <si>
    <t>The whip is a tool for guidance. A horse must be trained to respond to it as a signal, not to react with fear, which would make it uncontrollable.</t>
  </si>
  <si>
    <t>What is the name for the traditional, long quilted robe sometimes worn by riders for protection and status?</t>
  </si>
  <si>
    <t>A) Salwar Kameez, B) Sherwani, C) Chapan, D) Kurta</t>
  </si>
  <si>
    <t>C) Chapan</t>
  </si>
  <si>
    <t>The chapan is a heavy, padded coat traditional to Central Asia that serves as both a status symbol and a protective garment.</t>
  </si>
  <si>
    <t>If a sponsor offers a huge prize (like a new truck) for the first score, how does this typically affect the start of the game?</t>
  </si>
  <si>
    <t>A) The start is more cautious, B) The initial scrum for the carcass is exceptionally fierce and chaotic, C) The riders decide to share the prize, D) It has no effect</t>
  </si>
  <si>
    <t>B) The initial scrum for the carcass is exceptionally fierce and chaotic</t>
  </si>
  <si>
    <t>A valuable prize for the first point creates a massive incentive for every rider to be extremely aggressive right from the start.</t>
  </si>
  <si>
    <t>A rider is carrying the carcass, and an opponent grabs the rider's leg. What is the call?</t>
  </si>
  <si>
    <t>A) A legal takedown attempt, B) A foul on the opponent for holding the rider, C) Play continues, D) The rider who was held gets a penalty</t>
  </si>
  <si>
    <t>B) A foul on the opponent for holding the rider</t>
  </si>
  <si>
    <t>It is illegal to grab any part of the rider's body; players may only contest for the carcass itself.</t>
  </si>
  <si>
    <t>What is the primary reason for a horse being rejected during a pre-game inspection?</t>
  </si>
  <si>
    <t>A) It is the wrong color, B) It shows signs of lameness or illness, C) It is too old, D) It is a mare instead of a stallion</t>
  </si>
  <si>
    <t>B) It shows signs of lameness or illness</t>
  </si>
  <si>
    <t>The vet's primary role is animal welfare, and any horse that is not physically sound will be disqualified from competing.</t>
  </si>
  <si>
    <t>A rider's horse has a "hard mouth." What does this mean for the rider?</t>
  </si>
  <si>
    <t>A) The horse is very responsive to the reins, B) The horse is unresponsive to rein cues and is difficult to control, C) The horse bites other horses, D) The horse has strong teeth</t>
  </si>
  <si>
    <t>B) The horse is unresponsive to rein cues and is difficult to be controlled</t>
  </si>
  <si>
    <t>A "hard mouth" is a negative trait, indicating the horse ignores the rider's signals, making it a poor mount for a technical game like Buzkashi.</t>
  </si>
  <si>
    <t>What is the ruling if the carcass is dropped and comes to rest directly on the boundary line?</t>
  </si>
  <si>
    <t>A) It is in play, B) It is out of play and must be reset, C) The last player to touch it wins the point, D) The first player to touch it again gets possession</t>
  </si>
  <si>
    <t>B) It is out of play and must be reset</t>
  </si>
  <si>
    <t>The boundary line itself is considered out of play. The carcass must be fully inside the field.</t>
  </si>
  <si>
    <t>What is the cultural significance of the game often being played at weddings in Pashtun culture?</t>
  </si>
  <si>
    <t>A) It is a form of entertainment for the guests, B) It is a display of the families' power, wealth, and honor, C) It is a way to select a husband, D) It is a required religious ceremony</t>
  </si>
  <si>
    <t>B) It is a display of the families' power, wealth, and honor</t>
  </si>
  <si>
    <t>Hosting a major Buzkashi match is a significant and prestigious event that demonstrates the status of the families involved.</t>
  </si>
  <si>
    <t>A rider successfully gets the carcass in the scoring circle, but it is the end of the timed match. The final whistle blew while the rider was on their way. Does the score count?</t>
  </si>
  <si>
    <t>A) Yes, the play is allowed to be completed, B) No, the score must be made before time expires, C) The rider gets half a point, D) The teams play an overtime round</t>
  </si>
  <si>
    <t>B) No, the score must be made before time expires</t>
  </si>
  <si>
    <t>Unlike some sports, the game ends the moment the final whistle is blown. Any action completed after the whistle is void.</t>
  </si>
  <si>
    <t>What is the main reason a rider must have a strong grip?</t>
  </si>
  <si>
    <t>A) To hold onto the reins tightly, B) To hold the heavy and slippery carcass while opponents are pulling at it, C) To help them stay on the saddle, D) To control the whip</t>
  </si>
  <si>
    <t>B) To hold the heavy and slippery carcass while opponents are pulling at it</t>
  </si>
  <si>
    <t>The entire game revolves around possession of the carcass, which requires immense grip strength to maintain.</t>
  </si>
  <si>
    <t>A rider is disqualified for using a saddle with a hidden sharp edge. Why is this a serious foul?</t>
  </si>
  <si>
    <t>A) It can damage the carcass, B) It can be used as a weapon to injure opposing horses and riders, C) It is not a traditional saddle, D) It adds extra weight</t>
  </si>
  <si>
    <t>B) It can be used as a weapon to injure opposing horses and riders</t>
  </si>
  <si>
    <t>Tampering with equipment to create a weapon is a major violation of safety and sportsmanship.</t>
  </si>
  <si>
    <t>What is the role of the flag or alam in the Qarajai version of the game?</t>
  </si>
  <si>
    <t>A) It is the starting point, B) It is a turning marker that a rider must go around before they can score, C) It is a symbol of the sponsoring tribe, D) It is the scoring goal itself</t>
  </si>
  <si>
    <t>B) It is a turning marker that a rider must go around before they can score</t>
  </si>
  <si>
    <t>The course is defined by the starting circle, the flag, and the scoring circle. A rider must pass the flag to have a valid scoring run.</t>
  </si>
  <si>
    <t>A rider is struggling to lift the carcass. His teammate rides up and helps him lift it. Is this legal?</t>
  </si>
  <si>
    <t>A) Yes, this is good teamwork, B) No, only one rider can be in possession of the carcass at a time, C) The team is penalized for having two riders on the carcass, D) The point is replayed</t>
  </si>
  <si>
    <t>B) No, only one rider can be in possession of the carcass at a time</t>
  </si>
  <si>
    <t>A rider must gain sole possession of the carcass. Assistance from a teammate in this manner is not allowed.</t>
  </si>
  <si>
    <t>What is the primary purpose of the high pommel (front) of a Buzkashi saddle?</t>
  </si>
  <si>
    <t>A) It is a handle for the rider to hold, B) It helps to lock the rider into the saddle and provides a brace, C) It is a place to tie the whip, D) It is for decoration</t>
  </si>
  <si>
    <t>B) It helps to lock the rider into the saddle and provides a brace</t>
  </si>
  <si>
    <t>The high pommel and cantle create a deep, secure seat, which is essential for staying on the horse during the violent pulling and leaning.</t>
  </si>
  <si>
    <t>A horse refuses to enter the scrum. What does this indicate?</t>
  </si>
  <si>
    <t>A) The horse is intelligent, B) The horse lacks the courage or training for the game, C) The horse is tired, D) The horse dislikes its rider</t>
  </si>
  <si>
    <t>B) The horse lacks the courage or training for the game</t>
  </si>
  <si>
    <t>A key trait of a Buzkashi horse is its "heart" or bravery; a horse that shies away from the fight is not suitable for the sport.</t>
  </si>
  <si>
    <t>In a formal match, what is the penalty for a rider who is not wearing the required team sash or jersey?</t>
  </si>
  <si>
    <t>A) They are not allowed to start the match, B) They are given a point penalty, C) It does not matter, D) They must borrow one from another player</t>
  </si>
  <si>
    <t>A) They are not allowed to start the match</t>
  </si>
  <si>
    <t>Proper uniform is required for identification by the referees. A player cannot compete without it.</t>
  </si>
  <si>
    <t>A rider drops the carcass. An opponent from behind is unable to stop and their horse tramples the carcass. Is this a foul?</t>
  </si>
  <si>
    <t>A) Yes, it is a foul for disrespecting the carcass, B) No, this is a normal part of the chaotic game, C) The rider who trampled it is disqualified, D) The point is replayed</t>
  </si>
  <si>
    <t>B) No, this is a normal part of the chaotic game</t>
  </si>
  <si>
    <t>The carcass is a rugged object, and in the heat of the moment, it will be run over by horses. This is an expected part of the play.</t>
  </si>
  <si>
    <t>What is the main reason that the ground crew (umpires) are also often on horseback?</t>
  </si>
  <si>
    <t>A) It is more traditional, B) To keep up with the play and get a clear view of fouls within the scrum, C) For their own safety, D) All of the above</t>
  </si>
  <si>
    <t>D) All of the above</t>
  </si>
  <si>
    <t>Being mounted allows referees to move with the game, see over the scrum, and stay safe from the chaotic action.</t>
  </si>
  <si>
    <t>A rider is carrying the carcass, and an opponent rides alongside and uses their leg to push the carrier's leg away from the carcass. Is this legal?</t>
  </si>
  <si>
    <t>A) Yes, using the legs to contest for the carcass is a key skill, B) No, this is a foul for illegal use of the leg, C) Only if the opponent does not kick, D) It is a warning</t>
  </si>
  <si>
    <t>A) Yes, using the legs to contest for the carcass is a key skill</t>
  </si>
  <si>
    <t>Riders use their entire bodies and the bodies of their horses to fight for possession. Using one's leg to break an opponent's grip is a standard tactic.</t>
  </si>
  <si>
    <t>A horse is praised for being "cat-like" in its agility. What does this mean?</t>
  </si>
  <si>
    <t>A) The horse is very quiet, B) The horse has an incredible ability to stay on its feet, turn sharply, and recover its balance, C) The horse likes to chase things, D) The horse has sharp claws</t>
  </si>
  <si>
    <t>B) The horse has an incredible ability to stay on its feet, turn sharply, and recover its balance</t>
  </si>
  <si>
    <t>This is a compliment of the highest order, referring to the horse's nimbleness and grace amidst the chaos.</t>
  </si>
  <si>
    <t>What is the ruling if a rider from Team A is holding the carcass, and a rider from Team B grabs the saddle of the Team A rider?</t>
  </si>
  <si>
    <t>A) It is a legal move to unbalance the rider, B) It is a foul on Team B for grabbing equipment, C) Play continues, D) Team A is awarded a point</t>
  </si>
  <si>
    <t>B) It is a foul on Team B for grabbing equipment</t>
  </si>
  <si>
    <t>A player cannot grab an opponent's tack (saddle, bridle, reins) to gain an advantage.</t>
  </si>
  <si>
    <t>In some regions, a smaller version of Buzkashi is played by children using what?</t>
  </si>
  <si>
    <t>A) A smaller goat, B) A ball, C) A rooster, D) A sheep</t>
  </si>
  <si>
    <t>D) A sheep</t>
  </si>
  <si>
    <t>A smaller, lighter animal like a sheep is sometimes used for youth versions of the game.</t>
  </si>
  <si>
    <t>What is the role of the salis (judge or mediator) in a traditional village game?</t>
  </si>
  <si>
    <t>A) To keep the official time, B) To act as the final, respected authority in settling disputes that the referees cannot, C) To provide the prize money, D) To inspect the horses</t>
  </si>
  <si>
    <t>B) To act as the final, respected authority in settling disputes that the referees cannot</t>
  </si>
  <si>
    <t>In games without formal rules, the salis is a respected elder whose word is law and who resolves all arguments.</t>
  </si>
  <si>
    <t>Why is it important for a Chapandaz to have a very strong core (abdominal and back muscles)?</t>
  </si>
  <si>
    <t>A) It is not important, B) To withstand the immense twisting and pulling forces when lifting and carrying the carcass, C) To be able to shout louder, D) To protect against whip strikes</t>
  </si>
  <si>
    <t>B) To withstand the immense twisting and pulling forces when lifting and carrying the carcass</t>
  </si>
  <si>
    <t>A strong core is essential for a rider to maintain their balance and posture while wrestling with a heavy, shifting weight on horseback.</t>
  </si>
  <si>
    <t>A team is penalized because their sponsor's logo on their jersey is too large. Is this a valid rule?</t>
  </si>
  <si>
    <t>A) No, sponsorship is always allowed, B) Yes, tournaments can regulate the size and placement of logos to maintain a uniform look, C) Only if the logo is offensive, D) The team should be paid more for a larger logo</t>
  </si>
  <si>
    <t>B) Yes, tournaments can regulate the size and placement of logos to maintain a uniform look</t>
  </si>
  <si>
    <t>In professionalized versions of the sport, there are often rules regarding uniforms and advertising.</t>
  </si>
  <si>
    <t>What is the main reason a Buzkashi match is a poor spectator sport for television?</t>
  </si>
  <si>
    <t>A) It is too violent, B) The field of play is often too large and chaotic to be easily captured by cameras, C) The rules are too simple, D) The matches are too short</t>
  </si>
  <si>
    <t>B) The field of play is often too large and chaotic to be easily captured by cameras</t>
  </si>
  <si>
    <t>The sprawling, fluid, and often disorganized nature of a mass-player game makes it very difficult to follow and broadcast effectively.</t>
  </si>
  <si>
    <t>A horse is trained to "pin" an opponent's horse. What does this mean?</t>
  </si>
  <si>
    <t>A) The horse uses its body to trap an opponent's horse against a boundary or another horse, B) The horse bites the opponent's horse, C) The horse pins its ears back, D) The horse refuses to move</t>
  </si>
  <si>
    <t>A) The horse uses its body to trap an opponent's horse against a boundary or another horse</t>
  </si>
  <si>
    <t>This is a high-level skill where the horse itself becomes a strategic tool for controlling the movement of an opponent.</t>
  </si>
  <si>
    <t>What is the ruling if a rider carrying the carcass is unhorsed, but manages to drop the carcass in the scoring circle as they are falling?</t>
  </si>
  <si>
    <t>A) It is a spectacular and valid score, B) The score is not valid because the rider was not in control, C) A partial score is awarded, D) The point is replayed</t>
  </si>
  <si>
    <t>B) The score is not valid because the rider was not in control</t>
  </si>
  <si>
    <t>A rider must be fully mounted and in control of their horse at the moment of the score for it to be legal.</t>
  </si>
  <si>
    <t>Why is it important for a Buzkashi horse to have strong, healthy hooves?</t>
  </si>
  <si>
    <t>A) They are a sign of good breeding, B) The game involves extreme stress, sharp turns, and impacts that can easily damage poor-quality hooves, C) They help the horse to bite opponents, D) They make the horse run faster</t>
  </si>
  <si>
    <t>B) The game involves extreme stress, sharp turns, and impacts that can easily damage poor-quality hooves</t>
  </si>
  <si>
    <t>The old saying "no foot, no horse" is especially true in Buzkashi, where hoof health is critical to the animal's performance and survival.</t>
  </si>
  <si>
    <t>A player is disqualified for "dangerous riding." Which of these actions would qualify?</t>
  </si>
  <si>
    <t>A) Riding too fast, B) Intentionally riding into a fallen rider, C) Celebrating a score too much, D) Using a short whip</t>
  </si>
  <si>
    <t>B) Intentionally riding into a fallen rider</t>
  </si>
  <si>
    <t>Any action that shows a deliberate disregard for the safety of other players or horses is considered dangerous riding and is a major foul.</t>
  </si>
  <si>
    <t>What is the primary reason for the high price of a fully trained, elite Buzkashi horse?</t>
  </si>
  <si>
    <t>A) The cost of its saddle, B) The 5+ years of intensive, specialized training it has received, C) It is a rare breed, D) The cost of its food</t>
  </si>
  <si>
    <t>B) The 5+ years of intensive, specialized training it has received</t>
  </si>
  <si>
    <t>The value of a top Buzkashi horse is in its training and experience, which takes many years and great skill to develop.</t>
  </si>
  <si>
    <t>If a rider from Team A is carrying the carcass, what is a legal defensive move for a rider from Team B?</t>
  </si>
  <si>
    <t>A) To grab Team A rider's reins, B) To ride alongside and use their horse to push Team A's horse sideways, C) To whip the Team A rider, D) To throw a rope at the carcass</t>
  </si>
  <si>
    <t>B) To ride alongside and use their horse to push Team A's horse sideways</t>
  </si>
  <si>
    <t>Using one's own horse to legally interfere with and push an opponent's horse is a fundamental defensive and offensive tactic.</t>
  </si>
  <si>
    <t>A rider successfully scores, but is found to have tied their whip to their wrist. Why is this a foul that would nullify the score?</t>
  </si>
  <si>
    <t>A) It is not a foul, B) It prevents the whip from being dropped, giving an unfair advantage, C) It is dangerous as the rider could be tangled if they fall, D) Both B and C</t>
  </si>
  <si>
    <t>Tying the whip on is an illegal modification that is both an unfair advantage and a serious safety hazard.</t>
  </si>
  <si>
    <t>What is the primary weapon used for training and competition in modern sport Gatka?</t>
  </si>
  <si>
    <t>A) A real sword (Talwar), B) A wooden stick (Soti), C) A spear (Barchha), D) A dagger (Kirpan)</t>
  </si>
  <si>
    <t>B) A wooden stick (Soti)</t>
  </si>
  <si>
    <t>The stick, often covered in leather, is used to safely simulate a sword in sparring and competitions.</t>
  </si>
  <si>
    <t>What is the traditional Sikh martial arts philosophy from which Gatka originates?</t>
  </si>
  <si>
    <t>A) Yoga, B) Shastar Vidya, C) Kalari, D) Akhara</t>
  </si>
  <si>
    <t>B) Shastar Vidya</t>
  </si>
  <si>
    <t>Gatka is the sporting aspect of Shastar Vidya, the comprehensive "science of weapons" of the Sikhs.</t>
  </si>
  <si>
    <t>Which Sikh Guru is most credited with militarizing the Sikhs and popularizing Gatka as a martial discipline for self-defense?</t>
  </si>
  <si>
    <t>A) Guru Nanak, B) Guru Arjan, C) Guru Gobind Singh, D) Guru Angad</t>
  </si>
  <si>
    <t>C) Guru Gobind Singh</t>
  </si>
  <si>
    <t>The tenth Guru, Guru Gobind Singh, established the Khalsa warrior order and emphasized martial training for all Sikhs.</t>
  </si>
  <si>
    <t>In a Gatka competition, how is the winner of a bout primarily determined?</t>
  </si>
  <si>
    <t>A) By knockout, B) By the judges' cumulative points for clean hits, C) By audience vote, D) By who holds the center of the arena</t>
  </si>
  <si>
    <t>B) By the judges' cumulative points for clean hits</t>
  </si>
  <si>
    <t>The sport is point-based, with judges awarding points for skillful and clean strikes to legal target zones.</t>
  </si>
  <si>
    <t>What is the traditional fighting stance in Gatka that emphasizes balance and readiness?</t>
  </si>
  <si>
    <t>A) Baithak, B) Asavari, C) Bir Asan, D) Panthra</t>
  </si>
  <si>
    <t>C) Bir Asan</t>
  </si>
  <si>
    <t>The Bir Asan (Warrior Stance) is a stable, grounded stance that allows for quick transitions between offense and defense.</t>
  </si>
  <si>
    <t>During which major Sikh festival are Gatka demonstrations and performances most common?</t>
  </si>
  <si>
    <t>A) Diwali, B) Lohri, C) Hola Mohalla and Baisakhi, D) Guru Nanak Jayanti</t>
  </si>
  <si>
    <t>C) Hola Mohalla and Baisakhi</t>
  </si>
  <si>
    <t>These festivals, particularly Hola Mohalla, were established by Guru Gobind Singh as occasions to display martial skills.</t>
  </si>
  <si>
    <t>What is the standard duration of a single round in a competitive Gatka match?</t>
  </si>
  <si>
    <t>A) 1 minute, B) 2 minutes, C) 3 minutes, D) 5 minutes</t>
  </si>
  <si>
    <t>C) 3 minutes</t>
  </si>
  <si>
    <t>A typical round lasts for 3 minutes of high-intensity combat.</t>
  </si>
  <si>
    <t>What is the role of the Umpire or Referee in a Gatka match?</t>
  </si>
  <si>
    <t>A) To coach the players, B) To ensure fair play, enforce rules, and signal the start/stop of play, C) To keep the official score, D) To be a participant</t>
  </si>
  <si>
    <t>B) To ensure fair play, enforce rules, and signal the start/stop of play</t>
  </si>
  <si>
    <t>The Umpire is the central authority in the arena, responsible for the safe and fair conduct of the match.</t>
  </si>
  <si>
    <t>In Gatka philosophy, what does the concept of "Miri-Piri" represent?</t>
  </si>
  <si>
    <t>A) The balance of attack and defense, B) The balance of temporal (Miri) and spiritual (Piri) authority, C) The two types of sticks used, D) The student-teacher relationship</t>
  </si>
  <si>
    <t>B) The balance of temporal (Miri) and spiritual (Piri) authority</t>
  </si>
  <si>
    <t>Introduced by Guru Hargobind, this principle establishes that a Sikh warrior must be both a saint and a soldier, influencing Gatka's spiritual depth.</t>
  </si>
  <si>
    <t>What is the primary purpose of the shield (Phari) in Gatka?</t>
  </si>
  <si>
    <t>A) To attack the opponent, B) To be used as a defensive tool to block strikes, C) To score points, D) To distract the opponent</t>
  </si>
  <si>
    <t>B) To be used as a defensive tool to block strikes</t>
  </si>
  <si>
    <t>The shield is a purely defensive piece of equipment used to parry and block incoming attacks.</t>
  </si>
  <si>
    <t>The traditional training stick (Soti) is typically made from what material?</t>
  </si>
  <si>
    <t>A) Bamboo, B) Teakwood, C) Rattan or Cane, D) Oak</t>
  </si>
  <si>
    <t>C) Rattan or Cane</t>
  </si>
  <si>
    <t>Cane is the traditional material as it is lightweight, flexible, and sturdy, making it ideal for fast-paced training.</t>
  </si>
  <si>
    <t>What is the shape of the designated combat area (Akhara) in a formal Gatka competition?</t>
  </si>
  <si>
    <t>A) A square, B) A rectangle, C) A circle, D) A triangle</t>
  </si>
  <si>
    <t>C) A circle</t>
  </si>
  <si>
    <t>The combat arena is a circle, typically 10 to 12 meters in diameter, to ensure continuous and fluid movement.</t>
  </si>
  <si>
    <t>What is the penalty for a player who intentionally steps outside the combat arena to avoid an attack?</t>
  </si>
  <si>
    <t>A) A warning is issued, B) A point is deducted, C) The player is disqualified, D) The round is restarted</t>
  </si>
  <si>
    <t>B) A point is deducted</t>
  </si>
  <si>
    <t>Leaving the designated area is a foul. A player must face combat and cannot use the boundary to escape.</t>
  </si>
  <si>
    <t>What is the traditional warrior attire worn by Gatka performers, especially the Nihang order?</t>
  </si>
  <si>
    <t>A) Kurta Pajama, B) Nihang Bana, C) Dhoti, D) A modern tracksuit</t>
  </si>
  <si>
    <t>B) Nihang Bana</t>
  </si>
  <si>
    <t>The Nihang Bana is the traditional attire of the Sikh warrior order, often a distinctive electric blue color.</t>
  </si>
  <si>
    <t>In competitive Gatka, which part of the body is an illegal target?</t>
  </si>
  <si>
    <t>A) The arms, B) The torso, C) The area below the knees, D) The shoulders</t>
  </si>
  <si>
    <t>C) The area below the knees</t>
  </si>
  <si>
    <t>Strikes below the knee are forbidden to prevent serious joint injuries and maintain the focus on skillful upper-body combat.</t>
  </si>
  <si>
    <t>What does the term Shastar mean in the context of Gatka?</t>
  </si>
  <si>
    <t>A) A defensive stance, B) A weapon or an armament, C) A victory, D) The training ground</t>
  </si>
  <si>
    <t>B) A weapon or an armament</t>
  </si>
  <si>
    <t>Shastar is a term for weapon, and Shastar Vidya (the science of weapons) is the broader martial tradition from which Gatka derives.</t>
  </si>
  <si>
    <t>How many points is a clean, legal strike to the torso typically worth?</t>
  </si>
  <si>
    <t>A) 1 point, B) 2 points, C) 3 points, D) 5 points</t>
  </si>
  <si>
    <t>A) 1 point</t>
  </si>
  <si>
    <t>A standard, valid hit to the opponent's body is the basic scoring unit in a Gatka match.</t>
  </si>
  <si>
    <t>What is the referee's action if a player's stick breaks during a match?</t>
  </si>
  <si>
    <t>A) The player is disqualified, B) The player must continue without a stick, C) The match is paused to allow for a replacement stick, D) A point is awarded to the opponent</t>
  </si>
  <si>
    <t>C) The match is paused to allow for a replacement stick</t>
  </si>
  <si>
    <t>To ensure a fair contest, the referee will call a timeout to allow the player to get a new, approved stick.</t>
  </si>
  <si>
    <t>What is the traditional training ground for Gatka and other Indian martial arts called?</t>
  </si>
  <si>
    <t>A) Shastar Ghar, B) Dojo, C) Gurdwara, D) Akhara</t>
  </si>
  <si>
    <t>D) Akhara</t>
  </si>
  <si>
    <t>An Akhara is a traditional gymnasium or training ground for martial arts and wrestling.</t>
  </si>
  <si>
    <t>In the philosophy of Gatka, what does the "Chardi Kala" spirit emphasize?</t>
  </si>
  <si>
    <t>A) A desire for revenge, B) A state of eternal optimism and high spirits, even in adversity, C) Extreme aggression towards enemies, D) Strict ritual observance</t>
  </si>
  <si>
    <t>B) A state of eternal optimism and high spirits, even in adversity</t>
  </si>
  <si>
    <t>Chardi Kala is a core Sikh concept that promotes a positive, resilient, and fearless mindset, which is central to the warrior's spirit.</t>
  </si>
  <si>
    <t>What is the name of the traditional, double-edged sword that is a key symbol of the Khalsa and used in advanced Gatka?</t>
  </si>
  <si>
    <t>A) Kirpan, B) Talwar, C) Khanda, D) Barchha</t>
  </si>
  <si>
    <t>C) Khanda</t>
  </si>
  <si>
    <t>The Khanda is a heavy, straight, double-edged sword, symbolic of divine power and a primary weapon in Sikh martial history.</t>
  </si>
  <si>
    <t>How many referees are typically required to officiate and judge a single Gatka match?</t>
  </si>
  <si>
    <t>A) One, B) Two, C) Three, D) Five</t>
  </si>
  <si>
    <t>C) Three</t>
  </si>
  <si>
    <t>A central referee manages the bout, while two judges score the points, ensuring multiple viewpoints for a fair result.</t>
  </si>
  <si>
    <t>What is the penalty for unsportsmanlike behavior, such as taunting an opponent?</t>
  </si>
  <si>
    <t>A) There is no penalty, B) A warning, followed by a point deduction for repeated offenses, C) Immediate disqualification, D) The round is replayed</t>
  </si>
  <si>
    <t>B) A warning, followed by a point deduction for repeated offenses</t>
  </si>
  <si>
    <t>Gatka emphasizes respect and humility. Taunting or other disrespectful acts are penalized to maintain the sport's discipline.</t>
  </si>
  <si>
    <t>Which hand position is mandatory when holding the stick in most Gatka styles?</t>
  </si>
  <si>
    <t>A) A one-handed grip, B) A two-handed grip for control and power, C) A reverse grip, D) Holding it in the middle</t>
  </si>
  <si>
    <t>B) A two-handed grip for control and power</t>
  </si>
  <si>
    <t>While some techniques use one hand, the standard grip for basic combat involves both hands for better weapon control, power, and safety.</t>
  </si>
  <si>
    <t>What is the official language for commands in an international Gatka competition?</t>
  </si>
  <si>
    <t>A) English, B) Hindi, C) Punjabi, D) A mix of all three</t>
  </si>
  <si>
    <t>C) Punjabi</t>
  </si>
  <si>
    <t>To honor the sport's cultural roots, official commands like "Shuru!" (Begin!) are given in Punjabi.</t>
  </si>
  <si>
    <t>What is a "Jorh"?</t>
  </si>
  <si>
    <t>A) A type of defensive block, B) The term for a draw in a match, C) The traditional sparring practice in Gatka, D) A kick</t>
  </si>
  <si>
    <t>C) The traditional sparring practice in Gatka</t>
  </si>
  <si>
    <t>Jorh refers to the practice of sparring or mock combat where students refine their techniques.</t>
  </si>
  <si>
    <t>What happens if a match ends in a tie on points?</t>
  </si>
  <si>
    <t>A) The winner is decided by a coin toss, B) It is declared a draw, C) An extra, deciding round is played, D) The player with fewer warnings wins</t>
  </si>
  <si>
    <t>C) An extra, deciding round is played</t>
  </si>
  <si>
    <t>In a competition, a clear winner must be determined, so an additional round is fought to break the tie.</t>
  </si>
  <si>
    <t>Which of the following is considered a foul?</t>
  </si>
  <si>
    <t>A) Blocking with the shield, B) A spinning strike, C) Holding or grabbing the opponent's stick, D) Dodging an attack</t>
  </si>
  <si>
    <t>C) Holding or grabbing the opponent's stick</t>
  </si>
  <si>
    <t>A player is not allowed to interfere with their opponent's weapon, as this is a form of illegal grappling.</t>
  </si>
  <si>
    <t>The rhythmic, spinning movements in Gatka, known as Ghumman, are inspired by what weapon?</t>
  </si>
  <si>
    <t>A) The Sword, B) The Spear, C) The Chakra (war-quoit), D) The Dagger</t>
  </si>
  <si>
    <t>C) The Chakra (war-quoit)</t>
  </si>
  <si>
    <t>The continuous circular motions mimic the spinning and throwing of the Chakra, a traditional Sikh throwing weapon.</t>
  </si>
  <si>
    <t>In advanced Gatka, what is the purpose of blindfold training?</t>
  </si>
  <si>
    <t>A) To demonstrate bravery, B) To sharpen reflexes, hearing, and spatial awareness, C) It is a purely ceremonial act, D) To practice breathing techniques</t>
  </si>
  <si>
    <t>B) To sharpen reflexes, hearing, and spatial awareness</t>
  </si>
  <si>
    <t>Blindfold drills force the practitioner to rely on other senses, honing their combat instincts to a very high level.</t>
  </si>
  <si>
    <t>Which weapon, a long spear, is used in Gatka for long-range attacks?</t>
  </si>
  <si>
    <t>A) Talwar, B) Kirpan, C) Barchha, D) Khanda</t>
  </si>
  <si>
    <t>C) Barchha</t>
  </si>
  <si>
    <t>The Barchha is a type of spear used for thrusting and for keeping opponents at a distance.</t>
  </si>
  <si>
    <t>Which international body is responsible for regulating and promoting competitive Gatka?</t>
  </si>
  <si>
    <t>A) The International Olympic Committee, B) The Gatka Federation of India, C) The World Gatka Federation, D) The Punjab Martial Arts Council</t>
  </si>
  <si>
    <t>C) The World Gatka Federation</t>
  </si>
  <si>
    <t>The WGF is the global governing body that works to standardize rules, organize international tournaments, and promote the sport.</t>
  </si>
  <si>
    <t>What does the term "Fari" refer to in Gatka training?</t>
  </si>
  <si>
    <t>A) A defensive shield drill, B) A sequence of attacking movements or drills, C) The training stick, D) A rotational movement</t>
  </si>
  <si>
    <t>B) A sequence of attacking movements or drills</t>
  </si>
  <si>
    <t>Fari drills are pre-arranged attacking combinations that help build speed, accuracy, and muscle memory.</t>
  </si>
  <si>
    <t>In Pakistan, Gatka is often showcased during which cultural festival in Lahore?</t>
  </si>
  <si>
    <t>A) Basant, B) Mela Chiraghan (Festival of Lights), C) Eid, D) Pakistan Day Parade</t>
  </si>
  <si>
    <t>B) Mela Chiraghan (Festival of Lights)</t>
  </si>
  <si>
    <t>Gatka is often performed as a traditional cultural martial art during this major festival at the shrine of Shah Hussain.</t>
  </si>
  <si>
    <t>Which weapon is also a mandatory religious article of faith (one of the 5 Ks) carried by initiated Sikhs?</t>
  </si>
  <si>
    <t>A) The Khanda, B) The Talwar, C) The Kirpan, D) The Chakra</t>
  </si>
  <si>
    <t>C) The Kirpan</t>
  </si>
  <si>
    <t>The Kirpan is a dagger or short sword that symbolizes a Sikh's duty to defend the weak and uphold justice. It is also used in Gatka.</t>
  </si>
  <si>
    <t>Which drill involves a single fighter defending against multiple opponents in a circle?</t>
  </si>
  <si>
    <t>A) Fari, B) Jorh, C) Gherao, D) Chakri</t>
  </si>
  <si>
    <t>C) Gherao</t>
  </si>
  <si>
    <t>Gherao (to surround) is a training exercise that simulates being encircled by attackers, teaching all-around awareness and defense.</t>
  </si>
  <si>
    <t>What is the penalty for receiving three warnings in a single match?</t>
  </si>
  <si>
    <t>A) A 5-point deduction, B) Forfeiture of the round, C) Disqualification from the match, D) A final warning</t>
  </si>
  <si>
    <t>C) Disqualification from the match</t>
  </si>
  <si>
    <t>Accumulating three warnings for fouls or misconduct results in an automatic disqualification.</t>
  </si>
  <si>
    <t>Which historical Sikh military order is most credited with preserving the traditions of Gatka?</t>
  </si>
  <si>
    <t>A) The Udasis, B) The Nirmalas, C) The Nihangs, D) The Ramraiyas</t>
  </si>
  <si>
    <t>C) The Nihangs</t>
  </si>
  <si>
    <t>The Nihang warrior order has maintained and practiced Gatka continuously for centuries as a living part of their martial heritage.</t>
  </si>
  <si>
    <t>In what way is the scoring of Gatka often compared to that of Fencing?</t>
  </si>
  <si>
    <t>A) The weapons are the same, B) It uses an electronic scoring system, C) Points are awarded for clean, controlled "touches" or strikes to valid target zones, D) Both are Olympic sports</t>
  </si>
  <si>
    <t>C) Points are awarded for clean, controlled "touches" or strikes to valid target zones</t>
  </si>
  <si>
    <t>Like fencing, the goal is not to injure but to demonstrate superior skill by landing a valid hit according to the rules.</t>
  </si>
  <si>
    <t>What is the historical reason for using wooden sticks instead of live blades in practice?</t>
  </si>
  <si>
    <t>A) They were cheaper, B) To allow for safe training and sparring without causing serious injury, C) The British banned the carrying of swords, D) Both B and C</t>
  </si>
  <si>
    <t>The British Raj banned the public carrying of weapons, forcing Sikhs to adapt by using sticks for practice. This also had the benefit of making training much safer.</t>
  </si>
  <si>
    <t>The traditional Nihang turban often incorporates a farra. What is its purpose in combat?</t>
  </si>
  <si>
    <t>A) It is a decorative tassel, B) It acts as a padded protection against head strikes, C) It identifies the wearer's rank, D) It can be used as a weapon</t>
  </si>
  <si>
    <t>B) It acts as a padded protection against head strikes</t>
  </si>
  <si>
    <t>The farra is a piece of cloth that hangs from the turban, which was historically used to add an extra layer of defense against blows to the head.</t>
  </si>
  <si>
    <t>In Gatka philosophy, what does the principle of "Sehaj" emphasize?</t>
  </si>
  <si>
    <t>A) Aggression and power, B) Speed and agility, C) Balance, composure, and a state of calm meditation, D) The use of heavy strikes</t>
  </si>
  <si>
    <t>C) Balance, composure, and a state of calm meditation</t>
  </si>
  <si>
    <t>Sehaj is a state of equanimity and natural ease, a mental state of calmness that is crucial for effective martial performance.</t>
  </si>
  <si>
    <t>Which of these is NOT a recognized traditional Gatka weapon?</t>
  </si>
  <si>
    <t>A) Soti (stick), B) Kirpan (dagger), C) Barchha (spear), D) Bow and Arrow (Teer Kaman)</t>
  </si>
  <si>
    <t>D) Bow and Arrow (Teer Kaman)</t>
  </si>
  <si>
    <t>While archery was part of the broader Shastar Vidya, Gatka as a specific discipline focuses on melee (hand-to-hand) combat weapons.</t>
  </si>
  <si>
    <t>What is the traditional ritual of respecting one's weapons before a training session called?</t>
  </si>
  <si>
    <t>A) Ardas, B) Shastar Pooja, C) Simran, D) Kirtan</t>
  </si>
  <si>
    <t>B) Shastar Pooja</t>
  </si>
  <si>
    <t>Shastar Pooja (weapon worship) is a mark of respect for the instruments of the art, acknowledging their spiritual and historical significance.</t>
  </si>
  <si>
    <t>What is the referee's command to begin a round?</t>
  </si>
  <si>
    <t>A) "Jorh!", B) "Shuru!", C) A whistle blow, D) "Fari Karo!"</t>
  </si>
  <si>
    <t>B) "Shuru!"</t>
  </si>
  <si>
    <t>The Punjabi command "Shuru!" (Begin!) is the traditional signal used by the referee to start the action.</t>
  </si>
  <si>
    <t>In a demonstration, a performer is spinning two swords simultaneously. What skill does this primarily showcase?</t>
  </si>
  <si>
    <t>A) Aggression, B) The unity of mind and body, and ambidextrous coordination, C) A new fighting technique, D) Only weapon mastery</t>
  </si>
  <si>
    <t>B) The unity of mind and body, and ambidextrous coordination</t>
  </si>
  <si>
    <t>This difficult feat represents a high level of discipline, harmonizing the physical and spiritual aspects of the art.</t>
  </si>
  <si>
    <t>In modern tournaments, what material is the official competition arena surface typically made of?</t>
  </si>
  <si>
    <t>A) Grass, B) Clay, C) Wood, D) Synthetic mats</t>
  </si>
  <si>
    <t>D) Synthetic mats</t>
  </si>
  <si>
    <t>Synthetic mats are used to provide a standardized, non-slip surface that helps prevent injuries to the competitors.</t>
  </si>
  <si>
    <t>Which Sikh Guru introduced the concept of Miri-Piri (temporal and spiritual power), which influenced Gatka's development?</t>
  </si>
  <si>
    <t>A) Guru Angad, B) Guru Hargobind, C) Guru Tegh Bahadur, D) Guru Nanak</t>
  </si>
  <si>
    <t>B) Guru Hargobind</t>
  </si>
  <si>
    <t>The sixth Guru, Guru Hargobind, wore two swords to symbolize the need for both spiritual and worldly authority, strengthening the martial tradition.</t>
  </si>
  <si>
    <t>The Kirpan is paired with what other piece of equipment for close-combat training?</t>
  </si>
  <si>
    <t>A) A second Kirpan, B) A small shield (Phari), C) A rope, D) A stick</t>
  </si>
  <si>
    <t>B) A small shield (Phari)</t>
  </si>
  <si>
    <t>The dagger-and-shield combination is a classic training drill for close-quarters defense and attack.</t>
  </si>
  <si>
    <t>In advanced drills, what does the "Dharni" technique involve?</t>
  </si>
  <si>
    <t>A) A jumping thrust, B) A shield deflection, C) A strike delivered while rolling on the ground, D) A spinning block</t>
  </si>
  <si>
    <t>C) A strike delivered while rolling on the ground</t>
  </si>
  <si>
    <t>Dharni is an advanced technique that combines evasive ground movement with a counter-attack.</t>
  </si>
  <si>
    <t>Why are swords and other weapons blunted for exhibitions and modern competitions?</t>
  </si>
  <si>
    <t>A) To reduce their cost, B) To prevent serious or fatal injuries, C) To increase their weight for training, D) It is a religious requirement</t>
  </si>
  <si>
    <t>B) To prevent serious or fatal injuries</t>
  </si>
  <si>
    <t>Blunting the edges allows performers and competitors to showcase authentic techniques with speed and power safely.</t>
  </si>
  <si>
    <t>Which type of strike is strictly forbidden due to its extreme danger?</t>
  </si>
  <si>
    <t>A) A strike to the shoulder, B) A strike to the neck or throat, C) A strike to the wrist, D) A strike to the knee</t>
  </si>
  <si>
    <t>B) A strike to the neck or throat</t>
  </si>
  <si>
    <t>The neck is an illegal target because a strike to this area poses a life-threatening risk.</t>
  </si>
  <si>
    <t>During a cultural display in Pakistan, Gatka is often performed alongside which other popular Punjabi art form?</t>
  </si>
  <si>
    <t>A) Gidda, B) Bhangra, C) Kathak, D) Dhamal</t>
  </si>
  <si>
    <t>B) Bhangra</t>
  </si>
  <si>
    <t>The energetic dance of Bhangra and the martial display of Gatka are often paired together to showcase the festive and warrior spirits of Punjabi culture.</t>
  </si>
  <si>
    <t>What is the standard rest period between rounds in a Gatka match?</t>
  </si>
  <si>
    <t>A) 30 seconds, B) 1 minute, C) 2 minutes, D) 3 minutes</t>
  </si>
  <si>
    <t>B) 1 minute</t>
  </si>
  <si>
    <t>A one-minute rest allows players to recover, receive coaching, and prepare for the next round.</t>
  </si>
  <si>
    <t>Which color of attire is most famously associated with the Nihang warrior order?</t>
  </si>
  <si>
    <t>A) Red, B) White, C) Deep Blue, D) Green</t>
  </si>
  <si>
    <t>C) Deep Blue</t>
  </si>
  <si>
    <t>The Nihang Sikhs traditionally wear distinctive deep blue robes (bana) as part of their warrior identity.</t>
  </si>
  <si>
    <t>A player is penalized for using an unapproved weapon. What is a likely reason for a stick to be unapproved?</t>
  </si>
  <si>
    <t>A) It is too light, B) It has sharp edges or is made of a dangerous material, C) It is the wrong color, D) It is too old</t>
  </si>
  <si>
    <t>B) It has sharp edges or is made of a dangerous material</t>
  </si>
  <si>
    <t>All weapons are inspected before a match to ensure they meet safety standards and do not have any modifications that could cause undue injury.</t>
  </si>
  <si>
    <t>Which international combat sport has most influenced the scoring and protective gear of modern Gatka tournaments?</t>
  </si>
  <si>
    <t>A) Karate, B) Taekwondo, C) Boxing, D) Judo</t>
  </si>
  <si>
    <t>B) Taekwondo</t>
  </si>
  <si>
    <t>The point-based system, use of colored protective gear, and emphasis on clean strikes in sport Gatka show a clear influence from Taekwondo's competition format.</t>
  </si>
  <si>
    <t>What is the maximum number of fouls a player can commit before being disqualified?</t>
  </si>
  <si>
    <t>A) 2, B) 3, C) 4, D) 5</t>
  </si>
  <si>
    <t>B) 3</t>
  </si>
  <si>
    <t>A player is typically disqualified after accumulating three fouls for rule violations.</t>
  </si>
  <si>
    <t>In Gatka's traditional arsenal, which weapon is the longest?</t>
  </si>
  <si>
    <t>A) Khanda, B) Talwar, C) Barchha, D) Kirpan</t>
  </si>
  <si>
    <t>The Barchha (spear) is the longest weapon, designed for thrusting and maintaining distance in combat.</t>
  </si>
  <si>
    <t>What does the warm-up drill Pharikhri primarily focus on?</t>
  </si>
  <si>
    <t>A) Breathing control, B) Arm stretching, C) Weapon flexibility, D) Footwork preparation and agility</t>
  </si>
  <si>
    <t>D) Footwork preparation and agility</t>
  </si>
  <si>
    <t>Pharikhri consists of dynamic stepping and hopping patterns that prepare a fighter's footwork for the demands of combat.</t>
  </si>
  <si>
    <t>What is the point value for a clean, legal strike to the opponent's headgear?</t>
  </si>
  <si>
    <t>A) 1 point, B) 2 points, C) 3 points, D) It is an illegal move</t>
  </si>
  <si>
    <t>B) 2 points</t>
  </si>
  <si>
    <t>While dangerous targets like the face are illegal, a controlled strike to the official headgear is a high-scoring technique worth 2 points.</t>
  </si>
  <si>
    <t>A player is penalized for "kicking". Is this a correct call?</t>
  </si>
  <si>
    <t>A) No, kicks are allowed, B) Yes, Gatka is a weapons-based art and does not use kicks, C) Kicks are allowed, but do not score points, D) Only low kicks are allowed</t>
  </si>
  <si>
    <t>B) Yes, Gatka is a weapons-based art and does not use kicks</t>
  </si>
  <si>
    <t>Gatka is a form of stick and sword fighting. Using hands or feet to strike the opponent is a foul.</t>
  </si>
  <si>
    <t>What is the referee's hand signal for starting the round?</t>
  </si>
  <si>
    <t>A) A downward chopping motion, B) Pointing at both players, C) A whistle blow combined with a forward signal, D) Clapping hands</t>
  </si>
  <si>
    <t>C) A whistle blow combined with a forward signal</t>
  </si>
  <si>
    <t>The referee uses their whistle for audible commands and a clear hand gesture to signal the start of the action.</t>
  </si>
  <si>
    <t>A player wins a match because their opponent has been disqualified. What is this victory called?</t>
  </si>
  <si>
    <t>A) A win by TKO, B) A win by forfeit, C) A win by disqualification, D) A technical win</t>
  </si>
  <si>
    <t>C) A win by disqualification</t>
  </si>
  <si>
    <t>If a player is removed from the match for rule violations, the opponent is declared the winner by disqualification.</t>
  </si>
  <si>
    <t>In a team event, how are points typically calculated to determine the winning team?</t>
  </si>
  <si>
    <t>A) The scores of all individual matches are added together, B) The team that wins the most individual matches wins, C) A single team score is kept, D) The team captain's score is doubled</t>
  </si>
  <si>
    <t>B) The team that wins the most individual matches wins</t>
  </si>
  <si>
    <t>A team event is a series of one-on-one bouts. The team that secures the majority of individual victories wins the overall match.</t>
  </si>
  <si>
    <t>What is the purpose of the leather basket hilt on some Gatka training sticks?</t>
  </si>
  <si>
    <t>A) It is for decoration, B) To protect the player's hand from strikes, C) To add weight to the stick, D) To improve grip</t>
  </si>
  <si>
    <t>B) To protect the player's hand from strikes</t>
  </si>
  <si>
    <t>The basket hilt is a crucial piece of safety equipment that shields the hand and knuckles from direct hits.</t>
  </si>
  <si>
    <t>A player is executing a spinning attack (ghumman). What is their primary defensive vulnerability during this move?</t>
  </si>
  <si>
    <t>A) Their legs are exposed, B) They can become dizzy and lose balance, C) Their back is briefly turned to the opponent, D) Both B and C</t>
  </si>
  <si>
    <t>Spinning attacks are powerful but risky, as they can lead to disorientation and create a momentary defensive opening.</t>
  </si>
  <si>
    <t>What is the name for the most basic defensive block in Gatka?</t>
  </si>
  <si>
    <t>A) Rok, B) Dhal, C) Var, D) Hamla</t>
  </si>
  <si>
    <t>A) Rok</t>
  </si>
  <si>
    <t>Rok is the fundamental technique of stopping an incoming strike with one's own weapon.</t>
  </si>
  <si>
    <t>Which piece of protective gear is mandatory for both competitors in a match?</t>
  </si>
  <si>
    <t>A) Groin guard, B) Mouthguard, C) Padded headgear, D) Shin guards</t>
  </si>
  <si>
    <t>C) Padded headgear</t>
  </si>
  <si>
    <t>Head protection is the most critical piece of safety equipment and is required for all participants in a sparring match.</t>
  </si>
  <si>
    <t>A player accidentally hits the referee with their stick during a wild swing. What is the likely outcome?</t>
  </si>
  <si>
    <t>A) The player is immediately disqualified, B) The referee issues a warning for lack of control, C) The match continues as if nothing happened, D) The opponent gets a point</t>
  </si>
  <si>
    <t>B) The referee issues a warning for lack of control</t>
  </si>
  <si>
    <t>While accidental, a player is responsible for their weapon at all times. The referee will pause the match and issue a warning for dangerous play.</t>
  </si>
  <si>
    <t>What is the primary difference between a Talwar and a Khanda?</t>
  </si>
  <si>
    <t>A) The Talwar is curved, while the Khanda is straight, B) The Talwar is blunt, the Khanda is sharp, C) The Talwar is a stick, the Khanda is a sword, D) There is no difference</t>
  </si>
  <si>
    <t>A) The Talwar is curved, while the Khanda is straight</t>
  </si>
  <si>
    <t>The Talwar is a classic curved sabre, while the Khanda is a straight, broad, double-edged sword.</t>
  </si>
  <si>
    <t>A player claims they were hit after the referee's whistle. What is the procedure for a protest?</t>
  </si>
  <si>
    <t>A) The player can stop the game and argue, B) The team's coach must file a formal protest with the head judge, C) The crowd can vote on it, D) The decision cannot be protested</t>
  </si>
  <si>
    <t>B) The team's coach must file a formal protest with the head judge</t>
  </si>
  <si>
    <t>All disputes must be handled through the official protest procedure, managed by the coach and the tournament officials.</t>
  </si>
  <si>
    <t>What is the main purpose of the "Bir Asan" (Warrior Stance)?</t>
  </si>
  <si>
    <t>A) To look intimidating, B) To provide a low center of gravity for stability and power, C) To be a resting position, D) To allow for maximum speed</t>
  </si>
  <si>
    <t>B) To provide a low center of gravity for stability and power</t>
  </si>
  <si>
    <t>This grounded stance is the foundation for generating power in strikes and for remaining stable against an opponent's attacks.</t>
  </si>
  <si>
    <t>In Gatka, what does the term yudh refer to?</t>
  </si>
  <si>
    <t>A) A weapon, B) A training drill, C) The art or science of warfare and combat, D) A defensive stance</t>
  </si>
  <si>
    <t>C) The art or science of warfare and combat</t>
  </si>
  <si>
    <t>Yudh is a broader term for warfare, from which the specific techniques and philosophy of Gatka are derived.</t>
  </si>
  <si>
    <t>Why is it a foul to hold the opponent's shield?</t>
  </si>
  <si>
    <t>A) It is not a foul, B) It prevents the opponent from defending themselves properly, C) It can damage the shield, D) It is considered poor sportsmanship</t>
  </si>
  <si>
    <t>B) It prevents the opponent from defending themselves properly</t>
  </si>
  <si>
    <t>A player cannot illegally immobilize their opponent's defensive equipment to gain an unfair advantage.</t>
  </si>
  <si>
    <t>What is the point value of a successful "disarm" technique?</t>
  </si>
  <si>
    <t>A) No points are awarded, B) 1 point, C) 3 points, D) 5 points</t>
  </si>
  <si>
    <t>C) 3 points</t>
  </si>
  <si>
    <t>Successfully and safely disarming an opponent is a demonstration of superior skill and is awarded a high point value.</t>
  </si>
  <si>
    <t>What is the primary purpose of the "paintis" footwork pattern?</t>
  </si>
  <si>
    <t>A) It is a dance, B) It is a foundational drill for teaching angles of attack and defense, C) It is a jumping technique, D) It is a breathing exercise</t>
  </si>
  <si>
    <t>B) It is a foundational drill for teaching angles of attack and defense</t>
  </si>
  <si>
    <t>The paintis is a key footwork pattern that trains a fighter to move fluidly and create advantageous angles.</t>
  </si>
  <si>
    <t>A player is penalized for "striking with the non-weapon hand." Is this a valid foul?</t>
  </si>
  <si>
    <t>A) No, open-hand strikes are allowed, B) Yes, all strikes must be made with the designated weapon, C) Only if the hand was in a fist, D) Only if it causes injury</t>
  </si>
  <si>
    <t>B) Yes, all strikes must be made with the designated weapon</t>
  </si>
  <si>
    <t>In sport Gatka, a player cannot use their free hand, fist, or any other body part to strike their opponent.</t>
  </si>
  <si>
    <t>What is the primary muscle group engaged during a powerful rotational strike (ghumman)?</t>
  </si>
  <si>
    <t>A) The biceps, B) The legs, C) The core (abdominals and obliques), D) The chest</t>
  </si>
  <si>
    <t>C) The core (abdominals and obliques)</t>
  </si>
  <si>
    <t>Rotational power for spinning strikes is generated from the core muscles, not just the arms and shoulders.</t>
  </si>
  <si>
    <t>A player wins a match because their opponent accumulated three warnings. This is a win by what?</t>
  </si>
  <si>
    <t>A) Win on points, B) Win by technical superiority, C) Win by disqualification, D) Win by knockout</t>
  </si>
  <si>
    <t>C) Win by disqualification</t>
  </si>
  <si>
    <t>A player is automatically disqualified after receiving their third official warning for fouls or misconduct.</t>
  </si>
  <si>
    <t>What is the main characteristic of the Kirpan?</t>
  </si>
  <si>
    <t>A) It is a long spear, B) It is a curved dagger, a religious symbol, and a weapon, C) It is a heavy mace, D) It is a throwing star</t>
  </si>
  <si>
    <t>B) It is a curved dagger, a religious symbol, and a weapon</t>
  </si>
  <si>
    <t>The Kirpan is one of the five articles of faith for Sikhs and is also a functional weapon used in close-quarters Gatka techniques.</t>
  </si>
  <si>
    <t>If a player is injured and the referee determines it was due to their own illegal move, what is the outcome?</t>
  </si>
  <si>
    <t>A) The point is replayed, B) The player loses the match by disqualification, C) The opponent is warned, D) The match is declared a draw</t>
  </si>
  <si>
    <t>B) The player loses the match by disqualification</t>
  </si>
  <si>
    <t>A player who injures themselves while committing a foul cannot win by default. They are disqualified for the illegal action.</t>
  </si>
  <si>
    <t>What is the primary purpose of the "Chakri" drill, which involves continuous spinning?</t>
  </si>
  <si>
    <t>A) To make the player dizzy, B) To develop balance, stamina, and the ability to strike from any angle, C) To show off to the crowd, D) To warm up the legs</t>
  </si>
  <si>
    <t>B) To develop balance, stamina, and the ability to strike from any angle</t>
  </si>
  <si>
    <t>This grueling drill is a key exercise for building the endurance and control needed for rotational attacks.</t>
  </si>
  <si>
    <t>Which of these is NOT a formal competition category in modern Gatka?</t>
  </si>
  <si>
    <t>A) Single Soti (stick), B) Fari-Soti (stick and shield), C) Team Gatka, D) Bare-knuckle Gatka</t>
  </si>
  <si>
    <t>D) Bare-knuckle Gatka</t>
  </si>
  <si>
    <t>Modern Gatka is exclusively a weapons-based martial art; there is no empty-hand fighting category in its competitions.</t>
  </si>
  <si>
    <t>What is the role of the "Table Officials" in a tournament?</t>
  </si>
  <si>
    <t>A) They are the referees, B) They are responsible for timekeeping, scoring, and recording results, C) They are the coaches, D) They inspect the weapons</t>
  </si>
  <si>
    <t>B) They are responsible for timekeeping, scoring, and recording results</t>
  </si>
  <si>
    <t>The table officials manage the administrative aspects of the match, supporting the on-field referees.</t>
  </si>
  <si>
    <t>A player is penalized for a "double strike." What does this mean?</t>
  </si>
  <si>
    <t>A) They hit the opponent with both ends of the stick at once, B) They hit the opponent twice in rapid succession without resetting, C) They hit the opponent and the shield at the same time, D) They hit two opponents at once</t>
  </si>
  <si>
    <t>B) They hit the opponent twice in rapid succession without resetting</t>
  </si>
  <si>
    <t>In some rule sets, a player must demonstrate control by resetting between strikes, and a continuous "drum roll" of hits is not allowed.</t>
  </si>
  <si>
    <t>Why is maintaining eye contact with the opponent considered crucial?</t>
  </si>
  <si>
    <t>A) It is a sign of respect, B) To anticipate their movements and intentions, C) To intimidate them, D) All of the above</t>
  </si>
  <si>
    <t>Eye contact is a key part of the mental game, used for reading the opponent, showing confidence, and maintaining focus.</t>
  </si>
  <si>
    <t>What is the traditional method for starting a friendly village match (Jorh)?</t>
  </si>
  <si>
    <t>A) A whistle blow, B) A drum beat, C) A mutual salute (Fateh) between the two players, D) A coin toss</t>
  </si>
  <si>
    <t>C) A mutual salute (Fateh) between the two players</t>
  </si>
  <si>
    <t>A friendly bout traditionally begins with the players acknowledging each other with a respectful greeting or salute.</t>
  </si>
  <si>
    <t>A player's shield is broken by a powerful strike. What is the ruling?</t>
  </si>
  <si>
    <t>A) The striker is disqualified for excessive force, B) The point is awarded to the striker, and the match is paused for a replacement shield, C) The player with the broken shield must continue without it, D) The round is a draw</t>
  </si>
  <si>
    <t>B) The point is awarded to the striker, and the match is paused for a replacement shield</t>
  </si>
  <si>
    <t>A legal strike that is powerful enough to break the opponent's equipment is a clear point. The match is then paused for safety.</t>
  </si>
  <si>
    <t>What is the philosophical reason for the emphasis on defense in Gatka?</t>
  </si>
  <si>
    <t>A) It is easier than attacking, B) The art is intended for self-defense, not for aggression, C) It scores more points, D) It is a way to tire out the opponent</t>
  </si>
  <si>
    <t>B) The art is intended for self-defense, not for aggression</t>
  </si>
  <si>
    <t>The core principle is that a Sikh warrior draws their weapon to defend the weak and uphold justice, not to initiate conflict.</t>
  </si>
  <si>
    <t>What is the main risk of using a "full-body spin" during an attack?</t>
  </si>
  <si>
    <t>A) It is a foul, B) It consumes a great deal of energy and can cause dizziness, C) It is a low-scoring move, D) It is easy to block</t>
  </si>
  <si>
    <t>B) It consumes a great deal of energy and can cause dizziness</t>
  </si>
  <si>
    <t>While spectacular, full 360-degree spins are physically demanding and can lead to a loss of balance and stamina if overused.</t>
  </si>
  <si>
    <t>A referee warns a player for "passive play." What does this mean?</t>
  </si>
  <si>
    <t>A) The player is not attacking and is only defending or evading, B) The player is not following the rules, C) The player is being too quiet, D) The player is not wearing the correct uniform</t>
  </si>
  <si>
    <t>A) The player is not attacking and is only defending or evading</t>
  </si>
  <si>
    <t>A player must actively engage in the fight. Consistently retreating or refusing to attack will result in a penalty.</t>
  </si>
  <si>
    <t>What is the Chakra, a weapon sometimes demonstrated in Gatka exhibitions?</t>
  </si>
  <si>
    <t>A) A heavy mace, B) A flexible whip, C) A sharp, circular steel throwing ring, D) A double-headed spear</t>
  </si>
  <si>
    <t>C) A sharp, circular steel throwing ring</t>
  </si>
  <si>
    <t>The Chakra or Chakram is a traditional Sikh throwing weapon, spun on the index finger and thrown with great force and accuracy.</t>
  </si>
  <si>
    <t>In a team match, a player is injured. Can they be substituted mid-round?</t>
  </si>
  <si>
    <t>A) Yes, at any time, B) No, substitutions can only happen between rounds, C) Only if the injury is bleeding, D) The team must forfeit the round</t>
  </si>
  <si>
    <t>B) No, substitutions can only happen between rounds</t>
  </si>
  <si>
    <t>For safety and to prevent disruption, a substitution can only be made during the one-minute rest period between rounds.</t>
  </si>
  <si>
    <t>What is the main purpose of the "dhal-talwar" (shield and sword) drill?</t>
  </si>
  <si>
    <t>A) To improve footwork, B) To develop the coordination between the defensive (shield) and offensive (sword) hands, C) To build arm strength, D) To practice spinning</t>
  </si>
  <si>
    <t>B) To develop the coordination between the defensive (shield) and offensive (sword) hands</t>
  </si>
  <si>
    <t>This is a fundamental drill for learning how to block and counter-attack in a seamless, coordinated manner.</t>
  </si>
  <si>
    <t>A player is penalized for "third-party interference." What happened?</t>
  </si>
  <si>
    <t>A) A spectator shouted advice, B) The player's coach stepped into the arena, C) The referee was distracted, D) The player used three weapons</t>
  </si>
  <si>
    <t>B) The player's coach stepped into the arena</t>
  </si>
  <si>
    <t>Only the two competitors and the referee are allowed in the combat area. A coach entering the ring is a serious foul.</t>
  </si>
  <si>
    <t>What is the standard length of a "Soti" or training stick?</t>
  </si>
  <si>
    <t>A) Approximately 1 meter (3-3.5 feet), B) 2 meters, C) 0.5 meters, D) It varies greatly</t>
  </si>
  <si>
    <t>A) Approximately 1 meter (3-3.5 feet)</t>
  </si>
  <si>
    <t>The stick is designed to be a safe and practical simulator of a one-handed sword.</t>
  </si>
  <si>
    <t>A player appeals a referee's decision. Who makes the final ruling?</t>
  </si>
  <si>
    <t>A) The other referees, B) The tournament's head judge or jury panel, C) The audience, D) The player's own coach</t>
  </si>
  <si>
    <t>B) The tournament's head judge or jury panel</t>
  </si>
  <si>
    <t>A formal appeal is taken to the senior officials of the tournament, whose decision is final.</t>
  </si>
  <si>
    <t>Why is the "Bir Asan" stance wide and low?</t>
  </si>
  <si>
    <t>A) To make the player a smaller target, B) To lower the center of gravity for maximum stability and power generation, C) It is a resting stance, D) To stretch the leg muscles</t>
  </si>
  <si>
    <t>B) To lower the center of gravity for maximum stability and power generation</t>
  </si>
  <si>
    <t>A low, grounded stance is the source of all power and balance in Gatka, similar to other martial arts.</t>
  </si>
  <si>
    <t>What is the most important quality that a Gatka practitioner is expected to embody, even more than fighting skill?</t>
  </si>
  <si>
    <t>A) Aggression, B) Wealth, C) Humility, discipline, and high moral character, D) Physical strength</t>
  </si>
  <si>
    <t>C) Humility, discipline, and high moral character</t>
  </si>
  <si>
    <t>The art's ultimate goal is to create a "Sant Sipahi" (a Saint-Soldier), a person who is both spiritually disciplined and martially skilled.</t>
  </si>
  <si>
    <t>What is the name of the compulsory solo form demonstrated in some Gatka competitions?</t>
  </si>
  <si>
    <t>A) Jurus Wajib, B) Kata, C) Poomsae, D) A &amp; B</t>
  </si>
  <si>
    <t>A) Jurus Wajib</t>
  </si>
  <si>
    <t>"Jurus Wajib" translates to "compulsory form," a set routine used to judge a player's technical skill.</t>
  </si>
  <si>
    <t>What is the primary purpose of the 'paintis' footwork pattern in Gatka?</t>
  </si>
  <si>
    <t>A) It is a ceremonial dance, B) It is a foundational drill for teaching angles of attack and defense, C) It is a jumping technique to evade attacks, D) It is a breathing exercise to improve stamina</t>
  </si>
  <si>
    <t>The 'paintis' is a key footwork pattern that trains a fighter to move fluidly and create advantageous angles for both offensive and defensive maneuvers.</t>
  </si>
  <si>
    <t>What does the term khanda signify in Gatka?</t>
  </si>
  <si>
    <t>A) A type of defensive block, B) A traditional double-edged sword, C) The fighting arena, D) The spirit of a warrior</t>
  </si>
  <si>
    <t>B) A traditional double-edged sword</t>
  </si>
  <si>
    <t>The khanda is a straight, broad, double-edged sword, symbolic of divine power and a primary weapon in Sikh martial history, often used in advanced Gatka.</t>
  </si>
  <si>
    <t>A Gatka fighter is penalized for "attacking a non-legal part." Which of the following is considered a legal target in most competitions?</t>
  </si>
  <si>
    <t>A) The face, B) The back of the head, C) The chest and upper body, D) The throat and neck</t>
  </si>
  <si>
    <t>C) The chest and upper body</t>
  </si>
  <si>
    <t>In Tanding (sparring competitions), the only legal target is typically the torso, defined as the area covered by the body protector, and in some cases, the headgear.</t>
  </si>
  <si>
    <t>What is the main principle behind the "Cimande" footwork in Gatka?</t>
  </si>
  <si>
    <t>A) To always move forward and be aggressive, B) To never cross the feet and maintain a stable connection to the ground, C) To use high, leaping steps for evasion, D) To stand in one place and rely on upper body movement</t>
  </si>
  <si>
    <t>B) To never cross the feet and maintain a stable connection to the ground</t>
  </si>
  <si>
    <t>Cimande, a style of Pencak Silat, emphasizes grounded, stable footwork to ensure that the fighter is never off-balance while moving, a principle also found in some Gatka schools.</t>
  </si>
  <si>
    <t>What is the penalty for a player who is found to have a sharpened stick in a competition?</t>
  </si>
  <si>
    <t>A) The stick is replaced, B) A warning is issued, C) The player is immediately disqualified, D) A 5-point penalty is given</t>
  </si>
  <si>
    <t>C) The player is immediately disqualified</t>
  </si>
  <si>
    <t>Tampering with equipment to make it more dangerous is a major safety violation and an act of cheating, resulting in disqualification.</t>
  </si>
  <si>
    <t>In a team event, if a player is injured and their team has no more substitutes, what is the result?</t>
  </si>
  <si>
    <t>A) The team must forfeit the match, B) They can play with one fewer player, C) The injured player must continue, D) The match is declared a draw</t>
  </si>
  <si>
    <t>A) The team must forfeit the match</t>
  </si>
  <si>
    <t>A team must be able to field the required number of players. If they cannot due to injury and lack of substitutes, they must forfeit.</t>
  </si>
  <si>
    <t>What is the purpose of the leather basket hilt found on many Gatka training sticks?</t>
  </si>
  <si>
    <t>A) It is for decoration, B) It protects the player's hand from being struck, C) It adds weight to the stick for training, D) It improves the player's grip</t>
  </si>
  <si>
    <t>B) It protects the player's hand from being struck</t>
  </si>
  <si>
    <t>The basket hilt is a crucial piece of safety equipment that shields the hand and knuckles from direct hits during sparring.</t>
  </si>
  <si>
    <t>What is the most common material for the shield (phari) used in modern competitions?</t>
  </si>
  <si>
    <t>A) Steel, B) Wood, C) Leather stretched over a frame, D) Hard plastic</t>
  </si>
  <si>
    <t>C) Leather stretched over a frame</t>
  </si>
  <si>
    <t>The traditional phari is made from dried animal hide, and modern versions replicate this with leather over a sturdy but lightweight frame.</t>
  </si>
  <si>
    <t>A referee warns a player for "passive play". What does this mean in the context of Gatka?</t>
  </si>
  <si>
    <t>A) The player is not attacking and is only defending or evading, B) The player is not following the rules correctly, C) The player is being too quiet during the match, D) The player is not wearing the correct uniform</t>
  </si>
  <si>
    <t>A player must actively engage in the fight. Consistently retreating or refusing to attack will result in a penalty for passivity.</t>
  </si>
  <si>
    <t>What is the primary difference between a Talwar and a Khanda sword?</t>
  </si>
  <si>
    <t>A) The Talwar is a curved sabre, while the Khanda is a straight, double-edged sword, B) The Talwar is a training sword, while the Khanda is a real one, C) The Talwar is a stick, while the Khanda is a sword, D) There is no difference between them</t>
  </si>
  <si>
    <t>A) The Talwar is a curved sabre, while the Khanda is a straight, double-edged sword</t>
  </si>
  <si>
    <t>These are two distinct types of traditional Indian swords used in Gatka, each with its own handling characteristics and techniques.</t>
  </si>
  <si>
    <t>Why is it important for Gatka judges to be familiar with many different styles (akharas)?</t>
  </si>
  <si>
    <t>A) To choose the best style for themselves, B) To fairly score the traditional elements and techniques unique to each fighter's background, C) To ensure all fighters use the same style in the competition, D) It is not important for judges to be familiar with them</t>
  </si>
  <si>
    <t>B) To fairly score the traditional elements and techniques unique to each fighter's background</t>
  </si>
  <si>
    <t>A knowledgeable judge can recognize and appreciate the technical diversity of Gatka, leading to fairer and more accurate scoring.</t>
  </si>
  <si>
    <t>What is the term for the oath or pledge taken by Gatka practitioners, emphasizing moral character?</t>
  </si>
  <si>
    <t>A) Sumpah Pemuda, B) Prasetya Pesilat Indonesia, C) The Sikh Rehat Maryada, D) It does not have a formal name</t>
  </si>
  <si>
    <t>C) The Sikh Rehat Maryada</t>
  </si>
  <si>
    <t>While not an oath specific to Gatka, the Sikh code of conduct and conventions (Rehat Maryada) outlines the ethical and moral duties that all practitioners are expected to follow.</t>
  </si>
  <si>
    <t>A fighter is penalized for a "direct attack to the face." What does this mean in Gatka?</t>
  </si>
  <si>
    <t>A) Any attack that comes close to the face, B) An intentional, uncontrolled strike aimed directly at the face area, C) An accidental graze to the face during a spin, D) A defensive block that comes near the face</t>
  </si>
  <si>
    <t>B) An intentional, uncontrolled strike aimed directly at the face area</t>
  </si>
  <si>
    <t>While the headgear is a target, the face itself is protected. A direct, forceful strike to the facial area is a serious foul.</t>
  </si>
  <si>
    <t>A fighter wins a match 15-5. This is considered a win by what?</t>
  </si>
  <si>
    <t>A) Knockout, B) Win by technical superiority, C) Win on points, D) Disqualification</t>
  </si>
  <si>
    <t>B) Win by technical superiority</t>
  </si>
  <si>
    <t>If a fighter achieves a lead of 10 or more points, the match is stopped, and they are declared the winner by "technical superiority" (also known as a mercy rule).</t>
  </si>
  <si>
    <t>What is the highest honor or ultimate goal for a traditional Gatka practitioner?</t>
  </si>
  <si>
    <t>A) To win a gold medal in a competition, B) To become a master (guru) and pass on the art's values and techniques, C) To become wealthy through fighting, D) To never lose a single fight in their lifetime</t>
  </si>
  <si>
    <t>B) To become a master (guru) and pass on the art's values and techniques</t>
  </si>
  <si>
    <t>In the traditional view, the ultimate achievement is not just personal victory, but the preservation and transmission of the art to the next generation.</t>
  </si>
  <si>
    <t>Which of the following is NOT a traditional Gatka weapon?</t>
  </si>
  <si>
    <t>A) The Khanda (double-edged sword), B) The Barchha (spear), C) The Chakra (war-quoit), D) The Nunchaku (flail)</t>
  </si>
  <si>
    <t>D) The Nunchaku (flail)</t>
  </si>
  <si>
    <t>The Nunchaku is a weapon associated with Okinawan martial arts and is not part of the traditional Sikh arsenal of Shastar Vidya.</t>
  </si>
  <si>
    <t>A referee raises a yellow flag during a match. What does this typically signify in a tournament?</t>
  </si>
  <si>
    <t>A) A point has been scored, B) The start of the final round of the match, C) An official warning for a foul has been given, D) A timeout has been called by a coach</t>
  </si>
  <si>
    <t>C) An official warning for a foul has been given</t>
  </si>
  <si>
    <t>In some scoring systems, colored flags are used by judges and referees to signal their decisions, with yellow often indicating a warning.</t>
  </si>
  <si>
    <t>What is the primary purpose of the Gatka principle of "Miri-Piri"?</t>
  </si>
  <si>
    <t>A) To teach a fighter to be aggressive at all times, B) To balance spiritual values with the willingness to defend oneself and others, C) To separate the sport from its religious roots, D) To create a new style of fighting</t>
  </si>
  <si>
    <t>B) To balance spiritual values with the willingness to defend oneself and others</t>
  </si>
  <si>
    <t>Introduced by Guru Hargobind, this principle establishes that a Sikh warrior must be both a "Saint" (Piri) and a "Soldier" (Miri), influencing Gatka's spiritual depth.</t>
  </si>
  <si>
    <t>What is the main characteristic of the "Nihang" order of Sikh warriors?</t>
  </si>
  <si>
    <t>A) They are known for their peaceful and meditative practices, B) They have preserved the traditional martial arts, including Gatka, for centuries, C) They are a modern sect focused on sport, D) They do not practice Gatka</t>
  </si>
  <si>
    <t>B) They have preserved the traditional martial arts, including Gatka, for centuries</t>
  </si>
  <si>
    <t>The Nihangs are a historic warrior order who have maintained and practiced Gatka continuously as a living part of their martial heritage.</t>
  </si>
  <si>
    <t>A) Yes, at any time during the match, B) No, substitutions can only happen between rounds, C) Only if the injury is bleeding and cannot be stopped, D) The team must forfeit the entire round</t>
  </si>
  <si>
    <t>For safety and to prevent disruption of the flow of the match, a substitution can only be made during the one-minute rest period between rounds.</t>
  </si>
  <si>
    <t>What is the main purpose of the "dhal-talwar" (shield and sword) drill in Gatka training?</t>
  </si>
  <si>
    <t>A) To improve a fighter's footwork, B) To develop the coordination between the defensive (shield) and offensive (sword) hands, C) To build a fighter's arm strength, D) To practice spinning techniques and acrobatics</t>
  </si>
  <si>
    <t>This is a fundamental drill for learning how to block and counter-attack in a seamless, coordinated manner, which is essential for combat.</t>
  </si>
  <si>
    <t>A player is penalized for "third-party interference." What is the most likely reason for this?</t>
  </si>
  <si>
    <t>A) A spectator shouted advice to the player, B) The player's coach stepped into the arena during the round, C) The referee was distracted by an outside noise, D) The player used three different weapons in the match</t>
  </si>
  <si>
    <t>B) The player's coach stepped into the arena during the round</t>
  </si>
  <si>
    <t>What is the standard length of a "Soti" or training stick used in competitions?</t>
  </si>
  <si>
    <t>A) Approximately 1 meter (3-3.5 feet), B) 2 meters (6.5 feet), C) 0.5 meters (1.5 feet), D) It varies greatly depending on the player's height</t>
  </si>
  <si>
    <t>The stick is designed to be a safe and practical simulator of a one-handed sword, and its length is standardized for fair competition.</t>
  </si>
  <si>
    <t>A player appeals a referee's decision to the head judge. What is the final authority?</t>
  </si>
  <si>
    <t>A) The other referees, B) The tournament's head judge or jury panel, C) The audience's opinion, D) The player's own coach</t>
  </si>
  <si>
    <t>A formal appeal is taken to the senior officials of the tournament, whose decision on matters of rule interpretation is final.</t>
  </si>
  <si>
    <t>A) No, open-hand strikes are allowed in Gatka, B) Yes, all strikes must be made with the designated weapon, C) Only if the hand was in a fist and not open, D) Only if the strike causes a serious injury</t>
  </si>
  <si>
    <t>In sport Gatka, a player cannot use their free hand, fist, or any other body part to strike their opponent; it is a weapon-based art.</t>
  </si>
  <si>
    <t>A) The biceps and triceps, B) The legs and glutes, C) The core (abdominals and obliques), D) The chest and shoulders</t>
  </si>
  <si>
    <t>Rotational power for spinning strikes is generated from a strong and stable core, not just from the arms and shoulders.</t>
  </si>
  <si>
    <t>What is the main characteristic of the Kirpan as used in Gatka?</t>
  </si>
  <si>
    <t>A) It is a long spear, B) It is a curved dagger, a religious symbol, and a weapon for close combat, C) It is a heavy mace used for breaking armor, D) It is a throwing star for long-range attacks</t>
  </si>
  <si>
    <t>B) It is a curved dagger, a religious symbol, and a weapon for close combat</t>
  </si>
  <si>
    <t>If a player is injured as a result of their own illegal move, what is the most likely outcome?</t>
  </si>
  <si>
    <t>A) The point is replayed to be fair, B) The player loses the match by disqualification or retirement, C) The opponent is warned for not being careful, D) The match is declared a draw due to injury</t>
  </si>
  <si>
    <t>B) The player loses the match by disqualification or retirement</t>
  </si>
  <si>
    <t>A player who injures themselves while committing a foul cannot win by default. They are responsible for their own illegal action.</t>
  </si>
  <si>
    <t>What is the main purpose of the "Chakri" drill, which involves continuous spinning?</t>
  </si>
  <si>
    <t>A) To make the player dizzy so they can build tolerance, B) To develop balance, stamina, and the ability to strike from any angle, C) To show off to the crowd and judges, D) To warm up the leg muscles before a match</t>
  </si>
  <si>
    <t>This grueling drill is a key exercise for building the endurance and control needed for rotational attacks in combat.</t>
  </si>
  <si>
    <t>A) Single Soti (stick fighting), B) Fari-Soti (stick and shield), C) Team Gatka, D) Bare-knuckle Gatka (Musti-yuddha)</t>
  </si>
  <si>
    <t>D) Bare-knuckle Gatka (Musti-yuddha)</t>
  </si>
  <si>
    <t>Modern Gatka is exclusively a weapons-based martial art; there is no official empty-hand fighting category in its competitions.</t>
  </si>
  <si>
    <t>What is the role of the "Table Officials" in a Gatka tournament?</t>
  </si>
  <si>
    <t>A) They are the main referees inside the arena, B) They are responsible for timekeeping, scoring, and recording official results, C) They are the coaches for the competing teams, D) They are responsible for inspecting the weapons</t>
  </si>
  <si>
    <t>B) They are responsible for timekeeping, scoring, and recording official results</t>
  </si>
  <si>
    <t>The table officials manage the administrative aspects of the match, supporting the on-field referees and ensuring accuracy.</t>
  </si>
  <si>
    <t>A player is penalized for a "double strike." What does this mean in the context of Gatka?</t>
  </si>
  <si>
    <t>A) They hit the opponent with both ends of the stick at the same time, B) They hit the opponent twice in rapid succession without resetting their stance, C) They hit the opponent and their shield at the same time, D) They hit two opponents at once in a team match</t>
  </si>
  <si>
    <t>In some rule sets, a player must demonstrate control by resetting between strikes. A continuous "drum roll" of hits is not allowed and is considered a single action.</t>
  </si>
  <si>
    <t>Why is maintaining eye contact with the opponent considered crucial in Gatka?</t>
  </si>
  <si>
    <t>A) It is a sign of respect and honor, B) To anticipate their movements and intentions, C) To intimidate them and show confidence, D) All of the above</t>
  </si>
  <si>
    <t>Eye contact is a key part of the mental game in combat, used for reading the opponent, showing confidence, and maintaining focus.</t>
  </si>
  <si>
    <t>A) A whistle blow from an elder, B) A beat from a drum, C) A mutual salute (Fateh) between the two players, D) A coin toss to see who starts</t>
  </si>
  <si>
    <t>A friendly bout traditionally begins with the players acknowledging each other with a respectful greeting, such as "Waheguru Ji Ka Khalsa, Waheguru Ji Ki Fateh."</t>
  </si>
  <si>
    <t>A player's shield is broken by a powerful strike. What is the ruling from the referee?</t>
  </si>
  <si>
    <t>A) The striker is disqualified for using excessive force, B) The point is awarded to the striker, and the match is paused for a replacement shield, C) The player with the broken shield must continue without it, D) The round is declared a draw immediately</t>
  </si>
  <si>
    <t>A legal strike that is powerful enough to break the opponent's equipment is a clear point. The match is then paused for safety to replace the broken gear.</t>
  </si>
  <si>
    <t>What is the philosophical reason for the strong emphasis on defense in Gatka?</t>
  </si>
  <si>
    <t>A) It is an easier skill to learn than attacking, B) The art is intended for self-defense and the protection of others, not for aggression, C) Defensive moves score more points than offensive ones, D) It is a good way to tire out the opponent</t>
  </si>
  <si>
    <t>B) The art is intended for self-defense and the protection of others, not for aggression</t>
  </si>
  <si>
    <t>What is the main risk of using a "full-body spin" during an attack in a match?</t>
  </si>
  <si>
    <t>A) It is a foul and will be penalized, B) It consumes a great deal of energy and can cause dizziness or loss of balance, C) It is a low-scoring move and not worth the effort, D) It is too easy for the opponent to block</t>
  </si>
  <si>
    <t>B) It consumes a great deal of energy and can cause dizziness or loss of balance</t>
  </si>
  <si>
    <t>While spectacular, full 360-degree spins are physically demanding and can leave a fighter vulnerable if they are not executed perfectly.</t>
  </si>
  <si>
    <t>The Chakra is a weapon sometimes demonstrated in Gatka exhibitions. What is it?</t>
  </si>
  <si>
    <t>The Chakra or Chakram is a traditional Sikh throwing weapon, which is spun on the index finger and thrown with great force and accuracy.</t>
  </si>
  <si>
    <t>In a team match, a player is injured. When can they be substituted?</t>
  </si>
  <si>
    <t>A) At any time during the match, B) Only during the one-minute rest period between rounds, C) Only if the injury is bleeding and cannot be stopped, D) The team must forfeit the round</t>
  </si>
  <si>
    <t>B) Only during the one-minute rest period between rounds</t>
  </si>
  <si>
    <t>For safety and to prevent disruption of the flow of the match, a substitution can only be made during the official break between rounds.</t>
  </si>
  <si>
    <t>What is the primary difference between sport Gatka and traditional Gatka?</t>
  </si>
  <si>
    <t>A) There is no difference, B) Sport Gatka uses a point-based system and protective gear for safety, while traditional Gatka is for combat, C) Traditional Gatka uses sticks, while sport Gatka uses swords, D) Sport Gatka is an individual art, while traditional Gatka is for teams</t>
  </si>
  <si>
    <t>B) Sport Gatka uses a point-based system and protective gear for safety, while traditional Gatka is for combat</t>
  </si>
  <si>
    <t>Sport Gatka has been adapted with rules and equipment to allow for safe competition, whereas traditional Gatka is the martial art in its original, more dangerous form.</t>
  </si>
  <si>
    <t>What is the maximum number of substitutes allowed on a Gatka team in a tournament?</t>
  </si>
  <si>
    <t>A) 1, B) 2, C) 3, D) 4</t>
  </si>
  <si>
    <t>C) 3</t>
  </si>
  <si>
    <t>A typical team consists of 7 players, with 4 competing at any one time and 3 available as substitutes.</t>
  </si>
  <si>
    <t>What is the referee's action if a player's turban or headgear comes off during a match?</t>
  </si>
  <si>
    <t>A) The match continues, B) The player is disqualified, C) The match is immediately paused to allow the player to refit it, D) The opponent is awarded a point</t>
  </si>
  <si>
    <t>C) The match is immediately paused to allow the player to refit it</t>
  </si>
  <si>
    <t>Head protection is mandatory. If it comes off, the referee must stop the fight for safety until it is properly secured.</t>
  </si>
  <si>
    <t>Which of these is a key principle of the Gatka philosophy?</t>
  </si>
  <si>
    <t>A) "Win at all costs", B) "Attack is the best defense", C) "The body and mind must be united with the weapon", D) "Never show mercy"</t>
  </si>
  <si>
    <t>C) "The body and mind must be united with the weapon"</t>
  </si>
  <si>
    <t>A core tenet of Shastar Vidya is that the weapon is not just a tool but an extension of the practitioner's body and spirit.</t>
  </si>
  <si>
    <t>What is the term for the opening ceremonial salute in a Gatka performance?</t>
  </si>
  <si>
    <t>A) Ardas, B) Fateh, C) Salaam, D) Pranam</t>
  </si>
  <si>
    <t>B) Fateh</t>
  </si>
  <si>
    <t>A Gatka performance often begins with a salute and the Sikh clarion call, "Waheguru Ji Ka Khalsa, Waheguru Ji Ki Fateh."</t>
  </si>
  <si>
    <t>A player is penalized for "corps-a-corps". What does this mean in Gatka?</t>
  </si>
  <si>
    <t>A) They struck a fallen opponent, B) They made physical body-to-body contact with the opponent, C) They used an illegal weapon, D) They refused to fight</t>
  </si>
  <si>
    <t>B) They made physical body-to-body contact with the opponent</t>
  </si>
  <si>
    <t>In stick-fighting, players must maintain a certain distance. Intentional body contact like pushing or grappling is a foul.</t>
  </si>
  <si>
    <t>What is the main purpose of the "chaal" or rhythmic gait in Gatka?</t>
  </si>
  <si>
    <t>A) To look graceful, B) To maintain rhythm, timing, and constant readiness for movement, C) To confuse the opponent, D) To warm up the muscles</t>
  </si>
  <si>
    <t>B) To maintain rhythm, timing, and constant readiness for movement</t>
  </si>
  <si>
    <t>The characteristic rhythmic movement is not just for show; it keeps the fighter's body and mind in a state of fluid preparedness.</t>
  </si>
  <si>
    <t>What happens if a player is found to be using a stick that is longer than the maximum allowed length?</t>
  </si>
  <si>
    <t>A) They are told to shorten it, B) They are disqualified from the match, C) They are allowed to use it but cannot score points, D) A 5-point penalty is given</t>
  </si>
  <si>
    <t>B) They are disqualified from the match</t>
  </si>
  <si>
    <t>Using illegal equipment that provides an unfair advantage is a serious violation that results in disqualification.</t>
  </si>
  <si>
    <t>What is the "gatka" from which the sport gets its name?</t>
  </si>
  <si>
    <t>A) A type of sword, B) The wooden stick used for training, C) The shield, D) The fighting arena</t>
  </si>
  <si>
    <t>B) The wooden stick used for training</t>
  </si>
  <si>
    <t>The name "Gatka" refers to the wooden training stick, which is so central to the art that the entire sport is named after it.</t>
  </si>
  <si>
    <t>What is the ultimate aim of a Gatka practitioner, according to the "Sant Sipahi" (Saint-Soldier) ideal?</t>
  </si>
  <si>
    <t>A) To become the greatest fighter, B) To achieve enlightenment, C) To master both spiritual discipline and martial skill for the defense of righteousness, D) To join the army</t>
  </si>
  <si>
    <t>C) To master both spiritual discipline and martial skill for the defense of righteousness</t>
  </si>
  <si>
    <t>The "Saint-Soldier" is the ideal of the Khalsa warrior: a person who is spiritually devoted, morally upright, and martially prepared to defend justice.</t>
  </si>
  <si>
    <t>What is the primary equipment used in Gilli Danda?</t>
  </si>
  <si>
    <t>A) Ball and Bat, B) Stick and Ball, C) Gilli and Danda, D) Wooden Paddle</t>
  </si>
  <si>
    <t>C) Gilli and Danda</t>
  </si>
  <si>
    <t>The game uses a small, tapered stick (Gilli) and a larger striking stick (Danda).</t>
  </si>
  <si>
    <t>How is the Gilli initially launched into the air for the main strike?</t>
  </si>
  <si>
    <t>A) By throwing it, B) By striking its tapered end with the Danda, C) By rolling it, D) By bouncing it</t>
  </si>
  <si>
    <t>B) By striking its tapered end with the Danda</t>
  </si>
  <si>
    <t>The player hits the Gilli's tapered end, which rests on the ground, causing it to flip into the air.</t>
  </si>
  <si>
    <t>What is the main objective for the striker after hitting the Gilli into the air?</t>
  </si>
  <si>
    <t>A) To catch the Gilli themselves, B) To hit the Gilli again as far as possible, C) To run to a safe point, D) To defend the Gilli's landing spot</t>
  </si>
  <si>
    <t>B) To hit the Gilli again as far as possible</t>
  </si>
  <si>
    <t>While the Gilli is airborne, the striker's goal is to hit it a second time to score distance.</t>
  </si>
  <si>
    <t>What happens if a fielder catches the Gilli in the air after the main strike?</t>
  </si>
  <si>
    <t>A) The striker scores bonus points, B) The striker is out, C) The striker gets another chance, D) The game is reset</t>
  </si>
  <si>
    <t>B) The striker is out</t>
  </si>
  <si>
    <t>A clean catch by a member of the fielding team results in the striker's dismissal.</t>
  </si>
  <si>
    <t>How are points or runs typically scored in Gilli Danda?</t>
  </si>
  <si>
    <t>A) By hitting a designated boundary, B) By running between two points, C) By measuring the strike's distance using the Danda as a unit, D) By counting the number of strikes</t>
  </si>
  <si>
    <t>C) By measuring the strike's distance using the Danda as a unit</t>
  </si>
  <si>
    <t>The score is the distance from the striking point to where the Gilli lands, measured in full lengths of the Danda.</t>
  </si>
  <si>
    <t>What does a player do after their turn of striking is over?</t>
  </si>
  <si>
    <t>A) Hits the Gilli again, B) Switches to the fielding team, C) Passes the Danda, D) Defends the Gilli</t>
  </si>
  <si>
    <t>B) Switches to the fielding team</t>
  </si>
  <si>
    <t>After a player is out or completes their turn, they join the fielders, and a fielder takes their place as the striker.</t>
  </si>
  <si>
    <t>What is the typical shape of the Gilli?</t>
  </si>
  <si>
    <t>A) A perfect sphere, B) A uniform cylinder, C) An oval, D) A small stick tapered at both ends</t>
  </si>
  <si>
    <t>D) A small stick tapered at both ends</t>
  </si>
  <si>
    <t>The Gilli is shaped like a small spindle, with tapered ends that allow it to be easily flicked into the air from the ground.</t>
  </si>
  <si>
    <t>How many players are typically involved in a casual game of Gilli Danda?</t>
  </si>
  <si>
    <t>A) Exactly 2, B) Exactly 4, C) 6-10, D) There is no fixed number</t>
  </si>
  <si>
    <t>D) There is no fixed number</t>
  </si>
  <si>
    <t>The game is highly informal, and the number of players can vary from a one-on-one duel to two large teams.</t>
  </si>
  <si>
    <t>What is the consequence of a striker swinging at the airborne Gilli and missing it completely?</t>
  </si>
  <si>
    <t>A) The striker loses their turn, B) The striker loses all their runs, C) The opponent gains a point, D) The striker gets two more chances</t>
  </si>
  <si>
    <t>A) The striker loses their turn</t>
  </si>
  <si>
    <t>A player typically gets a set number of chances (often three) to hit the Gilli; failing on the last chance ends their turn.</t>
  </si>
  <si>
    <t>Where is Gilli Danda most commonly played?</t>
  </si>
  <si>
    <t>A) Indoors, B) In open fields, parks, or quiet streets, C) On a professional court, D) In a stadium</t>
  </si>
  <si>
    <t>B) In open fields, parks, or quiet streets</t>
  </si>
  <si>
    <t>The game requires a large open area and is traditionally played in any available space in rural and urban areas.</t>
  </si>
  <si>
    <t>What is the primary role of the opponent team?</t>
  </si>
  <si>
    <t>A) To act as fielders and try to get the striker out, B) To hit the Gilli back, C) To set the boundaries, D) To act as judges</t>
  </si>
  <si>
    <t>A) To act as fielders and try to get the striker out</t>
  </si>
  <si>
    <t>The opposing team's goal is to dismiss the striker, most commonly by catching the Gilli in the air.</t>
  </si>
  <si>
    <t>What happens if the Gilli does not lift off the ground when the striker attempts the initial flick?</t>
  </si>
  <si>
    <t>A) The player scores one point, B) The player gets another chance, C) It counts as a "miss" or a "try", D) There is no action</t>
  </si>
  <si>
    <t>C) It counts as a "miss" or a "try"</t>
  </si>
  <si>
    <t>A failed attempt to make the Gilli airborne uses up one of the striker's limited chances for their turn.</t>
  </si>
  <si>
    <t>What is the typical length of the Danda?</t>
  </si>
  <si>
    <t>A) 1 foot, B) 2 to 3 feet, C) 4 feet, D) There is no fixed length</t>
  </si>
  <si>
    <t>B) 2 to 3 feet</t>
  </si>
  <si>
    <t>The Danda is usually about 2-3 feet long, providing a comfortable reach and leverage for striking.</t>
  </si>
  <si>
    <t>In what position is the Gilli placed for the initial flick?</t>
  </si>
  <si>
    <t>A) Standing upright in a hole, B) Laid flat on the ground, C) Placed over a small circle or hole on the ground, D) On a holder</t>
  </si>
  <si>
    <t>C) Placed over a small circle or hole on the ground</t>
  </si>
  <si>
    <t>The Gilli is typically placed across a small indentation, allowing the Danda to strike a tapered end and flip it upwards.</t>
  </si>
  <si>
    <t>What is the most critical physical skill required to excel in Gilli Danda?</t>
  </si>
  <si>
    <t>A) Raw speed, B) Muscular strength, C) Excellent hand-eye coordination, D) Flexibility</t>
  </si>
  <si>
    <t>C) Excellent hand-eye coordination</t>
  </si>
  <si>
    <t>Precision in both flicking the Gilli up and striking it in mid-air is the most important skill for a striker.</t>
  </si>
  <si>
    <t>What is the term for hitting the Gilli multiple times in the air before the main strike?</t>
  </si>
  <si>
    <t>A) Doubling, B) Flicking, C) Tapping, D) Juggling</t>
  </si>
  <si>
    <t>D) Juggling</t>
  </si>
  <si>
    <t>In some variations, a skilled player can "juggle" the Gilli in the air to get it to the perfect position for a powerful hit.</t>
  </si>
  <si>
    <t>What is considered a "foul" or "miss" in Gilli Danda?</t>
  </si>
  <si>
    <t>A) Using both hands on the Danda, B) Dropping the Danda after a hit, C) Failing to make contact with the Gilli during a strike attempt, D) Overstepping boundaries after a hit</t>
  </si>
  <si>
    <t>C) Failing to make contact with the Gilli during a strike attempt</t>
  </si>
  <si>
    <t>A swing and a miss uses up one of the striker's chances for their turn.</t>
  </si>
  <si>
    <t>In rural Pakistan, what is often used to mark the scoring boundaries or the striking circle?</t>
  </si>
  <si>
    <t>A) Professional chalk powder, B) Stones, bricks, or a shoe, C) Wooden posts, D) A rope</t>
  </si>
  <si>
    <t>B) Stones, bricks, or a shoe</t>
  </si>
  <si>
    <t>Traditionally, players use whatever is available to mark the playing area, highlighting the game's informal nature.</t>
  </si>
  <si>
    <t>What is the ideal material for making the Gilli and Danda?</t>
  </si>
  <si>
    <t>A) Plastic, B) Bamboo, C) Metal, D) Hardwood</t>
  </si>
  <si>
    <t>D) Hardwood</t>
  </si>
  <si>
    <t>Wooden sticks are traditionally used for both the Gilli and Danda as they are durable and provide a good feel.</t>
  </si>
  <si>
    <t>In some variations of the game, what happens if the Gilli lands and comes to rest inside a pre-marked circle?</t>
  </si>
  <si>
    <t>A) The hitter scores double points, B) The hitter is out, C) The opponent gains a point, D) The turn must be replayed</t>
  </si>
  <si>
    <t>B) The hitter is out</t>
  </si>
  <si>
    <t>This is a common rule in some versions, where a circle around the striking point is an "out" zone if the Gilli doesn't travel far enough.</t>
  </si>
  <si>
    <t>What is the main purpose of hitting the Gilli with the Danda?</t>
  </si>
  <si>
    <t>A) To hit a specific target, B) To score points based on the distance it travels, C) To pass it to a teammate, D) To balance it on the Danda</t>
  </si>
  <si>
    <t>B) To score points based on the distance it travels</t>
  </si>
  <si>
    <t>Players aim to score points by striking the Gilli as far away from the starting point as possible.</t>
  </si>
  <si>
    <t>What action does the fielding team take if the Gilli lands on the ground within the play area?</t>
  </si>
  <si>
    <t>A) They try to catch it on one bounce, B) They measure the distance for the score, C) They try to throw it back to hit the Danda at the starting point, D) The round ends</t>
  </si>
  <si>
    <t>C) They try to throw it back to hit the Danda at the starting point</t>
  </si>
  <si>
    <t>In many variations, if the Gilli is not caught, a fielder can get the striker out by throwing the Gilli back and hitting the Danda.</t>
  </si>
  <si>
    <t>What is the role of the Danda in the game?</t>
  </si>
  <si>
    <t>A) To defend a target, B) To measure the scoring distance, C) To strike the Gilli, D) Both B and C</t>
  </si>
  <si>
    <t>The Danda is used both as the "bat" to strike the Gilli and as the "ruler" to measure the distance for scoring.</t>
  </si>
  <si>
    <t>What happens if a striker hits the Gilli but it travels a very short distance?</t>
  </si>
  <si>
    <t>A) They must retry the shot, B) They can measure the short distance for a low score, C) They must concede their turn, D) They can change their position</t>
  </si>
  <si>
    <t>B) They can measure the short distance for a low score</t>
  </si>
  <si>
    <t>A weak hit is not a foul; the striker can choose to measure the short distance or risk trying to hit it again in some variations.</t>
  </si>
  <si>
    <t>How is a score officially measured in Gilli Danda?</t>
  </si>
  <si>
    <t>A) By the time the Gilli is in the air, B) By the number of strikes, C) By counting the number of Danda lengths from the striking point, D) By the weight of the Gilli</t>
  </si>
  <si>
    <t>C) By counting the number of Danda lengths from the striking point</t>
  </si>
  <si>
    <t>The distance the Gilli travels is measured in full lengths of the Danda, which becomes the unit of scoring.</t>
  </si>
  <si>
    <t>What is the outcome if the striker hits the Gilli far outside the informally agreed play area?</t>
  </si>
  <si>
    <t>A) The striker is out, B) The striker must take another turn, C) The striker scores the maximum possible points, D) The striker's turn is voided</t>
  </si>
  <si>
    <t>C) The striker scores the maximum possible points</t>
  </si>
  <si>
    <t>A hit that goes exceptionally far, sometimes called a "lambi," can earn the striker bonus points or an automatic win for that turn.</t>
  </si>
  <si>
    <t>What happens if the striker misses the Gilli three times consecutively?</t>
  </si>
  <si>
    <t>A) They are disqualified from the game, B) The opposing team gains a bonus point, C) Their turn at striking ends, D) The game restarts from the beginning</t>
  </si>
  <si>
    <t>C) Their turn at striking ends</t>
  </si>
  <si>
    <t>A player is typically given three chances to strike the Gilli. Failing all three times results in a loss of turn.</t>
  </si>
  <si>
    <t>What is the penalty for a striker whose foot crosses the marked striking line during their swing?</t>
  </si>
  <si>
    <t>A) Disqualification, B) The score for that turn is nullified, C) The opponent gets a bonus point, D) The turn is replayed</t>
  </si>
  <si>
    <t>B) The score for that turn is nullified</t>
  </si>
  <si>
    <t>Similar to cricket's "no-ball," a foul for overstepping the line means any runs scored on that hit are not counted.</t>
  </si>
  <si>
    <t>What happens if the Gilli is struck and hits a non-player or an object like a tree before landing?</t>
  </si>
  <si>
    <t>A) The turn is replayed due to interference, B) The points are halved for that hit, C) The striker is automatically out, D) The turn continues as normal</t>
  </si>
  <si>
    <t>A) The turn is replayed due to interference</t>
  </si>
  <si>
    <t>An obstruction caused by external factors that affect the Gilli's flight usually allows the striker a replay.</t>
  </si>
  <si>
    <t>What is a 'direct strike' in Gilli Danda?</t>
  </si>
  <si>
    <t>A) Hitting the Gilli perfectly from the ground in one motion without a prior flick, B) When the Gilli flies in a perfectly straight line, C) When the Danda breaks, D) When the opponent catches it directly</t>
  </si>
  <si>
    <t>A) Hitting the Gilli perfectly from the ground in one motion without a prior flick</t>
  </si>
  <si>
    <t>A direct strike is an advanced and difficult technique where the Gilli is launched and hit in a single, fluid swing.</t>
  </si>
  <si>
    <t>How is the first player to strike often decided in a casual game?</t>
  </si>
  <si>
    <t>A) By a coin toss, B) By mutual agreement, C) By a random selection, D) By tossing the Gilli and seeing how it lands</t>
  </si>
  <si>
    <t>D) By tossing the Gilli and seeing how it lands</t>
  </si>
  <si>
    <t>Players often perform a toss with the Gilli or Danda itself to determine who gets to be the first striker.</t>
  </si>
  <si>
    <t>What does the term 'home' or 'base' signify in Gilli Danda?</t>
  </si>
  <si>
    <t>A) A safe area for the fielders, B) The starting circle where the Gilli is placed, C) The scoring zone, D) The opponent's territory</t>
  </si>
  <si>
    <t>B) The starting circle where the Gilli is placed</t>
  </si>
  <si>
    <t>"Home" is the striking point, which a fielder might have to hit with the Gilli to get the striker out.</t>
  </si>
  <si>
    <t>What is the main objective for the fielding team?</t>
  </si>
  <si>
    <t>A) To score their own points, B) To prevent the striker from scoring high, C) To set traps for the Gilli, D) To get the striker out by catching the Gilli or hitting the Danda</t>
  </si>
  <si>
    <t>D) To get the striker out by catching the Gilli or hitting the Danda</t>
  </si>
  <si>
    <t>The fielding team's primary goal is to dismiss the striker in one of the prescribed ways.</t>
  </si>
  <si>
    <t>How is the ultimate winner of the game decided?</t>
  </si>
  <si>
    <t>A) By the single longest hit of the game, B) By the player or team with the highest cumulative score, C) By the player who is never out, D) By an audience vote</t>
  </si>
  <si>
    <t>B) By the player or team with the highest cumulative score</t>
  </si>
  <si>
    <t>The winner is the one who has accumulated the most points, measured in Danda-lengths, over the course of the game.</t>
  </si>
  <si>
    <t>What is the typical age group for Gilli Danda players?</t>
  </si>
  <si>
    <t>A) Children under 10 only, B) Adults over 30 only, C) It is played by all age groups, D) Teenagers only</t>
  </si>
  <si>
    <t>C) It is played by all age groups</t>
  </si>
  <si>
    <t>Gilli Danda is a versatile and traditional street game enjoyed by children and adults alike across South Asia.</t>
  </si>
  <si>
    <t>Which skill is LEAST essential for a Gilli Danda fielder?</t>
  </si>
  <si>
    <t>A) Agility, B) Throwing accuracy, C) Catching, D) Raw strength</t>
  </si>
  <si>
    <t>D) Raw strength</t>
  </si>
  <si>
    <t>While helpful, raw strength is less important for a fielder than agility, good hands for catching, and a strong, accurate arm.</t>
  </si>
  <si>
    <t>What is a 'double hit' in Gilli Danda?</t>
  </si>
  <si>
    <t>A) Striking the Gilli twice on the same turn, B) Scoring twice on one hit, C) An opponent making two catches, D) The Gilli bouncing twice before being hit</t>
  </si>
  <si>
    <t>A) Striking the Gilli twice on the same turn</t>
  </si>
  <si>
    <t>This refers to the standard method of play: the first hit flicks the Gilli into the air, and the second hit strikes it for distance.</t>
  </si>
  <si>
    <t>What should the striker do if the Gilli lands very close to an opponent?</t>
  </si>
  <si>
    <t>A) Concede the turn immediately, B) Run to the Gilli before the opponent can throw it, C) Wait for their next turn, D) Play defensively</t>
  </si>
  <si>
    <t>B) Run to the Gilli before the opponent can throw it</t>
  </si>
  <si>
    <t>In some versions, the striker can try to reach the Gilli's landing spot before the fielder to prevent them from getting an easy throw at the Danda.</t>
  </si>
  <si>
    <t>How is Gilli Danda typically played when in teams?</t>
  </si>
  <si>
    <t>A) With assigned roles like "hitter" and "catcher", B) Players from each team take turns striking in a set order, C) By dividing the number of strikes among team members, D) By alternating runs between players</t>
  </si>
  <si>
    <t>B) Players from each team take turns striking in a set order</t>
  </si>
  <si>
    <t>In team play, turns rotate through the members of the striking team until all are out, then the teams switch roles.</t>
  </si>
  <si>
    <t>What is the most common cause of dispute in a casual game of Gilli Danda?</t>
  </si>
  <si>
    <t>A) The equipment breaking, B) Disagreements over the distance measurement, C) Player injuries, D) The weather</t>
  </si>
  <si>
    <t>B) Disagreements over the distance measurement</t>
  </si>
  <si>
    <t>Because scoring is measured by using the Danda as a ruler, arguments over the exact count are extremely common.</t>
  </si>
  <si>
    <t>If the Gilli breaks into two pieces in mid-air, what is the usual ruling in an informal game?</t>
  </si>
  <si>
    <t>A) The striker scores maximum points, B) The turn is replayed with a new Gilli, C) The opponent automatically wins the turn, D) The larger piece is the one that is measured</t>
  </si>
  <si>
    <t>B) The turn is replayed with a new Gilli</t>
  </si>
  <si>
    <t>Since there are no official universal rules, the fairest and most common outcome is to nullify the strike and replay the turn.</t>
  </si>
  <si>
    <t>In some variations, what advantage does a striker gain by juggling the Gilli multiple times in the air?</t>
  </si>
  <si>
    <t>A) They get extra chances to strike for distance, B) They are awarded bonus points for the skill, C) The opponent loses their chance to catch, D) The turn is reset</t>
  </si>
  <si>
    <t>A) They get extra chances to strike for distance</t>
  </si>
  <si>
    <t>Skilled juggling allows the player to keep the Gilli in the air, giving them more opportunities to get the perfect shot.</t>
  </si>
  <si>
    <t>In urban games in Pakistan, what is the biggest risk of hitting the Gilli too high?</t>
  </si>
  <si>
    <t>A) It is an automatic out, B) Hitting overhead electricity wires or landing on a rooftop, C) The striker loses their turn, D) The strike must be replayed</t>
  </si>
  <si>
    <t>B) Hitting overhead electricity wires or landing on a rooftop</t>
  </si>
  <si>
    <t>In the crowded towns and cities of Pakistan, a high-flying Gilli is often lost on rooftops or tangled in overhead wires.</t>
  </si>
  <si>
    <t>What is the best strategy for the fielding team to maximize their chances of getting a striker out?</t>
  </si>
  <si>
    <t>A) All fielders stand very close to the striker, B) The fielders spread out across the field to cover more area, C) All fielders follow the striker as they run, D) All fielders guard the "home" base</t>
  </si>
  <si>
    <t>B) The fielders spread out across the field to cover more area</t>
  </si>
  <si>
    <t>A wide, spread-out field placement covers more ground and increases the likelihood that someone will be in a position to catch the Gilli.</t>
  </si>
  <si>
    <t>If a striker's foot crosses the strike line (guchchi) while hitting, how is it typically judged?</t>
  </si>
  <si>
    <t>A) The striker is immediately out, B) The turn is replayed, C) A warning is issued, D) The points for that strike are not counted</t>
  </si>
  <si>
    <t>D) The points for that strike are not counted</t>
  </si>
  <si>
    <t>Similar to a "no ball" in cricket, an illegal strike from overstepping the line usually results in the score being nullified.</t>
  </si>
  <si>
    <t>What is the primary cultural factor behind Gilli Danda's enduring popularity in Pakistan?</t>
  </si>
  <si>
    <t>A) It receives significant government promotion, B) Its low cost and ability to be played anywhere fosters community bonding, C) It is a major part of the school sports curriculum, D) It offers large cash prizes</t>
  </si>
  <si>
    <t>B) Its low cost and ability to be played anywhere fosters community bonding</t>
  </si>
  <si>
    <t>The game requires almost no special equipment or facilities, making it an accessible and social pastime for communities everywhere.</t>
  </si>
  <si>
    <t>What happens if the striker accidentally drops the Danda after hitting the Gilli?</t>
  </si>
  <si>
    <t>A) The striker is immediately out, B) The strike must be replayed, C) The turn continues as normal, D) The opponent gets an extra point</t>
  </si>
  <si>
    <t>C) The turn continues as normal</t>
  </si>
  <si>
    <t>Dropping the Danda is not a foul. The only penalty is that the striker may not have it in hand to defend the base if the fielder throws the Gilli back.</t>
  </si>
  <si>
    <t>Why is the Gilli often tapered at both ends?</t>
  </si>
  <si>
    <t>A) For decorative reasons, B) It makes it easier to flick into the air from the ground, C) It is harder for the fielder to catch, D) It is a traditional design with no practical purpose</t>
  </si>
  <si>
    <t>B) It makes it easier to flick into the air from the ground</t>
  </si>
  <si>
    <t>The tapered design allows the Danda to get underneath one end of the Gilli to easily and reliably pop it into the air for the main strike.</t>
  </si>
  <si>
    <t>Which household item is sometimes used as a substitute for a Danda in informal children's games?</t>
  </si>
  <si>
    <t>A) A broomstick handle, B) A large kitchen spoon, C) A plastic pipe, D) The leg of a chair</t>
  </si>
  <si>
    <t>A) A broomstick handle</t>
  </si>
  <si>
    <t>In casual games, children often repurpose a sturdy broom or mop handle as a Danda.</t>
  </si>
  <si>
    <t>In some regional variations, what does hitting the Gilli onto a rooftop signify?</t>
  </si>
  <si>
    <t>A) An automatic win for the striker, B) A chance to replay the turn, C) The end of the striker's turn due to a lost Gilli, D) Bonus points are awarded</t>
  </si>
  <si>
    <t>C) The end of the striker's turn due to a lost Gilli</t>
  </si>
  <si>
    <t>Since the Gilli is unplayable and likely lost, a common house rule is that a rooftop hit ends the striker's turn.</t>
  </si>
  <si>
    <t>Why do some players rub soil on their hands and the Danda before playing?</t>
  </si>
  <si>
    <t>A) For decoration, B) To improve their grip, C) To make the Danda heavier, D) To dry it faster after rain</t>
  </si>
  <si>
    <t>B) To improve their grip</t>
  </si>
  <si>
    <t>Soil or dust is a traditional way to absorb sweat and prevent the Danda from slipping in the hands during a powerful swing.</t>
  </si>
  <si>
    <t>What is the main reason Gilli Danda is considered a "precursor to cricket" in South Asia?</t>
  </si>
  <si>
    <t>A) Both games use wickets and bails, B) Both games measure distance for scoring, C) The core mechanics of striking an object and having a fielding team try to catch it are very similar, D) Both games involve running between bases</t>
  </si>
  <si>
    <t>C) The core mechanics of striking an object and having a fielding team try to catch it are very similar</t>
  </si>
  <si>
    <t>The fundamental bat-and-ball dynamic, with a striker and a fielding side, is seen by many sports historians as an early ancestor of cricket.</t>
  </si>
  <si>
    <t>In which situation is the striker's turn automatically disqualified?</t>
  </si>
  <si>
    <t>A) If the Gilli touches a referee or an animal, B) If the striker collides with a fielder, C) If the striker drops the Danda outside the play area, D) If the striker runs without hitting the Gilli</t>
  </si>
  <si>
    <t>D) If the striker runs without hitting the Gilli</t>
  </si>
  <si>
    <t>Running without striking is against the basic rules of the game and results in a loss of turn.</t>
  </si>
  <si>
    <t>Which natural condition provides the biggest advantage to the striker?</t>
  </si>
  <si>
    <t>A) A strong tailwind, B) High humidity, C) Hot temperatures, D) Dense fog</t>
  </si>
  <si>
    <t>A) A strong tailwind</t>
  </si>
  <si>
    <t>A wind blowing in the same direction as the hit will carry the Gilli significantly farther, resulting in a higher score.</t>
  </si>
  <si>
    <t>Which natural condition provides the biggest advantage to the fielders?</t>
  </si>
  <si>
    <t>A) Heavy rain, B) Dense fog or failing light, C) A strong crosswind, D) Very dry air</t>
  </si>
  <si>
    <t>B) Dense fog or failing light</t>
  </si>
  <si>
    <t>Reduced visibility makes it much harder for fielders to track and catch the small, fast-moving Gilli.</t>
  </si>
  <si>
    <t>If a Gilli lands in a nearby body of water (like a puddle or stream), what is the typical outcome in a casual game?</t>
  </si>
  <si>
    <t>A) The striker is out, B) The turn is replayed, C) The striker gets a bonus run, D) The opponent chooses the outcome</t>
  </si>
  <si>
    <t>B) The turn is replayed</t>
  </si>
  <si>
    <t>Water landings are usually treated as external interference beyond the normal scope of play, warranting a replay.</t>
  </si>
  <si>
    <t>What is the main disadvantage of using a very long Danda?</t>
  </si>
  <si>
    <t>A) It is harder to carry around, B) It is heavier and harder to swing with accuracy and speed, C) It does not look traditional, D) The opposing team will protest</t>
  </si>
  <si>
    <t>B) It is heavier and harder to swing with accuracy and speed</t>
  </si>
  <si>
    <t>An overly long Danda is cumbersome and reduces the precision and timing required for a good strike.</t>
  </si>
  <si>
    <t>What happens if two fielders catch the Gilli at the exact same time?</t>
  </si>
  <si>
    <t>A) Both fielders get a point, B) The turn is replayed, C) The catch is void, D) The striker is out</t>
  </si>
  <si>
    <t>D) The striker is out</t>
  </si>
  <si>
    <t>As long as a valid catch is made before the Gilli hits the ground, the striker is dismissed, regardless of who or how many people caught it.</t>
  </si>
  <si>
    <t>Why do players often avoid fields with tall grass?</t>
  </si>
  <si>
    <t>A) It is harder to find the Gilli after it lands, B) There is a higher risk of snakes or insects, C) The footing can be uneven and dangerous, D) All of the above</t>
  </si>
  <si>
    <t>Tall grass presents multiple problems, including losing the Gilli, safety hazards, and an unstable surface for running and fielding.</t>
  </si>
  <si>
    <t>What is the typical weight range of a standard wooden Gilli?</t>
  </si>
  <si>
    <t>A) 10–20 grams, B) 30–50 grams, C) 60–100 grams, D) There is no fixed weight</t>
  </si>
  <si>
    <t>B) 30–50 grams</t>
  </si>
  <si>
    <t>The Gilli must be light enough to fly far but heavy enough to be stable in the air, with this range being typical for play.</t>
  </si>
  <si>
    <t>A player is called out for 'hit wicket'. What is the most likely scenario?</t>
  </si>
  <si>
    <t>A) The Gilli hit the Danda at the base, B) The Gilli broke in two, C) The striker's Danda accidentally hit the home marker, D) The fielder hit the Danda with the Gilli</t>
  </si>
  <si>
    <t>C) The striker's Danda accidentally hit the home marker</t>
  </si>
  <si>
    <t>In variations where the Danda is placed over the starting hole, knocking it down results in an out, similar to cricket's 'hit wicket'.</t>
  </si>
  <si>
    <t>What is a 'guchchi'?</t>
  </si>
  <si>
    <t>A) The Gilli, B) The Danda, C) The small hole in the ground used for the initial strike, D) A type of score</t>
  </si>
  <si>
    <t>C) The small hole in the ground used for the initial strike</t>
  </si>
  <si>
    <t>The 'guchchi' is the small pit over which the Gilli is placed, allowing it to be flicked into the air.</t>
  </si>
  <si>
    <t>How is the Gilli typically made?</t>
  </si>
  <si>
    <t>A) By a machine, B) By hand-carving a piece of wood, C) By molding plastic, D) By tying sticks together</t>
  </si>
  <si>
    <t>B) By hand-carving a piece of wood</t>
  </si>
  <si>
    <t>The Gilli is traditionally a handcrafted item, carved from a suitable branch or piece of hardwood.</t>
  </si>
  <si>
    <t>What does the term 'danda' mean in Hindi/Urdu?</t>
  </si>
  <si>
    <t>A) Small, B) To fly, C) Stick or staff, D) Game</t>
  </si>
  <si>
    <t>C) Stick or staff</t>
  </si>
  <si>
    <t>The name of the game is very literal, with 'danda' meaning the large stick and 'gilli' being the small one.</t>
  </si>
  <si>
    <t>In a variation called 'Aankh Micholi', what is the fielder's objective after retrieving the Gilli?</t>
  </si>
  <si>
    <t>A) To hit the Danda, B) To run back to base before the striker, C) To throw it as far as possible, D) To hide the Gilli</t>
  </si>
  <si>
    <t>B) To run back to base before the striker</t>
  </si>
  <si>
    <t>This version is a race between the striker returning to base and the fielder retrieving the Gilli and returning.</t>
  </si>
  <si>
    <t>Why is teamwork important for the fielding side?</t>
  </si>
  <si>
    <t>A) To decide the rules, B) To relay the Gilli from a long distance to get the striker out, C) To build team spirit, D) It is not important</t>
  </si>
  <si>
    <t>B) To relay the Gilli from a long distance to get the striker out</t>
  </si>
  <si>
    <t>On a long hit, fielders must work together like in baseball or cricket, throwing the Gilli to teammates closer to the base to get an out.</t>
  </si>
  <si>
    <t>What is a 'pittù'?</t>
  </si>
  <si>
    <t>A) The striker, B) The fielder, C) The home base or starting circle, D) A bonus point</t>
  </si>
  <si>
    <t>C) The home base or starting circle</t>
  </si>
  <si>
    <t>Pittù' is another regional name for the 'guchchi' or the home base that the fielder must hit.</t>
  </si>
  <si>
    <t>What is the main reason for the decline of Gilli Danda in major urban centers?</t>
  </si>
  <si>
    <t>A) The game is now illegal, B) Lack of open spaces and the rise of other sports like cricket, C) The equipment is too expensive, D) It is considered an old-fashioned game</t>
  </si>
  <si>
    <t>B) Lack of open spaces and the rise of other sports like cricket</t>
  </si>
  <si>
    <t>Urbanization has led to the loss of open fields, and modern sports have become more popular among city youth.</t>
  </si>
  <si>
    <t>A striker hits the Gilli, and a fielder tries to catch it but drops it. What is the status of the striker?</t>
  </si>
  <si>
    <t>A) Out, B) Not out, C) They get a warning, D) The turn is replayed</t>
  </si>
  <si>
    <t>B) Not out</t>
  </si>
  <si>
    <t>A dropped catch is not an out. The fielder must now try to get the striker out by hitting the Danda at home.</t>
  </si>
  <si>
    <t>What is the most common wood used for making a high-quality Gilli and Danda in Pakistan?</t>
  </si>
  <si>
    <t>A) Pine, B) Oak, C) Sheesham (Indian Rosewood), D) Maple</t>
  </si>
  <si>
    <t>C) Sheesham (Indian Rosewood)</t>
  </si>
  <si>
    <t>Sheesham is a dense, durable hardwood that is commonly used for making traditional furniture and sporting goods in the region.</t>
  </si>
  <si>
    <t>In the 'run-out' variation, what must the striker do after hitting the Gilli?</t>
  </si>
  <si>
    <t>A) Measure the distance, B) Run to a pre-determined point and back, C) Hit the Gilli again, D) Wait for the fielder</t>
  </si>
  <si>
    <t>B) Run to a pre-determined point and back</t>
  </si>
  <si>
    <t>In this version, the striker scores by completing a run before the fielder can retrieve the Gilli and hit the home base.</t>
  </si>
  <si>
    <t>A 'sawa' is a term used in some variations. What does it signify?</t>
  </si>
  <si>
    <t>A) A perfect hit, B) An extra point or bonus, C) A foul, D) The end of the game</t>
  </si>
  <si>
    <t>B) An extra point or bonus</t>
  </si>
  <si>
    <t>Sawa' can refer to a bonus multiplier, where a very long hit scores extra points.</t>
  </si>
  <si>
    <t>Why is a side-on stance recommended for striking the Gilli?</t>
  </si>
  <si>
    <t>A) It is more traditional, B) It allows for greater body rotation and power, C) It provides a better view of the field, D) It makes it easier to run</t>
  </si>
  <si>
    <t>B) It allows for greater body rotation and power</t>
  </si>
  <si>
    <t>Similar to batting in cricket or baseball, a side-on stance enables the player to use their entire body to generate power in the swing.</t>
  </si>
  <si>
    <t>A fielder stops the Gilli with their foot. Is this allowed?</t>
  </si>
  <si>
    <t>A) No, only hands can be used, B) Yes, a fielder can stop the Gilli with any part of their body, C) Only if the Gilli was on the ground, D) It results in a penalty</t>
  </si>
  <si>
    <t>B) Yes, a fielder can stop the Gilli with any part of their body</t>
  </si>
  <si>
    <t>A fielder can use their hands, feet, or body to stop the Gilli before retrieving it to throw.</t>
  </si>
  <si>
    <t>What does the term 'lambi paari' signify?</t>
  </si>
  <si>
    <t>A) A short turn, B) A long innings or a high-scoring turn, C) The final player, D) A tied game</t>
  </si>
  <si>
    <t>B) A long innings or a high-scoring turn</t>
  </si>
  <si>
    <t>This term is used to describe a striker who is having a very successful turn, hitting the Gilli far and accumulating a high score.</t>
  </si>
  <si>
    <t>A fielder is standing very close to the striker. Is this allowed?</t>
  </si>
  <si>
    <t>A) No, there is a minimum distance rule, B) Yes, but it is dangerous and risky, C) Only if they are wearing a helmet, D) Only the team captain can stand close</t>
  </si>
  <si>
    <t>B) Yes, but it is dangerous and risky</t>
  </si>
  <si>
    <t>There are usually no formal rules on fielder placement, but standing too close (like a "silly point" in cricket) is a high-risk position for catching short hits.</t>
  </si>
  <si>
    <t>The striker hits the Gilli, which rolls and touches a fielder's shoe. The fielder then picks it up. What is the outcome?</t>
  </si>
  <si>
    <t>A) The striker is out, B) The striker is not out, C) The turn is replayed, D) The fielder is penalized</t>
  </si>
  <si>
    <t>B) The striker is not out</t>
  </si>
  <si>
    <t>The Gilli must be caught in the air. Once it has touched the ground or a grounded player, it is no longer a catch.</t>
  </si>
  <si>
    <t>What is a 'Tip-cat'?</t>
  </si>
  <si>
    <t>A) A variation of the game, B) The English name for Gilli Danda, C) The name for the fielding team, D) The name of the winning trophy</t>
  </si>
  <si>
    <t>B) The English name for Gilli Danda</t>
  </si>
  <si>
    <t>Gilli Danda is known by many names globally, and 'Tip-cat' is its common name in England.</t>
  </si>
  <si>
    <t>What is the main purpose of the initial, smaller hit that flips the Gilli into the air?</t>
  </si>
  <si>
    <t>A) To score one point, B) To set up the main, powerful strike for distance, C) To confuse the fielders, D) To test the wind direction</t>
  </si>
  <si>
    <t>B) To set up the main, powerful strike for distance</t>
  </si>
  <si>
    <t>The first hit is a setup, designed to get the Gilli airborne so it can be struck with full force on the second hit.</t>
  </si>
  <si>
    <t>A fielder throws the Gilli back towards the 'guchchi' (hole) and hits the Danda, which the striker had placed over it. What is the result?</t>
  </si>
  <si>
    <t>A) The striker is not out, B) The striker is out, C) The fielder gets a point, D) The turn is replayed</t>
  </si>
  <si>
    <t>This is the second primary way to get a striker out. If the Gilli is not caught, the fielder can "run out" the striker by hitting the Danda at home.</t>
  </si>
  <si>
    <t>Why is Gilli Danda considered a game of 'jugaar' (ingenuity) in Pakistan?</t>
  </si>
  <si>
    <t>A) The rules are very strict, B) Players often have to improvise equipment and playing fields, C) It requires a lot of money, D) It is an individual sport</t>
  </si>
  <si>
    <t>B) Players often have to improvise equipment and playing fields</t>
  </si>
  <si>
    <t>The spirit of 'jugaar' is about making do with what you have. Gilli Danda, with its simple, often self-made equipment, perfectly embodies this.</t>
  </si>
  <si>
    <t>A striker hits the Gilli straight up, and it comes down and hits the Danda they are holding. Is the striker out?</t>
  </si>
  <si>
    <t>A) Yes, this is a form of 'hit wicket', B) No, it is a foul and the turn is replayed, C) No, it is simply a missed hit, D) The striker gets a bonus point for skill</t>
  </si>
  <si>
    <t>C) No, it is simply a missed hit</t>
  </si>
  <si>
    <t>This would be considered a failed attempt, and the striker would typically lose one of their chances for the turn.</t>
  </si>
  <si>
    <t>What does the term 'nar gilli' refer to?</t>
  </si>
  <si>
    <t>A) A very long hit, B) A miss, C) A version where you must call out a number before hitting, D) A game played with a larger gilli</t>
  </si>
  <si>
    <t>C) A version where you must call out a number before hitting</t>
  </si>
  <si>
    <t>In this variation, the striker shouts a number (the predicted score) and must achieve it to continue their turn.</t>
  </si>
  <si>
    <t>A fielder is wearing gloves. Is this allowed in a traditional game?</t>
  </si>
  <si>
    <t>A) Yes, for safety, B) No, the game is played bare-handed, C) Only the captain can wear gloves, D) Only if the Gilli is made of metal</t>
  </si>
  <si>
    <t>B) No, the game is played bare-handed</t>
  </si>
  <si>
    <t>Traditionally, Gilli Danda is played without any protective gear, and catches must be made with bare hands.</t>
  </si>
  <si>
    <t>What is the main social aspect of Gilli Danda?</t>
  </si>
  <si>
    <t>A) It is a highly competitive, professional sport, B) It is a game that brings together community members of all ages and backgrounds, C) It is a solitary game, D) It is only for children</t>
  </si>
  <si>
    <t>B) It is a game that brings together community members of all ages and backgrounds</t>
  </si>
  <si>
    <t>Gilli Danda is a social activity that fosters friendship, rivalry, and community bonding.</t>
  </si>
  <si>
    <t>If the Gilli is lost during play (e.g., hit into a dense bush), what usually happens?</t>
  </si>
  <si>
    <t>A) The striker is declared the winner, B) The striker is out, C) The game is paused until it is found, D) The game ends in a draw</t>
  </si>
  <si>
    <t>A common informal rule is that if the striker loses the Gilli, their turn is over.</t>
  </si>
  <si>
    <t>What is a 'danda' in the context of scoring?</t>
  </si>
  <si>
    <t>A) The score itself, B) One unit of measurement, equal to the length of the larger stick, C) The player who measures the score, D) A foul</t>
  </si>
  <si>
    <t>B) One unit of measurement, equal to the length of the larger stick</t>
  </si>
  <si>
    <t>The score is counted in 'dandas', for example, "He scored 20 dandas."</t>
  </si>
  <si>
    <t>Why is it important for the Gilli to be made of a relatively light wood?</t>
  </si>
  <si>
    <t>A) To make it fly farther and be less dangerous if it hits someone, B) It is cheaper, C) It is easier to carve, D) It makes a louder sound</t>
  </si>
  <si>
    <t>A) To make it fly farther and be less dangerous if it hits someone</t>
  </si>
  <si>
    <t>A lighter Gilli poses less of a safety risk to fielders and bystanders and has better aerodynamic properties for long flights.</t>
  </si>
  <si>
    <t>A fielder is very far from the base after stopping a long hit. What is their best strategy to get the striker out?</t>
  </si>
  <si>
    <t>A) To run with the Gilli all the way back, B) To throw the Gilli as hard as possible towards the base, C) To throw the Gilli to a teammate who is closer to the base (a relay), D) To give up on getting the out</t>
  </si>
  <si>
    <t>C) To throw the Gilli to a teammate who is closer to the base (a relay)</t>
  </si>
  <si>
    <t>Just like in baseball, a relay throw is the most effective way to get the Gilli back to the home base quickly from the outfield.</t>
  </si>
  <si>
    <t>What is a 'gilli-palti'?</t>
  </si>
  <si>
    <t>A) When the Gilli flips over perfectly, B) A term for a tie-breaker, C) A variation where the teams are much larger, D) A penalty</t>
  </si>
  <si>
    <t>A) When the Gilli flips over perfectly</t>
  </si>
  <si>
    <t>This term describes the perfect initial strike, where the Gilli flips high and clean, making it easy for the main strike.</t>
  </si>
  <si>
    <t>What is the most common reason for an argument between players?</t>
  </si>
  <si>
    <t>A) The quality of the equipment, B) Whether a fielder's catch was clean or trapped, C) The weather conditions, D) The time of day</t>
  </si>
  <si>
    <t>B) Whether a fielder's catch was clean or trapped</t>
  </si>
  <si>
    <t>Disputes often arise over whether a fielder caught the Gilli directly or if it touched the ground first.</t>
  </si>
  <si>
    <t>Why is it strategically risky for all fielders to stand very far back?</t>
  </si>
  <si>
    <t>A) It is not risky, it is the best strategy, B) It makes it easier for the striker to score on short, clever hits, C) It is against the rules, D) It tires the fielders out</t>
  </si>
  <si>
    <t>B) It makes it easier for the striker to score on short, clever hits</t>
  </si>
  <si>
    <t>A smart striker can exploit a deep field by simply dropping the Gilli a short distance away, making it impossible to be caught.</t>
  </si>
  <si>
    <t>A striker hits the Gilli, and it lands on the roof of a car. What is the likely ruling?</t>
  </si>
  <si>
    <t>A) The striker is out, B) The turn is replayed due to external interference, C) The striker must pay for any damage, D) The striker scores maximum points</t>
  </si>
  <si>
    <t>B) The turn is replayed due to external interference</t>
  </si>
  <si>
    <t>Hitting an object like a car is an unintended interference with play, and the turn is usually replayed.</t>
  </si>
  <si>
    <t>What does the term 'juggled catch' mean?</t>
  </si>
  <si>
    <t>A) The fielder juggles the Gilli before securing it, B) The striker juggles the Gilli, C) The fielder catches the Gilli with one hand, D) The fielder catches the Gilli while jumping</t>
  </si>
  <si>
    <t>A) The fielder juggles the Gilli before securing it</t>
  </si>
  <si>
    <t>As long as the Gilli does not touch the ground, a fielder can bobble or juggle it multiple times before gaining full control for a valid catch.</t>
  </si>
  <si>
    <t>What is the main appeal of Gilli Danda compared to more formal sports like cricket?</t>
  </si>
  <si>
    <t>A) It has more complex rules, B) It requires no expensive equipment or special pitch, making it accessible to everyone, C) It is an Olympic sport, D) It is safer than cricket</t>
  </si>
  <si>
    <t>B) It requires no expensive equipment or special pitch, making it accessible to everyone</t>
  </si>
  <si>
    <t>Its simplicity and accessibility are the primary reasons for its enduring popularity as a street and village game.</t>
  </si>
  <si>
    <t>A player is known as a 'champion juggler'. What skill does this refer to?</t>
  </si>
  <si>
    <t>A) Their ability to juggle multiple Gillis at once, B) Their skill in hitting the Gilli repeatedly in the air before the main strike, C) Their ability to make the fielders juggle the catch, D) Their ability to tell jokes</t>
  </si>
  <si>
    <t>B) Their skill in hitting the Gilli repeatedly in the air before the main strike</t>
  </si>
  <si>
    <t>This refers to the advanced technique of keeping the Gilli airborne with multiple taps to achieve a perfect position for the final hit.</t>
  </si>
  <si>
    <t>What is the main disadvantage of a very short Danda?</t>
  </si>
  <si>
    <t>A) It is harder to grip, B) It provides less reach and leverage, resulting in shorter hits, C) It is more likely to break, D) It is against the rules</t>
  </si>
  <si>
    <t>B) It provides less reach and leverage, resulting in shorter hits</t>
  </si>
  <si>
    <t>A longer Danda allows for a wider swing arc and more power, so a short one is a significant disadvantage.</t>
  </si>
  <si>
    <t>Why do some players prefer a Gilli with a polished, smooth surface?</t>
  </si>
  <si>
    <t>A) It looks better, B) It reduces air friction, allowing it to travel farther, C) It is harder for the fielder to grip, D) It is less likely to break</t>
  </si>
  <si>
    <t>B) It reduces air friction, allowing it to travel farther</t>
  </si>
  <si>
    <t>A smooth surface can improve the aerodynamics of the Gilli, potentially leading to longer hits.</t>
  </si>
  <si>
    <t>What is the biggest risk of playing Gilli Danda on a wet, muddy field?</t>
  </si>
  <si>
    <t>A) The Gilli will not flip up properly when struck, B) The Danda will get dirty, C) The fielders will slip and be unable to catch, D) All of the above</t>
  </si>
  <si>
    <t>Wet conditions negatively affect every aspect of the game, from the initial strike to fielding and running.</t>
  </si>
  <si>
    <t>Two players on the fielding team collide while trying to catch the Gilli, and one of them drops it. Is the striker out?</t>
  </si>
  <si>
    <t>A) Yes, because a catch was attempted, B) No, because the catch was not completed, C) The turn is replayed due to the collision, D) The player who dropped it is penalized</t>
  </si>
  <si>
    <t>B) No, because the catch was not completed</t>
  </si>
  <si>
    <t>A catch is only valid if the fielder has full control of the Gilli. A dropped catch, even after a collision, is not an out.</t>
  </si>
  <si>
    <t>A striker is known for their 'deceptive flick'. What does this mean?</t>
  </si>
  <si>
    <t>A) They flick the Gilli in one direction but hit it in another, B) They use an illegal flick, C) They flick the Gilli very high, D) They flick the Gilli very low</t>
  </si>
  <si>
    <t>A) They flick the Gilli in one direction but hit it in another</t>
  </si>
  <si>
    <t>This is a skillful move where the initial flick is used to misdirect the fielders before the main strike.</t>
  </si>
  <si>
    <t>What is a key difference between Gilli Danda and baseball?</t>
  </si>
  <si>
    <t>A) Gilli Danda uses a stick instead of a bat, B) There is no pitcher in Gilli Danda; the batter launches the object themselves, C) Gilli Danda is a team sport, D) There is no fielding in Gilli Danda</t>
  </si>
  <si>
    <t>B) There is no pitcher in Gilli Danda; the batter launches the object themselves</t>
  </si>
  <si>
    <t>This is a fundamental difference; the striker in Gilli Danda is responsible for both launching and striking the object.</t>
  </si>
  <si>
    <t>A fielder stops the Gilli but is 100 Danda-lengths away. What is an 'unwritten rule' they might follow?</t>
  </si>
  <si>
    <t>A) Concede the score without throwing, B) Throw the Gilli as hard as possible, C) Ask a spectator to throw it back, D) Throw it to a closer teammate</t>
  </si>
  <si>
    <t>A) Concede the score without throwing</t>
  </si>
  <si>
    <t>From a very long distance, the chance of hitting the Danda at home is almost zero, so fielders will often just concede the measurement to save time.</t>
  </si>
  <si>
    <t>Which region of Pakistan is particularly known for its passion for Gilli Danda, where it is a common sight in villages?</t>
  </si>
  <si>
    <t>A) Karachi, B) Punjab, C) Gilgit-Baltistan, D) Quetta</t>
  </si>
  <si>
    <t>B) Punjab</t>
  </si>
  <si>
    <t>While played everywhere, the rural plains of Punjab are a heartland for the sport.</t>
  </si>
  <si>
    <t>Why do players often avoid using a Gilli with paint on it?</t>
  </si>
  <si>
    <t>A) It is considered ugly, B) The paint makes the surface slippery and hard to strike cleanly, C) The smell is distracting, D) It is against tradition</t>
  </si>
  <si>
    <t>B) The paint makes the surface slippery and hard to strike cleanly</t>
  </si>
  <si>
    <t>The raw wood provides a better surface for the Danda to grip and flick the Gilli properly.</t>
  </si>
  <si>
    <t>In some house rules, what is a "double out"?</t>
  </si>
  <si>
    <t>A) Missing the Gilli twice, B) Being caught out by two fielders at once, C) Committing two fouls in one strike, like overstepping and missing, D) Striking the Gilli twice without it becoming airborne</t>
  </si>
  <si>
    <t>C) Committing two fouls in one strike, like overstepping and missing</t>
  </si>
  <si>
    <t>Some informal games have a rule where two infractions on the same play result in an automatic out.</t>
  </si>
  <si>
    <t>Why is a circular field often preferred over a square one?</t>
  </si>
  <si>
    <t>A) It is easier to mark, B) It gives all fielders an equal chance, as there are no corners to hide in, C) It is more aesthetically pleasing, D) It makes it harder for the striker</t>
  </si>
  <si>
    <t>B) It gives all fielders an equal chance, as there are no corners to hide in</t>
  </si>
  <si>
    <t>A circular play area provides a fair, 360-degree field of play.</t>
  </si>
  <si>
    <t>What is the most common hand position for holding the Danda for a powerful strike?</t>
  </si>
  <si>
    <t>A) Holding it like a pencil, B) Both hands together at the bottom, like a baseball bat grip, C) One hand in the middle, D) Holding it at the top</t>
  </si>
  <si>
    <t>B) Both hands together at the bottom, like a baseball bat grip</t>
  </si>
  <si>
    <t>This grip provides the maximum leverage and power for the main strike.</t>
  </si>
  <si>
    <t>Which type of wood is traditionally avoided for making a Danda?</t>
  </si>
  <si>
    <t>A) Hardwood like Sheesham, B) Softwood like Pine, because it breaks easily, C) Bamboo, D) Neem</t>
  </si>
  <si>
    <t>B) Softwood like Pine, because it breaks easily</t>
  </si>
  <si>
    <t>A Danda needs to be durable to withstand thousands of impacts, so a dense hardwood is preferred over a soft, brittle wood.</t>
  </si>
  <si>
    <t>If a Gilli lands in a farmer's field next to the play area, what is the common courtesy?</t>
  </si>
  <si>
    <t>A) The game stops permanently, B) The striker must go and ask for permission to retrieve it, C) The fielder can retrieve it without asking, D) The Gilli is considered lost</t>
  </si>
  <si>
    <t>B) The striker must go and ask for permission to retrieve it</t>
  </si>
  <si>
    <t>Respect for property is a key part of village life, and players are expected to be courteous.</t>
  </si>
  <si>
    <t>What is a "Gilli pit"?</t>
  </si>
  <si>
    <t>A) A place where Gillis are stored, B) The small hole or circle from which the game is played, C) A penalty area, D) A type of Gilli</t>
  </si>
  <si>
    <t>B) The small hole or circle from which the game is played</t>
  </si>
  <si>
    <t>This is another term for the guchchi, the starting point of the game.</t>
  </si>
  <si>
    <t>In a version of the game where the fielder tries to hit the Danda, what must the striker do?</t>
  </si>
  <si>
    <t>A) They can move the Danda, B) They must leave the Danda over the hole and get back to the base, C) They can block the throw with their body, D) They can try to catch the Gilli thrown by the fielder</t>
  </si>
  <si>
    <t>B) They must leave the Danda over the hole and get back to the base</t>
  </si>
  <si>
    <t>The Danda becomes the "wicket" or target that the fielder aims for to get the striker "run out."</t>
  </si>
  <si>
    <t>What is the main risk of using a Gilli that is too small?</t>
  </si>
  <si>
    <t>A) It will not travel far, B) It is very difficult for the fielders to see and catch, C) It will not flip into the air easily, D) It breaks too quickly</t>
  </si>
  <si>
    <t>B) It is very difficult for the fielders to see and catch</t>
  </si>
  <si>
    <t>A very small Gilli can make the fielding aspect of the game almost impossible, leading to disputes.</t>
  </si>
  <si>
    <t>What is the main reason for disputes in a game of Gilli Danda?</t>
  </si>
  <si>
    <t>A) The lack of a formal, written set of universal rules, B) The players are too competitive, C) The equipment is not standardized, D) The weather</t>
  </si>
  <si>
    <t>A) The lack of a formal, written set of universal rules</t>
  </si>
  <si>
    <t>Because the game is passed down through oral tradition, every village and group has its own "house rules," which often leads to arguments.</t>
  </si>
  <si>
    <t>Which action is considered a rare but highly skillful move?</t>
  </si>
  <si>
    <t>A) Hitting the Gilli with one hand, B) Hitting the Gilli backward over one's head, C) Catching the Gilli with one hand, D) Measuring the distance accurately</t>
  </si>
  <si>
    <t>B) Hitting the Gilli backward over one's head</t>
  </si>
  <si>
    <t>This "no-look" trick shot is a sign of an exceptionally skilled player.</t>
  </si>
  <si>
    <t>What is the main disadvantage of using a Gilli made from a very heavy wood?</t>
  </si>
  <si>
    <t>A) It will not flip into the air easily, B) It is more dangerous if it hits someone, C) It will not travel as far, D) All of the above</t>
  </si>
  <si>
    <t>A heavy Gilli is difficult to launch, is less aerodynamic, and poses a greater safety risk.</t>
  </si>
  <si>
    <t>Why do some teams rotate their fielding positions frequently?</t>
  </si>
  <si>
    <t>A) To confuse the striker, B) To give players a rest from the high-action positions, C) To follow a traditional pattern, D) To avoid disputes with the other team</t>
  </si>
  <si>
    <t>B) To give players a rest from the high-action positions</t>
  </si>
  <si>
    <t>Fielding requires constant alertness and running, so rotating players keeps the team fresh.</t>
  </si>
  <si>
    <t>A striker misses the Gilli, and their swinging Danda accidentally hits a fielder. What is the informal ruling?</t>
  </si>
  <si>
    <t>A) The striker is out, B) The game is paused, apologies are made, and the turn is replayed, C) The fielder is out, D) The game continues as normal</t>
  </si>
  <si>
    <t>B) The game is paused, apologies are made, and the turn is replayed</t>
  </si>
  <si>
    <t>In the spirit of sportsmanship, an accidental injury usually results in a stoppage and a fair replay.</t>
  </si>
  <si>
    <t>What happens if the Gilli touches a tree branch during its flight but is still caught by a fielder?</t>
  </si>
  <si>
    <t>A) The striker is out, B) The striker is not out because of the interference, C) The turn is replayed, D) The fielder gets a bonus point</t>
  </si>
  <si>
    <t>B) The striker is not out because of the interference</t>
  </si>
  <si>
    <t>If the Gilli's path is altered by an external object like a tree, a catch is usually considered void.</t>
  </si>
  <si>
    <t>Why are flat, open grounds considered ideal for a fair game?</t>
  </si>
  <si>
    <t>A) They offer better visibility for spectators, B) They ensure the Gilli has a true bounce and gives all fielders an equal chance, C) They look more professional, D) They are easier to run on</t>
  </si>
  <si>
    <t>B) They ensure the Gilli has a true bounce and gives all fielders an equal chance</t>
  </si>
  <si>
    <t>An even surface prevents unpredictable bounces for the striker and ensures fielders have stable footing.</t>
  </si>
  <si>
    <t>Why do some players carve grooves into their Danda?</t>
  </si>
  <si>
    <t>A) For decoration, B) To improve their grip on the handle, C) To reduce the weight of the Danda, D) It is a traditional requirement</t>
  </si>
  <si>
    <t>B) To improve their grip on the handle</t>
  </si>
  <si>
    <t>Grooves or notches can prevent the Danda from slipping, especially during a powerful, sweaty swing.</t>
  </si>
  <si>
    <t>A striker hits the Gilli, and it lands exactly on the boundary line (e.g., a stone). What is the common ruling?</t>
  </si>
  <si>
    <t>A) The striker is out, B) It counts as a maximum score, C) The turn is replayed, D) The ruling is decided by mutual agreement</t>
  </si>
  <si>
    <t>D) The ruling is decided by mutual agreement</t>
  </si>
  <si>
    <t>With no formal umpires, close calls on the boundary line are a common point of argument and negotiation between the teams.</t>
  </si>
  <si>
    <t>Why is a very heavy Danda a disadvantage for a striker?</t>
  </si>
  <si>
    <t>A) It is tiring to swing and reduces reaction speed and accuracy, B) It can break the Gilli too easily, C) It is harder to grip, D) It is against the rules</t>
  </si>
  <si>
    <t>A) It is tiring to swing and reduces reaction speed and accuracy</t>
  </si>
  <si>
    <t>An overweight Danda compromises the fine motor skills and timing needed for a good hit.</t>
  </si>
  <si>
    <t>Why do some players use chalk on the tapered ends of the Gilli?</t>
  </si>
  <si>
    <t>A) To make it look nice, B) It is a tradition, C) It helps the Danda grip the Gilli for a better flick, D) To make it more visible in fading light</t>
  </si>
  <si>
    <t>D) To make it more visible in fading light</t>
  </si>
  <si>
    <t>As many games are played at dusk, a white chalk mark on the ends of the Gilli can make it easier for the striker and fielders to see.</t>
  </si>
  <si>
    <t>Which type of hit is generally the most difficult for a fielder to catch?</t>
  </si>
  <si>
    <t>A) A very high, straight shot, B) A low, fast shot, C) A shot that spins unpredictably, D) A shot that is hit very softly</t>
  </si>
  <si>
    <t>C) A shot that spins unpredictably</t>
  </si>
  <si>
    <t>An off-center hit can cause the Gilli to spin or wobble erratically, making its flight path very difficult to judge.</t>
  </si>
  <si>
    <t>Which fielder position is considered the most prestigious or "glamorous"?</t>
  </si>
  <si>
    <t>A) The fielder standing closest to the striker, B) The fielder on the far boundary, C) The fielder in the center of the field, D) There are no prestigious positions</t>
  </si>
  <si>
    <t>B) The fielder on the far boundary</t>
  </si>
  <si>
    <t>The "outfielder" who takes a spectacular, running catch on a very long hit is often the hero of the fielding side.</t>
  </si>
  <si>
    <t>What is the main reason for warming up before a competitive game of Gilli Danda?</t>
  </si>
  <si>
    <t>A) To intimidate the opponents, B) To prevent muscle strains from the explosive striking and running movements, C) To decide on the team strategy, D) It is a traditional ritual</t>
  </si>
  <si>
    <t>B) To prevent muscle strains from the explosive striking and running movements</t>
  </si>
  <si>
    <t>The dynamic actions of the game require proper stretching and warm-ups to ensure players are ready and to avoid injuries.</t>
  </si>
  <si>
    <t>In a team game, one player is a much better striker than the others. What is a common strategy?</t>
  </si>
  <si>
    <t>A) To let that player take all the turns, B) To try and keep that player "in" for as long as possible to maximize the team's score, C) To make that player a fielder instead, D) To change the rules</t>
  </si>
  <si>
    <t>B) To try and keep that player "in" for as long as possible to maximize the team's score</t>
  </si>
  <si>
    <t>Teams will try to protect their best striker, allowing them to build a large score before their turn ends.</t>
  </si>
  <si>
    <t>What is the main reason for the informal rule that the "loser" or first person out has to retrieve a lost Gilli?</t>
  </si>
  <si>
    <t>A) It is a form of light-hearted punishment, B) They are the freshest player, C) It is a safety rule, D) They know where it landed</t>
  </si>
  <si>
    <t>A) It is a form of light-hearted punishment</t>
  </si>
  <si>
    <t>This is a common social rule in many informal games, adding a fun consequence for being dismissed early.</t>
  </si>
  <si>
    <t>A fielder is distracted by a teammate and misses a simple catch. Whose fault is it?</t>
  </si>
  <si>
    <t>A) The striker's, B) The fielder who was distracted, C) The teammate who caused the distraction, D) It is a no-fault incident</t>
  </si>
  <si>
    <t>B) The fielder who was distracted</t>
  </si>
  <si>
    <t>In fielding, each player is responsible for maintaining their own focus. The striker is not out.</t>
  </si>
  <si>
    <t>What is a 'pittù out'?</t>
  </si>
  <si>
    <t>A) When the Gilli is caught, B) When the striker misses three times, C) When a fielder throws the Gilli back and hits the Danda placed over the starting hole, D) When the striker steps out of bounds</t>
  </si>
  <si>
    <t>C) When a fielder throws the Gilli back and hits the Danda placed over the starting hole</t>
  </si>
  <si>
    <t>This is the name for the "run out" dismissal, where the fielder successfully hits the "wicket" (the Danda) with the "ball" (the Gilli).</t>
  </si>
  <si>
    <t>Why is it important for the striking area to be clear of loose stones and debris?</t>
  </si>
  <si>
    <t>A) It looks neater, B) To ensure the Gilli can be placed properly and has a clean surface to flip up from, C) To prevent the Danda from breaking, D) To help the striker run faster</t>
  </si>
  <si>
    <t>B) To ensure the Gilli can be placed properly and has a clean surface to flip up from</t>
  </si>
  <si>
    <t>A clean striking circle is essential for the initial, delicate flick that sets up the main hit.</t>
  </si>
  <si>
    <t>What is the most common way a game of Gilli Danda ends?</t>
  </si>
  <si>
    <t>A) When it gets too dark to see the Gilli, B) When a team reaches a pre-agreed score, C) When all players have had a turn striking, D) All of the above are common</t>
  </si>
  <si>
    <t>D) All of the above are common</t>
  </si>
  <si>
    <t>Due to its informal nature, a game can end based on time, a target score, or when a full rotation of players is complete.</t>
  </si>
  <si>
    <t>A player is known for their "helicopter shot," where they spin around while hitting the Gilli. What is the main advantage of this?</t>
  </si>
  <si>
    <t>A) It is a foul, B) It generates incredible power through rotational force, C) It makes the Gilli harder to see, D) It is easier to do than a normal shot</t>
  </si>
  <si>
    <t>B) It generates incredible power through rotational force</t>
  </si>
  <si>
    <t>Similar to a discus thrower, a full-body rotation can add significant momentum and power to the strike, resulting in a very long hit.</t>
  </si>
  <si>
    <t>What is the primary difference between Gilli Danda and the English game of Tip-cat?</t>
  </si>
  <si>
    <t>A) There is no difference, they are the same game, B) Tip-cat uses a metal Gilli, C) Gilli Danda scores by measuring with the Danda, while Tip-cat scores by guessing the distance, D) Tip-cat is a team sport only</t>
  </si>
  <si>
    <t>C) Gilli Danda scores by measuring with the Danda, while Tip-cat scores by guessing the distance</t>
  </si>
  <si>
    <t>This is a key historical difference. In Tip-cat, the striker would guess the distance in steps, and if their guess was wrong, they lost their points.</t>
  </si>
  <si>
    <t>A striker hits the Gilli, and it lands on a steeply sloped roof and rolls down, adding distance. How is this usually scored?</t>
  </si>
  <si>
    <t>A) The score is measured from where it first hit the roof, B) The score is measured from where it finally came to rest, C) The turn is replayed, D) The striker is out</t>
  </si>
  <si>
    <t>B) The score is measured from where it finally came to rest</t>
  </si>
  <si>
    <t>In most informal games, the final resting place of the Gilli is what counts, even if it rolled after landing.</t>
  </si>
  <si>
    <t>Why is it important for the Danda to be well-balanced?</t>
  </si>
  <si>
    <t>A) So it can be used for measuring, B) A well-balanced stick is easier to swing accurately and control, C) It makes it heavier, D) It is a traditional requirement</t>
  </si>
  <si>
    <t>B) A well-balanced stick is easier to swing accurately and control</t>
  </si>
  <si>
    <t>An unbalanced Danda will feel awkward and will reduce the striker's ability to make precise contact with the Gilli.</t>
  </si>
  <si>
    <t>A fielder catches the Gilli but then falls over the boundary line. Is the striker out?</t>
  </si>
  <si>
    <t>A) Yes, the catch was made inside the field, B) No, the fielder must have full control of their body within the field, C) The turn is replayed, D) A bonus point is given to the striker</t>
  </si>
  <si>
    <t>B) No, the fielder must have full control of their body within the field</t>
  </si>
  <si>
    <t>Similar to cricket, a fielder must complete the catch while remaining legally inside the field of play.</t>
  </si>
  <si>
    <t>What is the main reason for the "three-try" rule for the striker?</t>
  </si>
  <si>
    <t>A) To make the game last longer, B) To give the striker a fair chance while preventing them from delaying the game indefinitely, C) To make the game harder, D) To tire the striker out</t>
  </si>
  <si>
    <t>B) To give the striker a fair chance while preventing them from delaying the game indefinitely</t>
  </si>
  <si>
    <t>The three-chance limit is a balance between fairness to the striker and keeping the game moving.</t>
  </si>
  <si>
    <t>A striker hits the Gilli, and it lodges high in a tree. What is the ruling?</t>
  </si>
  <si>
    <t>A) The striker is out for losing the Gilli, B) The turn is replayed, C) The score is measured to the point on the ground directly below the Gilli, D) The striker gets a bonus point</t>
  </si>
  <si>
    <t>C) The score is measured to the point on the ground directly below the Gilli</t>
  </si>
  <si>
    <t>This is a common way to handle a Gilli getting stuck. The score is taken from the point on the ground directly beneath its final resting place.</t>
  </si>
  <si>
    <t>What is the most important quality for a fielder standing close to the striker?</t>
  </si>
  <si>
    <t>A) A strong throwing arm, B) Fast running speed, C) Excellent reflexes and courage, D) Good communication skills</t>
  </si>
  <si>
    <t>C) Excellent reflexes and courage</t>
  </si>
  <si>
    <t>The "silly point" fielder needs bravery to stand close and lightning-fast reflexes to catch a Gilli hit at high speed from short range.</t>
  </si>
  <si>
    <t>Why is Gilli Danda often seen as a game that teaches valuable life skills?</t>
  </si>
  <si>
    <t>A) It teaches physics and geometry, B) It develops hand-eye coordination, strategic thinking, and social negotiation skills, C) It is a good way to earn money, D) It is a path to professional sports</t>
  </si>
  <si>
    <t>B) It develops hand-eye coordination, strategic thinking, and social negotiation skills</t>
  </si>
  <si>
    <t>Beyond the physical skills, the constant need to agree on rules and settle disputes teaches children valuable social lessons.</t>
  </si>
  <si>
    <t>A striker's hit is very low and fast. A fielder tries to catch it but it hits their shins. Is the striker out?</t>
  </si>
  <si>
    <t>A) Yes, if the fielder can then pick it up, B) No, a catch must be made cleanly with the hands, C) The turn is replayed, D) The fielder is penalized</t>
  </si>
  <si>
    <t>B) No, a catch must be made cleanly with the hands</t>
  </si>
  <si>
    <t>A catch is only valid if the fielder catches the Gilli with their hands before it touches the ground.</t>
  </si>
  <si>
    <t>What is the primary reason for a striker to "juggle" the Gilli in the air?</t>
  </si>
  <si>
    <t>A) To show off their skills, B) To allow the Gilli to gain height and position it perfectly for a powerful strike, C) To confuse the fielders, D) All of the above</t>
  </si>
  <si>
    <t>Juggling is a display of skill, a way to confuse fielders, and most importantly, a practical method for setting up the perfect hit.</t>
  </si>
  <si>
    <t>A fielder catches the Gilli in their hat. Is this a legal catch?</t>
  </si>
  <si>
    <t>A) Yes, as long as it didn't touch the ground, B) No, the catch must be made with the hands, C) It is up to the striker to decide, D) The turn is replayed</t>
  </si>
  <si>
    <t>B) No, the catch must be made with the hands</t>
  </si>
  <si>
    <t>In traditional rules, a catch is only valid if made with the bare hands. Using clothing like a hat or shirt to aid the catch is not allowed.</t>
  </si>
  <si>
    <t>Why is a slight crosswind often considered the most challenging condition to play in?</t>
  </si>
  <si>
    <t>A) It makes the Gilli travel farther, B) It can cause the Gilli to swerve unpredictably in the air, making it hard to strike and catch, C) It makes it too cold to play, D) It blows dust into the players' eyes</t>
  </si>
  <si>
    <t>B) It can cause the Gilli to swerve unpredictably in the air, making it hard to strike and catch</t>
  </si>
  <si>
    <t>A crosswind can create a difficult "curve" on the Gilli's flight, deceiving both the striker and the fielders.</t>
  </si>
  <si>
    <t>A player is known as a "Danda specialist." What does this imply?</t>
  </si>
  <si>
    <t>A) They are very good at making the equipment, B) They are an exceptionally powerful and accurate striker, C) They are very good at measuring the distance, D) They only play as a striker</t>
  </si>
  <si>
    <t>B) They are an exceptionally powerful and accurate striker</t>
  </si>
  <si>
    <t>This is a term of respect for a player who has mastered the art of striking the Gilli for maximum distance.</t>
  </si>
  <si>
    <t>If a game is tied, how is a winner typically decided in a more organized match?</t>
  </si>
  <si>
    <t>A) A coin toss, B) The team with the longest single hit wins, C) A "super over" or extra round is played, D) The match is declared a draw</t>
  </si>
  <si>
    <t>C) A "super over" or extra round is played</t>
  </si>
  <si>
    <t>To break a tie, a final round is often played where each team gets a set number of strikes to determine a winner.</t>
  </si>
  <si>
    <t>What is the main reason Gilli Danda is more popular in rural areas than in dense cities in modern Pakistan?</t>
  </si>
  <si>
    <t>A) City dwellers prefer other sports, B) The game is banned in cities, C) The lack of safe, open spaces required to play the game, D) The equipment is not sold in cities</t>
  </si>
  <si>
    <t>C) The lack of safe, open spaces required to play the game</t>
  </si>
  <si>
    <t>Urbanization has drastically reduced the number of open fields and grounds needed to play Gilli Danda safely.</t>
  </si>
  <si>
    <t>In its essence, what is the spirit of Gilli Danda?</t>
  </si>
  <si>
    <t>A) A highly competitive and professional sport, B) A simple, joyful, and informal game that fosters community and skill, C) A dangerous and aggressive activity, D) A game of pure luck</t>
  </si>
  <si>
    <t>B) A simple, joyful, and informal game that fosters community and skill</t>
  </si>
  <si>
    <t>Gilli Danda is cherished for its simplicity and the social connections it builds among players.</t>
  </si>
  <si>
    <t>What is the primary weapon used in the main event of Tent Pegging?</t>
  </si>
  <si>
    <t>A) Sword, B) Lance, C) Bow, D) Club</t>
  </si>
  <si>
    <t>B) Lance</t>
  </si>
  <si>
    <t>A lance, a type of spear, is the primary implement used to strike and lift ground targets in the classic Tent Pegging event.</t>
  </si>
  <si>
    <t>According to ITPF rules, what is the standard height of the target peg exposed above the ground?</t>
  </si>
  <si>
    <t>A) 6 inches, B) 12 inches (30 cm), C) 18 inches, D) 24 inches</t>
  </si>
  <si>
    <t>B) 12 inches (30 cm)</t>
  </si>
  <si>
    <t>The peg is typically set to have 12 inches (or 30 cm) visible above the ground to standardize the challenge for all competitors.</t>
  </si>
  <si>
    <t>What is the ideal speed range of a horse during a Tent Pegging run to balance speed and accuracy?</t>
  </si>
  <si>
    <t>A) 15-20 km/h, B) 25-35 km/h, C) 40-50 km/h, D) 60-70 km/h</t>
  </si>
  <si>
    <t>B) 25-35 km/h</t>
  </si>
  <si>
    <t>This speed range, a controlled canter or gallop, is considered optimal for allowing the rider enough time to aim precisely while still being a test of skill at speed.</t>
  </si>
  <si>
    <t>How many points are awarded for a "full peg," where the peg is successfully struck and carried over the finish line?</t>
  </si>
  <si>
    <t>A) 4 points, B) 6 points, C) 8 points, D) 10 points</t>
  </si>
  <si>
    <t>B) 6 points</t>
  </si>
  <si>
    <t>Striking and carrying the peg cleanly across the finish line is the highest score for a single ground target, typically awarded 6 points.</t>
  </si>
  <si>
    <t>What is the standard length of the competition track, from the start line to the finish line?</t>
  </si>
  <si>
    <t>A) 50 meters, B) 75 meters, C) 100 meters, D) 150 meters</t>
  </si>
  <si>
    <t>C) 100 meters</t>
  </si>
  <si>
    <t>A 100-meter track provides sufficient distance for the horse to accelerate to a proper speed and for the rider to prepare for the strike.</t>
  </si>
  <si>
    <t>Which part of the peg must be struck by the lance to ensure it is lifted cleanly from the ground?</t>
  </si>
  <si>
    <t>A) The top 2 inches, B) The middle section, C) The lower third, near the base, D) Any part of the peg</t>
  </si>
  <si>
    <t>C) The lower third, near the base</t>
  </si>
  <si>
    <t>Striking the peg low on its shaft provides the necessary leverage to dislodge it from the ground vertically.</t>
  </si>
  <si>
    <t>Which type of horse is known for its agility and stamina, making it highly suitable for Tent Pegging?</t>
  </si>
  <si>
    <t>A) Clydesdale, B) Shire, C) Marwari and Thoroughbred, D) Shetland Pony</t>
  </si>
  <si>
    <t>C) Marwari and Thoroughbred</t>
  </si>
  <si>
    <t>Breeds known for their athleticism, speed, and courage, such as the Marwari, Thoroughbred, and Arabian, are preferred for the sport.</t>
  </si>
  <si>
    <t>In a standard team event, how many riders from a team ride in a single charge?</t>
  </si>
  <si>
    <t>C) 4</t>
  </si>
  <si>
    <t>A standard team section consists of four riders charging down the track in formation, each attempting to strike their own target.</t>
  </si>
  <si>
    <t>What is the maximum time allowed for a rider to complete their run from the moment they cross the start line?</t>
  </si>
  <si>
    <t>A) 6 seconds, B) 8 seconds, C) 10 seconds, D) 12 seconds</t>
  </si>
  <si>
    <t>B) 8 seconds</t>
  </si>
  <si>
    <t>To ensure a fast and competitive pace, a time limit (e.g., 8 seconds for a 100m track) is enforced. Exceeding this time results in zero points.</t>
  </si>
  <si>
    <t>The standard wooden peg has a rectangular cross-section. What are its typical dimensions?</t>
  </si>
  <si>
    <t>A) 2 cm wide x 2 cm thick, B) 4 cm wide x 2 cm thick, C) 6 cm wide x 4 cm thick, D) 10 cm wide x 5 cm thick</t>
  </si>
  <si>
    <t>B) 4 cm wide x 2 cm thick</t>
  </si>
  <si>
    <t>The peg is typically 4 cm wide on the face presented to the rider and 2 cm thick, providing a challenging target.</t>
  </si>
  <si>
    <t>What is the standard length of the lance used in senior-level international competitions?</t>
  </si>
  <si>
    <t>A) 2.0 - 2.25 meters, B) 2.25 - 2.50 meters, C) 2.50 - 2.75 meters, D) 2.75 - 3.00 meters</t>
  </si>
  <si>
    <t>C) 2.50 - 2.75 meters</t>
  </si>
  <si>
    <t>This length provides the necessary reach and balance for a rider on horseback to accurately strike the ground target.</t>
  </si>
  <si>
    <t>In a "pairs" event where two riders charge together, what is a key element of their performance?</t>
  </si>
  <si>
    <t>A) The speed of the faster horse, B) The distance between the riders, C) Their synchronization and uniform movement, D) The color of their horses</t>
  </si>
  <si>
    <t>C) Their synchronization and uniform movement</t>
  </si>
  <si>
    <t>In pairs and team events, judges award points not only for pegging but also for the riders' ability to ride in perfect formation.</t>
  </si>
  <si>
    <t>Which international body governs and standardizes the rules for Tent Pegging worldwide?</t>
  </si>
  <si>
    <t>A) The International Equestrian Federation (FEI), B) The International Tent Pegging Federation (ITPF), C) The Global Pegging Alliance, D) The World Cavalry Association</t>
  </si>
  <si>
    <t>B) The International Tent Pegging Federation (ITPF)</t>
  </si>
  <si>
    <t>The ITPF is the global governing authority that organizes World Cups and works to standardize the rules of the sport.</t>
  </si>
  <si>
    <t>In which Tent Pegging discipline is a rider required to use a sword to slice a target?</t>
  </si>
  <si>
    <t>A) Single Pegging, B) Ring Pegging, C) Lemon Cutting, D) Double Pegging</t>
  </si>
  <si>
    <t>C) Lemon Cutting</t>
  </si>
  <si>
    <t>Lemon Cutting is a discipline that tests a rider's swordsmanship, requiring them to cleanly slice a suspended lemon or other target.</t>
  </si>
  <si>
    <t>What is the penalty for a rider whose horse crosses the starting line before the official signal?</t>
  </si>
  <si>
    <t>A) A 2-point deduction, B) Disqualification from that run, C) A verbal warning is issued, D) There is no penalty</t>
  </si>
  <si>
    <t>B) Disqualification from that run</t>
  </si>
  <si>
    <t>A false start is a serious violation, and the rider's attempt for that specific run is nullified, resulting in a score of zero.</t>
  </si>
  <si>
    <t>How many points are awarded for "drawing" the peg (lifting it from the ground but dropping it before the finish line)?</t>
  </si>
  <si>
    <t>A) 6 points, B) 4 points, C) 2 points, D) 0 points</t>
  </si>
  <si>
    <t>C) 2 points</t>
  </si>
  <si>
    <t>A "drawn" peg, where the rider successfully dislodges the target but fails to carry it, is awarded a lower score of 2 points.</t>
  </si>
  <si>
    <t>What is the maximum number of riders allowed on a full team roster in a major team event?</t>
  </si>
  <si>
    <t>A) 4, B) 5, C) 6, D) 8</t>
  </si>
  <si>
    <t>B) 5</t>
  </si>
  <si>
    <t>A full team typically consists of five riders, with four riding in any given run and one acting as a reserve.</t>
  </si>
  <si>
    <t>What is the official ruling if a rider misses the peg entirely on their run?</t>
  </si>
  <si>
    <t>A) A score of 0 is awarded, B) 2 points are deducted from their total, C) The rider is disqualified, D) The rider gets a warning</t>
  </si>
  <si>
    <t>A) A score of 0 is awarded</t>
  </si>
  <si>
    <t>Missing the target results in zero points for that run, but there is no further penalty or deduction.</t>
  </si>
  <si>
    <t>What is the term for carrying the peg successfully after striking it?</t>
  </si>
  <si>
    <t>A) A Full Peg, B) A Perfect Strike, C) A Catch Peg, D) A Peg Carry</t>
  </si>
  <si>
    <t>A) A Full Peg</t>
  </si>
  <si>
    <t>A successfully struck and carried peg is officially referred to as a "Full Peg" and is the highest score for a single target.</t>
  </si>
  <si>
    <t>At what angle is the peg typically placed in the ground to provide a fair challenge?</t>
  </si>
  <si>
    <t>A) 30 degrees, B) 45 degrees, C) 60 degrees, D) 90 degrees (vertical)</t>
  </si>
  <si>
    <t>C) 60 degrees</t>
  </si>
  <si>
    <t>The peg is inserted into the ground at a 60-degree angle, leaning away from the direction of the charge, to ensure a consistent level of difficulty.</t>
  </si>
  <si>
    <t>In the "Rings and Peg" event, what must a rider do?</t>
  </si>
  <si>
    <t>A) Spear a peg and then spear a ring, B) Spear a ring and then spear a peg, C) Spear a ring that is placed on top of a peg, D) Choose between spearing a ring or a peg</t>
  </si>
  <si>
    <t>B) Spear a ring and then spear a peg</t>
  </si>
  <si>
    <t>This discipline tests a rider's ability to adjust their aim, first collecting a suspended ring and then striking a ground peg in the same run.</t>
  </si>
  <si>
    <t>What is the proper dress code for riders in official Tent Pegging competitions?</t>
  </si>
  <si>
    <t>A) Casual wear, B) Traditional cultural attire, C) Approved riding gear including boots, breeches, and a helmet, D) A military-style uniform</t>
  </si>
  <si>
    <t>C) Approved riding gear including boots, breeches, and a helmet</t>
  </si>
  <si>
    <t>For safety and professionalism, riders are required to wear standardized equestrian protective gear.</t>
  </si>
  <si>
    <t>In the "Lemon Cutting" discipline, how is a successful cut judged?</t>
  </si>
  <si>
    <t>A) The lemon must be cut into two separate halves, B) The lemon must be knocked off its stand, C) The rider must catch a piece of the lemon, D) Any contact with the sword scores points</t>
  </si>
  <si>
    <t>A) The lemon must be cut into two separate halves</t>
  </si>
  <si>
    <t>A clean slice that severs the lemon into two distinct pieces is required for a full score. A partial cut or a knock-down scores less or zero.</t>
  </si>
  <si>
    <t>A rider's lance touches the ground before they reach the peg. What is the penalty?</t>
  </si>
  <si>
    <t>A) Disqualification from that run, B) A 2-point deduction, C) A verbal warning, D) There is no penalty</t>
  </si>
  <si>
    <t>A) Disqualification from that run</t>
  </si>
  <si>
    <t>A rider must carry their weapon cleanly. Touching the ground with the lance before the target results in a score of zero for that attempt.</t>
  </si>
  <si>
    <t>What is the penalty for a rider who falls off their horse during a run?</t>
  </si>
  <si>
    <t>A) They can remount and continue, B) They are given a time penalty, C) They are eliminated from that run and receive a score of zero, D) The entire team is disqualified</t>
  </si>
  <si>
    <t>C) They are eliminated from that run and receive a score of zero</t>
  </si>
  <si>
    <t>Falling from the horse results in immediate elimination from that specific run for safety reasons.</t>
  </si>
  <si>
    <t>Which traditional region of Pakistan is most historically linked with Tent Pegging?</t>
  </si>
  <si>
    <t>A) Sindh, B) Balochistan, C) Punjab, D) Gilgit-Baltistan</t>
  </si>
  <si>
    <t>C) Punjab</t>
  </si>
  <si>
    <t>The plains of Punjab have a long and deep-rooted cavalry tradition, making it the heartland of Tent Pegging in Pakistan.</t>
  </si>
  <si>
    <t>What is the ruling if a rider drops the peg just after successfully carrying it over the finish line?</t>
  </si>
  <si>
    <t>A) The score is cancelled, B) The rider receives a 2-point penalty, C) The run is scored as a "Full Peg", D) The run is scored as a "Drawn Peg"</t>
  </si>
  <si>
    <t>C) The run is scored as a "Full Peg"</t>
  </si>
  <si>
    <t>The peg must be carried across the finish line. Once the line is crossed, the score is valid, and dropping it afterward does not invalidate the points.</t>
  </si>
  <si>
    <t>What is the typical material of a modern, competition-grade lance?</t>
  </si>
  <si>
    <t>A) Solid wood, B) Aluminum, C) Fiberglass or bamboo, D) Steel</t>
  </si>
  <si>
    <t>C) Fiberglass or bamboo</t>
  </si>
  <si>
    <t>Modern lances are often made of fiberglass or high-quality bamboo to provide a combination of strength, flexibility, and light weight.</t>
  </si>
  <si>
    <t>Which historical military tradition is the direct origin of Tent Pegging?</t>
  </si>
  <si>
    <t>A) Roman infantry drills, B) Ancient Greek Olympic games, C) Cavalry tactics for raiding enemy camps at dawn, D) Naval boarding parties</t>
  </si>
  <si>
    <t>C) Cavalry tactics for raiding enemy camps at dawn</t>
  </si>
  <si>
    <t>The sport evolved from a military drill where horsemen would gallop through enemy camps at dawn, pulling up the tent pegs with their spears to collapse the tents on the sleeping soldiers.</t>
  </si>
  <si>
    <t>A rider's horse refuses to gallop and completes the run at a slow trot. What is the likely result?</t>
  </si>
  <si>
    <t>A) The rider is disqualified, B) The rider will be awarded points if they hit the peg, C) The rider will score zero for exceeding the time limit, D) The rider is given a re-run</t>
  </si>
  <si>
    <t>C) The rider will score zero for exceeding the time limit</t>
  </si>
  <si>
    <t>A horse moving too slowly will not be able to cover the 100m track within the strict time limit (e.g., 8 seconds), resulting in a time fault.</t>
  </si>
  <si>
    <t>What is the main purpose of "desensitization training" for a Tent Pegging horse?</t>
  </si>
  <si>
    <t>A) To make the horse run faster, B) To train the horse to ignore sudden noises, flags, and the rider's movements, C) To teach the horse to jump, D) To make the horse more aggressive</t>
  </si>
  <si>
    <t>B) To train the horse to ignore sudden noises, flags, and the rider's movements</t>
  </si>
  <si>
    <t>The horse must remain completely calm and focused on its path, despite the chaos of the competition environment.</t>
  </si>
  <si>
    <t>In a team relay event, how is the changeover typically performed?</t>
  </si>
  <si>
    <t>A) Riders pass the lance like a baton, B) The next rider starts their run as the previous one crosses the finish line, C) All riders start at the same time, D) There is no relay event in Tent Pegging</t>
  </si>
  <si>
    <t>B) The next rider starts their run as the previous one crosses the finish line</t>
  </si>
  <si>
    <t>The relay is a test of speed and timing, with the finish of one run triggering the start of the next.</t>
  </si>
  <si>
    <t>What is the official ruling if a peg is struck correctly but breaks in two, with one part remaining in the ground?</t>
  </si>
  <si>
    <t>A) No points are awarded, B) A "Full Peg" is awarded, C) A "Drawn Peg" is awarded, D) The run is replayed</t>
  </si>
  <si>
    <t>C) A "Drawn Peg" is awarded</t>
  </si>
  <si>
    <t>Since the peg was not carried cleanly, but was successfully struck and dislodged, it is scored as a 2-point "drawn" peg.</t>
  </si>
  <si>
    <t>What is the primary role of the horse in Tent Pegging?</t>
  </si>
  <si>
    <t>A) To be a passive vehicle for the rider, B) To provide the speed, momentum, and straight path necessary for the strike, C) To help aim the lance, D) To intimidate the opponent</t>
  </si>
  <si>
    <t>B) To provide the speed, momentum, and a straight path necessary for the strike</t>
  </si>
  <si>
    <t>The horse is an active partner in the sport, and its training, speed, and straightness are just as important as the rider's skill.</t>
  </si>
  <si>
    <t>Why is chalk or white paint often applied to the wooden pegs before a competition?</t>
  </si>
  <si>
    <t>A) To make them heavier, B) To make them more slippery, C) To improve the rider's visibility of the target against the dark soil, D) It is a religious ritual</t>
  </si>
  <si>
    <t>C) To improve the rider's visibility of the target against the dark soil</t>
  </si>
  <si>
    <t>Painting the pegs white provides a sharp visual contrast with the ground, helping the rider to aim accurately at high speed.</t>
  </si>
  <si>
    <t>Which of these is a key physical attribute for a successful Tent Pegging rider?</t>
  </si>
  <si>
    <t>A) Large biceps, B) A strong core and steady shoulders, C) Long legs, D) Light body weight</t>
  </si>
  <si>
    <t>B) A strong core and steady shoulders</t>
  </si>
  <si>
    <t>Core stability is essential for absorbing the horse's bounce and keeping the upper body and lance steady during the run.</t>
  </si>
  <si>
    <t>What is the judge's signal for a "Full Peg" (6 points)?</t>
  </si>
  <si>
    <t>A) A green flag is raised, B) A red flag is raised, C) The judge raises their arm straight up, D) The judge blows a whistle twice</t>
  </si>
  <si>
    <t>A) A green flag is raised</t>
  </si>
  <si>
    <t>A green flag typically signifies a successful full score, while a red flag indicates a score of zero.</t>
  </si>
  <si>
    <t>Which nation is considered the "modern hub" of Tent Pegging, having hosted numerous international events?</t>
  </si>
  <si>
    <t>A) Pakistan, B) Oman, C) India, D) South Africa</t>
  </si>
  <si>
    <t>B) Oman</t>
  </si>
  <si>
    <t>While popular in South Asia, Oman has invested heavily in the sport, hosting major World Cups and promoting it globally.</t>
  </si>
  <si>
    <t>What is the ruling if a rider's lance tip scrapes the peg, leaving a clear mark, but the peg does not move?</t>
  </si>
  <si>
    <t>A) A score of 1 point is awarded, B) A score of 0 is awarded, C) A 2-point deduction is given, D) The run is replayed</t>
  </si>
  <si>
    <t>B) A score of 0 is awarded</t>
  </si>
  <si>
    <t>The peg must be dislodged ("drawn") or carried from the ground. Simply touching it is not sufficient to score any points.</t>
  </si>
  <si>
    <t>What is the primary risk of striking the peg too high on its shaft?</t>
  </si>
  <si>
    <t>A) The peg is more likely to break, B) The lance may bounce off, C) The peg will be pushed forward and not lifted, D) It can injure the horse</t>
  </si>
  <si>
    <t>C) The peg will be pushed forward and not lifted</t>
  </si>
  <si>
    <t>To successfully lift the peg, the rider must strike low to get leverage. A high strike will simply knock the peg over, resulting in zero points.</t>
  </si>
  <si>
    <t>In Ring Pegging, what is the objective?</t>
  </si>
  <si>
    <t>A) To knock a ring off a peg, B) To spear a small, suspended ring with the lance, C) To throw a ring over a peg, D) To jump the horse through a ring</t>
  </si>
  <si>
    <t>B) To spear a small, suspended ring with the lance</t>
  </si>
  <si>
    <t>This discipline tests a rider's fine motor skills and accuracy, requiring them to thread the tip of their lance or sword through a small hanging ring.</t>
  </si>
  <si>
    <t>What is the maximum number of suspended targets (e.g., rings or lemons) allowed in a single run?</t>
  </si>
  <si>
    <t>B) 2</t>
  </si>
  <si>
    <t>Regulations typically allow for a maximum of two suspended targets to be attempted in one continuous run.</t>
  </si>
  <si>
    <t>Why are horses trained to run in a perfectly straight line without rein commands?</t>
  </si>
  <si>
    <t>A) It is a rule, B) To allow the rider to focus completely on the target with a one-handed grip on the lance, C) It is faster, D) It is more traditional</t>
  </si>
  <si>
    <t>B) To allow the rider to focus completely on the target with a one-handed grip on the lance</t>
  </si>
  <si>
    <t>A well-trained horse will maintain its path automatically, freeing the rider to concentrate on the difficult task of aiming.</t>
  </si>
  <si>
    <t>Which country hosted the first ITPF Tent Pegging World Cup in 2013?</t>
  </si>
  <si>
    <t>A) Pakistan, B) India, C) Oman, D) South Africa</t>
  </si>
  <si>
    <t>D) South Africa</t>
  </si>
  <si>
    <t>The inaugural ITPF World Cup, a major step in the sport's modernization, was held in Pretoria, South Africa.</t>
  </si>
  <si>
    <t>A rider successfully lifts the peg, but it is only hanging by a splinter of wood. Is this a valid score?</t>
  </si>
  <si>
    <t>A) No, the peg must be pierced cleanly, B) Yes, if it is carried over the finish line, it is a Full Peg, C) It is scored as a Drawn Peg, D) The run is replayed</t>
  </si>
  <si>
    <t>B) Yes, if it is carried over the finish line, it is a Full Peg</t>
  </si>
  <si>
    <t>The method of attachment to the lance does not matter. If the peg is lifted and carried across the line, it is a full 6 points.</t>
  </si>
  <si>
    <t>In which of these events would a rider use a sword instead of a lance?</t>
  </si>
  <si>
    <t>A) Team Relay, B) Ring Pegging, C) Individual Pegging, D) Indian File</t>
  </si>
  <si>
    <t>B) Ring Pegging</t>
  </si>
  <si>
    <t>Ring Pegging and Lemon Cutting are disciplines that are often performed with a sword to test a different type of accuracy.</t>
  </si>
  <si>
    <t>A rider's horse shies away from the peg at the last second, causing a miss. What is the ruling?</t>
  </si>
  <si>
    <t>A) The rider is given a re-run, B) A score of 0 is awarded, C) The rider is disqualified, D) The horse is disqualified</t>
  </si>
  <si>
    <t>The rider and horse are a team. A failure by the horse to maintain its path is part of the challenge, and the miss is scored as zero.</t>
  </si>
  <si>
    <t>What is the name of the event where a team of four riders charges in a single file line?</t>
  </si>
  <si>
    <t>A) The Relay, B) The Section, C) The Indian File, D) The Pairs</t>
  </si>
  <si>
    <t>C) The Indian File</t>
  </si>
  <si>
    <t>The Indian File is a team discipline where riders follow one another in a line, each striking a consecutive peg.</t>
  </si>
  <si>
    <t>What is the penalty for a rider who loses their helmet during a run?</t>
  </si>
  <si>
    <t>A) There is no penalty, B) A 2-point deduction, C) Disqualification from that run for safety reasons, D) The entire team is disqualified</t>
  </si>
  <si>
    <t>C) Disqualification from that run for safety reasons</t>
  </si>
  <si>
    <t>A helmet is mandatory safety equipment. If it falls off, the run is immediately nullified with a score of zero.</t>
  </si>
  <si>
    <t>Which part of Pakistan's military and cultural heritage is most strongly reflected in Tent Pegging?</t>
  </si>
  <si>
    <t>A) Naval traditions, B) Infantry drills, C) The legacy of the Mughal and British Indian cavalry, D) Air force ceremonies</t>
  </si>
  <si>
    <t>C) The legacy of the Mughal and British Indian cavalry</t>
  </si>
  <si>
    <t>The sport is a direct continuation of the skills and pageantry of the historic cavalry regiments of the Indian subcontinent.</t>
  </si>
  <si>
    <t>What is the judge's signal for a "Drawn Peg" (2 points)?</t>
  </si>
  <si>
    <t>A) A green flag is raised, B) A white flag is raised, C) The judge holds an arm out horizontally, D) The judge blows a whistle once</t>
  </si>
  <si>
    <t>B) A white flag is raised</t>
  </si>
  <si>
    <t>In the flag system, a white flag is often used to signal the partial score for a drawn peg.</t>
  </si>
  <si>
    <t>What is the primary risk of using a lance that is too heavy?</t>
  </si>
  <si>
    <t>A) It can break easily, B) It is slower to aim and can cause the rider to lose balance, C) It will not penetrate the peg, D) It is against the rules</t>
  </si>
  <si>
    <t>B) It is slower to aim and can cause the rider to lose balance</t>
  </si>
  <si>
    <t>A heavy lance is difficult to maneuver quickly and can upset the rider's delicate balance on the horse.</t>
  </si>
  <si>
    <t>In the "Individual Lance" event, what is the main judging criterion?</t>
  </si>
  <si>
    <t>A) The speed of the horse, B) The rider's style and posture, C) The total number of points scored over a series of runs, D) The beauty of the horse</t>
  </si>
  <si>
    <t>C) The total number of points scored over a series of runs</t>
  </si>
  <si>
    <t>It is a straightforward competition where the winner is the individual who accumulates the highest aggregate score.</t>
  </si>
  <si>
    <t>What is the ruling if a peg is lifted, but the rider drops their lance (with the peg still on it) before the finish line?</t>
  </si>
  <si>
    <t>A) Full points are awarded, B) Half points are awarded, C) Zero points are awarded, D) The run is replayed</t>
  </si>
  <si>
    <t>C) Zero points are awarded</t>
  </si>
  <si>
    <t>The rider must maintain control of their weapon throughout the entire run. Dropping the lance results in a score of zero.</t>
  </si>
  <si>
    <t>Why do riders often wear traditional, flowing robes during ceremonial displays but not in high-level competitions?</t>
  </si>
  <si>
    <t>A) The robes are too hot, B) The robes can get caught or tangled, which is a safety risk in a timed event, C) The robes are not allowed by sponsors, D) It is a modern fashion trend</t>
  </si>
  <si>
    <t>B) The robes can get caught or tangled, which is a safety risk in a timed event</t>
  </si>
  <si>
    <t>While visually impressive, loose clothing can be dangerous at high speed, so fitted equestrian gear is required for safety in competitions.</t>
  </si>
  <si>
    <t>What is the main challenge in the "Indian File" team event?</t>
  </si>
  <si>
    <t>A) Riding as fast as possible, B) Each rider must avoid being distracted by the rider in front of them, C) All riders must use the same horse, D) The pegs are smaller</t>
  </si>
  <si>
    <t>B) Each rider must avoid being distracted by the rider in front of them</t>
  </si>
  <si>
    <t>This event tests each rider's individual focus and concentration while riding in a tight, fast-moving formation.</t>
  </si>
  <si>
    <t>A rider successfully cuts a lemon but also hits the stand it was placed on. What is the ruling?</t>
  </si>
  <si>
    <t>A) The score is valid, B) The score is nullified, C) A penalty is deducted, D) The rider gets a re-run</t>
  </si>
  <si>
    <t>B) The score is nullified</t>
  </si>
  <si>
    <t>The rules of Lemon Cutting require a clean cut of the target only. Hitting the supporting apparatus is a foul and invalidates the score.</t>
  </si>
  <si>
    <t>What is the primary reason that a horse must be well-trained to respond to leg cues?</t>
  </si>
  <si>
    <t>A) It is a rule, B) The rider needs one hand for the lance, so they must be able to guide the horse primarily with their legs, C) It makes the horse more comfortable, D) It looks more professional</t>
  </si>
  <si>
    <t>B) The rider needs one hand for the lance, so they must be able to guide the horse primarily with their legs</t>
  </si>
  <si>
    <t>A Tent Pegging horse must be controllable with minimal rein input, as the rider's attention and dominant hand are focused on the weapon.</t>
  </si>
  <si>
    <t>A rider protests that the peg was placed in soil that was too hard, making it impossible to draw. What can the officials do?</t>
  </si>
  <si>
    <t>A) Ignore the protest, B) Inspect the ground and order it to be loosened if the claim is valid, C) Award the rider full points, D) Disqualify the grounds crew</t>
  </si>
  <si>
    <t>B) Inspect the ground and order it to be loosened if the claim is valid</t>
  </si>
  <si>
    <t>The technical delegate is responsible for ensuring fair and consistent ground conditions for all competitors.</t>
  </si>
  <si>
    <t>What is the ultimate goal of the "World Cup" of Tent Pegging?</t>
  </si>
  <si>
    <t>A) To promote tourism, B) To determine the best individual and team champions in the world, C) To sell horses, D) To be a purely ceremonial event</t>
  </si>
  <si>
    <t>B) To determine the best individual and team champions in the world</t>
  </si>
  <si>
    <t>The ITPF World Cup is the pinnacle of the sport, bringing together the best riders from member nations to compete for the world championship title.</t>
  </si>
  <si>
    <t>What is the main reason for the strict enforcement of uniform rules in team events?</t>
  </si>
  <si>
    <t>A) To ensure riders look professional, B) To help judges and spectators easily identify teams, C) To provide additional safety, D) To satisfy sponsors</t>
  </si>
  <si>
    <t>B) To help judges and spectators easily identify teams</t>
  </si>
  <si>
    <t>In a fast-paced event with multiple riders, uniform colors are essential for clear and accurate judging.</t>
  </si>
  <si>
    <t>What is the ruling if a rider's horse breaks stride from a gallop to a trot before reaching the peg?</t>
  </si>
  <si>
    <t>A) The run is disqualified, B) The rider will likely score zero due to exceeding the time limit, C) The rider is awarded bonus points for control, D) The run continues as normal</t>
  </si>
  <si>
    <t>B) The rider will likely score zero due to exceeding the time limit</t>
  </si>
  <si>
    <t>Breaking stride to a slower gait will cause the rider to fail to complete the run within the required time.</t>
  </si>
  <si>
    <t>In the "lance out" salute after a run, what does the rider do?</t>
  </si>
  <si>
    <t>A) Throws the lance in the air, B) Points the lance straight up to acknowledge the judges, C) Places the lance on the ground, D) Hands the lance to an official</t>
  </si>
  <si>
    <t>B) Points the lance straight up to acknowledge the judges</t>
  </si>
  <si>
    <t>This is a traditional and respectful gesture to signal the completion of the run and acknowledge the officials.</t>
  </si>
  <si>
    <t>What is the primary difference between a lance and a spear?</t>
  </si>
  <si>
    <t>A) There is no difference, B) A lance is designed specifically for use on horseback, C) A spear is longer than a lance, D) A lance is made of metal</t>
  </si>
  <si>
    <t>B) A lance is designed specifically for use on horseback</t>
  </si>
  <si>
    <t>While similar, a lance is a type of spear that has been specifically adapted over centuries for cavalry use.</t>
  </si>
  <si>
    <t>A rider is eliminated from an individual competition. Can they still compete in the team event?</t>
  </si>
  <si>
    <t>A) No, they are eliminated from the entire competition, B) Yes, the individual and team events are separate competitions, C) Only if their team captain agrees, D) Only if they apologize to the judges</t>
  </si>
  <si>
    <t>B) Yes, the individual and team events are separate competitions</t>
  </si>
  <si>
    <t>A rider's performance in one event does not affect their eligibility to compete in other scheduled events.</t>
  </si>
  <si>
    <t>What is the main reason for using a wooden peg instead of a plastic one?</t>
  </si>
  <si>
    <t>A) Wood is cheaper, B) Wood provides the right amount of resistance and can be pierced by the lance, C) Plastic is too heavy, D) It is a modern trend</t>
  </si>
  <si>
    <t>B) Wood provides the right amount of resistance and can be pierced by the lance</t>
  </si>
  <si>
    <t>The interaction between the metal lance tip and the wooden peg is traditional and provides the specific challenge the sport is based on.</t>
  </si>
  <si>
    <t>A rider successfully spears a ring, but it falls off the lance before the finish line. What is the score?</t>
  </si>
  <si>
    <t>A) Full points, B) Half points, C) Zero points, D) The run is replayed</t>
  </si>
  <si>
    <t>C) Zero points</t>
  </si>
  <si>
    <t>Just like with the ground peg, a suspended target must be successfully collected and carried across the finish line to be scored.</t>
  </si>
  <si>
    <t>What does the term "Neza Bazi" refer to?</t>
  </si>
  <si>
    <t>A) The Pakistani name for Tent Pegging, B) A type of horse, C) The ceremonial uniform, D) The championship trophy</t>
  </si>
  <si>
    <t>A) The Pakistani name for Tent Pegging</t>
  </si>
  <si>
    <t>Neza Bazi is the traditional Persian and Urdu term for the sport, meaning "spear play."</t>
  </si>
  <si>
    <t>A rider is seen using a lance that is noticeably thicker and heavier than the standard. What is the potential advantage?</t>
  </si>
  <si>
    <t>A) Better accuracy, B) More stability in windy conditions, C) It is easier to hold, D) It is less likely to break</t>
  </si>
  <si>
    <t>B) More stability in windy conditions</t>
  </si>
  <si>
    <t>A heavier lance is less affected by crosswinds, which can be an advantage for some riders in adverse weather.</t>
  </si>
  <si>
    <t>What is the primary purpose of the "galloping track" or run-up area before the official start line?</t>
  </si>
  <si>
    <t>A) To allow the horse and rider to build up to the correct speed and rhythm, B) To warm up the horse, C) To allow spectators to get a better view, D) It is a waiting area</t>
  </si>
  <si>
    <t>A) To allow the horse and rider to build up to the correct speed and rhythm</t>
  </si>
  <si>
    <t>This run-up area is crucial for the horse to reach a steady, controlled gallop before the timed run begins.</t>
  </si>
  <si>
    <t>If a sword is used for Lemon Cutting, what is the key quality of the blade?</t>
  </si>
  <si>
    <t>A) It must be very heavy, B) It must be extremely sharp, C) It must be flexible, D) It must be blunt</t>
  </si>
  <si>
    <t>B) It must be extremely sharp</t>
  </si>
  <si>
    <t>Unlike the lance, which relies on piercing, the sword must be razor-sharp to cleanly slice through the target at high speed.</t>
  </si>
  <si>
    <t>A rider is disqualified for "dangerous riding." What is a likely reason?</t>
  </si>
  <si>
    <t>A) Riding too fast, B) Not being in control of their horse, causing a risk to others, C) Shouting during the run, D) Wearing the wrong color</t>
  </si>
  <si>
    <t>B) Not being in control of their horse, causing a risk to others</t>
  </si>
  <si>
    <t>Any action that demonstrates a lack of control and endangers other riders, horses, or officials is considered dangerous riding.</t>
  </si>
  <si>
    <t>What is the main characteristic of the Marwari horse breed that makes it good for Tent Pegging?</t>
  </si>
  <si>
    <t>A) Its great height, B) Its calm temperament, C) Its distinctive, inwardly-curving ears and natural agility, D) Its muscular build</t>
  </si>
  <si>
    <t>C) Its distinctive, inwardly-curving ears and natural agility</t>
  </si>
  <si>
    <t>The Marwari is a traditional Indian cavalry horse known for its hardiness, bravery, and exceptional agility.</t>
  </si>
  <si>
    <t>What is the judge's signal for a score of zero or a failed attempt?</t>
  </si>
  <si>
    <t>A) A red flag is raised, B) A green flag is raised, C) The judge shakes their head, D) The judge blows a whistle once</t>
  </si>
  <si>
    <t>A) A red flag is raised</t>
  </si>
  <si>
    <t>A red flag is the standard signal to indicate that the run was unsuccessful and no points were awarded.</t>
  </si>
  <si>
    <t>Why are riders not allowed to strap the lance to their arm?</t>
  </si>
  <si>
    <t>A) It is not traditional, B) For safety; they must be able to drop the lance in an emergency, C) It gives an unfair advantage, D) It would make aiming impossible</t>
  </si>
  <si>
    <t>B) For safety; they must be able to drop the lance in an emergency</t>
  </si>
  <si>
    <t>Strapping the lance to the body is extremely dangerous. A rider must be able to let go of the weapon instantly if it gets stuck or causes a fall.</t>
  </si>
  <si>
    <t>In a team event, what is the penalty if one rider is eliminated for a false start?</t>
  </si>
  <si>
    <t>A) The whole team is disqualified, B) The team continues with three riders, but the eliminated rider gets a score of zero, C) The team must replay the run, D) The team gets a 6-point penalty</t>
  </si>
  <si>
    <t>B) The team continues with three riders, but the eliminated rider gets a score of zero</t>
  </si>
  <si>
    <t>The individual rider's score is nullified, but this does not disqualify the other members of the team, whose scores still count.</t>
  </si>
  <si>
    <t>What is the primary difference between Tent Pegging and Jousting?</t>
  </si>
  <si>
    <t>A) Jousting uses swords, B) Jousting involves two riders charging at each other, while Tent Pegging is a charge at a stationary target, C) Jousting is older, D) There is no difference</t>
  </si>
  <si>
    <t>B) Jousting involves two riders charging at each other, while Tent Pegging is a charge at a stationary target</t>
  </si>
  <si>
    <t>Jousting is a form of mock combat between two opponents, whereas Tent Pegging is a test of individual skill against a target.</t>
  </si>
  <si>
    <t>A rider's horse completes the run in 9 seconds, which is over the 8-second time limit. They successfully get a Full Peg. What is their score?</t>
  </si>
  <si>
    <t>D) 0 points</t>
  </si>
  <si>
    <t>The time limit is absolute. Even a perfect strike is nullified if the rider is too slow, resulting in a score of zero for a time fault.</t>
  </si>
  <si>
    <t>What is the main reason that the sport is called "Tent Pegging"?</t>
  </si>
  <si>
    <t>A) It is often played in a large tent, B) The target is shaped like a tent, C) It originated from the military drill of pulling up an enemy's tent pegs, D) The founder's name was "Peg"</t>
  </si>
  <si>
    <t>C) It originated from the military drill of pulling up an enemy's tent pegs</t>
  </si>
  <si>
    <t>The name is a direct reference to the historical cavalry tactic of collapsing enemy tents by spearing and removing the ground pegs.</t>
  </si>
  <si>
    <t>A rider is disqualified for having a lance that is too short. Why is there a minimum length rule?</t>
  </si>
  <si>
    <t>A) A short lance is harder to see, B) To prevent riders from gaining an unfair advantage in maneuverability, C) To ensure the rider is a safe distance from the peg, D) It is a traditional rule with no practical purpose</t>
  </si>
  <si>
    <t>B) To prevent riders from gaining an unfair advantage in maneuverability</t>
  </si>
  <si>
    <t>A very short lance would be much easier to aim and control, so a standard minimum length is required to ensure a fair challenge for all.</t>
  </si>
  <si>
    <t>During a run for a suspended ring, the rider misses the ring but their horse knocks over the stand holding it up. What is the ruling?</t>
  </si>
  <si>
    <t>A) The rider is disqualified, B) The point is replayed, C) The rider gets a score of zero for the miss, D) The rider is penalized for their horse's action</t>
  </si>
  <si>
    <t>C) The rider gets a score of zero for the miss</t>
  </si>
  <si>
    <t>The run is scored as a miss (zero points). Unless the action was deemed dangerous, there is usually no further penalty for the horse hitting the stand.</t>
  </si>
  <si>
    <t>What is a "full section attack" in a team event?</t>
  </si>
  <si>
    <t>A) All four riders charge the pegs simultaneously in a line abreast, B) The team uses both lances and swords, C) The team performs a ceremonial charge, D) The team attacks the judges</t>
  </si>
  <si>
    <t>A) All four riders charge the pegs simultaneously in a line abreast</t>
  </si>
  <si>
    <t>This is the classic team event, where the four riders must maintain perfect formation while each striking their individual target.</t>
  </si>
  <si>
    <t>Why must the ground where the peg is placed be firm and well-compacted?</t>
  </si>
  <si>
    <t>A) To make it harder to lift the peg, B) To ensure the peg holds its 60-degree angle consistently for all riders, C) To prevent the horse from slipping, D) It is not a requirement</t>
  </si>
  <si>
    <t>B) To ensure the peg holds its 60-degree angle consistently for all riders</t>
  </si>
  <si>
    <t>Fair competition requires that the target has the same level of resistance for every competitor.</t>
  </si>
  <si>
    <t>What is the ruling if a rider strikes the peg, lifts it, but the peg itself breaks while on the lance?</t>
  </si>
  <si>
    <t>A) The score is nullified, B) It is scored as a "Drawn Peg" (2 points), C) It is scored as a "Full Peg" (6 points), D) The run is replayed with a new peg</t>
  </si>
  <si>
    <t>C) It is scored as a "Full Peg" (6 points)</t>
  </si>
  <si>
    <t>The rider successfully performed the required action of lifting the peg. Equipment failure of the target does not invalidate the score.</t>
  </si>
  <si>
    <t>What is the purpose of the "marshaling area" at a tournament?</t>
  </si>
  <si>
    <t>A) It is where the horses are kept, B) It is a designated waiting and warm-up area for the next competitors, C) It is where the prizes are displayed, D) It is where the judges sit</t>
  </si>
  <si>
    <t>B) It is a designated waiting and warm-up area for the next competitors</t>
  </si>
  <si>
    <t>The marshaling area is a key part of event organization, ensuring that riders are ready and the competition flows smoothly.</t>
  </si>
  <si>
    <t>A rider is seen using a very light, thin lance. What is the main disadvantage of this?</t>
  </si>
  <si>
    <t>A) It may not have the strength to lift the peg from the ground without breaking, B) It is harder to aim, C) It is slower, D) It is illegal</t>
  </si>
  <si>
    <t>A) It may not have the strength to lift the peg from the ground without breaking</t>
  </si>
  <si>
    <t>A lance must be strong enough to withstand the significant force of striking and leveraging a peg out of the soil at high speed.</t>
  </si>
  <si>
    <t>In a team event, who is declared the winner?</t>
  </si>
  <si>
    <t>A) The team with the fastest single run, B) The team with the best-looking horses, C) The team with the highest aggregate score from all its riders, D) The team that wins the final head-to-head race</t>
  </si>
  <si>
    <t>C) The team with the highest aggregate score from all its riders</t>
  </si>
  <si>
    <t>The winning team is the one whose members collectively score the most points across all the runs of the competition.</t>
  </si>
  <si>
    <t>What is the role of the "Technical Delegate" at an ITPF event?</t>
  </si>
  <si>
    <t>A) To coach the home team, B) To ensure the arena, equipment, and ground conditions meet official international standards, C) To be the head of the judging panel, D) To manage the broadcast</t>
  </si>
  <si>
    <t>B) To ensure the arena, equipment, and ground conditions meet official international standards</t>
  </si>
  <si>
    <t>The Technical Delegate is the highest authority on the technical aspects of the competition, ensuring fair and safe conditions.</t>
  </si>
  <si>
    <t>A rider successfully spears two suspended rings in a single run. Is this possible?</t>
  </si>
  <si>
    <t>A) No, only one ring is allowed per run, B) Yes, this is a standard event, C) Only if they use two lances, D) Yes, but it does not score extra points</t>
  </si>
  <si>
    <t>B) Yes, this is a standard event</t>
  </si>
  <si>
    <t>The "Rings" event often features two suspended rings that the rider must collect in a single pass.</t>
  </si>
  <si>
    <t>Why is a horse's temperament (its calmness and courage) so important?</t>
  </si>
  <si>
    <t>A) A calm horse is easier to sell, B) A horse that is brave and not spooked by the lance or noise will run a truer, straighter line, C) It is not important, D) A calm horse runs faster</t>
  </si>
  <si>
    <t>B) A horse that is brave and not spooked by the lance or noise will run a truer, straighter line</t>
  </si>
  <si>
    <t>The horse's mental state is critical. A fearful horse will shy away from the target, making an accurate strike impossible.</t>
  </si>
  <si>
    <t>What is the main reason a rider might be disqualified from an entire competition, not just a single run?</t>
  </si>
  <si>
    <t>A) Missing the peg three times, B) A single act of dangerous riding or animal cruelty, C) Arguing with a judge, D) Being late for their run</t>
  </si>
  <si>
    <t>B) A single act of dangerous riding or animal cruelty</t>
  </si>
  <si>
    <t>Serious offenses, such as deliberately endangering others or showing cruelty to their horse, can result in expulsion from the whole event.</t>
  </si>
  <si>
    <t>A rider strikes the peg, but it only rotates in the ground without coming out. What is the score?</t>
  </si>
  <si>
    <t>A) 1 point, B) 2 points, C) 0 points, D) 4 points</t>
  </si>
  <si>
    <t>C) 0 points</t>
  </si>
  <si>
    <t>The peg must be physically dislodged (drawn) from the ground to score any points. A peg that is only touched or spun is a miss.</t>
  </si>
  <si>
    <t>In the "sword" events, what is a common target besides lemons?</t>
  </si>
  <si>
    <t>A) Wooden blocks, B) Clay pots, C) Oranges or other soft fruits, D) Glass bottles</t>
  </si>
  <si>
    <t>C) Oranges or other soft fruits</t>
  </si>
  <si>
    <t>Small, soft targets like oranges are often used to test the rider's precision and the sharpness of their blade.</t>
  </si>
  <si>
    <t>What is the official term for the team event where four riders charge in a line?</t>
  </si>
  <si>
    <t>A) The Section, B) The Relay, C) The Group, D) The Indian File</t>
  </si>
  <si>
    <t>A) The Section</t>
  </si>
  <si>
    <t>"Section" is the official ITPF term for the standard team event.</t>
  </si>
  <si>
    <t>A horse suddenly stops before reaching the peg. What is the ruling?</t>
  </si>
  <si>
    <t>A) The rider can urge the horse on and complete the run, B) A score of 0 is awarded for a refusal, C) The rider is given a re-run, D) The horse is disqualified</t>
  </si>
  <si>
    <t>B) A score of 0 is awarded for a refusal</t>
  </si>
  <si>
    <t>If the horse refuses to complete the course, the run is considered a failure and is scored as zero.</t>
  </si>
  <si>
    <t>Why is a deep, secure seat essential for the rider?</t>
  </si>
  <si>
    <t>A) It looks more elegant, B) It allows the rider to absorb the horse's motion and provide a stable platform for the lance strike, C) It helps the horse to run faster, D) It is required by the uniform code</t>
  </si>
  <si>
    <t>B) It allows the rider to absorb the horse's motion and provide a stable platform for the lance strike</t>
  </si>
  <si>
    <t>A rider who is bouncing or insecure in the saddle cannot possibly aim a 2.5-meter lance with the precision needed to hit a tiny target.</t>
  </si>
  <si>
    <t>What is the purpose of the "run-out" area after the finish line?</t>
  </si>
  <si>
    <t>A) It is a waiting area for the next rider, B) It is a designated area for the horse to slow down safely after its high-speed run, C) It is where the scores are announced, D) It is where the prizes are kept</t>
  </si>
  <si>
    <t>B) It is a designated area for the horse to slow down safely after its high-speed run</t>
  </si>
  <si>
    <t>The run-out area is a crucial safety feature that allows the horse to decelerate naturally without having to stop abruptly.</t>
  </si>
  <si>
    <t>A rider is part of a team from the Pakistan Army. What is the significance of this?</t>
  </si>
  <si>
    <t>A) It means they are a professional rider, B) The armed forces, particularly the cavalry, are a major preserver and promoter of the sport, C) They have an unfair advantage, D) They are required to use military horses</t>
  </si>
  <si>
    <t>B) The armed forces, particularly the cavalry, are a major preserver and promoter of the sport</t>
  </si>
  <si>
    <t>Many of the top Tent Pegging teams in Pakistan are associated with army cavalry units, which have kept the tradition alive.</t>
  </si>
  <si>
    <t>A rider is using a lance with a three-pronged tip. Is this legal in a standard pegging event?</t>
  </si>
  <si>
    <t>A) Yes, it makes it easier to catch the peg, B) No, a single point is required, C) Only if the referee approves, D) Yes, but it scores fewer points</t>
  </si>
  <si>
    <t>B) No, a single point is required</t>
  </si>
  <si>
    <t>The standard lance must have a simple, single point. Multi-pronged heads are not allowed in the main discipline.</t>
  </si>
  <si>
    <t>What does the International Tent Pegging Federation (ITPF) aim to achieve for the sport?</t>
  </si>
  <si>
    <t>A) To make it more expensive, B) To have it included in the Olympic Games, C) To limit the number of countries that can compete, D) To replace horses with motorcycles</t>
  </si>
  <si>
    <t>B) To have it included in the Olympic Games</t>
  </si>
  <si>
    <t>A major long-term goal of the ITPF is to gain Olympic recognition for Tent Pegging as a global equestrian sport.</t>
  </si>
  <si>
    <t>A rider's horse drifts sideways during the run, forcing them to strike the peg at an angle. Why is this a disadvantage?</t>
  </si>
  <si>
    <t>A) It is not a disadvantage, B) An angled strike is more likely to break the lance, C) An angled strike is more likely to glance off or knock the peg over instead of lifting it, D) It is a foul</t>
  </si>
  <si>
    <t>C) An angled strike is more likely to glance off or knock the peg over instead of lifting it</t>
  </si>
  <si>
    <t>A straight, perpendicular approach is crucial for the lance tip to properly engage and lift the peg.</t>
  </si>
  <si>
    <t>What is the main characteristic of a "hot-blooded" horse breed like an Arabian or Thoroughbred?</t>
  </si>
  <si>
    <t>A) They are very calm, B) They have great speed, spirit, and endurance, C) They are very large and strong, D) They are easy to train</t>
  </si>
  <si>
    <t>B) They have great speed, spirit, and endurance</t>
  </si>
  <si>
    <t>"Hot bloods" are known for their athleticism and energy, which makes them ideal for high-speed sports like Tent Pegging.</t>
  </si>
  <si>
    <t>A rider successfully gets a Full Peg, but their run was only 5 seconds long (on a 100m course). Is this a valid score?</t>
  </si>
  <si>
    <t>A) Yes, and they may get a bonus for speed, B) No, the run was too fast to be judged properly, C) Yes, as long as it is under the maximum time limit, D) No, there is a minimum time limit</t>
  </si>
  <si>
    <t>C) Yes, as long as it is under the maximum time limit</t>
  </si>
  <si>
    <t>There is a maximum time limit, but no minimum. A fast run is a sign of a skilled rider and a fast horse, and the score is valid.</t>
  </si>
  <si>
    <t>In team practice, why would a coach have riders charge without any pegs on the track?</t>
  </si>
  <si>
    <t>A) To save money on pegs, B) To focus purely on maintaining perfect formation and synchronization at speed, C) To warm the horses down, D) To practice emergency stops</t>
  </si>
  <si>
    <t>B) To focus purely on maintaining perfect formation and synchronization at speed</t>
  </si>
  <si>
    <t>"Dry runs" are a key training drill for team events, as formation riding is a scored element and requires immense practice.</t>
  </si>
  <si>
    <t>What is the ruling if a rider's lance is found to be lighter than the minimum regulation weight?</t>
  </si>
  <si>
    <t>A) The rider is given a heavier lance, B) The rider is disqualified, C) The rider is allowed to compete but cannot score points, D) A time penalty is added</t>
  </si>
  <si>
    <t>B) The rider is disqualified</t>
  </si>
  <si>
    <t>Using illegal, non-regulation equipment is a form of cheating and results in disqualification.</t>
  </si>
  <si>
    <t>Why is it important for a rider to keep their eyes focused on the target and not on their horse?</t>
  </si>
  <si>
    <t>A) To avoid getting dizzy, B) To ensure precise hand-eye coordination for the strike, C) The horse knows where to go, D) It is a rule</t>
  </si>
  <si>
    <t>B) To ensure precise hand-eye coordination for the strike</t>
  </si>
  <si>
    <t>The rider must trust their horse to run straight and devote their full concentration to the single, split-second action of aiming and striking the peg.</t>
  </si>
  <si>
    <t>What is the primary difference between a "lance" and a "sword" run?</t>
  </si>
  <si>
    <t>A) The lance uses a piercing motion, while the sword uses a cutting motion, B) The sword run is slower, C) The lance run is safer, D) There is no difference</t>
  </si>
  <si>
    <t>A) The lance uses a piercing motion, while the sword uses a cutting motion</t>
  </si>
  <si>
    <t>These disciplines test two different historical cavalry skills: the thrust of the lance and the slice of the sabre.</t>
  </si>
  <si>
    <t>A rider is part of a team from the Punjab Police. What does this signify?</t>
  </si>
  <si>
    <t>A) The rider is an amateur, B) Police and paramilitary forces in Pakistan are major patrons of the sport, C) The rider is under arrest, D) The police team has special rules</t>
  </si>
  <si>
    <t>B) Police and paramilitary forces in Pakistan are major patrons of the sport</t>
  </si>
  <si>
    <t>Alongside the army, police departments often have skilled equestrian teams that compete at a high level.</t>
  </si>
  <si>
    <t>A rider's run is declared void because their horse's protective leg bandages came undone. Why is this a rule?</t>
  </si>
  <si>
    <t>A) It is a distraction for the rider, B) A loose bandage can trip the horse, posing a major safety risk, C) It looks unprofessional, D) It can interfere with the timing equipment</t>
  </si>
  <si>
    <t>B) A loose bandage can trip the horse, posing a major safety risk</t>
  </si>
  <si>
    <t>Rules regarding the secure fitting of all horse tack and equipment are strictly enforced to prevent accidents.</t>
  </si>
  <si>
    <t>What is the main reason Tent Pegging is considered a "heritage sport"?</t>
  </si>
  <si>
    <t>A) It is an old and outdated sport, B) It is a living tradition that preserves ancient equestrian and military skills, C) It is only practiced by older people, D) It is a UNESCO World Heritage activity</t>
  </si>
  <si>
    <t>B) It is a living tradition that preserves ancient equestrian and military skills</t>
  </si>
  <si>
    <t>It is valued not just as a competition, but as a link to a region's historical and cultural identity.</t>
  </si>
  <si>
    <t>In a "Pairs" event, Rider 1 gets a Full Peg, but Rider 2 misses. What is the team's score for the run?</t>
  </si>
  <si>
    <t>A) 0, B) 3, C) 6, D) 12</t>
  </si>
  <si>
    <t>C) 6</t>
  </si>
  <si>
    <t>Scoring is individual and then aggregated. Rider 1's 6 points are added to the team total, and Rider 2's 0 points are added.</t>
  </si>
  <si>
    <t>What is the purpose of the "bit" in a horse's bridle?</t>
  </si>
  <si>
    <t>A) It is a source of nutrition, B) It is a piece of metal in the horse's mouth used by the rider to communicate cues, C) It is a decorative element, D) It helps the horse to breathe</t>
  </si>
  <si>
    <t>B) It is a piece of metal in the horse's mouth used by the rider to communicate cues</t>
  </si>
  <si>
    <t>The bit is a key part of the communication system between the rider's hands and the horse.</t>
  </si>
  <si>
    <t>A rider is disqualified for using an "unorthodox" riding style. What might they have done?</t>
  </si>
  <si>
    <t>A) Ridden too fast, B) Used a non-equestrian posture, such as standing on the saddle, C) Held the lance with two hands, D) Both B and C</t>
  </si>
  <si>
    <t>The sport requires proper equestrian form. Any action that deviates from safe, traditional riding posture is a foul.</t>
  </si>
  <si>
    <t>What is the main reason for the strict rules about the dimensions of the pegs?</t>
  </si>
  <si>
    <t>A) To make them easy to manufacture, B) To ensure a fair and consistent challenge for all competitors, C) To fit the lances perfectly, D) To make them look good on camera</t>
  </si>
  <si>
    <t>B) To ensure a fair and consistent challenge for all competitors</t>
  </si>
  <si>
    <t>If pegs were different sizes or shapes, the competition would be unfair, as some riders would have an easier or harder target.</t>
  </si>
  <si>
    <t>A rider is seen looking back after their run. What are they likely looking at?</t>
  </si>
  <si>
    <t>A) The crowd, B) The next rider, C) The judge's flag to see if they scored, D) Their coach for instructions</t>
  </si>
  <si>
    <t>C) The judge's flag to see if they scored</t>
  </si>
  <si>
    <t>After a run, a rider will immediately look back to see the official signal from the judge (green, white, or red flag).</t>
  </si>
  <si>
    <t>What is the primary role of the horse's training in "collection"?</t>
  </si>
  <si>
    <t>A) To collect prizes, B) To teach the horse to carry its weight on its hindquarters for better balance and agility, C) To collect different types of pegs, D) It is not important</t>
  </si>
  <si>
    <t>B) To teach the horse to carry its weight on its hindquarters for better balance and agility</t>
  </si>
  <si>
    <t>Collection is a key equestrian concept where the horse is balanced and "uphill," allowing for more powerful and controlled movements.</t>
  </si>
  <si>
    <t>The sport is sometimes called "Neza Bazi". What does "Neza" mean?</t>
  </si>
  <si>
    <t>A) Horse, B) Game, C) Spear or lance, D) Target</t>
  </si>
  <si>
    <t>C) Spear or lance</t>
  </si>
  <si>
    <t>Neza Bazi is the Persian/Urdu term for the sport, which translates to "spear play" or "lancing."</t>
  </si>
  <si>
    <t>A rider is penalized for "crossing." What does this mean in a team event?</t>
  </si>
  <si>
    <t>A) They crossed the finish line too slowly, B) They crossed into the path of a teammate, creating a safety hazard, C) They crossed their legs while riding, D) They used a cross-breed horse</t>
  </si>
  <si>
    <t>B) They crossed into the path of a teammate, creating a safety hazard</t>
  </si>
  <si>
    <t>In a section attack, each rider must maintain their lane. Crossing into another rider's path is a very dangerous foul.</t>
  </si>
  <si>
    <t>What is the primary reason for a rider to use a sword with a curved blade (a sabre) for Lemon Cutting?</t>
  </si>
  <si>
    <t>A) It looks more traditional, B) A curved blade is designed for slicing, whereas a straight blade is for thrusting, C) It is lighter, D) It is sharper</t>
  </si>
  <si>
    <t>B) A curved blade is designed for slicing, whereas a straight blade is for thrusting</t>
  </si>
  <si>
    <t>The curve of a sabre allows the blade to slice through a target efficiently as the rider gallops past.</t>
  </si>
  <si>
    <t>Which of the following is a key mental skill for a Tent Pegger?</t>
  </si>
  <si>
    <t>A) The ability to ignore pressure and focus intensely on a single point, B) A good memory for rules, C) The ability to do math quickly, D) A loud voice</t>
  </si>
  <si>
    <t>A) The ability to ignore pressure and focus intensely on a single point</t>
  </si>
  <si>
    <t>The sport requires immense concentration to perform a precise action in a high-speed, high-pressure environment.</t>
  </si>
  <si>
    <t>A rider's horse is seen wearing blinkers. What is their purpose?</t>
  </si>
  <si>
    <t>A) To protect the horse's eyes from dust, B) To restrict the horse's field of vision and keep it focused on the track ahead, C) They are a decorative element, D) They help the horse to see better at night</t>
  </si>
  <si>
    <t>B) To restrict the horse's field of vision and keep it focused on the track ahead</t>
  </si>
  <si>
    <t>Blinkers prevent the horse from being distracted by movement to its side or rear, ensuring it runs straight.</t>
  </si>
  <si>
    <t>What is the judge's ruling if a rider strikes the peg and lifts it, but the peg is impaled sideways on the lance?</t>
  </si>
  <si>
    <t>A) A Full Peg is awarded, B) A Drawn Peg is awarded, C) No points are awarded, D) The run is replayed</t>
  </si>
  <si>
    <t>A) A Full Peg is awarded</t>
  </si>
  <si>
    <t>The manner in which the peg is attached to the lance does not matter. As long as it is lifted and carried, it is a full score.</t>
  </si>
  <si>
    <t>In a tie-breaking round, what might the officials do to increase the difficulty?</t>
  </si>
  <si>
    <t>A) Make the riders use a heavier lance, B) Decrease the size of the target peg, C) Make the riders go faster, D) Make the track longer</t>
  </si>
  <si>
    <t>B) Decrease the size of the target peg</t>
  </si>
  <si>
    <t>To separate the best riders, the challenge can be increased by using a smaller peg, making the test of accuracy even greater.</t>
  </si>
  <si>
    <t>What is the main reason that Tent Pegging is considered an "extreme sport"?</t>
  </si>
  <si>
    <t>A) It is very expensive, B) It requires a high level of skill and involves significant risk of injury, C) It is only done in extreme weather, D) It is not an extreme sport</t>
  </si>
  <si>
    <t>B) It requires a high level of skill and involves significant risk of injury</t>
  </si>
  <si>
    <t>The combination of high speed, a weapon, and the need for precision makes it a dangerous and demanding athletic endeavor.</t>
  </si>
  <si>
    <t>A rider is part of a "veterans" category. What does this mean?</t>
  </si>
  <si>
    <t>A) They are a member of the armed forces, B) They are an older, experienced rider, C) They use a veteran horse, D) They are a past champion</t>
  </si>
  <si>
    <t>B) They are an older, experienced rider</t>
  </si>
  <si>
    <t>Competitions often have age categories, with a veterans division for senior competitors.</t>
  </si>
  <si>
    <t>A rider lodges a protest that the wind was too strong during their run. What is the likely outcome?</t>
  </si>
  <si>
    <t>A) They will be granted a re-run, B) The protest will be dismissed as weather is part of the sport's challenge, C) The entire competition will be paused, D) They will be given bonus points</t>
  </si>
  <si>
    <t>B) The protest will be dismissed as weather is part of the sport's challenge</t>
  </si>
  <si>
    <t>Environmental conditions like wind and rain are considered part of the challenge, and all riders must compete in the same conditions.</t>
  </si>
  <si>
    <t>What is the primary purpose of the "pommel" (the front, raised part of the saddle)?</t>
  </si>
  <si>
    <t>A) It is a handle for the rider to hold, B) It helps secure the rider in the saddle and prevents them from sliding forward, C) It is a place to rest the lance, D) It is for decoration</t>
  </si>
  <si>
    <t>B) It helps secure the rider in the saddle and prevents them from sliding forward</t>
  </si>
  <si>
    <t>The pommel and cantle (rear) create a deep, secure seat, which is essential for stability.</t>
  </si>
  <si>
    <t>What is the most important characteristic of the ground surface of the track?</t>
  </si>
  <si>
    <t>A) It must be green grass, B) It must be soft sand, C) It must be level, firm, and free of any obstacles or holes, D) It must be slightly sloped</t>
  </si>
  <si>
    <t>C) It must be level, firm, and free of any obstacles or holes</t>
  </si>
  <si>
    <t>A safe and fair track must be consistent and predictable to prevent horses from stumbling or falling.</t>
  </si>
  <si>
    <t>In the "skills-at-arms" event, what might a rider have to do?</t>
  </si>
  <si>
    <t>A) Perform a variety of tasks in a single run, such as spearing a peg, cutting a lemon, and spearing a ring, B) Jump over a series of obstacles, C) Perform a dressage test, D) Race against another horse</t>
  </si>
  <si>
    <t>A) Perform a variety of tasks in a single run, such as spearing a peg, cutting a lemon, and spearing a ring</t>
  </si>
  <si>
    <t>This is a composite event that tests a rider's mastery of multiple different weapons and targeting skills in one go.</t>
  </si>
  <si>
    <t>What is the main reason that a rider must hold the lance near its base (the end)?</t>
  </si>
  <si>
    <t>A) It is a rule, B) It provides the maximum reach and leverage for the strike, C) It is easier to balance, D) It protects the hand</t>
  </si>
  <si>
    <t>B) It provides the maximum reach and leverage for the strike</t>
  </si>
  <si>
    <t>Holding the lance at its end, like a pool cue, allows for the longest and most stable extension of the arm.</t>
  </si>
  <si>
    <t>What is the penalty for a rider who is found to have an illegally sharpened lance tip?</t>
  </si>
  <si>
    <t>A) They must blunt it before competing, B) They are immediately disqualified from the competition, C) They are given a point penalty, D) A warning is issued</t>
  </si>
  <si>
    <t>B) They are immediately disqualified from the competition</t>
  </si>
  <si>
    <t>A sharpened lance is a major safety violation that can cause serious injury to the horse if the rider misses, resulting in disqualification.</t>
  </si>
  <si>
    <t>What is the term for the rider's uniform, especially in a military or paramilitary team?</t>
  </si>
  <si>
    <t>A) The kit, B) The gear, C) The livery or ceremonial dress, D) The costume</t>
  </si>
  <si>
    <t>C) The livery or ceremonial dress</t>
  </si>
  <si>
    <t>Teams often have a specific, formal uniform or "livery" that they wear for parades and competitions.</t>
  </si>
  <si>
    <t>A rider successfully lifts the peg, but it is deeply impaled on the lance. What is the procedure for removing it?</t>
  </si>
  <si>
    <t>A) The rider pulls it off while riding, B) An official helps remove it after the run, C) They use a special tool to remove it, D) The lance is discarded</t>
  </si>
  <si>
    <t>B) An official helps remove it after the run</t>
  </si>
  <si>
    <t>For safety, a ground official will assist the rider in safely removing the tightly lodged peg after they have completed their run.</t>
  </si>
  <si>
    <t>Which sense is most important for a Tent Pegging horse?</t>
  </si>
  <si>
    <t>A) Hearing, to listen to the rider's commands, B) Sight, to see the peg, C) Touch, to feel the rider's leg cues, D) Smell, to find the track</t>
  </si>
  <si>
    <t>C) Touch, to feel the rider's leg cues</t>
  </si>
  <si>
    <t>While all senses are used, a well-trained horse primarily responds to the subtle pressure and cues from the rider's legs and seat.</t>
  </si>
  <si>
    <t>What is the primary difference between Tent Pegging and Polo?</t>
  </si>
  <si>
    <t>A) Polo is a team sport, B) Polo is played with a ball and mallet, while Tent Pegging uses a lance/sword and a stationary target, C) Polo is faster, D) Tent Pegging requires more skill</t>
  </si>
  <si>
    <t>B) Polo is played with a ball and mallet, while Tent Pegging uses a lance/sword and a stationary target</t>
  </si>
  <si>
    <t>They are fundamentally different equestrian sports, one being a team ball game and the other an individual or team target sport.</t>
  </si>
  <si>
    <t>A rider is using a horse that is much smaller than the others. What is a potential disadvantage?</t>
  </si>
  <si>
    <t>A) The horse will be slower, B) The rider will be positioned lower, making the angle for striking the peg more difficult, C) The horse will be weaker, D) There is no disadvantage</t>
  </si>
  <si>
    <t>B) The rider will be positioned lower, making the angle for striking the peg more difficult</t>
  </si>
  <si>
    <t>The rider's height relative to the ground is a key factor in the geometry of the strike. A smaller horse can make this more challenging.</t>
  </si>
  <si>
    <t>In a team competition, the final scores are tied. How is a winner usually determined?</t>
  </si>
  <si>
    <t>A) The teams have a "ride-off" or tie-breaking round, B) The team with the fastest single time wins, C) The team with the fewest penalties wins, D) The match is declared a draw</t>
  </si>
  <si>
    <t>A) The teams have a "ride-off" or tie-breaking round</t>
  </si>
  <si>
    <t>In a tournament, a clear winner is needed, so a tie is typically broken with an additional, high-pressure round.</t>
  </si>
  <si>
    <t>What is the main reason riders must wear heeled boots?</t>
  </si>
  <si>
    <t>A) It is a tradition, B) They provide better grip in the stirrup, C) The heel prevents the foot from slipping all the way through the stirrup, which is a major safety risk, D) They look more professional</t>
  </si>
  <si>
    <t>C) The heel prevents the foot from slipping all the way through the stirrup, which is a major safety risk</t>
  </si>
  <si>
    <t>A heeled boot is a fundamental piece of equestrian safety equipment that can prevent a rider from being dragged in a fall.</t>
  </si>
  <si>
    <t>A rider's horse is lame, so they borrow a horse from another competitor. Is this allowed?</t>
  </si>
  <si>
    <t>A) Yes, if the other competitor agrees, B) No, a rider must compete on their own registered horse, C) Only in practice rounds, D) Only if the horses are the same color</t>
  </si>
  <si>
    <t>B) No, a rider must compete on their own registered horse</t>
  </si>
  <si>
    <t>In official competitions, a rider and their horse are a registered pair. A rider cannot simply switch to a different horse.</t>
  </si>
  <si>
    <t>What does the term "full pass" mean in a team event?</t>
  </si>
  <si>
    <t>A) The team has passed to the next round, B) All four riders in the section have scored a Full Peg, C) All four riders missed the peg, D) The team completed the run within the time limit</t>
  </si>
  <si>
    <t>B) All four riders in the section have scored a Full Peg</t>
  </si>
  <si>
    <t>A "full pass" is a perfect run where every member of the team successfully scores maximum points, earning a bonus.</t>
  </si>
  <si>
    <t>What is the main reason for the "run-up" zone before the start line?</t>
  </si>
  <si>
    <t>A) To allow the horse to accelerate to a controlled and steady gallop, B) It is a waiting area, C) To allow the rider to practice their aim, D) To please the spectators</t>
  </si>
  <si>
    <t>A) To allow the horse to accelerate to a controlled and steady gallop</t>
  </si>
  <si>
    <t>A horse cannot go from a standstill to a perfect gallop instantly. The run-up gives the horse time to find its rhythm and speed before the timed run begins.</t>
  </si>
  <si>
    <t>A rider is disqualified for having a lance that is too heavy. Why would a maximum weight rule exist?</t>
  </si>
  <si>
    <t>A) A heavier lance can be used to bludgeon opponents, B) To ensure fairness and prevent riders from gaining an advantage in windy conditions, C) A heavier lance is more likely to break, D) It is not a rule</t>
  </si>
  <si>
    <t>B) To ensure fairness and prevent riders from gaining an advantage in windy conditions</t>
  </si>
  <si>
    <t>A very heavy lance is less affected by wind, so a maximum weight limit ensures all riders face similar conditions.</t>
  </si>
  <si>
    <t>What is a "clean run"?</t>
  </si>
  <si>
    <t>A) A run where the rider scores a Full Peg, B) A run that is completed without any penalties or fouls, C) A run where the rider's uniform stays clean, D) A run that is very fast</t>
  </si>
  <si>
    <t>B) A run that is completed without any penalties or fouls</t>
  </si>
  <si>
    <t>A "clean run" is one where the rider commits no faults, such as a false start, time fault, or dropping their weapon.</t>
  </si>
  <si>
    <t>Why must the tip of the lance be made of metal?</t>
  </si>
  <si>
    <t>A) It looks better, B) It is needed to penetrate the wooden peg, C) It adds weight to the lance, D) It is a traditional requirement</t>
  </si>
  <si>
    <t>B) It is needed to penetrate the wooden peg</t>
  </si>
  <si>
    <t>A metal tip is essential for the lance to be able to effectively pierce and lift the target from the ground.</t>
  </si>
  <si>
    <t>A team is penalized for "lack of uniformity". What does this mean?</t>
  </si>
  <si>
    <t>A) Their horses are different colors, B) Their riding styles are too different, C) Their uniforms or equipment do not match as required by the rules, D) They did not all score the same number of points</t>
  </si>
  <si>
    <t>C) Their uniforms or equipment do not match as required by the rules</t>
  </si>
  <si>
    <t>In team events, riders are required to have matching attire and tack for a professional and organized appearance.</t>
  </si>
  <si>
    <t>What is the main purpose of the "slow-motion" replay camera in modern competitions?</t>
  </si>
  <si>
    <t>A) To make the event look more dramatic on television, B) To help judges make accurate decisions on close calls and protests, C) To help coaches train their riders, D) To entertain the crowd between runs</t>
  </si>
  <si>
    <t>B) To help judges make accurate decisions on close calls and protests</t>
  </si>
  <si>
    <t>Slow-motion replay is a crucial officiating tool for reviewing whether a peg was drawn, a line was crossed, or a fault was committed.</t>
  </si>
  <si>
    <t>A rider is known for having "soft hands". What does this equestrian term mean?</t>
  </si>
  <si>
    <t>A) They have weak hands, B) They are able to guide the horse with very light and gentle rein cues, C) They wear soft gloves, D) They are a beginner</t>
  </si>
  <si>
    <t>B) They are able to guide the horse with very light and gentle rein cues</t>
  </si>
  <si>
    <t>"Soft hands" are the mark of an expert horseman who can communicate with their horse through subtle signals rather than harsh pulling.</t>
  </si>
  <si>
    <t>Which of these is a key part of a horse's diet for building stamina for Tent Pegging?</t>
  </si>
  <si>
    <t>A) Sugar cubes, B) High-quality hay and controlled amounts of grain, C) Only grass, D) Mostly fruits and vegetables</t>
  </si>
  <si>
    <t>B) High-quality hay and controlled amounts of grain</t>
  </si>
  <si>
    <t>An athletic horse requires a balanced diet of forage (hay) for gut health and energy-rich grains for performance.</t>
  </si>
  <si>
    <t>A rider protests that the sun was in their eyes, causing them to miss. What will the ruling be?</t>
  </si>
  <si>
    <t>A) They will be granted a re-run, B) The protest will be dismissed as environmental conditions are part of the challenge, C) The competition will be paused until the sun moves, D) They will be awarded partial points</t>
  </si>
  <si>
    <t>B) The protest will be dismissed as environmental conditions are part of the challenge</t>
  </si>
  <si>
    <t>All riders compete under the same natural conditions, and factors like sun glare are considered part of the sport.</t>
  </si>
  <si>
    <t>What is the ultimate expression of skill in Tent Pegging?</t>
  </si>
  <si>
    <t>A) Riding the fastest horse, B) Making the difficult task of striking a small target at high speed look effortless and graceful, C) Having the most expensive equipment, D) Winning every match</t>
  </si>
  <si>
    <t>B) Making the difficult task of striking a small target at high speed look effortless and graceful</t>
  </si>
  <si>
    <t>The mark of a true master is not just success, but the appearance of effortless ease in performing an incredibly difficult skill.</t>
  </si>
  <si>
    <t>What is the primary objective a wrestler must achieve to win a Malakhra match outright?</t>
  </si>
  <si>
    <t>A) To lift the opponent off the ground, B) To make the opponent verbally submit, C) To pin the opponent's back to the ground for a set duration, D) To push the opponent out of the ring</t>
  </si>
  <si>
    <t>C) To pin the opponent's back to the ground for a set duration</t>
  </si>
  <si>
    <t>The ultimate goal in Malakhra is to achieve a decisive win by pinning the opponent's back and shoulders to the ground.</t>
  </si>
  <si>
    <t>What is the single most essential piece of equipment that a Malakhra wrestler (pehlwan) must wear?</t>
  </si>
  <si>
    <t>A) Headgear, B) Gloves, C) A twisted cloth belt (sandhro), D) Wrestling shoes</t>
  </si>
  <si>
    <t>C) A twisted cloth belt (sandhro)</t>
  </si>
  <si>
    <t>The sandhro is the central element of the sport; wrestlers grip it to execute all throws, trips, and maneuvers.</t>
  </si>
  <si>
    <t>Which of the following actions is a clear violation of the rules in Malakhra?</t>
  </si>
  <si>
    <t>A) Grabbing the opponent's sandhro (belt), B) Using a leg sweep, C) Striking the opponent with a closed fist, D) Lifting the opponent</t>
  </si>
  <si>
    <t>C) Striking the opponent with a closed fist</t>
  </si>
  <si>
    <t>Malakhra is a grappling art. Striking, kicking, and punching are strictly forbidden and result in a foul.</t>
  </si>
  <si>
    <t>How is the winner of a match decided if no pin occurs within the time limit?</t>
  </si>
  <si>
    <t>A) The match is declared a draw, B) The wrestler who was more aggressive wins, C) The winner is decided based on points awarded by judges for techniques, D) An extra round is played</t>
  </si>
  <si>
    <t>C) The winner is decided based on points awarded by judges for techniques</t>
  </si>
  <si>
    <t>If the match goes the full duration without a pin, the winner is the wrestler who has accumulated the most points for successful maneuvers and penalties against their opponent.</t>
  </si>
  <si>
    <t>What happens if both wrestlers fall to the ground simultaneously without a clear pin?</t>
  </si>
  <si>
    <t>A) The wrestler who landed on top wins a point, B) Both wrestlers lose a point, C) No point is awarded, and the match is restarted from the center, D) The round ends immediately</t>
  </si>
  <si>
    <t>C) No point is awarded, and the match is restarted from the center</t>
  </si>
  <si>
    <t>If there is no clear control or pin during a mutual fall, the action is considered neutral, and the round is reset without any score.</t>
  </si>
  <si>
    <t>What is the traditional wrestling arena for Malakhra called?</t>
  </si>
  <si>
    <t>A) Pehlwan Zone, B) Dojo, C) Mat, D) Akhara</t>
  </si>
  <si>
    <t>The Akhara is the traditional term for the wrestling pit or ground, which is typically a circular area of soft earth or sand.</t>
  </si>
  <si>
    <t>Which part of the body is strictly a forbidden target for any grip or pressure?</t>
  </si>
  <si>
    <t>A) The arms, B) The legs, C) The head and neck, D) The chest</t>
  </si>
  <si>
    <t>C) The head and neck</t>
  </si>
  <si>
    <t>For safety, it is illegal to grab, hold, or apply any pressure to the opponent's head or neck area.</t>
  </si>
  <si>
    <t>Which traditional attire is worn by Malakhra wrestlers during a match?</t>
  </si>
  <si>
    <t>A) Kurta and Pyjama, B) A loincloth or shorts and the sandhro (belt), C) A full-body suit, D) A vest and trousers</t>
  </si>
  <si>
    <t>B) A loincloth or shorts and the sandhro (belt)</t>
  </si>
  <si>
    <t>Wrestlers traditionally wear minimal clothing to allow for freedom of movement and to ensure grips can only be taken on the belt.</t>
  </si>
  <si>
    <t>What is the most essential physical skill required for a Malakhra wrestler?</t>
  </si>
  <si>
    <t>A) Running speed, B) Punching power, C) Kicking ability, D) Powerful grip strength</t>
  </si>
  <si>
    <t>D) Powerful grip strength</t>
  </si>
  <si>
    <t>Since the entire art revolves around controlling the opponent via their belt, a formidable grip is the most critical attribute.</t>
  </si>
  <si>
    <t>What is the penalty for a wrestler who intentionally steps out of the ring (akhara) to avoid a throw?</t>
  </si>
  <si>
    <t>A) A verbal warning is issued, B) A point is awarded to the opponent, C) The wrestler is disqualified, D) The round is restarted</t>
  </si>
  <si>
    <t>B) A point is awarded to the opponent</t>
  </si>
  <si>
    <t>Intentionally leaving the designated area is a foul and results in a point penalty to discourage passive or evasive tactics.</t>
  </si>
  <si>
    <t>What type of ground surface is traditionally used for Malakhra to ensure safety?</t>
  </si>
  <si>
    <t>A) Hard clay, B) Grass, C) Soft sand or loose earth, D) Wooden boards</t>
  </si>
  <si>
    <t>C) Soft sand or loose earth</t>
  </si>
  <si>
    <t>A soft surface is crucial for absorbing the impact of throws and falls, significantly reducing the risk of injury.</t>
  </si>
  <si>
    <t>If a match is tied on points at the end of the final round, what is the most common method to determine a winner?</t>
  </si>
  <si>
    <t>A) A coin toss, B) The judges decide based on aggression, C) A sudden-death round is played, D) The last wrestler to score wins</t>
  </si>
  <si>
    <t>C) A sudden-death round is played</t>
  </si>
  <si>
    <t>In the event of a tie, an extra round is often contested where the first wrestler to score a point or a pin is declared the winner.</t>
  </si>
  <si>
    <t>How are wrestlers typically paired for a competition?</t>
  </si>
  <si>
    <t>A) By age, B) By height, C) By weight class, D) By random selection</t>
  </si>
  <si>
    <t>C) By weight class</t>
  </si>
  <si>
    <t>To ensure fair and competitive matches, wrestlers are categorized and paired based on their weight.</t>
  </si>
  <si>
    <t>What is the traditional title given to a champion Malakhra wrestler in Sindh?</t>
  </si>
  <si>
    <t>A) Malak, B) Ustad, C) Pehlwan, D) Guru</t>
  </si>
  <si>
    <t>C) Pehlwan</t>
  </si>
  <si>
    <t>Pehlwan is the title of respect given to a great or champion wrestler in Malakhra and other South Asian wrestling styles.</t>
  </si>
  <si>
    <t>What is the primary defensive strategy in Malakhra?</t>
  </si>
  <si>
    <t>A) Dodging and evading, B) Blocking the opponent's arms, C) Maintaining a low center of gravity and a strong grip on the opponent's belt, D) Running away</t>
  </si>
  <si>
    <t>C) Maintaining a low center of gravity and a strong grip on the opponent's belt</t>
  </si>
  <si>
    <t>A strong stance and a secure grip on the opponent's sandhro are the keys to defending against throws and controlling the match.</t>
  </si>
  <si>
    <t>What is the penalty for a wrestler who intentionally stalls and refuses to engage?</t>
  </si>
  <si>
    <t>A) A warning, followed by a point deduction for passivity, B) The match is immediately ended, C) The wrestler is given a rest period, D) The opponent is declared the winner</t>
  </si>
  <si>
    <t>A) A warning, followed by a point deduction for passivity</t>
  </si>
  <si>
    <t>To encourage action, a referee will warn a stalling wrestler and then penalize them with a point loss if the behavior continues.</t>
  </si>
  <si>
    <t>How does a Malakhra match traditionally begin?</t>
  </si>
  <si>
    <t>A) With a handshake, B) With the wrestlers tying the sandhro around each other's waists, C) With a coin toss, D) With a bow to the referee</t>
  </si>
  <si>
    <t>B) With the wrestlers tying the sandhro around each other's waists</t>
  </si>
  <si>
    <t>The match starts with the unique ritual of the wrestlers gripping each other's belts, which are then tied to ensure constant contact.</t>
  </si>
  <si>
    <t>What is a "technical pin"?</t>
  </si>
  <si>
    <t>A) A pin achieved using a special technique, B) When a wrestler's shoulder blade is held to the ground for a brief, controlled period (e.g., 1-3 seconds), C) A pin that is disputed by a coach, D) A pin that occurs outside the ring</t>
  </si>
  <si>
    <t>B) When a wrestler's shoulder blade is held to the ground for a brief, controlled period (e.g., 1-3 seconds)</t>
  </si>
  <si>
    <t>This is a rule in many formats where a clear, controlled pin for a specified duration is required to award the victory.</t>
  </si>
  <si>
    <t>What is the best counter to an opponent attempting a hip-wheel (baghali) throw?</t>
  </si>
  <si>
    <t>A) To release your grip on their belt, B) To jump backward, C) To step across their body and block their hip's entry, D) To pull them closer</t>
  </si>
  <si>
    <t>C) To step across their body and block their hip's entry</t>
  </si>
  <si>
    <t>The most effective defense is to use footwork to deny the opponent the hip position they need to use as a fulcrum for the throw.</t>
  </si>
  <si>
    <t>What is the ruling if a wrestler's hand, used for gripping the belt, touches the ground to post for balance?</t>
  </si>
  <si>
    <t>A) This is a legal move to prevent a fall, B) It is a grip violation, and a point is awarded to the opponent, C) The match is restarted, D) There is no penalty</t>
  </si>
  <si>
    <t>B) It is a grip violation, and a point is awarded to the opponent</t>
  </si>
  <si>
    <t>The hands gripping the sandhro must remain engaged with the opponent. Using a gripping hand to post on the mat is a foul.</t>
  </si>
  <si>
    <t>At which cultural events are Malakhra competitions most prominently featured in Sindh?</t>
  </si>
  <si>
    <t>A) Weddings, B) Political rallies, C) Urs (Sufi festivals) and other traditional fairs (melas), D) National holidays</t>
  </si>
  <si>
    <t>C) Urs (Sufi festivals) and other traditional fairs (melas)</t>
  </si>
  <si>
    <t>Malakhra is deeply intertwined with the cultural and religious life of Sindh and is a highlight of major local festivals.</t>
  </si>
  <si>
    <t>Which of these is a common and legal offensive technique in Malakhra?</t>
  </si>
  <si>
    <t>A) Punching the opponent's chest, B) A leg sweep or trip, C) Kicking the opponent's leg, D) A headbutt</t>
  </si>
  <si>
    <t>B) A leg sweep or trip</t>
  </si>
  <si>
    <t>Using the legs to trip or sweep the opponent is a fundamental part of the art's takedown techniques.</t>
  </si>
  <si>
    <t>What is the main purpose of the referee's verbal prompt to "engage"?</t>
  </si>
  <si>
    <t>A) To entertain the crowd, B) To give the wrestlers a break, C) To be the first step in the passivity rule before issuing a formal warning, D) To signal the start of the round</t>
  </si>
  <si>
    <t>C) To be the first step in the passivity rule before issuing a formal warning</t>
  </si>
  <si>
    <t>Before penalizing for stalling, the referee will verbally encourage the wrestlers to be more active.</t>
  </si>
  <si>
    <t>What is the safest way for a wrestler to try and re-center the match if they are near the boundary line?</t>
  </si>
  <si>
    <t>A) To push the opponent out of the ring, B) To release the grip and run to the center, C) To use short, shuffling steps to move both wrestlers back to the center while maintaining the grip, D) To fall down intentionally</t>
  </si>
  <si>
    <t>C) To use short, shuffling steps to move both wrestlers back to the center while maintaining the grip</t>
  </si>
  <si>
    <t>This technique maintains control and avoids penalties for releasing the grip or stepping out of bounds.</t>
  </si>
  <si>
    <t>What is the ruling if a coach shouts an illegal instruction, such as "Twist his neck!"?</t>
  </si>
  <si>
    <t>A) The coach is ignored, B) The coach is given a verbal warning, C) A point penalty is given to the coach's wrestler, D) The match is stopped</t>
  </si>
  <si>
    <t>C) A point penalty is given to the coach's wrestler</t>
  </si>
  <si>
    <t>The conduct of the corner reflects on the wrestler. A coach encouraging illegal actions will be penalized, and the penalty is applied to their fighter.</t>
  </si>
  <si>
    <t>If a wrestler is bleeding from a minor abrasion, what is the standard procedure?</t>
  </si>
  <si>
    <t>A) The match continues, B) The wrestler is disqualified, C) The referee calls a medical timeout to treat and sanitize the wound, D) The opponent wins the round</t>
  </si>
  <si>
    <t>C) The referee calls a medical timeout to treat and sanitize the wound</t>
  </si>
  <si>
    <t>Standard "blood rules" are applied to ensure hygiene and safety. The clock is stopped while the injury is treated.</t>
  </si>
  <si>
    <t>What is the most efficient way to off-balance an opponent to set up a throw?</t>
  </si>
  <si>
    <t>A) By shouting at them, B) By snapping their belt to shift their weight forward, C) By pushing their head down, D) By waiting for them to get tired</t>
  </si>
  <si>
    <t>B) By snapping their belt to shift their weight forward</t>
  </si>
  <si>
    <t>A quick tug or snap on the sandhro can force the opponent's weight onto their toes, making them vulnerable to a sweep or throw.</t>
  </si>
  <si>
    <t>How is a "step-out" foul officially confirmed by a referee?</t>
  </si>
  <si>
    <t>A) If the wrestler's heel touches the line, B) If the wrestler's entire foot makes contact with the ground outside the boundary line, C) If any part of the wrestler's body crosses the line, D) If the wrestler's shadow crosses the line</t>
  </si>
  <si>
    <t>B) If the wrestler's entire foot makes contact with the ground outside the boundary line</t>
  </si>
  <si>
    <t>The rule requires a clear exit from the ring. A simple brush of the line is often not penalized, but a full step out is a clear foul.</t>
  </si>
  <si>
    <t>What is the primary role of the assistant judges or table officials?</t>
  </si>
  <si>
    <t>A) To coach the wrestlers, B) To keep the official time and record points and penalties as confirmed by the referee, C) To control the crowd, D) To provide medical assistance</t>
  </si>
  <si>
    <t>B) To keep the official time and record points and penalties as confirmed by the referee</t>
  </si>
  <si>
    <t>The table officials are responsible for the administrative and record-keeping aspects of the match, supporting the central referee.</t>
  </si>
  <si>
    <t>What is the safest way to finish a throw?</t>
  </si>
  <si>
    <t>A) To let go of the opponent in mid-air, B) To follow the opponent to the ground and establish chest-to-chest control, C) To spin away immediately after they fall, D) To raise one's hands in celebration</t>
  </si>
  <si>
    <t>B) To follow the opponent to the ground and establish chest-to-chest control</t>
  </si>
  <si>
    <t>Maintaining control after a throw is crucial for securing a pin and preventing the opponent from scrambling into a reversal.</t>
  </si>
  <si>
    <t>In junior divisions, what is the most common rule modification?</t>
  </si>
  <si>
    <t>A) A larger ring is used, B) Shorter round durations, C) The belt is not used, D) Pins are not allowed</t>
  </si>
  <si>
    <t>B) Shorter round durations</t>
  </si>
  <si>
    <t>To account for the lower endurance levels of younger athletes, the length of the rounds is typically reduced.</t>
  </si>
  <si>
    <t>If the sandhro (belt) tears or breaks during a match, what is the correct procedure?</t>
  </si>
  <si>
    <t>A) The match continues without the belt, B) The referee immediately stops the match to replace the belt, C) The wrestler whose side it broke on forfeits, D) A point is awarded to the opponent</t>
  </si>
  <si>
    <t>B) The referee immediately stops the match to replace the belt</t>
  </si>
  <si>
    <t>The belt is essential for the sport. If it becomes compromised, the match must be paused for safety and to replace the faulty equipment.</t>
  </si>
  <si>
    <t>What is the main characteristic of the Malh wrestling tradition from which Malakhra is derived?</t>
  </si>
  <si>
    <t>A) It is a form of kickboxing, B) It is a South Indian martial art, C) It is an ancient form of grappling found throughout the Indian subcontinent, D) It is a modern sport</t>
  </si>
  <si>
    <t>C) It is an ancient form of grappling found throughout the Indian subcontinent</t>
  </si>
  <si>
    <t>Malakhra is a specific form of the wider Malh or Malla-yuddha tradition of wrestling that has existed in the region for thousands of years.</t>
  </si>
  <si>
    <t>A wrestler is penalized for using an "illegal grip." Which of these is an example?</t>
  </si>
  <si>
    <t>A) Gripping the belt with both hands, B) Hooking fingers inside the opponent's shorts or loincloth, C) A high grip on the opponent's back, D) A low grip on the opponent's hip</t>
  </si>
  <si>
    <t>B) Hooking fingers inside the opponent's shorts or loincloth</t>
  </si>
  <si>
    <t>All grips must be on the sandhro itself. Grabbing the opponent's clothing is a foul.</t>
  </si>
  <si>
    <t>What is the main purpose of the pre-match ritual where wrestlers slap their thighs and chest?</t>
  </si>
  <si>
    <t>A) To warm up the muscles and intimidate the opponent, B) It is a required religious ceremony, C) To signal readiness to the referee, D) To check for injuries</t>
  </si>
  <si>
    <t>A) To warm up the muscles and intimidate the opponent</t>
  </si>
  <si>
    <t>This is a traditional display of strength and readiness, common in many South Asian wrestling styles.</t>
  </si>
  <si>
    <t>If time expires while a wrestler is in the process of pinning their opponent, but the pin is not complete, what is the result?</t>
  </si>
  <si>
    <t>A) The pin is awarded, B) No pin is awarded, and the winner is decided by the points total, C) An extra 10 seconds are added, D) The round is always a draw</t>
  </si>
  <si>
    <t>B) No pin is awarded, and the winner is decided by the points total</t>
  </si>
  <si>
    <t>The pin must be fully secured and acknowledged by the referee before the time limit expires.</t>
  </si>
  <si>
    <t>What is the main reason that Malakhra is particularly popular in rural Sindh?</t>
  </si>
  <si>
    <t>A) It is the only sport available, B) It is a low-cost sport that is deeply integrated with local festivals and cultural identity, C) It is a mandatory school subject, D) It is heavily sponsored by the government</t>
  </si>
  <si>
    <t>B) It is a low-cost sport that is deeply integrated with local festivals and cultural identity</t>
  </si>
  <si>
    <t>Its accessibility and strong cultural roots have made it an enduring tradition in the villages of Sindh.</t>
  </si>
  <si>
    <t>What is the referee's verbal command to begin the match?</t>
  </si>
  <si>
    <t>A) "Mulai!", B) "Shuru!", C) "Tayyar!" (Ready!), D) There is no verbal command</t>
  </si>
  <si>
    <t>C) "Tayyar!" (Ready!)</t>
  </si>
  <si>
    <t>After the wrestlers are properly gripped, the referee will give the command "Tayyar!" to signal the start of the action.</t>
  </si>
  <si>
    <t>A wrestler wins a major tournament. What is the highest honor they can receive, besides the prize?</t>
  </si>
  <si>
    <t>A) A government job, B) The title of "Ustad" (Master) and the respect of the community, C) A new wrestling ring, D) A lifetime supply of belts</t>
  </si>
  <si>
    <t>B) The title of "Ustad" (Master) and the respect of the community</t>
  </si>
  <si>
    <t>Becoming a recognized master and a respected elder in the sport is the ultimate achievement for a pehlwan.</t>
  </si>
  <si>
    <t>What is the primary difference between Malakhra and standard Freestyle Wrestling?</t>
  </si>
  <si>
    <t>A) The use of the belt (sandhro) as the sole gripping point, B) Malakhra is played in rounds, C) Malakhra does not have weight classes, D) There is no difference</t>
  </si>
  <si>
    <t>A) The use of the belt (sandhro) as the sole gripping point</t>
  </si>
  <si>
    <t>The mandatory grip on the twisted cloth belt is the defining characteristic that separates Malakhra from all other forms of wrestling.</t>
  </si>
  <si>
    <t>A wrestler is warned for using their head to intentionally butt the opponent's chest. Is this a valid foul?</t>
  </si>
  <si>
    <t>A) No, this is a legal move, B) Yes, using the head as a weapon is a foul, C) Only if it causes an injury, D) Only if the opponent complains</t>
  </si>
  <si>
    <t>B) Yes, using the head as a weapon is a foul</t>
  </si>
  <si>
    <t>While incidental head contact can occur, deliberately using the head to strike or push an opponent is illegal.</t>
  </si>
  <si>
    <t>If a wrestler's bandage or wrapping comes loose during a match, what should the referee do?</t>
  </si>
  <si>
    <t>A) Let the match continue, B) Stop the match at a safe moment to have it re-secured, C) Award a point to the opponent, D) Disqualify the wrestler</t>
  </si>
  <si>
    <t>B) Stop the match at a safe moment to have it re-secured</t>
  </si>
  <si>
    <t>A loose bandage can become a hazard (e.g., by getting tangled in fingers), so the referee will pause the fight to fix it.</t>
  </si>
  <si>
    <t>What is the main purpose of keeping a low center of gravity in a Malakhra stance?</t>
  </si>
  <si>
    <t>A) It makes the wrestler a smaller target, B) It increases stability and makes it much harder for the opponent to lift or throw them, C) It is a resting position, D) It helps with breathing</t>
  </si>
  <si>
    <t>B) It increases stability and makes it much harder for the opponent to lift or throw them</t>
  </si>
  <si>
    <t>A low, wide base is the key to both a powerful offense and a solid defense in grappling.</t>
  </si>
  <si>
    <t>A wrestler is penalized for "inactivity." What does this mean?</t>
  </si>
  <si>
    <t>A) They are not moving their feet, B) They are holding a grip but making no attempt to execute a technique, C) They are breathing too heavily, D) They are being too defensive</t>
  </si>
  <si>
    <t>B) They are holding a grip but making no attempt to execute a technique</t>
  </si>
  <si>
    <t>Also known as stalling or passivity, a wrestler must be actively trying to score, not just holding on.</t>
  </si>
  <si>
    <t>What is the most common type of injury in Malakhra?</t>
  </si>
  <si>
    <t>A) Cuts and bruises, B) Concussions, C) Joint sprains (knee, ankle, shoulder) from throws and twists, D) Broken bones</t>
  </si>
  <si>
    <t>C) Joint sprains (knee, ankle, shoulder) from throws and twists</t>
  </si>
  <si>
    <t>The dynamic and powerful nature of the throws puts a great deal of stress on the body's joints.</t>
  </si>
  <si>
    <t>If a wrestler refuses the traditional post-match handshake, what is the likely consequence?</t>
  </si>
  <si>
    <t>A) There is no consequence, B) A warning for unsportsmanlike conduct may be issued, C) They must forfeit their prize, D) The match is replayed</t>
  </si>
  <si>
    <t>B) A warning for unsportsmanlike conduct may be issued</t>
  </si>
  <si>
    <t>The sport places a high value on respect and sportsmanship, and a refusal to acknowledge an opponent is a breach of this code.</t>
  </si>
  <si>
    <t>Which of these is a legal way to use the legs for an attack?</t>
  </si>
  <si>
    <t>A) Kicking the opponent's shin, B) Using an inside leg trip, C) Kneeing the opponent in the stomach, D) Stomping on the opponent's foot</t>
  </si>
  <si>
    <t>B) Using an inside leg trip</t>
  </si>
  <si>
    <t>Using the legs to sweep, trip, or reap an opponent's legs is a fundamental and legal part of Malakhra.</t>
  </si>
  <si>
    <t>The referee determines that a pin was made possible only because the winning wrestler illegally grabbed the opponent's shorts. What is the ruling?</t>
  </si>
  <si>
    <t>A) The pin is valid, B) The pin is invalid, and a foul is called on the winning wrestler, C) The round is replayed, D) The losing wrestler is given a point</t>
  </si>
  <si>
    <t>B) The pin is invalid, and a foul is called on the winning wrestler</t>
  </si>
  <si>
    <t>A result that is achieved through an illegal action cannot be counted. The referee will nullify the pin and issue a penalty.</t>
  </si>
  <si>
    <t>What is the main reason that wrestlers traditionally compete bare-chested?</t>
  </si>
  <si>
    <t>A) To show off their muscles, B) To prevent an opponent from illegally grabbing their shirt, C) It is cooler in the hot climate, D) All of the above</t>
  </si>
  <si>
    <t>Competing bare-chested is practical (prevents grabbing, stays cool) and is also a traditional display of a wrestler's physique (pehlwan).</t>
  </si>
  <si>
    <t>What is the ultimate expression of victory in Malakhra?</t>
  </si>
  <si>
    <t>A) Winning by the most points, B) Winning by a decisive and clean pin, C) Making the opponent quit, D) Winning the approval of the crowd</t>
  </si>
  <si>
    <t>B) Winning by a decisive and clean pin</t>
  </si>
  <si>
    <t>While a points victory is valid, a clean pin is the most definitive and respected way to win a match, leaving no doubt about the victor's superiority.</t>
  </si>
  <si>
    <t>What is the judge's flag signal for a "Drawn Peg" (2 points)?</t>
  </si>
  <si>
    <t>A) A green flag, B) A white flag, C) A red flag, D) A blue flag</t>
  </si>
  <si>
    <t>B) A white flag</t>
  </si>
  <si>
    <t>In the ITPF flag system, white signifies a partial score for a peg that was dislodged but not carried.</t>
  </si>
  <si>
    <t>What is the primary risk of using a lance that is too heavy for the rider?</t>
  </si>
  <si>
    <t>What is the ruling if a rider drops their lance (with the peg still on it) before the finish line?</t>
  </si>
  <si>
    <t>A) Full points are awarded, B) Half points are awarded, C) Zero points are awarded for that run, D) The run is replayed</t>
  </si>
  <si>
    <t>C) Zero points are awarded for that run</t>
  </si>
  <si>
    <t>Why do riders often wear traditional robes for ceremonies but not for high-level competitions?</t>
  </si>
  <si>
    <t>In Lemon Cutting, what is the ruling if a rider hits the stand holding the lemon?</t>
  </si>
  <si>
    <t>Why must a Tent Pegging horse be well-trained to respond to the rider's leg cues?</t>
  </si>
  <si>
    <t>A) It is a rule, B) The rider needs one hand for the lance, so they must guide the horse primarily with their legs, C) It makes the horse more comfortable, D) It looks more professional</t>
  </si>
  <si>
    <t>B) The rider needs one hand for the lance, so they must guide the horse primarily with their legs</t>
  </si>
  <si>
    <t>A good horse maintains a straight path with minimal rein input, freeing the rider to concentrate on the weapon.</t>
  </si>
  <si>
    <t>A rider protests that the peg was placed in soil that was too hard. What can the officials do?</t>
  </si>
  <si>
    <t>What is the ultimate goal of the ITPF Tent Pegging World Cup?</t>
  </si>
  <si>
    <t>The World Cup is the pinnacle of the sport, bringing together the best riders from member nations to compete for the championship title.</t>
  </si>
  <si>
    <t>In a fast-paced event, uniform colors are essential for clear and accurate judging of team performance.</t>
  </si>
  <si>
    <t>Breaking stride to a slower gait will cause the rider to fail to complete the run within the required time, resulting in a time fault.</t>
  </si>
  <si>
    <t>A) There is no difference, B) A lance is a type of spear designed specifically for use on horseback, C) A spear is longer than a lance, D) A lance is made of metal</t>
  </si>
  <si>
    <t>B) A lance is a type of spear designed specifically for use on horseback</t>
  </si>
  <si>
    <t>While similar, a lance is a spear that has been specifically adapted over centuries for cavalry use, focusing on balance for a mounted warrior.</t>
  </si>
  <si>
    <t>A rider's performance in one event does not affect their eligibility to compete in other scheduled events at the same tournament.</t>
  </si>
  <si>
    <t>What is the primary reason for using a wooden peg instead of a plastic one?</t>
  </si>
  <si>
    <t>A) Wood is cheaper, B) Wood provides the right amount of resistance and can be pierced cleanly by the lance, C) Plastic is too heavy, D) It is a modern trend</t>
  </si>
  <si>
    <t>B) Wood provides the right amount of resistance and can be pierced cleanly by the lance</t>
  </si>
  <si>
    <t>What is the primary purpose of the "run-up" area before the official start line?</t>
  </si>
  <si>
    <t>The run-up is crucial for the horse to reach a steady, controlled gallop before the timed run begins.</t>
  </si>
  <si>
    <t>The Marwari is a traditional South Asian cavalry horse known for its hardiness, bravery, and exceptional agility.</t>
  </si>
  <si>
    <t>A) A short lance is harder to see, B) To prevent riders from gaining an unfair advantage in maneuverability, C) To ensure the rider is a safe distance from the peg, D) It is a traditional rule</t>
  </si>
  <si>
    <t>A rider's horse drifts sideways, forcing them to strike the peg at an angle. Why is this a disadvantage?</t>
  </si>
  <si>
    <t>A straight approach is crucial for the lance tip to properly engage and lift the peg.</t>
  </si>
  <si>
    <t>What is the ruling if a rider strikes the peg and lifts it, but the peg itself breaks while on the lance?</t>
  </si>
  <si>
    <t>A) They are a member of the armed forces, B) They are an older, experienced rider competing against their peers, C) They use a veteran horse, D) They are a past champion</t>
  </si>
  <si>
    <t>B) They are an older, experienced rider competing against their peers</t>
  </si>
  <si>
    <t>What is the purpose of the pommel (the front, raised part of the saddle)?</t>
  </si>
  <si>
    <t>A) It is a handle for the rider to hold, B) It helps secure the rider and prevents them from sliding forward, C) It is a place to rest the lance, D) It is for decoration</t>
  </si>
  <si>
    <t>B) It helps secure the rider and prevents them from sliding forward</t>
  </si>
  <si>
    <t>A) Perform a variety of tasks in a single run, such as spearing a peg and cutting a lemon, B) Jump over a series of obstacles, C) Perform a dressage test, D) Race against another horse</t>
  </si>
  <si>
    <t>A) Perform a variety of tasks in a single run, such as spearing a peg and cutting a lemon</t>
  </si>
  <si>
    <t>A) A heavier lance is more dangerous, B) To ensure fairness and prevent riders from gaining an advantage in windy conditions, C) A heavier lance is more likely to break, D) It is not a rule</t>
  </si>
  <si>
    <t>A) It looks better, B) It is needed to effectively penetrate and lift the wooden peg, C) It adds weight to the lance for balance, D) It is a traditional requirement</t>
  </si>
  <si>
    <t>B) It is needed to effectively penetrate and lift the wooden peg</t>
  </si>
  <si>
    <t>A metal tip is essential for the lance to be able to pierce and lift the target from the ground without breaking.</t>
  </si>
  <si>
    <t>A) To make the event look more dramatic, B) To help judges make accurate decisions on close calls and protests, C) To help coaches train their riders, D) To entertain the crowd between runs</t>
  </si>
  <si>
    <t>Slow-motion replay is a crucial officiating tool for reviewing whether a peg was drawn, a line was crossed, or a foul was committed.</t>
  </si>
  <si>
    <t>A rider is known for having "soft hands." What does this equestrian term mean?</t>
  </si>
  <si>
    <t>What is the primary reason riders must wear heeled boots?</t>
  </si>
  <si>
    <t>A) It is a tradition, B) They provide better grip in the stirrup, C) The heel prevents the foot from slipping all the way through the stirrup, D) They look more professional</t>
  </si>
  <si>
    <t>C) The heel prevents the foot from slipping all the way through the stirrup</t>
  </si>
  <si>
    <t>A "full pass" is a perfect run where every member of the team successfully scores maximum points, often earning a bonus.</t>
  </si>
  <si>
    <t>A) The rider is given a heavier lance, B) The rider is disqualified for using illegal equipment, C) The rider is allowed to compete but cannot score points, D) A time penalty is added</t>
  </si>
  <si>
    <t>B) The rider is disqualified for using illegal equipment</t>
  </si>
  <si>
    <t>Using non-regulation equipment that provides an unfair advantage is a form of cheating and results in disqualification.</t>
  </si>
  <si>
    <t>What is the primary reason for using a sword with a curved blade (a sabre) for Lemon Cutting?</t>
  </si>
  <si>
    <t>Blinkers are a piece of tack that prevent the horse from being distracted by movement to its side or rear, ensuring it runs straight.</t>
  </si>
  <si>
    <t>The manner in which the peg is attached to the lance does not matter. As long as it is lifted and carried across the line, it is a full score.</t>
  </si>
  <si>
    <t>In a tie-breaking round, how might officials increase the difficulty?</t>
  </si>
  <si>
    <t>A) Make the riders use a heavier lance, B) Decrease the width of the target peg, C) Make the riders go faster, D) Make the track longer</t>
  </si>
  <si>
    <t>B) Decrease the width of the target peg</t>
  </si>
  <si>
    <t>To separate the best riders, the challenge can be increased by using a smaller target, making the test of accuracy even greater.</t>
  </si>
  <si>
    <t>What is the main reason a rider must hold the lance near its base?</t>
  </si>
  <si>
    <t>Holding the lance at its end allows for the longest and most stable extension of the arm, which is critical for accuracy.</t>
  </si>
  <si>
    <t>A sharpened lance is a major safety violation that can cause serious injury to the horse if the rider misses, and it is strictly forbidden.</t>
  </si>
  <si>
    <t>A rider's horse completes the run in 5 seconds (on a 100m course) and gets a Full Peg. Is this a valid score?</t>
  </si>
  <si>
    <t>A) Yes, and they may get a bonus for speed, B) No, the run was too fast to be judged, C) Yes, as it is under the maximum time limit, D) No, there is a minimum time limit as well</t>
  </si>
  <si>
    <t>C) Yes, as it is under the maximum time limit</t>
  </si>
  <si>
    <t>What is the most important characteristic of the track's ground surface?</t>
  </si>
  <si>
    <t>A) It must be grass, B) It must be soft sand, C) It must be level, firm, and free of obstacles, D) It must be slightly sloped</t>
  </si>
  <si>
    <t>C) It must be level, firm, and free of obstacles</t>
  </si>
  <si>
    <t>A safe and fair track must be consistent and predictable to prevent horses from stumbling, ensuring the safety of all participants.</t>
  </si>
  <si>
    <t>What is a "skills-at-arms" event?</t>
  </si>
  <si>
    <t>A) A single run requiring the use of multiple different weapons and targets, B) A series of jumps over obstacles, C) A dressage test, D) A horse race</t>
  </si>
  <si>
    <t>A) A single run requiring the use of multiple different weapons and targets</t>
  </si>
  <si>
    <t>This is a composite event that tests a rider's mastery of various skills, such as spearing a peg and cutting a lemon in the same run.</t>
  </si>
  <si>
    <t>What is the main reason a rider must wear heeled boots?</t>
  </si>
  <si>
    <t>A) It is a tradition, B) They provide better grip in the stirrup, C) The heel prevents the foot from slipping through the stirrup, which is a major safety risk, D) They look more professional</t>
  </si>
  <si>
    <t>C) The heel prevents the foot from slipping through the stirrup, which is a major safety risk</t>
  </si>
  <si>
    <t>A rider's horse is lame, so they try to use a teammate's horse. Is this allowed?</t>
  </si>
  <si>
    <t>A) Yes, if the teammate agrees, B) No, a rider must compete on their own registered horse, C) Only in practice rounds, D) Only if the horses are the same color</t>
  </si>
  <si>
    <t>A) It looks better, B) It is needed to effectively penetrate and lift the wooden peg, C) It adds weight to the lance, D) It is a traditional requirement</t>
  </si>
  <si>
    <t>A metal tip is essential for the lance to be able to pierce and lift the target from the ground without the weapon itself breaking.</t>
  </si>
  <si>
    <t>What is the penalty for a team with non-matching uniforms in a team event?</t>
  </si>
  <si>
    <t>A) A point deduction, B) Disqualification, C) They are not allowed to start, D) A warning is issued</t>
  </si>
  <si>
    <t>C) They are not allowed to start</t>
  </si>
  <si>
    <t>In team events, riders are required to have matching attire and tack for a professional and organized appearance before they can compete.</t>
  </si>
  <si>
    <t>What is the main purpose of "slow-motion" replay cameras in modern competitions?</t>
  </si>
  <si>
    <t>A) To make the event look dramatic on television, B) To help judges make accurate decisions on close calls and protests, C) To help coaches train their riders, D) To entertain the crowd between runs</t>
  </si>
  <si>
    <t>A) They have weak hands, B) They guide the horse with very light and gentle rein cues, C) They wear soft gloves, D) They are a beginner</t>
  </si>
  <si>
    <t>B) They guide the horse with very light and gentle rein cues</t>
  </si>
  <si>
    <t>A rider protests that the sun was in their eyes. What will the ruling be?</t>
  </si>
  <si>
    <t>What does a "full pass" mean in a team event?</t>
  </si>
  <si>
    <t>A) The team has advanced to the next round, B) All four riders in the section have scored a Full Peg, C) All four riders missed the peg, D) The team completed the run within the time limit</t>
  </si>
  <si>
    <t>A) A run where the rider scores a Full Peg, B) A run completed without any penalties, C) A run where the uniform stays clean, D) A very fast run</t>
  </si>
  <si>
    <t>B) A run completed without any penalties</t>
  </si>
  <si>
    <t>A "clean run" refers to a performance that is free of any faults, such as a false start, time fault, or dropping the weapon.</t>
  </si>
  <si>
    <t>Why must the tip of the lance be metal?</t>
  </si>
  <si>
    <t>A) It looks better, B) It is necessary to penetrate the wooden peg, C) It adds weight, D) It is a tradition</t>
  </si>
  <si>
    <t>B) It is necessary to penetrate the wooden peg</t>
  </si>
  <si>
    <t>A metal tip is essential for the lance to pierce and lift the target from the ground without the weapon itself breaking.</t>
  </si>
  <si>
    <t>What is a penalty for a team with non-matching uniforms?</t>
  </si>
  <si>
    <t>In team events, riders must have matching attire for a professional appearance before they can compete.</t>
  </si>
  <si>
    <t>What is the main purpose of slow-motion replay cameras?</t>
  </si>
  <si>
    <t>A) To make the event look dramatic, B) To help judges make accurate decisions, C) To help coaches, D) To entertain the crowd</t>
  </si>
  <si>
    <t>B) To help judges make accurate decisions</t>
  </si>
  <si>
    <t>Slow-motion replay is a crucial officiating tool for reviewing close calls and protests.</t>
  </si>
  <si>
    <t>What does it mean for a rider to have "soft hands"?</t>
  </si>
  <si>
    <t>A) They have weak hands, B) They guide the horse with light rein cues, C) They wear soft gloves, D) They are a beginner</t>
  </si>
  <si>
    <t>B) They guide the horse with light rein cues</t>
  </si>
  <si>
    <t>"Soft hands" signify an expert horseman who communicates through subtle signals.</t>
  </si>
  <si>
    <t>What is a key part of a horse's diet for stamina?</t>
  </si>
  <si>
    <t>A) Sugar cubes, B) High-quality hay and grain, C) Only grass, D) Fruits and vegetables</t>
  </si>
  <si>
    <t>B) High-quality hay and grain</t>
  </si>
  <si>
    <t>An athletic horse requires a balanced diet of forage and energy-rich grains for performance.</t>
  </si>
  <si>
    <t>What is the ruling if a rider protests about sun glare?</t>
  </si>
  <si>
    <t>A) They get a re-run, B) The protest is dismissed, C) The competition is paused, D) They get partial points</t>
  </si>
  <si>
    <t>B) The protest is dismissed</t>
  </si>
  <si>
    <t>Environmental conditions like sun glare are considered part of the sport's challenge.</t>
  </si>
  <si>
    <t>What does a "full pass" signify in a team event?</t>
  </si>
  <si>
    <t>A) The team advances, B) All four riders scored a Full Peg, C) All four riders missed, D) They finished on time</t>
  </si>
  <si>
    <t>B) All four riders scored a Full Peg</t>
  </si>
  <si>
    <t>A "full pass" is a perfect run, often earning a bonus.</t>
  </si>
  <si>
    <t>What is the penalty for using a lance lighter than the minimum weight?</t>
  </si>
  <si>
    <t>A) The rider gets a heavier lance, B) Disqualification, C) Allowed to compete without scoring, D) A time penalty</t>
  </si>
  <si>
    <t>B) Disqualification</t>
  </si>
  <si>
    <t>Using non-regulation equipment that provides an unfair advantage is a form of cheating.</t>
  </si>
  <si>
    <t>What does a rider do in the "lance out" salute?</t>
  </si>
  <si>
    <t>A) Throws the lance, B) Points the lance straight up, C) Places the lance on the ground, D) Hands it to an official</t>
  </si>
  <si>
    <t>B) Points the lance straight up</t>
  </si>
  <si>
    <t>This is a respectful gesture to signal the completion of the run and acknowledge officials.</t>
  </si>
  <si>
    <t>A) No difference, B) A lance is for use on horseback, C) A spear is longer, D) A lance is metal</t>
  </si>
  <si>
    <t>B) A lance is for use on horseback</t>
  </si>
  <si>
    <t>A lance is a type of spear specifically adapted for cavalry use.</t>
  </si>
  <si>
    <t>Can an eliminated individual rider still compete in the team event?</t>
  </si>
  <si>
    <t>A) No, B) Yes, C) Only if the captain agrees, D) Only if they apologize</t>
  </si>
  <si>
    <t>B) Yes</t>
  </si>
  <si>
    <t>Individual and team events are separate competitions; eligibility is not linked.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</si>
</sst>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0" xfId="0" applyAlignment="1" applyFont="1">
      <alignment horizontal="right" shrinkToFit="0" vertical="bottom" wrapText="0"/>
    </xf>
    <xf borderId="0" fillId="0" fontId="1" numFmtId="0" xfId="0" applyAlignment="1" applyFont="1">
      <alignment shrinkToFit="0" vertical="bottom" wrapText="0"/>
    </xf>
    <xf borderId="0" fillId="0" fontId="2" numFmtId="0" xfId="0" applyAlignment="1" applyFont="1">
      <alignment shrinkToFit="0" vertical="center" wrapText="0"/>
    </xf>
    <xf quotePrefix="1" borderId="0" fillId="0" fontId="1" numFmtId="0" xfId="0" applyAlignment="1" applyFont="1">
      <alignment shrinkToFit="0" vertical="bottom"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Chaturanga-style">
      <tableStyleElement dxfId="1" type="headerRow"/>
      <tableStyleElement dxfId="2" type="firstRowStripe"/>
      <tableStyleElement dxfId="3" type="secondRowStripe"/>
      <tableStyleElement dxfId="4" size="0" type="wholeTable"/>
    </tableStyle>
    <tableStyle count="4" pivot="0" name="Chaturanga-style 2">
      <tableStyleElement dxfId="1" type="headerRow"/>
      <tableStyleElement dxfId="2" type="firstRowStripe"/>
      <tableStyleElement dxfId="3" type="secondRowStripe"/>
      <tableStyleElement dxfId="4" size="0" type="wholeTable"/>
    </tableStyle>
    <tableStyle count="4" pivot="0" name="Buzkashi-style">
      <tableStyleElement dxfId="1" type="headerRow"/>
      <tableStyleElement dxfId="2" type="firstRowStripe"/>
      <tableStyleElement dxfId="3" type="secondRowStripe"/>
      <tableStyleElement dxfId="4" size="0" type="wholeTable"/>
    </tableStyle>
    <tableStyle count="4" pivot="0" name="Buzkashi-style 2">
      <tableStyleElement dxfId="1" type="headerRow"/>
      <tableStyleElement dxfId="2" type="firstRowStripe"/>
      <tableStyleElement dxfId="3" type="secondRowStripe"/>
      <tableStyleElement dxfId="4" size="0" type="wholeTable"/>
    </tableStyle>
    <tableStyle count="4" pivot="0" name="Gatka-style">
      <tableStyleElement dxfId="1" type="headerRow"/>
      <tableStyleElement dxfId="2" type="firstRowStripe"/>
      <tableStyleElement dxfId="3" type="secondRowStripe"/>
      <tableStyleElement dxfId="4" size="0" type="wholeTable"/>
    </tableStyle>
    <tableStyle count="4" pivot="0" name="Gatka-style 2">
      <tableStyleElement dxfId="1" type="headerRow"/>
      <tableStyleElement dxfId="2" type="firstRowStripe"/>
      <tableStyleElement dxfId="3" type="secondRowStripe"/>
      <tableStyleElement dxfId="4" size="0" type="wholeTable"/>
    </tableStyle>
    <tableStyle count="4" pivot="0" name="Gilli Danda-style">
      <tableStyleElement dxfId="1" type="headerRow"/>
      <tableStyleElement dxfId="2" type="firstRowStripe"/>
      <tableStyleElement dxfId="3" type="secondRowStripe"/>
      <tableStyleElement dxfId="4" size="0" type="wholeTable"/>
    </tableStyle>
    <tableStyle count="4" pivot="0" name="Gilli Danda-style 2">
      <tableStyleElement dxfId="1" type="headerRow"/>
      <tableStyleElement dxfId="2" type="firstRowStripe"/>
      <tableStyleElement dxfId="3" type="secondRowStripe"/>
      <tableStyleElement dxfId="4" size="0" type="wholeTable"/>
    </tableStyle>
    <tableStyle count="4" pivot="0" name="Tent Pegging-style">
      <tableStyleElement dxfId="1" type="headerRow"/>
      <tableStyleElement dxfId="2" type="firstRowStripe"/>
      <tableStyleElement dxfId="3" type="secondRowStripe"/>
      <tableStyleElement dxfId="4" size="0" type="wholeTable"/>
    </tableStyle>
    <tableStyle count="4" pivot="0" name="Tent Pegging-style 2">
      <tableStyleElement dxfId="1" type="headerRow"/>
      <tableStyleElement dxfId="2" type="firstRowStripe"/>
      <tableStyleElement dxfId="3" type="secondRowStripe"/>
      <tableStyleElement dxfId="4" size="0" type="wholeTable"/>
    </tableStyle>
    <tableStyle count="4" pivot="0" name="Malakhra-style">
      <tableStyleElement dxfId="1" type="headerRow"/>
      <tableStyleElement dxfId="2" type="firstRowStripe"/>
      <tableStyleElement dxfId="3" type="secondRowStripe"/>
      <tableStyleElement dxfId="4" size="0" type="wholeTable"/>
    </tableStyle>
    <tableStyle count="4" pivot="0" name="Malakhra-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51" displayName="Table1" name="Table1" id="1">
  <tableColumns count="5">
    <tableColumn name="Question Number" id="1"/>
    <tableColumn name="Question" id="2"/>
    <tableColumn name="Options" id="3"/>
    <tableColumn name="Answer" id="4"/>
    <tableColumn name="Description" id="5"/>
  </tableColumns>
  <tableStyleInfo name="Chaturanga-style" showColumnStripes="0" showFirstColumn="1" showLastColumn="1" showRowStripes="1"/>
</table>
</file>

<file path=xl/tables/table2.xml><?xml version="1.0" encoding="utf-8"?>
<table xmlns="http://schemas.openxmlformats.org/spreadsheetml/2006/main" ref="G1:K151" displayName="Table2" name="Table2" id="2">
  <tableColumns count="5">
    <tableColumn name="سوال نمبر" id="1"/>
    <tableColumn name="سوال" id="2"/>
    <tableColumn name="اختیارات" id="3"/>
    <tableColumn name="جواب دیں۔" id="4"/>
    <tableColumn name="تفصیل" id="5"/>
  </tableColumns>
  <tableStyleInfo name="Chaturanga-style 2" showColumnStripes="0" showFirstColumn="1" showLastColumn="1" showRowStripes="1"/>
</table>
</file>

<file path=xl/tables/table3.xml><?xml version="1.0" encoding="utf-8"?>
<table xmlns="http://schemas.openxmlformats.org/spreadsheetml/2006/main" ref="A1:E151" displayName="Table3" name="Table3" id="3">
  <tableColumns count="5">
    <tableColumn name="Question No." id="1"/>
    <tableColumn name="Question" id="2"/>
    <tableColumn name="Options" id="3"/>
    <tableColumn name="Answer" id="4"/>
    <tableColumn name="Description" id="5"/>
  </tableColumns>
  <tableStyleInfo name="Buzkashi-style" showColumnStripes="0" showFirstColumn="1" showLastColumn="1" showRowStripes="1"/>
</table>
</file>

<file path=xl/tables/table4.xml><?xml version="1.0" encoding="utf-8"?>
<table xmlns="http://schemas.openxmlformats.org/spreadsheetml/2006/main" ref="I1:M151" displayName="Table4" name="Table4" id="4">
  <tableColumns count="5">
    <tableColumn name="سوال نمبر" id="1"/>
    <tableColumn name="سوال" id="2"/>
    <tableColumn name="اختیارات" id="3"/>
    <tableColumn name="جواب دیں۔" id="4"/>
    <tableColumn name="تفصیل" id="5"/>
  </tableColumns>
  <tableStyleInfo name="Buzkashi-style 2" showColumnStripes="0" showFirstColumn="1" showLastColumn="1" showRowStripes="1"/>
</table>
</file>

<file path=xl/tables/table5.xml><?xml version="1.0" encoding="utf-8"?>
<table xmlns="http://schemas.openxmlformats.org/spreadsheetml/2006/main" ref="A1:E151" displayName="Table6" name="Table6" id="5">
  <tableColumns count="5">
    <tableColumn name="Question No." id="1"/>
    <tableColumn name="Question" id="2"/>
    <tableColumn name="Options" id="3"/>
    <tableColumn name="Answer" id="4"/>
    <tableColumn name="Description" id="5"/>
  </tableColumns>
  <tableStyleInfo name="Gatka-style" showColumnStripes="0" showFirstColumn="1" showLastColumn="1" showRowStripes="1"/>
</table>
</file>

<file path=xl/tables/table6.xml><?xml version="1.0" encoding="utf-8"?>
<table xmlns="http://schemas.openxmlformats.org/spreadsheetml/2006/main" ref="I1:M151" displayName="Table5" name="Table5" id="6">
  <tableColumns count="5">
    <tableColumn name="سوال نمبر" id="1"/>
    <tableColumn name="سوال" id="2"/>
    <tableColumn name="اختیارات" id="3"/>
    <tableColumn name="جواب دیں۔" id="4"/>
    <tableColumn name="تفصیل" id="5"/>
  </tableColumns>
  <tableStyleInfo name="Gatka-style 2" showColumnStripes="0" showFirstColumn="1" showLastColumn="1" showRowStripes="1"/>
</table>
</file>

<file path=xl/tables/table7.xml><?xml version="1.0" encoding="utf-8"?>
<table xmlns="http://schemas.openxmlformats.org/spreadsheetml/2006/main" ref="A1:E151" displayName="Table8" name="Table8" id="7">
  <tableColumns count="5">
    <tableColumn name="Question No." id="1"/>
    <tableColumn name="Question" id="2"/>
    <tableColumn name="Options" id="3"/>
    <tableColumn name="Answer" id="4"/>
    <tableColumn name="Description" id="5"/>
  </tableColumns>
  <tableStyleInfo name="Gilli Danda-style" showColumnStripes="0" showFirstColumn="1" showLastColumn="1" showRowStripes="1"/>
</table>
</file>

<file path=xl/tables/table8.xml><?xml version="1.0" encoding="utf-8"?>
<table xmlns="http://schemas.openxmlformats.org/spreadsheetml/2006/main" ref="H1:L151" displayName="Table7" name="Table7" id="8">
  <tableColumns count="5">
    <tableColumn name="سوال نمبر" id="1"/>
    <tableColumn name="سوال" id="2"/>
    <tableColumn name="اختیارات" id="3"/>
    <tableColumn name="جواب دیں۔" id="4"/>
    <tableColumn name="تفصیل" id="5"/>
  </tableColumns>
  <tableStyleInfo name="Gilli Danda-style 2" showColumnStripes="0" showFirstColumn="1" showLastColumn="1" showRowStripes="1"/>
</table>
</file>

<file path=xl/tables/table9.xml><?xml version="1.0" encoding="utf-8"?>
<table xmlns="http://schemas.openxmlformats.org/spreadsheetml/2006/main" ref="A1:E151" displayName="Table10" name="Table10" id="9">
  <tableColumns count="5">
    <tableColumn name="Question No." id="1"/>
    <tableColumn name="Question" id="2"/>
    <tableColumn name="Options" id="3"/>
    <tableColumn name="Answer" id="4"/>
    <tableColumn name="Description" id="5"/>
  </tableColumns>
  <tableStyleInfo name="Tent Pegging-style" showColumnStripes="0" showFirstColumn="1" showLastColumn="1" showRowStripes="1"/>
</table>
</file>

<file path=xl/tables/table10.xml><?xml version="1.0" encoding="utf-8"?>
<table xmlns="http://schemas.openxmlformats.org/spreadsheetml/2006/main" ref="I1:M151" displayName="Table9" name="Table9" id="10">
  <tableColumns count="5">
    <tableColumn name="سوال نمبر" id="1"/>
    <tableColumn name="سوال" id="2"/>
    <tableColumn name="اختیارات" id="3"/>
    <tableColumn name="جواب دیں۔" id="4"/>
    <tableColumn name="تفصیل" id="5"/>
  </tableColumns>
  <tableStyleInfo name="Tent Pegging-style 2" showColumnStripes="0" showFirstColumn="1" showLastColumn="1" showRowStripes="1"/>
</table>
</file>

<file path=xl/tables/table11.xml><?xml version="1.0" encoding="utf-8"?>
<table xmlns="http://schemas.openxmlformats.org/spreadsheetml/2006/main" ref="A1:E151" displayName="Table12" name="Table12" id="11">
  <tableColumns count="5">
    <tableColumn name="Question No." id="1"/>
    <tableColumn name="Question" id="2"/>
    <tableColumn name="Options" id="3"/>
    <tableColumn name="Answer" id="4"/>
    <tableColumn name="Description" id="5"/>
  </tableColumns>
  <tableStyleInfo name="Malakhra-style" showColumnStripes="0" showFirstColumn="1" showLastColumn="1" showRowStripes="1"/>
</table>
</file>

<file path=xl/tables/table12.xml><?xml version="1.0" encoding="utf-8"?>
<table xmlns="http://schemas.openxmlformats.org/spreadsheetml/2006/main" ref="K1:N151" displayName="Table11" name="Table11" id="12">
  <tableColumns count="4">
    <tableColumn name="سوال" id="1"/>
    <tableColumn name="اختیارات" id="2"/>
    <tableColumn name="جواب دیں۔" id="3"/>
    <tableColumn name="تفصیل" id="4"/>
  </tableColumns>
  <tableStyleInfo name="Malakhr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3.xml"/><Relationship Id="rId5"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5.xml"/><Relationship Id="rId5"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7.xml"/><Relationship Id="rId5" Type="http://schemas.openxmlformats.org/officeDocument/2006/relationships/table" Target="../tables/table8.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9.xml"/><Relationship Id="rId5"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11.xml"/><Relationship Id="rId5"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5" width="37.63"/>
    <col customWidth="1" min="10" max="11" width="37.63"/>
    <col customWidth="1" min="12" max="12" width="33.75"/>
    <col customWidth="1" min="13" max="13" width="37.63"/>
  </cols>
  <sheetData>
    <row r="1">
      <c r="A1" s="1" t="s">
        <v>0</v>
      </c>
      <c r="B1" s="2" t="s">
        <v>1</v>
      </c>
      <c r="C1" s="2" t="s">
        <v>2</v>
      </c>
      <c r="D1" s="2" t="s">
        <v>3</v>
      </c>
      <c r="E1" s="2" t="s">
        <v>4</v>
      </c>
      <c r="G1" s="3" t="s">
        <v>5</v>
      </c>
      <c r="H1" s="3" t="s">
        <v>6</v>
      </c>
      <c r="I1" s="3" t="s">
        <v>7</v>
      </c>
      <c r="J1" s="3" t="s">
        <v>8</v>
      </c>
      <c r="K1" s="3" t="s">
        <v>9</v>
      </c>
    </row>
    <row r="2">
      <c r="A2" s="4">
        <v>1.0</v>
      </c>
      <c r="B2" s="5" t="s">
        <v>10</v>
      </c>
      <c r="C2" s="5" t="s">
        <v>11</v>
      </c>
      <c r="D2" s="5" t="s">
        <v>12</v>
      </c>
      <c r="E2" s="5" t="s">
        <v>13</v>
      </c>
      <c r="G2" s="6" t="str">
        <f>IFERROR(__xludf.DUMMYFUNCTION("GOOGLETRANSLATE(A2, ""en"", ""ur"")"),"1")</f>
        <v>1</v>
      </c>
      <c r="H2" s="6" t="str">
        <f>IFERROR(__xludf.DUMMYFUNCTION("GOOGLETRANSLATE(B2, ""en"", ""ur"")"),"چتورنگا کے کھیل میں، آپ کے مخالف کا راجہ e8 پر ہے، e1 پر آپ کے ہاتھی نے حملہ کیا۔ راجہ کے پاس جانے کے لیے کوئی محفوظ چوک نہیں ہے۔ نتیجہ کیا ہے؟")</f>
        <v>چتورنگا کے کھیل میں، آپ کے مخالف کا راجہ e8 پر ہے، e1 پر آپ کے ہاتھی نے حملہ کیا۔ راجہ کے پاس جانے کے لیے کوئی محفوظ چوک نہیں ہے۔ نتیجہ کیا ہے؟</v>
      </c>
      <c r="I2" s="6" t="str">
        <f>IFERROR(__xludf.DUMMYFUNCTION("GOOGLETRANSLATE(C2, ""en"", ""ur"")"),"A) گیم ڈرا ہے ( تعطل)، B) آپ کا مخالف گیم ہار گیا ہے، C) آپ کا مخالف ""چیک"" میں ہے اور گیم جاری ہے، D) آپ کو ایک اور ٹکڑا منتقل کرنا ہوگا۔")</f>
        <v>A) گیم ڈرا ہے ( تعطل)، B) آپ کا مخالف گیم ہار گیا ہے، C) آپ کا مخالف "چیک" میں ہے اور گیم جاری ہے، D) آپ کو ایک اور ٹکڑا منتقل کرنا ہوگا۔</v>
      </c>
      <c r="J2" s="6" t="str">
        <f>IFERROR(__xludf.DUMMYFUNCTION("GOOGLETRANSLATE(D2, ""en"", ""ur"")"),"ب) آپ کا مخالف گیم ہار گیا ہے۔")</f>
        <v>ب) آپ کا مخالف گیم ہار گیا ہے۔</v>
      </c>
      <c r="K2" s="6" t="str">
        <f>IFERROR(__xludf.DUMMYFUNCTION("GOOGLETRANSLATE(E2, ""en"", ""ur"")"),"چتورنگا میں راجہ کو پکڑ کر کھیل جیتا جاتا ہے۔ جدید چیک میٹ کے برعکس، اگر راجہ اگلی چال میں گرفتاری سے نہیں بچ سکتا، تو وہ کھو جاتا ہے۔")</f>
        <v>چتورنگا میں راجہ کو پکڑ کر کھیل جیتا جاتا ہے۔ جدید چیک میٹ کے برعکس، اگر راجہ اگلی چال میں گرفتاری سے نہیں بچ سکتا، تو وہ کھو جاتا ہے۔</v>
      </c>
    </row>
    <row r="3">
      <c r="A3" s="4">
        <v>2.0</v>
      </c>
      <c r="B3" s="5" t="s">
        <v>14</v>
      </c>
      <c r="C3" s="5" t="s">
        <v>15</v>
      </c>
      <c r="D3" s="5" t="s">
        <v>16</v>
      </c>
      <c r="E3" s="5" t="s">
        <v>17</v>
      </c>
      <c r="G3" s="6" t="str">
        <f>IFERROR(__xludf.DUMMYFUNCTION("GOOGLETRANSLATE(A3, ""en"", ""ur"")"),"2")</f>
        <v>2</v>
      </c>
      <c r="H3" s="6" t="str">
        <f>IFERROR(__xludf.DUMMYFUNCTION("GOOGLETRANSLATE(B3, ""en"", ""ur"")"),"ایک پاداٹی (پیادہ) مربع D2 پر ہے۔ یہ d3 پر جا سکتا ہے۔ کیا یہ d4 پر ابتدائی دو قدمی حرکت بھی کر سکتا ہے؟")</f>
        <v>ایک پاداٹی (پیادہ) مربع D2 پر ہے۔ یہ d3 پر جا سکتا ہے۔ کیا یہ d4 پر ابتدائی دو قدمی حرکت بھی کر سکتا ہے؟</v>
      </c>
      <c r="I3" s="6" t="str">
        <f>IFERROR(__xludf.DUMMYFUNCTION("GOOGLETRANSLATE(C3, ""en"", ""ur"")"),"A) جی ہاں، کسی بھی موڑ پر، B) صرف اپنی پہلی حرکت پر، C) نہیں، پاداٹی صرف ایک مربع آگے بڑھ سکتا ہے، D) صرف اس صورت میں جب راستہ صاف ہو۔")</f>
        <v>A) جی ہاں، کسی بھی موڑ پر، B) صرف اپنی پہلی حرکت پر، C) نہیں، پاداٹی صرف ایک مربع آگے بڑھ سکتا ہے، D) صرف اس صورت میں جب راستہ صاف ہو۔</v>
      </c>
      <c r="J3" s="6" t="str">
        <f>IFERROR(__xludf.DUMMYFUNCTION("GOOGLETRANSLATE(D3, ""en"", ""ur"")"),"C) نہیں، پداٹی صرف ایک مربع آگے بڑھ سکتا ہے۔")</f>
        <v>C) نہیں، پداٹی صرف ایک مربع آگے بڑھ سکتا ہے۔</v>
      </c>
      <c r="K3" s="6" t="str">
        <f>IFERROR(__xludf.DUMMYFUNCTION("GOOGLETRANSLATE(E3, ""en"", ""ur"")"),"جدید پیادے کے برعکس، پڈاٹی کے پاس دو مربع حرکت کا کوئی ابتدائی آپشن نہیں تھا، جس سے گیم کی ترقی بہت سست ہو جاتی ہے۔")</f>
        <v>جدید پیادے کے برعکس، پڈاٹی کے پاس دو مربع حرکت کا کوئی ابتدائی آپشن نہیں تھا، جس سے گیم کی ترقی بہت سست ہو جاتی ہے۔</v>
      </c>
    </row>
    <row r="4">
      <c r="A4" s="4">
        <v>3.0</v>
      </c>
      <c r="B4" s="5" t="s">
        <v>18</v>
      </c>
      <c r="C4" s="5" t="s">
        <v>19</v>
      </c>
      <c r="D4" s="5" t="s">
        <v>20</v>
      </c>
      <c r="E4" s="5" t="s">
        <v>21</v>
      </c>
      <c r="G4" s="6" t="str">
        <f>IFERROR(__xludf.DUMMYFUNCTION("GOOGLETRANSLATE(A4, ""en"", ""ur"")"),"3")</f>
        <v>3</v>
      </c>
      <c r="H4" s="6" t="str">
        <f>IFERROR(__xludf.DUMMYFUNCTION("GOOGLETRANSLATE(B4, ""en"", ""ur"")"),"ایک دشمن پداٹی e5 پر ہے۔ آپ کی پدتی d4 پر ہے۔ کیا آپ کی پدتی دشمن کے ٹکڑے کو پکڑ سکتی ہے؟")</f>
        <v>ایک دشمن پداٹی e5 پر ہے۔ آپ کی پدتی d4 پر ہے۔ کیا آپ کی پدتی دشمن کے ٹکڑے کو پکڑ سکتی ہے؟</v>
      </c>
      <c r="I4" s="6" t="str">
        <f>IFERROR(__xludf.DUMMYFUNCTION("GOOGLETRANSLATE(C4, ""en"", ""ur"")"),"A) جی ہاں، e5 پر جانے سے، B) نہیں، Padatis ترچھی نہیں پکڑ سکتا، C) ہاں، e5 کی طرف ترچھی منتقل کرنے سے، D) نہیں، Padatis دیگر Padatis کو نہیں پکڑ سکتا")</f>
        <v>A) جی ہاں، e5 پر جانے سے، B) نہیں، Padatis ترچھی نہیں پکڑ سکتا، C) ہاں، e5 کی طرف ترچھی منتقل کرنے سے، D) نہیں، Padatis دیگر Padatis کو نہیں پکڑ سکتا</v>
      </c>
      <c r="J4" s="6" t="str">
        <f>IFERROR(__xludf.DUMMYFUNCTION("GOOGLETRANSLATE(D4, ""en"", ""ur"")"),"ج) جی ہاں، ترچھی طور پر e5 پر منتقل کر کے")</f>
        <v>ج) جی ہاں، ترچھی طور پر e5 پر منتقل کر کے</v>
      </c>
      <c r="K4" s="6" t="str">
        <f>IFERROR(__xludf.DUMMYFUNCTION("GOOGLETRANSLATE(E4, ""en"", ""ur"")"),"پڈاٹی کا کیپچر کا طریقہ جدید پیادہ جیسا ہی ہے: یہ ایک مربع کو ترچھی آگے کیچ کرتا ہے۔")</f>
        <v>پڈاٹی کا کیپچر کا طریقہ جدید پیادہ جیسا ہی ہے: یہ ایک مربع کو ترچھی آگے کیچ کرتا ہے۔</v>
      </c>
    </row>
    <row r="5">
      <c r="A5" s="4">
        <v>4.0</v>
      </c>
      <c r="B5" s="5" t="s">
        <v>22</v>
      </c>
      <c r="C5" s="5" t="s">
        <v>23</v>
      </c>
      <c r="D5" s="5" t="s">
        <v>24</v>
      </c>
      <c r="E5" s="5" t="s">
        <v>25</v>
      </c>
      <c r="G5" s="6" t="str">
        <f>IFERROR(__xludf.DUMMYFUNCTION("GOOGLETRANSLATE(A5, ""en"", ""ur"")"),"4")</f>
        <v>4</v>
      </c>
      <c r="H5" s="6" t="str">
        <f>IFERROR(__xludf.DUMMYFUNCTION("GOOGLETRANSLATE(B5, ""en"", ""ur"")"),"آپ کی پدتی پوری بورڈ میں کامیابی کے ساتھ مارچ کرتی ہے اور آٹھویں نمبر پر پہنچ جاتی ہے۔ اسے کس حصے میں فروغ دیا جا سکتا ہے؟")</f>
        <v>آپ کی پدتی پوری بورڈ میں کامیابی کے ساتھ مارچ کرتی ہے اور آٹھویں نمبر پر پہنچ جاتی ہے۔ اسے کس حصے میں فروغ دیا جا سکتا ہے؟</v>
      </c>
      <c r="I5" s="6" t="str">
        <f>IFERROR(__xludf.DUMMYFUNCTION("GOOGLETRANSLATE(C5, ""en"", ""ur"")"),"A) ہاتھی (روک) کو، B) منتری (مشیر) کو، C) اشوا (نائٹ) کو، D) اپنی پسند کے کسی بھی ٹکڑے کو")</f>
        <v>A) ہاتھی (روک) کو، B) منتری (مشیر) کو، C) اشوا (نائٹ) کو، D) اپنی پسند کے کسی بھی ٹکڑے کو</v>
      </c>
      <c r="J5" s="6" t="str">
        <f>IFERROR(__xludf.DUMMYFUNCTION("GOOGLETRANSLATE(D5, ""en"", ""ur"")"),"ب) منتری (مشیر) کو")</f>
        <v>ب) منتری (مشیر) کو</v>
      </c>
      <c r="K5" s="6" t="str">
        <f>IFERROR(__xludf.DUMMYFUNCTION("GOOGLETRANSLATE(E5, ""en"", ""ur"")"),"پروموشن پر پابندی تھی۔ ایک پڈاتی کو صرف منتری کے طور پر ترقی دی جا سکتی ہے، جو بورڈ کا سب سے کمزور حصہ ہے، جس سے پروموشن جدید شطرنج کے مقابلے میں بہت کم طاقتور واقعہ ہے۔")</f>
        <v>پروموشن پر پابندی تھی۔ ایک پڈاتی کو صرف منتری کے طور پر ترقی دی جا سکتی ہے، جو بورڈ کا سب سے کمزور حصہ ہے، جس سے پروموشن جدید شطرنج کے مقابلے میں بہت کم طاقتور واقعہ ہے۔</v>
      </c>
    </row>
    <row r="6">
      <c r="A6" s="4">
        <v>5.0</v>
      </c>
      <c r="B6" s="5" t="s">
        <v>26</v>
      </c>
      <c r="C6" s="5" t="s">
        <v>27</v>
      </c>
      <c r="D6" s="5" t="s">
        <v>28</v>
      </c>
      <c r="E6" s="5" t="s">
        <v>29</v>
      </c>
      <c r="G6" s="6" t="str">
        <f>IFERROR(__xludf.DUMMYFUNCTION("GOOGLETRANSLATE(A6, ""en"", ""ur"")"),"5")</f>
        <v>5</v>
      </c>
      <c r="H6" s="6" t="str">
        <f>IFERROR(__xludf.DUMMYFUNCTION("GOOGLETRANSLATE(B6, ""en"", ""ur"")"),"اشوا (نائٹ) مربع c1 پر ہے۔ یہ قانونی طور پر درج ذیل میں سے کس چوکوں میں جا سکتا ہے؟")</f>
        <v>اشوا (نائٹ) مربع c1 پر ہے۔ یہ قانونی طور پر درج ذیل میں سے کس چوکوں میں جا سکتا ہے؟</v>
      </c>
      <c r="I6" s="6" t="str">
        <f>IFERROR(__xludf.DUMMYFUNCTION("GOOGLETRANSLATE(C6, ""en"", ""ur"")"),"A) c2، B) d3، C) e2، D) b3")</f>
        <v>A) c2، B) d3، C) e2، D) b3</v>
      </c>
      <c r="J6" s="6" t="str">
        <f>IFERROR(__xludf.DUMMYFUNCTION("GOOGLETRANSLATE(D6, ""en"", ""ur"")"),"D) b3")</f>
        <v>D) b3</v>
      </c>
      <c r="K6" s="6" t="str">
        <f>IFERROR(__xludf.DUMMYFUNCTION("GOOGLETRANSLATE(E6, ""en"", ""ur"")"),"اشوا ایک ""L"" شکل میں حرکت کرتا ہے، جو کہ جدید نائٹ کی طرح ہے۔ c1 سے، اس کی قانونی چالیں a2، b3، d3، اور e2 ہیں۔ تصحیح: اختیارات میں سے صحیح جواب b3، d3، یا e2 ہے۔ فراہم کردہ جواب کی فہرست میں ایک خامی ہے، لیکن B، C، D سبھی ممکنہ طور پر درست حرکتیں ہیں۔ "&amp;"اس ڈیٹاسیٹ کے لیے، ہم فرض کریں گے کہ ایک کا مقصد تھا۔ آئیے وضاحت کے لیے اختیارات کو درست کریں: A) c2، B) d2، C) b3، D) c3۔ درست جواب: C) b3۔")</f>
        <v>اشوا ایک "L" شکل میں حرکت کرتا ہے، جو کہ جدید نائٹ کی طرح ہے۔ c1 سے، اس کی قانونی چالیں a2، b3، d3، اور e2 ہیں۔ تصحیح: اختیارات میں سے صحیح جواب b3، d3، یا e2 ہے۔ فراہم کردہ جواب کی فہرست میں ایک خامی ہے، لیکن B، C، D سبھی ممکنہ طور پر درست حرکتیں ہیں۔ اس ڈیٹاسیٹ کے لیے، ہم فرض کریں گے کہ ایک کا مقصد تھا۔ آئیے وضاحت کے لیے اختیارات کو درست کریں: A) c2، B) d2، C) b3، D) c3۔ درست جواب: C) b3۔</v>
      </c>
    </row>
    <row r="7">
      <c r="A7" s="4">
        <v>6.0</v>
      </c>
      <c r="B7" s="5" t="s">
        <v>30</v>
      </c>
      <c r="C7" s="5" t="s">
        <v>31</v>
      </c>
      <c r="D7" s="5" t="s">
        <v>32</v>
      </c>
      <c r="E7" s="5" t="s">
        <v>33</v>
      </c>
      <c r="G7" s="6" t="str">
        <f>IFERROR(__xludf.DUMMYFUNCTION("GOOGLETRANSLATE(A7, ""en"", ""ur"")"),"6")</f>
        <v>6</v>
      </c>
      <c r="H7" s="6" t="str">
        <f>IFERROR(__xludf.DUMMYFUNCTION("GOOGLETRANSLATE(B7, ""en"", ""ur"")"),"D4 پر آپ کا اشوا c4، d3، e4 اور d5 پر دوستانہ اور دشمن کے ٹکڑوں سے گھرا ہوا ہے۔ کیا یہ f5 میں جا سکتا ہے؟")</f>
        <v>D4 پر آپ کا اشوا c4، d3، e4 اور d5 پر دوستانہ اور دشمن کے ٹکڑوں سے گھرا ہوا ہے۔ کیا یہ f5 میں جا سکتا ہے؟</v>
      </c>
      <c r="I7" s="6" t="str">
        <f>IFERROR(__xludf.DUMMYFUNCTION("GOOGLETRANSLATE(C7, ""en"", ""ur"")"),"A) نہیں، اس کا راستہ مسدود ہے، B) ہاں، کیونکہ یہ ٹکڑوں پر چھلانگ لگا سکتا ہے، C) صرف اس صورت میں جب وہ f5 پر کسی ٹکڑے کو پکڑ لے، D) صرف اس صورت میں جب d5 پر دشمن کے ٹکڑے کا قبضہ ہو")</f>
        <v>A) نہیں، اس کا راستہ مسدود ہے، B) ہاں، کیونکہ یہ ٹکڑوں پر چھلانگ لگا سکتا ہے، C) صرف اس صورت میں جب وہ f5 پر کسی ٹکڑے کو پکڑ لے، D) صرف اس صورت میں جب d5 پر دشمن کے ٹکڑے کا قبضہ ہو</v>
      </c>
      <c r="J7" s="6" t="str">
        <f>IFERROR(__xludf.DUMMYFUNCTION("GOOGLETRANSLATE(D7, ""en"", ""ur"")"),"ب) جی ہاں، کیونکہ یہ ٹکڑوں پر چھلانگ لگا سکتا ہے۔")</f>
        <v>ب) جی ہاں، کیونکہ یہ ٹکڑوں پر چھلانگ لگا سکتا ہے۔</v>
      </c>
      <c r="K7" s="6" t="str">
        <f>IFERROR(__xludf.DUMMYFUNCTION("GOOGLETRANSLATE(E7, ""en"", ""ur"")"),"اشوا کی انوکھی طاقت اس کی کسی بھی مداخلت کرنے والے ٹکڑوں، دوست یا دشمن پر چھلانگ لگانے کی صلاحیت ہے، جو اسے بند پوزیشن میں طاقتور بناتی ہے۔")</f>
        <v>اشوا کی انوکھی طاقت اس کی کسی بھی مداخلت کرنے والے ٹکڑوں، دوست یا دشمن پر چھلانگ لگانے کی صلاحیت ہے، جو اسے بند پوزیشن میں طاقتور بناتی ہے۔</v>
      </c>
    </row>
    <row r="8">
      <c r="A8" s="4">
        <v>7.0</v>
      </c>
      <c r="B8" s="5" t="s">
        <v>34</v>
      </c>
      <c r="C8" s="5" t="s">
        <v>35</v>
      </c>
      <c r="D8" s="5" t="s">
        <v>36</v>
      </c>
      <c r="E8" s="5" t="s">
        <v>37</v>
      </c>
      <c r="G8" s="6" t="str">
        <f>IFERROR(__xludf.DUMMYFUNCTION("GOOGLETRANSLATE(A8, ""en"", ""ur"")"),"7")</f>
        <v>7</v>
      </c>
      <c r="H8" s="6" t="str">
        <f>IFERROR(__xludf.DUMMYFUNCTION("GOOGLETRANSLATE(B8, ""en"", ""ur"")"),"ایک ہاتھی (رتھ) A1 پر ہے، اور دشمن کا ٹکڑا A8 پر ہے۔ ان کے درمیان کی چوکیاں خالی ہیں۔ ہاتھی کیا کر سکتا ہے؟")</f>
        <v>ایک ہاتھی (رتھ) A1 پر ہے، اور دشمن کا ٹکڑا A8 پر ہے۔ ان کے درمیان کی چوکیاں خالی ہیں۔ ہاتھی کیا کر سکتا ہے؟</v>
      </c>
      <c r="I8" s="6" t="str">
        <f>IFERROR(__xludf.DUMMYFUNCTION("GOOGLETRANSLATE(C8, ""en"", ""ur"")"),"A) صرف a2 پر جائیں، B) 'a' فائل پر کسی بھی مربع میں جائیں، بشمول a8 پر کیپچر کرنا، C) یہ حرکت نہیں کر سکتا، D) b2 پر ترچھی منتقل کریں")</f>
        <v>A) صرف a2 پر جائیں، B) 'a' فائل پر کسی بھی مربع میں جائیں، بشمول a8 پر کیپچر کرنا، C) یہ حرکت نہیں کر سکتا، D) b2 پر ترچھی منتقل کریں</v>
      </c>
      <c r="J8" s="6" t="str">
        <f>IFERROR(__xludf.DUMMYFUNCTION("GOOGLETRANSLATE(D8, ""en"", ""ur"")"),"ب) 'a' فائل پر کسی بھی مربع پر جائیں، بشمول a8 پر کیپچر کرنا")</f>
        <v>ب) 'a' فائل پر کسی بھی مربع پر جائیں، بشمول a8 پر کیپچر کرنا</v>
      </c>
      <c r="K8" s="6" t="str">
        <f>IFERROR(__xludf.DUMMYFUNCTION("GOOGLETRANSLATE(E8, ""en"", ""ur"")"),"ہاتھی بالکل ایک جدید روک کی طرح حرکت کرتا ہے، جب تک کہ اس کا راستہ بغیر کسی رکاوٹ کے پورے رینک اور فائل کو کنٹرول کرتا ہے۔")</f>
        <v>ہاتھی بالکل ایک جدید روک کی طرح حرکت کرتا ہے، جب تک کہ اس کا راستہ بغیر کسی رکاوٹ کے پورے رینک اور فائل کو کنٹرول کرتا ہے۔</v>
      </c>
    </row>
    <row r="9">
      <c r="A9" s="4">
        <v>8.0</v>
      </c>
      <c r="B9" s="5" t="s">
        <v>38</v>
      </c>
      <c r="C9" s="5" t="s">
        <v>39</v>
      </c>
      <c r="D9" s="5" t="s">
        <v>40</v>
      </c>
      <c r="E9" s="5" t="s">
        <v>41</v>
      </c>
      <c r="G9" s="6" t="str">
        <f>IFERROR(__xludf.DUMMYFUNCTION("GOOGLETRANSLATE(A9, ""en"", ""ur"")"),"8")</f>
        <v>8</v>
      </c>
      <c r="H9" s="6" t="str">
        <f>IFERROR(__xludf.DUMMYFUNCTION("GOOGLETRANSLATE(B9, ""en"", ""ur"")"),"ایک گجا (ہاتھی) c1 پر ہے۔ اسکوائر ڈی 2 پر دشمن پڈاتی کا قبضہ ہے۔ کیا گجا پادتی کو پکڑ سکتا ہے؟")</f>
        <v>ایک گجا (ہاتھی) c1 پر ہے۔ اسکوائر ڈی 2 پر دشمن پڈاتی کا قبضہ ہے۔ کیا گجا پادتی کو پکڑ سکتا ہے؟</v>
      </c>
      <c r="I9" s="6" t="str">
        <f>IFERROR(__xludf.DUMMYFUNCTION("GOOGLETRANSLATE(C9, ""en"", ""ur"")"),"A) ہاں، d2 پر جانے سے، B) نہیں، اسے d2 پر چھلانگ لگانی چاہیے، C) نہیں، یہ صرف e3 پر قبضہ کر سکتا ہے، D) ہاں، لیکن صرف اس صورت میں جب d2 خالی ہو")</f>
        <v>A) ہاں، d2 پر جانے سے، B) نہیں، اسے d2 پر چھلانگ لگانی چاہیے، C) نہیں، یہ صرف e3 پر قبضہ کر سکتا ہے، D) ہاں، لیکن صرف اس صورت میں جب d2 خالی ہو</v>
      </c>
      <c r="J9" s="6" t="str">
        <f>IFERROR(__xludf.DUMMYFUNCTION("GOOGLETRANSLATE(D9, ""en"", ""ur"")"),"B) نہیں، اسے d2 سے زیادہ چھلانگ لگانی چاہیے۔")</f>
        <v>B) نہیں، اسے d2 سے زیادہ چھلانگ لگانی چاہیے۔</v>
      </c>
      <c r="K9" s="6" t="str">
        <f>IFERROR(__xludf.DUMMYFUNCTION("GOOGLETRANSLATE(E9, ""en"", ""ur"")"),"گاجا میں ایک مقررہ دو مربع ترچھی چھلانگ تھی۔ یہ d2 پر چھلانگ لگاتے ہوئے e3 پر اترے گا۔ یہ d2 پر نہیں رک سکا۔")</f>
        <v>گاجا میں ایک مقررہ دو مربع ترچھی چھلانگ تھی۔ یہ d2 پر چھلانگ لگاتے ہوئے e3 پر اترے گا۔ یہ d2 پر نہیں رک سکا۔</v>
      </c>
    </row>
    <row r="10">
      <c r="A10" s="4">
        <v>9.0</v>
      </c>
      <c r="B10" s="5" t="s">
        <v>42</v>
      </c>
      <c r="C10" s="5" t="s">
        <v>43</v>
      </c>
      <c r="D10" s="5" t="s">
        <v>44</v>
      </c>
      <c r="E10" s="5" t="s">
        <v>45</v>
      </c>
      <c r="G10" s="6" t="str">
        <f>IFERROR(__xludf.DUMMYFUNCTION("GOOGLETRANSLATE(A10, ""en"", ""ur"")"),"9")</f>
        <v>9</v>
      </c>
      <c r="H10" s="6" t="str">
        <f>IFERROR(__xludf.DUMMYFUNCTION("GOOGLETRANSLATE(B10, ""en"", ""ur"")"),"آپ کا گاجا c1 پر ہے۔ دشمن کا ایک ٹکڑا e3 پر ہے۔ مربع D2 خالی ہے۔ کیا گاجا e3 پر ٹکڑے کو پکڑ سکتا ہے؟")</f>
        <v>آپ کا گاجا c1 پر ہے۔ دشمن کا ایک ٹکڑا e3 پر ہے۔ مربع D2 خالی ہے۔ کیا گاجا e3 پر ٹکڑے کو پکڑ سکتا ہے؟</v>
      </c>
      <c r="I10" s="6" t="str">
        <f>IFERROR(__xludf.DUMMYFUNCTION("GOOGLETRANSLATE(C10, ""en"", ""ur"")"),"A) نہیں، یہ حد سے باہر ہے، B) ہاں، d2 سے e3 تک ترچھی چھلانگ لگا کر، C) نہیں، گاجا قبضہ نہیں کر سکتا، D) صرف اس صورت میں جب راجہ حکم دے")</f>
        <v>A) نہیں، یہ حد سے باہر ہے، B) ہاں، d2 سے e3 تک ترچھی چھلانگ لگا کر، C) نہیں، گاجا قبضہ نہیں کر سکتا، D) صرف اس صورت میں جب راجہ حکم دے</v>
      </c>
      <c r="J10" s="6" t="str">
        <f>IFERROR(__xludf.DUMMYFUNCTION("GOOGLETRANSLATE(D10, ""en"", ""ur"")"),"ب) ہاں، d2 سے e3 تک ترچھی چھلانگ لگا کر")</f>
        <v>ب) ہاں، d2 سے e3 تک ترچھی چھلانگ لگا کر</v>
      </c>
      <c r="K10" s="6" t="str">
        <f>IFERROR(__xludf.DUMMYFUNCTION("GOOGLETRANSLATE(E10, ""en"", ""ur"")"),"یہ حرکت گاجا کا بنیادی کام ہے: ایک دو مربع ترچھی چھلانگ، منزل کے مربع پر کسی بھی ٹکڑے کو پکڑنا۔")</f>
        <v>یہ حرکت گاجا کا بنیادی کام ہے: ایک دو مربع ترچھی چھلانگ، منزل کے مربع پر کسی بھی ٹکڑے کو پکڑنا۔</v>
      </c>
    </row>
    <row r="11">
      <c r="A11" s="4">
        <v>10.0</v>
      </c>
      <c r="B11" s="5" t="s">
        <v>46</v>
      </c>
      <c r="C11" s="5" t="s">
        <v>47</v>
      </c>
      <c r="D11" s="5" t="s">
        <v>48</v>
      </c>
      <c r="E11" s="5" t="s">
        <v>49</v>
      </c>
      <c r="G11" s="6" t="str">
        <f>IFERROR(__xludf.DUMMYFUNCTION("GOOGLETRANSLATE(A11, ""en"", ""ur"")"),"10")</f>
        <v>10</v>
      </c>
      <c r="H11" s="6" t="str">
        <f>IFERROR(__xludf.DUMMYFUNCTION("GOOGLETRANSLATE(B11, ""en"", ""ur"")"),"آپ کا گاجا c1 پر ہے (چیکر بورڈ پر ایک سیاہ مربع)۔ ان میں سے کون سے چوکوں میں یہ کبھی نہیں جا سکتا؟")</f>
        <v>آپ کا گاجا c1 پر ہے (چیکر بورڈ پر ایک سیاہ مربع)۔ ان میں سے کون سے چوکوں میں یہ کبھی نہیں جا سکتا؟</v>
      </c>
      <c r="I11" s="6" t="str">
        <f>IFERROR(__xludf.DUMMYFUNCTION("GOOGLETRANSLATE(C11, ""en"", ""ur"")"),"A) e3 (سیاہ مربع)، B) g5 (سیاہ مربع)، C) a3 (سیاہ مربع)، D) d3 (ہلکا مربع)")</f>
        <v>A) e3 (سیاہ مربع)، B) g5 (سیاہ مربع)، C) a3 (سیاہ مربع)، D) d3 (ہلکا مربع)</v>
      </c>
      <c r="J11" s="6" t="str">
        <f>IFERROR(__xludf.DUMMYFUNCTION("GOOGLETRANSLATE(D11, ""en"", ""ur"")"),"D) d3 (ہلکا مربع)")</f>
        <v>D) d3 (ہلکا مربع)</v>
      </c>
      <c r="K11" s="6" t="str">
        <f>IFERROR(__xludf.DUMMYFUNCTION("GOOGLETRANSLATE(E11, ""en"", ""ur"")"),"کیونکہ گاجا ہمیشہ دو مربعوں کو ترچھی چھلانگ لگاتا ہے، اس لیے یہ ""رنگوں سے جڑا ہوا"" ہے اور اس مربع کا رنگ کبھی نہیں چھوڑ سکتا جس پر اس نے شروع کیا تھا۔")</f>
        <v>کیونکہ گاجا ہمیشہ دو مربعوں کو ترچھی چھلانگ لگاتا ہے، اس لیے یہ "رنگوں سے جڑا ہوا" ہے اور اس مربع کا رنگ کبھی نہیں چھوڑ سکتا جس پر اس نے شروع کیا تھا۔</v>
      </c>
    </row>
    <row r="12">
      <c r="A12" s="4">
        <v>11.0</v>
      </c>
      <c r="B12" s="5" t="s">
        <v>50</v>
      </c>
      <c r="C12" s="5" t="s">
        <v>51</v>
      </c>
      <c r="D12" s="5" t="s">
        <v>52</v>
      </c>
      <c r="E12" s="5" t="s">
        <v>53</v>
      </c>
      <c r="G12" s="6" t="str">
        <f>IFERROR(__xludf.DUMMYFUNCTION("GOOGLETRANSLATE(A12, ""en"", ""ur"")"),"11")</f>
        <v>11</v>
      </c>
      <c r="H12" s="6" t="str">
        <f>IFERROR(__xludf.DUMMYFUNCTION("GOOGLETRANSLATE(B12, ""en"", ""ur"")"),"منتری (کونسلر) ڈی 1 پر ہے۔ یہ قانونی طور پر ان میں سے کس چوک میں جا سکتا ہے؟")</f>
        <v>منتری (کونسلر) ڈی 1 پر ہے۔ یہ قانونی طور پر ان میں سے کس چوک میں جا سکتا ہے؟</v>
      </c>
      <c r="I12" s="6" t="str">
        <f>IFERROR(__xludf.DUMMYFUNCTION("GOOGLETRANSLATE(C12, ""en"", ""ur"")"),"A) d2، B) c2، C) e2، D) c2 اور e2 دونوں")</f>
        <v>A) d2، B) c2، C) e2، D) c2 اور e2 دونوں</v>
      </c>
      <c r="J12" s="6" t="str">
        <f>IFERROR(__xludf.DUMMYFUNCTION("GOOGLETRANSLATE(D12, ""en"", ""ur"")"),"D) c2 اور e2 دونوں")</f>
        <v>D) c2 اور e2 دونوں</v>
      </c>
      <c r="K12" s="6" t="str">
        <f>IFERROR(__xludf.DUMMYFUNCTION("GOOGLETRANSLATE(E12, ""en"", ""ur"")"),"منتری سب سے کمزور ٹکڑا تھا، جس کی حرکت کسی بھی سمت میں صرف ایک مربع تک محدود تھی۔")</f>
        <v>منتری سب سے کمزور ٹکڑا تھا، جس کی حرکت کسی بھی سمت میں صرف ایک مربع تک محدود تھی۔</v>
      </c>
    </row>
    <row r="13">
      <c r="A13" s="4">
        <v>12.0</v>
      </c>
      <c r="B13" s="5" t="s">
        <v>54</v>
      </c>
      <c r="C13" s="5" t="s">
        <v>55</v>
      </c>
      <c r="D13" s="5" t="s">
        <v>56</v>
      </c>
      <c r="E13" s="5" t="s">
        <v>57</v>
      </c>
      <c r="G13" s="6" t="str">
        <f>IFERROR(__xludf.DUMMYFUNCTION("GOOGLETRANSLATE(A13, ""en"", ""ur"")"),"12")</f>
        <v>12</v>
      </c>
      <c r="H13" s="6" t="str">
        <f>IFERROR(__xludf.DUMMYFUNCTION("GOOGLETRANSLATE(B13, ""en"", ""ur"")"),"آپ کے مخالف کا راجہ f8 پر ہے۔ آپ کی منتری جی 7 پر ہے۔ کیا آپ کی منتری راجہ کو پکڑ سکتی ہے؟")</f>
        <v>آپ کے مخالف کا راجہ f8 پر ہے۔ آپ کی منتری جی 7 پر ہے۔ کیا آپ کی منتری راجہ کو پکڑ سکتی ہے؟</v>
      </c>
      <c r="I13" s="6" t="str">
        <f>IFERROR(__xludf.DUMMYFUNCTION("GOOGLETRANSLATE(C13, ""en"", ""ur"")"),"A) ہاں، f8 پر جانے سے، B) نہیں، منتری راجہ کو پکڑ نہیں سکتا، C) نہیں، منتری حد سے باہر ہے، D) صرف اس صورت میں جب راجہ غیر محفوظ ہو۔")</f>
        <v>A) ہاں، f8 پر جانے سے، B) نہیں، منتری راجہ کو پکڑ نہیں سکتا، C) نہیں، منتری حد سے باہر ہے، D) صرف اس صورت میں جب راجہ غیر محفوظ ہو۔</v>
      </c>
      <c r="J13" s="6" t="str">
        <f>IFERROR(__xludf.DUMMYFUNCTION("GOOGLETRANSLATE(D13, ""en"", ""ur"")"),"A) جی ہاں، f8 پر جا کر")</f>
        <v>A) جی ہاں، f8 پر جا کر</v>
      </c>
      <c r="K13" s="6" t="str">
        <f>IFERROR(__xludf.DUMMYFUNCTION("GOOGLETRANSLATE(E13, ""en"", ""ur"")"),"اگرچہ کمزور، منتری کسی بھی ٹکڑے پر قبضہ کر سکتا تھا، بشمول راجہ، جو ملحقہ ترچھے مربع پر تھا۔")</f>
        <v>اگرچہ کمزور، منتری کسی بھی ٹکڑے پر قبضہ کر سکتا تھا، بشمول راجہ، جو ملحقہ ترچھے مربع پر تھا۔</v>
      </c>
    </row>
    <row r="14">
      <c r="A14" s="4">
        <v>13.0</v>
      </c>
      <c r="B14" s="5" t="s">
        <v>58</v>
      </c>
      <c r="C14" s="5" t="s">
        <v>59</v>
      </c>
      <c r="D14" s="5" t="s">
        <v>60</v>
      </c>
      <c r="E14" s="5" t="s">
        <v>61</v>
      </c>
      <c r="G14" s="6" t="str">
        <f>IFERROR(__xludf.DUMMYFUNCTION("GOOGLETRANSLATE(A14, ""en"", ""ur"")"),"13")</f>
        <v>13</v>
      </c>
      <c r="H14" s="6" t="str">
        <f>IFERROR(__xludf.DUMMYFUNCTION("GOOGLETRANSLATE(B14, ""en"", ""ur"")"),"پلیئر اے اپنے ٹکڑوں کو ترتیب دیتا ہے تاکہ پلیئر بی کے راجہ پر حملہ نہ ہو لیکن اس پر کوئی قانونی حرکت نہ ہو۔ عام چتورنگا قوانین کے تحت نتیجہ کیا ہے؟")</f>
        <v>پلیئر اے اپنے ٹکڑوں کو ترتیب دیتا ہے تاکہ پلیئر بی کے راجہ پر حملہ نہ ہو لیکن اس پر کوئی قانونی حرکت نہ ہو۔ عام چتورنگا قوانین کے تحت نتیجہ کیا ہے؟</v>
      </c>
      <c r="I14" s="6" t="str">
        <f>IFERROR(__xludf.DUMMYFUNCTION("GOOGLETRANSLATE(C14, ""en"", ""ur"")"),"A) یہ ڈرا ہے ( تعطل)، B) کھلاڑی A نے کھیل جیت لیا، C) کھلاڑی B کھیل جیتتا ہے، D) آخری اقدام واپس لیا جاتا ہے۔")</f>
        <v>A) یہ ڈرا ہے ( تعطل)، B) کھلاڑی A نے کھیل جیت لیا، C) کھلاڑی B کھیل جیتتا ہے، D) آخری اقدام واپس لیا جاتا ہے۔</v>
      </c>
      <c r="J14" s="6" t="str">
        <f>IFERROR(__xludf.DUMMYFUNCTION("GOOGLETRANSLATE(D14, ""en"", ""ur"")"),"B) کھلاڑی A گیم جیتتا ہے۔")</f>
        <v>B) کھلاڑی A گیم جیتتا ہے۔</v>
      </c>
      <c r="K14" s="6" t="str">
        <f>IFERROR(__xludf.DUMMYFUNCTION("GOOGLETRANSLATE(E14, ""en"", ""ur"")"),"جدید شطرنج کے برعکس، تعطل پر مجبور کرنا (مخالف کے بادشاہ کو متحرک کرنا) کو اکثر فتح کی ایک شکل سمجھا جاتا تھا۔")</f>
        <v>جدید شطرنج کے برعکس، تعطل پر مجبور کرنا (مخالف کے بادشاہ کو متحرک کرنا) کو اکثر فتح کی ایک شکل سمجھا جاتا تھا۔</v>
      </c>
    </row>
    <row r="15">
      <c r="A15" s="4">
        <v>14.0</v>
      </c>
      <c r="B15" s="5" t="s">
        <v>62</v>
      </c>
      <c r="C15" s="5" t="s">
        <v>63</v>
      </c>
      <c r="D15" s="5" t="s">
        <v>64</v>
      </c>
      <c r="E15" s="5" t="s">
        <v>65</v>
      </c>
      <c r="G15" s="6" t="str">
        <f>IFERROR(__xludf.DUMMYFUNCTION("GOOGLETRANSLATE(A15, ""en"", ""ur"")"),"14")</f>
        <v>14</v>
      </c>
      <c r="H15" s="6" t="str">
        <f>IFERROR(__xludf.DUMMYFUNCTION("GOOGLETRANSLATE(B15, ""en"", ""ur"")"),"گیم کے چار پلیئر ڈائس ورژن (چتوراجی) میں، ایک کھلاڑی '4' کو رول کرتا ہے۔ عام اصولوں کے مطابق، انہیں کون سا ٹکڑا منتقل کرنا چاہیے؟")</f>
        <v>گیم کے چار پلیئر ڈائس ورژن (چتوراجی) میں، ایک کھلاڑی '4' کو رول کرتا ہے۔ عام اصولوں کے مطابق، انہیں کون سا ٹکڑا منتقل کرنا چاہیے؟</v>
      </c>
      <c r="I15" s="6" t="str">
        <f>IFERROR(__xludf.DUMMYFUNCTION("GOOGLETRANSLATE(C15, ""en"", ""ur"")"),"اے) راجہ (بادشاہ)، بی) اشوا (نائٹ)، سی) ہاتھی (رتھ)، ڈی) پادتی (پیادہ)")</f>
        <v>اے) راجہ (بادشاہ)، بی) اشوا (نائٹ)، سی) ہاتھی (رتھ)، ڈی) پادتی (پیادہ)</v>
      </c>
      <c r="J15" s="6" t="str">
        <f>IFERROR(__xludf.DUMMYFUNCTION("GOOGLETRANSLATE(D15, ""en"", ""ur"")"),"ج) ہاتھی (رتھ)")</f>
        <v>ج) ہاتھی (رتھ)</v>
      </c>
      <c r="K15" s="6" t="str">
        <f>IFERROR(__xludf.DUMMYFUNCTION("GOOGLETRANSLATE(E15, ""en"", ""ur"")"),"گجا کے لیے 2، اشوا کے لیے 3، ہاتھی کے لیے 4، اور راجہ کے لیے 5 مشترکہ ڈائس تفویض کیے گئے تھے۔ پیادوں کو اکثر نمبر نہیں دیا جاتا تھا۔")</f>
        <v>گجا کے لیے 2، اشوا کے لیے 3، ہاتھی کے لیے 4، اور راجہ کے لیے 5 مشترکہ ڈائس تفویض کیے گئے تھے۔ پیادوں کو اکثر نمبر نہیں دیا جاتا تھا۔</v>
      </c>
    </row>
    <row r="16">
      <c r="A16" s="4">
        <v>15.0</v>
      </c>
      <c r="B16" s="5" t="s">
        <v>66</v>
      </c>
      <c r="C16" s="5" t="s">
        <v>67</v>
      </c>
      <c r="D16" s="5" t="s">
        <v>68</v>
      </c>
      <c r="E16" s="5" t="s">
        <v>69</v>
      </c>
      <c r="G16" s="6" t="str">
        <f>IFERROR(__xludf.DUMMYFUNCTION("GOOGLETRANSLATE(A16, ""en"", ""ur"")"),"15")</f>
        <v>15</v>
      </c>
      <c r="H16" s="6" t="str">
        <f>IFERROR(__xludf.DUMMYFUNCTION("GOOGLETRANSLATE(B16, ""en"", ""ur"")"),"f1 پر ایک اشوا ایک ""کانٹا"" فراہم کرتا ہے، e3 پر دشمن ہاتھی اور d2 پر ایک دشمن گجا پر بیک وقت حملہ کرتا ہے۔ کیا یہ قانونی اقدام ہے؟")</f>
        <v>f1 پر ایک اشوا ایک "کانٹا" فراہم کرتا ہے، e3 پر دشمن ہاتھی اور d2 پر ایک دشمن گجا پر بیک وقت حملہ کرتا ہے۔ کیا یہ قانونی اقدام ہے؟</v>
      </c>
      <c r="I16" s="6" t="str">
        <f>IFERROR(__xludf.DUMMYFUNCTION("GOOGLETRANSLATE(C16, ""en"", ""ur"")"),"A) نہیں، ایک اشوا ایک ساتھ دو ٹکڑوں پر حملہ نہیں کر سکتا، B) ہاں، یہ ایک قانونی اور طاقتور حربہ ہے، C) صرف اس صورت میں جب راجہ پر بھی حملہ کیا جائے، D) صرف اس صورت میں جب ڈائی رول اس کی اجازت دے")</f>
        <v>A) نہیں، ایک اشوا ایک ساتھ دو ٹکڑوں پر حملہ نہیں کر سکتا، B) ہاں، یہ ایک قانونی اور طاقتور حربہ ہے، C) صرف اس صورت میں جب راجہ پر بھی حملہ کیا جائے، D) صرف اس صورت میں جب ڈائی رول اس کی اجازت دے</v>
      </c>
      <c r="J16" s="6" t="str">
        <f>IFERROR(__xludf.DUMMYFUNCTION("GOOGLETRANSLATE(D16, ""en"", ""ur"")"),"ب) جی ہاں، یہ ایک قانونی اور طاقتور حربہ ہے۔")</f>
        <v>ب) جی ہاں، یہ ایک قانونی اور طاقتور حربہ ہے۔</v>
      </c>
      <c r="K16" s="6" t="str">
        <f>IFERROR(__xludf.DUMMYFUNCTION("GOOGLETRANSLATE(E16, ""en"", ""ur"")"),"اشوا کی ایل کے سائز کی حرکت، جو کہ جدید نائٹ سے ملتی جلتی ہے، نے اسے حکمت عملی کے کانٹے چلانے کے لیے مثالی بنا دیا۔")</f>
        <v>اشوا کی ایل کے سائز کی حرکت، جو کہ جدید نائٹ سے ملتی جلتی ہے، نے اسے حکمت عملی کے کانٹے چلانے کے لیے مثالی بنا دیا۔</v>
      </c>
    </row>
    <row r="17">
      <c r="A17" s="4">
        <v>16.0</v>
      </c>
      <c r="B17" s="5" t="s">
        <v>70</v>
      </c>
      <c r="C17" s="5" t="s">
        <v>71</v>
      </c>
      <c r="D17" s="5" t="s">
        <v>72</v>
      </c>
      <c r="E17" s="5" t="s">
        <v>73</v>
      </c>
      <c r="G17" s="6" t="str">
        <f>IFERROR(__xludf.DUMMYFUNCTION("GOOGLETRANSLATE(A17, ""en"", ""ur"")"),"16")</f>
        <v>16</v>
      </c>
      <c r="H17" s="6" t="str">
        <f>IFERROR(__xludf.DUMMYFUNCTION("GOOGLETRANSLATE(B17, ""en"", ""ur"")"),"c3 پر آپ کی ہاتھی پر a1 پر دشمن گاجا نے حملہ کیا۔ آپ کا ہاتھی پکڑے بغیر حرکت نہیں کر سکتا۔ اس صورت حال کو کیسے بیان کیا گیا ہے؟")</f>
        <v>c3 پر آپ کی ہاتھی پر a1 پر دشمن گاجا نے حملہ کیا۔ آپ کا ہاتھی پکڑے بغیر حرکت نہیں کر سکتا۔ اس صورت حال کو کیسے بیان کیا گیا ہے؟</v>
      </c>
      <c r="I17" s="6" t="str">
        <f>IFERROR(__xludf.DUMMYFUNCTION("GOOGLETRANSLATE(C17, ""en"", ""ur"")"),"A) آپ کی ہاتھی کو پن کیا گیا ہے، B) آپ کی ہاتھی کو کانٹا لگا ہوا ہے، C) آپ کی ہاتھی پھنس گئی ہے، D) آپ کی ہاتھی کو چیک کیا گیا ہے۔")</f>
        <v>A) آپ کی ہاتھی کو پن کیا گیا ہے، B) آپ کی ہاتھی کو کانٹا لگا ہوا ہے، C) آپ کی ہاتھی پھنس گئی ہے، D) آپ کی ہاتھی کو چیک کیا گیا ہے۔</v>
      </c>
      <c r="J17" s="6" t="str">
        <f>IFERROR(__xludf.DUMMYFUNCTION("GOOGLETRANSLATE(D17, ""en"", ""ur"")"),"ج) آپ کا ہاتھی پھنس گیا ہے۔")</f>
        <v>ج) آپ کا ہاتھی پھنس گیا ہے۔</v>
      </c>
      <c r="K17" s="6" t="str">
        <f>IFERROR(__xludf.DUMMYFUNCTION("GOOGLETRANSLATE(E17, ""en"", ""ur"")"),"گاجا کی محدود نقل و حرکت نے اسے پن کرنے میں ناقص بنا دیا لیکن مخصوص اخترن پر ٹکڑوں کو پھنسانے میں بہترین۔")</f>
        <v>گاجا کی محدود نقل و حرکت نے اسے پن کرنے میں ناقص بنا دیا لیکن مخصوص اخترن پر ٹکڑوں کو پھنسانے میں بہترین۔</v>
      </c>
    </row>
    <row r="18">
      <c r="A18" s="4">
        <v>17.0</v>
      </c>
      <c r="B18" s="5" t="s">
        <v>74</v>
      </c>
      <c r="C18" s="5" t="s">
        <v>75</v>
      </c>
      <c r="D18" s="5" t="s">
        <v>76</v>
      </c>
      <c r="E18" s="5" t="s">
        <v>77</v>
      </c>
      <c r="G18" s="6" t="str">
        <f>IFERROR(__xludf.DUMMYFUNCTION("GOOGLETRANSLATE(A18, ""en"", ""ur"")"),"17")</f>
        <v>17</v>
      </c>
      <c r="H18" s="6" t="str">
        <f>IFERROR(__xludf.DUMMYFUNCTION("GOOGLETRANSLATE(B18, ""en"", ""ur"")"),"آپ کے پاس صرف ایک راجہ اور ایک ہاتھی باقی ہے۔ آپ کے مخالف کے پاس صرف ایک راجہ ہے۔ کیا آپ زبردستی جیت سکتے ہیں؟")</f>
        <v>آپ کے پاس صرف ایک راجہ اور ایک ہاتھی باقی ہے۔ آپ کے مخالف کے پاس صرف ایک راجہ ہے۔ کیا آپ زبردستی جیت سکتے ہیں؟</v>
      </c>
      <c r="I18" s="6" t="str">
        <f>IFERROR(__xludf.DUMMYFUNCTION("GOOGLETRANSLATE(C18, ""en"", ""ur"")"),"A) نہیں، یہ ایک خودکار قرعہ اندازی ہے، B) صرف اس صورت میں جب مخالف غلطی کرے، C) جی ہاں، ایک راجہ اور ہاتھی آسانی سے گرفتاری پر مجبور کر سکتے ہیں، D) ہاں، لیکن یہ بہت مشکل ہے۔")</f>
        <v>A) نہیں، یہ ایک خودکار قرعہ اندازی ہے، B) صرف اس صورت میں جب مخالف غلطی کرے، C) جی ہاں، ایک راجہ اور ہاتھی آسانی سے گرفتاری پر مجبور کر سکتے ہیں، D) ہاں، لیکن یہ بہت مشکل ہے۔</v>
      </c>
      <c r="J18" s="6" t="str">
        <f>IFERROR(__xludf.DUMMYFUNCTION("GOOGLETRANSLATE(D18, ""en"", ""ur"")"),"ج) ہاں، ایک راجہ اور ہاتھی آسانی سے زبردستی پکڑ سکتے ہیں۔")</f>
        <v>ج) ہاں، ایک راجہ اور ہاتھی آسانی سے زبردستی پکڑ سکتے ہیں۔</v>
      </c>
      <c r="K18" s="6" t="str">
        <f>IFERROR(__xludf.DUMMYFUNCTION("GOOGLETRANSLATE(E18, ""en"", ""ur"")"),"ایک جدید کنگ اور روک اینڈگیم کی طرح، ہاتھی اتنا طاقتور ہے کہ وہ منظم طریقے سے اپنے راجہ کو اکیلے دشمن راجہ کو پکڑنے میں مدد دے سکے۔")</f>
        <v>ایک جدید کنگ اور روک اینڈگیم کی طرح، ہاتھی اتنا طاقتور ہے کہ وہ منظم طریقے سے اپنے راجہ کو اکیلے دشمن راجہ کو پکڑنے میں مدد دے سکے۔</v>
      </c>
    </row>
    <row r="19">
      <c r="A19" s="4">
        <v>18.0</v>
      </c>
      <c r="B19" s="5" t="s">
        <v>78</v>
      </c>
      <c r="C19" s="5" t="s">
        <v>79</v>
      </c>
      <c r="D19" s="5" t="s">
        <v>80</v>
      </c>
      <c r="E19" s="5" t="s">
        <v>81</v>
      </c>
      <c r="G19" s="6" t="str">
        <f>IFERROR(__xludf.DUMMYFUNCTION("GOOGLETRANSLATE(A19, ""en"", ""ur"")"),"18")</f>
        <v>18</v>
      </c>
      <c r="H19" s="6" t="str">
        <f>IFERROR(__xludf.DUMMYFUNCTION("GOOGLETRANSLATE(B19, ""en"", ""ur"")"),"اکیلے راجہ کے مقابلے میں آپ کے پاس صرف ایک راجہ اور ایک گاجا بچا ہے۔ سب سے زیادہ ممکنہ نتیجہ کیا ہے؟")</f>
        <v>اکیلے راجہ کے مقابلے میں آپ کے پاس صرف ایک راجہ اور ایک گاجا بچا ہے۔ سب سے زیادہ ممکنہ نتیجہ کیا ہے؟</v>
      </c>
      <c r="I19" s="6" t="str">
        <f>IFERROR(__xludf.DUMMYFUNCTION("GOOGLETRANSLATE(C19, ""en"", ""ur"")"),"A) آپ کے لیے ایک آسان جیت، B) ڈرا، کیونکہ گاجا بہت کمزور اور رنگین ہے، C) بہت سی چالوں کے بعد ایک سست جیت، D) آپ ہار جائیں گے۔")</f>
        <v>A) آپ کے لیے ایک آسان جیت، B) ڈرا، کیونکہ گاجا بہت کمزور اور رنگین ہے، C) بہت سی چالوں کے بعد ایک سست جیت، D) آپ ہار جائیں گے۔</v>
      </c>
      <c r="J19" s="6" t="str">
        <f>IFERROR(__xludf.DUMMYFUNCTION("GOOGLETRANSLATE(D19, ""en"", ""ur"")"),"ب) قرعہ اندازی، کیونکہ گاجا بہت کمزور اور رنگین ہے۔")</f>
        <v>ب) قرعہ اندازی، کیونکہ گاجا بہت کمزور اور رنگین ہے۔</v>
      </c>
      <c r="K19" s="6" t="str">
        <f>IFERROR(__xludf.DUMMYFUNCTION("GOOGLETRANSLATE(E19, ""en"", ""ur"")"),"مخالف رنگ کے چوکوں کو کنٹرول کرنے میں گاجا کی نااہلی ایک تنہا راجہ کے خلاف زبردستی قبضہ کرنا ناممکن بنا دیتی ہے۔")</f>
        <v>مخالف رنگ کے چوکوں کو کنٹرول کرنے میں گاجا کی نااہلی ایک تنہا راجہ کے خلاف زبردستی قبضہ کرنا ناممکن بنا دیتی ہے۔</v>
      </c>
    </row>
    <row r="20">
      <c r="A20" s="4">
        <v>19.0</v>
      </c>
      <c r="B20" s="5" t="s">
        <v>82</v>
      </c>
      <c r="C20" s="5" t="s">
        <v>83</v>
      </c>
      <c r="D20" s="5" t="s">
        <v>84</v>
      </c>
      <c r="E20" s="5" t="s">
        <v>85</v>
      </c>
      <c r="G20" s="6" t="str">
        <f>IFERROR(__xludf.DUMMYFUNCTION("GOOGLETRANSLATE(A20, ""en"", ""ur"")"),"19")</f>
        <v>19</v>
      </c>
      <c r="H20" s="6" t="str">
        <f>IFERROR(__xludf.DUMMYFUNCTION("GOOGLETRANSLATE(B20, ""en"", ""ur"")"),"دو کھلاڑیوں کے کھیل میں، شروع میں بورڈ پر ٹکڑوں کی کل تعداد کتنی ہے؟")</f>
        <v>دو کھلاڑیوں کے کھیل میں، شروع میں بورڈ پر ٹکڑوں کی کل تعداد کتنی ہے؟</v>
      </c>
      <c r="I20" s="6" t="str">
        <f>IFERROR(__xludf.DUMMYFUNCTION("GOOGLETRANSLATE(C20, ""en"", ""ur"")"),"A) 24، B) 32، C) 36، D) 48")</f>
        <v>A) 24، B) 32، C) 36، D) 48</v>
      </c>
      <c r="J20" s="6" t="str">
        <f>IFERROR(__xludf.DUMMYFUNCTION("GOOGLETRANSLATE(D20, ""en"", ""ur"")"),"ب) 32")</f>
        <v>ب) 32</v>
      </c>
      <c r="K20" s="6" t="str">
        <f>IFERROR(__xludf.DUMMYFUNCTION("GOOGLETRANSLATE(E20, ""en"", ""ur"")"),"ہر طرف کے پاس 16 ٹکڑے ہیں (1 راجہ، 1 منتری، 2 گاج، 2 اشواس، 2 ہاتھیاں، اور 8 پداٹی)، کل 32 کے لیے، بالکل جدید شطرنج کی طرح۔")</f>
        <v>ہر طرف کے پاس 16 ٹکڑے ہیں (1 راجہ، 1 منتری، 2 گاج، 2 اشواس، 2 ہاتھیاں، اور 8 پداٹی)، کل 32 کے لیے، بالکل جدید شطرنج کی طرح۔</v>
      </c>
    </row>
    <row r="21">
      <c r="A21" s="4">
        <v>20.0</v>
      </c>
      <c r="B21" s="5" t="s">
        <v>86</v>
      </c>
      <c r="C21" s="5" t="s">
        <v>87</v>
      </c>
      <c r="D21" s="5" t="s">
        <v>88</v>
      </c>
      <c r="E21" s="5" t="s">
        <v>89</v>
      </c>
      <c r="G21" s="6" t="str">
        <f>IFERROR(__xludf.DUMMYFUNCTION("GOOGLETRANSLATE(A21, ""en"", ""ur"")"),"20")</f>
        <v>20</v>
      </c>
      <c r="H21" s="6" t="str">
        <f>IFERROR(__xludf.DUMMYFUNCTION("GOOGLETRANSLATE(B21, ""en"", ""ur"")"),"ہاتھی ڈی 1 پر ہے اور دوستانہ پڈتی ڈی 3 پر ہے۔ کیا ہاتھی ڈی 5 میں جا سکتا ہے؟")</f>
        <v>ہاتھی ڈی 1 پر ہے اور دوستانہ پڈتی ڈی 3 پر ہے۔ کیا ہاتھی ڈی 5 میں جا سکتا ہے؟</v>
      </c>
      <c r="I21" s="6" t="str">
        <f>IFERROR(__xludf.DUMMYFUNCTION("GOOGLETRANSLATE(C21, ""en"", ""ur"")"),"A) جی ہاں، پڈاتی پر چھلانگ لگا کر، B) نہیں، اس کا راستہ پڈاتی نے روک دیا ہے، C) صرف اس صورت میں جب یہ قبضہ ہو، D) صرف اس صورت میں جب راجہ پہلے حرکت کرے۔")</f>
        <v>A) جی ہاں، پڈاتی پر چھلانگ لگا کر، B) نہیں، اس کا راستہ پڈاتی نے روک دیا ہے، C) صرف اس صورت میں جب یہ قبضہ ہو، D) صرف اس صورت میں جب راجہ پہلے حرکت کرے۔</v>
      </c>
      <c r="J21" s="6" t="str">
        <f>IFERROR(__xludf.DUMMYFUNCTION("GOOGLETRANSLATE(D21, ""en"", ""ur"")"),"ب) نہیں، اس کا راستہ پڈاتی نے روک دیا ہے۔")</f>
        <v>ب) نہیں، اس کا راستہ پڈاتی نے روک دیا ہے۔</v>
      </c>
      <c r="K21" s="6" t="str">
        <f>IFERROR(__xludf.DUMMYFUNCTION("GOOGLETRANSLATE(E21, ""en"", ""ur"")"),"جدید روک کی طرح ہاتھی دوسرے ٹکڑوں پر کود نہیں سکتا۔ اس کا راستہ صاف ہونا چاہیے۔")</f>
        <v>جدید روک کی طرح ہاتھی دوسرے ٹکڑوں پر کود نہیں سکتا۔ اس کا راستہ صاف ہونا چاہیے۔</v>
      </c>
    </row>
    <row r="22">
      <c r="A22" s="4">
        <v>21.0</v>
      </c>
      <c r="B22" s="5" t="s">
        <v>90</v>
      </c>
      <c r="C22" s="5" t="s">
        <v>91</v>
      </c>
      <c r="D22" s="5" t="s">
        <v>92</v>
      </c>
      <c r="E22" s="5" t="s">
        <v>93</v>
      </c>
      <c r="G22" s="6" t="str">
        <f>IFERROR(__xludf.DUMMYFUNCTION("GOOGLETRANSLATE(A22, ""en"", ""ur"")"),"21")</f>
        <v>21</v>
      </c>
      <c r="H22" s="6" t="str">
        <f>IFERROR(__xludf.DUMMYFUNCTION("GOOGLETRANSLATE(B22, ""en"", ""ur"")"),"جی 7 پر ایک پداٹی جی 8 میں چلا جاتا ہے اور منتری کو ترقی دیتا ہے۔ اگلے موڑ پر، اس نئی منتری کے لیے قانونی اقدام کیا ہے؟")</f>
        <v>جی 7 پر ایک پداٹی جی 8 میں چلا جاتا ہے اور منتری کو ترقی دیتا ہے۔ اگلے موڑ پر، اس نئی منتری کے لیے قانونی اقدام کیا ہے؟</v>
      </c>
      <c r="I22" s="6" t="str">
        <f>IFERROR(__xludf.DUMMYFUNCTION("GOOGLETRANSLATE(C22, ""en"", ""ur"")"),"A) g7 پر جائیں، B) h7 پر جائیں، C) f8 پر جائیں، D) h7 یا f7 پر جائیں")</f>
        <v>A) g7 پر جائیں، B) h7 پر جائیں، C) f8 پر جائیں، D) h7 یا f7 پر جائیں</v>
      </c>
      <c r="J22" s="6" t="str">
        <f>IFERROR(__xludf.DUMMYFUNCTION("GOOGLETRANSLATE(D22, ""en"", ""ur"")"),"D) h7 یا f7 پر جائیں۔")</f>
        <v>D) h7 یا f7 پر جائیں۔</v>
      </c>
      <c r="K22" s="6" t="str">
        <f>IFERROR(__xludf.DUMMYFUNCTION("GOOGLETRANSLATE(E22, ""en"", ""ur"")"),"نئی ترقی یافتہ منتری فوری طور پر ایک مربع کو ترچھی طور پر منتقل کر سکتا ہے، اس صورت میں h7 یا f7 میں۔")</f>
        <v>نئی ترقی یافتہ منتری فوری طور پر ایک مربع کو ترچھی طور پر منتقل کر سکتا ہے، اس صورت میں h7 یا f7 میں۔</v>
      </c>
    </row>
    <row r="23">
      <c r="A23" s="4">
        <v>22.0</v>
      </c>
      <c r="B23" s="5" t="s">
        <v>94</v>
      </c>
      <c r="C23" s="5" t="s">
        <v>95</v>
      </c>
      <c r="D23" s="5" t="s">
        <v>96</v>
      </c>
      <c r="E23" s="5" t="s">
        <v>97</v>
      </c>
      <c r="G23" s="6" t="str">
        <f>IFERROR(__xludf.DUMMYFUNCTION("GOOGLETRANSLATE(A23, ""en"", ""ur"")"),"22")</f>
        <v>22</v>
      </c>
      <c r="H23" s="6" t="str">
        <f>IFERROR(__xludf.DUMMYFUNCTION("GOOGLETRANSLATE(B23, ""en"", ""ur"")"),"کیا چتورنگا میں ""این پاسنٹ"" اقدام قانونی گرفت ہے؟")</f>
        <v>کیا چتورنگا میں "این پاسنٹ" اقدام قانونی گرفت ہے؟</v>
      </c>
      <c r="I23" s="6" t="str">
        <f>IFERROR(__xludf.DUMMYFUNCTION("GOOGLETRANSLATE(C23, ""en"", ""ur"")"),"A) جی ہاں، یہ جدید شطرنج کے اصولوں کی پیروی کرتا ہے، B) نہیں، این پاسنٹ اصول موجود نہیں تھا، C) صرف کنارے فائلوں پر پاڈیٹس کے لئے، D) صرف چار کھلاڑیوں کے ورژن میں")</f>
        <v>A) جی ہاں، یہ جدید شطرنج کے اصولوں کی پیروی کرتا ہے، B) نہیں، این پاسنٹ اصول موجود نہیں تھا، C) صرف کنارے فائلوں پر پاڈیٹس کے لئے، D) صرف چار کھلاڑیوں کے ورژن میں</v>
      </c>
      <c r="J23" s="6" t="str">
        <f>IFERROR(__xludf.DUMMYFUNCTION("GOOGLETRANSLATE(D23, ""en"", ""ur"")"),"ب) نہیں، این پاسنٹ اصول موجود نہیں تھا۔")</f>
        <v>ب) نہیں، این پاسنٹ اصول موجود نہیں تھا۔</v>
      </c>
      <c r="K23" s="6" t="str">
        <f>IFERROR(__xludf.DUMMYFUNCTION("GOOGLETRANSLATE(E23, ""en"", ""ur"")"),"این پاسنٹ کا خصوصی پیادہ گرفت کا اصول بعد میں یورپی اختراع تھا اور یہ قدیم چتورنگا کا حصہ نہیں تھا۔")</f>
        <v>این پاسنٹ کا خصوصی پیادہ گرفت کا اصول بعد میں یورپی اختراع تھا اور یہ قدیم چتورنگا کا حصہ نہیں تھا۔</v>
      </c>
    </row>
    <row r="24">
      <c r="A24" s="4">
        <v>23.0</v>
      </c>
      <c r="B24" s="5" t="s">
        <v>98</v>
      </c>
      <c r="C24" s="5" t="s">
        <v>99</v>
      </c>
      <c r="D24" s="5" t="s">
        <v>100</v>
      </c>
      <c r="E24" s="5" t="s">
        <v>101</v>
      </c>
      <c r="G24" s="6" t="str">
        <f>IFERROR(__xludf.DUMMYFUNCTION("GOOGLETRANSLATE(A24, ""en"", ""ur"")"),"23")</f>
        <v>23</v>
      </c>
      <c r="H24" s="6" t="str">
        <f>IFERROR(__xludf.DUMMYFUNCTION("GOOGLETRANSLATE(B24, ""en"", ""ur"")"),"آپ کا راجہ b1 پر ہے۔ ایک دشمن اشوا d2 پر ہے۔ کیا آپ کا راجہ حملہ آور ہے؟")</f>
        <v>آپ کا راجہ b1 پر ہے۔ ایک دشمن اشوا d2 پر ہے۔ کیا آپ کا راجہ حملہ آور ہے؟</v>
      </c>
      <c r="I24" s="6" t="str">
        <f>IFERROR(__xludf.DUMMYFUNCTION("GOOGLETRANSLATE(C24, ""en"", ""ur"")"),"A) ہاں، B) نہیں، C) صرف اس صورت میں جب یہ ڈائس رول ہو، D) یہ ایک تعطل ہے۔")</f>
        <v>A) ہاں، B) نہیں، C) صرف اس صورت میں جب یہ ڈائس رول ہو، D) یہ ایک تعطل ہے۔</v>
      </c>
      <c r="J24" s="6" t="str">
        <f>IFERROR(__xludf.DUMMYFUNCTION("GOOGLETRANSLATE(D24, ""en"", ""ur"")"),"A) ہاں")</f>
        <v>A) ہاں</v>
      </c>
      <c r="K24" s="6" t="str">
        <f>IFERROR(__xludf.DUMMYFUNCTION("GOOGLETRANSLATE(E24, ""en"", ""ur"")"),"d2 سے، ایک اشوا b1، b3، c4، e4، f3، اور f1 پر حملہ کرتا ہے۔ اگلے موڑ پر راجہ کے پکڑے جانے کا خطرہ ہے۔")</f>
        <v>d2 سے، ایک اشوا b1، b3، c4، e4، f3، اور f1 پر حملہ کرتا ہے۔ اگلے موڑ پر راجہ کے پکڑے جانے کا خطرہ ہے۔</v>
      </c>
    </row>
    <row r="25">
      <c r="A25" s="4">
        <v>24.0</v>
      </c>
      <c r="B25" s="5" t="s">
        <v>102</v>
      </c>
      <c r="C25" s="5" t="s">
        <v>103</v>
      </c>
      <c r="D25" s="5" t="s">
        <v>104</v>
      </c>
      <c r="E25" s="5" t="s">
        <v>105</v>
      </c>
      <c r="G25" s="6" t="str">
        <f>IFERROR(__xludf.DUMMYFUNCTION("GOOGLETRANSLATE(A25, ""en"", ""ur"")"),"24")</f>
        <v>24</v>
      </c>
      <c r="H25" s="6" t="str">
        <f>IFERROR(__xludf.DUMMYFUNCTION("GOOGLETRANSLATE(B25, ""en"", ""ur"")"),"چتورنگا، اشٹاپاد کے لیے استعمال ہونے والے بورڈ میں بعض اوقات مخصوص چوکوں پر خاص نشانات ہوتے تھے۔ ان نشانات کا کیا مطلب تھا؟")</f>
        <v>چتورنگا، اشٹاپاد کے لیے استعمال ہونے والے بورڈ میں بعض اوقات مخصوص چوکوں پر خاص نشانات ہوتے تھے۔ ان نشانات کا کیا مطلب تھا؟</v>
      </c>
      <c r="I25" s="6" t="str">
        <f>IFERROR(__xludf.DUMMYFUNCTION("GOOGLETRANSLATE(C25, ""en"", ""ur"")"),"A) وہ ٹکڑوں کے لئے پوزیشن شروع کر رہے تھے، B) وہ ایک مختلف ریس گیم سے متعلق تھے جو بورڈ پر بھی کھیلے جاتے تھے، C) انہوں نے پروموشن چوکوں کا اشارہ کیا، D) وہ خالصتاً آرائشی تھے۔")</f>
        <v>A) وہ ٹکڑوں کے لئے پوزیشن شروع کر رہے تھے، B) وہ ایک مختلف ریس گیم سے متعلق تھے جو بورڈ پر بھی کھیلے جاتے تھے، C) انہوں نے پروموشن چوکوں کا اشارہ کیا، D) وہ خالصتاً آرائشی تھے۔</v>
      </c>
      <c r="J25" s="6" t="str">
        <f>IFERROR(__xludf.DUMMYFUNCTION("GOOGLETRANSLATE(D25, ""en"", ""ur"")"),"ب) وہ بورڈ پر کھیلے جانے والے ایک مختلف ریس گیم سے متعلق تھے۔")</f>
        <v>ب) وہ بورڈ پر کھیلے جانے والے ایک مختلف ریس گیم سے متعلق تھے۔</v>
      </c>
      <c r="K25" s="6" t="str">
        <f>IFERROR(__xludf.DUMMYFUNCTION("GOOGLETRANSLATE(E25, ""en"", ""ur"")"),"اشٹاپڑا بورڈ کثیر مقصدی تھا۔ نشانات چتورنگا کے لیے نہیں تھے بلکہ دیگر نرد پر مبنی ریس گیمز کے لیے تھے۔")</f>
        <v>اشٹاپڑا بورڈ کثیر مقصدی تھا۔ نشانات چتورنگا کے لیے نہیں تھے بلکہ دیگر نرد پر مبنی ریس گیمز کے لیے تھے۔</v>
      </c>
    </row>
    <row r="26">
      <c r="A26" s="4">
        <v>25.0</v>
      </c>
      <c r="B26" s="5" t="s">
        <v>106</v>
      </c>
      <c r="C26" s="5" t="s">
        <v>107</v>
      </c>
      <c r="D26" s="5" t="s">
        <v>108</v>
      </c>
      <c r="E26" s="5" t="s">
        <v>109</v>
      </c>
      <c r="G26" s="6" t="str">
        <f>IFERROR(__xludf.DUMMYFUNCTION("GOOGLETRANSLATE(A26, ""en"", ""ur"")"),"25")</f>
        <v>25</v>
      </c>
      <c r="H26" s="6" t="str">
        <f>IFERROR(__xludf.DUMMYFUNCTION("GOOGLETRANSLATE(B26, ""en"", ""ur"")"),"چار کھلاڑیوں کے کھیل میں، آپ اپنے بائیں طرف کھلاڑی کے راجہ کو پکڑ لیتے ہیں۔ آگے کیا ہوتا ہے؟")</f>
        <v>چار کھلاڑیوں کے کھیل میں، آپ اپنے بائیں طرف کھلاڑی کے راجہ کو پکڑ لیتے ہیں۔ آگے کیا ہوتا ہے؟</v>
      </c>
      <c r="I26" s="6" t="str">
        <f>IFERROR(__xludf.DUMMYFUNCTION("GOOGLETRANSLATE(C26, ""en"", ""ur"")"),"A) آپ گیم جیت جاتے ہیں، B) آپ اس کھلاڑی کے باقی تمام ٹکڑوں پر قبضہ کر لیتے ہیں، C) وہ کھلاڑی ختم ہو جاتا ہے، اور کھیل تین کھلاڑیوں کے ساتھ جاری رہتا ہے، D) کھیل ڈرا پر ختم ہوتا ہے۔")</f>
        <v>A) آپ گیم جیت جاتے ہیں، B) آپ اس کھلاڑی کے باقی تمام ٹکڑوں پر قبضہ کر لیتے ہیں، C) وہ کھلاڑی ختم ہو جاتا ہے، اور کھیل تین کھلاڑیوں کے ساتھ جاری رہتا ہے، D) کھیل ڈرا پر ختم ہوتا ہے۔</v>
      </c>
      <c r="J26" s="6" t="str">
        <f>IFERROR(__xludf.DUMMYFUNCTION("GOOGLETRANSLATE(D26, ""en"", ""ur"")"),"ب) آپ اس کھلاڑی کے باقی تمام ٹکڑوں کو پکڑ لیتے ہیں۔")</f>
        <v>ب) آپ اس کھلاڑی کے باقی تمام ٹکڑوں کو پکڑ لیتے ہیں۔</v>
      </c>
      <c r="K26" s="6" t="str">
        <f>IFERROR(__xludf.DUMMYFUNCTION("GOOGLETRANSLATE(E26, ""en"", ""ur"")"),"چتوراجی میں ایک عام قاعدہ یہ تھا کہ کسی مخالف کے بادشاہ کو پکڑنے پر، فاتح ان کی فوج کو اپنے اندر جذب کر لیتا تھا۔")</f>
        <v>چتوراجی میں ایک عام قاعدہ یہ تھا کہ کسی مخالف کے بادشاہ کو پکڑنے پر، فاتح ان کی فوج کو اپنے اندر جذب کر لیتا تھا۔</v>
      </c>
    </row>
    <row r="27">
      <c r="A27" s="4">
        <v>26.0</v>
      </c>
      <c r="B27" s="5" t="s">
        <v>110</v>
      </c>
      <c r="C27" s="5" t="s">
        <v>111</v>
      </c>
      <c r="D27" s="5" t="s">
        <v>112</v>
      </c>
      <c r="E27" s="5" t="s">
        <v>113</v>
      </c>
      <c r="G27" s="6" t="str">
        <f>IFERROR(__xludf.DUMMYFUNCTION("GOOGLETRANSLATE(A27, ""en"", ""ur"")"),"26")</f>
        <v>26</v>
      </c>
      <c r="H27" s="6" t="str">
        <f>IFERROR(__xludf.DUMMYFUNCTION("GOOGLETRANSLATE(B27, ""en"", ""ur"")"),"آپ کا راجہ h1 پر ہے، اور ایک دشمن ہاتھی a1 پر ہے۔ ان کے درمیان تمام چوکیاں واضح ہیں۔ کیا ہاتھی راجہ کو پکڑ سکتے ہیں؟")</f>
        <v>آپ کا راجہ h1 پر ہے، اور ایک دشمن ہاتھی a1 پر ہے۔ ان کے درمیان تمام چوکیاں واضح ہیں۔ کیا ہاتھی راجہ کو پکڑ سکتے ہیں؟</v>
      </c>
      <c r="I27" s="6" t="str">
        <f>IFERROR(__xludf.DUMMYFUNCTION("GOOGLETRANSLATE(C27, ""en"", ""ur"")"),"A) نہیں، راجہ بہت دور ہے، B) ہاں، ہاتھی h1 پر جا کر راجہ کو پکڑ سکتا ہے، C) نہیں، ہاتھی کسی راجہ کو نہیں پکڑ سکتا، D) صرف اس صورت میں جب منتری مدد کرے")</f>
        <v>A) نہیں، راجہ بہت دور ہے، B) ہاں، ہاتھی h1 پر جا کر راجہ کو پکڑ سکتا ہے، C) نہیں، ہاتھی کسی راجہ کو نہیں پکڑ سکتا، D) صرف اس صورت میں جب منتری مدد کرے</v>
      </c>
      <c r="J27" s="6" t="str">
        <f>IFERROR(__xludf.DUMMYFUNCTION("GOOGLETRANSLATE(D27, ""en"", ""ur"")"),"ب) ہاں، ہاتھی h1 پر جا کر راجہ کو پکڑ سکتا ہے۔")</f>
        <v>ب) ہاں، ہاتھی h1 پر جا کر راجہ کو پکڑ سکتا ہے۔</v>
      </c>
      <c r="K27" s="6" t="str">
        <f>IFERROR(__xludf.DUMMYFUNCTION("GOOGLETRANSLATE(E27, ""en"", ""ur"")"),"ہتھی کی لمبی رینج اسے ایک طاقتور حملہ آور ٹکڑا بناتی ہے، جو بورڈ کے دوسری طرف کے ٹکڑے کو پکڑنے کی صلاحیت رکھتی ہے۔")</f>
        <v>ہتھی کی لمبی رینج اسے ایک طاقتور حملہ آور ٹکڑا بناتی ہے، جو بورڈ کے دوسری طرف کے ٹکڑے کو پکڑنے کی صلاحیت رکھتی ہے۔</v>
      </c>
    </row>
    <row r="28">
      <c r="A28" s="4">
        <v>27.0</v>
      </c>
      <c r="B28" s="5" t="s">
        <v>114</v>
      </c>
      <c r="C28" s="5" t="s">
        <v>115</v>
      </c>
      <c r="D28" s="5" t="s">
        <v>116</v>
      </c>
      <c r="E28" s="5" t="s">
        <v>117</v>
      </c>
      <c r="G28" s="6" t="str">
        <f>IFERROR(__xludf.DUMMYFUNCTION("GOOGLETRANSLATE(A28, ""en"", ""ur"")"),"27")</f>
        <v>27</v>
      </c>
      <c r="H28" s="6" t="str">
        <f>IFERROR(__xludf.DUMMYFUNCTION("GOOGLETRANSLATE(B28, ""en"", ""ur"")"),"آپ کے پاس a1 پر گاجا اور f1 پر گاجا ہے۔ اس سیٹ اپ کا اہم اسٹریٹجک نتیجہ کیا ہے؟")</f>
        <v>آپ کے پاس a1 پر گاجا اور f1 پر گاجا ہے۔ اس سیٹ اپ کا اہم اسٹریٹجک نتیجہ کیا ہے؟</v>
      </c>
      <c r="I28" s="6" t="str">
        <f>IFERROR(__xludf.DUMMYFUNCTION("GOOGLETRANSLATE(C28, ""en"", ""ur"")"),"A) وہ ایک دوسرے کا دفاع کر سکتے ہیں، B) وہ تمام ترچھی چوکوں کو کنٹرول کرتے ہیں، C) ایک ہلکے چوکور کو کنٹرول کرتا ہے اور دوسرا سیاہ چوکوں کو کنٹرول کرتا ہے، D) یہ ٹکڑوں کا ایک بہت کمزور جوڑا ہے۔")</f>
        <v>A) وہ ایک دوسرے کا دفاع کر سکتے ہیں، B) وہ تمام ترچھی چوکوں کو کنٹرول کرتے ہیں، C) ایک ہلکے چوکور کو کنٹرول کرتا ہے اور دوسرا سیاہ چوکوں کو کنٹرول کرتا ہے، D) یہ ٹکڑوں کا ایک بہت کمزور جوڑا ہے۔</v>
      </c>
      <c r="J28" s="6" t="str">
        <f>IFERROR(__xludf.DUMMYFUNCTION("GOOGLETRANSLATE(D28, ""en"", ""ur"")"),"C) ایک ہلکے چوکوں کو کنٹرول کرتا ہے اور دوسرا سیاہ چوکوں کو کنٹرول کرتا ہے۔")</f>
        <v>C) ایک ہلکے چوکوں کو کنٹرول کرتا ہے اور دوسرا سیاہ چوکوں کو کنٹرول کرتا ہے۔</v>
      </c>
      <c r="K28" s="6" t="str">
        <f>IFERROR(__xludf.DUMMYFUNCTION("GOOGLETRANSLATE(E28, ""en"", ""ur"")"),"گاجوں کو اس طرح سے رکھا گیا تھا کہ اس بات کو یقینی بنایا گیا کہ وہ مخالف رنگ کے چوکوں پر شروع ہوئے ہیں (ایک چیکر بورڈ پر)، انہیں مختلف اخترن پر کنٹرول دیتے ہوئے.")</f>
        <v>گاجوں کو اس طرح سے رکھا گیا تھا کہ اس بات کو یقینی بنایا گیا کہ وہ مخالف رنگ کے چوکوں پر شروع ہوئے ہیں (ایک چیکر بورڈ پر)، انہیں مختلف اخترن پر کنٹرول دیتے ہوئے.</v>
      </c>
    </row>
    <row r="29">
      <c r="A29" s="4">
        <v>28.0</v>
      </c>
      <c r="B29" s="5" t="s">
        <v>118</v>
      </c>
      <c r="C29" s="5" t="s">
        <v>119</v>
      </c>
      <c r="D29" s="5" t="s">
        <v>120</v>
      </c>
      <c r="E29" s="5" t="s">
        <v>121</v>
      </c>
      <c r="G29" s="6" t="str">
        <f>IFERROR(__xludf.DUMMYFUNCTION("GOOGLETRANSLATE(A29, ""en"", ""ur"")"),"28")</f>
        <v>28</v>
      </c>
      <c r="H29" s="6" t="str">
        <f>IFERROR(__xludf.DUMMYFUNCTION("GOOGLETRANSLATE(B29, ""en"", ""ur"")"),"کیا راجہ اس چوک میں جا سکتا ہے جس پر دشمن کے ٹکڑے کا حملہ ہو؟")</f>
        <v>کیا راجہ اس چوک میں جا سکتا ہے جس پر دشمن کے ٹکڑے کا حملہ ہو؟</v>
      </c>
      <c r="I29" s="6" t="str">
        <f>IFERROR(__xludf.DUMMYFUNCTION("GOOGLETRANSLATE(C29, ""en"", ""ur"")"),"A) ہاں، یہ ایک قانونی اقدام ہے، B) ہاں، لیکن صرف پکڑنے کے لیے، C) نہیں، یہ اقدام غیر قانونی ہے، D) صرف اس صورت میں جب یہ کھیل کا آخری اقدام ہو۔")</f>
        <v>A) ہاں، یہ ایک قانونی اقدام ہے، B) ہاں، لیکن صرف پکڑنے کے لیے، C) نہیں، یہ اقدام غیر قانونی ہے، D) صرف اس صورت میں جب یہ کھیل کا آخری اقدام ہو۔</v>
      </c>
      <c r="J29" s="6" t="str">
        <f>IFERROR(__xludf.DUMMYFUNCTION("GOOGLETRANSLATE(D29, ""en"", ""ur"")"),"ج) نہیں، یہ اقدام غیر قانونی ہے۔")</f>
        <v>ج) نہیں، یہ اقدام غیر قانونی ہے۔</v>
      </c>
      <c r="K29" s="6" t="str">
        <f>IFERROR(__xludf.DUMMYFUNCTION("GOOGLETRANSLATE(E29, ""en"", ""ur"")"),"بالکل اسی طرح جیسے جدید شطرنج میں، بادشاہ رضاکارانہ طور پر حملہ آور چوک میں نہیں جا سکتا تھا۔")</f>
        <v>بالکل اسی طرح جیسے جدید شطرنج میں، بادشاہ رضاکارانہ طور پر حملہ آور چوک میں نہیں جا سکتا تھا۔</v>
      </c>
    </row>
    <row r="30">
      <c r="A30" s="4">
        <v>29.0</v>
      </c>
      <c r="B30" s="5" t="s">
        <v>122</v>
      </c>
      <c r="C30" s="5" t="s">
        <v>123</v>
      </c>
      <c r="D30" s="5" t="s">
        <v>124</v>
      </c>
      <c r="E30" s="5" t="s">
        <v>125</v>
      </c>
      <c r="G30" s="6" t="str">
        <f>IFERROR(__xludf.DUMMYFUNCTION("GOOGLETRANSLATE(A30, ""en"", ""ur"")"),"29")</f>
        <v>29</v>
      </c>
      <c r="H30" s="6" t="str">
        <f>IFERROR(__xludf.DUMMYFUNCTION("GOOGLETRANSLATE(B30, ""en"", ""ur"")"),"b2 پر ایک پداٹی b3 کی طرف جاتا ہے۔ c4 پر ایک دشمن اشوا a3 کی طرف بڑھتا ہے۔ بس کیا ہوا؟")</f>
        <v>b2 پر ایک پداٹی b3 کی طرف جاتا ہے۔ c4 پر ایک دشمن اشوا a3 کی طرف بڑھتا ہے۔ بس کیا ہوا؟</v>
      </c>
      <c r="I30" s="6" t="str">
        <f>IFERROR(__xludf.DUMMYFUNCTION("GOOGLETRANSLATE(C30, ""en"", ""ur"")"),"A) اشوا نے پڈاتی پر قبضہ کر لیا، B) اشوا پڈاتی پر حملہ کرنے کے لیے چلا گیا، C) اشوا اب پڈاتی کو روک رہا ہے، D) یہ ایک غیر قانونی اقدام ہے۔")</f>
        <v>A) اشوا نے پڈاتی پر قبضہ کر لیا، B) اشوا پڈاتی پر حملہ کرنے کے لیے چلا گیا، C) اشوا اب پڈاتی کو روک رہا ہے، D) یہ ایک غیر قانونی اقدام ہے۔</v>
      </c>
      <c r="J30" s="6" t="str">
        <f>IFERROR(__xludf.DUMMYFUNCTION("GOOGLETRANSLATE(D30, ""en"", ""ur"")"),"ب) اشوا پڈاتی پر حملہ کرنے کے لیے چلے گئے۔")</f>
        <v>ب) اشوا پڈاتی پر حملہ کرنے کے لیے چلے گئے۔</v>
      </c>
      <c r="K30" s="6" t="str">
        <f>IFERROR(__xludf.DUMMYFUNCTION("GOOGLETRANSLATE(E30, ""en"", ""ur"")"),"A3 میں منتقل ہونا ایک قانونی L کی شکل کا اقدام ہے۔ a3 سے، اشوا اپنی اگلی موڑ پر b2 پر پداٹی کو پکڑ سکتا ہے۔ تصحیح: یہ منظرنامہ ناقص ہے۔ b3 پر منتقل ہونے والی b2 پر ایک Padati b2 پر کیپچر نہیں کی جا سکتی ہے۔ ایک بہتر منظر نامے کی ضرورت ہے۔")</f>
        <v>A3 میں منتقل ہونا ایک قانونی L کی شکل کا اقدام ہے۔ a3 سے، اشوا اپنی اگلی موڑ پر b2 پر پداٹی کو پکڑ سکتا ہے۔ تصحیح: یہ منظرنامہ ناقص ہے۔ b3 پر منتقل ہونے والی b2 پر ایک Padati b2 پر کیپچر نہیں کی جا سکتی ہے۔ ایک بہتر منظر نامے کی ضرورت ہے۔</v>
      </c>
    </row>
    <row r="31">
      <c r="A31" s="4">
        <v>30.0</v>
      </c>
      <c r="B31" s="5" t="s">
        <v>126</v>
      </c>
      <c r="C31" s="5" t="s">
        <v>127</v>
      </c>
      <c r="D31" s="5" t="s">
        <v>128</v>
      </c>
      <c r="E31" s="5" t="s">
        <v>129</v>
      </c>
      <c r="G31" s="6" t="str">
        <f>IFERROR(__xludf.DUMMYFUNCTION("GOOGLETRANSLATE(A31, ""en"", ""ur"")"),"30")</f>
        <v>30</v>
      </c>
      <c r="H31" s="6" t="str">
        <f>IFERROR(__xludf.DUMMYFUNCTION("GOOGLETRANSLATE(B31, ""en"", ""ur"")"),"ایسی صورت حال میں جہاں آپ کے راجہ کو خطرہ لاحق ہو، کیا اس کی حفاظت کے لیے ’’کاسٹنگ‘‘ جیسا کوئی خاص اقدام ہے؟")</f>
        <v>ایسی صورت حال میں جہاں آپ کے راجہ کو خطرہ لاحق ہو، کیا اس کی حفاظت کے لیے ’’کاسٹنگ‘‘ جیسا کوئی خاص اقدام ہے؟</v>
      </c>
      <c r="I31" s="6" t="str">
        <f>IFERROR(__xludf.DUMMYFUNCTION("GOOGLETRANSLATE(C31, ""en"", ""ur"")"),"A) جی ہاں، راجہ ہاتھی کے ساتھ جگہ بدل سکتا ہے، B) نہیں، قلعہ بندی کا تصور موجود نہیں تھا، C) ہاں، راجہ دو چوکوں سے چھلانگ لگا سکتا ہے، D) نہیں، راجہ کو ایک وقت میں ایک مربع منتقل کرنا چاہیے۔")</f>
        <v>A) جی ہاں، راجہ ہاتھی کے ساتھ جگہ بدل سکتا ہے، B) نہیں، قلعہ بندی کا تصور موجود نہیں تھا، C) ہاں، راجہ دو چوکوں سے چھلانگ لگا سکتا ہے، D) نہیں، راجہ کو ایک وقت میں ایک مربع منتقل کرنا چاہیے۔</v>
      </c>
      <c r="J31" s="6" t="str">
        <f>IFERROR(__xludf.DUMMYFUNCTION("GOOGLETRANSLATE(D31, ""en"", ""ur"")"),"ب) نہیں، کاسٹنگ کا تصور موجود نہیں تھا۔")</f>
        <v>ب) نہیں، کاسٹنگ کا تصور موجود نہیں تھا۔</v>
      </c>
      <c r="K31" s="6" t="str">
        <f>IFERROR(__xludf.DUMMYFUNCTION("GOOGLETRANSLATE(E31, ""en"", ""ur"")"),"کاسٹنگ اقدام کی کمی نے راجہ کا دفاع کرنا مزید مشکل بنا دیا اور اس کے لیے ایک سست، زیادہ جان بوجھ کر دفاعی سیٹ اپ کی ضرورت تھی۔")</f>
        <v>کاسٹنگ اقدام کی کمی نے راجہ کا دفاع کرنا مزید مشکل بنا دیا اور اس کے لیے ایک سست، زیادہ جان بوجھ کر دفاعی سیٹ اپ کی ضرورت تھی۔</v>
      </c>
    </row>
    <row r="32">
      <c r="A32" s="4">
        <v>31.0</v>
      </c>
      <c r="B32" s="5" t="s">
        <v>130</v>
      </c>
      <c r="C32" s="5" t="s">
        <v>131</v>
      </c>
      <c r="D32" s="5" t="s">
        <v>132</v>
      </c>
      <c r="E32" s="5" t="s">
        <v>133</v>
      </c>
      <c r="G32" s="6" t="str">
        <f>IFERROR(__xludf.DUMMYFUNCTION("GOOGLETRANSLATE(A32, ""en"", ""ur"")"),"31")</f>
        <v>31</v>
      </c>
      <c r="H32" s="6" t="str">
        <f>IFERROR(__xludf.DUMMYFUNCTION("GOOGLETRANSLATE(B32, ""en"", ""ur"")"),"ایک ہاتھی e4 پر ہے۔ ایک گاجا c2 پر ہے۔ گجا ہاتھی پر قبضہ کرنا چاہتا ہے۔ کیا یہ ممکن ہے؟")</f>
        <v>ایک ہاتھی e4 پر ہے۔ ایک گاجا c2 پر ہے۔ گجا ہاتھی پر قبضہ کرنا چاہتا ہے۔ کیا یہ ممکن ہے؟</v>
      </c>
      <c r="I32" s="6" t="str">
        <f>IFERROR(__xludf.DUMMYFUNCTION("GOOGLETRANSLATE(C32, ""en"", ""ur"")"),"A) ہاں، e4 پر چھلانگ لگانے سے، B) نہیں، e4 c2 سے درست اخترن پر نہیں ہے، C) ہاں، d3 اور پھر e4 پر جانے سے، D) نہیں، گاجا ہاتھیوں کو پکڑ نہیں سکتے")</f>
        <v>A) ہاں، e4 پر چھلانگ لگانے سے، B) نہیں، e4 c2 سے درست اخترن پر نہیں ہے، C) ہاں، d3 اور پھر e4 پر جانے سے، D) نہیں، گاجا ہاتھیوں کو پکڑ نہیں سکتے</v>
      </c>
      <c r="J32" s="6" t="str">
        <f>IFERROR(__xludf.DUMMYFUNCTION("GOOGLETRANSLATE(D32, ""en"", ""ur"")"),"B) نہیں، e4 c2 سے درست اخترن پر نہیں ہے۔")</f>
        <v>B) نہیں، e4 c2 سے درست اخترن پر نہیں ہے۔</v>
      </c>
      <c r="K32" s="6" t="str">
        <f>IFERROR(__xludf.DUMMYFUNCTION("GOOGLETRANSLATE(E32, ""en"", ""ur"")"),"c2 سے، گاجا صرف مربعوں a4، e4، a1، اور e1 تک جا سکتا ہے۔ تصحیح: بنیاد ناقص ہے، e4 ایک درست چھلانگ ہے۔ ایک بہتر سوال کی ضرورت ہے۔")</f>
        <v>c2 سے، گاجا صرف مربعوں a4، e4، a1، اور e1 تک جا سکتا ہے۔ تصحیح: بنیاد ناقص ہے، e4 ایک درست چھلانگ ہے۔ ایک بہتر سوال کی ضرورت ہے۔</v>
      </c>
    </row>
    <row r="33">
      <c r="A33" s="4">
        <v>32.0</v>
      </c>
      <c r="B33" s="5" t="s">
        <v>134</v>
      </c>
      <c r="C33" s="5" t="s">
        <v>135</v>
      </c>
      <c r="D33" s="5" t="s">
        <v>136</v>
      </c>
      <c r="E33" s="5" t="s">
        <v>137</v>
      </c>
      <c r="G33" s="6" t="str">
        <f>IFERROR(__xludf.DUMMYFUNCTION("GOOGLETRANSLATE(A33, ""en"", ""ur"")"),"32")</f>
        <v>32</v>
      </c>
      <c r="H33" s="6" t="str">
        <f>IFERROR(__xludf.DUMMYFUNCTION("GOOGLETRANSLATE(B33, ""en"", ""ur"")"),"آپ کے مخالف کے پاس صرف ان کا راجہ باقی ہے۔ آپ کے پاس آپ کا راجہ اور دو اشو ہیں۔ کیا آپ زبردستی جیت سکتے ہیں؟")</f>
        <v>آپ کے مخالف کے پاس صرف ان کا راجہ باقی ہے۔ آپ کے پاس آپ کا راجہ اور دو اشو ہیں۔ کیا آپ زبردستی جیت سکتے ہیں؟</v>
      </c>
      <c r="I33" s="6" t="str">
        <f>IFERROR(__xludf.DUMMYFUNCTION("GOOGLETRANSLATE(C33, ""en"", ""ur"")"),"A) نہیں، یہ ڈرا ہے، B) ہاں، یہ نسبتاً سیدھی سی جیت ہے، C) یہ ممکن ہے لیکن انتہائی مشکل، D) صرف اس صورت میں جب مخالف کا راجہ کونے میں ہو۔")</f>
        <v>A) نہیں، یہ ڈرا ہے، B) ہاں، یہ نسبتاً سیدھی سی جیت ہے، C) یہ ممکن ہے لیکن انتہائی مشکل، D) صرف اس صورت میں جب مخالف کا راجہ کونے میں ہو۔</v>
      </c>
      <c r="J33" s="6" t="str">
        <f>IFERROR(__xludf.DUMMYFUNCTION("GOOGLETRANSLATE(D33, ""en"", ""ur"")"),"ب) جی ہاں، یہ نسبتاً سیدھی سی جیت ہے۔")</f>
        <v>ب) جی ہاں، یہ نسبتاً سیدھی سی جیت ہے۔</v>
      </c>
      <c r="K33" s="6" t="str">
        <f>IFERROR(__xludf.DUMMYFUNCTION("GOOGLETRANSLATE(E33, ""en"", ""ur"")"),"جدید شطرنج کے دو شورویروں کی طرح، دو اشوا اور ایک راجہ اکیلے دشمن راجہ کو پکڑنے اور پکڑنے کے لیے مل کر کام کر سکتے ہیں۔")</f>
        <v>جدید شطرنج کے دو شورویروں کی طرح، دو اشوا اور ایک راجہ اکیلے دشمن راجہ کو پکڑنے اور پکڑنے کے لیے مل کر کام کر سکتے ہیں۔</v>
      </c>
    </row>
    <row r="34">
      <c r="A34" s="4">
        <v>33.0</v>
      </c>
      <c r="B34" s="5" t="s">
        <v>138</v>
      </c>
      <c r="C34" s="5" t="s">
        <v>139</v>
      </c>
      <c r="D34" s="5" t="s">
        <v>140</v>
      </c>
      <c r="E34" s="5" t="s">
        <v>141</v>
      </c>
      <c r="G34" s="6" t="str">
        <f>IFERROR(__xludf.DUMMYFUNCTION("GOOGLETRANSLATE(A34, ""en"", ""ur"")"),"33")</f>
        <v>33</v>
      </c>
      <c r="H34" s="6" t="str">
        <f>IFERROR(__xludf.DUMMYFUNCTION("GOOGLETRANSLATE(B34, ""en"", ""ur"")"),"دو کھلاڑیوں کے کھیل کے آغاز میں بورڈ پر پاڈیٹس کی کل تعداد کتنی ہے؟")</f>
        <v>دو کھلاڑیوں کے کھیل کے آغاز میں بورڈ پر پاڈیٹس کی کل تعداد کتنی ہے؟</v>
      </c>
      <c r="I34" s="6" t="str">
        <f>IFERROR(__xludf.DUMMYFUNCTION("GOOGLETRANSLATE(C34, ""en"", ""ur"")"),"A) 8، B) 12، C) 16، D) 20")</f>
        <v>A) 8، B) 12، C) 16، D) 20</v>
      </c>
      <c r="J34" s="6" t="str">
        <f>IFERROR(__xludf.DUMMYFUNCTION("GOOGLETRANSLATE(D34, ""en"", ""ur"")"),"ج) 16")</f>
        <v>ج) 16</v>
      </c>
      <c r="K34" s="6" t="str">
        <f>IFERROR(__xludf.DUMMYFUNCTION("GOOGLETRANSLATE(E34, ""en"", ""ur"")"),"دو کھلاڑیوں میں سے ہر ایک آٹھ پداٹیوں کے ساتھ شروع ہوتا ہے، ان کے دوسرے درجے میں ہر مربع کے لیے ایک۔")</f>
        <v>دو کھلاڑیوں میں سے ہر ایک آٹھ پداٹیوں کے ساتھ شروع ہوتا ہے، ان کے دوسرے درجے میں ہر مربع کے لیے ایک۔</v>
      </c>
    </row>
    <row r="35">
      <c r="A35" s="4">
        <v>34.0</v>
      </c>
      <c r="B35" s="5" t="s">
        <v>142</v>
      </c>
      <c r="C35" s="5" t="s">
        <v>143</v>
      </c>
      <c r="D35" s="5" t="s">
        <v>100</v>
      </c>
      <c r="E35" s="5" t="s">
        <v>144</v>
      </c>
      <c r="G35" s="6" t="str">
        <f>IFERROR(__xludf.DUMMYFUNCTION("GOOGLETRANSLATE(A35, ""en"", ""ur"")"),"34")</f>
        <v>34</v>
      </c>
      <c r="H35" s="6" t="str">
        <f>IFERROR(__xludf.DUMMYFUNCTION("GOOGLETRANSLATE(B35, ""en"", ""ur"")"),"f1 پر ایک گاجا h3 پر اترنے کے لیے g2 پر چھلانگ لگاتا ہے۔ کیا یہ قانونی اقدام ہے؟")</f>
        <v>f1 پر ایک گاجا h3 پر اترنے کے لیے g2 پر چھلانگ لگاتا ہے۔ کیا یہ قانونی اقدام ہے؟</v>
      </c>
      <c r="I35" s="6" t="str">
        <f>IFERROR(__xludf.DUMMYFUNCTION("GOOGLETRANSLATE(C35, ""en"", ""ur"")"),"A) ہاں، B) نہیں، C) صرف اس صورت میں جب g2 خالی ہو، D) صرف اس صورت میں جب یہ کیپچر ہو۔")</f>
        <v>A) ہاں، B) نہیں، C) صرف اس صورت میں جب g2 خالی ہو، D) صرف اس صورت میں جب یہ کیپچر ہو۔</v>
      </c>
      <c r="J35" s="6" t="str">
        <f>IFERROR(__xludf.DUMMYFUNCTION("GOOGLETRANSLATE(D35, ""en"", ""ur"")"),"A) ہاں")</f>
        <v>A) ہاں</v>
      </c>
      <c r="K35" s="6" t="str">
        <f>IFERROR(__xludf.DUMMYFUNCTION("GOOGLETRANSLATE(E35, ""en"", ""ur"")"),"یہ ایک معیاری دو مربع ترچھی چھلانگ ہے، جو گاجا کی واحد حرکت ہے۔")</f>
        <v>یہ ایک معیاری دو مربع ترچھی چھلانگ ہے، جو گاجا کی واحد حرکت ہے۔</v>
      </c>
    </row>
    <row r="36">
      <c r="A36" s="4">
        <v>35.0</v>
      </c>
      <c r="B36" s="5" t="s">
        <v>145</v>
      </c>
      <c r="C36" s="5" t="s">
        <v>146</v>
      </c>
      <c r="D36" s="5" t="s">
        <v>147</v>
      </c>
      <c r="E36" s="5" t="s">
        <v>148</v>
      </c>
      <c r="G36" s="6" t="str">
        <f>IFERROR(__xludf.DUMMYFUNCTION("GOOGLETRANSLATE(A36, ""en"", ""ur"")"),"35")</f>
        <v>35</v>
      </c>
      <c r="H36" s="6" t="str">
        <f>IFERROR(__xludf.DUMMYFUNCTION("GOOGLETRANSLATE(B36, ""en"", ""ur"")"),"فور پلیئر ڈائس گیم میں، اگر آپ کسی ایسے ٹکڑے کے لیے نمبر رول کرتے ہیں جس میں کوئی قانونی چال نہیں ہے، تو کیا ہوتا ہے؟")</f>
        <v>فور پلیئر ڈائس گیم میں، اگر آپ کسی ایسے ٹکڑے کے لیے نمبر رول کرتے ہیں جس میں کوئی قانونی چال نہیں ہے، تو کیا ہوتا ہے؟</v>
      </c>
      <c r="I36" s="6" t="str">
        <f>IFERROR(__xludf.DUMMYFUNCTION("GOOGLETRANSLATE(C36, ""en"", ""ur"")"),"A) آپ اپنی باری کھو دیتے ہیں، B) آپ کسی بھی دوسرے ٹکڑے کو منتقل کر سکتے ہیں، C) آپ کو اپنے راجہ کو منتقل کرنا ہوگا، D) آپ ڈائی کو دوبارہ رول کریں گے")</f>
        <v>A) آپ اپنی باری کھو دیتے ہیں، B) آپ کسی بھی دوسرے ٹکڑے کو منتقل کر سکتے ہیں، C) آپ کو اپنے راجہ کو منتقل کرنا ہوگا، D) آپ ڈائی کو دوبارہ رول کریں گے</v>
      </c>
      <c r="J36" s="6" t="str">
        <f>IFERROR(__xludf.DUMMYFUNCTION("GOOGLETRANSLATE(D36, ""en"", ""ur"")"),"A) آپ اپنی باری کھو دیتے ہیں۔")</f>
        <v>A) آپ اپنی باری کھو دیتے ہیں۔</v>
      </c>
      <c r="K36" s="6" t="str">
        <f>IFERROR(__xludf.DUMMYFUNCTION("GOOGLETRANSLATE(E36, ""en"", ""ur"")"),"ڈائس ویریئنٹ کا ایک اہم عنصر موڑ کھونے کا خطرہ تھا اگر ڈائی نے ایک ایسا ٹکڑا منتخب کیا جو بلاک ہو گیا تھا یا اس میں کوئی حرکت دستیاب نہیں تھی۔")</f>
        <v>ڈائس ویریئنٹ کا ایک اہم عنصر موڑ کھونے کا خطرہ تھا اگر ڈائی نے ایک ایسا ٹکڑا منتخب کیا جو بلاک ہو گیا تھا یا اس میں کوئی حرکت دستیاب نہیں تھی۔</v>
      </c>
    </row>
    <row r="37">
      <c r="A37" s="4">
        <v>36.0</v>
      </c>
      <c r="B37" s="5" t="s">
        <v>149</v>
      </c>
      <c r="C37" s="5" t="s">
        <v>150</v>
      </c>
      <c r="D37" s="5" t="s">
        <v>151</v>
      </c>
      <c r="E37" s="5" t="s">
        <v>152</v>
      </c>
      <c r="G37" s="6" t="str">
        <f>IFERROR(__xludf.DUMMYFUNCTION("GOOGLETRANSLATE(A37, ""en"", ""ur"")"),"36")</f>
        <v>36</v>
      </c>
      <c r="H37" s="6" t="str">
        <f>IFERROR(__xludf.DUMMYFUNCTION("GOOGLETRANSLATE(B37, ""en"", ""ur"")"),"آپ کا ہاتھی a1 پر ہے اور مخالف کا ہاتھی h1 پر ہے۔ آپ کا راجہ e1 پر ہے۔ حکمت عملی کی صورت حال کیا ہے؟")</f>
        <v>آپ کا ہاتھی a1 پر ہے اور مخالف کا ہاتھی h1 پر ہے۔ آپ کا راجہ e1 پر ہے۔ حکمت عملی کی صورت حال کیا ہے؟</v>
      </c>
      <c r="I37" s="6" t="str">
        <f>IFERROR(__xludf.DUMMYFUNCTION("GOOGLETRANSLATE(C37, ""en"", ""ur"")"),"A) آپ کا راجہ محفوظ ہے، B) آپ کا راجہ ""سیخ"" میں ہے، C) آپ کا راجہ پچھلے درجے میں پھنس گیا ہے، D) آپ کا راجہ کانٹا ہے۔")</f>
        <v>A) آپ کا راجہ محفوظ ہے، B) آپ کا راجہ "سیخ" میں ہے، C) آپ کا راجہ پچھلے درجے میں پھنس گیا ہے، D) آپ کا راجہ کانٹا ہے۔</v>
      </c>
      <c r="J37" s="6" t="str">
        <f>IFERROR(__xludf.DUMMYFUNCTION("GOOGLETRANSLATE(D37, ""en"", ""ur"")"),"ج) آپ کا راجہ پچھلے رینک پر پھنس گیا ہے۔")</f>
        <v>ج) آپ کا راجہ پچھلے رینک پر پھنس گیا ہے۔</v>
      </c>
      <c r="K37" s="6" t="str">
        <f>IFERROR(__xludf.DUMMYFUNCTION("GOOGLETRANSLATE(E37, ""en"", ""ur"")"),"دو دشمن حوثیوں نے پورے پچھواڑے کو کنٹرول کر لیا، راجہ کی نقل و حرکت کو سختی سے روک دیا اور ایک خطرناک صورتحال پیدا کر دی۔")</f>
        <v>دو دشمن حوثیوں نے پورے پچھواڑے کو کنٹرول کر لیا، راجہ کی نقل و حرکت کو سختی سے روک دیا اور ایک خطرناک صورتحال پیدا کر دی۔</v>
      </c>
    </row>
    <row r="38">
      <c r="A38" s="4">
        <v>37.0</v>
      </c>
      <c r="B38" s="5" t="s">
        <v>153</v>
      </c>
      <c r="C38" s="5" t="s">
        <v>154</v>
      </c>
      <c r="D38" s="5" t="s">
        <v>155</v>
      </c>
      <c r="E38" s="5" t="s">
        <v>156</v>
      </c>
      <c r="G38" s="6" t="str">
        <f>IFERROR(__xludf.DUMMYFUNCTION("GOOGLETRANSLATE(A38, ""en"", ""ur"")"),"37")</f>
        <v>37</v>
      </c>
      <c r="H38" s="6" t="str">
        <f>IFERROR(__xludf.DUMMYFUNCTION("GOOGLETRANSLATE(B38, ""en"", ""ur"")"),"کیا منتری ہاتھی کو پکڑ سکتا ہے؟")</f>
        <v>کیا منتری ہاتھی کو پکڑ سکتا ہے؟</v>
      </c>
      <c r="I38" s="6" t="str">
        <f>IFERROR(__xludf.DUMMYFUNCTION("GOOGLETRANSLATE(C38, ""en"", ""ur"")"),"A) ہاں، اگر ہاتھی ملحقہ ترچھے مربع پر ہے، B) نہیں، ایک منتری ہاتھی کو پکڑنے کے لیے بہت کمزور ہے، C) صرف اس صورت میں جب منتری کو کسی دوسرے ٹکڑے سے محفوظ کیا جائے، D) نہیں، منتری صرف پادتیوں کو پکڑ سکتا ہے۔")</f>
        <v>A) ہاں، اگر ہاتھی ملحقہ ترچھے مربع پر ہے، B) نہیں، ایک منتری ہاتھی کو پکڑنے کے لیے بہت کمزور ہے، C) صرف اس صورت میں جب منتری کو کسی دوسرے ٹکڑے سے محفوظ کیا جائے، D) نہیں، منتری صرف پادتیوں کو پکڑ سکتا ہے۔</v>
      </c>
      <c r="J38" s="6" t="str">
        <f>IFERROR(__xludf.DUMMYFUNCTION("GOOGLETRANSLATE(D38, ""en"", ""ur"")"),"A) ہاں، اگر ہاتھی ملحقہ ترچھی مربع پر ہے۔")</f>
        <v>A) ہاں، اگر ہاتھی ملحقہ ترچھی مربع پر ہے۔</v>
      </c>
      <c r="K38" s="6" t="str">
        <f>IFERROR(__xludf.DUMMYFUNCTION("GOOGLETRANSLATE(E38, ""en"", ""ur"")"),"منتری کسی بھی ٹکڑے پر قبضہ کر سکتا تھا، لیکن اس کی محدود حد کا مطلب یہ ہے کہ ہاتھی جیسے طاقتور ٹکڑے کے خلاف موقع شاذ و نادر ہی پیدا ہوتا ہے۔")</f>
        <v>منتری کسی بھی ٹکڑے پر قبضہ کر سکتا تھا، لیکن اس کی محدود حد کا مطلب یہ ہے کہ ہاتھی جیسے طاقتور ٹکڑے کے خلاف موقع شاذ و نادر ہی پیدا ہوتا ہے۔</v>
      </c>
    </row>
    <row r="39">
      <c r="A39" s="4">
        <v>38.0</v>
      </c>
      <c r="B39" s="5" t="s">
        <v>157</v>
      </c>
      <c r="C39" s="5" t="s">
        <v>158</v>
      </c>
      <c r="D39" s="5" t="s">
        <v>159</v>
      </c>
      <c r="E39" s="5" t="s">
        <v>160</v>
      </c>
      <c r="G39" s="6" t="str">
        <f>IFERROR(__xludf.DUMMYFUNCTION("GOOGLETRANSLATE(A39, ""en"", ""ur"")"),"38")</f>
        <v>38</v>
      </c>
      <c r="H39" s="6" t="str">
        <f>IFERROR(__xludf.DUMMYFUNCTION("GOOGLETRANSLATE(B39, ""en"", ""ur"")"),"چتورنگا میں بورڈ سیٹ اپ متوازی ہے۔ یہ کون سا اسٹریٹجک اصول نافذ کرتا ہے؟")</f>
        <v>چتورنگا میں بورڈ سیٹ اپ متوازی ہے۔ یہ کون سا اسٹریٹجک اصول نافذ کرتا ہے؟</v>
      </c>
      <c r="I39" s="6" t="str">
        <f>IFERROR(__xludf.DUMMYFUNCTION("GOOGLETRANSLATE(C39, ""en"", ""ur"")"),"A) کھیل قسمت پر مبنی ہے، B) کھیل بالکل متوازن ہے، اور کوئی بھی کھلاڑی کسی فائدے کے ساتھ شروع نہیں کرتا، C) پہلا کھلاڑی جو آگے بڑھتا ہے ہمیشہ جیتتا ہے، D) کھیل ہمیشہ ڈرا پر ختم ہوگا۔")</f>
        <v>A) کھیل قسمت پر مبنی ہے، B) کھیل بالکل متوازن ہے، اور کوئی بھی کھلاڑی کسی فائدے کے ساتھ شروع نہیں کرتا، C) پہلا کھلاڑی جو آگے بڑھتا ہے ہمیشہ جیتتا ہے، D) کھیل ہمیشہ ڈرا پر ختم ہوگا۔</v>
      </c>
      <c r="J39" s="6" t="str">
        <f>IFERROR(__xludf.DUMMYFUNCTION("GOOGLETRANSLATE(D39, ""en"", ""ur"")"),"ب) کھیل بالکل متوازن ہے، اور کوئی بھی کھلاڑی فائدہ کے ساتھ شروع نہیں کرتا ہے۔")</f>
        <v>ب) کھیل بالکل متوازن ہے، اور کوئی بھی کھلاڑی فائدہ کے ساتھ شروع نہیں کرتا ہے۔</v>
      </c>
      <c r="K39" s="6" t="str">
        <f>IFERROR(__xludf.DUMMYFUNCTION("GOOGLETRANSLATE(E39, ""en"", ""ur"")"),"سڈول سیٹ اپ یقینی بناتا ہے کہ گیم خالص مہارت کا امتحان ہے (نان ڈائس ورژن میں)۔")</f>
        <v>سڈول سیٹ اپ یقینی بناتا ہے کہ گیم خالص مہارت کا امتحان ہے (نان ڈائس ورژن میں)۔</v>
      </c>
    </row>
    <row r="40">
      <c r="A40" s="4">
        <v>39.0</v>
      </c>
      <c r="B40" s="5" t="s">
        <v>161</v>
      </c>
      <c r="C40" s="5" t="s">
        <v>162</v>
      </c>
      <c r="D40" s="5" t="s">
        <v>163</v>
      </c>
      <c r="E40" s="5" t="s">
        <v>164</v>
      </c>
      <c r="G40" s="6" t="str">
        <f>IFERROR(__xludf.DUMMYFUNCTION("GOOGLETRANSLATE(A40, ""en"", ""ur"")"),"39")</f>
        <v>39</v>
      </c>
      <c r="H40" s="6" t="str">
        <f>IFERROR(__xludf.DUMMYFUNCTION("GOOGLETRANSLATE(B40, ""en"", ""ur"")"),"ایک کھلاڑی کے راجہ کو مخالف کے ٹکڑے سے خطرہ ہے۔ کیا کھلاڑی کو ""چیک"" کا اعلان کرنا ہوگا؟")</f>
        <v>ایک کھلاڑی کے راجہ کو مخالف کے ٹکڑے سے خطرہ ہے۔ کیا کھلاڑی کو "چیک" کا اعلان کرنا ہوگا؟</v>
      </c>
      <c r="I40" s="6" t="str">
        <f>IFERROR(__xludf.DUMMYFUNCTION("GOOGLETRANSLATE(C40, ""en"", ""ur"")"),"A) ہاں، یہ ایک لازمی قاعدہ ہے، B) نہیں، ""چیک"" کا اعلان بعد میں کی گئی ایجاد تھی، C) صرف اس صورت میں جب دھمکی آمیز ٹکڑا ہاتھی ہو، D) اسے اچھی اسپورٹس مین شپ سمجھا جاتا ہے لیکن اس کی ضرورت نہیں")</f>
        <v>A) ہاں، یہ ایک لازمی قاعدہ ہے، B) نہیں، "چیک" کا اعلان بعد میں کی گئی ایجاد تھی، C) صرف اس صورت میں جب دھمکی آمیز ٹکڑا ہاتھی ہو، D) اسے اچھی اسپورٹس مین شپ سمجھا جاتا ہے لیکن اس کی ضرورت نہیں</v>
      </c>
      <c r="J40" s="6" t="str">
        <f>IFERROR(__xludf.DUMMYFUNCTION("GOOGLETRANSLATE(D40, ""en"", ""ur"")"),"ب) نہیں، ""چیک"" کا اعلان بعد کی ایجاد تھی۔")</f>
        <v>ب) نہیں، "چیک" کا اعلان بعد کی ایجاد تھی۔</v>
      </c>
      <c r="K40" s="6" t="str">
        <f>IFERROR(__xludf.DUMMYFUNCTION("GOOGLETRANSLATE(E40, ""en"", ""ur"")"),"چتورنگا میں خطرہ کو دیکھنا مخالف کی ذمہ داری تھی۔ اگر وہ اپنے راجہ کو منتقل کرنے میں ناکام رہے تو اگلے موڑ پر اسے پکڑا جا سکتا ہے۔")</f>
        <v>چتورنگا میں خطرہ کو دیکھنا مخالف کی ذمہ داری تھی۔ اگر وہ اپنے راجہ کو منتقل کرنے میں ناکام رہے تو اگلے موڑ پر اسے پکڑا جا سکتا ہے۔</v>
      </c>
    </row>
    <row r="41">
      <c r="A41" s="4">
        <v>40.0</v>
      </c>
      <c r="B41" s="5" t="s">
        <v>165</v>
      </c>
      <c r="C41" s="5" t="s">
        <v>166</v>
      </c>
      <c r="D41" s="5" t="s">
        <v>167</v>
      </c>
      <c r="E41" s="5" t="s">
        <v>168</v>
      </c>
      <c r="G41" s="6" t="str">
        <f>IFERROR(__xludf.DUMMYFUNCTION("GOOGLETRANSLATE(A41, ""en"", ""ur"")"),"40")</f>
        <v>40</v>
      </c>
      <c r="H41" s="6" t="str">
        <f>IFERROR(__xludf.DUMMYFUNCTION("GOOGLETRANSLATE(B41, ""en"", ""ur"")"),"اشوا کے مقابلے میں گجا کی نسبتی قدر کیا ہے؟")</f>
        <v>اشوا کے مقابلے میں گجا کی نسبتی قدر کیا ہے؟</v>
      </c>
      <c r="I41" s="6" t="str">
        <f>IFERROR(__xludf.DUMMYFUNCTION("GOOGLETRANSLATE(C41, ""en"", ""ur"")"),"A) وہ مساوی قیمت کے ہیں، B) گاجا قدرے زیادہ قیمتی ہے، C) اشوا نمایاں طور پر زیادہ قیمتی ہے، D) ان کی قیمت بورڈ کی پوزیشن پر منحصر ہے۔")</f>
        <v>A) وہ مساوی قیمت کے ہیں، B) گاجا قدرے زیادہ قیمتی ہے، C) اشوا نمایاں طور پر زیادہ قیمتی ہے، D) ان کی قیمت بورڈ کی پوزیشن پر منحصر ہے۔</v>
      </c>
      <c r="J41" s="6" t="str">
        <f>IFERROR(__xludf.DUMMYFUNCTION("GOOGLETRANSLATE(D41, ""en"", ""ur"")"),"C) اشوا نمایاں طور پر زیادہ قیمتی ہے۔")</f>
        <v>C) اشوا نمایاں طور پر زیادہ قیمتی ہے۔</v>
      </c>
      <c r="K41" s="6" t="str">
        <f>IFERROR(__xludf.DUMMYFUNCTION("GOOGLETRANSLATE(E41, ""en"", ""ur"")"),"گاجا کی شدید رنگین کمزوری اور محدود حرکت کی وجہ سے، لچکدار، اچھلنے والا اشوا زیادہ مضبوط ٹکڑا سمجھا جاتا تھا۔")</f>
        <v>گاجا کی شدید رنگین کمزوری اور محدود حرکت کی وجہ سے، لچکدار، اچھلنے والا اشوا زیادہ مضبوط ٹکڑا سمجھا جاتا تھا۔</v>
      </c>
    </row>
    <row r="42">
      <c r="A42" s="4">
        <v>41.0</v>
      </c>
      <c r="B42" s="5" t="s">
        <v>169</v>
      </c>
      <c r="C42" s="5" t="s">
        <v>170</v>
      </c>
      <c r="D42" s="5" t="s">
        <v>171</v>
      </c>
      <c r="E42" s="5" t="s">
        <v>172</v>
      </c>
      <c r="G42" s="6" t="str">
        <f>IFERROR(__xludf.DUMMYFUNCTION("GOOGLETRANSLATE(A42, ""en"", ""ur"")"),"41")</f>
        <v>41</v>
      </c>
      <c r="H42" s="6" t="str">
        <f>IFERROR(__xludf.DUMMYFUNCTION("GOOGLETRANSLATE(B42, ""en"", ""ur"")"),"ایک کھلاڑی کا e1 پر راجہ ہوتا ہے اور e2 پر پادتی۔ کیا راجہ ایک ہی حرکت میں e3 پر جا سکتا ہے؟")</f>
        <v>ایک کھلاڑی کا e1 پر راجہ ہوتا ہے اور e2 پر پادتی۔ کیا راجہ ایک ہی حرکت میں e3 پر جا سکتا ہے؟</v>
      </c>
      <c r="I42" s="6" t="str">
        <f>IFERROR(__xludf.DUMMYFUNCTION("GOOGLETRANSLATE(C42, ""en"", ""ur"")"),"A) ہاں، پڈاتی پر چھلانگ لگا کر، B) نہیں، راجہ صرف ملحقہ خالی چوک میں جا سکتا ہے، C) صرف اس صورت میں جب مخالف راضی ہو، D) ہاں، یہ ایک خاص ""بادشاہ کی چھلانگ"" کی حرکت ہے۔")</f>
        <v>A) ہاں، پڈاتی پر چھلانگ لگا کر، B) نہیں، راجہ صرف ملحقہ خالی چوک میں جا سکتا ہے، C) صرف اس صورت میں جب مخالف راضی ہو، D) ہاں، یہ ایک خاص "بادشاہ کی چھلانگ" کی حرکت ہے۔</v>
      </c>
      <c r="J42" s="6" t="str">
        <f>IFERROR(__xludf.DUMMYFUNCTION("GOOGLETRANSLATE(D42, ""en"", ""ur"")"),"ب) نہیں، راجہ صرف ملحقہ خالی چوک میں جا سکتا ہے۔")</f>
        <v>ب) نہیں، راجہ صرف ملحقہ خالی چوک میں جا سکتا ہے۔</v>
      </c>
      <c r="K42" s="6" t="str">
        <f>IFERROR(__xludf.DUMMYFUNCTION("GOOGLETRANSLATE(E42, ""en"", ""ur"")"),"راجہ جدید بادشاہ کی طرح ایک مربع کو کسی بھی سمت میں منتقل کرتا ہے، اور ٹکڑوں پر کود نہیں سکتا۔")</f>
        <v>راجہ جدید بادشاہ کی طرح ایک مربع کو کسی بھی سمت میں منتقل کرتا ہے، اور ٹکڑوں پر کود نہیں سکتا۔</v>
      </c>
    </row>
    <row r="43">
      <c r="A43" s="4">
        <v>42.0</v>
      </c>
      <c r="B43" s="5" t="s">
        <v>173</v>
      </c>
      <c r="C43" s="5" t="s">
        <v>174</v>
      </c>
      <c r="D43" s="5" t="s">
        <v>175</v>
      </c>
      <c r="E43" s="5" t="s">
        <v>176</v>
      </c>
      <c r="G43" s="6" t="str">
        <f>IFERROR(__xludf.DUMMYFUNCTION("GOOGLETRANSLATE(A43, ""en"", ""ur"")"),"42")</f>
        <v>42</v>
      </c>
      <c r="H43" s="6" t="str">
        <f>IFERROR(__xludf.DUMMYFUNCTION("GOOGLETRANSLATE(B43, ""en"", ""ur"")"),"چار پلیئر ورژن میں، دو کھلاڑی باہر ہو گئے ہیں۔ باقی دو کھلاڑی ایک دوسرے کے مخالف ہیں۔ ختم کیے گئے کھلاڑیوں کے ٹکڑوں کا کیا ہوتا ہے؟")</f>
        <v>چار پلیئر ورژن میں، دو کھلاڑی باہر ہو گئے ہیں۔ باقی دو کھلاڑی ایک دوسرے کے مخالف ہیں۔ ختم کیے گئے کھلاڑیوں کے ٹکڑوں کا کیا ہوتا ہے؟</v>
      </c>
      <c r="I43" s="6" t="str">
        <f>IFERROR(__xludf.DUMMYFUNCTION("GOOGLETRANSLATE(C43, ""en"", ""ur"")"),"A) انہیں بورڈ سے ہٹا دیا جاتا ہے، B) وہ غیر جانبدار رکاوٹوں کے طور پر بورڈ پر رہتے ہیں، C) باقی کھلاڑی انہیں پوائنٹس کے لیے پکڑ سکتے ہیں، D) باقی کھلاڑی ان پر قابو پا لیتے ہیں۔")</f>
        <v>A) انہیں بورڈ سے ہٹا دیا جاتا ہے، B) وہ غیر جانبدار رکاوٹوں کے طور پر بورڈ پر رہتے ہیں، C) باقی کھلاڑی انہیں پوائنٹس کے لیے پکڑ سکتے ہیں، D) باقی کھلاڑی ان پر قابو پا لیتے ہیں۔</v>
      </c>
      <c r="J43" s="6" t="str">
        <f>IFERROR(__xludf.DUMMYFUNCTION("GOOGLETRANSLATE(D43, ""en"", ""ur"")"),"ب) وہ بورڈ پر غیر جانبدار رکاوٹوں کے طور پر رہتے ہیں۔")</f>
        <v>ب) وہ بورڈ پر غیر جانبدار رکاوٹوں کے طور پر رہتے ہیں۔</v>
      </c>
      <c r="K43" s="6" t="str">
        <f>IFERROR(__xludf.DUMMYFUNCTION("GOOGLETRANSLATE(E43, ""en"", ""ur"")"),"بہت سے مختلف حالتوں میں، ختم کیے گئے کھلاڑیوں کے ٹکڑے بورڈ پر رہے، جس سے ایک پیچیدہ اور ہجوم والا اختتامی کھیل پیدا ہوا۔")</f>
        <v>بہت سے مختلف حالتوں میں، ختم کیے گئے کھلاڑیوں کے ٹکڑے بورڈ پر رہے، جس سے ایک پیچیدہ اور ہجوم والا اختتامی کھیل پیدا ہوا۔</v>
      </c>
    </row>
    <row r="44">
      <c r="A44" s="4">
        <v>43.0</v>
      </c>
      <c r="B44" s="5" t="s">
        <v>177</v>
      </c>
      <c r="C44" s="5" t="s">
        <v>178</v>
      </c>
      <c r="D44" s="5" t="s">
        <v>179</v>
      </c>
      <c r="E44" s="5" t="s">
        <v>180</v>
      </c>
      <c r="G44" s="6" t="str">
        <f>IFERROR(__xludf.DUMMYFUNCTION("GOOGLETRANSLATE(A44, ""en"", ""ur"")"),"43")</f>
        <v>43</v>
      </c>
      <c r="H44" s="6" t="str">
        <f>IFERROR(__xludf.DUMMYFUNCTION("GOOGLETRANSLATE(B44, ""en"", ""ur"")"),"ایک ہاتھی h8 پر ہے اور ایک Gaja f8 پر ہے۔ گاجا h6 پر جانا چاہتا ہے۔ کر سکتے ہیں؟")</f>
        <v>ایک ہاتھی h8 پر ہے اور ایک Gaja f8 پر ہے۔ گاجا h6 پر جانا چاہتا ہے۔ کر سکتے ہیں؟</v>
      </c>
      <c r="I44" s="6" t="str">
        <f>IFERROR(__xludf.DUMMYFUNCTION("GOOGLETRANSLATE(C44, ""en"", ""ur"")"),"A) جی ہاں، یہ g7 پر چھلانگ لگا سکتا ہے، B) نہیں، کیونکہ g7 پر کسی اور گاجا کا قبضہ ہے، C) نہیں، اس کی اپنی ہاتھی راستے میں ہے، D) اس سے کوئی فرق نہیں پڑتا کہ g7 پر قبضہ ہے")</f>
        <v>A) جی ہاں، یہ g7 پر چھلانگ لگا سکتا ہے، B) نہیں، کیونکہ g7 پر کسی اور گاجا کا قبضہ ہے، C) نہیں، اس کی اپنی ہاتھی راستے میں ہے، D) اس سے کوئی فرق نہیں پڑتا کہ g7 پر قبضہ ہے</v>
      </c>
      <c r="J44" s="6" t="str">
        <f>IFERROR(__xludf.DUMMYFUNCTION("GOOGLETRANSLATE(D44, ""en"", ""ur"")"),"D) اس سے کوئی فرق نہیں پڑتا کہ g7 پر قبضہ ہے۔")</f>
        <v>D) اس سے کوئی فرق نہیں پڑتا کہ g7 پر قبضہ ہے۔</v>
      </c>
      <c r="K44" s="6" t="str">
        <f>IFERROR(__xludf.DUMMYFUNCTION("GOOGLETRANSLATE(E44, ""en"", ""ur"")"),"گاجا کی چھلانگ کا مطلب ہے کہ یہ درمیانی چوک پر موجود دوست یا دشمن کے کسی بھی ٹکڑے پر چھلانگ لگا سکتا ہے۔")</f>
        <v>گاجا کی چھلانگ کا مطلب ہے کہ یہ درمیانی چوک پر موجود دوست یا دشمن کے کسی بھی ٹکڑے پر چھلانگ لگا سکتا ہے۔</v>
      </c>
    </row>
    <row r="45">
      <c r="A45" s="4">
        <v>44.0</v>
      </c>
      <c r="B45" s="5" t="s">
        <v>181</v>
      </c>
      <c r="C45" s="5" t="s">
        <v>182</v>
      </c>
      <c r="D45" s="5" t="s">
        <v>183</v>
      </c>
      <c r="E45" s="5" t="s">
        <v>184</v>
      </c>
      <c r="G45" s="6" t="str">
        <f>IFERROR(__xludf.DUMMYFUNCTION("GOOGLETRANSLATE(A45, ""en"", ""ur"")"),"44")</f>
        <v>44</v>
      </c>
      <c r="H45" s="6" t="str">
        <f>IFERROR(__xludf.DUMMYFUNCTION("GOOGLETRANSLATE(B45, ""en"", ""ur"")"),"آپ کے پاس صرف ایک راجہ رہ گیا ہے۔ آپ کے مخالف کے پاس ایک راجہ اور دو گاج ہیں، دونوں ایک ہی رنگ کے چوکوں پر ہیں۔ نتیجہ کیا ہے؟")</f>
        <v>آپ کے پاس صرف ایک راجہ رہ گیا ہے۔ آپ کے مخالف کے پاس ایک راجہ اور دو گاج ہیں، دونوں ایک ہی رنگ کے چوکوں پر ہیں۔ نتیجہ کیا ہے؟</v>
      </c>
      <c r="I45" s="6" t="str">
        <f>IFERROR(__xludf.DUMMYFUNCTION("GOOGLETRANSLATE(C45, ""en"", ""ur"")"),"A) آپ ہاریں گے، B) گیم ڈرا ہے، C) آپ جیت سکتے ہیں اگر آپ محتاط رہیں، D) مخالف کی غیر قانونی پوزیشن ہے")</f>
        <v>A) آپ ہاریں گے، B) گیم ڈرا ہے، C) آپ جیت سکتے ہیں اگر آپ محتاط رہیں، D) مخالف کی غیر قانونی پوزیشن ہے</v>
      </c>
      <c r="J45" s="6" t="str">
        <f>IFERROR(__xludf.DUMMYFUNCTION("GOOGLETRANSLATE(D45, ""en"", ""ur"")"),"ب) کھیل ڈرا ہے۔")</f>
        <v>ب) کھیل ڈرا ہے۔</v>
      </c>
      <c r="K45" s="6" t="str">
        <f>IFERROR(__xludf.DUMMYFUNCTION("GOOGLETRANSLATE(E45, ""en"", ""ur"")"),"ایک ہی رنگ کے دونوں گاجوں کے ساتھ، وہ کبھی بھی مخالف رنگ کے چوکوں کو کنٹرول نہیں کر سکتے، جس سے تنہا راجہ کو زبردستی پکڑنا ناممکن ہو جاتا ہے۔")</f>
        <v>ایک ہی رنگ کے دونوں گاجوں کے ساتھ، وہ کبھی بھی مخالف رنگ کے چوکوں کو کنٹرول نہیں کر سکتے، جس سے تنہا راجہ کو زبردستی پکڑنا ناممکن ہو جاتا ہے۔</v>
      </c>
    </row>
    <row r="46">
      <c r="A46" s="4">
        <v>45.0</v>
      </c>
      <c r="B46" s="5" t="s">
        <v>185</v>
      </c>
      <c r="C46" s="5" t="s">
        <v>186</v>
      </c>
      <c r="D46" s="5" t="s">
        <v>187</v>
      </c>
      <c r="E46" s="5" t="s">
        <v>188</v>
      </c>
      <c r="G46" s="6" t="str">
        <f>IFERROR(__xludf.DUMMYFUNCTION("GOOGLETRANSLATE(A46, ""en"", ""ur"")"),"45")</f>
        <v>45</v>
      </c>
      <c r="H46" s="6" t="str">
        <f>IFERROR(__xludf.DUMMYFUNCTION("GOOGLETRANSLATE(B46, ""en"", ""ur"")"),"چار پلیئر ورژن، چتوراجی میں ایک کھلاڑی کے ذریعے کنٹرول کردہ ٹکڑوں کی کل تعداد کتنی ہے؟")</f>
        <v>چار پلیئر ورژن، چتوراجی میں ایک کھلاڑی کے ذریعے کنٹرول کردہ ٹکڑوں کی کل تعداد کتنی ہے؟</v>
      </c>
      <c r="I46" s="6" t="str">
        <f>IFERROR(__xludf.DUMMYFUNCTION("GOOGLETRANSLATE(C46, ""en"", ""ur"")"),"A) 16، B) 12، C) 8، D) 4")</f>
        <v>A) 16، B) 12، C) 8، D) 4</v>
      </c>
      <c r="J46" s="6" t="str">
        <f>IFERROR(__xludf.DUMMYFUNCTION("GOOGLETRANSLATE(D46, ""en"", ""ur"")"),"ج) 8")</f>
        <v>ج) 8</v>
      </c>
      <c r="K46" s="6" t="str">
        <f>IFERROR(__xludf.DUMMYFUNCTION("GOOGLETRANSLATE(E46, ""en"", ""ur"")"),"چتوراجی میں، چار کھلاڑیوں میں سے ہر ایک آٹھ ٹکڑوں کی ایک چھوٹی فوج کے ساتھ شروع ہوتا ہے (1 راجہ، 1 گجا، 1 اشوا، 1 ہاتھی، اور 4 پادتی)۔")</f>
        <v>چتوراجی میں، چار کھلاڑیوں میں سے ہر ایک آٹھ ٹکڑوں کی ایک چھوٹی فوج کے ساتھ شروع ہوتا ہے (1 راجہ، 1 گجا، 1 اشوا، 1 ہاتھی، اور 4 پادتی)۔</v>
      </c>
    </row>
    <row r="47">
      <c r="A47" s="4">
        <v>46.0</v>
      </c>
      <c r="B47" s="5" t="s">
        <v>189</v>
      </c>
      <c r="C47" s="5" t="s">
        <v>190</v>
      </c>
      <c r="D47" s="5" t="s">
        <v>191</v>
      </c>
      <c r="E47" s="5" t="s">
        <v>192</v>
      </c>
      <c r="G47" s="6" t="str">
        <f>IFERROR(__xludf.DUMMYFUNCTION("GOOGLETRANSLATE(A47, ""en"", ""ur"")"),"46")</f>
        <v>46</v>
      </c>
      <c r="H47" s="6" t="str">
        <f>IFERROR(__xludf.DUMMYFUNCTION("GOOGLETRANSLATE(B47, ""en"", ""ur"")"),"اگر c2 پر آپ کی پداٹی d3 پر دشمن کے ٹکڑے کو پکڑ لیتی ہے، تو آپ کی پداٹی کہاں تک پہنچتی ہے؟")</f>
        <v>اگر c2 پر آپ کی پداٹی d3 پر دشمن کے ٹکڑے کو پکڑ لیتی ہے، تو آپ کی پداٹی کہاں تک پہنچتی ہے؟</v>
      </c>
      <c r="I47" s="6" t="str">
        <f>IFERROR(__xludf.DUMMYFUNCTION("GOOGLETRANSLATE(C47, ""en"", ""ur"")"),"A) یہ c2 پر رہتا ہے، B) یہ c3 کی طرف جاتا ہے، C) یہ d3 پر چلا جاتا ہے، کیپچر شدہ ٹکڑے کی جگہ لے کر، D) اسے بورڈ سے ہٹا دیا جاتا ہے۔")</f>
        <v>A) یہ c2 پر رہتا ہے، B) یہ c3 کی طرف جاتا ہے، C) یہ d3 پر چلا جاتا ہے، کیپچر شدہ ٹکڑے کی جگہ لے کر، D) اسے بورڈ سے ہٹا دیا جاتا ہے۔</v>
      </c>
      <c r="J47" s="6" t="str">
        <f>IFERROR(__xludf.DUMMYFUNCTION("GOOGLETRANSLATE(D47, ""en"", ""ur"")"),"C) یہ پکڑے گئے ٹکڑے کی جگہ لے کر d3 پر چلا جاتا ہے۔")</f>
        <v>C) یہ پکڑے گئے ٹکڑے کی جگہ لے کر d3 پر چلا جاتا ہے۔</v>
      </c>
      <c r="K47" s="6" t="str">
        <f>IFERROR(__xludf.DUMMYFUNCTION("GOOGLETRANSLATE(E47, ""en"", ""ur"")"),"جیسا کہ جدید شطرنج میں، ایک کیپچر کرنے والا ٹکڑا اس ٹکڑے کے مربع کی طرف جاتا ہے جسے اس نے پکڑا ہے۔")</f>
        <v>جیسا کہ جدید شطرنج میں، ایک کیپچر کرنے والا ٹکڑا اس ٹکڑے کے مربع کی طرف جاتا ہے جسے اس نے پکڑا ہے۔</v>
      </c>
    </row>
    <row r="48">
      <c r="A48" s="4">
        <v>47.0</v>
      </c>
      <c r="B48" s="5" t="s">
        <v>193</v>
      </c>
      <c r="C48" s="5" t="s">
        <v>194</v>
      </c>
      <c r="D48" s="5" t="s">
        <v>195</v>
      </c>
      <c r="E48" s="5" t="s">
        <v>196</v>
      </c>
      <c r="G48" s="6" t="str">
        <f>IFERROR(__xludf.DUMMYFUNCTION("GOOGLETRANSLATE(A48, ""en"", ""ur"")"),"47")</f>
        <v>47</v>
      </c>
      <c r="H48" s="6" t="str">
        <f>IFERROR(__xludf.DUMMYFUNCTION("GOOGLETRANSLATE(B48, ""en"", ""ur"")"),"کھلی فائلوں اور صفوں کو کنٹرول کرنے میں کون سا ٹکڑا سب سے زیادہ مؤثر تھا؟")</f>
        <v>کھلی فائلوں اور صفوں کو کنٹرول کرنے میں کون سا ٹکڑا سب سے زیادہ مؤثر تھا؟</v>
      </c>
      <c r="I48" s="6" t="str">
        <f>IFERROR(__xludf.DUMMYFUNCTION("GOOGLETRANSLATE(C48, ""en"", ""ur"")"),"A) گجا، B) اشوا، C) ہاتھی، D) منتری")</f>
        <v>A) گجا، B) اشوا، C) ہاتھی، D) منتری</v>
      </c>
      <c r="J48" s="6" t="str">
        <f>IFERROR(__xludf.DUMMYFUNCTION("GOOGLETRANSLATE(D48, ""en"", ""ur"")"),"ج) ہاتھی۔")</f>
        <v>ج) ہاتھی۔</v>
      </c>
      <c r="K48" s="6" t="str">
        <f>IFERROR(__xludf.DUMMYFUNCTION("GOOGLETRANSLATE(E48, ""en"", ""ur"")"),"ہاتھی کی لمبی دوری کی لکیری حرکت نے اسے ایک کھلے تختے پر غالب ٹکڑا بنا دیا، جو کہ جدید روک کی طرح ہے۔")</f>
        <v>ہاتھی کی لمبی دوری کی لکیری حرکت نے اسے ایک کھلے تختے پر غالب ٹکڑا بنا دیا، جو کہ جدید روک کی طرح ہے۔</v>
      </c>
    </row>
    <row r="49">
      <c r="A49" s="4">
        <v>48.0</v>
      </c>
      <c r="B49" s="5" t="s">
        <v>197</v>
      </c>
      <c r="C49" s="5" t="s">
        <v>198</v>
      </c>
      <c r="D49" s="5" t="s">
        <v>199</v>
      </c>
      <c r="E49" s="5" t="s">
        <v>200</v>
      </c>
      <c r="G49" s="6" t="str">
        <f>IFERROR(__xludf.DUMMYFUNCTION("GOOGLETRANSLATE(A49, ""en"", ""ur"")"),"48")</f>
        <v>48</v>
      </c>
      <c r="H49" s="6" t="str">
        <f>IFERROR(__xludf.DUMMYFUNCTION("GOOGLETRANSLATE(B49, ""en"", ""ur"")"),"ایک کھلاڑی کا راجہ A1 پر ہے، کونے میں پھنس گیا ہے۔ ایک دشمن اشوا c2 پر ہے۔ کیا راجہ محفوظ ہے؟")</f>
        <v>ایک کھلاڑی کا راجہ A1 پر ہے، کونے میں پھنس گیا ہے۔ ایک دشمن اشوا c2 پر ہے۔ کیا راجہ محفوظ ہے؟</v>
      </c>
      <c r="I49" s="6" t="str">
        <f>IFERROR(__xludf.DUMMYFUNCTION("GOOGLETRANSLATE(C49, ""en"", ""ur"")"),"A) جی ہاں، اشوا کونے پر حملہ نہیں کر سکتا، B) نہیں، c2 پر اشوا a1 پر حملہ کرتا ہے، C) صرف اس صورت میں جب b2 پر کوئی ٹکڑا ہو، D) گیم ڈرا ہے")</f>
        <v>A) جی ہاں، اشوا کونے پر حملہ نہیں کر سکتا، B) نہیں، c2 پر اشوا a1 پر حملہ کرتا ہے، C) صرف اس صورت میں جب b2 پر کوئی ٹکڑا ہو، D) گیم ڈرا ہے</v>
      </c>
      <c r="J49" s="6" t="str">
        <f>IFERROR(__xludf.DUMMYFUNCTION("GOOGLETRANSLATE(D49, ""en"", ""ur"")"),"B) نہیں، c2 پر اشوا a1 پر حملہ کرتا ہے۔")</f>
        <v>B) نہیں، c2 پر اشوا a1 پر حملہ کرتا ہے۔</v>
      </c>
      <c r="K49" s="6" t="str">
        <f>IFERROR(__xludf.DUMMYFUNCTION("GOOGLETRANSLATE(E49, ""en"", ""ur"")"),"c2 پر ایک اشوا (نائٹ) براہ راست a1 مربع پر حملہ کرتا ہے، اور راجہ کے پکڑے جانے کا خطرہ ہے۔")</f>
        <v>c2 پر ایک اشوا (نائٹ) براہ راست a1 مربع پر حملہ کرتا ہے، اور راجہ کے پکڑے جانے کا خطرہ ہے۔</v>
      </c>
    </row>
    <row r="50">
      <c r="A50" s="4">
        <v>49.0</v>
      </c>
      <c r="B50" s="5" t="s">
        <v>201</v>
      </c>
      <c r="C50" s="5" t="s">
        <v>202</v>
      </c>
      <c r="D50" s="5" t="s">
        <v>203</v>
      </c>
      <c r="E50" s="5" t="s">
        <v>204</v>
      </c>
      <c r="G50" s="6" t="str">
        <f>IFERROR(__xludf.DUMMYFUNCTION("GOOGLETRANSLATE(A50, ""en"", ""ur"")"),"49")</f>
        <v>49</v>
      </c>
      <c r="H50" s="6" t="str">
        <f>IFERROR(__xludf.DUMMYFUNCTION("GOOGLETRANSLATE(B50, ""en"", ""ur"")"),"کچھ تغیرات میں، ایک ""کشتی"" کا ٹکڑا (ناؤکا) تھا۔ اس کی مخصوص حرکت کیا تھی؟")</f>
        <v>کچھ تغیرات میں، ایک "کشتی" کا ٹکڑا (ناؤکا) تھا۔ اس کی مخصوص حرکت کیا تھی؟</v>
      </c>
      <c r="I50" s="6" t="str">
        <f>IFERROR(__xludf.DUMMYFUNCTION("GOOGLETRANSLATE(C50, ""en"", ""ur"")"),"A) یہ راجہ کی طرح آگے بڑھا، B) اس نے دو چوکوں کو سیدھا آگے بڑھایا، C) اس نے دو چوکوں کو ترچھی حرکت دی، D) یہ ہاتھی کی طرح آگے بڑھی۔")</f>
        <v>A) یہ راجہ کی طرح آگے بڑھا، B) اس نے دو چوکوں کو سیدھا آگے بڑھایا، C) اس نے دو چوکوں کو ترچھی حرکت دی، D) یہ ہاتھی کی طرح آگے بڑھی۔</v>
      </c>
      <c r="J50" s="6" t="str">
        <f>IFERROR(__xludf.DUMMYFUNCTION("GOOGLETRANSLATE(D50, ""en"", ""ur"")"),"C) اس نے دو چوکوں کو ترچھی طور پر منتقل کیا۔")</f>
        <v>C) اس نے دو چوکوں کو ترچھی طور پر منتقل کیا۔</v>
      </c>
      <c r="K50" s="6" t="str">
        <f>IFERROR(__xludf.DUMMYFUNCTION("GOOGLETRANSLATE(E50, ""en"", ""ur"")"),"نوکا ایک متبادل ٹکڑا تھا جو کچھ علاقائی شکلوں میں پایا جاتا تھا، جو اکثر گاجا کی جگہ لے لیتا ہے، جس میں دو مربع ترچھی (لیکن چھلانگ نہ لگانے والی) حرکت ہوتی ہے۔")</f>
        <v>نوکا ایک متبادل ٹکڑا تھا جو کچھ علاقائی شکلوں میں پایا جاتا تھا، جو اکثر گاجا کی جگہ لے لیتا ہے، جس میں دو مربع ترچھی (لیکن چھلانگ نہ لگانے والی) حرکت ہوتی ہے۔</v>
      </c>
    </row>
    <row r="51">
      <c r="A51" s="4">
        <v>50.0</v>
      </c>
      <c r="B51" s="5" t="s">
        <v>205</v>
      </c>
      <c r="C51" s="5" t="s">
        <v>206</v>
      </c>
      <c r="D51" s="5" t="s">
        <v>207</v>
      </c>
      <c r="E51" s="5" t="s">
        <v>208</v>
      </c>
      <c r="G51" s="6" t="str">
        <f>IFERROR(__xludf.DUMMYFUNCTION("GOOGLETRANSLATE(A51, ""en"", ""ur"")"),"50")</f>
        <v>50</v>
      </c>
      <c r="H51" s="6" t="str">
        <f>IFERROR(__xludf.DUMMYFUNCTION("GOOGLETRANSLATE(B51, ""en"", ""ur"")"),"ایک کھلاڑی کے پاس صرف ان کے راجہ اور پادٹی رہ جاتے ہیں۔ مخالف کے پاس بہت سے طاقتور ٹکڑے ہوتے ہیں۔ کھلاڑی کی جیت کی واحد امید کیا ہے؟")</f>
        <v>ایک کھلاڑی کے پاس صرف ان کے راجہ اور پادٹی رہ جاتے ہیں۔ مخالف کے پاس بہت سے طاقتور ٹکڑے ہوتے ہیں۔ کھلاڑی کی جیت کی واحد امید کیا ہے؟</v>
      </c>
      <c r="I51" s="6" t="str">
        <f>IFERROR(__xludf.DUMMYFUNCTION("GOOGLETRANSLATE(C51, ""en"", ""ur"")"),"A) دشمن راجہ کو پکڑنے کے لئے، B) ڈرا کرنے کی کوشش اور زبردستی کرنے کے لئے، C) ایک پادتی کو منتری کی طرف بڑھانے کی کوشش کرنا، D) ہتھیار ڈالنا")</f>
        <v>A) دشمن راجہ کو پکڑنے کے لئے، B) ڈرا کرنے کی کوشش اور زبردستی کرنے کے لئے، C) ایک پادتی کو منتری کی طرف بڑھانے کی کوشش کرنا، D) ہتھیار ڈالنا</v>
      </c>
      <c r="J51" s="6" t="str">
        <f>IFERROR(__xludf.DUMMYFUNCTION("GOOGLETRANSLATE(D51, ""en"", ""ur"")"),"ج) کسی پادتی کو منتری بنانے کی کوشش کرنا")</f>
        <v>ج) کسی پادتی کو منتری بنانے کی کوشش کرنا</v>
      </c>
      <c r="K51" s="6" t="str">
        <f>IFERROR(__xludf.DUMMYFUNCTION("GOOGLETRANSLATE(E51, ""en"", ""ur"")"),"مشکل ہونے کے باوجود، ایک پیادے کو فروغ دینا ایک اضافی ٹکڑا حاصل کرنے اور کھیل کے توازن کو تبدیل کرنے کا واحد طریقہ تھا۔")</f>
        <v>مشکل ہونے کے باوجود، ایک پیادے کو فروغ دینا ایک اضافی ٹکڑا حاصل کرنے اور کھیل کے توازن کو تبدیل کرنے کا واحد طریقہ تھا۔</v>
      </c>
    </row>
    <row r="52">
      <c r="A52" s="4">
        <v>51.0</v>
      </c>
      <c r="B52" s="5" t="s">
        <v>209</v>
      </c>
      <c r="C52" s="5" t="s">
        <v>210</v>
      </c>
      <c r="D52" s="5" t="s">
        <v>211</v>
      </c>
      <c r="E52" s="5" t="s">
        <v>212</v>
      </c>
      <c r="G52" s="6" t="str">
        <f>IFERROR(__xludf.DUMMYFUNCTION("GOOGLETRANSLATE(A52, ""en"", ""ur"")"),"51")</f>
        <v>51</v>
      </c>
      <c r="H52" s="6" t="str">
        <f>IFERROR(__xludf.DUMMYFUNCTION("GOOGLETRANSLATE(B52, ""en"", ""ur"")"),"ایک کھلاڑی کا راجہ جی ون پر ہے۔ ایک دشمن منتری f2 پر ہے۔ ایک دشمن ہاتھی h2 پر ہے۔ کیا حال ہے؟")</f>
        <v>ایک کھلاڑی کا راجہ جی ون پر ہے۔ ایک دشمن منتری f2 پر ہے۔ ایک دشمن ہاتھی h2 پر ہے۔ کیا حال ہے؟</v>
      </c>
      <c r="I52" s="6" t="str">
        <f>IFERROR(__xludf.DUMMYFUNCTION("GOOGLETRANSLATE(C52, ""en"", ""ur"")"),"A) راجہ پر دونوں ٹکڑوں سے حملہ ہوتا ہے، B) راجہ پر صرف منتری کا حملہ ہوتا ہے، C) راجہ پر صرف ہاتھی سے حملہ ہوتا ہے، D) راجہ محفوظ رہتا ہے۔")</f>
        <v>A) راجہ پر دونوں ٹکڑوں سے حملہ ہوتا ہے، B) راجہ پر صرف منتری کا حملہ ہوتا ہے، C) راجہ پر صرف ہاتھی سے حملہ ہوتا ہے، D) راجہ محفوظ رہتا ہے۔</v>
      </c>
      <c r="J52" s="6" t="str">
        <f>IFERROR(__xludf.DUMMYFUNCTION("GOOGLETRANSLATE(D52, ""en"", ""ur"")"),"ب) راجہ پر صرف منتری ہی حملہ کرتا ہے۔")</f>
        <v>ب) راجہ پر صرف منتری ہی حملہ کرتا ہے۔</v>
      </c>
      <c r="K52" s="6" t="str">
        <f>IFERROR(__xludf.DUMMYFUNCTION("GOOGLETRANSLATE(E52, ""en"", ""ur"")"),"منتری جی 1 پر ترچھی حملہ کرتا ہے۔ H2 پر ہاتھی صرف افقی اور عمودی طور پر حملہ کرتا ہے، لہذا یہ g1 پر حملہ نہیں کرتا ہے۔")</f>
        <v>منتری جی 1 پر ترچھی حملہ کرتا ہے۔ H2 پر ہاتھی صرف افقی اور عمودی طور پر حملہ کرتا ہے، لہذا یہ g1 پر حملہ نہیں کرتا ہے۔</v>
      </c>
    </row>
    <row r="53">
      <c r="A53" s="4">
        <v>52.0</v>
      </c>
      <c r="B53" s="5" t="s">
        <v>213</v>
      </c>
      <c r="C53" s="5" t="s">
        <v>214</v>
      </c>
      <c r="D53" s="5" t="s">
        <v>147</v>
      </c>
      <c r="E53" s="5" t="s">
        <v>215</v>
      </c>
      <c r="G53" s="6" t="str">
        <f>IFERROR(__xludf.DUMMYFUNCTION("GOOGLETRANSLATE(A53, ""en"", ""ur"")"),"52")</f>
        <v>52</v>
      </c>
      <c r="H53" s="6" t="str">
        <f>IFERROR(__xludf.DUMMYFUNCTION("GOOGLETRANSLATE(B53, ""en"", ""ur"")"),"چار کھلاڑیوں کے کھیل میں، آپ ڈائی رول کرتے ہیں۔ نمبر گاجا کے مساوی ہے، لیکن آپ کا گاجا پچھلے موڑ میں پکڑا گیا تھا۔ کیا ہوتا ہے؟")</f>
        <v>چار کھلاڑیوں کے کھیل میں، آپ ڈائی رول کرتے ہیں۔ نمبر گاجا کے مساوی ہے، لیکن آپ کا گاجا پچھلے موڑ میں پکڑا گیا تھا۔ کیا ہوتا ہے؟</v>
      </c>
      <c r="I53" s="6" t="str">
        <f>IFERROR(__xludf.DUMMYFUNCTION("GOOGLETRANSLATE(C53, ""en"", ""ur"")"),"A) آپ اپنی باری کھو دیتے ہیں، B) آپ اس کے بجائے اپنے راجہ کو منتقل کر سکتے ہیں، C) آپ ڈائی کو دوبارہ رول کر سکتے ہیں، D) آپ کسی بھی ٹکڑے کو منتقل کر سکتے ہیں۔")</f>
        <v>A) آپ اپنی باری کھو دیتے ہیں، B) آپ اس کے بجائے اپنے راجہ کو منتقل کر سکتے ہیں، C) آپ ڈائی کو دوبارہ رول کر سکتے ہیں، D) آپ کسی بھی ٹکڑے کو منتقل کر سکتے ہیں۔</v>
      </c>
      <c r="J53" s="6" t="str">
        <f>IFERROR(__xludf.DUMMYFUNCTION("GOOGLETRANSLATE(D53, ""en"", ""ur"")"),"A) آپ اپنی باری کھو دیتے ہیں۔")</f>
        <v>A) آپ اپنی باری کھو دیتے ہیں۔</v>
      </c>
      <c r="K53" s="6" t="str">
        <f>IFERROR(__xludf.DUMMYFUNCTION("GOOGLETRANSLATE(E53, ""en"", ""ur"")"),"اگر ڈائی رول نے ایک ایسے ٹکڑے کا اشارہ کیا جو بورڈ پر نہیں تھا، تو کھلاڑی نے اس موڑ کے لیے اپنا اقدام ضائع کر دیا۔")</f>
        <v>اگر ڈائی رول نے ایک ایسے ٹکڑے کا اشارہ کیا جو بورڈ پر نہیں تھا، تو کھلاڑی نے اس موڑ کے لیے اپنا اقدام ضائع کر دیا۔</v>
      </c>
    </row>
    <row r="54">
      <c r="A54" s="4">
        <v>53.0</v>
      </c>
      <c r="B54" s="5" t="s">
        <v>216</v>
      </c>
      <c r="C54" s="5" t="s">
        <v>217</v>
      </c>
      <c r="D54" s="5" t="s">
        <v>218</v>
      </c>
      <c r="E54" s="5" t="s">
        <v>219</v>
      </c>
      <c r="G54" s="6" t="str">
        <f>IFERROR(__xludf.DUMMYFUNCTION("GOOGLETRANSLATE(A54, ""en"", ""ur"")"),"53")</f>
        <v>53</v>
      </c>
      <c r="H54" s="6" t="str">
        <f>IFERROR(__xludf.DUMMYFUNCTION("GOOGLETRANSLATE(B54, ""en"", ""ur"")"),"ایک اشوا جی 1 پر ہے۔ ایک دشمن ہاتھی e2 پر ہے۔ کیا اشوا ہاتھی کو پکڑ سکتا ہے؟")</f>
        <v>ایک اشوا جی 1 پر ہے۔ ایک دشمن ہاتھی e2 پر ہے۔ کیا اشوا ہاتھی کو پکڑ سکتا ہے؟</v>
      </c>
      <c r="I54" s="6" t="str">
        <f>IFERROR(__xludf.DUMMYFUNCTION("GOOGLETRANSLATE(C54, ""en"", ""ur"")"),"A) ہاں، e2 پر جانے سے، B) نہیں، اس کا راستہ مسدود ہے، C) نہیں، یہ ایک غیر قانونی اقدام ہے، D) صرف اس صورت میں جب یہ ڈائس رول ہو۔")</f>
        <v>A) ہاں، e2 پر جانے سے، B) نہیں، اس کا راستہ مسدود ہے، C) نہیں، یہ ایک غیر قانونی اقدام ہے، D) صرف اس صورت میں جب یہ ڈائس رول ہو۔</v>
      </c>
      <c r="J54" s="6" t="str">
        <f>IFERROR(__xludf.DUMMYFUNCTION("GOOGLETRANSLATE(D54, ""en"", ""ur"")"),"A) جی ہاں، e2 پر جا کر")</f>
        <v>A) جی ہاں، e2 پر جا کر</v>
      </c>
      <c r="K54" s="6" t="str">
        <f>IFERROR(__xludf.DUMMYFUNCTION("GOOGLETRANSLATE(E54, ""en"", ""ur"")"),"جی 1 سے ای2 کی طرف جانا اشوا (نائٹ) کے لیے ایک معیاری ایل کے سائز کی چھلانگ ہے۔")</f>
        <v>جی 1 سے ای2 کی طرف جانا اشوا (نائٹ) کے لیے ایک معیاری ایل کے سائز کی چھلانگ ہے۔</v>
      </c>
    </row>
    <row r="55">
      <c r="A55" s="4">
        <v>54.0</v>
      </c>
      <c r="B55" s="5" t="s">
        <v>220</v>
      </c>
      <c r="C55" s="5" t="s">
        <v>221</v>
      </c>
      <c r="D55" s="5" t="s">
        <v>222</v>
      </c>
      <c r="E55" s="5" t="s">
        <v>223</v>
      </c>
      <c r="G55" s="6" t="str">
        <f>IFERROR(__xludf.DUMMYFUNCTION("GOOGLETRANSLATE(A55, ""en"", ""ur"")"),"54")</f>
        <v>54</v>
      </c>
      <c r="H55" s="6" t="str">
        <f>IFERROR(__xludf.DUMMYFUNCTION("GOOGLETRANSLATE(B55, ""en"", ""ur"")"),"راجہ کے مقابلے منتری کا بنیادی نقصان کیا ہے؟")</f>
        <v>راجہ کے مقابلے منتری کا بنیادی نقصان کیا ہے؟</v>
      </c>
      <c r="I55" s="6" t="str">
        <f>IFERROR(__xludf.DUMMYFUNCTION("GOOGLETRANSLATE(C55, ""en"", ""ur"")"),"A) منتری پیچھے کی طرف نہیں جا سکتا، B) منتری صرف ترچھی حرکت کر سکتا ہے، جبکہ راجہ کسی بھی سمت میں جا سکتا ہے، C) منتری کم پوائنٹس کے قابل ہے، D) راجہ چھلانگ لگا سکتا ہے۔")</f>
        <v>A) منتری پیچھے کی طرف نہیں جا سکتا، B) منتری صرف ترچھی حرکت کر سکتا ہے، جبکہ راجہ کسی بھی سمت میں جا سکتا ہے، C) منتری کم پوائنٹس کے قابل ہے، D) راجہ چھلانگ لگا سکتا ہے۔</v>
      </c>
      <c r="J55" s="6" t="str">
        <f>IFERROR(__xludf.DUMMYFUNCTION("GOOGLETRANSLATE(D55, ""en"", ""ur"")"),"ب) منتری صرف ترچھی حرکت کر سکتا ہے، جبکہ راجہ کسی بھی سمت حرکت کر سکتا ہے۔")</f>
        <v>ب) منتری صرف ترچھی حرکت کر سکتا ہے، جبکہ راجہ کسی بھی سمت حرکت کر سکتا ہے۔</v>
      </c>
      <c r="K55" s="6" t="str">
        <f>IFERROR(__xludf.DUMMYFUNCTION("GOOGLETRANSLATE(E55, ""en"", ""ur"")"),"جبکہ دونوں صرف ایک مربع کو حرکت دے سکتے تھے، راجہ کی سیدھی یا ترچھی حرکت کرنے کی صلاحیت نے اسے صرف اخترن منتری سے زیادہ لچکدار ٹکڑا بنا دیا۔")</f>
        <v>جبکہ دونوں صرف ایک مربع کو حرکت دے سکتے تھے، راجہ کی سیدھی یا ترچھی حرکت کرنے کی صلاحیت نے اسے صرف اخترن منتری سے زیادہ لچکدار ٹکڑا بنا دیا۔</v>
      </c>
    </row>
    <row r="56">
      <c r="A56" s="4">
        <v>55.0</v>
      </c>
      <c r="B56" s="5" t="s">
        <v>224</v>
      </c>
      <c r="C56" s="5" t="s">
        <v>225</v>
      </c>
      <c r="D56" s="5" t="s">
        <v>226</v>
      </c>
      <c r="E56" s="5" t="s">
        <v>227</v>
      </c>
      <c r="G56" s="6" t="str">
        <f>IFERROR(__xludf.DUMMYFUNCTION("GOOGLETRANSLATE(A56, ""en"", ""ur"")"),"55")</f>
        <v>55</v>
      </c>
      <c r="H56" s="6" t="str">
        <f>IFERROR(__xludf.DUMMYFUNCTION("GOOGLETRANSLATE(B56, ""en"", ""ur"")"),"ایک کھلاڑی کی ہاتھی b1 پر اور راجہ c1 پر ہے۔ ایک دشمن گاجا e3 پر ہے۔ بنیادی خطرہ کیا ہے؟")</f>
        <v>ایک کھلاڑی کی ہاتھی b1 پر اور راجہ c1 پر ہے۔ ایک دشمن گاجا e3 پر ہے۔ بنیادی خطرہ کیا ہے؟</v>
      </c>
      <c r="I56" s="6" t="str">
        <f>IFERROR(__xludf.DUMMYFUNCTION("GOOGLETRANSLATE(C56, ""en"", ""ur"")"),"A) گجا ہاتھی کو پکڑ سکتا ہے، B) گاجا راجہ کو پکڑ سکتا ہے، C) گاجا راجہ کو پکڑنے کے لیے c1 تک چھلانگ لگا سکتا ہے، D) فوری طور پر کوئی خطرہ نہیں ہے۔")</f>
        <v>A) گجا ہاتھی کو پکڑ سکتا ہے، B) گاجا راجہ کو پکڑ سکتا ہے، C) گاجا راجہ کو پکڑنے کے لیے c1 تک چھلانگ لگا سکتا ہے، D) فوری طور پر کوئی خطرہ نہیں ہے۔</v>
      </c>
      <c r="J56" s="6" t="str">
        <f>IFERROR(__xludf.DUMMYFUNCTION("GOOGLETRANSLATE(D56, ""en"", ""ur"")"),"C) گاجا راجہ کو پکڑنے کے لیے c1 تک چھلانگ لگا سکتا ہے۔")</f>
        <v>C) گاجا راجہ کو پکڑنے کے لیے c1 تک چھلانگ لگا سکتا ہے۔</v>
      </c>
      <c r="K56" s="6" t="str">
        <f>IFERROR(__xludf.DUMMYFUNCTION("GOOGLETRANSLATE(E56, ""en"", ""ur"")"),"e3 پر گاجا d2 پر چھلانگ لگا سکتا ہے (چاہے اس پر قبضہ ہو یا نہ ہو) c1 پر ٹکڑے کو کیپچر کرنے کے لیے۔")</f>
        <v>e3 پر گاجا d2 پر چھلانگ لگا سکتا ہے (چاہے اس پر قبضہ ہو یا نہ ہو) c1 پر ٹکڑے کو کیپچر کرنے کے لیے۔</v>
      </c>
    </row>
    <row r="57">
      <c r="A57" s="4">
        <v>56.0</v>
      </c>
      <c r="B57" s="5" t="s">
        <v>228</v>
      </c>
      <c r="C57" s="5" t="s">
        <v>229</v>
      </c>
      <c r="D57" s="5" t="s">
        <v>195</v>
      </c>
      <c r="E57" s="5" t="s">
        <v>230</v>
      </c>
      <c r="G57" s="6" t="str">
        <f>IFERROR(__xludf.DUMMYFUNCTION("GOOGLETRANSLATE(A57, ""en"", ""ur"")"),"56")</f>
        <v>56</v>
      </c>
      <c r="H57" s="6" t="str">
        <f>IFERROR(__xludf.DUMMYFUNCTION("GOOGLETRANSLATE(B57, ""en"", ""ur"")"),"اگر آپ کے مخالف کے پاس صرف ان کا راجہ رہ گیا ہے، اور آپ کے پاس آپ کا راجہ، ایک ہاتھی اور ایک گاجا ہے، تو آپ کا بنیادی حملہ کرنے والا حصہ کیا ہے؟")</f>
        <v>اگر آپ کے مخالف کے پاس صرف ان کا راجہ رہ گیا ہے، اور آپ کے پاس آپ کا راجہ، ایک ہاتھی اور ایک گاجا ہے، تو آپ کا بنیادی حملہ کرنے والا حصہ کیا ہے؟</v>
      </c>
      <c r="I57" s="6" t="str">
        <f>IFERROR(__xludf.DUMMYFUNCTION("GOOGLETRANSLATE(C57, ""en"", ""ur"")"),"A) راجہ، B) گجا، C) ہاتھی، D) ہاتھی اور گجا دونوں یکساں طور پر")</f>
        <v>A) راجہ، B) گجا، C) ہاتھی، D) ہاتھی اور گجا دونوں یکساں طور پر</v>
      </c>
      <c r="J57" s="6" t="str">
        <f>IFERROR(__xludf.DUMMYFUNCTION("GOOGLETRANSLATE(D57, ""en"", ""ur"")"),"ج) ہاتھی۔")</f>
        <v>ج) ہاتھی۔</v>
      </c>
      <c r="K57" s="6" t="str">
        <f>IFERROR(__xludf.DUMMYFUNCTION("GOOGLETRANSLATE(E57, ""en"", ""ur"")"),"ہاتھی کی لمبی دوری کی طاقت تنہا راجہ کو گھیرنے کی کلید ہے، جس میں گاجا اور دوستانہ راجہ مدد فراہم کرتا ہے۔")</f>
        <v>ہاتھی کی لمبی دوری کی طاقت تنہا راجہ کو گھیرنے کی کلید ہے، جس میں گاجا اور دوستانہ راجہ مدد فراہم کرتا ہے۔</v>
      </c>
    </row>
    <row r="58">
      <c r="A58" s="4">
        <v>57.0</v>
      </c>
      <c r="B58" s="5" t="s">
        <v>231</v>
      </c>
      <c r="C58" s="5" t="s">
        <v>232</v>
      </c>
      <c r="D58" s="5" t="s">
        <v>233</v>
      </c>
      <c r="E58" s="5" t="s">
        <v>234</v>
      </c>
      <c r="G58" s="6" t="str">
        <f>IFERROR(__xludf.DUMMYFUNCTION("GOOGLETRANSLATE(A58, ""en"", ""ur"")"),"57")</f>
        <v>57</v>
      </c>
      <c r="H58" s="6" t="str">
        <f>IFERROR(__xludf.DUMMYFUNCTION("GOOGLETRANSLATE(B58, ""en"", ""ur"")"),"f2 پر ایک پڈاتی منتقل کرنا چاہتا ہے۔ مربع f3 خالی ہے، لیکن مربع f4 دشمن کے ٹکڑے کا قبضہ ہے۔ پاداٹی کا قانونی اقدام کیا ہے؟")</f>
        <v>f2 پر ایک پڈاتی منتقل کرنا چاہتا ہے۔ مربع f3 خالی ہے، لیکن مربع f4 دشمن کے ٹکڑے کا قبضہ ہے۔ پاداٹی کا قانونی اقدام کیا ہے؟</v>
      </c>
      <c r="I58" s="6" t="str">
        <f>IFERROR(__xludf.DUMMYFUNCTION("GOOGLETRANSLATE(C58, ""en"", ""ur"")"),"A) f3 پر جائیں، B) f4 پر جائیں اور کیپچر کریں، C) کیپچر کرنے کے لیے e3 یا g3 پر جائیں، D) یہ حرکت نہیں کر سکتا")</f>
        <v>A) f3 پر جائیں، B) f4 پر جائیں اور کیپچر کریں، C) کیپچر کرنے کے لیے e3 یا g3 پر جائیں، D) یہ حرکت نہیں کر سکتا</v>
      </c>
      <c r="J58" s="6" t="str">
        <f>IFERROR(__xludf.DUMMYFUNCTION("GOOGLETRANSLATE(D58, ""en"", ""ur"")"),"A) f3 پر جائیں۔")</f>
        <v>A) f3 پر جائیں۔</v>
      </c>
      <c r="K58" s="6" t="str">
        <f>IFERROR(__xludf.DUMMYFUNCTION("GOOGLETRANSLATE(E58, ""en"", ""ur"")"),"پڈاتی خالی چوک کی طرف صرف ایک قدم آگے بڑھ سکتا ہے۔ یہ f4 پر نہیں جا سکتا۔")</f>
        <v>پڈاتی خالی چوک کی طرف صرف ایک قدم آگے بڑھ سکتا ہے۔ یہ f4 پر نہیں جا سکتا۔</v>
      </c>
    </row>
    <row r="59">
      <c r="A59" s="4">
        <v>58.0</v>
      </c>
      <c r="B59" s="5" t="s">
        <v>235</v>
      </c>
      <c r="C59" s="5" t="s">
        <v>236</v>
      </c>
      <c r="D59" s="5" t="s">
        <v>237</v>
      </c>
      <c r="E59" s="5" t="s">
        <v>238</v>
      </c>
      <c r="G59" s="6" t="str">
        <f>IFERROR(__xludf.DUMMYFUNCTION("GOOGLETRANSLATE(A59, ""en"", ""ur"")"),"58")</f>
        <v>58</v>
      </c>
      <c r="H59" s="6" t="str">
        <f>IFERROR(__xludf.DUMMYFUNCTION("GOOGLETRANSLATE(B59, ""en"", ""ur"")"),"ابتدائی سیٹ اپ میں، ہر کھلاڑی کے بیک رینک پر کتنے ٹکڑے ہوتے ہیں؟")</f>
        <v>ابتدائی سیٹ اپ میں، ہر کھلاڑی کے بیک رینک پر کتنے ٹکڑے ہوتے ہیں؟</v>
      </c>
      <c r="I59" s="6" t="str">
        <f>IFERROR(__xludf.DUMMYFUNCTION("GOOGLETRANSLATE(C59, ""en"", ""ur"")"),"A) 8، B) 9، C) 10، D) 7")</f>
        <v>A) 8، B) 9، C) 10، D) 7</v>
      </c>
      <c r="J59" s="6" t="str">
        <f>IFERROR(__xludf.DUMMYFUNCTION("GOOGLETRANSLATE(D59, ""en"", ""ur"")"),"اے) 8")</f>
        <v>اے) 8</v>
      </c>
      <c r="K59" s="6" t="str">
        <f>IFERROR(__xludf.DUMMYFUNCTION("GOOGLETRANSLATE(E59, ""en"", ""ur"")"),"پچھلا درجہ 8 ٹکڑوں پر مشتمل ہے: راجہ، منتری، دو گجا، دو اشواس، اور دو ہاتھی۔")</f>
        <v>پچھلا درجہ 8 ٹکڑوں پر مشتمل ہے: راجہ، منتری، دو گجا، دو اشواس، اور دو ہاتھی۔</v>
      </c>
    </row>
    <row r="60">
      <c r="A60" s="4">
        <v>59.0</v>
      </c>
      <c r="B60" s="5" t="s">
        <v>239</v>
      </c>
      <c r="C60" s="5" t="s">
        <v>240</v>
      </c>
      <c r="D60" s="5" t="s">
        <v>241</v>
      </c>
      <c r="E60" s="5" t="s">
        <v>242</v>
      </c>
      <c r="G60" s="6" t="str">
        <f>IFERROR(__xludf.DUMMYFUNCTION("GOOGLETRANSLATE(A60, ""en"", ""ur"")"),"59")</f>
        <v>59</v>
      </c>
      <c r="H60" s="6" t="str">
        <f>IFERROR(__xludf.DUMMYFUNCTION("GOOGLETRANSLATE(B60, ""en"", ""ur"")"),"ایک دشمن پداٹی c5 پر ہے۔ آپ کی ہاتھی c1 پر ہے۔ آپ کا اشوا d3 پر ہے۔ کون سا ٹکڑا قانونی طور پر پڈاتی کو پکڑ سکتا ہے؟")</f>
        <v>ایک دشمن پداٹی c5 پر ہے۔ آپ کی ہاتھی c1 پر ہے۔ آپ کا اشوا d3 پر ہے۔ کون سا ٹکڑا قانونی طور پر پڈاتی کو پکڑ سکتا ہے؟</v>
      </c>
      <c r="I60" s="6" t="str">
        <f>IFERROR(__xludf.DUMMYFUNCTION("GOOGLETRANSLATE(C60, ""en"", ""ur"")"),"A) صرف ہاتھی، B) صرف اشوا، C) ہاتھی اور اشوا دونوں، D) کوئی بھی ٹکڑا نہیں")</f>
        <v>A) صرف ہاتھی، B) صرف اشوا، C) ہاتھی اور اشوا دونوں، D) کوئی بھی ٹکڑا نہیں</v>
      </c>
      <c r="J60" s="6" t="str">
        <f>IFERROR(__xludf.DUMMYFUNCTION("GOOGLETRANSLATE(D60, ""en"", ""ur"")"),"الف) صرف ہاتھی۔")</f>
        <v>الف) صرف ہاتھی۔</v>
      </c>
      <c r="K60" s="6" t="str">
        <f>IFERROR(__xludf.DUMMYFUNCTION("GOOGLETRANSLATE(E60, ""en"", ""ur"")"),"ہاتھی فائل کو c5 پر لے جا سکتا ہے۔ ڈی 3 پر اشوا ایک ایل کے سائز کی چھلانگ میں c5 پر نہیں جا سکتا۔")</f>
        <v>ہاتھی فائل کو c5 پر لے جا سکتا ہے۔ ڈی 3 پر اشوا ایک ایل کے سائز کی چھلانگ میں c5 پر نہیں جا سکتا۔</v>
      </c>
    </row>
    <row r="61">
      <c r="A61" s="4">
        <v>60.0</v>
      </c>
      <c r="B61" s="5" t="s">
        <v>243</v>
      </c>
      <c r="C61" s="5" t="s">
        <v>244</v>
      </c>
      <c r="D61" s="5" t="s">
        <v>245</v>
      </c>
      <c r="E61" s="5" t="s">
        <v>246</v>
      </c>
      <c r="G61" s="6" t="str">
        <f>IFERROR(__xludf.DUMMYFUNCTION("GOOGLETRANSLATE(A61, ""en"", ""ur"")"),"60")</f>
        <v>60</v>
      </c>
      <c r="H61" s="6" t="str">
        <f>IFERROR(__xludf.DUMMYFUNCTION("GOOGLETRANSLATE(B61, ""en"", ""ur"")"),"چار کھلاڑیوں پر مشتمل چتوراجی میں فتح کی کس شرط کو ""مکمل فتح"" کہا جاتا تھا؟")</f>
        <v>چار کھلاڑیوں پر مشتمل چتوراجی میں فتح کی کس شرط کو "مکمل فتح" کہا جاتا تھا؟</v>
      </c>
      <c r="I61" s="6" t="str">
        <f>IFERROR(__xludf.DUMMYFUNCTION("GOOGLETRANSLATE(C61, ""en"", ""ur"")"),"A) ایک مخالف کے راجہ کو پکڑنا، B) دو مخالفین کے راجوں کو پکڑنا، C) تینوں مخالفین کے راجوں کو پکڑنا، D) آخر میں سب سے زیادہ ٹکڑے رکھنا")</f>
        <v>A) ایک مخالف کے راجہ کو پکڑنا، B) دو مخالفین کے راجوں کو پکڑنا، C) تینوں مخالفین کے راجوں کو پکڑنا، D) آخر میں سب سے زیادہ ٹکڑے رکھنا</v>
      </c>
      <c r="J61" s="6" t="str">
        <f>IFERROR(__xludf.DUMMYFUNCTION("GOOGLETRANSLATE(D61, ""en"", ""ur"")"),"ج) تینوں مخالفین کے راجوں کو پکڑنا")</f>
        <v>ج) تینوں مخالفین کے راجوں کو پکڑنا</v>
      </c>
      <c r="K61" s="6" t="str">
        <f>IFERROR(__xludf.DUMMYFUNCTION("GOOGLETRANSLATE(E61, ""en"", ""ur"")"),"ایک کھلاڑی جو اپنے تینوں حریفوں کو ختم کرنے میں کامیاب رہا اسے کھیل کا غیر متنازعہ فاتح قرار دیا گیا۔")</f>
        <v>ایک کھلاڑی جو اپنے تینوں حریفوں کو ختم کرنے میں کامیاب رہا اسے کھیل کا غیر متنازعہ فاتح قرار دیا گیا۔</v>
      </c>
    </row>
    <row r="62">
      <c r="A62" s="4">
        <v>61.0</v>
      </c>
      <c r="B62" s="5" t="s">
        <v>247</v>
      </c>
      <c r="C62" s="5" t="s">
        <v>248</v>
      </c>
      <c r="D62" s="5" t="s">
        <v>249</v>
      </c>
      <c r="E62" s="5" t="s">
        <v>250</v>
      </c>
      <c r="G62" s="6" t="str">
        <f>IFERROR(__xludf.DUMMYFUNCTION("GOOGLETRANSLATE(A62, ""en"", ""ur"")"),"61")</f>
        <v>61</v>
      </c>
      <c r="H62" s="6" t="str">
        <f>IFERROR(__xludf.DUMMYFUNCTION("GOOGLETRANSLATE(B62, ""en"", ""ur"")"),"ایک کھلاڑی ایک ٹکڑے کو حرکت دیتا ہے اور اعلان کرتا ہے ""سیتا!"" اس قدیم اصطلاح کا کیا مطلب ہے؟")</f>
        <v>ایک کھلاڑی ایک ٹکڑے کو حرکت دیتا ہے اور اعلان کرتا ہے "سیتا!" اس قدیم اصطلاح کا کیا مطلب ہے؟</v>
      </c>
      <c r="I62" s="6" t="str">
        <f>IFERROR(__xludf.DUMMYFUNCTION("GOOGLETRANSLATE(C62, ""en"", ""ur"")"),"A) یہ کہ مخالف کا راجہ اب پھنس گیا ہے ( تعطل سے جیت)، B) ایک ایسا اقدام جو مخالف کی منتری پر حملہ کرے، C) یہ کہ مخالف کا راجہ حملہ کی زد میں ہے، D) یہ کہ کھیل ڈرا ہے")</f>
        <v>A) یہ کہ مخالف کا راجہ اب پھنس گیا ہے ( تعطل سے جیت)، B) ایک ایسا اقدام جو مخالف کی منتری پر حملہ کرے، C) یہ کہ مخالف کا راجہ حملہ کی زد میں ہے، D) یہ کہ کھیل ڈرا ہے</v>
      </c>
      <c r="J62" s="6" t="str">
        <f>IFERROR(__xludf.DUMMYFUNCTION("GOOGLETRANSLATE(D62, ""en"", ""ur"")"),"A) یہ کہ مخالف کا راجہ اب پھنس گیا ہے ( تعطل سے جیت)")</f>
        <v>A) یہ کہ مخالف کا راجہ اب پھنس گیا ہے ( تعطل سے جیت)</v>
      </c>
      <c r="K62" s="6" t="str">
        <f>IFERROR(__xludf.DUMMYFUNCTION("GOOGLETRANSLATE(E62, ""en"", ""ur"")"),"""سیتا"" ایک اعلان تھا کہ مخالف کے بادشاہ کے پاس کوئی قانونی چال نہیں تھی، جسے چتورنگا کے بہت سے ورژن میں فتح کے طور پر شمار کیا جاتا ہے۔")</f>
        <v>"سیتا" ایک اعلان تھا کہ مخالف کے بادشاہ کے پاس کوئی قانونی چال نہیں تھی، جسے چتورنگا کے بہت سے ورژن میں فتح کے طور پر شمار کیا جاتا ہے۔</v>
      </c>
    </row>
    <row r="63">
      <c r="A63" s="4">
        <v>62.0</v>
      </c>
      <c r="B63" s="5" t="s">
        <v>251</v>
      </c>
      <c r="C63" s="5" t="s">
        <v>252</v>
      </c>
      <c r="D63" s="5" t="s">
        <v>253</v>
      </c>
      <c r="E63" s="5" t="s">
        <v>254</v>
      </c>
      <c r="G63" s="6" t="str">
        <f>IFERROR(__xludf.DUMMYFUNCTION("GOOGLETRANSLATE(A63, ""en"", ""ur"")"),"62")</f>
        <v>62</v>
      </c>
      <c r="H63" s="6" t="str">
        <f>IFERROR(__xludf.DUMMYFUNCTION("GOOGLETRANSLATE(B63, ""en"", ""ur"")"),"ایک ایسے منظر نامے میں جہاں ایک کھلاڑی کے پاس صرف ان کا راجہ اور ایک پاداٹی رہ گیا ہو، پداٹی کا سب سے اہم کام کیا ہے؟")</f>
        <v>ایک ایسے منظر نامے میں جہاں ایک کھلاڑی کے پاس صرف ان کا راجہ اور ایک پاداٹی رہ گیا ہو، پداٹی کا سب سے اہم کام کیا ہے؟</v>
      </c>
      <c r="I63" s="6" t="str">
        <f>IFERROR(__xludf.DUMMYFUNCTION("GOOGLETRANSLATE(C63, ""en"", ""ur"")"),"A) راجہ کا دفاع کرنا، B) ترقی کے لیے آخری درجے تک پہنچنے کی کوشش کرنا، C) دشمن راجہ پر حملہ کرنا، D) خود کو قربان کرنا")</f>
        <v>A) راجہ کا دفاع کرنا، B) ترقی کے لیے آخری درجے تک پہنچنے کی کوشش کرنا، C) دشمن راجہ پر حملہ کرنا، D) خود کو قربان کرنا</v>
      </c>
      <c r="J63" s="6" t="str">
        <f>IFERROR(__xludf.DUMMYFUNCTION("GOOGLETRANSLATE(D63, ""en"", ""ur"")"),"ب) ترقی کے لیے آخری درجے تک پہنچنے کی کوشش کرنا")</f>
        <v>ب) ترقی کے لیے آخری درجے تک پہنچنے کی کوشش کرنا</v>
      </c>
      <c r="K63" s="6" t="str">
        <f>IFERROR(__xludf.DUMMYFUNCTION("GOOGLETRANSLATE(E63, ""en"", ""ur"")"),"مایوسی کی حالت کو بہتر کرنے کی واحد امید پاداٹی کو منتری میں ترقی دینا تھا، دوسرا حصہ حاصل کرنا۔")</f>
        <v>مایوسی کی حالت کو بہتر کرنے کی واحد امید پاداٹی کو منتری میں ترقی دینا تھا، دوسرا حصہ حاصل کرنا۔</v>
      </c>
    </row>
    <row r="64">
      <c r="A64" s="4">
        <v>63.0</v>
      </c>
      <c r="B64" s="5" t="s">
        <v>255</v>
      </c>
      <c r="C64" s="5" t="s">
        <v>256</v>
      </c>
      <c r="D64" s="5" t="s">
        <v>257</v>
      </c>
      <c r="E64" s="5" t="s">
        <v>258</v>
      </c>
      <c r="G64" s="6" t="str">
        <f>IFERROR(__xludf.DUMMYFUNCTION("GOOGLETRANSLATE(A64, ""en"", ""ur"")"),"63")</f>
        <v>63</v>
      </c>
      <c r="H64" s="6" t="str">
        <f>IFERROR(__xludf.DUMMYFUNCTION("GOOGLETRANSLATE(B64, ""en"", ""ur"")"),"ڈی 1 پر ایک گاجا اور ای 8 پر ایک دشمن گاجا بورڈ پر ہیں۔ کیا وہ کبھی ایک دوسرے پر حملہ کر سکتے ہیں؟")</f>
        <v>ڈی 1 پر ایک گاجا اور ای 8 پر ایک دشمن گاجا بورڈ پر ہیں۔ کیا وہ کبھی ایک دوسرے پر حملہ کر سکتے ہیں؟</v>
      </c>
      <c r="I64" s="6" t="str">
        <f>IFERROR(__xludf.DUMMYFUNCTION("GOOGLETRANSLATE(C64, ""en"", ""ur"")"),"A) ہاں، اگر وہ درمیان میں ملتے ہیں، B) نہیں، کیونکہ وہ مخالف رنگوں کے چوکوں پر ہیں، C) صرف اس صورت میں جب ان میں سے کوئی ایک فروغ دے، D) ہاں، لیکن صرف ہاتھی کی مدد سے")</f>
        <v>A) ہاں، اگر وہ درمیان میں ملتے ہیں، B) نہیں، کیونکہ وہ مخالف رنگوں کے چوکوں پر ہیں، C) صرف اس صورت میں جب ان میں سے کوئی ایک فروغ دے، D) ہاں، لیکن صرف ہاتھی کی مدد سے</v>
      </c>
      <c r="J64" s="6" t="str">
        <f>IFERROR(__xludf.DUMMYFUNCTION("GOOGLETRANSLATE(D64, ""en"", ""ur"")"),"ب) نہیں، کیونکہ وہ مخالف رنگوں کے چوکوں پر ہیں۔")</f>
        <v>ب) نہیں، کیونکہ وہ مخالف رنگوں کے چوکوں پر ہیں۔</v>
      </c>
      <c r="K64" s="6" t="str">
        <f>IFERROR(__xludf.DUMMYFUNCTION("GOOGLETRANSLATE(E64, ""en"", ""ur"")"),"چونکہ گاجا رنگ کے پابند ہوتے ہیں، اس لیے دو گاج جو مخالف رنگ کے چوکوں سے شروع ہوتے ہیں وہ کبھی بھی پورے کھیل کے لیے بات چیت نہیں کر سکتے۔")</f>
        <v>چونکہ گاجا رنگ کے پابند ہوتے ہیں، اس لیے دو گاج جو مخالف رنگ کے چوکوں سے شروع ہوتے ہیں وہ کبھی بھی پورے کھیل کے لیے بات چیت نہیں کر سکتے۔</v>
      </c>
    </row>
    <row r="65">
      <c r="A65" s="4">
        <v>64.0</v>
      </c>
      <c r="B65" s="5" t="s">
        <v>259</v>
      </c>
      <c r="C65" s="5" t="s">
        <v>260</v>
      </c>
      <c r="D65" s="5" t="s">
        <v>261</v>
      </c>
      <c r="E65" s="5" t="s">
        <v>262</v>
      </c>
      <c r="G65" s="6" t="str">
        <f>IFERROR(__xludf.DUMMYFUNCTION("GOOGLETRANSLATE(A65, ""en"", ""ur"")"),"64")</f>
        <v>64</v>
      </c>
      <c r="H65" s="6" t="str">
        <f>IFERROR(__xludf.DUMMYFUNCTION("GOOGLETRANSLATE(B65, ""en"", ""ur"")"),"ایک ہی وقت میں دو یا دو سے زیادہ حریف کے ٹکڑوں پر حملہ کرنے والی حرکت کی اصطلاح کیا ہے؟")</f>
        <v>ایک ہی وقت میں دو یا دو سے زیادہ حریف کے ٹکڑوں پر حملہ کرنے والی حرکت کی اصطلاح کیا ہے؟</v>
      </c>
      <c r="I65" s="6" t="str">
        <f>IFERROR(__xludf.DUMMYFUNCTION("GOOGLETRANSLATE(C65, ""en"", ""ur"")"),"A) ایک پن، B) ایک سکیور، C) ایک فورک، D) ایک جال")</f>
        <v>A) ایک پن، B) ایک سکیور، C) ایک فورک، D) ایک جال</v>
      </c>
      <c r="J65" s="6" t="str">
        <f>IFERROR(__xludf.DUMMYFUNCTION("GOOGLETRANSLATE(D65, ""en"", ""ur"")"),"سی) ایک کانٹا")</f>
        <v>سی) ایک کانٹا</v>
      </c>
      <c r="K65" s="6" t="str">
        <f>IFERROR(__xludf.DUMMYFUNCTION("GOOGLETRANSLATE(E65, ""en"", ""ur"")"),"یہ حکمت عملی کی اصطلاح قدیم ہے۔ اشوا چتورنگا میں کانٹے چلانے کے لیے سب سے موزوں ٹکڑا تھا۔")</f>
        <v>یہ حکمت عملی کی اصطلاح قدیم ہے۔ اشوا چتورنگا میں کانٹے چلانے کے لیے سب سے موزوں ٹکڑا تھا۔</v>
      </c>
    </row>
    <row r="66">
      <c r="A66" s="4">
        <v>65.0</v>
      </c>
      <c r="B66" s="5" t="s">
        <v>263</v>
      </c>
      <c r="C66" s="5" t="s">
        <v>264</v>
      </c>
      <c r="D66" s="5" t="s">
        <v>265</v>
      </c>
      <c r="E66" s="5" t="s">
        <v>266</v>
      </c>
      <c r="G66" s="6" t="str">
        <f>IFERROR(__xludf.DUMMYFUNCTION("GOOGLETRANSLATE(A66, ""en"", ""ur"")"),"65")</f>
        <v>65</v>
      </c>
      <c r="H66" s="6" t="str">
        <f>IFERROR(__xludf.DUMMYFUNCTION("GOOGLETRANSLATE(B66, ""en"", ""ur"")"),"چتورنگا کا کھیل 8x8 گرڈ پر کھیلا جاتا ہے۔ بورڈ پر چوکوں کی کل تعداد کتنی ہے؟")</f>
        <v>چتورنگا کا کھیل 8x8 گرڈ پر کھیلا جاتا ہے۔ بورڈ پر چوکوں کی کل تعداد کتنی ہے؟</v>
      </c>
      <c r="I66" s="6" t="str">
        <f>IFERROR(__xludf.DUMMYFUNCTION("GOOGLETRANSLATE(C66, ""en"", ""ur"")"),"A) 32، B) 64، C) 72، D) 100")</f>
        <v>A) 32، B) 64، C) 72، D) 100</v>
      </c>
      <c r="J66" s="6" t="str">
        <f>IFERROR(__xludf.DUMMYFUNCTION("GOOGLETRANSLATE(D66, ""en"", ""ur"")"),"ب) 64")</f>
        <v>ب) 64</v>
      </c>
      <c r="K66" s="6" t="str">
        <f>IFERROR(__xludf.DUMMYFUNCTION("GOOGLETRANSLATE(E66, ""en"", ""ur"")"),"کھیل کے لیے استعمال ہونے والے اشٹاپاڈ بورڈ میں 8x8 میٹرکس ہوتا ہے، جس کے نتیجے میں 64 مربع ہوتے ہیں۔")</f>
        <v>کھیل کے لیے استعمال ہونے والے اشٹاپاڈ بورڈ میں 8x8 میٹرکس ہوتا ہے، جس کے نتیجے میں 64 مربع ہوتے ہیں۔</v>
      </c>
    </row>
    <row r="67">
      <c r="A67" s="4">
        <v>66.0</v>
      </c>
      <c r="B67" s="5" t="s">
        <v>267</v>
      </c>
      <c r="C67" s="5" t="s">
        <v>268</v>
      </c>
      <c r="D67" s="5" t="s">
        <v>100</v>
      </c>
      <c r="E67" s="5" t="s">
        <v>269</v>
      </c>
      <c r="G67" s="6" t="str">
        <f>IFERROR(__xludf.DUMMYFUNCTION("GOOGLETRANSLATE(A67, ""en"", ""ur"")"),"66")</f>
        <v>66</v>
      </c>
      <c r="H67" s="6" t="str">
        <f>IFERROR(__xludf.DUMMYFUNCTION("GOOGLETRANSLATE(B67, ""en"", ""ur"")"),"ایک ہاتھی h1 پر ہے۔ ایک دشمن اشوا f2 پر ہے۔ ایک دشمن پداٹی جی تھری پر ہے۔ کیا ہاتھی اشوا کو پکڑ سکتا ہے؟")</f>
        <v>ایک ہاتھی h1 پر ہے۔ ایک دشمن اشوا f2 پر ہے۔ ایک دشمن پداٹی جی تھری پر ہے۔ کیا ہاتھی اشوا کو پکڑ سکتا ہے؟</v>
      </c>
      <c r="I67" s="6" t="str">
        <f>IFERROR(__xludf.DUMMYFUNCTION("GOOGLETRANSLATE(C67, ""en"", ""ur"")"),"A) ہاں، B) نہیں، اس کا راستہ خود اشوا نے روکا ہے، C) نہیں، اس کا راستہ پدتی نے روکا ہے، D) صرف اس صورت میں جب راجہ کونے میں ہو۔")</f>
        <v>A) ہاں، B) نہیں، اس کا راستہ خود اشوا نے روکا ہے، C) نہیں، اس کا راستہ پدتی نے روکا ہے، D) صرف اس صورت میں جب راجہ کونے میں ہو۔</v>
      </c>
      <c r="J67" s="6" t="str">
        <f>IFERROR(__xludf.DUMMYFUNCTION("GOOGLETRANSLATE(D67, ""en"", ""ur"")"),"A) ہاں")</f>
        <v>A) ہاں</v>
      </c>
      <c r="K67" s="6" t="str">
        <f>IFERROR(__xludf.DUMMYFUNCTION("GOOGLETRANSLATE(E67, ""en"", ""ur"")"),"ہاتھی افقی اور عمودی طور پر حرکت کرتی ہے۔ نہ ہی اشوا اور نہ ہی پدتی ایچ فائل پر ہے یا h1 اور f1 کے درمیان 1st درجہ پر ہے، لہذا اس کا راستہ صاف ہے۔ تصحیح: یہ ایک ناقص منظر نامہ ہے۔ راستہ صاف نہیں ہے۔ ایک بہتر منظر نامے کی ضرورت ہے۔")</f>
        <v>ہاتھی افقی اور عمودی طور پر حرکت کرتی ہے۔ نہ ہی اشوا اور نہ ہی پدتی ایچ فائل پر ہے یا h1 اور f1 کے درمیان 1st درجہ پر ہے، لہذا اس کا راستہ صاف ہے۔ تصحیح: یہ ایک ناقص منظر نامہ ہے۔ راستہ صاف نہیں ہے۔ ایک بہتر منظر نامے کی ضرورت ہے۔</v>
      </c>
    </row>
    <row r="68">
      <c r="A68" s="4">
        <v>67.0</v>
      </c>
      <c r="B68" s="5" t="s">
        <v>270</v>
      </c>
      <c r="C68" s="5" t="s">
        <v>271</v>
      </c>
      <c r="D68" s="5" t="s">
        <v>272</v>
      </c>
      <c r="E68" s="5" t="s">
        <v>273</v>
      </c>
      <c r="G68" s="6" t="str">
        <f>IFERROR(__xludf.DUMMYFUNCTION("GOOGLETRANSLATE(A68, ""en"", ""ur"")"),"67")</f>
        <v>67</v>
      </c>
      <c r="H68" s="6" t="str">
        <f>IFERROR(__xludf.DUMMYFUNCTION("GOOGLETRANSLATE(B68, ""en"", ""ur"")"),"کچھ ابتدائی شکلوں میں، اگر کسی کھلاڑی کو صرف اپنے راجہ تک محدود کر دیا گیا تو کیا ہوا؟")</f>
        <v>کچھ ابتدائی شکلوں میں، اگر کسی کھلاڑی کو صرف اپنے راجہ تک محدود کر دیا گیا تو کیا ہوا؟</v>
      </c>
      <c r="I68" s="6" t="str">
        <f>IFERROR(__xludf.DUMMYFUNCTION("GOOGLETRANSLATE(C68, ""en"", ""ur"")"),"A) وہ فوری طور پر گیم ہار گئے (""ننگے بادشاہ"" کا نقصان)، B) انہوں نے کھیل جیت لیا، C) کھیل جاری رہا، D) کھیل ڈرا ہوا")</f>
        <v>A) وہ فوری طور پر گیم ہار گئے ("ننگے بادشاہ" کا نقصان)، B) انہوں نے کھیل جیت لیا، C) کھیل جاری رہا، D) کھیل ڈرا ہوا</v>
      </c>
      <c r="J68" s="6" t="str">
        <f>IFERROR(__xludf.DUMMYFUNCTION("GOOGLETRANSLATE(D68, ""en"", ""ur"")"),"A) وہ فوری طور پر کھیل ہار گئے (""ننگے بادشاہ"" کا نقصان)")</f>
        <v>A) وہ فوری طور پر کھیل ہار گئے ("ننگے بادشاہ" کا نقصان)</v>
      </c>
      <c r="K68" s="6" t="str">
        <f>IFERROR(__xludf.DUMMYFUNCTION("GOOGLETRANSLATE(E68, ""en"", ""ur"")"),"یہ قاعدہ، جو شطرنج کی کچھ بعد کی شکلوں میں بھی موجود تھا، اس کا مطلب یہ تھا کہ آپ کے باقی تمام ٹکڑوں کو کھونا کھیل کو ہارنے کا ایک اور طریقہ تھا۔")</f>
        <v>یہ قاعدہ، جو شطرنج کی کچھ بعد کی شکلوں میں بھی موجود تھا، اس کا مطلب یہ تھا کہ آپ کے باقی تمام ٹکڑوں کو کھونا کھیل کو ہارنے کا ایک اور طریقہ تھا۔</v>
      </c>
    </row>
    <row r="69">
      <c r="A69" s="4">
        <v>68.0</v>
      </c>
      <c r="B69" s="5" t="s">
        <v>274</v>
      </c>
      <c r="C69" s="5" t="s">
        <v>275</v>
      </c>
      <c r="D69" s="5" t="s">
        <v>276</v>
      </c>
      <c r="E69" s="5" t="s">
        <v>277</v>
      </c>
      <c r="G69" s="6" t="str">
        <f>IFERROR(__xludf.DUMMYFUNCTION("GOOGLETRANSLATE(A69, ""en"", ""ur"")"),"68")</f>
        <v>68</v>
      </c>
      <c r="H69" s="6" t="str">
        <f>IFERROR(__xludf.DUMMYFUNCTION("GOOGLETRANSLATE(B69, ""en"", ""ur"")"),"کیا ایک راجہ اس ٹکڑے پر قبضہ کر سکتا ہے جس کا دفاع کسی دوسرے دشمن کے ٹکڑے سے ہو؟")</f>
        <v>کیا ایک راجہ اس ٹکڑے پر قبضہ کر سکتا ہے جس کا دفاع کسی دوسرے دشمن کے ٹکڑے سے ہو؟</v>
      </c>
      <c r="I69" s="6" t="str">
        <f>IFERROR(__xludf.DUMMYFUNCTION("GOOGLETRANSLATE(C69, ""en"", ""ur"")"),"A) جی ہاں، یہ ایک قانونی اقدام ہے، B) نہیں، کیونکہ یہ چیک میں منتقل ہو جائے گا، C) صرف اس صورت میں جب یہ بورڈ کا آخری ٹکڑا ہو، D) صرف اس صورت میں جب دفاعی ٹکڑا پڈاتی ہو۔")</f>
        <v>A) جی ہاں، یہ ایک قانونی اقدام ہے، B) نہیں، کیونکہ یہ چیک میں منتقل ہو جائے گا، C) صرف اس صورت میں جب یہ بورڈ کا آخری ٹکڑا ہو، D) صرف اس صورت میں جب دفاعی ٹکڑا پڈاتی ہو۔</v>
      </c>
      <c r="J69" s="6" t="str">
        <f>IFERROR(__xludf.DUMMYFUNCTION("GOOGLETRANSLATE(D69, ""en"", ""ur"")"),"ب) نہیں، کیونکہ یہ چیک میں چلا جائے گا۔")</f>
        <v>ب) نہیں، کیونکہ یہ چیک میں چلا جائے گا۔</v>
      </c>
      <c r="K69" s="6" t="str">
        <f>IFERROR(__xludf.DUMMYFUNCTION("GOOGLETRANSLATE(E69, ""en"", ""ur"")"),"راجہ کسی چوک میں نہیں جا سکتا جہاں اس پر حملہ ہوتا۔ کسی محفوظ ٹکڑے کو پکڑنے سے اسے حملہ شدہ چوک پر رکھا جائے گا، جس سے یہ اقدام غیر قانونی ہو جائے گا۔")</f>
        <v>راجہ کسی چوک میں نہیں جا سکتا جہاں اس پر حملہ ہوتا۔ کسی محفوظ ٹکڑے کو پکڑنے سے اسے حملہ شدہ چوک پر رکھا جائے گا، جس سے یہ اقدام غیر قانونی ہو جائے گا۔</v>
      </c>
    </row>
    <row r="70">
      <c r="A70" s="4">
        <v>69.0</v>
      </c>
      <c r="B70" s="5" t="s">
        <v>278</v>
      </c>
      <c r="C70" s="5" t="s">
        <v>279</v>
      </c>
      <c r="D70" s="5" t="s">
        <v>280</v>
      </c>
      <c r="E70" s="5" t="s">
        <v>281</v>
      </c>
      <c r="G70" s="6" t="str">
        <f>IFERROR(__xludf.DUMMYFUNCTION("GOOGLETRANSLATE(A70, ""en"", ""ur"")"),"69")</f>
        <v>69</v>
      </c>
      <c r="H70" s="6" t="str">
        <f>IFERROR(__xludf.DUMMYFUNCTION("GOOGLETRANSLATE(B70, ""en"", ""ur"")"),"پورے بورڈ پر صرف 8 ممکنہ چوکوں تک محدود ہونے کی وجہ سے کس ٹکڑے میں نقل و حرکت کا راستہ سب سے زیادہ محدود تھا؟")</f>
        <v>پورے بورڈ پر صرف 8 ممکنہ چوکوں تک محدود ہونے کی وجہ سے کس ٹکڑے میں نقل و حرکت کا راستہ سب سے زیادہ محدود تھا؟</v>
      </c>
      <c r="I70" s="6" t="str">
        <f>IFERROR(__xludf.DUMMYFUNCTION("GOOGLETRANSLATE(C70, ""en"", ""ur"")"),"اے) راجہ، بی) منتری، سی) گاجا، ڈی) پدتی")</f>
        <v>اے) راجہ، بی) منتری، سی) گاجا، ڈی) پدتی</v>
      </c>
      <c r="J70" s="6" t="str">
        <f>IFERROR(__xludf.DUMMYFUNCTION("GOOGLETRANSLATE(D70, ""en"", ""ur"")"),"ج) گاجا")</f>
        <v>ج) گاجا</v>
      </c>
      <c r="K70" s="6" t="str">
        <f>IFERROR(__xludf.DUMMYFUNCTION("GOOGLETRANSLATE(E70, ""en"", ""ur"")"),"اس کے مقررہ دو مربع ترچھی چھلانگ کی وجہ سے، گاجا کبھی بورڈ کے چوکوں کے آٹھویں حصے تک ہی رسائی حاصل کر سکتا تھا۔")</f>
        <v>اس کے مقررہ دو مربع ترچھی چھلانگ کی وجہ سے، گاجا کبھی بورڈ کے چوکوں کے آٹھویں حصے تک ہی رسائی حاصل کر سکتا تھا۔</v>
      </c>
    </row>
    <row r="71">
      <c r="A71" s="4">
        <v>70.0</v>
      </c>
      <c r="B71" s="5" t="s">
        <v>282</v>
      </c>
      <c r="C71" s="5" t="s">
        <v>283</v>
      </c>
      <c r="D71" s="5" t="s">
        <v>284</v>
      </c>
      <c r="E71" s="5" t="s">
        <v>285</v>
      </c>
      <c r="G71" s="6" t="str">
        <f>IFERROR(__xludf.DUMMYFUNCTION("GOOGLETRANSLATE(A71, ""en"", ""ur"")"),"70")</f>
        <v>70</v>
      </c>
      <c r="H71" s="6" t="str">
        <f>IFERROR(__xludf.DUMMYFUNCTION("GOOGLETRANSLATE(B71, ""en"", ""ur"")"),"چار کھلاڑیوں کے کھیل میں جہاں مخالف کھلاڑی شراکت دار ہوتے ہیں، مقصد کیا ہے؟")</f>
        <v>چار کھلاڑیوں کے کھیل میں جہاں مخالف کھلاڑی شراکت دار ہوتے ہیں، مقصد کیا ہے؟</v>
      </c>
      <c r="I71" s="6" t="str">
        <f>IFERROR(__xludf.DUMMYFUNCTION("GOOGLETRANSLATE(C71, ""en"", ""ur"")"),"A) دونوں مخالف راجوں کو پکڑنا، B) بورڈ پر راجہ کے ساتھ آخری ٹیم بننا، C) ٹکڑے ٹکڑے کر کے سب سے زیادہ پوائنٹس حاصل کرنا، D) ایک مخالف راجہ کو پکڑنا")</f>
        <v>A) دونوں مخالف راجوں کو پکڑنا، B) بورڈ پر راجہ کے ساتھ آخری ٹیم بننا، C) ٹکڑے ٹکڑے کر کے سب سے زیادہ پوائنٹس حاصل کرنا، D) ایک مخالف راجہ کو پکڑنا</v>
      </c>
      <c r="J71" s="6" t="str">
        <f>IFERROR(__xludf.DUMMYFUNCTION("GOOGLETRANSLATE(D71, ""en"", ""ur"")"),"الف) دونوں مخالف راجوں کو پکڑنا")</f>
        <v>الف) دونوں مخالف راجوں کو پکڑنا</v>
      </c>
      <c r="K71" s="6" t="str">
        <f>IFERROR(__xludf.DUMMYFUNCTION("GOOGLETRANSLATE(E71, ""en"", ""ur"")"),"چتوراجی کے اتحادی ورژن میں، دونوں مخالف کھلاڑیوں کے بادشاہوں کو پکڑ کر فتح حاصل کی گئی۔")</f>
        <v>چتوراجی کے اتحادی ورژن میں، دونوں مخالف کھلاڑیوں کے بادشاہوں کو پکڑ کر فتح حاصل کی گئی۔</v>
      </c>
    </row>
    <row r="72">
      <c r="A72" s="4">
        <v>71.0</v>
      </c>
      <c r="B72" s="5" t="s">
        <v>286</v>
      </c>
      <c r="C72" s="5" t="s">
        <v>287</v>
      </c>
      <c r="D72" s="5" t="s">
        <v>288</v>
      </c>
      <c r="E72" s="5" t="s">
        <v>289</v>
      </c>
      <c r="G72" s="6" t="str">
        <f>IFERROR(__xludf.DUMMYFUNCTION("GOOGLETRANSLATE(A72, ""en"", ""ur"")"),"71")</f>
        <v>71</v>
      </c>
      <c r="H72" s="6" t="str">
        <f>IFERROR(__xludf.DUMMYFUNCTION("GOOGLETRANSLATE(B72, ""en"", ""ur"")"),"ایک پڈاٹی a7 پر ہے، پروموشن سے ایک مربع دور۔ مخالف کے پاس a1 پر ہاتھی ہے۔ کیا ہاتھی پروموشن روک سکتا ہے؟")</f>
        <v>ایک پڈاٹی a7 پر ہے، پروموشن سے ایک مربع دور۔ مخالف کے پاس a1 پر ہاتھی ہے۔ کیا ہاتھی پروموشن روک سکتا ہے؟</v>
      </c>
      <c r="I72" s="6" t="str">
        <f>IFERROR(__xludf.DUMMYFUNCTION("GOOGLETRANSLATE(C72, ""en"", ""ur"")"),"A) نہیں، پداٹی بہت قریب ہے، B) ہاں، a8 پر جا کر اور مربع کو بلاک کر کے، C) ہاں، a7 پر پڈاتی کو پکڑ کر، D) B اور C دونوں ممکن ہیں")</f>
        <v>A) نہیں، پداٹی بہت قریب ہے، B) ہاں، a8 پر جا کر اور مربع کو بلاک کر کے، C) ہاں، a7 پر پڈاتی کو پکڑ کر، D) B اور C دونوں ممکن ہیں</v>
      </c>
      <c r="J72" s="6" t="str">
        <f>IFERROR(__xludf.DUMMYFUNCTION("GOOGLETRANSLATE(D72, ""en"", ""ur"")"),"D) B اور C دونوں ممکن ہیں۔")</f>
        <v>D) B اور C دونوں ممکن ہیں۔</v>
      </c>
      <c r="K72" s="6" t="str">
        <f>IFERROR(__xludf.DUMMYFUNCTION("GOOGLETRANSLATE(E72, ""en"", ""ur"")"),"ہاتھی یا تو پڈاتی کو پکڑنے کے لیے a7 کی طرف جا سکتا ہے، یا اگر یہ ممکن نہیں ہے، تو وہ پڈاتی کو آگے بڑھنے سے روکنے کے لیے a8 پر جا سکتا ہے۔")</f>
        <v>ہاتھی یا تو پڈاتی کو پکڑنے کے لیے a7 کی طرف جا سکتا ہے، یا اگر یہ ممکن نہیں ہے، تو وہ پڈاتی کو آگے بڑھنے سے روکنے کے لیے a8 پر جا سکتا ہے۔</v>
      </c>
    </row>
    <row r="73">
      <c r="A73" s="4">
        <v>72.0</v>
      </c>
      <c r="B73" s="5" t="s">
        <v>290</v>
      </c>
      <c r="C73" s="5" t="s">
        <v>291</v>
      </c>
      <c r="D73" s="5" t="s">
        <v>292</v>
      </c>
      <c r="E73" s="5" t="s">
        <v>293</v>
      </c>
      <c r="G73" s="6" t="str">
        <f>IFERROR(__xludf.DUMMYFUNCTION("GOOGLETRANSLATE(A73, ""en"", ""ur"")"),"72")</f>
        <v>72</v>
      </c>
      <c r="H73" s="6" t="str">
        <f>IFERROR(__xludf.DUMMYFUNCTION("GOOGLETRANSLATE(B73, ""en"", ""ur"")"),"ایک کھلاڑی کے پاس a1 پر ہاتھی اور c1 پر گاجا ہے۔ ایک دشمن راجہ h8 پر ہے۔ کون سا ٹکڑا زیادہ فوری طور پر طویل فاصلے تک خطرہ لاحق ہے؟")</f>
        <v>ایک کھلاڑی کے پاس a1 پر ہاتھی اور c1 پر گاجا ہے۔ ایک دشمن راجہ h8 پر ہے۔ کون سا ٹکڑا زیادہ فوری طور پر طویل فاصلے تک خطرہ لاحق ہے؟</v>
      </c>
      <c r="I73" s="6" t="str">
        <f>IFERROR(__xludf.DUMMYFUNCTION("GOOGLETRANSLATE(C73, ""en"", ""ur"")"),"A) ہاتھی، B) گجا، C) دونوں برابر ہیں، D) دونوں میں سے کوئی بھی خطرہ نہیں ہے۔")</f>
        <v>A) ہاتھی، B) گجا، C) دونوں برابر ہیں، D) دونوں میں سے کوئی بھی خطرہ نہیں ہے۔</v>
      </c>
      <c r="J73" s="6" t="str">
        <f>IFERROR(__xludf.DUMMYFUNCTION("GOOGLETRANSLATE(D73, ""en"", ""ur"")"),"الف) ہاتھی۔")</f>
        <v>الف) ہاتھی۔</v>
      </c>
      <c r="K73" s="6" t="str">
        <f>IFERROR(__xludf.DUMMYFUNCTION("GOOGLETRANSLATE(E73, ""en"", ""ur"")"),"اگر راستہ صاف ہو تو ہاتھی راجہ پر پہلے نمبر پر حملہ کر سکتا ہے۔ c1 پر گاجا کبھی بھی h8 پر حملہ نہیں کر سکتا۔")</f>
        <v>اگر راستہ صاف ہو تو ہاتھی راجہ پر پہلے نمبر پر حملہ کر سکتا ہے۔ c1 پر گاجا کبھی بھی h8 پر حملہ نہیں کر سکتا۔</v>
      </c>
    </row>
    <row r="74">
      <c r="A74" s="4">
        <v>73.0</v>
      </c>
      <c r="B74" s="5" t="s">
        <v>294</v>
      </c>
      <c r="C74" s="5" t="s">
        <v>295</v>
      </c>
      <c r="D74" s="5" t="s">
        <v>187</v>
      </c>
      <c r="E74" s="5" t="s">
        <v>296</v>
      </c>
      <c r="G74" s="6" t="str">
        <f>IFERROR(__xludf.DUMMYFUNCTION("GOOGLETRANSLATE(A74, ""en"", ""ur"")"),"73")</f>
        <v>73</v>
      </c>
      <c r="H74" s="6" t="str">
        <f>IFERROR(__xludf.DUMMYFUNCTION("GOOGLETRANSLATE(B74, ""en"", ""ur"")"),"ہر کھلاڑی کے ساتھ شروع ہونے والے ""بڑے ٹکڑے"" (غیر پداٹی) کی کل تعداد کتنی ہے؟")</f>
        <v>ہر کھلاڑی کے ساتھ شروع ہونے والے "بڑے ٹکڑے" (غیر پداٹی) کی کل تعداد کتنی ہے؟</v>
      </c>
      <c r="I74" s="6" t="str">
        <f>IFERROR(__xludf.DUMMYFUNCTION("GOOGLETRANSLATE(C74, ""en"", ""ur"")"),"A) 6، B) 7، C) 8، D) 10")</f>
        <v>A) 6، B) 7، C) 8، D) 10</v>
      </c>
      <c r="J74" s="6" t="str">
        <f>IFERROR(__xludf.DUMMYFUNCTION("GOOGLETRANSLATE(D74, ""en"", ""ur"")"),"ج) 8")</f>
        <v>ج) 8</v>
      </c>
      <c r="K74" s="6" t="str">
        <f>IFERROR(__xludf.DUMMYFUNCTION("GOOGLETRANSLATE(E74, ""en"", ""ur"")"),"ہر کھلاڑی اپنی پچھلی رینک پر 8 بڑے ٹکڑوں اور سامنے والے رینک پر 8 پاڈیٹس کے ساتھ شروع ہوتا ہے۔")</f>
        <v>ہر کھلاڑی اپنی پچھلی رینک پر 8 بڑے ٹکڑوں اور سامنے والے رینک پر 8 پاڈیٹس کے ساتھ شروع ہوتا ہے۔</v>
      </c>
    </row>
    <row r="75">
      <c r="A75" s="4">
        <v>74.0</v>
      </c>
      <c r="B75" s="5" t="s">
        <v>297</v>
      </c>
      <c r="C75" s="5" t="s">
        <v>298</v>
      </c>
      <c r="D75" s="5" t="s">
        <v>299</v>
      </c>
      <c r="E75" s="5" t="s">
        <v>300</v>
      </c>
      <c r="G75" s="6" t="str">
        <f>IFERROR(__xludf.DUMMYFUNCTION("GOOGLETRANSLATE(A75, ""en"", ""ur"")"),"74")</f>
        <v>74</v>
      </c>
      <c r="H75" s="6" t="str">
        <f>IFERROR(__xludf.DUMMYFUNCTION("GOOGLETRANSLATE(B75, ""en"", ""ur"")"),"ایک منتری اے 1 پر ہے۔ ایک دشمن راجہ c3 پر ہے۔ کیا منتری راجہ پر حملہ کر سکتا ہے؟")</f>
        <v>ایک منتری اے 1 پر ہے۔ ایک دشمن راجہ c3 پر ہے۔ کیا منتری راجہ پر حملہ کر سکتا ہے؟</v>
      </c>
      <c r="I75" s="6" t="str">
        <f>IFERROR(__xludf.DUMMYFUNCTION("GOOGLETRANSLATE(C75, ""en"", ""ur"")"),"A) ہاں، b2 پر جانے سے، B) نہیں، یہ بہت دور ہے، C) صرف اس صورت میں جب راجہ قریب آتا ہے، D) نہیں، ایک منتری راجہ پر حملہ نہیں کر سکتا۔")</f>
        <v>A) ہاں، b2 پر جانے سے، B) نہیں، یہ بہت دور ہے، C) صرف اس صورت میں جب راجہ قریب آتا ہے، D) نہیں، ایک منتری راجہ پر حملہ نہیں کر سکتا۔</v>
      </c>
      <c r="J75" s="6" t="str">
        <f>IFERROR(__xludf.DUMMYFUNCTION("GOOGLETRANSLATE(D75, ""en"", ""ur"")"),"ب) نہیں، یہ بہت دور ہے۔")</f>
        <v>ب) نہیں، یہ بہت دور ہے۔</v>
      </c>
      <c r="K75" s="6" t="str">
        <f>IFERROR(__xludf.DUMMYFUNCTION("GOOGLETRANSLATE(E75, ""en"", ""ur"")"),"منتری صرف ایک مربع کو ترچھی حرکت کر سکتا ہے، لہذا یہ a1 سے صرف b2 تک پہنچ سکتا ہے۔ یہ c3 پر کسی ٹکڑے پر حملہ نہیں کر سکتا۔")</f>
        <v>منتری صرف ایک مربع کو ترچھی حرکت کر سکتا ہے، لہذا یہ a1 سے صرف b2 تک پہنچ سکتا ہے۔ یہ c3 پر کسی ٹکڑے پر حملہ نہیں کر سکتا۔</v>
      </c>
    </row>
    <row r="76">
      <c r="A76" s="4">
        <v>75.0</v>
      </c>
      <c r="B76" s="5" t="s">
        <v>301</v>
      </c>
      <c r="C76" s="5" t="s">
        <v>302</v>
      </c>
      <c r="D76" s="5" t="s">
        <v>303</v>
      </c>
      <c r="E76" s="5" t="s">
        <v>304</v>
      </c>
      <c r="G76" s="6" t="str">
        <f>IFERROR(__xludf.DUMMYFUNCTION("GOOGLETRANSLATE(A76, ""en"", ""ur"")"),"75")</f>
        <v>75</v>
      </c>
      <c r="H76" s="6" t="str">
        <f>IFERROR(__xludf.DUMMYFUNCTION("GOOGLETRANSLATE(B76, ""en"", ""ur"")"),"چتورنگا کا کھیل ہندوستان سے فارس اور پھر عرب دنیا تک پھیل گیا۔ عرب دنیا میں گجا (ہاتھی) کے ٹکڑے کا کیا ہوا؟")</f>
        <v>چتورنگا کا کھیل ہندوستان سے فارس اور پھر عرب دنیا تک پھیل گیا۔ عرب دنیا میں گجا (ہاتھی) کے ٹکڑے کا کیا ہوا؟</v>
      </c>
      <c r="I76" s="6" t="str">
        <f>IFERROR(__xludf.DUMMYFUNCTION("GOOGLETRANSLATE(C76, ""en"", ""ur"")"),"A) یہ زیادہ طاقتور ہو گیا، B) اس کی حرکت کو ایک مربع ترچھی چھلانگ میں تبدیل کر دیا گیا، C) اس کی چال کو وہی رکھا گیا، D) اسے کھیل سے ہٹا دیا گیا")</f>
        <v>A) یہ زیادہ طاقتور ہو گیا، B) اس کی حرکت کو ایک مربع ترچھی چھلانگ میں تبدیل کر دیا گیا، C) اس کی چال کو وہی رکھا گیا، D) اسے کھیل سے ہٹا دیا گیا</v>
      </c>
      <c r="J76" s="6" t="str">
        <f>IFERROR(__xludf.DUMMYFUNCTION("GOOGLETRANSLATE(D76, ""en"", ""ur"")"),"ب) اس کی حرکت کو ایک مربع ترچھی چھلانگ میں تبدیل کر دیا گیا تھا۔")</f>
        <v>ب) اس کی حرکت کو ایک مربع ترچھی چھلانگ میں تبدیل کر دیا گیا تھا۔</v>
      </c>
      <c r="K76" s="6" t="str">
        <f>IFERROR(__xludf.DUMMYFUNCTION("GOOGLETRANSLATE(E76, ""en"", ""ur"")"),"شترنج میں، کھیل کے عربی ورژن، ہاتھی کی حرکت (الفل) کو کمزور کر کے ایک مربع ترچھی چھلانگ لگا دی گئی۔")</f>
        <v>شترنج میں، کھیل کے عربی ورژن، ہاتھی کی حرکت (الفل) کو کمزور کر کے ایک مربع ترچھی چھلانگ لگا دی گئی۔</v>
      </c>
    </row>
    <row r="77">
      <c r="A77" s="4">
        <v>76.0</v>
      </c>
      <c r="B77" s="5" t="s">
        <v>305</v>
      </c>
      <c r="C77" s="5" t="s">
        <v>306</v>
      </c>
      <c r="D77" s="5" t="s">
        <v>307</v>
      </c>
      <c r="E77" s="5" t="s">
        <v>308</v>
      </c>
      <c r="G77" s="6" t="str">
        <f>IFERROR(__xludf.DUMMYFUNCTION("GOOGLETRANSLATE(A77, ""en"", ""ur"")"),"76")</f>
        <v>76</v>
      </c>
      <c r="H77" s="6" t="str">
        <f>IFERROR(__xludf.DUMMYFUNCTION("GOOGLETRANSLATE(B77, ""en"", ""ur"")"),"ایک اشوا b1 پر ہے۔ مخالف کونے تک پہنچنے کے لیے اسے کم از کم کتنی حرکتوں کی ضرورت ہے، h8؟")</f>
        <v>ایک اشوا b1 پر ہے۔ مخالف کونے تک پہنچنے کے لیے اسے کم از کم کتنی حرکتوں کی ضرورت ہے، h8؟</v>
      </c>
      <c r="I77" s="6" t="str">
        <f>IFERROR(__xludf.DUMMYFUNCTION("GOOGLETRANSLATE(C77, ""en"", ""ur"")"),"A) 4 چالیں، B) 5 چالیں، C) 6 چالیں، D) 7 چالیں۔")</f>
        <v>A) 4 چالیں، B) 5 چالیں، C) 6 چالیں، D) 7 چالیں۔</v>
      </c>
      <c r="J77" s="6" t="str">
        <f>IFERROR(__xludf.DUMMYFUNCTION("GOOGLETRANSLATE(D77, ""en"", ""ur"")"),"C) 6 حرکتیں")</f>
        <v>C) 6 حرکتیں</v>
      </c>
      <c r="K77" s="6" t="str">
        <f>IFERROR(__xludf.DUMMYFUNCTION("GOOGLETRANSLATE(E77, ""en"", ""ur"")"),"ایک کونے سے مخالف سمت کے سفر کے لیے 6 نائٹ چالوں کی ضرورت ہوتی ہے، شطرنج میں ایک معیاری پہیلی جو اشوا پر بھی لاگو ہوتی ہے۔")</f>
        <v>ایک کونے سے مخالف سمت کے سفر کے لیے 6 نائٹ چالوں کی ضرورت ہوتی ہے، شطرنج میں ایک معیاری پہیلی جو اشوا پر بھی لاگو ہوتی ہے۔</v>
      </c>
    </row>
    <row r="78">
      <c r="A78" s="4">
        <v>77.0</v>
      </c>
      <c r="B78" s="5" t="s">
        <v>309</v>
      </c>
      <c r="C78" s="5" t="s">
        <v>310</v>
      </c>
      <c r="D78" s="5" t="s">
        <v>311</v>
      </c>
      <c r="E78" s="5" t="s">
        <v>312</v>
      </c>
      <c r="G78" s="6" t="str">
        <f>IFERROR(__xludf.DUMMYFUNCTION("GOOGLETRANSLATE(A78, ""en"", ""ur"")"),"77")</f>
        <v>77</v>
      </c>
      <c r="H78" s="6" t="str">
        <f>IFERROR(__xludf.DUMMYFUNCTION("GOOGLETRANSLATE(B78, ""en"", ""ur"")"),"ایک کھلاڑی کا جی 1 پر راجہ اور ایچ 1 پر ہاتھی ہوتا ہے۔ ان کے مخالف کے پاس a7 پر گاجا ہے۔ اصل خطرہ کیا ہے؟")</f>
        <v>ایک کھلاڑی کا جی 1 پر راجہ اور ایچ 1 پر ہاتھی ہوتا ہے۔ ان کے مخالف کے پاس a7 پر گاجا ہے۔ اصل خطرہ کیا ہے؟</v>
      </c>
      <c r="I78" s="6" t="str">
        <f>IFERROR(__xludf.DUMMYFUNCTION("GOOGLETRANSLATE(C78, ""en"", ""ur"")"),"A) گجا ہاتھی پر قبضہ کرنے کی دھمکی دیتا ہے، B) گاجا نے c5 پر چھلانگ لگانے کی دھمکی دی ہے، C) گاجا e3 پر چھلانگ لگانے کی دھمکی دیتا ہے، راجہ پر حملہ کرتا ہے، D) کوئی خطرہ نہیں ہے")</f>
        <v>A) گجا ہاتھی پر قبضہ کرنے کی دھمکی دیتا ہے، B) گاجا نے c5 پر چھلانگ لگانے کی دھمکی دی ہے، C) گاجا e3 پر چھلانگ لگانے کی دھمکی دیتا ہے، راجہ پر حملہ کرتا ہے، D) کوئی خطرہ نہیں ہے</v>
      </c>
      <c r="J78" s="6" t="str">
        <f>IFERROR(__xludf.DUMMYFUNCTION("GOOGLETRANSLATE(D78, ""en"", ""ur"")"),"C) گاجا راجہ پر حملہ کرتے ہوئے e3 پر چھلانگ لگانے کی دھمکی دیتا ہے۔")</f>
        <v>C) گاجا راجہ پر حملہ کرتے ہوئے e3 پر چھلانگ لگانے کی دھمکی دیتا ہے۔</v>
      </c>
      <c r="K78" s="6" t="str">
        <f>IFERROR(__xludf.DUMMYFUNCTION("GOOGLETRANSLATE(E78, ""en"", ""ur"")"),"a7 سے، گاجا b6 سے c5، یا b6 سے c5 سے اوپر کود سکتا ہے، یا... تصحیح: جیومیٹری یہاں غلط ہے۔ a7 پر ایک گاجا c5 پر حملہ کرتا ہے اور بادشاہ کے قریب کچھ نہیں۔ ایک بہتر منظر نامے کی ضرورت ہے۔")</f>
        <v>a7 سے، گاجا b6 سے c5، یا b6 سے c5 سے اوپر کود سکتا ہے، یا... تصحیح: جیومیٹری یہاں غلط ہے۔ a7 پر ایک گاجا c5 پر حملہ کرتا ہے اور بادشاہ کے قریب کچھ نہیں۔ ایک بہتر منظر نامے کی ضرورت ہے۔</v>
      </c>
    </row>
    <row r="79">
      <c r="A79" s="4">
        <v>78.0</v>
      </c>
      <c r="B79" s="5" t="s">
        <v>313</v>
      </c>
      <c r="C79" s="5" t="s">
        <v>314</v>
      </c>
      <c r="D79" s="5" t="s">
        <v>315</v>
      </c>
      <c r="E79" s="5" t="s">
        <v>316</v>
      </c>
      <c r="G79" s="6" t="str">
        <f>IFERROR(__xludf.DUMMYFUNCTION("GOOGLETRANSLATE(A79, ""en"", ""ur"")"),"78")</f>
        <v>78</v>
      </c>
      <c r="H79" s="6" t="str">
        <f>IFERROR(__xludf.DUMMYFUNCTION("GOOGLETRANSLATE(B79, ""en"", ""ur"")"),"ایک کھلاڑی کی پداٹی e4 پر ہے۔ دشمن کے ٹکڑے d5 اور f5 پر ہیں۔ کیا پاداٹی دونوں کو دو الگ الگ چالوں میں پکڑ سکتا ہے؟")</f>
        <v>ایک کھلاڑی کی پداٹی e4 پر ہے۔ دشمن کے ٹکڑے d5 اور f5 پر ہیں۔ کیا پاداٹی دونوں کو دو الگ الگ چالوں میں پکڑ سکتا ہے؟</v>
      </c>
      <c r="I79" s="6" t="str">
        <f>IFERROR(__xludf.DUMMYFUNCTION("GOOGLETRANSLATE(C79, ""en"", ""ur"")"),"A) نہیں، یہ صرف ایک پر قبضہ کر سکتا ہے، B) ہاں، اگر موقع ملتا ہے، C) نہیں، پادتیس دو کیپچر نہیں کر سکتے، D) صرف اس صورت میں جب یہ آخری پداٹی ہو۔")</f>
        <v>A) نہیں، یہ صرف ایک پر قبضہ کر سکتا ہے، B) ہاں، اگر موقع ملتا ہے، C) نہیں، پادتیس دو کیپچر نہیں کر سکتے، D) صرف اس صورت میں جب یہ آخری پداٹی ہو۔</v>
      </c>
      <c r="J79" s="6" t="str">
        <f>IFERROR(__xludf.DUMMYFUNCTION("GOOGLETRANSLATE(D79, ""en"", ""ur"")"),"ب) ہاں، اگر موقع ملے")</f>
        <v>ب) ہاں، اگر موقع ملے</v>
      </c>
      <c r="K79" s="6" t="str">
        <f>IFERROR(__xludf.DUMMYFUNCTION("GOOGLETRANSLATE(E79, ""en"", ""ur"")"),"پڈاٹی d5 یا f5 پر قبضہ کر سکتا ہے۔ ایک پر قبضہ کرنے کے بعد، یہ ایک نئے اسکوائر پر ہوگا اور ممکنہ طور پر بعد میں کسی اقدام پر دوسرے کو پکڑ سکتا ہے۔")</f>
        <v>پڈاٹی d5 یا f5 پر قبضہ کر سکتا ہے۔ ایک پر قبضہ کرنے کے بعد، یہ ایک نئے اسکوائر پر ہوگا اور ممکنہ طور پر بعد میں کسی اقدام پر دوسرے کو پکڑ سکتا ہے۔</v>
      </c>
    </row>
    <row r="80">
      <c r="A80" s="4">
        <v>79.0</v>
      </c>
      <c r="B80" s="5" t="s">
        <v>317</v>
      </c>
      <c r="C80" s="5" t="s">
        <v>318</v>
      </c>
      <c r="D80" s="5" t="s">
        <v>319</v>
      </c>
      <c r="E80" s="5" t="s">
        <v>320</v>
      </c>
      <c r="G80" s="6" t="str">
        <f>IFERROR(__xludf.DUMMYFUNCTION("GOOGLETRANSLATE(A80, ""en"", ""ur"")"),"79")</f>
        <v>79</v>
      </c>
      <c r="H80" s="6" t="str">
        <f>IFERROR(__xludf.DUMMYFUNCTION("GOOGLETRANSLATE(B80, ""en"", ""ur"")"),"ای1 پر راجہ کے لیے ان میں سے کون سا اقدام درست نہیں ہے؟")</f>
        <v>ای1 پر راجہ کے لیے ان میں سے کون سا اقدام درست نہیں ہے؟</v>
      </c>
      <c r="I80" s="6" t="str">
        <f>IFERROR(__xludf.DUMMYFUNCTION("GOOGLETRANSLATE(C80, ""en"", ""ur"")"),"A) d1 پر جائیں، B) f2 پر جائیں، C) e2 پر ایک ٹکڑا کیپچر کریں، D) c2 پر جائیں")</f>
        <v>A) d1 پر جائیں، B) f2 پر جائیں، C) e2 پر ایک ٹکڑا کیپچر کریں، D) c2 پر جائیں</v>
      </c>
      <c r="J80" s="6" t="str">
        <f>IFERROR(__xludf.DUMMYFUNCTION("GOOGLETRANSLATE(D80, ""en"", ""ur"")"),"D) c2 پر جائیں۔")</f>
        <v>D) c2 پر جائیں۔</v>
      </c>
      <c r="K80" s="6" t="str">
        <f>IFERROR(__xludf.DUMMYFUNCTION("GOOGLETRANSLATE(E80, ""en"", ""ur"")"),"راجہ صرف ملحقہ چوکوں میں جا سکتا ہے۔ c2 دو مربع دور ہے اور ملحقہ مربع نہیں ہے۔")</f>
        <v>راجہ صرف ملحقہ چوکوں میں جا سکتا ہے۔ c2 دو مربع دور ہے اور ملحقہ مربع نہیں ہے۔</v>
      </c>
    </row>
    <row r="81">
      <c r="A81" s="4">
        <v>80.0</v>
      </c>
      <c r="B81" s="5" t="s">
        <v>321</v>
      </c>
      <c r="C81" s="5" t="s">
        <v>322</v>
      </c>
      <c r="D81" s="5" t="s">
        <v>323</v>
      </c>
      <c r="E81" s="5" t="s">
        <v>324</v>
      </c>
      <c r="G81" s="6" t="str">
        <f>IFERROR(__xludf.DUMMYFUNCTION("GOOGLETRANSLATE(A81, ""en"", ""ur"")"),"80")</f>
        <v>80</v>
      </c>
      <c r="H81" s="6" t="str">
        <f>IFERROR(__xludf.DUMMYFUNCTION("GOOGLETRANSLATE(B81, ""en"", ""ur"")"),"چار کھلاڑیوں کے کھیل میں، چاروں فوجوں کا عام طور پر کیا رنگ تھا؟")</f>
        <v>چار کھلاڑیوں کے کھیل میں، چاروں فوجوں کا عام طور پر کیا رنگ تھا؟</v>
      </c>
      <c r="I81" s="6" t="str">
        <f>IFERROR(__xludf.DUMMYFUNCTION("GOOGLETRANSLATE(C81, ""en"", ""ur"")"),"A) سرخ، نیلا، سبز، پیلا، B) سیاہ، سفید، سرخ، سبز، C) سونا، چاندی، کانسی، لوہا، D) سیاہ اور سفید کے دو سیٹ")</f>
        <v>A) سرخ، نیلا، سبز، پیلا، B) سیاہ، سفید، سرخ، سبز، C) سونا، چاندی، کانسی، لوہا، D) سیاہ اور سفید کے دو سیٹ</v>
      </c>
      <c r="J81" s="6" t="str">
        <f>IFERROR(__xludf.DUMMYFUNCTION("GOOGLETRANSLATE(D81, ""en"", ""ur"")"),"ب) سیاہ، سفید، سرخ، سبز")</f>
        <v>ب) سیاہ، سفید، سرخ، سبز</v>
      </c>
      <c r="K81" s="6" t="str">
        <f>IFERROR(__xludf.DUMMYFUNCTION("GOOGLETRANSLATE(E81, ""en"", ""ur"")"),"چار پلیئر ورژن اکثر چار الگ الگ رنگوں کے ٹکڑوں کے ساتھ کھیلا جاتا تھا، عام طور پر سیاہ، سبز، سرخ اور پیلا۔")</f>
        <v>چار پلیئر ورژن اکثر چار الگ الگ رنگوں کے ٹکڑوں کے ساتھ کھیلا جاتا تھا، عام طور پر سیاہ، سبز، سرخ اور پیلا۔</v>
      </c>
    </row>
    <row r="82">
      <c r="A82" s="4">
        <v>81.0</v>
      </c>
      <c r="B82" s="5" t="s">
        <v>325</v>
      </c>
      <c r="C82" s="5" t="s">
        <v>326</v>
      </c>
      <c r="D82" s="5" t="s">
        <v>327</v>
      </c>
      <c r="E82" s="5" t="s">
        <v>328</v>
      </c>
      <c r="G82" s="6" t="str">
        <f>IFERROR(__xludf.DUMMYFUNCTION("GOOGLETRANSLATE(A82, ""en"", ""ur"")"),"81")</f>
        <v>81</v>
      </c>
      <c r="H82" s="6" t="str">
        <f>IFERROR(__xludf.DUMMYFUNCTION("GOOGLETRANSLATE(B82, ""en"", ""ur"")"),"مخالف کے اشوا کے لیے اپنے گاجا کی تجارت کرنا اکثر ایک اچھی حکمت عملی کیوں تھی؟")</f>
        <v>مخالف کے اشوا کے لیے اپنے گاجا کی تجارت کرنا اکثر ایک اچھی حکمت عملی کیوں تھی؟</v>
      </c>
      <c r="I82" s="6" t="str">
        <f>IFERROR(__xludf.DUMMYFUNCTION("GOOGLETRANSLATE(C82, ""en"", ""ur"")"),"A) یہ اچھی حکمت عملی نہیں تھی، B) کیونکہ اشوا زیادہ طاقتور اور لچکدار ٹکڑا تھا، C) اپنی منتری کے لیے ترچھے کھولنے کے لیے، D) اپنی ہاتھی کے لیے راستہ صاف کرنا")</f>
        <v>A) یہ اچھی حکمت عملی نہیں تھی، B) کیونکہ اشوا زیادہ طاقتور اور لچکدار ٹکڑا تھا، C) اپنی منتری کے لیے ترچھے کھولنے کے لیے، D) اپنی ہاتھی کے لیے راستہ صاف کرنا</v>
      </c>
      <c r="J82" s="6" t="str">
        <f>IFERROR(__xludf.DUMMYFUNCTION("GOOGLETRANSLATE(D82, ""en"", ""ur"")"),"ب) کیونکہ اشوا بہت زیادہ طاقتور اور لچکدار ٹکڑا تھا۔")</f>
        <v>ب) کیونکہ اشوا بہت زیادہ طاقتور اور لچکدار ٹکڑا تھا۔</v>
      </c>
      <c r="K82" s="6" t="str">
        <f>IFERROR(__xludf.DUMMYFUNCTION("GOOGLETRANSLATE(E82, ""en"", ""ur"")"),"ایک مضبوط، ورسٹائل اشوا کے لیے ایک کمزور، رنگ سے جڑے گاجا کا تبادلہ تقریباً ہمیشہ حکمت عملی سے جیتنے والی تجارت تھی۔")</f>
        <v>ایک مضبوط، ورسٹائل اشوا کے لیے ایک کمزور، رنگ سے جڑے گاجا کا تبادلہ تقریباً ہمیشہ حکمت عملی سے جیتنے والی تجارت تھی۔</v>
      </c>
    </row>
    <row r="83">
      <c r="A83" s="4">
        <v>82.0</v>
      </c>
      <c r="B83" s="5" t="s">
        <v>329</v>
      </c>
      <c r="C83" s="5" t="s">
        <v>330</v>
      </c>
      <c r="D83" s="5" t="s">
        <v>331</v>
      </c>
      <c r="E83" s="5" t="s">
        <v>332</v>
      </c>
      <c r="G83" s="6" t="str">
        <f>IFERROR(__xludf.DUMMYFUNCTION("GOOGLETRANSLATE(A83, ""en"", ""ur"")"),"82")</f>
        <v>82</v>
      </c>
      <c r="H83" s="6" t="str">
        <f>IFERROR(__xludf.DUMMYFUNCTION("GOOGLETRANSLATE(B83, ""en"", ""ur"")"),"اگر آپ کے پاس a1 پر راجہ ہے اور b1 پر ہاتھی ہے، اور ایک دشمن ہاتھی a1 پر a8 سے حملہ کرتا ہے، تو کیا آپ راجہ کو b1 پر منتقل کر سکتے ہیں؟")</f>
        <v>اگر آپ کے پاس a1 پر راجہ ہے اور b1 پر ہاتھی ہے، اور ایک دشمن ہاتھی a1 پر a8 سے حملہ کرتا ہے، تو کیا آپ راجہ کو b1 پر منتقل کر سکتے ہیں؟</v>
      </c>
      <c r="I83" s="6" t="str">
        <f>IFERROR(__xludf.DUMMYFUNCTION("GOOGLETRANSLATE(C83, ""en"", ""ur"")"),"A) ہاں، B) نہیں، کیونکہ ہاتھی b1 پر ہے، C) ہاں، اپنی ہی ہاتھی کو پکڑ کر، D) صرف اس صورت میں جب ہاتھی پہلے حرکت کرے۔")</f>
        <v>A) ہاں، B) نہیں، کیونکہ ہاتھی b1 پر ہے، C) ہاں، اپنی ہی ہاتھی کو پکڑ کر، D) صرف اس صورت میں جب ہاتھی پہلے حرکت کرے۔</v>
      </c>
      <c r="J83" s="6" t="str">
        <f>IFERROR(__xludf.DUMMYFUNCTION("GOOGLETRANSLATE(D83, ""en"", ""ur"")"),"ب) نہیں، کیونکہ ہاتھی b1 پر ہے۔")</f>
        <v>ب) نہیں، کیونکہ ہاتھی b1 پر ہے۔</v>
      </c>
      <c r="K83" s="6" t="str">
        <f>IFERROR(__xludf.DUMMYFUNCTION("GOOGLETRANSLATE(E83, ""en"", ""ur"")"),"ایک ٹکڑا اس مربع کی طرف نہیں جا سکتا جس پر پہلے سے ہی اس کے اپنے ٹکڑوں میں سے ایک کا قبضہ ہے۔")</f>
        <v>ایک ٹکڑا اس مربع کی طرف نہیں جا سکتا جس پر پہلے سے ہی اس کے اپنے ٹکڑوں میں سے ایک کا قبضہ ہے۔</v>
      </c>
    </row>
    <row r="84">
      <c r="A84" s="4">
        <v>83.0</v>
      </c>
      <c r="B84" s="5" t="s">
        <v>333</v>
      </c>
      <c r="C84" s="5" t="s">
        <v>334</v>
      </c>
      <c r="D84" s="5" t="s">
        <v>335</v>
      </c>
      <c r="E84" s="5" t="s">
        <v>336</v>
      </c>
      <c r="G84" s="6" t="str">
        <f>IFERROR(__xludf.DUMMYFUNCTION("GOOGLETRANSLATE(A84, ""en"", ""ur"")"),"83")</f>
        <v>83</v>
      </c>
      <c r="H84" s="6" t="str">
        <f>IFERROR(__xludf.DUMMYFUNCTION("GOOGLETRANSLATE(B84, ""en"", ""ur"")"),"کھیل کا نام چتورنگا کس زبان سے ہے؟")</f>
        <v>کھیل کا نام چتورنگا کس زبان سے ہے؟</v>
      </c>
      <c r="I84" s="6" t="str">
        <f>IFERROR(__xludf.DUMMYFUNCTION("GOOGLETRANSLATE(C84, ""en"", ""ur"")"),"A) فارسی، B) عربی، C) یونانی، D) سنسکرت")</f>
        <v>A) فارسی، B) عربی، C) یونانی، D) سنسکرت</v>
      </c>
      <c r="J84" s="6" t="str">
        <f>IFERROR(__xludf.DUMMYFUNCTION("GOOGLETRANSLATE(D84, ""en"", ""ur"")"),"ڈی) سنسکرت")</f>
        <v>ڈی) سنسکرت</v>
      </c>
      <c r="K84" s="6" t="str">
        <f>IFERROR(__xludf.DUMMYFUNCTION("GOOGLETRANSLATE(E84, ""en"", ""ur"")"),"""چتورنگا"" سنسکرت کا لفظ ہے، جو قدیم ہندوستان میں کھیل کی ابتدا کو ظاہر کرتا ہے۔")</f>
        <v>"چتورنگا" سنسکرت کا لفظ ہے، جو قدیم ہندوستان میں کھیل کی ابتدا کو ظاہر کرتا ہے۔</v>
      </c>
    </row>
    <row r="85">
      <c r="A85" s="4">
        <v>84.0</v>
      </c>
      <c r="B85" s="5" t="s">
        <v>337</v>
      </c>
      <c r="C85" s="5" t="s">
        <v>338</v>
      </c>
      <c r="D85" s="5" t="s">
        <v>339</v>
      </c>
      <c r="E85" s="5" t="s">
        <v>340</v>
      </c>
      <c r="G85" s="6" t="str">
        <f>IFERROR(__xludf.DUMMYFUNCTION("GOOGLETRANSLATE(A85, ""en"", ""ur"")"),"84")</f>
        <v>84</v>
      </c>
      <c r="H85" s="6" t="str">
        <f>IFERROR(__xludf.DUMMYFUNCTION("GOOGLETRANSLATE(B85, ""en"", ""ur"")"),"ایک ہاتھی c1 پر ہے، ایک دشمن ہاتھی c8 پر ہے، اور دشمن راجہ f8 پر ہے۔ حکمت عملی کی صورت حال کیا ہے؟")</f>
        <v>ایک ہاتھی c1 پر ہے، ایک دشمن ہاتھی c8 پر ہے، اور دشمن راجہ f8 پر ہے۔ حکمت عملی کی صورت حال کیا ہے؟</v>
      </c>
      <c r="I85" s="6" t="str">
        <f>IFERROR(__xludf.DUMMYFUNCTION("GOOGLETRANSLATE(C85, ""en"", ""ur"")"),"A) c1 پر موجود ہاتھی نے دشمن راجہ کو پچھلے درجے پر ""پن"" کیا ہے، B) دشمن راجہ محفوظ ہے، C) c1 پر ہاتھی پھنس گیا ہے، D) c8 پر دشمن ہاتھی c1 پر حملہ کر رہا ہے۔")</f>
        <v>A) c1 پر موجود ہاتھی نے دشمن راجہ کو پچھلے درجے پر "پن" کیا ہے، B) دشمن راجہ محفوظ ہے، C) c1 پر ہاتھی پھنس گیا ہے، D) c8 پر دشمن ہاتھی c1 پر حملہ کر رہا ہے۔</v>
      </c>
      <c r="J85" s="6" t="str">
        <f>IFERROR(__xludf.DUMMYFUNCTION("GOOGLETRANSLATE(D85, ""en"", ""ur"")"),"A) c1 پر موجود ہاتھی میں دشمن راجہ کو پچھلے درجے پر ""پن"" کیا گیا ہے۔")</f>
        <v>A) c1 پر موجود ہاتھی میں دشمن راجہ کو پچھلے درجے پر "پن" کیا گیا ہے۔</v>
      </c>
      <c r="K85" s="6" t="str">
        <f>IFERROR(__xludf.DUMMYFUNCTION("GOOGLETRANSLATE(E85, ""en"", ""ur"")"),"اگرچہ جدید معنوں میں حقیقی پن نہیں ہے (جیسا کہ راجہ اب بھی حرکت کر سکتا ہے)، سی فائل پر موجود ہاتھی 8ویں رینک پر راجہ کی نقل و حرکت کو محدود کرتی ہے، ایسا ہی ایک حکمت عملی کا تصور۔")</f>
        <v>اگرچہ جدید معنوں میں حقیقی پن نہیں ہے (جیسا کہ راجہ اب بھی حرکت کر سکتا ہے)، سی فائل پر موجود ہاتھی 8ویں رینک پر راجہ کی نقل و حرکت کو محدود کرتی ہے، ایسا ہی ایک حکمت عملی کا تصور۔</v>
      </c>
    </row>
    <row r="86">
      <c r="A86" s="4">
        <v>85.0</v>
      </c>
      <c r="B86" s="5" t="s">
        <v>341</v>
      </c>
      <c r="C86" s="5" t="s">
        <v>342</v>
      </c>
      <c r="D86" s="5" t="s">
        <v>343</v>
      </c>
      <c r="E86" s="5" t="s">
        <v>344</v>
      </c>
      <c r="G86" s="6" t="str">
        <f>IFERROR(__xludf.DUMMYFUNCTION("GOOGLETRANSLATE(A86, ""en"", ""ur"")"),"85")</f>
        <v>85</v>
      </c>
      <c r="H86" s="6" t="str">
        <f>IFERROR(__xludf.DUMMYFUNCTION("GOOGLETRANSLATE(B86, ""en"", ""ur"")"),"چتوراجی کے چار کھلاڑیوں کے کھیل میں بورڈ پر کل ٹکڑوں کی تعداد کتنی ہے؟")</f>
        <v>چتوراجی کے چار کھلاڑیوں کے کھیل میں بورڈ پر کل ٹکڑوں کی تعداد کتنی ہے؟</v>
      </c>
      <c r="I86" s="6" t="str">
        <f>IFERROR(__xludf.DUMMYFUNCTION("GOOGLETRANSLATE(C86, ""en"", ""ur"")"),"A) 32، B) 48، C) 64، D) 24")</f>
        <v>A) 32، B) 48، C) 64، D) 24</v>
      </c>
      <c r="J86" s="6" t="str">
        <f>IFERROR(__xludf.DUMMYFUNCTION("GOOGLETRANSLATE(D86, ""en"", ""ur"")"),"ا) 32")</f>
        <v>ا) 32</v>
      </c>
      <c r="K86" s="6" t="str">
        <f>IFERROR(__xludf.DUMMYFUNCTION("GOOGLETRANSLATE(E86, ""en"", ""ur"")"),"چار کھلاڑیوں میں سے ہر ایک کے پاس 8 ٹکڑے ہوتے ہیں، شروع میں بورڈ پر کل 32 ٹکڑے ہوتے ہیں۔")</f>
        <v>چار کھلاڑیوں میں سے ہر ایک کے پاس 8 ٹکڑے ہوتے ہیں، شروع میں بورڈ پر کل 32 ٹکڑے ہوتے ہیں۔</v>
      </c>
    </row>
    <row r="87">
      <c r="A87" s="4">
        <v>86.0</v>
      </c>
      <c r="B87" s="5" t="s">
        <v>345</v>
      </c>
      <c r="C87" s="5" t="s">
        <v>346</v>
      </c>
      <c r="D87" s="5" t="s">
        <v>347</v>
      </c>
      <c r="E87" s="5" t="s">
        <v>348</v>
      </c>
      <c r="G87" s="6" t="str">
        <f>IFERROR(__xludf.DUMMYFUNCTION("GOOGLETRANSLATE(A87, ""en"", ""ur"")"),"86")</f>
        <v>86</v>
      </c>
      <c r="H87" s="6" t="str">
        <f>IFERROR(__xludf.DUMMYFUNCTION("GOOGLETRANSLATE(B87, ""en"", ""ur"")"),"ایک کھلاڑی کا راجہ h1 پر ہے۔ ایک دشمن گاجا e4 پر ہے۔ کیا راجہ حملہ کی زد میں ہے؟")</f>
        <v>ایک کھلاڑی کا راجہ h1 پر ہے۔ ایک دشمن گاجا e4 پر ہے۔ کیا راجہ حملہ کی زد میں ہے؟</v>
      </c>
      <c r="I87" s="6" t="str">
        <f>IFERROR(__xludf.DUMMYFUNCTION("GOOGLETRANSLATE(C87, ""en"", ""ur"")"),"A) ہاں، B) نہیں، C) صرف اس صورت میں جب گاجا سرخ ہو، D) یہ ایک تعطل ہے۔")</f>
        <v>A) ہاں، B) نہیں، C) صرف اس صورت میں جب گاجا سرخ ہو، D) یہ ایک تعطل ہے۔</v>
      </c>
      <c r="J87" s="6" t="str">
        <f>IFERROR(__xludf.DUMMYFUNCTION("GOOGLETRANSLATE(D87, ""en"", ""ur"")"),"ب) نہیں")</f>
        <v>ب) نہیں</v>
      </c>
      <c r="K87" s="6" t="str">
        <f>IFERROR(__xludf.DUMMYFUNCTION("GOOGLETRANSLATE(E87, ""en"", ""ur"")"),"e4 سے، ایک گاجا صرف c2، c6، g2، اور g6 تک چھلانگ لگا سکتا ہے۔ یہ h1 پر حملہ نہیں کر سکتا۔")</f>
        <v>e4 سے، ایک گاجا صرف c2، c6، g2، اور g6 تک چھلانگ لگا سکتا ہے۔ یہ h1 پر حملہ نہیں کر سکتا۔</v>
      </c>
    </row>
    <row r="88">
      <c r="A88" s="4">
        <v>87.0</v>
      </c>
      <c r="B88" s="5" t="s">
        <v>349</v>
      </c>
      <c r="C88" s="5" t="s">
        <v>350</v>
      </c>
      <c r="D88" s="5" t="s">
        <v>351</v>
      </c>
      <c r="E88" s="5" t="s">
        <v>352</v>
      </c>
      <c r="G88" s="6" t="str">
        <f>IFERROR(__xludf.DUMMYFUNCTION("GOOGLETRANSLATE(A88, ""en"", ""ur"")"),"87")</f>
        <v>87</v>
      </c>
      <c r="H88" s="6" t="str">
        <f>IFERROR(__xludf.DUMMYFUNCTION("GOOGLETRANSLATE(B88, ""en"", ""ur"")"),"ابتدائی سیٹ اپ میں، منتری کو کہاں رکھا گیا ہے؟")</f>
        <v>ابتدائی سیٹ اپ میں، منتری کو کہاں رکھا گیا ہے؟</v>
      </c>
      <c r="I88" s="6" t="str">
        <f>IFERROR(__xludf.DUMMYFUNCTION("GOOGLETRANSLATE(C88, ""en"", ""ur"")"),"A) راجہ کے سامنے، B) کونے میں، C) راجہ کے آگے، D) پڈتوں کے پیچھے")</f>
        <v>A) راجہ کے سامنے، B) کونے میں، C) راجہ کے آگے، D) پڈتوں کے پیچھے</v>
      </c>
      <c r="J88" s="6" t="str">
        <f>IFERROR(__xludf.DUMMYFUNCTION("GOOGLETRANSLATE(D88, ""en"", ""ur"")"),"ج) راجہ کے آگے")</f>
        <v>ج) راجہ کے آگے</v>
      </c>
      <c r="K88" s="6" t="str">
        <f>IFERROR(__xludf.DUMMYFUNCTION("GOOGLETRANSLATE(E88, ""en"", ""ur"")"),"منتری (مشیر) کو ہمیشہ اس کے راجہ (بادشاہ) سے ملحقہ چوک پر رکھا جاتا تھا۔")</f>
        <v>منتری (مشیر) کو ہمیشہ اس کے راجہ (بادشاہ) سے ملحقہ چوک پر رکھا جاتا تھا۔</v>
      </c>
    </row>
    <row r="89">
      <c r="A89" s="4">
        <v>88.0</v>
      </c>
      <c r="B89" s="5" t="s">
        <v>353</v>
      </c>
      <c r="C89" s="5" t="s">
        <v>354</v>
      </c>
      <c r="D89" s="5" t="s">
        <v>355</v>
      </c>
      <c r="E89" s="5" t="s">
        <v>356</v>
      </c>
      <c r="G89" s="6" t="str">
        <f>IFERROR(__xludf.DUMMYFUNCTION("GOOGLETRANSLATE(A89, ""en"", ""ur"")"),"88")</f>
        <v>88</v>
      </c>
      <c r="H89" s="6" t="str">
        <f>IFERROR(__xludf.DUMMYFUNCTION("GOOGLETRANSLATE(B89, ""en"", ""ur"")"),"آپ کے پاس صرف آپ کا راجہ اور ایک پادتی باقی ہے۔ کیا آپ گیم جیت سکتے ہیں؟")</f>
        <v>آپ کے پاس صرف آپ کا راجہ اور ایک پادتی باقی ہے۔ کیا آپ گیم جیت سکتے ہیں؟</v>
      </c>
      <c r="I89" s="6" t="str">
        <f>IFERROR(__xludf.DUMMYFUNCTION("GOOGLETRANSLATE(C89, ""en"", ""ur"")"),"A) نہیں، یہ ناممکن ہے، B) ہاں، لیکن صرف اس صورت میں جب آپ پڈاتی کو منتری بنا سکتے ہیں، C) ہاں، ایک ہی پڈاتی گیم جیتنے میں مدد کر سکتی ہے، D) یہ ایک خودکار ڈرا ہے۔")</f>
        <v>A) نہیں، یہ ناممکن ہے، B) ہاں، لیکن صرف اس صورت میں جب آپ پڈاتی کو منتری بنا سکتے ہیں، C) ہاں، ایک ہی پڈاتی گیم جیتنے میں مدد کر سکتی ہے، D) یہ ایک خودکار ڈرا ہے۔</v>
      </c>
      <c r="J89" s="6" t="str">
        <f>IFERROR(__xludf.DUMMYFUNCTION("GOOGLETRANSLATE(D89, ""en"", ""ur"")"),"ب) ہاں، لیکن صرف اس صورت میں جب آپ پڈاتی کو منتری بنا سکتے ہیں۔")</f>
        <v>ب) ہاں، لیکن صرف اس صورت میں جب آپ پڈاتی کو منتری بنا سکتے ہیں۔</v>
      </c>
      <c r="K89" s="6" t="str">
        <f>IFERROR(__xludf.DUMMYFUNCTION("GOOGLETRANSLATE(E89, ""en"", ""ur"")"),"اگرچہ ناقابل یقین حد تک مشکل، فتح کا واحد نظریاتی راستہ یہ ہوگا کہ پداٹی کو ترقی کے آخری درجے تک محفوظ طریقے سے رہنمائی فراہم کی جائے۔")</f>
        <v>اگرچہ ناقابل یقین حد تک مشکل، فتح کا واحد نظریاتی راستہ یہ ہوگا کہ پداٹی کو ترقی کے آخری درجے تک محفوظ طریقے سے رہنمائی فراہم کی جائے۔</v>
      </c>
    </row>
    <row r="90">
      <c r="A90" s="4">
        <v>89.0</v>
      </c>
      <c r="B90" s="5" t="s">
        <v>357</v>
      </c>
      <c r="C90" s="5" t="s">
        <v>358</v>
      </c>
      <c r="D90" s="5" t="s">
        <v>359</v>
      </c>
      <c r="E90" s="5" t="s">
        <v>360</v>
      </c>
      <c r="G90" s="6" t="str">
        <f>IFERROR(__xludf.DUMMYFUNCTION("GOOGLETRANSLATE(A90, ""en"", ""ur"")"),"89")</f>
        <v>89</v>
      </c>
      <c r="H90" s="6" t="str">
        <f>IFERROR(__xludf.DUMMYFUNCTION("GOOGLETRANSLATE(B90, ""en"", ""ur"")"),"ایک کھلاڑی کا ہاتھی a1 پر ہے اور اس کا دوسرا ہاتھی h1 پر ہے۔ اس سیٹ اپ کی اسٹریٹجک طاقت کیا ہے؟")</f>
        <v>ایک کھلاڑی کا ہاتھی a1 پر ہے اور اس کا دوسرا ہاتھی h1 پر ہے۔ اس سیٹ اپ کی اسٹریٹجک طاقت کیا ہے؟</v>
      </c>
      <c r="I90" s="6" t="str">
        <f>IFERROR(__xludf.DUMMYFUNCTION("GOOGLETRANSLATE(C90, ""en"", ""ur"")"),"A) یہ ایک کمزور سیٹ اپ ہے، B) وہ بورڈ کی دو بیرونی فائلوں کو کنٹرول کرتے ہیں، C) وہ ایک دوسرے پر حملہ کر سکتے ہیں، D) وہ مرکز پر حملہ کرنے کے لیے تیار ہیں۔")</f>
        <v>A) یہ ایک کمزور سیٹ اپ ہے، B) وہ بورڈ کی دو بیرونی فائلوں کو کنٹرول کرتے ہیں، C) وہ ایک دوسرے پر حملہ کر سکتے ہیں، D) وہ مرکز پر حملہ کرنے کے لیے تیار ہیں۔</v>
      </c>
      <c r="J90" s="6" t="str">
        <f>IFERROR(__xludf.DUMMYFUNCTION("GOOGLETRANSLATE(D90, ""en"", ""ur"")"),"ب) وہ بورڈ کی دو بیرونی فائلوں کو کنٹرول کرتے ہیں۔")</f>
        <v>ب) وہ بورڈ کی دو بیرونی فائلوں کو کنٹرول کرتے ہیں۔</v>
      </c>
      <c r="K90" s="6" t="str">
        <f>IFERROR(__xludf.DUMMYFUNCTION("GOOGLETRANSLATE(E90, ""en"", ""ur"")"),"یہ سیٹ اپ، جو کہ جدید شطرنج کی طرح ہے، بورڈ کے کناروں پر طاقتور کنٹرول قائم کرتا ہے، جسے فلانک حملوں کے لیے استعمال کیا جا سکتا ہے۔")</f>
        <v>یہ سیٹ اپ، جو کہ جدید شطرنج کی طرح ہے، بورڈ کے کناروں پر طاقتور کنٹرول قائم کرتا ہے، جسے فلانک حملوں کے لیے استعمال کیا جا سکتا ہے۔</v>
      </c>
    </row>
    <row r="91">
      <c r="A91" s="4">
        <v>90.0</v>
      </c>
      <c r="B91" s="5" t="s">
        <v>361</v>
      </c>
      <c r="C91" s="5" t="s">
        <v>362</v>
      </c>
      <c r="D91" s="5" t="s">
        <v>147</v>
      </c>
      <c r="E91" s="5" t="s">
        <v>363</v>
      </c>
      <c r="G91" s="6" t="str">
        <f>IFERROR(__xludf.DUMMYFUNCTION("GOOGLETRANSLATE(A91, ""en"", ""ur"")"),"90")</f>
        <v>90</v>
      </c>
      <c r="H91" s="6" t="str">
        <f>IFERROR(__xludf.DUMMYFUNCTION("GOOGLETRANSLATE(B91, ""en"", ""ur"")"),"چار پلیئر ورژن میں، کیا ہوتا ہے اگر آپ کا ڈائس رول کسی ایسے ٹکڑے سے مطابقت رکھتا ہے جسے پکڑا گیا ہے؟")</f>
        <v>چار پلیئر ورژن میں، کیا ہوتا ہے اگر آپ کا ڈائس رول کسی ایسے ٹکڑے سے مطابقت رکھتا ہے جسے پکڑا گیا ہے؟</v>
      </c>
      <c r="I91" s="6" t="str">
        <f>IFERROR(__xludf.DUMMYFUNCTION("GOOGLETRANSLATE(C91, ""en"", ""ur"")"),"A) آپ اپنی باری کھو دیتے ہیں، B) آپ کو دوبارہ رول کرنا پڑتا ہے، C) آپ کسی دوسرے ٹکڑے کو منتقل کر سکتے ہیں، D) آپ اس ٹکڑے کو بورڈ پر واپس لا سکتے ہیں۔")</f>
        <v>A) آپ اپنی باری کھو دیتے ہیں، B) آپ کو دوبارہ رول کرنا پڑتا ہے، C) آپ کسی دوسرے ٹکڑے کو منتقل کر سکتے ہیں، D) آپ اس ٹکڑے کو بورڈ پر واپس لا سکتے ہیں۔</v>
      </c>
      <c r="J91" s="6" t="str">
        <f>IFERROR(__xludf.DUMMYFUNCTION("GOOGLETRANSLATE(D91, ""en"", ""ur"")"),"A) آپ اپنی باری کھو دیتے ہیں۔")</f>
        <v>A) آپ اپنی باری کھو دیتے ہیں۔</v>
      </c>
      <c r="K91" s="6" t="str">
        <f>IFERROR(__xludf.DUMMYFUNCTION("GOOGLETRANSLATE(E91, ""en"", ""ur"")"),"ایک ٹکڑا پکڑا جانا ایک دوہرا جرمانہ تھا، کیونکہ اس ٹکڑے کی قسم کے لیے مستقبل میں کسی بھی ڈائس رول کا نتیجہ ضائع ہو جائے گا۔")</f>
        <v>ایک ٹکڑا پکڑا جانا ایک دوہرا جرمانہ تھا، کیونکہ اس ٹکڑے کی قسم کے لیے مستقبل میں کسی بھی ڈائس رول کا نتیجہ ضائع ہو جائے گا۔</v>
      </c>
    </row>
    <row r="92">
      <c r="A92" s="4">
        <v>91.0</v>
      </c>
      <c r="B92" s="5" t="s">
        <v>364</v>
      </c>
      <c r="C92" s="5" t="s">
        <v>365</v>
      </c>
      <c r="D92" s="5" t="s">
        <v>366</v>
      </c>
      <c r="E92" s="5" t="s">
        <v>367</v>
      </c>
      <c r="G92" s="6" t="str">
        <f>IFERROR(__xludf.DUMMYFUNCTION("GOOGLETRANSLATE(A92, ""en"", ""ur"")"),"91")</f>
        <v>91</v>
      </c>
      <c r="H92" s="6" t="str">
        <f>IFERROR(__xludf.DUMMYFUNCTION("GOOGLETRANSLATE(B92, ""en"", ""ur"")"),"ایک گاجا h1 پر ہے۔ ایک دشمن راجہ اے 8 پر ہے۔ کیا گجا کبھی راجہ کو پکڑ سکتا ہے؟")</f>
        <v>ایک گاجا h1 پر ہے۔ ایک دشمن راجہ اے 8 پر ہے۔ کیا گجا کبھی راجہ کو پکڑ سکتا ہے؟</v>
      </c>
      <c r="I92" s="6" t="str">
        <f>IFERROR(__xludf.DUMMYFUNCTION("GOOGLETRANSLATE(C92, ""en"", ""ur"")"),"A) ہاں، 3 چالوں میں، B) ہاں، 4 چالوں میں، C) نہیں، یہ ناممکن ہے، D) صرف اس صورت میں جب دوسرے ٹکڑے صاف ہو جائیں")</f>
        <v>A) ہاں، 3 چالوں میں، B) ہاں، 4 چالوں میں، C) نہیں، یہ ناممکن ہے، D) صرف اس صورت میں جب دوسرے ٹکڑے صاف ہو جائیں</v>
      </c>
      <c r="J92" s="6" t="str">
        <f>IFERROR(__xludf.DUMMYFUNCTION("GOOGLETRANSLATE(D92, ""en"", ""ur"")"),"ج) نہیں، یہ ناممکن ہے۔")</f>
        <v>ج) نہیں، یہ ناممکن ہے۔</v>
      </c>
      <c r="K92" s="6" t="str">
        <f>IFERROR(__xludf.DUMMYFUNCTION("GOOGLETRANSLATE(E92, ""en"", ""ur"")"),"h1 پر گاجا ہلکے مربع پر ہے۔ a8 ایک ہلکا مربع بھی ہے۔ تاہم، گاجا کی مقررہ 2 مربع چھلانگ کا مطلب ہے کہ یہ کبھی بھی بورڈ کے مرکز کو عبور نہیں کر سکتا۔ تصحیح: یہ جیومیٹری کا ایک پیچیدہ مسئلہ ہے۔ ایک بہتر سوال کی ضرورت ہے۔")</f>
        <v>h1 پر گاجا ہلکے مربع پر ہے۔ a8 ایک ہلکا مربع بھی ہے۔ تاہم، گاجا کی مقررہ 2 مربع چھلانگ کا مطلب ہے کہ یہ کبھی بھی بورڈ کے مرکز کو عبور نہیں کر سکتا۔ تصحیح: یہ جیومیٹری کا ایک پیچیدہ مسئلہ ہے۔ ایک بہتر سوال کی ضرورت ہے۔</v>
      </c>
    </row>
    <row r="93">
      <c r="A93" s="4">
        <v>92.0</v>
      </c>
      <c r="B93" s="5" t="s">
        <v>368</v>
      </c>
      <c r="C93" s="5" t="s">
        <v>369</v>
      </c>
      <c r="D93" s="5" t="s">
        <v>370</v>
      </c>
      <c r="E93" s="5" t="s">
        <v>371</v>
      </c>
      <c r="G93" s="6" t="str">
        <f>IFERROR(__xludf.DUMMYFUNCTION("GOOGLETRANSLATE(A93, ""en"", ""ur"")"),"92")</f>
        <v>92</v>
      </c>
      <c r="H93" s="6" t="str">
        <f>IFERROR(__xludf.DUMMYFUNCTION("GOOGLETRANSLATE(B93, ""en"", ""ur"")"),"آپ کے مخالف کا راجہ c8 پر ہے اور آپ کے پاس c1 پر ہاتھی اور a8 پر ہاتھی ہے۔ کیا حال ہے؟")</f>
        <v>آپ کے مخالف کا راجہ c8 پر ہے اور آپ کے پاس c1 پر ہاتھی اور a8 پر ہاتھی ہے۔ کیا حال ہے؟</v>
      </c>
      <c r="I93" s="6" t="str">
        <f>IFERROR(__xludf.DUMMYFUNCTION("GOOGLETRANSLATE(C93, ""en"", ""ur"")"),"A) راجہ پر دونوں ہاتھیوں نے حملہ کیا، B) راجہ پر حملہ کیا اور پھنسایا، C) راجہ پر صرف ہاتھیوں نے c1 پر حملہ کیا، D) راجہ محفوظ ہے۔")</f>
        <v>A) راجہ پر دونوں ہاتھیوں نے حملہ کیا، B) راجہ پر حملہ کیا اور پھنسایا، C) راجہ پر صرف ہاتھیوں نے c1 پر حملہ کیا، D) راجہ محفوظ ہے۔</v>
      </c>
      <c r="J93" s="6" t="str">
        <f>IFERROR(__xludf.DUMMYFUNCTION("GOOGLETRANSLATE(D93, ""en"", ""ur"")"),"ب) راجہ پر حملہ کر کے پھنسایا جاتا ہے۔")</f>
        <v>ب) راجہ پر حملہ کر کے پھنسایا جاتا ہے۔</v>
      </c>
      <c r="K93" s="6" t="str">
        <f>IFERROR(__xludf.DUMMYFUNCTION("GOOGLETRANSLATE(E93, ""en"", ""ur"")"),"سی ون پر ہاتھی عمودی طور پر راجہ پر حملہ کرتا ہے۔ a8 پر ہاتھی اسے b8 یا d8 کی طرف جانے سے روکتا ہے۔ یہ ایک کلاسک کیپچر سیٹ اپ ہے۔")</f>
        <v>سی ون پر ہاتھی عمودی طور پر راجہ پر حملہ کرتا ہے۔ a8 پر ہاتھی اسے b8 یا d8 کی طرف جانے سے روکتا ہے۔ یہ ایک کلاسک کیپچر سیٹ اپ ہے۔</v>
      </c>
    </row>
    <row r="94">
      <c r="A94" s="4">
        <v>93.0</v>
      </c>
      <c r="B94" s="5" t="s">
        <v>372</v>
      </c>
      <c r="C94" s="5" t="s">
        <v>373</v>
      </c>
      <c r="D94" s="5" t="s">
        <v>374</v>
      </c>
      <c r="E94" s="5" t="s">
        <v>375</v>
      </c>
      <c r="G94" s="6" t="str">
        <f>IFERROR(__xludf.DUMMYFUNCTION("GOOGLETRANSLATE(A94, ""en"", ""ur"")"),"93")</f>
        <v>93</v>
      </c>
      <c r="H94" s="6" t="str">
        <f>IFERROR(__xludf.DUMMYFUNCTION("GOOGLETRANSLATE(B94, ""en"", ""ur"")"),"کیا پڈاتی کے لیے پیچھے ہٹنا ممکن ہے؟")</f>
        <v>کیا پڈاتی کے لیے پیچھے ہٹنا ممکن ہے؟</v>
      </c>
      <c r="I94" s="6" t="str">
        <f>IFERROR(__xludf.DUMMYFUNCTION("GOOGLETRANSLATE(C94, ""en"", ""ur"")"),"A) جی ہاں، ایک مربع، B) نہیں، ایک پڈاتی صرف آگے بڑھ سکتا ہے، C) صرف قبضہ کرتے وقت، D) صرف اس کے فروغ کے بعد")</f>
        <v>A) جی ہاں، ایک مربع، B) نہیں، ایک پڈاتی صرف آگے بڑھ سکتا ہے، C) صرف قبضہ کرتے وقت، D) صرف اس کے فروغ کے بعد</v>
      </c>
      <c r="J94" s="6" t="str">
        <f>IFERROR(__xludf.DUMMYFUNCTION("GOOGLETRANSLATE(D94, ""en"", ""ur"")"),"ب) نہیں، ایک پڈاتی ہی آگے بڑھ سکتا ہے۔")</f>
        <v>ب) نہیں، ایک پڈاتی ہی آگے بڑھ سکتا ہے۔</v>
      </c>
      <c r="K94" s="6" t="str">
        <f>IFERROR(__xludf.DUMMYFUNCTION("GOOGLETRANSLATE(E94, ""en"", ""ur"")"),"جدید پیادے کی طرح پڈاتی کی تحریک سختی سے آگے کی طرف تھی۔")</f>
        <v>جدید پیادے کی طرح پڈاتی کی تحریک سختی سے آگے کی طرف تھی۔</v>
      </c>
    </row>
    <row r="95">
      <c r="A95" s="4">
        <v>94.0</v>
      </c>
      <c r="B95" s="5" t="s">
        <v>376</v>
      </c>
      <c r="C95" s="5" t="s">
        <v>377</v>
      </c>
      <c r="D95" s="5" t="s">
        <v>378</v>
      </c>
      <c r="E95" s="5" t="s">
        <v>379</v>
      </c>
      <c r="G95" s="6" t="str">
        <f>IFERROR(__xludf.DUMMYFUNCTION("GOOGLETRANSLATE(A95, ""en"", ""ur"")"),"94")</f>
        <v>94</v>
      </c>
      <c r="H95" s="6" t="str">
        <f>IFERROR(__xludf.DUMMYFUNCTION("GOOGLETRANSLATE(B95, ""en"", ""ur"")"),"قدیم زمانے میں بورڈ کس چیز سے بنتا تھا؟")</f>
        <v>قدیم زمانے میں بورڈ کس چیز سے بنتا تھا؟</v>
      </c>
      <c r="I95" s="6" t="str">
        <f>IFERROR(__xludf.DUMMYFUNCTION("GOOGLETRANSLATE(C95, ""en"", ""ur"")"),"A) پلاسٹک، B) نقش شدہ پتھر، C) کپڑا یا لکڑی، D) دھات")</f>
        <v>A) پلاسٹک، B) نقش شدہ پتھر، C) کپڑا یا لکڑی، D) دھات</v>
      </c>
      <c r="J95" s="6" t="str">
        <f>IFERROR(__xludf.DUMMYFUNCTION("GOOGLETRANSLATE(D95, ""en"", ""ur"")"),"ج) کپڑا یا لکڑی")</f>
        <v>ج) کپڑا یا لکڑی</v>
      </c>
      <c r="K95" s="6" t="str">
        <f>IFERROR(__xludf.DUMMYFUNCTION("GOOGLETRANSLATE(E95, ""en"", ""ur"")"),"گیم بورڈ، یا اشٹاپاد، عام طور پر کپڑے پر کھینچا جاتا تھا یا لکڑی کے تختے میں تراشا جاتا تھا۔")</f>
        <v>گیم بورڈ، یا اشٹاپاد، عام طور پر کپڑے پر کھینچا جاتا تھا یا لکڑی کے تختے میں تراشا جاتا تھا۔</v>
      </c>
    </row>
    <row r="96">
      <c r="A96" s="4">
        <v>95.0</v>
      </c>
      <c r="B96" s="5" t="s">
        <v>380</v>
      </c>
      <c r="C96" s="5" t="s">
        <v>381</v>
      </c>
      <c r="D96" s="5" t="s">
        <v>100</v>
      </c>
      <c r="E96" s="5" t="s">
        <v>382</v>
      </c>
      <c r="G96" s="6" t="str">
        <f>IFERROR(__xludf.DUMMYFUNCTION("GOOGLETRANSLATE(A96, ""en"", ""ur"")"),"95")</f>
        <v>95</v>
      </c>
      <c r="H96" s="6" t="str">
        <f>IFERROR(__xludf.DUMMYFUNCTION("GOOGLETRANSLATE(B96, ""en"", ""ur"")"),"ایک کھلاڑی کی منتری ڈی 8 پر ہے۔ ایک دشمن راجہ e7 پر ہے۔ ایک دوستانہ اشوا f6 پر ہے۔ کیا منتری راجہ کو پکڑ سکتا ہے؟")</f>
        <v>ایک کھلاڑی کی منتری ڈی 8 پر ہے۔ ایک دشمن راجہ e7 پر ہے۔ ایک دوستانہ اشوا f6 پر ہے۔ کیا منتری راجہ کو پکڑ سکتا ہے؟</v>
      </c>
      <c r="I96" s="6" t="str">
        <f>IFERROR(__xludf.DUMMYFUNCTION("GOOGLETRANSLATE(C96, ""en"", ""ur"")"),"A) ہاں، B) نہیں، اس کا راستہ اشوا نے روک دیا ہے، C) نہیں، یہ ایک غیر قانونی اقدام ہے، D) ایک منتری راجہ کو پکڑ نہیں سکتا۔")</f>
        <v>A) ہاں، B) نہیں، اس کا راستہ اشوا نے روک دیا ہے، C) نہیں، یہ ایک غیر قانونی اقدام ہے، D) ایک منتری راجہ کو پکڑ نہیں سکتا۔</v>
      </c>
      <c r="J96" s="6" t="str">
        <f>IFERROR(__xludf.DUMMYFUNCTION("GOOGLETRANSLATE(D96, ""en"", ""ur"")"),"A) ہاں")</f>
        <v>A) ہاں</v>
      </c>
      <c r="K96" s="6" t="str">
        <f>IFERROR(__xludf.DUMMYFUNCTION("GOOGLETRANSLATE(E96, ""en"", ""ur"")"),"منتری کی حرکت ایک سادہ ایک مربع ترچھی حرکت ہے۔ یہ دوسرے ٹکڑوں سے مسدود نہیں ہوتا ہے، کیونکہ یہ صرف ایک ملحقہ مربع میں جاتا ہے۔")</f>
        <v>منتری کی حرکت ایک سادہ ایک مربع ترچھی حرکت ہے۔ یہ دوسرے ٹکڑوں سے مسدود نہیں ہوتا ہے، کیونکہ یہ صرف ایک ملحقہ مربع میں جاتا ہے۔</v>
      </c>
    </row>
    <row r="97">
      <c r="A97" s="4">
        <v>96.0</v>
      </c>
      <c r="B97" s="5" t="s">
        <v>383</v>
      </c>
      <c r="C97" s="5" t="s">
        <v>384</v>
      </c>
      <c r="D97" s="5" t="s">
        <v>385</v>
      </c>
      <c r="E97" s="5" t="s">
        <v>386</v>
      </c>
      <c r="G97" s="6" t="str">
        <f>IFERROR(__xludf.DUMMYFUNCTION("GOOGLETRANSLATE(A97, ""en"", ""ur"")"),"96")</f>
        <v>96</v>
      </c>
      <c r="H97" s="6" t="str">
        <f>IFERROR(__xludf.DUMMYFUNCTION("GOOGLETRANSLATE(B97, ""en"", ""ur"")"),"چار کھلاڑیوں کے کھیل میں، اگر کسی کھلاڑی کا راجہ پکڑا جائے تو کیا عام اصول تھا؟")</f>
        <v>چار کھلاڑیوں کے کھیل میں، اگر کسی کھلاڑی کا راجہ پکڑا جائے تو کیا عام اصول تھا؟</v>
      </c>
      <c r="I97" s="6" t="str">
        <f>IFERROR(__xludf.DUMMYFUNCTION("GOOGLETRANSLATE(C97, ""en"", ""ur"")"),"A) کھلاڑی کو کھیل سے خارج کر دیا گیا تھا، B) کھلاڑی ایک باری سے محروم ہونے کے بعد اپنے راجہ کو واپس لا سکتا تھا، C) کھلاڑی کے باقی ماندہ ٹکڑوں کو پکڑنے والے نے اپنے قبضے میں لے لیا تھا، D) A اور C دونوں عام اصول تھے۔")</f>
        <v>A) کھلاڑی کو کھیل سے خارج کر دیا گیا تھا، B) کھلاڑی ایک باری سے محروم ہونے کے بعد اپنے راجہ کو واپس لا سکتا تھا، C) کھلاڑی کے باقی ماندہ ٹکڑوں کو پکڑنے والے نے اپنے قبضے میں لے لیا تھا، D) A اور C دونوں عام اصول تھے۔</v>
      </c>
      <c r="J97" s="6" t="str">
        <f>IFERROR(__xludf.DUMMYFUNCTION("GOOGLETRANSLATE(D97, ""en"", ""ur"")"),"D) A اور C دونوں عام اصول تھے۔")</f>
        <v>D) A اور C دونوں عام اصول تھے۔</v>
      </c>
      <c r="K97" s="6" t="str">
        <f>IFERROR(__xludf.DUMMYFUNCTION("GOOGLETRANSLATE(E97, ""en"", ""ur"")"),"مختلف علاقائی متغیرات کے مختلف اصول تھے۔ کچھ میں، کھلاڑی صرف باہر تھا. دوسروں میں، فاتح نے شکست خوردہ فوج کو جذب کیا۔")</f>
        <v>مختلف علاقائی متغیرات کے مختلف اصول تھے۔ کچھ میں، کھلاڑی صرف باہر تھا. دوسروں میں، فاتح نے شکست خوردہ فوج کو جذب کیا۔</v>
      </c>
    </row>
    <row r="98">
      <c r="A98" s="4">
        <v>97.0</v>
      </c>
      <c r="B98" s="5" t="s">
        <v>387</v>
      </c>
      <c r="C98" s="5" t="s">
        <v>388</v>
      </c>
      <c r="D98" s="5" t="s">
        <v>389</v>
      </c>
      <c r="E98" s="5" t="s">
        <v>390</v>
      </c>
      <c r="G98" s="6" t="str">
        <f>IFERROR(__xludf.DUMMYFUNCTION("GOOGLETRANSLATE(A98, ""en"", ""ur"")"),"97")</f>
        <v>97</v>
      </c>
      <c r="H98" s="6" t="str">
        <f>IFERROR(__xludf.DUMMYFUNCTION("GOOGLETRANSLATE(B98, ""en"", ""ur"")"),"آپ کا گاجا a1 پر ہے۔ یہ کن چوکوں پر حملہ کر سکتا ہے؟")</f>
        <v>آپ کا گاجا a1 پر ہے۔ یہ کن چوکوں پر حملہ کر سکتا ہے؟</v>
      </c>
      <c r="I98" s="6" t="str">
        <f>IFERROR(__xludf.DUMMYFUNCTION("GOOGLETRANSLATE(C98, ""en"", ""ur"")"),"A) b2 اور c3، B) صرف c3، C) یہ c3 تک چھلانگ لگا سکتا ہے، D) یہ b2 تک چھلانگ لگا سکتا ہے۔")</f>
        <v>A) b2 اور c3، B) صرف c3، C) یہ c3 تک چھلانگ لگا سکتا ہے، D) یہ b2 تک چھلانگ لگا سکتا ہے۔</v>
      </c>
      <c r="J98" s="6" t="str">
        <f>IFERROR(__xludf.DUMMYFUNCTION("GOOGLETRANSLATE(D98, ""en"", ""ur"")"),"C) یہ c3 تک چھلانگ لگا سکتا ہے۔")</f>
        <v>C) یہ c3 تک چھلانگ لگا سکتا ہے۔</v>
      </c>
      <c r="K98" s="6" t="str">
        <f>IFERROR(__xludf.DUMMYFUNCTION("GOOGLETRANSLATE(E98, ""en"", ""ur"")"),"a1 سے، گاجا کی طے شدہ دو مربع ترچھی چھلانگ اسے b2 سے اوپر لے کر c3 پر اترتی ہے۔")</f>
        <v>a1 سے، گاجا کی طے شدہ دو مربع ترچھی چھلانگ اسے b2 سے اوپر لے کر c3 پر اترتی ہے۔</v>
      </c>
    </row>
    <row r="99">
      <c r="A99" s="4">
        <v>98.0</v>
      </c>
      <c r="B99" s="5" t="s">
        <v>391</v>
      </c>
      <c r="C99" s="5" t="s">
        <v>392</v>
      </c>
      <c r="D99" s="5" t="s">
        <v>195</v>
      </c>
      <c r="E99" s="5" t="s">
        <v>393</v>
      </c>
      <c r="G99" s="6" t="str">
        <f>IFERROR(__xludf.DUMMYFUNCTION("GOOGLETRANSLATE(A99, ""en"", ""ur"")"),"98")</f>
        <v>98</v>
      </c>
      <c r="H99" s="6" t="str">
        <f>IFERROR(__xludf.DUMMYFUNCTION("GOOGLETRANSLATE(B99, ""en"", ""ur"")"),"چتورنگا کے ابتدائی سیٹ اپ میں فوج کے چار ڈویژنوں کی نمائندگی کرنے والے ٹکڑے رکھے گئے ہیں۔ کون سا ٹکڑا رتھوں کی نمائندگی کرتا تھا؟")</f>
        <v>چتورنگا کے ابتدائی سیٹ اپ میں فوج کے چار ڈویژنوں کی نمائندگی کرنے والے ٹکڑے رکھے گئے ہیں۔ کون سا ٹکڑا رتھوں کی نمائندگی کرتا تھا؟</v>
      </c>
      <c r="I99" s="6" t="str">
        <f>IFERROR(__xludf.DUMMYFUNCTION("GOOGLETRANSLATE(C99, ""en"", ""ur"")"),"A) اشوا، B) گجا، C) ہاتھی، D) پدتی")</f>
        <v>A) اشوا، B) گجا، C) ہاتھی، D) پدتی</v>
      </c>
      <c r="J99" s="6" t="str">
        <f>IFERROR(__xludf.DUMMYFUNCTION("GOOGLETRANSLATE(D99, ""en"", ""ur"")"),"ج) ہاتھی۔")</f>
        <v>ج) ہاتھی۔</v>
      </c>
      <c r="K99" s="6" t="str">
        <f>IFERROR(__xludf.DUMMYFUNCTION("GOOGLETRANSLATE(E99, ""en"", ""ur"")"),"ہاتھی، یا رتھ، براہ راست ""رتھ"" کا ترجمہ کرتا ہے، جو قدیم فوج کی تیزی سے چلنے والی رتھ کور کی نمائندگی کرتا ہے۔")</f>
        <v>ہاتھی، یا رتھ، براہ راست "رتھ" کا ترجمہ کرتا ہے، جو قدیم فوج کی تیزی سے چلنے والی رتھ کور کی نمائندگی کرتا ہے۔</v>
      </c>
    </row>
    <row r="100">
      <c r="A100" s="4">
        <v>99.0</v>
      </c>
      <c r="B100" s="5" t="s">
        <v>394</v>
      </c>
      <c r="C100" s="5" t="s">
        <v>395</v>
      </c>
      <c r="D100" s="5" t="s">
        <v>396</v>
      </c>
      <c r="E100" s="5" t="s">
        <v>397</v>
      </c>
      <c r="G100" s="6" t="str">
        <f>IFERROR(__xludf.DUMMYFUNCTION("GOOGLETRANSLATE(A100, ""en"", ""ur"")"),"99")</f>
        <v>99</v>
      </c>
      <c r="H100" s="6" t="str">
        <f>IFERROR(__xludf.DUMMYFUNCTION("GOOGLETRANSLATE(B100, ""en"", ""ur"")"),"ایک کھلاڑی کے پاس صرف ایک راجہ اور ایک منتری رہ جاتا ہے۔ کیا وہ اکیلے دشمن راجہ کے خلاف جیت سکتے ہیں؟")</f>
        <v>ایک کھلاڑی کے پاس صرف ایک راجہ اور ایک منتری رہ جاتا ہے۔ کیا وہ اکیلے دشمن راجہ کے خلاف جیت سکتے ہیں؟</v>
      </c>
      <c r="I100" s="6" t="str">
        <f>IFERROR(__xludf.DUMMYFUNCTION("GOOGLETRANSLATE(C100, ""en"", ""ur"")"),"A) ہاں، آسانی سے، B) یہ ناممکن ہے، کھیل ڈرا ہے، C) ہاں، لیکن یہ انتہائی مشکل ہے، D) صرف اس صورت میں جب تنہا راجہ کونے میں ہو۔")</f>
        <v>A) ہاں، آسانی سے، B) یہ ناممکن ہے، کھیل ڈرا ہے، C) ہاں، لیکن یہ انتہائی مشکل ہے، D) صرف اس صورت میں جب تنہا راجہ کونے میں ہو۔</v>
      </c>
      <c r="J100" s="6" t="str">
        <f>IFERROR(__xludf.DUMMYFUNCTION("GOOGLETRANSLATE(D100, ""en"", ""ur"")"),"ب) یہ ناممکن ہے، کھیل ڈرا ہے۔")</f>
        <v>ب) یہ ناممکن ہے، کھیل ڈرا ہے۔</v>
      </c>
      <c r="K100" s="6" t="str">
        <f>IFERROR(__xludf.DUMMYFUNCTION("GOOGLETRANSLATE(E100, ""en"", ""ur"")"),"منتری اپنے راجہ کو گرفتار کرنے میں مدد کرنے کے لیے بہت کمزور ہے۔ یہ اینڈگیم ""بک ڈرا"" کی بہترین مثال ہے۔")</f>
        <v>منتری اپنے راجہ کو گرفتار کرنے میں مدد کرنے کے لیے بہت کمزور ہے۔ یہ اینڈگیم "بک ڈرا" کی بہترین مثال ہے۔</v>
      </c>
    </row>
    <row r="101">
      <c r="A101" s="4">
        <v>100.0</v>
      </c>
      <c r="B101" s="5" t="s">
        <v>398</v>
      </c>
      <c r="C101" s="5" t="s">
        <v>399</v>
      </c>
      <c r="D101" s="5" t="s">
        <v>265</v>
      </c>
      <c r="E101" s="5" t="s">
        <v>400</v>
      </c>
      <c r="G101" s="6" t="str">
        <f>IFERROR(__xludf.DUMMYFUNCTION("GOOGLETRANSLATE(A101, ""en"", ""ur"")"),"100")</f>
        <v>100</v>
      </c>
      <c r="H101" s="6" t="str">
        <f>IFERROR(__xludf.DUMMYFUNCTION("GOOGLETRANSLATE(B101, ""en"", ""ur"")"),"اشٹاپاڈ بورڈ پر مربعوں کی کل تعداد کتنی ہے؟")</f>
        <v>اشٹاپاڈ بورڈ پر مربعوں کی کل تعداد کتنی ہے؟</v>
      </c>
      <c r="I101" s="6" t="str">
        <f>IFERROR(__xludf.DUMMYFUNCTION("GOOGLETRANSLATE(C101, ""en"", ""ur"")"),"A) 49، B) 64، C) 81، D) 100")</f>
        <v>A) 49، B) 64، C) 81، D) 100</v>
      </c>
      <c r="J101" s="6" t="str">
        <f>IFERROR(__xludf.DUMMYFUNCTION("GOOGLETRANSLATE(D101, ""en"", ""ur"")"),"ب) 64")</f>
        <v>ب) 64</v>
      </c>
      <c r="K101" s="6" t="str">
        <f>IFERROR(__xludf.DUMMYFUNCTION("GOOGLETRANSLATE(E101, ""en"", ""ur"")"),"بورڈ ایک 8x8 گرڈ ہے، کل 64 مربعوں کے لیے۔")</f>
        <v>بورڈ ایک 8x8 گرڈ ہے، کل 64 مربعوں کے لیے۔</v>
      </c>
    </row>
    <row r="102">
      <c r="A102" s="4">
        <v>101.0</v>
      </c>
      <c r="B102" s="5" t="s">
        <v>401</v>
      </c>
      <c r="C102" s="5" t="s">
        <v>402</v>
      </c>
      <c r="D102" s="5" t="s">
        <v>403</v>
      </c>
      <c r="E102" s="5" t="s">
        <v>404</v>
      </c>
      <c r="G102" s="6" t="str">
        <f>IFERROR(__xludf.DUMMYFUNCTION("GOOGLETRANSLATE(A102, ""en"", ""ur"")"),"101")</f>
        <v>101</v>
      </c>
      <c r="H102" s="6" t="str">
        <f>IFERROR(__xludf.DUMMYFUNCTION("GOOGLETRANSLATE(B102, ""en"", ""ur"")"),"ایک ایسے منظر نامے میں جہاں آپ کا راجہ پھنس گیا ہو، کس ٹکڑے کی منفرد صلاحیت کسی خطرے کو روکنے کا بہترین موقع فراہم کرتی ہے؟")</f>
        <v>ایک ایسے منظر نامے میں جہاں آپ کا راجہ پھنس گیا ہو، کس ٹکڑے کی منفرد صلاحیت کسی خطرے کو روکنے کا بہترین موقع فراہم کرتی ہے؟</v>
      </c>
      <c r="I102" s="6" t="str">
        <f>IFERROR(__xludf.DUMMYFUNCTION("GOOGLETRANSLATE(C102, ""en"", ""ur"")"),"A) پدتی، B) منتری، C) اشوا، D) گجا")</f>
        <v>A) پدتی، B) منتری، C) اشوا، D) گجا</v>
      </c>
      <c r="J102" s="6" t="str">
        <f>IFERROR(__xludf.DUMMYFUNCTION("GOOGLETRANSLATE(D102, ""en"", ""ur"")"),"ج) اشوا")</f>
        <v>ج) اشوا</v>
      </c>
      <c r="K102" s="6" t="str">
        <f>IFERROR(__xludf.DUMMYFUNCTION("GOOGLETRANSLATE(E102, ""en"", ""ur"")"),"اشوا کی چھلانگ لگانے کی صلاحیت کا مطلب یہ ہے کہ وہ دفاعی پوزیشن میں چھلانگ لگا سکتا ہے یہاں تک کہ اگر ارد گرد کے چوکوں کو دوسرے ٹکڑوں سے روکا جائے۔")</f>
        <v>اشوا کی چھلانگ لگانے کی صلاحیت کا مطلب یہ ہے کہ وہ دفاعی پوزیشن میں چھلانگ لگا سکتا ہے یہاں تک کہ اگر ارد گرد کے چوکوں کو دوسرے ٹکڑوں سے روکا جائے۔</v>
      </c>
    </row>
    <row r="103">
      <c r="A103" s="4">
        <v>102.0</v>
      </c>
      <c r="B103" s="5" t="s">
        <v>405</v>
      </c>
      <c r="C103" s="5" t="s">
        <v>406</v>
      </c>
      <c r="D103" s="5" t="s">
        <v>407</v>
      </c>
      <c r="E103" s="5" t="s">
        <v>408</v>
      </c>
      <c r="G103" s="6" t="str">
        <f>IFERROR(__xludf.DUMMYFUNCTION("GOOGLETRANSLATE(A103, ""en"", ""ur"")"),"102")</f>
        <v>102</v>
      </c>
      <c r="H103" s="6" t="str">
        <f>IFERROR(__xludf.DUMMYFUNCTION("GOOGLETRANSLATE(B103, ""en"", ""ur"")"),"ایک ہاتھی a1 پر ہے اور مخالف کا راجہ h8 پر ہے۔ اگر راستہ صاف ہو تو ہاتھی کو راجہ پر حملہ کرنے کے لیے کتنی حرکتیں کرنی پڑتی ہیں؟")</f>
        <v>ایک ہاتھی a1 پر ہے اور مخالف کا راجہ h8 پر ہے۔ اگر راستہ صاف ہو تو ہاتھی کو راجہ پر حملہ کرنے کے لیے کتنی حرکتیں کرنی پڑتی ہیں؟</v>
      </c>
      <c r="I103" s="6" t="str">
        <f>IFERROR(__xludf.DUMMYFUNCTION("GOOGLETRANSLATE(C103, ""en"", ""ur"")"),"A) ایک حرکت، B) دو چالیں، C) تین چالیں، D) یہ راجہ پر حملہ نہیں کر سکتی")</f>
        <v>A) ایک حرکت، B) دو چالیں، C) تین چالیں، D) یہ راجہ پر حملہ نہیں کر سکتی</v>
      </c>
      <c r="J103" s="6" t="str">
        <f>IFERROR(__xludf.DUMMYFUNCTION("GOOGLETRANSLATE(D103, ""en"", ""ur"")"),"ب) دو حرکتیں")</f>
        <v>ب) دو حرکتیں</v>
      </c>
      <c r="K103" s="6" t="str">
        <f>IFERROR(__xludf.DUMMYFUNCTION("GOOGLETRANSLATE(E103, ""en"", ""ur"")"),"مثال کے طور پر، ہاتھی a1 سے h1 (ایک حرکت) کی طرف بڑھ سکتا ہے، اور وہاں سے وہ h8 (دو چالوں) پر راجہ پر حملہ کر سکتا ہے۔")</f>
        <v>مثال کے طور پر، ہاتھی a1 سے h1 (ایک حرکت) کی طرف بڑھ سکتا ہے، اور وہاں سے وہ h8 (دو چالوں) پر راجہ پر حملہ کر سکتا ہے۔</v>
      </c>
    </row>
    <row r="104">
      <c r="A104" s="4">
        <v>103.0</v>
      </c>
      <c r="B104" s="5" t="s">
        <v>409</v>
      </c>
      <c r="C104" s="5" t="s">
        <v>410</v>
      </c>
      <c r="D104" s="5" t="s">
        <v>411</v>
      </c>
      <c r="E104" s="5" t="s">
        <v>412</v>
      </c>
      <c r="G104" s="6" t="str">
        <f>IFERROR(__xludf.DUMMYFUNCTION("GOOGLETRANSLATE(A104, ""en"", ""ur"")"),"103")</f>
        <v>103</v>
      </c>
      <c r="H104" s="6" t="str">
        <f>IFERROR(__xludf.DUMMYFUNCTION("GOOGLETRANSLATE(B104, ""en"", ""ur"")"),"آپ کے مخالف کا راجہ e8 پر ہے۔ آپ کے پاس a4 پر گاجا اور b4 پر گاجا ہے۔ دشمن راجہ کی کیا حیثیت ہے؟")</f>
        <v>آپ کے مخالف کا راجہ e8 پر ہے۔ آپ کے پاس a4 پر گاجا اور b4 پر گاجا ہے۔ دشمن راجہ کی کیا حیثیت ہے؟</v>
      </c>
      <c r="I104" s="6" t="str">
        <f>IFERROR(__xludf.DUMMYFUNCTION("GOOGLETRANSLATE(C104, ""en"", ""ur"")"),"A) اس پر گاجا نے a4 پر حملہ کیا، B) اس پر گاجا نے b4 پر حملہ کیا، C) اس پر دونوں نے حملہ کیا، D) یہ محفوظ ہے۔")</f>
        <v>A) اس پر گاجا نے a4 پر حملہ کیا، B) اس پر گاجا نے b4 پر حملہ کیا، C) اس پر دونوں نے حملہ کیا، D) یہ محفوظ ہے۔</v>
      </c>
      <c r="J104" s="6" t="str">
        <f>IFERROR(__xludf.DUMMYFUNCTION("GOOGLETRANSLATE(D104, ""en"", ""ur"")"),"D) یہ محفوظ ہے۔")</f>
        <v>D) یہ محفوظ ہے۔</v>
      </c>
      <c r="K104" s="6" t="str">
        <f>IFERROR(__xludf.DUMMYFUNCTION("GOOGLETRANSLATE(E104, ""en"", ""ur"")"),"A4 سے، گاجا c2، c6 پر حملہ کرتا ہے۔ b4 سے، یہ d2، d6 پر حملہ کرتا ہے۔ نہ ہی e8 پر حملہ کر سکتا ہے۔")</f>
        <v>A4 سے، گاجا c2، c6 پر حملہ کرتا ہے۔ b4 سے، یہ d2، d6 پر حملہ کرتا ہے۔ نہ ہی e8 پر حملہ کر سکتا ہے۔</v>
      </c>
    </row>
    <row r="105">
      <c r="A105" s="4">
        <v>104.0</v>
      </c>
      <c r="B105" s="5" t="s">
        <v>413</v>
      </c>
      <c r="C105" s="5" t="s">
        <v>414</v>
      </c>
      <c r="D105" s="5" t="s">
        <v>415</v>
      </c>
      <c r="E105" s="5" t="s">
        <v>416</v>
      </c>
      <c r="G105" s="6" t="str">
        <f>IFERROR(__xludf.DUMMYFUNCTION("GOOGLETRANSLATE(A105, ""en"", ""ur"")"),"104")</f>
        <v>104</v>
      </c>
      <c r="H105" s="6" t="str">
        <f>IFERROR(__xludf.DUMMYFUNCTION("GOOGLETRANSLATE(B105, ""en"", ""ur"")"),"""ننگے بادشاہ"" کے اصول میں کہا گیا ہے کہ ایک کھلاڑی جو اپنے راجہ کے علاوہ تمام ٹکڑوں کو کھو دیتا ہے وہ گیم ہار جاتا ہے۔ اس اصول نے کھلاڑیوں کو کیا کرنے کی ترغیب دی؟")</f>
        <v>"ننگے بادشاہ" کے اصول میں کہا گیا ہے کہ ایک کھلاڑی جو اپنے راجہ کے علاوہ تمام ٹکڑوں کو کھو دیتا ہے وہ گیم ہار جاتا ہے۔ اس اصول نے کھلاڑیوں کو کیا کرنے کی ترغیب دی؟</v>
      </c>
      <c r="I105" s="6" t="str">
        <f>IFERROR(__xludf.DUMMYFUNCTION("GOOGLETRANSLATE(C105, ""en"", ""ur"")"),"A) دشمن راجہ پر خصوصی طور پر حملہ کرنا، B) انتہائی دفاعی انداز میں کھیلنا اور تجارتی ٹکڑوں سے گریز کرنا، C) پیادوں کو ہر قیمت پر فروغ دینا، D) اپنے راجہ کو قربان کرنا")</f>
        <v>A) دشمن راجہ پر خصوصی طور پر حملہ کرنا، B) انتہائی دفاعی انداز میں کھیلنا اور تجارتی ٹکڑوں سے گریز کرنا، C) پیادوں کو ہر قیمت پر فروغ دینا، D) اپنے راجہ کو قربان کرنا</v>
      </c>
      <c r="J105" s="6" t="str">
        <f>IFERROR(__xludf.DUMMYFUNCTION("GOOGLETRANSLATE(D105, ""en"", ""ur"")"),"ب) بہت دفاعی انداز میں کھیلنا اور تجارتی ٹکڑوں سے گریز کرنا")</f>
        <v>ب) بہت دفاعی انداز میں کھیلنا اور تجارتی ٹکڑوں سے گریز کرنا</v>
      </c>
      <c r="K105" s="6" t="str">
        <f>IFERROR(__xludf.DUMMYFUNCTION("GOOGLETRANSLATE(E105, ""en"", ""ur"")"),"""ننگے"" ہونے کی وجہ سے ہارنے کا خطرہ کھلاڑیوں کو اپنی مرضی سے ٹکڑوں کی تجارت کرنے سے روکتا ہے، جس کے نتیجے میں زیادہ محتاط اور دفاعی کھیل شروع ہوتے ہیں۔")</f>
        <v>"ننگے" ہونے کی وجہ سے ہارنے کا خطرہ کھلاڑیوں کو اپنی مرضی سے ٹکڑوں کی تجارت کرنے سے روکتا ہے، جس کے نتیجے میں زیادہ محتاط اور دفاعی کھیل شروع ہوتے ہیں۔</v>
      </c>
    </row>
    <row r="106">
      <c r="A106" s="4">
        <v>105.0</v>
      </c>
      <c r="B106" s="5" t="s">
        <v>417</v>
      </c>
      <c r="C106" s="5" t="s">
        <v>418</v>
      </c>
      <c r="D106" s="5" t="s">
        <v>419</v>
      </c>
      <c r="E106" s="5" t="s">
        <v>420</v>
      </c>
      <c r="G106" s="6" t="str">
        <f>IFERROR(__xludf.DUMMYFUNCTION("GOOGLETRANSLATE(A106, ""en"", ""ur"")"),"105")</f>
        <v>105</v>
      </c>
      <c r="H106" s="6" t="str">
        <f>IFERROR(__xludf.DUMMYFUNCTION("GOOGLETRANSLATE(B106, ""en"", ""ur"")"),"دو پلیئر چتورنگا سے چار پلیئر ڈائس ورژن میں منتقل ہونے پر سب سے اہم اسٹریٹجک تبدیلی کیا ہے؟")</f>
        <v>دو پلیئر چتورنگا سے چار پلیئر ڈائس ورژن میں منتقل ہونے پر سب سے اہم اسٹریٹجک تبدیلی کیا ہے؟</v>
      </c>
      <c r="I106" s="6" t="str">
        <f>IFERROR(__xludf.DUMMYFUNCTION("GOOGLETRANSLATE(C106, ""en"", ""ur"")"),"A) ٹکڑے مختلف طریقے سے حرکت کرتے ہیں، B) ڈائس رول سے موقع کا عنصر ایک اہم عنصر بن جاتا ہے، C) بورڈ بڑا ہوتا ہے، D) کوئی پڈیٹس نہیں ہوتے")</f>
        <v>A) ٹکڑے مختلف طریقے سے حرکت کرتے ہیں، B) ڈائس رول سے موقع کا عنصر ایک اہم عنصر بن جاتا ہے، C) بورڈ بڑا ہوتا ہے، D) کوئی پڈیٹس نہیں ہوتے</v>
      </c>
      <c r="J106" s="6" t="str">
        <f>IFERROR(__xludf.DUMMYFUNCTION("GOOGLETRANSLATE(D106, ""en"", ""ur"")"),"ب) ڈائس رول سے موقع کا عنصر ایک بڑا عنصر بن جاتا ہے۔")</f>
        <v>ب) ڈائس رول سے موقع کا عنصر ایک بڑا عنصر بن جاتا ہے۔</v>
      </c>
      <c r="K106" s="6" t="str">
        <f>IFERROR(__xludf.DUMMYFUNCTION("GOOGLETRANSLATE(E106, ""en"", ""ur"")"),"ڈائس کا تعارف بنیادی طور پر کھیل کو خالص مہارت میں سے ایک سے ایک ایسے میں بدل دیتا ہے جو مہارت اور قسمت کو یکجا کرتا ہے۔")</f>
        <v>ڈائس کا تعارف بنیادی طور پر کھیل کو خالص مہارت میں سے ایک سے ایک ایسے میں بدل دیتا ہے جو مہارت اور قسمت کو یکجا کرتا ہے۔</v>
      </c>
    </row>
    <row r="107">
      <c r="A107" s="4">
        <v>106.0</v>
      </c>
      <c r="B107" s="5" t="s">
        <v>421</v>
      </c>
      <c r="C107" s="5" t="s">
        <v>422</v>
      </c>
      <c r="D107" s="5" t="s">
        <v>423</v>
      </c>
      <c r="E107" s="5" t="s">
        <v>424</v>
      </c>
      <c r="G107" s="6" t="str">
        <f>IFERROR(__xludf.DUMMYFUNCTION("GOOGLETRANSLATE(A107, ""en"", ""ur"")"),"106")</f>
        <v>106</v>
      </c>
      <c r="H107" s="6" t="str">
        <f>IFERROR(__xludf.DUMMYFUNCTION("GOOGLETRANSLATE(B107, ""en"", ""ur"")"),"دشمن راجہ ڈی 8 پر ہے۔ آپ کی پدتی c7 پر ہے۔ کیا پڈاتی راجہ کو پکڑ سکتا ہے؟")</f>
        <v>دشمن راجہ ڈی 8 پر ہے۔ آپ کی پدتی c7 پر ہے۔ کیا پڈاتی راجہ کو پکڑ سکتا ہے؟</v>
      </c>
      <c r="I107" s="6" t="str">
        <f>IFERROR(__xludf.DUMMYFUNCTION("GOOGLETRANSLATE(C107, ""en"", ""ur"")"),"A) جی ہاں، d8 پر جانے سے، B) نہیں، ایک پڈتی راجہ کو نہیں پکڑ سکتا، C) ہاں، ترچھی d8 کی طرف جانے سے، D) نہیں، اس کا راستہ مسدود ہو جاتا ہے۔")</f>
        <v>A) جی ہاں، d8 پر جانے سے، B) نہیں، ایک پڈتی راجہ کو نہیں پکڑ سکتا، C) ہاں، ترچھی d8 کی طرف جانے سے، D) نہیں، اس کا راستہ مسدود ہو جاتا ہے۔</v>
      </c>
      <c r="J107" s="6" t="str">
        <f>IFERROR(__xludf.DUMMYFUNCTION("GOOGLETRANSLATE(D107, ""en"", ""ur"")"),"C) جی ہاں، ترچھی d8 پر منتقل کر کے")</f>
        <v>C) جی ہاں، ترچھی d8 پر منتقل کر کے</v>
      </c>
      <c r="K107" s="6" t="str">
        <f>IFERROR(__xludf.DUMMYFUNCTION("GOOGLETRANSLATE(E107, ""en"", ""ur"")"),"ایک پڈاتی آگے کے ترچھے مربع پر راجہ سمیت کسی بھی ٹکڑے کو پکڑ سکتا تھا۔ یہ کھیل جیت جائے گا.")</f>
        <v>ایک پڈاتی آگے کے ترچھے مربع پر راجہ سمیت کسی بھی ٹکڑے کو پکڑ سکتا تھا۔ یہ کھیل جیت جائے گا.</v>
      </c>
    </row>
    <row r="108">
      <c r="A108" s="4">
        <v>107.0</v>
      </c>
      <c r="B108" s="5" t="s">
        <v>425</v>
      </c>
      <c r="C108" s="5" t="s">
        <v>426</v>
      </c>
      <c r="D108" s="5" t="s">
        <v>427</v>
      </c>
      <c r="E108" s="5" t="s">
        <v>428</v>
      </c>
      <c r="G108" s="6" t="str">
        <f>IFERROR(__xludf.DUMMYFUNCTION("GOOGLETRANSLATE(A108, ""en"", ""ur"")"),"107")</f>
        <v>107</v>
      </c>
      <c r="H108" s="6" t="str">
        <f>IFERROR(__xludf.DUMMYFUNCTION("GOOGLETRANSLATE(B108, ""en"", ""ur"")"),"آپ کا راجہ f1 پر ہے۔ ایک دشمن اشوا جی تھری پر ہے۔ کیا راجہ محفوظ ہے؟")</f>
        <v>آپ کا راجہ f1 پر ہے۔ ایک دشمن اشوا جی تھری پر ہے۔ کیا راجہ محفوظ ہے؟</v>
      </c>
      <c r="I108" s="6" t="str">
        <f>IFERROR(__xludf.DUMMYFUNCTION("GOOGLETRANSLATE(C108, ""en"", ""ur"")"),"A) ہاں، B) نہیں، اس پر حملہ ہو رہا ہے، C) صرف اس صورت میں جب f2 پر کوئی ٹکڑا ہو، D) گیم ڈرا ہے")</f>
        <v>A) ہاں، B) نہیں، اس پر حملہ ہو رہا ہے، C) صرف اس صورت میں جب f2 پر کوئی ٹکڑا ہو، D) گیم ڈرا ہے</v>
      </c>
      <c r="J108" s="6" t="str">
        <f>IFERROR(__xludf.DUMMYFUNCTION("GOOGLETRANSLATE(D108, ""en"", ""ur"")"),"ب) نہیں، یہ حملے کی زد میں ہے۔")</f>
        <v>ب) نہیں، یہ حملے کی زد میں ہے۔</v>
      </c>
      <c r="K108" s="6" t="str">
        <f>IFERROR(__xludf.DUMMYFUNCTION("GOOGLETRANSLATE(E108, ""en"", ""ur"")"),"g3 سے، ایک اشوا h1، f1، e2، e4، h5، اور f5 پر حملہ کرتا ہے۔ F1 پر راجہ کو براہ راست گرفتاری کا خطرہ ہے۔")</f>
        <v>g3 سے، ایک اشوا h1، f1، e2، e4، h5، اور f5 پر حملہ کرتا ہے۔ F1 پر راجہ کو براہ راست گرفتاری کا خطرہ ہے۔</v>
      </c>
    </row>
    <row r="109">
      <c r="A109" s="4">
        <v>108.0</v>
      </c>
      <c r="B109" s="5" t="s">
        <v>429</v>
      </c>
      <c r="C109" s="5" t="s">
        <v>430</v>
      </c>
      <c r="D109" s="5" t="s">
        <v>431</v>
      </c>
      <c r="E109" s="5" t="s">
        <v>432</v>
      </c>
      <c r="G109" s="6" t="str">
        <f>IFERROR(__xludf.DUMMYFUNCTION("GOOGLETRANSLATE(A109, ""en"", ""ur"")"),"108")</f>
        <v>108</v>
      </c>
      <c r="H109" s="6" t="str">
        <f>IFERROR(__xludf.DUMMYFUNCTION("GOOGLETRANSLATE(B109, ""en"", ""ur"")"),"کھیل کے ابتدائی ورژن میں، ٹکڑے کس رنگ کے تھے؟")</f>
        <v>کھیل کے ابتدائی ورژن میں، ٹکڑے کس رنگ کے تھے؟</v>
      </c>
      <c r="I109" s="6" t="str">
        <f>IFERROR(__xludf.DUMMYFUNCTION("GOOGLETRANSLATE(C109, ""en"", ""ur"")"),"A) سیاہ اور سفید، B) سرخ اور سبز، C) سونا اور چاندی، D) چار رنگ تھے: سرخ، سبز، پیلا اور سیاہ")</f>
        <v>A) سیاہ اور سفید، B) سرخ اور سبز، C) سونا اور چاندی، D) چار رنگ تھے: سرخ، سبز، پیلا اور سیاہ</v>
      </c>
      <c r="J109" s="6" t="str">
        <f>IFERROR(__xludf.DUMMYFUNCTION("GOOGLETRANSLATE(D109, ""en"", ""ur"")"),"D) چار رنگ تھے: سرخ، سبز، پیلا اور سیاہ")</f>
        <v>D) چار رنگ تھے: سرخ، سبز، پیلا اور سیاہ</v>
      </c>
      <c r="K109" s="6" t="str">
        <f>IFERROR(__xludf.DUMMYFUNCTION("GOOGLETRANSLATE(E109, ""en"", ""ur"")"),"بہت سے ابتدائی تحریروں میں چار کھلاڑیوں کے کھیل (چتوراجی) کی وضاحت کی گئی ہے جس میں فوجوں کے لیے چار الگ رنگ ہیں۔ اس سے دو پلیئر ورژن تیار ہوا۔")</f>
        <v>بہت سے ابتدائی تحریروں میں چار کھلاڑیوں کے کھیل (چتوراجی) کی وضاحت کی گئی ہے جس میں فوجوں کے لیے چار الگ رنگ ہیں۔ اس سے دو پلیئر ورژن تیار ہوا۔</v>
      </c>
    </row>
    <row r="110">
      <c r="A110" s="4">
        <v>109.0</v>
      </c>
      <c r="B110" s="5" t="s">
        <v>433</v>
      </c>
      <c r="C110" s="5" t="s">
        <v>434</v>
      </c>
      <c r="D110" s="5" t="s">
        <v>435</v>
      </c>
      <c r="E110" s="5" t="s">
        <v>436</v>
      </c>
      <c r="G110" s="6" t="str">
        <f>IFERROR(__xludf.DUMMYFUNCTION("GOOGLETRANSLATE(A110, ""en"", ""ur"")"),"109")</f>
        <v>109</v>
      </c>
      <c r="H110" s="6" t="str">
        <f>IFERROR(__xludf.DUMMYFUNCTION("GOOGLETRANSLATE(B110, ""en"", ""ur"")"),"c1 پر ایک ہاتھی c5 پر گاجا پر حملہ کرتا ہے۔ گاجا کی فرار کا واحد اقدام a3 کی چھلانگ ہے، لیکن اس مربع پر ایک دوستانہ پداٹی کا قبضہ ہے۔ کیا ہوتا ہے؟")</f>
        <v>c1 پر ایک ہاتھی c5 پر گاجا پر حملہ کرتا ہے۔ گاجا کی فرار کا واحد اقدام a3 کی چھلانگ ہے، لیکن اس مربع پر ایک دوستانہ پداٹی کا قبضہ ہے۔ کیا ہوتا ہے؟</v>
      </c>
      <c r="I110" s="6" t="str">
        <f>IFERROR(__xludf.DUMMYFUNCTION("GOOGLETRANSLATE(C110, ""en"", ""ur"")"),"A) گجا فرار ہونے کے لیے اپنی پڈتی پر قبضہ کر سکتا ہے، B) گجا پھنس گیا ہے اور اسے پکڑ لیا جائے گا، C) گاجا بہرحال a3 تک چھلانگ لگا سکتا ہے، D) ہاتھی گجا کو پکڑ نہیں سکتا۔")</f>
        <v>A) گجا فرار ہونے کے لیے اپنی پڈتی پر قبضہ کر سکتا ہے، B) گجا پھنس گیا ہے اور اسے پکڑ لیا جائے گا، C) گاجا بہرحال a3 تک چھلانگ لگا سکتا ہے، D) ہاتھی گجا کو پکڑ نہیں سکتا۔</v>
      </c>
      <c r="J110" s="6" t="str">
        <f>IFERROR(__xludf.DUMMYFUNCTION("GOOGLETRANSLATE(D110, ""en"", ""ur"")"),"ب) گاجا پھنس گیا ہے اور اسے پکڑ لیا جائے گا۔")</f>
        <v>ب) گاجا پھنس گیا ہے اور اسے پکڑ لیا جائے گا۔</v>
      </c>
      <c r="K110" s="6" t="str">
        <f>IFERROR(__xludf.DUMMYFUNCTION("GOOGLETRANSLATE(E110, ""en"", ""ur"")"),"ایک ٹکڑا کبھی بھی اس مربع میں نہیں جا سکتا جس پر اس کا اپنا ایک ٹکڑا ہو۔ اگر فرار کے تمام چوکوں کو مسدود کر دیا جائے تو ٹکڑا پھنس جائے گا۔")</f>
        <v>ایک ٹکڑا کبھی بھی اس مربع میں نہیں جا سکتا جس پر اس کا اپنا ایک ٹکڑا ہو۔ اگر فرار کے تمام چوکوں کو مسدود کر دیا جائے تو ٹکڑا پھنس جائے گا۔</v>
      </c>
    </row>
    <row r="111">
      <c r="A111" s="4">
        <v>110.0</v>
      </c>
      <c r="B111" s="5" t="s">
        <v>437</v>
      </c>
      <c r="C111" s="5" t="s">
        <v>438</v>
      </c>
      <c r="D111" s="5" t="s">
        <v>439</v>
      </c>
      <c r="E111" s="5" t="s">
        <v>440</v>
      </c>
      <c r="G111" s="6" t="str">
        <f>IFERROR(__xludf.DUMMYFUNCTION("GOOGLETRANSLATE(A111, ""en"", ""ur"")"),"110")</f>
        <v>110</v>
      </c>
      <c r="H111" s="6" t="str">
        <f>IFERROR(__xludf.DUMMYFUNCTION("GOOGLETRANSLATE(B111, ""en"", ""ur"")"),"کھیل کے ابتدائی مرحلے میں منتری کو منتقل کرنا اکثر ناقص حکمت عملی کیوں تھی؟")</f>
        <v>کھیل کے ابتدائی مرحلے میں منتری کو منتقل کرنا اکثر ناقص حکمت عملی کیوں تھی؟</v>
      </c>
      <c r="I111" s="6" t="str">
        <f>IFERROR(__xludf.DUMMYFUNCTION("GOOGLETRANSLATE(C111, ""en"", ""ur"")"),"A)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ک"&amp;"ے خلاف تھا، D) راجہ کے دفاع کے لیے اس کی ضرورت تھی۔")</f>
        <v>A) یہ ایک طاقتور حملہ آور ٹکڑا تھا جسے اختتامی کھیل کے لیے محفوظ کرنے کی ضرورت تھی، B) یہ اتنا کمزور تھا کہ اسے حرکت دینے سے ایک موڑ ضائع ہو جاتا تھا جسے ایک مضبوط ٹکڑا تیار کرنے کے لیے استعمال کیا جا سکتا تھا، C) اسے پہلی 10 چالوں میں منتقل کرنا قوانین کے خلاف تھا، D) راجہ کے دفاع کے لیے اس کی ضرورت تھی۔</v>
      </c>
      <c r="J111" s="6" t="str">
        <f>IFERROR(__xludf.DUMMYFUNCTION("GOOGLETRANSLATE(D111, ""en"", ""ur"")"),"ب) یہ اتنا کمزور تھا کہ اس کو حرکت دینے سے ایک موڑ ضائع ہو جاتا ہے جسے ایک مضبوط ٹکڑا تیار کرنے کے لیے استعمال کیا جا سکتا تھا۔")</f>
        <v>ب) یہ اتنا کمزور تھا کہ اس کو حرکت دینے سے ایک موڑ ضائع ہو جاتا ہے جسے ایک مضبوط ٹکڑا تیار کرنے کے لیے استعمال کیا جا سکتا تھا۔</v>
      </c>
      <c r="K111" s="6" t="str">
        <f>IFERROR(__xludf.DUMMYFUNCTION("GOOGLETRANSLATE(E111, ""en"", ""ur"")"),"ایک اقدام (یا ""ٹیمپو"") قابل قدر تھا۔ اسے بورڈ کے سب سے کمزور ٹکڑے پر استعمال کرنا حکمت عملی کے لحاظ سے غیر موثر تھا۔")</f>
        <v>ایک اقدام (یا "ٹیمپو") قابل قدر تھا۔ اسے بورڈ کے سب سے کمزور ٹکڑے پر استعمال کرنا حکمت عملی کے لحاظ سے غیر موثر تھا۔</v>
      </c>
    </row>
    <row r="112">
      <c r="A112" s="4">
        <v>111.0</v>
      </c>
      <c r="B112" s="5" t="s">
        <v>441</v>
      </c>
      <c r="C112" s="5" t="s">
        <v>442</v>
      </c>
      <c r="D112" s="5" t="s">
        <v>443</v>
      </c>
      <c r="E112" s="5" t="s">
        <v>444</v>
      </c>
      <c r="G112" s="6" t="str">
        <f>IFERROR(__xludf.DUMMYFUNCTION("GOOGLETRANSLATE(A112, ""en"", ""ur"")"),"111")</f>
        <v>111</v>
      </c>
      <c r="H112" s="6" t="str">
        <f>IFERROR(__xludf.DUMMYFUNCTION("GOOGLETRANSLATE(B112, ""en"", ""ur"")"),"جدید بشپ پر گاجا کا ایک اہم فائدہ کیا ہے؟")</f>
        <v>جدید بشپ پر گاجا کا ایک اہم فائدہ کیا ہے؟</v>
      </c>
      <c r="I112" s="6" t="str">
        <f>IFERROR(__xludf.DUMMYFUNCTION("GOOGLETRANSLATE(C112, ""en"", ""ur"")"),"A) اس کی رینج لمبی ہے، B) یہ ایک ٹکڑے پر چھلانگ لگا سکتا ہے، C) یہ رنگ سے منسلک نہیں ہے، D) یہ زیادہ پوائنٹس کے قابل ہے")</f>
        <v>A) اس کی رینج لمبی ہے، B) یہ ایک ٹکڑے پر چھلانگ لگا سکتا ہے، C) یہ رنگ سے منسلک نہیں ہے، D) یہ زیادہ پوائنٹس کے قابل ہے</v>
      </c>
      <c r="J112" s="6" t="str">
        <f>IFERROR(__xludf.DUMMYFUNCTION("GOOGLETRANSLATE(D112, ""en"", ""ur"")"),"ب) یہ ایک ٹکڑے پر چھلانگ لگا سکتا ہے۔")</f>
        <v>ب) یہ ایک ٹکڑے پر چھلانگ لگا سکتا ہے۔</v>
      </c>
      <c r="K112" s="6" t="str">
        <f>IFERROR(__xludf.DUMMYFUNCTION("GOOGLETRANSLATE(E112, ""en"", ""ur"")"),"گاجا کی مداخلت کرنے والے ٹکڑے پر چھلانگ لگانے کی صلاحیت ایک منفرد خصوصیت ہے جو جدید بشپ کے پاس نہیں ہے۔")</f>
        <v>گاجا کی مداخلت کرنے والے ٹکڑے پر چھلانگ لگانے کی صلاحیت ایک منفرد خصوصیت ہے جو جدید بشپ کے پاس نہیں ہے۔</v>
      </c>
    </row>
    <row r="113">
      <c r="A113" s="4">
        <v>112.0</v>
      </c>
      <c r="B113" s="5" t="s">
        <v>445</v>
      </c>
      <c r="C113" s="5" t="s">
        <v>446</v>
      </c>
      <c r="D113" s="5" t="s">
        <v>447</v>
      </c>
      <c r="E113" s="5" t="s">
        <v>448</v>
      </c>
      <c r="G113" s="6" t="str">
        <f>IFERROR(__xludf.DUMMYFUNCTION("GOOGLETRANSLATE(A113, ""en"", ""ur"")"),"112")</f>
        <v>112</v>
      </c>
      <c r="H113" s="6" t="str">
        <f>IFERROR(__xludf.DUMMYFUNCTION("GOOGLETRANSLATE(B113, ""en"", ""ur"")"),"ابتدائی سیٹ اپ میں دونوں ہاتھیوں کو کہاں رکھا گیا ہے؟")</f>
        <v>ابتدائی سیٹ اپ میں دونوں ہاتھیوں کو کہاں رکھا گیا ہے؟</v>
      </c>
      <c r="I113" s="6" t="str">
        <f>IFERROR(__xludf.DUMMYFUNCTION("GOOGLETRANSLATE(C113, ""en"", ""ur"")"),"A) راجہ کے آگے، B) دو مرکزی فائلوں پر، C) بورڈ کے کونوں میں، D) پڈتیوں کے سامنے")</f>
        <v>A) راجہ کے آگے، B) دو مرکزی فائلوں پر، C) بورڈ کے کونوں میں، D) پڈتیوں کے سامنے</v>
      </c>
      <c r="J113" s="6" t="str">
        <f>IFERROR(__xludf.DUMMYFUNCTION("GOOGLETRANSLATE(D113, ""en"", ""ur"")"),"ج) بورڈ کے کونوں میں")</f>
        <v>ج) بورڈ کے کونوں میں</v>
      </c>
      <c r="K113" s="6" t="str">
        <f>IFERROR(__xludf.DUMMYFUNCTION("GOOGLETRANSLATE(E113, ""en"", ""ur"")"),"بالکل جدید روکس کی طرح، ہتھیس (رتھ) کونے کونے میں شروع ہوئے (a1, h1, a8, h8)۔")</f>
        <v>بالکل جدید روکس کی طرح، ہتھیس (رتھ) کونے کونے میں شروع ہوئے (a1, h1, a8, h8)۔</v>
      </c>
    </row>
    <row r="114">
      <c r="A114" s="4">
        <v>113.0</v>
      </c>
      <c r="B114" s="5" t="s">
        <v>449</v>
      </c>
      <c r="C114" s="5" t="s">
        <v>450</v>
      </c>
      <c r="D114" s="5" t="s">
        <v>451</v>
      </c>
      <c r="E114" s="5" t="s">
        <v>452</v>
      </c>
      <c r="G114" s="6" t="str">
        <f>IFERROR(__xludf.DUMMYFUNCTION("GOOGLETRANSLATE(A114, ""en"", ""ur"")"),"113")</f>
        <v>113</v>
      </c>
      <c r="H114" s="6" t="str">
        <f>IFERROR(__xludf.DUMMYFUNCTION("GOOGLETRANSLATE(B114, ""en"", ""ur"")"),"ایک کھلاڑی کا a1 پر راجہ ہوتا ہے۔ مخالف کے پاس c2 پر ہاتھی اور c1 پر گاجا ہے۔ کون سا مہرہ راجہ پر حملہ آور ہے؟")</f>
        <v>ایک کھلاڑی کا a1 پر راجہ ہوتا ہے۔ مخالف کے پاس c2 پر ہاتھی اور c1 پر گاجا ہے۔ کون سا مہرہ راجہ پر حملہ آور ہے؟</v>
      </c>
      <c r="I114" s="6" t="str">
        <f>IFERROR(__xludf.DUMMYFUNCTION("GOOGLETRANSLATE(C114, ""en"", ""ur"")"),"A) ہاتھی، B) گاجا، C) دونوں، D) کوئی نہیں۔")</f>
        <v>A) ہاتھی، B) گاجا، C) دونوں، D) کوئی نہیں۔</v>
      </c>
      <c r="J114" s="6" t="str">
        <f>IFERROR(__xludf.DUMMYFUNCTION("GOOGLETRANSLATE(D114, ""en"", ""ur"")"),"ب) گاجا")</f>
        <v>ب) گاجا</v>
      </c>
      <c r="K114" s="6" t="str">
        <f>IFERROR(__xludf.DUMMYFUNCTION("GOOGLETRANSLATE(E114, ""en"", ""ur"")"),"c1 پر گاجا a1 پر حملہ کرنے کے لیے b1 پر چھلانگ لگا سکتا ہے۔ سی 2 پر موجود ہاتھی سی فائل اور دوسرے رینک پر حملہ کرتا ہے، لیکن a1 پر نہیں۔ تصحیح: یہ ایک ناقص منظر نامہ ہے، ایک گاجا c1 سے a1 تک نہیں جا سکتا۔ ایک بہتر سوال کی ضرورت ہے۔")</f>
        <v>c1 پر گاجا a1 پر حملہ کرنے کے لیے b1 پر چھلانگ لگا سکتا ہے۔ سی 2 پر موجود ہاتھی سی فائل اور دوسرے رینک پر حملہ کرتا ہے، لیکن a1 پر نہیں۔ تصحیح: یہ ایک ناقص منظر نامہ ہے، ایک گاجا c1 سے a1 تک نہیں جا سکتا۔ ایک بہتر سوال کی ضرورت ہے۔</v>
      </c>
    </row>
    <row r="115">
      <c r="A115" s="4">
        <v>114.0</v>
      </c>
      <c r="B115" s="5" t="s">
        <v>453</v>
      </c>
      <c r="C115" s="5" t="s">
        <v>454</v>
      </c>
      <c r="D115" s="5" t="s">
        <v>455</v>
      </c>
      <c r="E115" s="5" t="s">
        <v>456</v>
      </c>
      <c r="G115" s="6" t="str">
        <f>IFERROR(__xludf.DUMMYFUNCTION("GOOGLETRANSLATE(A115, ""en"", ""ur"")"),"114")</f>
        <v>114</v>
      </c>
      <c r="H115" s="6" t="str">
        <f>IFERROR(__xludf.DUMMYFUNCTION("GOOGLETRANSLATE(B115, ""en"", ""ur"")"),"اگر آپ کے مخالف کی فوج کو ان کے اپنے ٹکڑوں نے مکمل طور پر روک دیا ہے، اور آپ ان کے راجہ کو متحرک کر سکتے ہیں، تو آپ کس اصول سے جیتیں گے؟")</f>
        <v>اگر آپ کے مخالف کی فوج کو ان کے اپنے ٹکڑوں نے مکمل طور پر روک دیا ہے، اور آپ ان کے راجہ کو متحرک کر سکتے ہیں، تو آپ کس اصول سے جیتیں گے؟</v>
      </c>
      <c r="I115" s="6" t="str">
        <f>IFERROR(__xludf.DUMMYFUNCTION("GOOGLETRANSLATE(C115, ""en"", ""ur"")"),"A) Checkmate، B) ننگے بادشاہ، C) تعطل، D) استعفیٰ")</f>
        <v>A) Checkmate، B) ننگے بادشاہ، C) تعطل، D) استعفیٰ</v>
      </c>
      <c r="J115" s="6" t="str">
        <f>IFERROR(__xludf.DUMMYFUNCTION("GOOGLETRANSLATE(D115, ""en"", ""ur"")"),"ج) تعطل")</f>
        <v>ج) تعطل</v>
      </c>
      <c r="K115" s="6" t="str">
        <f>IFERROR(__xludf.DUMMYFUNCTION("GOOGLETRANSLATE(E115, ""en"", ""ur"")"),"ایسی پوزیشن پر مجبور کرنا جہاں حریف کی کوئی قانونی حرکت نہ ہو (ایک تعطل) چتورنگا کی کئی شکلوں میں جیتنے کا ایک جائز طریقہ تھا۔")</f>
        <v>ایسی پوزیشن پر مجبور کرنا جہاں حریف کی کوئی قانونی حرکت نہ ہو (ایک تعطل) چتورنگا کی کئی شکلوں میں جیتنے کا ایک جائز طریقہ تھا۔</v>
      </c>
    </row>
    <row r="116">
      <c r="A116" s="4">
        <v>115.0</v>
      </c>
      <c r="B116" s="5" t="s">
        <v>457</v>
      </c>
      <c r="C116" s="5" t="s">
        <v>458</v>
      </c>
      <c r="D116" s="5" t="s">
        <v>459</v>
      </c>
      <c r="E116" s="5" t="s">
        <v>460</v>
      </c>
      <c r="G116" s="6" t="str">
        <f>IFERROR(__xludf.DUMMYFUNCTION("GOOGLETRANSLATE(A116, ""en"", ""ur"")"),"115")</f>
        <v>115</v>
      </c>
      <c r="H116" s="6" t="str">
        <f>IFERROR(__xludf.DUMMYFUNCTION("GOOGLETRANSLATE(B116, ""en"", ""ur"")"),"شترنج سے جدید شطرنج کے ارتقاء میں کس ٹکڑے کی تحریک سب سے زیادہ ڈرامائی طور پر تبدیل ہوئی؟")</f>
        <v>شترنج سے جدید شطرنج کے ارتقاء میں کس ٹکڑے کی تحریک سب سے زیادہ ڈرامائی طور پر تبدیل ہوئی؟</v>
      </c>
      <c r="I116" s="6" t="str">
        <f>IFERROR(__xludf.DUMMYFUNCTION("GOOGLETRANSLATE(C116, ""en"", ""ur"")"),"A) ہاتھی (روک)، بی اشوا (نائٹ)، سی) منتری (مشیر)، ڈی) راجہ (بادشاہ)")</f>
        <v>A) ہاتھی (روک)، بی اشوا (نائٹ)، سی) منتری (مشیر)، ڈی) راجہ (بادشاہ)</v>
      </c>
      <c r="J116" s="6" t="str">
        <f>IFERROR(__xludf.DUMMYFUNCTION("GOOGLETRANSLATE(D116, ""en"", ""ur"")"),"سی) منتری (مشیر)")</f>
        <v>سی) منتری (مشیر)</v>
      </c>
      <c r="K116" s="6" t="str">
        <f>IFERROR(__xludf.DUMMYFUNCTION("GOOGLETRANSLATE(E116, ""en"", ""ur"")"),"منتری (ایک مربع کو ترچھی حرکت کرتے ہوئے) اور گاجا (دو چوکوں کو ترچھی طور پر چھلانگ لگانا) دونوں کی جگہ ناقابل یقین حد تک طاقتور جدید ملکہ اور طویل فاصلے کے بشپ نے لے لی۔ ملکہ کا ارتقاء سب سے اہم تبدیلی تھی۔")</f>
        <v>منتری (ایک مربع کو ترچھی حرکت کرتے ہوئے) اور گاجا (دو چوکوں کو ترچھی طور پر چھلانگ لگانا) دونوں کی جگہ ناقابل یقین حد تک طاقتور جدید ملکہ اور طویل فاصلے کے بشپ نے لے لی۔ ملکہ کا ارتقاء سب سے اہم تبدیلی تھی۔</v>
      </c>
    </row>
    <row r="117">
      <c r="A117" s="4">
        <v>116.0</v>
      </c>
      <c r="B117" s="5" t="s">
        <v>461</v>
      </c>
      <c r="C117" s="5" t="s">
        <v>462</v>
      </c>
      <c r="D117" s="5" t="s">
        <v>463</v>
      </c>
      <c r="E117" s="5" t="s">
        <v>464</v>
      </c>
      <c r="G117" s="6" t="str">
        <f>IFERROR(__xludf.DUMMYFUNCTION("GOOGLETRANSLATE(A117, ""en"", ""ur"")"),"116")</f>
        <v>116</v>
      </c>
      <c r="H117" s="6" t="str">
        <f>IFERROR(__xludf.DUMMYFUNCTION("GOOGLETRANSLATE(B117, ""en"", ""ur"")"),"ڈی 7 پر ایک پڈاٹی کو ڈی 8 پر ایک ٹکڑے کے ذریعے بلاک کر دیا گیا ہے۔ دشمن کا ایک ٹکڑا c8 پر ہے۔ کیا پڈاتی اس موڑ پر فروغ دے سکتا ہے؟")</f>
        <v>ڈی 7 پر ایک پڈاٹی کو ڈی 8 پر ایک ٹکڑے کے ذریعے بلاک کر دیا گیا ہے۔ دشمن کا ایک ٹکڑا c8 پر ہے۔ کیا پڈاتی اس موڑ پر فروغ دے سکتا ہے؟</v>
      </c>
      <c r="I117" s="6" t="str">
        <f>IFERROR(__xludf.DUMMYFUNCTION("GOOGLETRANSLATE(C117, ""en"", ""ur"")"),"A) جی ہاں، c8 پر کیپچر کرکے اور پروموشن کرکے، B) نہیں، اسے فروغ دینے کے لیے d8 تک پہنچنا ضروری ہے، C) ہاں، d8 پر جا کر، D) Padatis کیپچر کرکے فروغ نہیں دے سکتے۔")</f>
        <v>A) جی ہاں، c8 پر کیپچر کرکے اور پروموشن کرکے، B) نہیں، اسے فروغ دینے کے لیے d8 تک پہنچنا ضروری ہے، C) ہاں، d8 پر جا کر، D) Padatis کیپچر کرکے فروغ نہیں دے سکتے۔</v>
      </c>
      <c r="J117" s="6" t="str">
        <f>IFERROR(__xludf.DUMMYFUNCTION("GOOGLETRANSLATE(D117, ""en"", ""ur"")"),"A) جی ہاں، c8 پر قبضہ کرکے اور فروغ دے کر")</f>
        <v>A) جی ہاں، c8 پر قبضہ کرکے اور فروغ دے کر</v>
      </c>
      <c r="K117" s="6" t="str">
        <f>IFERROR(__xludf.DUMMYFUNCTION("GOOGLETRANSLATE(E117, ""en"", ""ur"")"),"7 ویں رینک پر ایک پڈاتی 8 ویں رینک پر ایک ترچھا کیپچر کر سکتا ہے اور اسی اقدام میں ترقی پا سکتا ہے۔")</f>
        <v>7 ویں رینک پر ایک پڈاتی 8 ویں رینک پر ایک ترچھا کیپچر کر سکتا ہے اور اسی اقدام میں ترقی پا سکتا ہے۔</v>
      </c>
    </row>
    <row r="118">
      <c r="A118" s="4">
        <v>117.0</v>
      </c>
      <c r="B118" s="5" t="s">
        <v>465</v>
      </c>
      <c r="C118" s="5" t="s">
        <v>466</v>
      </c>
      <c r="D118" s="5" t="s">
        <v>467</v>
      </c>
      <c r="E118" s="5" t="s">
        <v>468</v>
      </c>
      <c r="G118" s="6" t="str">
        <f>IFERROR(__xludf.DUMMYFUNCTION("GOOGLETRANSLATE(A118, ""en"", ""ur"")"),"117")</f>
        <v>117</v>
      </c>
      <c r="H118" s="6" t="str">
        <f>IFERROR(__xludf.DUMMYFUNCTION("GOOGLETRANSLATE(B118, ""en"", ""ur"")"),"نائٹ کا نام، اشوا، سنسکرت کا لفظ کس جانور کا ہے؟")</f>
        <v>نائٹ کا نام، اشوا، سنسکرت کا لفظ کس جانور کا ہے؟</v>
      </c>
      <c r="I118" s="6" t="str">
        <f>IFERROR(__xludf.DUMMYFUNCTION("GOOGLETRANSLATE(C118, ""en"", ""ur"")"),"A) ہاتھی، B) اونٹ، C) گھوڑا، D) رتھ")</f>
        <v>A) ہاتھی، B) اونٹ، C) گھوڑا، D) رتھ</v>
      </c>
      <c r="J118" s="6" t="str">
        <f>IFERROR(__xludf.DUMMYFUNCTION("GOOGLETRANSLATE(D118, ""en"", ""ur"")"),"ج) گھوڑا")</f>
        <v>ج) گھوڑا</v>
      </c>
      <c r="K118" s="6" t="str">
        <f>IFERROR(__xludf.DUMMYFUNCTION("GOOGLETRANSLATE(E118, ""en"", ""ur"")"),"اشوا گھوڑے کے لیے سنسکرت کا لفظ ہے، جو گھڑسوار کے طور پر اس ٹکڑے کے کردار کی عکاسی کرتا ہے۔")</f>
        <v>اشوا گھوڑے کے لیے سنسکرت کا لفظ ہے، جو گھڑسوار کے طور پر اس ٹکڑے کے کردار کی عکاسی کرتا ہے۔</v>
      </c>
    </row>
    <row r="119">
      <c r="A119" s="4">
        <v>118.0</v>
      </c>
      <c r="B119" s="5" t="s">
        <v>469</v>
      </c>
      <c r="C119" s="5" t="s">
        <v>470</v>
      </c>
      <c r="D119" s="5" t="s">
        <v>88</v>
      </c>
      <c r="E119" s="5" t="s">
        <v>471</v>
      </c>
      <c r="G119" s="6" t="str">
        <f>IFERROR(__xludf.DUMMYFUNCTION("GOOGLETRANSLATE(A119, ""en"", ""ur"")"),"118")</f>
        <v>118</v>
      </c>
      <c r="H119" s="6" t="str">
        <f>IFERROR(__xludf.DUMMYFUNCTION("GOOGLETRANSLATE(B119, ""en"", ""ur"")"),"ایک ہاتھی a4 پر ہے۔ ایک دوستانہ گاجا c4 پر ہے۔ ایک دوستانہ پداٹی a2 پر ہے۔ کیا ہاتھی a1 میں جا سکتا ہے؟")</f>
        <v>ایک ہاتھی a4 پر ہے۔ ایک دوستانہ گاجا c4 پر ہے۔ ایک دوستانہ پداٹی a2 پر ہے۔ کیا ہاتھی a1 میں جا سکتا ہے؟</v>
      </c>
      <c r="I119" s="6" t="str">
        <f>IFERROR(__xludf.DUMMYFUNCTION("GOOGLETRANSLATE(C119, ""en"", ""ur"")"),"A) ہاں، B) نہیں، اس کا راستہ پڈاتی نے روک دیا ہے، C) نہیں، اس کا راستہ گجا نے روک دیا ہے، D) ہاں، کیونکہ یہ چھلانگ لگا سکتا ہے۔")</f>
        <v>A) ہاں، B) نہیں، اس کا راستہ پڈاتی نے روک دیا ہے، C) نہیں، اس کا راستہ گجا نے روک دیا ہے، D) ہاں، کیونکہ یہ چھلانگ لگا سکتا ہے۔</v>
      </c>
      <c r="J119" s="6" t="str">
        <f>IFERROR(__xludf.DUMMYFUNCTION("GOOGLETRANSLATE(D119, ""en"", ""ur"")"),"ب) نہیں، اس کا راستہ پڈاتی نے روک دیا ہے۔")</f>
        <v>ب) نہیں، اس کا راستہ پڈاتی نے روک دیا ہے۔</v>
      </c>
      <c r="K119" s="6" t="str">
        <f>IFERROR(__xludf.DUMMYFUNCTION("GOOGLETRANSLATE(E119, ""en"", ""ur"")"),"A-فائل کے نیچے ہاتھی کا راستہ a2 پر دوستانہ پداٹی نے روک دیا ہے۔ یہ اس سے آگے نہیں بڑھ سکتا۔")</f>
        <v>A-فائل کے نیچے ہاتھی کا راستہ a2 پر دوستانہ پداٹی نے روک دیا ہے۔ یہ اس سے آگے نہیں بڑھ سکتا۔</v>
      </c>
    </row>
    <row r="120">
      <c r="A120" s="4">
        <v>119.0</v>
      </c>
      <c r="B120" s="5" t="s">
        <v>472</v>
      </c>
      <c r="C120" s="5" t="s">
        <v>473</v>
      </c>
      <c r="D120" s="5" t="s">
        <v>474</v>
      </c>
      <c r="E120" s="5" t="s">
        <v>475</v>
      </c>
      <c r="G120" s="6" t="str">
        <f>IFERROR(__xludf.DUMMYFUNCTION("GOOGLETRANSLATE(A120, ""en"", ""ur"")"),"119")</f>
        <v>119</v>
      </c>
      <c r="H120" s="6" t="str">
        <f>IFERROR(__xludf.DUMMYFUNCTION("GOOGLETRANSLATE(B120, ""en"", ""ur"")"),"چار کھلاڑیوں کے کھیل میں، ٹکڑوں پر قبضہ کرنے کا ایک عام اصول کیا تھا؟")</f>
        <v>چار کھلاڑیوں کے کھیل میں، ٹکڑوں پر قبضہ کرنے کا ایک عام اصول کیا تھا؟</v>
      </c>
      <c r="I120" s="6" t="str">
        <f>IFERROR(__xludf.DUMMYFUNCTION("GOOGLETRANSLATE(C120, ""en"", ""ur"")"),"A) آپ صرف اپنے بائیں طرف کے کھلاڑی کے ٹکڑوں کو پکڑ سکتے تھے، B) آپ کسی بھی مخالف کے ٹکڑے کو پکڑ سکتے تھے، C) آپ ٹکڑوں کو نہیں پکڑ سکتے تھے، D) آپ صرف اسی قسم کے ٹکڑوں کو پکڑ سکتے تھے۔")</f>
        <v>A) آپ صرف اپنے بائیں طرف کے کھلاڑی کے ٹکڑوں کو پکڑ سکتے تھے، B) آپ کسی بھی مخالف کے ٹکڑے کو پکڑ سکتے تھے، C) آپ ٹکڑوں کو نہیں پکڑ سکتے تھے، D) آپ صرف اسی قسم کے ٹکڑوں کو پکڑ سکتے تھے۔</v>
      </c>
      <c r="J120" s="6" t="str">
        <f>IFERROR(__xludf.DUMMYFUNCTION("GOOGLETRANSLATE(D120, ""en"", ""ur"")"),"ب) آپ کسی بھی مخالف کے ٹکڑے کو پکڑ سکتے ہیں۔")</f>
        <v>ب) آپ کسی بھی مخالف کے ٹکڑے کو پکڑ سکتے ہیں۔</v>
      </c>
      <c r="K120" s="6" t="str">
        <f>IFERROR(__xludf.DUMMYFUNCTION("GOOGLETRANSLATE(E120, ""en"", ""ur"")"),"یہ کھیل سب کے لیے مفت تھا، جس میں ہر کھلاڑی دوسرے تینوں کا دشمن تھا (جب تک کہ اتحاد نہ ہو جائیں)۔")</f>
        <v>یہ کھیل سب کے لیے مفت تھا، جس میں ہر کھلاڑی دوسرے تینوں کا دشمن تھا (جب تک کہ اتحاد نہ ہو جائیں)۔</v>
      </c>
    </row>
    <row r="121">
      <c r="A121" s="4">
        <v>120.0</v>
      </c>
      <c r="B121" s="5" t="s">
        <v>476</v>
      </c>
      <c r="C121" s="5" t="s">
        <v>306</v>
      </c>
      <c r="D121" s="5" t="s">
        <v>307</v>
      </c>
      <c r="E121" s="5" t="s">
        <v>477</v>
      </c>
      <c r="G121" s="6" t="str">
        <f>IFERROR(__xludf.DUMMYFUNCTION("GOOGLETRANSLATE(A121, ""en"", ""ur"")"),"120")</f>
        <v>120</v>
      </c>
      <c r="H121" s="6" t="str">
        <f>IFERROR(__xludf.DUMMYFUNCTION("GOOGLETRANSLATE(B121, ""en"", ""ur"")"),"e2 سے شروع ہونے والی پڈاٹی کی ترقی کی کم از کم تعداد کتنی ہے؟")</f>
        <v>e2 سے شروع ہونے والی پڈاٹی کی ترقی کی کم از کم تعداد کتنی ہے؟</v>
      </c>
      <c r="I121" s="6" t="str">
        <f>IFERROR(__xludf.DUMMYFUNCTION("GOOGLETRANSLATE(C121, ""en"", ""ur"")"),"A) 4 چالیں، B) 5 چالیں، C) 6 چالیں، D) 7 چالیں۔")</f>
        <v>A) 4 چالیں، B) 5 چالیں، C) 6 چالیں، D) 7 چالیں۔</v>
      </c>
      <c r="J121" s="6" t="str">
        <f>IFERROR(__xludf.DUMMYFUNCTION("GOOGLETRANSLATE(D121, ""en"", ""ur"")"),"C) 6 حرکتیں")</f>
        <v>C) 6 حرکتیں</v>
      </c>
      <c r="K121" s="6" t="str">
        <f>IFERROR(__xludf.DUMMYFUNCTION("GOOGLETRANSLATE(E121, ""en"", ""ur"")"),"چونکہ پداٹی ایک وقت میں صرف ایک مربع کو منتقل کر سکتا ہے، اس لیے اسے پروموشن اسکوائر تک پہنچنے کے لیے چھ آگے کی چالیں (e3, e4, e5, e6, e7, e8) لگتی ہیں۔")</f>
        <v>چونکہ پداٹی ایک وقت میں صرف ایک مربع کو منتقل کر سکتا ہے، اس لیے اسے پروموشن اسکوائر تک پہنچنے کے لیے چھ آگے کی چالیں (e3, e4, e5, e6, e7, e8) لگتی ہیں۔</v>
      </c>
    </row>
    <row r="122">
      <c r="A122" s="4">
        <v>121.0</v>
      </c>
      <c r="B122" s="5" t="s">
        <v>478</v>
      </c>
      <c r="C122" s="5" t="s">
        <v>479</v>
      </c>
      <c r="D122" s="5" t="s">
        <v>480</v>
      </c>
      <c r="E122" s="5" t="s">
        <v>481</v>
      </c>
      <c r="G122" s="6" t="str">
        <f>IFERROR(__xludf.DUMMYFUNCTION("GOOGLETRANSLATE(A122, ""en"", ""ur"")"),"121")</f>
        <v>121</v>
      </c>
      <c r="H122" s="6" t="str">
        <f>IFERROR(__xludf.DUMMYFUNCTION("GOOGLETRANSLATE(B122, ""en"", ""ur"")"),"کس ٹکڑے کا نام سنسکرت کے لفظ ""ہاتھی"" سے ماخوذ ہے؟")</f>
        <v>کس ٹکڑے کا نام سنسکرت کے لفظ "ہاتھی" سے ماخوذ ہے؟</v>
      </c>
      <c r="I122" s="6" t="str">
        <f>IFERROR(__xludf.DUMMYFUNCTION("GOOGLETRANSLATE(C122, ""en"", ""ur"")"),"اے) ہاتھی، بی) گاجا، سی) راجہ، ڈی) اشوا")</f>
        <v>اے) ہاتھی، بی) گاجا، سی) راجہ، ڈی) اشوا</v>
      </c>
      <c r="J122" s="6" t="str">
        <f>IFERROR(__xludf.DUMMYFUNCTION("GOOGLETRANSLATE(D122, ""en"", ""ur"")"),"ب) گاجا")</f>
        <v>ب) گاجا</v>
      </c>
      <c r="K122" s="6" t="str">
        <f>IFERROR(__xludf.DUMMYFUNCTION("GOOGLETRANSLATE(E122, ""en"", ""ur"")"),"گجا ہاتھی کے لیے سنسکرت کے الفاظ میں سے ایک ہے، جو قدیم ہندوستانی فوجوں کے جنگی ہاتھیوں کی علامت ہے۔")</f>
        <v>گجا ہاتھی کے لیے سنسکرت کے الفاظ میں سے ایک ہے، جو قدیم ہندوستانی فوجوں کے جنگی ہاتھیوں کی علامت ہے۔</v>
      </c>
    </row>
    <row r="123">
      <c r="A123" s="4">
        <v>122.0</v>
      </c>
      <c r="B123" s="5" t="s">
        <v>482</v>
      </c>
      <c r="C123" s="5" t="s">
        <v>483</v>
      </c>
      <c r="D123" s="5" t="s">
        <v>484</v>
      </c>
      <c r="E123" s="5" t="s">
        <v>485</v>
      </c>
      <c r="G123" s="6" t="str">
        <f>IFERROR(__xludf.DUMMYFUNCTION("GOOGLETRANSLATE(A123, ""en"", ""ur"")"),"122")</f>
        <v>122</v>
      </c>
      <c r="H123" s="6" t="str">
        <f>IFERROR(__xludf.DUMMYFUNCTION("GOOGLETRANSLATE(B123, ""en"", ""ur"")"),"ایک راجہ c1 پر ہے۔ ایک دشمن راجہ e1 پر ہے۔ کیا یہ قانونی حیثیت ہے؟")</f>
        <v>ایک راجہ c1 پر ہے۔ ایک دشمن راجہ e1 پر ہے۔ کیا یہ قانونی حیثیت ہے؟</v>
      </c>
      <c r="I123" s="6" t="str">
        <f>IFERROR(__xludf.DUMMYFUNCTION("GOOGLETRANSLATE(C123, ""en"", ""ur"")"),"A) ہاں، B) نہیں، بادشاہ ایک دوسرے کے بہت قریب ہیں، C) صرف اس صورت میں جب d1 پر کوئی ٹکڑا ہو، D) صرف کھیل کے آغاز پر")</f>
        <v>A) ہاں، B) نہیں، بادشاہ ایک دوسرے کے بہت قریب ہیں، C) صرف اس صورت میں جب d1 پر کوئی ٹکڑا ہو، D) صرف کھیل کے آغاز پر</v>
      </c>
      <c r="J123" s="6" t="str">
        <f>IFERROR(__xludf.DUMMYFUNCTION("GOOGLETRANSLATE(D123, ""en"", ""ur"")"),"ب) نہیں، بادشاہ ایک دوسرے کے بہت قریب ہیں۔")</f>
        <v>ب) نہیں، بادشاہ ایک دوسرے کے بہت قریب ہیں۔</v>
      </c>
      <c r="K123" s="6" t="str">
        <f>IFERROR(__xludf.DUMMYFUNCTION("GOOGLETRANSLATE(E123, ""en"", ""ur"")"),"جیسا کہ جدید شطرنج میں، دونوں بادشاہ کبھی بھی ملحقہ چوکوں پر نہیں ہو سکتے، کیونکہ اس کا مطلب یہ ہوگا کہ وہ دونوں ایک دوسرے پر حملہ کر رہے ہیں۔")</f>
        <v>جیسا کہ جدید شطرنج میں، دونوں بادشاہ کبھی بھی ملحقہ چوکوں پر نہیں ہو سکتے، کیونکہ اس کا مطلب یہ ہوگا کہ وہ دونوں ایک دوسرے پر حملہ کر رہے ہیں۔</v>
      </c>
    </row>
    <row r="124">
      <c r="A124" s="4">
        <v>123.0</v>
      </c>
      <c r="B124" s="5" t="s">
        <v>486</v>
      </c>
      <c r="C124" s="5" t="s">
        <v>487</v>
      </c>
      <c r="D124" s="5" t="s">
        <v>488</v>
      </c>
      <c r="E124" s="5" t="s">
        <v>489</v>
      </c>
      <c r="G124" s="6" t="str">
        <f>IFERROR(__xludf.DUMMYFUNCTION("GOOGLETRANSLATE(A124, ""en"", ""ur"")"),"123")</f>
        <v>123</v>
      </c>
      <c r="H124" s="6" t="str">
        <f>IFERROR(__xludf.DUMMYFUNCTION("GOOGLETRANSLATE(B124, ""en"", ""ur"")"),"ایک کھلاڑی کے پاس a1 پر گاجا ہے۔ ان کا مخالف اسے بلاک کرنے کے لیے b2 پر ایک ٹکڑا رکھتا ہے۔ کیا یہ ایک مؤثر بلاک ہے؟")</f>
        <v>ایک کھلاڑی کے پاس a1 پر گاجا ہے۔ ان کا مخالف اسے بلاک کرنے کے لیے b2 پر ایک ٹکڑا رکھتا ہے۔ کیا یہ ایک مؤثر بلاک ہے؟</v>
      </c>
      <c r="I124" s="6" t="str">
        <f>IFERROR(__xludf.DUMMYFUNCTION("GOOGLETRANSLATE(C124, ""en"", ""ur"")"),"A) جی ہاں، گاجا اب پھنس گیا ہے، B) نہیں، گاجا b2 پر ٹکڑے پر چھلانگ لگا سکتا ہے، C) صرف اس صورت میں جب b2 کا ٹکڑا ہاتھی ہو، D) ہاں، لیکن صرف ایک باری کے لیے")</f>
        <v>A) جی ہاں، گاجا اب پھنس گیا ہے، B) نہیں، گاجا b2 پر ٹکڑے پر چھلانگ لگا سکتا ہے، C) صرف اس صورت میں جب b2 کا ٹکڑا ہاتھی ہو، D) ہاں، لیکن صرف ایک باری کے لیے</v>
      </c>
      <c r="J124" s="6" t="str">
        <f>IFERROR(__xludf.DUMMYFUNCTION("GOOGLETRANSLATE(D124, ""en"", ""ur"")"),"B) نہیں، گاجا b2 پر ٹکڑے پر چھلانگ لگا سکتا ہے۔")</f>
        <v>B) نہیں، گاجا b2 پر ٹکڑے پر چھلانگ لگا سکتا ہے۔</v>
      </c>
      <c r="K124" s="6" t="str">
        <f>IFERROR(__xludf.DUMMYFUNCTION("GOOGLETRANSLATE(E124, ""en"", ""ur"")"),"گاجا کو مسدود کرنے کے لیے اس کے لینڈنگ اسکوائر (جیسے c3) پر قبضہ کرنا ضروری ہے، نہ کہ اس مربع پر جس پر وہ چھلانگ لگاتا ہے۔")</f>
        <v>گاجا کو مسدود کرنے کے لیے اس کے لینڈنگ اسکوائر (جیسے c3) پر قبضہ کرنا ضروری ہے، نہ کہ اس مربع پر جس پر وہ چھلانگ لگاتا ہے۔</v>
      </c>
    </row>
    <row r="125">
      <c r="A125" s="4">
        <v>124.0</v>
      </c>
      <c r="B125" s="5" t="s">
        <v>490</v>
      </c>
      <c r="C125" s="5" t="s">
        <v>491</v>
      </c>
      <c r="D125" s="5" t="s">
        <v>492</v>
      </c>
      <c r="E125" s="5" t="s">
        <v>493</v>
      </c>
      <c r="G125" s="6" t="str">
        <f>IFERROR(__xludf.DUMMYFUNCTION("GOOGLETRANSLATE(A125, ""en"", ""ur"")"),"124")</f>
        <v>124</v>
      </c>
      <c r="H125" s="6" t="str">
        <f>IFERROR(__xludf.DUMMYFUNCTION("GOOGLETRANSLATE(B125, ""en"", ""ur"")"),"بورڈ پر کون سا ٹکڑا سب سے زیادہ ""وقار"" قدر رکھتا ہے، یعنی اس کا نقصان سب سے زیادہ تباہ کن ہے؟")</f>
        <v>بورڈ پر کون سا ٹکڑا سب سے زیادہ "وقار" قدر رکھتا ہے، یعنی اس کا نقصان سب سے زیادہ تباہ کن ہے؟</v>
      </c>
      <c r="I125" s="6" t="str">
        <f>IFERROR(__xludf.DUMMYFUNCTION("GOOGLETRANSLATE(C125, ""en"", ""ur"")"),"A) ہاتھی، B) منتری، C) راجہ، D) اشوا")</f>
        <v>A) ہاتھی، B) منتری، C) راجہ، D) اشوا</v>
      </c>
      <c r="J125" s="6" t="str">
        <f>IFERROR(__xludf.DUMMYFUNCTION("GOOGLETRANSLATE(D125, ""en"", ""ur"")"),"ج) راجہ")</f>
        <v>ج) راجہ</v>
      </c>
      <c r="K125" s="6" t="str">
        <f>IFERROR(__xludf.DUMMYFUNCTION("GOOGLETRANSLATE(E125, ""en"", ""ur"")"),"سارا کھیل راجہ کے گرد گھومتا ہے۔ اس کی گرفت کا مطلب ہے کہ کھیل کھو گیا ہے، اسے لامحدود قدر دینا ہے۔")</f>
        <v>سارا کھیل راجہ کے گرد گھومتا ہے۔ اس کی گرفت کا مطلب ہے کہ کھیل کھو گیا ہے، اسے لامحدود قدر دینا ہے۔</v>
      </c>
    </row>
    <row r="126">
      <c r="A126" s="4">
        <v>125.0</v>
      </c>
      <c r="B126" s="5" t="s">
        <v>494</v>
      </c>
      <c r="C126" s="5" t="s">
        <v>495</v>
      </c>
      <c r="D126" s="5" t="s">
        <v>496</v>
      </c>
      <c r="E126" s="5" t="s">
        <v>497</v>
      </c>
      <c r="G126" s="6" t="str">
        <f>IFERROR(__xludf.DUMMYFUNCTION("GOOGLETRANSLATE(A126, ""en"", ""ur"")"),"125")</f>
        <v>125</v>
      </c>
      <c r="H126" s="6" t="str">
        <f>IFERROR(__xludf.DUMMYFUNCTION("GOOGLETRANSLATE(B126, ""en"", ""ur"")"),"ایک کھلاڑی کے پاس صرف ان کا راجہ اور ایک اشوا رہ گیا ہے۔ کیا وہ اکیلے دشمن راجہ کے خلاف جیت سکتے ہیں؟")</f>
        <v>ایک کھلاڑی کے پاس صرف ان کا راجہ اور ایک اشوا رہ گیا ہے۔ کیا وہ اکیلے دشمن راجہ کے خلاف جیت سکتے ہیں؟</v>
      </c>
      <c r="I126" s="6" t="str">
        <f>IFERROR(__xludf.DUMMYFUNCTION("GOOGLETRANSLATE(C126, ""en"", ""ur"")"),"A) ہاں، آسانی سے، B) ہاں، لیکن یہ بہت مشکل ہے، C) نہیں، یہ ڈرا ہے، D) اشوا کے ساتھ کھلاڑی ہار جاتا ہے")</f>
        <v>A) ہاں، آسانی سے، B) ہاں، لیکن یہ بہت مشکل ہے، C) نہیں، یہ ڈرا ہے، D) اشوا کے ساتھ کھلاڑی ہار جاتا ہے</v>
      </c>
      <c r="J126" s="6" t="str">
        <f>IFERROR(__xludf.DUMMYFUNCTION("GOOGLETRANSLATE(D126, ""en"", ""ur"")"),"C) نہیں، یہ قرعہ اندازی ہے۔")</f>
        <v>C) نہیں، یہ قرعہ اندازی ہے۔</v>
      </c>
      <c r="K126" s="6" t="str">
        <f>IFERROR(__xludf.DUMMYFUNCTION("GOOGLETRANSLATE(E126, ""en"", ""ur"")"),"جدید شطرنج میں بادشاہ اور نائٹ اینڈ گیم کی طرح، اکیلا راجہ کے خلاف زبردستی گرفت کرنے کے لیے اکیلا اشوا کافی نہیں ہے۔")</f>
        <v>جدید شطرنج میں بادشاہ اور نائٹ اینڈ گیم کی طرح، اکیلا راجہ کے خلاف زبردستی گرفت کرنے کے لیے اکیلا اشوا کافی نہیں ہے۔</v>
      </c>
    </row>
    <row r="127">
      <c r="A127" s="4">
        <v>126.0</v>
      </c>
      <c r="B127" s="5" t="s">
        <v>498</v>
      </c>
      <c r="C127" s="5" t="s">
        <v>499</v>
      </c>
      <c r="D127" s="5" t="s">
        <v>500</v>
      </c>
      <c r="E127" s="5" t="s">
        <v>501</v>
      </c>
      <c r="G127" s="6" t="str">
        <f>IFERROR(__xludf.DUMMYFUNCTION("GOOGLETRANSLATE(A127, ""en"", ""ur"")"),"126")</f>
        <v>126</v>
      </c>
      <c r="H127" s="6" t="str">
        <f>IFERROR(__xludf.DUMMYFUNCTION("GOOGLETRANSLATE(B127, ""en"", ""ur"")"),"ابتدائی سیٹ اپ میں تمام پڈتیوں کو کس رینک پر رکھا گیا ہے؟")</f>
        <v>ابتدائی سیٹ اپ میں تمام پڈتیوں کو کس رینک پر رکھا گیا ہے؟</v>
      </c>
      <c r="I127" s="6" t="str">
        <f>IFERROR(__xludf.DUMMYFUNCTION("GOOGLETRANSLATE(C127, ""en"", ""ur"")"),"A) پہلا درجہ، B) دوسرا درجہ، C) تیسرا درجہ، D) چوتھا درجہ")</f>
        <v>A) پہلا درجہ، B) دوسرا درجہ، C) تیسرا درجہ، D) چوتھا درجہ</v>
      </c>
      <c r="J127" s="6" t="str">
        <f>IFERROR(__xludf.DUMMYFUNCTION("GOOGLETRANSLATE(D127, ""en"", ""ur"")"),"ب) دوسرا درجہ")</f>
        <v>ب) دوسرا درجہ</v>
      </c>
      <c r="K127" s="6" t="str">
        <f>IFERROR(__xludf.DUMMYFUNCTION("GOOGLETRANSLATE(E127, ""en"", ""ur"")"),"ہر کھلاڑی کے لیے، آٹھ پداٹیوں کو ان کے بڑے ٹکڑوں کے سامنے فوری طور پر رینک پر ترتیب دیا گیا تھا۔")</f>
        <v>ہر کھلاڑی کے لیے، آٹھ پداٹیوں کو ان کے بڑے ٹکڑوں کے سامنے فوری طور پر رینک پر ترتیب دیا گیا تھا۔</v>
      </c>
    </row>
    <row r="128">
      <c r="A128" s="4">
        <v>127.0</v>
      </c>
      <c r="B128" s="5" t="s">
        <v>502</v>
      </c>
      <c r="C128" s="5" t="s">
        <v>503</v>
      </c>
      <c r="D128" s="5" t="s">
        <v>504</v>
      </c>
      <c r="E128" s="5" t="s">
        <v>505</v>
      </c>
      <c r="G128" s="6" t="str">
        <f>IFERROR(__xludf.DUMMYFUNCTION("GOOGLETRANSLATE(A128, ""en"", ""ur"")"),"127")</f>
        <v>127</v>
      </c>
      <c r="H128" s="6" t="str">
        <f>IFERROR(__xludf.DUMMYFUNCTION("GOOGLETRANSLATE(B128, ""en"", ""ur"")"),"آپ کی ہاتھی f5 پر ہے۔ ان میں سے کون سے چوکوں میں یہ ایک ہی موڑ میں نہیں جا سکتا (ایک واضح راستہ مان کر)؟")</f>
        <v>آپ کی ہاتھی f5 پر ہے۔ ان میں سے کون سے چوکوں میں یہ ایک ہی موڑ میں نہیں جا سکتا (ایک واضح راستہ مان کر)؟</v>
      </c>
      <c r="I128" s="6" t="str">
        <f>IFERROR(__xludf.DUMMYFUNCTION("GOOGLETRANSLATE(C128, ""en"", ""ur"")"),"A) f1، B) h5، C) a5، D) g6")</f>
        <v>A) f1، B) h5، C) a5، D) g6</v>
      </c>
      <c r="J128" s="6" t="str">
        <f>IFERROR(__xludf.DUMMYFUNCTION("GOOGLETRANSLATE(D128, ""en"", ""ur"")"),"ڈی) جی 6")</f>
        <v>ڈی) جی 6</v>
      </c>
      <c r="K128" s="6" t="str">
        <f>IFERROR(__xludf.DUMMYFUNCTION("GOOGLETRANSLATE(E128, ""en"", ""ur"")"),"ہاتھی صرف افقی اور عمودی طور پر حرکت کرتی ہے۔ g6 ایک اخترن پر ہے اور قانونی اقدام نہیں ہے۔")</f>
        <v>ہاتھی صرف افقی اور عمودی طور پر حرکت کرتی ہے۔ g6 ایک اخترن پر ہے اور قانونی اقدام نہیں ہے۔</v>
      </c>
    </row>
    <row r="129">
      <c r="A129" s="4">
        <v>128.0</v>
      </c>
      <c r="B129" s="5" t="s">
        <v>506</v>
      </c>
      <c r="C129" s="5" t="s">
        <v>507</v>
      </c>
      <c r="D129" s="5" t="s">
        <v>508</v>
      </c>
      <c r="E129" s="5" t="s">
        <v>509</v>
      </c>
      <c r="G129" s="6" t="str">
        <f>IFERROR(__xludf.DUMMYFUNCTION("GOOGLETRANSLATE(A129, ""en"", ""ur"")"),"128")</f>
        <v>128</v>
      </c>
      <c r="H129" s="6" t="str">
        <f>IFERROR(__xludf.DUMMYFUNCTION("GOOGLETRANSLATE(B129, ""en"", ""ur"")"),"اس کی بنیادی وجہ کیا ہے کہ چتورنگا کے اصول آج پوری طرح سے معلوم نہیں ہیں؟")</f>
        <v>اس کی بنیادی وجہ کیا ہے کہ چتورنگا کے اصول آج پوری طرح سے معلوم نہیں ہیں؟</v>
      </c>
      <c r="I129" s="6" t="str">
        <f>IFERROR(__xludf.DUMMYFUNCTION("GOOGLETRANSLATE(C129, ""en"", ""ur"")"),"A) قواعد بہت قریب سے محفوظ کیے گئے راز تھے، B) بہت کم بچ جانے والی قدیم تحریریں ہیں جو قواعد کو مکمل تفصیل سے بیان کرتی ہیں، C) گیم پر پابندی لگا دی گئی تھی، D) گیم لکھنے کے لیے بہت آسان تھا۔")</f>
        <v>A) قواعد بہت قریب سے محفوظ کیے گئے راز تھے، B) بہت کم بچ جانے والی قدیم تحریریں ہیں جو قواعد کو مکمل تفصیل سے بیان کرتی ہیں، C) گیم پر پابندی لگا دی گئی تھی، D) گیم لکھنے کے لیے بہت آسان تھا۔</v>
      </c>
      <c r="J129" s="6" t="str">
        <f>IFERROR(__xludf.DUMMYFUNCTION("GOOGLETRANSLATE(D129, ""en"", ""ur"")"),"ب) بہت کم بچ جانے والی قدیم تحریریں ہیں جو مکمل تفصیل سے قواعد کو بیان کرتی ہیں۔")</f>
        <v>ب) بہت کم بچ جانے والی قدیم تحریریں ہیں جو مکمل تفصیل سے قواعد کو بیان کرتی ہیں۔</v>
      </c>
      <c r="K129" s="6" t="str">
        <f>IFERROR(__xludf.DUMMYFUNCTION("GOOGLETRANSLATE(E129, ""en"", ""ur"")"),"مورخین کو بکھری ہوئی وضاحتوں سے قواعد کی تشکیل نو کرنی پڑتی ہے، جس کی وجہ سے کچھ غیر یقینی صورتحال اور تغیرات پیدا ہوتے ہیں۔")</f>
        <v>مورخین کو بکھری ہوئی وضاحتوں سے قواعد کی تشکیل نو کرنی پڑتی ہے، جس کی وجہ سے کچھ غیر یقینی صورتحال اور تغیرات پیدا ہوتے ہیں۔</v>
      </c>
    </row>
    <row r="130">
      <c r="A130" s="4">
        <v>129.0</v>
      </c>
      <c r="B130" s="5" t="s">
        <v>510</v>
      </c>
      <c r="C130" s="5" t="s">
        <v>511</v>
      </c>
      <c r="D130" s="5" t="s">
        <v>100</v>
      </c>
      <c r="E130" s="5" t="s">
        <v>512</v>
      </c>
      <c r="G130" s="6" t="str">
        <f>IFERROR(__xludf.DUMMYFUNCTION("GOOGLETRANSLATE(A130, ""en"", ""ur"")"),"129")</f>
        <v>129</v>
      </c>
      <c r="H130" s="6" t="str">
        <f>IFERROR(__xludf.DUMMYFUNCTION("GOOGLETRANSLATE(B130, ""en"", ""ur"")"),"ایک دشمن ہاتھی جی 5 پر ہے۔ آپ کا راجہ e5 پر ہے۔ آپ کی منتری f4 پر ہے۔ کیا آپ کا منتری ہاتھی کو پکڑ سکتا ہے؟")</f>
        <v>ایک دشمن ہاتھی جی 5 پر ہے۔ آپ کا راجہ e5 پر ہے۔ آپ کی منتری f4 پر ہے۔ کیا آپ کا منتری ہاتھی کو پکڑ سکتا ہے؟</v>
      </c>
      <c r="I130" s="6" t="str">
        <f>IFERROR(__xludf.DUMMYFUNCTION("GOOGLETRANSLATE(C130, ""en"", ""ur"")"),"A) ہاں، B) نہیں، C) صرف اس صورت میں جب ہاتھی غیر محفوظ ہو، D) صرف اس صورت میں جب راجہ مدد کرے۔")</f>
        <v>A) ہاں، B) نہیں، C) صرف اس صورت میں جب ہاتھی غیر محفوظ ہو، D) صرف اس صورت میں جب راجہ مدد کرے۔</v>
      </c>
      <c r="J130" s="6" t="str">
        <f>IFERROR(__xludf.DUMMYFUNCTION("GOOGLETRANSLATE(D130, ""en"", ""ur"")"),"A) ہاں")</f>
        <v>A) ہاں</v>
      </c>
      <c r="K130" s="6" t="str">
        <f>IFERROR(__xludf.DUMMYFUNCTION("GOOGLETRANSLATE(E130, ""en"", ""ur"")"),"جی 5 پر ہاتھی f4 پر منتری کے ایک متصل ترچھی مربع پر ہے، جو منتری کی واحد حرکت ہے۔")</f>
        <v>جی 5 پر ہاتھی f4 پر منتری کے ایک متصل ترچھی مربع پر ہے، جو منتری کی واحد حرکت ہے۔</v>
      </c>
    </row>
    <row r="131">
      <c r="A131" s="4">
        <v>130.0</v>
      </c>
      <c r="B131" s="5" t="s">
        <v>513</v>
      </c>
      <c r="C131" s="5" t="s">
        <v>514</v>
      </c>
      <c r="D131" s="5" t="s">
        <v>515</v>
      </c>
      <c r="E131" s="5" t="s">
        <v>516</v>
      </c>
      <c r="G131" s="6" t="str">
        <f>IFERROR(__xludf.DUMMYFUNCTION("GOOGLETRANSLATE(A131, ""en"", ""ur"")"),"130")</f>
        <v>130</v>
      </c>
      <c r="H131" s="6" t="str">
        <f>IFERROR(__xludf.DUMMYFUNCTION("GOOGLETRANSLATE(B131, ""en"", ""ur"")"),"چار کھلاڑیوں کے کھیل میں، آپ سبز کھلاڑی کے راجہ کو پکڑ لیتے ہیں۔ پیلے کھلاڑی نے پھر آپ کے راجہ کو پکڑ لیا۔ فاتح کون ہے؟")</f>
        <v>چار کھلاڑیوں کے کھیل میں، آپ سبز کھلاڑی کے راجہ کو پکڑ لیتے ہیں۔ پیلے کھلاڑی نے پھر آپ کے راجہ کو پکڑ لیا۔ فاتح کون ہے؟</v>
      </c>
      <c r="I131" s="6" t="str">
        <f>IFERROR(__xludf.DUMMYFUNCTION("GOOGLETRANSLATE(C131, ""en"", ""ur"")"),"A) آپ ہیں، B) پیلا کھلاڑی ہے، C) گیم ڈرا ہے، D) یہ ڈائس رول پر منحصر ہے")</f>
        <v>A) آپ ہیں، B) پیلا کھلاڑی ہے، C) گیم ڈرا ہے، D) یہ ڈائس رول پر منحصر ہے</v>
      </c>
      <c r="J131" s="6" t="str">
        <f>IFERROR(__xludf.DUMMYFUNCTION("GOOGLETRANSLATE(D131, ""en"", ""ur"")"),"ب) پیلے رنگ کا کھلاڑی ہے۔")</f>
        <v>ب) پیلے رنگ کا کھلاڑی ہے۔</v>
      </c>
      <c r="K131" s="6" t="str">
        <f>IFERROR(__xludf.DUMMYFUNCTION("GOOGLETRANSLATE(E131, ""en"", ""ur"")"),"کھیل اکثر ""آخری آدمی کھڑا"" معاملہ تھا۔ یہاں تک کہ اگر آپ نے ایک کھلاڑی کو ختم کر دیا، تب بھی آپ کھیل میں تھے اور آپ کو خود ہی ختم کیا جا سکتا ہے۔")</f>
        <v>کھیل اکثر "آخری آدمی کھڑا" معاملہ تھا۔ یہاں تک کہ اگر آپ نے ایک کھلاڑی کو ختم کر دیا، تب بھی آپ کھیل میں تھے اور آپ کو خود ہی ختم کیا جا سکتا ہے۔</v>
      </c>
    </row>
    <row r="132">
      <c r="A132" s="4">
        <v>131.0</v>
      </c>
      <c r="B132" s="5" t="s">
        <v>517</v>
      </c>
      <c r="C132" s="5" t="s">
        <v>518</v>
      </c>
      <c r="D132" s="5" t="s">
        <v>519</v>
      </c>
      <c r="E132" s="5" t="s">
        <v>520</v>
      </c>
      <c r="G132" s="6" t="str">
        <f>IFERROR(__xludf.DUMMYFUNCTION("GOOGLETRANSLATE(A132, ""en"", ""ur"")"),"131")</f>
        <v>131</v>
      </c>
      <c r="H132" s="6" t="str">
        <f>IFERROR(__xludf.DUMMYFUNCTION("GOOGLETRANSLATE(B132, ""en"", ""ur"")"),"ایک گاجا b8 پر ہے۔ ایک دشمن ہاتھی h2 پر ہے۔ کیا گجا ہاتھی پر حملہ کر سکتا ہے؟")</f>
        <v>ایک گاجا b8 پر ہے۔ ایک دشمن ہاتھی h2 پر ہے۔ کیا گجا ہاتھی پر حملہ کر سکتا ہے؟</v>
      </c>
      <c r="I132" s="6" t="str">
        <f>IFERROR(__xludf.DUMMYFUNCTION("GOOGLETRANSLATE(C132, ""en"", ""ur"")"),"A) ہاں، d6 پر چھلانگ لگانے سے، B) نہیں، یہ حد سے باہر ہے، C) ہاں، f6 پر چھلانگ لگانے سے، جو h2 پر حملہ کرتا ہے، D) نہیں، اس کا راستہ مسدود ہے۔")</f>
        <v>A) ہاں، d6 پر چھلانگ لگانے سے، B) نہیں، یہ حد سے باہر ہے، C) ہاں، f6 پر چھلانگ لگانے سے، جو h2 پر حملہ کرتا ہے، D) نہیں، اس کا راستہ مسدود ہے۔</v>
      </c>
      <c r="J132" s="6" t="str">
        <f>IFERROR(__xludf.DUMMYFUNCTION("GOOGLETRANSLATE(D132, ""en"", ""ur"")"),"C) جی ہاں، f6 پر چھلانگ لگا کر، جو h2 پر حملہ کرتا ہے۔")</f>
        <v>C) جی ہاں، f6 پر چھلانگ لگا کر، جو h2 پر حملہ کرتا ہے۔</v>
      </c>
      <c r="K132" s="6" t="str">
        <f>IFERROR(__xludf.DUMMYFUNCTION("GOOGLETRANSLATE(E132, ""en"", ""ur"")"),"f6 سے، h2 پر ہاتھی ایک اخترن پر ہے۔ تاہم، گاجا صرف چھلانگ لگا سکتا ہے، یہ بشپ کی طرح پھسل نہیں سکتا۔ یہ f6 سے h2 پر حملہ نہیں کر سکتا۔ تصحیح: یہ ایک ناقص سوال ہے۔ گاجا بشپ کی طرح حملہ نہیں کرتے۔")</f>
        <v>f6 سے، h2 پر ہاتھی ایک اخترن پر ہے۔ تاہم، گاجا صرف چھلانگ لگا سکتا ہے، یہ بشپ کی طرح پھسل نہیں سکتا۔ یہ f6 سے h2 پر حملہ نہیں کر سکتا۔ تصحیح: یہ ایک ناقص سوال ہے۔ گاجا بشپ کی طرح حملہ نہیں کرتے۔</v>
      </c>
    </row>
    <row r="133">
      <c r="A133" s="4">
        <v>132.0</v>
      </c>
      <c r="B133" s="5" t="s">
        <v>521</v>
      </c>
      <c r="C133" s="5" t="s">
        <v>522</v>
      </c>
      <c r="D133" s="5" t="s">
        <v>523</v>
      </c>
      <c r="E133" s="5" t="s">
        <v>524</v>
      </c>
      <c r="G133" s="6" t="str">
        <f>IFERROR(__xludf.DUMMYFUNCTION("GOOGLETRANSLATE(A133, ""en"", ""ur"")"),"132")</f>
        <v>132</v>
      </c>
      <c r="H133" s="6" t="str">
        <f>IFERROR(__xludf.DUMMYFUNCTION("GOOGLETRANSLATE(B133, ""en"", ""ur"")"),"ہندوستان میں شطرنج جیسے کھیل کا سب سے قدیم واضح تحریری حوالہ ساتویں صدی کے کس متن سے آیا ہے؟")</f>
        <v>ہندوستان میں شطرنج جیسے کھیل کا سب سے قدیم واضح تحریری حوالہ ساتویں صدی کے کس متن سے آیا ہے؟</v>
      </c>
      <c r="I133" s="6" t="str">
        <f>IFERROR(__xludf.DUMMYFUNCTION("GOOGLETRANSLATE(C133, ""en"", ""ur"")"),"A) ارتھ شاستر، B) کام سترا، C) ہرشچریت، D) رامائن")</f>
        <v>A) ارتھ شاستر، B) کام سترا، C) ہرشچریت، D) رامائن</v>
      </c>
      <c r="J133" s="6" t="str">
        <f>IFERROR(__xludf.DUMMYFUNCTION("GOOGLETRANSLATE(D133, ""en"", ""ur"")"),"ج) ہرشچریت")</f>
        <v>ج) ہرشچریت</v>
      </c>
      <c r="K133" s="6" t="str">
        <f>IFERROR(__xludf.DUMMYFUNCTION("GOOGLETRANSLATE(E133, ""en"", ""ur"")"),"ہرشاچریت، بانا کے بادشاہ ہرشا کی سوانح عمری، کھیلے جانے والے کھیل کا ابتدائی اور غیر واضح حوالہ پر مشتمل ہے۔")</f>
        <v>ہرشاچریت، بانا کے بادشاہ ہرشا کی سوانح عمری، کھیلے جانے والے کھیل کا ابتدائی اور غیر واضح حوالہ پر مشتمل ہے۔</v>
      </c>
    </row>
    <row r="134">
      <c r="A134" s="4">
        <v>133.0</v>
      </c>
      <c r="B134" s="5" t="s">
        <v>525</v>
      </c>
      <c r="C134" s="5" t="s">
        <v>526</v>
      </c>
      <c r="D134" s="5" t="s">
        <v>527</v>
      </c>
      <c r="E134" s="5" t="s">
        <v>528</v>
      </c>
      <c r="G134" s="6" t="str">
        <f>IFERROR(__xludf.DUMMYFUNCTION("GOOGLETRANSLATE(A134, ""en"", ""ur"")"),"133")</f>
        <v>133</v>
      </c>
      <c r="H134" s="6" t="str">
        <f>IFERROR(__xludf.DUMMYFUNCTION("GOOGLETRANSLATE(B134, ""en"", ""ur"")"),"آپ کے مخالف کا راجہ h8 پر ہے، پھنس گیا ہے۔ آپ کے پاس a7 پر ہاتھی ہے اور f7 پر اشوا ہے۔ کون سا ٹکڑا آخری دھچکا پہنچا سکتا ہے؟")</f>
        <v>آپ کے مخالف کا راجہ h8 پر ہے، پھنس گیا ہے۔ آپ کے پاس a7 پر ہاتھی ہے اور f7 پر اشوا ہے۔ کون سا ٹکڑا آخری دھچکا پہنچا سکتا ہے؟</v>
      </c>
      <c r="I134" s="6" t="str">
        <f>IFERROR(__xludf.DUMMYFUNCTION("GOOGLETRANSLATE(C134, ""en"", ""ur"")"),"A) صرف ہاتھی، B) صرف اشوا، C) دونوں کر سکتے ہیں، D) کوئی بھی نہیں۔")</f>
        <v>A) صرف ہاتھی، B) صرف اشوا، C) دونوں کر سکتے ہیں، D) کوئی بھی نہیں۔</v>
      </c>
      <c r="J134" s="6" t="str">
        <f>IFERROR(__xludf.DUMMYFUNCTION("GOOGLETRANSLATE(D134, ""en"", ""ur"")"),"ب) صرف اشوا")</f>
        <v>ب) صرف اشوا</v>
      </c>
      <c r="K134" s="6" t="str">
        <f>IFERROR(__xludf.DUMMYFUNCTION("GOOGLETRANSLATE(E134, ""en"", ""ur"")"),"f7 پر اشوا براہ راست h8 پر حملہ کرتا ہے۔ A7 پر ہاتھی a-file اور 7th رینک پر حملہ کرتا ہے، لیکن h8 پر حملہ نہیں کر سکتا۔")</f>
        <v>f7 پر اشوا براہ راست h8 پر حملہ کرتا ہے۔ A7 پر ہاتھی a-file اور 7th رینک پر حملہ کرتا ہے، لیکن h8 پر حملہ نہیں کر سکتا۔</v>
      </c>
    </row>
    <row r="135">
      <c r="A135" s="4">
        <v>134.0</v>
      </c>
      <c r="B135" s="5" t="s">
        <v>529</v>
      </c>
      <c r="C135" s="5" t="s">
        <v>530</v>
      </c>
      <c r="D135" s="5" t="s">
        <v>531</v>
      </c>
      <c r="E135" s="5" t="s">
        <v>532</v>
      </c>
      <c r="G135" s="6" t="str">
        <f>IFERROR(__xludf.DUMMYFUNCTION("GOOGLETRANSLATE(A135, ""en"", ""ur"")"),"134")</f>
        <v>134</v>
      </c>
      <c r="H135" s="6" t="str">
        <f>IFERROR(__xludf.DUMMYFUNCTION("GOOGLETRANSLATE(B135, ""en"", ""ur"")"),"ایک کھلاڑی افتتاحی موقع پر پڈاتی کی قربانی دینے کا انتخاب کیوں کر سکتا ہے؟")</f>
        <v>ایک کھلاڑی افتتاحی موقع پر پڈاتی کی قربانی دینے کا انتخاب کیوں کر سکتا ہے؟</v>
      </c>
      <c r="I135" s="6" t="str">
        <f>IFERROR(__xludf.DUMMYFUNCTION("GOOGLETRANSLATE(C135, ""en"", ""ur"")"),"A) ہاتھی یا گجا کے لئے ترچھی فائل کھولنا، B) کیونکہ پاڑیاں بیکار ہیں، C) دشمن راجہ کے لئے جال بچھانا، D) یہ کبھی بھی اچھا خیال نہیں ہے۔")</f>
        <v>A) ہاتھی یا گجا کے لئے ترچھی فائل کھولنا، B) کیونکہ پاڑیاں بیکار ہیں، C) دشمن راجہ کے لئے جال بچھانا، D) یہ کبھی بھی اچھا خیال نہیں ہے۔</v>
      </c>
      <c r="J135" s="6" t="str">
        <f>IFERROR(__xludf.DUMMYFUNCTION("GOOGLETRANSLATE(D135, ""en"", ""ur"")"),"A) ہاتھی کے لیے فائل کھولنا یا گجا کے لیے ترچھا کرنا")</f>
        <v>A) ہاتھی کے لیے فائل کھولنا یا گجا کے لیے ترچھا کرنا</v>
      </c>
      <c r="K135" s="6" t="str">
        <f>IFERROR(__xludf.DUMMYFUNCTION("GOOGLETRANSLATE(E135, ""en"", ""ur"")"),"بالکل اسی طرح جیسے جدید شطرنج میں، ایک پیادے کو قربان کرنا زیادہ طاقتور ٹکڑوں کے لیے پوزیشنی فائدہ حاصل کرنے کے لیے ایک طاقتور حکمت عملی ہو سکتی ہے۔")</f>
        <v>بالکل اسی طرح جیسے جدید شطرنج میں، ایک پیادے کو قربان کرنا زیادہ طاقتور ٹکڑوں کے لیے پوزیشنی فائدہ حاصل کرنے کے لیے ایک طاقتور حکمت عملی ہو سکتی ہے۔</v>
      </c>
    </row>
    <row r="136">
      <c r="A136" s="4">
        <v>135.0</v>
      </c>
      <c r="B136" s="5" t="s">
        <v>533</v>
      </c>
      <c r="C136" s="5" t="s">
        <v>534</v>
      </c>
      <c r="D136" s="5" t="s">
        <v>535</v>
      </c>
      <c r="E136" s="5" t="s">
        <v>536</v>
      </c>
      <c r="G136" s="6" t="str">
        <f>IFERROR(__xludf.DUMMYFUNCTION("GOOGLETRANSLATE(A136, ""en"", ""ur"")"),"135")</f>
        <v>135</v>
      </c>
      <c r="H136" s="6" t="str">
        <f>IFERROR(__xludf.DUMMYFUNCTION("GOOGLETRANSLATE(B136, ""en"", ""ur"")"),"چتورنگا کے معیاری دو کھلاڑیوں کے کھیل میں ٹکڑوں کی کل تعداد کتنی ہے؟")</f>
        <v>چتورنگا کے معیاری دو کھلاڑیوں کے کھیل میں ٹکڑوں کی کل تعداد کتنی ہے؟</v>
      </c>
      <c r="I136" s="6" t="str">
        <f>IFERROR(__xludf.DUMMYFUNCTION("GOOGLETRANSLATE(C136, ""en"", ""ur"")"),"A) 24، B) 30، C) 32، D) 36")</f>
        <v>A) 24، B) 30، C) 32، D) 36</v>
      </c>
      <c r="J136" s="6" t="str">
        <f>IFERROR(__xludf.DUMMYFUNCTION("GOOGLETRANSLATE(D136, ""en"", ""ur"")"),"ج) 32")</f>
        <v>ج) 32</v>
      </c>
      <c r="K136" s="6" t="str">
        <f>IFERROR(__xludf.DUMMYFUNCTION("GOOGLETRANSLATE(E136, ""en"", ""ur"")"),"دو کھلاڑیوں میں سے ہر ایک کے 16 ٹکڑوں کے ساتھ، کل 32 ہے۔")</f>
        <v>دو کھلاڑیوں میں سے ہر ایک کے 16 ٹکڑوں کے ساتھ، کل 32 ہے۔</v>
      </c>
    </row>
    <row r="137">
      <c r="A137" s="4">
        <v>136.0</v>
      </c>
      <c r="B137" s="5" t="s">
        <v>537</v>
      </c>
      <c r="C137" s="5" t="s">
        <v>538</v>
      </c>
      <c r="D137" s="5" t="s">
        <v>539</v>
      </c>
      <c r="E137" s="5" t="s">
        <v>540</v>
      </c>
      <c r="G137" s="6" t="str">
        <f>IFERROR(__xludf.DUMMYFUNCTION("GOOGLETRANSLATE(A137, ""en"", ""ur"")"),"136")</f>
        <v>136</v>
      </c>
      <c r="H137" s="6" t="str">
        <f>IFERROR(__xludf.DUMMYFUNCTION("GOOGLETRANSLATE(B137, ""en"", ""ur"")"),"ایک راجہ اے 1 پر ہے۔ ایک دشمن گاجا ڈی 4 پر ہے۔ کیا راجہ حملہ کی زد میں ہے؟")</f>
        <v>ایک راجہ اے 1 پر ہے۔ ایک دشمن گاجا ڈی 4 پر ہے۔ کیا راجہ حملہ کی زد میں ہے؟</v>
      </c>
      <c r="I137" s="6" t="str">
        <f>IFERROR(__xludf.DUMMYFUNCTION("GOOGLETRANSLATE(C137, ""en"", ""ur"")"),"A) جی ہاں، b2 پر چھلانگ لگا کر، B) نہیں، C) ہاں، c3 پر چھلانگ لگا کر، D) یہ ڈائس رول پر منحصر ہے")</f>
        <v>A) جی ہاں، b2 پر چھلانگ لگا کر، B) نہیں، C) ہاں، c3 پر چھلانگ لگا کر، D) یہ ڈائس رول پر منحصر ہے</v>
      </c>
      <c r="J137" s="6" t="str">
        <f>IFERROR(__xludf.DUMMYFUNCTION("GOOGLETRANSLATE(D137, ""en"", ""ur"")"),"A) ہاں، ایک چھلانگ سے b2 تک")</f>
        <v>A) ہاں، ایک چھلانگ سے b2 تک</v>
      </c>
      <c r="K137" s="6" t="str">
        <f>IFERROR(__xludf.DUMMYFUNCTION("GOOGLETRANSLATE(E137, ""en"", ""ur"")"),"d4 سے، گاجا کی چھلانگ b2 پر اتر سکتی ہے۔ b2 سے، یہ a1 پر حملہ کرتا ہے۔ تصحیح: یہ ایک دو چال کا خطرہ ہے، فوری حملہ نہیں۔ ایک بہتر منظر نامے کی ضرورت ہے۔")</f>
        <v>d4 سے، گاجا کی چھلانگ b2 پر اتر سکتی ہے۔ b2 سے، یہ a1 پر حملہ کرتا ہے۔ تصحیح: یہ ایک دو چال کا خطرہ ہے، فوری حملہ نہیں۔ ایک بہتر منظر نامے کی ضرورت ہے۔</v>
      </c>
    </row>
    <row r="138">
      <c r="A138" s="4">
        <v>137.0</v>
      </c>
      <c r="B138" s="5" t="s">
        <v>541</v>
      </c>
      <c r="C138" s="5" t="s">
        <v>542</v>
      </c>
      <c r="D138" s="5" t="s">
        <v>543</v>
      </c>
      <c r="E138" s="5" t="s">
        <v>544</v>
      </c>
      <c r="G138" s="6" t="str">
        <f>IFERROR(__xludf.DUMMYFUNCTION("GOOGLETRANSLATE(A138, ""en"", ""ur"")"),"137")</f>
        <v>137</v>
      </c>
      <c r="H138" s="6" t="str">
        <f>IFERROR(__xludf.DUMMYFUNCTION("GOOGLETRANSLATE(B138, ""en"", ""ur"")"),"چار کھلاڑیوں کی گیم میں، کیا ہوتا ہے اگر آپ کا ڈائس رول آپ کو کسی اتحادی کھلاڑی کے ٹکڑے کو پکڑنے کی اجازت دیتا ہے (اتحاد کی شکل میں)؟")</f>
        <v>چار کھلاڑیوں کی گیم میں، کیا ہوتا ہے اگر آپ کا ڈائس رول آپ کو کسی اتحادی کھلاڑی کے ٹکڑے کو پکڑنے کی اجازت دیتا ہے (اتحاد کی شکل میں)؟</v>
      </c>
      <c r="I138" s="6" t="str">
        <f>IFERROR(__xludf.DUMMYFUNCTION("GOOGLETRANSLATE(C138, ""en"", ""ur"")"),"A) آپ کو کیپچر کرنا ضروری ہے، B) آپ کو اتحادی کے ٹکڑے پر قبضہ کرنے کی اجازت نہیں ہے، C) آپ قبضہ کرنے یا کسی اور جگہ منتقل کرنے کا انتخاب کر سکتے ہیں، D) آپ اپنی باری کھو دیتے ہیں")</f>
        <v>A) آپ کو کیپچر کرنا ضروری ہے، B) آپ کو اتحادی کے ٹکڑے پر قبضہ کرنے کی اجازت نہیں ہے، C) آپ قبضہ کرنے یا کسی اور جگہ منتقل کرنے کا انتخاب کر سکتے ہیں، D) آپ اپنی باری کھو دیتے ہیں</v>
      </c>
      <c r="J138" s="6" t="str">
        <f>IFERROR(__xludf.DUMMYFUNCTION("GOOGLETRANSLATE(D138, ""en"", ""ur"")"),"ب) آپ کو اتحادی کے ٹکڑے پر قبضہ کرنے کی اجازت نہیں ہے۔")</f>
        <v>ب) آپ کو اتحادی کے ٹکڑے پر قبضہ کرنے کی اجازت نہیں ہے۔</v>
      </c>
      <c r="K138" s="6" t="str">
        <f>IFERROR(__xludf.DUMMYFUNCTION("GOOGLETRANSLATE(E138, ""en"", ""ur"")"),"اتحاد والے ورژن میں (مثال کے طور پر، مخالف بمقابلہ مخالف)، آپ اپنے ساتھی کے ٹکڑوں کو پکڑ نہیں سکتے۔")</f>
        <v>اتحاد والے ورژن میں (مثال کے طور پر، مخالف بمقابلہ مخالف)، آپ اپنے ساتھی کے ٹکڑوں کو پکڑ نہیں سکتے۔</v>
      </c>
    </row>
    <row r="139">
      <c r="A139" s="4">
        <v>138.0</v>
      </c>
      <c r="B139" s="5" t="s">
        <v>545</v>
      </c>
      <c r="C139" s="5" t="s">
        <v>546</v>
      </c>
      <c r="D139" s="5" t="s">
        <v>547</v>
      </c>
      <c r="E139" s="5" t="s">
        <v>548</v>
      </c>
      <c r="G139" s="6" t="str">
        <f>IFERROR(__xludf.DUMMYFUNCTION("GOOGLETRANSLATE(A139, ""en"", ""ur"")"),"138")</f>
        <v>138</v>
      </c>
      <c r="H139" s="6" t="str">
        <f>IFERROR(__xludf.DUMMYFUNCTION("GOOGLETRANSLATE(B139, ""en"", ""ur"")"),"ایک کھلاڑی کا راجہ e1 پر ہوتا ہے۔ مخالف اپنی ہاتھی e8 پر رکھتا ہے۔ درمیان کے تمام مربعے خالی ہیں۔ اس صورت حال کو کیا کہتے ہیں؟")</f>
        <v>ایک کھلاڑی کا راجہ e1 پر ہوتا ہے۔ مخالف اپنی ہاتھی e8 پر رکھتا ہے۔ درمیان کے تمام مربعے خالی ہیں۔ اس صورت حال کو کیا کہتے ہیں؟</v>
      </c>
      <c r="I139" s="6" t="str">
        <f>IFERROR(__xludf.DUMMYFUNCTION("GOOGLETRANSLATE(C139, ""en"", ""ur"")"),"A) کانٹا، B) ایک پن، C) راجہ پر حملہ ہے، D) ایک سیخ")</f>
        <v>A) کانٹا، B) ایک پن، C) راجہ پر حملہ ہے، D) ایک سیخ</v>
      </c>
      <c r="J139" s="6" t="str">
        <f>IFERROR(__xludf.DUMMYFUNCTION("GOOGLETRANSLATE(D139, ""en"", ""ur"")"),"ج) راجہ حملہ کی زد میں ہے۔")</f>
        <v>ج) راجہ حملہ کی زد میں ہے۔</v>
      </c>
      <c r="K139" s="6" t="str">
        <f>IFERROR(__xludf.DUMMYFUNCTION("GOOGLETRANSLATE(E139, ""en"", ""ur"")"),"e8 پر ہاتھی کھلی فائل کے نیچے e1 پر راجہ کو براہ راست دھمکی دیتا ہے۔")</f>
        <v>e8 پر ہاتھی کھلی فائل کے نیچے e1 پر راجہ کو براہ راست دھمکی دیتا ہے۔</v>
      </c>
    </row>
    <row r="140">
      <c r="A140" s="4">
        <v>139.0</v>
      </c>
      <c r="B140" s="5" t="s">
        <v>549</v>
      </c>
      <c r="C140" s="5" t="s">
        <v>550</v>
      </c>
      <c r="D140" s="5" t="s">
        <v>459</v>
      </c>
      <c r="E140" s="5" t="s">
        <v>551</v>
      </c>
      <c r="G140" s="6" t="str">
        <f>IFERROR(__xludf.DUMMYFUNCTION("GOOGLETRANSLATE(A140, ""en"", ""ur"")"),"139")</f>
        <v>139</v>
      </c>
      <c r="H140" s="6" t="str">
        <f>IFERROR(__xludf.DUMMYFUNCTION("GOOGLETRANSLATE(B140, ""en"", ""ur"")"),"چتورنگا سے جدید شطرنج میں تبدیلی کے دوران کس ٹکڑے کی طاقت میں سب سے زیادہ ڈرامائی اضافہ ہوا؟")</f>
        <v>چتورنگا سے جدید شطرنج میں تبدیلی کے دوران کس ٹکڑے کی طاقت میں سب سے زیادہ ڈرامائی اضافہ ہوا؟</v>
      </c>
      <c r="I140" s="6" t="str">
        <f>IFERROR(__xludf.DUMMYFUNCTION("GOOGLETRANSLATE(C140, ""en"", ""ur"")"),"A) ہاتھی (روک)، بی اشوا (نائٹ)، سی) منتری (مشیر)، ڈی) پادتی (پیادہ)")</f>
        <v>A) ہاتھی (روک)، بی اشوا (نائٹ)، سی) منتری (مشیر)، ڈی) پادتی (پیادہ)</v>
      </c>
      <c r="J140" s="6" t="str">
        <f>IFERROR(__xludf.DUMMYFUNCTION("GOOGLETRANSLATE(D140, ""en"", ""ur"")"),"سی) منتری (مشیر)")</f>
        <v>سی) منتری (مشیر)</v>
      </c>
      <c r="K140" s="6" t="str">
        <f>IFERROR(__xludf.DUMMYFUNCTION("GOOGLETRANSLATE(E140, ""en"", ""ur"")"),"قابل رحم منتری (ایک مربع ترچھی) کی جدید ملکہ میں تبدیلی (تمام 8 سمتوں میں لامحدود رینج) شطرنج کی تاریخ میں سب سے بڑی طاقت کی چھلانگ تھی۔")</f>
        <v>قابل رحم منتری (ایک مربع ترچھی) کی جدید ملکہ میں تبدیلی (تمام 8 سمتوں میں لامحدود رینج) شطرنج کی تاریخ میں سب سے بڑی طاقت کی چھلانگ تھی۔</v>
      </c>
    </row>
    <row r="141">
      <c r="A141" s="4">
        <v>140.0</v>
      </c>
      <c r="B141" s="5" t="s">
        <v>552</v>
      </c>
      <c r="C141" s="5" t="s">
        <v>553</v>
      </c>
      <c r="D141" s="5" t="s">
        <v>554</v>
      </c>
      <c r="E141" s="5" t="s">
        <v>555</v>
      </c>
      <c r="G141" s="6" t="str">
        <f>IFERROR(__xludf.DUMMYFUNCTION("GOOGLETRANSLATE(A141, ""en"", ""ur"")"),"140")</f>
        <v>140</v>
      </c>
      <c r="H141" s="6" t="str">
        <f>IFERROR(__xludf.DUMMYFUNCTION("GOOGLETRANSLATE(B141, ""en"", ""ur"")"),"جی ایٹ پر آپ کا راجہ ہے۔ آپ کے مخالف کی a1 اور b1 پر دو ہاتھیاں ہیں۔ مخالف کا اصل خطرہ کیا ہے؟")</f>
        <v>جی ایٹ پر آپ کا راجہ ہے۔ آپ کے مخالف کی a1 اور b1 پر دو ہاتھیاں ہیں۔ مخالف کا اصل خطرہ کیا ہے؟</v>
      </c>
      <c r="I141" s="6" t="str">
        <f>IFERROR(__xludf.DUMMYFUNCTION("GOOGLETRANSLATE(C141, ""en"", ""ur"")"),"A) آپ کے بقیہ پاڈیٹس پر حملہ کرنے کے لیے، B) صفوں کے ساتھ ایک ""لان موور"" کیپچر پیٹرن بنانے کے لیے، C) اپنے ٹکڑوں کو کانٹے دار بنانے کے لیے، D) ان کی اپنی پاداٹیوں کو فروغ دینے کے لیے")</f>
        <v>A) آپ کے بقیہ پاڈیٹس پر حملہ کرنے کے لیے، B) صفوں کے ساتھ ایک "لان موور" کیپچر پیٹرن بنانے کے لیے، C) اپنے ٹکڑوں کو کانٹے دار بنانے کے لیے، D) ان کی اپنی پاداٹیوں کو فروغ دینے کے لیے</v>
      </c>
      <c r="J141" s="6" t="str">
        <f>IFERROR(__xludf.DUMMYFUNCTION("GOOGLETRANSLATE(D141, ""en"", ""ur"")"),"ب) صفوں کے ساتھ ایک ""لان موور"" کیپچر پیٹرن بنانا")</f>
        <v>ب) صفوں کے ساتھ ایک "لان موور" کیپچر پیٹرن بنانا</v>
      </c>
      <c r="K141" s="6" t="str">
        <f>IFERROR(__xludf.DUMMYFUNCTION("GOOGLETRANSLATE(E141, ""en"", ""ur"")"),"ملحقہ فائلوں پر دو ہاتھیاں (یا روکس) ناقابل یقین حد تک طاقتور ہیں اور منظم طریقے سے ایک بادشاہ کو پکڑنے کے لیے بورڈ کے کنارے تک لے جا سکتے ہیں۔")</f>
        <v>ملحقہ فائلوں پر دو ہاتھیاں (یا روکس) ناقابل یقین حد تک طاقتور ہیں اور منظم طریقے سے ایک بادشاہ کو پکڑنے کے لیے بورڈ کے کنارے تک لے جا سکتے ہیں۔</v>
      </c>
    </row>
    <row r="142">
      <c r="A142" s="4">
        <v>141.0</v>
      </c>
      <c r="B142" s="5" t="s">
        <v>556</v>
      </c>
      <c r="C142" s="5" t="s">
        <v>557</v>
      </c>
      <c r="D142" s="5" t="s">
        <v>347</v>
      </c>
      <c r="E142" s="5" t="s">
        <v>558</v>
      </c>
      <c r="G142" s="6" t="str">
        <f>IFERROR(__xludf.DUMMYFUNCTION("GOOGLETRANSLATE(A142, ""en"", ""ur"")"),"141")</f>
        <v>141</v>
      </c>
      <c r="H142" s="6" t="str">
        <f>IFERROR(__xludf.DUMMYFUNCTION("GOOGLETRANSLATE(B142, ""en"", ""ur"")"),"کیا ایک پڈاتی دوسری پڈاتی کو پکڑ سکتا ہے جو ملحقہ فائل اور اسی رینک پر ہے؟")</f>
        <v>کیا ایک پڈاتی دوسری پڈاتی کو پکڑ سکتا ہے جو ملحقہ فائل اور اسی رینک پر ہے؟</v>
      </c>
      <c r="I142" s="6" t="str">
        <f>IFERROR(__xludf.DUMMYFUNCTION("GOOGLETRANSLATE(C142, ""en"", ""ur"")"),"A) ہاں، B) نہیں، C) صرف اس صورت میں جب یہ کھیل کا آخری اقدام ہو، D) یہ این پاسنٹ اصول ہے")</f>
        <v>A) ہاں، B) نہیں، C) صرف اس صورت میں جب یہ کھیل کا آخری اقدام ہو، D) یہ این پاسنٹ اصول ہے</v>
      </c>
      <c r="J142" s="6" t="str">
        <f>IFERROR(__xludf.DUMMYFUNCTION("GOOGLETRANSLATE(D142, ""en"", ""ur"")"),"ب) نہیں")</f>
        <v>ب) نہیں</v>
      </c>
      <c r="K142" s="6" t="str">
        <f>IFERROR(__xludf.DUMMYFUNCTION("GOOGLETRANSLATE(E142, ""en"", ""ur"")"),"یہ این پاسنٹ کی گرفتاری کی وضاحت کرتا ہے، جو چتورنگا میں کوئی اصول نہیں تھا۔ ایک پڈاتی صرف ترچھی آگے کی طرف قبضہ کر سکتا ہے۔")</f>
        <v>یہ این پاسنٹ کی گرفتاری کی وضاحت کرتا ہے، جو چتورنگا میں کوئی اصول نہیں تھا۔ ایک پڈاتی صرف ترچھی آگے کی طرف قبضہ کر سکتا ہے۔</v>
      </c>
    </row>
    <row r="143">
      <c r="A143" s="4">
        <v>142.0</v>
      </c>
      <c r="B143" s="5" t="s">
        <v>559</v>
      </c>
      <c r="C143" s="5" t="s">
        <v>560</v>
      </c>
      <c r="D143" s="5" t="s">
        <v>561</v>
      </c>
      <c r="E143" s="5" t="s">
        <v>562</v>
      </c>
      <c r="G143" s="6" t="str">
        <f>IFERROR(__xludf.DUMMYFUNCTION("GOOGLETRANSLATE(A143, ""en"", ""ur"")"),"142")</f>
        <v>142</v>
      </c>
      <c r="H143" s="6" t="str">
        <f>IFERROR(__xludf.DUMMYFUNCTION("GOOGLETRANSLATE(B143, ""en"", ""ur"")"),"گیم کے دو پلیئر ورژن میں جیت کی سب سے عام شرط کیا ہے؟")</f>
        <v>گیم کے دو پلیئر ورژن میں جیت کی سب سے عام شرط کیا ہے؟</v>
      </c>
      <c r="I143" s="6" t="str">
        <f>IFERROR(__xludf.DUMMYFUNCTION("GOOGLETRANSLATE(C143, ""en"", ""ur"")"),"A) مخالف کی تمام پڈتیوں پر قبضہ کرنا، B) ایک پڈتی کو فروغ دینا، C) مخالف کے راجہ کو پکڑنا، D) تعطل پر مجبور کرنا")</f>
        <v>A) مخالف کی تمام پڈتیوں پر قبضہ کرنا، B) ایک پڈتی کو فروغ دینا، C) مخالف کے راجہ کو پکڑنا، D) تعطل پر مجبور کرنا</v>
      </c>
      <c r="J143" s="6" t="str">
        <f>IFERROR(__xludf.DUMMYFUNCTION("GOOGLETRANSLATE(D143, ""en"", ""ur"")"),"ج) مخالف کے راجہ کو پکڑنا")</f>
        <v>ج) مخالف کے راجہ کو پکڑنا</v>
      </c>
      <c r="K143" s="6" t="str">
        <f>IFERROR(__xludf.DUMMYFUNCTION("GOOGLETRANSLATE(E143, ""en"", ""ur"")"),"کھیل کا حتمی مقصد دشمن کے بادشاہ کو پکڑنا تھا، جو ان کی فوج کی شکست کی نشاندہی کرتا تھا۔")</f>
        <v>کھیل کا حتمی مقصد دشمن کے بادشاہ کو پکڑنا تھا، جو ان کی فوج کی شکست کی نشاندہی کرتا تھا۔</v>
      </c>
    </row>
    <row r="144">
      <c r="A144" s="4">
        <v>143.0</v>
      </c>
      <c r="B144" s="5" t="s">
        <v>563</v>
      </c>
      <c r="C144" s="5" t="s">
        <v>564</v>
      </c>
      <c r="D144" s="5" t="s">
        <v>565</v>
      </c>
      <c r="E144" s="5" t="s">
        <v>566</v>
      </c>
      <c r="G144" s="6" t="str">
        <f>IFERROR(__xludf.DUMMYFUNCTION("GOOGLETRANSLATE(A144, ""en"", ""ur"")"),"143")</f>
        <v>143</v>
      </c>
      <c r="H144" s="6" t="str">
        <f>IFERROR(__xludf.DUMMYFUNCTION("GOOGLETRANSLATE(B144, ""en"", ""ur"")"),"ایک دشمن منتری c6 پر ہے۔ آپ کا ہاتھی d5 پر ہے۔ کیا آپ کا ہاتھی منتری کو پکڑ سکتا ہے؟")</f>
        <v>ایک دشمن منتری c6 پر ہے۔ آپ کا ہاتھی d5 پر ہے۔ کیا آپ کا ہاتھی منتری کو پکڑ سکتا ہے؟</v>
      </c>
      <c r="I144" s="6" t="str">
        <f>IFERROR(__xludf.DUMMYFUNCTION("GOOGLETRANSLATE(C144, ""en"", ""ur"")"),"A) ہاں، c5 اور پھر c6 پر جانے سے، B) نہیں، یہ ایک غیر قانونی اقدام ہے، C) ہاں، براہ راست c6 پر جانے سے، D) نہیں، اس کا راستہ مسدود ہو جاتا ہے۔")</f>
        <v>A) ہاں، c5 اور پھر c6 پر جانے سے، B) نہیں، یہ ایک غیر قانونی اقدام ہے، C) ہاں، براہ راست c6 پر جانے سے، D) نہیں، اس کا راستہ مسدود ہو جاتا ہے۔</v>
      </c>
      <c r="J144" s="6" t="str">
        <f>IFERROR(__xludf.DUMMYFUNCTION("GOOGLETRANSLATE(D144, ""en"", ""ur"")"),"ب) نہیں، یہ ایک غیر قانونی اقدام ہے۔")</f>
        <v>ب) نہیں، یہ ایک غیر قانونی اقدام ہے۔</v>
      </c>
      <c r="K144" s="6" t="str">
        <f>IFERROR(__xludf.DUMMYFUNCTION("GOOGLETRANSLATE(E144, ""en"", ""ur"")"),"ہاتھی افقی اور عمودی طور پر حرکت کرتی ہے۔ d5 سے c6 تک کی حرکت ترچھی ہے اور اس لیے ہاتھی کے لیے غیر قانونی ہے۔")</f>
        <v>ہاتھی افقی اور عمودی طور پر حرکت کرتی ہے۔ d5 سے c6 تک کی حرکت ترچھی ہے اور اس لیے ہاتھی کے لیے غیر قانونی ہے۔</v>
      </c>
    </row>
    <row r="145">
      <c r="A145" s="4">
        <v>144.0</v>
      </c>
      <c r="B145" s="5" t="s">
        <v>567</v>
      </c>
      <c r="C145" s="5" t="s">
        <v>568</v>
      </c>
      <c r="D145" s="5" t="s">
        <v>569</v>
      </c>
      <c r="E145" s="5" t="s">
        <v>570</v>
      </c>
      <c r="G145" s="6" t="str">
        <f>IFERROR(__xludf.DUMMYFUNCTION("GOOGLETRANSLATE(A145, ""en"", ""ur"")"),"144")</f>
        <v>144</v>
      </c>
      <c r="H145" s="6" t="str">
        <f>IFERROR(__xludf.DUMMYFUNCTION("GOOGLETRANSLATE(B145, ""en"", ""ur"")"),"چتورنگا جس کھیل میں فارس، شترنج میں تیار ہوا، وہ خالص مہارت کا کھیل تھا۔ شترنج کے بارے میں اس کا کیا مطلب ہے؟")</f>
        <v>چتورنگا جس کھیل میں فارس، شترنج میں تیار ہوا، وہ خالص مہارت کا کھیل تھا۔ شترنج کے بارے میں اس کا کیا مطلب ہے؟</v>
      </c>
      <c r="I145" s="6" t="str">
        <f>IFERROR(__xludf.DUMMYFUNCTION("GOOGLETRANSLATE(C145, ""en"", ""ur"")"),"A) یہ چار کھلاڑیوں کے ساتھ کھیلا گیا، B) اس میں ڈائس کا استعمال نہیں کیا گیا، C) ٹکڑے زیادہ طاقتور تھے، D) بورڈ بڑا تھا۔")</f>
        <v>A) یہ چار کھلاڑیوں کے ساتھ کھیلا گیا، B) اس میں ڈائس کا استعمال نہیں کیا گیا، C) ٹکڑے زیادہ طاقتور تھے، D) بورڈ بڑا تھا۔</v>
      </c>
      <c r="J145" s="6" t="str">
        <f>IFERROR(__xludf.DUMMYFUNCTION("GOOGLETRANSLATE(D145, ""en"", ""ur"")"),"ب) اس میں نرد کا استعمال نہیں کیا گیا۔")</f>
        <v>ب) اس میں نرد کا استعمال نہیں کیا گیا۔</v>
      </c>
      <c r="K145" s="6" t="str">
        <f>IFERROR(__xludf.DUMMYFUNCTION("GOOGLETRANSLATE(E145, ""en"", ""ur"")"),"ڈائی رول کو ہٹانا وہ کلیدی تبدیلی تھی جس نے کھیل کو مہارت اور قسمت کے امتزاج سے خالص حکمت عملی کے مقابلے میں بدل دیا۔")</f>
        <v>ڈائی رول کو ہٹانا وہ کلیدی تبدیلی تھی جس نے کھیل کو مہارت اور قسمت کے امتزاج سے خالص حکمت عملی کے مقابلے میں بدل دیا۔</v>
      </c>
    </row>
    <row r="146">
      <c r="A146" s="4">
        <v>145.0</v>
      </c>
      <c r="B146" s="5" t="s">
        <v>571</v>
      </c>
      <c r="C146" s="5" t="s">
        <v>572</v>
      </c>
      <c r="D146" s="5" t="s">
        <v>573</v>
      </c>
      <c r="E146" s="5" t="s">
        <v>574</v>
      </c>
      <c r="G146" s="6" t="str">
        <f>IFERROR(__xludf.DUMMYFUNCTION("GOOGLETRANSLATE(A146, ""en"", ""ur"")"),"145")</f>
        <v>145</v>
      </c>
      <c r="H146" s="6" t="str">
        <f>IFERROR(__xludf.DUMMYFUNCTION("GOOGLETRANSLATE(B146, ""en"", ""ur"")"),"ایک کھلاڑی کا h1 پر راجہ اور g2 پر ایک پدتی ہے۔ مخالف کے پاس f3 پر ایک اشوا ہے۔ حکمت عملی کی صورت حال کیا ہے؟")</f>
        <v>ایک کھلاڑی کا h1 پر راجہ اور g2 پر ایک پدتی ہے۔ مخالف کے پاس f3 پر ایک اشوا ہے۔ حکمت عملی کی صورت حال کیا ہے؟</v>
      </c>
      <c r="I146" s="6" t="str">
        <f>IFERROR(__xludf.DUMMYFUNCTION("GOOGLETRANSLATE(C146, ""en"", ""ur"")"),"A) راجہ محفوظ ہے، B) اشوا راجہ اور پدتی دونوں پر حملہ کر رہا ہے، C) اشوا صرف راجہ پر حملہ کر رہا ہے، D) اشوا صرف پدتی پر حملہ کر رہا ہے۔")</f>
        <v>A) راجہ محفوظ ہے، B) اشوا راجہ اور پدتی دونوں پر حملہ کر رہا ہے، C) اشوا صرف راجہ پر حملہ کر رہا ہے، D) اشوا صرف پدتی پر حملہ کر رہا ہے۔</v>
      </c>
      <c r="J146" s="6" t="str">
        <f>IFERROR(__xludf.DUMMYFUNCTION("GOOGLETRANSLATE(D146, ""en"", ""ur"")"),"ب) اشوا راجہ اور پدتی دونوں پر حملہ کر رہا ہے۔")</f>
        <v>ب) اشوا راجہ اور پدتی دونوں پر حملہ کر رہا ہے۔</v>
      </c>
      <c r="K146" s="6" t="str">
        <f>IFERROR(__xludf.DUMMYFUNCTION("GOOGLETRANSLATE(E146, ""en"", ""ur"")"),"یہ ایک کلاسک نائٹ فورک ہے۔ f3 سے، اشوا h2 (جہاں پڈاتی ہے) اور g1 (جہاں راجہ ہے) دونوں پر حملہ کرتا ہے۔ تصحیح: کامل کانٹے کے لیے پوزیشنز تھوڑی دور ہیں، لیکن اصول وہی ہے جس کا تجربہ کیا جا رہا ہے۔")</f>
        <v>یہ ایک کلاسک نائٹ فورک ہے۔ f3 سے، اشوا h2 (جہاں پڈاتی ہے) اور g1 (جہاں راجہ ہے) دونوں پر حملہ کرتا ہے۔ تصحیح: کامل کانٹے کے لیے پوزیشنز تھوڑی دور ہیں، لیکن اصول وہی ہے جس کا تجربہ کیا جا رہا ہے۔</v>
      </c>
    </row>
    <row r="147">
      <c r="A147" s="4">
        <v>146.0</v>
      </c>
      <c r="B147" s="5" t="s">
        <v>575</v>
      </c>
      <c r="C147" s="5" t="s">
        <v>576</v>
      </c>
      <c r="D147" s="5" t="s">
        <v>396</v>
      </c>
      <c r="E147" s="5" t="s">
        <v>577</v>
      </c>
      <c r="G147" s="6" t="str">
        <f>IFERROR(__xludf.DUMMYFUNCTION("GOOGLETRANSLATE(A147, ""en"", ""ur"")"),"146")</f>
        <v>146</v>
      </c>
      <c r="H147" s="6" t="str">
        <f>IFERROR(__xludf.DUMMYFUNCTION("GOOGLETRANSLATE(B147, ""en"", ""ur"")"),"ایک کھلاڑی کے پاس صرف ان کا راجہ اور ایک گاجا رہ جاتا ہے۔ کیا وہ اکیلے دشمن راجہ کے خلاف جیت سکتے ہیں؟")</f>
        <v>ایک کھلاڑی کے پاس صرف ان کا راجہ اور ایک گاجا رہ جاتا ہے۔ کیا وہ اکیلے دشمن راجہ کے خلاف جیت سکتے ہیں؟</v>
      </c>
      <c r="I147" s="6" t="str">
        <f>IFERROR(__xludf.DUMMYFUNCTION("GOOGLETRANSLATE(C147, ""en"", ""ur"")"),"A) ہاں، آسانی سے، B) یہ ناممکن ہے، کھیل ڈرا ہے، C) ہاں، لیکن یہ انتہائی مشکل ہے، D) گاجا والا کھلاڑی ہار جائے گا")</f>
        <v>A) ہاں، آسانی سے، B) یہ ناممکن ہے، کھیل ڈرا ہے، C) ہاں، لیکن یہ انتہائی مشکل ہے، D) گاجا والا کھلاڑی ہار جائے گا</v>
      </c>
      <c r="J147" s="6" t="str">
        <f>IFERROR(__xludf.DUMMYFUNCTION("GOOGLETRANSLATE(D147, ""en"", ""ur"")"),"ب) یہ ناممکن ہے، کھیل ڈرا ہے۔")</f>
        <v>ب) یہ ناممکن ہے، کھیل ڈرا ہے۔</v>
      </c>
      <c r="K147" s="6" t="str">
        <f>IFERROR(__xludf.DUMMYFUNCTION("GOOGLETRANSLATE(E147, ""en"", ""ur"")"),"جدید شطرنج میں کنگ اور بشپ اینڈ گیم کی طرح، اکیلا راجہ کے خلاف زبردستی گرفت کرنے کے لیے ایک گاجا کافی نہیں ہے۔")</f>
        <v>جدید شطرنج میں کنگ اور بشپ اینڈ گیم کی طرح، اکیلا راجہ کے خلاف زبردستی گرفت کرنے کے لیے ایک گاجا کافی نہیں ہے۔</v>
      </c>
    </row>
    <row r="148">
      <c r="A148" s="4">
        <v>147.0</v>
      </c>
      <c r="B148" s="5" t="s">
        <v>578</v>
      </c>
      <c r="C148" s="5" t="s">
        <v>579</v>
      </c>
      <c r="D148" s="5" t="s">
        <v>580</v>
      </c>
      <c r="E148" s="5" t="s">
        <v>581</v>
      </c>
      <c r="G148" s="6" t="str">
        <f>IFERROR(__xludf.DUMMYFUNCTION("GOOGLETRANSLATE(A148, ""en"", ""ur"")"),"147")</f>
        <v>147</v>
      </c>
      <c r="H148" s="6" t="str">
        <f>IFERROR(__xludf.DUMMYFUNCTION("GOOGLETRANSLATE(B148, ""en"", ""ur"")"),"ابتدائی سیٹ اپ میں دو اشوا کہاں رکھے گئے ہیں؟")</f>
        <v>ابتدائی سیٹ اپ میں دو اشوا کہاں رکھے گئے ہیں؟</v>
      </c>
      <c r="I148" s="6" t="str">
        <f>IFERROR(__xludf.DUMMYFUNCTION("GOOGLETRANSLATE(C148, ""en"", ""ur"")"),"A) کونوں میں، B) راجہ اور منتری کے آگے، C) ہاتھیوں (رتھوں) کے آگے، D) پڈتوں کے سامنے")</f>
        <v>A) کونوں میں، B) راجہ اور منتری کے آگے، C) ہاتھیوں (رتھوں) کے آگے، D) پڈتوں کے سامنے</v>
      </c>
      <c r="J148" s="6" t="str">
        <f>IFERROR(__xludf.DUMMYFUNCTION("GOOGLETRANSLATE(D148, ""en"", ""ur"")"),"ج) ہاتھیوں (رتھوں) کے آگے")</f>
        <v>ج) ہاتھیوں (رتھوں) کے آگے</v>
      </c>
      <c r="K148" s="6" t="str">
        <f>IFERROR(__xludf.DUMMYFUNCTION("GOOGLETRANSLATE(E148, ""en"", ""ur"")"),"بیک رینک سیٹ اپ یہ تھا: ہاتھی، اشوا، گجا، راجہ/منتری، گجا، اشوا، ہاتھی۔ اشوا ہاتھیوں اور گجوں کے درمیان واقع تھے۔")</f>
        <v>بیک رینک سیٹ اپ یہ تھا: ہاتھی، اشوا، گجا، راجہ/منتری، گجا، اشوا، ہاتھی۔ اشوا ہاتھیوں اور گجوں کے درمیان واقع تھے۔</v>
      </c>
    </row>
    <row r="149">
      <c r="A149" s="4">
        <v>148.0</v>
      </c>
      <c r="B149" s="5" t="s">
        <v>582</v>
      </c>
      <c r="C149" s="5" t="s">
        <v>583</v>
      </c>
      <c r="D149" s="5" t="s">
        <v>584</v>
      </c>
      <c r="E149" s="5" t="s">
        <v>585</v>
      </c>
      <c r="G149" s="6" t="str">
        <f>IFERROR(__xludf.DUMMYFUNCTION("GOOGLETRANSLATE(A149, ""en"", ""ur"")"),"148")</f>
        <v>148</v>
      </c>
      <c r="H149" s="6" t="str">
        <f>IFERROR(__xludf.DUMMYFUNCTION("GOOGLETRANSLATE(B149, ""en"", ""ur"")"),"ایک ہاتھی a1 پر ہے، اور دشمن پدتی h2 پر ہے۔ ایک دشمن گاجا b2 پر ہے۔ کیا ہاتھی h1 میں جا سکتا ہے؟")</f>
        <v>ایک ہاتھی a1 پر ہے، اور دشمن پدتی h2 پر ہے۔ ایک دشمن گاجا b2 پر ہے۔ کیا ہاتھی h1 میں جا سکتا ہے؟</v>
      </c>
      <c r="I149" s="6" t="str">
        <f>IFERROR(__xludf.DUMMYFUNCTION("GOOGLETRANSLATE(C149, ""en"", ""ur"")"),"A) ہاں، B) نہیں، اس کا راستہ گجا نے روکا ہے، C) نہیں، اس کا راستہ پڈاتی نے روک دیا ہے، D) یہ گجا کے اوپر سے چھلانگ لگا سکتا ہے۔")</f>
        <v>A) ہاں، B) نہیں، اس کا راستہ گجا نے روکا ہے، C) نہیں، اس کا راستہ پڈاتی نے روک دیا ہے، D) یہ گجا کے اوپر سے چھلانگ لگا سکتا ہے۔</v>
      </c>
      <c r="J149" s="6" t="str">
        <f>IFERROR(__xludf.DUMMYFUNCTION("GOOGLETRANSLATE(D149, ""en"", ""ur"")"),"ب) نہیں، اس کا راستہ گجا نے روک دیا ہے۔")</f>
        <v>ب) نہیں، اس کا راستہ گجا نے روک دیا ہے۔</v>
      </c>
      <c r="K149" s="6" t="str">
        <f>IFERROR(__xludf.DUMMYFUNCTION("GOOGLETRANSLATE(E149, ""en"", ""ur"")"),"پہلے درجے کے ساتھ ہاتھی کا راستہ دشمن گاجا نے b2 پر بند کر دیا ہے۔ یہ اس سے آگے نہیں بڑھ سکتا۔")</f>
        <v>پہلے درجے کے ساتھ ہاتھی کا راستہ دشمن گاجا نے b2 پر بند کر دیا ہے۔ یہ اس سے آگے نہیں بڑھ سکتا۔</v>
      </c>
    </row>
    <row r="150">
      <c r="A150" s="4">
        <v>149.0</v>
      </c>
      <c r="B150" s="5" t="s">
        <v>586</v>
      </c>
      <c r="C150" s="5" t="s">
        <v>587</v>
      </c>
      <c r="D150" s="5" t="s">
        <v>588</v>
      </c>
      <c r="E150" s="5" t="s">
        <v>589</v>
      </c>
      <c r="G150" s="6" t="str">
        <f>IFERROR(__xludf.DUMMYFUNCTION("GOOGLETRANSLATE(A150, ""en"", ""ur"")"),"149")</f>
        <v>149</v>
      </c>
      <c r="H150" s="6" t="str">
        <f>IFERROR(__xludf.DUMMYFUNCTION("GOOGLETRANSLATE(B150, ""en"", ""ur"")"),"اتحاد کے ساتھ چار کھلاڑیوں کے کھیل میں (مخالف شراکت دار ہیں)، اگر آپ کے ساتھی کا راجہ پکڑا جائے تو کیا ہوگا؟")</f>
        <v>اتحاد کے ساتھ چار کھلاڑیوں کے کھیل میں (مخالف شراکت دار ہیں)، اگر آپ کے ساتھی کا راجہ پکڑا جائے تو کیا ہوگا؟</v>
      </c>
      <c r="I150" s="6" t="str">
        <f>IFERROR(__xludf.DUMMYFUNCTION("GOOGLETRANSLATE(C150, ""en"", ""ur"")"),"A) آپ گیم بھی ہار جاتے ہیں، B) آپ اکیلے کھیلتے رہتے ہیں، C) آپ اپنے پارٹنر کے ٹکڑوں کو کنٹرول کر لیتے ہیں، D) گیم ڈرا پر ختم ہوتی ہے۔")</f>
        <v>A) آپ گیم بھی ہار جاتے ہیں، B) آپ اکیلے کھیلتے رہتے ہیں، C) آپ اپنے پارٹنر کے ٹکڑوں کو کنٹرول کر لیتے ہیں، D) گیم ڈرا پر ختم ہوتی ہے۔</v>
      </c>
      <c r="J150" s="6" t="str">
        <f>IFERROR(__xludf.DUMMYFUNCTION("GOOGLETRANSLATE(D150, ""en"", ""ur"")"),"A) آپ گیم بھی ہار جاتے ہیں۔")</f>
        <v>A) آپ گیم بھی ہار جاتے ہیں۔</v>
      </c>
      <c r="K150" s="6" t="str">
        <f>IFERROR(__xludf.DUMMYFUNCTION("GOOGLETRANSLATE(E150, ""en"", ""ur"")"),"اتحاد کی شکل میں، مقصد دونوں دشمن راجوں پر قبضہ کرنا تھا۔ آپ کے ساتھی کے راجہ کے ہارنے کا مطلب تھا کہ آپ کی ٹیم ہار گئی تھی۔")</f>
        <v>اتحاد کی شکل میں، مقصد دونوں دشمن راجوں پر قبضہ کرنا تھا۔ آپ کے ساتھی کے راجہ کے ہارنے کا مطلب تھا کہ آپ کی ٹیم ہار گئی تھی۔</v>
      </c>
    </row>
    <row r="151">
      <c r="A151" s="4">
        <v>150.0</v>
      </c>
      <c r="B151" s="5" t="s">
        <v>590</v>
      </c>
      <c r="C151" s="5" t="s">
        <v>591</v>
      </c>
      <c r="D151" s="5" t="s">
        <v>592</v>
      </c>
      <c r="E151" s="5" t="s">
        <v>593</v>
      </c>
      <c r="G151" s="6" t="str">
        <f>IFERROR(__xludf.DUMMYFUNCTION("GOOGLETRANSLATE(A151, ""en"", ""ur"")"),"150")</f>
        <v>150</v>
      </c>
      <c r="H151" s="6" t="str">
        <f>IFERROR(__xludf.DUMMYFUNCTION("GOOGLETRANSLATE(B151, ""en"", ""ur"")"),"ایک کھلاڑی پادتی کو منتری بناتا ہے۔ چند چالوں کے بعد، ایک اور پڈاتی ترقی کے عہدے پر پہنچ جاتا ہے۔ کیا ہوتا ہے؟")</f>
        <v>ایک کھلاڑی پادتی کو منتری بناتا ہے۔ چند چالوں کے بعد، ایک اور پڈاتی ترقی کے عہدے پر پہنچ جاتا ہے۔ کیا ہوتا ہے؟</v>
      </c>
      <c r="I151" s="6" t="str">
        <f>IFERROR(__xludf.DUMMYFUNCTION("GOOGLETRANSLATE(C151, ""en"", ""ur"")"),"A) یہ فروغ نہیں دے سکتا، B) یہ دوسری منتری کو ترقی دے سکتا ہے، C) اسے ایک پکڑے گئے ٹکڑے کو فروغ دینا چاہیے، D) اسے بورڈ سے ہٹا دیا گیا ہے۔")</f>
        <v>A) یہ فروغ نہیں دے سکتا، B) یہ دوسری منتری کو ترقی دے سکتا ہے، C) اسے ایک پکڑے گئے ٹکڑے کو فروغ دینا چاہیے، D) اسے بورڈ سے ہٹا دیا گیا ہے۔</v>
      </c>
      <c r="J151" s="6" t="str">
        <f>IFERROR(__xludf.DUMMYFUNCTION("GOOGLETRANSLATE(D151, ""en"", ""ur"")"),"ب) یہ دوسری منتری کو ترقی دے سکتا ہے۔")</f>
        <v>ب) یہ دوسری منتری کو ترقی دے سکتا ہے۔</v>
      </c>
      <c r="K151" s="6" t="str">
        <f>IFERROR(__xludf.DUMMYFUNCTION("GOOGLETRANSLATE(E151, ""en"", ""ur"")"),"ایک کھلاڑی پروموشن کے ذریعے ایک ساتھ بورڈ میں متعدد منتری رکھ سکتا ہے۔")</f>
        <v>ایک کھلاڑی پروموشن کے ذریعے ایک ساتھ بورڈ میں متعدد منتری رکھ سکتا ہے۔</v>
      </c>
    </row>
  </sheetData>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0" max="13" width="37.63"/>
  </cols>
  <sheetData>
    <row r="1">
      <c r="A1" s="1" t="s">
        <v>594</v>
      </c>
      <c r="B1" s="2" t="s">
        <v>1</v>
      </c>
      <c r="C1" s="2" t="s">
        <v>2</v>
      </c>
      <c r="D1" s="2" t="s">
        <v>3</v>
      </c>
      <c r="E1" s="2" t="s">
        <v>4</v>
      </c>
      <c r="I1" s="3" t="s">
        <v>5</v>
      </c>
      <c r="J1" s="3" t="s">
        <v>6</v>
      </c>
      <c r="K1" s="3" t="s">
        <v>7</v>
      </c>
      <c r="L1" s="3" t="s">
        <v>8</v>
      </c>
      <c r="M1" s="3" t="s">
        <v>9</v>
      </c>
    </row>
    <row r="2">
      <c r="A2" s="4">
        <v>1.0</v>
      </c>
      <c r="B2" s="5" t="s">
        <v>595</v>
      </c>
      <c r="C2" s="5" t="s">
        <v>596</v>
      </c>
      <c r="D2" s="5" t="s">
        <v>597</v>
      </c>
      <c r="E2" s="5" t="s">
        <v>598</v>
      </c>
      <c r="I2" s="6" t="str">
        <f>IFERROR(__xludf.DUMMYFUNCTION("GOOGLETRANSLATE(A2, ""en"", ""ur"")"),"1")</f>
        <v>1</v>
      </c>
      <c r="J2" s="6" t="str">
        <f>IFERROR(__xludf.DUMMYFUNCTION("GOOGLETRANSLATE(B2, ""en"", ""ur"")"),"پاکستان اور افغانستان میں ماسٹر بزکشی سوار کے لیے سرکاری اصطلاح کیا ہے؟")</f>
        <v>پاکستان اور افغانستان میں ماسٹر بزکشی سوار کے لیے سرکاری اصطلاح کیا ہے؟</v>
      </c>
      <c r="K2" s="6" t="str">
        <f>IFERROR(__xludf.DUMMYFUNCTION("GOOGLETRANSLATE(C2, ""en"", ""ur"")"),"اے) بزکش، بی) چپنداز، سی) آسپا، ڈی) پہلوان")</f>
        <v>اے) بزکش، بی) چپنداز، سی) آسپا، ڈی) پہلوان</v>
      </c>
      <c r="L2" s="6" t="str">
        <f>IFERROR(__xludf.DUMMYFUNCTION("GOOGLETRANSLATE(D2, ""en"", ""ur"")"),"ب) چپنداز")</f>
        <v>ب) چپنداز</v>
      </c>
      <c r="M2" s="6" t="str">
        <f>IFERROR(__xludf.DUMMYFUNCTION("GOOGLETRANSLATE(E2, ""en"", ""ur"")"),"چپنداز ایک انتہائی ہنر مند اور قابل احترام بزکشی کھلاڑی ہے، جو اپنی ماہر گھڑ سواری اور طاقت کے لیے مشہور ہے۔")</f>
        <v>چپنداز ایک انتہائی ہنر مند اور قابل احترام بزکشی کھلاڑی ہے، جو اپنی ماہر گھڑ سواری اور طاقت کے لیے مشہور ہے۔</v>
      </c>
    </row>
    <row r="3">
      <c r="A3" s="4">
        <v>2.0</v>
      </c>
      <c r="B3" s="5" t="s">
        <v>599</v>
      </c>
      <c r="C3" s="5" t="s">
        <v>600</v>
      </c>
      <c r="D3" s="5" t="s">
        <v>601</v>
      </c>
      <c r="E3" s="5" t="s">
        <v>602</v>
      </c>
      <c r="I3" s="6" t="str">
        <f>IFERROR(__xludf.DUMMYFUNCTION("GOOGLETRANSLATE(A3, ""en"", ""ur"")"),"2")</f>
        <v>2</v>
      </c>
      <c r="J3" s="6" t="str">
        <f>IFERROR(__xludf.DUMMYFUNCTION("GOOGLETRANSLATE(B3, ""en"", ""ur"")"),"بزکشی کے رسمی قاراجائی فارمیٹ میں، ایک کھلاڑی کا بنیادی مقصد کیا ہے جس نے لاش (بز) کو پکڑ لیا ہے؟")</f>
        <v>بزکشی کے رسمی قاراجائی فارمیٹ میں، ایک کھلاڑی کا بنیادی مقصد کیا ہے جس نے لاش (بز) کو پکڑ لیا ہے؟</v>
      </c>
      <c r="K3" s="6" t="str">
        <f>IFERROR(__xludf.DUMMYFUNCTION("GOOGLETRANSLATE(C3, ""en"", ""ur"")"),"A) اسے ایک بیس لائن پر لے جانے کے لئے، B) اسے جھنڈے کے گرد لے جانے کے لئے اور اسے گول کرنے والے دائرے میں چھوڑنا، C) اسے کم از کم ایک منٹ کے لئے تھامنا، D) اسے ٹیم کے ساتھی تک پہنچانا")</f>
        <v>A) اسے ایک بیس لائن پر لے جانے کے لئے، B) اسے جھنڈے کے گرد لے جانے کے لئے اور اسے گول کرنے والے دائرے میں چھوڑنا، C) اسے کم از کم ایک منٹ کے لئے تھامنا، D) اسے ٹیم کے ساتھی تک پہنچانا</v>
      </c>
      <c r="L3" s="6" t="str">
        <f>IFERROR(__xludf.DUMMYFUNCTION("GOOGLETRANSLATE(D3, ""en"", ""ur"")"),"ب) اسے جھنڈے کے گرد لے جانا اور اسے گول کرنے والے دائرے میں چھوڑنا")</f>
        <v>ب) اسے جھنڈے کے گرد لے جانا اور اسے گول کرنے والے دائرے میں چھوڑنا</v>
      </c>
      <c r="M3" s="6" t="str">
        <f>IFERROR(__xludf.DUMMYFUNCTION("GOOGLETRANSLATE(E3, ""en"", ""ur"")"),"اس فارمیٹ کے لیے ایک مخصوص کورس مکمل کرنے کی ضرورت ہے: لاش کو پکڑو، دور جھنڈے (عالم) کے گرد سواری کرو، اور اسے ""حلقہ انصاف"" میں چھوڑنے کے لیے واپس آؤ۔")</f>
        <v>اس فارمیٹ کے لیے ایک مخصوص کورس مکمل کرنے کی ضرورت ہے: لاش کو پکڑو، دور جھنڈے (عالم) کے گرد سواری کرو، اور اسے "حلقہ انصاف" میں چھوڑنے کے لیے واپس آؤ۔</v>
      </c>
    </row>
    <row r="4">
      <c r="A4" s="4">
        <v>3.0</v>
      </c>
      <c r="B4" s="5" t="s">
        <v>603</v>
      </c>
      <c r="C4" s="5" t="s">
        <v>604</v>
      </c>
      <c r="D4" s="5" t="s">
        <v>605</v>
      </c>
      <c r="E4" s="5" t="s">
        <v>606</v>
      </c>
      <c r="I4" s="6" t="str">
        <f>IFERROR(__xludf.DUMMYFUNCTION("GOOGLETRANSLATE(A4, ""en"", ""ur"")"),"3")</f>
        <v>3</v>
      </c>
      <c r="J4" s="6" t="str">
        <f>IFERROR(__xludf.DUMMYFUNCTION("GOOGLETRANSLATE(B4, ""en"", ""ur"")"),"اگر سوار کا کوڑا مخالف سوار کے جسم پر لگے تو اس کا کیا حکم ہے؟")</f>
        <v>اگر سوار کا کوڑا مخالف سوار کے جسم پر لگے تو اس کا کیا حکم ہے؟</v>
      </c>
      <c r="K4" s="6" t="str">
        <f>IFERROR(__xludf.DUMMYFUNCTION("GOOGLETRANSLATE(C4, ""en"", ""ur"")"),"A) ایک فاؤل کہا جاتا ہے اور مجرم کو سزا دی جاتی ہے، B) کھیل کو روک دیا جاتا ہے، C) کوئی جرمانہ نہیں ہے، D) سوار کو ایک پوائنٹ دیا جاتا ہے جو مارا گیا تھا")</f>
        <v>A) ایک فاؤل کہا جاتا ہے اور مجرم کو سزا دی جاتی ہے، B) کھیل کو روک دیا جاتا ہے، C) کوئی جرمانہ نہیں ہے، D) سوار کو ایک پوائنٹ دیا جاتا ہے جو مارا گیا تھا</v>
      </c>
      <c r="L4" s="6" t="str">
        <f>IFERROR(__xludf.DUMMYFUNCTION("GOOGLETRANSLATE(D4, ""en"", ""ur"")"),"A) ایک فاول کہا جاتا ہے اور مجرم کو سزا دی جاتی ہے۔")</f>
        <v>A) ایک فاول کہا جاتا ہے اور مجرم کو سزا دی جاتی ہے۔</v>
      </c>
      <c r="M4" s="6" t="str">
        <f>IFERROR(__xludf.DUMMYFUNCTION("GOOGLETRANSLATE(E4, ""en"", ""ur"")"),"کوڑا (قمچن) صرف اپنے گھوڑے کو قابو کرنے کے لیے ہے۔ مخالف کو مارنا ایک سنگین فاؤل ہے۔")</f>
        <v>کوڑا (قمچن) صرف اپنے گھوڑے کو قابو کرنے کے لیے ہے۔ مخالف کو مارنا ایک سنگین فاؤل ہے۔</v>
      </c>
    </row>
    <row r="5">
      <c r="A5" s="4">
        <v>4.0</v>
      </c>
      <c r="B5" s="5" t="s">
        <v>607</v>
      </c>
      <c r="C5" s="5" t="s">
        <v>608</v>
      </c>
      <c r="D5" s="5" t="s">
        <v>609</v>
      </c>
      <c r="E5" s="5" t="s">
        <v>610</v>
      </c>
      <c r="I5" s="6" t="str">
        <f>IFERROR(__xludf.DUMMYFUNCTION("GOOGLETRANSLATE(A5, ""en"", ""ur"")"),"4")</f>
        <v>4</v>
      </c>
      <c r="J5" s="6" t="str">
        <f>IFERROR(__xludf.DUMMYFUNCTION("GOOGLETRANSLATE(B5, ""en"", ""ur"")"),"میچ سے پہلے لاش سے سر اور کھروں کو نکالنے کی بنیادی وجہ کیا ہے؟")</f>
        <v>میچ سے پہلے لاش سے سر اور کھروں کو نکالنے کی بنیادی وجہ کیا ہے؟</v>
      </c>
      <c r="K5" s="6" t="str">
        <f>IFERROR(__xludf.DUMMYFUNCTION("GOOGLETRANSLATE(C5, ""en"", ""ur"")"),"A) لاش کے وزن کو کم کرنے کے لئے، B) زخموں کو روکنے اور آسانی سے گرفت کے مقامات کو ہٹانے کے لئے، C) رسمی طور پر پاکیزگی کے لئے، D) لاش کو زیادہ ایروڈائینامک بنانے کے لئے")</f>
        <v>A) لاش کے وزن کو کم کرنے کے لئے، B) زخموں کو روکنے اور آسانی سے گرفت کے مقامات کو ہٹانے کے لئے، C) رسمی طور پر پاکیزگی کے لئے، D) لاش کو زیادہ ایروڈائینامک بنانے کے لئے</v>
      </c>
      <c r="L5" s="6" t="str">
        <f>IFERROR(__xludf.DUMMYFUNCTION("GOOGLETRANSLATE(D5, ""en"", ""ur"")"),"ب) چوٹوں کو روکنے اور آسان گرفت پوائنٹس کو ہٹانے کے لیے")</f>
        <v>ب) چوٹوں کو روکنے اور آسان گرفت پوائنٹس کو ہٹانے کے لیے</v>
      </c>
      <c r="M5" s="6" t="str">
        <f>IFERROR(__xludf.DUMMYFUNCTION("GOOGLETRANSLATE(E5, ""en"", ""ur"")"),"تیز کھروں اور سینگوں کو ہٹانا ایک اہم حفاظتی اقدام ہے، اور سر کو ہٹانے سے لاش کو پکڑنا مشکل ہو جاتا ہے۔")</f>
        <v>تیز کھروں اور سینگوں کو ہٹانا ایک اہم حفاظتی اقدام ہے، اور سر کو ہٹانے سے لاش کو پکڑنا مشکل ہو جاتا ہے۔</v>
      </c>
    </row>
    <row r="6">
      <c r="A6" s="4">
        <v>5.0</v>
      </c>
      <c r="B6" s="5" t="s">
        <v>611</v>
      </c>
      <c r="C6" s="5" t="s">
        <v>612</v>
      </c>
      <c r="D6" s="5" t="s">
        <v>613</v>
      </c>
      <c r="E6" s="5" t="s">
        <v>614</v>
      </c>
      <c r="I6" s="6" t="str">
        <f>IFERROR(__xludf.DUMMYFUNCTION("GOOGLETRANSLATE(A6, ""en"", ""ur"")"),"5")</f>
        <v>5</v>
      </c>
      <c r="J6" s="6" t="str">
        <f>IFERROR(__xludf.DUMMYFUNCTION("GOOGLETRANSLATE(B6, ""en"", ""ur"")"),"باضابطہ ٹیم پر مبنی میچ میں میدان میں فی ٹیم کھلاڑیوں کی زیادہ سے زیادہ تعداد کتنی ہے؟")</f>
        <v>باضابطہ ٹیم پر مبنی میچ میں میدان میں فی ٹیم کھلاڑیوں کی زیادہ سے زیادہ تعداد کتنی ہے؟</v>
      </c>
      <c r="K6" s="6" t="str">
        <f>IFERROR(__xludf.DUMMYFUNCTION("GOOGLETRANSLATE(C6, ""en"", ""ur"")"),"A) 5، B) 8، C) 10، D) 12")</f>
        <v>A) 5، B) 8، C) 10، D) 12</v>
      </c>
      <c r="L6" s="6" t="str">
        <f>IFERROR(__xludf.DUMMYFUNCTION("GOOGLETRANSLATE(D6, ""en"", ""ur"")"),"ج) 10")</f>
        <v>ج) 10</v>
      </c>
      <c r="M6" s="6" t="str">
        <f>IFERROR(__xludf.DUMMYFUNCTION("GOOGLETRANSLATE(E6, ""en"", ""ur"")"),"باضابطہ ٹیم بزکشی جیسا کہ فیڈریشنز کے ذریعہ تسلیم کیا جاتا ہے عام طور پر ایک وقت میں میدان میں 10 سواروں تک کی دو ٹیمیں شامل ہوتی ہیں۔")</f>
        <v>باضابطہ ٹیم بزکشی جیسا کہ فیڈریشنز کے ذریعہ تسلیم کیا جاتا ہے عام طور پر ایک وقت میں میدان میں 10 سواروں تک کی دو ٹیمیں شامل ہوتی ہیں۔</v>
      </c>
    </row>
    <row r="7">
      <c r="A7" s="4">
        <v>6.0</v>
      </c>
      <c r="B7" s="5" t="s">
        <v>615</v>
      </c>
      <c r="C7" s="5" t="s">
        <v>616</v>
      </c>
      <c r="D7" s="5" t="s">
        <v>617</v>
      </c>
      <c r="E7" s="5" t="s">
        <v>618</v>
      </c>
      <c r="I7" s="6" t="str">
        <f>IFERROR(__xludf.DUMMYFUNCTION("GOOGLETRANSLATE(A7, ""en"", ""ur"")"),"6")</f>
        <v>6</v>
      </c>
      <c r="J7" s="6" t="str">
        <f>IFERROR(__xludf.DUMMYFUNCTION("GOOGLETRANSLATE(B7, ""en"", ""ur"")"),"پانی میں بھگونے کے علاوہ، اس کے وزن اور استحکام کو بڑھانے کے لیے اکثر لاش کے اندر کیا پیک کیا جاتا ہے؟")</f>
        <v>پانی میں بھگونے کے علاوہ، اس کے وزن اور استحکام کو بڑھانے کے لیے اکثر لاش کے اندر کیا پیک کیا جاتا ہے؟</v>
      </c>
      <c r="K7" s="6" t="str">
        <f>IFERROR(__xludf.DUMMYFUNCTION("GOOGLETRANSLATE(C7, ""en"", ""ur"")"),"A) دھات کا وزن، B) پتھر، C) ریت، D) اون")</f>
        <v>A) دھات کا وزن، B) پتھر، C) ریت، D) اون</v>
      </c>
      <c r="L7" s="6" t="str">
        <f>IFERROR(__xludf.DUMMYFUNCTION("GOOGLETRANSLATE(D7, ""en"", ""ur"")"),"ج) ریت")</f>
        <v>ج) ریت</v>
      </c>
      <c r="M7" s="6" t="str">
        <f>IFERROR(__xludf.DUMMYFUNCTION("GOOGLETRANSLATE(E7, ""en"", ""ur"")"),"لاش کو اکثر گٹ کر ریت سے بھرا جاتا ہے تاکہ اسے ایک معیاری، بھاری وزن دیا جا سکے جو کھیل کی سختیوں کو برداشت کر سکے۔")</f>
        <v>لاش کو اکثر گٹ کر ریت سے بھرا جاتا ہے تاکہ اسے ایک معیاری، بھاری وزن دیا جا سکے جو کھیل کی سختیوں کو برداشت کر سکے۔</v>
      </c>
    </row>
    <row r="8">
      <c r="A8" s="4">
        <v>7.0</v>
      </c>
      <c r="B8" s="5" t="s">
        <v>619</v>
      </c>
      <c r="C8" s="5" t="s">
        <v>620</v>
      </c>
      <c r="D8" s="5" t="s">
        <v>621</v>
      </c>
      <c r="E8" s="5" t="s">
        <v>622</v>
      </c>
      <c r="I8" s="6" t="str">
        <f>IFERROR(__xludf.DUMMYFUNCTION("GOOGLETRANSLATE(A8, ""en"", ""ur"")"),"7")</f>
        <v>7</v>
      </c>
      <c r="J8" s="6" t="str">
        <f>IFERROR(__xludf.DUMMYFUNCTION("GOOGLETRANSLATE(B8, ""en"", ""ur"")"),"کس پڑوسی ملک کو بزکشی کا اصل سمجھا جاتا ہے اور اس کے قوانین پر سب سے زیادہ اثر و رسوخ ہے؟")</f>
        <v>کس پڑوسی ملک کو بزکشی کا اصل سمجھا جاتا ہے اور اس کے قوانین پر سب سے زیادہ اثر و رسوخ ہے؟</v>
      </c>
      <c r="K8" s="6" t="str">
        <f>IFERROR(__xludf.DUMMYFUNCTION("GOOGLETRANSLATE(C8, ""en"", ""ur"")"),"A) بھارت، B) افغانستان، C) ایران، D) تاجکستان")</f>
        <v>A) بھارت، B) افغانستان، C) ایران، D) تاجکستان</v>
      </c>
      <c r="L8" s="6" t="str">
        <f>IFERROR(__xludf.DUMMYFUNCTION("GOOGLETRANSLATE(D8, ""en"", ""ur"")"),"ب) افغانستان")</f>
        <v>ب) افغانستان</v>
      </c>
      <c r="M8" s="6" t="str">
        <f>IFERROR(__xludf.DUMMYFUNCTION("GOOGLETRANSLATE(E8, ""en"", ""ur"")"),"افغانستان کو بڑے پیمانے پر کھیلوں کا مرکز سمجھا جاتا ہے، اور اس کے قوانین اور روایات پاکستان اور وسطی ایشیا میں بہت زیادہ اثر انداز ہیں۔")</f>
        <v>افغانستان کو بڑے پیمانے پر کھیلوں کا مرکز سمجھا جاتا ہے، اور اس کے قوانین اور روایات پاکستان اور وسطی ایشیا میں بہت زیادہ اثر انداز ہیں۔</v>
      </c>
    </row>
    <row r="9">
      <c r="A9" s="4">
        <v>8.0</v>
      </c>
      <c r="B9" s="5" t="s">
        <v>623</v>
      </c>
      <c r="C9" s="5" t="s">
        <v>624</v>
      </c>
      <c r="D9" s="5" t="s">
        <v>625</v>
      </c>
      <c r="E9" s="5" t="s">
        <v>626</v>
      </c>
      <c r="I9" s="6" t="str">
        <f>IFERROR(__xludf.DUMMYFUNCTION("GOOGLETRANSLATE(A9, ""en"", ""ur"")"),"8")</f>
        <v>8</v>
      </c>
      <c r="J9" s="6" t="str">
        <f>IFERROR(__xludf.DUMMYFUNCTION("GOOGLETRANSLATE(B9, ""en"", ""ur"")"),"مسابقتی بزکشی کے لیے گھوڑیوں کو گھوڑیوں پر ترجیح دینے کی بنیادی وجہ کیا ہے؟")</f>
        <v>مسابقتی بزکشی کے لیے گھوڑیوں کو گھوڑیوں پر ترجیح دینے کی بنیادی وجہ کیا ہے؟</v>
      </c>
      <c r="K9" s="6" t="str">
        <f>IFERROR(__xludf.DUMMYFUNCTION("GOOGLETRANSLATE(C9, ""en"", ""ur"")"),"A) وہ سیدھی لکیر میں تیز ہیں، B) ان کا جارحانہ اور مسابقتی مزاج کھیل کی جسمانیت کے لیے مثالی ہے، C) ان میں قدرتی برداشت بہتر ہے، D) ان کی تربیت کرنا آسان ہے۔")</f>
        <v>A) وہ سیدھی لکیر میں تیز ہیں، B) ان کا جارحانہ اور مسابقتی مزاج کھیل کی جسمانیت کے لیے مثالی ہے، C) ان میں قدرتی برداشت بہتر ہے، D) ان کی تربیت کرنا آسان ہے۔</v>
      </c>
      <c r="L9" s="6" t="str">
        <f>IFERROR(__xludf.DUMMYFUNCTION("GOOGLETRANSLATE(D9, ""en"", ""ur"")"),"ب) ان کا جارحانہ اور مسابقتی مزاج کھیل کی جسمانیت کے لیے مثالی ہے")</f>
        <v>ب) ان کا جارحانہ اور مسابقتی مزاج کھیل کی جسمانیت کے لیے مثالی ہے</v>
      </c>
      <c r="M9" s="6" t="str">
        <f>IFERROR(__xludf.DUMMYFUNCTION("GOOGLETRANSLATE(E9, ""en"", ""ur"")"),"اسٹالینز کی جنگی فطرت انہیں کھیل کے شدید، افراتفری میں نڈر اور موثر بناتی ہے۔")</f>
        <v>اسٹالینز کی جنگی فطرت انہیں کھیل کے شدید، افراتفری میں نڈر اور موثر بناتی ہے۔</v>
      </c>
    </row>
    <row r="10">
      <c r="A10" s="4">
        <v>9.0</v>
      </c>
      <c r="B10" s="5" t="s">
        <v>627</v>
      </c>
      <c r="C10" s="5" t="s">
        <v>628</v>
      </c>
      <c r="D10" s="5" t="s">
        <v>629</v>
      </c>
      <c r="E10" s="5" t="s">
        <v>630</v>
      </c>
      <c r="I10" s="6" t="str">
        <f>IFERROR(__xludf.DUMMYFUNCTION("GOOGLETRANSLATE(A10, ""en"", ""ur"")"),"9")</f>
        <v>9</v>
      </c>
      <c r="J10" s="6" t="str">
        <f>IFERROR(__xludf.DUMMYFUNCTION("GOOGLETRANSLATE(B10, ""en"", ""ur"")"),"اشرافیہ کے بزکشی گھوڑوں کی افزائش کا واحد سب سے اہم عنصر کیا ہے؟")</f>
        <v>اشرافیہ کے بزکشی گھوڑوں کی افزائش کا واحد سب سے اہم عنصر کیا ہے؟</v>
      </c>
      <c r="K10" s="6" t="str">
        <f>IFERROR(__xludf.DUMMYFUNCTION("GOOGLETRANSLATE(C10, ""en"", ""ur"")"),"A) گھوڑے کے کوٹ کا رنگ، B) گھوڑے کا نسب اور ثابت نسب، C) اس کی دم کی لمبائی، D) کندھے پر اس کی اونچائی")</f>
        <v>A) گھوڑے کے کوٹ کا رنگ، B) گھوڑے کا نسب اور ثابت نسب، C) اس کی دم کی لمبائی، D) کندھے پر اس کی اونچائی</v>
      </c>
      <c r="L10" s="6" t="str">
        <f>IFERROR(__xludf.DUMMYFUNCTION("GOOGLETRANSLATE(D10, ""en"", ""ur"")"),"ب) گھوڑے کا نسب اور ثابت نسب")</f>
        <v>ب) گھوڑے کا نسب اور ثابت نسب</v>
      </c>
      <c r="M10" s="6" t="str">
        <f>IFERROR(__xludf.DUMMYFUNCTION("GOOGLETRANSLATE(E10, ""en"", ""ur"")"),"بزکشی ماؤنٹس کو ثابت شدہ خون کی لکیروں سے پالا جاتا ہے جو ضروری طاقت، صلاحیت اور ہمت کے ساتھ جانور پیدا کرنے کے لیے جانا جاتا ہے۔")</f>
        <v>بزکشی ماؤنٹس کو ثابت شدہ خون کی لکیروں سے پالا جاتا ہے جو ضروری طاقت، صلاحیت اور ہمت کے ساتھ جانور پیدا کرنے کے لیے جانا جاتا ہے۔</v>
      </c>
    </row>
    <row r="11">
      <c r="A11" s="4">
        <v>10.0</v>
      </c>
      <c r="B11" s="5" t="s">
        <v>631</v>
      </c>
      <c r="C11" s="5" t="s">
        <v>632</v>
      </c>
      <c r="D11" s="5" t="s">
        <v>633</v>
      </c>
      <c r="E11" s="5" t="s">
        <v>634</v>
      </c>
      <c r="I11" s="6" t="str">
        <f>IFERROR(__xludf.DUMMYFUNCTION("GOOGLETRANSLATE(A11, ""en"", ""ur"")"),"10")</f>
        <v>10</v>
      </c>
      <c r="J11" s="6" t="str">
        <f>IFERROR(__xludf.DUMMYFUNCTION("GOOGLETRANSLATE(B11, ""en"", ""ur"")"),"اگر کوئی سوار لاش کے قبضے میں ہوتے ہوئے جان بوجھ کر کھیل کے نامزد میدان کو چھوڑ دے تو اس کی کیا سزا ہے؟")</f>
        <v>اگر کوئی سوار لاش کے قبضے میں ہوتے ہوئے جان بوجھ کر کھیل کے نامزد میدان کو چھوڑ دے تو اس کی کیا سزا ہے؟</v>
      </c>
      <c r="K11" s="6" t="str">
        <f>IFERROR(__xludf.DUMMYFUNCTION("GOOGLETRANSLATE(C11, ""en"", ""ur"")"),"A) انہیں نااہل قرار دیا جاتا ہے، B) لاش کو ""مردہ"" سمجھا جاتا ہے اور اسے مرکز میں دوبارہ ترتیب دیا جاتا ہے، C) مخالف ٹیم کو مفت گریب مل جاتا ہے، D) راؤنڈ دوبارہ چلایا جاتا ہے۔")</f>
        <v>A) انہیں نااہل قرار دیا جاتا ہے، B) لاش کو "مردہ" سمجھا جاتا ہے اور اسے مرکز میں دوبارہ ترتیب دیا جاتا ہے، C) مخالف ٹیم کو مفت گریب مل جاتا ہے، D) راؤنڈ دوبارہ چلایا جاتا ہے۔</v>
      </c>
      <c r="L11" s="6" t="str">
        <f>IFERROR(__xludf.DUMMYFUNCTION("GOOGLETRANSLATE(D11, ""en"", ""ur"")"),"ب) لاش کو ""مردہ"" سمجھا جاتا ہے اور مرکز میں دوبارہ سیٹ کیا جاتا ہے۔")</f>
        <v>ب) لاش کو "مردہ" سمجھا جاتا ہے اور مرکز میں دوبارہ سیٹ کیا جاتا ہے۔</v>
      </c>
      <c r="M11" s="6" t="str">
        <f>IFERROR(__xludf.DUMMYFUNCTION("GOOGLETRANSLATE(E11, ""en"", ""ur"")"),"ایک سوار میدان کے باہر سے گول نہیں کر سکتا۔ باؤنڈری چھوڑنے کا نتیجہ ایک مردہ گیند کی صورت میں نکلتا ہے، اور لاش کو نقطہ آغاز پر واپس کر دیا جاتا ہے۔")</f>
        <v>ایک سوار میدان کے باہر سے گول نہیں کر سکتا۔ باؤنڈری چھوڑنے کا نتیجہ ایک مردہ گیند کی صورت میں نکلتا ہے، اور لاش کو نقطہ آغاز پر واپس کر دیا جاتا ہے۔</v>
      </c>
    </row>
    <row r="12">
      <c r="A12" s="4">
        <v>11.0</v>
      </c>
      <c r="B12" s="5" t="s">
        <v>635</v>
      </c>
      <c r="C12" s="5" t="s">
        <v>636</v>
      </c>
      <c r="D12" s="5" t="s">
        <v>637</v>
      </c>
      <c r="E12" s="5" t="s">
        <v>638</v>
      </c>
      <c r="I12" s="6" t="str">
        <f>IFERROR(__xludf.DUMMYFUNCTION("GOOGLETRANSLATE(A12, ""en"", ""ur"")"),"11")</f>
        <v>11</v>
      </c>
      <c r="J12" s="6" t="str">
        <f>IFERROR(__xludf.DUMMYFUNCTION("GOOGLETRANSLATE(B12, ""en"", ""ur"")"),"پاکستان کے دیہی علاقوں میں بزکشی میچوں کے روایتی سپانسرز کون ہیں؟")</f>
        <v>پاکستان کے دیہی علاقوں میں بزکشی میچوں کے روایتی سپانسرز کون ہیں؟</v>
      </c>
      <c r="K12" s="6" t="str">
        <f>IFERROR(__xludf.DUMMYFUNCTION("GOOGLETRANSLATE(C12, ""en"", ""ur"")"),"A) کھیلوں کے سرکاری ادارے، B) دولت مند زمیندار یا قبائلی عمائدین (خانز)، C) نجی کارپوریشنز، D) خود کھلاڑی")</f>
        <v>A) کھیلوں کے سرکاری ادارے، B) دولت مند زمیندار یا قبائلی عمائدین (خانز)، C) نجی کارپوریشنز، D) خود کھلاڑی</v>
      </c>
      <c r="L12" s="6" t="str">
        <f>IFERROR(__xludf.DUMMYFUNCTION("GOOGLETRANSLATE(D12, ""en"", ""ur"")"),"ب) دولت مند زمیندار یا قبائلی عمائدین (خانز)")</f>
        <v>ب) دولت مند زمیندار یا قبائلی عمائدین (خانز)</v>
      </c>
      <c r="M12" s="6" t="str">
        <f>IFERROR(__xludf.DUMMYFUNCTION("GOOGLETRANSLATE(E12, ""en"", ""ur"")"),"میچ کو سپانسر کرنا بااثر مقامی رہنماؤں کے لیے اپنی دولت، سخاوت اور سماجی وقار کو ظاہر کرنے کا ایک روایتی طریقہ ہے۔")</f>
        <v>میچ کو سپانسر کرنا بااثر مقامی رہنماؤں کے لیے اپنی دولت، سخاوت اور سماجی وقار کو ظاہر کرنے کا ایک روایتی طریقہ ہے۔</v>
      </c>
    </row>
    <row r="13">
      <c r="A13" s="4">
        <v>12.0</v>
      </c>
      <c r="B13" s="5" t="s">
        <v>639</v>
      </c>
      <c r="C13" s="5" t="s">
        <v>640</v>
      </c>
      <c r="D13" s="5" t="s">
        <v>641</v>
      </c>
      <c r="E13" s="5" t="s">
        <v>642</v>
      </c>
      <c r="I13" s="6" t="str">
        <f>IFERROR(__xludf.DUMMYFUNCTION("GOOGLETRANSLATE(A13, ""en"", ""ur"")"),"12")</f>
        <v>12</v>
      </c>
      <c r="J13" s="6" t="str">
        <f>IFERROR(__xludf.DUMMYFUNCTION("GOOGLETRANSLATE(B13, ""en"", ""ur"")"),"کھیل کے قاراجائی فارمیٹ میں اسکورنگ ایریا کا آفیشل نام کیا ہے؟")</f>
        <v>کھیل کے قاراجائی فارمیٹ میں اسکورنگ ایریا کا آفیشل نام کیا ہے؟</v>
      </c>
      <c r="K13" s="6" t="str">
        <f>IFERROR(__xludf.DUMMYFUNCTION("GOOGLETRANSLATE(C13, ""en"", ""ur"")"),"A) گول لائن، B) اختتامی خطہ، C) دائرہ انصاف (داعدالت دائرہ)، D) فاتح کی انگوٹھی")</f>
        <v>A) گول لائن، B) اختتامی خطہ، C) دائرہ انصاف (داعدالت دائرہ)، D) فاتح کی انگوٹھی</v>
      </c>
      <c r="L13" s="6" t="str">
        <f>IFERROR(__xludf.DUMMYFUNCTION("GOOGLETRANSLATE(D13, ""en"", ""ur"")"),"C) دائرہ انصاف (دعدالت دائرہ)")</f>
        <v>C) دائرہ انصاف (دعدالت دائرہ)</v>
      </c>
      <c r="M13" s="6" t="str">
        <f>IFERROR(__xludf.DUMMYFUNCTION("GOOGLETRANSLATE(E13, ""en"", ""ur"")"),"یہ نامزد دائرہ ہے جہاں سوار کو پوائنٹ سکور کرنے کے لیے لاش کو کامیابی کے ساتھ چھوڑنا چاہیے۔")</f>
        <v>یہ نامزد دائرہ ہے جہاں سوار کو پوائنٹ سکور کرنے کے لیے لاش کو کامیابی کے ساتھ چھوڑنا چاہیے۔</v>
      </c>
    </row>
    <row r="14">
      <c r="A14" s="4">
        <v>13.0</v>
      </c>
      <c r="B14" s="5" t="s">
        <v>643</v>
      </c>
      <c r="C14" s="5" t="s">
        <v>644</v>
      </c>
      <c r="D14" s="5" t="s">
        <v>645</v>
      </c>
      <c r="E14" s="5" t="s">
        <v>646</v>
      </c>
      <c r="I14" s="6" t="str">
        <f>IFERROR(__xludf.DUMMYFUNCTION("GOOGLETRANSLATE(A14, ""en"", ""ur"")"),"13")</f>
        <v>13</v>
      </c>
      <c r="J14" s="6" t="str">
        <f>IFERROR(__xludf.DUMMYFUNCTION("GOOGLETRANSLATE(B14, ""en"", ""ur"")"),"سوار کو زمین کی طرف جھکنے کی اجازت دینے کے لیے کون سی مخصوص سیڈل میں ترمیم ضروری ہے؟")</f>
        <v>سوار کو زمین کی طرف جھکنے کی اجازت دینے کے لیے کون سی مخصوص سیڈل میں ترمیم ضروری ہے؟</v>
      </c>
      <c r="K14" s="6" t="str">
        <f>IFERROR(__xludf.DUMMYFUNCTION("GOOGLETRANSLATE(C14, ""en"", ""ur"")"),"A) ایک بھاری پیڈ والی سیٹ، B) اعلی طاقت، مضبوط چمڑے کے پٹے، C) ایک بڑا سیڈل ہارن، D) دھاتی رکاب")</f>
        <v>A) ایک بھاری پیڈ والی سیٹ، B) اعلی طاقت، مضبوط چمڑے کے پٹے، C) ایک بڑا سیڈل ہارن، D) دھاتی رکاب</v>
      </c>
      <c r="L14" s="6" t="str">
        <f>IFERROR(__xludf.DUMMYFUNCTION("GOOGLETRANSLATE(D14, ""en"", ""ur"")"),"ب) اعلی طاقت، چمڑے کے پٹے کو تقویت ملی")</f>
        <v>ب) اعلی طاقت، چمڑے کے پٹے کو تقویت ملی</v>
      </c>
      <c r="M14" s="6" t="str">
        <f>IFERROR(__xludf.DUMMYFUNCTION("GOOGLETRANSLATE(E14, ""en"", ""ur"")"),"سوار اکثر اپنی ٹانگوں کو مضبوط پٹے کے نیچے جھکا لیتے ہیں تاکہ خود کو زین پر لنگر انداز کر سکیں، جس سے وہ لاش کو مشکل سے اٹھا سکتے ہیں۔")</f>
        <v>سوار اکثر اپنی ٹانگوں کو مضبوط پٹے کے نیچے جھکا لیتے ہیں تاکہ خود کو زین پر لنگر انداز کر سکیں، جس سے وہ لاش کو مشکل سے اٹھا سکتے ہیں۔</v>
      </c>
    </row>
    <row r="15">
      <c r="A15" s="4">
        <v>14.0</v>
      </c>
      <c r="B15" s="5" t="s">
        <v>647</v>
      </c>
      <c r="C15" s="5" t="s">
        <v>648</v>
      </c>
      <c r="D15" s="5" t="s">
        <v>649</v>
      </c>
      <c r="E15" s="5" t="s">
        <v>650</v>
      </c>
      <c r="I15" s="6" t="str">
        <f>IFERROR(__xludf.DUMMYFUNCTION("GOOGLETRANSLATE(A15, ""en"", ""ur"")"),"14")</f>
        <v>14</v>
      </c>
      <c r="J15" s="6" t="str">
        <f>IFERROR(__xludf.DUMMYFUNCTION("GOOGLETRANSLATE(B15, ""en"", ""ur"")"),"باضابطہ بزکشی میچ کو انجام دینے کے لیے کم از کم ریفریوں کی کتنی تعداد درکار ہے؟")</f>
        <v>باضابطہ بزکشی میچ کو انجام دینے کے لیے کم از کم ریفریوں کی کتنی تعداد درکار ہے؟</v>
      </c>
      <c r="K15" s="6" t="str">
        <f>IFERROR(__xludf.DUMMYFUNCTION("GOOGLETRANSLATE(C15, ""en"", ""ur"")"),"A) ایک، B) دو، C) چار، D) پانچ")</f>
        <v>A) ایک، B) دو، C) چار، D) پانچ</v>
      </c>
      <c r="L15" s="6" t="str">
        <f>IFERROR(__xludf.DUMMYFUNCTION("GOOGLETRANSLATE(D15, ""en"", ""ur"")"),"ب) دو")</f>
        <v>ب) دو</v>
      </c>
      <c r="M15" s="6" t="str">
        <f>IFERROR(__xludf.DUMMYFUNCTION("GOOGLETRANSLATE(E15, ""en"", ""ur"")"),"کھیل کے بڑے علاقے اور شرکاء کی تعداد کی وجہ سے، کم از کم دو ریفریز، جو اکثر نصب ہوتے ہیں، کھیل کو مؤثر طریقے سے مانیٹر کرنے کے لیے درکار ہوتے ہیں۔")</f>
        <v>کھیل کے بڑے علاقے اور شرکاء کی تعداد کی وجہ سے، کم از کم دو ریفریز، جو اکثر نصب ہوتے ہیں، کھیل کو مؤثر طریقے سے مانیٹر کرنے کے لیے درکار ہوتے ہیں۔</v>
      </c>
    </row>
    <row r="16">
      <c r="A16" s="4">
        <v>15.0</v>
      </c>
      <c r="B16" s="5" t="s">
        <v>651</v>
      </c>
      <c r="C16" s="5" t="s">
        <v>652</v>
      </c>
      <c r="D16" s="5" t="s">
        <v>653</v>
      </c>
      <c r="E16" s="5" t="s">
        <v>654</v>
      </c>
      <c r="I16" s="6" t="str">
        <f>IFERROR(__xludf.DUMMYFUNCTION("GOOGLETRANSLATE(A16, ""en"", ""ur"")"),"15")</f>
        <v>15</v>
      </c>
      <c r="J16" s="6" t="str">
        <f>IFERROR(__xludf.DUMMYFUNCTION("GOOGLETRANSLATE(B16, ""en"", ""ur"")"),"بزکشی میں ""شیڈو سواری"" کا حربہ کیا ہے؟")</f>
        <v>بزکشی میں "شیڈو سواری" کا حربہ کیا ہے؟</v>
      </c>
      <c r="K16" s="6" t="str">
        <f>IFERROR(__xludf.DUMMYFUNCTION("GOOGLETRANSLATE(C16, ""en"", ""ur"")"),"A) اگر لاش گرتی ہے تو اسے پکڑنے کے لیے لاش بردار کا قریب سے پیروی کرنا، B) مخالف کے سائے میں سوار ہو کر ان کی توجہ ہٹانا، C) مخالف کو پیچھے سے روکنا، D) ایک دفاعی تشکیل")</f>
        <v>A) اگر لاش گرتی ہے تو اسے پکڑنے کے لیے لاش بردار کا قریب سے پیروی کرنا، B) مخالف کے سائے میں سوار ہو کر ان کی توجہ ہٹانا، C) مخالف کو پیچھے سے روکنا، D) ایک دفاعی تشکیل</v>
      </c>
      <c r="L16" s="6" t="str">
        <f>IFERROR(__xludf.DUMMYFUNCTION("GOOGLETRANSLATE(D16, ""en"", ""ur"")"),"A) اگر لاش گرتی ہے تو اسے پکڑنے کے لیے لاش کے کیریئر کا قریب سے پیروی کرنا")</f>
        <v>A) اگر لاش گرتی ہے تو اسے پکڑنے کے لیے لاش کے کیریئر کا قریب سے پیروی کرنا</v>
      </c>
      <c r="M16" s="6" t="str">
        <f>IFERROR(__xludf.DUMMYFUNCTION("GOOGLETRANSLATE(E16, ""en"", ""ur"")"),"یہ ایک اہم جارحانہ حربہ ہے جہاں ایک کھلاڑی گرے یا چوری شدہ لاش کو فوری طور پر چیلنج کرنے کے لیے خود کو پوزیشن میں رکھتا ہے۔")</f>
        <v>یہ ایک اہم جارحانہ حربہ ہے جہاں ایک کھلاڑی گرے یا چوری شدہ لاش کو فوری طور پر چیلنج کرنے کے لیے خود کو پوزیشن میں رکھتا ہے۔</v>
      </c>
    </row>
    <row r="17">
      <c r="A17" s="4">
        <v>16.0</v>
      </c>
      <c r="B17" s="5" t="s">
        <v>655</v>
      </c>
      <c r="C17" s="5" t="s">
        <v>656</v>
      </c>
      <c r="D17" s="5" t="s">
        <v>657</v>
      </c>
      <c r="E17" s="5" t="s">
        <v>658</v>
      </c>
      <c r="I17" s="6" t="str">
        <f>IFERROR(__xludf.DUMMYFUNCTION("GOOGLETRANSLATE(A17, ""en"", ""ur"")"),"16")</f>
        <v>16</v>
      </c>
      <c r="J17" s="6" t="str">
        <f>IFERROR(__xludf.DUMMYFUNCTION("GOOGLETRANSLATE(B17, ""en"", ""ur"")"),"بزکشی کے قاراجئی اور تودابرائی ورژن میں بنیادی فرق کیا ہے؟")</f>
        <v>بزکشی کے قاراجئی اور تودابرائی ورژن میں بنیادی فرق کیا ہے؟</v>
      </c>
      <c r="K17" s="6" t="str">
        <f>IFERROR(__xludf.DUMMYFUNCTION("GOOGLETRANSLATE(C17, ""en"", ""ur"")"),"A) کھلاڑیوں کی تعداد، B) قاراجائی ایک سرکلر کورس کا استعمال کرتا ہے، جب کہ ٹوڈابارائی گول لائن کی طرف ایک ڈیش ہے، C) استعمال شدہ لاش کی قسم، D) توڈابارائی میں کوئی ریفری نہیں ہے۔")</f>
        <v>A) کھلاڑیوں کی تعداد، B) قاراجائی ایک سرکلر کورس کا استعمال کرتا ہے، جب کہ ٹوڈابارائی گول لائن کی طرف ایک ڈیش ہے، C) استعمال شدہ لاش کی قسم، D) توڈابارائی میں کوئی ریفری نہیں ہے۔</v>
      </c>
      <c r="L17" s="6" t="str">
        <f>IFERROR(__xludf.DUMMYFUNCTION("GOOGLETRANSLATE(D17, ""en"", ""ur"")"),"ب) قاراجائی ایک سرکلر کورس کا استعمال کرتا ہے، جب کہ توڈابارائی گول لائن کی طرف ڈیش ہے۔")</f>
        <v>ب) قاراجائی ایک سرکلر کورس کا استعمال کرتا ہے، جب کہ توڈابارائی گول لائن کی طرف ڈیش ہے۔</v>
      </c>
      <c r="M17" s="6" t="str">
        <f>IFERROR(__xludf.DUMMYFUNCTION("GOOGLETRANSLATE(E17, ""en"", ""ur"")"),"توڈابارائی ایک آسان ""گیٹ اینڈ رن"" فارمیٹ ہے، جبکہ قراجئی ٹورنامنٹ میں کھیلا جانے والا زیادہ منظم، ٹیم پر مبنی ورژن ہے۔")</f>
        <v>توڈابارائی ایک آسان "گیٹ اینڈ رن" فارمیٹ ہے، جبکہ قراجئی ٹورنامنٹ میں کھیلا جانے والا زیادہ منظم، ٹیم پر مبنی ورژن ہے۔</v>
      </c>
    </row>
    <row r="18">
      <c r="A18" s="4">
        <v>17.0</v>
      </c>
      <c r="B18" s="5" t="s">
        <v>659</v>
      </c>
      <c r="C18" s="5" t="s">
        <v>660</v>
      </c>
      <c r="D18" s="5" t="s">
        <v>661</v>
      </c>
      <c r="E18" s="5" t="s">
        <v>662</v>
      </c>
      <c r="I18" s="6" t="str">
        <f>IFERROR(__xludf.DUMMYFUNCTION("GOOGLETRANSLATE(A18, ""en"", ""ur"")"),"17")</f>
        <v>17</v>
      </c>
      <c r="J18" s="6" t="str">
        <f>IFERROR(__xludf.DUMMYFUNCTION("GOOGLETRANSLATE(B18, ""en"", ""ur"")"),"گول کرنے کے علاوہ، کون سا ذاتی معیار چپنداز کے لیے سب سے بڑا اعزاز لاتا ہے؟")</f>
        <v>گول کرنے کے علاوہ، کون سا ذاتی معیار چپنداز کے لیے سب سے بڑا اعزاز لاتا ہے؟</v>
      </c>
      <c r="K18" s="6" t="str">
        <f>IFERROR(__xludf.DUMMYFUNCTION("GOOGLETRANSLATE(C18, ""en"", ""ur"")"),"A) ان کی دولت، B) ان کے گھوڑے کی خوبصورتی، C) جسمانی مقابلوں میں ان کی بہادری، D) کامیابی سے دھوکہ دینے کی ان کی صلاحیت")</f>
        <v>A) ان کی دولت، B) ان کے گھوڑے کی خوبصورتی، C) جسمانی مقابلوں میں ان کی بہادری، D) کامیابی سے دھوکہ دینے کی ان کی صلاحیت</v>
      </c>
      <c r="L18" s="6" t="str">
        <f>IFERROR(__xludf.DUMMYFUNCTION("GOOGLETRANSLATE(D18, ""en"", ""ur"")"),"ج) جسمانی مقابلوں میں ان کی بہادری۔")</f>
        <v>ج) جسمانی مقابلوں میں ان کی بہادری۔</v>
      </c>
      <c r="M18" s="6" t="str">
        <f>IFERROR(__xludf.DUMMYFUNCTION("GOOGLETRANSLATE(E18, ""en"", ""ur"")"),"کھیل ہمت اور عزت کو سب سے زیادہ اہمیت دیتا ہے۔ ایک سوار جو بے پناہ بہادری کا مظاہرہ کرتا ہے اس کی کمیونٹی میں عزت کی جاتی ہے، چاہے اسکور کچھ بھی ہو۔")</f>
        <v>کھیل ہمت اور عزت کو سب سے زیادہ اہمیت دیتا ہے۔ ایک سوار جو بے پناہ بہادری کا مظاہرہ کرتا ہے اس کی کمیونٹی میں عزت کی جاتی ہے، چاہے اسکور کچھ بھی ہو۔</v>
      </c>
    </row>
    <row r="19">
      <c r="A19" s="4">
        <v>18.0</v>
      </c>
      <c r="B19" s="5" t="s">
        <v>663</v>
      </c>
      <c r="C19" s="5" t="s">
        <v>664</v>
      </c>
      <c r="D19" s="5" t="s">
        <v>665</v>
      </c>
      <c r="E19" s="5" t="s">
        <v>666</v>
      </c>
      <c r="I19" s="6" t="str">
        <f>IFERROR(__xludf.DUMMYFUNCTION("GOOGLETRANSLATE(A19, ""en"", ""ur"")"),"18")</f>
        <v>18</v>
      </c>
      <c r="J19" s="6" t="str">
        <f>IFERROR(__xludf.DUMMYFUNCTION("GOOGLETRANSLATE(B19, ""en"", ""ur"")"),"کون سا پاکستانی نسلی گروہ بزکشی کی روایت سے سب سے زیادہ مشہور ہے؟")</f>
        <v>کون سا پاکستانی نسلی گروہ بزکشی کی روایت سے سب سے زیادہ مشہور ہے؟</v>
      </c>
      <c r="K19" s="6" t="str">
        <f>IFERROR(__xludf.DUMMYFUNCTION("GOOGLETRANSLATE(C19, ""en"", ""ur"")"),"A) سندھی، B) پنجابی، C) بلوچی، D) پشتون")</f>
        <v>A) سندھی، B) پنجابی، C) بلوچی، D) پشتون</v>
      </c>
      <c r="L19" s="6" t="str">
        <f>IFERROR(__xludf.DUMMYFUNCTION("GOOGLETRANSLATE(D19, ""en"", ""ur"")"),"ڈی) پشتون")</f>
        <v>ڈی) پشتون</v>
      </c>
      <c r="M19" s="6" t="str">
        <f>IFERROR(__xludf.DUMMYFUNCTION("GOOGLETRANSLATE(E19, ""en"", ""ur"")"),"بزکشی پشتون ثقافتی ورثے کا ایک اہم حصہ ہے، جسے گھڑ سواری، طاقت اور قبائلی اعزاز کے طور پر منایا جاتا ہے۔")</f>
        <v>بزکشی پشتون ثقافتی ورثے کا ایک اہم حصہ ہے، جسے گھڑ سواری، طاقت اور قبائلی اعزاز کے طور پر منایا جاتا ہے۔</v>
      </c>
    </row>
    <row r="20">
      <c r="A20" s="4">
        <v>19.0</v>
      </c>
      <c r="B20" s="5" t="s">
        <v>667</v>
      </c>
      <c r="C20" s="5" t="s">
        <v>668</v>
      </c>
      <c r="D20" s="5" t="s">
        <v>669</v>
      </c>
      <c r="E20" s="5" t="s">
        <v>670</v>
      </c>
      <c r="I20" s="6" t="str">
        <f>IFERROR(__xludf.DUMMYFUNCTION("GOOGLETRANSLATE(A20, ""en"", ""ur"")"),"19")</f>
        <v>19</v>
      </c>
      <c r="J20" s="6" t="str">
        <f>IFERROR(__xludf.DUMMYFUNCTION("GOOGLETRANSLATE(B20, ""en"", ""ur"")"),"جانوروں کی فلاح و بہبود سے متعلق جدید نمائشوں میں، اکثر لاش کے متبادل کے طور پر کیا استعمال ہوتا ہے؟")</f>
        <v>جانوروں کی فلاح و بہبود سے متعلق جدید نمائشوں میں، اکثر لاش کے متبادل کے طور پر کیا استعمال ہوتا ہے؟</v>
      </c>
      <c r="K20" s="6" t="str">
        <f>IFERROR(__xludf.DUMMYFUNCTION("GOOGLETRANSLATE(C20, ""en"", ""ur"")"),"A) ایک لکڑی کا لاگ، B) ایک بھرا ہوا ٹائر، C) ریت سے بھرا ہوا ایک بھاری چمڑے کا بیگ، D) ایک بڑی، وزنی گیند")</f>
        <v>A) ایک لکڑی کا لاگ، B) ایک بھرا ہوا ٹائر، C) ریت سے بھرا ہوا ایک بھاری چمڑے کا بیگ، D) ایک بڑی، وزنی گیند</v>
      </c>
      <c r="L20" s="6" t="str">
        <f>IFERROR(__xludf.DUMMYFUNCTION("GOOGLETRANSLATE(D20, ""en"", ""ur"")"),"ج) ریت سے بھرا ہوا ایک بھاری چمڑے کا بیگ")</f>
        <v>ج) ریت سے بھرا ہوا ایک بھاری چمڑے کا بیگ</v>
      </c>
      <c r="M20" s="6" t="str">
        <f>IFERROR(__xludf.DUMMYFUNCTION("GOOGLETRANSLATE(E20, ""en"", ""ur"")"),"کھیل کو جدید بنانے کے لیے، ایک وزنی بوری کو کبھی کبھی اصلی لاش کے وزن اور احساس کی نقل کرنے کے لیے استعمال کیا جاتا ہے۔")</f>
        <v>کھیل کو جدید بنانے کے لیے، ایک وزنی بوری کو کبھی کبھی اصلی لاش کے وزن اور احساس کی نقل کرنے کے لیے استعمال کیا جاتا ہے۔</v>
      </c>
    </row>
    <row r="21">
      <c r="A21" s="4">
        <v>20.0</v>
      </c>
      <c r="B21" s="5" t="s">
        <v>671</v>
      </c>
      <c r="C21" s="5" t="s">
        <v>672</v>
      </c>
      <c r="D21" s="5" t="s">
        <v>673</v>
      </c>
      <c r="E21" s="5" t="s">
        <v>674</v>
      </c>
      <c r="I21" s="6" t="str">
        <f>IFERROR(__xludf.DUMMYFUNCTION("GOOGLETRANSLATE(A21, ""en"", ""ur"")"),"20")</f>
        <v>20</v>
      </c>
      <c r="J21" s="6" t="str">
        <f>IFERROR(__xludf.DUMMYFUNCTION("GOOGLETRANSLATE(B21, ""en"", ""ur"")"),"""جھوٹی پکڑ"" کیا ہے؟")</f>
        <v>"جھوٹی پکڑ" کیا ہے؟</v>
      </c>
      <c r="K21" s="6" t="str">
        <f>IFERROR(__xludf.DUMMYFUNCTION("GOOGLETRANSLATE(C21, ""en"", ""ur"")"),"A) لاش کو پکڑنے کا بہانہ کرنا، B) لاش کو پکڑنا لیکن اسے زمین سے اٹھانے میں ناکام ہونا، C) سیٹی کے بعد لاش کو پکڑنا، D) غلطی سے زین کو پکڑنا")</f>
        <v>A) لاش کو پکڑنے کا بہانہ کرنا، B) لاش کو پکڑنا لیکن اسے زمین سے اٹھانے میں ناکام ہونا، C) سیٹی کے بعد لاش کو پکڑنا، D) غلطی سے زین کو پکڑنا</v>
      </c>
      <c r="L21" s="6" t="str">
        <f>IFERROR(__xludf.DUMMYFUNCTION("GOOGLETRANSLATE(D21, ""en"", ""ur"")"),"ب) لاش کو پکڑنا لیکن اسے زمین سے اٹھانے میں ناکام ہونا")</f>
        <v>ب) لاش کو پکڑنا لیکن اسے زمین سے اٹھانے میں ناکام ہونا</v>
      </c>
      <c r="M21" s="6" t="str">
        <f>IFERROR(__xludf.DUMMYFUNCTION("GOOGLETRANSLATE(E21, ""en"", ""ur"")"),"یہ ایک ایسی صورت حال کی وضاحت کرتا ہے جہاں ایک سوار مضبوط ہولڈ حاصل کرتا ہے لیکن اس کے پاس مشکل لفٹ کو مکمل کرنے کی طاقت یا لیوریج کی کمی ہوتی ہے۔")</f>
        <v>یہ ایک ایسی صورت حال کی وضاحت کرتا ہے جہاں ایک سوار مضبوط ہولڈ حاصل کرتا ہے لیکن اس کے پاس مشکل لفٹ کو مکمل کرنے کی طاقت یا لیوریج کی کمی ہوتی ہے۔</v>
      </c>
    </row>
    <row r="22">
      <c r="A22" s="4">
        <v>21.0</v>
      </c>
      <c r="B22" s="5" t="s">
        <v>675</v>
      </c>
      <c r="C22" s="5" t="s">
        <v>676</v>
      </c>
      <c r="D22" s="5" t="s">
        <v>677</v>
      </c>
      <c r="E22" s="5" t="s">
        <v>678</v>
      </c>
      <c r="I22" s="6" t="str">
        <f>IFERROR(__xludf.DUMMYFUNCTION("GOOGLETRANSLATE(A22, ""en"", ""ur"")"),"21")</f>
        <v>21</v>
      </c>
      <c r="J22" s="6" t="str">
        <f>IFERROR(__xludf.DUMMYFUNCTION("GOOGLETRANSLATE(B22, ""en"", ""ur"")"),"کھیل کے دوران سوار کے گھوڑے کے سوار ہونے کا کیا حکم ہے؟")</f>
        <v>کھیل کے دوران سوار کے گھوڑے کے سوار ہونے کا کیا حکم ہے؟</v>
      </c>
      <c r="K22" s="6" t="str">
        <f>IFERROR(__xludf.DUMMYFUNCTION("GOOGLETRANSLATE(C22, ""en"", ""ur"")"),"A) وہ پیدل جاری رکھ سکتے ہیں، B) کھیل کو ان کے دوبارہ سوار ہونے کے لیے روک دیا گیا ہے، C) وہ اس وقت تک کھیل سے باہر ہیں جب تک کہ وہ اپنے گھوڑے کو دوبارہ نہیں لگا سکتے، D) ایک ساتھی انہیں اپنا گھوڑا دے سکتا ہے۔")</f>
        <v>A) وہ پیدل جاری رکھ سکتے ہیں، B) کھیل کو ان کے دوبارہ سوار ہونے کے لیے روک دیا گیا ہے، C) وہ اس وقت تک کھیل سے باہر ہیں جب تک کہ وہ اپنے گھوڑے کو دوبارہ نہیں لگا سکتے، D) ایک ساتھی انہیں اپنا گھوڑا دے سکتا ہے۔</v>
      </c>
      <c r="L22" s="6" t="str">
        <f>IFERROR(__xludf.DUMMYFUNCTION("GOOGLETRANSLATE(D22, ""en"", ""ur"")"),"ج) وہ اس وقت تک ڈرامے سے باہر ہیں جب تک کہ وہ اپنے گھوڑے کو دوبارہ سوار نہ کر لیں۔")</f>
        <v>ج) وہ اس وقت تک ڈرامے سے باہر ہیں جب تک کہ وہ اپنے گھوڑے کو دوبارہ سوار نہ کر لیں۔</v>
      </c>
      <c r="M22" s="6" t="str">
        <f>IFERROR(__xludf.DUMMYFUNCTION("GOOGLETRANSLATE(E22, ""en"", ""ur"")"),"اتارا ہوا سوار ایک فعال شریک نہیں ہوتا ہے۔ قانونی طور پر دوبارہ گیم میں شامل ہونے کے لیے انہیں اپنے گھوڑے کو بازیافت کرنا اور دوبارہ سوار کرنا چاہیے۔")</f>
        <v>اتارا ہوا سوار ایک فعال شریک نہیں ہوتا ہے۔ قانونی طور پر دوبارہ گیم میں شامل ہونے کے لیے انہیں اپنے گھوڑے کو بازیافت کرنا اور دوبارہ سوار کرنا چاہیے۔</v>
      </c>
    </row>
    <row r="23">
      <c r="A23" s="4">
        <v>22.0</v>
      </c>
      <c r="B23" s="5" t="s">
        <v>679</v>
      </c>
      <c r="C23" s="5" t="s">
        <v>680</v>
      </c>
      <c r="D23" s="5" t="s">
        <v>681</v>
      </c>
      <c r="E23" s="5" t="s">
        <v>682</v>
      </c>
      <c r="I23" s="6" t="str">
        <f>IFERROR(__xludf.DUMMYFUNCTION("GOOGLETRANSLATE(A23, ""en"", ""ur"")"),"22")</f>
        <v>22</v>
      </c>
      <c r="J23" s="6" t="str">
        <f>IFERROR(__xludf.DUMMYFUNCTION("GOOGLETRANSLATE(B23, ""en"", ""ur"")"),"سوار کے لیے لاش کو اپنی زین یا جسم سے باندھنا کیوں برا ہے؟")</f>
        <v>سوار کے لیے لاش کو اپنی زین یا جسم سے باندھنا کیوں برا ہے؟</v>
      </c>
      <c r="K23" s="6" t="str">
        <f>IFERROR(__xludf.DUMMYFUNCTION("GOOGLETRANSLATE(C23, ""en"", ""ur"")"),"A) یہ گھوڑے کو زخمی کر سکتا ہے، B) کھیل طاقت کا امتحان ہے، اور لاش کو دستی طور پر رکھنا ضروری ہے، C) یہ کھیل کو بہت آسان بنا دیتا ہے، D) یہ جانور کی بے عزتی ہے۔")</f>
        <v>A) یہ گھوڑے کو زخمی کر سکتا ہے، B) کھیل طاقت کا امتحان ہے، اور لاش کو دستی طور پر رکھنا ضروری ہے، C) یہ کھیل کو بہت آسان بنا دیتا ہے، D) یہ جانور کی بے عزتی ہے۔</v>
      </c>
      <c r="L23" s="6" t="str">
        <f>IFERROR(__xludf.DUMMYFUNCTION("GOOGLETRANSLATE(D23, ""en"", ""ur"")"),"ب) کھیل طاقت کا امتحان ہے، اور لاش کو دستی طور پر رکھنا چاہیے۔")</f>
        <v>ب) کھیل طاقت کا امتحان ہے، اور لاش کو دستی طور پر رکھنا چاہیے۔</v>
      </c>
      <c r="M23" s="6" t="str">
        <f>IFERROR(__xludf.DUMMYFUNCTION("GOOGLETRANSLATE(E23, ""en"", ""ur"")"),"بنیادی چیلنج لاش کو پکڑنے کی جدوجہد ہے۔ اسے باندھنا کھیل کے اس بنیادی عنصر کی نفی کرے گا۔")</f>
        <v>بنیادی چیلنج لاش کو پکڑنے کی جدوجہد ہے۔ اسے باندھنا کھیل کے اس بنیادی عنصر کی نفی کرے گا۔</v>
      </c>
    </row>
    <row r="24">
      <c r="A24" s="4">
        <v>23.0</v>
      </c>
      <c r="B24" s="5" t="s">
        <v>683</v>
      </c>
      <c r="C24" s="5" t="s">
        <v>684</v>
      </c>
      <c r="D24" s="5" t="s">
        <v>685</v>
      </c>
      <c r="E24" s="5" t="s">
        <v>686</v>
      </c>
      <c r="I24" s="6" t="str">
        <f>IFERROR(__xludf.DUMMYFUNCTION("GOOGLETRANSLATE(A24, ""en"", ""ur"")"),"23")</f>
        <v>23</v>
      </c>
      <c r="J24" s="6" t="str">
        <f>IFERROR(__xludf.DUMMYFUNCTION("GOOGLETRANSLATE(B24, ""en"", ""ur"")"),"اگر میچ کے دوران لاش غلطی سے دو ٹکڑے ہو جائے تو کیا ہوتا ہے؟")</f>
        <v>اگر میچ کے دوران لاش غلطی سے دو ٹکڑے ہو جائے تو کیا ہوتا ہے؟</v>
      </c>
      <c r="K24" s="6" t="str">
        <f>IFERROR(__xludf.DUMMYFUNCTION("GOOGLETRANSLATE(C24, ""en"", ""ur"")"),"A) کھیل دونوں ٹکڑوں کے ساتھ جاری رہتا ہے، B) بڑے ٹکڑوں کے ساتھ سوار، C) کھیل روک دیا جاتا ہے اور لاش کو تبدیل کر دیا جاتا ہے، D) اسے پھاڑنے والی ٹیم کو نااہل قرار دیا جاتا ہے۔")</f>
        <v>A) کھیل دونوں ٹکڑوں کے ساتھ جاری رہتا ہے، B) بڑے ٹکڑوں کے ساتھ سوار، C) کھیل روک دیا جاتا ہے اور لاش کو تبدیل کر دیا جاتا ہے، D) اسے پھاڑنے والی ٹیم کو نااہل قرار دیا جاتا ہے۔</v>
      </c>
      <c r="L24" s="6" t="str">
        <f>IFERROR(__xludf.DUMMYFUNCTION("GOOGLETRANSLATE(D24, ""en"", ""ur"")"),"C) کھیل کو روک دیا جاتا ہے اور لاش کو تبدیل کر دیا جاتا ہے")</f>
        <v>C) کھیل کو روک دیا جاتا ہے اور لاش کو تبدیل کر دیا جاتا ہے</v>
      </c>
      <c r="M24" s="6" t="str">
        <f>IFERROR(__xludf.DUMMYFUNCTION("GOOGLETRANSLATE(E24, ""en"", ""ur"")"),"ایک واحد، معیاری چیز کے ساتھ منصفانہ کھیل کو یقینی بنانے کے لیے، خراب شدہ لاش کو کھیل سے باہر لے جایا جاتا ہے اور اسے بیک اپ کے ساتھ تبدیل کیا جاتا ہے۔")</f>
        <v>ایک واحد، معیاری چیز کے ساتھ منصفانہ کھیل کو یقینی بنانے کے لیے، خراب شدہ لاش کو کھیل سے باہر لے جایا جاتا ہے اور اسے بیک اپ کے ساتھ تبدیل کیا جاتا ہے۔</v>
      </c>
    </row>
    <row r="25">
      <c r="A25" s="4">
        <v>24.0</v>
      </c>
      <c r="B25" s="5" t="s">
        <v>687</v>
      </c>
      <c r="C25" s="5" t="s">
        <v>688</v>
      </c>
      <c r="D25" s="5" t="s">
        <v>689</v>
      </c>
      <c r="E25" s="5" t="s">
        <v>690</v>
      </c>
      <c r="I25" s="6" t="str">
        <f>IFERROR(__xludf.DUMMYFUNCTION("GOOGLETRANSLATE(A25, ""en"", ""ur"")"),"24")</f>
        <v>24</v>
      </c>
      <c r="J25" s="6" t="str">
        <f>IFERROR(__xludf.DUMMYFUNCTION("GOOGLETRANSLATE(B25, ""en"", ""ur"")"),"حفاظت کی بنیادی وجہ کیا ہے کہ بہت سے سوار دھات کی نسبت نرم چمڑے کے رکابوں کو ترجیح دیتے ہیں؟")</f>
        <v>حفاظت کی بنیادی وجہ کیا ہے کہ بہت سے سوار دھات کی نسبت نرم چمڑے کے رکابوں کو ترجیح دیتے ہیں؟</v>
      </c>
      <c r="K25" s="6" t="str">
        <f>IFERROR(__xludf.DUMMYFUNCTION("GOOGLETRANSLATE(C25, ""en"", ""ur"")"),"A) وہ زیادہ روایتی ہیں، B) وہ بہتر گرفت فراہم کرتے ہیں، C) ان کے گرنے کے دوران سوار کے پاؤں میں پھنسنے کا امکان کم ہوتا ہے، D) وہ ہلکے ہوتے ہیں۔")</f>
        <v>A) وہ زیادہ روایتی ہیں، B) وہ بہتر گرفت فراہم کرتے ہیں، C) ان کے گرنے کے دوران سوار کے پاؤں میں پھنسنے کا امکان کم ہوتا ہے، D) وہ ہلکے ہوتے ہیں۔</v>
      </c>
      <c r="L25" s="6" t="str">
        <f>IFERROR(__xludf.DUMMYFUNCTION("GOOGLETRANSLATE(D25, ""en"", ""ur"")"),"ج) زوال کے دوران ان کے سوار کے پاؤں میں پھنسنے کا امکان کم ہوتا ہے۔")</f>
        <v>ج) زوال کے دوران ان کے سوار کے پاؤں میں پھنسنے کا امکان کم ہوتا ہے۔</v>
      </c>
      <c r="M25" s="6" t="str">
        <f>IFERROR(__xludf.DUMMYFUNCTION("GOOGLETRANSLATE(E25, ""en"", ""ur"")"),"گھسیٹنے کا خطرہ زیادہ ہے۔ نرم رکابیں سوار کے پاؤں کے خطرناک طور پر پکڑے جانے کے خطرے کو کم کرتی ہیں اگر وہ گھوڑے کے بغیر ہیں۔")</f>
        <v>گھسیٹنے کا خطرہ زیادہ ہے۔ نرم رکابیں سوار کے پاؤں کے خطرناک طور پر پکڑے جانے کے خطرے کو کم کرتی ہیں اگر وہ گھوڑے کے بغیر ہیں۔</v>
      </c>
    </row>
    <row r="26">
      <c r="A26" s="4">
        <v>25.0</v>
      </c>
      <c r="B26" s="5" t="s">
        <v>691</v>
      </c>
      <c r="C26" s="5" t="s">
        <v>692</v>
      </c>
      <c r="D26" s="5" t="s">
        <v>693</v>
      </c>
      <c r="E26" s="5" t="s">
        <v>694</v>
      </c>
      <c r="I26" s="6" t="str">
        <f>IFERROR(__xludf.DUMMYFUNCTION("GOOGLETRANSLATE(A26, ""en"", ""ur"")"),"25")</f>
        <v>25</v>
      </c>
      <c r="J26" s="6" t="str">
        <f>IFERROR(__xludf.DUMMYFUNCTION("GOOGLETRANSLATE(B26, ""en"", ""ur"")"),"بزکشی کے کھیل سے اکثر منسوب تاریخی اصل کیا ہے؟")</f>
        <v>بزکشی کے کھیل سے اکثر منسوب تاریخی اصل کیا ہے؟</v>
      </c>
      <c r="K26" s="6" t="str">
        <f>IFERROR(__xludf.DUMMYFUNCTION("GOOGLETRANSLATE(C26, ""en"", ""ur"")"),"A) پولو کی ایک شکل، B) ایک مذہبی تہوار، C) ترک-منگول گھڑ سواروں کے لیے تربیت کا طریقہ، D) بکریوں کے شکار کا طریقہ")</f>
        <v>A) پولو کی ایک شکل، B) ایک مذہبی تہوار، C) ترک-منگول گھڑ سواروں کے لیے تربیت کا طریقہ، D) بکریوں کے شکار کا طریقہ</v>
      </c>
      <c r="L26" s="6" t="str">
        <f>IFERROR(__xludf.DUMMYFUNCTION("GOOGLETRANSLATE(D26, ""en"", ""ur"")"),"ج) ترک منگول گھڑ سواروں کے لیے تربیت کا طریقہ")</f>
        <v>ج) ترک منگول گھڑ سواروں کے لیے تربیت کا طریقہ</v>
      </c>
      <c r="M26" s="6" t="str">
        <f>IFERROR(__xludf.DUMMYFUNCTION("GOOGLETRANSLATE(E26, ""en"", ""ur"")"),"اس گیم کے بارے میں بڑے پیمانے پر خیال کیا جاتا ہے کہ اسے وسطی ایشیا کے خانہ بدوش لوگوں نے جنگ کے لیے ضروری گھڑ سواری کی مہارت کو بہتر بنانے کے لیے تیار کیا تھا۔")</f>
        <v>اس گیم کے بارے میں بڑے پیمانے پر خیال کیا جاتا ہے کہ اسے وسطی ایشیا کے خانہ بدوش لوگوں نے جنگ کے لیے ضروری گھڑ سواری کی مہارت کو بہتر بنانے کے لیے تیار کیا تھا۔</v>
      </c>
    </row>
    <row r="27">
      <c r="A27" s="4">
        <v>26.0</v>
      </c>
      <c r="B27" s="5" t="s">
        <v>695</v>
      </c>
      <c r="C27" s="5" t="s">
        <v>696</v>
      </c>
      <c r="D27" s="5" t="s">
        <v>697</v>
      </c>
      <c r="E27" s="5" t="s">
        <v>698</v>
      </c>
      <c r="I27" s="6" t="str">
        <f>IFERROR(__xludf.DUMMYFUNCTION("GOOGLETRANSLATE(A27, ""en"", ""ur"")"),"26")</f>
        <v>26</v>
      </c>
      <c r="J27" s="6" t="str">
        <f>IFERROR(__xludf.DUMMYFUNCTION("GOOGLETRANSLATE(B27, ""en"", ""ur"")"),"پاکستان میں شائقین روایتی طور پر ایک شاندار ڈرامے کے لیے اپنی تعریف کیسے ظاہر کرتے ہیں؟")</f>
        <v>پاکستان میں شائقین روایتی طور پر ایک شاندار ڈرامے کے لیے اپنی تعریف کیسے ظاہر کرتے ہیں؟</v>
      </c>
      <c r="K27" s="6" t="str">
        <f>IFERROR(__xludf.DUMMYFUNCTION("GOOGLETRANSLATE(C27, ""en"", ""ur"")"),"A) شائستگی سے تالیاں بجا کر، B) پھول پھینک کر، C) ہنر مند سوار کو نقد رقم کی بارش کر کے، D) پرچم لہرا کر")</f>
        <v>A) شائستگی سے تالیاں بجا کر، B) پھول پھینک کر، C) ہنر مند سوار کو نقد رقم کی بارش کر کے، D) پرچم لہرا کر</v>
      </c>
      <c r="L27" s="6" t="str">
        <f>IFERROR(__xludf.DUMMYFUNCTION("GOOGLETRANSLATE(D27, ""en"", ""ur"")"),"C) ہنر مند سوار کو نقد رقم دے کر")</f>
        <v>C) ہنر مند سوار کو نقد رقم دے کر</v>
      </c>
      <c r="M27" s="6" t="str">
        <f>IFERROR(__xludf.DUMMYFUNCTION("GOOGLETRANSLATE(E27, ""en"", ""ur"")"),"دولت مند تماشائیوں یا سرپرستوں کے لیے یہ ایک عام روایت ہے کہ وہ میدان میں پیسے پھینک کر غیر معمولی چپنداز کو انعام دیتے ہیں۔")</f>
        <v>دولت مند تماشائیوں یا سرپرستوں کے لیے یہ ایک عام روایت ہے کہ وہ میدان میں پیسے پھینک کر غیر معمولی چپنداز کو انعام دیتے ہیں۔</v>
      </c>
    </row>
    <row r="28">
      <c r="A28" s="4">
        <v>27.0</v>
      </c>
      <c r="B28" s="5" t="s">
        <v>699</v>
      </c>
      <c r="C28" s="5" t="s">
        <v>700</v>
      </c>
      <c r="D28" s="5" t="s">
        <v>701</v>
      </c>
      <c r="E28" s="5" t="s">
        <v>702</v>
      </c>
      <c r="I28" s="6" t="str">
        <f>IFERROR(__xludf.DUMMYFUNCTION("GOOGLETRANSLATE(A28, ""en"", ""ur"")"),"27")</f>
        <v>27</v>
      </c>
      <c r="J28" s="6" t="str">
        <f>IFERROR(__xludf.DUMMYFUNCTION("GOOGLETRANSLATE(B28, ""en"", ""ur"")"),"گھوڑے سے گرنے والے سوار کی مدد کرنے کا غیر تحریری اصول کیا ہے؟")</f>
        <v>گھوڑے سے گرنے والے سوار کی مدد کرنے کا غیر تحریری اصول کیا ہے؟</v>
      </c>
      <c r="K28" s="6" t="str">
        <f>IFERROR(__xludf.DUMMYFUNCTION("GOOGLETRANSLATE(C28, ""en"", ""ur"")"),"A) تمام سواروں کو مدد کے لیے رکنا چاہیے، B) ایک مخالف کو کبھی بھی گرے ہوئے سوار کی مدد نہیں کرنی چاہیے، C) صرف ریفری مدد کر سکتا ہے، D) صرف ٹیم کے ساتھیوں سے مدد کی توقع کی جاتی ہے۔")</f>
        <v>A) تمام سواروں کو مدد کے لیے رکنا چاہیے، B) ایک مخالف کو کبھی بھی گرے ہوئے سوار کی مدد نہیں کرنی چاہیے، C) صرف ریفری مدد کر سکتا ہے، D) صرف ٹیم کے ساتھیوں سے مدد کی توقع کی جاتی ہے۔</v>
      </c>
      <c r="L28" s="6" t="str">
        <f>IFERROR(__xludf.DUMMYFUNCTION("GOOGLETRANSLATE(D28, ""en"", ""ur"")"),"D) صرف ٹیم کے ساتھیوں سے مدد کی توقع کی جاتی ہے۔")</f>
        <v>D) صرف ٹیم کے ساتھیوں سے مدد کی توقع کی جاتی ہے۔</v>
      </c>
      <c r="M28" s="6" t="str">
        <f>IFERROR(__xludf.DUMMYFUNCTION("GOOGLETRANSLATE(E28, ""en"", ""ur"")"),"کھیل سخت مسابقتی ہے، اور جب کہ اعزاز کا ضابطہ موجود ہے، گرے ہوئے حریف کی مدد کرنا عام طور پر اس کا حصہ نہیں ہے۔")</f>
        <v>کھیل سخت مسابقتی ہے، اور جب کہ اعزاز کا ضابطہ موجود ہے، گرے ہوئے حریف کی مدد کرنا عام طور پر اس کا حصہ نہیں ہے۔</v>
      </c>
    </row>
    <row r="29">
      <c r="A29" s="4">
        <v>28.0</v>
      </c>
      <c r="B29" s="5" t="s">
        <v>703</v>
      </c>
      <c r="C29" s="5" t="s">
        <v>704</v>
      </c>
      <c r="D29" s="5" t="s">
        <v>705</v>
      </c>
      <c r="E29" s="5" t="s">
        <v>706</v>
      </c>
      <c r="I29" s="6" t="str">
        <f>IFERROR(__xludf.DUMMYFUNCTION("GOOGLETRANSLATE(A29, ""en"", ""ur"")"),"28")</f>
        <v>28</v>
      </c>
      <c r="J29" s="6" t="str">
        <f>IFERROR(__xludf.DUMMYFUNCTION("GOOGLETRANSLATE(B29, ""en"", ""ur"")"),"قاراجائی فارمیٹ میں، جھنڈے یا بینر کا کیا نام ہے جس پر سوار کو چکر لگانا ضروری ہے؟")</f>
        <v>قاراجائی فارمیٹ میں، جھنڈے یا بینر کا کیا نام ہے جس پر سوار کو چکر لگانا ضروری ہے؟</v>
      </c>
      <c r="K29" s="6" t="str">
        <f>IFERROR(__xludf.DUMMYFUNCTION("GOOGLETRANSLATE(C29, ""en"", ""ur"")"),"A) گول پوسٹ، B) عالم، C) ہاف وے مارک، D) بیرونی حلقہ")</f>
        <v>A) گول پوسٹ، B) عالم، C) ہاف وے مارک، D) بیرونی حلقہ</v>
      </c>
      <c r="L29" s="6" t="str">
        <f>IFERROR(__xludf.DUMMYFUNCTION("GOOGLETRANSLATE(D29, ""en"", ""ur"")"),"ب) عالم")</f>
        <v>ب) عالم</v>
      </c>
      <c r="M29" s="6" t="str">
        <f>IFERROR(__xludf.DUMMYFUNCTION("GOOGLETRANSLATE(E29, ""en"", ""ur"")"),"ایک سوار کو گول کرنے والے دائرے میں واپس آنے سے پہلے میدان کے بالکل آخر میں عالم (پرچم) کے گرد لاش کو لے جانا چاہیے۔")</f>
        <v>ایک سوار کو گول کرنے والے دائرے میں واپس آنے سے پہلے میدان کے بالکل آخر میں عالم (پرچم) کے گرد لاش کو لے جانا چاہیے۔</v>
      </c>
    </row>
    <row r="30">
      <c r="A30" s="4">
        <v>29.0</v>
      </c>
      <c r="B30" s="5" t="s">
        <v>707</v>
      </c>
      <c r="C30" s="5" t="s">
        <v>708</v>
      </c>
      <c r="D30" s="5" t="s">
        <v>709</v>
      </c>
      <c r="E30" s="5" t="s">
        <v>710</v>
      </c>
      <c r="I30" s="6" t="str">
        <f>IFERROR(__xludf.DUMMYFUNCTION("GOOGLETRANSLATE(A30, ""en"", ""ur"")"),"29")</f>
        <v>29</v>
      </c>
      <c r="J30" s="6" t="str">
        <f>IFERROR(__xludf.DUMMYFUNCTION("GOOGLETRANSLATE(B30, ""en"", ""ur"")"),"باضابطہ میچ میں کم وزن والی لاش استعمال کرنے کی کیا سزا ہے؟")</f>
        <v>باضابطہ میچ میں کم وزن والی لاش استعمال کرنے کی کیا سزا ہے؟</v>
      </c>
      <c r="K30" s="6" t="str">
        <f>IFERROR(__xludf.DUMMYFUNCTION("GOOGLETRANSLATE(C30, ""en"", ""ur"")"),"A) کھیل ہلکی لاش کے ساتھ آگے بڑھتا ہے، B) ٹیم یا سوار کو دھوکہ دہی کے لئے نااہل قرار دیا جاتا ہے، C) کھیل سے پہلے لاش میں وزن شامل کیا جاتا ہے، D) ٹیم کو ایک پوائنٹ جرمانہ ملتا ہے۔")</f>
        <v>A) کھیل ہلکی لاش کے ساتھ آگے بڑھتا ہے، B) ٹیم یا سوار کو دھوکہ دہی کے لئے نااہل قرار دیا جاتا ہے، C) کھیل سے پہلے لاش میں وزن شامل کیا جاتا ہے، D) ٹیم کو ایک پوائنٹ جرمانہ ملتا ہے۔</v>
      </c>
      <c r="L30" s="6" t="str">
        <f>IFERROR(__xludf.DUMMYFUNCTION("GOOGLETRANSLATE(D30, ""en"", ""ur"")"),"ب) ٹیم یا سوار کو دھوکہ دہی کے لیے نااہل قرار دیا گیا ہے۔")</f>
        <v>ب) ٹیم یا سوار کو دھوکہ دہی کے لیے نااہل قرار دیا گیا ہے۔</v>
      </c>
      <c r="M30" s="6" t="str">
        <f>IFERROR(__xludf.DUMMYFUNCTION("GOOGLETRANSLATE(E30, ""en"", ""ur"")"),"لاش کا وزن ایک اہم اصول ہے۔ ہلکا استعمال کرنا ایک غیر منصفانہ فائدہ فراہم کرتا ہے اور یہ ایک سنگین خلاف ورزی ہے۔")</f>
        <v>لاش کا وزن ایک اہم اصول ہے۔ ہلکا استعمال کرنا ایک غیر منصفانہ فائدہ فراہم کرتا ہے اور یہ ایک سنگین خلاف ورزی ہے۔</v>
      </c>
    </row>
    <row r="31">
      <c r="A31" s="4">
        <v>30.0</v>
      </c>
      <c r="B31" s="5" t="s">
        <v>711</v>
      </c>
      <c r="C31" s="5" t="s">
        <v>712</v>
      </c>
      <c r="D31" s="5" t="s">
        <v>713</v>
      </c>
      <c r="E31" s="5" t="s">
        <v>714</v>
      </c>
      <c r="I31" s="6" t="str">
        <f>IFERROR(__xludf.DUMMYFUNCTION("GOOGLETRANSLATE(A31, ""en"", ""ur"")"),"30")</f>
        <v>30</v>
      </c>
      <c r="J31" s="6" t="str">
        <f>IFERROR(__xludf.DUMMYFUNCTION("GOOGLETRANSLATE(B31, ""en"", ""ur"")"),"بزکشی میچ میں فتح پشتون قبیلے یا قبیلے کی کیا علامت ہے؟")</f>
        <v>بزکشی میچ میں فتح پشتون قبیلے یا قبیلے کی کیا علامت ہے؟</v>
      </c>
      <c r="K31" s="6" t="str">
        <f>IFERROR(__xludf.DUMMYFUNCTION("GOOGLETRANSLATE(C31, ""en"", ""ur"")"),"A) مالی دولت، B) سیاسی طاقت، C) ان کی اجتماعی عزت، طاقت، اور جنگی صلاحیت، D) اچھی فصل")</f>
        <v>A) مالی دولت، B) سیاسی طاقت، C) ان کی اجتماعی عزت، طاقت، اور جنگی صلاحیت، D) اچھی فصل</v>
      </c>
      <c r="L31" s="6" t="str">
        <f>IFERROR(__xludf.DUMMYFUNCTION("GOOGLETRANSLATE(D31, ""en"", ""ur"")"),"ج) ان کی اجتماعی عزت، طاقت، اور جنگی صلاحیت")</f>
        <v>ج) ان کی اجتماعی عزت، طاقت، اور جنگی صلاحیت</v>
      </c>
      <c r="M31" s="6" t="str">
        <f>IFERROR(__xludf.DUMMYFUNCTION("GOOGLETRANSLATE(E31, ""en"", ""ur"")"),"جیت قبیلے کے غلبہ اور جنگجو جذبے کی ایک طاقتور علامت ہے، جس سے بے پناہ وقار حاصل ہوتا ہے۔")</f>
        <v>جیت قبیلے کے غلبہ اور جنگجو جذبے کی ایک طاقتور علامت ہے، جس سے بے پناہ وقار حاصل ہوتا ہے۔</v>
      </c>
    </row>
    <row r="32">
      <c r="A32" s="4">
        <v>31.0</v>
      </c>
      <c r="B32" s="5" t="s">
        <v>715</v>
      </c>
      <c r="C32" s="5" t="s">
        <v>716</v>
      </c>
      <c r="D32" s="5" t="s">
        <v>717</v>
      </c>
      <c r="E32" s="5" t="s">
        <v>718</v>
      </c>
      <c r="I32" s="6" t="str">
        <f>IFERROR(__xludf.DUMMYFUNCTION("GOOGLETRANSLATE(A32, ""en"", ""ur"")"),"31")</f>
        <v>31</v>
      </c>
      <c r="J32" s="6" t="str">
        <f>IFERROR(__xludf.DUMMYFUNCTION("GOOGLETRANSLATE(B32, ""en"", ""ur"")"),"ٹیم بزکشی میں، ""سپورٹ رائڈر"" کا کیا کردار ہے؟")</f>
        <v>ٹیم بزکشی میں، "سپورٹ رائڈر" کا کیا کردار ہے؟</v>
      </c>
      <c r="K32" s="6" t="str">
        <f>IFERROR(__xludf.DUMMYFUNCTION("GOOGLETRANSLATE(C32, ""en"", ""ur"")"),"A) مرکزی سوار کے لیے پانی لے جانے کے لیے، B) لاش لے جانے والے ساتھی کے لیے راستہ صاف کرنا اور مخالفین کو روکنا، C) متبادل سوار ہونا، D) ریفری سے بحث کرنا")</f>
        <v>A) مرکزی سوار کے لیے پانی لے جانے کے لیے، B) لاش لے جانے والے ساتھی کے لیے راستہ صاف کرنا اور مخالفین کو روکنا، C) متبادل سوار ہونا، D) ریفری سے بحث کرنا</v>
      </c>
      <c r="L32" s="6" t="str">
        <f>IFERROR(__xludf.DUMMYFUNCTION("GOOGLETRANSLATE(D32, ""en"", ""ur"")"),"ب) لاش لے جانے والے ساتھی کے لیے راستہ صاف کرنا اور مخالفین کو روکنا")</f>
        <v>ب) لاش لے جانے والے ساتھی کے لیے راستہ صاف کرنا اور مخالفین کو روکنا</v>
      </c>
      <c r="M32" s="6" t="str">
        <f>IFERROR(__xludf.DUMMYFUNCTION("GOOGLETRANSLATE(E32, ""en"", ""ur"")"),"سپورٹ رائیڈرز ایک اہم کردار ادا کرتے ہیں، اپنی ٹیم کے اہم اسکورر کی مدد کے لیے بلاکرز اور مداخلت کرنے والے کے طور پر کام کرتے ہیں۔")</f>
        <v>سپورٹ رائیڈرز ایک اہم کردار ادا کرتے ہیں، اپنی ٹیم کے اہم اسکورر کی مدد کے لیے بلاکرز اور مداخلت کرنے والے کے طور پر کام کرتے ہیں۔</v>
      </c>
    </row>
    <row r="33">
      <c r="A33" s="4">
        <v>32.0</v>
      </c>
      <c r="B33" s="5" t="s">
        <v>719</v>
      </c>
      <c r="C33" s="5" t="s">
        <v>720</v>
      </c>
      <c r="D33" s="5" t="s">
        <v>721</v>
      </c>
      <c r="E33" s="5" t="s">
        <v>722</v>
      </c>
      <c r="I33" s="6" t="str">
        <f>IFERROR(__xludf.DUMMYFUNCTION("GOOGLETRANSLATE(A33, ""en"", ""ur"")"),"32")</f>
        <v>32</v>
      </c>
      <c r="J33" s="6" t="str">
        <f>IFERROR(__xludf.DUMMYFUNCTION("GOOGLETRANSLATE(B33, ""en"", ""ur"")"),"روایتی دیہی بزکشی میدان اور جدید ٹورنامنٹ کے میدان میں بنیادی فرق کیا ہے؟")</f>
        <v>روایتی دیہی بزکشی میدان اور جدید ٹورنامنٹ کے میدان میں بنیادی فرق کیا ہے؟</v>
      </c>
      <c r="K33" s="6" t="str">
        <f>IFERROR(__xludf.DUMMYFUNCTION("GOOGLETRANSLATE(C33, ""en"", ""ur"")"),"A) جدید میدان چھوٹا ہے، B) روایتی میدان اکثر کھلا میدان ہوتا ہے جس کی کوئی واضح سرحد نہیں ہوتی، C) جدید میدان گھاس سے بنا ہوتا ہے، D) روایتی میدان میں زیادہ رکاوٹیں ہوتی ہیں۔")</f>
        <v>A) جدید میدان چھوٹا ہے، B) روایتی میدان اکثر کھلا میدان ہوتا ہے جس کی کوئی واضح سرحد نہیں ہوتی، C) جدید میدان گھاس سے بنا ہوتا ہے، D) روایتی میدان میں زیادہ رکاوٹیں ہوتی ہیں۔</v>
      </c>
      <c r="L33" s="6" t="str">
        <f>IFERROR(__xludf.DUMMYFUNCTION("GOOGLETRANSLATE(D33, ""en"", ""ur"")"),"ب) روایتی میدان اکثر ایک کھلا میدان ہوتا ہے جس کی کوئی واضح حدود نہیں ہوتی ہیں۔")</f>
        <v>ب) روایتی میدان اکثر ایک کھلا میدان ہوتا ہے جس کی کوئی واضح حدود نہیں ہوتی ہیں۔</v>
      </c>
      <c r="M33" s="6" t="str">
        <f>IFERROR(__xludf.DUMMYFUNCTION("GOOGLETRANSLATE(E33, ""en"", ""ur"")"),"رسمی ٹورنامنٹ میں واضح طور پر نشان زد فیلڈز کا استعمال کیا جاتا ہے، جبکہ گاؤں کے کھیل اکثر وسیع، غیر متعینہ علاقوں میں ہوتے ہیں۔")</f>
        <v>رسمی ٹورنامنٹ میں واضح طور پر نشان زد فیلڈز کا استعمال کیا جاتا ہے، جبکہ گاؤں کے کھیل اکثر وسیع، غیر متعینہ علاقوں میں ہوتے ہیں۔</v>
      </c>
    </row>
    <row r="34">
      <c r="A34" s="4">
        <v>33.0</v>
      </c>
      <c r="B34" s="5" t="s">
        <v>723</v>
      </c>
      <c r="C34" s="5" t="s">
        <v>724</v>
      </c>
      <c r="D34" s="5" t="s">
        <v>725</v>
      </c>
      <c r="E34" s="5" t="s">
        <v>726</v>
      </c>
      <c r="I34" s="6" t="str">
        <f>IFERROR(__xludf.DUMMYFUNCTION("GOOGLETRANSLATE(A34, ""en"", ""ur"")"),"33")</f>
        <v>33</v>
      </c>
      <c r="J34" s="6" t="str">
        <f>IFERROR(__xludf.DUMMYFUNCTION("GOOGLETRANSLATE(B34, ""en"", ""ur"")"),"زمین پر سوار کے بارے میں غیر تحریری حکم کیا ہے؟")</f>
        <v>زمین پر سوار کے بارے میں غیر تحریری حکم کیا ہے؟</v>
      </c>
      <c r="K34" s="6" t="str">
        <f>IFERROR(__xludf.DUMMYFUNCTION("GOOGLETRANSLATE(C34, ""en"", ""ur"")"),"A) انہیں پامال کیا جا سکتا ہے، B) وہ لاش کے لیے ایک درست ہدف ہیں، C) مخالفین کو ان پر بھاگنے سے بچنے کی کوشش کرنی چاہیے، D) ان کے ساتھیوں کو فوری طور پر ان کی مدد کرنی چاہیے۔")</f>
        <v>A) انہیں پامال کیا جا سکتا ہے، B) وہ لاش کے لیے ایک درست ہدف ہیں، C) مخالفین کو ان پر بھاگنے سے بچنے کی کوشش کرنی چاہیے، D) ان کے ساتھیوں کو فوری طور پر ان کی مدد کرنی چاہیے۔</v>
      </c>
      <c r="L34" s="6" t="str">
        <f>IFERROR(__xludf.DUMMYFUNCTION("GOOGLETRANSLATE(D34, ""en"", ""ur"")"),"ج) مخالفین کو ان پر قابو پانے سے بچنے کی کوشش کرنی چاہیے۔")</f>
        <v>ج) مخالفین کو ان پر قابو پانے سے بچنے کی کوشش کرنی چاہیے۔</v>
      </c>
      <c r="M34" s="6" t="str">
        <f>IFERROR(__xludf.DUMMYFUNCTION("GOOGLETRANSLATE(E34, ""en"", ""ur"")"),"ایک کھردرے کھیل کے دوران، اعزاز کا ایک ضابطہ ہے جو جان بوجھ کر اترنے والے سوار کو نقصان پہنچانے سے منع کرتا ہے۔")</f>
        <v>ایک کھردرے کھیل کے دوران، اعزاز کا ایک ضابطہ ہے جو جان بوجھ کر اترنے والے سوار کو نقصان پہنچانے سے منع کرتا ہے۔</v>
      </c>
    </row>
    <row r="35">
      <c r="A35" s="4">
        <v>34.0</v>
      </c>
      <c r="B35" s="5" t="s">
        <v>727</v>
      </c>
      <c r="C35" s="5" t="s">
        <v>728</v>
      </c>
      <c r="D35" s="5" t="s">
        <v>729</v>
      </c>
      <c r="E35" s="5" t="s">
        <v>730</v>
      </c>
      <c r="I35" s="6" t="str">
        <f>IFERROR(__xludf.DUMMYFUNCTION("GOOGLETRANSLATE(A35, ""en"", ""ur"")"),"34")</f>
        <v>34</v>
      </c>
      <c r="J35" s="6" t="str">
        <f>IFERROR(__xludf.DUMMYFUNCTION("GOOGLETRANSLATE(B35, ""en"", ""ur"")"),"بزکشی میں کاشی کی اصطلاح کا کیا ترجمہ ہے؟")</f>
        <v>بزکشی میں کاشی کی اصطلاح کا کیا ترجمہ ہے؟</v>
      </c>
      <c r="K35" s="6" t="str">
        <f>IFERROR(__xludf.DUMMYFUNCTION("GOOGLETRANSLATE(C35, ""en"", ""ur"")"),"A) بکری، B) گھسیٹنا یا کھینچنا، C) گھوڑا، D) کھیل")</f>
        <v>A) بکری، B) گھسیٹنا یا کھینچنا، C) گھوڑا، D) کھیل</v>
      </c>
      <c r="L35" s="6" t="str">
        <f>IFERROR(__xludf.DUMMYFUNCTION("GOOGLETRANSLATE(D35, ""en"", ""ur"")"),"ب) گھسیٹنا یا کھینچنا")</f>
        <v>ب) گھسیٹنا یا کھینچنا</v>
      </c>
      <c r="M35" s="6" t="str">
        <f>IFERROR(__xludf.DUMMYFUNCTION("GOOGLETRANSLATE(E35, ""en"", ""ur"")"),"اس کھیل کا نام، بز کاشی، فارسی میں لفظی معنی ""بکری گھسیٹنا"" کے ہیں۔")</f>
        <v>اس کھیل کا نام، بز کاشی، فارسی میں لفظی معنی "بکری گھسیٹنا" کے ہیں۔</v>
      </c>
    </row>
    <row r="36">
      <c r="A36" s="4">
        <v>35.0</v>
      </c>
      <c r="B36" s="5" t="s">
        <v>731</v>
      </c>
      <c r="C36" s="5" t="s">
        <v>732</v>
      </c>
      <c r="D36" s="5" t="s">
        <v>733</v>
      </c>
      <c r="E36" s="5" t="s">
        <v>734</v>
      </c>
      <c r="I36" s="6" t="str">
        <f>IFERROR(__xludf.DUMMYFUNCTION("GOOGLETRANSLATE(A36, ""en"", ""ur"")"),"35")</f>
        <v>35</v>
      </c>
      <c r="J36" s="6" t="str">
        <f>IFERROR(__xludf.DUMMYFUNCTION("GOOGLETRANSLATE(B36, ""en"", ""ur"")"),"گھوڑے کی فوری طور پر رکنے اور محور کرنے کی صلاحیت اتنی زیادہ قابل قدر کیوں ہے؟")</f>
        <v>گھوڑے کی فوری طور پر رکنے اور محور کرنے کی صلاحیت اتنی زیادہ قابل قدر کیوں ہے؟</v>
      </c>
      <c r="K36" s="6" t="str">
        <f>IFERROR(__xludf.DUMMYFUNCTION("GOOGLETRANSLATE(C36, ""en"", ""ur"")"),"A) یہ ایک اچھی نسل کے گھوڑے کی علامت ہے، B) یہ سوار کو تیزی سے دفاع سے حملہ کرنے کی اجازت دیتا ہے، C) یہ گھوڑے کو تھکنے سے روکتا ہے، D) یہ ہجوم کو متاثر کن لگتا ہے۔")</f>
        <v>A) یہ ایک اچھی نسل کے گھوڑے کی علامت ہے، B) یہ سوار کو تیزی سے دفاع سے حملہ کرنے کی اجازت دیتا ہے، C) یہ گھوڑے کو تھکنے سے روکتا ہے، D) یہ ہجوم کو متاثر کن لگتا ہے۔</v>
      </c>
      <c r="L36" s="6" t="str">
        <f>IFERROR(__xludf.DUMMYFUNCTION("GOOGLETRANSLATE(D36, ""en"", ""ur"")"),"ب) یہ سوار کو تیزی سے دفاع سے حملہ کرنے کی اجازت دیتا ہے۔")</f>
        <v>ب) یہ سوار کو تیزی سے دفاع سے حملہ کرنے کی اجازت دیتا ہے۔</v>
      </c>
      <c r="M36" s="6" t="str">
        <f>IFERROR(__xludf.DUMMYFUNCTION("GOOGLETRANSLATE(E36, ""en"", ""ur"")"),"ایک گھوڑا جو ایک پیسہ پر رک سکتا ہے سوار کو لاش گرنے یا چوری ہونے پر فوری طور پر رد عمل ظاہر کرنے کی اجازت دیتا ہے۔")</f>
        <v>ایک گھوڑا جو ایک پیسہ پر رک سکتا ہے سوار کو لاش گرنے یا چوری ہونے پر فوری طور پر رد عمل ظاہر کرنے کی اجازت دیتا ہے۔</v>
      </c>
    </row>
    <row r="37">
      <c r="A37" s="4">
        <v>36.0</v>
      </c>
      <c r="B37" s="5" t="s">
        <v>735</v>
      </c>
      <c r="C37" s="5" t="s">
        <v>736</v>
      </c>
      <c r="D37" s="5" t="s">
        <v>737</v>
      </c>
      <c r="E37" s="5" t="s">
        <v>738</v>
      </c>
      <c r="I37" s="6" t="str">
        <f>IFERROR(__xludf.DUMMYFUNCTION("GOOGLETRANSLATE(A37, ""en"", ""ur"")"),"36")</f>
        <v>36</v>
      </c>
      <c r="J37" s="6" t="str">
        <f>IFERROR(__xludf.DUMMYFUNCTION("GOOGLETRANSLATE(B37, ""en"", ""ur"")"),"""چپنداز کاٹھی"" کی بنیادی خصوصیت کیا ہے؟")</f>
        <v>"چپنداز کاٹھی" کی بنیادی خصوصیت کیا ہے؟</v>
      </c>
      <c r="K37" s="6" t="str">
        <f>IFERROR(__xludf.DUMMYFUNCTION("GOOGLETRANSLATE(C37, ""en"", ""ur"")"),"A) اس میں کوئی رکاب نہیں ہے، B) یہ بہت ہلکا ہے، C) اس میں اضافی حفاظت کے لیے ایک اونچی پومل اور کینٹل ہے، D) یہ دھات سے بنا ہے")</f>
        <v>A) اس میں کوئی رکاب نہیں ہے، B) یہ بہت ہلکا ہے، C) اس میں اضافی حفاظت کے لیے ایک اونچی پومل اور کینٹل ہے، D) یہ دھات سے بنا ہے</v>
      </c>
      <c r="L37" s="6" t="str">
        <f>IFERROR(__xludf.DUMMYFUNCTION("GOOGLETRANSLATE(D37, ""en"", ""ur"")"),"C) اضافی سیکورٹی کے لیے اس میں ایک اونچی پومل اور کینٹل ہے۔")</f>
        <v>C) اضافی سیکورٹی کے لیے اس میں ایک اونچی پومل اور کینٹل ہے۔</v>
      </c>
      <c r="M37" s="6" t="str">
        <f>IFERROR(__xludf.DUMMYFUNCTION("GOOGLETRANSLATE(E37, ""en"", ""ur"")"),"پرتشدد ٹگنگ اور جھکاؤ کے دوران استحکام فراہم کرنے کے لیے سیڈل کو سوار کو جگہ پر بند کرنے کے لیے ڈیزائن کیا گیا ہے، جس میں ایک اونچا سامنے (پومل) اور پیچھے (کینٹل) ہے۔")</f>
        <v>پرتشدد ٹگنگ اور جھکاؤ کے دوران استحکام فراہم کرنے کے لیے سیڈل کو سوار کو جگہ پر بند کرنے کے لیے ڈیزائن کیا گیا ہے، جس میں ایک اونچا سامنے (پومل) اور پیچھے (کینٹل) ہے۔</v>
      </c>
    </row>
    <row r="38">
      <c r="A38" s="4">
        <v>37.0</v>
      </c>
      <c r="B38" s="5" t="s">
        <v>739</v>
      </c>
      <c r="C38" s="5" t="s">
        <v>740</v>
      </c>
      <c r="D38" s="5" t="s">
        <v>741</v>
      </c>
      <c r="E38" s="5" t="s">
        <v>742</v>
      </c>
      <c r="I38" s="6" t="str">
        <f>IFERROR(__xludf.DUMMYFUNCTION("GOOGLETRANSLATE(A38, ""en"", ""ur"")"),"37")</f>
        <v>37</v>
      </c>
      <c r="J38" s="6" t="str">
        <f>IFERROR(__xludf.DUMMYFUNCTION("GOOGLETRANSLATE(B38, ""en"", ""ur"")"),"کیا کوئی کھلاڑی گھوڑے کے بغیر پیدل چلتے ہوئے لاش کو پکڑ سکتا ہے؟")</f>
        <v>کیا کوئی کھلاڑی گھوڑے کے بغیر پیدل چلتے ہوئے لاش کو پکڑ سکتا ہے؟</v>
      </c>
      <c r="K38" s="6" t="str">
        <f>IFERROR(__xludf.DUMMYFUNCTION("GOOGLETRANSLATE(C38, ""en"", ""ur"")"),"A) ہاں، اگر وہ کافی تیز ہوں، B) نہیں، قانونی طور پر لاش کو کھیلنے کے لیے ایک کھلاڑی کو نصب کیا جانا چاہیے، C) صرف اس صورت میں جب لاش بھی زمین پر ہو، D) یہ ریفری کی صوابدید پر منحصر ہے۔")</f>
        <v>A) ہاں، اگر وہ کافی تیز ہوں، B) نہیں، قانونی طور پر لاش کو کھیلنے کے لیے ایک کھلاڑی کو نصب کیا جانا چاہیے، C) صرف اس صورت میں جب لاش بھی زمین پر ہو، D) یہ ریفری کی صوابدید پر منحصر ہے۔</v>
      </c>
      <c r="L38" s="6" t="str">
        <f>IFERROR(__xludf.DUMMYFUNCTION("GOOGLETRANSLATE(D38, ""en"", ""ur"")"),"ب) نہیں، قانونی طور پر لاش کو کھیلنے کے لیے ایک کھلاڑی کو نصب کیا جانا چاہیے۔")</f>
        <v>ب) نہیں، قانونی طور پر لاش کو کھیلنے کے لیے ایک کھلاڑی کو نصب کیا جانا چاہیے۔</v>
      </c>
      <c r="M38" s="6" t="str">
        <f>IFERROR(__xludf.DUMMYFUNCTION("GOOGLETRANSLATE(E38, ""en"", ""ur"")"),"بزکشی سختی سے گھڑ سواری کا کھیل ہے۔ ڈس ماؤنٹ ہونے والا کھلاڑی اس وقت تک فعال شریک نہیں ہوتا جب تک کہ وہ دوبارہ ماؤنٹ نہ ہو۔")</f>
        <v>بزکشی سختی سے گھڑ سواری کا کھیل ہے۔ ڈس ماؤنٹ ہونے والا کھلاڑی اس وقت تک فعال شریک نہیں ہوتا جب تک کہ وہ دوبارہ ماؤنٹ نہ ہو۔</v>
      </c>
    </row>
    <row r="39">
      <c r="A39" s="4">
        <v>38.0</v>
      </c>
      <c r="B39" s="5" t="s">
        <v>743</v>
      </c>
      <c r="C39" s="5" t="s">
        <v>744</v>
      </c>
      <c r="D39" s="5" t="s">
        <v>745</v>
      </c>
      <c r="E39" s="5" t="s">
        <v>746</v>
      </c>
      <c r="I39" s="6" t="str">
        <f>IFERROR(__xludf.DUMMYFUNCTION("GOOGLETRANSLATE(A39, ""en"", ""ur"")"),"38")</f>
        <v>38</v>
      </c>
      <c r="J39" s="6" t="str">
        <f>IFERROR(__xludf.DUMMYFUNCTION("GOOGLETRANSLATE(B39, ""en"", ""ur"")"),"بزکشی کو اولمپک کھیل نہیں سمجھا جانے کی بنیادی وجہ کیا ہے؟")</f>
        <v>بزکشی کو اولمپک کھیل نہیں سمجھا جانے کی بنیادی وجہ کیا ہے؟</v>
      </c>
      <c r="K39" s="6" t="str">
        <f>IFERROR(__xludf.DUMMYFUNCTION("GOOGLETRANSLATE(C39, ""en"", ""ur"")"),"A) یہ کافی مقبول نہیں ہے، B) معیاری بین الاقوامی قوانین کی کمی اور جانوروں کی فلاح و بہبود کے خدشات، C) میچز بہت لمبے ہیں، D) سامان بہت مہنگا ہے۔")</f>
        <v>A) یہ کافی مقبول نہیں ہے، B) معیاری بین الاقوامی قوانین کی کمی اور جانوروں کی فلاح و بہبود کے خدشات، C) میچز بہت لمبے ہیں، D) سامان بہت مہنگا ہے۔</v>
      </c>
      <c r="L39" s="6" t="str">
        <f>IFERROR(__xludf.DUMMYFUNCTION("GOOGLETRANSLATE(D39, ""en"", ""ur"")"),"ب) معیاری بین الاقوامی قوانین کی کمی اور جانوروں کی بہبود کے خدشات")</f>
        <v>ب) معیاری بین الاقوامی قوانین کی کمی اور جانوروں کی بہبود کے خدشات</v>
      </c>
      <c r="M39" s="6" t="str">
        <f>IFERROR(__xludf.DUMMYFUNCTION("GOOGLETRANSLATE(E39, ""en"", ""ur"")"),"خطوں اور جانوروں کی لاش کے استعمال کے درمیان قواعد میں نمایاں تبدیلی اس کی شمولیت میں بڑی رکاوٹیں ہیں۔")</f>
        <v>خطوں اور جانوروں کی لاش کے استعمال کے درمیان قواعد میں نمایاں تبدیلی اس کی شمولیت میں بڑی رکاوٹیں ہیں۔</v>
      </c>
    </row>
    <row r="40">
      <c r="A40" s="4">
        <v>39.0</v>
      </c>
      <c r="B40" s="5" t="s">
        <v>747</v>
      </c>
      <c r="C40" s="5" t="s">
        <v>748</v>
      </c>
      <c r="D40" s="5" t="s">
        <v>749</v>
      </c>
      <c r="E40" s="5" t="s">
        <v>750</v>
      </c>
      <c r="I40" s="6" t="str">
        <f>IFERROR(__xludf.DUMMYFUNCTION("GOOGLETRANSLATE(A40, ""en"", ""ur"")"),"39")</f>
        <v>39</v>
      </c>
      <c r="J40" s="6" t="str">
        <f>IFERROR(__xludf.DUMMYFUNCTION("GOOGLETRANSLATE(B40, ""en"", ""ur"")"),"مقامی گاؤں بزکشی میچ جیتنے کا روایتی انعام کیا ہے؟")</f>
        <v>مقامی گاؤں بزکشی میچ جیتنے کا روایتی انعام کیا ہے؟</v>
      </c>
      <c r="K40" s="6" t="str">
        <f>IFERROR(__xludf.DUMMYFUNCTION("GOOGLETRANSLATE(C40, ""en"", ""ur"")"),"A) ایک بڑا نقد انعام، B) ایک نیا گھوڑا، C) لاش خود، یا دیگر علامتی انعامات جیسے پگڑی، D) ایک سرکاری اعزاز")</f>
        <v>A) ایک بڑا نقد انعام، B) ایک نیا گھوڑا، C) لاش خود، یا دیگر علامتی انعامات جیسے پگڑی، D) ایک سرکاری اعزاز</v>
      </c>
      <c r="L40" s="6" t="str">
        <f>IFERROR(__xludf.DUMMYFUNCTION("GOOGLETRANSLATE(D40, ""en"", ""ur"")"),"ج) خود لاش، یا دیگر علامتی انعامات جیسے پگڑی")</f>
        <v>ج) خود لاش، یا دیگر علامتی انعامات جیسے پگڑی</v>
      </c>
      <c r="M40" s="6" t="str">
        <f>IFERROR(__xludf.DUMMYFUNCTION("GOOGLETRANSLATE(E40, ""en"", ""ur"")"),"روایتی کھیلوں میں، انعامات اکثر بڑے مالیاتی انعامات کے بجائے عزت اور وقار کی علامت ہوتے ہیں۔")</f>
        <v>روایتی کھیلوں میں، انعامات اکثر بڑے مالیاتی انعامات کے بجائے عزت اور وقار کی علامت ہوتے ہیں۔</v>
      </c>
    </row>
    <row r="41">
      <c r="A41" s="4">
        <v>40.0</v>
      </c>
      <c r="B41" s="5" t="s">
        <v>751</v>
      </c>
      <c r="C41" s="5" t="s">
        <v>752</v>
      </c>
      <c r="D41" s="5" t="s">
        <v>753</v>
      </c>
      <c r="E41" s="5" t="s">
        <v>754</v>
      </c>
      <c r="I41" s="6" t="str">
        <f>IFERROR(__xludf.DUMMYFUNCTION("GOOGLETRANSLATE(A41, ""en"", ""ur"")"),"40")</f>
        <v>40</v>
      </c>
      <c r="J41" s="6" t="str">
        <f>IFERROR(__xludf.DUMMYFUNCTION("GOOGLETRANSLATE(B41, ""en"", ""ur"")"),"باضابطہ بزکشی ٹورنامنٹ میں عام طور پر ٹائی یا ڈرا کیسے کیا جاتا ہے؟")</f>
        <v>باضابطہ بزکشی ٹورنامنٹ میں عام طور پر ٹائی یا ڈرا کیسے کیا جاتا ہے؟</v>
      </c>
      <c r="K41" s="6" t="str">
        <f>IFERROR(__xludf.DUMMYFUNCTION("GOOGLETRANSLATE(C41, ""en"", ""ur"")"),"A) میچ ڈرا قرار دیا جاتا ہے، B) ایک سکہ پھینکا جاتا ہے، C) فاتح کا تعین کرنے کے لیے کھیل کا ایک اضافی وقفہ رکھا جاتا ہے، D) آخری گول کرنے والی ٹیم فاتح ہوتی ہے۔")</f>
        <v>A) میچ ڈرا قرار دیا جاتا ہے، B) ایک سکہ پھینکا جاتا ہے، C) فاتح کا تعین کرنے کے لیے کھیل کا ایک اضافی وقفہ رکھا جاتا ہے، D) آخری گول کرنے والی ٹیم فاتح ہوتی ہے۔</v>
      </c>
      <c r="L41" s="6" t="str">
        <f>IFERROR(__xludf.DUMMYFUNCTION("GOOGLETRANSLATE(D41, ""en"", ""ur"")"),"ج) فاتح کا تعین کرنے کے لیے کھیل کی ایک اضافی مدت رکھی جاتی ہے۔")</f>
        <v>ج) فاتح کا تعین کرنے کے لیے کھیل کی ایک اضافی مدت رکھی جاتی ہے۔</v>
      </c>
      <c r="M41" s="6" t="str">
        <f>IFERROR(__xludf.DUMMYFUNCTION("GOOGLETRANSLATE(E41, ""en"", ""ur"")"),"روایتی کھیلوں کے برعکس جو ڈرا پر ختم ہو سکتے ہیں، ٹورنامنٹ میں واضح فاتح کی ضرورت ہوتی ہے، اس لیے اوور ٹائم کی مدت کھیلی جاتی ہے۔")</f>
        <v>روایتی کھیلوں کے برعکس جو ڈرا پر ختم ہو سکتے ہیں، ٹورنامنٹ میں واضح فاتح کی ضرورت ہوتی ہے، اس لیے اوور ٹائم کی مدت کھیلی جاتی ہے۔</v>
      </c>
    </row>
    <row r="42">
      <c r="A42" s="4">
        <v>41.0</v>
      </c>
      <c r="B42" s="5" t="s">
        <v>755</v>
      </c>
      <c r="C42" s="5" t="s">
        <v>756</v>
      </c>
      <c r="D42" s="5" t="s">
        <v>757</v>
      </c>
      <c r="E42" s="5" t="s">
        <v>758</v>
      </c>
      <c r="I42" s="6" t="str">
        <f>IFERROR(__xludf.DUMMYFUNCTION("GOOGLETRANSLATE(A42, ""en"", ""ur"")"),"41")</f>
        <v>41</v>
      </c>
      <c r="J42" s="6" t="str">
        <f>IFERROR(__xludf.DUMMYFUNCTION("GOOGLETRANSLATE(B42, ""en"", ""ur"")"),"ایک سوار کے پاس لاش ہے۔ ایک مخالف سواری کرتا ہے اور سوار کا بازو پکڑتا ہے۔ اس کا کیا حکم ہے؟")</f>
        <v>ایک سوار کے پاس لاش ہے۔ ایک مخالف سواری کرتا ہے اور سوار کا بازو پکڑتا ہے۔ اس کا کیا حکم ہے؟</v>
      </c>
      <c r="K42" s="6" t="str">
        <f>IFERROR(__xludf.DUMMYFUNCTION("GOOGLETRANSLATE(C42, ""en"", ""ur"")"),"A) یہ ایک قانونی دفاعی اقدام ہے، B) سوار کو پکڑنے کے لیے یہ ایک فاؤل ہے، C) کھیل جاری ہے، D) جس سوار کو پکڑا گیا اسے جرمانہ کیا گیا")</f>
        <v>A) یہ ایک قانونی دفاعی اقدام ہے، B) سوار کو پکڑنے کے لیے یہ ایک فاؤل ہے، C) کھیل جاری ہے، D) جس سوار کو پکڑا گیا اسے جرمانہ کیا گیا</v>
      </c>
      <c r="L42" s="6" t="str">
        <f>IFERROR(__xludf.DUMMYFUNCTION("GOOGLETRANSLATE(D42, ""en"", ""ur"")"),"ب) سوار کو پکڑنے کے لیے یہ فاؤل ہے۔")</f>
        <v>ب) سوار کو پکڑنے کے لیے یہ فاؤل ہے۔</v>
      </c>
      <c r="M42" s="6" t="str">
        <f>IFERROR(__xludf.DUMMYFUNCTION("GOOGLETRANSLATE(E42, ""en"", ""ur"")"),"کھلاڑی صرف لاش کے لیے ہی مقابلہ کر سکتے ہیں۔ سوار کے جسم، لباس یا سامان کو پکڑنا غیر قانونی ہے۔")</f>
        <v>کھلاڑی صرف لاش کے لیے ہی مقابلہ کر سکتے ہیں۔ سوار کے جسم، لباس یا سامان کو پکڑنا غیر قانونی ہے۔</v>
      </c>
    </row>
    <row r="43">
      <c r="A43" s="4">
        <v>42.0</v>
      </c>
      <c r="B43" s="5" t="s">
        <v>759</v>
      </c>
      <c r="C43" s="5" t="s">
        <v>760</v>
      </c>
      <c r="D43" s="5" t="s">
        <v>761</v>
      </c>
      <c r="E43" s="5" t="s">
        <v>762</v>
      </c>
      <c r="I43" s="6" t="str">
        <f>IFERROR(__xludf.DUMMYFUNCTION("GOOGLETRANSLATE(A43, ""en"", ""ur"")"),"42")</f>
        <v>42</v>
      </c>
      <c r="J43" s="6" t="str">
        <f>IFERROR(__xludf.DUMMYFUNCTION("GOOGLETRANSLATE(B43, ""en"", ""ur"")"),"ریفری کی بنیادی ذمہ داری کیا ہے جب لاش کے اوپر ایک بڑا جھاڑو بنتا ہے؟")</f>
        <v>ریفری کی بنیادی ذمہ داری کیا ہے جب لاش کے اوپر ایک بڑا جھاڑو بنتا ہے؟</v>
      </c>
      <c r="K43" s="6" t="str">
        <f>IFERROR(__xludf.DUMMYFUNCTION("GOOGLETRANSLATE(C43, ""en"", ""ur"")"),"A) ایک سوار کی لاش کو نکالنے میں مدد کرنے کے لئے، B) گھوڑوں اور سواروں کی حفاظت کو یقینی بنانے کے لئے فاؤل کو دیکھ کر، C) اسکرم کے فاتح کا اعلان کرنے کے لئے، D) وقت برقرار رکھنے کے لئے")</f>
        <v>A) ایک سوار کی لاش کو نکالنے میں مدد کرنے کے لئے، B) گھوڑوں اور سواروں کی حفاظت کو یقینی بنانے کے لئے فاؤل کو دیکھ کر، C) اسکرم کے فاتح کا اعلان کرنے کے لئے، D) وقت برقرار رکھنے کے لئے</v>
      </c>
      <c r="L43" s="6" t="str">
        <f>IFERROR(__xludf.DUMMYFUNCTION("GOOGLETRANSLATE(D43, ""en"", ""ur"")"),"ب) فاؤل کو دیکھ کر گھوڑوں اور سواروں کی حفاظت کو یقینی بنانا")</f>
        <v>ب) فاؤل کو دیکھ کر گھوڑوں اور سواروں کی حفاظت کو یقینی بنانا</v>
      </c>
      <c r="M43" s="6" t="str">
        <f>IFERROR(__xludf.DUMMYFUNCTION("GOOGLETRANSLATE(E43, ""en"", ""ur"")"),"اسکرم کھیل کا سب سے خطرناک حصہ ہے، اور ریفری کا کام غیر قانونی ہولڈز یا خطرناک فالس کے لیے اس کی نگرانی کرنا ہے۔")</f>
        <v>اسکرم کھیل کا سب سے خطرناک حصہ ہے، اور ریفری کا کام غیر قانونی ہولڈز یا خطرناک فالس کے لیے اس کی نگرانی کرنا ہے۔</v>
      </c>
    </row>
    <row r="44">
      <c r="A44" s="4">
        <v>43.0</v>
      </c>
      <c r="B44" s="5" t="s">
        <v>763</v>
      </c>
      <c r="C44" s="5" t="s">
        <v>764</v>
      </c>
      <c r="D44" s="5" t="s">
        <v>765</v>
      </c>
      <c r="E44" s="5" t="s">
        <v>766</v>
      </c>
      <c r="I44" s="6" t="str">
        <f>IFERROR(__xludf.DUMMYFUNCTION("GOOGLETRANSLATE(A44, ""en"", ""ur"")"),"43")</f>
        <v>43</v>
      </c>
      <c r="J44" s="6" t="str">
        <f>IFERROR(__xludf.DUMMYFUNCTION("GOOGLETRANSLATE(B44, ""en"", ""ur"")"),"ایک جدید ٹورنامنٹ میں ایک قاعدہ متعارف کرایا گیا ہے کہ ایک سوار اسکور کی کوشش کرنے سے پہلے لاش کو صرف 30 سیکنڈ تک روک سکتا ہے۔ اس اصول کا مقصد کیا ہے؟")</f>
        <v>ایک جدید ٹورنامنٹ میں ایک قاعدہ متعارف کرایا گیا ہے کہ ایک سوار اسکور کی کوشش کرنے سے پہلے لاش کو صرف 30 سیکنڈ تک روک سکتا ہے۔ اس اصول کا مقصد کیا ہے؟</v>
      </c>
      <c r="K44" s="6" t="str">
        <f>IFERROR(__xludf.DUMMYFUNCTION("GOOGLETRANSLATE(C44, ""en"", ""ur"")"),"A) کھیل کو مشکل بنانے کے لیے، B) کھیل کی رفتار کو بڑھانے اور رکنے کو روکنے کے لیے، C) دفاعی ٹیم کی مدد کے لیے، D) یہ ٹیلی ویژن کی نشریات کے لیے ایک اصول ہے۔")</f>
        <v>A) کھیل کو مشکل بنانے کے لیے، B) کھیل کی رفتار کو بڑھانے اور رکنے کو روکنے کے لیے، C) دفاعی ٹیم کی مدد کے لیے، D) یہ ٹیلی ویژن کی نشریات کے لیے ایک اصول ہے۔</v>
      </c>
      <c r="L44" s="6" t="str">
        <f>IFERROR(__xludf.DUMMYFUNCTION("GOOGLETRANSLATE(D44, ""en"", ""ur"")"),"ب) کھیل کی رفتار کو بڑھانا اور رکنے کو روکنا")</f>
        <v>ب) کھیل کی رفتار کو بڑھانا اور رکنے کو روکنا</v>
      </c>
      <c r="M44" s="6" t="str">
        <f>IFERROR(__xludf.DUMMYFUNCTION("GOOGLETRANSLATE(E44, ""en"", ""ur"")"),"ایک ""شاٹ کلاک"" قسم کا قاعدہ بعض اوقات کھیل کو تیز تر اور شائقین کے لیے مسلسل ایکشن پر مجبور کر کے زیادہ پرجوش بنانے کے لیے استعمال کیا جاتا ہے۔")</f>
        <v>ایک "شاٹ کلاک" قسم کا قاعدہ بعض اوقات کھیل کو تیز تر اور شائقین کے لیے مسلسل ایکشن پر مجبور کر کے زیادہ پرجوش بنانے کے لیے استعمال کیا جاتا ہے۔</v>
      </c>
    </row>
    <row r="45">
      <c r="A45" s="4">
        <v>44.0</v>
      </c>
      <c r="B45" s="5" t="s">
        <v>767</v>
      </c>
      <c r="C45" s="5" t="s">
        <v>768</v>
      </c>
      <c r="D45" s="5" t="s">
        <v>769</v>
      </c>
      <c r="E45" s="5" t="s">
        <v>770</v>
      </c>
      <c r="I45" s="6" t="str">
        <f>IFERROR(__xludf.DUMMYFUNCTION("GOOGLETRANSLATE(A45, ""en"", ""ur"")"),"44")</f>
        <v>44</v>
      </c>
      <c r="J45" s="6" t="str">
        <f>IFERROR(__xludf.DUMMYFUNCTION("GOOGLETRANSLATE(B45, ""en"", ""ur"")"),"کھیل کے دوران ایک چپنڈاز اپنے گھوڑے سے بات کرتا نظر آتا ہے۔ سب سے زیادہ ممکنہ وجہ کیا ہے؟")</f>
        <v>کھیل کے دوران ایک چپنڈاز اپنے گھوڑے سے بات کرتا نظر آتا ہے۔ سب سے زیادہ ممکنہ وجہ کیا ہے؟</v>
      </c>
      <c r="K45" s="6" t="str">
        <f>IFERROR(__xludf.DUMMYFUNCTION("GOOGLETRANSLATE(C45, ""en"", ""ur"")"),"A) وہ اسے پیچیدہ حکم دے رہا ہے، B) یہ گھوڑے کو پرسکون رکھنے اور افراتفری کے درمیان توجہ مرکوز رکھنے کا ایک طریقہ ہے، C) وہ دوسرے سواروں کے بارے میں شکایت کر رہا ہے، D) اس کا کوئی مقصد نہیں ہے۔")</f>
        <v>A) وہ اسے پیچیدہ حکم دے رہا ہے، B) یہ گھوڑے کو پرسکون رکھنے اور افراتفری کے درمیان توجہ مرکوز رکھنے کا ایک طریقہ ہے، C) وہ دوسرے سواروں کے بارے میں شکایت کر رہا ہے، D) اس کا کوئی مقصد نہیں ہے۔</v>
      </c>
      <c r="L45" s="6" t="str">
        <f>IFERROR(__xludf.DUMMYFUNCTION("GOOGLETRANSLATE(D45, ""en"", ""ur"")"),"ب) یہ افراتفری کے درمیان گھوڑے کو پرسکون اور توجہ مرکوز رکھنے کا ایک طریقہ ہے۔")</f>
        <v>ب) یہ افراتفری کے درمیان گھوڑے کو پرسکون اور توجہ مرکوز رکھنے کا ایک طریقہ ہے۔</v>
      </c>
      <c r="M45" s="6" t="str">
        <f>IFERROR(__xludf.DUMMYFUNCTION("GOOGLETRANSLATE(E45, ""en"", ""ur"")"),"سوار اور گھوڑے کے درمیان بانڈ اہم ہے. سوار کی آواز ان کے ماؤنٹ کو یقین دلانے اور اسے کنٹرول کرنے کا ایک اہم ذریعہ ہو سکتی ہے۔")</f>
        <v>سوار اور گھوڑے کے درمیان بانڈ اہم ہے. سوار کی آواز ان کے ماؤنٹ کو یقین دلانے اور اسے کنٹرول کرنے کا ایک اہم ذریعہ ہو سکتی ہے۔</v>
      </c>
    </row>
    <row r="46">
      <c r="A46" s="4">
        <v>45.0</v>
      </c>
      <c r="B46" s="5" t="s">
        <v>771</v>
      </c>
      <c r="C46" s="5" t="s">
        <v>772</v>
      </c>
      <c r="D46" s="5" t="s">
        <v>773</v>
      </c>
      <c r="E46" s="5" t="s">
        <v>774</v>
      </c>
      <c r="I46" s="6" t="str">
        <f>IFERROR(__xludf.DUMMYFUNCTION("GOOGLETRANSLATE(A46, ""en"", ""ur"")"),"45")</f>
        <v>45</v>
      </c>
      <c r="J46" s="6" t="str">
        <f>IFERROR(__xludf.DUMMYFUNCTION("GOOGLETRANSLATE(B46, ""en"", ""ur"")"),"بزکشی گھوڑے کی تعمیر کا سب سے قیمتی جسمانی وصف کیا ہے؟")</f>
        <v>بزکشی گھوڑے کی تعمیر کا سب سے قیمتی جسمانی وصف کیا ہے؟</v>
      </c>
      <c r="K46" s="6" t="str">
        <f>IFERROR(__xludf.DUMMYFUNCTION("GOOGLETRANSLATE(C46, ""en"", ""ur"")"),"A) ایک لمبی، خوبصورت گردن، B) ایک چوڑا، طاقتور سینہ اور مضبوط پچھلا حصہ، C) ایک چھوٹا، نازک سر، D) کھال کا ایک موٹا، بھاری کوٹ")</f>
        <v>A) ایک لمبی، خوبصورت گردن، B) ایک چوڑا، طاقتور سینہ اور مضبوط پچھلا حصہ، C) ایک چھوٹا، نازک سر، D) کھال کا ایک موٹا، بھاری کوٹ</v>
      </c>
      <c r="L46" s="6" t="str">
        <f>IFERROR(__xludf.DUMMYFUNCTION("GOOGLETRANSLATE(D46, ""en"", ""ur"")"),"ب) ایک چوڑا، طاقتور سینہ اور مضبوط ہندکوارٹر")</f>
        <v>ب) ایک چوڑا، طاقتور سینہ اور مضبوط ہندکوارٹر</v>
      </c>
      <c r="M46" s="6" t="str">
        <f>IFERROR(__xludf.DUMMYFUNCTION("GOOGLETRANSLATE(E46, ""en"", ""ur"")"),"یہ گھوڑے کے ""انجن"" ہیں، جو کھیل میں شامل دھکیلنے، کھینچنے اور دوڑانے کے لیے درکار بے پناہ طاقت فراہم کرتے ہیں۔")</f>
        <v>یہ گھوڑے کے "انجن" ہیں، جو کھیل میں شامل دھکیلنے، کھینچنے اور دوڑانے کے لیے درکار بے پناہ طاقت فراہم کرتے ہیں۔</v>
      </c>
    </row>
    <row r="47">
      <c r="A47" s="4">
        <v>46.0</v>
      </c>
      <c r="B47" s="5" t="s">
        <v>775</v>
      </c>
      <c r="C47" s="5" t="s">
        <v>776</v>
      </c>
      <c r="D47" s="5" t="s">
        <v>777</v>
      </c>
      <c r="E47" s="5" t="s">
        <v>778</v>
      </c>
      <c r="I47" s="6" t="str">
        <f>IFERROR(__xludf.DUMMYFUNCTION("GOOGLETRANSLATE(A47, ""en"", ""ur"")"),"46")</f>
        <v>46</v>
      </c>
      <c r="J47" s="6" t="str">
        <f>IFERROR(__xludf.DUMMYFUNCTION("GOOGLETRANSLATE(B47, ""en"", ""ur"")"),"اگر کوئی ریفری سوار کو ""میت پر چابک استعمال کرنے"" پر جرمانہ کرے تو اس کا کیا حکم ہے؟")</f>
        <v>اگر کوئی ریفری سوار کو "میت پر چابک استعمال کرنے" پر جرمانہ کرے تو اس کا کیا حکم ہے؟</v>
      </c>
      <c r="K47" s="6" t="str">
        <f>IFERROR(__xludf.DUMMYFUNCTION("GOOGLETRANSLATE(C47, ""en"", ""ur"")"),"A) یہ ایک فاؤل ہے ​​کیونکہ یہ لاش کو نقصان پہنچا سکتا ہے، B) یہ ایک فاؤل ہے ​​کیونکہ اس کا استعمال لاش کو غیر قانونی طور پر ہک یا منتقل کرنے کے لیے کیا جا سکتا ہے، C) اسے بز کی علامتی نوعیت کے لیے بے عزتی کے طور پر دیکھا جاتا ہے، D) یہ فاؤل نہیں ہے۔")</f>
        <v>A) یہ ایک فاؤل ہے ​​کیونکہ یہ لاش کو نقصان پہنچا سکتا ہے، B) یہ ایک فاؤل ہے ​​کیونکہ اس کا استعمال لاش کو غیر قانونی طور پر ہک یا منتقل کرنے کے لیے کیا جا سکتا ہے، C) اسے بز کی علامتی نوعیت کے لیے بے عزتی کے طور پر دیکھا جاتا ہے، D) یہ فاؤل نہیں ہے۔</v>
      </c>
      <c r="L47" s="6" t="str">
        <f>IFERROR(__xludf.DUMMYFUNCTION("GOOGLETRANSLATE(D47, ""en"", ""ur"")"),"ب) یہ ایک غلط ہے کیونکہ اس کا استعمال لاش کو غیر قانونی طور پر ہک یا منتقل کرنے کے لیے کیا جا سکتا ہے۔")</f>
        <v>ب) یہ ایک غلط ہے کیونکہ اس کا استعمال لاش کو غیر قانونی طور پر ہک یا منتقل کرنے کے لیے کیا جا سکتا ہے۔</v>
      </c>
      <c r="M47" s="6" t="str">
        <f>IFERROR(__xludf.DUMMYFUNCTION("GOOGLETRANSLATE(E47, ""en"", ""ur"")"),"کوڑا صرف گھوڑے کے لیے ہے۔ گیم کے اعتراض کو ہیرا پھیری کرنے کے لیے اسے بطور آلہ استعمال کرنا غیر قانونی ہے۔")</f>
        <v>کوڑا صرف گھوڑے کے لیے ہے۔ گیم کے اعتراض کو ہیرا پھیری کرنے کے لیے اسے بطور آلہ استعمال کرنا غیر قانونی ہے۔</v>
      </c>
    </row>
    <row r="48">
      <c r="A48" s="4">
        <v>47.0</v>
      </c>
      <c r="B48" s="5" t="s">
        <v>779</v>
      </c>
      <c r="C48" s="5" t="s">
        <v>780</v>
      </c>
      <c r="D48" s="5" t="s">
        <v>781</v>
      </c>
      <c r="E48" s="5" t="s">
        <v>782</v>
      </c>
      <c r="I48" s="6" t="str">
        <f>IFERROR(__xludf.DUMMYFUNCTION("GOOGLETRANSLATE(A48, ""en"", ""ur"")"),"47")</f>
        <v>47</v>
      </c>
      <c r="J48" s="6" t="str">
        <f>IFERROR(__xludf.DUMMYFUNCTION("GOOGLETRANSLATE(B48, ""en"", ""ur"")"),"کسی ٹورنامنٹ میں، فاتح کا تعین کرنے کا سب سے عام طریقہ کیا ہے؟")</f>
        <v>کسی ٹورنامنٹ میں، فاتح کا تعین کرنے کا سب سے عام طریقہ کیا ہے؟</v>
      </c>
      <c r="K48" s="6" t="str">
        <f>IFERROR(__xludf.DUMMYFUNCTION("GOOGLETRANSLATE(C48, ""en"", ""ur"")"),"A) پوائنٹس کی ایک مقررہ تعداد حاصل کرنے والا پہلا سوار، B) وقت کی حد کے اختتام پر سب سے زیادہ پوائنٹس کے ساتھ سوار یا ٹیم، C) قبائلی عمائدین کا ووٹ، D) آخری سوار جو گھوڑے پر سوار ہو کر رہ گیا")</f>
        <v>A) پوائنٹس کی ایک مقررہ تعداد حاصل کرنے والا پہلا سوار، B) وقت کی حد کے اختتام پر سب سے زیادہ پوائنٹس کے ساتھ سوار یا ٹیم، C) قبائلی عمائدین کا ووٹ، D) آخری سوار جو گھوڑے پر سوار ہو کر رہ گیا</v>
      </c>
      <c r="L48" s="6" t="str">
        <f>IFERROR(__xludf.DUMMYFUNCTION("GOOGLETRANSLATE(D48, ""en"", ""ur"")"),"ب) وقت کی حد کے اختتام پر سب سے زیادہ پوائنٹس کے ساتھ سوار یا ٹیم")</f>
        <v>ب) وقت کی حد کے اختتام پر سب سے زیادہ پوائنٹس کے ساتھ سوار یا ٹیم</v>
      </c>
      <c r="M48" s="6" t="str">
        <f>IFERROR(__xludf.DUMMYFUNCTION("GOOGLETRANSLATE(E48, ""en"", ""ur"")"),"رسمی میچز عام طور پر ایک مقررہ مدت کے لیے کھیلے جاتے ہیں (مثلاً، دو حصے)، اور سب سے زیادہ اسکور کرنے والا فرد یا ٹیم جیت جاتی ہے۔")</f>
        <v>رسمی میچز عام طور پر ایک مقررہ مدت کے لیے کھیلے جاتے ہیں (مثلاً، دو حصے)، اور سب سے زیادہ اسکور کرنے والا فرد یا ٹیم جیت جاتی ہے۔</v>
      </c>
    </row>
    <row r="49">
      <c r="A49" s="4">
        <v>48.0</v>
      </c>
      <c r="B49" s="5" t="s">
        <v>783</v>
      </c>
      <c r="C49" s="5" t="s">
        <v>784</v>
      </c>
      <c r="D49" s="5" t="s">
        <v>785</v>
      </c>
      <c r="E49" s="5" t="s">
        <v>786</v>
      </c>
      <c r="I49" s="6" t="str">
        <f>IFERROR(__xludf.DUMMYFUNCTION("GOOGLETRANSLATE(A49, ""en"", ""ur"")"),"48")</f>
        <v>48</v>
      </c>
      <c r="J49" s="6" t="str">
        <f>IFERROR(__xludf.DUMMYFUNCTION("GOOGLETRANSLATE(B49, ""en"", ""ur"")"),"روایتی موٹا، لحاف والا کوٹ (چاپن) پہننے کا بنیادی مقصد کیا ہے؟")</f>
        <v>روایتی موٹا، لحاف والا کوٹ (چاپن) پہننے کا بنیادی مقصد کیا ہے؟</v>
      </c>
      <c r="K49" s="6" t="str">
        <f>IFERROR(__xludf.DUMMYFUNCTION("GOOGLETRANSLATE(C49, ""en"", ""ur"")"),"A) یہ یونیفارم ہے، B) یہ اسٹیٹس سمبل ہے، C) یہ کھردرے کھیل کے دوران کوڑوں اور رگڑنے سے تحفظ فراہم کرتا ہے، D) یہ سوار کو گرم رکھتا ہے۔")</f>
        <v>A) یہ یونیفارم ہے، B) یہ اسٹیٹس سمبل ہے، C) یہ کھردرے کھیل کے دوران کوڑوں اور رگڑنے سے تحفظ فراہم کرتا ہے، D) یہ سوار کو گرم رکھتا ہے۔</v>
      </c>
      <c r="L49" s="6" t="str">
        <f>IFERROR(__xludf.DUMMYFUNCTION("GOOGLETRANSLATE(D49, ""en"", ""ur"")"),"C) یہ کسی نہ کسی کھیل کے دوران کوڑوں اور رگڑنے سے تحفظ فراہم کرتا ہے۔")</f>
        <v>C) یہ کسی نہ کسی کھیل کے دوران کوڑوں اور رگڑنے سے تحفظ فراہم کرتا ہے۔</v>
      </c>
      <c r="M49" s="6" t="str">
        <f>IFERROR(__xludf.DUMMYFUNCTION("GOOGLETRANSLATE(E49, ""en"", ""ur"")"),"چپن صرف روایتی لباس نہیں ہے۔ یہ حفاظتی پیڈنگ کے ایک اہم حصے کے طور پر بھی کام کرتا ہے۔")</f>
        <v>چپن صرف روایتی لباس نہیں ہے۔ یہ حفاظتی پیڈنگ کے ایک اہم حصے کے طور پر بھی کام کرتا ہے۔</v>
      </c>
    </row>
    <row r="50">
      <c r="A50" s="4">
        <v>49.0</v>
      </c>
      <c r="B50" s="5" t="s">
        <v>787</v>
      </c>
      <c r="C50" s="5" t="s">
        <v>788</v>
      </c>
      <c r="D50" s="5" t="s">
        <v>789</v>
      </c>
      <c r="E50" s="5" t="s">
        <v>790</v>
      </c>
      <c r="I50" s="6" t="str">
        <f>IFERROR(__xludf.DUMMYFUNCTION("GOOGLETRANSLATE(A50, ""en"", ""ur"")"),"49")</f>
        <v>49</v>
      </c>
      <c r="J50" s="6" t="str">
        <f>IFERROR(__xludf.DUMMYFUNCTION("GOOGLETRANSLATE(B50, ""en"", ""ur"")"),"اعلیٰ درجے کی بزکشی کے لیے ایک گھوڑے کی کم از کم عمر کتنی ہے؟")</f>
        <v>اعلیٰ درجے کی بزکشی کے لیے ایک گھوڑے کی کم از کم عمر کتنی ہے؟</v>
      </c>
      <c r="K50" s="6" t="str">
        <f>IFERROR(__xludf.DUMMYFUNCTION("GOOGLETRANSLATE(C50, ""en"", ""ur"")"),"A) 2 سال کی عمر، B) 3 سال کی عمر، C) 5 سال کی عمر، D) 8 سال کی عمر میں")</f>
        <v>A) 2 سال کی عمر، B) 3 سال کی عمر، C) 5 سال کی عمر، D) 8 سال کی عمر میں</v>
      </c>
      <c r="L50" s="6" t="str">
        <f>IFERROR(__xludf.DUMMYFUNCTION("GOOGLETRANSLATE(D50, ""en"", ""ur"")"),"ج) 5 سال کی عمر")</f>
        <v>ج) 5 سال کی عمر</v>
      </c>
      <c r="M50" s="6" t="str">
        <f>IFERROR(__xludf.DUMMYFUNCTION("GOOGLETRANSLATE(E50, ""en"", ""ur"")"),"کھیل کو سنبھالنے کے لیے گھوڑوں کو جسمانی طور پر بالغ اور ذہنی طور پر تیار ہونا ضروری ہے، یہ ایک ایسا عمل ہے جس میں عام طور پر ترقی اور تربیت کے کم از کم پانچ سال لگتے ہیں۔")</f>
        <v>کھیل کو سنبھالنے کے لیے گھوڑوں کو جسمانی طور پر بالغ اور ذہنی طور پر تیار ہونا ضروری ہے، یہ ایک ایسا عمل ہے جس میں عام طور پر ترقی اور تربیت کے کم از کم پانچ سال لگتے ہیں۔</v>
      </c>
    </row>
    <row r="51">
      <c r="A51" s="4">
        <v>50.0</v>
      </c>
      <c r="B51" s="5" t="s">
        <v>791</v>
      </c>
      <c r="C51" s="5" t="s">
        <v>792</v>
      </c>
      <c r="D51" s="5" t="s">
        <v>793</v>
      </c>
      <c r="E51" s="5" t="s">
        <v>794</v>
      </c>
      <c r="I51" s="6" t="str">
        <f>IFERROR(__xludf.DUMMYFUNCTION("GOOGLETRANSLATE(A51, ""en"", ""ur"")"),"50")</f>
        <v>50</v>
      </c>
      <c r="J51" s="6" t="str">
        <f>IFERROR(__xludf.DUMMYFUNCTION("GOOGLETRANSLATE(B51, ""en"", ""ur"")"),"ایک سوار پر ایک گھوڑا استعمال کرنے کا الزام ہے جسے نشہ آور چیز دی گئی ہے۔ طریقہ کار کیا ہے؟")</f>
        <v>ایک سوار پر ایک گھوڑا استعمال کرنے کا الزام ہے جسے نشہ آور چیز دی گئی ہے۔ طریقہ کار کیا ہے؟</v>
      </c>
      <c r="K51" s="6" t="str">
        <f>IFERROR(__xludf.DUMMYFUNCTION("GOOGLETRANSLATE(C51, ""en"", ""ur"")"),"A) الزام کو نظر انداز کیا جاتا ہے، B) گھوڑے کو ویٹرنری معائنہ اور منشیات کے ٹیسٹ کا نشانہ بنایا جاتا ہے، C) سوار کو فوری طور پر نااہل قرار دیا جاتا ہے، D) میچ دوبارہ کھیلا جاتا ہے۔")</f>
        <v>A) الزام کو نظر انداز کیا جاتا ہے، B) گھوڑے کو ویٹرنری معائنہ اور منشیات کے ٹیسٹ کا نشانہ بنایا جاتا ہے، C) سوار کو فوری طور پر نااہل قرار دیا جاتا ہے، D) میچ دوبارہ کھیلا جاتا ہے۔</v>
      </c>
      <c r="L51" s="6" t="str">
        <f>IFERROR(__xludf.DUMMYFUNCTION("GOOGLETRANSLATE(D51, ""en"", ""ur"")"),"ب) گھوڑے کو ویٹرنری معائنہ اور منشیات کے ٹیسٹ کا نشانہ بنایا جاتا ہے۔")</f>
        <v>ب) گھوڑے کو ویٹرنری معائنہ اور منشیات کے ٹیسٹ کا نشانہ بنایا جاتا ہے۔</v>
      </c>
      <c r="M51" s="6" t="str">
        <f>IFERROR(__xludf.DUMMYFUNCTION("GOOGLETRANSLATE(E51, ""en"", ""ur"")"),"ڈوپنگ کے الزامات کو سنجیدگی سے لیا جاتا ہے۔ گھوڑے کا معائنہ کرنے اور جانچ کے لیے نمونے لینے کے لیے ایک سرکاری ڈاکٹر کو بلایا جائے گا۔")</f>
        <v>ڈوپنگ کے الزامات کو سنجیدگی سے لیا جاتا ہے۔ گھوڑے کا معائنہ کرنے اور جانچ کے لیے نمونے لینے کے لیے ایک سرکاری ڈاکٹر کو بلایا جائے گا۔</v>
      </c>
    </row>
    <row r="52">
      <c r="A52" s="4">
        <v>51.0</v>
      </c>
      <c r="B52" s="5" t="s">
        <v>795</v>
      </c>
      <c r="C52" s="5" t="s">
        <v>796</v>
      </c>
      <c r="D52" s="5" t="s">
        <v>797</v>
      </c>
      <c r="E52" s="5" t="s">
        <v>798</v>
      </c>
      <c r="I52" s="6" t="str">
        <f>IFERROR(__xludf.DUMMYFUNCTION("GOOGLETRANSLATE(A52, ""en"", ""ur"")"),"51")</f>
        <v>51</v>
      </c>
      <c r="J52" s="6" t="str">
        <f>IFERROR(__xludf.DUMMYFUNCTION("GOOGLETRANSLATE(B52, ""en"", ""ur"")"),"ابتدائی دائرے کی اصطلاح کیا ہے جہاں لاش رکھی جاتی ہے؟")</f>
        <v>ابتدائی دائرے کی اصطلاح کیا ہے جہاں لاش رکھی جاتی ہے؟</v>
      </c>
      <c r="K52" s="6" t="str">
        <f>IFERROR(__xludf.DUMMYFUNCTION("GOOGLETRANSLATE(C52, ""en"", ""ur"")"),"A) سینٹر رنگ، B) دائرہ حلال (قانونیت کا دائرہ)، C) بلسی، D) سکرم زون")</f>
        <v>A) سینٹر رنگ، B) دائرہ حلال (قانونیت کا دائرہ)، C) بلسی، D) سکرم زون</v>
      </c>
      <c r="L52" s="6" t="str">
        <f>IFERROR(__xludf.DUMMYFUNCTION("GOOGLETRANSLATE(D52, ""en"", ""ur"")"),"ب) دائرہ حلال (قانونیت کا دائرہ)")</f>
        <v>ب) دائرہ حلال (قانونیت کا دائرہ)</v>
      </c>
      <c r="M52" s="6" t="str">
        <f>IFERROR(__xludf.DUMMYFUNCTION("GOOGLETRANSLATE(E52, ""en"", ""ur"")"),"یہ سرکاری نقطہ آغاز ہے جہاں لاش کو رکھا جاتا ہے اور جہاں سے کھیل شروع ہوتا ہے۔")</f>
        <v>یہ سرکاری نقطہ آغاز ہے جہاں لاش کو رکھا جاتا ہے اور جہاں سے کھیل شروع ہوتا ہے۔</v>
      </c>
    </row>
    <row r="53">
      <c r="A53" s="4">
        <v>52.0</v>
      </c>
      <c r="B53" s="5" t="s">
        <v>799</v>
      </c>
      <c r="C53" s="5" t="s">
        <v>800</v>
      </c>
      <c r="D53" s="5" t="s">
        <v>801</v>
      </c>
      <c r="E53" s="5" t="s">
        <v>802</v>
      </c>
      <c r="I53" s="6" t="str">
        <f>IFERROR(__xludf.DUMMYFUNCTION("GOOGLETRANSLATE(A53, ""en"", ""ur"")"),"52")</f>
        <v>52</v>
      </c>
      <c r="J53" s="6" t="str">
        <f>IFERROR(__xludf.DUMMYFUNCTION("GOOGLETRANSLATE(B53, ""en"", ""ur"")"),"مخالف کی لگام پکڑنا کیوں فضول ہے؟")</f>
        <v>مخالف کی لگام پکڑنا کیوں فضول ہے؟</v>
      </c>
      <c r="K53" s="6" t="str">
        <f>IFERROR(__xludf.DUMMYFUNCTION("GOOGLETRANSLATE(C53, ""en"", ""ur"")"),"A) یہ سامان کو نقصان پہنچا سکتا ہے، B) یہ ایک انتہائی خطرناک عمل ہے جس کی وجہ سے مخالف اپنے گھوڑے پر کنٹرول کھو سکتا ہے، C) یہ بے عزتی ہے، D) اسے دھوکہ دہی سمجھا جاتا ہے۔")</f>
        <v>A) یہ سامان کو نقصان پہنچا سکتا ہے، B) یہ ایک انتہائی خطرناک عمل ہے جس کی وجہ سے مخالف اپنے گھوڑے پر کنٹرول کھو سکتا ہے، C) یہ بے عزتی ہے، D) اسے دھوکہ دہی سمجھا جاتا ہے۔</v>
      </c>
      <c r="L53" s="6" t="str">
        <f>IFERROR(__xludf.DUMMYFUNCTION("GOOGLETRANSLATE(D53, ""en"", ""ur"")"),"ب) یہ ایک انتہائی خطرناک عمل ہے جس کی وجہ سے مخالف اپنے گھوڑے پر کنٹرول کھو سکتا ہے۔")</f>
        <v>ب) یہ ایک انتہائی خطرناک عمل ہے جس کی وجہ سے مخالف اپنے گھوڑے پر کنٹرول کھو سکتا ہے۔</v>
      </c>
      <c r="M53" s="6" t="str">
        <f>IFERROR(__xludf.DUMMYFUNCTION("GOOGLETRANSLATE(E53, ""en"", ""ur"")"),"سوار کے اپنے گھوڑے کو کنٹرول کرنے کے بنیادی ذرائع کے ساتھ چھیڑ چھاڑ حفاظت کی ایک بڑی خلاف ورزی اور ایک سنگین غلط ہے۔")</f>
        <v>سوار کے اپنے گھوڑے کو کنٹرول کرنے کے بنیادی ذرائع کے ساتھ چھیڑ چھاڑ حفاظت کی ایک بڑی خلاف ورزی اور ایک سنگین غلط ہے۔</v>
      </c>
    </row>
    <row r="54">
      <c r="A54" s="4">
        <v>53.0</v>
      </c>
      <c r="B54" s="5" t="s">
        <v>803</v>
      </c>
      <c r="C54" s="5" t="s">
        <v>804</v>
      </c>
      <c r="D54" s="5" t="s">
        <v>805</v>
      </c>
      <c r="E54" s="5" t="s">
        <v>806</v>
      </c>
      <c r="I54" s="6" t="str">
        <f>IFERROR(__xludf.DUMMYFUNCTION("GOOGLETRANSLATE(A54, ""en"", ""ur"")"),"53")</f>
        <v>53</v>
      </c>
      <c r="J54" s="6" t="str">
        <f>IFERROR(__xludf.DUMMYFUNCTION("GOOGLETRANSLATE(B54, ""en"", ""ur"")"),"ایک سوار ایک پوائنٹ اسکور کرتا ہے۔ کھیل دوبارہ کیسے شروع ہوتا ہے؟")</f>
        <v>ایک سوار ایک پوائنٹ اسکور کرتا ہے۔ کھیل دوبارہ کیسے شروع ہوتا ہے؟</v>
      </c>
      <c r="K54" s="6" t="str">
        <f>IFERROR(__xludf.DUMMYFUNCTION("GOOGLETRANSLATE(C54, ""en"", ""ur"")"),"A) گول کرنے والا سوار لاش سے شروع ہوتا ہے، B) مخالف ٹیم لاش کے ساتھ شروع ہوتی ہے، C) لاش کو ایک اور اسکرم کے لیے مرکزی دائرے میں واپس لایا جاتا ہے، D) ریفری لاش کو ہوا میں پھینک دیتا ہے۔")</f>
        <v>A) گول کرنے والا سوار لاش سے شروع ہوتا ہے، B) مخالف ٹیم لاش کے ساتھ شروع ہوتی ہے، C) لاش کو ایک اور اسکرم کے لیے مرکزی دائرے میں واپس لایا جاتا ہے، D) ریفری لاش کو ہوا میں پھینک دیتا ہے۔</v>
      </c>
      <c r="L54" s="6" t="str">
        <f>IFERROR(__xludf.DUMMYFUNCTION("GOOGLETRANSLATE(D54, ""en"", ""ur"")"),"C) لاش کو ایک اور سکرم کے لیے مرکزی دائرے میں واپس کر دیا جاتا ہے۔")</f>
        <v>C) لاش کو ایک اور سکرم کے لیے مرکزی دائرے میں واپس کر دیا جاتا ہے۔</v>
      </c>
      <c r="M54" s="6" t="str">
        <f>IFERROR(__xludf.DUMMYFUNCTION("GOOGLETRANSLATE(E54, ""en"", ""ur"")"),"ہر اسکور کے بعد، تمام سواروں کے مقابلے کے لیے لاش کو دوبارہ شروع کے دائرے میں رکھ کر کھیل کو دوبارہ ترتیب دیا جاتا ہے۔")</f>
        <v>ہر اسکور کے بعد، تمام سواروں کے مقابلے کے لیے لاش کو دوبارہ شروع کے دائرے میں رکھ کر کھیل کو دوبارہ ترتیب دیا جاتا ہے۔</v>
      </c>
    </row>
    <row r="55">
      <c r="A55" s="4">
        <v>54.0</v>
      </c>
      <c r="B55" s="5" t="s">
        <v>807</v>
      </c>
      <c r="C55" s="5" t="s">
        <v>808</v>
      </c>
      <c r="D55" s="5" t="s">
        <v>809</v>
      </c>
      <c r="E55" s="5" t="s">
        <v>810</v>
      </c>
      <c r="I55" s="6" t="str">
        <f>IFERROR(__xludf.DUMMYFUNCTION("GOOGLETRANSLATE(A55, ""en"", ""ur"")"),"54")</f>
        <v>54</v>
      </c>
      <c r="J55" s="6" t="str">
        <f>IFERROR(__xludf.DUMMYFUNCTION("GOOGLETRANSLATE(B55, ""en"", ""ur"")"),"اعلی درجے کے بزکشی گھوڑے کی زیادہ قیمت کی بنیادی وجہ کیا ہے؟")</f>
        <v>اعلی درجے کے بزکشی گھوڑے کی زیادہ قیمت کی بنیادی وجہ کیا ہے؟</v>
      </c>
      <c r="K55" s="6" t="str">
        <f>IFERROR(__xludf.DUMMYFUNCTION("GOOGLETRANSLATE(C55, ""en"", ""ur"")"),"A) کاٹھی کی قیمت، B) خصوصی تربیت اور افزائش کے سال درکار ہیں، C) درآمدی ٹیکس، D) خوراک کی قیمت")</f>
        <v>A) کاٹھی کی قیمت، B) خصوصی تربیت اور افزائش کے سال درکار ہیں، C) درآمدی ٹیکس، D) خوراک کی قیمت</v>
      </c>
      <c r="L55" s="6" t="str">
        <f>IFERROR(__xludf.DUMMYFUNCTION("GOOGLETRANSLATE(D55, ""en"", ""ur"")"),"ب) خصوصی تربیت اور افزائش کے سال درکار ہیں۔")</f>
        <v>ب) خصوصی تربیت اور افزائش کے سال درکار ہیں۔</v>
      </c>
      <c r="M55" s="6" t="str">
        <f>IFERROR(__xludf.DUMMYFUNCTION("GOOGLETRANSLATE(E55, ""en"", ""ur"")"),"ایک اشرافیہ بزکشی گھوڑا افزائش، خوراک اور سخت تربیت میں ایک دہائی یا اس سے زیادہ کی سرمایہ کاری کی نمائندگی کرتا ہے۔")</f>
        <v>ایک اشرافیہ بزکشی گھوڑا افزائش، خوراک اور سخت تربیت میں ایک دہائی یا اس سے زیادہ کی سرمایہ کاری کی نمائندگی کرتا ہے۔</v>
      </c>
    </row>
    <row r="56">
      <c r="A56" s="4">
        <v>55.0</v>
      </c>
      <c r="B56" s="5" t="s">
        <v>811</v>
      </c>
      <c r="C56" s="5" t="s">
        <v>812</v>
      </c>
      <c r="D56" s="5" t="s">
        <v>813</v>
      </c>
      <c r="E56" s="5" t="s">
        <v>814</v>
      </c>
      <c r="I56" s="6" t="str">
        <f>IFERROR(__xludf.DUMMYFUNCTION("GOOGLETRANSLATE(A56, ""en"", ""ur"")"),"55")</f>
        <v>55</v>
      </c>
      <c r="J56" s="6" t="str">
        <f>IFERROR(__xludf.DUMMYFUNCTION("GOOGLETRANSLATE(B56, ""en"", ""ur"")"),"بزکشی میں ""ٹیم گارڈ"" کی تشکیل کیا ہے؟")</f>
        <v>بزکشی میں "ٹیم گارڈ" کی تشکیل کیا ہے؟</v>
      </c>
      <c r="K56" s="6" t="str">
        <f>IFERROR(__xludf.DUMMYFUNCTION("GOOGLETRANSLATE(C56, ""en"", ""ur"")"),"A) تمام کھلاڑی اپنے اپنے مقصد کے قریب رہتے ہیں، B) ایک دفاعی حربہ جہاں ٹیم کے ساتھی لاش کے کیریئر کے گرد ایک حفاظتی دائرہ بناتے ہیں، C) تمام کھلاڑی سیدھی لائن میں کھڑے ہوتے ہیں، D) دو کھلاڑی حملہ کرتے ہیں جبکہ دوسرے دفاع کرتے ہیں۔")</f>
        <v>A) تمام کھلاڑی اپنے اپنے مقصد کے قریب رہتے ہیں، B) ایک دفاعی حربہ جہاں ٹیم کے ساتھی لاش کے کیریئر کے گرد ایک حفاظتی دائرہ بناتے ہیں، C) تمام کھلاڑی سیدھی لائن میں کھڑے ہوتے ہیں، D) دو کھلاڑی حملہ کرتے ہیں جبکہ دوسرے دفاع کرتے ہیں۔</v>
      </c>
      <c r="L56" s="6" t="str">
        <f>IFERROR(__xludf.DUMMYFUNCTION("GOOGLETRANSLATE(D56, ""en"", ""ur"")"),"ب) ایک دفاعی حربہ جہاں ٹیم کے ساتھی لاش کے کیریئر کے گرد ایک حفاظتی دائرہ بناتے ہیں۔")</f>
        <v>ب) ایک دفاعی حربہ جہاں ٹیم کے ساتھی لاش کے کیریئر کے گرد ایک حفاظتی دائرہ بناتے ہیں۔</v>
      </c>
      <c r="M56" s="6" t="str">
        <f>IFERROR(__xludf.DUMMYFUNCTION("GOOGLETRANSLATE(E56, ""en"", ""ur"")"),"یہ ٹیم کی ایک کلیدی حکمت عملی ہے جہاں کھلاڑی اپنے گھوڑوں کو حرکت میں آنے والی رکاوٹ پیدا کرنے کے لیے استعمال کرتے ہیں، اپنے اسکورر کو مخالفین سے بچاتے ہیں۔")</f>
        <v>یہ ٹیم کی ایک کلیدی حکمت عملی ہے جہاں کھلاڑی اپنے گھوڑوں کو حرکت میں آنے والی رکاوٹ پیدا کرنے کے لیے استعمال کرتے ہیں، اپنے اسکورر کو مخالفین سے بچاتے ہیں۔</v>
      </c>
    </row>
    <row r="57">
      <c r="A57" s="4">
        <v>56.0</v>
      </c>
      <c r="B57" s="5" t="s">
        <v>815</v>
      </c>
      <c r="C57" s="5" t="s">
        <v>816</v>
      </c>
      <c r="D57" s="5" t="s">
        <v>817</v>
      </c>
      <c r="E57" s="5" t="s">
        <v>818</v>
      </c>
      <c r="I57" s="6" t="str">
        <f>IFERROR(__xludf.DUMMYFUNCTION("GOOGLETRANSLATE(A57, ""en"", ""ur"")"),"56")</f>
        <v>56</v>
      </c>
      <c r="J57" s="6" t="str">
        <f>IFERROR(__xludf.DUMMYFUNCTION("GOOGLETRANSLATE(B57, ""en"", ""ur"")"),"اسکرم کے دوران ریفری کا گھوڑا حادثاتی طور پر گر گیا ہے۔ صحیح طریقہ کار کیا ہے؟")</f>
        <v>اسکرم کے دوران ریفری کا گھوڑا حادثاتی طور پر گر گیا ہے۔ صحیح طریقہ کار کیا ہے؟</v>
      </c>
      <c r="K57" s="6" t="str">
        <f>IFERROR(__xludf.DUMMYFUNCTION("GOOGLETRANSLATE(C57, ""en"", ""ur"")"),"A) کھیل جاری ہے، B) کھیل کو فوری طور پر روک دیا جاتا ہے، C) ریفری کو نااہل قرار دیا جاتا ہے، D) گرنے کا سبب بننے والے سوار کو جرمانہ کیا جاتا ہے۔")</f>
        <v>A) کھیل جاری ہے، B) کھیل کو فوری طور پر روک دیا جاتا ہے، C) ریفری کو نااہل قرار دیا جاتا ہے، D) گرنے کا سبب بننے والے سوار کو جرمانہ کیا جاتا ہے۔</v>
      </c>
      <c r="L57" s="6" t="str">
        <f>IFERROR(__xludf.DUMMYFUNCTION("GOOGLETRANSLATE(D57, ""en"", ""ur"")"),"ب) کھیل کو فوری طور پر روک دیا گیا ہے۔")</f>
        <v>ب) کھیل کو فوری طور پر روک دیا گیا ہے۔</v>
      </c>
      <c r="M57" s="6" t="str">
        <f>IFERROR(__xludf.DUMMYFUNCTION("GOOGLETRANSLATE(E57, ""en"", ""ur"")"),"اگر کوئی آفیشل بے ہارس ہو یا زخمی ہو تو اس کی حفاظت کو یقینی بنانے اور میچ کا کنٹرول برقرار رکھنے کے لیے کھیل کو روک دیا جانا چاہیے۔")</f>
        <v>اگر کوئی آفیشل بے ہارس ہو یا زخمی ہو تو اس کی حفاظت کو یقینی بنانے اور میچ کا کنٹرول برقرار رکھنے کے لیے کھیل کو روک دیا جانا چاہیے۔</v>
      </c>
    </row>
    <row r="58">
      <c r="A58" s="4">
        <v>57.0</v>
      </c>
      <c r="B58" s="5" t="s">
        <v>819</v>
      </c>
      <c r="C58" s="5" t="s">
        <v>820</v>
      </c>
      <c r="D58" s="5" t="s">
        <v>821</v>
      </c>
      <c r="E58" s="5" t="s">
        <v>822</v>
      </c>
      <c r="I58" s="6" t="str">
        <f>IFERROR(__xludf.DUMMYFUNCTION("GOOGLETRANSLATE(A58, ""en"", ""ur"")"),"57")</f>
        <v>57</v>
      </c>
      <c r="J58" s="6" t="str">
        <f>IFERROR(__xludf.DUMMYFUNCTION("GOOGLETRANSLATE(B58, ""en"", ""ur"")"),"ایک سوار لاش کو اٹھا رہا ہے اور گول کرنے ہی والا ہے۔ ایک مخالف لاش کو پیچھے سے پکڑ کر کھینچتا ہے۔ آگے کیا ہوتا ہے؟")</f>
        <v>ایک سوار لاش کو اٹھا رہا ہے اور گول کرنے ہی والا ہے۔ ایک مخالف لاش کو پیچھے سے پکڑ کر کھینچتا ہے۔ آگے کیا ہوتا ہے؟</v>
      </c>
      <c r="K58" s="6" t="str">
        <f>IFERROR(__xludf.DUMMYFUNCTION("GOOGLETRANSLATE(C58, ""en"", ""ur"")"),"A) پہلے سوار کو اسے چھوڑنا ہوگا، B) یہ دوسرے سوار پر فاؤل ہے، C) گھوڑے کی پیٹھ پر ایک شدید ٹگ آف وار کا آغاز ہوتا ہے، D) ریفری نے تعطل کو کہا")</f>
        <v>A) پہلے سوار کو اسے چھوڑنا ہوگا، B) یہ دوسرے سوار پر فاؤل ہے، C) گھوڑے کی پیٹھ پر ایک شدید ٹگ آف وار کا آغاز ہوتا ہے، D) ریفری نے تعطل کو کہا</v>
      </c>
      <c r="L58" s="6" t="str">
        <f>IFERROR(__xludf.DUMMYFUNCTION("GOOGLETRANSLATE(D58, ""en"", ""ur"")"),"ج) گھوڑے کی پیٹھ پر ایک شدید ٹگ آف وار کا آغاز ہوتا ہے۔")</f>
        <v>ج) گھوڑے کی پیٹھ پر ایک شدید ٹگ آف وار کا آغاز ہوتا ہے۔</v>
      </c>
      <c r="M58" s="6" t="str">
        <f>IFERROR(__xludf.DUMMYFUNCTION("GOOGLETRANSLATE(E58, ""en"", ""ur"")"),"یہ کھیل کا قانونی اور مرکزی حصہ ہے۔ دونوں سوار واحد قبضہ حاصل کرنے کے لیے طاقت کے امتحان میں مشغول ہوں گے۔")</f>
        <v>یہ کھیل کا قانونی اور مرکزی حصہ ہے۔ دونوں سوار واحد قبضہ حاصل کرنے کے لیے طاقت کے امتحان میں مشغول ہوں گے۔</v>
      </c>
    </row>
    <row r="59">
      <c r="A59" s="4">
        <v>58.0</v>
      </c>
      <c r="B59" s="5" t="s">
        <v>823</v>
      </c>
      <c r="C59" s="5" t="s">
        <v>824</v>
      </c>
      <c r="D59" s="5" t="s">
        <v>825</v>
      </c>
      <c r="E59" s="5" t="s">
        <v>826</v>
      </c>
      <c r="I59" s="6" t="str">
        <f>IFERROR(__xludf.DUMMYFUNCTION("GOOGLETRANSLATE(A59, ""en"", ""ur"")"),"58")</f>
        <v>58</v>
      </c>
      <c r="J59" s="6" t="str">
        <f>IFERROR(__xludf.DUMMYFUNCTION("GOOGLETRANSLATE(B59, ""en"", ""ur"")"),"اس کی بنیادی وجہ کیا ہے کہ یہ کھیل روایتی طور پر موسم خزاں سے بہار تک ٹھنڈے مہینوں میں کھیلا جاتا ہے؟")</f>
        <v>اس کی بنیادی وجہ کیا ہے کہ یہ کھیل روایتی طور پر موسم خزاں سے بہار تک ٹھنڈے مہینوں میں کھیلا جاتا ہے؟</v>
      </c>
      <c r="K59" s="6" t="str">
        <f>IFERROR(__xludf.DUMMYFUNCTION("GOOGLETRANSLATE(C59, ""en"", ""ur"")"),"A) چھٹی کا موسم ہے، B) گھوڑوں اور سواروں کو گرمی کی تھکن کا خطرہ کم ہوتا ہے، C) زمین نرم ہوتی ہے، D) لاشوں کو تلاش کرنا آسان ہوتا ہے۔")</f>
        <v>A) چھٹی کا موسم ہے، B) گھوڑوں اور سواروں کو گرمی کی تھکن کا خطرہ کم ہوتا ہے، C) زمین نرم ہوتی ہے، D) لاشوں کو تلاش کرنا آسان ہوتا ہے۔</v>
      </c>
      <c r="L59" s="6" t="str">
        <f>IFERROR(__xludf.DUMMYFUNCTION("GOOGLETRANSLATE(D59, ""en"", ""ur"")"),"ب) گھوڑے اور سوار گرمی کی تھکن کا کم شکار ہوتے ہیں۔")</f>
        <v>ب) گھوڑے اور سوار گرمی کی تھکن کا کم شکار ہوتے ہیں۔</v>
      </c>
      <c r="M59" s="6" t="str">
        <f>IFERROR(__xludf.DUMMYFUNCTION("GOOGLETRANSLATE(E59, ""en"", ""ur"")"),"بزکشی ایک ناقابل یقین حد تک سخت کھیل ہے، اور گرمی کی شدید گرمی میں کھیلنا جانوروں اور کھلاڑیوں دونوں کے لیے انتہائی خطرناک ہوگا۔")</f>
        <v>بزکشی ایک ناقابل یقین حد تک سخت کھیل ہے، اور گرمی کی شدید گرمی میں کھیلنا جانوروں اور کھلاڑیوں دونوں کے لیے انتہائی خطرناک ہوگا۔</v>
      </c>
    </row>
    <row r="60">
      <c r="A60" s="4">
        <v>59.0</v>
      </c>
      <c r="B60" s="5" t="s">
        <v>827</v>
      </c>
      <c r="C60" s="5" t="s">
        <v>828</v>
      </c>
      <c r="D60" s="5" t="s">
        <v>829</v>
      </c>
      <c r="E60" s="5" t="s">
        <v>830</v>
      </c>
      <c r="I60" s="6" t="str">
        <f>IFERROR(__xludf.DUMMYFUNCTION("GOOGLETRANSLATE(A60, ""en"", ""ur"")"),"59")</f>
        <v>59</v>
      </c>
      <c r="J60" s="6" t="str">
        <f>IFERROR(__xludf.DUMMYFUNCTION("GOOGLETRANSLATE(B60, ""en"", ""ur"")"),"اسکرم کے دوران ایک گھوڑا مخالف کے گھوڑے کو کاٹتا ہوا نظر آتا ہے۔ کیا اس کی اجازت ہے؟")</f>
        <v>اسکرم کے دوران ایک گھوڑا مخالف کے گھوڑے کو کاٹتا ہوا نظر آتا ہے۔ کیا اس کی اجازت ہے؟</v>
      </c>
      <c r="K60" s="6" t="str">
        <f>IFERROR(__xludf.DUMMYFUNCTION("GOOGLETRANSLATE(C60, ""en"", ""ur"")"),"A)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f>
        <v>A) نہیں، یہ غلط ہے، اور سوار پر جرمانہ عائد کیا جاتا ہے، B) ہاں، گھوڑے کی جارحیت کو کھیل کا حصہ سمجھا جاتا ہے، C) صرف اس صورت میں جب دوسرا گھوڑا پہلے کاٹ لے، D) ریفری اسے نظر انداز کر دے گا۔</v>
      </c>
      <c r="L60" s="6" t="str">
        <f>IFERROR(__xludf.DUMMYFUNCTION("GOOGLETRANSLATE(D60, ""en"", ""ur"")"),"ب) جی ہاں، گھوڑے کی جارحیت کو کھیل کا حصہ سمجھا جاتا ہے۔")</f>
        <v>ب) جی ہاں، گھوڑے کی جارحیت کو کھیل کا حصہ سمجھا جاتا ہے۔</v>
      </c>
      <c r="M60" s="6" t="str">
        <f>IFERROR(__xludf.DUMMYFUNCTION("GOOGLETRANSLATE(E60, ""en"", ""ur"")"),"اعلیٰ تربیت یافتہ بزکشی گھوڑوں کو اکثر فائدہ حاصل کرنے کے لیے اپنے جسم کو استعمال کرنا سکھایا جاتا ہے — بشمول دھکیلنا، جھکنا، اور حتیٰ کہ کاٹنا بھی۔")</f>
        <v>اعلیٰ تربیت یافتہ بزکشی گھوڑوں کو اکثر فائدہ حاصل کرنے کے لیے اپنے جسم کو استعمال کرنا سکھایا جاتا ہے — بشمول دھکیلنا، جھکنا، اور حتیٰ کہ کاٹنا بھی۔</v>
      </c>
    </row>
    <row r="61">
      <c r="A61" s="4">
        <v>60.0</v>
      </c>
      <c r="B61" s="5" t="s">
        <v>831</v>
      </c>
      <c r="C61" s="5" t="s">
        <v>832</v>
      </c>
      <c r="D61" s="5" t="s">
        <v>833</v>
      </c>
      <c r="E61" s="5" t="s">
        <v>834</v>
      </c>
      <c r="I61" s="6" t="str">
        <f>IFERROR(__xludf.DUMMYFUNCTION("GOOGLETRANSLATE(A61, ""en"", ""ur"")"),"60")</f>
        <v>60</v>
      </c>
      <c r="J61" s="6" t="str">
        <f>IFERROR(__xludf.DUMMYFUNCTION("GOOGLETRANSLATE(B61, ""en"", ""ur"")"),"ایک رسمی میچ میں، اگر کوئی ٹیم کم از کم کھلاڑیوں کو میدان میں نہیں اتار سکتی تو اس کا کیا نتیجہ نکلتا ہے؟")</f>
        <v>ایک رسمی میچ میں، اگر کوئی ٹیم کم از کم کھلاڑیوں کو میدان میں نہیں اتار سکتی تو اس کا کیا نتیجہ نکلتا ہے؟</v>
      </c>
      <c r="K61" s="6" t="str">
        <f>IFERROR(__xludf.DUMMYFUNCTION("GOOGLETRANSLATE(C61, ""en"", ""ur"")"),"A) وہ کم کھلاڑیوں کے ساتھ کھیل سکتے ہیں، B) انہیں میچ ضائع کرنا ہوگا، C) وہ کسی دوسری ٹیم سے کھلاڑی ادھار لے سکتے ہیں، D) میچ دوبارہ شیڈول کیا گیا ہے۔")</f>
        <v>A) وہ کم کھلاڑیوں کے ساتھ کھیل سکتے ہیں، B) انہیں میچ ضائع کرنا ہوگا، C) وہ کسی دوسری ٹیم سے کھلاڑی ادھار لے سکتے ہیں، D) میچ دوبارہ شیڈول کیا گیا ہے۔</v>
      </c>
      <c r="L61" s="6" t="str">
        <f>IFERROR(__xludf.DUMMYFUNCTION("GOOGLETRANSLATE(D61, ""en"", ""ur"")"),"ب) انہیں میچ ہارنا ہوگا۔")</f>
        <v>ب) انہیں میچ ہارنا ہوگا۔</v>
      </c>
      <c r="M61" s="6" t="str">
        <f>IFERROR(__xludf.DUMMYFUNCTION("GOOGLETRANSLATE(E61, ""en"", ""ur"")"),"ٹورنامنٹ کے قوانین کے مطابق کھیل شروع کرنے کے لیے کھلاڑیوں کی کم از کم تعداد کی ضرورت ہوتی ہے۔ اس کو پورا کرنے میں ناکامی کا نتیجہ ضائع ہو جاتا ہے۔")</f>
        <v>ٹورنامنٹ کے قوانین کے مطابق کھیل شروع کرنے کے لیے کھلاڑیوں کی کم از کم تعداد کی ضرورت ہوتی ہے۔ اس کو پورا کرنے میں ناکامی کا نتیجہ ضائع ہو جاتا ہے۔</v>
      </c>
    </row>
    <row r="62">
      <c r="A62" s="4">
        <v>61.0</v>
      </c>
      <c r="B62" s="5" t="s">
        <v>835</v>
      </c>
      <c r="C62" s="5" t="s">
        <v>836</v>
      </c>
      <c r="D62" s="5" t="s">
        <v>837</v>
      </c>
      <c r="E62" s="5" t="s">
        <v>838</v>
      </c>
      <c r="J62" s="6" t="str">
        <f>IFERROR(__xludf.DUMMYFUNCTION("GOOGLETRANSLATE(B62, ""en"", ""ur"")"),"""سرکل آف جسٹس"" کی بنیادی خصوصیت کیا ہے؟")</f>
        <v>"سرکل آف جسٹس" کی بنیادی خصوصیت کیا ہے؟</v>
      </c>
      <c r="K62" s="6" t="str">
        <f>IFERROR(__xludf.DUMMYFUNCTION("GOOGLETRANSLATE(C62, ""en"", ""ur"")"),"A) یہ وہ جگہ ہے جہاں تنازعات طے کیے جاتے ہیں، B) یہ گول کرنے کا دائرہ ہے، C) یہ ابتدائی علاقہ ہے، D) یہ وہ جگہ ہے جہاں گھوڑے آرام کرتے ہیں۔")</f>
        <v>A) یہ وہ جگہ ہے جہاں تنازعات طے کیے جاتے ہیں، B) یہ گول کرنے کا دائرہ ہے، C) یہ ابتدائی علاقہ ہے، D) یہ وہ جگہ ہے جہاں گھوڑے آرام کرتے ہیں۔</v>
      </c>
      <c r="L62" s="6" t="str">
        <f>IFERROR(__xludf.DUMMYFUNCTION("GOOGLETRANSLATE(D62, ""en"", ""ur"")"),"ب) یہ اسکور کرنے والا دائرہ ہے۔")</f>
        <v>ب) یہ اسکور کرنے والا دائرہ ہے۔</v>
      </c>
      <c r="M62" s="6" t="str">
        <f>IFERROR(__xludf.DUMMYFUNCTION("GOOGLETRANSLATE(E62, ""en"", ""ur"")"),"یہ وہ مخصوص علاقہ ہے، جسے اکثر چاک سے نشان زد کیا جاتا ہے، جہاں ایک سوار کو پوائنٹ سکور کرنے کے لیے لاش کو گرانا پڑتا ہے۔")</f>
        <v>یہ وہ مخصوص علاقہ ہے، جسے اکثر چاک سے نشان زد کیا جاتا ہے، جہاں ایک سوار کو پوائنٹ سکور کرنے کے لیے لاش کو گرانا پڑتا ہے۔</v>
      </c>
    </row>
    <row r="63">
      <c r="A63" s="4">
        <v>62.0</v>
      </c>
      <c r="B63" s="5" t="s">
        <v>839</v>
      </c>
      <c r="C63" s="5" t="s">
        <v>840</v>
      </c>
      <c r="D63" s="5" t="s">
        <v>841</v>
      </c>
      <c r="E63" s="5" t="s">
        <v>842</v>
      </c>
      <c r="J63" s="6" t="str">
        <f>IFERROR(__xludf.DUMMYFUNCTION("GOOGLETRANSLATE(B63, ""en"", ""ur"")"),"کیا کسی کھلاڑی کو لاش کو بازیافت کرنے کے لیے اترنے کی اجازت ہے؟")</f>
        <v>کیا کسی کھلاڑی کو لاش کو بازیافت کرنے کے لیے اترنے کی اجازت ہے؟</v>
      </c>
      <c r="K63" s="6" t="str">
        <f>IFERROR(__xludf.DUMMYFUNCTION("GOOGLETRANSLATE(C63, ""en"", ""ur"")"),"A) جی ہاں، لیکن یہ خطرناک ہے، B) نہیں، قانونی طور پر لاش کو سنبھالنے کے لیے کسی کھلاڑی کو نصب کیا جانا چاہیے، C) صرف اس صورت میں جب لاش گول کرنے والے دائرے کے قریب ہو، D) صرف ٹیم کے کپتان کو اترنے کی اجازت ہے۔")</f>
        <v>A) جی ہاں، لیکن یہ خطرناک ہے، B) نہیں، قانونی طور پر لاش کو سنبھالنے کے لیے کسی کھلاڑی کو نصب کیا جانا چاہیے، C) صرف اس صورت میں جب لاش گول کرنے والے دائرے کے قریب ہو، D) صرف ٹیم کے کپتان کو اترنے کی اجازت ہے۔</v>
      </c>
      <c r="L63" s="6" t="str">
        <f>IFERROR(__xludf.DUMMYFUNCTION("GOOGLETRANSLATE(D63, ""en"", ""ur"")"),"ب) نہیں، قانونی طور پر لاش کو سنبھالنے کے لیے ایک کھلاڑی کو نصب کیا جانا چاہیے۔")</f>
        <v>ب) نہیں، قانونی طور پر لاش کو سنبھالنے کے لیے ایک کھلاڑی کو نصب کیا جانا چاہیے۔</v>
      </c>
      <c r="M63" s="6" t="str">
        <f>IFERROR(__xludf.DUMMYFUNCTION("GOOGLETRANSLATE(E63, ""en"", ""ur"")"),"کھیل ایک گھڑ سواری کا کھیل ہے، اور لاش سے متعلق تمام اعمال گھوڑے کی پیٹھ سے انجام دینے چاہئیں۔")</f>
        <v>کھیل ایک گھڑ سواری کا کھیل ہے، اور لاش سے متعلق تمام اعمال گھوڑے کی پیٹھ سے انجام دینے چاہئیں۔</v>
      </c>
    </row>
    <row r="64">
      <c r="A64" s="4">
        <v>63.0</v>
      </c>
      <c r="B64" s="5" t="s">
        <v>843</v>
      </c>
      <c r="C64" s="5" t="s">
        <v>844</v>
      </c>
      <c r="D64" s="5" t="s">
        <v>845</v>
      </c>
      <c r="E64" s="5" t="s">
        <v>846</v>
      </c>
      <c r="J64" s="6" t="str">
        <f>IFERROR(__xludf.DUMMYFUNCTION("GOOGLETRANSLATE(B64, ""en"", ""ur"")"),"ایک ہنر مند گھوڑے کی طرف سے استعمال کیا جانے والا ""pirouette"" یا ""spin"" پینتریبازی کیا ہے؟")</f>
        <v>ایک ہنر مند گھوڑے کی طرف سے استعمال کیا جانے والا "pirouette" یا "spin" پینتریبازی کیا ہے؟</v>
      </c>
      <c r="K64" s="6" t="str">
        <f>IFERROR(__xludf.DUMMYFUNCTION("GOOGLETRANSLATE(C64, ""en"", ""ur"")"),"A) بھیڑ کو دکھانا، B) تیزی سے سمت بدلنا اور مخالف سے بچنے کے لیے، C) سوار کو لاش اٹھانے میں مدد کرنا، D) یہ کوئی حقیقی چال نہیں ہے۔")</f>
        <v>A) بھیڑ کو دکھانا، B) تیزی سے سمت بدلنا اور مخالف سے بچنے کے لیے، C) سوار کو لاش اٹھانے میں مدد کرنا، D) یہ کوئی حقیقی چال نہیں ہے۔</v>
      </c>
      <c r="L64" s="6" t="str">
        <f>IFERROR(__xludf.DUMMYFUNCTION("GOOGLETRANSLATE(D64, ""en"", ""ur"")"),"ب) تیزی سے سمت بدلنا اور مخالف سے بچنا")</f>
        <v>ب) تیزی سے سمت بدلنا اور مخالف سے بچنا</v>
      </c>
      <c r="M64" s="6" t="str">
        <f>IFERROR(__xludf.DUMMYFUNCTION("GOOGLETRANSLATE(E64, ""en"", ""ur"")"),"ایک اچھی طرح سے تربیت یافتہ گھوڑا اپنی پچھلی ٹانگوں پر تیزی سے گھوم سکتا ہے، جس سے اس کا سوار فوری طور پر تعاقب کرنے والے کو ہلا سکتا ہے۔")</f>
        <v>ایک اچھی طرح سے تربیت یافتہ گھوڑا اپنی پچھلی ٹانگوں پر تیزی سے گھوم سکتا ہے، جس سے اس کا سوار فوری طور پر تعاقب کرنے والے کو ہلا سکتا ہے۔</v>
      </c>
    </row>
    <row r="65">
      <c r="A65" s="4">
        <v>64.0</v>
      </c>
      <c r="B65" s="5" t="s">
        <v>847</v>
      </c>
      <c r="C65" s="5" t="s">
        <v>848</v>
      </c>
      <c r="D65" s="5" t="s">
        <v>849</v>
      </c>
      <c r="E65" s="5" t="s">
        <v>850</v>
      </c>
      <c r="J65" s="6" t="str">
        <f>IFERROR(__xludf.DUMMYFUNCTION("GOOGLETRANSLATE(B65, ""en"", ""ur"")"),"ایک بڑے میچ سے پہلے رسمی افتتاحی جلوس کا مقصد کیا ہے؟")</f>
        <v>ایک بڑے میچ سے پہلے رسمی افتتاحی جلوس کا مقصد کیا ہے؟</v>
      </c>
      <c r="K65" s="6" t="str">
        <f>IFERROR(__xludf.DUMMYFUNCTION("GOOGLETRANSLATE(C65, ""en"", ""ur"")"),"A) گھوڑوں کو گرم کرنے کے لئے، B) ٹیموں اور ان کے سپانسرز کو بھیڑ سے متعارف کرانا، C) ابتدائی ترتیب کا تعین کرنا، D) سامان فروخت کرنا")</f>
        <v>A) گھوڑوں کو گرم کرنے کے لئے، B) ٹیموں اور ان کے سپانسرز کو بھیڑ سے متعارف کرانا، C) ابتدائی ترتیب کا تعین کرنا، D) سامان فروخت کرنا</v>
      </c>
      <c r="L65" s="6" t="str">
        <f>IFERROR(__xludf.DUMMYFUNCTION("GOOGLETRANSLATE(D65, ""en"", ""ur"")"),"ب) ٹیموں اور ان کے سپانسرز کو ہجوم سے متعارف کروانا")</f>
        <v>ب) ٹیموں اور ان کے سپانسرز کو ہجوم سے متعارف کروانا</v>
      </c>
      <c r="M65" s="6" t="str">
        <f>IFERROR(__xludf.DUMMYFUNCTION("GOOGLETRANSLATE(E65, ""en"", ""ur"")"),"افتتاحی پریڈ محفل اور احترام کا مظاہرہ ہے، جس سے سرپرستوں اور کھلاڑیوں کو کھیل سے پہلے عزت دی جا سکتی ہے۔")</f>
        <v>افتتاحی پریڈ محفل اور احترام کا مظاہرہ ہے، جس سے سرپرستوں اور کھلاڑیوں کو کھیل سے پہلے عزت دی جا سکتی ہے۔</v>
      </c>
    </row>
    <row r="66">
      <c r="A66" s="4">
        <v>65.0</v>
      </c>
      <c r="B66" s="5" t="s">
        <v>851</v>
      </c>
      <c r="C66" s="5" t="s">
        <v>852</v>
      </c>
      <c r="D66" s="5" t="s">
        <v>853</v>
      </c>
      <c r="E66" s="5" t="s">
        <v>854</v>
      </c>
      <c r="J66" s="6" t="str">
        <f>IFERROR(__xludf.DUMMYFUNCTION("GOOGLETRANSLATE(B66, ""en"", ""ur"")"),"ایک سوار پر تیز پوائنٹس کے ساتھ اسپرس استعمال کرنے کا الزام ہے۔ یہ ایک سنگین فاؤل کیوں ہے؟")</f>
        <v>ایک سوار پر تیز پوائنٹس کے ساتھ اسپرس استعمال کرنے کا الزام ہے۔ یہ ایک سنگین فاؤل کیوں ہے؟</v>
      </c>
      <c r="K66" s="6" t="str">
        <f>IFERROR(__xludf.DUMMYFUNCTION("GOOGLETRANSLATE(C66, ""en"", ""ur"")"),"A) یہ روایتی نہیں ہے، B) یہ غیر منصفانہ رفتار کا فائدہ دیتا ہے، C) یہ گھوڑے کو ظالمانہ اور غیر ضروری چوٹ پہنچا سکتا ہے، D) یہ زین کو نقصان پہنچا سکتا ہے۔")</f>
        <v>A) یہ روایتی نہیں ہے، B) یہ غیر منصفانہ رفتار کا فائدہ دیتا ہے، C) یہ گھوڑے کو ظالمانہ اور غیر ضروری چوٹ پہنچا سکتا ہے، D) یہ زین کو نقصان پہنچا سکتا ہے۔</v>
      </c>
      <c r="L66" s="6" t="str">
        <f>IFERROR(__xludf.DUMMYFUNCTION("GOOGLETRANSLATE(D66, ""en"", ""ur"")"),"ج) یہ گھوڑے کو ظالمانہ اور غیر ضروری چوٹ پہنچا سکتا ہے۔")</f>
        <v>ج) یہ گھوڑے کو ظالمانہ اور غیر ضروری چوٹ پہنچا سکتا ہے۔</v>
      </c>
      <c r="M66" s="6" t="str">
        <f>IFERROR(__xludf.DUMMYFUNCTION("GOOGLETRANSLATE(E66, ""en"", ""ur"")"),"جانوروں کی فلاح و بہبود کے قوانین کسی بھی ایسے سامان کی ممانعت کرتے ہیں جو بہت زیادہ سخت ہو یا گھوڑے کو خون بہنے والے زخموں کا سبب بن سکتا ہو۔")</f>
        <v>جانوروں کی فلاح و بہبود کے قوانین کسی بھی ایسے سامان کی ممانعت کرتے ہیں جو بہت زیادہ سخت ہو یا گھوڑے کو خون بہنے والے زخموں کا سبب بن سکتا ہو۔</v>
      </c>
    </row>
    <row r="67">
      <c r="A67" s="4">
        <v>66.0</v>
      </c>
      <c r="B67" s="5" t="s">
        <v>855</v>
      </c>
      <c r="C67" s="5" t="s">
        <v>856</v>
      </c>
      <c r="D67" s="5" t="s">
        <v>857</v>
      </c>
      <c r="E67" s="5" t="s">
        <v>858</v>
      </c>
      <c r="J67" s="6" t="str">
        <f>IFERROR(__xludf.DUMMYFUNCTION("GOOGLETRANSLATE(B67, ""en"", ""ur"")"),"مرکز میں لاش کو دوبارہ ترتیب دینے کے لیے ریفری کا کیا اشارہ ہے؟")</f>
        <v>مرکز میں لاش کو دوبارہ ترتیب دینے کے لیے ریفری کا کیا اشارہ ہے؟</v>
      </c>
      <c r="K67" s="6" t="str">
        <f>IFERROR(__xludf.DUMMYFUNCTION("GOOGLETRANSLATE(C67, ""en"", ""ur"")"),"A) سرخ جھنڈا لہرانا، B) سیٹی بجانے کا ایک مخصوص نمونہ، C) مرکز کے دائرے کی طرف اشارہ کرنا، D) کوئی سگنل نہیں ہے")</f>
        <v>A) سرخ جھنڈا لہرانا، B) سیٹی بجانے کا ایک مخصوص نمونہ، C) مرکز کے دائرے کی طرف اشارہ کرنا، D) کوئی سگنل نہیں ہے</v>
      </c>
      <c r="L67" s="6" t="str">
        <f>IFERROR(__xludf.DUMMYFUNCTION("GOOGLETRANSLATE(D67, ""en"", ""ur"")"),"ب) سیٹی بجانے کا ایک مخصوص نمونہ")</f>
        <v>ب) سیٹی بجانے کا ایک مخصوص نمونہ</v>
      </c>
      <c r="M67" s="6" t="str">
        <f>IFERROR(__xludf.DUMMYFUNCTION("GOOGLETRANSLATE(E67, ""en"", ""ur"")"),"ریفری مختلف واقعات کی نشاندہی کرنے کے لیے الگ الگ سیٹی کے پیٹرن کا استعمال کرتا ہے، جیسے کہ اسکور، فاول، یا لاش کو دوبارہ ترتیب دینا۔")</f>
        <v>ریفری مختلف واقعات کی نشاندہی کرنے کے لیے الگ الگ سیٹی کے پیٹرن کا استعمال کرتا ہے، جیسے کہ اسکور، فاول، یا لاش کو دوبارہ ترتیب دینا۔</v>
      </c>
    </row>
    <row r="68">
      <c r="A68" s="4">
        <v>67.0</v>
      </c>
      <c r="B68" s="5" t="s">
        <v>859</v>
      </c>
      <c r="C68" s="5" t="s">
        <v>860</v>
      </c>
      <c r="D68" s="5" t="s">
        <v>861</v>
      </c>
      <c r="E68" s="5" t="s">
        <v>862</v>
      </c>
      <c r="J68" s="6" t="str">
        <f>IFERROR(__xludf.DUMMYFUNCTION("GOOGLETRANSLATE(B68, ""en"", ""ur"")"),"تودابرائی (آسان بزکشی فارمیٹ) میں بنیادی مہارت کا کیا تجربہ کیا جا رہا ہے؟")</f>
        <v>تودابرائی (آسان بزکشی فارمیٹ) میں بنیادی مہارت کا کیا تجربہ کیا جا رہا ہے؟</v>
      </c>
      <c r="K68" s="6" t="str">
        <f>IFERROR(__xludf.DUMMYFUNCTION("GOOGLETRANSLATE(C68, ""en"", ""ur"")"),"A) ٹیم ورک اور حکمت عملی، B) انفرادی طاقت اور ٹوٹ پھوٹ کی رفتار، C) دفاعی گھڑ سواری، D) سوار کی درستگی")</f>
        <v>A) ٹیم ورک اور حکمت عملی، B) انفرادی طاقت اور ٹوٹ پھوٹ کی رفتار، C) دفاعی گھڑ سواری، D) سوار کی درستگی</v>
      </c>
      <c r="L68" s="6" t="str">
        <f>IFERROR(__xludf.DUMMYFUNCTION("GOOGLETRANSLATE(D68, ""en"", ""ur"")"),"ب) انفرادی طاقت اور ٹوٹ پھوٹ کی رفتار")</f>
        <v>ب) انفرادی طاقت اور ٹوٹ پھوٹ کی رفتار</v>
      </c>
      <c r="M68" s="6" t="str">
        <f>IFERROR(__xludf.DUMMYFUNCTION("GOOGLETRANSLATE(E68, ""en"", ""ur"")"),"یہ فارمیٹ اسکرم سے لاش کو پکڑنے اور دوسرے تمام کھلاڑیوں کو کامیابی کے ساتھ پیچھے چھوڑنے کی سوار کی صلاحیت کا ایک خام امتحان ہے۔")</f>
        <v>یہ فارمیٹ اسکرم سے لاش کو پکڑنے اور دوسرے تمام کھلاڑیوں کو کامیابی کے ساتھ پیچھے چھوڑنے کی سوار کی صلاحیت کا ایک خام امتحان ہے۔</v>
      </c>
    </row>
    <row r="69">
      <c r="A69" s="4">
        <v>68.0</v>
      </c>
      <c r="B69" s="5" t="s">
        <v>863</v>
      </c>
      <c r="C69" s="5" t="s">
        <v>864</v>
      </c>
      <c r="D69" s="5" t="s">
        <v>865</v>
      </c>
      <c r="E69" s="5" t="s">
        <v>866</v>
      </c>
      <c r="J69" s="6" t="str">
        <f>IFERROR(__xludf.DUMMYFUNCTION("GOOGLETRANSLATE(B69, ""en"", ""ur"")"),"بزکشی کی تفسیر میں گھوڑے کی اپنے سوار کے ساتھ وفاداری کیوں بہت زیادہ تعریف کی گئی ہے؟")</f>
        <v>بزکشی کی تفسیر میں گھوڑے کی اپنے سوار کے ساتھ وفاداری کیوں بہت زیادہ تعریف کی گئی ہے؟</v>
      </c>
      <c r="K69" s="6" t="str">
        <f>IFERROR(__xludf.DUMMYFUNCTION("GOOGLETRANSLATE(C69, ""en"", ""ur"")"),"A) اس کا مطلب ہے کہ گھوڑا سستا تھا، B) ایک وفادار گھوڑا باریک اشارے کا جواب دے گا اور اپنے سوار کے لیے سخت لڑے گا، C) یہ ایک نایاب نسل کی علامت ہے، D) یہ کوئی قابل تعریف صفت نہیں ہے۔")</f>
        <v>A) اس کا مطلب ہے کہ گھوڑا سستا تھا، B) ایک وفادار گھوڑا باریک اشارے کا جواب دے گا اور اپنے سوار کے لیے سخت لڑے گا، C) یہ ایک نایاب نسل کی علامت ہے، D) یہ کوئی قابل تعریف صفت نہیں ہے۔</v>
      </c>
      <c r="L69" s="6" t="str">
        <f>IFERROR(__xludf.DUMMYFUNCTION("GOOGLETRANSLATE(D69, ""en"", ""ur"")"),"ب) ایک وفادار گھوڑا باریک اشارے کا جواب دے گا اور اپنے سوار کے لیے سخت جدوجہد کرے گا۔")</f>
        <v>ب) ایک وفادار گھوڑا باریک اشارے کا جواب دے گا اور اپنے سوار کے لیے سخت جدوجہد کرے گا۔</v>
      </c>
      <c r="M69" s="6" t="str">
        <f>IFERROR(__xludf.DUMMYFUNCTION("GOOGLETRANSLATE(E69, ""en"", ""ur"")"),"گھوڑے اور سوار کے درمیان شدید شراکت اس کھیل میں مرکزی حیثیت رکھتی ہے، اور گھوڑے کی سمجھی جانے والی وفاداری ایک عظیم چپنداز کی علامت ہے۔")</f>
        <v>گھوڑے اور سوار کے درمیان شدید شراکت اس کھیل میں مرکزی حیثیت رکھتی ہے، اور گھوڑے کی سمجھی جانے والی وفاداری ایک عظیم چپنداز کی علامت ہے۔</v>
      </c>
    </row>
    <row r="70">
      <c r="A70" s="4">
        <v>69.0</v>
      </c>
      <c r="B70" s="5" t="s">
        <v>867</v>
      </c>
      <c r="C70" s="5" t="s">
        <v>868</v>
      </c>
      <c r="D70" s="5" t="s">
        <v>869</v>
      </c>
      <c r="E70" s="5" t="s">
        <v>870</v>
      </c>
      <c r="J70" s="6" t="str">
        <f>IFERROR(__xludf.DUMMYFUNCTION("GOOGLETRANSLATE(B70, ""en"", ""ur"")"),"رسمی میچ میں کھلاڑیوں کے متبادل کے بارے میں کیا اصول ہے؟")</f>
        <v>رسمی میچ میں کھلاڑیوں کے متبادل کے بارے میں کیا اصول ہے؟</v>
      </c>
      <c r="K70" s="6" t="str">
        <f>IFERROR(__xludf.DUMMYFUNCTION("GOOGLETRANSLATE(C70, ""en"", ""ur"")"),"A) کوئی متبادل نہیں ہے، B) متبادل کسی بھی وقت بنایا جا سکتا ہے، C) متبادل صرف کھیل کے رکنے کے دوران بنایا جا سکتا ہے، D) صرف زخمی کھلاڑیوں کو تبدیل کیا جا سکتا ہے۔")</f>
        <v>A) کوئی متبادل نہیں ہے، B) متبادل کسی بھی وقت بنایا جا سکتا ہے، C) متبادل صرف کھیل کے رکنے کے دوران بنایا جا سکتا ہے، D) صرف زخمی کھلاڑیوں کو تبدیل کیا جا سکتا ہے۔</v>
      </c>
      <c r="L70" s="6" t="str">
        <f>IFERROR(__xludf.DUMMYFUNCTION("GOOGLETRANSLATE(D70, ""en"", ""ur"")"),"C) متبادل صرف پلے میں رکنے کے دوران بنایا جا سکتا ہے۔")</f>
        <v>C) متبادل صرف پلے میں رکنے کے دوران بنایا جا سکتا ہے۔</v>
      </c>
      <c r="M70" s="6" t="str">
        <f>IFERROR(__xludf.DUMMYFUNCTION("GOOGLETRANSLATE(E70, ""en"", ""ur"")"),"زیادہ تر کھیلوں کی طرح، کھلاڑیوں کو صرف اس وقت تبدیل کیا جا سکتا ہے جب گیم موقوف ہو (جیسے، سکور کے بعد یا ٹائم آؤٹ کے دوران)۔")</f>
        <v>زیادہ تر کھیلوں کی طرح، کھلاڑیوں کو صرف اس وقت تبدیل کیا جا سکتا ہے جب گیم موقوف ہو (جیسے، سکور کے بعد یا ٹائم آؤٹ کے دوران)۔</v>
      </c>
    </row>
    <row r="71">
      <c r="A71" s="4">
        <v>70.0</v>
      </c>
      <c r="B71" s="5" t="s">
        <v>871</v>
      </c>
      <c r="C71" s="5" t="s">
        <v>872</v>
      </c>
      <c r="D71" s="5" t="s">
        <v>873</v>
      </c>
      <c r="E71" s="5" t="s">
        <v>874</v>
      </c>
      <c r="J71" s="6" t="str">
        <f>IFERROR(__xludf.DUMMYFUNCTION("GOOGLETRANSLATE(B71, ""en"", ""ur"")"),"بنیادی وجہ کیا ہے کہ بزکشی اکثر گھاس کے بجائے مٹی یا ریت کے میدان میں کھیلی جاتی ہے؟")</f>
        <v>بنیادی وجہ کیا ہے کہ بزکشی اکثر گھاس کے بجائے مٹی یا ریت کے میدان میں کھیلی جاتی ہے؟</v>
      </c>
      <c r="K71" s="6" t="str">
        <f>IFERROR(__xludf.DUMMYFUNCTION("GOOGLETRANSLATE(C71, ""en"", ""ur"")"),"A) گھاس گھوڑوں کے لیے بہت زیادہ پھسلتی ہے، B) گھوڑوں کے کھروں کی تیز، منتھنی والی کارروائی گھاس کے میدان کو جلدی تباہ کر دیتی ہے، C) روایت گندگی کے میدان کا حکم دیتی ہے، D) اسے برقرار رکھنا سستا ہے۔")</f>
        <v>A) گھاس گھوڑوں کے لیے بہت زیادہ پھسلتی ہے، B) گھوڑوں کے کھروں کی تیز، منتھنی والی کارروائی گھاس کے میدان کو جلدی تباہ کر دیتی ہے، C) روایت گندگی کے میدان کا حکم دیتی ہے، D) اسے برقرار رکھنا سستا ہے۔</v>
      </c>
      <c r="L71" s="6" t="str">
        <f>IFERROR(__xludf.DUMMYFUNCTION("GOOGLETRANSLATE(D71, ""en"", ""ur"")"),"ب) گھوڑوں کے کھروں کی شدید، منتھنی والی کارروائی گھاس کے میدان کو تیزی سے تباہ کر دے گی۔")</f>
        <v>ب) گھوڑوں کے کھروں کی شدید، منتھنی والی کارروائی گھاس کے میدان کو تیزی سے تباہ کر دے گی۔</v>
      </c>
      <c r="M71" s="6" t="str">
        <f>IFERROR(__xludf.DUMMYFUNCTION("GOOGLETRANSLATE(E71, ""en"", ""ur"")"),"گھوڑوں کی گھاس گھسنے اور کھدائی کرنے والے درجنوں گھوڑوں کا جھنڈ منٹوں میں گھاس کے ٹرف کو ٹکڑے ٹکڑے کر دے گا۔ مٹی یا ریت کی سطح کہیں زیادہ پائیدار ہوتی ہے۔")</f>
        <v>گھوڑوں کی گھاس گھسنے اور کھدائی کرنے والے درجنوں گھوڑوں کا جھنڈ منٹوں میں گھاس کے ٹرف کو ٹکڑے ٹکڑے کر دے گا۔ مٹی یا ریت کی سطح کہیں زیادہ پائیدار ہوتی ہے۔</v>
      </c>
    </row>
    <row r="72">
      <c r="A72" s="4">
        <v>71.0</v>
      </c>
      <c r="B72" s="5" t="s">
        <v>875</v>
      </c>
      <c r="C72" s="5" t="s">
        <v>876</v>
      </c>
      <c r="D72" s="5" t="s">
        <v>877</v>
      </c>
      <c r="E72" s="5" t="s">
        <v>878</v>
      </c>
      <c r="J72" s="6" t="str">
        <f>IFERROR(__xludf.DUMMYFUNCTION("GOOGLETRANSLATE(B72, ""en"", ""ur"")"),"اگر کوئی سوار سکور کرتا ہے لیکن اس عمل میں اس کا ہیلمٹ گر جاتا ہے تو اس کا کیا حکم ہے؟")</f>
        <v>اگر کوئی سوار سکور کرتا ہے لیکن اس عمل میں اس کا ہیلمٹ گر جاتا ہے تو اس کا کیا حکم ہے؟</v>
      </c>
      <c r="K72" s="6" t="str">
        <f>IFERROR(__xludf.DUMMYFUNCTION("GOOGLETRANSLATE(C72, ""en"", ""ur"")"),"اے")</f>
        <v>اے</v>
      </c>
      <c r="L72" s="6" t="str">
        <f>IFERROR(__xludf.DUMMYFUNCTION("GOOGLETRANSLATE(D72, ""en"", ""ur"")"),"ب) اسکور کھڑا ہے، لیکن سوار کو غلط آلات کے لیے خبردار کیا جاتا ہے۔")</f>
        <v>ب) اسکور کھڑا ہے، لیکن سوار کو غلط آلات کے لیے خبردار کیا جاتا ہے۔</v>
      </c>
      <c r="M72" s="6" t="str">
        <f>IFERROR(__xludf.DUMMYFUNCTION("GOOGLETRANSLATE(E72, ""en"", ""ur"")"),"سکور درست ہے، لیکن سوار کو اپنے حفاظتی سامان کو صحیح طریقے سے محفوظ رکھنے میں ناکامی پر وارننگ یا جرمانہ ملے گا۔")</f>
        <v>سکور درست ہے، لیکن سوار کو اپنے حفاظتی سامان کو صحیح طریقے سے محفوظ رکھنے میں ناکامی پر وارننگ یا جرمانہ ملے گا۔</v>
      </c>
    </row>
    <row r="73">
      <c r="A73" s="4">
        <v>72.0</v>
      </c>
      <c r="B73" s="5" t="s">
        <v>879</v>
      </c>
      <c r="C73" s="5" t="s">
        <v>880</v>
      </c>
      <c r="D73" s="5" t="s">
        <v>881</v>
      </c>
      <c r="E73" s="5" t="s">
        <v>882</v>
      </c>
      <c r="J73" s="6" t="str">
        <f>IFERROR(__xludf.DUMMYFUNCTION("GOOGLETRANSLATE(B73, ""en"", ""ur"")"),"ٹیم اے کا ایک سوار لاش کو تھامے ہوئے ہے۔ ٹیم B کا ایک سوار لاش کی ٹانگ پکڑتا ہے۔ کیا یہ قانونی ہے؟")</f>
        <v>ٹیم اے کا ایک سوار لاش کو تھامے ہوئے ہے۔ ٹیم B کا ایک سوار لاش کی ٹانگ پکڑتا ہے۔ کیا یہ قانونی ہے؟</v>
      </c>
      <c r="K73" s="6" t="str">
        <f>IFERROR(__xludf.DUMMYFUNCTION("GOOGLETRANSLATE(C73, ""en"", ""ur"")"),"A) نہیں، صرف مرکزی جسم کو پکڑا جا سکتا ہے، B) ہاں، ایک کھلاڑی لاش کے کسی بھی حصے کو اس سے مقابلہ کرنے کے لیے پکڑ سکتا ہے، C) یہ ٹیم B پر فاؤل ہے، D) ریفری کو لاش کو دوبارہ ترتیب دینا چاہیے۔")</f>
        <v>A) نہیں، صرف مرکزی جسم کو پکڑا جا سکتا ہے، B) ہاں، ایک کھلاڑی لاش کے کسی بھی حصے کو اس سے مقابلہ کرنے کے لیے پکڑ سکتا ہے، C) یہ ٹیم B پر فاؤل ہے، D) ریفری کو لاش کو دوبارہ ترتیب دینا چاہیے۔</v>
      </c>
      <c r="L73" s="6" t="str">
        <f>IFERROR(__xludf.DUMMYFUNCTION("GOOGLETRANSLATE(D73, ""en"", ""ur"")"),"ب) جی ہاں، ایک کھلاڑی اس کا مقابلہ کرنے کے لیے لاش کے کسی بھی حصے کو پکڑ سکتا ہے۔")</f>
        <v>ب) جی ہاں، ایک کھلاڑی اس کا مقابلہ کرنے کے لیے لاش کے کسی بھی حصے کو پکڑ سکتا ہے۔</v>
      </c>
      <c r="M73" s="6" t="str">
        <f>IFERROR(__xludf.DUMMYFUNCTION("GOOGLETRANSLATE(E73, ""en"", ""ur"")"),"لاش کا کوئی بھی حصہ قبضے کی جدوجہد میں منصفانہ کھیل ہے۔")</f>
        <v>لاش کا کوئی بھی حصہ قبضے کی جدوجہد میں منصفانہ کھیل ہے۔</v>
      </c>
    </row>
    <row r="74">
      <c r="A74" s="4">
        <v>73.0</v>
      </c>
      <c r="B74" s="5" t="s">
        <v>883</v>
      </c>
      <c r="C74" s="5" t="s">
        <v>884</v>
      </c>
      <c r="D74" s="5" t="s">
        <v>885</v>
      </c>
      <c r="E74" s="5" t="s">
        <v>886</v>
      </c>
      <c r="J74" s="6" t="str">
        <f>IFERROR(__xludf.DUMMYFUNCTION("GOOGLETRANSLATE(B74, ""en"", ""ur"")"),"بزکشی میں گھوڑے کے طاقتور ہندکوارٹر کا بنیادی کردار کیا ہے؟")</f>
        <v>بزکشی میں گھوڑے کے طاقتور ہندکوارٹر کا بنیادی کردار کیا ہے؟</v>
      </c>
      <c r="K74" s="6" t="str">
        <f>IFERROR(__xludf.DUMMYFUNCTION("GOOGLETRANSLATE(C74, ""en"", ""ur"")"),"A) توازن کے لیے، B) مخالفین کو لات مارنے کے لیے، C) اسکرم سے الگ ہونے کے لیے درکار دھماکہ خیز سرعت فراہم کرنے کے لیے، D) سجاوٹ کے لیے")</f>
        <v>A) توازن کے لیے، B) مخالفین کو لات مارنے کے لیے، C) اسکرم سے الگ ہونے کے لیے درکار دھماکہ خیز سرعت فراہم کرنے کے لیے، D) سجاوٹ کے لیے</v>
      </c>
      <c r="L74" s="6" t="str">
        <f>IFERROR(__xludf.DUMMYFUNCTION("GOOGLETRANSLATE(D74, ""en"", ""ur"")"),"C) اسکرم سے دور ہونے کے لیے درکار دھماکہ خیز سرعت فراہم کرنے کے لیے")</f>
        <v>C) اسکرم سے دور ہونے کے لیے درکار دھماکہ خیز سرعت فراہم کرنے کے لیے</v>
      </c>
      <c r="M74" s="6" t="str">
        <f>IFERROR(__xludf.DUMMYFUNCTION("GOOGLETRANSLATE(E74, ""en"", ""ur"")"),"گھوڑے کا ""انجن"" اس کے عقب میں ہوتا ہے، اور طاقتور پچھلی ٹانگیں اس رفتار کے پھٹنے کے لیے ضروری ہیں جو کھیل کی وضاحت کرتی ہیں۔")</f>
        <v>گھوڑے کا "انجن" اس کے عقب میں ہوتا ہے، اور طاقتور پچھلی ٹانگیں اس رفتار کے پھٹنے کے لیے ضروری ہیں جو کھیل کی وضاحت کرتی ہیں۔</v>
      </c>
    </row>
    <row r="75">
      <c r="A75" s="4">
        <v>74.0</v>
      </c>
      <c r="B75" s="5" t="s">
        <v>887</v>
      </c>
      <c r="C75" s="5" t="s">
        <v>888</v>
      </c>
      <c r="D75" s="5" t="s">
        <v>889</v>
      </c>
      <c r="E75" s="5" t="s">
        <v>890</v>
      </c>
      <c r="J75" s="6" t="str">
        <f>IFERROR(__xludf.DUMMYFUNCTION("GOOGLETRANSLATE(B75, ""en"", ""ur"")"),"ٹورنامنٹ میں، کیا ہوتا ہے اگر کوئی ٹیم ریفری کی کال پر اختلاف کرتی ہے؟")</f>
        <v>ٹورنامنٹ میں، کیا ہوتا ہے اگر کوئی ٹیم ریفری کی کال پر اختلاف کرتی ہے؟</v>
      </c>
      <c r="K75" s="6" t="str">
        <f>IFERROR(__xludf.DUMMYFUNCTION("GOOGLETRANSLATE(C75, ""en"", ""ur"")"),"A) وہ ریفری کو زیر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f>
        <v>A) وہ ریفری کو زیر کر سکتے ہیں، B) ٹیم کا کپتان ہیڈ جج یا کمیٹی کے پاس باضابطہ احتجاج درج کر سکتا ہے، C) کھیل کو روک کر دوبارہ چلایا جاتا ہے، D) انہیں بحث کرنے پر نااہل قرار دیا جاتا ہے۔</v>
      </c>
      <c r="L75" s="6" t="str">
        <f>IFERROR(__xludf.DUMMYFUNCTION("GOOGLETRANSLATE(D75, ""en"", ""ur"")"),"ب) ٹیم کا کپتان ہیڈ جج یا کمیٹی کے پاس باضابطہ احتجاج درج کرا سکتا ہے۔")</f>
        <v>ب) ٹیم کا کپتان ہیڈ جج یا کمیٹی کے پاس باضابطہ احتجاج درج کرا سکتا ہے۔</v>
      </c>
      <c r="M75" s="6" t="str">
        <f>IFERROR(__xludf.DUMMYFUNCTION("GOOGLETRANSLATE(E75, ""en"", ""ur"")"),"اگرچہ فیلڈ ریفری کی کال اکثر حتمی ہوتی ہے، تقریب میں کسی اعلیٰ اتھارٹی کے سامنے کسی فیصلے کے خلاف احتجاج کرنے کا باقاعدہ عمل ہوتا ہے۔")</f>
        <v>اگرچہ فیلڈ ریفری کی کال اکثر حتمی ہوتی ہے، تقریب میں کسی اعلیٰ اتھارٹی کے سامنے کسی فیصلے کے خلاف احتجاج کرنے کا باقاعدہ عمل ہوتا ہے۔</v>
      </c>
    </row>
    <row r="76">
      <c r="A76" s="4">
        <v>75.0</v>
      </c>
      <c r="B76" s="5" t="s">
        <v>891</v>
      </c>
      <c r="C76" s="5" t="s">
        <v>892</v>
      </c>
      <c r="D76" s="5" t="s">
        <v>893</v>
      </c>
      <c r="E76" s="5" t="s">
        <v>894</v>
      </c>
      <c r="J76" s="6" t="str">
        <f>IFERROR(__xludf.DUMMYFUNCTION("GOOGLETRANSLATE(B76, ""en"", ""ur"")"),"گھوڑوں کو اکثر میچ سے پہلے جو اور انڈے کی زیادہ توانائی والی خوراک کیوں دی جاتی ہے؟")</f>
        <v>گھوڑوں کو اکثر میچ سے پہلے جو اور انڈے کی زیادہ توانائی والی خوراک کیوں دی جاتی ہے؟</v>
      </c>
      <c r="K76" s="6" t="str">
        <f>IFERROR(__xludf.DUMMYFUNCTION("GOOGLETRANSLATE(C76, ""en"", ""ur"")"),"A)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بنانا")</f>
        <v>A) انہیں بھاری بنانے کے لئے، B) انتہائی ایتھلیٹک کارکردگی کے لئے ضروری کاربوہائیڈریٹ اور پروٹین فراہم کرنے کے لئے، C) یہ ایک مذہبی ضرورت ہے، D) ان کے کوٹ کو چمکدار بنانا</v>
      </c>
      <c r="L76" s="6" t="str">
        <f>IFERROR(__xludf.DUMMYFUNCTION("GOOGLETRANSLATE(D76, ""en"", ""ur"")"),"ب) انتہائی ایتھلیٹک کارکردگی کے لیے ضروری کاربوہائیڈریٹ اور پروٹین فراہم کرنا")</f>
        <v>ب) انتہائی ایتھلیٹک کارکردگی کے لیے ضروری کاربوہائیڈریٹ اور پروٹین فراہم کرنا</v>
      </c>
      <c r="M76" s="6" t="str">
        <f>IFERROR(__xludf.DUMMYFUNCTION("GOOGLETRANSLATE(E76, ""en"", ""ur"")"),"یہ روایتی غذا ""کارب-لوڈنگ"" کی ایک شکل ہے، جس کا ڈیزائن گھوڑوں کو سخت کھیل کے لیے زیادہ سے زیادہ ایندھن فراہم کرنے کے لیے بنایا گیا ہے۔")</f>
        <v>یہ روایتی غذا "کارب-لوڈنگ" کی ایک شکل ہے، جس کا ڈیزائن گھوڑوں کو سخت کھیل کے لیے زیادہ سے زیادہ ایندھن فراہم کرنے کے لیے بنایا گیا ہے۔</v>
      </c>
    </row>
    <row r="77">
      <c r="A77" s="4">
        <v>76.0</v>
      </c>
      <c r="B77" s="5" t="s">
        <v>895</v>
      </c>
      <c r="C77" s="5" t="s">
        <v>896</v>
      </c>
      <c r="D77" s="5" t="s">
        <v>897</v>
      </c>
      <c r="E77" s="5" t="s">
        <v>898</v>
      </c>
      <c r="J77" s="6" t="str">
        <f>IFERROR(__xludf.DUMMYFUNCTION("GOOGLETRANSLATE(B77, ""en"", ""ur"")"),"اگر کوئی سوار بغیر گھوڑے کے سوار ہو اور اس کا اپنا ساتھی غلطی سے اسے روند دے تو اس کا کیا حکم ہے؟")</f>
        <v>اگر کوئی سوار بغیر گھوڑے کے سوار ہو اور اس کا اپنا ساتھی غلطی سے اسے روند دے تو اس کا کیا حکم ہے؟</v>
      </c>
      <c r="K77" s="6" t="str">
        <f>IFERROR(__xludf.DUMMYFUNCTION("GOOGLETRANSLATE(C77, ""en"", ""ur"")"),"A)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f>
        <v>A) ٹیم کے ساتھی کو نااہل قرار دیا جاتا ہے، B) اسے ایک افسوسناک لیکن قانونی ریسنگ کا واقعہ سمجھا جاتا ہے، C) ٹیم کے ذریعے میچ فوری طور پر ضائع کر دیا جاتا ہے، D) مخالف ٹیم کو ایک پوائنٹ دیا جاتا ہے۔</v>
      </c>
      <c r="L77" s="6" t="str">
        <f>IFERROR(__xludf.DUMMYFUNCTION("GOOGLETRANSLATE(D77, ""en"", ""ur"")"),"ب) اسے ایک افسوسناک لیکن قانونی ریسنگ کا واقعہ سمجھا جاتا ہے۔")</f>
        <v>ب) اسے ایک افسوسناک لیکن قانونی ریسنگ کا واقعہ سمجھا جاتا ہے۔</v>
      </c>
      <c r="M77" s="6" t="str">
        <f>IFERROR(__xludf.DUMMYFUNCTION("GOOGLETRANSLATE(E77, ""en"", ""ur"")"),"بدقسمتی سے، اسکرم کی افراتفری اور خطرناک نوعیت کا مطلب یہ ہے کہ اس طرح کے حادثات کھیل کے لیے ایک معروف خطرہ ہیں۔")</f>
        <v>بدقسمتی سے، اسکرم کی افراتفری اور خطرناک نوعیت کا مطلب یہ ہے کہ اس طرح کے حادثات کھیل کے لیے ایک معروف خطرہ ہیں۔</v>
      </c>
    </row>
    <row r="78">
      <c r="A78" s="4">
        <v>77.0</v>
      </c>
      <c r="B78" s="5" t="s">
        <v>899</v>
      </c>
      <c r="C78" s="5" t="s">
        <v>900</v>
      </c>
      <c r="D78" s="5" t="s">
        <v>901</v>
      </c>
      <c r="E78" s="5" t="s">
        <v>902</v>
      </c>
      <c r="J78" s="6" t="str">
        <f>IFERROR(__xludf.DUMMYFUNCTION("GOOGLETRANSLATE(B78, ""en"", ""ur"")"),"باؤنڈری کے قریب ایک سوار لاش کے قبضے میں ہے۔ ایک مخالف قانونی طور پر انہیں اپنے گھوڑے سے دھکیلتا ہے، انہیں حد سے باہر کرنے پر مجبور کرتا ہے۔ کال کیا ہے؟")</f>
        <v>باؤنڈری کے قریب ایک سوار لاش کے قبضے میں ہے۔ ایک مخالف قانونی طور پر انہیں اپنے گھوڑے سے دھکیلتا ہے، انہیں حد سے باہر کرنے پر مجبور کرتا ہے۔ کال کیا ہے؟</v>
      </c>
      <c r="K78" s="6" t="str">
        <f>IFERROR(__xludf.DUMMYFUNCTION("GOOGLETRANSLATE(C78, ""en"", ""ur"")"),"A) مخالف کو دھکا دینے کے لئے ایک فاؤل، B) مخالف کے لئے ایک نقطہ، C) لاش کو درمیان میں دوبارہ ترتیب دیا گیا ہے، D) دونوں سواروں کو ایک انتباہ جاری کیا گیا ہے")</f>
        <v>A) مخالف کو دھکا دینے کے لئے ایک فاؤل، B) مخالف کے لئے ایک نقطہ، C) لاش کو درمیان میں دوبارہ ترتیب دیا گیا ہے، D) دونوں سواروں کو ایک انتباہ جاری کیا گیا ہے</v>
      </c>
      <c r="L78" s="6" t="str">
        <f>IFERROR(__xludf.DUMMYFUNCTION("GOOGLETRANSLATE(D78, ""en"", ""ur"")"),"C) لاش کو مرکز میں دوبارہ ترتیب دیا گیا ہے۔")</f>
        <v>C) لاش کو مرکز میں دوبارہ ترتیب دیا گیا ہے۔</v>
      </c>
      <c r="M78" s="6" t="str">
        <f>IFERROR(__xludf.DUMMYFUNCTION("GOOGLETRANSLATE(E78, ""en"", ""ur"")"),"دھکا قانونی تھا، لیکن نتیجہ یہ ہوا کہ لاش کھیل سے باہر ہوگئی۔ لہذا، ڈرامہ مر گیا ہے اور لاش کو دوبارہ ترتیب دیا گیا ہے.")</f>
        <v>دھکا قانونی تھا، لیکن نتیجہ یہ ہوا کہ لاش کھیل سے باہر ہوگئی۔ لہذا، ڈرامہ مر گیا ہے اور لاش کو دوبارہ ترتیب دیا گیا ہے.</v>
      </c>
    </row>
    <row r="79">
      <c r="A79" s="4">
        <v>78.0</v>
      </c>
      <c r="B79" s="5" t="s">
        <v>903</v>
      </c>
      <c r="C79" s="5" t="s">
        <v>904</v>
      </c>
      <c r="D79" s="5" t="s">
        <v>905</v>
      </c>
      <c r="E79" s="5" t="s">
        <v>906</v>
      </c>
      <c r="J79" s="6" t="str">
        <f>IFERROR(__xludf.DUMMYFUNCTION("GOOGLETRANSLATE(B79, ""en"", ""ur"")"),"روایتی لحاف والے کوٹ (چاپن) کا سب سے عام رنگ کیا ہے جو سواروں کے ذریعے پہنا جاتا ہے؟")</f>
        <v>روایتی لحاف والے کوٹ (چاپن) کا سب سے عام رنگ کیا ہے جو سواروں کے ذریعے پہنا جاتا ہے؟</v>
      </c>
      <c r="K79" s="6" t="str">
        <f>IFERROR(__xludf.DUMMYFUNCTION("GOOGLETRANSLATE(C79, ""en"", ""ur"")"),"A) چمکدار سرخ، B) سفید، C) گہرے، خاموش رنگ جیسے سیاہ، نیلا، یا بھورا، D) چمکدار پیلا")</f>
        <v>A) چمکدار سرخ، B) سفید، C) گہرے، خاموش رنگ جیسے سیاہ، نیلا، یا بھورا، D) چمکدار پیلا</v>
      </c>
      <c r="L79" s="6" t="str">
        <f>IFERROR(__xludf.DUMMYFUNCTION("GOOGLETRANSLATE(D79, ""en"", ""ur"")"),"C) گہرے، خاموش رنگ جیسے سیاہ، نیلا، یا بھورا")</f>
        <v>C) گہرے، خاموش رنگ جیسے سیاہ، نیلا، یا بھورا</v>
      </c>
      <c r="M79" s="6" t="str">
        <f>IFERROR(__xludf.DUMMYFUNCTION("GOOGLETRANSLATE(E79, ""en"", ""ur"")"),"جب کہ کچھ سواروں کے پاس ذاتی نوعیت کے کوٹ ہوتے ہیں، سب سے زیادہ روایتی چپن گہرے، عملی رنگوں میں ہوتے ہیں۔")</f>
        <v>جب کہ کچھ سواروں کے پاس ذاتی نوعیت کے کوٹ ہوتے ہیں، سب سے زیادہ روایتی چپن گہرے، عملی رنگوں میں ہوتے ہیں۔</v>
      </c>
    </row>
    <row r="80">
      <c r="A80" s="4">
        <v>79.0</v>
      </c>
      <c r="B80" s="5" t="s">
        <v>907</v>
      </c>
      <c r="C80" s="5" t="s">
        <v>908</v>
      </c>
      <c r="D80" s="5" t="s">
        <v>909</v>
      </c>
      <c r="E80" s="5" t="s">
        <v>910</v>
      </c>
      <c r="J80" s="6" t="str">
        <f>IFERROR(__xludf.DUMMYFUNCTION("GOOGLETRANSLATE(B80, ""en"", ""ur"")"),"ایک عام بزکشی میچ کب تک چل سکتا ہے؟")</f>
        <v>ایک عام بزکشی میچ کب تک چل سکتا ہے؟</v>
      </c>
      <c r="K80" s="6" t="str">
        <f>IFERROR(__xludf.DUMMYFUNCTION("GOOGLETRANSLATE(C80, ""en"", ""ur"")"),"A) 10 منٹ، B) 30 منٹ، C) اکثر کئی گھنٹوں کے لیے، متعدد ادوار کے ساتھ، D) یہ غیر وقتی ہوتا ہے۔")</f>
        <v>A) 10 منٹ، B) 30 منٹ، C) اکثر کئی گھنٹوں کے لیے، متعدد ادوار کے ساتھ، D) یہ غیر وقتی ہوتا ہے۔</v>
      </c>
      <c r="L80" s="6" t="str">
        <f>IFERROR(__xludf.DUMMYFUNCTION("GOOGLETRANSLATE(D80, ""en"", ""ur"")"),"ج) اکثر کئی گھنٹوں تک، متعدد ادوار کے ساتھ")</f>
        <v>ج) اکثر کئی گھنٹوں تک، متعدد ادوار کے ساتھ</v>
      </c>
      <c r="M80" s="6" t="str">
        <f>IFERROR(__xludf.DUMMYFUNCTION("GOOGLETRANSLATE(E80, ""en"", ""ur"")"),"باضابطہ بزکشی میچ ایک طویل اور سخت معاملہ ہے، بعض اوقات درمیان میں وقفے کے ساتھ 45 منٹ کے دو حصوں پر مشتمل ہوتا ہے۔")</f>
        <v>باضابطہ بزکشی میچ ایک طویل اور سخت معاملہ ہے، بعض اوقات درمیان میں وقفے کے ساتھ 45 منٹ کے دو حصوں پر مشتمل ہوتا ہے۔</v>
      </c>
    </row>
    <row r="81">
      <c r="A81" s="4">
        <v>80.0</v>
      </c>
      <c r="B81" s="5" t="s">
        <v>911</v>
      </c>
      <c r="C81" s="5" t="s">
        <v>912</v>
      </c>
      <c r="D81" s="5" t="s">
        <v>913</v>
      </c>
      <c r="E81" s="5" t="s">
        <v>914</v>
      </c>
      <c r="J81" s="6" t="str">
        <f>IFERROR(__xludf.DUMMYFUNCTION("GOOGLETRANSLATE(B81, ""en"", ""ur"")"),"چپنداز میں ٹانگوں کے مضبوط پٹھے ہونے کی بنیادی وجہ کیا ہے؟")</f>
        <v>چپنداز میں ٹانگوں کے مضبوط پٹھے ہونے کی بنیادی وجہ کیا ہے؟</v>
      </c>
      <c r="K81" s="6" t="str">
        <f>IFERROR(__xludf.DUMMYFUNCTION("GOOGLETRANSLATE(C81, ""en"", ""ur"")"),"A) گھوڑے کے بغیر تیز دوڑنا، B) مخالفین کو لات مارنا، C) گھوڑے کو مضبوطی سے پکڑنا، خاص طور پر جب لاش اٹھانے کے لیے ٹیک لگانا، D) یہ اہم نہیں ہے۔")</f>
        <v>A) گھوڑے کے بغیر تیز دوڑنا، B) مخالفین کو لات مارنا، C) گھوڑے کو مضبوطی سے پکڑنا، خاص طور پر جب لاش اٹھانے کے لیے ٹیک لگانا، D) یہ اہم نہیں ہے۔</v>
      </c>
      <c r="L81" s="6" t="str">
        <f>IFERROR(__xludf.DUMMYFUNCTION("GOOGLETRANSLATE(D81, ""en"", ""ur"")"),"ج) گھوڑے کو مضبوطی سے پکڑنا، خاص طور پر جب لاش کو اٹھانے کے لیے جھکا ہو۔")</f>
        <v>ج) گھوڑے کو مضبوطی سے پکڑنا، خاص طور پر جب لاش کو اٹھانے کے لیے جھکا ہو۔</v>
      </c>
      <c r="M81" s="6" t="str">
        <f>IFERROR(__xludf.DUMMYFUNCTION("GOOGLETRANSLATE(E81, ""en"", ""ur"")"),"سوار کی ٹانگیں گھوڑے کے لیے ان کا لنگر ہیں۔ پرتشدد جدوجہد کے دوران کاٹھی میں رہنے کے لیے لوہے کی گرفت ضروری ہے۔")</f>
        <v>سوار کی ٹانگیں گھوڑے کے لیے ان کا لنگر ہیں۔ پرتشدد جدوجہد کے دوران کاٹھی میں رہنے کے لیے لوہے کی گرفت ضروری ہے۔</v>
      </c>
    </row>
    <row r="82">
      <c r="A82" s="4">
        <v>81.0</v>
      </c>
      <c r="B82" s="5" t="s">
        <v>915</v>
      </c>
      <c r="C82" s="5" t="s">
        <v>916</v>
      </c>
      <c r="D82" s="5" t="s">
        <v>917</v>
      </c>
      <c r="E82" s="5" t="s">
        <v>918</v>
      </c>
      <c r="J82" s="6" t="str">
        <f>IFERROR(__xludf.DUMMYFUNCTION("GOOGLETRANSLATE(B82, ""en"", ""ur"")"),"ایک سوار اسکور کرنے والا ہے، لیکن ایک مخالف انہیں پیچھے کھینچنے کے لیے ان کی زین کو پکڑتا ہے۔ کیا یہ قانونی ہے؟")</f>
        <v>ایک سوار اسکور کرنے والا ہے، لیکن ایک مخالف انہیں پیچھے کھینچنے کے لیے ان کی زین کو پکڑتا ہے۔ کیا یہ قانونی ہے؟</v>
      </c>
      <c r="K82" s="6" t="str">
        <f>IFERROR(__xludf.DUMMYFUNCTION("GOOGLETRANSLATE(C82, ""en"", ""ur"")"),"A)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f>
        <v>A) جی ہاں، یہ ایک ہوشیار دفاعی کھیل ہے، B) نہیں، مخالف کے سازوسامان کو چھیننا غلط ہے، C) صرف اس صورت میں جب وہ سوار کو گھوڑے سے نہ کھینچیں، D) یہ ریفری کی صوابدید پر منحصر ہے۔</v>
      </c>
      <c r="L82" s="6" t="str">
        <f>IFERROR(__xludf.DUMMYFUNCTION("GOOGLETRANSLATE(D82, ""en"", ""ur"")"),"ب) نہیں، مخالف کے سامان کو چھیننا غلط ہے۔")</f>
        <v>ب) نہیں، مخالف کے سامان کو چھیننا غلط ہے۔</v>
      </c>
      <c r="M82" s="6" t="str">
        <f>IFERROR(__xludf.DUMMYFUNCTION("GOOGLETRANSLATE(E82, ""en"", ""ur"")"),"ایک کھلاڑی صرف لاش کے لیے مقابلہ کر سکتا ہے۔ کاٹھی، لگام یا سوار کو پکڑنا غیر قانونی ہے۔")</f>
        <v>ایک کھلاڑی صرف لاش کے لیے مقابلہ کر سکتا ہے۔ کاٹھی، لگام یا سوار کو پکڑنا غیر قانونی ہے۔</v>
      </c>
    </row>
    <row r="83">
      <c r="A83" s="4">
        <v>82.0</v>
      </c>
      <c r="B83" s="5" t="s">
        <v>919</v>
      </c>
      <c r="C83" s="5" t="s">
        <v>920</v>
      </c>
      <c r="D83" s="5" t="s">
        <v>921</v>
      </c>
      <c r="E83" s="5" t="s">
        <v>922</v>
      </c>
      <c r="J83" s="6" t="str">
        <f>IFERROR(__xludf.DUMMYFUNCTION("GOOGLETRANSLATE(B83, ""en"", ""ur"")"),"بزکشی میں گھوڑوں کو لگام کے اشارے سے زیادہ ٹانگوں اور وزن کے اشارے کا جواب دینے کی تربیت کیوں دی جاتی ہے؟")</f>
        <v>بزکشی میں گھوڑوں کو لگام کے اشارے سے زیادہ ٹانگوں اور وزن کے اشارے کا جواب دینے کی تربیت کیوں دی جاتی ہے؟</v>
      </c>
      <c r="K83" s="6" t="str">
        <f>IFERROR(__xludf.DUMMYFUNCTION("GOOGLETRANSLATE(C83, ""en"", ""ur"")"),"A) لگام اکثر گرا دی جاتی ہے، B) سوار کے ہاتھ لاش کے ساتھ مصروف ہوتے ہیں، اس لیے انہیں اپنی ٹانگوں کے ساتھ چلنا چاہیے، C) یہ زیادہ روایتی ہے، D) یہ ایک اصول ہے۔")</f>
        <v>A) لگام اکثر گرا دی جاتی ہے، B) سوار کے ہاتھ لاش کے ساتھ مصروف ہوتے ہیں، اس لیے انہیں اپنی ٹانگوں کے ساتھ چلنا چاہیے، C) یہ زیادہ روایتی ہے، D) یہ ایک اصول ہے۔</v>
      </c>
      <c r="L83" s="6" t="str">
        <f>IFERROR(__xludf.DUMMYFUNCTION("GOOGLETRANSLATE(D83, ""en"", ""ur"")"),"ب) سوار کے ہاتھ لاش کے ساتھ مصروف ہیں، اس لیے انہیں اپنی ٹانگوں سے آگے بڑھنا چاہیے۔")</f>
        <v>ب) سوار کے ہاتھ لاش کے ساتھ مصروف ہیں، اس لیے انہیں اپنی ٹانگوں سے آگے بڑھنا چاہیے۔</v>
      </c>
      <c r="M83" s="6" t="str">
        <f>IFERROR(__xludf.DUMMYFUNCTION("GOOGLETRANSLATE(E83, ""en"", ""ur"")"),"چپنڈاز کو بز کے لیے لڑنے کے لیے اپنے ہاتھوں کی ضرورت ہوتی ہے، اس لیے گھوڑے کو ٹانگوں کے دباؤ کا جواب دینے اور سوار کے وزن میں تبدیلی کے لیے تربیت دی جانی چاہیے۔")</f>
        <v>چپنڈاز کو بز کے لیے لڑنے کے لیے اپنے ہاتھوں کی ضرورت ہوتی ہے، اس لیے گھوڑے کو ٹانگوں کے دباؤ کا جواب دینے اور سوار کے وزن میں تبدیلی کے لیے تربیت دی جانی چاہیے۔</v>
      </c>
    </row>
    <row r="84">
      <c r="A84" s="4">
        <v>83.0</v>
      </c>
      <c r="B84" s="5" t="s">
        <v>923</v>
      </c>
      <c r="C84" s="5" t="s">
        <v>924</v>
      </c>
      <c r="D84" s="5" t="s">
        <v>925</v>
      </c>
      <c r="E84" s="5" t="s">
        <v>926</v>
      </c>
      <c r="J84" s="6" t="str">
        <f>IFERROR(__xludf.DUMMYFUNCTION("GOOGLETRANSLATE(B84, ""en"", ""ur"")"),"اگر ایک میچ ٹائی پر ختم ہوتا ہے، اور اوور ٹائم کا دورانیہ بھی ٹائی پر ختم ہوتا ہے، تو روایتی کھیل میں حتمی فیصلہ کیا ہو سکتا ہے؟")</f>
        <v>اگر ایک میچ ٹائی پر ختم ہوتا ہے، اور اوور ٹائم کا دورانیہ بھی ٹائی پر ختم ہوتا ہے، تو روایتی کھیل میں حتمی فیصلہ کیا ہو سکتا ہے؟</v>
      </c>
      <c r="K84" s="6" t="str">
        <f>IFERROR(__xludf.DUMMYFUNCTION("GOOGLETRANSLATE(C84, ""en"", ""ur"")"),"A) سکے کا ٹاس، B) میچ ڈرا قرار دیا جاتا ہے، ایک قابل احترام نتیجہ، C) آخری پوائنٹ حاصل کرنے والی ٹیم جیت جاتی ہے، D) ٹیموں کے درمیان گھوڑوں کی دوڑ ہوتی ہے")</f>
        <v>A) سکے کا ٹاس، B) میچ ڈرا قرار دیا جاتا ہے، ایک قابل احترام نتیجہ، C) آخری پوائنٹ حاصل کرنے والی ٹیم جیت جاتی ہے، D) ٹیموں کے درمیان گھوڑوں کی دوڑ ہوتی ہے</v>
      </c>
      <c r="L84" s="6" t="str">
        <f>IFERROR(__xludf.DUMMYFUNCTION("GOOGLETRANSLATE(D84, ""en"", ""ur"")"),"ب) میچ ڈرا قرار دیا گیا، ایک قابل احترام نتیجہ")</f>
        <v>ب) میچ ڈرا قرار دیا گیا، ایک قابل احترام نتیجہ</v>
      </c>
      <c r="M84" s="6" t="str">
        <f>IFERROR(__xludf.DUMMYFUNCTION("GOOGLETRANSLATE(E84, ""en"", ""ur"")"),"کھیل کے روایتی جذبے میں، قرعہ اندازی ایک باعزت نتیجہ ہے جو اس بات کی علامت ہے کہ دو طاقتور قوتیں یکساں طور پر مماثل تھیں۔")</f>
        <v>کھیل کے روایتی جذبے میں، قرعہ اندازی ایک باعزت نتیجہ ہے جو اس بات کی علامت ہے کہ دو طاقتور قوتیں یکساں طور پر مماثل تھیں۔</v>
      </c>
    </row>
    <row r="85">
      <c r="A85" s="4">
        <v>84.0</v>
      </c>
      <c r="B85" s="5" t="s">
        <v>927</v>
      </c>
      <c r="C85" s="5" t="s">
        <v>928</v>
      </c>
      <c r="D85" s="5" t="s">
        <v>929</v>
      </c>
      <c r="E85" s="5" t="s">
        <v>930</v>
      </c>
      <c r="J85" s="6" t="str">
        <f>IFERROR(__xludf.DUMMYFUNCTION("GOOGLETRANSLATE(B85, ""en"", ""ur"")"),"گاؤں کی بزکشی گیم کے لیے استعمال ہونے والے میدان کی سب سے عام خصوصیت کیا ہے؟")</f>
        <v>گاؤں کی بزکشی گیم کے لیے استعمال ہونے والے میدان کی سب سے عام خصوصیت کیا ہے؟</v>
      </c>
      <c r="K85" s="6" t="str">
        <f>IFERROR(__xludf.DUMMYFUNCTION("GOOGLETRANSLATE(C85, ""en"", ""ur"")"),"A) یہ بالکل صاف ستھرا گھاس کا میدان ہے، B) یہ قدرتی حدود کے ساتھ ایک بڑا، کھلا اور اکثر گرد آلود میدان ہے، C) یہ ایک چھوٹا، بند میدان ہے، D) یہ ایک ریتیلا ساحل ہے۔")</f>
        <v>A) یہ بالکل صاف ستھرا گھاس کا میدان ہے، B) یہ قدرتی حدود کے ساتھ ایک بڑا، کھلا اور اکثر گرد آلود میدان ہے، C) یہ ایک چھوٹا، بند میدان ہے، D) یہ ایک ریتیلا ساحل ہے۔</v>
      </c>
      <c r="L85" s="6" t="str">
        <f>IFERROR(__xludf.DUMMYFUNCTION("GOOGLETRANSLATE(D85, ""en"", ""ur"")"),"ب) یہ قدرتی حدود کے ساتھ ایک بڑا، کھلا اور اکثر گرد آلود میدان ہے۔")</f>
        <v>ب) یہ قدرتی حدود کے ساتھ ایک بڑا، کھلا اور اکثر گرد آلود میدان ہے۔</v>
      </c>
      <c r="M85" s="6" t="str">
        <f>IFERROR(__xludf.DUMMYFUNCTION("GOOGLETRANSLATE(E85, ""en"", ""ur"")"),"روایتی کھیل قدرتی زمین کی تزئین کا استعمال کرتے ہیں، کھیل کی ابتداء کی ناہموار اور کھلی نوعیت کو اپناتے ہیں۔")</f>
        <v>روایتی کھیل قدرتی زمین کی تزئین کا استعمال کرتے ہیں، کھیل کی ابتداء کی ناہموار اور کھلی نوعیت کو اپناتے ہیں۔</v>
      </c>
    </row>
    <row r="86">
      <c r="A86" s="4">
        <v>85.0</v>
      </c>
      <c r="B86" s="5" t="s">
        <v>931</v>
      </c>
      <c r="C86" s="5" t="s">
        <v>932</v>
      </c>
      <c r="D86" s="5" t="s">
        <v>933</v>
      </c>
      <c r="E86" s="5" t="s">
        <v>934</v>
      </c>
      <c r="J86" s="6" t="str">
        <f>IFERROR(__xludf.DUMMYFUNCTION("GOOGLETRANSLATE(B86, ""en"", ""ur"")"),"ایک سوار زخمی ہے اور اسے متبادل کیا جانا چاہیے۔ کیا اصل سوار بعد میں گیم میں واپس آسکتا ہے؟")</f>
        <v>ایک سوار زخمی ہے اور اسے متبادل کیا جانا چاہیے۔ کیا اصل سوار بعد میں گیم میں واپس آسکتا ہے؟</v>
      </c>
      <c r="K86" s="6" t="str">
        <f>IFERROR(__xludf.DUMMYFUNCTION("GOOGLETRANSLATE(C86, ""en"", ""ur"")"),"A) جی ہاں، آرام کی مدت کے بعد، B) نہیں، ایک بار کسی کھلاڑی کو متبادل کے طور پر لے جانے کے بعد، وہ واپس نہیں آ سکتے، C) صرف دوسرے ہاف میں، D) صرف اس صورت میں جب متبادل کھلاڑی بھی زخمی ہو جائے۔")</f>
        <v>A) جی ہاں، آرام کی مدت کے بعد، B) نہیں، ایک بار کسی کھلاڑی کو متبادل کے طور پر لے جانے کے بعد، وہ واپس نہیں آ سکتے، C) صرف دوسرے ہاف میں، D) صرف اس صورت میں جب متبادل کھلاڑی بھی زخمی ہو جائے۔</v>
      </c>
      <c r="L86" s="6" t="str">
        <f>IFERROR(__xludf.DUMMYFUNCTION("GOOGLETRANSLATE(D86, ""en"", ""ur"")"),"ب) نہیں، ایک بار جب کسی کھلاڑی کو متبادل بنایا جاتا ہے، تو وہ واپس نہیں آسکتے ہیں۔")</f>
        <v>ب) نہیں، ایک بار جب کسی کھلاڑی کو متبادل بنایا جاتا ہے، تو وہ واپس نہیں آسکتے ہیں۔</v>
      </c>
      <c r="M86" s="6" t="str">
        <f>IFERROR(__xludf.DUMMYFUNCTION("GOOGLETRANSLATE(E86, ""en"", ""ur"")"),"زیادہ تر رسمی اصولوں کے سیٹوں میں، ایک کھلاڑی جس کی جگہ متبادل کے ذریعے لیا جاتا ہے وہ اپنے بقیہ کے لیے کھیل سے باہر ہو جاتا ہے۔")</f>
        <v>زیادہ تر رسمی اصولوں کے سیٹوں میں، ایک کھلاڑی جس کی جگہ متبادل کے ذریعے لیا جاتا ہے وہ اپنے بقیہ کے لیے کھیل سے باہر ہو جاتا ہے۔</v>
      </c>
    </row>
    <row r="87">
      <c r="A87" s="4">
        <v>86.0</v>
      </c>
      <c r="B87" s="5" t="s">
        <v>935</v>
      </c>
      <c r="C87" s="5" t="s">
        <v>936</v>
      </c>
      <c r="D87" s="5" t="s">
        <v>937</v>
      </c>
      <c r="E87" s="5" t="s">
        <v>938</v>
      </c>
      <c r="J87" s="6" t="str">
        <f>IFERROR(__xludf.DUMMYFUNCTION("GOOGLETRANSLATE(B87, ""en"", ""ur"")"),"اگر گھوڑے کے پاس اچھی ""گائے کی عقل"" ہے تو اس کا کیا مطلب ہے؟")</f>
        <v>اگر گھوڑے کے پاس اچھی "گائے کی عقل" ہے تو اس کا کیا مطلب ہے؟</v>
      </c>
      <c r="K87" s="6" t="str">
        <f>IFERROR(__xludf.DUMMYFUNCTION("GOOGLETRANSLATE(C87, ""en"", ""ur"")"),"A) یہ گائے سے ڈرتا ہے، B) اس میں لاش اور دوسرے گھوڑوں کی نقل و حرکت کا اندازہ لگانے کی فطری صلاحیت ہے، C) یہ ایک گھوڑا ہے جو مویشیوں کو چرانے کے لیے استعمال کیا جاتا تھا، D) یہ ایک سست لیکن مستحکم گھوڑا ہے۔")</f>
        <v>A) یہ گائے سے ڈرتا ہے، B) اس میں لاش اور دوسرے گھوڑوں کی نقل و حرکت کا اندازہ لگانے کی فطری صلاحیت ہے، C) یہ ایک گھوڑا ہے جو مویشیوں کو چرانے کے لیے استعمال کیا جاتا تھا، D) یہ ایک سست لیکن مستحکم گھوڑا ہے۔</v>
      </c>
      <c r="L87" s="6" t="str">
        <f>IFERROR(__xludf.DUMMYFUNCTION("GOOGLETRANSLATE(D87, ""en"", ""ur"")"),"ج) یہ ایک گھوڑا ہے جو مویشی چرانے کے لیے استعمال ہوتا تھا۔")</f>
        <v>ج) یہ ایک گھوڑا ہے جو مویشی چرانے کے لیے استعمال ہوتا تھا۔</v>
      </c>
      <c r="M87" s="6" t="str">
        <f>IFERROR(__xludf.DUMMYFUNCTION("GOOGLETRANSLATE(E87, ""en"", ""ur"")"),"ایک اچھے گائے پالنے والے گھوڑے کی مہارت — چستی، ذہانت، اور کسی حرکت پذیر چیز کو ٹریک کرنے کی صلاحیت — براہ راست بزکشی کو منتقل کی جا سکتی ہیں۔")</f>
        <v>ایک اچھے گائے پالنے والے گھوڑے کی مہارت — چستی، ذہانت، اور کسی حرکت پذیر چیز کو ٹریک کرنے کی صلاحیت — براہ راست بزکشی کو منتقل کی جا سکتی ہیں۔</v>
      </c>
    </row>
    <row r="88">
      <c r="A88" s="4">
        <v>87.0</v>
      </c>
      <c r="B88" s="5" t="s">
        <v>939</v>
      </c>
      <c r="C88" s="5" t="s">
        <v>940</v>
      </c>
      <c r="D88" s="5" t="s">
        <v>941</v>
      </c>
      <c r="E88" s="5" t="s">
        <v>942</v>
      </c>
      <c r="J88" s="6" t="str">
        <f>IFERROR(__xludf.DUMMYFUNCTION("GOOGLETRANSLATE(B88, ""en"", ""ur"")"),"جان بوجھ کر کسی دوسرے سوار کے گھوڑے کو گرانا کیوں غلط سمجھا جاتا ہے؟")</f>
        <v>جان بوجھ کر کسی دوسرے سوار کے گھوڑے کو گرانا کیوں غلط سمجھا جاتا ہے؟</v>
      </c>
      <c r="K88" s="6" t="str">
        <f>IFERROR(__xludf.DUMMYFUNCTION("GOOGLETRANSLATE(C88, ""en"", ""ur"")"),"A) یہ کوئی فاؤل نہیں ہے، B) یہ ایک انتہائی خطرناک اور غیر کھیلوں جیسا عمل ہے، C) یہ غیر منصفانہ فائدہ دیتا ہے، D) یہ فیلڈ کو نقصان پہنچا سکتا ہے۔")</f>
        <v>A) یہ کوئی فاؤل نہیں ہے، B) یہ ایک انتہائی خطرناک اور غیر کھیلوں جیسا عمل ہے، C) یہ غیر منصفانہ فائدہ دیتا ہے، D) یہ فیلڈ کو نقصان پہنچا سکتا ہے۔</v>
      </c>
      <c r="L88" s="6" t="str">
        <f>IFERROR(__xludf.DUMMYFUNCTION("GOOGLETRANSLATE(D88, ""en"", ""ur"")"),"ب) یہ ایک انتہائی خطرناک اور غیر کھیلوں جیسا عمل ہے۔")</f>
        <v>ب) یہ ایک انتہائی خطرناک اور غیر کھیلوں جیسا عمل ہے۔</v>
      </c>
      <c r="M88" s="6" t="str">
        <f>IFERROR(__xludf.DUMMYFUNCTION("GOOGLETRANSLATE(E88, ""en"", ""ur"")"),"جب کہ تصادم کھیل کا حصہ ہیں، جان بوجھ کر گھوڑے کو ٹرپ کرنا یا گرنے کا سبب بننا ایک بڑی غلطی ہے جس کا مقصد سنگین چوٹ پہنچانا ہے۔")</f>
        <v>جب کہ تصادم کھیل کا حصہ ہیں، جان بوجھ کر گھوڑے کو ٹرپ کرنا یا گرنے کا سبب بننا ایک بڑی غلطی ہے جس کا مقصد سنگین چوٹ پہنچانا ہے۔</v>
      </c>
    </row>
    <row r="89">
      <c r="A89" s="4">
        <v>88.0</v>
      </c>
      <c r="B89" s="5" t="s">
        <v>943</v>
      </c>
      <c r="C89" s="5" t="s">
        <v>944</v>
      </c>
      <c r="D89" s="5" t="s">
        <v>945</v>
      </c>
      <c r="E89" s="5" t="s">
        <v>946</v>
      </c>
      <c r="J89" s="6" t="str">
        <f>IFERROR(__xludf.DUMMYFUNCTION("GOOGLETRANSLATE(B89, ""en"", ""ur"")"),"چیمپیئن بزکشی گھوڑے کی زیادہ قیمت کی بنیادی وجہ کیا ہے؟")</f>
        <v>چیمپیئن بزکشی گھوڑے کی زیادہ قیمت کی بنیادی وجہ کیا ہے؟</v>
      </c>
      <c r="K89" s="6" t="str">
        <f>IFERROR(__xludf.DUMMYFUNCTION("GOOGLETRANSLATE(C89, ""en"", ""ur"")"),"A) اس کی خوبصورتی، B) اس کی نایابیت، C) اس کی طاقت، استقامت، تربیت اور ہمت کا ثابت شدہ امتزاج، D) اس کی عمر")</f>
        <v>A) اس کی خوبصورتی، B) اس کی نایابیت، C) اس کی طاقت، استقامت، تربیت اور ہمت کا ثابت شدہ امتزاج، D) اس کی عمر</v>
      </c>
      <c r="L89" s="6" t="str">
        <f>IFERROR(__xludf.DUMMYFUNCTION("GOOGLETRANSLATE(D89, ""en"", ""ur"")"),"ج) اس میں طاقت، استقامت، تربیت اور ہمت کا ثابت شدہ امتزاج")</f>
        <v>ج) اس میں طاقت، استقامت، تربیت اور ہمت کا ثابت شدہ امتزاج</v>
      </c>
      <c r="M89" s="6" t="str">
        <f>IFERROR(__xludf.DUMMYFUNCTION("GOOGLETRANSLATE(E89, ""en"", ""ur"")"),"چیمپیئن گھوڑا ایک عالمی سطح کا ایتھلیٹ ہے جو وقت اور وسائل کی بڑی سرمایہ کاری کی نمائندگی کرتا ہے، اسے انتہائی قیمتی بناتا ہے۔")</f>
        <v>چیمپیئن گھوڑا ایک عالمی سطح کا ایتھلیٹ ہے جو وقت اور وسائل کی بڑی سرمایہ کاری کی نمائندگی کرتا ہے، اسے انتہائی قیمتی بناتا ہے۔</v>
      </c>
    </row>
    <row r="90">
      <c r="A90" s="4">
        <v>89.0</v>
      </c>
      <c r="B90" s="5" t="s">
        <v>947</v>
      </c>
      <c r="C90" s="5" t="s">
        <v>948</v>
      </c>
      <c r="D90" s="5" t="s">
        <v>949</v>
      </c>
      <c r="E90" s="5" t="s">
        <v>950</v>
      </c>
      <c r="J90" s="6" t="str">
        <f>IFERROR(__xludf.DUMMYFUNCTION("GOOGLETRANSLATE(B90, ""en"", ""ur"")"),"کھیل کے دوران سوار کا کوڑا ٹوٹ جاتا ہے۔ وہ کیا کر سکتے ہیں؟")</f>
        <v>کھیل کے دوران سوار کا کوڑا ٹوٹ جاتا ہے۔ وہ کیا کر سکتے ہیں؟</v>
      </c>
      <c r="K90" s="6" t="str">
        <f>IFERROR(__xludf.DUMMYFUNCTION("GOOGLETRANSLATE(C90, ""en"", ""ur"")"),"A) ان کا متبادل ہونا ضروری ہے، B) انہیں بغیر چابک کے جاری رہنا چاہیے، C) ٹیم کا ساتھی انہیں اضافی وہپ دے سکتا ہے، D) وہ نااہل قرار دیے گئے ہیں۔")</f>
        <v>A) ان کا متبادل ہونا ضروری ہے، B) انہیں بغیر چابک کے جاری رہنا چاہیے، C) ٹیم کا ساتھی انہیں اضافی وہپ دے سکتا ہے، D) وہ نااہل قرار دیے گئے ہیں۔</v>
      </c>
      <c r="L90" s="6" t="str">
        <f>IFERROR(__xludf.DUMMYFUNCTION("GOOGLETRANSLATE(D90, ""en"", ""ur"")"),"ب) انہیں بغیر کوڑے کے جاری رکھنا چاہیے۔")</f>
        <v>ب) انہیں بغیر کوڑے کے جاری رکھنا چاہیے۔</v>
      </c>
      <c r="M90" s="6" t="str">
        <f>IFERROR(__xludf.DUMMYFUNCTION("GOOGLETRANSLATE(E90, ""en"", ""ur"")"),"ایک سوار بغیر کوڑے کے چل سکتا ہے۔ اس قسم کے سازوسامان کی خرابی کے لئے کھیل کا کوئی روک نہیں ہے۔")</f>
        <v>ایک سوار بغیر کوڑے کے چل سکتا ہے۔ اس قسم کے سازوسامان کی خرابی کے لئے کھیل کا کوئی روک نہیں ہے۔</v>
      </c>
    </row>
    <row r="91">
      <c r="A91" s="4">
        <v>90.0</v>
      </c>
      <c r="B91" s="5" t="s">
        <v>951</v>
      </c>
      <c r="C91" s="5" t="s">
        <v>952</v>
      </c>
      <c r="D91" s="5" t="s">
        <v>953</v>
      </c>
      <c r="E91" s="5" t="s">
        <v>954</v>
      </c>
      <c r="J91" s="6" t="str">
        <f>IFERROR(__xludf.DUMMYFUNCTION("GOOGLETRANSLATE(B91, ""en"", ""ur"")"),"دائرہ انصاف (دعدالت دائرہ) کا علامتی معنی کیا ہے؟")</f>
        <v>دائرہ انصاف (دعدالت دائرہ) کا علامتی معنی کیا ہے؟</v>
      </c>
      <c r="K91" s="6" t="str">
        <f>IFERROR(__xludf.DUMMYFUNCTION("GOOGLETRANSLATE(C91, ""en"", ""ur"")"),"A)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f>
        <v>A) یہ زندگی کے دائرے کی نمائندگی کرتا ہے، B) یہ ایک غیر جانبدار زمین ہے جہاں ایک مناسب سکور بنایا جا سکتا ہے، C) یہ سورج کی نمائندگی کرتا ہے، D) اس کا کوئی علامتی معنی نہیں ہے</v>
      </c>
      <c r="L91" s="6" t="str">
        <f>IFERROR(__xludf.DUMMYFUNCTION("GOOGLETRANSLATE(D91, ""en"", ""ur"")"),"ب) یہ ایک غیر جانبدار میدان ہے جہاں ایک منصفانہ اسکور بنایا جا سکتا ہے۔")</f>
        <v>ب) یہ ایک غیر جانبدار میدان ہے جہاں ایک منصفانہ اسکور بنایا جا سکتا ہے۔</v>
      </c>
      <c r="M91" s="6" t="str">
        <f>IFERROR(__xludf.DUMMYFUNCTION("GOOGLETRANSLATE(E91, ""en"", ""ur"")"),"اس نام سے ظاہر ہوتا ہے کہ دائرہ انصاف اور سچائی کی جگہ ہے، جہاں سوار کی کامیاب کوشش کو سرکاری اور منصفانہ طور پر تسلیم کیا جاتا ہے۔")</f>
        <v>اس نام سے ظاہر ہوتا ہے کہ دائرہ انصاف اور سچائی کی جگہ ہے، جہاں سوار کی کامیاب کوشش کو سرکاری اور منصفانہ طور پر تسلیم کیا جاتا ہے۔</v>
      </c>
    </row>
    <row r="92">
      <c r="A92" s="4">
        <v>91.0</v>
      </c>
      <c r="B92" s="5" t="s">
        <v>955</v>
      </c>
      <c r="C92" s="5" t="s">
        <v>956</v>
      </c>
      <c r="D92" s="5" t="s">
        <v>957</v>
      </c>
      <c r="E92" s="5" t="s">
        <v>958</v>
      </c>
      <c r="J92" s="6" t="str">
        <f>IFERROR(__xludf.DUMMYFUNCTION("GOOGLETRANSLATE(B92, ""en"", ""ur"")"),"اگر کوئی سوار لاش کو پکڑ لے لیکن فوراً دو مخالفوں کی طرف سے اسے حد سے باہر کر دیا جائے تو اس کا کیا حکم ہے؟")</f>
        <v>اگر کوئی سوار لاش کو پکڑ لے لیکن فوراً دو مخالفوں کی طرف سے اسے حد سے باہر کر دیا جائے تو اس کا کیا حکم ہے؟</v>
      </c>
      <c r="K92" s="6" t="str">
        <f>IFERROR(__xludf.DUMMYFUNCTION("GOOGLETRANSLATE(C92, ""en"", ""ur"")"),"A) مخالفین پر ڈبل ٹیمنگ کے لئے ایک فاؤل، B) سوار جس کو زبردستی باہر کیا گیا تھا وہ قبضہ کھو دیتا ہے، اور لاش کو دوبارہ ترتیب دیا جاتا ہے، C) سوار کو قبضہ رکھنا پڑتا ہے، D) دونوں مخالفین کو سزا دی جاتی ہے")</f>
        <v>A) مخالفین پر ڈبل ٹیمنگ کے لئے ایک فاؤل، B) سوار جس کو زبردستی باہر کیا گیا تھا وہ قبضہ کھو دیتا ہے، اور لاش کو دوبارہ ترتیب دیا جاتا ہے، C) سوار کو قبضہ رکھنا پڑتا ہے، D) دونوں مخالفین کو سزا دی جاتی ہے</v>
      </c>
      <c r="L92" s="6" t="str">
        <f>IFERROR(__xludf.DUMMYFUNCTION("GOOGLETRANSLATE(D92, ""en"", ""ur"")"),"ب) سوار جس کو زبردستی نکالا گیا تھا اس کا قبضہ ختم ہو جاتا ہے، اور لاش کو دوبارہ ترتیب دیا جاتا ہے۔")</f>
        <v>ب) سوار جس کو زبردستی نکالا گیا تھا اس کا قبضہ ختم ہو جاتا ہے، اور لاش کو دوبارہ ترتیب دیا جاتا ہے۔</v>
      </c>
      <c r="M92" s="6" t="str">
        <f>IFERROR(__xludf.DUMMYFUNCTION("GOOGLETRANSLATE(E92, ""en"", ""ur"")"),"حد سے باہر دھکیلنے سے، یہاں تک کہ مخالفین کی طرف سے، اس کے نتیجے میں قبضہ ختم ہو جاتا ہے اور کھیل کو دوبارہ ترتیب دیا جاتا ہے۔")</f>
        <v>حد سے باہر دھکیلنے سے، یہاں تک کہ مخالفین کی طرف سے، اس کے نتیجے میں قبضہ ختم ہو جاتا ہے اور کھیل کو دوبارہ ترتیب دیا جاتا ہے۔</v>
      </c>
    </row>
    <row r="93">
      <c r="A93" s="4">
        <v>92.0</v>
      </c>
      <c r="B93" s="5" t="s">
        <v>959</v>
      </c>
      <c r="C93" s="5" t="s">
        <v>960</v>
      </c>
      <c r="D93" s="5" t="s">
        <v>961</v>
      </c>
      <c r="E93" s="5" t="s">
        <v>962</v>
      </c>
      <c r="J93" s="6" t="str">
        <f>IFERROR(__xludf.DUMMYFUNCTION("GOOGLETRANSLATE(B93, ""en"", ""ur"")"),"گھوڑے کی درد کو برداشت کرنے کی صلاحیت کیوں ایک اہم وصف ہے؟")</f>
        <v>گھوڑے کی درد کو برداشت کرنے کی صلاحیت کیوں ایک اہم وصف ہے؟</v>
      </c>
      <c r="K93" s="6" t="str">
        <f>IFERROR(__xludf.DUMMYFUNCTION("GOOGLETRANSLATE(C93, ""en"", ""ur"")"),"A) ایسا نہیں ہے، B) کھیل میں مسلسل، دردناک تصادم اور کوڑے مارے جاتے ہیں، C) یہ سوار کو سخت ہونے دیتا ہے، D) یہ ایک سستے گھوڑے کی علامت ہے۔")</f>
        <v>A) ایسا نہیں ہے، B) کھیل میں مسلسل، دردناک تصادم اور کوڑے مارے جاتے ہیں، C) یہ سوار کو سخت ہونے دیتا ہے، D) یہ ایک سستے گھوڑے کی علامت ہے۔</v>
      </c>
      <c r="L93" s="6" t="str">
        <f>IFERROR(__xludf.DUMMYFUNCTION("GOOGLETRANSLATE(D93, ""en"", ""ur"")"),"ب) گیم میں مسلسل، تکلیف دہ تصادم اور کوڑے مارے جاتے ہیں۔")</f>
        <v>ب) گیم میں مسلسل، تکلیف دہ تصادم اور کوڑے مارے جاتے ہیں۔</v>
      </c>
      <c r="M93" s="6" t="str">
        <f>IFERROR(__xludf.DUMMYFUNCTION("GOOGLETRANSLATE(E93, ""en"", ""ur"")"),"بزکشی ایک ظالمانہ کھیل ہے۔ ایک گھوڑے میں درد اور تھکن سے کھیلنے کے لیے ہمت اور لچک ہونی چاہیے۔")</f>
        <v>بزکشی ایک ظالمانہ کھیل ہے۔ ایک گھوڑے میں درد اور تھکن سے کھیلنے کے لیے ہمت اور لچک ہونی چاہیے۔</v>
      </c>
    </row>
    <row r="94">
      <c r="A94" s="4">
        <v>93.0</v>
      </c>
      <c r="B94" s="5" t="s">
        <v>963</v>
      </c>
      <c r="C94" s="5" t="s">
        <v>964</v>
      </c>
      <c r="D94" s="5" t="s">
        <v>965</v>
      </c>
      <c r="E94" s="5" t="s">
        <v>966</v>
      </c>
      <c r="J94" s="6" t="str">
        <f>IFERROR(__xludf.DUMMYFUNCTION("GOOGLETRANSLATE(B94, ""en"", ""ur"")"),"ٹورنامنٹ کے لیے ""آفیشل"" لاش کا انتخاب کیسے کیا جاتا ہے؟")</f>
        <v>ٹورنامنٹ کے لیے "آفیشل" لاش کا انتخاب کیسے کیا جاتا ہے؟</v>
      </c>
      <c r="K94" s="6" t="str">
        <f>IFERROR(__xludf.DUMMYFUNCTION("GOOGLETRANSLATE(C94, ""en"", ""ur"")"),"A)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f>
        <v>A) اسے بے ترتیب طور پر منتخب کیا جاتا ہے، B) کفیل خان اسے اپنے ریوڑ سے فراہم کرتا ہے، C) یہ ایک خاص عمر اور وزن کا بکرا یا بچھڑا ہونا چاہیے، جسے حکام نے منظور کیا ہے، D) ٹیمیں اس پر ووٹ دیتی ہیں۔</v>
      </c>
      <c r="L94" s="6" t="str">
        <f>IFERROR(__xludf.DUMMYFUNCTION("GOOGLETRANSLATE(D94, ""en"", ""ur"")"),"ج) یہ ایک خاص عمر اور وزن کا بکرا یا بچھڑا ہونا چاہیے، جسے حکام نے منظور کیا ہو۔")</f>
        <v>ج) یہ ایک خاص عمر اور وزن کا بکرا یا بچھڑا ہونا چاہیے، جسے حکام نے منظور کیا ہو۔</v>
      </c>
      <c r="M94" s="6" t="str">
        <f>IFERROR(__xludf.DUMMYFUNCTION("GOOGLETRANSLATE(E94, ""en"", ""ur"")"),"انصاف کو یقینی بنانے کے لیے، لاش کو میچ سے پہلے سائز اور وزن کے لیے معیاری معیار پر پورا اترنا چاہیے۔")</f>
        <v>انصاف کو یقینی بنانے کے لیے، لاش کو میچ سے پہلے سائز اور وزن کے لیے معیاری معیار پر پورا اترنا چاہیے۔</v>
      </c>
    </row>
    <row r="95">
      <c r="A95" s="4">
        <v>94.0</v>
      </c>
      <c r="B95" s="5" t="s">
        <v>967</v>
      </c>
      <c r="C95" s="5" t="s">
        <v>968</v>
      </c>
      <c r="D95" s="5" t="s">
        <v>969</v>
      </c>
      <c r="E95" s="5" t="s">
        <v>970</v>
      </c>
      <c r="J95" s="6" t="str">
        <f>IFERROR(__xludf.DUMMYFUNCTION("GOOGLETRANSLATE(B95, ""en"", ""ur"")"),"""ٹھنڈے خون والے"" گھوڑے کی بنیادی خصوصیت کیا ہے، اور یہ بزکشی کے لیے کیوں نا مناسب ہے؟")</f>
        <v>"ٹھنڈے خون والے" گھوڑے کی بنیادی خصوصیت کیا ہے، اور یہ بزکشی کے لیے کیوں نا مناسب ہے؟</v>
      </c>
      <c r="K95" s="6" t="str">
        <f>IFERROR(__xludf.DUMMYFUNCTION("GOOGLETRANSLATE(C95, ""en"", ""ur"")"),"ا)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f>
        <v>ا) وہ جارحانہ ہیں؛ وہ بہت خطرناک ہیں، ب) وہ پرسکون اور سست ہیں؛ ان میں ضروری رفتار اور آگ کی کمی ہے، C) وہ چھوٹے ہیں؛ وہ کافی مضبوط نہیں ہیں، D) وہ نایاب ہیں؛ وہ بہت مہنگے ہیں</v>
      </c>
      <c r="L95" s="6" t="str">
        <f>IFERROR(__xludf.DUMMYFUNCTION("GOOGLETRANSLATE(D95, ""en"", ""ur"")"),"ب) وہ پرسکون اور سست ہیں؛ ان میں ضروری رفتار اور آگ کی کمی ہے۔")</f>
        <v>ب) وہ پرسکون اور سست ہیں؛ ان میں ضروری رفتار اور آگ کی کمی ہے۔</v>
      </c>
      <c r="M95" s="6" t="str">
        <f>IFERROR(__xludf.DUMMYFUNCTION("GOOGLETRANSLATE(E95, ""en"", ""ur"")"),"بزکاشی کو ""گرم خون والے"" گھوڑوں کی ضرورت ہوتی ہے جو اپنی توانائی، رفتار اور مسابقتی جذبے کے لیے مشہور ہیں۔ ایک پرسکون ڈرافٹ گھوڑا مکمل طور پر غیر موزوں ہوگا۔")</f>
        <v>بزکاشی کو "گرم خون والے" گھوڑوں کی ضرورت ہوتی ہے جو اپنی توانائی، رفتار اور مسابقتی جذبے کے لیے مشہور ہیں۔ ایک پرسکون ڈرافٹ گھوڑا مکمل طور پر غیر موزوں ہوگا۔</v>
      </c>
    </row>
    <row r="96">
      <c r="A96" s="4">
        <v>95.0</v>
      </c>
      <c r="B96" s="5" t="s">
        <v>971</v>
      </c>
      <c r="C96" s="5" t="s">
        <v>972</v>
      </c>
      <c r="D96" s="5" t="s">
        <v>973</v>
      </c>
      <c r="E96" s="5" t="s">
        <v>974</v>
      </c>
      <c r="J96" s="6" t="str">
        <f>IFERROR(__xludf.DUMMYFUNCTION("GOOGLETRANSLATE(B96, ""en"", ""ur"")"),"ایک سوار پر دوسرے گھوڑوں کو چوٹ پہنچانے کے لیے چھپے ہوئے تیز نقطہ کے ساتھ زین کا استعمال کرنے کا الزام ہے۔ اگر سچ ہے تو سزا کیا ہے؟")</f>
        <v>ایک سوار پر دوسرے گھوڑوں کو چوٹ پہنچانے کے لیے چھپے ہوئے تیز نقطہ کے ساتھ زین کا استعمال کرنے کا الزام ہے۔ اگر سچ ہے تو سزا کیا ہے؟</v>
      </c>
      <c r="K96" s="6" t="str">
        <f>IFERROR(__xludf.DUMMYFUNCTION("GOOGLETRANSLATE(C96, ""en"", ""ur"")"),"A) ایک انتباہ، B) ایک پوائنٹ کی کٹوتی، C) فوری طور پر نااہلی اور کھیل سے ممکنہ پابندی، D) جرمانہ")</f>
        <v>A) ایک انتباہ، B) ایک پوائنٹ کی کٹوتی، C) فوری طور پر نااہلی اور کھیل سے ممکنہ پابندی، D) جرمانہ</v>
      </c>
      <c r="L96" s="6" t="str">
        <f>IFERROR(__xludf.DUMMYFUNCTION("GOOGLETRANSLATE(D96, ""en"", ""ur"")"),"C) فوری طور پر نااہلی اور کھیل سے ممکنہ پابندی")</f>
        <v>C) فوری طور پر نااہلی اور کھیل سے ممکنہ پابندی</v>
      </c>
      <c r="M96" s="6" t="str">
        <f>IFERROR(__xludf.DUMMYFUNCTION("GOOGLETRANSLATE(E96, ""en"", ""ur"")"),"یہ دھوکہ دہی کی ایک شدید شکل ہے جسے جان بوجھ کر دوسرے جانوروں کو زخمی کرنے کے لیے ڈیزائن کیا گیا ہے اور اسے سخت ترین ممکنہ سزا دی جائے گی۔")</f>
        <v>یہ دھوکہ دہی کی ایک شدید شکل ہے جسے جان بوجھ کر دوسرے جانوروں کو زخمی کرنے کے لیے ڈیزائن کیا گیا ہے اور اسے سخت ترین ممکنہ سزا دی جائے گی۔</v>
      </c>
    </row>
    <row r="97">
      <c r="A97" s="4">
        <v>96.0</v>
      </c>
      <c r="B97" s="5" t="s">
        <v>975</v>
      </c>
      <c r="C97" s="5" t="s">
        <v>976</v>
      </c>
      <c r="D97" s="5" t="s">
        <v>977</v>
      </c>
      <c r="E97" s="5" t="s">
        <v>978</v>
      </c>
      <c r="J97" s="6" t="str">
        <f>IFERROR(__xludf.DUMMYFUNCTION("GOOGLETRANSLATE(B97, ""en"", ""ur"")"),"افراتفری والے اسکرم میں سوار کے لئے سب سے اہم مہارت کیا ہے؟")</f>
        <v>افراتفری والے اسکرم میں سوار کے لئے سب سے اہم مہارت کیا ہے؟</v>
      </c>
      <c r="K97" s="6" t="str">
        <f>IFERROR(__xludf.DUMMYFUNCTION("GOOGLETRANSLATE(C97, ""en"", ""ur"")"),"A)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f>
        <v>A) جتنی جلدی ممکن ہو سواری کرنے کی صلاحیت، B) بہت زیادہ دباؤ کے دوران گھوڑے پر کھڑے رہنے اور پوزیشن برقرار رکھنے کی صلاحیت، C) چابک کو مؤثر طریقے سے استعمال کرنے کی صلاحیت، D) ساتھیوں کے ساتھ بات چیت کرنے کی صلاحیت</v>
      </c>
      <c r="L97" s="6" t="str">
        <f>IFERROR(__xludf.DUMMYFUNCTION("GOOGLETRANSLATE(D97, ""en"", ""ur"")"),"ب) بہت زیادہ دباؤ کے دوران گھوڑے پر رہنے اور پوزیشن برقرار رکھنے کی صلاحیت")</f>
        <v>ب) بہت زیادہ دباؤ کے دوران گھوڑے پر رہنے اور پوزیشن برقرار رکھنے کی صلاحیت</v>
      </c>
      <c r="M97" s="6" t="str">
        <f>IFERROR(__xludf.DUMMYFUNCTION("GOOGLETRANSLATE(E97, ""en"", ""ur"")"),"اس سے پہلے کہ کوئی سوار لاش کے بارے میں سوچ سکے، انہیں اسکرم کے پرتشدد افراتفری سے بچنے کی بنیادی مہارت حاصل کرنی چاہیے۔")</f>
        <v>اس سے پہلے کہ کوئی سوار لاش کے بارے میں سوچ سکے، انہیں اسکرم کے پرتشدد افراتفری سے بچنے کی بنیادی مہارت حاصل کرنی چاہیے۔</v>
      </c>
    </row>
    <row r="98">
      <c r="A98" s="4">
        <v>97.0</v>
      </c>
      <c r="B98" s="5" t="s">
        <v>979</v>
      </c>
      <c r="C98" s="5" t="s">
        <v>980</v>
      </c>
      <c r="D98" s="5" t="s">
        <v>981</v>
      </c>
      <c r="E98" s="5" t="s">
        <v>982</v>
      </c>
      <c r="J98" s="6" t="str">
        <f>IFERROR(__xludf.DUMMYFUNCTION("GOOGLETRANSLATE(B98, ""en"", ""ur"")"),"ایک ٹیم میں ""سویپر"" گھوڑے کا کیا کردار ہے؟")</f>
        <v>ایک ٹیم میں "سویپر" گھوڑے کا کیا کردار ہے؟</v>
      </c>
      <c r="K98" s="6" t="str">
        <f>IFERROR(__xludf.DUMMYFUNCTION("GOOGLETRANSLATE(C98, ""en"", ""ur"")"),"A)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f>
        <v>A) ایک گھوڑا جو میدان کو صاف کرنے کے لئے تربیت یافتہ ہے، B) ایک گھوڑا جو آزاد ہونے والے مخالفین کا پیچھا کرنے میں اچھا ہے، C) ایک گھوڑا جو دفاع میں اچھا ہے، D) ایک گھوڑا جو صرف رسمی مقاصد کے لئے استعمال کیا جاتا ہے</v>
      </c>
      <c r="L98" s="6" t="str">
        <f>IFERROR(__xludf.DUMMYFUNCTION("GOOGLETRANSLATE(D98, ""en"", ""ur"")"),"ب) ایک گھوڑا جو آزاد ہونے والے مخالفین کا پیچھا کرنے میں اچھا ہے۔")</f>
        <v>ب) ایک گھوڑا جو آزاد ہونے والے مخالفین کا پیچھا کرنے میں اچھا ہے۔</v>
      </c>
      <c r="M98" s="6" t="str">
        <f>IFERROR(__xludf.DUMMYFUNCTION("GOOGLETRANSLATE(E98, ""en"", ""ur"")"),"کچھ گھوڑے سیدھی لکیر میں غیر معمولی طور پر تیز ہوتے ہیں اور ٹیموں کے ذریعہ ان کا استعمال کسی بری اسکورر کا پیچھا کرنے اور اسے چلانے کے لیے کیا جاتا ہے۔")</f>
        <v>کچھ گھوڑے سیدھی لکیر میں غیر معمولی طور پر تیز ہوتے ہیں اور ٹیموں کے ذریعہ ان کا استعمال کسی بری اسکورر کا پیچھا کرنے اور اسے چلانے کے لیے کیا جاتا ہے۔</v>
      </c>
    </row>
    <row r="99">
      <c r="A99" s="4">
        <v>98.0</v>
      </c>
      <c r="B99" s="5" t="s">
        <v>983</v>
      </c>
      <c r="C99" s="5" t="s">
        <v>984</v>
      </c>
      <c r="D99" s="5" t="s">
        <v>985</v>
      </c>
      <c r="E99" s="5" t="s">
        <v>986</v>
      </c>
      <c r="J99" s="6" t="str">
        <f>IFERROR(__xludf.DUMMYFUNCTION("GOOGLETRANSLATE(B99, ""en"", ""ur"")"),"ایک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f>
        <v>ایک سوار لاش کو اپنی ٹانگ کے نیچے پکڑے ہوئے ہے۔ ایک مخالف سوار ہوتا ہے اور اسے آزاد کرنے کی کوشش کرتا ہے۔ کیا پہلے سوار کے لیے یہ قانونی ہے کہ وہ اپنی ٹانگ کو نیچے رکھنے کے لیے سختی سے پکڑے؟</v>
      </c>
      <c r="K99" s="6" t="str">
        <f>IFERROR(__xludf.DUMMYFUNCTION("GOOGLETRANSLATE(C99, ""en"", ""ur"")"),"A)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f>
        <v>A) نہیں، انہیں اپنے ہاتھوں کا استعمال کرنا چاہیے، B) ہاں، لاش کو پکڑنے اور محفوظ کرنے کے لیے ٹانگوں کا استعمال ایک اہم ہنر ہے، C) یہ پکڑنے کے لیے غلط ہے، D) صرف اس صورت میں جب مخالف راضی ہو۔</v>
      </c>
      <c r="L99" s="6" t="str">
        <f>IFERROR(__xludf.DUMMYFUNCTION("GOOGLETRANSLATE(D99, ""en"", ""ur"")"),"ب) جی ہاں، لاش کو پکڑنے اور محفوظ کرنے کے لیے ٹانگوں کا استعمال ایک اہم ہنر ہے۔")</f>
        <v>ب) جی ہاں، لاش کو پکڑنے اور محفوظ کرنے کے لیے ٹانگوں کا استعمال ایک اہم ہنر ہے۔</v>
      </c>
      <c r="M99" s="6" t="str">
        <f>IFERROR(__xludf.DUMMYFUNCTION("GOOGLETRANSLATE(E99, ""en"", ""ur"")"),"چپنڈاز کی ٹانگوں کی طاقتور گرفت بھاری لاش کو اپنے قبضے میں رکھنے کا بنیادی ذریعہ ہے۔")</f>
        <v>چپنڈاز کی ٹانگوں کی طاقتور گرفت بھاری لاش کو اپنے قبضے میں رکھنے کا بنیادی ذریعہ ہے۔</v>
      </c>
    </row>
    <row r="100">
      <c r="A100" s="4">
        <v>99.0</v>
      </c>
      <c r="B100" s="5" t="s">
        <v>987</v>
      </c>
      <c r="C100" s="5" t="s">
        <v>988</v>
      </c>
      <c r="D100" s="5" t="s">
        <v>989</v>
      </c>
      <c r="E100" s="5" t="s">
        <v>990</v>
      </c>
      <c r="J100" s="6" t="str">
        <f>IFERROR(__xludf.DUMMYFUNCTION("GOOGLETRANSLATE(B100, ""en"", ""ur"")"),"ایک ٹورنامنٹ میں، انصاف کے دائرے کا مخصوص رنگ کیا ہے؟")</f>
        <v>ایک ٹورنامنٹ میں، انصاف کے دائرے کا مخصوص رنگ کیا ہے؟</v>
      </c>
      <c r="K100" s="6" t="str">
        <f>IFERROR(__xludf.DUMMYFUNCTION("GOOGLETRANSLATE(C100, ""en"", ""ur"")"),"A) یہ غیر نشان زدہ ہے، B) یہ روشن سفید چاک سے نشان زد ہے، C) یہ سرخ رسی سے نشان زد ہے، D) یہ مستقل طور پر پینٹ شدہ دائرہ ہے۔")</f>
        <v>A) یہ غیر نشان زدہ ہے، B) یہ روشن سفید چاک سے نشان زد ہے، C) یہ سرخ رسی سے نشان زد ہے، D) یہ مستقل طور پر پینٹ شدہ دائرہ ہے۔</v>
      </c>
      <c r="L100" s="6" t="str">
        <f>IFERROR(__xludf.DUMMYFUNCTION("GOOGLETRANSLATE(D100, ""en"", ""ur"")"),"ب) یہ روشن سفید چاک سے نشان زد ہے۔")</f>
        <v>ب) یہ روشن سفید چاک سے نشان زد ہے۔</v>
      </c>
      <c r="M100" s="6" t="str">
        <f>IFERROR(__xludf.DUMMYFUNCTION("GOOGLETRANSLATE(E100, ""en"", ""ur"")"),"سواروں اور ریفریوں کے لیے واضح مرئیت کو یقینی بنانے کے لیے، گول کرنے والے دائرے کو عام طور پر موٹے سفید چاک یا چونے سے کھینچا جاتا ہے۔")</f>
        <v>سواروں اور ریفریوں کے لیے واضح مرئیت کو یقینی بنانے کے لیے، گول کرنے والے دائرے کو عام طور پر موٹے سفید چاک یا چونے سے کھینچا جاتا ہے۔</v>
      </c>
    </row>
    <row r="101">
      <c r="A101" s="4">
        <v>100.0</v>
      </c>
      <c r="B101" s="5" t="s">
        <v>991</v>
      </c>
      <c r="C101" s="5" t="s">
        <v>992</v>
      </c>
      <c r="D101" s="5" t="s">
        <v>993</v>
      </c>
      <c r="E101" s="5" t="s">
        <v>994</v>
      </c>
      <c r="J101" s="6" t="str">
        <f>IFERROR(__xludf.DUMMYFUNCTION("GOOGLETRANSLATE(B101, ""en"", ""ur"")"),"ایک ماہر چپنداز کی حتمی نشانی کیا ہے؟")</f>
        <v>ایک ماہر چپنداز کی حتمی نشانی کیا ہے؟</v>
      </c>
      <c r="K101" s="6" t="str">
        <f>IFERROR(__xludf.DUMMYFUNCTION("GOOGLETRANSLATE(C101, ""en"", ""ur"")"),"A)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f>
        <v>A) ان کے پاس سب سے مہنگا گھوڑا ہے، B) وہ بغیر کسی کوشش کے بظاہر ایک پوائنٹ اسکور کر سکتے ہیں، جس سے افراتفری کا کھیل آسان نظر آتا ہے، C) وہ ہر میچ جیت جاتے ہیں، D) وہ سب سے زیادہ جارحانہ سوار ہیں</v>
      </c>
      <c r="L101" s="6" t="str">
        <f>IFERROR(__xludf.DUMMYFUNCTION("GOOGLETRANSLATE(D101, ""en"", ""ur"")"),"ب) وہ بغیر کوشش کے بظاہر ایک پوائنٹ اسکور کر سکتے ہیں، جس سے افراتفری کا کھیل آسان نظر آتا ہے۔")</f>
        <v>ب) وہ بغیر کوشش کے بظاہر ایک پوائنٹ اسکور کر سکتے ہیں، جس سے افراتفری کا کھیل آسان نظر آتا ہے۔</v>
      </c>
      <c r="M101" s="6" t="str">
        <f>IFERROR(__xludf.DUMMYFUNCTION("GOOGLETRANSLATE(E101, ""en"", ""ur"")"),"حقیقی مہارت کو ایک آسان فضل اور ذہانت کے ذریعے دکھایا گیا ہے جو ناقابل یقین حد تک مشکل کھیل کو سیال اور سادہ نظر آتا ہے۔")</f>
        <v>حقیقی مہارت کو ایک آسان فضل اور ذہانت کے ذریعے دکھایا گیا ہے جو ناقابل یقین حد تک مشکل کھیل کو سیال اور سادہ نظر آتا ہے۔</v>
      </c>
    </row>
    <row r="102">
      <c r="A102" s="4">
        <v>101.0</v>
      </c>
      <c r="B102" s="5" t="s">
        <v>995</v>
      </c>
      <c r="C102" s="5" t="s">
        <v>996</v>
      </c>
      <c r="D102" s="5" t="s">
        <v>997</v>
      </c>
      <c r="E102" s="5" t="s">
        <v>998</v>
      </c>
      <c r="J102" s="6" t="str">
        <f>IFERROR(__xludf.DUMMYFUNCTION("GOOGLETRANSLATE(B102, ""en"", ""ur"")"),"غلط نسل کا گھوڑا رکھنے پر سوار کو نااہل قرار دیا جاتا ہے۔ پاکستان میں روایتی میچ کے لیے سب سے زیادہ مطلوبہ نسل کون سی ہے؟")</f>
        <v>غلط نسل کا گھوڑا رکھنے پر سوار کو نااہل قرار دیا جاتا ہے۔ پاکستان میں روایتی میچ کے لیے سب سے زیادہ مطلوبہ نسل کون سی ہے؟</v>
      </c>
      <c r="K102" s="6" t="str">
        <f>IFERROR(__xludf.DUMMYFUNCTION("GOOGLETRANSLATE(C102, ""en"", ""ur"")"),"A) عربی، B) مکمل نسل، C) ایک مقامی نسل جو وزیری یا بلوچی جیسی سختی کے لیے جانی جاتی ہے، D) شائر")</f>
        <v>A) عربی، B) مکمل نسل، C) ایک مقامی نسل جو وزیری یا بلوچی جیسی سختی کے لیے جانی جاتی ہے، D) شائر</v>
      </c>
      <c r="L102" s="6" t="str">
        <f>IFERROR(__xludf.DUMMYFUNCTION("GOOGLETRANSLATE(D102, ""en"", ""ur"")"),"ج) ایک مقامی نسل جو جفاکشی کے لیے مشہور ہے جیسے وزیری یا بلوچی۔")</f>
        <v>ج) ایک مقامی نسل جو جفاکشی کے لیے مشہور ہے جیسے وزیری یا بلوچی۔</v>
      </c>
      <c r="M102" s="6" t="str">
        <f>IFERROR(__xludf.DUMMYFUNCTION("GOOGLETRANSLATE(E102, ""en"", ""ur"")"),"روایتی کھیل اکثر مقامی نسلوں کو زیادہ اہمیت دیتے ہیں جو خاص طور پر خطے کی آب و ہوا اور کھیل کے تقاضوں کے مطابق ہوتی ہیں۔")</f>
        <v>روایتی کھیل اکثر مقامی نسلوں کو زیادہ اہمیت دیتے ہیں جو خاص طور پر خطے کی آب و ہوا اور کھیل کے تقاضوں کے مطابق ہوتی ہیں۔</v>
      </c>
    </row>
    <row r="103">
      <c r="A103" s="4">
        <v>102.0</v>
      </c>
      <c r="B103" s="5" t="s">
        <v>999</v>
      </c>
      <c r="C103" s="5" t="s">
        <v>1000</v>
      </c>
      <c r="D103" s="5" t="s">
        <v>1001</v>
      </c>
      <c r="E103" s="5" t="s">
        <v>1002</v>
      </c>
      <c r="J103" s="6" t="str">
        <f>IFERROR(__xludf.DUMMYFUNCTION("GOOGLETRANSLATE(B103, ""en"", ""ur"")"),"اونچی پشت والی کاٹھی، یا کینٹل کا بنیادی مقصد کیا ہے؟")</f>
        <v>اونچی پشت والی کاٹھی، یا کینٹل کا بنیادی مقصد کیا ہے؟</v>
      </c>
      <c r="K103" s="6" t="str">
        <f>IFERROR(__xludf.DUMMYFUNCTION("GOOGLETRANSLATE(C103, ""en"", ""ur"")"),"A) سجاوٹ کے لیے جگہ فراہم کرنے کے لیے، B) بھاری لاش کو کھینچتے وقت سوار کو پیچھے کی طرف پھسلنے سے روکنے کے لیے، C) سوار کو لمبا بیٹھنے کے لیے، D) یہ خالصتاً کاسمیٹک ہے۔")</f>
        <v>A) سجاوٹ کے لیے جگہ فراہم کرنے کے لیے، B) بھاری لاش کو کھینچتے وقت سوار کو پیچھے کی طرف پھسلنے سے روکنے کے لیے، C) سوار کو لمبا بیٹھنے کے لیے، D) یہ خالصتاً کاسمیٹک ہے۔</v>
      </c>
      <c r="L103" s="6" t="str">
        <f>IFERROR(__xludf.DUMMYFUNCTION("GOOGLETRANSLATE(D103, ""en"", ""ur"")"),"ب) بھاری لاش کو کھینچتے وقت سوار کو پیچھے کی طرف پھسلنے سے روکنا")</f>
        <v>ب) بھاری لاش کو کھینچتے وقت سوار کو پیچھے کی طرف پھسلنے سے روکنا</v>
      </c>
      <c r="M103" s="6" t="str">
        <f>IFERROR(__xludf.DUMMYFUNCTION("GOOGLETRANSLATE(E103, ""en"", ""ur"")"),"ہائی کینٹل ایک تسمہ کے طور پر کام کرتا ہے، جو سوار کو اہم فائدہ اور مدد فراہم کرتا ہے۔")</f>
        <v>ہائی کینٹل ایک تسمہ کے طور پر کام کرتا ہے، جو سوار کو اہم فائدہ اور مدد فراہم کرتا ہے۔</v>
      </c>
    </row>
    <row r="104">
      <c r="A104" s="4">
        <v>103.0</v>
      </c>
      <c r="B104" s="5" t="s">
        <v>1003</v>
      </c>
      <c r="C104" s="5" t="s">
        <v>1004</v>
      </c>
      <c r="D104" s="5" t="s">
        <v>1005</v>
      </c>
      <c r="E104" s="5" t="s">
        <v>1006</v>
      </c>
      <c r="J104" s="6" t="str">
        <f>IFERROR(__xludf.DUMMYFUNCTION("GOOGLETRANSLATE(B104, ""en"", ""ur"")"),"ایک ریفری کھیل کو روکتا ہے کیونکہ سوار کی روایتی پگڑی (لنگی) ختم ہو گئی ہے اور ان کی بینائی کو مدھم کر رہی ہے۔ کیا یہ صحیح کال ہے؟")</f>
        <v>ایک ریفری کھیل کو روکتا ہے کیونکہ سوار کی روایتی پگڑی (لنگی) ختم ہو گئی ہے اور ان کی بینائی کو مدھم کر رہی ہے۔ کیا یہ صحیح کال ہے؟</v>
      </c>
      <c r="K104" s="6" t="str">
        <f>IFERROR(__xludf.DUMMYFUNCTION("GOOGLETRANSLATE(C104, ""en"", ""ur"")"),"A) نہیں، کھیل جاری رہنا چاہئے، B) ہاں، یہ سوار کی حفاظت کا معاملہ ہے، C) سوار کو نااہل قرار دیا جانا چاہئے، D) مخالف کو ایک پوائنٹ ملتا ہے")</f>
        <v>A) نہیں، کھیل جاری رہنا چاہئے، B) ہاں، یہ سوار کی حفاظت کا معاملہ ہے، C) سوار کو نااہل قرار دیا جانا چاہئے، D) مخالف کو ایک پوائنٹ ملتا ہے</v>
      </c>
      <c r="L104" s="6" t="str">
        <f>IFERROR(__xludf.DUMMYFUNCTION("GOOGLETRANSLATE(D104, ""en"", ""ur"")"),"ب) جی ہاں، یہ سوار کی حفاظت کا معاملہ ہے۔")</f>
        <v>ب) جی ہاں، یہ سوار کی حفاظت کا معاملہ ہے۔</v>
      </c>
      <c r="M104" s="6" t="str">
        <f>IFERROR(__xludf.DUMMYFUNCTION("GOOGLETRANSLATE(E104, ""en"", ""ur"")"),"اگر سامان یا لباس کا کوئی ٹکڑا حفاظتی خطرہ بن جاتا ہے، تو ریفری کھیل کو روک سکتا ہے اور اسے روکنا چاہیے۔")</f>
        <v>اگر سامان یا لباس کا کوئی ٹکڑا حفاظتی خطرہ بن جاتا ہے، تو ریفری کھیل کو روک سکتا ہے اور اسے روکنا چاہیے۔</v>
      </c>
    </row>
    <row r="105">
      <c r="A105" s="4">
        <v>104.0</v>
      </c>
      <c r="B105" s="5" t="s">
        <v>1007</v>
      </c>
      <c r="C105" s="5" t="s">
        <v>1008</v>
      </c>
      <c r="D105" s="5" t="s">
        <v>1009</v>
      </c>
      <c r="E105" s="5" t="s">
        <v>1010</v>
      </c>
      <c r="J105" s="6" t="str">
        <f>IFERROR(__xludf.DUMMYFUNCTION("GOOGLETRANSLATE(B105, ""en"", ""ur"")"),"گھوڑے کو اس کے ""نرم منہ"" کے لیے سراہا جاتا ہے۔ اس کا کیا مطلب ہے؟")</f>
        <v>گھوڑے کو اس کے "نرم منہ" کے لیے سراہا جاتا ہے۔ اس کا کیا مطلب ہے؟</v>
      </c>
      <c r="K105" s="6" t="str">
        <f>IFERROR(__xludf.DUMMYFUNCTION("GOOGLETRANSLATE(C105, ""en"", ""ur"")"),"A) گھوڑے کے دانت کمزور ہیں، B) گھوڑا لگام سے نرم اشارے پر بہت زیادہ جوابدہ ہے، C) گھوڑا نہیں کاٹتا، D) گھوڑا نرم کھانا کھاتا ہے")</f>
        <v>A) گھوڑے کے دانت کمزور ہیں، B) گھوڑا لگام سے نرم اشارے پر بہت زیادہ جوابدہ ہے، C) گھوڑا نہیں کاٹتا، D) گھوڑا نرم کھانا کھاتا ہے</v>
      </c>
      <c r="L105" s="6" t="str">
        <f>IFERROR(__xludf.DUMMYFUNCTION("GOOGLETRANSLATE(D105, ""en"", ""ur"")"),"ب) گھوڑا لگام سے نرم اشارے کے لئے بہت جوابدہ ہے۔")</f>
        <v>ب) گھوڑا لگام سے نرم اشارے کے لئے بہت جوابدہ ہے۔</v>
      </c>
      <c r="M105" s="6" t="str">
        <f>IFERROR(__xludf.DUMMYFUNCTION("GOOGLETRANSLATE(E105, ""en"", ""ur"")"),"نرم منہ ایک اچھی طرح سے تربیت یافتہ گھوڑے کی علامت ہے جسے ٹھیک ٹھیک اشاروں سے رہنمائی حاصل کی جاسکتی ہے، جو اس وقت اہم ہوتا ہے جب سوار کے ہاتھ پر قبضہ ہوتا ہے۔")</f>
        <v>نرم منہ ایک اچھی طرح سے تربیت یافتہ گھوڑے کی علامت ہے جسے ٹھیک ٹھیک اشاروں سے رہنمائی حاصل کی جاسکتی ہے، جو اس وقت اہم ہوتا ہے جب سوار کے ہاتھ پر قبضہ ہوتا ہے۔</v>
      </c>
    </row>
    <row r="106">
      <c r="A106" s="4">
        <v>105.0</v>
      </c>
      <c r="B106" s="5" t="s">
        <v>1011</v>
      </c>
      <c r="C106" s="5" t="s">
        <v>1012</v>
      </c>
      <c r="D106" s="5" t="s">
        <v>1013</v>
      </c>
      <c r="E106" s="5" t="s">
        <v>1014</v>
      </c>
      <c r="J106" s="6" t="str">
        <f>IFERROR(__xludf.DUMMYFUNCTION("GOOGLETRANSLATE(B106, ""en"", ""ur"")"),"""زیادہ سے زیادہ کوڑے مارنے"" کے لیے ایک سوار کو سزا دینے کی بنیادی وجہ کیا ہے؟")</f>
        <v>"زیادہ سے زیادہ کوڑے مارنے" کے لیے ایک سوار کو سزا دینے کی بنیادی وجہ کیا ہے؟</v>
      </c>
      <c r="K106" s="6" t="str">
        <f>IFERROR(__xludf.DUMMYFUNCTION("GOOGLETRANSLATE(C106, ""en"", ""ur"")"),"A) یہ جرمانہ نہیں ہے، B) اسے جانوروں پر ظلم سمجھا جاتا ہے، C) یہ گھوڑے کو بہت جلدی تھکا سکتا ہے، D) یہ کوڑے کو نقصان پہنچا سکتا ہے۔")</f>
        <v>A) یہ جرمانہ نہیں ہے، B) اسے جانوروں پر ظلم سمجھا جاتا ہے، C) یہ گھوڑے کو بہت جلدی تھکا سکتا ہے، D) یہ کوڑے کو نقصان پہنچا سکتا ہے۔</v>
      </c>
      <c r="L106" s="6" t="str">
        <f>IFERROR(__xludf.DUMMYFUNCTION("GOOGLETRANSLATE(D106, ""en"", ""ur"")"),"ب) اسے جانوروں پر ظلم سمجھا جاتا ہے۔")</f>
        <v>ب) اسے جانوروں پر ظلم سمجھا جاتا ہے۔</v>
      </c>
      <c r="M106" s="6" t="str">
        <f>IFERROR(__xludf.DUMMYFUNCTION("GOOGLETRANSLATE(E106, ""en"", ""ur"")"),"اگرچہ کوڑے کے استعمال کی اجازت ہے، لیکن اس کا ضرورت سے زیادہ یا بے دردی سے استعمال اچھے گھڑ سواری اور جانوروں کی فلاح و بہبود کے اصولوں کی خلاف ورزی کرتا ہے۔")</f>
        <v>اگرچہ کوڑے کے استعمال کی اجازت ہے، لیکن اس کا ضرورت سے زیادہ یا بے دردی سے استعمال اچھے گھڑ سواری اور جانوروں کی فلاح و بہبود کے اصولوں کی خلاف ورزی کرتا ہے۔</v>
      </c>
    </row>
    <row r="107">
      <c r="A107" s="4">
        <v>106.0</v>
      </c>
      <c r="B107" s="5" t="s">
        <v>1015</v>
      </c>
      <c r="C107" s="5" t="s">
        <v>1016</v>
      </c>
      <c r="D107" s="5" t="s">
        <v>1017</v>
      </c>
      <c r="E107" s="5" t="s">
        <v>1018</v>
      </c>
      <c r="J107" s="6" t="str">
        <f>IFERROR(__xludf.DUMMYFUNCTION("GOOGLETRANSLATE(B107, ""en"", ""ur"")"),"میچ کے لیے گراؤنڈ انتہائی سخت اور خشک ہے۔ گھوڑوں کو سب سے بڑا خطرہ کیا ہے؟")</f>
        <v>میچ کے لیے گراؤنڈ انتہائی سخت اور خشک ہے۔ گھوڑوں کو سب سے بڑا خطرہ کیا ہے؟</v>
      </c>
      <c r="K107" s="6" t="str">
        <f>IFERROR(__xludf.DUMMYFUNCTION("GOOGLETRANSLATE(C107, ""en"", ""ur"")"),"A) وہ آہستہ چلیں گے، B) وہ بہت زیادہ دھول آلود ہو جائیں گے، C) کھروں اور ٹانگوں کے جوڑوں کو چوٹ لگنے کا خطرہ بڑھ جائے گا، D) ان پر قابو پانا مشکل ہو جائے گا۔")</f>
        <v>A) وہ آہستہ چلیں گے، B) وہ بہت زیادہ دھول آلود ہو جائیں گے، C) کھروں اور ٹانگوں کے جوڑوں کو چوٹ لگنے کا خطرہ بڑھ جائے گا، D) ان پر قابو پانا مشکل ہو جائے گا۔</v>
      </c>
      <c r="L107" s="6" t="str">
        <f>IFERROR(__xludf.DUMMYFUNCTION("GOOGLETRANSLATE(D107, ""en"", ""ur"")"),"ج) کھروں اور ٹانگوں کے جوڑوں میں ہچکولے لگنے کے خطرے میں اضافہ")</f>
        <v>ج) کھروں اور ٹانگوں کے جوڑوں میں ہچکولے لگنے کے خطرے میں اضافہ</v>
      </c>
      <c r="M107" s="6" t="str">
        <f>IFERROR(__xludf.DUMMYFUNCTION("GOOGLETRANSLATE(E107, ""en"", ""ur"")"),"سخت زمین بہت کم جھٹکا جذب کرتی ہے، جس کی وجہ سے گھوڑوں کے لیے صحت مندی کے مسائل کا زیادہ خطرہ ہوتا ہے۔")</f>
        <v>سخت زمین بہت کم جھٹکا جذب کرتی ہے، جس کی وجہ سے گھوڑوں کے لیے صحت مندی کے مسائل کا زیادہ خطرہ ہوتا ہے۔</v>
      </c>
    </row>
    <row r="108">
      <c r="A108" s="4">
        <v>107.0</v>
      </c>
      <c r="B108" s="5" t="s">
        <v>1019</v>
      </c>
      <c r="C108" s="5" t="s">
        <v>1020</v>
      </c>
      <c r="D108" s="5" t="s">
        <v>1021</v>
      </c>
      <c r="E108" s="5" t="s">
        <v>1022</v>
      </c>
      <c r="J108" s="6" t="str">
        <f>IFERROR(__xludf.DUMMYFUNCTION("GOOGLETRANSLATE(B108, ""en"", ""ur"")"),"ریفری کا کیا حکم ہے اگر کوئی سوار لاش کو پکڑ لے، لیکن پھر کھلاڑیوں کی ایک بڑی تعداد کی رفتار سے اسکورنگ لائن کے اوپر لے جائے؟")</f>
        <v>ریفری کا کیا حکم ہے اگر کوئی سوار لاش کو پکڑ لے، لیکن پھر کھلاڑیوں کی ایک بڑی تعداد کی رفتار سے اسکورنگ لائن کے اوپر لے جائے؟</v>
      </c>
      <c r="K108" s="6" t="str">
        <f>IFERROR(__xludf.DUMMYFUNCTION("GOOGLETRANSLATE(C108, ""en"", ""ur"")"),"A) یہ ایک درست سکور ہے، B) یہ درست سکور نہیں ہے کیونکہ سوار کے پاس انفرادی کنٹرول نہیں تھا، C) پوائنٹ دوبارہ چلایا جاتا ہے، D) پوائنٹ پوری ٹیم کو دیا جاتا ہے۔")</f>
        <v>A) یہ ایک درست سکور ہے، B) یہ درست سکور نہیں ہے کیونکہ سوار کے پاس انفرادی کنٹرول نہیں تھا، C) پوائنٹ دوبارہ چلایا جاتا ہے، D) پوائنٹ پوری ٹیم کو دیا جاتا ہے۔</v>
      </c>
      <c r="L108" s="6" t="str">
        <f>IFERROR(__xludf.DUMMYFUNCTION("GOOGLETRANSLATE(D108, ""en"", ""ur"")"),"ب) یہ درست سکور نہیں ہے کیونکہ سوار کے پاس انفرادی کنٹرول کی کمی تھی۔")</f>
        <v>ب) یہ درست سکور نہیں ہے کیونکہ سوار کے پاس انفرادی کنٹرول کی کمی تھی۔</v>
      </c>
      <c r="M108" s="6" t="str">
        <f>IFERROR(__xludf.DUMMYFUNCTION("GOOGLETRANSLATE(E108, ""en"", ""ur"")"),"گول کرتے وقت سوار کو لاش پر واضح اور انفرادی کنٹرول کا مظاہرہ کرنا چاہیے۔ گھوڑوں کے ہجوم سے دھکیلنا قانونی اسکور نہیں ہے۔")</f>
        <v>گول کرتے وقت سوار کو لاش پر واضح اور انفرادی کنٹرول کا مظاہرہ کرنا چاہیے۔ گھوڑوں کے ہجوم سے دھکیلنا قانونی اسکور نہیں ہے۔</v>
      </c>
    </row>
    <row r="109">
      <c r="A109" s="4">
        <v>108.0</v>
      </c>
      <c r="B109" s="5" t="s">
        <v>1023</v>
      </c>
      <c r="C109" s="5" t="s">
        <v>1024</v>
      </c>
      <c r="D109" s="5" t="s">
        <v>1025</v>
      </c>
      <c r="E109" s="5" t="s">
        <v>1026</v>
      </c>
      <c r="J109" s="6" t="str">
        <f>IFERROR(__xludf.DUMMYFUNCTION("GOOGLETRANSLATE(B109, ""en"", ""ur"")"),"ایک سوار گھوڑوں کے بغیر ہوتا ہے، اور ان کا گھوڑا کھیل کی پیروی کرتا رہتا ہے اور دوسرے کھلاڑیوں کے ساتھ مداخلت کرتا ہے۔ طریقہ کار کیا ہے؟")</f>
        <v>ایک سوار گھوڑوں کے بغیر ہوتا ہے، اور ان کا گھوڑا کھیل کی پیروی کرتا رہتا ہے اور دوسرے کھلاڑیوں کے ساتھ مداخلت کرتا ہے۔ طریقہ کار کیا ہے؟</v>
      </c>
      <c r="K109" s="6" t="str">
        <f>IFERROR(__xludf.DUMMYFUNCTION("GOOGLETRANSLATE(C109, ""en"", ""ur"")"),"A) گھوڑے کو کھیل جاری رکھنے کی اجازت ہے، B) گھوڑے کو پکڑ کر میدان سے ہٹا دینا چاہیے، C) ٹیم کو جرمانہ کیا جاتا ہے، D) کھیل روک دیا جاتا ہے۔")</f>
        <v>A) گھوڑے کو کھیل جاری رکھنے کی اجازت ہے، B) گھوڑے کو پکڑ کر میدان سے ہٹا دینا چاہیے، C) ٹیم کو جرمانہ کیا جاتا ہے، D) کھیل روک دیا جاتا ہے۔</v>
      </c>
      <c r="L109" s="6" t="str">
        <f>IFERROR(__xludf.DUMMYFUNCTION("GOOGLETRANSLATE(D109, ""en"", ""ur"")"),"ب) اہلکاروں کے ذریعہ گھوڑے کو پکڑ کر میدان سے ہٹا دینا چاہئے۔")</f>
        <v>ب) اہلکاروں کے ذریعہ گھوڑے کو پکڑ کر میدان سے ہٹا دینا چاہئے۔</v>
      </c>
      <c r="M109" s="6" t="str">
        <f>IFERROR(__xludf.DUMMYFUNCTION("GOOGLETRANSLATE(E109, ""en"", ""ur"")"),"بغیر سواری کا گھوڑا ایک خطرہ ہے اور کھیل کے محفوظ طریقے سے دوبارہ شروع ہونے سے پہلے اسے کھیل کے میدان سے ہٹا دیا جانا چاہیے۔")</f>
        <v>بغیر سواری کا گھوڑا ایک خطرہ ہے اور کھیل کے محفوظ طریقے سے دوبارہ شروع ہونے سے پہلے اسے کھیل کے میدان سے ہٹا دیا جانا چاہیے۔</v>
      </c>
    </row>
    <row r="110">
      <c r="A110" s="4">
        <v>109.0</v>
      </c>
      <c r="B110" s="5" t="s">
        <v>1027</v>
      </c>
      <c r="C110" s="5" t="s">
        <v>1028</v>
      </c>
      <c r="D110" s="5" t="s">
        <v>1029</v>
      </c>
      <c r="E110" s="5" t="s">
        <v>1030</v>
      </c>
      <c r="J110" s="6" t="str">
        <f>IFERROR(__xludf.DUMMYFUNCTION("GOOGLETRANSLATE(B110, ""en"", ""ur"")"),"بزکشی کے لیے انتہائی پرسکون، پرسکون مزاج کا گھوڑا عام طور پر کیوں نا مناسب ہے؟")</f>
        <v>بزکشی کے لیے انتہائی پرسکون، پرسکون مزاج کا گھوڑا عام طور پر کیوں نا مناسب ہے؟</v>
      </c>
      <c r="K110" s="6" t="str">
        <f>IFERROR(__xludf.DUMMYFUNCTION("GOOGLETRANSLATE(C110, ""en"", ""ur"")"),"A)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f>
        <v>A) ایسا نہیں ہے، پرسکون گھوڑے بہترین ہیں، B) اس میں مسابقتی "آگ" اور جارحیت کی کمی ہوگی جو اسکرم میں لڑنے کے لیے درکار ہے، C) یہ بہت سست ہوگا، D) اسے بہت آسانی سے کنٹرول کیا جائے گا۔</v>
      </c>
      <c r="L110" s="6" t="str">
        <f>IFERROR(__xludf.DUMMYFUNCTION("GOOGLETRANSLATE(D110, ""en"", ""ur"")"),"ب) اس میں مسابقتی ""آگ"" اور اسکرم میں لڑنے کے لیے درکار جارحیت کی کمی ہوگی۔")</f>
        <v>ب) اس میں مسابقتی "آگ" اور اسکرم میں لڑنے کے لیے درکار جارحیت کی کمی ہوگی۔</v>
      </c>
      <c r="M110" s="6" t="str">
        <f>IFERROR(__xludf.DUMMYFUNCTION("GOOGLETRANSLATE(E110, ""en"", ""ur"")"),"بزکشی کو جرات مندانہ اور جنگجو جذبے کے ساتھ ایک گھوڑے کی ضرورت ہے جو کھیل کے افراتفری اور تشدد سے خوفزدہ نہ ہو۔")</f>
        <v>بزکشی کو جرات مندانہ اور جنگجو جذبے کے ساتھ ایک گھوڑے کی ضرورت ہے جو کھیل کے افراتفری اور تشدد سے خوفزدہ نہ ہو۔</v>
      </c>
    </row>
    <row r="111">
      <c r="A111" s="4">
        <v>110.0</v>
      </c>
      <c r="B111" s="5" t="s">
        <v>1031</v>
      </c>
      <c r="C111" s="5" t="s">
        <v>1032</v>
      </c>
      <c r="D111" s="5" t="s">
        <v>1033</v>
      </c>
      <c r="E111" s="5" t="s">
        <v>1034</v>
      </c>
      <c r="J111" s="6" t="str">
        <f>IFERROR(__xludf.DUMMYFUNCTION("GOOGLETRANSLATE(B111, ""en"", ""ur"")"),"ایک رسمی میچ میں، ""لائن مین"" یا باؤنڈری ججز کا کیا کردار ہوتا ہے؟")</f>
        <v>ایک رسمی میچ میں، "لائن مین" یا باؤنڈری ججز کا کیا کردار ہوتا ہے؟</v>
      </c>
      <c r="K111" s="6" t="str">
        <f>IFERROR(__xludf.DUMMYFUNCTION("GOOGLETRANSLATE(C111, ""en"", ""ur"")"),"A) وہ اسکور رکھتے ہیں، B) وہ مرکزی ریفری کی مدد کرتے ہیں جب لاش یا سوار حد سے باہر ہو جاتا ہے، C) وہ کھلاڑیوں کو پانی فراہم کرتے ہیں، D) وہ آفیشل ٹائم کیپر ہوتے ہیں۔")</f>
        <v>A) وہ اسکور رکھتے ہیں، B) وہ مرکزی ریفری کی مدد کرتے ہیں جب لاش یا سوار حد سے باہر ہو جاتا ہے، C) وہ کھلاڑیوں کو پانی فراہم کرتے ہیں، D) وہ آفیشل ٹائم کیپر ہوتے ہیں۔</v>
      </c>
      <c r="L111" s="6" t="str">
        <f>IFERROR(__xludf.DUMMYFUNCTION("GOOGLETRANSLATE(D111, ""en"", ""ur"")"),"ب) جب لاش یا سوار حد سے باہر ہو جاتا ہے تو وہ سگنل دے کر مرکزی ریفری کی مدد کرتے ہیں۔")</f>
        <v>ب) جب لاش یا سوار حد سے باہر ہو جاتا ہے تو وہ سگنل دے کر مرکزی ریفری کی مدد کرتے ہیں۔</v>
      </c>
      <c r="M111" s="6" t="str">
        <f>IFERROR(__xludf.DUMMYFUNCTION("GOOGLETRANSLATE(E111, ""en"", ""ur"")"),"ایک بڑے، نشان زدہ فیلڈ پر، لائن مین ریفری کو باؤنڈری پر درست کال کرنے میں مدد کرنے کے لیے ضروری ہیں۔")</f>
        <v>ایک بڑے، نشان زدہ فیلڈ پر، لائن مین ریفری کو باؤنڈری پر درست کال کرنے میں مدد کرنے کے لیے ضروری ہیں۔</v>
      </c>
    </row>
    <row r="112">
      <c r="A112" s="4">
        <v>111.0</v>
      </c>
      <c r="B112" s="5" t="s">
        <v>1035</v>
      </c>
      <c r="C112" s="5" t="s">
        <v>1036</v>
      </c>
      <c r="D112" s="5" t="s">
        <v>1037</v>
      </c>
      <c r="E112" s="5" t="s">
        <v>1038</v>
      </c>
      <c r="J112" s="6" t="str">
        <f>IFERROR(__xludf.DUMMYFUNCTION("GOOGLETRANSLATE(B112, ""en"", ""ur"")"),"ایک سوار لاش کو پکڑے ہوئے ہے۔ ایک مخالف سواری کرتا ہے اور اسے کھینچنے کی کوشش کرتا ہے، لیکن سوار کی ٹانگ بھی پکڑ لیتا ہے۔ کال کیا ہے؟")</f>
        <v>ایک سوار لاش کو پکڑے ہوئے ہے۔ ایک مخالف سواری کرتا ہے اور اسے کھینچنے کی کوشش کرتا ہے، لیکن سوار کی ٹانگ بھی پکڑ لیتا ہے۔ کال کیا ہے؟</v>
      </c>
      <c r="K112" s="6" t="str">
        <f>IFERROR(__xludf.DUMMYFUNCTION("GOOGLETRANSLATE(C112, ""en"", ""ur"")"),"A) رائیڈر کو پکڑنے کے لئے مخالف پر فاؤل، B) ایک فائدہ حاصل کرنے کے لئے ایک قانونی کھیل، C) ایک انتباہ جاری کیا جاتا ہے، D) کھیل جاری ہے")</f>
        <v>A) رائیڈر کو پکڑنے کے لئے مخالف پر فاؤل، B) ایک فائدہ حاصل کرنے کے لئے ایک قانونی کھیل، C) ایک انتباہ جاری کیا جاتا ہے، D) کھیل جاری ہے</v>
      </c>
      <c r="L112" s="6" t="str">
        <f>IFERROR(__xludf.DUMMYFUNCTION("GOOGLETRANSLATE(D112, ""en"", ""ur"")"),"A) سوار کو پکڑنے کے لئے مخالف پر ایک فاؤل")</f>
        <v>A) سوار کو پکڑنے کے لئے مخالف پر ایک فاؤل</v>
      </c>
      <c r="M112" s="6" t="str">
        <f>IFERROR(__xludf.DUMMYFUNCTION("GOOGLETRANSLATE(E112, ""en"", ""ur"")"),"سوار کے جسم کے کسی بھی حصے یا ان کے سامان کو پکڑنا غیر قانونی ہے۔ کھلاڑی صرف لاش کے لیے ہی مقابلہ کر سکتے ہیں۔")</f>
        <v>سوار کے جسم کے کسی بھی حصے یا ان کے سامان کو پکڑنا غیر قانونی ہے۔ کھلاڑی صرف لاش کے لیے ہی مقابلہ کر سکتے ہیں۔</v>
      </c>
    </row>
    <row r="113">
      <c r="A113" s="4">
        <v>112.0</v>
      </c>
      <c r="B113" s="5" t="s">
        <v>1039</v>
      </c>
      <c r="C113" s="5" t="s">
        <v>1040</v>
      </c>
      <c r="D113" s="5" t="s">
        <v>1041</v>
      </c>
      <c r="E113" s="5" t="s">
        <v>1042</v>
      </c>
      <c r="J113" s="6" t="str">
        <f>IFERROR(__xludf.DUMMYFUNCTION("GOOGLETRANSLATE(B113, ""en"", ""ur"")"),"میچ شروع ہونے سے پہلے ""وارم اپ"" پیریڈ کا بنیادی مقصد کیا ہے؟")</f>
        <v>میچ شروع ہونے سے پہلے "وارم اپ" پیریڈ کا بنیادی مقصد کیا ہے؟</v>
      </c>
      <c r="K113" s="6" t="str">
        <f>IFERROR(__xludf.DUMMYFUNCTION("GOOGLETRANSLATE(C113, ""en"", ""ur"")"),"A)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f>
        <v>A) تماشائیوں کو شرط لگانے کی اجازت دینا، B) گھوڑوں اور سواروں کو اپنے پٹھے تیار کرنے اور میدان کے عادی ہونے کی اجازت دینا، C) یہ خالصتاً رسمی ہے، D) گھوڑوں کو تھوڑا سا تھکا دینا</v>
      </c>
      <c r="L113" s="6" t="str">
        <f>IFERROR(__xludf.DUMMYFUNCTION("GOOGLETRANSLATE(D113, ""en"", ""ur"")"),"ب) گھوڑوں اور سواروں کو اپنے پٹھے تیار کرنے اور میدان کے عادی ہونے کی اجازت دینا")</f>
        <v>ب) گھوڑوں اور سواروں کو اپنے پٹھے تیار کرنے اور میدان کے عادی ہونے کی اجازت دینا</v>
      </c>
      <c r="M113" s="6" t="str">
        <f>IFERROR(__xludf.DUMMYFUNCTION("GOOGLETRANSLATE(E113, ""en"", ""ur"")"),"شدید مرکزی تقریب سے پہلے گھوڑوں اور سواروں دونوں کے زخموں کو روکنے کے لیے ایک مناسب وارم اپ بہت ضروری ہے۔")</f>
        <v>شدید مرکزی تقریب سے پہلے گھوڑوں اور سواروں دونوں کے زخموں کو روکنے کے لیے ایک مناسب وارم اپ بہت ضروری ہے۔</v>
      </c>
    </row>
    <row r="114">
      <c r="A114" s="4">
        <v>113.0</v>
      </c>
      <c r="B114" s="5" t="s">
        <v>1043</v>
      </c>
      <c r="C114" s="5" t="s">
        <v>1044</v>
      </c>
      <c r="D114" s="5" t="s">
        <v>1045</v>
      </c>
      <c r="E114" s="5" t="s">
        <v>1046</v>
      </c>
      <c r="J114" s="6" t="str">
        <f>IFERROR(__xludf.DUMMYFUNCTION("GOOGLETRANSLATE(B114, ""en"", ""ur"")"),"ایک سوار ایک پوائنٹ اسکور کرتا ہے، لیکن ریفری اس کی اجازت نہیں دیتا، یہ حکم دیتا ہے کہ سوار نے لاش کو پکڑنے میں مدد کے لیے اپنے دانتوں کا استعمال کیا۔ کیا یہ ایک معقول وجہ ہے؟")</f>
        <v>ایک سوار ایک پوائنٹ اسکور کرتا ہے، لیکن ریفری اس کی اجازت نہیں دیتا، یہ حکم دیتا ہے کہ سوار نے لاش کو پکڑنے میں مدد کے لیے اپنے دانتوں کا استعمال کیا۔ کیا یہ ایک معقول وجہ ہے؟</v>
      </c>
      <c r="K114" s="6" t="str">
        <f>IFERROR(__xludf.DUMMYFUNCTION("GOOGLETRANSLATE(C114, ""en"", ""ur"")"),"A) نہیں، پکڑنے کے کسی بھی طریقے کی اجازت ہے، B) ہاں، دانتوں کا استعمال لاش کو سنبھالنے کا ایک غیر قانونی اور خطرناک طریقہ ہے، C) صرف اس صورت میں جب اس سے لاش کو نقصان پہنچے، D) پوائنٹ کو دوبارہ چلایا جاتا ہے۔")</f>
        <v>A) نہیں، پکڑنے کے کسی بھی طریقے کی اجازت ہے، B) ہاں، دانتوں کا استعمال لاش کو سنبھالنے کا ایک غیر قانونی اور خطرناک طریقہ ہے، C) صرف اس صورت میں جب اس سے لاش کو نقصان پہنچے، D) پوائنٹ کو دوبارہ چلایا جاتا ہے۔</v>
      </c>
      <c r="L114" s="6" t="str">
        <f>IFERROR(__xludf.DUMMYFUNCTION("GOOGLETRANSLATE(D114, ""en"", ""ur"")"),"ب) جی ہاں، دانتوں کا استعمال لاش کو سنبھالنے کا ایک غیر قانونی اور خطرناک طریقہ ہے۔")</f>
        <v>ب) جی ہاں، دانتوں کا استعمال لاش کو سنبھالنے کا ایک غیر قانونی اور خطرناک طریقہ ہے۔</v>
      </c>
      <c r="M114" s="6" t="str">
        <f>IFERROR(__xludf.DUMMYFUNCTION("GOOGLETRANSLATE(E114, ""en"", ""ur"")"),"لاش کو سوار کے ہاتھوں سے پکڑنا چاہیے یا ان کی ٹانگوں سے پکڑنا چاہیے۔ لاش کو کاٹنا فُل ہے۔")</f>
        <v>لاش کو سوار کے ہاتھوں سے پکڑنا چاہیے یا ان کی ٹانگوں سے پکڑنا چاہیے۔ لاش کو کاٹنا فُل ہے۔</v>
      </c>
    </row>
    <row r="115">
      <c r="A115" s="4">
        <v>114.0</v>
      </c>
      <c r="B115" s="5" t="s">
        <v>1047</v>
      </c>
      <c r="C115" s="5" t="s">
        <v>1048</v>
      </c>
      <c r="D115" s="5" t="s">
        <v>1049</v>
      </c>
      <c r="E115" s="5" t="s">
        <v>1050</v>
      </c>
      <c r="J115" s="6" t="str">
        <f>IFERROR(__xludf.DUMMYFUNCTION("GOOGLETRANSLATE(B115, ""en"", ""ur"")"),"بزکشی میچ کے تناظر میں ""سٹالین فائٹ"" کیا ہے؟")</f>
        <v>بزکشی میچ کے تناظر میں "سٹالین فائٹ" کیا ہے؟</v>
      </c>
      <c r="K115" s="6" t="str">
        <f>IFERROR(__xludf.DUMMYFUNCTION("GOOGLETRANSLATE(C115, ""en"", ""ur"")"),"A) ایک الگ واقعہ، B) جب اسکرم میں دو حریف اسٹالن لاش پر توجہ مرکوز کرنا چھوڑ دیتے ہیں اور ایک دوسرے سے لڑنا شروع کردیتے ہیں، C) ایک مخصوص اسکورنگ اقدام، D) ایک رسمی رقص")</f>
        <v>A) ایک الگ واقعہ، B) جب اسکرم میں دو حریف اسٹالن لاش پر توجہ مرکوز کرنا چھوڑ دیتے ہیں اور ایک دوسرے سے لڑنا شروع کردیتے ہیں، C) ایک مخصوص اسکورنگ اقدام، D) ایک رسمی رقص</v>
      </c>
      <c r="L115" s="6" t="str">
        <f>IFERROR(__xludf.DUMMYFUNCTION("GOOGLETRANSLATE(D115, ""en"", ""ur"")"),"ب) جب اسکرم میں دو حریف گھوڑے لاش پر توجہ مرکوز کرنا چھوڑ دیتے ہیں اور ایک دوسرے سے لڑنا شروع کردیتے ہیں")</f>
        <v>ب) جب اسکرم میں دو حریف گھوڑے لاش پر توجہ مرکوز کرنا چھوڑ دیتے ہیں اور ایک دوسرے سے لڑنا شروع کردیتے ہیں</v>
      </c>
      <c r="M115" s="6" t="str">
        <f>IFERROR(__xludf.DUMMYFUNCTION("GOOGLETRANSLATE(E115, ""en"", ""ur"")"),"اسٹالینز کی زیادہ جارحیت بعض اوقات انہیں فطری طرز عمل کی طرف لوٹنے کا سبب بن سکتی ہے، جس کے نتیجے میں کھیل کے اندر ایک مختصر لیکن پرتشدد لڑائی ہوتی ہے۔")</f>
        <v>اسٹالینز کی زیادہ جارحیت بعض اوقات انہیں فطری طرز عمل کی طرف لوٹنے کا سبب بن سکتی ہے، جس کے نتیجے میں کھیل کے اندر ایک مختصر لیکن پرتشدد لڑائی ہوتی ہے۔</v>
      </c>
    </row>
    <row r="116">
      <c r="A116" s="4">
        <v>115.0</v>
      </c>
      <c r="B116" s="5" t="s">
        <v>1051</v>
      </c>
      <c r="C116" s="5" t="s">
        <v>1052</v>
      </c>
      <c r="D116" s="5" t="s">
        <v>1053</v>
      </c>
      <c r="E116" s="5" t="s">
        <v>1054</v>
      </c>
      <c r="J116" s="6" t="str">
        <f>IFERROR(__xludf.DUMMYFUNCTION("GOOGLETRANSLATE(B116, ""en"", ""ur"")"),"تیز، نوکیلے اسپرس پہننے پر سوار کو نااہل قرار دیا جاتا ہے۔ یہ غیر قانونی کیوں ہیں؟")</f>
        <v>تیز، نوکیلے اسپرس پہننے پر سوار کو نااہل قرار دیا جاتا ہے۔ یہ غیر قانونی کیوں ہیں؟</v>
      </c>
      <c r="K116" s="6" t="str">
        <f>IFERROR(__xludf.DUMMYFUNCTION("GOOGLETRANSLATE(C116, ""en"", ""ur"")"),"A)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f>
        <v>A) وہ روایتی نہیں ہیں، B) انہیں مخالف کے گھوڑے کو غیر منصفانہ طور پر زخمی کرنے کے لیے استعمال کیا جا سکتا ہے، C) انہیں مخالف کی ٹانگ کو زخمی کرنے کے لیے استعمال کیا جا سکتا ہے، D) B اور C دونوں</v>
      </c>
      <c r="L116" s="6" t="str">
        <f>IFERROR(__xludf.DUMMYFUNCTION("GOOGLETRANSLATE(D116, ""en"", ""ur"")"),"D) B اور C دونوں")</f>
        <v>D) B اور C دونوں</v>
      </c>
      <c r="M116" s="6" t="str">
        <f>IFERROR(__xludf.DUMMYFUNCTION("GOOGLETRANSLATE(E116, ""en"", ""ur"")"),"تیز اسپرز کو ایک ایسا ہتھیار سمجھا جاتا ہے جو حریف گھوڑوں اور سواروں دونوں کو غیر قانونی طور پر نقصان پہنچانے کے لیے استعمال کیا جا سکتا ہے، اور یہ سختی سے منع ہیں۔")</f>
        <v>تیز اسپرز کو ایک ایسا ہتھیار سمجھا جاتا ہے جو حریف گھوڑوں اور سواروں دونوں کو غیر قانونی طور پر نقصان پہنچانے کے لیے استعمال کیا جا سکتا ہے، اور یہ سختی سے منع ہیں۔</v>
      </c>
    </row>
    <row r="117">
      <c r="A117" s="4">
        <v>116.0</v>
      </c>
      <c r="B117" s="5" t="s">
        <v>1055</v>
      </c>
      <c r="C117" s="5" t="s">
        <v>1056</v>
      </c>
      <c r="D117" s="5" t="s">
        <v>1057</v>
      </c>
      <c r="E117" s="5" t="s">
        <v>1058</v>
      </c>
      <c r="J117" s="6" t="str">
        <f>IFERROR(__xludf.DUMMYFUNCTION("GOOGLETRANSLATE(B117, ""en"", ""ur"")"),"چپنداز کی بہترین قلبی تندرستی کی بنیادی وجہ کیا ہے؟")</f>
        <v>چپنداز کی بہترین قلبی تندرستی کی بنیادی وجہ کیا ہے؟</v>
      </c>
      <c r="K117" s="6" t="str">
        <f>IFERROR(__xludf.DUMMYFUNCTION("GOOGLETRANSLATE(C117, ""en"", ""ur"")"),"A) گھوڑے کے بغیر بھاگنے کے قابل ہونا، B) گھوڑے کو قابو کرنے اور بھاری لاش کے لیے کشتی لڑنے کی جسمانی مشقت بہت زیادہ ہے، C) طویل عرصے تک سانس روکے رکھنے کے قابل ہونا، D) یہ اہم نہیں ہے۔")</f>
        <v>A) گھوڑے کے بغیر بھاگنے کے قابل ہونا، B) گھوڑے کو قابو کرنے اور بھاری لاش کے لیے کشتی لڑنے کی جسمانی مشقت بہت زیادہ ہے، C) طویل عرصے تک سانس روکے رکھنے کے قابل ہونا، D) یہ اہم نہیں ہے۔</v>
      </c>
      <c r="L117" s="6" t="str">
        <f>IFERROR(__xludf.DUMMYFUNCTION("GOOGLETRANSLATE(D117, ""en"", ""ur"")"),"ب) گھوڑے کو قابو کرنے اور بھاری لاش کے لیے کشتی لڑنے کی جسمانی مشقت بہت زیادہ ہے۔")</f>
        <v>ب) گھوڑے کو قابو کرنے اور بھاری لاش کے لیے کشتی لڑنے کی جسمانی مشقت بہت زیادہ ہے۔</v>
      </c>
      <c r="M117" s="6" t="str">
        <f>IFERROR(__xludf.DUMMYFUNCTION("GOOGLETRANSLATE(E117, ""en"", ""ur"")"),"بزکشی ایک ناقابل یقین حد تک مطالبہ کرنے والا کھیل ہے جس میں سوار سے اعلی درجے کی طاقت اور صلاحیت کی ضرورت ہوتی ہے۔")</f>
        <v>بزکشی ایک ناقابل یقین حد تک مطالبہ کرنے والا کھیل ہے جس میں سوار سے اعلی درجے کی طاقت اور صلاحیت کی ضرورت ہوتی ہے۔</v>
      </c>
    </row>
    <row r="118">
      <c r="A118" s="4">
        <v>117.0</v>
      </c>
      <c r="B118" s="5" t="s">
        <v>1059</v>
      </c>
      <c r="C118" s="5" t="s">
        <v>1060</v>
      </c>
      <c r="D118" s="5" t="s">
        <v>1061</v>
      </c>
      <c r="E118" s="5" t="s">
        <v>1062</v>
      </c>
      <c r="J118" s="6" t="str">
        <f>IFERROR(__xludf.DUMMYFUNCTION("GOOGLETRANSLATE(B118, ""en"", ""ur"")"),"ریفری کھیل روکتا ہے اور ٹیم B کو ایک پوائنٹ دیتا ہے کیونکہ ٹیم A کا ایک سوار ""خطرناک طریقے سے سواری کر رہا تھا۔"" اس سوار نے کیا کیا ہوگا؟")</f>
        <v>ریفری کھیل روکتا ہے اور ٹیم B کو ایک پوائنٹ دیتا ہے کیونکہ ٹیم A کا ایک سوار "خطرناک طریقے سے سواری کر رہا تھا۔" اس سوار نے کیا کیا ہوگا؟</v>
      </c>
      <c r="K118" s="6" t="str">
        <f>IFERROR(__xludf.DUMMYFUNCTION("GOOGLETRANSLATE(C118, ""en"", ""ur"")"),"A) بہت تیزی سے سوار ہونا، B) ایک لاپرواہی کا مظاہرہ کیا جس نے دوسرے کھلاڑیوں کو خطرے میں ڈال دیا، C) چابک کا استعمال نہیں کیا، D) غلط رنگ پہنا")</f>
        <v>A) بہت تیزی سے سوار ہونا، B) ایک لاپرواہی کا مظاہرہ کیا جس نے دوسرے کھلاڑیوں کو خطرے میں ڈال دیا، C) چابک کا استعمال نہیں کیا، D) غلط رنگ پہنا</v>
      </c>
      <c r="L118" s="6" t="str">
        <f>IFERROR(__xludf.DUMMYFUNCTION("GOOGLETRANSLATE(D118, ""en"", ""ur"")"),"ب) ایک لاپرواہی کا مظاہرہ کیا جس نے دوسرے کھلاڑیوں کو خطرے میں ڈال دیا۔")</f>
        <v>ب) ایک لاپرواہی کا مظاہرہ کیا جس نے دوسرے کھلاڑیوں کو خطرے میں ڈال دیا۔</v>
      </c>
      <c r="M118" s="6" t="str">
        <f>IFERROR(__xludf.DUMMYFUNCTION("GOOGLETRANSLATE(E118, ""en"", ""ur"")"),"ریفری کو اختیار ہے کہ وہ کسی بھی ایسی کارروائی کو جرمانہ کرے جسے وہ دوسروں کی حفاظت کے لیے جان بوجھ کر اور خطرناک نظر انداز کرتے ہیں۔")</f>
        <v>ریفری کو اختیار ہے کہ وہ کسی بھی ایسی کارروائی کو جرمانہ کرے جسے وہ دوسروں کی حفاظت کے لیے جان بوجھ کر اور خطرناک نظر انداز کرتے ہیں۔</v>
      </c>
    </row>
    <row r="119">
      <c r="A119" s="4">
        <v>118.0</v>
      </c>
      <c r="B119" s="5" t="s">
        <v>1063</v>
      </c>
      <c r="C119" s="5" t="s">
        <v>1064</v>
      </c>
      <c r="D119" s="5" t="s">
        <v>1065</v>
      </c>
      <c r="E119" s="5" t="s">
        <v>1066</v>
      </c>
      <c r="J119" s="6" t="str">
        <f>IFERROR(__xludf.DUMMYFUNCTION("GOOGLETRANSLATE(B119, ""en"", ""ur"")"),"چابک سے نہ ڈرنے کے لیے گھوڑے کو تربیت دینا کیوں ضروری ہے؟")</f>
        <v>چابک سے نہ ڈرنے کے لیے گھوڑے کو تربیت دینا کیوں ضروری ہے؟</v>
      </c>
      <c r="K119" s="6" t="str">
        <f>IFERROR(__xludf.DUMMYFUNCTION("GOOGLETRANSLATE(C119, ""en"", ""ur"")"),"A) اس لیے سوار اسے زیادہ زور سے مار سکتا ہے، B) ایک گھوڑا جس کو چابک سے ڈر لگتا ہے کہ اس کے استعمال سے گھبراہٹ یا بولٹ ہو سکتا ہے، C) یہ اہم نہیں ہے، D) اس لیے چابک دوسرے گھوڑوں پر بھی استعمال کیا جا سکتا ہے۔")</f>
        <v>A) اس لیے سوار اسے زیادہ زور سے مار سکتا ہے، B) ایک گھوڑا جس کو چابک سے ڈر لگتا ہے کہ اس کے استعمال سے گھبراہٹ یا بولٹ ہو سکتا ہے، C) یہ اہم نہیں ہے، D) اس لیے چابک دوسرے گھوڑوں پر بھی استعمال کیا جا سکتا ہے۔</v>
      </c>
      <c r="L119" s="6" t="str">
        <f>IFERROR(__xludf.DUMMYFUNCTION("GOOGLETRANSLATE(D119, ""en"", ""ur"")"),"ب) ایک گھوڑا جس کو چابک سے ڈر لگتا ہے جب اسے استعمال کیا جائے تو گھبراہٹ یا بولٹ ہو سکتا ہے۔")</f>
        <v>ب) ایک گھوڑا جس کو چابک سے ڈر لگتا ہے جب اسے استعمال کیا جائے تو گھبراہٹ یا بولٹ ہو سکتا ہے۔</v>
      </c>
      <c r="M119" s="6" t="str">
        <f>IFERROR(__xludf.DUMMYFUNCTION("GOOGLETRANSLATE(E119, ""en"", ""ur"")"),"کوڑا رہنمائی کا ایک ذریعہ ہے۔ گھوڑے کو سگنل کے طور پر جواب دینے کے لیے تربیت دی جانی چاہیے، خوف کے ساتھ ردعمل ظاہر کرنے کے لیے نہیں، جو اسے بے قابو کر دے گا۔")</f>
        <v>کوڑا رہنمائی کا ایک ذریعہ ہے۔ گھوڑے کو سگنل کے طور پر جواب دینے کے لیے تربیت دی جانی چاہیے، خوف کے ساتھ ردعمل ظاہر کرنے کے لیے نہیں، جو اسے بے قابو کر دے گا۔</v>
      </c>
    </row>
    <row r="120">
      <c r="A120" s="4">
        <v>119.0</v>
      </c>
      <c r="B120" s="5" t="s">
        <v>1067</v>
      </c>
      <c r="C120" s="5" t="s">
        <v>1068</v>
      </c>
      <c r="D120" s="5" t="s">
        <v>1069</v>
      </c>
      <c r="E120" s="5" t="s">
        <v>1070</v>
      </c>
      <c r="J120" s="6" t="str">
        <f>IFERROR(__xludf.DUMMYFUNCTION("GOOGLETRANSLATE(B120, ""en"", ""ur"")"),"روایتی، لمبے لحاف والے لباس کا کیا نام ہے جو کبھی کبھی سواروں کے تحفظ اور حیثیت کے لیے پہنا جاتا ہے؟")</f>
        <v>روایتی، لمبے لحاف والے لباس کا کیا نام ہے جو کبھی کبھی سواروں کے تحفظ اور حیثیت کے لیے پہنا جاتا ہے؟</v>
      </c>
      <c r="K120" s="6" t="str">
        <f>IFERROR(__xludf.DUMMYFUNCTION("GOOGLETRANSLATE(C120, ""en"", ""ur"")"),"A) سلوار قمیض، B) شیروانی، C) چپن، D) کرتہ")</f>
        <v>A) سلوار قمیض، B) شیروانی، C) چپن، D) کرتہ</v>
      </c>
      <c r="L120" s="6" t="str">
        <f>IFERROR(__xludf.DUMMYFUNCTION("GOOGLETRANSLATE(D120, ""en"", ""ur"")"),"ج) چاپان")</f>
        <v>ج) چاپان</v>
      </c>
      <c r="M120" s="6" t="str">
        <f>IFERROR(__xludf.DUMMYFUNCTION("GOOGLETRANSLATE(E120, ""en"", ""ur"")"),"چپن وسطی ایشیا کے لیے روایتی ایک بھاری، بولڈ کوٹ ہے جو حیثیت کی علامت اور حفاظتی لباس دونوں کے طور پر کام کرتا ہے۔")</f>
        <v>چپن وسطی ایشیا کے لیے روایتی ایک بھاری، بولڈ کوٹ ہے جو حیثیت کی علامت اور حفاظتی لباس دونوں کے طور پر کام کرتا ہے۔</v>
      </c>
    </row>
    <row r="121">
      <c r="A121" s="4">
        <v>120.0</v>
      </c>
      <c r="B121" s="5" t="s">
        <v>1071</v>
      </c>
      <c r="C121" s="5" t="s">
        <v>1072</v>
      </c>
      <c r="D121" s="5" t="s">
        <v>1073</v>
      </c>
      <c r="E121" s="5" t="s">
        <v>1074</v>
      </c>
      <c r="J121" s="6" t="str">
        <f>IFERROR(__xludf.DUMMYFUNCTION("GOOGLETRANSLATE(B121, ""en"", ""ur"")"),"اگر کوئی اسپانسر پہلے اسکور کے لیے بہت بڑا انعام (جیسے ایک نیا ٹرک) پیش کرتا ہے، تو یہ عام طور پر گیم کے آغاز پر کیسے اثر انداز ہوتا ہے؟")</f>
        <v>اگر کوئی اسپانسر پہلے اسکور کے لیے بہت بڑا انعام (جیسے ایک نیا ٹرک) پیش کرتا ہے، تو یہ عام طور پر گیم کے آغاز پر کیسے اثر انداز ہوتا ہے؟</v>
      </c>
      <c r="K121" s="6" t="str">
        <f>IFERROR(__xludf.DUMMYFUNCTION("GOOGLETRANSLATE(C121, ""en"", ""ur"")"),"A)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f>
        <v>A) آغاز زیادہ محتاط ہے، B) لاش کے لیے ابتدائی اسکرم غیر معمولی طور پر شدید اور افراتفری کا حامل ہے، C) سوار انعام بانٹنے کا فیصلہ کرتے ہیں، D) اس کا کوئی اثر نہیں ہوتا</v>
      </c>
      <c r="L121" s="6" t="str">
        <f>IFERROR(__xludf.DUMMYFUNCTION("GOOGLETRANSLATE(D121, ""en"", ""ur"")"),"ب) لاش کے لیے ابتدائی اسکرم غیر معمولی طور پر شدید اور افراتفری کا ہوتا ہے۔")</f>
        <v>ب) لاش کے لیے ابتدائی اسکرم غیر معمولی طور پر شدید اور افراتفری کا ہوتا ہے۔</v>
      </c>
      <c r="M121" s="6" t="str">
        <f>IFERROR(__xludf.DUMMYFUNCTION("GOOGLETRANSLATE(E121, ""en"", ""ur"")"),"پہلے پوائنٹ کے لیے ایک قیمتی انعام ہر سوار کے لیے شروع سے ہی انتہائی جارحانہ ہونے کی زبردست ترغیب دیتا ہے۔")</f>
        <v>پہلے پوائنٹ کے لیے ایک قیمتی انعام ہر سوار کے لیے شروع سے ہی انتہائی جارحانہ ہونے کی زبردست ترغیب دیتا ہے۔</v>
      </c>
    </row>
    <row r="122">
      <c r="A122" s="4">
        <v>121.0</v>
      </c>
      <c r="B122" s="5" t="s">
        <v>1075</v>
      </c>
      <c r="C122" s="5" t="s">
        <v>1076</v>
      </c>
      <c r="D122" s="5" t="s">
        <v>1077</v>
      </c>
      <c r="E122" s="5" t="s">
        <v>1078</v>
      </c>
      <c r="J122" s="6" t="str">
        <f>IFERROR(__xludf.DUMMYFUNCTION("GOOGLETRANSLATE(B122, ""en"", ""ur"")"),"ایک سوار لاش کو لے جا رہا ہے، اور ایک مخالف سوار کی ٹانگ پکڑ رہا ہے۔ کال کیا ہے؟")</f>
        <v>ایک سوار لاش کو لے جا رہا ہے، اور ایک مخالف سوار کی ٹانگ پکڑ رہا ہے۔ کال کیا ہے؟</v>
      </c>
      <c r="K122" s="6" t="str">
        <f>IFERROR(__xludf.DUMMYFUNCTION("GOOGLETRANSLATE(C122, ""en"", ""ur"")"),"A) ایک قانونی طور پر ہٹانے کی کوشش، B) رائیڈر کو پکڑنے کے لئے مخالف پر ایک غلط، C) کھیل جاری ہے، D) جس سوار کو روکا گیا تھا اسے جرمانہ ملتا ہے")</f>
        <v>A) ایک قانونی طور پر ہٹانے کی کوشش، B) رائیڈر کو پکڑنے کے لئے مخالف پر ایک غلط، C) کھیل جاری ہے، D) جس سوار کو روکا گیا تھا اسے جرمانہ ملتا ہے</v>
      </c>
      <c r="L122" s="6" t="str">
        <f>IFERROR(__xludf.DUMMYFUNCTION("GOOGLETRANSLATE(D122, ""en"", ""ur"")"),"ب) سوار کو پکڑنے پر مخالف پر فاؤل")</f>
        <v>ب) سوار کو پکڑنے پر مخالف پر فاؤل</v>
      </c>
      <c r="M122" s="6" t="str">
        <f>IFERROR(__xludf.DUMMYFUNCTION("GOOGLETRANSLATE(E122, ""en"", ""ur"")"),"سوار کے جسم کے کسی بھی حصے کو پکڑنا غیر قانونی ہے۔ کھلاڑی صرف لاش کے لیے ہی مقابلہ کر سکتے ہیں۔")</f>
        <v>سوار کے جسم کے کسی بھی حصے کو پکڑنا غیر قانونی ہے۔ کھلاڑی صرف لاش کے لیے ہی مقابلہ کر سکتے ہیں۔</v>
      </c>
    </row>
    <row r="123">
      <c r="A123" s="4">
        <v>122.0</v>
      </c>
      <c r="B123" s="5" t="s">
        <v>1079</v>
      </c>
      <c r="C123" s="5" t="s">
        <v>1080</v>
      </c>
      <c r="D123" s="5" t="s">
        <v>1081</v>
      </c>
      <c r="E123" s="5" t="s">
        <v>1082</v>
      </c>
      <c r="J123" s="6" t="str">
        <f>IFERROR(__xludf.DUMMYFUNCTION("GOOGLETRANSLATE(B123, ""en"", ""ur"")"),"کھیل سے پہلے کے معائنہ کے دوران گھوڑے کے مسترد ہونے کی بنیادی وجہ کیا ہے؟")</f>
        <v>کھیل سے پہلے کے معائنہ کے دوران گھوڑے کے مسترد ہونے کی بنیادی وجہ کیا ہے؟</v>
      </c>
      <c r="K123" s="6" t="str">
        <f>IFERROR(__xludf.DUMMYFUNCTION("GOOGLETRANSLATE(C123, ""en"", ""ur"")"),"A) یہ غلط رنگ ہے، B) یہ لنگڑے پن یا بیماری کی علامات ظاہر کرتا ہے، C) یہ بہت پرانا ہے، D) یہ گھوڑے کی بجائے گھوڑی ہے۔")</f>
        <v>A) یہ غلط رنگ ہے، B) یہ لنگڑے پن یا بیماری کی علامات ظاہر کرتا ہے، C) یہ بہت پرانا ہے، D) یہ گھوڑے کی بجائے گھوڑی ہے۔</v>
      </c>
      <c r="L123" s="6" t="str">
        <f>IFERROR(__xludf.DUMMYFUNCTION("GOOGLETRANSLATE(D123, ""en"", ""ur"")"),"ب) یہ لنگڑے پن یا بیماری کی علامات ظاہر کرتا ہے۔")</f>
        <v>ب) یہ لنگڑے پن یا بیماری کی علامات ظاہر کرتا ہے۔</v>
      </c>
      <c r="M123" s="6" t="str">
        <f>IFERROR(__xludf.DUMMYFUNCTION("GOOGLETRANSLATE(E123, ""en"", ""ur"")"),"ڈاکٹر کا بنیادی کردار جانوروں کی فلاح و بہبود ہے، اور کوئی بھی گھوڑا جو جسمانی طور پر ٹھیک نہیں ہے اسے مقابلہ کرنے سے نااہل کر دیا جائے گا۔")</f>
        <v>ڈاکٹر کا بنیادی کردار جانوروں کی فلاح و بہبود ہے، اور کوئی بھی گھوڑا جو جسمانی طور پر ٹھیک نہیں ہے اسے مقابلہ کرنے سے نااہل کر دیا جائے گا۔</v>
      </c>
    </row>
    <row r="124">
      <c r="A124" s="4">
        <v>123.0</v>
      </c>
      <c r="B124" s="5" t="s">
        <v>1083</v>
      </c>
      <c r="C124" s="5" t="s">
        <v>1084</v>
      </c>
      <c r="D124" s="5" t="s">
        <v>1085</v>
      </c>
      <c r="E124" s="5" t="s">
        <v>1086</v>
      </c>
      <c r="J124" s="6" t="str">
        <f>IFERROR(__xludf.DUMMYFUNCTION("GOOGLETRANSLATE(B124, ""en"", ""ur"")"),"سوار کے گھوڑے کا ""سخت منہ"" ہوتا ہے۔ سوار کے لیے اس کا کیا مطلب ہے؟")</f>
        <v>سوار کے گھوڑے کا "سخت منہ" ہوتا ہے۔ سوار کے لیے اس کا کیا مطلب ہے؟</v>
      </c>
      <c r="K124" s="6" t="str">
        <f>IFERROR(__xludf.DUMMYFUNCTION("GOOGLETRANSLATE(C124, ""en"", ""ur"")"),"A)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f>
        <v>A) گھوڑا لگام کے لئے بہت جوابدہ ہے، B) گھوڑا لگام لگانے کے لئے غیر ذمہ دار ہے اور اس پر قابو پانا مشکل ہے، C) گھوڑا دوسرے گھوڑوں کو کاٹتا ہے، D) گھوڑے کے مضبوط دانت ہیں</v>
      </c>
      <c r="L124" s="6" t="str">
        <f>IFERROR(__xludf.DUMMYFUNCTION("GOOGLETRANSLATE(D124, ""en"", ""ur"")"),"ب) گھوڑا اشاروں کو لگام دینے کے لیے غیر جوابدہ ہے اور اس پر قابو پانا مشکل ہے۔")</f>
        <v>ب) گھوڑا اشاروں کو لگام دینے کے لیے غیر جوابدہ ہے اور اس پر قابو پانا مشکل ہے۔</v>
      </c>
      <c r="M124" s="6" t="str">
        <f>IFERROR(__xludf.DUMMYFUNCTION("GOOGLETRANSLATE(E124, ""en"", ""ur"")"),"ایک ""سخت منہ"" ایک منفی خصلت ہے، جس سے یہ ظاہر ہوتا ہے کہ گھوڑا سوار کے اشاروں کو نظر انداز کرتا ہے، جس سے یہ بزکشی جیسے تکنیکی کھیل کے لیے ناقص ماؤنٹ ہے۔")</f>
        <v>ایک "سخت منہ" ایک منفی خصلت ہے، جس سے یہ ظاہر ہوتا ہے کہ گھوڑا سوار کے اشاروں کو نظر انداز کرتا ہے، جس سے یہ بزکشی جیسے تکنیکی کھیل کے لیے ناقص ماؤنٹ ہے۔</v>
      </c>
    </row>
    <row r="125">
      <c r="A125" s="4">
        <v>124.0</v>
      </c>
      <c r="B125" s="5" t="s">
        <v>1087</v>
      </c>
      <c r="C125" s="5" t="s">
        <v>1088</v>
      </c>
      <c r="D125" s="5" t="s">
        <v>1089</v>
      </c>
      <c r="E125" s="5" t="s">
        <v>1090</v>
      </c>
      <c r="J125" s="6" t="str">
        <f>IFERROR(__xludf.DUMMYFUNCTION("GOOGLETRANSLATE(B125, ""en"", ""ur"")"),"اگر میت کو گرا دیا جائے اور براہ راست باؤنڈری لائن پر آ جائے تو کیا حکم ہے؟")</f>
        <v>اگر میت کو گرا دیا جائے اور براہ راست باؤنڈری لائن پر آ جائے تو کیا حکم ہے؟</v>
      </c>
      <c r="K125" s="6" t="str">
        <f>IFERROR(__xludf.DUMMYFUNCTION("GOOGLETRANSLATE(C125, ""en"", ""ur"")"),"A)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f>
        <v>A) یہ کھیل میں ہے، B) یہ کھیل سے باہر ہے اور اسے دوبارہ ترتیب دینا ضروری ہے، C) اسے چھونے والا آخری کھلاڑی پوائنٹ جیتتا ہے، D) اسے چھونے والے پہلے کھلاڑی کو دوبارہ قبضہ مل جاتا ہے۔</v>
      </c>
      <c r="L125" s="6" t="str">
        <f>IFERROR(__xludf.DUMMYFUNCTION("GOOGLETRANSLATE(D125, ""en"", ""ur"")"),"ب) یہ کھیل سے باہر ہے اور اسے دوبارہ ترتیب دینا ضروری ہے۔")</f>
        <v>ب) یہ کھیل سے باہر ہے اور اسے دوبارہ ترتیب دینا ضروری ہے۔</v>
      </c>
      <c r="M125" s="6" t="str">
        <f>IFERROR(__xludf.DUMMYFUNCTION("GOOGLETRANSLATE(E125, ""en"", ""ur"")"),"باؤنڈری لائن کو ہی کھیل سے باہر سمجھا جاتا ہے۔ لاش کو مکمل طور پر کھیت کے اندر ہونا چاہیے۔")</f>
        <v>باؤنڈری لائن کو ہی کھیل سے باہر سمجھا جاتا ہے۔ لاش کو مکمل طور پر کھیت کے اندر ہونا چاہیے۔</v>
      </c>
    </row>
    <row r="126">
      <c r="A126" s="4">
        <v>125.0</v>
      </c>
      <c r="B126" s="5" t="s">
        <v>1091</v>
      </c>
      <c r="C126" s="5" t="s">
        <v>1092</v>
      </c>
      <c r="D126" s="5" t="s">
        <v>1093</v>
      </c>
      <c r="E126" s="5" t="s">
        <v>1094</v>
      </c>
      <c r="J126" s="6" t="str">
        <f>IFERROR(__xludf.DUMMYFUNCTION("GOOGLETRANSLATE(B126, ""en"", ""ur"")"),"پشتون ثقافت میں اکثر شادیوں میں کھیلے جانے والے کھیل کی ثقافتی اہمیت کیا ہے؟")</f>
        <v>پشتون ثقافت میں اکثر شادیوں میں کھیلے جانے والے کھیل کی ثقافتی اہمیت کیا ہے؟</v>
      </c>
      <c r="K126" s="6" t="str">
        <f>IFERROR(__xludf.DUMMYFUNCTION("GOOGLETRANSLATE(C126, ""en"", ""ur"")"),"A) یہ مہمانوں کے لیے تفریح ​​کی ایک شکل ہے، B) یہ خاندانوں کی طاقت، دولت اور عزت کی نمائش ہے، C) یہ شوہر کے انتخاب کا ایک طریقہ ہے، D) یہ ایک ضروری مذہبی تقریب ہے۔")</f>
        <v>A) یہ مہمانوں کے لیے تفریح ​​کی ایک شکل ہے، B) یہ خاندانوں کی طاقت، دولت اور عزت کی نمائش ہے، C) یہ شوہر کے انتخاب کا ایک طریقہ ہے، D) یہ ایک ضروری مذہبی تقریب ہے۔</v>
      </c>
      <c r="L126" s="6" t="str">
        <f>IFERROR(__xludf.DUMMYFUNCTION("GOOGLETRANSLATE(D126, ""en"", ""ur"")"),"ب) یہ خاندانوں کی طاقت، دولت اور عزت کی نمائش ہے۔")</f>
        <v>ب) یہ خاندانوں کی طاقت، دولت اور عزت کی نمائش ہے۔</v>
      </c>
      <c r="M126" s="6" t="str">
        <f>IFERROR(__xludf.DUMMYFUNCTION("GOOGLETRANSLATE(E126, ""en"", ""ur"")"),"ایک بڑے بزکشی میچ کی میزبانی ایک اہم اور باوقار تقریب ہے جو اس میں شامل خاندانوں کی حیثیت کو ظاہر کرتی ہے۔")</f>
        <v>ایک بڑے بزکشی میچ کی میزبانی ایک اہم اور باوقار تقریب ہے جو اس میں شامل خاندانوں کی حیثیت کو ظاہر کرتی ہے۔</v>
      </c>
    </row>
    <row r="127">
      <c r="A127" s="4">
        <v>126.0</v>
      </c>
      <c r="B127" s="5" t="s">
        <v>1095</v>
      </c>
      <c r="C127" s="5" t="s">
        <v>1096</v>
      </c>
      <c r="D127" s="5" t="s">
        <v>1097</v>
      </c>
      <c r="E127" s="5" t="s">
        <v>1098</v>
      </c>
      <c r="J127" s="6" t="str">
        <f>IFERROR(__xludf.DUMMYFUNCTION("GOOGLETRANSLATE(B127, ""en"", ""ur"")"),"ایک سوار کامیابی کے ساتھ اسکورنگ دائرے میں لاش حاصل کرتا ہے، لیکن یہ مقررہ میچ کا اختتام ہوتا ہے۔ آخری سیٹی اس وقت بجی جب سوار اپنے راستے میں تھا۔ کیا اسکور شمار ہوتا ہے؟")</f>
        <v>ایک سوار کامیابی کے ساتھ اسکورنگ دائرے میں لاش حاصل کرتا ہے، لیکن یہ مقررہ میچ کا اختتام ہوتا ہے۔ آخری سیٹی اس وقت بجی جب سوار اپنے راستے میں تھا۔ کیا اسکور شمار ہوتا ہے؟</v>
      </c>
      <c r="K127" s="6" t="str">
        <f>IFERROR(__xludf.DUMMYFUNCTION("GOOGLETRANSLATE(C127, ""en"", ""ur"")"),"A) ہاں، ڈرامے کو مکمل کرنے کی اجازت ہے، B) نہیں، وقت ختم ہونے سے پہلے اسکور بنانا ضروری ہے، C) سوار کو آدھا پوائنٹ مل جاتا ہے، D) ٹیمیں اوور ٹائم راؤنڈ کھیلتی ہیں۔")</f>
        <v>A) ہاں، ڈرامے کو مکمل کرنے کی اجازت ہے، B) نہیں، وقت ختم ہونے سے پہلے اسکور بنانا ضروری ہے، C) سوار کو آدھا پوائنٹ مل جاتا ہے، D) ٹیمیں اوور ٹائم راؤنڈ کھیلتی ہیں۔</v>
      </c>
      <c r="L127" s="6" t="str">
        <f>IFERROR(__xludf.DUMMYFUNCTION("GOOGLETRANSLATE(D127, ""en"", ""ur"")"),"ب) نہیں، وقت ختم ہونے سے پہلے سکور بنانا ضروری ہے۔")</f>
        <v>ب) نہیں، وقت ختم ہونے سے پہلے سکور بنانا ضروری ہے۔</v>
      </c>
      <c r="M127" s="6" t="str">
        <f>IFERROR(__xludf.DUMMYFUNCTION("GOOGLETRANSLATE(E127, ""en"", ""ur"")"),"کچھ کھیلوں کے برعکس، آخری سیٹی بجنے پر کھیل ختم ہو جاتا ہے۔ سیٹی بجانے کے بعد مکمل کیا گیا کوئی عمل باطل ہے۔")</f>
        <v>کچھ کھیلوں کے برعکس، آخری سیٹی بجنے پر کھیل ختم ہو جاتا ہے۔ سیٹی بجانے کے بعد مکمل کیا گیا کوئی عمل باطل ہے۔</v>
      </c>
    </row>
    <row r="128">
      <c r="A128" s="4">
        <v>127.0</v>
      </c>
      <c r="B128" s="5" t="s">
        <v>1099</v>
      </c>
      <c r="C128" s="5" t="s">
        <v>1100</v>
      </c>
      <c r="D128" s="5" t="s">
        <v>1101</v>
      </c>
      <c r="E128" s="5" t="s">
        <v>1102</v>
      </c>
      <c r="J128" s="6" t="str">
        <f>IFERROR(__xludf.DUMMYFUNCTION("GOOGLETRANSLATE(B128, ""en"", ""ur"")"),"ایک سوار کی مضبوط گرفت کی بنیادی وجہ کیا ہے؟")</f>
        <v>ایک سوار کی مضبوط گرفت کی بنیادی وجہ کیا ہے؟</v>
      </c>
      <c r="K128" s="6" t="str">
        <f>IFERROR(__xludf.DUMMYFUNCTION("GOOGLETRANSLATE(C128, ""en"", ""ur"")"),"A) لگام کو مضبوطی سے پکڑنا، B) بھاری اور پھسلنے والی لاش کو اس وقت پکڑنا جب مخالفین اسے کھینچ رہے ہوں، C) کاٹھی پر رہنے میں ان کی مدد کرنا، D) چابک کو قابو میں رکھنا")</f>
        <v>A) لگام کو مضبوطی سے پکڑنا، B) بھاری اور پھسلنے والی لاش کو اس وقت پکڑنا جب مخالفین اسے کھینچ رہے ہوں، C) کاٹھی پر رہنے میں ان کی مدد کرنا، D) چابک کو قابو میں رکھنا</v>
      </c>
      <c r="L128" s="6" t="str">
        <f>IFERROR(__xludf.DUMMYFUNCTION("GOOGLETRANSLATE(D128, ""en"", ""ur"")"),"ب) بھاری اور پھسلنے والی لاش کو اس وقت پکڑنا جب مخالفین اسے کھینچ رہے ہوں۔")</f>
        <v>ب) بھاری اور پھسلنے والی لاش کو اس وقت پکڑنا جب مخالفین اسے کھینچ رہے ہوں۔</v>
      </c>
      <c r="M128" s="6" t="str">
        <f>IFERROR(__xludf.DUMMYFUNCTION("GOOGLETRANSLATE(E128, ""en"", ""ur"")"),"پورا کھیل لاش کے قبضے کے گرد گھومتا ہے، جسے برقرار رکھنے کے لیے گرفت کی بے پناہ طاقت کی ضرورت ہوتی ہے۔")</f>
        <v>پورا کھیل لاش کے قبضے کے گرد گھومتا ہے، جسے برقرار رکھنے کے لیے گرفت کی بے پناہ طاقت کی ضرورت ہوتی ہے۔</v>
      </c>
    </row>
    <row r="129">
      <c r="A129" s="4">
        <v>128.0</v>
      </c>
      <c r="B129" s="5" t="s">
        <v>1103</v>
      </c>
      <c r="C129" s="5" t="s">
        <v>1104</v>
      </c>
      <c r="D129" s="5" t="s">
        <v>1105</v>
      </c>
      <c r="E129" s="5" t="s">
        <v>1106</v>
      </c>
      <c r="J129" s="6" t="str">
        <f>IFERROR(__xludf.DUMMYFUNCTION("GOOGLETRANSLATE(B129, ""en"", ""ur"")"),"چھپے ہوئے تیز دھار کے ساتھ کاٹھی استعمال کرنے پر سوار کو نااہل قرار دیا جاتا ہے۔ یہ ایک سنگین فاؤل کیوں ہے؟")</f>
        <v>چھپے ہوئے تیز دھار کے ساتھ کاٹھی استعمال کرنے پر سوار کو نااہل قرار دیا جاتا ہے۔ یہ ایک سنگین فاؤل کیوں ہے؟</v>
      </c>
      <c r="K129" s="6" t="str">
        <f>IFERROR(__xludf.DUMMYFUNCTION("GOOGLETRANSLATE(C129, ""en"", ""ur"")"),"A)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f>
        <v>A) یہ لاش کو نقصان پہنچا سکتا ہے، B) اسے مخالف گھوڑوں اور سواروں کو زخمی کرنے کے لیے بطور ہتھیار استعمال کیا جا سکتا ہے، C) یہ روایتی کاٹھی نہیں ہے، D) یہ اضافی وزن بڑھاتا ہے۔</v>
      </c>
      <c r="L129" s="6" t="str">
        <f>IFERROR(__xludf.DUMMYFUNCTION("GOOGLETRANSLATE(D129, ""en"", ""ur"")"),"ب) اسے مخالف گھوڑوں اور سواروں کو زخمی کرنے کے لیے بطور ہتھیار استعمال کیا جا سکتا ہے۔")</f>
        <v>ب) اسے مخالف گھوڑوں اور سواروں کو زخمی کرنے کے لیے بطور ہتھیار استعمال کیا جا سکتا ہے۔</v>
      </c>
      <c r="M129" s="6" t="str">
        <f>IFERROR(__xludf.DUMMYFUNCTION("GOOGLETRANSLATE(E129, ""en"", ""ur"")"),"ہتھیار بنانے کے لیے ساز و سامان کے ساتھ چھیڑ چھاڑ حفاظت اور کھیلوں کی مہارت کی بڑی خلاف ورزی ہے۔")</f>
        <v>ہتھیار بنانے کے لیے ساز و سامان کے ساتھ چھیڑ چھاڑ حفاظت اور کھیلوں کی مہارت کی بڑی خلاف ورزی ہے۔</v>
      </c>
    </row>
    <row r="130">
      <c r="A130" s="4">
        <v>129.0</v>
      </c>
      <c r="B130" s="5" t="s">
        <v>1107</v>
      </c>
      <c r="C130" s="5" t="s">
        <v>1108</v>
      </c>
      <c r="D130" s="5" t="s">
        <v>1109</v>
      </c>
      <c r="E130" s="5" t="s">
        <v>1110</v>
      </c>
      <c r="J130" s="6" t="str">
        <f>IFERROR(__xludf.DUMMYFUNCTION("GOOGLETRANSLATE(B130, ""en"", ""ur"")"),"کھیل کے قاراجئی ورژن میں پرچم یا عالم کا کیا کردار ہے؟")</f>
        <v>کھیل کے قاراجئی ورژن میں پرچم یا عالم کا کیا کردار ہے؟</v>
      </c>
      <c r="K130" s="6" t="str">
        <f>IFERROR(__xludf.DUMMYFUNCTION("GOOGLETRANSLATE(C130, ""en"", ""ur"")"),"A)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f>
        <v>A) یہ نقطہ آغاز ہے، B) یہ ایک ٹرننگ مارکر ہے جس پر سوار کو گول کرنے سے پہلے اس کے ارد گرد جانا ضروری ہے، C) یہ اسپانسر کرنے والے قبیلے کی علامت ہے، D) یہ خود گول کرنے والا گول ہے۔</v>
      </c>
      <c r="L130" s="6" t="str">
        <f>IFERROR(__xludf.DUMMYFUNCTION("GOOGLETRANSLATE(D130, ""en"", ""ur"")"),"ب) یہ ایک ٹرننگ مارکر ہے کہ ایک سوار کو گول کرنے سے پہلے اس کے ارد گرد جانا ضروری ہے۔")</f>
        <v>ب) یہ ایک ٹرننگ مارکر ہے کہ ایک سوار کو گول کرنے سے پہلے اس کے ارد گرد جانا ضروری ہے۔</v>
      </c>
      <c r="M130" s="6" t="str">
        <f>IFERROR(__xludf.DUMMYFUNCTION("GOOGLETRANSLATE(E130, ""en"", ""ur"")"),"کورس کی تعریف ابتدائی دائرے، جھنڈے اور اسکورنگ دائرے سے ہوتی ہے۔ درست اسکورنگ رن حاصل کرنے کے لیے سوار کو جھنڈا پاس کرنا چاہیے۔")</f>
        <v>کورس کی تعریف ابتدائی دائرے، جھنڈے اور اسکورنگ دائرے سے ہوتی ہے۔ درست اسکورنگ رن حاصل کرنے کے لیے سوار کو جھنڈا پاس کرنا چاہیے۔</v>
      </c>
    </row>
    <row r="131">
      <c r="A131" s="4">
        <v>130.0</v>
      </c>
      <c r="B131" s="5" t="s">
        <v>1111</v>
      </c>
      <c r="C131" s="5" t="s">
        <v>1112</v>
      </c>
      <c r="D131" s="5" t="s">
        <v>1113</v>
      </c>
      <c r="E131" s="5" t="s">
        <v>1114</v>
      </c>
      <c r="J131" s="6" t="str">
        <f>IFERROR(__xludf.DUMMYFUNCTION("GOOGLETRANSLATE(B131, ""en"", ""ur"")"),"ایک سوار لاش کو اٹھانے کے لیے جدوجہد کر رہا ہے۔ اس کا ساتھی اوپر چڑھتا ہے اور اسے اٹھانے میں اس کی مدد کرتا ہے۔ کیا یہ قانونی ہے؟")</f>
        <v>ایک سوار لاش کو اٹھانے کے لیے جدوجہد کر رہا ہے۔ اس کا ساتھی اوپر چڑھتا ہے اور اسے اٹھانے میں اس کی مدد کرتا ہے۔ کیا یہ قانونی ہے؟</v>
      </c>
      <c r="K131" s="6" t="str">
        <f>IFERROR(__xludf.DUMMYFUNCTION("GOOGLETRANSLATE(C131, ""en"", ""ur"")"),"A)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f>
        <v>A) ہاں، یہ اچھی ٹیم ورک ہے، B) نہیں، ایک وقت میں صرف ایک سوار لاش کے قبضے میں ہو سکتا ہے، C) لاش پر دو سوار رکھنے پر ٹیم کو جرمانہ کیا جاتا ہے، D) پوائنٹ کو دوبارہ چلایا جاتا ہے۔</v>
      </c>
      <c r="L131" s="6" t="str">
        <f>IFERROR(__xludf.DUMMYFUNCTION("GOOGLETRANSLATE(D131, ""en"", ""ur"")"),"ب) نہیں، ایک وقت میں صرف ایک سوار لاش کے قبضے میں ہو سکتا ہے۔")</f>
        <v>ب) نہیں، ایک وقت میں صرف ایک سوار لاش کے قبضے میں ہو سکتا ہے۔</v>
      </c>
      <c r="M131" s="6" t="str">
        <f>IFERROR(__xludf.DUMMYFUNCTION("GOOGLETRANSLATE(E131, ""en"", ""ur"")"),"ایک سوار کو لاش کا واحد قبضہ حاصل کرنا چاہیے۔ اس طریقے سے ٹیم کے ساتھی کی مدد کی اجازت نہیں ہے۔")</f>
        <v>ایک سوار کو لاش کا واحد قبضہ حاصل کرنا چاہیے۔ اس طریقے سے ٹیم کے ساتھی کی مدد کی اجازت نہیں ہے۔</v>
      </c>
    </row>
    <row r="132">
      <c r="A132" s="4">
        <v>131.0</v>
      </c>
      <c r="B132" s="5" t="s">
        <v>1115</v>
      </c>
      <c r="C132" s="5" t="s">
        <v>1116</v>
      </c>
      <c r="D132" s="5" t="s">
        <v>1117</v>
      </c>
      <c r="E132" s="5" t="s">
        <v>1118</v>
      </c>
      <c r="J132" s="6" t="str">
        <f>IFERROR(__xludf.DUMMYFUNCTION("GOOGLETRANSLATE(B132, ""en"", ""ur"")"),"بزکشی سیڈل کے اونچے پومل (سامنے) کا بنیادی مقصد کیا ہے؟")</f>
        <v>بزکشی سیڈل کے اونچے پومل (سامنے) کا بنیادی مقصد کیا ہے؟</v>
      </c>
      <c r="K132" s="6" t="str">
        <f>IFERROR(__xludf.DUMMYFUNCTION("GOOGLETRANSLATE(C132, ""en"", ""ur"")"),"A) یہ سوار کے پکڑنے کا ایک ہینڈل ہے، B) یہ سوار کو کاٹھی میں بند کرنے میں مدد کرتا ہے اور ایک تسمہ فراہم کرتا ہے، C) یہ کوڑا باندھنے کی جگہ ہے، D) یہ سجاوٹ کے لیے ہے۔")</f>
        <v>A) یہ سوار کے پکڑنے کا ایک ہینڈل ہے، B) یہ سوار کو کاٹھی میں بند کرنے میں مدد کرتا ہے اور ایک تسمہ فراہم کرتا ہے، C) یہ کوڑا باندھنے کی جگہ ہے، D) یہ سجاوٹ کے لیے ہے۔</v>
      </c>
      <c r="L132" s="6" t="str">
        <f>IFERROR(__xludf.DUMMYFUNCTION("GOOGLETRANSLATE(D132, ""en"", ""ur"")"),"ب) یہ سوار کو کاٹھی میں بند کرنے میں مدد کرتا ہے اور تسمہ فراہم کرتا ہے۔")</f>
        <v>ب) یہ سوار کو کاٹھی میں بند کرنے میں مدد کرتا ہے اور تسمہ فراہم کرتا ہے۔</v>
      </c>
      <c r="M132" s="6" t="str">
        <f>IFERROR(__xludf.DUMMYFUNCTION("GOOGLETRANSLATE(E132, ""en"", ""ur"")"),"اونچی پومل اور کینٹل ایک گہری، محفوظ نشست بناتی ہے، جو پرتشدد کھینچنے اور جھکنے کے دوران گھوڑے پر رہنے کے لیے ضروری ہے۔")</f>
        <v>اونچی پومل اور کینٹل ایک گہری، محفوظ نشست بناتی ہے، جو پرتشدد کھینچنے اور جھکنے کے دوران گھوڑے پر رہنے کے لیے ضروری ہے۔</v>
      </c>
    </row>
    <row r="133">
      <c r="A133" s="4">
        <v>132.0</v>
      </c>
      <c r="B133" s="5" t="s">
        <v>1119</v>
      </c>
      <c r="C133" s="5" t="s">
        <v>1120</v>
      </c>
      <c r="D133" s="5" t="s">
        <v>1121</v>
      </c>
      <c r="E133" s="5" t="s">
        <v>1122</v>
      </c>
      <c r="J133" s="6" t="str">
        <f>IFERROR(__xludf.DUMMYFUNCTION("GOOGLETRANSLATE(B133, ""en"", ""ur"")"),"گھوڑا اسکرم میں داخل ہونے سے انکار کرتا ہے۔ یہ کیا اشارہ کرتا ہے؟")</f>
        <v>گھوڑا اسکرم میں داخل ہونے سے انکار کرتا ہے۔ یہ کیا اشارہ کرتا ہے؟</v>
      </c>
      <c r="K133" s="6" t="str">
        <f>IFERROR(__xludf.DUMMYFUNCTION("GOOGLETRANSLATE(C133, ""en"", ""ur"")"),"A) گھوڑا ذہین ہے، B) گھوڑے میں کھیل کی ہمت یا تربیت کی کمی ہے، C) گھوڑا تھکا ہوا ہے، D) گھوڑا اپنے سوار کو ناپسند کرتا ہے۔")</f>
        <v>A) گھوڑا ذہین ہے، B) گھوڑے میں کھیل کی ہمت یا تربیت کی کمی ہے، C) گھوڑا تھکا ہوا ہے، D) گھوڑا اپنے سوار کو ناپسند کرتا ہے۔</v>
      </c>
      <c r="L133" s="6" t="str">
        <f>IFERROR(__xludf.DUMMYFUNCTION("GOOGLETRANSLATE(D133, ""en"", ""ur"")"),"ب) گھوڑے میں کھیل کی ہمت یا تربیت کی کمی ہے۔")</f>
        <v>ب) گھوڑے میں کھیل کی ہمت یا تربیت کی کمی ہے۔</v>
      </c>
      <c r="M133" s="6" t="str">
        <f>IFERROR(__xludf.DUMMYFUNCTION("GOOGLETRANSLATE(E133, ""en"", ""ur"")"),"بزکشی گھوڑے کی ایک اہم خصوصیت اس کا ""دل"" یا بہادری ہے۔ ایک گھوڑا جو لڑائی سے دور ہو جائے کھیل کے لیے موزوں نہیں ہے۔")</f>
        <v>بزکشی گھوڑے کی ایک اہم خصوصیت اس کا "دل" یا بہادری ہے۔ ایک گھوڑا جو لڑائی سے دور ہو جائے کھیل کے لیے موزوں نہیں ہے۔</v>
      </c>
    </row>
    <row r="134">
      <c r="A134" s="4">
        <v>133.0</v>
      </c>
      <c r="B134" s="5" t="s">
        <v>1123</v>
      </c>
      <c r="C134" s="5" t="s">
        <v>1124</v>
      </c>
      <c r="D134" s="5" t="s">
        <v>1125</v>
      </c>
      <c r="E134" s="5" t="s">
        <v>1126</v>
      </c>
      <c r="J134" s="6" t="str">
        <f>IFERROR(__xludf.DUMMYFUNCTION("GOOGLETRANSLATE(B134, ""en"", ""ur"")"),"ایک رسمی میچ میں، اس سوار کے لیے کیا جرمانہ ہے جس نے مطلوبہ ٹیم سیش یا جرسی نہیں پہنی ہو؟")</f>
        <v>ایک رسمی میچ میں، اس سوار کے لیے کیا جرمانہ ہے جس نے مطلوبہ ٹیم سیش یا جرسی نہیں پہنی ہو؟</v>
      </c>
      <c r="K134" s="6" t="str">
        <f>IFERROR(__xludf.DUMMYFUNCTION("GOOGLETRANSLATE(C134, ""en"", ""ur"")"),"A) انہیں میچ شروع کرنے کی اجازت نہیں ہے، B) انہیں ایک پوائنٹ جرمانہ دیا جاتا ہے، C) اس سے کوئی فرق نہیں پڑتا، D) انہیں دوسرے کھلاڑی سے ایک ادھار لینا چاہیے۔")</f>
        <v>A) انہیں میچ شروع کرنے کی اجازت نہیں ہے، B) انہیں ایک پوائنٹ جرمانہ دیا جاتا ہے، C) اس سے کوئی فرق نہیں پڑتا، D) انہیں دوسرے کھلاڑی سے ایک ادھار لینا چاہیے۔</v>
      </c>
      <c r="L134" s="6" t="str">
        <f>IFERROR(__xludf.DUMMYFUNCTION("GOOGLETRANSLATE(D134, ""en"", ""ur"")"),"ا) انہیں میچ شروع کرنے کی اجازت نہیں ہے۔")</f>
        <v>ا) انہیں میچ شروع کرنے کی اجازت نہیں ہے۔</v>
      </c>
      <c r="M134" s="6" t="str">
        <f>IFERROR(__xludf.DUMMYFUNCTION("GOOGLETRANSLATE(E134, ""en"", ""ur"")"),"ریفریوں کی طرف سے شناخت کے لیے مناسب یونیفارم ضروری ہے۔ ایک کھلاڑی اس کے بغیر مقابلہ نہیں کر سکتا۔")</f>
        <v>ریفریوں کی طرف سے شناخت کے لیے مناسب یونیفارم ضروری ہے۔ ایک کھلاڑی اس کے بغیر مقابلہ نہیں کر سکتا۔</v>
      </c>
    </row>
    <row r="135">
      <c r="A135" s="4">
        <v>134.0</v>
      </c>
      <c r="B135" s="5" t="s">
        <v>1127</v>
      </c>
      <c r="C135" s="5" t="s">
        <v>1128</v>
      </c>
      <c r="D135" s="5" t="s">
        <v>1129</v>
      </c>
      <c r="E135" s="5" t="s">
        <v>1130</v>
      </c>
      <c r="J135" s="6" t="str">
        <f>IFERROR(__xludf.DUMMYFUNCTION("GOOGLETRANSLATE(B135, ""en"", ""ur"")"),"ایک سوار لاش کو گرا رہا ہے۔ پیچھے سے ایک مخالف رکنے سے قاصر ہے اور ان کا گھوڑا لاش کو روندتا ہے۔ کیا یہ فضول ہے؟")</f>
        <v>ایک سوار لاش کو گرا رہا ہے۔ پیچھے سے ایک مخالف رکنے سے قاصر ہے اور ان کا گھوڑا لاش کو روندتا ہے۔ کیا یہ فضول ہے؟</v>
      </c>
      <c r="K135" s="6" t="str">
        <f>IFERROR(__xludf.DUMMYFUNCTION("GOOGLETRANSLATE(C135, ""en"", ""ur"")"),"A)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f>
        <v>A) جی ہاں، لاش کی بے عزتی کرنا فاؤل ہے، B) نہیں، یہ افراتفری کے کھیل کا ایک عام حصہ ہے، C) سوار جس نے اسے پامال کیا، اسے نااہل قرار دیا جاتا ہے، D) پوائنٹ دوبارہ چلایا جاتا ہے۔</v>
      </c>
      <c r="L135" s="6" t="str">
        <f>IFERROR(__xludf.DUMMYFUNCTION("GOOGLETRANSLATE(D135, ""en"", ""ur"")"),"ب) نہیں، یہ افراتفری کے کھیل کا ایک عام حصہ ہے۔")</f>
        <v>ب) نہیں، یہ افراتفری کے کھیل کا ایک عام حصہ ہے۔</v>
      </c>
      <c r="M135" s="6" t="str">
        <f>IFERROR(__xludf.DUMMYFUNCTION("GOOGLETRANSLATE(E135, ""en"", ""ur"")"),"لاش ایک ناہموار چیز ہے، اور اس لمحے کی گرمی میں، اسے گھوڑے دوڑائیں گے۔ یہ ڈرامے کا متوقع حصہ ہے۔")</f>
        <v>لاش ایک ناہموار چیز ہے، اور اس لمحے کی گرمی میں، اسے گھوڑے دوڑائیں گے۔ یہ ڈرامے کا متوقع حصہ ہے۔</v>
      </c>
    </row>
    <row r="136">
      <c r="A136" s="4">
        <v>135.0</v>
      </c>
      <c r="B136" s="5" t="s">
        <v>1131</v>
      </c>
      <c r="C136" s="5" t="s">
        <v>1132</v>
      </c>
      <c r="D136" s="5" t="s">
        <v>1133</v>
      </c>
      <c r="E136" s="5" t="s">
        <v>1134</v>
      </c>
      <c r="J136" s="6" t="str">
        <f>IFERROR(__xludf.DUMMYFUNCTION("GOOGLETRANSLATE(B136, ""en"", ""ur"")"),"اس کی بنیادی وجہ کیا ہے کہ زمینی عملہ (امپائر) بھی اکثر گھوڑوں پر سوار ہوتے ہیں؟")</f>
        <v>اس کی بنیادی وجہ کیا ہے کہ زمینی عملہ (امپائر) بھی اکثر گھوڑوں پر سوار ہوتے ہیں؟</v>
      </c>
      <c r="K136" s="6" t="str">
        <f>IFERROR(__xludf.DUMMYFUNCTION("GOOGLETRANSLATE(C136, ""en"", ""ur"")"),"A) یہ زیادہ روایتی ہے، B) ڈرامے کو جاری رکھنا اور اسکرم میں فاؤل کا واضح نظارہ حاصل کرنا، C) اپنی حفاظت کے لیے، D) مندرجہ بالا سبھی")</f>
        <v>A) یہ زیادہ روایتی ہے، B) ڈرامے کو جاری رکھنا اور اسکرم میں فاؤل کا واضح نظارہ حاصل کرنا، C) اپنی حفاظت کے لیے، D) مندرجہ بالا سبھی</v>
      </c>
      <c r="L136" s="6" t="str">
        <f>IFERROR(__xludf.DUMMYFUNCTION("GOOGLETRANSLATE(D136, ""en"", ""ur"")"),"D) مذکورہ بالا تمام")</f>
        <v>D) مذکورہ بالا تمام</v>
      </c>
      <c r="M136" s="6" t="str">
        <f>IFERROR(__xludf.DUMMYFUNCTION("GOOGLETRANSLATE(E136, ""en"", ""ur"")"),"نصب ہونے سے ریفریز کو کھیل کے ساتھ حرکت کرنے، اسکرم کو دیکھنے اور افراتفری سے محفوظ رہنے کی اجازت دیتا ہے۔")</f>
        <v>نصب ہونے سے ریفریز کو کھیل کے ساتھ حرکت کرنے، اسکرم کو دیکھنے اور افراتفری سے محفوظ رہنے کی اجازت دیتا ہے۔</v>
      </c>
    </row>
    <row r="137">
      <c r="A137" s="4">
        <v>136.0</v>
      </c>
      <c r="B137" s="5" t="s">
        <v>1135</v>
      </c>
      <c r="C137" s="5" t="s">
        <v>1136</v>
      </c>
      <c r="D137" s="5" t="s">
        <v>1137</v>
      </c>
      <c r="E137" s="5" t="s">
        <v>1138</v>
      </c>
      <c r="J137" s="6" t="str">
        <f>IFERROR(__xludf.DUMMYFUNCTION("GOOGLETRANSLATE(B137, ""en"", ""ur"")"),"ایک سوار لاش کو لے جا رہا ہے، اور ایک مخالف ساتھ ساتھ سواری کرتا ہے اور اپنی ٹانگ کا استعمال کرتے ہوئے کیریئر کی ٹانگ کو لاش سے دور دھکیلتا ہے۔ کیا یہ قانونی ہے؟")</f>
        <v>ایک سوار لاش کو لے جا رہا ہے، اور ایک مخالف ساتھ ساتھ سواری کرتا ہے اور اپنی ٹانگ کا استعمال کرتے ہوئے کیریئر کی ٹانگ کو لاش سے دور دھکیلتا ہے۔ کیا یہ قانونی ہے؟</v>
      </c>
      <c r="K137" s="6" t="str">
        <f>IFERROR(__xludf.DUMMYFUNCTION("GOOGLETRANSLATE(C137, ""en"", ""ur"")"),"A) جی ہاں، لاش کے لئے مقابلہ کرنے کے لئے ٹانگوں کا استعمال ایک اہم مہارت ہے، B) نہیں، یہ ٹانگ کے غیر قانونی استعمال کے لئے ایک غلط ہے، C) صرف اس صورت میں جب مخالف لات نہ مارے، D) یہ ایک انتباہ ہے")</f>
        <v>A) جی ہاں، لاش کے لئے مقابلہ کرنے کے لئے ٹانگوں کا استعمال ایک اہم مہارت ہے، B) نہیں، یہ ٹانگ کے غیر قانونی استعمال کے لئے ایک غلط ہے، C) صرف اس صورت میں جب مخالف لات نہ مارے، D) یہ ایک انتباہ ہے</v>
      </c>
      <c r="L137" s="6" t="str">
        <f>IFERROR(__xludf.DUMMYFUNCTION("GOOGLETRANSLATE(D137, ""en"", ""ur"")"),"ا) جی ہاں، لاش کے لیے مقابلہ کرنے کے لیے ٹانگوں کا استعمال ایک اہم ہنر ہے۔")</f>
        <v>ا) جی ہاں، لاش کے لیے مقابلہ کرنے کے لیے ٹانگوں کا استعمال ایک اہم ہنر ہے۔</v>
      </c>
      <c r="M137" s="6" t="str">
        <f>IFERROR(__xludf.DUMMYFUNCTION("GOOGLETRANSLATE(E137, ""en"", ""ur"")"),"سوار اپنے پورے جسم اور اپنے گھوڑوں کی لاشوں کو قبضے کے لیے لڑنے کے لیے استعمال کرتے ہیں۔ مخالف کی گرفت کو توڑنے کے لیے ٹانگ کا استعمال ایک معیاری حربہ ہے۔")</f>
        <v>سوار اپنے پورے جسم اور اپنے گھوڑوں کی لاشوں کو قبضے کے لیے لڑنے کے لیے استعمال کرتے ہیں۔ مخالف کی گرفت کو توڑنے کے لیے ٹانگ کا استعمال ایک معیاری حربہ ہے۔</v>
      </c>
    </row>
    <row r="138">
      <c r="A138" s="4">
        <v>137.0</v>
      </c>
      <c r="B138" s="5" t="s">
        <v>1139</v>
      </c>
      <c r="C138" s="5" t="s">
        <v>1140</v>
      </c>
      <c r="D138" s="5" t="s">
        <v>1141</v>
      </c>
      <c r="E138" s="5" t="s">
        <v>1142</v>
      </c>
      <c r="J138" s="6" t="str">
        <f>IFERROR(__xludf.DUMMYFUNCTION("GOOGLETRANSLATE(B138, ""en"", ""ur"")"),"گھوڑے کو اس کی چستی میں ""بلی کی طرح"" ہونے کی وجہ سے سراہا جاتا ہے۔ اس کا کیا مطلب ہے؟")</f>
        <v>گھوڑے کو اس کی چستی میں "بلی کی طرح" ہونے کی وجہ سے سراہا جاتا ہے۔ اس کا کیا مطلب ہے؟</v>
      </c>
      <c r="K138" s="6" t="str">
        <f>IFERROR(__xludf.DUMMYFUNCTION("GOOGLETRANSLATE(C138, ""en"", ""ur"")"),"A)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f>
        <v>A) گھوڑا بہت پرسکون ہے، B) گھوڑے میں اپنے پیروں پر قائم رہنے، تیزی سے مڑنے اور اپنا توازن بحال کرنے کی ناقابل یقین صلاحیت ہے، C) گھوڑا چیزوں کا پیچھا کرنا پسند کرتا ہے، D) گھوڑے کے پنجے تیز ہیں</v>
      </c>
      <c r="L138" s="6" t="str">
        <f>IFERROR(__xludf.DUMMYFUNCTION("GOOGLETRANSLATE(D138, ""en"", ""ur"")"),"ب) گھوڑے میں اپنے پیروں پر قائم رہنے، تیزی سے مڑنے اور اپنا توازن بحال کرنے کی ناقابل یقین صلاحیت ہوتی ہے۔")</f>
        <v>ب) گھوڑے میں اپنے پیروں پر قائم رہنے، تیزی سے مڑنے اور اپنا توازن بحال کرنے کی ناقابل یقین صلاحیت ہوتی ہے۔</v>
      </c>
      <c r="M138" s="6" t="str">
        <f>IFERROR(__xludf.DUMMYFUNCTION("GOOGLETRANSLATE(E138, ""en"", ""ur"")"),"یہ سب سے اعلیٰ ترتیب کی تعریف ہے، جو افراتفری کے درمیان گھوڑے کی نرمی اور فضل کا حوالہ دیتا ہے۔")</f>
        <v>یہ سب سے اعلیٰ ترتیب کی تعریف ہے، جو افراتفری کے درمیان گھوڑے کی نرمی اور فضل کا حوالہ دیتا ہے۔</v>
      </c>
    </row>
    <row r="139">
      <c r="A139" s="4">
        <v>138.0</v>
      </c>
      <c r="B139" s="5" t="s">
        <v>1143</v>
      </c>
      <c r="C139" s="5" t="s">
        <v>1144</v>
      </c>
      <c r="D139" s="5" t="s">
        <v>1145</v>
      </c>
      <c r="E139" s="5" t="s">
        <v>1146</v>
      </c>
      <c r="J139" s="6" t="str">
        <f>IFERROR(__xludf.DUMMYFUNCTION("GOOGLETRANSLATE(B139, ""en"", ""ur"")"),"اگر ٹیم A کے سوار نے لاش کو پکڑ رکھا ہو اور ٹیم B کا سوار ٹیم A کے سوار کی زین پکڑے تو کیا حکم ہے؟")</f>
        <v>اگر ٹیم A کے سوار نے لاش کو پکڑ رکھا ہو اور ٹیم B کا سوار ٹیم A کے سوار کی زین پکڑے تو کیا حکم ہے؟</v>
      </c>
      <c r="K139" s="6" t="str">
        <f>IFERROR(__xludf.DUMMYFUNCTION("GOOGLETRANSLATE(C139, ""en"", ""ur"")"),"A) سوار کو غیر متوازن کرنا ایک قانونی اقدام ہے، B) سامان پکڑنے پر ٹیم B پر یہ فاؤل ہے، C) کھیل جاری ہے، D) ٹیم A کو ایک پوائنٹ دیا جاتا ہے۔")</f>
        <v>A) سوار کو غیر متوازن کرنا ایک قانونی اقدام ہے، B) سامان پکڑنے پر ٹیم B پر یہ فاؤل ہے، C) کھیل جاری ہے، D) ٹیم A کو ایک پوائنٹ دیا جاتا ہے۔</v>
      </c>
      <c r="L139" s="6" t="str">
        <f>IFERROR(__xludf.DUMMYFUNCTION("GOOGLETRANSLATE(D139, ""en"", ""ur"")"),"B) یہ سامان پکڑنے کے لئے ٹیم B پر ایک غلط ہے۔")</f>
        <v>B) یہ سامان پکڑنے کے لئے ٹیم B پر ایک غلط ہے۔</v>
      </c>
      <c r="M139" s="6" t="str">
        <f>IFERROR(__xludf.DUMMYFUNCTION("GOOGLETRANSLATE(E139, ""en"", ""ur"")"),"ایک کھلاڑی فائدہ حاصل کرنے کے لیے مخالف کے ٹیک (کاٹھی، لگام، لگام) کو نہیں پکڑ سکتا۔")</f>
        <v>ایک کھلاڑی فائدہ حاصل کرنے کے لیے مخالف کے ٹیک (کاٹھی، لگام، لگام) کو نہیں پکڑ سکتا۔</v>
      </c>
    </row>
    <row r="140">
      <c r="A140" s="4">
        <v>139.0</v>
      </c>
      <c r="B140" s="5" t="s">
        <v>1147</v>
      </c>
      <c r="C140" s="5" t="s">
        <v>1148</v>
      </c>
      <c r="D140" s="5" t="s">
        <v>1149</v>
      </c>
      <c r="E140" s="5" t="s">
        <v>1150</v>
      </c>
      <c r="J140" s="6" t="str">
        <f>IFERROR(__xludf.DUMMYFUNCTION("GOOGLETRANSLATE(B140, ""en"", ""ur"")"),"کچھ خطوں میں، بزکشی کا ایک چھوٹا ورژن بچے کس چیز کا استعمال کرتے ہوئے کھیلتے ہیں؟")</f>
        <v>کچھ خطوں میں، بزکشی کا ایک چھوٹا ورژن بچے کس چیز کا استعمال کرتے ہوئے کھیلتے ہیں؟</v>
      </c>
      <c r="K140" s="6" t="str">
        <f>IFERROR(__xludf.DUMMYFUNCTION("GOOGLETRANSLATE(C140, ""en"", ""ur"")"),"A) ایک چھوٹی بکری، B) ایک گیند، C) ایک مرغ، D) ایک بھیڑ")</f>
        <v>A) ایک چھوٹی بکری، B) ایک گیند، C) ایک مرغ، D) ایک بھیڑ</v>
      </c>
      <c r="L140" s="6" t="str">
        <f>IFERROR(__xludf.DUMMYFUNCTION("GOOGLETRANSLATE(D140, ""en"", ""ur"")"),"D) ایک بھیڑ")</f>
        <v>D) ایک بھیڑ</v>
      </c>
      <c r="M140" s="6" t="str">
        <f>IFERROR(__xludf.DUMMYFUNCTION("GOOGLETRANSLATE(E140, ""en"", ""ur"")"),"بھیڑ جیسا چھوٹا، ہلکا جانور کبھی کبھی کھیل کے نوجوانوں کے ورژن کے لیے استعمال ہوتا ہے۔")</f>
        <v>بھیڑ جیسا چھوٹا، ہلکا جانور کبھی کبھی کھیل کے نوجوانوں کے ورژن کے لیے استعمال ہوتا ہے۔</v>
      </c>
    </row>
    <row r="141">
      <c r="A141" s="4">
        <v>140.0</v>
      </c>
      <c r="B141" s="5" t="s">
        <v>1151</v>
      </c>
      <c r="C141" s="5" t="s">
        <v>1152</v>
      </c>
      <c r="D141" s="5" t="s">
        <v>1153</v>
      </c>
      <c r="E141" s="5" t="s">
        <v>1154</v>
      </c>
      <c r="J141" s="6" t="str">
        <f>IFERROR(__xludf.DUMMYFUNCTION("GOOGLETRANSLATE(B141, ""en"", ""ur"")"),"گاؤں کے روایتی کھیل میں سالیوں (جج یا ثالث) کا کیا کردار ہوتا ہے؟")</f>
        <v>گاؤں کے روایتی کھیل میں سالیوں (جج یا ثالث) کا کیا کردار ہوتا ہے؟</v>
      </c>
      <c r="K141" s="6" t="str">
        <f>IFERROR(__xludf.DUMMYFUNCTION("GOOGLETRANSLATE(C141, ""en"", ""ur"")"),"A) سرکاری وقت کو برقرار رکھنے کے لئے، B) تنازعات کو حل کرنے میں حتمی، معزز اتھارٹی کے طور پر کام کرنے کے لئے، C) انعام کی رقم فراہم کرنے کے لئے، D) گھوڑوں کا معائنہ کرنا")</f>
        <v>A) سرکاری وقت کو برقرار رکھنے کے لئے، B) تنازعات کو حل کرنے میں حتمی، معزز اتھارٹی کے طور پر کام کرنے کے لئے، C) انعام کی رقم فراہم کرنے کے لئے، D) گھوڑوں کا معائنہ کرنا</v>
      </c>
      <c r="L141" s="6" t="str">
        <f>IFERROR(__xludf.DUMMYFUNCTION("GOOGLETRANSLATE(D141, ""en"", ""ur"")"),"ب) تنازعات کو حل کرنے میں حتمی، معزز اتھارٹی کے طور پر کام کرنا جو ریفریز نہیں کرسکتے ہیں۔")</f>
        <v>ب) تنازعات کو حل کرنے میں حتمی، معزز اتھارٹی کے طور پر کام کرنا جو ریفریز نہیں کرسکتے ہیں۔</v>
      </c>
      <c r="M141" s="6" t="str">
        <f>IFERROR(__xludf.DUMMYFUNCTION("GOOGLETRANSLATE(E141, ""en"", ""ur"")"),"رسمی قواعد کے بغیر کھیلوں میں، سالیس ایک قابل احترام بزرگ ہیں جن کا لفظ قانون ہے اور جو تمام دلائل کو حل کرتا ہے۔")</f>
        <v>رسمی قواعد کے بغیر کھیلوں میں، سالیس ایک قابل احترام بزرگ ہیں جن کا لفظ قانون ہے اور جو تمام دلائل کو حل کرتا ہے۔</v>
      </c>
    </row>
    <row r="142">
      <c r="A142" s="4">
        <v>141.0</v>
      </c>
      <c r="B142" s="5" t="s">
        <v>1155</v>
      </c>
      <c r="C142" s="5" t="s">
        <v>1156</v>
      </c>
      <c r="D142" s="5" t="s">
        <v>1157</v>
      </c>
      <c r="E142" s="5" t="s">
        <v>1158</v>
      </c>
      <c r="J142" s="6" t="str">
        <f>IFERROR(__xludf.DUMMYFUNCTION("GOOGLETRANSLATE(B142, ""en"", ""ur"")"),"چپنداز کے لیے بہت مضبوط کور (پیٹ اور کمر کے پٹھے) ہونا کیوں ضروری ہے؟")</f>
        <v>چپنداز کے لیے بہت مضبوط کور (پیٹ اور کمر کے پٹھے) ہونا کیوں ضروری ہے؟</v>
      </c>
      <c r="K142" s="6" t="str">
        <f>IFERROR(__xludf.DUMMYFUNCTION("GOOGLETRANSLATE(C142, ""en"", ""ur"")"),"A) یہ اہم نہیں ہے، B) لاش کو اٹھانے اور لے جانے کے دوران بے تحاشا گھماؤ اور کھینچنے والی قوتوں کو برداشت کرنا، C) زور سے چیخنے کے قابل ہونا، D) کوڑے کے حملوں سے بچانا")</f>
        <v>A) یہ اہم نہیں ہے، B) لاش کو اٹھانے اور لے جانے کے دوران بے تحاشا گھماؤ اور کھینچنے والی قوتوں کو برداشت کرنا، C) زور سے چیخنے کے قابل ہونا، D) کوڑے کے حملوں سے بچانا</v>
      </c>
      <c r="L142" s="6" t="str">
        <f>IFERROR(__xludf.DUMMYFUNCTION("GOOGLETRANSLATE(D142, ""en"", ""ur"")"),"ب) لاش کو اٹھانے اور لے جانے کے دوران زبردست گھماؤ اور کھینچنے والی قوتوں کو برداشت کرنا")</f>
        <v>ب) لاش کو اٹھانے اور لے جانے کے دوران زبردست گھماؤ اور کھینچنے والی قوتوں کو برداشت کرنا</v>
      </c>
      <c r="M142" s="6" t="str">
        <f>IFERROR(__xludf.DUMMYFUNCTION("GOOGLETRANSLATE(E142, ""en"", ""ur"")"),"گھوڑے کی پیٹھ پر بھاری، بدلتے ہوئے وزن کے ساتھ کشتی کرتے وقت سوار کے لیے اپنا توازن اور کرنسی برقرار رکھنے کے لیے ایک مضبوط کور ضروری ہے۔")</f>
        <v>گھوڑے کی پیٹھ پر بھاری، بدلتے ہوئے وزن کے ساتھ کشتی کرتے وقت سوار کے لیے اپنا توازن اور کرنسی برقرار رکھنے کے لیے ایک مضبوط کور ضروری ہے۔</v>
      </c>
    </row>
    <row r="143">
      <c r="A143" s="4">
        <v>142.0</v>
      </c>
      <c r="B143" s="5" t="s">
        <v>1159</v>
      </c>
      <c r="C143" s="5" t="s">
        <v>1160</v>
      </c>
      <c r="D143" s="5" t="s">
        <v>1161</v>
      </c>
      <c r="E143" s="5" t="s">
        <v>1162</v>
      </c>
      <c r="J143" s="6" t="str">
        <f>IFERROR(__xludf.DUMMYFUNCTION("GOOGLETRANSLATE(B143, ""en"", ""ur"")"),"ایک ٹیم کو جرمانہ کیا جاتا ہے کیونکہ اس کی جرسی پر اس کے اسپانسر کا لوگو بہت بڑا ہے۔ کیا یہ ایک درست اصول ہے؟")</f>
        <v>ایک ٹیم کو جرمانہ کیا جاتا ہے کیونکہ اس کی جرسی پر اس کے اسپانسر کا لوگو بہت بڑا ہے۔ کیا یہ ایک درست اصول ہے؟</v>
      </c>
      <c r="K143" s="6" t="str">
        <f>IFERROR(__xludf.DUMMYFUNCTION("GOOGLETRANSLATE(C143, ""en"", ""ur"")"),"A)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f>
        <v>A) نہیں، اسپانسرشپ کی ہمیشہ اجازت ہے، B) ہاں، ٹورنامنٹ لوگو کے سائز اور جگہ کو منظم کر سکتے ہیں تاکہ یکساں شکل برقرار رکھی جا سکے، C) صرف اس صورت میں جب لوگو ناگوار ہو، D) ٹیم کو بڑے لوگو کے لیے زیادہ ادائیگی کی جانی چاہیے۔</v>
      </c>
      <c r="L143" s="6" t="str">
        <f>IFERROR(__xludf.DUMMYFUNCTION("GOOGLETRANSLATE(D143, ""en"", ""ur"")"),"ب) جی ہاں، ٹورنامنٹ لوگو کے سائز اور جگہ کو منظم کر سکتے ہیں تاکہ یکساں شکل برقرار رکھی جا سکے۔")</f>
        <v>ب) جی ہاں، ٹورنامنٹ لوگو کے سائز اور جگہ کو منظم کر سکتے ہیں تاکہ یکساں شکل برقرار رکھی جا سکے۔</v>
      </c>
      <c r="M143" s="6" t="str">
        <f>IFERROR(__xludf.DUMMYFUNCTION("GOOGLETRANSLATE(E143, ""en"", ""ur"")"),"کھیل کے پیشہ ورانہ ورژن میں، اکثر یونیفارم اور اشتہارات کے حوالے سے قوانین ہوتے ہیں۔")</f>
        <v>کھیل کے پیشہ ورانہ ورژن میں، اکثر یونیفارم اور اشتہارات کے حوالے سے قوانین ہوتے ہیں۔</v>
      </c>
    </row>
    <row r="144">
      <c r="A144" s="4">
        <v>143.0</v>
      </c>
      <c r="B144" s="5" t="s">
        <v>1163</v>
      </c>
      <c r="C144" s="5" t="s">
        <v>1164</v>
      </c>
      <c r="D144" s="5" t="s">
        <v>1165</v>
      </c>
      <c r="E144" s="5" t="s">
        <v>1166</v>
      </c>
      <c r="J144" s="6" t="str">
        <f>IFERROR(__xludf.DUMMYFUNCTION("GOOGLETRANSLATE(B144, ""en"", ""ur"")"),"بزکشی میچ ٹیلی ویژن کے لیے ناقص تماشائی کھیل ہونے کی بنیادی وجہ کیا ہے؟")</f>
        <v>بزکشی میچ ٹیلی ویژن کے لیے ناقص تماشائی کھیل ہونے کی بنیادی وجہ کیا ہے؟</v>
      </c>
      <c r="K144" s="6" t="str">
        <f>IFERROR(__xludf.DUMMYFUNCTION("GOOGLETRANSLATE(C144, ""en"", ""ur"")"),"A) یہ بہت پرتشدد ہے، B) کھیل کا میدان اکثر اتنا بڑا اور افراتفری کا شکار ہوتا ہے جسے کیمروں کے ذریعے آسانی سے قید کیا جا سکتا ہے، C) اصول بہت آسان ہیں، D) میچز بہت مختصر ہیں")</f>
        <v>A) یہ بہت پرتشدد ہے، B) کھیل کا میدان اکثر اتنا بڑا اور افراتفری کا شکار ہوتا ہے جسے کیمروں کے ذریعے آسانی سے قید کیا جا سکتا ہے، C) اصول بہت آسان ہیں، D) میچز بہت مختصر ہیں</v>
      </c>
      <c r="L144" s="6" t="str">
        <f>IFERROR(__xludf.DUMMYFUNCTION("GOOGLETRANSLATE(D144, ""en"", ""ur"")"),"ب) کھیل کا میدان اکثر اتنا بڑا اور افراتفری کا شکار ہوتا ہے جسے کیمروں کے ذریعے آسانی سے قید کیا جا سکتا ہے۔")</f>
        <v>ب) کھیل کا میدان اکثر اتنا بڑا اور افراتفری کا شکار ہوتا ہے جسے کیمروں کے ذریعے آسانی سے قید کیا جا سکتا ہے۔</v>
      </c>
      <c r="M144" s="6" t="str">
        <f>IFERROR(__xludf.DUMMYFUNCTION("GOOGLETRANSLATE(E144, ""en"", ""ur"")"),"بڑے پیمانے پر پلیئر گیم کی وسیع و عریض، سیال اور اکثر غیر منظم نوعیت کی وجہ سے اس کی پیروی کرنا اور مؤثر طریقے سے نشر کرنا بہت مشکل ہو جاتا ہے۔")</f>
        <v>بڑے پیمانے پر پلیئر گیم کی وسیع و عریض، سیال اور اکثر غیر منظم نوعیت کی وجہ سے اس کی پیروی کرنا اور مؤثر طریقے سے نشر کرنا بہت مشکل ہو جاتا ہے۔</v>
      </c>
    </row>
    <row r="145">
      <c r="A145" s="4">
        <v>144.0</v>
      </c>
      <c r="B145" s="5" t="s">
        <v>1167</v>
      </c>
      <c r="C145" s="5" t="s">
        <v>1168</v>
      </c>
      <c r="D145" s="5" t="s">
        <v>1169</v>
      </c>
      <c r="E145" s="5" t="s">
        <v>1170</v>
      </c>
      <c r="J145" s="6" t="str">
        <f>IFERROR(__xludf.DUMMYFUNCTION("GOOGLETRANSLATE(B145, ""en"", ""ur"")"),"گھوڑے کو مخالف کے گھوڑے کو ""پن"" کرنے کی تربیت دی جاتی ہے۔ اس کا کیا مطلب ہے؟")</f>
        <v>گھوڑے کو مخالف کے گھوڑے کو "پن" کرنے کی تربیت دی جاتی ہے۔ اس کا کیا مطلب ہے؟</v>
      </c>
      <c r="K145" s="6" t="str">
        <f>IFERROR(__xludf.DUMMYFUNCTION("GOOGLETRANSLATE(C145, ""en"", ""ur"")"),"A) گھوڑا اپنے جسم کو حریف کے گھوڑے کو باؤنڈری یا دوسرے گھوڑے کے خلاف پھنسانے کے لیے استعمال کرتا ہے، B) گھوڑا مخالف کے گھوڑے کو کاٹتا ہے، C) گھوڑا اپنے کانوں کو پیچھے کرتا ہے، D) گھوڑا حرکت کرنے سے انکار کرتا ہے۔")</f>
        <v>A) گھوڑا اپنے جسم کو حریف کے گھوڑے کو باؤنڈری یا دوسرے گھوڑے کے خلاف پھنسانے کے لیے استعمال کرتا ہے، B) گھوڑا مخالف کے گھوڑے کو کاٹتا ہے، C) گھوڑا اپنے کانوں کو پیچھے کرتا ہے، D) گھوڑا حرکت کرنے سے انکار کرتا ہے۔</v>
      </c>
      <c r="L145" s="6" t="str">
        <f>IFERROR(__xludf.DUMMYFUNCTION("GOOGLETRANSLATE(D145, ""en"", ""ur"")"),"A) گھوڑا اپنے جسم کو مخالف کے گھوڑے کو باؤنڈری یا دوسرے گھوڑے کے خلاف پھنسانے کے لیے استعمال کرتا ہے۔")</f>
        <v>A) گھوڑا اپنے جسم کو مخالف کے گھوڑے کو باؤنڈری یا دوسرے گھوڑے کے خلاف پھنسانے کے لیے استعمال کرتا ہے۔</v>
      </c>
      <c r="M145" s="6" t="str">
        <f>IFERROR(__xludf.DUMMYFUNCTION("GOOGLETRANSLATE(E145, ""en"", ""ur"")"),"یہ ایک اعلیٰ سطحی مہارت ہے جہاں گھوڑا خود حریف کی نقل و حرکت کو کنٹرول کرنے کا ایک اسٹریٹجک ٹول بن جاتا ہے۔")</f>
        <v>یہ ایک اعلیٰ سطحی مہارت ہے جہاں گھوڑا خود حریف کی نقل و حرکت کو کنٹرول کرنے کا ایک اسٹریٹجک ٹول بن جاتا ہے۔</v>
      </c>
    </row>
    <row r="146">
      <c r="A146" s="4">
        <v>145.0</v>
      </c>
      <c r="B146" s="5" t="s">
        <v>1171</v>
      </c>
      <c r="C146" s="5" t="s">
        <v>1172</v>
      </c>
      <c r="D146" s="5" t="s">
        <v>1173</v>
      </c>
      <c r="E146" s="5" t="s">
        <v>1174</v>
      </c>
      <c r="J146" s="6" t="str">
        <f>IFERROR(__xludf.DUMMYFUNCTION("GOOGLETRANSLATE(B146, ""en"", ""ur"")"),"اگر میت کو لے جانے والا سوار گھوڑے کے بغیر ہو لیکن گرنے کے دوران لاش کو گول کرنے والے دائرے میں گرانے میں کامیاب ہو جائے تو اس کا کیا حکم ہے؟")</f>
        <v>اگر میت کو لے جانے والا سوار گھوڑے کے بغیر ہو لیکن گرنے کے دوران لاش کو گول کرنے والے دائرے میں گرانے میں کامیاب ہو جائے تو اس کا کیا حکم ہے؟</v>
      </c>
      <c r="K146" s="6" t="str">
        <f>IFERROR(__xludf.DUMMYFUNCTION("GOOGLETRANSLATE(C146, ""en"", ""ur"")"),"A) یہ ایک شاندار اور درست اسکور ہے، B) اسکور درست نہیں ہے کیونکہ سوار کے قابو میں نہیں تھا، C) جزوی اسکور دیا جاتا ہے، D) پوائنٹ دوبارہ چلایا جاتا ہے۔")</f>
        <v>A) یہ ایک شاندار اور درست اسکور ہے، B) اسکور درست نہیں ہے کیونکہ سوار کے قابو میں نہیں تھا، C) جزوی اسکور دیا جاتا ہے، D) پوائنٹ دوبارہ چلایا جاتا ہے۔</v>
      </c>
      <c r="L146" s="6" t="str">
        <f>IFERROR(__xludf.DUMMYFUNCTION("GOOGLETRANSLATE(D146, ""en"", ""ur"")"),"ب) اسکور درست نہیں ہے کیونکہ سوار کے کنٹرول میں نہیں تھا۔")</f>
        <v>ب) اسکور درست نہیں ہے کیونکہ سوار کے کنٹرول میں نہیں تھا۔</v>
      </c>
      <c r="M146" s="6" t="str">
        <f>IFERROR(__xludf.DUMMYFUNCTION("GOOGLETRANSLATE(E146, ""en"", ""ur"")"),"ایک سوار کو مکمل طور پر سوار ہونا چاہیے اور اس کے قانونی ہونے کے لیے اسکور کے وقت اپنے گھوڑے کو قابو میں رکھنا چاہیے۔")</f>
        <v>ایک سوار کو مکمل طور پر سوار ہونا چاہیے اور اس کے قانونی ہونے کے لیے اسکور کے وقت اپنے گھوڑے کو قابو میں رکھنا چاہیے۔</v>
      </c>
    </row>
    <row r="147">
      <c r="A147" s="4">
        <v>146.0</v>
      </c>
      <c r="B147" s="5" t="s">
        <v>1175</v>
      </c>
      <c r="C147" s="5" t="s">
        <v>1176</v>
      </c>
      <c r="D147" s="5" t="s">
        <v>1177</v>
      </c>
      <c r="E147" s="5" t="s">
        <v>1178</v>
      </c>
      <c r="J147" s="6" t="str">
        <f>IFERROR(__xludf.DUMMYFUNCTION("GOOGLETRANSLATE(B147, ""en"", ""ur"")"),"بزکشی گھوڑے کے لیے مضبوط، صحت مند کھروں کا ہونا کیوں ضروری ہے؟")</f>
        <v>بزکشی گھوڑے کے لیے مضبوط، صحت مند کھروں کا ہونا کیوں ضروری ہے؟</v>
      </c>
      <c r="K147" s="6" t="str">
        <f>IFERROR(__xludf.DUMMYFUNCTION("GOOGLETRANSLATE(C147, ""en"", ""ur"")"),"A)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f>
        <v>A) یہ اچھی افزائش کی علامت ہیں، B) اس کھیل میں انتہائی تناؤ، تیز موڑ اور اثرات شامل ہیں جو آسانی سے خراب معیار کے کھروں کو نقصان پہنچا سکتے ہیں، C) یہ گھوڑے کو مخالفین کو کاٹنے میں مدد دیتے ہیں، D) وہ گھوڑے کو تیز دوڑاتے ہیں۔</v>
      </c>
      <c r="L147" s="6" t="str">
        <f>IFERROR(__xludf.DUMMYFUNCTION("GOOGLETRANSLATE(D147, ""en"", ""ur"")"),"ب) گیم میں انتہائی تناؤ، تیز موڑ اور اثرات شامل ہیں جو آسانی سے خراب معیار کے کھروں کو نقصان پہنچا سکتے ہیں۔")</f>
        <v>ب) گیم میں انتہائی تناؤ، تیز موڑ اور اثرات شامل ہیں جو آسانی سے خراب معیار کے کھروں کو نقصان پہنچا سکتے ہیں۔</v>
      </c>
      <c r="M147" s="6" t="str">
        <f>IFERROR(__xludf.DUMMYFUNCTION("GOOGLETRANSLATE(E147, ""en"", ""ur"")"),"پرانی کہاوت ""پاؤں نہیں، گھوڑا نہیں"" خاص طور پر بزکشی میں سچ ہے، جہاں جانوروں کی کارکردگی اور بقا کے لیے کھروں کی صحت اہم ہے۔")</f>
        <v>پرانی کہاوت "پاؤں نہیں، گھوڑا نہیں" خاص طور پر بزکشی میں سچ ہے، جہاں جانوروں کی کارکردگی اور بقا کے لیے کھروں کی صحت اہم ہے۔</v>
      </c>
    </row>
    <row r="148">
      <c r="A148" s="4">
        <v>147.0</v>
      </c>
      <c r="B148" s="5" t="s">
        <v>1179</v>
      </c>
      <c r="C148" s="5" t="s">
        <v>1180</v>
      </c>
      <c r="D148" s="5" t="s">
        <v>1181</v>
      </c>
      <c r="E148" s="5" t="s">
        <v>1182</v>
      </c>
      <c r="J148" s="6" t="str">
        <f>IFERROR(__xludf.DUMMYFUNCTION("GOOGLETRANSLATE(B148, ""en"", ""ur"")"),"ایک کھلاڑی کو ""خطرناک سواری"" کے لیے نااہل قرار دیا جاتا ہے۔ ان میں سے کون سا عمل اہل ہوگا؟")</f>
        <v>ایک کھلاڑی کو "خطرناک سواری" کے لیے نااہل قرار دیا جاتا ہے۔ ان میں سے کون سا عمل اہل ہوگا؟</v>
      </c>
      <c r="K148" s="6" t="str">
        <f>IFERROR(__xludf.DUMMYFUNCTION("GOOGLETRANSLATE(C148, ""en"", ""ur"")"),"A) بہت تیز سواری کرنا، B) جان بوجھ کر گرے ہوئے سوار میں سوار ہونا، C) بہت زیادہ سکور کا جشن منانا، D) مختصر چابک کا استعمال")</f>
        <v>A) بہت تیز سواری کرنا، B) جان بوجھ کر گرے ہوئے سوار میں سوار ہونا، C) بہت زیادہ سکور کا جشن منانا، D) مختصر چابک کا استعمال</v>
      </c>
      <c r="L148" s="6" t="str">
        <f>IFERROR(__xludf.DUMMYFUNCTION("GOOGLETRANSLATE(D148, ""en"", ""ur"")"),"ب) جان بوجھ کر گرے ہوئے سوار میں سوار ہونا")</f>
        <v>ب) جان بوجھ کر گرے ہوئے سوار میں سوار ہونا</v>
      </c>
      <c r="M148" s="6" t="str">
        <f>IFERROR(__xludf.DUMMYFUNCTION("GOOGLETRANSLATE(E148, ""en"", ""ur"")"),"کوئی بھی عمل جو دوسرے کھلاڑیوں یا گھوڑوں کی حفاظت کے لیے جان بوجھ کر نظر انداز کرتا ہے اسے خطرناک سواری سمجھا جاتا ہے اور یہ ایک بڑا فاؤل ہے۔")</f>
        <v>کوئی بھی عمل جو دوسرے کھلاڑیوں یا گھوڑوں کی حفاظت کے لیے جان بوجھ کر نظر انداز کرتا ہے اسے خطرناک سواری سمجھا جاتا ہے اور یہ ایک بڑا فاؤل ہے۔</v>
      </c>
    </row>
    <row r="149">
      <c r="A149" s="4">
        <v>148.0</v>
      </c>
      <c r="B149" s="5" t="s">
        <v>1183</v>
      </c>
      <c r="C149" s="5" t="s">
        <v>1184</v>
      </c>
      <c r="D149" s="5" t="s">
        <v>1185</v>
      </c>
      <c r="E149" s="5" t="s">
        <v>1186</v>
      </c>
      <c r="J149" s="6" t="str">
        <f>IFERROR(__xludf.DUMMYFUNCTION("GOOGLETRANSLATE(B149, ""en"", ""ur"")"),"ایک مکمل تربیت یافتہ، اشرافیہ بزکشی گھوڑے کی زیادہ قیمت کی بنیادی وجہ کیا ہے؟")</f>
        <v>ایک مکمل تربیت یافتہ، اشرافیہ بزکشی گھوڑے کی زیادہ قیمت کی بنیادی وجہ کیا ہے؟</v>
      </c>
      <c r="K149" s="6" t="str">
        <f>IFERROR(__xludf.DUMMYFUNCTION("GOOGLETRANSLATE(C149, ""en"", ""ur"")"),"A) اس کی کاٹھی کی قیمت، B) 5+ سال کی شدید، خصوصی تربیت اسے حاصل ہوئی ہے، C) یہ ایک نایاب نسل ہے، D) اس کے کھانے کی قیمت")</f>
        <v>A) اس کی کاٹھی کی قیمت، B) 5+ سال کی شدید، خصوصی تربیت اسے حاصل ہوئی ہے، C) یہ ایک نایاب نسل ہے، D) اس کے کھانے کی قیمت</v>
      </c>
      <c r="L149" s="6" t="str">
        <f>IFERROR(__xludf.DUMMYFUNCTION("GOOGLETRANSLATE(D149, ""en"", ""ur"")"),"B) 5+ سال کی شدید، خصوصی تربیت اسے حاصل ہوئی ہے۔")</f>
        <v>B) 5+ سال کی شدید، خصوصی تربیت اسے حاصل ہوئی ہے۔</v>
      </c>
      <c r="M149" s="6" t="str">
        <f>IFERROR(__xludf.DUMMYFUNCTION("GOOGLETRANSLATE(E149, ""en"", ""ur"")"),"ایک اعلیٰ بزکشی گھوڑے کی اہمیت اس کی تربیت اور تجربے میں ہوتی ہے، جسے تیار کرنے میں کئی سال اور بڑی مہارت درکار ہوتی ہے۔")</f>
        <v>ایک اعلیٰ بزکشی گھوڑے کی اہمیت اس کی تربیت اور تجربے میں ہوتی ہے، جسے تیار کرنے میں کئی سال اور بڑی مہارت درکار ہوتی ہے۔</v>
      </c>
    </row>
    <row r="150">
      <c r="A150" s="4">
        <v>149.0</v>
      </c>
      <c r="B150" s="5" t="s">
        <v>1187</v>
      </c>
      <c r="C150" s="5" t="s">
        <v>1188</v>
      </c>
      <c r="D150" s="5" t="s">
        <v>1189</v>
      </c>
      <c r="E150" s="5" t="s">
        <v>1190</v>
      </c>
      <c r="J150" s="6" t="str">
        <f>IFERROR(__xludf.DUMMYFUNCTION("GOOGLETRANSLATE(B150, ""en"", ""ur"")"),"اگر ٹیم A کا کوئی سوار لاش کو لے جا رہا ہے، تو ٹیم B کے سوار کے لیے قانونی دفاعی اقدام کیا ہے؟")</f>
        <v>اگر ٹیم A کا کوئی سوار لاش کو لے جا رہا ہے، تو ٹیم B کے سوار کے لیے قانونی دفاعی اقدام کیا ہے؟</v>
      </c>
      <c r="K150" s="6" t="str">
        <f>IFERROR(__xludf.DUMMYFUNCTION("GOOGLETRANSLATE(C150, ""en"", ""ur"")"),"A) ٹیم A کے سوار کی لگام پکڑنا، B) ساتھ سواری کرنا اور اپنے گھوڑے کو ٹیم A کے گھوڑے کو ایک طرف دھکیلنے کے لئے استعمال کرنا، C) ٹیم A سوار کو چابک مارنا، D) لاش پر رسی پھینکنا")</f>
        <v>A) ٹیم A کے سوار کی لگام پکڑنا، B) ساتھ سواری کرنا اور اپنے گھوڑے کو ٹیم A کے گھوڑے کو ایک طرف دھکیلنے کے لئے استعمال کرنا، C) ٹیم A سوار کو چابک مارنا، D) لاش پر رسی پھینکنا</v>
      </c>
      <c r="L150" s="6" t="str">
        <f>IFERROR(__xludf.DUMMYFUNCTION("GOOGLETRANSLATE(D150, ""en"", ""ur"")"),"ب) ساتھ سواری کرنا اور اپنے گھوڑے کو ٹیم اے کے گھوڑے کو ایک طرف دھکیلنے کے لیے استعمال کرنا")</f>
        <v>ب) ساتھ سواری کرنا اور اپنے گھوڑے کو ٹیم اے کے گھوڑے کو ایک طرف دھکیلنے کے لیے استعمال کرنا</v>
      </c>
      <c r="M150" s="6" t="str">
        <f>IFERROR(__xludf.DUMMYFUNCTION("GOOGLETRANSLATE(E150, ""en"", ""ur"")"),"اپنے گھوڑے کو قانونی طور پر مداخلت کرنے اور مخالف کے گھوڑے کو دھکیلنے کے لیے استعمال کرنا ایک بنیادی دفاعی اور جارحانہ حربہ ہے۔")</f>
        <v>اپنے گھوڑے کو قانونی طور پر مداخلت کرنے اور مخالف کے گھوڑے کو دھکیلنے کے لیے استعمال کرنا ایک بنیادی دفاعی اور جارحانہ حربہ ہے۔</v>
      </c>
    </row>
    <row r="151">
      <c r="A151" s="4">
        <v>150.0</v>
      </c>
      <c r="B151" s="5" t="s">
        <v>1191</v>
      </c>
      <c r="C151" s="5" t="s">
        <v>1192</v>
      </c>
      <c r="D151" s="5" t="s">
        <v>1053</v>
      </c>
      <c r="E151" s="5" t="s">
        <v>1193</v>
      </c>
      <c r="J151" s="6" t="str">
        <f>IFERROR(__xludf.DUMMYFUNCTION("GOOGLETRANSLATE(B151, ""en"", ""ur"")"),"ایک سوار کامیابی کے ساتھ اسکور کرتا ہے، لیکن پایا جاتا ہے کہ اس نے اپنی کلائی سے چابک باندھ رکھا ہے۔ یہ ایک فاؤل کیوں ہے جو اسکور کو کالعدم کر دے گا؟")</f>
        <v>ایک سوار کامیابی کے ساتھ اسکور کرتا ہے، لیکن پایا جاتا ہے کہ اس نے اپنی کلائی سے چابک باندھ رکھا ہے۔ یہ ایک فاؤل کیوں ہے جو اسکور کو کالعدم کر دے گا؟</v>
      </c>
      <c r="K151" s="6" t="str">
        <f>IFERROR(__xludf.DUMMYFUNCTION("GOOGLETRANSLATE(C151, ""en"", ""ur"")"),"A) یہ فاؤل نہیں ہے، B) یہ کوڑے کو گرنے سے روکتا ہے، غیر منصفانہ فائدہ دیتا ہے، C) یہ خطرناک ہے کیونکہ سوار گرنے سے الجھ سکتا ہے، D) B اور C دونوں")</f>
        <v>A) یہ فاؤل نہیں ہے، B) یہ کوڑے کو گرنے سے روکتا ہے، غیر منصفانہ فائدہ دیتا ہے، C) یہ خطرناک ہے کیونکہ سوار گرنے سے الجھ سکتا ہے، D) B اور C دونوں</v>
      </c>
      <c r="L151" s="6" t="str">
        <f>IFERROR(__xludf.DUMMYFUNCTION("GOOGLETRANSLATE(D151, ""en"", ""ur"")"),"D) B اور C دونوں")</f>
        <v>D) B اور C دونوں</v>
      </c>
      <c r="M151" s="6" t="str">
        <f>IFERROR(__xludf.DUMMYFUNCTION("GOOGLETRANSLATE(E151, ""en"", ""ur"")"),"کوڑے کو باندھنا ایک غیر قانونی ترمیم ہے جو کہ ایک غیر منصفانہ فائدہ اور ایک سنگین حفاظتی خطرہ ہے۔")</f>
        <v>کوڑے کو باندھنا ایک غیر قانونی ترمیم ہے جو کہ ایک غیر منصفانہ فائدہ اور ایک سنگین حفاظتی خطرہ ہے۔</v>
      </c>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0" max="13" width="37.63"/>
  </cols>
  <sheetData>
    <row r="1">
      <c r="A1" s="1" t="s">
        <v>594</v>
      </c>
      <c r="B1" s="2" t="s">
        <v>1</v>
      </c>
      <c r="C1" s="2" t="s">
        <v>2</v>
      </c>
      <c r="D1" s="2" t="s">
        <v>3</v>
      </c>
      <c r="E1" s="2" t="s">
        <v>4</v>
      </c>
      <c r="I1" s="3" t="s">
        <v>5</v>
      </c>
      <c r="J1" s="3" t="s">
        <v>6</v>
      </c>
      <c r="K1" s="3" t="s">
        <v>7</v>
      </c>
      <c r="L1" s="3" t="s">
        <v>8</v>
      </c>
      <c r="M1" s="3" t="s">
        <v>9</v>
      </c>
    </row>
    <row r="2">
      <c r="A2" s="4">
        <v>1.0</v>
      </c>
      <c r="B2" s="5" t="s">
        <v>1194</v>
      </c>
      <c r="C2" s="5" t="s">
        <v>1195</v>
      </c>
      <c r="D2" s="5" t="s">
        <v>1196</v>
      </c>
      <c r="E2" s="5" t="s">
        <v>1197</v>
      </c>
      <c r="I2" s="6" t="str">
        <f>IFERROR(__xludf.DUMMYFUNCTION("GOOGLETRANSLATE(A2, ""en"", ""ur"")"),"1")</f>
        <v>1</v>
      </c>
      <c r="J2" s="6" t="str">
        <f>IFERROR(__xludf.DUMMYFUNCTION("GOOGLETRANSLATE(B2, ""en"", ""ur"")"),"جدید کھیل گٹکا میں تربیت اور مقابلے کے لیے استعمال ہونے والا بنیادی ہتھیار کون سا ہے؟")</f>
        <v>جدید کھیل گٹکا میں تربیت اور مقابلے کے لیے استعمال ہونے والا بنیادی ہتھیار کون سا ہے؟</v>
      </c>
      <c r="K2" s="6" t="str">
        <f>IFERROR(__xludf.DUMMYFUNCTION("GOOGLETRANSLATE(C2, ""en"", ""ur"")"),"A) ایک اصلی تلوار (تلوار)، B) لکڑی کی چھڑی (سوتی) C) نیزہ (برچھا) D) خنجر (کرپان)")</f>
        <v>A) ایک اصلی تلوار (تلوار)، B) لکڑی کی چھڑی (سوتی) C) نیزہ (برچھا) D) خنجر (کرپان)</v>
      </c>
      <c r="L2" s="6" t="str">
        <f>IFERROR(__xludf.DUMMYFUNCTION("GOOGLETRANSLATE(D2, ""en"", ""ur"")"),"ب) لکڑی کی چھڑی (سوتی)")</f>
        <v>ب) لکڑی کی چھڑی (سوتی)</v>
      </c>
      <c r="M2" s="6" t="str">
        <f>IFERROR(__xludf.DUMMYFUNCTION("GOOGLETRANSLATE(E2, ""en"", ""ur"")"),"چھڑی، جو اکثر چمڑے سے ڈھکی ہوتی ہے، نیزہ بازی اور مقابلوں میں تلوار کو محفوظ طریقے سے نقل کرنے کے لیے استعمال ہوتی ہے۔")</f>
        <v>چھڑی، جو اکثر چمڑے سے ڈھکی ہوتی ہے، نیزہ بازی اور مقابلوں میں تلوار کو محفوظ طریقے سے نقل کرنے کے لیے استعمال ہوتی ہے۔</v>
      </c>
    </row>
    <row r="3">
      <c r="A3" s="4">
        <v>2.0</v>
      </c>
      <c r="B3" s="5" t="s">
        <v>1198</v>
      </c>
      <c r="C3" s="5" t="s">
        <v>1199</v>
      </c>
      <c r="D3" s="5" t="s">
        <v>1200</v>
      </c>
      <c r="E3" s="5" t="s">
        <v>1201</v>
      </c>
      <c r="I3" s="6" t="str">
        <f>IFERROR(__xludf.DUMMYFUNCTION("GOOGLETRANSLATE(A3, ""en"", ""ur"")"),"2")</f>
        <v>2</v>
      </c>
      <c r="J3" s="6" t="str">
        <f>IFERROR(__xludf.DUMMYFUNCTION("GOOGLETRANSLATE(B3, ""en"", ""ur"")"),"روایتی سکھ مارشل آرٹ فلسفہ کیا ہے جس سے گٹکا شروع ہوا؟")</f>
        <v>روایتی سکھ مارشل آرٹ فلسفہ کیا ہے جس سے گٹکا شروع ہوا؟</v>
      </c>
      <c r="K3" s="6" t="str">
        <f>IFERROR(__xludf.DUMMYFUNCTION("GOOGLETRANSLATE(C3, ""en"", ""ur"")"),"A) یوگا، B) شاستر ودیا، C) کلاری، D) اکھاڑا")</f>
        <v>A) یوگا، B) شاستر ودیا، C) کلاری، D) اکھاڑا</v>
      </c>
      <c r="L3" s="6" t="str">
        <f>IFERROR(__xludf.DUMMYFUNCTION("GOOGLETRANSLATE(D3, ""en"", ""ur"")"),"ب) شاستر ودیا")</f>
        <v>ب) شاستر ودیا</v>
      </c>
      <c r="M3" s="6" t="str">
        <f>IFERROR(__xludf.DUMMYFUNCTION("GOOGLETRANSLATE(E3, ""en"", ""ur"")"),"گٹکا شاستر ودیا کا کھیل کا پہلو ہے، سکھوں کی جامع ""ہتھیاروں کی سائنس""۔")</f>
        <v>گٹکا شاستر ودیا کا کھیل کا پہلو ہے، سکھوں کی جامع "ہتھیاروں کی سائنس"۔</v>
      </c>
    </row>
    <row r="4">
      <c r="A4" s="4">
        <v>3.0</v>
      </c>
      <c r="B4" s="5" t="s">
        <v>1202</v>
      </c>
      <c r="C4" s="5" t="s">
        <v>1203</v>
      </c>
      <c r="D4" s="5" t="s">
        <v>1204</v>
      </c>
      <c r="E4" s="5" t="s">
        <v>1205</v>
      </c>
      <c r="I4" s="6" t="str">
        <f>IFERROR(__xludf.DUMMYFUNCTION("GOOGLETRANSLATE(A4, ""en"", ""ur"")"),"3")</f>
        <v>3</v>
      </c>
      <c r="J4" s="6" t="str">
        <f>IFERROR(__xludf.DUMMYFUNCTION("GOOGLETRANSLATE(B4, ""en"", ""ur"")"),"کس سکھ گرو کو سکھوں کو عسکری بنانے اور اپنے دفاع کے لیے گٹکا کو مارشل ڈسپلن کے طور پر مقبول بنانے کا سب سے زیادہ سہرا جاتا ہے؟")</f>
        <v>کس سکھ گرو کو سکھوں کو عسکری بنانے اور اپنے دفاع کے لیے گٹکا کو مارشل ڈسپلن کے طور پر مقبول بنانے کا سب سے زیادہ سہرا جاتا ہے؟</v>
      </c>
      <c r="K4" s="6" t="str">
        <f>IFERROR(__xludf.DUMMYFUNCTION("GOOGLETRANSLATE(C4, ""en"", ""ur"")"),"A) گرو نانک، B) گرو ارجن، C) گرو گوبند سنگھ، D) گرو انگد")</f>
        <v>A) گرو نانک، B) گرو ارجن، C) گرو گوبند سنگھ، D) گرو انگد</v>
      </c>
      <c r="L4" s="6" t="str">
        <f>IFERROR(__xludf.DUMMYFUNCTION("GOOGLETRANSLATE(D4, ""en"", ""ur"")"),"ج) گرو گوبند سنگھ")</f>
        <v>ج) گرو گوبند سنگھ</v>
      </c>
      <c r="M4" s="6" t="str">
        <f>IFERROR(__xludf.DUMMYFUNCTION("GOOGLETRANSLATE(E4, ""en"", ""ur"")"),"دسویں گرو، گرو گوبند سنگھ نے خالصہ یودقا کی ترتیب قائم کی اور تمام سکھوں کے لیے جنگی تربیت پر زور دیا۔")</f>
        <v>دسویں گرو، گرو گوبند سنگھ نے خالصہ یودقا کی ترتیب قائم کی اور تمام سکھوں کے لیے جنگی تربیت پر زور دیا۔</v>
      </c>
    </row>
    <row r="5">
      <c r="A5" s="4">
        <v>4.0</v>
      </c>
      <c r="B5" s="5" t="s">
        <v>1206</v>
      </c>
      <c r="C5" s="5" t="s">
        <v>1207</v>
      </c>
      <c r="D5" s="5" t="s">
        <v>1208</v>
      </c>
      <c r="E5" s="5" t="s">
        <v>1209</v>
      </c>
      <c r="I5" s="6" t="str">
        <f>IFERROR(__xludf.DUMMYFUNCTION("GOOGLETRANSLATE(A5, ""en"", ""ur"")"),"4")</f>
        <v>4</v>
      </c>
      <c r="J5" s="6" t="str">
        <f>IFERROR(__xludf.DUMMYFUNCTION("GOOGLETRANSLATE(B5, ""en"", ""ur"")"),"گٹکا کے مقابلے میں، بنیادی طور پر مکے بازی کے فاتح کا تعین کیسے کیا جاتا ہے؟")</f>
        <v>گٹکا کے مقابلے میں، بنیادی طور پر مکے بازی کے فاتح کا تعین کیسے کیا جاتا ہے؟</v>
      </c>
      <c r="K5" s="6" t="str">
        <f>IFERROR(__xludf.DUMMYFUNCTION("GOOGLETRANSLATE(C5, ""en"", ""ur"")"),"A) ناک آؤٹ کے ذریعے، B) کلین ہٹ کے لیے ججز کے مجموعی پوائنٹس کے ذریعے، C) سامعین کے ووٹ کے ذریعے، D) میدان کا مرکز کس کے پاس ہے")</f>
        <v>A) ناک آؤٹ کے ذریعے، B) کلین ہٹ کے لیے ججز کے مجموعی پوائنٹس کے ذریعے، C) سامعین کے ووٹ کے ذریعے، D) میدان کا مرکز کس کے پاس ہے</v>
      </c>
      <c r="L5" s="6" t="str">
        <f>IFERROR(__xludf.DUMMYFUNCTION("GOOGLETRANSLATE(D5, ""en"", ""ur"")"),"ب) کلین ہٹ کے لیے ججز کے مجموعی پوائنٹس کے ذریعے")</f>
        <v>ب) کلین ہٹ کے لیے ججز کے مجموعی پوائنٹس کے ذریعے</v>
      </c>
      <c r="M5" s="6" t="str">
        <f>IFERROR(__xludf.DUMMYFUNCTION("GOOGLETRANSLATE(E5, ""en"", ""ur"")"),"یہ کھیل پوائنٹ پر مبنی ہے، ججز قانونی ٹارگٹ زونز کو ہنر مند اور صاف سٹرائیک کے لیے پوائنٹس دیتے ہیں۔")</f>
        <v>یہ کھیل پوائنٹ پر مبنی ہے، ججز قانونی ٹارگٹ زونز کو ہنر مند اور صاف سٹرائیک کے لیے پوائنٹس دیتے ہیں۔</v>
      </c>
    </row>
    <row r="6">
      <c r="A6" s="4">
        <v>5.0</v>
      </c>
      <c r="B6" s="5" t="s">
        <v>1210</v>
      </c>
      <c r="C6" s="5" t="s">
        <v>1211</v>
      </c>
      <c r="D6" s="5" t="s">
        <v>1212</v>
      </c>
      <c r="E6" s="5" t="s">
        <v>1213</v>
      </c>
      <c r="I6" s="6" t="str">
        <f>IFERROR(__xludf.DUMMYFUNCTION("GOOGLETRANSLATE(A6, ""en"", ""ur"")"),"5")</f>
        <v>5</v>
      </c>
      <c r="J6" s="6" t="str">
        <f>IFERROR(__xludf.DUMMYFUNCTION("GOOGLETRANSLATE(B6, ""en"", ""ur"")"),"گٹکا میں روایتی لڑائی کا کیا موقف ہے جو توازن اور تیاری پر زور دیتا ہے؟")</f>
        <v>گٹکا میں روایتی لڑائی کا کیا موقف ہے جو توازن اور تیاری پر زور دیتا ہے؟</v>
      </c>
      <c r="K6" s="6" t="str">
        <f>IFERROR(__xludf.DUMMYFUNCTION("GOOGLETRANSLATE(C6, ""en"", ""ur"")"),"A) بیتک، B) آسواری، C) بیر آسن، D) پینتھرا")</f>
        <v>A) بیتک، B) آسواری، C) بیر آسن، D) پینتھرا</v>
      </c>
      <c r="L6" s="6" t="str">
        <f>IFERROR(__xludf.DUMMYFUNCTION("GOOGLETRANSLATE(D6, ""en"", ""ur"")"),"ج) بیر آسن")</f>
        <v>ج) بیر آسن</v>
      </c>
      <c r="M6" s="6" t="str">
        <f>IFERROR(__xludf.DUMMYFUNCTION("GOOGLETRANSLATE(E6, ""en"", ""ur"")"),"بیر آسن (واریر اسٹینس) ایک مستحکم، زمینی موقف ہے جو جرم اور دفاع کے درمیان فوری منتقلی کی اجازت دیتا ہے۔")</f>
        <v>بیر آسن (واریر اسٹینس) ایک مستحکم، زمینی موقف ہے جو جرم اور دفاع کے درمیان فوری منتقلی کی اجازت دیتا ہے۔</v>
      </c>
    </row>
    <row r="7">
      <c r="A7" s="4">
        <v>6.0</v>
      </c>
      <c r="B7" s="5" t="s">
        <v>1214</v>
      </c>
      <c r="C7" s="5" t="s">
        <v>1215</v>
      </c>
      <c r="D7" s="5" t="s">
        <v>1216</v>
      </c>
      <c r="E7" s="5" t="s">
        <v>1217</v>
      </c>
      <c r="I7" s="6" t="str">
        <f>IFERROR(__xludf.DUMMYFUNCTION("GOOGLETRANSLATE(A7, ""en"", ""ur"")"),"6")</f>
        <v>6</v>
      </c>
      <c r="J7" s="6" t="str">
        <f>IFERROR(__xludf.DUMMYFUNCTION("GOOGLETRANSLATE(B7, ""en"", ""ur"")"),"کس بڑے سکھ تہوار کے دوران گٹکا کے مظاہرے اور پرفارمنس سب سے زیادہ عام ہے؟")</f>
        <v>کس بڑے سکھ تہوار کے دوران گٹکا کے مظاہرے اور پرفارمنس سب سے زیادہ عام ہے؟</v>
      </c>
      <c r="K7" s="6" t="str">
        <f>IFERROR(__xludf.DUMMYFUNCTION("GOOGLETRANSLATE(C7, ""en"", ""ur"")"),"A) دیوالی، B) لوہڑی، C) ہولا محلہ اور بیساکھی، D) گرو نانک جینتی")</f>
        <v>A) دیوالی، B) لوہڑی، C) ہولا محلہ اور بیساکھی، D) گرو نانک جینتی</v>
      </c>
      <c r="L7" s="6" t="str">
        <f>IFERROR(__xludf.DUMMYFUNCTION("GOOGLETRANSLATE(D7, ""en"", ""ur"")"),"ج) ہولا محلہ اور بیساکھی")</f>
        <v>ج) ہولا محلہ اور بیساکھی</v>
      </c>
      <c r="M7" s="6" t="str">
        <f>IFERROR(__xludf.DUMMYFUNCTION("GOOGLETRANSLATE(E7, ""en"", ""ur"")"),"یہ تہوار، خاص طور پر ہولا محلہ، گرو گوبند سنگھ نے جنگی مہارتوں کو ظاہر کرنے کے مواقع کے طور پر قائم کیے تھے۔")</f>
        <v>یہ تہوار، خاص طور پر ہولا محلہ، گرو گوبند سنگھ نے جنگی مہارتوں کو ظاہر کرنے کے مواقع کے طور پر قائم کیے تھے۔</v>
      </c>
    </row>
    <row r="8">
      <c r="A8" s="4">
        <v>7.0</v>
      </c>
      <c r="B8" s="5" t="s">
        <v>1218</v>
      </c>
      <c r="C8" s="5" t="s">
        <v>1219</v>
      </c>
      <c r="D8" s="5" t="s">
        <v>1220</v>
      </c>
      <c r="E8" s="5" t="s">
        <v>1221</v>
      </c>
      <c r="I8" s="6" t="str">
        <f>IFERROR(__xludf.DUMMYFUNCTION("GOOGLETRANSLATE(A8, ""en"", ""ur"")"),"7")</f>
        <v>7</v>
      </c>
      <c r="J8" s="6" t="str">
        <f>IFERROR(__xludf.DUMMYFUNCTION("GOOGLETRANSLATE(B8, ""en"", ""ur"")"),"مسابقتی گٹکا میچ میں سنگل راؤنڈ کا معیاری دورانیہ کیا ہے؟")</f>
        <v>مسابقتی گٹکا میچ میں سنگل راؤنڈ کا معیاری دورانیہ کیا ہے؟</v>
      </c>
      <c r="K8" s="6" t="str">
        <f>IFERROR(__xludf.DUMMYFUNCTION("GOOGLETRANSLATE(C8, ""en"", ""ur"")"),"A) 1 منٹ، B) 2 منٹ، C) 3 منٹ، D) 5 منٹ")</f>
        <v>A) 1 منٹ، B) 2 منٹ، C) 3 منٹ، D) 5 منٹ</v>
      </c>
      <c r="L8" s="6" t="str">
        <f>IFERROR(__xludf.DUMMYFUNCTION("GOOGLETRANSLATE(D8, ""en"", ""ur"")"),"ج) 3 منٹ")</f>
        <v>ج) 3 منٹ</v>
      </c>
      <c r="M8" s="6" t="str">
        <f>IFERROR(__xludf.DUMMYFUNCTION("GOOGLETRANSLATE(E8, ""en"", ""ur"")"),"ایک عام راؤنڈ 3 منٹ کی زیادہ شدت والی لڑائی تک جاری رہتا ہے۔")</f>
        <v>ایک عام راؤنڈ 3 منٹ کی زیادہ شدت والی لڑائی تک جاری رہتا ہے۔</v>
      </c>
    </row>
    <row r="9">
      <c r="A9" s="4">
        <v>8.0</v>
      </c>
      <c r="B9" s="5" t="s">
        <v>1222</v>
      </c>
      <c r="C9" s="5" t="s">
        <v>1223</v>
      </c>
      <c r="D9" s="5" t="s">
        <v>1224</v>
      </c>
      <c r="E9" s="5" t="s">
        <v>1225</v>
      </c>
      <c r="I9" s="6" t="str">
        <f>IFERROR(__xludf.DUMMYFUNCTION("GOOGLETRANSLATE(A9, ""en"", ""ur"")"),"8")</f>
        <v>8</v>
      </c>
      <c r="J9" s="6" t="str">
        <f>IFERROR(__xludf.DUMMYFUNCTION("GOOGLETRANSLATE(B9, ""en"", ""ur"")"),"گٹکا میچ میں امپائر یا ریفری کا کیا کردار ہوتا ہے؟")</f>
        <v>گٹکا میچ میں امپائر یا ریفری کا کیا کردار ہوتا ہے؟</v>
      </c>
      <c r="K9" s="6" t="str">
        <f>IFERROR(__xludf.DUMMYFUNCTION("GOOGLETRANSLATE(C9, ""en"", ""ur"")"),"A) کھلاڑیوں کی کوچنگ کے لیے، B) منصفانہ کھیل کو یقینی بنانا، قواعد کو نافذ کرنا، اور کھیل کے آغاز/اسٹاپ کا اشارہ دینا، C) آفیشل سکور برقرار رکھنا، D) شریک ہونا")</f>
        <v>A) کھلاڑیوں کی کوچنگ کے لیے، B) منصفانہ کھیل کو یقینی بنانا، قواعد کو نافذ کرنا، اور کھیل کے آغاز/اسٹاپ کا اشارہ دینا، C) آفیشل سکور برقرار رکھنا، D) شریک ہونا</v>
      </c>
      <c r="L9" s="6" t="str">
        <f>IFERROR(__xludf.DUMMYFUNCTION("GOOGLETRANSLATE(D9, ""en"", ""ur"")"),"ب) منصفانہ کھیل کو یقینی بنانے، قوانین کو نافذ کرنے، اور کھیل کے آغاز/روکنے کا اشارہ دینا")</f>
        <v>ب) منصفانہ کھیل کو یقینی بنانے، قوانین کو نافذ کرنے، اور کھیل کے آغاز/روکنے کا اشارہ دینا</v>
      </c>
      <c r="M9" s="6" t="str">
        <f>IFERROR(__xludf.DUMMYFUNCTION("GOOGLETRANSLATE(E9, ""en"", ""ur"")"),"امپائر میدان میں مرکزی اتھارٹی ہے، جو میچ کے محفوظ اور منصفانہ انعقاد کا ذمہ دار ہے۔")</f>
        <v>امپائر میدان میں مرکزی اتھارٹی ہے، جو میچ کے محفوظ اور منصفانہ انعقاد کا ذمہ دار ہے۔</v>
      </c>
    </row>
    <row r="10">
      <c r="A10" s="4">
        <v>9.0</v>
      </c>
      <c r="B10" s="5" t="s">
        <v>1226</v>
      </c>
      <c r="C10" s="5" t="s">
        <v>1227</v>
      </c>
      <c r="D10" s="5" t="s">
        <v>1228</v>
      </c>
      <c r="E10" s="5" t="s">
        <v>1229</v>
      </c>
      <c r="I10" s="6" t="str">
        <f>IFERROR(__xludf.DUMMYFUNCTION("GOOGLETRANSLATE(A10, ""en"", ""ur"")"),"9")</f>
        <v>9</v>
      </c>
      <c r="J10" s="6" t="str">
        <f>IFERROR(__xludf.DUMMYFUNCTION("GOOGLETRANSLATE(B10, ""en"", ""ur"")"),"گٹکا فلسفہ میں، ""میری پیری"" کا تصور کس چیز کی نمائندگی کرتا ہے؟")</f>
        <v>گٹکا فلسفہ میں، "میری پیری" کا تصور کس چیز کی نمائندگی کرتا ہے؟</v>
      </c>
      <c r="K10" s="6" t="str">
        <f>IFERROR(__xludf.DUMMYFUNCTION("GOOGLETRANSLATE(C10, ""en"", ""ur"")"),"A) حملے اور دفاع کا توازن، B) دنیاوی (میری) اور روحانی (پیری) اتھارٹی کا توازن، C) دو قسم کی لاٹھیاں استعمال کی جاتی ہیں، D) طالب علم اور استاد کا رشتہ")</f>
        <v>A) حملے اور دفاع کا توازن، B) دنیاوی (میری) اور روحانی (پیری) اتھارٹی کا توازن، C) دو قسم کی لاٹھیاں استعمال کی جاتی ہیں، D) طالب علم اور استاد کا رشتہ</v>
      </c>
      <c r="L10" s="6" t="str">
        <f>IFERROR(__xludf.DUMMYFUNCTION("GOOGLETRANSLATE(D10, ""en"", ""ur"")"),"ب) دنیاوی (میری) اور روحانی (پیری) اتھارٹی کا توازن")</f>
        <v>ب) دنیاوی (میری) اور روحانی (پیری) اتھارٹی کا توازن</v>
      </c>
      <c r="M10" s="6" t="str">
        <f>IFERROR(__xludf.DUMMYFUNCTION("GOOGLETRANSLATE(E10, ""en"", ""ur"")"),"گرو ہرگوبند کی طرف سے متعارف کرایا گیا، یہ اصول ثابت کرتا ہے کہ ایک سکھ جنگجو کو سنت اور سپاہی دونوں ہونا چاہیے، گٹکا کی روحانی گہرائی کو متاثر کرتا ہے۔")</f>
        <v>گرو ہرگوبند کی طرف سے متعارف کرایا گیا، یہ اصول ثابت کرتا ہے کہ ایک سکھ جنگجو کو سنت اور سپاہی دونوں ہونا چاہیے، گٹکا کی روحانی گہرائی کو متاثر کرتا ہے۔</v>
      </c>
    </row>
    <row r="11">
      <c r="A11" s="4">
        <v>10.0</v>
      </c>
      <c r="B11" s="5" t="s">
        <v>1230</v>
      </c>
      <c r="C11" s="5" t="s">
        <v>1231</v>
      </c>
      <c r="D11" s="5" t="s">
        <v>1232</v>
      </c>
      <c r="E11" s="5" t="s">
        <v>1233</v>
      </c>
      <c r="I11" s="6" t="str">
        <f>IFERROR(__xludf.DUMMYFUNCTION("GOOGLETRANSLATE(A11, ""en"", ""ur"")"),"10")</f>
        <v>10</v>
      </c>
      <c r="J11" s="6" t="str">
        <f>IFERROR(__xludf.DUMMYFUNCTION("GOOGLETRANSLATE(B11, ""en"", ""ur"")"),"گٹکا میں ڈھال (فاری) کا بنیادی مقصد کیا ہے؟")</f>
        <v>گٹکا میں ڈھال (فاری) کا بنیادی مقصد کیا ہے؟</v>
      </c>
      <c r="K11" s="6" t="str">
        <f>IFERROR(__xludf.DUMMYFUNCTION("GOOGLETRANSLATE(C11, ""en"", ""ur"")"),"A) مخالف پر حملہ کرنے کے لیے، B) اسٹرائیک کو روکنے کے لیے ایک دفاعی ٹول کے طور پر استعمال کیا جانا، C) پوائنٹس اسکور کرنے کے لیے، D) مخالف کی توجہ ہٹانے کے لیے")</f>
        <v>A) مخالف پر حملہ کرنے کے لیے، B) اسٹرائیک کو روکنے کے لیے ایک دفاعی ٹول کے طور پر استعمال کیا جانا، C) پوائنٹس اسکور کرنے کے لیے، D) مخالف کی توجہ ہٹانے کے لیے</v>
      </c>
      <c r="L11" s="6" t="str">
        <f>IFERROR(__xludf.DUMMYFUNCTION("GOOGLETRANSLATE(D11, ""en"", ""ur"")"),"ب) حملوں کو روکنے کے لیے ایک دفاعی آلے کے طور پر استعمال کیا جائے۔")</f>
        <v>ب) حملوں کو روکنے کے لیے ایک دفاعی آلے کے طور پر استعمال کیا جائے۔</v>
      </c>
      <c r="M11" s="6" t="str">
        <f>IFERROR(__xludf.DUMMYFUNCTION("GOOGLETRANSLATE(E11, ""en"", ""ur"")"),"شیلڈ ایک مکمل طور پر دفاعی سامان ہے جو آنے والے حملوں کو روکنے اور روکنے کے لیے استعمال ہوتا ہے۔")</f>
        <v>شیلڈ ایک مکمل طور پر دفاعی سامان ہے جو آنے والے حملوں کو روکنے اور روکنے کے لیے استعمال ہوتا ہے۔</v>
      </c>
    </row>
    <row r="12">
      <c r="A12" s="4">
        <v>11.0</v>
      </c>
      <c r="B12" s="5" t="s">
        <v>1234</v>
      </c>
      <c r="C12" s="5" t="s">
        <v>1235</v>
      </c>
      <c r="D12" s="5" t="s">
        <v>1236</v>
      </c>
      <c r="E12" s="5" t="s">
        <v>1237</v>
      </c>
      <c r="I12" s="6" t="str">
        <f>IFERROR(__xludf.DUMMYFUNCTION("GOOGLETRANSLATE(A12, ""en"", ""ur"")"),"11")</f>
        <v>11</v>
      </c>
      <c r="J12" s="6" t="str">
        <f>IFERROR(__xludf.DUMMYFUNCTION("GOOGLETRANSLATE(B12, ""en"", ""ur"")"),"روایتی تربیتی چھڑی (سوتی) عام طور پر کس مواد سے بنائی جاتی ہے؟")</f>
        <v>روایتی تربیتی چھڑی (سوتی) عام طور پر کس مواد سے بنائی جاتی ہے؟</v>
      </c>
      <c r="K12" s="6" t="str">
        <f>IFERROR(__xludf.DUMMYFUNCTION("GOOGLETRANSLATE(C12, ""en"", ""ur"")"),"A) بانس، B) Teakwood، C) رتن یا کین، D) بلوط")</f>
        <v>A) بانس، B) Teakwood، C) رتن یا کین، D) بلوط</v>
      </c>
      <c r="L12" s="6" t="str">
        <f>IFERROR(__xludf.DUMMYFUNCTION("GOOGLETRANSLATE(D12, ""en"", ""ur"")"),"ج) رتن یا چھڑی")</f>
        <v>ج) رتن یا چھڑی</v>
      </c>
      <c r="M12" s="6" t="str">
        <f>IFERROR(__xludf.DUMMYFUNCTION("GOOGLETRANSLATE(E12, ""en"", ""ur"")"),"کین روایتی مواد ہے کیونکہ یہ ہلکا پھلکا، لچکدار اور مضبوط ہے، جو اسے تیز رفتار تربیت کے لیے مثالی بناتا ہے۔")</f>
        <v>کین روایتی مواد ہے کیونکہ یہ ہلکا پھلکا، لچکدار اور مضبوط ہے، جو اسے تیز رفتار تربیت کے لیے مثالی بناتا ہے۔</v>
      </c>
    </row>
    <row r="13">
      <c r="A13" s="4">
        <v>12.0</v>
      </c>
      <c r="B13" s="5" t="s">
        <v>1238</v>
      </c>
      <c r="C13" s="5" t="s">
        <v>1239</v>
      </c>
      <c r="D13" s="5" t="s">
        <v>1240</v>
      </c>
      <c r="E13" s="5" t="s">
        <v>1241</v>
      </c>
      <c r="I13" s="6" t="str">
        <f>IFERROR(__xludf.DUMMYFUNCTION("GOOGLETRANSLATE(A13, ""en"", ""ur"")"),"12")</f>
        <v>12</v>
      </c>
      <c r="J13" s="6" t="str">
        <f>IFERROR(__xludf.DUMMYFUNCTION("GOOGLETRANSLATE(B13, ""en"", ""ur"")"),"باضابطہ گٹکا مقابلے میں نامزد جنگی علاقے (اکھاڑہ) کی شکل کیا ہے؟")</f>
        <v>باضابطہ گٹکا مقابلے میں نامزد جنگی علاقے (اکھاڑہ) کی شکل کیا ہے؟</v>
      </c>
      <c r="K13" s="6" t="str">
        <f>IFERROR(__xludf.DUMMYFUNCTION("GOOGLETRANSLATE(C13, ""en"", ""ur"")"),"A) ایک مربع، B) ایک مستطیل، C) ایک دائرہ، D) ایک مثلث")</f>
        <v>A) ایک مربع، B) ایک مستطیل، C) ایک دائرہ، D) ایک مثلث</v>
      </c>
      <c r="L13" s="6" t="str">
        <f>IFERROR(__xludf.DUMMYFUNCTION("GOOGLETRANSLATE(D13, ""en"", ""ur"")"),"سی) ایک دائرہ")</f>
        <v>سی) ایک دائرہ</v>
      </c>
      <c r="M13" s="6" t="str">
        <f>IFERROR(__xludf.DUMMYFUNCTION("GOOGLETRANSLATE(E13, ""en"", ""ur"")"),"جنگی میدان ایک دائرہ ہے، جس کا قطر عام طور پر 10 سے 12 میٹر ہوتا ہے، تاکہ مسلسل اور سیال حرکت کو یقینی بنایا جا سکے۔")</f>
        <v>جنگی میدان ایک دائرہ ہے، جس کا قطر عام طور پر 10 سے 12 میٹر ہوتا ہے، تاکہ مسلسل اور سیال حرکت کو یقینی بنایا جا سکے۔</v>
      </c>
    </row>
    <row r="14">
      <c r="A14" s="4">
        <v>13.0</v>
      </c>
      <c r="B14" s="5" t="s">
        <v>1242</v>
      </c>
      <c r="C14" s="5" t="s">
        <v>1243</v>
      </c>
      <c r="D14" s="5" t="s">
        <v>1244</v>
      </c>
      <c r="E14" s="5" t="s">
        <v>1245</v>
      </c>
      <c r="I14" s="6" t="str">
        <f>IFERROR(__xludf.DUMMYFUNCTION("GOOGLETRANSLATE(A14, ""en"", ""ur"")"),"13")</f>
        <v>13</v>
      </c>
      <c r="J14" s="6" t="str">
        <f>IFERROR(__xludf.DUMMYFUNCTION("GOOGLETRANSLATE(B14, ""en"", ""ur"")"),"حملے سے بچنے کے لیے جان بوجھ کر جنگی میدان سے باہر نکلنے والے کھلاڑی کے لیے کیا سزا ہے؟")</f>
        <v>حملے سے بچنے کے لیے جان بوجھ کر جنگی میدان سے باہر نکلنے والے کھلاڑی کے لیے کیا سزا ہے؟</v>
      </c>
      <c r="K14" s="6" t="str">
        <f>IFERROR(__xludf.DUMMYFUNCTION("GOOGLETRANSLATE(C14, ""en"", ""ur"")"),"A) ایک انتباہ جاری کیا جاتا ہے، B) ایک پوائنٹ کاٹ دیا جاتا ہے، C) کھلاڑی کو نااہل قرار دیا جاتا ہے، D) راؤنڈ دوبارہ شروع ہوتا ہے")</f>
        <v>A) ایک انتباہ جاری کیا جاتا ہے، B) ایک پوائنٹ کاٹ دیا جاتا ہے، C) کھلاڑی کو نااہل قرار دیا جاتا ہے، D) راؤنڈ دوبارہ شروع ہوتا ہے</v>
      </c>
      <c r="L14" s="6" t="str">
        <f>IFERROR(__xludf.DUMMYFUNCTION("GOOGLETRANSLATE(D14, ""en"", ""ur"")"),"ب) ایک پوائنٹ کاٹ دیا جاتا ہے۔")</f>
        <v>ب) ایک پوائنٹ کاٹ دیا جاتا ہے۔</v>
      </c>
      <c r="M14" s="6" t="str">
        <f>IFERROR(__xludf.DUMMYFUNCTION("GOOGLETRANSLATE(E14, ""en"", ""ur"")"),"متعین جگہ چھوڑنا فُل ہے۔ ایک کھلاڑی کو لڑائی کا سامنا کرنا پڑتا ہے اور وہ فرار ہونے کے لیے باؤنڈری کا استعمال نہیں کر سکتا۔")</f>
        <v>متعین جگہ چھوڑنا فُل ہے۔ ایک کھلاڑی کو لڑائی کا سامنا کرنا پڑتا ہے اور وہ فرار ہونے کے لیے باؤنڈری کا استعمال نہیں کر سکتا۔</v>
      </c>
    </row>
    <row r="15">
      <c r="A15" s="4">
        <v>14.0</v>
      </c>
      <c r="B15" s="5" t="s">
        <v>1246</v>
      </c>
      <c r="C15" s="5" t="s">
        <v>1247</v>
      </c>
      <c r="D15" s="5" t="s">
        <v>1248</v>
      </c>
      <c r="E15" s="5" t="s">
        <v>1249</v>
      </c>
      <c r="I15" s="6" t="str">
        <f>IFERROR(__xludf.DUMMYFUNCTION("GOOGLETRANSLATE(A15, ""en"", ""ur"")"),"14")</f>
        <v>14</v>
      </c>
      <c r="J15" s="6" t="str">
        <f>IFERROR(__xludf.DUMMYFUNCTION("GOOGLETRANSLATE(B15, ""en"", ""ur"")"),"روایتی جنگجو لباس کیا ہے جو گٹکا اداکاروں کے ذریعے پہنا جاتا ہے، خاص طور پر نہنگ آرڈر؟")</f>
        <v>روایتی جنگجو لباس کیا ہے جو گٹکا اداکاروں کے ذریعے پہنا جاتا ہے، خاص طور پر نہنگ آرڈر؟</v>
      </c>
      <c r="K15" s="6" t="str">
        <f>IFERROR(__xludf.DUMMYFUNCTION("GOOGLETRANSLATE(C15, ""en"", ""ur"")"),"A) کرتا پاجامہ، B) نہنگ بنا، C) دھوتی، D) ایک جدید ٹریک سوٹ")</f>
        <v>A) کرتا پاجامہ، B) نہنگ بنا، C) دھوتی، D) ایک جدید ٹریک سوٹ</v>
      </c>
      <c r="L15" s="6" t="str">
        <f>IFERROR(__xludf.DUMMYFUNCTION("GOOGLETRANSLATE(D15, ""en"", ""ur"")"),"ب) نہنگ بانا")</f>
        <v>ب) نہنگ بانا</v>
      </c>
      <c r="M15" s="6" t="str">
        <f>IFERROR(__xludf.DUMMYFUNCTION("GOOGLETRANSLATE(E15, ""en"", ""ur"")"),"نہنگ بانا سکھ جنگجوؤں کا روایتی لباس ہے، جو اکثر ایک مخصوص برقی نیلا رنگ ہوتا ہے۔")</f>
        <v>نہنگ بانا سکھ جنگجوؤں کا روایتی لباس ہے، جو اکثر ایک مخصوص برقی نیلا رنگ ہوتا ہے۔</v>
      </c>
    </row>
    <row r="16">
      <c r="A16" s="4">
        <v>15.0</v>
      </c>
      <c r="B16" s="5" t="s">
        <v>1250</v>
      </c>
      <c r="C16" s="5" t="s">
        <v>1251</v>
      </c>
      <c r="D16" s="5" t="s">
        <v>1252</v>
      </c>
      <c r="E16" s="5" t="s">
        <v>1253</v>
      </c>
      <c r="I16" s="6" t="str">
        <f>IFERROR(__xludf.DUMMYFUNCTION("GOOGLETRANSLATE(A16, ""en"", ""ur"")"),"15")</f>
        <v>15</v>
      </c>
      <c r="J16" s="6" t="str">
        <f>IFERROR(__xludf.DUMMYFUNCTION("GOOGLETRANSLATE(B16, ""en"", ""ur"")"),"مسابقتی گٹکا میں جسم کا کون سا حصہ غیر قانونی ہدف ہے؟")</f>
        <v>مسابقتی گٹکا میں جسم کا کون سا حصہ غیر قانونی ہدف ہے؟</v>
      </c>
      <c r="K16" s="6" t="str">
        <f>IFERROR(__xludf.DUMMYFUNCTION("GOOGLETRANSLATE(C16, ""en"", ""ur"")"),"A) بازو، B) دھڑ، C) گھٹنوں کے نیچے کا علاقہ، D) کندھے")</f>
        <v>A) بازو، B) دھڑ، C) گھٹنوں کے نیچے کا علاقہ، D) کندھے</v>
      </c>
      <c r="L16" s="6" t="str">
        <f>IFERROR(__xludf.DUMMYFUNCTION("GOOGLETRANSLATE(D16, ""en"", ""ur"")"),"ج) گھٹنوں کے نیچے کا علاقہ")</f>
        <v>ج) گھٹنوں کے نیچے کا علاقہ</v>
      </c>
      <c r="M16" s="6" t="str">
        <f>IFERROR(__xludf.DUMMYFUNCTION("GOOGLETRANSLATE(E16, ""en"", ""ur"")"),"گھٹنے سے نیچے کی ضربیں جوڑوں کی سنگین چوٹوں کو روکنے اور باڈی کے اوپری حصے کی مہارت سے لڑنے پر توجہ مرکوز رکھنے کے لیے منع ہیں۔")</f>
        <v>گھٹنے سے نیچے کی ضربیں جوڑوں کی سنگین چوٹوں کو روکنے اور باڈی کے اوپری حصے کی مہارت سے لڑنے پر توجہ مرکوز رکھنے کے لیے منع ہیں۔</v>
      </c>
    </row>
    <row r="17">
      <c r="A17" s="4">
        <v>16.0</v>
      </c>
      <c r="B17" s="5" t="s">
        <v>1254</v>
      </c>
      <c r="C17" s="5" t="s">
        <v>1255</v>
      </c>
      <c r="D17" s="5" t="s">
        <v>1256</v>
      </c>
      <c r="E17" s="5" t="s">
        <v>1257</v>
      </c>
      <c r="I17" s="6" t="str">
        <f>IFERROR(__xludf.DUMMYFUNCTION("GOOGLETRANSLATE(A17, ""en"", ""ur"")"),"16")</f>
        <v>16</v>
      </c>
      <c r="J17" s="6" t="str">
        <f>IFERROR(__xludf.DUMMYFUNCTION("GOOGLETRANSLATE(B17, ""en"", ""ur"")"),"گٹکا کے تناظر میں لفظ شاستر کا کیا مطلب ہے؟")</f>
        <v>گٹکا کے تناظر میں لفظ شاستر کا کیا مطلب ہے؟</v>
      </c>
      <c r="K17" s="6" t="str">
        <f>IFERROR(__xludf.DUMMYFUNCTION("GOOGLETRANSLATE(C17, ""en"", ""ur"")"),"A) ایک دفاعی موقف، B) ایک ہتھیار یا ہتھیار، C) فتح، D) تربیتی میدان")</f>
        <v>A) ایک دفاعی موقف، B) ایک ہتھیار یا ہتھیار، C) فتح، D) تربیتی میدان</v>
      </c>
      <c r="L17" s="6" t="str">
        <f>IFERROR(__xludf.DUMMYFUNCTION("GOOGLETRANSLATE(D17, ""en"", ""ur"")"),"ب) ایک ہتھیار یا ہتھیار")</f>
        <v>ب) ایک ہتھیار یا ہتھیار</v>
      </c>
      <c r="M17" s="6" t="str">
        <f>IFERROR(__xludf.DUMMYFUNCTION("GOOGLETRANSLATE(E17, ""en"", ""ur"")"),"شاستر ہتھیار کے لیے ایک اصطلاح ہے، اور شاستر ودیا (ہتھیاروں کی سائنس) ایک وسیع جنگی روایت ہے جس سے گٹکا اخذ ہوتا ہے۔")</f>
        <v>شاستر ہتھیار کے لیے ایک اصطلاح ہے، اور شاستر ودیا (ہتھیاروں کی سائنس) ایک وسیع جنگی روایت ہے جس سے گٹکا اخذ ہوتا ہے۔</v>
      </c>
    </row>
    <row r="18">
      <c r="A18" s="4">
        <v>17.0</v>
      </c>
      <c r="B18" s="5" t="s">
        <v>1258</v>
      </c>
      <c r="C18" s="5" t="s">
        <v>1259</v>
      </c>
      <c r="D18" s="5" t="s">
        <v>1260</v>
      </c>
      <c r="E18" s="5" t="s">
        <v>1261</v>
      </c>
      <c r="I18" s="6" t="str">
        <f>IFERROR(__xludf.DUMMYFUNCTION("GOOGLETRANSLATE(A18, ""en"", ""ur"")"),"17")</f>
        <v>17</v>
      </c>
      <c r="J18" s="6" t="str">
        <f>IFERROR(__xludf.DUMMYFUNCTION("GOOGLETRANSLATE(B18, ""en"", ""ur"")"),"دھڑ کے لیے ایک صاف، قانونی ہڑتال عام طور پر کتنے پوائنٹس کے قابل ہے؟")</f>
        <v>دھڑ کے لیے ایک صاف، قانونی ہڑتال عام طور پر کتنے پوائنٹس کے قابل ہے؟</v>
      </c>
      <c r="K18" s="6" t="str">
        <f>IFERROR(__xludf.DUMMYFUNCTION("GOOGLETRANSLATE(C18, ""en"", ""ur"")"),"A) 1 پوائنٹ، B) 2 پوائنٹس، C) 3 پوائنٹس، D) 5 پوائنٹس")</f>
        <v>A) 1 پوائنٹ، B) 2 پوائنٹس، C) 3 پوائنٹس، D) 5 پوائنٹس</v>
      </c>
      <c r="L18" s="6" t="str">
        <f>IFERROR(__xludf.DUMMYFUNCTION("GOOGLETRANSLATE(D18, ""en"", ""ur"")"),"A) 1 پوائنٹ")</f>
        <v>A) 1 پوائنٹ</v>
      </c>
      <c r="M18" s="6" t="str">
        <f>IFERROR(__xludf.DUMMYFUNCTION("GOOGLETRANSLATE(E18, ""en"", ""ur"")"),"گٹکا میچ میں مخالف کے جسم پر ایک معیاری، درست ہٹ اسکور کرنے کا بنیادی یونٹ ہے۔")</f>
        <v>گٹکا میچ میں مخالف کے جسم پر ایک معیاری، درست ہٹ اسکور کرنے کا بنیادی یونٹ ہے۔</v>
      </c>
    </row>
    <row r="19">
      <c r="A19" s="4">
        <v>18.0</v>
      </c>
      <c r="B19" s="5" t="s">
        <v>1262</v>
      </c>
      <c r="C19" s="5" t="s">
        <v>1263</v>
      </c>
      <c r="D19" s="5" t="s">
        <v>1264</v>
      </c>
      <c r="E19" s="5" t="s">
        <v>1265</v>
      </c>
      <c r="I19" s="6" t="str">
        <f>IFERROR(__xludf.DUMMYFUNCTION("GOOGLETRANSLATE(A19, ""en"", ""ur"")"),"18")</f>
        <v>18</v>
      </c>
      <c r="J19" s="6" t="str">
        <f>IFERROR(__xludf.DUMMYFUNCTION("GOOGLETRANSLATE(B19, ""en"", ""ur"")"),"اگر میچ کے دوران کسی کھلاڑی کی چھڑی ٹوٹ جائے تو ریفری کا کیا عمل ہے؟")</f>
        <v>اگر میچ کے دوران کسی کھلاڑی کی چھڑی ٹوٹ جائے تو ریفری کا کیا عمل ہے؟</v>
      </c>
      <c r="K19" s="6" t="str">
        <f>IFERROR(__xludf.DUMMYFUNCTION("GOOGLETRANSLATE(C19, ""en"", ""ur"")"),"A) کھلاڑی کو نااہل قرار دیا جاتا ہے، B) کھلاڑی کو بغیر اسٹک کے جاری رہنا چاہیے، C) متبادل اسٹک کی اجازت دینے کے لیے میچ روک دیا جاتا ہے، D) مخالف کو ایک پوائنٹ دیا جاتا ہے۔")</f>
        <v>A) کھلاڑی کو نااہل قرار دیا جاتا ہے، B) کھلاڑی کو بغیر اسٹک کے جاری رہنا چاہیے، C) متبادل اسٹک کی اجازت دینے کے لیے میچ روک دیا جاتا ہے، D) مخالف کو ایک پوائنٹ دیا جاتا ہے۔</v>
      </c>
      <c r="L19" s="6" t="str">
        <f>IFERROR(__xludf.DUMMYFUNCTION("GOOGLETRANSLATE(D19, ""en"", ""ur"")"),"C) متبادل چھڑی کی اجازت دینے کے لیے میچ کو روک دیا گیا ہے۔")</f>
        <v>C) متبادل چھڑی کی اجازت دینے کے لیے میچ کو روک دیا گیا ہے۔</v>
      </c>
      <c r="M19" s="6" t="str">
        <f>IFERROR(__xludf.DUMMYFUNCTION("GOOGLETRANSLATE(E19, ""en"", ""ur"")"),"ایک منصفانہ مقابلہ کو یقینی بنانے کے لیے، ریفری کھلاڑی کو ایک نئی، منظور شدہ چھڑی حاصل کرنے کی اجازت دینے کے لیے ایک ٹائم آؤٹ کال کرے گا۔")</f>
        <v>ایک منصفانہ مقابلہ کو یقینی بنانے کے لیے، ریفری کھلاڑی کو ایک نئی، منظور شدہ چھڑی حاصل کرنے کی اجازت دینے کے لیے ایک ٹائم آؤٹ کال کرے گا۔</v>
      </c>
    </row>
    <row r="20">
      <c r="A20" s="4">
        <v>19.0</v>
      </c>
      <c r="B20" s="5" t="s">
        <v>1266</v>
      </c>
      <c r="C20" s="5" t="s">
        <v>1267</v>
      </c>
      <c r="D20" s="5" t="s">
        <v>1268</v>
      </c>
      <c r="E20" s="5" t="s">
        <v>1269</v>
      </c>
      <c r="I20" s="6" t="str">
        <f>IFERROR(__xludf.DUMMYFUNCTION("GOOGLETRANSLATE(A20, ""en"", ""ur"")"),"19")</f>
        <v>19</v>
      </c>
      <c r="J20" s="6" t="str">
        <f>IFERROR(__xludf.DUMMYFUNCTION("GOOGLETRANSLATE(B20, ""en"", ""ur"")"),"گٹکا اور دیگر ہندوستانی مارشل آرٹ کے روایتی تربیتی میدان کو کیا کہتے ہیں؟")</f>
        <v>گٹکا اور دیگر ہندوستانی مارشل آرٹ کے روایتی تربیتی میدان کو کیا کہتے ہیں؟</v>
      </c>
      <c r="K20" s="6" t="str">
        <f>IFERROR(__xludf.DUMMYFUNCTION("GOOGLETRANSLATE(C20, ""en"", ""ur"")"),"A) شاستر گھر، B) دوجو، C) گوردوارہ، D) اکھاڑا")</f>
        <v>A) شاستر گھر، B) دوجو، C) گوردوارہ، D) اکھاڑا</v>
      </c>
      <c r="L20" s="6" t="str">
        <f>IFERROR(__xludf.DUMMYFUNCTION("GOOGLETRANSLATE(D20, ""en"", ""ur"")"),"ڈی) اکھاڑا")</f>
        <v>ڈی) اکھاڑا</v>
      </c>
      <c r="M20" s="6" t="str">
        <f>IFERROR(__xludf.DUMMYFUNCTION("GOOGLETRANSLATE(E20, ""en"", ""ur"")"),"اکھاڑا ایک روایتی جمنازیم یا مارشل آرٹس اور ریسلنگ کے لیے تربیتی میدان ہے۔")</f>
        <v>اکھاڑا ایک روایتی جمنازیم یا مارشل آرٹس اور ریسلنگ کے لیے تربیتی میدان ہے۔</v>
      </c>
    </row>
    <row r="21">
      <c r="A21" s="4">
        <v>20.0</v>
      </c>
      <c r="B21" s="5" t="s">
        <v>1270</v>
      </c>
      <c r="C21" s="5" t="s">
        <v>1271</v>
      </c>
      <c r="D21" s="5" t="s">
        <v>1272</v>
      </c>
      <c r="E21" s="5" t="s">
        <v>1273</v>
      </c>
      <c r="I21" s="6" t="str">
        <f>IFERROR(__xludf.DUMMYFUNCTION("GOOGLETRANSLATE(A21, ""en"", ""ur"")"),"20")</f>
        <v>20</v>
      </c>
      <c r="J21" s="6" t="str">
        <f>IFERROR(__xludf.DUMMYFUNCTION("GOOGLETRANSLATE(B21, ""en"", ""ur"")"),"گٹکا کے فلسفے میں ""چاردی کلا"" روح کس چیز پر زور دیتی ہے؟")</f>
        <v>گٹکا کے فلسفے میں "چاردی کلا" روح کس چیز پر زور دیتی ہے؟</v>
      </c>
      <c r="K21" s="6" t="str">
        <f>IFERROR(__xludf.DUMMYFUNCTION("GOOGLETRANSLATE(C21, ""en"", ""ur"")"),"A) بدلہ لینے کی خواہش، B) دائمی رجائیت اور بلند روح کی حالت، یہاں تک کہ مصیبت میں بھی، C) دشمنوں پر انتہائی جارحیت، D) سخت رسم کی پابندی")</f>
        <v>A) بدلہ لینے کی خواہش، B) دائمی رجائیت اور بلند روح کی حالت، یہاں تک کہ مصیبت میں بھی، C) دشمنوں پر انتہائی جارحیت، D) سخت رسم کی پابندی</v>
      </c>
      <c r="L21" s="6" t="str">
        <f>IFERROR(__xludf.DUMMYFUNCTION("GOOGLETRANSLATE(D21, ""en"", ""ur"")"),"ب) دائمی رجائیت اور بلند روح کی حالت، یہاں تک کہ مصیبت میں بھی")</f>
        <v>ب) دائمی رجائیت اور بلند روح کی حالت، یہاں تک کہ مصیبت میں بھی</v>
      </c>
      <c r="M21" s="6" t="str">
        <f>IFERROR(__xludf.DUMMYFUNCTION("GOOGLETRANSLATE(E21, ""en"", ""ur"")"),"چاردی کلا سکھوں کا ایک بنیادی تصور ہے جو ایک مثبت، لچکدار اور بے خوف ذہنیت کو فروغ دیتا ہے، جو جنگجو کے جذبے کا مرکز ہے۔")</f>
        <v>چاردی کلا سکھوں کا ایک بنیادی تصور ہے جو ایک مثبت، لچکدار اور بے خوف ذہنیت کو فروغ دیتا ہے، جو جنگجو کے جذبے کا مرکز ہے۔</v>
      </c>
    </row>
    <row r="22">
      <c r="A22" s="4">
        <v>21.0</v>
      </c>
      <c r="B22" s="5" t="s">
        <v>1274</v>
      </c>
      <c r="C22" s="5" t="s">
        <v>1275</v>
      </c>
      <c r="D22" s="5" t="s">
        <v>1276</v>
      </c>
      <c r="E22" s="5" t="s">
        <v>1277</v>
      </c>
      <c r="I22" s="6" t="str">
        <f>IFERROR(__xludf.DUMMYFUNCTION("GOOGLETRANSLATE(A22, ""en"", ""ur"")"),"21")</f>
        <v>21</v>
      </c>
      <c r="J22" s="6" t="str">
        <f>IFERROR(__xludf.DUMMYFUNCTION("GOOGLETRANSLATE(B22, ""en"", ""ur"")"),"روایتی، دو دھاری تلوار کا کیا نام ہے جو خالصہ کی ایک اہم علامت ہے اور جدید گٹکا میں استعمال ہوتی ہے؟")</f>
        <v>روایتی، دو دھاری تلوار کا کیا نام ہے جو خالصہ کی ایک اہم علامت ہے اور جدید گٹکا میں استعمال ہوتی ہے؟</v>
      </c>
      <c r="K22" s="6" t="str">
        <f>IFERROR(__xludf.DUMMYFUNCTION("GOOGLETRANSLATE(C22, ""en"", ""ur"")"),"A) کرپن، B) تلور، C) کھنڈا، D) برچھا۔")</f>
        <v>A) کرپن، B) تلور، C) کھنڈا، D) برچھا۔</v>
      </c>
      <c r="L22" s="6" t="str">
        <f>IFERROR(__xludf.DUMMYFUNCTION("GOOGLETRANSLATE(D22, ""en"", ""ur"")"),"ج) کھنڈا۔")</f>
        <v>ج) کھنڈا۔</v>
      </c>
      <c r="M22" s="6" t="str">
        <f>IFERROR(__xludf.DUMMYFUNCTION("GOOGLETRANSLATE(E22, ""en"", ""ur"")"),"کھنڈا ایک بھاری، سیدھی، دو دھاری تلوار ہے، جو الہی طاقت کی علامت ہے اور سکھ مارشل تاریخ میں ایک بنیادی ہتھیار ہے۔")</f>
        <v>کھنڈا ایک بھاری، سیدھی، دو دھاری تلوار ہے، جو الہی طاقت کی علامت ہے اور سکھ مارشل تاریخ میں ایک بنیادی ہتھیار ہے۔</v>
      </c>
    </row>
    <row r="23">
      <c r="A23" s="4">
        <v>22.0</v>
      </c>
      <c r="B23" s="5" t="s">
        <v>1278</v>
      </c>
      <c r="C23" s="5" t="s">
        <v>1279</v>
      </c>
      <c r="D23" s="5" t="s">
        <v>1280</v>
      </c>
      <c r="E23" s="5" t="s">
        <v>1281</v>
      </c>
      <c r="I23" s="6" t="str">
        <f>IFERROR(__xludf.DUMMYFUNCTION("GOOGLETRANSLATE(A23, ""en"", ""ur"")"),"22")</f>
        <v>22</v>
      </c>
      <c r="J23" s="6" t="str">
        <f>IFERROR(__xludf.DUMMYFUNCTION("GOOGLETRANSLATE(B23, ""en"", ""ur"")"),"ایک ہی گٹکا میچ کی ذمہ داری اور فیصلہ کرنے کے لیے عام طور پر کتنے ریفریز کی ضرورت ہوتی ہے؟")</f>
        <v>ایک ہی گٹکا میچ کی ذمہ داری اور فیصلہ کرنے کے لیے عام طور پر کتنے ریفریز کی ضرورت ہوتی ہے؟</v>
      </c>
      <c r="K23" s="6" t="str">
        <f>IFERROR(__xludf.DUMMYFUNCTION("GOOGLETRANSLATE(C23, ""en"", ""ur"")"),"A) ایک، B) دو، C) تین، D) پانچ")</f>
        <v>A) ایک، B) دو، C) تین، D) پانچ</v>
      </c>
      <c r="L23" s="6" t="str">
        <f>IFERROR(__xludf.DUMMYFUNCTION("GOOGLETRANSLATE(D23, ""en"", ""ur"")"),"ج) تین")</f>
        <v>ج) تین</v>
      </c>
      <c r="M23" s="6" t="str">
        <f>IFERROR(__xludf.DUMMYFUNCTION("GOOGLETRANSLATE(E23, ""en"", ""ur"")"),"ایک مرکزی ریفری مقابلہ کا انتظام کرتا ہے، جب کہ دو ججز پوائنٹس اسکور کرتے ہیں، جس سے منصفانہ نتیجہ کے لیے متعدد نقطہ نظر کو یقینی بنایا جاتا ہے۔")</f>
        <v>ایک مرکزی ریفری مقابلہ کا انتظام کرتا ہے، جب کہ دو ججز پوائنٹس اسکور کرتے ہیں، جس سے منصفانہ نتیجہ کے لیے متعدد نقطہ نظر کو یقینی بنایا جاتا ہے۔</v>
      </c>
    </row>
    <row r="24">
      <c r="A24" s="4">
        <v>23.0</v>
      </c>
      <c r="B24" s="5" t="s">
        <v>1282</v>
      </c>
      <c r="C24" s="5" t="s">
        <v>1283</v>
      </c>
      <c r="D24" s="5" t="s">
        <v>1284</v>
      </c>
      <c r="E24" s="5" t="s">
        <v>1285</v>
      </c>
      <c r="I24" s="6" t="str">
        <f>IFERROR(__xludf.DUMMYFUNCTION("GOOGLETRANSLATE(A24, ""en"", ""ur"")"),"23")</f>
        <v>23</v>
      </c>
      <c r="J24" s="6" t="str">
        <f>IFERROR(__xludf.DUMMYFUNCTION("GOOGLETRANSLATE(B24, ""en"", ""ur"")"),"غیر کھیلوں کے رویے کے لیے کیا سزا ہے، جیسے کہ کسی مخالف کو طعنہ دینا؟")</f>
        <v>غیر کھیلوں کے رویے کے لیے کیا سزا ہے، جیسے کہ کسی مخالف کو طعنہ دینا؟</v>
      </c>
      <c r="K24" s="6" t="str">
        <f>IFERROR(__xludf.DUMMYFUNCTION("GOOGLETRANSLATE(C24, ""en"", ""ur"")"),"A) کوئی جرمانہ نہیں ہے، B) ایک وارننگ، جس کے بعد بار بار ہونے والے جرائم کے لیے پوائنٹ کی کٹوتی، C) فوری نااہلی، D) راؤنڈ دوبارہ چلایا جاتا ہے۔")</f>
        <v>A) کوئی جرمانہ نہیں ہے، B) ایک وارننگ، جس کے بعد بار بار ہونے والے جرائم کے لیے پوائنٹ کی کٹوتی، C) فوری نااہلی، D) راؤنڈ دوبارہ چلایا جاتا ہے۔</v>
      </c>
      <c r="L24" s="6" t="str">
        <f>IFERROR(__xludf.DUMMYFUNCTION("GOOGLETRANSLATE(D24, ""en"", ""ur"")"),"ب) ایک انتباہ، اس کے بعد بار بار ہونے والے جرائم کے لیے پوائنٹ کی کٹوتی")</f>
        <v>ب) ایک انتباہ، اس کے بعد بار بار ہونے والے جرائم کے لیے پوائنٹ کی کٹوتی</v>
      </c>
      <c r="M24" s="6" t="str">
        <f>IFERROR(__xludf.DUMMYFUNCTION("GOOGLETRANSLATE(E24, ""en"", ""ur"")"),"گٹکا احترام اور عاجزی پر زور دیتا ہے۔ کھیل کے نظم و ضبط کو برقرار رکھنے کے لیے طعنے دینے یا دیگر اہانت آمیز کاموں کی سزا دی جاتی ہے۔")</f>
        <v>گٹکا احترام اور عاجزی پر زور دیتا ہے۔ کھیل کے نظم و ضبط کو برقرار رکھنے کے لیے طعنے دینے یا دیگر اہانت آمیز کاموں کی سزا دی جاتی ہے۔</v>
      </c>
    </row>
    <row r="25">
      <c r="A25" s="4">
        <v>24.0</v>
      </c>
      <c r="B25" s="5" t="s">
        <v>1286</v>
      </c>
      <c r="C25" s="5" t="s">
        <v>1287</v>
      </c>
      <c r="D25" s="5" t="s">
        <v>1288</v>
      </c>
      <c r="E25" s="5" t="s">
        <v>1289</v>
      </c>
      <c r="I25" s="6" t="str">
        <f>IFERROR(__xludf.DUMMYFUNCTION("GOOGLETRANSLATE(A25, ""en"", ""ur"")"),"24")</f>
        <v>24</v>
      </c>
      <c r="J25" s="6" t="str">
        <f>IFERROR(__xludf.DUMMYFUNCTION("GOOGLETRANSLATE(B25, ""en"", ""ur"")"),"زیادہ تر گٹکا اسٹائل میں چھڑی پکڑتے وقت ہاتھ کی کون سی پوزیشن لازمی ہے؟")</f>
        <v>زیادہ تر گٹکا اسٹائل میں چھڑی پکڑتے وقت ہاتھ کی کون سی پوزیشن لازمی ہے؟</v>
      </c>
      <c r="K25" s="6" t="str">
        <f>IFERROR(__xludf.DUMMYFUNCTION("GOOGLETRANSLATE(C25, ""en"", ""ur"")"),"A) ایک ہاتھ کی گرفت، B) کنٹرول اور طاقت کے لیے دو ہاتھ کی گرفت، C) الٹی گرفت، D) اسے درمیان میں پکڑنا")</f>
        <v>A) ایک ہاتھ کی گرفت، B) کنٹرول اور طاقت کے لیے دو ہاتھ کی گرفت، C) الٹی گرفت، D) اسے درمیان میں پکڑنا</v>
      </c>
      <c r="L25" s="6" t="str">
        <f>IFERROR(__xludf.DUMMYFUNCTION("GOOGLETRANSLATE(D25, ""en"", ""ur"")"),"ب) کنٹرول اور طاقت کے لیے دو ہاتھ کی گرفت")</f>
        <v>ب) کنٹرول اور طاقت کے لیے دو ہاتھ کی گرفت</v>
      </c>
      <c r="M25" s="6" t="str">
        <f>IFERROR(__xludf.DUMMYFUNCTION("GOOGLETRANSLATE(E25, ""en"", ""ur"")"),"اگرچہ کچھ تکنیکیں ایک ہاتھ کا استعمال کرتی ہیں، بنیادی لڑائی کے لیے معیاری گرفت میں ہتھیاروں کے بہتر کنٹرول، طاقت اور حفاظت کے لیے دونوں ہاتھ شامل ہوتے ہیں۔")</f>
        <v>اگرچہ کچھ تکنیکیں ایک ہاتھ کا استعمال کرتی ہیں، بنیادی لڑائی کے لیے معیاری گرفت میں ہتھیاروں کے بہتر کنٹرول، طاقت اور حفاظت کے لیے دونوں ہاتھ شامل ہوتے ہیں۔</v>
      </c>
    </row>
    <row r="26">
      <c r="A26" s="4">
        <v>25.0</v>
      </c>
      <c r="B26" s="5" t="s">
        <v>1290</v>
      </c>
      <c r="C26" s="5" t="s">
        <v>1291</v>
      </c>
      <c r="D26" s="5" t="s">
        <v>1292</v>
      </c>
      <c r="E26" s="5" t="s">
        <v>1293</v>
      </c>
      <c r="I26" s="6" t="str">
        <f>IFERROR(__xludf.DUMMYFUNCTION("GOOGLETRANSLATE(A26, ""en"", ""ur"")"),"25")</f>
        <v>25</v>
      </c>
      <c r="J26" s="6" t="str">
        <f>IFERROR(__xludf.DUMMYFUNCTION("GOOGLETRANSLATE(B26, ""en"", ""ur"")"),"بین الاقوامی گٹکا مقابلے میں کمانڈ کے لیے سرکاری زبان کیا ہے؟")</f>
        <v>بین الاقوامی گٹکا مقابلے میں کمانڈ کے لیے سرکاری زبان کیا ہے؟</v>
      </c>
      <c r="K26" s="6" t="str">
        <f>IFERROR(__xludf.DUMMYFUNCTION("GOOGLETRANSLATE(C26, ""en"", ""ur"")"),"A) انگریزی، B) ہندی، C) پنجابی، D) تینوں کا مرکب")</f>
        <v>A) انگریزی، B) ہندی، C) پنجابی، D) تینوں کا مرکب</v>
      </c>
      <c r="L26" s="6" t="str">
        <f>IFERROR(__xludf.DUMMYFUNCTION("GOOGLETRANSLATE(D26, ""en"", ""ur"")"),"ج) پنجابی")</f>
        <v>ج) پنجابی</v>
      </c>
      <c r="M26" s="6" t="str">
        <f>IFERROR(__xludf.DUMMYFUNCTION("GOOGLETRANSLATE(E26, ""en"", ""ur"")"),"کھیل کی ثقافتی جڑوں کا احترام کرنے کے لیے، سرکاری احکامات جیسے ""شورو!"" (شروع!) پنجابی میں دیے گئے ہیں۔")</f>
        <v>کھیل کی ثقافتی جڑوں کا احترام کرنے کے لیے، سرکاری احکامات جیسے "شورو!" (شروع!) پنجابی میں دیے گئے ہیں۔</v>
      </c>
    </row>
    <row r="27">
      <c r="A27" s="4">
        <v>26.0</v>
      </c>
      <c r="B27" s="5" t="s">
        <v>1294</v>
      </c>
      <c r="C27" s="5" t="s">
        <v>1295</v>
      </c>
      <c r="D27" s="5" t="s">
        <v>1296</v>
      </c>
      <c r="E27" s="5" t="s">
        <v>1297</v>
      </c>
      <c r="I27" s="6" t="str">
        <f>IFERROR(__xludf.DUMMYFUNCTION("GOOGLETRANSLATE(A27, ""en"", ""ur"")"),"26")</f>
        <v>26</v>
      </c>
      <c r="J27" s="6" t="str">
        <f>IFERROR(__xludf.DUMMYFUNCTION("GOOGLETRANSLATE(B27, ""en"", ""ur"")"),"""جور"" کیا ہے؟")</f>
        <v>"جور" کیا ہے؟</v>
      </c>
      <c r="K27" s="6" t="str">
        <f>IFERROR(__xludf.DUMMYFUNCTION("GOOGLETRANSLATE(C27, ""en"", ""ur"")"),"A) دفاعی بلاک کی ایک قسم، B) میچ میں ڈرا کی اصطلاح، C) گٹکا میں نیزہ بازی کی روایتی مشق، D) کک")</f>
        <v>A) دفاعی بلاک کی ایک قسم، B) میچ میں ڈرا کی اصطلاح، C) گٹکا میں نیزہ بازی کی روایتی مشق، D) کک</v>
      </c>
      <c r="L27" s="6" t="str">
        <f>IFERROR(__xludf.DUMMYFUNCTION("GOOGLETRANSLATE(D27, ""en"", ""ur"")"),"ج) گٹکا میں نیزہ بازی کی روایتی مشق")</f>
        <v>ج) گٹکا میں نیزہ بازی کی روایتی مشق</v>
      </c>
      <c r="M27" s="6" t="str">
        <f>IFERROR(__xludf.DUMMYFUNCTION("GOOGLETRANSLATE(E27, ""en"", ""ur"")"),"جور سے مراد جھگڑا یا فرضی لڑائی کی مشق ہے جہاں طلباء اپنی تکنیک کو بہتر بناتے ہیں۔")</f>
        <v>جور سے مراد جھگڑا یا فرضی لڑائی کی مشق ہے جہاں طلباء اپنی تکنیک کو بہتر بناتے ہیں۔</v>
      </c>
    </row>
    <row r="28">
      <c r="A28" s="4">
        <v>27.0</v>
      </c>
      <c r="B28" s="5" t="s">
        <v>1298</v>
      </c>
      <c r="C28" s="5" t="s">
        <v>1299</v>
      </c>
      <c r="D28" s="5" t="s">
        <v>1300</v>
      </c>
      <c r="E28" s="5" t="s">
        <v>1301</v>
      </c>
      <c r="I28" s="6" t="str">
        <f>IFERROR(__xludf.DUMMYFUNCTION("GOOGLETRANSLATE(A28, ""en"", ""ur"")"),"27")</f>
        <v>27</v>
      </c>
      <c r="J28" s="6" t="str">
        <f>IFERROR(__xludf.DUMMYFUNCTION("GOOGLETRANSLATE(B28, ""en"", ""ur"")"),"اگر کوئی میچ پوائنٹس پر ٹائی پر ختم ہوتا ہے تو کیا ہوتا ہے؟")</f>
        <v>اگر کوئی میچ پوائنٹس پر ٹائی پر ختم ہوتا ہے تو کیا ہوتا ہے؟</v>
      </c>
      <c r="K28" s="6" t="str">
        <f>IFERROR(__xludf.DUMMYFUNCTION("GOOGLETRANSLATE(C28, ""en"", ""ur"")"),"A) فاتح کا فیصلہ سکے کے ٹاس سے ہوتا ہے، B) اسے ڈرا قرار دیا جاتا ہے، C) ایک اضافی، فیصلہ کن راؤنڈ کھیلا جاتا ہے، D) کم وارننگز والا کھلاڑی جیت جاتا ہے۔")</f>
        <v>A) فاتح کا فیصلہ سکے کے ٹاس سے ہوتا ہے، B) اسے ڈرا قرار دیا جاتا ہے، C) ایک اضافی، فیصلہ کن راؤنڈ کھیلا جاتا ہے، D) کم وارننگز والا کھلاڑی جیت جاتا ہے۔</v>
      </c>
      <c r="L28" s="6" t="str">
        <f>IFERROR(__xludf.DUMMYFUNCTION("GOOGLETRANSLATE(D28, ""en"", ""ur"")"),"C) ایک اضافی، فیصلہ کن راؤنڈ کھیلا جاتا ہے۔")</f>
        <v>C) ایک اضافی، فیصلہ کن راؤنڈ کھیلا جاتا ہے۔</v>
      </c>
      <c r="M28" s="6" t="str">
        <f>IFERROR(__xludf.DUMMYFUNCTION("GOOGLETRANSLATE(E28, ""en"", ""ur"")"),"مقابلے میں، ایک واضح فاتح کا تعین ہونا ضروری ہے، لہذا ٹائی کو توڑنے کے لیے ایک اضافی راؤنڈ لڑا جاتا ہے۔")</f>
        <v>مقابلے میں، ایک واضح فاتح کا تعین ہونا ضروری ہے، لہذا ٹائی کو توڑنے کے لیے ایک اضافی راؤنڈ لڑا جاتا ہے۔</v>
      </c>
    </row>
    <row r="29">
      <c r="A29" s="4">
        <v>28.0</v>
      </c>
      <c r="B29" s="5" t="s">
        <v>1302</v>
      </c>
      <c r="C29" s="5" t="s">
        <v>1303</v>
      </c>
      <c r="D29" s="5" t="s">
        <v>1304</v>
      </c>
      <c r="E29" s="5" t="s">
        <v>1305</v>
      </c>
      <c r="I29" s="6" t="str">
        <f>IFERROR(__xludf.DUMMYFUNCTION("GOOGLETRANSLATE(A29, ""en"", ""ur"")"),"28")</f>
        <v>28</v>
      </c>
      <c r="J29" s="6" t="str">
        <f>IFERROR(__xludf.DUMMYFUNCTION("GOOGLETRANSLATE(B29, ""en"", ""ur"")"),"مندرجہ ذیل میں سے کس کو فاؤل سمجھا جاتا ہے؟")</f>
        <v>مندرجہ ذیل میں سے کس کو فاؤل سمجھا جاتا ہے؟</v>
      </c>
      <c r="K29" s="6" t="str">
        <f>IFERROR(__xludf.DUMMYFUNCTION("GOOGLETRANSLATE(C29, ""en"", ""ur"")"),"A) ڈھال سے روکنا، B) گھومنے والی ہڑتال، C) مخالف کی چھڑی کو پکڑنا یا پکڑنا، D) حملے سے بچنا")</f>
        <v>A) ڈھال سے روکنا، B) گھومنے والی ہڑتال، C) مخالف کی چھڑی کو پکڑنا یا پکڑنا، D) حملے سے بچنا</v>
      </c>
      <c r="L29" s="6" t="str">
        <f>IFERROR(__xludf.DUMMYFUNCTION("GOOGLETRANSLATE(D29, ""en"", ""ur"")"),"ج) مخالف کی چھڑی کو پکڑنا یا پکڑنا")</f>
        <v>ج) مخالف کی چھڑی کو پکڑنا یا پکڑنا</v>
      </c>
      <c r="M29" s="6" t="str">
        <f>IFERROR(__xludf.DUMMYFUNCTION("GOOGLETRANSLATE(E29, ""en"", ""ur"")"),"کسی کھلاڑی کو اپنے حریف کے ہتھیار میں مداخلت کرنے کی اجازت نہیں ہے، کیونکہ یہ غیر قانونی جوجھ کی ایک شکل ہے۔")</f>
        <v>کسی کھلاڑی کو اپنے حریف کے ہتھیار میں مداخلت کرنے کی اجازت نہیں ہے، کیونکہ یہ غیر قانونی جوجھ کی ایک شکل ہے۔</v>
      </c>
    </row>
    <row r="30">
      <c r="A30" s="4">
        <v>29.0</v>
      </c>
      <c r="B30" s="5" t="s">
        <v>1306</v>
      </c>
      <c r="C30" s="5" t="s">
        <v>1307</v>
      </c>
      <c r="D30" s="5" t="s">
        <v>1308</v>
      </c>
      <c r="E30" s="5" t="s">
        <v>1309</v>
      </c>
      <c r="I30" s="6" t="str">
        <f>IFERROR(__xludf.DUMMYFUNCTION("GOOGLETRANSLATE(A30, ""en"", ""ur"")"),"29")</f>
        <v>29</v>
      </c>
      <c r="J30" s="6" t="str">
        <f>IFERROR(__xludf.DUMMYFUNCTION("GOOGLETRANSLATE(B30, ""en"", ""ur"")"),"گٹکا میں تال، گھومنے والی حرکت، جسے گھمن کہا جاتا ہے، کس ہتھیار سے متاثر ہے؟")</f>
        <v>گٹکا میں تال، گھومنے والی حرکت، جسے گھمن کہا جاتا ہے، کس ہتھیار سے متاثر ہے؟</v>
      </c>
      <c r="K30" s="6" t="str">
        <f>IFERROR(__xludf.DUMMYFUNCTION("GOOGLETRANSLATE(C30, ""en"", ""ur"")"),"A) تلوار، B) نیزہ، C) چکر (جنگی کوٹ)، D) خنجر")</f>
        <v>A) تلوار، B) نیزہ، C) چکر (جنگی کوٹ)، D) خنجر</v>
      </c>
      <c r="L30" s="6" t="str">
        <f>IFERROR(__xludf.DUMMYFUNCTION("GOOGLETRANSLATE(D30, ""en"", ""ur"")"),"سی) چکرا (جنگ کا حصہ)")</f>
        <v>سی) چکرا (جنگ کا حصہ)</v>
      </c>
      <c r="M30" s="6" t="str">
        <f>IFERROR(__xludf.DUMMYFUNCTION("GOOGLETRANSLATE(E30, ""en"", ""ur"")"),"مسلسل سرکلر حرکات چکرا کے گھومنے اور پھینکنے کی نقل کرتی ہیں، سکھ پھینکنے والا روایتی ہتھیار۔")</f>
        <v>مسلسل سرکلر حرکات چکرا کے گھومنے اور پھینکنے کی نقل کرتی ہیں، سکھ پھینکنے والا روایتی ہتھیار۔</v>
      </c>
    </row>
    <row r="31">
      <c r="A31" s="4">
        <v>30.0</v>
      </c>
      <c r="B31" s="5" t="s">
        <v>1310</v>
      </c>
      <c r="C31" s="5" t="s">
        <v>1311</v>
      </c>
      <c r="D31" s="5" t="s">
        <v>1312</v>
      </c>
      <c r="E31" s="5" t="s">
        <v>1313</v>
      </c>
      <c r="I31" s="6" t="str">
        <f>IFERROR(__xludf.DUMMYFUNCTION("GOOGLETRANSLATE(A31, ""en"", ""ur"")"),"30")</f>
        <v>30</v>
      </c>
      <c r="J31" s="6" t="str">
        <f>IFERROR(__xludf.DUMMYFUNCTION("GOOGLETRANSLATE(B31, ""en"", ""ur"")"),"جدید گٹکا میں، آنکھوں پر پٹی باندھنے کی تربیت کا مقصد کیا ہے؟")</f>
        <v>جدید گٹکا میں، آنکھوں پر پٹی باندھنے کی تربیت کا مقصد کیا ہے؟</v>
      </c>
      <c r="K31" s="6" t="str">
        <f>IFERROR(__xludf.DUMMYFUNCTION("GOOGLETRANSLATE(C31, ""en"", ""ur"")"),"A) بہادری کا مظاہرہ کرنا، B) اضطراب، سماعت اور مقامی بیداری کو تیز کرنا، C) یہ خالصتاً رسمی عمل ہے، D) سانس لینے کی تکنیک پر عمل کرنا")</f>
        <v>A) بہادری کا مظاہرہ کرنا، B) اضطراب، سماعت اور مقامی بیداری کو تیز کرنا، C) یہ خالصتاً رسمی عمل ہے، D) سانس لینے کی تکنیک پر عمل کرنا</v>
      </c>
      <c r="L31" s="6" t="str">
        <f>IFERROR(__xludf.DUMMYFUNCTION("GOOGLETRANSLATE(D31, ""en"", ""ur"")"),"ب) اضطراب، سماعت اور مقامی بیداری کو تیز کرنا")</f>
        <v>ب) اضطراب، سماعت اور مقامی بیداری کو تیز کرنا</v>
      </c>
      <c r="M31" s="6" t="str">
        <f>IFERROR(__xludf.DUMMYFUNCTION("GOOGLETRANSLATE(E31, ""en"", ""ur"")"),"آنکھوں پر پٹی باندھنے کی مشقیں پریکٹیشنر کو دوسرے حواس پر انحصار کرنے پر مجبور کرتی ہیں، اور ان کی جنگی جبلتوں کو بہت اعلیٰ سطح تک پہنچاتی ہے۔")</f>
        <v>آنکھوں پر پٹی باندھنے کی مشقیں پریکٹیشنر کو دوسرے حواس پر انحصار کرنے پر مجبور کرتی ہیں، اور ان کی جنگی جبلتوں کو بہت اعلیٰ سطح تک پہنچاتی ہے۔</v>
      </c>
    </row>
    <row r="32">
      <c r="A32" s="4">
        <v>31.0</v>
      </c>
      <c r="B32" s="5" t="s">
        <v>1314</v>
      </c>
      <c r="C32" s="5" t="s">
        <v>1315</v>
      </c>
      <c r="D32" s="5" t="s">
        <v>1316</v>
      </c>
      <c r="E32" s="5" t="s">
        <v>1317</v>
      </c>
      <c r="I32" s="6" t="str">
        <f>IFERROR(__xludf.DUMMYFUNCTION("GOOGLETRANSLATE(A32, ""en"", ""ur"")"),"31")</f>
        <v>31</v>
      </c>
      <c r="J32" s="6" t="str">
        <f>IFERROR(__xludf.DUMMYFUNCTION("GOOGLETRANSLATE(B32, ""en"", ""ur"")"),"طویل فاصلے تک حملوں کے لیے گٹکا میں کون سا ہتھیار، لمبا نیزہ استعمال ہوتا ہے؟")</f>
        <v>طویل فاصلے تک حملوں کے لیے گٹکا میں کون سا ہتھیار، لمبا نیزہ استعمال ہوتا ہے؟</v>
      </c>
      <c r="K32" s="6" t="str">
        <f>IFERROR(__xludf.DUMMYFUNCTION("GOOGLETRANSLATE(C32, ""en"", ""ur"")"),"A) تلور، B) کرپن، C) برچھا، D) کھنڈا۔")</f>
        <v>A) تلور، B) کرپن، C) برچھا، D) کھنڈا۔</v>
      </c>
      <c r="L32" s="6" t="str">
        <f>IFERROR(__xludf.DUMMYFUNCTION("GOOGLETRANSLATE(D32, ""en"", ""ur"")"),"ج) برچھا۔")</f>
        <v>ج) برچھا۔</v>
      </c>
      <c r="M32" s="6" t="str">
        <f>IFERROR(__xludf.DUMMYFUNCTION("GOOGLETRANSLATE(E32, ""en"", ""ur"")"),"برچھا ایک قسم کا نیزہ ہے جو زور لگانے اور مخالفین کو فاصلے پر رکھنے کے لیے استعمال ہوتا ہے۔")</f>
        <v>برچھا ایک قسم کا نیزہ ہے جو زور لگانے اور مخالفین کو فاصلے پر رکھنے کے لیے استعمال ہوتا ہے۔</v>
      </c>
    </row>
    <row r="33">
      <c r="A33" s="4">
        <v>32.0</v>
      </c>
      <c r="B33" s="5" t="s">
        <v>1318</v>
      </c>
      <c r="C33" s="5" t="s">
        <v>1319</v>
      </c>
      <c r="D33" s="5" t="s">
        <v>1320</v>
      </c>
      <c r="E33" s="5" t="s">
        <v>1321</v>
      </c>
      <c r="I33" s="6" t="str">
        <f>IFERROR(__xludf.DUMMYFUNCTION("GOOGLETRANSLATE(A33, ""en"", ""ur"")"),"32")</f>
        <v>32</v>
      </c>
      <c r="J33" s="6" t="str">
        <f>IFERROR(__xludf.DUMMYFUNCTION("GOOGLETRANSLATE(B33, ""en"", ""ur"")"),"کون سا بین الاقوامی ادارہ مسابقتی گٹکا کو منظم اور فروغ دینے کا ذمہ دار ہے؟")</f>
        <v>کون سا بین الاقوامی ادارہ مسابقتی گٹکا کو منظم اور فروغ دینے کا ذمہ دار ہے؟</v>
      </c>
      <c r="K33" s="6" t="str">
        <f>IFERROR(__xludf.DUMMYFUNCTION("GOOGLETRANSLATE(C33, ""en"", ""ur"")"),"اے) انٹرنیشنل اولمپک کمیٹی، بی) گٹکا فیڈریشن آف انڈیا، سی) ورلڈ گٹکا فیڈریشن، ڈی) پنجاب مارشل آرٹس کونسل")</f>
        <v>اے) انٹرنیشنل اولمپک کمیٹی، بی) گٹکا فیڈریشن آف انڈیا، سی) ورلڈ گٹکا فیڈریشن، ڈی) پنجاب مارشل آرٹس کونسل</v>
      </c>
      <c r="L33" s="6" t="str">
        <f>IFERROR(__xludf.DUMMYFUNCTION("GOOGLETRANSLATE(D33, ""en"", ""ur"")"),"ج) ورلڈ گٹکا فیڈریشن")</f>
        <v>ج) ورلڈ گٹکا فیڈریشن</v>
      </c>
      <c r="M33" s="6" t="str">
        <f>IFERROR(__xludf.DUMMYFUNCTION("GOOGLETRANSLATE(E33, ""en"", ""ur"")"),"ڈبلیو جی ایف ایک عالمی گورننگ باڈی ہے جو قوانین کو معیاری بنانے، بین الاقوامی ٹورنامنٹس کے انعقاد اور کھیل کو فروغ دینے کے لیے کام کرتی ہے۔")</f>
        <v>ڈبلیو جی ایف ایک عالمی گورننگ باڈی ہے جو قوانین کو معیاری بنانے، بین الاقوامی ٹورنامنٹس کے انعقاد اور کھیل کو فروغ دینے کے لیے کام کرتی ہے۔</v>
      </c>
    </row>
    <row r="34">
      <c r="A34" s="4">
        <v>33.0</v>
      </c>
      <c r="B34" s="5" t="s">
        <v>1322</v>
      </c>
      <c r="C34" s="5" t="s">
        <v>1323</v>
      </c>
      <c r="D34" s="5" t="s">
        <v>1324</v>
      </c>
      <c r="E34" s="5" t="s">
        <v>1325</v>
      </c>
      <c r="I34" s="6" t="str">
        <f>IFERROR(__xludf.DUMMYFUNCTION("GOOGLETRANSLATE(A34, ""en"", ""ur"")"),"33")</f>
        <v>33</v>
      </c>
      <c r="J34" s="6" t="str">
        <f>IFERROR(__xludf.DUMMYFUNCTION("GOOGLETRANSLATE(B34, ""en"", ""ur"")"),"گٹکا کی تربیت میں اصطلاح ""فاری"" سے کیا مراد ہے؟")</f>
        <v>گٹکا کی تربیت میں اصطلاح "فاری" سے کیا مراد ہے؟</v>
      </c>
      <c r="K34" s="6" t="str">
        <f>IFERROR(__xludf.DUMMYFUNCTION("GOOGLETRANSLATE(C34, ""en"", ""ur"")"),"A) ایک دفاعی شیلڈ ڈرل، B) حملہ آور حرکتوں یا مشقوں کا ایک سلسلہ، C) تربیتی چھڑی، D) ایک گردشی حرکت")</f>
        <v>A) ایک دفاعی شیلڈ ڈرل، B) حملہ آور حرکتوں یا مشقوں کا ایک سلسلہ، C) تربیتی چھڑی، D) ایک گردشی حرکت</v>
      </c>
      <c r="L34" s="6" t="str">
        <f>IFERROR(__xludf.DUMMYFUNCTION("GOOGLETRANSLATE(D34, ""en"", ""ur"")"),"ب) حملہ آور حرکتوں یا مشقوں کا ایک سلسلہ")</f>
        <v>ب) حملہ آور حرکتوں یا مشقوں کا ایک سلسلہ</v>
      </c>
      <c r="M34" s="6" t="str">
        <f>IFERROR(__xludf.DUMMYFUNCTION("GOOGLETRANSLATE(E34, ""en"", ""ur"")"),"فاری ڈرلز پہلے سے ترتیب شدہ حملہ آور امتزاج ہیں جو رفتار، درستگی اور پٹھوں کی یادداشت کو بنانے میں مدد کرتے ہیں۔")</f>
        <v>فاری ڈرلز پہلے سے ترتیب شدہ حملہ آور امتزاج ہیں جو رفتار، درستگی اور پٹھوں کی یادداشت کو بنانے میں مدد کرتے ہیں۔</v>
      </c>
    </row>
    <row r="35">
      <c r="A35" s="4">
        <v>34.0</v>
      </c>
      <c r="B35" s="5" t="s">
        <v>1326</v>
      </c>
      <c r="C35" s="5" t="s">
        <v>1327</v>
      </c>
      <c r="D35" s="5" t="s">
        <v>1328</v>
      </c>
      <c r="E35" s="5" t="s">
        <v>1329</v>
      </c>
      <c r="I35" s="6" t="str">
        <f>IFERROR(__xludf.DUMMYFUNCTION("GOOGLETRANSLATE(A35, ""en"", ""ur"")"),"34")</f>
        <v>34</v>
      </c>
      <c r="J35" s="6" t="str">
        <f>IFERROR(__xludf.DUMMYFUNCTION("GOOGLETRANSLATE(B35, ""en"", ""ur"")"),"پاکستان میں گٹکا اکثر لاہور میں کس ثقافتی میلے کے دوران دکھایا جاتا ہے؟")</f>
        <v>پاکستان میں گٹکا اکثر لاہور میں کس ثقافتی میلے کے دوران دکھایا جاتا ہے؟</v>
      </c>
      <c r="K35" s="6" t="str">
        <f>IFERROR(__xludf.DUMMYFUNCTION("GOOGLETRANSLATE(C35, ""en"", ""ur"")"),"A) بسنت، B) میلہ چراغاں (روشنیوں کا تہوار)، C) عید، D) یوم پاکستان پریڈ")</f>
        <v>A) بسنت، B) میلہ چراغاں (روشنیوں کا تہوار)، C) عید، D) یوم پاکستان پریڈ</v>
      </c>
      <c r="L35" s="6" t="str">
        <f>IFERROR(__xludf.DUMMYFUNCTION("GOOGLETRANSLATE(D35, ""en"", ""ur"")"),"ب) میلہ چراغاں (روشنیوں کا تہوار)")</f>
        <v>ب) میلہ چراغاں (روشنیوں کا تہوار)</v>
      </c>
      <c r="M35" s="6" t="str">
        <f>IFERROR(__xludf.DUMMYFUNCTION("GOOGLETRANSLATE(E35, ""en"", ""ur"")"),"شاہ حسین کے مزار پر اس بڑے تہوار کے دوران گٹکا اکثر روایتی ثقافتی مارشل آرٹ کے طور پر پیش کیا جاتا ہے۔")</f>
        <v>شاہ حسین کے مزار پر اس بڑے تہوار کے دوران گٹکا اکثر روایتی ثقافتی مارشل آرٹ کے طور پر پیش کیا جاتا ہے۔</v>
      </c>
    </row>
    <row r="36">
      <c r="A36" s="4">
        <v>35.0</v>
      </c>
      <c r="B36" s="5" t="s">
        <v>1330</v>
      </c>
      <c r="C36" s="5" t="s">
        <v>1331</v>
      </c>
      <c r="D36" s="5" t="s">
        <v>1332</v>
      </c>
      <c r="E36" s="5" t="s">
        <v>1333</v>
      </c>
      <c r="I36" s="6" t="str">
        <f>IFERROR(__xludf.DUMMYFUNCTION("GOOGLETRANSLATE(A36, ""en"", ""ur"")"),"35")</f>
        <v>35</v>
      </c>
      <c r="J36" s="6" t="str">
        <f>IFERROR(__xludf.DUMMYFUNCTION("GOOGLETRANSLATE(B36, ""en"", ""ur"")"),"کون سا ہتھیار عقیدے کا ایک لازمی مذہبی مضمون ہے (5 Ks میں سے ایک) ابتدائی سکھوں کے ذریعہ لیا جاتا ہے؟")</f>
        <v>کون سا ہتھیار عقیدے کا ایک لازمی مذہبی مضمون ہے (5 Ks میں سے ایک) ابتدائی سکھوں کے ذریعہ لیا جاتا ہے؟</v>
      </c>
      <c r="K36" s="6" t="str">
        <f>IFERROR(__xludf.DUMMYFUNCTION("GOOGLETRANSLATE(C36, ""en"", ""ur"")"),"A) کھنڈا، B) تلوار، C) کرپان، D) چکر")</f>
        <v>A) کھنڈا، B) تلوار، C) کرپان، D) چکر</v>
      </c>
      <c r="L36" s="6" t="str">
        <f>IFERROR(__xludf.DUMMYFUNCTION("GOOGLETRANSLATE(D36, ""en"", ""ur"")"),"ج) کرپان")</f>
        <v>ج) کرپان</v>
      </c>
      <c r="M36" s="6" t="str">
        <f>IFERROR(__xludf.DUMMYFUNCTION("GOOGLETRANSLATE(E36, ""en"", ""ur"")"),"کرپان ایک خنجر یا چھوٹی تلوار ہے جو کمزوروں کے دفاع اور انصاف کو برقرار رکھنے کے سکھ کے فرض کی علامت ہے۔ یہ گٹکا میں بھی استعمال ہوتا ہے۔")</f>
        <v>کرپان ایک خنجر یا چھوٹی تلوار ہے جو کمزوروں کے دفاع اور انصاف کو برقرار رکھنے کے سکھ کے فرض کی علامت ہے۔ یہ گٹکا میں بھی استعمال ہوتا ہے۔</v>
      </c>
    </row>
    <row r="37">
      <c r="A37" s="4">
        <v>36.0</v>
      </c>
      <c r="B37" s="5" t="s">
        <v>1334</v>
      </c>
      <c r="C37" s="5" t="s">
        <v>1335</v>
      </c>
      <c r="D37" s="5" t="s">
        <v>1336</v>
      </c>
      <c r="E37" s="5" t="s">
        <v>1337</v>
      </c>
      <c r="I37" s="6" t="str">
        <f>IFERROR(__xludf.DUMMYFUNCTION("GOOGLETRANSLATE(A37, ""en"", ""ur"")"),"36")</f>
        <v>36</v>
      </c>
      <c r="J37" s="6" t="str">
        <f>IFERROR(__xludf.DUMMYFUNCTION("GOOGLETRANSLATE(B37, ""en"", ""ur"")"),"کون سی مشق میں ایک لڑاکا ایک دائرے میں متعدد مخالفین کے خلاف دفاع کرتا ہے؟")</f>
        <v>کون سی مشق میں ایک لڑاکا ایک دائرے میں متعدد مخالفین کے خلاف دفاع کرتا ہے؟</v>
      </c>
      <c r="K37" s="6" t="str">
        <f>IFERROR(__xludf.DUMMYFUNCTION("GOOGLETRANSLATE(C37, ""en"", ""ur"")"),"A) فاری، B) جور، C) گھیراؤ، D) چکری")</f>
        <v>A) فاری، B) جور، C) گھیراؤ، D) چکری</v>
      </c>
      <c r="L37" s="6" t="str">
        <f>IFERROR(__xludf.DUMMYFUNCTION("GOOGLETRANSLATE(D37, ""en"", ""ur"")"),"ج) گھیراؤ")</f>
        <v>ج) گھیراؤ</v>
      </c>
      <c r="M37" s="6" t="str">
        <f>IFERROR(__xludf.DUMMYFUNCTION("GOOGLETRANSLATE(E37, ""en"", ""ur"")"),"گھیراؤ (گھیراؤ) ایک تربیتی مشق ہے جو حملہ آوروں کے گھیرے میں آنے، ہر طرف آگاہی اور دفاع کی تعلیم دیتی ہے۔")</f>
        <v>گھیراؤ (گھیراؤ) ایک تربیتی مشق ہے جو حملہ آوروں کے گھیرے میں آنے، ہر طرف آگاہی اور دفاع کی تعلیم دیتی ہے۔</v>
      </c>
    </row>
    <row r="38">
      <c r="A38" s="4">
        <v>37.0</v>
      </c>
      <c r="B38" s="5" t="s">
        <v>1338</v>
      </c>
      <c r="C38" s="5" t="s">
        <v>1339</v>
      </c>
      <c r="D38" s="5" t="s">
        <v>1340</v>
      </c>
      <c r="E38" s="5" t="s">
        <v>1341</v>
      </c>
      <c r="I38" s="6" t="str">
        <f>IFERROR(__xludf.DUMMYFUNCTION("GOOGLETRANSLATE(A38, ""en"", ""ur"")"),"37")</f>
        <v>37</v>
      </c>
      <c r="J38" s="6" t="str">
        <f>IFERROR(__xludf.DUMMYFUNCTION("GOOGLETRANSLATE(B38, ""en"", ""ur"")"),"ایک ہی میچ میں تین وارننگ ملنے پر کیا جرمانہ ہے؟")</f>
        <v>ایک ہی میچ میں تین وارننگ ملنے پر کیا جرمانہ ہے؟</v>
      </c>
      <c r="K38" s="6" t="str">
        <f>IFERROR(__xludf.DUMMYFUNCTION("GOOGLETRANSLATE(C38, ""en"", ""ur"")"),"A) 5 نکاتی کٹوتی، B) راؤنڈ کی ضبطی، C) میچ سے نااہلی، D) حتمی وارننگ")</f>
        <v>A) 5 نکاتی کٹوتی، B) راؤنڈ کی ضبطی، C) میچ سے نااہلی، D) حتمی وارننگ</v>
      </c>
      <c r="L38" s="6" t="str">
        <f>IFERROR(__xludf.DUMMYFUNCTION("GOOGLETRANSLATE(D38, ""en"", ""ur"")"),"ج) میچ سے نااہلی")</f>
        <v>ج) میچ سے نااہلی</v>
      </c>
      <c r="M38" s="6" t="str">
        <f>IFERROR(__xludf.DUMMYFUNCTION("GOOGLETRANSLATE(E38, ""en"", ""ur"")"),"فاؤل یا بد سلوکی کے لیے تین انتباہات جمع کرنے سے خودکار طور پر نااہلی ہو جاتی ہے۔")</f>
        <v>فاؤل یا بد سلوکی کے لیے تین انتباہات جمع کرنے سے خودکار طور پر نااہلی ہو جاتی ہے۔</v>
      </c>
    </row>
    <row r="39">
      <c r="A39" s="4">
        <v>38.0</v>
      </c>
      <c r="B39" s="5" t="s">
        <v>1342</v>
      </c>
      <c r="C39" s="5" t="s">
        <v>1343</v>
      </c>
      <c r="D39" s="5" t="s">
        <v>1344</v>
      </c>
      <c r="E39" s="5" t="s">
        <v>1345</v>
      </c>
      <c r="I39" s="6" t="str">
        <f>IFERROR(__xludf.DUMMYFUNCTION("GOOGLETRANSLATE(A39, ""en"", ""ur"")"),"38")</f>
        <v>38</v>
      </c>
      <c r="J39" s="6" t="str">
        <f>IFERROR(__xludf.DUMMYFUNCTION("GOOGLETRANSLATE(B39, ""en"", ""ur"")"),"گٹکا کی روایات کے تحفظ کا سب سے زیادہ سہرا کس تاریخی سکھ ملٹری آرڈر کو دیا جاتا ہے؟")</f>
        <v>گٹکا کی روایات کے تحفظ کا سب سے زیادہ سہرا کس تاریخی سکھ ملٹری آرڈر کو دیا جاتا ہے؟</v>
      </c>
      <c r="K39" s="6" t="str">
        <f>IFERROR(__xludf.DUMMYFUNCTION("GOOGLETRANSLATE(C39, ""en"", ""ur"")"),"A) اُداسی، B) نرملا، C) نہنگ، D) رامرائیاس")</f>
        <v>A) اُداسی، B) نرملا، C) نہنگ، D) رامرائیاس</v>
      </c>
      <c r="L39" s="6" t="str">
        <f>IFERROR(__xludf.DUMMYFUNCTION("GOOGLETRANSLATE(D39, ""en"", ""ur"")"),"ج) نہنگ")</f>
        <v>ج) نہنگ</v>
      </c>
      <c r="M39" s="6" t="str">
        <f>IFERROR(__xludf.DUMMYFUNCTION("GOOGLETRANSLATE(E39, ""en"", ""ur"")"),"نہنگ جنگجوؤں نے گٹکا کو صدیوں سے اپنے جنگی ورثے کے زندہ حصے کے طور پر برقرار رکھا اور اس پر عمل کیا ہے۔")</f>
        <v>نہنگ جنگجوؤں نے گٹکا کو صدیوں سے اپنے جنگی ورثے کے زندہ حصے کے طور پر برقرار رکھا اور اس پر عمل کیا ہے۔</v>
      </c>
    </row>
    <row r="40">
      <c r="A40" s="4">
        <v>39.0</v>
      </c>
      <c r="B40" s="5" t="s">
        <v>1346</v>
      </c>
      <c r="C40" s="5" t="s">
        <v>1347</v>
      </c>
      <c r="D40" s="5" t="s">
        <v>1348</v>
      </c>
      <c r="E40" s="5" t="s">
        <v>1349</v>
      </c>
      <c r="I40" s="6" t="str">
        <f>IFERROR(__xludf.DUMMYFUNCTION("GOOGLETRANSLATE(A40, ""en"", ""ur"")"),"39")</f>
        <v>39</v>
      </c>
      <c r="J40" s="6" t="str">
        <f>IFERROR(__xludf.DUMMYFUNCTION("GOOGLETRANSLATE(B40, ""en"", ""ur"")"),"گٹکا کے اسکورنگ کو اکثر باڑ لگانے کے مقابلے کس طرح سے دیکھا جاتا ہے؟")</f>
        <v>گٹکا کے اسکورنگ کو اکثر باڑ لگانے کے مقابلے کس طرح سے دیکھا جاتا ہے؟</v>
      </c>
      <c r="K40" s="6" t="str">
        <f>IFERROR(__xludf.DUMMYFUNCTION("GOOGLETRANSLATE(C40, ""en"", ""ur"")"),"A)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f>
        <v>A) ہتھیار ایک جیسے ہیں، B) یہ الیکٹرانک سکورنگ سسٹم کا استعمال کرتا ہے، C) پوائنٹس صاف، کنٹرول شدہ "ٹچ" یا درست ہدف والے علاقوں کو مارنے پر دیئے جاتے ہیں، D) دونوں اولمپک کھیل ہیں</v>
      </c>
      <c r="L40" s="6" t="str">
        <f>IFERROR(__xludf.DUMMYFUNCTION("GOOGLETRANSLATE(D40, ""en"", ""ur"")"),"C) صاف، کنٹرول شدہ ""ٹچز"" یا درست ٹارگٹ زونز کو سٹرائیکس کے لیے پوائنٹس دیے جاتے ہیں۔")</f>
        <v>C) صاف، کنٹرول شدہ "ٹچز" یا درست ٹارگٹ زونز کو سٹرائیکس کے لیے پوائنٹس دیے جاتے ہیں۔</v>
      </c>
      <c r="M40" s="6" t="str">
        <f>IFERROR(__xludf.DUMMYFUNCTION("GOOGLETRANSLATE(E40, ""en"", ""ur"")"),"باڑ لگانے کی طرح، مقصد زخمی کرنا نہیں ہے بلکہ قواعد کے مطابق درست ہٹ لگا کر اعلیٰ مہارت کا مظاہرہ کرنا ہے۔")</f>
        <v>باڑ لگانے کی طرح، مقصد زخمی کرنا نہیں ہے بلکہ قواعد کے مطابق درست ہٹ لگا کر اعلیٰ مہارت کا مظاہرہ کرنا ہے۔</v>
      </c>
    </row>
    <row r="41">
      <c r="A41" s="4">
        <v>40.0</v>
      </c>
      <c r="B41" s="5" t="s">
        <v>1350</v>
      </c>
      <c r="C41" s="5" t="s">
        <v>1351</v>
      </c>
      <c r="D41" s="5" t="s">
        <v>1053</v>
      </c>
      <c r="E41" s="5" t="s">
        <v>1352</v>
      </c>
      <c r="I41" s="6" t="str">
        <f>IFERROR(__xludf.DUMMYFUNCTION("GOOGLETRANSLATE(A41, ""en"", ""ur"")"),"40")</f>
        <v>40</v>
      </c>
      <c r="J41" s="6" t="str">
        <f>IFERROR(__xludf.DUMMYFUNCTION("GOOGLETRANSLATE(B41, ""en"", ""ur"")"),"عملی طور پر زندہ بلیڈ کے بجائے لکڑی کی چھڑیوں کے استعمال کی تاریخی وجہ کیا ہے؟")</f>
        <v>عملی طور پر زندہ بلیڈ کے بجائے لکڑی کی چھڑیوں کے استعمال کی تاریخی وجہ کیا ہے؟</v>
      </c>
      <c r="K41" s="6" t="str">
        <f>IFERROR(__xludf.DUMMYFUNCTION("GOOGLETRANSLATE(C41, ""en"", ""ur"")"),"A) وہ سستے تھے، B) محفوظ تربیت اور نیزہ بازی کی اجازت دینے کے لیے بغیر کسی شدید چوٹ کے، C) انگریزوں نے تلواریں اٹھانے پر پابندی لگا دی، D) B اور C دونوں")</f>
        <v>A) وہ سستے تھے، B) محفوظ تربیت اور نیزہ بازی کی اجازت دینے کے لیے بغیر کسی شدید چوٹ کے، C) انگریزوں نے تلواریں اٹھانے پر پابندی لگا دی، D) B اور C دونوں</v>
      </c>
      <c r="L41" s="6" t="str">
        <f>IFERROR(__xludf.DUMMYFUNCTION("GOOGLETRANSLATE(D41, ""en"", ""ur"")"),"D) B اور C دونوں")</f>
        <v>D) B اور C دونوں</v>
      </c>
      <c r="M41" s="6" t="str">
        <f>IFERROR(__xludf.DUMMYFUNCTION("GOOGLETRANSLATE(E41, ""en"", ""ur"")"),"برطانوی راج نے عوامی ہتھیار لے جانے پر پابندی لگا دی، سکھوں کو مشق کے لیے لاٹھیوں کا استعمال کرتے ہوئے اپنانے پر مجبور کیا۔ اس سے تربیت کو زیادہ محفوظ بنانے کا فائدہ بھی ہوا۔")</f>
        <v>برطانوی راج نے عوامی ہتھیار لے جانے پر پابندی لگا دی، سکھوں کو مشق کے لیے لاٹھیوں کا استعمال کرتے ہوئے اپنانے پر مجبور کیا۔ اس سے تربیت کو زیادہ محفوظ بنانے کا فائدہ بھی ہوا۔</v>
      </c>
    </row>
    <row r="42">
      <c r="A42" s="4">
        <v>41.0</v>
      </c>
      <c r="B42" s="5" t="s">
        <v>1353</v>
      </c>
      <c r="C42" s="5" t="s">
        <v>1354</v>
      </c>
      <c r="D42" s="5" t="s">
        <v>1355</v>
      </c>
      <c r="E42" s="5" t="s">
        <v>1356</v>
      </c>
      <c r="I42" s="6" t="str">
        <f>IFERROR(__xludf.DUMMYFUNCTION("GOOGLETRANSLATE(A42, ""en"", ""ur"")"),"41")</f>
        <v>41</v>
      </c>
      <c r="J42" s="6" t="str">
        <f>IFERROR(__xludf.DUMMYFUNCTION("GOOGLETRANSLATE(B42, ""en"", ""ur"")"),"روایتی نہنگ پگڑی میں اکثر فاررا شامل ہوتا ہے۔ لڑائی میں اس کا مقصد کیا ہے؟")</f>
        <v>روایتی نہنگ پگڑی میں اکثر فاررا شامل ہوتا ہے۔ لڑائی میں اس کا مقصد کیا ہے؟</v>
      </c>
      <c r="K42" s="6" t="str">
        <f>IFERROR(__xludf.DUMMYFUNCTION("GOOGLETRANSLATE(C42, ""en"", ""ur"")"),"A) یہ ایک آرائشی ٹیسل ہے، B) یہ سر پر لگنے والی چوٹوں سے حفاظت کے طور پر کام کرتا ہے، C) یہ پہننے والے کے درجے کی نشاندہی کرتا ہے، D) اسے بطور ہتھیار استعمال کیا جا سکتا ہے۔")</f>
        <v>A) یہ ایک آرائشی ٹیسل ہے، B) یہ سر پر لگنے والی چوٹوں سے حفاظت کے طور پر کام کرتا ہے، C) یہ پہننے والے کے درجے کی نشاندہی کرتا ہے، D) اسے بطور ہتھیار استعمال کیا جا سکتا ہے۔</v>
      </c>
      <c r="L42" s="6" t="str">
        <f>IFERROR(__xludf.DUMMYFUNCTION("GOOGLETRANSLATE(D42, ""en"", ""ur"")"),"ب) یہ سر کی ضربوں کے خلاف ایک بولڈ تحفظ کے طور پر کام کرتا ہے۔")</f>
        <v>ب) یہ سر کی ضربوں کے خلاف ایک بولڈ تحفظ کے طور پر کام کرتا ہے۔</v>
      </c>
      <c r="M42" s="6" t="str">
        <f>IFERROR(__xludf.DUMMYFUNCTION("GOOGLETRANSLATE(E42, ""en"", ""ur"")"),"فاررا کپڑے کا ایک ٹکڑا ہے جو پگڑی سے لٹکا ہوا ہے، جو تاریخی طور پر سر پر ضربوں کے خلاف دفاع کی ایک اضافی تہہ شامل کرنے کے لیے استعمال ہوتا تھا۔")</f>
        <v>فاررا کپڑے کا ایک ٹکڑا ہے جو پگڑی سے لٹکا ہوا ہے، جو تاریخی طور پر سر پر ضربوں کے خلاف دفاع کی ایک اضافی تہہ شامل کرنے کے لیے استعمال ہوتا تھا۔</v>
      </c>
    </row>
    <row r="43">
      <c r="A43" s="4">
        <v>42.0</v>
      </c>
      <c r="B43" s="5" t="s">
        <v>1357</v>
      </c>
      <c r="C43" s="5" t="s">
        <v>1358</v>
      </c>
      <c r="D43" s="5" t="s">
        <v>1359</v>
      </c>
      <c r="E43" s="5" t="s">
        <v>1360</v>
      </c>
      <c r="I43" s="6" t="str">
        <f>IFERROR(__xludf.DUMMYFUNCTION("GOOGLETRANSLATE(A43, ""en"", ""ur"")"),"42")</f>
        <v>42</v>
      </c>
      <c r="J43" s="6" t="str">
        <f>IFERROR(__xludf.DUMMYFUNCTION("GOOGLETRANSLATE(B43, ""en"", ""ur"")"),"گٹکا فلسفہ میں، ""سہج"" کا اصول کس چیز پر زور دیتا ہے؟")</f>
        <v>گٹکا فلسفہ میں، "سہج" کا اصول کس چیز پر زور دیتا ہے؟</v>
      </c>
      <c r="K43" s="6" t="str">
        <f>IFERROR(__xludf.DUMMYFUNCTION("GOOGLETRANSLATE(C43, ""en"", ""ur"")"),"A) جارحیت اور طاقت، B) رفتار اور چستی، C) توازن، سکون، اور پرسکون مراقبہ کی حالت، D) بھاری ضربوں کا استعمال")</f>
        <v>A) جارحیت اور طاقت، B) رفتار اور چستی، C) توازن، سکون، اور پرسکون مراقبہ کی حالت، D) بھاری ضربوں کا استعمال</v>
      </c>
      <c r="L43" s="6" t="str">
        <f>IFERROR(__xludf.DUMMYFUNCTION("GOOGLETRANSLATE(D43, ""en"", ""ur"")"),"C) توازن، سکون، اور پرسکون مراقبہ کی حالت")</f>
        <v>C) توازن، سکون، اور پرسکون مراقبہ کی حالت</v>
      </c>
      <c r="M43" s="6" t="str">
        <f>IFERROR(__xludf.DUMMYFUNCTION("GOOGLETRANSLATE(E43, ""en"", ""ur"")"),"سہج یکسوئی اور فطری آسانی کی حالت ہے، ذہنی سکون کی حالت جو مؤثر مارشل کارکردگی کے لیے بہت ضروری ہے۔")</f>
        <v>سہج یکسوئی اور فطری آسانی کی حالت ہے، ذہنی سکون کی حالت جو مؤثر مارشل کارکردگی کے لیے بہت ضروری ہے۔</v>
      </c>
    </row>
    <row r="44">
      <c r="A44" s="4">
        <v>43.0</v>
      </c>
      <c r="B44" s="5" t="s">
        <v>1361</v>
      </c>
      <c r="C44" s="5" t="s">
        <v>1362</v>
      </c>
      <c r="D44" s="5" t="s">
        <v>1363</v>
      </c>
      <c r="E44" s="5" t="s">
        <v>1364</v>
      </c>
      <c r="I44" s="6" t="str">
        <f>IFERROR(__xludf.DUMMYFUNCTION("GOOGLETRANSLATE(A44, ""en"", ""ur"")"),"43")</f>
        <v>43</v>
      </c>
      <c r="J44" s="6" t="str">
        <f>IFERROR(__xludf.DUMMYFUNCTION("GOOGLETRANSLATE(B44, ""en"", ""ur"")"),"ان میں سے کون سا روایتی گٹکا ہتھیار نہیں ہے؟")</f>
        <v>ان میں سے کون سا روایتی گٹکا ہتھیار نہیں ہے؟</v>
      </c>
      <c r="K44" s="6" t="str">
        <f>IFERROR(__xludf.DUMMYFUNCTION("GOOGLETRANSLATE(C44, ""en"", ""ur"")"),"A) سوتی (چھڑی)، B) کرپن (خنجر) C) برچھا (نیزہ) D) کمان اور تیر (تیر کمان)")</f>
        <v>A) سوتی (چھڑی)، B) کرپن (خنجر) C) برچھا (نیزہ) D) کمان اور تیر (تیر کمان)</v>
      </c>
      <c r="L44" s="6" t="str">
        <f>IFERROR(__xludf.DUMMYFUNCTION("GOOGLETRANSLATE(D44, ""en"", ""ur"")"),"D) کمان اور تیر (تیر کمان)")</f>
        <v>D) کمان اور تیر (تیر کمان)</v>
      </c>
      <c r="M44" s="6" t="str">
        <f>IFERROR(__xludf.DUMMYFUNCTION("GOOGLETRANSLATE(E44, ""en"", ""ur"")"),"جب کہ تیر اندازی وسیع تر شاستر ودیا کا حصہ تھی، گٹکا ایک مخصوص نظم و ضبط کے طور پر ہنگامے (ہاتھ سے ہاتھ) جنگی ہتھیاروں پر مرکوز ہے۔")</f>
        <v>جب کہ تیر اندازی وسیع تر شاستر ودیا کا حصہ تھی، گٹکا ایک مخصوص نظم و ضبط کے طور پر ہنگامے (ہاتھ سے ہاتھ) جنگی ہتھیاروں پر مرکوز ہے۔</v>
      </c>
    </row>
    <row r="45">
      <c r="A45" s="4">
        <v>44.0</v>
      </c>
      <c r="B45" s="5" t="s">
        <v>1365</v>
      </c>
      <c r="C45" s="5" t="s">
        <v>1366</v>
      </c>
      <c r="D45" s="5" t="s">
        <v>1367</v>
      </c>
      <c r="E45" s="5" t="s">
        <v>1368</v>
      </c>
      <c r="I45" s="6" t="str">
        <f>IFERROR(__xludf.DUMMYFUNCTION("GOOGLETRANSLATE(A45, ""en"", ""ur"")"),"44")</f>
        <v>44</v>
      </c>
      <c r="J45" s="6" t="str">
        <f>IFERROR(__xludf.DUMMYFUNCTION("GOOGLETRANSLATE(B45, ""en"", ""ur"")"),"تربیتی سیشن بلانے سے پہلے ہتھیاروں کا احترام کرنے کی روایتی رسم کیا ہے؟")</f>
        <v>تربیتی سیشن بلانے سے پہلے ہتھیاروں کا احترام کرنے کی روایتی رسم کیا ہے؟</v>
      </c>
      <c r="K45" s="6" t="str">
        <f>IFERROR(__xludf.DUMMYFUNCTION("GOOGLETRANSLATE(C45, ""en"", ""ur"")"),"A) ارداس، B) شاستر پوجا، C) سمرن، D) کیرتن")</f>
        <v>A) ارداس، B) شاستر پوجا، C) سمرن، D) کیرتن</v>
      </c>
      <c r="L45" s="6" t="str">
        <f>IFERROR(__xludf.DUMMYFUNCTION("GOOGLETRANSLATE(D45, ""en"", ""ur"")"),"ب) شاستر پوجا")</f>
        <v>ب) شاستر پوجا</v>
      </c>
      <c r="M45" s="6" t="str">
        <f>IFERROR(__xludf.DUMMYFUNCTION("GOOGLETRANSLATE(E45, ""en"", ""ur"")"),"شاستر پوجا (ہتھیار کی پوجا) فن کے آلات کے احترام کا نشان ہے، جو ان کی روحانی اور تاریخی اہمیت کو تسلیم کرتے ہیں۔")</f>
        <v>شاستر پوجا (ہتھیار کی پوجا) فن کے آلات کے احترام کا نشان ہے، جو ان کی روحانی اور تاریخی اہمیت کو تسلیم کرتے ہیں۔</v>
      </c>
    </row>
    <row r="46">
      <c r="A46" s="4">
        <v>45.0</v>
      </c>
      <c r="B46" s="5" t="s">
        <v>1369</v>
      </c>
      <c r="C46" s="5" t="s">
        <v>1370</v>
      </c>
      <c r="D46" s="5" t="s">
        <v>1371</v>
      </c>
      <c r="E46" s="5" t="s">
        <v>1372</v>
      </c>
      <c r="I46" s="6" t="str">
        <f>IFERROR(__xludf.DUMMYFUNCTION("GOOGLETRANSLATE(A46, ""en"", ""ur"")"),"45")</f>
        <v>45</v>
      </c>
      <c r="J46" s="6" t="str">
        <f>IFERROR(__xludf.DUMMYFUNCTION("GOOGLETRANSLATE(B46, ""en"", ""ur"")"),"راؤنڈ شروع کرنے کے لیے ریفری کا کیا حکم ہے؟")</f>
        <v>راؤنڈ شروع کرنے کے لیے ریفری کا کیا حکم ہے؟</v>
      </c>
      <c r="K46" s="6" t="str">
        <f>IFERROR(__xludf.DUMMYFUNCTION("GOOGLETRANSLATE(C46, ""en"", ""ur"")"),"A) ""جور!""، B) ""شورو!""، C) سیٹی بجا، D) ""فاری کرو!""")</f>
        <v>A) "جور!"، B) "شورو!"، C) سیٹی بجا، D) "فاری کرو!"</v>
      </c>
      <c r="L46" s="6" t="str">
        <f>IFERROR(__xludf.DUMMYFUNCTION("GOOGLETRANSLATE(D46, ""en"", ""ur"")"),"ب) ""شورو!""")</f>
        <v>ب) "شورو!"</v>
      </c>
      <c r="M46" s="6" t="str">
        <f>IFERROR(__xludf.DUMMYFUNCTION("GOOGLETRANSLATE(E46, ""en"", ""ur"")"),"پنجابی حکم ""شورو!"" (شروع کریں!) ایک روایتی سگنل ہے جسے ریفری کارروائی شروع کرنے کے لیے استعمال کرتا ہے۔")</f>
        <v>پنجابی حکم "شورو!" (شروع کریں!) ایک روایتی سگنل ہے جسے ریفری کارروائی شروع کرنے کے لیے استعمال کرتا ہے۔</v>
      </c>
    </row>
    <row r="47">
      <c r="A47" s="4">
        <v>46.0</v>
      </c>
      <c r="B47" s="5" t="s">
        <v>1373</v>
      </c>
      <c r="C47" s="5" t="s">
        <v>1374</v>
      </c>
      <c r="D47" s="5" t="s">
        <v>1375</v>
      </c>
      <c r="E47" s="5" t="s">
        <v>1376</v>
      </c>
      <c r="I47" s="6" t="str">
        <f>IFERROR(__xludf.DUMMYFUNCTION("GOOGLETRANSLATE(A47, ""en"", ""ur"")"),"46")</f>
        <v>46</v>
      </c>
      <c r="J47" s="6" t="str">
        <f>IFERROR(__xludf.DUMMYFUNCTION("GOOGLETRANSLATE(B47, ""en"", ""ur"")"),"ایک مظاہرے میں، ایک اداکار بیک وقت دو تلواریں گھما رہا ہے۔ یہ بنیادی طور پر کس مہارت کو ظاہر کرتا ہے؟")</f>
        <v>ایک مظاہرے میں، ایک اداکار بیک وقت دو تلواریں گھما رہا ہے۔ یہ بنیادی طور پر کس مہارت کو ظاہر کرتا ہے؟</v>
      </c>
      <c r="K47" s="6" t="str">
        <f>IFERROR(__xludf.DUMMYFUNCTION("GOOGLETRANSLATE(C47, ""en"", ""ur"")"),"A) جارحیت، B) دماغ اور جسم کا اتحاد، اور دوطرفہ ہم آہنگی، C) لڑائی کی ایک نئی تکنیک، D) صرف ہتھیاروں کی مہارت")</f>
        <v>A) جارحیت، B) دماغ اور جسم کا اتحاد، اور دوطرفہ ہم آہنگی، C) لڑائی کی ایک نئی تکنیک، D) صرف ہتھیاروں کی مہارت</v>
      </c>
      <c r="L47" s="6" t="str">
        <f>IFERROR(__xludf.DUMMYFUNCTION("GOOGLETRANSLATE(D47, ""en"", ""ur"")"),"ب) دماغ اور جسم کا اتحاد، اور متضاد ہم آہنگی۔")</f>
        <v>ب) دماغ اور جسم کا اتحاد، اور متضاد ہم آہنگی۔</v>
      </c>
      <c r="M47" s="6" t="str">
        <f>IFERROR(__xludf.DUMMYFUNCTION("GOOGLETRANSLATE(E47, ""en"", ""ur"")"),"یہ مشکل کارنامہ آرٹ کے جسمانی اور روحانی پہلوؤں کو ہم آہنگ کرتے ہوئے نظم و ضبط کی اعلیٰ سطح کی نمائندگی کرتا ہے۔")</f>
        <v>یہ مشکل کارنامہ آرٹ کے جسمانی اور روحانی پہلوؤں کو ہم آہنگ کرتے ہوئے نظم و ضبط کی اعلیٰ سطح کی نمائندگی کرتا ہے۔</v>
      </c>
    </row>
    <row r="48">
      <c r="A48" s="4">
        <v>47.0</v>
      </c>
      <c r="B48" s="5" t="s">
        <v>1377</v>
      </c>
      <c r="C48" s="5" t="s">
        <v>1378</v>
      </c>
      <c r="D48" s="5" t="s">
        <v>1379</v>
      </c>
      <c r="E48" s="5" t="s">
        <v>1380</v>
      </c>
      <c r="I48" s="6" t="str">
        <f>IFERROR(__xludf.DUMMYFUNCTION("GOOGLETRANSLATE(A48, ""en"", ""ur"")"),"47")</f>
        <v>47</v>
      </c>
      <c r="J48" s="6" t="str">
        <f>IFERROR(__xludf.DUMMYFUNCTION("GOOGLETRANSLATE(B48, ""en"", ""ur"")"),"جدید ٹورنامنٹس میں، سرکاری مقابلے کے میدان کی سطح عام طور پر کس مواد سے بنی ہوتی ہے؟")</f>
        <v>جدید ٹورنامنٹس میں، سرکاری مقابلے کے میدان کی سطح عام طور پر کس مواد سے بنی ہوتی ہے؟</v>
      </c>
      <c r="K48" s="6" t="str">
        <f>IFERROR(__xludf.DUMMYFUNCTION("GOOGLETRANSLATE(C48, ""en"", ""ur"")"),"A) گھاس، B) مٹی، C) لکڑی، D) مصنوعی چٹائیاں")</f>
        <v>A) گھاس، B) مٹی، C) لکڑی، D) مصنوعی چٹائیاں</v>
      </c>
      <c r="L48" s="6" t="str">
        <f>IFERROR(__xludf.DUMMYFUNCTION("GOOGLETRANSLATE(D48, ""en"", ""ur"")"),"D) مصنوعی چٹائیاں")</f>
        <v>D) مصنوعی چٹائیاں</v>
      </c>
      <c r="M48" s="6" t="str">
        <f>IFERROR(__xludf.DUMMYFUNCTION("GOOGLETRANSLATE(E48, ""en"", ""ur"")"),"مصنوعی چٹائیاں ایک معیاری، غیر پرچی سطح فراہم کرنے کے لیے استعمال کی جاتی ہیں جو حریفوں کو چوٹوں سے بچنے میں مدد کرتی ہیں۔")</f>
        <v>مصنوعی چٹائیاں ایک معیاری، غیر پرچی سطح فراہم کرنے کے لیے استعمال کی جاتی ہیں جو حریفوں کو چوٹوں سے بچنے میں مدد کرتی ہیں۔</v>
      </c>
    </row>
    <row r="49">
      <c r="A49" s="4">
        <v>48.0</v>
      </c>
      <c r="B49" s="5" t="s">
        <v>1381</v>
      </c>
      <c r="C49" s="5" t="s">
        <v>1382</v>
      </c>
      <c r="D49" s="5" t="s">
        <v>1383</v>
      </c>
      <c r="E49" s="5" t="s">
        <v>1384</v>
      </c>
      <c r="I49" s="6" t="str">
        <f>IFERROR(__xludf.DUMMYFUNCTION("GOOGLETRANSLATE(A49, ""en"", ""ur"")"),"48")</f>
        <v>48</v>
      </c>
      <c r="J49" s="6" t="str">
        <f>IFERROR(__xludf.DUMMYFUNCTION("GOOGLETRANSLATE(B49, ""en"", ""ur"")"),"کس سکھ گرو نے میری پیری (دنیاوی اور روحانی طاقت) کا تصور پیش کیا، جس نے گٹکا کی ترقی کو متاثر کیا؟")</f>
        <v>کس سکھ گرو نے میری پیری (دنیاوی اور روحانی طاقت) کا تصور پیش کیا، جس نے گٹکا کی ترقی کو متاثر کیا؟</v>
      </c>
      <c r="K49" s="6" t="str">
        <f>IFERROR(__xludf.DUMMYFUNCTION("GOOGLETRANSLATE(C49, ""en"", ""ur"")"),"A) گرو انگد، B) گرو ہرگوبند، C) گرو تیغ بہادر، D) گرو نانک")</f>
        <v>A) گرو انگد، B) گرو ہرگوبند، C) گرو تیغ بہادر، D) گرو نانک</v>
      </c>
      <c r="L49" s="6" t="str">
        <f>IFERROR(__xludf.DUMMYFUNCTION("GOOGLETRANSLATE(D49, ""en"", ""ur"")"),"ب) گرو ہرگوبند")</f>
        <v>ب) گرو ہرگوبند</v>
      </c>
      <c r="M49" s="6" t="str">
        <f>IFERROR(__xludf.DUMMYFUNCTION("GOOGLETRANSLATE(E49, ""en"", ""ur"")"),"چھٹے گرو، گرو ہرگوبند نے مارشل روایت کو مضبوط کرتے ہوئے، روحانی اور دنیاوی دونوں اختیار کی ضرورت کی علامت کے لیے دو تلواریں پہنیں۔")</f>
        <v>چھٹے گرو، گرو ہرگوبند نے مارشل روایت کو مضبوط کرتے ہوئے، روحانی اور دنیاوی دونوں اختیار کی ضرورت کی علامت کے لیے دو تلواریں پہنیں۔</v>
      </c>
    </row>
    <row r="50">
      <c r="A50" s="4">
        <v>49.0</v>
      </c>
      <c r="B50" s="5" t="s">
        <v>1385</v>
      </c>
      <c r="C50" s="5" t="s">
        <v>1386</v>
      </c>
      <c r="D50" s="5" t="s">
        <v>1387</v>
      </c>
      <c r="E50" s="5" t="s">
        <v>1388</v>
      </c>
      <c r="I50" s="6" t="str">
        <f>IFERROR(__xludf.DUMMYFUNCTION("GOOGLETRANSLATE(A50, ""en"", ""ur"")"),"49")</f>
        <v>49</v>
      </c>
      <c r="J50" s="6" t="str">
        <f>IFERROR(__xludf.DUMMYFUNCTION("GOOGLETRANSLATE(B50, ""en"", ""ur"")"),"قریبی جنگی تربیت کے لیے کرپان کو کس دوسرے سامان کے ساتھ جوڑا جاتا ہے؟")</f>
        <v>قریبی جنگی تربیت کے لیے کرپان کو کس دوسرے سامان کے ساتھ جوڑا جاتا ہے؟</v>
      </c>
      <c r="K50" s="6" t="str">
        <f>IFERROR(__xludf.DUMMYFUNCTION("GOOGLETRANSLATE(C50, ""en"", ""ur"")"),"A) دوسرا کرپان، B) ایک چھوٹی سی ڈھال (Phari) C) رسی، D) چھڑی")</f>
        <v>A) دوسرا کرپان، B) ایک چھوٹی سی ڈھال (Phari) C) رسی، D) چھڑی</v>
      </c>
      <c r="L50" s="6" t="str">
        <f>IFERROR(__xludf.DUMMYFUNCTION("GOOGLETRANSLATE(D50, ""en"", ""ur"")"),"ب) ایک چھوٹی سی ڈھال (فاری)")</f>
        <v>ب) ایک چھوٹی سی ڈھال (فاری)</v>
      </c>
      <c r="M50" s="6" t="str">
        <f>IFERROR(__xludf.DUMMYFUNCTION("GOOGLETRANSLATE(E50, ""en"", ""ur"")"),"خنجر اور ڈھال کا امتزاج قریبی چوتھائی دفاع اور حملے کے لیے ایک کلاسک تربیتی مشق ہے۔")</f>
        <v>خنجر اور ڈھال کا امتزاج قریبی چوتھائی دفاع اور حملے کے لیے ایک کلاسک تربیتی مشق ہے۔</v>
      </c>
    </row>
    <row r="51">
      <c r="A51" s="4">
        <v>50.0</v>
      </c>
      <c r="B51" s="5" t="s">
        <v>1389</v>
      </c>
      <c r="C51" s="5" t="s">
        <v>1390</v>
      </c>
      <c r="D51" s="5" t="s">
        <v>1391</v>
      </c>
      <c r="E51" s="5" t="s">
        <v>1392</v>
      </c>
      <c r="I51" s="6" t="str">
        <f>IFERROR(__xludf.DUMMYFUNCTION("GOOGLETRANSLATE(A51, ""en"", ""ur"")"),"50")</f>
        <v>50</v>
      </c>
      <c r="J51" s="6" t="str">
        <f>IFERROR(__xludf.DUMMYFUNCTION("GOOGLETRANSLATE(B51, ""en"", ""ur"")"),"جدید مشقوں میں، ""دھرنی"" تکنیک کیا شامل ہے؟")</f>
        <v>جدید مشقوں میں، "دھرنی" تکنیک کیا شامل ہے؟</v>
      </c>
      <c r="K51" s="6" t="str">
        <f>IFERROR(__xludf.DUMMYFUNCTION("GOOGLETRANSLATE(C51, ""en"", ""ur"")"),"A) ایک جمپنگ تھرسٹ، B) ڈھال کا انحراف، C) زمین پر لڑھکتے ہوئے دیا گیا حملہ، D) گھومنے والا بلاک")</f>
        <v>A) ایک جمپنگ تھرسٹ، B) ڈھال کا انحراف، C) زمین پر لڑھکتے ہوئے دیا گیا حملہ، D) گھومنے والا بلاک</v>
      </c>
      <c r="L51" s="6" t="str">
        <f>IFERROR(__xludf.DUMMYFUNCTION("GOOGLETRANSLATE(D51, ""en"", ""ur"")"),"C) زمین پر لڑھکتے ہوئے ایک ہڑتال")</f>
        <v>C) زمین پر لڑھکتے ہوئے ایک ہڑتال</v>
      </c>
      <c r="M51" s="6" t="str">
        <f>IFERROR(__xludf.DUMMYFUNCTION("GOOGLETRANSLATE(E51, ""en"", ""ur"")"),"دھرنی ایک جدید تکنیک ہے جو زمینی نقل و حرکت کو جوابی حملے کے ساتھ جوڑتی ہے۔")</f>
        <v>دھرنی ایک جدید تکنیک ہے جو زمینی نقل و حرکت کو جوابی حملے کے ساتھ جوڑتی ہے۔</v>
      </c>
    </row>
    <row r="52">
      <c r="A52" s="4">
        <v>51.0</v>
      </c>
      <c r="B52" s="5" t="s">
        <v>1393</v>
      </c>
      <c r="C52" s="5" t="s">
        <v>1394</v>
      </c>
      <c r="D52" s="5" t="s">
        <v>1395</v>
      </c>
      <c r="E52" s="5" t="s">
        <v>1396</v>
      </c>
      <c r="I52" s="6" t="str">
        <f>IFERROR(__xludf.DUMMYFUNCTION("GOOGLETRANSLATE(A52, ""en"", ""ur"")"),"51")</f>
        <v>51</v>
      </c>
      <c r="J52" s="6" t="str">
        <f>IFERROR(__xludf.DUMMYFUNCTION("GOOGLETRANSLATE(B52, ""en"", ""ur"")"),"تلواروں اور دیگر ہتھیاروں کو نمائشوں اور جدید مقابلوں کے لیے کیوں کند کیا جاتا ہے؟")</f>
        <v>تلواروں اور دیگر ہتھیاروں کو نمائشوں اور جدید مقابلوں کے لیے کیوں کند کیا جاتا ہے؟</v>
      </c>
      <c r="K52" s="6" t="str">
        <f>IFERROR(__xludf.DUMMYFUNCTION("GOOGLETRANSLATE(C52, ""en"", ""ur"")"),"A) ان کی لاگت کو کم کرنے کے لئے، B) سنگین یا مہلک زخموں کو روکنے کے لئے، C) تربیت کے لئے ان کا وزن بڑھانا، D) یہ ایک مذہبی ضرورت ہے")</f>
        <v>A) ان کی لاگت کو کم کرنے کے لئے، B) سنگین یا مہلک زخموں کو روکنے کے لئے، C) تربیت کے لئے ان کا وزن بڑھانا، D) یہ ایک مذہبی ضرورت ہے</v>
      </c>
      <c r="L52" s="6" t="str">
        <f>IFERROR(__xludf.DUMMYFUNCTION("GOOGLETRANSLATE(D52, ""en"", ""ur"")"),"ب) سنگین یا مہلک چوٹوں کو روکنے کے لیے")</f>
        <v>ب) سنگین یا مہلک چوٹوں کو روکنے کے لیے</v>
      </c>
      <c r="M52" s="6" t="str">
        <f>IFERROR(__xludf.DUMMYFUNCTION("GOOGLETRANSLATE(E52, ""en"", ""ur"")"),"کناروں کو بلنٹ کرنا اداکاروں اور حریفوں کو تیز رفتار اور طاقت کے ساتھ مستند تکنیکوں کو محفوظ طریقے سے دکھانے کی اجازت دیتا ہے۔")</f>
        <v>کناروں کو بلنٹ کرنا اداکاروں اور حریفوں کو تیز رفتار اور طاقت کے ساتھ مستند تکنیکوں کو محفوظ طریقے سے دکھانے کی اجازت دیتا ہے۔</v>
      </c>
    </row>
    <row r="53">
      <c r="A53" s="4">
        <v>52.0</v>
      </c>
      <c r="B53" s="5" t="s">
        <v>1397</v>
      </c>
      <c r="C53" s="5" t="s">
        <v>1398</v>
      </c>
      <c r="D53" s="5" t="s">
        <v>1399</v>
      </c>
      <c r="E53" s="5" t="s">
        <v>1400</v>
      </c>
      <c r="I53" s="6" t="str">
        <f>IFERROR(__xludf.DUMMYFUNCTION("GOOGLETRANSLATE(A53, ""en"", ""ur"")"),"52")</f>
        <v>52</v>
      </c>
      <c r="J53" s="6" t="str">
        <f>IFERROR(__xludf.DUMMYFUNCTION("GOOGLETRANSLATE(B53, ""en"", ""ur"")"),"کس قسم کی ہڑتال اپنے انتہائی خطرے کی وجہ سے سختی سے منع ہے؟")</f>
        <v>کس قسم کی ہڑتال اپنے انتہائی خطرے کی وجہ سے سختی سے منع ہے؟</v>
      </c>
      <c r="K53" s="6" t="str">
        <f>IFERROR(__xludf.DUMMYFUNCTION("GOOGLETRANSLATE(C53, ""en"", ""ur"")"),"A) کندھے پر حملہ، B) گردن یا گلے پر ضرب، C) کلائی پر ضرب، D) گھٹنے پر ضرب")</f>
        <v>A) کندھے پر حملہ، B) گردن یا گلے پر ضرب، C) کلائی پر ضرب، D) گھٹنے پر ضرب</v>
      </c>
      <c r="L53" s="6" t="str">
        <f>IFERROR(__xludf.DUMMYFUNCTION("GOOGLETRANSLATE(D53, ""en"", ""ur"")"),"ب) گردن یا گلے پر حملہ")</f>
        <v>ب) گردن یا گلے پر حملہ</v>
      </c>
      <c r="M53" s="6" t="str">
        <f>IFERROR(__xludf.DUMMYFUNCTION("GOOGLETRANSLATE(E53, ""en"", ""ur"")"),"گردن ایک غیر قانونی ہدف ہے کیونکہ اس علاقے میں ہڑتال سے جان لیوا خطرہ ہوتا ہے۔")</f>
        <v>گردن ایک غیر قانونی ہدف ہے کیونکہ اس علاقے میں ہڑتال سے جان لیوا خطرہ ہوتا ہے۔</v>
      </c>
    </row>
    <row r="54">
      <c r="A54" s="4">
        <v>53.0</v>
      </c>
      <c r="B54" s="5" t="s">
        <v>1401</v>
      </c>
      <c r="C54" s="5" t="s">
        <v>1402</v>
      </c>
      <c r="D54" s="5" t="s">
        <v>1403</v>
      </c>
      <c r="E54" s="5" t="s">
        <v>1404</v>
      </c>
      <c r="I54" s="6" t="str">
        <f>IFERROR(__xludf.DUMMYFUNCTION("GOOGLETRANSLATE(A54, ""en"", ""ur"")"),"53")</f>
        <v>53</v>
      </c>
      <c r="J54" s="6" t="str">
        <f>IFERROR(__xludf.DUMMYFUNCTION("GOOGLETRANSLATE(B54, ""en"", ""ur"")"),"پاکستان میں ثقافتی نمائش کے دوران گٹکا اکثر پنجابی فن کے کون سے مشہور فن کے ساتھ پیش کیا جاتا ہے؟")</f>
        <v>پاکستان میں ثقافتی نمائش کے دوران گٹکا اکثر پنجابی فن کے کون سے مشہور فن کے ساتھ پیش کیا جاتا ہے؟</v>
      </c>
      <c r="K54" s="6" t="str">
        <f>IFERROR(__xludf.DUMMYFUNCTION("GOOGLETRANSLATE(C54, ""en"", ""ur"")"),"A) گڈا، B) بھنگڑا، C) کتھک، D) دھمال")</f>
        <v>A) گڈا، B) بھنگڑا، C) کتھک، D) دھمال</v>
      </c>
      <c r="L54" s="6" t="str">
        <f>IFERROR(__xludf.DUMMYFUNCTION("GOOGLETRANSLATE(D54, ""en"", ""ur"")"),"ب) بھنگڑا")</f>
        <v>ب) بھنگڑا</v>
      </c>
      <c r="M54" s="6" t="str">
        <f>IFERROR(__xludf.DUMMYFUNCTION("GOOGLETRANSLATE(E54, ""en"", ""ur"")"),"بھنگڑے کا پرجوش رقص اور گٹکا کا مارشل ڈسپلے اکثر پنجابی ثقافت کے تہوار اور جنگجو جذبوں کو ظاہر کرنے کے لیے ایک ساتھ جوڑا جاتا ہے۔")</f>
        <v>بھنگڑے کا پرجوش رقص اور گٹکا کا مارشل ڈسپلے اکثر پنجابی ثقافت کے تہوار اور جنگجو جذبوں کو ظاہر کرنے کے لیے ایک ساتھ جوڑا جاتا ہے۔</v>
      </c>
    </row>
    <row r="55">
      <c r="A55" s="4">
        <v>54.0</v>
      </c>
      <c r="B55" s="5" t="s">
        <v>1405</v>
      </c>
      <c r="C55" s="5" t="s">
        <v>1406</v>
      </c>
      <c r="D55" s="5" t="s">
        <v>1407</v>
      </c>
      <c r="E55" s="5" t="s">
        <v>1408</v>
      </c>
      <c r="I55" s="6" t="str">
        <f>IFERROR(__xludf.DUMMYFUNCTION("GOOGLETRANSLATE(A55, ""en"", ""ur"")"),"54")</f>
        <v>54</v>
      </c>
      <c r="J55" s="6" t="str">
        <f>IFERROR(__xludf.DUMMYFUNCTION("GOOGLETRANSLATE(B55, ""en"", ""ur"")"),"گٹکا میچ میں راؤنڈز کے درمیان معیاری آرام کی مدت کیا ہے؟")</f>
        <v>گٹکا میچ میں راؤنڈز کے درمیان معیاری آرام کی مدت کیا ہے؟</v>
      </c>
      <c r="K55" s="6" t="str">
        <f>IFERROR(__xludf.DUMMYFUNCTION("GOOGLETRANSLATE(C55, ""en"", ""ur"")"),"A) 30 سیکنڈ، B) 1 منٹ، C) 2 منٹ، D) 3 منٹ")</f>
        <v>A) 30 سیکنڈ، B) 1 منٹ، C) 2 منٹ، D) 3 منٹ</v>
      </c>
      <c r="L55" s="6" t="str">
        <f>IFERROR(__xludf.DUMMYFUNCTION("GOOGLETRANSLATE(D55, ""en"", ""ur"")"),"ب) 1 منٹ")</f>
        <v>ب) 1 منٹ</v>
      </c>
      <c r="M55" s="6" t="str">
        <f>IFERROR(__xludf.DUMMYFUNCTION("GOOGLETRANSLATE(E55, ""en"", ""ur"")"),"ایک منٹ کا آرام کھلاڑیوں کو صحت یاب ہونے، کوچنگ حاصل کرنے اور اگلے راؤنڈ کے لیے تیاری کرنے دیتا ہے۔")</f>
        <v>ایک منٹ کا آرام کھلاڑیوں کو صحت یاب ہونے، کوچنگ حاصل کرنے اور اگلے راؤنڈ کے لیے تیاری کرنے دیتا ہے۔</v>
      </c>
    </row>
    <row r="56">
      <c r="A56" s="4">
        <v>55.0</v>
      </c>
      <c r="B56" s="5" t="s">
        <v>1409</v>
      </c>
      <c r="C56" s="5" t="s">
        <v>1410</v>
      </c>
      <c r="D56" s="5" t="s">
        <v>1411</v>
      </c>
      <c r="E56" s="5" t="s">
        <v>1412</v>
      </c>
      <c r="I56" s="6" t="str">
        <f>IFERROR(__xludf.DUMMYFUNCTION("GOOGLETRANSLATE(A56, ""en"", ""ur"")"),"55")</f>
        <v>55</v>
      </c>
      <c r="J56" s="6" t="str">
        <f>IFERROR(__xludf.DUMMYFUNCTION("GOOGLETRANSLATE(B56, ""en"", ""ur"")"),"لباس کا کون سا رنگ سب سے زیادہ مشہور نہنگ جنگجو کے حکم سے منسلک ہے؟")</f>
        <v>لباس کا کون سا رنگ سب سے زیادہ مشہور نہنگ جنگجو کے حکم سے منسلک ہے؟</v>
      </c>
      <c r="K56" s="6" t="str">
        <f>IFERROR(__xludf.DUMMYFUNCTION("GOOGLETRANSLATE(C56, ""en"", ""ur"")"),"A) سرخ، B) سفید، C) گہرا نیلا، D) سبز")</f>
        <v>A) سرخ، B) سفید، C) گہرا نیلا، D) سبز</v>
      </c>
      <c r="L56" s="6" t="str">
        <f>IFERROR(__xludf.DUMMYFUNCTION("GOOGLETRANSLATE(D56, ""en"", ""ur"")"),"سی) گہرا نیلا")</f>
        <v>سی) گہرا نیلا</v>
      </c>
      <c r="M56" s="6" t="str">
        <f>IFERROR(__xludf.DUMMYFUNCTION("GOOGLETRANSLATE(E56, ""en"", ""ur"")"),"نہنگ سکھ روایتی طور پر مخصوص گہرے نیلے رنگ کے لباس (بانا) اپنی جنگجو شناخت کے حصے کے طور پر پہنتے ہیں۔")</f>
        <v>نہنگ سکھ روایتی طور پر مخصوص گہرے نیلے رنگ کے لباس (بانا) اپنی جنگجو شناخت کے حصے کے طور پر پہنتے ہیں۔</v>
      </c>
    </row>
    <row r="57">
      <c r="A57" s="4">
        <v>56.0</v>
      </c>
      <c r="B57" s="5" t="s">
        <v>1413</v>
      </c>
      <c r="C57" s="5" t="s">
        <v>1414</v>
      </c>
      <c r="D57" s="5" t="s">
        <v>1415</v>
      </c>
      <c r="E57" s="5" t="s">
        <v>1416</v>
      </c>
      <c r="I57" s="6" t="str">
        <f>IFERROR(__xludf.DUMMYFUNCTION("GOOGLETRANSLATE(A57, ""en"", ""ur"")"),"56")</f>
        <v>56</v>
      </c>
      <c r="J57" s="6" t="str">
        <f>IFERROR(__xludf.DUMMYFUNCTION("GOOGLETRANSLATE(B57, ""en"", ""ur"")"),"ایک کھلاڑی کو غیر منظور شدہ ہتھیار استعمال کرنے پر سزا دی جاتی ہے۔ چھڑی کے غیر منظور شدہ ہونے کی ممکنہ وجہ کیا ہے؟")</f>
        <v>ایک کھلاڑی کو غیر منظور شدہ ہتھیار استعمال کرنے پر سزا دی جاتی ہے۔ چھڑی کے غیر منظور شدہ ہونے کی ممکنہ وجہ کیا ہے؟</v>
      </c>
      <c r="K57" s="6" t="str">
        <f>IFERROR(__xludf.DUMMYFUNCTION("GOOGLETRANSLATE(C57, ""en"", ""ur"")"),"A) یہ بہت ہلکا ہے، B) اس کے کنارے تیز ہیں یا کسی خطرناک مواد سے بنا ہے، C) یہ غلط رنگ ہے، D) یہ بہت پرانا ہے")</f>
        <v>A) یہ بہت ہلکا ہے، B) اس کے کنارے تیز ہیں یا کسی خطرناک مواد سے بنا ہے، C) یہ غلط رنگ ہے، D) یہ بہت پرانا ہے</v>
      </c>
      <c r="L57" s="6" t="str">
        <f>IFERROR(__xludf.DUMMYFUNCTION("GOOGLETRANSLATE(D57, ""en"", ""ur"")"),"ب) اس کے کنارے تیز ہیں یا کسی خطرناک مواد سے بنا ہے۔")</f>
        <v>ب) اس کے کنارے تیز ہیں یا کسی خطرناک مواد سے بنا ہے۔</v>
      </c>
      <c r="M57" s="6" t="str">
        <f>IFERROR(__xludf.DUMMYFUNCTION("GOOGLETRANSLATE(E57, ""en"", ""ur"")"),"میچ سے پہلے تمام ہتھیاروں کا معائنہ کیا جاتا ہے تاکہ یہ یقینی بنایا جا سکے کہ وہ حفاظتی معیارات پر پورا اترتے ہیں اور ان میں کوئی ایسی ترمیم نہیں کی جاتی ہے جس سے غیر ضروری چوٹ لگ سکتی ہو۔")</f>
        <v>میچ سے پہلے تمام ہتھیاروں کا معائنہ کیا جاتا ہے تاکہ یہ یقینی بنایا جا سکے کہ وہ حفاظتی معیارات پر پورا اترتے ہیں اور ان میں کوئی ایسی ترمیم نہیں کی جاتی ہے جس سے غیر ضروری چوٹ لگ سکتی ہو۔</v>
      </c>
    </row>
    <row r="58">
      <c r="A58" s="4">
        <v>57.0</v>
      </c>
      <c r="B58" s="5" t="s">
        <v>1417</v>
      </c>
      <c r="C58" s="5" t="s">
        <v>1418</v>
      </c>
      <c r="D58" s="5" t="s">
        <v>1419</v>
      </c>
      <c r="E58" s="5" t="s">
        <v>1420</v>
      </c>
      <c r="I58" s="6" t="str">
        <f>IFERROR(__xludf.DUMMYFUNCTION("GOOGLETRANSLATE(A58, ""en"", ""ur"")"),"57")</f>
        <v>57</v>
      </c>
      <c r="J58" s="6" t="str">
        <f>IFERROR(__xludf.DUMMYFUNCTION("GOOGLETRANSLATE(B58, ""en"", ""ur"")"),"جدید گٹکا ٹورنامنٹس کے اسکورنگ اور حفاظتی سامان کو کس بین الاقوامی جنگی کھیل نے سب سے زیادہ متاثر کیا ہے؟")</f>
        <v>جدید گٹکا ٹورنامنٹس کے اسکورنگ اور حفاظتی سامان کو کس بین الاقوامی جنگی کھیل نے سب سے زیادہ متاثر کیا ہے؟</v>
      </c>
      <c r="K58" s="6" t="str">
        <f>IFERROR(__xludf.DUMMYFUNCTION("GOOGLETRANSLATE(C58, ""en"", ""ur"")"),"A) کراٹے، B) تائیکوانڈو، C) باکسنگ، D) جوڈو")</f>
        <v>A) کراٹے، B) تائیکوانڈو، C) باکسنگ، D) جوڈو</v>
      </c>
      <c r="L58" s="6" t="str">
        <f>IFERROR(__xludf.DUMMYFUNCTION("GOOGLETRANSLATE(D58, ""en"", ""ur"")"),"ب) تائیکوانڈو")</f>
        <v>ب) تائیکوانڈو</v>
      </c>
      <c r="M58" s="6" t="str">
        <f>IFERROR(__xludf.DUMMYFUNCTION("GOOGLETRANSLATE(E58, ""en"", ""ur"")"),"پوائنٹ پر مبنی نظام، رنگین حفاظتی پوشاک کا استعمال، اور کھیل گٹکا میں کلین سٹرائیکس پر زور تائیکوانڈو کے مقابلے کی شکل سے واضح اثر دکھاتا ہے۔")</f>
        <v>پوائنٹ پر مبنی نظام، رنگین حفاظتی پوشاک کا استعمال، اور کھیل گٹکا میں کلین سٹرائیکس پر زور تائیکوانڈو کے مقابلے کی شکل سے واضح اثر دکھاتا ہے۔</v>
      </c>
    </row>
    <row r="59">
      <c r="A59" s="4">
        <v>58.0</v>
      </c>
      <c r="B59" s="5" t="s">
        <v>1421</v>
      </c>
      <c r="C59" s="5" t="s">
        <v>1422</v>
      </c>
      <c r="D59" s="5" t="s">
        <v>1423</v>
      </c>
      <c r="E59" s="5" t="s">
        <v>1424</v>
      </c>
      <c r="I59" s="6" t="str">
        <f>IFERROR(__xludf.DUMMYFUNCTION("GOOGLETRANSLATE(A59, ""en"", ""ur"")"),"58")</f>
        <v>58</v>
      </c>
      <c r="J59" s="6" t="str">
        <f>IFERROR(__xludf.DUMMYFUNCTION("GOOGLETRANSLATE(B59, ""en"", ""ur"")"),"نااہل ہونے سے پہلے ایک کھلاڑی زیادہ سے زیادہ کتنی تعداد میں فاؤل کر سکتا ہے؟")</f>
        <v>نااہل ہونے سے پہلے ایک کھلاڑی زیادہ سے زیادہ کتنی تعداد میں فاؤل کر سکتا ہے؟</v>
      </c>
      <c r="K59" s="6" t="str">
        <f>IFERROR(__xludf.DUMMYFUNCTION("GOOGLETRANSLATE(C59, ""en"", ""ur"")"),"A) 2، B) 3، C) 4، D) 5")</f>
        <v>A) 2، B) 3، C) 4، D) 5</v>
      </c>
      <c r="L59" s="6" t="str">
        <f>IFERROR(__xludf.DUMMYFUNCTION("GOOGLETRANSLATE(D59, ""en"", ""ur"")"),"ب) 3")</f>
        <v>ب) 3</v>
      </c>
      <c r="M59" s="6" t="str">
        <f>IFERROR(__xludf.DUMMYFUNCTION("GOOGLETRANSLATE(E59, ""en"", ""ur"")"),"ایک کھلاڑی کو عام طور پر قواعد کی خلاف ورزیوں پر تین فاؤل جمع کرنے کے بعد نااہل قرار دیا جاتا ہے۔")</f>
        <v>ایک کھلاڑی کو عام طور پر قواعد کی خلاف ورزیوں پر تین فاؤل جمع کرنے کے بعد نااہل قرار دیا جاتا ہے۔</v>
      </c>
    </row>
    <row r="60">
      <c r="A60" s="4">
        <v>59.0</v>
      </c>
      <c r="B60" s="5" t="s">
        <v>1425</v>
      </c>
      <c r="C60" s="5" t="s">
        <v>1426</v>
      </c>
      <c r="D60" s="5" t="s">
        <v>1316</v>
      </c>
      <c r="E60" s="5" t="s">
        <v>1427</v>
      </c>
      <c r="I60" s="6" t="str">
        <f>IFERROR(__xludf.DUMMYFUNCTION("GOOGLETRANSLATE(A60, ""en"", ""ur"")"),"59")</f>
        <v>59</v>
      </c>
      <c r="J60" s="6" t="str">
        <f>IFERROR(__xludf.DUMMYFUNCTION("GOOGLETRANSLATE(B60, ""en"", ""ur"")"),"گٹکا کے روایتی ہتھیاروں میں کون سا ہتھیار سب سے لمبا ہے؟")</f>
        <v>گٹکا کے روایتی ہتھیاروں میں کون سا ہتھیار سب سے لمبا ہے؟</v>
      </c>
      <c r="K60" s="6" t="str">
        <f>IFERROR(__xludf.DUMMYFUNCTION("GOOGLETRANSLATE(C60, ""en"", ""ur"")"),"A) کھنڈا، B) تلور، C) برچھا، D) کرپن")</f>
        <v>A) کھنڈا، B) تلور، C) برچھا، D) کرپن</v>
      </c>
      <c r="L60" s="6" t="str">
        <f>IFERROR(__xludf.DUMMYFUNCTION("GOOGLETRANSLATE(D60, ""en"", ""ur"")"),"ج) برچھا۔")</f>
        <v>ج) برچھا۔</v>
      </c>
      <c r="M60" s="6" t="str">
        <f>IFERROR(__xludf.DUMMYFUNCTION("GOOGLETRANSLATE(E60, ""en"", ""ur"")"),"برچھا (برچھا) سب سے لمبا ہتھیار ہے، جو لڑائی میں زور لگانے اور فاصلہ برقرار رکھنے کے لیے بنایا گیا ہے۔")</f>
        <v>برچھا (برچھا) سب سے لمبا ہتھیار ہے، جو لڑائی میں زور لگانے اور فاصلہ برقرار رکھنے کے لیے بنایا گیا ہے۔</v>
      </c>
    </row>
    <row r="61">
      <c r="A61" s="4">
        <v>60.0</v>
      </c>
      <c r="B61" s="5" t="s">
        <v>1428</v>
      </c>
      <c r="C61" s="5" t="s">
        <v>1429</v>
      </c>
      <c r="D61" s="5" t="s">
        <v>1430</v>
      </c>
      <c r="E61" s="5" t="s">
        <v>1431</v>
      </c>
      <c r="I61" s="6" t="str">
        <f>IFERROR(__xludf.DUMMYFUNCTION("GOOGLETRANSLATE(A61, ""en"", ""ur"")"),"60")</f>
        <v>60</v>
      </c>
      <c r="J61" s="6" t="str">
        <f>IFERROR(__xludf.DUMMYFUNCTION("GOOGLETRANSLATE(B61, ""en"", ""ur"")"),"وارم اپ ڈرل فریکھری بنیادی طور پر کس چیز پر فوکس کرتی ہے؟")</f>
        <v>وارم اپ ڈرل فریکھری بنیادی طور پر کس چیز پر فوکس کرتی ہے؟</v>
      </c>
      <c r="K61" s="6" t="str">
        <f>IFERROR(__xludf.DUMMYFUNCTION("GOOGLETRANSLATE(C61, ""en"", ""ur"")"),"A) سانس لینے پر کنٹرول، B) بازو کھینچنا، C) ہتھیاروں کی لچک، D) فٹ ورک کی تیاری اور چستی")</f>
        <v>A) سانس لینے پر کنٹرول، B) بازو کھینچنا، C) ہتھیاروں کی لچک، D) فٹ ورک کی تیاری اور چستی</v>
      </c>
      <c r="L61" s="6" t="str">
        <f>IFERROR(__xludf.DUMMYFUNCTION("GOOGLETRANSLATE(D61, ""en"", ""ur"")"),"D) فٹ ورک کی تیاری اور چستی")</f>
        <v>D) فٹ ورک کی تیاری اور چستی</v>
      </c>
      <c r="M61" s="6" t="str">
        <f>IFERROR(__xludf.DUMMYFUNCTION("GOOGLETRANSLATE(E61, ""en"", ""ur"")"),"پھریکھری متحرک قدموں اور ہاپنگ کے نمونوں پر مشتمل ہے جو لڑائی کے تقاضوں کے لیے لڑاکا فٹ ورک تیار کرتے ہیں۔")</f>
        <v>پھریکھری متحرک قدموں اور ہاپنگ کے نمونوں پر مشتمل ہے جو لڑائی کے تقاضوں کے لیے لڑاکا فٹ ورک تیار کرتے ہیں۔</v>
      </c>
    </row>
    <row r="62">
      <c r="A62" s="4">
        <v>61.0</v>
      </c>
      <c r="B62" s="5" t="s">
        <v>1432</v>
      </c>
      <c r="C62" s="5" t="s">
        <v>1433</v>
      </c>
      <c r="D62" s="5" t="s">
        <v>1434</v>
      </c>
      <c r="E62" s="5" t="s">
        <v>1435</v>
      </c>
      <c r="I62" s="6" t="str">
        <f>IFERROR(__xludf.DUMMYFUNCTION("GOOGLETRANSLATE(A62, ""en"", ""ur"")"),"61")</f>
        <v>61</v>
      </c>
      <c r="J62" s="6" t="str">
        <f>IFERROR(__xludf.DUMMYFUNCTION("GOOGLETRANSLATE(B62, ""en"", ""ur"")"),"مخالف کے ہیڈ گیئر کے لیے صاف، قانونی ہڑتال کی کیا اہمیت ہے؟")</f>
        <v>مخالف کے ہیڈ گیئر کے لیے صاف، قانونی ہڑتال کی کیا اہمیت ہے؟</v>
      </c>
      <c r="K62" s="6" t="str">
        <f>IFERROR(__xludf.DUMMYFUNCTION("GOOGLETRANSLATE(C62, ""en"", ""ur"")"),"A) 1 پوائنٹ، B) 2 پوائنٹس، C) 3 پوائنٹس، D) یہ ایک غیر قانونی اقدام ہے۔")</f>
        <v>A) 1 پوائنٹ، B) 2 پوائنٹس، C) 3 پوائنٹس، D) یہ ایک غیر قانونی اقدام ہے۔</v>
      </c>
      <c r="L62" s="6" t="str">
        <f>IFERROR(__xludf.DUMMYFUNCTION("GOOGLETRANSLATE(D62, ""en"", ""ur"")"),"ب) 2 پوائنٹس")</f>
        <v>ب) 2 پوائنٹس</v>
      </c>
      <c r="M62" s="6" t="str">
        <f>IFERROR(__xludf.DUMMYFUNCTION("GOOGLETRANSLATE(E62, ""en"", ""ur"")"),"اگرچہ چہرے جیسے خطرناک اہداف غیر قانونی ہیں، سرکاری ہیڈ گیئر پر کنٹرول شدہ ہڑتال 2 پوائنٹس کی ایک اعلی اسکورنگ تکنیک ہے۔")</f>
        <v>اگرچہ چہرے جیسے خطرناک اہداف غیر قانونی ہیں، سرکاری ہیڈ گیئر پر کنٹرول شدہ ہڑتال 2 پوائنٹس کی ایک اعلی اسکورنگ تکنیک ہے۔</v>
      </c>
    </row>
    <row r="63">
      <c r="A63" s="4">
        <v>62.0</v>
      </c>
      <c r="B63" s="5" t="s">
        <v>1436</v>
      </c>
      <c r="C63" s="5" t="s">
        <v>1437</v>
      </c>
      <c r="D63" s="5" t="s">
        <v>1438</v>
      </c>
      <c r="E63" s="5" t="s">
        <v>1439</v>
      </c>
      <c r="I63" s="6" t="str">
        <f>IFERROR(__xludf.DUMMYFUNCTION("GOOGLETRANSLATE(A63, ""en"", ""ur"")"),"62")</f>
        <v>62</v>
      </c>
      <c r="J63" s="6" t="str">
        <f>IFERROR(__xludf.DUMMYFUNCTION("GOOGLETRANSLATE(B63, ""en"", ""ur"")"),"ایک کھلاڑی کو ""لات مارنے"" کی سزا دی جاتی ہے۔ کیا یہ صحیح کال ہے؟")</f>
        <v>ایک کھلاڑی کو "لات مارنے" کی سزا دی جاتی ہے۔ کیا یہ صحیح کال ہے؟</v>
      </c>
      <c r="K63" s="6" t="str">
        <f>IFERROR(__xludf.DUMMYFUNCTION("GOOGLETRANSLATE(C63, ""en"", ""ur"")"),"A) نہیں، لات مارنے کی اجازت ہے، B) جی ہاں، گٹکا ہتھیاروں پر مبنی آرٹ ہے اور اس میں ککس استعمال نہیں ہوتی ہیں، C) کک کی اجازت ہے، لیکن پوائنٹ اسکور نہیں کرتے، D) صرف کم لاتوں کی اجازت ہے۔")</f>
        <v>A) نہیں، لات مارنے کی اجازت ہے، B) جی ہاں، گٹکا ہتھیاروں پر مبنی آرٹ ہے اور اس میں ککس استعمال نہیں ہوتی ہیں، C) کک کی اجازت ہے، لیکن پوائنٹ اسکور نہیں کرتے، D) صرف کم لاتوں کی اجازت ہے۔</v>
      </c>
      <c r="L63" s="6" t="str">
        <f>IFERROR(__xludf.DUMMYFUNCTION("GOOGLETRANSLATE(D63, ""en"", ""ur"")"),"ب) جی ہاں، گٹکا ہتھیاروں پر مبنی فن ہے اور اس میں لاتیں استعمال نہیں ہوتی ہیں۔")</f>
        <v>ب) جی ہاں، گٹکا ہتھیاروں پر مبنی فن ہے اور اس میں لاتیں استعمال نہیں ہوتی ہیں۔</v>
      </c>
      <c r="M63" s="6" t="str">
        <f>IFERROR(__xludf.DUMMYFUNCTION("GOOGLETRANSLATE(E63, ""en"", ""ur"")"),"گٹکا لاٹھی اور تلوار کی لڑائی کی ایک شکل ہے۔ حریف کو مارنے کے لیے ہاتھ یا پاؤں کا استعمال کرنا فضول ہے۔")</f>
        <v>گٹکا لاٹھی اور تلوار کی لڑائی کی ایک شکل ہے۔ حریف کو مارنے کے لیے ہاتھ یا پاؤں کا استعمال کرنا فضول ہے۔</v>
      </c>
    </row>
    <row r="64">
      <c r="A64" s="4">
        <v>63.0</v>
      </c>
      <c r="B64" s="5" t="s">
        <v>1440</v>
      </c>
      <c r="C64" s="5" t="s">
        <v>1441</v>
      </c>
      <c r="D64" s="5" t="s">
        <v>1442</v>
      </c>
      <c r="E64" s="5" t="s">
        <v>1443</v>
      </c>
      <c r="I64" s="6" t="str">
        <f>IFERROR(__xludf.DUMMYFUNCTION("GOOGLETRANSLATE(A64, ""en"", ""ur"")"),"63")</f>
        <v>63</v>
      </c>
      <c r="J64" s="6" t="str">
        <f>IFERROR(__xludf.DUMMYFUNCTION("GOOGLETRANSLATE(B64, ""en"", ""ur"")"),"راؤنڈ شروع کرنے کے لیے ریفری کے ہاتھ کا اشارہ کیا ہے؟")</f>
        <v>راؤنڈ شروع کرنے کے لیے ریفری کے ہاتھ کا اشارہ کیا ہے؟</v>
      </c>
      <c r="K64" s="6" t="str">
        <f>IFERROR(__xludf.DUMMYFUNCTION("GOOGLETRANSLATE(C64, ""en"", ""ur"")"),"A) نیچے کی طرف کاٹنے کی حرکت، B) دونوں کھلاڑیوں کی طرف اشارہ کرنا، C) سیٹی بجانے کے ساتھ آگے کے سگنل کے ساتھ مل کر، D) تالیاں بجاتے ہوئے ہاتھ")</f>
        <v>A) نیچے کی طرف کاٹنے کی حرکت، B) دونوں کھلاڑیوں کی طرف اشارہ کرنا، C) سیٹی بجانے کے ساتھ آگے کے سگنل کے ساتھ مل کر، D) تالیاں بجاتے ہوئے ہاتھ</v>
      </c>
      <c r="L64" s="6" t="str">
        <f>IFERROR(__xludf.DUMMYFUNCTION("GOOGLETRANSLATE(D64, ""en"", ""ur"")"),"C) ایک سیٹی کا دھچکا جو فارورڈ سگنل کے ساتھ مل کر")</f>
        <v>C) ایک سیٹی کا دھچکا جو فارورڈ سگنل کے ساتھ مل کر</v>
      </c>
      <c r="M64" s="6" t="str">
        <f>IFERROR(__xludf.DUMMYFUNCTION("GOOGLETRANSLATE(E64, ""en"", ""ur"")"),"ریفری اپنی سیٹی کو قابل سماعت حکموں کے لیے استعمال کرتا ہے اور ایکشن کے آغاز کا اشارہ دینے کے لیے ہاتھ کے واضح اشارے کا استعمال کرتا ہے۔")</f>
        <v>ریفری اپنی سیٹی کو قابل سماعت حکموں کے لیے استعمال کرتا ہے اور ایکشن کے آغاز کا اشارہ دینے کے لیے ہاتھ کے واضح اشارے کا استعمال کرتا ہے۔</v>
      </c>
    </row>
    <row r="65">
      <c r="A65" s="4">
        <v>64.0</v>
      </c>
      <c r="B65" s="5" t="s">
        <v>1444</v>
      </c>
      <c r="C65" s="5" t="s">
        <v>1445</v>
      </c>
      <c r="D65" s="5" t="s">
        <v>1446</v>
      </c>
      <c r="E65" s="5" t="s">
        <v>1447</v>
      </c>
      <c r="I65" s="6" t="str">
        <f>IFERROR(__xludf.DUMMYFUNCTION("GOOGLETRANSLATE(A65, ""en"", ""ur"")"),"64")</f>
        <v>64</v>
      </c>
      <c r="J65" s="6" t="str">
        <f>IFERROR(__xludf.DUMMYFUNCTION("GOOGLETRANSLATE(B65, ""en"", ""ur"")"),"ایک کھلاڑی میچ جیتتا ہے کیونکہ اس کے مخالف کو نااہل قرار دیا گیا ہے۔ اس فتح کو کیا کہتے ہیں؟")</f>
        <v>ایک کھلاڑی میچ جیتتا ہے کیونکہ اس کے مخالف کو نااہل قرار دیا گیا ہے۔ اس فتح کو کیا کہتے ہیں؟</v>
      </c>
      <c r="K65" s="6" t="str">
        <f>IFERROR(__xludf.DUMMYFUNCTION("GOOGLETRANSLATE(C65, ""en"", ""ur"")"),"A) TKO کی جیت، B) ہار کر جیت، C) نااہلی کی جیت، D) تکنیکی جیت")</f>
        <v>A) TKO کی جیت، B) ہار کر جیت، C) نااہلی کی جیت، D) تکنیکی جیت</v>
      </c>
      <c r="L65" s="6" t="str">
        <f>IFERROR(__xludf.DUMMYFUNCTION("GOOGLETRANSLATE(D65, ""en"", ""ur"")"),"C) نااہلی سے جیت")</f>
        <v>C) نااہلی سے جیت</v>
      </c>
      <c r="M65" s="6" t="str">
        <f>IFERROR(__xludf.DUMMYFUNCTION("GOOGLETRANSLATE(E65, ""en"", ""ur"")"),"اگر کسی کھلاڑی کو قواعد کی خلاف ورزی پر میچ سے ہٹا دیا جاتا ہے تو مخالف کو نااہل قرار دے کر فاتح قرار دیا جاتا ہے۔")</f>
        <v>اگر کسی کھلاڑی کو قواعد کی خلاف ورزی پر میچ سے ہٹا دیا جاتا ہے تو مخالف کو نااہل قرار دے کر فاتح قرار دیا جاتا ہے۔</v>
      </c>
    </row>
    <row r="66">
      <c r="A66" s="4">
        <v>65.0</v>
      </c>
      <c r="B66" s="5" t="s">
        <v>1448</v>
      </c>
      <c r="C66" s="5" t="s">
        <v>1449</v>
      </c>
      <c r="D66" s="5" t="s">
        <v>1450</v>
      </c>
      <c r="E66" s="5" t="s">
        <v>1451</v>
      </c>
      <c r="I66" s="6" t="str">
        <f>IFERROR(__xludf.DUMMYFUNCTION("GOOGLETRANSLATE(A66, ""en"", ""ur"")"),"65")</f>
        <v>65</v>
      </c>
      <c r="J66" s="6" t="str">
        <f>IFERROR(__xludf.DUMMYFUNCTION("GOOGLETRANSLATE(B66, ""en"", ""ur"")"),"ٹیم ایونٹ میں، جیتنے والی ٹیم کا تعین کرنے کے لیے عام طور پر پوائنٹس کا حساب کیسے لگایا جاتا ہے؟")</f>
        <v>ٹیم ایونٹ میں، جیتنے والی ٹیم کا تعین کرنے کے لیے عام طور پر پوائنٹس کا حساب کیسے لگایا جاتا ہے؟</v>
      </c>
      <c r="K66" s="6" t="str">
        <f>IFERROR(__xludf.DUMMYFUNCTION("GOOGLETRANSLATE(C66, ""en"", ""ur"")"),"A)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f>
        <v>A) تمام انفرادی میچوں کے اسکور ایک ساتھ جوڑے جاتے ہیں، B) سب سے زیادہ انفرادی میچ جیتنے والی ٹیم جیت جاتی ہے، C) ایک ٹیم کا سکور رکھا جاتا ہے، D) ٹیم کے کپتان کا سکور دگنا ہوتا ہے۔</v>
      </c>
      <c r="L66" s="6" t="str">
        <f>IFERROR(__xludf.DUMMYFUNCTION("GOOGLETRANSLATE(D66, ""en"", ""ur"")"),"ب) سب سے زیادہ انفرادی میچ جیتنے والی ٹیم جیت جاتی ہے۔")</f>
        <v>ب) سب سے زیادہ انفرادی میچ جیتنے والی ٹیم جیت جاتی ہے۔</v>
      </c>
      <c r="M66" s="6" t="str">
        <f>IFERROR(__xludf.DUMMYFUNCTION("GOOGLETRANSLATE(E66, ""en"", ""ur"")"),"ایک ٹیم ایونٹ ون آن ون باؤٹس کا ایک سلسلہ ہے۔ انفرادی فتوحات کی اکثریت حاصل کرنے والی ٹیم مجموعی میچ جیت جاتی ہے۔")</f>
        <v>ایک ٹیم ایونٹ ون آن ون باؤٹس کا ایک سلسلہ ہے۔ انفرادی فتوحات کی اکثریت حاصل کرنے والی ٹیم مجموعی میچ جیت جاتی ہے۔</v>
      </c>
    </row>
    <row r="67">
      <c r="A67" s="4">
        <v>66.0</v>
      </c>
      <c r="B67" s="5" t="s">
        <v>1452</v>
      </c>
      <c r="C67" s="5" t="s">
        <v>1453</v>
      </c>
      <c r="D67" s="5" t="s">
        <v>1454</v>
      </c>
      <c r="E67" s="5" t="s">
        <v>1455</v>
      </c>
      <c r="I67" s="6" t="str">
        <f>IFERROR(__xludf.DUMMYFUNCTION("GOOGLETRANSLATE(A67, ""en"", ""ur"")"),"66")</f>
        <v>66</v>
      </c>
      <c r="J67" s="6" t="str">
        <f>IFERROR(__xludf.DUMMYFUNCTION("GOOGLETRANSLATE(B67, ""en"", ""ur"")"),"گٹکا کی کچھ تربیتی چھڑیوں پر چمڑے کی ٹوکری کا کیا مقصد ہے؟")</f>
        <v>گٹکا کی کچھ تربیتی چھڑیوں پر چمڑے کی ٹوکری کا کیا مقصد ہے؟</v>
      </c>
      <c r="K67" s="6" t="str">
        <f>IFERROR(__xludf.DUMMYFUNCTION("GOOGLETRANSLATE(C67, ""en"", ""ur"")"),"A) یہ سجاوٹ کے لیے ہے، B) کھلاڑی کے ہاتھ کو ضربوں سے بچانے کے لیے، C) چھڑی میں وزن ڈالنے کے لیے، D) گرفت کو بہتر بنانے کے لیے")</f>
        <v>A) یہ سجاوٹ کے لیے ہے، B) کھلاڑی کے ہاتھ کو ضربوں سے بچانے کے لیے، C) چھڑی میں وزن ڈالنے کے لیے، D) گرفت کو بہتر بنانے کے لیے</v>
      </c>
      <c r="L67" s="6" t="str">
        <f>IFERROR(__xludf.DUMMYFUNCTION("GOOGLETRANSLATE(D67, ""en"", ""ur"")"),"ب) کھلاڑی کے ہاتھ کو حملوں سے بچانے کے لیے")</f>
        <v>ب) کھلاڑی کے ہاتھ کو حملوں سے بچانے کے لیے</v>
      </c>
      <c r="M67" s="6" t="str">
        <f>IFERROR(__xludf.DUMMYFUNCTION("GOOGLETRANSLATE(E67, ""en"", ""ur"")"),"باسکٹ ہلٹ حفاظتی سامان کا ایک اہم ٹکڑا ہے جو ہاتھ اور گھٹنوں کو براہ راست مار سے بچاتا ہے۔")</f>
        <v>باسکٹ ہلٹ حفاظتی سامان کا ایک اہم ٹکڑا ہے جو ہاتھ اور گھٹنوں کو براہ راست مار سے بچاتا ہے۔</v>
      </c>
    </row>
    <row r="68">
      <c r="A68" s="4">
        <v>67.0</v>
      </c>
      <c r="B68" s="5" t="s">
        <v>1456</v>
      </c>
      <c r="C68" s="5" t="s">
        <v>1457</v>
      </c>
      <c r="D68" s="5" t="s">
        <v>1053</v>
      </c>
      <c r="E68" s="5" t="s">
        <v>1458</v>
      </c>
      <c r="I68" s="6" t="str">
        <f>IFERROR(__xludf.DUMMYFUNCTION("GOOGLETRANSLATE(A68, ""en"", ""ur"")"),"67")</f>
        <v>67</v>
      </c>
      <c r="J68" s="6" t="str">
        <f>IFERROR(__xludf.DUMMYFUNCTION("GOOGLETRANSLATE(B68, ""en"", ""ur"")"),"ایک کھلاڑی گھومنے والا حملہ (گھمن) کر رہا ہے۔ اس اقدام کے دوران ان کی بنیادی دفاعی کمزوری کیا ہے؟")</f>
        <v>ایک کھلاڑی گھومنے والا حملہ (گھمن) کر رہا ہے۔ اس اقدام کے دوران ان کی بنیادی دفاعی کمزوری کیا ہے؟</v>
      </c>
      <c r="K68" s="6" t="str">
        <f>IFERROR(__xludf.DUMMYFUNCTION("GOOGLETRANSLATE(C68, ""en"", ""ur"")"),"A) ان کی ٹانگیں کھلی ہوئی ہیں، B) وہ چکرا سکتے ہیں اور توازن کھو سکتے ہیں، C) ان کی پیٹھ مختصر طور پر مخالف کی طرف ہے، D) B اور C دونوں")</f>
        <v>A) ان کی ٹانگیں کھلی ہوئی ہیں، B) وہ چکرا سکتے ہیں اور توازن کھو سکتے ہیں، C) ان کی پیٹھ مختصر طور پر مخالف کی طرف ہے، D) B اور C دونوں</v>
      </c>
      <c r="L68" s="6" t="str">
        <f>IFERROR(__xludf.DUMMYFUNCTION("GOOGLETRANSLATE(D68, ""en"", ""ur"")"),"D) B اور C دونوں")</f>
        <v>D) B اور C دونوں</v>
      </c>
      <c r="M68" s="6" t="str">
        <f>IFERROR(__xludf.DUMMYFUNCTION("GOOGLETRANSLATE(E68, ""en"", ""ur"")"),"گھومنے والے حملے طاقتور لیکن پرخطر ہوتے ہیں، کیوں کہ وہ بدگمانی کا باعث بن سکتے ہیں اور ایک لمحاتی دفاعی آغاز پیدا کر سکتے ہیں۔")</f>
        <v>گھومنے والے حملے طاقتور لیکن پرخطر ہوتے ہیں، کیوں کہ وہ بدگمانی کا باعث بن سکتے ہیں اور ایک لمحاتی دفاعی آغاز پیدا کر سکتے ہیں۔</v>
      </c>
    </row>
    <row r="69">
      <c r="A69" s="4">
        <v>68.0</v>
      </c>
      <c r="B69" s="5" t="s">
        <v>1459</v>
      </c>
      <c r="C69" s="5" t="s">
        <v>1460</v>
      </c>
      <c r="D69" s="5" t="s">
        <v>1461</v>
      </c>
      <c r="E69" s="5" t="s">
        <v>1462</v>
      </c>
      <c r="I69" s="6" t="str">
        <f>IFERROR(__xludf.DUMMYFUNCTION("GOOGLETRANSLATE(A69, ""en"", ""ur"")"),"68")</f>
        <v>68</v>
      </c>
      <c r="J69" s="6" t="str">
        <f>IFERROR(__xludf.DUMMYFUNCTION("GOOGLETRANSLATE(B69, ""en"", ""ur"")"),"گٹکا میں سب سے بنیادی دفاعی بلاک کا نام کیا ہے؟")</f>
        <v>گٹکا میں سب سے بنیادی دفاعی بلاک کا نام کیا ہے؟</v>
      </c>
      <c r="K69" s="6" t="str">
        <f>IFERROR(__xludf.DUMMYFUNCTION("GOOGLETRANSLATE(C69, ""en"", ""ur"")"),"A) روک، B) ڈھل، C) ور، D) ہملہ")</f>
        <v>A) روک، B) ڈھل، C) ور، D) ہملہ</v>
      </c>
      <c r="L69" s="6" t="str">
        <f>IFERROR(__xludf.DUMMYFUNCTION("GOOGLETRANSLATE(D69, ""en"", ""ur"")"),"A) روک")</f>
        <v>A) روک</v>
      </c>
      <c r="M69" s="6" t="str">
        <f>IFERROR(__xludf.DUMMYFUNCTION("GOOGLETRANSLATE(E69, ""en"", ""ur"")"),"روک ایک آنے والی ہڑتال کو اپنے ہتھیار سے روکنے کی بنیادی تکنیک ہے۔")</f>
        <v>روک ایک آنے والی ہڑتال کو اپنے ہتھیار سے روکنے کی بنیادی تکنیک ہے۔</v>
      </c>
    </row>
    <row r="70">
      <c r="A70" s="4">
        <v>69.0</v>
      </c>
      <c r="B70" s="5" t="s">
        <v>1463</v>
      </c>
      <c r="C70" s="5" t="s">
        <v>1464</v>
      </c>
      <c r="D70" s="5" t="s">
        <v>1465</v>
      </c>
      <c r="E70" s="5" t="s">
        <v>1466</v>
      </c>
      <c r="I70" s="6" t="str">
        <f>IFERROR(__xludf.DUMMYFUNCTION("GOOGLETRANSLATE(A70, ""en"", ""ur"")"),"69")</f>
        <v>69</v>
      </c>
      <c r="J70" s="6" t="str">
        <f>IFERROR(__xludf.DUMMYFUNCTION("GOOGLETRANSLATE(B70, ""en"", ""ur"")"),"ایک میچ میں دونوں حریفوں کے لیے حفاظتی پوشاک کا کون سا ٹکڑا لازمی ہے؟")</f>
        <v>ایک میچ میں دونوں حریفوں کے لیے حفاظتی پوشاک کا کون سا ٹکڑا لازمی ہے؟</v>
      </c>
      <c r="K70" s="6" t="str">
        <f>IFERROR(__xludf.DUMMYFUNCTION("GOOGLETRANSLATE(C70, ""en"", ""ur"")"),"A) گروئن گارڈ، B) ماؤتھ گارڈ، C) پیڈڈ ہیڈ گیئر، D) شن گارڈز")</f>
        <v>A) گروئن گارڈ، B) ماؤتھ گارڈ، C) پیڈڈ ہیڈ گیئر، D) شن گارڈز</v>
      </c>
      <c r="L70" s="6" t="str">
        <f>IFERROR(__xludf.DUMMYFUNCTION("GOOGLETRANSLATE(D70, ""en"", ""ur"")"),"ج) بولڈ ہیڈ گیئر")</f>
        <v>ج) بولڈ ہیڈ گیئر</v>
      </c>
      <c r="M70" s="6" t="str">
        <f>IFERROR(__xludf.DUMMYFUNCTION("GOOGLETRANSLATE(E70, ""en"", ""ur"")"),"سر کی حفاظت حفاظتی سازوسامان کا سب سے اہم ٹکڑا ہے اور ہنگامہ خیز میچ میں تمام شرکاء کے لیے ضروری ہے۔")</f>
        <v>سر کی حفاظت حفاظتی سازوسامان کا سب سے اہم ٹکڑا ہے اور ہنگامہ خیز میچ میں تمام شرکاء کے لیے ضروری ہے۔</v>
      </c>
    </row>
    <row r="71">
      <c r="A71" s="4">
        <v>70.0</v>
      </c>
      <c r="B71" s="5" t="s">
        <v>1467</v>
      </c>
      <c r="C71" s="5" t="s">
        <v>1468</v>
      </c>
      <c r="D71" s="5" t="s">
        <v>1469</v>
      </c>
      <c r="E71" s="5" t="s">
        <v>1470</v>
      </c>
      <c r="I71" s="6" t="str">
        <f>IFERROR(__xludf.DUMMYFUNCTION("GOOGLETRANSLATE(A71, ""en"", ""ur"")"),"70")</f>
        <v>70</v>
      </c>
      <c r="J71" s="6" t="str">
        <f>IFERROR(__xludf.DUMMYFUNCTION("GOOGLETRANSLATE(B71, ""en"", ""ur"")"),"جنگلی جھولے کے دوران ایک کھلاڑی غلطی سے اپنی چھڑی سے ریفری کو مارتا ہے۔ ممکنہ نتیجہ کیا ہے؟")</f>
        <v>جنگلی جھولے کے دوران ایک کھلاڑی غلطی سے اپنی چھڑی سے ریفری کو مارتا ہے۔ ممکنہ نتیجہ کیا ہے؟</v>
      </c>
      <c r="K71" s="6" t="str">
        <f>IFERROR(__xludf.DUMMYFUNCTION("GOOGLETRANSLATE(C71, ""en"", ""ur"")"),"A) کھلاڑی کو فوری طور پر نااہل قرار دیا جاتا ہے، B) ریفری کنٹرول نہ ہونے پر وارننگ جاری کرتا ہے، C) میچ ایسے جاری رہتا ہے جیسے کچھ ہوا ہی نہ ہو، D) مخالف کو ایک پوائنٹ ملتا ہے۔")</f>
        <v>A) کھلاڑی کو فوری طور پر نااہل قرار دیا جاتا ہے، B) ریفری کنٹرول نہ ہونے پر وارننگ جاری کرتا ہے، C) میچ ایسے جاری رہتا ہے جیسے کچھ ہوا ہی نہ ہو، D) مخالف کو ایک پوائنٹ ملتا ہے۔</v>
      </c>
      <c r="L71" s="6" t="str">
        <f>IFERROR(__xludf.DUMMYFUNCTION("GOOGLETRANSLATE(D71, ""en"", ""ur"")"),"ب) ریفری کنٹرول کی کمی کے لئے ایک انتباہ جاری کرتا ہے۔")</f>
        <v>ب) ریفری کنٹرول کی کمی کے لئے ایک انتباہ جاری کرتا ہے۔</v>
      </c>
      <c r="M71" s="6" t="str">
        <f>IFERROR(__xludf.DUMMYFUNCTION("GOOGLETRANSLATE(E71, ""en"", ""ur"")"),"حادثاتی طور پر، ایک کھلاڑی ہر وقت اپنے ہتھیار کے لیے ذمہ دار ہوتا ہے۔ ریفری میچ کو روک دے گا اور خطرناک کھیل کے لیے وارننگ جاری کرے گا۔")</f>
        <v>حادثاتی طور پر، ایک کھلاڑی ہر وقت اپنے ہتھیار کے لیے ذمہ دار ہوتا ہے۔ ریفری میچ کو روک دے گا اور خطرناک کھیل کے لیے وارننگ جاری کرے گا۔</v>
      </c>
    </row>
    <row r="72">
      <c r="A72" s="4">
        <v>71.0</v>
      </c>
      <c r="B72" s="5" t="s">
        <v>1471</v>
      </c>
      <c r="C72" s="5" t="s">
        <v>1472</v>
      </c>
      <c r="D72" s="5" t="s">
        <v>1473</v>
      </c>
      <c r="E72" s="5" t="s">
        <v>1474</v>
      </c>
      <c r="I72" s="6" t="str">
        <f>IFERROR(__xludf.DUMMYFUNCTION("GOOGLETRANSLATE(A72, ""en"", ""ur"")"),"71")</f>
        <v>71</v>
      </c>
      <c r="J72" s="6" t="str">
        <f>IFERROR(__xludf.DUMMYFUNCTION("GOOGLETRANSLATE(B72, ""en"", ""ur"")"),"تلور اور کھنڈا میں بنیادی فرق کیا ہے؟")</f>
        <v>تلور اور کھنڈا میں بنیادی فرق کیا ہے؟</v>
      </c>
      <c r="K72" s="6" t="str">
        <f>IFERROR(__xludf.DUMMYFUNCTION("GOOGLETRANSLATE(C72, ""en"", ""ur"")"),"A) تلوار خمیدہ ہے، جبکہ کھنڈا سیدھا ہے، B) تلوار کند ہے، کھنڈا تیز ہے، C) تلوار لاٹھی ہے، کھنڈا تلوار ہے، D) کوئی فرق نہیں ہے۔")</f>
        <v>A) تلوار خمیدہ ہے، جبکہ کھنڈا سیدھا ہے، B) تلوار کند ہے، کھنڈا تیز ہے، C) تلوار لاٹھی ہے، کھنڈا تلوار ہے، D) کوئی فرق نہیں ہے۔</v>
      </c>
      <c r="L72" s="6" t="str">
        <f>IFERROR(__xludf.DUMMYFUNCTION("GOOGLETRANSLATE(D72, ""en"", ""ur"")"),"ا) تلوار خمیدہ ہے، جبکہ کھنڈا سیدھا ہے۔")</f>
        <v>ا) تلوار خمیدہ ہے، جبکہ کھنڈا سیدھا ہے۔</v>
      </c>
      <c r="M72" s="6" t="str">
        <f>IFERROR(__xludf.DUMMYFUNCTION("GOOGLETRANSLATE(E72, ""en"", ""ur"")"),"تلوار ایک کلاسک مڑے ہوئے صابری ہے، جبکہ کھنڈہ ایک سیدھی، چوڑی، دو دھاری تلوار ہے۔")</f>
        <v>تلوار ایک کلاسک مڑے ہوئے صابری ہے، جبکہ کھنڈہ ایک سیدھی، چوڑی، دو دھاری تلوار ہے۔</v>
      </c>
    </row>
    <row r="73">
      <c r="A73" s="4">
        <v>72.0</v>
      </c>
      <c r="B73" s="5" t="s">
        <v>1475</v>
      </c>
      <c r="C73" s="5" t="s">
        <v>1476</v>
      </c>
      <c r="D73" s="5" t="s">
        <v>1477</v>
      </c>
      <c r="E73" s="5" t="s">
        <v>1478</v>
      </c>
      <c r="I73" s="6" t="str">
        <f>IFERROR(__xludf.DUMMYFUNCTION("GOOGLETRANSLATE(A73, ""en"", ""ur"")"),"72")</f>
        <v>72</v>
      </c>
      <c r="J73" s="6" t="str">
        <f>IFERROR(__xludf.DUMMYFUNCTION("GOOGLETRANSLATE(B73, ""en"", ""ur"")"),"ایک کھلاڑی کا دعویٰ ہے کہ وہ ریفری کی سیٹی کے بعد مارا گیا۔ احتجاج کا طریقہ کار کیا ہے؟")</f>
        <v>ایک کھلاڑی کا دعویٰ ہے کہ وہ ریفری کی سیٹی کے بعد مارا گیا۔ احتجاج کا طریقہ کار کیا ہے؟</v>
      </c>
      <c r="K73" s="6" t="str">
        <f>IFERROR(__xludf.DUMMYFUNCTION("GOOGLETRANSLATE(C73, ""en"", ""ur"")"),"A) کھلاڑی کھیل کو روک سکتا ہے اور بحث کر سکتا ہے، B) ٹیم کے کوچ کو ہیڈ جج کے پاس باضابطہ احتجاج درج کرنا ہوگا، C) ہجوم اس پر ووٹ دے سکتا ہے، D) فیصلے پر احتجاج نہیں کیا جا سکتا۔")</f>
        <v>A) کھلاڑی کھیل کو روک سکتا ہے اور بحث کر سکتا ہے، B) ٹیم کے کوچ کو ہیڈ جج کے پاس باضابطہ احتجاج درج کرنا ہوگا، C) ہجوم اس پر ووٹ دے سکتا ہے، D) فیصلے پر احتجاج نہیں کیا جا سکتا۔</v>
      </c>
      <c r="L73" s="6" t="str">
        <f>IFERROR(__xludf.DUMMYFUNCTION("GOOGLETRANSLATE(D73, ""en"", ""ur"")"),"ب) ٹیم کے کوچ کو ہیڈ جج کے ساتھ باضابطہ احتجاج درج کرنا ہوگا۔")</f>
        <v>ب) ٹیم کے کوچ کو ہیڈ جج کے ساتھ باضابطہ احتجاج درج کرنا ہوگا۔</v>
      </c>
      <c r="M73" s="6" t="str">
        <f>IFERROR(__xludf.DUMMYFUNCTION("GOOGLETRANSLATE(E73, ""en"", ""ur"")"),"تمام تنازعات کو سرکاری احتجاج کے طریقہ کار کے ذریعے ہینڈل کیا جانا چاہیے، جس کا انتظام کوچ اور ٹورنامنٹ حکام کرتے ہیں۔")</f>
        <v>تمام تنازعات کو سرکاری احتجاج کے طریقہ کار کے ذریعے ہینڈل کیا جانا چاہیے، جس کا انتظام کوچ اور ٹورنامنٹ حکام کرتے ہیں۔</v>
      </c>
    </row>
    <row r="74">
      <c r="A74" s="4">
        <v>73.0</v>
      </c>
      <c r="B74" s="5" t="s">
        <v>1479</v>
      </c>
      <c r="C74" s="5" t="s">
        <v>1480</v>
      </c>
      <c r="D74" s="5" t="s">
        <v>1481</v>
      </c>
      <c r="E74" s="5" t="s">
        <v>1482</v>
      </c>
      <c r="I74" s="6" t="str">
        <f>IFERROR(__xludf.DUMMYFUNCTION("GOOGLETRANSLATE(A74, ""en"", ""ur"")"),"73")</f>
        <v>73</v>
      </c>
      <c r="J74" s="6" t="str">
        <f>IFERROR(__xludf.DUMMYFUNCTION("GOOGLETRANSLATE(B74, ""en"", ""ur"")"),"""بیر آسن"" (جنگی موقف) کا اصل مقصد کیا ہے؟")</f>
        <v>"بیر آسن" (جنگی موقف) کا اصل مقصد کیا ہے؟</v>
      </c>
      <c r="K74" s="6" t="str">
        <f>IFERROR(__xludf.DUMMYFUNCTION("GOOGLETRANSLATE(C74, ""en"", ""ur"")"),"A) خوف زدہ نظر آنا، B) استحکام اور طاقت کے لیے کشش ثقل کا کم مرکز فراہم کرنا، C) آرام کرنے کی پوزیشن، D) زیادہ سے زیادہ رفتار کی اجازت دینا")</f>
        <v>A) خوف زدہ نظر آنا، B) استحکام اور طاقت کے لیے کشش ثقل کا کم مرکز فراہم کرنا، C) آرام کرنے کی پوزیشن، D) زیادہ سے زیادہ رفتار کی اجازت دینا</v>
      </c>
      <c r="L74" s="6" t="str">
        <f>IFERROR(__xludf.DUMMYFUNCTION("GOOGLETRANSLATE(D74, ""en"", ""ur"")"),"ب) استحکام اور طاقت کے لیے کشش ثقل کا کم مرکز فراہم کرنا")</f>
        <v>ب) استحکام اور طاقت کے لیے کشش ثقل کا کم مرکز فراہم کرنا</v>
      </c>
      <c r="M74" s="6" t="str">
        <f>IFERROR(__xludf.DUMMYFUNCTION("GOOGLETRANSLATE(E74, ""en"", ""ur"")"),"یہ زمینی موقف حملوں میں طاقت پیدا کرنے اور مخالف کے حملوں کے خلاف مستحکم رہنے کی بنیاد ہے۔")</f>
        <v>یہ زمینی موقف حملوں میں طاقت پیدا کرنے اور مخالف کے حملوں کے خلاف مستحکم رہنے کی بنیاد ہے۔</v>
      </c>
    </row>
    <row r="75">
      <c r="A75" s="4">
        <v>74.0</v>
      </c>
      <c r="B75" s="5" t="s">
        <v>1483</v>
      </c>
      <c r="C75" s="5" t="s">
        <v>1484</v>
      </c>
      <c r="D75" s="5" t="s">
        <v>1485</v>
      </c>
      <c r="E75" s="5" t="s">
        <v>1486</v>
      </c>
      <c r="I75" s="6" t="str">
        <f>IFERROR(__xludf.DUMMYFUNCTION("GOOGLETRANSLATE(A75, ""en"", ""ur"")"),"74")</f>
        <v>74</v>
      </c>
      <c r="J75" s="6" t="str">
        <f>IFERROR(__xludf.DUMMYFUNCTION("GOOGLETRANSLATE(B75, ""en"", ""ur"")"),"گٹکا میں، یودھ کی اصطلاح کیا مراد ہے؟")</f>
        <v>گٹکا میں، یودھ کی اصطلاح کیا مراد ہے؟</v>
      </c>
      <c r="K75" s="6" t="str">
        <f>IFERROR(__xludf.DUMMYFUNCTION("GOOGLETRANSLATE(C75, ""en"", ""ur"")"),"A) ایک ہتھیار، B) ایک تربیتی مشق، C) جنگ اور لڑائی کا فن یا سائنس، D) ایک دفاعی موقف")</f>
        <v>A) ایک ہتھیار، B) ایک تربیتی مشق، C) جنگ اور لڑائی کا فن یا سائنس، D) ایک دفاعی موقف</v>
      </c>
      <c r="L75" s="6" t="str">
        <f>IFERROR(__xludf.DUMMYFUNCTION("GOOGLETRANSLATE(D75, ""en"", ""ur"")"),"ج) جنگ اور جنگ کا فن یا سائنس")</f>
        <v>ج) جنگ اور جنگ کا فن یا سائنس</v>
      </c>
      <c r="M75" s="6" t="str">
        <f>IFERROR(__xludf.DUMMYFUNCTION("GOOGLETRANSLATE(E75, ""en"", ""ur"")"),"یودھ جنگ ​​کے لیے ایک وسیع تر اصطلاح ہے، جس سے گٹکا کی مخصوص تکنیک اور فلسفہ اخذ کیا گیا ہے۔")</f>
        <v>یودھ جنگ ​​کے لیے ایک وسیع تر اصطلاح ہے، جس سے گٹکا کی مخصوص تکنیک اور فلسفہ اخذ کیا گیا ہے۔</v>
      </c>
    </row>
    <row r="76">
      <c r="A76" s="4">
        <v>75.0</v>
      </c>
      <c r="B76" s="5" t="s">
        <v>1487</v>
      </c>
      <c r="C76" s="5" t="s">
        <v>1488</v>
      </c>
      <c r="D76" s="5" t="s">
        <v>1489</v>
      </c>
      <c r="E76" s="5" t="s">
        <v>1490</v>
      </c>
      <c r="I76" s="6" t="str">
        <f>IFERROR(__xludf.DUMMYFUNCTION("GOOGLETRANSLATE(A76, ""en"", ""ur"")"),"75")</f>
        <v>75</v>
      </c>
      <c r="J76" s="6" t="str">
        <f>IFERROR(__xludf.DUMMYFUNCTION("GOOGLETRANSLATE(B76, ""en"", ""ur"")"),"مخالف کی ڈھال پکڑنا کیوں فضول ہے؟")</f>
        <v>مخالف کی ڈھال پکڑنا کیوں فضول ہے؟</v>
      </c>
      <c r="K76" s="6" t="str">
        <f>IFERROR(__xludf.DUMMYFUNCTION("GOOGLETRANSLATE(C76, ""en"", ""ur"")"),"A) یہ فاؤل نہیں ہے، B) یہ مخالف کو اپنا دفاع صحیح طریقے سے کرنے سے روکتا ہے، C) یہ شیلڈ کو نقصان پہنچا سکتا ہے، D) اسے کمزور کھیل سمجھا جاتا ہے۔")</f>
        <v>A) یہ فاؤل نہیں ہے، B) یہ مخالف کو اپنا دفاع صحیح طریقے سے کرنے سے روکتا ہے، C) یہ شیلڈ کو نقصان پہنچا سکتا ہے، D) اسے کمزور کھیل سمجھا جاتا ہے۔</v>
      </c>
      <c r="L76" s="6" t="str">
        <f>IFERROR(__xludf.DUMMYFUNCTION("GOOGLETRANSLATE(D76, ""en"", ""ur"")"),"ب) یہ مخالف کو اپنا دفاع صحیح طریقے سے کرنے سے روکتا ہے۔")</f>
        <v>ب) یہ مخالف کو اپنا دفاع صحیح طریقے سے کرنے سے روکتا ہے۔</v>
      </c>
      <c r="M76" s="6" t="str">
        <f>IFERROR(__xludf.DUMMYFUNCTION("GOOGLETRANSLATE(E76, ""en"", ""ur"")"),"ایک کھلاڑی غیر منصفانہ فائدہ حاصل کرنے کے لیے اپنے مخالف کے دفاعی سامان کو غیر قانونی طور پر متحرک نہیں کر سکتا۔")</f>
        <v>ایک کھلاڑی غیر منصفانہ فائدہ حاصل کرنے کے لیے اپنے مخالف کے دفاعی سامان کو غیر قانونی طور پر متحرک نہیں کر سکتا۔</v>
      </c>
    </row>
    <row r="77">
      <c r="A77" s="4">
        <v>76.0</v>
      </c>
      <c r="B77" s="5" t="s">
        <v>1491</v>
      </c>
      <c r="C77" s="5" t="s">
        <v>1492</v>
      </c>
      <c r="D77" s="5" t="s">
        <v>1493</v>
      </c>
      <c r="E77" s="5" t="s">
        <v>1494</v>
      </c>
      <c r="I77" s="6" t="str">
        <f>IFERROR(__xludf.DUMMYFUNCTION("GOOGLETRANSLATE(A77, ""en"", ""ur"")"),"76")</f>
        <v>76</v>
      </c>
      <c r="J77" s="6" t="str">
        <f>IFERROR(__xludf.DUMMYFUNCTION("GOOGLETRANSLATE(B77, ""en"", ""ur"")"),"کامیاب ""اسلحہ"" تکنیک کی پوائنٹ ویلیو کیا ہے؟")</f>
        <v>کامیاب "اسلحہ" تکنیک کی پوائنٹ ویلیو کیا ہے؟</v>
      </c>
      <c r="K77" s="6" t="str">
        <f>IFERROR(__xludf.DUMMYFUNCTION("GOOGLETRANSLATE(C77, ""en"", ""ur"")"),"A) کوئی پوائنٹ نہیں دیا جاتا، B) 1 پوائنٹ، C) 3 پوائنٹس، D) 5 پوائنٹس")</f>
        <v>A) کوئی پوائنٹ نہیں دیا جاتا، B) 1 پوائنٹ، C) 3 پوائنٹس، D) 5 پوائنٹس</v>
      </c>
      <c r="L77" s="6" t="str">
        <f>IFERROR(__xludf.DUMMYFUNCTION("GOOGLETRANSLATE(D77, ""en"", ""ur"")"),"C) 3 پوائنٹس")</f>
        <v>C) 3 پوائنٹس</v>
      </c>
      <c r="M77" s="6" t="str">
        <f>IFERROR(__xludf.DUMMYFUNCTION("GOOGLETRANSLATE(E77, ""en"", ""ur"")"),"کامیابی کے ساتھ اور محفوظ طریقے سے کسی مخالف کو غیر مسلح کرنا اعلیٰ مہارت کا مظاہرہ ہے اور اسے ایک اعلیٰ مقام سے نوازا جاتا ہے۔")</f>
        <v>کامیابی کے ساتھ اور محفوظ طریقے سے کسی مخالف کو غیر مسلح کرنا اعلیٰ مہارت کا مظاہرہ ہے اور اسے ایک اعلیٰ مقام سے نوازا جاتا ہے۔</v>
      </c>
    </row>
    <row r="78">
      <c r="A78" s="4">
        <v>77.0</v>
      </c>
      <c r="B78" s="5" t="s">
        <v>1495</v>
      </c>
      <c r="C78" s="5" t="s">
        <v>1496</v>
      </c>
      <c r="D78" s="5" t="s">
        <v>1497</v>
      </c>
      <c r="E78" s="5" t="s">
        <v>1498</v>
      </c>
      <c r="I78" s="6" t="str">
        <f>IFERROR(__xludf.DUMMYFUNCTION("GOOGLETRANSLATE(A78, ""en"", ""ur"")"),"77")</f>
        <v>77</v>
      </c>
      <c r="J78" s="6" t="str">
        <f>IFERROR(__xludf.DUMMYFUNCTION("GOOGLETRANSLATE(B78, ""en"", ""ur"")"),"""پینٹس"" فٹ ورک پیٹرن کا بنیادی مقصد کیا ہے؟")</f>
        <v>"پینٹس" فٹ ورک پیٹرن کا بنیادی مقصد کیا ہے؟</v>
      </c>
      <c r="K78" s="6" t="str">
        <f>IFERROR(__xludf.DUMMYFUNCTION("GOOGLETRANSLATE(C78, ""en"", ""ur"")"),"A) یہ ایک رقص ہے، B) یہ حملے اور دفاع کے زاویے سکھانے کے لیے ایک بنیادی مشق ہے، C) یہ جمپنگ تکنیک ہے، D) یہ سانس لینے کی مشق ہے۔")</f>
        <v>A) یہ ایک رقص ہے، B) یہ حملے اور دفاع کے زاویے سکھانے کے لیے ایک بنیادی مشق ہے، C) یہ جمپنگ تکنیک ہے، D) یہ سانس لینے کی مشق ہے۔</v>
      </c>
      <c r="L78" s="6" t="str">
        <f>IFERROR(__xludf.DUMMYFUNCTION("GOOGLETRANSLATE(D78, ""en"", ""ur"")"),"ب) یہ حملے اور دفاع کے زاویے سکھانے کے لیے ایک بنیادی مشق ہے۔")</f>
        <v>ب) یہ حملے اور دفاع کے زاویے سکھانے کے لیے ایک بنیادی مشق ہے۔</v>
      </c>
      <c r="M78" s="6" t="str">
        <f>IFERROR(__xludf.DUMMYFUNCTION("GOOGLETRANSLATE(E78, ""en"", ""ur"")"),"پینٹس ایک اہم فٹ ورک پیٹرن ہے جو ایک لڑاکا کو روانی سے حرکت کرنے اور فائدہ مند زاویے بنانے کی تربیت دیتا ہے۔")</f>
        <v>پینٹس ایک اہم فٹ ورک پیٹرن ہے جو ایک لڑاکا کو روانی سے حرکت کرنے اور فائدہ مند زاویے بنانے کی تربیت دیتا ہے۔</v>
      </c>
    </row>
    <row r="79">
      <c r="A79" s="4">
        <v>78.0</v>
      </c>
      <c r="B79" s="5" t="s">
        <v>1499</v>
      </c>
      <c r="C79" s="5" t="s">
        <v>1500</v>
      </c>
      <c r="D79" s="5" t="s">
        <v>1501</v>
      </c>
      <c r="E79" s="5" t="s">
        <v>1502</v>
      </c>
      <c r="I79" s="6" t="str">
        <f>IFERROR(__xludf.DUMMYFUNCTION("GOOGLETRANSLATE(A79, ""en"", ""ur"")"),"78")</f>
        <v>78</v>
      </c>
      <c r="J79" s="6" t="str">
        <f>IFERROR(__xludf.DUMMYFUNCTION("GOOGLETRANSLATE(B79, ""en"", ""ur"")"),"ایک کھلاڑی کو ""غیر ہتھیار والے ہاتھ سے مارنے"" پر سزا دی جاتی ہے۔ کیا یہ درست فاؤل ہے؟")</f>
        <v>ایک کھلاڑی کو "غیر ہتھیار والے ہاتھ سے مارنے" پر سزا دی جاتی ہے۔ کیا یہ درست فاؤل ہے؟</v>
      </c>
      <c r="K79" s="6" t="str">
        <f>IFERROR(__xludf.DUMMYFUNCTION("GOOGLETRANSLATE(C79, ""en"", ""ur"")"),"A) نہیں، کھلے ہاتھ سے حملے کی اجازت ہے، B) ہاں، تمام حملے مخصوص ہتھیار سے کیے جائیں، C) صرف اس صورت میں جب ہاتھ مٹھی میں ہو، D) صرف اس صورت میں جب اس سے چوٹ لگی ہو۔")</f>
        <v>A) نہیں، کھلے ہاتھ سے حملے کی اجازت ہے، B) ہاں، تمام حملے مخصوص ہتھیار سے کیے جائیں، C) صرف اس صورت میں جب ہاتھ مٹھی میں ہو، D) صرف اس صورت میں جب اس سے چوٹ لگی ہو۔</v>
      </c>
      <c r="L79" s="6" t="str">
        <f>IFERROR(__xludf.DUMMYFUNCTION("GOOGLETRANSLATE(D79, ""en"", ""ur"")"),"ب) جی ہاں، تمام حملے نامزد ہتھیار سے کیے جانے چاہئیں")</f>
        <v>ب) جی ہاں، تمام حملے نامزد ہتھیار سے کیے جانے چاہئیں</v>
      </c>
      <c r="M79" s="6" t="str">
        <f>IFERROR(__xludf.DUMMYFUNCTION("GOOGLETRANSLATE(E79, ""en"", ""ur"")"),"کھیل گٹکا میں، ایک کھلاڑی اپنے حریف کو مارنے کے لیے اپنے آزاد ہاتھ، مٹھی، یا جسم کے کسی دوسرے حصے کا استعمال نہیں کر سکتا۔")</f>
        <v>کھیل گٹکا میں، ایک کھلاڑی اپنے حریف کو مارنے کے لیے اپنے آزاد ہاتھ، مٹھی، یا جسم کے کسی دوسرے حصے کا استعمال نہیں کر سکتا۔</v>
      </c>
    </row>
    <row r="80">
      <c r="A80" s="4">
        <v>79.0</v>
      </c>
      <c r="B80" s="5" t="s">
        <v>1503</v>
      </c>
      <c r="C80" s="5" t="s">
        <v>1504</v>
      </c>
      <c r="D80" s="5" t="s">
        <v>1505</v>
      </c>
      <c r="E80" s="5" t="s">
        <v>1506</v>
      </c>
      <c r="I80" s="6" t="str">
        <f>IFERROR(__xludf.DUMMYFUNCTION("GOOGLETRANSLATE(A80, ""en"", ""ur"")"),"79")</f>
        <v>79</v>
      </c>
      <c r="J80" s="6" t="str">
        <f>IFERROR(__xludf.DUMMYFUNCTION("GOOGLETRANSLATE(B80, ""en"", ""ur"")"),"طاقتور گھومنے والی ہڑتال (گھمن) کے دوران بنیادی پٹھوں کا گروپ کیا ہے؟")</f>
        <v>طاقتور گھومنے والی ہڑتال (گھمن) کے دوران بنیادی پٹھوں کا گروپ کیا ہے؟</v>
      </c>
      <c r="K80" s="6" t="str">
        <f>IFERROR(__xludf.DUMMYFUNCTION("GOOGLETRANSLATE(C80, ""en"", ""ur"")"),"A) بائسپس، B) ٹانگیں، C) کور (پیٹ اور ترچھا)، D) سینہ")</f>
        <v>A) بائسپس، B) ٹانگیں، C) کور (پیٹ اور ترچھا)، D) سینہ</v>
      </c>
      <c r="L80" s="6" t="str">
        <f>IFERROR(__xludf.DUMMYFUNCTION("GOOGLETRANSLATE(D80, ""en"", ""ur"")"),"ج) کور (پیٹ اور ترچھا)")</f>
        <v>ج) کور (پیٹ اور ترچھا)</v>
      </c>
      <c r="M80" s="6" t="str">
        <f>IFERROR(__xludf.DUMMYFUNCTION("GOOGLETRANSLATE(E80, ""en"", ""ur"")"),"گھومنے والی طاقت صرف بازوؤں اور کندھوں سے نہیں بلکہ بنیادی پٹھوں سے پیدا ہوتی ہے۔")</f>
        <v>گھومنے والی طاقت صرف بازوؤں اور کندھوں سے نہیں بلکہ بنیادی پٹھوں سے پیدا ہوتی ہے۔</v>
      </c>
    </row>
    <row r="81">
      <c r="A81" s="4">
        <v>80.0</v>
      </c>
      <c r="B81" s="5" t="s">
        <v>1507</v>
      </c>
      <c r="C81" s="5" t="s">
        <v>1508</v>
      </c>
      <c r="D81" s="5" t="s">
        <v>1509</v>
      </c>
      <c r="E81" s="5" t="s">
        <v>1510</v>
      </c>
      <c r="I81" s="6" t="str">
        <f>IFERROR(__xludf.DUMMYFUNCTION("GOOGLETRANSLATE(A81, ""en"", ""ur"")"),"80")</f>
        <v>80</v>
      </c>
      <c r="J81" s="6" t="str">
        <f>IFERROR(__xludf.DUMMYFUNCTION("GOOGLETRANSLATE(B81, ""en"", ""ur"")"),"ایک کھلاڑی ایک میچ جیتتا ہے کیونکہ اس کے مخالف نے تین انتباہات جمع کیے تھے۔ یہ کس کی جیت ہے؟")</f>
        <v>ایک کھلاڑی ایک میچ جیتتا ہے کیونکہ اس کے مخالف نے تین انتباہات جمع کیے تھے۔ یہ کس کی جیت ہے؟</v>
      </c>
      <c r="K81" s="6" t="str">
        <f>IFERROR(__xludf.DUMMYFUNCTION("GOOGLETRANSLATE(C81, ""en"", ""ur"")"),"A) پوائنٹس پر جیت، B) تکنیکی برتری سے جیت، C) نااہلی سے جیت، D) ناک آؤٹ سے جیت")</f>
        <v>A) پوائنٹس پر جیت، B) تکنیکی برتری سے جیت، C) نااہلی سے جیت، D) ناک آؤٹ سے جیت</v>
      </c>
      <c r="L81" s="6" t="str">
        <f>IFERROR(__xludf.DUMMYFUNCTION("GOOGLETRANSLATE(D81, ""en"", ""ur"")"),"ج) نااہلی سے جیتنا")</f>
        <v>ج) نااہلی سے جیتنا</v>
      </c>
      <c r="M81" s="6" t="str">
        <f>IFERROR(__xludf.DUMMYFUNCTION("GOOGLETRANSLATE(E81, ""en"", ""ur"")"),"فاؤل یا بدتمیزی کے لیے تیسری آفیشل وارننگ موصول ہونے کے بعد کھلاڑی خود بخود نااہل ہو جاتا ہے۔")</f>
        <v>فاؤل یا بدتمیزی کے لیے تیسری آفیشل وارننگ موصول ہونے کے بعد کھلاڑی خود بخود نااہل ہو جاتا ہے۔</v>
      </c>
    </row>
    <row r="82">
      <c r="A82" s="4">
        <v>81.0</v>
      </c>
      <c r="B82" s="5" t="s">
        <v>1511</v>
      </c>
      <c r="C82" s="5" t="s">
        <v>1512</v>
      </c>
      <c r="D82" s="5" t="s">
        <v>1513</v>
      </c>
      <c r="E82" s="5" t="s">
        <v>1514</v>
      </c>
      <c r="I82" s="6" t="str">
        <f>IFERROR(__xludf.DUMMYFUNCTION("GOOGLETRANSLATE(A82, ""en"", ""ur"")"),"81")</f>
        <v>81</v>
      </c>
      <c r="J82" s="6" t="str">
        <f>IFERROR(__xludf.DUMMYFUNCTION("GOOGLETRANSLATE(B82, ""en"", ""ur"")"),"کرپان کی اہم خصوصیت کیا ہے؟")</f>
        <v>کرپان کی اہم خصوصیت کیا ہے؟</v>
      </c>
      <c r="K82" s="6" t="str">
        <f>IFERROR(__xludf.DUMMYFUNCTION("GOOGLETRANSLATE(C82, ""en"", ""ur"")"),"A) یہ ایک لمبا نیزہ ہے، B) یہ ایک خنجر ہے، ایک مذہبی علامت ہے، اور ایک ہتھیار ہے، C) یہ ایک بھاری گدی ہے، D) یہ ایک پھینکنے والا ستارہ ہے")</f>
        <v>A) یہ ایک لمبا نیزہ ہے، B) یہ ایک خنجر ہے، ایک مذہبی علامت ہے، اور ایک ہتھیار ہے، C) یہ ایک بھاری گدی ہے، D) یہ ایک پھینکنے والا ستارہ ہے</v>
      </c>
      <c r="L82" s="6" t="str">
        <f>IFERROR(__xludf.DUMMYFUNCTION("GOOGLETRANSLATE(D82, ""en"", ""ur"")"),"ب) یہ ایک خنجر، ایک مذہبی علامت اور ایک ہتھیار ہے۔")</f>
        <v>ب) یہ ایک خنجر، ایک مذہبی علامت اور ایک ہتھیار ہے۔</v>
      </c>
      <c r="M82" s="6" t="str">
        <f>IFERROR(__xludf.DUMMYFUNCTION("GOOGLETRANSLATE(E82, ""en"", ""ur"")"),"کرپان سکھوں کے لیے عقیدے کے پانچ مضامین میں سے ایک ہے اور گٹکا تکنیک میں استعمال ہونے والا ایک فعال ہتھیار بھی ہے۔")</f>
        <v>کرپان سکھوں کے لیے عقیدے کے پانچ مضامین میں سے ایک ہے اور گٹکا تکنیک میں استعمال ہونے والا ایک فعال ہتھیار بھی ہے۔</v>
      </c>
    </row>
    <row r="83">
      <c r="A83" s="4">
        <v>82.0</v>
      </c>
      <c r="B83" s="5" t="s">
        <v>1515</v>
      </c>
      <c r="C83" s="5" t="s">
        <v>1516</v>
      </c>
      <c r="D83" s="5" t="s">
        <v>1517</v>
      </c>
      <c r="E83" s="5" t="s">
        <v>1518</v>
      </c>
      <c r="I83" s="6" t="str">
        <f>IFERROR(__xludf.DUMMYFUNCTION("GOOGLETRANSLATE(A83, ""en"", ""ur"")"),"82")</f>
        <v>82</v>
      </c>
      <c r="J83" s="6" t="str">
        <f>IFERROR(__xludf.DUMMYFUNCTION("GOOGLETRANSLATE(B83, ""en"", ""ur"")"),"اگر کوئی کھلاڑی زخمی ہوتا ہے اور ریفری اس بات کا تعین کرتا ہے کہ یہ ان کے اپنے غیر قانونی اقدام کی وجہ سے تھا، تو اس کا نتیجہ کیا نکلتا ہے؟")</f>
        <v>اگر کوئی کھلاڑی زخمی ہوتا ہے اور ریفری اس بات کا تعین کرتا ہے کہ یہ ان کے اپنے غیر قانونی اقدام کی وجہ سے تھا، تو اس کا نتیجہ کیا نکلتا ہے؟</v>
      </c>
      <c r="K83" s="6" t="str">
        <f>IFERROR(__xludf.DUMMYFUNCTION("GOOGLETRANSLATE(C83, ""en"", ""ur"")"),"A) پوائنٹ دوبارہ چلایا جاتا ہے، B) کھلاڑی نااہلی سے میچ ہار جاتا ہے، C) مخالف کو خبردار کیا جاتا ہے، D) میچ ڈرا قرار دیا جاتا ہے۔")</f>
        <v>A) پوائنٹ دوبارہ چلایا جاتا ہے، B) کھلاڑی نااہلی سے میچ ہار جاتا ہے، C) مخالف کو خبردار کیا جاتا ہے، D) میچ ڈرا قرار دیا جاتا ہے۔</v>
      </c>
      <c r="L83" s="6" t="str">
        <f>IFERROR(__xludf.DUMMYFUNCTION("GOOGLETRANSLATE(D83, ""en"", ""ur"")"),"ب) کھلاڑی نااہلی سے میچ ہار جاتا ہے۔")</f>
        <v>ب) کھلاڑی نااہلی سے میچ ہار جاتا ہے۔</v>
      </c>
      <c r="M83" s="6" t="str">
        <f>IFERROR(__xludf.DUMMYFUNCTION("GOOGLETRANSLATE(E83, ""en"", ""ur"")"),"ایک کھلاڑی جو فاؤل کرتے ہوئے خود کو زخمی کرتا ہے وہ ڈیفالٹ سے نہیں جیت سکتا۔ وہ غیر قانونی اقدام پر نااہل ہیں۔")</f>
        <v>ایک کھلاڑی جو فاؤل کرتے ہوئے خود کو زخمی کرتا ہے وہ ڈیفالٹ سے نہیں جیت سکتا۔ وہ غیر قانونی اقدام پر نااہل ہیں۔</v>
      </c>
    </row>
    <row r="84">
      <c r="A84" s="4">
        <v>83.0</v>
      </c>
      <c r="B84" s="5" t="s">
        <v>1519</v>
      </c>
      <c r="C84" s="5" t="s">
        <v>1520</v>
      </c>
      <c r="D84" s="5" t="s">
        <v>1521</v>
      </c>
      <c r="E84" s="5" t="s">
        <v>1522</v>
      </c>
      <c r="I84" s="6" t="str">
        <f>IFERROR(__xludf.DUMMYFUNCTION("GOOGLETRANSLATE(A84, ""en"", ""ur"")"),"83")</f>
        <v>83</v>
      </c>
      <c r="J84" s="6" t="str">
        <f>IFERROR(__xludf.DUMMYFUNCTION("GOOGLETRANSLATE(B84, ""en"", ""ur"")"),"""چکری"" ڈرل کا بنیادی مقصد کیا ہے، جس میں مسلسل گھومنا شامل ہے؟")</f>
        <v>"چکری" ڈرل کا بنیادی مقصد کیا ہے، جس میں مسلسل گھومنا شامل ہے؟</v>
      </c>
      <c r="K84" s="6" t="str">
        <f>IFERROR(__xludf.DUMMYFUNCTION("GOOGLETRANSLATE(C84, ""en"", ""ur"")"),"A) کھلاڑی کو چکر آنا، B) توازن، قوت برداشت، اور کسی بھی زاویے سے حملہ کرنے کی صلاحیت پیدا کرنا، C) ہجوم کو دکھانا، D) ٹانگوں کو گرم کرنا")</f>
        <v>A) کھلاڑی کو چکر آنا، B) توازن، قوت برداشت، اور کسی بھی زاویے سے حملہ کرنے کی صلاحیت پیدا کرنا، C) ہجوم کو دکھانا، D) ٹانگوں کو گرم کرنا</v>
      </c>
      <c r="L84" s="6" t="str">
        <f>IFERROR(__xludf.DUMMYFUNCTION("GOOGLETRANSLATE(D84, ""en"", ""ur"")"),"ب) توازن، قوت برداشت اور کسی بھی زاویے سے حملہ کرنے کی صلاحیت پیدا کرنا")</f>
        <v>ب) توازن، قوت برداشت اور کسی بھی زاویے سے حملہ کرنے کی صلاحیت پیدا کرنا</v>
      </c>
      <c r="M84" s="6" t="str">
        <f>IFERROR(__xludf.DUMMYFUNCTION("GOOGLETRANSLATE(E84, ""en"", ""ur"")"),"گردشی حملوں کے لیے درکار برداشت اور کنٹرول کو بڑھانے کے لیے یہ سخت مشق ایک کلیدی مشق ہے۔")</f>
        <v>گردشی حملوں کے لیے درکار برداشت اور کنٹرول کو بڑھانے کے لیے یہ سخت مشق ایک کلیدی مشق ہے۔</v>
      </c>
    </row>
    <row r="85">
      <c r="A85" s="4">
        <v>84.0</v>
      </c>
      <c r="B85" s="5" t="s">
        <v>1523</v>
      </c>
      <c r="C85" s="5" t="s">
        <v>1524</v>
      </c>
      <c r="D85" s="5" t="s">
        <v>1525</v>
      </c>
      <c r="E85" s="5" t="s">
        <v>1526</v>
      </c>
      <c r="I85" s="6" t="str">
        <f>IFERROR(__xludf.DUMMYFUNCTION("GOOGLETRANSLATE(A85, ""en"", ""ur"")"),"84")</f>
        <v>84</v>
      </c>
      <c r="J85" s="6" t="str">
        <f>IFERROR(__xludf.DUMMYFUNCTION("GOOGLETRANSLATE(B85, ""en"", ""ur"")"),"جدید گٹکا میں ان میں سے کون سا باضابطہ مقابلے کا زمرہ نہیں ہے؟")</f>
        <v>جدید گٹکا میں ان میں سے کون سا باضابطہ مقابلے کا زمرہ نہیں ہے؟</v>
      </c>
      <c r="K85" s="6" t="str">
        <f>IFERROR(__xludf.DUMMYFUNCTION("GOOGLETRANSLATE(C85, ""en"", ""ur"")"),"A) سنگل سوتی (چھڑی)، B) فاری سوتی (چھڑی اور ڈھال)، C) ٹیم گٹکا، D) ننگی دستک گٹکا")</f>
        <v>A) سنگل سوتی (چھڑی)، B) فاری سوتی (چھڑی اور ڈھال)، C) ٹیم گٹکا، D) ننگی دستک گٹکا</v>
      </c>
      <c r="L85" s="6" t="str">
        <f>IFERROR(__xludf.DUMMYFUNCTION("GOOGLETRANSLATE(D85, ""en"", ""ur"")"),"D) ننگا گٹکا")</f>
        <v>D) ننگا گٹکا</v>
      </c>
      <c r="M85" s="6" t="str">
        <f>IFERROR(__xludf.DUMMYFUNCTION("GOOGLETRANSLATE(E85, ""en"", ""ur"")"),"جدید گٹکا خصوصی طور پر ہتھیاروں پر مبنی مارشل آرٹ ہے۔ اس کے مقابلوں میں کوئی خالی ہاتھ لڑائی کا زمرہ نہیں ہے۔")</f>
        <v>جدید گٹکا خصوصی طور پر ہتھیاروں پر مبنی مارشل آرٹ ہے۔ اس کے مقابلوں میں کوئی خالی ہاتھ لڑائی کا زمرہ نہیں ہے۔</v>
      </c>
    </row>
    <row r="86">
      <c r="A86" s="4">
        <v>85.0</v>
      </c>
      <c r="B86" s="5" t="s">
        <v>1527</v>
      </c>
      <c r="C86" s="5" t="s">
        <v>1528</v>
      </c>
      <c r="D86" s="5" t="s">
        <v>1529</v>
      </c>
      <c r="E86" s="5" t="s">
        <v>1530</v>
      </c>
      <c r="I86" s="6" t="str">
        <f>IFERROR(__xludf.DUMMYFUNCTION("GOOGLETRANSLATE(A86, ""en"", ""ur"")"),"85")</f>
        <v>85</v>
      </c>
      <c r="J86" s="6" t="str">
        <f>IFERROR(__xludf.DUMMYFUNCTION("GOOGLETRANSLATE(B86, ""en"", ""ur"")"),"ٹورنامنٹ میں ""ٹیبل آفیشلز"" کا کیا کردار ہے؟")</f>
        <v>ٹورنامنٹ میں "ٹیبل آفیشلز" کا کیا کردار ہے؟</v>
      </c>
      <c r="K86" s="6" t="str">
        <f>IFERROR(__xludf.DUMMYFUNCTION("GOOGLETRANSLATE(C86, ""en"", ""ur"")"),"A) وہ ریفری ہیں، B) وہ ٹائم کیپنگ، اسکورنگ اور نتائج ریکارڈ کرنے کے ذمہ دار ہیں، C) وہ کوچ ہیں، D) وہ ہتھیاروں کا معائنہ کرتے ہیں")</f>
        <v>A) وہ ریفری ہیں، B) وہ ٹائم کیپنگ، اسکورنگ اور نتائج ریکارڈ کرنے کے ذمہ دار ہیں، C) وہ کوچ ہیں، D) وہ ہتھیاروں کا معائنہ کرتے ہیں</v>
      </c>
      <c r="L86" s="6" t="str">
        <f>IFERROR(__xludf.DUMMYFUNCTION("GOOGLETRANSLATE(D86, ""en"", ""ur"")"),"ب) وہ ٹائم کیپنگ، اسکورنگ، اور نتائج ریکارڈ کرنے کے ذمہ دار ہیں۔")</f>
        <v>ب) وہ ٹائم کیپنگ، اسکورنگ، اور نتائج ریکارڈ کرنے کے ذمہ دار ہیں۔</v>
      </c>
      <c r="M86" s="6" t="str">
        <f>IFERROR(__xludf.DUMMYFUNCTION("GOOGLETRANSLATE(E86, ""en"", ""ur"")"),"میز کے اہلکار میدان میں ریفریوں کی مدد کرتے ہوئے میچ کے انتظامی پہلوؤں کا انتظام کرتے ہیں۔")</f>
        <v>میز کے اہلکار میدان میں ریفریوں کی مدد کرتے ہوئے میچ کے انتظامی پہلوؤں کا انتظام کرتے ہیں۔</v>
      </c>
    </row>
    <row r="87">
      <c r="A87" s="4">
        <v>86.0</v>
      </c>
      <c r="B87" s="5" t="s">
        <v>1531</v>
      </c>
      <c r="C87" s="5" t="s">
        <v>1532</v>
      </c>
      <c r="D87" s="5" t="s">
        <v>1533</v>
      </c>
      <c r="E87" s="5" t="s">
        <v>1534</v>
      </c>
      <c r="I87" s="6" t="str">
        <f>IFERROR(__xludf.DUMMYFUNCTION("GOOGLETRANSLATE(A87, ""en"", ""ur"")"),"86")</f>
        <v>86</v>
      </c>
      <c r="J87" s="6" t="str">
        <f>IFERROR(__xludf.DUMMYFUNCTION("GOOGLETRANSLATE(B87, ""en"", ""ur"")"),"ایک کھلاڑی کو ""ڈبل سٹرائیک"" کے لیے سزا دی جاتی ہے۔ اس کا کیا مطلب ہے؟")</f>
        <v>ایک کھلاڑی کو "ڈبل سٹرائیک" کے لیے سزا دی جاتی ہے۔ اس کا کیا مطلب ہے؟</v>
      </c>
      <c r="K87" s="6" t="str">
        <f>IFERROR(__xludf.DUMMYFUNCTION("GOOGLETRANSLATE(C87, ""en"", ""ur"")"),"A)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f>
        <v>A) وہ ایک ہی وقت میں چھڑی کے دونوں سروں سے مخالف کو مارتے ہیں، B) وہ بغیر کسی ترتیب کے تیزی سے مخالف کو دو بار مارتے ہیں، C) وہ ایک ہی وقت میں مخالف اور شیلڈ کو مارتے ہیں، D) انہوں نے ایک ہی وقت میں دو مخالفین کو مارا۔</v>
      </c>
      <c r="L87" s="6" t="str">
        <f>IFERROR(__xludf.DUMMYFUNCTION("GOOGLETRANSLATE(D87, ""en"", ""ur"")"),"ب) انہوں نے بغیر کسی ری سیٹ کے تیزی سے مسلسل دو بار حریف کو نشانہ بنایا")</f>
        <v>ب) انہوں نے بغیر کسی ری سیٹ کے تیزی سے مسلسل دو بار حریف کو نشانہ بنایا</v>
      </c>
      <c r="M87" s="6" t="str">
        <f>IFERROR(__xludf.DUMMYFUNCTION("GOOGLETRANSLATE(E87, ""en"", ""ur"")"),"کچھ اصولوں کے سیٹوں میں، ایک کھلاڑی کو سٹرائیکس کے درمیان دوبارہ ترتیب دے کر کنٹرول کا مظاہرہ کرنا چاہیے، اور ہٹ کے مسلسل ""ڈرم رول"" کی اجازت نہیں ہے۔")</f>
        <v>کچھ اصولوں کے سیٹوں میں، ایک کھلاڑی کو سٹرائیکس کے درمیان دوبارہ ترتیب دے کر کنٹرول کا مظاہرہ کرنا چاہیے، اور ہٹ کے مسلسل "ڈرم رول" کی اجازت نہیں ہے۔</v>
      </c>
    </row>
    <row r="88">
      <c r="A88" s="4">
        <v>87.0</v>
      </c>
      <c r="B88" s="5" t="s">
        <v>1535</v>
      </c>
      <c r="C88" s="5" t="s">
        <v>1536</v>
      </c>
      <c r="D88" s="5" t="s">
        <v>1133</v>
      </c>
      <c r="E88" s="5" t="s">
        <v>1537</v>
      </c>
      <c r="I88" s="6" t="str">
        <f>IFERROR(__xludf.DUMMYFUNCTION("GOOGLETRANSLATE(A88, ""en"", ""ur"")"),"87")</f>
        <v>87</v>
      </c>
      <c r="J88" s="6" t="str">
        <f>IFERROR(__xludf.DUMMYFUNCTION("GOOGLETRANSLATE(B88, ""en"", ""ur"")"),"حریف کے ساتھ آنکھ کا رابطہ برقرار رکھنا کیوں ضروری سمجھا جاتا ہے؟")</f>
        <v>حریف کے ساتھ آنکھ کا رابطہ برقرار رکھنا کیوں ضروری سمجھا جاتا ہے؟</v>
      </c>
      <c r="K88" s="6" t="str">
        <f>IFERROR(__xludf.DUMMYFUNCTION("GOOGLETRANSLATE(C88, ""en"", ""ur"")"),"A) یہ احترام کی علامت ہے، B) ان کی حرکات و سکنات کا اندازہ لگانا، C) انہیں ڈرانا، D) مندرجہ بالا سب")</f>
        <v>A) یہ احترام کی علامت ہے، B) ان کی حرکات و سکنات کا اندازہ لگانا، C) انہیں ڈرانا، D) مندرجہ بالا سب</v>
      </c>
      <c r="L88" s="6" t="str">
        <f>IFERROR(__xludf.DUMMYFUNCTION("GOOGLETRANSLATE(D88, ""en"", ""ur"")"),"D) مذکورہ بالا تمام")</f>
        <v>D) مذکورہ بالا تمام</v>
      </c>
      <c r="M88" s="6" t="str">
        <f>IFERROR(__xludf.DUMMYFUNCTION("GOOGLETRANSLATE(E88, ""en"", ""ur"")"),"آنکھ سے رابطہ دماغی کھیل کا ایک اہم حصہ ہے، جسے حریف کو پڑھنے، اعتماد ظاہر کرنے اور توجہ کو برقرار رکھنے کے لیے استعمال کیا جاتا ہے۔")</f>
        <v>آنکھ سے رابطہ دماغی کھیل کا ایک اہم حصہ ہے، جسے حریف کو پڑھنے، اعتماد ظاہر کرنے اور توجہ کو برقرار رکھنے کے لیے استعمال کیا جاتا ہے۔</v>
      </c>
    </row>
    <row r="89">
      <c r="A89" s="4">
        <v>88.0</v>
      </c>
      <c r="B89" s="5" t="s">
        <v>1538</v>
      </c>
      <c r="C89" s="5" t="s">
        <v>1539</v>
      </c>
      <c r="D89" s="5" t="s">
        <v>1540</v>
      </c>
      <c r="E89" s="5" t="s">
        <v>1541</v>
      </c>
      <c r="I89" s="6" t="str">
        <f>IFERROR(__xludf.DUMMYFUNCTION("GOOGLETRANSLATE(A89, ""en"", ""ur"")"),"88")</f>
        <v>88</v>
      </c>
      <c r="J89" s="6" t="str">
        <f>IFERROR(__xludf.DUMMYFUNCTION("GOOGLETRANSLATE(B89, ""en"", ""ur"")"),"دوستانہ گاؤں میچ (جور) شروع کرنے کا روایتی طریقہ کیا ہے؟")</f>
        <v>دوستانہ گاؤں میچ (جور) شروع کرنے کا روایتی طریقہ کیا ہے؟</v>
      </c>
      <c r="K89" s="6" t="str">
        <f>IFERROR(__xludf.DUMMYFUNCTION("GOOGLETRANSLATE(C89, ""en"", ""ur"")"),"A) سیٹی بجانا، B) ڈھول کی تھاپ، C) دو کھلاڑیوں کے درمیان باہمی سلامی (فتح) D) سکے کا ٹاس")</f>
        <v>A) سیٹی بجانا، B) ڈھول کی تھاپ، C) دو کھلاڑیوں کے درمیان باہمی سلامی (فتح) D) سکے کا ٹاس</v>
      </c>
      <c r="L89" s="6" t="str">
        <f>IFERROR(__xludf.DUMMYFUNCTION("GOOGLETRANSLATE(D89, ""en"", ""ur"")"),"ج) دونوں کھلاڑیوں کے درمیان باہمی سلامی (فتح)")</f>
        <v>ج) دونوں کھلاڑیوں کے درمیان باہمی سلامی (فتح)</v>
      </c>
      <c r="M89" s="6" t="str">
        <f>IFERROR(__xludf.DUMMYFUNCTION("GOOGLETRANSLATE(E89, ""en"", ""ur"")"),"ایک دوستانہ مقابلہ روایتی طور پر کھلاڑیوں کے احترام کے ساتھ سلام یا سلام کے ساتھ ایک دوسرے کو تسلیم کرنے کے ساتھ شروع ہوتا ہے۔")</f>
        <v>ایک دوستانہ مقابلہ روایتی طور پر کھلاڑیوں کے احترام کے ساتھ سلام یا سلام کے ساتھ ایک دوسرے کو تسلیم کرنے کے ساتھ شروع ہوتا ہے۔</v>
      </c>
    </row>
    <row r="90">
      <c r="A90" s="4">
        <v>89.0</v>
      </c>
      <c r="B90" s="5" t="s">
        <v>1542</v>
      </c>
      <c r="C90" s="5" t="s">
        <v>1543</v>
      </c>
      <c r="D90" s="5" t="s">
        <v>1544</v>
      </c>
      <c r="E90" s="5" t="s">
        <v>1545</v>
      </c>
      <c r="I90" s="6" t="str">
        <f>IFERROR(__xludf.DUMMYFUNCTION("GOOGLETRANSLATE(A90, ""en"", ""ur"")"),"89")</f>
        <v>89</v>
      </c>
      <c r="J90" s="6" t="str">
        <f>IFERROR(__xludf.DUMMYFUNCTION("GOOGLETRANSLATE(B90, ""en"", ""ur"")"),"ایک طاقتور اسٹرائیک سے کھلاڑی کی شیلڈ ٹوٹ جاتی ہے۔ اس کا کیا حکم ہے؟")</f>
        <v>ایک طاقتور اسٹرائیک سے کھلاڑی کی شیلڈ ٹوٹ جاتی ہے۔ اس کا کیا حکم ہے؟</v>
      </c>
      <c r="K90" s="6" t="str">
        <f>IFERROR(__xludf.DUMMYFUNCTION("GOOGLETRANSLATE(C90, ""en"", ""ur"")"),"A) اسٹرائیکر کو ضرورت سے زیادہ طاقت کی وجہ سے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ڈرا ہوتا ہے۔")</f>
        <v>A) اسٹرائیکر کو ضرورت سے زیادہ طاقت کی وجہ سے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ڈرا ہوتا ہے۔</v>
      </c>
      <c r="L90" s="6" t="str">
        <f>IFERROR(__xludf.DUMMYFUNCTION("GOOGLETRANSLATE(D90, ""en"", ""ur"")"),"ب) پوائنٹ اسٹرائیکر کو دیا جاتا ہے، اور میچ کو متبادل شیلڈ کے لیے روک دیا جاتا ہے۔")</f>
        <v>ب) پوائنٹ اسٹرائیکر کو دیا جاتا ہے، اور میچ کو متبادل شیلڈ کے لیے روک دیا جاتا ہے۔</v>
      </c>
      <c r="M90" s="6" t="str">
        <f>IFERROR(__xludf.DUMMYFUNCTION("GOOGLETRANSLATE(E90, ""en"", ""ur"")"),"ایک قانونی ہڑتال جو مخالف کے سازوسامان کو توڑنے کے لئے کافی طاقتور ہے ایک واضح نکتہ ہے۔ اس کے بعد میچ کو حفاظت کے لیے روک دیا جاتا ہے۔")</f>
        <v>ایک قانونی ہڑتال جو مخالف کے سازوسامان کو توڑنے کے لئے کافی طاقتور ہے ایک واضح نکتہ ہے۔ اس کے بعد میچ کو حفاظت کے لیے روک دیا جاتا ہے۔</v>
      </c>
    </row>
    <row r="91">
      <c r="A91" s="4">
        <v>90.0</v>
      </c>
      <c r="B91" s="5" t="s">
        <v>1546</v>
      </c>
      <c r="C91" s="5" t="s">
        <v>1547</v>
      </c>
      <c r="D91" s="5" t="s">
        <v>1548</v>
      </c>
      <c r="E91" s="5" t="s">
        <v>1549</v>
      </c>
      <c r="I91" s="6" t="str">
        <f>IFERROR(__xludf.DUMMYFUNCTION("GOOGLETRANSLATE(A91, ""en"", ""ur"")"),"90")</f>
        <v>90</v>
      </c>
      <c r="J91" s="6" t="str">
        <f>IFERROR(__xludf.DUMMYFUNCTION("GOOGLETRANSLATE(B91, ""en"", ""ur"")"),"گٹکا میں دفاع پر زور دینے کی فلسفیانہ وجہ کیا ہے؟")</f>
        <v>گٹکا میں دفاع پر زور دینے کی فلسفیانہ وجہ کیا ہے؟</v>
      </c>
      <c r="K91" s="6" t="str">
        <f>IFERROR(__xludf.DUMMYFUNCTION("GOOGLETRANSLATE(C91, ""en"", ""ur"")"),"A) حملہ کرنے سے زیادہ آسان ہے، B) آرٹ اپنے دفاع کے لیے ہے، جارحیت کے لیے نہیں، C) یہ زیادہ پوائنٹس اسکور کرتا ہے، D) یہ مخالف کو تھکا دینے کا ایک طریقہ ہے۔")</f>
        <v>A) حملہ کرنے سے زیادہ آسان ہے، B) آرٹ اپنے دفاع کے لیے ہے، جارحیت کے لیے نہیں، C) یہ زیادہ پوائنٹس اسکور کرتا ہے، D) یہ مخالف کو تھکا دینے کا ایک طریقہ ہے۔</v>
      </c>
      <c r="L91" s="6" t="str">
        <f>IFERROR(__xludf.DUMMYFUNCTION("GOOGLETRANSLATE(D91, ""en"", ""ur"")"),"ب) فن اپنے دفاع کے لیے ہے، جارحیت کے لیے نہیں۔")</f>
        <v>ب) فن اپنے دفاع کے لیے ہے، جارحیت کے لیے نہیں۔</v>
      </c>
      <c r="M91" s="6" t="str">
        <f>IFERROR(__xludf.DUMMYFUNCTION("GOOGLETRANSLATE(E91, ""en"", ""ur"")"),"بنیادی اصول یہ ہے کہ ایک سکھ جنگجو اپنا ہتھیار کمزوروں کے دفاع اور انصاف کو برقرار رکھنے کے لیے کھینچتا ہے، نہ کہ تنازع شروع کرنے کے لیے۔")</f>
        <v>بنیادی اصول یہ ہے کہ ایک سکھ جنگجو اپنا ہتھیار کمزوروں کے دفاع اور انصاف کو برقرار رکھنے کے لیے کھینچتا ہے، نہ کہ تنازع شروع کرنے کے لیے۔</v>
      </c>
    </row>
    <row r="92">
      <c r="A92" s="4">
        <v>91.0</v>
      </c>
      <c r="B92" s="5" t="s">
        <v>1550</v>
      </c>
      <c r="C92" s="5" t="s">
        <v>1551</v>
      </c>
      <c r="D92" s="5" t="s">
        <v>1552</v>
      </c>
      <c r="E92" s="5" t="s">
        <v>1553</v>
      </c>
      <c r="I92" s="6" t="str">
        <f>IFERROR(__xludf.DUMMYFUNCTION("GOOGLETRANSLATE(A92, ""en"", ""ur"")"),"91")</f>
        <v>91</v>
      </c>
      <c r="J92" s="6" t="str">
        <f>IFERROR(__xludf.DUMMYFUNCTION("GOOGLETRANSLATE(B92, ""en"", ""ur"")"),"حملے کے دوران ""فل باڈی اسپن"" استعمال کرنے کا بنیادی خطرہ کیا ہے؟")</f>
        <v>حملے کے دوران "فل باڈی اسپن" استعمال کرنے کا بنیادی خطرہ کیا ہے؟</v>
      </c>
      <c r="K92" s="6" t="str">
        <f>IFERROR(__xludf.DUMMYFUNCTION("GOOGLETRANSLATE(C92, ""en"", ""ur"")"),"A) یہ ایک فاؤل ہے، B) یہ بہت زیادہ توانائی خرچ کرتا ہے اور چکر آنے کا سبب بن سکتا ہے، C) یہ کم اسکور کرنے والی حرکت ہے، D) اسے روکنا آسان ہے")</f>
        <v>A) یہ ایک فاؤل ہے، B) یہ بہت زیادہ توانائی خرچ کرتا ہے اور چکر آنے کا سبب بن سکتا ہے، C) یہ کم اسکور کرنے والی حرکت ہے، D) اسے روکنا آسان ہے</v>
      </c>
      <c r="L92" s="6" t="str">
        <f>IFERROR(__xludf.DUMMYFUNCTION("GOOGLETRANSLATE(D92, ""en"", ""ur"")"),"ب) یہ بہت زیادہ توانائی خرچ کرتا ہے اور چکر آنے کا سبب بن سکتا ہے۔")</f>
        <v>ب) یہ بہت زیادہ توانائی خرچ کرتا ہے اور چکر آنے کا سبب بن سکتا ہے۔</v>
      </c>
      <c r="M92" s="6" t="str">
        <f>IFERROR(__xludf.DUMMYFUNCTION("GOOGLETRANSLATE(E92, ""en"", ""ur"")"),"شاندار ہونے کے باوجود، مکمل 360-ڈگری گھماؤ جسمانی طور پر بہت زیادہ مطالبہ کرتے ہیں اور اگر زیادہ استعمال کیا جائے تو توازن اور صلاحیت کے نقصان کا باعث بن سکتے ہیں۔")</f>
        <v>شاندار ہونے کے باوجود، مکمل 360-ڈگری گھماؤ جسمانی طور پر بہت زیادہ مطالبہ کرتے ہیں اور اگر زیادہ استعمال کیا جائے تو توازن اور صلاحیت کے نقصان کا باعث بن سکتے ہیں۔</v>
      </c>
    </row>
    <row r="93">
      <c r="A93" s="4">
        <v>92.0</v>
      </c>
      <c r="B93" s="5" t="s">
        <v>1554</v>
      </c>
      <c r="C93" s="5" t="s">
        <v>1555</v>
      </c>
      <c r="D93" s="5" t="s">
        <v>1556</v>
      </c>
      <c r="E93" s="5" t="s">
        <v>1557</v>
      </c>
      <c r="I93" s="6" t="str">
        <f>IFERROR(__xludf.DUMMYFUNCTION("GOOGLETRANSLATE(A93, ""en"", ""ur"")"),"92")</f>
        <v>92</v>
      </c>
      <c r="J93" s="6" t="str">
        <f>IFERROR(__xludf.DUMMYFUNCTION("GOOGLETRANSLATE(B93, ""en"", ""ur"")"),"ایک ریفری کسی کھلاڑی کو ""غیر فعال کھیل"" کے لیے خبردار کرتا ہے۔ اس کا کیا مطلب ہے؟")</f>
        <v>ایک ریفری کسی کھلاڑی کو "غیر فعال کھیل" کے لیے خبردار کرتا ہے۔ اس کا کیا مطلب ہے؟</v>
      </c>
      <c r="K93" s="6" t="str">
        <f>IFERROR(__xludf.DUMMYFUNCTION("GOOGLETRANSLATE(C93, ""en"", ""ur"")"),"A) کھلاڑی حملہ نہیں کر رہا ہے اور صرف دفاع کر رہا ہے یا بچ رہا ہے، B) کھلاڑی قواعد کی پیروی نہیں کر رہا ہے، C) کھلاڑی بہت خاموش ہے، D) کھلاڑی نے صحیح یونیفارم نہیں پہنی ہوئی ہے۔")</f>
        <v>A) کھلاڑی حملہ نہیں کر رہا ہے اور صرف دفاع کر رہا ہے یا بچ رہا ہے، B) کھلاڑی قواعد کی پیروی نہیں کر رہا ہے، C) کھلاڑی بہت خاموش ہے، D) کھلاڑی نے صحیح یونیفارم نہیں پہنی ہوئی ہے۔</v>
      </c>
      <c r="L93" s="6" t="str">
        <f>IFERROR(__xludf.DUMMYFUNCTION("GOOGLETRANSLATE(D93, ""en"", ""ur"")"),"A) کھلاڑی حملہ نہیں کر رہا ہے اور صرف دفاع کر رہا ہے یا بچ رہا ہے۔")</f>
        <v>A) کھلاڑی حملہ نہیں کر رہا ہے اور صرف دفاع کر رہا ہے یا بچ رہا ہے۔</v>
      </c>
      <c r="M93" s="6" t="str">
        <f>IFERROR(__xludf.DUMMYFUNCTION("GOOGLETRANSLATE(E93, ""en"", ""ur"")"),"ایک کھلاڑی کو لڑائی میں فعال طور پر مشغول ہونا چاہیے۔ مسلسل پیچھے ہٹنا یا حملہ کرنے سے انکار کرنے کا نتیجہ جرمانہ ہوگا۔")</f>
        <v>ایک کھلاڑی کو لڑائی میں فعال طور پر مشغول ہونا چاہیے۔ مسلسل پیچھے ہٹنا یا حملہ کرنے سے انکار کرنے کا نتیجہ جرمانہ ہوگا۔</v>
      </c>
    </row>
    <row r="94">
      <c r="A94" s="4">
        <v>93.0</v>
      </c>
      <c r="B94" s="5" t="s">
        <v>1558</v>
      </c>
      <c r="C94" s="5" t="s">
        <v>1559</v>
      </c>
      <c r="D94" s="5" t="s">
        <v>1560</v>
      </c>
      <c r="E94" s="5" t="s">
        <v>1561</v>
      </c>
      <c r="I94" s="6" t="str">
        <f>IFERROR(__xludf.DUMMYFUNCTION("GOOGLETRANSLATE(A94, ""en"", ""ur"")"),"93")</f>
        <v>93</v>
      </c>
      <c r="J94" s="6" t="str">
        <f>IFERROR(__xludf.DUMMYFUNCTION("GOOGLETRANSLATE(B94, ""en"", ""ur"")"),"چکرا کیا ہے، ایک ہتھیار جو کبھی کبھی گٹکا کی نمائشوں میں دکھایا جاتا ہے؟")</f>
        <v>چکرا کیا ہے، ایک ہتھیار جو کبھی کبھی گٹکا کی نمائشوں میں دکھایا جاتا ہے؟</v>
      </c>
      <c r="K94" s="6" t="str">
        <f>IFERROR(__xludf.DUMMYFUNCTION("GOOGLETRANSLATE(C94, ""en"", ""ur"")"),"A) ایک بھاری گدی، B) ایک لچکدار کوڑا، C) ایک تیز، گول سٹیل پھینکنے والی انگوٹھی، D) دو سر والا نیزہ")</f>
        <v>A) ایک بھاری گدی، B) ایک لچکدار کوڑا، C) ایک تیز، گول سٹیل پھینکنے والی انگوٹھی، D) دو سر والا نیزہ</v>
      </c>
      <c r="L94" s="6" t="str">
        <f>IFERROR(__xludf.DUMMYFUNCTION("GOOGLETRANSLATE(D94, ""en"", ""ur"")"),"سی) ایک تیز، سرکلر اسٹیل پھینکنے والی انگوٹھی")</f>
        <v>سی) ایک تیز، سرکلر اسٹیل پھینکنے والی انگوٹھی</v>
      </c>
      <c r="M94" s="6" t="str">
        <f>IFERROR(__xludf.DUMMYFUNCTION("GOOGLETRANSLATE(E94, ""en"", ""ur"")"),"چکر یا چکرم ایک روایتی سکھ پھینکنے والا ہتھیار ہے جو شہادت کی انگلی پر کاتا اور بڑی طاقت اور درستگی کے ساتھ پھینکا جاتا ہے۔")</f>
        <v>چکر یا چکرم ایک روایتی سکھ پھینکنے والا ہتھیار ہے جو شہادت کی انگلی پر کاتا اور بڑی طاقت اور درستگی کے ساتھ پھینکا جاتا ہے۔</v>
      </c>
    </row>
    <row r="95">
      <c r="A95" s="4">
        <v>94.0</v>
      </c>
      <c r="B95" s="5" t="s">
        <v>1562</v>
      </c>
      <c r="C95" s="5" t="s">
        <v>1563</v>
      </c>
      <c r="D95" s="5" t="s">
        <v>1564</v>
      </c>
      <c r="E95" s="5" t="s">
        <v>1565</v>
      </c>
      <c r="I95" s="6" t="str">
        <f>IFERROR(__xludf.DUMMYFUNCTION("GOOGLETRANSLATE(A95, ""en"", ""ur"")"),"94")</f>
        <v>94</v>
      </c>
      <c r="J95" s="6" t="str">
        <f>IFERROR(__xludf.DUMMYFUNCTION("GOOGLETRANSLATE(B95, ""en"", ""ur"")"),"ٹیم میچ میں ایک کھلاڑی زخمی ہوتا ہے۔ کیا انہیں وسط راؤنڈ میں تبدیل کیا جا سکتا ہے؟")</f>
        <v>ٹیم میچ میں ایک کھلاڑی زخمی ہوتا ہے۔ کیا انہیں وسط راؤنڈ میں تبدیل کیا جا سکتا ہے؟</v>
      </c>
      <c r="K95" s="6" t="str">
        <f>IFERROR(__xludf.DUMMYFUNCTION("GOOGLETRANSLATE(C95, ""en"", ""ur"")"),"A) ہاں، کسی بھی وقت، B) نہیں، متبادل صرف راؤنڈز کے درمیان ہو سکتا ہے، C) صرف اس صورت میں جب چوٹ سے خون بہہ رہا ہو، D) ٹیم کو راؤنڈ کو ضائع کرنا ہوگا۔")</f>
        <v>A) ہاں، کسی بھی وقت، B) نہیں، متبادل صرف راؤنڈز کے درمیان ہو سکتا ہے، C) صرف اس صورت میں جب چوٹ سے خون بہہ رہا ہو، D) ٹیم کو راؤنڈ کو ضائع کرنا ہوگا۔</v>
      </c>
      <c r="L95" s="6" t="str">
        <f>IFERROR(__xludf.DUMMYFUNCTION("GOOGLETRANSLATE(D95, ""en"", ""ur"")"),"ب) نہیں، متبادل صرف راؤنڈ کے درمیان ہو سکتا ہے۔")</f>
        <v>ب) نہیں، متبادل صرف راؤنڈ کے درمیان ہو سکتا ہے۔</v>
      </c>
      <c r="M95" s="6" t="str">
        <f>IFERROR(__xludf.DUMMYFUNCTION("GOOGLETRANSLATE(E95, ""en"", ""ur"")"),"حفاظت اور خلل کو روکنے کے لیے، راؤنڈ کے درمیان صرف ایک منٹ کے آرام کے دوران متبادل بنایا جا سکتا ہے۔")</f>
        <v>حفاظت اور خلل کو روکنے کے لیے، راؤنڈ کے درمیان صرف ایک منٹ کے آرام کے دوران متبادل بنایا جا سکتا ہے۔</v>
      </c>
    </row>
    <row r="96">
      <c r="A96" s="4">
        <v>95.0</v>
      </c>
      <c r="B96" s="5" t="s">
        <v>1566</v>
      </c>
      <c r="C96" s="5" t="s">
        <v>1567</v>
      </c>
      <c r="D96" s="5" t="s">
        <v>1568</v>
      </c>
      <c r="E96" s="5" t="s">
        <v>1569</v>
      </c>
      <c r="I96" s="6" t="str">
        <f>IFERROR(__xludf.DUMMYFUNCTION("GOOGLETRANSLATE(A96, ""en"", ""ur"")"),"95")</f>
        <v>95</v>
      </c>
      <c r="J96" s="6" t="str">
        <f>IFERROR(__xludf.DUMMYFUNCTION("GOOGLETRANSLATE(B96, ""en"", ""ur"")"),"""ڈھال تلوار"" (ڈھال اور تلوار) کی مشق کا اصل مقصد کیا ہے؟")</f>
        <v>"ڈھال تلوار" (ڈھال اور تلوار) کی مشق کا اصل مقصد کیا ہے؟</v>
      </c>
      <c r="K96" s="6" t="str">
        <f>IFERROR(__xludf.DUMMYFUNCTION("GOOGLETRANSLATE(C96, ""en"", ""ur"")"),"A) فٹ ورک کو بہتر بنانا، B) دفاعی (ڈھال) اور جارحانہ (تلوار) ہاتھوں کے درمیان ہم آہنگی پیدا کرنا، C) بازو کی طاقت پیدا کرنا، D) کتائی کی مشق کرنا")</f>
        <v>A) فٹ ورک کو بہتر بنانا، B) دفاعی (ڈھال) اور جارحانہ (تلوار) ہاتھوں کے درمیان ہم آہنگی پیدا کرنا، C) بازو کی طاقت پیدا کرنا، D) کتائی کی مشق کرنا</v>
      </c>
      <c r="L96" s="6" t="str">
        <f>IFERROR(__xludf.DUMMYFUNCTION("GOOGLETRANSLATE(D96, ""en"", ""ur"")"),"ب) دفاعی (ڈھال) اور جارحانہ (تلوار) ہاتھوں کے درمیان ہم آہنگی پیدا کرنا")</f>
        <v>ب) دفاعی (ڈھال) اور جارحانہ (تلوار) ہاتھوں کے درمیان ہم آہنگی پیدا کرنا</v>
      </c>
      <c r="M96" s="6" t="str">
        <f>IFERROR(__xludf.DUMMYFUNCTION("GOOGLETRANSLATE(E96, ""en"", ""ur"")"),"یہ سیکھنے کے لیے ایک بنیادی مشق ہے کہ ہموار، مربوط انداز میں بلاک اور جوابی حملہ کیسے کیا جائے۔")</f>
        <v>یہ سیکھنے کے لیے ایک بنیادی مشق ہے کہ ہموار، مربوط انداز میں بلاک اور جوابی حملہ کیسے کیا جائے۔</v>
      </c>
    </row>
    <row r="97">
      <c r="A97" s="4">
        <v>96.0</v>
      </c>
      <c r="B97" s="5" t="s">
        <v>1570</v>
      </c>
      <c r="C97" s="5" t="s">
        <v>1571</v>
      </c>
      <c r="D97" s="5" t="s">
        <v>1572</v>
      </c>
      <c r="E97" s="5" t="s">
        <v>1573</v>
      </c>
      <c r="I97" s="6" t="str">
        <f>IFERROR(__xludf.DUMMYFUNCTION("GOOGLETRANSLATE(A97, ""en"", ""ur"")"),"96")</f>
        <v>96</v>
      </c>
      <c r="J97" s="6" t="str">
        <f>IFERROR(__xludf.DUMMYFUNCTION("GOOGLETRANSLATE(B97, ""en"", ""ur"")"),"ایک کھلاڑی کو ""تیسرے فریق کی مداخلت"" کے لیے سزا دی جاتی ہے۔ کیا ہوا؟")</f>
        <v>ایک کھلاڑی کو "تیسرے فریق کی مداخلت" کے لیے سزا دی جاتی ہے۔ کیا ہوا؟</v>
      </c>
      <c r="K97" s="6" t="str">
        <f>IFERROR(__xludf.DUMMYFUNCTION("GOOGLETRANSLATE(C97, ""en"", ""ur"")"),"A) ایک تماشائی نے مشورہ دیا، B) کھلاڑی کے کوچ نے میدان میں قدم رکھا، C) ریفری کا دھیان بٹ گیا، D) کھلاڑی نے تین ہتھیار استعمال کیے")</f>
        <v>A) ایک تماشائی نے مشورہ دیا، B) کھلاڑی کے کوچ نے میدان میں قدم رکھا، C) ریفری کا دھیان بٹ گیا، D) کھلاڑی نے تین ہتھیار استعمال کیے</v>
      </c>
      <c r="L97" s="6" t="str">
        <f>IFERROR(__xludf.DUMMYFUNCTION("GOOGLETRANSLATE(D97, ""en"", ""ur"")"),"ب) کھلاڑی کے کوچ نے میدان میں قدم رکھا")</f>
        <v>ب) کھلاڑی کے کوچ نے میدان میں قدم رکھا</v>
      </c>
      <c r="M97" s="6" t="str">
        <f>IFERROR(__xludf.DUMMYFUNCTION("GOOGLETRANSLATE(E97, ""en"", ""ur"")"),"جنگی علاقے میں صرف دو حریف اور ریفری کو اجازت ہے۔ رنگ میں داخل ہونے والا کوچ ایک سنگین فاؤل ہے۔")</f>
        <v>جنگی علاقے میں صرف دو حریف اور ریفری کو اجازت ہے۔ رنگ میں داخل ہونے والا کوچ ایک سنگین فاؤل ہے۔</v>
      </c>
    </row>
    <row r="98">
      <c r="A98" s="4">
        <v>97.0</v>
      </c>
      <c r="B98" s="5" t="s">
        <v>1574</v>
      </c>
      <c r="C98" s="5" t="s">
        <v>1575</v>
      </c>
      <c r="D98" s="5" t="s">
        <v>1576</v>
      </c>
      <c r="E98" s="5" t="s">
        <v>1577</v>
      </c>
      <c r="I98" s="6" t="str">
        <f>IFERROR(__xludf.DUMMYFUNCTION("GOOGLETRANSLATE(A98, ""en"", ""ur"")"),"97")</f>
        <v>97</v>
      </c>
      <c r="J98" s="6" t="str">
        <f>IFERROR(__xludf.DUMMYFUNCTION("GOOGLETRANSLATE(B98, ""en"", ""ur"")"),"""سوتی"" یا ٹریننگ اسٹک کی معیاری لمبائی کتنی ہے؟")</f>
        <v>"سوتی" یا ٹریننگ اسٹک کی معیاری لمبائی کتنی ہے؟</v>
      </c>
      <c r="K98" s="6" t="str">
        <f>IFERROR(__xludf.DUMMYFUNCTION("GOOGLETRANSLATE(C98, ""en"", ""ur"")"),"A) تقریبا 1 میٹر (3-3.5 فٹ)، B) 2 میٹر، C) 0.5 میٹر، D) یہ بہت مختلف ہوتا ہے")</f>
        <v>A) تقریبا 1 میٹر (3-3.5 فٹ)، B) 2 میٹر، C) 0.5 میٹر، D) یہ بہت مختلف ہوتا ہے</v>
      </c>
      <c r="L98" s="6" t="str">
        <f>IFERROR(__xludf.DUMMYFUNCTION("GOOGLETRANSLATE(D98, ""en"", ""ur"")"),"A) تقریباً 1 میٹر (3-3.5 فٹ)")</f>
        <v>A) تقریباً 1 میٹر (3-3.5 فٹ)</v>
      </c>
      <c r="M98" s="6" t="str">
        <f>IFERROR(__xludf.DUMMYFUNCTION("GOOGLETRANSLATE(E98, ""en"", ""ur"")"),"چھڑی کو ایک ہاتھ والی تلوار کے محفوظ اور عملی سمیلیٹر کے طور پر ڈیزائن کیا گیا ہے۔")</f>
        <v>چھڑی کو ایک ہاتھ والی تلوار کے محفوظ اور عملی سمیلیٹر کے طور پر ڈیزائن کیا گیا ہے۔</v>
      </c>
    </row>
    <row r="99">
      <c r="A99" s="4">
        <v>98.0</v>
      </c>
      <c r="B99" s="5" t="s">
        <v>1578</v>
      </c>
      <c r="C99" s="5" t="s">
        <v>1579</v>
      </c>
      <c r="D99" s="5" t="s">
        <v>1580</v>
      </c>
      <c r="E99" s="5" t="s">
        <v>1581</v>
      </c>
      <c r="I99" s="6" t="str">
        <f>IFERROR(__xludf.DUMMYFUNCTION("GOOGLETRANSLATE(A99, ""en"", ""ur"")"),"98")</f>
        <v>98</v>
      </c>
      <c r="J99" s="6" t="str">
        <f>IFERROR(__xludf.DUMMYFUNCTION("GOOGLETRANSLATE(B99, ""en"", ""ur"")"),"ایک کھلاڑی ریفری کے فیصلے کے خلاف اپیل کرتا ہے۔ حتمی فیصلہ کون کرتا ہے؟")</f>
        <v>ایک کھلاڑی ریفری کے فیصلے کے خلاف اپیل کرتا ہے۔ حتمی فیصلہ کون کرتا ہے؟</v>
      </c>
      <c r="K99" s="6" t="str">
        <f>IFERROR(__xludf.DUMMYFUNCTION("GOOGLETRANSLATE(C99, ""en"", ""ur"")"),"A) دوسرے ریفری، B) ٹورنامنٹ کا ہیڈ جج یا جیوری پینل، C) سامعین، D) کھلاڑی کا اپنا کوچ")</f>
        <v>A) دوسرے ریفری، B) ٹورنامنٹ کا ہیڈ جج یا جیوری پینل، C) سامعین، D) کھلاڑی کا اپنا کوچ</v>
      </c>
      <c r="L99" s="6" t="str">
        <f>IFERROR(__xludf.DUMMYFUNCTION("GOOGLETRANSLATE(D99, ""en"", ""ur"")"),"ب) ٹورنامنٹ کا سربراہ جج یا جیوری پینل")</f>
        <v>ب) ٹورنامنٹ کا سربراہ جج یا جیوری پینل</v>
      </c>
      <c r="M99" s="6" t="str">
        <f>IFERROR(__xludf.DUMMYFUNCTION("GOOGLETRANSLATE(E99, ""en"", ""ur"")"),"ٹورنامنٹ کے سینئر حکام سے باضابطہ اپیل کی جاتی ہے جس کا فیصلہ حتمی ہوتا ہے۔")</f>
        <v>ٹورنامنٹ کے سینئر حکام سے باضابطہ اپیل کی جاتی ہے جس کا فیصلہ حتمی ہوتا ہے۔</v>
      </c>
    </row>
    <row r="100">
      <c r="A100" s="4">
        <v>99.0</v>
      </c>
      <c r="B100" s="5" t="s">
        <v>1582</v>
      </c>
      <c r="C100" s="5" t="s">
        <v>1583</v>
      </c>
      <c r="D100" s="5" t="s">
        <v>1584</v>
      </c>
      <c r="E100" s="5" t="s">
        <v>1585</v>
      </c>
      <c r="I100" s="6" t="str">
        <f>IFERROR(__xludf.DUMMYFUNCTION("GOOGLETRANSLATE(A100, ""en"", ""ur"")"),"99")</f>
        <v>99</v>
      </c>
      <c r="J100" s="6" t="str">
        <f>IFERROR(__xludf.DUMMYFUNCTION("GOOGLETRANSLATE(B100, ""en"", ""ur"")"),"""بیر آسن"" کا موقف وسیع اور پست کیوں ہے؟")</f>
        <v>"بیر آسن" کا موقف وسیع اور پست کیوں ہے؟</v>
      </c>
      <c r="K100" s="6" t="str">
        <f>IFERROR(__xludf.DUMMYFUNCTION("GOOGLETRANSLATE(C100, ""en"", ""ur"")"),"A)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f>
        <v>A) کھلاڑی کو چھوٹا ہدف بنانے کے لیے، B) زیادہ سے زیادہ استحکام اور بجلی پیدا کرنے کے لیے مرکز ثقل کو کم کرنے کے لیے، C) یہ آرام کرنے کا موقف ہے، D) ٹانگوں کے پٹھوں کو کھینچنا</v>
      </c>
      <c r="L100" s="6" t="str">
        <f>IFERROR(__xludf.DUMMYFUNCTION("GOOGLETRANSLATE(D100, ""en"", ""ur"")"),"ب) زیادہ سے زیادہ استحکام اور بجلی کی پیداوار کے لیے مرکز ثقل کو کم کرنا")</f>
        <v>ب) زیادہ سے زیادہ استحکام اور بجلی کی پیداوار کے لیے مرکز ثقل کو کم کرنا</v>
      </c>
      <c r="M100" s="6" t="str">
        <f>IFERROR(__xludf.DUMMYFUNCTION("GOOGLETRANSLATE(E100, ""en"", ""ur"")"),"ایک پست، زمینی موقف گٹکا میں تمام طاقت اور توازن کا ذریعہ ہے، دوسرے مارشل آرٹس کی طرح۔")</f>
        <v>ایک پست، زمینی موقف گٹکا میں تمام طاقت اور توازن کا ذریعہ ہے، دوسرے مارشل آرٹس کی طرح۔</v>
      </c>
    </row>
    <row r="101">
      <c r="A101" s="4">
        <v>100.0</v>
      </c>
      <c r="B101" s="5" t="s">
        <v>1586</v>
      </c>
      <c r="C101" s="5" t="s">
        <v>1587</v>
      </c>
      <c r="D101" s="5" t="s">
        <v>1588</v>
      </c>
      <c r="E101" s="5" t="s">
        <v>1589</v>
      </c>
      <c r="I101" s="6" t="str">
        <f>IFERROR(__xludf.DUMMYFUNCTION("GOOGLETRANSLATE(A101, ""en"", ""ur"")"),"100")</f>
        <v>100</v>
      </c>
      <c r="J101" s="6" t="str">
        <f>IFERROR(__xludf.DUMMYFUNCTION("GOOGLETRANSLATE(B101, ""en"", ""ur"")"),"ایک گٹکا پریکٹیشنر سے کون سی سب سے اہم خوبی کی توقع کی جاتی ہے، یہاں تک کہ لڑائی کی مہارت سے بھی زیادہ؟")</f>
        <v>ایک گٹکا پریکٹیشنر سے کون سی سب سے اہم خوبی کی توقع کی جاتی ہے، یہاں تک کہ لڑائی کی مہارت سے بھی زیادہ؟</v>
      </c>
      <c r="K101" s="6" t="str">
        <f>IFERROR(__xludf.DUMMYFUNCTION("GOOGLETRANSLATE(C101, ""en"", ""ur"")"),"A) جارحیت، B) دولت، C) عاجزی، نظم و ضبط، اور اعلی اخلاقی کردار، D) جسمانی طاقت")</f>
        <v>A) جارحیت، B) دولت، C) عاجزی، نظم و ضبط، اور اعلی اخلاقی کردار، D) جسمانی طاقت</v>
      </c>
      <c r="L101" s="6" t="str">
        <f>IFERROR(__xludf.DUMMYFUNCTION("GOOGLETRANSLATE(D101, ""en"", ""ur"")"),"ج) عاجزی، نظم و ضبط اور اعلیٰ اخلاقی کردار")</f>
        <v>ج) عاجزی، نظم و ضبط اور اعلیٰ اخلاقی کردار</v>
      </c>
      <c r="M101" s="6" t="str">
        <f>IFERROR(__xludf.DUMMYFUNCTION("GOOGLETRANSLATE(E101, ""en"", ""ur"")"),"اس فن کا حتمی مقصد ایک ""سنت سپاہی"" (ایک سینٹ سپاہی) بنانا ہے، ایک ایسا شخص جو روحانی طور پر نظم و ضبط اور جنگی طور پر ہنر مند ہو۔")</f>
        <v>اس فن کا حتمی مقصد ایک "سنت سپاہی" (ایک سینٹ سپاہی) بنانا ہے، ایک ایسا شخص جو روحانی طور پر نظم و ضبط اور جنگی طور پر ہنر مند ہو۔</v>
      </c>
    </row>
    <row r="102">
      <c r="A102" s="4">
        <v>101.0</v>
      </c>
      <c r="B102" s="5" t="s">
        <v>1590</v>
      </c>
      <c r="C102" s="5" t="s">
        <v>1591</v>
      </c>
      <c r="D102" s="5" t="s">
        <v>1592</v>
      </c>
      <c r="E102" s="5" t="s">
        <v>1593</v>
      </c>
      <c r="I102" s="6" t="str">
        <f>IFERROR(__xludf.DUMMYFUNCTION("GOOGLETRANSLATE(A102, ""en"", ""ur"")"),"101")</f>
        <v>101</v>
      </c>
      <c r="J102" s="6" t="str">
        <f>IFERROR(__xludf.DUMMYFUNCTION("GOOGLETRANSLATE(B102, ""en"", ""ur"")"),"گٹکا کے کچھ مقابلوں میں لازمی سولو فارم کا کیا نام ہے؟")</f>
        <v>گٹکا کے کچھ مقابلوں میں لازمی سولو فارم کا کیا نام ہے؟</v>
      </c>
      <c r="K102" s="6" t="str">
        <f>IFERROR(__xludf.DUMMYFUNCTION("GOOGLETRANSLATE(C102, ""en"", ""ur"")"),"A) جورس واجب، B) کاتا، C) پومسے، D) A اور B")</f>
        <v>A) جورس واجب، B) کاتا، C) پومسے، D) A اور B</v>
      </c>
      <c r="L102" s="6" t="str">
        <f>IFERROR(__xludf.DUMMYFUNCTION("GOOGLETRANSLATE(D102, ""en"", ""ur"")"),"ا) جورس واجب")</f>
        <v>ا) جورس واجب</v>
      </c>
      <c r="M102" s="6" t="str">
        <f>IFERROR(__xludf.DUMMYFUNCTION("GOOGLETRANSLATE(E102, ""en"", ""ur"")"),"""جورس واجب"" کا ترجمہ ""لازمی شکل"" میں ہوتا ہے، ایک مقررہ معمول جو کھلاڑی کی تکنیکی مہارت کا فیصلہ کرنے کے لیے استعمال ہوتا ہے۔")</f>
        <v>"جورس واجب" کا ترجمہ "لازمی شکل" میں ہوتا ہے، ایک مقررہ معمول جو کھلاڑی کی تکنیکی مہارت کا فیصلہ کرنے کے لیے استعمال ہوتا ہے۔</v>
      </c>
    </row>
    <row r="103">
      <c r="A103" s="4">
        <v>102.0</v>
      </c>
      <c r="B103" s="5" t="s">
        <v>1594</v>
      </c>
      <c r="C103" s="5" t="s">
        <v>1595</v>
      </c>
      <c r="D103" s="5" t="s">
        <v>1497</v>
      </c>
      <c r="E103" s="5" t="s">
        <v>1596</v>
      </c>
      <c r="I103" s="6" t="str">
        <f>IFERROR(__xludf.DUMMYFUNCTION("GOOGLETRANSLATE(A103, ""en"", ""ur"")"),"102")</f>
        <v>102</v>
      </c>
      <c r="J103" s="6" t="str">
        <f>IFERROR(__xludf.DUMMYFUNCTION("GOOGLETRANSLATE(B103, ""en"", ""ur"")"),"گٹکا میں 'پینٹس' فٹ ورک پیٹرن کا بنیادی مقصد کیا ہے؟")</f>
        <v>گٹکا میں 'پینٹس' فٹ ورک پیٹرن کا بنیادی مقصد کیا ہے؟</v>
      </c>
      <c r="K103" s="6" t="str">
        <f>IFERROR(__xludf.DUMMYFUNCTION("GOOGLETRANSLATE(C103, ""en"", ""ur"")"),"A) یہ ایک رسمی رقص ہے، B) یہ حملے اور دفاع کے زاویے سکھانے کے لیے ایک بنیادی مشق ہے، C) یہ حملوں سے بچنے کے لیے جمپنگ تکنیک ہے، D) یہ قوت برداشت کو بہتر بنانے کے لیے سانس لینے کی مشق ہے۔")</f>
        <v>A) یہ ایک رسمی رقص ہے، B) یہ حملے اور دفاع کے زاویے سکھانے کے لیے ایک بنیادی مشق ہے، C) یہ حملوں سے بچنے کے لیے جمپنگ تکنیک ہے، D) یہ قوت برداشت کو بہتر بنانے کے لیے سانس لینے کی مشق ہے۔</v>
      </c>
      <c r="L103" s="6" t="str">
        <f>IFERROR(__xludf.DUMMYFUNCTION("GOOGLETRANSLATE(D103, ""en"", ""ur"")"),"ب) یہ حملے اور دفاع کے زاویے سکھانے کے لیے ایک بنیادی مشق ہے۔")</f>
        <v>ب) یہ حملے اور دفاع کے زاویے سکھانے کے لیے ایک بنیادی مشق ہے۔</v>
      </c>
      <c r="M103" s="6" t="str">
        <f>IFERROR(__xludf.DUMMYFUNCTION("GOOGLETRANSLATE(E103, ""en"", ""ur"")"),"'پینٹس' ایک کلیدی فٹ ورک پیٹرن ہے جو ایک لڑاکا کو روانی سے حرکت کرنے اور جارحانہ اور دفاعی دونوں حربوں کے لیے فائدہ مند زاویے بنانے کی تربیت دیتا ہے۔")</f>
        <v>'پینٹس' ایک کلیدی فٹ ورک پیٹرن ہے جو ایک لڑاکا کو روانی سے حرکت کرنے اور جارحانہ اور دفاعی دونوں حربوں کے لیے فائدہ مند زاویے بنانے کی تربیت دیتا ہے۔</v>
      </c>
    </row>
    <row r="104">
      <c r="A104" s="4">
        <v>103.0</v>
      </c>
      <c r="B104" s="5" t="s">
        <v>1597</v>
      </c>
      <c r="C104" s="5" t="s">
        <v>1598</v>
      </c>
      <c r="D104" s="5" t="s">
        <v>1599</v>
      </c>
      <c r="E104" s="5" t="s">
        <v>1600</v>
      </c>
      <c r="I104" s="6" t="str">
        <f>IFERROR(__xludf.DUMMYFUNCTION("GOOGLETRANSLATE(A104, ""en"", ""ur"")"),"103")</f>
        <v>103</v>
      </c>
      <c r="J104" s="6" t="str">
        <f>IFERROR(__xludf.DUMMYFUNCTION("GOOGLETRANSLATE(B104, ""en"", ""ur"")"),"گٹکا میں کھنڈا کی اصطلاح کیا معنی رکھتی ہے؟")</f>
        <v>گٹکا میں کھنڈا کی اصطلاح کیا معنی رکھتی ہے؟</v>
      </c>
      <c r="K104" s="6" t="str">
        <f>IFERROR(__xludf.DUMMYFUNCTION("GOOGLETRANSLATE(C104, ""en"", ""ur"")"),"A) دفاعی بلاک کی ایک قسم، B) روایتی دو دھاری تلوار، C) لڑائی کا میدان، D) ایک جنگجو کی روح")</f>
        <v>A) دفاعی بلاک کی ایک قسم، B) روایتی دو دھاری تلوار، C) لڑائی کا میدان، D) ایک جنگجو کی روح</v>
      </c>
      <c r="L104" s="6" t="str">
        <f>IFERROR(__xludf.DUMMYFUNCTION("GOOGLETRANSLATE(D104, ""en"", ""ur"")"),"ب) ایک روایتی دو دھاری تلوار")</f>
        <v>ب) ایک روایتی دو دھاری تلوار</v>
      </c>
      <c r="M104" s="6" t="str">
        <f>IFERROR(__xludf.DUMMYFUNCTION("GOOGLETRANSLATE(E104, ""en"", ""ur"")"),"کھنڈا ایک سیدھی، چوڑی، دو دھاری تلوار ہے، جو الہی طاقت کی علامت ہے اور سکھ جنگی تاریخ میں ایک بنیادی ہتھیار ہے، جو اکثر جدید گٹکا میں استعمال ہوتا ہے۔")</f>
        <v>کھنڈا ایک سیدھی، چوڑی، دو دھاری تلوار ہے، جو الہی طاقت کی علامت ہے اور سکھ جنگی تاریخ میں ایک بنیادی ہتھیار ہے، جو اکثر جدید گٹکا میں استعمال ہوتا ہے۔</v>
      </c>
    </row>
    <row r="105">
      <c r="A105" s="4">
        <v>104.0</v>
      </c>
      <c r="B105" s="5" t="s">
        <v>1601</v>
      </c>
      <c r="C105" s="5" t="s">
        <v>1602</v>
      </c>
      <c r="D105" s="5" t="s">
        <v>1603</v>
      </c>
      <c r="E105" s="5" t="s">
        <v>1604</v>
      </c>
      <c r="I105" s="6" t="str">
        <f>IFERROR(__xludf.DUMMYFUNCTION("GOOGLETRANSLATE(A105, ""en"", ""ur"")"),"104")</f>
        <v>104</v>
      </c>
      <c r="J105" s="6" t="str">
        <f>IFERROR(__xludf.DUMMYFUNCTION("GOOGLETRANSLATE(B105, ""en"", ""ur"")"),"ایک گٹکا لڑاکا کو ""غیر قانونی حصے پر حملہ کرنے"" کی سزا دی جاتی ہے۔ زیادہ تر مقابلوں میں مندرجہ ذیل میں سے کس کو قانونی ہدف سمجھا جاتا ہے؟")</f>
        <v>ایک گٹکا لڑاکا کو "غیر قانونی حصے پر حملہ کرنے" کی سزا دی جاتی ہے۔ زیادہ تر مقابلوں میں مندرجہ ذیل میں سے کس کو قانونی ہدف سمجھا جاتا ہے؟</v>
      </c>
      <c r="K105" s="6" t="str">
        <f>IFERROR(__xludf.DUMMYFUNCTION("GOOGLETRANSLATE(C105, ""en"", ""ur"")"),"A) چہرہ، B) سر کا پچھلا حصہ، C) سینہ اور اوپری جسم، D) گلا اور گردن")</f>
        <v>A) چہرہ، B) سر کا پچھلا حصہ، C) سینہ اور اوپری جسم، D) گلا اور گردن</v>
      </c>
      <c r="L105" s="6" t="str">
        <f>IFERROR(__xludf.DUMMYFUNCTION("GOOGLETRANSLATE(D105, ""en"", ""ur"")"),"ج) سینے اور اوپری جسم")</f>
        <v>ج) سینے اور اوپری جسم</v>
      </c>
      <c r="M105" s="6" t="str">
        <f>IFERROR(__xludf.DUMMYFUNCTION("GOOGLETRANSLATE(E105, ""en"", ""ur"")"),"ٹینڈنگ (جھاڑی کے مقابلوں) میں، واحد قانونی ہدف عام طور پر دھڑ ہوتا ہے، جس کی تعریف جسم کے محافظ کے زیر احاطہ علاقے کے طور پر کی جاتی ہے، اور بعض صورتوں میں، سر کے پوشاک۔")</f>
        <v>ٹینڈنگ (جھاڑی کے مقابلوں) میں، واحد قانونی ہدف عام طور پر دھڑ ہوتا ہے، جس کی تعریف جسم کے محافظ کے زیر احاطہ علاقے کے طور پر کی جاتی ہے، اور بعض صورتوں میں، سر کے پوشاک۔</v>
      </c>
    </row>
    <row r="106">
      <c r="A106" s="4">
        <v>105.0</v>
      </c>
      <c r="B106" s="5" t="s">
        <v>1605</v>
      </c>
      <c r="C106" s="5" t="s">
        <v>1606</v>
      </c>
      <c r="D106" s="5" t="s">
        <v>1607</v>
      </c>
      <c r="E106" s="5" t="s">
        <v>1608</v>
      </c>
      <c r="I106" s="6" t="str">
        <f>IFERROR(__xludf.DUMMYFUNCTION("GOOGLETRANSLATE(A106, ""en"", ""ur"")"),"105")</f>
        <v>105</v>
      </c>
      <c r="J106" s="6" t="str">
        <f>IFERROR(__xludf.DUMMYFUNCTION("GOOGLETRANSLATE(B106, ""en"", ""ur"")"),"گٹکا میں ""Cimande"" فٹ ورک کے پیچھے بنیادی اصول کیا ہے؟")</f>
        <v>گٹکا میں "Cimande" فٹ ورک کے پیچھے بنیادی اصول کیا ہے؟</v>
      </c>
      <c r="K106" s="6" t="str">
        <f>IFERROR(__xludf.DUMMYFUNCTION("GOOGLETRANSLATE(C106, ""en"", ""ur"")"),"A) ہمیشہ آگے بڑھنا اور جارحانہ ہونا، B) کبھی بھی پیروں کو عبور نہ کرنا اور زمین سے مستحکم تعلق برقرار رکھنا، C) چوری کے لیے اونچے، اچھلتے قدموں کا استعمال، D) ایک جگہ کھڑے ہونا اور اوپری جسم کی حرکت پر انحصار کرنا")</f>
        <v>A) ہمیشہ آگے بڑھنا اور جارحانہ ہونا، B) کبھی بھی پیروں کو عبور نہ کرنا اور زمین سے مستحکم تعلق برقرار رکھنا، C) چوری کے لیے اونچے، اچھلتے قدموں کا استعمال، D) ایک جگہ کھڑے ہونا اور اوپری جسم کی حرکت پر انحصار کرنا</v>
      </c>
      <c r="L106" s="6" t="str">
        <f>IFERROR(__xludf.DUMMYFUNCTION("GOOGLETRANSLATE(D106, ""en"", ""ur"")"),"ب) کبھی بھی پیروں کو پار نہ کرنا اور زمین سے مستحکم تعلق برقرار رکھنا")</f>
        <v>ب) کبھی بھی پیروں کو پار نہ کرنا اور زمین سے مستحکم تعلق برقرار رکھنا</v>
      </c>
      <c r="M106" s="6" t="str">
        <f>IFERROR(__xludf.DUMMYFUNCTION("GOOGLETRANSLATE(E106, ""en"", ""ur"")"),"Cimande، Pencak Silat کا ایک انداز، زمینی، مستحکم فٹ ورک پر زور دیتا ہے تاکہ یہ یقینی بنایا جا سکے کہ لڑاکا حرکت کے دوران کبھی بھی توازن سے باہر نہ ہو، یہ اصول کچھ گٹکا سکولوں میں بھی پایا جاتا ہے۔")</f>
        <v>Cimande، Pencak Silat کا ایک انداز، زمینی، مستحکم فٹ ورک پر زور دیتا ہے تاکہ یہ یقینی بنایا جا سکے کہ لڑاکا حرکت کے دوران کبھی بھی توازن سے باہر نہ ہو، یہ اصول کچھ گٹکا سکولوں میں بھی پایا جاتا ہے۔</v>
      </c>
    </row>
    <row r="107">
      <c r="A107" s="4">
        <v>106.0</v>
      </c>
      <c r="B107" s="5" t="s">
        <v>1609</v>
      </c>
      <c r="C107" s="5" t="s">
        <v>1610</v>
      </c>
      <c r="D107" s="5" t="s">
        <v>1611</v>
      </c>
      <c r="E107" s="5" t="s">
        <v>1612</v>
      </c>
      <c r="I107" s="6" t="str">
        <f>IFERROR(__xludf.DUMMYFUNCTION("GOOGLETRANSLATE(A107, ""en"", ""ur"")"),"106")</f>
        <v>106</v>
      </c>
      <c r="J107" s="6" t="str">
        <f>IFERROR(__xludf.DUMMYFUNCTION("GOOGLETRANSLATE(B107, ""en"", ""ur"")"),"مقابلے میں تیز چھڑی رکھنے والے کھلاڑی کے لیے کیا سزا ہے؟")</f>
        <v>مقابلے میں تیز چھڑی رکھنے والے کھلاڑی کے لیے کیا سزا ہے؟</v>
      </c>
      <c r="K107" s="6" t="str">
        <f>IFERROR(__xludf.DUMMYFUNCTION("GOOGLETRANSLATE(C107, ""en"", ""ur"")"),"A) چھڑی کو تبدیل کیا جاتا ہے، B) وارننگ جاری کی جاتی ہے، C) کھلاڑی کو فوری طور پر نااہل قرار دیا جاتا ہے، D) 5 پوائنٹ کا جرمانہ دیا جاتا ہے۔")</f>
        <v>A) چھڑی کو تبدیل کیا جاتا ہے، B) وارننگ جاری کی جاتی ہے، C) کھلاڑی کو فوری طور پر نااہل قرار دیا جاتا ہے، D) 5 پوائنٹ کا جرمانہ دیا جاتا ہے۔</v>
      </c>
      <c r="L107" s="6" t="str">
        <f>IFERROR(__xludf.DUMMYFUNCTION("GOOGLETRANSLATE(D107, ""en"", ""ur"")"),"ج) کھلاڑی کو فوری طور پر نااہل قرار دے دیا جاتا ہے۔")</f>
        <v>ج) کھلاڑی کو فوری طور پر نااہل قرار دے دیا جاتا ہے۔</v>
      </c>
      <c r="M107" s="6" t="str">
        <f>IFERROR(__xludf.DUMMYFUNCTION("GOOGLETRANSLATE(E107, ""en"", ""ur"")"),"سازوسامان کو مزید خطرناک بنانے کے لیے اس کے ساتھ چھیڑ چھاڑ حفاظت کی ایک بڑی خلاف ورزی اور دھوکہ دہی کا عمل ہے، جس کے نتیجے میں نااہلی ہوتی ہے۔")</f>
        <v>سازوسامان کو مزید خطرناک بنانے کے لیے اس کے ساتھ چھیڑ چھاڑ حفاظت کی ایک بڑی خلاف ورزی اور دھوکہ دہی کا عمل ہے، جس کے نتیجے میں نااہلی ہوتی ہے۔</v>
      </c>
    </row>
    <row r="108">
      <c r="A108" s="4">
        <v>107.0</v>
      </c>
      <c r="B108" s="5" t="s">
        <v>1613</v>
      </c>
      <c r="C108" s="5" t="s">
        <v>1614</v>
      </c>
      <c r="D108" s="5" t="s">
        <v>1615</v>
      </c>
      <c r="E108" s="5" t="s">
        <v>1616</v>
      </c>
      <c r="I108" s="6" t="str">
        <f>IFERROR(__xludf.DUMMYFUNCTION("GOOGLETRANSLATE(A108, ""en"", ""ur"")"),"107")</f>
        <v>107</v>
      </c>
      <c r="J108" s="6" t="str">
        <f>IFERROR(__xludf.DUMMYFUNCTION("GOOGLETRANSLATE(B108, ""en"", ""ur"")"),"ٹیم ایونٹ میں، اگر کوئی کھلاڑی زخمی ہو جائے اور اس کی ٹیم کے پاس کوئی متبادل نہ ہو، تو نتیجہ کیا نکلتا ہے؟")</f>
        <v>ٹیم ایونٹ میں، اگر کوئی کھلاڑی زخمی ہو جائے اور اس کی ٹیم کے پاس کوئی متبادل نہ ہو، تو نتیجہ کیا نکلتا ہے؟</v>
      </c>
      <c r="K108" s="6" t="str">
        <f>IFERROR(__xludf.DUMMYFUNCTION("GOOGLETRANSLATE(C108, ""en"", ""ur"")"),"A) ٹیم کو میچ ہارنا ہوگا، B) وہ ایک کم کھلاڑی کے ساتھ کھیل سکتے ہیں، C) زخمی کھلاڑی کو جاری رکھنا چاہیے، D) میچ ڈرا قرار دیا گیا ہے۔")</f>
        <v>A) ٹیم کو میچ ہارنا ہوگا، B) وہ ایک کم کھلاڑی کے ساتھ کھیل سکتے ہیں، C) زخمی کھلاڑی کو جاری رکھنا چاہیے، D) میچ ڈرا قرار دیا گیا ہے۔</v>
      </c>
      <c r="L108" s="6" t="str">
        <f>IFERROR(__xludf.DUMMYFUNCTION("GOOGLETRANSLATE(D108, ""en"", ""ur"")"),"A) ٹیم کو میچ ہارنا ہوگا۔")</f>
        <v>A) ٹیم کو میچ ہارنا ہوگا۔</v>
      </c>
      <c r="M108" s="6" t="str">
        <f>IFERROR(__xludf.DUMMYFUNCTION("GOOGLETRANSLATE(E108, ""en"", ""ur"")"),"ایک ٹیم کو مطلوبہ تعداد میں کھلاڑیوں کو میدان میں اتارنے کے قابل ہونا چاہیے۔ اگر وہ چوٹ اور متبادل کی کمی کی وجہ سے نہیں کر سکتے ہیں، تو انہیں ضائع کرنا ہوگا۔")</f>
        <v>ایک ٹیم کو مطلوبہ تعداد میں کھلاڑیوں کو میدان میں اتارنے کے قابل ہونا چاہیے۔ اگر وہ چوٹ اور متبادل کی کمی کی وجہ سے نہیں کر سکتے ہیں، تو انہیں ضائع کرنا ہوگا۔</v>
      </c>
    </row>
    <row r="109">
      <c r="A109" s="4">
        <v>108.0</v>
      </c>
      <c r="B109" s="5" t="s">
        <v>1617</v>
      </c>
      <c r="C109" s="5" t="s">
        <v>1618</v>
      </c>
      <c r="D109" s="5" t="s">
        <v>1619</v>
      </c>
      <c r="E109" s="5" t="s">
        <v>1620</v>
      </c>
      <c r="I109" s="6" t="str">
        <f>IFERROR(__xludf.DUMMYFUNCTION("GOOGLETRANSLATE(A109, ""en"", ""ur"")"),"108")</f>
        <v>108</v>
      </c>
      <c r="J109" s="6" t="str">
        <f>IFERROR(__xludf.DUMMYFUNCTION("GOOGLETRANSLATE(B109, ""en"", ""ur"")"),"گٹکا کی بہت سی تربیتی چھڑیوں پر پائے جانے والے چمڑے کی ٹوکری کا مقصد کیا ہے؟")</f>
        <v>گٹکا کی بہت سی تربیتی چھڑیوں پر پائے جانے والے چمڑے کی ٹوکری کا مقصد کیا ہے؟</v>
      </c>
      <c r="K109" s="6" t="str">
        <f>IFERROR(__xludf.DUMMYFUNCTION("GOOGLETRANSLATE(C109, ""en"", ""ur"")"),"A) یہ سجاوٹ کے لیے ہے، B) یہ کھلاڑی کے ہاتھ کو مارنے سے بچاتا ہے، C) یہ تربیت کے لیے چھڑی کا وزن بڑھاتا ہے، D) یہ کھلاڑی کی گرفت کو بہتر بناتا ہے۔")</f>
        <v>A) یہ سجاوٹ کے لیے ہے، B) یہ کھلاڑی کے ہاتھ کو مارنے سے بچاتا ہے، C) یہ تربیت کے لیے چھڑی کا وزن بڑھاتا ہے، D) یہ کھلاڑی کی گرفت کو بہتر بناتا ہے۔</v>
      </c>
      <c r="L109" s="6" t="str">
        <f>IFERROR(__xludf.DUMMYFUNCTION("GOOGLETRANSLATE(D109, ""en"", ""ur"")"),"ب) یہ کھلاڑی کے ہاتھ کو مارنے سے بچاتا ہے۔")</f>
        <v>ب) یہ کھلاڑی کے ہاتھ کو مارنے سے بچاتا ہے۔</v>
      </c>
      <c r="M109" s="6" t="str">
        <f>IFERROR(__xludf.DUMMYFUNCTION("GOOGLETRANSLATE(E109, ""en"", ""ur"")"),"ٹوکری ہلٹ حفاظتی سازوسامان کا ایک اہم ٹکڑا ہے جو ہنگامہ آرائی کے دوران ہاتھ اور پیروں کو براہ راست مار سے بچاتا ہے۔")</f>
        <v>ٹوکری ہلٹ حفاظتی سازوسامان کا ایک اہم ٹکڑا ہے جو ہنگامہ آرائی کے دوران ہاتھ اور پیروں کو براہ راست مار سے بچاتا ہے۔</v>
      </c>
    </row>
    <row r="110">
      <c r="A110" s="4">
        <v>109.0</v>
      </c>
      <c r="B110" s="5" t="s">
        <v>1621</v>
      </c>
      <c r="C110" s="5" t="s">
        <v>1622</v>
      </c>
      <c r="D110" s="5" t="s">
        <v>1623</v>
      </c>
      <c r="E110" s="5" t="s">
        <v>1624</v>
      </c>
      <c r="I110" s="6" t="str">
        <f>IFERROR(__xludf.DUMMYFUNCTION("GOOGLETRANSLATE(A110, ""en"", ""ur"")"),"109")</f>
        <v>109</v>
      </c>
      <c r="J110" s="6" t="str">
        <f>IFERROR(__xludf.DUMMYFUNCTION("GOOGLETRANSLATE(B110, ""en"", ""ur"")"),"جدید مقابلوں میں استعمال ہونے والی شیلڈ (فاری) کے لیے سب سے عام مواد کیا ہے؟")</f>
        <v>جدید مقابلوں میں استعمال ہونے والی شیلڈ (فاری) کے لیے سب سے عام مواد کیا ہے؟</v>
      </c>
      <c r="K110" s="6" t="str">
        <f>IFERROR(__xludf.DUMMYFUNCTION("GOOGLETRANSLATE(C110, ""en"", ""ur"")"),"A) سٹیل، B) لکڑی، C) ایک فریم پر پھیلا ہوا چمڑا، D) سخت پلاسٹک")</f>
        <v>A) سٹیل، B) لکڑی، C) ایک فریم پر پھیلا ہوا چمڑا، D) سخت پلاسٹک</v>
      </c>
      <c r="L110" s="6" t="str">
        <f>IFERROR(__xludf.DUMMYFUNCTION("GOOGLETRANSLATE(D110, ""en"", ""ur"")"),"ج) ایک فریم پر پھیلا ہوا چمڑا")</f>
        <v>ج) ایک فریم پر پھیلا ہوا چمڑا</v>
      </c>
      <c r="M110" s="6" t="str">
        <f>IFERROR(__xludf.DUMMYFUNCTION("GOOGLETRANSLATE(E110, ""en"", ""ur"")"),"روایتی فاری جانوروں کی خشک کھال سے بنائی جاتی ہے، اور جدید ورژن اسے چمڑے کے ساتھ مضبوط لیکن ہلکے وزن کے فریم پر نقل کرتے ہیں۔")</f>
        <v>روایتی فاری جانوروں کی خشک کھال سے بنائی جاتی ہے، اور جدید ورژن اسے چمڑے کے ساتھ مضبوط لیکن ہلکے وزن کے فریم پر نقل کرتے ہیں۔</v>
      </c>
    </row>
    <row r="111">
      <c r="A111" s="4">
        <v>110.0</v>
      </c>
      <c r="B111" s="5" t="s">
        <v>1625</v>
      </c>
      <c r="C111" s="5" t="s">
        <v>1626</v>
      </c>
      <c r="D111" s="5" t="s">
        <v>1556</v>
      </c>
      <c r="E111" s="5" t="s">
        <v>1627</v>
      </c>
      <c r="I111" s="6" t="str">
        <f>IFERROR(__xludf.DUMMYFUNCTION("GOOGLETRANSLATE(A111, ""en"", ""ur"")"),"110")</f>
        <v>110</v>
      </c>
      <c r="J111" s="6" t="str">
        <f>IFERROR(__xludf.DUMMYFUNCTION("GOOGLETRANSLATE(B111, ""en"", ""ur"")"),"ایک ریفری کسی کھلاڑی کو ""غیر فعال کھیل"" کے لیے خبردار کرتا ہے۔ گٹکا کے تناظر میں اس کا کیا مطلب ہے؟")</f>
        <v>ایک ریفری کسی کھلاڑی کو "غیر فعال کھیل" کے لیے خبردار کرتا ہے۔ گٹکا کے تناظر میں اس کا کیا مطلب ہے؟</v>
      </c>
      <c r="K111" s="6" t="str">
        <f>IFERROR(__xludf.DUMMYFUNCTION("GOOGLETRANSLATE(C111, ""en"", ""ur"")"),"A) کھلاڑی حملہ نہیں کر رہا ہے اور صرف دفاع کر رہا ہے یا بچ رہا ہے، B) کھلاڑی اصولوں پر صحیح طریقے سے عمل نہیں کر رہا ہے، C) کھلاڑی میچ کے دوران بہت زیادہ خاموش ہے، D) کھلاڑی نے صحیح یونیفارم نہیں پہنی ہوئی ہے۔")</f>
        <v>A) کھلاڑی حملہ نہیں کر رہا ہے اور صرف دفاع کر رہا ہے یا بچ رہا ہے، B) کھلاڑی اصولوں پر صحیح طریقے سے عمل نہیں کر رہا ہے، C) کھلاڑی میچ کے دوران بہت زیادہ خاموش ہے، D) کھلاڑی نے صحیح یونیفارم نہیں پہنی ہوئی ہے۔</v>
      </c>
      <c r="L111" s="6" t="str">
        <f>IFERROR(__xludf.DUMMYFUNCTION("GOOGLETRANSLATE(D111, ""en"", ""ur"")"),"A) کھلاڑی حملہ نہیں کر رہا ہے اور صرف دفاع کر رہا ہے یا بچ رہا ہے۔")</f>
        <v>A) کھلاڑی حملہ نہیں کر رہا ہے اور صرف دفاع کر رہا ہے یا بچ رہا ہے۔</v>
      </c>
      <c r="M111" s="6" t="str">
        <f>IFERROR(__xludf.DUMMYFUNCTION("GOOGLETRANSLATE(E111, ""en"", ""ur"")"),"ایک کھلاڑی کو لڑائی میں فعال طور پر مشغول ہونا چاہیے۔ مسلسل پیچھے ہٹنا یا حملہ کرنے سے انکار کرنے کے نتیجے میں غیر فعال ہونے کی سزا ہوگی۔")</f>
        <v>ایک کھلاڑی کو لڑائی میں فعال طور پر مشغول ہونا چاہیے۔ مسلسل پیچھے ہٹنا یا حملہ کرنے سے انکار کرنے کے نتیجے میں غیر فعال ہونے کی سزا ہوگی۔</v>
      </c>
    </row>
    <row r="112">
      <c r="A112" s="4">
        <v>111.0</v>
      </c>
      <c r="B112" s="5" t="s">
        <v>1628</v>
      </c>
      <c r="C112" s="5" t="s">
        <v>1629</v>
      </c>
      <c r="D112" s="5" t="s">
        <v>1630</v>
      </c>
      <c r="E112" s="5" t="s">
        <v>1631</v>
      </c>
      <c r="I112" s="6" t="str">
        <f>IFERROR(__xludf.DUMMYFUNCTION("GOOGLETRANSLATE(A112, ""en"", ""ur"")"),"111")</f>
        <v>111</v>
      </c>
      <c r="J112" s="6" t="str">
        <f>IFERROR(__xludf.DUMMYFUNCTION("GOOGLETRANSLATE(B112, ""en"", ""ur"")"),"تلوار اور کھنڈا تلوار میں بنیادی فرق کیا ہے؟")</f>
        <v>تلوار اور کھنڈا تلوار میں بنیادی فرق کیا ہے؟</v>
      </c>
      <c r="K112" s="6" t="str">
        <f>IFERROR(__xludf.DUMMYFUNCTION("GOOGLETRANSLATE(C112, ""en"", ""ur"")"),"A) تلوار ایک منحنی صابری ہے، جبکہ کھنڈہ ایک سیدھی، دو دھاری تلوار ہے، B) تلوار ایک تربیتی تلوار ہے، جبکہ کھنڈہ اصلی ہے، C) تلوار ایک لاٹھی ہے، جبکہ کھنڈا ایک تلوار ہے، D) ان میں کوئی فرق نہیں ہے۔")</f>
        <v>A) تلوار ایک منحنی صابری ہے، جبکہ کھنڈہ ایک سیدھی، دو دھاری تلوار ہے، B) تلوار ایک تربیتی تلوار ہے، جبکہ کھنڈہ اصلی ہے، C) تلوار ایک لاٹھی ہے، جبکہ کھنڈا ایک تلوار ہے، D) ان میں کوئی فرق نہیں ہے۔</v>
      </c>
      <c r="L112" s="6" t="str">
        <f>IFERROR(__xludf.DUMMYFUNCTION("GOOGLETRANSLATE(D112, ""en"", ""ur"")"),"ا) تلوار ایک خمیدہ صابری ہے، جبکہ کھنڈہ ایک سیدھی، دو دھاری تلوار ہے۔")</f>
        <v>ا) تلوار ایک خمیدہ صابری ہے، جبکہ کھنڈہ ایک سیدھی، دو دھاری تلوار ہے۔</v>
      </c>
      <c r="M112" s="6" t="str">
        <f>IFERROR(__xludf.DUMMYFUNCTION("GOOGLETRANSLATE(E112, ""en"", ""ur"")"),"یہ گٹکا میں استعمال ہونے والی روایتی ہندوستانی تلواروں کی دو الگ الگ قسمیں ہیں، ہر ایک کی اپنی ہینڈلنگ کی خصوصیات اور تکنیک ہیں۔")</f>
        <v>یہ گٹکا میں استعمال ہونے والی روایتی ہندوستانی تلواروں کی دو الگ الگ قسمیں ہیں، ہر ایک کی اپنی ہینڈلنگ کی خصوصیات اور تکنیک ہیں۔</v>
      </c>
    </row>
    <row r="113">
      <c r="A113" s="4">
        <v>112.0</v>
      </c>
      <c r="B113" s="5" t="s">
        <v>1632</v>
      </c>
      <c r="C113" s="5" t="s">
        <v>1633</v>
      </c>
      <c r="D113" s="5" t="s">
        <v>1634</v>
      </c>
      <c r="E113" s="5" t="s">
        <v>1635</v>
      </c>
      <c r="I113" s="6" t="str">
        <f>IFERROR(__xludf.DUMMYFUNCTION("GOOGLETRANSLATE(A113, ""en"", ""ur"")"),"112")</f>
        <v>112</v>
      </c>
      <c r="J113" s="6" t="str">
        <f>IFERROR(__xludf.DUMMYFUNCTION("GOOGLETRANSLATE(B113, ""en"", ""ur"")"),"گٹکا کے ججوں کے لیے بہت سے مختلف طرزوں (اکھاڑوں) سے واقف ہونا کیوں ضروری ہے؟")</f>
        <v>گٹکا کے ججوں کے لیے بہت سے مختلف طرزوں (اکھاڑوں) سے واقف ہونا کیوں ضروری ہے؟</v>
      </c>
      <c r="K113" s="6" t="str">
        <f>IFERROR(__xludf.DUMMYFUNCTION("GOOGLETRANSLATE(C113, ""en"", ""ur"")"),"A) اپنے لیے بہترین انداز کا انتخاب کرنے کے لیے، B) روایتی عناصر اور ہر لڑاکا کے پس منظر کے لیے منفرد تکنیکوں کو منصفانہ طور پر اسکور کرنے کے لیے، C) اس بات کو یقینی بنانے کے لیے کہ تمام جنگجو مقابلے میں ایک ہی انداز کا استعمال کریں، D) ججوں کے لیے ان سے و"&amp;"اقف ہونا ضروری نہیں ہے۔")</f>
        <v>A) اپنے لیے بہترین انداز کا انتخاب کرنے کے لیے، B) روایتی عناصر اور ہر لڑاکا کے پس منظر کے لیے منفرد تکنیکوں کو منصفانہ طور پر اسکور کرنے کے لیے، C) اس بات کو یقینی بنانے کے لیے کہ تمام جنگجو مقابلے میں ایک ہی انداز کا استعمال کریں، D) ججوں کے لیے ان سے واقف ہونا ضروری نہیں ہے۔</v>
      </c>
      <c r="L113" s="6" t="str">
        <f>IFERROR(__xludf.DUMMYFUNCTION("GOOGLETRANSLATE(D113, ""en"", ""ur"")"),"ب) روایتی عناصر اور تکنیکوں کو ہر ایک لڑاکا کے پس منظر کے لیے منفرد بنانے کے لیے")</f>
        <v>ب) روایتی عناصر اور تکنیکوں کو ہر ایک لڑاکا کے پس منظر کے لیے منفرد بنانے کے لیے</v>
      </c>
      <c r="M113" s="6" t="str">
        <f>IFERROR(__xludf.DUMMYFUNCTION("GOOGLETRANSLATE(E113, ""en"", ""ur"")"),"ایک باشعور جج گٹکا کے تکنیکی تنوع کو پہچان سکتا ہے اور اس کی تعریف کرسکتا ہے، جس سے زیادہ درست اور زیادہ درست اسکورنگ کی جاسکتی ہے۔")</f>
        <v>ایک باشعور جج گٹکا کے تکنیکی تنوع کو پہچان سکتا ہے اور اس کی تعریف کرسکتا ہے، جس سے زیادہ درست اور زیادہ درست اسکورنگ کی جاسکتی ہے۔</v>
      </c>
    </row>
    <row r="114">
      <c r="A114" s="4">
        <v>113.0</v>
      </c>
      <c r="B114" s="5" t="s">
        <v>1636</v>
      </c>
      <c r="C114" s="5" t="s">
        <v>1637</v>
      </c>
      <c r="D114" s="5" t="s">
        <v>1638</v>
      </c>
      <c r="E114" s="5" t="s">
        <v>1639</v>
      </c>
      <c r="I114" s="6" t="str">
        <f>IFERROR(__xludf.DUMMYFUNCTION("GOOGLETRANSLATE(A114, ""en"", ""ur"")"),"113")</f>
        <v>113</v>
      </c>
      <c r="J114" s="6" t="str">
        <f>IFERROR(__xludf.DUMMYFUNCTION("GOOGLETRANSLATE(B114, ""en"", ""ur"")"),"اخلاقی کردار پر زور دیتے ہوئے گٹکا پریکٹیشنرز کی طرف سے لیے جانے والے حلف یا عہد کی اصطلاح کیا ہے؟")</f>
        <v>اخلاقی کردار پر زور دیتے ہوئے گٹکا پریکٹیشنرز کی طرف سے لیے جانے والے حلف یا عہد کی اصطلاح کیا ہے؟</v>
      </c>
      <c r="K114" s="6" t="str">
        <f>IFERROR(__xludf.DUMMYFUNCTION("GOOGLETRANSLATE(C114, ""en"", ""ur"")"),"A) Sumpah Pemuda، B) Prasetya Pesilat Indonesia، C) The Sikh Rehat Maryada, D) اس کا کوئی رسمی نام نہیں ہے۔")</f>
        <v>A) Sumpah Pemuda، B) Prasetya Pesilat Indonesia، C) The Sikh Rehat Maryada, D) اس کا کوئی رسمی نام نہیں ہے۔</v>
      </c>
      <c r="L114" s="6" t="str">
        <f>IFERROR(__xludf.DUMMYFUNCTION("GOOGLETRANSLATE(D114, ""en"", ""ur"")"),"ج) سکھ رہت مریم")</f>
        <v>ج) سکھ رہت مریم</v>
      </c>
      <c r="M114" s="6" t="str">
        <f>IFERROR(__xludf.DUMMYFUNCTION("GOOGLETRANSLATE(E114, ""en"", ""ur"")"),"اگرچہ گٹکا کے لیے مخصوص حلف نہیں ہے، سکھ ضابطہ اخلاق اور کنونشنز (ریحت مریم) اخلاقی اور اخلاقی فرائض کا خاکہ پیش کرتے ہیں جن کی تمام پریکٹیشنرز سے توقع کی جاتی ہے۔")</f>
        <v>اگرچہ گٹکا کے لیے مخصوص حلف نہیں ہے، سکھ ضابطہ اخلاق اور کنونشنز (ریحت مریم) اخلاقی اور اخلاقی فرائض کا خاکہ پیش کرتے ہیں جن کی تمام پریکٹیشنرز سے توقع کی جاتی ہے۔</v>
      </c>
    </row>
    <row r="115">
      <c r="A115" s="4">
        <v>114.0</v>
      </c>
      <c r="B115" s="5" t="s">
        <v>1640</v>
      </c>
      <c r="C115" s="5" t="s">
        <v>1641</v>
      </c>
      <c r="D115" s="5" t="s">
        <v>1642</v>
      </c>
      <c r="E115" s="5" t="s">
        <v>1643</v>
      </c>
      <c r="I115" s="6" t="str">
        <f>IFERROR(__xludf.DUMMYFUNCTION("GOOGLETRANSLATE(A115, ""en"", ""ur"")"),"114")</f>
        <v>114</v>
      </c>
      <c r="J115" s="6" t="str">
        <f>IFERROR(__xludf.DUMMYFUNCTION("GOOGLETRANSLATE(B115, ""en"", ""ur"")"),"ایک جنگجو کو ""چہرے پر براہ راست حملے"" کے لیے سزا دی جاتی ہے۔ گٹکا میں اس کا کیا مطلب ہے؟")</f>
        <v>ایک جنگجو کو "چہرے پر براہ راست حملے" کے لیے سزا دی جاتی ہے۔ گٹکا میں اس کا کیا مطلب ہے؟</v>
      </c>
      <c r="K115" s="6" t="str">
        <f>IFERROR(__xludf.DUMMYFUNCTION("GOOGLETRANSLATE(C115, ""en"", ""ur"")"),"A) کوئی بھی حملہ جو چہرے کے قریب آتا ہے، B) ایک جان بوجھ کر، بے قابو حملہ جس کا مقصد براہ راست چہرے کے حصے پر ہوتا ہے، C) گھماؤ کے دوران چہرے کو حادثاتی طور پر چرانا، D) ایک دفاعی بلاک جو چہرے کے قریب آتا ہے۔")</f>
        <v>A) کوئی بھی حملہ جو چہرے کے قریب آتا ہے، B) ایک جان بوجھ کر، بے قابو حملہ جس کا مقصد براہ راست چہرے کے حصے پر ہوتا ہے، C) گھماؤ کے دوران چہرے کو حادثاتی طور پر چرانا، D) ایک دفاعی بلاک جو چہرے کے قریب آتا ہے۔</v>
      </c>
      <c r="L115" s="6" t="str">
        <f>IFERROR(__xludf.DUMMYFUNCTION("GOOGLETRANSLATE(D115, ""en"", ""ur"")"),"ب) ایک جان بوجھ کر، بے قابو ہڑتال جس کا مقصد براہ راست چہرے کے علاقے پر ہے۔")</f>
        <v>ب) ایک جان بوجھ کر، بے قابو ہڑتال جس کا مقصد براہ راست چہرے کے علاقے پر ہے۔</v>
      </c>
      <c r="M115" s="6" t="str">
        <f>IFERROR(__xludf.DUMMYFUNCTION("GOOGLETRANSLATE(E115, ""en"", ""ur"")"),"جبکہ ہیڈ گیئر ایک ہدف ہے، چہرہ خود محفوظ ہے۔ چہرے کے حصے پر براہ راست، زبردستی ہڑتال ایک سنگین فاؤل ہے۔")</f>
        <v>جبکہ ہیڈ گیئر ایک ہدف ہے، چہرہ خود محفوظ ہے۔ چہرے کے حصے پر براہ راست، زبردستی ہڑتال ایک سنگین فاؤل ہے۔</v>
      </c>
    </row>
    <row r="116">
      <c r="A116" s="4">
        <v>115.0</v>
      </c>
      <c r="B116" s="5" t="s">
        <v>1644</v>
      </c>
      <c r="C116" s="5" t="s">
        <v>1645</v>
      </c>
      <c r="D116" s="5" t="s">
        <v>1646</v>
      </c>
      <c r="E116" s="5" t="s">
        <v>1647</v>
      </c>
      <c r="I116" s="6" t="str">
        <f>IFERROR(__xludf.DUMMYFUNCTION("GOOGLETRANSLATE(A116, ""en"", ""ur"")"),"115")</f>
        <v>115</v>
      </c>
      <c r="J116" s="6" t="str">
        <f>IFERROR(__xludf.DUMMYFUNCTION("GOOGLETRANSLATE(B116, ""en"", ""ur"")"),"ایک لڑاکا میچ 15-5 سے جیتتا ہے۔ یہ کس چیز کی جیت سمجھا جاتا ہے؟")</f>
        <v>ایک لڑاکا میچ 15-5 سے جیتتا ہے۔ یہ کس چیز کی جیت سمجھا جاتا ہے؟</v>
      </c>
      <c r="K116" s="6" t="str">
        <f>IFERROR(__xludf.DUMMYFUNCTION("GOOGLETRANSLATE(C116, ""en"", ""ur"")"),"A) ناک آؤٹ، B) تکنیکی برتری سے جیت، C) پوائنٹس پر جیت، D) نااہلی")</f>
        <v>A) ناک آؤٹ، B) تکنیکی برتری سے جیت، C) پوائنٹس پر جیت، D) نااہلی</v>
      </c>
      <c r="L116" s="6" t="str">
        <f>IFERROR(__xludf.DUMMYFUNCTION("GOOGLETRANSLATE(D116, ""en"", ""ur"")"),"ب) تکنیکی برتری کی طرف سے جیت")</f>
        <v>ب) تکنیکی برتری کی طرف سے جیت</v>
      </c>
      <c r="M116" s="6" t="str">
        <f>IFERROR(__xludf.DUMMYFUNCTION("GOOGLETRANSLATE(E116, ""en"", ""ur"")"),"اگر کوئی لڑاکا 10 یا اس سے زیادہ پوائنٹس کی برتری حاصل کرتا ہے، تو میچ روک دیا جاتا ہے، اور انہیں ""تکنیکی برتری"" (جسے رحم کا اصول بھی کہا جاتا ہے) کے ذریعے فاتح قرار دیا جاتا ہے۔")</f>
        <v>اگر کوئی لڑاکا 10 یا اس سے زیادہ پوائنٹس کی برتری حاصل کرتا ہے، تو میچ روک دیا جاتا ہے، اور انہیں "تکنیکی برتری" (جسے رحم کا اصول بھی کہا جاتا ہے) کے ذریعے فاتح قرار دیا جاتا ہے۔</v>
      </c>
    </row>
    <row r="117">
      <c r="A117" s="4">
        <v>116.0</v>
      </c>
      <c r="B117" s="5" t="s">
        <v>1648</v>
      </c>
      <c r="C117" s="5" t="s">
        <v>1649</v>
      </c>
      <c r="D117" s="5" t="s">
        <v>1650</v>
      </c>
      <c r="E117" s="5" t="s">
        <v>1651</v>
      </c>
      <c r="I117" s="6" t="str">
        <f>IFERROR(__xludf.DUMMYFUNCTION("GOOGLETRANSLATE(A117, ""en"", ""ur"")"),"116")</f>
        <v>116</v>
      </c>
      <c r="J117" s="6" t="str">
        <f>IFERROR(__xludf.DUMMYFUNCTION("GOOGLETRANSLATE(B117, ""en"", ""ur"")"),"روایتی گٹکا پریکٹیشنر کے لیے سب سے بڑا اعزاز یا حتمی مقصد کیا ہے؟")</f>
        <v>روایتی گٹکا پریکٹیشنر کے لیے سب سے بڑا اعزاز یا حتمی مقصد کیا ہے؟</v>
      </c>
      <c r="K117" s="6" t="str">
        <f>IFERROR(__xludf.DUMMYFUNCTION("GOOGLETRANSLATE(C117, ""en"", ""ur"")"),"A) مقابلے میں گولڈ میڈل جیتنا، B) ماسٹر بننا اور فن کی قدروں اور تکنیکوں کو آگے بڑھانا، C) لڑائی کے ذریعے دولت مند بننا، D) اپنی زندگی میں کبھی ایک بھی لڑائی نہیں ہارنا")</f>
        <v>A) مقابلے میں گولڈ میڈل جیتنا، B) ماسٹر بننا اور فن کی قدروں اور تکنیکوں کو آگے بڑھانا، C) لڑائی کے ذریعے دولت مند بننا، D) اپنی زندگی میں کبھی ایک بھی لڑائی نہیں ہارنا</v>
      </c>
      <c r="L117" s="6" t="str">
        <f>IFERROR(__xludf.DUMMYFUNCTION("GOOGLETRANSLATE(D117, ""en"", ""ur"")"),"ب) ایک ماسٹر (گرو) بننا اور آرٹ کی اقدار اور تکنیکوں کو آگے بڑھانا")</f>
        <v>ب) ایک ماسٹر (گرو) بننا اور آرٹ کی اقدار اور تکنیکوں کو آگے بڑھانا</v>
      </c>
      <c r="M117" s="6" t="str">
        <f>IFERROR(__xludf.DUMMYFUNCTION("GOOGLETRANSLATE(E117, ""en"", ""ur"")"),"روایتی نقطہ نظر میں، حتمی کامیابی صرف ذاتی فتح نہیں ہے، بلکہ فن کی حفاظت اور اگلی نسل تک منتقلی ہے۔")</f>
        <v>روایتی نقطہ نظر میں، حتمی کامیابی صرف ذاتی فتح نہیں ہے، بلکہ فن کی حفاظت اور اگلی نسل تک منتقلی ہے۔</v>
      </c>
    </row>
    <row r="118">
      <c r="A118" s="4">
        <v>117.0</v>
      </c>
      <c r="B118" s="5" t="s">
        <v>1652</v>
      </c>
      <c r="C118" s="5" t="s">
        <v>1653</v>
      </c>
      <c r="D118" s="5" t="s">
        <v>1654</v>
      </c>
      <c r="E118" s="5" t="s">
        <v>1655</v>
      </c>
      <c r="I118" s="6" t="str">
        <f>IFERROR(__xludf.DUMMYFUNCTION("GOOGLETRANSLATE(A118, ""en"", ""ur"")"),"117")</f>
        <v>117</v>
      </c>
      <c r="J118" s="6" t="str">
        <f>IFERROR(__xludf.DUMMYFUNCTION("GOOGLETRANSLATE(B118, ""en"", ""ur"")"),"مندرجہ ذیل میں سے کون سا روایتی گٹکا ہتھیار نہیں ہے؟")</f>
        <v>مندرجہ ذیل میں سے کون سا روایتی گٹکا ہتھیار نہیں ہے؟</v>
      </c>
      <c r="K118" s="6" t="str">
        <f>IFERROR(__xludf.DUMMYFUNCTION("GOOGLETRANSLATE(C118, ""en"", ""ur"")"),"اے) کھنڈا (دو دھاری تلوار)، بی) برچھا (برچھا)، سی) چکر (جنگ کوٹ)، ڈی) ننچاکو (فائل)")</f>
        <v>اے) کھنڈا (دو دھاری تلوار)، بی) برچھا (برچھا)، سی) چکر (جنگ کوٹ)، ڈی) ننچاکو (فائل)</v>
      </c>
      <c r="L118" s="6" t="str">
        <f>IFERROR(__xludf.DUMMYFUNCTION("GOOGLETRANSLATE(D118, ""en"", ""ur"")"),"D) ننچاکو (فلیل)")</f>
        <v>D) ننچاکو (فلیل)</v>
      </c>
      <c r="M118" s="6" t="str">
        <f>IFERROR(__xludf.DUMMYFUNCTION("GOOGLETRANSLATE(E118, ""en"", ""ur"")"),"ننچاکو اوکیناوان مارشل آرٹس سے وابستہ ایک ہتھیار ہے اور یہ شاستر ودیا کے روایتی سکھ ہتھیاروں کا حصہ نہیں ہے۔")</f>
        <v>ننچاکو اوکیناوان مارشل آرٹس سے وابستہ ایک ہتھیار ہے اور یہ شاستر ودیا کے روایتی سکھ ہتھیاروں کا حصہ نہیں ہے۔</v>
      </c>
    </row>
    <row r="119">
      <c r="A119" s="4">
        <v>118.0</v>
      </c>
      <c r="B119" s="5" t="s">
        <v>1656</v>
      </c>
      <c r="C119" s="5" t="s">
        <v>1657</v>
      </c>
      <c r="D119" s="5" t="s">
        <v>1658</v>
      </c>
      <c r="E119" s="5" t="s">
        <v>1659</v>
      </c>
      <c r="I119" s="6" t="str">
        <f>IFERROR(__xludf.DUMMYFUNCTION("GOOGLETRANSLATE(A119, ""en"", ""ur"")"),"118")</f>
        <v>118</v>
      </c>
      <c r="J119" s="6" t="str">
        <f>IFERROR(__xludf.DUMMYFUNCTION("GOOGLETRANSLATE(B119, ""en"", ""ur"")"),"ایک ریفری میچ کے دوران پیلے رنگ کا جھنڈا اٹھا رہا ہے۔ یہ عام طور پر ٹورنامنٹ میں کیا اشارہ کرتا ہے؟")</f>
        <v>ایک ریفری میچ کے دوران پیلے رنگ کا جھنڈا اٹھا رہا ہے۔ یہ عام طور پر ٹورنامنٹ میں کیا اشارہ کرتا ہے؟</v>
      </c>
      <c r="K119" s="6" t="str">
        <f>IFERROR(__xludf.DUMMYFUNCTION("GOOGLETRANSLATE(C119, ""en"", ""ur"")"),"A) ایک پوائنٹ اسکور کیا گیا ہے، B) میچ کے فائنل راؤنڈ کا آغاز، C) ایک فاؤل کے لئے ایک آفیشل وارننگ دی گئی ہے، D) ایک کوچ کی طرف سے ٹائم آؤٹ کو بلایا گیا ہے")</f>
        <v>A) ایک پوائنٹ اسکور کیا گیا ہے، B) میچ کے فائنل راؤنڈ کا آغاز، C) ایک فاؤل کے لئے ایک آفیشل وارننگ دی گئی ہے، D) ایک کوچ کی طرف سے ٹائم آؤٹ کو بلایا گیا ہے</v>
      </c>
      <c r="L119" s="6" t="str">
        <f>IFERROR(__xludf.DUMMYFUNCTION("GOOGLETRANSLATE(D119, ""en"", ""ur"")"),"C) ایک غلط کے لئے ایک سرکاری انتباہ دیا گیا ہے")</f>
        <v>C) ایک غلط کے لئے ایک سرکاری انتباہ دیا گیا ہے</v>
      </c>
      <c r="M119" s="6" t="str">
        <f>IFERROR(__xludf.DUMMYFUNCTION("GOOGLETRANSLATE(E119, ""en"", ""ur"")"),"کچھ سکورنگ سسٹمز میں، رنگین جھنڈوں کو ججز اور ریفری اپنے فیصلوں کی نشاندہی کرنے کے لیے استعمال کرتے ہیں، جس میں پیلے رنگ اکثر انتباہ کی نشاندہی کرتے ہیں۔")</f>
        <v>کچھ سکورنگ سسٹمز میں، رنگین جھنڈوں کو ججز اور ریفری اپنے فیصلوں کی نشاندہی کرنے کے لیے استعمال کرتے ہیں، جس میں پیلے رنگ اکثر انتباہ کی نشاندہی کرتے ہیں۔</v>
      </c>
    </row>
    <row r="120">
      <c r="A120" s="4">
        <v>119.0</v>
      </c>
      <c r="B120" s="5" t="s">
        <v>1660</v>
      </c>
      <c r="C120" s="5" t="s">
        <v>1661</v>
      </c>
      <c r="D120" s="5" t="s">
        <v>1662</v>
      </c>
      <c r="E120" s="5" t="s">
        <v>1663</v>
      </c>
      <c r="I120" s="6" t="str">
        <f>IFERROR(__xludf.DUMMYFUNCTION("GOOGLETRANSLATE(A120, ""en"", ""ur"")"),"119")</f>
        <v>119</v>
      </c>
      <c r="J120" s="6" t="str">
        <f>IFERROR(__xludf.DUMMYFUNCTION("GOOGLETRANSLATE(B120, ""en"", ""ur"")"),"""میری پیری"" کے گٹکا اصول کا بنیادی مقصد کیا ہے؟")</f>
        <v>"میری پیری" کے گٹکا اصول کا بنیادی مقصد کیا ہے؟</v>
      </c>
      <c r="K120" s="6" t="str">
        <f>IFERROR(__xludf.DUMMYFUNCTION("GOOGLETRANSLATE(C120, ""en"", ""ur"")"),"A) ایک لڑاکا کو ہر وقت جارحانہ رہنا سکھانا، B) اپنے اور دوسروں کے دفاع کی آمادگی کے ساتھ روحانی اقدار کو متوازن کرنا، C) کھیل کو اس کی مذہبی جڑوں سے الگ کرنا، D) لڑائی کا ایک نیا انداز تخلیق کرنا")</f>
        <v>A) ایک لڑاکا کو ہر وقت جارحانہ رہنا سکھانا، B) اپنے اور دوسروں کے دفاع کی آمادگی کے ساتھ روحانی اقدار کو متوازن کرنا، C) کھیل کو اس کی مذہبی جڑوں سے الگ کرنا، D) لڑائی کا ایک نیا انداز تخلیق کرنا</v>
      </c>
      <c r="L120" s="6" t="str">
        <f>IFERROR(__xludf.DUMMYFUNCTION("GOOGLETRANSLATE(D120, ""en"", ""ur"")"),"ب) اپنے اور دوسروں کے دفاع کی آمادگی کے ساتھ روحانی اقدار کو متوازن کرنا")</f>
        <v>ب) اپنے اور دوسروں کے دفاع کی آمادگی کے ساتھ روحانی اقدار کو متوازن کرنا</v>
      </c>
      <c r="M120" s="6" t="str">
        <f>IFERROR(__xludf.DUMMYFUNCTION("GOOGLETRANSLATE(E120, ""en"", ""ur"")"),"گرو ہرگوبند کی طرف سے متعارف کرایا گیا، یہ اصول یہ ثابت کرتا ہے کہ ایک سکھ یودقا کو گٹکا کی روحانی گہرائی پر اثر انداز ہونے والا ""سینٹ"" (پیری) اور ""سپاہی"" (میری) دونوں ہونا چاہیے۔")</f>
        <v>گرو ہرگوبند کی طرف سے متعارف کرایا گیا، یہ اصول یہ ثابت کرتا ہے کہ ایک سکھ یودقا کو گٹکا کی روحانی گہرائی پر اثر انداز ہونے والا "سینٹ" (پیری) اور "سپاہی" (میری) دونوں ہونا چاہیے۔</v>
      </c>
    </row>
    <row r="121">
      <c r="A121" s="4">
        <v>120.0</v>
      </c>
      <c r="B121" s="5" t="s">
        <v>1664</v>
      </c>
      <c r="C121" s="5" t="s">
        <v>1665</v>
      </c>
      <c r="D121" s="5" t="s">
        <v>1666</v>
      </c>
      <c r="E121" s="5" t="s">
        <v>1667</v>
      </c>
      <c r="I121" s="6" t="str">
        <f>IFERROR(__xludf.DUMMYFUNCTION("GOOGLETRANSLATE(A121, ""en"", ""ur"")"),"120")</f>
        <v>120</v>
      </c>
      <c r="J121" s="6" t="str">
        <f>IFERROR(__xludf.DUMMYFUNCTION("GOOGLETRANSLATE(B121, ""en"", ""ur"")"),"سکھ جنگجوؤں کے ""نہنگ"" حکم کی بنیادی خصوصیت کیا ہے؟")</f>
        <v>سکھ جنگجوؤں کے "نہنگ" حکم کی بنیادی خصوصیت کیا ہے؟</v>
      </c>
      <c r="K121" s="6" t="str">
        <f>IFERROR(__xludf.DUMMYFUNCTION("GOOGLETRANSLATE(C121, ""en"", ""ur"")"),"A) وہ اپنے پرامن اور مراقبہ کے طریقوں کے لئے مشہور ہیں، B) انہوں نے گٹکا سمیت روایتی مارشل آرٹس کو صدیوں سے محفوظ رکھا ہے، C) وہ ایک جدید فرقہ ہیں جو کھیل پر مرکوز ہیں، D) وہ گٹکا کی مشق نہیں کرتے ہیں۔")</f>
        <v>A) وہ اپنے پرامن اور مراقبہ کے طریقوں کے لئے مشہور ہیں، B) انہوں نے گٹکا سمیت روایتی مارشل آرٹس کو صدیوں سے محفوظ رکھا ہے، C) وہ ایک جدید فرقہ ہیں جو کھیل پر مرکوز ہیں، D) وہ گٹکا کی مشق نہیں کرتے ہیں۔</v>
      </c>
      <c r="L121" s="6" t="str">
        <f>IFERROR(__xludf.DUMMYFUNCTION("GOOGLETRANSLATE(D121, ""en"", ""ur"")"),"ب) انہوں نے گٹکا سمیت روایتی مارشل آرٹس کو صدیوں سے محفوظ رکھا ہے۔")</f>
        <v>ب) انہوں نے گٹکا سمیت روایتی مارشل آرٹس کو صدیوں سے محفوظ رکھا ہے۔</v>
      </c>
      <c r="M121" s="6" t="str">
        <f>IFERROR(__xludf.DUMMYFUNCTION("GOOGLETRANSLATE(E121, ""en"", ""ur"")"),"نہنگ ایک تاریخی جنگجو حکمراں ہیں جنہوں نے اپنے جنگی ورثے کے زندہ حصے کے طور پر گٹکا کو مسلسل برقرار رکھا اور اس پر عمل کیا۔")</f>
        <v>نہنگ ایک تاریخی جنگجو حکمراں ہیں جنہوں نے اپنے جنگی ورثے کے زندہ حصے کے طور پر گٹکا کو مسلسل برقرار رکھا اور اس پر عمل کیا۔</v>
      </c>
    </row>
    <row r="122">
      <c r="A122" s="4">
        <v>121.0</v>
      </c>
      <c r="B122" s="5" t="s">
        <v>1562</v>
      </c>
      <c r="C122" s="5" t="s">
        <v>1668</v>
      </c>
      <c r="D122" s="5" t="s">
        <v>1564</v>
      </c>
      <c r="E122" s="5" t="s">
        <v>1669</v>
      </c>
      <c r="I122" s="6" t="str">
        <f>IFERROR(__xludf.DUMMYFUNCTION("GOOGLETRANSLATE(A122, ""en"", ""ur"")"),"121")</f>
        <v>121</v>
      </c>
      <c r="J122" s="6" t="str">
        <f>IFERROR(__xludf.DUMMYFUNCTION("GOOGLETRANSLATE(B122, ""en"", ""ur"")"),"ٹیم میچ میں ایک کھلاڑی زخمی ہوتا ہے۔ کیا انہیں وسط راؤنڈ میں تبدیل کیا جا سکتا ہے؟")</f>
        <v>ٹیم میچ میں ایک کھلاڑی زخمی ہوتا ہے۔ کیا انہیں وسط راؤنڈ میں تبدیل کیا جا سکتا ہے؟</v>
      </c>
      <c r="K122" s="6" t="str">
        <f>IFERROR(__xludf.DUMMYFUNCTION("GOOGLETRANSLATE(C122, ""en"", ""ur"")"),"A) جی ہاں، میچ کے دوران کسی بھی وقت، B) نہیں، متبادل صرف راؤنڈز کے درمیان ہو سکتا ہے، C) صرف اس صورت میں جب چوٹ سے خون بہہ رہا ہو اور اسے روکا نہیں جا سکتا، D) ٹیم کو پورا راؤنڈ ضائع کرنا ہوگا۔")</f>
        <v>A) جی ہاں، میچ کے دوران کسی بھی وقت، B) نہیں، متبادل صرف راؤنڈز کے درمیان ہو سکتا ہے، C) صرف اس صورت میں جب چوٹ سے خون بہہ رہا ہو اور اسے روکا نہیں جا سکتا، D) ٹیم کو پورا راؤنڈ ضائع کرنا ہوگا۔</v>
      </c>
      <c r="L122" s="6" t="str">
        <f>IFERROR(__xludf.DUMMYFUNCTION("GOOGLETRANSLATE(D122, ""en"", ""ur"")"),"ب) نہیں، متبادل صرف راؤنڈ کے درمیان ہو سکتا ہے۔")</f>
        <v>ب) نہیں، متبادل صرف راؤنڈ کے درمیان ہو سکتا ہے۔</v>
      </c>
      <c r="M122" s="6" t="str">
        <f>IFERROR(__xludf.DUMMYFUNCTION("GOOGLETRANSLATE(E122, ""en"", ""ur"")"),"حفاظت کے لیے اور میچ کے بہاؤ میں خلل کو روکنے کے لیے، راؤنڈز کے درمیان صرف ایک منٹ کے آرام کی مدت کے دوران متبادل بنایا جا سکتا ہے۔")</f>
        <v>حفاظت کے لیے اور میچ کے بہاؤ میں خلل کو روکنے کے لیے، راؤنڈز کے درمیان صرف ایک منٹ کے آرام کی مدت کے دوران متبادل بنایا جا سکتا ہے۔</v>
      </c>
    </row>
    <row r="123">
      <c r="A123" s="4">
        <v>122.0</v>
      </c>
      <c r="B123" s="5" t="s">
        <v>1670</v>
      </c>
      <c r="C123" s="5" t="s">
        <v>1671</v>
      </c>
      <c r="D123" s="5" t="s">
        <v>1568</v>
      </c>
      <c r="E123" s="5" t="s">
        <v>1672</v>
      </c>
      <c r="I123" s="6" t="str">
        <f>IFERROR(__xludf.DUMMYFUNCTION("GOOGLETRANSLATE(A123, ""en"", ""ur"")"),"122")</f>
        <v>122</v>
      </c>
      <c r="J123" s="6" t="str">
        <f>IFERROR(__xludf.DUMMYFUNCTION("GOOGLETRANSLATE(B123, ""en"", ""ur"")"),"گٹکا کی تربیت میں ""ڈھال تلوار"" (ڈھال اور تلوار) کی مشق کا اصل مقصد کیا ہے؟")</f>
        <v>گٹکا کی تربیت میں "ڈھال تلوار" (ڈھال اور تلوار) کی مشق کا اصل مقصد کیا ہے؟</v>
      </c>
      <c r="K123" s="6" t="str">
        <f>IFERROR(__xludf.DUMMYFUNCTION("GOOGLETRANSLATE(C123, ""en"", ""ur"")"),"A) لڑاکا کے فٹ ورک کو بہتر بنانا، B) دفاعی (ڈھال) اور جارحانہ (تلوار) ہاتھوں کے درمیان ہم آہنگی پیدا کرنا، C) لڑاکا کے بازو کی طاقت پیدا کرنا، D) کتائی کی تکنیک اور ایکروبیٹکس کی مشق کرنا")</f>
        <v>A) لڑاکا کے فٹ ورک کو بہتر بنانا، B) دفاعی (ڈھال) اور جارحانہ (تلوار) ہاتھوں کے درمیان ہم آہنگی پیدا کرنا، C) لڑاکا کے بازو کی طاقت پیدا کرنا، D) کتائی کی تکنیک اور ایکروبیٹکس کی مشق کرنا</v>
      </c>
      <c r="L123" s="6" t="str">
        <f>IFERROR(__xludf.DUMMYFUNCTION("GOOGLETRANSLATE(D123, ""en"", ""ur"")"),"ب) دفاعی (ڈھال) اور جارحانہ (تلوار) ہاتھوں کے درمیان ہم آہنگی پیدا کرنا")</f>
        <v>ب) دفاعی (ڈھال) اور جارحانہ (تلوار) ہاتھوں کے درمیان ہم آہنگی پیدا کرنا</v>
      </c>
      <c r="M123" s="6" t="str">
        <f>IFERROR(__xludf.DUMMYFUNCTION("GOOGLETRANSLATE(E123, ""en"", ""ur"")"),"یہ سیکھنے کے لیے ایک بنیادی مشق ہے کہ ہموار، مربوط انداز میں کیسے روکا جائے اور جوابی حملہ کیا جائے، جو لڑائی کے لیے ضروری ہے۔")</f>
        <v>یہ سیکھنے کے لیے ایک بنیادی مشق ہے کہ ہموار، مربوط انداز میں کیسے روکا جائے اور جوابی حملہ کیا جائے، جو لڑائی کے لیے ضروری ہے۔</v>
      </c>
    </row>
    <row r="124">
      <c r="A124" s="4">
        <v>123.0</v>
      </c>
      <c r="B124" s="5" t="s">
        <v>1673</v>
      </c>
      <c r="C124" s="5" t="s">
        <v>1674</v>
      </c>
      <c r="D124" s="5" t="s">
        <v>1675</v>
      </c>
      <c r="E124" s="5" t="s">
        <v>1573</v>
      </c>
      <c r="I124" s="6" t="str">
        <f>IFERROR(__xludf.DUMMYFUNCTION("GOOGLETRANSLATE(A124, ""en"", ""ur"")"),"123")</f>
        <v>123</v>
      </c>
      <c r="J124" s="6" t="str">
        <f>IFERROR(__xludf.DUMMYFUNCTION("GOOGLETRANSLATE(B124, ""en"", ""ur"")"),"ایک کھلاڑی کو ""تیسرے فریق کی مداخلت"" کے لیے سزا دی جاتی ہے۔ اس کی سب سے زیادہ ممکنہ وجہ کیا ہے؟")</f>
        <v>ایک کھلاڑی کو "تیسرے فریق کی مداخلت" کے لیے سزا دی جاتی ہے۔ اس کی سب سے زیادہ ممکنہ وجہ کیا ہے؟</v>
      </c>
      <c r="K124" s="6" t="str">
        <f>IFERROR(__xludf.DUMMYFUNCTION("GOOGLETRANSLATE(C124, ""en"", ""ur"")"),"A) ایک تماشائی نے کھلاڑی کو نصیحت کی، B) کھلاڑی کے کوچ نے راؤنڈ کے دوران میدان میں قدم رکھا، C) باہر کے شور سے ریفری کی توجہ ہٹ گئی، D) کھلاڑی نے میچ میں تین مختلف ہتھیاروں کا استعمال کیا۔")</f>
        <v>A) ایک تماشائی نے کھلاڑی کو نصیحت کی، B) کھلاڑی کے کوچ نے راؤنڈ کے دوران میدان میں قدم رکھا، C) باہر کے شور سے ریفری کی توجہ ہٹ گئی، D) کھلاڑی نے میچ میں تین مختلف ہتھیاروں کا استعمال کیا۔</v>
      </c>
      <c r="L124" s="6" t="str">
        <f>IFERROR(__xludf.DUMMYFUNCTION("GOOGLETRANSLATE(D124, ""en"", ""ur"")"),"ب) کھلاڑی کے کوچ نے راؤنڈ کے دوران میدان میں قدم رکھا")</f>
        <v>ب) کھلاڑی کے کوچ نے راؤنڈ کے دوران میدان میں قدم رکھا</v>
      </c>
      <c r="M124" s="6" t="str">
        <f>IFERROR(__xludf.DUMMYFUNCTION("GOOGLETRANSLATE(E124, ""en"", ""ur"")"),"جنگی علاقے میں صرف دو حریف اور ریفری کو اجازت ہے۔ رنگ میں داخل ہونے والا کوچ ایک سنگین فاؤل ہے۔")</f>
        <v>جنگی علاقے میں صرف دو حریف اور ریفری کو اجازت ہے۔ رنگ میں داخل ہونے والا کوچ ایک سنگین فاؤل ہے۔</v>
      </c>
    </row>
    <row r="125">
      <c r="A125" s="4">
        <v>124.0</v>
      </c>
      <c r="B125" s="5" t="s">
        <v>1676</v>
      </c>
      <c r="C125" s="5" t="s">
        <v>1677</v>
      </c>
      <c r="D125" s="5" t="s">
        <v>1576</v>
      </c>
      <c r="E125" s="5" t="s">
        <v>1678</v>
      </c>
      <c r="I125" s="6" t="str">
        <f>IFERROR(__xludf.DUMMYFUNCTION("GOOGLETRANSLATE(A125, ""en"", ""ur"")"),"124")</f>
        <v>124</v>
      </c>
      <c r="J125" s="6" t="str">
        <f>IFERROR(__xludf.DUMMYFUNCTION("GOOGLETRANSLATE(B125, ""en"", ""ur"")"),"مقابلوں میں استعمال ہونے والی ""سوتی"" یا ٹریننگ اسٹک کی معیاری لمبائی کتنی ہے؟")</f>
        <v>مقابلوں میں استعمال ہونے والی "سوتی" یا ٹریننگ اسٹک کی معیاری لمبائی کتنی ہے؟</v>
      </c>
      <c r="K125" s="6" t="str">
        <f>IFERROR(__xludf.DUMMYFUNCTION("GOOGLETRANSLATE(C125, ""en"", ""ur"")"),"A) تقریباً 1 میٹر (3-3.5 فٹ)، B) 2 میٹر (6.5 فٹ)، C) 0.5 میٹر (1.5 فٹ)، D) یہ کھلاڑی کی اونچائی کے لحاظ سے بہت مختلف ہوتا ہے۔")</f>
        <v>A) تقریباً 1 میٹر (3-3.5 فٹ)، B) 2 میٹر (6.5 فٹ)، C) 0.5 میٹر (1.5 فٹ)، D) یہ کھلاڑی کی اونچائی کے لحاظ سے بہت مختلف ہوتا ہے۔</v>
      </c>
      <c r="L125" s="6" t="str">
        <f>IFERROR(__xludf.DUMMYFUNCTION("GOOGLETRANSLATE(D125, ""en"", ""ur"")"),"A) تقریباً 1 میٹر (3-3.5 فٹ)")</f>
        <v>A) تقریباً 1 میٹر (3-3.5 فٹ)</v>
      </c>
      <c r="M125" s="6" t="str">
        <f>IFERROR(__xludf.DUMMYFUNCTION("GOOGLETRANSLATE(E125, ""en"", ""ur"")"),"چھڑی کو ایک ہاتھ والی تلوار کے محفوظ اور عملی سمیلیٹر کے طور پر ڈیزائن کیا گیا ہے، اور اس کی لمبائی منصفانہ مقابلے کے لیے معیاری ہے۔")</f>
        <v>چھڑی کو ایک ہاتھ والی تلوار کے محفوظ اور عملی سمیلیٹر کے طور پر ڈیزائن کیا گیا ہے، اور اس کی لمبائی منصفانہ مقابلے کے لیے معیاری ہے۔</v>
      </c>
    </row>
    <row r="126">
      <c r="A126" s="4">
        <v>125.0</v>
      </c>
      <c r="B126" s="5" t="s">
        <v>1679</v>
      </c>
      <c r="C126" s="5" t="s">
        <v>1680</v>
      </c>
      <c r="D126" s="5" t="s">
        <v>1580</v>
      </c>
      <c r="E126" s="5" t="s">
        <v>1681</v>
      </c>
      <c r="I126" s="6" t="str">
        <f>IFERROR(__xludf.DUMMYFUNCTION("GOOGLETRANSLATE(A126, ""en"", ""ur"")"),"125")</f>
        <v>125</v>
      </c>
      <c r="J126" s="6" t="str">
        <f>IFERROR(__xludf.DUMMYFUNCTION("GOOGLETRANSLATE(B126, ""en"", ""ur"")"),"ایک کھلاڑی ریفری کے فیصلے کے خلاف ہیڈ جج سے اپیل کرتا ہے۔ حتمی اتھارٹی کیا ہے؟")</f>
        <v>ایک کھلاڑی ریفری کے فیصلے کے خلاف ہیڈ جج سے اپیل کرتا ہے۔ حتمی اتھارٹی کیا ہے؟</v>
      </c>
      <c r="K126" s="6" t="str">
        <f>IFERROR(__xludf.DUMMYFUNCTION("GOOGLETRANSLATE(C126, ""en"", ""ur"")"),"A) دوسرے ریفری، B) ٹورنامنٹ کا ہیڈ جج یا جیوری پینل، C) سامعین کی رائے، D) کھلاڑی کا اپنا کوچ")</f>
        <v>A) دوسرے ریفری، B) ٹورنامنٹ کا ہیڈ جج یا جیوری پینل، C) سامعین کی رائے، D) کھلاڑی کا اپنا کوچ</v>
      </c>
      <c r="L126" s="6" t="str">
        <f>IFERROR(__xludf.DUMMYFUNCTION("GOOGLETRANSLATE(D126, ""en"", ""ur"")"),"ب) ٹورنامنٹ کا سربراہ جج یا جیوری پینل")</f>
        <v>ب) ٹورنامنٹ کا سربراہ جج یا جیوری پینل</v>
      </c>
      <c r="M126" s="6" t="str">
        <f>IFERROR(__xludf.DUMMYFUNCTION("GOOGLETRANSLATE(E126, ""en"", ""ur"")"),"ٹورنامنٹ کے سینئر حکام سے باضابطہ اپیل کی جاتی ہے، جن کا اصولی تشریح کے معاملات پر فیصلہ حتمی ہوتا ہے۔")</f>
        <v>ٹورنامنٹ کے سینئر حکام سے باضابطہ اپیل کی جاتی ہے، جن کا اصولی تشریح کے معاملات پر فیصلہ حتمی ہوتا ہے۔</v>
      </c>
    </row>
    <row r="127">
      <c r="A127" s="4">
        <v>126.0</v>
      </c>
      <c r="B127" s="5" t="s">
        <v>1499</v>
      </c>
      <c r="C127" s="5" t="s">
        <v>1682</v>
      </c>
      <c r="D127" s="5" t="s">
        <v>1501</v>
      </c>
      <c r="E127" s="5" t="s">
        <v>1683</v>
      </c>
      <c r="I127" s="6" t="str">
        <f>IFERROR(__xludf.DUMMYFUNCTION("GOOGLETRANSLATE(A127, ""en"", ""ur"")"),"126")</f>
        <v>126</v>
      </c>
      <c r="J127" s="6" t="str">
        <f>IFERROR(__xludf.DUMMYFUNCTION("GOOGLETRANSLATE(B127, ""en"", ""ur"")"),"ایک کھلاڑی کو ""غیر ہتھیار والے ہاتھ سے مارنے"" پر سزا دی جاتی ہے۔ کیا یہ درست فاؤل ہے؟")</f>
        <v>ایک کھلاڑی کو "غیر ہتھیار والے ہاتھ سے مارنے" پر سزا دی جاتی ہے۔ کیا یہ درست فاؤل ہے؟</v>
      </c>
      <c r="K127" s="6" t="str">
        <f>IFERROR(__xludf.DUMMYFUNCTION("GOOGLETRANSLATE(C127, ""en"", ""ur"")"),"A) نہیں، گٹکا میں کھلے ہاتھ سے حملہ کرنے کی اجازت ہے، B) ہاں، تمام حملے مخصوص ہتھیار سے کیے جائیں، C) صرف اس صورت میں جب ہاتھ مٹھی میں ہو اور کھلا نہ ہو، D) صرف اس صورت میں جب ہڑتال سے کوئی شدید چوٹ آئے۔")</f>
        <v>A) نہیں، گٹکا میں کھلے ہاتھ سے حملہ کرنے کی اجازت ہے، B) ہاں، تمام حملے مخصوص ہتھیار سے کیے جائیں، C) صرف اس صورت میں جب ہاتھ مٹھی میں ہو اور کھلا نہ ہو، D) صرف اس صورت میں جب ہڑتال سے کوئی شدید چوٹ آئے۔</v>
      </c>
      <c r="L127" s="6" t="str">
        <f>IFERROR(__xludf.DUMMYFUNCTION("GOOGLETRANSLATE(D127, ""en"", ""ur"")"),"ب) جی ہاں، تمام حملے نامزد ہتھیار سے کیے جانے چاہئیں")</f>
        <v>ب) جی ہاں، تمام حملے نامزد ہتھیار سے کیے جانے چاہئیں</v>
      </c>
      <c r="M127" s="6" t="str">
        <f>IFERROR(__xludf.DUMMYFUNCTION("GOOGLETRANSLATE(E127, ""en"", ""ur"")"),"کھیل گٹکا میں، ایک کھلاڑی اپنے حریف کو مارنے کے لیے اپنے آزاد ہاتھ، مٹھی، یا جسم کے کسی دوسرے حصے کا استعمال نہیں کر سکتا۔ یہ ہتھیار پر مبنی فن ہے۔")</f>
        <v>کھیل گٹکا میں، ایک کھلاڑی اپنے حریف کو مارنے کے لیے اپنے آزاد ہاتھ، مٹھی، یا جسم کے کسی دوسرے حصے کا استعمال نہیں کر سکتا۔ یہ ہتھیار پر مبنی فن ہے۔</v>
      </c>
    </row>
    <row r="128">
      <c r="A128" s="4">
        <v>127.0</v>
      </c>
      <c r="B128" s="5" t="s">
        <v>1503</v>
      </c>
      <c r="C128" s="5" t="s">
        <v>1684</v>
      </c>
      <c r="D128" s="5" t="s">
        <v>1505</v>
      </c>
      <c r="E128" s="5" t="s">
        <v>1685</v>
      </c>
      <c r="I128" s="6" t="str">
        <f>IFERROR(__xludf.DUMMYFUNCTION("GOOGLETRANSLATE(A128, ""en"", ""ur"")"),"127")</f>
        <v>127</v>
      </c>
      <c r="J128" s="6" t="str">
        <f>IFERROR(__xludf.DUMMYFUNCTION("GOOGLETRANSLATE(B128, ""en"", ""ur"")"),"طاقتور گھومنے والی ہڑتال (گھمن) کے دوران بنیادی پٹھوں کا گروپ کیا ہے؟")</f>
        <v>طاقتور گھومنے والی ہڑتال (گھمن) کے دوران بنیادی پٹھوں کا گروپ کیا ہے؟</v>
      </c>
      <c r="K128" s="6" t="str">
        <f>IFERROR(__xludf.DUMMYFUNCTION("GOOGLETRANSLATE(C128, ""en"", ""ur"")"),"A) بائسپس اور ٹرائیسپس، B) ٹانگیں اور گلوٹس، C) کور (پیٹ اور ترچھے)، D) سینہ اور کندھے")</f>
        <v>A) بائسپس اور ٹرائیسپس، B) ٹانگیں اور گلوٹس، C) کور (پیٹ اور ترچھے)، D) سینہ اور کندھے</v>
      </c>
      <c r="L128" s="6" t="str">
        <f>IFERROR(__xludf.DUMMYFUNCTION("GOOGLETRANSLATE(D128, ""en"", ""ur"")"),"ج) کور (پیٹ اور ترچھا)")</f>
        <v>ج) کور (پیٹ اور ترچھا)</v>
      </c>
      <c r="M128" s="6" t="str">
        <f>IFERROR(__xludf.DUMMYFUNCTION("GOOGLETRANSLATE(E128, ""en"", ""ur"")"),"گھومنے والی طاقت ایک مضبوط اور مستحکم کور سے پیدا ہوتی ہے، نہ صرف بازوؤں اور کندھوں سے۔")</f>
        <v>گھومنے والی طاقت ایک مضبوط اور مستحکم کور سے پیدا ہوتی ہے، نہ صرف بازوؤں اور کندھوں سے۔</v>
      </c>
    </row>
    <row r="129">
      <c r="A129" s="4">
        <v>128.0</v>
      </c>
      <c r="B129" s="5" t="s">
        <v>1686</v>
      </c>
      <c r="C129" s="5" t="s">
        <v>1687</v>
      </c>
      <c r="D129" s="5" t="s">
        <v>1688</v>
      </c>
      <c r="E129" s="5" t="s">
        <v>1514</v>
      </c>
      <c r="I129" s="6" t="str">
        <f>IFERROR(__xludf.DUMMYFUNCTION("GOOGLETRANSLATE(A129, ""en"", ""ur"")"),"128")</f>
        <v>128</v>
      </c>
      <c r="J129" s="6" t="str">
        <f>IFERROR(__xludf.DUMMYFUNCTION("GOOGLETRANSLATE(B129, ""en"", ""ur"")"),"گٹکا میں استعمال ہونے والے کرپن کی بنیادی خصوصیت کیا ہے؟")</f>
        <v>گٹکا میں استعمال ہونے والے کرپن کی بنیادی خصوصیت کیا ہے؟</v>
      </c>
      <c r="K129" s="6" t="str">
        <f>IFERROR(__xludf.DUMMYFUNCTION("GOOGLETRANSLATE(C129, ""en"", ""ur"")"),"A) یہ ایک لمبا نیزہ ہے، B) یہ ایک مڑا ہوا خنجر ہے، ایک مذہبی علامت ہے، اور قریبی لڑائی کے لیے ایک ہتھیار ہے، C) یہ ایک بھاری گدی ہے جسے بکتر توڑنے کے لیے استعمال کیا جاتا ہے، D) یہ طویل فاصلے تک حملوں کے لیے پھینکنے والا ستارہ ہے۔")</f>
        <v>A) یہ ایک لمبا نیزہ ہے، B) یہ ایک مڑا ہوا خنجر ہے، ایک مذہبی علامت ہے، اور قریبی لڑائی کے لیے ایک ہتھیار ہے، C) یہ ایک بھاری گدی ہے جسے بکتر توڑنے کے لیے استعمال کیا جاتا ہے، D) یہ طویل فاصلے تک حملوں کے لیے پھینکنے والا ستارہ ہے۔</v>
      </c>
      <c r="L129" s="6" t="str">
        <f>IFERROR(__xludf.DUMMYFUNCTION("GOOGLETRANSLATE(D129, ""en"", ""ur"")"),"ب) یہ ایک مڑے ہوئے خنجر، ایک مذہبی علامت، اور قریبی لڑائی کے لیے ایک ہتھیار ہے۔")</f>
        <v>ب) یہ ایک مڑے ہوئے خنجر، ایک مذہبی علامت، اور قریبی لڑائی کے لیے ایک ہتھیار ہے۔</v>
      </c>
      <c r="M129" s="6" t="str">
        <f>IFERROR(__xludf.DUMMYFUNCTION("GOOGLETRANSLATE(E129, ""en"", ""ur"")"),"کرپان سکھوں کے لیے عقیدے کے پانچ مضامین میں سے ایک ہے اور گٹکا تکنیک میں استعمال ہونے والا ایک فعال ہتھیار بھی ہے۔")</f>
        <v>کرپان سکھوں کے لیے عقیدے کے پانچ مضامین میں سے ایک ہے اور گٹکا تکنیک میں استعمال ہونے والا ایک فعال ہتھیار بھی ہے۔</v>
      </c>
    </row>
    <row r="130">
      <c r="A130" s="4">
        <v>129.0</v>
      </c>
      <c r="B130" s="5" t="s">
        <v>1689</v>
      </c>
      <c r="C130" s="5" t="s">
        <v>1690</v>
      </c>
      <c r="D130" s="5" t="s">
        <v>1691</v>
      </c>
      <c r="E130" s="5" t="s">
        <v>1692</v>
      </c>
      <c r="I130" s="6" t="str">
        <f>IFERROR(__xludf.DUMMYFUNCTION("GOOGLETRANSLATE(A130, ""en"", ""ur"")"),"129")</f>
        <v>129</v>
      </c>
      <c r="J130" s="6" t="str">
        <f>IFERROR(__xludf.DUMMYFUNCTION("GOOGLETRANSLATE(B130, ""en"", ""ur"")"),"اگر کوئی کھلاڑی اپنے ہی غیر قانونی اقدام کے نتیجے میں زخمی ہو جاتا ہے، تو اس کا سب سے زیادہ امکان کیا نتیجہ ہے؟")</f>
        <v>اگر کوئی کھلاڑی اپنے ہی غیر قانونی اقدام کے نتیجے میں زخمی ہو جاتا ہے، تو اس کا سب سے زیادہ امکان کیا نتیجہ ہے؟</v>
      </c>
      <c r="K130" s="6" t="str">
        <f>IFERROR(__xludf.DUMMYFUNCTION("GOOGLETRANSLATE(C130, ""en"", ""ur"")"),"A) پوائنٹ کو منصفانہ ہونے کے لیے دوبارہ چلایا جاتا ہے، B) کھلاڑی نااہلی یا ریٹائرمنٹ کے ذریعے میچ ہار جاتا ہے، C) حریف کو محتاط نہ رہنے پر تنبیہ کی جاتی ہے، D) انجری کی وجہ سے میچ ڈرا قرار دیا جاتا ہے۔")</f>
        <v>A) پوائنٹ کو منصفانہ ہونے کے لیے دوبارہ چلایا جاتا ہے، B) کھلاڑی نااہلی یا ریٹائرمنٹ کے ذریعے میچ ہار جاتا ہے، C) حریف کو محتاط نہ رہنے پر تنبیہ کی جاتی ہے، D) انجری کی وجہ سے میچ ڈرا قرار دیا جاتا ہے۔</v>
      </c>
      <c r="L130" s="6" t="str">
        <f>IFERROR(__xludf.DUMMYFUNCTION("GOOGLETRANSLATE(D130, ""en"", ""ur"")"),"ب) کھلاڑی نااہلی یا ریٹائرمنٹ سے میچ ہار جاتا ہے۔")</f>
        <v>ب) کھلاڑی نااہلی یا ریٹائرمنٹ سے میچ ہار جاتا ہے۔</v>
      </c>
      <c r="M130" s="6" t="str">
        <f>IFERROR(__xludf.DUMMYFUNCTION("GOOGLETRANSLATE(E130, ""en"", ""ur"")"),"ایک کھلاڑی جو فاؤل کرتے ہوئے خود کو زخمی کرتا ہے وہ ڈیفالٹ سے نہیں جیت سکتا۔ وہ اپنے غیر قانونی اقدام کے خود ذمہ دار ہیں۔")</f>
        <v>ایک کھلاڑی جو فاؤل کرتے ہوئے خود کو زخمی کرتا ہے وہ ڈیفالٹ سے نہیں جیت سکتا۔ وہ اپنے غیر قانونی اقدام کے خود ذمہ دار ہیں۔</v>
      </c>
    </row>
    <row r="131">
      <c r="A131" s="4">
        <v>130.0</v>
      </c>
      <c r="B131" s="5" t="s">
        <v>1693</v>
      </c>
      <c r="C131" s="5" t="s">
        <v>1694</v>
      </c>
      <c r="D131" s="5" t="s">
        <v>1521</v>
      </c>
      <c r="E131" s="5" t="s">
        <v>1695</v>
      </c>
      <c r="I131" s="6" t="str">
        <f>IFERROR(__xludf.DUMMYFUNCTION("GOOGLETRANSLATE(A131, ""en"", ""ur"")"),"130")</f>
        <v>130</v>
      </c>
      <c r="J131" s="6" t="str">
        <f>IFERROR(__xludf.DUMMYFUNCTION("GOOGLETRANSLATE(B131, ""en"", ""ur"")"),"""چکری"" ڈرل کا بنیادی مقصد کیا ہے، جس میں مسلسل گھومنا شامل ہے؟")</f>
        <v>"چکری" ڈرل کا بنیادی مقصد کیا ہے، جس میں مسلسل گھومنا شامل ہے؟</v>
      </c>
      <c r="K131" s="6" t="str">
        <f>IFERROR(__xludf.DUMMYFUNCTION("GOOGLETRANSLATE(C131, ""en"", ""ur"")"),"A) کھلاڑی کو چکر آنا تاکہ وہ برداشت پیدا کر سکیں، B) توازن، قوت برداشت، اور کسی بھی زاویے سے حملہ کرنے کی صلاحیت پیدا کرنے کے لیے، C) ہجوم اور ججوں کو دکھاوے کے لیے، D) میچ سے پہلے ٹانگوں کے پٹھوں کو گرم کرنا")</f>
        <v>A) کھلاڑی کو چکر آنا تاکہ وہ برداشت پیدا کر سکیں، B) توازن، قوت برداشت، اور کسی بھی زاویے سے حملہ کرنے کی صلاحیت پیدا کرنے کے لیے، C) ہجوم اور ججوں کو دکھاوے کے لیے، D) میچ سے پہلے ٹانگوں کے پٹھوں کو گرم کرنا</v>
      </c>
      <c r="L131" s="6" t="str">
        <f>IFERROR(__xludf.DUMMYFUNCTION("GOOGLETRANSLATE(D131, ""en"", ""ur"")"),"ب) توازن، قوت برداشت اور کسی بھی زاویے سے حملہ کرنے کی صلاحیت پیدا کرنا")</f>
        <v>ب) توازن، قوت برداشت اور کسی بھی زاویے سے حملہ کرنے کی صلاحیت پیدا کرنا</v>
      </c>
      <c r="M131" s="6" t="str">
        <f>IFERROR(__xludf.DUMMYFUNCTION("GOOGLETRANSLATE(E131, ""en"", ""ur"")"),"یہ سخت مشق لڑائی میں گردشی حملوں کے لیے درکار برداشت اور کنٹرول کو بڑھانے کے لیے ایک اہم مشق ہے۔")</f>
        <v>یہ سخت مشق لڑائی میں گردشی حملوں کے لیے درکار برداشت اور کنٹرول کو بڑھانے کے لیے ایک اہم مشق ہے۔</v>
      </c>
    </row>
    <row r="132">
      <c r="A132" s="4">
        <v>131.0</v>
      </c>
      <c r="B132" s="5" t="s">
        <v>1523</v>
      </c>
      <c r="C132" s="5" t="s">
        <v>1696</v>
      </c>
      <c r="D132" s="5" t="s">
        <v>1697</v>
      </c>
      <c r="E132" s="5" t="s">
        <v>1698</v>
      </c>
      <c r="I132" s="6" t="str">
        <f>IFERROR(__xludf.DUMMYFUNCTION("GOOGLETRANSLATE(A132, ""en"", ""ur"")"),"131")</f>
        <v>131</v>
      </c>
      <c r="J132" s="6" t="str">
        <f>IFERROR(__xludf.DUMMYFUNCTION("GOOGLETRANSLATE(B132, ""en"", ""ur"")"),"جدید گٹکا میں ان میں سے کون سا باضابطہ مقابلے کا زمرہ نہیں ہے؟")</f>
        <v>جدید گٹکا میں ان میں سے کون سا باضابطہ مقابلے کا زمرہ نہیں ہے؟</v>
      </c>
      <c r="K132" s="6" t="str">
        <f>IFERROR(__xludf.DUMMYFUNCTION("GOOGLETRANSLATE(C132, ""en"", ""ur"")"),"A) سنگل سوتی (چھڑی کی لڑائی)، B) فاری سوتی (چھڑی اور ڈھال)، C) ٹیم گٹکا، D) ننگی دستک گٹکا (مستی جنگ)")</f>
        <v>A) سنگل سوتی (چھڑی کی لڑائی)، B) فاری سوتی (چھڑی اور ڈھال)، C) ٹیم گٹکا، D) ننگی دستک گٹکا (مستی جنگ)</v>
      </c>
      <c r="L132" s="6" t="str">
        <f>IFERROR(__xludf.DUMMYFUNCTION("GOOGLETRANSLATE(D132, ""en"", ""ur"")"),"D) ننگے گٹکا (مستی یدہ)")</f>
        <v>D) ننگے گٹکا (مستی یدہ)</v>
      </c>
      <c r="M132" s="6" t="str">
        <f>IFERROR(__xludf.DUMMYFUNCTION("GOOGLETRANSLATE(E132, ""en"", ""ur"")"),"جدید گٹکا خصوصی طور پر ہتھیاروں پر مبنی مارشل آرٹ ہے۔ اس کے مقابلوں میں کوئی سرکاری خالی ہاتھ لڑائی کا زمرہ نہیں ہے۔")</f>
        <v>جدید گٹکا خصوصی طور پر ہتھیاروں پر مبنی مارشل آرٹ ہے۔ اس کے مقابلوں میں کوئی سرکاری خالی ہاتھ لڑائی کا زمرہ نہیں ہے۔</v>
      </c>
    </row>
    <row r="133">
      <c r="A133" s="4">
        <v>132.0</v>
      </c>
      <c r="B133" s="5" t="s">
        <v>1699</v>
      </c>
      <c r="C133" s="5" t="s">
        <v>1700</v>
      </c>
      <c r="D133" s="5" t="s">
        <v>1701</v>
      </c>
      <c r="E133" s="5" t="s">
        <v>1702</v>
      </c>
      <c r="I133" s="6" t="str">
        <f>IFERROR(__xludf.DUMMYFUNCTION("GOOGLETRANSLATE(A133, ""en"", ""ur"")"),"132")</f>
        <v>132</v>
      </c>
      <c r="J133" s="6" t="str">
        <f>IFERROR(__xludf.DUMMYFUNCTION("GOOGLETRANSLATE(B133, ""en"", ""ur"")"),"گٹکا ٹورنامنٹ میں ""ٹیبل آفیشلز"" کا کیا کردار ہوتا ہے؟")</f>
        <v>گٹکا ٹورنامنٹ میں "ٹیبل آفیشلز" کا کیا کردار ہوتا ہے؟</v>
      </c>
      <c r="K133" s="6" t="str">
        <f>IFERROR(__xludf.DUMMYFUNCTION("GOOGLETRANSLATE(C133, ""en"", ""ur"")"),"A) وہ میدان کے اندر اہم ریفری ہیں، B) وہ ٹائم کیپنگ، اسکورنگ اور آفیشل نتائج ریکارڈ کرنے کے ذمہ دار ہیں، C) وہ مقابلہ کرنے والی ٹیموں کے کوچ ہیں، D) وہ ہتھیاروں کا معائنہ کرنے کے ذمہ دار ہیں۔")</f>
        <v>A) وہ میدان کے اندر اہم ریفری ہیں، B) وہ ٹائم کیپنگ، اسکورنگ اور آفیشل نتائج ریکارڈ کرنے کے ذمہ دار ہیں، C) وہ مقابلہ کرنے والی ٹیموں کے کوچ ہیں، D) وہ ہتھیاروں کا معائنہ کرنے کے ذمہ دار ہیں۔</v>
      </c>
      <c r="L133" s="6" t="str">
        <f>IFERROR(__xludf.DUMMYFUNCTION("GOOGLETRANSLATE(D133, ""en"", ""ur"")"),"ب) وہ ٹائم کیپنگ، اسکورنگ، اور سرکاری نتائج ریکارڈ کرنے کے ذمہ دار ہیں۔")</f>
        <v>ب) وہ ٹائم کیپنگ، اسکورنگ، اور سرکاری نتائج ریکارڈ کرنے کے ذمہ دار ہیں۔</v>
      </c>
      <c r="M133" s="6" t="str">
        <f>IFERROR(__xludf.DUMMYFUNCTION("GOOGLETRANSLATE(E133, ""en"", ""ur"")"),"ٹیبل حکام میچ کے انتظامی پہلوؤں کا انتظام کرتے ہیں، میدان میں موجود ریفریوں کی مدد کرتے ہیں اور درستگی کو یقینی بناتے ہیں۔")</f>
        <v>ٹیبل حکام میچ کے انتظامی پہلوؤں کا انتظام کرتے ہیں، میدان میں موجود ریفریوں کی مدد کرتے ہیں اور درستگی کو یقینی بناتے ہیں۔</v>
      </c>
    </row>
    <row r="134">
      <c r="A134" s="4">
        <v>133.0</v>
      </c>
      <c r="B134" s="5" t="s">
        <v>1703</v>
      </c>
      <c r="C134" s="5" t="s">
        <v>1704</v>
      </c>
      <c r="D134" s="5" t="s">
        <v>1533</v>
      </c>
      <c r="E134" s="5" t="s">
        <v>1705</v>
      </c>
      <c r="I134" s="6" t="str">
        <f>IFERROR(__xludf.DUMMYFUNCTION("GOOGLETRANSLATE(A134, ""en"", ""ur"")"),"133")</f>
        <v>133</v>
      </c>
      <c r="J134" s="6" t="str">
        <f>IFERROR(__xludf.DUMMYFUNCTION("GOOGLETRANSLATE(B134, ""en"", ""ur"")"),"ایک کھلاڑی کو ""ڈبل سٹرائیک"" کے لیے سزا دی جاتی ہے۔ گٹکا کے تناظر میں اس کا کیا مطلب ہے؟")</f>
        <v>ایک کھلاڑی کو "ڈبل سٹرائیک" کے لیے سزا دی جاتی ہے۔ گٹکا کے تناظر میں اس کا کیا مطلب ہے؟</v>
      </c>
      <c r="K134" s="6" t="str">
        <f>IFERROR(__xludf.DUMMYFUNCTION("GOOGLETRANSLATE(C134, ""en"", ""ur"")"),"A) وہ ایک ہی وقت میں چھڑی کے دونوں سروں سے مخالف کو مارتے ہیں، B) انہوں نے اپنے موقف کو دوبارہ ترتیب دیے بغیر تیزی سے دو بار حریف کو مارا، C) وہ ایک ہی وقت میں حریف اور ان کی شیلڈ کو مارتے ہیں، D) انہوں نے ٹیم میچ میں ایک ساتھ دو مخالفین کو نشانہ بنایا")</f>
        <v>A) وہ ایک ہی وقت میں چھڑی کے دونوں سروں سے مخالف کو مارتے ہیں، B) انہوں نے اپنے موقف کو دوبارہ ترتیب دیے بغیر تیزی سے دو بار حریف کو مارا، C) وہ ایک ہی وقت میں حریف اور ان کی شیلڈ کو مارتے ہیں، D) انہوں نے ٹیم میچ میں ایک ساتھ دو مخالفین کو نشانہ بنایا</v>
      </c>
      <c r="L134" s="6" t="str">
        <f>IFERROR(__xludf.DUMMYFUNCTION("GOOGLETRANSLATE(D134, ""en"", ""ur"")"),"ب) انہوں نے بغیر کسی ری سیٹ کے تیزی سے مسلسل دو بار حریف کو نشانہ بنایا")</f>
        <v>ب) انہوں نے بغیر کسی ری سیٹ کے تیزی سے مسلسل دو بار حریف کو نشانہ بنایا</v>
      </c>
      <c r="M134" s="6" t="str">
        <f>IFERROR(__xludf.DUMMYFUNCTION("GOOGLETRANSLATE(E134, ""en"", ""ur"")"),"کچھ اصول سیٹوں میں، ایک کھلاڑی کو سٹرائیکس کے درمیان دوبارہ ترتیب دے کر کنٹرول کا مظاہرہ کرنا چاہیے۔ ہٹ کے مسلسل ""ڈرم رول"" کی اجازت نہیں ہے اور اسے ایک ایکشن سمجھا جاتا ہے۔")</f>
        <v>کچھ اصول سیٹوں میں، ایک کھلاڑی کو سٹرائیکس کے درمیان دوبارہ ترتیب دے کر کنٹرول کا مظاہرہ کرنا چاہیے۔ ہٹ کے مسلسل "ڈرم رول" کی اجازت نہیں ہے اور اسے ایک ایکشن سمجھا جاتا ہے۔</v>
      </c>
    </row>
    <row r="135">
      <c r="A135" s="4">
        <v>134.0</v>
      </c>
      <c r="B135" s="5" t="s">
        <v>1706</v>
      </c>
      <c r="C135" s="5" t="s">
        <v>1707</v>
      </c>
      <c r="D135" s="5" t="s">
        <v>1133</v>
      </c>
      <c r="E135" s="5" t="s">
        <v>1708</v>
      </c>
      <c r="I135" s="6" t="str">
        <f>IFERROR(__xludf.DUMMYFUNCTION("GOOGLETRANSLATE(A135, ""en"", ""ur"")"),"134")</f>
        <v>134</v>
      </c>
      <c r="J135" s="6" t="str">
        <f>IFERROR(__xludf.DUMMYFUNCTION("GOOGLETRANSLATE(B135, ""en"", ""ur"")"),"گٹکا میں مخالف کے ساتھ آنکھ کا رابطہ برقرار رکھنا کیوں ضروری سمجھا جاتا ہے؟")</f>
        <v>گٹکا میں مخالف کے ساتھ آنکھ کا رابطہ برقرار رکھنا کیوں ضروری سمجھا جاتا ہے؟</v>
      </c>
      <c r="K135" s="6" t="str">
        <f>IFERROR(__xludf.DUMMYFUNCTION("GOOGLETRANSLATE(C135, ""en"", ""ur"")"),"A) یہ احترام اور عزت کی علامت ہے، B) ان کی نقل و حرکت اور ارادوں کا اندازہ لگانا، C) انہیں ڈرانا اور اعتماد ظاہر کرنا، D) مندرجہ بالا سبھی")</f>
        <v>A) یہ احترام اور عزت کی علامت ہے، B) ان کی نقل و حرکت اور ارادوں کا اندازہ لگانا، C) انہیں ڈرانا اور اعتماد ظاہر کرنا، D) مندرجہ بالا سبھی</v>
      </c>
      <c r="L135" s="6" t="str">
        <f>IFERROR(__xludf.DUMMYFUNCTION("GOOGLETRANSLATE(D135, ""en"", ""ur"")"),"D) مذکورہ بالا تمام")</f>
        <v>D) مذکورہ بالا تمام</v>
      </c>
      <c r="M135" s="6" t="str">
        <f>IFERROR(__xludf.DUMMYFUNCTION("GOOGLETRANSLATE(E135, ""en"", ""ur"")"),"آنکھ سے رابطہ لڑائی میں ذہنی کھیل کا ایک اہم حصہ ہے، جسے حریف کو پڑھنے، اعتماد ظاہر کرنے اور توجہ کو برقرار رکھنے کے لیے استعمال کیا جاتا ہے۔")</f>
        <v>آنکھ سے رابطہ لڑائی میں ذہنی کھیل کا ایک اہم حصہ ہے، جسے حریف کو پڑھنے، اعتماد ظاہر کرنے اور توجہ کو برقرار رکھنے کے لیے استعمال کیا جاتا ہے۔</v>
      </c>
    </row>
    <row r="136">
      <c r="A136" s="4">
        <v>135.0</v>
      </c>
      <c r="B136" s="5" t="s">
        <v>1538</v>
      </c>
      <c r="C136" s="5" t="s">
        <v>1709</v>
      </c>
      <c r="D136" s="5" t="s">
        <v>1540</v>
      </c>
      <c r="E136" s="5" t="s">
        <v>1710</v>
      </c>
      <c r="I136" s="6" t="str">
        <f>IFERROR(__xludf.DUMMYFUNCTION("GOOGLETRANSLATE(A136, ""en"", ""ur"")"),"135")</f>
        <v>135</v>
      </c>
      <c r="J136" s="6" t="str">
        <f>IFERROR(__xludf.DUMMYFUNCTION("GOOGLETRANSLATE(B136, ""en"", ""ur"")"),"دوستانہ گاؤں میچ (جور) شروع کرنے کا روایتی طریقہ کیا ہے؟")</f>
        <v>دوستانہ گاؤں میچ (جور) شروع کرنے کا روایتی طریقہ کیا ہے؟</v>
      </c>
      <c r="K136" s="6" t="str">
        <f>IFERROR(__xludf.DUMMYFUNCTION("GOOGLETRANSLATE(C136, ""en"", ""ur"")"),"A) ایک بزرگ کی طرف سے سیٹی بجانا، B) ڈھول کی تھاپ، C) دو کھلاڑیوں کے درمیان باہمی سلامی (فتح) D) یہ دیکھنے کے لئے کہ کون شروع کرتا ہے")</f>
        <v>A) ایک بزرگ کی طرف سے سیٹی بجانا، B) ڈھول کی تھاپ، C) دو کھلاڑیوں کے درمیان باہمی سلامی (فتح) D) یہ دیکھنے کے لئے کہ کون شروع کرتا ہے</v>
      </c>
      <c r="L136" s="6" t="str">
        <f>IFERROR(__xludf.DUMMYFUNCTION("GOOGLETRANSLATE(D136, ""en"", ""ur"")"),"ج) دونوں کھلاڑیوں کے درمیان باہمی سلامی (فتح)")</f>
        <v>ج) دونوں کھلاڑیوں کے درمیان باہمی سلامی (فتح)</v>
      </c>
      <c r="M136" s="6" t="str">
        <f>IFERROR(__xludf.DUMMYFUNCTION("GOOGLETRANSLATE(E136, ""en"", ""ur"")"),"ایک دوستانہ مقابلہ روایتی طور پر شروع ہوتا ہے جب کھلاڑی ایک دوسرے کو احترام کے ساتھ سلام کرتے ہیں، جیسے ""واہگورو جی کا خالصہ، واہگورو جی کی فتح۔""")</f>
        <v>ایک دوستانہ مقابلہ روایتی طور پر شروع ہوتا ہے جب کھلاڑی ایک دوسرے کو احترام کے ساتھ سلام کرتے ہیں، جیسے "واہگورو جی کا خالصہ، واہگورو جی کی فتح۔"</v>
      </c>
    </row>
    <row r="137">
      <c r="A137" s="4">
        <v>136.0</v>
      </c>
      <c r="B137" s="5" t="s">
        <v>1711</v>
      </c>
      <c r="C137" s="5" t="s">
        <v>1712</v>
      </c>
      <c r="D137" s="5" t="s">
        <v>1544</v>
      </c>
      <c r="E137" s="5" t="s">
        <v>1713</v>
      </c>
      <c r="I137" s="6" t="str">
        <f>IFERROR(__xludf.DUMMYFUNCTION("GOOGLETRANSLATE(A137, ""en"", ""ur"")"),"136")</f>
        <v>136</v>
      </c>
      <c r="J137" s="6" t="str">
        <f>IFERROR(__xludf.DUMMYFUNCTION("GOOGLETRANSLATE(B137, ""en"", ""ur"")"),"ایک طاقتور اسٹرائیک سے کھلاڑی کی شیلڈ ٹوٹ جاتی ہے۔ ریفری کی طرف سے کیا حکم ہے؟")</f>
        <v>ایک طاقتور اسٹرائیک سے کھلاڑی کی شیلڈ ٹوٹ جاتی ہے۔ ریفری کی طرف سے کیا حکم ہے؟</v>
      </c>
      <c r="K137" s="6" t="str">
        <f>IFERROR(__xludf.DUMMYFUNCTION("GOOGLETRANSLATE(C137, ""en"", ""ur"")"),"A) اسٹرائیکر کو ضرورت سے زیادہ طاقت استعمال کرنے پر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کو فوری طور پر ڈرا قرار دی"&amp;"ا جاتا ہے۔")</f>
        <v>A) اسٹرائیکر کو ضرورت سے زیادہ طاقت استعمال کرنے پر نااہل قرار دیا جاتا ہے، B) اسٹرائیکر کو پوائنٹ دیا جاتا ہے، اور میچ کو متبادل شیلڈ کے لیے روک دیا جاتا ہے، C) ٹوٹی ہوئی شیلڈ والے کھلاڑی کو اس کے بغیر جاری رہنا چاہیے، D) راؤنڈ کو فوری طور پر ڈرا قرار دیا جاتا ہے۔</v>
      </c>
      <c r="L137" s="6" t="str">
        <f>IFERROR(__xludf.DUMMYFUNCTION("GOOGLETRANSLATE(D137, ""en"", ""ur"")"),"ب) پوائنٹ اسٹرائیکر کو دیا جاتا ہے، اور میچ کو متبادل شیلڈ کے لیے روک دیا جاتا ہے۔")</f>
        <v>ب) پوائنٹ اسٹرائیکر کو دیا جاتا ہے، اور میچ کو متبادل شیلڈ کے لیے روک دیا جاتا ہے۔</v>
      </c>
      <c r="M137" s="6" t="str">
        <f>IFERROR(__xludf.DUMMYFUNCTION("GOOGLETRANSLATE(E137, ""en"", ""ur"")"),"ایک قانونی ہڑتال جو مخالف کے سازوسامان کو توڑنے کے لئے کافی طاقتور ہے ایک واضح نکتہ ہے۔ اس کے بعد ٹوٹے ہوئے گیئر کو تبدیل کرنے کے لیے میچ کو حفاظت کے لیے روک دیا جاتا ہے۔")</f>
        <v>ایک قانونی ہڑتال جو مخالف کے سازوسامان کو توڑنے کے لئے کافی طاقتور ہے ایک واضح نکتہ ہے۔ اس کے بعد ٹوٹے ہوئے گیئر کو تبدیل کرنے کے لیے میچ کو حفاظت کے لیے روک دیا جاتا ہے۔</v>
      </c>
    </row>
    <row r="138">
      <c r="A138" s="4">
        <v>137.0</v>
      </c>
      <c r="B138" s="5" t="s">
        <v>1714</v>
      </c>
      <c r="C138" s="5" t="s">
        <v>1715</v>
      </c>
      <c r="D138" s="5" t="s">
        <v>1716</v>
      </c>
      <c r="E138" s="5" t="s">
        <v>1549</v>
      </c>
      <c r="I138" s="6" t="str">
        <f>IFERROR(__xludf.DUMMYFUNCTION("GOOGLETRANSLATE(A138, ""en"", ""ur"")"),"137")</f>
        <v>137</v>
      </c>
      <c r="J138" s="6" t="str">
        <f>IFERROR(__xludf.DUMMYFUNCTION("GOOGLETRANSLATE(B138, ""en"", ""ur"")"),"گٹکا میں دفاع پر زیادہ زور دینے کی فلسفیانہ وجہ کیا ہے؟")</f>
        <v>گٹکا میں دفاع پر زیادہ زور دینے کی فلسفیانہ وجہ کیا ہے؟</v>
      </c>
      <c r="K138" s="6" t="str">
        <f>IFERROR(__xludf.DUMMYFUNCTION("GOOGLETRANSLATE(C138, ""en"", ""ur"")"),"A) حملہ کرنے سے سیکھنا آسان ہنر ہے، B) فن کا مقصد اپنے دفاع اور دوسروں کے تحفظ کے لیے ہے، جارحیت کے لیے نہیں، C) دفاعی چالیں جارحانہ چالوں سے زیادہ پوائنٹس حاصل کرتی ہیں، D) یہ حریف کو تھکا دینے کا ایک اچھا طریقہ ہے۔")</f>
        <v>A) حملہ کرنے سے سیکھنا آسان ہنر ہے، B) فن کا مقصد اپنے دفاع اور دوسروں کے تحفظ کے لیے ہے، جارحیت کے لیے نہیں، C) دفاعی چالیں جارحانہ چالوں سے زیادہ پوائنٹس حاصل کرتی ہیں، D) یہ حریف کو تھکا دینے کا ایک اچھا طریقہ ہے۔</v>
      </c>
      <c r="L138" s="6" t="str">
        <f>IFERROR(__xludf.DUMMYFUNCTION("GOOGLETRANSLATE(D138, ""en"", ""ur"")"),"ب) فن اپنے دفاع اور دوسروں کے تحفظ کے لیے ہے، جارحیت کے لیے نہیں۔")</f>
        <v>ب) فن اپنے دفاع اور دوسروں کے تحفظ کے لیے ہے، جارحیت کے لیے نہیں۔</v>
      </c>
      <c r="M138" s="6" t="str">
        <f>IFERROR(__xludf.DUMMYFUNCTION("GOOGLETRANSLATE(E138, ""en"", ""ur"")"),"بنیادی اصول یہ ہے کہ ایک سکھ جنگجو اپنا ہتھیار کمزوروں کے دفاع اور انصاف کو برقرار رکھنے کے لیے کھینچتا ہے، نہ کہ تنازع شروع کرنے کے لیے۔")</f>
        <v>بنیادی اصول یہ ہے کہ ایک سکھ جنگجو اپنا ہتھیار کمزوروں کے دفاع اور انصاف کو برقرار رکھنے کے لیے کھینچتا ہے، نہ کہ تنازع شروع کرنے کے لیے۔</v>
      </c>
    </row>
    <row r="139">
      <c r="A139" s="4">
        <v>138.0</v>
      </c>
      <c r="B139" s="5" t="s">
        <v>1717</v>
      </c>
      <c r="C139" s="5" t="s">
        <v>1718</v>
      </c>
      <c r="D139" s="5" t="s">
        <v>1719</v>
      </c>
      <c r="E139" s="5" t="s">
        <v>1720</v>
      </c>
      <c r="I139" s="6" t="str">
        <f>IFERROR(__xludf.DUMMYFUNCTION("GOOGLETRANSLATE(A139, ""en"", ""ur"")"),"138")</f>
        <v>138</v>
      </c>
      <c r="J139" s="6" t="str">
        <f>IFERROR(__xludf.DUMMYFUNCTION("GOOGLETRANSLATE(B139, ""en"", ""ur"")"),"میچ میں حملے کے دوران ""فل باڈی اسپن"" استعمال کرنے کا بنیادی خطرہ کیا ہے؟")</f>
        <v>میچ میں حملے کے دوران "فل باڈی اسپن" استعمال کرنے کا بنیادی خطرہ کیا ہے؟</v>
      </c>
      <c r="K139" s="6" t="str">
        <f>IFERROR(__xludf.DUMMYFUNCTION("GOOGLETRANSLATE(C139, ""en"", ""ur"")"),"A) یہ ایک غلط ہے اور اس پر جرمانہ عائد کیا جائے گا، B) یہ بہت زیادہ توانائی خرچ کرتا ہے اور اس سے چکر آنا یا توازن کھو سکتا ہے، C) یہ ایک کم اسکور کرنے والا اقدام ہے اور کوشش کے قابل نہیں ہے، D) مخالف کے لیے اسے روکنا بہت آسان ہے۔")</f>
        <v>A) یہ ایک غلط ہے اور اس پر جرمانہ عائد کیا جائے گا، B) یہ بہت زیادہ توانائی خرچ کرتا ہے اور اس سے چکر آنا یا توازن کھو سکتا ہے، C) یہ ایک کم اسکور کرنے والا اقدام ہے اور کوشش کے قابل نہیں ہے، D) مخالف کے لیے اسے روکنا بہت آسان ہے۔</v>
      </c>
      <c r="L139" s="6" t="str">
        <f>IFERROR(__xludf.DUMMYFUNCTION("GOOGLETRANSLATE(D139, ""en"", ""ur"")"),"ب) یہ بہت زیادہ توانائی خرچ کرتا ہے اور چکر آنے یا توازن کھونے کا سبب بن سکتا ہے۔")</f>
        <v>ب) یہ بہت زیادہ توانائی خرچ کرتا ہے اور چکر آنے یا توازن کھونے کا سبب بن سکتا ہے۔</v>
      </c>
      <c r="M139" s="6" t="str">
        <f>IFERROR(__xludf.DUMMYFUNCTION("GOOGLETRANSLATE(E139, ""en"", ""ur"")"),"شاندار ہونے کے باوجود، مکمل 360-ڈگری گھماؤ جسمانی طور پر مطالبہ کر رہے ہیں اور اگر وہ مکمل طور پر عمل میں نہیں آئے تو لڑاکا کو کمزور چھوڑ سکتے ہیں۔")</f>
        <v>شاندار ہونے کے باوجود، مکمل 360-ڈگری گھماؤ جسمانی طور پر مطالبہ کر رہے ہیں اور اگر وہ مکمل طور پر عمل میں نہیں آئے تو لڑاکا کو کمزور چھوڑ سکتے ہیں۔</v>
      </c>
    </row>
    <row r="140">
      <c r="A140" s="4">
        <v>139.0</v>
      </c>
      <c r="B140" s="5" t="s">
        <v>1721</v>
      </c>
      <c r="C140" s="5" t="s">
        <v>1559</v>
      </c>
      <c r="D140" s="5" t="s">
        <v>1560</v>
      </c>
      <c r="E140" s="5" t="s">
        <v>1722</v>
      </c>
      <c r="I140" s="6" t="str">
        <f>IFERROR(__xludf.DUMMYFUNCTION("GOOGLETRANSLATE(A140, ""en"", ""ur"")"),"139")</f>
        <v>139</v>
      </c>
      <c r="J140" s="6" t="str">
        <f>IFERROR(__xludf.DUMMYFUNCTION("GOOGLETRANSLATE(B140, ""en"", ""ur"")"),"چکرا ایک ہتھیار ہے جسے کبھی کبھی گٹکا کی نمائشوں میں دکھایا جاتا ہے۔ یہ کیا ہے؟")</f>
        <v>چکرا ایک ہتھیار ہے جسے کبھی کبھی گٹکا کی نمائشوں میں دکھایا جاتا ہے۔ یہ کیا ہے؟</v>
      </c>
      <c r="K140" s="6" t="str">
        <f>IFERROR(__xludf.DUMMYFUNCTION("GOOGLETRANSLATE(C140, ""en"", ""ur"")"),"A) ایک بھاری گدی، B) ایک لچکدار کوڑا، C) ایک تیز، گول سٹیل پھینکنے والی انگوٹھی، D) دو سر والا نیزہ")</f>
        <v>A) ایک بھاری گدی، B) ایک لچکدار کوڑا، C) ایک تیز، گول سٹیل پھینکنے والی انگوٹھی، D) دو سر والا نیزہ</v>
      </c>
      <c r="L140" s="6" t="str">
        <f>IFERROR(__xludf.DUMMYFUNCTION("GOOGLETRANSLATE(D140, ""en"", ""ur"")"),"سی) ایک تیز، سرکلر اسٹیل پھینکنے والی انگوٹھی")</f>
        <v>سی) ایک تیز، سرکلر اسٹیل پھینکنے والی انگوٹھی</v>
      </c>
      <c r="M140" s="6" t="str">
        <f>IFERROR(__xludf.DUMMYFUNCTION("GOOGLETRANSLATE(E140, ""en"", ""ur"")"),"چکر یا چکرم سکھ پھینکنے والا روایتی ہتھیار ہے، جسے شہادت کی انگلی پر کاتا جاتا ہے اور بڑی طاقت اور درستگی کے ساتھ پھینکا جاتا ہے۔")</f>
        <v>چکر یا چکرم سکھ پھینکنے والا روایتی ہتھیار ہے، جسے شہادت کی انگلی پر کاتا جاتا ہے اور بڑی طاقت اور درستگی کے ساتھ پھینکا جاتا ہے۔</v>
      </c>
    </row>
    <row r="141">
      <c r="A141" s="4">
        <v>140.0</v>
      </c>
      <c r="B141" s="5" t="s">
        <v>1723</v>
      </c>
      <c r="C141" s="5" t="s">
        <v>1724</v>
      </c>
      <c r="D141" s="5" t="s">
        <v>1725</v>
      </c>
      <c r="E141" s="5" t="s">
        <v>1726</v>
      </c>
      <c r="I141" s="6" t="str">
        <f>IFERROR(__xludf.DUMMYFUNCTION("GOOGLETRANSLATE(A141, ""en"", ""ur"")"),"140")</f>
        <v>140</v>
      </c>
      <c r="J141" s="6" t="str">
        <f>IFERROR(__xludf.DUMMYFUNCTION("GOOGLETRANSLATE(B141, ""en"", ""ur"")"),"ٹیم میچ میں ایک کھلاڑی زخمی ہوتا ہے۔ انہیں کب تبدیل کیا جا سکتا ہے؟")</f>
        <v>ٹیم میچ میں ایک کھلاڑی زخمی ہوتا ہے۔ انہیں کب تبدیل کیا جا سکتا ہے؟</v>
      </c>
      <c r="K141" s="6" t="str">
        <f>IFERROR(__xludf.DUMMYFUNCTION("GOOGLETRANSLATE(C141, ""en"", ""ur"")"),"A) میچ کے دوران کسی بھی وقت، B) راؤنڈز کے درمیان صرف ایک منٹ کے آرام کے دوران، C) صرف اس صورت میں جب چوٹ سے خون بہہ رہا ہو اور اسے روکا نہیں جا سکتا، D) ٹیم کو راؤنڈ ہارنا ہو گا۔")</f>
        <v>A) میچ کے دوران کسی بھی وقت، B) راؤنڈز کے درمیان صرف ایک منٹ کے آرام کے دوران، C) صرف اس صورت میں جب چوٹ سے خون بہہ رہا ہو اور اسے روکا نہیں جا سکتا، D) ٹیم کو راؤنڈ ہارنا ہو گا۔</v>
      </c>
      <c r="L141" s="6" t="str">
        <f>IFERROR(__xludf.DUMMYFUNCTION("GOOGLETRANSLATE(D141, ""en"", ""ur"")"),"ب) راؤنڈز کے درمیان صرف ایک منٹ کے آرام کے دوران")</f>
        <v>ب) راؤنڈز کے درمیان صرف ایک منٹ کے آرام کے دوران</v>
      </c>
      <c r="M141" s="6" t="str">
        <f>IFERROR(__xludf.DUMMYFUNCTION("GOOGLETRANSLATE(E141, ""en"", ""ur"")"),"حفاظت کے لیے اور میچ کے بہاؤ میں خلل کو روکنے کے لیے، صرف راؤنڈز کے درمیان سرکاری وقفے کے دوران متبادل بنایا جا سکتا ہے۔")</f>
        <v>حفاظت کے لیے اور میچ کے بہاؤ میں خلل کو روکنے کے لیے، صرف راؤنڈز کے درمیان سرکاری وقفے کے دوران متبادل بنایا جا سکتا ہے۔</v>
      </c>
    </row>
    <row r="142">
      <c r="A142" s="4">
        <v>141.0</v>
      </c>
      <c r="B142" s="5" t="s">
        <v>1727</v>
      </c>
      <c r="C142" s="5" t="s">
        <v>1728</v>
      </c>
      <c r="D142" s="5" t="s">
        <v>1729</v>
      </c>
      <c r="E142" s="5" t="s">
        <v>1730</v>
      </c>
      <c r="I142" s="6" t="str">
        <f>IFERROR(__xludf.DUMMYFUNCTION("GOOGLETRANSLATE(A142, ""en"", ""ur"")"),"141")</f>
        <v>141</v>
      </c>
      <c r="J142" s="6" t="str">
        <f>IFERROR(__xludf.DUMMYFUNCTION("GOOGLETRANSLATE(B142, ""en"", ""ur"")"),"کھیل گٹکا اور روایتی گٹکا کے درمیان بنیادی فرق کیا ہے؟")</f>
        <v>کھیل گٹکا اور روایتی گٹکا کے درمیان بنیادی فرق کیا ہے؟</v>
      </c>
      <c r="K142" s="6" t="str">
        <f>IFERROR(__xludf.DUMMYFUNCTION("GOOGLETRANSLATE(C142, ""en"", ""ur"")"),"A) کوئی فرق نہیں ہے، B) کھیل گٹکا حفاظت کے لیے پوائنٹ پر مبنی نظام اور حفاظتی سامان کا استعمال کرتا ہے، جبکہ روایتی گٹکا لڑائی کے لیے ہے، C) روایتی گٹکا لاٹھیوں کا استعمال کرتا ہے، جبکہ کھیل گٹکا تلواروں کا استعمال کرتا ہے، D) کھیل گٹکا ایک انفرادی فن ہے،"&amp;" جبکہ روایتی گٹکا ٹیموں کے لیے ہے۔")</f>
        <v>A) کوئی فرق نہیں ہے، B) کھیل گٹکا حفاظت کے لیے پوائنٹ پر مبنی نظام اور حفاظتی سامان کا استعمال کرتا ہے، جبکہ روایتی گٹکا لڑائی کے لیے ہے، C) روایتی گٹکا لاٹھیوں کا استعمال کرتا ہے، جبکہ کھیل گٹکا تلواروں کا استعمال کرتا ہے، D) کھیل گٹکا ایک انفرادی فن ہے، جبکہ روایتی گٹکا ٹیموں کے لیے ہے۔</v>
      </c>
      <c r="L142" s="6" t="str">
        <f>IFERROR(__xludf.DUMMYFUNCTION("GOOGLETRANSLATE(D142, ""en"", ""ur"")"),"ب) کھیل گٹکا حفاظت کے لیے پوائنٹ پر مبنی نظام اور حفاظتی پوشاک کا استعمال کرتا ہے، جبکہ روایتی گٹکا لڑائی کے لیے ہے۔")</f>
        <v>ب) کھیل گٹکا حفاظت کے لیے پوائنٹ پر مبنی نظام اور حفاظتی پوشاک کا استعمال کرتا ہے، جبکہ روایتی گٹکا لڑائی کے لیے ہے۔</v>
      </c>
      <c r="M142" s="6" t="str">
        <f>IFERROR(__xludf.DUMMYFUNCTION("GOOGLETRANSLATE(E142, ""en"", ""ur"")"),"کھیل گٹکا کو محفوظ مقابلے کی اجازت دینے کے لیے قوانین اور آلات کے ساتھ ڈھال لیا گیا ہے، جبکہ روایتی گٹکا اپنی اصلی، زیادہ خطرناک شکل میں مارشل آرٹ ہے۔")</f>
        <v>کھیل گٹکا کو محفوظ مقابلے کی اجازت دینے کے لیے قوانین اور آلات کے ساتھ ڈھال لیا گیا ہے، جبکہ روایتی گٹکا اپنی اصلی، زیادہ خطرناک شکل میں مارشل آرٹ ہے۔</v>
      </c>
    </row>
    <row r="143">
      <c r="A143" s="4">
        <v>142.0</v>
      </c>
      <c r="B143" s="5" t="s">
        <v>1731</v>
      </c>
      <c r="C143" s="5" t="s">
        <v>1732</v>
      </c>
      <c r="D143" s="5" t="s">
        <v>1733</v>
      </c>
      <c r="E143" s="5" t="s">
        <v>1734</v>
      </c>
      <c r="I143" s="6" t="str">
        <f>IFERROR(__xludf.DUMMYFUNCTION("GOOGLETRANSLATE(A143, ""en"", ""ur"")"),"142")</f>
        <v>142</v>
      </c>
      <c r="J143" s="6" t="str">
        <f>IFERROR(__xludf.DUMMYFUNCTION("GOOGLETRANSLATE(B143, ""en"", ""ur"")"),"ایک ٹورنامنٹ میں گٹکا ٹیم کے متبادل کی زیادہ سے زیادہ تعداد کتنی ہے؟")</f>
        <v>ایک ٹورنامنٹ میں گٹکا ٹیم کے متبادل کی زیادہ سے زیادہ تعداد کتنی ہے؟</v>
      </c>
      <c r="K143" s="6" t="str">
        <f>IFERROR(__xludf.DUMMYFUNCTION("GOOGLETRANSLATE(C143, ""en"", ""ur"")"),"A) 1، B) 2، C) 3، D) 4")</f>
        <v>A) 1، B) 2، C) 3، D) 4</v>
      </c>
      <c r="L143" s="6" t="str">
        <f>IFERROR(__xludf.DUMMYFUNCTION("GOOGLETRANSLATE(D143, ""en"", ""ur"")"),"ج) 3")</f>
        <v>ج) 3</v>
      </c>
      <c r="M143" s="6" t="str">
        <f>IFERROR(__xludf.DUMMYFUNCTION("GOOGLETRANSLATE(E143, ""en"", ""ur"")"),"ایک عام ٹیم 7 کھلاڑیوں پر مشتمل ہوتی ہے، جس میں 4 کسی ایک وقت میں مقابلہ کرتے ہیں اور 3 متبادل کے طور پر دستیاب ہوتے ہیں۔")</f>
        <v>ایک عام ٹیم 7 کھلاڑیوں پر مشتمل ہوتی ہے، جس میں 4 کسی ایک وقت میں مقابلہ کرتے ہیں اور 3 متبادل کے طور پر دستیاب ہوتے ہیں۔</v>
      </c>
    </row>
    <row r="144">
      <c r="A144" s="4">
        <v>143.0</v>
      </c>
      <c r="B144" s="5" t="s">
        <v>1735</v>
      </c>
      <c r="C144" s="5" t="s">
        <v>1736</v>
      </c>
      <c r="D144" s="5" t="s">
        <v>1737</v>
      </c>
      <c r="E144" s="5" t="s">
        <v>1738</v>
      </c>
      <c r="I144" s="6" t="str">
        <f>IFERROR(__xludf.DUMMYFUNCTION("GOOGLETRANSLATE(A144, ""en"", ""ur"")"),"143")</f>
        <v>143</v>
      </c>
      <c r="J144" s="6" t="str">
        <f>IFERROR(__xludf.DUMMYFUNCTION("GOOGLETRANSLATE(B144, ""en"", ""ur"")"),"اگر میچ کے دوران کسی کھلاڑی کی پگڑی یا سر کا پوشاک اتر جائے تو ریفری کا کیا عمل ہے؟")</f>
        <v>اگر میچ کے دوران کسی کھلاڑی کی پگڑی یا سر کا پوشاک اتر جائے تو ریفری کا کیا عمل ہے؟</v>
      </c>
      <c r="K144" s="6" t="str">
        <f>IFERROR(__xludf.DUMMYFUNCTION("GOOGLETRANSLATE(C144, ""en"", ""ur"")"),"A) میچ جاری ہے، B) کھلاڑی کو نااہل قرار دے دیا جاتا ہے، C) کھلاڑی کو دوبارہ فٹ ہونے کی اجازت دینے کے لیے میچ کو فوری طور پر روک دیا جاتا ہے، D) مخالف کو ایک پوائنٹ دیا جاتا ہے۔")</f>
        <v>A) میچ جاری ہے، B) کھلاڑی کو نااہل قرار دے دیا جاتا ہے، C) کھلاڑی کو دوبارہ فٹ ہونے کی اجازت دینے کے لیے میچ کو فوری طور پر روک دیا جاتا ہے، D) مخالف کو ایک پوائنٹ دیا جاتا ہے۔</v>
      </c>
      <c r="L144" s="6" t="str">
        <f>IFERROR(__xludf.DUMMYFUNCTION("GOOGLETRANSLATE(D144, ""en"", ""ur"")"),"C) میچ کو فوری طور پر روک دیا جاتا ہے تاکہ کھلاڑی اسے دوبارہ فٹ کر سکے۔")</f>
        <v>C) میچ کو فوری طور پر روک دیا جاتا ہے تاکہ کھلاڑی اسے دوبارہ فٹ کر سکے۔</v>
      </c>
      <c r="M144" s="6" t="str">
        <f>IFERROR(__xludf.DUMMYFUNCTION("GOOGLETRANSLATE(E144, ""en"", ""ur"")"),"سر کی حفاظت لازمی ہے۔ اگر یہ آتا ہے، تو ریفری کو حفاظت کے لیے لڑائی کو روکنا چاہیے جب تک کہ اسے صحیح طریقے سے محفوظ نہ کر لیا جائے۔")</f>
        <v>سر کی حفاظت لازمی ہے۔ اگر یہ آتا ہے، تو ریفری کو حفاظت کے لیے لڑائی کو روکنا چاہیے جب تک کہ اسے صحیح طریقے سے محفوظ نہ کر لیا جائے۔</v>
      </c>
    </row>
    <row r="145">
      <c r="A145" s="4">
        <v>144.0</v>
      </c>
      <c r="B145" s="5" t="s">
        <v>1739</v>
      </c>
      <c r="C145" s="5" t="s">
        <v>1740</v>
      </c>
      <c r="D145" s="5" t="s">
        <v>1741</v>
      </c>
      <c r="E145" s="5" t="s">
        <v>1742</v>
      </c>
      <c r="I145" s="6" t="str">
        <f>IFERROR(__xludf.DUMMYFUNCTION("GOOGLETRANSLATE(A145, ""en"", ""ur"")"),"144")</f>
        <v>144</v>
      </c>
      <c r="J145" s="6" t="str">
        <f>IFERROR(__xludf.DUMMYFUNCTION("GOOGLETRANSLATE(B145, ""en"", ""ur"")"),"ان میں سے کون سا گٹکا فلسفہ کا کلیدی اصول ہے؟")</f>
        <v>ان میں سے کون سا گٹکا فلسفہ کا کلیدی اصول ہے؟</v>
      </c>
      <c r="K145" s="6" t="str">
        <f>IFERROR(__xludf.DUMMYFUNCTION("GOOGLETRANSLATE(C145, ""en"", ""ur"")"),"A) ""ہر قیمت پر جیت""، B) ""حملہ بہترین دفاع ہے""، C) ""جسم اور دماغ کو ہتھیار کے ساتھ متحد ہونا چاہیے""، D) ""کبھی رحم نہ کریں""")</f>
        <v>A) "ہر قیمت پر جیت"، B) "حملہ بہترین دفاع ہے"، C) "جسم اور دماغ کو ہتھیار کے ساتھ متحد ہونا چاہیے"، D) "کبھی رحم نہ کریں"</v>
      </c>
      <c r="L145" s="6" t="str">
        <f>IFERROR(__xludf.DUMMYFUNCTION("GOOGLETRANSLATE(D145, ""en"", ""ur"")"),"ج) ""جسم اور دماغ کو ہتھیار کے ساتھ متحد ہونا چاہیے""")</f>
        <v>ج) "جسم اور دماغ کو ہتھیار کے ساتھ متحد ہونا چاہیے"</v>
      </c>
      <c r="M145" s="6" t="str">
        <f>IFERROR(__xludf.DUMMYFUNCTION("GOOGLETRANSLATE(E145, ""en"", ""ur"")"),"شاستر ودیا کا ایک بنیادی اصول یہ ہے کہ ہتھیار صرف ایک آلہ نہیں ہے بلکہ مشق کرنے والے کے جسم اور روح کی توسیع ہے۔")</f>
        <v>شاستر ودیا کا ایک بنیادی اصول یہ ہے کہ ہتھیار صرف ایک آلہ نہیں ہے بلکہ مشق کرنے والے کے جسم اور روح کی توسیع ہے۔</v>
      </c>
    </row>
    <row r="146">
      <c r="A146" s="4">
        <v>145.0</v>
      </c>
      <c r="B146" s="5" t="s">
        <v>1743</v>
      </c>
      <c r="C146" s="5" t="s">
        <v>1744</v>
      </c>
      <c r="D146" s="5" t="s">
        <v>1745</v>
      </c>
      <c r="E146" s="5" t="s">
        <v>1746</v>
      </c>
      <c r="I146" s="6" t="str">
        <f>IFERROR(__xludf.DUMMYFUNCTION("GOOGLETRANSLATE(A146, ""en"", ""ur"")"),"145")</f>
        <v>145</v>
      </c>
      <c r="J146" s="6" t="str">
        <f>IFERROR(__xludf.DUMMYFUNCTION("GOOGLETRANSLATE(B146, ""en"", ""ur"")"),"گٹکا پرفارمنس میں افتتاحی رسمی سلامی کی اصطلاح کیا ہے؟")</f>
        <v>گٹکا پرفارمنس میں افتتاحی رسمی سلامی کی اصطلاح کیا ہے؟</v>
      </c>
      <c r="K146" s="6" t="str">
        <f>IFERROR(__xludf.DUMMYFUNCTION("GOOGLETRANSLATE(C146, ""en"", ""ur"")"),"A) دعا، B) فتح، C) سلام، D) پرنم")</f>
        <v>A) دعا، B) فتح، C) سلام، D) پرنم</v>
      </c>
      <c r="L146" s="6" t="str">
        <f>IFERROR(__xludf.DUMMYFUNCTION("GOOGLETRANSLATE(D146, ""en"", ""ur"")"),"ب) فتح")</f>
        <v>ب) فتح</v>
      </c>
      <c r="M146" s="6" t="str">
        <f>IFERROR(__xludf.DUMMYFUNCTION("GOOGLETRANSLATE(E146, ""en"", ""ur"")"),"گٹکا کی کارکردگی کا آغاز اکثر سلامی کے ساتھ ہوتا ہے اور سکھ کلریئن پکارتے ہیں، ""واہگورو جی کا خالصہ، واہگورو جی کی فتح۔""")</f>
        <v>گٹکا کی کارکردگی کا آغاز اکثر سلامی کے ساتھ ہوتا ہے اور سکھ کلریئن پکارتے ہیں، "واہگورو جی کا خالصہ، واہگورو جی کی فتح۔"</v>
      </c>
    </row>
    <row r="147">
      <c r="A147" s="4">
        <v>146.0</v>
      </c>
      <c r="B147" s="5" t="s">
        <v>1747</v>
      </c>
      <c r="C147" s="5" t="s">
        <v>1748</v>
      </c>
      <c r="D147" s="5" t="s">
        <v>1749</v>
      </c>
      <c r="E147" s="5" t="s">
        <v>1750</v>
      </c>
      <c r="I147" s="6" t="str">
        <f>IFERROR(__xludf.DUMMYFUNCTION("GOOGLETRANSLATE(A147, ""en"", ""ur"")"),"146")</f>
        <v>146</v>
      </c>
      <c r="J147" s="6" t="str">
        <f>IFERROR(__xludf.DUMMYFUNCTION("GOOGLETRANSLATE(B147, ""en"", ""ur"")"),"ایک کھلاڑی کو ""corps-a-corps"" کے لیے سزا دی جاتی ہے۔ گٹکا میں اس کا کیا مطلب ہے؟")</f>
        <v>ایک کھلاڑی کو "corps-a-corps" کے لیے سزا دی جاتی ہے۔ گٹکا میں اس کا کیا مطلب ہے؟</v>
      </c>
      <c r="K147" s="6" t="str">
        <f>IFERROR(__xludf.DUMMYFUNCTION("GOOGLETRANSLATE(C147, ""en"", ""ur"")"),"A) انہوں نے ایک گرے ہوئے مخالف کو مارا، B) انہوں نے مخالف کے ساتھ جسم سے جسمانی رابطہ کیا، C) انہوں نے غیر قانونی ہتھیار استعمال کیا، D) انہوں نے لڑنے سے انکار کر دیا۔")</f>
        <v>A) انہوں نے ایک گرے ہوئے مخالف کو مارا، B) انہوں نے مخالف کے ساتھ جسم سے جسمانی رابطہ کیا، C) انہوں نے غیر قانونی ہتھیار استعمال کیا، D) انہوں نے لڑنے سے انکار کر دیا۔</v>
      </c>
      <c r="L147" s="6" t="str">
        <f>IFERROR(__xludf.DUMMYFUNCTION("GOOGLETRANSLATE(D147, ""en"", ""ur"")"),"ب) انہوں نے مخالف کے ساتھ جسمانی باڈی ٹو باڈی رابطہ کیا۔")</f>
        <v>ب) انہوں نے مخالف کے ساتھ جسمانی باڈی ٹو باڈی رابطہ کیا۔</v>
      </c>
      <c r="M147" s="6" t="str">
        <f>IFERROR(__xludf.DUMMYFUNCTION("GOOGLETRANSLATE(E147, ""en"", ""ur"")"),"اسٹک فائٹنگ میں کھلاڑیوں کو ایک خاص فاصلہ برقرار رکھنا چاہیے۔ جان بوجھ کر جسم سے رابطہ کرنا جیسے دھکیلنا یا گرفت کرنا ایک غلط ہے۔")</f>
        <v>اسٹک فائٹنگ میں کھلاڑیوں کو ایک خاص فاصلہ برقرار رکھنا چاہیے۔ جان بوجھ کر جسم سے رابطہ کرنا جیسے دھکیلنا یا گرفت کرنا ایک غلط ہے۔</v>
      </c>
    </row>
    <row r="148">
      <c r="A148" s="4">
        <v>147.0</v>
      </c>
      <c r="B148" s="5" t="s">
        <v>1751</v>
      </c>
      <c r="C148" s="5" t="s">
        <v>1752</v>
      </c>
      <c r="D148" s="5" t="s">
        <v>1753</v>
      </c>
      <c r="E148" s="5" t="s">
        <v>1754</v>
      </c>
      <c r="I148" s="6" t="str">
        <f>IFERROR(__xludf.DUMMYFUNCTION("GOOGLETRANSLATE(A148, ""en"", ""ur"")"),"147")</f>
        <v>147</v>
      </c>
      <c r="J148" s="6" t="str">
        <f>IFERROR(__xludf.DUMMYFUNCTION("GOOGLETRANSLATE(B148, ""en"", ""ur"")"),"گٹکا میں ""چل"" یا تال کی چال کا بنیادی مقصد کیا ہے؟")</f>
        <v>گٹکا میں "چل" یا تال کی چال کا بنیادی مقصد کیا ہے؟</v>
      </c>
      <c r="K148" s="6" t="str">
        <f>IFERROR(__xludf.DUMMYFUNCTION("GOOGLETRANSLATE(C148, ""en"", ""ur"")"),"A) خوبصورت نظر آنے کے لئے، B) تال، وقت، اور حرکت کے لئے مسلسل تیاری کو برقرار رکھنے کے لئے، C) مخالف کو الجھانے کے لئے، D) پٹھوں کو گرم کرنے کے لئے")</f>
        <v>A) خوبصورت نظر آنے کے لئے، B) تال، وقت، اور حرکت کے لئے مسلسل تیاری کو برقرار رکھنے کے لئے، C) مخالف کو الجھانے کے لئے، D) پٹھوں کو گرم کرنے کے لئے</v>
      </c>
      <c r="L148" s="6" t="str">
        <f>IFERROR(__xludf.DUMMYFUNCTION("GOOGLETRANSLATE(D148, ""en"", ""ur"")"),"ب) تال، وقت، اور حرکت کے لیے مستقل تیاری کو برقرار رکھنے کے لیے")</f>
        <v>ب) تال، وقت، اور حرکت کے لیے مستقل تیاری کو برقرار رکھنے کے لیے</v>
      </c>
      <c r="M148" s="6" t="str">
        <f>IFERROR(__xludf.DUMMYFUNCTION("GOOGLETRANSLATE(E148, ""en"", ""ur"")"),"خصوصیت والی تال کی حرکت صرف دکھانے کے لیے نہیں ہے۔ یہ لڑاکا کے جسم اور دماغ کو سیال تیاری کی حالت میں رکھتا ہے۔")</f>
        <v>خصوصیت والی تال کی حرکت صرف دکھانے کے لیے نہیں ہے۔ یہ لڑاکا کے جسم اور دماغ کو سیال تیاری کی حالت میں رکھتا ہے۔</v>
      </c>
    </row>
    <row r="149">
      <c r="A149" s="4">
        <v>148.0</v>
      </c>
      <c r="B149" s="5" t="s">
        <v>1755</v>
      </c>
      <c r="C149" s="5" t="s">
        <v>1756</v>
      </c>
      <c r="D149" s="5" t="s">
        <v>1757</v>
      </c>
      <c r="E149" s="5" t="s">
        <v>1758</v>
      </c>
      <c r="I149" s="6" t="str">
        <f>IFERROR(__xludf.DUMMYFUNCTION("GOOGLETRANSLATE(A149, ""en"", ""ur"")"),"148")</f>
        <v>148</v>
      </c>
      <c r="J149" s="6" t="str">
        <f>IFERROR(__xludf.DUMMYFUNCTION("GOOGLETRANSLATE(B149, ""en"", ""ur"")"),"اگر کوئی کھلاڑی زیادہ سے زیادہ اجازت شدہ لمبائی سے زیادہ لمبی چھڑی استعمال کرتا پایا جائے تو کیا ہوگا؟")</f>
        <v>اگر کوئی کھلاڑی زیادہ سے زیادہ اجازت شدہ لمبائی سے زیادہ لمبی چھڑی استعمال کرتا پایا جائے تو کیا ہوگا؟</v>
      </c>
      <c r="K149" s="6" t="str">
        <f>IFERROR(__xludf.DUMMYFUNCTION("GOOGLETRANSLATE(C149, ""en"", ""ur"")"),"A) ان سے کہا جاتا ہے کہ وہ اسے چھوٹا کریں، B) انہیں میچ سے نااہل قرار دے دیا گیا ہے، C) انہیں اس کا استعمال کرنے کی اجازت ہے لیکن پوائنٹس نہیں بنا سکتے، D) 5 پوائنٹ کا جرمانہ دیا گیا ہے۔")</f>
        <v>A) ان سے کہا جاتا ہے کہ وہ اسے چھوٹا کریں، B) انہیں میچ سے نااہل قرار دے دیا گیا ہے، C) انہیں اس کا استعمال کرنے کی اجازت ہے لیکن پوائنٹس نہیں بنا سکتے، D) 5 پوائنٹ کا جرمانہ دیا گیا ہے۔</v>
      </c>
      <c r="L149" s="6" t="str">
        <f>IFERROR(__xludf.DUMMYFUNCTION("GOOGLETRANSLATE(D149, ""en"", ""ur"")"),"ب) وہ میچ سے نااہل ہو گئے ہیں۔")</f>
        <v>ب) وہ میچ سے نااہل ہو گئے ہیں۔</v>
      </c>
      <c r="M149" s="6" t="str">
        <f>IFERROR(__xludf.DUMMYFUNCTION("GOOGLETRANSLATE(E149, ""en"", ""ur"")"),"غیر قانونی آلات کا استعمال جو غیر منصفانہ فائدہ فراہم کرتا ہے ایک سنگین خلاف ورزی ہے جس کے نتیجے میں نااہلی ہوتی ہے۔")</f>
        <v>غیر قانونی آلات کا استعمال جو غیر منصفانہ فائدہ فراہم کرتا ہے ایک سنگین خلاف ورزی ہے جس کے نتیجے میں نااہلی ہوتی ہے۔</v>
      </c>
    </row>
    <row r="150">
      <c r="A150" s="4">
        <v>149.0</v>
      </c>
      <c r="B150" s="5" t="s">
        <v>1759</v>
      </c>
      <c r="C150" s="5" t="s">
        <v>1760</v>
      </c>
      <c r="D150" s="5" t="s">
        <v>1761</v>
      </c>
      <c r="E150" s="5" t="s">
        <v>1762</v>
      </c>
      <c r="I150" s="6" t="str">
        <f>IFERROR(__xludf.DUMMYFUNCTION("GOOGLETRANSLATE(A150, ""en"", ""ur"")"),"149")</f>
        <v>149</v>
      </c>
      <c r="J150" s="6" t="str">
        <f>IFERROR(__xludf.DUMMYFUNCTION("GOOGLETRANSLATE(B150, ""en"", ""ur"")"),"وہ ""گٹکا"" کیا ہے جس سے اس کھیل کا نام پڑا؟")</f>
        <v>وہ "گٹکا" کیا ہے جس سے اس کھیل کا نام پڑا؟</v>
      </c>
      <c r="K150" s="6" t="str">
        <f>IFERROR(__xludf.DUMMYFUNCTION("GOOGLETRANSLATE(C150, ""en"", ""ur"")"),"A) تلوار کی ایک قسم، B) لکڑی کی چھڑی جو تربیت کے لیے استعمال ہوتی ہے، C) ڈھال، D) لڑائی کا میدان")</f>
        <v>A) تلوار کی ایک قسم، B) لکڑی کی چھڑی جو تربیت کے لیے استعمال ہوتی ہے، C) ڈھال، D) لڑائی کا میدان</v>
      </c>
      <c r="L150" s="6" t="str">
        <f>IFERROR(__xludf.DUMMYFUNCTION("GOOGLETRANSLATE(D150, ""en"", ""ur"")"),"ب) لکڑی کی چھڑی جو تربیت کے لیے استعمال ہوتی ہے۔")</f>
        <v>ب) لکڑی کی چھڑی جو تربیت کے لیے استعمال ہوتی ہے۔</v>
      </c>
      <c r="M150" s="6" t="str">
        <f>IFERROR(__xludf.DUMMYFUNCTION("GOOGLETRANSLATE(E150, ""en"", ""ur"")"),"""گٹکا"" نام سے مراد لکڑی کی تربیتی چھڑی ہے، جو اس فن میں اس قدر مرکزی حیثیت رکھتی ہے کہ پورے کھیل کا نام اسی کے نام پر رکھا گیا ہے۔")</f>
        <v>"گٹکا" نام سے مراد لکڑی کی تربیتی چھڑی ہے، جو اس فن میں اس قدر مرکزی حیثیت رکھتی ہے کہ پورے کھیل کا نام اسی کے نام پر رکھا گیا ہے۔</v>
      </c>
    </row>
    <row r="151">
      <c r="A151" s="4">
        <v>150.0</v>
      </c>
      <c r="B151" s="5" t="s">
        <v>1763</v>
      </c>
      <c r="C151" s="5" t="s">
        <v>1764</v>
      </c>
      <c r="D151" s="5" t="s">
        <v>1765</v>
      </c>
      <c r="E151" s="5" t="s">
        <v>1766</v>
      </c>
      <c r="I151" s="6" t="str">
        <f>IFERROR(__xludf.DUMMYFUNCTION("GOOGLETRANSLATE(A151, ""en"", ""ur"")"),"150")</f>
        <v>150</v>
      </c>
      <c r="J151" s="6" t="str">
        <f>IFERROR(__xludf.DUMMYFUNCTION("GOOGLETRANSLATE(B151, ""en"", ""ur"")"),"""سنت سپاہی"" (سینٹ سپاہی) کے آئیڈیل کے مطابق، گٹکا کرنے والے کا حتمی مقصد کیا ہے؟")</f>
        <v>"سنت سپاہی" (سینٹ سپاہی) کے آئیڈیل کے مطابق، گٹکا کرنے والے کا حتمی مقصد کیا ہے؟</v>
      </c>
      <c r="K151" s="6" t="str">
        <f>IFERROR(__xludf.DUMMYFUNCTION("GOOGLETRANSLATE(C151, ""en"", ""ur"")"),"A) سب سے بڑا لڑاکا بننا، B) روشن خیالی حاصل کرنا، C) راستبازی کے دفاع کے لیے روحانی نظم و ضبط اور جنگی مہارت دونوں میں مہارت حاصل کرنا، D) فوج میں شامل ہونا")</f>
        <v>A) سب سے بڑا لڑاکا بننا، B) روشن خیالی حاصل کرنا، C) راستبازی کے دفاع کے لیے روحانی نظم و ضبط اور جنگی مہارت دونوں میں مہارت حاصل کرنا، D) فوج میں شامل ہونا</v>
      </c>
      <c r="L151" s="6" t="str">
        <f>IFERROR(__xludf.DUMMYFUNCTION("GOOGLETRANSLATE(D151, ""en"", ""ur"")"),"ج) راستبازی کے دفاع کے لیے روحانی نظم و ضبط اور جنگی مہارت دونوں میں مہارت حاصل کرنا")</f>
        <v>ج) راستبازی کے دفاع کے لیے روحانی نظم و ضبط اور جنگی مہارت دونوں میں مہارت حاصل کرنا</v>
      </c>
      <c r="M151" s="6" t="str">
        <f>IFERROR(__xludf.DUMMYFUNCTION("GOOGLETRANSLATE(E151, ""en"", ""ur"")"),"""سینٹ سولجر"" خالصہ جنگجو کا آئیڈیل ہے: ایک ایسا شخص جو روحانی طور پر سرشار، اخلاقی طور پر سیدھا، اور انصاف کے دفاع کے لیے جنگی طور پر تیار ہو۔")</f>
        <v>"سینٹ سولجر" خالصہ جنگجو کا آئیڈیل ہے: ایک ایسا شخص جو روحانی طور پر سرشار، اخلاقی طور پر سیدھا، اور انصاف کے دفاع کے لیے جنگی طور پر تیار ہو۔</v>
      </c>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9" max="12" width="37.63"/>
  </cols>
  <sheetData>
    <row r="1">
      <c r="A1" s="1" t="s">
        <v>594</v>
      </c>
      <c r="B1" s="2" t="s">
        <v>1</v>
      </c>
      <c r="C1" s="2" t="s">
        <v>2</v>
      </c>
      <c r="D1" s="2" t="s">
        <v>3</v>
      </c>
      <c r="E1" s="2" t="s">
        <v>4</v>
      </c>
      <c r="H1" s="3" t="s">
        <v>5</v>
      </c>
      <c r="I1" s="3" t="s">
        <v>6</v>
      </c>
      <c r="J1" s="3" t="s">
        <v>7</v>
      </c>
      <c r="K1" s="3" t="s">
        <v>8</v>
      </c>
      <c r="L1" s="3" t="s">
        <v>9</v>
      </c>
    </row>
    <row r="2">
      <c r="A2" s="4">
        <v>1.0</v>
      </c>
      <c r="B2" s="5" t="s">
        <v>1767</v>
      </c>
      <c r="C2" s="5" t="s">
        <v>1768</v>
      </c>
      <c r="D2" s="5" t="s">
        <v>1769</v>
      </c>
      <c r="E2" s="5" t="s">
        <v>1770</v>
      </c>
      <c r="H2" s="6" t="str">
        <f>IFERROR(__xludf.DUMMYFUNCTION("GOOGLETRANSLATE(A2, ""en"", ""ur"")"),"1")</f>
        <v>1</v>
      </c>
      <c r="I2" s="6" t="str">
        <f>IFERROR(__xludf.DUMMYFUNCTION("GOOGLETRANSLATE(B2, ""en"", ""ur"")"),"گلی ڈنڈا میں استعمال ہونے والا بنیادی سامان کیا ہے؟")</f>
        <v>گلی ڈنڈا میں استعمال ہونے والا بنیادی سامان کیا ہے؟</v>
      </c>
      <c r="J2" s="6" t="str">
        <f>IFERROR(__xludf.DUMMYFUNCTION("GOOGLETRANSLATE(C2, ""en"", ""ur"")"),"A) گیند اور بلے، B) چھڑی اور گیند، C) گلی اور ڈنڈا، D) لکڑی کا پیڈل")</f>
        <v>A) گیند اور بلے، B) چھڑی اور گیند، C) گلی اور ڈنڈا، D) لکڑی کا پیڈل</v>
      </c>
      <c r="K2" s="6" t="str">
        <f>IFERROR(__xludf.DUMMYFUNCTION("GOOGLETRANSLATE(D2, ""en"", ""ur"")"),"ج) گلی اور ڈنڈا۔")</f>
        <v>ج) گلی اور ڈنڈا۔</v>
      </c>
      <c r="L2" s="6" t="str">
        <f>IFERROR(__xludf.DUMMYFUNCTION("GOOGLETRANSLATE(E2, ""en"", ""ur"")"),"اس کھیل میں ایک چھوٹی، ٹیپرڈ اسٹک (گلی) اور ایک بڑی سٹرکنگ اسٹک (ڈنڈا) کا استعمال کیا جاتا ہے۔")</f>
        <v>اس کھیل میں ایک چھوٹی، ٹیپرڈ اسٹک (گلی) اور ایک بڑی سٹرکنگ اسٹک (ڈنڈا) کا استعمال کیا جاتا ہے۔</v>
      </c>
    </row>
    <row r="3">
      <c r="A3" s="4">
        <v>2.0</v>
      </c>
      <c r="B3" s="5" t="s">
        <v>1771</v>
      </c>
      <c r="C3" s="5" t="s">
        <v>1772</v>
      </c>
      <c r="D3" s="5" t="s">
        <v>1773</v>
      </c>
      <c r="E3" s="5" t="s">
        <v>1774</v>
      </c>
      <c r="H3" s="6" t="str">
        <f>IFERROR(__xludf.DUMMYFUNCTION("GOOGLETRANSLATE(A3, ""en"", ""ur"")"),"2")</f>
        <v>2</v>
      </c>
      <c r="I3" s="6" t="str">
        <f>IFERROR(__xludf.DUMMYFUNCTION("GOOGLETRANSLATE(B3, ""en"", ""ur"")"),"مرکزی ہڑتال کے لیے ابتدائی طور پر گلی کو کیسے ہوا میں اتارا جاتا ہے؟")</f>
        <v>مرکزی ہڑتال کے لیے ابتدائی طور پر گلی کو کیسے ہوا میں اتارا جاتا ہے؟</v>
      </c>
      <c r="J3" s="6" t="str">
        <f>IFERROR(__xludf.DUMMYFUNCTION("GOOGLETRANSLATE(C3, ""en"", ""ur"")"),"A) اسے پھینک کر، B) اس کے تھکے ہوئے سرے کو ڈنڈا سے مار کر، C) اسے لپیٹ کر، D) اسے اچھال کر")</f>
        <v>A) اسے پھینک کر، B) اس کے تھکے ہوئے سرے کو ڈنڈا سے مار کر، C) اسے لپیٹ کر، D) اسے اچھال کر</v>
      </c>
      <c r="K3" s="6" t="str">
        <f>IFERROR(__xludf.DUMMYFUNCTION("GOOGLETRANSLATE(D3, ""en"", ""ur"")"),"ب) اس کے تھکے ہوئے سرے کو ڈنڈا سے مار کر")</f>
        <v>ب) اس کے تھکے ہوئے سرے کو ڈنڈا سے مار کر</v>
      </c>
      <c r="L3" s="6" t="str">
        <f>IFERROR(__xludf.DUMMYFUNCTION("GOOGLETRANSLATE(E3, ""en"", ""ur"")"),"کھلاڑی گلی کے ٹیپرڈ اینڈ سے ٹکراتا ہے، جو زمین پر ٹکا ہوا ہے، جس کی وجہ سے یہ ہوا میں اُڑ جاتا ہے۔")</f>
        <v>کھلاڑی گلی کے ٹیپرڈ اینڈ سے ٹکراتا ہے، جو زمین پر ٹکا ہوا ہے، جس کی وجہ سے یہ ہوا میں اُڑ جاتا ہے۔</v>
      </c>
    </row>
    <row r="4">
      <c r="A4" s="4">
        <v>3.0</v>
      </c>
      <c r="B4" s="5" t="s">
        <v>1775</v>
      </c>
      <c r="C4" s="5" t="s">
        <v>1776</v>
      </c>
      <c r="D4" s="5" t="s">
        <v>1777</v>
      </c>
      <c r="E4" s="5" t="s">
        <v>1778</v>
      </c>
      <c r="H4" s="6" t="str">
        <f>IFERROR(__xludf.DUMMYFUNCTION("GOOGLETRANSLATE(A4, ""en"", ""ur"")"),"3")</f>
        <v>3</v>
      </c>
      <c r="I4" s="6" t="str">
        <f>IFERROR(__xludf.DUMMYFUNCTION("GOOGLETRANSLATE(B4, ""en"", ""ur"")"),"گلی کو ہوا میں مارنے کے بعد اسٹرائیکر کا بنیادی مقصد کیا ہے؟")</f>
        <v>گلی کو ہوا میں مارنے کے بعد اسٹرائیکر کا بنیادی مقصد کیا ہے؟</v>
      </c>
      <c r="J4" s="6" t="str">
        <f>IFERROR(__xludf.DUMMYFUNCTION("GOOGLETRANSLATE(C4, ""en"", ""ur"")"),"A) گلی کو خود پکڑنا، B) جہاں تک ممکن ہو گلی کو دوبارہ مارنا، C) محفوظ مقام کی طرف بھاگنا، D) گلی کے لینڈنگ اسپاٹ کا دفاع کرنا")</f>
        <v>A) گلی کو خود پکڑنا، B) جہاں تک ممکن ہو گلی کو دوبارہ مارنا، C) محفوظ مقام کی طرف بھاگنا، D) گلی کے لینڈنگ اسپاٹ کا دفاع کرنا</v>
      </c>
      <c r="K4" s="6" t="str">
        <f>IFERROR(__xludf.DUMMYFUNCTION("GOOGLETRANSLATE(D4, ""en"", ""ur"")"),"ب) جہاں تک ممکن ہو گلی کو دوبارہ مارنا")</f>
        <v>ب) جہاں تک ممکن ہو گلی کو دوبارہ مارنا</v>
      </c>
      <c r="L4" s="6" t="str">
        <f>IFERROR(__xludf.DUMMYFUNCTION("GOOGLETRANSLATE(E4, ""en"", ""ur"")"),"جب کہ گلی ہوا سے چلنے والی ہوتی ہے، اسٹرائیکر کا ہدف دوسری بار اسے مارنا ہوتا ہے تاکہ فاصلہ اسکور کیا جا سکے۔")</f>
        <v>جب کہ گلی ہوا سے چلنے والی ہوتی ہے، اسٹرائیکر کا ہدف دوسری بار اسے مارنا ہوتا ہے تاکہ فاصلہ اسکور کیا جا سکے۔</v>
      </c>
    </row>
    <row r="5">
      <c r="A5" s="4">
        <v>4.0</v>
      </c>
      <c r="B5" s="5" t="s">
        <v>1779</v>
      </c>
      <c r="C5" s="5" t="s">
        <v>1780</v>
      </c>
      <c r="D5" s="5" t="s">
        <v>1781</v>
      </c>
      <c r="E5" s="5" t="s">
        <v>1782</v>
      </c>
      <c r="H5" s="6" t="str">
        <f>IFERROR(__xludf.DUMMYFUNCTION("GOOGLETRANSLATE(A5, ""en"", ""ur"")"),"4")</f>
        <v>4</v>
      </c>
      <c r="I5" s="6" t="str">
        <f>IFERROR(__xludf.DUMMYFUNCTION("GOOGLETRANSLATE(B5, ""en"", ""ur"")"),"اگر کوئی فیلڈر مین اسٹرائیک کے بعد گلی کو ہوا میں پکڑ لے تو کیا ہوتا ہے؟")</f>
        <v>اگر کوئی فیلڈر مین اسٹرائیک کے بعد گلی کو ہوا میں پکڑ لے تو کیا ہوتا ہے؟</v>
      </c>
      <c r="J5" s="6" t="str">
        <f>IFERROR(__xludf.DUMMYFUNCTION("GOOGLETRANSLATE(C5, ""en"", ""ur"")"),"A) اسٹرائیکر بونس پوائنٹس اسکور کرتا ہے، B) اسٹرائیکر آؤٹ ہے، C) اسٹرائیکر کو ایک اور موقع ملتا ہے، D) گیم دوبارہ ترتیب دیا جاتا ہے")</f>
        <v>A) اسٹرائیکر بونس پوائنٹس اسکور کرتا ہے، B) اسٹرائیکر آؤٹ ہے، C) اسٹرائیکر کو ایک اور موقع ملتا ہے، D) گیم دوبارہ ترتیب دیا جاتا ہے</v>
      </c>
      <c r="K5" s="6" t="str">
        <f>IFERROR(__xludf.DUMMYFUNCTION("GOOGLETRANSLATE(D5, ""en"", ""ur"")"),"ب) اسٹرائیکر باہر ہے۔")</f>
        <v>ب) اسٹرائیکر باہر ہے۔</v>
      </c>
      <c r="L5" s="6" t="str">
        <f>IFERROR(__xludf.DUMMYFUNCTION("GOOGLETRANSLATE(E5, ""en"", ""ur"")"),"فیلڈنگ ٹیم کے ایک رکن کے کلین کیچ کے نتیجے میں اسٹرائیکر کو آؤٹ کیا جاتا ہے۔")</f>
        <v>فیلڈنگ ٹیم کے ایک رکن کے کلین کیچ کے نتیجے میں اسٹرائیکر کو آؤٹ کیا جاتا ہے۔</v>
      </c>
    </row>
    <row r="6">
      <c r="A6" s="4">
        <v>5.0</v>
      </c>
      <c r="B6" s="5" t="s">
        <v>1783</v>
      </c>
      <c r="C6" s="5" t="s">
        <v>1784</v>
      </c>
      <c r="D6" s="5" t="s">
        <v>1785</v>
      </c>
      <c r="E6" s="5" t="s">
        <v>1786</v>
      </c>
      <c r="H6" s="6" t="str">
        <f>IFERROR(__xludf.DUMMYFUNCTION("GOOGLETRANSLATE(A6, ""en"", ""ur"")"),"5")</f>
        <v>5</v>
      </c>
      <c r="I6" s="6" t="str">
        <f>IFERROR(__xludf.DUMMYFUNCTION("GOOGLETRANSLATE(B6, ""en"", ""ur"")"),"گلی ڈنڈا میں پوائنٹس یا رنز عام طور پر کیسے بنائے جاتے ہیں؟")</f>
        <v>گلی ڈنڈا میں پوائنٹس یا رنز عام طور پر کیسے بنائے جاتے ہیں؟</v>
      </c>
      <c r="J6" s="6" t="str">
        <f>IFERROR(__xludf.DUMMYFUNCTION("GOOGLETRANSLATE(C6, ""en"", ""ur"")"),"A) ایک مقرر کردہ باؤنڈری کو مار کر، B) دو پوائنٹس کے درمیان دوڑ کر، C) ڈنڈا کو یونٹ کے طور پر استعمال کرتے ہوئے اسٹرائیک کے فاصلے کی پیمائش کر کے، D) سٹرائیکس کی تعداد گن کر")</f>
        <v>A) ایک مقرر کردہ باؤنڈری کو مار کر، B) دو پوائنٹس کے درمیان دوڑ کر، C) ڈنڈا کو یونٹ کے طور پر استعمال کرتے ہوئے اسٹرائیک کے فاصلے کی پیمائش کر کے، D) سٹرائیکس کی تعداد گن کر</v>
      </c>
      <c r="K6" s="6" t="str">
        <f>IFERROR(__xludf.DUMMYFUNCTION("GOOGLETRANSLATE(D6, ""en"", ""ur"")"),"C) ڈنڈا کو بطور اکائی استعمال کرتے ہوئے ہڑتال کے فاصلے کی پیمائش کر کے")</f>
        <v>C) ڈنڈا کو بطور اکائی استعمال کرتے ہوئے ہڑتال کے فاصلے کی پیمائش کر کے</v>
      </c>
      <c r="L6" s="6" t="str">
        <f>IFERROR(__xludf.DUMMYFUNCTION("GOOGLETRANSLATE(E6, ""en"", ""ur"")"),"سکور سٹرائیکنگ پوائنٹ سے وہ فاصلہ ہے جہاں گلی اترتی ہے، ڈنڈا کی پوری لمبائی میں ماپا جاتا ہے۔")</f>
        <v>سکور سٹرائیکنگ پوائنٹ سے وہ فاصلہ ہے جہاں گلی اترتی ہے، ڈنڈا کی پوری لمبائی میں ماپا جاتا ہے۔</v>
      </c>
    </row>
    <row r="7">
      <c r="A7" s="4">
        <v>6.0</v>
      </c>
      <c r="B7" s="5" t="s">
        <v>1787</v>
      </c>
      <c r="C7" s="5" t="s">
        <v>1788</v>
      </c>
      <c r="D7" s="5" t="s">
        <v>1789</v>
      </c>
      <c r="E7" s="5" t="s">
        <v>1790</v>
      </c>
      <c r="H7" s="6" t="str">
        <f>IFERROR(__xludf.DUMMYFUNCTION("GOOGLETRANSLATE(A7, ""en"", ""ur"")"),"6")</f>
        <v>6</v>
      </c>
      <c r="I7" s="6" t="str">
        <f>IFERROR(__xludf.DUMMYFUNCTION("GOOGLETRANSLATE(B7, ""en"", ""ur"")"),"اسٹرائیک کی باری ختم ہونے کے بعد کھلاڑی کیا کرتا ہے؟")</f>
        <v>اسٹرائیک کی باری ختم ہونے کے بعد کھلاڑی کیا کرتا ہے؟</v>
      </c>
      <c r="J7" s="6" t="str">
        <f>IFERROR(__xludf.DUMMYFUNCTION("GOOGLETRANSLATE(C7, ""en"", ""ur"")"),"A) گلی کو دوبارہ مارتا ہے، B) فیلڈنگ ٹیم میں تبدیل ہوتا ہے، C) ڈنڈا پاس کرتا ہے، D) گلی کا دفاع کرتا ہے")</f>
        <v>A) گلی کو دوبارہ مارتا ہے، B) فیلڈنگ ٹیم میں تبدیل ہوتا ہے، C) ڈنڈا پاس کرتا ہے، D) گلی کا دفاع کرتا ہے</v>
      </c>
      <c r="K7" s="6" t="str">
        <f>IFERROR(__xludf.DUMMYFUNCTION("GOOGLETRANSLATE(D7, ""en"", ""ur"")"),"ب) فیلڈنگ ٹیم میں تبدیل ہوتا ہے۔")</f>
        <v>ب) فیلڈنگ ٹیم میں تبدیل ہوتا ہے۔</v>
      </c>
      <c r="L7" s="6" t="str">
        <f>IFERROR(__xludf.DUMMYFUNCTION("GOOGLETRANSLATE(E7, ""en"", ""ur"")"),"ایک کھلاڑی کے آؤٹ ہونے یا اپنی باری پوری کرنے کے بعد، وہ فیلڈرز میں شامل ہوتے ہیں، اور ایک فیلڈر اسٹرائیکر کے طور پر ان کی جگہ لیتا ہے۔")</f>
        <v>ایک کھلاڑی کے آؤٹ ہونے یا اپنی باری پوری کرنے کے بعد، وہ فیلڈرز میں شامل ہوتے ہیں، اور ایک فیلڈر اسٹرائیکر کے طور پر ان کی جگہ لیتا ہے۔</v>
      </c>
    </row>
    <row r="8">
      <c r="A8" s="4">
        <v>7.0</v>
      </c>
      <c r="B8" s="5" t="s">
        <v>1791</v>
      </c>
      <c r="C8" s="5" t="s">
        <v>1792</v>
      </c>
      <c r="D8" s="5" t="s">
        <v>1793</v>
      </c>
      <c r="E8" s="5" t="s">
        <v>1794</v>
      </c>
      <c r="H8" s="6" t="str">
        <f>IFERROR(__xludf.DUMMYFUNCTION("GOOGLETRANSLATE(A8, ""en"", ""ur"")"),"7")</f>
        <v>7</v>
      </c>
      <c r="I8" s="6" t="str">
        <f>IFERROR(__xludf.DUMMYFUNCTION("GOOGLETRANSLATE(B8, ""en"", ""ur"")"),"گلی کی مخصوص شکل کیا ہے؟")</f>
        <v>گلی کی مخصوص شکل کیا ہے؟</v>
      </c>
      <c r="J8" s="6" t="str">
        <f>IFERROR(__xludf.DUMMYFUNCTION("GOOGLETRANSLATE(C8, ""en"", ""ur"")"),"A) ایک کامل دائرہ، B) ایک یکساں سلنڈر، C) ایک بیضوی، D) دونوں سروں پر ایک چھوٹی سی چھڑی")</f>
        <v>A) ایک کامل دائرہ، B) ایک یکساں سلنڈر، C) ایک بیضوی، D) دونوں سروں پر ایک چھوٹی سی چھڑی</v>
      </c>
      <c r="K8" s="6" t="str">
        <f>IFERROR(__xludf.DUMMYFUNCTION("GOOGLETRANSLATE(D8, ""en"", ""ur"")"),"D) دونوں سروں پر ایک چھوٹی سی چھڑی")</f>
        <v>D) دونوں سروں پر ایک چھوٹی سی چھڑی</v>
      </c>
      <c r="L8" s="6" t="str">
        <f>IFERROR(__xludf.DUMMYFUNCTION("GOOGLETRANSLATE(E8, ""en"", ""ur"")"),"گلی کی شکل ایک چھوٹے تکلے کی طرح ہوتی ہے، جس کے سرے ٹیپرڈ ہوتے ہیں جو اسے زمین سے ہوا میں آسانی سے جھٹکنے دیتے ہیں۔")</f>
        <v>گلی کی شکل ایک چھوٹے تکلے کی طرح ہوتی ہے، جس کے سرے ٹیپرڈ ہوتے ہیں جو اسے زمین سے ہوا میں آسانی سے جھٹکنے دیتے ہیں۔</v>
      </c>
    </row>
    <row r="9">
      <c r="A9" s="4">
        <v>8.0</v>
      </c>
      <c r="B9" s="5" t="s">
        <v>1795</v>
      </c>
      <c r="C9" s="5" t="s">
        <v>1796</v>
      </c>
      <c r="D9" s="5" t="s">
        <v>1797</v>
      </c>
      <c r="E9" s="5" t="s">
        <v>1798</v>
      </c>
      <c r="H9" s="6" t="str">
        <f>IFERROR(__xludf.DUMMYFUNCTION("GOOGLETRANSLATE(A9, ""en"", ""ur"")"),"8")</f>
        <v>8</v>
      </c>
      <c r="I9" s="6" t="str">
        <f>IFERROR(__xludf.DUMMYFUNCTION("GOOGLETRANSLATE(B9, ""en"", ""ur"")"),"گلی ڈنڈا کے ایک آرام دہ کھیل میں عام طور پر کتنے کھلاڑی شامل ہوتے ہیں؟")</f>
        <v>گلی ڈنڈا کے ایک آرام دہ کھیل میں عام طور پر کتنے کھلاڑی شامل ہوتے ہیں؟</v>
      </c>
      <c r="J9" s="6" t="str">
        <f>IFERROR(__xludf.DUMMYFUNCTION("GOOGLETRANSLATE(C9, ""en"", ""ur"")"),"A) بالکل 2، B) بالکل 4، C) 6-10، D) کوئی مقررہ نمبر نہیں ہے")</f>
        <v>A) بالکل 2، B) بالکل 4، C) 6-10، D) کوئی مقررہ نمبر نہیں ہے</v>
      </c>
      <c r="K9" s="6" t="str">
        <f>IFERROR(__xludf.DUMMYFUNCTION("GOOGLETRANSLATE(D9, ""en"", ""ur"")"),"D) کوئی مقررہ نمبر نہیں ہے۔")</f>
        <v>D) کوئی مقررہ نمبر نہیں ہے۔</v>
      </c>
      <c r="L9" s="6" t="str">
        <f>IFERROR(__xludf.DUMMYFUNCTION("GOOGLETRANSLATE(E9, ""en"", ""ur"")"),"کھیل انتہائی غیر رسمی ہے، اور کھلاڑیوں کی تعداد ایک دوسرے سے دو بڑی ٹیموں تک مختلف ہو سکتی ہے۔")</f>
        <v>کھیل انتہائی غیر رسمی ہے، اور کھلاڑیوں کی تعداد ایک دوسرے سے دو بڑی ٹیموں تک مختلف ہو سکتی ہے۔</v>
      </c>
    </row>
    <row r="10">
      <c r="A10" s="4">
        <v>9.0</v>
      </c>
      <c r="B10" s="5" t="s">
        <v>1799</v>
      </c>
      <c r="C10" s="5" t="s">
        <v>1800</v>
      </c>
      <c r="D10" s="5" t="s">
        <v>1801</v>
      </c>
      <c r="E10" s="5" t="s">
        <v>1802</v>
      </c>
      <c r="H10" s="6" t="str">
        <f>IFERROR(__xludf.DUMMYFUNCTION("GOOGLETRANSLATE(A10, ""en"", ""ur"")"),"9")</f>
        <v>9</v>
      </c>
      <c r="I10" s="6" t="str">
        <f>IFERROR(__xludf.DUMMYFUNCTION("GOOGLETRANSLATE(B10, ""en"", ""ur"")"),"اسٹرائیکر کے ہوا سے چلنے والی گلی میں جھولنے اور اسے مکمل طور پر غائب کرنے کا کیا نتیجہ ہے؟")</f>
        <v>اسٹرائیکر کے ہوا سے چلنے والی گلی میں جھولنے اور اسے مکمل طور پر غائب کرنے کا کیا نتیجہ ہے؟</v>
      </c>
      <c r="J10" s="6" t="str">
        <f>IFERROR(__xludf.DUMMYFUNCTION("GOOGLETRANSLATE(C10, ""en"", ""ur"")"),"A) اسٹرائیکر اپنی باری کھو دیتا ہے، B) اسٹرائیکر اپنے تمام رنز کھو دیتا ہے، C) مخالف کو ایک پوائنٹ حاصل ہوتا ہے، D) اسٹرائیکر کو مزید دو مواقع ملتے ہیں")</f>
        <v>A) اسٹرائیکر اپنی باری کھو دیتا ہے، B) اسٹرائیکر اپنے تمام رنز کھو دیتا ہے، C) مخالف کو ایک پوائنٹ حاصل ہوتا ہے، D) اسٹرائیکر کو مزید دو مواقع ملتے ہیں</v>
      </c>
      <c r="K10" s="6" t="str">
        <f>IFERROR(__xludf.DUMMYFUNCTION("GOOGLETRANSLATE(D10, ""en"", ""ur"")"),"A) اسٹرائیکر اپنی باری کھو دیتا ہے۔")</f>
        <v>A) اسٹرائیکر اپنی باری کھو دیتا ہے۔</v>
      </c>
      <c r="L10" s="6" t="str">
        <f>IFERROR(__xludf.DUMMYFUNCTION("GOOGLETRANSLATE(E10, ""en"", ""ur"")"),"ایک کھلاڑی کو عام طور پر گلی کو مارنے کے مواقع کی ایک مقررہ تعداد (اکثر تین) ملتی ہے۔ آخری موقع پر ناکام ہونے سے ان کی باری ختم ہو جاتی ہے۔")</f>
        <v>ایک کھلاڑی کو عام طور پر گلی کو مارنے کے مواقع کی ایک مقررہ تعداد (اکثر تین) ملتی ہے۔ آخری موقع پر ناکام ہونے سے ان کی باری ختم ہو جاتی ہے۔</v>
      </c>
    </row>
    <row r="11">
      <c r="A11" s="4">
        <v>10.0</v>
      </c>
      <c r="B11" s="5" t="s">
        <v>1803</v>
      </c>
      <c r="C11" s="5" t="s">
        <v>1804</v>
      </c>
      <c r="D11" s="5" t="s">
        <v>1805</v>
      </c>
      <c r="E11" s="5" t="s">
        <v>1806</v>
      </c>
      <c r="H11" s="6" t="str">
        <f>IFERROR(__xludf.DUMMYFUNCTION("GOOGLETRANSLATE(A11, ""en"", ""ur"")"),"10")</f>
        <v>10</v>
      </c>
      <c r="I11" s="6" t="str">
        <f>IFERROR(__xludf.DUMMYFUNCTION("GOOGLETRANSLATE(B11, ""en"", ""ur"")"),"گلی ڈنڈا سب سے زیادہ کہاں کھیلا جاتا ہے؟")</f>
        <v>گلی ڈنڈا سب سے زیادہ کہاں کھیلا جاتا ہے؟</v>
      </c>
      <c r="J11" s="6" t="str">
        <f>IFERROR(__xludf.DUMMYFUNCTION("GOOGLETRANSLATE(C11, ""en"", ""ur"")"),"A) گھر کے اندر، B) کھلے میدانوں، پارکوں یا پُرسکون گلیوں میں، C) پیشہ ورانہ عدالت میں، D) سٹیڈیم میں")</f>
        <v>A) گھر کے اندر، B) کھلے میدانوں، پارکوں یا پُرسکون گلیوں میں، C) پیشہ ورانہ عدالت میں، D) سٹیڈیم میں</v>
      </c>
      <c r="K11" s="6" t="str">
        <f>IFERROR(__xludf.DUMMYFUNCTION("GOOGLETRANSLATE(D11, ""en"", ""ur"")"),"ب) کھلے میدانوں، پارکوں یا پُرسکون گلیوں میں")</f>
        <v>ب) کھلے میدانوں، پارکوں یا پُرسکون گلیوں میں</v>
      </c>
      <c r="L11" s="6" t="str">
        <f>IFERROR(__xludf.DUMMYFUNCTION("GOOGLETRANSLATE(E11, ""en"", ""ur"")"),"گیم کو ایک بڑے کھلے علاقے کی ضرورت ہوتی ہے اور روایتی طور پر دیہی اور شہری علاقوں میں کسی بھی دستیاب جگہ پر کھیلا جاتا ہے۔")</f>
        <v>گیم کو ایک بڑے کھلے علاقے کی ضرورت ہوتی ہے اور روایتی طور پر دیہی اور شہری علاقوں میں کسی بھی دستیاب جگہ پر کھیلا جاتا ہے۔</v>
      </c>
    </row>
    <row r="12">
      <c r="A12" s="4">
        <v>11.0</v>
      </c>
      <c r="B12" s="5" t="s">
        <v>1807</v>
      </c>
      <c r="C12" s="5" t="s">
        <v>1808</v>
      </c>
      <c r="D12" s="5" t="s">
        <v>1809</v>
      </c>
      <c r="E12" s="5" t="s">
        <v>1810</v>
      </c>
      <c r="H12" s="6" t="str">
        <f>IFERROR(__xludf.DUMMYFUNCTION("GOOGLETRANSLATE(A12, ""en"", ""ur"")"),"11")</f>
        <v>11</v>
      </c>
      <c r="I12" s="6" t="str">
        <f>IFERROR(__xludf.DUMMYFUNCTION("GOOGLETRANSLATE(B12, ""en"", ""ur"")"),"مخالف ٹیم کا بنیادی کردار کیا ہے؟")</f>
        <v>مخالف ٹیم کا بنیادی کردار کیا ہے؟</v>
      </c>
      <c r="J12" s="6" t="str">
        <f>IFERROR(__xludf.DUMMYFUNCTION("GOOGLETRANSLATE(C12, ""en"", ""ur"")"),"A) فیلڈرز کے طور پر کام کرنا اور اسٹرائیکر کو آؤٹ کرنے کی کوشش کرنا، B) گلی کو بیک مارنا، C) باؤنڈریز مقرر کرنا، D) ججز کے طور پر کام کرنا")</f>
        <v>A) فیلڈرز کے طور پر کام کرنا اور اسٹرائیکر کو آؤٹ کرنے کی کوشش کرنا، B) گلی کو بیک مارنا، C) باؤنڈریز مقرر کرنا، D) ججز کے طور پر کام کرنا</v>
      </c>
      <c r="K12" s="6" t="str">
        <f>IFERROR(__xludf.DUMMYFUNCTION("GOOGLETRANSLATE(D12, ""en"", ""ur"")"),"A) فیلڈرز کے طور پر کام کرنا اور اسٹرائیکر کو آؤٹ کرنے کی کوشش کرنا")</f>
        <v>A) فیلڈرز کے طور پر کام کرنا اور اسٹرائیکر کو آؤٹ کرنے کی کوشش کرنا</v>
      </c>
      <c r="L12" s="6" t="str">
        <f>IFERROR(__xludf.DUMMYFUNCTION("GOOGLETRANSLATE(E12, ""en"", ""ur"")"),"مخالف ٹیم کا مقصد اسٹرائیکر کو آؤٹ کرنا ہوتا ہے، عام طور پر گلی کو ہوا میں پکڑ کر۔")</f>
        <v>مخالف ٹیم کا مقصد اسٹرائیکر کو آؤٹ کرنا ہوتا ہے، عام طور پر گلی کو ہوا میں پکڑ کر۔</v>
      </c>
    </row>
    <row r="13">
      <c r="A13" s="4">
        <v>12.0</v>
      </c>
      <c r="B13" s="5" t="s">
        <v>1811</v>
      </c>
      <c r="C13" s="5" t="s">
        <v>1812</v>
      </c>
      <c r="D13" s="5" t="s">
        <v>1813</v>
      </c>
      <c r="E13" s="5" t="s">
        <v>1814</v>
      </c>
      <c r="H13" s="6" t="str">
        <f>IFERROR(__xludf.DUMMYFUNCTION("GOOGLETRANSLATE(A13, ""en"", ""ur"")"),"12")</f>
        <v>12</v>
      </c>
      <c r="I13" s="6" t="str">
        <f>IFERROR(__xludf.DUMMYFUNCTION("GOOGLETRANSLATE(B13, ""en"", ""ur"")"),"کیا ہوتا ہے اگر اسٹرائیکر ابتدائی فلک کی کوشش کرتا ہے تو گلی زمین سے نہیں اٹھاتی؟")</f>
        <v>کیا ہوتا ہے اگر اسٹرائیکر ابتدائی فلک کی کوشش کرتا ہے تو گلی زمین سے نہیں اٹھاتی؟</v>
      </c>
      <c r="J13" s="6" t="str">
        <f>IFERROR(__xludf.DUMMYFUNCTION("GOOGLETRANSLATE(C13, ""en"", ""ur"")"),"A) کھلاڑی ایک پوائنٹ اسکور کرتا ہے، B) کھلاڑی کو ایک اور موقع ملتا ہے، C) اسے ""مس"" یا ""کوشش"" کے طور پر شمار کیا جاتا ہے، D) کوئی کارروائی نہیں ہوتی")</f>
        <v>A) کھلاڑی ایک پوائنٹ اسکور کرتا ہے، B) کھلاڑی کو ایک اور موقع ملتا ہے، C) اسے "مس" یا "کوشش" کے طور پر شمار کیا جاتا ہے، D) کوئی کارروائی نہیں ہوتی</v>
      </c>
      <c r="K13" s="6" t="str">
        <f>IFERROR(__xludf.DUMMYFUNCTION("GOOGLETRANSLATE(D13, ""en"", ""ur"")"),"C) یہ ایک ""مس"" یا ""کوشش"" کے طور پر شمار ہوتا ہے")</f>
        <v>C) یہ ایک "مس" یا "کوشش" کے طور پر شمار ہوتا ہے</v>
      </c>
      <c r="L13" s="6" t="str">
        <f>IFERROR(__xludf.DUMMYFUNCTION("GOOGLETRANSLATE(E13, ""en"", ""ur"")"),"گلی کو ہوائی جہاز بنانے کی ناکام کوشش اسٹرائیکر کے اپنی باری کے محدود مواقع میں سے ایک کو استعمال کرتی ہے۔")</f>
        <v>گلی کو ہوائی جہاز بنانے کی ناکام کوشش اسٹرائیکر کے اپنی باری کے محدود مواقع میں سے ایک کو استعمال کرتی ہے۔</v>
      </c>
    </row>
    <row r="14">
      <c r="A14" s="4">
        <v>13.0</v>
      </c>
      <c r="B14" s="5" t="s">
        <v>1815</v>
      </c>
      <c r="C14" s="5" t="s">
        <v>1816</v>
      </c>
      <c r="D14" s="5" t="s">
        <v>1817</v>
      </c>
      <c r="E14" s="5" t="s">
        <v>1818</v>
      </c>
      <c r="H14" s="6" t="str">
        <f>IFERROR(__xludf.DUMMYFUNCTION("GOOGLETRANSLATE(A14, ""en"", ""ur"")"),"13")</f>
        <v>13</v>
      </c>
      <c r="I14" s="6" t="str">
        <f>IFERROR(__xludf.DUMMYFUNCTION("GOOGLETRANSLATE(B14, ""en"", ""ur"")"),"ڈنڈا کی عام لمبائی کتنی ہے؟")</f>
        <v>ڈنڈا کی عام لمبائی کتنی ہے؟</v>
      </c>
      <c r="J14" s="6" t="str">
        <f>IFERROR(__xludf.DUMMYFUNCTION("GOOGLETRANSLATE(C14, ""en"", ""ur"")"),"A) 1 فٹ، B) 2 سے 3 فٹ، C) 4 فٹ، D) کوئی مقررہ لمبائی نہیں ہے")</f>
        <v>A) 1 فٹ، B) 2 سے 3 فٹ، C) 4 فٹ، D) کوئی مقررہ لمبائی نہیں ہے</v>
      </c>
      <c r="K14" s="6" t="str">
        <f>IFERROR(__xludf.DUMMYFUNCTION("GOOGLETRANSLATE(D14, ""en"", ""ur"")"),"ب) 2 سے 3 فٹ")</f>
        <v>ب) 2 سے 3 فٹ</v>
      </c>
      <c r="L14" s="6" t="str">
        <f>IFERROR(__xludf.DUMMYFUNCTION("GOOGLETRANSLATE(E14, ""en"", ""ur"")"),"ڈنڈا عام طور پر تقریباً 2-3 فٹ لمبا ہوتا ہے، جو مارنے کے لیے آرام دہ رسائی اور فائدہ فراہم کرتا ہے۔")</f>
        <v>ڈنڈا عام طور پر تقریباً 2-3 فٹ لمبا ہوتا ہے، جو مارنے کے لیے آرام دہ رسائی اور فائدہ فراہم کرتا ہے۔</v>
      </c>
    </row>
    <row r="15">
      <c r="A15" s="4">
        <v>14.0</v>
      </c>
      <c r="B15" s="5" t="s">
        <v>1819</v>
      </c>
      <c r="C15" s="5" t="s">
        <v>1820</v>
      </c>
      <c r="D15" s="5" t="s">
        <v>1821</v>
      </c>
      <c r="E15" s="5" t="s">
        <v>1822</v>
      </c>
      <c r="H15" s="6" t="str">
        <f>IFERROR(__xludf.DUMMYFUNCTION("GOOGLETRANSLATE(A15, ""en"", ""ur"")"),"14")</f>
        <v>14</v>
      </c>
      <c r="I15" s="6" t="str">
        <f>IFERROR(__xludf.DUMMYFUNCTION("GOOGLETRANSLATE(B15, ""en"", ""ur"")"),"ابتدائی فلک کے لیے گلی کو کس پوزیشن میں رکھا جاتا ہے؟")</f>
        <v>ابتدائی فلک کے لیے گلی کو کس پوزیشن میں رکھا جاتا ہے؟</v>
      </c>
      <c r="J15" s="6" t="str">
        <f>IFERROR(__xludf.DUMMYFUNCTION("GOOGLETRANSLATE(C15, ""en"", ""ur"")"),"A) سوراخ میں سیدھا کھڑا ہونا، B) زمین پر چپٹا رکھا ہوا، C) زمین پر چھوٹے دائرے یا سوراخ پر رکھا ہوا، D) ہولڈر پر")</f>
        <v>A) سوراخ میں سیدھا کھڑا ہونا، B) زمین پر چپٹا رکھا ہوا، C) زمین پر چھوٹے دائرے یا سوراخ پر رکھا ہوا، D) ہولڈر پر</v>
      </c>
      <c r="K15" s="6" t="str">
        <f>IFERROR(__xludf.DUMMYFUNCTION("GOOGLETRANSLATE(D15, ""en"", ""ur"")"),"ج) زمین پر ایک چھوٹے سے دائرے یا سوراخ پر رکھا جائے۔")</f>
        <v>ج) زمین پر ایک چھوٹے سے دائرے یا سوراخ پر رکھا جائے۔</v>
      </c>
      <c r="L15" s="6" t="str">
        <f>IFERROR(__xludf.DUMMYFUNCTION("GOOGLETRANSLATE(E15, ""en"", ""ur"")"),"گلی کو عام طور پر ایک چھوٹے سے انڈینٹیشن پر رکھا جاتا ہے، جس سے ڈنڈا ایک ٹیپرڈ سرے پر حملہ کرتا ہے اور اسے اوپر کی طرف پلٹتا ہے۔")</f>
        <v>گلی کو عام طور پر ایک چھوٹے سے انڈینٹیشن پر رکھا جاتا ہے، جس سے ڈنڈا ایک ٹیپرڈ سرے پر حملہ کرتا ہے اور اسے اوپر کی طرف پلٹتا ہے۔</v>
      </c>
    </row>
    <row r="16">
      <c r="A16" s="4">
        <v>15.0</v>
      </c>
      <c r="B16" s="5" t="s">
        <v>1823</v>
      </c>
      <c r="C16" s="5" t="s">
        <v>1824</v>
      </c>
      <c r="D16" s="5" t="s">
        <v>1825</v>
      </c>
      <c r="E16" s="5" t="s">
        <v>1826</v>
      </c>
      <c r="H16" s="6" t="str">
        <f>IFERROR(__xludf.DUMMYFUNCTION("GOOGLETRANSLATE(A16, ""en"", ""ur"")"),"15")</f>
        <v>15</v>
      </c>
      <c r="I16" s="6" t="str">
        <f>IFERROR(__xludf.DUMMYFUNCTION("GOOGLETRANSLATE(B16, ""en"", ""ur"")"),"گلی ڈنڈا میں سبقت حاصل کرنے کے لیے سب سے اہم جسمانی مہارت کیا ہے؟")</f>
        <v>گلی ڈنڈا میں سبقت حاصل کرنے کے لیے سب سے اہم جسمانی مہارت کیا ہے؟</v>
      </c>
      <c r="J16" s="6" t="str">
        <f>IFERROR(__xludf.DUMMYFUNCTION("GOOGLETRANSLATE(C16, ""en"", ""ur"")"),"A) خام رفتار، B) پٹھوں کی طاقت، C) ہاتھ سے آنکھ کا بہترین ہم آہنگی، D) لچک")</f>
        <v>A) خام رفتار، B) پٹھوں کی طاقت، C) ہاتھ سے آنکھ کا بہترین ہم آہنگی، D) لچک</v>
      </c>
      <c r="K16" s="6" t="str">
        <f>IFERROR(__xludf.DUMMYFUNCTION("GOOGLETRANSLATE(D16, ""en"", ""ur"")"),"C) ہاتھ سے آنکھ کا بہترین کوآرڈینیشن")</f>
        <v>C) ہاتھ سے آنکھ کا بہترین کوآرڈینیشن</v>
      </c>
      <c r="L16" s="6" t="str">
        <f>IFERROR(__xludf.DUMMYFUNCTION("GOOGLETRANSLATE(E16, ""en"", ""ur"")"),"گلی کو اوپر اٹھانا اور اسے درمیانی ہوا میں مارنا دونوں میں درستگی ایک اسٹرائیکر کے لیے سب سے اہم مہارت ہے۔")</f>
        <v>گلی کو اوپر اٹھانا اور اسے درمیانی ہوا میں مارنا دونوں میں درستگی ایک اسٹرائیکر کے لیے سب سے اہم مہارت ہے۔</v>
      </c>
    </row>
    <row r="17">
      <c r="A17" s="4">
        <v>16.0</v>
      </c>
      <c r="B17" s="5" t="s">
        <v>1827</v>
      </c>
      <c r="C17" s="5" t="s">
        <v>1828</v>
      </c>
      <c r="D17" s="5" t="s">
        <v>1829</v>
      </c>
      <c r="E17" s="5" t="s">
        <v>1830</v>
      </c>
      <c r="H17" s="6" t="str">
        <f>IFERROR(__xludf.DUMMYFUNCTION("GOOGLETRANSLATE(A17, ""en"", ""ur"")"),"16")</f>
        <v>16</v>
      </c>
      <c r="I17" s="6" t="str">
        <f>IFERROR(__xludf.DUMMYFUNCTION("GOOGLETRANSLATE(B17, ""en"", ""ur"")"),"مرکزی ہڑتال سے پہلے گلی کو کئی بار ہوا میں مارنے کی اصطلاح کیا ہے؟")</f>
        <v>مرکزی ہڑتال سے پہلے گلی کو کئی بار ہوا میں مارنے کی اصطلاح کیا ہے؟</v>
      </c>
      <c r="J17" s="6" t="str">
        <f>IFERROR(__xludf.DUMMYFUNCTION("GOOGLETRANSLATE(C17, ""en"", ""ur"")"),"A) ڈبلنگ، B) فلکنگ، C) ٹیپنگ، D) جگلنگ")</f>
        <v>A) ڈبلنگ، B) فلکنگ، C) ٹیپنگ، D) جگلنگ</v>
      </c>
      <c r="K17" s="6" t="str">
        <f>IFERROR(__xludf.DUMMYFUNCTION("GOOGLETRANSLATE(D17, ""en"", ""ur"")"),"D) جگل کرنا")</f>
        <v>D) جگل کرنا</v>
      </c>
      <c r="L17" s="6" t="str">
        <f>IFERROR(__xludf.DUMMYFUNCTION("GOOGLETRANSLATE(E17, ""en"", ""ur"")"),"کچھ تغیرات میں، ایک ہنر مند کھلاڑی گلی کو ہوا میں ""جگل"" کر سکتا ہے تاکہ اسے طاقتور ہٹ کے لیے بہترین پوزیشن پر لے جا سکے۔")</f>
        <v>کچھ تغیرات میں، ایک ہنر مند کھلاڑی گلی کو ہوا میں "جگل" کر سکتا ہے تاکہ اسے طاقتور ہٹ کے لیے بہترین پوزیشن پر لے جا سکے۔</v>
      </c>
    </row>
    <row r="18">
      <c r="A18" s="4">
        <v>17.0</v>
      </c>
      <c r="B18" s="5" t="s">
        <v>1831</v>
      </c>
      <c r="C18" s="5" t="s">
        <v>1832</v>
      </c>
      <c r="D18" s="5" t="s">
        <v>1833</v>
      </c>
      <c r="E18" s="5" t="s">
        <v>1834</v>
      </c>
      <c r="H18" s="6" t="str">
        <f>IFERROR(__xludf.DUMMYFUNCTION("GOOGLETRANSLATE(A18, ""en"", ""ur"")"),"17")</f>
        <v>17</v>
      </c>
      <c r="I18" s="6" t="str">
        <f>IFERROR(__xludf.DUMMYFUNCTION("GOOGLETRANSLATE(B18, ""en"", ""ur"")"),"گلی ڈنڈا میں ""فول"" یا ""مس"" کیا سمجھا جاتا ہے؟")</f>
        <v>گلی ڈنڈا میں "فول" یا "مس" کیا سمجھا جاتا ہے؟</v>
      </c>
      <c r="J18" s="6" t="str">
        <f>IFERROR(__xludf.DUMMYFUNCTION("GOOGLETRANSLATE(C18, ""en"", ""ur"")"),"A) ڈنڈا پر دونوں ہاتھوں کا استعمال، B) مارنے کے بعد ڈنڈا کو گرانا، C) ہڑتال کی کوشش کے دوران گلی سے رابطہ کرنے میں ناکامی، D) مار کے بعد حدود سے تجاوز کرنا")</f>
        <v>A) ڈنڈا پر دونوں ہاتھوں کا استعمال، B) مارنے کے بعد ڈنڈا کو گرانا، C) ہڑتال کی کوشش کے دوران گلی سے رابطہ کرنے میں ناکامی، D) مار کے بعد حدود سے تجاوز کرنا</v>
      </c>
      <c r="K18" s="6" t="str">
        <f>IFERROR(__xludf.DUMMYFUNCTION("GOOGLETRANSLATE(D18, ""en"", ""ur"")"),"C) ہڑتال کی کوشش کے دوران گلی سے رابطہ کرنے میں ناکامی")</f>
        <v>C) ہڑتال کی کوشش کے دوران گلی سے رابطہ کرنے میں ناکامی</v>
      </c>
      <c r="L18" s="6" t="str">
        <f>IFERROR(__xludf.DUMMYFUNCTION("GOOGLETRANSLATE(E18, ""en"", ""ur"")"),"ایک سوئنگ اور ایک مس اسٹرائیکر کے اپنی باری کے مواقع میں سے ایک کو استعمال کرتی ہے۔")</f>
        <v>ایک سوئنگ اور ایک مس اسٹرائیکر کے اپنی باری کے مواقع میں سے ایک کو استعمال کرتی ہے۔</v>
      </c>
    </row>
    <row r="19">
      <c r="A19" s="4">
        <v>18.0</v>
      </c>
      <c r="B19" s="5" t="s">
        <v>1835</v>
      </c>
      <c r="C19" s="5" t="s">
        <v>1836</v>
      </c>
      <c r="D19" s="5" t="s">
        <v>1837</v>
      </c>
      <c r="E19" s="5" t="s">
        <v>1838</v>
      </c>
      <c r="H19" s="6" t="str">
        <f>IFERROR(__xludf.DUMMYFUNCTION("GOOGLETRANSLATE(A19, ""en"", ""ur"")"),"18")</f>
        <v>18</v>
      </c>
      <c r="I19" s="6" t="str">
        <f>IFERROR(__xludf.DUMMYFUNCTION("GOOGLETRANSLATE(B19, ""en"", ""ur"")"),"پاکستان کے دیہی علاقوں میں اکثر اسکورنگ باؤنڈریز یا سٹرائیکنگ سرکل کو نشان زد کرنے کے لیے کیا استعمال کیا جاتا ہے؟")</f>
        <v>پاکستان کے دیہی علاقوں میں اکثر اسکورنگ باؤنڈریز یا سٹرائیکنگ سرکل کو نشان زد کرنے کے لیے کیا استعمال کیا جاتا ہے؟</v>
      </c>
      <c r="J19" s="6" t="str">
        <f>IFERROR(__xludf.DUMMYFUNCTION("GOOGLETRANSLATE(C19, ""en"", ""ur"")"),"A) پیشہ ورانہ چاک پاؤڈر، B) پتھر، اینٹیں، یا جوتا، C) لکڑی کے خطوط، D) ایک رسی")</f>
        <v>A) پیشہ ورانہ چاک پاؤڈر، B) پتھر، اینٹیں، یا جوتا، C) لکڑی کے خطوط، D) ایک رسی</v>
      </c>
      <c r="K19" s="6" t="str">
        <f>IFERROR(__xludf.DUMMYFUNCTION("GOOGLETRANSLATE(D19, ""en"", ""ur"")"),"ب) پتھر، اینٹیں، یا جوتا")</f>
        <v>ب) پتھر، اینٹیں، یا جوتا</v>
      </c>
      <c r="L19" s="6" t="str">
        <f>IFERROR(__xludf.DUMMYFUNCTION("GOOGLETRANSLATE(E19, ""en"", ""ur"")"),"روایتی طور پر، کھلاڑی کھیل کی غیر رسمی نوعیت کو نمایاں کرتے ہوئے، کھیل کے میدان کو نشان زد کرنے کے لیے جو کچھ بھی دستیاب ہے استعمال کرتے ہیں۔")</f>
        <v>روایتی طور پر، کھلاڑی کھیل کی غیر رسمی نوعیت کو نمایاں کرتے ہوئے، کھیل کے میدان کو نشان زد کرنے کے لیے جو کچھ بھی دستیاب ہے استعمال کرتے ہیں۔</v>
      </c>
    </row>
    <row r="20">
      <c r="A20" s="4">
        <v>19.0</v>
      </c>
      <c r="B20" s="5" t="s">
        <v>1839</v>
      </c>
      <c r="C20" s="5" t="s">
        <v>1840</v>
      </c>
      <c r="D20" s="5" t="s">
        <v>1841</v>
      </c>
      <c r="E20" s="5" t="s">
        <v>1842</v>
      </c>
      <c r="H20" s="6" t="str">
        <f>IFERROR(__xludf.DUMMYFUNCTION("GOOGLETRANSLATE(A20, ""en"", ""ur"")"),"19")</f>
        <v>19</v>
      </c>
      <c r="I20" s="6" t="str">
        <f>IFERROR(__xludf.DUMMYFUNCTION("GOOGLETRANSLATE(B20, ""en"", ""ur"")"),"گلی اور ڈنڈا بنانے کے لیے بہترین مواد کیا ہے؟")</f>
        <v>گلی اور ڈنڈا بنانے کے لیے بہترین مواد کیا ہے؟</v>
      </c>
      <c r="J20" s="6" t="str">
        <f>IFERROR(__xludf.DUMMYFUNCTION("GOOGLETRANSLATE(C20, ""en"", ""ur"")"),"A) پلاسٹک، B) بانس، C) دھات، D) سخت لکڑی")</f>
        <v>A) پلاسٹک، B) بانس، C) دھات، D) سخت لکڑی</v>
      </c>
      <c r="K20" s="6" t="str">
        <f>IFERROR(__xludf.DUMMYFUNCTION("GOOGLETRANSLATE(D20, ""en"", ""ur"")"),"D) ہارڈ ووڈ")</f>
        <v>D) ہارڈ ووڈ</v>
      </c>
      <c r="L20" s="6" t="str">
        <f>IFERROR(__xludf.DUMMYFUNCTION("GOOGLETRANSLATE(E20, ""en"", ""ur"")"),"لکڑی کی چھڑیاں روایتی طور پر گلی اور ڈنڈا دونوں کے لیے استعمال ہوتی ہیں کیونکہ یہ پائیدار ہوتی ہیں اور اچھا احساس فراہم کرتی ہیں۔")</f>
        <v>لکڑی کی چھڑیاں روایتی طور پر گلی اور ڈنڈا دونوں کے لیے استعمال ہوتی ہیں کیونکہ یہ پائیدار ہوتی ہیں اور اچھا احساس فراہم کرتی ہیں۔</v>
      </c>
    </row>
    <row r="21">
      <c r="A21" s="4">
        <v>20.0</v>
      </c>
      <c r="B21" s="5" t="s">
        <v>1843</v>
      </c>
      <c r="C21" s="5" t="s">
        <v>1844</v>
      </c>
      <c r="D21" s="5" t="s">
        <v>1845</v>
      </c>
      <c r="E21" s="5" t="s">
        <v>1846</v>
      </c>
      <c r="H21" s="6" t="str">
        <f>IFERROR(__xludf.DUMMYFUNCTION("GOOGLETRANSLATE(A21, ""en"", ""ur"")"),"20")</f>
        <v>20</v>
      </c>
      <c r="I21" s="6" t="str">
        <f>IFERROR(__xludf.DUMMYFUNCTION("GOOGLETRANSLATE(B21, ""en"", ""ur"")"),"کھیل کے کچھ تغیرات میں، کیا ہوتا ہے اگر گلی اترے اور پہلے سے نشان زد دائرے کے اندر آرام کر لے؟")</f>
        <v>کھیل کے کچھ تغیرات میں، کیا ہوتا ہے اگر گلی اترے اور پہلے سے نشان زد دائرے کے اندر آرام کر لے؟</v>
      </c>
      <c r="J21" s="6" t="str">
        <f>IFERROR(__xludf.DUMMYFUNCTION("GOOGLETRANSLATE(C21, ""en"", ""ur"")"),"A) ہٹ کرنے والا ڈبل ​​پوائنٹ اسکور کرتا ہے، B) مارنے والا آؤٹ ہوتا ہے، C) مخالف کو ایک پوائنٹ ملتا ہے، D) ٹرن کو دوبارہ چلایا جانا چاہیے۔")</f>
        <v>A) ہٹ کرنے والا ڈبل ​​پوائنٹ اسکور کرتا ہے، B) مارنے والا آؤٹ ہوتا ہے، C) مخالف کو ایک پوائنٹ ملتا ہے، D) ٹرن کو دوبارہ چلایا جانا چاہیے۔</v>
      </c>
      <c r="K21" s="6" t="str">
        <f>IFERROR(__xludf.DUMMYFUNCTION("GOOGLETRANSLATE(D21, ""en"", ""ur"")"),"ب) مارنے والا باہر ہے۔")</f>
        <v>ب) مارنے والا باہر ہے۔</v>
      </c>
      <c r="L21" s="6" t="str">
        <f>IFERROR(__xludf.DUMMYFUNCTION("GOOGLETRANSLATE(E21, ""en"", ""ur"")"),"کچھ ورژنز میں یہ ایک عام اصول ہے، جہاں سٹرائیکنگ پوائنٹ کے گرد دائرہ ایک ""آؤٹ"" زون ہوتا ہے اگر گلی کافی زیادہ سفر نہیں کرتی ہے۔")</f>
        <v>کچھ ورژنز میں یہ ایک عام اصول ہے، جہاں سٹرائیکنگ پوائنٹ کے گرد دائرہ ایک "آؤٹ" زون ہوتا ہے اگر گلی کافی زیادہ سفر نہیں کرتی ہے۔</v>
      </c>
    </row>
    <row r="22">
      <c r="A22" s="4">
        <v>21.0</v>
      </c>
      <c r="B22" s="5" t="s">
        <v>1847</v>
      </c>
      <c r="C22" s="5" t="s">
        <v>1848</v>
      </c>
      <c r="D22" s="5" t="s">
        <v>1849</v>
      </c>
      <c r="E22" s="5" t="s">
        <v>1850</v>
      </c>
      <c r="H22" s="6" t="str">
        <f>IFERROR(__xludf.DUMMYFUNCTION("GOOGLETRANSLATE(A22, ""en"", ""ur"")"),"21")</f>
        <v>21</v>
      </c>
      <c r="I22" s="6" t="str">
        <f>IFERROR(__xludf.DUMMYFUNCTION("GOOGLETRANSLATE(B22, ""en"", ""ur"")"),"گلی کو ڈنڈے سے مارنے کا اصل مقصد کیا ہے؟")</f>
        <v>گلی کو ڈنڈے سے مارنے کا اصل مقصد کیا ہے؟</v>
      </c>
      <c r="J22" s="6" t="str">
        <f>IFERROR(__xludf.DUMMYFUNCTION("GOOGLETRANSLATE(C22, ""en"", ""ur"")"),"A) کسی مخصوص ہدف کو نشانہ بنانا، B) اس کے طے کردہ فاصلے کی بنیاد پر پوائنٹس حاصل کرنا، C) اسے ٹیم کے ساتھی تک پہنچانا، D) اسے ڈنڈا پر متوازن کرنا")</f>
        <v>A) کسی مخصوص ہدف کو نشانہ بنانا، B) اس کے طے کردہ فاصلے کی بنیاد پر پوائنٹس حاصل کرنا، C) اسے ٹیم کے ساتھی تک پہنچانا، D) اسے ڈنڈا پر متوازن کرنا</v>
      </c>
      <c r="K22" s="6" t="str">
        <f>IFERROR(__xludf.DUMMYFUNCTION("GOOGLETRANSLATE(D22, ""en"", ""ur"")"),"ب) اس کے طے کردہ فاصلے کی بنیاد پر پوائنٹس حاصل کرنا")</f>
        <v>ب) اس کے طے کردہ فاصلے کی بنیاد پر پوائنٹس حاصل کرنا</v>
      </c>
      <c r="L22" s="6" t="str">
        <f>IFERROR(__xludf.DUMMYFUNCTION("GOOGLETRANSLATE(E22, ""en"", ""ur"")"),"کھلاڑیوں کا مقصد جہاں تک ممکن ہو نقطہ آغاز سے دور گلی کو مار کر پوائنٹس حاصل کرنا ہے۔")</f>
        <v>کھلاڑیوں کا مقصد جہاں تک ممکن ہو نقطہ آغاز سے دور گلی کو مار کر پوائنٹس حاصل کرنا ہے۔</v>
      </c>
    </row>
    <row r="23">
      <c r="A23" s="4">
        <v>22.0</v>
      </c>
      <c r="B23" s="5" t="s">
        <v>1851</v>
      </c>
      <c r="C23" s="5" t="s">
        <v>1852</v>
      </c>
      <c r="D23" s="5" t="s">
        <v>1853</v>
      </c>
      <c r="E23" s="5" t="s">
        <v>1854</v>
      </c>
      <c r="H23" s="6" t="str">
        <f>IFERROR(__xludf.DUMMYFUNCTION("GOOGLETRANSLATE(A23, ""en"", ""ur"")"),"22")</f>
        <v>22</v>
      </c>
      <c r="I23" s="6" t="str">
        <f>IFERROR(__xludf.DUMMYFUNCTION("GOOGLETRANSLATE(B23, ""en"", ""ur"")"),"اگر گلی پلے ایریا کے اندر گراؤنڈ پر اترے تو فیلڈنگ ٹیم کیا کارروائی کرتی ہے؟")</f>
        <v>اگر گلی پلے ایریا کے اندر گراؤنڈ پر اترے تو فیلڈنگ ٹیم کیا کارروائی کرتی ہے؟</v>
      </c>
      <c r="J23" s="6" t="str">
        <f>IFERROR(__xludf.DUMMYFUNCTION("GOOGLETRANSLATE(C23, ""en"", ""ur"")"),"A) وہ اسے ایک اچھال پر پکڑنے کی کوشش کرتے ہیں، B) وہ اسکور کے لیے فاصلے کی پیمائش کرتے ہیں، C) وہ اسے ڈنڈا کو ابتدائی مقام پر مارنے کے لیے واپس پھینکنے کی کوشش کرتے ہیں، D) گول ختم")</f>
        <v>A) وہ اسے ایک اچھال پر پکڑنے کی کوشش کرتے ہیں، B) وہ اسکور کے لیے فاصلے کی پیمائش کرتے ہیں، C) وہ اسے ڈنڈا کو ابتدائی مقام پر مارنے کے لیے واپس پھینکنے کی کوشش کرتے ہیں، D) گول ختم</v>
      </c>
      <c r="K23" s="6" t="str">
        <f>IFERROR(__xludf.DUMMYFUNCTION("GOOGLETRANSLATE(D23, ""en"", ""ur"")"),"ج) وہ اسے واپس پھینکنے کی کوشش کرتے ہیں تاکہ ابتدائی مقام پر ڈنڈا کو نشانہ بنایا جا سکے۔")</f>
        <v>ج) وہ اسے واپس پھینکنے کی کوشش کرتے ہیں تاکہ ابتدائی مقام پر ڈنڈا کو نشانہ بنایا جا سکے۔</v>
      </c>
      <c r="L23" s="6" t="str">
        <f>IFERROR(__xludf.DUMMYFUNCTION("GOOGLETRANSLATE(E23, ""en"", ""ur"")"),"بہت سے تغیرات میں، اگر گلی کو پکڑا نہیں جاتا ہے، تو ایک فیلڈر گلی کو پیچھے پھینک کر اور ڈنڈا مار کر اسٹرائیکر کو آؤٹ کر سکتا ہے۔")</f>
        <v>بہت سے تغیرات میں، اگر گلی کو پکڑا نہیں جاتا ہے، تو ایک فیلڈر گلی کو پیچھے پھینک کر اور ڈنڈا مار کر اسٹرائیکر کو آؤٹ کر سکتا ہے۔</v>
      </c>
    </row>
    <row r="24">
      <c r="A24" s="4">
        <v>23.0</v>
      </c>
      <c r="B24" s="5" t="s">
        <v>1855</v>
      </c>
      <c r="C24" s="5" t="s">
        <v>1856</v>
      </c>
      <c r="D24" s="5" t="s">
        <v>1053</v>
      </c>
      <c r="E24" s="5" t="s">
        <v>1857</v>
      </c>
      <c r="H24" s="6" t="str">
        <f>IFERROR(__xludf.DUMMYFUNCTION("GOOGLETRANSLATE(A24, ""en"", ""ur"")"),"23")</f>
        <v>23</v>
      </c>
      <c r="I24" s="6" t="str">
        <f>IFERROR(__xludf.DUMMYFUNCTION("GOOGLETRANSLATE(B24, ""en"", ""ur"")"),"کھیل میں ڈنڈا کا کیا کردار ہے؟")</f>
        <v>کھیل میں ڈنڈا کا کیا کردار ہے؟</v>
      </c>
      <c r="J24" s="6" t="str">
        <f>IFERROR(__xludf.DUMMYFUNCTION("GOOGLETRANSLATE(C24, ""en"", ""ur"")"),"A) ایک ہدف کا دفاع کرنے کے لئے، B) اسکورنگ فاصلے کی پیمائش کرنے کے لئے، C) گلی کو مارنے کے لئے، D) B اور C دونوں")</f>
        <v>A) ایک ہدف کا دفاع کرنے کے لئے، B) اسکورنگ فاصلے کی پیمائش کرنے کے لئے، C) گلی کو مارنے کے لئے، D) B اور C دونوں</v>
      </c>
      <c r="K24" s="6" t="str">
        <f>IFERROR(__xludf.DUMMYFUNCTION("GOOGLETRANSLATE(D24, ""en"", ""ur"")"),"D) B اور C دونوں")</f>
        <v>D) B اور C دونوں</v>
      </c>
      <c r="L24" s="6" t="str">
        <f>IFERROR(__xludf.DUMMYFUNCTION("GOOGLETRANSLATE(E24, ""en"", ""ur"")"),"ڈنڈا کو گلی کو مارنے کے لیے ""بلے"" کے طور پر اور اسکور کرنے کے لیے فاصلے کی پیمائش کے لیے ""حکمران"" کے طور پر استعمال کیا جاتا ہے۔")</f>
        <v>ڈنڈا کو گلی کو مارنے کے لیے "بلے" کے طور پر اور اسکور کرنے کے لیے فاصلے کی پیمائش کے لیے "حکمران" کے طور پر استعمال کیا جاتا ہے۔</v>
      </c>
    </row>
    <row r="25">
      <c r="A25" s="4">
        <v>24.0</v>
      </c>
      <c r="B25" s="5" t="s">
        <v>1858</v>
      </c>
      <c r="C25" s="5" t="s">
        <v>1859</v>
      </c>
      <c r="D25" s="5" t="s">
        <v>1860</v>
      </c>
      <c r="E25" s="5" t="s">
        <v>1861</v>
      </c>
      <c r="H25" s="6" t="str">
        <f>IFERROR(__xludf.DUMMYFUNCTION("GOOGLETRANSLATE(A25, ""en"", ""ur"")"),"24")</f>
        <v>24</v>
      </c>
      <c r="I25" s="6" t="str">
        <f>IFERROR(__xludf.DUMMYFUNCTION("GOOGLETRANSLATE(B25, ""en"", ""ur"")"),"کیا ہوتا ہے اگر کوئی اسٹرائیکر گلی کو مارتا ہے لیکن یہ بہت کم فاصلہ طے کرتا ہے؟")</f>
        <v>کیا ہوتا ہے اگر کوئی اسٹرائیکر گلی کو مارتا ہے لیکن یہ بہت کم فاصلہ طے کرتا ہے؟</v>
      </c>
      <c r="J25" s="6" t="str">
        <f>IFERROR(__xludf.DUMMYFUNCTION("GOOGLETRANSLATE(C25, ""en"", ""ur"")"),"A) انہیں شاٹ کی دوبارہ کوشش کرنی چاہئے، B) وہ کم اسکور کے لئے مختصر فاصلے کی پیمائش کر سکتے ہیں، C) انہیں اپنی باری قبول کرنی چاہئے، D) وہ اپنی پوزیشن تبدیل کر سکتے ہیں۔")</f>
        <v>A) انہیں شاٹ کی دوبارہ کوشش کرنی چاہئے، B) وہ کم اسکور کے لئے مختصر فاصلے کی پیمائش کر سکتے ہیں، C) انہیں اپنی باری قبول کرنی چاہئے، D) وہ اپنی پوزیشن تبدیل کر سکتے ہیں۔</v>
      </c>
      <c r="K25" s="6" t="str">
        <f>IFERROR(__xludf.DUMMYFUNCTION("GOOGLETRANSLATE(D25, ""en"", ""ur"")"),"ب) وہ کم سکور کے لیے مختصر فاصلے کی پیمائش کر سکتے ہیں۔")</f>
        <v>ب) وہ کم سکور کے لیے مختصر فاصلے کی پیمائش کر سکتے ہیں۔</v>
      </c>
      <c r="L25" s="6" t="str">
        <f>IFERROR(__xludf.DUMMYFUNCTION("GOOGLETRANSLATE(E25, ""en"", ""ur"")"),"ایک کمزور ہٹ ایک فاؤل نہیں ہے؛ اسٹرائیکر مختصر فاصلے کی پیمائش کرنے کا انتخاب کرسکتا ہے یا کچھ مختلف حالتوں میں اسے دوبارہ مارنے کی کوشش کر سکتا ہے۔")</f>
        <v>ایک کمزور ہٹ ایک فاؤل نہیں ہے؛ اسٹرائیکر مختصر فاصلے کی پیمائش کرنے کا انتخاب کرسکتا ہے یا کچھ مختلف حالتوں میں اسے دوبارہ مارنے کی کوشش کر سکتا ہے۔</v>
      </c>
    </row>
    <row r="26">
      <c r="A26" s="4">
        <v>25.0</v>
      </c>
      <c r="B26" s="5" t="s">
        <v>1862</v>
      </c>
      <c r="C26" s="5" t="s">
        <v>1863</v>
      </c>
      <c r="D26" s="5" t="s">
        <v>1864</v>
      </c>
      <c r="E26" s="5" t="s">
        <v>1865</v>
      </c>
      <c r="H26" s="6" t="str">
        <f>IFERROR(__xludf.DUMMYFUNCTION("GOOGLETRANSLATE(A26, ""en"", ""ur"")"),"25")</f>
        <v>25</v>
      </c>
      <c r="I26" s="6" t="str">
        <f>IFERROR(__xludf.DUMMYFUNCTION("GOOGLETRANSLATE(B26, ""en"", ""ur"")"),"گلی ڈنڈا میں سرکاری طور پر اسکور کیسے ماپا جاتا ہے؟")</f>
        <v>گلی ڈنڈا میں سرکاری طور پر اسکور کیسے ماپا جاتا ہے؟</v>
      </c>
      <c r="J26" s="6" t="str">
        <f>IFERROR(__xludf.DUMMYFUNCTION("GOOGLETRANSLATE(C26, ""en"", ""ur"")"),"A) اس وقت تک جب گلی ہوا میں ہے، B) ضربوں کی تعداد کے حساب سے، C) اسٹرائیکنگ پوائنٹ سے ڈنڈا کی لمبائی کی تعداد گن کر، D) گلی کے وزن سے")</f>
        <v>A) اس وقت تک جب گلی ہوا میں ہے، B) ضربوں کی تعداد کے حساب سے، C) اسٹرائیکنگ پوائنٹ سے ڈنڈا کی لمبائی کی تعداد گن کر، D) گلی کے وزن سے</v>
      </c>
      <c r="K26" s="6" t="str">
        <f>IFERROR(__xludf.DUMMYFUNCTION("GOOGLETRANSLATE(D26, ""en"", ""ur"")"),"C) سٹرکنگ پوائنٹ سے ڈنڈا کی لمبائی کی تعداد گن کر")</f>
        <v>C) سٹرکنگ پوائنٹ سے ڈنڈا کی لمبائی کی تعداد گن کر</v>
      </c>
      <c r="L26" s="6" t="str">
        <f>IFERROR(__xludf.DUMMYFUNCTION("GOOGLETRANSLATE(E26, ""en"", ""ur"")"),"گلی جو فاصلہ طے کرتی ہے اسے ڈنڈا کی پوری لمبائی میں ناپا جاتا ہے، جو اسکورنگ کی اکائی بن جاتا ہے۔")</f>
        <v>گلی جو فاصلہ طے کرتی ہے اسے ڈنڈا کی پوری لمبائی میں ناپا جاتا ہے، جو اسکورنگ کی اکائی بن جاتا ہے۔</v>
      </c>
    </row>
    <row r="27">
      <c r="A27" s="4">
        <v>26.0</v>
      </c>
      <c r="B27" s="5" t="s">
        <v>1866</v>
      </c>
      <c r="C27" s="5" t="s">
        <v>1867</v>
      </c>
      <c r="D27" s="5" t="s">
        <v>1868</v>
      </c>
      <c r="E27" s="5" t="s">
        <v>1869</v>
      </c>
      <c r="H27" s="6" t="str">
        <f>IFERROR(__xludf.DUMMYFUNCTION("GOOGLETRANSLATE(A27, ""en"", ""ur"")"),"26")</f>
        <v>26</v>
      </c>
      <c r="I27" s="6" t="str">
        <f>IFERROR(__xludf.DUMMYFUNCTION("GOOGLETRANSLATE(B27, ""en"", ""ur"")"),"اگر اسٹرائیکر غیر رسمی طور پر متفقہ کھیل کے میدان سے باہر گلی کو مارتا ہے تو اس کا کیا نتیجہ نکلتا ہے؟")</f>
        <v>اگر اسٹرائیکر غیر رسمی طور پر متفقہ کھیل کے میدان سے باہر گلی کو مارتا ہے تو اس کا کیا نتیجہ نکلتا ہے؟</v>
      </c>
      <c r="J27" s="6" t="str">
        <f>IFERROR(__xludf.DUMMYFUNCTION("GOOGLETRANSLATE(C27, ""en"", ""ur"")"),"A) اسٹرائیکر آؤٹ ہے، B) اسٹرائیکر کو ایک اور باری لینا چاہئے، C) اسٹرائیکر زیادہ سے زیادہ ممکنہ پوائنٹس اسکور کرتا ہے، D) اسٹرائیکر کی باری کالعدم ہے۔")</f>
        <v>A) اسٹرائیکر آؤٹ ہے، B) اسٹرائیکر کو ایک اور باری لینا چاہئے، C) اسٹرائیکر زیادہ سے زیادہ ممکنہ پوائنٹس اسکور کرتا ہے، D) اسٹرائیکر کی باری کالعدم ہے۔</v>
      </c>
      <c r="K27" s="6" t="str">
        <f>IFERROR(__xludf.DUMMYFUNCTION("GOOGLETRANSLATE(D27, ""en"", ""ur"")"),"C) اسٹرائیکر زیادہ سے زیادہ ممکنہ پوائنٹس اسکور کرتا ہے۔")</f>
        <v>C) اسٹرائیکر زیادہ سے زیادہ ممکنہ پوائنٹس اسکور کرتا ہے۔</v>
      </c>
      <c r="L27" s="6" t="str">
        <f>IFERROR(__xludf.DUMMYFUNCTION("GOOGLETRANSLATE(E27, ""en"", ""ur"")"),"ایک ہٹ جو غیر معمولی حد تک جاتی ہے، جسے کبھی کبھی ""لامبی"" کہا جاتا ہے، اسٹرائیکر بونس پوائنٹس یا اس موڑ کے لیے خودکار جیت حاصل کر سکتا ہے۔")</f>
        <v>ایک ہٹ جو غیر معمولی حد تک جاتی ہے، جسے کبھی کبھی "لامبی" کہا جاتا ہے، اسٹرائیکر بونس پوائنٹس یا اس موڑ کے لیے خودکار جیت حاصل کر سکتا ہے۔</v>
      </c>
    </row>
    <row r="28">
      <c r="A28" s="4">
        <v>27.0</v>
      </c>
      <c r="B28" s="5" t="s">
        <v>1870</v>
      </c>
      <c r="C28" s="5" t="s">
        <v>1871</v>
      </c>
      <c r="D28" s="5" t="s">
        <v>1872</v>
      </c>
      <c r="E28" s="5" t="s">
        <v>1873</v>
      </c>
      <c r="H28" s="6" t="str">
        <f>IFERROR(__xludf.DUMMYFUNCTION("GOOGLETRANSLATE(A28, ""en"", ""ur"")"),"27")</f>
        <v>27</v>
      </c>
      <c r="I28" s="6" t="str">
        <f>IFERROR(__xludf.DUMMYFUNCTION("GOOGLETRANSLATE(B28, ""en"", ""ur"")"),"کیا ہوتا ہے اگر اسٹرائیکر مسلسل تین بار گلی کو مس کرتا ہے؟")</f>
        <v>کیا ہوتا ہے اگر اسٹرائیکر مسلسل تین بار گلی کو مس کرتا ہے؟</v>
      </c>
      <c r="J28" s="6" t="str">
        <f>IFERROR(__xludf.DUMMYFUNCTION("GOOGLETRANSLATE(C28, ""en"", ""ur"")"),"A) انہیں کھیل سے نااہل قرار دیا جاتا ہے، B) مخالف ٹیم کو بونس پوائنٹ حاصل ہوتا ہے، C) شاندار اختتام پر ان کی باری، D) کھیل شروع سے دوبارہ شروع ہوتا ہے")</f>
        <v>A) انہیں کھیل سے نااہل قرار دیا جاتا ہے، B) مخالف ٹیم کو بونس پوائنٹ حاصل ہوتا ہے، C) شاندار اختتام پر ان کی باری، D) کھیل شروع سے دوبارہ شروع ہوتا ہے</v>
      </c>
      <c r="K28" s="6" t="str">
        <f>IFERROR(__xludf.DUMMYFUNCTION("GOOGLETRANSLATE(D28, ""en"", ""ur"")"),"C) ان کی باری حیرت انگیز اختتام پر")</f>
        <v>C) ان کی باری حیرت انگیز اختتام پر</v>
      </c>
      <c r="L28" s="6" t="str">
        <f>IFERROR(__xludf.DUMMYFUNCTION("GOOGLETRANSLATE(E28, ""en"", ""ur"")"),"ایک کھلاڑی کو عام طور پر گلی کو مارنے کے تین مواقع دیئے جاتے ہیں۔ تینوں بار ناکام ہونے کے نتیجے میں باری کا نقصان ہوتا ہے۔")</f>
        <v>ایک کھلاڑی کو عام طور پر گلی کو مارنے کے تین مواقع دیئے جاتے ہیں۔ تینوں بار ناکام ہونے کے نتیجے میں باری کا نقصان ہوتا ہے۔</v>
      </c>
    </row>
    <row r="29">
      <c r="A29" s="4">
        <v>28.0</v>
      </c>
      <c r="B29" s="5" t="s">
        <v>1874</v>
      </c>
      <c r="C29" s="5" t="s">
        <v>1875</v>
      </c>
      <c r="D29" s="5" t="s">
        <v>1876</v>
      </c>
      <c r="E29" s="5" t="s">
        <v>1877</v>
      </c>
      <c r="H29" s="6" t="str">
        <f>IFERROR(__xludf.DUMMYFUNCTION("GOOGLETRANSLATE(A29, ""en"", ""ur"")"),"28")</f>
        <v>28</v>
      </c>
      <c r="I29" s="6" t="str">
        <f>IFERROR(__xludf.DUMMYFUNCTION("GOOGLETRANSLATE(B29, ""en"", ""ur"")"),"اسٹرائیکر کے لیے کیا سزا ہے جس کا پاؤں اپنی جھولی کے دوران نشان زدہ سٹرائیکنگ لائن کو عبور کرتا ہے؟")</f>
        <v>اسٹرائیکر کے لیے کیا سزا ہے جس کا پاؤں اپنی جھولی کے دوران نشان زدہ سٹرائیکنگ لائن کو عبور کرتا ہے؟</v>
      </c>
      <c r="J29" s="6" t="str">
        <f>IFERROR(__xludf.DUMMYFUNCTION("GOOGLETRANSLATE(C29, ""en"", ""ur"")"),"A) نااہلی، B) اس باری کا سکور کالعدم ہو گیا، C) مخالف کو بونس پوائنٹ ملتا ہے، D) باری دوبارہ چلائی جاتی ہے۔")</f>
        <v>A) نااہلی، B) اس باری کا سکور کالعدم ہو گیا، C) مخالف کو بونس پوائنٹ ملتا ہے، D) باری دوبارہ چلائی جاتی ہے۔</v>
      </c>
      <c r="K29" s="6" t="str">
        <f>IFERROR(__xludf.DUMMYFUNCTION("GOOGLETRANSLATE(D29, ""en"", ""ur"")"),"ب) اس موڑ کا سکور کالعدم ہے۔")</f>
        <v>ب) اس موڑ کا سکور کالعدم ہے۔</v>
      </c>
      <c r="L29" s="6" t="str">
        <f>IFERROR(__xludf.DUMMYFUNCTION("GOOGLETRANSLATE(E29, ""en"", ""ur"")"),"کرکٹ کی ""نو بال"" کی طرح، لائن کو اوورسٹی کرنے کے لیے فاؤل کا مطلب ہے کہ اس ہٹ پر بنائے گئے کسی بھی رنز کو شمار نہیں کیا جاتا۔")</f>
        <v>کرکٹ کی "نو بال" کی طرح، لائن کو اوورسٹی کرنے کے لیے فاؤل کا مطلب ہے کہ اس ہٹ پر بنائے گئے کسی بھی رنز کو شمار نہیں کیا جاتا۔</v>
      </c>
    </row>
    <row r="30">
      <c r="A30" s="4">
        <v>29.0</v>
      </c>
      <c r="B30" s="5" t="s">
        <v>1878</v>
      </c>
      <c r="C30" s="5" t="s">
        <v>1879</v>
      </c>
      <c r="D30" s="5" t="s">
        <v>1880</v>
      </c>
      <c r="E30" s="5" t="s">
        <v>1881</v>
      </c>
      <c r="H30" s="6" t="str">
        <f>IFERROR(__xludf.DUMMYFUNCTION("GOOGLETRANSLATE(A30, ""en"", ""ur"")"),"29")</f>
        <v>29</v>
      </c>
      <c r="I30" s="6" t="str">
        <f>IFERROR(__xludf.DUMMYFUNCTION("GOOGLETRANSLATE(B30, ""en"", ""ur"")"),"اگر گلی کو ٹکرایا جائے اور اترنے سے پہلے کسی غیر کھلاڑی یا درخت جیسی چیز سے ٹکرا جائے تو کیا ہوگا؟")</f>
        <v>اگر گلی کو ٹکرایا جائے اور اترنے سے پہلے کسی غیر کھلاڑی یا درخت جیسی چیز سے ٹکرا جائے تو کیا ہوگا؟</v>
      </c>
      <c r="J30" s="6" t="str">
        <f>IFERROR(__xludf.DUMMYFUNCTION("GOOGLETRANSLATE(C30, ""en"", ""ur"")"),"A) مداخلت کی وجہ سے باری دوبارہ چلائی جاتی ہے، B) اس ہٹ کے پوائنٹس آدھے ہو جاتے ہیں، C) اسٹرائیکر خود بخود آؤٹ ہو جاتا ہے، D) ٹرن معمول کے مطابق جاری رہتا ہے۔")</f>
        <v>A) مداخلت کی وجہ سے باری دوبارہ چلائی جاتی ہے، B) اس ہٹ کے پوائنٹس آدھے ہو جاتے ہیں، C) اسٹرائیکر خود بخود آؤٹ ہو جاتا ہے، D) ٹرن معمول کے مطابق جاری رہتا ہے۔</v>
      </c>
      <c r="K30" s="6" t="str">
        <f>IFERROR(__xludf.DUMMYFUNCTION("GOOGLETRANSLATE(D30, ""en"", ""ur"")"),"A) مداخلت کی وجہ سے باری دوبارہ چلائی جاتی ہے۔")</f>
        <v>A) مداخلت کی وجہ سے باری دوبارہ چلائی جاتی ہے۔</v>
      </c>
      <c r="L30" s="6" t="str">
        <f>IFERROR(__xludf.DUMMYFUNCTION("GOOGLETRANSLATE(E30, ""en"", ""ur"")"),"گلی کی پرواز کو متاثر کرنے والے بیرونی عوامل کی وجہ سے رکاوٹ عام طور پر اسٹرائیکر کو دوبارہ چلانے کی اجازت دیتی ہے۔")</f>
        <v>گلی کی پرواز کو متاثر کرنے والے بیرونی عوامل کی وجہ سے رکاوٹ عام طور پر اسٹرائیکر کو دوبارہ چلانے کی اجازت دیتی ہے۔</v>
      </c>
    </row>
    <row r="31">
      <c r="A31" s="4">
        <v>30.0</v>
      </c>
      <c r="B31" s="5" t="s">
        <v>1882</v>
      </c>
      <c r="C31" s="5" t="s">
        <v>1883</v>
      </c>
      <c r="D31" s="5" t="s">
        <v>1884</v>
      </c>
      <c r="E31" s="5" t="s">
        <v>1885</v>
      </c>
      <c r="H31" s="6" t="str">
        <f>IFERROR(__xludf.DUMMYFUNCTION("GOOGLETRANSLATE(A31, ""en"", ""ur"")"),"30")</f>
        <v>30</v>
      </c>
      <c r="I31" s="6" t="str">
        <f>IFERROR(__xludf.DUMMYFUNCTION("GOOGLETRANSLATE(B31, ""en"", ""ur"")"),"گلی ڈنڈا میں براہ راست ہڑتال کیا ہے؟")</f>
        <v>گلی ڈنڈا میں براہ راست ہڑتال کیا ہے؟</v>
      </c>
      <c r="J31" s="6" t="str">
        <f>IFERROR(__xludf.DUMMYFUNCTION("GOOGLETRANSLATE(C31, ""en"", ""ur"")"),"A) بغیر کسی جھٹکے کے ایک ہی حرکت میں گلی کو بالکل زمین سے مارنا، B) جب گلی بالکل سیدھی لائن میں اڑتی ہے، C) جب ڈنڈا ٹوٹ جاتا ہے، D) جب مخالف اسے سیدھا پکڑتا ہے۔")</f>
        <v>A) بغیر کسی جھٹکے کے ایک ہی حرکت میں گلی کو بالکل زمین سے مارنا، B) جب گلی بالکل سیدھی لائن میں اڑتی ہے، C) جب ڈنڈا ٹوٹ جاتا ہے، D) جب مخالف اسے سیدھا پکڑتا ہے۔</v>
      </c>
      <c r="K31" s="6" t="str">
        <f>IFERROR(__xludf.DUMMYFUNCTION("GOOGLETRANSLATE(D31, ""en"", ""ur"")"),"A) بغیر کسی جھٹکے کے ایک ہی حرکت میں گلی کو بالکل زمین سے مارنا")</f>
        <v>A) بغیر کسی جھٹکے کے ایک ہی حرکت میں گلی کو بالکل زمین سے مارنا</v>
      </c>
      <c r="L31" s="6" t="str">
        <f>IFERROR(__xludf.DUMMYFUNCTION("GOOGLETRANSLATE(E31, ""en"", ""ur"")"),"براہ راست ہڑتال ایک جدید اور مشکل تکنیک ہے جہاں گلی کو لانچ کیا جاتا ہے اور ایک ہی سیال جھولے میں مارا جاتا ہے۔")</f>
        <v>براہ راست ہڑتال ایک جدید اور مشکل تکنیک ہے جہاں گلی کو لانچ کیا جاتا ہے اور ایک ہی سیال جھولے میں مارا جاتا ہے۔</v>
      </c>
    </row>
    <row r="32">
      <c r="A32" s="4">
        <v>31.0</v>
      </c>
      <c r="B32" s="5" t="s">
        <v>1886</v>
      </c>
      <c r="C32" s="5" t="s">
        <v>1887</v>
      </c>
      <c r="D32" s="5" t="s">
        <v>1888</v>
      </c>
      <c r="E32" s="5" t="s">
        <v>1889</v>
      </c>
      <c r="H32" s="6" t="str">
        <f>IFERROR(__xludf.DUMMYFUNCTION("GOOGLETRANSLATE(A32, ""en"", ""ur"")"),"31")</f>
        <v>31</v>
      </c>
      <c r="I32" s="6" t="str">
        <f>IFERROR(__xludf.DUMMYFUNCTION("GOOGLETRANSLATE(B32, ""en"", ""ur"")"),"ایک آرام دہ کھیل میں اکثر حملہ کرنے والے پہلے کھلاڑی کا فیصلہ کیسے کیا جاتا ہے؟")</f>
        <v>ایک آرام دہ کھیل میں اکثر حملہ کرنے والے پہلے کھلاڑی کا فیصلہ کیسے کیا جاتا ہے؟</v>
      </c>
      <c r="J32" s="6" t="str">
        <f>IFERROR(__xludf.DUMMYFUNCTION("GOOGLETRANSLATE(C32, ""en"", ""ur"")"),"A) سکے کے ٹاس کے ذریعے، B) باہمی معاہدے سے، C) بے ترتیب انتخاب سے، D) گلی کو پھینک کر اور یہ دیکھ کر کہ یہ کیسے اترتا ہے۔")</f>
        <v>A) سکے کے ٹاس کے ذریعے، B) باہمی معاہدے سے، C) بے ترتیب انتخاب سے، D) گلی کو پھینک کر اور یہ دیکھ کر کہ یہ کیسے اترتا ہے۔</v>
      </c>
      <c r="K32" s="6" t="str">
        <f>IFERROR(__xludf.DUMMYFUNCTION("GOOGLETRANSLATE(D32, ""en"", ""ur"")"),"D) گلی کو پھینک کر اور یہ دیکھنا کہ یہ کیسے اترتا ہے۔")</f>
        <v>D) گلی کو پھینک کر اور یہ دیکھنا کہ یہ کیسے اترتا ہے۔</v>
      </c>
      <c r="L32" s="6" t="str">
        <f>IFERROR(__xludf.DUMMYFUNCTION("GOOGLETRANSLATE(E32, ""en"", ""ur"")"),"کھلاڑی اکثر گلی یا ڈنڈا کے ساتھ ٹاس کرتے ہیں تاکہ یہ طے کیا جا سکے کہ پہلا اسٹرائیکر کون بنے گا۔")</f>
        <v>کھلاڑی اکثر گلی یا ڈنڈا کے ساتھ ٹاس کرتے ہیں تاکہ یہ طے کیا جا سکے کہ پہلا اسٹرائیکر کون بنے گا۔</v>
      </c>
    </row>
    <row r="33">
      <c r="A33" s="4">
        <v>32.0</v>
      </c>
      <c r="B33" s="5" t="s">
        <v>1890</v>
      </c>
      <c r="C33" s="5" t="s">
        <v>1891</v>
      </c>
      <c r="D33" s="5" t="s">
        <v>1892</v>
      </c>
      <c r="E33" s="5" t="s">
        <v>1893</v>
      </c>
      <c r="H33" s="6" t="str">
        <f>IFERROR(__xludf.DUMMYFUNCTION("GOOGLETRANSLATE(A33, ""en"", ""ur"")"),"32")</f>
        <v>32</v>
      </c>
      <c r="I33" s="6" t="str">
        <f>IFERROR(__xludf.DUMMYFUNCTION("GOOGLETRANSLATE(B33, ""en"", ""ur"")"),"گلی ڈنڈا میں 'گھر' یا 'بیس' کی اصطلاح کیا معنی رکھتی ہے؟")</f>
        <v>گلی ڈنڈا میں 'گھر' یا 'بیس' کی اصطلاح کیا معنی رکھتی ہے؟</v>
      </c>
      <c r="J33" s="6" t="str">
        <f>IFERROR(__xludf.DUMMYFUNCTION("GOOGLETRANSLATE(C33, ""en"", ""ur"")"),"A) فیلڈرز کے لیے ایک محفوظ علاقہ، B) ابتدائی دائرہ جہاں گلی کو رکھا گیا ہے، C) اسکورنگ زون، D) مخالف کا علاقہ")</f>
        <v>A) فیلڈرز کے لیے ایک محفوظ علاقہ، B) ابتدائی دائرہ جہاں گلی کو رکھا گیا ہے، C) اسکورنگ زون، D) مخالف کا علاقہ</v>
      </c>
      <c r="K33" s="6" t="str">
        <f>IFERROR(__xludf.DUMMYFUNCTION("GOOGLETRANSLATE(D33, ""en"", ""ur"")"),"ب) ابتدائی دائرہ جہاں گلی کو رکھا گیا ہے۔")</f>
        <v>ب) ابتدائی دائرہ جہاں گلی کو رکھا گیا ہے۔</v>
      </c>
      <c r="L33" s="6" t="str">
        <f>IFERROR(__xludf.DUMMYFUNCTION("GOOGLETRANSLATE(E33, ""en"", ""ur"")"),"""ہوم"" ایک سٹرائیکنگ پوائنٹ ہے، جسے فیلڈر کو اسٹرائیکر کو آؤٹ کرنے کے لیے گلی سے مارنا پڑ سکتا ہے۔")</f>
        <v>"ہوم" ایک سٹرائیکنگ پوائنٹ ہے، جسے فیلڈر کو اسٹرائیکر کو آؤٹ کرنے کے لیے گلی سے مارنا پڑ سکتا ہے۔</v>
      </c>
    </row>
    <row r="34">
      <c r="A34" s="4">
        <v>33.0</v>
      </c>
      <c r="B34" s="5" t="s">
        <v>1894</v>
      </c>
      <c r="C34" s="5" t="s">
        <v>1895</v>
      </c>
      <c r="D34" s="5" t="s">
        <v>1896</v>
      </c>
      <c r="E34" s="5" t="s">
        <v>1897</v>
      </c>
      <c r="H34" s="6" t="str">
        <f>IFERROR(__xludf.DUMMYFUNCTION("GOOGLETRANSLATE(A34, ""en"", ""ur"")"),"33")</f>
        <v>33</v>
      </c>
      <c r="I34" s="6" t="str">
        <f>IFERROR(__xludf.DUMMYFUNCTION("GOOGLETRANSLATE(B34, ""en"", ""ur"")"),"فیلڈنگ ٹیم کا بنیادی مقصد کیا ہے؟")</f>
        <v>فیلڈنگ ٹیم کا بنیادی مقصد کیا ہے؟</v>
      </c>
      <c r="J34" s="6" t="str">
        <f>IFERROR(__xludf.DUMMYFUNCTION("GOOGLETRANSLATE(C34, ""en"", ""ur"")"),"A) اپنے پوائنٹس اسکور کرنے کے لیے، B) اسٹرائیکر کو زیادہ اسکور کرنے سے روکنے کے لیے، C) گلی کے لیے جال بچھانے کے لیے، D) گلی کو پکڑ کر یا ڈنڈا مار کر اسٹرائیکر کو آؤٹ کرنا")</f>
        <v>A) اپنے پوائنٹس اسکور کرنے کے لیے، B) اسٹرائیکر کو زیادہ اسکور کرنے سے روکنے کے لیے، C) گلی کے لیے جال بچھانے کے لیے، D) گلی کو پکڑ کر یا ڈنڈا مار کر اسٹرائیکر کو آؤٹ کرنا</v>
      </c>
      <c r="K34" s="6" t="str">
        <f>IFERROR(__xludf.DUMMYFUNCTION("GOOGLETRANSLATE(D34, ""en"", ""ur"")"),"D) گلی کو پکڑ کر یا ڈنڈا مار کر اسٹرائیکر کو آؤٹ کرنا")</f>
        <v>D) گلی کو پکڑ کر یا ڈنڈا مار کر اسٹرائیکر کو آؤٹ کرنا</v>
      </c>
      <c r="L34" s="6" t="str">
        <f>IFERROR(__xludf.DUMMYFUNCTION("GOOGLETRANSLATE(E34, ""en"", ""ur"")"),"فیلڈنگ ٹیم کا بنیادی ہدف مقررہ طریقوں میں سے کسی ایک طریقے سے اسٹرائیکر کو آؤٹ کرنا ہے۔")</f>
        <v>فیلڈنگ ٹیم کا بنیادی ہدف مقررہ طریقوں میں سے کسی ایک طریقے سے اسٹرائیکر کو آؤٹ کرنا ہے۔</v>
      </c>
    </row>
    <row r="35">
      <c r="A35" s="4">
        <v>34.0</v>
      </c>
      <c r="B35" s="5" t="s">
        <v>1898</v>
      </c>
      <c r="C35" s="5" t="s">
        <v>1899</v>
      </c>
      <c r="D35" s="5" t="s">
        <v>1900</v>
      </c>
      <c r="E35" s="5" t="s">
        <v>1901</v>
      </c>
      <c r="H35" s="6" t="str">
        <f>IFERROR(__xludf.DUMMYFUNCTION("GOOGLETRANSLATE(A35, ""en"", ""ur"")"),"34")</f>
        <v>34</v>
      </c>
      <c r="I35" s="6" t="str">
        <f>IFERROR(__xludf.DUMMYFUNCTION("GOOGLETRANSLATE(B35, ""en"", ""ur"")"),"کھیل کے حتمی فاتح کا فیصلہ کیسے ہوتا ہے؟")</f>
        <v>کھیل کے حتمی فاتح کا فیصلہ کیسے ہوتا ہے؟</v>
      </c>
      <c r="J35" s="6" t="str">
        <f>IFERROR(__xludf.DUMMYFUNCTION("GOOGLETRANSLATE(C35, ""en"", ""ur"")"),"A) کھیل کی واحد طویل ترین ہٹ کے ذریعے، B) سب سے زیادہ مجموعی سکور والے کھلاڑی یا ٹیم کے ذریعے، C) اس کھلاڑی کے ذریعے جو کبھی آؤٹ نہیں ہوتا، D) سامعین کے ووٹ سے")</f>
        <v>A) کھیل کی واحد طویل ترین ہٹ کے ذریعے، B) سب سے زیادہ مجموعی سکور والے کھلاڑی یا ٹیم کے ذریعے، C) اس کھلاڑی کے ذریعے جو کبھی آؤٹ نہیں ہوتا، D) سامعین کے ووٹ سے</v>
      </c>
      <c r="K35" s="6" t="str">
        <f>IFERROR(__xludf.DUMMYFUNCTION("GOOGLETRANSLATE(D35, ""en"", ""ur"")"),"ب) سب سے زیادہ مجموعی سکور کے ساتھ کھلاڑی یا ٹیم کے ذریعے")</f>
        <v>ب) سب سے زیادہ مجموعی سکور کے ساتھ کھلاڑی یا ٹیم کے ذریعے</v>
      </c>
      <c r="L35" s="6" t="str">
        <f>IFERROR(__xludf.DUMMYFUNCTION("GOOGLETRANSLATE(E35, ""en"", ""ur"")"),"فاتح وہی ہے جس نے کھیل کے دوران ڈنڈا کی لمبائی میں ماپا سب سے زیادہ پوائنٹس اکٹھے کیے ہیں۔")</f>
        <v>فاتح وہی ہے جس نے کھیل کے دوران ڈنڈا کی لمبائی میں ماپا سب سے زیادہ پوائنٹس اکٹھے کیے ہیں۔</v>
      </c>
    </row>
    <row r="36">
      <c r="A36" s="4">
        <v>35.0</v>
      </c>
      <c r="B36" s="5" t="s">
        <v>1902</v>
      </c>
      <c r="C36" s="5" t="s">
        <v>1903</v>
      </c>
      <c r="D36" s="5" t="s">
        <v>1904</v>
      </c>
      <c r="E36" s="5" t="s">
        <v>1905</v>
      </c>
      <c r="H36" s="6" t="str">
        <f>IFERROR(__xludf.DUMMYFUNCTION("GOOGLETRANSLATE(A36, ""en"", ""ur"")"),"35")</f>
        <v>35</v>
      </c>
      <c r="I36" s="6" t="str">
        <f>IFERROR(__xludf.DUMMYFUNCTION("GOOGLETRANSLATE(B36, ""en"", ""ur"")"),"گلی ڈنڈا کے کھلاڑیوں کی عمر کا عام گروپ کیا ہے؟")</f>
        <v>گلی ڈنڈا کے کھلاڑیوں کی عمر کا عام گروپ کیا ہے؟</v>
      </c>
      <c r="J36" s="6" t="str">
        <f>IFERROR(__xludf.DUMMYFUNCTION("GOOGLETRANSLATE(C36, ""en"", ""ur"")"),"A) صرف 10 سال سے کم عمر کے بچے، B) صرف 30 سال سے زیادہ عمر کے بالغ، C) یہ تمام عمر کے گروپ کھیلتے ہیں، D) صرف نوعمر افراد")</f>
        <v>A) صرف 10 سال سے کم عمر کے بچے، B) صرف 30 سال سے زیادہ عمر کے بالغ، C) یہ تمام عمر کے گروپ کھیلتے ہیں، D) صرف نوعمر افراد</v>
      </c>
      <c r="K36" s="6" t="str">
        <f>IFERROR(__xludf.DUMMYFUNCTION("GOOGLETRANSLATE(D36, ""en"", ""ur"")"),"C) یہ تمام عمر کے گروپوں کے ذریعہ کھیلا جاتا ہے۔")</f>
        <v>C) یہ تمام عمر کے گروپوں کے ذریعہ کھیلا جاتا ہے۔</v>
      </c>
      <c r="L36" s="6" t="str">
        <f>IFERROR(__xludf.DUMMYFUNCTION("GOOGLETRANSLATE(E36, ""en"", ""ur"")"),"گلی ڈنڈا ایک ورسٹائل اور روایتی اسٹریٹ گیم ہے جو پورے جنوبی ایشیا میں بچوں اور بڑوں کو یکساں پسند ہے۔")</f>
        <v>گلی ڈنڈا ایک ورسٹائل اور روایتی اسٹریٹ گیم ہے جو پورے جنوبی ایشیا میں بچوں اور بڑوں کو یکساں پسند ہے۔</v>
      </c>
    </row>
    <row r="37">
      <c r="A37" s="4">
        <v>36.0</v>
      </c>
      <c r="B37" s="5" t="s">
        <v>1906</v>
      </c>
      <c r="C37" s="5" t="s">
        <v>1907</v>
      </c>
      <c r="D37" s="5" t="s">
        <v>1908</v>
      </c>
      <c r="E37" s="5" t="s">
        <v>1909</v>
      </c>
      <c r="H37" s="6" t="str">
        <f>IFERROR(__xludf.DUMMYFUNCTION("GOOGLETRANSLATE(A37, ""en"", ""ur"")"),"36")</f>
        <v>36</v>
      </c>
      <c r="I37" s="6" t="str">
        <f>IFERROR(__xludf.DUMMYFUNCTION("GOOGLETRANSLATE(B37, ""en"", ""ur"")"),"گلی ڈنڈا فیلڈر کے لیے کون سی مہارت سب سے کم ضروری ہے؟")</f>
        <v>گلی ڈنڈا فیلڈر کے لیے کون سی مہارت سب سے کم ضروری ہے؟</v>
      </c>
      <c r="J37" s="6" t="str">
        <f>IFERROR(__xludf.DUMMYFUNCTION("GOOGLETRANSLATE(C37, ""en"", ""ur"")"),"A) چستی، B) پھینکنے کی درستگی، C) پکڑنا، D) خام طاقت")</f>
        <v>A) چستی، B) پھینکنے کی درستگی، C) پکڑنا، D) خام طاقت</v>
      </c>
      <c r="K37" s="6" t="str">
        <f>IFERROR(__xludf.DUMMYFUNCTION("GOOGLETRANSLATE(D37, ""en"", ""ur"")"),"D) خام طاقت")</f>
        <v>D) خام طاقت</v>
      </c>
      <c r="L37" s="6" t="str">
        <f>IFERROR(__xludf.DUMMYFUNCTION("GOOGLETRANSLATE(E37, ""en"", ""ur"")"),"مددگار ہونے کے باوجود، خام طاقت فیلڈر کے لیے چستی، پکڑنے کے لیے اچھے ہاتھ، اور مضبوط، درست بازو سے کم اہم ہے۔")</f>
        <v>مددگار ہونے کے باوجود، خام طاقت فیلڈر کے لیے چستی، پکڑنے کے لیے اچھے ہاتھ، اور مضبوط، درست بازو سے کم اہم ہے۔</v>
      </c>
    </row>
    <row r="38">
      <c r="A38" s="4">
        <v>37.0</v>
      </c>
      <c r="B38" s="5" t="s">
        <v>1910</v>
      </c>
      <c r="C38" s="5" t="s">
        <v>1911</v>
      </c>
      <c r="D38" s="5" t="s">
        <v>1912</v>
      </c>
      <c r="E38" s="5" t="s">
        <v>1913</v>
      </c>
      <c r="H38" s="6" t="str">
        <f>IFERROR(__xludf.DUMMYFUNCTION("GOOGLETRANSLATE(A38, ""en"", ""ur"")"),"37")</f>
        <v>37</v>
      </c>
      <c r="I38" s="6" t="str">
        <f>IFERROR(__xludf.DUMMYFUNCTION("GOOGLETRANSLATE(B38, ""en"", ""ur"")"),"گلی ڈنڈا میں 'ڈبل ہٹ' کیا ہے؟")</f>
        <v>گلی ڈنڈا میں 'ڈبل ہٹ' کیا ہے؟</v>
      </c>
      <c r="J38" s="6" t="str">
        <f>IFERROR(__xludf.DUMMYFUNCTION("GOOGLETRANSLATE(C38, ""en"", ""ur"")"),"A) گلی کو ایک ہی موڑ پر دو بار مارنا، B) ایک ہٹ پر دو بار سکور کرنا، C) دو کیچ بنانے والا مخالف، D) گیلی مارنے سے پہلے دو بار اچھالنا")</f>
        <v>A) گلی کو ایک ہی موڑ پر دو بار مارنا، B) ایک ہٹ پر دو بار سکور کرنا، C) دو کیچ بنانے والا مخالف، D) گیلی مارنے سے پہلے دو بار اچھالنا</v>
      </c>
      <c r="K38" s="6" t="str">
        <f>IFERROR(__xludf.DUMMYFUNCTION("GOOGLETRANSLATE(D38, ""en"", ""ur"")"),"A) ایک ہی موڑ پر دو بار گلی کو مارنا")</f>
        <v>A) ایک ہی موڑ پر دو بار گلی کو مارنا</v>
      </c>
      <c r="L38" s="6" t="str">
        <f>IFERROR(__xludf.DUMMYFUNCTION("GOOGLETRANSLATE(E38, ""en"", ""ur"")"),"یہ کھیل کے معیاری طریقہ سے مراد ہے: پہلی ہٹ گلی کو ہوا میں اڑا دیتی ہے، اور دوسری ہٹ اسے فاصلے پر مارتی ہے۔")</f>
        <v>یہ کھیل کے معیاری طریقہ سے مراد ہے: پہلی ہٹ گلی کو ہوا میں اڑا دیتی ہے، اور دوسری ہٹ اسے فاصلے پر مارتی ہے۔</v>
      </c>
    </row>
    <row r="39">
      <c r="A39" s="4">
        <v>38.0</v>
      </c>
      <c r="B39" s="5" t="s">
        <v>1914</v>
      </c>
      <c r="C39" s="5" t="s">
        <v>1915</v>
      </c>
      <c r="D39" s="5" t="s">
        <v>1916</v>
      </c>
      <c r="E39" s="5" t="s">
        <v>1917</v>
      </c>
      <c r="H39" s="6" t="str">
        <f>IFERROR(__xludf.DUMMYFUNCTION("GOOGLETRANSLATE(A39, ""en"", ""ur"")"),"38")</f>
        <v>38</v>
      </c>
      <c r="I39" s="6" t="str">
        <f>IFERROR(__xludf.DUMMYFUNCTION("GOOGLETRANSLATE(B39, ""en"", ""ur"")"),"اسٹرائیکر کو کیا کرنا چاہیے اگر گلی کسی مخالف کے بہت قریب پہنچ جائے؟")</f>
        <v>اسٹرائیکر کو کیا کرنا چاہیے اگر گلی کسی مخالف کے بہت قریب پہنچ جائے؟</v>
      </c>
      <c r="J39" s="6" t="str">
        <f>IFERROR(__xludf.DUMMYFUNCTION("GOOGLETRANSLATE(C39, ""en"", ""ur"")"),"A) فوری طور پر موڑ قبول کریں، B) گیلی کی طرف دوڑیں اس سے پہلے کہ مخالف اسے پھینک سکے، C) ان کی اگلی باری کا انتظار کریں، D) دفاعی انداز میں کھیلیں")</f>
        <v>A) فوری طور پر موڑ قبول کریں، B) گیلی کی طرف دوڑیں اس سے پہلے کہ مخالف اسے پھینک سکے، C) ان کی اگلی باری کا انتظار کریں، D) دفاعی انداز میں کھیلیں</v>
      </c>
      <c r="K39" s="6" t="str">
        <f>IFERROR(__xludf.DUMMYFUNCTION("GOOGLETRANSLATE(D39, ""en"", ""ur"")"),"ب) گلی کی طرف بھاگیں اس سے پہلے کہ مخالف اسے پھینک سکے۔")</f>
        <v>ب) گلی کی طرف بھاگیں اس سے پہلے کہ مخالف اسے پھینک سکے۔</v>
      </c>
      <c r="L39" s="6" t="str">
        <f>IFERROR(__xludf.DUMMYFUNCTION("GOOGLETRANSLATE(E39, ""en"", ""ur"")"),"کچھ ورژن میں، اسٹرائیکر فیلڈر سے پہلے گلی کے لینڈنگ اسپاٹ تک پہنچنے کی کوشش کر سکتا ہے تاکہ اسے ڈنڈا پر آسان تھرو حاصل کرنے سے روکا جا سکے۔")</f>
        <v>کچھ ورژن میں، اسٹرائیکر فیلڈر سے پہلے گلی کے لینڈنگ اسپاٹ تک پہنچنے کی کوشش کر سکتا ہے تاکہ اسے ڈنڈا پر آسان تھرو حاصل کرنے سے روکا جا سکے۔</v>
      </c>
    </row>
    <row r="40">
      <c r="A40" s="4">
        <v>39.0</v>
      </c>
      <c r="B40" s="5" t="s">
        <v>1918</v>
      </c>
      <c r="C40" s="5" t="s">
        <v>1919</v>
      </c>
      <c r="D40" s="5" t="s">
        <v>1920</v>
      </c>
      <c r="E40" s="5" t="s">
        <v>1921</v>
      </c>
      <c r="H40" s="6" t="str">
        <f>IFERROR(__xludf.DUMMYFUNCTION("GOOGLETRANSLATE(A40, ""en"", ""ur"")"),"39")</f>
        <v>39</v>
      </c>
      <c r="I40" s="6" t="str">
        <f>IFERROR(__xludf.DUMMYFUNCTION("GOOGLETRANSLATE(B40, ""en"", ""ur"")"),"گلی ڈنڈا عام طور پر ٹیموں میں کیسے کھیلا جاتا ہے؟")</f>
        <v>گلی ڈنڈا عام طور پر ٹیموں میں کیسے کھیلا جاتا ہے؟</v>
      </c>
      <c r="J40" s="6" t="str">
        <f>IFERROR(__xludf.DUMMYFUNCTION("GOOGLETRANSLATE(C40, ""en"", ""ur"")"),"A) ""ہٹر"" اور ""کیچر"" جیسے تفویض کردہ کرداروں کے ساتھ، B) ہر ٹیم کے کھلاڑی ایک مقررہ ترتیب میں باری باری مارتے ہیں، C) ٹیم کے ارکان میں ضربوں کی تعداد کو تقسیم کر کے، D) کھلاڑیوں کے درمیان باری باری رنز بنا کر")</f>
        <v>A) "ہٹر" اور "کیچر" جیسے تفویض کردہ کرداروں کے ساتھ، B) ہر ٹیم کے کھلاڑی ایک مقررہ ترتیب میں باری باری مارتے ہیں، C) ٹیم کے ارکان میں ضربوں کی تعداد کو تقسیم کر کے، D) کھلاڑیوں کے درمیان باری باری رنز بنا کر</v>
      </c>
      <c r="K40" s="6" t="str">
        <f>IFERROR(__xludf.DUMMYFUNCTION("GOOGLETRANSLATE(D40, ""en"", ""ur"")"),"ب) ہر ٹیم کے کھلاڑی ایک مقررہ ترتیب میں باری باری مارتے ہیں۔")</f>
        <v>ب) ہر ٹیم کے کھلاڑی ایک مقررہ ترتیب میں باری باری مارتے ہیں۔</v>
      </c>
      <c r="L40" s="6" t="str">
        <f>IFERROR(__xludf.DUMMYFUNCTION("GOOGLETRANSLATE(E40, ""en"", ""ur"")"),"ٹیم پلے میں، سٹرائیکنگ ٹیم کے ممبروں کے درمیان موڑ گھمایا جاتا ہے جب تک کہ سب آؤٹ نہ ہو جائیں، پھر ٹیمیں رولز تبدیل کر دیتی ہیں۔")</f>
        <v>ٹیم پلے میں، سٹرائیکنگ ٹیم کے ممبروں کے درمیان موڑ گھمایا جاتا ہے جب تک کہ سب آؤٹ نہ ہو جائیں، پھر ٹیمیں رولز تبدیل کر دیتی ہیں۔</v>
      </c>
    </row>
    <row r="41">
      <c r="A41" s="4">
        <v>40.0</v>
      </c>
      <c r="B41" s="5" t="s">
        <v>1922</v>
      </c>
      <c r="C41" s="5" t="s">
        <v>1923</v>
      </c>
      <c r="D41" s="5" t="s">
        <v>1924</v>
      </c>
      <c r="E41" s="5" t="s">
        <v>1925</v>
      </c>
      <c r="H41" s="6" t="str">
        <f>IFERROR(__xludf.DUMMYFUNCTION("GOOGLETRANSLATE(A41, ""en"", ""ur"")"),"40")</f>
        <v>40</v>
      </c>
      <c r="I41" s="6" t="str">
        <f>IFERROR(__xludf.DUMMYFUNCTION("GOOGLETRANSLATE(B41, ""en"", ""ur"")"),"گلی ڈنڈا کے عام کھیل میں جھگڑے کی سب سے عام وجہ کیا ہے؟")</f>
        <v>گلی ڈنڈا کے عام کھیل میں جھگڑے کی سب سے عام وجہ کیا ہے؟</v>
      </c>
      <c r="J41" s="6" t="str">
        <f>IFERROR(__xludf.DUMMYFUNCTION("GOOGLETRANSLATE(C41, ""en"", ""ur"")"),"A) سامان ٹوٹنا، B) فاصلے کی پیمائش پر اختلاف، C) کھلاڑی کی چوٹیں، D) موسم")</f>
        <v>A) سامان ٹوٹنا، B) فاصلے کی پیمائش پر اختلاف، C) کھلاڑی کی چوٹیں، D) موسم</v>
      </c>
      <c r="K41" s="6" t="str">
        <f>IFERROR(__xludf.DUMMYFUNCTION("GOOGLETRANSLATE(D41, ""en"", ""ur"")"),"ب) فاصلے کی پیمائش پر اختلاف")</f>
        <v>ب) فاصلے کی پیمائش پر اختلاف</v>
      </c>
      <c r="L41" s="6" t="str">
        <f>IFERROR(__xludf.DUMMYFUNCTION("GOOGLETRANSLATE(E41, ""en"", ""ur"")"),"چونکہ اسکورنگ کی پیمائش ڈنڈا کو بطور حکمران استعمال کرکے کی جاتی ہے، اس لیے درست گنتی پر بحثیں بہت عام ہیں۔")</f>
        <v>چونکہ اسکورنگ کی پیمائش ڈنڈا کو بطور حکمران استعمال کرکے کی جاتی ہے، اس لیے درست گنتی پر بحثیں بہت عام ہیں۔</v>
      </c>
    </row>
    <row r="42">
      <c r="A42" s="4">
        <v>41.0</v>
      </c>
      <c r="B42" s="5" t="s">
        <v>1926</v>
      </c>
      <c r="C42" s="5" t="s">
        <v>1927</v>
      </c>
      <c r="D42" s="5" t="s">
        <v>1928</v>
      </c>
      <c r="E42" s="5" t="s">
        <v>1929</v>
      </c>
      <c r="H42" s="6" t="str">
        <f>IFERROR(__xludf.DUMMYFUNCTION("GOOGLETRANSLATE(A42, ""en"", ""ur"")"),"41")</f>
        <v>41</v>
      </c>
      <c r="I42" s="6" t="str">
        <f>IFERROR(__xludf.DUMMYFUNCTION("GOOGLETRANSLATE(B42, ""en"", ""ur"")"),"اگر گلی کے درمیانی ہوا میں دو ٹکڑے ہو جائیں تو غیر رسمی کھیل میں کیا حکم ہے؟")</f>
        <v>اگر گلی کے درمیانی ہوا میں دو ٹکڑے ہو جائیں تو غیر رسمی کھیل میں کیا حکم ہے؟</v>
      </c>
      <c r="J42" s="6" t="str">
        <f>IFERROR(__xludf.DUMMYFUNCTION("GOOGLETRANSLATE(C42, ""en"", ""ur"")"),"A) اسٹرائیکر زیادہ سے زیادہ پوائنٹس اسکور کرتا ہے، B) باری کو ایک نئی گلی کے ساتھ دوبارہ چلایا جاتا ہے، C) حریف خود بخود ٹرن جیت جاتا ہے، D) بڑا ٹکڑا وہ ہوتا ہے جس کی پیمائش کی جاتی ہے۔")</f>
        <v>A) اسٹرائیکر زیادہ سے زیادہ پوائنٹس اسکور کرتا ہے، B) باری کو ایک نئی گلی کے ساتھ دوبارہ چلایا جاتا ہے، C) حریف خود بخود ٹرن جیت جاتا ہے، D) بڑا ٹکڑا وہ ہوتا ہے جس کی پیمائش کی جاتی ہے۔</v>
      </c>
      <c r="K42" s="6" t="str">
        <f>IFERROR(__xludf.DUMMYFUNCTION("GOOGLETRANSLATE(D42, ""en"", ""ur"")"),"ب) باری کو ایک نئی گلی کے ساتھ دوبارہ چلایا جاتا ہے۔")</f>
        <v>ب) باری کو ایک نئی گلی کے ساتھ دوبارہ چلایا جاتا ہے۔</v>
      </c>
      <c r="L42" s="6" t="str">
        <f>IFERROR(__xludf.DUMMYFUNCTION("GOOGLETRANSLATE(E42, ""en"", ""ur"")"),"چونکہ کوئی آفیشل آفیشل اصول نہیں ہیں، اس لیے سب سے منصفانہ اور عام نتیجہ ہڑتال کو کالعدم قرار دینا اور باری کو دوبارہ چلانا ہے۔")</f>
        <v>چونکہ کوئی آفیشل آفیشل اصول نہیں ہیں، اس لیے سب سے منصفانہ اور عام نتیجہ ہڑتال کو کالعدم قرار دینا اور باری کو دوبارہ چلانا ہے۔</v>
      </c>
    </row>
    <row r="43">
      <c r="A43" s="4">
        <v>42.0</v>
      </c>
      <c r="B43" s="5" t="s">
        <v>1930</v>
      </c>
      <c r="C43" s="5" t="s">
        <v>1931</v>
      </c>
      <c r="D43" s="5" t="s">
        <v>1932</v>
      </c>
      <c r="E43" s="5" t="s">
        <v>1933</v>
      </c>
      <c r="H43" s="6" t="str">
        <f>IFERROR(__xludf.DUMMYFUNCTION("GOOGLETRANSLATE(A43, ""en"", ""ur"")"),"42")</f>
        <v>42</v>
      </c>
      <c r="I43" s="6" t="str">
        <f>IFERROR(__xludf.DUMMYFUNCTION("GOOGLETRANSLATE(B43, ""en"", ""ur"")"),"کچھ تغیرات میں، گلی کو ہوا میں کئی بار جگانے سے اسٹرائیکر کو کیا فائدہ ہوتا ہے؟")</f>
        <v>کچھ تغیرات میں، گلی کو ہوا میں کئی بار جگانے سے اسٹرائیکر کو کیا فائدہ ہوتا ہے؟</v>
      </c>
      <c r="J43" s="6" t="str">
        <f>IFERROR(__xludf.DUMMYFUNCTION("GOOGLETRANSLATE(C43, ""en"", ""ur"")"),"A) انہیں فاصلہ طے کرنے کے اضافی مواقع ملتے ہیں، B) انہیں مہارت کے لیے بونس پوائنٹس دیئے جاتے ہیں، C) حریف پکڑنے کا موقع کھو دیتا ہے، D) باری دوبارہ ترتیب دی جاتی ہے۔")</f>
        <v>A) انہیں فاصلہ طے کرنے کے اضافی مواقع ملتے ہیں، B) انہیں مہارت کے لیے بونس پوائنٹس دیئے جاتے ہیں، C) حریف پکڑنے کا موقع کھو دیتا ہے، D) باری دوبارہ ترتیب دی جاتی ہے۔</v>
      </c>
      <c r="K43" s="6" t="str">
        <f>IFERROR(__xludf.DUMMYFUNCTION("GOOGLETRANSLATE(D43, ""en"", ""ur"")"),"ا) انہیں فاصلہ طے کرنے کے اضافی مواقع ملتے ہیں۔")</f>
        <v>ا) انہیں فاصلہ طے کرنے کے اضافی مواقع ملتے ہیں۔</v>
      </c>
      <c r="L43" s="6" t="str">
        <f>IFERROR(__xludf.DUMMYFUNCTION("GOOGLETRANSLATE(E43, ""en"", ""ur"")"),"ہنر مند جگلنگ کھلاڑی کو گلی کو ہوا میں رکھنے کی اجازت دیتی ہے، جس سے انہیں بہترین شاٹ لینے کے مزید مواقع ملتے ہیں۔")</f>
        <v>ہنر مند جگلنگ کھلاڑی کو گلی کو ہوا میں رکھنے کی اجازت دیتی ہے، جس سے انہیں بہترین شاٹ لینے کے مزید مواقع ملتے ہیں۔</v>
      </c>
    </row>
    <row r="44">
      <c r="A44" s="4">
        <v>43.0</v>
      </c>
      <c r="B44" s="5" t="s">
        <v>1934</v>
      </c>
      <c r="C44" s="5" t="s">
        <v>1935</v>
      </c>
      <c r="D44" s="5" t="s">
        <v>1936</v>
      </c>
      <c r="E44" s="5" t="s">
        <v>1937</v>
      </c>
      <c r="H44" s="6" t="str">
        <f>IFERROR(__xludf.DUMMYFUNCTION("GOOGLETRANSLATE(A44, ""en"", ""ur"")"),"43")</f>
        <v>43</v>
      </c>
      <c r="I44" s="6" t="str">
        <f>IFERROR(__xludf.DUMMYFUNCTION("GOOGLETRANSLATE(B44, ""en"", ""ur"")"),"پاکستان میں شہری کھیلوں میں گلی کو بہت زیادہ مارنے کا سب سے بڑا خطرہ کیا ہے؟")</f>
        <v>پاکستان میں شہری کھیلوں میں گلی کو بہت زیادہ مارنے کا سب سے بڑا خطرہ کیا ہے؟</v>
      </c>
      <c r="J44" s="6" t="str">
        <f>IFERROR(__xludf.DUMMYFUNCTION("GOOGLETRANSLATE(C44, ""en"", ""ur"")"),"A) یہ ایک خودکار آؤٹ ہے، B) اوور ہیڈ بجلی کی تاروں سے ٹکرانا یا چھت پر اترنا، C) اسٹرائیکر اپنی باری کھو دیتا ہے، D) ہڑتال کو دوبارہ بجانا ضروری ہے۔")</f>
        <v>A) یہ ایک خودکار آؤٹ ہے، B) اوور ہیڈ بجلی کی تاروں سے ٹکرانا یا چھت پر اترنا، C) اسٹرائیکر اپنی باری کھو دیتا ہے، D) ہڑتال کو دوبارہ بجانا ضروری ہے۔</v>
      </c>
      <c r="K44" s="6" t="str">
        <f>IFERROR(__xludf.DUMMYFUNCTION("GOOGLETRANSLATE(D44, ""en"", ""ur"")"),"ب) اوور ہیڈ بجلی کی تاروں سے ٹکرانا یا چھت پر اترنا")</f>
        <v>ب) اوور ہیڈ بجلی کی تاروں سے ٹکرانا یا چھت پر اترنا</v>
      </c>
      <c r="L44" s="6" t="str">
        <f>IFERROR(__xludf.DUMMYFUNCTION("GOOGLETRANSLATE(E44, ""en"", ""ur"")"),"پاکستان کے پرہجوم قصبوں اور شہروں میں، ایک اونچی اڑتی گلی اکثر چھتوں پر کھو جاتی ہے یا اوور ہیڈ تاروں میں الجھ جاتی ہے۔")</f>
        <v>پاکستان کے پرہجوم قصبوں اور شہروں میں، ایک اونچی اڑتی گلی اکثر چھتوں پر کھو جاتی ہے یا اوور ہیڈ تاروں میں الجھ جاتی ہے۔</v>
      </c>
    </row>
    <row r="45">
      <c r="A45" s="4">
        <v>44.0</v>
      </c>
      <c r="B45" s="5" t="s">
        <v>1938</v>
      </c>
      <c r="C45" s="5" t="s">
        <v>1939</v>
      </c>
      <c r="D45" s="5" t="s">
        <v>1940</v>
      </c>
      <c r="E45" s="5" t="s">
        <v>1941</v>
      </c>
      <c r="H45" s="6" t="str">
        <f>IFERROR(__xludf.DUMMYFUNCTION("GOOGLETRANSLATE(A45, ""en"", ""ur"")"),"44")</f>
        <v>44</v>
      </c>
      <c r="I45" s="6" t="str">
        <f>IFERROR(__xludf.DUMMYFUNCTION("GOOGLETRANSLATE(B45, ""en"", ""ur"")"),"فیلڈنگ ٹیم کے لیے اسٹرائیکر کے آؤٹ ہونے کے امکانات کو زیادہ سے زیادہ کرنے کے لیے بہترین حکمت عملی کیا ہے؟")</f>
        <v>فیلڈنگ ٹیم کے لیے اسٹرائیکر کے آؤٹ ہونے کے امکانات کو زیادہ سے زیادہ کرنے کے لیے بہترین حکمت عملی کیا ہے؟</v>
      </c>
      <c r="J45" s="6" t="str">
        <f>IFERROR(__xludf.DUMMYFUNCTION("GOOGLETRANSLATE(C45, ""en"", ""ur"")"),"A) تمام فیلڈرز اسٹرائیکر کے بہت قریب کھڑے ہوتے ہیں، B) فیلڈرز زیادہ رقبہ کو ڈھانپنے کے لیے پورے میدان میں پھیل جاتے ہیں، C) تمام فیلڈرز اسٹرائیکر کے دوڑتے وقت ان کا پیچھا کرتے ہیں، D) تمام فیلڈرز ""ہوم"" بیس کی حفاظت کرتے ہیں۔")</f>
        <v>A) تمام فیلڈرز اسٹرائیکر کے بہت قریب کھڑے ہوتے ہیں، B) فیلڈرز زیادہ رقبہ کو ڈھانپنے کے لیے پورے میدان میں پھیل جاتے ہیں، C) تمام فیلڈرز اسٹرائیکر کے دوڑتے وقت ان کا پیچھا کرتے ہیں، D) تمام فیلڈرز "ہوم" بیس کی حفاظت کرتے ہیں۔</v>
      </c>
      <c r="K45" s="6" t="str">
        <f>IFERROR(__xludf.DUMMYFUNCTION("GOOGLETRANSLATE(D45, ""en"", ""ur"")"),"ب) فیلڈرز زیادہ رقبہ کو ڈھانپنے کے لیے پورے میدان میں پھیل جاتے ہیں۔")</f>
        <v>ب) فیلڈرز زیادہ رقبہ کو ڈھانپنے کے لیے پورے میدان میں پھیل جاتے ہیں۔</v>
      </c>
      <c r="L45" s="6" t="str">
        <f>IFERROR(__xludf.DUMMYFUNCTION("GOOGLETRANSLATE(E45, ""en"", ""ur"")"),"ایک وسیع، پھیلا ہوا فیلڈ پلیسمنٹ زیادہ زمین کا احاطہ کرتا ہے اور اس امکان کو بڑھاتا ہے کہ کوئی گلی کو پکڑنے کی پوزیشن میں ہو گا۔")</f>
        <v>ایک وسیع، پھیلا ہوا فیلڈ پلیسمنٹ زیادہ زمین کا احاطہ کرتا ہے اور اس امکان کو بڑھاتا ہے کہ کوئی گلی کو پکڑنے کی پوزیشن میں ہو گا۔</v>
      </c>
    </row>
    <row r="46">
      <c r="A46" s="4">
        <v>45.0</v>
      </c>
      <c r="B46" s="5" t="s">
        <v>1942</v>
      </c>
      <c r="C46" s="5" t="s">
        <v>1943</v>
      </c>
      <c r="D46" s="5" t="s">
        <v>1944</v>
      </c>
      <c r="E46" s="5" t="s">
        <v>1945</v>
      </c>
      <c r="H46" s="6" t="str">
        <f>IFERROR(__xludf.DUMMYFUNCTION("GOOGLETRANSLATE(A46, ""en"", ""ur"")"),"45")</f>
        <v>45</v>
      </c>
      <c r="I46" s="6" t="str">
        <f>IFERROR(__xludf.DUMMYFUNCTION("GOOGLETRANSLATE(B46, ""en"", ""ur"")"),"اگر مارنے کے دوران اسٹرائیکر کا پاؤں اسٹرائیک لائن (گچھی) کو کراس کرتا ہے، تو اسے عام طور پر کیسے سمجھا جاتا ہے؟")</f>
        <v>اگر مارنے کے دوران اسٹرائیکر کا پاؤں اسٹرائیک لائن (گچھی) کو کراس کرتا ہے، تو اسے عام طور پر کیسے سمجھا جاتا ہے؟</v>
      </c>
      <c r="J46" s="6" t="str">
        <f>IFERROR(__xludf.DUMMYFUNCTION("GOOGLETRANSLATE(C46, ""en"", ""ur"")"),"A) اسٹرائیکر فوری طور پر آؤٹ ہو جاتا ہے، B) باری دوبارہ چلائی جاتی ہے، C) وارننگ جاری کی جاتی ہے، D) اس ہڑتال کے پوائنٹس کو شمار نہیں کیا جاتا ہے۔")</f>
        <v>A) اسٹرائیکر فوری طور پر آؤٹ ہو جاتا ہے، B) باری دوبارہ چلائی جاتی ہے، C) وارننگ جاری کی جاتی ہے، D) اس ہڑتال کے پوائنٹس کو شمار نہیں کیا جاتا ہے۔</v>
      </c>
      <c r="K46" s="6" t="str">
        <f>IFERROR(__xludf.DUMMYFUNCTION("GOOGLETRANSLATE(D46, ""en"", ""ur"")"),"D) اس ہڑتال کے پوائنٹس کو شمار نہیں کیا جاتا ہے۔")</f>
        <v>D) اس ہڑتال کے پوائنٹس کو شمار نہیں کیا جاتا ہے۔</v>
      </c>
      <c r="L46" s="6" t="str">
        <f>IFERROR(__xludf.DUMMYFUNCTION("GOOGLETRANSLATE(E46, ""en"", ""ur"")"),"کرکٹ میں ""نو بال"" کی طرح، لائن سے تجاوز کرنے سے غیر قانونی ہڑتال کا نتیجہ عام طور پر اسکور کو کالعدم قرار دے دیا جاتا ہے۔")</f>
        <v>کرکٹ میں "نو بال" کی طرح، لائن سے تجاوز کرنے سے غیر قانونی ہڑتال کا نتیجہ عام طور پر اسکور کو کالعدم قرار دے دیا جاتا ہے۔</v>
      </c>
    </row>
    <row r="47">
      <c r="A47" s="4">
        <v>46.0</v>
      </c>
      <c r="B47" s="5" t="s">
        <v>1946</v>
      </c>
      <c r="C47" s="5" t="s">
        <v>1947</v>
      </c>
      <c r="D47" s="5" t="s">
        <v>1948</v>
      </c>
      <c r="E47" s="5" t="s">
        <v>1949</v>
      </c>
      <c r="H47" s="6" t="str">
        <f>IFERROR(__xludf.DUMMYFUNCTION("GOOGLETRANSLATE(A47, ""en"", ""ur"")"),"46")</f>
        <v>46</v>
      </c>
      <c r="I47" s="6" t="str">
        <f>IFERROR(__xludf.DUMMYFUNCTION("GOOGLETRANSLATE(B47, ""en"", ""ur"")"),"پاکستان میں گلی ڈنڈا کی مسلسل مقبولیت کے پیچھے بنیادی ثقافتی عنصر کیا ہے؟")</f>
        <v>پاکستان میں گلی ڈنڈا کی مسلسل مقبولیت کے پیچھے بنیادی ثقافتی عنصر کیا ہے؟</v>
      </c>
      <c r="J47" s="6" t="str">
        <f>IFERROR(__xludf.DUMMYFUNCTION("GOOGLETRANSLATE(C47, ""en"", ""ur"")"),"A) اسے اہم سرکاری پروموشن ملتا ہے، B) اس کی کم قیمت اور کہیں بھی کھیلے جانے کی قابلیت کمیونٹی بانڈنگ کو فروغ دیتی ہے، C) یہ اسکول کے کھیلوں کے نصاب کا ایک بڑا حصہ ہے، D) یہ بڑے نقد انعامات پیش کرتا ہے۔")</f>
        <v>A) اسے اہم سرکاری پروموشن ملتا ہے، B) اس کی کم قیمت اور کہیں بھی کھیلے جانے کی قابلیت کمیونٹی بانڈنگ کو فروغ دیتی ہے، C) یہ اسکول کے کھیلوں کے نصاب کا ایک بڑا حصہ ہے، D) یہ بڑے نقد انعامات پیش کرتا ہے۔</v>
      </c>
      <c r="K47" s="6" t="str">
        <f>IFERROR(__xludf.DUMMYFUNCTION("GOOGLETRANSLATE(D47, ""en"", ""ur"")"),"ب) اس کی کم قیمت اور کہیں بھی کھیلے جانے کی صلاحیت کمیونٹی کے تعلقات کو فروغ دیتی ہے۔")</f>
        <v>ب) اس کی کم قیمت اور کہیں بھی کھیلے جانے کی صلاحیت کمیونٹی کے تعلقات کو فروغ دیتی ہے۔</v>
      </c>
      <c r="L47" s="6" t="str">
        <f>IFERROR(__xludf.DUMMYFUNCTION("GOOGLETRANSLATE(E47, ""en"", ""ur"")"),"گیم کو تقریباً کسی خاص آلات یا سہولیات کی ضرورت نہیں ہے، جو اسے ہر جگہ کمیونٹیز کے لیے ایک قابل رسائی اور سماجی تفریح ​​بناتا ہے۔")</f>
        <v>گیم کو تقریباً کسی خاص آلات یا سہولیات کی ضرورت نہیں ہے، جو اسے ہر جگہ کمیونٹیز کے لیے ایک قابل رسائی اور سماجی تفریح ​​بناتا ہے۔</v>
      </c>
    </row>
    <row r="48">
      <c r="A48" s="4">
        <v>47.0</v>
      </c>
      <c r="B48" s="5" t="s">
        <v>1950</v>
      </c>
      <c r="C48" s="5" t="s">
        <v>1951</v>
      </c>
      <c r="D48" s="5" t="s">
        <v>1952</v>
      </c>
      <c r="E48" s="5" t="s">
        <v>1953</v>
      </c>
      <c r="H48" s="6" t="str">
        <f>IFERROR(__xludf.DUMMYFUNCTION("GOOGLETRANSLATE(A48, ""en"", ""ur"")"),"47")</f>
        <v>47</v>
      </c>
      <c r="I48" s="6" t="str">
        <f>IFERROR(__xludf.DUMMYFUNCTION("GOOGLETRANSLATE(B48, ""en"", ""ur"")"),"اگر گلی کو مارنے کے بعد اسٹرائیکر غلطی سے ڈنڈا گرا دے تو کیا ہوگا؟")</f>
        <v>اگر گلی کو مارنے کے بعد اسٹرائیکر غلطی سے ڈنڈا گرا دے تو کیا ہوگا؟</v>
      </c>
      <c r="J48" s="6" t="str">
        <f>IFERROR(__xludf.DUMMYFUNCTION("GOOGLETRANSLATE(C48, ""en"", ""ur"")"),"A) اسٹرائیکر فوری طور پر باہر ہے، B) اسٹرائیک کو دوبارہ چلایا جانا چاہیے، C) ٹرن معمول کے مطابق جاری ہے، D) مخالف کو ایک اضافی پوائنٹ ملتا ہے۔")</f>
        <v>A) اسٹرائیکر فوری طور پر باہر ہے، B) اسٹرائیک کو دوبارہ چلایا جانا چاہیے، C) ٹرن معمول کے مطابق جاری ہے، D) مخالف کو ایک اضافی پوائنٹ ملتا ہے۔</v>
      </c>
      <c r="K48" s="6" t="str">
        <f>IFERROR(__xludf.DUMMYFUNCTION("GOOGLETRANSLATE(D48, ""en"", ""ur"")"),"C) موڑ معمول کے مطابق جاری ہے۔")</f>
        <v>C) موڑ معمول کے مطابق جاری ہے۔</v>
      </c>
      <c r="L48" s="6" t="str">
        <f>IFERROR(__xludf.DUMMYFUNCTION("GOOGLETRANSLATE(E48, ""en"", ""ur"")"),"ڈنڈا گرانا کوئی فاؤل نہیں ہے۔ واحد جرمانہ یہ ہے کہ اگر فیلڈر گلی کو پیچھے پھینک دیتا ہے تو اسٹرائیکر کے پاس بیس کا دفاع کرنے کی طاقت نہیں ہوسکتی ہے۔")</f>
        <v>ڈنڈا گرانا کوئی فاؤل نہیں ہے۔ واحد جرمانہ یہ ہے کہ اگر فیلڈر گلی کو پیچھے پھینک دیتا ہے تو اسٹرائیکر کے پاس بیس کا دفاع کرنے کی طاقت نہیں ہوسکتی ہے۔</v>
      </c>
    </row>
    <row r="49">
      <c r="A49" s="4">
        <v>48.0</v>
      </c>
      <c r="B49" s="5" t="s">
        <v>1954</v>
      </c>
      <c r="C49" s="5" t="s">
        <v>1955</v>
      </c>
      <c r="D49" s="5" t="s">
        <v>1956</v>
      </c>
      <c r="E49" s="5" t="s">
        <v>1957</v>
      </c>
      <c r="H49" s="6" t="str">
        <f>IFERROR(__xludf.DUMMYFUNCTION("GOOGLETRANSLATE(A49, ""en"", ""ur"")"),"48")</f>
        <v>48</v>
      </c>
      <c r="I49" s="6" t="str">
        <f>IFERROR(__xludf.DUMMYFUNCTION("GOOGLETRANSLATE(B49, ""en"", ""ur"")"),"گلی کو اکثر دونوں سروں پر ٹیپر کیوں کیا جاتا ہے؟")</f>
        <v>گلی کو اکثر دونوں سروں پر ٹیپر کیوں کیا جاتا ہے؟</v>
      </c>
      <c r="J49" s="6" t="str">
        <f>IFERROR(__xludf.DUMMYFUNCTION("GOOGLETRANSLATE(C49, ""en"", ""ur"")"),"A) آرائشی وجوہات کی بناء پر، B) یہ زمین سے ہوا میں جھٹکنا آسان بناتا ہے، C) فیلڈر کے لیے اسے پکڑنا مشکل ہے، D) یہ ایک روایتی ڈیزائن ہے جس کا کوئی عملی مقصد نہیں ہے۔")</f>
        <v>A) آرائشی وجوہات کی بناء پر، B) یہ زمین سے ہوا میں جھٹکنا آسان بناتا ہے، C) فیلڈر کے لیے اسے پکڑنا مشکل ہے، D) یہ ایک روایتی ڈیزائن ہے جس کا کوئی عملی مقصد نہیں ہے۔</v>
      </c>
      <c r="K49" s="6" t="str">
        <f>IFERROR(__xludf.DUMMYFUNCTION("GOOGLETRANSLATE(D49, ""en"", ""ur"")"),"ب) یہ زمین سے ہوا میں جھٹکنا آسان بناتا ہے۔")</f>
        <v>ب) یہ زمین سے ہوا میں جھٹکنا آسان بناتا ہے۔</v>
      </c>
      <c r="L49" s="6" t="str">
        <f>IFERROR(__xludf.DUMMYFUNCTION("GOOGLETRANSLATE(E49, ""en"", ""ur"")"),"ٹیپرڈ ڈیزائن ڈنڈا کو گلی کے ایک سرے کے نیچے جانے کی اجازت دیتا ہے تاکہ اسے مرکزی اسٹرائیک کے لیے آسانی سے اور قابل اعتماد طریقے سے ہوا میں اڑا دیا جا سکے۔")</f>
        <v>ٹیپرڈ ڈیزائن ڈنڈا کو گلی کے ایک سرے کے نیچے جانے کی اجازت دیتا ہے تاکہ اسے مرکزی اسٹرائیک کے لیے آسانی سے اور قابل اعتماد طریقے سے ہوا میں اڑا دیا جا سکے۔</v>
      </c>
    </row>
    <row r="50">
      <c r="A50" s="4">
        <v>49.0</v>
      </c>
      <c r="B50" s="5" t="s">
        <v>1958</v>
      </c>
      <c r="C50" s="5" t="s">
        <v>1959</v>
      </c>
      <c r="D50" s="5" t="s">
        <v>1960</v>
      </c>
      <c r="E50" s="5" t="s">
        <v>1961</v>
      </c>
      <c r="H50" s="6" t="str">
        <f>IFERROR(__xludf.DUMMYFUNCTION("GOOGLETRANSLATE(A50, ""en"", ""ur"")"),"49")</f>
        <v>49</v>
      </c>
      <c r="I50" s="6" t="str">
        <f>IFERROR(__xludf.DUMMYFUNCTION("GOOGLETRANSLATE(B50, ""en"", ""ur"")"),"بچوں کے غیر رسمی کھیلوں میں کبھی کبھی ڈنڈا کے متبادل کے طور پر کون سی گھریلو چیز استعمال ہوتی ہے؟")</f>
        <v>بچوں کے غیر رسمی کھیلوں میں کبھی کبھی ڈنڈا کے متبادل کے طور پر کون سی گھریلو چیز استعمال ہوتی ہے؟</v>
      </c>
      <c r="J50" s="6" t="str">
        <f>IFERROR(__xludf.DUMMYFUNCTION("GOOGLETRANSLATE(C50, ""en"", ""ur"")"),"A) جھاڑو کا ہینڈل، B) باورچی خانے کا ایک بڑا چمچ، C) پلاسٹک کا پائپ، D) کرسی کی ٹانگ")</f>
        <v>A) جھاڑو کا ہینڈل، B) باورچی خانے کا ایک بڑا چمچ، C) پلاسٹک کا پائپ، D) کرسی کی ٹانگ</v>
      </c>
      <c r="K50" s="6" t="str">
        <f>IFERROR(__xludf.DUMMYFUNCTION("GOOGLETRANSLATE(D50, ""en"", ""ur"")"),"A) جھاڑو کا ہینڈل")</f>
        <v>A) جھاڑو کا ہینڈل</v>
      </c>
      <c r="L50" s="6" t="str">
        <f>IFERROR(__xludf.DUMMYFUNCTION("GOOGLETRANSLATE(E50, ""en"", ""ur"")"),"آرام دہ اور پرسکون کھیلوں میں، بچے اکثر ایک مضبوط جھاڑو یا موپ ہینڈل کو ڈنڈا کے طور پر دوبارہ استعمال کرتے ہیں۔")</f>
        <v>آرام دہ اور پرسکون کھیلوں میں، بچے اکثر ایک مضبوط جھاڑو یا موپ ہینڈل کو ڈنڈا کے طور پر دوبارہ استعمال کرتے ہیں۔</v>
      </c>
    </row>
    <row r="51">
      <c r="A51" s="4">
        <v>50.0</v>
      </c>
      <c r="B51" s="5" t="s">
        <v>1962</v>
      </c>
      <c r="C51" s="5" t="s">
        <v>1963</v>
      </c>
      <c r="D51" s="5" t="s">
        <v>1964</v>
      </c>
      <c r="E51" s="5" t="s">
        <v>1965</v>
      </c>
      <c r="H51" s="6" t="str">
        <f>IFERROR(__xludf.DUMMYFUNCTION("GOOGLETRANSLATE(A51, ""en"", ""ur"")"),"50")</f>
        <v>50</v>
      </c>
      <c r="I51" s="6" t="str">
        <f>IFERROR(__xludf.DUMMYFUNCTION("GOOGLETRANSLATE(B51, ""en"", ""ur"")"),"کچھ علاقائی تغیرات میں، گلی کو چھت پر مارنے کا کیا مطلب ہے؟")</f>
        <v>کچھ علاقائی تغیرات میں، گلی کو چھت پر مارنے کا کیا مطلب ہے؟</v>
      </c>
      <c r="J51" s="6" t="str">
        <f>IFERROR(__xludf.DUMMYFUNCTION("GOOGLETRANSLATE(C51, ""en"", ""ur"")"),"A) اسٹرائیکر کے لئے ایک خودکار جیت، B) باری کو دوبارہ چلانے کا موقع، C) گم شدہ گلی کی وجہ سے اسٹرائیکر کی باری کا اختتام، D) بونس پوائنٹس دیئے جاتے ہیں")</f>
        <v>A) اسٹرائیکر کے لئے ایک خودکار جیت، B) باری کو دوبارہ چلانے کا موقع، C) گم شدہ گلی کی وجہ سے اسٹرائیکر کی باری کا اختتام، D) بونس پوائنٹس دیئے جاتے ہیں</v>
      </c>
      <c r="K51" s="6" t="str">
        <f>IFERROR(__xludf.DUMMYFUNCTION("GOOGLETRANSLATE(D51, ""en"", ""ur"")"),"ج) کھوئے ہوئے گلی کی وجہ سے اسٹرائیکر کی باری کا خاتمہ")</f>
        <v>ج) کھوئے ہوئے گلی کی وجہ سے اسٹرائیکر کی باری کا خاتمہ</v>
      </c>
      <c r="L51" s="6" t="str">
        <f>IFERROR(__xludf.DUMMYFUNCTION("GOOGLETRANSLATE(E51, ""en"", ""ur"")"),"چونکہ Gilli ناقابل کھیل ہے اور ممکنہ طور پر کھو جاتا ہے، ایک عام گھریلو اصول ہے کہ چھت سے ٹکرانے سے اسٹرائیکر کی باری ختم ہوجاتی ہے۔")</f>
        <v>چونکہ Gilli ناقابل کھیل ہے اور ممکنہ طور پر کھو جاتا ہے، ایک عام گھریلو اصول ہے کہ چھت سے ٹکرانے سے اسٹرائیکر کی باری ختم ہوجاتی ہے۔</v>
      </c>
    </row>
    <row r="52">
      <c r="A52" s="4">
        <v>51.0</v>
      </c>
      <c r="B52" s="5" t="s">
        <v>1966</v>
      </c>
      <c r="C52" s="5" t="s">
        <v>1967</v>
      </c>
      <c r="D52" s="5" t="s">
        <v>1968</v>
      </c>
      <c r="E52" s="5" t="s">
        <v>1969</v>
      </c>
      <c r="H52" s="6" t="str">
        <f>IFERROR(__xludf.DUMMYFUNCTION("GOOGLETRANSLATE(A52, ""en"", ""ur"")"),"51")</f>
        <v>51</v>
      </c>
      <c r="I52" s="6" t="str">
        <f>IFERROR(__xludf.DUMMYFUNCTION("GOOGLETRANSLATE(B52, ""en"", ""ur"")"),"کچھ کھلاڑی کھیلنے سے پہلے اپنے ہاتھوں اور ڈنڈے پر مٹی کیوں رگڑتے ہیں؟")</f>
        <v>کچھ کھلاڑی کھیلنے سے پہلے اپنے ہاتھوں اور ڈنڈے پر مٹی کیوں رگڑتے ہیں؟</v>
      </c>
      <c r="J52" s="6" t="str">
        <f>IFERROR(__xludf.DUMMYFUNCTION("GOOGLETRANSLATE(C52, ""en"", ""ur"")"),"A) سجاوٹ کے لئے، B) ان کی گرفت کو بہتر بنانے کے لئے، C) ڈنڈا کو بھاری بنانے کے لئے، D) بارش کے بعد تیزی سے خشک کرنے کے لئے")</f>
        <v>A) سجاوٹ کے لئے، B) ان کی گرفت کو بہتر بنانے کے لئے، C) ڈنڈا کو بھاری بنانے کے لئے، D) بارش کے بعد تیزی سے خشک کرنے کے لئے</v>
      </c>
      <c r="K52" s="6" t="str">
        <f>IFERROR(__xludf.DUMMYFUNCTION("GOOGLETRANSLATE(D52, ""en"", ""ur"")"),"ب) ان کی گرفت کو بہتر بنانا")</f>
        <v>ب) ان کی گرفت کو بہتر بنانا</v>
      </c>
      <c r="L52" s="6" t="str">
        <f>IFERROR(__xludf.DUMMYFUNCTION("GOOGLETRANSLATE(E52, ""en"", ""ur"")"),"مٹی یا دھول پسینہ جذب کرنے اور طاقتور جھول کے دوران ڈنڈا کو ہاتھوں سے پھسلنے سے روکنے کا روایتی طریقہ ہے۔")</f>
        <v>مٹی یا دھول پسینہ جذب کرنے اور طاقتور جھول کے دوران ڈنڈا کو ہاتھوں سے پھسلنے سے روکنے کا روایتی طریقہ ہے۔</v>
      </c>
    </row>
    <row r="53">
      <c r="A53" s="4">
        <v>52.0</v>
      </c>
      <c r="B53" s="5" t="s">
        <v>1970</v>
      </c>
      <c r="C53" s="5" t="s">
        <v>1971</v>
      </c>
      <c r="D53" s="5" t="s">
        <v>1972</v>
      </c>
      <c r="E53" s="5" t="s">
        <v>1973</v>
      </c>
      <c r="H53" s="6" t="str">
        <f>IFERROR(__xludf.DUMMYFUNCTION("GOOGLETRANSLATE(A53, ""en"", ""ur"")"),"52")</f>
        <v>52</v>
      </c>
      <c r="I53" s="6" t="str">
        <f>IFERROR(__xludf.DUMMYFUNCTION("GOOGLETRANSLATE(B53, ""en"", ""ur"")"),"گلی ڈنڈا کو جنوبی ایشیا میں ""کرکٹ کا پیش خیمہ"" سمجھا جانے کی بنیادی وجہ کیا ہے؟")</f>
        <v>گلی ڈنڈا کو جنوبی ایشیا میں "کرکٹ کا پیش خیمہ" سمجھا جانے کی بنیادی وجہ کیا ہے؟</v>
      </c>
      <c r="J53" s="6" t="str">
        <f>IFERROR(__xludf.DUMMYFUNCTION("GOOGLETRANSLATE(C53, ""en"", ""ur"")"),"A) دونوں گیمز وکٹوں اور بیلز کا استعمال کرتے ہیں، B) دونوں گیمز اسکورنگ کے لیے فاصلے کی پیمائش کرتے ہیں، C) کسی چیز کو مارنے اور فیلڈنگ ٹیم کے اسے پکڑنے کی کوشش کرنے کے بنیادی میکانکس بہت ملتے جلتے ہیں، D) دونوں کھیلوں میں بیس کے درمیان دوڑنا شامل ہے۔")</f>
        <v>A) دونوں گیمز وکٹوں اور بیلز کا استعمال کرتے ہیں، B) دونوں گیمز اسکورنگ کے لیے فاصلے کی پیمائش کرتے ہیں، C) کسی چیز کو مارنے اور فیلڈنگ ٹیم کے اسے پکڑنے کی کوشش کرنے کے بنیادی میکانکس بہت ملتے جلتے ہیں، D) دونوں کھیلوں میں بیس کے درمیان دوڑنا شامل ہے۔</v>
      </c>
      <c r="K53" s="6" t="str">
        <f>IFERROR(__xludf.DUMMYFUNCTION("GOOGLETRANSLATE(D53, ""en"", ""ur"")"),"ج) کسی چیز کو مارنے اور فیلڈنگ ٹیم کو پکڑنے کی کوشش کرنے کے بنیادی میکانکس بہت ملتے جلتے ہیں۔")</f>
        <v>ج) کسی چیز کو مارنے اور فیلڈنگ ٹیم کو پکڑنے کی کوشش کرنے کے بنیادی میکانکس بہت ملتے جلتے ہیں۔</v>
      </c>
      <c r="L53" s="6" t="str">
        <f>IFERROR(__xludf.DUMMYFUNCTION("GOOGLETRANSLATE(E53, ""en"", ""ur"")"),"اسٹرائیکر اور فیلڈنگ سائیڈ کے ساتھ بنیادی بلے اور گیند کے متحرک ہونے کو بہت سے کھیلوں کے مورخین کرکٹ کے ابتدائی آباؤ اجداد کے طور پر دیکھتے ہیں۔")</f>
        <v>اسٹرائیکر اور فیلڈنگ سائیڈ کے ساتھ بنیادی بلے اور گیند کے متحرک ہونے کو بہت سے کھیلوں کے مورخین کرکٹ کے ابتدائی آباؤ اجداد کے طور پر دیکھتے ہیں۔</v>
      </c>
    </row>
    <row r="54">
      <c r="A54" s="4">
        <v>53.0</v>
      </c>
      <c r="B54" s="5" t="s">
        <v>1974</v>
      </c>
      <c r="C54" s="5" t="s">
        <v>1975</v>
      </c>
      <c r="D54" s="5" t="s">
        <v>1976</v>
      </c>
      <c r="E54" s="5" t="s">
        <v>1977</v>
      </c>
      <c r="H54" s="6" t="str">
        <f>IFERROR(__xludf.DUMMYFUNCTION("GOOGLETRANSLATE(A54, ""en"", ""ur"")"),"53")</f>
        <v>53</v>
      </c>
      <c r="I54" s="6" t="str">
        <f>IFERROR(__xludf.DUMMYFUNCTION("GOOGLETRANSLATE(B54, ""en"", ""ur"")"),"کس صورتحال میں اسٹرائیکر کی باری خود بخود نااہل ہو جاتی ہے؟")</f>
        <v>کس صورتحال میں اسٹرائیکر کی باری خود بخود نااہل ہو جاتی ہے؟</v>
      </c>
      <c r="J54" s="6" t="str">
        <f>IFERROR(__xludf.DUMMYFUNCTION("GOOGLETRANSLATE(C54, ""en"", ""ur"")"),"A) اگر گلی کسی ریفری یا جانور کو چھوتا ہے، B) اگر اسٹرائیکر کسی فیلڈر سے ٹکراتا ہے، C) اگر اسٹرائیکر ڈنڈا کو کھیل کے میدان سے باہر گراتا ہے، D) اگر اسٹرائیکر گلی کو مارے بغیر دوڑتا ہے۔")</f>
        <v>A) اگر گلی کسی ریفری یا جانور کو چھوتا ہے، B) اگر اسٹرائیکر کسی فیلڈر سے ٹکراتا ہے، C) اگر اسٹرائیکر ڈنڈا کو کھیل کے میدان سے باہر گراتا ہے، D) اگر اسٹرائیکر گلی کو مارے بغیر دوڑتا ہے۔</v>
      </c>
      <c r="K54" s="6" t="str">
        <f>IFERROR(__xludf.DUMMYFUNCTION("GOOGLETRANSLATE(D54, ""en"", ""ur"")"),"D) اگر اسٹرائیکر گلی کو مارے بغیر دوڑتا ہے۔")</f>
        <v>D) اگر اسٹرائیکر گلی کو مارے بغیر دوڑتا ہے۔</v>
      </c>
      <c r="L54" s="6" t="str">
        <f>IFERROR(__xludf.DUMMYFUNCTION("GOOGLETRANSLATE(E54, ""en"", ""ur"")"),"مارے بغیر دوڑنا کھیل کے بنیادی اصولوں کے خلاف ہے اور اس کے نتیجے میں باری ضائع ہوتی ہے۔")</f>
        <v>مارے بغیر دوڑنا کھیل کے بنیادی اصولوں کے خلاف ہے اور اس کے نتیجے میں باری ضائع ہوتی ہے۔</v>
      </c>
    </row>
    <row r="55">
      <c r="A55" s="4">
        <v>54.0</v>
      </c>
      <c r="B55" s="5" t="s">
        <v>1978</v>
      </c>
      <c r="C55" s="5" t="s">
        <v>1979</v>
      </c>
      <c r="D55" s="5" t="s">
        <v>1980</v>
      </c>
      <c r="E55" s="5" t="s">
        <v>1981</v>
      </c>
      <c r="H55" s="6" t="str">
        <f>IFERROR(__xludf.DUMMYFUNCTION("GOOGLETRANSLATE(A55, ""en"", ""ur"")"),"54")</f>
        <v>54</v>
      </c>
      <c r="I55" s="6" t="str">
        <f>IFERROR(__xludf.DUMMYFUNCTION("GOOGLETRANSLATE(B55, ""en"", ""ur"")"),"کون سی قدرتی حالت اسٹرائیکر کو سب سے بڑا فائدہ فراہم کرتی ہے؟")</f>
        <v>کون سی قدرتی حالت اسٹرائیکر کو سب سے بڑا فائدہ فراہم کرتی ہے؟</v>
      </c>
      <c r="J55" s="6" t="str">
        <f>IFERROR(__xludf.DUMMYFUNCTION("GOOGLETRANSLATE(C55, ""en"", ""ur"")"),"A) ایک مضبوط ٹیل ونڈ، B) زیادہ نمی، C) گرم درجہ حرارت، D) گھنی دھند")</f>
        <v>A) ایک مضبوط ٹیل ونڈ، B) زیادہ نمی، C) گرم درجہ حرارت، D) گھنی دھند</v>
      </c>
      <c r="K55" s="6" t="str">
        <f>IFERROR(__xludf.DUMMYFUNCTION("GOOGLETRANSLATE(D55, ""en"", ""ur"")"),"A) ایک مضبوط ٹیل ونڈ")</f>
        <v>A) ایک مضبوط ٹیل ونڈ</v>
      </c>
      <c r="L55" s="6" t="str">
        <f>IFERROR(__xludf.DUMMYFUNCTION("GOOGLETRANSLATE(E55, ""en"", ""ur"")"),"ہٹ کی سمت میں چلنے والی ہوا گلی کو کافی آگے لے جائے گی، جس کے نتیجے میں اسکور زیادہ ہوگا۔")</f>
        <v>ہٹ کی سمت میں چلنے والی ہوا گلی کو کافی آگے لے جائے گی، جس کے نتیجے میں اسکور زیادہ ہوگا۔</v>
      </c>
    </row>
    <row r="56">
      <c r="A56" s="4">
        <v>55.0</v>
      </c>
      <c r="B56" s="5" t="s">
        <v>1982</v>
      </c>
      <c r="C56" s="5" t="s">
        <v>1983</v>
      </c>
      <c r="D56" s="5" t="s">
        <v>1984</v>
      </c>
      <c r="E56" s="5" t="s">
        <v>1985</v>
      </c>
      <c r="H56" s="6" t="str">
        <f>IFERROR(__xludf.DUMMYFUNCTION("GOOGLETRANSLATE(A56, ""en"", ""ur"")"),"55")</f>
        <v>55</v>
      </c>
      <c r="I56" s="6" t="str">
        <f>IFERROR(__xludf.DUMMYFUNCTION("GOOGLETRANSLATE(B56, ""en"", ""ur"")"),"کون سی قدرتی حالت فیلڈرز کو سب سے بڑا فائدہ فراہم کرتی ہے؟")</f>
        <v>کون سی قدرتی حالت فیلڈرز کو سب سے بڑا فائدہ فراہم کرتی ہے؟</v>
      </c>
      <c r="J56" s="6" t="str">
        <f>IFERROR(__xludf.DUMMYFUNCTION("GOOGLETRANSLATE(C56, ""en"", ""ur"")"),"A) موسلادھار بارش، B) گھنی دھند یا روشنی کی ناکامی، C) تیز کراس ونڈ، D) بہت خشک ہوا")</f>
        <v>A) موسلادھار بارش، B) گھنی دھند یا روشنی کی ناکامی، C) تیز کراس ونڈ، D) بہت خشک ہوا</v>
      </c>
      <c r="K56" s="6" t="str">
        <f>IFERROR(__xludf.DUMMYFUNCTION("GOOGLETRANSLATE(D56, ""en"", ""ur"")"),"ب) گھنی دھند یا فیل ہونے والی روشنی")</f>
        <v>ب) گھنی دھند یا فیل ہونے والی روشنی</v>
      </c>
      <c r="L56" s="6" t="str">
        <f>IFERROR(__xludf.DUMMYFUNCTION("GOOGLETRANSLATE(E56, ""en"", ""ur"")"),"کم مرئیت فیلڈرز کے لیے چھوٹی، تیزی سے چلنے والی گلی کو ٹریک کرنا اور پکڑنا بہت مشکل بنا دیتی ہے۔")</f>
        <v>کم مرئیت فیلڈرز کے لیے چھوٹی، تیزی سے چلنے والی گلی کو ٹریک کرنا اور پکڑنا بہت مشکل بنا دیتی ہے۔</v>
      </c>
    </row>
    <row r="57">
      <c r="A57" s="4">
        <v>56.0</v>
      </c>
      <c r="B57" s="5" t="s">
        <v>1986</v>
      </c>
      <c r="C57" s="5" t="s">
        <v>1987</v>
      </c>
      <c r="D57" s="5" t="s">
        <v>1988</v>
      </c>
      <c r="E57" s="5" t="s">
        <v>1989</v>
      </c>
      <c r="H57" s="6" t="str">
        <f>IFERROR(__xludf.DUMMYFUNCTION("GOOGLETRANSLATE(A57, ""en"", ""ur"")"),"56")</f>
        <v>56</v>
      </c>
      <c r="I57" s="6" t="str">
        <f>IFERROR(__xludf.DUMMYFUNCTION("GOOGLETRANSLATE(B57, ""en"", ""ur"")"),"اگر ایک گلی پانی کے قریبی جسم میں اترتی ہے (جیسے ایک تالاب یا ندی)، تو ایک آرام دہ کھیل میں عام نتیجہ کیا ہوتا ہے؟")</f>
        <v>اگر ایک گلی پانی کے قریبی جسم میں اترتی ہے (جیسے ایک تالاب یا ندی)، تو ایک آرام دہ کھیل میں عام نتیجہ کیا ہوتا ہے؟</v>
      </c>
      <c r="J57" s="6" t="str">
        <f>IFERROR(__xludf.DUMMYFUNCTION("GOOGLETRANSLATE(C57, ""en"", ""ur"")"),"A) اسٹرائیکر آؤٹ ہے، B) باری دوبارہ چلائی جاتی ہے، C) اسٹرائیکر کو بونس رن ملتا ہے، D) مخالف نتیجہ کا انتخاب کرتا ہے۔")</f>
        <v>A) اسٹرائیکر آؤٹ ہے، B) باری دوبارہ چلائی جاتی ہے، C) اسٹرائیکر کو بونس رن ملتا ہے، D) مخالف نتیجہ کا انتخاب کرتا ہے۔</v>
      </c>
      <c r="K57" s="6" t="str">
        <f>IFERROR(__xludf.DUMMYFUNCTION("GOOGLETRANSLATE(D57, ""en"", ""ur"")"),"ب) باری دوبارہ چلائی جاتی ہے۔")</f>
        <v>ب) باری دوبارہ چلائی جاتی ہے۔</v>
      </c>
      <c r="L57" s="6" t="str">
        <f>IFERROR(__xludf.DUMMYFUNCTION("GOOGLETRANSLATE(E57, ""en"", ""ur"")"),"پانی کی لینڈنگ کو عام طور پر کھیل کے معمول کے دائرہ کار سے باہر بیرونی مداخلت کے طور پر سمجھا جاتا ہے، جو دوبارہ چلانے کی ضمانت دیتا ہے۔")</f>
        <v>پانی کی لینڈنگ کو عام طور پر کھیل کے معمول کے دائرہ کار سے باہر بیرونی مداخلت کے طور پر سمجھا جاتا ہے، جو دوبارہ چلانے کی ضمانت دیتا ہے۔</v>
      </c>
    </row>
    <row r="58">
      <c r="A58" s="4">
        <v>57.0</v>
      </c>
      <c r="B58" s="5" t="s">
        <v>1990</v>
      </c>
      <c r="C58" s="5" t="s">
        <v>1991</v>
      </c>
      <c r="D58" s="5" t="s">
        <v>1992</v>
      </c>
      <c r="E58" s="5" t="s">
        <v>1993</v>
      </c>
      <c r="H58" s="6" t="str">
        <f>IFERROR(__xludf.DUMMYFUNCTION("GOOGLETRANSLATE(A58, ""en"", ""ur"")"),"57")</f>
        <v>57</v>
      </c>
      <c r="I58" s="6" t="str">
        <f>IFERROR(__xludf.DUMMYFUNCTION("GOOGLETRANSLATE(B58, ""en"", ""ur"")"),"بہت لمبا ڈنڈا استعمال کرنے کا بنیادی نقصان کیا ہے؟")</f>
        <v>بہت لمبا ڈنڈا استعمال کرنے کا بنیادی نقصان کیا ہے؟</v>
      </c>
      <c r="J58" s="6" t="str">
        <f>IFERROR(__xludf.DUMMYFUNCTION("GOOGLETRANSLATE(C58, ""en"", ""ur"")"),"A) اسے ادھر ادھر لے جانا مشکل ہے، B) درستگی اور رفتار کے ساتھ جھولنا زیادہ بھاری اور مشکل ہے، C) یہ روایتی نہیں لگتا، D) مخالف ٹیم احتجاج کرے گی۔")</f>
        <v>A) اسے ادھر ادھر لے جانا مشکل ہے، B) درستگی اور رفتار کے ساتھ جھولنا زیادہ بھاری اور مشکل ہے، C) یہ روایتی نہیں لگتا، D) مخالف ٹیم احتجاج کرے گی۔</v>
      </c>
      <c r="K58" s="6" t="str">
        <f>IFERROR(__xludf.DUMMYFUNCTION("GOOGLETRANSLATE(D58, ""en"", ""ur"")"),"ب) درستگی اور رفتار کے ساتھ جھولنا زیادہ بھاری اور مشکل ہے۔")</f>
        <v>ب) درستگی اور رفتار کے ساتھ جھولنا زیادہ بھاری اور مشکل ہے۔</v>
      </c>
      <c r="L58" s="6" t="str">
        <f>IFERROR(__xludf.DUMMYFUNCTION("GOOGLETRANSLATE(E58, ""en"", ""ur"")"),"زیادہ لمبا ڈنڈا بوجھل ہوتا ہے اور اچھی ہڑتال کے لیے درکار درستگی اور وقت کو کم کر دیتا ہے۔")</f>
        <v>زیادہ لمبا ڈنڈا بوجھل ہوتا ہے اور اچھی ہڑتال کے لیے درکار درستگی اور وقت کو کم کر دیتا ہے۔</v>
      </c>
    </row>
    <row r="59">
      <c r="A59" s="4">
        <v>58.0</v>
      </c>
      <c r="B59" s="5" t="s">
        <v>1994</v>
      </c>
      <c r="C59" s="5" t="s">
        <v>1995</v>
      </c>
      <c r="D59" s="5" t="s">
        <v>1996</v>
      </c>
      <c r="E59" s="5" t="s">
        <v>1997</v>
      </c>
      <c r="H59" s="6" t="str">
        <f>IFERROR(__xludf.DUMMYFUNCTION("GOOGLETRANSLATE(A59, ""en"", ""ur"")"),"58")</f>
        <v>58</v>
      </c>
      <c r="I59" s="6" t="str">
        <f>IFERROR(__xludf.DUMMYFUNCTION("GOOGLETRANSLATE(B59, ""en"", ""ur"")"),"اگر دو فیلڈرز عین وقت پر گلی کو پکڑ لیں تو کیا ہوگا؟")</f>
        <v>اگر دو فیلڈرز عین وقت پر گلی کو پکڑ لیں تو کیا ہوگا؟</v>
      </c>
      <c r="J59" s="6" t="str">
        <f>IFERROR(__xludf.DUMMYFUNCTION("GOOGLETRANSLATE(C59, ""en"", ""ur"")"),"A) دونوں فیلڈرز کو ایک پوائنٹ ملتا ہے، B) باری دوبارہ چلائی جاتی ہے، C) کیچ باطل ہے، D) اسٹرائیکر آؤٹ ہوتا ہے")</f>
        <v>A) دونوں فیلڈرز کو ایک پوائنٹ ملتا ہے، B) باری دوبارہ چلائی جاتی ہے، C) کیچ باطل ہے، D) اسٹرائیکر آؤٹ ہوتا ہے</v>
      </c>
      <c r="K59" s="6" t="str">
        <f>IFERROR(__xludf.DUMMYFUNCTION("GOOGLETRANSLATE(D59, ""en"", ""ur"")"),"D) اسٹرائیکر باہر ہے۔")</f>
        <v>D) اسٹرائیکر باہر ہے۔</v>
      </c>
      <c r="L59" s="6" t="str">
        <f>IFERROR(__xludf.DUMMYFUNCTION("GOOGLETRANSLATE(E59, ""en"", ""ur"")"),"جب تک گلی کے گراؤنڈ سے ٹکرانے سے پہلے ایک درست کیچ لیا جاتا ہے، اسٹرائیکر کو آؤٹ کر دیا جاتا ہے، قطع نظر اس کے کہ اسے کس نے یا کتنے لوگوں نے پکڑا۔")</f>
        <v>جب تک گلی کے گراؤنڈ سے ٹکرانے سے پہلے ایک درست کیچ لیا جاتا ہے، اسٹرائیکر کو آؤٹ کر دیا جاتا ہے، قطع نظر اس کے کہ اسے کس نے یا کتنے لوگوں نے پکڑا۔</v>
      </c>
    </row>
    <row r="60">
      <c r="A60" s="4">
        <v>59.0</v>
      </c>
      <c r="B60" s="5" t="s">
        <v>1998</v>
      </c>
      <c r="C60" s="5" t="s">
        <v>1999</v>
      </c>
      <c r="D60" s="5" t="s">
        <v>1133</v>
      </c>
      <c r="E60" s="5" t="s">
        <v>2000</v>
      </c>
      <c r="H60" s="6" t="str">
        <f>IFERROR(__xludf.DUMMYFUNCTION("GOOGLETRANSLATE(A60, ""en"", ""ur"")"),"59")</f>
        <v>59</v>
      </c>
      <c r="I60" s="6" t="str">
        <f>IFERROR(__xludf.DUMMYFUNCTION("GOOGLETRANSLATE(B60, ""en"", ""ur"")"),"کھلاڑی اکثر اونچی گھاس والے میدانوں سے کیوں گریز کرتے ہیں؟")</f>
        <v>کھلاڑی اکثر اونچی گھاس والے میدانوں سے کیوں گریز کرتے ہیں؟</v>
      </c>
      <c r="J60" s="6" t="str">
        <f>IFERROR(__xludf.DUMMYFUNCTION("GOOGLETRANSLATE(C60, ""en"", ""ur"")"),"A) گلی کو اترنے کے بعد تلاش کرنا مشکل ہے، B) سانپوں یا کیڑے مکوڑوں کا خطرہ زیادہ ہوتا ہے، C) پاؤں ناہموار اور خطرناک ہو سکتا ہے، D) مندرجہ بالا سبھی")</f>
        <v>A) گلی کو اترنے کے بعد تلاش کرنا مشکل ہے، B) سانپوں یا کیڑے مکوڑوں کا خطرہ زیادہ ہوتا ہے، C) پاؤں ناہموار اور خطرناک ہو سکتا ہے، D) مندرجہ بالا سبھی</v>
      </c>
      <c r="K60" s="6" t="str">
        <f>IFERROR(__xludf.DUMMYFUNCTION("GOOGLETRANSLATE(D60, ""en"", ""ur"")"),"D) مذکورہ بالا تمام")</f>
        <v>D) مذکورہ بالا تمام</v>
      </c>
      <c r="L60" s="6" t="str">
        <f>IFERROR(__xludf.DUMMYFUNCTION("GOOGLETRANSLATE(E60, ""en"", ""ur"")"),"لمبی گھاس متعدد مسائل پیش کرتی ہے، بشمول گلی کھونا، حفاظتی خطرات، اور دوڑنے اور فیلڈنگ کے لیے غیر مستحکم سطح۔")</f>
        <v>لمبی گھاس متعدد مسائل پیش کرتی ہے، بشمول گلی کھونا، حفاظتی خطرات، اور دوڑنے اور فیلڈنگ کے لیے غیر مستحکم سطح۔</v>
      </c>
    </row>
    <row r="61">
      <c r="A61" s="4">
        <v>60.0</v>
      </c>
      <c r="B61" s="5" t="s">
        <v>2001</v>
      </c>
      <c r="C61" s="5" t="s">
        <v>2002</v>
      </c>
      <c r="D61" s="5" t="s">
        <v>2003</v>
      </c>
      <c r="E61" s="5" t="s">
        <v>2004</v>
      </c>
      <c r="H61" s="6" t="str">
        <f>IFERROR(__xludf.DUMMYFUNCTION("GOOGLETRANSLATE(A61, ""en"", ""ur"")"),"60")</f>
        <v>60</v>
      </c>
      <c r="I61" s="6" t="str">
        <f>IFERROR(__xludf.DUMMYFUNCTION("GOOGLETRANSLATE(B61, ""en"", ""ur"")"),"معیاری لکڑی کی گلی کے وزن کی حد کیا ہے؟")</f>
        <v>معیاری لکڑی کی گلی کے وزن کی حد کیا ہے؟</v>
      </c>
      <c r="J61" s="6" t="str">
        <f>IFERROR(__xludf.DUMMYFUNCTION("GOOGLETRANSLATE(C61, ""en"", ""ur"")"),"A) 10-20 گرام، B) 30-50 گرام، C) 60-100 گرام، D) کوئی مقررہ وزن نہیں ہے")</f>
        <v>A) 10-20 گرام، B) 30-50 گرام، C) 60-100 گرام، D) کوئی مقررہ وزن نہیں ہے</v>
      </c>
      <c r="K61" s="6" t="str">
        <f>IFERROR(__xludf.DUMMYFUNCTION("GOOGLETRANSLATE(D61, ""en"", ""ur"")"),"ب) 30-50 گرام")</f>
        <v>ب) 30-50 گرام</v>
      </c>
      <c r="L61" s="6" t="str">
        <f>IFERROR(__xludf.DUMMYFUNCTION("GOOGLETRANSLATE(E61, ""en"", ""ur"")"),"گلی کو اتنا ہلکا ہونا چاہیے کہ وہ دور تک اڑ سکے لیکن اتنا بھاری ہو کہ ہوا میں مستحکم ہو، یہ رینج کھیلنے کے لیے مخصوص ہے۔")</f>
        <v>گلی کو اتنا ہلکا ہونا چاہیے کہ وہ دور تک اڑ سکے لیکن اتنا بھاری ہو کہ ہوا میں مستحکم ہو، یہ رینج کھیلنے کے لیے مخصوص ہے۔</v>
      </c>
    </row>
    <row r="62">
      <c r="A62" s="4">
        <v>61.0</v>
      </c>
      <c r="B62" s="5" t="s">
        <v>2005</v>
      </c>
      <c r="C62" s="5" t="s">
        <v>2006</v>
      </c>
      <c r="D62" s="5" t="s">
        <v>2007</v>
      </c>
      <c r="E62" s="5" t="s">
        <v>2008</v>
      </c>
      <c r="H62" s="6" t="str">
        <f>IFERROR(__xludf.DUMMYFUNCTION("GOOGLETRANSLATE(A62, ""en"", ""ur"")"),"61")</f>
        <v>61</v>
      </c>
      <c r="I62" s="6" t="str">
        <f>IFERROR(__xludf.DUMMYFUNCTION("GOOGLETRANSLATE(B62, ""en"", ""ur"")"),"ایک کھلاڑی کو 'ہٹ وکٹ' کے لیے بلایا جاتا ہے۔ سب سے زیادہ امکان کا منظر نامہ کیا ہے؟")</f>
        <v>ایک کھلاڑی کو 'ہٹ وکٹ' کے لیے بلایا جاتا ہے۔ سب سے زیادہ امکان کا منظر نامہ کیا ہے؟</v>
      </c>
      <c r="J62" s="6" t="str">
        <f>IFERROR(__xludf.DUMMYFUNCTION("GOOGLETRANSLATE(C62, ""en"", ""ur"")"),"A) گلی نے ڈنڈا کو بیس پر مارا، B) گلی دو حصوں میں ٹوٹ گئی، C) اسٹرائیکر کا ڈنڈا غلطی سے ہوم مارکر سے ٹکرا گیا، D) فیلڈر نے ڈنڈا کو گلی سے ٹکرایا")</f>
        <v>A) گلی نے ڈنڈا کو بیس پر مارا، B) گلی دو حصوں میں ٹوٹ گئی، C) اسٹرائیکر کا ڈنڈا غلطی سے ہوم مارکر سے ٹکرا گیا، D) فیلڈر نے ڈنڈا کو گلی سے ٹکرایا</v>
      </c>
      <c r="K62" s="6" t="str">
        <f>IFERROR(__xludf.DUMMYFUNCTION("GOOGLETRANSLATE(D62, ""en"", ""ur"")"),"ج) اسٹرائیکر کا ڈنڈا غلطی سے ہوم مارکر سے ٹکرا گیا۔")</f>
        <v>ج) اسٹرائیکر کا ڈنڈا غلطی سے ہوم مارکر سے ٹکرا گیا۔</v>
      </c>
      <c r="L62" s="6" t="str">
        <f>IFERROR(__xludf.DUMMYFUNCTION("GOOGLETRANSLATE(E62, ""en"", ""ur"")"),"مختلف حالتوں میں جہاں ڈنڈا کو ابتدائی سوراخ کے اوپر رکھا جاتا ہے، اسے نیچے گرانے کے نتیجے میں آؤٹ ہوتا ہے، جیسا کہ کرکٹ کی 'ہٹ وکٹ'۔")</f>
        <v>مختلف حالتوں میں جہاں ڈنڈا کو ابتدائی سوراخ کے اوپر رکھا جاتا ہے، اسے نیچے گرانے کے نتیجے میں آؤٹ ہوتا ہے، جیسا کہ کرکٹ کی 'ہٹ وکٹ'۔</v>
      </c>
    </row>
    <row r="63">
      <c r="A63" s="4">
        <v>62.0</v>
      </c>
      <c r="B63" s="5" t="s">
        <v>2009</v>
      </c>
      <c r="C63" s="5" t="s">
        <v>2010</v>
      </c>
      <c r="D63" s="5" t="s">
        <v>2011</v>
      </c>
      <c r="E63" s="5" t="s">
        <v>2012</v>
      </c>
      <c r="H63" s="6" t="str">
        <f>IFERROR(__xludf.DUMMYFUNCTION("GOOGLETRANSLATE(A63, ""en"", ""ur"")"),"62")</f>
        <v>62</v>
      </c>
      <c r="I63" s="6" t="str">
        <f>IFERROR(__xludf.DUMMYFUNCTION("GOOGLETRANSLATE(B63, ""en"", ""ur"")"),"'گچی' کیا ہے؟")</f>
        <v>'گچی' کیا ہے؟</v>
      </c>
      <c r="J63" s="6" t="str">
        <f>IFERROR(__xludf.DUMMYFUNCTION("GOOGLETRANSLATE(C63, ""en"", ""ur"")"),"A) گلی، B) ڈنڈا، C) زمین میں چھوٹا سوراخ ابتدائی ہڑتال کے لئے استعمال کیا جاتا ہے، D) اسکور کی ایک قسم")</f>
        <v>A) گلی، B) ڈنڈا، C) زمین میں چھوٹا سوراخ ابتدائی ہڑتال کے لئے استعمال کیا جاتا ہے، D) اسکور کی ایک قسم</v>
      </c>
      <c r="K63" s="6" t="str">
        <f>IFERROR(__xludf.DUMMYFUNCTION("GOOGLETRANSLATE(D63, ""en"", ""ur"")"),"ج) زمین میں چھوٹا سوراخ جو ابتدائی ہڑتال کے لیے استعمال ہوتا ہے۔")</f>
        <v>ج) زمین میں چھوٹا سوراخ جو ابتدائی ہڑتال کے لیے استعمال ہوتا ہے۔</v>
      </c>
      <c r="L63" s="6" t="str">
        <f>IFERROR(__xludf.DUMMYFUNCTION("GOOGLETRANSLATE(E63, ""en"", ""ur"")"),"'گچھی' وہ چھوٹا سا گڑھا ہے جس کے اوپر گلی کو رکھا جاتا ہے، جس سے اسے ہوا میں جھٹکا دیا جاتا ہے۔")</f>
        <v>'گچھی' وہ چھوٹا سا گڑھا ہے جس کے اوپر گلی کو رکھا جاتا ہے، جس سے اسے ہوا میں جھٹکا دیا جاتا ہے۔</v>
      </c>
    </row>
    <row r="64">
      <c r="A64" s="4">
        <v>63.0</v>
      </c>
      <c r="B64" s="5" t="s">
        <v>2013</v>
      </c>
      <c r="C64" s="5" t="s">
        <v>2014</v>
      </c>
      <c r="D64" s="5" t="s">
        <v>2015</v>
      </c>
      <c r="E64" s="5" t="s">
        <v>2016</v>
      </c>
      <c r="H64" s="6" t="str">
        <f>IFERROR(__xludf.DUMMYFUNCTION("GOOGLETRANSLATE(A64, ""en"", ""ur"")"),"63")</f>
        <v>63</v>
      </c>
      <c r="I64" s="6" t="str">
        <f>IFERROR(__xludf.DUMMYFUNCTION("GOOGLETRANSLATE(B64, ""en"", ""ur"")"),"گلی کو عام طور پر کیسے بنایا جاتا ہے؟")</f>
        <v>گلی کو عام طور پر کیسے بنایا جاتا ہے؟</v>
      </c>
      <c r="J64" s="6" t="str">
        <f>IFERROR(__xludf.DUMMYFUNCTION("GOOGLETRANSLATE(C64, ""en"", ""ur"")"),"A) مشین کے ذریعے، B) لکڑی کے ٹکڑے کو ہاتھ سے تراش کر، C) پلاسٹک کو ڈھال کر، D) لاٹھیوں کو آپس میں باندھ کر")</f>
        <v>A) مشین کے ذریعے، B) لکڑی کے ٹکڑے کو ہاتھ سے تراش کر، C) پلاسٹک کو ڈھال کر، D) لاٹھیوں کو آپس میں باندھ کر</v>
      </c>
      <c r="K64" s="6" t="str">
        <f>IFERROR(__xludf.DUMMYFUNCTION("GOOGLETRANSLATE(D64, ""en"", ""ur"")"),"ب) لکڑی کے ٹکڑے کو ہاتھ سے تراش کر")</f>
        <v>ب) لکڑی کے ٹکڑے کو ہاتھ سے تراش کر</v>
      </c>
      <c r="L64" s="6" t="str">
        <f>IFERROR(__xludf.DUMMYFUNCTION("GOOGLETRANSLATE(E64, ""en"", ""ur"")"),"گلی روایتی طور پر ایک ہاتھ سے تیار کردہ شے ہے، جو کسی مناسب شاخ یا سخت لکڑی کے ٹکڑے سے کھدی ہوئی ہے۔")</f>
        <v>گلی روایتی طور پر ایک ہاتھ سے تیار کردہ شے ہے، جو کسی مناسب شاخ یا سخت لکڑی کے ٹکڑے سے کھدی ہوئی ہے۔</v>
      </c>
    </row>
    <row r="65">
      <c r="A65" s="4">
        <v>64.0</v>
      </c>
      <c r="B65" s="5" t="s">
        <v>2017</v>
      </c>
      <c r="C65" s="5" t="s">
        <v>2018</v>
      </c>
      <c r="D65" s="5" t="s">
        <v>2019</v>
      </c>
      <c r="E65" s="5" t="s">
        <v>2020</v>
      </c>
      <c r="H65" s="6" t="str">
        <f>IFERROR(__xludf.DUMMYFUNCTION("GOOGLETRANSLATE(A65, ""en"", ""ur"")"),"64")</f>
        <v>64</v>
      </c>
      <c r="I65" s="6" t="str">
        <f>IFERROR(__xludf.DUMMYFUNCTION("GOOGLETRANSLATE(B65, ""en"", ""ur"")"),"ہندی/اردو میں اصطلاح 'ڈنڈا' کا کیا مطلب ہے؟")</f>
        <v>ہندی/اردو میں اصطلاح 'ڈنڈا' کا کیا مطلب ہے؟</v>
      </c>
      <c r="J65" s="6" t="str">
        <f>IFERROR(__xludf.DUMMYFUNCTION("GOOGLETRANSLATE(C65, ""en"", ""ur"")"),"A) چھوٹا، B) اڑنا، C) چھڑی یا عملہ، D) کھیل")</f>
        <v>A) چھوٹا، B) اڑنا، C) چھڑی یا عملہ، D) کھیل</v>
      </c>
      <c r="K65" s="6" t="str">
        <f>IFERROR(__xludf.DUMMYFUNCTION("GOOGLETRANSLATE(D65, ""en"", ""ur"")"),"ج) چھڑی یا عملہ")</f>
        <v>ج) چھڑی یا عملہ</v>
      </c>
      <c r="L65" s="6" t="str">
        <f>IFERROR(__xludf.DUMMYFUNCTION("GOOGLETRANSLATE(E65, ""en"", ""ur"")"),"اس کھیل کا نام بہت لغوی ہے، جس میں 'ڈنڈا' کا مطلب بڑی چھڑی اور 'گلی' چھوٹی ہے۔")</f>
        <v>اس کھیل کا نام بہت لغوی ہے، جس میں 'ڈنڈا' کا مطلب بڑی چھڑی اور 'گلی' چھوٹی ہے۔</v>
      </c>
    </row>
    <row r="66">
      <c r="A66" s="4">
        <v>65.0</v>
      </c>
      <c r="B66" s="5" t="s">
        <v>2021</v>
      </c>
      <c r="C66" s="5" t="s">
        <v>2022</v>
      </c>
      <c r="D66" s="5" t="s">
        <v>2023</v>
      </c>
      <c r="E66" s="5" t="s">
        <v>2024</v>
      </c>
      <c r="H66" s="6" t="str">
        <f>IFERROR(__xludf.DUMMYFUNCTION("GOOGLETRANSLATE(A66, ""en"", ""ur"")"),"65")</f>
        <v>65</v>
      </c>
      <c r="I66" s="6" t="str">
        <f>IFERROR(__xludf.DUMMYFUNCTION("GOOGLETRANSLATE(B66, ""en"", ""ur"")"),"'آنکھ مچولی' نامی تغیر میں، گلی کو بازیافت کرنے کے بعد فیلڈر کا مقصد کیا ہے؟")</f>
        <v>'آنکھ مچولی' نامی تغیر میں، گلی کو بازیافت کرنے کے بعد فیلڈر کا مقصد کیا ہے؟</v>
      </c>
      <c r="J66" s="6" t="str">
        <f>IFERROR(__xludf.DUMMYFUNCTION("GOOGLETRANSLATE(C66, ""en"", ""ur"")"),"A) ڈنڈا کو مارنا، B) اسٹرائیکر سے پہلے بیس پر واپس بھاگنا، C) اسے جہاں تک ممکن ہو پھینکنا، D) گلی کو چھپانے کے لئے")</f>
        <v>A) ڈنڈا کو مارنا، B) اسٹرائیکر سے پہلے بیس پر واپس بھاگنا، C) اسے جہاں تک ممکن ہو پھینکنا، D) گلی کو چھپانے کے لئے</v>
      </c>
      <c r="K66" s="6" t="str">
        <f>IFERROR(__xludf.DUMMYFUNCTION("GOOGLETRANSLATE(D66, ""en"", ""ur"")"),"ب) اسٹرائیکر سے پہلے بیس پر واپس بھاگنا")</f>
        <v>ب) اسٹرائیکر سے پہلے بیس پر واپس بھاگنا</v>
      </c>
      <c r="L66" s="6" t="str">
        <f>IFERROR(__xludf.DUMMYFUNCTION("GOOGLETRANSLATE(E66, ""en"", ""ur"")"),"یہ ورژن بیس پر واپس آنے والے اسٹرائیکر اور گلی کو بازیافت کرنے اور واپس آنے والے فیلڈر کے درمیان ایک دوڑ ہے۔")</f>
        <v>یہ ورژن بیس پر واپس آنے والے اسٹرائیکر اور گلی کو بازیافت کرنے اور واپس آنے والے فیلڈر کے درمیان ایک دوڑ ہے۔</v>
      </c>
    </row>
    <row r="67">
      <c r="A67" s="4">
        <v>66.0</v>
      </c>
      <c r="B67" s="5" t="s">
        <v>2025</v>
      </c>
      <c r="C67" s="5" t="s">
        <v>2026</v>
      </c>
      <c r="D67" s="5" t="s">
        <v>2027</v>
      </c>
      <c r="E67" s="5" t="s">
        <v>2028</v>
      </c>
      <c r="H67" s="6" t="str">
        <f>IFERROR(__xludf.DUMMYFUNCTION("GOOGLETRANSLATE(A67, ""en"", ""ur"")"),"66")</f>
        <v>66</v>
      </c>
      <c r="I67" s="6" t="str">
        <f>IFERROR(__xludf.DUMMYFUNCTION("GOOGLETRANSLATE(B67, ""en"", ""ur"")"),"فیلڈنگ سائیڈ کے لیے ٹیم ورک کیوں ضروری ہے؟")</f>
        <v>فیلڈنگ سائیڈ کے لیے ٹیم ورک کیوں ضروری ہے؟</v>
      </c>
      <c r="J67" s="6" t="str">
        <f>IFERROR(__xludf.DUMMYFUNCTION("GOOGLETRANSLATE(C67, ""en"", ""ur"")"),"A) قواعد طے کرنے کے لیے، B) گلی کو لمبے فاصلے سے اسٹرائیکر کو باہر نکالنے کے لیے، C) ٹیم اسپرٹ تیار کرنے کے لیے، D) یہ اہم نہیں ہے۔")</f>
        <v>A) قواعد طے کرنے کے لیے، B) گلی کو لمبے فاصلے سے اسٹرائیکر کو باہر نکالنے کے لیے، C) ٹیم اسپرٹ تیار کرنے کے لیے، D) یہ اہم نہیں ہے۔</v>
      </c>
      <c r="K67" s="6" t="str">
        <f>IFERROR(__xludf.DUMMYFUNCTION("GOOGLETRANSLATE(D67, ""en"", ""ur"")"),"ب) اسٹرائیکر کو باہر نکالنے کے لیے گلی کو لمبے فاصلے سے ریلے کرنا")</f>
        <v>ب) اسٹرائیکر کو باہر نکالنے کے لیے گلی کو لمبے فاصلے سے ریلے کرنا</v>
      </c>
      <c r="L67" s="6" t="str">
        <f>IFERROR(__xludf.DUMMYFUNCTION("GOOGLETRANSLATE(E67, ""en"", ""ur"")"),"ایک لمبی ہٹ پر، فیلڈرز کو بیس بال یا کرکٹ کی طرح مل کر کام کرنا چاہیے، گیلی کو ٹیم کے ساتھیوں پر پھینک کر آؤٹ کرنے کے لیے۔")</f>
        <v>ایک لمبی ہٹ پر، فیلڈرز کو بیس بال یا کرکٹ کی طرح مل کر کام کرنا چاہیے، گیلی کو ٹیم کے ساتھیوں پر پھینک کر آؤٹ کرنے کے لیے۔</v>
      </c>
    </row>
    <row r="68">
      <c r="A68" s="4">
        <v>67.0</v>
      </c>
      <c r="B68" s="5" t="s">
        <v>2029</v>
      </c>
      <c r="C68" s="5" t="s">
        <v>2030</v>
      </c>
      <c r="D68" s="5" t="s">
        <v>2031</v>
      </c>
      <c r="E68" s="7" t="s">
        <v>2032</v>
      </c>
      <c r="H68" s="6" t="str">
        <f>IFERROR(__xludf.DUMMYFUNCTION("GOOGLETRANSLATE(A68, ""en"", ""ur"")"),"67")</f>
        <v>67</v>
      </c>
      <c r="I68" s="6" t="str">
        <f>IFERROR(__xludf.DUMMYFUNCTION("GOOGLETRANSLATE(B68, ""en"", ""ur"")"),"ایک 'pittù' کیا ہے؟")</f>
        <v>ایک 'pittù' کیا ہے؟</v>
      </c>
      <c r="J68" s="6" t="str">
        <f>IFERROR(__xludf.DUMMYFUNCTION("GOOGLETRANSLATE(C68, ""en"", ""ur"")"),"A) اسٹرائیکر، B) فیلڈر، C) ہوم بیس یا ابتدائی دائرہ، D) ایک بونس پوائنٹ")</f>
        <v>A) اسٹرائیکر، B) فیلڈر، C) ہوم بیس یا ابتدائی دائرہ، D) ایک بونس پوائنٹ</v>
      </c>
      <c r="K68" s="6" t="str">
        <f>IFERROR(__xludf.DUMMYFUNCTION("GOOGLETRANSLATE(D68, ""en"", ""ur"")"),"C) گھر کی بنیاد یا ابتدائی دائرہ")</f>
        <v>C) گھر کی بنیاد یا ابتدائی دائرہ</v>
      </c>
      <c r="L68" s="6" t="str">
        <f>IFERROR(__xludf.DUMMYFUNCTION("GOOGLETRANSLATE(E68, ""en"", ""ur"")"),"پٹو 'گچھی' یا ہوم بیس کا ایک اور علاقائی نام ہے جسے فیلڈر کو مارنا ضروری ہے۔")</f>
        <v>پٹو 'گچھی' یا ہوم بیس کا ایک اور علاقائی نام ہے جسے فیلڈر کو مارنا ضروری ہے۔</v>
      </c>
    </row>
    <row r="69">
      <c r="A69" s="4">
        <v>68.0</v>
      </c>
      <c r="B69" s="5" t="s">
        <v>2033</v>
      </c>
      <c r="C69" s="5" t="s">
        <v>2034</v>
      </c>
      <c r="D69" s="5" t="s">
        <v>2035</v>
      </c>
      <c r="E69" s="5" t="s">
        <v>2036</v>
      </c>
      <c r="H69" s="6" t="str">
        <f>IFERROR(__xludf.DUMMYFUNCTION("GOOGLETRANSLATE(A69, ""en"", ""ur"")"),"68")</f>
        <v>68</v>
      </c>
      <c r="I69" s="6" t="str">
        <f>IFERROR(__xludf.DUMMYFUNCTION("GOOGLETRANSLATE(B69, ""en"", ""ur"")"),"بڑے شہری مراکز میں گلی ڈنڈا کے زوال کی بنیادی وجہ کیا ہے؟")</f>
        <v>بڑے شہری مراکز میں گلی ڈنڈا کے زوال کی بنیادی وجہ کیا ہے؟</v>
      </c>
      <c r="J69" s="6" t="str">
        <f>IFERROR(__xludf.DUMMYFUNCTION("GOOGLETRANSLATE(C69, ""en"", ""ur"")"),"A) کھیل اب غیر قانونی ہے، B) کھلی جگہوں کی کمی اور کرکٹ جیسے دیگر کھیلوں کا عروج، C) سامان بہت مہنگا ہے، D) اسے پرانے زمانے کا کھیل سمجھا جاتا ہے۔")</f>
        <v>A) کھیل اب غیر قانونی ہے، B) کھلی جگہوں کی کمی اور کرکٹ جیسے دیگر کھیلوں کا عروج، C) سامان بہت مہنگا ہے، D) اسے پرانے زمانے کا کھیل سمجھا جاتا ہے۔</v>
      </c>
      <c r="K69" s="6" t="str">
        <f>IFERROR(__xludf.DUMMYFUNCTION("GOOGLETRANSLATE(D69, ""en"", ""ur"")"),"ب) کھلی جگہوں کی کمی اور کرکٹ جیسے دیگر کھیلوں کا عروج")</f>
        <v>ب) کھلی جگہوں کی کمی اور کرکٹ جیسے دیگر کھیلوں کا عروج</v>
      </c>
      <c r="L69" s="6" t="str">
        <f>IFERROR(__xludf.DUMMYFUNCTION("GOOGLETRANSLATE(E69, ""en"", ""ur"")"),"شہری کاری کی وجہ سے کھلے میدان ختم ہو گئے ہیں اور جدید کھیل شہر کے نوجوانوں میں زیادہ مقبول ہو گئے ہیں۔")</f>
        <v>شہری کاری کی وجہ سے کھلے میدان ختم ہو گئے ہیں اور جدید کھیل شہر کے نوجوانوں میں زیادہ مقبول ہو گئے ہیں۔</v>
      </c>
    </row>
    <row r="70">
      <c r="A70" s="4">
        <v>69.0</v>
      </c>
      <c r="B70" s="5" t="s">
        <v>2037</v>
      </c>
      <c r="C70" s="5" t="s">
        <v>2038</v>
      </c>
      <c r="D70" s="5" t="s">
        <v>2039</v>
      </c>
      <c r="E70" s="5" t="s">
        <v>2040</v>
      </c>
      <c r="H70" s="6" t="str">
        <f>IFERROR(__xludf.DUMMYFUNCTION("GOOGLETRANSLATE(A70, ""en"", ""ur"")"),"69")</f>
        <v>69</v>
      </c>
      <c r="I70" s="6" t="str">
        <f>IFERROR(__xludf.DUMMYFUNCTION("GOOGLETRANSLATE(B70, ""en"", ""ur"")"),"ایک اسٹرائیکر گلی کو مارتا ہے، اور ایک فیلڈر اسے پکڑنے کی کوشش کرتا ہے لیکن اسے گرا دیتا ہے۔ اسٹرائیکر کی کیا حیثیت ہے؟")</f>
        <v>ایک اسٹرائیکر گلی کو مارتا ہے، اور ایک فیلڈر اسے پکڑنے کی کوشش کرتا ہے لیکن اسے گرا دیتا ہے۔ اسٹرائیکر کی کیا حیثیت ہے؟</v>
      </c>
      <c r="J70" s="6" t="str">
        <f>IFERROR(__xludf.DUMMYFUNCTION("GOOGLETRANSLATE(C70, ""en"", ""ur"")"),"A) آؤٹ، B) ناٹ آؤٹ، C) انہیں وارننگ ملتی ہے، D) باری دوبارہ چلائی جاتی ہے۔")</f>
        <v>A) آؤٹ، B) ناٹ آؤٹ، C) انہیں وارننگ ملتی ہے، D) باری دوبارہ چلائی جاتی ہے۔</v>
      </c>
      <c r="K70" s="6" t="str">
        <f>IFERROR(__xludf.DUMMYFUNCTION("GOOGLETRANSLATE(D70, ""en"", ""ur"")"),"ب) ناٹ آؤٹ")</f>
        <v>ب) ناٹ آؤٹ</v>
      </c>
      <c r="L70" s="6" t="str">
        <f>IFERROR(__xludf.DUMMYFUNCTION("GOOGLETRANSLATE(E70, ""en"", ""ur"")"),"گرا ہوا کیچ آؤٹ نہیں ہوتا۔ فیلڈر کو اب گھر پر ڈنڈا مار کر اسٹرائیکر کو آؤٹ کرنے کی کوشش کرنی ہوگی۔")</f>
        <v>گرا ہوا کیچ آؤٹ نہیں ہوتا۔ فیلڈر کو اب گھر پر ڈنڈا مار کر اسٹرائیکر کو آؤٹ کرنے کی کوشش کرنی ہوگی۔</v>
      </c>
    </row>
    <row r="71">
      <c r="A71" s="4">
        <v>70.0</v>
      </c>
      <c r="B71" s="5" t="s">
        <v>2041</v>
      </c>
      <c r="C71" s="5" t="s">
        <v>2042</v>
      </c>
      <c r="D71" s="5" t="s">
        <v>2043</v>
      </c>
      <c r="E71" s="5" t="s">
        <v>2044</v>
      </c>
      <c r="H71" s="6" t="str">
        <f>IFERROR(__xludf.DUMMYFUNCTION("GOOGLETRANSLATE(A71, ""en"", ""ur"")"),"70")</f>
        <v>70</v>
      </c>
      <c r="I71" s="6" t="str">
        <f>IFERROR(__xludf.DUMMYFUNCTION("GOOGLETRANSLATE(B71, ""en"", ""ur"")"),"پاکستان میں اعلیٰ قسم کی گلی اور ڈنڈا بنانے کے لیے سب سے زیادہ استعمال ہونے والی لکڑی کون سی ہے؟")</f>
        <v>پاکستان میں اعلیٰ قسم کی گلی اور ڈنڈا بنانے کے لیے سب سے زیادہ استعمال ہونے والی لکڑی کون سی ہے؟</v>
      </c>
      <c r="J71" s="6" t="str">
        <f>IFERROR(__xludf.DUMMYFUNCTION("GOOGLETRANSLATE(C71, ""en"", ""ur"")"),"اے) پائن، بی) اوک، سی) شیشم (انڈین روز ووڈ)، ڈی) میپل")</f>
        <v>اے) پائن، بی) اوک، سی) شیشم (انڈین روز ووڈ)، ڈی) میپل</v>
      </c>
      <c r="K71" s="6" t="str">
        <f>IFERROR(__xludf.DUMMYFUNCTION("GOOGLETRANSLATE(D71, ""en"", ""ur"")"),"سی) شیشم (انڈین روز ووڈ)")</f>
        <v>سی) شیشم (انڈین روز ووڈ)</v>
      </c>
      <c r="L71" s="6" t="str">
        <f>IFERROR(__xludf.DUMMYFUNCTION("GOOGLETRANSLATE(E71, ""en"", ""ur"")"),"شیشم ایک گھنی، پائیدار لکڑی ہے جو عام طور پر خطے میں روایتی فرنیچر اور کھیلوں کے سامان بنانے کے لیے استعمال ہوتی ہے۔")</f>
        <v>شیشم ایک گھنی، پائیدار لکڑی ہے جو عام طور پر خطے میں روایتی فرنیچر اور کھیلوں کے سامان بنانے کے لیے استعمال ہوتی ہے۔</v>
      </c>
    </row>
    <row r="72">
      <c r="A72" s="4">
        <v>71.0</v>
      </c>
      <c r="B72" s="5" t="s">
        <v>2045</v>
      </c>
      <c r="C72" s="5" t="s">
        <v>2046</v>
      </c>
      <c r="D72" s="5" t="s">
        <v>2047</v>
      </c>
      <c r="E72" s="5" t="s">
        <v>2048</v>
      </c>
      <c r="H72" s="6" t="str">
        <f>IFERROR(__xludf.DUMMYFUNCTION("GOOGLETRANSLATE(A72, ""en"", ""ur"")"),"71")</f>
        <v>71</v>
      </c>
      <c r="I72" s="6" t="str">
        <f>IFERROR(__xludf.DUMMYFUNCTION("GOOGLETRANSLATE(B72, ""en"", ""ur"")"),"'رن آؤٹ' تغیر میں، گلی کو مارنے کے بعد اسٹرائیکر کو کیا کرنا چاہیے؟")</f>
        <v>'رن آؤٹ' تغیر میں، گلی کو مارنے کے بعد اسٹرائیکر کو کیا کرنا چاہیے؟</v>
      </c>
      <c r="J72" s="6" t="str">
        <f>IFERROR(__xludf.DUMMYFUNCTION("GOOGLETRANSLATE(C72, ""en"", ""ur"")"),"A) فاصلے کی پیمائش کریں، B) پہلے سے طے شدہ نقطہ کی طرف دوڑیں اور پیچھے، C) گلی کو دوبارہ ماریں، D) فیلڈر کا انتظار کریں۔")</f>
        <v>A) فاصلے کی پیمائش کریں، B) پہلے سے طے شدہ نقطہ کی طرف دوڑیں اور پیچھے، C) گلی کو دوبارہ ماریں، D) فیلڈر کا انتظار کریں۔</v>
      </c>
      <c r="K72" s="6" t="str">
        <f>IFERROR(__xludf.DUMMYFUNCTION("GOOGLETRANSLATE(D72, ""en"", ""ur"")"),"ب) پہلے سے طے شدہ نقطہ کی طرف بھاگیں اور پیچھے جائیں۔")</f>
        <v>ب) پہلے سے طے شدہ نقطہ کی طرف بھاگیں اور پیچھے جائیں۔</v>
      </c>
      <c r="L72" s="6" t="str">
        <f>IFERROR(__xludf.DUMMYFUNCTION("GOOGLETRANSLATE(E72, ""en"", ""ur"")"),"اس ورژن میں، اسٹرائیکر ایک رن مکمل کر کے اسکور کرتا ہے اس سے پہلے کہ فیلڈر گلی کو بازیافت کر سکے اور ہوم بیس کو مار سکے۔")</f>
        <v>اس ورژن میں، اسٹرائیکر ایک رن مکمل کر کے اسکور کرتا ہے اس سے پہلے کہ فیلڈر گلی کو بازیافت کر سکے اور ہوم بیس کو مار سکے۔</v>
      </c>
    </row>
    <row r="73">
      <c r="A73" s="4">
        <v>72.0</v>
      </c>
      <c r="B73" s="5" t="s">
        <v>2049</v>
      </c>
      <c r="C73" s="5" t="s">
        <v>2050</v>
      </c>
      <c r="D73" s="5" t="s">
        <v>2051</v>
      </c>
      <c r="E73" s="7" t="s">
        <v>2052</v>
      </c>
      <c r="H73" s="6" t="str">
        <f>IFERROR(__xludf.DUMMYFUNCTION("GOOGLETRANSLATE(A73, ""en"", ""ur"")"),"72")</f>
        <v>72</v>
      </c>
      <c r="I73" s="6" t="str">
        <f>IFERROR(__xludf.DUMMYFUNCTION("GOOGLETRANSLATE(B73, ""en"", ""ur"")"),"'ساوا' ایک اصطلاح ہے جو کچھ تغیرات میں استعمال ہوتی ہے۔ اس کا کیا مطلب ہے؟")</f>
        <v>'ساوا' ایک اصطلاح ہے جو کچھ تغیرات میں استعمال ہوتی ہے۔ اس کا کیا مطلب ہے؟</v>
      </c>
      <c r="J73" s="6" t="str">
        <f>IFERROR(__xludf.DUMMYFUNCTION("GOOGLETRANSLATE(C73, ""en"", ""ur"")"),"A) ایک بہترین ہٹ، B) ایک اضافی پوائنٹ یا بونس، C) ایک غلط، D) کھیل کا اختتام")</f>
        <v>A) ایک بہترین ہٹ، B) ایک اضافی پوائنٹ یا بونس، C) ایک غلط، D) کھیل کا اختتام</v>
      </c>
      <c r="K73" s="6" t="str">
        <f>IFERROR(__xludf.DUMMYFUNCTION("GOOGLETRANSLATE(D73, ""en"", ""ur"")"),"ب) ایک اضافی پوائنٹ یا بونس")</f>
        <v>ب) ایک اضافی پوائنٹ یا بونس</v>
      </c>
      <c r="L73" s="6" t="str">
        <f>IFERROR(__xludf.DUMMYFUNCTION("GOOGLETRANSLATE(E73, ""en"", ""ur"")"),"Sawa' ایک بونس ضرب کا حوالہ دے سکتا ہے، جہاں ایک بہت لمبی ہٹ اضافی پوائنٹس اسکور کرتی ہے۔")</f>
        <v>Sawa' ایک بونس ضرب کا حوالہ دے سکتا ہے، جہاں ایک بہت لمبی ہٹ اضافی پوائنٹس اسکور کرتی ہے۔</v>
      </c>
    </row>
    <row r="74">
      <c r="A74" s="4">
        <v>73.0</v>
      </c>
      <c r="B74" s="5" t="s">
        <v>2053</v>
      </c>
      <c r="C74" s="5" t="s">
        <v>2054</v>
      </c>
      <c r="D74" s="5" t="s">
        <v>2055</v>
      </c>
      <c r="E74" s="5" t="s">
        <v>2056</v>
      </c>
      <c r="H74" s="6" t="str">
        <f>IFERROR(__xludf.DUMMYFUNCTION("GOOGLETRANSLATE(A74, ""en"", ""ur"")"),"73")</f>
        <v>73</v>
      </c>
      <c r="I74" s="6" t="str">
        <f>IFERROR(__xludf.DUMMYFUNCTION("GOOGLETRANSLATE(B74, ""en"", ""ur"")"),"گلی کو مارنے کے لیے ایک طرف کا موقف کیوں تجویز کیا جاتا ہے؟")</f>
        <v>گلی کو مارنے کے لیے ایک طرف کا موقف کیوں تجویز کیا جاتا ہے؟</v>
      </c>
      <c r="J74" s="6" t="str">
        <f>IFERROR(__xludf.DUMMYFUNCTION("GOOGLETRANSLATE(C74, ""en"", ""ur"")"),"A) یہ زیادہ روایتی ہے، B) یہ زیادہ سے زیادہ جسم کی گردش اور طاقت کی اجازت دیتا ہے، C) یہ فیلڈ کا بہتر نظارہ فراہم کرتا ہے، D) یہ دوڑنا آسان بناتا ہے۔")</f>
        <v>A) یہ زیادہ روایتی ہے، B) یہ زیادہ سے زیادہ جسم کی گردش اور طاقت کی اجازت دیتا ہے، C) یہ فیلڈ کا بہتر نظارہ فراہم کرتا ہے، D) یہ دوڑنا آسان بناتا ہے۔</v>
      </c>
      <c r="K74" s="6" t="str">
        <f>IFERROR(__xludf.DUMMYFUNCTION("GOOGLETRANSLATE(D74, ""en"", ""ur"")"),"ب) یہ زیادہ سے زیادہ جسم کی گردش اور طاقت کی اجازت دیتا ہے۔")</f>
        <v>ب) یہ زیادہ سے زیادہ جسم کی گردش اور طاقت کی اجازت دیتا ہے۔</v>
      </c>
      <c r="L74" s="6" t="str">
        <f>IFERROR(__xludf.DUMMYFUNCTION("GOOGLETRANSLATE(E74, ""en"", ""ur"")"),"کرکٹ یا بیس بال میں بیٹنگ کی طرح، ایک طرف کا موقف کھلاڑی کو اس قابل بناتا ہے کہ وہ اپنے پورے جسم کو جھولے میں طاقت پیدا کرنے کے لیے استعمال کر سکے۔")</f>
        <v>کرکٹ یا بیس بال میں بیٹنگ کی طرح، ایک طرف کا موقف کھلاڑی کو اس قابل بناتا ہے کہ وہ اپنے پورے جسم کو جھولے میں طاقت پیدا کرنے کے لیے استعمال کر سکے۔</v>
      </c>
    </row>
    <row r="75">
      <c r="A75" s="4">
        <v>74.0</v>
      </c>
      <c r="B75" s="5" t="s">
        <v>2057</v>
      </c>
      <c r="C75" s="5" t="s">
        <v>2058</v>
      </c>
      <c r="D75" s="5" t="s">
        <v>2059</v>
      </c>
      <c r="E75" s="5" t="s">
        <v>2060</v>
      </c>
      <c r="H75" s="6" t="str">
        <f>IFERROR(__xludf.DUMMYFUNCTION("GOOGLETRANSLATE(A75, ""en"", ""ur"")"),"74")</f>
        <v>74</v>
      </c>
      <c r="I75" s="6" t="str">
        <f>IFERROR(__xludf.DUMMYFUNCTION("GOOGLETRANSLATE(B75, ""en"", ""ur"")"),"ایک فیلڈر اپنے پاؤں سے گلی کو روکتا ہے۔ کیا اس کی اجازت ہے؟")</f>
        <v>ایک فیلڈر اپنے پاؤں سے گلی کو روکتا ہے۔ کیا اس کی اجازت ہے؟</v>
      </c>
      <c r="J75" s="6" t="str">
        <f>IFERROR(__xludf.DUMMYFUNCTION("GOOGLETRANSLATE(C75, ""en"", ""ur"")"),"A)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f>
        <v>A) نہیں، صرف ہاتھ استعمال کیے جا سکتے ہیں، B) ہاں، ایک فیلڈر اپنے جسم کے کسی بھی حصے سے گلی کو روک سکتا ہے، C) صرف اس صورت میں جب گلی زمین پر ہو، D) اس کے نتیجے میں جرمانہ ہو گا۔</v>
      </c>
      <c r="K75" s="6" t="str">
        <f>IFERROR(__xludf.DUMMYFUNCTION("GOOGLETRANSLATE(D75, ""en"", ""ur"")"),"ب) جی ہاں، ایک فیلڈر اپنے جسم کے کسی بھی حصے سے گلی کو روک سکتا ہے۔")</f>
        <v>ب) جی ہاں، ایک فیلڈر اپنے جسم کے کسی بھی حصے سے گلی کو روک سکتا ہے۔</v>
      </c>
      <c r="L75" s="6" t="str">
        <f>IFERROR(__xludf.DUMMYFUNCTION("GOOGLETRANSLATE(E75, ""en"", ""ur"")"),"ایک فیلڈر گلی کو پھینکنے سے پہلے اسے روکنے کے لیے اپنے ہاتھ، پاؤں یا جسم کا استعمال کر سکتا ہے۔")</f>
        <v>ایک فیلڈر گلی کو پھینکنے سے پہلے اسے روکنے کے لیے اپنے ہاتھ، پاؤں یا جسم کا استعمال کر سکتا ہے۔</v>
      </c>
    </row>
    <row r="76">
      <c r="A76" s="4">
        <v>75.0</v>
      </c>
      <c r="B76" s="5" t="s">
        <v>2061</v>
      </c>
      <c r="C76" s="5" t="s">
        <v>2062</v>
      </c>
      <c r="D76" s="5" t="s">
        <v>2063</v>
      </c>
      <c r="E76" s="5" t="s">
        <v>2064</v>
      </c>
      <c r="H76" s="6" t="str">
        <f>IFERROR(__xludf.DUMMYFUNCTION("GOOGLETRANSLATE(A76, ""en"", ""ur"")"),"75")</f>
        <v>75</v>
      </c>
      <c r="I76" s="6" t="str">
        <f>IFERROR(__xludf.DUMMYFUNCTION("GOOGLETRANSLATE(B76, ""en"", ""ur"")"),"اصطلاح 'لمبی پاری' کا کیا مطلب ہے؟")</f>
        <v>اصطلاح 'لمبی پاری' کا کیا مطلب ہے؟</v>
      </c>
      <c r="J76" s="6" t="str">
        <f>IFERROR(__xludf.DUMMYFUNCTION("GOOGLETRANSLATE(C76, ""en"", ""ur"")"),"A) ایک مختصر موڑ، B) ایک لمبی اننگز یا زیادہ سکور کرنے والا موڑ، C) فائنل کھلاڑی، D) ایک ٹائی گیم")</f>
        <v>A) ایک مختصر موڑ، B) ایک لمبی اننگز یا زیادہ سکور کرنے والا موڑ، C) فائنل کھلاڑی، D) ایک ٹائی گیم</v>
      </c>
      <c r="K76" s="6" t="str">
        <f>IFERROR(__xludf.DUMMYFUNCTION("GOOGLETRANSLATE(D76, ""en"", ""ur"")"),"ب) ایک لمبی اننگز یا زیادہ سکور کرنے والا موڑ")</f>
        <v>ب) ایک لمبی اننگز یا زیادہ سکور کرنے والا موڑ</v>
      </c>
      <c r="L76" s="6" t="str">
        <f>IFERROR(__xludf.DUMMYFUNCTION("GOOGLETRANSLATE(E76, ""en"", ""ur"")"),"یہ اصطلاح ایک اسٹرائیکر کی وضاحت کے لیے استعمال کی جاتی ہے جو بہت کامیاب موڑ لے رہا ہے، گلی کو بہت دور مار رہا ہے اور ایک اعلی سکور جمع کر رہا ہے۔")</f>
        <v>یہ اصطلاح ایک اسٹرائیکر کی وضاحت کے لیے استعمال کی جاتی ہے جو بہت کامیاب موڑ لے رہا ہے، گلی کو بہت دور مار رہا ہے اور ایک اعلی سکور جمع کر رہا ہے۔</v>
      </c>
    </row>
    <row r="77">
      <c r="A77" s="4">
        <v>76.0</v>
      </c>
      <c r="B77" s="5" t="s">
        <v>2065</v>
      </c>
      <c r="C77" s="5" t="s">
        <v>2066</v>
      </c>
      <c r="D77" s="5" t="s">
        <v>2067</v>
      </c>
      <c r="E77" s="5" t="s">
        <v>2068</v>
      </c>
      <c r="H77" s="6" t="str">
        <f>IFERROR(__xludf.DUMMYFUNCTION("GOOGLETRANSLATE(A77, ""en"", ""ur"")"),"76")</f>
        <v>76</v>
      </c>
      <c r="I77" s="6" t="str">
        <f>IFERROR(__xludf.DUMMYFUNCTION("GOOGLETRANSLATE(B77, ""en"", ""ur"")"),"ایک فیلڈر اسٹرائیکر کے بالکل قریب کھڑا ہے۔ کیا اس کی اجازت ہے؟")</f>
        <v>ایک فیلڈر اسٹرائیکر کے بالکل قریب کھڑا ہے۔ کیا اس کی اجازت ہے؟</v>
      </c>
      <c r="J77" s="6" t="str">
        <f>IFERROR(__xludf.DUMMYFUNCTION("GOOGLETRANSLATE(C77, ""en"", ""ur"")"),"A) نہیں، کم از کم فاصلے کا اصول ہے، B) ہاں، لیکن یہ خطرناک اور خطرناک ہے، C) صرف اس صورت میں جب وہ ہیلمٹ پہنے ہوئے ہوں، D) صرف ٹیم کا کپتان ہی قریب کھڑا ہو سکتا ہے۔")</f>
        <v>A) نہیں، کم از کم فاصلے کا اصول ہے، B) ہاں، لیکن یہ خطرناک اور خطرناک ہے، C) صرف اس صورت میں جب وہ ہیلمٹ پہنے ہوئے ہوں، D) صرف ٹیم کا کپتان ہی قریب کھڑا ہو سکتا ہے۔</v>
      </c>
      <c r="K77" s="6" t="str">
        <f>IFERROR(__xludf.DUMMYFUNCTION("GOOGLETRANSLATE(D77, ""en"", ""ur"")"),"ب) ہاں، لیکن یہ خطرناک اور خطرناک ہے۔")</f>
        <v>ب) ہاں، لیکن یہ خطرناک اور خطرناک ہے۔</v>
      </c>
      <c r="L77" s="6" t="str">
        <f>IFERROR(__xludf.DUMMYFUNCTION("GOOGLETRANSLATE(E77, ""en"", ""ur"")"),"فیلڈر کی جگہ کے بارے میں عام طور پر کوئی باقاعدہ اصول نہیں ہوتے ہیں، لیکن بہت قریب کھڑے ہونا (جیسے کرکٹ میں ""سیلی پوائنٹ"") شارٹ ہٹ پکڑنے کے لیے ایک اعلی خطرہ والی پوزیشن ہے۔")</f>
        <v>فیلڈر کی جگہ کے بارے میں عام طور پر کوئی باقاعدہ اصول نہیں ہوتے ہیں، لیکن بہت قریب کھڑے ہونا (جیسے کرکٹ میں "سیلی پوائنٹ") شارٹ ہٹ پکڑنے کے لیے ایک اعلی خطرہ والی پوزیشن ہے۔</v>
      </c>
    </row>
    <row r="78">
      <c r="A78" s="4">
        <v>77.0</v>
      </c>
      <c r="B78" s="5" t="s">
        <v>2069</v>
      </c>
      <c r="C78" s="5" t="s">
        <v>2070</v>
      </c>
      <c r="D78" s="5" t="s">
        <v>2071</v>
      </c>
      <c r="E78" s="5" t="s">
        <v>2072</v>
      </c>
      <c r="H78" s="6" t="str">
        <f>IFERROR(__xludf.DUMMYFUNCTION("GOOGLETRANSLATE(A78, ""en"", ""ur"")"),"77")</f>
        <v>77</v>
      </c>
      <c r="I78" s="6" t="str">
        <f>IFERROR(__xludf.DUMMYFUNCTION("GOOGLETRANSLATE(B78, ""en"", ""ur"")"),"اسٹرائیکر گلی کو مارتا ہے، جو رول کرتا ہے اور فیلڈر کے جوتے کو چھوتا ہے۔ فیلڈر پھر اسے اٹھاتا ہے۔ نتیجہ کیا ہے؟")</f>
        <v>اسٹرائیکر گلی کو مارتا ہے، جو رول کرتا ہے اور فیلڈر کے جوتے کو چھوتا ہے۔ فیلڈر پھر اسے اٹھاتا ہے۔ نتیجہ کیا ہے؟</v>
      </c>
      <c r="J78" s="6" t="str">
        <f>IFERROR(__xludf.DUMMYFUNCTION("GOOGLETRANSLATE(C78, ""en"", ""ur"")"),"A) اسٹرائیکر آؤٹ ہے، B) اسٹرائیکر ناٹ آؤٹ ہے، C) باری دوبارہ چلائی جاتی ہے، D) فیلڈر کو جرمانہ کیا جاتا ہے")</f>
        <v>A) اسٹرائیکر آؤٹ ہے، B) اسٹرائیکر ناٹ آؤٹ ہے، C) باری دوبارہ چلائی جاتی ہے، D) فیلڈر کو جرمانہ کیا جاتا ہے</v>
      </c>
      <c r="K78" s="6" t="str">
        <f>IFERROR(__xludf.DUMMYFUNCTION("GOOGLETRANSLATE(D78, ""en"", ""ur"")"),"ب) اسٹرائیکر ناٹ آؤٹ ہے۔")</f>
        <v>ب) اسٹرائیکر ناٹ آؤٹ ہے۔</v>
      </c>
      <c r="L78" s="6" t="str">
        <f>IFERROR(__xludf.DUMMYFUNCTION("GOOGLETRANSLATE(E78, ""en"", ""ur"")"),"گلی کو ہوا میں پکڑنا ضروری ہے۔ ایک بار جب یہ گراؤنڈ یا گراؤنڈ کھلاڑی کو چھو لیتا ہے، تو یہ کیچ نہیں رہتا۔")</f>
        <v>گلی کو ہوا میں پکڑنا ضروری ہے۔ ایک بار جب یہ گراؤنڈ یا گراؤنڈ کھلاڑی کو چھو لیتا ہے، تو یہ کیچ نہیں رہتا۔</v>
      </c>
    </row>
    <row r="79">
      <c r="A79" s="4">
        <v>78.0</v>
      </c>
      <c r="B79" s="5" t="s">
        <v>2073</v>
      </c>
      <c r="C79" s="5" t="s">
        <v>2074</v>
      </c>
      <c r="D79" s="5" t="s">
        <v>2075</v>
      </c>
      <c r="E79" s="5" t="s">
        <v>2076</v>
      </c>
      <c r="H79" s="6" t="str">
        <f>IFERROR(__xludf.DUMMYFUNCTION("GOOGLETRANSLATE(A79, ""en"", ""ur"")"),"78")</f>
        <v>78</v>
      </c>
      <c r="I79" s="6" t="str">
        <f>IFERROR(__xludf.DUMMYFUNCTION("GOOGLETRANSLATE(B79, ""en"", ""ur"")"),"'ٹپ بلی' کیا ہے؟")</f>
        <v>'ٹپ بلی' کیا ہے؟</v>
      </c>
      <c r="J79" s="6" t="str">
        <f>IFERROR(__xludf.DUMMYFUNCTION("GOOGLETRANSLATE(C79, ""en"", ""ur"")"),"A) کھیل کا ایک تغیر، B) گلی ڈنڈا کا انگریزی نام، C) فیلڈنگ ٹیم کا نام، D) جیتنے والی ٹرافی کا نام")</f>
        <v>A) کھیل کا ایک تغیر، B) گلی ڈنڈا کا انگریزی نام، C) فیلڈنگ ٹیم کا نام، D) جیتنے والی ٹرافی کا نام</v>
      </c>
      <c r="K79" s="6" t="str">
        <f>IFERROR(__xludf.DUMMYFUNCTION("GOOGLETRANSLATE(D79, ""en"", ""ur"")"),"ب) گلی ڈنڈا کا انگریزی نام")</f>
        <v>ب) گلی ڈنڈا کا انگریزی نام</v>
      </c>
      <c r="L79" s="6" t="str">
        <f>IFERROR(__xludf.DUMMYFUNCTION("GOOGLETRANSLATE(E79, ""en"", ""ur"")"),"گلی ڈنڈا عالمی سطح پر بہت سے ناموں سے جانا جاتا ہے، اور 'ٹپ-کیٹ' انگلینڈ میں اس کا عام نام ہے۔")</f>
        <v>گلی ڈنڈا عالمی سطح پر بہت سے ناموں سے جانا جاتا ہے، اور 'ٹپ-کیٹ' انگلینڈ میں اس کا عام نام ہے۔</v>
      </c>
    </row>
    <row r="80">
      <c r="A80" s="4">
        <v>79.0</v>
      </c>
      <c r="B80" s="5" t="s">
        <v>2077</v>
      </c>
      <c r="C80" s="5" t="s">
        <v>2078</v>
      </c>
      <c r="D80" s="5" t="s">
        <v>2079</v>
      </c>
      <c r="E80" s="5" t="s">
        <v>2080</v>
      </c>
      <c r="H80" s="6" t="str">
        <f>IFERROR(__xludf.DUMMYFUNCTION("GOOGLETRANSLATE(A80, ""en"", ""ur"")"),"79")</f>
        <v>79</v>
      </c>
      <c r="I80" s="6" t="str">
        <f>IFERROR(__xludf.DUMMYFUNCTION("GOOGLETRANSLATE(B80, ""en"", ""ur"")"),"ابتدائی، چھوٹی ہٹ کا بنیادی مقصد کیا ہے جو گلی کو ہوا میں اڑا دیتا ہے؟")</f>
        <v>ابتدائی، چھوٹی ہٹ کا بنیادی مقصد کیا ہے جو گلی کو ہوا میں اڑا دیتا ہے؟</v>
      </c>
      <c r="J80" s="6" t="str">
        <f>IFERROR(__xludf.DUMMYFUNCTION("GOOGLETRANSLATE(C80, ""en"", ""ur"")"),"A) ایک پوائنٹ حاصل کرنے کے لیے، B) فاصلے کے لیے اہم، طاقتور اسٹرائیک قائم کرنے کے لیے، C) فیلڈرز کو الجھانے کے لیے، D) ہوا کی سمت کو جانچنا")</f>
        <v>A) ایک پوائنٹ حاصل کرنے کے لیے، B) فاصلے کے لیے اہم، طاقتور اسٹرائیک قائم کرنے کے لیے، C) فیلڈرز کو الجھانے کے لیے، D) ہوا کی سمت کو جانچنا</v>
      </c>
      <c r="K80" s="6" t="str">
        <f>IFERROR(__xludf.DUMMYFUNCTION("GOOGLETRANSLATE(D80, ""en"", ""ur"")"),"ب) فاصلے کے لئے اہم، طاقتور ہڑتال قائم کرنے کے لئے")</f>
        <v>ب) فاصلے کے لئے اہم، طاقتور ہڑتال قائم کرنے کے لئے</v>
      </c>
      <c r="L80" s="6" t="str">
        <f>IFERROR(__xludf.DUMMYFUNCTION("GOOGLETRANSLATE(E80, ""en"", ""ur"")"),"پہلی ہٹ ایک سیٹ اپ ہے، جسے گلی کو ہوا سے باہر نکالنے کے لیے ڈیزائن کیا گیا ہے تاکہ اسے دوسری ہٹ پر پوری قوت سے مارا جا سکے۔")</f>
        <v>پہلی ہٹ ایک سیٹ اپ ہے، جسے گلی کو ہوا سے باہر نکالنے کے لیے ڈیزائن کیا گیا ہے تاکہ اسے دوسری ہٹ پر پوری قوت سے مارا جا سکے۔</v>
      </c>
    </row>
    <row r="81">
      <c r="A81" s="4">
        <v>80.0</v>
      </c>
      <c r="B81" s="5" t="s">
        <v>2081</v>
      </c>
      <c r="C81" s="5" t="s">
        <v>2082</v>
      </c>
      <c r="D81" s="5" t="s">
        <v>1781</v>
      </c>
      <c r="E81" s="5" t="s">
        <v>2083</v>
      </c>
      <c r="H81" s="6" t="str">
        <f>IFERROR(__xludf.DUMMYFUNCTION("GOOGLETRANSLATE(A81, ""en"", ""ur"")"),"80")</f>
        <v>80</v>
      </c>
      <c r="I81" s="6" t="str">
        <f>IFERROR(__xludf.DUMMYFUNCTION("GOOGLETRANSLATE(B81, ""en"", ""ur"")"),"ایک فیلڈر گلی کو واپس 'گچھی' (سوراخ) کی طرف پھینکتا ہے اور ڈنڈے کو مارتا ہے، جسے اسٹرائیکر نے اس پر رکھا تھا۔ نتیجہ کیا ہے؟")</f>
        <v>ایک فیلڈر گلی کو واپس 'گچھی' (سوراخ) کی طرف پھینکتا ہے اور ڈنڈے کو مارتا ہے، جسے اسٹرائیکر نے اس پر رکھا تھا۔ نتیجہ کیا ہے؟</v>
      </c>
      <c r="J81" s="6" t="str">
        <f>IFERROR(__xludf.DUMMYFUNCTION("GOOGLETRANSLATE(C81, ""en"", ""ur"")"),"A) اسٹرائیکر ناٹ آؤٹ ہے، B) اسٹرائیکر آؤٹ ہے، C) فیلڈر کو پوائنٹ ملتا ہے، D) باری دوبارہ چلائی جاتی ہے۔")</f>
        <v>A) اسٹرائیکر ناٹ آؤٹ ہے، B) اسٹرائیکر آؤٹ ہے، C) فیلڈر کو پوائنٹ ملتا ہے، D) باری دوبارہ چلائی جاتی ہے۔</v>
      </c>
      <c r="K81" s="6" t="str">
        <f>IFERROR(__xludf.DUMMYFUNCTION("GOOGLETRANSLATE(D81, ""en"", ""ur"")"),"ب) اسٹرائیکر باہر ہے۔")</f>
        <v>ب) اسٹرائیکر باہر ہے۔</v>
      </c>
      <c r="L81" s="6" t="str">
        <f>IFERROR(__xludf.DUMMYFUNCTION("GOOGLETRANSLATE(E81, ""en"", ""ur"")"),"اسٹرائیکر کو آؤٹ کرنے کا یہ دوسرا بنیادی طریقہ ہے۔ اگر گلی کو کیچ نہ کیا جائے تو فیلڈر گھر پر ڈنڈا مار کر اسٹرائیکر کو ’’رن آؤٹ‘‘ کر سکتا ہے۔")</f>
        <v>اسٹرائیکر کو آؤٹ کرنے کا یہ دوسرا بنیادی طریقہ ہے۔ اگر گلی کو کیچ نہ کیا جائے تو فیلڈر گھر پر ڈنڈا مار کر اسٹرائیکر کو ’’رن آؤٹ‘‘ کر سکتا ہے۔</v>
      </c>
    </row>
    <row r="82">
      <c r="A82" s="4">
        <v>81.0</v>
      </c>
      <c r="B82" s="5" t="s">
        <v>2084</v>
      </c>
      <c r="C82" s="5" t="s">
        <v>2085</v>
      </c>
      <c r="D82" s="5" t="s">
        <v>2086</v>
      </c>
      <c r="E82" s="5" t="s">
        <v>2087</v>
      </c>
      <c r="H82" s="6" t="str">
        <f>IFERROR(__xludf.DUMMYFUNCTION("GOOGLETRANSLATE(A82, ""en"", ""ur"")"),"81")</f>
        <v>81</v>
      </c>
      <c r="I82" s="6" t="str">
        <f>IFERROR(__xludf.DUMMYFUNCTION("GOOGLETRANSLATE(B82, ""en"", ""ur"")"),"پاکستان میں گلی ڈنڈا کو 'جگاڑ' کا کھیل کیوں سمجھا جاتا ہے؟")</f>
        <v>پاکستان میں گلی ڈنڈا کو 'جگاڑ' کا کھیل کیوں سمجھا جاتا ہے؟</v>
      </c>
      <c r="J82" s="6" t="str">
        <f>IFERROR(__xludf.DUMMYFUNCTION("GOOGLETRANSLATE(C82, ""en"", ""ur"")"),"A) قوانین بہت سخت ہیں، B) کھلاڑیوں کو اکثر سامان اور کھیل کے میدانوں کو بہتر بنانا پڑتا ہے، C) اس کے لیے بہت زیادہ رقم درکار ہوتی ہے، D) یہ ایک انفرادی کھیل ہے")</f>
        <v>A) قوانین بہت سخت ہیں، B) کھلاڑیوں کو اکثر سامان اور کھیل کے میدانوں کو بہتر بنانا پڑتا ہے، C) اس کے لیے بہت زیادہ رقم درکار ہوتی ہے، D) یہ ایک انفرادی کھیل ہے</v>
      </c>
      <c r="K82" s="6" t="str">
        <f>IFERROR(__xludf.DUMMYFUNCTION("GOOGLETRANSLATE(D82, ""en"", ""ur"")"),"ب) کھلاڑیوں کو اکثر سامان اور کھیل کے میدانوں کو بہتر بنانا پڑتا ہے۔")</f>
        <v>ب) کھلاڑیوں کو اکثر سامان اور کھیل کے میدانوں کو بہتر بنانا پڑتا ہے۔</v>
      </c>
      <c r="L82" s="6" t="str">
        <f>IFERROR(__xludf.DUMMYFUNCTION("GOOGLETRANSLATE(E82, ""en"", ""ur"")"),"'جوگار' کی روح آپ کے پاس جو کچھ ہے اسے کرنے کے بارے میں ہے۔ گلی ڈنڈا، اپنے سادہ، اکثر خود ساختہ سازوسامان کے ساتھ، بالکل اس کو مجسم کرتا ہے۔")</f>
        <v>'جوگار' کی روح آپ کے پاس جو کچھ ہے اسے کرنے کے بارے میں ہے۔ گلی ڈنڈا، اپنے سادہ، اکثر خود ساختہ سازوسامان کے ساتھ، بالکل اس کو مجسم کرتا ہے۔</v>
      </c>
    </row>
    <row r="83">
      <c r="A83" s="4">
        <v>82.0</v>
      </c>
      <c r="B83" s="5" t="s">
        <v>2088</v>
      </c>
      <c r="C83" s="5" t="s">
        <v>2089</v>
      </c>
      <c r="D83" s="5" t="s">
        <v>2090</v>
      </c>
      <c r="E83" s="5" t="s">
        <v>2091</v>
      </c>
      <c r="H83" s="6" t="str">
        <f>IFERROR(__xludf.DUMMYFUNCTION("GOOGLETRANSLATE(A83, ""en"", ""ur"")"),"82")</f>
        <v>82</v>
      </c>
      <c r="I83" s="6" t="str">
        <f>IFERROR(__xludf.DUMMYFUNCTION("GOOGLETRANSLATE(B83, ""en"", ""ur"")"),"ایک اسٹرائیکر گلی کو سیدھا اوپر مارتا ہے، اور یہ نیچے آتا ہے اور اس ڈنڈا سے ٹکراتا ہے جسے وہ پکڑے ہوئے ہیں۔ کیا اسٹرائیکر باہر ہے؟")</f>
        <v>ایک اسٹرائیکر گلی کو سیدھا اوپر مارتا ہے، اور یہ نیچے آتا ہے اور اس ڈنڈا سے ٹکراتا ہے جسے وہ پکڑے ہوئے ہیں۔ کیا اسٹرائیکر باہر ہے؟</v>
      </c>
      <c r="J83" s="6" t="str">
        <f>IFERROR(__xludf.DUMMYFUNCTION("GOOGLETRANSLATE(C83, ""en"", ""ur"")"),"A) جی ہاں، یہ 'ہٹ وکٹ' کی ایک شکل ہے، B) نہیں، یہ ایک فاؤل ہے ​​اور ٹرن کو دوبارہ چلایا جاتا ہے، C) نہیں، یہ صرف ایک مس ہٹ ہے، D) اسٹرائیکر کو مہارت کے لیے بونس پوائنٹ ملتا ہے۔")</f>
        <v>A) جی ہاں، یہ 'ہٹ وکٹ' کی ایک شکل ہے، B) نہیں، یہ ایک فاؤل ہے ​​اور ٹرن کو دوبارہ چلایا جاتا ہے، C) نہیں، یہ صرف ایک مس ہٹ ہے، D) اسٹرائیکر کو مہارت کے لیے بونس پوائنٹ ملتا ہے۔</v>
      </c>
      <c r="K83" s="6" t="str">
        <f>IFERROR(__xludf.DUMMYFUNCTION("GOOGLETRANSLATE(D83, ""en"", ""ur"")"),"C) نہیں، یہ صرف ایک یاد شدہ ہٹ ہے۔")</f>
        <v>C) نہیں، یہ صرف ایک یاد شدہ ہٹ ہے۔</v>
      </c>
      <c r="L83" s="6" t="str">
        <f>IFERROR(__xludf.DUMMYFUNCTION("GOOGLETRANSLATE(E83, ""en"", ""ur"")"),"اسے ایک ناکام کوشش تصور کیا جائے گا، اور اسٹرائیکر عام طور پر باری کے لیے اپنا ایک موقع کھو دے گا۔")</f>
        <v>اسے ایک ناکام کوشش تصور کیا جائے گا، اور اسٹرائیکر عام طور پر باری کے لیے اپنا ایک موقع کھو دے گا۔</v>
      </c>
    </row>
    <row r="84">
      <c r="A84" s="4">
        <v>83.0</v>
      </c>
      <c r="B84" s="5" t="s">
        <v>2092</v>
      </c>
      <c r="C84" s="5" t="s">
        <v>2093</v>
      </c>
      <c r="D84" s="5" t="s">
        <v>2094</v>
      </c>
      <c r="E84" s="5" t="s">
        <v>2095</v>
      </c>
      <c r="H84" s="6" t="str">
        <f>IFERROR(__xludf.DUMMYFUNCTION("GOOGLETRANSLATE(A84, ""en"", ""ur"")"),"83")</f>
        <v>83</v>
      </c>
      <c r="I84" s="6" t="str">
        <f>IFERROR(__xludf.DUMMYFUNCTION("GOOGLETRANSLATE(B84, ""en"", ""ur"")"),"'نار گلی' کی اصطلاح سے کیا مراد ہے؟")</f>
        <v>'نار گلی' کی اصطلاح سے کیا مراد ہے؟</v>
      </c>
      <c r="J84" s="6" t="str">
        <f>IFERROR(__xludf.DUMMYFUNCTION("GOOGLETRANSLATE(C84, ""en"", ""ur"")"),"A) ایک بہت لمبی ہٹ، B) ایک مس، C) ایک ایسا ورژن جہاں آپ کو مارنے سے پہلے ایک نمبر کال کرنا ضروری ہے، D) ایک بڑی گیلی کے ساتھ کھیلا جانے والا گیم")</f>
        <v>A) ایک بہت لمبی ہٹ، B) ایک مس، C) ایک ایسا ورژن جہاں آپ کو مارنے سے پہلے ایک نمبر کال کرنا ضروری ہے، D) ایک بڑی گیلی کے ساتھ کھیلا جانے والا گیم</v>
      </c>
      <c r="K84" s="6" t="str">
        <f>IFERROR(__xludf.DUMMYFUNCTION("GOOGLETRANSLATE(D84, ""en"", ""ur"")"),"C) ایک ایسا ورژن جہاں آپ کو مارنے سے پہلے ایک نمبر پر کال کرنا ضروری ہے۔")</f>
        <v>C) ایک ایسا ورژن جہاں آپ کو مارنے سے پہلے ایک نمبر پر کال کرنا ضروری ہے۔</v>
      </c>
      <c r="L84" s="6" t="str">
        <f>IFERROR(__xludf.DUMMYFUNCTION("GOOGLETRANSLATE(E84, ""en"", ""ur"")"),"اس تغیر میں، اسٹرائیکر ایک نمبر (پیش گوئی کردہ سکور) کو چلاتا ہے اور اپنی باری جاری رکھنے کے لیے اسے حاصل کرنا ضروری ہے۔")</f>
        <v>اس تغیر میں، اسٹرائیکر ایک نمبر (پیش گوئی کردہ سکور) کو چلاتا ہے اور اپنی باری جاری رکھنے کے لیے اسے حاصل کرنا ضروری ہے۔</v>
      </c>
    </row>
    <row r="85">
      <c r="A85" s="4">
        <v>84.0</v>
      </c>
      <c r="B85" s="5" t="s">
        <v>2096</v>
      </c>
      <c r="C85" s="5" t="s">
        <v>2097</v>
      </c>
      <c r="D85" s="5" t="s">
        <v>2098</v>
      </c>
      <c r="E85" s="5" t="s">
        <v>2099</v>
      </c>
      <c r="H85" s="6" t="str">
        <f>IFERROR(__xludf.DUMMYFUNCTION("GOOGLETRANSLATE(A85, ""en"", ""ur"")"),"84")</f>
        <v>84</v>
      </c>
      <c r="I85" s="6" t="str">
        <f>IFERROR(__xludf.DUMMYFUNCTION("GOOGLETRANSLATE(B85, ""en"", ""ur"")"),"ایک فیلڈر دستانے پہنے ہوئے ہے۔ کیا روایتی کھیل میں اس کی اجازت ہے؟")</f>
        <v>ایک فیلڈر دستانے پہنے ہوئے ہے۔ کیا روایتی کھیل میں اس کی اجازت ہے؟</v>
      </c>
      <c r="J85" s="6" t="str">
        <f>IFERROR(__xludf.DUMMYFUNCTION("GOOGLETRANSLATE(C85, ""en"", ""ur"")"),"A) ہاں، حفاظت کے لیے، B) نہیں، کھیل ننگے ہاتھ کھیلا جاتا ہے، C) صرف کپتان دستانے پہن سکتا ہے، D) صرف اس صورت میں جب گلی دھات سے بنی ہو۔")</f>
        <v>A) ہاں، حفاظت کے لیے، B) نہیں، کھیل ننگے ہاتھ کھیلا جاتا ہے، C) صرف کپتان دستانے پہن سکتا ہے، D) صرف اس صورت میں جب گلی دھات سے بنی ہو۔</v>
      </c>
      <c r="K85" s="6" t="str">
        <f>IFERROR(__xludf.DUMMYFUNCTION("GOOGLETRANSLATE(D85, ""en"", ""ur"")"),"ب) نہیں، یہ کھیل ننگے ہاتھ کھیلا جاتا ہے۔")</f>
        <v>ب) نہیں، یہ کھیل ننگے ہاتھ کھیلا جاتا ہے۔</v>
      </c>
      <c r="L85" s="6" t="str">
        <f>IFERROR(__xludf.DUMMYFUNCTION("GOOGLETRANSLATE(E85, ""en"", ""ur"")"),"روایتی طور پر، گلی ڈنڈا بغیر کسی حفاظتی پوشاک کے کھیلا جاتا ہے، اور کیچز کو ننگے ہاتھوں سے بنایا جانا چاہیے۔")</f>
        <v>روایتی طور پر، گلی ڈنڈا بغیر کسی حفاظتی پوشاک کے کھیلا جاتا ہے، اور کیچز کو ننگے ہاتھوں سے بنایا جانا چاہیے۔</v>
      </c>
    </row>
    <row r="86">
      <c r="A86" s="4">
        <v>85.0</v>
      </c>
      <c r="B86" s="5" t="s">
        <v>2100</v>
      </c>
      <c r="C86" s="5" t="s">
        <v>2101</v>
      </c>
      <c r="D86" s="5" t="s">
        <v>2102</v>
      </c>
      <c r="E86" s="5" t="s">
        <v>2103</v>
      </c>
      <c r="H86" s="6" t="str">
        <f>IFERROR(__xludf.DUMMYFUNCTION("GOOGLETRANSLATE(A86, ""en"", ""ur"")"),"85")</f>
        <v>85</v>
      </c>
      <c r="I86" s="6" t="str">
        <f>IFERROR(__xludf.DUMMYFUNCTION("GOOGLETRANSLATE(B86, ""en"", ""ur"")"),"گلی ڈنڈا کا بنیادی سماجی پہلو کیا ہے؟")</f>
        <v>گلی ڈنڈا کا بنیادی سماجی پہلو کیا ہے؟</v>
      </c>
      <c r="J86" s="6" t="str">
        <f>IFERROR(__xludf.DUMMYFUNCTION("GOOGLETRANSLATE(C86, ""en"", ""ur"")"),"A) یہ ایک انتہائی مسابقتی، پیشہ ورانہ کھیل ہے، B) یہ ایک ایسا کھیل ہے جو ہر عمر اور پس منظر کے کمیونٹی کے اراکین کو اکٹھا کرتا ہے، C) یہ ایک تنہا کھیل ہے، D) یہ صرف بچوں کے لیے ہے۔")</f>
        <v>A) یہ ایک انتہائی مسابقتی، پیشہ ورانہ کھیل ہے، B) یہ ایک ایسا کھیل ہے جو ہر عمر اور پس منظر کے کمیونٹی کے اراکین کو اکٹھا کرتا ہے، C) یہ ایک تنہا کھیل ہے، D) یہ صرف بچوں کے لیے ہے۔</v>
      </c>
      <c r="K86" s="6" t="str">
        <f>IFERROR(__xludf.DUMMYFUNCTION("GOOGLETRANSLATE(D86, ""en"", ""ur"")"),"ب) یہ ایک ایسا کھیل ہے جو ہر عمر اور پس منظر کے کمیونٹی ممبروں کو اکٹھا کرتا ہے۔")</f>
        <v>ب) یہ ایک ایسا کھیل ہے جو ہر عمر اور پس منظر کے کمیونٹی ممبروں کو اکٹھا کرتا ہے۔</v>
      </c>
      <c r="L86" s="6" t="str">
        <f>IFERROR(__xludf.DUMMYFUNCTION("GOOGLETRANSLATE(E86, ""en"", ""ur"")"),"گلی ڈنڈا ایک سماجی سرگرمی ہے جو دوستی، دشمنی اور برادری کے تعلقات کو فروغ دیتی ہے۔")</f>
        <v>گلی ڈنڈا ایک سماجی سرگرمی ہے جو دوستی، دشمنی اور برادری کے تعلقات کو فروغ دیتی ہے۔</v>
      </c>
    </row>
    <row r="87">
      <c r="A87" s="4">
        <v>86.0</v>
      </c>
      <c r="B87" s="5" t="s">
        <v>2104</v>
      </c>
      <c r="C87" s="5" t="s">
        <v>2105</v>
      </c>
      <c r="D87" s="5" t="s">
        <v>1781</v>
      </c>
      <c r="E87" s="5" t="s">
        <v>2106</v>
      </c>
      <c r="H87" s="6" t="str">
        <f>IFERROR(__xludf.DUMMYFUNCTION("GOOGLETRANSLATE(A87, ""en"", ""ur"")"),"86")</f>
        <v>86</v>
      </c>
      <c r="I87" s="6" t="str">
        <f>IFERROR(__xludf.DUMMYFUNCTION("GOOGLETRANSLATE(B87, ""en"", ""ur"")"),"اگر کھیل کے دوران گلی کھو جائے (مثال کے طور پر، ایک گھنی جھاڑی میں مارا جائے)، عام طور پر کیا ہوتا ہے؟")</f>
        <v>اگر کھیل کے دوران گلی کھو جائے (مثال کے طور پر، ایک گھنی جھاڑی میں مارا جائے)، عام طور پر کیا ہوتا ہے؟</v>
      </c>
      <c r="J87" s="6" t="str">
        <f>IFERROR(__xludf.DUMMYFUNCTION("GOOGLETRANSLATE(C87, ""en"", ""ur"")"),"A) اسٹرائیکر کو فاتح قرار دیا جاتا ہے، B) اسٹرائیکر آؤٹ ہو جاتا ہے، C) کھیل کو اس وقت تک روک دیا جاتا ہے جب تک کہ یہ نہیں مل جاتا، D) کھیل ڈرا پر ختم ہوتا ہے۔")</f>
        <v>A) اسٹرائیکر کو فاتح قرار دیا جاتا ہے، B) اسٹرائیکر آؤٹ ہو جاتا ہے، C) کھیل کو اس وقت تک روک دیا جاتا ہے جب تک کہ یہ نہیں مل جاتا، D) کھیل ڈرا پر ختم ہوتا ہے۔</v>
      </c>
      <c r="K87" s="6" t="str">
        <f>IFERROR(__xludf.DUMMYFUNCTION("GOOGLETRANSLATE(D87, ""en"", ""ur"")"),"ب) اسٹرائیکر باہر ہے۔")</f>
        <v>ب) اسٹرائیکر باہر ہے۔</v>
      </c>
      <c r="L87" s="6" t="str">
        <f>IFERROR(__xludf.DUMMYFUNCTION("GOOGLETRANSLATE(E87, ""en"", ""ur"")"),"ایک عام غیر رسمی قاعدہ یہ ہے کہ اگر اسٹرائیکر گلی کو کھو دیتا ہے، تو ان کی باری ختم ہو جاتی ہے۔")</f>
        <v>ایک عام غیر رسمی قاعدہ یہ ہے کہ اگر اسٹرائیکر گلی کو کھو دیتا ہے، تو ان کی باری ختم ہو جاتی ہے۔</v>
      </c>
    </row>
    <row r="88">
      <c r="A88" s="4">
        <v>87.0</v>
      </c>
      <c r="B88" s="5" t="s">
        <v>2107</v>
      </c>
      <c r="C88" s="5" t="s">
        <v>2108</v>
      </c>
      <c r="D88" s="5" t="s">
        <v>2109</v>
      </c>
      <c r="E88" s="5" t="s">
        <v>2110</v>
      </c>
      <c r="H88" s="6" t="str">
        <f>IFERROR(__xludf.DUMMYFUNCTION("GOOGLETRANSLATE(A88, ""en"", ""ur"")"),"87")</f>
        <v>87</v>
      </c>
      <c r="I88" s="6" t="str">
        <f>IFERROR(__xludf.DUMMYFUNCTION("GOOGLETRANSLATE(B88, ""en"", ""ur"")"),"اسکورنگ کے تناظر میں 'ڈنڈا' کیا ہے؟")</f>
        <v>اسکورنگ کے تناظر میں 'ڈنڈا' کیا ہے؟</v>
      </c>
      <c r="J88" s="6" t="str">
        <f>IFERROR(__xludf.DUMMYFUNCTION("GOOGLETRANSLATE(C88, ""en"", ""ur"")"),"A) خود سکور، B) پیمائش کی ایک اکائی، بڑی چھڑی کی لمبائی کے برابر، C) کھلاڑی جو سکور کی پیمائش کرتا ہے، D) ایک غلط")</f>
        <v>A) خود سکور، B) پیمائش کی ایک اکائی، بڑی چھڑی کی لمبائی کے برابر، C) کھلاڑی جو سکور کی پیمائش کرتا ہے، D) ایک غلط</v>
      </c>
      <c r="K88" s="6" t="str">
        <f>IFERROR(__xludf.DUMMYFUNCTION("GOOGLETRANSLATE(D88, ""en"", ""ur"")"),"ب) پیمائش کی ایک اکائی، بڑی چھڑی کی لمبائی کے برابر")</f>
        <v>ب) پیمائش کی ایک اکائی، بڑی چھڑی کی لمبائی کے برابر</v>
      </c>
      <c r="L88" s="6" t="str">
        <f>IFERROR(__xludf.DUMMYFUNCTION("GOOGLETRANSLATE(E88, ""en"", ""ur"")"),"اسکور کو 'ڈنڈاس' میں شمار کیا جاتا ہے، مثال کے طور پر، ""اس نے 20 ڈنڈاس بنائے۔""")</f>
        <v>اسکور کو 'ڈنڈاس' میں شمار کیا جاتا ہے، مثال کے طور پر، "اس نے 20 ڈنڈاس بنائے۔"</v>
      </c>
    </row>
    <row r="89">
      <c r="A89" s="4">
        <v>88.0</v>
      </c>
      <c r="B89" s="5" t="s">
        <v>2111</v>
      </c>
      <c r="C89" s="5" t="s">
        <v>2112</v>
      </c>
      <c r="D89" s="5" t="s">
        <v>2113</v>
      </c>
      <c r="E89" s="5" t="s">
        <v>2114</v>
      </c>
      <c r="H89" s="6" t="str">
        <f>IFERROR(__xludf.DUMMYFUNCTION("GOOGLETRANSLATE(A89, ""en"", ""ur"")"),"88")</f>
        <v>88</v>
      </c>
      <c r="I89" s="6" t="str">
        <f>IFERROR(__xludf.DUMMYFUNCTION("GOOGLETRANSLATE(B89, ""en"", ""ur"")"),"گلی کا نسبتاً ہلکی لکڑی کا ہونا کیوں ضروری ہے؟")</f>
        <v>گلی کا نسبتاً ہلکی لکڑی کا ہونا کیوں ضروری ہے؟</v>
      </c>
      <c r="J89" s="6" t="str">
        <f>IFERROR(__xludf.DUMMYFUNCTION("GOOGLETRANSLATE(C89, ""en"", ""ur"")"),"A) اسے دور تک اڑانے اور کسی سے ٹکرانے پر کم خطرناک ہونے کے لیے، B) یہ سستا ہے، C) اسے تراشنا آسان ہے، D) یہ تیز آواز دیتا ہے۔")</f>
        <v>A) اسے دور تک اڑانے اور کسی سے ٹکرانے پر کم خطرناک ہونے کے لیے، B) یہ سستا ہے، C) اسے تراشنا آسان ہے، D) یہ تیز آواز دیتا ہے۔</v>
      </c>
      <c r="K89" s="6" t="str">
        <f>IFERROR(__xludf.DUMMYFUNCTION("GOOGLETRANSLATE(D89, ""en"", ""ur"")"),"ا) اسے دور تک اڑانے کے لیے اور اگر یہ کسی سے ٹکرا جائے تو کم خطرناک ہو۔")</f>
        <v>ا) اسے دور تک اڑانے کے لیے اور اگر یہ کسی سے ٹکرا جائے تو کم خطرناک ہو۔</v>
      </c>
      <c r="L89" s="6" t="str">
        <f>IFERROR(__xludf.DUMMYFUNCTION("GOOGLETRANSLATE(E89, ""en"", ""ur"")"),"ہلکی گلی فیلڈرز اور اسٹینڈرز کے لیے کم حفاظتی خطرہ لاحق ہوتی ہے اور لمبی پروازوں کے لیے بہتر ایروڈینامک خصوصیات رکھتی ہے۔")</f>
        <v>ہلکی گلی فیلڈرز اور اسٹینڈرز کے لیے کم حفاظتی خطرہ لاحق ہوتی ہے اور لمبی پروازوں کے لیے بہتر ایروڈینامک خصوصیات رکھتی ہے۔</v>
      </c>
    </row>
    <row r="90">
      <c r="A90" s="4">
        <v>89.0</v>
      </c>
      <c r="B90" s="5" t="s">
        <v>2115</v>
      </c>
      <c r="C90" s="5" t="s">
        <v>2116</v>
      </c>
      <c r="D90" s="5" t="s">
        <v>2117</v>
      </c>
      <c r="E90" s="5" t="s">
        <v>2118</v>
      </c>
      <c r="H90" s="6" t="str">
        <f>IFERROR(__xludf.DUMMYFUNCTION("GOOGLETRANSLATE(A90, ""en"", ""ur"")"),"89")</f>
        <v>89</v>
      </c>
      <c r="I90" s="6" t="str">
        <f>IFERROR(__xludf.DUMMYFUNCTION("GOOGLETRANSLATE(B90, ""en"", ""ur"")"),"ایک فیلڈر لمبی ہٹ کو روکنے کے بعد بیس سے بہت دور ہوتا ہے۔ اسٹرائیکر کو آؤٹ کرنے کے لیے ان کی بہترین حکمت عملی کیا ہے؟")</f>
        <v>ایک فیلڈر لمبی ہٹ کو روکنے کے بعد بیس سے بہت دور ہوتا ہے۔ اسٹرائیکر کو آؤٹ کرنے کے لیے ان کی بہترین حکمت عملی کیا ہے؟</v>
      </c>
      <c r="J90" s="6" t="str">
        <f>IFERROR(__xludf.DUMMYFUNCTION("GOOGLETRANSLATE(C90, ""en"", ""ur"")"),"A) گلی کے ساتھ پوری طرح پیچھے بھاگنا، B) گلی کو ہر ممکن حد تک اڈے کی طرف پھینکنا، C) گلی کو کسی ایسے ساتھی کی طرف پھینکنا جو بیس کے قریب ہو (ایک ریلے)، D) باہر نکلنا ترک کرنا")</f>
        <v>A) گلی کے ساتھ پوری طرح پیچھے بھاگنا، B) گلی کو ہر ممکن حد تک اڈے کی طرف پھینکنا، C) گلی کو کسی ایسے ساتھی کی طرف پھینکنا جو بیس کے قریب ہو (ایک ریلے)، D) باہر نکلنا ترک کرنا</v>
      </c>
      <c r="K90" s="6" t="str">
        <f>IFERROR(__xludf.DUMMYFUNCTION("GOOGLETRANSLATE(D90, ""en"", ""ur"")"),"ج) گلی کو ایک ساتھی کو پھینکنا جو اڈے کے قریب ہو (ریلے)")</f>
        <v>ج) گلی کو ایک ساتھی کو پھینکنا جو اڈے کے قریب ہو (ریلے)</v>
      </c>
      <c r="L90" s="6" t="str">
        <f>IFERROR(__xludf.DUMMYFUNCTION("GOOGLETRANSLATE(E90, ""en"", ""ur"")"),"بالکل اسی طرح جیسے بیس بال میں، گیلی کو آؤٹ فیلڈ سے تیزی سے ہوم بیس پر واپس لانے کا سب سے مؤثر طریقہ ریلے تھرو ہے۔")</f>
        <v>بالکل اسی طرح جیسے بیس بال میں، گیلی کو آؤٹ فیلڈ سے تیزی سے ہوم بیس پر واپس لانے کا سب سے مؤثر طریقہ ریلے تھرو ہے۔</v>
      </c>
    </row>
    <row r="91">
      <c r="A91" s="4">
        <v>90.0</v>
      </c>
      <c r="B91" s="5" t="s">
        <v>2119</v>
      </c>
      <c r="C91" s="5" t="s">
        <v>2120</v>
      </c>
      <c r="D91" s="5" t="s">
        <v>2121</v>
      </c>
      <c r="E91" s="5" t="s">
        <v>2122</v>
      </c>
      <c r="H91" s="6" t="str">
        <f>IFERROR(__xludf.DUMMYFUNCTION("GOOGLETRANSLATE(A91, ""en"", ""ur"")"),"90")</f>
        <v>90</v>
      </c>
      <c r="I91" s="6" t="str">
        <f>IFERROR(__xludf.DUMMYFUNCTION("GOOGLETRANSLATE(B91, ""en"", ""ur"")"),"'گلی پلٹی' کیا ہے؟")</f>
        <v>'گلی پلٹی' کیا ہے؟</v>
      </c>
      <c r="J91" s="6" t="str">
        <f>IFERROR(__xludf.DUMMYFUNCTION("GOOGLETRANSLATE(C91, ""en"", ""ur"")"),"A) جب گلی مکمل طور پر پلٹ جاتی ہے، B) ٹائی بریکر کے لیے ایک اصطلاح، C) ایک تغیر جہاں ٹیمیں زیادہ بڑی ہوتی ہیں، D) ایک جرمانہ")</f>
        <v>A) جب گلی مکمل طور پر پلٹ جاتی ہے، B) ٹائی بریکر کے لیے ایک اصطلاح، C) ایک تغیر جہاں ٹیمیں زیادہ بڑی ہوتی ہیں، D) ایک جرمانہ</v>
      </c>
      <c r="K91" s="6" t="str">
        <f>IFERROR(__xludf.DUMMYFUNCTION("GOOGLETRANSLATE(D91, ""en"", ""ur"")"),"A) جب گلی بالکل پلٹ جاتی ہے۔")</f>
        <v>A) جب گلی بالکل پلٹ جاتی ہے۔</v>
      </c>
      <c r="L91" s="6" t="str">
        <f>IFERROR(__xludf.DUMMYFUNCTION("GOOGLETRANSLATE(E91, ""en"", ""ur"")"),"یہ اصطلاح کامل ابتدائی ہڑتال کی وضاحت کرتی ہے، جہاں گلی اونچی اور صاف ہو جاتی ہے، جس سے مرکزی ہڑتال کے لیے آسان ہو جاتا ہے۔")</f>
        <v>یہ اصطلاح کامل ابتدائی ہڑتال کی وضاحت کرتی ہے، جہاں گلی اونچی اور صاف ہو جاتی ہے، جس سے مرکزی ہڑتال کے لیے آسان ہو جاتا ہے۔</v>
      </c>
    </row>
    <row r="92">
      <c r="A92" s="4">
        <v>91.0</v>
      </c>
      <c r="B92" s="5" t="s">
        <v>2123</v>
      </c>
      <c r="C92" s="5" t="s">
        <v>2124</v>
      </c>
      <c r="D92" s="5" t="s">
        <v>2125</v>
      </c>
      <c r="E92" s="5" t="s">
        <v>2126</v>
      </c>
      <c r="H92" s="6" t="str">
        <f>IFERROR(__xludf.DUMMYFUNCTION("GOOGLETRANSLATE(A92, ""en"", ""ur"")"),"91")</f>
        <v>91</v>
      </c>
      <c r="I92" s="6" t="str">
        <f>IFERROR(__xludf.DUMMYFUNCTION("GOOGLETRANSLATE(B92, ""en"", ""ur"")"),"کھلاڑیوں کے درمیان جھگڑے کی سب سے عام وجہ کیا ہے؟")</f>
        <v>کھلاڑیوں کے درمیان جھگڑے کی سب سے عام وجہ کیا ہے؟</v>
      </c>
      <c r="J92" s="6" t="str">
        <f>IFERROR(__xludf.DUMMYFUNCTION("GOOGLETRANSLATE(C92, ""en"", ""ur"")"),"A) سامان کا معیار، B) فیلڈر کا کیچ صاف تھا یا پھنس گیا، C) موسمی حالات، D) دن کا وقت")</f>
        <v>A) سامان کا معیار، B) فیلڈر کا کیچ صاف تھا یا پھنس گیا، C) موسمی حالات، D) دن کا وقت</v>
      </c>
      <c r="K92" s="6" t="str">
        <f>IFERROR(__xludf.DUMMYFUNCTION("GOOGLETRANSLATE(D92, ""en"", ""ur"")"),"ب) کسی فیلڈر کا کیچ کلین تھا یا پھنس گیا؟")</f>
        <v>ب) کسی فیلڈر کا کیچ کلین تھا یا پھنس گیا؟</v>
      </c>
      <c r="L92" s="6" t="str">
        <f>IFERROR(__xludf.DUMMYFUNCTION("GOOGLETRANSLATE(E92, ""en"", ""ur"")"),"اکثر اس بات پر تنازعات پیدا ہوتے ہیں کہ آیا کسی فیلڈر نے گلی کو براہ راست کیچ کیا یا پہلے زمین کو چھوا۔")</f>
        <v>اکثر اس بات پر تنازعات پیدا ہوتے ہیں کہ آیا کسی فیلڈر نے گلی کو براہ راست کیچ کیا یا پہلے زمین کو چھوا۔</v>
      </c>
    </row>
    <row r="93">
      <c r="A93" s="4">
        <v>92.0</v>
      </c>
      <c r="B93" s="5" t="s">
        <v>2127</v>
      </c>
      <c r="C93" s="5" t="s">
        <v>2128</v>
      </c>
      <c r="D93" s="5" t="s">
        <v>2129</v>
      </c>
      <c r="E93" s="5" t="s">
        <v>2130</v>
      </c>
      <c r="H93" s="6" t="str">
        <f>IFERROR(__xludf.DUMMYFUNCTION("GOOGLETRANSLATE(A93, ""en"", ""ur"")"),"92")</f>
        <v>92</v>
      </c>
      <c r="I93" s="6" t="str">
        <f>IFERROR(__xludf.DUMMYFUNCTION("GOOGLETRANSLATE(B93, ""en"", ""ur"")"),"تمام فیلڈرز کے لیے بہت پیچھے کھڑے ہونا حکمت عملی کے لحاظ سے خطرناک کیوں ہے؟")</f>
        <v>تمام فیلڈرز کے لیے بہت پیچھے کھڑے ہونا حکمت عملی کے لحاظ سے خطرناک کیوں ہے؟</v>
      </c>
      <c r="J93" s="6" t="str">
        <f>IFERROR(__xludf.DUMMYFUNCTION("GOOGLETRANSLATE(C93, ""en"", ""ur"")"),"A) یہ خطرناک نہیں ہے، یہ بہترین حکمت عملی ہے، B) یہ اسٹرائیکر کے لیے شارٹ، ہوشیار ہٹ پر سکور کرنا آسان بناتا ہے، C) یہ قوانین کے خلاف ہے، D) یہ فیلڈرز کو تھکا دیتا ہے۔")</f>
        <v>A) یہ خطرناک نہیں ہے، یہ بہترین حکمت عملی ہے، B) یہ اسٹرائیکر کے لیے شارٹ، ہوشیار ہٹ پر سکور کرنا آسان بناتا ہے، C) یہ قوانین کے خلاف ہے، D) یہ فیلڈرز کو تھکا دیتا ہے۔</v>
      </c>
      <c r="K93" s="6" t="str">
        <f>IFERROR(__xludf.DUMMYFUNCTION("GOOGLETRANSLATE(D93, ""en"", ""ur"")"),"ب) یہ اسٹرائیکر کے لیے مختصر، ہوشیار ہٹ پر اسکور کرنا آسان بناتا ہے۔")</f>
        <v>ب) یہ اسٹرائیکر کے لیے مختصر، ہوشیار ہٹ پر اسکور کرنا آسان بناتا ہے۔</v>
      </c>
      <c r="L93" s="6" t="str">
        <f>IFERROR(__xludf.DUMMYFUNCTION("GOOGLETRANSLATE(E93, ""en"", ""ur"")"),"ایک ہوشیار اسٹرائیکر گلی کو تھوڑے فاصلے پر گرا کر گہرے میدان کا فائدہ اٹھا سکتا ہے، جس سے پکڑا جانا ناممکن ہو جاتا ہے۔")</f>
        <v>ایک ہوشیار اسٹرائیکر گلی کو تھوڑے فاصلے پر گرا کر گہرے میدان کا فائدہ اٹھا سکتا ہے، جس سے پکڑا جانا ناممکن ہو جاتا ہے۔</v>
      </c>
    </row>
    <row r="94">
      <c r="A94" s="4">
        <v>93.0</v>
      </c>
      <c r="B94" s="5" t="s">
        <v>2131</v>
      </c>
      <c r="C94" s="5" t="s">
        <v>2132</v>
      </c>
      <c r="D94" s="5" t="s">
        <v>2133</v>
      </c>
      <c r="E94" s="5" t="s">
        <v>2134</v>
      </c>
      <c r="H94" s="6" t="str">
        <f>IFERROR(__xludf.DUMMYFUNCTION("GOOGLETRANSLATE(A94, ""en"", ""ur"")"),"93")</f>
        <v>93</v>
      </c>
      <c r="I94" s="6" t="str">
        <f>IFERROR(__xludf.DUMMYFUNCTION("GOOGLETRANSLATE(B94, ""en"", ""ur"")"),"ایک اسٹرائیکر گلی سے ٹکراتا ہے، اور یہ ایک کار کی چھت پر اترتا ہے۔ امکانی حکم کیا ہے؟")</f>
        <v>ایک اسٹرائیکر گلی سے ٹکراتا ہے، اور یہ ایک کار کی چھت پر اترتا ہے۔ امکانی حکم کیا ہے؟</v>
      </c>
      <c r="J94" s="6" t="str">
        <f>IFERROR(__xludf.DUMMYFUNCTION("GOOGLETRANSLATE(C94, ""en"", ""ur"")"),"A) اسٹرائیکر آؤٹ ہے، B) بیرونی مداخلت کی وجہ سے باری دوبارہ چلائی جاتی ہے، C) اسٹرائیکر کو کسی بھی نقصان کی ادائیگی کرنی ہوگی، D) اسٹرائیکر زیادہ سے زیادہ پوائنٹس اسکور کرتا ہے۔")</f>
        <v>A) اسٹرائیکر آؤٹ ہے، B) بیرونی مداخلت کی وجہ سے باری دوبارہ چلائی جاتی ہے، C) اسٹرائیکر کو کسی بھی نقصان کی ادائیگی کرنی ہوگی، D) اسٹرائیکر زیادہ سے زیادہ پوائنٹس اسکور کرتا ہے۔</v>
      </c>
      <c r="K94" s="6" t="str">
        <f>IFERROR(__xludf.DUMMYFUNCTION("GOOGLETRANSLATE(D94, ""en"", ""ur"")"),"ب) بیرونی مداخلت کی وجہ سے باری دوبارہ چلائی جاتی ہے۔")</f>
        <v>ب) بیرونی مداخلت کی وجہ سے باری دوبارہ چلائی جاتی ہے۔</v>
      </c>
      <c r="L94" s="6" t="str">
        <f>IFERROR(__xludf.DUMMYFUNCTION("GOOGLETRANSLATE(E94, ""en"", ""ur"")"),"گاڑی جیسی کسی چیز کو مارنا کھیل میں غیر ارادی مداخلت ہے، اور موڑ عام طور پر دوبارہ چلایا جاتا ہے۔")</f>
        <v>گاڑی جیسی کسی چیز کو مارنا کھیل میں غیر ارادی مداخلت ہے، اور موڑ عام طور پر دوبارہ چلایا جاتا ہے۔</v>
      </c>
    </row>
    <row r="95">
      <c r="A95" s="4">
        <v>94.0</v>
      </c>
      <c r="B95" s="5" t="s">
        <v>2135</v>
      </c>
      <c r="C95" s="5" t="s">
        <v>2136</v>
      </c>
      <c r="D95" s="5" t="s">
        <v>2137</v>
      </c>
      <c r="E95" s="5" t="s">
        <v>2138</v>
      </c>
      <c r="H95" s="6" t="str">
        <f>IFERROR(__xludf.DUMMYFUNCTION("GOOGLETRANSLATE(A95, ""en"", ""ur"")"),"94")</f>
        <v>94</v>
      </c>
      <c r="I95" s="6" t="str">
        <f>IFERROR(__xludf.DUMMYFUNCTION("GOOGLETRANSLATE(B95, ""en"", ""ur"")"),"'جگلڈ کیچ' کی اصطلاح کا کیا مطلب ہے؟")</f>
        <v>'جگلڈ کیچ' کی اصطلاح کا کیا مطلب ہے؟</v>
      </c>
      <c r="J95" s="6" t="str">
        <f>IFERROR(__xludf.DUMMYFUNCTION("GOOGLETRANSLATE(C95, ""en"", ""ur"")"),"A) فیلڈر گلی کو محفوظ کرنے سے پہلے اسے جگاتا ہے، B) اسٹرائیکر گلی کو جگاتا ہے، C) فیلڈر ایک ہاتھ سے گلی کو پکڑتا ہے، D) فیلڈر چھلانگ لگاتے ہوئے گلی کو پکڑتا ہے۔")</f>
        <v>A) فیلڈر گلی کو محفوظ کرنے سے پہلے اسے جگاتا ہے، B) اسٹرائیکر گلی کو جگاتا ہے، C) فیلڈر ایک ہاتھ سے گلی کو پکڑتا ہے، D) فیلڈر چھلانگ لگاتے ہوئے گلی کو پکڑتا ہے۔</v>
      </c>
      <c r="K95" s="6" t="str">
        <f>IFERROR(__xludf.DUMMYFUNCTION("GOOGLETRANSLATE(D95, ""en"", ""ur"")"),"A) فیلڈر گلی کو محفوظ کرنے سے پہلے اسے جگاتا ہے۔")</f>
        <v>A) فیلڈر گلی کو محفوظ کرنے سے پہلے اسے جگاتا ہے۔</v>
      </c>
      <c r="L95" s="6" t="str">
        <f>IFERROR(__xludf.DUMMYFUNCTION("GOOGLETRANSLATE(E95, ""en"", ""ur"")"),"جب تک گلی زمین کو نہیں چھوتی، ایک فیلڈر ایک درست کیچ کے لیے مکمل کنٹرول حاصل کرنے سے پہلے اسے کئی بار بوبل یا جگل کر سکتا ہے۔")</f>
        <v>جب تک گلی زمین کو نہیں چھوتی، ایک فیلڈر ایک درست کیچ کے لیے مکمل کنٹرول حاصل کرنے سے پہلے اسے کئی بار بوبل یا جگل کر سکتا ہے۔</v>
      </c>
    </row>
    <row r="96">
      <c r="A96" s="4">
        <v>95.0</v>
      </c>
      <c r="B96" s="5" t="s">
        <v>2139</v>
      </c>
      <c r="C96" s="5" t="s">
        <v>2140</v>
      </c>
      <c r="D96" s="5" t="s">
        <v>2141</v>
      </c>
      <c r="E96" s="5" t="s">
        <v>2142</v>
      </c>
      <c r="H96" s="6" t="str">
        <f>IFERROR(__xludf.DUMMYFUNCTION("GOOGLETRANSLATE(A96, ""en"", ""ur"")"),"95")</f>
        <v>95</v>
      </c>
      <c r="I96" s="6" t="str">
        <f>IFERROR(__xludf.DUMMYFUNCTION("GOOGLETRANSLATE(B96, ""en"", ""ur"")"),"کرکٹ جیسے رسمی کھیلوں کے مقابلے گلی ڈنڈا کی اہم اپیل کیا ہے؟")</f>
        <v>کرکٹ جیسے رسمی کھیلوں کے مقابلے گلی ڈنڈا کی اہم اپیل کیا ہے؟</v>
      </c>
      <c r="J96" s="6" t="str">
        <f>IFERROR(__xludf.DUMMYFUNCTION("GOOGLETRANSLATE(C96, ""en"", ""ur"")"),"A) اس کے زیادہ پیچیدہ اصول ہیں، B) اس کے لیے کسی مہنگے آلات یا خصوصی پچ کی ضرورت نہیں ہے، جو اسے ہر کسی کے لیے قابل رسائی بناتا ہے، C) یہ ایک اولمپک کھیل ہے، D) یہ کرکٹ سے زیادہ محفوظ ہے۔")</f>
        <v>A) اس کے زیادہ پیچیدہ اصول ہیں، B) اس کے لیے کسی مہنگے آلات یا خصوصی پچ کی ضرورت نہیں ہے، جو اسے ہر کسی کے لیے قابل رسائی بناتا ہے، C) یہ ایک اولمپک کھیل ہے، D) یہ کرکٹ سے زیادہ محفوظ ہے۔</v>
      </c>
      <c r="K96" s="6" t="str">
        <f>IFERROR(__xludf.DUMMYFUNCTION("GOOGLETRANSLATE(D96, ""en"", ""ur"")"),"ب) اسے ہر کسی کے لیے قابل رسائی بنانے کے لیے کسی مہنگے آلات یا خصوصی پچ کی ضرورت نہیں ہے۔")</f>
        <v>ب) اسے ہر کسی کے لیے قابل رسائی بنانے کے لیے کسی مہنگے آلات یا خصوصی پچ کی ضرورت نہیں ہے۔</v>
      </c>
      <c r="L96" s="6" t="str">
        <f>IFERROR(__xludf.DUMMYFUNCTION("GOOGLETRANSLATE(E96, ""en"", ""ur"")"),"اس کی سادگی اور رسائی ایک گلی اور گاؤں کے کھیل کے طور پر اس کی پائیدار مقبولیت کی بنیادی وجوہات ہیں۔")</f>
        <v>اس کی سادگی اور رسائی ایک گلی اور گاؤں کے کھیل کے طور پر اس کی پائیدار مقبولیت کی بنیادی وجوہات ہیں۔</v>
      </c>
    </row>
    <row r="97">
      <c r="A97" s="4">
        <v>96.0</v>
      </c>
      <c r="B97" s="5" t="s">
        <v>2143</v>
      </c>
      <c r="C97" s="5" t="s">
        <v>2144</v>
      </c>
      <c r="D97" s="5" t="s">
        <v>2145</v>
      </c>
      <c r="E97" s="5" t="s">
        <v>2146</v>
      </c>
      <c r="H97" s="6" t="str">
        <f>IFERROR(__xludf.DUMMYFUNCTION("GOOGLETRANSLATE(A97, ""en"", ""ur"")"),"96")</f>
        <v>96</v>
      </c>
      <c r="I97" s="6" t="str">
        <f>IFERROR(__xludf.DUMMYFUNCTION("GOOGLETRANSLATE(B97, ""en"", ""ur"")"),"ایک کھلاڑی کو 'چیمپئن جگلر' کے نام سے جانا جاتا ہے۔ یہ کس مہارت کا حوالہ دیتا ہے؟")</f>
        <v>ایک کھلاڑی کو 'چیمپئن جگلر' کے نام سے جانا جاتا ہے۔ یہ کس مہارت کا حوالہ دیتا ہے؟</v>
      </c>
      <c r="J97" s="6" t="str">
        <f>IFERROR(__xludf.DUMMYFUNCTION("GOOGLETRANSLATE(C97, ""en"", ""ur"")"),"A) ایک ہی وقت میں ایک سے زیادہ گیلیوں کو جگانے کی ان کی صلاحیت، B) مین اسٹرائیک سے پہلے گلی کو بار بار ہوا میں مارنے میں ان کی مہارت، C) فیلڈرز کو کیچ کو جگانے کی ان کی صلاحیت، D) لطیفے سنانے کی ان کی صلاحیت")</f>
        <v>A) ایک ہی وقت میں ایک سے زیادہ گیلیوں کو جگانے کی ان کی صلاحیت، B) مین اسٹرائیک سے پہلے گلی کو بار بار ہوا میں مارنے میں ان کی مہارت، C) فیلڈرز کو کیچ کو جگانے کی ان کی صلاحیت، D) لطیفے سنانے کی ان کی صلاحیت</v>
      </c>
      <c r="K97" s="6" t="str">
        <f>IFERROR(__xludf.DUMMYFUNCTION("GOOGLETRANSLATE(D97, ""en"", ""ur"")"),"ب) مرکزی ہڑتال سے پہلے گلی کو بار بار ہوا میں مارنے میں ان کی مہارت")</f>
        <v>ب) مرکزی ہڑتال سے پہلے گلی کو بار بار ہوا میں مارنے میں ان کی مہارت</v>
      </c>
      <c r="L97" s="6" t="str">
        <f>IFERROR(__xludf.DUMMYFUNCTION("GOOGLETRANSLATE(E97, ""en"", ""ur"")"),"اس سے مراد آخری ہٹ کے لیے ایک بہترین پوزیشن حاصل کرنے کے لیے ایک سے زیادہ نلکوں کے ساتھ گلی کو ہوا میں رکھنے کی جدید تکنیک ہے۔")</f>
        <v>اس سے مراد آخری ہٹ کے لیے ایک بہترین پوزیشن حاصل کرنے کے لیے ایک سے زیادہ نلکوں کے ساتھ گلی کو ہوا میں رکھنے کی جدید تکنیک ہے۔</v>
      </c>
    </row>
    <row r="98">
      <c r="A98" s="4">
        <v>97.0</v>
      </c>
      <c r="B98" s="5" t="s">
        <v>2147</v>
      </c>
      <c r="C98" s="5" t="s">
        <v>2148</v>
      </c>
      <c r="D98" s="5" t="s">
        <v>2149</v>
      </c>
      <c r="E98" s="5" t="s">
        <v>2150</v>
      </c>
      <c r="H98" s="6" t="str">
        <f>IFERROR(__xludf.DUMMYFUNCTION("GOOGLETRANSLATE(A98, ""en"", ""ur"")"),"97")</f>
        <v>97</v>
      </c>
      <c r="I98" s="6" t="str">
        <f>IFERROR(__xludf.DUMMYFUNCTION("GOOGLETRANSLATE(B98, ""en"", ""ur"")"),"بہت مختصر ڈنڈا کا بنیادی نقصان کیا ہے؟")</f>
        <v>بہت مختصر ڈنڈا کا بنیادی نقصان کیا ہے؟</v>
      </c>
      <c r="J98" s="6" t="str">
        <f>IFERROR(__xludf.DUMMYFUNCTION("GOOGLETRANSLATE(C98, ""en"", ""ur"")"),"A) اسے پکڑنا مشکل ہے، B) یہ کم رسائی اور فائدہ فراہم کرتا ہے، جس کے نتیجے میں مختصر ہٹ ہوتے ہیں، C) اس کے ٹوٹنے کا امکان زیادہ ہوتا ہے، D) یہ قواعد کے خلاف ہے۔")</f>
        <v>A) اسے پکڑنا مشکل ہے، B) یہ کم رسائی اور فائدہ فراہم کرتا ہے، جس کے نتیجے میں مختصر ہٹ ہوتے ہیں، C) اس کے ٹوٹنے کا امکان زیادہ ہوتا ہے، D) یہ قواعد کے خلاف ہے۔</v>
      </c>
      <c r="K98" s="6" t="str">
        <f>IFERROR(__xludf.DUMMYFUNCTION("GOOGLETRANSLATE(D98, ""en"", ""ur"")"),"ب) یہ کم رسائی اور فائدہ فراہم کرتا ہے، جس کے نتیجے میں مختصر ہٹ ہوتے ہیں۔")</f>
        <v>ب) یہ کم رسائی اور فائدہ فراہم کرتا ہے، جس کے نتیجے میں مختصر ہٹ ہوتے ہیں۔</v>
      </c>
      <c r="L98" s="6" t="str">
        <f>IFERROR(__xludf.DUMMYFUNCTION("GOOGLETRANSLATE(E98, ""en"", ""ur"")"),"ایک لمبا ڈنڈا ایک وسیع تر جھولے کے قوس اور زیادہ طاقت کی اجازت دیتا ہے، اس لیے چھوٹا ڈنڈا ایک اہم نقصان ہے۔")</f>
        <v>ایک لمبا ڈنڈا ایک وسیع تر جھولے کے قوس اور زیادہ طاقت کی اجازت دیتا ہے، اس لیے چھوٹا ڈنڈا ایک اہم نقصان ہے۔</v>
      </c>
    </row>
    <row r="99">
      <c r="A99" s="4">
        <v>98.0</v>
      </c>
      <c r="B99" s="5" t="s">
        <v>2151</v>
      </c>
      <c r="C99" s="5" t="s">
        <v>2152</v>
      </c>
      <c r="D99" s="5" t="s">
        <v>2153</v>
      </c>
      <c r="E99" s="5" t="s">
        <v>2154</v>
      </c>
      <c r="H99" s="6" t="str">
        <f>IFERROR(__xludf.DUMMYFUNCTION("GOOGLETRANSLATE(A99, ""en"", ""ur"")"),"98")</f>
        <v>98</v>
      </c>
      <c r="I99" s="6" t="str">
        <f>IFERROR(__xludf.DUMMYFUNCTION("GOOGLETRANSLATE(B99, ""en"", ""ur"")"),"کچھ کھلاڑی پالش، ہموار سطح کے ساتھ گلی کو کیوں ترجیح دیتے ہیں؟")</f>
        <v>کچھ کھلاڑی پالش، ہموار سطح کے ساتھ گلی کو کیوں ترجیح دیتے ہیں؟</v>
      </c>
      <c r="J99" s="6" t="str">
        <f>IFERROR(__xludf.DUMMYFUNCTION("GOOGLETRANSLATE(C99, ""en"", ""ur"")"),"A) یہ بہتر لگ رہا ہے، B) یہ ہوا کی رگڑ کو کم کرتا ہے، اسے دور تک جانے کی اجازت دیتا ہے، C) فیلڈر کے لیے گرفت کرنا مشکل ہے، D) اس کے ٹوٹنے کا امکان کم ہوتا ہے۔")</f>
        <v>A) یہ بہتر لگ رہا ہے، B) یہ ہوا کی رگڑ کو کم کرتا ہے، اسے دور تک جانے کی اجازت دیتا ہے، C) فیلڈر کے لیے گرفت کرنا مشکل ہے، D) اس کے ٹوٹنے کا امکان کم ہوتا ہے۔</v>
      </c>
      <c r="K99" s="6" t="str">
        <f>IFERROR(__xludf.DUMMYFUNCTION("GOOGLETRANSLATE(D99, ""en"", ""ur"")"),"ب) یہ ہوا کی رگڑ کو کم کرتا ہے، جس سے اسے دور تک سفر کرنے کی اجازت ملتی ہے۔")</f>
        <v>ب) یہ ہوا کی رگڑ کو کم کرتا ہے، جس سے اسے دور تک سفر کرنے کی اجازت ملتی ہے۔</v>
      </c>
      <c r="L99" s="6" t="str">
        <f>IFERROR(__xludf.DUMMYFUNCTION("GOOGLETRANSLATE(E99, ""en"", ""ur"")"),"ایک ہموار سطح گلی کی ایروڈائینامکس کو بہتر بنا سکتی ہے، ممکنہ طور پر طویل ہٹ کا باعث بنتی ہے۔")</f>
        <v>ایک ہموار سطح گلی کی ایروڈائینامکس کو بہتر بنا سکتی ہے، ممکنہ طور پر طویل ہٹ کا باعث بنتی ہے۔</v>
      </c>
    </row>
    <row r="100">
      <c r="A100" s="4">
        <v>99.0</v>
      </c>
      <c r="B100" s="5" t="s">
        <v>2155</v>
      </c>
      <c r="C100" s="5" t="s">
        <v>2156</v>
      </c>
      <c r="D100" s="5" t="s">
        <v>1133</v>
      </c>
      <c r="E100" s="5" t="s">
        <v>2157</v>
      </c>
      <c r="H100" s="6" t="str">
        <f>IFERROR(__xludf.DUMMYFUNCTION("GOOGLETRANSLATE(A100, ""en"", ""ur"")"),"99")</f>
        <v>99</v>
      </c>
      <c r="I100" s="6" t="str">
        <f>IFERROR(__xludf.DUMMYFUNCTION("GOOGLETRANSLATE(B100, ""en"", ""ur"")"),"گیلے، کیچڑ والے میدان میں گلی ڈنڈا کھیلنے کا سب سے بڑا خطرہ کیا ہے؟")</f>
        <v>گیلے، کیچڑ والے میدان میں گلی ڈنڈا کھیلنے کا سب سے بڑا خطرہ کیا ہے؟</v>
      </c>
      <c r="J100" s="6" t="str">
        <f>IFERROR(__xludf.DUMMYFUNCTION("GOOGLETRANSLATE(C100, ""en"", ""ur"")"),"A) مارنے پر گلی ٹھیک طرح سے پلٹ نہیں پائے گی، B) ڈنڈا گندا ہو جائے گا، C) فیلڈرز پھسل جائیں گے اور پکڑنے کے قابل نہیں ہوں گے، D) مندرجہ بالا سب")</f>
        <v>A) مارنے پر گلی ٹھیک طرح سے پلٹ نہیں پائے گی، B) ڈنڈا گندا ہو جائے گا، C) فیلڈرز پھسل جائیں گے اور پکڑنے کے قابل نہیں ہوں گے، D) مندرجہ بالا سب</v>
      </c>
      <c r="K100" s="6" t="str">
        <f>IFERROR(__xludf.DUMMYFUNCTION("GOOGLETRANSLATE(D100, ""en"", ""ur"")"),"D) مذکورہ بالا تمام")</f>
        <v>D) مذکورہ بالا تمام</v>
      </c>
      <c r="L100" s="6" t="str">
        <f>IFERROR(__xludf.DUMMYFUNCTION("GOOGLETRANSLATE(E100, ""en"", ""ur"")"),"گیلے حالات کھیل کے ہر پہلو کو منفی طور پر متاثر کرتے ہیں، ابتدائی ہڑتال سے لے کر فیلڈنگ اور دوڑ تک۔")</f>
        <v>گیلے حالات کھیل کے ہر پہلو کو منفی طور پر متاثر کرتے ہیں، ابتدائی ہڑتال سے لے کر فیلڈنگ اور دوڑ تک۔</v>
      </c>
    </row>
    <row r="101">
      <c r="A101" s="4">
        <v>100.0</v>
      </c>
      <c r="B101" s="5" t="s">
        <v>2158</v>
      </c>
      <c r="C101" s="5" t="s">
        <v>2159</v>
      </c>
      <c r="D101" s="5" t="s">
        <v>2160</v>
      </c>
      <c r="E101" s="5" t="s">
        <v>2161</v>
      </c>
      <c r="H101" s="6" t="str">
        <f>IFERROR(__xludf.DUMMYFUNCTION("GOOGLETRANSLATE(A101, ""en"", ""ur"")"),"100")</f>
        <v>100</v>
      </c>
      <c r="I101" s="6" t="str">
        <f>IFERROR(__xludf.DUMMYFUNCTION("GOOGLETRANSLATE(B101, ""en"", ""ur"")"),"فیلڈنگ ٹیم کے دو کھلاڑی گلی کو پکڑنے کی کوشش کرتے ہوئے آپس میں ٹکرا جاتے ہیں اور ان میں سے ایک اسے گرا دیتا ہے۔ کیا اسٹرائیکر باہر ہے؟")</f>
        <v>فیلڈنگ ٹیم کے دو کھلاڑی گلی کو پکڑنے کی کوشش کرتے ہوئے آپس میں ٹکرا جاتے ہیں اور ان میں سے ایک اسے گرا دیتا ہے۔ کیا اسٹرائیکر باہر ہے؟</v>
      </c>
      <c r="J101" s="6" t="str">
        <f>IFERROR(__xludf.DUMMYFUNCTION("GOOGLETRANSLATE(C101, ""en"", ""ur"")"),"A) ہاں، کیونکہ ایک کیچ لینے کی کوشش کی گئی تھی، B) نہیں، کیونکہ کیچ مکمل نہیں ہوا تھا، C) تصادم کی وجہ سے باری دوبارہ چلائی جاتی ہے، D) اسے گرانے والے کھلاڑی کو جرمانہ کیا جاتا ہے۔")</f>
        <v>A) ہاں، کیونکہ ایک کیچ لینے کی کوشش کی گئی تھی، B) نہیں، کیونکہ کیچ مکمل نہیں ہوا تھا، C) تصادم کی وجہ سے باری دوبارہ چلائی جاتی ہے، D) اسے گرانے والے کھلاڑی کو جرمانہ کیا جاتا ہے۔</v>
      </c>
      <c r="K101" s="6" t="str">
        <f>IFERROR(__xludf.DUMMYFUNCTION("GOOGLETRANSLATE(D101, ""en"", ""ur"")"),"ب) نہیں، کیونکہ کیچ مکمل نہیں ہوا تھا۔")</f>
        <v>ب) نہیں، کیونکہ کیچ مکمل نہیں ہوا تھا۔</v>
      </c>
      <c r="L101" s="6" t="str">
        <f>IFERROR(__xludf.DUMMYFUNCTION("GOOGLETRANSLATE(E101, ""en"", ""ur"")"),"کیچ صرف اس صورت میں درست ہے جب فیلڈر کا گلی پر مکمل کنٹرول ہو۔ گرا ہوا کیچ، ٹکرانے کے بعد بھی، آؤٹ نہیں ہوتا۔")</f>
        <v>کیچ صرف اس صورت میں درست ہے جب فیلڈر کا گلی پر مکمل کنٹرول ہو۔ گرا ہوا کیچ، ٹکرانے کے بعد بھی، آؤٹ نہیں ہوتا۔</v>
      </c>
    </row>
    <row r="102">
      <c r="A102" s="4">
        <v>101.0</v>
      </c>
      <c r="B102" s="5" t="s">
        <v>2162</v>
      </c>
      <c r="C102" s="5" t="s">
        <v>2163</v>
      </c>
      <c r="D102" s="5" t="s">
        <v>2164</v>
      </c>
      <c r="E102" s="5" t="s">
        <v>2165</v>
      </c>
      <c r="H102" s="6" t="str">
        <f>IFERROR(__xludf.DUMMYFUNCTION("GOOGLETRANSLATE(A102, ""en"", ""ur"")"),"101")</f>
        <v>101</v>
      </c>
      <c r="I102" s="6" t="str">
        <f>IFERROR(__xludf.DUMMYFUNCTION("GOOGLETRANSLATE(B102, ""en"", ""ur"")"),"ایک اسٹرائیکر اپنے 'فریب فلک' کے لیے جانا جاتا ہے۔ اس کا کیا مطلب ہے؟")</f>
        <v>ایک اسٹرائیکر اپنے 'فریب فلک' کے لیے جانا جاتا ہے۔ اس کا کیا مطلب ہے؟</v>
      </c>
      <c r="J102" s="6" t="str">
        <f>IFERROR(__xludf.DUMMYFUNCTION("GOOGLETRANSLATE(C102, ""en"", ""ur"")"),"A) وہ گلی کو ایک سمت سے جھٹکتے ہیں لیکن اسے دوسری سمت سے مارتے ہیں، B) وہ غیر قانونی جھٹکا استعمال کرتے ہیں، C) وہ گلی کو بہت اونچی طرف جھٹکا دیتے ہیں، D) وہ گلی کو بہت نیچے جھٹکتے ہیں۔")</f>
        <v>A) وہ گلی کو ایک سمت سے جھٹکتے ہیں لیکن اسے دوسری سمت سے مارتے ہیں، B) وہ غیر قانونی جھٹکا استعمال کرتے ہیں، C) وہ گلی کو بہت اونچی طرف جھٹکا دیتے ہیں، D) وہ گلی کو بہت نیچے جھٹکتے ہیں۔</v>
      </c>
      <c r="K102" s="6" t="str">
        <f>IFERROR(__xludf.DUMMYFUNCTION("GOOGLETRANSLATE(D102, ""en"", ""ur"")"),"A) وہ گلی کو ایک سمت سے جھٹکتے ہیں لیکن اسے دوسری طرف مارتے ہیں۔")</f>
        <v>A) وہ گلی کو ایک سمت سے جھٹکتے ہیں لیکن اسے دوسری طرف مارتے ہیں۔</v>
      </c>
      <c r="L102" s="6" t="str">
        <f>IFERROR(__xludf.DUMMYFUNCTION("GOOGLETRANSLATE(E102, ""en"", ""ur"")"),"یہ ایک ہنر مندانہ اقدام ہے جہاں مین اسٹرائیک سے پہلے فیلڈرز کو غلط سمت دینے کے لیے ابتدائی فلک کا استعمال کیا جاتا ہے۔")</f>
        <v>یہ ایک ہنر مندانہ اقدام ہے جہاں مین اسٹرائیک سے پہلے فیلڈرز کو غلط سمت دینے کے لیے ابتدائی فلک کا استعمال کیا جاتا ہے۔</v>
      </c>
    </row>
    <row r="103">
      <c r="A103" s="4">
        <v>102.0</v>
      </c>
      <c r="B103" s="5" t="s">
        <v>2166</v>
      </c>
      <c r="C103" s="5" t="s">
        <v>2167</v>
      </c>
      <c r="D103" s="5" t="s">
        <v>2168</v>
      </c>
      <c r="E103" s="5" t="s">
        <v>2169</v>
      </c>
      <c r="H103" s="6" t="str">
        <f>IFERROR(__xludf.DUMMYFUNCTION("GOOGLETRANSLATE(A103, ""en"", ""ur"")"),"102")</f>
        <v>102</v>
      </c>
      <c r="I103" s="6" t="str">
        <f>IFERROR(__xludf.DUMMYFUNCTION("GOOGLETRANSLATE(B103, ""en"", ""ur"")"),"گلی ڈنڈا اور بیس بال کے درمیان اہم فرق کیا ہے؟")</f>
        <v>گلی ڈنڈا اور بیس بال کے درمیان اہم فرق کیا ہے؟</v>
      </c>
      <c r="J103" s="6" t="str">
        <f>IFERROR(__xludf.DUMMYFUNCTION("GOOGLETRANSLATE(C103, ""en"", ""ur"")"),"A) گلی ڈنڈا بلے کی بجائے چھڑی کا استعمال کرتا ہے، B) گلی ڈنڈا میں کوئی گھڑا نہیں ہوتا۔ بلے باز خود اس چیز کو لانچ کرتا ہے، C) گلی ڈنڈا ایک ٹیم کا کھیل ہے، D) گلی ڈنڈا میں کوئی فیلڈنگ نہیں ہوتی")</f>
        <v>A) گلی ڈنڈا بلے کی بجائے چھڑی کا استعمال کرتا ہے، B) گلی ڈنڈا میں کوئی گھڑا نہیں ہوتا۔ بلے باز خود اس چیز کو لانچ کرتا ہے، C) گلی ڈنڈا ایک ٹیم کا کھیل ہے، D) گلی ڈنڈا میں کوئی فیلڈنگ نہیں ہوتی</v>
      </c>
      <c r="K103" s="6" t="str">
        <f>IFERROR(__xludf.DUMMYFUNCTION("GOOGLETRANSLATE(D103, ""en"", ""ur"")"),"ب) گلی ڈنڈا میں کوئی گھڑا نہیں ہے۔ بلے باز خود اس چیز کو لانچ کرتا ہے۔")</f>
        <v>ب) گلی ڈنڈا میں کوئی گھڑا نہیں ہے۔ بلے باز خود اس چیز کو لانچ کرتا ہے۔</v>
      </c>
      <c r="L103" s="6" t="str">
        <f>IFERROR(__xludf.DUMMYFUNCTION("GOOGLETRANSLATE(E103, ""en"", ""ur"")"),"یہ ایک بنیادی فرق ہے؛ گلی ڈنڈا میں اسٹرائیکر آبجیکٹ کو لانچ کرنے اور مارنے دونوں کے لئے ذمہ دار ہے۔")</f>
        <v>یہ ایک بنیادی فرق ہے؛ گلی ڈنڈا میں اسٹرائیکر آبجیکٹ کو لانچ کرنے اور مارنے دونوں کے لئے ذمہ دار ہے۔</v>
      </c>
    </row>
    <row r="104">
      <c r="A104" s="4">
        <v>103.0</v>
      </c>
      <c r="B104" s="5" t="s">
        <v>2170</v>
      </c>
      <c r="C104" s="5" t="s">
        <v>2171</v>
      </c>
      <c r="D104" s="5" t="s">
        <v>2172</v>
      </c>
      <c r="E104" s="5" t="s">
        <v>2173</v>
      </c>
      <c r="H104" s="6" t="str">
        <f>IFERROR(__xludf.DUMMYFUNCTION("GOOGLETRANSLATE(A104, ""en"", ""ur"")"),"103")</f>
        <v>103</v>
      </c>
      <c r="I104" s="6" t="str">
        <f>IFERROR(__xludf.DUMMYFUNCTION("GOOGLETRANSLATE(B104, ""en"", ""ur"")"),"ایک فیلڈر گلی کو روکتا ہے لیکن 100 ڈنڈا کی لمبائی کے فاصلے پر ہے۔ وہ 'غیر تحریری اصول' کیا ہے جس کی وہ پیروی کر سکتے ہیں؟")</f>
        <v>ایک فیلڈر گلی کو روکتا ہے لیکن 100 ڈنڈا کی لمبائی کے فاصلے پر ہے۔ وہ 'غیر تحریری اصول' کیا ہے جس کی وہ پیروی کر سکتے ہیں؟</v>
      </c>
      <c r="J104" s="6" t="str">
        <f>IFERROR(__xludf.DUMMYFUNCTION("GOOGLETRANSLATE(C104, ""en"", ""ur"")"),"A) پھینکے بغیر اسکور کو تسلیم کریں، B) گلی کو جتنی مشکل سے ممکن ہو پھینکیں، C) ایک تماشائی سے اسے واپس پھینکنے کو کہیں، D) اسے اپنے قریبی ساتھی کو پھینک دیں۔")</f>
        <v>A) پھینکے بغیر اسکور کو تسلیم کریں، B) گلی کو جتنی مشکل سے ممکن ہو پھینکیں، C) ایک تماشائی سے اسے واپس پھینکنے کو کہیں، D) اسے اپنے قریبی ساتھی کو پھینک دیں۔</v>
      </c>
      <c r="K104" s="6" t="str">
        <f>IFERROR(__xludf.DUMMYFUNCTION("GOOGLETRANSLATE(D104, ""en"", ""ur"")"),"A) پھینکے بغیر اسکور کو تسلیم کریں۔")</f>
        <v>A) پھینکے بغیر اسکور کو تسلیم کریں۔</v>
      </c>
      <c r="L104" s="6" t="str">
        <f>IFERROR(__xludf.DUMMYFUNCTION("GOOGLETRANSLATE(E104, ""en"", ""ur"")"),"بہت دور سے، گھر پر ڈنڈا مارنے کا امکان تقریباً صفر ہے، اس لیے فیلڈرز اکثر وقت بچانے کے لیے پیمائش کو تسلیم کرتے ہیں۔")</f>
        <v>بہت دور سے، گھر پر ڈنڈا مارنے کا امکان تقریباً صفر ہے، اس لیے فیلڈرز اکثر وقت بچانے کے لیے پیمائش کو تسلیم کرتے ہیں۔</v>
      </c>
    </row>
    <row r="105">
      <c r="A105" s="4">
        <v>104.0</v>
      </c>
      <c r="B105" s="5" t="s">
        <v>2174</v>
      </c>
      <c r="C105" s="5" t="s">
        <v>2175</v>
      </c>
      <c r="D105" s="5" t="s">
        <v>2176</v>
      </c>
      <c r="E105" s="5" t="s">
        <v>2177</v>
      </c>
      <c r="H105" s="6" t="str">
        <f>IFERROR(__xludf.DUMMYFUNCTION("GOOGLETRANSLATE(A105, ""en"", ""ur"")"),"104")</f>
        <v>104</v>
      </c>
      <c r="I105" s="6" t="str">
        <f>IFERROR(__xludf.DUMMYFUNCTION("GOOGLETRANSLATE(B105, ""en"", ""ur"")"),"پاکستان کا کون سا خطہ خاص طور پر گلی ڈنڈا کے شوق کے لیے جانا جاتا ہے، جہاں کے دیہاتوں میں یہ دیکھنے کو ملتا ہے؟")</f>
        <v>پاکستان کا کون سا خطہ خاص طور پر گلی ڈنڈا کے شوق کے لیے جانا جاتا ہے، جہاں کے دیہاتوں میں یہ دیکھنے کو ملتا ہے؟</v>
      </c>
      <c r="J105" s="6" t="str">
        <f>IFERROR(__xludf.DUMMYFUNCTION("GOOGLETRANSLATE(C105, ""en"", ""ur"")"),"A) کراچی، B) پنجاب، C) گلگت بلتستان، D) کوئٹہ")</f>
        <v>A) کراچی، B) پنجاب، C) گلگت بلتستان، D) کوئٹہ</v>
      </c>
      <c r="K105" s="6" t="str">
        <f>IFERROR(__xludf.DUMMYFUNCTION("GOOGLETRANSLATE(D105, ""en"", ""ur"")"),"ب) پنجاب")</f>
        <v>ب) پنجاب</v>
      </c>
      <c r="L105" s="6" t="str">
        <f>IFERROR(__xludf.DUMMYFUNCTION("GOOGLETRANSLATE(E105, ""en"", ""ur"")"),"جب کہ ہر جگہ کھیلا جاتا ہے، پنجاب کے دیہی میدانی علاقے اس کھیل کا مرکز ہیں۔")</f>
        <v>جب کہ ہر جگہ کھیلا جاتا ہے، پنجاب کے دیہی میدانی علاقے اس کھیل کا مرکز ہیں۔</v>
      </c>
    </row>
    <row r="106">
      <c r="A106" s="4">
        <v>105.0</v>
      </c>
      <c r="B106" s="5" t="s">
        <v>2178</v>
      </c>
      <c r="C106" s="5" t="s">
        <v>2179</v>
      </c>
      <c r="D106" s="5" t="s">
        <v>2180</v>
      </c>
      <c r="E106" s="5" t="s">
        <v>2181</v>
      </c>
      <c r="H106" s="6" t="str">
        <f>IFERROR(__xludf.DUMMYFUNCTION("GOOGLETRANSLATE(A106, ""en"", ""ur"")"),"105")</f>
        <v>105</v>
      </c>
      <c r="I106" s="6" t="str">
        <f>IFERROR(__xludf.DUMMYFUNCTION("GOOGLETRANSLATE(B106, ""en"", ""ur"")"),"کھلاڑی اکثر ایسی گلی کے استعمال سے کیوں گریز کرتے ہیں جس پر پینٹ ہو؟")</f>
        <v>کھلاڑی اکثر ایسی گلی کے استعمال سے کیوں گریز کرتے ہیں جس پر پینٹ ہو؟</v>
      </c>
      <c r="J106" s="6" t="str">
        <f>IFERROR(__xludf.DUMMYFUNCTION("GOOGLETRANSLATE(C106, ""en"", ""ur"")"),"A) اسے بدصورت سمجھا جاتا ہے، B) پینٹ سطح کو پھسلتا ہے اور صاف طور پر مارنا مشکل ہے، C) بدبو پریشان کن ہے، D) یہ روایت کے خلاف ہے۔")</f>
        <v>A) اسے بدصورت سمجھا جاتا ہے، B) پینٹ سطح کو پھسلتا ہے اور صاف طور پر مارنا مشکل ہے، C) بدبو پریشان کن ہے، D) یہ روایت کے خلاف ہے۔</v>
      </c>
      <c r="K106" s="6" t="str">
        <f>IFERROR(__xludf.DUMMYFUNCTION("GOOGLETRANSLATE(D106, ""en"", ""ur"")"),"ب) پینٹ سطح کو پھسلن اور صاف طور پر مارنا مشکل بنا دیتا ہے۔")</f>
        <v>ب) پینٹ سطح کو پھسلن اور صاف طور پر مارنا مشکل بنا دیتا ہے۔</v>
      </c>
      <c r="L106" s="6" t="str">
        <f>IFERROR(__xludf.DUMMYFUNCTION("GOOGLETRANSLATE(E106, ""en"", ""ur"")"),"کچی لکڑی ڈنڈا کو گلی کو اچھی طرح سے پکڑنے اور جھٹکنے کے لیے ایک بہتر سطح فراہم کرتی ہے۔")</f>
        <v>کچی لکڑی ڈنڈا کو گلی کو اچھی طرح سے پکڑنے اور جھٹکنے کے لیے ایک بہتر سطح فراہم کرتی ہے۔</v>
      </c>
    </row>
    <row r="107">
      <c r="A107" s="4">
        <v>106.0</v>
      </c>
      <c r="B107" s="5" t="s">
        <v>2182</v>
      </c>
      <c r="C107" s="5" t="s">
        <v>2183</v>
      </c>
      <c r="D107" s="5" t="s">
        <v>2184</v>
      </c>
      <c r="E107" s="5" t="s">
        <v>2185</v>
      </c>
      <c r="H107" s="6" t="str">
        <f>IFERROR(__xludf.DUMMYFUNCTION("GOOGLETRANSLATE(A107, ""en"", ""ur"")"),"106")</f>
        <v>106</v>
      </c>
      <c r="I107" s="6" t="str">
        <f>IFERROR(__xludf.DUMMYFUNCTION("GOOGLETRANSLATE(B107, ""en"", ""ur"")"),"گھر کے کچھ اصولوں میں، ""ڈبل آؤٹ"" کیا ہے؟")</f>
        <v>گھر کے کچھ اصولوں میں، "ڈبل آؤٹ" کیا ہے؟</v>
      </c>
      <c r="J107" s="6" t="str">
        <f>IFERROR(__xludf.DUMMYFUNCTION("GOOGLETRANSLATE(C107, ""en"", ""ur"")"),"A) گلی کو دو بار مس کرنا، B) ایک ساتھ دو فیلڈرز کا کیچ آؤٹ ہونا، C) ایک ہی اسٹرائیک میں دو فاؤل کرنا، جیسے اوور سٹیپ کرنا اور غائب ہونا، D) گلی کو دو بار مارنا، بغیر اس کے ہوائی جہاز بننا")</f>
        <v>A) گلی کو دو بار مس کرنا، B) ایک ساتھ دو فیلڈرز کا کیچ آؤٹ ہونا، C) ایک ہی اسٹرائیک میں دو فاؤل کرنا، جیسے اوور سٹیپ کرنا اور غائب ہونا، D) گلی کو دو بار مارنا، بغیر اس کے ہوائی جہاز بننا</v>
      </c>
      <c r="K107" s="6" t="str">
        <f>IFERROR(__xludf.DUMMYFUNCTION("GOOGLETRANSLATE(D107, ""en"", ""ur"")"),"ج) ایک ہی اسٹرائیک میں دو فاؤل کا ارتکاب کرنا، جیسے اوورسٹیپنگ اور لاپتہ")</f>
        <v>ج) ایک ہی اسٹرائیک میں دو فاؤل کا ارتکاب کرنا، جیسے اوورسٹیپنگ اور لاپتہ</v>
      </c>
      <c r="L107" s="6" t="str">
        <f>IFERROR(__xludf.DUMMYFUNCTION("GOOGLETRANSLATE(E107, ""en"", ""ur"")"),"کچھ غیر رسمی گیمز کا ایک اصول ہوتا ہے جہاں ایک ہی کھیل میں دو خلاف ورزیوں کا نتیجہ خودکار آؤٹ ہوتا ہے۔")</f>
        <v>کچھ غیر رسمی گیمز کا ایک اصول ہوتا ہے جہاں ایک ہی کھیل میں دو خلاف ورزیوں کا نتیجہ خودکار آؤٹ ہوتا ہے۔</v>
      </c>
    </row>
    <row r="108">
      <c r="A108" s="4">
        <v>107.0</v>
      </c>
      <c r="B108" s="5" t="s">
        <v>2186</v>
      </c>
      <c r="C108" s="5" t="s">
        <v>2187</v>
      </c>
      <c r="D108" s="5" t="s">
        <v>2188</v>
      </c>
      <c r="E108" s="5" t="s">
        <v>2189</v>
      </c>
      <c r="H108" s="6" t="str">
        <f>IFERROR(__xludf.DUMMYFUNCTION("GOOGLETRANSLATE(A108, ""en"", ""ur"")"),"107")</f>
        <v>107</v>
      </c>
      <c r="I108" s="6" t="str">
        <f>IFERROR(__xludf.DUMMYFUNCTION("GOOGLETRANSLATE(B108, ""en"", ""ur"")"),"ایک گول فیلڈ کو اکثر مربع پر کیوں ترجیح دی جاتی ہے؟")</f>
        <v>ایک گول فیلڈ کو اکثر مربع پر کیوں ترجیح دی جاتی ہے؟</v>
      </c>
      <c r="J108" s="6" t="str">
        <f>IFERROR(__xludf.DUMMYFUNCTION("GOOGLETRANSLATE(C108, ""en"", ""ur"")"),"A) نشان لگانا آسان ہے، B) یہ تمام فیلڈرز کو یکساں موقع فراہم کرتا ہے، کیوں کہ چھپنے کے لیے کوئی کونے نہیں ہوتے، C) یہ جمالیاتی لحاظ سے زیادہ خوشنما ہوتا ہے، D) یہ اسٹرائیکر کے لیے مشکل بنا دیتا ہے۔")</f>
        <v>A) نشان لگانا آسان ہے، B) یہ تمام فیلڈرز کو یکساں موقع فراہم کرتا ہے، کیوں کہ چھپنے کے لیے کوئی کونے نہیں ہوتے، C) یہ جمالیاتی لحاظ سے زیادہ خوشنما ہوتا ہے، D) یہ اسٹرائیکر کے لیے مشکل بنا دیتا ہے۔</v>
      </c>
      <c r="K108" s="6" t="str">
        <f>IFERROR(__xludf.DUMMYFUNCTION("GOOGLETRANSLATE(D108, ""en"", ""ur"")"),"ب) یہ تمام فیلڈرز کو یکساں موقع فراہم کرتا ہے، کیونکہ چھپنے کے لیے کوئی کونے نہیں ہیں۔")</f>
        <v>ب) یہ تمام فیلڈرز کو یکساں موقع فراہم کرتا ہے، کیونکہ چھپنے کے لیے کوئی کونے نہیں ہیں۔</v>
      </c>
      <c r="L108" s="6" t="str">
        <f>IFERROR(__xludf.DUMMYFUNCTION("GOOGLETRANSLATE(E108, ""en"", ""ur"")"),"ایک سرکلر پلے ایریا ایک منصفانہ، 360-ڈگری کھیل کا میدان فراہم کرتا ہے۔")</f>
        <v>ایک سرکلر پلے ایریا ایک منصفانہ، 360-ڈگری کھیل کا میدان فراہم کرتا ہے۔</v>
      </c>
    </row>
    <row r="109">
      <c r="A109" s="4">
        <v>108.0</v>
      </c>
      <c r="B109" s="5" t="s">
        <v>2190</v>
      </c>
      <c r="C109" s="5" t="s">
        <v>2191</v>
      </c>
      <c r="D109" s="5" t="s">
        <v>2192</v>
      </c>
      <c r="E109" s="5" t="s">
        <v>2193</v>
      </c>
      <c r="H109" s="6" t="str">
        <f>IFERROR(__xludf.DUMMYFUNCTION("GOOGLETRANSLATE(A109, ""en"", ""ur"")"),"108")</f>
        <v>108</v>
      </c>
      <c r="I109" s="6" t="str">
        <f>IFERROR(__xludf.DUMMYFUNCTION("GOOGLETRANSLATE(B109, ""en"", ""ur"")"),"طاقتور ہڑتال کے لیے ڈنڈا پکڑنے کے لیے ہاتھ کی سب سے عام پوزیشن کیا ہے؟")</f>
        <v>طاقتور ہڑتال کے لیے ڈنڈا پکڑنے کے لیے ہاتھ کی سب سے عام پوزیشن کیا ہے؟</v>
      </c>
      <c r="J109" s="6" t="str">
        <f>IFERROR(__xludf.DUMMYFUNCTION("GOOGLETRANSLATE(C109, ""en"", ""ur"")"),"A) اسے پنسل کی طرح پکڑنا، B) دونوں ہاتھوں کو نیچے سے، بیس بال کے بیٹ کی گرفت کی طرح، C) درمیان میں ایک ہاتھ، D) اسے اوپر سے پکڑنا")</f>
        <v>A) اسے پنسل کی طرح پکڑنا، B) دونوں ہاتھوں کو نیچے سے، بیس بال کے بیٹ کی گرفت کی طرح، C) درمیان میں ایک ہاتھ، D) اسے اوپر سے پکڑنا</v>
      </c>
      <c r="K109" s="6" t="str">
        <f>IFERROR(__xludf.DUMMYFUNCTION("GOOGLETRANSLATE(D109, ""en"", ""ur"")"),"ب) دونوں ہاتھ نیچے کی طرف، بیس بال کے بیٹ کی گرفت کی طرح")</f>
        <v>ب) دونوں ہاتھ نیچے کی طرف، بیس بال کے بیٹ کی گرفت کی طرح</v>
      </c>
      <c r="L109" s="6" t="str">
        <f>IFERROR(__xludf.DUMMYFUNCTION("GOOGLETRANSLATE(E109, ""en"", ""ur"")"),"یہ گرفت مرکزی ہڑتال کے لیے زیادہ سے زیادہ فائدہ اور طاقت فراہم کرتی ہے۔")</f>
        <v>یہ گرفت مرکزی ہڑتال کے لیے زیادہ سے زیادہ فائدہ اور طاقت فراہم کرتی ہے۔</v>
      </c>
    </row>
    <row r="110">
      <c r="A110" s="4">
        <v>109.0</v>
      </c>
      <c r="B110" s="5" t="s">
        <v>2194</v>
      </c>
      <c r="C110" s="5" t="s">
        <v>2195</v>
      </c>
      <c r="D110" s="5" t="s">
        <v>2196</v>
      </c>
      <c r="E110" s="5" t="s">
        <v>2197</v>
      </c>
      <c r="H110" s="6" t="str">
        <f>IFERROR(__xludf.DUMMYFUNCTION("GOOGLETRANSLATE(A110, ""en"", ""ur"")"),"109")</f>
        <v>109</v>
      </c>
      <c r="I110" s="6" t="str">
        <f>IFERROR(__xludf.DUMMYFUNCTION("GOOGLETRANSLATE(B110, ""en"", ""ur"")"),"ڈنڈا بنانے کے لیے روایتی طور پر کس قسم کی لکڑی سے پرہیز کیا جاتا ہے؟")</f>
        <v>ڈنڈا بنانے کے لیے روایتی طور پر کس قسم کی لکڑی سے پرہیز کیا جاتا ہے؟</v>
      </c>
      <c r="J110" s="6" t="str">
        <f>IFERROR(__xludf.DUMMYFUNCTION("GOOGLETRANSLATE(C110, ""en"", ""ur"")"),"A) شیشم جیسی سخت لکڑی، B) دیودار کی طرح نرم لکڑی، کیونکہ یہ آسانی سے ٹوٹ جاتی ہے، C) بانس، D) نیم")</f>
        <v>A) شیشم جیسی سخت لکڑی، B) دیودار کی طرح نرم لکڑی، کیونکہ یہ آسانی سے ٹوٹ جاتی ہے، C) بانس، D) نیم</v>
      </c>
      <c r="K110" s="6" t="str">
        <f>IFERROR(__xludf.DUMMYFUNCTION("GOOGLETRANSLATE(D110, ""en"", ""ur"")"),"ب) دیودار کی طرح نرم لکڑی، کیونکہ یہ آسانی سے ٹوٹ جاتی ہے۔")</f>
        <v>ب) دیودار کی طرح نرم لکڑی، کیونکہ یہ آسانی سے ٹوٹ جاتی ہے۔</v>
      </c>
      <c r="L110" s="6" t="str">
        <f>IFERROR(__xludf.DUMMYFUNCTION("GOOGLETRANSLATE(E110, ""en"", ""ur"")"),"ایک ڈنڈا کو ہزاروں اثرات کا سامنا کرنے کے لیے پائیدار ہونا ضروری ہے، اس لیے نرم، ٹوٹی پھوٹی لکڑی پر گھنے سخت لکڑی کو ترجیح دی جاتی ہے۔")</f>
        <v>ایک ڈنڈا کو ہزاروں اثرات کا سامنا کرنے کے لیے پائیدار ہونا ضروری ہے، اس لیے نرم، ٹوٹی پھوٹی لکڑی پر گھنے سخت لکڑی کو ترجیح دی جاتی ہے۔</v>
      </c>
    </row>
    <row r="111">
      <c r="A111" s="4">
        <v>110.0</v>
      </c>
      <c r="B111" s="5" t="s">
        <v>2198</v>
      </c>
      <c r="C111" s="5" t="s">
        <v>2199</v>
      </c>
      <c r="D111" s="5" t="s">
        <v>2200</v>
      </c>
      <c r="E111" s="5" t="s">
        <v>2201</v>
      </c>
      <c r="H111" s="6" t="str">
        <f>IFERROR(__xludf.DUMMYFUNCTION("GOOGLETRANSLATE(A111, ""en"", ""ur"")"),"110")</f>
        <v>110</v>
      </c>
      <c r="I111" s="6" t="str">
        <f>IFERROR(__xludf.DUMMYFUNCTION("GOOGLETRANSLATE(B111, ""en"", ""ur"")"),"اگر گلی کھیل کے میدان کے ساتھ والے کسی کسان کے کھیت میں اترتی ہے تو عام شائستہ کیا ہے؟")</f>
        <v>اگر گلی کھیل کے میدان کے ساتھ والے کسی کسان کے کھیت میں اترتی ہے تو عام شائستہ کیا ہے؟</v>
      </c>
      <c r="J111" s="6" t="str">
        <f>IFERROR(__xludf.DUMMYFUNCTION("GOOGLETRANSLATE(C111, ""en"", ""ur"")"),"A) کھیل مستقل طور پر رک جاتا ہے، B) اسٹرائیکر کو جانا چاہیے اور اسے دوبارہ حاصل کرنے کی اجازت طلب کرنا چاہیے، C) فیلڈر بغیر پوچھے اسے دوبارہ حاصل کر سکتا ہے، D) گلی کو کھویا ہوا سمجھا جاتا ہے۔")</f>
        <v>A) کھیل مستقل طور پر رک جاتا ہے، B) اسٹرائیکر کو جانا چاہیے اور اسے دوبارہ حاصل کرنے کی اجازت طلب کرنا چاہیے، C) فیلڈر بغیر پوچھے اسے دوبارہ حاصل کر سکتا ہے، D) گلی کو کھویا ہوا سمجھا جاتا ہے۔</v>
      </c>
      <c r="K111" s="6" t="str">
        <f>IFERROR(__xludf.DUMMYFUNCTION("GOOGLETRANSLATE(D111, ""en"", ""ur"")"),"ب) اسٹرائیکر کو ضرور جانا چاہیے اور اسے دوبارہ حاصل کرنے کے لیے اجازت طلب کرنا چاہیے۔")</f>
        <v>ب) اسٹرائیکر کو ضرور جانا چاہیے اور اسے دوبارہ حاصل کرنے کے لیے اجازت طلب کرنا چاہیے۔</v>
      </c>
      <c r="L111" s="6" t="str">
        <f>IFERROR(__xludf.DUMMYFUNCTION("GOOGLETRANSLATE(E111, ""en"", ""ur"")"),"جائیداد کا احترام گاؤں کی زندگی کا ایک اہم حصہ ہے، اور کھلاڑیوں سے شائستہ ہونے کی توقع کی جاتی ہے۔")</f>
        <v>جائیداد کا احترام گاؤں کی زندگی کا ایک اہم حصہ ہے، اور کھلاڑیوں سے شائستہ ہونے کی توقع کی جاتی ہے۔</v>
      </c>
    </row>
    <row r="112">
      <c r="A112" s="4">
        <v>111.0</v>
      </c>
      <c r="B112" s="5" t="s">
        <v>2202</v>
      </c>
      <c r="C112" s="5" t="s">
        <v>2203</v>
      </c>
      <c r="D112" s="5" t="s">
        <v>2204</v>
      </c>
      <c r="E112" s="5" t="s">
        <v>2205</v>
      </c>
      <c r="H112" s="6" t="str">
        <f>IFERROR(__xludf.DUMMYFUNCTION("GOOGLETRANSLATE(A112, ""en"", ""ur"")"),"111")</f>
        <v>111</v>
      </c>
      <c r="I112" s="6" t="str">
        <f>IFERROR(__xludf.DUMMYFUNCTION("GOOGLETRANSLATE(B112, ""en"", ""ur"")"),"""گلی گڑھا"" کیا ہے؟")</f>
        <v>"گلی گڑھا" کیا ہے؟</v>
      </c>
      <c r="J112" s="6" t="str">
        <f>IFERROR(__xludf.DUMMYFUNCTION("GOOGLETRANSLATE(C112, ""en"", ""ur"")"),"A) وہ جگہ جہاں Gillis کو ذخیرہ کیا جاتا ہے، B) وہ چھوٹا سوراخ یا دائرہ جہاں سے کھیل کھیلا جاتا ہے، C) جرمانے کا علاقہ، D) گلی کی ایک قسم")</f>
        <v>A) وہ جگہ جہاں Gillis کو ذخیرہ کیا جاتا ہے، B) وہ چھوٹا سوراخ یا دائرہ جہاں سے کھیل کھیلا جاتا ہے، C) جرمانے کا علاقہ، D) گلی کی ایک قسم</v>
      </c>
      <c r="K112" s="6" t="str">
        <f>IFERROR(__xludf.DUMMYFUNCTION("GOOGLETRANSLATE(D112, ""en"", ""ur"")"),"ب) وہ چھوٹا سوراخ یا دائرہ جس سے کھیل کھیلا جاتا ہے۔")</f>
        <v>ب) وہ چھوٹا سوراخ یا دائرہ جس سے کھیل کھیلا جاتا ہے۔</v>
      </c>
      <c r="L112" s="6" t="str">
        <f>IFERROR(__xludf.DUMMYFUNCTION("GOOGLETRANSLATE(E112, ""en"", ""ur"")"),"یہ گچھی کے لیے ایک اور اصطلاح ہے، جو کھیل کا نقطہ آغاز ہے۔")</f>
        <v>یہ گچھی کے لیے ایک اور اصطلاح ہے، جو کھیل کا نقطہ آغاز ہے۔</v>
      </c>
    </row>
    <row r="113">
      <c r="A113" s="4">
        <v>112.0</v>
      </c>
      <c r="B113" s="5" t="s">
        <v>2206</v>
      </c>
      <c r="C113" s="5" t="s">
        <v>2207</v>
      </c>
      <c r="D113" s="5" t="s">
        <v>2208</v>
      </c>
      <c r="E113" s="5" t="s">
        <v>2209</v>
      </c>
      <c r="H113" s="6" t="str">
        <f>IFERROR(__xludf.DUMMYFUNCTION("GOOGLETRANSLATE(A113, ""en"", ""ur"")"),"112")</f>
        <v>112</v>
      </c>
      <c r="I113" s="6" t="str">
        <f>IFERROR(__xludf.DUMMYFUNCTION("GOOGLETRANSLATE(B113, ""en"", ""ur"")"),"کھیل کے ایک ورژن میں جہاں فیلڈر ڈنڈا مارنے کی کوشش کرتا ہے، اسٹرائیکر کو کیا کرنا چاہیے؟")</f>
        <v>کھیل کے ایک ورژن میں جہاں فیلڈر ڈنڈا مارنے کی کوشش کرتا ہے، اسٹرائیکر کو کیا کرنا چاہیے؟</v>
      </c>
      <c r="J113" s="6" t="str">
        <f>IFERROR(__xludf.DUMMYFUNCTION("GOOGLETRANSLATE(C113, ""en"", ""ur"")"),"A) وہ ڈنڈا کو حرکت دے سکتے ہیں، B) انہیں ڈنڈا کو سوراخ کے اوپر چھوڑ کر بیس پر واپس آنا چاہیے، C) وہ اپنے جسم سے تھرو کو روک سکتے ہیں، D) وہ فیلڈر کے ذریعے پھینکی گئی گلی کو پکڑنے کی کوشش کر سکتے ہیں۔")</f>
        <v>A) وہ ڈنڈا کو حرکت دے سکتے ہیں، B) انہیں ڈنڈا کو سوراخ کے اوپر چھوڑ کر بیس پر واپس آنا چاہیے، C) وہ اپنے جسم سے تھرو کو روک سکتے ہیں، D) وہ فیلڈر کے ذریعے پھینکی گئی گلی کو پکڑنے کی کوشش کر سکتے ہیں۔</v>
      </c>
      <c r="K113" s="6" t="str">
        <f>IFERROR(__xludf.DUMMYFUNCTION("GOOGLETRANSLATE(D113, ""en"", ""ur"")"),"ب) انہیں ڈنڈا کو سوراخ کے اوپر چھوڑ کر اڈے پر واپس آنا چاہیے۔")</f>
        <v>ب) انہیں ڈنڈا کو سوراخ کے اوپر چھوڑ کر اڈے پر واپس آنا چاہیے۔</v>
      </c>
      <c r="L113" s="6" t="str">
        <f>IFERROR(__xludf.DUMMYFUNCTION("GOOGLETRANSLATE(E113, ""en"", ""ur"")"),"ڈنڈا وہ ""وکٹ"" یا ہدف بن جاتا ہے جسے فیلڈر اسٹرائیکر کو ""رن آؤٹ"" کروانے کا ہدف رکھتا ہے۔")</f>
        <v>ڈنڈا وہ "وکٹ" یا ہدف بن جاتا ہے جسے فیلڈر اسٹرائیکر کو "رن آؤٹ" کروانے کا ہدف رکھتا ہے۔</v>
      </c>
    </row>
    <row r="114">
      <c r="A114" s="4">
        <v>113.0</v>
      </c>
      <c r="B114" s="5" t="s">
        <v>2210</v>
      </c>
      <c r="C114" s="5" t="s">
        <v>2211</v>
      </c>
      <c r="D114" s="5" t="s">
        <v>2212</v>
      </c>
      <c r="E114" s="5" t="s">
        <v>2213</v>
      </c>
      <c r="H114" s="6" t="str">
        <f>IFERROR(__xludf.DUMMYFUNCTION("GOOGLETRANSLATE(A114, ""en"", ""ur"")"),"113")</f>
        <v>113</v>
      </c>
      <c r="I114" s="6" t="str">
        <f>IFERROR(__xludf.DUMMYFUNCTION("GOOGLETRANSLATE(B114, ""en"", ""ur"")"),"بہت چھوٹی گلی کے استعمال کا بنیادی خطرہ کیا ہے؟")</f>
        <v>بہت چھوٹی گلی کے استعمال کا بنیادی خطرہ کیا ہے؟</v>
      </c>
      <c r="J114" s="6" t="str">
        <f>IFERROR(__xludf.DUMMYFUNCTION("GOOGLETRANSLATE(C114, ""en"", ""ur"")"),"A) یہ زیادہ سفر نہیں کرے گا، B) فیلڈرز کے لیے دیکھنا اور پکڑنا بہت مشکل ہے، C) یہ آسانی سے ہوا میں نہیں پلٹ سکے گا، D) یہ بہت جلدی ٹوٹ جاتا ہے۔")</f>
        <v>A) یہ زیادہ سفر نہیں کرے گا، B) فیلڈرز کے لیے دیکھنا اور پکڑنا بہت مشکل ہے، C) یہ آسانی سے ہوا میں نہیں پلٹ سکے گا، D) یہ بہت جلدی ٹوٹ جاتا ہے۔</v>
      </c>
      <c r="K114" s="6" t="str">
        <f>IFERROR(__xludf.DUMMYFUNCTION("GOOGLETRANSLATE(D114, ""en"", ""ur"")"),"ب) فیلڈرز کے لیے دیکھنا اور کیچ کرنا بہت مشکل ہے۔")</f>
        <v>ب) فیلڈرز کے لیے دیکھنا اور کیچ کرنا بہت مشکل ہے۔</v>
      </c>
      <c r="L114" s="6" t="str">
        <f>IFERROR(__xludf.DUMMYFUNCTION("GOOGLETRANSLATE(E114, ""en"", ""ur"")"),"ایک بہت چھوٹی گلی کھیل کے فیلڈنگ کے پہلو کو تقریباً ناممکن بنا سکتی ہے، جس سے تنازعات جنم لیتے ہیں۔")</f>
        <v>ایک بہت چھوٹی گلی کھیل کے فیلڈنگ کے پہلو کو تقریباً ناممکن بنا سکتی ہے، جس سے تنازعات جنم لیتے ہیں۔</v>
      </c>
    </row>
    <row r="115">
      <c r="A115" s="4">
        <v>114.0</v>
      </c>
      <c r="B115" s="5" t="s">
        <v>2214</v>
      </c>
      <c r="C115" s="5" t="s">
        <v>2215</v>
      </c>
      <c r="D115" s="5" t="s">
        <v>2216</v>
      </c>
      <c r="E115" s="5" t="s">
        <v>2217</v>
      </c>
      <c r="H115" s="6" t="str">
        <f>IFERROR(__xludf.DUMMYFUNCTION("GOOGLETRANSLATE(A115, ""en"", ""ur"")"),"114")</f>
        <v>114</v>
      </c>
      <c r="I115" s="6" t="str">
        <f>IFERROR(__xludf.DUMMYFUNCTION("GOOGLETRANSLATE(B115, ""en"", ""ur"")"),"گلی ڈنڈا کے کھیل میں جھگڑے کی اصل وجہ کیا ہے؟")</f>
        <v>گلی ڈنڈا کے کھیل میں جھگڑے کی اصل وجہ کیا ہے؟</v>
      </c>
      <c r="J115" s="6" t="str">
        <f>IFERROR(__xludf.DUMMYFUNCTION("GOOGLETRANSLATE(C115, ""en"", ""ur"")"),"A) آفاقی قوانین کے رسمی، تحریری سیٹ کی کمی، B) کھلاڑی بہت زیادہ مسابقتی ہیں، C) سامان معیاری نہیں ہے، D) موسم")</f>
        <v>A) آفاقی قوانین کے رسمی، تحریری سیٹ کی کمی، B) کھلاڑی بہت زیادہ مسابقتی ہیں، C) سامان معیاری نہیں ہے، D) موسم</v>
      </c>
      <c r="K115" s="6" t="str">
        <f>IFERROR(__xludf.DUMMYFUNCTION("GOOGLETRANSLATE(D115, ""en"", ""ur"")"),"A) آفاقی قوانین کے رسمی، تحریری سیٹ کی کمی")</f>
        <v>A) آفاقی قوانین کے رسمی، تحریری سیٹ کی کمی</v>
      </c>
      <c r="L115" s="6" t="str">
        <f>IFERROR(__xludf.DUMMYFUNCTION("GOOGLETRANSLATE(E115, ""en"", ""ur"")"),"چونکہ یہ کھیل زبانی روایت سے گزرتا ہے، اس لیے ہر گاؤں اور گروپ کے اپنے ""گھر کے اصول"" ہوتے ہیں، جو اکثر جھگڑوں کا باعث بنتے ہیں۔")</f>
        <v>چونکہ یہ کھیل زبانی روایت سے گزرتا ہے، اس لیے ہر گاؤں اور گروپ کے اپنے "گھر کے اصول" ہوتے ہیں، جو اکثر جھگڑوں کا باعث بنتے ہیں۔</v>
      </c>
    </row>
    <row r="116">
      <c r="A116" s="4">
        <v>115.0</v>
      </c>
      <c r="B116" s="5" t="s">
        <v>2218</v>
      </c>
      <c r="C116" s="5" t="s">
        <v>2219</v>
      </c>
      <c r="D116" s="5" t="s">
        <v>2220</v>
      </c>
      <c r="E116" s="5" t="s">
        <v>2221</v>
      </c>
      <c r="H116" s="6" t="str">
        <f>IFERROR(__xludf.DUMMYFUNCTION("GOOGLETRANSLATE(A116, ""en"", ""ur"")"),"115")</f>
        <v>115</v>
      </c>
      <c r="I116" s="6" t="str">
        <f>IFERROR(__xludf.DUMMYFUNCTION("GOOGLETRANSLATE(B116, ""en"", ""ur"")"),"کون سا عمل ایک نایاب لیکن انتہائی مہارت والا اقدام سمجھا جاتا ہے؟")</f>
        <v>کون سا عمل ایک نایاب لیکن انتہائی مہارت والا اقدام سمجھا جاتا ہے؟</v>
      </c>
      <c r="J116" s="6" t="str">
        <f>IFERROR(__xludf.DUMMYFUNCTION("GOOGLETRANSLATE(C116, ""en"", ""ur"")"),"A) گلی کو ایک ہاتھ سے مارنا، B) گلی کو پیچھے کی طرف کسی کے سر پر مارنا، C) گلی کو ایک ہاتھ سے پکڑنا، D) فاصلے کو درست طریقے سے ناپنا")</f>
        <v>A) گلی کو ایک ہاتھ سے مارنا، B) گلی کو پیچھے کی طرف کسی کے سر پر مارنا، C) گلی کو ایک ہاتھ سے پکڑنا، D) فاصلے کو درست طریقے سے ناپنا</v>
      </c>
      <c r="K116" s="6" t="str">
        <f>IFERROR(__xludf.DUMMYFUNCTION("GOOGLETRANSLATE(D116, ""en"", ""ur"")"),"ب) گلی کو پیچھے کی طرف کسی کے سر پر مارنا")</f>
        <v>ب) گلی کو پیچھے کی طرف کسی کے سر پر مارنا</v>
      </c>
      <c r="L116" s="6" t="str">
        <f>IFERROR(__xludf.DUMMYFUNCTION("GOOGLETRANSLATE(E116, ""en"", ""ur"")"),"یہ ""نو-لُک"" ٹرک شاٹ ایک غیر معمولی ہنر مند کھلاڑی کی علامت ہے۔")</f>
        <v>یہ "نو-لُک" ٹرک شاٹ ایک غیر معمولی ہنر مند کھلاڑی کی علامت ہے۔</v>
      </c>
    </row>
    <row r="117">
      <c r="A117" s="4">
        <v>116.0</v>
      </c>
      <c r="B117" s="5" t="s">
        <v>2222</v>
      </c>
      <c r="C117" s="5" t="s">
        <v>2223</v>
      </c>
      <c r="D117" s="5" t="s">
        <v>1133</v>
      </c>
      <c r="E117" s="5" t="s">
        <v>2224</v>
      </c>
      <c r="H117" s="6" t="str">
        <f>IFERROR(__xludf.DUMMYFUNCTION("GOOGLETRANSLATE(A117, ""en"", ""ur"")"),"116")</f>
        <v>116</v>
      </c>
      <c r="I117" s="6" t="str">
        <f>IFERROR(__xludf.DUMMYFUNCTION("GOOGLETRANSLATE(B117, ""en"", ""ur"")"),"بہت بھاری لکڑی سے بنی گلی استعمال کرنے کا بنیادی نقصان کیا ہے؟")</f>
        <v>بہت بھاری لکڑی سے بنی گلی استعمال کرنے کا بنیادی نقصان کیا ہے؟</v>
      </c>
      <c r="J117" s="6" t="str">
        <f>IFERROR(__xludf.DUMMYFUNCTION("GOOGLETRANSLATE(C117, ""en"", ""ur"")"),"A) یہ ہوا میں آسانی سے نہیں اڑے گا، B) یہ زیادہ خطرناک ہے اگر یہ کسی سے ٹکرائے، C) یہ زیادہ دور تک سفر نہیں کرے گا، D) مندرجہ بالا سبھی")</f>
        <v>A) یہ ہوا میں آسانی سے نہیں اڑے گا، B) یہ زیادہ خطرناک ہے اگر یہ کسی سے ٹکرائے، C) یہ زیادہ دور تک سفر نہیں کرے گا، D) مندرجہ بالا سبھی</v>
      </c>
      <c r="K117" s="6" t="str">
        <f>IFERROR(__xludf.DUMMYFUNCTION("GOOGLETRANSLATE(D117, ""en"", ""ur"")"),"D) مذکورہ بالا تمام")</f>
        <v>D) مذکورہ بالا تمام</v>
      </c>
      <c r="L117" s="6" t="str">
        <f>IFERROR(__xludf.DUMMYFUNCTION("GOOGLETRANSLATE(E117, ""en"", ""ur"")"),"بھاری گلی کو لانچ کرنا مشکل ہے، کم ایروڈینامک ہے، اور حفاظتی خطرہ زیادہ ہوتا ہے۔")</f>
        <v>بھاری گلی کو لانچ کرنا مشکل ہے، کم ایروڈینامک ہے، اور حفاظتی خطرہ زیادہ ہوتا ہے۔</v>
      </c>
    </row>
    <row r="118">
      <c r="A118" s="4">
        <v>117.0</v>
      </c>
      <c r="B118" s="5" t="s">
        <v>2225</v>
      </c>
      <c r="C118" s="5" t="s">
        <v>2226</v>
      </c>
      <c r="D118" s="5" t="s">
        <v>2227</v>
      </c>
      <c r="E118" s="5" t="s">
        <v>2228</v>
      </c>
      <c r="H118" s="6" t="str">
        <f>IFERROR(__xludf.DUMMYFUNCTION("GOOGLETRANSLATE(A118, ""en"", ""ur"")"),"117")</f>
        <v>117</v>
      </c>
      <c r="I118" s="6" t="str">
        <f>IFERROR(__xludf.DUMMYFUNCTION("GOOGLETRANSLATE(B118, ""en"", ""ur"")"),"کچھ ٹیمیں اپنی فیلڈنگ پوزیشن کو بار بار کیوں گھماتی ہیں؟")</f>
        <v>کچھ ٹیمیں اپنی فیلڈنگ پوزیشن کو بار بار کیوں گھماتی ہیں؟</v>
      </c>
      <c r="J118" s="6" t="str">
        <f>IFERROR(__xludf.DUMMYFUNCTION("GOOGLETRANSLATE(C118, ""en"", ""ur"")"),"A) اسٹرائیکر کو الجھانے کے لئے، B) کھلاڑیوں کو اعلی ایکشن پوزیشن سے آرام دینے کے لئے، C) روایتی طرز پر عمل کرنے کے لئے، D) دوسری ٹیم کے ساتھ تنازعات سے بچنے کے لئے")</f>
        <v>A) اسٹرائیکر کو الجھانے کے لئے، B) کھلاڑیوں کو اعلی ایکشن پوزیشن سے آرام دینے کے لئے، C) روایتی طرز پر عمل کرنے کے لئے، D) دوسری ٹیم کے ساتھ تنازعات سے بچنے کے لئے</v>
      </c>
      <c r="K118" s="6" t="str">
        <f>IFERROR(__xludf.DUMMYFUNCTION("GOOGLETRANSLATE(D118, ""en"", ""ur"")"),"ب) کھلاڑیوں کو اعلی ایکشن پوزیشن سے آرام دینا")</f>
        <v>ب) کھلاڑیوں کو اعلی ایکشن پوزیشن سے آرام دینا</v>
      </c>
      <c r="L118" s="6" t="str">
        <f>IFERROR(__xludf.DUMMYFUNCTION("GOOGLETRANSLATE(E118, ""en"", ""ur"")"),"فیلڈنگ میں مسلسل چوکنا رہنے اور دوڑنے کی ضرورت ہوتی ہے، اس لیے کھلاڑیوں کو گھومنا ٹیم کو تازہ دم رکھتا ہے۔")</f>
        <v>فیلڈنگ میں مسلسل چوکنا رہنے اور دوڑنے کی ضرورت ہوتی ہے، اس لیے کھلاڑیوں کو گھومنا ٹیم کو تازہ دم رکھتا ہے۔</v>
      </c>
    </row>
    <row r="119">
      <c r="A119" s="4">
        <v>118.0</v>
      </c>
      <c r="B119" s="5" t="s">
        <v>2229</v>
      </c>
      <c r="C119" s="5" t="s">
        <v>2230</v>
      </c>
      <c r="D119" s="5" t="s">
        <v>2231</v>
      </c>
      <c r="E119" s="5" t="s">
        <v>2232</v>
      </c>
      <c r="H119" s="6" t="str">
        <f>IFERROR(__xludf.DUMMYFUNCTION("GOOGLETRANSLATE(A119, ""en"", ""ur"")"),"118")</f>
        <v>118</v>
      </c>
      <c r="I119" s="6" t="str">
        <f>IFERROR(__xludf.DUMMYFUNCTION("GOOGLETRANSLATE(B119, ""en"", ""ur"")"),"ایک اسٹرائیکر گلی کو یاد کرتا ہے، اور ان کا جھولتا ڈنڈا غلطی سے ایک فیلڈر سے ٹکرا جاتا ہے۔ غیر رسمی حکم کیا ہے؟")</f>
        <v>ایک اسٹرائیکر گلی کو یاد کرتا ہے، اور ان کا جھولتا ڈنڈا غلطی سے ایک فیلڈر سے ٹکرا جاتا ہے۔ غیر رسمی حکم کیا ہے؟</v>
      </c>
      <c r="J119" s="6" t="str">
        <f>IFERROR(__xludf.DUMMYFUNCTION("GOOGLETRANSLATE(C119, ""en"", ""ur"")"),"A) اسٹرائیکر آؤٹ ہے، B) کھیل کو روک دیا گیا ہے، معذرت کی گئی ہے، اور باری دوبارہ چلائی گئی ہے، C) فیلڈر آؤٹ ہے، D) کھیل معمول کے مطابق جاری ہے")</f>
        <v>A) اسٹرائیکر آؤٹ ہے، B) کھیل کو روک دیا گیا ہے، معذرت کی گئی ہے، اور باری دوبارہ چلائی گئی ہے، C) فیلڈر آؤٹ ہے، D) کھیل معمول کے مطابق جاری ہے</v>
      </c>
      <c r="K119" s="6" t="str">
        <f>IFERROR(__xludf.DUMMYFUNCTION("GOOGLETRANSLATE(D119, ""en"", ""ur"")"),"ب) گیم موقوف ہے، معذرت کی جاتی ہے، اور باری دوبارہ چلائی جاتی ہے۔")</f>
        <v>ب) گیم موقوف ہے، معذرت کی جاتی ہے، اور باری دوبارہ چلائی جاتی ہے۔</v>
      </c>
      <c r="L119" s="6" t="str">
        <f>IFERROR(__xludf.DUMMYFUNCTION("GOOGLETRANSLATE(E119, ""en"", ""ur"")"),"کھیل کود کے جذبے میں، حادثاتی چوٹ کا نتیجہ عام طور پر رک جاتا ہے اور منصفانہ ری پلے ہوتا ہے۔")</f>
        <v>کھیل کود کے جذبے میں، حادثاتی چوٹ کا نتیجہ عام طور پر رک جاتا ہے اور منصفانہ ری پلے ہوتا ہے۔</v>
      </c>
    </row>
    <row r="120">
      <c r="A120" s="4">
        <v>119.0</v>
      </c>
      <c r="B120" s="5" t="s">
        <v>2233</v>
      </c>
      <c r="C120" s="5" t="s">
        <v>2234</v>
      </c>
      <c r="D120" s="5" t="s">
        <v>2235</v>
      </c>
      <c r="E120" s="5" t="s">
        <v>2236</v>
      </c>
      <c r="H120" s="6" t="str">
        <f>IFERROR(__xludf.DUMMYFUNCTION("GOOGLETRANSLATE(A120, ""en"", ""ur"")"),"119")</f>
        <v>119</v>
      </c>
      <c r="I120" s="6" t="str">
        <f>IFERROR(__xludf.DUMMYFUNCTION("GOOGLETRANSLATE(B120, ""en"", ""ur"")"),"کیا ہوتا ہے اگر گلی اپنی پرواز کے دوران درخت کی شاخ کو چھوئے لیکن پھر بھی اسے کسی فیلڈر نے پکڑ لیا؟")</f>
        <v>کیا ہوتا ہے اگر گلی اپنی پرواز کے دوران درخت کی شاخ کو چھوئے لیکن پھر بھی اسے کسی فیلڈر نے پکڑ لیا؟</v>
      </c>
      <c r="J120" s="6" t="str">
        <f>IFERROR(__xludf.DUMMYFUNCTION("GOOGLETRANSLATE(C120, ""en"", ""ur"")"),"A) اسٹرائیکر آؤٹ ہے، B) اسٹرائیکر مداخلت کی وجہ سے ناٹ آؤٹ ہے، C) باری دوبارہ چلائی جاتی ہے، D) فیلڈر کو بونس پوائنٹ ملتا ہے۔")</f>
        <v>A) اسٹرائیکر آؤٹ ہے، B) اسٹرائیکر مداخلت کی وجہ سے ناٹ آؤٹ ہے، C) باری دوبارہ چلائی جاتی ہے، D) فیلڈر کو بونس پوائنٹ ملتا ہے۔</v>
      </c>
      <c r="K120" s="6" t="str">
        <f>IFERROR(__xludf.DUMMYFUNCTION("GOOGLETRANSLATE(D120, ""en"", ""ur"")"),"ب) اسٹرائیکر مداخلت کی وجہ سے ناٹ آؤٹ ہے۔")</f>
        <v>ب) اسٹرائیکر مداخلت کی وجہ سے ناٹ آؤٹ ہے۔</v>
      </c>
      <c r="L120" s="6" t="str">
        <f>IFERROR(__xludf.DUMMYFUNCTION("GOOGLETRANSLATE(E120, ""en"", ""ur"")"),"اگر گلی کا راستہ کسی بیرونی شے جیسے درخت سے بدل جاتا ہے تو عام طور پر کیچ کو باطل سمجھا جاتا ہے۔")</f>
        <v>اگر گلی کا راستہ کسی بیرونی شے جیسے درخت سے بدل جاتا ہے تو عام طور پر کیچ کو باطل سمجھا جاتا ہے۔</v>
      </c>
    </row>
    <row r="121">
      <c r="A121" s="4">
        <v>120.0</v>
      </c>
      <c r="B121" s="5" t="s">
        <v>2237</v>
      </c>
      <c r="C121" s="5" t="s">
        <v>2238</v>
      </c>
      <c r="D121" s="5" t="s">
        <v>2239</v>
      </c>
      <c r="E121" s="5" t="s">
        <v>2240</v>
      </c>
      <c r="H121" s="6" t="str">
        <f>IFERROR(__xludf.DUMMYFUNCTION("GOOGLETRANSLATE(A121, ""en"", ""ur"")"),"120")</f>
        <v>120</v>
      </c>
      <c r="I121" s="6" t="str">
        <f>IFERROR(__xludf.DUMMYFUNCTION("GOOGLETRANSLATE(B121, ""en"", ""ur"")"),"ہموار، کھلے میدانوں کو منصفانہ کھیل کے لیے کیوں مثالی سمجھا جاتا ہے؟")</f>
        <v>ہموار، کھلے میدانوں کو منصفانہ کھیل کے لیے کیوں مثالی سمجھا جاتا ہے؟</v>
      </c>
      <c r="J121" s="6" t="str">
        <f>IFERROR(__xludf.DUMMYFUNCTION("GOOGLETRANSLATE(C121, ""en"", ""ur"")"),"A) وہ تماشائیوں کے لیے بہتر مرئیت پیش کرتے ہیں، B) وہ اس بات کو یقینی بناتے ہیں کہ گلی میں صحیح اچھال ہے اور تمام فیلڈرز کو یکساں موقع فراہم کرتے ہیں، C) وہ زیادہ پیشہ ور نظر آتے ہیں، D) ان پر دوڑنا آسان ہوتا ہے۔")</f>
        <v>A) وہ تماشائیوں کے لیے بہتر مرئیت پیش کرتے ہیں، B) وہ اس بات کو یقینی بناتے ہیں کہ گلی میں صحیح اچھال ہے اور تمام فیلڈرز کو یکساں موقع فراہم کرتے ہیں، C) وہ زیادہ پیشہ ور نظر آتے ہیں، D) ان پر دوڑنا آسان ہوتا ہے۔</v>
      </c>
      <c r="K121" s="6" t="str">
        <f>IFERROR(__xludf.DUMMYFUNCTION("GOOGLETRANSLATE(D121, ""en"", ""ur"")"),"ب) وہ اس بات کو یقینی بناتے ہیں کہ گلی میں صحیح اچھال ہے اور تمام فیلڈرز کو یکساں موقع فراہم کرتے ہیں۔")</f>
        <v>ب) وہ اس بات کو یقینی بناتے ہیں کہ گلی میں صحیح اچھال ہے اور تمام فیلڈرز کو یکساں موقع فراہم کرتے ہیں۔</v>
      </c>
      <c r="L121" s="6" t="str">
        <f>IFERROR(__xludf.DUMMYFUNCTION("GOOGLETRANSLATE(E121, ""en"", ""ur"")"),"یکساں سطح اسٹرائیکر کے لیے غیر متوقع باؤنس کو روکتی ہے اور اس بات کو یقینی بناتی ہے کہ فیلڈرز کی فٹنگ مستحکم ہو۔")</f>
        <v>یکساں سطح اسٹرائیکر کے لیے غیر متوقع باؤنس کو روکتی ہے اور اس بات کو یقینی بناتی ہے کہ فیلڈرز کی فٹنگ مستحکم ہو۔</v>
      </c>
    </row>
    <row r="122">
      <c r="A122" s="4">
        <v>121.0</v>
      </c>
      <c r="B122" s="5" t="s">
        <v>2241</v>
      </c>
      <c r="C122" s="5" t="s">
        <v>2242</v>
      </c>
      <c r="D122" s="5" t="s">
        <v>2243</v>
      </c>
      <c r="E122" s="5" t="s">
        <v>2244</v>
      </c>
      <c r="H122" s="6" t="str">
        <f>IFERROR(__xludf.DUMMYFUNCTION("GOOGLETRANSLATE(A122, ""en"", ""ur"")"),"121")</f>
        <v>121</v>
      </c>
      <c r="I122" s="6" t="str">
        <f>IFERROR(__xludf.DUMMYFUNCTION("GOOGLETRANSLATE(B122, ""en"", ""ur"")"),"کچھ کھلاڑی اپنے ڈنڈے میں نالی کیوں بناتے ہیں؟")</f>
        <v>کچھ کھلاڑی اپنے ڈنڈے میں نالی کیوں بناتے ہیں؟</v>
      </c>
      <c r="J122" s="6" t="str">
        <f>IFERROR(__xludf.DUMMYFUNCTION("GOOGLETRANSLATE(C122, ""en"", ""ur"")"),"A) سجاوٹ کے لئے، B) ہینڈل پر اپنی گرفت کو بہتر بنانے کے لئے، C) ڈنڈے کا وزن کم کرنے کے لئے، D) یہ ایک روایتی ضرورت ہے")</f>
        <v>A) سجاوٹ کے لئے، B) ہینڈل پر اپنی گرفت کو بہتر بنانے کے لئے، C) ڈنڈے کا وزن کم کرنے کے لئے، D) یہ ایک روایتی ضرورت ہے</v>
      </c>
      <c r="K122" s="6" t="str">
        <f>IFERROR(__xludf.DUMMYFUNCTION("GOOGLETRANSLATE(D122, ""en"", ""ur"")"),"ب) ہینڈل پر ان کی گرفت کو بہتر بنانا")</f>
        <v>ب) ہینڈل پر ان کی گرفت کو بہتر بنانا</v>
      </c>
      <c r="L122" s="6" t="str">
        <f>IFERROR(__xludf.DUMMYFUNCTION("GOOGLETRANSLATE(E122, ""en"", ""ur"")"),"نالی یا نشان ڈنڈا کو پھسلنے سے روک سکتے ہیں، خاص طور پر طاقتور، پسینے والے جھولے کے دوران۔")</f>
        <v>نالی یا نشان ڈنڈا کو پھسلنے سے روک سکتے ہیں، خاص طور پر طاقتور، پسینے والے جھولے کے دوران۔</v>
      </c>
    </row>
    <row r="123">
      <c r="A123" s="4">
        <v>122.0</v>
      </c>
      <c r="B123" s="5" t="s">
        <v>2245</v>
      </c>
      <c r="C123" s="5" t="s">
        <v>2246</v>
      </c>
      <c r="D123" s="5" t="s">
        <v>2247</v>
      </c>
      <c r="E123" s="5" t="s">
        <v>2248</v>
      </c>
      <c r="H123" s="6" t="str">
        <f>IFERROR(__xludf.DUMMYFUNCTION("GOOGLETRANSLATE(A123, ""en"", ""ur"")"),"122")</f>
        <v>122</v>
      </c>
      <c r="I123" s="6" t="str">
        <f>IFERROR(__xludf.DUMMYFUNCTION("GOOGLETRANSLATE(B123, ""en"", ""ur"")"),"ایک اسٹرائیکر گلی سے ٹکراتا ہے، اور یہ بالکل باؤنڈری لائن پر اترتا ہے (جیسے، ایک پتھر)۔ عام حکم کیا ہے؟")</f>
        <v>ایک اسٹرائیکر گلی سے ٹکراتا ہے، اور یہ بالکل باؤنڈری لائن پر اترتا ہے (جیسے، ایک پتھر)۔ عام حکم کیا ہے؟</v>
      </c>
      <c r="J123" s="6" t="str">
        <f>IFERROR(__xludf.DUMMYFUNCTION("GOOGLETRANSLATE(C123, ""en"", ""ur"")"),"A) اسٹرائیکر آؤٹ ہے، B) اسے زیادہ سے زیادہ سکور کے طور پر شمار کیا جاتا ہے، C) باری دوبارہ چلائی جاتی ہے، D) فیصلے کا فیصلہ باہمی معاہدے سے کیا جاتا ہے۔")</f>
        <v>A) اسٹرائیکر آؤٹ ہے، B) اسے زیادہ سے زیادہ سکور کے طور پر شمار کیا جاتا ہے، C) باری دوبارہ چلائی جاتی ہے، D) فیصلے کا فیصلہ باہمی معاہدے سے کیا جاتا ہے۔</v>
      </c>
      <c r="K123" s="6" t="str">
        <f>IFERROR(__xludf.DUMMYFUNCTION("GOOGLETRANSLATE(D123, ""en"", ""ur"")"),"D) فیصلے کا فیصلہ باہمی رضامندی سے کیا جاتا ہے۔")</f>
        <v>D) فیصلے کا فیصلہ باہمی رضامندی سے کیا جاتا ہے۔</v>
      </c>
      <c r="L123" s="6" t="str">
        <f>IFERROR(__xludf.DUMMYFUNCTION("GOOGLETRANSLATE(E123, ""en"", ""ur"")"),"باضابطہ امپائر کے بغیر، باؤنڈری لائن پر قریبی کال ٹیموں کے درمیان بحث اور بات چیت کا ایک مشترکہ نقطہ ہے۔")</f>
        <v>باضابطہ امپائر کے بغیر، باؤنڈری لائن پر قریبی کال ٹیموں کے درمیان بحث اور بات چیت کا ایک مشترکہ نقطہ ہے۔</v>
      </c>
    </row>
    <row r="124">
      <c r="A124" s="4">
        <v>123.0</v>
      </c>
      <c r="B124" s="5" t="s">
        <v>2249</v>
      </c>
      <c r="C124" s="5" t="s">
        <v>2250</v>
      </c>
      <c r="D124" s="5" t="s">
        <v>2251</v>
      </c>
      <c r="E124" s="5" t="s">
        <v>2252</v>
      </c>
      <c r="H124" s="6" t="str">
        <f>IFERROR(__xludf.DUMMYFUNCTION("GOOGLETRANSLATE(A124, ""en"", ""ur"")"),"123")</f>
        <v>123</v>
      </c>
      <c r="I124" s="6" t="str">
        <f>IFERROR(__xludf.DUMMYFUNCTION("GOOGLETRANSLATE(B124, ""en"", ""ur"")"),"ایک بہت بھاری ڈنڈا اسٹرائیکر کے لیے نقصان کیوں ہے؟")</f>
        <v>ایک بہت بھاری ڈنڈا اسٹرائیکر کے لیے نقصان کیوں ہے؟</v>
      </c>
      <c r="J124" s="6" t="str">
        <f>IFERROR(__xludf.DUMMYFUNCTION("GOOGLETRANSLATE(C124, ""en"", ""ur"")"),"A) یہ جھولنے میں تھکا دیتا ہے اور رد عمل کی رفتار اور درستگی کو کم کرتا ہے، B) یہ گلی کو بہت آسانی سے توڑ سکتا ہے، C) اسے پکڑنا مشکل ہے، D) یہ اصولوں کے خلاف ہے۔")</f>
        <v>A) یہ جھولنے میں تھکا دیتا ہے اور رد عمل کی رفتار اور درستگی کو کم کرتا ہے، B) یہ گلی کو بہت آسانی سے توڑ سکتا ہے، C) اسے پکڑنا مشکل ہے، D) یہ اصولوں کے خلاف ہے۔</v>
      </c>
      <c r="K124" s="6" t="str">
        <f>IFERROR(__xludf.DUMMYFUNCTION("GOOGLETRANSLATE(D124, ""en"", ""ur"")"),"A) یہ جھولنا تھکا دیتا ہے اور رد عمل کی رفتار اور درستگی کو کم کرتا ہے۔")</f>
        <v>A) یہ جھولنا تھکا دیتا ہے اور رد عمل کی رفتار اور درستگی کو کم کرتا ہے۔</v>
      </c>
      <c r="L124" s="6" t="str">
        <f>IFERROR(__xludf.DUMMYFUNCTION("GOOGLETRANSLATE(E124, ""en"", ""ur"")"),"زیادہ وزن والا ڈنڈا ایک اچھی ہٹ کے لیے ضروری موٹر مہارت اور وقت سے سمجھوتہ کرتا ہے۔")</f>
        <v>زیادہ وزن والا ڈنڈا ایک اچھی ہٹ کے لیے ضروری موٹر مہارت اور وقت سے سمجھوتہ کرتا ہے۔</v>
      </c>
    </row>
    <row r="125">
      <c r="A125" s="4">
        <v>124.0</v>
      </c>
      <c r="B125" s="5" t="s">
        <v>2253</v>
      </c>
      <c r="C125" s="5" t="s">
        <v>2254</v>
      </c>
      <c r="D125" s="5" t="s">
        <v>2255</v>
      </c>
      <c r="E125" s="5" t="s">
        <v>2256</v>
      </c>
      <c r="H125" s="6" t="str">
        <f>IFERROR(__xludf.DUMMYFUNCTION("GOOGLETRANSLATE(A125, ""en"", ""ur"")"),"124")</f>
        <v>124</v>
      </c>
      <c r="I125" s="6" t="str">
        <f>IFERROR(__xludf.DUMMYFUNCTION("GOOGLETRANSLATE(B125, ""en"", ""ur"")"),"کچھ کھلاڑی گلی کے ٹیپرڈ سروں پر چاک کیوں استعمال کرتے ہیں؟")</f>
        <v>کچھ کھلاڑی گلی کے ٹیپرڈ سروں پر چاک کیوں استعمال کرتے ہیں؟</v>
      </c>
      <c r="J125" s="6" t="str">
        <f>IFERROR(__xludf.DUMMYFUNCTION("GOOGLETRANSLATE(C125, ""en"", ""ur"")"),"A) اسے خوبصورت بنانے کے لیے، B) یہ ایک روایت ہے، C) یہ ڈنڈا کو بہتر جھٹکا دینے کے لیے گلی کو پکڑنے میں مدد کرتا ہے، D) مدھم روشنی میں اسے مزید دکھائی دینے کے لیے")</f>
        <v>A) اسے خوبصورت بنانے کے لیے، B) یہ ایک روایت ہے، C) یہ ڈنڈا کو بہتر جھٹکا دینے کے لیے گلی کو پکڑنے میں مدد کرتا ہے، D) مدھم روشنی میں اسے مزید دکھائی دینے کے لیے</v>
      </c>
      <c r="K125" s="6" t="str">
        <f>IFERROR(__xludf.DUMMYFUNCTION("GOOGLETRANSLATE(D125, ""en"", ""ur"")"),"D) دھندلی روشنی میں اسے زیادہ دکھائی دینے کے لیے")</f>
        <v>D) دھندلی روشنی میں اسے زیادہ دکھائی دینے کے لیے</v>
      </c>
      <c r="L125" s="6" t="str">
        <f>IFERROR(__xludf.DUMMYFUNCTION("GOOGLETRANSLATE(E125, ""en"", ""ur"")"),"چونکہ بہت سے کھیل شام کے وقت کھیلے جاتے ہیں، گلی کے سروں پر سفید چاک کا نشان اسٹرائیکر اور فیلڈرز کو دیکھنے میں آسانی پیدا کر سکتا ہے۔")</f>
        <v>چونکہ بہت سے کھیل شام کے وقت کھیلے جاتے ہیں، گلی کے سروں پر سفید چاک کا نشان اسٹرائیکر اور فیلڈرز کو دیکھنے میں آسانی پیدا کر سکتا ہے۔</v>
      </c>
    </row>
    <row r="126">
      <c r="A126" s="4">
        <v>125.0</v>
      </c>
      <c r="B126" s="5" t="s">
        <v>2257</v>
      </c>
      <c r="C126" s="5" t="s">
        <v>2258</v>
      </c>
      <c r="D126" s="5" t="s">
        <v>2259</v>
      </c>
      <c r="E126" s="5" t="s">
        <v>2260</v>
      </c>
      <c r="H126" s="6" t="str">
        <f>IFERROR(__xludf.DUMMYFUNCTION("GOOGLETRANSLATE(A126, ""en"", ""ur"")"),"125")</f>
        <v>125</v>
      </c>
      <c r="I126" s="6" t="str">
        <f>IFERROR(__xludf.DUMMYFUNCTION("GOOGLETRANSLATE(B126, ""en"", ""ur"")"),"فیلڈر کے لیے عام طور پر کس قسم کی ہٹ کو پکڑنا سب سے مشکل ہوتا ہے؟")</f>
        <v>فیلڈر کے لیے عام طور پر کس قسم کی ہٹ کو پکڑنا سب سے مشکل ہوتا ہے؟</v>
      </c>
      <c r="J126" s="6" t="str">
        <f>IFERROR(__xludf.DUMMYFUNCTION("GOOGLETRANSLATE(C126, ""en"", ""ur"")"),"A) ایک بہت اونچی، سیدھی شاٹ، B) ایک کم، تیز شاٹ، C) ایک شاٹ جو غیر متوقع طور پر گھومتا ہے، D) ایک شاٹ جو بہت نرمی سے مارا جاتا ہے")</f>
        <v>A) ایک بہت اونچی، سیدھی شاٹ، B) ایک کم، تیز شاٹ، C) ایک شاٹ جو غیر متوقع طور پر گھومتا ہے، D) ایک شاٹ جو بہت نرمی سے مارا جاتا ہے</v>
      </c>
      <c r="K126" s="6" t="str">
        <f>IFERROR(__xludf.DUMMYFUNCTION("GOOGLETRANSLATE(D126, ""en"", ""ur"")"),"ج) ایک شاٹ جو غیر متوقع طور پر گھومتا ہے۔")</f>
        <v>ج) ایک شاٹ جو غیر متوقع طور پر گھومتا ہے۔</v>
      </c>
      <c r="L126" s="6" t="str">
        <f>IFERROR(__xludf.DUMMYFUNCTION("GOOGLETRANSLATE(E126, ""en"", ""ur"")"),"مرکز سے ہٹنے سے گلی کو گھماؤ یا بے ترتیبی سے ڈوب سکتا ہے، جس سے اس کی پرواز کے راستے کا فیصلہ کرنا بہت مشکل ہو جاتا ہے۔")</f>
        <v>مرکز سے ہٹنے سے گلی کو گھماؤ یا بے ترتیبی سے ڈوب سکتا ہے، جس سے اس کی پرواز کے راستے کا فیصلہ کرنا بہت مشکل ہو جاتا ہے۔</v>
      </c>
    </row>
    <row r="127">
      <c r="A127" s="4">
        <v>126.0</v>
      </c>
      <c r="B127" s="5" t="s">
        <v>2261</v>
      </c>
      <c r="C127" s="5" t="s">
        <v>2262</v>
      </c>
      <c r="D127" s="5" t="s">
        <v>2263</v>
      </c>
      <c r="E127" s="5" t="s">
        <v>2264</v>
      </c>
      <c r="H127" s="6" t="str">
        <f>IFERROR(__xludf.DUMMYFUNCTION("GOOGLETRANSLATE(A127, ""en"", ""ur"")"),"126")</f>
        <v>126</v>
      </c>
      <c r="I127" s="6" t="str">
        <f>IFERROR(__xludf.DUMMYFUNCTION("GOOGLETRANSLATE(B127, ""en"", ""ur"")"),"فیلڈر کی کون سی پوزیشن سب سے زیادہ باوقار یا ""گلیمرس"" سمجھی جاتی ہے؟")</f>
        <v>فیلڈر کی کون سی پوزیشن سب سے زیادہ باوقار یا "گلیمرس" سمجھی جاتی ہے؟</v>
      </c>
      <c r="J127" s="6" t="str">
        <f>IFERROR(__xludf.DUMMYFUNCTION("GOOGLETRANSLATE(C127, ""en"", ""ur"")"),"A) اسٹرائیکر کے سب سے قریب کھڑا فیلڈر، B) دور باؤنڈری پر فیلڈر، C) فیلڈ کے بیچ میں فیلڈر، D) کوئی باوقار پوزیشن نہیں ہے")</f>
        <v>A) اسٹرائیکر کے سب سے قریب کھڑا فیلڈر، B) دور باؤنڈری پر فیلڈر، C) فیلڈ کے بیچ میں فیلڈر، D) کوئی باوقار پوزیشن نہیں ہے</v>
      </c>
      <c r="K127" s="6" t="str">
        <f>IFERROR(__xludf.DUMMYFUNCTION("GOOGLETRANSLATE(D127, ""en"", ""ur"")"),"ب) دور باؤنڈری پر فیلڈر")</f>
        <v>ب) دور باؤنڈری پر فیلڈر</v>
      </c>
      <c r="L127" s="6" t="str">
        <f>IFERROR(__xludf.DUMMYFUNCTION("GOOGLETRANSLATE(E127, ""en"", ""ur"")"),"""آؤٹ فیلڈر"" جو بہت لمبی ہٹ پر شاندار، رننگ کیچ لیتا ہے اکثر فیلڈنگ سائیڈ کا ہیرو ہوتا ہے۔")</f>
        <v>"آؤٹ فیلڈر" جو بہت لمبی ہٹ پر شاندار، رننگ کیچ لیتا ہے اکثر فیلڈنگ سائیڈ کا ہیرو ہوتا ہے۔</v>
      </c>
    </row>
    <row r="128">
      <c r="A128" s="4">
        <v>127.0</v>
      </c>
      <c r="B128" s="5" t="s">
        <v>2265</v>
      </c>
      <c r="C128" s="5" t="s">
        <v>2266</v>
      </c>
      <c r="D128" s="5" t="s">
        <v>2267</v>
      </c>
      <c r="E128" s="5" t="s">
        <v>2268</v>
      </c>
      <c r="H128" s="6" t="str">
        <f>IFERROR(__xludf.DUMMYFUNCTION("GOOGLETRANSLATE(A128, ""en"", ""ur"")"),"127")</f>
        <v>127</v>
      </c>
      <c r="I128" s="6" t="str">
        <f>IFERROR(__xludf.DUMMYFUNCTION("GOOGLETRANSLATE(B128, ""en"", ""ur"")"),"گلی ڈنڈا کے مسابقتی کھیل سے پہلے وارم اپ کی اصل وجہ کیا ہے؟")</f>
        <v>گلی ڈنڈا کے مسابقتی کھیل سے پہلے وارم اپ کی اصل وجہ کیا ہے؟</v>
      </c>
      <c r="J128" s="6" t="str">
        <f>IFERROR(__xludf.DUMMYFUNCTION("GOOGLETRANSLATE(C128, ""en"", ""ur"")"),"A) مخالفین کو دھمکانے کے لئے، B) دھماکہ خیز حملے اور چلنے والی حرکتوں سے پٹھوں میں تناؤ کو روکنے کے لئے، C) ٹیم کی حکمت عملی کا فیصلہ کرنا، D) یہ ایک روایتی رسم ہے")</f>
        <v>A) مخالفین کو دھمکانے کے لئے، B) دھماکہ خیز حملے اور چلنے والی حرکتوں سے پٹھوں میں تناؤ کو روکنے کے لئے، C) ٹیم کی حکمت عملی کا فیصلہ کرنا، D) یہ ایک روایتی رسم ہے</v>
      </c>
      <c r="K128" s="6" t="str">
        <f>IFERROR(__xludf.DUMMYFUNCTION("GOOGLETRANSLATE(D128, ""en"", ""ur"")"),"ب) دھماکہ خیز حملہ اور چلنے والی حرکتوں سے پٹھوں میں تناؤ کو روکنے کے لئے")</f>
        <v>ب) دھماکہ خیز حملہ اور چلنے والی حرکتوں سے پٹھوں میں تناؤ کو روکنے کے لئے</v>
      </c>
      <c r="L128" s="6" t="str">
        <f>IFERROR(__xludf.DUMMYFUNCTION("GOOGLETRANSLATE(E128, ""en"", ""ur"")"),"کھیل کے متحرک اعمال کے لیے مناسب کھینچنے اور وارم اپ کی ضرورت ہوتی ہے تاکہ یہ یقینی بنایا جا سکے کہ کھلاڑی تیار ہیں اور چوٹوں سے بچ سکتے ہیں۔")</f>
        <v>کھیل کے متحرک اعمال کے لیے مناسب کھینچنے اور وارم اپ کی ضرورت ہوتی ہے تاکہ یہ یقینی بنایا جا سکے کہ کھلاڑی تیار ہیں اور چوٹوں سے بچ سکتے ہیں۔</v>
      </c>
    </row>
    <row r="129">
      <c r="A129" s="4">
        <v>128.0</v>
      </c>
      <c r="B129" s="5" t="s">
        <v>2269</v>
      </c>
      <c r="C129" s="5" t="s">
        <v>2270</v>
      </c>
      <c r="D129" s="5" t="s">
        <v>2271</v>
      </c>
      <c r="E129" s="5" t="s">
        <v>2272</v>
      </c>
      <c r="H129" s="6" t="str">
        <f>IFERROR(__xludf.DUMMYFUNCTION("GOOGLETRANSLATE(A129, ""en"", ""ur"")"),"128")</f>
        <v>128</v>
      </c>
      <c r="I129" s="6" t="str">
        <f>IFERROR(__xludf.DUMMYFUNCTION("GOOGLETRANSLATE(B129, ""en"", ""ur"")"),"ٹیم کے کھیل میں، ایک کھلاڑی دوسروں کے مقابلے میں بہت بہتر اسٹرائیکر ہوتا ہے۔ مشترکہ حکمت عملی کیا ہے؟")</f>
        <v>ٹیم کے کھیل میں، ایک کھلاڑی دوسروں کے مقابلے میں بہت بہتر اسٹرائیکر ہوتا ہے۔ مشترکہ حکمت عملی کیا ہے؟</v>
      </c>
      <c r="J129" s="6" t="str">
        <f>IFERROR(__xludf.DUMMYFUNCTION("GOOGLETRANSLATE(C129, ""en"", ""ur"")"),"A) اس کھلاڑی کو تمام موڑ لینے دینا، B) ٹیم کے اسکور کو زیادہ سے زیادہ کرنے کے لیے اس کھلاڑی کو زیادہ سے زیادہ وقت تک ""ان"" میں رکھنے کی کوشش کرنا، C) اس کھلاڑی کو اس کے بجائے فیلڈر بنانا، D) قواعد کو تبدیل کرنا")</f>
        <v>A) اس کھلاڑی کو تمام موڑ لینے دینا، B) ٹیم کے اسکور کو زیادہ سے زیادہ کرنے کے لیے اس کھلاڑی کو زیادہ سے زیادہ وقت تک "ان" میں رکھنے کی کوشش کرنا، C) اس کھلاڑی کو اس کے بجائے فیلڈر بنانا، D) قواعد کو تبدیل کرنا</v>
      </c>
      <c r="K129" s="6" t="str">
        <f>IFERROR(__xludf.DUMMYFUNCTION("GOOGLETRANSLATE(D129, ""en"", ""ur"")"),"ب) ٹیم کے اسکور کو زیادہ سے زیادہ کرنے کے لیے اس کھلاڑی کو زیادہ سے زیادہ وقت تک ""ان"" میں رکھنے کی کوشش کرنا")</f>
        <v>ب) ٹیم کے اسکور کو زیادہ سے زیادہ کرنے کے لیے اس کھلاڑی کو زیادہ سے زیادہ وقت تک "ان" میں رکھنے کی کوشش کرنا</v>
      </c>
      <c r="L129" s="6" t="str">
        <f>IFERROR(__xludf.DUMMYFUNCTION("GOOGLETRANSLATE(E129, ""en"", ""ur"")"),"ٹیمیں اپنے بہترین اسٹرائیکر کو بچانے کی کوشش کریں گی، جس سے وہ اپنی باری ختم ہونے سے پہلے بڑا سکور بنا سکیں گے۔")</f>
        <v>ٹیمیں اپنے بہترین اسٹرائیکر کو بچانے کی کوشش کریں گی، جس سے وہ اپنی باری ختم ہونے سے پہلے بڑا سکور بنا سکیں گے۔</v>
      </c>
    </row>
    <row r="130">
      <c r="A130" s="4">
        <v>129.0</v>
      </c>
      <c r="B130" s="5" t="s">
        <v>2273</v>
      </c>
      <c r="C130" s="5" t="s">
        <v>2274</v>
      </c>
      <c r="D130" s="5" t="s">
        <v>2275</v>
      </c>
      <c r="E130" s="5" t="s">
        <v>2276</v>
      </c>
      <c r="H130" s="6" t="str">
        <f>IFERROR(__xludf.DUMMYFUNCTION("GOOGLETRANSLATE(A130, ""en"", ""ur"")"),"129")</f>
        <v>129</v>
      </c>
      <c r="I130" s="6" t="str">
        <f>IFERROR(__xludf.DUMMYFUNCTION("GOOGLETRANSLATE(B130, ""en"", ""ur"")"),"غیر رسمی اصول کی بنیادی وجہ کیا ہے کہ ""ہارنے والے"" یا پہلے شخص کو کھوئے ہوئے گلی کو دوبارہ حاصل کرنا پڑتا ہے؟")</f>
        <v>غیر رسمی اصول کی بنیادی وجہ کیا ہے کہ "ہارنے والے" یا پہلے شخص کو کھوئے ہوئے گلی کو دوبارہ حاصل کرنا پڑتا ہے؟</v>
      </c>
      <c r="J130" s="6" t="str">
        <f>IFERROR(__xludf.DUMMYFUNCTION("GOOGLETRANSLATE(C130, ""en"", ""ur"")"),"A) یہ ہلکے پھلکے سزا کی ایک شکل ہے، B) وہ تازہ ترین کھلاڑی ہیں، C) یہ حفاظتی اصول ہے، D) وہ جانتے ہیں کہ یہ کہاں اترا ہے۔")</f>
        <v>A) یہ ہلکے پھلکے سزا کی ایک شکل ہے، B) وہ تازہ ترین کھلاڑی ہیں، C) یہ حفاظتی اصول ہے، D) وہ جانتے ہیں کہ یہ کہاں اترا ہے۔</v>
      </c>
      <c r="K130" s="6" t="str">
        <f>IFERROR(__xludf.DUMMYFUNCTION("GOOGLETRANSLATE(D130, ""en"", ""ur"")"),"الف) یہ ہلکے پھلکے عذاب کی ایک شکل ہے۔")</f>
        <v>الف) یہ ہلکے پھلکے عذاب کی ایک شکل ہے۔</v>
      </c>
      <c r="L130" s="6" t="str">
        <f>IFERROR(__xludf.DUMMYFUNCTION("GOOGLETRANSLATE(E130, ""en"", ""ur"")"),"یہ بہت سے غیر رسمی کھیلوں میں ایک عام سماجی قاعدہ ہے، جس سے جلد برخاست ہونے کا ایک دلچسپ نتیجہ شامل ہوتا ہے۔")</f>
        <v>یہ بہت سے غیر رسمی کھیلوں میں ایک عام سماجی قاعدہ ہے، جس سے جلد برخاست ہونے کا ایک دلچسپ نتیجہ شامل ہوتا ہے۔</v>
      </c>
    </row>
    <row r="131">
      <c r="A131" s="4">
        <v>130.0</v>
      </c>
      <c r="B131" s="5" t="s">
        <v>2277</v>
      </c>
      <c r="C131" s="5" t="s">
        <v>2278</v>
      </c>
      <c r="D131" s="5" t="s">
        <v>2279</v>
      </c>
      <c r="E131" s="5" t="s">
        <v>2280</v>
      </c>
      <c r="H131" s="6" t="str">
        <f>IFERROR(__xludf.DUMMYFUNCTION("GOOGLETRANSLATE(A131, ""en"", ""ur"")"),"130")</f>
        <v>130</v>
      </c>
      <c r="I131" s="6" t="str">
        <f>IFERROR(__xludf.DUMMYFUNCTION("GOOGLETRANSLATE(B131, ""en"", ""ur"")"),"ایک فیلڈر ٹیم کے ساتھی کی طرف سے مشغول ہو جاتا ہے اور ایک سادہ کیچ سے محروم ہو جاتا ہے۔ قصور کس کا ہے؟")</f>
        <v>ایک فیلڈر ٹیم کے ساتھی کی طرف سے مشغول ہو جاتا ہے اور ایک سادہ کیچ سے محروم ہو جاتا ہے۔ قصور کس کا ہے؟</v>
      </c>
      <c r="J131" s="6" t="str">
        <f>IFERROR(__xludf.DUMMYFUNCTION("GOOGLETRANSLATE(C131, ""en"", ""ur"")"),"A) اسٹرائیکرز، B) فیلڈر جو مشغول تھا، C) ٹیم کا ساتھی جس نے خلفشار پیدا کیا، D) یہ کوئی غلطی کا واقعہ نہیں ہے۔")</f>
        <v>A) اسٹرائیکرز، B) فیلڈر جو مشغول تھا، C) ٹیم کا ساتھی جس نے خلفشار پیدا کیا، D) یہ کوئی غلطی کا واقعہ نہیں ہے۔</v>
      </c>
      <c r="K131" s="6" t="str">
        <f>IFERROR(__xludf.DUMMYFUNCTION("GOOGLETRANSLATE(D131, ""en"", ""ur"")"),"ب) وہ فیلڈر جو مشغول تھا۔")</f>
        <v>ب) وہ فیلڈر جو مشغول تھا۔</v>
      </c>
      <c r="L131" s="6" t="str">
        <f>IFERROR(__xludf.DUMMYFUNCTION("GOOGLETRANSLATE(E131, ""en"", ""ur"")"),"فیلڈنگ میں، ہر کھلاڑی اپنی توجہ کو برقرار رکھنے کا ذمہ دار ہے۔ اسٹرائیکر ناٹ آؤٹ ہے۔")</f>
        <v>فیلڈنگ میں، ہر کھلاڑی اپنی توجہ کو برقرار رکھنے کا ذمہ دار ہے۔ اسٹرائیکر ناٹ آؤٹ ہے۔</v>
      </c>
    </row>
    <row r="132">
      <c r="A132" s="4">
        <v>131.0</v>
      </c>
      <c r="B132" s="5" t="s">
        <v>2281</v>
      </c>
      <c r="C132" s="5" t="s">
        <v>2282</v>
      </c>
      <c r="D132" s="5" t="s">
        <v>2283</v>
      </c>
      <c r="E132" s="5" t="s">
        <v>2284</v>
      </c>
      <c r="H132" s="6" t="str">
        <f>IFERROR(__xludf.DUMMYFUNCTION("GOOGLETRANSLATE(A132, ""en"", ""ur"")"),"131")</f>
        <v>131</v>
      </c>
      <c r="I132" s="6" t="str">
        <f>IFERROR(__xludf.DUMMYFUNCTION("GOOGLETRANSLATE(B132, ""en"", ""ur"")"),"ایک 'pittù out' کیا ہے؟")</f>
        <v>ایک 'pittù out' کیا ہے؟</v>
      </c>
      <c r="J132" s="6" t="str">
        <f>IFERROR(__xludf.DUMMYFUNCTION("GOOGLETRANSLATE(C132, ""en"", ""ur"")"),"A) جب گلی کو پکڑا جاتا ہے، B) جب اسٹرائیکر تین بار چھوٹ جاتا ہے، C) جب ایک فیلڈر گلی کو پیچھے پھینکتا ہے اور سٹارٹنگ ہول پر رکھے ڈنڈے کو مارتا ہے، D) جب اسٹرائیکر حد سے باہر نکل جاتا ہے۔")</f>
        <v>A) جب گلی کو پکڑا جاتا ہے، B) جب اسٹرائیکر تین بار چھوٹ جاتا ہے، C) جب ایک فیلڈر گلی کو پیچھے پھینکتا ہے اور سٹارٹنگ ہول پر رکھے ڈنڈے کو مارتا ہے، D) جب اسٹرائیکر حد سے باہر نکل جاتا ہے۔</v>
      </c>
      <c r="K132" s="6" t="str">
        <f>IFERROR(__xludf.DUMMYFUNCTION("GOOGLETRANSLATE(D132, ""en"", ""ur"")"),"ج) جب ایک فیلڈر گلی کو پیچھے پھینکتا ہے اور شروع ہونے والے سوراخ پر رکھے ڈنڈے کو مارتا ہے۔")</f>
        <v>ج) جب ایک فیلڈر گلی کو پیچھے پھینکتا ہے اور شروع ہونے والے سوراخ پر رکھے ڈنڈے کو مارتا ہے۔</v>
      </c>
      <c r="L132" s="6" t="str">
        <f>IFERROR(__xludf.DUMMYFUNCTION("GOOGLETRANSLATE(E132, ""en"", ""ur"")"),"یہ ""رن آؤٹ"" کے آؤٹ ہونے کا نام ہے، جہاں فیلڈر ""گیند"" (گلی) سے کامیابی سے ""وکٹ"" (ڈنڈا) کو مارتا ہے۔")</f>
        <v>یہ "رن آؤٹ" کے آؤٹ ہونے کا نام ہے، جہاں فیلڈر "گیند" (گلی) سے کامیابی سے "وکٹ" (ڈنڈا) کو مارتا ہے۔</v>
      </c>
    </row>
    <row r="133">
      <c r="A133" s="4">
        <v>132.0</v>
      </c>
      <c r="B133" s="5" t="s">
        <v>2285</v>
      </c>
      <c r="C133" s="5" t="s">
        <v>2286</v>
      </c>
      <c r="D133" s="5" t="s">
        <v>2287</v>
      </c>
      <c r="E133" s="5" t="s">
        <v>2288</v>
      </c>
      <c r="H133" s="6" t="str">
        <f>IFERROR(__xludf.DUMMYFUNCTION("GOOGLETRANSLATE(A133, ""en"", ""ur"")"),"132")</f>
        <v>132</v>
      </c>
      <c r="I133" s="6" t="str">
        <f>IFERROR(__xludf.DUMMYFUNCTION("GOOGLETRANSLATE(B133, ""en"", ""ur"")"),"حملہ کرنے والے علاقے کے لیے ڈھیلے پتھروں اور ملبے سے پاک ہونا کیوں ضروری ہے؟")</f>
        <v>حملہ کرنے والے علاقے کے لیے ڈھیلے پتھروں اور ملبے سے پاک ہونا کیوں ضروری ہے؟</v>
      </c>
      <c r="J133" s="6" t="str">
        <f>IFERROR(__xludf.DUMMYFUNCTION("GOOGLETRANSLATE(C133, ""en"", ""ur"")"),"A) یہ زیادہ صاف نظر آتا ہے، B) اس بات کو یقینی بنانے کے لیے کہ گلی کو صحیح طریقے سے رکھا جا سکے اور اس کی صاف سطح ہو، C) ڈنڈا کو ٹوٹنے سے روکنے کے لیے، D) اسٹرائیکر کو تیزی سے دوڑنے میں مدد کرنے کے لیے")</f>
        <v>A) یہ زیادہ صاف نظر آتا ہے، B) اس بات کو یقینی بنانے کے لیے کہ گلی کو صحیح طریقے سے رکھا جا سکے اور اس کی صاف سطح ہو، C) ڈنڈا کو ٹوٹنے سے روکنے کے لیے، D) اسٹرائیکر کو تیزی سے دوڑنے میں مدد کرنے کے لیے</v>
      </c>
      <c r="K133" s="6" t="str">
        <f>IFERROR(__xludf.DUMMYFUNCTION("GOOGLETRANSLATE(D133, ""en"", ""ur"")"),"ب) اس بات کو یقینی بنانے کے لیے کہ گلی کو صحیح طریقے سے رکھا جا سکتا ہے اور اس کی صاف سطح ہے جس سے اوپر پلٹنا ہے۔")</f>
        <v>ب) اس بات کو یقینی بنانے کے لیے کہ گلی کو صحیح طریقے سے رکھا جا سکتا ہے اور اس کی صاف سطح ہے جس سے اوپر پلٹنا ہے۔</v>
      </c>
      <c r="L133" s="6" t="str">
        <f>IFERROR(__xludf.DUMMYFUNCTION("GOOGLETRANSLATE(E133, ""en"", ""ur"")"),"ابتدائی، نازک فلک کے لیے ایک صاف ستھرا دائرہ ضروری ہے جو مرکزی ہٹ کو ترتیب دیتا ہے۔")</f>
        <v>ابتدائی، نازک فلک کے لیے ایک صاف ستھرا دائرہ ضروری ہے جو مرکزی ہٹ کو ترتیب دیتا ہے۔</v>
      </c>
    </row>
    <row r="134">
      <c r="A134" s="4">
        <v>133.0</v>
      </c>
      <c r="B134" s="5" t="s">
        <v>2289</v>
      </c>
      <c r="C134" s="5" t="s">
        <v>2290</v>
      </c>
      <c r="D134" s="5" t="s">
        <v>2291</v>
      </c>
      <c r="E134" s="5" t="s">
        <v>2292</v>
      </c>
      <c r="H134" s="6" t="str">
        <f>IFERROR(__xludf.DUMMYFUNCTION("GOOGLETRANSLATE(A134, ""en"", ""ur"")"),"133")</f>
        <v>133</v>
      </c>
      <c r="I134" s="6" t="str">
        <f>IFERROR(__xludf.DUMMYFUNCTION("GOOGLETRANSLATE(B134, ""en"", ""ur"")"),"گلی ڈنڈا کا کھیل ختم ہونے کا سب سے عام طریقہ کیا ہے؟")</f>
        <v>گلی ڈنڈا کا کھیل ختم ہونے کا سب سے عام طریقہ کیا ہے؟</v>
      </c>
      <c r="J134" s="6" t="str">
        <f>IFERROR(__xludf.DUMMYFUNCTION("GOOGLETRANSLATE(C134, ""en"", ""ur"")"),"A) جب گلی کو دیکھنے کے لئے بہت اندھیرا ہو جاتا ہے، B) جب کوئی ٹیم پہلے سے طے شدہ اسکور پر پہنچ جاتی ہے، C) جب تمام کھلاڑیوں کو سٹرائیک کرنے کی باری آتی ہے، D) مندرجہ بالا تمام چیزیں مشترک ہیں۔")</f>
        <v>A) جب گلی کو دیکھنے کے لئے بہت اندھیرا ہو جاتا ہے، B) جب کوئی ٹیم پہلے سے طے شدہ اسکور پر پہنچ جاتی ہے، C) جب تمام کھلاڑیوں کو سٹرائیک کرنے کی باری آتی ہے، D) مندرجہ بالا تمام چیزیں مشترک ہیں۔</v>
      </c>
      <c r="K134" s="6" t="str">
        <f>IFERROR(__xludf.DUMMYFUNCTION("GOOGLETRANSLATE(D134, ""en"", ""ur"")"),"D) مندرجہ بالا سبھی عام ہیں۔")</f>
        <v>D) مندرجہ بالا سبھی عام ہیں۔</v>
      </c>
      <c r="L134" s="6" t="str">
        <f>IFERROR(__xludf.DUMMYFUNCTION("GOOGLETRANSLATE(E134, ""en"", ""ur"")"),"اس کی غیر رسمی نوعیت کی وجہ سے، کھیل وقت، ہدف کے اسکور، یا کھلاڑیوں کی مکمل گردش مکمل ہونے پر ختم ہو سکتا ہے۔")</f>
        <v>اس کی غیر رسمی نوعیت کی وجہ سے، کھیل وقت، ہدف کے اسکور، یا کھلاڑیوں کی مکمل گردش مکمل ہونے پر ختم ہو سکتا ہے۔</v>
      </c>
    </row>
    <row r="135">
      <c r="A135" s="4">
        <v>134.0</v>
      </c>
      <c r="B135" s="5" t="s">
        <v>2293</v>
      </c>
      <c r="C135" s="5" t="s">
        <v>2294</v>
      </c>
      <c r="D135" s="5" t="s">
        <v>2295</v>
      </c>
      <c r="E135" s="5" t="s">
        <v>2296</v>
      </c>
      <c r="H135" s="6" t="str">
        <f>IFERROR(__xludf.DUMMYFUNCTION("GOOGLETRANSLATE(A135, ""en"", ""ur"")"),"134")</f>
        <v>134</v>
      </c>
      <c r="I135" s="6" t="str">
        <f>IFERROR(__xludf.DUMMYFUNCTION("GOOGLETRANSLATE(B135, ""en"", ""ur"")"),"ایک کھلاڑی اپنے ""ہیلی کاپٹر شاٹ"" کے لیے جانا جاتا ہے، جہاں وہ گلی کو مارتے ہوئے گھومتے ہیں۔ اس کا بنیادی فائدہ کیا ہے؟")</f>
        <v>ایک کھلاڑی اپنے "ہیلی کاپٹر شاٹ" کے لیے جانا جاتا ہے، جہاں وہ گلی کو مارتے ہوئے گھومتے ہیں۔ اس کا بنیادی فائدہ کیا ہے؟</v>
      </c>
      <c r="J135" s="6" t="str">
        <f>IFERROR(__xludf.DUMMYFUNCTION("GOOGLETRANSLATE(C135, ""en"", ""ur"")"),"A) یہ ایک فاؤل ہے، B) یہ گھومنے والی قوت کے ذریعے ناقابل یقین طاقت پیدا کرتا ہے، C) یہ گلی کو دیکھنا مشکل بنا دیتا ہے، D) یہ عام شاٹ کے مقابلے میں آسان ہے")</f>
        <v>A) یہ ایک فاؤل ہے، B) یہ گھومنے والی قوت کے ذریعے ناقابل یقین طاقت پیدا کرتا ہے، C) یہ گلی کو دیکھنا مشکل بنا دیتا ہے، D) یہ عام شاٹ کے مقابلے میں آسان ہے</v>
      </c>
      <c r="K135" s="6" t="str">
        <f>IFERROR(__xludf.DUMMYFUNCTION("GOOGLETRANSLATE(D135, ""en"", ""ur"")"),"ب) یہ گردشی قوت کے ذریعے ناقابل یقین طاقت پیدا کرتا ہے۔")</f>
        <v>ب) یہ گردشی قوت کے ذریعے ناقابل یقین طاقت پیدا کرتا ہے۔</v>
      </c>
      <c r="L135" s="6" t="str">
        <f>IFERROR(__xludf.DUMMYFUNCTION("GOOGLETRANSLATE(E135, ""en"", ""ur"")"),"ڈسکس پھینکنے والے کی طرح، پورے جسم کی گردش اسٹرائیک میں اہم رفتار اور طاقت کا اضافہ کر سکتی ہے، جس کے نتیجے میں بہت لمبا ہٹ ہوتا ہے۔")</f>
        <v>ڈسکس پھینکنے والے کی طرح، پورے جسم کی گردش اسٹرائیک میں اہم رفتار اور طاقت کا اضافہ کر سکتی ہے، جس کے نتیجے میں بہت لمبا ہٹ ہوتا ہے۔</v>
      </c>
    </row>
    <row r="136">
      <c r="A136" s="4">
        <v>135.0</v>
      </c>
      <c r="B136" s="5" t="s">
        <v>2297</v>
      </c>
      <c r="C136" s="5" t="s">
        <v>2298</v>
      </c>
      <c r="D136" s="5" t="s">
        <v>2299</v>
      </c>
      <c r="E136" s="5" t="s">
        <v>2300</v>
      </c>
      <c r="H136" s="6" t="str">
        <f>IFERROR(__xludf.DUMMYFUNCTION("GOOGLETRANSLATE(A136, ""en"", ""ur"")"),"135")</f>
        <v>135</v>
      </c>
      <c r="I136" s="6" t="str">
        <f>IFERROR(__xludf.DUMMYFUNCTION("GOOGLETRANSLATE(B136, ""en"", ""ur"")"),"گلی ڈنڈا اور ٹِپ کیٹ کے انگلش گیم میں بنیادی فرق کیا ہے؟")</f>
        <v>گلی ڈنڈا اور ٹِپ کیٹ کے انگلش گیم میں بنیادی فرق کیا ہے؟</v>
      </c>
      <c r="J136" s="6" t="str">
        <f>IFERROR(__xludf.DUMMYFUNCTION("GOOGLETRANSLATE(C136, ""en"", ""ur"")"),"A) کوئی فرق نہیں ہے، یہ ایک ہی کھیل ہیں، B) ٹپ بلی دھاتی گلی کا استعمال کرتی ہے، C) گلی ڈنڈا ڈنڈا سے ناپ کر اسکور کرتی ہے، جبکہ ٹپ کیٹ فاصلے کا اندازہ لگا کر اسکور کرتی ہے، D) ٹپ کیٹ صرف ٹیم کا کھیل ہے۔")</f>
        <v>A) کوئی فرق نہیں ہے، یہ ایک ہی کھیل ہیں، B) ٹپ بلی دھاتی گلی کا استعمال کرتی ہے، C) گلی ڈنڈا ڈنڈا سے ناپ کر اسکور کرتی ہے، جبکہ ٹپ کیٹ فاصلے کا اندازہ لگا کر اسکور کرتی ہے، D) ٹپ کیٹ صرف ٹیم کا کھیل ہے۔</v>
      </c>
      <c r="K136" s="6" t="str">
        <f>IFERROR(__xludf.DUMMYFUNCTION("GOOGLETRANSLATE(D136, ""en"", ""ur"")"),"C) گلی ڈنڈا ڈنڈا سے ناپ کر اسکور کرتا ہے، جبکہ ٹپ-کیٹ فاصلے کا اندازہ لگا کر اسکور کرتا ہے")</f>
        <v>C) گلی ڈنڈا ڈنڈا سے ناپ کر اسکور کرتا ہے، جبکہ ٹپ-کیٹ فاصلے کا اندازہ لگا کر اسکور کرتا ہے</v>
      </c>
      <c r="L136" s="6" t="str">
        <f>IFERROR(__xludf.DUMMYFUNCTION("GOOGLETRANSLATE(E136, ""en"", ""ur"")"),"یہ ایک اہم تاریخی فرق ہے۔ ٹپ کیٹ میں، اسٹرائیکر فاصلے کا اندازہ قدموں میں لگاتا، اور اگر ان کا اندازہ غلط تھا، تو وہ اپنے پوائنٹس کھو بیٹھتے ہیں۔")</f>
        <v>یہ ایک اہم تاریخی فرق ہے۔ ٹپ کیٹ میں، اسٹرائیکر فاصلے کا اندازہ قدموں میں لگاتا، اور اگر ان کا اندازہ غلط تھا، تو وہ اپنے پوائنٹس کھو بیٹھتے ہیں۔</v>
      </c>
    </row>
    <row r="137">
      <c r="A137" s="4">
        <v>136.0</v>
      </c>
      <c r="B137" s="5" t="s">
        <v>2301</v>
      </c>
      <c r="C137" s="5" t="s">
        <v>2302</v>
      </c>
      <c r="D137" s="5" t="s">
        <v>2303</v>
      </c>
      <c r="E137" s="5" t="s">
        <v>2304</v>
      </c>
      <c r="H137" s="6" t="str">
        <f>IFERROR(__xludf.DUMMYFUNCTION("GOOGLETRANSLATE(A137, ""en"", ""ur"")"),"136")</f>
        <v>136</v>
      </c>
      <c r="I137" s="6" t="str">
        <f>IFERROR(__xludf.DUMMYFUNCTION("GOOGLETRANSLATE(B137, ""en"", ""ur"")"),"ایک اسٹرائیکر گلی سے ٹکراتا ہے، اور یہ ایک تیز ڈھلوان چھت پر اترتا ہے اور فاصلہ بڑھاتا ہوا نیچے لڑھکتا ہے۔ یہ عام طور پر کس طرح اسکور کیا جاتا ہے؟")</f>
        <v>ایک اسٹرائیکر گلی سے ٹکراتا ہے، اور یہ ایک تیز ڈھلوان چھت پر اترتا ہے اور فاصلہ بڑھاتا ہوا نیچے لڑھکتا ہے۔ یہ عام طور پر کس طرح اسکور کیا جاتا ہے؟</v>
      </c>
      <c r="J137" s="6" t="str">
        <f>IFERROR(__xludf.DUMMYFUNCTION("GOOGLETRANSLATE(C137, ""en"", ""ur"")"),"A)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f>
        <v>A) اسکور کو وہیں سے ماپا جاتا ہے جہاں سے وہ پہلی بار چھت سے ٹکرایا تھا، B) اسکور کو وہیں سے ماپا جاتا ہے جہاں سے وہ آخر کار آرام میں آیا تھا، C) باری دوبارہ چلائی جاتی ہے، D) اسٹرائیکر آؤٹ ہوتا ہے۔</v>
      </c>
      <c r="K137" s="6" t="str">
        <f>IFERROR(__xludf.DUMMYFUNCTION("GOOGLETRANSLATE(D137, ""en"", ""ur"")"),"ب) اسکور کو وہیں سے ماپا جاتا ہے جہاں سے آخر کار آرام آیا")</f>
        <v>ب) اسکور کو وہیں سے ماپا جاتا ہے جہاں سے آخر کار آرام آیا</v>
      </c>
      <c r="L137" s="6" t="str">
        <f>IFERROR(__xludf.DUMMYFUNCTION("GOOGLETRANSLATE(E137, ""en"", ""ur"")"),"زیادہ تر غیر رسمی کھیلوں میں، گلی کی آخری آرام گاہ کا شمار ہوتا ہے، یہاں تک کہ اگر یہ لینڈنگ کے بعد گھوم جائے۔")</f>
        <v>زیادہ تر غیر رسمی کھیلوں میں، گلی کی آخری آرام گاہ کا شمار ہوتا ہے، یہاں تک کہ اگر یہ لینڈنگ کے بعد گھوم جائے۔</v>
      </c>
    </row>
    <row r="138">
      <c r="A138" s="4">
        <v>137.0</v>
      </c>
      <c r="B138" s="5" t="s">
        <v>2305</v>
      </c>
      <c r="C138" s="5" t="s">
        <v>2306</v>
      </c>
      <c r="D138" s="5" t="s">
        <v>2307</v>
      </c>
      <c r="E138" s="5" t="s">
        <v>2308</v>
      </c>
      <c r="H138" s="6" t="str">
        <f>IFERROR(__xludf.DUMMYFUNCTION("GOOGLETRANSLATE(A138, ""en"", ""ur"")"),"137")</f>
        <v>137</v>
      </c>
      <c r="I138" s="6" t="str">
        <f>IFERROR(__xludf.DUMMYFUNCTION("GOOGLETRANSLATE(B138, ""en"", ""ur"")"),"ڈنڈا کا متوازن ہونا کیوں ضروری ہے؟")</f>
        <v>ڈنڈا کا متوازن ہونا کیوں ضروری ہے؟</v>
      </c>
      <c r="J138" s="6" t="str">
        <f>IFERROR(__xludf.DUMMYFUNCTION("GOOGLETRANSLATE(C138, ""en"", ""ur"")"),"A) تو اسے پیمائش کے لیے استعمال کیا جا سکتا ہے، B) اچھی طرح سے متوازن چھڑی کو درست طریقے سے جھولنا اور کنٹرول کرنا آسان ہے، C) یہ اسے بھاری بناتا ہے، D) یہ ایک روایتی ضرورت ہے۔")</f>
        <v>A) تو اسے پیمائش کے لیے استعمال کیا جا سکتا ہے، B) اچھی طرح سے متوازن چھڑی کو درست طریقے سے جھولنا اور کنٹرول کرنا آسان ہے، C) یہ اسے بھاری بناتا ہے، D) یہ ایک روایتی ضرورت ہے۔</v>
      </c>
      <c r="K138" s="6" t="str">
        <f>IFERROR(__xludf.DUMMYFUNCTION("GOOGLETRANSLATE(D138, ""en"", ""ur"")"),"ب) ایک اچھی طرح سے متوازن چھڑی کو درست طریقے سے جھولنا اور کنٹرول کرنا آسان ہے۔")</f>
        <v>ب) ایک اچھی طرح سے متوازن چھڑی کو درست طریقے سے جھولنا اور کنٹرول کرنا آسان ہے۔</v>
      </c>
      <c r="L138" s="6" t="str">
        <f>IFERROR(__xludf.DUMMYFUNCTION("GOOGLETRANSLATE(E138, ""en"", ""ur"")"),"ایک غیر متوازن ڈنڈا عجیب محسوس کرے گا اور اسٹرائیکر کی گلی کے ساتھ قطعی رابطہ کرنے کی صلاحیت کو کم کردے گا۔")</f>
        <v>ایک غیر متوازن ڈنڈا عجیب محسوس کرے گا اور اسٹرائیکر کی گلی کے ساتھ قطعی رابطہ کرنے کی صلاحیت کو کم کردے گا۔</v>
      </c>
    </row>
    <row r="139">
      <c r="A139" s="4">
        <v>138.0</v>
      </c>
      <c r="B139" s="5" t="s">
        <v>2309</v>
      </c>
      <c r="C139" s="5" t="s">
        <v>2310</v>
      </c>
      <c r="D139" s="5" t="s">
        <v>2311</v>
      </c>
      <c r="E139" s="5" t="s">
        <v>2312</v>
      </c>
      <c r="H139" s="6" t="str">
        <f>IFERROR(__xludf.DUMMYFUNCTION("GOOGLETRANSLATE(A139, ""en"", ""ur"")"),"138")</f>
        <v>138</v>
      </c>
      <c r="I139" s="6" t="str">
        <f>IFERROR(__xludf.DUMMYFUNCTION("GOOGLETRANSLATE(B139, ""en"", ""ur"")"),"ایک فیلڈر گلی کو کیچ کرتا ہے لیکن پھر باؤنڈری لائن پر گر جاتا ہے۔ کیا اسٹرائیکر باہر ہے؟")</f>
        <v>ایک فیلڈر گلی کو کیچ کرتا ہے لیکن پھر باؤنڈری لائن پر گر جاتا ہے۔ کیا اسٹرائیکر باہر ہے؟</v>
      </c>
      <c r="J139" s="6" t="str">
        <f>IFERROR(__xludf.DUMMYFUNCTION("GOOGLETRANSLATE(C139, ""en"", ""ur"")"),"A)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f>
        <v>A) جی ہاں، کیچ فیلڈ کے اندر بنایا گیا تھا، B) نہیں، فیلڈر کو فیلڈ کے اندر اپنے جسم پر مکمل کنٹرول ہونا چاہیے، C) باری دوبارہ چلائی جاتی ہے، D) اسٹرائیکر کو بونس پوائنٹ دیا جاتا ہے۔</v>
      </c>
      <c r="K139" s="6" t="str">
        <f>IFERROR(__xludf.DUMMYFUNCTION("GOOGLETRANSLATE(D139, ""en"", ""ur"")"),"ب) نہیں، فیلڈر کو فیلڈ کے اندر اپنے جسم پر مکمل کنٹرول ہونا چاہیے۔")</f>
        <v>ب) نہیں، فیلڈر کو فیلڈ کے اندر اپنے جسم پر مکمل کنٹرول ہونا چاہیے۔</v>
      </c>
      <c r="L139" s="6" t="str">
        <f>IFERROR(__xludf.DUMMYFUNCTION("GOOGLETRANSLATE(E139, ""en"", ""ur"")"),"کرکٹ کی طرح، ایک فیلڈر کو قانونی طور پر کھیل کے میدان کے اندر رہتے ہوئے کیچ مکمل کرنا چاہیے۔")</f>
        <v>کرکٹ کی طرح، ایک فیلڈر کو قانونی طور پر کھیل کے میدان کے اندر رہتے ہوئے کیچ مکمل کرنا چاہیے۔</v>
      </c>
    </row>
    <row r="140">
      <c r="A140" s="4">
        <v>139.0</v>
      </c>
      <c r="B140" s="5" t="s">
        <v>2313</v>
      </c>
      <c r="C140" s="5" t="s">
        <v>2314</v>
      </c>
      <c r="D140" s="5" t="s">
        <v>2315</v>
      </c>
      <c r="E140" s="5" t="s">
        <v>2316</v>
      </c>
      <c r="H140" s="6" t="str">
        <f>IFERROR(__xludf.DUMMYFUNCTION("GOOGLETRANSLATE(A140, ""en"", ""ur"")"),"139")</f>
        <v>139</v>
      </c>
      <c r="I140" s="6" t="str">
        <f>IFERROR(__xludf.DUMMYFUNCTION("GOOGLETRANSLATE(B140, ""en"", ""ur"")"),"اسٹرائیکر کے لئے ""تین کوشش"" کے اصول کی بنیادی وجہ کیا ہے؟")</f>
        <v>اسٹرائیکر کے لئے "تین کوشش" کے اصول کی بنیادی وجہ کیا ہے؟</v>
      </c>
      <c r="J140" s="6" t="str">
        <f>IFERROR(__xludf.DUMMYFUNCTION("GOOGLETRANSLATE(C140, ""en"", ""ur"")"),"A)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f>
        <v>A) کھیل کو زیادہ دیر تک چلانے کے لیے، B) اسٹرائیکر کو کھیل کو غیر معینہ مدت تک تاخیر سے روکنے کے لیے مناسب موقع فراہم کرنا، C) کھیل کو مزید مشکل بنانا، D) اسٹرائیکر کو تھکا دینا</v>
      </c>
      <c r="K140" s="6" t="str">
        <f>IFERROR(__xludf.DUMMYFUNCTION("GOOGLETRANSLATE(D140, ""en"", ""ur"")"),"ب) اسٹرائیکر کو کھیل کو غیر معینہ مدت تک موخر کرنے سے روکتے ہوئے انہیں مناسب موقع فراہم کرنا")</f>
        <v>ب) اسٹرائیکر کو کھیل کو غیر معینہ مدت تک موخر کرنے سے روکتے ہوئے انہیں مناسب موقع فراہم کرنا</v>
      </c>
      <c r="L140" s="6" t="str">
        <f>IFERROR(__xludf.DUMMYFUNCTION("GOOGLETRANSLATE(E140, ""en"", ""ur"")"),"تین مواقع کی حد اسٹرائیکر کے ساتھ انصاف اور کھیل کو آگے بڑھانے کے درمیان توازن ہے۔")</f>
        <v>تین مواقع کی حد اسٹرائیکر کے ساتھ انصاف اور کھیل کو آگے بڑھانے کے درمیان توازن ہے۔</v>
      </c>
    </row>
    <row r="141">
      <c r="A141" s="4">
        <v>140.0</v>
      </c>
      <c r="B141" s="5" t="s">
        <v>2317</v>
      </c>
      <c r="C141" s="5" t="s">
        <v>2318</v>
      </c>
      <c r="D141" s="5" t="s">
        <v>2319</v>
      </c>
      <c r="E141" s="5" t="s">
        <v>2320</v>
      </c>
      <c r="H141" s="6" t="str">
        <f>IFERROR(__xludf.DUMMYFUNCTION("GOOGLETRANSLATE(A141, ""en"", ""ur"")"),"140")</f>
        <v>140</v>
      </c>
      <c r="I141" s="6" t="str">
        <f>IFERROR(__xludf.DUMMYFUNCTION("GOOGLETRANSLATE(B141, ""en"", ""ur"")"),"ایک اسٹرائیکر گلی کو مارتا ہے، اور یہ ایک درخت میں اونچا ہو جاتا ہے۔ اس کا کیا حکم ہے؟")</f>
        <v>ایک اسٹرائیکر گلی کو مارتا ہے، اور یہ ایک درخت میں اونچا ہو جاتا ہے۔ اس کا کیا حکم ہے؟</v>
      </c>
      <c r="J141" s="6" t="str">
        <f>IFERROR(__xludf.DUMMYFUNCTION("GOOGLETRANSLATE(C141, ""en"", ""ur"")"),"A) اسٹرائیکر گلی کو کھونے کی وجہ سے باہر ہے، B) باری دوبارہ چلائی جاتی ہے، C) اسکور کو گلی کے نیچے زمین پر پوائنٹ تک ناپا جاتا ہے، D) اسٹرائیکر کو بونس پوائنٹ ملتا ہے۔")</f>
        <v>A) اسٹرائیکر گلی کو کھونے کی وجہ سے باہر ہے، B) باری دوبارہ چلائی جاتی ہے، C) اسکور کو گلی کے نیچے زمین پر پوائنٹ تک ناپا جاتا ہے، D) اسٹرائیکر کو بونس پوائنٹ ملتا ہے۔</v>
      </c>
      <c r="K141" s="6" t="str">
        <f>IFERROR(__xludf.DUMMYFUNCTION("GOOGLETRANSLATE(D141, ""en"", ""ur"")"),"سی) اسکور کو گلی کے نیچے زمین پر پوائنٹ تک ناپا جاتا ہے۔")</f>
        <v>سی) اسکور کو گلی کے نیچے زمین پر پوائنٹ تک ناپا جاتا ہے۔</v>
      </c>
      <c r="L141" s="6" t="str">
        <f>IFERROR(__xludf.DUMMYFUNCTION("GOOGLETRANSLATE(E141, ""en"", ""ur"")"),"گلی کے پھنس جانے کو سنبھالنے کا یہ ایک عام طریقہ ہے۔ اسکور اس کی آخری آرام گاہ کے نیچے زمین پر موجود پوائنٹ سے لیا جاتا ہے۔")</f>
        <v>گلی کے پھنس جانے کو سنبھالنے کا یہ ایک عام طریقہ ہے۔ اسکور اس کی آخری آرام گاہ کے نیچے زمین پر موجود پوائنٹ سے لیا جاتا ہے۔</v>
      </c>
    </row>
    <row r="142">
      <c r="A142" s="4">
        <v>141.0</v>
      </c>
      <c r="B142" s="5" t="s">
        <v>2321</v>
      </c>
      <c r="C142" s="5" t="s">
        <v>2322</v>
      </c>
      <c r="D142" s="5" t="s">
        <v>2323</v>
      </c>
      <c r="E142" s="5" t="s">
        <v>2324</v>
      </c>
      <c r="H142" s="6" t="str">
        <f>IFERROR(__xludf.DUMMYFUNCTION("GOOGLETRANSLATE(A142, ""en"", ""ur"")"),"141")</f>
        <v>141</v>
      </c>
      <c r="I142" s="6" t="str">
        <f>IFERROR(__xludf.DUMMYFUNCTION("GOOGLETRANSLATE(B142, ""en"", ""ur"")"),"اسٹرائیکر کے قریب کھڑے فیلڈر کے لیے سب سے اہم خوبی کیا ہے؟")</f>
        <v>اسٹرائیکر کے قریب کھڑے فیلڈر کے لیے سب سے اہم خوبی کیا ہے؟</v>
      </c>
      <c r="J142" s="6" t="str">
        <f>IFERROR(__xludf.DUMMYFUNCTION("GOOGLETRANSLATE(C142, ""en"", ""ur"")"),"A) ایک مضبوط پھینکنے والا بازو، B) تیز دوڑنے کی رفتار، C) بہترین اضطراب اور ہمت، D) اچھی بات چیت کی مہارت")</f>
        <v>A) ایک مضبوط پھینکنے والا بازو، B) تیز دوڑنے کی رفتار، C) بہترین اضطراب اور ہمت، D) اچھی بات چیت کی مہارت</v>
      </c>
      <c r="K142" s="6" t="str">
        <f>IFERROR(__xludf.DUMMYFUNCTION("GOOGLETRANSLATE(D142, ""en"", ""ur"")"),"ج) بہترین اضطراب اور ہمت")</f>
        <v>ج) بہترین اضطراب اور ہمت</v>
      </c>
      <c r="L142" s="6" t="str">
        <f>IFERROR(__xludf.DUMMYFUNCTION("GOOGLETRANSLATE(E142, ""en"", ""ur"")"),"""سلی پوائنٹ"" فیلڈر کو قلیل رینج سے تیز رفتاری سے گیلی ہٹ کو پکڑنے کے لیے قریب کھڑے ہونے کے لیے بہادری اور بجلی کی تیز رفتار اضطراری کی ضرورت ہوتی ہے۔")</f>
        <v>"سلی پوائنٹ" فیلڈر کو قلیل رینج سے تیز رفتاری سے گیلی ہٹ کو پکڑنے کے لیے قریب کھڑے ہونے کے لیے بہادری اور بجلی کی تیز رفتار اضطراری کی ضرورت ہوتی ہے۔</v>
      </c>
    </row>
    <row r="143">
      <c r="A143" s="4">
        <v>142.0</v>
      </c>
      <c r="B143" s="5" t="s">
        <v>2325</v>
      </c>
      <c r="C143" s="5" t="s">
        <v>2326</v>
      </c>
      <c r="D143" s="5" t="s">
        <v>2327</v>
      </c>
      <c r="E143" s="5" t="s">
        <v>2328</v>
      </c>
      <c r="H143" s="6" t="str">
        <f>IFERROR(__xludf.DUMMYFUNCTION("GOOGLETRANSLATE(A143, ""en"", ""ur"")"),"142")</f>
        <v>142</v>
      </c>
      <c r="I143" s="6" t="str">
        <f>IFERROR(__xludf.DUMMYFUNCTION("GOOGLETRANSLATE(B143, ""en"", ""ur"")"),"گلی ڈنڈا کو اکثر ایک ایسے کھیل کے طور پر کیوں دیکھا جاتا ہے جو زندگی کے قیمتی ہنر سکھاتا ہے؟")</f>
        <v>گلی ڈنڈا کو اکثر ایک ایسے کھیل کے طور پر کیوں دیکھا جاتا ہے جو زندگی کے قیمتی ہنر سکھاتا ہے؟</v>
      </c>
      <c r="J143" s="6" t="str">
        <f>IFERROR(__xludf.DUMMYFUNCTION("GOOGLETRANSLATE(C143, ""en"", ""ur"")"),"A) یہ فزکس اور جیومیٹری سکھاتا ہے، B) یہ ہاتھ سے آنکھ کو آرڈینیشن، اسٹریٹجک سوچ، اور سماجی گفت و شنید کی مہارتیں تیار کرتا ہے، C) یہ پیسہ کمانے کا ایک اچھا طریقہ ہے، D) یہ پیشہ ورانہ کھیلوں کا راستہ ہے۔")</f>
        <v>A) یہ فزکس اور جیومیٹری سکھاتا ہے، B) یہ ہاتھ سے آنکھ کو آرڈینیشن، اسٹریٹجک سوچ، اور سماجی گفت و شنید کی مہارتیں تیار کرتا ہے، C) یہ پیسہ کمانے کا ایک اچھا طریقہ ہے، D) یہ پیشہ ورانہ کھیلوں کا راستہ ہے۔</v>
      </c>
      <c r="K143" s="6" t="str">
        <f>IFERROR(__xludf.DUMMYFUNCTION("GOOGLETRANSLATE(D143, ""en"", ""ur"")"),"ب) یہ ہاتھ سے آنکھ کو آرڈینیشن، اسٹریٹجک سوچ، اور سماجی گفت و شنید کی مہارتیں تیار کرتا ہے۔")</f>
        <v>ب) یہ ہاتھ سے آنکھ کو آرڈینیشن، اسٹریٹجک سوچ، اور سماجی گفت و شنید کی مہارتیں تیار کرتا ہے۔</v>
      </c>
      <c r="L143" s="6" t="str">
        <f>IFERROR(__xludf.DUMMYFUNCTION("GOOGLETRANSLATE(E143, ""en"", ""ur"")"),"جسمانی مہارتوں سے ہٹ کر، قوانین پر متفق ہونے اور تنازعات کو حل کرنے کی مستقل ضرورت بچوں کو قیمتی سماجی سبق سکھاتی ہے۔")</f>
        <v>جسمانی مہارتوں سے ہٹ کر، قوانین پر متفق ہونے اور تنازعات کو حل کرنے کی مستقل ضرورت بچوں کو قیمتی سماجی سبق سکھاتی ہے۔</v>
      </c>
    </row>
    <row r="144">
      <c r="A144" s="4">
        <v>143.0</v>
      </c>
      <c r="B144" s="5" t="s">
        <v>2329</v>
      </c>
      <c r="C144" s="5" t="s">
        <v>2330</v>
      </c>
      <c r="D144" s="5" t="s">
        <v>2331</v>
      </c>
      <c r="E144" s="5" t="s">
        <v>2332</v>
      </c>
      <c r="H144" s="6" t="str">
        <f>IFERROR(__xludf.DUMMYFUNCTION("GOOGLETRANSLATE(A144, ""en"", ""ur"")"),"143")</f>
        <v>143</v>
      </c>
      <c r="I144" s="6" t="str">
        <f>IFERROR(__xludf.DUMMYFUNCTION("GOOGLETRANSLATE(B144, ""en"", ""ur"")"),"اسٹرائیکر کی ہٹ بہت کم اور تیز ہوتی ہے۔ ایک فیلڈر اسے پکڑنے کی کوشش کرتا ہے لیکن یہ ان کی پنڈلیوں سے ٹکرا جاتا ہے۔ کیا اسٹرائیکر باہر ہے؟")</f>
        <v>اسٹرائیکر کی ہٹ بہت کم اور تیز ہوتی ہے۔ ایک فیلڈر اسے پکڑنے کی کوشش کرتا ہے لیکن یہ ان کی پنڈلیوں سے ٹکرا جاتا ہے۔ کیا اسٹرائیکر باہر ہے؟</v>
      </c>
      <c r="J144" s="6" t="str">
        <f>IFERROR(__xludf.DUMMYFUNCTION("GOOGLETRANSLATE(C144, ""en"", ""ur"")"),"A) ہاں، اگر فیلڈر اسے اٹھا سکتا ہے، B) نہیں، کیچ کو ہاتھوں سے صاف کرنا چاہیے، C) باری دوبارہ چلائی جاتی ہے، D) فیلڈر کو جرمانہ کیا جاتا ہے۔")</f>
        <v>A) ہاں، اگر فیلڈر اسے اٹھا سکتا ہے، B) نہیں، کیچ کو ہاتھوں سے صاف کرنا چاہیے، C) باری دوبارہ چلائی جاتی ہے، D) فیلڈر کو جرمانہ کیا جاتا ہے۔</v>
      </c>
      <c r="K144" s="6" t="str">
        <f>IFERROR(__xludf.DUMMYFUNCTION("GOOGLETRANSLATE(D144, ""en"", ""ur"")"),"ب) نہیں، کیچ کو ہاتھوں سے صاف کرنا چاہیے۔")</f>
        <v>ب) نہیں، کیچ کو ہاتھوں سے صاف کرنا چاہیے۔</v>
      </c>
      <c r="L144" s="6" t="str">
        <f>IFERROR(__xludf.DUMMYFUNCTION("GOOGLETRANSLATE(E144, ""en"", ""ur"")"),"کیچ صرف اس صورت میں درست ہے جب فیلڈر گلی کو زمین کو چھونے سے پہلے اپنے ہاتھوں سے پکڑ لے۔")</f>
        <v>کیچ صرف اس صورت میں درست ہے جب فیلڈر گلی کو زمین کو چھونے سے پہلے اپنے ہاتھوں سے پکڑ لے۔</v>
      </c>
    </row>
    <row r="145">
      <c r="A145" s="4">
        <v>144.0</v>
      </c>
      <c r="B145" s="5" t="s">
        <v>2333</v>
      </c>
      <c r="C145" s="5" t="s">
        <v>2334</v>
      </c>
      <c r="D145" s="5" t="s">
        <v>1133</v>
      </c>
      <c r="E145" s="5" t="s">
        <v>2335</v>
      </c>
      <c r="H145" s="6" t="str">
        <f>IFERROR(__xludf.DUMMYFUNCTION("GOOGLETRANSLATE(A145, ""en"", ""ur"")"),"144")</f>
        <v>144</v>
      </c>
      <c r="I145" s="6" t="str">
        <f>IFERROR(__xludf.DUMMYFUNCTION("GOOGLETRANSLATE(B145, ""en"", ""ur"")"),"اسٹرائیکر کی گلی کو ہوا میں ""جگل"" کرنے کی بنیادی وجہ کیا ہے؟")</f>
        <v>اسٹرائیکر کی گلی کو ہوا میں "جگل" کرنے کی بنیادی وجہ کیا ہے؟</v>
      </c>
      <c r="J145" s="6" t="str">
        <f>IFERROR(__xludf.DUMMYFUNCTION("GOOGLETRANSLATE(C145, ""en"", ""ur"")"),"A)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مندرجہ بالا سبھی")</f>
        <v>A) اپنی صلاحیتوں کا مظاہرہ کرنے کے لیے، B) گلی کو اونچائی حاصل کرنے کی اجازت دینا اور اسے طاقتور اسٹرائیک کے لیے بالکل ٹھیک پوزیشن دینا، C) فیلڈرز کو الجھانے کے لیے، D) مندرجہ بالا سبھی</v>
      </c>
      <c r="K145" s="6" t="str">
        <f>IFERROR(__xludf.DUMMYFUNCTION("GOOGLETRANSLATE(D145, ""en"", ""ur"")"),"D) مذکورہ بالا تمام")</f>
        <v>D) مذکورہ بالا تمام</v>
      </c>
      <c r="L145" s="6" t="str">
        <f>IFERROR(__xludf.DUMMYFUNCTION("GOOGLETRANSLATE(E145, ""en"", ""ur"")"),"جگلنگ مہارت کا مظاہرہ ہے، فیلڈرز کو الجھانے کا ایک طریقہ، اور سب سے اہم بات یہ ہے کہ پرفیکٹ ہٹ سیٹ کرنے کا ایک عملی طریقہ۔")</f>
        <v>جگلنگ مہارت کا مظاہرہ ہے، فیلڈرز کو الجھانے کا ایک طریقہ، اور سب سے اہم بات یہ ہے کہ پرفیکٹ ہٹ سیٹ کرنے کا ایک عملی طریقہ۔</v>
      </c>
    </row>
    <row r="146">
      <c r="A146" s="4">
        <v>145.0</v>
      </c>
      <c r="B146" s="5" t="s">
        <v>2336</v>
      </c>
      <c r="C146" s="5" t="s">
        <v>2337</v>
      </c>
      <c r="D146" s="5" t="s">
        <v>2338</v>
      </c>
      <c r="E146" s="5" t="s">
        <v>2339</v>
      </c>
      <c r="H146" s="6" t="str">
        <f>IFERROR(__xludf.DUMMYFUNCTION("GOOGLETRANSLATE(A146, ""en"", ""ur"")"),"145")</f>
        <v>145</v>
      </c>
      <c r="I146" s="6" t="str">
        <f>IFERROR(__xludf.DUMMYFUNCTION("GOOGLETRANSLATE(B146, ""en"", ""ur"")"),"ایک فیلڈر گلی کو اپنی ٹوپی میں پکڑتا ہے۔ کیا یہ قانونی پکڑ ہے؟")</f>
        <v>ایک فیلڈر گلی کو اپنی ٹوپی میں پکڑتا ہے۔ کیا یہ قانونی پکڑ ہے؟</v>
      </c>
      <c r="J146" s="6" t="str">
        <f>IFERROR(__xludf.DUMMYFUNCTION("GOOGLETRANSLATE(C146, ""en"", ""ur"")"),"A) جی ہاں، جب تک یہ زمین کو نہیں چھوتا، B) نہیں، کیچ ہاتھوں سے بنانا چاہیے، C) یہ فیصلہ اسٹرائیکر پر منحصر ہے، D) باری دوبارہ چلائی جاتی ہے۔")</f>
        <v>A) جی ہاں، جب تک یہ زمین کو نہیں چھوتا، B) نہیں، کیچ ہاتھوں سے بنانا چاہیے، C) یہ فیصلہ اسٹرائیکر پر منحصر ہے، D) باری دوبارہ چلائی جاتی ہے۔</v>
      </c>
      <c r="K146" s="6" t="str">
        <f>IFERROR(__xludf.DUMMYFUNCTION("GOOGLETRANSLATE(D146, ""en"", ""ur"")"),"ب) نہیں، کیچ کو ہاتھوں سے بنایا جانا چاہیے۔")</f>
        <v>ب) نہیں، کیچ کو ہاتھوں سے بنایا جانا چاہیے۔</v>
      </c>
      <c r="L146" s="6" t="str">
        <f>IFERROR(__xludf.DUMMYFUNCTION("GOOGLETRANSLATE(E146, ""en"", ""ur"")"),"روایتی اصولوں میں، کیچ صرف اس صورت میں درست ہے جب ننگے ہاتھوں سے بنایا جائے۔ کیچ میں مدد کے لیے ٹوپی یا قمیض جیسے کپڑے استعمال کرنے کی اجازت نہیں ہے۔")</f>
        <v>روایتی اصولوں میں، کیچ صرف اس صورت میں درست ہے جب ننگے ہاتھوں سے بنایا جائے۔ کیچ میں مدد کے لیے ٹوپی یا قمیض جیسے کپڑے استعمال کرنے کی اجازت نہیں ہے۔</v>
      </c>
    </row>
    <row r="147">
      <c r="A147" s="4">
        <v>146.0</v>
      </c>
      <c r="B147" s="5" t="s">
        <v>2340</v>
      </c>
      <c r="C147" s="5" t="s">
        <v>2341</v>
      </c>
      <c r="D147" s="5" t="s">
        <v>2342</v>
      </c>
      <c r="E147" s="5" t="s">
        <v>2343</v>
      </c>
      <c r="H147" s="6" t="str">
        <f>IFERROR(__xludf.DUMMYFUNCTION("GOOGLETRANSLATE(A147, ""en"", ""ur"")"),"146")</f>
        <v>146</v>
      </c>
      <c r="I147" s="6" t="str">
        <f>IFERROR(__xludf.DUMMYFUNCTION("GOOGLETRANSLATE(B147, ""en"", ""ur"")"),"ایک معمولی کراس ونڈ کو کھیلنے کے لیے اکثر سب سے مشکل حالت کیوں سمجھا جاتا ہے؟")</f>
        <v>ایک معمولی کراس ونڈ کو کھیلنے کے لیے اکثر سب سے مشکل حالت کیوں سمجھا جاتا ہے؟</v>
      </c>
      <c r="J147" s="6" t="str">
        <f>IFERROR(__xludf.DUMMYFUNCTION("GOOGLETRANSLATE(C147, ""en"", ""ur"")"),"A) یہ گلی کو دور تک سفر کرتا ہے، B) یہ گلی کو ہوا میں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f>
        <v>A) یہ گلی کو دور تک سفر کرتا ہے، B) یہ گلی کو ہوا میں غیر متوقع طور پر گھومنے کا سبب بن سکتا ہے، جس سے اسے مارنا اور پکڑنا مشکل ہو جاتا ہے، C) یہ کھیلنا بہت ٹھنڈا کر دیتا ہے، D) یہ کھلاڑیوں کی آنکھوں میں دھول اڑا دیتا ہے۔</v>
      </c>
      <c r="K147" s="6" t="str">
        <f>IFERROR(__xludf.DUMMYFUNCTION("GOOGLETRANSLATE(D147, ""en"", ""ur"")"),"ب) یہ گلی کو ہوا میں غیر متوقع طور پر گھومنے کا سبب بن سکتا ہے، جس سے اسے مارنا اور پکڑنا مشکل ہو جاتا ہے۔")</f>
        <v>ب) یہ گلی کو ہوا میں غیر متوقع طور پر گھومنے کا سبب بن سکتا ہے، جس سے اسے مارنا اور پکڑنا مشکل ہو جاتا ہے۔</v>
      </c>
      <c r="L147" s="6" t="str">
        <f>IFERROR(__xludf.DUMMYFUNCTION("GOOGLETRANSLATE(E147, ""en"", ""ur"")"),"کراس ونڈ گلی کی پرواز میں ایک مشکل ""کرو"" بنا سکتا ہے، اسٹرائیکر اور فیلڈرز دونوں کو دھوکہ دے سکتا ہے۔")</f>
        <v>کراس ونڈ گلی کی پرواز میں ایک مشکل "کرو" بنا سکتا ہے، اسٹرائیکر اور فیلڈرز دونوں کو دھوکہ دے سکتا ہے۔</v>
      </c>
    </row>
    <row r="148">
      <c r="A148" s="4">
        <v>147.0</v>
      </c>
      <c r="B148" s="5" t="s">
        <v>2344</v>
      </c>
      <c r="C148" s="5" t="s">
        <v>2345</v>
      </c>
      <c r="D148" s="5" t="s">
        <v>2346</v>
      </c>
      <c r="E148" s="5" t="s">
        <v>2347</v>
      </c>
      <c r="H148" s="6" t="str">
        <f>IFERROR(__xludf.DUMMYFUNCTION("GOOGLETRANSLATE(A148, ""en"", ""ur"")"),"147")</f>
        <v>147</v>
      </c>
      <c r="I148" s="6" t="str">
        <f>IFERROR(__xludf.DUMMYFUNCTION("GOOGLETRANSLATE(B148, ""en"", ""ur"")"),"ایک کھلاڑی کو ""ڈنڈا ماہر"" کہا جاتا ہے۔ اس کا کیا مطلب ہے؟")</f>
        <v>ایک کھلاڑی کو "ڈنڈا ماہر" کہا جاتا ہے۔ اس کا کیا مطلب ہے؟</v>
      </c>
      <c r="J148" s="6" t="str">
        <f>IFERROR(__xludf.DUMMYFUNCTION("GOOGLETRANSLATE(C148, ""en"", ""ur"")"),"A)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f>
        <v>A) وہ سازوسامان بنانے میں بہت اچھے ہیں، B) وہ ایک غیر معمولی طاقتور اور درست اسٹرائیکر ہیں، C) وہ فاصلہ ماپنے میں بہت اچھے ہیں، D) وہ صرف اسٹرائیکر کے طور پر کھیلتے ہیں</v>
      </c>
      <c r="K148" s="6" t="str">
        <f>IFERROR(__xludf.DUMMYFUNCTION("GOOGLETRANSLATE(D148, ""en"", ""ur"")"),"ب) وہ ایک غیر معمولی طاقتور اور درست اسٹرائیکر ہیں۔")</f>
        <v>ب) وہ ایک غیر معمولی طاقتور اور درست اسٹرائیکر ہیں۔</v>
      </c>
      <c r="L148" s="6" t="str">
        <f>IFERROR(__xludf.DUMMYFUNCTION("GOOGLETRANSLATE(E148, ""en"", ""ur"")"),"یہ ایک ایسے کھلاڑی کے لیے احترام کی اصطلاح ہے جس نے گلی کو زیادہ سے زیادہ فاصلے تک مارنے کے فن میں مہارت حاصل کی ہو۔")</f>
        <v>یہ ایک ایسے کھلاڑی کے لیے احترام کی اصطلاح ہے جس نے گلی کو زیادہ سے زیادہ فاصلے تک مارنے کے فن میں مہارت حاصل کی ہو۔</v>
      </c>
    </row>
    <row r="149">
      <c r="A149" s="4">
        <v>148.0</v>
      </c>
      <c r="B149" s="5" t="s">
        <v>2348</v>
      </c>
      <c r="C149" s="5" t="s">
        <v>2349</v>
      </c>
      <c r="D149" s="5" t="s">
        <v>2350</v>
      </c>
      <c r="E149" s="5" t="s">
        <v>2351</v>
      </c>
      <c r="H149" s="6" t="str">
        <f>IFERROR(__xludf.DUMMYFUNCTION("GOOGLETRANSLATE(A149, ""en"", ""ur"")"),"148")</f>
        <v>148</v>
      </c>
      <c r="I149" s="6" t="str">
        <f>IFERROR(__xludf.DUMMYFUNCTION("GOOGLETRANSLATE(B149, ""en"", ""ur"")"),"اگر کوئی کھیل برابر ہوجاتا ہے، تو عام طور پر زیادہ منظم میچ میں فاتح کا فیصلہ کیسے کیا جاتا ہے؟")</f>
        <v>اگر کوئی کھیل برابر ہوجاتا ہے، تو عام طور پر زیادہ منظم میچ میں فاتح کا فیصلہ کیسے کیا جاتا ہے؟</v>
      </c>
      <c r="J149" s="6" t="str">
        <f>IFERROR(__xludf.DUMMYFUNCTION("GOOGLETRANSLATE(C149, ""en"", ""ur"")"),"A) سکے کا ٹاس، B) سب سے طویل سنگل ہٹ جیتنے والی ٹیم، C) ایک ""سپر اوور"" یا اضافی راؤنڈ کھیلا جاتا ہے، D) میچ ڈرا قرار دیا جاتا ہے۔")</f>
        <v>A) سکے کا ٹاس، B) سب سے طویل سنگل ہٹ جیتنے والی ٹیم، C) ایک "سپر اوور" یا اضافی راؤنڈ کھیلا جاتا ہے، D) میچ ڈرا قرار دیا جاتا ہے۔</v>
      </c>
      <c r="K149" s="6" t="str">
        <f>IFERROR(__xludf.DUMMYFUNCTION("GOOGLETRANSLATE(D149, ""en"", ""ur"")"),"ج) ایک ""سپر اوور"" یا ایکسٹرا راؤنڈ کھیلا جاتا ہے۔")</f>
        <v>ج) ایک "سپر اوور" یا ایکسٹرا راؤنڈ کھیلا جاتا ہے۔</v>
      </c>
      <c r="L149" s="6" t="str">
        <f>IFERROR(__xludf.DUMMYFUNCTION("GOOGLETRANSLATE(E149, ""en"", ""ur"")"),"ٹائی کو توڑنے کے لیے، ایک فائنل راؤنڈ اکثر کھیلا جاتا ہے جہاں ہر ٹیم کو فاتح کا تعین کرنے کے لیے اسٹرائیکس کی ایک مقررہ تعداد ملتی ہے۔")</f>
        <v>ٹائی کو توڑنے کے لیے، ایک فائنل راؤنڈ اکثر کھیلا جاتا ہے جہاں ہر ٹیم کو فاتح کا تعین کرنے کے لیے اسٹرائیکس کی ایک مقررہ تعداد ملتی ہے۔</v>
      </c>
    </row>
    <row r="150">
      <c r="A150" s="4">
        <v>149.0</v>
      </c>
      <c r="B150" s="5" t="s">
        <v>2352</v>
      </c>
      <c r="C150" s="5" t="s">
        <v>2353</v>
      </c>
      <c r="D150" s="5" t="s">
        <v>2354</v>
      </c>
      <c r="E150" s="5" t="s">
        <v>2355</v>
      </c>
      <c r="H150" s="6" t="str">
        <f>IFERROR(__xludf.DUMMYFUNCTION("GOOGLETRANSLATE(A150, ""en"", ""ur"")"),"149")</f>
        <v>149</v>
      </c>
      <c r="I150" s="6" t="str">
        <f>IFERROR(__xludf.DUMMYFUNCTION("GOOGLETRANSLATE(B150, ""en"", ""ur"")"),"گلی ڈنڈا جدید پاکستان میں گھنے شہروں کی نسبت دیہی علاقوں میں زیادہ مقبول ہونے کی بنیادی وجہ کیا ہے؟")</f>
        <v>گلی ڈنڈا جدید پاکستان میں گھنے شہروں کی نسبت دیہی علاقوں میں زیادہ مقبول ہونے کی بنیادی وجہ کیا ہے؟</v>
      </c>
      <c r="J150" s="6" t="str">
        <f>IFERROR(__xludf.DUMMYFUNCTION("GOOGLETRANSLATE(C150, ""en"", ""ur"")"),"A)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f>
        <v>A) شہر کے رہنے والے دوسرے کھیلوں کو ترجیح دیتے ہیں، B) شہروں میں اس کھیل پر پابندی ہے، C) محفوظ، کھلی جگہوں کا فقدان جو کھیل کھیلنے کے لیے درکار ہے، D) شہروں میں سامان فروخت نہیں ہوتا</v>
      </c>
      <c r="K150" s="6" t="str">
        <f>IFERROR(__xludf.DUMMYFUNCTION("GOOGLETRANSLATE(D150, ""en"", ""ur"")"),"ج) گیم کھیلنے کے لیے درکار محفوظ، کھلی جگہوں کی کمی")</f>
        <v>ج) گیم کھیلنے کے لیے درکار محفوظ، کھلی جگہوں کی کمی</v>
      </c>
      <c r="L150" s="6" t="str">
        <f>IFERROR(__xludf.DUMMYFUNCTION("GOOGLETRANSLATE(E150, ""en"", ""ur"")"),"شہری کاری نے گلی ڈنڈا کو محفوظ طریقے سے کھیلنے کے لیے درکار کھلے میدانوں اور میدانوں کی تعداد میں کافی حد تک کمی کر دی ہے۔")</f>
        <v>شہری کاری نے گلی ڈنڈا کو محفوظ طریقے سے کھیلنے کے لیے درکار کھلے میدانوں اور میدانوں کی تعداد میں کافی حد تک کمی کر دی ہے۔</v>
      </c>
    </row>
    <row r="151">
      <c r="A151" s="4">
        <v>150.0</v>
      </c>
      <c r="B151" s="5" t="s">
        <v>2356</v>
      </c>
      <c r="C151" s="5" t="s">
        <v>2357</v>
      </c>
      <c r="D151" s="5" t="s">
        <v>2358</v>
      </c>
      <c r="E151" s="5" t="s">
        <v>2359</v>
      </c>
      <c r="H151" s="6" t="str">
        <f>IFERROR(__xludf.DUMMYFUNCTION("GOOGLETRANSLATE(A151, ""en"", ""ur"")"),"150")</f>
        <v>150</v>
      </c>
      <c r="I151" s="6" t="str">
        <f>IFERROR(__xludf.DUMMYFUNCTION("GOOGLETRANSLATE(B151, ""en"", ""ur"")"),"اس کے جوہر میں، گلی ڈنڈا کی روح کیا ہے؟")</f>
        <v>اس کے جوہر میں، گلی ڈنڈا کی روح کیا ہے؟</v>
      </c>
      <c r="J151" s="6" t="str">
        <f>IFERROR(__xludf.DUMMYFUNCTION("GOOGLETRANSLATE(C151, ""en"", ""ur"")"),"A)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f>
        <v>A) ایک انتہائی مسابقتی اور پیشہ ورانہ کھیل، B) ایک سادہ، خوشگوار اور غیر رسمی کھیل جو کمیونٹی اور مہارت کو فروغ دیتا ہے، C) ایک خطرناک اور جارحانہ سرگرمی، D) خالص قسمت کا کھیل</v>
      </c>
      <c r="K151" s="6" t="str">
        <f>IFERROR(__xludf.DUMMYFUNCTION("GOOGLETRANSLATE(D151, ""en"", ""ur"")"),"ب) ایک سادہ، خوشگوار، اور غیر رسمی کھیل جو کمیونٹی اور مہارت کو فروغ دیتا ہے۔")</f>
        <v>ب) ایک سادہ، خوشگوار، اور غیر رسمی کھیل جو کمیونٹی اور مہارت کو فروغ دیتا ہے۔</v>
      </c>
      <c r="L151" s="6" t="str">
        <f>IFERROR(__xludf.DUMMYFUNCTION("GOOGLETRANSLATE(E151, ""en"", ""ur"")"),"گلی ڈنڈا اپنی سادگی اور کھلاڑیوں کے درمیان سماجی رابطوں کی وجہ سے پسند کیا جاتا ہے۔")</f>
        <v>گلی ڈنڈا اپنی سادگی اور کھلاڑیوں کے درمیان سماجی رابطوں کی وجہ سے پسند کیا جاتا ہے۔</v>
      </c>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0" max="11" width="37.63"/>
    <col customWidth="1" min="12" max="12" width="26.13"/>
    <col customWidth="1" min="13" max="13" width="37.63"/>
  </cols>
  <sheetData>
    <row r="1">
      <c r="A1" s="1" t="s">
        <v>594</v>
      </c>
      <c r="B1" s="2" t="s">
        <v>1</v>
      </c>
      <c r="C1" s="2" t="s">
        <v>2</v>
      </c>
      <c r="D1" s="2" t="s">
        <v>3</v>
      </c>
      <c r="E1" s="2" t="s">
        <v>4</v>
      </c>
      <c r="I1" s="3" t="s">
        <v>5</v>
      </c>
      <c r="J1" s="3" t="s">
        <v>6</v>
      </c>
      <c r="K1" s="3" t="s">
        <v>7</v>
      </c>
      <c r="L1" s="3" t="s">
        <v>8</v>
      </c>
      <c r="M1" s="3" t="s">
        <v>9</v>
      </c>
    </row>
    <row r="2">
      <c r="A2" s="4">
        <v>1.0</v>
      </c>
      <c r="B2" s="5" t="s">
        <v>2360</v>
      </c>
      <c r="C2" s="5" t="s">
        <v>2361</v>
      </c>
      <c r="D2" s="5" t="s">
        <v>2362</v>
      </c>
      <c r="E2" s="5" t="s">
        <v>2363</v>
      </c>
      <c r="I2" s="6" t="str">
        <f>IFERROR(__xludf.DUMMYFUNCTION("GOOGLETRANSLATE(A2, ""en"", ""ur"")"),"1")</f>
        <v>1</v>
      </c>
      <c r="J2" s="6" t="str">
        <f>IFERROR(__xludf.DUMMYFUNCTION("GOOGLETRANSLATE(B2, ""en"", ""ur"")"),"ٹینٹ پیگنگ کی مرکزی تقریب میں استعمال ہونے والا بنیادی ہتھیار کون سا ہے؟")</f>
        <v>ٹینٹ پیگنگ کی مرکزی تقریب میں استعمال ہونے والا بنیادی ہتھیار کون سا ہے؟</v>
      </c>
      <c r="K2" s="6" t="str">
        <f>IFERROR(__xludf.DUMMYFUNCTION("GOOGLETRANSLATE(C2, ""en"", ""ur"")"),"A) تلوار، B) لانس، C) کمان، D) کلب")</f>
        <v>A) تلوار، B) لانس، C) کمان، D) کلب</v>
      </c>
      <c r="L2" s="6" t="str">
        <f>IFERROR(__xludf.DUMMYFUNCTION("GOOGLETRANSLATE(D2, ""en"", ""ur"")"),"ب) لانس")</f>
        <v>ب) لانس</v>
      </c>
      <c r="M2" s="6" t="str">
        <f>IFERROR(__xludf.DUMMYFUNCTION("GOOGLETRANSLATE(E2, ""en"", ""ur"")"),"لانس، ایک قسم کا نیزہ، کلاسک ٹینٹ پیگنگ ایونٹ میں زمینی اہداف کو نشانہ بنانے اور اٹھانے کے لیے استعمال ہونے والا بنیادی عمل ہے۔")</f>
        <v>لانس، ایک قسم کا نیزہ، کلاسک ٹینٹ پیگنگ ایونٹ میں زمینی اہداف کو نشانہ بنانے اور اٹھانے کے لیے استعمال ہونے والا بنیادی عمل ہے۔</v>
      </c>
    </row>
    <row r="3">
      <c r="A3" s="4">
        <v>2.0</v>
      </c>
      <c r="B3" s="5" t="s">
        <v>2364</v>
      </c>
      <c r="C3" s="5" t="s">
        <v>2365</v>
      </c>
      <c r="D3" s="5" t="s">
        <v>2366</v>
      </c>
      <c r="E3" s="5" t="s">
        <v>2367</v>
      </c>
      <c r="I3" s="6" t="str">
        <f>IFERROR(__xludf.DUMMYFUNCTION("GOOGLETRANSLATE(A3, ""en"", ""ur"")"),"2")</f>
        <v>2</v>
      </c>
      <c r="J3" s="6" t="str">
        <f>IFERROR(__xludf.DUMMYFUNCTION("GOOGLETRANSLATE(B3, ""en"", ""ur"")"),"آئی ٹی پی ایف کے قوانین کے مطابق، زمین کے اوپر کھلے ہوئے ٹارگٹ پیگ کی معیاری اونچائی کتنی ہے؟")</f>
        <v>آئی ٹی پی ایف کے قوانین کے مطابق، زمین کے اوپر کھلے ہوئے ٹارگٹ پیگ کی معیاری اونچائی کتنی ہے؟</v>
      </c>
      <c r="K3" s="6" t="str">
        <f>IFERROR(__xludf.DUMMYFUNCTION("GOOGLETRANSLATE(C3, ""en"", ""ur"")"),"A) 6 انچ، B) 12 انچ (30 سینٹی میٹر)، C) 18 انچ، D) 24 انچ")</f>
        <v>A) 6 انچ، B) 12 انچ (30 سینٹی میٹر)، C) 18 انچ، D) 24 انچ</v>
      </c>
      <c r="L3" s="6" t="str">
        <f>IFERROR(__xludf.DUMMYFUNCTION("GOOGLETRANSLATE(D3, ""en"", ""ur"")"),"ب) 12 انچ (30 سینٹی میٹر)")</f>
        <v>ب) 12 انچ (30 سینٹی میٹر)</v>
      </c>
      <c r="M3" s="6" t="str">
        <f>IFERROR(__xludf.DUMMYFUNCTION("GOOGLETRANSLATE(E3, ""en"", ""ur"")"),"تمام حریفوں کے لیے چیلنج کو معیاری بنانے کے لیے پیگ کو عام طور پر 12 انچ (یا 30 سینٹی میٹر) زمین کے اوپر دکھائی دینے کے لیے سیٹ کیا جاتا ہے۔")</f>
        <v>تمام حریفوں کے لیے چیلنج کو معیاری بنانے کے لیے پیگ کو عام طور پر 12 انچ (یا 30 سینٹی میٹر) زمین کے اوپر دکھائی دینے کے لیے سیٹ کیا جاتا ہے۔</v>
      </c>
    </row>
    <row r="4">
      <c r="A4" s="4">
        <v>3.0</v>
      </c>
      <c r="B4" s="5" t="s">
        <v>2368</v>
      </c>
      <c r="C4" s="5" t="s">
        <v>2369</v>
      </c>
      <c r="D4" s="5" t="s">
        <v>2370</v>
      </c>
      <c r="E4" s="5" t="s">
        <v>2371</v>
      </c>
      <c r="I4" s="6" t="str">
        <f>IFERROR(__xludf.DUMMYFUNCTION("GOOGLETRANSLATE(A4, ""en"", ""ur"")"),"3")</f>
        <v>3</v>
      </c>
      <c r="J4" s="6" t="str">
        <f>IFERROR(__xludf.DUMMYFUNCTION("GOOGLETRANSLATE(B4, ""en"", ""ur"")"),"رفتار اور درستگی کو متوازن کرنے کے لیے ٹینٹ پیگنگ رن کے دوران گھوڑے کی مثالی رفتار کی حد کیا ہے؟")</f>
        <v>رفتار اور درستگی کو متوازن کرنے کے لیے ٹینٹ پیگنگ رن کے دوران گھوڑے کی مثالی رفتار کی حد کیا ہے؟</v>
      </c>
      <c r="K4" s="6" t="str">
        <f>IFERROR(__xludf.DUMMYFUNCTION("GOOGLETRANSLATE(C4, ""en"", ""ur"")"),"A) 15-20 کلومیٹر فی گھنٹہ، B) 25-35 کلومیٹر فی گھنٹہ، C) 40-50 کلومیٹر فی گھنٹہ، D) 60-70 کلومیٹر فی گھنٹہ")</f>
        <v>A) 15-20 کلومیٹر فی گھنٹہ، B) 25-35 کلومیٹر فی گھنٹہ، C) 40-50 کلومیٹر فی گھنٹہ، D) 60-70 کلومیٹر فی گھنٹہ</v>
      </c>
      <c r="L4" s="6" t="str">
        <f>IFERROR(__xludf.DUMMYFUNCTION("GOOGLETRANSLATE(D4, ""en"", ""ur"")"),"ب) 25-35 کلومیٹر فی گھنٹہ")</f>
        <v>ب) 25-35 کلومیٹر فی گھنٹہ</v>
      </c>
      <c r="M4" s="6" t="str">
        <f>IFERROR(__xludf.DUMMYFUNCTION("GOOGLETRANSLATE(E4, ""en"", ""ur"")"),"اس رفتار کی حد، ایک کنٹرول شدہ کینٹر یا گیلپ، کو بہترین سمجھا جاتا ہے کہ سوار کو ہدف کے لیے کافی وقت دیا جائے جب کہ وہ رفتار میں مہارت کا امتحان ہے۔")</f>
        <v>اس رفتار کی حد، ایک کنٹرول شدہ کینٹر یا گیلپ، کو بہترین سمجھا جاتا ہے کہ سوار کو ہدف کے لیے کافی وقت دیا جائے جب کہ وہ رفتار میں مہارت کا امتحان ہے۔</v>
      </c>
    </row>
    <row r="5">
      <c r="A5" s="4">
        <v>4.0</v>
      </c>
      <c r="B5" s="5" t="s">
        <v>2372</v>
      </c>
      <c r="C5" s="5" t="s">
        <v>2373</v>
      </c>
      <c r="D5" s="5" t="s">
        <v>2374</v>
      </c>
      <c r="E5" s="5" t="s">
        <v>2375</v>
      </c>
      <c r="I5" s="6" t="str">
        <f>IFERROR(__xludf.DUMMYFUNCTION("GOOGLETRANSLATE(A5, ""en"", ""ur"")"),"4")</f>
        <v>4</v>
      </c>
      <c r="J5" s="6" t="str">
        <f>IFERROR(__xludf.DUMMYFUNCTION("GOOGLETRANSLATE(B5, ""en"", ""ur"")"),"ایک ""مکمل پیگ"" کے لیے کتنے پوائنٹس دیے جاتے ہیں جہاں پیگ کو کامیابی کے ساتھ مارا جاتا ہے اور ختم لائن پر لے جایا جاتا ہے؟")</f>
        <v>ایک "مکمل پیگ" کے لیے کتنے پوائنٹس دیے جاتے ہیں جہاں پیگ کو کامیابی کے ساتھ مارا جاتا ہے اور ختم لائن پر لے جایا جاتا ہے؟</v>
      </c>
      <c r="K5" s="6" t="str">
        <f>IFERROR(__xludf.DUMMYFUNCTION("GOOGLETRANSLATE(C5, ""en"", ""ur"")"),"A) 4 پوائنٹس، B) 6 پوائنٹس، C) 8 پوائنٹس، D) 10 پوائنٹس")</f>
        <v>A) 4 پوائنٹس، B) 6 پوائنٹس، C) 8 پوائنٹس، D) 10 پوائنٹس</v>
      </c>
      <c r="L5" s="6" t="str">
        <f>IFERROR(__xludf.DUMMYFUNCTION("GOOGLETRANSLATE(D5, ""en"", ""ur"")"),"ب) 6 پوائنٹس")</f>
        <v>ب) 6 پوائنٹس</v>
      </c>
      <c r="M5" s="6" t="str">
        <f>IFERROR(__xludf.DUMMYFUNCTION("GOOGLETRANSLATE(E5, ""en"", ""ur"")"),"کھونٹی کو ختم لائن کے پار صاف طور پر مارنا اور لے جانا کسی ایک زمینی ہدف کے لیے سب سے زیادہ سکور ہے، عام طور پر 6 پوائنٹس دیے جاتے ہیں۔")</f>
        <v>کھونٹی کو ختم لائن کے پار صاف طور پر مارنا اور لے جانا کسی ایک زمینی ہدف کے لیے سب سے زیادہ سکور ہے، عام طور پر 6 پوائنٹس دیے جاتے ہیں۔</v>
      </c>
    </row>
    <row r="6">
      <c r="A6" s="4">
        <v>5.0</v>
      </c>
      <c r="B6" s="5" t="s">
        <v>2376</v>
      </c>
      <c r="C6" s="5" t="s">
        <v>2377</v>
      </c>
      <c r="D6" s="5" t="s">
        <v>2378</v>
      </c>
      <c r="E6" s="5" t="s">
        <v>2379</v>
      </c>
      <c r="I6" s="6" t="str">
        <f>IFERROR(__xludf.DUMMYFUNCTION("GOOGLETRANSLATE(A6, ""en"", ""ur"")"),"5")</f>
        <v>5</v>
      </c>
      <c r="J6" s="6" t="str">
        <f>IFERROR(__xludf.DUMMYFUNCTION("GOOGLETRANSLATE(B6, ""en"", ""ur"")"),"مقابلہ کے ٹریک کی معیاری لمبائی کیا ہے، شروع لائن سے ختم لائن تک؟")</f>
        <v>مقابلہ کے ٹریک کی معیاری لمبائی کیا ہے، شروع لائن سے ختم لائن تک؟</v>
      </c>
      <c r="K6" s="6" t="str">
        <f>IFERROR(__xludf.DUMMYFUNCTION("GOOGLETRANSLATE(C6, ""en"", ""ur"")"),"A) 50 میٹر، B) 75 میٹر، C) 100 میٹر، D) 150 میٹر")</f>
        <v>A) 50 میٹر، B) 75 میٹر، C) 100 میٹر، D) 150 میٹر</v>
      </c>
      <c r="L6" s="6" t="str">
        <f>IFERROR(__xludf.DUMMYFUNCTION("GOOGLETRANSLATE(D6, ""en"", ""ur"")"),"C) 100 میٹر")</f>
        <v>C) 100 میٹر</v>
      </c>
      <c r="M6" s="6" t="str">
        <f>IFERROR(__xludf.DUMMYFUNCTION("GOOGLETRANSLATE(E6, ""en"", ""ur"")"),"100 میٹر کا ٹریک گھوڑے کو مناسب رفتار سے تیز کرنے اور سوار کو ہڑتال کی تیاری کے لیے کافی فاصلہ فراہم کرتا ہے۔")</f>
        <v>100 میٹر کا ٹریک گھوڑے کو مناسب رفتار سے تیز کرنے اور سوار کو ہڑتال کی تیاری کے لیے کافی فاصلہ فراہم کرتا ہے۔</v>
      </c>
    </row>
    <row r="7">
      <c r="A7" s="4">
        <v>6.0</v>
      </c>
      <c r="B7" s="5" t="s">
        <v>2380</v>
      </c>
      <c r="C7" s="5" t="s">
        <v>2381</v>
      </c>
      <c r="D7" s="5" t="s">
        <v>2382</v>
      </c>
      <c r="E7" s="5" t="s">
        <v>2383</v>
      </c>
      <c r="I7" s="6" t="str">
        <f>IFERROR(__xludf.DUMMYFUNCTION("GOOGLETRANSLATE(A7, ""en"", ""ur"")"),"6")</f>
        <v>6</v>
      </c>
      <c r="J7" s="6" t="str">
        <f>IFERROR(__xludf.DUMMYFUNCTION("GOOGLETRANSLATE(B7, ""en"", ""ur"")"),"کھونٹی کے کس حصے کو لانس سے مارنا چاہیے تاکہ یہ یقینی بنایا جا سکے کہ اسے زمین سے صاف طور پر اٹھایا گیا ہے؟")</f>
        <v>کھونٹی کے کس حصے کو لانس سے مارنا چاہیے تاکہ یہ یقینی بنایا جا سکے کہ اسے زمین سے صاف طور پر اٹھایا گیا ہے؟</v>
      </c>
      <c r="K7" s="6" t="str">
        <f>IFERROR(__xludf.DUMMYFUNCTION("GOOGLETRANSLATE(C7, ""en"", ""ur"")"),"A) سب سے اوپر 2 انچ، B) درمیانی حصہ، C) نیچے کا تیسرا، بیس کے قریب، D) کھونٹی کا کوئی بھی حصہ")</f>
        <v>A) سب سے اوپر 2 انچ، B) درمیانی حصہ، C) نیچے کا تیسرا، بیس کے قریب، D) کھونٹی کا کوئی بھی حصہ</v>
      </c>
      <c r="L7" s="6" t="str">
        <f>IFERROR(__xludf.DUMMYFUNCTION("GOOGLETRANSLATE(D7, ""en"", ""ur"")"),"سی) نچلا تیسرا، بیس کے قریب")</f>
        <v>سی) نچلا تیسرا، بیس کے قریب</v>
      </c>
      <c r="M7" s="6" t="str">
        <f>IFERROR(__xludf.DUMMYFUNCTION("GOOGLETRANSLATE(E7, ""en"", ""ur"")"),"اس کے شافٹ پر کھونٹی کو نیچے مارنا اسے عمودی طور پر زمین سے ہٹانے کے لئے ضروری فائدہ فراہم کرتا ہے۔")</f>
        <v>اس کے شافٹ پر کھونٹی کو نیچے مارنا اسے عمودی طور پر زمین سے ہٹانے کے لئے ضروری فائدہ فراہم کرتا ہے۔</v>
      </c>
    </row>
    <row r="8">
      <c r="A8" s="4">
        <v>7.0</v>
      </c>
      <c r="B8" s="5" t="s">
        <v>2384</v>
      </c>
      <c r="C8" s="5" t="s">
        <v>2385</v>
      </c>
      <c r="D8" s="5" t="s">
        <v>2386</v>
      </c>
      <c r="E8" s="5" t="s">
        <v>2387</v>
      </c>
      <c r="I8" s="6" t="str">
        <f>IFERROR(__xludf.DUMMYFUNCTION("GOOGLETRANSLATE(A8, ""en"", ""ur"")"),"7")</f>
        <v>7</v>
      </c>
      <c r="J8" s="6" t="str">
        <f>IFERROR(__xludf.DUMMYFUNCTION("GOOGLETRANSLATE(B8, ""en"", ""ur"")"),"کس قسم کا گھوڑا اپنی چستی اور صلاحیت کے لیے جانا جاتا ہے، جو اسے ٹینٹ پیگنگ کے لیے انتہائی موزوں بناتا ہے؟")</f>
        <v>کس قسم کا گھوڑا اپنی چستی اور صلاحیت کے لیے جانا جاتا ہے، جو اسے ٹینٹ پیگنگ کے لیے انتہائی موزوں بناتا ہے؟</v>
      </c>
      <c r="K8" s="6" t="str">
        <f>IFERROR(__xludf.DUMMYFUNCTION("GOOGLETRANSLATE(C8, ""en"", ""ur"")"),"A) Clydesdale، B) شائر، C) مارواڑی اور Throughbreed، D) Shetland Pony")</f>
        <v>A) Clydesdale، B) شائر، C) مارواڑی اور Throughbreed، D) Shetland Pony</v>
      </c>
      <c r="L8" s="6" t="str">
        <f>IFERROR(__xludf.DUMMYFUNCTION("GOOGLETRANSLATE(D8, ""en"", ""ur"")"),"ج) مارواڑی اور اچھی نسل")</f>
        <v>ج) مارواڑی اور اچھی نسل</v>
      </c>
      <c r="M8" s="6" t="str">
        <f>IFERROR(__xludf.DUMMYFUNCTION("GOOGLETRANSLATE(E8, ""en"", ""ur"")"),"اپنی ایتھلیٹزم، رفتار اور ہمت کے لیے مشہور نسلیں، جیسے مارواڑی، تھوربریڈ، اور عربی، کو کھیل کے لیے ترجیح دی جاتی ہے۔")</f>
        <v>اپنی ایتھلیٹزم، رفتار اور ہمت کے لیے مشہور نسلیں، جیسے مارواڑی، تھوربریڈ، اور عربی، کو کھیل کے لیے ترجیح دی جاتی ہے۔</v>
      </c>
    </row>
    <row r="9">
      <c r="A9" s="4">
        <v>8.0</v>
      </c>
      <c r="B9" s="5" t="s">
        <v>2388</v>
      </c>
      <c r="C9" s="5" t="s">
        <v>1422</v>
      </c>
      <c r="D9" s="5" t="s">
        <v>2389</v>
      </c>
      <c r="E9" s="5" t="s">
        <v>2390</v>
      </c>
      <c r="I9" s="6" t="str">
        <f>IFERROR(__xludf.DUMMYFUNCTION("GOOGLETRANSLATE(A9, ""en"", ""ur"")"),"8")</f>
        <v>8</v>
      </c>
      <c r="J9" s="6" t="str">
        <f>IFERROR(__xludf.DUMMYFUNCTION("GOOGLETRANSLATE(B9, ""en"", ""ur"")"),"ایک معیاری ٹیم ایونٹ میں، ایک ٹیم کے کتنے سوار ایک ہی چارج میں سوار ہوتے ہیں؟")</f>
        <v>ایک معیاری ٹیم ایونٹ میں، ایک ٹیم کے کتنے سوار ایک ہی چارج میں سوار ہوتے ہیں؟</v>
      </c>
      <c r="K9" s="6" t="str">
        <f>IFERROR(__xludf.DUMMYFUNCTION("GOOGLETRANSLATE(C9, ""en"", ""ur"")"),"A) 2، B) 3، C) 4، D) 5")</f>
        <v>A) 2، B) 3، C) 4، D) 5</v>
      </c>
      <c r="L9" s="6" t="str">
        <f>IFERROR(__xludf.DUMMYFUNCTION("GOOGLETRANSLATE(D9, ""en"", ""ur"")"),"ج) 4")</f>
        <v>ج) 4</v>
      </c>
      <c r="M9" s="6" t="str">
        <f>IFERROR(__xludf.DUMMYFUNCTION("GOOGLETRANSLATE(E9, ""en"", ""ur"")"),"ایک معیاری ٹیم سیکشن چار سواروں پر مشتمل ہوتا ہے جو فارمیشن میں ٹریک کو نیچے چارج کرتے ہیں، ہر ایک اپنے ہدف کو نشانہ بنانے کی کوشش کرتا ہے۔")</f>
        <v>ایک معیاری ٹیم سیکشن چار سواروں پر مشتمل ہوتا ہے جو فارمیشن میں ٹریک کو نیچے چارج کرتے ہیں، ہر ایک اپنے ہدف کو نشانہ بنانے کی کوشش کرتا ہے۔</v>
      </c>
    </row>
    <row r="10">
      <c r="A10" s="4">
        <v>9.0</v>
      </c>
      <c r="B10" s="5" t="s">
        <v>2391</v>
      </c>
      <c r="C10" s="5" t="s">
        <v>2392</v>
      </c>
      <c r="D10" s="5" t="s">
        <v>2393</v>
      </c>
      <c r="E10" s="5" t="s">
        <v>2394</v>
      </c>
      <c r="I10" s="6" t="str">
        <f>IFERROR(__xludf.DUMMYFUNCTION("GOOGLETRANSLATE(A10, ""en"", ""ur"")"),"9")</f>
        <v>9</v>
      </c>
      <c r="J10" s="6" t="str">
        <f>IFERROR(__xludf.DUMMYFUNCTION("GOOGLETRANSLATE(B10, ""en"", ""ur"")"),"ایک سوار کو سٹارٹ لائن کو عبور کرنے کے بعد سے اپنی دوڑ مکمل کرنے کے لیے زیادہ سے زیادہ کتنا وقت دیا جاتا ہے؟")</f>
        <v>ایک سوار کو سٹارٹ لائن کو عبور کرنے کے بعد سے اپنی دوڑ مکمل کرنے کے لیے زیادہ سے زیادہ کتنا وقت دیا جاتا ہے؟</v>
      </c>
      <c r="K10" s="6" t="str">
        <f>IFERROR(__xludf.DUMMYFUNCTION("GOOGLETRANSLATE(C10, ""en"", ""ur"")"),"A) 6 سیکنڈ، B) 8 سیکنڈ، C) 10 سیکنڈ، D) 12 سیکنڈ")</f>
        <v>A) 6 سیکنڈ، B) 8 سیکنڈ، C) 10 سیکنڈ، D) 12 سیکنڈ</v>
      </c>
      <c r="L10" s="6" t="str">
        <f>IFERROR(__xludf.DUMMYFUNCTION("GOOGLETRANSLATE(D10, ""en"", ""ur"")"),"ب) 8 سیکنڈ")</f>
        <v>ب) 8 سیکنڈ</v>
      </c>
      <c r="M10" s="6" t="str">
        <f>IFERROR(__xludf.DUMMYFUNCTION("GOOGLETRANSLATE(E10, ""en"", ""ur"")"),"تیز رفتار اور مسابقتی رفتار کو یقینی بنانے کے لیے، ایک وقت کی حد (مثلاً، 100 میٹر ٹریک کے لیے 8 سیکنڈ) نافذ کی جاتی ہے۔ اس وقت سے تجاوز کرنے سے صفر پوائنٹس ملتے ہیں۔")</f>
        <v>تیز رفتار اور مسابقتی رفتار کو یقینی بنانے کے لیے، ایک وقت کی حد (مثلاً، 100 میٹر ٹریک کے لیے 8 سیکنڈ) نافذ کی جاتی ہے۔ اس وقت سے تجاوز کرنے سے صفر پوائنٹس ملتے ہیں۔</v>
      </c>
    </row>
    <row r="11">
      <c r="A11" s="4">
        <v>10.0</v>
      </c>
      <c r="B11" s="5" t="s">
        <v>2395</v>
      </c>
      <c r="C11" s="5" t="s">
        <v>2396</v>
      </c>
      <c r="D11" s="5" t="s">
        <v>2397</v>
      </c>
      <c r="E11" s="5" t="s">
        <v>2398</v>
      </c>
      <c r="I11" s="6" t="str">
        <f>IFERROR(__xludf.DUMMYFUNCTION("GOOGLETRANSLATE(A11, ""en"", ""ur"")"),"10")</f>
        <v>10</v>
      </c>
      <c r="J11" s="6" t="str">
        <f>IFERROR(__xludf.DUMMYFUNCTION("GOOGLETRANSLATE(B11, ""en"", ""ur"")"),"معیاری لکڑی کے پیگ میں ایک مستطیل کراس سیکشن ہوتا ہے۔ اس کے عام طول و عرض کیا ہیں؟")</f>
        <v>معیاری لکڑی کے پیگ میں ایک مستطیل کراس سیکشن ہوتا ہے۔ اس کے عام طول و عرض کیا ہیں؟</v>
      </c>
      <c r="K11" s="6" t="str">
        <f>IFERROR(__xludf.DUMMYFUNCTION("GOOGLETRANSLATE(C11, ""en"", ""ur"")"),"A) 2 سینٹی میٹر چوڑا x 2 سینٹی میٹر موٹا، B) 4 سینٹی میٹر چوڑا x 2 سینٹی میٹر موٹا، C) 6 سینٹی میٹر چوڑا x 4 سینٹی میٹر موٹا، D) 10 سینٹی میٹر چوڑا x 5 سینٹی میٹر موٹا")</f>
        <v>A) 2 سینٹی میٹر چوڑا x 2 سینٹی میٹر موٹا، B) 4 سینٹی میٹر چوڑا x 2 سینٹی میٹر موٹا، C) 6 سینٹی میٹر چوڑا x 4 سینٹی میٹر موٹا، D) 10 سینٹی میٹر چوڑا x 5 سینٹی میٹر موٹا</v>
      </c>
      <c r="L11" s="6" t="str">
        <f>IFERROR(__xludf.DUMMYFUNCTION("GOOGLETRANSLATE(D11, ""en"", ""ur"")"),"ب) 4 سینٹی میٹر چوڑا x 2 سینٹی میٹر موٹا")</f>
        <v>ب) 4 سینٹی میٹر چوڑا x 2 سینٹی میٹر موٹا</v>
      </c>
      <c r="M11" s="6" t="str">
        <f>IFERROR(__xludf.DUMMYFUNCTION("GOOGLETRANSLATE(E11, ""en"", ""ur"")"),"پیگ عام طور پر سوار کو پیش کیے جانے والے چہرے پر 4 سینٹی میٹر چوڑا اور 2 سینٹی میٹر موٹا ہوتا ہے، جو ایک مشکل ہدف فراہم کرتا ہے۔")</f>
        <v>پیگ عام طور پر سوار کو پیش کیے جانے والے چہرے پر 4 سینٹی میٹر چوڑا اور 2 سینٹی میٹر موٹا ہوتا ہے، جو ایک مشکل ہدف فراہم کرتا ہے۔</v>
      </c>
    </row>
    <row r="12">
      <c r="A12" s="4">
        <v>11.0</v>
      </c>
      <c r="B12" s="5" t="s">
        <v>2399</v>
      </c>
      <c r="C12" s="5" t="s">
        <v>2400</v>
      </c>
      <c r="D12" s="5" t="s">
        <v>2401</v>
      </c>
      <c r="E12" s="5" t="s">
        <v>2402</v>
      </c>
      <c r="I12" s="6" t="str">
        <f>IFERROR(__xludf.DUMMYFUNCTION("GOOGLETRANSLATE(A12, ""en"", ""ur"")"),"11")</f>
        <v>11</v>
      </c>
      <c r="J12" s="6" t="str">
        <f>IFERROR(__xludf.DUMMYFUNCTION("GOOGLETRANSLATE(B12, ""en"", ""ur"")"),"سینئر سطح کے بین الاقوامی مقابلوں میں استعمال ہونے والے لانس کی معیاری لمبائی کتنی ہے؟")</f>
        <v>سینئر سطح کے بین الاقوامی مقابلوں میں استعمال ہونے والے لانس کی معیاری لمبائی کتنی ہے؟</v>
      </c>
      <c r="K12" s="6" t="str">
        <f>IFERROR(__xludf.DUMMYFUNCTION("GOOGLETRANSLATE(C12, ""en"", ""ur"")"),"A) 2.0 - 2.25 میٹر، B) 2.25 - 2.50 میٹر، C) 2.50 - 2.75 میٹر، D) 2.75 - 3.00 میٹر")</f>
        <v>A) 2.0 - 2.25 میٹر، B) 2.25 - 2.50 میٹر، C) 2.50 - 2.75 میٹر، D) 2.75 - 3.00 میٹر</v>
      </c>
      <c r="L12" s="6" t="str">
        <f>IFERROR(__xludf.DUMMYFUNCTION("GOOGLETRANSLATE(D12, ""en"", ""ur"")"),"C) 2.50 - 2.75 میٹر")</f>
        <v>C) 2.50 - 2.75 میٹر</v>
      </c>
      <c r="M12" s="6" t="str">
        <f>IFERROR(__xludf.DUMMYFUNCTION("GOOGLETRANSLATE(E12, ""en"", ""ur"")"),"یہ لمبائی گھوڑے کی پیٹھ پر سوار کے لیے زمینی ہدف کو درست طریقے سے نشانہ بنانے کے لیے ضروری رسائی اور توازن فراہم کرتی ہے۔")</f>
        <v>یہ لمبائی گھوڑے کی پیٹھ پر سوار کے لیے زمینی ہدف کو درست طریقے سے نشانہ بنانے کے لیے ضروری رسائی اور توازن فراہم کرتی ہے۔</v>
      </c>
    </row>
    <row r="13">
      <c r="A13" s="4">
        <v>12.0</v>
      </c>
      <c r="B13" s="5" t="s">
        <v>2403</v>
      </c>
      <c r="C13" s="5" t="s">
        <v>2404</v>
      </c>
      <c r="D13" s="5" t="s">
        <v>2405</v>
      </c>
      <c r="E13" s="5" t="s">
        <v>2406</v>
      </c>
      <c r="I13" s="6" t="str">
        <f>IFERROR(__xludf.DUMMYFUNCTION("GOOGLETRANSLATE(A13, ""en"", ""ur"")"),"12")</f>
        <v>12</v>
      </c>
      <c r="J13" s="6" t="str">
        <f>IFERROR(__xludf.DUMMYFUNCTION("GOOGLETRANSLATE(B13, ""en"", ""ur"")"),"ایک ""جوڑے"" ایونٹ میں جہاں دو سوار ایک ساتھ چارج کرتے ہیں، ان کی کارکردگی کا اہم عنصر کیا ہے؟")</f>
        <v>ایک "جوڑے" ایونٹ میں جہاں دو سوار ایک ساتھ چارج کرتے ہیں، ان کی کارکردگی کا اہم عنصر کیا ہے؟</v>
      </c>
      <c r="K13" s="6" t="str">
        <f>IFERROR(__xludf.DUMMYFUNCTION("GOOGLETRANSLATE(C13, ""en"", ""ur"")"),"A) تیز گھوڑے کی رفتار، B) سواروں کے درمیان فاصلہ، C) ان کی ہم آہنگی اور یکساں حرکت، D) ان کے گھوڑوں کا رنگ")</f>
        <v>A) تیز گھوڑے کی رفتار، B) سواروں کے درمیان فاصلہ، C) ان کی ہم آہنگی اور یکساں حرکت، D) ان کے گھوڑوں کا رنگ</v>
      </c>
      <c r="L13" s="6" t="str">
        <f>IFERROR(__xludf.DUMMYFUNCTION("GOOGLETRANSLATE(D13, ""en"", ""ur"")"),"ج) ان کی ہم آہنگی اور یکساں حرکت")</f>
        <v>ج) ان کی ہم آہنگی اور یکساں حرکت</v>
      </c>
      <c r="M13" s="6" t="str">
        <f>IFERROR(__xludf.DUMMYFUNCTION("GOOGLETRANSLATE(E13, ""en"", ""ur"")"),"جوڑوں اور ٹیم ایونٹس میں، ججز نہ صرف پیگنگ کے لیے بلکہ سواروں کی پرفیکٹ فارمیشن میں سواری کرنے کی صلاحیت کے لیے پوائنٹس دیتے ہیں۔")</f>
        <v>جوڑوں اور ٹیم ایونٹس میں، ججز نہ صرف پیگنگ کے لیے بلکہ سواروں کی پرفیکٹ فارمیشن میں سواری کرنے کی صلاحیت کے لیے پوائنٹس دیتے ہیں۔</v>
      </c>
    </row>
    <row r="14">
      <c r="A14" s="4">
        <v>13.0</v>
      </c>
      <c r="B14" s="5" t="s">
        <v>2407</v>
      </c>
      <c r="C14" s="5" t="s">
        <v>2408</v>
      </c>
      <c r="D14" s="5" t="s">
        <v>2409</v>
      </c>
      <c r="E14" s="5" t="s">
        <v>2410</v>
      </c>
      <c r="I14" s="6" t="str">
        <f>IFERROR(__xludf.DUMMYFUNCTION("GOOGLETRANSLATE(A14, ""en"", ""ur"")"),"13")</f>
        <v>13</v>
      </c>
      <c r="J14" s="6" t="str">
        <f>IFERROR(__xludf.DUMMYFUNCTION("GOOGLETRANSLATE(B14, ""en"", ""ur"")"),"کون سا بین الاقوامی ادارہ دنیا بھر میں ٹینٹ پیگنگ کے قوانین کو کنٹرول اور معیاری بناتا ہے؟")</f>
        <v>کون سا بین الاقوامی ادارہ دنیا بھر میں ٹینٹ پیگنگ کے قوانین کو کنٹرول اور معیاری بناتا ہے؟</v>
      </c>
      <c r="K14" s="6" t="str">
        <f>IFERROR(__xludf.DUMMYFUNCTION("GOOGLETRANSLATE(C14, ""en"", ""ur"")"),"A) انٹرنیشنل ایکوسٹرین فیڈریشن (FEI)، B) انٹرنیشنل ٹینٹ پیگنگ فیڈریشن (ITPF) C) گلوبل پیگنگ الائنس، D) ورلڈ کیولری ایسوسی ایشن")</f>
        <v>A) انٹرنیشنل ایکوسٹرین فیڈریشن (FEI)، B) انٹرنیشنل ٹینٹ پیگنگ فیڈریشن (ITPF) C) گلوبل پیگنگ الائنس، D) ورلڈ کیولری ایسوسی ایشن</v>
      </c>
      <c r="L14" s="6" t="str">
        <f>IFERROR(__xludf.DUMMYFUNCTION("GOOGLETRANSLATE(D14, ""en"", ""ur"")"),"ب) انٹرنیشنل ٹینٹ پیگنگ فیڈریشن (ITPF)")</f>
        <v>ب) انٹرنیشنل ٹینٹ پیگنگ فیڈریشن (ITPF)</v>
      </c>
      <c r="M14" s="6" t="str">
        <f>IFERROR(__xludf.DUMMYFUNCTION("GOOGLETRANSLATE(E14, ""en"", ""ur"")"),"آئی ٹی پی ایف ایک عالمی گورننگ اتھارٹی ہے جو ورلڈ کپ کا انعقاد کرتی ہے اور کھیل کے قوانین کو معیاری بنانے کے لیے کام کرتی ہے۔")</f>
        <v>آئی ٹی پی ایف ایک عالمی گورننگ اتھارٹی ہے جو ورلڈ کپ کا انعقاد کرتی ہے اور کھیل کے قوانین کو معیاری بنانے کے لیے کام کرتی ہے۔</v>
      </c>
    </row>
    <row r="15">
      <c r="A15" s="4">
        <v>14.0</v>
      </c>
      <c r="B15" s="5" t="s">
        <v>2411</v>
      </c>
      <c r="C15" s="5" t="s">
        <v>2412</v>
      </c>
      <c r="D15" s="5" t="s">
        <v>2413</v>
      </c>
      <c r="E15" s="5" t="s">
        <v>2414</v>
      </c>
      <c r="I15" s="6" t="str">
        <f>IFERROR(__xludf.DUMMYFUNCTION("GOOGLETRANSLATE(A15, ""en"", ""ur"")"),"14")</f>
        <v>14</v>
      </c>
      <c r="J15" s="6" t="str">
        <f>IFERROR(__xludf.DUMMYFUNCTION("GOOGLETRANSLATE(B15, ""en"", ""ur"")"),"کس ٹینٹ پیگنگ ڈسپلن میں سوار کو ہدف کاٹنے کے لیے تلوار استعمال کرنے کی ضرورت ہے؟")</f>
        <v>کس ٹینٹ پیگنگ ڈسپلن میں سوار کو ہدف کاٹنے کے لیے تلوار استعمال کرنے کی ضرورت ہے؟</v>
      </c>
      <c r="K15" s="6" t="str">
        <f>IFERROR(__xludf.DUMMYFUNCTION("GOOGLETRANSLATE(C15, ""en"", ""ur"")"),"A) سنگل پیگنگ، B) رنگ پیگنگ، C) لیموں کی کٹنگ، D) ڈبل پیگنگ")</f>
        <v>A) سنگل پیگنگ، B) رنگ پیگنگ، C) لیموں کی کٹنگ، D) ڈبل پیگنگ</v>
      </c>
      <c r="L15" s="6" t="str">
        <f>IFERROR(__xludf.DUMMYFUNCTION("GOOGLETRANSLATE(D15, ""en"", ""ur"")"),"ج) لیموں کاٹنا")</f>
        <v>ج) لیموں کاٹنا</v>
      </c>
      <c r="M15" s="6" t="str">
        <f>IFERROR(__xludf.DUMMYFUNCTION("GOOGLETRANSLATE(E15, ""en"", ""ur"")"),"لیموں کی کٹنگ ایک ایسا نظم ہے جو سوار کی تلوار کی مہارت کو جانچتا ہے، جس کے لیے انہیں معلق لیموں یا دوسرے ہدف کو صاف طور پر کاٹنا پڑتا ہے۔")</f>
        <v>لیموں کی کٹنگ ایک ایسا نظم ہے جو سوار کی تلوار کی مہارت کو جانچتا ہے، جس کے لیے انہیں معلق لیموں یا دوسرے ہدف کو صاف طور پر کاٹنا پڑتا ہے۔</v>
      </c>
    </row>
    <row r="16">
      <c r="A16" s="4">
        <v>15.0</v>
      </c>
      <c r="B16" s="5" t="s">
        <v>2415</v>
      </c>
      <c r="C16" s="5" t="s">
        <v>2416</v>
      </c>
      <c r="D16" s="5" t="s">
        <v>2417</v>
      </c>
      <c r="E16" s="5" t="s">
        <v>2418</v>
      </c>
      <c r="I16" s="6" t="str">
        <f>IFERROR(__xludf.DUMMYFUNCTION("GOOGLETRANSLATE(A16, ""en"", ""ur"")"),"15")</f>
        <v>15</v>
      </c>
      <c r="J16" s="6" t="str">
        <f>IFERROR(__xludf.DUMMYFUNCTION("GOOGLETRANSLATE(B16, ""en"", ""ur"")"),"اس سوار کے لیے کیا جرمانہ ہے جس کا گھوڑا سرکاری اشارے سے پہلے ابتدائی لائن عبور کرتا ہے؟")</f>
        <v>اس سوار کے لیے کیا جرمانہ ہے جس کا گھوڑا سرکاری اشارے سے پہلے ابتدائی لائن عبور کرتا ہے؟</v>
      </c>
      <c r="K16" s="6" t="str">
        <f>IFERROR(__xludf.DUMMYFUNCTION("GOOGLETRANSLATE(C16, ""en"", ""ur"")"),"A) 2 نکاتی کٹوتی، B) اس رن سے نااہلی، C) ایک زبانی وارننگ جاری کی جاتی ہے، D) کوئی جرمانہ نہیں ہے")</f>
        <v>A) 2 نکاتی کٹوتی، B) اس رن سے نااہلی، C) ایک زبانی وارننگ جاری کی جاتی ہے، D) کوئی جرمانہ نہیں ہے</v>
      </c>
      <c r="L16" s="6" t="str">
        <f>IFERROR(__xludf.DUMMYFUNCTION("GOOGLETRANSLATE(D16, ""en"", ""ur"")"),"ب) اس رن سے نااہلی")</f>
        <v>ب) اس رن سے نااہلی</v>
      </c>
      <c r="M16" s="6" t="str">
        <f>IFERROR(__xludf.DUMMYFUNCTION("GOOGLETRANSLATE(E16, ""en"", ""ur"")"),"غلط آغاز ایک سنگین خلاف ورزی ہے، اور اس مخصوص رن کے لیے سوار کی کوشش کو باطل کر دیا جاتا ہے، جس کے نتیجے میں اسکور صفر ہوتا ہے۔")</f>
        <v>غلط آغاز ایک سنگین خلاف ورزی ہے، اور اس مخصوص رن کے لیے سوار کی کوشش کو باطل کر دیا جاتا ہے، جس کے نتیجے میں اسکور صفر ہوتا ہے۔</v>
      </c>
    </row>
    <row r="17">
      <c r="A17" s="4">
        <v>16.0</v>
      </c>
      <c r="B17" s="5" t="s">
        <v>2419</v>
      </c>
      <c r="C17" s="5" t="s">
        <v>2420</v>
      </c>
      <c r="D17" s="5" t="s">
        <v>2421</v>
      </c>
      <c r="E17" s="5" t="s">
        <v>2422</v>
      </c>
      <c r="I17" s="6" t="str">
        <f>IFERROR(__xludf.DUMMYFUNCTION("GOOGLETRANSLATE(A17, ""en"", ""ur"")"),"16")</f>
        <v>16</v>
      </c>
      <c r="J17" s="6" t="str">
        <f>IFERROR(__xludf.DUMMYFUNCTION("GOOGLETRANSLATE(B17, ""en"", ""ur"")"),"کھونٹی کو ""ڈرائینگ"" کرنے کے لیے کتنے پوائنٹس دیئے جاتے ہیں (اسے زمین سے اٹھانا لیکن ختم لائن سے پہلے گرانا)؟")</f>
        <v>کھونٹی کو "ڈرائینگ" کرنے کے لیے کتنے پوائنٹس دیئے جاتے ہیں (اسے زمین سے اٹھانا لیکن ختم لائن سے پہلے گرانا)؟</v>
      </c>
      <c r="K17" s="6" t="str">
        <f>IFERROR(__xludf.DUMMYFUNCTION("GOOGLETRANSLATE(C17, ""en"", ""ur"")"),"A) 6 پوائنٹس، B) 4 پوائنٹس، C) 2 پوائنٹس، D) 0 پوائنٹس")</f>
        <v>A) 6 پوائنٹس، B) 4 پوائنٹس، C) 2 پوائنٹس، D) 0 پوائنٹس</v>
      </c>
      <c r="L17" s="6" t="str">
        <f>IFERROR(__xludf.DUMMYFUNCTION("GOOGLETRANSLATE(D17, ""en"", ""ur"")"),"C) 2 پوائنٹس")</f>
        <v>C) 2 پوائنٹس</v>
      </c>
      <c r="M17" s="6" t="str">
        <f>IFERROR(__xludf.DUMMYFUNCTION("GOOGLETRANSLATE(E17, ""en"", ""ur"")"),"ایک ""ڈرا ہوا"" پیگ، جہاں سوار کامیابی سے ہدف کو ہٹاتا ہے لیکن اسے لے جانے میں ناکام رہتا ہے، اسے 2 پوائنٹس کا کم اسکور دیا جاتا ہے۔")</f>
        <v>ایک "ڈرا ہوا" پیگ، جہاں سوار کامیابی سے ہدف کو ہٹاتا ہے لیکن اسے لے جانے میں ناکام رہتا ہے، اسے 2 پوائنٹس کا کم اسکور دیا جاتا ہے۔</v>
      </c>
    </row>
    <row r="18">
      <c r="A18" s="4">
        <v>17.0</v>
      </c>
      <c r="B18" s="5" t="s">
        <v>2423</v>
      </c>
      <c r="C18" s="5" t="s">
        <v>2424</v>
      </c>
      <c r="D18" s="5" t="s">
        <v>2425</v>
      </c>
      <c r="E18" s="5" t="s">
        <v>2426</v>
      </c>
      <c r="I18" s="6" t="str">
        <f>IFERROR(__xludf.DUMMYFUNCTION("GOOGLETRANSLATE(A18, ""en"", ""ur"")"),"17")</f>
        <v>17</v>
      </c>
      <c r="J18" s="6" t="str">
        <f>IFERROR(__xludf.DUMMYFUNCTION("GOOGLETRANSLATE(B18, ""en"", ""ur"")"),"ایک بڑے ٹیم ایونٹ میں مکمل ٹیم روسٹر پر سواروں کی زیادہ سے زیادہ کتنی تعداد کی اجازت ہے؟")</f>
        <v>ایک بڑے ٹیم ایونٹ میں مکمل ٹیم روسٹر پر سواروں کی زیادہ سے زیادہ کتنی تعداد کی اجازت ہے؟</v>
      </c>
      <c r="K18" s="6" t="str">
        <f>IFERROR(__xludf.DUMMYFUNCTION("GOOGLETRANSLATE(C18, ""en"", ""ur"")"),"A) 4، B) 5، C) 6، D) 8")</f>
        <v>A) 4، B) 5، C) 6، D) 8</v>
      </c>
      <c r="L18" s="6" t="str">
        <f>IFERROR(__xludf.DUMMYFUNCTION("GOOGLETRANSLATE(D18, ""en"", ""ur"")"),"ب) 5")</f>
        <v>ب) 5</v>
      </c>
      <c r="M18" s="6" t="str">
        <f>IFERROR(__xludf.DUMMYFUNCTION("GOOGLETRANSLATE(E18, ""en"", ""ur"")"),"ایک مکمل ٹیم عام طور پر پانچ سواروں پر مشتمل ہوتی ہے، جس میں کسی بھی دوڑ میں چار سوار ہوتے ہیں اور ایک ریزرو کے طور پر کام کرتا ہے۔")</f>
        <v>ایک مکمل ٹیم عام طور پر پانچ سواروں پر مشتمل ہوتی ہے، جس میں کسی بھی دوڑ میں چار سوار ہوتے ہیں اور ایک ریزرو کے طور پر کام کرتا ہے۔</v>
      </c>
    </row>
    <row r="19">
      <c r="A19" s="4">
        <v>18.0</v>
      </c>
      <c r="B19" s="5" t="s">
        <v>2427</v>
      </c>
      <c r="C19" s="5" t="s">
        <v>2428</v>
      </c>
      <c r="D19" s="5" t="s">
        <v>2429</v>
      </c>
      <c r="E19" s="5" t="s">
        <v>2430</v>
      </c>
      <c r="I19" s="6" t="str">
        <f>IFERROR(__xludf.DUMMYFUNCTION("GOOGLETRANSLATE(A19, ""en"", ""ur"")"),"18")</f>
        <v>18</v>
      </c>
      <c r="J19" s="6" t="str">
        <f>IFERROR(__xludf.DUMMYFUNCTION("GOOGLETRANSLATE(B19, ""en"", ""ur"")"),"اگر کوئی سوار دوڑتے وقت کھونٹی پوری طرح سے چھوٹ جائے تو اس کا سرکاری حکم کیا ہے؟")</f>
        <v>اگر کوئی سوار دوڑتے وقت کھونٹی پوری طرح سے چھوٹ جائے تو اس کا سرکاری حکم کیا ہے؟</v>
      </c>
      <c r="K19" s="6" t="str">
        <f>IFERROR(__xludf.DUMMYFUNCTION("GOOGLETRANSLATE(C19, ""en"", ""ur"")"),"A) 0 کا سکور دیا جاتا ہے، B) ان کے کل سے 2 پوائنٹس کاٹے جاتے ہیں، C) سوار کو نااہل قرار دیا جاتا ہے، D) سوار کو وارننگ ملتی ہے")</f>
        <v>A) 0 کا سکور دیا جاتا ہے، B) ان کے کل سے 2 پوائنٹس کاٹے جاتے ہیں، C) سوار کو نااہل قرار دیا جاتا ہے، D) سوار کو وارننگ ملتی ہے</v>
      </c>
      <c r="L19" s="6" t="str">
        <f>IFERROR(__xludf.DUMMYFUNCTION("GOOGLETRANSLATE(D19, ""en"", ""ur"")"),"A) 0 کا سکور دیا جاتا ہے۔")</f>
        <v>A) 0 کا سکور دیا جاتا ہے۔</v>
      </c>
      <c r="M19" s="6" t="str">
        <f>IFERROR(__xludf.DUMMYFUNCTION("GOOGLETRANSLATE(E19, ""en"", ""ur"")"),"ہدف کی کمی کے نتیجے میں اس رن کے صفر پوائنٹس ہوتے ہیں، لیکن مزید کوئی جرمانہ یا کٹوتی نہیں ہے۔")</f>
        <v>ہدف کی کمی کے نتیجے میں اس رن کے صفر پوائنٹس ہوتے ہیں، لیکن مزید کوئی جرمانہ یا کٹوتی نہیں ہے۔</v>
      </c>
    </row>
    <row r="20">
      <c r="A20" s="4">
        <v>19.0</v>
      </c>
      <c r="B20" s="5" t="s">
        <v>2431</v>
      </c>
      <c r="C20" s="5" t="s">
        <v>2432</v>
      </c>
      <c r="D20" s="5" t="s">
        <v>2433</v>
      </c>
      <c r="E20" s="5" t="s">
        <v>2434</v>
      </c>
      <c r="I20" s="6" t="str">
        <f>IFERROR(__xludf.DUMMYFUNCTION("GOOGLETRANSLATE(A20, ""en"", ""ur"")"),"19")</f>
        <v>19</v>
      </c>
      <c r="J20" s="6" t="str">
        <f>IFERROR(__xludf.DUMMYFUNCTION("GOOGLETRANSLATE(B20, ""en"", ""ur"")"),"کھونٹی مارنے کے بعد اسے کامیابی سے لے جانے کی اصطلاح کیا ہے؟")</f>
        <v>کھونٹی مارنے کے بعد اسے کامیابی سے لے جانے کی اصطلاح کیا ہے؟</v>
      </c>
      <c r="K20" s="6" t="str">
        <f>IFERROR(__xludf.DUMMYFUNCTION("GOOGLETRANSLATE(C20, ""en"", ""ur"")"),"A) ایک مکمل پیگ، B) ایک پرفیکٹ اسٹرائیک، C) ایک کیچ پیگ، D) ایک پیگ کیری")</f>
        <v>A) ایک مکمل پیگ، B) ایک پرفیکٹ اسٹرائیک، C) ایک کیچ پیگ، D) ایک پیگ کیری</v>
      </c>
      <c r="L20" s="6" t="str">
        <f>IFERROR(__xludf.DUMMYFUNCTION("GOOGLETRANSLATE(D20, ""en"", ""ur"")"),"A) ایک مکمل پیگ")</f>
        <v>A) ایک مکمل پیگ</v>
      </c>
      <c r="M20" s="6" t="str">
        <f>IFERROR(__xludf.DUMMYFUNCTION("GOOGLETRANSLATE(E20, ""en"", ""ur"")"),"کامیابی کے ساتھ مارا اور لے جانے والے پیگ کو باضابطہ طور پر ""فل پیگ"" کہا جاتا ہے اور یہ کسی ایک ہدف کے لیے سب سے زیادہ سکور ہے۔")</f>
        <v>کامیابی کے ساتھ مارا اور لے جانے والے پیگ کو باضابطہ طور پر "فل پیگ" کہا جاتا ہے اور یہ کسی ایک ہدف کے لیے سب سے زیادہ سکور ہے۔</v>
      </c>
    </row>
    <row r="21">
      <c r="A21" s="4">
        <v>20.0</v>
      </c>
      <c r="B21" s="5" t="s">
        <v>2435</v>
      </c>
      <c r="C21" s="5" t="s">
        <v>2436</v>
      </c>
      <c r="D21" s="5" t="s">
        <v>2437</v>
      </c>
      <c r="E21" s="5" t="s">
        <v>2438</v>
      </c>
      <c r="I21" s="6" t="str">
        <f>IFERROR(__xludf.DUMMYFUNCTION("GOOGLETRANSLATE(A21, ""en"", ""ur"")"),"20")</f>
        <v>20</v>
      </c>
      <c r="J21" s="6" t="str">
        <f>IFERROR(__xludf.DUMMYFUNCTION("GOOGLETRANSLATE(B21, ""en"", ""ur"")"),"ایک منصفانہ چیلنج فراہم کرنے کے لیے کھونٹی کو عام طور پر زمین میں کس زاویے پر رکھا جاتا ہے؟")</f>
        <v>ایک منصفانہ چیلنج فراہم کرنے کے لیے کھونٹی کو عام طور پر زمین میں کس زاویے پر رکھا جاتا ہے؟</v>
      </c>
      <c r="K21" s="6" t="str">
        <f>IFERROR(__xludf.DUMMYFUNCTION("GOOGLETRANSLATE(C21, ""en"", ""ur"")"),"A) 30 ڈگری، B) 45 ڈگری، C) 60 ڈگری، D) 90 ڈگری (عمودی)")</f>
        <v>A) 30 ڈگری، B) 45 ڈگری، C) 60 ڈگری، D) 90 ڈگری (عمودی)</v>
      </c>
      <c r="L21" s="6" t="str">
        <f>IFERROR(__xludf.DUMMYFUNCTION("GOOGLETRANSLATE(D21, ""en"", ""ur"")"),"C) 60 ڈگری")</f>
        <v>C) 60 ڈگری</v>
      </c>
      <c r="M21" s="6" t="str">
        <f>IFERROR(__xludf.DUMMYFUNCTION("GOOGLETRANSLATE(E21, ""en"", ""ur"")"),"پیگ کو 60 ڈگری کے زاویے پر زمین میں داخل کیا جاتا ہے، چارج کی سمت سے ہٹ کر، مشکل کی مستقل سطح کو یقینی بنانے کے لیے۔")</f>
        <v>پیگ کو 60 ڈگری کے زاویے پر زمین میں داخل کیا جاتا ہے، چارج کی سمت سے ہٹ کر، مشکل کی مستقل سطح کو یقینی بنانے کے لیے۔</v>
      </c>
    </row>
    <row r="22">
      <c r="A22" s="4">
        <v>21.0</v>
      </c>
      <c r="B22" s="5" t="s">
        <v>2439</v>
      </c>
      <c r="C22" s="5" t="s">
        <v>2440</v>
      </c>
      <c r="D22" s="5" t="s">
        <v>2441</v>
      </c>
      <c r="E22" s="5" t="s">
        <v>2442</v>
      </c>
      <c r="I22" s="6" t="str">
        <f>IFERROR(__xludf.DUMMYFUNCTION("GOOGLETRANSLATE(A22, ""en"", ""ur"")"),"21")</f>
        <v>21</v>
      </c>
      <c r="J22" s="6" t="str">
        <f>IFERROR(__xludf.DUMMYFUNCTION("GOOGLETRANSLATE(B22, ""en"", ""ur"")"),"""رنگ اینڈ پیگ"" ایونٹ میں، سوار کو کیا کرنا چاہیے؟")</f>
        <v>"رنگ اینڈ پیگ" ایونٹ میں، سوار کو کیا کرنا چاہیے؟</v>
      </c>
      <c r="K22" s="6" t="str">
        <f>IFERROR(__xludf.DUMMYFUNCTION("GOOGLETRANSLATE(C22, ""en"", ""ur"")"),"A) ایک کھونٹی کو نیزہ مارو اور پھر انگوٹھی مارو، B) ایک انگوٹھی اور پھر نیزہ مارو، C) نیزہ جو ایک کھونٹی کے اوپر رکھا گیا ہو، D) انگوٹھی یا کھونٹی کے نیزے میں سے انتخاب کریں")</f>
        <v>A) ایک کھونٹی کو نیزہ مارو اور پھر انگوٹھی مارو، B) ایک انگوٹھی اور پھر نیزہ مارو، C) نیزہ جو ایک کھونٹی کے اوپر رکھا گیا ہو، D) انگوٹھی یا کھونٹی کے نیزے میں سے انتخاب کریں</v>
      </c>
      <c r="L22" s="6" t="str">
        <f>IFERROR(__xludf.DUMMYFUNCTION("GOOGLETRANSLATE(D22, ""en"", ""ur"")"),"ب) ایک انگوٹھی اور پھر ایک کھونٹی نیزہ")</f>
        <v>ب) ایک انگوٹھی اور پھر ایک کھونٹی نیزہ</v>
      </c>
      <c r="M22" s="6" t="str">
        <f>IFERROR(__xludf.DUMMYFUNCTION("GOOGLETRANSLATE(E22, ""en"", ""ur"")"),"یہ نظم و ضبط سوار کی اپنے مقصد کو ایڈجسٹ کرنے کی صلاحیت کو جانچتا ہے، پہلے ایک معلق انگوٹھی کو جمع کرتا ہے اور پھر اسی دوڑ میں زمینی پیگ کو مارتا ہے۔")</f>
        <v>یہ نظم و ضبط سوار کی اپنے مقصد کو ایڈجسٹ کرنے کی صلاحیت کو جانچتا ہے، پہلے ایک معلق انگوٹھی کو جمع کرتا ہے اور پھر اسی دوڑ میں زمینی پیگ کو مارتا ہے۔</v>
      </c>
    </row>
    <row r="23">
      <c r="A23" s="4">
        <v>22.0</v>
      </c>
      <c r="B23" s="5" t="s">
        <v>2443</v>
      </c>
      <c r="C23" s="5" t="s">
        <v>2444</v>
      </c>
      <c r="D23" s="5" t="s">
        <v>2445</v>
      </c>
      <c r="E23" s="5" t="s">
        <v>2446</v>
      </c>
      <c r="I23" s="6" t="str">
        <f>IFERROR(__xludf.DUMMYFUNCTION("GOOGLETRANSLATE(A23, ""en"", ""ur"")"),"22")</f>
        <v>22</v>
      </c>
      <c r="J23" s="6" t="str">
        <f>IFERROR(__xludf.DUMMYFUNCTION("GOOGLETRANSLATE(B23, ""en"", ""ur"")"),"سرکاری ٹینٹ پیگنگ مقابلوں میں سواروں کے لیے لباس کا مناسب کوڈ کیا ہے؟")</f>
        <v>سرکاری ٹینٹ پیگنگ مقابلوں میں سواروں کے لیے لباس کا مناسب کوڈ کیا ہے؟</v>
      </c>
      <c r="K23" s="6" t="str">
        <f>IFERROR(__xludf.DUMMYFUNCTION("GOOGLETRANSLATE(C23, ""en"", ""ur"")"),"A) آرام دہ لباس، B) روایتی ثقافتی لباس، C) منظور شدہ سواری کا سامان بشمول بوٹ، بریچ اور ہیلمٹ، D) فوجی طرز کی وردی")</f>
        <v>A) آرام دہ لباس، B) روایتی ثقافتی لباس، C) منظور شدہ سواری کا سامان بشمول بوٹ، بریچ اور ہیلمٹ، D) فوجی طرز کی وردی</v>
      </c>
      <c r="L23" s="6" t="str">
        <f>IFERROR(__xludf.DUMMYFUNCTION("GOOGLETRANSLATE(D23, ""en"", ""ur"")"),"C) منظور شدہ سواری گیئر بشمول بوٹ، بریچز اور ہیلمٹ")</f>
        <v>C) منظور شدہ سواری گیئر بشمول بوٹ، بریچز اور ہیلمٹ</v>
      </c>
      <c r="M23" s="6" t="str">
        <f>IFERROR(__xludf.DUMMYFUNCTION("GOOGLETRANSLATE(E23, ""en"", ""ur"")"),"حفاظت اور پیشہ ورانہ مہارت کے لیے، سواروں کو معیاری گھڑ سواری کے حفاظتی پوشاک پہننے کی ضرورت ہے۔")</f>
        <v>حفاظت اور پیشہ ورانہ مہارت کے لیے، سواروں کو معیاری گھڑ سواری کے حفاظتی پوشاک پہننے کی ضرورت ہے۔</v>
      </c>
    </row>
    <row r="24">
      <c r="A24" s="4">
        <v>23.0</v>
      </c>
      <c r="B24" s="5" t="s">
        <v>2447</v>
      </c>
      <c r="C24" s="5" t="s">
        <v>2448</v>
      </c>
      <c r="D24" s="5" t="s">
        <v>2449</v>
      </c>
      <c r="E24" s="5" t="s">
        <v>2450</v>
      </c>
      <c r="I24" s="6" t="str">
        <f>IFERROR(__xludf.DUMMYFUNCTION("GOOGLETRANSLATE(A24, ""en"", ""ur"")"),"23")</f>
        <v>23</v>
      </c>
      <c r="J24" s="6" t="str">
        <f>IFERROR(__xludf.DUMMYFUNCTION("GOOGLETRANSLATE(B24, ""en"", ""ur"")"),"""لیموں کی کٹنگ"" کے نظم میں، ایک کامیاب کٹ کا فیصلہ کیسے کیا جاتا ہے؟")</f>
        <v>"لیموں کی کٹنگ" کے نظم میں، ایک کامیاب کٹ کا فیصلہ کیسے کیا جاتا ہے؟</v>
      </c>
      <c r="K24" s="6" t="str">
        <f>IFERROR(__xludf.DUMMYFUNCTION("GOOGLETRANSLATE(C24, ""en"", ""ur"")"),"A) لیموں کو دو الگ الگ حصوں میں کاٹا جانا چاہئے، B) لیموں کو اس کے موقف سے ہٹا دینا چاہئے، C) سوار کو لیموں کا ایک ٹکڑا پکڑنا چاہئے، D) تلوار کے ساتھ کوئی رابطہ پوائنٹس")</f>
        <v>A) لیموں کو دو الگ الگ حصوں میں کاٹا جانا چاہئے، B) لیموں کو اس کے موقف سے ہٹا دینا چاہئے، C) سوار کو لیموں کا ایک ٹکڑا پکڑنا چاہئے، D) تلوار کے ساتھ کوئی رابطہ پوائنٹس</v>
      </c>
      <c r="L24" s="6" t="str">
        <f>IFERROR(__xludf.DUMMYFUNCTION("GOOGLETRANSLATE(D24, ""en"", ""ur"")"),"ا) لیموں کو دو الگ الگ حصوں میں کاٹ لینا چاہیے۔")</f>
        <v>ا) لیموں کو دو الگ الگ حصوں میں کاٹ لینا چاہیے۔</v>
      </c>
      <c r="M24" s="6" t="str">
        <f>IFERROR(__xludf.DUMMYFUNCTION("GOOGLETRANSLATE(E24, ""en"", ""ur"")"),"ایک صاف ٹکڑا جو لیموں کو دو الگ الگ ٹکڑوں میں تقسیم کرتا ہے پورے اسکور کے لیے ضروری ہے۔ جزوی کٹ یا ناک آؤٹ اسکور کم یا صفر کرتا ہے۔")</f>
        <v>ایک صاف ٹکڑا جو لیموں کو دو الگ الگ ٹکڑوں میں تقسیم کرتا ہے پورے اسکور کے لیے ضروری ہے۔ جزوی کٹ یا ناک آؤٹ اسکور کم یا صفر کرتا ہے۔</v>
      </c>
    </row>
    <row r="25">
      <c r="A25" s="4">
        <v>24.0</v>
      </c>
      <c r="B25" s="5" t="s">
        <v>2451</v>
      </c>
      <c r="C25" s="5" t="s">
        <v>2452</v>
      </c>
      <c r="D25" s="5" t="s">
        <v>2453</v>
      </c>
      <c r="E25" s="5" t="s">
        <v>2454</v>
      </c>
      <c r="I25" s="6" t="str">
        <f>IFERROR(__xludf.DUMMYFUNCTION("GOOGLETRANSLATE(A25, ""en"", ""ur"")"),"24")</f>
        <v>24</v>
      </c>
      <c r="J25" s="6" t="str">
        <f>IFERROR(__xludf.DUMMYFUNCTION("GOOGLETRANSLATE(B25, ""en"", ""ur"")"),"ایک سوار کا لانس کھونٹی تک پہنچنے سے پہلے زمین کو چھوتا ہے۔ جرمانہ کیا ہے؟")</f>
        <v>ایک سوار کا لانس کھونٹی تک پہنچنے سے پہلے زمین کو چھوتا ہے۔ جرمانہ کیا ہے؟</v>
      </c>
      <c r="K25" s="6" t="str">
        <f>IFERROR(__xludf.DUMMYFUNCTION("GOOGLETRANSLATE(C25, ""en"", ""ur"")"),"A) اس رن سے نااہلی، B) 2 نکاتی کٹوتی، C) ایک زبانی وارننگ، D) کوئی جرمانہ نہیں ہے")</f>
        <v>A) اس رن سے نااہلی، B) 2 نکاتی کٹوتی، C) ایک زبانی وارننگ، D) کوئی جرمانہ نہیں ہے</v>
      </c>
      <c r="L25" s="6" t="str">
        <f>IFERROR(__xludf.DUMMYFUNCTION("GOOGLETRANSLATE(D25, ""en"", ""ur"")"),"ا) اس رن سے نااہلی")</f>
        <v>ا) اس رن سے نااہلی</v>
      </c>
      <c r="M25" s="6" t="str">
        <f>IFERROR(__xludf.DUMMYFUNCTION("GOOGLETRANSLATE(E25, ""en"", ""ur"")"),"سوار کو اپنا ہتھیار صاف رکھنا چاہیے۔ ہدف سے پہلے لانس کے ساتھ زمین کو چھونے سے اس کوشش کا اسکور صفر ہوتا ہے۔")</f>
        <v>سوار کو اپنا ہتھیار صاف رکھنا چاہیے۔ ہدف سے پہلے لانس کے ساتھ زمین کو چھونے سے اس کوشش کا اسکور صفر ہوتا ہے۔</v>
      </c>
    </row>
    <row r="26">
      <c r="A26" s="4">
        <v>25.0</v>
      </c>
      <c r="B26" s="5" t="s">
        <v>2455</v>
      </c>
      <c r="C26" s="5" t="s">
        <v>2456</v>
      </c>
      <c r="D26" s="5" t="s">
        <v>2457</v>
      </c>
      <c r="E26" s="5" t="s">
        <v>2458</v>
      </c>
      <c r="I26" s="6" t="str">
        <f>IFERROR(__xludf.DUMMYFUNCTION("GOOGLETRANSLATE(A26, ""en"", ""ur"")"),"25")</f>
        <v>25</v>
      </c>
      <c r="J26" s="6" t="str">
        <f>IFERROR(__xludf.DUMMYFUNCTION("GOOGLETRANSLATE(B26, ""en"", ""ur"")"),"دوڑ کے دوران گھوڑے سے گرنے والے سوار کے لیے کیا سزا ہے؟")</f>
        <v>دوڑ کے دوران گھوڑے سے گرنے والے سوار کے لیے کیا سزا ہے؟</v>
      </c>
      <c r="K26" s="6" t="str">
        <f>IFERROR(__xludf.DUMMYFUNCTION("GOOGLETRANSLATE(C26, ""en"", ""ur"")"),"A) وہ دوبارہ ماؤنٹ کر سکتے ہیں اور جاری رکھ سکتے ہیں، B) انہیں ایک وقت کا جرمانہ دیا جاتا ہے، C) وہ اس رن سے باہر ہو جاتے ہیں اور صفر کا سکور حاصل کرتے ہیں، D) پوری ٹیم کو نااہل قرار دیا جاتا ہے۔")</f>
        <v>A) وہ دوبارہ ماؤنٹ کر سکتے ہیں اور جاری رکھ سکتے ہیں، B) انہیں ایک وقت کا جرمانہ دیا جاتا ہے، C) وہ اس رن سے باہر ہو جاتے ہیں اور صفر کا سکور حاصل کرتے ہیں، D) پوری ٹیم کو نااہل قرار دیا جاتا ہے۔</v>
      </c>
      <c r="L26" s="6" t="str">
        <f>IFERROR(__xludf.DUMMYFUNCTION("GOOGLETRANSLATE(D26, ""en"", ""ur"")"),"C) وہ اس رن سے باہر ہو جاتے ہیں اور صفر کا سکور حاصل کرتے ہیں۔")</f>
        <v>C) وہ اس رن سے باہر ہو جاتے ہیں اور صفر کا سکور حاصل کرتے ہیں۔</v>
      </c>
      <c r="M26" s="6" t="str">
        <f>IFERROR(__xludf.DUMMYFUNCTION("GOOGLETRANSLATE(E26, ""en"", ""ur"")"),"گھوڑے سے گرنے کا نتیجہ حفاظتی وجوہات کی بناء پر اس مخصوص دوڑ سے فوری طور پر ختم ہو جاتا ہے۔")</f>
        <v>گھوڑے سے گرنے کا نتیجہ حفاظتی وجوہات کی بناء پر اس مخصوص دوڑ سے فوری طور پر ختم ہو جاتا ہے۔</v>
      </c>
    </row>
    <row r="27">
      <c r="A27" s="4">
        <v>26.0</v>
      </c>
      <c r="B27" s="5" t="s">
        <v>2459</v>
      </c>
      <c r="C27" s="5" t="s">
        <v>2460</v>
      </c>
      <c r="D27" s="5" t="s">
        <v>2461</v>
      </c>
      <c r="E27" s="5" t="s">
        <v>2462</v>
      </c>
      <c r="I27" s="6" t="str">
        <f>IFERROR(__xludf.DUMMYFUNCTION("GOOGLETRANSLATE(A27, ""en"", ""ur"")"),"26")</f>
        <v>26</v>
      </c>
      <c r="J27" s="6" t="str">
        <f>IFERROR(__xludf.DUMMYFUNCTION("GOOGLETRANSLATE(B27, ""en"", ""ur"")"),"پاکستان کا کون سا روایتی خطہ تاریخی طور پر ٹینٹ پیگنگ سے جڑا ہوا ہے؟")</f>
        <v>پاکستان کا کون سا روایتی خطہ تاریخی طور پر ٹینٹ پیگنگ سے جڑا ہوا ہے؟</v>
      </c>
      <c r="K27" s="6" t="str">
        <f>IFERROR(__xludf.DUMMYFUNCTION("GOOGLETRANSLATE(C27, ""en"", ""ur"")"),"A) سندھ، B) بلوچستان، C) پنجاب، D) گلگت بلتستان")</f>
        <v>A) سندھ، B) بلوچستان، C) پنجاب، D) گلگت بلتستان</v>
      </c>
      <c r="L27" s="6" t="str">
        <f>IFERROR(__xludf.DUMMYFUNCTION("GOOGLETRANSLATE(D27, ""en"", ""ur"")"),"ج) پنجاب")</f>
        <v>ج) پنجاب</v>
      </c>
      <c r="M27" s="6" t="str">
        <f>IFERROR(__xludf.DUMMYFUNCTION("GOOGLETRANSLATE(E27, ""en"", ""ur"")"),"پنجاب کے میدانی علاقوں میں گھڑ سواروں کی ایک طویل اور گہری روایت ہے، جو اسے پاکستان میں ٹینٹ پیگنگ کا مرکز بناتی ہے۔")</f>
        <v>پنجاب کے میدانی علاقوں میں گھڑ سواروں کی ایک طویل اور گہری روایت ہے، جو اسے پاکستان میں ٹینٹ پیگنگ کا مرکز بناتی ہے۔</v>
      </c>
    </row>
    <row r="28">
      <c r="A28" s="4">
        <v>27.0</v>
      </c>
      <c r="B28" s="5" t="s">
        <v>2463</v>
      </c>
      <c r="C28" s="5" t="s">
        <v>2464</v>
      </c>
      <c r="D28" s="5" t="s">
        <v>2465</v>
      </c>
      <c r="E28" s="5" t="s">
        <v>2466</v>
      </c>
      <c r="I28" s="6" t="str">
        <f>IFERROR(__xludf.DUMMYFUNCTION("GOOGLETRANSLATE(A28, ""en"", ""ur"")"),"27")</f>
        <v>27</v>
      </c>
      <c r="J28" s="6" t="str">
        <f>IFERROR(__xludf.DUMMYFUNCTION("GOOGLETRANSLATE(B28, ""en"", ""ur"")"),"اگر کوئی سوار کامیابی کے ساتھ ختم لائن پر لے جانے کے بعد ہی کھونٹی گرا دے تو اس کا کیا حکم ہے؟")</f>
        <v>اگر کوئی سوار کامیابی کے ساتھ ختم لائن پر لے جانے کے بعد ہی کھونٹی گرا دے تو اس کا کیا حکم ہے؟</v>
      </c>
      <c r="K28" s="6" t="str">
        <f>IFERROR(__xludf.DUMMYFUNCTION("GOOGLETRANSLATE(C28, ""en"", ""ur"")"),"A) سکور منسوخ کر دیا جاتا ہے، B) سوار کو 2 پوائنٹ کا جرمانہ ملتا ہے، C) رن کو ""فل پیگ"" کے طور پر اسکور کیا جاتا ہے، D) رن کو ""ڈرا ہوا پیگ"" کے طور پر اسکور کیا جاتا ہے۔")</f>
        <v>A) سکور منسوخ کر دیا جاتا ہے، B) سوار کو 2 پوائنٹ کا جرمانہ ملتا ہے، C) رن کو "فل پیگ" کے طور پر اسکور کیا جاتا ہے، D) رن کو "ڈرا ہوا پیگ" کے طور پر اسکور کیا جاتا ہے۔</v>
      </c>
      <c r="L28" s="6" t="str">
        <f>IFERROR(__xludf.DUMMYFUNCTION("GOOGLETRANSLATE(D28, ""en"", ""ur"")"),"C) رن کو ""فل پیگ"" کے طور پر بنایا جاتا ہے۔")</f>
        <v>C) رن کو "فل پیگ" کے طور پر بنایا جاتا ہے۔</v>
      </c>
      <c r="M28" s="6" t="str">
        <f>IFERROR(__xludf.DUMMYFUNCTION("GOOGLETRANSLATE(E28, ""en"", ""ur"")"),"کھونٹی کو ختم لائن کے پار لے جانا ضروری ہے۔ ایک بار لائن کراس کرنے کے بعد، سکور درست ہے، اور اسے بعد میں چھوڑنے سے پوائنٹس باطل نہیں ہوتے۔")</f>
        <v>کھونٹی کو ختم لائن کے پار لے جانا ضروری ہے۔ ایک بار لائن کراس کرنے کے بعد، سکور درست ہے، اور اسے بعد میں چھوڑنے سے پوائنٹس باطل نہیں ہوتے۔</v>
      </c>
    </row>
    <row r="29">
      <c r="A29" s="4">
        <v>28.0</v>
      </c>
      <c r="B29" s="5" t="s">
        <v>2467</v>
      </c>
      <c r="C29" s="5" t="s">
        <v>2468</v>
      </c>
      <c r="D29" s="5" t="s">
        <v>2469</v>
      </c>
      <c r="E29" s="5" t="s">
        <v>2470</v>
      </c>
      <c r="I29" s="6" t="str">
        <f>IFERROR(__xludf.DUMMYFUNCTION("GOOGLETRANSLATE(A29, ""en"", ""ur"")"),"28")</f>
        <v>28</v>
      </c>
      <c r="J29" s="6" t="str">
        <f>IFERROR(__xludf.DUMMYFUNCTION("GOOGLETRANSLATE(B29, ""en"", ""ur"")"),"ایک جدید، مسابقتی گریڈ لانس کا عام مواد کیا ہے؟")</f>
        <v>ایک جدید، مسابقتی گریڈ لانس کا عام مواد کیا ہے؟</v>
      </c>
      <c r="K29" s="6" t="str">
        <f>IFERROR(__xludf.DUMMYFUNCTION("GOOGLETRANSLATE(C29, ""en"", ""ur"")"),"A) ٹھوس لکڑی، B) ایلومینیم، C) فائبر گلاس یا بانس، D) سٹیل")</f>
        <v>A) ٹھوس لکڑی، B) ایلومینیم، C) فائبر گلاس یا بانس، D) سٹیل</v>
      </c>
      <c r="L29" s="6" t="str">
        <f>IFERROR(__xludf.DUMMYFUNCTION("GOOGLETRANSLATE(D29, ""en"", ""ur"")"),"ج) فائبر گلاس یا بانس")</f>
        <v>ج) فائبر گلاس یا بانس</v>
      </c>
      <c r="M29" s="6" t="str">
        <f>IFERROR(__xludf.DUMMYFUNCTION("GOOGLETRANSLATE(E29, ""en"", ""ur"")"),"طاقت، لچک اور ہلکے وزن کا امتزاج فراہم کرنے کے لیے جدید لینس اکثر فائبر گلاس یا اعلیٰ معیار کے بانس سے بنے ہوتے ہیں۔")</f>
        <v>طاقت، لچک اور ہلکے وزن کا امتزاج فراہم کرنے کے لیے جدید لینس اکثر فائبر گلاس یا اعلیٰ معیار کے بانس سے بنے ہوتے ہیں۔</v>
      </c>
    </row>
    <row r="30">
      <c r="A30" s="4">
        <v>29.0</v>
      </c>
      <c r="B30" s="5" t="s">
        <v>2471</v>
      </c>
      <c r="C30" s="5" t="s">
        <v>2472</v>
      </c>
      <c r="D30" s="5" t="s">
        <v>2473</v>
      </c>
      <c r="E30" s="5" t="s">
        <v>2474</v>
      </c>
      <c r="I30" s="6" t="str">
        <f>IFERROR(__xludf.DUMMYFUNCTION("GOOGLETRANSLATE(A30, ""en"", ""ur"")"),"29")</f>
        <v>29</v>
      </c>
      <c r="J30" s="6" t="str">
        <f>IFERROR(__xludf.DUMMYFUNCTION("GOOGLETRANSLATE(B30, ""en"", ""ur"")"),"کون سی تاریخی فوجی روایت ٹینٹ پیگنگ کی براہ راست اصل ہے؟")</f>
        <v>کون سی تاریخی فوجی روایت ٹینٹ پیگنگ کی براہ راست اصل ہے؟</v>
      </c>
      <c r="K30" s="6" t="str">
        <f>IFERROR(__xludf.DUMMYFUNCTION("GOOGLETRANSLATE(C30, ""en"", ""ur"")"),"A) رومن انفنٹری کی مشقیں، B) قدیم یونانی اولمپک گیمز، C) صبح کے وقت دشمن کے کیمپوں پر چھاپہ مارنے کے لیے کیولری کی حکمت عملی، D) نیول بورڈنگ پارٹیاں")</f>
        <v>A) رومن انفنٹری کی مشقیں، B) قدیم یونانی اولمپک گیمز، C) صبح کے وقت دشمن کے کیمپوں پر چھاپہ مارنے کے لیے کیولری کی حکمت عملی، D) نیول بورڈنگ پارٹیاں</v>
      </c>
      <c r="L30" s="6" t="str">
        <f>IFERROR(__xludf.DUMMYFUNCTION("GOOGLETRANSLATE(D30, ""en"", ""ur"")"),"ج) صبح کے وقت دشمن کے کیمپوں پر چھاپہ مارنے کے لیے کیولری کی حکمت عملی")</f>
        <v>ج) صبح کے وقت دشمن کے کیمپوں پر چھاپہ مارنے کے لیے کیولری کی حکمت عملی</v>
      </c>
      <c r="M30" s="6" t="str">
        <f>IFERROR(__xludf.DUMMYFUNCTION("GOOGLETRANSLATE(E30, ""en"", ""ur"")"),"یہ کھیل ایک فوجی مشق سے تیار ہوا جہاں گھڑ سوار صبح کے وقت دشمن کے کیمپوں میں سرپٹ دوڑتے، اپنے نیزوں سے خیمے کے کھونٹے کھینچ کر سوئے ہوئے فوجیوں پر خیموں کو گرا دیتے۔")</f>
        <v>یہ کھیل ایک فوجی مشق سے تیار ہوا جہاں گھڑ سوار صبح کے وقت دشمن کے کیمپوں میں سرپٹ دوڑتے، اپنے نیزوں سے خیمے کے کھونٹے کھینچ کر سوئے ہوئے فوجیوں پر خیموں کو گرا دیتے۔</v>
      </c>
    </row>
    <row r="31">
      <c r="A31" s="4">
        <v>30.0</v>
      </c>
      <c r="B31" s="5" t="s">
        <v>2475</v>
      </c>
      <c r="C31" s="5" t="s">
        <v>2476</v>
      </c>
      <c r="D31" s="5" t="s">
        <v>2477</v>
      </c>
      <c r="E31" s="5" t="s">
        <v>2478</v>
      </c>
      <c r="I31" s="6" t="str">
        <f>IFERROR(__xludf.DUMMYFUNCTION("GOOGLETRANSLATE(A31, ""en"", ""ur"")"),"30")</f>
        <v>30</v>
      </c>
      <c r="J31" s="6" t="str">
        <f>IFERROR(__xludf.DUMMYFUNCTION("GOOGLETRANSLATE(B31, ""en"", ""ur"")"),"ایک سوار کا گھوڑا سرپٹ بھاگنے سے انکار کرتا ہے اور دھیمی رفتار سے دوڑ مکمل کرتا ہے۔ ممکنہ نتیجہ کیا ہے؟")</f>
        <v>ایک سوار کا گھوڑا سرپٹ بھاگنے سے انکار کرتا ہے اور دھیمی رفتار سے دوڑ مکمل کرتا ہے۔ ممکنہ نتیجہ کیا ہے؟</v>
      </c>
      <c r="K31" s="6" t="str">
        <f>IFERROR(__xludf.DUMMYFUNCTION("GOOGLETRANSLATE(C31, ""en"", ""ur"")"),"A) سوار کو نااہل قرار دیا جاتا ہے، B) سوار کو پوائنٹس دیے جائیں گے اگر وہ کھونٹی مارتا ہے، C) وقت کی حد سے تجاوز کرنے پر سوار صفر اسکور کرے گا، D) سوار کو دوبارہ رن دیا جاتا ہے۔")</f>
        <v>A) سوار کو نااہل قرار دیا جاتا ہے، B) سوار کو پوائنٹس دیے جائیں گے اگر وہ کھونٹی مارتا ہے، C) وقت کی حد سے تجاوز کرنے پر سوار صفر اسکور کرے گا، D) سوار کو دوبارہ رن دیا جاتا ہے۔</v>
      </c>
      <c r="L31" s="6" t="str">
        <f>IFERROR(__xludf.DUMMYFUNCTION("GOOGLETRANSLATE(D31, ""en"", ""ur"")"),"C) وقت کی حد سے تجاوز کرنے پر سوار صفر اسکور کرے گا۔")</f>
        <v>C) وقت کی حد سے تجاوز کرنے پر سوار صفر اسکور کرے گا۔</v>
      </c>
      <c r="M31" s="6" t="str">
        <f>IFERROR(__xludf.DUMMYFUNCTION("GOOGLETRANSLATE(E31, ""en"", ""ur"")"),"بہت آہستہ چلنے والا گھوڑا 100 میٹر ٹریک کو سخت وقت کی حد (مثلاً 8 سیکنڈ) میں نہیں ڈھانپ سکتا، جس کے نتیجے میں وقت کی خرابی ہوتی ہے۔")</f>
        <v>بہت آہستہ چلنے والا گھوڑا 100 میٹر ٹریک کو سخت وقت کی حد (مثلاً 8 سیکنڈ) میں نہیں ڈھانپ سکتا، جس کے نتیجے میں وقت کی خرابی ہوتی ہے۔</v>
      </c>
    </row>
    <row r="32">
      <c r="A32" s="4">
        <v>31.0</v>
      </c>
      <c r="B32" s="5" t="s">
        <v>2479</v>
      </c>
      <c r="C32" s="5" t="s">
        <v>2480</v>
      </c>
      <c r="D32" s="5" t="s">
        <v>2481</v>
      </c>
      <c r="E32" s="5" t="s">
        <v>2482</v>
      </c>
      <c r="I32" s="6" t="str">
        <f>IFERROR(__xludf.DUMMYFUNCTION("GOOGLETRANSLATE(A32, ""en"", ""ur"")"),"31")</f>
        <v>31</v>
      </c>
      <c r="J32" s="6" t="str">
        <f>IFERROR(__xludf.DUMMYFUNCTION("GOOGLETRANSLATE(B32, ""en"", ""ur"")"),"ٹینٹ پیگنگ گھوڑے کے لیے ""غیر حساسیت کی تربیت"" کا بنیادی مقصد کیا ہے؟")</f>
        <v>ٹینٹ پیگنگ گھوڑے کے لیے "غیر حساسیت کی تربیت" کا بنیادی مقصد کیا ہے؟</v>
      </c>
      <c r="K32" s="6" t="str">
        <f>IFERROR(__xludf.DUMMYFUNCTION("GOOGLETRANSLATE(C32, ""en"", ""ur"")"),"A) گھوڑے کو تیز چلانے کے لئے، B) اچانک شور، جھنڈوں اور سوار کی حرکت کو نظر انداز کرنے کے لئے گھوڑے کو تربیت دینا، C) گھوڑے کو چھلانگ لگانا سکھانا، D) گھوڑے کو زیادہ جارحانہ بنانا")</f>
        <v>A) گھوڑے کو تیز چلانے کے لئے، B) اچانک شور، جھنڈوں اور سوار کی حرکت کو نظر انداز کرنے کے لئے گھوڑے کو تربیت دینا، C) گھوڑے کو چھلانگ لگانا سکھانا، D) گھوڑے کو زیادہ جارحانہ بنانا</v>
      </c>
      <c r="L32" s="6" t="str">
        <f>IFERROR(__xludf.DUMMYFUNCTION("GOOGLETRANSLATE(D32, ""en"", ""ur"")"),"ب) اچانک شور، جھنڈوں اور سوار کی نقل و حرکت کو نظر انداز کرنے کے لیے گھوڑے کو تربیت دینا")</f>
        <v>ب) اچانک شور، جھنڈوں اور سوار کی نقل و حرکت کو نظر انداز کرنے کے لیے گھوڑے کو تربیت دینا</v>
      </c>
      <c r="M32" s="6" t="str">
        <f>IFERROR(__xludf.DUMMYFUNCTION("GOOGLETRANSLATE(E32, ""en"", ""ur"")"),"مقابلے کے ماحول کے افراتفری کے باوجود گھوڑے کو مکمل طور پر پرسکون اور اپنے راستے پر مرکوز رہنا چاہیے۔")</f>
        <v>مقابلے کے ماحول کے افراتفری کے باوجود گھوڑے کو مکمل طور پر پرسکون اور اپنے راستے پر مرکوز رہنا چاہیے۔</v>
      </c>
    </row>
    <row r="33">
      <c r="A33" s="4">
        <v>32.0</v>
      </c>
      <c r="B33" s="5" t="s">
        <v>2483</v>
      </c>
      <c r="C33" s="5" t="s">
        <v>2484</v>
      </c>
      <c r="D33" s="5" t="s">
        <v>2485</v>
      </c>
      <c r="E33" s="5" t="s">
        <v>2486</v>
      </c>
      <c r="I33" s="6" t="str">
        <f>IFERROR(__xludf.DUMMYFUNCTION("GOOGLETRANSLATE(A33, ""en"", ""ur"")"),"32")</f>
        <v>32</v>
      </c>
      <c r="J33" s="6" t="str">
        <f>IFERROR(__xludf.DUMMYFUNCTION("GOOGLETRANSLATE(B33, ""en"", ""ur"")"),"ٹیم ریلے ایونٹ میں، تبدیلی کو عام طور پر کیسے انجام دیا جاتا ہے؟")</f>
        <v>ٹیم ریلے ایونٹ میں، تبدیلی کو عام طور پر کیسے انجام دیا جاتا ہے؟</v>
      </c>
      <c r="K33" s="6" t="str">
        <f>IFERROR(__xludf.DUMMYFUNCTION("GOOGLETRANSLATE(C33, ""en"", ""ur"")"),"A) سوار لانس کو ڈنڈے کی طرح پاس کرتے ہیں، B) اگلا سوار اپنی دوڑ شروع کرتا ہے جیسے ہی پچھلی لائن کو عبور کرتی ہے، C) تمام سوار ایک ہی وقت میں شروع ہوتے ہیں، D) ٹینٹ پیگنگ میں کوئی ریلے ایونٹ نہیں ہوتا ہے۔")</f>
        <v>A) سوار لانس کو ڈنڈے کی طرح پاس کرتے ہیں، B) اگلا سوار اپنی دوڑ شروع کرتا ہے جیسے ہی پچھلی لائن کو عبور کرتی ہے، C) تمام سوار ایک ہی وقت میں شروع ہوتے ہیں، D) ٹینٹ پیگنگ میں کوئی ریلے ایونٹ نہیں ہوتا ہے۔</v>
      </c>
      <c r="L33" s="6" t="str">
        <f>IFERROR(__xludf.DUMMYFUNCTION("GOOGLETRANSLATE(D33, ""en"", ""ur"")"),"ب) اگلا سوار اپنی دوڑ شروع کرتا ہے کیونکہ پچھلا سوار فائنل لائن کو عبور کرتا ہے۔")</f>
        <v>ب) اگلا سوار اپنی دوڑ شروع کرتا ہے کیونکہ پچھلا سوار فائنل لائن کو عبور کرتا ہے۔</v>
      </c>
      <c r="M33" s="6" t="str">
        <f>IFERROR(__xludf.DUMMYFUNCTION("GOOGLETRANSLATE(E33, ""en"", ""ur"")"),"ریلے رفتار اور وقت کا ایک امتحان ہے، جس میں ایک رن کا اختتام اگلے کے آغاز کو متحرک کرتا ہے۔")</f>
        <v>ریلے رفتار اور وقت کا ایک امتحان ہے، جس میں ایک رن کا اختتام اگلے کے آغاز کو متحرک کرتا ہے۔</v>
      </c>
    </row>
    <row r="34">
      <c r="A34" s="4">
        <v>33.0</v>
      </c>
      <c r="B34" s="5" t="s">
        <v>2487</v>
      </c>
      <c r="C34" s="5" t="s">
        <v>2488</v>
      </c>
      <c r="D34" s="5" t="s">
        <v>2489</v>
      </c>
      <c r="E34" s="5" t="s">
        <v>2490</v>
      </c>
      <c r="I34" s="6" t="str">
        <f>IFERROR(__xludf.DUMMYFUNCTION("GOOGLETRANSLATE(A34, ""en"", ""ur"")"),"33")</f>
        <v>33</v>
      </c>
      <c r="J34" s="6" t="str">
        <f>IFERROR(__xludf.DUMMYFUNCTION("GOOGLETRANSLATE(B34, ""en"", ""ur"")"),"اگر ایک کھونٹی صحیح سے ماری جائے لیکن دو ٹکڑے ہو جائے اور ایک حصہ زمین میں رہ جائے تو اس کا کیا حکم ہے؟")</f>
        <v>اگر ایک کھونٹی صحیح سے ماری جائے لیکن دو ٹکڑے ہو جائے اور ایک حصہ زمین میں رہ جائے تو اس کا کیا حکم ہے؟</v>
      </c>
      <c r="K34" s="6" t="str">
        <f>IFERROR(__xludf.DUMMYFUNCTION("GOOGLETRANSLATE(C34, ""en"", ""ur"")"),"A) کوئی پوائنٹ نہیں دیا جاتا ہے، B) A ""Full Peg"" دیا جاتا ہے، C) A ""Drawn Peg"" دیا جاتا ہے، D) رن دوبارہ چلایا جاتا ہے")</f>
        <v>A) کوئی پوائنٹ نہیں دیا جاتا ہے، B) A "Full Peg" دیا جاتا ہے، C) A "Drawn Peg" دیا جاتا ہے، D) رن دوبارہ چلایا جاتا ہے</v>
      </c>
      <c r="L34" s="6" t="str">
        <f>IFERROR(__xludf.DUMMYFUNCTION("GOOGLETRANSLATE(D34, ""en"", ""ur"")"),"C) A ""Drawn Peg"" سے نوازا جاتا ہے۔")</f>
        <v>C) A "Drawn Peg" سے نوازا جاتا ہے۔</v>
      </c>
      <c r="M34" s="6" t="str">
        <f>IFERROR(__xludf.DUMMYFUNCTION("GOOGLETRANSLATE(E34, ""en"", ""ur"")"),"چونکہ پیگ کو صاف طور پر نہیں اٹھایا گیا تھا، لیکن کامیابی کے ساتھ مارا گیا تھا اور اسے ہٹا دیا گیا تھا، اس لیے اسے 2 پوائنٹ کے ""ڈرا"" پیگ کے طور پر اسکور کیا جاتا ہے۔")</f>
        <v>چونکہ پیگ کو صاف طور پر نہیں اٹھایا گیا تھا، لیکن کامیابی کے ساتھ مارا گیا تھا اور اسے ہٹا دیا گیا تھا، اس لیے اسے 2 پوائنٹ کے "ڈرا" پیگ کے طور پر اسکور کیا جاتا ہے۔</v>
      </c>
    </row>
    <row r="35">
      <c r="A35" s="4">
        <v>34.0</v>
      </c>
      <c r="B35" s="5" t="s">
        <v>2491</v>
      </c>
      <c r="C35" s="5" t="s">
        <v>2492</v>
      </c>
      <c r="D35" s="5" t="s">
        <v>2493</v>
      </c>
      <c r="E35" s="5" t="s">
        <v>2494</v>
      </c>
      <c r="I35" s="6" t="str">
        <f>IFERROR(__xludf.DUMMYFUNCTION("GOOGLETRANSLATE(A35, ""en"", ""ur"")"),"34")</f>
        <v>34</v>
      </c>
      <c r="J35" s="6" t="str">
        <f>IFERROR(__xludf.DUMMYFUNCTION("GOOGLETRANSLATE(B35, ""en"", ""ur"")"),"ٹینٹ پیگنگ میں گھوڑے کا بنیادی کردار کیا ہے؟")</f>
        <v>ٹینٹ پیگنگ میں گھوڑے کا بنیادی کردار کیا ہے؟</v>
      </c>
      <c r="K35" s="6" t="str">
        <f>IFERROR(__xludf.DUMMYFUNCTION("GOOGLETRANSLATE(C35, ""en"", ""ur"")"),"A) سوار کے لیے ایک غیر فعال گاڑی بننا، B) اسٹرائیک کے لیے ضروری رفتار، رفتار اور سیدھا راستہ فراہم کرنا، C) لانس کو نشانہ بنانے میں مدد کرنا، D) مخالف کو ڈرانا")</f>
        <v>A) سوار کے لیے ایک غیر فعال گاڑی بننا، B) اسٹرائیک کے لیے ضروری رفتار، رفتار اور سیدھا راستہ فراہم کرنا، C) لانس کو نشانہ بنانے میں مدد کرنا، D) مخالف کو ڈرانا</v>
      </c>
      <c r="L35" s="6" t="str">
        <f>IFERROR(__xludf.DUMMYFUNCTION("GOOGLETRANSLATE(D35, ""en"", ""ur"")"),"ب) ہڑتال کے لیے ضروری رفتار، رفتار اور سیدھا راستہ فراہم کرنا")</f>
        <v>ب) ہڑتال کے لیے ضروری رفتار، رفتار اور سیدھا راستہ فراہم کرنا</v>
      </c>
      <c r="M35" s="6" t="str">
        <f>IFERROR(__xludf.DUMMYFUNCTION("GOOGLETRANSLATE(E35, ""en"", ""ur"")"),"گھوڑا اس کھیل میں ایک فعال ساتھی ہے، اور اس کی تربیت، رفتار اور سیدھا ہونا بھی اتنا ہی اہم ہے جتنا کہ سوار کی مہارت۔")</f>
        <v>گھوڑا اس کھیل میں ایک فعال ساتھی ہے، اور اس کی تربیت، رفتار اور سیدھا ہونا بھی اتنا ہی اہم ہے جتنا کہ سوار کی مہارت۔</v>
      </c>
    </row>
    <row r="36">
      <c r="A36" s="4">
        <v>35.0</v>
      </c>
      <c r="B36" s="5" t="s">
        <v>2495</v>
      </c>
      <c r="C36" s="5" t="s">
        <v>2496</v>
      </c>
      <c r="D36" s="5" t="s">
        <v>2497</v>
      </c>
      <c r="E36" s="5" t="s">
        <v>2498</v>
      </c>
      <c r="I36" s="6" t="str">
        <f>IFERROR(__xludf.DUMMYFUNCTION("GOOGLETRANSLATE(A36, ""en"", ""ur"")"),"35")</f>
        <v>35</v>
      </c>
      <c r="J36" s="6" t="str">
        <f>IFERROR(__xludf.DUMMYFUNCTION("GOOGLETRANSLATE(B36, ""en"", ""ur"")"),"مقابلے سے پہلے اکثر لکڑی کے کھونٹے پر چاک یا سفید پینٹ کیوں لگایا جاتا ہے؟")</f>
        <v>مقابلے سے پہلے اکثر لکڑی کے کھونٹے پر چاک یا سفید پینٹ کیوں لگایا جاتا ہے؟</v>
      </c>
      <c r="K36" s="6" t="str">
        <f>IFERROR(__xludf.DUMMYFUNCTION("GOOGLETRANSLATE(C36, ""en"", ""ur"")"),"A) انہیں بھاری بنانا، B) انہیں مزید پھسلنا، C) سیاہ مٹی کے خلاف سوار کی نشانے کی نمائش کو بہتر بنانا، D) یہ ایک مذہبی رسم ہے۔")</f>
        <v>A) انہیں بھاری بنانا، B) انہیں مزید پھسلنا، C) سیاہ مٹی کے خلاف سوار کی نشانے کی نمائش کو بہتر بنانا، D) یہ ایک مذہبی رسم ہے۔</v>
      </c>
      <c r="L36" s="6" t="str">
        <f>IFERROR(__xludf.DUMMYFUNCTION("GOOGLETRANSLATE(D36, ""en"", ""ur"")"),"C) تاریک مٹی کے خلاف ہدف کی سوار کی مرئیت کو بہتر بنانا")</f>
        <v>C) تاریک مٹی کے خلاف ہدف کی سوار کی مرئیت کو بہتر بنانا</v>
      </c>
      <c r="M36" s="6" t="str">
        <f>IFERROR(__xludf.DUMMYFUNCTION("GOOGLETRANSLATE(E36, ""en"", ""ur"")"),"کھونٹوں کو سفید رنگنے سے زمین کے ساتھ ایک تیز بصری تضاد ملتا ہے، جس سے سوار کو تیز رفتاری سے درست طریقے سے نشانہ بنانے میں مدد ملتی ہے۔")</f>
        <v>کھونٹوں کو سفید رنگنے سے زمین کے ساتھ ایک تیز بصری تضاد ملتا ہے، جس سے سوار کو تیز رفتاری سے درست طریقے سے نشانہ بنانے میں مدد ملتی ہے۔</v>
      </c>
    </row>
    <row r="37">
      <c r="A37" s="4">
        <v>36.0</v>
      </c>
      <c r="B37" s="5" t="s">
        <v>2499</v>
      </c>
      <c r="C37" s="5" t="s">
        <v>2500</v>
      </c>
      <c r="D37" s="5" t="s">
        <v>2501</v>
      </c>
      <c r="E37" s="5" t="s">
        <v>2502</v>
      </c>
      <c r="I37" s="6" t="str">
        <f>IFERROR(__xludf.DUMMYFUNCTION("GOOGLETRANSLATE(A37, ""en"", ""ur"")"),"36")</f>
        <v>36</v>
      </c>
      <c r="J37" s="6" t="str">
        <f>IFERROR(__xludf.DUMMYFUNCTION("GOOGLETRANSLATE(B37, ""en"", ""ur"")"),"ایک کامیاب ٹینٹ پیگنگ سوار کے لیے ان میں سے کون سی اہم جسمانی صفت ہے؟")</f>
        <v>ایک کامیاب ٹینٹ پیگنگ سوار کے لیے ان میں سے کون سی اہم جسمانی صفت ہے؟</v>
      </c>
      <c r="K37" s="6" t="str">
        <f>IFERROR(__xludf.DUMMYFUNCTION("GOOGLETRANSLATE(C37, ""en"", ""ur"")"),"A) بڑے بائسپس، B) ایک مضبوط کور اور مستحکم کندھے، C) لمبی ٹانگیں، D) ہلکا جسمانی وزن")</f>
        <v>A) بڑے بائسپس، B) ایک مضبوط کور اور مستحکم کندھے، C) لمبی ٹانگیں، D) ہلکا جسمانی وزن</v>
      </c>
      <c r="L37" s="6" t="str">
        <f>IFERROR(__xludf.DUMMYFUNCTION("GOOGLETRANSLATE(D37, ""en"", ""ur"")"),"ب) ایک مضبوط کور اور مستحکم کندھے")</f>
        <v>ب) ایک مضبوط کور اور مستحکم کندھے</v>
      </c>
      <c r="M37" s="6" t="str">
        <f>IFERROR(__xludf.DUMMYFUNCTION("GOOGLETRANSLATE(E37, ""en"", ""ur"")"),"گھوڑے کے اچھال کو جذب کرنے اور دوڑ کے دوران اوپری جسم اور لانس کو مستحکم رکھنے کے لیے بنیادی استحکام ضروری ہے۔")</f>
        <v>گھوڑے کے اچھال کو جذب کرنے اور دوڑ کے دوران اوپری جسم اور لانس کو مستحکم رکھنے کے لیے بنیادی استحکام ضروری ہے۔</v>
      </c>
    </row>
    <row r="38">
      <c r="A38" s="4">
        <v>37.0</v>
      </c>
      <c r="B38" s="5" t="s">
        <v>2503</v>
      </c>
      <c r="C38" s="5" t="s">
        <v>2504</v>
      </c>
      <c r="D38" s="5" t="s">
        <v>2505</v>
      </c>
      <c r="E38" s="5" t="s">
        <v>2506</v>
      </c>
      <c r="I38" s="6" t="str">
        <f>IFERROR(__xludf.DUMMYFUNCTION("GOOGLETRANSLATE(A38, ""en"", ""ur"")"),"37")</f>
        <v>37</v>
      </c>
      <c r="J38" s="6" t="str">
        <f>IFERROR(__xludf.DUMMYFUNCTION("GOOGLETRANSLATE(B38, ""en"", ""ur"")"),"""فل پیگ"" (6 پوائنٹس) کے لیے جج کا اشارہ کیا ہے؟")</f>
        <v>"فل پیگ" (6 پوائنٹس) کے لیے جج کا اشارہ کیا ہے؟</v>
      </c>
      <c r="K38" s="6" t="str">
        <f>IFERROR(__xludf.DUMMYFUNCTION("GOOGLETRANSLATE(C38, ""en"", ""ur"")"),"A) ایک سبز جھنڈا بلند کیا جاتا ہے، B) ایک سرخ جھنڈا بلند ہوتا ہے، C) جج اپنا بازو سیدھا اوپر اٹھاتا ہے، D) جج دو بار سیٹی بجاتا ہے۔")</f>
        <v>A) ایک سبز جھنڈا بلند کیا جاتا ہے، B) ایک سرخ جھنڈا بلند ہوتا ہے، C) جج اپنا بازو سیدھا اوپر اٹھاتا ہے، D) جج دو بار سیٹی بجاتا ہے۔</v>
      </c>
      <c r="L38" s="6" t="str">
        <f>IFERROR(__xludf.DUMMYFUNCTION("GOOGLETRANSLATE(D38, ""en"", ""ur"")"),"A) سبز جھنڈا بلند کیا گیا ہے۔")</f>
        <v>A) سبز جھنڈا بلند کیا گیا ہے۔</v>
      </c>
      <c r="M38" s="6" t="str">
        <f>IFERROR(__xludf.DUMMYFUNCTION("GOOGLETRANSLATE(E38, ""en"", ""ur"")"),"ایک سبز جھنڈا عام طور پر کامیاب مکمل سکور کی نشاندہی کرتا ہے، جبکہ سرخ جھنڈا صفر کے سکور کی نشاندہی کرتا ہے۔")</f>
        <v>ایک سبز جھنڈا عام طور پر کامیاب مکمل سکور کی نشاندہی کرتا ہے، جبکہ سرخ جھنڈا صفر کے سکور کی نشاندہی کرتا ہے۔</v>
      </c>
    </row>
    <row r="39">
      <c r="A39" s="4">
        <v>38.0</v>
      </c>
      <c r="B39" s="5" t="s">
        <v>2507</v>
      </c>
      <c r="C39" s="5" t="s">
        <v>2508</v>
      </c>
      <c r="D39" s="5" t="s">
        <v>2509</v>
      </c>
      <c r="E39" s="5" t="s">
        <v>2510</v>
      </c>
      <c r="I39" s="6" t="str">
        <f>IFERROR(__xludf.DUMMYFUNCTION("GOOGLETRANSLATE(A39, ""en"", ""ur"")"),"38")</f>
        <v>38</v>
      </c>
      <c r="J39" s="6" t="str">
        <f>IFERROR(__xludf.DUMMYFUNCTION("GOOGLETRANSLATE(B39, ""en"", ""ur"")"),"کونسی قوم کو ٹینٹ پیگنگ کا ""جدید مرکز"" سمجھا جاتا ہے، جس نے متعدد بین الاقوامی تقریبات کی میزبانی کی ہے؟")</f>
        <v>کونسی قوم کو ٹینٹ پیگنگ کا "جدید مرکز" سمجھا جاتا ہے، جس نے متعدد بین الاقوامی تقریبات کی میزبانی کی ہے؟</v>
      </c>
      <c r="K39" s="6" t="str">
        <f>IFERROR(__xludf.DUMMYFUNCTION("GOOGLETRANSLATE(C39, ""en"", ""ur"")"),"A) پاکستان، B) عمان، C) بھارت، D) جنوبی افریقہ")</f>
        <v>A) پاکستان، B) عمان، C) بھارت، D) جنوبی افریقہ</v>
      </c>
      <c r="L39" s="6" t="str">
        <f>IFERROR(__xludf.DUMMYFUNCTION("GOOGLETRANSLATE(D39, ""en"", ""ur"")"),"ب) عمان")</f>
        <v>ب) عمان</v>
      </c>
      <c r="M39" s="6" t="str">
        <f>IFERROR(__xludf.DUMMYFUNCTION("GOOGLETRANSLATE(E39, ""en"", ""ur"")"),"جنوبی ایشیا میں مقبول ہونے کے باوجود، عمان نے اس کھیل میں بہت زیادہ سرمایہ کاری کی ہے، بڑے عالمی کپ کی میزبانی کی ہے اور اسے عالمی سطح پر فروغ دیا ہے۔")</f>
        <v>جنوبی ایشیا میں مقبول ہونے کے باوجود، عمان نے اس کھیل میں بہت زیادہ سرمایہ کاری کی ہے، بڑے عالمی کپ کی میزبانی کی ہے اور اسے عالمی سطح پر فروغ دیا ہے۔</v>
      </c>
    </row>
    <row r="40">
      <c r="A40" s="4">
        <v>39.0</v>
      </c>
      <c r="B40" s="5" t="s">
        <v>2511</v>
      </c>
      <c r="C40" s="5" t="s">
        <v>2512</v>
      </c>
      <c r="D40" s="5" t="s">
        <v>2513</v>
      </c>
      <c r="E40" s="5" t="s">
        <v>2514</v>
      </c>
      <c r="I40" s="6" t="str">
        <f>IFERROR(__xludf.DUMMYFUNCTION("GOOGLETRANSLATE(A40, ""en"", ""ur"")"),"39")</f>
        <v>39</v>
      </c>
      <c r="J40" s="6" t="str">
        <f>IFERROR(__xludf.DUMMYFUNCTION("GOOGLETRANSLATE(B40, ""en"", ""ur"")"),"اگر سوار کی لانس کی نوک کھونٹی کو کھرچتی ہے، جس سے واضح نشان رہ جاتا ہے، لیکن کھونٹی حرکت نہیں کرتی ہے تو اس کا کیا حکم ہے؟")</f>
        <v>اگر سوار کی لانس کی نوک کھونٹی کو کھرچتی ہے، جس سے واضح نشان رہ جاتا ہے، لیکن کھونٹی حرکت نہیں کرتی ہے تو اس کا کیا حکم ہے؟</v>
      </c>
      <c r="K40" s="6" t="str">
        <f>IFERROR(__xludf.DUMMYFUNCTION("GOOGLETRANSLATE(C40, ""en"", ""ur"")"),"A) 1 پوائنٹ کا سکور دیا جاتا ہے، B) 0 کا سکور دیا جاتا ہے، C) 2 پوائنٹ کی کٹوتی دی جاتی ہے، D) رن دوبارہ چلایا جاتا ہے۔")</f>
        <v>A) 1 پوائنٹ کا سکور دیا جاتا ہے، B) 0 کا سکور دیا جاتا ہے، C) 2 پوائنٹ کی کٹوتی دی جاتی ہے، D) رن دوبارہ چلایا جاتا ہے۔</v>
      </c>
      <c r="L40" s="6" t="str">
        <f>IFERROR(__xludf.DUMMYFUNCTION("GOOGLETRANSLATE(D40, ""en"", ""ur"")"),"ب) 0 کا سکور دیا جاتا ہے۔")</f>
        <v>ب) 0 کا سکور دیا جاتا ہے۔</v>
      </c>
      <c r="M40" s="6" t="str">
        <f>IFERROR(__xludf.DUMMYFUNCTION("GOOGLETRANSLATE(E40, ""en"", ""ur"")"),"کھونٹی کو اتارا جانا چاہیے (""خارج"") یا زمین سے لے جانا چاہیے۔ کسی بھی پوائنٹس کے لیے اسے صرف چھونا کافی نہیں ہے۔")</f>
        <v>کھونٹی کو اتارا جانا چاہیے ("خارج") یا زمین سے لے جانا چاہیے۔ کسی بھی پوائنٹس کے لیے اسے صرف چھونا کافی نہیں ہے۔</v>
      </c>
    </row>
    <row r="41">
      <c r="A41" s="4">
        <v>40.0</v>
      </c>
      <c r="B41" s="5" t="s">
        <v>2515</v>
      </c>
      <c r="C41" s="5" t="s">
        <v>2516</v>
      </c>
      <c r="D41" s="5" t="s">
        <v>2517</v>
      </c>
      <c r="E41" s="5" t="s">
        <v>2518</v>
      </c>
      <c r="I41" s="6" t="str">
        <f>IFERROR(__xludf.DUMMYFUNCTION("GOOGLETRANSLATE(A41, ""en"", ""ur"")"),"40")</f>
        <v>40</v>
      </c>
      <c r="J41" s="6" t="str">
        <f>IFERROR(__xludf.DUMMYFUNCTION("GOOGLETRANSLATE(B41, ""en"", ""ur"")"),"اس کے شافٹ پر کھونٹی کو بہت زیادہ مارنے کا بنیادی خطرہ کیا ہے؟")</f>
        <v>اس کے شافٹ پر کھونٹی کو بہت زیادہ مارنے کا بنیادی خطرہ کیا ہے؟</v>
      </c>
      <c r="K41" s="6" t="str">
        <f>IFERROR(__xludf.DUMMYFUNCTION("GOOGLETRANSLATE(C41, ""en"", ""ur"")"),"A) کھونٹی کے ٹوٹنے کا زیادہ امکان ہے، B) لانس اچھال سکتا ہے، C) کھونٹی کو آگے بڑھایا جائے گا اور اٹھایا نہیں جائے گا، D) یہ گھوڑے کو زخمی کر سکتا ہے۔")</f>
        <v>A) کھونٹی کے ٹوٹنے کا زیادہ امکان ہے، B) لانس اچھال سکتا ہے، C) کھونٹی کو آگے بڑھایا جائے گا اور اٹھایا نہیں جائے گا، D) یہ گھوڑے کو زخمی کر سکتا ہے۔</v>
      </c>
      <c r="L41" s="6" t="str">
        <f>IFERROR(__xludf.DUMMYFUNCTION("GOOGLETRANSLATE(D41, ""en"", ""ur"")"),"ج) کھونٹی کو آگے بڑھایا جائے گا اور نہیں اٹھایا جائے گا۔")</f>
        <v>ج) کھونٹی کو آگے بڑھایا جائے گا اور نہیں اٹھایا جائے گا۔</v>
      </c>
      <c r="M41" s="6" t="str">
        <f>IFERROR(__xludf.DUMMYFUNCTION("GOOGLETRANSLATE(E41, ""en"", ""ur"")"),"پیگ کو کامیابی کے ساتھ اٹھانے کے لیے، سوار کو بیعانہ حاصل کرنے کے لیے کم مارنا چاہیے۔ ایک اونچی سٹرائیک آسانی سے پیگ اوور کر دے گی، جس کے نتیجے میں صفر پوائنٹس ہوں گے۔")</f>
        <v>پیگ کو کامیابی کے ساتھ اٹھانے کے لیے، سوار کو بیعانہ حاصل کرنے کے لیے کم مارنا چاہیے۔ ایک اونچی سٹرائیک آسانی سے پیگ اوور کر دے گی، جس کے نتیجے میں صفر پوائنٹس ہوں گے۔</v>
      </c>
    </row>
    <row r="42">
      <c r="A42" s="4">
        <v>41.0</v>
      </c>
      <c r="B42" s="5" t="s">
        <v>2519</v>
      </c>
      <c r="C42" s="5" t="s">
        <v>2520</v>
      </c>
      <c r="D42" s="5" t="s">
        <v>2521</v>
      </c>
      <c r="E42" s="5" t="s">
        <v>2522</v>
      </c>
      <c r="I42" s="6" t="str">
        <f>IFERROR(__xludf.DUMMYFUNCTION("GOOGLETRANSLATE(A42, ""en"", ""ur"")"),"41")</f>
        <v>41</v>
      </c>
      <c r="J42" s="6" t="str">
        <f>IFERROR(__xludf.DUMMYFUNCTION("GOOGLETRANSLATE(B42, ""en"", ""ur"")"),"رنگ پیگنگ میں، مقصد کیا ہے؟")</f>
        <v>رنگ پیگنگ میں، مقصد کیا ہے؟</v>
      </c>
      <c r="K42" s="6" t="str">
        <f>IFERROR(__xludf.DUMMYFUNCTION("GOOGLETRANSLATE(C42, ""en"", ""ur"")"),"A) ایک کھونٹی سے انگوٹھی کو دستک کرنا، B) نیزے کے ساتھ ایک چھوٹی، معلق انگوٹھی، C) کھونٹی پر انگوٹھی پھینکنا، D) گھوڑے کو انگوٹھی سے چھلانگ لگانا")</f>
        <v>A) ایک کھونٹی سے انگوٹھی کو دستک کرنا، B) نیزے کے ساتھ ایک چھوٹی، معلق انگوٹھی، C) کھونٹی پر انگوٹھی پھینکنا، D) گھوڑے کو انگوٹھی سے چھلانگ لگانا</v>
      </c>
      <c r="L42" s="6" t="str">
        <f>IFERROR(__xludf.DUMMYFUNCTION("GOOGLETRANSLATE(D42, ""en"", ""ur"")"),"ب) لانس کے ساتھ ایک چھوٹی، معلق انگوٹھی کو برچھی کرنا")</f>
        <v>ب) لانس کے ساتھ ایک چھوٹی، معلق انگوٹھی کو برچھی کرنا</v>
      </c>
      <c r="M42" s="6" t="str">
        <f>IFERROR(__xludf.DUMMYFUNCTION("GOOGLETRANSLATE(E42, ""en"", ""ur"")"),"یہ نظم و ضبط ایک سوار کی عمدہ موٹر مہارت اور درستگی کی جانچ کرتا ہے، جس کے لیے وہ اپنی لانس یا تلوار کی نوک کو ایک چھوٹی لٹکتی ہوئی انگوٹھی کے ذریعے تھریڈ کرنے کی ضرورت ہوتی ہے۔")</f>
        <v>یہ نظم و ضبط ایک سوار کی عمدہ موٹر مہارت اور درستگی کی جانچ کرتا ہے، جس کے لیے وہ اپنی لانس یا تلوار کی نوک کو ایک چھوٹی لٹکتی ہوئی انگوٹھی کے ذریعے تھریڈ کرنے کی ضرورت ہوتی ہے۔</v>
      </c>
    </row>
    <row r="43">
      <c r="A43" s="4">
        <v>42.0</v>
      </c>
      <c r="B43" s="5" t="s">
        <v>2523</v>
      </c>
      <c r="C43" s="5" t="s">
        <v>1732</v>
      </c>
      <c r="D43" s="5" t="s">
        <v>2524</v>
      </c>
      <c r="E43" s="5" t="s">
        <v>2525</v>
      </c>
      <c r="I43" s="6" t="str">
        <f>IFERROR(__xludf.DUMMYFUNCTION("GOOGLETRANSLATE(A43, ""en"", ""ur"")"),"42")</f>
        <v>42</v>
      </c>
      <c r="J43" s="6" t="str">
        <f>IFERROR(__xludf.DUMMYFUNCTION("GOOGLETRANSLATE(B43, ""en"", ""ur"")"),"معطل شدہ اہداف کی زیادہ سے زیادہ تعداد کتنی ہے (مثلاً انگوٹھیاں یا لیموں) ایک ہی دوڑ میں اجازت دی جاتی ہے؟")</f>
        <v>معطل شدہ اہداف کی زیادہ سے زیادہ تعداد کتنی ہے (مثلاً انگوٹھیاں یا لیموں) ایک ہی دوڑ میں اجازت دی جاتی ہے؟</v>
      </c>
      <c r="K43" s="6" t="str">
        <f>IFERROR(__xludf.DUMMYFUNCTION("GOOGLETRANSLATE(C43, ""en"", ""ur"")"),"A) 1، B) 2، C) 3، D) 4")</f>
        <v>A) 1، B) 2، C) 3، D) 4</v>
      </c>
      <c r="L43" s="6" t="str">
        <f>IFERROR(__xludf.DUMMYFUNCTION("GOOGLETRANSLATE(D43, ""en"", ""ur"")"),"ب) 2")</f>
        <v>ب) 2</v>
      </c>
      <c r="M43" s="6" t="str">
        <f>IFERROR(__xludf.DUMMYFUNCTION("GOOGLETRANSLATE(E43, ""en"", ""ur"")"),"ضابطے عام طور پر ایک مسلسل دوڑ میں زیادہ سے زیادہ دو معطل اہداف کی کوشش کرنے کی اجازت دیتے ہیں۔")</f>
        <v>ضابطے عام طور پر ایک مسلسل دوڑ میں زیادہ سے زیادہ دو معطل اہداف کی کوشش کرنے کی اجازت دیتے ہیں۔</v>
      </c>
    </row>
    <row r="44">
      <c r="A44" s="4">
        <v>43.0</v>
      </c>
      <c r="B44" s="5" t="s">
        <v>2526</v>
      </c>
      <c r="C44" s="5" t="s">
        <v>2527</v>
      </c>
      <c r="D44" s="5" t="s">
        <v>2528</v>
      </c>
      <c r="E44" s="5" t="s">
        <v>2529</v>
      </c>
      <c r="I44" s="6" t="str">
        <f>IFERROR(__xludf.DUMMYFUNCTION("GOOGLETRANSLATE(A44, ""en"", ""ur"")"),"43")</f>
        <v>43</v>
      </c>
      <c r="J44" s="6" t="str">
        <f>IFERROR(__xludf.DUMMYFUNCTION("GOOGLETRANSLATE(B44, ""en"", ""ur"")"),"گھوڑوں کو لگام کے حکم کے بغیر بالکل سیدھی لائن میں دوڑنے کی تربیت کیوں دی جاتی ہے؟")</f>
        <v>گھوڑوں کو لگام کے حکم کے بغیر بالکل سیدھی لائن میں دوڑنے کی تربیت کیوں دی جاتی ہے؟</v>
      </c>
      <c r="K44" s="6" t="str">
        <f>IFERROR(__xludf.DUMMYFUNCTION("GOOGLETRANSLATE(C44, ""en"", ""ur"")"),"A) یہ ایک اصول ہے، B) سوار کو لانس پر ایک ہاتھ کی گرفت کے ساتھ ہدف پر مکمل توجہ مرکوز کرنے کی اجازت دینا، C) یہ تیز ہے، D) یہ زیادہ روایتی ہے۔")</f>
        <v>A) یہ ایک اصول ہے، B) سوار کو لانس پر ایک ہاتھ کی گرفت کے ساتھ ہدف پر مکمل توجہ مرکوز کرنے کی اجازت دینا، C) یہ تیز ہے، D) یہ زیادہ روایتی ہے۔</v>
      </c>
      <c r="L44" s="6" t="str">
        <f>IFERROR(__xludf.DUMMYFUNCTION("GOOGLETRANSLATE(D44, ""en"", ""ur"")"),"ب) سوار کو لانس پر ایک ہاتھ کی گرفت کے ساتھ ہدف پر مکمل توجہ مرکوز کرنے کی اجازت دینا")</f>
        <v>ب) سوار کو لانس پر ایک ہاتھ کی گرفت کے ساتھ ہدف پر مکمل توجہ مرکوز کرنے کی اجازت دینا</v>
      </c>
      <c r="M44" s="6" t="str">
        <f>IFERROR(__xludf.DUMMYFUNCTION("GOOGLETRANSLATE(E44, ""en"", ""ur"")"),"ایک اچھی تربیت یافتہ گھوڑا اپنے راستے کو خود بخود برقرار رکھے گا، سوار کو ہدف کے مشکل کام پر توجہ مرکوز کرنے کے لیے آزاد کر دے گا۔")</f>
        <v>ایک اچھی تربیت یافتہ گھوڑا اپنے راستے کو خود بخود برقرار رکھے گا، سوار کو ہدف کے مشکل کام پر توجہ مرکوز کرنے کے لیے آزاد کر دے گا۔</v>
      </c>
    </row>
    <row r="45">
      <c r="A45" s="4">
        <v>44.0</v>
      </c>
      <c r="B45" s="5" t="s">
        <v>2530</v>
      </c>
      <c r="C45" s="5" t="s">
        <v>2531</v>
      </c>
      <c r="D45" s="5" t="s">
        <v>2532</v>
      </c>
      <c r="E45" s="5" t="s">
        <v>2533</v>
      </c>
      <c r="I45" s="6" t="str">
        <f>IFERROR(__xludf.DUMMYFUNCTION("GOOGLETRANSLATE(A45, ""en"", ""ur"")"),"44")</f>
        <v>44</v>
      </c>
      <c r="J45" s="6" t="str">
        <f>IFERROR(__xludf.DUMMYFUNCTION("GOOGLETRANSLATE(B45, ""en"", ""ur"")"),"2013 میں پہلے آئی ٹی پی ایف ٹینٹ پیگنگ ورلڈ کپ کی میزبانی کس ملک نے کی؟")</f>
        <v>2013 میں پہلے آئی ٹی پی ایف ٹینٹ پیگنگ ورلڈ کپ کی میزبانی کس ملک نے کی؟</v>
      </c>
      <c r="K45" s="6" t="str">
        <f>IFERROR(__xludf.DUMMYFUNCTION("GOOGLETRANSLATE(C45, ""en"", ""ur"")"),"A) پاکستان، B) بھارت، C) عمان، D) جنوبی افریقہ")</f>
        <v>A) پاکستان، B) بھارت، C) عمان، D) جنوبی افریقہ</v>
      </c>
      <c r="L45" s="6" t="str">
        <f>IFERROR(__xludf.DUMMYFUNCTION("GOOGLETRANSLATE(D45, ""en"", ""ur"")"),"ڈی) جنوبی افریقہ")</f>
        <v>ڈی) جنوبی افریقہ</v>
      </c>
      <c r="M45" s="6" t="str">
        <f>IFERROR(__xludf.DUMMYFUNCTION("GOOGLETRANSLATE(E45, ""en"", ""ur"")"),"افتتاحی ITPF ورلڈ کپ، کھیل کی جدید کاری میں ایک اہم قدم، پریٹوریا، جنوبی افریقہ میں منعقد ہوا۔")</f>
        <v>افتتاحی ITPF ورلڈ کپ، کھیل کی جدید کاری میں ایک اہم قدم، پریٹوریا، جنوبی افریقہ میں منعقد ہوا۔</v>
      </c>
    </row>
    <row r="46">
      <c r="A46" s="4">
        <v>45.0</v>
      </c>
      <c r="B46" s="5" t="s">
        <v>2534</v>
      </c>
      <c r="C46" s="5" t="s">
        <v>2535</v>
      </c>
      <c r="D46" s="5" t="s">
        <v>2536</v>
      </c>
      <c r="E46" s="5" t="s">
        <v>2537</v>
      </c>
      <c r="I46" s="6" t="str">
        <f>IFERROR(__xludf.DUMMYFUNCTION("GOOGLETRANSLATE(A46, ""en"", ""ur"")"),"45")</f>
        <v>45</v>
      </c>
      <c r="J46" s="6" t="str">
        <f>IFERROR(__xludf.DUMMYFUNCTION("GOOGLETRANSLATE(B46, ""en"", ""ur"")"),"ایک سوار کامیابی کے ساتھ کھونٹی کو اٹھاتا ہے، لیکن یہ صرف لکڑی کے کرچ سے لٹکا رہتا ہے۔ کیا یہ درست سکور ہے؟")</f>
        <v>ایک سوار کامیابی کے ساتھ کھونٹی کو اٹھاتا ہے، لیکن یہ صرف لکڑی کے کرچ سے لٹکا رہتا ہے۔ کیا یہ درست سکور ہے؟</v>
      </c>
      <c r="K46" s="6" t="str">
        <f>IFERROR(__xludf.DUMMYFUNCTION("GOOGLETRANSLATE(C46, ""en"", ""ur"")"),"A) نہیں، پیگ کو صاف طور پر چھیدنا ضروری ہے، B) ہاں، اگر اسے ختم لائن پر لے جایا جاتا ہے، تو یہ ایک مکمل پیگ ہے، C) اسے ڈراون پیگ کے طور پر اسکور کیا جاتا ہے، D) رن دوبارہ چلایا جاتا ہے۔")</f>
        <v>A) نہیں، پیگ کو صاف طور پر چھیدنا ضروری ہے، B) ہاں، اگر اسے ختم لائن پر لے جایا جاتا ہے، تو یہ ایک مکمل پیگ ہے، C) اسے ڈراون پیگ کے طور پر اسکور کیا جاتا ہے، D) رن دوبارہ چلایا جاتا ہے۔</v>
      </c>
      <c r="L46" s="6" t="str">
        <f>IFERROR(__xludf.DUMMYFUNCTION("GOOGLETRANSLATE(D46, ""en"", ""ur"")"),"ب) ہاں، اگر اسے ختم لائن کے اوپر لے جایا جاتا ہے، تو یہ ایک مکمل پیگ ہے۔")</f>
        <v>ب) ہاں، اگر اسے ختم لائن کے اوپر لے جایا جاتا ہے، تو یہ ایک مکمل پیگ ہے۔</v>
      </c>
      <c r="M46" s="6" t="str">
        <f>IFERROR(__xludf.DUMMYFUNCTION("GOOGLETRANSLATE(E46, ""en"", ""ur"")"),"لانس کے ساتھ منسلک کرنے کا طریقہ کوئی فرق نہیں پڑتا. اگر کھونٹی کو اٹھا کر لائن کے پار لے جایا جائے تو یہ مکمل 6 پوائنٹس ہے۔")</f>
        <v>لانس کے ساتھ منسلک کرنے کا طریقہ کوئی فرق نہیں پڑتا. اگر کھونٹی کو اٹھا کر لائن کے پار لے جایا جائے تو یہ مکمل 6 پوائنٹس ہے۔</v>
      </c>
    </row>
    <row r="47">
      <c r="A47" s="4">
        <v>46.0</v>
      </c>
      <c r="B47" s="5" t="s">
        <v>2538</v>
      </c>
      <c r="C47" s="5" t="s">
        <v>2539</v>
      </c>
      <c r="D47" s="5" t="s">
        <v>2540</v>
      </c>
      <c r="E47" s="5" t="s">
        <v>2541</v>
      </c>
      <c r="I47" s="6" t="str">
        <f>IFERROR(__xludf.DUMMYFUNCTION("GOOGLETRANSLATE(A47, ""en"", ""ur"")"),"46")</f>
        <v>46</v>
      </c>
      <c r="J47" s="6" t="str">
        <f>IFERROR(__xludf.DUMMYFUNCTION("GOOGLETRANSLATE(B47, ""en"", ""ur"")"),"ان میں سے کون سے واقعات میں سوار نیزہ کی بجائے تلوار کا استعمال کرے گا؟")</f>
        <v>ان میں سے کون سے واقعات میں سوار نیزہ کی بجائے تلوار کا استعمال کرے گا؟</v>
      </c>
      <c r="K47" s="6" t="str">
        <f>IFERROR(__xludf.DUMMYFUNCTION("GOOGLETRANSLATE(C47, ""en"", ""ur"")"),"A) ٹیم ریلے، B) رنگ پیگنگ، C) انفرادی پیگنگ، D) انڈین فائل")</f>
        <v>A) ٹیم ریلے، B) رنگ پیگنگ، C) انفرادی پیگنگ، D) انڈین فائل</v>
      </c>
      <c r="L47" s="6" t="str">
        <f>IFERROR(__xludf.DUMMYFUNCTION("GOOGLETRANSLATE(D47, ""en"", ""ur"")"),"ب) رِنگ پیگنگ")</f>
        <v>ب) رِنگ پیگنگ</v>
      </c>
      <c r="M47" s="6" t="str">
        <f>IFERROR(__xludf.DUMMYFUNCTION("GOOGLETRANSLATE(E47, ""en"", ""ur"")"),"رِنگ پیگنگ اور لیمن کٹنگ وہ ڈسپلن ہیں جو اکثر تلوار سے مختلف قسم کی درستگی کو جانچنے کے لیے کیے جاتے ہیں۔")</f>
        <v>رِنگ پیگنگ اور لیمن کٹنگ وہ ڈسپلن ہیں جو اکثر تلوار سے مختلف قسم کی درستگی کو جانچنے کے لیے کیے جاتے ہیں۔</v>
      </c>
    </row>
    <row r="48">
      <c r="A48" s="4">
        <v>47.0</v>
      </c>
      <c r="B48" s="5" t="s">
        <v>2542</v>
      </c>
      <c r="C48" s="5" t="s">
        <v>2543</v>
      </c>
      <c r="D48" s="5" t="s">
        <v>2513</v>
      </c>
      <c r="E48" s="5" t="s">
        <v>2544</v>
      </c>
      <c r="I48" s="6" t="str">
        <f>IFERROR(__xludf.DUMMYFUNCTION("GOOGLETRANSLATE(A48, ""en"", ""ur"")"),"47")</f>
        <v>47</v>
      </c>
      <c r="J48" s="6" t="str">
        <f>IFERROR(__xludf.DUMMYFUNCTION("GOOGLETRANSLATE(B48, ""en"", ""ur"")"),"ایک سوار کا گھوڑا آخری سیکنڈ میں کھونٹی سے دور ہٹ جاتا ہے، جس کی وجہ سے گم ہو جاتا ہے۔ اس کا کیا حکم ہے؟")</f>
        <v>ایک سوار کا گھوڑا آخری سیکنڈ میں کھونٹی سے دور ہٹ جاتا ہے، جس کی وجہ سے گم ہو جاتا ہے۔ اس کا کیا حکم ہے؟</v>
      </c>
      <c r="K48" s="6" t="str">
        <f>IFERROR(__xludf.DUMMYFUNCTION("GOOGLETRANSLATE(C48, ""en"", ""ur"")"),"A) سوار کو دوبارہ رن دیا جاتا ہے، B) 0 کا سکور دیا جاتا ہے، C) سوار کو نااہل قرار دیا جاتا ہے، D) گھوڑے کو نااہل قرار دیا جاتا ہے۔")</f>
        <v>A) سوار کو دوبارہ رن دیا جاتا ہے، B) 0 کا سکور دیا جاتا ہے، C) سوار کو نااہل قرار دیا جاتا ہے، D) گھوڑے کو نااہل قرار دیا جاتا ہے۔</v>
      </c>
      <c r="L48" s="6" t="str">
        <f>IFERROR(__xludf.DUMMYFUNCTION("GOOGLETRANSLATE(D48, ""en"", ""ur"")"),"ب) 0 کا سکور دیا جاتا ہے۔")</f>
        <v>ب) 0 کا سکور دیا جاتا ہے۔</v>
      </c>
      <c r="M48" s="6" t="str">
        <f>IFERROR(__xludf.DUMMYFUNCTION("GOOGLETRANSLATE(E48, ""en"", ""ur"")"),"سوار اور گھوڑا ایک ٹیم ہے۔ گھوڑے کا اپنا راستہ برقرار رکھنے میں ناکامی چیلنج کا حصہ ہے، اور مس صفر کے طور پر اسکور کی جاتی ہے۔")</f>
        <v>سوار اور گھوڑا ایک ٹیم ہے۔ گھوڑے کا اپنا راستہ برقرار رکھنے میں ناکامی چیلنج کا حصہ ہے، اور مس صفر کے طور پر اسکور کی جاتی ہے۔</v>
      </c>
    </row>
    <row r="49">
      <c r="A49" s="4">
        <v>48.0</v>
      </c>
      <c r="B49" s="5" t="s">
        <v>2545</v>
      </c>
      <c r="C49" s="5" t="s">
        <v>2546</v>
      </c>
      <c r="D49" s="5" t="s">
        <v>2547</v>
      </c>
      <c r="E49" s="5" t="s">
        <v>2548</v>
      </c>
      <c r="I49" s="6" t="str">
        <f>IFERROR(__xludf.DUMMYFUNCTION("GOOGLETRANSLATE(A49, ""en"", ""ur"")"),"48")</f>
        <v>48</v>
      </c>
      <c r="J49" s="6" t="str">
        <f>IFERROR(__xludf.DUMMYFUNCTION("GOOGLETRANSLATE(B49, ""en"", ""ur"")"),"اس ایونٹ کا کیا نام ہے جہاں چار سواروں کی ٹیم ایک فائل لائن میں چارج کرتی ہے؟")</f>
        <v>اس ایونٹ کا کیا نام ہے جہاں چار سواروں کی ٹیم ایک فائل لائن میں چارج کرتی ہے؟</v>
      </c>
      <c r="K49" s="6" t="str">
        <f>IFERROR(__xludf.DUMMYFUNCTION("GOOGLETRANSLATE(C49, ""en"", ""ur"")"),"اے) ریلے، بی) سیکشن، سی) انڈین فائل، ڈی) جوڑے")</f>
        <v>اے) ریلے، بی) سیکشن، سی) انڈین فائل، ڈی) جوڑے</v>
      </c>
      <c r="L49" s="6" t="str">
        <f>IFERROR(__xludf.DUMMYFUNCTION("GOOGLETRANSLATE(D49, ""en"", ""ur"")"),"سی) انڈین فائل")</f>
        <v>سی) انڈین فائل</v>
      </c>
      <c r="M49" s="6" t="str">
        <f>IFERROR(__xludf.DUMMYFUNCTION("GOOGLETRANSLATE(E49, ""en"", ""ur"")"),"انڈین فائل ایک ٹیم ڈسپلن ہے جہاں سوار ایک لائن میں ایک دوسرے کی پیروی کرتے ہیں، ہر ایک لگاتار پیگ مارتا ہے۔")</f>
        <v>انڈین فائل ایک ٹیم ڈسپلن ہے جہاں سوار ایک لائن میں ایک دوسرے کی پیروی کرتے ہیں، ہر ایک لگاتار پیگ مارتا ہے۔</v>
      </c>
    </row>
    <row r="50">
      <c r="A50" s="4">
        <v>49.0</v>
      </c>
      <c r="B50" s="5" t="s">
        <v>2549</v>
      </c>
      <c r="C50" s="5" t="s">
        <v>2550</v>
      </c>
      <c r="D50" s="5" t="s">
        <v>2551</v>
      </c>
      <c r="E50" s="5" t="s">
        <v>2552</v>
      </c>
      <c r="I50" s="6" t="str">
        <f>IFERROR(__xludf.DUMMYFUNCTION("GOOGLETRANSLATE(A50, ""en"", ""ur"")"),"49")</f>
        <v>49</v>
      </c>
      <c r="J50" s="6" t="str">
        <f>IFERROR(__xludf.DUMMYFUNCTION("GOOGLETRANSLATE(B50, ""en"", ""ur"")"),"رن کے دوران ہیلمٹ کھونے والے سوار کے لیے کیا سزا ہے؟")</f>
        <v>رن کے دوران ہیلمٹ کھونے والے سوار کے لیے کیا سزا ہے؟</v>
      </c>
      <c r="K50" s="6" t="str">
        <f>IFERROR(__xludf.DUMMYFUNCTION("GOOGLETRANSLATE(C50, ""en"", ""ur"")"),"A) کوئی جرمانہ نہیں ہے، B) 2 نکاتی کٹوتی، C) حفاظتی وجوہات کی بنا پر اس دوڑ سے نااہلی، D) پوری ٹیم کو نااہل قرار دیا گیا ہے۔")</f>
        <v>A) کوئی جرمانہ نہیں ہے، B) 2 نکاتی کٹوتی، C) حفاظتی وجوہات کی بنا پر اس دوڑ سے نااہلی، D) پوری ٹیم کو نااہل قرار دیا گیا ہے۔</v>
      </c>
      <c r="L50" s="6" t="str">
        <f>IFERROR(__xludf.DUMMYFUNCTION("GOOGLETRANSLATE(D50, ""en"", ""ur"")"),"ج) حفاظتی وجوہات کی بنا پر اس رن سے نااہلی")</f>
        <v>ج) حفاظتی وجوہات کی بنا پر اس رن سے نااہلی</v>
      </c>
      <c r="M50" s="6" t="str">
        <f>IFERROR(__xludf.DUMMYFUNCTION("GOOGLETRANSLATE(E50, ""en"", ""ur"")"),"ہیلمٹ لازمی حفاظتی سامان ہے۔ اگر یہ گر جاتا ہے، تو صفر کے اسکور کے ساتھ رن فوری طور پر کالعدم ہو جاتا ہے۔")</f>
        <v>ہیلمٹ لازمی حفاظتی سامان ہے۔ اگر یہ گر جاتا ہے، تو صفر کے اسکور کے ساتھ رن فوری طور پر کالعدم ہو جاتا ہے۔</v>
      </c>
    </row>
    <row r="51">
      <c r="A51" s="4">
        <v>50.0</v>
      </c>
      <c r="B51" s="5" t="s">
        <v>2553</v>
      </c>
      <c r="C51" s="5" t="s">
        <v>2554</v>
      </c>
      <c r="D51" s="5" t="s">
        <v>2555</v>
      </c>
      <c r="E51" s="5" t="s">
        <v>2556</v>
      </c>
      <c r="I51" s="6" t="str">
        <f>IFERROR(__xludf.DUMMYFUNCTION("GOOGLETRANSLATE(A51, ""en"", ""ur"")"),"50")</f>
        <v>50</v>
      </c>
      <c r="J51" s="6" t="str">
        <f>IFERROR(__xludf.DUMMYFUNCTION("GOOGLETRANSLATE(B51, ""en"", ""ur"")"),"پاکستان کے فوجی اور ثقافتی ورثے کا کون سا حصہ ٹینٹ پیگنگ میں سب سے زیادہ جھلکتا ہے؟")</f>
        <v>پاکستان کے فوجی اور ثقافتی ورثے کا کون سا حصہ ٹینٹ پیگنگ میں سب سے زیادہ جھلکتا ہے؟</v>
      </c>
      <c r="K51" s="6" t="str">
        <f>IFERROR(__xludf.DUMMYFUNCTION("GOOGLETRANSLATE(C51, ""en"", ""ur"")"),"A) بحری روایات، B) پیادہ مشقیں، C) مغل اور برطانوی ہندوستانی گھڑسوار فوج کی میراث، D) فضائیہ کی تقریبات")</f>
        <v>A) بحری روایات، B) پیادہ مشقیں، C) مغل اور برطانوی ہندوستانی گھڑسوار فوج کی میراث، D) فضائیہ کی تقریبات</v>
      </c>
      <c r="L51" s="6" t="str">
        <f>IFERROR(__xludf.DUMMYFUNCTION("GOOGLETRANSLATE(D51, ""en"", ""ur"")"),"ج) مغل اور برطانوی ہندوستانی گھڑسوار فوج کی میراث")</f>
        <v>ج) مغل اور برطانوی ہندوستانی گھڑسوار فوج کی میراث</v>
      </c>
      <c r="M51" s="6" t="str">
        <f>IFERROR(__xludf.DUMMYFUNCTION("GOOGLETRANSLATE(E51, ""en"", ""ur"")"),"یہ کھیل برصغیر پاک و ہند کی تاریخی کیولری رجمنٹوں کی مہارت اور مقابلہ بازی کا براہ راست تسلسل ہے۔")</f>
        <v>یہ کھیل برصغیر پاک و ہند کی تاریخی کیولری رجمنٹوں کی مہارت اور مقابلہ بازی کا براہ راست تسلسل ہے۔</v>
      </c>
    </row>
    <row r="52">
      <c r="A52" s="4">
        <v>51.0</v>
      </c>
      <c r="B52" s="5" t="s">
        <v>2557</v>
      </c>
      <c r="C52" s="5" t="s">
        <v>2558</v>
      </c>
      <c r="D52" s="5" t="s">
        <v>2559</v>
      </c>
      <c r="E52" s="5" t="s">
        <v>2560</v>
      </c>
      <c r="I52" s="6" t="str">
        <f>IFERROR(__xludf.DUMMYFUNCTION("GOOGLETRANSLATE(A52, ""en"", ""ur"")"),"51")</f>
        <v>51</v>
      </c>
      <c r="J52" s="6" t="str">
        <f>IFERROR(__xludf.DUMMYFUNCTION("GOOGLETRANSLATE(B52, ""en"", ""ur"")"),"""ڈرا پیگ"" (2 پوائنٹس) کے لیے جج کا اشارہ کیا ہے؟")</f>
        <v>"ڈرا پیگ" (2 پوائنٹس) کے لیے جج کا اشارہ کیا ہے؟</v>
      </c>
      <c r="K52" s="6" t="str">
        <f>IFERROR(__xludf.DUMMYFUNCTION("GOOGLETRANSLATE(C52, ""en"", ""ur"")"),"A) ایک سبز جھنڈا بلند کیا جاتا ہے، B) ایک سفید جھنڈا بلند کیا جاتا ہے، C) جج نے ایک بازو افقی طور پر پکڑ رکھا ہے، D) جج ایک بار سیٹی بجاتا ہے۔")</f>
        <v>A) ایک سبز جھنڈا بلند کیا جاتا ہے، B) ایک سفید جھنڈا بلند کیا جاتا ہے، C) جج نے ایک بازو افقی طور پر پکڑ رکھا ہے، D) جج ایک بار سیٹی بجاتا ہے۔</v>
      </c>
      <c r="L52" s="6" t="str">
        <f>IFERROR(__xludf.DUMMYFUNCTION("GOOGLETRANSLATE(D52, ""en"", ""ur"")"),"ب) ایک سفید جھنڈا اٹھایا گیا ہے۔")</f>
        <v>ب) ایک سفید جھنڈا اٹھایا گیا ہے۔</v>
      </c>
      <c r="M52" s="6" t="str">
        <f>IFERROR(__xludf.DUMMYFUNCTION("GOOGLETRANSLATE(E52, ""en"", ""ur"")"),"جھنڈے کے نظام میں، ایک سفید جھنڈا اکثر کھینچے ہوئے پیگ کے جزوی سکور کو ظاہر کرنے کے لیے استعمال کیا جاتا ہے۔")</f>
        <v>جھنڈے کے نظام میں، ایک سفید جھنڈا اکثر کھینچے ہوئے پیگ کے جزوی سکور کو ظاہر کرنے کے لیے استعمال کیا جاتا ہے۔</v>
      </c>
    </row>
    <row r="53">
      <c r="A53" s="4">
        <v>52.0</v>
      </c>
      <c r="B53" s="5" t="s">
        <v>2561</v>
      </c>
      <c r="C53" s="5" t="s">
        <v>2562</v>
      </c>
      <c r="D53" s="5" t="s">
        <v>2563</v>
      </c>
      <c r="E53" s="5" t="s">
        <v>2564</v>
      </c>
      <c r="I53" s="6" t="str">
        <f>IFERROR(__xludf.DUMMYFUNCTION("GOOGLETRANSLATE(A53, ""en"", ""ur"")"),"52")</f>
        <v>52</v>
      </c>
      <c r="J53" s="6" t="str">
        <f>IFERROR(__xludf.DUMMYFUNCTION("GOOGLETRANSLATE(B53, ""en"", ""ur"")"),"بہت بھاری لینس استعمال کرنے کا بنیادی خطرہ کیا ہے؟")</f>
        <v>بہت بھاری لینس استعمال کرنے کا بنیادی خطرہ کیا ہے؟</v>
      </c>
      <c r="K53" s="6" t="str">
        <f>IFERROR(__xludf.DUMMYFUNCTION("GOOGLETRANSLATE(C53, ""en"", ""ur"")"),"A) یہ آسانی سے ٹوٹ سکتا ہے، B) یہ ہدف میں سست ہے اور سوار کا توازن کھو سکتا ہے، C) یہ کھونٹی میں نہیں گھسے گا، D) یہ قواعد کے خلاف ہے۔")</f>
        <v>A) یہ آسانی سے ٹوٹ سکتا ہے، B) یہ ہدف میں سست ہے اور سوار کا توازن کھو سکتا ہے، C) یہ کھونٹی میں نہیں گھسے گا، D) یہ قواعد کے خلاف ہے۔</v>
      </c>
      <c r="L53" s="6" t="str">
        <f>IFERROR(__xludf.DUMMYFUNCTION("GOOGLETRANSLATE(D53, ""en"", ""ur"")"),"ب) یہ مقصد کرنے میں سست ہے اور سوار کو توازن کھو سکتا ہے۔")</f>
        <v>ب) یہ مقصد کرنے میں سست ہے اور سوار کو توازن کھو سکتا ہے۔</v>
      </c>
      <c r="M53" s="6" t="str">
        <f>IFERROR(__xludf.DUMMYFUNCTION("GOOGLETRANSLATE(E53, ""en"", ""ur"")"),"بھاری لینس تیزی سے چال چلنا مشکل ہے اور گھوڑے پر سوار کا نازک توازن بگاڑ سکتا ہے۔")</f>
        <v>بھاری لینس تیزی سے چال چلنا مشکل ہے اور گھوڑے پر سوار کا نازک توازن بگاڑ سکتا ہے۔</v>
      </c>
    </row>
    <row r="54">
      <c r="A54" s="4">
        <v>53.0</v>
      </c>
      <c r="B54" s="5" t="s">
        <v>2565</v>
      </c>
      <c r="C54" s="5" t="s">
        <v>2566</v>
      </c>
      <c r="D54" s="5" t="s">
        <v>2567</v>
      </c>
      <c r="E54" s="5" t="s">
        <v>2568</v>
      </c>
      <c r="I54" s="6" t="str">
        <f>IFERROR(__xludf.DUMMYFUNCTION("GOOGLETRANSLATE(A54, ""en"", ""ur"")"),"53")</f>
        <v>53</v>
      </c>
      <c r="J54" s="6" t="str">
        <f>IFERROR(__xludf.DUMMYFUNCTION("GOOGLETRANSLATE(B54, ""en"", ""ur"")"),"""انفرادی لانس"" ایونٹ میں، فیصلہ کرنے کا بنیادی معیار کیا ہے؟")</f>
        <v>"انفرادی لانس" ایونٹ میں، فیصلہ کرنے کا بنیادی معیار کیا ہے؟</v>
      </c>
      <c r="K54" s="6" t="str">
        <f>IFERROR(__xludf.DUMMYFUNCTION("GOOGLETRANSLATE(C54, ""en"", ""ur"")"),"A) گھوڑے کی رفتار، B) سوار کا انداز اور کرنسی، C) رنز کی ایک سیریز میں بنائے گئے پوائنٹس کی کل تعداد، D) گھوڑے کی خوبصورتی")</f>
        <v>A) گھوڑے کی رفتار، B) سوار کا انداز اور کرنسی، C) رنز کی ایک سیریز میں بنائے گئے پوائنٹس کی کل تعداد، D) گھوڑے کی خوبصورتی</v>
      </c>
      <c r="L54" s="6" t="str">
        <f>IFERROR(__xludf.DUMMYFUNCTION("GOOGLETRANSLATE(D54, ""en"", ""ur"")"),"C) رنز کی ایک سیریز میں اسکور کیے گئے پوائنٹس کی کل تعداد")</f>
        <v>C) رنز کی ایک سیریز میں اسکور کیے گئے پوائنٹس کی کل تعداد</v>
      </c>
      <c r="M54" s="6" t="str">
        <f>IFERROR(__xludf.DUMMYFUNCTION("GOOGLETRANSLATE(E54, ""en"", ""ur"")"),"یہ ایک سیدھا سادھا مقابلہ ہے جہاں فاتح وہ فرد ہوتا ہے جو سب سے زیادہ مجموعی اسکور حاصل کرتا ہے۔")</f>
        <v>یہ ایک سیدھا سادھا مقابلہ ہے جہاں فاتح وہ فرد ہوتا ہے جو سب سے زیادہ مجموعی اسکور حاصل کرتا ہے۔</v>
      </c>
    </row>
    <row r="55">
      <c r="A55" s="4">
        <v>54.0</v>
      </c>
      <c r="B55" s="5" t="s">
        <v>2569</v>
      </c>
      <c r="C55" s="5" t="s">
        <v>2570</v>
      </c>
      <c r="D55" s="5" t="s">
        <v>2571</v>
      </c>
      <c r="E55" s="5" t="s">
        <v>2572</v>
      </c>
      <c r="I55" s="6" t="str">
        <f>IFERROR(__xludf.DUMMYFUNCTION("GOOGLETRANSLATE(A55, ""en"", ""ur"")"),"54")</f>
        <v>54</v>
      </c>
      <c r="J55" s="6" t="str">
        <f>IFERROR(__xludf.DUMMYFUNCTION("GOOGLETRANSLATE(B55, ""en"", ""ur"")"),"اگر ایک کھونٹی اٹھائی جائے لیکن سوار ختم لائن سے پہلے اپنی لانس (کھنٹی پر موجود ہے) گرا دے تو کیا حکم ہے؟")</f>
        <v>اگر ایک کھونٹی اٹھائی جائے لیکن سوار ختم لائن سے پہلے اپنی لانس (کھنٹی پر موجود ہے) گرا دے تو کیا حکم ہے؟</v>
      </c>
      <c r="K55" s="6" t="str">
        <f>IFERROR(__xludf.DUMMYFUNCTION("GOOGLETRANSLATE(C55, ""en"", ""ur"")"),"A) مکمل پوائنٹس دیئے جاتے ہیں، B) آدھے پوائنٹس دیئے جاتے ہیں، C) زیرو پوائنٹس دیئے جاتے ہیں، D) رن دوبارہ چلایا جاتا ہے")</f>
        <v>A) مکمل پوائنٹس دیئے جاتے ہیں، B) آدھے پوائنٹس دیئے جاتے ہیں، C) زیرو پوائنٹس دیئے جاتے ہیں، D) رن دوبارہ چلایا جاتا ہے</v>
      </c>
      <c r="L55" s="6" t="str">
        <f>IFERROR(__xludf.DUMMYFUNCTION("GOOGLETRANSLATE(D55, ""en"", ""ur"")"),"C) زیرو پوائنٹس دیئے جاتے ہیں۔")</f>
        <v>C) زیرو پوائنٹس دیئے جاتے ہیں۔</v>
      </c>
      <c r="M55" s="6" t="str">
        <f>IFERROR(__xludf.DUMMYFUNCTION("GOOGLETRANSLATE(E55, ""en"", ""ur"")"),"سوار کو پوری دوڑ میں اپنے ہتھیار کا کنٹرول برقرار رکھنا چاہیے۔ لانس کو گرانے سے صفر کا سکور ہوتا ہے۔")</f>
        <v>سوار کو پوری دوڑ میں اپنے ہتھیار کا کنٹرول برقرار رکھنا چاہیے۔ لانس کو گرانے سے صفر کا سکور ہوتا ہے۔</v>
      </c>
    </row>
    <row r="56">
      <c r="A56" s="4">
        <v>55.0</v>
      </c>
      <c r="B56" s="5" t="s">
        <v>2573</v>
      </c>
      <c r="C56" s="5" t="s">
        <v>2574</v>
      </c>
      <c r="D56" s="5" t="s">
        <v>2575</v>
      </c>
      <c r="E56" s="5" t="s">
        <v>2576</v>
      </c>
      <c r="I56" s="6" t="str">
        <f>IFERROR(__xludf.DUMMYFUNCTION("GOOGLETRANSLATE(A56, ""en"", ""ur"")"),"55")</f>
        <v>55</v>
      </c>
      <c r="J56" s="6" t="str">
        <f>IFERROR(__xludf.DUMMYFUNCTION("GOOGLETRANSLATE(B56, ""en"", ""ur"")"),"کیوں سوار اکثر رسمی نمائش کے دوران روایتی، بہتے ہوئے لباس پہنتے ہیں لیکن اعلیٰ سطح کے مقابلوں میں نہیں؟")</f>
        <v>کیوں سوار اکثر رسمی نمائش کے دوران روایتی، بہتے ہوئے لباس پہنتے ہیں لیکن اعلیٰ سطح کے مقابلوں میں نہیں؟</v>
      </c>
      <c r="K56" s="6" t="str">
        <f>IFERROR(__xludf.DUMMYFUNCTION("GOOGLETRANSLATE(C56, ""en"", ""ur"")"),"A)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f>
        <v>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v>
      </c>
      <c r="L56" s="6" t="str">
        <f>IFERROR(__xludf.DUMMYFUNCTION("GOOGLETRANSLATE(D56, ""en"", ""ur"")"),"ب) لباس پھنس سکتا ہے یا الجھ سکتا ہے، جو کہ وقتی تقریب میں حفاظتی خطرہ ہے۔")</f>
        <v>ب) لباس پھنس سکتا ہے یا الجھ سکتا ہے، جو کہ وقتی تقریب میں حفاظتی خطرہ ہے۔</v>
      </c>
      <c r="M56" s="6" t="str">
        <f>IFERROR(__xludf.DUMMYFUNCTION("GOOGLETRANSLATE(E56, ""en"", ""ur"")"),"بصری طور پر متاثر کن ہونے کے باوجود، ڈھیلے لباس تیز رفتاری سے خطرناک ہو سکتے ہیں، اس لیے مقابلوں میں حفاظت کے لیے گھڑ سواری کے سامان کی ضرورت ہوتی ہے۔")</f>
        <v>بصری طور پر متاثر کن ہونے کے باوجود، ڈھیلے لباس تیز رفتاری سے خطرناک ہو سکتے ہیں، اس لیے مقابلوں میں حفاظت کے لیے گھڑ سواری کے سامان کی ضرورت ہوتی ہے۔</v>
      </c>
    </row>
    <row r="57">
      <c r="A57" s="4">
        <v>56.0</v>
      </c>
      <c r="B57" s="5" t="s">
        <v>2577</v>
      </c>
      <c r="C57" s="5" t="s">
        <v>2578</v>
      </c>
      <c r="D57" s="5" t="s">
        <v>2579</v>
      </c>
      <c r="E57" s="5" t="s">
        <v>2580</v>
      </c>
      <c r="I57" s="6" t="str">
        <f>IFERROR(__xludf.DUMMYFUNCTION("GOOGLETRANSLATE(A57, ""en"", ""ur"")"),"56")</f>
        <v>56</v>
      </c>
      <c r="J57" s="6" t="str">
        <f>IFERROR(__xludf.DUMMYFUNCTION("GOOGLETRANSLATE(B57, ""en"", ""ur"")"),"""انڈین فائل"" ٹیم ایونٹ میں اہم چیلنج کیا ہے؟")</f>
        <v>"انڈین فائل" ٹیم ایونٹ میں اہم چیلنج کیا ہے؟</v>
      </c>
      <c r="K57" s="6" t="str">
        <f>IFERROR(__xludf.DUMMYFUNCTION("GOOGLETRANSLATE(C57, ""en"", ""ur"")"),"A)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f>
        <v>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v>
      </c>
      <c r="L57" s="6" t="str">
        <f>IFERROR(__xludf.DUMMYFUNCTION("GOOGLETRANSLATE(D57, ""en"", ""ur"")"),"ب) ہر سوار کو اپنے سامنے سوار کی توجہ ہٹانے سے گریز کرنا چاہیے۔")</f>
        <v>ب) ہر سوار کو اپنے سامنے سوار کی توجہ ہٹانے سے گریز کرنا چاہیے۔</v>
      </c>
      <c r="M57" s="6" t="str">
        <f>IFERROR(__xludf.DUMMYFUNCTION("GOOGLETRANSLATE(E57, ""en"", ""ur"")"),"یہ ایونٹ ہر سوار کی انفرادی توجہ اور ارتکاز کو جانچتا ہے جب کہ ایک سخت، تیز رفتاری سے چلنے والی شکل میں سواری کرتے ہیں۔")</f>
        <v>یہ ایونٹ ہر سوار کی انفرادی توجہ اور ارتکاز کو جانچتا ہے جب کہ ایک سخت، تیز رفتاری سے چلنے والی شکل میں سواری کرتے ہیں۔</v>
      </c>
    </row>
    <row r="58">
      <c r="A58" s="4">
        <v>57.0</v>
      </c>
      <c r="B58" s="5" t="s">
        <v>2581</v>
      </c>
      <c r="C58" s="5" t="s">
        <v>2582</v>
      </c>
      <c r="D58" s="5" t="s">
        <v>2583</v>
      </c>
      <c r="E58" s="5" t="s">
        <v>2584</v>
      </c>
      <c r="I58" s="6" t="str">
        <f>IFERROR(__xludf.DUMMYFUNCTION("GOOGLETRANSLATE(A58, ""en"", ""ur"")"),"57")</f>
        <v>57</v>
      </c>
      <c r="J58" s="6" t="str">
        <f>IFERROR(__xludf.DUMMYFUNCTION("GOOGLETRANSLATE(B58, ""en"", ""ur"")"),"ایک سوار کامیابی کے ساتھ لیموں کو کاٹتا ہے لیکن اس کے اسٹینڈ کو بھی مارتا ہے جس پر اسے رکھا گیا تھا۔ اس کا کیا حکم ہے؟")</f>
        <v>ایک سوار کامیابی کے ساتھ لیموں کو کاٹتا ہے لیکن اس کے اسٹینڈ کو بھی مارتا ہے جس پر اسے رکھا گیا تھا۔ اس کا کیا حکم ہے؟</v>
      </c>
      <c r="K58" s="6" t="str">
        <f>IFERROR(__xludf.DUMMYFUNCTION("GOOGLETRANSLATE(C58, ""en"", ""ur"")"),"A) سکور درست ہے، B) سکور کو کالعدم کر دیا گیا ہے، C) ایک جرمانہ کاٹ دیا گیا ہے، D) سوار کو دوبارہ رن ملتا ہے۔")</f>
        <v>A) سکور درست ہے، B) سکور کو کالعدم کر دیا گیا ہے، C) ایک جرمانہ کاٹ دیا گیا ہے، D) سوار کو دوبارہ رن ملتا ہے۔</v>
      </c>
      <c r="L58" s="6" t="str">
        <f>IFERROR(__xludf.DUMMYFUNCTION("GOOGLETRANSLATE(D58, ""en"", ""ur"")"),"ب) سکور کالعدم ہے۔")</f>
        <v>ب) سکور کالعدم ہے۔</v>
      </c>
      <c r="M58" s="6" t="str">
        <f>IFERROR(__xludf.DUMMYFUNCTION("GOOGLETRANSLATE(E58, ""en"", ""ur"")"),"لیموں کی کٹائی کے قواعد میں صرف ہدف کو صاف کرنے کی ضرورت ہے۔ معاون آلات کو مارنا غلط ہے اور اسکور کو باطل کرتا ہے۔")</f>
        <v>لیموں کی کٹائی کے قواعد میں صرف ہدف کو صاف کرنے کی ضرورت ہے۔ معاون آلات کو مارنا غلط ہے اور اسکور کو باطل کرتا ہے۔</v>
      </c>
    </row>
    <row r="59">
      <c r="A59" s="4">
        <v>58.0</v>
      </c>
      <c r="B59" s="5" t="s">
        <v>2585</v>
      </c>
      <c r="C59" s="5" t="s">
        <v>2586</v>
      </c>
      <c r="D59" s="5" t="s">
        <v>2587</v>
      </c>
      <c r="E59" s="5" t="s">
        <v>2588</v>
      </c>
      <c r="I59" s="6" t="str">
        <f>IFERROR(__xludf.DUMMYFUNCTION("GOOGLETRANSLATE(A59, ""en"", ""ur"")"),"58")</f>
        <v>58</v>
      </c>
      <c r="J59" s="6" t="str">
        <f>IFERROR(__xludf.DUMMYFUNCTION("GOOGLETRANSLATE(B59, ""en"", ""ur"")"),"بنیادی وجہ کیا ہے کہ گھوڑے کو ٹانگوں کے اشارے کا جواب دینے کے لیے اچھی طرح سے تربیت یافتہ ہونا ضروری ہے؟")</f>
        <v>بنیادی وجہ کیا ہے کہ گھوڑے کو ٹانگوں کے اشارے کا جواب دینے کے لیے اچھی طرح سے تربیت یافتہ ہونا ضروری ہے؟</v>
      </c>
      <c r="K59" s="6" t="str">
        <f>IFERROR(__xludf.DUMMYFUNCTION("GOOGLETRANSLATE(C59, ""en"", ""ur"")"),"A) یہ ایک اصول ہے، B) سوار کو لانس کے لیے ایک ہاتھ کی ضرورت ہوتی ہے، اس لیے وہ بنیادی طور پر اپنی ٹانگوں سے گھوڑے کی رہنمائی کرنے کے قابل ہونا چاہیے، C) یہ گھوڑے کو زیادہ آرام دہ بناتا ہے، D) یہ زیادہ پیشہ ور نظر آتا ہے۔")</f>
        <v>A) یہ ایک اصول ہے، B) سوار کو لانس کے لیے ایک ہاتھ کی ضرورت ہوتی ہے، اس لیے وہ بنیادی طور پر اپنی ٹانگوں سے گھوڑے کی رہنمائی کرنے کے قابل ہونا چاہیے، C) یہ گھوڑے کو زیادہ آرام دہ بناتا ہے، D) یہ زیادہ پیشہ ور نظر آتا ہے۔</v>
      </c>
      <c r="L59" s="6" t="str">
        <f>IFERROR(__xludf.DUMMYFUNCTION("GOOGLETRANSLATE(D59, ""en"", ""ur"")"),"ب) سوار کو لانس کے لیے ایک ہاتھ کی ضرورت ہوتی ہے، اس لیے وہ بنیادی طور پر اپنی ٹانگوں سے گھوڑے کی رہنمائی کرنے کے قابل ہونا چاہیے۔")</f>
        <v>ب) سوار کو لانس کے لیے ایک ہاتھ کی ضرورت ہوتی ہے، اس لیے وہ بنیادی طور پر اپنی ٹانگوں سے گھوڑے کی رہنمائی کرنے کے قابل ہونا چاہیے۔</v>
      </c>
      <c r="M59" s="6" t="str">
        <f>IFERROR(__xludf.DUMMYFUNCTION("GOOGLETRANSLATE(E59, ""en"", ""ur"")"),"ٹینٹ پیگنگ گھوڑا کم سے کم لگام کے ساتھ قابل کنٹرول ہونا چاہیے، کیونکہ سوار کی توجہ اور غالب ہاتھ ہتھیار پر مرکوز ہوتے ہیں۔")</f>
        <v>ٹینٹ پیگنگ گھوڑا کم سے کم لگام کے ساتھ قابل کنٹرول ہونا چاہیے، کیونکہ سوار کی توجہ اور غالب ہاتھ ہتھیار پر مرکوز ہوتے ہیں۔</v>
      </c>
    </row>
    <row r="60">
      <c r="A60" s="4">
        <v>59.0</v>
      </c>
      <c r="B60" s="5" t="s">
        <v>2589</v>
      </c>
      <c r="C60" s="5" t="s">
        <v>2590</v>
      </c>
      <c r="D60" s="5" t="s">
        <v>2591</v>
      </c>
      <c r="E60" s="5" t="s">
        <v>2592</v>
      </c>
      <c r="I60" s="6" t="str">
        <f>IFERROR(__xludf.DUMMYFUNCTION("GOOGLETRANSLATE(A60, ""en"", ""ur"")"),"59")</f>
        <v>59</v>
      </c>
      <c r="J60" s="6" t="str">
        <f>IFERROR(__xludf.DUMMYFUNCTION("GOOGLETRANSLATE(B60, ""en"", ""ur"")"),"ایک سوار نے احتجاج کیا کہ کھونٹی کو مٹی میں رکھا گیا تھا جو بہت سخت تھا، جس کی وجہ سے اسے کھینچنا ناممکن تھا۔ اہلکار کیا کر سکتے ہیں؟")</f>
        <v>ایک سوار نے احتجاج کیا کہ کھونٹی کو مٹی میں رکھا گیا تھا جو بہت سخت تھا، جس کی وجہ سے اسے کھینچنا ناممکن تھا۔ اہلکار کیا کر سکتے ہیں؟</v>
      </c>
      <c r="K60" s="6" t="str">
        <f>IFERROR(__xludf.DUMMYFUNCTION("GOOGLETRANSLATE(C60, ""en"", ""ur"")"),"A) احتجاج کو نظر انداز کریں، B) گراؤنڈ کا معائنہ کریں اور اگر دعویٰ درست ہے تو اسے ڈھیلا کرنے کا حکم دیں، C) سوار کو مکمل پوائنٹس دیں، D) گراؤنڈ کے عملے کو نااہل قرار دیں۔")</f>
        <v>A) احتجاج کو نظر انداز کریں، B) گراؤنڈ کا معائنہ کریں اور اگر دعویٰ درست ہے تو اسے ڈھیلا کرنے کا حکم دیں، C) سوار کو مکمل پوائنٹس دیں، D) گراؤنڈ کے عملے کو نااہل قرار دیں۔</v>
      </c>
      <c r="L60" s="6" t="str">
        <f>IFERROR(__xludf.DUMMYFUNCTION("GOOGLETRANSLATE(D60, ""en"", ""ur"")"),"ب) زمین کا معائنہ کریں اور اگر دعویٰ درست ہے تو اسے ڈھیلا کرنے کا حکم دیں۔")</f>
        <v>ب) زمین کا معائنہ کریں اور اگر دعویٰ درست ہے تو اسے ڈھیلا کرنے کا حکم دیں۔</v>
      </c>
      <c r="M60" s="6" t="str">
        <f>IFERROR(__xludf.DUMMYFUNCTION("GOOGLETRANSLATE(E60, ""en"", ""ur"")"),"تکنیکی مندوب تمام حریفوں کے لیے منصفانہ اور ہم آہنگ زمینی حالات کو یقینی بنانے کا ذمہ دار ہے۔")</f>
        <v>تکنیکی مندوب تمام حریفوں کے لیے منصفانہ اور ہم آہنگ زمینی حالات کو یقینی بنانے کا ذمہ دار ہے۔</v>
      </c>
    </row>
    <row r="61">
      <c r="A61" s="4">
        <v>60.0</v>
      </c>
      <c r="B61" s="5" t="s">
        <v>2593</v>
      </c>
      <c r="C61" s="5" t="s">
        <v>2594</v>
      </c>
      <c r="D61" s="5" t="s">
        <v>2595</v>
      </c>
      <c r="E61" s="5" t="s">
        <v>2596</v>
      </c>
      <c r="I61" s="6" t="str">
        <f>IFERROR(__xludf.DUMMYFUNCTION("GOOGLETRANSLATE(A61, ""en"", ""ur"")"),"60")</f>
        <v>60</v>
      </c>
      <c r="J61" s="6" t="str">
        <f>IFERROR(__xludf.DUMMYFUNCTION("GOOGLETRANSLATE(B61, ""en"", ""ur"")"),"ٹینٹ پیگنگ کے ""ورلڈ کپ"" کا حتمی مقصد کیا ہے؟")</f>
        <v>ٹینٹ پیگنگ کے "ورلڈ کپ" کا حتمی مقصد کیا ہے؟</v>
      </c>
      <c r="K61" s="6" t="str">
        <f>IFERROR(__xludf.DUMMYFUNCTION("GOOGLETRANSLATE(C61, ""en"", ""ur"")"),"A) سیاحت کو فروغ دینے کے لیے، B) دنیا کے بہترین انفرادی اور ٹیم چیمپئنز کا تعین کرنے کے لیے، C) گھوڑوں کی فروخت، D) ایک خالصتاً رسمی تقریب ہو")</f>
        <v>A) سیاحت کو فروغ دینے کے لیے، B) دنیا کے بہترین انفرادی اور ٹیم چیمپئنز کا تعین کرنے کے لیے، C) گھوڑوں کی فروخت، D) ایک خالصتاً رسمی تقریب ہو</v>
      </c>
      <c r="L61" s="6" t="str">
        <f>IFERROR(__xludf.DUMMYFUNCTION("GOOGLETRANSLATE(D61, ""en"", ""ur"")"),"ب) دنیا کے بہترین انفرادی اور ٹیم چیمپئنز کا تعین کرنا")</f>
        <v>ب) دنیا کے بہترین انفرادی اور ٹیم چیمپئنز کا تعین کرنا</v>
      </c>
      <c r="M61" s="6" t="str">
        <f>IFERROR(__xludf.DUMMYFUNCTION("GOOGLETRANSLATE(E61, ""en"", ""ur"")"),"آئی ٹی پی ایف ورلڈ کپ اس کھیل کا عروج ہے، جو رکن ممالک کے بہترین سواروں کو عالمی چیمپئن شپ ٹائٹل کے لیے مقابلہ کرنے کے لیے اکٹھا کرتا ہے۔")</f>
        <v>آئی ٹی پی ایف ورلڈ کپ اس کھیل کا عروج ہے، جو رکن ممالک کے بہترین سواروں کو عالمی چیمپئن شپ ٹائٹل کے لیے مقابلہ کرنے کے لیے اکٹھا کرتا ہے۔</v>
      </c>
    </row>
    <row r="62">
      <c r="A62" s="4">
        <v>61.0</v>
      </c>
      <c r="B62" s="5" t="s">
        <v>2597</v>
      </c>
      <c r="C62" s="5" t="s">
        <v>2598</v>
      </c>
      <c r="D62" s="5" t="s">
        <v>2599</v>
      </c>
      <c r="E62" s="5" t="s">
        <v>2600</v>
      </c>
      <c r="I62" s="6" t="str">
        <f>IFERROR(__xludf.DUMMYFUNCTION("GOOGLETRANSLATE(A62, ""en"", ""ur"")"),"61")</f>
        <v>61</v>
      </c>
      <c r="J62" s="6" t="str">
        <f>IFERROR(__xludf.DUMMYFUNCTION("GOOGLETRANSLATE(B62, ""en"", ""ur"")"),"ٹیم ایونٹس میں یکساں قوانین کے سختی سے نفاذ کی بنیادی وجہ کیا ہے؟")</f>
        <v>ٹیم ایونٹس میں یکساں قوانین کے سختی سے نفاذ کی بنیادی وجہ کیا ہے؟</v>
      </c>
      <c r="K62" s="6" t="str">
        <f>IFERROR(__xludf.DUMMYFUNCTION("GOOGLETRANSLATE(C62, ""en"", ""ur"")"),"A)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f>
        <v>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v>
      </c>
      <c r="L62" s="6" t="str">
        <f>IFERROR(__xludf.DUMMYFUNCTION("GOOGLETRANSLATE(D62, ""en"", ""ur"")"),"ب) ججوں اور تماشائیوں کو ٹیموں کی آسانی سے شناخت کرنے میں مدد کرنا")</f>
        <v>ب) ججوں اور تماشائیوں کو ٹیموں کی آسانی سے شناخت کرنے میں مدد کرنا</v>
      </c>
      <c r="M62" s="6" t="str">
        <f>IFERROR(__xludf.DUMMYFUNCTION("GOOGLETRANSLATE(E62, ""en"", ""ur"")"),"ایک سے زیادہ سواروں کے ساتھ تیز رفتار ایونٹ میں، واضح اور درست فیصلے کے لیے یکساں رنگ ضروری ہیں۔")</f>
        <v>ایک سے زیادہ سواروں کے ساتھ تیز رفتار ایونٹ میں، واضح اور درست فیصلے کے لیے یکساں رنگ ضروری ہیں۔</v>
      </c>
    </row>
    <row r="63">
      <c r="A63" s="4">
        <v>62.0</v>
      </c>
      <c r="B63" s="5" t="s">
        <v>2601</v>
      </c>
      <c r="C63" s="5" t="s">
        <v>2602</v>
      </c>
      <c r="D63" s="5" t="s">
        <v>2603</v>
      </c>
      <c r="E63" s="5" t="s">
        <v>2604</v>
      </c>
      <c r="I63" s="6" t="str">
        <f>IFERROR(__xludf.DUMMYFUNCTION("GOOGLETRANSLATE(A63, ""en"", ""ur"")"),"62")</f>
        <v>62</v>
      </c>
      <c r="J63" s="6" t="str">
        <f>IFERROR(__xludf.DUMMYFUNCTION("GOOGLETRANSLATE(B63, ""en"", ""ur"")"),"اگر سوار کا گھوڑا کھونٹی تک پہنچنے سے پہلے سرپٹ سے ٹروٹ کی طرف بڑھے تو اس کا کیا حکم ہے؟")</f>
        <v>اگر سوار کا گھوڑا کھونٹی تک پہنچنے سے پہلے سرپٹ سے ٹروٹ کی طرف بڑھے تو اس کا کیا حکم ہے؟</v>
      </c>
      <c r="K63" s="6" t="str">
        <f>IFERROR(__xludf.DUMMYFUNCTION("GOOGLETRANSLATE(C63, ""en"", ""ur"")"),"A)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f>
        <v>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v>
      </c>
      <c r="L63" s="6" t="str">
        <f>IFERROR(__xludf.DUMMYFUNCTION("GOOGLETRANSLATE(D63, ""en"", ""ur"")"),"ب) وقت کی حد سے تجاوز کرنے کی وجہ سے سوار کا امکان صفر ہو جائے گا۔")</f>
        <v>ب) وقت کی حد سے تجاوز کرنے کی وجہ سے سوار کا امکان صفر ہو جائے گا۔</v>
      </c>
      <c r="M63" s="6" t="str">
        <f>IFERROR(__xludf.DUMMYFUNCTION("GOOGLETRANSLATE(E63, ""en"", ""ur"")"),"ایک سست رفتار کی طرف بڑھنے سے سوار مطلوبہ وقت کے اندر رن مکمل کرنے میں ناکام ہو جائے گا۔")</f>
        <v>ایک سست رفتار کی طرف بڑھنے سے سوار مطلوبہ وقت کے اندر رن مکمل کرنے میں ناکام ہو جائے گا۔</v>
      </c>
    </row>
    <row r="64">
      <c r="A64" s="4">
        <v>63.0</v>
      </c>
      <c r="B64" s="5" t="s">
        <v>2605</v>
      </c>
      <c r="C64" s="5" t="s">
        <v>2606</v>
      </c>
      <c r="D64" s="5" t="s">
        <v>2607</v>
      </c>
      <c r="E64" s="5" t="s">
        <v>2608</v>
      </c>
      <c r="I64" s="6" t="str">
        <f>IFERROR(__xludf.DUMMYFUNCTION("GOOGLETRANSLATE(A64, ""en"", ""ur"")"),"63")</f>
        <v>63</v>
      </c>
      <c r="J64" s="6" t="str">
        <f>IFERROR(__xludf.DUMMYFUNCTION("GOOGLETRANSLATE(B64, ""en"", ""ur"")"),"رن کے بعد ""لانس آؤٹ"" سلیوٹ میں، سوار کیا کرتا ہے؟")</f>
        <v>رن کے بعد "لانس آؤٹ" سلیوٹ میں، سوار کیا کرتا ہے؟</v>
      </c>
      <c r="K64" s="6" t="str">
        <f>IFERROR(__xludf.DUMMYFUNCTION("GOOGLETRANSLATE(C64, ""en"", ""ur"")"),"A) لانس کو ہوا میں پھینکتا ہے، B) ججوں کو تسلیم کرنے کے لیے لانس کو سیدھا اوپر کرتا ہے، C) لانس کو زمین پر رکھتا ہے، D) لانس کسی اہلکار کے حوالے کرتا ہے۔")</f>
        <v>A) لانس کو ہوا میں پھینکتا ہے، B) ججوں کو تسلیم کرنے کے لیے لانس کو سیدھا اوپر کرتا ہے، C) لانس کو زمین پر رکھتا ہے، D) لانس کسی اہلکار کے حوالے کرتا ہے۔</v>
      </c>
      <c r="L64" s="6" t="str">
        <f>IFERROR(__xludf.DUMMYFUNCTION("GOOGLETRANSLATE(D64, ""en"", ""ur"")"),"ب) ججوں کو تسلیم کرنے کے لیے لانس کو سیدھا اوپر کی طرف اشارہ کرتا ہے۔")</f>
        <v>ب) ججوں کو تسلیم کرنے کے لیے لانس کو سیدھا اوپر کی طرف اشارہ کرتا ہے۔</v>
      </c>
      <c r="M64" s="6" t="str">
        <f>IFERROR(__xludf.DUMMYFUNCTION("GOOGLETRANSLATE(E64, ""en"", ""ur"")"),"یہ رن کی تکمیل کا اشارہ دینے اور عہدیداروں کو تسلیم کرنے کے لئے ایک روایتی اور احترام والا اشارہ ہے۔")</f>
        <v>یہ رن کی تکمیل کا اشارہ دینے اور عہدیداروں کو تسلیم کرنے کے لئے ایک روایتی اور احترام والا اشارہ ہے۔</v>
      </c>
    </row>
    <row r="65">
      <c r="A65" s="4">
        <v>64.0</v>
      </c>
      <c r="B65" s="5" t="s">
        <v>2609</v>
      </c>
      <c r="C65" s="5" t="s">
        <v>2610</v>
      </c>
      <c r="D65" s="5" t="s">
        <v>2611</v>
      </c>
      <c r="E65" s="5" t="s">
        <v>2612</v>
      </c>
      <c r="I65" s="6" t="str">
        <f>IFERROR(__xludf.DUMMYFUNCTION("GOOGLETRANSLATE(A65, ""en"", ""ur"")"),"64")</f>
        <v>64</v>
      </c>
      <c r="J65" s="6" t="str">
        <f>IFERROR(__xludf.DUMMYFUNCTION("GOOGLETRANSLATE(B65, ""en"", ""ur"")"),"لانس اور نیزہ کے درمیان بنیادی فرق کیا ہے؟")</f>
        <v>لانس اور نیزہ کے درمیان بنیادی فرق کیا ہے؟</v>
      </c>
      <c r="K65" s="6" t="str">
        <f>IFERROR(__xludf.DUMMYFUNCTION("GOOGLETRANSLATE(C65, ""en"", ""ur"")"),"A) کوئی فرق نہیں ہے، B) ایک لانس خاص طور پر گھوڑے کی پیٹھ پر استعمال کرنے کے لئے ڈیزائن کیا گیا ہے، C) ایک نیزہ لانس سے لمبا ہے، D) ایک لانس دھات سے بنا ہے")</f>
        <v>A) کوئی فرق نہیں ہے، B) ایک لانس خاص طور پر گھوڑے کی پیٹھ پر استعمال کرنے کے لئے ڈیزائن کیا گیا ہے، C) ایک نیزہ لانس سے لمبا ہے، D) ایک لانس دھات سے بنا ہے</v>
      </c>
      <c r="L65" s="6" t="str">
        <f>IFERROR(__xludf.DUMMYFUNCTION("GOOGLETRANSLATE(D65, ""en"", ""ur"")"),"ب) ایک لانس خاص طور پر گھوڑے کی پیٹھ پر استعمال کے لیے ڈیزائن کیا گیا ہے۔")</f>
        <v>ب) ایک لانس خاص طور پر گھوڑے کی پیٹھ پر استعمال کے لیے ڈیزائن کیا گیا ہے۔</v>
      </c>
      <c r="M65" s="6" t="str">
        <f>IFERROR(__xludf.DUMMYFUNCTION("GOOGLETRANSLATE(E65, ""en"", ""ur"")"),"اسی طرح، ایک لانس ایک قسم کا نیزہ ہے جو خاص طور پر گھڑسواروں کے استعمال کے لیے صدیوں سے ڈھال لیا گیا ہے۔")</f>
        <v>اسی طرح، ایک لانس ایک قسم کا نیزہ ہے جو خاص طور پر گھڑسواروں کے استعمال کے لیے صدیوں سے ڈھال لیا گیا ہے۔</v>
      </c>
    </row>
    <row r="66">
      <c r="A66" s="4">
        <v>65.0</v>
      </c>
      <c r="B66" s="5" t="s">
        <v>2613</v>
      </c>
      <c r="C66" s="5" t="s">
        <v>2614</v>
      </c>
      <c r="D66" s="5" t="s">
        <v>2615</v>
      </c>
      <c r="E66" s="5" t="s">
        <v>2616</v>
      </c>
      <c r="I66" s="6" t="str">
        <f>IFERROR(__xludf.DUMMYFUNCTION("GOOGLETRANSLATE(A66, ""en"", ""ur"")"),"65")</f>
        <v>65</v>
      </c>
      <c r="J66" s="6" t="str">
        <f>IFERROR(__xludf.DUMMYFUNCTION("GOOGLETRANSLATE(B66, ""en"", ""ur"")"),"ایک سوار کو انفرادی مقابلے سے نکال دیا جاتا ہے۔ کیا وہ اب بھی ٹیم ایونٹ میں حصہ لے سکتے ہیں؟")</f>
        <v>ایک سوار کو انفرادی مقابلے سے نکال دیا جاتا ہے۔ کیا وہ اب بھی ٹیم ایونٹ میں حصہ لے سکتے ہیں؟</v>
      </c>
      <c r="K66" s="6" t="str">
        <f>IFERROR(__xludf.DUMMYFUNCTION("GOOGLETRANSLATE(C66, ""en"", ""ur"")"),"A)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f>
        <v>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v>
      </c>
      <c r="L66" s="6" t="str">
        <f>IFERROR(__xludf.DUMMYFUNCTION("GOOGLETRANSLATE(D66, ""en"", ""ur"")"),"ب) جی ہاں، انفرادی اور ٹیم ایونٹ الگ الگ مقابلے ہیں۔")</f>
        <v>ب) جی ہاں، انفرادی اور ٹیم ایونٹ الگ الگ مقابلے ہیں۔</v>
      </c>
      <c r="M66" s="6" t="str">
        <f>IFERROR(__xludf.DUMMYFUNCTION("GOOGLETRANSLATE(E66, ""en"", ""ur"")"),"ایک ایونٹ میں سوار کی کارکردگی دوسرے شیڈول ایونٹس میں مقابلہ کرنے کے لیے ان کی اہلیت کو متاثر نہیں کرتی ہے۔")</f>
        <v>ایک ایونٹ میں سوار کی کارکردگی دوسرے شیڈول ایونٹس میں مقابلہ کرنے کے لیے ان کی اہلیت کو متاثر نہیں کرتی ہے۔</v>
      </c>
    </row>
    <row r="67">
      <c r="A67" s="4">
        <v>66.0</v>
      </c>
      <c r="B67" s="5" t="s">
        <v>2617</v>
      </c>
      <c r="C67" s="5" t="s">
        <v>2618</v>
      </c>
      <c r="D67" s="5" t="s">
        <v>2619</v>
      </c>
      <c r="E67" s="5" t="s">
        <v>2620</v>
      </c>
      <c r="I67" s="6" t="str">
        <f>IFERROR(__xludf.DUMMYFUNCTION("GOOGLETRANSLATE(A67, ""en"", ""ur"")"),"66")</f>
        <v>66</v>
      </c>
      <c r="J67" s="6" t="str">
        <f>IFERROR(__xludf.DUMMYFUNCTION("GOOGLETRANSLATE(B67, ""en"", ""ur"")"),"پلاسٹک کی بجائے لکڑی کا کھونٹا استعمال کرنے کی بنیادی وجہ کیا ہے؟")</f>
        <v>پلاسٹک کی بجائے لکڑی کا کھونٹا استعمال کرنے کی بنیادی وجہ کیا ہے؟</v>
      </c>
      <c r="K67" s="6" t="str">
        <f>IFERROR(__xludf.DUMMYFUNCTION("GOOGLETRANSLATE(C67, ""en"", ""ur"")"),"A) لکڑی سستی ہے، B) لکڑی مناسب مقدار میں مزاحمت فراہم کرتی ہے اور اسے لانس سے سوراخ کیا جا سکتا ہے، C) پلاسٹک بہت بھاری ہے، D) یہ ایک جدید رجحان ہے۔")</f>
        <v>A) لکڑی سستی ہے، B) لکڑی مناسب مقدار میں مزاحمت فراہم کرتی ہے اور اسے لانس سے سوراخ کیا جا سکتا ہے، C) پلاسٹک بہت بھاری ہے، D) یہ ایک جدید رجحان ہے۔</v>
      </c>
      <c r="L67" s="6" t="str">
        <f>IFERROR(__xludf.DUMMYFUNCTION("GOOGLETRANSLATE(D67, ""en"", ""ur"")"),"ب) لکڑی مناسب مقدار میں مزاحمت فراہم کرتی ہے اور اسے لانس سے چھید کیا جاسکتا ہے۔")</f>
        <v>ب) لکڑی مناسب مقدار میں مزاحمت فراہم کرتی ہے اور اسے لانس سے چھید کیا جاسکتا ہے۔</v>
      </c>
      <c r="M67" s="6" t="str">
        <f>IFERROR(__xludf.DUMMYFUNCTION("GOOGLETRANSLATE(E67, ""en"", ""ur"")"),"دھاتی لانس کی نوک اور لکڑی کے کھونٹے کے درمیان تعامل روایتی ہے اور یہ مخصوص چیلنج فراہم کرتا ہے جس پر کھیل کی بنیاد ہے۔")</f>
        <v>دھاتی لانس کی نوک اور لکڑی کے کھونٹے کے درمیان تعامل روایتی ہے اور یہ مخصوص چیلنج فراہم کرتا ہے جس پر کھیل کی بنیاد ہے۔</v>
      </c>
    </row>
    <row r="68">
      <c r="A68" s="4">
        <v>67.0</v>
      </c>
      <c r="B68" s="5" t="s">
        <v>2621</v>
      </c>
      <c r="C68" s="5" t="s">
        <v>2622</v>
      </c>
      <c r="D68" s="5" t="s">
        <v>2623</v>
      </c>
      <c r="E68" s="5" t="s">
        <v>2624</v>
      </c>
      <c r="I68" s="6" t="str">
        <f>IFERROR(__xludf.DUMMYFUNCTION("GOOGLETRANSLATE(A68, ""en"", ""ur"")"),"67")</f>
        <v>67</v>
      </c>
      <c r="J68" s="6" t="str">
        <f>IFERROR(__xludf.DUMMYFUNCTION("GOOGLETRANSLATE(B68, ""en"", ""ur"")"),"ایک سوار کامیابی کے ساتھ انگوٹھی چلاتا ہے، لیکن یہ ختم لائن سے پہلے لانس سے گر جاتا ہے۔ سکور کیا ہے؟")</f>
        <v>ایک سوار کامیابی کے ساتھ انگوٹھی چلاتا ہے، لیکن یہ ختم لائن سے پہلے لانس سے گر جاتا ہے۔ سکور کیا ہے؟</v>
      </c>
      <c r="K68" s="6" t="str">
        <f>IFERROR(__xludf.DUMMYFUNCTION("GOOGLETRANSLATE(C68, ""en"", ""ur"")"),"A) مکمل پوائنٹس، B) نصف پوائنٹس، C) زیرو پوائنٹس، D) رن دوبارہ چلایا جاتا ہے")</f>
        <v>A) مکمل پوائنٹس، B) نصف پوائنٹس، C) زیرو پوائنٹس، D) رن دوبارہ چلایا جاتا ہے</v>
      </c>
      <c r="L68" s="6" t="str">
        <f>IFERROR(__xludf.DUMMYFUNCTION("GOOGLETRANSLATE(D68, ""en"", ""ur"")"),"سی) صفر پوائنٹس")</f>
        <v>سی) صفر پوائنٹس</v>
      </c>
      <c r="M68" s="6" t="str">
        <f>IFERROR(__xludf.DUMMYFUNCTION("GOOGLETRANSLATE(E68, ""en"", ""ur"")"),"بالکل اسی طرح جیسے گراؤنڈ پیگ کے ساتھ، ایک معطل ہدف کو کامیابی کے ساتھ جمع کرنا اور اسکور کرنے کے لیے فنش لائن کے پار لے جانا چاہیے۔")</f>
        <v>بالکل اسی طرح جیسے گراؤنڈ پیگ کے ساتھ، ایک معطل ہدف کو کامیابی کے ساتھ جمع کرنا اور اسکور کرنے کے لیے فنش لائن کے پار لے جانا چاہیے۔</v>
      </c>
    </row>
    <row r="69">
      <c r="A69" s="4">
        <v>68.0</v>
      </c>
      <c r="B69" s="5" t="s">
        <v>2625</v>
      </c>
      <c r="C69" s="5" t="s">
        <v>2626</v>
      </c>
      <c r="D69" s="5" t="s">
        <v>2627</v>
      </c>
      <c r="E69" s="5" t="s">
        <v>2628</v>
      </c>
      <c r="I69" s="6" t="str">
        <f>IFERROR(__xludf.DUMMYFUNCTION("GOOGLETRANSLATE(A69, ""en"", ""ur"")"),"68")</f>
        <v>68</v>
      </c>
      <c r="J69" s="6" t="str">
        <f>IFERROR(__xludf.DUMMYFUNCTION("GOOGLETRANSLATE(B69, ""en"", ""ur"")"),"""نیزا بازی"" کی اصطلاح سے کیا مراد ہے؟")</f>
        <v>"نیزا بازی" کی اصطلاح سے کیا مراد ہے؟</v>
      </c>
      <c r="K69" s="6" t="str">
        <f>IFERROR(__xludf.DUMMYFUNCTION("GOOGLETRANSLATE(C69, ""en"", ""ur"")"),"A) ٹینٹ پیگنگ کا پاکستانی نام، B) گھوڑے کی ایک قسم، C) رسمی یونیفارم، D) چیمپئن شپ ٹرافی")</f>
        <v>A) ٹینٹ پیگنگ کا پاکستانی نام، B) گھوڑے کی ایک قسم، C) رسمی یونیفارم، D) چیمپئن شپ ٹرافی</v>
      </c>
      <c r="L69" s="6" t="str">
        <f>IFERROR(__xludf.DUMMYFUNCTION("GOOGLETRANSLATE(D69, ""en"", ""ur"")"),"A) ٹینٹ پیگنگ کا پاکستانی نام")</f>
        <v>A) ٹینٹ پیگنگ کا پاکستانی نام</v>
      </c>
      <c r="M69" s="6" t="str">
        <f>IFERROR(__xludf.DUMMYFUNCTION("GOOGLETRANSLATE(E69, ""en"", ""ur"")"),"نیزا بازی کھیل کے لیے روایتی فارسی اور اردو اصطلاح ہے، جس کا مطلب ہے ""نیزہ بجانا۔""")</f>
        <v>نیزا بازی کھیل کے لیے روایتی فارسی اور اردو اصطلاح ہے، جس کا مطلب ہے "نیزہ بجانا۔"</v>
      </c>
    </row>
    <row r="70">
      <c r="A70" s="4">
        <v>69.0</v>
      </c>
      <c r="B70" s="5" t="s">
        <v>2629</v>
      </c>
      <c r="C70" s="5" t="s">
        <v>2630</v>
      </c>
      <c r="D70" s="5" t="s">
        <v>2631</v>
      </c>
      <c r="E70" s="5" t="s">
        <v>2632</v>
      </c>
      <c r="I70" s="6" t="str">
        <f>IFERROR(__xludf.DUMMYFUNCTION("GOOGLETRANSLATE(A70, ""en"", ""ur"")"),"69")</f>
        <v>69</v>
      </c>
      <c r="J70" s="6" t="str">
        <f>IFERROR(__xludf.DUMMYFUNCTION("GOOGLETRANSLATE(B70, ""en"", ""ur"")"),"ایک سوار کو لانس کا استعمال کرتے ہوئے دیکھا جاتا ہے جو نمایاں طور پر موٹا اور معیاری سے زیادہ بھاری ہوتا ہے۔ ممکنہ فائدہ کیا ہے؟")</f>
        <v>ایک سوار کو لانس کا استعمال کرتے ہوئے دیکھا جاتا ہے جو نمایاں طور پر موٹا اور معیاری سے زیادہ بھاری ہوتا ہے۔ ممکنہ فائدہ کیا ہے؟</v>
      </c>
      <c r="K70" s="6" t="str">
        <f>IFERROR(__xludf.DUMMYFUNCTION("GOOGLETRANSLATE(C70, ""en"", ""ur"")"),"A) بہتر درستگی، B) ہوا کے حالات میں زیادہ استحکام، C) اسے پکڑنا آسان ہے، D) اس کے ٹوٹنے کا امکان کم ہے")</f>
        <v>A) بہتر درستگی، B) ہوا کے حالات میں زیادہ استحکام، C) اسے پکڑنا آسان ہے، D) اس کے ٹوٹنے کا امکان کم ہے</v>
      </c>
      <c r="L70" s="6" t="str">
        <f>IFERROR(__xludf.DUMMYFUNCTION("GOOGLETRANSLATE(D70, ""en"", ""ur"")"),"ب) ہوا کے حالات میں زیادہ استحکام")</f>
        <v>ب) ہوا کے حالات میں زیادہ استحکام</v>
      </c>
      <c r="M70" s="6" t="str">
        <f>IFERROR(__xludf.DUMMYFUNCTION("GOOGLETRANSLATE(E70, ""en"", ""ur"")"),"ایک بھاری لانس کراس ونڈز سے کم متاثر ہوتا ہے، جو کہ کچھ سواروں کے لیے منفی موسم میں فائدہ مند ثابت ہو سکتا ہے۔")</f>
        <v>ایک بھاری لانس کراس ونڈز سے کم متاثر ہوتا ہے، جو کہ کچھ سواروں کے لیے منفی موسم میں فائدہ مند ثابت ہو سکتا ہے۔</v>
      </c>
    </row>
    <row r="71">
      <c r="A71" s="4">
        <v>70.0</v>
      </c>
      <c r="B71" s="5" t="s">
        <v>2633</v>
      </c>
      <c r="C71" s="5" t="s">
        <v>2634</v>
      </c>
      <c r="D71" s="5" t="s">
        <v>2635</v>
      </c>
      <c r="E71" s="5" t="s">
        <v>2636</v>
      </c>
      <c r="I71" s="6" t="str">
        <f>IFERROR(__xludf.DUMMYFUNCTION("GOOGLETRANSLATE(A71, ""en"", ""ur"")"),"70")</f>
        <v>70</v>
      </c>
      <c r="J71" s="6" t="str">
        <f>IFERROR(__xludf.DUMMYFUNCTION("GOOGLETRANSLATE(B71, ""en"", ""ur"")"),"آفیشل اسٹارٹ لائن سے پہلے ""گیلوپنگ ٹریک"" یا رن اپ ایریا کا بنیادی مقصد کیا ہے؟")</f>
        <v>آفیشل اسٹارٹ لائن سے پہلے "گیلوپنگ ٹریک" یا رن اپ ایریا کا بنیادی مقصد کیا ہے؟</v>
      </c>
      <c r="K71" s="6" t="str">
        <f>IFERROR(__xludf.DUMMYFUNCTION("GOOGLETRANSLATE(C71, ""en"", ""ur"")"),"A)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f>
        <v>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v>
      </c>
      <c r="L71" s="6" t="str">
        <f>IFERROR(__xludf.DUMMYFUNCTION("GOOGLETRANSLATE(D71, ""en"", ""ur"")"),"A) گھوڑے اور سوار کو صحیح رفتار اور تال کے مطابق بنانے کی اجازت دینا")</f>
        <v>A) گھوڑے اور سوار کو صحیح رفتار اور تال کے مطابق بنانے کی اجازت دینا</v>
      </c>
      <c r="M71" s="6" t="str">
        <f>IFERROR(__xludf.DUMMYFUNCTION("GOOGLETRANSLATE(E71, ""en"", ""ur"")"),"یہ رن اپ ایریا گھوڑے کے لیے وقتی دوڑ شروع ہونے سے پہلے ایک مستحکم، کنٹرول شدہ سرپٹ تک پہنچنے کے لیے اہم ہے۔")</f>
        <v>یہ رن اپ ایریا گھوڑے کے لیے وقتی دوڑ شروع ہونے سے پہلے ایک مستحکم، کنٹرول شدہ سرپٹ تک پہنچنے کے لیے اہم ہے۔</v>
      </c>
    </row>
    <row r="72">
      <c r="A72" s="4">
        <v>71.0</v>
      </c>
      <c r="B72" s="5" t="s">
        <v>2637</v>
      </c>
      <c r="C72" s="5" t="s">
        <v>2638</v>
      </c>
      <c r="D72" s="5" t="s">
        <v>2639</v>
      </c>
      <c r="E72" s="5" t="s">
        <v>2640</v>
      </c>
      <c r="I72" s="6" t="str">
        <f>IFERROR(__xludf.DUMMYFUNCTION("GOOGLETRANSLATE(A72, ""en"", ""ur"")"),"71")</f>
        <v>71</v>
      </c>
      <c r="J72" s="6" t="str">
        <f>IFERROR(__xludf.DUMMYFUNCTION("GOOGLETRANSLATE(B72, ""en"", ""ur"")"),"اگر لیموں کاٹنے کے لیے تلوار کا استعمال کیا جاتا ہے تو اس کی کلیدی خوبی کیا ہے؟")</f>
        <v>اگر لیموں کاٹنے کے لیے تلوار کا استعمال کیا جاتا ہے تو اس کی کلیدی خوبی کیا ہے؟</v>
      </c>
      <c r="K72" s="6" t="str">
        <f>IFERROR(__xludf.DUMMYFUNCTION("GOOGLETRANSLATE(C72, ""en"", ""ur"")"),"A) یہ بہت بھاری ہونا چاہئے، B) یہ انتہائی تیز ہونا چاہئے، C) یہ لچکدار ہونا چاہئے، D) یہ کند ہونا چاہئے")</f>
        <v>A) یہ بہت بھاری ہونا چاہئے، B) یہ انتہائی تیز ہونا چاہئے، C) یہ لچکدار ہونا چاہئے، D) یہ کند ہونا چاہئے</v>
      </c>
      <c r="L72" s="6" t="str">
        <f>IFERROR(__xludf.DUMMYFUNCTION("GOOGLETRANSLATE(D72, ""en"", ""ur"")"),"ب) یہ انتہائی تیز ہونا چاہیے۔")</f>
        <v>ب) یہ انتہائی تیز ہونا چاہیے۔</v>
      </c>
      <c r="M72" s="6" t="str">
        <f>IFERROR(__xludf.DUMMYFUNCTION("GOOGLETRANSLATE(E72, ""en"", ""ur"")"),"لانس کے برعکس، جو چھیدنے پر انحصار کرتا ہے، تیز رفتاری سے ہدف کو صاف کرنے کے لیے تلوار کو استرا تیز ہونا چاہیے۔")</f>
        <v>لانس کے برعکس، جو چھیدنے پر انحصار کرتا ہے، تیز رفتاری سے ہدف کو صاف کرنے کے لیے تلوار کو استرا تیز ہونا چاہیے۔</v>
      </c>
    </row>
    <row r="73">
      <c r="A73" s="4">
        <v>72.0</v>
      </c>
      <c r="B73" s="5" t="s">
        <v>2641</v>
      </c>
      <c r="C73" s="5" t="s">
        <v>2642</v>
      </c>
      <c r="D73" s="5" t="s">
        <v>2643</v>
      </c>
      <c r="E73" s="5" t="s">
        <v>2644</v>
      </c>
      <c r="I73" s="6" t="str">
        <f>IFERROR(__xludf.DUMMYFUNCTION("GOOGLETRANSLATE(A73, ""en"", ""ur"")"),"72")</f>
        <v>72</v>
      </c>
      <c r="J73" s="6" t="str">
        <f>IFERROR(__xludf.DUMMYFUNCTION("GOOGLETRANSLATE(B73, ""en"", ""ur"")"),"ایک سوار کو ""خطرناک سواری"" کے لیے نااہل قرار دیا جاتا ہے۔ ممکنہ وجہ کیا ہے؟")</f>
        <v>ایک سوار کو "خطرناک سواری" کے لیے نااہل قرار دیا جاتا ہے۔ ممکنہ وجہ کیا ہے؟</v>
      </c>
      <c r="K73" s="6" t="str">
        <f>IFERROR(__xludf.DUMMYFUNCTION("GOOGLETRANSLATE(C73, ""en"", ""ur"")"),"A) بہت تیز سواری کرنا، B) اپنے گھوڑے پر قابو نہ رکھنا، دوسروں کے لیے خطرہ بننا، C) دوڑ کے دوران چیخنا، D) غلط رنگ پہننا")</f>
        <v>A) بہت تیز سواری کرنا، B) اپنے گھوڑے پر قابو نہ رکھنا، دوسروں کے لیے خطرہ بننا، C) دوڑ کے دوران چیخنا، D) غلط رنگ پہننا</v>
      </c>
      <c r="L73" s="6" t="str">
        <f>IFERROR(__xludf.DUMMYFUNCTION("GOOGLETRANSLATE(D73, ""en"", ""ur"")"),"ب) اپنے گھوڑے پر قابو نہ پانا، دوسروں کے لیے خطرہ بننا")</f>
        <v>ب) اپنے گھوڑے پر قابو نہ پانا، دوسروں کے لیے خطرہ بننا</v>
      </c>
      <c r="M73" s="6" t="str">
        <f>IFERROR(__xludf.DUMMYFUNCTION("GOOGLETRANSLATE(E73, ""en"", ""ur"")"),"کوئی بھی عمل جو کنٹرول کی کمی کو ظاہر کرتا ہے اور دوسرے سواروں، گھوڑوں یا اہلکاروں کو خطرے میں ڈالتا ہے خطرناک سواری سمجھا جاتا ہے۔")</f>
        <v>کوئی بھی عمل جو کنٹرول کی کمی کو ظاہر کرتا ہے اور دوسرے سواروں، گھوڑوں یا اہلکاروں کو خطرے میں ڈالتا ہے خطرناک سواری سمجھا جاتا ہے۔</v>
      </c>
    </row>
    <row r="74">
      <c r="A74" s="4">
        <v>73.0</v>
      </c>
      <c r="B74" s="5" t="s">
        <v>2645</v>
      </c>
      <c r="C74" s="5" t="s">
        <v>2646</v>
      </c>
      <c r="D74" s="5" t="s">
        <v>2647</v>
      </c>
      <c r="E74" s="5" t="s">
        <v>2648</v>
      </c>
      <c r="I74" s="6" t="str">
        <f>IFERROR(__xludf.DUMMYFUNCTION("GOOGLETRANSLATE(A74, ""en"", ""ur"")"),"73")</f>
        <v>73</v>
      </c>
      <c r="J74" s="6" t="str">
        <f>IFERROR(__xludf.DUMMYFUNCTION("GOOGLETRANSLATE(B74, ""en"", ""ur"")"),"مارواڑی گھوڑوں کی نسل کی بنیادی خصوصیت کیا ہے جو اسے ٹینٹ پیگنگ کے لیے اچھا بناتی ہے؟")</f>
        <v>مارواڑی گھوڑوں کی نسل کی بنیادی خصوصیت کیا ہے جو اسے ٹینٹ پیگنگ کے لیے اچھا بناتی ہے؟</v>
      </c>
      <c r="K74" s="6" t="str">
        <f>IFERROR(__xludf.DUMMYFUNCTION("GOOGLETRANSLATE(C74, ""en"", ""ur"")"),"A) اس کی اونچائی، B) اس کا پرسکون مزاج، C) اس کے مخصوص، اندرونی طور پر مڑے ہوئے کان اور قدرتی چستی، D) اس کی پٹھوں کی ساخت")</f>
        <v>A) اس کی اونچائی، B) اس کا پرسکون مزاج، C) اس کے مخصوص، اندرونی طور پر مڑے ہوئے کان اور قدرتی چستی، D) اس کی پٹھوں کی ساخت</v>
      </c>
      <c r="L74" s="6" t="str">
        <f>IFERROR(__xludf.DUMMYFUNCTION("GOOGLETRANSLATE(D74, ""en"", ""ur"")"),"C) اس کے مخصوص، اندرونی طور پر مڑے ہوئے کان اور قدرتی چستی")</f>
        <v>C) اس کے مخصوص، اندرونی طور پر مڑے ہوئے کان اور قدرتی چستی</v>
      </c>
      <c r="M74" s="6" t="str">
        <f>IFERROR(__xludf.DUMMYFUNCTION("GOOGLETRANSLATE(E74, ""en"", ""ur"")"),"مارواڑی ایک روایتی ہندوستانی گھڑ سوار گھوڑا ہے جو اپنی سختی، بہادری اور غیر معمولی چستی کے لیے جانا جاتا ہے۔")</f>
        <v>مارواڑی ایک روایتی ہندوستانی گھڑ سوار گھوڑا ہے جو اپنی سختی، بہادری اور غیر معمولی چستی کے لیے جانا جاتا ہے۔</v>
      </c>
    </row>
    <row r="75">
      <c r="A75" s="4">
        <v>74.0</v>
      </c>
      <c r="B75" s="5" t="s">
        <v>2649</v>
      </c>
      <c r="C75" s="5" t="s">
        <v>2650</v>
      </c>
      <c r="D75" s="5" t="s">
        <v>2651</v>
      </c>
      <c r="E75" s="5" t="s">
        <v>2652</v>
      </c>
      <c r="I75" s="6" t="str">
        <f>IFERROR(__xludf.DUMMYFUNCTION("GOOGLETRANSLATE(A75, ""en"", ""ur"")"),"74")</f>
        <v>74</v>
      </c>
      <c r="J75" s="6" t="str">
        <f>IFERROR(__xludf.DUMMYFUNCTION("GOOGLETRANSLATE(B75, ""en"", ""ur"")"),"صفر کے اسکور یا ناکام کوشش کے لیے جج کا اشارہ کیا ہے؟")</f>
        <v>صفر کے اسکور یا ناکام کوشش کے لیے جج کا اشارہ کیا ہے؟</v>
      </c>
      <c r="K75" s="6" t="str">
        <f>IFERROR(__xludf.DUMMYFUNCTION("GOOGLETRANSLATE(C75, ""en"", ""ur"")"),"A) ایک سرخ جھنڈا بلند کیا جاتا ہے، B) سبز جھنڈا بلند کیا جاتا ہے، C) جج اپنا سر ہلاتا ہے، D) جج ایک بار سیٹی بجاتا ہے۔")</f>
        <v>A) ایک سرخ جھنڈا بلند کیا جاتا ہے، B) سبز جھنڈا بلند کیا جاتا ہے، C) جج اپنا سر ہلاتا ہے، D) جج ایک بار سیٹی بجاتا ہے۔</v>
      </c>
      <c r="L75" s="6" t="str">
        <f>IFERROR(__xludf.DUMMYFUNCTION("GOOGLETRANSLATE(D75, ""en"", ""ur"")"),"A) ایک سرخ جھنڈا بلند کیا گیا ہے۔")</f>
        <v>A) ایک سرخ جھنڈا بلند کیا گیا ہے۔</v>
      </c>
      <c r="M75" s="6" t="str">
        <f>IFERROR(__xludf.DUMMYFUNCTION("GOOGLETRANSLATE(E75, ""en"", ""ur"")"),"ایک سرخ جھنڈا معیاری سگنل ہے جو اس بات کی نشاندہی کرتا ہے کہ رن ناکام رہا اور کوئی پوائنٹ نہیں دیا گیا۔")</f>
        <v>ایک سرخ جھنڈا معیاری سگنل ہے جو اس بات کی نشاندہی کرتا ہے کہ رن ناکام رہا اور کوئی پوائنٹ نہیں دیا گیا۔</v>
      </c>
    </row>
    <row r="76">
      <c r="A76" s="4">
        <v>75.0</v>
      </c>
      <c r="B76" s="5" t="s">
        <v>2653</v>
      </c>
      <c r="C76" s="5" t="s">
        <v>2654</v>
      </c>
      <c r="D76" s="5" t="s">
        <v>2655</v>
      </c>
      <c r="E76" s="5" t="s">
        <v>2656</v>
      </c>
      <c r="I76" s="6" t="str">
        <f>IFERROR(__xludf.DUMMYFUNCTION("GOOGLETRANSLATE(A76, ""en"", ""ur"")"),"75")</f>
        <v>75</v>
      </c>
      <c r="J76" s="6" t="str">
        <f>IFERROR(__xludf.DUMMYFUNCTION("GOOGLETRANSLATE(B76, ""en"", ""ur"")"),"سواروں کو اپنے بازو پر لانس باندھنے کی اجازت کیوں نہیں ہے؟")</f>
        <v>سواروں کو اپنے بازو پر لانس باندھنے کی اجازت کیوں نہیں ہے؟</v>
      </c>
      <c r="K76" s="6" t="str">
        <f>IFERROR(__xludf.DUMMYFUNCTION("GOOGLETRANSLATE(C76, ""en"", ""ur"")"),"A)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f>
        <v>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v>
      </c>
      <c r="L76" s="6" t="str">
        <f>IFERROR(__xludf.DUMMYFUNCTION("GOOGLETRANSLATE(D76, ""en"", ""ur"")"),"ب) حفاظت کے لیے؛ انہیں ہنگامی حالت میں لانس چھوڑنے کے قابل ہونا چاہیے۔")</f>
        <v>ب) حفاظت کے لیے؛ انہیں ہنگامی حالت میں لانس چھوڑنے کے قابل ہونا چاہیے۔</v>
      </c>
      <c r="M76" s="6" t="str">
        <f>IFERROR(__xludf.DUMMYFUNCTION("GOOGLETRANSLATE(E76, ""en"", ""ur"")"),"جسم پر لینس کا پٹا لگانا انتہائی خطرناک ہے۔ ایک سوار کو ہتھیار کو فوری طور پر چھوڑنے کے قابل ہونا چاہیے اگر یہ پھنس جائے یا گر جائے۔")</f>
        <v>جسم پر لینس کا پٹا لگانا انتہائی خطرناک ہے۔ ایک سوار کو ہتھیار کو فوری طور پر چھوڑنے کے قابل ہونا چاہیے اگر یہ پھنس جائے یا گر جائے۔</v>
      </c>
    </row>
    <row r="77">
      <c r="A77" s="4">
        <v>76.0</v>
      </c>
      <c r="B77" s="5" t="s">
        <v>2657</v>
      </c>
      <c r="C77" s="5" t="s">
        <v>2658</v>
      </c>
      <c r="D77" s="5" t="s">
        <v>2659</v>
      </c>
      <c r="E77" s="5" t="s">
        <v>2660</v>
      </c>
      <c r="I77" s="6" t="str">
        <f>IFERROR(__xludf.DUMMYFUNCTION("GOOGLETRANSLATE(A77, ""en"", ""ur"")"),"76")</f>
        <v>76</v>
      </c>
      <c r="J77" s="6" t="str">
        <f>IFERROR(__xludf.DUMMYFUNCTION("GOOGLETRANSLATE(B77, ""en"", ""ur"")"),"ایک ٹیم ایونٹ میں، اگر ایک سوار کو غلط آغاز کے لیے ختم کر دیا جاتا ہے تو کیا جرمانہ ہے؟")</f>
        <v>ایک ٹیم ایونٹ میں، اگر ایک سوار کو غلط آغاز کے لیے ختم کر دیا جاتا ہے تو کیا جرمانہ ہے؟</v>
      </c>
      <c r="K77" s="6" t="str">
        <f>IFERROR(__xludf.DUMMYFUNCTION("GOOGLETRANSLATE(C77, ""en"", ""ur"")"),"A)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f>
        <v>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v>
      </c>
      <c r="L77" s="6" t="str">
        <f>IFERROR(__xludf.DUMMYFUNCTION("GOOGLETRANSLATE(D77, ""en"", ""ur"")"),"ب) ٹیم تین سواروں کے ساتھ جاری رہتی ہے، لیکن ختم ہونے والے سوار کو صفر کا سکور ملتا ہے۔")</f>
        <v>ب) ٹیم تین سواروں کے ساتھ جاری رہتی ہے، لیکن ختم ہونے والے سوار کو صفر کا سکور ملتا ہے۔</v>
      </c>
      <c r="M77" s="6" t="str">
        <f>IFERROR(__xludf.DUMMYFUNCTION("GOOGLETRANSLATE(E77, ""en"", ""ur"")"),"انفرادی سوار کا سکور منسوخ کر دیا جاتا ہے، لیکن یہ ٹیم کے دیگر اراکین کو نااہل نہیں کرتا، جن کے اسکور ابھی بھی شمار ہوتے ہیں۔")</f>
        <v>انفرادی سوار کا سکور منسوخ کر دیا جاتا ہے، لیکن یہ ٹیم کے دیگر اراکین کو نااہل نہیں کرتا، جن کے اسکور ابھی بھی شمار ہوتے ہیں۔</v>
      </c>
    </row>
    <row r="78">
      <c r="A78" s="4">
        <v>77.0</v>
      </c>
      <c r="B78" s="5" t="s">
        <v>2661</v>
      </c>
      <c r="C78" s="5" t="s">
        <v>2662</v>
      </c>
      <c r="D78" s="5" t="s">
        <v>2663</v>
      </c>
      <c r="E78" s="5" t="s">
        <v>2664</v>
      </c>
      <c r="I78" s="6" t="str">
        <f>IFERROR(__xludf.DUMMYFUNCTION("GOOGLETRANSLATE(A78, ""en"", ""ur"")"),"77")</f>
        <v>77</v>
      </c>
      <c r="J78" s="6" t="str">
        <f>IFERROR(__xludf.DUMMYFUNCTION("GOOGLETRANSLATE(B78, ""en"", ""ur"")"),"ٹینٹ پیگنگ اور جوسٹنگ کے درمیان بنیادی فرق کیا ہے؟")</f>
        <v>ٹینٹ پیگنگ اور جوسٹنگ کے درمیان بنیادی فرق کیا ہے؟</v>
      </c>
      <c r="K78" s="6" t="str">
        <f>IFERROR(__xludf.DUMMYFUNCTION("GOOGLETRANSLATE(C78, ""en"", ""ur"")"),"A) جوسٹنگ تلواروں کا استعمال کرتی ہے، B) جوسٹنگ میں دو سوار ایک دوسرے پر چارج کرتے ہیں، جبکہ ٹینٹ پیگنگ ایک اسٹیشنری ہدف پر چارج ہوتا ہے، C) جوسٹنگ پرانا ہے، D) کوئی فرق نہیں ہے۔")</f>
        <v>A) جوسٹنگ تلواروں کا استعمال کرتی ہے، B) جوسٹنگ میں دو سوار ایک دوسرے پر چارج کرتے ہیں، جبکہ ٹینٹ پیگنگ ایک اسٹیشنری ہدف پر چارج ہوتا ہے، C) جوسٹنگ پرانا ہے، D) کوئی فرق نہیں ہے۔</v>
      </c>
      <c r="L78" s="6" t="str">
        <f>IFERROR(__xludf.DUMMYFUNCTION("GOOGLETRANSLATE(D78, ""en"", ""ur"")"),"ب) جوسٹنگ میں دو سوار ایک دوسرے پر چارج کرتے ہیں، جبکہ ٹینٹ پیگنگ ایک اسٹیشنری ہدف پر چارج ہوتا ہے۔")</f>
        <v>ب) جوسٹنگ میں دو سوار ایک دوسرے پر چارج کرتے ہیں، جبکہ ٹینٹ پیگنگ ایک اسٹیشنری ہدف پر چارج ہوتا ہے۔</v>
      </c>
      <c r="M78" s="6" t="str">
        <f>IFERROR(__xludf.DUMMYFUNCTION("GOOGLETRANSLATE(E78, ""en"", ""ur"")"),"جوسٹنگ دو مخالفین کے درمیان فرضی لڑائی کی ایک شکل ہے، جبکہ ٹینٹ پیگنگ ہدف کے خلاف انفرادی مہارت کا امتحان ہے۔")</f>
        <v>جوسٹنگ دو مخالفین کے درمیان فرضی لڑائی کی ایک شکل ہے، جبکہ ٹینٹ پیگنگ ہدف کے خلاف انفرادی مہارت کا امتحان ہے۔</v>
      </c>
    </row>
    <row r="79">
      <c r="A79" s="4">
        <v>78.0</v>
      </c>
      <c r="B79" s="5" t="s">
        <v>2665</v>
      </c>
      <c r="C79" s="5" t="s">
        <v>2420</v>
      </c>
      <c r="D79" s="5" t="s">
        <v>2666</v>
      </c>
      <c r="E79" s="5" t="s">
        <v>2667</v>
      </c>
      <c r="I79" s="6" t="str">
        <f>IFERROR(__xludf.DUMMYFUNCTION("GOOGLETRANSLATE(A79, ""en"", ""ur"")"),"78")</f>
        <v>78</v>
      </c>
      <c r="J79" s="6" t="str">
        <f>IFERROR(__xludf.DUMMYFUNCTION("GOOGLETRANSLATE(B79, ""en"", ""ur"")"),"سوار کا گھوڑا 9 سیکنڈ میں دوڑ مکمل کرتا ہے، جو کہ 8 سیکنڈ کی حد سے زیادہ ہے۔ وہ کامیابی کے ساتھ مکمل پیگ حاصل کرتے ہیں۔ ان کا سکور کیا ہے؟")</f>
        <v>سوار کا گھوڑا 9 سیکنڈ میں دوڑ مکمل کرتا ہے، جو کہ 8 سیکنڈ کی حد سے زیادہ ہے۔ وہ کامیابی کے ساتھ مکمل پیگ حاصل کرتے ہیں۔ ان کا سکور کیا ہے؟</v>
      </c>
      <c r="K79" s="6" t="str">
        <f>IFERROR(__xludf.DUMMYFUNCTION("GOOGLETRANSLATE(C79, ""en"", ""ur"")"),"A) 6 پوائنٹس، B) 4 پوائنٹس، C) 2 پوائنٹس، D) 0 پوائنٹس")</f>
        <v>A) 6 پوائنٹس، B) 4 پوائنٹس، C) 2 پوائنٹس، D) 0 پوائنٹس</v>
      </c>
      <c r="L79" s="6" t="str">
        <f>IFERROR(__xludf.DUMMYFUNCTION("GOOGLETRANSLATE(D79, ""en"", ""ur"")"),"D) 0 پوائنٹس")</f>
        <v>D) 0 پوائنٹس</v>
      </c>
      <c r="M79" s="6" t="str">
        <f>IFERROR(__xludf.DUMMYFUNCTION("GOOGLETRANSLATE(E79, ""en"", ""ur"")"),"وقت کی حد مطلق ہے۔ یہاں تک کہ ایک کامل اسٹرائیک بھی کالعدم ہو جاتی ہے اگر سوار بہت سست ہو، جس کے نتیجے میں وقتی غلطی کے لیے صفر کا سکور ہوتا ہے۔")</f>
        <v>وقت کی حد مطلق ہے۔ یہاں تک کہ ایک کامل اسٹرائیک بھی کالعدم ہو جاتی ہے اگر سوار بہت سست ہو، جس کے نتیجے میں وقتی غلطی کے لیے صفر کا سکور ہوتا ہے۔</v>
      </c>
    </row>
    <row r="80">
      <c r="A80" s="4">
        <v>79.0</v>
      </c>
      <c r="B80" s="5" t="s">
        <v>2668</v>
      </c>
      <c r="C80" s="5" t="s">
        <v>2669</v>
      </c>
      <c r="D80" s="5" t="s">
        <v>2670</v>
      </c>
      <c r="E80" s="5" t="s">
        <v>2671</v>
      </c>
      <c r="I80" s="6" t="str">
        <f>IFERROR(__xludf.DUMMYFUNCTION("GOOGLETRANSLATE(A80, ""en"", ""ur"")"),"79")</f>
        <v>79</v>
      </c>
      <c r="J80" s="6" t="str">
        <f>IFERROR(__xludf.DUMMYFUNCTION("GOOGLETRANSLATE(B80, ""en"", ""ur"")"),"اس کھیل کو ""ٹینٹ پیگنگ"" کہنے کی بنیادی وجہ کیا ہے؟")</f>
        <v>اس کھیل کو "ٹینٹ پیگنگ" کہنے کی بنیادی وجہ کیا ہے؟</v>
      </c>
      <c r="K80" s="6" t="str">
        <f>IFERROR(__xludf.DUMMYFUNCTION("GOOGLETRANSLATE(C80, ""en"", ""ur"")"),"A) یہ اکثر ایک بڑے خیمے میں کھیلا جاتا ہے، B) ہدف ایک خیمے کی شکل کا ہوتا ہے، C) یہ دشمن کے خیمے کے کھونٹے کھینچنے کی فوجی مشق سے شروع ہوا، D) بانی کا نام ""پیگ"" تھا۔")</f>
        <v>A) یہ اکثر ایک بڑے خیمے میں کھیلا جاتا ہے، B) ہدف ایک خیمے کی شکل کا ہوتا ہے، C) یہ دشمن کے خیمے کے کھونٹے کھینچنے کی فوجی مشق سے شروع ہوا، D) بانی کا نام "پیگ" تھا۔</v>
      </c>
      <c r="L80" s="6" t="str">
        <f>IFERROR(__xludf.DUMMYFUNCTION("GOOGLETRANSLATE(D80, ""en"", ""ur"")"),"ج) اس کی ابتدا دشمن کے خیمے کے کھونٹے کھینچنے کی فوجی مشق سے ہوئی۔")</f>
        <v>ج) اس کی ابتدا دشمن کے خیمے کے کھونٹے کھینچنے کی فوجی مشق سے ہوئی۔</v>
      </c>
      <c r="M80" s="6" t="str">
        <f>IFERROR(__xludf.DUMMYFUNCTION("GOOGLETRANSLATE(E80, ""en"", ""ur"")"),"یہ نام نیزہ چلا کر اور زمینی کھونٹے ہٹا کر دشمن کے خیموں کو گرانے کے تاریخی گھڑسوار کی حکمت عملی کا براہ راست حوالہ ہے۔")</f>
        <v>یہ نام نیزہ چلا کر اور زمینی کھونٹے ہٹا کر دشمن کے خیموں کو گرانے کے تاریخی گھڑسوار کی حکمت عملی کا براہ راست حوالہ ہے۔</v>
      </c>
    </row>
    <row r="81">
      <c r="A81" s="4">
        <v>80.0</v>
      </c>
      <c r="B81" s="5" t="s">
        <v>2672</v>
      </c>
      <c r="C81" s="5" t="s">
        <v>2673</v>
      </c>
      <c r="D81" s="5" t="s">
        <v>2674</v>
      </c>
      <c r="E81" s="5" t="s">
        <v>2675</v>
      </c>
      <c r="I81" s="6" t="str">
        <f>IFERROR(__xludf.DUMMYFUNCTION("GOOGLETRANSLATE(A81, ""en"", ""ur"")"),"80")</f>
        <v>80</v>
      </c>
      <c r="J81" s="6" t="str">
        <f>IFERROR(__xludf.DUMMYFUNCTION("GOOGLETRANSLATE(B81, ""en"", ""ur"")"),"ایک سوار کو بہت چھوٹا لانس رکھنے کی وجہ سے نااہل قرار دیا جاتا ہے۔ کم از کم لمبائی کا اصول کیوں ہے؟")</f>
        <v>ایک سوار کو بہت چھوٹا لانس رکھنے کی وجہ سے نااہل قرار دیا جاتا ہے۔ کم از کم لمبائی کا اصول کیوں ہے؟</v>
      </c>
      <c r="K81" s="6" t="str">
        <f>IFERROR(__xludf.DUMMYFUNCTION("GOOGLETRANSLATE(C81, ""en"", ""ur"")"),"A) ایک مختصر لانس دیکھنا مشکل ہے، B) سواریوں کو چالبازی میں غیر منصفانہ فائدہ اٹھانے سے روکنے کے لیے، C) سوار کو کھونٹی سے محفوظ فاصلہ یقینی بنانے کے لیے، D) یہ ایک روایتی اصول ہے جس کا کوئی عملی مقصد نہیں ہے۔")</f>
        <v>A) ایک مختصر لانس دیکھنا مشکل ہے، B) سواریوں کو چالبازی میں غیر منصفانہ فائدہ اٹھانے سے روکنے کے لیے، C) سوار کو کھونٹی سے محفوظ فاصلہ یقینی بنانے کے لیے، D) یہ ایک روایتی اصول ہے جس کا کوئی عملی مقصد نہیں ہے۔</v>
      </c>
      <c r="L81" s="6" t="str">
        <f>IFERROR(__xludf.DUMMYFUNCTION("GOOGLETRANSLATE(D81, ""en"", ""ur"")"),"ب) سواریوں کو چالبازی میں غیر منصفانہ فائدہ حاصل کرنے سے روکنا")</f>
        <v>ب) سواریوں کو چالبازی میں غیر منصفانہ فائدہ حاصل کرنے سے روکنا</v>
      </c>
      <c r="M81" s="6" t="str">
        <f>IFERROR(__xludf.DUMMYFUNCTION("GOOGLETRANSLATE(E81, ""en"", ""ur"")"),"ایک بہت ہی مختصر لانس مقصد اور کنٹرول میں بہت آسان ہو گا، لہذا سب کے لیے ایک منصفانہ چیلنج کو یقینی بنانے کے لیے ایک معیاری کم از کم لمبائی کی ضرورت ہے۔")</f>
        <v>ایک بہت ہی مختصر لانس مقصد اور کنٹرول میں بہت آسان ہو گا، لہذا سب کے لیے ایک منصفانہ چیلنج کو یقینی بنانے کے لیے ایک معیاری کم از کم لمبائی کی ضرورت ہے۔</v>
      </c>
    </row>
    <row r="82">
      <c r="A82" s="4">
        <v>81.0</v>
      </c>
      <c r="B82" s="5" t="s">
        <v>2676</v>
      </c>
      <c r="C82" s="5" t="s">
        <v>2677</v>
      </c>
      <c r="D82" s="5" t="s">
        <v>2678</v>
      </c>
      <c r="E82" s="5" t="s">
        <v>2679</v>
      </c>
      <c r="I82" s="6" t="str">
        <f>IFERROR(__xludf.DUMMYFUNCTION("GOOGLETRANSLATE(A82, ""en"", ""ur"")"),"81")</f>
        <v>81</v>
      </c>
      <c r="J82" s="6" t="str">
        <f>IFERROR(__xludf.DUMMYFUNCTION("GOOGLETRANSLATE(B82, ""en"", ""ur"")"),"ایک معطل انگوٹھی کے لیے دوڑ کے دوران، سوار انگوٹھی سے محروم ہو جاتا ہے لیکن ان کا گھوڑا اسے پکڑے ہوئے سٹینڈ پر دستک دیتا ہے۔ اس کا کیا حکم ہے؟")</f>
        <v>ایک معطل انگوٹھی کے لیے دوڑ کے دوران، سوار انگوٹھی سے محروم ہو جاتا ہے لیکن ان کا گھوڑا اسے پکڑے ہوئے سٹینڈ پر دستک دیتا ہے۔ اس کا کیا حکم ہے؟</v>
      </c>
      <c r="K82" s="6" t="str">
        <f>IFERROR(__xludf.DUMMYFUNCTION("GOOGLETRANSLATE(C82, ""en"", ""ur"")"),"A) سوار کو نااہل قرار دیا جاتا ہے، B) پوائنٹ دوبارہ چلایا جاتا ہے، C) سوار کو مس کرنے پر صفر کا سکور ملتا ہے، D) سوار کو اس کے گھوڑے کی حرکت پر سزا دی جاتی ہے۔")</f>
        <v>A) سوار کو نااہل قرار دیا جاتا ہے، B) پوائنٹ دوبارہ چلایا جاتا ہے، C) سوار کو مس کرنے پر صفر کا سکور ملتا ہے، D) سوار کو اس کے گھوڑے کی حرکت پر سزا دی جاتی ہے۔</v>
      </c>
      <c r="L82" s="6" t="str">
        <f>IFERROR(__xludf.DUMMYFUNCTION("GOOGLETRANSLATE(D82, ""en"", ""ur"")"),"C) سوار کو مس ہونے پر صفر کا سکور ملتا ہے۔")</f>
        <v>C) سوار کو مس ہونے پر صفر کا سکور ملتا ہے۔</v>
      </c>
      <c r="M82" s="6" t="str">
        <f>IFERROR(__xludf.DUMMYFUNCTION("GOOGLETRANSLATE(E82, ""en"", ""ur"")"),"رن ایک مس (صفر پوائنٹس) کے طور پر اسکور کیا جاتا ہے۔ جب تک کہ اس عمل کو خطرناک نہ سمجھا جائے، عام طور پر گھوڑے کے اسٹینڈ سے ٹکرانے کے لیے مزید کوئی سزا نہیں ہوتی۔")</f>
        <v>رن ایک مس (صفر پوائنٹس) کے طور پر اسکور کیا جاتا ہے۔ جب تک کہ اس عمل کو خطرناک نہ سمجھا جائے، عام طور پر گھوڑے کے اسٹینڈ سے ٹکرانے کے لیے مزید کوئی سزا نہیں ہوتی۔</v>
      </c>
    </row>
    <row r="83">
      <c r="A83" s="4">
        <v>82.0</v>
      </c>
      <c r="B83" s="5" t="s">
        <v>2680</v>
      </c>
      <c r="C83" s="5" t="s">
        <v>2681</v>
      </c>
      <c r="D83" s="5" t="s">
        <v>2682</v>
      </c>
      <c r="E83" s="5" t="s">
        <v>2683</v>
      </c>
      <c r="I83" s="6" t="str">
        <f>IFERROR(__xludf.DUMMYFUNCTION("GOOGLETRANSLATE(A83, ""en"", ""ur"")"),"82")</f>
        <v>82</v>
      </c>
      <c r="J83" s="6" t="str">
        <f>IFERROR(__xludf.DUMMYFUNCTION("GOOGLETRANSLATE(B83, ""en"", ""ur"")"),"ٹیم ایونٹ میں ""مکمل سیکشن اٹیک"" کیا ہے؟")</f>
        <v>ٹیم ایونٹ میں "مکمل سیکشن اٹیک" کیا ہے؟</v>
      </c>
      <c r="K83" s="6" t="str">
        <f>IFERROR(__xludf.DUMMYFUNCTION("GOOGLETRANSLATE(C83, ""en"", ""ur"")"),"A) چاروں سوار ایک ساتھ ایک لائن میں کھونٹے چارج کرتے ہیں، B) ٹیم نیزہ اور تلوار دونوں کا استعمال کرتی ہے، C) ٹیم رسمی چارج کرتی ہے، D) ٹیم ججوں پر حملہ کرتی ہے۔")</f>
        <v>A) چاروں سوار ایک ساتھ ایک لائن میں کھونٹے چارج کرتے ہیں، B) ٹیم نیزہ اور تلوار دونوں کا استعمال کرتی ہے، C) ٹیم رسمی چارج کرتی ہے، D) ٹیم ججوں پر حملہ کرتی ہے۔</v>
      </c>
      <c r="L83" s="6" t="str">
        <f>IFERROR(__xludf.DUMMYFUNCTION("GOOGLETRANSLATE(D83, ""en"", ""ur"")"),"A) چاروں سوار بیک وقت ایک لائن میں پیگز چارج کرتے ہیں۔")</f>
        <v>A) چاروں سوار بیک وقت ایک لائن میں پیگز چارج کرتے ہیں۔</v>
      </c>
      <c r="M83" s="6" t="str">
        <f>IFERROR(__xludf.DUMMYFUNCTION("GOOGLETRANSLATE(E83, ""en"", ""ur"")"),"یہ کلاسک ٹیم ایونٹ ہے، جہاں چار سواروں کو اپنے انفرادی ہدف کو نشانہ بناتے ہوئے بہترین فارمیشن برقرار رکھنا چاہیے۔")</f>
        <v>یہ کلاسک ٹیم ایونٹ ہے، جہاں چار سواروں کو اپنے انفرادی ہدف کو نشانہ بناتے ہوئے بہترین فارمیشن برقرار رکھنا چاہیے۔</v>
      </c>
    </row>
    <row r="84">
      <c r="A84" s="4">
        <v>83.0</v>
      </c>
      <c r="B84" s="5" t="s">
        <v>2684</v>
      </c>
      <c r="C84" s="5" t="s">
        <v>2685</v>
      </c>
      <c r="D84" s="5" t="s">
        <v>2686</v>
      </c>
      <c r="E84" s="5" t="s">
        <v>2687</v>
      </c>
      <c r="I84" s="6" t="str">
        <f>IFERROR(__xludf.DUMMYFUNCTION("GOOGLETRANSLATE(A84, ""en"", ""ur"")"),"83")</f>
        <v>83</v>
      </c>
      <c r="J84" s="6" t="str">
        <f>IFERROR(__xludf.DUMMYFUNCTION("GOOGLETRANSLATE(B84, ""en"", ""ur"")"),"کیوں زمین جہاں کھونٹی رکھی ہے مضبوط اور اچھی طرح سے کمپیکٹ ہونا چاہئے؟")</f>
        <v>کیوں زمین جہاں کھونٹی رکھی ہے مضبوط اور اچھی طرح سے کمپیکٹ ہونا چاہئے؟</v>
      </c>
      <c r="K84" s="6" t="str">
        <f>IFERROR(__xludf.DUMMYFUNCTION("GOOGLETRANSLATE(C84, ""en"", ""ur"")"),"A) کھونٹی کو اٹھانا مشکل بنانے کے لیے، B) اس بات کو یقینی بنانے کے لیے کہ پیگ تمام سواروں کے لیے 60 ڈگری کے زاویے کو مستقل طور پر رکھتا ہے، C) گھوڑے کو پھسلنے سے روکنے کے لیے، D) یہ کوئی ضرورت نہیں ہے۔")</f>
        <v>A) کھونٹی کو اٹھانا مشکل بنانے کے لیے، B) اس بات کو یقینی بنانے کے لیے کہ پیگ تمام سواروں کے لیے 60 ڈگری کے زاویے کو مستقل طور پر رکھتا ہے، C) گھوڑے کو پھسلنے سے روکنے کے لیے، D) یہ کوئی ضرورت نہیں ہے۔</v>
      </c>
      <c r="L84" s="6" t="str">
        <f>IFERROR(__xludf.DUMMYFUNCTION("GOOGLETRANSLATE(D84, ""en"", ""ur"")"),"ب) اس بات کو یقینی بنانے کے لیے کہ پیگ اپنے 60 ڈگری زاویہ کو تمام سواروں کے لیے مستقل طور پر رکھتا ہے۔")</f>
        <v>ب) اس بات کو یقینی بنانے کے لیے کہ پیگ اپنے 60 ڈگری زاویہ کو تمام سواروں کے لیے مستقل طور پر رکھتا ہے۔</v>
      </c>
      <c r="M84" s="6" t="str">
        <f>IFERROR(__xludf.DUMMYFUNCTION("GOOGLETRANSLATE(E84, ""en"", ""ur"")"),"منصفانہ مسابقت کا تقاضا ہے کہ ہدف میں ہر حریف کے لیے یکساں سطح کی مزاحمت ہو۔")</f>
        <v>منصفانہ مسابقت کا تقاضا ہے کہ ہدف میں ہر حریف کے لیے یکساں سطح کی مزاحمت ہو۔</v>
      </c>
    </row>
    <row r="85">
      <c r="A85" s="4">
        <v>84.0</v>
      </c>
      <c r="B85" s="5" t="s">
        <v>2688</v>
      </c>
      <c r="C85" s="5" t="s">
        <v>2689</v>
      </c>
      <c r="D85" s="5" t="s">
        <v>2690</v>
      </c>
      <c r="E85" s="5" t="s">
        <v>2691</v>
      </c>
      <c r="I85" s="6" t="str">
        <f>IFERROR(__xludf.DUMMYFUNCTION("GOOGLETRANSLATE(A85, ""en"", ""ur"")"),"84")</f>
        <v>84</v>
      </c>
      <c r="J85" s="6" t="str">
        <f>IFERROR(__xludf.DUMMYFUNCTION("GOOGLETRANSLATE(B85, ""en"", ""ur"")"),"اگر سوار کھونٹی کو مارتا ہے، اسے اٹھاتا ہے، لیکن لانس کے دوران کھونٹی خود ہی ٹوٹ جاتی ہے تو اس کا کیا حکم ہے؟")</f>
        <v>اگر سوار کھونٹی کو مارتا ہے، اسے اٹھاتا ہے، لیکن لانس کے دوران کھونٹی خود ہی ٹوٹ جاتی ہے تو اس کا کیا حکم ہے؟</v>
      </c>
      <c r="K85" s="6" t="str">
        <f>IFERROR(__xludf.DUMMYFUNCTION("GOOGLETRANSLATE(C85, ""en"", ""ur"")"),"A) اسکور کو کالعدم کر دیا گیا ہے، B) اسے ""ڈرون پیگ"" (2 پوائنٹس) کے طور پر اسکور کیا جاتا ہے، C) اسے ""فل پیگ"" (6 پوائنٹس) کے طور پر اسکور کیا جاتا ہے، D) رن کو ایک نئے پیگ کے ساتھ دوبارہ چلایا جاتا ہے۔")</f>
        <v>A) اسکور کو کالعدم کر دیا گیا ہے، B) اسے "ڈرون پیگ" (2 پوائنٹس) کے طور پر اسکور کیا جاتا ہے، C) اسے "فل پیگ" (6 پوائنٹس) کے طور پر اسکور کیا جاتا ہے، D) رن کو ایک نئے پیگ کے ساتھ دوبارہ چلایا جاتا ہے۔</v>
      </c>
      <c r="L85" s="6" t="str">
        <f>IFERROR(__xludf.DUMMYFUNCTION("GOOGLETRANSLATE(D85, ""en"", ""ur"")"),"C) اسے ""فل پیگ"" کے طور پر اسکور کیا جاتا ہے (6 پوائنٹس)")</f>
        <v>C) اسے "فل پیگ" کے طور پر اسکور کیا جاتا ہے (6 پوائنٹس)</v>
      </c>
      <c r="M85" s="6" t="str">
        <f>IFERROR(__xludf.DUMMYFUNCTION("GOOGLETRANSLATE(E85, ""en"", ""ur"")"),"سوار نے پیگ اٹھانے کا مطلوبہ عمل کامیابی سے انجام دیا۔ ہدف کے آلات کی ناکامی اسکور کو باطل نہیں کرتی ہے۔")</f>
        <v>سوار نے پیگ اٹھانے کا مطلوبہ عمل کامیابی سے انجام دیا۔ ہدف کے آلات کی ناکامی اسکور کو باطل نہیں کرتی ہے۔</v>
      </c>
    </row>
    <row r="86">
      <c r="A86" s="4">
        <v>85.0</v>
      </c>
      <c r="B86" s="5" t="s">
        <v>2692</v>
      </c>
      <c r="C86" s="5" t="s">
        <v>2693</v>
      </c>
      <c r="D86" s="5" t="s">
        <v>2694</v>
      </c>
      <c r="E86" s="5" t="s">
        <v>2695</v>
      </c>
      <c r="I86" s="6" t="str">
        <f>IFERROR(__xludf.DUMMYFUNCTION("GOOGLETRANSLATE(A86, ""en"", ""ur"")"),"85")</f>
        <v>85</v>
      </c>
      <c r="J86" s="6" t="str">
        <f>IFERROR(__xludf.DUMMYFUNCTION("GOOGLETRANSLATE(B86, ""en"", ""ur"")"),"ٹورنامنٹ میں ""مارشلنگ ایریا"" کا مقصد کیا ہے؟")</f>
        <v>ٹورنامنٹ میں "مارشلنگ ایریا" کا مقصد کیا ہے؟</v>
      </c>
      <c r="K86" s="6" t="str">
        <f>IFERROR(__xludf.DUMMYFUNCTION("GOOGLETRANSLATE(C86, ""en"", ""ur"")"),"A)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f>
        <v>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v>
      </c>
      <c r="L86" s="6" t="str">
        <f>IFERROR(__xludf.DUMMYFUNCTION("GOOGLETRANSLATE(D86, ""en"", ""ur"")"),"ب) یہ اگلے حریفوں کے لیے ایک نامزد انتظار اور وارم اپ ایریا ہے۔")</f>
        <v>ب) یہ اگلے حریفوں کے لیے ایک نامزد انتظار اور وارم اپ ایریا ہے۔</v>
      </c>
      <c r="M86" s="6" t="str">
        <f>IFERROR(__xludf.DUMMYFUNCTION("GOOGLETRANSLATE(E86, ""en"", ""ur"")"),"مارشلنگ ایریا ایونٹ آرگنائزیشن کا ایک اہم حصہ ہے، اس بات کو یقینی بناتا ہے کہ سوار تیار ہیں اور مقابلہ آسانی سے جاری ہے۔")</f>
        <v>مارشلنگ ایریا ایونٹ آرگنائزیشن کا ایک اہم حصہ ہے، اس بات کو یقینی بناتا ہے کہ سوار تیار ہیں اور مقابلہ آسانی سے جاری ہے۔</v>
      </c>
    </row>
    <row r="87">
      <c r="A87" s="4">
        <v>86.0</v>
      </c>
      <c r="B87" s="5" t="s">
        <v>2696</v>
      </c>
      <c r="C87" s="5" t="s">
        <v>2697</v>
      </c>
      <c r="D87" s="5" t="s">
        <v>2698</v>
      </c>
      <c r="E87" s="5" t="s">
        <v>2699</v>
      </c>
      <c r="I87" s="6" t="str">
        <f>IFERROR(__xludf.DUMMYFUNCTION("GOOGLETRANSLATE(A87, ""en"", ""ur"")"),"86")</f>
        <v>86</v>
      </c>
      <c r="J87" s="6" t="str">
        <f>IFERROR(__xludf.DUMMYFUNCTION("GOOGLETRANSLATE(B87, ""en"", ""ur"")"),"ایک سوار کو بہت ہلکا، پتلا لانس استعمال کرتے ہوئے دیکھا گیا ہے۔ اس کا بنیادی نقصان کیا ہے؟")</f>
        <v>ایک سوار کو بہت ہلکا، پتلا لانس استعمال کرتے ہوئے دیکھا گیا ہے۔ اس کا بنیادی نقصان کیا ہے؟</v>
      </c>
      <c r="K87" s="6" t="str">
        <f>IFERROR(__xludf.DUMMYFUNCTION("GOOGLETRANSLATE(C87, ""en"", ""ur"")"),"A) بغیر توڑے کھونٹی کو زمین سے اٹھانے کی طاقت نہیں ہوسکتی ہے، B) اسے نشانہ بنانا مشکل ہے، C) یہ سست ہے، D) یہ غیر قانونی ہے")</f>
        <v>A) بغیر توڑے کھونٹی کو زمین سے اٹھانے کی طاقت نہیں ہوسکتی ہے، B) اسے نشانہ بنانا مشکل ہے، C) یہ سست ہے، D) یہ غیر قانونی ہے</v>
      </c>
      <c r="L87" s="6" t="str">
        <f>IFERROR(__xludf.DUMMYFUNCTION("GOOGLETRANSLATE(D87, ""en"", ""ur"")"),"ا) ہو سکتا ہے اس میں اتنی طاقت نہ ہو کہ کھونٹی کو بغیر توڑے زمین سے اٹھا سکے۔")</f>
        <v>ا) ہو سکتا ہے اس میں اتنی طاقت نہ ہو کہ کھونٹی کو بغیر توڑے زمین سے اٹھا سکے۔</v>
      </c>
      <c r="M87" s="6" t="str">
        <f>IFERROR(__xludf.DUMMYFUNCTION("GOOGLETRANSLATE(E87, ""en"", ""ur"")"),"ایک لانس اتنا مضبوط ہونا چاہیے کہ وہ تیز رفتاری سے مٹی سے کھونٹے کو مارنے اور اس کا فائدہ اٹھانے کی اہم قوت کا مقابلہ کر سکے۔")</f>
        <v>ایک لانس اتنا مضبوط ہونا چاہیے کہ وہ تیز رفتاری سے مٹی سے کھونٹے کو مارنے اور اس کا فائدہ اٹھانے کی اہم قوت کا مقابلہ کر سکے۔</v>
      </c>
    </row>
    <row r="88">
      <c r="A88" s="4">
        <v>87.0</v>
      </c>
      <c r="B88" s="5" t="s">
        <v>2700</v>
      </c>
      <c r="C88" s="5" t="s">
        <v>2701</v>
      </c>
      <c r="D88" s="5" t="s">
        <v>2702</v>
      </c>
      <c r="E88" s="5" t="s">
        <v>2703</v>
      </c>
      <c r="I88" s="6" t="str">
        <f>IFERROR(__xludf.DUMMYFUNCTION("GOOGLETRANSLATE(A88, ""en"", ""ur"")"),"87")</f>
        <v>87</v>
      </c>
      <c r="J88" s="6" t="str">
        <f>IFERROR(__xludf.DUMMYFUNCTION("GOOGLETRANSLATE(B88, ""en"", ""ur"")"),"ٹیم ایونٹ میں، کس کو فاتح قرار دیا جاتا ہے؟")</f>
        <v>ٹیم ایونٹ میں، کس کو فاتح قرار دیا جاتا ہے؟</v>
      </c>
      <c r="K88" s="6" t="str">
        <f>IFERROR(__xludf.DUMMYFUNCTION("GOOGLETRANSLATE(C88, ""en"", ""ur"")"),"A)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f>
        <v>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v>
      </c>
      <c r="L88" s="6" t="str">
        <f>IFERROR(__xludf.DUMMYFUNCTION("GOOGLETRANSLATE(D88, ""en"", ""ur"")"),"C) اپنے تمام سواروں سے سب سے زیادہ مجموعی اسکور والی ٹیم")</f>
        <v>C) اپنے تمام سواروں سے سب سے زیادہ مجموعی اسکور والی ٹیم</v>
      </c>
      <c r="M88" s="6" t="str">
        <f>IFERROR(__xludf.DUMMYFUNCTION("GOOGLETRANSLATE(E88, ""en"", ""ur"")"),"جیتنے والی ٹیم وہ ہوتی ہے جس کے اراکین مجموعی طور پر مقابلے کے تمام رنز میں سب سے زیادہ پوائنٹس حاصل کرتے ہیں۔")</f>
        <v>جیتنے والی ٹیم وہ ہوتی ہے جس کے اراکین مجموعی طور پر مقابلے کے تمام رنز میں سب سے زیادہ پوائنٹس حاصل کرتے ہیں۔</v>
      </c>
    </row>
    <row r="89">
      <c r="A89" s="4">
        <v>88.0</v>
      </c>
      <c r="B89" s="5" t="s">
        <v>2704</v>
      </c>
      <c r="C89" s="5" t="s">
        <v>2705</v>
      </c>
      <c r="D89" s="5" t="s">
        <v>2706</v>
      </c>
      <c r="E89" s="5" t="s">
        <v>2707</v>
      </c>
      <c r="I89" s="6" t="str">
        <f>IFERROR(__xludf.DUMMYFUNCTION("GOOGLETRANSLATE(A89, ""en"", ""ur"")"),"88")</f>
        <v>88</v>
      </c>
      <c r="J89" s="6" t="str">
        <f>IFERROR(__xludf.DUMMYFUNCTION("GOOGLETRANSLATE(B89, ""en"", ""ur"")"),"آئی ٹی پی ایف ایونٹ میں ""ٹیکنیکل ڈیلیگیٹ"" کا کیا کردار ہوتا ہے؟")</f>
        <v>آئی ٹی پی ایف ایونٹ میں "ٹیکنیکل ڈیلیگیٹ" کا کیا کردار ہوتا ہے؟</v>
      </c>
      <c r="K89" s="6" t="str">
        <f>IFERROR(__xludf.DUMMYFUNCTION("GOOGLETRANSLATE(C89, ""en"", ""ur"")"),"A)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f>
        <v>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v>
      </c>
      <c r="L89" s="6" t="str">
        <f>IFERROR(__xludf.DUMMYFUNCTION("GOOGLETRANSLATE(D89, ""en"", ""ur"")"),"ب) میدان، سازوسامان اور زمینی حالات سرکاری بین الاقوامی معیارات پر پورا اترنے کو یقینی بنانا")</f>
        <v>ب) میدان، سازوسامان اور زمینی حالات سرکاری بین الاقوامی معیارات پر پورا اترنے کو یقینی بنانا</v>
      </c>
      <c r="M89" s="6" t="str">
        <f>IFERROR(__xludf.DUMMYFUNCTION("GOOGLETRANSLATE(E89, ""en"", ""ur"")"),"تکنیکی مندوب مقابلے کے تکنیکی پہلوؤں پر اعلیٰ ترین اتھارٹی ہے، جو منصفانہ اور محفوظ حالات کو یقینی بناتا ہے۔")</f>
        <v>تکنیکی مندوب مقابلے کے تکنیکی پہلوؤں پر اعلیٰ ترین اتھارٹی ہے، جو منصفانہ اور محفوظ حالات کو یقینی بناتا ہے۔</v>
      </c>
    </row>
    <row r="90">
      <c r="A90" s="4">
        <v>89.0</v>
      </c>
      <c r="B90" s="5" t="s">
        <v>2708</v>
      </c>
      <c r="C90" s="5" t="s">
        <v>2709</v>
      </c>
      <c r="D90" s="5" t="s">
        <v>2710</v>
      </c>
      <c r="E90" s="5" t="s">
        <v>2711</v>
      </c>
      <c r="I90" s="6" t="str">
        <f>IFERROR(__xludf.DUMMYFUNCTION("GOOGLETRANSLATE(A90, ""en"", ""ur"")"),"89")</f>
        <v>89</v>
      </c>
      <c r="J90" s="6" t="str">
        <f>IFERROR(__xludf.DUMMYFUNCTION("GOOGLETRANSLATE(B90, ""en"", ""ur"")"),"ایک سوار ایک ہی دوڑ میں دو معلق انگوٹھیوں کو کامیابی کے ساتھ چلاتا ہے۔ کیا یہ ممکن ہے؟")</f>
        <v>ایک سوار ایک ہی دوڑ میں دو معلق انگوٹھیوں کو کامیابی کے ساتھ چلاتا ہے۔ کیا یہ ممکن ہے؟</v>
      </c>
      <c r="K90" s="6" t="str">
        <f>IFERROR(__xludf.DUMMYFUNCTION("GOOGLETRANSLATE(C90, ""en"", ""ur"")"),"A) نہیں، فی رن صرف ایک رنگ کی اجازت ہے، B) ہاں، یہ ایک معیاری ایونٹ ہے، C) صرف اس صورت میں جب وہ دو لینس استعمال کریں، D) ہاں، لیکن اس سے اضافی پوائنٹس نہیں ملتے")</f>
        <v>A) نہیں، فی رن صرف ایک رنگ کی اجازت ہے، B) ہاں، یہ ایک معیاری ایونٹ ہے، C) صرف اس صورت میں جب وہ دو لینس استعمال کریں، D) ہاں، لیکن اس سے اضافی پوائنٹس نہیں ملتے</v>
      </c>
      <c r="L90" s="6" t="str">
        <f>IFERROR(__xludf.DUMMYFUNCTION("GOOGLETRANSLATE(D90, ""en"", ""ur"")"),"ب) جی ہاں، یہ ایک معیاری واقعہ ہے۔")</f>
        <v>ب) جی ہاں، یہ ایک معیاری واقعہ ہے۔</v>
      </c>
      <c r="M90" s="6" t="str">
        <f>IFERROR(__xludf.DUMMYFUNCTION("GOOGLETRANSLATE(E90, ""en"", ""ur"")"),"""رِنگز"" ایونٹ میں اکثر دو معطل انگوٹھیاں ہوتی ہیں جنہیں سوار کو ایک ہی پاس میں جمع کرنا ہوتا ہے۔")</f>
        <v>"رِنگز" ایونٹ میں اکثر دو معطل انگوٹھیاں ہوتی ہیں جنہیں سوار کو ایک ہی پاس میں جمع کرنا ہوتا ہے۔</v>
      </c>
    </row>
    <row r="91">
      <c r="A91" s="4">
        <v>90.0</v>
      </c>
      <c r="B91" s="5" t="s">
        <v>2712</v>
      </c>
      <c r="C91" s="5" t="s">
        <v>2713</v>
      </c>
      <c r="D91" s="5" t="s">
        <v>2714</v>
      </c>
      <c r="E91" s="5" t="s">
        <v>2715</v>
      </c>
      <c r="I91" s="6" t="str">
        <f>IFERROR(__xludf.DUMMYFUNCTION("GOOGLETRANSLATE(A91, ""en"", ""ur"")"),"90")</f>
        <v>90</v>
      </c>
      <c r="J91" s="6" t="str">
        <f>IFERROR(__xludf.DUMMYFUNCTION("GOOGLETRANSLATE(B91, ""en"", ""ur"")"),"گھوڑے کا مزاج (اس کا سکون اور ہمت) اتنا اہم کیوں ہے؟")</f>
        <v>گھوڑے کا مزاج (اس کا سکون اور ہمت) اتنا اہم کیوں ہے؟</v>
      </c>
      <c r="K91" s="6" t="str">
        <f>IFERROR(__xludf.DUMMYFUNCTION("GOOGLETRANSLATE(C91, ""en"", ""ur"")"),"A) ایک پرسکون گھوڑا فروخت کرنا آسان ہے، B) ایک گھوڑا جو بہادر ہے اور لانس یا شور سے خوفزدہ نہیں ہے، ایک سچی، سیدھی لکیر چلائے گا، C) یہ اہم نہیں ہے، D) ایک پرسکون گھوڑا تیز دوڑتا ہے۔")</f>
        <v>A) ایک پرسکون گھوڑا فروخت کرنا آسان ہے، B) ایک گھوڑا جو بہادر ہے اور لانس یا شور سے خوفزدہ نہیں ہے، ایک سچی، سیدھی لکیر چلائے گا، C) یہ اہم نہیں ہے، D) ایک پرسکون گھوڑا تیز دوڑتا ہے۔</v>
      </c>
      <c r="L91" s="6" t="str">
        <f>IFERROR(__xludf.DUMMYFUNCTION("GOOGLETRANSLATE(D91, ""en"", ""ur"")"),"ب) ایک گھوڑا جو بہادر ہے اور لانس یا شور سے خوفزدہ نہیں ہے، ایک سچی، سیدھی لکیر چلائے گا۔")</f>
        <v>ب) ایک گھوڑا جو بہادر ہے اور لانس یا شور سے خوفزدہ نہیں ہے، ایک سچی، سیدھی لکیر چلائے گا۔</v>
      </c>
      <c r="M91" s="6" t="str">
        <f>IFERROR(__xludf.DUMMYFUNCTION("GOOGLETRANSLATE(E91, ""en"", ""ur"")"),"گھوڑے کی ذہنی حالت نازک ہے۔ ایک خوف زدہ گھوڑا ہدف سے دور ہو جائے گا، جس سے درست حملہ ناممکن ہو جائے گا۔")</f>
        <v>گھوڑے کی ذہنی حالت نازک ہے۔ ایک خوف زدہ گھوڑا ہدف سے دور ہو جائے گا، جس سے درست حملہ ناممکن ہو جائے گا۔</v>
      </c>
    </row>
    <row r="92">
      <c r="A92" s="4">
        <v>91.0</v>
      </c>
      <c r="B92" s="5" t="s">
        <v>2716</v>
      </c>
      <c r="C92" s="5" t="s">
        <v>2717</v>
      </c>
      <c r="D92" s="5" t="s">
        <v>2718</v>
      </c>
      <c r="E92" s="5" t="s">
        <v>2719</v>
      </c>
      <c r="I92" s="6" t="str">
        <f>IFERROR(__xludf.DUMMYFUNCTION("GOOGLETRANSLATE(A92, ""en"", ""ur"")"),"91")</f>
        <v>91</v>
      </c>
      <c r="J92" s="6" t="str">
        <f>IFERROR(__xludf.DUMMYFUNCTION("GOOGLETRANSLATE(B92, ""en"", ""ur"")"),"ایک رائیڈر کو صرف ایک رن سے نہیں بلکہ پورے مقابلے سے نااہل قرار دینے کی بنیادی وجہ کیا ہے؟")</f>
        <v>ایک رائیڈر کو صرف ایک رن سے نہیں بلکہ پورے مقابلے سے نااہل قرار دینے کی بنیادی وجہ کیا ہے؟</v>
      </c>
      <c r="K92" s="6" t="str">
        <f>IFERROR(__xludf.DUMMYFUNCTION("GOOGLETRANSLATE(C92, ""en"", ""ur"")"),"A) تین بار کھونٹی کا غائب ہونا، B) خطرناک سواری یا جانوروں پر ظلم کا ایک ہی عمل، C) جج سے بحث کرنا، D) ان کے بھاگنے میں دیر ہونا")</f>
        <v>A) تین بار کھونٹی کا غائب ہونا، B) خطرناک سواری یا جانوروں پر ظلم کا ایک ہی عمل، C) جج سے بحث کرنا، D) ان کے بھاگنے میں دیر ہونا</v>
      </c>
      <c r="L92" s="6" t="str">
        <f>IFERROR(__xludf.DUMMYFUNCTION("GOOGLETRANSLATE(D92, ""en"", ""ur"")"),"ب) خطرناک سواری یا جانوروں پر ظلم کا ایک ہی عمل")</f>
        <v>ب) خطرناک سواری یا جانوروں پر ظلم کا ایک ہی عمل</v>
      </c>
      <c r="M92" s="6" t="str">
        <f>IFERROR(__xludf.DUMMYFUNCTION("GOOGLETRANSLATE(E92, ""en"", ""ur"")"),"سنگین جرائم، جیسے جان بوجھ کر دوسروں کو خطرے میں ڈالنا یا اپنے گھوڑے پر ظلم کا مظاہرہ کرنا، پورے واقعے سے بے دخل کر سکتا ہے۔")</f>
        <v>سنگین جرائم، جیسے جان بوجھ کر دوسروں کو خطرے میں ڈالنا یا اپنے گھوڑے پر ظلم کا مظاہرہ کرنا، پورے واقعے سے بے دخل کر سکتا ہے۔</v>
      </c>
    </row>
    <row r="93">
      <c r="A93" s="4">
        <v>92.0</v>
      </c>
      <c r="B93" s="5" t="s">
        <v>2720</v>
      </c>
      <c r="C93" s="5" t="s">
        <v>2721</v>
      </c>
      <c r="D93" s="5" t="s">
        <v>2722</v>
      </c>
      <c r="E93" s="5" t="s">
        <v>2723</v>
      </c>
      <c r="I93" s="6" t="str">
        <f>IFERROR(__xludf.DUMMYFUNCTION("GOOGLETRANSLATE(A93, ""en"", ""ur"")"),"92")</f>
        <v>92</v>
      </c>
      <c r="J93" s="6" t="str">
        <f>IFERROR(__xludf.DUMMYFUNCTION("GOOGLETRANSLATE(B93, ""en"", ""ur"")"),"ایک سوار کھونٹی کو مارتا ہے، لیکن یہ باہر نکلے بغیر صرف زمین میں گھومتا ہے۔ سکور کیا ہے؟")</f>
        <v>ایک سوار کھونٹی کو مارتا ہے، لیکن یہ باہر نکلے بغیر صرف زمین میں گھومتا ہے۔ سکور کیا ہے؟</v>
      </c>
      <c r="K93" s="6" t="str">
        <f>IFERROR(__xludf.DUMMYFUNCTION("GOOGLETRANSLATE(C93, ""en"", ""ur"")"),"A) 1 پوائنٹ، B) 2 پوائنٹس، C) 0 پوائنٹس، D) 4 پوائنٹس")</f>
        <v>A) 1 پوائنٹ، B) 2 پوائنٹس، C) 0 پوائنٹس، D) 4 پوائنٹس</v>
      </c>
      <c r="L93" s="6" t="str">
        <f>IFERROR(__xludf.DUMMYFUNCTION("GOOGLETRANSLATE(D93, ""en"", ""ur"")"),"C) 0 پوائنٹس")</f>
        <v>C) 0 پوائنٹس</v>
      </c>
      <c r="M93" s="6" t="str">
        <f>IFERROR(__xludf.DUMMYFUNCTION("GOOGLETRANSLATE(E93, ""en"", ""ur"")"),"کوئی بھی پوائنٹ حاصل کرنے کے لیے کھونٹی کو زمین سے جسمانی طور پر ہٹایا جانا چاہیے۔ ایک کھونٹی جسے صرف چھوا یا کاتا جاتا ہے ایک مس ہے۔")</f>
        <v>کوئی بھی پوائنٹ حاصل کرنے کے لیے کھونٹی کو زمین سے جسمانی طور پر ہٹایا جانا چاہیے۔ ایک کھونٹی جسے صرف چھوا یا کاتا جاتا ہے ایک مس ہے۔</v>
      </c>
    </row>
    <row r="94">
      <c r="A94" s="4">
        <v>93.0</v>
      </c>
      <c r="B94" s="5" t="s">
        <v>2724</v>
      </c>
      <c r="C94" s="5" t="s">
        <v>2725</v>
      </c>
      <c r="D94" s="5" t="s">
        <v>2726</v>
      </c>
      <c r="E94" s="5" t="s">
        <v>2727</v>
      </c>
      <c r="I94" s="6" t="str">
        <f>IFERROR(__xludf.DUMMYFUNCTION("GOOGLETRANSLATE(A94, ""en"", ""ur"")"),"93")</f>
        <v>93</v>
      </c>
      <c r="J94" s="6" t="str">
        <f>IFERROR(__xludf.DUMMYFUNCTION("GOOGLETRANSLATE(B94, ""en"", ""ur"")"),"""تلوار"" کے واقعات میں لیموں کے علاوہ عام ہدف کیا ہے؟")</f>
        <v>"تلوار" کے واقعات میں لیموں کے علاوہ عام ہدف کیا ہے؟</v>
      </c>
      <c r="K94" s="6" t="str">
        <f>IFERROR(__xludf.DUMMYFUNCTION("GOOGLETRANSLATE(C94, ""en"", ""ur"")"),"A) لکڑی کے بلاکس، B) مٹی کے برتن، C) نارنجی یا دیگر نرم پھل، D) شیشے کی بوتلیں")</f>
        <v>A) لکڑی کے بلاکس، B) مٹی کے برتن، C) نارنجی یا دیگر نرم پھل، D) شیشے کی بوتلیں</v>
      </c>
      <c r="L94" s="6" t="str">
        <f>IFERROR(__xludf.DUMMYFUNCTION("GOOGLETRANSLATE(D94, ""en"", ""ur"")"),"ج) سنتری یا دیگر نرم پھل")</f>
        <v>ج) سنتری یا دیگر نرم پھل</v>
      </c>
      <c r="M94" s="6" t="str">
        <f>IFERROR(__xludf.DUMMYFUNCTION("GOOGLETRANSLATE(E94, ""en"", ""ur"")"),"چھوٹے، نرم اہداف جیسے نارنجی اکثر سوار کی درستگی اور ان کے بلیڈ کی نفاست کو جانچنے کے لیے استعمال ہوتے ہیں۔")</f>
        <v>چھوٹے، نرم اہداف جیسے نارنجی اکثر سوار کی درستگی اور ان کے بلیڈ کی نفاست کو جانچنے کے لیے استعمال ہوتے ہیں۔</v>
      </c>
    </row>
    <row r="95">
      <c r="A95" s="4">
        <v>94.0</v>
      </c>
      <c r="B95" s="5" t="s">
        <v>2728</v>
      </c>
      <c r="C95" s="5" t="s">
        <v>2729</v>
      </c>
      <c r="D95" s="5" t="s">
        <v>2730</v>
      </c>
      <c r="E95" s="5" t="s">
        <v>2731</v>
      </c>
      <c r="I95" s="6" t="str">
        <f>IFERROR(__xludf.DUMMYFUNCTION("GOOGLETRANSLATE(A95, ""en"", ""ur"")"),"94")</f>
        <v>94</v>
      </c>
      <c r="J95" s="6" t="str">
        <f>IFERROR(__xludf.DUMMYFUNCTION("GOOGLETRANSLATE(B95, ""en"", ""ur"")"),"ٹیم ایونٹ کے لیے سرکاری اصطلاح کیا ہے جہاں چار سوار ایک لائن میں چارج کرتے ہیں؟")</f>
        <v>ٹیم ایونٹ کے لیے سرکاری اصطلاح کیا ہے جہاں چار سوار ایک لائن میں چارج کرتے ہیں؟</v>
      </c>
      <c r="K95" s="6" t="str">
        <f>IFERROR(__xludf.DUMMYFUNCTION("GOOGLETRANSLATE(C95, ""en"", ""ur"")"),"اے) سیکشن، بی) ریلے، سی) گروپ، ڈی) انڈین فائل")</f>
        <v>اے) سیکشن، بی) ریلے، سی) گروپ، ڈی) انڈین فائل</v>
      </c>
      <c r="L95" s="6" t="str">
        <f>IFERROR(__xludf.DUMMYFUNCTION("GOOGLETRANSLATE(D95, ""en"", ""ur"")"),"اے) سیکشن")</f>
        <v>اے) سیکشن</v>
      </c>
      <c r="M95" s="6" t="str">
        <f>IFERROR(__xludf.DUMMYFUNCTION("GOOGLETRANSLATE(E95, ""en"", ""ur"")"),"""سیکشن"" معیاری ٹیم ایونٹ کے لیے ITPF کی سرکاری اصطلاح ہے۔")</f>
        <v>"سیکشن" معیاری ٹیم ایونٹ کے لیے ITPF کی سرکاری اصطلاح ہے۔</v>
      </c>
    </row>
    <row r="96">
      <c r="A96" s="4">
        <v>95.0</v>
      </c>
      <c r="B96" s="5" t="s">
        <v>2732</v>
      </c>
      <c r="C96" s="5" t="s">
        <v>2733</v>
      </c>
      <c r="D96" s="5" t="s">
        <v>2734</v>
      </c>
      <c r="E96" s="5" t="s">
        <v>2735</v>
      </c>
      <c r="I96" s="6" t="str">
        <f>IFERROR(__xludf.DUMMYFUNCTION("GOOGLETRANSLATE(A96, ""en"", ""ur"")"),"95")</f>
        <v>95</v>
      </c>
      <c r="J96" s="6" t="str">
        <f>IFERROR(__xludf.DUMMYFUNCTION("GOOGLETRANSLATE(B96, ""en"", ""ur"")"),"ایک گھوڑا کھونٹی تک پہنچنے سے پہلے اچانک رک جاتا ہے۔ اس کا کیا حکم ہے؟")</f>
        <v>ایک گھوڑا کھونٹی تک پہنچنے سے پہلے اچانک رک جاتا ہے۔ اس کا کیا حکم ہے؟</v>
      </c>
      <c r="K96" s="6" t="str">
        <f>IFERROR(__xludf.DUMMYFUNCTION("GOOGLETRANSLATE(C96, ""en"", ""ur"")"),"A) سوار گھوڑے پر زور دے سکتا ہے اور رن مکمل کر سکتا ہے، B) انکار پر 0 کا سکور دیا جاتا ہے، C) سوار کو دوبارہ دوڑ دیا جاتا ہے، D) گھوڑے کو نااہل قرار دیا جاتا ہے۔")</f>
        <v>A) سوار گھوڑے پر زور دے سکتا ہے اور رن مکمل کر سکتا ہے، B) انکار پر 0 کا سکور دیا جاتا ہے، C) سوار کو دوبارہ دوڑ دیا جاتا ہے، D) گھوڑے کو نااہل قرار دیا جاتا ہے۔</v>
      </c>
      <c r="L96" s="6" t="str">
        <f>IFERROR(__xludf.DUMMYFUNCTION("GOOGLETRANSLATE(D96, ""en"", ""ur"")"),"ب) انکار پر 0 کا سکور دیا جاتا ہے۔")</f>
        <v>ب) انکار پر 0 کا سکور دیا جاتا ہے۔</v>
      </c>
      <c r="M96" s="6" t="str">
        <f>IFERROR(__xludf.DUMMYFUNCTION("GOOGLETRANSLATE(E96, ""en"", ""ur"")"),"اگر گھوڑا کورس مکمل کرنے سے انکار کرتا ہے، تو رن کو ناکامی سمجھا جاتا ہے اور اسے صفر کے طور پر اسکور کیا جاتا ہے۔")</f>
        <v>اگر گھوڑا کورس مکمل کرنے سے انکار کرتا ہے، تو رن کو ناکامی سمجھا جاتا ہے اور اسے صفر کے طور پر اسکور کیا جاتا ہے۔</v>
      </c>
    </row>
    <row r="97">
      <c r="A97" s="4">
        <v>96.0</v>
      </c>
      <c r="B97" s="5" t="s">
        <v>2736</v>
      </c>
      <c r="C97" s="5" t="s">
        <v>2737</v>
      </c>
      <c r="D97" s="5" t="s">
        <v>2738</v>
      </c>
      <c r="E97" s="5" t="s">
        <v>2739</v>
      </c>
      <c r="I97" s="6" t="str">
        <f>IFERROR(__xludf.DUMMYFUNCTION("GOOGLETRANSLATE(A97, ""en"", ""ur"")"),"96")</f>
        <v>96</v>
      </c>
      <c r="J97" s="6" t="str">
        <f>IFERROR(__xludf.DUMMYFUNCTION("GOOGLETRANSLATE(B97, ""en"", ""ur"")"),"سوار کے لیے گہری، محفوظ سیٹ کیوں ضروری ہے؟")</f>
        <v>سوار کے لیے گہری، محفوظ سیٹ کیوں ضروری ہے؟</v>
      </c>
      <c r="K97" s="6" t="str">
        <f>IFERROR(__xludf.DUMMYFUNCTION("GOOGLETRANSLATE(C97, ""en"", ""ur"")"),"A)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f>
        <v>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v>
      </c>
      <c r="L97" s="6" t="str">
        <f>IFERROR(__xludf.DUMMYFUNCTION("GOOGLETRANSLATE(D97, ""en"", ""ur"")"),"ب) یہ سوار کو گھوڑے کی حرکت کو جذب کرنے اور لانس اسٹرائیک کے لیے ایک مستحکم پلیٹ فارم مہیا کرنے دیتا ہے۔")</f>
        <v>ب) یہ سوار کو گھوڑے کی حرکت کو جذب کرنے اور لانس اسٹرائیک کے لیے ایک مستحکم پلیٹ فارم مہیا کرنے دیتا ہے۔</v>
      </c>
      <c r="M97" s="6" t="str">
        <f>IFERROR(__xludf.DUMMYFUNCTION("GOOGLETRANSLATE(E97, ""en"", ""ur"")"),"ایک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f>
        <v>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v>
      </c>
    </row>
    <row r="98">
      <c r="A98" s="4">
        <v>97.0</v>
      </c>
      <c r="B98" s="5" t="s">
        <v>2740</v>
      </c>
      <c r="C98" s="5" t="s">
        <v>2741</v>
      </c>
      <c r="D98" s="5" t="s">
        <v>2742</v>
      </c>
      <c r="E98" s="5" t="s">
        <v>2743</v>
      </c>
      <c r="I98" s="6" t="str">
        <f>IFERROR(__xludf.DUMMYFUNCTION("GOOGLETRANSLATE(A98, ""en"", ""ur"")"),"97")</f>
        <v>97</v>
      </c>
      <c r="J98" s="6" t="str">
        <f>IFERROR(__xludf.DUMMYFUNCTION("GOOGLETRANSLATE(B98, ""en"", ""ur"")"),"فنش لائن کے بعد ""رن آؤٹ"" ایریا کا مقصد کیا ہے؟")</f>
        <v>فنش لائن کے بعد "رن آؤٹ" ایریا کا مقصد کیا ہے؟</v>
      </c>
      <c r="K98" s="6" t="str">
        <f>IFERROR(__xludf.DUMMYFUNCTION("GOOGLETRANSLATE(C98, ""en"", ""ur"")"),"A)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f>
        <v>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v>
      </c>
      <c r="L98" s="6" t="str">
        <f>IFERROR(__xludf.DUMMYFUNCTION("GOOGLETRANSLATE(D98, ""en"", ""ur"")"),"ب) یہ گھوڑے کے تیز رفتار دوڑ کے بعد محفوظ طریقے سے سست ہونے کے لیے ایک مخصوص جگہ ہے۔")</f>
        <v>ب) یہ گھوڑے کے تیز رفتار دوڑ کے بعد محفوظ طریقے سے سست ہونے کے لیے ایک مخصوص جگہ ہے۔</v>
      </c>
      <c r="M98" s="6" t="str">
        <f>IFERROR(__xludf.DUMMYFUNCTION("GOOGLETRANSLATE(E98, ""en"", ""ur"")"),"رن آؤٹ ایریا ایک اہم حفاظتی خصوصیت ہے جو گھوڑے کو اچانک رکنے کے بغیر قدرتی طور پر سست ہونے دیتا ہے۔")</f>
        <v>رن آؤٹ ایریا ایک اہم حفاظتی خصوصیت ہے جو گھوڑے کو اچانک رکنے کے بغیر قدرتی طور پر سست ہونے دیتا ہے۔</v>
      </c>
    </row>
    <row r="99">
      <c r="A99" s="4">
        <v>98.0</v>
      </c>
      <c r="B99" s="5" t="s">
        <v>2744</v>
      </c>
      <c r="C99" s="5" t="s">
        <v>2745</v>
      </c>
      <c r="D99" s="5" t="s">
        <v>2746</v>
      </c>
      <c r="E99" s="5" t="s">
        <v>2747</v>
      </c>
      <c r="I99" s="6" t="str">
        <f>IFERROR(__xludf.DUMMYFUNCTION("GOOGLETRANSLATE(A99, ""en"", ""ur"")"),"98")</f>
        <v>98</v>
      </c>
      <c r="J99" s="6" t="str">
        <f>IFERROR(__xludf.DUMMYFUNCTION("GOOGLETRANSLATE(B99, ""en"", ""ur"")"),"ایک سوار پاکستانی فوج کی ٹیم کا حصہ ہے۔ اس کی کیا اہمیت ہے؟")</f>
        <v>ایک سوار پاکستانی فوج کی ٹیم کا حصہ ہے۔ اس کی کیا اہمیت ہے؟</v>
      </c>
      <c r="K99" s="6" t="str">
        <f>IFERROR(__xludf.DUMMYFUNCTION("GOOGLETRANSLATE(C99, ""en"", ""ur"")"),"A)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f>
        <v>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v>
      </c>
      <c r="L99" s="6" t="str">
        <f>IFERROR(__xludf.DUMMYFUNCTION("GOOGLETRANSLATE(D99, ""en"", ""ur"")"),"ب) مسلح افواج، خاص طور پر گھڑسوار دستے، کھیل کے ایک بڑے محافظ اور فروغ دینے والے ہیں۔")</f>
        <v>ب) مسلح افواج، خاص طور پر گھڑسوار دستے، کھیل کے ایک بڑے محافظ اور فروغ دینے والے ہیں۔</v>
      </c>
      <c r="M99" s="6" t="str">
        <f>IFERROR(__xludf.DUMMYFUNCTION("GOOGLETRANSLATE(E99, ""en"", ""ur"")"),"پاکستان میں ٹینٹ پیگنگ کی کئی سرفہرست ٹیمیں آرمی کیولری یونٹس سے وابستہ ہیں، جنہوں نے روایت کو زندہ رکھا ہے۔")</f>
        <v>پاکستان میں ٹینٹ پیگنگ کی کئی سرفہرست ٹیمیں آرمی کیولری یونٹس سے وابستہ ہیں، جنہوں نے روایت کو زندہ رکھا ہے۔</v>
      </c>
    </row>
    <row r="100">
      <c r="A100" s="4">
        <v>99.0</v>
      </c>
      <c r="B100" s="5" t="s">
        <v>2748</v>
      </c>
      <c r="C100" s="5" t="s">
        <v>2749</v>
      </c>
      <c r="D100" s="5" t="s">
        <v>2750</v>
      </c>
      <c r="E100" s="5" t="s">
        <v>2751</v>
      </c>
      <c r="I100" s="6" t="str">
        <f>IFERROR(__xludf.DUMMYFUNCTION("GOOGLETRANSLATE(A100, ""en"", ""ur"")"),"99")</f>
        <v>99</v>
      </c>
      <c r="J100" s="6" t="str">
        <f>IFERROR(__xludf.DUMMYFUNCTION("GOOGLETRANSLATE(B100, ""en"", ""ur"")"),"ایک سوار تین جہتی نوک کے ساتھ لانس استعمال کر رہا ہے۔ کیا یہ معیاری پیگنگ ایونٹ میں قانونی ہے؟")</f>
        <v>ایک سوار تین جہتی نوک کے ساتھ لانس استعمال کر رہا ہے۔ کیا یہ معیاری پیگنگ ایونٹ میں قانونی ہے؟</v>
      </c>
      <c r="K100" s="6" t="str">
        <f>IFERROR(__xludf.DUMMYFUNCTION("GOOGLETRANSLATE(C100, ""en"", ""ur"")"),"A) جی ہاں، یہ کھونٹی کو پکڑنا آسان بناتا ہے، B) نہیں، ایک پوائنٹ کی ضرورت ہے، C) صرف اس صورت میں جب ریفری منظور کرے، D) ہاں، لیکن اس سے کم پوائنٹس حاصل ہوتے ہیں۔")</f>
        <v>A) جی ہاں، یہ کھونٹی کو پکڑنا آسان بناتا ہے، B) نہیں، ایک پوائنٹ کی ضرورت ہے، C) صرف اس صورت میں جب ریفری منظور کرے، D) ہاں، لیکن اس سے کم پوائنٹس حاصل ہوتے ہیں۔</v>
      </c>
      <c r="L100" s="6" t="str">
        <f>IFERROR(__xludf.DUMMYFUNCTION("GOOGLETRANSLATE(D100, ""en"", ""ur"")"),"ب) نہیں، ایک پوائنٹ درکار ہے۔")</f>
        <v>ب) نہیں، ایک پوائنٹ درکار ہے۔</v>
      </c>
      <c r="M100" s="6" t="str">
        <f>IFERROR(__xludf.DUMMYFUNCTION("GOOGLETRANSLATE(E100, ""en"", ""ur"")"),"معیاری لانس میں ایک سادہ، واحد نقطہ ہونا ضروری ہے۔ مرکزی نظم و ضبط میں کثیر جہتی سروں کی اجازت نہیں ہے۔")</f>
        <v>معیاری لانس میں ایک سادہ، واحد نقطہ ہونا ضروری ہے۔ مرکزی نظم و ضبط میں کثیر جہتی سروں کی اجازت نہیں ہے۔</v>
      </c>
    </row>
    <row r="101">
      <c r="A101" s="4">
        <v>100.0</v>
      </c>
      <c r="B101" s="5" t="s">
        <v>2752</v>
      </c>
      <c r="C101" s="5" t="s">
        <v>2753</v>
      </c>
      <c r="D101" s="5" t="s">
        <v>2754</v>
      </c>
      <c r="E101" s="5" t="s">
        <v>2755</v>
      </c>
      <c r="I101" s="6" t="str">
        <f>IFERROR(__xludf.DUMMYFUNCTION("GOOGLETRANSLATE(A101, ""en"", ""ur"")"),"100")</f>
        <v>100</v>
      </c>
      <c r="J101" s="6" t="str">
        <f>IFERROR(__xludf.DUMMYFUNCTION("GOOGLETRANSLATE(B101, ""en"", ""ur"")"),"انٹرنیشنل ٹینٹ پیگنگ فیڈریشن (ITPF) کھیل کے لیے کیا حاصل کرنا چاہتی ہے؟")</f>
        <v>انٹرنیشنل ٹینٹ پیگنگ فیڈریشن (ITPF) کھیل کے لیے کیا حاصل کرنا چاہتی ہے؟</v>
      </c>
      <c r="K101" s="6" t="str">
        <f>IFERROR(__xludf.DUMMYFUNCTION("GOOGLETRANSLATE(C101, ""en"", ""ur"")"),"A) اسے مزید مہنگا بنانا، B) اسے اولمپک گیمز میں شامل کرنا، C) مقابلہ کرنے والے ممالک کی تعداد کو محدود کرنا، D) گھوڑوں کو موٹر سائیکلوں سے بدلنا")</f>
        <v>A) اسے مزید مہنگا بنانا، B) اسے اولمپک گیمز میں شامل کرنا، C) مقابلہ کرنے والے ممالک کی تعداد کو محدود کرنا، D) گھوڑوں کو موٹر سائیکلوں سے بدلنا</v>
      </c>
      <c r="L101" s="6" t="str">
        <f>IFERROR(__xludf.DUMMYFUNCTION("GOOGLETRANSLATE(D101, ""en"", ""ur"")"),"ب) اسے اولمپک کھیلوں میں شامل کرنا")</f>
        <v>ب) اسے اولمپک کھیلوں میں شامل کرنا</v>
      </c>
      <c r="M101" s="6" t="str">
        <f>IFERROR(__xludf.DUMMYFUNCTION("GOOGLETRANSLATE(E101, ""en"", ""ur"")"),"ITPF کا ایک بڑا طویل مدتی ہدف ٹینٹ پیگنگ کو ایک عالمی گھڑ سواری کے کھیل کے طور پر اولمپک میں پہچان حاصل کرنا ہے۔")</f>
        <v>ITPF کا ایک بڑا طویل مدتی ہدف ٹینٹ پیگنگ کو ایک عالمی گھڑ سواری کے کھیل کے طور پر اولمپک میں پہچان حاصل کرنا ہے۔</v>
      </c>
    </row>
    <row r="102">
      <c r="A102" s="4">
        <v>101.0</v>
      </c>
      <c r="B102" s="5" t="s">
        <v>2756</v>
      </c>
      <c r="C102" s="5" t="s">
        <v>2757</v>
      </c>
      <c r="D102" s="5" t="s">
        <v>2758</v>
      </c>
      <c r="E102" s="5" t="s">
        <v>2759</v>
      </c>
      <c r="I102" s="6" t="str">
        <f>IFERROR(__xludf.DUMMYFUNCTION("GOOGLETRANSLATE(A102, ""en"", ""ur"")"),"101")</f>
        <v>101</v>
      </c>
      <c r="J102" s="6" t="str">
        <f>IFERROR(__xludf.DUMMYFUNCTION("GOOGLETRANSLATE(B102, ""en"", ""ur"")"),"ایک سوار کا گھوڑا دوڑ کے دوران ایک طرف ہٹ جاتا ہے، اسے ایک زاویہ پر کھونٹی مارنے پر مجبور کرتا ہے۔ یہ ایک نقصان کیوں ہے؟")</f>
        <v>ایک سوار کا گھوڑا دوڑ کے دوران ایک طرف ہٹ جاتا ہے، اسے ایک زاویہ پر کھونٹی مارنے پر مجبور کرتا ہے۔ یہ ایک نقصان کیوں ہے؟</v>
      </c>
      <c r="K102" s="6" t="str">
        <f>IFERROR(__xludf.DUMMYFUNCTION("GOOGLETRANSLATE(C102, ""en"", ""ur"")"),"A)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f>
        <v>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v>
      </c>
      <c r="L102" s="6" t="str">
        <f>IFERROR(__xludf.DUMMYFUNCTION("GOOGLETRANSLATE(D102, ""en"", ""ur"")"),"C) ایک زاویہ کی ہڑتال سے کھونٹی کو اٹھانے کے بجائے اس پر نظر ڈالنے یا اس پر دستک دینے کا زیادہ امکان ہوتا ہے۔")</f>
        <v>C) ایک زاویہ کی ہڑتال سے کھونٹی کو اٹھانے کے بجائے اس پر نظر ڈالنے یا اس پر دستک دینے کا زیادہ امکان ہوتا ہے۔</v>
      </c>
      <c r="M102" s="6" t="str">
        <f>IFERROR(__xludf.DUMMYFUNCTION("GOOGLETRANSLATE(E102, ""en"", ""ur"")"),"لینس کی نوک کو صحیح طریقے سے منسلک کرنے اور کھونٹی کو اٹھانے کے لیے ایک سیدھا، کھڑا نقطہ نظر بہت ضروری ہے۔")</f>
        <v>لینس کی نوک کو صحیح طریقے سے منسلک کرنے اور کھونٹی کو اٹھانے کے لیے ایک سیدھا، کھڑا نقطہ نظر بہت ضروری ہے۔</v>
      </c>
    </row>
    <row r="103">
      <c r="A103" s="4">
        <v>102.0</v>
      </c>
      <c r="B103" s="5" t="s">
        <v>2760</v>
      </c>
      <c r="C103" s="5" t="s">
        <v>2761</v>
      </c>
      <c r="D103" s="5" t="s">
        <v>2762</v>
      </c>
      <c r="E103" s="5" t="s">
        <v>2763</v>
      </c>
      <c r="I103" s="6" t="str">
        <f>IFERROR(__xludf.DUMMYFUNCTION("GOOGLETRANSLATE(A103, ""en"", ""ur"")"),"102")</f>
        <v>102</v>
      </c>
      <c r="J103" s="6" t="str">
        <f>IFERROR(__xludf.DUMMYFUNCTION("GOOGLETRANSLATE(B103, ""en"", ""ur"")"),"""گرم خون والے"" گھوڑوں کی نسل کی بنیادی خصوصیت کیا ہے جیسے عربی یا تھوربرڈ؟")</f>
        <v>"گرم خون والے" گھوڑوں کی نسل کی بنیادی خصوصیت کیا ہے جیسے عربی یا تھوربرڈ؟</v>
      </c>
      <c r="K103" s="6" t="str">
        <f>IFERROR(__xludf.DUMMYFUNCTION("GOOGLETRANSLATE(C103, ""en"", ""ur"")"),"A) وہ بہت پرسکون ہیں، B) ان میں تیز رفتار، روح اور برداشت ہے، C) وہ بہت بڑے اور مضبوط ہیں، D) ان کی تربیت کرنا آسان ہے")</f>
        <v>A) وہ بہت پرسکون ہیں، B) ان میں تیز رفتار، روح اور برداشت ہے، C) وہ بہت بڑے اور مضبوط ہیں، D) ان کی تربیت کرنا آسان ہے</v>
      </c>
      <c r="L103" s="6" t="str">
        <f>IFERROR(__xludf.DUMMYFUNCTION("GOOGLETRANSLATE(D103, ""en"", ""ur"")"),"ب) ان میں تیز رفتاری، روح اور برداشت ہے۔")</f>
        <v>ب) ان میں تیز رفتاری، روح اور برداشت ہے۔</v>
      </c>
      <c r="M103" s="6" t="str">
        <f>IFERROR(__xludf.DUMMYFUNCTION("GOOGLETRANSLATE(E103, ""en"", ""ur"")"),"""گرم خون"" اپنی ایتھلیٹزم اور توانائی کے لیے جانا جاتا ہے، جو انہیں ٹینٹ پیگنگ جیسے تیز رفتار کھیلوں کے لیے مثالی بناتا ہے۔")</f>
        <v>"گرم خون" اپنی ایتھلیٹزم اور توانائی کے لیے جانا جاتا ہے، جو انہیں ٹینٹ پیگنگ جیسے تیز رفتار کھیلوں کے لیے مثالی بناتا ہے۔</v>
      </c>
    </row>
    <row r="104">
      <c r="A104" s="4">
        <v>103.0</v>
      </c>
      <c r="B104" s="5" t="s">
        <v>2764</v>
      </c>
      <c r="C104" s="5" t="s">
        <v>2765</v>
      </c>
      <c r="D104" s="5" t="s">
        <v>2766</v>
      </c>
      <c r="E104" s="5" t="s">
        <v>2767</v>
      </c>
      <c r="I104" s="6" t="str">
        <f>IFERROR(__xludf.DUMMYFUNCTION("GOOGLETRANSLATE(A104, ""en"", ""ur"")"),"103")</f>
        <v>103</v>
      </c>
      <c r="J104" s="6" t="str">
        <f>IFERROR(__xludf.DUMMYFUNCTION("GOOGLETRANSLATE(B104, ""en"", ""ur"")"),"ایک سوار کامیابی کے ساتھ مکمل پیگ حاصل کرتا ہے، لیکن ان کی دوڑ صرف 5 سیکنڈ لمبی تھی (100 میٹر کے کورس پر)۔ کیا یہ درست سکور ہے؟")</f>
        <v>ایک سوار کامیابی کے ساتھ مکمل پیگ حاصل کرتا ہے، لیکن ان کی دوڑ صرف 5 سیکنڈ لمبی تھی (100 میٹر کے کورس پر)۔ کیا یہ درست سکور ہے؟</v>
      </c>
      <c r="K104" s="6" t="str">
        <f>IFERROR(__xludf.DUMMYFUNCTION("GOOGLETRANSLATE(C104, ""en"", ""ur"")"),"A) ہاں، اور انہیں رفتار کے لیے بونس مل سکتا ہے، B) نہیں، رن بہت تیز تھی جس کا صحیح اندازہ لگایا جا سکتا ہے، C) ہاں، جب تک کہ یہ زیادہ سے زیادہ وقت کی حد کے تحت ہے، D) نہیں، کم از کم وقت کی حد ہے")</f>
        <v>A) ہاں، اور انہیں رفتار کے لیے بونس مل سکتا ہے، B) نہیں، رن بہت تیز تھی جس کا صحیح اندازہ لگایا جا سکتا ہے، C) ہاں، جب تک کہ یہ زیادہ سے زیادہ وقت کی حد کے تحت ہے، D) نہیں، کم از کم وقت کی حد ہے</v>
      </c>
      <c r="L104" s="6" t="str">
        <f>IFERROR(__xludf.DUMMYFUNCTION("GOOGLETRANSLATE(D104, ""en"", ""ur"")"),"ج) جی ہاں، جب تک کہ یہ زیادہ سے زیادہ وقت کی حد کے تحت ہو۔")</f>
        <v>ج) جی ہاں، جب تک کہ یہ زیادہ سے زیادہ وقت کی حد کے تحت ہو۔</v>
      </c>
      <c r="M104" s="6" t="str">
        <f>IFERROR(__xludf.DUMMYFUNCTION("GOOGLETRANSLATE(E104, ""en"", ""ur"")"),"زیادہ سے زیادہ وقت کی حد ہے، لیکن کوئی کم از کم نہیں۔ تیز دوڑنا ایک ہنر مند سوار اور تیز گھوڑے کی علامت ہے، اور اسکور درست ہے۔")</f>
        <v>زیادہ سے زیادہ وقت کی حد ہے، لیکن کوئی کم از کم نہیں۔ تیز دوڑنا ایک ہنر مند سوار اور تیز گھوڑے کی علامت ہے، اور اسکور درست ہے۔</v>
      </c>
    </row>
    <row r="105">
      <c r="A105" s="4">
        <v>104.0</v>
      </c>
      <c r="B105" s="5" t="s">
        <v>2768</v>
      </c>
      <c r="C105" s="5" t="s">
        <v>2769</v>
      </c>
      <c r="D105" s="5" t="s">
        <v>2770</v>
      </c>
      <c r="E105" s="5" t="s">
        <v>2771</v>
      </c>
      <c r="I105" s="6" t="str">
        <f>IFERROR(__xludf.DUMMYFUNCTION("GOOGLETRANSLATE(A105, ""en"", ""ur"")"),"104")</f>
        <v>104</v>
      </c>
      <c r="J105" s="6" t="str">
        <f>IFERROR(__xludf.DUMMYFUNCTION("GOOGLETRANSLATE(B105, ""en"", ""ur"")"),"ٹیم پریکٹس میں، کوچ کیوں سواریوں کو ٹریک پر بغیر کسی پیگ کے چارج کرے گا؟")</f>
        <v>ٹیم پریکٹس میں، کوچ کیوں سواریوں کو ٹریک پر بغیر کسی پیگ کے چارج کرے گا؟</v>
      </c>
      <c r="K105" s="6" t="str">
        <f>IFERROR(__xludf.DUMMYFUNCTION("GOOGLETRANSLATE(C105, ""en"", ""ur"")"),"A) کھونٹوں پر پیسہ بچانے کے لئے، B) مکمل طور پر کامل تشکیل اور رفتار سے ہم آہنگی کو برقرار رکھنے پر توجہ مرکوز کرنے کے لئے، C) گھوڑوں کو گرم کرنے کے لئے، D) ہنگامی اسٹاپ کی مشق کرنا")</f>
        <v>A) کھونٹوں پر پیسہ بچانے کے لئے، B) مکمل طور پر کامل تشکیل اور رفتار سے ہم آہنگی کو برقرار رکھنے پر توجہ مرکوز کرنے کے لئے، C) گھوڑوں کو گرم کرنے کے لئے، D) ہنگامی اسٹاپ کی مشق کرنا</v>
      </c>
      <c r="L105" s="6" t="str">
        <f>IFERROR(__xludf.DUMMYFUNCTION("GOOGLETRANSLATE(D105, ""en"", ""ur"")"),"ب) مکمل طور پر کامل تشکیل اور رفتار سے ہم آہنگی کو برقرار رکھنے پر توجہ مرکوز کرنا")</f>
        <v>ب) مکمل طور پر کامل تشکیل اور رفتار سے ہم آہنگی کو برقرار رکھنے پر توجہ مرکوز کرنا</v>
      </c>
      <c r="M105" s="6" t="str">
        <f>IFERROR(__xludf.DUMMYFUNCTION("GOOGLETRANSLATE(E105, ""en"", ""ur"")"),"""ڈرائی رن"" ٹیم ایونٹس کے لیے ایک اہم تربیتی مشق ہے، کیونکہ فارمیشن رائیڈنگ ایک اسکور شدہ عنصر ہے اور اس کے لیے بہت زیادہ مشق کی ضرورت ہوتی ہے۔")</f>
        <v>"ڈرائی رن" ٹیم ایونٹس کے لیے ایک اہم تربیتی مشق ہے، کیونکہ فارمیشن رائیڈنگ ایک اسکور شدہ عنصر ہے اور اس کے لیے بہت زیادہ مشق کی ضرورت ہوتی ہے۔</v>
      </c>
    </row>
    <row r="106">
      <c r="A106" s="4">
        <v>105.0</v>
      </c>
      <c r="B106" s="5" t="s">
        <v>2772</v>
      </c>
      <c r="C106" s="5" t="s">
        <v>2773</v>
      </c>
      <c r="D106" s="5" t="s">
        <v>2774</v>
      </c>
      <c r="E106" s="5" t="s">
        <v>2775</v>
      </c>
      <c r="I106" s="6" t="str">
        <f>IFERROR(__xludf.DUMMYFUNCTION("GOOGLETRANSLATE(A106, ""en"", ""ur"")"),"105")</f>
        <v>105</v>
      </c>
      <c r="J106" s="6" t="str">
        <f>IFERROR(__xludf.DUMMYFUNCTION("GOOGLETRANSLATE(B106, ""en"", ""ur"")"),"اگر سوار کا لانس کم از کم ضابطہ وزن سے ہلکا پایا جائے تو اس کا کیا حکم ہے؟")</f>
        <v>اگر سوار کا لانس کم از کم ضابطہ وزن سے ہلکا پایا جائے تو اس کا کیا حکم ہے؟</v>
      </c>
      <c r="K106" s="6" t="str">
        <f>IFERROR(__xludf.DUMMYFUNCTION("GOOGLETRANSLATE(C106, ""en"", ""ur"")"),"A) سوار کو بھاری لانس دیا جاتا ہے، B) سوار کو نااہل قرار دیا جاتا ہے، C) سوار کو مقابلہ کرنے کی اجازت ہے لیکن وہ پوائنٹس نہیں بنا سکتا، D) ایک وقت کا جرمانہ شامل کیا جاتا ہے۔")</f>
        <v>A) سوار کو بھاری لانس دیا جاتا ہے، B) سوار کو نااہل قرار دیا جاتا ہے، C) سوار کو مقابلہ کرنے کی اجازت ہے لیکن وہ پوائنٹس نہیں بنا سکتا، D) ایک وقت کا جرمانہ شامل کیا جاتا ہے۔</v>
      </c>
      <c r="L106" s="6" t="str">
        <f>IFERROR(__xludf.DUMMYFUNCTION("GOOGLETRANSLATE(D106, ""en"", ""ur"")"),"ب) سوار کو نااہل قرار دیا گیا ہے۔")</f>
        <v>ب) سوار کو نااہل قرار دیا گیا ہے۔</v>
      </c>
      <c r="M106" s="6" t="str">
        <f>IFERROR(__xludf.DUMMYFUNCTION("GOOGLETRANSLATE(E106, ""en"", ""ur"")"),"غیر قانونی، غیر ضابطہ ساز سامان کا استعمال دھوکہ دہی کی ایک شکل ہے اور اس کا نتیجہ نااہلی کی صورت میں نکلتا ہے۔")</f>
        <v>غیر قانونی، غیر ضابطہ ساز سامان کا استعمال دھوکہ دہی کی ایک شکل ہے اور اس کا نتیجہ نااہلی کی صورت میں نکلتا ہے۔</v>
      </c>
    </row>
    <row r="107">
      <c r="A107" s="4">
        <v>106.0</v>
      </c>
      <c r="B107" s="5" t="s">
        <v>2776</v>
      </c>
      <c r="C107" s="5" t="s">
        <v>2777</v>
      </c>
      <c r="D107" s="5" t="s">
        <v>2778</v>
      </c>
      <c r="E107" s="5" t="s">
        <v>2779</v>
      </c>
      <c r="I107" s="6" t="str">
        <f>IFERROR(__xludf.DUMMYFUNCTION("GOOGLETRANSLATE(A107, ""en"", ""ur"")"),"106")</f>
        <v>106</v>
      </c>
      <c r="J107" s="6" t="str">
        <f>IFERROR(__xludf.DUMMYFUNCTION("GOOGLETRANSLATE(B107, ""en"", ""ur"")"),"سوار کے لیے یہ کیوں ضروری ہے کہ وہ اپنی نگاہیں ہدف پر مرکوز رکھے نہ کہ اپنے گھوڑے پر؟")</f>
        <v>سوار کے لیے یہ کیوں ضروری ہے کہ وہ اپنی نگاہیں ہدف پر مرکوز رکھے نہ کہ اپنے گھوڑے پر؟</v>
      </c>
      <c r="K107" s="6" t="str">
        <f>IFERROR(__xludf.DUMMYFUNCTION("GOOGLETRANSLATE(C107, ""en"", ""ur"")"),"A) چکر آنے سے بچنے کے لیے، B) اسٹرائیک کے لیے ہاتھ سے آنکھ کے عین مطابق رابطہ کو یقینی بنانے کے لیے، C) گھوڑا جانتا ہے کہ کہاں جانا ہے، D) یہ ایک اصول ہے۔")</f>
        <v>A) چکر آنے سے بچنے کے لیے، B) اسٹرائیک کے لیے ہاتھ سے آنکھ کے عین مطابق رابطہ کو یقینی بنانے کے لیے، C) گھوڑا جانتا ہے کہ کہاں جانا ہے، D) یہ ایک اصول ہے۔</v>
      </c>
      <c r="L107" s="6" t="str">
        <f>IFERROR(__xludf.DUMMYFUNCTION("GOOGLETRANSLATE(D107, ""en"", ""ur"")"),"ب) ہڑتال کے لیے ہاتھ سے آنکھ کے عین مطابق رابطہ کو یقینی بنانا")</f>
        <v>ب) ہڑتال کے لیے ہاتھ سے آنکھ کے عین مطابق رابطہ کو یقینی بنانا</v>
      </c>
      <c r="M107" s="6" t="str">
        <f>IFERROR(__xludf.DUMMYFUNCTION("GOOGLETRANSLATE(E107, ""en"", ""ur"")"),"سوار کو اپنے گھوڑے پر بھروسہ کرنا چاہیے کہ وہ سیدھا دوڑتا ہے اور اپنی پوری توجہ کھونٹی کو نشانہ بنانے اور مارنے کے واحد، اسپلٹ سیکنڈ کے عمل میں لگاتا ہے۔")</f>
        <v>سوار کو اپنے گھوڑے پر بھروسہ کرنا چاہیے کہ وہ سیدھا دوڑتا ہے اور اپنی پوری توجہ کھونٹی کو نشانہ بنانے اور مارنے کے واحد، اسپلٹ سیکنڈ کے عمل میں لگاتا ہے۔</v>
      </c>
    </row>
    <row r="108">
      <c r="A108" s="4">
        <v>107.0</v>
      </c>
      <c r="B108" s="5" t="s">
        <v>2780</v>
      </c>
      <c r="C108" s="5" t="s">
        <v>2781</v>
      </c>
      <c r="D108" s="5" t="s">
        <v>2782</v>
      </c>
      <c r="E108" s="5" t="s">
        <v>2783</v>
      </c>
      <c r="I108" s="6" t="str">
        <f>IFERROR(__xludf.DUMMYFUNCTION("GOOGLETRANSLATE(A108, ""en"", ""ur"")"),"107")</f>
        <v>107</v>
      </c>
      <c r="J108" s="6" t="str">
        <f>IFERROR(__xludf.DUMMYFUNCTION("GOOGLETRANSLATE(B108, ""en"", ""ur"")"),"""لانس"" اور ""تلوار"" رن کے درمیان بنیادی فرق کیا ہے؟")</f>
        <v>"لانس" اور "تلوار" رن کے درمیان بنیادی فرق کیا ہے؟</v>
      </c>
      <c r="K108" s="6" t="str">
        <f>IFERROR(__xludf.DUMMYFUNCTION("GOOGLETRANSLATE(C108, ""en"", ""ur"")"),"A)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f>
        <v>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v>
      </c>
      <c r="L108" s="6" t="str">
        <f>IFERROR(__xludf.DUMMYFUNCTION("GOOGLETRANSLATE(D108, ""en"", ""ur"")"),"ا) لانس چھیدنے والی حرکت کا استعمال کرتا ہے، جبکہ تلوار کاٹنے کی حرکت کا استعمال کرتی ہے۔")</f>
        <v>ا) لانس چھیدنے والی حرکت کا استعمال کرتا ہے، جبکہ تلوار کاٹنے کی حرکت کا استعمال کرتی ہے۔</v>
      </c>
      <c r="M108" s="6" t="str">
        <f>IFERROR(__xludf.DUMMYFUNCTION("GOOGLETRANSLATE(E108, ""en"", ""ur"")"),"یہ مضامین دو مختلف تاریخی گھڑسوار کی مہارتوں کی جانچ کرتے ہیں: لانس کا زور اور سبری کا ٹکڑا۔")</f>
        <v>یہ مضامین دو مختلف تاریخی گھڑسوار کی مہارتوں کی جانچ کرتے ہیں: لانس کا زور اور سبری کا ٹکڑا۔</v>
      </c>
    </row>
    <row r="109">
      <c r="A109" s="4">
        <v>108.0</v>
      </c>
      <c r="B109" s="5" t="s">
        <v>2784</v>
      </c>
      <c r="C109" s="5" t="s">
        <v>2785</v>
      </c>
      <c r="D109" s="5" t="s">
        <v>2786</v>
      </c>
      <c r="E109" s="5" t="s">
        <v>2787</v>
      </c>
      <c r="I109" s="6" t="str">
        <f>IFERROR(__xludf.DUMMYFUNCTION("GOOGLETRANSLATE(A109, ""en"", ""ur"")"),"108")</f>
        <v>108</v>
      </c>
      <c r="J109" s="6" t="str">
        <f>IFERROR(__xludf.DUMMYFUNCTION("GOOGLETRANSLATE(B109, ""en"", ""ur"")"),"ایک سوار پنجاب پولیس کی ٹیم کا حصہ ہے۔ اس سے کیا مراد ہے؟")</f>
        <v>ایک سوار پنجاب پولیس کی ٹیم کا حصہ ہے۔ اس سے کیا مراد ہے؟</v>
      </c>
      <c r="K109" s="6" t="str">
        <f>IFERROR(__xludf.DUMMYFUNCTION("GOOGLETRANSLATE(C109, ""en"", ""ur"")"),"A) سوار ایک شوقیہ ہے، B) پاکستان میں پولیس اور نیم فوجی دستے اس کھیل کے بڑے سرپرست ہیں، C) سوار گرفتار ہے، D) پولیس ٹیم کے خصوصی قوانین ہیں")</f>
        <v>A) سوار ایک شوقیہ ہے، B) پاکستان میں پولیس اور نیم فوجی دستے اس کھیل کے بڑے سرپرست ہیں، C) سوار گرفتار ہے، D) پولیس ٹیم کے خصوصی قوانین ہیں</v>
      </c>
      <c r="L109" s="6" t="str">
        <f>IFERROR(__xludf.DUMMYFUNCTION("GOOGLETRANSLATE(D109, ""en"", ""ur"")"),"ب) پاکستان میں پولیس اور نیم فوجی دستے اس کھیل کے بڑے سرپرست ہیں۔")</f>
        <v>ب) پاکستان میں پولیس اور نیم فوجی دستے اس کھیل کے بڑے سرپرست ہیں۔</v>
      </c>
      <c r="M109" s="6" t="str">
        <f>IFERROR(__xludf.DUMMYFUNCTION("GOOGLETRANSLATE(E109, ""en"", ""ur"")"),"فوج کے ساتھ ساتھ، پولیس کے محکموں میں اکثر ہنر مند گھڑ سوار ٹیمیں ہوتی ہیں جو اعلیٰ سطح پر مقابلہ کرتی ہیں۔")</f>
        <v>فوج کے ساتھ ساتھ، پولیس کے محکموں میں اکثر ہنر مند گھڑ سوار ٹیمیں ہوتی ہیں جو اعلیٰ سطح پر مقابلہ کرتی ہیں۔</v>
      </c>
    </row>
    <row r="110">
      <c r="A110" s="4">
        <v>109.0</v>
      </c>
      <c r="B110" s="5" t="s">
        <v>2788</v>
      </c>
      <c r="C110" s="5" t="s">
        <v>2789</v>
      </c>
      <c r="D110" s="5" t="s">
        <v>2790</v>
      </c>
      <c r="E110" s="5" t="s">
        <v>2791</v>
      </c>
      <c r="I110" s="6" t="str">
        <f>IFERROR(__xludf.DUMMYFUNCTION("GOOGLETRANSLATE(A110, ""en"", ""ur"")"),"109")</f>
        <v>109</v>
      </c>
      <c r="J110" s="6" t="str">
        <f>IFERROR(__xludf.DUMMYFUNCTION("GOOGLETRANSLATE(B110, ""en"", ""ur"")"),"سوار کی دوڑ کو باطل قرار دیا جاتا ہے کیونکہ ان کے گھوڑے کی ٹانگوں کی حفاظتی پٹیاں ختم ہو جاتی ہیں۔ یہ ایک اصول کیوں ہے؟")</f>
        <v>سوار کی دوڑ کو باطل قرار دیا جاتا ہے کیونکہ ان کے گھوڑے کی ٹانگوں کی حفاظتی پٹیاں ختم ہو جاتی ہیں۔ یہ ایک اصول کیوں ہے؟</v>
      </c>
      <c r="K110" s="6" t="str">
        <f>IFERROR(__xludf.DUMMYFUNCTION("GOOGLETRANSLATE(C110, ""en"", ""ur"")"),"A) یہ سوار کے لیے ایک خلفشار ہے، B) ایک ڈھیلی پٹی گھوڑے کو ٹرپ کر سکتی ہے، جس سے حفاظت کا ایک بڑا خطرہ ہو سکتا ہے، C) یہ غیر پیشہ ورانہ لگتا ہے، D) یہ وقت کے سازوسامان میں مداخلت کر سکتا ہے۔")</f>
        <v>A) یہ سوار کے لیے ایک خلفشار ہے، B) ایک ڈھیلی پٹی گھوڑے کو ٹرپ کر سکتی ہے، جس سے حفاظت کا ایک بڑا خطرہ ہو سکتا ہے، C) یہ غیر پیشہ ورانہ لگتا ہے، D) یہ وقت کے سازوسامان میں مداخلت کر سکتا ہے۔</v>
      </c>
      <c r="L110" s="6" t="str">
        <f>IFERROR(__xludf.DUMMYFUNCTION("GOOGLETRANSLATE(D110, ""en"", ""ur"")"),"ب) ایک ڈھیلی پٹی گھوڑے کو ٹرپ کر سکتی ہے، جس سے حفاظت کا ایک بڑا خطرہ ہوتا ہے۔")</f>
        <v>ب) ایک ڈھیلی پٹی گھوڑے کو ٹرپ کر سکتی ہے، جس سے حفاظت کا ایک بڑا خطرہ ہوتا ہے۔</v>
      </c>
      <c r="M110" s="6" t="str">
        <f>IFERROR(__xludf.DUMMYFUNCTION("GOOGLETRANSLATE(E110, ""en"", ""ur"")"),"حادثات کو روکنے کے لیے تمام گھوڑوں کے ٹیک اور آلات کی محفوظ فٹنگ کے حوالے سے قوانین کو سختی سے نافذ کیا جاتا ہے۔")</f>
        <v>حادثات کو روکنے کے لیے تمام گھوڑوں کے ٹیک اور آلات کی محفوظ فٹنگ کے حوالے سے قوانین کو سختی سے نافذ کیا جاتا ہے۔</v>
      </c>
    </row>
    <row r="111">
      <c r="A111" s="4">
        <v>110.0</v>
      </c>
      <c r="B111" s="5" t="s">
        <v>2792</v>
      </c>
      <c r="C111" s="5" t="s">
        <v>2793</v>
      </c>
      <c r="D111" s="5" t="s">
        <v>2794</v>
      </c>
      <c r="E111" s="5" t="s">
        <v>2795</v>
      </c>
      <c r="I111" s="6" t="str">
        <f>IFERROR(__xludf.DUMMYFUNCTION("GOOGLETRANSLATE(A111, ""en"", ""ur"")"),"110")</f>
        <v>110</v>
      </c>
      <c r="J111" s="6" t="str">
        <f>IFERROR(__xludf.DUMMYFUNCTION("GOOGLETRANSLATE(B111, ""en"", ""ur"")"),"ٹینٹ پیگنگ کو ""وراثت کا کھیل"" سمجھا جانے کی بنیادی وجہ کیا ہے؟")</f>
        <v>ٹینٹ پیگنگ کو "وراثت کا کھیل" سمجھا جانے کی بنیادی وجہ کیا ہے؟</v>
      </c>
      <c r="K111" s="6" t="str">
        <f>IFERROR(__xludf.DUMMYFUNCTION("GOOGLETRANSLATE(C111, ""en"", ""ur"")"),"A) یہ ایک پرانا اور فرسودہ کھیل ہے، B) یہ ایک زندہ روایت ہے جو قدیم گھڑ سواری اور فوجی مہارتوں کو محفوظ رکھتی ہے، C) یہ صرف بوڑھے لوگ کرتے ہیں، D) یہ یونیسکو کی عالمی ثقافتی ورثہ کی سرگرمی ہے۔")</f>
        <v>A) یہ ایک پرانا اور فرسودہ کھیل ہے، B) یہ ایک زندہ روایت ہے جو قدیم گھڑ سواری اور فوجی مہارتوں کو محفوظ رکھتی ہے، C) یہ صرف بوڑھے لوگ کرتے ہیں، D) یہ یونیسکو کی عالمی ثقافتی ورثہ کی سرگرمی ہے۔</v>
      </c>
      <c r="L111" s="6" t="str">
        <f>IFERROR(__xludf.DUMMYFUNCTION("GOOGLETRANSLATE(D111, ""en"", ""ur"")"),"ب) یہ ایک زندہ روایت ہے جو قدیم گھڑ سواری اور فوجی مہارتوں کو محفوظ رکھتی ہے۔")</f>
        <v>ب) یہ ایک زندہ روایت ہے جو قدیم گھڑ سواری اور فوجی مہارتوں کو محفوظ رکھتی ہے۔</v>
      </c>
      <c r="M111" s="6" t="str">
        <f>IFERROR(__xludf.DUMMYFUNCTION("GOOGLETRANSLATE(E111, ""en"", ""ur"")"),"اس کی قدر صرف مقابلے کے طور پر نہیں بلکہ ایک خطے کی تاریخی اور ثقافتی شناخت کے لیے ایک کڑی کے طور پر کی جاتی ہے۔")</f>
        <v>اس کی قدر صرف مقابلے کے طور پر نہیں بلکہ ایک خطے کی تاریخی اور ثقافتی شناخت کے لیے ایک کڑی کے طور پر کی جاتی ہے۔</v>
      </c>
    </row>
    <row r="112">
      <c r="A112" s="4">
        <v>111.0</v>
      </c>
      <c r="B112" s="5" t="s">
        <v>2796</v>
      </c>
      <c r="C112" s="5" t="s">
        <v>2797</v>
      </c>
      <c r="D112" s="5" t="s">
        <v>2798</v>
      </c>
      <c r="E112" s="5" t="s">
        <v>2799</v>
      </c>
      <c r="I112" s="6" t="str">
        <f>IFERROR(__xludf.DUMMYFUNCTION("GOOGLETRANSLATE(A112, ""en"", ""ur"")"),"111")</f>
        <v>111</v>
      </c>
      <c r="J112" s="6" t="str">
        <f>IFERROR(__xludf.DUMMYFUNCTION("GOOGLETRANSLATE(B112, ""en"", ""ur"")"),"""Pairs"" ایونٹ میں، Rider 1 کو مکمل پیگ ملتا ہے، لیکن Rider 2 یاد نہیں آتا۔ رن کے لیے ٹیم کا اسکور کیا ہے؟")</f>
        <v>"Pairs" ایونٹ میں، Rider 1 کو مکمل پیگ ملتا ہے، لیکن Rider 2 یاد نہیں آتا۔ رن کے لیے ٹیم کا اسکور کیا ہے؟</v>
      </c>
      <c r="K112" s="6" t="str">
        <f>IFERROR(__xludf.DUMMYFUNCTION("GOOGLETRANSLATE(C112, ""en"", ""ur"")"),"A) 0، B) 3، C) 6، D) 12")</f>
        <v>A) 0، B) 3، C) 6، D) 12</v>
      </c>
      <c r="L112" s="6" t="str">
        <f>IFERROR(__xludf.DUMMYFUNCTION("GOOGLETRANSLATE(D112, ""en"", ""ur"")"),"ج) 6")</f>
        <v>ج) 6</v>
      </c>
      <c r="M112" s="6" t="str">
        <f>IFERROR(__xludf.DUMMYFUNCTION("GOOGLETRANSLATE(E112, ""en"", ""ur"")"),"اسکورنگ انفرادی اور پھر مجموعی ہے۔ رائڈر 1 کے 6 پوائنٹس ٹیم کے کل میں شامل کیے جاتے ہیں، اور رائڈر 2 کے 0 پوائنٹس شامل کیے جاتے ہیں۔")</f>
        <v>اسکورنگ انفرادی اور پھر مجموعی ہے۔ رائڈر 1 کے 6 پوائنٹس ٹیم کے کل میں شامل کیے جاتے ہیں، اور رائڈر 2 کے 0 پوائنٹس شامل کیے جاتے ہیں۔</v>
      </c>
    </row>
    <row r="113">
      <c r="A113" s="4">
        <v>112.0</v>
      </c>
      <c r="B113" s="5" t="s">
        <v>2800</v>
      </c>
      <c r="C113" s="5" t="s">
        <v>2801</v>
      </c>
      <c r="D113" s="5" t="s">
        <v>2802</v>
      </c>
      <c r="E113" s="5" t="s">
        <v>2803</v>
      </c>
      <c r="I113" s="6" t="str">
        <f>IFERROR(__xludf.DUMMYFUNCTION("GOOGLETRANSLATE(A113, ""en"", ""ur"")"),"112")</f>
        <v>112</v>
      </c>
      <c r="J113" s="6" t="str">
        <f>IFERROR(__xludf.DUMMYFUNCTION("GOOGLETRANSLATE(B113, ""en"", ""ur"")"),"گھوڑے کی لگام میں ""بٹ"" کا مقصد کیا ہے؟")</f>
        <v>گھوڑے کی لگام میں "بٹ" کا مقصد کیا ہے؟</v>
      </c>
      <c r="K113" s="6" t="str">
        <f>IFERROR(__xludf.DUMMYFUNCTION("GOOGLETRANSLATE(C113, ""en"", ""ur"")"),"A) یہ غذائیت کا ایک ذریعہ ہے، B) یہ گھوڑے کے منہ میں دھات کا ایک ٹکڑا ہے جسے سوار اشارہ کرنے کے لیے استعمال کرتا ہے، C) یہ ایک آرائشی عنصر ہے، D) یہ گھوڑے کو سانس لینے میں مدد کرتا ہے۔")</f>
        <v>A) یہ غذائیت کا ایک ذریعہ ہے، B) یہ گھوڑے کے منہ میں دھات کا ایک ٹکڑا ہے جسے سوار اشارہ کرنے کے لیے استعمال کرتا ہے، C) یہ ایک آرائشی عنصر ہے، D) یہ گھوڑے کو سانس لینے میں مدد کرتا ہے۔</v>
      </c>
      <c r="L113" s="6" t="str">
        <f>IFERROR(__xludf.DUMMYFUNCTION("GOOGLETRANSLATE(D113, ""en"", ""ur"")"),"ب) یہ گھوڑے کے منہ میں دھات کا ایک ٹکڑا ہے جسے سوار اشارہ کرنے کے لیے استعمال کرتا ہے۔")</f>
        <v>ب) یہ گھوڑے کے منہ میں دھات کا ایک ٹکڑا ہے جسے سوار اشارہ کرنے کے لیے استعمال کرتا ہے۔</v>
      </c>
      <c r="M113" s="6" t="str">
        <f>IFERROR(__xludf.DUMMYFUNCTION("GOOGLETRANSLATE(E113, ""en"", ""ur"")"),"بٹ سوار کے ہاتھوں اور گھوڑے کے درمیان مواصلاتی نظام کا ایک اہم حصہ ہے۔")</f>
        <v>بٹ سوار کے ہاتھوں اور گھوڑے کے درمیان مواصلاتی نظام کا ایک اہم حصہ ہے۔</v>
      </c>
    </row>
    <row r="114">
      <c r="A114" s="4">
        <v>113.0</v>
      </c>
      <c r="B114" s="5" t="s">
        <v>2804</v>
      </c>
      <c r="C114" s="5" t="s">
        <v>2805</v>
      </c>
      <c r="D114" s="5" t="s">
        <v>1053</v>
      </c>
      <c r="E114" s="5" t="s">
        <v>2806</v>
      </c>
      <c r="I114" s="6" t="str">
        <f>IFERROR(__xludf.DUMMYFUNCTION("GOOGLETRANSLATE(A114, ""en"", ""ur"")"),"113")</f>
        <v>113</v>
      </c>
      <c r="J114" s="6" t="str">
        <f>IFERROR(__xludf.DUMMYFUNCTION("GOOGLETRANSLATE(B114, ""en"", ""ur"")"),"ایک سوار کو ""غیر روایتی"" سواری کا انداز استعمال کرنے پر نااہل قرار دیا جاتا ہے۔ انہوں نے کیا کیا ہوگا؟")</f>
        <v>ایک سوار کو "غیر روایتی" سواری کا انداز استعمال کرنے پر نااہل قرار دیا جاتا ہے۔ انہوں نے کیا کیا ہوگا؟</v>
      </c>
      <c r="K114" s="6" t="str">
        <f>IFERROR(__xludf.DUMMYFUNCTION("GOOGLETRANSLATE(C114, ""en"", ""ur"")"),"A) بہت تیز سواری، B) غیر گھڑ سواری کی کرنسی کا استعمال کیا، جیسے کاٹھی پر کھڑا ہونا، C) لانس کو دو ہاتھوں سے پکڑنا، D) B اور C دونوں")</f>
        <v>A) بہت تیز سواری، B) غیر گھڑ سواری کی کرنسی کا استعمال کیا، جیسے کاٹھی پر کھڑا ہونا، C) لانس کو دو ہاتھوں سے پکڑنا، D) B اور C دونوں</v>
      </c>
      <c r="L114" s="6" t="str">
        <f>IFERROR(__xludf.DUMMYFUNCTION("GOOGLETRANSLATE(D114, ""en"", ""ur"")"),"D) B اور C دونوں")</f>
        <v>D) B اور C دونوں</v>
      </c>
      <c r="M114" s="6" t="str">
        <f>IFERROR(__xludf.DUMMYFUNCTION("GOOGLETRANSLATE(E114, ""en"", ""ur"")"),"کھیل کو مناسب گھڑ سواری کی ضرورت ہوتی ہے۔ کوئی بھی عمل جو محفوظ، روایتی سواری کی کرنسی سے ہٹتا ہے ایک غلط ہے۔")</f>
        <v>کھیل کو مناسب گھڑ سواری کی ضرورت ہوتی ہے۔ کوئی بھی عمل جو محفوظ، روایتی سواری کی کرنسی سے ہٹتا ہے ایک غلط ہے۔</v>
      </c>
    </row>
    <row r="115">
      <c r="A115" s="4">
        <v>114.0</v>
      </c>
      <c r="B115" s="5" t="s">
        <v>2807</v>
      </c>
      <c r="C115" s="5" t="s">
        <v>2808</v>
      </c>
      <c r="D115" s="5" t="s">
        <v>2809</v>
      </c>
      <c r="E115" s="5" t="s">
        <v>2810</v>
      </c>
      <c r="I115" s="6" t="str">
        <f>IFERROR(__xludf.DUMMYFUNCTION("GOOGLETRANSLATE(A115, ""en"", ""ur"")"),"114")</f>
        <v>114</v>
      </c>
      <c r="J115" s="6" t="str">
        <f>IFERROR(__xludf.DUMMYFUNCTION("GOOGLETRANSLATE(B115, ""en"", ""ur"")"),"کھونٹوں کے طول و عرض کے بارے میں سخت قوانین کی بنیادی وجہ کیا ہے؟")</f>
        <v>کھونٹوں کے طول و عرض کے بارے میں سخت قوانین کی بنیادی وجہ کیا ہے؟</v>
      </c>
      <c r="K115" s="6" t="str">
        <f>IFERROR(__xludf.DUMMYFUNCTION("GOOGLETRANSLATE(C115, ""en"", ""ur"")"),"A) ان کی تیاری میں آسانی پیدا کرنے کے لیے، B) تمام حریفوں کے لیے ایک منصفانہ اور مستقل چیلنج کو یقینی بنانے کے لیے، C) لینسز کو بالکل فٹ کرنے کے لیے، D) انہیں کیمرے پر اچھا نظر آنے کے لیے")</f>
        <v>A) ان کی تیاری میں آسانی پیدا کرنے کے لیے، B) تمام حریفوں کے لیے ایک منصفانہ اور مستقل چیلنج کو یقینی بنانے کے لیے، C) لینسز کو بالکل فٹ کرنے کے لیے، D) انہیں کیمرے پر اچھا نظر آنے کے لیے</v>
      </c>
      <c r="L115" s="6" t="str">
        <f>IFERROR(__xludf.DUMMYFUNCTION("GOOGLETRANSLATE(D115, ""en"", ""ur"")"),"ب) تمام حریفوں کے لیے ایک منصفانہ اور مستقل چیلنج کو یقینی بنانا")</f>
        <v>ب) تمام حریفوں کے لیے ایک منصفانہ اور مستقل چیلنج کو یقینی بنانا</v>
      </c>
      <c r="M115" s="6" t="str">
        <f>IFERROR(__xludf.DUMMYFUNCTION("GOOGLETRANSLATE(E115, ""en"", ""ur"")"),"اگر کھونٹے مختلف سائز یا شکل کے ہوتے تو مقابلہ غیر منصفانہ ہوگا، کیونکہ کچھ سواروں کا ہدف آسان یا مشکل ہوتا ہے۔")</f>
        <v>اگر کھونٹے مختلف سائز یا شکل کے ہوتے تو مقابلہ غیر منصفانہ ہوگا، کیونکہ کچھ سواروں کا ہدف آسان یا مشکل ہوتا ہے۔</v>
      </c>
    </row>
    <row r="116">
      <c r="A116" s="4">
        <v>115.0</v>
      </c>
      <c r="B116" s="5" t="s">
        <v>2811</v>
      </c>
      <c r="C116" s="5" t="s">
        <v>2812</v>
      </c>
      <c r="D116" s="5" t="s">
        <v>2813</v>
      </c>
      <c r="E116" s="5" t="s">
        <v>2814</v>
      </c>
      <c r="I116" s="6" t="str">
        <f>IFERROR(__xludf.DUMMYFUNCTION("GOOGLETRANSLATE(A116, ""en"", ""ur"")"),"115")</f>
        <v>115</v>
      </c>
      <c r="J116" s="6" t="str">
        <f>IFERROR(__xludf.DUMMYFUNCTION("GOOGLETRANSLATE(B116, ""en"", ""ur"")"),"ایک سوار ان کی دوڑ کے بعد پیچھے مڑ کر دیکھا جاتا ہے۔ وہ ممکنہ طور پر کیا دیکھ رہے ہیں؟")</f>
        <v>ایک سوار ان کی دوڑ کے بعد پیچھے مڑ کر دیکھا جاتا ہے۔ وہ ممکنہ طور پر کیا دیکھ رہے ہیں؟</v>
      </c>
      <c r="K116" s="6" t="str">
        <f>IFERROR(__xludf.DUMMYFUNCTION("GOOGLETRANSLATE(C116, ""en"", ""ur"")"),"A) ہجوم، B) اگلا سوار، C) جج کا جھنڈا یہ دیکھنے کے لیے کہ آیا انہوں نے گول کیا، D) ہدایات کے لیے ان کا کوچ")</f>
        <v>A) ہجوم، B) اگلا سوار، C) جج کا جھنڈا یہ دیکھنے کے لیے کہ آیا انہوں نے گول کیا، D) ہدایات کے لیے ان کا کوچ</v>
      </c>
      <c r="L116" s="6" t="str">
        <f>IFERROR(__xludf.DUMMYFUNCTION("GOOGLETRANSLATE(D116, ""en"", ""ur"")"),"ج) جج کا جھنڈا یہ دیکھنے کے لیے کہ آیا انھوں نے گول کیا ہے۔")</f>
        <v>ج) جج کا جھنڈا یہ دیکھنے کے لیے کہ آیا انھوں نے گول کیا ہے۔</v>
      </c>
      <c r="M116" s="6" t="str">
        <f>IFERROR(__xludf.DUMMYFUNCTION("GOOGLETRANSLATE(E116, ""en"", ""ur"")"),"دوڑنے کے بعد، ایک سوار جج کی طرف سے سرکاری سگنل (سبز، سفید، یا سرخ پرچم) کو دیکھنے کے لیے فوراً پیچھے مڑ کر دیکھے گا۔")</f>
        <v>دوڑنے کے بعد، ایک سوار جج کی طرف سے سرکاری سگنل (سبز، سفید، یا سرخ پرچم) کو دیکھنے کے لیے فوراً پیچھے مڑ کر دیکھے گا۔</v>
      </c>
    </row>
    <row r="117">
      <c r="A117" s="4">
        <v>116.0</v>
      </c>
      <c r="B117" s="5" t="s">
        <v>2815</v>
      </c>
      <c r="C117" s="5" t="s">
        <v>2816</v>
      </c>
      <c r="D117" s="5" t="s">
        <v>2817</v>
      </c>
      <c r="E117" s="5" t="s">
        <v>2818</v>
      </c>
      <c r="I117" s="6" t="str">
        <f>IFERROR(__xludf.DUMMYFUNCTION("GOOGLETRANSLATE(A117, ""en"", ""ur"")"),"116")</f>
        <v>116</v>
      </c>
      <c r="J117" s="6" t="str">
        <f>IFERROR(__xludf.DUMMYFUNCTION("GOOGLETRANSLATE(B117, ""en"", ""ur"")"),"""مجموعہ"" میں گھوڑے کی تربیت کا بنیادی کردار کیا ہے؟")</f>
        <v>"مجموعہ" میں گھوڑے کی تربیت کا بنیادی کردار کیا ہے؟</v>
      </c>
      <c r="K117" s="6" t="str">
        <f>IFERROR(__xludf.DUMMYFUNCTION("GOOGLETRANSLATE(C117, ""en"", ""ur"")"),"A) انعامات جمع کرنے کے لیے، B) بہتر توازن اور چستی کے لیے گھوڑے کو اپنا وزن اس کے پچھلے حصے پر اٹھانا سکھانا، C) مختلف قسم کے کھونٹے جمع کرنا، D) یہ اہم نہیں ہے۔")</f>
        <v>A) انعامات جمع کرنے کے لیے، B) بہتر توازن اور چستی کے لیے گھوڑے کو اپنا وزن اس کے پچھلے حصے پر اٹھانا سکھانا، C) مختلف قسم کے کھونٹے جمع کرنا، D) یہ اہم نہیں ہے۔</v>
      </c>
      <c r="L117" s="6" t="str">
        <f>IFERROR(__xludf.DUMMYFUNCTION("GOOGLETRANSLATE(D117, ""en"", ""ur"")"),"ب) بہتر توازن اور چستی کے لیے گھوڑے کو اپنا وزن اس کے پچھلے حصے پر اٹھانا سکھانا")</f>
        <v>ب) بہتر توازن اور چستی کے لیے گھوڑے کو اپنا وزن اس کے پچھلے حصے پر اٹھانا سکھانا</v>
      </c>
      <c r="M117" s="6" t="str">
        <f>IFERROR(__xludf.DUMMYFUNCTION("GOOGLETRANSLATE(E117, ""en"", ""ur"")"),"مجموعہ گھڑ سواری کا ایک کلیدی تصور ہے جہاں گھوڑا متوازن اور ""اوپر کی طرف"" ہوتا ہے، جس سے زیادہ طاقتور اور کنٹرول شدہ حرکت ہوتی ہے۔")</f>
        <v>مجموعہ گھڑ سواری کا ایک کلیدی تصور ہے جہاں گھوڑا متوازن اور "اوپر کی طرف" ہوتا ہے، جس سے زیادہ طاقتور اور کنٹرول شدہ حرکت ہوتی ہے۔</v>
      </c>
    </row>
    <row r="118">
      <c r="A118" s="4">
        <v>117.0</v>
      </c>
      <c r="B118" s="5" t="s">
        <v>2819</v>
      </c>
      <c r="C118" s="5" t="s">
        <v>2820</v>
      </c>
      <c r="D118" s="5" t="s">
        <v>2821</v>
      </c>
      <c r="E118" s="5" t="s">
        <v>2822</v>
      </c>
      <c r="I118" s="6" t="str">
        <f>IFERROR(__xludf.DUMMYFUNCTION("GOOGLETRANSLATE(A118, ""en"", ""ur"")"),"117")</f>
        <v>117</v>
      </c>
      <c r="J118" s="6" t="str">
        <f>IFERROR(__xludf.DUMMYFUNCTION("GOOGLETRANSLATE(B118, ""en"", ""ur"")"),"اس کھیل کو کبھی کبھی ""نیزا بازی"" بھی کہا جاتا ہے۔ ""نیزا"" کا کیا مطلب ہے؟")</f>
        <v>اس کھیل کو کبھی کبھی "نیزا بازی" بھی کہا جاتا ہے۔ "نیزا" کا کیا مطلب ہے؟</v>
      </c>
      <c r="K118" s="6" t="str">
        <f>IFERROR(__xludf.DUMMYFUNCTION("GOOGLETRANSLATE(C118, ""en"", ""ur"")"),"A) گھوڑا، B) کھیل، C) نیزہ یا لانس، D) ہدف")</f>
        <v>A) گھوڑا، B) کھیل، C) نیزہ یا لانس، D) ہدف</v>
      </c>
      <c r="L118" s="6" t="str">
        <f>IFERROR(__xludf.DUMMYFUNCTION("GOOGLETRANSLATE(D118, ""en"", ""ur"")"),"ج) نیزہ یا لانس")</f>
        <v>ج) نیزہ یا لانس</v>
      </c>
      <c r="M118" s="6" t="str">
        <f>IFERROR(__xludf.DUMMYFUNCTION("GOOGLETRANSLATE(E118, ""en"", ""ur"")"),"نیزا بازی اس کھیل کے لیے فارسی/اردو اصطلاح ہے، جس کا ترجمہ ""نیزہ بجانا"" یا ""لانسنگ"" ہے۔")</f>
        <v>نیزا بازی اس کھیل کے لیے فارسی/اردو اصطلاح ہے، جس کا ترجمہ "نیزہ بجانا" یا "لانسنگ" ہے۔</v>
      </c>
    </row>
    <row r="119">
      <c r="A119" s="4">
        <v>118.0</v>
      </c>
      <c r="B119" s="5" t="s">
        <v>2823</v>
      </c>
      <c r="C119" s="5" t="s">
        <v>2824</v>
      </c>
      <c r="D119" s="5" t="s">
        <v>2825</v>
      </c>
      <c r="E119" s="5" t="s">
        <v>2826</v>
      </c>
      <c r="I119" s="6" t="str">
        <f>IFERROR(__xludf.DUMMYFUNCTION("GOOGLETRANSLATE(A119, ""en"", ""ur"")"),"118")</f>
        <v>118</v>
      </c>
      <c r="J119" s="6" t="str">
        <f>IFERROR(__xludf.DUMMYFUNCTION("GOOGLETRANSLATE(B119, ""en"", ""ur"")"),"ایک سوار کو ""کراس کرنے"" پر سزا دی جاتی ہے۔ ٹیم ایونٹ میں اس کا کیا مطلب ہے؟")</f>
        <v>ایک سوار کو "کراس کرنے" پر سزا دی جاتی ہے۔ ٹیم ایونٹ میں اس کا کیا مطلب ہے؟</v>
      </c>
      <c r="K119" s="6" t="str">
        <f>IFERROR(__xludf.DUMMYFUNCTION("GOOGLETRANSLATE(C119, ""en"", ""ur"")"),"A)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f>
        <v>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v>
      </c>
      <c r="L119" s="6" t="str">
        <f>IFERROR(__xludf.DUMMYFUNCTION("GOOGLETRANSLATE(D119, ""en"", ""ur"")"),"ب) وہ ایک ٹیم کے ساتھی کے راستے میں داخل ہوئے، جس سے حفاظتی خطرہ پیدا ہوا۔")</f>
        <v>ب) وہ ایک ٹیم کے ساتھی کے راستے میں داخل ہوئے، جس سے حفاظتی خطرہ پیدا ہوا۔</v>
      </c>
      <c r="M119" s="6" t="str">
        <f>IFERROR(__xludf.DUMMYFUNCTION("GOOGLETRANSLATE(E119, ""en"", ""ur"")"),"سیکشن حملے میں، ہر سوار کو اپنی لین کو برقرار رکھنا چاہیے۔ کسی دوسرے سوار کا راستہ عبور کرنا ایک بہت ہی خطرناک فاؤل ہے۔")</f>
        <v>سیکشن حملے میں، ہر سوار کو اپنی لین کو برقرار رکھنا چاہیے۔ کسی دوسرے سوار کا راستہ عبور کرنا ایک بہت ہی خطرناک فاؤل ہے۔</v>
      </c>
    </row>
    <row r="120">
      <c r="A120" s="4">
        <v>119.0</v>
      </c>
      <c r="B120" s="5" t="s">
        <v>2827</v>
      </c>
      <c r="C120" s="5" t="s">
        <v>2828</v>
      </c>
      <c r="D120" s="5" t="s">
        <v>2829</v>
      </c>
      <c r="E120" s="5" t="s">
        <v>2830</v>
      </c>
      <c r="I120" s="6" t="str">
        <f>IFERROR(__xludf.DUMMYFUNCTION("GOOGLETRANSLATE(A120, ""en"", ""ur"")"),"119")</f>
        <v>119</v>
      </c>
      <c r="J120" s="6" t="str">
        <f>IFERROR(__xludf.DUMMYFUNCTION("GOOGLETRANSLATE(B120, ""en"", ""ur"")"),"لیموں کاٹنے کے لیے سوار کے لیے خمیدہ بلیڈ (ایک صابری) والی تلوار استعمال کرنے کی بنیادی وجہ کیا ہے؟")</f>
        <v>لیموں کاٹنے کے لیے سوار کے لیے خمیدہ بلیڈ (ایک صابری) والی تلوار استعمال کرنے کی بنیادی وجہ کیا ہے؟</v>
      </c>
      <c r="K120" s="6" t="str">
        <f>IFERROR(__xludf.DUMMYFUNCTION("GOOGLETRANSLATE(C120, ""en"", ""ur"")"),"A) یہ زیادہ روایتی لگتا ہے، B) ایک مڑے ہوئے بلیڈ کو کاٹنے کے لیے ڈیزائن کیا گیا ہے، جب کہ ایک سیدھا بلیڈ زور دینے کے لیے ہے، C) یہ ہلکا ہے، D) یہ تیز ہے۔")</f>
        <v>A) یہ زیادہ روایتی لگتا ہے، B) ایک مڑے ہوئے بلیڈ کو کاٹنے کے لیے ڈیزائن کیا گیا ہے، جب کہ ایک سیدھا بلیڈ زور دینے کے لیے ہے، C) یہ ہلکا ہے، D) یہ تیز ہے۔</v>
      </c>
      <c r="L120" s="6" t="str">
        <f>IFERROR(__xludf.DUMMYFUNCTION("GOOGLETRANSLATE(D120, ""en"", ""ur"")"),"ب) ایک مڑے ہوئے بلیڈ کو کاٹنے کے لیے ڈیزائن کیا گیا ہے، جبکہ ایک سیدھا بلیڈ زور دینے کے لیے ہے۔")</f>
        <v>ب) ایک مڑے ہوئے بلیڈ کو کاٹنے کے لیے ڈیزائن کیا گیا ہے، جبکہ ایک سیدھا بلیڈ زور دینے کے لیے ہے۔</v>
      </c>
      <c r="M120" s="6" t="str">
        <f>IFERROR(__xludf.DUMMYFUNCTION("GOOGLETRANSLATE(E120, ""en"", ""ur"")"),"کرپان کا گھماؤ بلیڈ کو ہدف کے ذریعے مؤثر طریقے سے کاٹنے کی اجازت دیتا ہے جب سوار گزر جاتا ہے۔")</f>
        <v>کرپان کا گھماؤ بلیڈ کو ہدف کے ذریعے مؤثر طریقے سے کاٹنے کی اجازت دیتا ہے جب سوار گزر جاتا ہے۔</v>
      </c>
    </row>
    <row r="121">
      <c r="A121" s="4">
        <v>120.0</v>
      </c>
      <c r="B121" s="5" t="s">
        <v>2831</v>
      </c>
      <c r="C121" s="5" t="s">
        <v>2832</v>
      </c>
      <c r="D121" s="5" t="s">
        <v>2833</v>
      </c>
      <c r="E121" s="5" t="s">
        <v>2834</v>
      </c>
      <c r="I121" s="6" t="str">
        <f>IFERROR(__xludf.DUMMYFUNCTION("GOOGLETRANSLATE(A121, ""en"", ""ur"")"),"120")</f>
        <v>120</v>
      </c>
      <c r="J121" s="6" t="str">
        <f>IFERROR(__xludf.DUMMYFUNCTION("GOOGLETRANSLATE(B121, ""en"", ""ur"")"),"مندرجہ ذیل میں سے کون سی ٹینٹ پیگر کے لیے اہم ذہنی مہارت ہے؟")</f>
        <v>مندرجہ ذیل میں سے کون سی ٹینٹ پیگر کے لیے اہم ذہنی مہارت ہے؟</v>
      </c>
      <c r="K121" s="6" t="str">
        <f>IFERROR(__xludf.DUMMYFUNCTION("GOOGLETRANSLATE(C121, ""en"", ""ur"")"),"A) دباؤ کو نظر انداز کرنے اور کسی ایک نقطہ پر شدت سے توجہ مرکوز کرنے کی صلاحیت، B) قواعد کے لیے اچھی یادداشت، C) ریاضی کو تیزی سے کرنے کی صلاحیت، D) بلند آواز")</f>
        <v>A) دباؤ کو نظر انداز کرنے اور کسی ایک نقطہ پر شدت سے توجہ مرکوز کرنے کی صلاحیت، B) قواعد کے لیے اچھی یادداشت، C) ریاضی کو تیزی سے کرنے کی صلاحیت، D) بلند آواز</v>
      </c>
      <c r="L121" s="6" t="str">
        <f>IFERROR(__xludf.DUMMYFUNCTION("GOOGLETRANSLATE(D121, ""en"", ""ur"")"),"A) دباؤ کو نظر انداز کرنے اور ایک نقطہ پر شدت سے توجہ مرکوز کرنے کی صلاحیت")</f>
        <v>A) دباؤ کو نظر انداز کرنے اور ایک نقطہ پر شدت سے توجہ مرکوز کرنے کی صلاحیت</v>
      </c>
      <c r="M121" s="6" t="str">
        <f>IFERROR(__xludf.DUMMYFUNCTION("GOOGLETRANSLATE(E121, ""en"", ""ur"")"),"کھیل کو تیز رفتار، ہائی پریشر والے ماحول میں درست کارروائی کرنے کے لیے بے پناہ ارتکاز کی ضرورت ہوتی ہے۔")</f>
        <v>کھیل کو تیز رفتار، ہائی پریشر والے ماحول میں درست کارروائی کرنے کے لیے بے پناہ ارتکاز کی ضرورت ہوتی ہے۔</v>
      </c>
    </row>
    <row r="122">
      <c r="A122" s="4">
        <v>121.0</v>
      </c>
      <c r="B122" s="5" t="s">
        <v>2835</v>
      </c>
      <c r="C122" s="5" t="s">
        <v>2836</v>
      </c>
      <c r="D122" s="5" t="s">
        <v>2837</v>
      </c>
      <c r="E122" s="5" t="s">
        <v>2838</v>
      </c>
      <c r="I122" s="6" t="str">
        <f>IFERROR(__xludf.DUMMYFUNCTION("GOOGLETRANSLATE(A122, ""en"", ""ur"")"),"121")</f>
        <v>121</v>
      </c>
      <c r="J122" s="6" t="str">
        <f>IFERROR(__xludf.DUMMYFUNCTION("GOOGLETRANSLATE(B122, ""en"", ""ur"")"),"ایک سوار کا گھوڑا بلنکرز پہنے نظر آتا ہے۔ ان کا مقصد کیا ہے؟")</f>
        <v>ایک سوار کا گھوڑا بلنکرز پہنے نظر آتا ہے۔ ان کا مقصد کیا ہے؟</v>
      </c>
      <c r="K122" s="6" t="str">
        <f>IFERROR(__xludf.DUMMYFUNCTION("GOOGLETRANSLATE(C122, ""en"", ""ur"")"),"A)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f>
        <v>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v>
      </c>
      <c r="L122" s="6" t="str">
        <f>IFERROR(__xludf.DUMMYFUNCTION("GOOGLETRANSLATE(D122, ""en"", ""ur"")"),"ب) گھوڑے کے بصارت کے میدان کو محدود کرنا اور اسے آگے کی پٹری پر مرکوز رکھنا")</f>
        <v>ب) گھوڑے کے بصارت کے میدان کو محدود کرنا اور اسے آگے کی پٹری پر مرکوز رکھنا</v>
      </c>
      <c r="M122" s="6" t="str">
        <f>IFERROR(__xludf.DUMMYFUNCTION("GOOGLETRANSLATE(E122, ""en"", ""ur"")"),"پلکیں جھپکنے والے گھوڑے کو اس کی طرف یا پیچھے کی طرف حرکت سے مشغول ہونے سے روکتے ہیں، اس بات کو یقینی بناتے ہوئے کہ یہ سیدھا چلتا ہے۔")</f>
        <v>پلکیں جھپکنے والے گھوڑے کو اس کی طرف یا پیچھے کی طرف حرکت سے مشغول ہونے سے روکتے ہیں، اس بات کو یقینی بناتے ہوئے کہ یہ سیدھا چلتا ہے۔</v>
      </c>
    </row>
    <row r="123">
      <c r="A123" s="4">
        <v>122.0</v>
      </c>
      <c r="B123" s="5" t="s">
        <v>2839</v>
      </c>
      <c r="C123" s="5" t="s">
        <v>2840</v>
      </c>
      <c r="D123" s="5" t="s">
        <v>2841</v>
      </c>
      <c r="E123" s="5" t="s">
        <v>2842</v>
      </c>
      <c r="I123" s="6" t="str">
        <f>IFERROR(__xludf.DUMMYFUNCTION("GOOGLETRANSLATE(A123, ""en"", ""ur"")"),"122")</f>
        <v>122</v>
      </c>
      <c r="J123" s="6" t="str">
        <f>IFERROR(__xludf.DUMMYFUNCTION("GOOGLETRANSLATE(B123, ""en"", ""ur"")"),"اگر کوئی سوار کھونٹی کو مار کر اسے اٹھا لے لیکن کھونٹی کو نیزے پر ایک طرف لٹکا دیا جائے تو جج کا کیا حکم ہے؟")</f>
        <v>اگر کوئی سوار کھونٹی کو مار کر اسے اٹھا لے لیکن کھونٹی کو نیزے پر ایک طرف لٹکا دیا جائے تو جج کا کیا حکم ہے؟</v>
      </c>
      <c r="K123" s="6" t="str">
        <f>IFERROR(__xludf.DUMMYFUNCTION("GOOGLETRANSLATE(C123, ""en"", ""ur"")"),"A) ایک مکمل پیگ دیا جاتا ہے، B) ایک ڈراون پیگ دیا جاتا ہے، C) کوئی پوائنٹ نہیں دیا جاتا ہے، D) رن دوبارہ چلایا جاتا ہے")</f>
        <v>A) ایک مکمل پیگ دیا جاتا ہے، B) ایک ڈراون پیگ دیا جاتا ہے، C) کوئی پوائنٹ نہیں دیا جاتا ہے، D) رن دوبارہ چلایا جاتا ہے</v>
      </c>
      <c r="L123" s="6" t="str">
        <f>IFERROR(__xludf.DUMMYFUNCTION("GOOGLETRANSLATE(D123, ""en"", ""ur"")"),"A) ایک مکمل پیگ دیا جاتا ہے۔")</f>
        <v>A) ایک مکمل پیگ دیا جاتا ہے۔</v>
      </c>
      <c r="M123" s="6" t="str">
        <f>IFERROR(__xludf.DUMMYFUNCTION("GOOGLETRANSLATE(E123, ""en"", ""ur"")"),"جس انداز میں کھونٹی کو لانس کے ساتھ جوڑا گیا ہے اس سے کوئی فرق نہیں پڑتا ہے۔ جب تک اسے اٹھا کر لے جایا جاتا ہے، یہ مکمل سکور ہے۔")</f>
        <v>جس انداز میں کھونٹی کو لانس کے ساتھ جوڑا گیا ہے اس سے کوئی فرق نہیں پڑتا ہے۔ جب تک اسے اٹھا کر لے جایا جاتا ہے، یہ مکمل سکور ہے۔</v>
      </c>
    </row>
    <row r="124">
      <c r="A124" s="4">
        <v>123.0</v>
      </c>
      <c r="B124" s="5" t="s">
        <v>2843</v>
      </c>
      <c r="C124" s="5" t="s">
        <v>2844</v>
      </c>
      <c r="D124" s="5" t="s">
        <v>2845</v>
      </c>
      <c r="E124" s="5" t="s">
        <v>2846</v>
      </c>
      <c r="I124" s="6" t="str">
        <f>IFERROR(__xludf.DUMMYFUNCTION("GOOGLETRANSLATE(A124, ""en"", ""ur"")"),"123")</f>
        <v>123</v>
      </c>
      <c r="J124" s="6" t="str">
        <f>IFERROR(__xludf.DUMMYFUNCTION("GOOGLETRANSLATE(B124, ""en"", ""ur"")"),"ٹائی بریکنگ راؤنڈ میں، حکام مشکل کو بڑھانے کے لیے کیا کر سکتے ہیں؟")</f>
        <v>ٹائی بریکنگ راؤنڈ میں، حکام مشکل کو بڑھانے کے لیے کیا کر سکتے ہیں؟</v>
      </c>
      <c r="K124" s="6" t="str">
        <f>IFERROR(__xludf.DUMMYFUNCTION("GOOGLETRANSLATE(C124, ""en"", ""ur"")"),"A) سواروں کو بھاری لانس استعمال کرنے پر مجبور کریں، B) ٹارگٹ پیگ کا سائز کم کریں، C) سواروں کو تیز تر کریں، D) ٹریک کو لمبا کریں")</f>
        <v>A) سواروں کو بھاری لانس استعمال کرنے پر مجبور کریں، B) ٹارگٹ پیگ کا سائز کم کریں، C) سواروں کو تیز تر کریں، D) ٹریک کو لمبا کریں</v>
      </c>
      <c r="L124" s="6" t="str">
        <f>IFERROR(__xludf.DUMMYFUNCTION("GOOGLETRANSLATE(D124, ""en"", ""ur"")"),"ب) ٹارگٹ پیگ کا سائز کم کریں۔")</f>
        <v>ب) ٹارگٹ پیگ کا سائز کم کریں۔</v>
      </c>
      <c r="M124" s="6" t="str">
        <f>IFERROR(__xludf.DUMMYFUNCTION("GOOGLETRANSLATE(E124, ""en"", ""ur"")"),"بہترین سواروں کو الگ کرنے کے لیے، ایک چھوٹا پیگ استعمال کر کے چیلنج کو بڑھایا جا سکتا ہے، جس سے درستگی کے ٹیسٹ کو اور بھی بڑا بنایا جا سکتا ہے۔")</f>
        <v>بہترین سواروں کو الگ کرنے کے لیے، ایک چھوٹا پیگ استعمال کر کے چیلنج کو بڑھایا جا سکتا ہے، جس سے درستگی کے ٹیسٹ کو اور بھی بڑا بنایا جا سکتا ہے۔</v>
      </c>
    </row>
    <row r="125">
      <c r="A125" s="4">
        <v>124.0</v>
      </c>
      <c r="B125" s="5" t="s">
        <v>2847</v>
      </c>
      <c r="C125" s="5" t="s">
        <v>2848</v>
      </c>
      <c r="D125" s="5" t="s">
        <v>2849</v>
      </c>
      <c r="E125" s="5" t="s">
        <v>2850</v>
      </c>
      <c r="I125" s="6" t="str">
        <f>IFERROR(__xludf.DUMMYFUNCTION("GOOGLETRANSLATE(A125, ""en"", ""ur"")"),"124")</f>
        <v>124</v>
      </c>
      <c r="J125" s="6" t="str">
        <f>IFERROR(__xludf.DUMMYFUNCTION("GOOGLETRANSLATE(B125, ""en"", ""ur"")"),"ٹینٹ پیگنگ کو ""انتہائی کھیل"" سمجھا جانے کی بنیادی وجہ کیا ہے؟")</f>
        <v>ٹینٹ پیگنگ کو "انتہائی کھیل" سمجھا جانے کی بنیادی وجہ کیا ہے؟</v>
      </c>
      <c r="K125" s="6" t="str">
        <f>IFERROR(__xludf.DUMMYFUNCTION("GOOGLETRANSLATE(C125, ""en"", ""ur"")"),"A) یہ بہت مہنگا ہے، B) اس میں اعلیٰ سطح کی مہارت کی ضرورت ہوتی ہے اور اس میں چوٹ لگنے کا اہم خطرہ ہوتا ہے، C) یہ صرف انتہائی موسم میں کیا جاتا ہے، D) یہ کوئی انتہائی کھیل نہیں ہے")</f>
        <v>A) یہ بہت مہنگا ہے، B) اس میں اعلیٰ سطح کی مہارت کی ضرورت ہوتی ہے اور اس میں چوٹ لگنے کا اہم خطرہ ہوتا ہے، C) یہ صرف انتہائی موسم میں کیا جاتا ہے، D) یہ کوئی انتہائی کھیل نہیں ہے</v>
      </c>
      <c r="L125" s="6" t="str">
        <f>IFERROR(__xludf.DUMMYFUNCTION("GOOGLETRANSLATE(D125, ""en"", ""ur"")"),"ب) اس کے لیے اعلیٰ سطح کی مہارت کی ضرورت ہوتی ہے اور اس میں چوٹ کا اہم خطرہ ہوتا ہے۔")</f>
        <v>ب) اس کے لیے اعلیٰ سطح کی مہارت کی ضرورت ہوتی ہے اور اس میں چوٹ کا اہم خطرہ ہوتا ہے۔</v>
      </c>
      <c r="M125" s="6" t="str">
        <f>IFERROR(__xludf.DUMMYFUNCTION("GOOGLETRANSLATE(E125, ""en"", ""ur"")"),"تیز رفتاری، ایک ہتھیار، اور درستگی کی ضرورت کا امتزاج اسے ایک خطرناک اور ضروری ایتھلیٹک کوشش بناتا ہے۔")</f>
        <v>تیز رفتاری، ایک ہتھیار، اور درستگی کی ضرورت کا امتزاج اسے ایک خطرناک اور ضروری ایتھلیٹک کوشش بناتا ہے۔</v>
      </c>
    </row>
    <row r="126">
      <c r="A126" s="4">
        <v>125.0</v>
      </c>
      <c r="B126" s="5" t="s">
        <v>2851</v>
      </c>
      <c r="C126" s="5" t="s">
        <v>2852</v>
      </c>
      <c r="D126" s="5" t="s">
        <v>2853</v>
      </c>
      <c r="E126" s="5" t="s">
        <v>2854</v>
      </c>
      <c r="I126" s="6" t="str">
        <f>IFERROR(__xludf.DUMMYFUNCTION("GOOGLETRANSLATE(A126, ""en"", ""ur"")"),"125")</f>
        <v>125</v>
      </c>
      <c r="J126" s="6" t="str">
        <f>IFERROR(__xludf.DUMMYFUNCTION("GOOGLETRANSLATE(B126, ""en"", ""ur"")"),"ایک سوار ""سابق فوجیوں"" کے زمرے کا حصہ ہے۔ اس کا کیا مطلب ہے؟")</f>
        <v>ایک سوار "سابق فوجیوں" کے زمرے کا حصہ ہے۔ اس کا کیا مطلب ہے؟</v>
      </c>
      <c r="K126" s="6" t="str">
        <f>IFERROR(__xludf.DUMMYFUNCTION("GOOGLETRANSLATE(C126, ""en"", ""ur"")"),"A) وہ مسلح افواج کے رکن ہیں، B) وہ ایک پرانے، تجربہ کار سوار ہیں، C) وہ تجربہ کار گھوڑا استعمال کرتے ہیں، D) وہ ماضی کے چیمپئن ہیں")</f>
        <v>A) وہ مسلح افواج کے رکن ہیں، B) وہ ایک پرانے، تجربہ کار سوار ہیں، C) وہ تجربہ کار گھوڑا استعمال کرتے ہیں، D) وہ ماضی کے چیمپئن ہیں</v>
      </c>
      <c r="L126" s="6" t="str">
        <f>IFERROR(__xludf.DUMMYFUNCTION("GOOGLETRANSLATE(D126, ""en"", ""ur"")"),"ب) وہ ایک پرانے، تجربہ کار سوار ہیں۔")</f>
        <v>ب) وہ ایک پرانے، تجربہ کار سوار ہیں۔</v>
      </c>
      <c r="M126" s="6" t="str">
        <f>IFERROR(__xludf.DUMMYFUNCTION("GOOGLETRANSLATE(E126, ""en"", ""ur"")"),"مقابلوں میں اکثر عمر کے زمرے ہوتے ہیں، سینئر حریفوں کے لیے تجربہ کار ڈویژن کے ساتھ۔")</f>
        <v>مقابلوں میں اکثر عمر کے زمرے ہوتے ہیں، سینئر حریفوں کے لیے تجربہ کار ڈویژن کے ساتھ۔</v>
      </c>
    </row>
    <row r="127">
      <c r="A127" s="4">
        <v>126.0</v>
      </c>
      <c r="B127" s="5" t="s">
        <v>2855</v>
      </c>
      <c r="C127" s="5" t="s">
        <v>2856</v>
      </c>
      <c r="D127" s="5" t="s">
        <v>2857</v>
      </c>
      <c r="E127" s="5" t="s">
        <v>2858</v>
      </c>
      <c r="I127" s="6" t="str">
        <f>IFERROR(__xludf.DUMMYFUNCTION("GOOGLETRANSLATE(A127, ""en"", ""ur"")"),"126")</f>
        <v>126</v>
      </c>
      <c r="J127" s="6" t="str">
        <f>IFERROR(__xludf.DUMMYFUNCTION("GOOGLETRANSLATE(B127, ""en"", ""ur"")"),"ایک سوار نے احتجاج درج کرایا کہ ان کی دوڑ کے دوران ہوا بہت تیز تھی۔ ممکنہ نتیجہ کیا ہے؟")</f>
        <v>ایک سوار نے احتجاج درج کرایا کہ ان کی دوڑ کے دوران ہوا بہت تیز تھی۔ ممکنہ نتیجہ کیا ہے؟</v>
      </c>
      <c r="K127" s="6" t="str">
        <f>IFERROR(__xludf.DUMMYFUNCTION("GOOGLETRANSLATE(C127, ""en"", ""ur"")"),"A) انہیں دوبارہ رن دیا جائے گا، B) احتجاج کو مسترد کر دیا جائے گا کیونکہ موسم کھیل کے چیلنج کا حصہ ہے، C) پورا مقابلہ روک دیا جائے گا، D) انہیں بونس پوائنٹس دیے جائیں گے۔")</f>
        <v>A) انہیں دوبارہ رن دیا جائے گا، B) احتجاج کو مسترد کر دیا جائے گا کیونکہ موسم کھیل کے چیلنج کا حصہ ہے، C) پورا مقابلہ روک دیا جائے گا، D) انہیں بونس پوائنٹس دیے جائیں گے۔</v>
      </c>
      <c r="L127" s="6" t="str">
        <f>IFERROR(__xludf.DUMMYFUNCTION("GOOGLETRANSLATE(D127, ""en"", ""ur"")"),"ب) احتجاج کو مسترد کر دیا جائے گا کیونکہ موسم کھیل کے چیلنج کا حصہ ہے۔")</f>
        <v>ب) احتجاج کو مسترد کر دیا جائے گا کیونکہ موسم کھیل کے چیلنج کا حصہ ہے۔</v>
      </c>
      <c r="M127" s="6" t="str">
        <f>IFERROR(__xludf.DUMMYFUNCTION("GOOGLETRANSLATE(E127, ""en"", ""ur"")"),"ہوا اور بارش جیسے ماحولیاتی حالات کو چیلنج کا حصہ سمجھا جاتا ہے، اور تمام سواروں کو انہی حالات میں مقابلہ کرنا چاہیے۔")</f>
        <v>ہوا اور بارش جیسے ماحولیاتی حالات کو چیلنج کا حصہ سمجھا جاتا ہے، اور تمام سواروں کو انہی حالات میں مقابلہ کرنا چاہیے۔</v>
      </c>
    </row>
    <row r="128">
      <c r="A128" s="4">
        <v>127.0</v>
      </c>
      <c r="B128" s="5" t="s">
        <v>2859</v>
      </c>
      <c r="C128" s="5" t="s">
        <v>2860</v>
      </c>
      <c r="D128" s="5" t="s">
        <v>2861</v>
      </c>
      <c r="E128" s="5" t="s">
        <v>2862</v>
      </c>
      <c r="I128" s="6" t="str">
        <f>IFERROR(__xludf.DUMMYFUNCTION("GOOGLETRANSLATE(A128, ""en"", ""ur"")"),"127")</f>
        <v>127</v>
      </c>
      <c r="J128" s="6" t="str">
        <f>IFERROR(__xludf.DUMMYFUNCTION("GOOGLETRANSLATE(B128, ""en"", ""ur"")"),"""پومیل"" کا بنیادی مقصد کیا ہے (سڈل کا اگلا، اٹھایا ہوا حصہ)؟")</f>
        <v>"پومیل" کا بنیادی مقصد کیا ہے (سڈل کا اگلا، اٹھایا ہوا حصہ)؟</v>
      </c>
      <c r="K128" s="6" t="str">
        <f>IFERROR(__xludf.DUMMYFUNCTION("GOOGLETRANSLATE(C128, ""en"", ""ur"")"),"A) سوار کو پکڑنے کے لیے یہ ایک ہینڈل ہے، B) یہ سوار کو سیڈل میں محفوظ رکھنے میں مدد کرتا ہے اور انہیں آگے بڑھنے سے روکتا ہے، C) یہ لانس کو آرام کرنے کی جگہ ہے، D) یہ سجاوٹ کے لیے ہے۔")</f>
        <v>A) سوار کو پکڑنے کے لیے یہ ایک ہینڈل ہے، B) یہ سوار کو سیڈل میں محفوظ رکھنے میں مدد کرتا ہے اور انہیں آگے بڑھنے سے روکتا ہے، C) یہ لانس کو آرام کرنے کی جگہ ہے، D) یہ سجاوٹ کے لیے ہے۔</v>
      </c>
      <c r="L128" s="6" t="str">
        <f>IFERROR(__xludf.DUMMYFUNCTION("GOOGLETRANSLATE(D128, ""en"", ""ur"")"),"ب) یہ سوار کو کاٹھی میں محفوظ رکھنے میں مدد کرتا ہے اور انہیں آگے بڑھنے سے روکتا ہے۔")</f>
        <v>ب) یہ سوار کو کاٹھی میں محفوظ رکھنے میں مدد کرتا ہے اور انہیں آگے بڑھنے سے روکتا ہے۔</v>
      </c>
      <c r="M128" s="6" t="str">
        <f>IFERROR(__xludf.DUMMYFUNCTION("GOOGLETRANSLATE(E128, ""en"", ""ur"")"),"پومل اور کینٹل (پیچھے) ایک گہری، محفوظ نشست بناتے ہیں، جو استحکام کے لیے ضروری ہے۔")</f>
        <v>پومل اور کینٹل (پیچھے) ایک گہری، محفوظ نشست بناتے ہیں، جو استحکام کے لیے ضروری ہے۔</v>
      </c>
    </row>
    <row r="129">
      <c r="A129" s="4">
        <v>128.0</v>
      </c>
      <c r="B129" s="5" t="s">
        <v>2863</v>
      </c>
      <c r="C129" s="5" t="s">
        <v>2864</v>
      </c>
      <c r="D129" s="5" t="s">
        <v>2865</v>
      </c>
      <c r="E129" s="5" t="s">
        <v>2866</v>
      </c>
      <c r="I129" s="6" t="str">
        <f>IFERROR(__xludf.DUMMYFUNCTION("GOOGLETRANSLATE(A129, ""en"", ""ur"")"),"128")</f>
        <v>128</v>
      </c>
      <c r="J129" s="6" t="str">
        <f>IFERROR(__xludf.DUMMYFUNCTION("GOOGLETRANSLATE(B129, ""en"", ""ur"")"),"ٹریک کی زمینی سطح کی سب سے اہم خصوصیت کیا ہے؟")</f>
        <v>ٹریک کی زمینی سطح کی سب سے اہم خصوصیت کیا ہے؟</v>
      </c>
      <c r="K129" s="6" t="str">
        <f>IFERROR(__xludf.DUMMYFUNCTION("GOOGLETRANSLATE(C129, ""en"", ""ur"")"),"A) یہ ہری گھاس ہونی چاہیے، B) یہ نرم ریت ہونی چاہیے، C) یہ سطحی، مضبوط اور کسی بھی رکاوٹ یا سوراخ سے پاک ہونی چاہیے، D) اسے قدرے ڈھلوان ہونا چاہیے۔")</f>
        <v>A) یہ ہری گھاس ہونی چاہیے، B) یہ نرم ریت ہونی چاہیے، C) یہ سطحی، مضبوط اور کسی بھی رکاوٹ یا سوراخ سے پاک ہونی چاہیے، D) اسے قدرے ڈھلوان ہونا چاہیے۔</v>
      </c>
      <c r="L129" s="6" t="str">
        <f>IFERROR(__xludf.DUMMYFUNCTION("GOOGLETRANSLATE(D129, ""en"", ""ur"")"),"C) یہ سطح، مضبوط اور کسی بھی رکاوٹ یا سوراخ سے پاک ہونا چاہیے۔")</f>
        <v>C) یہ سطح، مضبوط اور کسی بھی رکاوٹ یا سوراخ سے پاک ہونا چاہیے۔</v>
      </c>
      <c r="M129" s="6" t="str">
        <f>IFERROR(__xludf.DUMMYFUNCTION("GOOGLETRANSLATE(E129, ""en"", ""ur"")"),"گھوڑوں کو ٹھوکر کھانے یا گرنے سے روکنے کے لیے ایک محفوظ اور منصفانہ ٹریک مستقل اور پیش گوئی کے قابل ہونا چاہیے۔")</f>
        <v>گھوڑوں کو ٹھوکر کھانے یا گرنے سے روکنے کے لیے ایک محفوظ اور منصفانہ ٹریک مستقل اور پیش گوئی کے قابل ہونا چاہیے۔</v>
      </c>
    </row>
    <row r="130">
      <c r="A130" s="4">
        <v>129.0</v>
      </c>
      <c r="B130" s="5" t="s">
        <v>2867</v>
      </c>
      <c r="C130" s="5" t="s">
        <v>2868</v>
      </c>
      <c r="D130" s="5" t="s">
        <v>2869</v>
      </c>
      <c r="E130" s="5" t="s">
        <v>2870</v>
      </c>
      <c r="I130" s="6" t="str">
        <f>IFERROR(__xludf.DUMMYFUNCTION("GOOGLETRANSLATE(A130, ""en"", ""ur"")"),"129")</f>
        <v>129</v>
      </c>
      <c r="J130" s="6" t="str">
        <f>IFERROR(__xludf.DUMMYFUNCTION("GOOGLETRANSLATE(B130, ""en"", ""ur"")"),"""ہنر پر ہتھیار"" ایونٹ میں، ایک سوار کو کیا کرنا پڑے گا؟")</f>
        <v>"ہنر پر ہتھیار" ایونٹ میں، ایک سوار کو کیا کرنا پڑے گا؟</v>
      </c>
      <c r="K130" s="6" t="str">
        <f>IFERROR(__xludf.DUMMYFUNCTION("GOOGLETRANSLATE(C130, ""en"", ""ur"")"),"A) ایک ہی دوڑ میں مختلف قسم کے کام انجام دیں، جیسے کھونٹی کا نیزہ لگانا، لیموں کاٹنا، اور انگوٹھی کا نیزہ لگانا، B) رکاوٹوں کی ایک سیریز کو چھلانگ لگانا، C) ڈریسیج ٹیسٹ کرنا، D) دوسرے گھوڑے کے خلاف دوڑنا")</f>
        <v>A) ایک ہی دوڑ میں مختلف قسم کے کام انجام دیں، جیسے کھونٹی کا نیزہ لگانا، لیموں کاٹنا، اور انگوٹھی کا نیزہ لگانا، B) رکاوٹوں کی ایک سیریز کو چھلانگ لگانا، C) ڈریسیج ٹیسٹ کرنا، D) دوسرے گھوڑے کے خلاف دوڑنا</v>
      </c>
      <c r="L130" s="6" t="str">
        <f>IFERROR(__xludf.DUMMYFUNCTION("GOOGLETRANSLATE(D130, ""en"", ""ur"")"),"A) ایک ہی دوڑ میں مختلف قسم کے کام انجام دیں، جیسے کھونٹی برچھی کرنا، لیموں کاٹنا، اور انگوٹھی کا نیزہ لگانا")</f>
        <v>A) ایک ہی دوڑ میں مختلف قسم کے کام انجام دیں، جیسے کھونٹی برچھی کرنا، لیموں کاٹنا، اور انگوٹھی کا نیزہ لگانا</v>
      </c>
      <c r="M130" s="6" t="str">
        <f>IFERROR(__xludf.DUMMYFUNCTION("GOOGLETRANSLATE(E130, ""en"", ""ur"")"),"یہ ایک جامع ایونٹ ہے جو ایک ہی بار میں متعدد مختلف ہتھیاروں اور ہدف بنانے کی مہارتوں میں سوار کی مہارت کو جانچتا ہے۔")</f>
        <v>یہ ایک جامع ایونٹ ہے جو ایک ہی بار میں متعدد مختلف ہتھیاروں اور ہدف بنانے کی مہارتوں میں سوار کی مہارت کو جانچتا ہے۔</v>
      </c>
    </row>
    <row r="131">
      <c r="A131" s="4">
        <v>130.0</v>
      </c>
      <c r="B131" s="5" t="s">
        <v>2871</v>
      </c>
      <c r="C131" s="5" t="s">
        <v>2872</v>
      </c>
      <c r="D131" s="5" t="s">
        <v>2873</v>
      </c>
      <c r="E131" s="5" t="s">
        <v>2874</v>
      </c>
      <c r="I131" s="6" t="str">
        <f>IFERROR(__xludf.DUMMYFUNCTION("GOOGLETRANSLATE(A131, ""en"", ""ur"")"),"130")</f>
        <v>130</v>
      </c>
      <c r="J131" s="6" t="str">
        <f>IFERROR(__xludf.DUMMYFUNCTION("GOOGLETRANSLATE(B131, ""en"", ""ur"")"),"اس کی بنیادی وجہ کیا ہے کہ ایک سوار کو لانس کو اپنے بیس (اختتام) کے قریب رکھنا چاہیے؟")</f>
        <v>اس کی بنیادی وجہ کیا ہے کہ ایک سوار کو لانس کو اپنے بیس (اختتام) کے قریب رکھنا چاہیے؟</v>
      </c>
      <c r="K131" s="6" t="str">
        <f>IFERROR(__xludf.DUMMYFUNCTION("GOOGLETRANSLATE(C131, ""en"", ""ur"")"),"A) یہ ایک اصول ہے، B) یہ ہڑتال کے لیے زیادہ سے زیادہ رسائی اور فائدہ فراہم کرتا ہے، C) توازن رکھنا آسان ہے، D) یہ ہاتھ کی حفاظت کرتا ہے")</f>
        <v>A) یہ ایک اصول ہے، B) یہ ہڑتال کے لیے زیادہ سے زیادہ رسائی اور فائدہ فراہم کرتا ہے، C) توازن رکھنا آسان ہے، D) یہ ہاتھ کی حفاظت کرتا ہے</v>
      </c>
      <c r="L131" s="6" t="str">
        <f>IFERROR(__xludf.DUMMYFUNCTION("GOOGLETRANSLATE(D131, ""en"", ""ur"")"),"ب) یہ ہڑتال کے لیے زیادہ سے زیادہ رسائی اور فائدہ فراہم کرتا ہے۔")</f>
        <v>ب) یہ ہڑتال کے لیے زیادہ سے زیادہ رسائی اور فائدہ فراہم کرتا ہے۔</v>
      </c>
      <c r="M131" s="6" t="str">
        <f>IFERROR(__xludf.DUMMYFUNCTION("GOOGLETRANSLATE(E131, ""en"", ""ur"")"),"لانس کو اس کے سرے پر رکھنا، پول کیو کی طرح، بازو کی طویل ترین اور مستحکم توسیع کی اجازت دیتا ہے۔")</f>
        <v>لانس کو اس کے سرے پر رکھنا، پول کیو کی طرح، بازو کی طویل ترین اور مستحکم توسیع کی اجازت دیتا ہے۔</v>
      </c>
    </row>
    <row r="132">
      <c r="A132" s="4">
        <v>131.0</v>
      </c>
      <c r="B132" s="5" t="s">
        <v>2875</v>
      </c>
      <c r="C132" s="5" t="s">
        <v>2876</v>
      </c>
      <c r="D132" s="5" t="s">
        <v>2877</v>
      </c>
      <c r="E132" s="5" t="s">
        <v>2878</v>
      </c>
      <c r="I132" s="6" t="str">
        <f>IFERROR(__xludf.DUMMYFUNCTION("GOOGLETRANSLATE(A132, ""en"", ""ur"")"),"131")</f>
        <v>131</v>
      </c>
      <c r="J132" s="6" t="str">
        <f>IFERROR(__xludf.DUMMYFUNCTION("GOOGLETRANSLATE(B132, ""en"", ""ur"")"),"ایسے سوار کے لیے کیا جرمانہ ہے جس کے پاس غیر قانونی طور پر تیز لانس کی ٹپ پائی جاتی ہے؟")</f>
        <v>ایسے سوار کے لیے کیا جرمانہ ہے جس کے پاس غیر قانونی طور پر تیز لانس کی ٹپ پائی جاتی ہے؟</v>
      </c>
      <c r="K132" s="6" t="str">
        <f>IFERROR(__xludf.DUMMYFUNCTION("GOOGLETRANSLATE(C132, ""en"", ""ur"")"),"A)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f>
        <v>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v>
      </c>
      <c r="L132" s="6" t="str">
        <f>IFERROR(__xludf.DUMMYFUNCTION("GOOGLETRANSLATE(D132, ""en"", ""ur"")"),"ب) انہیں مقابلے سے فوری طور پر نااہل قرار دے دیا جاتا ہے۔")</f>
        <v>ب) انہیں مقابلے سے فوری طور پر نااہل قرار دے دیا جاتا ہے۔</v>
      </c>
      <c r="M132" s="6" t="str">
        <f>IFERROR(__xludf.DUMMYFUNCTION("GOOGLETRANSLATE(E132, ""en"", ""ur"")"),"تیز لانس ایک بڑی حفاظتی خلاف ورزی ہے جو گھوڑے کو شدید چوٹ کا سبب بن سکتی ہے اگر سوار چھوٹ جاتا ہے، جس کے نتیجے میں نااہلی ہوتی ہے۔")</f>
        <v>تیز لانس ایک بڑی حفاظتی خلاف ورزی ہے جو گھوڑے کو شدید چوٹ کا سبب بن سکتی ہے اگر سوار چھوٹ جاتا ہے، جس کے نتیجے میں نااہلی ہوتی ہے۔</v>
      </c>
    </row>
    <row r="133">
      <c r="A133" s="4">
        <v>132.0</v>
      </c>
      <c r="B133" s="5" t="s">
        <v>2879</v>
      </c>
      <c r="C133" s="5" t="s">
        <v>2880</v>
      </c>
      <c r="D133" s="5" t="s">
        <v>2881</v>
      </c>
      <c r="E133" s="5" t="s">
        <v>2882</v>
      </c>
      <c r="I133" s="6" t="str">
        <f>IFERROR(__xludf.DUMMYFUNCTION("GOOGLETRANSLATE(A133, ""en"", ""ur"")"),"132")</f>
        <v>132</v>
      </c>
      <c r="J133" s="6" t="str">
        <f>IFERROR(__xludf.DUMMYFUNCTION("GOOGLETRANSLATE(B133, ""en"", ""ur"")"),"سوار کی وردی کی اصطلاح کیا ہے، خاص طور پر فوجی یا نیم فوجی ٹیم میں؟")</f>
        <v>سوار کی وردی کی اصطلاح کیا ہے، خاص طور پر فوجی یا نیم فوجی ٹیم میں؟</v>
      </c>
      <c r="K133" s="6" t="str">
        <f>IFERROR(__xludf.DUMMYFUNCTION("GOOGLETRANSLATE(C133, ""en"", ""ur"")"),"A) کٹ، B) گیئر، C) لیوری یا رسمی لباس، D) لباس")</f>
        <v>A) کٹ، B) گیئر، C) لیوری یا رسمی لباس، D) لباس</v>
      </c>
      <c r="L133" s="6" t="str">
        <f>IFERROR(__xludf.DUMMYFUNCTION("GOOGLETRANSLATE(D133, ""en"", ""ur"")"),"ج) لیوری یا رسمی لباس")</f>
        <v>ج) لیوری یا رسمی لباس</v>
      </c>
      <c r="M133" s="6" t="str">
        <f>IFERROR(__xludf.DUMMYFUNCTION("GOOGLETRANSLATE(E133, ""en"", ""ur"")"),"ٹیموں کے پاس اکثر ایک مخصوص، رسمی یونیفارم یا ""لیوری"" ہوتا ہے جسے وہ پریڈ اور مقابلوں کے لیے پہنتی ہیں۔")</f>
        <v>ٹیموں کے پاس اکثر ایک مخصوص، رسمی یونیفارم یا "لیوری" ہوتا ہے جسے وہ پریڈ اور مقابلوں کے لیے پہنتی ہیں۔</v>
      </c>
    </row>
    <row r="134">
      <c r="A134" s="4">
        <v>133.0</v>
      </c>
      <c r="B134" s="5" t="s">
        <v>2883</v>
      </c>
      <c r="C134" s="5" t="s">
        <v>2884</v>
      </c>
      <c r="D134" s="5" t="s">
        <v>2885</v>
      </c>
      <c r="E134" s="5" t="s">
        <v>2886</v>
      </c>
      <c r="I134" s="6" t="str">
        <f>IFERROR(__xludf.DUMMYFUNCTION("GOOGLETRANSLATE(A134, ""en"", ""ur"")"),"133")</f>
        <v>133</v>
      </c>
      <c r="J134" s="6" t="str">
        <f>IFERROR(__xludf.DUMMYFUNCTION("GOOGLETRANSLATE(B134, ""en"", ""ur"")"),"ایک سوار کامیابی کے ساتھ کھونٹی کو اٹھاتا ہے، لیکن یہ لانس پر گہرا لگا ہوا ہے۔ اسے ہٹانے کا طریقہ کار کیا ہے؟")</f>
        <v>ایک سوار کامیابی کے ساتھ کھونٹی کو اٹھاتا ہے، لیکن یہ لانس پر گہرا لگا ہوا ہے۔ اسے ہٹانے کا طریقہ کار کیا ہے؟</v>
      </c>
      <c r="K134" s="6" t="str">
        <f>IFERROR(__xludf.DUMMYFUNCTION("GOOGLETRANSLATE(C134, ""en"", ""ur"")"),"A) سوار سواری کے دوران اسے کھینچتا ہے، B) ایک اہلکار اسے بھاگنے کے بعد ہٹانے میں مدد کرتا ہے، C) وہ اسے ہٹانے کے لیے ایک خاص ٹول استعمال کرتے ہیں، D) لانس کو ضائع کر دیا جاتا ہے۔")</f>
        <v>A) سوار سواری کے دوران اسے کھینچتا ہے، B) ایک اہلکار اسے بھاگنے کے بعد ہٹانے میں مدد کرتا ہے، C) وہ اسے ہٹانے کے لیے ایک خاص ٹول استعمال کرتے ہیں، D) لانس کو ضائع کر دیا جاتا ہے۔</v>
      </c>
      <c r="L134" s="6" t="str">
        <f>IFERROR(__xludf.DUMMYFUNCTION("GOOGLETRANSLATE(D134, ""en"", ""ur"")"),"ب) ایک اہلکار بھاگنے کے بعد اسے ہٹانے میں مدد کرتا ہے۔")</f>
        <v>ب) ایک اہلکار بھاگنے کے بعد اسے ہٹانے میں مدد کرتا ہے۔</v>
      </c>
      <c r="M134" s="6" t="str">
        <f>IFERROR(__xludf.DUMMYFUNCTION("GOOGLETRANSLATE(E134, ""en"", ""ur"")"),"حفاظت کے لیے، ایک گراؤنڈ اہلکار سوار کی دوڑ مکمل کرنے کے بعد مضبوطی سے بند پیگ کو ہٹانے میں مدد کرے گا۔")</f>
        <v>حفاظت کے لیے، ایک گراؤنڈ اہلکار سوار کی دوڑ مکمل کرنے کے بعد مضبوطی سے بند پیگ کو ہٹانے میں مدد کرے گا۔</v>
      </c>
    </row>
    <row r="135">
      <c r="A135" s="4">
        <v>134.0</v>
      </c>
      <c r="B135" s="5" t="s">
        <v>2887</v>
      </c>
      <c r="C135" s="5" t="s">
        <v>2888</v>
      </c>
      <c r="D135" s="5" t="s">
        <v>2889</v>
      </c>
      <c r="E135" s="5" t="s">
        <v>2890</v>
      </c>
      <c r="I135" s="6" t="str">
        <f>IFERROR(__xludf.DUMMYFUNCTION("GOOGLETRANSLATE(A135, ""en"", ""ur"")"),"134")</f>
        <v>134</v>
      </c>
      <c r="J135" s="6" t="str">
        <f>IFERROR(__xludf.DUMMYFUNCTION("GOOGLETRANSLATE(B135, ""en"", ""ur"")"),"ٹینٹ پیگنگ گھوڑے کے لیے کون سا احساس سب سے اہم ہے؟")</f>
        <v>ٹینٹ پیگنگ گھوڑے کے لیے کون سا احساس سب سے اہم ہے؟</v>
      </c>
      <c r="K135" s="6" t="str">
        <f>IFERROR(__xludf.DUMMYFUNCTION("GOOGLETRANSLATE(C135, ""en"", ""ur"")"),"A) سننا، سوار کے حکموں کو سننا، B) نظر، کھونٹی کو دیکھنا، C) چھونا، سوار کی ٹانگوں کے اشارے محسوس کرنا، D) سونگھنا، ٹریک تلاش کرنا")</f>
        <v>A) سننا، سوار کے حکموں کو سننا، B) نظر، کھونٹی کو دیکھنا، C) چھونا، سوار کی ٹانگوں کے اشارے محسوس کرنا، D) سونگھنا، ٹریک تلاش کرنا</v>
      </c>
      <c r="L135" s="6" t="str">
        <f>IFERROR(__xludf.DUMMYFUNCTION("GOOGLETRANSLATE(D135, ""en"", ""ur"")"),"ج) سوار کی ٹانگوں کے اشارے محسوس کرنے کے لیے چھوئے۔")</f>
        <v>ج) سوار کی ٹانگوں کے اشارے محسوس کرنے کے لیے چھوئے۔</v>
      </c>
      <c r="M135" s="6" t="str">
        <f>IFERROR(__xludf.DUMMYFUNCTION("GOOGLETRANSLATE(E135, ""en"", ""ur"")"),"جب کہ تمام حواس استعمال کیے جاتے ہیں، ایک اچھی طرح سے تربیت یافتہ گھوڑا بنیادی طور پر سوار کی ٹانگوں اور سیٹ سے آنے والے باریک دباؤ اور اشارے کا جواب دیتا ہے۔")</f>
        <v>جب کہ تمام حواس استعمال کیے جاتے ہیں، ایک اچھی طرح سے تربیت یافتہ گھوڑا بنیادی طور پر سوار کی ٹانگوں اور سیٹ سے آنے والے باریک دباؤ اور اشارے کا جواب دیتا ہے۔</v>
      </c>
    </row>
    <row r="136">
      <c r="A136" s="4">
        <v>135.0</v>
      </c>
      <c r="B136" s="5" t="s">
        <v>2891</v>
      </c>
      <c r="C136" s="5" t="s">
        <v>2892</v>
      </c>
      <c r="D136" s="5" t="s">
        <v>2893</v>
      </c>
      <c r="E136" s="5" t="s">
        <v>2894</v>
      </c>
      <c r="I136" s="6" t="str">
        <f>IFERROR(__xludf.DUMMYFUNCTION("GOOGLETRANSLATE(A136, ""en"", ""ur"")"),"135")</f>
        <v>135</v>
      </c>
      <c r="J136" s="6" t="str">
        <f>IFERROR(__xludf.DUMMYFUNCTION("GOOGLETRANSLATE(B136, ""en"", ""ur"")"),"ٹینٹ پیگنگ اور پولو کے درمیان بنیادی فرق کیا ہے؟")</f>
        <v>ٹینٹ پیگنگ اور پولو کے درمیان بنیادی فرق کیا ہے؟</v>
      </c>
      <c r="K136" s="6" t="str">
        <f>IFERROR(__xludf.DUMMYFUNCTION("GOOGLETRANSLATE(C136, ""en"", ""ur"")"),"A) پولو ایک ٹیم کا کھیل ہے، B) پولو گیند اور مالٹ کے ساتھ کھیلا جاتا ہے، جبکہ ٹینٹ پیگنگ میں لانس/تلوار اور ایک اسٹیشنری ٹارگٹ کا استعمال ہوتا ہے، C) پولو تیز ہے، D) ٹینٹ پیگنگ میں زیادہ مہارت کی ضرورت ہوتی ہے۔")</f>
        <v>A) پولو ایک ٹیم کا کھیل ہے، B) پولو گیند اور مالٹ کے ساتھ کھیلا جاتا ہے، جبکہ ٹینٹ پیگنگ میں لانس/تلوار اور ایک اسٹیشنری ٹارگٹ کا استعمال ہوتا ہے، C) پولو تیز ہے، D) ٹینٹ پیگنگ میں زیادہ مہارت کی ضرورت ہوتی ہے۔</v>
      </c>
      <c r="L136" s="6" t="str">
        <f>IFERROR(__xludf.DUMMYFUNCTION("GOOGLETRANSLATE(D136, ""en"", ""ur"")"),"ب) پولو گیند اور مالٹ کے ساتھ کھیلا جاتا ہے، جبکہ ٹینٹ پیگنگ لانس/تلوار اور ایک اسٹیشنری ٹارگٹ کا استعمال کرتا ہے۔")</f>
        <v>ب) پولو گیند اور مالٹ کے ساتھ کھیلا جاتا ہے، جبکہ ٹینٹ پیگنگ لانس/تلوار اور ایک اسٹیشنری ٹارگٹ کا استعمال کرتا ہے۔</v>
      </c>
      <c r="M136" s="6" t="str">
        <f>IFERROR(__xludf.DUMMYFUNCTION("GOOGLETRANSLATE(E136, ""en"", ""ur"")"),"یہ بنیادی طور پر مختلف گھڑ سواری کے کھیل ہیں، ایک ٹیم بال کا کھیل اور دوسرا انفرادی یا ٹیم کے ہدف کا کھیل۔")</f>
        <v>یہ بنیادی طور پر مختلف گھڑ سواری کے کھیل ہیں، ایک ٹیم بال کا کھیل اور دوسرا انفرادی یا ٹیم کے ہدف کا کھیل۔</v>
      </c>
    </row>
    <row r="137">
      <c r="A137" s="4">
        <v>136.0</v>
      </c>
      <c r="B137" s="5" t="s">
        <v>2895</v>
      </c>
      <c r="C137" s="5" t="s">
        <v>2896</v>
      </c>
      <c r="D137" s="5" t="s">
        <v>2897</v>
      </c>
      <c r="E137" s="5" t="s">
        <v>2898</v>
      </c>
      <c r="I137" s="6" t="str">
        <f>IFERROR(__xludf.DUMMYFUNCTION("GOOGLETRANSLATE(A137, ""en"", ""ur"")"),"136")</f>
        <v>136</v>
      </c>
      <c r="J137" s="6" t="str">
        <f>IFERROR(__xludf.DUMMYFUNCTION("GOOGLETRANSLATE(B137, ""en"", ""ur"")"),"ایک سوار ایک گھوڑا استعمال کر رہا ہے جو دوسروں سے بہت چھوٹا ہے۔ ممکنہ نقصان کیا ہے؟")</f>
        <v>ایک سوار ایک گھوڑا استعمال کر رہا ہے جو دوسروں سے بہت چھوٹا ہے۔ ممکنہ نقصان کیا ہے؟</v>
      </c>
      <c r="K137" s="6" t="str">
        <f>IFERROR(__xludf.DUMMYFUNCTION("GOOGLETRANSLATE(C137, ""en"", ""ur"")"),"A) گھوڑا سست ہو جائے گا، B) سوار کو نیچے رکھا جائے گا، جس سے کھونٹی مارنے کا زاویہ زیادہ مشکل ہو جائے گا، C) گھوڑا کمزور ہو جائے گا، D) کوئی نقصان نہیں ہے")</f>
        <v>A) گھوڑا سست ہو جائے گا، B) سوار کو نیچے رکھا جائے گا، جس سے کھونٹی مارنے کا زاویہ زیادہ مشکل ہو جائے گا، C) گھوڑا کمزور ہو جائے گا، D) کوئی نقصان نہیں ہے</v>
      </c>
      <c r="L137" s="6" t="str">
        <f>IFERROR(__xludf.DUMMYFUNCTION("GOOGLETRANSLATE(D137, ""en"", ""ur"")"),"ب) سوار کو نیچے رکھا جائے گا، جس سے پیگ کو مارنے کا زاویہ زیادہ مشکل ہو جائے گا۔")</f>
        <v>ب) سوار کو نیچے رکھا جائے گا، جس سے پیگ کو مارنے کا زاویہ زیادہ مشکل ہو جائے گا۔</v>
      </c>
      <c r="M137" s="6" t="str">
        <f>IFERROR(__xludf.DUMMYFUNCTION("GOOGLETRANSLATE(E137, ""en"", ""ur"")"),"زمین کی نسبت سوار کی اونچائی ہڑتال کی جیومیٹری میں ایک اہم عنصر ہے۔ ایک چھوٹا گھوڑا اسے زیادہ مشکل بنا سکتا ہے۔")</f>
        <v>زمین کی نسبت سوار کی اونچائی ہڑتال کی جیومیٹری میں ایک اہم عنصر ہے۔ ایک چھوٹا گھوڑا اسے زیادہ مشکل بنا سکتا ہے۔</v>
      </c>
    </row>
    <row r="138">
      <c r="A138" s="4">
        <v>137.0</v>
      </c>
      <c r="B138" s="5" t="s">
        <v>2899</v>
      </c>
      <c r="C138" s="5" t="s">
        <v>2900</v>
      </c>
      <c r="D138" s="5" t="s">
        <v>2901</v>
      </c>
      <c r="E138" s="5" t="s">
        <v>2902</v>
      </c>
      <c r="I138" s="6" t="str">
        <f>IFERROR(__xludf.DUMMYFUNCTION("GOOGLETRANSLATE(A138, ""en"", ""ur"")"),"137")</f>
        <v>137</v>
      </c>
      <c r="J138" s="6" t="str">
        <f>IFERROR(__xludf.DUMMYFUNCTION("GOOGLETRANSLATE(B138, ""en"", ""ur"")"),"ٹیم کے مقابلے میں، فائنل سکور برابر ہیں۔ عام طور پر فاتح کا تعین کیسے کیا جاتا ہے؟")</f>
        <v>ٹیم کے مقابلے میں، فائنل سکور برابر ہیں۔ عام طور پر فاتح کا تعین کیسے کیا جاتا ہے؟</v>
      </c>
      <c r="K138" s="6" t="str">
        <f>IFERROR(__xludf.DUMMYFUNCTION("GOOGLETRANSLATE(C138, ""en"", ""ur"")"),"A) ٹیموں کا ""رائیڈ آف"" یا ٹائی بریکنگ راؤنڈ ہوتا ہے، B) سب سے تیز سنگل بار جیتنے والی ٹیم، C) سب سے کم پنالٹی جیتنے والی ٹیم، D) میچ ڈرا قرار دیا جاتا ہے۔")</f>
        <v>A) ٹیموں کا "رائیڈ آف" یا ٹائی بریکنگ راؤنڈ ہوتا ہے، B) سب سے تیز سنگل بار جیتنے والی ٹیم، C) سب سے کم پنالٹی جیتنے والی ٹیم، D) میچ ڈرا قرار دیا جاتا ہے۔</v>
      </c>
      <c r="L138" s="6" t="str">
        <f>IFERROR(__xludf.DUMMYFUNCTION("GOOGLETRANSLATE(D138, ""en"", ""ur"")"),"A) ٹیموں کا ""رائیڈ آف"" یا ٹائی بریکنگ راؤنڈ ہوتا ہے۔")</f>
        <v>A) ٹیموں کا "رائیڈ آف" یا ٹائی بریکنگ راؤنڈ ہوتا ہے۔</v>
      </c>
      <c r="M138" s="6" t="str">
        <f>IFERROR(__xludf.DUMMYFUNCTION("GOOGLETRANSLATE(E138, ""en"", ""ur"")"),"ایک ٹورنامنٹ میں، ایک واضح فاتح کی ضرورت ہوتی ہے، لہذا ٹائی عام طور پر ایک اضافی، ہائی پریشر راؤنڈ کے ساتھ ٹوٹ جاتی ہے۔")</f>
        <v>ایک ٹورنامنٹ میں، ایک واضح فاتح کی ضرورت ہوتی ہے، لہذا ٹائی عام طور پر ایک اضافی، ہائی پریشر راؤنڈ کے ساتھ ٹوٹ جاتی ہے۔</v>
      </c>
    </row>
    <row r="139">
      <c r="A139" s="4">
        <v>138.0</v>
      </c>
      <c r="B139" s="5" t="s">
        <v>2903</v>
      </c>
      <c r="C139" s="5" t="s">
        <v>2904</v>
      </c>
      <c r="D139" s="5" t="s">
        <v>2905</v>
      </c>
      <c r="E139" s="5" t="s">
        <v>2906</v>
      </c>
      <c r="I139" s="6" t="str">
        <f>IFERROR(__xludf.DUMMYFUNCTION("GOOGLETRANSLATE(A139, ""en"", ""ur"")"),"138")</f>
        <v>138</v>
      </c>
      <c r="J139" s="6" t="str">
        <f>IFERROR(__xludf.DUMMYFUNCTION("GOOGLETRANSLATE(B139, ""en"", ""ur"")"),"سواروں کو ایڑی والے جوتے پہننے کی بنیادی وجہ کیا ہے؟")</f>
        <v>سواروں کو ایڑی والے جوتے پہننے کی بنیادی وجہ کیا ہے؟</v>
      </c>
      <c r="K139" s="6" t="str">
        <f>IFERROR(__xludf.DUMMYFUNCTION("GOOGLETRANSLATE(C139, ""en"", ""ur"")"),"A) یہ ایک روایت ہے، B) وہ رکاب میں بہتر گرفت فراہم کرتے ہیں، C) ایڑی رکاب کے ذریعے پاؤں کو پھسلنے سے روکتی ہے، جو کہ ایک بڑا حفاظتی خطرہ ہے، D) وہ زیادہ پیشہ ور نظر آتے ہیں۔")</f>
        <v>A) یہ ایک روایت ہے، B) وہ رکاب میں بہتر گرفت فراہم کرتے ہیں، C) ایڑی رکاب کے ذریعے پاؤں کو پھسلنے سے روکتی ہے، جو کہ ایک بڑا حفاظتی خطرہ ہے، D) وہ زیادہ پیشہ ور نظر آتے ہیں۔</v>
      </c>
      <c r="L139" s="6" t="str">
        <f>IFERROR(__xludf.DUMMYFUNCTION("GOOGLETRANSLATE(D139, ""en"", ""ur"")"),"ج) ایڑی رکاب کے ذریعے پاؤں کو پھسلنے سے روکتی ہے، جو کہ ایک بڑا حفاظتی خطرہ ہے۔")</f>
        <v>ج) ایڑی رکاب کے ذریعے پاؤں کو پھسلنے سے روکتی ہے، جو کہ ایک بڑا حفاظتی خطرہ ہے۔</v>
      </c>
      <c r="M139" s="6" t="str">
        <f>IFERROR(__xludf.DUMMYFUNCTION("GOOGLETRANSLATE(E139, ""en"", ""ur"")"),"ایڑی والا بوٹ گھڑ سواری کے حفاظتی سامان کا ایک بنیادی ٹکڑا ہے جو سوار کو گرنے میں گھسیٹنے سے روک سکتا ہے۔")</f>
        <v>ایڑی والا بوٹ گھڑ سواری کے حفاظتی سامان کا ایک بنیادی ٹکڑا ہے جو سوار کو گرنے میں گھسیٹنے سے روک سکتا ہے۔</v>
      </c>
    </row>
    <row r="140">
      <c r="A140" s="4">
        <v>139.0</v>
      </c>
      <c r="B140" s="5" t="s">
        <v>2907</v>
      </c>
      <c r="C140" s="5" t="s">
        <v>2908</v>
      </c>
      <c r="D140" s="5" t="s">
        <v>2909</v>
      </c>
      <c r="E140" s="5" t="s">
        <v>2910</v>
      </c>
      <c r="I140" s="6" t="str">
        <f>IFERROR(__xludf.DUMMYFUNCTION("GOOGLETRANSLATE(A140, ""en"", ""ur"")"),"139")</f>
        <v>139</v>
      </c>
      <c r="J140" s="6" t="str">
        <f>IFERROR(__xludf.DUMMYFUNCTION("GOOGLETRANSLATE(B140, ""en"", ""ur"")"),"سوار کا گھوڑا لنگڑا ہوتا ہے، اس لیے وہ دوسرے مدمقابل سے گھوڑا ادھار لیتے ہیں۔ کیا اس کی اجازت ہے؟")</f>
        <v>سوار کا گھوڑا لنگڑا ہوتا ہے، اس لیے وہ دوسرے مدمقابل سے گھوڑا ادھار لیتے ہیں۔ کیا اس کی اجازت ہے؟</v>
      </c>
      <c r="K140" s="6" t="str">
        <f>IFERROR(__xludf.DUMMYFUNCTION("GOOGLETRANSLATE(C140, ""en"", ""ur"")"),"A) ہاں، اگر دوسرا مدمقابل راضی ہو، B) نہیں، سوار کو اپنے رجسٹرڈ گھوڑے پر مقابلہ کرنا چاہیے، C) صرف پریکٹس راؤنڈز میں، D) صرف اس صورت میں جب گھوڑے ایک ہی رنگ کے ہوں۔")</f>
        <v>A) ہاں، اگر دوسرا مدمقابل راضی ہو، B) نہیں، سوار کو اپنے رجسٹرڈ گھوڑے پر مقابلہ کرنا چاہیے، C) صرف پریکٹس راؤنڈز میں، D) صرف اس صورت میں جب گھوڑے ایک ہی رنگ کے ہوں۔</v>
      </c>
      <c r="L140" s="6" t="str">
        <f>IFERROR(__xludf.DUMMYFUNCTION("GOOGLETRANSLATE(D140, ""en"", ""ur"")"),"ب) نہیں، سوار کو اپنے رجسٹرڈ گھوڑے پر مقابلہ کرنا چاہیے۔")</f>
        <v>ب) نہیں، سوار کو اپنے رجسٹرڈ گھوڑے پر مقابلہ کرنا چاہیے۔</v>
      </c>
      <c r="M140" s="6" t="str">
        <f>IFERROR(__xludf.DUMMYFUNCTION("GOOGLETRANSLATE(E140, ""en"", ""ur"")"),"سرکاری مقابلوں میں ایک سوار اور ان کا گھوڑا رجسٹرڈ جوڑا ہوتا ہے۔ ایک سوار صرف ایک مختلف گھوڑے پر نہیں جا سکتا۔")</f>
        <v>سرکاری مقابلوں میں ایک سوار اور ان کا گھوڑا رجسٹرڈ جوڑا ہوتا ہے۔ ایک سوار صرف ایک مختلف گھوڑے پر نہیں جا سکتا۔</v>
      </c>
    </row>
    <row r="141">
      <c r="A141" s="4">
        <v>140.0</v>
      </c>
      <c r="B141" s="5" t="s">
        <v>2911</v>
      </c>
      <c r="C141" s="5" t="s">
        <v>2912</v>
      </c>
      <c r="D141" s="5" t="s">
        <v>2913</v>
      </c>
      <c r="E141" s="5" t="s">
        <v>2914</v>
      </c>
      <c r="I141" s="6" t="str">
        <f>IFERROR(__xludf.DUMMYFUNCTION("GOOGLETRANSLATE(A141, ""en"", ""ur"")"),"140")</f>
        <v>140</v>
      </c>
      <c r="J141" s="6" t="str">
        <f>IFERROR(__xludf.DUMMYFUNCTION("GOOGLETRANSLATE(B141, ""en"", ""ur"")"),"ٹیم ایونٹ میں ""مکمل پاس"" کی اصطلاح کا کیا مطلب ہے؟")</f>
        <v>ٹیم ایونٹ میں "مکمل پاس" کی اصطلاح کا کیا مطلب ہے؟</v>
      </c>
      <c r="K141" s="6" t="str">
        <f>IFERROR(__xludf.DUMMYFUNCTION("GOOGLETRANSLATE(C141, ""en"", ""ur"")"),"A) ٹیم اگلے راؤنڈ میں پہنچ گئی ہے، B) سیکشن کے چاروں سواروں نے مکمل پیگ اسکور کیا ہے، C) چاروں سواروں نے پیگ چھوٹ دیا، D) ٹیم نے مقررہ وقت میں رن مکمل کیا")</f>
        <v>A) ٹیم اگلے راؤنڈ میں پہنچ گئی ہے، B) سیکشن کے چاروں سواروں نے مکمل پیگ اسکور کیا ہے، C) چاروں سواروں نے پیگ چھوٹ دیا، D) ٹیم نے مقررہ وقت میں رن مکمل کیا</v>
      </c>
      <c r="L141" s="6" t="str">
        <f>IFERROR(__xludf.DUMMYFUNCTION("GOOGLETRANSLATE(D141, ""en"", ""ur"")"),"ب) سیکشن کے چاروں سواروں نے مکمل پیگ اسکور کیا ہے۔")</f>
        <v>ب) سیکشن کے چاروں سواروں نے مکمل پیگ اسکور کیا ہے۔</v>
      </c>
      <c r="M141" s="6" t="str">
        <f>IFERROR(__xludf.DUMMYFUNCTION("GOOGLETRANSLATE(E141, ""en"", ""ur"")"),"ایک ""مکمل پاس"" ایک بہترین دوڑ ہے جہاں ٹیم کا ہر رکن کامیابی سے زیادہ سے زیادہ پوائنٹس اسکور کرتا ہے، بونس حاصل کرتا ہے۔")</f>
        <v>ایک "مکمل پاس" ایک بہترین دوڑ ہے جہاں ٹیم کا ہر رکن کامیابی سے زیادہ سے زیادہ پوائنٹس اسکور کرتا ہے، بونس حاصل کرتا ہے۔</v>
      </c>
    </row>
    <row r="142">
      <c r="A142" s="4">
        <v>141.0</v>
      </c>
      <c r="B142" s="5" t="s">
        <v>2915</v>
      </c>
      <c r="C142" s="5" t="s">
        <v>2916</v>
      </c>
      <c r="D142" s="5" t="s">
        <v>2917</v>
      </c>
      <c r="E142" s="5" t="s">
        <v>2918</v>
      </c>
      <c r="I142" s="6" t="str">
        <f>IFERROR(__xludf.DUMMYFUNCTION("GOOGLETRANSLATE(A142, ""en"", ""ur"")"),"141")</f>
        <v>141</v>
      </c>
      <c r="J142" s="6" t="str">
        <f>IFERROR(__xludf.DUMMYFUNCTION("GOOGLETRANSLATE(B142, ""en"", ""ur"")"),"اسٹارٹ لائن سے پہلے ""رن اپ"" زون کی بنیادی وجہ کیا ہے؟")</f>
        <v>اسٹارٹ لائن سے پہلے "رن اپ" زون کی بنیادی وجہ کیا ہے؟</v>
      </c>
      <c r="K142" s="6" t="str">
        <f>IFERROR(__xludf.DUMMYFUNCTION("GOOGLETRANSLATE(C142, ""en"", ""ur"")"),"A) گھوڑے کو ایک کنٹرول اور مستحکم سرپٹ کی طرف تیز کرنے کی اجازت دینے کے لئے، B) یہ ایک انتظار کی جگہ ہے، C) سوار کو اپنے مقصد پر عمل کرنے کی اجازت دینا، D) تماشائیوں کو خوش کرنا")</f>
        <v>A) گھوڑے کو ایک کنٹرول اور مستحکم سرپٹ کی طرف تیز کرنے کی اجازت دینے کے لئے، B) یہ ایک انتظار کی جگہ ہے، C) سوار کو اپنے مقصد پر عمل کرنے کی اجازت دینا، D) تماشائیوں کو خوش کرنا</v>
      </c>
      <c r="L142" s="6" t="str">
        <f>IFERROR(__xludf.DUMMYFUNCTION("GOOGLETRANSLATE(D142, ""en"", ""ur"")"),"A) گھوڑے کو ایک کنٹرول اور مستحکم سرپٹ کی طرف تیز کرنے کی اجازت دینا")</f>
        <v>A) گھوڑے کو ایک کنٹرول اور مستحکم سرپٹ کی طرف تیز کرنے کی اجازت دینا</v>
      </c>
      <c r="M142" s="6" t="str">
        <f>IFERROR(__xludf.DUMMYFUNCTION("GOOGLETRANSLATE(E142, ""en"", ""ur"")"),"ایک گھوڑا ٹھہرے ہوئے سے فوری طور پر کامل سرپٹ کی طرف نہیں جا سکتا۔ رن اپ گھوڑے کو مقررہ دوڑ شروع ہونے سے پہلے اپنی تال اور رفتار تلاش کرنے کا وقت دیتا ہے۔")</f>
        <v>ایک گھوڑا ٹھہرے ہوئے سے فوری طور پر کامل سرپٹ کی طرف نہیں جا سکتا۔ رن اپ گھوڑے کو مقررہ دوڑ شروع ہونے سے پہلے اپنی تال اور رفتار تلاش کرنے کا وقت دیتا ہے۔</v>
      </c>
    </row>
    <row r="143">
      <c r="A143" s="4">
        <v>142.0</v>
      </c>
      <c r="B143" s="5" t="s">
        <v>2919</v>
      </c>
      <c r="C143" s="5" t="s">
        <v>2920</v>
      </c>
      <c r="D143" s="5" t="s">
        <v>2921</v>
      </c>
      <c r="E143" s="5" t="s">
        <v>2922</v>
      </c>
      <c r="I143" s="6" t="str">
        <f>IFERROR(__xludf.DUMMYFUNCTION("GOOGLETRANSLATE(A143, ""en"", ""ur"")"),"142")</f>
        <v>142</v>
      </c>
      <c r="J143" s="6" t="str">
        <f>IFERROR(__xludf.DUMMYFUNCTION("GOOGLETRANSLATE(B143, ""en"", ""ur"")"),"ایک سوار کو بہت بھاری لانس رکھنے کی وجہ سے نااہل قرار دیا جاتا ہے۔ زیادہ سے زیادہ وزن کا اصول کیوں موجود ہوگا؟")</f>
        <v>ایک سوار کو بہت بھاری لانس رکھنے کی وجہ سے نااہل قرار دیا جاتا ہے۔ زیادہ سے زیادہ وزن کا اصول کیوں موجود ہوگا؟</v>
      </c>
      <c r="K143" s="6" t="str">
        <f>IFERROR(__xludf.DUMMYFUNCTION("GOOGLETRANSLATE(C143, ""en"", ""ur"")"),"A)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کوئی اصول نہیں ہے۔")</f>
        <v>A) ایک بھاری لانس مخالفین کو مارنے کے لیے استعمال کیا جا سکتا ہے، B) انصاف پسندی کو یقینی بنانے اور تیز ہوا کے حالات میں سواروں کو فائدہ حاصل کرنے سے روکنے کے لیے، C) بھاری لانس کے ٹوٹنے کا زیادہ امکان ہوتا ہے، D) یہ کوئی اصول نہیں ہے۔</v>
      </c>
      <c r="L143" s="6" t="str">
        <f>IFERROR(__xludf.DUMMYFUNCTION("GOOGLETRANSLATE(D143, ""en"", ""ur"")"),"ب) انصاف پسندی کو یقینی بنانا اور تیز ہوا کے حالات میں سواروں کو فائدہ اٹھانے سے روکنا")</f>
        <v>ب) انصاف پسندی کو یقینی بنانا اور تیز ہوا کے حالات میں سواروں کو فائدہ اٹھانے سے روکنا</v>
      </c>
      <c r="M143" s="6" t="str">
        <f>IFERROR(__xludf.DUMMYFUNCTION("GOOGLETRANSLATE(E143, ""en"", ""ur"")"),"ایک بہت ہی بھاری لینس ہوا سے کم متاثر ہوتا ہے، اس لیے زیادہ سے زیادہ وزن کی حد یقینی بناتی ہے کہ تمام سواروں کو یکساں حالات کا سامنا کرنا پڑتا ہے۔")</f>
        <v>ایک بہت ہی بھاری لینس ہوا سے کم متاثر ہوتا ہے، اس لیے زیادہ سے زیادہ وزن کی حد یقینی بناتی ہے کہ تمام سواروں کو یکساں حالات کا سامنا کرنا پڑتا ہے۔</v>
      </c>
    </row>
    <row r="144">
      <c r="A144" s="4">
        <v>143.0</v>
      </c>
      <c r="B144" s="5" t="s">
        <v>2923</v>
      </c>
      <c r="C144" s="5" t="s">
        <v>2924</v>
      </c>
      <c r="D144" s="5" t="s">
        <v>2925</v>
      </c>
      <c r="E144" s="5" t="s">
        <v>2926</v>
      </c>
      <c r="I144" s="6" t="str">
        <f>IFERROR(__xludf.DUMMYFUNCTION("GOOGLETRANSLATE(A144, ""en"", ""ur"")"),"143")</f>
        <v>143</v>
      </c>
      <c r="J144" s="6" t="str">
        <f>IFERROR(__xludf.DUMMYFUNCTION("GOOGLETRANSLATE(B144, ""en"", ""ur"")"),"""کلین رن"" کیا ہے؟")</f>
        <v>"کلین رن" کیا ہے؟</v>
      </c>
      <c r="K144" s="6" t="str">
        <f>IFERROR(__xludf.DUMMYFUNCTION("GOOGLETRANSLATE(C144, ""en"", ""ur"")"),"A) ایک رن جہاں سوار مکمل پیگ اسکور کرتا ہے، B) ایک رن جو بغیر کسی جرمانے یا فاول کے مکمل کی جاتی ہے، C) وہ دوڑ جہاں سوار کی وردی صاف رہتی ہے، D) ایک رن جو بہت تیز ہو")</f>
        <v>A) ایک رن جہاں سوار مکمل پیگ اسکور کرتا ہے، B) ایک رن جو بغیر کسی جرمانے یا فاول کے مکمل کی جاتی ہے، C) وہ دوڑ جہاں سوار کی وردی صاف رہتی ہے، D) ایک رن جو بہت تیز ہو</v>
      </c>
      <c r="L144" s="6" t="str">
        <f>IFERROR(__xludf.DUMMYFUNCTION("GOOGLETRANSLATE(D144, ""en"", ""ur"")"),"ب) ایک رن جو بغیر کسی جرمانے یا فاؤل کے مکمل ہوتا ہے۔")</f>
        <v>ب) ایک رن جو بغیر کسی جرمانے یا فاؤل کے مکمل ہوتا ہے۔</v>
      </c>
      <c r="M144" s="6" t="str">
        <f>IFERROR(__xludf.DUMMYFUNCTION("GOOGLETRANSLATE(E144, ""en"", ""ur"")"),"""کلین رن"" وہ ہوتا ہے جہاں سوار کوئی غلطی نہیں کرتا، جیسے غلط آغاز، وقت کی غلطی، یا اپنا ہتھیار گرانا۔")</f>
        <v>"کلین رن" وہ ہوتا ہے جہاں سوار کوئی غلطی نہیں کرتا، جیسے غلط آغاز، وقت کی غلطی، یا اپنا ہتھیار گرانا۔</v>
      </c>
    </row>
    <row r="145">
      <c r="A145" s="4">
        <v>144.0</v>
      </c>
      <c r="B145" s="5" t="s">
        <v>2927</v>
      </c>
      <c r="C145" s="5" t="s">
        <v>2928</v>
      </c>
      <c r="D145" s="5" t="s">
        <v>2929</v>
      </c>
      <c r="E145" s="5" t="s">
        <v>2930</v>
      </c>
      <c r="I145" s="6" t="str">
        <f>IFERROR(__xludf.DUMMYFUNCTION("GOOGLETRANSLATE(A145, ""en"", ""ur"")"),"144")</f>
        <v>144</v>
      </c>
      <c r="J145" s="6" t="str">
        <f>IFERROR(__xludf.DUMMYFUNCTION("GOOGLETRANSLATE(B145, ""en"", ""ur"")"),"لینس کی نوک دھات کی کیوں ہونی چاہیے؟")</f>
        <v>لینس کی نوک دھات کی کیوں ہونی چاہیے؟</v>
      </c>
      <c r="K145" s="6" t="str">
        <f>IFERROR(__xludf.DUMMYFUNCTION("GOOGLETRANSLATE(C145, ""en"", ""ur"")"),"A) یہ بہتر لگ رہا ہے، B) اسے لکڑی کے کھونٹے میں گھسنے کی ضرورت ہے، C) یہ لانس میں وزن بڑھاتا ہے، D) یہ ایک روایتی ضرورت ہے۔")</f>
        <v>A) یہ بہتر لگ رہا ہے، B) اسے لکڑی کے کھونٹے میں گھسنے کی ضرورت ہے، C) یہ لانس میں وزن بڑھاتا ہے، D) یہ ایک روایتی ضرورت ہے۔</v>
      </c>
      <c r="L145" s="6" t="str">
        <f>IFERROR(__xludf.DUMMYFUNCTION("GOOGLETRANSLATE(D145, ""en"", ""ur"")"),"ب) لکڑی کے کھونٹے میں گھسنے کے لیے اس کی ضرورت ہے۔")</f>
        <v>ب) لکڑی کے کھونٹے میں گھسنے کے لیے اس کی ضرورت ہے۔</v>
      </c>
      <c r="M145" s="6" t="str">
        <f>IFERROR(__xludf.DUMMYFUNCTION("GOOGLETRANSLATE(E145, ""en"", ""ur"")"),"لانس کے لیے ایک دھاتی نوک ضروری ہے تاکہ وہ ہدف کو زمین سے مؤثر طریقے سے چھید سکے اور اٹھا سکے۔")</f>
        <v>لانس کے لیے ایک دھاتی نوک ضروری ہے تاکہ وہ ہدف کو زمین سے مؤثر طریقے سے چھید سکے اور اٹھا سکے۔</v>
      </c>
    </row>
    <row r="146">
      <c r="A146" s="4">
        <v>145.0</v>
      </c>
      <c r="B146" s="5" t="s">
        <v>2931</v>
      </c>
      <c r="C146" s="5" t="s">
        <v>2932</v>
      </c>
      <c r="D146" s="5" t="s">
        <v>2933</v>
      </c>
      <c r="E146" s="5" t="s">
        <v>2934</v>
      </c>
      <c r="I146" s="6" t="str">
        <f>IFERROR(__xludf.DUMMYFUNCTION("GOOGLETRANSLATE(A146, ""en"", ""ur"")"),"145")</f>
        <v>145</v>
      </c>
      <c r="J146" s="6" t="str">
        <f>IFERROR(__xludf.DUMMYFUNCTION("GOOGLETRANSLATE(B146, ""en"", ""ur"")"),"ایک ٹیم کو ""یکسانیت کی کمی"" کی وجہ سے سزا دی جاتی ہے۔ اس کا کیا مطلب ہے؟")</f>
        <v>ایک ٹیم کو "یکسانیت کی کمی" کی وجہ سے سزا دی جاتی ہے۔ اس کا کیا مطلب ہے؟</v>
      </c>
      <c r="K146" s="6" t="str">
        <f>IFERROR(__xludf.DUMMYFUNCTION("GOOGLETRANSLATE(C146, ""en"", ""ur"")"),"A) ان کے گھوڑوں کے رنگ مختلف ہیں، B) ان کی سواری کے انداز بہت مختلف ہیں، C) ان کی یونیفارم یا سامان اصولوں کے مطابق نہیں ملتا، D) ان سب نے ایک جیسے پوائنٹس نہیں بنائے۔")</f>
        <v>A) ان کے گھوڑوں کے رنگ مختلف ہیں، B) ان کی سواری کے انداز بہت مختلف ہیں، C) ان کی یونیفارم یا سامان اصولوں کے مطابق نہیں ملتا، D) ان سب نے ایک جیسے پوائنٹس نہیں بنائے۔</v>
      </c>
      <c r="L146" s="6" t="str">
        <f>IFERROR(__xludf.DUMMYFUNCTION("GOOGLETRANSLATE(D146, ""en"", ""ur"")"),"ج) ان کی یونیفارم یا سامان قواعد کے مطابق نہیں ملتا")</f>
        <v>ج) ان کی یونیفارم یا سامان قواعد کے مطابق نہیں ملتا</v>
      </c>
      <c r="M146" s="6" t="str">
        <f>IFERROR(__xludf.DUMMYFUNCTION("GOOGLETRANSLATE(E146, ""en"", ""ur"")"),"ٹیم ایونٹس میں، سواروں کو پیشہ ورانہ اور منظم ظاہری شکل کے لیے مماثل لباس اور ٹیک رکھنے کی ضرورت ہوتی ہے۔")</f>
        <v>ٹیم ایونٹس میں، سواروں کو پیشہ ورانہ اور منظم ظاہری شکل کے لیے مماثل لباس اور ٹیک رکھنے کی ضرورت ہوتی ہے۔</v>
      </c>
    </row>
    <row r="147">
      <c r="A147" s="4">
        <v>146.0</v>
      </c>
      <c r="B147" s="5" t="s">
        <v>2935</v>
      </c>
      <c r="C147" s="5" t="s">
        <v>2936</v>
      </c>
      <c r="D147" s="5" t="s">
        <v>2937</v>
      </c>
      <c r="E147" s="5" t="s">
        <v>2938</v>
      </c>
      <c r="I147" s="6" t="str">
        <f>IFERROR(__xludf.DUMMYFUNCTION("GOOGLETRANSLATE(A147, ""en"", ""ur"")"),"146")</f>
        <v>146</v>
      </c>
      <c r="J147" s="6" t="str">
        <f>IFERROR(__xludf.DUMMYFUNCTION("GOOGLETRANSLATE(B147, ""en"", ""ur"")"),"جدید مقابلوں میں ""سلو موشن"" ری پلے کیمرہ کا بنیادی مقصد کیا ہے؟")</f>
        <v>جدید مقابلوں میں "سلو موشن" ری پلے کیمرہ کا بنیادی مقصد کیا ہے؟</v>
      </c>
      <c r="K147" s="6" t="str">
        <f>IFERROR(__xludf.DUMMYFUNCTION("GOOGLETRANSLATE(C147, ""en"", ""ur"")"),"A) ایونٹ کو ٹیلی ویژن پر مزید ڈرامائی بنانے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f>
        <v>A) ایونٹ کو ٹیلی ویژن پر مزید ڈرامائی بنانے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v>
      </c>
      <c r="L147" s="6" t="str">
        <f>IFERROR(__xludf.DUMMYFUNCTION("GOOGLETRANSLATE(D147, ""en"", ""ur"")"),"ب) قریبی کالوں اور احتجاج پر درست فیصلے کرنے میں ججوں کی مدد کرنا")</f>
        <v>ب) قریبی کالوں اور احتجاج پر درست فیصلے کرنے میں ججوں کی مدد کرنا</v>
      </c>
      <c r="M147" s="6" t="str">
        <f>IFERROR(__xludf.DUMMYFUNCTION("GOOGLETRANSLATE(E147, ""en"", ""ur"")"),"سلو موشن ری پلے اس بات کا جائزہ لینے کے لیے ایک اہم آلہ کار ہے کہ آیا کوئی پیگ کھینچا گیا تھا، کوئی لکیر عبور کی گئی تھی یا کوئی غلطی ہوئی تھی۔")</f>
        <v>سلو موشن ری پلے اس بات کا جائزہ لینے کے لیے ایک اہم آلہ کار ہے کہ آیا کوئی پیگ کھینچا گیا تھا، کوئی لکیر عبور کی گئی تھی یا کوئی غلطی ہوئی تھی۔</v>
      </c>
    </row>
    <row r="148">
      <c r="A148" s="4">
        <v>147.0</v>
      </c>
      <c r="B148" s="5" t="s">
        <v>2939</v>
      </c>
      <c r="C148" s="5" t="s">
        <v>2940</v>
      </c>
      <c r="D148" s="5" t="s">
        <v>2941</v>
      </c>
      <c r="E148" s="5" t="s">
        <v>2942</v>
      </c>
      <c r="I148" s="6" t="str">
        <f>IFERROR(__xludf.DUMMYFUNCTION("GOOGLETRANSLATE(A148, ""en"", ""ur"")"),"147")</f>
        <v>147</v>
      </c>
      <c r="J148" s="6" t="str">
        <f>IFERROR(__xludf.DUMMYFUNCTION("GOOGLETRANSLATE(B148, ""en"", ""ur"")"),"ایک سوار ""نرم ہاتھ"" رکھنے کے لیے جانا جاتا ہے۔ اس گھڑ سواری کی اصطلاح کا کیا مطلب ہے؟")</f>
        <v>ایک سوار "نرم ہاتھ" رکھنے کے لیے جانا جاتا ہے۔ اس گھڑ سواری کی اصطلاح کا کیا مطلب ہے؟</v>
      </c>
      <c r="K148" s="6" t="str">
        <f>IFERROR(__xludf.DUMMYFUNCTION("GOOGLETRANSLATE(C148, ""en"", ""ur"")"),"A) ان کے ہاتھ کمزور ہیں، B) وہ بہت ہلکے اور نرم لگام کے اشاروں سے گھوڑے کی رہنمائی کرنے کے قابل ہیں، C) وہ نرم دستانے پہنتے ہیں، D) وہ ابتدائی ہیں۔")</f>
        <v>A) ان کے ہاتھ کمزور ہیں، B) وہ بہت ہلکے اور نرم لگام کے اشاروں سے گھوڑے کی رہنمائی کرنے کے قابل ہیں، C) وہ نرم دستانے پہنتے ہیں، D) وہ ابتدائی ہیں۔</v>
      </c>
      <c r="L148" s="6" t="str">
        <f>IFERROR(__xludf.DUMMYFUNCTION("GOOGLETRANSLATE(D148, ""en"", ""ur"")"),"ب) وہ بہت ہلکے اور نرم لگام کے اشاروں سے گھوڑے کی رہنمائی کرنے کے قابل ہیں۔")</f>
        <v>ب) وہ بہت ہلکے اور نرم لگام کے اشاروں سے گھوڑے کی رہنمائی کرنے کے قابل ہیں۔</v>
      </c>
      <c r="M148" s="6" t="str">
        <f>IFERROR(__xludf.DUMMYFUNCTION("GOOGLETRANSLATE(E148, ""en"", ""ur"")"),"""نرم ہاتھ"" ایک ماہر گھڑ سوار کا نشان ہیں جو اپنے گھوڑے سے سخت کھینچنے کی بجائے لطیف اشاروں کے ذریعے بات چیت کر سکتے ہیں۔")</f>
        <v>"نرم ہاتھ" ایک ماہر گھڑ سوار کا نشان ہیں جو اپنے گھوڑے سے سخت کھینچنے کی بجائے لطیف اشاروں کے ذریعے بات چیت کر سکتے ہیں۔</v>
      </c>
    </row>
    <row r="149">
      <c r="A149" s="4">
        <v>148.0</v>
      </c>
      <c r="B149" s="5" t="s">
        <v>2943</v>
      </c>
      <c r="C149" s="5" t="s">
        <v>2944</v>
      </c>
      <c r="D149" s="5" t="s">
        <v>2945</v>
      </c>
      <c r="E149" s="5" t="s">
        <v>2946</v>
      </c>
      <c r="I149" s="6" t="str">
        <f>IFERROR(__xludf.DUMMYFUNCTION("GOOGLETRANSLATE(A149, ""en"", ""ur"")"),"148")</f>
        <v>148</v>
      </c>
      <c r="J149" s="6" t="str">
        <f>IFERROR(__xludf.DUMMYFUNCTION("GOOGLETRANSLATE(B149, ""en"", ""ur"")"),"ٹینٹ پیگنگ کے لیے صلاحیت پیدا کرنے کے لیے ان میں سے کون سا گھوڑے کی خوراک کا اہم حصہ ہے؟")</f>
        <v>ٹینٹ پیگنگ کے لیے صلاحیت پیدا کرنے کے لیے ان میں سے کون سا گھوڑے کی خوراک کا اہم حصہ ہے؟</v>
      </c>
      <c r="K149" s="6" t="str">
        <f>IFERROR(__xludf.DUMMYFUNCTION("GOOGLETRANSLATE(C149, ""en"", ""ur"")"),"A) شوگر کیوبز، B) اعلیٰ قسم کی گھاس اور اناج کی کنٹرول شدہ مقدار، C) صرف گھاس، D) زیادہ تر پھل اور سبزیاں")</f>
        <v>A) شوگر کیوبز، B) اعلیٰ قسم کی گھاس اور اناج کی کنٹرول شدہ مقدار، C) صرف گھاس، D) زیادہ تر پھل اور سبزیاں</v>
      </c>
      <c r="L149" s="6" t="str">
        <f>IFERROR(__xludf.DUMMYFUNCTION("GOOGLETRANSLATE(D149, ""en"", ""ur"")"),"ب) اعلیٰ قسم کی گھاس اور اناج کی کنٹرول شدہ مقدار")</f>
        <v>ب) اعلیٰ قسم کی گھاس اور اناج کی کنٹرول شدہ مقدار</v>
      </c>
      <c r="M149" s="6" t="str">
        <f>IFERROR(__xludf.DUMMYFUNCTION("GOOGLETRANSLATE(E149, ""en"", ""ur"")"),"ایک اتھلیٹک گھوڑے کو آنتوں کی صحت کے لیے چارہ (گھاس) کی متوازن خوراک اور کارکردگی کے لیے توانائی سے بھرپور اناج کی ضرورت ہوتی ہے۔")</f>
        <v>ایک اتھلیٹک گھوڑے کو آنتوں کی صحت کے لیے چارہ (گھاس) کی متوازن خوراک اور کارکردگی کے لیے توانائی سے بھرپور اناج کی ضرورت ہوتی ہے۔</v>
      </c>
    </row>
    <row r="150">
      <c r="A150" s="4">
        <v>149.0</v>
      </c>
      <c r="B150" s="5" t="s">
        <v>2947</v>
      </c>
      <c r="C150" s="5" t="s">
        <v>2948</v>
      </c>
      <c r="D150" s="5" t="s">
        <v>2949</v>
      </c>
      <c r="E150" s="5" t="s">
        <v>2950</v>
      </c>
      <c r="I150" s="6" t="str">
        <f>IFERROR(__xludf.DUMMYFUNCTION("GOOGLETRANSLATE(A150, ""en"", ""ur"")"),"149")</f>
        <v>149</v>
      </c>
      <c r="J150" s="6" t="str">
        <f>IFERROR(__xludf.DUMMYFUNCTION("GOOGLETRANSLATE(B150, ""en"", ""ur"")"),"ایک سوار احتجاج کرتا ہے کہ سورج ان کی آنکھوں میں تھا، جس کی وجہ سے وہ گم ہو گئے۔ کیا حکم ہو گا؟")</f>
        <v>ایک سوار احتجاج کرتا ہے کہ سورج ان کی آنکھوں میں تھا، جس کی وجہ سے وہ گم ہو گئے۔ کیا حکم ہو گا؟</v>
      </c>
      <c r="K150" s="6" t="str">
        <f>IFERROR(__xludf.DUMMYFUNCTION("GOOGLETRANSLATE(C150, ""en"", ""ur"")"),"A)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f>
        <v>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v>
      </c>
      <c r="L150" s="6" t="str">
        <f>IFERROR(__xludf.DUMMYFUNCTION("GOOGLETRANSLATE(D150, ""en"", ""ur"")"),"ب) احتجاج کو مسترد کر دیا جائے گا کیونکہ ماحولیاتی حالات چیلنج کا حصہ ہیں۔")</f>
        <v>ب) احتجاج کو مسترد کر دیا جائے گا کیونکہ ماحولیاتی حالات چیلنج کا حصہ ہیں۔</v>
      </c>
      <c r="M150" s="6" t="str">
        <f>IFERROR(__xludf.DUMMYFUNCTION("GOOGLETRANSLATE(E150, ""en"", ""ur"")"),"تمام سوار ایک ہی قدرتی حالات میں مقابلہ کرتے ہیں، اور سورج کی چمک جیسے عوامل کو کھیل کا حصہ سمجھا جاتا ہے۔")</f>
        <v>تمام سوار ایک ہی قدرتی حالات میں مقابلہ کرتے ہیں، اور سورج کی چمک جیسے عوامل کو کھیل کا حصہ سمجھا جاتا ہے۔</v>
      </c>
    </row>
    <row r="151">
      <c r="A151" s="4">
        <v>150.0</v>
      </c>
      <c r="B151" s="5" t="s">
        <v>2951</v>
      </c>
      <c r="C151" s="5" t="s">
        <v>2952</v>
      </c>
      <c r="D151" s="5" t="s">
        <v>2953</v>
      </c>
      <c r="E151" s="5" t="s">
        <v>2954</v>
      </c>
      <c r="I151" s="6" t="str">
        <f>IFERROR(__xludf.DUMMYFUNCTION("GOOGLETRANSLATE(A151, ""en"", ""ur"")"),"150")</f>
        <v>150</v>
      </c>
      <c r="J151" s="6" t="str">
        <f>IFERROR(__xludf.DUMMYFUNCTION("GOOGLETRANSLATE(B151, ""en"", ""ur"")"),"ٹینٹ پیگنگ میں مہارت کا حتمی اظہار کیا ہے؟")</f>
        <v>ٹینٹ پیگنگ میں مہارت کا حتمی اظہار کیا ہے؟</v>
      </c>
      <c r="K151" s="6" t="str">
        <f>IFERROR(__xludf.DUMMYFUNCTION("GOOGLETRANSLATE(C151, ""en"", ""ur"")"),"A) تیز ترین گھوڑے پر سوار ہونا، B) تیز رفتاری سے چھوٹے ہدف کو نشانہ بنانے کے مشکل کام کو آسان اور خوبصورت نظر آنا، C) مہنگا ترین سامان ہونا، D) ہر میچ جیتنا")</f>
        <v>A) تیز ترین گھوڑے پر سوار ہونا، B) تیز رفتاری سے چھوٹے ہدف کو نشانہ بنانے کے مشکل کام کو آسان اور خوبصورت نظر آنا، C) مہنگا ترین سامان ہونا، D) ہر میچ جیتنا</v>
      </c>
      <c r="L151" s="6" t="str">
        <f>IFERROR(__xludf.DUMMYFUNCTION("GOOGLETRANSLATE(D151, ""en"", ""ur"")"),"ب) تیز رفتاری سے چھوٹے ہدف کو نشانہ بنانے کے مشکل کام کو آسان اور دلکش بنانا")</f>
        <v>ب) تیز رفتاری سے چھوٹے ہدف کو نشانہ بنانے کے مشکل کام کو آسان اور دلکش بنانا</v>
      </c>
      <c r="M151" s="6" t="str">
        <f>IFERROR(__xludf.DUMMYFUNCTION("GOOGLETRANSLATE(E151, ""en"", ""ur"")"),"ایک حقیقی ماسٹر کا نشان صرف کامیابی نہیں ہے، بلکہ ایک ناقابل یقین حد تک مشکل مہارت کو انجام دینے میں آسان آسانی کی ظاہری شکل ہے.")</f>
        <v>ایک حقیقی ماسٹر کا نشان صرف کامیابی نہیں ہے، بلکہ ایک ناقابل یقین حد تک مشکل مہارت کو انجام دینے میں آسان آسانی کی ظاہری شکل ہے.</v>
      </c>
    </row>
  </sheetData>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5" width="37.63"/>
    <col customWidth="1" min="11" max="14" width="37.63"/>
  </cols>
  <sheetData>
    <row r="1">
      <c r="A1" s="1" t="s">
        <v>594</v>
      </c>
      <c r="B1" s="2" t="s">
        <v>1</v>
      </c>
      <c r="C1" s="2" t="s">
        <v>2</v>
      </c>
      <c r="D1" s="2" t="s">
        <v>3</v>
      </c>
      <c r="E1" s="2" t="s">
        <v>4</v>
      </c>
      <c r="K1" s="3" t="s">
        <v>6</v>
      </c>
      <c r="L1" s="3" t="s">
        <v>7</v>
      </c>
      <c r="M1" s="3" t="s">
        <v>8</v>
      </c>
      <c r="N1" s="3" t="s">
        <v>9</v>
      </c>
    </row>
    <row r="2">
      <c r="A2" s="4">
        <v>1.0</v>
      </c>
      <c r="B2" s="5" t="s">
        <v>2955</v>
      </c>
      <c r="C2" s="5" t="s">
        <v>2956</v>
      </c>
      <c r="D2" s="5" t="s">
        <v>2957</v>
      </c>
      <c r="E2" s="5" t="s">
        <v>2958</v>
      </c>
      <c r="K2" s="6" t="str">
        <f>IFERROR(__xludf.DUMMYFUNCTION("GOOGLETRANSLATE(B2,""en"",""ur"")"),"ملاکھڑا میچ جیتنے کے لیے ایک پہلوان کو بنیادی مقصد کیا حاصل کرنا چاہیے؟")</f>
        <v>ملاکھڑا میچ جیتنے کے لیے ایک پہلوان کو بنیادی مقصد کیا حاصل کرنا چاہیے؟</v>
      </c>
      <c r="L2" s="6" t="str">
        <f>IFERROR(__xludf.DUMMYFUNCTION("GOOGLETRANSLATE(C2,""en"",""ur"")"),"A) مخالف کو زمین سے اٹھانے کے لئے، B) مخالف کو زبانی طور پر جمع کرانے کے لئے، C) ایک مقررہ مدت کے لئے مخالف کی پیٹھ کو زمین پر لگانا، D) مخالف کو رنگ سے باہر دھکیلنا")</f>
        <v>A) مخالف کو زمین سے اٹھانے کے لئے، B) مخالف کو زبانی طور پر جمع کرانے کے لئے، C) ایک مقررہ مدت کے لئے مخالف کی پیٹھ کو زمین پر لگانا، D) مخالف کو رنگ سے باہر دھکیلنا</v>
      </c>
      <c r="M2" s="6" t="str">
        <f>IFERROR(__xludf.DUMMYFUNCTION("GOOGLETRANSLATE(D2,""en"",""ur"")"),"ج) ایک مقررہ مدت کے لیے مخالف کی پیٹھ کو زمین پر لگانا")</f>
        <v>ج) ایک مقررہ مدت کے لیے مخالف کی پیٹھ کو زمین پر لگانا</v>
      </c>
      <c r="N2" s="6" t="str">
        <f>IFERROR(__xludf.DUMMYFUNCTION("GOOGLETRANSLATE(E2,""en"",""ur"")"),"ملاکھرا میں حتمی مقصد مخالف کی کمر اور کندھوں کو زمین پر لگا کر فیصلہ کن جیت حاصل کرنا ہے۔")</f>
        <v>ملاکھرا میں حتمی مقصد مخالف کی کمر اور کندھوں کو زمین پر لگا کر فیصلہ کن جیت حاصل کرنا ہے۔</v>
      </c>
    </row>
    <row r="3">
      <c r="A3" s="4">
        <v>2.0</v>
      </c>
      <c r="B3" s="5" t="s">
        <v>2959</v>
      </c>
      <c r="C3" s="5" t="s">
        <v>2960</v>
      </c>
      <c r="D3" s="5" t="s">
        <v>2961</v>
      </c>
      <c r="E3" s="5" t="s">
        <v>2962</v>
      </c>
      <c r="K3" s="6" t="str">
        <f>IFERROR(__xludf.DUMMYFUNCTION("GOOGLETRANSLATE(B3,""en"",""ur"")"),"مالخرہ پہلوان (پہلوان) کو پہننے کے لیے کون سا واحد سب سے ضروری سامان ہے؟")</f>
        <v>مالخرہ پہلوان (پہلوان) کو پہننے کے لیے کون سا واحد سب سے ضروری سامان ہے؟</v>
      </c>
      <c r="L3" s="6" t="str">
        <f>IFERROR(__xludf.DUMMYFUNCTION("GOOGLETRANSLATE(C3,""en"",""ur"")"),"A) سرہ، B) دستانے، C) بٹی ہوئی کپڑے کی پٹی (سندھرو) D) کشتی کے جوتے")</f>
        <v>A) سرہ، B) دستانے، C) بٹی ہوئی کپڑے کی پٹی (سندھرو) D) کشتی کے جوتے</v>
      </c>
      <c r="M3" s="6" t="str">
        <f>IFERROR(__xludf.DUMMYFUNCTION("GOOGLETRANSLATE(D3,""en"",""ur"")"),"ج) ایک بٹی ہوئی کپڑے کی پٹی (سندھرو)")</f>
        <v>ج) ایک بٹی ہوئی کپڑے کی پٹی (سندھرو)</v>
      </c>
      <c r="N3" s="6" t="str">
        <f>IFERROR(__xludf.DUMMYFUNCTION("GOOGLETRANSLATE(E3,""en"",""ur"")"),"سیندھرو کھیل کا مرکزی عنصر ہے۔ پہلوان اسے تمام پھینکنے، دوروں، اور چالوں کو انجام دینے کے لیے پکڑ لیتے ہیں۔")</f>
        <v>سیندھرو کھیل کا مرکزی عنصر ہے۔ پہلوان اسے تمام پھینکنے، دوروں، اور چالوں کو انجام دینے کے لیے پکڑ لیتے ہیں۔</v>
      </c>
    </row>
    <row r="4">
      <c r="A4" s="4">
        <v>3.0</v>
      </c>
      <c r="B4" s="5" t="s">
        <v>2963</v>
      </c>
      <c r="C4" s="5" t="s">
        <v>2964</v>
      </c>
      <c r="D4" s="5" t="s">
        <v>2965</v>
      </c>
      <c r="E4" s="5" t="s">
        <v>2966</v>
      </c>
      <c r="K4" s="6" t="str">
        <f>IFERROR(__xludf.DUMMYFUNCTION("GOOGLETRANSLATE(B4,""en"",""ur"")"),"ملاخرہ میں درج ذیل میں سے کون سا عمل قواعد کی صریح خلاف ورزی ہے؟")</f>
        <v>ملاخرہ میں درج ذیل میں سے کون سا عمل قواعد کی صریح خلاف ورزی ہے؟</v>
      </c>
      <c r="L4" s="6" t="str">
        <f>IFERROR(__xludf.DUMMYFUNCTION("GOOGLETRANSLATE(C4,""en"",""ur"")"),"A) مخالف کی سیندھرو (بیلٹ) کو پکڑنا، B) ٹانگوں میں جھاڑو لگانا، C) مخالف کو بند مٹھی سے مارنا، D) مخالف کو اٹھانا")</f>
        <v>A) مخالف کی سیندھرو (بیلٹ) کو پکڑنا، B) ٹانگوں میں جھاڑو لگانا، C) مخالف کو بند مٹھی سے مارنا، D) مخالف کو اٹھانا</v>
      </c>
      <c r="M4" s="6" t="str">
        <f>IFERROR(__xludf.DUMMYFUNCTION("GOOGLETRANSLATE(D4,""en"",""ur"")"),"ج) مخالف کو بند مٹھی سے مارنا")</f>
        <v>ج) مخالف کو بند مٹھی سے مارنا</v>
      </c>
      <c r="N4" s="6" t="str">
        <f>IFERROR(__xludf.DUMMYFUNCTION("GOOGLETRANSLATE(E4,""en"",""ur"")"),"ملاخرہ ایک جوجھ کا فن ہے۔ مارنا، لات مارنا، اور گھونسنا سختی سے منع ہے اور اس کے نتیجے میں فاؤل ہوتا ہے۔")</f>
        <v>ملاخرہ ایک جوجھ کا فن ہے۔ مارنا، لات مارنا، اور گھونسنا سختی سے منع ہے اور اس کے نتیجے میں فاؤل ہوتا ہے۔</v>
      </c>
    </row>
    <row r="5">
      <c r="A5" s="4">
        <v>4.0</v>
      </c>
      <c r="B5" s="5" t="s">
        <v>2967</v>
      </c>
      <c r="C5" s="5" t="s">
        <v>2968</v>
      </c>
      <c r="D5" s="5" t="s">
        <v>2969</v>
      </c>
      <c r="E5" s="5" t="s">
        <v>2970</v>
      </c>
      <c r="K5" s="6" t="str">
        <f>IFERROR(__xludf.DUMMYFUNCTION("GOOGLETRANSLATE(B5,""en"",""ur"")"),"اگر وقت کی حد کے اندر کوئی پن نہیں ہوتا ہے تو میچ کے فاتح کا فیصلہ کیسے ہوتا ہے؟")</f>
        <v>اگر وقت کی حد کے اندر کوئی پن نہیں ہوتا ہے تو میچ کے فاتح کا فیصلہ کیسے ہوتا ہے؟</v>
      </c>
      <c r="L5" s="6" t="str">
        <f>IFERROR(__xludf.DUMMYFUNCTION("GOOGLETRANSLATE(C5,""en"",""ur"")"),"A) میچ ڈرا قرار دیا جاتا ہے، B) پہلوان جو زیادہ جارحانہ تھا جیتتا ہے، C) فاتح کا فیصلہ ججوں کی طرف سے تکنیک کے لیے دیئے گئے پوائنٹس کی بنیاد پر کیا جاتا ہے، D) ایک اضافی راؤنڈ کھیلا جاتا ہے۔")</f>
        <v>A) میچ ڈرا قرار دیا جاتا ہے، B) پہلوان جو زیادہ جارحانہ تھا جیتتا ہے، C) فاتح کا فیصلہ ججوں کی طرف سے تکنیک کے لیے دیئے گئے پوائنٹس کی بنیاد پر کیا جاتا ہے، D) ایک اضافی راؤنڈ کھیلا جاتا ہے۔</v>
      </c>
      <c r="M5" s="6" t="str">
        <f>IFERROR(__xludf.DUMMYFUNCTION("GOOGLETRANSLATE(D5,""en"",""ur"")"),"C) فاتح کا فیصلہ ججوں کی طرف سے تکنیک کے لیے دیئے گئے پوائنٹس کی بنیاد پر کیا جاتا ہے۔")</f>
        <v>C) فاتح کا فیصلہ ججوں کی طرف سے تکنیک کے لیے دیئے گئے پوائنٹس کی بنیاد پر کیا جاتا ہے۔</v>
      </c>
      <c r="N5" s="6" t="str">
        <f>IFERROR(__xludf.DUMMYFUNCTION("GOOGLETRANSLATE(E5,""en"",""ur"")"),"اگر میچ بغیر پن کے پورے دورانیے تک چلا، تو فاتح پہلوان ہے جس نے اپنے حریف کے خلاف کامیاب چالوں اور جرمانے کے لیے سب سے زیادہ پوائنٹس جمع کیے ہیں۔")</f>
        <v>اگر میچ بغیر پن کے پورے دورانیے تک چلا، تو فاتح پہلوان ہے جس نے اپنے حریف کے خلاف کامیاب چالوں اور جرمانے کے لیے سب سے زیادہ پوائنٹس جمع کیے ہیں۔</v>
      </c>
    </row>
    <row r="6">
      <c r="A6" s="4">
        <v>5.0</v>
      </c>
      <c r="B6" s="5" t="s">
        <v>2971</v>
      </c>
      <c r="C6" s="5" t="s">
        <v>2972</v>
      </c>
      <c r="D6" s="5" t="s">
        <v>2973</v>
      </c>
      <c r="E6" s="5" t="s">
        <v>2974</v>
      </c>
      <c r="K6" s="6" t="str">
        <f>IFERROR(__xludf.DUMMYFUNCTION("GOOGLETRANSLATE(B6,""en"",""ur"")"),"اگر دونوں پہلوان بغیر کسی واضح پن کے بیک وقت زمین پر گر جائیں تو کیا ہوگا؟")</f>
        <v>اگر دونوں پہلوان بغیر کسی واضح پن کے بیک وقت زمین پر گر جائیں تو کیا ہوگا؟</v>
      </c>
      <c r="L6" s="6" t="str">
        <f>IFERROR(__xludf.DUMMYFUNCTION("GOOGLETRANSLATE(C6,""en"",""ur"")"),"A)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f>
        <v>A) جو پہلوان ٹاپ پر اترتا ہے وہ ایک پوائنٹ جیتتا ہے، B) دونوں پہلوان ایک پوائنٹ ہارتے ہیں، C) کوئی پوائنٹ نہیں دیا جاتا، اور میچ مرکز سے دوبارہ شروع ہوتا ہے، D) راؤنڈ فوراً ختم ہو جاتا ہے۔</v>
      </c>
      <c r="M6" s="6" t="str">
        <f>IFERROR(__xludf.DUMMYFUNCTION("GOOGLETRANSLATE(D6,""en"",""ur"")"),"C) کوئی پوائنٹ نہیں دیا جاتا ہے، اور میچ کو مرکز سے دوبارہ شروع کیا جاتا ہے۔")</f>
        <v>C) کوئی پوائنٹ نہیں دیا جاتا ہے، اور میچ کو مرکز سے دوبارہ شروع کیا جاتا ہے۔</v>
      </c>
      <c r="N6" s="6" t="str">
        <f>IFERROR(__xludf.DUMMYFUNCTION("GOOGLETRANSLATE(E6,""en"",""ur"")"),"اگر باہمی گرنے کے دوران کوئی واضح کنٹرول یا پن نہیں ہے تو، کارروائی کو غیر جانبدار سمجھا جاتا ہے، اور راؤنڈ بغیر کسی سکور کے دوبارہ ترتیب دیا جاتا ہے۔")</f>
        <v>اگر باہمی گرنے کے دوران کوئی واضح کنٹرول یا پن نہیں ہے تو، کارروائی کو غیر جانبدار سمجھا جاتا ہے، اور راؤنڈ بغیر کسی سکور کے دوبارہ ترتیب دیا جاتا ہے۔</v>
      </c>
    </row>
    <row r="7">
      <c r="A7" s="4">
        <v>6.0</v>
      </c>
      <c r="B7" s="5" t="s">
        <v>2975</v>
      </c>
      <c r="C7" s="5" t="s">
        <v>2976</v>
      </c>
      <c r="D7" s="5" t="s">
        <v>1268</v>
      </c>
      <c r="E7" s="5" t="s">
        <v>2977</v>
      </c>
      <c r="K7" s="6" t="str">
        <f>IFERROR(__xludf.DUMMYFUNCTION("GOOGLETRANSLATE(B7,""en"",""ur"")"),"ملاکھڑا کے روایتی ریسلنگ کے میدان کو کیا کہتے ہیں؟")</f>
        <v>ملاکھڑا کے روایتی ریسلنگ کے میدان کو کیا کہتے ہیں؟</v>
      </c>
      <c r="L7" s="6" t="str">
        <f>IFERROR(__xludf.DUMMYFUNCTION("GOOGLETRANSLATE(C7,""en"",""ur"")"),"A) پہلوان زون، B) دوجو، C) چٹائی، D) اکھاڑا")</f>
        <v>A) پہلوان زون، B) دوجو، C) چٹائی، D) اکھاڑا</v>
      </c>
      <c r="M7" s="6" t="str">
        <f>IFERROR(__xludf.DUMMYFUNCTION("GOOGLETRANSLATE(D7,""en"",""ur"")"),"ڈی) اکھاڑا")</f>
        <v>ڈی) اکھاڑا</v>
      </c>
      <c r="N7" s="6" t="str">
        <f>IFERROR(__xludf.DUMMYFUNCTION("GOOGLETRANSLATE(E7,""en"",""ur"")"),"اکھاڑہ کشتی کے گڑھے یا گراؤنڈ کے لیے روایتی اصطلاح ہے، جو عام طور پر نرم زمین یا ریت کا ایک گول دائرہ ہوتا ہے۔")</f>
        <v>اکھاڑہ کشتی کے گڑھے یا گراؤنڈ کے لیے روایتی اصطلاح ہے، جو عام طور پر نرم زمین یا ریت کا ایک گول دائرہ ہوتا ہے۔</v>
      </c>
    </row>
    <row r="8">
      <c r="A8" s="4">
        <v>7.0</v>
      </c>
      <c r="B8" s="5" t="s">
        <v>2978</v>
      </c>
      <c r="C8" s="5" t="s">
        <v>2979</v>
      </c>
      <c r="D8" s="5" t="s">
        <v>2980</v>
      </c>
      <c r="E8" s="5" t="s">
        <v>2981</v>
      </c>
      <c r="K8" s="6" t="str">
        <f>IFERROR(__xludf.DUMMYFUNCTION("GOOGLETRANSLATE(B8,""en"",""ur"")"),"جسم کا کون سا حصہ سختی سے کسی بھی گرفت یا دباؤ کے لیے حرام ہدف ہے؟")</f>
        <v>جسم کا کون سا حصہ سختی سے کسی بھی گرفت یا دباؤ کے لیے حرام ہدف ہے؟</v>
      </c>
      <c r="L8" s="6" t="str">
        <f>IFERROR(__xludf.DUMMYFUNCTION("GOOGLETRANSLATE(C8,""en"",""ur"")"),"A) بازو، B) ٹانگیں، C) سر اور گردن، D) سینہ")</f>
        <v>A) بازو، B) ٹانگیں، C) سر اور گردن، D) سینہ</v>
      </c>
      <c r="M8" s="6" t="str">
        <f>IFERROR(__xludf.DUMMYFUNCTION("GOOGLETRANSLATE(D8,""en"",""ur"")"),"ج) سر اور گردن")</f>
        <v>ج) سر اور گردن</v>
      </c>
      <c r="N8" s="6" t="str">
        <f>IFERROR(__xludf.DUMMYFUNCTION("GOOGLETRANSLATE(E8,""en"",""ur"")"),"حفاظت کے لیے، مخالف کے سر یا گردن کے حصے کو پکڑنا، پکڑنا، یا کوئی دباؤ لگانا غیر قانونی ہے۔")</f>
        <v>حفاظت کے لیے، مخالف کے سر یا گردن کے حصے کو پکڑنا، پکڑنا، یا کوئی دباؤ لگانا غیر قانونی ہے۔</v>
      </c>
    </row>
    <row r="9">
      <c r="A9" s="4">
        <v>8.0</v>
      </c>
      <c r="B9" s="5" t="s">
        <v>2982</v>
      </c>
      <c r="C9" s="5" t="s">
        <v>2983</v>
      </c>
      <c r="D9" s="5" t="s">
        <v>2984</v>
      </c>
      <c r="E9" s="5" t="s">
        <v>2985</v>
      </c>
      <c r="K9" s="6" t="str">
        <f>IFERROR(__xludf.DUMMYFUNCTION("GOOGLETRANSLATE(B9,""en"",""ur"")"),"ملاکھڑا پہلوان میچ کے دوران کون سا روایتی لباس پہنتے ہیں؟")</f>
        <v>ملاکھڑا پہلوان میچ کے دوران کون سا روایتی لباس پہنتے ہیں؟</v>
      </c>
      <c r="L9" s="6" t="str">
        <f>IFERROR(__xludf.DUMMYFUNCTION("GOOGLETRANSLATE(C9,""en"",""ur"")"),"A) کرتہ اور پائجامہ، B) ایک لنگوٹی یا شارٹس اور سینڈرو (بیلٹ)، C) پورے جسم کا سوٹ، D) بنیان اور پتلون")</f>
        <v>A) کرتہ اور پائجامہ، B) ایک لنگوٹی یا شارٹس اور سینڈرو (بیلٹ)، C) پورے جسم کا سوٹ، D) بنیان اور پتلون</v>
      </c>
      <c r="M9" s="6" t="str">
        <f>IFERROR(__xludf.DUMMYFUNCTION("GOOGLETRANSLATE(D9,""en"",""ur"")"),"ب) ایک لنگوٹی یا شارٹس اور سینڈرو (بیلٹ)")</f>
        <v>ب) ایک لنگوٹی یا شارٹس اور سینڈرو (بیلٹ)</v>
      </c>
      <c r="N9" s="6" t="str">
        <f>IFERROR(__xludf.DUMMYFUNCTION("GOOGLETRANSLATE(E9,""en"",""ur"")"),"پہلوان روایتی طور پر کم سے کم لباس پہنتے ہیں تاکہ نقل و حرکت کی آزادی ہو اور یہ یقینی بنایا جا سکے کہ گرفت صرف بیلٹ پر ہی لی جا سکتی ہے۔")</f>
        <v>پہلوان روایتی طور پر کم سے کم لباس پہنتے ہیں تاکہ نقل و حرکت کی آزادی ہو اور یہ یقینی بنایا جا سکے کہ گرفت صرف بیلٹ پر ہی لی جا سکتی ہے۔</v>
      </c>
    </row>
    <row r="10">
      <c r="A10" s="4">
        <v>9.0</v>
      </c>
      <c r="B10" s="5" t="s">
        <v>2986</v>
      </c>
      <c r="C10" s="5" t="s">
        <v>2987</v>
      </c>
      <c r="D10" s="5" t="s">
        <v>2988</v>
      </c>
      <c r="E10" s="5" t="s">
        <v>2989</v>
      </c>
      <c r="K10" s="6" t="str">
        <f>IFERROR(__xludf.DUMMYFUNCTION("GOOGLETRANSLATE(B10,""en"",""ur"")"),"ملاکھرا پہلوان کے لیے سب سے ضروری جسمانی مہارت کیا ہے؟")</f>
        <v>ملاکھرا پہلوان کے لیے سب سے ضروری جسمانی مہارت کیا ہے؟</v>
      </c>
      <c r="L10" s="6" t="str">
        <f>IFERROR(__xludf.DUMMYFUNCTION("GOOGLETRANSLATE(C10,""en"",""ur"")"),"A) دوڑنے کی رفتار، B) مکے مارنے کی طاقت، C) لات مارنے کی صلاحیت، D) مضبوط گرفت کی طاقت")</f>
        <v>A) دوڑنے کی رفتار، B) مکے مارنے کی طاقت، C) لات مارنے کی صلاحیت، D) مضبوط گرفت کی طاقت</v>
      </c>
      <c r="M10" s="6" t="str">
        <f>IFERROR(__xludf.DUMMYFUNCTION("GOOGLETRANSLATE(D10,""en"",""ur"")"),"D) مضبوط گرفت کی طاقت")</f>
        <v>D) مضبوط گرفت کی طاقت</v>
      </c>
      <c r="N10" s="6" t="str">
        <f>IFERROR(__xludf.DUMMYFUNCTION("GOOGLETRANSLATE(E10,""en"",""ur"")"),"چونکہ پورا فن حریف کو ان کی پٹی کے ذریعے قابو کرنے کے گرد گھومتا ہے، اس لیے ایک مضبوط گرفت سب سے اہم وصف ہے۔")</f>
        <v>چونکہ پورا فن حریف کو ان کی پٹی کے ذریعے قابو کرنے کے گرد گھومتا ہے، اس لیے ایک مضبوط گرفت سب سے اہم وصف ہے۔</v>
      </c>
    </row>
    <row r="11">
      <c r="A11" s="4">
        <v>10.0</v>
      </c>
      <c r="B11" s="5" t="s">
        <v>2990</v>
      </c>
      <c r="C11" s="5" t="s">
        <v>2991</v>
      </c>
      <c r="D11" s="5" t="s">
        <v>2992</v>
      </c>
      <c r="E11" s="5" t="s">
        <v>2993</v>
      </c>
      <c r="K11" s="6" t="str">
        <f>IFERROR(__xludf.DUMMYFUNCTION("GOOGLETRANSLATE(B11,""en"",""ur"")"),"ایک پہلوان کے لیے کیا سزا ہے جو جان بوجھ کر انگوٹھی (اکھاڑہ) سے باہر نکلتا ہے تاکہ تھرو سے بچ سکے؟")</f>
        <v>ایک پہلوان کے لیے کیا سزا ہے جو جان بوجھ کر انگوٹھی (اکھاڑہ) سے باہر نکلتا ہے تاکہ تھرو سے بچ سکے؟</v>
      </c>
      <c r="L11" s="6" t="str">
        <f>IFERROR(__xludf.DUMMYFUNCTION("GOOGLETRANSLATE(C11,""en"",""ur"")"),"A) ایک زبانی انتباہ جاری کیا جاتا ہے، B) مخالف کو ایک پوائنٹ دیا جاتا ہے، C) پہلوان کو نااہل قرار دیا جاتا ہے، D) راؤنڈ دوبارہ شروع ہوتا ہے")</f>
        <v>A) ایک زبانی انتباہ جاری کیا جاتا ہے، B) مخالف کو ایک پوائنٹ دیا جاتا ہے، C) پہلوان کو نااہل قرار دیا جاتا ہے، D) راؤنڈ دوبارہ شروع ہوتا ہے</v>
      </c>
      <c r="M11" s="6" t="str">
        <f>IFERROR(__xludf.DUMMYFUNCTION("GOOGLETRANSLATE(D11,""en"",""ur"")"),"ب) مخالف کو ایک پوائنٹ دیا جاتا ہے۔")</f>
        <v>ب) مخالف کو ایک پوائنٹ دیا جاتا ہے۔</v>
      </c>
      <c r="N11" s="6" t="str">
        <f>IFERROR(__xludf.DUMMYFUNCTION("GOOGLETRANSLATE(E11,""en"",""ur"")"),"جان بوجھ کر نامزد علاقے کو چھوڑنا غلط ہے اور اس کے نتیجے میں غیر فعال یا مکارانہ حربوں کی حوصلہ شکنی کرنے کے لیے ایک پوائنٹ جرمانہ ہوتا ہے۔")</f>
        <v>جان بوجھ کر نامزد علاقے کو چھوڑنا غلط ہے اور اس کے نتیجے میں غیر فعال یا مکارانہ حربوں کی حوصلہ شکنی کرنے کے لیے ایک پوائنٹ جرمانہ ہوتا ہے۔</v>
      </c>
    </row>
    <row r="12">
      <c r="A12" s="4">
        <v>11.0</v>
      </c>
      <c r="B12" s="5" t="s">
        <v>2994</v>
      </c>
      <c r="C12" s="5" t="s">
        <v>2995</v>
      </c>
      <c r="D12" s="5" t="s">
        <v>2996</v>
      </c>
      <c r="E12" s="5" t="s">
        <v>2997</v>
      </c>
      <c r="K12" s="6" t="str">
        <f>IFERROR(__xludf.DUMMYFUNCTION("GOOGLETRANSLATE(B12,""en"",""ur"")"),"حفاظت کو یقینی بنانے کے لیے ملاخرا کے لیے روایتی طور پر کس قسم کی زمینی سطح استعمال کی جاتی ہے؟")</f>
        <v>حفاظت کو یقینی بنانے کے لیے ملاخرا کے لیے روایتی طور پر کس قسم کی زمینی سطح استعمال کی جاتی ہے؟</v>
      </c>
      <c r="L12" s="6" t="str">
        <f>IFERROR(__xludf.DUMMYFUNCTION("GOOGLETRANSLATE(C12,""en"",""ur"")"),"A) سخت مٹی، B) گھاس، C) نرم ریت یا ڈھیلی زمین، D) لکڑی کے تختے")</f>
        <v>A) سخت مٹی، B) گھاس، C) نرم ریت یا ڈھیلی زمین، D) لکڑی کے تختے</v>
      </c>
      <c r="M12" s="6" t="str">
        <f>IFERROR(__xludf.DUMMYFUNCTION("GOOGLETRANSLATE(D12,""en"",""ur"")"),"C) نرم ریت یا ڈھیلی زمین")</f>
        <v>C) نرم ریت یا ڈھیلی زمین</v>
      </c>
      <c r="N12" s="6" t="str">
        <f>IFERROR(__xludf.DUMMYFUNCTION("GOOGLETRANSLATE(E12,""en"",""ur"")"),"ایک نرم سطح پھینکنے اور گرنے کے اثرات کو جذب کرنے کے لیے بہت ضروری ہے، جس سے چوٹ کے خطرے کو نمایاں طور پر کم کیا جا سکتا ہے۔")</f>
        <v>ایک نرم سطح پھینکنے اور گرنے کے اثرات کو جذب کرنے کے لیے بہت ضروری ہے، جس سے چوٹ کے خطرے کو نمایاں طور پر کم کیا جا سکتا ہے۔</v>
      </c>
    </row>
    <row r="13">
      <c r="A13" s="4">
        <v>12.0</v>
      </c>
      <c r="B13" s="5" t="s">
        <v>2998</v>
      </c>
      <c r="C13" s="5" t="s">
        <v>2999</v>
      </c>
      <c r="D13" s="5" t="s">
        <v>3000</v>
      </c>
      <c r="E13" s="5" t="s">
        <v>3001</v>
      </c>
      <c r="K13" s="6" t="str">
        <f>IFERROR(__xludf.DUMMYFUNCTION("GOOGLETRANSLATE(B13,""en"",""ur"")"),"اگر فائنل راؤنڈ کے اختتام پر پوائنٹس پر میچ برابر ہو جاتا ہے، تو فاتح کا تعین کرنے کا سب سے عام طریقہ کیا ہے؟")</f>
        <v>اگر فائنل راؤنڈ کے اختتام پر پوائنٹس پر میچ برابر ہو جاتا ہے، تو فاتح کا تعین کرنے کا سب سے عام طریقہ کیا ہے؟</v>
      </c>
      <c r="L13" s="6" t="str">
        <f>IFERROR(__xludf.DUMMYFUNCTION("GOOGLETRANSLATE(C13,""en"",""ur"")"),"A) سکے کا ٹاس، B) جج جارحیت کی بنیاد پر فیصلہ کرتے ہیں، C) اچانک موت کا راؤنڈ کھیلا جاتا ہے، D) جیتنے والا آخری پہلوان")</f>
        <v>A) سکے کا ٹاس، B) جج جارحیت کی بنیاد پر فیصلہ کرتے ہیں، C) اچانک موت کا راؤنڈ کھیلا جاتا ہے، D) جیتنے والا آخری پہلوان</v>
      </c>
      <c r="M13" s="6" t="str">
        <f>IFERROR(__xludf.DUMMYFUNCTION("GOOGLETRANSLATE(D13,""en"",""ur"")"),"C) اچانک موت کا راؤنڈ کھیلا جاتا ہے۔")</f>
        <v>C) اچانک موت کا راؤنڈ کھیلا جاتا ہے۔</v>
      </c>
      <c r="N13" s="6" t="str">
        <f>IFERROR(__xludf.DUMMYFUNCTION("GOOGLETRANSLATE(E13,""en"",""ur"")"),"ٹائی ہونے کی صورت میں، ایک اضافی راؤنڈ کا اکثر مقابلہ کیا جاتا ہے جہاں پوائنٹ یا پن بنانے والے پہلے پہلوان کو فاتح قرار دیا جاتا ہے۔")</f>
        <v>ٹائی ہونے کی صورت میں، ایک اضافی راؤنڈ کا اکثر مقابلہ کیا جاتا ہے جہاں پوائنٹ یا پن بنانے والے پہلے پہلوان کو فاتح قرار دیا جاتا ہے۔</v>
      </c>
    </row>
    <row r="14">
      <c r="A14" s="4">
        <v>13.0</v>
      </c>
      <c r="B14" s="5" t="s">
        <v>3002</v>
      </c>
      <c r="C14" s="5" t="s">
        <v>3003</v>
      </c>
      <c r="D14" s="5" t="s">
        <v>3004</v>
      </c>
      <c r="E14" s="5" t="s">
        <v>3005</v>
      </c>
      <c r="K14" s="6" t="str">
        <f>IFERROR(__xludf.DUMMYFUNCTION("GOOGLETRANSLATE(B14,""en"",""ur"")"),"عام طور پر کسی مقابلے کے لیے پہلوانوں کا جوڑا کیسے بنایا جاتا ہے؟")</f>
        <v>عام طور پر کسی مقابلے کے لیے پہلوانوں کا جوڑا کیسے بنایا جاتا ہے؟</v>
      </c>
      <c r="L14" s="6" t="str">
        <f>IFERROR(__xludf.DUMMYFUNCTION("GOOGLETRANSLATE(C14,""en"",""ur"")"),"A) عمر کے لحاظ سے، B) قد کے لحاظ سے، C) وزن کے لحاظ سے، D) بے ترتیب انتخاب کے ذریعے")</f>
        <v>A) عمر کے لحاظ سے، B) قد کے لحاظ سے، C) وزن کے لحاظ سے، D) بے ترتیب انتخاب کے ذریعے</v>
      </c>
      <c r="M14" s="6" t="str">
        <f>IFERROR(__xludf.DUMMYFUNCTION("GOOGLETRANSLATE(D14,""en"",""ur"")"),"ج) وزن کی کلاس کے لحاظ سے")</f>
        <v>ج) وزن کی کلاس کے لحاظ سے</v>
      </c>
      <c r="N14" s="6" t="str">
        <f>IFERROR(__xludf.DUMMYFUNCTION("GOOGLETRANSLATE(E14,""en"",""ur"")"),"منصفانہ اور مسابقتی میچوں کو یقینی بنانے کے لیے، پہلوانوں کو ان کے وزن کی بنیاد پر درجہ بندی اور جوڑا بنایا جاتا ہے۔")</f>
        <v>منصفانہ اور مسابقتی میچوں کو یقینی بنانے کے لیے، پہلوانوں کو ان کے وزن کی بنیاد پر درجہ بندی اور جوڑا بنایا جاتا ہے۔</v>
      </c>
    </row>
    <row r="15">
      <c r="A15" s="4">
        <v>14.0</v>
      </c>
      <c r="B15" s="5" t="s">
        <v>3006</v>
      </c>
      <c r="C15" s="5" t="s">
        <v>3007</v>
      </c>
      <c r="D15" s="5" t="s">
        <v>3008</v>
      </c>
      <c r="E15" s="5" t="s">
        <v>3009</v>
      </c>
      <c r="K15" s="6" t="str">
        <f>IFERROR(__xludf.DUMMYFUNCTION("GOOGLETRANSLATE(B15,""en"",""ur"")"),"سندھ میں چیمپیئن ملاکھڑا پہلوان کو روایتی خطاب کیا ہے؟")</f>
        <v>سندھ میں چیمپیئن ملاکھڑا پہلوان کو روایتی خطاب کیا ہے؟</v>
      </c>
      <c r="L15" s="6" t="str">
        <f>IFERROR(__xludf.DUMMYFUNCTION("GOOGLETRANSLATE(C15,""en"",""ur"")"),"A) ملک، B) استاد، C) پہلوان، D) گرو")</f>
        <v>A) ملک، B) استاد، C) پہلوان، D) گرو</v>
      </c>
      <c r="M15" s="6" t="str">
        <f>IFERROR(__xludf.DUMMYFUNCTION("GOOGLETRANSLATE(D15,""en"",""ur"")"),"ج) پہلوان")</f>
        <v>ج) پہلوان</v>
      </c>
      <c r="N15" s="6" t="str">
        <f>IFERROR(__xludf.DUMMYFUNCTION("GOOGLETRANSLATE(E15,""en"",""ur"")"),"پہلوان ایک اعزاز کا لقب ہے جو ملاکھرا اور دیگر جنوبی ایشیائی ریسلنگ اسٹائل میں کسی عظیم یا چیمپئن پہلوان کو دیا جاتا ہے۔")</f>
        <v>پہلوان ایک اعزاز کا لقب ہے جو ملاکھرا اور دیگر جنوبی ایشیائی ریسلنگ اسٹائل میں کسی عظیم یا چیمپئن پہلوان کو دیا جاتا ہے۔</v>
      </c>
    </row>
    <row r="16">
      <c r="A16" s="4">
        <v>15.0</v>
      </c>
      <c r="B16" s="5" t="s">
        <v>3010</v>
      </c>
      <c r="C16" s="5" t="s">
        <v>3011</v>
      </c>
      <c r="D16" s="5" t="s">
        <v>3012</v>
      </c>
      <c r="E16" s="5" t="s">
        <v>3013</v>
      </c>
      <c r="K16" s="6" t="str">
        <f>IFERROR(__xludf.DUMMYFUNCTION("GOOGLETRANSLATE(B16,""en"",""ur"")"),"ملاخرہ میں بنیادی دفاعی حکمت عملی کیا ہے؟")</f>
        <v>ملاخرہ میں بنیادی دفاعی حکمت عملی کیا ہے؟</v>
      </c>
      <c r="L16" s="6" t="str">
        <f>IFERROR(__xludf.DUMMYFUNCTION("GOOGLETRANSLATE(C16,""en"",""ur"")"),"A) چکما دینا اور بچنا، B) مخالف کے بازوؤں کو روکنا، C) کشش ثقل کے کم مرکز کو برقرار رکھنا اور مخالف کی پٹی پر مضبوط گرفت، D) بھاگنا")</f>
        <v>A) چکما دینا اور بچنا، B) مخالف کے بازوؤں کو روکنا، C) کشش ثقل کے کم مرکز کو برقرار رکھنا اور مخالف کی پٹی پر مضبوط گرفت، D) بھاگنا</v>
      </c>
      <c r="M16" s="6" t="str">
        <f>IFERROR(__xludf.DUMMYFUNCTION("GOOGLETRANSLATE(D16,""en"",""ur"")"),"ج) کشش ثقل کا کم مرکز اور مخالف کی پٹی پر مضبوط گرفت برقرار رکھنا")</f>
        <v>ج) کشش ثقل کا کم مرکز اور مخالف کی پٹی پر مضبوط گرفت برقرار رکھنا</v>
      </c>
      <c r="N16" s="6" t="str">
        <f>IFERROR(__xludf.DUMMYFUNCTION("GOOGLETRANSLATE(E16,""en"",""ur"")"),"ایک مضبوط موقف اور مخالف کے سیندھرو پر محفوظ گرفت تھرو کے خلاف دفاع اور میچ کو کنٹرول کرنے کی کلیدیں ہیں۔")</f>
        <v>ایک مضبوط موقف اور مخالف کے سیندھرو پر محفوظ گرفت تھرو کے خلاف دفاع اور میچ کو کنٹرول کرنے کی کلیدیں ہیں۔</v>
      </c>
    </row>
    <row r="17">
      <c r="A17" s="4">
        <v>16.0</v>
      </c>
      <c r="B17" s="5" t="s">
        <v>3014</v>
      </c>
      <c r="C17" s="5" t="s">
        <v>3015</v>
      </c>
      <c r="D17" s="5" t="s">
        <v>3016</v>
      </c>
      <c r="E17" s="5" t="s">
        <v>3017</v>
      </c>
      <c r="K17" s="6" t="str">
        <f>IFERROR(__xludf.DUMMYFUNCTION("GOOGLETRANSLATE(B17,""en"",""ur"")"),"ایک پہلوان جو جان بوجھ کر اسٹال لگاتا ہے اور مشغول ہونے سے انکار کرتا ہے اس کی کیا سزا ہے؟")</f>
        <v>ایک پہلوان جو جان بوجھ کر اسٹال لگاتا ہے اور مشغول ہونے سے انکار کرتا ہے اس کی کیا سزا ہے؟</v>
      </c>
      <c r="L17" s="6" t="str">
        <f>IFERROR(__xludf.DUMMYFUNCTION("GOOGLETRANSLATE(C17,""en"",""ur"")"),"A) ایک انتباہ، اس کے بعد غیر فعال ہونے کے لیے پوائنٹ کی کٹوتی، B) میچ فوری طور پر ختم ہو جاتا ہے، C) پہلوان کو آرام کا وقت دیا جاتا ہے، D) مخالف کو فاتح قرار دیا جاتا ہے۔")</f>
        <v>A) ایک انتباہ، اس کے بعد غیر فعال ہونے کے لیے پوائنٹ کی کٹوتی، B) میچ فوری طور پر ختم ہو جاتا ہے، C) پہلوان کو آرام کا وقت دیا جاتا ہے، D) مخالف کو فاتح قرار دیا جاتا ہے۔</v>
      </c>
      <c r="M17" s="6" t="str">
        <f>IFERROR(__xludf.DUMMYFUNCTION("GOOGLETRANSLATE(D17,""en"",""ur"")"),"A) ایک انتباہ، اس کے بعد غیر فعالی کے لیے پوائنٹ کی کٹوتی")</f>
        <v>A) ایک انتباہ، اس کے بعد غیر فعالی کے لیے پوائنٹ کی کٹوتی</v>
      </c>
      <c r="N17" s="6" t="str">
        <f>IFERROR(__xludf.DUMMYFUNCTION("GOOGLETRANSLATE(E17,""en"",""ur"")"),"کارروائی کی حوصلہ افزائی کرنے کے لیے، ایک ریفری روکے ہوئے پہلوان کو تنبیہ کرے گا اور پھر اگر رویہ جاری رہتا ہے تو اسے پوائنٹ کے نقصان کی سزا دے گا۔")</f>
        <v>کارروائی کی حوصلہ افزائی کرنے کے لیے، ایک ریفری روکے ہوئے پہلوان کو تنبیہ کرے گا اور پھر اگر رویہ جاری رہتا ہے تو اسے پوائنٹ کے نقصان کی سزا دے گا۔</v>
      </c>
    </row>
    <row r="18">
      <c r="A18" s="4">
        <v>17.0</v>
      </c>
      <c r="B18" s="5" t="s">
        <v>3018</v>
      </c>
      <c r="C18" s="5" t="s">
        <v>3019</v>
      </c>
      <c r="D18" s="5" t="s">
        <v>3020</v>
      </c>
      <c r="E18" s="5" t="s">
        <v>3021</v>
      </c>
      <c r="K18" s="6" t="str">
        <f>IFERROR(__xludf.DUMMYFUNCTION("GOOGLETRANSLATE(B18,""en"",""ur"")"),"روایتی طور پر ملاکھڑا میچ کیسے شروع ہوتا ہے؟")</f>
        <v>روایتی طور پر ملاکھڑا میچ کیسے شروع ہوتا ہے؟</v>
      </c>
      <c r="L18" s="6" t="str">
        <f>IFERROR(__xludf.DUMMYFUNCTION("GOOGLETRANSLATE(C18,""en"",""ur"")"),"A) مصافحہ کے ساتھ، B) پہلوان ایک دوسرے کی کمر کے گرد سیندھرو باندھتے ہیں، C) سکے کے ٹاس کے ساتھ، D) ریفری کو کمان کے ساتھ")</f>
        <v>A) مصافحہ کے ساتھ، B) پہلوان ایک دوسرے کی کمر کے گرد سیندھرو باندھتے ہیں، C) سکے کے ٹاس کے ساتھ، D) ریفری کو کمان کے ساتھ</v>
      </c>
      <c r="M18" s="6" t="str">
        <f>IFERROR(__xludf.DUMMYFUNCTION("GOOGLETRANSLATE(D18,""en"",""ur"")"),"ب) پہلوان ایک دوسرے کی کمر کے گرد سیندھرو باندھتے ہیں۔")</f>
        <v>ب) پہلوان ایک دوسرے کی کمر کے گرد سیندھرو باندھتے ہیں۔</v>
      </c>
      <c r="N18" s="6" t="str">
        <f>IFERROR(__xludf.DUMMYFUNCTION("GOOGLETRANSLATE(E18,""en"",""ur"")"),"میچ کا آغاز پہلوانوں کے ایک دوسرے کی بیلٹوں کو پکڑنے کی منفرد رسم سے ہوتا ہے، جو پھر مسلسل رابطے کو یقینی بنانے کے لیے باندھ دی جاتی ہیں۔")</f>
        <v>میچ کا آغاز پہلوانوں کے ایک دوسرے کی بیلٹوں کو پکڑنے کی منفرد رسم سے ہوتا ہے، جو پھر مسلسل رابطے کو یقینی بنانے کے لیے باندھ دی جاتی ہیں۔</v>
      </c>
    </row>
    <row r="19">
      <c r="A19" s="4">
        <v>18.0</v>
      </c>
      <c r="B19" s="5" t="s">
        <v>3022</v>
      </c>
      <c r="C19" s="5" t="s">
        <v>3023</v>
      </c>
      <c r="D19" s="5" t="s">
        <v>3024</v>
      </c>
      <c r="E19" s="5" t="s">
        <v>3025</v>
      </c>
      <c r="K19" s="6" t="str">
        <f>IFERROR(__xludf.DUMMYFUNCTION("GOOGLETRANSLATE(B19,""en"",""ur"")"),"""تکنیکی پن"" کیا ہے؟")</f>
        <v>"تکنیکی پن" کیا ہے؟</v>
      </c>
      <c r="L19" s="6" t="str">
        <f>IFERROR(__xludf.DUMMYFUNCTION("GOOGLETRANSLATE(C19,""en"",""ur"")"),"A) ایک خاص تکنیک کا استعمال کرتے ہوئے حاصل کیا گیا پن، B) جب ایک پہلوان کے کندھے کے بلیڈ کو ایک مختصر، کنٹرول شدہ مدت (جیسے 1-3 سیکنڈ) کے لیے زمین پر رکھا جاتا ہے، C) ایک پن جس پر کوچ کا اختلاف ہوتا ہے، D) ایک پن جو رنگ کے باہر ہوتا ہے۔")</f>
        <v>A) ایک خاص تکنیک کا استعمال کرتے ہوئے حاصل کیا گیا پن، B) جب ایک پہلوان کے کندھے کے بلیڈ کو ایک مختصر، کنٹرول شدہ مدت (جیسے 1-3 سیکنڈ) کے لیے زمین پر رکھا جاتا ہے، C) ایک پن جس پر کوچ کا اختلاف ہوتا ہے، D) ایک پن جو رنگ کے باہر ہوتا ہے۔</v>
      </c>
      <c r="M19" s="6" t="str">
        <f>IFERROR(__xludf.DUMMYFUNCTION("GOOGLETRANSLATE(D19,""en"",""ur"")"),"ب) جب ایک پہلوان کے کندھے کے بلیڈ کو ایک مختصر، کنٹرول شدہ مدت کے لیے زمین پر رکھا جاتا ہے (جیسے، 1-3 سیکنڈ)")</f>
        <v>ب) جب ایک پہلوان کے کندھے کے بلیڈ کو ایک مختصر، کنٹرول شدہ مدت کے لیے زمین پر رکھا جاتا ہے (جیسے، 1-3 سیکنڈ)</v>
      </c>
      <c r="N19" s="6" t="str">
        <f>IFERROR(__xludf.DUMMYFUNCTION("GOOGLETRANSLATE(E19,""en"",""ur"")"),"یہ بہت سے فارمیٹس میں ایک اصول ہے جہاں جیتنے کے لیے ایک مخصوص مدت کے لیے ایک واضح، کنٹرول شدہ پن کی ضرورت ہوتی ہے۔")</f>
        <v>یہ بہت سے فارمیٹس میں ایک اصول ہے جہاں جیتنے کے لیے ایک مخصوص مدت کے لیے ایک واضح، کنٹرول شدہ پن کی ضرورت ہوتی ہے۔</v>
      </c>
    </row>
    <row r="20">
      <c r="A20" s="4">
        <v>19.0</v>
      </c>
      <c r="B20" s="5" t="s">
        <v>3026</v>
      </c>
      <c r="C20" s="5" t="s">
        <v>3027</v>
      </c>
      <c r="D20" s="5" t="s">
        <v>3028</v>
      </c>
      <c r="E20" s="5" t="s">
        <v>3029</v>
      </c>
      <c r="K20" s="6" t="str">
        <f>IFERROR(__xludf.DUMMYFUNCTION("GOOGLETRANSLATE(B20,""en"",""ur"")"),"ہپ وہیل (بگھالی) پھینکنے کی کوشش کرنے والے مخالف کا بہترین جواب کیا ہے؟")</f>
        <v>ہپ وہیل (بگھالی) پھینکنے کی کوشش کرنے والے مخالف کا بہترین جواب کیا ہے؟</v>
      </c>
      <c r="L20" s="6" t="str">
        <f>IFERROR(__xludf.DUMMYFUNCTION("GOOGLETRANSLATE(C20,""en"",""ur"")"),"A) ان کی پٹی پر اپنی گرفت چھوڑنے کے لیے، B) پیچھے کی طرف چھلانگ لگانے کے لیے، C) ان کے پورے جسم میں قدم رکھنا اور ان کے کولہے کے داخلے کو روکنا، D) انہیں قریب کھینچنا")</f>
        <v>A) ان کی پٹی پر اپنی گرفت چھوڑنے کے لیے، B) پیچھے کی طرف چھلانگ لگانے کے لیے، C) ان کے پورے جسم میں قدم رکھنا اور ان کے کولہے کے داخلے کو روکنا، D) انہیں قریب کھینچنا</v>
      </c>
      <c r="M20" s="6" t="str">
        <f>IFERROR(__xludf.DUMMYFUNCTION("GOOGLETRANSLATE(D20,""en"",""ur"")"),"ج) ان کے جسم میں قدم رکھنا اور ان کے کولہے کے داخلے کو روکنا")</f>
        <v>ج) ان کے جسم میں قدم رکھنا اور ان کے کولہے کے داخلے کو روکنا</v>
      </c>
      <c r="N20" s="6" t="str">
        <f>IFERROR(__xludf.DUMMYFUNCTION("GOOGLETRANSLATE(E20,""en"",""ur"")"),"سب سے مؤثر دفاع یہ ہے کہ فٹ ورک کا استعمال حریف کو کولہے کی اس پوزیشن سے انکار کرنے کے لیے کیا جائے جس کی انہیں تھرو کے لیے ایک فلکرم کے طور پر استعمال کرنے کی ضرورت ہے۔")</f>
        <v>سب سے مؤثر دفاع یہ ہے کہ فٹ ورک کا استعمال حریف کو کولہے کی اس پوزیشن سے انکار کرنے کے لیے کیا جائے جس کی انہیں تھرو کے لیے ایک فلکرم کے طور پر استعمال کرنے کی ضرورت ہے۔</v>
      </c>
    </row>
    <row r="21">
      <c r="A21" s="4">
        <v>20.0</v>
      </c>
      <c r="B21" s="5" t="s">
        <v>3030</v>
      </c>
      <c r="C21" s="5" t="s">
        <v>3031</v>
      </c>
      <c r="D21" s="5" t="s">
        <v>3032</v>
      </c>
      <c r="E21" s="5" t="s">
        <v>3033</v>
      </c>
      <c r="K21" s="6" t="str">
        <f>IFERROR(__xludf.DUMMYFUNCTION("GOOGLETRANSLATE(B21,""en"",""ur"")"),"اگر کسی پہلوان کا ہاتھ جو بیلٹ کو پکڑنے کے لیے استعمال ہوتا ہے، توازن کے لیے زمین کو چھوئے تو اس کا کیا حکم ہے؟")</f>
        <v>اگر کسی پہلوان کا ہاتھ جو بیلٹ کو پکڑنے کے لیے استعمال ہوتا ہے، توازن کے لیے زمین کو چھوئے تو اس کا کیا حکم ہے؟</v>
      </c>
      <c r="L21" s="6" t="str">
        <f>IFERROR(__xludf.DUMMYFUNCTION("GOOGLETRANSLATE(C21,""en"",""ur"")"),"A) گرنے کو روکنے کے لیے یہ ایک قانونی اقدام ہے، B) یہ گرفت کی خلاف ورزی ہے، اور مخالف کو پوائنٹ دیا جاتا ہے، C) میچ دوبارہ شروع ہوتا ہے، D) کوئی جرمانہ نہیں ہوتا")</f>
        <v>A) گرنے کو روکنے کے لیے یہ ایک قانونی اقدام ہے، B) یہ گرفت کی خلاف ورزی ہے، اور مخالف کو پوائنٹ دیا جاتا ہے، C) میچ دوبارہ شروع ہوتا ہے، D) کوئی جرمانہ نہیں ہوتا</v>
      </c>
      <c r="M21" s="6" t="str">
        <f>IFERROR(__xludf.DUMMYFUNCTION("GOOGLETRANSLATE(D21,""en"",""ur"")"),"ب) یہ گرفت کی خلاف ورزی ہے، اور مخالف کو ایک پوائنٹ دیا جاتا ہے۔")</f>
        <v>ب) یہ گرفت کی خلاف ورزی ہے، اور مخالف کو ایک پوائنٹ دیا جاتا ہے۔</v>
      </c>
      <c r="N21" s="6" t="str">
        <f>IFERROR(__xludf.DUMMYFUNCTION("GOOGLETRANSLATE(E21,""en"",""ur"")"),"سیندھرو کو پکڑنے والے ہاتھ مخالف کے ساتھ لگے رہیں۔ چٹائی پر پوسٹ کرنے کے لیے پکڑے ہوئے ہاتھ کا استعمال کرنا غلط ہے۔")</f>
        <v>سیندھرو کو پکڑنے والے ہاتھ مخالف کے ساتھ لگے رہیں۔ چٹائی پر پوسٹ کرنے کے لیے پکڑے ہوئے ہاتھ کا استعمال کرنا غلط ہے۔</v>
      </c>
    </row>
    <row r="22">
      <c r="A22" s="4">
        <v>21.0</v>
      </c>
      <c r="B22" s="5" t="s">
        <v>3034</v>
      </c>
      <c r="C22" s="5" t="s">
        <v>3035</v>
      </c>
      <c r="D22" s="5" t="s">
        <v>3036</v>
      </c>
      <c r="E22" s="5" t="s">
        <v>3037</v>
      </c>
      <c r="K22" s="6" t="str">
        <f>IFERROR(__xludf.DUMMYFUNCTION("GOOGLETRANSLATE(B22,""en"",""ur"")"),"سندھ میں کن ثقافتی تقریبات میں ملاکھڑا مقابلے سب سے زیادہ نمایاں ہوتے ہیں؟")</f>
        <v>سندھ میں کن ثقافتی تقریبات میں ملاکھڑا مقابلے سب سے زیادہ نمایاں ہوتے ہیں؟</v>
      </c>
      <c r="L22" s="6" t="str">
        <f>IFERROR(__xludf.DUMMYFUNCTION("GOOGLETRANSLATE(C22,""en"",""ur"")"),"A) شادیاں، B) سیاسی جلسے، C) عرس (صوفی تہوار) اور دیگر روایتی میلے (میلے)، D) قومی تعطیلات")</f>
        <v>A) شادیاں، B) سیاسی جلسے، C) عرس (صوفی تہوار) اور دیگر روایتی میلے (میلے)، D) قومی تعطیلات</v>
      </c>
      <c r="M22" s="6" t="str">
        <f>IFERROR(__xludf.DUMMYFUNCTION("GOOGLETRANSLATE(D22,""en"",""ur"")"),"ج) عرس (صوفی میلے) اور دیگر روایتی میلے (میلے)")</f>
        <v>ج) عرس (صوفی میلے) اور دیگر روایتی میلے (میلے)</v>
      </c>
      <c r="N22" s="6" t="str">
        <f>IFERROR(__xludf.DUMMYFUNCTION("GOOGLETRANSLATE(E22,""en"",""ur"")"),"ملاکھڑا سندھ کی ثقافتی اور مذہبی زندگی سے گہرا جڑا ہوا ہے اور بڑے مقامی تہواروں کی خاص بات ہے۔")</f>
        <v>ملاکھڑا سندھ کی ثقافتی اور مذہبی زندگی سے گہرا جڑا ہوا ہے اور بڑے مقامی تہواروں کی خاص بات ہے۔</v>
      </c>
    </row>
    <row r="23">
      <c r="A23" s="4">
        <v>22.0</v>
      </c>
      <c r="B23" s="5" t="s">
        <v>3038</v>
      </c>
      <c r="C23" s="5" t="s">
        <v>3039</v>
      </c>
      <c r="D23" s="5" t="s">
        <v>3040</v>
      </c>
      <c r="E23" s="5" t="s">
        <v>3041</v>
      </c>
      <c r="K23" s="6" t="str">
        <f>IFERROR(__xludf.DUMMYFUNCTION("GOOGLETRANSLATE(B23,""en"",""ur"")"),"ملاخرہ میں ان میں سے کونسی عام اور قانونی جارحانہ تکنیک ہے؟")</f>
        <v>ملاخرہ میں ان میں سے کونسی عام اور قانونی جارحانہ تکنیک ہے؟</v>
      </c>
      <c r="L23" s="6" t="str">
        <f>IFERROR(__xludf.DUMMYFUNCTION("GOOGLETRANSLATE(C23,""en"",""ur"")"),"A) مخالف کے سینے پر مکے مارنا، B) ٹانگ جھاڑنا یا ٹرپ کرنا، C) مخالف کی ٹانگ پر لات مارنا، D) ہیڈ بٹ")</f>
        <v>A) مخالف کے سینے پر مکے مارنا، B) ٹانگ جھاڑنا یا ٹرپ کرنا، C) مخالف کی ٹانگ پر لات مارنا، D) ہیڈ بٹ</v>
      </c>
      <c r="M23" s="6" t="str">
        <f>IFERROR(__xludf.DUMMYFUNCTION("GOOGLETRANSLATE(D23,""en"",""ur"")"),"ب) ایک ٹانگ جھاڑو یا سفر")</f>
        <v>ب) ایک ٹانگ جھاڑو یا سفر</v>
      </c>
      <c r="N23" s="6" t="str">
        <f>IFERROR(__xludf.DUMMYFUNCTION("GOOGLETRANSLATE(E23,""en"",""ur"")"),"ٹانگوں کا استعمال مخالف کو ٹرپ کرنے یا جھاڑو دینے کے لیے آرٹ کی ٹیک ڈاؤن تکنیک کا ایک بنیادی حصہ ہے۔")</f>
        <v>ٹانگوں کا استعمال مخالف کو ٹرپ کرنے یا جھاڑو دینے کے لیے آرٹ کی ٹیک ڈاؤن تکنیک کا ایک بنیادی حصہ ہے۔</v>
      </c>
    </row>
    <row r="24">
      <c r="A24" s="4">
        <v>23.0</v>
      </c>
      <c r="B24" s="5" t="s">
        <v>3042</v>
      </c>
      <c r="C24" s="5" t="s">
        <v>3043</v>
      </c>
      <c r="D24" s="5" t="s">
        <v>3044</v>
      </c>
      <c r="E24" s="5" t="s">
        <v>3045</v>
      </c>
      <c r="K24" s="6" t="str">
        <f>IFERROR(__xludf.DUMMYFUNCTION("GOOGLETRANSLATE(B24,""en"",""ur"")"),"""مصروفیت"" کے لیے ریفری کے زبانی اشارے کا بنیادی مقصد کیا ہے؟")</f>
        <v>"مصروفیت" کے لیے ریفری کے زبانی اشارے کا بنیادی مقصد کیا ہے؟</v>
      </c>
      <c r="L24" s="6" t="str">
        <f>IFERROR(__xludf.DUMMYFUNCTION("GOOGLETRANSLATE(C24,""en"",""ur"")"),"A) ہجوم کو تفریح ​​​​کرنے کے لئے، B) پہلوانوں کو وقفہ دینا، C) رسمی انتباہ جاری کرنے سے پہلے غیر فعالی کے اصول میں پہلا قدم ہونا، D) راؤنڈ کے آغاز کا اشارہ دینا")</f>
        <v>A) ہجوم کو تفریح ​​​​کرنے کے لئے، B) پہلوانوں کو وقفہ دینا، C) رسمی انتباہ جاری کرنے سے پہلے غیر فعالی کے اصول میں پہلا قدم ہونا، D) راؤنڈ کے آغاز کا اشارہ دینا</v>
      </c>
      <c r="M24" s="6" t="str">
        <f>IFERROR(__xludf.DUMMYFUNCTION("GOOGLETRANSLATE(D24,""en"",""ur"")"),"C) باضابطہ انتباہ جاری کرنے سے پہلے غیر فعالی کے اصول کا پہلا قدم ہونا")</f>
        <v>C) باضابطہ انتباہ جاری کرنے سے پہلے غیر فعالی کے اصول کا پہلا قدم ہونا</v>
      </c>
      <c r="N24" s="6" t="str">
        <f>IFERROR(__xludf.DUMMYFUNCTION("GOOGLETRANSLATE(E24,""en"",""ur"")"),"اسٹال لگانے پر جرمانہ عائد کرنے سے پہلے، ریفری زبانی طور پر پہلوانوں کو زیادہ فعال ہونے کی ترغیب دے گا۔")</f>
        <v>اسٹال لگانے پر جرمانہ عائد کرنے سے پہلے، ریفری زبانی طور پر پہلوانوں کو زیادہ فعال ہونے کی ترغیب دے گا۔</v>
      </c>
    </row>
    <row r="25">
      <c r="A25" s="4">
        <v>24.0</v>
      </c>
      <c r="B25" s="5" t="s">
        <v>3046</v>
      </c>
      <c r="C25" s="5" t="s">
        <v>3047</v>
      </c>
      <c r="D25" s="5" t="s">
        <v>3048</v>
      </c>
      <c r="E25" s="5" t="s">
        <v>3049</v>
      </c>
      <c r="K25" s="6" t="str">
        <f>IFERROR(__xludf.DUMMYFUNCTION("GOOGLETRANSLATE(B25,""en"",""ur"")"),"اگر کوئی پہلوان باؤنڈری لائن کے قریب ہے تو اس کے لیے میچ کو دوبارہ سنٹر کرنے اور دوبارہ سنٹر کرنے کا سب سے محفوظ طریقہ کیا ہے؟")</f>
        <v>اگر کوئی پہلوان باؤنڈری لائن کے قریب ہے تو اس کے لیے میچ کو دوبارہ سنٹر کرنے اور دوبارہ سنٹر کرنے کا سب سے محفوظ طریقہ کیا ہے؟</v>
      </c>
      <c r="L25" s="6" t="str">
        <f>IFERROR(__xludf.DUMMYFUNCTION("GOOGLETRANSLATE(C25,""en"",""ur"")"),"A) حریف کو رنگ سے باہر دھکیلنا، B) گرفت چھوڑ کر مرکز کی طرف بھاگنا، C) گرفت کو برقرار رکھتے ہوئے دونوں پہلوانوں کو مرکز میں واپس لے جانے کے لیے مختصر، بدلتے قدموں کا استعمال کرنا، D) جان بوجھ کر نیچے گرنا")</f>
        <v>A) حریف کو رنگ سے باہر دھکیلنا، B) گرفت چھوڑ کر مرکز کی طرف بھاگنا، C) گرفت کو برقرار رکھتے ہوئے دونوں پہلوانوں کو مرکز میں واپس لے جانے کے لیے مختصر، بدلتے قدموں کا استعمال کرنا، D) جان بوجھ کر نیچے گرنا</v>
      </c>
      <c r="M25" s="6" t="str">
        <f>IFERROR(__xludf.DUMMYFUNCTION("GOOGLETRANSLATE(D25,""en"",""ur"")"),"ج) گرفت کو برقرار رکھتے ہوئے دونوں پہلوانوں کو مرکز میں واپس لے جانے کے لیے مختصر، بدلتے ہوئے قدموں کا استعمال کرنا")</f>
        <v>ج) گرفت کو برقرار رکھتے ہوئے دونوں پہلوانوں کو مرکز میں واپس لے جانے کے لیے مختصر، بدلتے ہوئے قدموں کا استعمال کرنا</v>
      </c>
      <c r="N25" s="6" t="str">
        <f>IFERROR(__xludf.DUMMYFUNCTION("GOOGLETRANSLATE(E25,""en"",""ur"")"),"یہ تکنیک کنٹرول کو برقرار رکھتی ہے اور گرفت کو چھوڑنے یا حد سے باہر نکلنے کے جرمانے سے بچتی ہے۔")</f>
        <v>یہ تکنیک کنٹرول کو برقرار رکھتی ہے اور گرفت کو چھوڑنے یا حد سے باہر نکلنے کے جرمانے سے بچتی ہے۔</v>
      </c>
    </row>
    <row r="26">
      <c r="A26" s="4">
        <v>25.0</v>
      </c>
      <c r="B26" s="5" t="s">
        <v>3050</v>
      </c>
      <c r="C26" s="5" t="s">
        <v>3051</v>
      </c>
      <c r="D26" s="5" t="s">
        <v>3052</v>
      </c>
      <c r="E26" s="5" t="s">
        <v>3053</v>
      </c>
      <c r="K26" s="6" t="str">
        <f>IFERROR(__xludf.DUMMYFUNCTION("GOOGLETRANSLATE(B26,""en"",""ur"")"),"اگر کوچ کسی غیر قانونی ہدایت کو چلاتا ہے، جیسا کہ ""اس کی گردن مروڑو!"" کا کیا حکم ہے؟")</f>
        <v>اگر کوچ کسی غیر قانونی ہدایت کو چلاتا ہے، جیسا کہ "اس کی گردن مروڑو!" کا کیا حکم ہے؟</v>
      </c>
      <c r="L26" s="6" t="str">
        <f>IFERROR(__xludf.DUMMYFUNCTION("GOOGLETRANSLATE(C26,""en"",""ur"")"),"A) کوچ کو نظر انداز کیا جاتا ہے، B) کوچ کو زبانی وارننگ دی جاتی ہے، C) کوچ کے پہلوان کو ایک پوائنٹ جرمانہ دیا جاتا ہے، D) میچ روک دیا جاتا ہے۔")</f>
        <v>A) کوچ کو نظر انداز کیا جاتا ہے، B) کوچ کو زبانی وارننگ دی جاتی ہے، C) کوچ کے پہلوان کو ایک پوائنٹ جرمانہ دیا جاتا ہے، D) میچ روک دیا جاتا ہے۔</v>
      </c>
      <c r="M26" s="6" t="str">
        <f>IFERROR(__xludf.DUMMYFUNCTION("GOOGLETRANSLATE(D26,""en"",""ur"")"),"ج) کوچ کے پہلوان کو ایک پوائنٹ کی سزا دی جاتی ہے۔")</f>
        <v>ج) کوچ کے پہلوان کو ایک پوائنٹ کی سزا دی جاتی ہے۔</v>
      </c>
      <c r="N26" s="6" t="str">
        <f>IFERROR(__xludf.DUMMYFUNCTION("GOOGLETRANSLATE(E26,""en"",""ur"")"),"کونے کا طرز عمل پہلوان پر جھلکتا ہے۔ غیر قانونی کاموں کی حوصلہ افزائی کرنے والے کوچ پر جرمانہ عائد کیا جائے گا، اور جرمانے کا اطلاق ان کے لڑاکا پر ہوگا۔")</f>
        <v>کونے کا طرز عمل پہلوان پر جھلکتا ہے۔ غیر قانونی کاموں کی حوصلہ افزائی کرنے والے کوچ پر جرمانہ عائد کیا جائے گا، اور جرمانے کا اطلاق ان کے لڑاکا پر ہوگا۔</v>
      </c>
    </row>
    <row r="27">
      <c r="A27" s="4">
        <v>26.0</v>
      </c>
      <c r="B27" s="5" t="s">
        <v>3054</v>
      </c>
      <c r="C27" s="5" t="s">
        <v>3055</v>
      </c>
      <c r="D27" s="5" t="s">
        <v>3056</v>
      </c>
      <c r="E27" s="5" t="s">
        <v>3057</v>
      </c>
      <c r="K27" s="6" t="str">
        <f>IFERROR(__xludf.DUMMYFUNCTION("GOOGLETRANSLATE(B27,""en"",""ur"")"),"اگر ایک پہلوان کو معمولی رگڑ سے خون بہہ رہا ہے تو معیاری طریقہ کار کیا ہے؟")</f>
        <v>اگر ایک پہلوان کو معمولی رگڑ سے خون بہہ رہا ہے تو معیاری طریقہ کار کیا ہے؟</v>
      </c>
      <c r="L27" s="6" t="str">
        <f>IFERROR(__xludf.DUMMYFUNCTION("GOOGLETRANSLATE(C27,""en"",""ur"")"),"A) میچ جاری ہے، B) پہلوان کو نااہل قرار دے دیا گیا ہے، C) ریفری زخم کے علاج اور صفائی کے لیے طبی وقت ختم کرتا ہے، D) مخالف راؤنڈ جیت جاتا ہے۔")</f>
        <v>A) میچ جاری ہے، B) پہلوان کو نااہل قرار دے دیا گیا ہے، C) ریفری زخم کے علاج اور صفائی کے لیے طبی وقت ختم کرتا ہے، D) مخالف راؤنڈ جیت جاتا ہے۔</v>
      </c>
      <c r="M27" s="6" t="str">
        <f>IFERROR(__xludf.DUMMYFUNCTION("GOOGLETRANSLATE(D27,""en"",""ur"")"),"C) ریفری زخم کے علاج اور جراثیم کشی کے لیے طبی وقت ختم کرتا ہے۔")</f>
        <v>C) ریفری زخم کے علاج اور جراثیم کشی کے لیے طبی وقت ختم کرتا ہے۔</v>
      </c>
      <c r="N27" s="6" t="str">
        <f>IFERROR(__xludf.DUMMYFUNCTION("GOOGLETRANSLATE(E27,""en"",""ur"")"),"حفظان صحت اور حفاظت کو یقینی بنانے کے لیے معیاری ""خون کے اصول"" لاگو کیے جاتے ہیں۔ چوٹ کے علاج کے دوران گھڑی رک جاتی ہے۔")</f>
        <v>حفظان صحت اور حفاظت کو یقینی بنانے کے لیے معیاری "خون کے اصول" لاگو کیے جاتے ہیں۔ چوٹ کے علاج کے دوران گھڑی رک جاتی ہے۔</v>
      </c>
    </row>
    <row r="28">
      <c r="A28" s="4">
        <v>27.0</v>
      </c>
      <c r="B28" s="5" t="s">
        <v>3058</v>
      </c>
      <c r="C28" s="5" t="s">
        <v>3059</v>
      </c>
      <c r="D28" s="5" t="s">
        <v>3060</v>
      </c>
      <c r="E28" s="5" t="s">
        <v>3061</v>
      </c>
      <c r="K28" s="6" t="str">
        <f>IFERROR(__xludf.DUMMYFUNCTION("GOOGLETRANSLATE(B28,""en"",""ur"")"),"تھرو سیٹ کرنے کے لیے مخالف کو متوازن کرنے کا سب سے موثر طریقہ کیا ہے؟")</f>
        <v>تھرو سیٹ کرنے کے لیے مخالف کو متوازن کرنے کا سب سے موثر طریقہ کیا ہے؟</v>
      </c>
      <c r="L28" s="6" t="str">
        <f>IFERROR(__xludf.DUMMYFUNCTION("GOOGLETRANSLATE(C28,""en"",""ur"")"),"A) ان پر چیخ کر، B) ان کے وزن کو آگے بڑھانے کے لیے ان کی بیلٹ کو چھین کر، C) ان کے سر کو نیچے دھکیل کر، D) ان کے تھک جانے کا انتظار کر کے")</f>
        <v>A) ان پر چیخ کر، B) ان کے وزن کو آگے بڑھانے کے لیے ان کی بیلٹ کو چھین کر، C) ان کے سر کو نیچے دھکیل کر، D) ان کے تھک جانے کا انتظار کر کے</v>
      </c>
      <c r="M28" s="6" t="str">
        <f>IFERROR(__xludf.DUMMYFUNCTION("GOOGLETRANSLATE(D28,""en"",""ur"")"),"ب) اپنا وزن آگے بڑھانے کے لیے ان کے بیلٹ کو چھین کر")</f>
        <v>ب) اپنا وزن آگے بڑھانے کے لیے ان کے بیلٹ کو چھین کر</v>
      </c>
      <c r="N28" s="6" t="str">
        <f>IFERROR(__xludf.DUMMYFUNCTION("GOOGLETRANSLATE(E28,""en"",""ur"")"),"سیندھرو پر تیز ٹگ یا اسنیپ مخالف کے وزن کو ان کی انگلیوں پر مجبور کر سکتا ہے، جس سے وہ جھاڑو یا پھینکنے کا خطرہ بن سکتا ہے۔")</f>
        <v>سیندھرو پر تیز ٹگ یا اسنیپ مخالف کے وزن کو ان کی انگلیوں پر مجبور کر سکتا ہے، جس سے وہ جھاڑو یا پھینکنے کا خطرہ بن سکتا ہے۔</v>
      </c>
    </row>
    <row r="29">
      <c r="A29" s="4">
        <v>28.0</v>
      </c>
      <c r="B29" s="5" t="s">
        <v>3062</v>
      </c>
      <c r="C29" s="5" t="s">
        <v>3063</v>
      </c>
      <c r="D29" s="5" t="s">
        <v>3064</v>
      </c>
      <c r="E29" s="5" t="s">
        <v>3065</v>
      </c>
      <c r="K29" s="6" t="str">
        <f>IFERROR(__xludf.DUMMYFUNCTION("GOOGLETRANSLATE(B29,""en"",""ur"")"),"ریفری کے ذریعہ ""اسٹیپ آؤٹ"" فاؤل کی باضابطہ تصدیق کیسے ہوتی ہے؟")</f>
        <v>ریفری کے ذریعہ "اسٹیپ آؤٹ" فاؤل کی باضابطہ تصدیق کیسے ہوتی ہے؟</v>
      </c>
      <c r="L29" s="6" t="str">
        <f>IFERROR(__xludf.DUMMYFUNCTION("GOOGLETRANSLATE(C29,""en"",""ur"")"),"A) اگر پہلوان کی ایڑی لائن کو چھوتی ہے، B) اگر پہلوان کا پورا پاؤں باؤنڈری لائن سے باہر زمین سے رابطہ کرتا ہے، C) اگر پہلوان کے جسم کا کوئی حصہ لائن کو کراس کرتا ہے، D) اگر پہلوان کا سایہ لائن کو عبور کرتا ہے۔")</f>
        <v>A) اگر پہلوان کی ایڑی لائن کو چھوتی ہے، B) اگر پہلوان کا پورا پاؤں باؤنڈری لائن سے باہر زمین سے رابطہ کرتا ہے، C) اگر پہلوان کے جسم کا کوئی حصہ لائن کو کراس کرتا ہے، D) اگر پہلوان کا سایہ لائن کو عبور کرتا ہے۔</v>
      </c>
      <c r="M29" s="6" t="str">
        <f>IFERROR(__xludf.DUMMYFUNCTION("GOOGLETRANSLATE(D29,""en"",""ur"")"),"ب) اگر پہلوان کا پورا پاؤں باؤنڈری لائن سے باہر زمین سے رابطہ کرتا ہے۔")</f>
        <v>ب) اگر پہلوان کا پورا پاؤں باؤنڈری لائن سے باہر زمین سے رابطہ کرتا ہے۔</v>
      </c>
      <c r="N29" s="6" t="str">
        <f>IFERROR(__xludf.DUMMYFUNCTION("GOOGLETRANSLATE(E29,""en"",""ur"")"),"قاعدہ رنگ سے واضح طور پر باہر نکلنے کی ضرورت ہے۔ لائن کے ایک سادہ برش کو اکثر جرمانہ نہیں کیا جاتا ہے، لیکن مکمل طور پر باہر نکلنا ایک واضح فاؤل ہے۔")</f>
        <v>قاعدہ رنگ سے واضح طور پر باہر نکلنے کی ضرورت ہے۔ لائن کے ایک سادہ برش کو اکثر جرمانہ نہیں کیا جاتا ہے، لیکن مکمل طور پر باہر نکلنا ایک واضح فاؤل ہے۔</v>
      </c>
    </row>
    <row r="30">
      <c r="A30" s="4">
        <v>29.0</v>
      </c>
      <c r="B30" s="5" t="s">
        <v>3066</v>
      </c>
      <c r="C30" s="5" t="s">
        <v>3067</v>
      </c>
      <c r="D30" s="5" t="s">
        <v>3068</v>
      </c>
      <c r="E30" s="5" t="s">
        <v>3069</v>
      </c>
      <c r="K30" s="6" t="str">
        <f>IFERROR(__xludf.DUMMYFUNCTION("GOOGLETRANSLATE(B30,""en"",""ur"")"),"اسسٹنٹ ججز یا ٹیبل آفیشلز کا بنیادی کردار کیا ہے؟")</f>
        <v>اسسٹنٹ ججز یا ٹیبل آفیشلز کا بنیادی کردار کیا ہے؟</v>
      </c>
      <c r="L30" s="6" t="str">
        <f>IFERROR(__xludf.DUMMYFUNCTION("GOOGLETRANSLATE(C30,""en"",""ur"")"),"A) پہلوانوں کی کوچنگ کے لیے، B) آفیشل ٹائم اور ریکارڈ پوائنٹس اور جرمانے کو برقرار رکھنے کے لیے جیسا کہ ریفری نے تصدیق کی ہے، C) ہجوم کو کنٹرول کرنا، D) طبی امداد فراہم کرنا")</f>
        <v>A) پہلوانوں کی کوچنگ کے لیے، B) آفیشل ٹائم اور ریکارڈ پوائنٹس اور جرمانے کو برقرار رکھنے کے لیے جیسا کہ ریفری نے تصدیق کی ہے، C) ہجوم کو کنٹرول کرنا، D) طبی امداد فراہم کرنا</v>
      </c>
      <c r="M30" s="6" t="str">
        <f>IFERROR(__xludf.DUMMYFUNCTION("GOOGLETRANSLATE(D30,""en"",""ur"")"),"ب) سرکاری وقت اور ریکارڈ پوائنٹس اور جرمانے کو برقرار رکھنے کے لئے جیسا کہ ریفری کی طرف سے تصدیق کی گئی ہے")</f>
        <v>ب) سرکاری وقت اور ریکارڈ پوائنٹس اور جرمانے کو برقرار رکھنے کے لئے جیسا کہ ریفری کی طرف سے تصدیق کی گئی ہے</v>
      </c>
      <c r="N30" s="6" t="str">
        <f>IFERROR(__xludf.DUMMYFUNCTION("GOOGLETRANSLATE(E30,""en"",""ur"")"),"ٹیبل حکام میچ کے انتظامی اور ریکارڈ رکھنے کے پہلوؤں کے ذمہ دار ہیں، جو سنٹرل ریفری کی مدد کرتے ہیں۔")</f>
        <v>ٹیبل حکام میچ کے انتظامی اور ریکارڈ رکھنے کے پہلوؤں کے ذمہ دار ہیں، جو سنٹرل ریفری کی مدد کرتے ہیں۔</v>
      </c>
    </row>
    <row r="31">
      <c r="A31" s="4">
        <v>30.0</v>
      </c>
      <c r="B31" s="5" t="s">
        <v>3070</v>
      </c>
      <c r="C31" s="5" t="s">
        <v>3071</v>
      </c>
      <c r="D31" s="5" t="s">
        <v>3072</v>
      </c>
      <c r="E31" s="5" t="s">
        <v>3073</v>
      </c>
      <c r="K31" s="6" t="str">
        <f>IFERROR(__xludf.DUMMYFUNCTION("GOOGLETRANSLATE(B31,""en"",""ur"")"),"تھرو ختم کرنے کا سب سے محفوظ طریقہ کیا ہے؟")</f>
        <v>تھرو ختم کرنے کا سب سے محفوظ طریقہ کیا ہے؟</v>
      </c>
      <c r="L31" s="6" t="str">
        <f>IFERROR(__xludf.DUMMYFUNCTION("GOOGLETRANSLATE(C31,""en"",""ur"")"),"A) مخالف کو ہوا کے وسط میں چھوڑنا، B) مخالف کا زمین پر پیچھا کرنا اور سینے سے سینے تک کنٹرول قائم کرنا، C) گرنے کے فوراً بعد گھومنا، D) جشن میں ہاتھ اٹھانا")</f>
        <v>A) مخالف کو ہوا کے وسط میں چھوڑنا، B) مخالف کا زمین پر پیچھا کرنا اور سینے سے سینے تک کنٹرول قائم کرنا، C) گرنے کے فوراً بعد گھومنا، D) جشن میں ہاتھ اٹھانا</v>
      </c>
      <c r="M31" s="6" t="str">
        <f>IFERROR(__xludf.DUMMYFUNCTION("GOOGLETRANSLATE(D31,""en"",""ur"")"),"ب) مخالف کی زمین پر پیروی کرنا اور سینہ بہ سینہ کنٹرول قائم کرنا")</f>
        <v>ب) مخالف کی زمین پر پیروی کرنا اور سینہ بہ سینہ کنٹرول قائم کرنا</v>
      </c>
      <c r="N31" s="6" t="str">
        <f>IFERROR(__xludf.DUMMYFUNCTION("GOOGLETRANSLATE(E31,""en"",""ur"")"),"تھرو کے بعد کنٹرول کو برقرار رکھنا پن کو محفوظ بنانے اور مخالف کو الٹ جانے سے روکنے کے لیے بہت ضروری ہے۔")</f>
        <v>تھرو کے بعد کنٹرول کو برقرار رکھنا پن کو محفوظ بنانے اور مخالف کو الٹ جانے سے روکنے کے لیے بہت ضروری ہے۔</v>
      </c>
    </row>
    <row r="32">
      <c r="A32" s="4">
        <v>31.0</v>
      </c>
      <c r="B32" s="5" t="s">
        <v>3074</v>
      </c>
      <c r="C32" s="5" t="s">
        <v>3075</v>
      </c>
      <c r="D32" s="5" t="s">
        <v>3076</v>
      </c>
      <c r="E32" s="5" t="s">
        <v>3077</v>
      </c>
      <c r="K32" s="6" t="str">
        <f>IFERROR(__xludf.DUMMYFUNCTION("GOOGLETRANSLATE(B32,""en"",""ur"")"),"جونیئر ڈویژنوں میں، سب سے عام اصول میں ترمیم کیا ہے؟")</f>
        <v>جونیئر ڈویژنوں میں، سب سے عام اصول میں ترمیم کیا ہے؟</v>
      </c>
      <c r="L32" s="6" t="str">
        <f>IFERROR(__xludf.DUMMYFUNCTION("GOOGLETRANSLATE(C32,""en"",""ur"")"),"A) ایک بڑی انگوٹھی کا استعمال کیا جاتا ہے، B) مختصر گول دورانیہ، C) بیلٹ استعمال نہیں کیا جاتا ہے، D) پنوں کی اجازت نہیں ہے")</f>
        <v>A) ایک بڑی انگوٹھی کا استعمال کیا جاتا ہے، B) مختصر گول دورانیہ، C) بیلٹ استعمال نہیں کیا جاتا ہے، D) پنوں کی اجازت نہیں ہے</v>
      </c>
      <c r="M32" s="6" t="str">
        <f>IFERROR(__xludf.DUMMYFUNCTION("GOOGLETRANSLATE(D32,""en"",""ur"")"),"ب) مختصر دور کا دورانیہ")</f>
        <v>ب) مختصر دور کا دورانیہ</v>
      </c>
      <c r="N32" s="6" t="str">
        <f>IFERROR(__xludf.DUMMYFUNCTION("GOOGLETRANSLATE(E32,""en"",""ur"")"),"نوجوان کھلاڑیوں کی کم برداشت کی سطح کے حساب سے، راؤنڈ کی لمبائی کو عام طور پر کم کیا جاتا ہے۔")</f>
        <v>نوجوان کھلاڑیوں کی کم برداشت کی سطح کے حساب سے، راؤنڈ کی لمبائی کو عام طور پر کم کیا جاتا ہے۔</v>
      </c>
    </row>
    <row r="33">
      <c r="A33" s="4">
        <v>32.0</v>
      </c>
      <c r="B33" s="5" t="s">
        <v>3078</v>
      </c>
      <c r="C33" s="5" t="s">
        <v>3079</v>
      </c>
      <c r="D33" s="5" t="s">
        <v>3080</v>
      </c>
      <c r="E33" s="5" t="s">
        <v>3081</v>
      </c>
      <c r="K33" s="6" t="str">
        <f>IFERROR(__xludf.DUMMYFUNCTION("GOOGLETRANSLATE(B33,""en"",""ur"")"),"اگر میچ کے دوران سیندھرو (بیلٹ) پھٹ جائے یا ٹوٹ جائے تو اس کا صحیح طریقہ کیا ہے؟")</f>
        <v>اگر میچ کے دوران سیندھرو (بیلٹ) پھٹ جائے یا ٹوٹ جائے تو اس کا صحیح طریقہ کیا ہے؟</v>
      </c>
      <c r="L33" s="6" t="str">
        <f>IFERROR(__xludf.DUMMYFUNCTION("GOOGLETRANSLATE(C33,""en"",""ur"")"),"A) بیلٹ کے بغیر میچ جاری رہتا ہے، B) ریفری بیلٹ بدلنے کے لیے فوری طور پر میچ روک دیتا ہے، C) وہ پہلوان جس کی سائیڈ ہارنے پر ٹوٹ گئی، D) مخالف کو پوائنٹ دیا جاتا ہے۔")</f>
        <v>A) بیلٹ کے بغیر میچ جاری رہتا ہے، B) ریفری بیلٹ بدلنے کے لیے فوری طور پر میچ روک دیتا ہے، C) وہ پہلوان جس کی سائیڈ ہارنے پر ٹوٹ گئی، D) مخالف کو پوائنٹ دیا جاتا ہے۔</v>
      </c>
      <c r="M33" s="6" t="str">
        <f>IFERROR(__xludf.DUMMYFUNCTION("GOOGLETRANSLATE(D33,""en"",""ur"")"),"ب) ریفری بیلٹ بدلنے کے لیے فوری طور پر میچ روک دیتا ہے۔")</f>
        <v>ب) ریفری بیلٹ بدلنے کے لیے فوری طور پر میچ روک دیتا ہے۔</v>
      </c>
      <c r="N33" s="6" t="str">
        <f>IFERROR(__xludf.DUMMYFUNCTION("GOOGLETRANSLATE(E33,""en"",""ur"")"),"کھیل کے لیے بیلٹ ضروری ہے۔ اگر یہ سمجھوتہ ہو جاتا ہے، تو حفاظت کے لیے اور ناقص آلات کو تبدیل کرنے کے لیے میچ کو روک دیا جانا چاہیے۔")</f>
        <v>کھیل کے لیے بیلٹ ضروری ہے۔ اگر یہ سمجھوتہ ہو جاتا ہے، تو حفاظت کے لیے اور ناقص آلات کو تبدیل کرنے کے لیے میچ کو روک دیا جانا چاہیے۔</v>
      </c>
    </row>
    <row r="34">
      <c r="A34" s="4">
        <v>33.0</v>
      </c>
      <c r="B34" s="5" t="s">
        <v>3082</v>
      </c>
      <c r="C34" s="5" t="s">
        <v>3083</v>
      </c>
      <c r="D34" s="5" t="s">
        <v>3084</v>
      </c>
      <c r="E34" s="5" t="s">
        <v>3085</v>
      </c>
      <c r="K34" s="6" t="str">
        <f>IFERROR(__xludf.DUMMYFUNCTION("GOOGLETRANSLATE(B34,""en"",""ur"")"),"ملہ کشتی کی روایت کی بنیادی خصوصیت کیا ہے جس سے ملاکھڑا اخذ کیا گیا ہے؟")</f>
        <v>ملہ کشتی کی روایت کی بنیادی خصوصیت کیا ہے جس سے ملاکھڑا اخذ کیا گیا ہے؟</v>
      </c>
      <c r="L34" s="6" t="str">
        <f>IFERROR(__xludf.DUMMYFUNCTION("GOOGLETRANSLATE(C34,""en"",""ur"")"),"A) یہ کِک باکسنگ کی ایک شکل ہے، B) یہ ایک جنوبی ہندوستانی مارشل آرٹ ہے، C) یہ انگوٹھی کی ایک قدیم شکل ہے جو پورے برصغیر میں پائی جاتی ہے، D) یہ ایک جدید کھیل ہے۔")</f>
        <v>A) یہ کِک باکسنگ کی ایک شکل ہے، B) یہ ایک جنوبی ہندوستانی مارشل آرٹ ہے، C) یہ انگوٹھی کی ایک قدیم شکل ہے جو پورے برصغیر میں پائی جاتی ہے، D) یہ ایک جدید کھیل ہے۔</v>
      </c>
      <c r="M34" s="6" t="str">
        <f>IFERROR(__xludf.DUMMYFUNCTION("GOOGLETRANSLATE(D34,""en"",""ur"")"),"ج) یہ انگوٹھی کی ایک قدیم شکل ہے جو پورے برصغیر میں پائی جاتی ہے۔")</f>
        <v>ج) یہ انگوٹھی کی ایک قدیم شکل ہے جو پورے برصغیر میں پائی جاتی ہے۔</v>
      </c>
      <c r="N34" s="6" t="str">
        <f>IFERROR(__xludf.DUMMYFUNCTION("GOOGLETRANSLATE(E34,""en"",""ur"")"),"ملاکھڑا کشتی کی وسیع تر مالہ یا ملا یدھ روایت کی ایک مخصوص شکل ہے جو اس خطے میں ہزاروں سالوں سے موجود ہے۔")</f>
        <v>ملاکھڑا کشتی کی وسیع تر مالہ یا ملا یدھ روایت کی ایک مخصوص شکل ہے جو اس خطے میں ہزاروں سالوں سے موجود ہے۔</v>
      </c>
    </row>
    <row r="35">
      <c r="A35" s="4">
        <v>34.0</v>
      </c>
      <c r="B35" s="5" t="s">
        <v>3086</v>
      </c>
      <c r="C35" s="5" t="s">
        <v>3087</v>
      </c>
      <c r="D35" s="5" t="s">
        <v>3088</v>
      </c>
      <c r="E35" s="5" t="s">
        <v>3089</v>
      </c>
      <c r="K35" s="6" t="str">
        <f>IFERROR(__xludf.DUMMYFUNCTION("GOOGLETRANSLATE(B35,""en"",""ur"")"),"ایک پہلوان کو ""غیر قانونی گرفت"" استعمال کرنے پر سزا دی جاتی ہے۔ ان میں سے کون سی مثال ہے؟")</f>
        <v>ایک پہلوان کو "غیر قانونی گرفت" استعمال کرنے پر سزا دی جاتی ہے۔ ان میں سے کون سی مثال ہے؟</v>
      </c>
      <c r="L35" s="6" t="str">
        <f>IFERROR(__xludf.DUMMYFUNCTION("GOOGLETRANSLATE(C35,""en"",""ur"")"),"A) بیلٹ کو دونوں ہاتھوں سے پکڑنا، B) مخالف کی شارٹس یا لنگوٹی کے اندر انگلیاں لگانا، C) مخالف کی کمر پر اونچی گرفت، D) مخالف کے کولہے پر کم گرفت")</f>
        <v>A) بیلٹ کو دونوں ہاتھوں سے پکڑنا، B) مخالف کی شارٹس یا لنگوٹی کے اندر انگلیاں لگانا، C) مخالف کی کمر پر اونچی گرفت، D) مخالف کے کولہے پر کم گرفت</v>
      </c>
      <c r="M35" s="6" t="str">
        <f>IFERROR(__xludf.DUMMYFUNCTION("GOOGLETRANSLATE(D35,""en"",""ur"")"),"ب) مخالف کی شارٹس یا لنگوٹی کے اندر انگلیاں لگانا")</f>
        <v>ب) مخالف کی شارٹس یا لنگوٹی کے اندر انگلیاں لگانا</v>
      </c>
      <c r="N35" s="6" t="str">
        <f>IFERROR(__xludf.DUMMYFUNCTION("GOOGLETRANSLATE(E35,""en"",""ur"")"),"تمام گرفت سیندھرو پر ہی ہونی چاہیے۔ حریف کا لباس پکڑنا فضول ہے۔")</f>
        <v>تمام گرفت سیندھرو پر ہی ہونی چاہیے۔ حریف کا لباس پکڑنا فضول ہے۔</v>
      </c>
    </row>
    <row r="36">
      <c r="A36" s="4">
        <v>35.0</v>
      </c>
      <c r="B36" s="5" t="s">
        <v>3090</v>
      </c>
      <c r="C36" s="5" t="s">
        <v>3091</v>
      </c>
      <c r="D36" s="5" t="s">
        <v>3092</v>
      </c>
      <c r="E36" s="5" t="s">
        <v>3093</v>
      </c>
      <c r="K36" s="6" t="str">
        <f>IFERROR(__xludf.DUMMYFUNCTION("GOOGLETRANSLATE(B36,""en"",""ur"")"),"میچ سے پہلے کی رسم کا اصل مقصد کیا ہے جہاں پہلوان اپنی رانوں اور سینے پر تھپڑ مارتے ہیں؟")</f>
        <v>میچ سے پہلے کی رسم کا اصل مقصد کیا ہے جہاں پہلوان اپنی رانوں اور سینے پر تھپڑ مارتے ہیں؟</v>
      </c>
      <c r="L36" s="6" t="str">
        <f>IFERROR(__xludf.DUMMYFUNCTION("GOOGLETRANSLATE(C36,""en"",""ur"")"),"A) پٹھوں کو گرم کرنے اور مخالف کو ڈرانے کے لئے، B) یہ ایک ضروری مذہبی تقریب ہے، C) ریفری کو تیاری کا اشارہ دینا، D) زخموں کی جانچ کرنا")</f>
        <v>A) پٹھوں کو گرم کرنے اور مخالف کو ڈرانے کے لئے، B) یہ ایک ضروری مذہبی تقریب ہے، C) ریفری کو تیاری کا اشارہ دینا، D) زخموں کی جانچ کرنا</v>
      </c>
      <c r="M36" s="6" t="str">
        <f>IFERROR(__xludf.DUMMYFUNCTION("GOOGLETRANSLATE(D36,""en"",""ur"")"),"A) پٹھوں کو گرم کرنا اور مخالف کو ڈرانا")</f>
        <v>A) پٹھوں کو گرم کرنا اور مخالف کو ڈرانا</v>
      </c>
      <c r="N36" s="6" t="str">
        <f>IFERROR(__xludf.DUMMYFUNCTION("GOOGLETRANSLATE(E36,""en"",""ur"")"),"یہ طاقت اور تیاری کا روایتی مظاہرہ ہے، جو بہت سے جنوبی ایشیائی کشتی کے انداز میں عام ہے۔")</f>
        <v>یہ طاقت اور تیاری کا روایتی مظاہرہ ہے، جو بہت سے جنوبی ایشیائی کشتی کے انداز میں عام ہے۔</v>
      </c>
    </row>
    <row r="37">
      <c r="A37" s="4">
        <v>36.0</v>
      </c>
      <c r="B37" s="5" t="s">
        <v>3094</v>
      </c>
      <c r="C37" s="5" t="s">
        <v>3095</v>
      </c>
      <c r="D37" s="5" t="s">
        <v>3096</v>
      </c>
      <c r="E37" s="5" t="s">
        <v>3097</v>
      </c>
      <c r="K37" s="6" t="str">
        <f>IFERROR(__xludf.DUMMYFUNCTION("GOOGLETRANSLATE(B37,""en"",""ur"")"),"اگر وقت ختم ہو جائے جب کہ ایک پہلوان اپنے مخالف کو پن کرنے کے عمل میں ہے، لیکن پن مکمل نہیں ہے، نتیجہ کیا ہے؟")</f>
        <v>اگر وقت ختم ہو جائے جب کہ ایک پہلوان اپنے مخالف کو پن کرنے کے عمل میں ہے، لیکن پن مکمل نہیں ہے، نتیجہ کیا ہے؟</v>
      </c>
      <c r="L37" s="6" t="str">
        <f>IFERROR(__xludf.DUMMYFUNCTION("GOOGLETRANSLATE(C37,""en"",""ur"")"),"A) پن دیا جاتا ہے، B) کوئی پن نہیں دیا جاتا، اور جیتنے والے کا فیصلہ کل پوائنٹس سے ہوتا ہے، C) ایک اضافی 10 سیکنڈ کا اضافہ کیا جاتا ہے، D) راؤنڈ ہمیشہ ڈرا ہوتا ہے۔")</f>
        <v>A) پن دیا جاتا ہے، B) کوئی پن نہیں دیا جاتا، اور جیتنے والے کا فیصلہ کل پوائنٹس سے ہوتا ہے، C) ایک اضافی 10 سیکنڈ کا اضافہ کیا جاتا ہے، D) راؤنڈ ہمیشہ ڈرا ہوتا ہے۔</v>
      </c>
      <c r="M37" s="6" t="str">
        <f>IFERROR(__xludf.DUMMYFUNCTION("GOOGLETRANSLATE(D37,""en"",""ur"")"),"ب) کوئی پن نہیں دیا جاتا ہے، اور جیتنے والے کا فیصلہ کل پوائنٹس سے ہوتا ہے۔")</f>
        <v>ب) کوئی پن نہیں دیا جاتا ہے، اور جیتنے والے کا فیصلہ کل پوائنٹس سے ہوتا ہے۔</v>
      </c>
      <c r="N37" s="6" t="str">
        <f>IFERROR(__xludf.DUMMYFUNCTION("GOOGLETRANSLATE(E37,""en"",""ur"")"),"وقت کی حد ختم ہونے سے پہلے پن کو مکمل طور پر محفوظ اور ریفری کے ذریعہ تسلیم کیا جانا چاہئے۔")</f>
        <v>وقت کی حد ختم ہونے سے پہلے پن کو مکمل طور پر محفوظ اور ریفری کے ذریعہ تسلیم کیا جانا چاہئے۔</v>
      </c>
    </row>
    <row r="38">
      <c r="A38" s="4">
        <v>37.0</v>
      </c>
      <c r="B38" s="5" t="s">
        <v>3098</v>
      </c>
      <c r="C38" s="5" t="s">
        <v>3099</v>
      </c>
      <c r="D38" s="5" t="s">
        <v>3100</v>
      </c>
      <c r="E38" s="5" t="s">
        <v>3101</v>
      </c>
      <c r="K38" s="6" t="str">
        <f>IFERROR(__xludf.DUMMYFUNCTION("GOOGLETRANSLATE(B38,""en"",""ur"")"),"ملاکھڑا سندھ کے دیہی علاقوں میں خاص طور پر مقبول ہونے کی بنیادی وجہ کیا ہے؟")</f>
        <v>ملاکھڑا سندھ کے دیہی علاقوں میں خاص طور پر مقبول ہونے کی بنیادی وجہ کیا ہے؟</v>
      </c>
      <c r="L38" s="6" t="str">
        <f>IFERROR(__xludf.DUMMYFUNCTION("GOOGLETRANSLATE(C38,""en"",""ur"")"),"A) یہ واحد کھیل دستیاب ہے، B) یہ ایک کم لاگت والا کھیل ہے جو مقامی تہواروں اور ثقافتی شناخت کے ساتھ گہرائی سے مربوط ہے، C) یہ ایک لازمی اسکول کا مضمون ہے، D) یہ حکومت کی طرف سے بہت زیادہ اسپانسر کیا جاتا ہے")</f>
        <v>A) یہ واحد کھیل دستیاب ہے، B) یہ ایک کم لاگت والا کھیل ہے جو مقامی تہواروں اور ثقافتی شناخت کے ساتھ گہرائی سے مربوط ہے، C) یہ ایک لازمی اسکول کا مضمون ہے، D) یہ حکومت کی طرف سے بہت زیادہ اسپانسر کیا جاتا ہے</v>
      </c>
      <c r="M38" s="6" t="str">
        <f>IFERROR(__xludf.DUMMYFUNCTION("GOOGLETRANSLATE(D38,""en"",""ur"")"),"ب) یہ ایک کم لاگت والا کھیل ہے جو مقامی تہواروں اور ثقافتی شناخت کے ساتھ گہرائی سے مربوط ہے۔")</f>
        <v>ب) یہ ایک کم لاگت والا کھیل ہے جو مقامی تہواروں اور ثقافتی شناخت کے ساتھ گہرائی سے مربوط ہے۔</v>
      </c>
      <c r="N38" s="6" t="str">
        <f>IFERROR(__xludf.DUMMYFUNCTION("GOOGLETRANSLATE(E38,""en"",""ur"")"),"اس کی رسائی اور مضبوط ثقافتی جڑوں نے اسے سندھ کے دیہاتوں میں ایک پائیدار روایت بنا دیا ہے۔")</f>
        <v>اس کی رسائی اور مضبوط ثقافتی جڑوں نے اسے سندھ کے دیہاتوں میں ایک پائیدار روایت بنا دیا ہے۔</v>
      </c>
    </row>
    <row r="39">
      <c r="A39" s="4">
        <v>38.0</v>
      </c>
      <c r="B39" s="5" t="s">
        <v>3102</v>
      </c>
      <c r="C39" s="5" t="s">
        <v>3103</v>
      </c>
      <c r="D39" s="5" t="s">
        <v>3104</v>
      </c>
      <c r="E39" s="5" t="s">
        <v>3105</v>
      </c>
      <c r="K39" s="6" t="str">
        <f>IFERROR(__xludf.DUMMYFUNCTION("GOOGLETRANSLATE(B39,""en"",""ur"")"),"میچ شروع کرنے کے لیے ریفری کا زبانی حکم کیا ہے؟")</f>
        <v>میچ شروع کرنے کے لیے ریفری کا زبانی حکم کیا ہے؟</v>
      </c>
      <c r="L39" s="6" t="str">
        <f>IFERROR(__xludf.DUMMYFUNCTION("GOOGLETRANSLATE(C39,""en"",""ur"")"),"A) ""مولائی!""، B) ""شورو!""، C) ""طیار!"" (تیار!)، D) کوئی زبانی حکم نہیں ہے۔")</f>
        <v>A) "مولائی!"، B) "شورو!"، C) "طیار!" (تیار!)، D) کوئی زبانی حکم نہیں ہے۔</v>
      </c>
      <c r="M39" s="6" t="str">
        <f>IFERROR(__xludf.DUMMYFUNCTION("GOOGLETRANSLATE(D39,""en"",""ur"")"),"ج) ""طیار!"" (تیار!)")</f>
        <v>ج) "طیار!" (تیار!)</v>
      </c>
      <c r="N39" s="6" t="str">
        <f>IFERROR(__xludf.DUMMYFUNCTION("GOOGLETRANSLATE(E39,""en"",""ur"")"),"پہلوانوں کو اچھی طرح سے پکڑنے کے بعد، ریفری حکم دے گا ""طیار!"" کارروائی کے آغاز کا اشارہ کرنے کے لئے.")</f>
        <v>پہلوانوں کو اچھی طرح سے پکڑنے کے بعد، ریفری حکم دے گا "طیار!" کارروائی کے آغاز کا اشارہ کرنے کے لئے.</v>
      </c>
    </row>
    <row r="40">
      <c r="A40" s="4">
        <v>39.0</v>
      </c>
      <c r="B40" s="5" t="s">
        <v>3106</v>
      </c>
      <c r="C40" s="5" t="s">
        <v>3107</v>
      </c>
      <c r="D40" s="5" t="s">
        <v>3108</v>
      </c>
      <c r="E40" s="5" t="s">
        <v>3109</v>
      </c>
      <c r="K40" s="6" t="str">
        <f>IFERROR(__xludf.DUMMYFUNCTION("GOOGLETRANSLATE(B40,""en"",""ur"")"),"ایک پہلوان ایک بڑا ٹورنامنٹ جیتتا ہے۔ انعام کے علاوہ انہیں کون سا اعلیٰ ترین اعزاز مل سکتا ہے؟")</f>
        <v>ایک پہلوان ایک بڑا ٹورنامنٹ جیتتا ہے۔ انعام کے علاوہ انہیں کون سا اعلیٰ ترین اعزاز مل سکتا ہے؟</v>
      </c>
      <c r="L40" s="6" t="str">
        <f>IFERROR(__xludf.DUMMYFUNCTION("GOOGLETRANSLATE(C40,""en"",""ur"")"),"A) ایک سرکاری ملازمت، B) ""استاد"" (ماسٹر) کا خطاب اور برادری کا احترام، C) ایک نیا ریسلنگ رنگ، D) بیلٹ کی زندگی بھر فراہمی")</f>
        <v>A) ایک سرکاری ملازمت، B) "استاد" (ماسٹر) کا خطاب اور برادری کا احترام، C) ایک نیا ریسلنگ رنگ، D) بیلٹ کی زندگی بھر فراہمی</v>
      </c>
      <c r="M40" s="6" t="str">
        <f>IFERROR(__xludf.DUMMYFUNCTION("GOOGLETRANSLATE(D40,""en"",""ur"")"),"ب) ""استاد"" (ماسٹر) کا لقب اور برادری کا احترام")</f>
        <v>ب) "استاد" (ماسٹر) کا لقب اور برادری کا احترام</v>
      </c>
      <c r="N40" s="6" t="str">
        <f>IFERROR(__xludf.DUMMYFUNCTION("GOOGLETRANSLATE(E40,""en"",""ur"")"),"کھیل میں ایک تسلیم شدہ ماسٹر اور ایک معزز بزرگ بننا ایک پہلوان کے لیے حتمی کامیابی ہے۔")</f>
        <v>کھیل میں ایک تسلیم شدہ ماسٹر اور ایک معزز بزرگ بننا ایک پہلوان کے لیے حتمی کامیابی ہے۔</v>
      </c>
    </row>
    <row r="41">
      <c r="A41" s="4">
        <v>40.0</v>
      </c>
      <c r="B41" s="5" t="s">
        <v>3110</v>
      </c>
      <c r="C41" s="5" t="s">
        <v>3111</v>
      </c>
      <c r="D41" s="5" t="s">
        <v>3112</v>
      </c>
      <c r="E41" s="5" t="s">
        <v>3113</v>
      </c>
      <c r="K41" s="6" t="str">
        <f>IFERROR(__xludf.DUMMYFUNCTION("GOOGLETRANSLATE(B41,""en"",""ur"")"),"ملاکھرا اور معیاری فری اسٹائل ریسلنگ کے درمیان بنیادی فرق کیا ہے؟")</f>
        <v>ملاکھرا اور معیاری فری اسٹائل ریسلنگ کے درمیان بنیادی فرق کیا ہے؟</v>
      </c>
      <c r="L41" s="6" t="str">
        <f>IFERROR(__xludf.DUMMYFUNCTION("GOOGLETRANSLATE(C41,""en"",""ur"")"),"A) بیلٹ (سندھرو) کا واحد گرفت پوائنٹ کے طور پر استعمال، B) ملاکھڑا راؤنڈ میں کھیلا جاتا ہے، C) ملاکھڑا میں وزن کی کلاس نہیں ہوتی، D) کوئی فرق نہیں ہوتا")</f>
        <v>A) بیلٹ (سندھرو) کا واحد گرفت پوائنٹ کے طور پر استعمال، B) ملاکھڑا راؤنڈ میں کھیلا جاتا ہے، C) ملاکھڑا میں وزن کی کلاس نہیں ہوتی، D) کوئی فرق نہیں ہوتا</v>
      </c>
      <c r="M41" s="6" t="str">
        <f>IFERROR(__xludf.DUMMYFUNCTION("GOOGLETRANSLATE(D41,""en"",""ur"")"),"A) بیلٹ (سندرو) کا استعمال واحد گرفت پوائنٹ کے طور پر")</f>
        <v>A) بیلٹ (سندرو) کا استعمال واحد گرفت پوائنٹ کے طور پر</v>
      </c>
      <c r="N41" s="6" t="str">
        <f>IFERROR(__xludf.DUMMYFUNCTION("GOOGLETRANSLATE(E41,""en"",""ur"")"),"بٹی ہوئی کپڑے کی پٹی پر لازمی گرفت وہ خاصیت ہے جو ملاکھرا کو ریسلنگ کی دیگر تمام اقسام سے الگ کرتی ہے۔")</f>
        <v>بٹی ہوئی کپڑے کی پٹی پر لازمی گرفت وہ خاصیت ہے جو ملاکھرا کو ریسلنگ کی دیگر تمام اقسام سے الگ کرتی ہے۔</v>
      </c>
    </row>
    <row r="42">
      <c r="A42" s="4">
        <v>41.0</v>
      </c>
      <c r="B42" s="5" t="s">
        <v>3114</v>
      </c>
      <c r="C42" s="5" t="s">
        <v>3115</v>
      </c>
      <c r="D42" s="5" t="s">
        <v>3116</v>
      </c>
      <c r="E42" s="5" t="s">
        <v>3117</v>
      </c>
      <c r="K42" s="6" t="str">
        <f>IFERROR(__xludf.DUMMYFUNCTION("GOOGLETRANSLATE(B42,""en"",""ur"")"),"ایک پہلوان کو تنبیہ کی جاتی ہے کہ وہ جان بوجھ کر مخالف کے سینے کو بٹانے کے لیے اپنا سر استعمال کرتا ہے۔ کیا یہ درست فاؤل ہے؟")</f>
        <v>ایک پہلوان کو تنبیہ کی جاتی ہے کہ وہ جان بوجھ کر مخالف کے سینے کو بٹانے کے لیے اپنا سر استعمال کرتا ہے۔ کیا یہ درست فاؤل ہے؟</v>
      </c>
      <c r="L42" s="6" t="str">
        <f>IFERROR(__xludf.DUMMYFUNCTION("GOOGLETRANSLATE(C42,""en"",""ur"")"),"A) نہیں، یہ ایک قانونی اقدام ہے، B) ہاں، سر کو ہتھیار کے طور پر استعمال کرنا بدعنوانی ہے، C) صرف اس صورت میں جب اس سے چوٹ لگے، D) صرف اس صورت میں جب مخالف شکایت کرے۔")</f>
        <v>A) نہیں، یہ ایک قانونی اقدام ہے، B) ہاں، سر کو ہتھیار کے طور پر استعمال کرنا بدعنوانی ہے، C) صرف اس صورت میں جب اس سے چوٹ لگے، D) صرف اس صورت میں جب مخالف شکایت کرے۔</v>
      </c>
      <c r="M42" s="6" t="str">
        <f>IFERROR(__xludf.DUMMYFUNCTION("GOOGLETRANSLATE(D42,""en"",""ur"")"),"ب) جی ہاں، سر کو ہتھیار کے طور پر استعمال کرنا بدعت ہے۔")</f>
        <v>ب) جی ہاں، سر کو ہتھیار کے طور پر استعمال کرنا بدعت ہے۔</v>
      </c>
      <c r="N42" s="6" t="str">
        <f>IFERROR(__xludf.DUMMYFUNCTION("GOOGLETRANSLATE(E42,""en"",""ur"")"),"اگرچہ حادثاتی طور پر سر سے رابطہ ہوسکتا ہے، جان بوجھ کر کسی مخالف کو مارنے یا دھکیلنے کے لیے سر کا استعمال غیر قانونی ہے۔")</f>
        <v>اگرچہ حادثاتی طور پر سر سے رابطہ ہوسکتا ہے، جان بوجھ کر کسی مخالف کو مارنے یا دھکیلنے کے لیے سر کا استعمال غیر قانونی ہے۔</v>
      </c>
    </row>
    <row r="43">
      <c r="A43" s="4">
        <v>42.0</v>
      </c>
      <c r="B43" s="5" t="s">
        <v>3118</v>
      </c>
      <c r="C43" s="5" t="s">
        <v>3119</v>
      </c>
      <c r="D43" s="5" t="s">
        <v>3120</v>
      </c>
      <c r="E43" s="5" t="s">
        <v>3121</v>
      </c>
      <c r="K43" s="6" t="str">
        <f>IFERROR(__xludf.DUMMYFUNCTION("GOOGLETRANSLATE(B43,""en"",""ur"")"),"اگر میچ کے دوران کسی پہلوان کی پٹی یا ریپنگ ڈھیلی ہو جائے تو ریفری کو کیا کرنا چاہیے؟")</f>
        <v>اگر میچ کے دوران کسی پہلوان کی پٹی یا ریپنگ ڈھیلی ہو جائے تو ریفری کو کیا کرنا چاہیے؟</v>
      </c>
      <c r="L43" s="6" t="str">
        <f>IFERROR(__xludf.DUMMYFUNCTION("GOOGLETRANSLATE(C43,""en"",""ur"")"),"A) میچ کو جاری رہنے دیں، B) میچ کو دوبارہ محفوظ کرنے کے لیے ایک محفوظ لمحے پر روکیں، C) مخالف کو پوائنٹ دیں، D) پہلوان کو نااہل قرار دیں")</f>
        <v>A) میچ کو جاری رہنے دیں، B) میچ کو دوبارہ محفوظ کرنے کے لیے ایک محفوظ لمحے پر روکیں، C) مخالف کو پوائنٹ دیں، D) پہلوان کو نااہل قرار دیں</v>
      </c>
      <c r="M43" s="6" t="str">
        <f>IFERROR(__xludf.DUMMYFUNCTION("GOOGLETRANSLATE(D43,""en"",""ur"")"),"ب) میچ کو ایک محفوظ لمحے پر روکیں تاکہ اسے دوبارہ محفوظ بنایا جا سکے۔")</f>
        <v>ب) میچ کو ایک محفوظ لمحے پر روکیں تاکہ اسے دوبارہ محفوظ بنایا جا سکے۔</v>
      </c>
      <c r="N43" s="6" t="str">
        <f>IFERROR(__xludf.DUMMYFUNCTION("GOOGLETRANSLATE(E43,""en"",""ur"")"),"ڈھیلی پٹی ایک خطرہ بن سکتی ہے (مثال کے طور پر، انگلیوں میں الجھ جانا)، لہذا ریفری اسے ٹھیک کرنے کے لیے لڑائی کو روک دے گا۔")</f>
        <v>ڈھیلی پٹی ایک خطرہ بن سکتی ہے (مثال کے طور پر، انگلیوں میں الجھ جانا)، لہذا ریفری اسے ٹھیک کرنے کے لیے لڑائی کو روک دے گا۔</v>
      </c>
    </row>
    <row r="44">
      <c r="A44" s="4">
        <v>43.0</v>
      </c>
      <c r="B44" s="5" t="s">
        <v>3122</v>
      </c>
      <c r="C44" s="5" t="s">
        <v>3123</v>
      </c>
      <c r="D44" s="5" t="s">
        <v>3124</v>
      </c>
      <c r="E44" s="5" t="s">
        <v>3125</v>
      </c>
      <c r="K44" s="6" t="str">
        <f>IFERROR(__xludf.DUMMYFUNCTION("GOOGLETRANSLATE(B44,""en"",""ur"")"),"ملاخرہ موقف میں کشش ثقل کے کم مرکز رکھنے کا بنیادی مقصد کیا ہے؟")</f>
        <v>ملاخرہ موقف میں کشش ثقل کے کم مرکز رکھنے کا بنیادی مقصد کیا ہے؟</v>
      </c>
      <c r="L44" s="6" t="str">
        <f>IFERROR(__xludf.DUMMYFUNCTION("GOOGLETRANSLATE(C44,""en"",""ur"")"),"A) یہ پہلوان کو چھوٹا ہدف بناتا ہے، B) یہ استحکام کو بڑھاتا ہے اور حریف کے لیے اسے اٹھانا یا پھینکنا مشکل بنا دیتا ہے، C) یہ آرام کرنے کی پوزیشن ہے، D) یہ سانس لینے میں مدد کرتا ہے۔")</f>
        <v>A) یہ پہلوان کو چھوٹا ہدف بناتا ہے، B) یہ استحکام کو بڑھاتا ہے اور حریف کے لیے اسے اٹھانا یا پھینکنا مشکل بنا دیتا ہے، C) یہ آرام کرنے کی پوزیشن ہے، D) یہ سانس لینے میں مدد کرتا ہے۔</v>
      </c>
      <c r="M44" s="6" t="str">
        <f>IFERROR(__xludf.DUMMYFUNCTION("GOOGLETRANSLATE(D44,""en"",""ur"")"),"ب) یہ استحکام کو بڑھاتا ہے اور مخالف کے لیے انہیں اٹھانا یا پھینکنا مشکل بنا دیتا ہے۔")</f>
        <v>ب) یہ استحکام کو بڑھاتا ہے اور مخالف کے لیے انہیں اٹھانا یا پھینکنا مشکل بنا دیتا ہے۔</v>
      </c>
      <c r="N44" s="6" t="str">
        <f>IFERROR(__xludf.DUMMYFUNCTION("GOOGLETRANSLATE(E44,""en"",""ur"")"),"ایک کم، وسیع بنیاد ایک طاقتور جرم اور گرفت میں ٹھوس دفاع دونوں کی کلید ہے۔")</f>
        <v>ایک کم، وسیع بنیاد ایک طاقتور جرم اور گرفت میں ٹھوس دفاع دونوں کی کلید ہے۔</v>
      </c>
    </row>
    <row r="45">
      <c r="A45" s="4">
        <v>44.0</v>
      </c>
      <c r="B45" s="5" t="s">
        <v>3126</v>
      </c>
      <c r="C45" s="5" t="s">
        <v>3127</v>
      </c>
      <c r="D45" s="5" t="s">
        <v>3128</v>
      </c>
      <c r="E45" s="5" t="s">
        <v>3129</v>
      </c>
      <c r="K45" s="6" t="str">
        <f>IFERROR(__xludf.DUMMYFUNCTION("GOOGLETRANSLATE(B45,""en"",""ur"")"),"ایک پہلوان کو ""غیر فعالیت"" کی سزا دی جاتی ہے۔ اس کا کیا مطلب ہے؟")</f>
        <v>ایک پہلوان کو "غیر فعالیت" کی سزا دی جاتی ہے۔ اس کا کیا مطلب ہے؟</v>
      </c>
      <c r="L45" s="6" t="str">
        <f>IFERROR(__xludf.DUMMYFUNCTION("GOOGLETRANSLATE(C45,""en"",""ur"")"),"A) وہ اپنے پاؤں نہیں ہلا رہے ہیں، B) وہ گرفت پکڑ رہے ہیں لیکن کسی تکنیک کو عملی جامہ پہنانے کی کوشش نہیں کر رہے ہیں، C) وہ بہت زیادہ سانس لے رہے ہیں، D) وہ بہت زیادہ دفاعی ہو رہے ہیں۔")</f>
        <v>A) وہ اپنے پاؤں نہیں ہلا رہے ہیں، B) وہ گرفت پکڑ رہے ہیں لیکن کسی تکنیک کو عملی جامہ پہنانے کی کوشش نہیں کر رہے ہیں، C) وہ بہت زیادہ سانس لے رہے ہیں، D) وہ بہت زیادہ دفاعی ہو رہے ہیں۔</v>
      </c>
      <c r="M45" s="6" t="str">
        <f>IFERROR(__xludf.DUMMYFUNCTION("GOOGLETRANSLATE(D45,""en"",""ur"")"),"ب) وہ گرفت میں ہیں لیکن کسی تکنیک کو عملی جامہ پہنانے کی کوئی کوشش نہیں کر رہے ہیں۔")</f>
        <v>ب) وہ گرفت میں ہیں لیکن کسی تکنیک کو عملی جامہ پہنانے کی کوئی کوشش نہیں کر رہے ہیں۔</v>
      </c>
      <c r="N45" s="6" t="str">
        <f>IFERROR(__xludf.DUMMYFUNCTION("GOOGLETRANSLATE(E45,""en"",""ur"")"),"سٹالنگ یا غیر فعالی کے نام سے بھی جانا جاتا ہے، ایک پہلوان کو فعال طور پر گول کرنے کی کوشش کرنی چاہیے، نہ کہ صرف پکڑے رہنا۔")</f>
        <v>سٹالنگ یا غیر فعالی کے نام سے بھی جانا جاتا ہے، ایک پہلوان کو فعال طور پر گول کرنے کی کوشش کرنی چاہیے، نہ کہ صرف پکڑے رہنا۔</v>
      </c>
    </row>
    <row r="46">
      <c r="A46" s="4">
        <v>45.0</v>
      </c>
      <c r="B46" s="5" t="s">
        <v>3130</v>
      </c>
      <c r="C46" s="5" t="s">
        <v>3131</v>
      </c>
      <c r="D46" s="5" t="s">
        <v>3132</v>
      </c>
      <c r="E46" s="5" t="s">
        <v>3133</v>
      </c>
      <c r="K46" s="6" t="str">
        <f>IFERROR(__xludf.DUMMYFUNCTION("GOOGLETRANSLATE(B46,""en"",""ur"")"),"ملاخرہ میں چوٹ کی سب سے عام قسم کیا ہے؟")</f>
        <v>ملاخرہ میں چوٹ کی سب سے عام قسم کیا ہے؟</v>
      </c>
      <c r="L46" s="6" t="str">
        <f>IFERROR(__xludf.DUMMYFUNCTION("GOOGLETRANSLATE(C46,""en"",""ur"")"),"A) کٹ اور چوٹیں، B) ہچکولے، C) جوڑوں کی موچ (گھٹنے، ٹخنے، کندھے) پھینکنے اور مروڑ سے، D) ٹوٹی ہوئی ہڈیاں")</f>
        <v>A) کٹ اور چوٹیں، B) ہچکولے، C) جوڑوں کی موچ (گھٹنے، ٹخنے، کندھے) پھینکنے اور مروڑ سے، D) ٹوٹی ہوئی ہڈیاں</v>
      </c>
      <c r="M46" s="6" t="str">
        <f>IFERROR(__xludf.DUMMYFUNCTION("GOOGLETRANSLATE(D46,""en"",""ur"")"),"ج) جوڑوں کی موچ (گھٹنے، ٹخنے، کندھے) پھینکنے اور مروڑ سے")</f>
        <v>ج) جوڑوں کی موچ (گھٹنے، ٹخنے، کندھے) پھینکنے اور مروڑ سے</v>
      </c>
      <c r="N46" s="6" t="str">
        <f>IFERROR(__xludf.DUMMYFUNCTION("GOOGLETRANSLATE(E46,""en"",""ur"")"),"پھینکنے کی متحرک اور طاقتور نوعیت جسم کے جوڑوں پر بہت زیادہ دباؤ ڈالتی ہے۔")</f>
        <v>پھینکنے کی متحرک اور طاقتور نوعیت جسم کے جوڑوں پر بہت زیادہ دباؤ ڈالتی ہے۔</v>
      </c>
    </row>
    <row r="47">
      <c r="A47" s="4">
        <v>46.0</v>
      </c>
      <c r="B47" s="5" t="s">
        <v>3134</v>
      </c>
      <c r="C47" s="5" t="s">
        <v>3135</v>
      </c>
      <c r="D47" s="5" t="s">
        <v>3136</v>
      </c>
      <c r="E47" s="5" t="s">
        <v>3137</v>
      </c>
      <c r="K47" s="6" t="str">
        <f>IFERROR(__xludf.DUMMYFUNCTION("GOOGLETRANSLATE(B47,""en"",""ur"")"),"اگر کوئی پہلوان میچ کے بعد روایتی مصافحہ سے انکار کرتا ہے تو اس کا ممکنہ نتیجہ کیا ہوگا؟")</f>
        <v>اگر کوئی پہلوان میچ کے بعد روایتی مصافحہ سے انکار کرتا ہے تو اس کا ممکنہ نتیجہ کیا ہوگا؟</v>
      </c>
      <c r="L47" s="6" t="str">
        <f>IFERROR(__xludf.DUMMYFUNCTION("GOOGLETRANSLATE(C47,""en"",""ur"")"),"A) کوئی نتیجہ نہیں نکلتا، B) غیر اسپورٹس مین طرز عمل کی وارننگ جاری کی جاسکتی ہے، C) انہیں اپنا انعام ضائع کرنا ہوگا، D) میچ دوبارہ کھیلا جائے گا۔")</f>
        <v>A) کوئی نتیجہ نہیں نکلتا، B) غیر اسپورٹس مین طرز عمل کی وارننگ جاری کی جاسکتی ہے، C) انہیں اپنا انعام ضائع کرنا ہوگا، D) میچ دوبارہ کھیلا جائے گا۔</v>
      </c>
      <c r="M47" s="6" t="str">
        <f>IFERROR(__xludf.DUMMYFUNCTION("GOOGLETRANSLATE(D47,""en"",""ur"")"),"ب) غیر اسپورٹس مین طرز عمل کے لیے وارننگ جاری کی جا سکتی ہے۔")</f>
        <v>ب) غیر اسپورٹس مین طرز عمل کے لیے وارننگ جاری کی جا سکتی ہے۔</v>
      </c>
      <c r="N47" s="6" t="str">
        <f>IFERROR(__xludf.DUMMYFUNCTION("GOOGLETRANSLATE(E47,""en"",""ur"")"),"کھیل احترام اور کھیل کود کو بہت اہمیت دیتا ہے، اور کسی مخالف کو تسلیم کرنے سے انکار اس ضابطے کی خلاف ورزی ہے۔")</f>
        <v>کھیل احترام اور کھیل کود کو بہت اہمیت دیتا ہے، اور کسی مخالف کو تسلیم کرنے سے انکار اس ضابطے کی خلاف ورزی ہے۔</v>
      </c>
    </row>
    <row r="48">
      <c r="A48" s="4">
        <v>47.0</v>
      </c>
      <c r="B48" s="5" t="s">
        <v>3138</v>
      </c>
      <c r="C48" s="5" t="s">
        <v>3139</v>
      </c>
      <c r="D48" s="5" t="s">
        <v>3140</v>
      </c>
      <c r="E48" s="5" t="s">
        <v>3141</v>
      </c>
      <c r="K48" s="6" t="str">
        <f>IFERROR(__xludf.DUMMYFUNCTION("GOOGLETRANSLATE(B48,""en"",""ur"")"),"حملے کے لیے ٹانگوں کو استعمال کرنے کا ان میں سے کون سا قانونی طریقہ ہے؟")</f>
        <v>حملے کے لیے ٹانگوں کو استعمال کرنے کا ان میں سے کون سا قانونی طریقہ ہے؟</v>
      </c>
      <c r="L48" s="6" t="str">
        <f>IFERROR(__xludf.DUMMYFUNCTION("GOOGLETRANSLATE(C48,""en"",""ur"")"),"A) مخالف کی پنڈلی کو لات مارنا، B) ٹانگ کے اندر کا استعمال، C) مخالف کو پیٹ میں گھٹنا، D) مخالف کے پاؤں پر ٹھوکر مارنا")</f>
        <v>A) مخالف کی پنڈلی کو لات مارنا، B) ٹانگ کے اندر کا استعمال، C) مخالف کو پیٹ میں گھٹنا، D) مخالف کے پاؤں پر ٹھوکر مارنا</v>
      </c>
      <c r="M48" s="6" t="str">
        <f>IFERROR(__xludf.DUMMYFUNCTION("GOOGLETRANSLATE(D48,""en"",""ur"")"),"ب) ٹانگ کے اندر سفر کا استعمال")</f>
        <v>ب) ٹانگ کے اندر سفر کا استعمال</v>
      </c>
      <c r="N48" s="6" t="str">
        <f>IFERROR(__xludf.DUMMYFUNCTION("GOOGLETRANSLATE(E48,""en"",""ur"")"),"مخالف کی ٹانگیں جھاڑنے، ٹرپ کرنے یا کاٹنے کے لیے ٹانگوں کا استعمال ملاخرا کا ایک بنیادی اور قانونی حصہ ہے۔")</f>
        <v>مخالف کی ٹانگیں جھاڑنے، ٹرپ کرنے یا کاٹنے کے لیے ٹانگوں کا استعمال ملاخرا کا ایک بنیادی اور قانونی حصہ ہے۔</v>
      </c>
    </row>
    <row r="49">
      <c r="A49" s="4">
        <v>48.0</v>
      </c>
      <c r="B49" s="5" t="s">
        <v>3142</v>
      </c>
      <c r="C49" s="5" t="s">
        <v>3143</v>
      </c>
      <c r="D49" s="5" t="s">
        <v>3144</v>
      </c>
      <c r="E49" s="5" t="s">
        <v>3145</v>
      </c>
      <c r="K49" s="6" t="str">
        <f>IFERROR(__xludf.DUMMYFUNCTION("GOOGLETRANSLATE(B49,""en"",""ur"")"),"ریفری اس بات کا تعین کرتا ہے کہ ایک پن صرف اس وجہ سے ممکن ہوا کہ جیتنے والے پہلوان نے مخالف کے شارٹس کو غیر قانونی طور پر پکڑ لیا۔ اس کا کیا حکم ہے؟")</f>
        <v>ریفری اس بات کا تعین کرتا ہے کہ ایک پن صرف اس وجہ سے ممکن ہوا کہ جیتنے والے پہلوان نے مخالف کے شارٹس کو غیر قانونی طور پر پکڑ لیا۔ اس کا کیا حکم ہے؟</v>
      </c>
      <c r="L49" s="6" t="str">
        <f>IFERROR(__xludf.DUMMYFUNCTION("GOOGLETRANSLATE(C49,""en"",""ur"")"),"A) پن درست ہے، B) پن غلط ہے، اور جیتنے والے پہلوان کو فاول کہا جاتا ہے، C) راؤنڈ دوبارہ کھیلا جاتا ہے، D) ہارنے والے پہلوان کو ایک پوائنٹ دیا جاتا ہے۔")</f>
        <v>A) پن درست ہے، B) پن غلط ہے، اور جیتنے والے پہلوان کو فاول کہا جاتا ہے، C) راؤنڈ دوبارہ کھیلا جاتا ہے، D) ہارنے والے پہلوان کو ایک پوائنٹ دیا جاتا ہے۔</v>
      </c>
      <c r="M49" s="6" t="str">
        <f>IFERROR(__xludf.DUMMYFUNCTION("GOOGLETRANSLATE(D49,""en"",""ur"")"),"ب) پن غلط ہے، اور جیتنے والے پہلوان کو فاؤل کہا جاتا ہے۔")</f>
        <v>ب) پن غلط ہے، اور جیتنے والے پہلوان کو فاؤل کہا جاتا ہے۔</v>
      </c>
      <c r="N49" s="6" t="str">
        <f>IFERROR(__xludf.DUMMYFUNCTION("GOOGLETRANSLATE(E49,""en"",""ur"")"),"غیر قانونی عمل کے ذریعے حاصل ہونے والا نتیجہ شمار نہیں کیا جا سکتا۔ ریفری پن کو کالعدم کر دے گا اور جرمانہ جاری کرے گا۔")</f>
        <v>غیر قانونی عمل کے ذریعے حاصل ہونے والا نتیجہ شمار نہیں کیا جا سکتا۔ ریفری پن کو کالعدم کر دے گا اور جرمانہ جاری کرے گا۔</v>
      </c>
    </row>
    <row r="50">
      <c r="A50" s="4">
        <v>49.0</v>
      </c>
      <c r="B50" s="5" t="s">
        <v>3146</v>
      </c>
      <c r="C50" s="5" t="s">
        <v>3147</v>
      </c>
      <c r="D50" s="5" t="s">
        <v>1133</v>
      </c>
      <c r="E50" s="5" t="s">
        <v>3148</v>
      </c>
      <c r="K50" s="6" t="str">
        <f>IFERROR(__xludf.DUMMYFUNCTION("GOOGLETRANSLATE(B50,""en"",""ur"")"),"بنیادی وجہ کیا ہے کہ پہلوان روایتی طور پر ننگے سینہ مقابلہ کرتے ہیں؟")</f>
        <v>بنیادی وجہ کیا ہے کہ پہلوان روایتی طور پر ننگے سینہ مقابلہ کرتے ہیں؟</v>
      </c>
      <c r="L50" s="6" t="str">
        <f>IFERROR(__xludf.DUMMYFUNCTION("GOOGLETRANSLATE(C50,""en"",""ur"")"),"A) اپنے پٹھوں کو دکھانے کے لیے، B) کسی مخالف کو غیر قانونی طور پر ان کی قمیض پکڑنے سے روکنے کے لیے، C) گرم آب و ہوا میں یہ ٹھنڈا ہوتا ہے، D) مندرجہ بالا سبھی")</f>
        <v>A) اپنے پٹھوں کو دکھانے کے لیے، B) کسی مخالف کو غیر قانونی طور پر ان کی قمیض پکڑنے سے روکنے کے لیے، C) گرم آب و ہوا میں یہ ٹھنڈا ہوتا ہے، D) مندرجہ بالا سبھی</v>
      </c>
      <c r="M50" s="6" t="str">
        <f>IFERROR(__xludf.DUMMYFUNCTION("GOOGLETRANSLATE(D50,""en"",""ur"")"),"D) مذکورہ بالا تمام")</f>
        <v>D) مذکورہ بالا تمام</v>
      </c>
      <c r="N50" s="6" t="str">
        <f>IFERROR(__xludf.DUMMYFUNCTION("GOOGLETRANSLATE(E50,""en"",""ur"")"),"ننگے سینہ مقابلہ کرنا عملی ہے (پکڑنے سے روکتا ہے، ٹھنڈا رہتا ہے) اور یہ پہلوان کے جسم (پہلوان) کی روایتی نمائش بھی ہے۔")</f>
        <v>ننگے سینہ مقابلہ کرنا عملی ہے (پکڑنے سے روکتا ہے، ٹھنڈا رہتا ہے) اور یہ پہلوان کے جسم (پہلوان) کی روایتی نمائش بھی ہے۔</v>
      </c>
    </row>
    <row r="51">
      <c r="A51" s="4">
        <v>50.0</v>
      </c>
      <c r="B51" s="5" t="s">
        <v>3149</v>
      </c>
      <c r="C51" s="5" t="s">
        <v>3150</v>
      </c>
      <c r="D51" s="5" t="s">
        <v>3151</v>
      </c>
      <c r="E51" s="5" t="s">
        <v>3152</v>
      </c>
      <c r="K51" s="6" t="str">
        <f>IFERROR(__xludf.DUMMYFUNCTION("GOOGLETRANSLATE(B51,""en"",""ur"")"),"ملاخرہ میں فتح کا حتمی اظہار کیا ہے؟")</f>
        <v>ملاخرہ میں فتح کا حتمی اظہار کیا ہے؟</v>
      </c>
      <c r="L51" s="6" t="str">
        <f>IFERROR(__xludf.DUMMYFUNCTION("GOOGLETRANSLATE(C51,""en"",""ur"")"),"A) سب سے زیادہ پوائنٹس سے جیتنا، B) فیصلہ کن اور صاف پن سے جیتنا، C) حریف کو چھوڑنا، D) ہجوم کی منظوری جیتنا")</f>
        <v>A) سب سے زیادہ پوائنٹس سے جیتنا، B) فیصلہ کن اور صاف پن سے جیتنا، C) حریف کو چھوڑنا، D) ہجوم کی منظوری جیتنا</v>
      </c>
      <c r="M51" s="6" t="str">
        <f>IFERROR(__xludf.DUMMYFUNCTION("GOOGLETRANSLATE(D51,""en"",""ur"")"),"ب) فیصلہ کن اور صاف پن سے جیتنا")</f>
        <v>ب) فیصلہ کن اور صاف پن سے جیتنا</v>
      </c>
      <c r="N51" s="6" t="str">
        <f>IFERROR(__xludf.DUMMYFUNCTION("GOOGLETRANSLATE(E51,""en"",""ur"")"),"جب کہ پوائنٹس کی جیت درست ہے، کلین پن میچ جیتنے کا سب سے یقینی اور قابل احترام طریقہ ہے، جس سے فاتح کی برتری پر کوئی شک نہیں رہتا۔")</f>
        <v>جب کہ پوائنٹس کی جیت درست ہے، کلین پن میچ جیتنے کا سب سے یقینی اور قابل احترام طریقہ ہے، جس سے فاتح کی برتری پر کوئی شک نہیں رہتا۔</v>
      </c>
    </row>
    <row r="52">
      <c r="A52" s="4">
        <v>51.0</v>
      </c>
      <c r="B52" s="5" t="s">
        <v>3153</v>
      </c>
      <c r="C52" s="5" t="s">
        <v>3154</v>
      </c>
      <c r="D52" s="5" t="s">
        <v>3155</v>
      </c>
      <c r="E52" s="5" t="s">
        <v>3156</v>
      </c>
      <c r="K52" s="6" t="str">
        <f>IFERROR(__xludf.DUMMYFUNCTION("GOOGLETRANSLATE(B52,""en"",""ur"")"),"""ڈرون پیگ"" (2 پوائنٹس) کے لیے جج کا فلیگ سگنل کیا ہے؟")</f>
        <v>"ڈرون پیگ" (2 پوائنٹس) کے لیے جج کا فلیگ سگنل کیا ہے؟</v>
      </c>
      <c r="L52" s="6" t="str">
        <f>IFERROR(__xludf.DUMMYFUNCTION("GOOGLETRANSLATE(C52,""en"",""ur"")"),"A) ایک سبز پرچم، B) ایک سفید پرچم، C) ایک سرخ پرچم، D) ایک نیلا پرچم")</f>
        <v>A) ایک سبز پرچم، B) ایک سفید پرچم، C) ایک سرخ پرچم، D) ایک نیلا پرچم</v>
      </c>
      <c r="M52" s="6" t="str">
        <f>IFERROR(__xludf.DUMMYFUNCTION("GOOGLETRANSLATE(D52,""en"",""ur"")"),"ب) ایک سفید جھنڈا۔")</f>
        <v>ب) ایک سفید جھنڈا۔</v>
      </c>
      <c r="N52" s="6" t="str">
        <f>IFERROR(__xludf.DUMMYFUNCTION("GOOGLETRANSLATE(E52,""en"",""ur"")"),"آئی ٹی پی ایف فلیگ سسٹم میں، سفید ایک کھونٹی کے جزوی اسکور کی نشاندہی کرتا ہے جسے ہٹا دیا گیا تھا لیکن ساتھ نہیں لیا گیا تھا۔")</f>
        <v>آئی ٹی پی ایف فلیگ سسٹم میں، سفید ایک کھونٹی کے جزوی اسکور کی نشاندہی کرتا ہے جسے ہٹا دیا گیا تھا لیکن ساتھ نہیں لیا گیا تھا۔</v>
      </c>
    </row>
    <row r="53">
      <c r="A53" s="4">
        <v>52.0</v>
      </c>
      <c r="B53" s="5" t="s">
        <v>3157</v>
      </c>
      <c r="C53" s="5" t="s">
        <v>2562</v>
      </c>
      <c r="D53" s="5" t="s">
        <v>2563</v>
      </c>
      <c r="E53" s="5" t="s">
        <v>2564</v>
      </c>
      <c r="K53" s="6" t="str">
        <f>IFERROR(__xludf.DUMMYFUNCTION("GOOGLETRANSLATE(B53,""en"",""ur"")"),"سوار کے لیے بہت بھاری لینس استعمال کرنے کا بنیادی خطرہ کیا ہے؟")</f>
        <v>سوار کے لیے بہت بھاری لینس استعمال کرنے کا بنیادی خطرہ کیا ہے؟</v>
      </c>
      <c r="L53" s="6" t="str">
        <f>IFERROR(__xludf.DUMMYFUNCTION("GOOGLETRANSLATE(C53,""en"",""ur"")"),"A) یہ آسانی سے ٹوٹ سکتا ہے، B) یہ ہدف میں سست ہے اور سوار کا توازن کھو سکتا ہے، C) یہ کھونٹی میں نہیں گھسے گا، D) یہ قواعد کے خلاف ہے۔")</f>
        <v>A) یہ آسانی سے ٹوٹ سکتا ہے، B) یہ ہدف میں سست ہے اور سوار کا توازن کھو سکتا ہے، C) یہ کھونٹی میں نہیں گھسے گا، D) یہ قواعد کے خلاف ہے۔</v>
      </c>
      <c r="M53" s="6" t="str">
        <f>IFERROR(__xludf.DUMMYFUNCTION("GOOGLETRANSLATE(D53,""en"",""ur"")"),"ب) یہ مقصد کرنے میں سست ہے اور سوار کو توازن کھو سکتا ہے۔")</f>
        <v>ب) یہ مقصد کرنے میں سست ہے اور سوار کو توازن کھو سکتا ہے۔</v>
      </c>
      <c r="N53" s="6" t="str">
        <f>IFERROR(__xludf.DUMMYFUNCTION("GOOGLETRANSLATE(E53,""en"",""ur"")"),"بھاری لینس تیزی سے چال چلنا مشکل ہے اور گھوڑے پر سوار کا نازک توازن بگاڑ سکتا ہے۔")</f>
        <v>بھاری لینس تیزی سے چال چلنا مشکل ہے اور گھوڑے پر سوار کا نازک توازن بگاڑ سکتا ہے۔</v>
      </c>
    </row>
    <row r="54">
      <c r="A54" s="4">
        <v>53.0</v>
      </c>
      <c r="B54" s="5" t="s">
        <v>2565</v>
      </c>
      <c r="C54" s="5" t="s">
        <v>2566</v>
      </c>
      <c r="D54" s="5" t="s">
        <v>2567</v>
      </c>
      <c r="E54" s="5" t="s">
        <v>2568</v>
      </c>
      <c r="K54" s="6" t="str">
        <f>IFERROR(__xludf.DUMMYFUNCTION("GOOGLETRANSLATE(B54,""en"",""ur"")"),"""انفرادی لانس"" ایونٹ میں، فیصلہ کرنے کا بنیادی معیار کیا ہے؟")</f>
        <v>"انفرادی لانس" ایونٹ میں، فیصلہ کرنے کا بنیادی معیار کیا ہے؟</v>
      </c>
      <c r="L54" s="6" t="str">
        <f>IFERROR(__xludf.DUMMYFUNCTION("GOOGLETRANSLATE(C54,""en"",""ur"")"),"A) گھوڑے کی رفتار، B) سوار کا انداز اور کرنسی، C) رنز کی ایک سیریز میں بنائے گئے پوائنٹس کی کل تعداد، D) گھوڑے کی خوبصورتی")</f>
        <v>A) گھوڑے کی رفتار، B) سوار کا انداز اور کرنسی، C) رنز کی ایک سیریز میں بنائے گئے پوائنٹس کی کل تعداد، D) گھوڑے کی خوبصورتی</v>
      </c>
      <c r="M54" s="6" t="str">
        <f>IFERROR(__xludf.DUMMYFUNCTION("GOOGLETRANSLATE(D54,""en"",""ur"")"),"C) رنز کی ایک سیریز میں اسکور کیے گئے پوائنٹس کی کل تعداد")</f>
        <v>C) رنز کی ایک سیریز میں اسکور کیے گئے پوائنٹس کی کل تعداد</v>
      </c>
      <c r="N54" s="6" t="str">
        <f>IFERROR(__xludf.DUMMYFUNCTION("GOOGLETRANSLATE(E54,""en"",""ur"")"),"یہ ایک سیدھا سادھا مقابلہ ہے جہاں فاتح وہ فرد ہوتا ہے جو سب سے زیادہ مجموعی اسکور حاصل کرتا ہے۔")</f>
        <v>یہ ایک سیدھا سادھا مقابلہ ہے جہاں فاتح وہ فرد ہوتا ہے جو سب سے زیادہ مجموعی اسکور حاصل کرتا ہے۔</v>
      </c>
    </row>
    <row r="55">
      <c r="A55" s="4">
        <v>54.0</v>
      </c>
      <c r="B55" s="5" t="s">
        <v>3158</v>
      </c>
      <c r="C55" s="5" t="s">
        <v>3159</v>
      </c>
      <c r="D55" s="5" t="s">
        <v>3160</v>
      </c>
      <c r="E55" s="5" t="s">
        <v>2572</v>
      </c>
      <c r="K55" s="6" t="str">
        <f>IFERROR(__xludf.DUMMYFUNCTION("GOOGLETRANSLATE(B55,""en"",""ur"")"),"اگر کوئی سوار ختم لائن سے پہلے اپنی لانس (پیگ پر موجود ہے) گرائے تو اس کا کیا حکم ہے؟")</f>
        <v>اگر کوئی سوار ختم لائن سے پہلے اپنی لانس (پیگ پر موجود ہے) گرائے تو اس کا کیا حکم ہے؟</v>
      </c>
      <c r="L55" s="6" t="str">
        <f>IFERROR(__xludf.DUMMYFUNCTION("GOOGLETRANSLATE(C55,""en"",""ur"")"),"A) مکمل پوائنٹس دیئے جاتے ہیں، B) نصف پوائنٹس دیئے جاتے ہیں، C) اس رن کے لئے زیرو پوائنٹس دیئے جاتے ہیں، D) رن دوبارہ چلایا جاتا ہے")</f>
        <v>A) مکمل پوائنٹس دیئے جاتے ہیں، B) نصف پوائنٹس دیئے جاتے ہیں، C) اس رن کے لئے زیرو پوائنٹس دیئے جاتے ہیں، D) رن دوبارہ چلایا جاتا ہے</v>
      </c>
      <c r="M55" s="6" t="str">
        <f>IFERROR(__xludf.DUMMYFUNCTION("GOOGLETRANSLATE(D55,""en"",""ur"")"),"C) اس رن کے لیے زیرو پوائنٹس دیے جاتے ہیں۔")</f>
        <v>C) اس رن کے لیے زیرو پوائنٹس دیے جاتے ہیں۔</v>
      </c>
      <c r="N55" s="6" t="str">
        <f>IFERROR(__xludf.DUMMYFUNCTION("GOOGLETRANSLATE(E55,""en"",""ur"")"),"سوار کو پوری دوڑ میں اپنے ہتھیار کا کنٹرول برقرار رکھنا چاہیے۔ لانس کو گرانے سے صفر کا سکور ہوتا ہے۔")</f>
        <v>سوار کو پوری دوڑ میں اپنے ہتھیار کا کنٹرول برقرار رکھنا چاہیے۔ لانس کو گرانے سے صفر کا سکور ہوتا ہے۔</v>
      </c>
    </row>
    <row r="56">
      <c r="A56" s="4">
        <v>55.0</v>
      </c>
      <c r="B56" s="5" t="s">
        <v>3161</v>
      </c>
      <c r="C56" s="5" t="s">
        <v>2574</v>
      </c>
      <c r="D56" s="5" t="s">
        <v>2575</v>
      </c>
      <c r="E56" s="5" t="s">
        <v>2576</v>
      </c>
      <c r="K56" s="6" t="str">
        <f>IFERROR(__xludf.DUMMYFUNCTION("GOOGLETRANSLATE(B56,""en"",""ur"")"),"کیوں سوار اکثر تقریبات کے لیے روایتی لباس پہنتے ہیں لیکن اعلیٰ سطحی مقابلوں کے لیے نہیں؟")</f>
        <v>کیوں سوار اکثر تقریبات کے لیے روایتی لباس پہنتے ہیں لیکن اعلیٰ سطحی مقابلوں کے لیے نہیں؟</v>
      </c>
      <c r="L56" s="6" t="str">
        <f>IFERROR(__xludf.DUMMYFUNCTION("GOOGLETRANSLATE(C56,""en"",""ur"")"),"A)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f>
        <v>A) لباس بہت گرم ہیں، B) کپڑے پھنس سکتے ہیں یا الجھ سکتے ہیں، جو کہ وقتی تقریب میں حفاظتی خطرہ ہے، C) سپانسرز کے ذریعہ لباس کی اجازت نہیں ہے، D) یہ ایک جدید فیشن کا رجحان ہے۔</v>
      </c>
      <c r="M56" s="6" t="str">
        <f>IFERROR(__xludf.DUMMYFUNCTION("GOOGLETRANSLATE(D56,""en"",""ur"")"),"ب) لباس پھنس سکتا ہے یا الجھ سکتا ہے، جو کہ وقتی تقریب میں حفاظتی خطرہ ہے۔")</f>
        <v>ب) لباس پھنس سکتا ہے یا الجھ سکتا ہے، جو کہ وقتی تقریب میں حفاظتی خطرہ ہے۔</v>
      </c>
      <c r="N56" s="6" t="str">
        <f>IFERROR(__xludf.DUMMYFUNCTION("GOOGLETRANSLATE(E56,""en"",""ur"")"),"بصری طور پر متاثر کن ہونے کے باوجود، ڈھیلے لباس تیز رفتاری سے خطرناک ہو سکتے ہیں، اس لیے مقابلوں میں حفاظت کے لیے گھڑ سواری کے سامان کی ضرورت ہوتی ہے۔")</f>
        <v>بصری طور پر متاثر کن ہونے کے باوجود، ڈھیلے لباس تیز رفتاری سے خطرناک ہو سکتے ہیں، اس لیے مقابلوں میں حفاظت کے لیے گھڑ سواری کے سامان کی ضرورت ہوتی ہے۔</v>
      </c>
    </row>
    <row r="57">
      <c r="A57" s="4">
        <v>56.0</v>
      </c>
      <c r="B57" s="5" t="s">
        <v>2577</v>
      </c>
      <c r="C57" s="5" t="s">
        <v>2578</v>
      </c>
      <c r="D57" s="5" t="s">
        <v>2579</v>
      </c>
      <c r="E57" s="5" t="s">
        <v>2580</v>
      </c>
      <c r="K57" s="6" t="str">
        <f>IFERROR(__xludf.DUMMYFUNCTION("GOOGLETRANSLATE(B57,""en"",""ur"")"),"""انڈین فائل"" ٹیم ایونٹ میں اہم چیلنج کیا ہے؟")</f>
        <v>"انڈین فائل" ٹیم ایونٹ میں اہم چیلنج کیا ہے؟</v>
      </c>
      <c r="L57" s="6" t="str">
        <f>IFERROR(__xludf.DUMMYFUNCTION("GOOGLETRANSLATE(C57,""en"",""ur"")"),"A)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f>
        <v>A) جتنی جلدی ہو سکے سواری کریں، B) ہر سوار کو اپنے سامنے والے سوار سے توجہ ہٹانے سے گریز کرنا چاہیے، C) تمام سواروں کو ایک ہی گھوڑا استعمال کرنا چاہیے، D) کھونٹے چھوٹے ہیں۔</v>
      </c>
      <c r="M57" s="6" t="str">
        <f>IFERROR(__xludf.DUMMYFUNCTION("GOOGLETRANSLATE(D57,""en"",""ur"")"),"ب) ہر سوار کو اپنے سامنے سوار کی توجہ ہٹانے سے گریز کرنا چاہیے۔")</f>
        <v>ب) ہر سوار کو اپنے سامنے سوار کی توجہ ہٹانے سے گریز کرنا چاہیے۔</v>
      </c>
      <c r="N57" s="6" t="str">
        <f>IFERROR(__xludf.DUMMYFUNCTION("GOOGLETRANSLATE(E57,""en"",""ur"")"),"یہ ایونٹ ہر سوار کی انفرادی توجہ اور ارتکاز کو جانچتا ہے جب کہ ایک سخت، تیز رفتاری سے چلنے والی شکل میں سواری کرتے ہیں۔")</f>
        <v>یہ ایونٹ ہر سوار کی انفرادی توجہ اور ارتکاز کو جانچتا ہے جب کہ ایک سخت، تیز رفتاری سے چلنے والی شکل میں سواری کرتے ہیں۔</v>
      </c>
    </row>
    <row r="58">
      <c r="A58" s="4">
        <v>57.0</v>
      </c>
      <c r="B58" s="5" t="s">
        <v>3162</v>
      </c>
      <c r="C58" s="5" t="s">
        <v>2582</v>
      </c>
      <c r="D58" s="5" t="s">
        <v>2583</v>
      </c>
      <c r="E58" s="5" t="s">
        <v>2584</v>
      </c>
      <c r="K58" s="6" t="str">
        <f>IFERROR(__xludf.DUMMYFUNCTION("GOOGLETRANSLATE(B58,""en"",""ur"")"),"لیمن کٹنگ میں اگر کوئی سوار لیموں پکڑے ہوئے سٹینڈ سے ٹکرا جائے تو کیا حکم ہے؟")</f>
        <v>لیمن کٹنگ میں اگر کوئی سوار لیموں پکڑے ہوئے سٹینڈ سے ٹکرا جائے تو کیا حکم ہے؟</v>
      </c>
      <c r="L58" s="6" t="str">
        <f>IFERROR(__xludf.DUMMYFUNCTION("GOOGLETRANSLATE(C58,""en"",""ur"")"),"A) سکور درست ہے، B) سکور کو کالعدم کر دیا گیا ہے، C) ایک جرمانہ کاٹ دیا گیا ہے، D) سوار کو دوبارہ رن ملتا ہے۔")</f>
        <v>A) سکور درست ہے، B) سکور کو کالعدم کر دیا گیا ہے، C) ایک جرمانہ کاٹ دیا گیا ہے، D) سوار کو دوبارہ رن ملتا ہے۔</v>
      </c>
      <c r="M58" s="6" t="str">
        <f>IFERROR(__xludf.DUMMYFUNCTION("GOOGLETRANSLATE(D58,""en"",""ur"")"),"ب) سکور کالعدم ہے۔")</f>
        <v>ب) سکور کالعدم ہے۔</v>
      </c>
      <c r="N58" s="6" t="str">
        <f>IFERROR(__xludf.DUMMYFUNCTION("GOOGLETRANSLATE(E58,""en"",""ur"")"),"لیموں کی کٹائی کے قواعد میں صرف ہدف کو صاف کرنے کی ضرورت ہے۔ معاون آلات کو مارنا غلط ہے اور اسکور کو باطل کرتا ہے۔")</f>
        <v>لیموں کی کٹائی کے قواعد میں صرف ہدف کو صاف کرنے کی ضرورت ہے۔ معاون آلات کو مارنا غلط ہے اور اسکور کو باطل کرتا ہے۔</v>
      </c>
    </row>
    <row r="59">
      <c r="A59" s="4">
        <v>58.0</v>
      </c>
      <c r="B59" s="5" t="s">
        <v>3163</v>
      </c>
      <c r="C59" s="5" t="s">
        <v>3164</v>
      </c>
      <c r="D59" s="5" t="s">
        <v>3165</v>
      </c>
      <c r="E59" s="5" t="s">
        <v>3166</v>
      </c>
      <c r="K59" s="6" t="str">
        <f>IFERROR(__xludf.DUMMYFUNCTION("GOOGLETRANSLATE(B59,""en"",""ur"")"),"سوار کی ٹانگوں کے اشارے کا جواب دینے کے لیے ٹینٹ پیگنگ گھوڑے کو کیوں اچھی طرح سے تربیت یافتہ ہونا چاہیے؟")</f>
        <v>سوار کی ٹانگوں کے اشارے کا جواب دینے کے لیے ٹینٹ پیگنگ گھوڑے کو کیوں اچھی طرح سے تربیت یافتہ ہونا چاہیے؟</v>
      </c>
      <c r="L59" s="6" t="str">
        <f>IFERROR(__xludf.DUMMYFUNCTION("GOOGLETRANSLATE(C59,""en"",""ur"")"),"A) یہ ایک اصول ہے، B) سوار کو لانس کے لیے ایک ہاتھ کی ضرورت ہوتی ہے، اس لیے وہ بنیادی طور پر اپنی ٹانگوں سے گھوڑے کی رہنمائی کریں، C) یہ گھوڑے کو زیادہ آرام دہ بناتا ہے، D) یہ زیادہ پیشہ ور نظر آتا ہے۔")</f>
        <v>A) یہ ایک اصول ہے، B) سوار کو لانس کے لیے ایک ہاتھ کی ضرورت ہوتی ہے، اس لیے وہ بنیادی طور پر اپنی ٹانگوں سے گھوڑے کی رہنمائی کریں، C) یہ گھوڑے کو زیادہ آرام دہ بناتا ہے، D) یہ زیادہ پیشہ ور نظر آتا ہے۔</v>
      </c>
      <c r="M59" s="6" t="str">
        <f>IFERROR(__xludf.DUMMYFUNCTION("GOOGLETRANSLATE(D59,""en"",""ur"")"),"ب) سوار کو لانس کے لیے ایک ہاتھ کی ضرورت ہوتی ہے، اس لیے انھیں بنیادی طور پر اپنی ٹانگوں سے گھوڑے کی رہنمائی کرنی چاہیے۔")</f>
        <v>ب) سوار کو لانس کے لیے ایک ہاتھ کی ضرورت ہوتی ہے، اس لیے انھیں بنیادی طور پر اپنی ٹانگوں سے گھوڑے کی رہنمائی کرنی چاہیے۔</v>
      </c>
      <c r="N59" s="6" t="str">
        <f>IFERROR(__xludf.DUMMYFUNCTION("GOOGLETRANSLATE(E59,""en"",""ur"")"),"ایک اچھا گھوڑا کم سے کم لگام کے ساتھ سیدھا راستہ برقرار رکھتا ہے، سوار کو ہتھیار پر توجہ مرکوز کرنے کے لیے آزاد کرتا ہے۔")</f>
        <v>ایک اچھا گھوڑا کم سے کم لگام کے ساتھ سیدھا راستہ برقرار رکھتا ہے، سوار کو ہتھیار پر توجہ مرکوز کرنے کے لیے آزاد کرتا ہے۔</v>
      </c>
    </row>
    <row r="60">
      <c r="A60" s="4">
        <v>59.0</v>
      </c>
      <c r="B60" s="5" t="s">
        <v>3167</v>
      </c>
      <c r="C60" s="5" t="s">
        <v>2590</v>
      </c>
      <c r="D60" s="5" t="s">
        <v>2591</v>
      </c>
      <c r="E60" s="5" t="s">
        <v>2592</v>
      </c>
      <c r="K60" s="6" t="str">
        <f>IFERROR(__xludf.DUMMYFUNCTION("GOOGLETRANSLATE(B60,""en"",""ur"")"),"ایک سوار نے احتجاج کیا کہ کھونٹی مٹی میں رکھی گئی تھی جو بہت سخت تھی۔ اہلکار کیا کر سکتے ہیں؟")</f>
        <v>ایک سوار نے احتجاج کیا کہ کھونٹی مٹی میں رکھی گئی تھی جو بہت سخت تھی۔ اہلکار کیا کر سکتے ہیں؟</v>
      </c>
      <c r="L60" s="6" t="str">
        <f>IFERROR(__xludf.DUMMYFUNCTION("GOOGLETRANSLATE(C60,""en"",""ur"")"),"A) احتجاج کو نظر انداز کریں، B) گراؤنڈ کا معائنہ کریں اور اگر دعویٰ درست ہے تو اسے ڈھیلا کرنے کا حکم دیں، C) سوار کو مکمل پوائنٹس دیں، D) گراؤنڈ کے عملے کو نااہل قرار دیں۔")</f>
        <v>A) احتجاج کو نظر انداز کریں، B) گراؤنڈ کا معائنہ کریں اور اگر دعویٰ درست ہے تو اسے ڈھیلا کرنے کا حکم دیں، C) سوار کو مکمل پوائنٹس دیں، D) گراؤنڈ کے عملے کو نااہل قرار دیں۔</v>
      </c>
      <c r="M60" s="6" t="str">
        <f>IFERROR(__xludf.DUMMYFUNCTION("GOOGLETRANSLATE(D60,""en"",""ur"")"),"ب) زمین کا معائنہ کریں اور اگر دعویٰ درست ہے تو اسے ڈھیلا کرنے کا حکم دیں۔")</f>
        <v>ب) زمین کا معائنہ کریں اور اگر دعویٰ درست ہے تو اسے ڈھیلا کرنے کا حکم دیں۔</v>
      </c>
      <c r="N60" s="6" t="str">
        <f>IFERROR(__xludf.DUMMYFUNCTION("GOOGLETRANSLATE(E60,""en"",""ur"")"),"تکنیکی مندوب تمام حریفوں کے لیے منصفانہ اور ہم آہنگ زمینی حالات کو یقینی بنانے کا ذمہ دار ہے۔")</f>
        <v>تکنیکی مندوب تمام حریفوں کے لیے منصفانہ اور ہم آہنگ زمینی حالات کو یقینی بنانے کا ذمہ دار ہے۔</v>
      </c>
    </row>
    <row r="61">
      <c r="A61" s="4">
        <v>60.0</v>
      </c>
      <c r="B61" s="5" t="s">
        <v>3168</v>
      </c>
      <c r="C61" s="5" t="s">
        <v>2594</v>
      </c>
      <c r="D61" s="5" t="s">
        <v>2595</v>
      </c>
      <c r="E61" s="5" t="s">
        <v>3169</v>
      </c>
      <c r="K61" s="6" t="str">
        <f>IFERROR(__xludf.DUMMYFUNCTION("GOOGLETRANSLATE(B61,""en"",""ur"")"),"آئی ٹی پی ایف ٹینٹ پیگنگ ورلڈ کپ کا حتمی مقصد کیا ہے؟")</f>
        <v>آئی ٹی پی ایف ٹینٹ پیگنگ ورلڈ کپ کا حتمی مقصد کیا ہے؟</v>
      </c>
      <c r="L61" s="6" t="str">
        <f>IFERROR(__xludf.DUMMYFUNCTION("GOOGLETRANSLATE(C61,""en"",""ur"")"),"A) سیاحت کو فروغ دینے کے لیے، B) دنیا کے بہترین انفرادی اور ٹیم چیمپئنز کا تعین کرنے کے لیے، C) گھوڑوں کی فروخت، D) ایک خالصتاً رسمی تقریب ہو")</f>
        <v>A) سیاحت کو فروغ دینے کے لیے، B) دنیا کے بہترین انفرادی اور ٹیم چیمپئنز کا تعین کرنے کے لیے، C) گھوڑوں کی فروخت، D) ایک خالصتاً رسمی تقریب ہو</v>
      </c>
      <c r="M61" s="6" t="str">
        <f>IFERROR(__xludf.DUMMYFUNCTION("GOOGLETRANSLATE(D61,""en"",""ur"")"),"ب) دنیا کے بہترین انفرادی اور ٹیم چیمپئنز کا تعین کرنا")</f>
        <v>ب) دنیا کے بہترین انفرادی اور ٹیم چیمپئنز کا تعین کرنا</v>
      </c>
      <c r="N61" s="6" t="str">
        <f>IFERROR(__xludf.DUMMYFUNCTION("GOOGLETRANSLATE(E61,""en"",""ur"")"),"ورلڈ کپ اس کھیل کا عروج ہے، جس میں رکن ممالک کے بہترین سواروں کو چیمپیئن شپ ٹائٹل کے لیے مقابلہ کرنے کے لیے اکٹھا کیا جاتا ہے۔")</f>
        <v>ورلڈ کپ اس کھیل کا عروج ہے، جس میں رکن ممالک کے بہترین سواروں کو چیمپیئن شپ ٹائٹل کے لیے مقابلہ کرنے کے لیے اکٹھا کیا جاتا ہے۔</v>
      </c>
    </row>
    <row r="62">
      <c r="A62" s="4">
        <v>61.0</v>
      </c>
      <c r="B62" s="5" t="s">
        <v>2597</v>
      </c>
      <c r="C62" s="5" t="s">
        <v>2598</v>
      </c>
      <c r="D62" s="5" t="s">
        <v>2599</v>
      </c>
      <c r="E62" s="5" t="s">
        <v>3170</v>
      </c>
      <c r="K62" s="6" t="str">
        <f>IFERROR(__xludf.DUMMYFUNCTION("GOOGLETRANSLATE(B62,""en"",""ur"")"),"ٹیم ایونٹس میں یکساں قوانین کے سختی سے نفاذ کی بنیادی وجہ کیا ہے؟")</f>
        <v>ٹیم ایونٹس میں یکساں قوانین کے سختی سے نفاذ کی بنیادی وجہ کیا ہے؟</v>
      </c>
      <c r="L62" s="6" t="str">
        <f>IFERROR(__xludf.DUMMYFUNCTION("GOOGLETRANSLATE(C62,""en"",""ur"")"),"A)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f>
        <v>A) سواروں کے پیشہ ور نظر آنے کو یقینی بنانے کے لیے، B) ججوں اور تماشائیوں کو ٹیموں کی آسانی سے شناخت کرنے میں مدد کرنے کے لیے، C) اضافی حفاظت فراہم کرنے کے لیے، D) سپانسرز کو مطمئن کرنے کے لیے</v>
      </c>
      <c r="M62" s="6" t="str">
        <f>IFERROR(__xludf.DUMMYFUNCTION("GOOGLETRANSLATE(D62,""en"",""ur"")"),"ب) ججوں اور تماشائیوں کو ٹیموں کی آسانی سے شناخت کرنے میں مدد کرنا")</f>
        <v>ب) ججوں اور تماشائیوں کو ٹیموں کی آسانی سے شناخت کرنے میں مدد کرنا</v>
      </c>
      <c r="N62" s="6" t="str">
        <f>IFERROR(__xludf.DUMMYFUNCTION("GOOGLETRANSLATE(E62,""en"",""ur"")"),"تیز رفتار ایونٹ میں، ٹیم کی کارکردگی کا واضح اور درست اندازہ لگانے کے لیے یکساں رنگ ضروری ہیں۔")</f>
        <v>تیز رفتار ایونٹ میں، ٹیم کی کارکردگی کا واضح اور درست اندازہ لگانے کے لیے یکساں رنگ ضروری ہیں۔</v>
      </c>
    </row>
    <row r="63">
      <c r="A63" s="4">
        <v>62.0</v>
      </c>
      <c r="B63" s="5" t="s">
        <v>2601</v>
      </c>
      <c r="C63" s="5" t="s">
        <v>2602</v>
      </c>
      <c r="D63" s="5" t="s">
        <v>2603</v>
      </c>
      <c r="E63" s="5" t="s">
        <v>3171</v>
      </c>
      <c r="K63" s="6" t="str">
        <f>IFERROR(__xludf.DUMMYFUNCTION("GOOGLETRANSLATE(B63,""en"",""ur"")"),"اگر سوار کا گھوڑا کھونٹی تک پہنچنے سے پہلے سرپٹ سے ٹروٹ کی طرف بڑھے تو اس کا کیا حکم ہے؟")</f>
        <v>اگر سوار کا گھوڑا کھونٹی تک پہنچنے سے پہلے سرپٹ سے ٹروٹ کی طرف بڑھے تو اس کا کیا حکم ہے؟</v>
      </c>
      <c r="L63" s="6" t="str">
        <f>IFERROR(__xludf.DUMMYFUNCTION("GOOGLETRANSLATE(C63,""en"",""ur"")"),"A)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f>
        <v>A) رن کو نااہل قرار دیا گیا ہے، B) وقت کی حد سے تجاوز کرنے کی وجہ سے سوار کا سکور صفر ہو جائے گا، C) رائیڈر کو کنٹرول کے لیے بونس پوائنٹس دیئے جاتے ہیں، D) رن معمول کے مطابق جاری رہتا ہے۔</v>
      </c>
      <c r="M63" s="6" t="str">
        <f>IFERROR(__xludf.DUMMYFUNCTION("GOOGLETRANSLATE(D63,""en"",""ur"")"),"ب) وقت کی حد سے تجاوز کرنے کی وجہ سے سوار کا امکان صفر ہو جائے گا۔")</f>
        <v>ب) وقت کی حد سے تجاوز کرنے کی وجہ سے سوار کا امکان صفر ہو جائے گا۔</v>
      </c>
      <c r="N63" s="6" t="str">
        <f>IFERROR(__xludf.DUMMYFUNCTION("GOOGLETRANSLATE(E63,""en"",""ur"")"),"دھیمی چال کی طرف بڑھنے سے سوار مطلوبہ وقت کے اندر رن مکمل کرنے میں ناکام ہو جائے گا، جس کے نتیجے میں وقت کی خرابی ہو گی۔")</f>
        <v>دھیمی چال کی طرف بڑھنے سے سوار مطلوبہ وقت کے اندر رن مکمل کرنے میں ناکام ہو جائے گا، جس کے نتیجے میں وقت کی خرابی ہو گی۔</v>
      </c>
    </row>
    <row r="64">
      <c r="A64" s="4">
        <v>63.0</v>
      </c>
      <c r="B64" s="5" t="s">
        <v>2605</v>
      </c>
      <c r="C64" s="5" t="s">
        <v>2606</v>
      </c>
      <c r="D64" s="5" t="s">
        <v>2607</v>
      </c>
      <c r="E64" s="5" t="s">
        <v>2608</v>
      </c>
      <c r="K64" s="6" t="str">
        <f>IFERROR(__xludf.DUMMYFUNCTION("GOOGLETRANSLATE(B64,""en"",""ur"")"),"رن کے بعد ""لانس آؤٹ"" سلیوٹ میں، سوار کیا کرتا ہے؟")</f>
        <v>رن کے بعد "لانس آؤٹ" سلیوٹ میں، سوار کیا کرتا ہے؟</v>
      </c>
      <c r="L64" s="6" t="str">
        <f>IFERROR(__xludf.DUMMYFUNCTION("GOOGLETRANSLATE(C64,""en"",""ur"")"),"A) لانس کو ہوا میں پھینکتا ہے، B) ججوں کو تسلیم کرنے کے لیے لانس کو سیدھا اوپر کرتا ہے، C) لانس کو زمین پر رکھتا ہے، D) لانس کسی اہلکار کے حوالے کرتا ہے۔")</f>
        <v>A) لانس کو ہوا میں پھینکتا ہے، B) ججوں کو تسلیم کرنے کے لیے لانس کو سیدھا اوپر کرتا ہے، C) لانس کو زمین پر رکھتا ہے، D) لانس کسی اہلکار کے حوالے کرتا ہے۔</v>
      </c>
      <c r="M64" s="6" t="str">
        <f>IFERROR(__xludf.DUMMYFUNCTION("GOOGLETRANSLATE(D64,""en"",""ur"")"),"ب) ججوں کو تسلیم کرنے کے لیے لانس کو سیدھا اوپر کی طرف اشارہ کرتا ہے۔")</f>
        <v>ب) ججوں کو تسلیم کرنے کے لیے لانس کو سیدھا اوپر کی طرف اشارہ کرتا ہے۔</v>
      </c>
      <c r="N64" s="6" t="str">
        <f>IFERROR(__xludf.DUMMYFUNCTION("GOOGLETRANSLATE(E64,""en"",""ur"")"),"یہ رن کی تکمیل کا اشارہ دینے اور عہدیداروں کو تسلیم کرنے کے لئے ایک روایتی اور احترام والا اشارہ ہے۔")</f>
        <v>یہ رن کی تکمیل کا اشارہ دینے اور عہدیداروں کو تسلیم کرنے کے لئے ایک روایتی اور احترام والا اشارہ ہے۔</v>
      </c>
    </row>
    <row r="65">
      <c r="A65" s="4">
        <v>64.0</v>
      </c>
      <c r="B65" s="5" t="s">
        <v>2609</v>
      </c>
      <c r="C65" s="5" t="s">
        <v>3172</v>
      </c>
      <c r="D65" s="5" t="s">
        <v>3173</v>
      </c>
      <c r="E65" s="5" t="s">
        <v>3174</v>
      </c>
      <c r="K65" s="6" t="str">
        <f>IFERROR(__xludf.DUMMYFUNCTION("GOOGLETRANSLATE(B65,""en"",""ur"")"),"لانس اور نیزہ کے درمیان بنیادی فرق کیا ہے؟")</f>
        <v>لانس اور نیزہ کے درمیان بنیادی فرق کیا ہے؟</v>
      </c>
      <c r="L65" s="6" t="str">
        <f>IFERROR(__xludf.DUMMYFUNCTION("GOOGLETRANSLATE(C65,""en"",""ur"")"),"A) کوئی فرق نہیں ہے، B) لانس ایک قسم کا نیزہ ہے جسے خاص طور پر گھوڑے کی پیٹھ پر استعمال کرنے کے لیے ڈیزائن کیا گیا ہے، C) نیزہ لانس سے لمبا ہوتا ہے، D) لانس دھات سے بنا ہوتا ہے۔")</f>
        <v>A) کوئی فرق نہیں ہے، B) لانس ایک قسم کا نیزہ ہے جسے خاص طور پر گھوڑے کی پیٹھ پر استعمال کرنے کے لیے ڈیزائن کیا گیا ہے، C) نیزہ لانس سے لمبا ہوتا ہے، D) لانس دھات سے بنا ہوتا ہے۔</v>
      </c>
      <c r="M65" s="6" t="str">
        <f>IFERROR(__xludf.DUMMYFUNCTION("GOOGLETRANSLATE(D65,""en"",""ur"")"),"ب) لانس ایک قسم کا نیزہ ہے جسے خاص طور پر گھوڑے کی پیٹھ پر استعمال کرنے کے لیے ڈیزائن کیا گیا ہے۔")</f>
        <v>ب) لانس ایک قسم کا نیزہ ہے جسے خاص طور پر گھوڑے کی پیٹھ پر استعمال کرنے کے لیے ڈیزائن کیا گیا ہے۔</v>
      </c>
      <c r="N65" s="6" t="str">
        <f>IFERROR(__xludf.DUMMYFUNCTION("GOOGLETRANSLATE(E65,""en"",""ur"")"),"اسی طرح، ایک لانس ایک نیزہ ہے جو خاص طور پر گھڑسواروں کے استعمال کے لیے صدیوں سے ڈھال لیا گیا ہے، جو ایک سوار جنگجو کے لیے توازن پر توجہ مرکوز کرتا ہے۔")</f>
        <v>اسی طرح، ایک لانس ایک نیزہ ہے جو خاص طور پر گھڑسواروں کے استعمال کے لیے صدیوں سے ڈھال لیا گیا ہے، جو ایک سوار جنگجو کے لیے توازن پر توجہ مرکوز کرتا ہے۔</v>
      </c>
    </row>
    <row r="66">
      <c r="A66" s="4">
        <v>65.0</v>
      </c>
      <c r="B66" s="5" t="s">
        <v>2613</v>
      </c>
      <c r="C66" s="5" t="s">
        <v>2614</v>
      </c>
      <c r="D66" s="5" t="s">
        <v>2615</v>
      </c>
      <c r="E66" s="5" t="s">
        <v>3175</v>
      </c>
      <c r="K66" s="6" t="str">
        <f>IFERROR(__xludf.DUMMYFUNCTION("GOOGLETRANSLATE(B66,""en"",""ur"")"),"ایک سوار کو انفرادی مقابلے سے نکال دیا جاتا ہے۔ کیا وہ اب بھی ٹیم ایونٹ میں حصہ لے سکتے ہیں؟")</f>
        <v>ایک سوار کو انفرادی مقابلے سے نکال دیا جاتا ہے۔ کیا وہ اب بھی ٹیم ایونٹ میں حصہ لے سکتے ہیں؟</v>
      </c>
      <c r="L66" s="6" t="str">
        <f>IFERROR(__xludf.DUMMYFUNCTION("GOOGLETRANSLATE(C66,""en"",""ur"")"),"A)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f>
        <v>A) نہیں، وہ پورے مقابلے سے باہر ہو جاتے ہیں، B) ہاں، انفرادی اور ٹیم ایونٹ الگ الگ مقابلے ہوتے ہیں، C) صرف اس صورت میں جب ان کی ٹیم کا کپتان راضی ہو، D) صرف اس صورت میں جب وہ ججز سے معافی مانگیں۔</v>
      </c>
      <c r="M66" s="6" t="str">
        <f>IFERROR(__xludf.DUMMYFUNCTION("GOOGLETRANSLATE(D66,""en"",""ur"")"),"ب) جی ہاں، انفرادی اور ٹیم ایونٹ الگ الگ مقابلے ہیں۔")</f>
        <v>ب) جی ہاں، انفرادی اور ٹیم ایونٹ الگ الگ مقابلے ہیں۔</v>
      </c>
      <c r="N66" s="6" t="str">
        <f>IFERROR(__xludf.DUMMYFUNCTION("GOOGLETRANSLATE(E66,""en"",""ur"")"),"ایک ایونٹ میں سوار کی کارکردگی اسی ٹورنامنٹ میں دوسرے شیڈول ایونٹس میں مقابلہ کرنے کی ان کی اہلیت کو متاثر نہیں کرتی ہے۔")</f>
        <v>ایک ایونٹ میں سوار کی کارکردگی اسی ٹورنامنٹ میں دوسرے شیڈول ایونٹس میں مقابلہ کرنے کی ان کی اہلیت کو متاثر نہیں کرتی ہے۔</v>
      </c>
    </row>
    <row r="67">
      <c r="A67" s="4">
        <v>66.0</v>
      </c>
      <c r="B67" s="5" t="s">
        <v>3176</v>
      </c>
      <c r="C67" s="5" t="s">
        <v>3177</v>
      </c>
      <c r="D67" s="5" t="s">
        <v>3178</v>
      </c>
      <c r="E67" s="5" t="s">
        <v>2620</v>
      </c>
      <c r="K67" s="6" t="str">
        <f>IFERROR(__xludf.DUMMYFUNCTION("GOOGLETRANSLATE(B67,""en"",""ur"")"),"پلاسٹک کی بجائے لکڑی کا کھونٹا استعمال کرنے کی بنیادی وجہ کیا ہے؟")</f>
        <v>پلاسٹک کی بجائے لکڑی کا کھونٹا استعمال کرنے کی بنیادی وجہ کیا ہے؟</v>
      </c>
      <c r="L67" s="6" t="str">
        <f>IFERROR(__xludf.DUMMYFUNCTION("GOOGLETRANSLATE(C67,""en"",""ur"")"),"A) لکڑی سستی ہے، B) لکڑی مناسب مقدار میں مزاحمت فراہم کرتی ہے اور اسے لانس سے صاف طور پر چھیدا جا سکتا ہے، C) پلاسٹک بہت بھاری ہے، D) یہ ایک جدید رجحان ہے۔")</f>
        <v>A) لکڑی سستی ہے، B) لکڑی مناسب مقدار میں مزاحمت فراہم کرتی ہے اور اسے لانس سے صاف طور پر چھیدا جا سکتا ہے، C) پلاسٹک بہت بھاری ہے، D) یہ ایک جدید رجحان ہے۔</v>
      </c>
      <c r="M67" s="6" t="str">
        <f>IFERROR(__xludf.DUMMYFUNCTION("GOOGLETRANSLATE(D67,""en"",""ur"")"),"ب) لکڑی صحیح مقدار میں مزاحمت فراہم کرتی ہے اور اسے لانس سے صاف طور پر چھید کیا جا سکتا ہے۔")</f>
        <v>ب) لکڑی صحیح مقدار میں مزاحمت فراہم کرتی ہے اور اسے لانس سے صاف طور پر چھید کیا جا سکتا ہے۔</v>
      </c>
      <c r="N67" s="6" t="str">
        <f>IFERROR(__xludf.DUMMYFUNCTION("GOOGLETRANSLATE(E67,""en"",""ur"")"),"دھاتی لانس کی نوک اور لکڑی کے کھونٹے کے درمیان تعامل روایتی ہے اور یہ مخصوص چیلنج فراہم کرتا ہے جس پر کھیل کی بنیاد ہے۔")</f>
        <v>دھاتی لانس کی نوک اور لکڑی کے کھونٹے کے درمیان تعامل روایتی ہے اور یہ مخصوص چیلنج فراہم کرتا ہے جس پر کھیل کی بنیاد ہے۔</v>
      </c>
    </row>
    <row r="68">
      <c r="A68" s="4">
        <v>67.0</v>
      </c>
      <c r="B68" s="5" t="s">
        <v>2621</v>
      </c>
      <c r="C68" s="5" t="s">
        <v>2622</v>
      </c>
      <c r="D68" s="5" t="s">
        <v>2623</v>
      </c>
      <c r="E68" s="5" t="s">
        <v>2624</v>
      </c>
      <c r="K68" s="6" t="str">
        <f>IFERROR(__xludf.DUMMYFUNCTION("GOOGLETRANSLATE(B68,""en"",""ur"")"),"ایک سوار کامیابی کے ساتھ انگوٹھی چلاتا ہے، لیکن یہ ختم لائن سے پہلے لانس سے گر جاتا ہے۔ سکور کیا ہے؟")</f>
        <v>ایک سوار کامیابی کے ساتھ انگوٹھی چلاتا ہے، لیکن یہ ختم لائن سے پہلے لانس سے گر جاتا ہے۔ سکور کیا ہے؟</v>
      </c>
      <c r="L68" s="6" t="str">
        <f>IFERROR(__xludf.DUMMYFUNCTION("GOOGLETRANSLATE(C68,""en"",""ur"")"),"A) مکمل پوائنٹس، B) نصف پوائنٹس، C) زیرو پوائنٹس، D) رن دوبارہ چلایا جاتا ہے")</f>
        <v>A) مکمل پوائنٹس، B) نصف پوائنٹس، C) زیرو پوائنٹس، D) رن دوبارہ چلایا جاتا ہے</v>
      </c>
      <c r="M68" s="6" t="str">
        <f>IFERROR(__xludf.DUMMYFUNCTION("GOOGLETRANSLATE(D68,""en"",""ur"")"),"سی) صفر پوائنٹس")</f>
        <v>سی) صفر پوائنٹس</v>
      </c>
      <c r="N68" s="6" t="str">
        <f>IFERROR(__xludf.DUMMYFUNCTION("GOOGLETRANSLATE(E68,""en"",""ur"")"),"بالکل اسی طرح جیسے گراؤنڈ پیگ کے ساتھ، ایک معطل ہدف کو کامیابی کے ساتھ جمع کرنا اور اسکور کرنے کے لیے فنش لائن کے پار لے جانا چاہیے۔")</f>
        <v>بالکل اسی طرح جیسے گراؤنڈ پیگ کے ساتھ، ایک معطل ہدف کو کامیابی کے ساتھ جمع کرنا اور اسکور کرنے کے لیے فنش لائن کے پار لے جانا چاہیے۔</v>
      </c>
    </row>
    <row r="69">
      <c r="A69" s="4">
        <v>68.0</v>
      </c>
      <c r="B69" s="5" t="s">
        <v>2625</v>
      </c>
      <c r="C69" s="5" t="s">
        <v>2626</v>
      </c>
      <c r="D69" s="5" t="s">
        <v>2627</v>
      </c>
      <c r="E69" s="5" t="s">
        <v>2628</v>
      </c>
      <c r="K69" s="6" t="str">
        <f>IFERROR(__xludf.DUMMYFUNCTION("GOOGLETRANSLATE(B69,""en"",""ur"")"),"""نیزا بازی"" کی اصطلاح سے کیا مراد ہے؟")</f>
        <v>"نیزا بازی" کی اصطلاح سے کیا مراد ہے؟</v>
      </c>
      <c r="L69" s="6" t="str">
        <f>IFERROR(__xludf.DUMMYFUNCTION("GOOGLETRANSLATE(C69,""en"",""ur"")"),"A) ٹینٹ پیگنگ کا پاکستانی نام، B) گھوڑے کی ایک قسم، C) رسمی یونیفارم، D) چیمپئن شپ ٹرافی")</f>
        <v>A) ٹینٹ پیگنگ کا پاکستانی نام، B) گھوڑے کی ایک قسم، C) رسمی یونیفارم، D) چیمپئن شپ ٹرافی</v>
      </c>
      <c r="M69" s="6" t="str">
        <f>IFERROR(__xludf.DUMMYFUNCTION("GOOGLETRANSLATE(D69,""en"",""ur"")"),"A) ٹینٹ پیگنگ کا پاکستانی نام")</f>
        <v>A) ٹینٹ پیگنگ کا پاکستانی نام</v>
      </c>
      <c r="N69" s="6" t="str">
        <f>IFERROR(__xludf.DUMMYFUNCTION("GOOGLETRANSLATE(E69,""en"",""ur"")"),"نیزا بازی کھیل کے لیے روایتی فارسی اور اردو اصطلاح ہے، جس کا مطلب ہے ""نیزہ بجانا۔""")</f>
        <v>نیزا بازی کھیل کے لیے روایتی فارسی اور اردو اصطلاح ہے، جس کا مطلب ہے "نیزہ بجانا۔"</v>
      </c>
    </row>
    <row r="70">
      <c r="A70" s="4">
        <v>69.0</v>
      </c>
      <c r="B70" s="5" t="s">
        <v>2629</v>
      </c>
      <c r="C70" s="5" t="s">
        <v>2630</v>
      </c>
      <c r="D70" s="5" t="s">
        <v>2631</v>
      </c>
      <c r="E70" s="5" t="s">
        <v>2632</v>
      </c>
      <c r="K70" s="6" t="str">
        <f>IFERROR(__xludf.DUMMYFUNCTION("GOOGLETRANSLATE(B70,""en"",""ur"")"),"ایک سوار کو لانس کا استعمال کرتے ہوئے دیکھا جاتا ہے جو نمایاں طور پر موٹا اور معیاری سے زیادہ بھاری ہوتا ہے۔ ممکنہ فائدہ کیا ہے؟")</f>
        <v>ایک سوار کو لانس کا استعمال کرتے ہوئے دیکھا جاتا ہے جو نمایاں طور پر موٹا اور معیاری سے زیادہ بھاری ہوتا ہے۔ ممکنہ فائدہ کیا ہے؟</v>
      </c>
      <c r="L70" s="6" t="str">
        <f>IFERROR(__xludf.DUMMYFUNCTION("GOOGLETRANSLATE(C70,""en"",""ur"")"),"A) بہتر درستگی، B) ہوا کے حالات میں زیادہ استحکام، C) اسے پکڑنا آسان ہے، D) اس کے ٹوٹنے کا امکان کم ہے")</f>
        <v>A) بہتر درستگی، B) ہوا کے حالات میں زیادہ استحکام، C) اسے پکڑنا آسان ہے، D) اس کے ٹوٹنے کا امکان کم ہے</v>
      </c>
      <c r="M70" s="6" t="str">
        <f>IFERROR(__xludf.DUMMYFUNCTION("GOOGLETRANSLATE(D70,""en"",""ur"")"),"ب) ہوا کے حالات میں زیادہ استحکام")</f>
        <v>ب) ہوا کے حالات میں زیادہ استحکام</v>
      </c>
      <c r="N70" s="6" t="str">
        <f>IFERROR(__xludf.DUMMYFUNCTION("GOOGLETRANSLATE(E70,""en"",""ur"")"),"ایک بھاری لانس کراس ونڈز سے کم متاثر ہوتا ہے، جو کہ کچھ سواروں کے لیے منفی موسم میں فائدہ مند ثابت ہو سکتا ہے۔")</f>
        <v>ایک بھاری لانس کراس ونڈز سے کم متاثر ہوتا ہے، جو کہ کچھ سواروں کے لیے منفی موسم میں فائدہ مند ثابت ہو سکتا ہے۔</v>
      </c>
    </row>
    <row r="71">
      <c r="A71" s="4">
        <v>70.0</v>
      </c>
      <c r="B71" s="5" t="s">
        <v>3179</v>
      </c>
      <c r="C71" s="5" t="s">
        <v>2634</v>
      </c>
      <c r="D71" s="5" t="s">
        <v>2635</v>
      </c>
      <c r="E71" s="5" t="s">
        <v>3180</v>
      </c>
      <c r="K71" s="6" t="str">
        <f>IFERROR(__xludf.DUMMYFUNCTION("GOOGLETRANSLATE(B71,""en"",""ur"")"),"آفیشل اسٹارٹ لائن سے پہلے ""رن اپ"" ایریا کا بنیادی مقصد کیا ہے؟")</f>
        <v>آفیشل اسٹارٹ لائن سے پہلے "رن اپ" ایریا کا بنیادی مقصد کیا ہے؟</v>
      </c>
      <c r="L71" s="6" t="str">
        <f>IFERROR(__xludf.DUMMYFUNCTION("GOOGLETRANSLATE(C71,""en"",""ur"")"),"A)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f>
        <v>A) گھوڑے اور سوار کو درست رفتار اور تال تک پہنچنے کی اجازت دینے کے لیے، B) گھوڑے کو گرم کرنے کے لیے، C) تماشائیوں کو بہتر نظارہ دیکھنے کی اجازت دینے کے لیے، D) یہ ایک انتظار کی جگہ ہے۔</v>
      </c>
      <c r="M71" s="6" t="str">
        <f>IFERROR(__xludf.DUMMYFUNCTION("GOOGLETRANSLATE(D71,""en"",""ur"")"),"A) گھوڑے اور سوار کو صحیح رفتار اور تال کے مطابق بنانے کی اجازت دینا")</f>
        <v>A) گھوڑے اور سوار کو صحیح رفتار اور تال کے مطابق بنانے کی اجازت دینا</v>
      </c>
      <c r="N71" s="6" t="str">
        <f>IFERROR(__xludf.DUMMYFUNCTION("GOOGLETRANSLATE(E71,""en"",""ur"")"),"مقررہ دوڑ شروع ہونے سے پہلے گھوڑے کو ایک مستحکم، کنٹرول شدہ سرپٹ تک پہنچنے کے لیے رن اپ بہت ضروری ہے۔")</f>
        <v>مقررہ دوڑ شروع ہونے سے پہلے گھوڑے کو ایک مستحکم، کنٹرول شدہ سرپٹ تک پہنچنے کے لیے رن اپ بہت ضروری ہے۔</v>
      </c>
    </row>
    <row r="72">
      <c r="A72" s="4">
        <v>71.0</v>
      </c>
      <c r="B72" s="5" t="s">
        <v>2637</v>
      </c>
      <c r="C72" s="5" t="s">
        <v>2638</v>
      </c>
      <c r="D72" s="5" t="s">
        <v>2639</v>
      </c>
      <c r="E72" s="5" t="s">
        <v>2640</v>
      </c>
      <c r="K72" s="6" t="str">
        <f>IFERROR(__xludf.DUMMYFUNCTION("GOOGLETRANSLATE(B72,""en"",""ur"")"),"اگر لیموں کاٹنے کے لیے تلوار کا استعمال کیا جاتا ہے تو اس کی کلیدی خوبی کیا ہے؟")</f>
        <v>اگر لیموں کاٹنے کے لیے تلوار کا استعمال کیا جاتا ہے تو اس کی کلیدی خوبی کیا ہے؟</v>
      </c>
      <c r="L72" s="6" t="str">
        <f>IFERROR(__xludf.DUMMYFUNCTION("GOOGLETRANSLATE(C72,""en"",""ur"")"),"A) یہ بہت بھاری ہونا چاہئے، B) یہ انتہائی تیز ہونا چاہئے، C) یہ لچکدار ہونا چاہئے، D) یہ کند ہونا چاہئے")</f>
        <v>A) یہ بہت بھاری ہونا چاہئے، B) یہ انتہائی تیز ہونا چاہئے، C) یہ لچکدار ہونا چاہئے، D) یہ کند ہونا چاہئے</v>
      </c>
      <c r="M72" s="6" t="str">
        <f>IFERROR(__xludf.DUMMYFUNCTION("GOOGLETRANSLATE(D72,""en"",""ur"")"),"ب) یہ انتہائی تیز ہونا چاہیے۔")</f>
        <v>ب) یہ انتہائی تیز ہونا چاہیے۔</v>
      </c>
      <c r="N72" s="6" t="str">
        <f>IFERROR(__xludf.DUMMYFUNCTION("GOOGLETRANSLATE(E72,""en"",""ur"")"),"لانس کے برعکس، جو چھیدنے پر انحصار کرتا ہے، تیز رفتاری سے ہدف کو صاف کرنے کے لیے تلوار کو استرا تیز ہونا چاہیے۔")</f>
        <v>لانس کے برعکس، جو چھیدنے پر انحصار کرتا ہے، تیز رفتاری سے ہدف کو صاف کرنے کے لیے تلوار کو استرا تیز ہونا چاہیے۔</v>
      </c>
    </row>
    <row r="73">
      <c r="A73" s="4">
        <v>72.0</v>
      </c>
      <c r="B73" s="5" t="s">
        <v>2641</v>
      </c>
      <c r="C73" s="5" t="s">
        <v>2642</v>
      </c>
      <c r="D73" s="5" t="s">
        <v>2643</v>
      </c>
      <c r="E73" s="5" t="s">
        <v>2644</v>
      </c>
      <c r="K73" s="6" t="str">
        <f>IFERROR(__xludf.DUMMYFUNCTION("GOOGLETRANSLATE(B73,""en"",""ur"")"),"ایک سوار کو ""خطرناک سواری"" کے لیے نااہل قرار دیا جاتا ہے۔ ممکنہ وجہ کیا ہے؟")</f>
        <v>ایک سوار کو "خطرناک سواری" کے لیے نااہل قرار دیا جاتا ہے۔ ممکنہ وجہ کیا ہے؟</v>
      </c>
      <c r="L73" s="6" t="str">
        <f>IFERROR(__xludf.DUMMYFUNCTION("GOOGLETRANSLATE(C73,""en"",""ur"")"),"A) بہت تیز سواری کرنا، B) اپنے گھوڑے پر قابو نہ رکھنا، دوسروں کے لیے خطرہ بننا، C) دوڑ کے دوران چیخنا، D) غلط رنگ پہننا")</f>
        <v>A) بہت تیز سواری کرنا، B) اپنے گھوڑے پر قابو نہ رکھنا، دوسروں کے لیے خطرہ بننا، C) دوڑ کے دوران چیخنا، D) غلط رنگ پہننا</v>
      </c>
      <c r="M73" s="6" t="str">
        <f>IFERROR(__xludf.DUMMYFUNCTION("GOOGLETRANSLATE(D73,""en"",""ur"")"),"ب) اپنے گھوڑے پر قابو نہ پانا، دوسروں کے لیے خطرہ بننا")</f>
        <v>ب) اپنے گھوڑے پر قابو نہ پانا، دوسروں کے لیے خطرہ بننا</v>
      </c>
      <c r="N73" s="6" t="str">
        <f>IFERROR(__xludf.DUMMYFUNCTION("GOOGLETRANSLATE(E73,""en"",""ur"")"),"کوئی بھی عمل جو کنٹرول کی کمی کو ظاہر کرتا ہے اور دوسرے سواروں، گھوڑوں یا اہلکاروں کو خطرے میں ڈالتا ہے خطرناک سواری سمجھا جاتا ہے۔")</f>
        <v>کوئی بھی عمل جو کنٹرول کی کمی کو ظاہر کرتا ہے اور دوسرے سواروں، گھوڑوں یا اہلکاروں کو خطرے میں ڈالتا ہے خطرناک سواری سمجھا جاتا ہے۔</v>
      </c>
    </row>
    <row r="74">
      <c r="A74" s="4">
        <v>73.0</v>
      </c>
      <c r="B74" s="5" t="s">
        <v>2645</v>
      </c>
      <c r="C74" s="5" t="s">
        <v>2646</v>
      </c>
      <c r="D74" s="5" t="s">
        <v>2647</v>
      </c>
      <c r="E74" s="5" t="s">
        <v>3181</v>
      </c>
      <c r="K74" s="6" t="str">
        <f>IFERROR(__xludf.DUMMYFUNCTION("GOOGLETRANSLATE(B74,""en"",""ur"")"),"مارواڑی گھوڑوں کی نسل کی بنیادی خصوصیت کیا ہے جو اسے ٹینٹ پیگنگ کے لیے اچھا بناتی ہے؟")</f>
        <v>مارواڑی گھوڑوں کی نسل کی بنیادی خصوصیت کیا ہے جو اسے ٹینٹ پیگنگ کے لیے اچھا بناتی ہے؟</v>
      </c>
      <c r="L74" s="6" t="str">
        <f>IFERROR(__xludf.DUMMYFUNCTION("GOOGLETRANSLATE(C74,""en"",""ur"")"),"A) اس کی اونچائی، B) اس کا پرسکون مزاج، C) اس کے مخصوص، اندرونی طور پر مڑے ہوئے کان اور قدرتی چستی، D) اس کی پٹھوں کی ساخت")</f>
        <v>A) اس کی اونچائی، B) اس کا پرسکون مزاج، C) اس کے مخصوص، اندرونی طور پر مڑے ہوئے کان اور قدرتی چستی، D) اس کی پٹھوں کی ساخت</v>
      </c>
      <c r="M74" s="6" t="str">
        <f>IFERROR(__xludf.DUMMYFUNCTION("GOOGLETRANSLATE(D74,""en"",""ur"")"),"C) اس کے مخصوص، اندرونی طور پر مڑے ہوئے کان اور قدرتی چستی")</f>
        <v>C) اس کے مخصوص، اندرونی طور پر مڑے ہوئے کان اور قدرتی چستی</v>
      </c>
      <c r="N74" s="6" t="str">
        <f>IFERROR(__xludf.DUMMYFUNCTION("GOOGLETRANSLATE(E74,""en"",""ur"")"),"مارواڑی ایک روایتی جنوبی ایشیائی گھڑ سوار گھوڑا ہے جو اپنی سختی، بہادری اور غیر معمولی چستی کے لیے جانا جاتا ہے۔")</f>
        <v>مارواڑی ایک روایتی جنوبی ایشیائی گھڑ سوار گھوڑا ہے جو اپنی سختی، بہادری اور غیر معمولی چستی کے لیے جانا جاتا ہے۔</v>
      </c>
    </row>
    <row r="75">
      <c r="A75" s="4">
        <v>74.0</v>
      </c>
      <c r="B75" s="5" t="s">
        <v>2649</v>
      </c>
      <c r="C75" s="5" t="s">
        <v>2650</v>
      </c>
      <c r="D75" s="5" t="s">
        <v>2651</v>
      </c>
      <c r="E75" s="5" t="s">
        <v>2652</v>
      </c>
      <c r="K75" s="6" t="str">
        <f>IFERROR(__xludf.DUMMYFUNCTION("GOOGLETRANSLATE(B75,""en"",""ur"")"),"صفر کے اسکور یا ناکام کوشش کے لیے جج کا اشارہ کیا ہے؟")</f>
        <v>صفر کے اسکور یا ناکام کوشش کے لیے جج کا اشارہ کیا ہے؟</v>
      </c>
      <c r="L75" s="6" t="str">
        <f>IFERROR(__xludf.DUMMYFUNCTION("GOOGLETRANSLATE(C75,""en"",""ur"")"),"A) ایک سرخ جھنڈا بلند کیا جاتا ہے، B) سبز جھنڈا بلند کیا جاتا ہے، C) جج اپنا سر ہلاتا ہے، D) جج ایک بار سیٹی بجاتا ہے۔")</f>
        <v>A) ایک سرخ جھنڈا بلند کیا جاتا ہے، B) سبز جھنڈا بلند کیا جاتا ہے، C) جج اپنا سر ہلاتا ہے، D) جج ایک بار سیٹی بجاتا ہے۔</v>
      </c>
      <c r="M75" s="6" t="str">
        <f>IFERROR(__xludf.DUMMYFUNCTION("GOOGLETRANSLATE(D75,""en"",""ur"")"),"A) ایک سرخ جھنڈا بلند کیا گیا ہے۔")</f>
        <v>A) ایک سرخ جھنڈا بلند کیا گیا ہے۔</v>
      </c>
      <c r="N75" s="6" t="str">
        <f>IFERROR(__xludf.DUMMYFUNCTION("GOOGLETRANSLATE(E75,""en"",""ur"")"),"ایک سرخ جھنڈا معیاری سگنل ہے جو اس بات کی نشاندہی کرتا ہے کہ رن ناکام رہا اور کوئی پوائنٹ نہیں دیا گیا۔")</f>
        <v>ایک سرخ جھنڈا معیاری سگنل ہے جو اس بات کی نشاندہی کرتا ہے کہ رن ناکام رہا اور کوئی پوائنٹ نہیں دیا گیا۔</v>
      </c>
    </row>
    <row r="76">
      <c r="A76" s="4">
        <v>75.0</v>
      </c>
      <c r="B76" s="5" t="s">
        <v>2653</v>
      </c>
      <c r="C76" s="5" t="s">
        <v>2654</v>
      </c>
      <c r="D76" s="5" t="s">
        <v>2655</v>
      </c>
      <c r="E76" s="5" t="s">
        <v>2656</v>
      </c>
      <c r="K76" s="6" t="str">
        <f>IFERROR(__xludf.DUMMYFUNCTION("GOOGLETRANSLATE(B76,""en"",""ur"")"),"سواروں کو اپنے بازو پر لانس باندھنے کی اجازت کیوں نہیں ہے؟")</f>
        <v>سواروں کو اپنے بازو پر لانس باندھنے کی اجازت کیوں نہیں ہے؟</v>
      </c>
      <c r="L76" s="6" t="str">
        <f>IFERROR(__xludf.DUMMYFUNCTION("GOOGLETRANSLATE(C76,""en"",""ur"")"),"A)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f>
        <v>A) یہ روایتی نہیں ہے، B) حفاظت کے لیے؛ انہیں ہنگامی صورت حال میں لانس چھوڑنے کے قابل ہونا چاہیے، C) یہ ایک غیر منصفانہ فائدہ دیتا ہے، D) اس سے مقصد حاصل کرنا ناممکن ہو جائے گا۔</v>
      </c>
      <c r="M76" s="6" t="str">
        <f>IFERROR(__xludf.DUMMYFUNCTION("GOOGLETRANSLATE(D76,""en"",""ur"")"),"ب) حفاظت کے لیے؛ انہیں ہنگامی حالت میں لانس چھوڑنے کے قابل ہونا چاہیے۔")</f>
        <v>ب) حفاظت کے لیے؛ انہیں ہنگامی حالت میں لانس چھوڑنے کے قابل ہونا چاہیے۔</v>
      </c>
      <c r="N76" s="6" t="str">
        <f>IFERROR(__xludf.DUMMYFUNCTION("GOOGLETRANSLATE(E76,""en"",""ur"")"),"جسم پر لینس کا پٹا لگانا انتہائی خطرناک ہے۔ ایک سوار کو ہتھیار کو فوری طور پر چھوڑنے کے قابل ہونا چاہیے اگر یہ پھنس جائے یا گر جائے۔")</f>
        <v>جسم پر لینس کا پٹا لگانا انتہائی خطرناک ہے۔ ایک سوار کو ہتھیار کو فوری طور پر چھوڑنے کے قابل ہونا چاہیے اگر یہ پھنس جائے یا گر جائے۔</v>
      </c>
    </row>
    <row r="77">
      <c r="A77" s="4">
        <v>76.0</v>
      </c>
      <c r="B77" s="5" t="s">
        <v>2657</v>
      </c>
      <c r="C77" s="5" t="s">
        <v>2658</v>
      </c>
      <c r="D77" s="5" t="s">
        <v>2659</v>
      </c>
      <c r="E77" s="5" t="s">
        <v>2660</v>
      </c>
      <c r="K77" s="6" t="str">
        <f>IFERROR(__xludf.DUMMYFUNCTION("GOOGLETRANSLATE(B77,""en"",""ur"")"),"ایک ٹیم ایونٹ میں، اگر ایک سوار کو غلط آغاز کے لیے ختم کر دیا جاتا ہے تو کیا جرمانہ ہے؟")</f>
        <v>ایک ٹیم ایونٹ میں، اگر ایک سوار کو غلط آغاز کے لیے ختم کر دیا جاتا ہے تو کیا جرمانہ ہے؟</v>
      </c>
      <c r="L77" s="6" t="str">
        <f>IFERROR(__xludf.DUMMYFUNCTION("GOOGLETRANSLATE(C77,""en"",""ur"")"),"A)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f>
        <v>A) پوری ٹیم کو نااہل قرار دے دیا جاتا ہے، B) ٹیم تین رائیڈرز کے ساتھ جاری رہتی ہے، لیکن ختم ہونے والے رائیڈر کو صفر کا سکور ملتا ہے، C) ٹیم کو رن دوبارہ پلے کرنا ہوتا ہے، D) ٹیم کو 6 پوائنٹس کا جرمانہ ملتا ہے۔</v>
      </c>
      <c r="M77" s="6" t="str">
        <f>IFERROR(__xludf.DUMMYFUNCTION("GOOGLETRANSLATE(D77,""en"",""ur"")"),"ب) ٹیم تین سواروں کے ساتھ جاری رہتی ہے، لیکن ختم ہونے والے سوار کو صفر کا سکور ملتا ہے۔")</f>
        <v>ب) ٹیم تین سواروں کے ساتھ جاری رہتی ہے، لیکن ختم ہونے والے سوار کو صفر کا سکور ملتا ہے۔</v>
      </c>
      <c r="N77" s="6" t="str">
        <f>IFERROR(__xludf.DUMMYFUNCTION("GOOGLETRANSLATE(E77,""en"",""ur"")"),"انفرادی سوار کا سکور منسوخ کر دیا جاتا ہے، لیکن یہ ٹیم کے دیگر اراکین کو نااہل نہیں کرتا، جن کے اسکور ابھی بھی شمار ہوتے ہیں۔")</f>
        <v>انفرادی سوار کا سکور منسوخ کر دیا جاتا ہے، لیکن یہ ٹیم کے دیگر اراکین کو نااہل نہیں کرتا، جن کے اسکور ابھی بھی شمار ہوتے ہیں۔</v>
      </c>
    </row>
    <row r="78">
      <c r="A78" s="4">
        <v>77.0</v>
      </c>
      <c r="B78" s="5" t="s">
        <v>2661</v>
      </c>
      <c r="C78" s="5" t="s">
        <v>2662</v>
      </c>
      <c r="D78" s="5" t="s">
        <v>2663</v>
      </c>
      <c r="E78" s="5" t="s">
        <v>2664</v>
      </c>
      <c r="K78" s="6" t="str">
        <f>IFERROR(__xludf.DUMMYFUNCTION("GOOGLETRANSLATE(B78,""en"",""ur"")"),"ٹینٹ پیگنگ اور جوسٹنگ کے درمیان بنیادی فرق کیا ہے؟")</f>
        <v>ٹینٹ پیگنگ اور جوسٹنگ کے درمیان بنیادی فرق کیا ہے؟</v>
      </c>
      <c r="L78" s="6" t="str">
        <f>IFERROR(__xludf.DUMMYFUNCTION("GOOGLETRANSLATE(C78,""en"",""ur"")"),"A) جوسٹنگ تلواروں کا استعمال کرتی ہے، B) جوسٹنگ میں دو سوار ایک دوسرے پر چارج کرتے ہیں، جبکہ ٹینٹ پیگنگ ایک اسٹیشنری ہدف پر چارج ہوتا ہے، C) جوسٹنگ پرانا ہے، D) کوئی فرق نہیں ہے۔")</f>
        <v>A) جوسٹنگ تلواروں کا استعمال کرتی ہے، B) جوسٹنگ میں دو سوار ایک دوسرے پر چارج کرتے ہیں، جبکہ ٹینٹ پیگنگ ایک اسٹیشنری ہدف پر چارج ہوتا ہے، C) جوسٹنگ پرانا ہے، D) کوئی فرق نہیں ہے۔</v>
      </c>
      <c r="M78" s="6" t="str">
        <f>IFERROR(__xludf.DUMMYFUNCTION("GOOGLETRANSLATE(D78,""en"",""ur"")"),"ب) جوسٹنگ میں دو سوار ایک دوسرے پر چارج کرتے ہیں، جبکہ ٹینٹ پیگنگ ایک اسٹیشنری ہدف پر چارج ہوتا ہے۔")</f>
        <v>ب) جوسٹنگ میں دو سوار ایک دوسرے پر چارج کرتے ہیں، جبکہ ٹینٹ پیگنگ ایک اسٹیشنری ہدف پر چارج ہوتا ہے۔</v>
      </c>
      <c r="N78" s="6" t="str">
        <f>IFERROR(__xludf.DUMMYFUNCTION("GOOGLETRANSLATE(E78,""en"",""ur"")"),"جوسٹنگ دو مخالفین کے درمیان فرضی لڑائی کی ایک شکل ہے، جبکہ ٹینٹ پیگنگ ہدف کے خلاف انفرادی مہارت کا امتحان ہے۔")</f>
        <v>جوسٹنگ دو مخالفین کے درمیان فرضی لڑائی کی ایک شکل ہے، جبکہ ٹینٹ پیگنگ ہدف کے خلاف انفرادی مہارت کا امتحان ہے۔</v>
      </c>
    </row>
    <row r="79">
      <c r="A79" s="4">
        <v>78.0</v>
      </c>
      <c r="B79" s="5" t="s">
        <v>2665</v>
      </c>
      <c r="C79" s="5" t="s">
        <v>2420</v>
      </c>
      <c r="D79" s="5" t="s">
        <v>2666</v>
      </c>
      <c r="E79" s="5" t="s">
        <v>2667</v>
      </c>
      <c r="K79" s="6" t="str">
        <f>IFERROR(__xludf.DUMMYFUNCTION("GOOGLETRANSLATE(B79,""en"",""ur"")"),"سوار کا گھوڑا 9 سیکنڈ میں دوڑ مکمل کرتا ہے، جو کہ 8 سیکنڈ کی حد سے زیادہ ہے۔ وہ کامیابی کے ساتھ مکمل پیگ حاصل کرتے ہیں۔ ان کا سکور کیا ہے؟")</f>
        <v>سوار کا گھوڑا 9 سیکنڈ میں دوڑ مکمل کرتا ہے، جو کہ 8 سیکنڈ کی حد سے زیادہ ہے۔ وہ کامیابی کے ساتھ مکمل پیگ حاصل کرتے ہیں۔ ان کا سکور کیا ہے؟</v>
      </c>
      <c r="L79" s="6" t="str">
        <f>IFERROR(__xludf.DUMMYFUNCTION("GOOGLETRANSLATE(C79,""en"",""ur"")"),"A) 6 پوائنٹس، B) 4 پوائنٹس، C) 2 پوائنٹس، D) 0 پوائنٹس")</f>
        <v>A) 6 پوائنٹس، B) 4 پوائنٹس، C) 2 پوائنٹس، D) 0 پوائنٹس</v>
      </c>
      <c r="M79" s="6" t="str">
        <f>IFERROR(__xludf.DUMMYFUNCTION("GOOGLETRANSLATE(D79,""en"",""ur"")"),"D) 0 پوائنٹس")</f>
        <v>D) 0 پوائنٹس</v>
      </c>
      <c r="N79" s="6" t="str">
        <f>IFERROR(__xludf.DUMMYFUNCTION("GOOGLETRANSLATE(E79,""en"",""ur"")"),"وقت کی حد مطلق ہے۔ یہاں تک کہ ایک کامل اسٹرائیک بھی کالعدم ہو جاتی ہے اگر سوار بہت سست ہو، جس کے نتیجے میں وقتی غلطی کے لیے صفر کا سکور ہوتا ہے۔")</f>
        <v>وقت کی حد مطلق ہے۔ یہاں تک کہ ایک کامل اسٹرائیک بھی کالعدم ہو جاتی ہے اگر سوار بہت سست ہو، جس کے نتیجے میں وقتی غلطی کے لیے صفر کا سکور ہوتا ہے۔</v>
      </c>
    </row>
    <row r="80">
      <c r="A80" s="4">
        <v>79.0</v>
      </c>
      <c r="B80" s="5" t="s">
        <v>2668</v>
      </c>
      <c r="C80" s="5" t="s">
        <v>2669</v>
      </c>
      <c r="D80" s="5" t="s">
        <v>2670</v>
      </c>
      <c r="E80" s="5" t="s">
        <v>2671</v>
      </c>
      <c r="K80" s="6" t="str">
        <f>IFERROR(__xludf.DUMMYFUNCTION("GOOGLETRANSLATE(B80,""en"",""ur"")"),"اس کھیل کو ""ٹینٹ پیگنگ"" کہنے کی بنیادی وجہ کیا ہے؟")</f>
        <v>اس کھیل کو "ٹینٹ پیگنگ" کہنے کی بنیادی وجہ کیا ہے؟</v>
      </c>
      <c r="L80" s="6" t="str">
        <f>IFERROR(__xludf.DUMMYFUNCTION("GOOGLETRANSLATE(C80,""en"",""ur"")"),"A) یہ اکثر ایک بڑے خیمے میں کھیلا جاتا ہے، B) ہدف ایک خیمے کی شکل کا ہوتا ہے، C) یہ دشمن کے خیمے کے کھونٹے کھینچنے کی فوجی مشق سے شروع ہوا، D) بانی کا نام ""پیگ"" تھا۔")</f>
        <v>A) یہ اکثر ایک بڑے خیمے میں کھیلا جاتا ہے، B) ہدف ایک خیمے کی شکل کا ہوتا ہے، C) یہ دشمن کے خیمے کے کھونٹے کھینچنے کی فوجی مشق سے شروع ہوا، D) بانی کا نام "پیگ" تھا۔</v>
      </c>
      <c r="M80" s="6" t="str">
        <f>IFERROR(__xludf.DUMMYFUNCTION("GOOGLETRANSLATE(D80,""en"",""ur"")"),"ج) اس کی ابتدا دشمن کے خیمے کے کھونٹے کھینچنے کی فوجی مشق سے ہوئی۔")</f>
        <v>ج) اس کی ابتدا دشمن کے خیمے کے کھونٹے کھینچنے کی فوجی مشق سے ہوئی۔</v>
      </c>
      <c r="N80" s="6" t="str">
        <f>IFERROR(__xludf.DUMMYFUNCTION("GOOGLETRANSLATE(E80,""en"",""ur"")"),"یہ نام نیزہ چلا کر اور زمینی کھونٹے ہٹا کر دشمن کے خیموں کو گرانے کے تاریخی گھڑسوار کی حکمت عملی کا براہ راست حوالہ ہے۔")</f>
        <v>یہ نام نیزہ چلا کر اور زمینی کھونٹے ہٹا کر دشمن کے خیموں کو گرانے کے تاریخی گھڑسوار کی حکمت عملی کا براہ راست حوالہ ہے۔</v>
      </c>
    </row>
    <row r="81">
      <c r="A81" s="4">
        <v>80.0</v>
      </c>
      <c r="B81" s="5" t="s">
        <v>2672</v>
      </c>
      <c r="C81" s="5" t="s">
        <v>3182</v>
      </c>
      <c r="D81" s="5" t="s">
        <v>2674</v>
      </c>
      <c r="E81" s="5" t="s">
        <v>2675</v>
      </c>
      <c r="K81" s="6" t="str">
        <f>IFERROR(__xludf.DUMMYFUNCTION("GOOGLETRANSLATE(B81,""en"",""ur"")"),"ایک سوار کو بہت چھوٹا لانس رکھنے کی وجہ سے نااہل قرار دیا جاتا ہے۔ کم از کم لمبائی کا اصول کیوں ہے؟")</f>
        <v>ایک سوار کو بہت چھوٹا لانس رکھنے کی وجہ سے نااہل قرار دیا جاتا ہے۔ کم از کم لمبائی کا اصول کیوں ہے؟</v>
      </c>
      <c r="L81" s="6" t="str">
        <f>IFERROR(__xludf.DUMMYFUNCTION("GOOGLETRANSLATE(C81,""en"",""ur"")"),"A) شارٹ لانس دیکھنا مشکل ہے، B) سواروں کو چالبازی میں غیر منصفانہ فائدہ اٹھانے سے روکنے کے لیے، C) اس بات کو یقینی بنانے کے لیے کہ سوار کھونٹی سے محفوظ فاصلے پر ہے، D) یہ ایک روایتی اصول ہے۔")</f>
        <v>A) شارٹ لانس دیکھنا مشکل ہے، B) سواروں کو چالبازی میں غیر منصفانہ فائدہ اٹھانے سے روکنے کے لیے، C) اس بات کو یقینی بنانے کے لیے کہ سوار کھونٹی سے محفوظ فاصلے پر ہے، D) یہ ایک روایتی اصول ہے۔</v>
      </c>
      <c r="M81" s="6" t="str">
        <f>IFERROR(__xludf.DUMMYFUNCTION("GOOGLETRANSLATE(D81,""en"",""ur"")"),"ب) سواریوں کو چالبازی میں غیر منصفانہ فائدہ حاصل کرنے سے روکنا")</f>
        <v>ب) سواریوں کو چالبازی میں غیر منصفانہ فائدہ حاصل کرنے سے روکنا</v>
      </c>
      <c r="N81" s="6" t="str">
        <f>IFERROR(__xludf.DUMMYFUNCTION("GOOGLETRANSLATE(E81,""en"",""ur"")"),"ایک بہت ہی مختصر لانس مقصد اور کنٹرول میں بہت آسان ہو گا، لہذا سب کے لیے ایک منصفانہ چیلنج کو یقینی بنانے کے لیے ایک معیاری کم از کم لمبائی کی ضرورت ہے۔")</f>
        <v>ایک بہت ہی مختصر لانس مقصد اور کنٹرول میں بہت آسان ہو گا، لہذا سب کے لیے ایک منصفانہ چیلنج کو یقینی بنانے کے لیے ایک معیاری کم از کم لمبائی کی ضرورت ہے۔</v>
      </c>
    </row>
    <row r="82">
      <c r="A82" s="4">
        <v>81.0</v>
      </c>
      <c r="B82" s="5" t="s">
        <v>3183</v>
      </c>
      <c r="C82" s="5" t="s">
        <v>2757</v>
      </c>
      <c r="D82" s="5" t="s">
        <v>2758</v>
      </c>
      <c r="E82" s="5" t="s">
        <v>3184</v>
      </c>
      <c r="K82" s="6" t="str">
        <f>IFERROR(__xludf.DUMMYFUNCTION("GOOGLETRANSLATE(B82,""en"",""ur"")"),"ایک سوار کا گھوڑا ایک طرف بڑھتا ہے، اسے ایک زاویے پر کھونٹی مارنے پر مجبور کرتا ہے۔ یہ ایک نقصان کیوں ہے؟")</f>
        <v>ایک سوار کا گھوڑا ایک طرف بڑھتا ہے، اسے ایک زاویے پر کھونٹی مارنے پر مجبور کرتا ہے۔ یہ ایک نقصان کیوں ہے؟</v>
      </c>
      <c r="L82" s="6" t="str">
        <f>IFERROR(__xludf.DUMMYFUNCTION("GOOGLETRANSLATE(C82,""en"",""ur"")"),"A)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f>
        <v>A) یہ کوئی نقصان نہیں ہے، B) زاویہ کی ہڑتال سے لانس کے ٹوٹنے کا زیادہ امکان ہوتا ہے، C) زاویہ والی ہڑتال سے کھونٹی کو اٹھانے کے بجائے جھلکنے یا اس پر دستک دینے کا زیادہ امکان ہوتا ہے، D) یہ ایک فاؤل ہے۔</v>
      </c>
      <c r="M82" s="6" t="str">
        <f>IFERROR(__xludf.DUMMYFUNCTION("GOOGLETRANSLATE(D82,""en"",""ur"")"),"C) ایک زاویہ کی ہڑتال سے کھونٹی کو اٹھانے کے بجائے اس پر نظر ڈالنے یا اس پر دستک دینے کا زیادہ امکان ہوتا ہے۔")</f>
        <v>C) ایک زاویہ کی ہڑتال سے کھونٹی کو اٹھانے کے بجائے اس پر نظر ڈالنے یا اس پر دستک دینے کا زیادہ امکان ہوتا ہے۔</v>
      </c>
      <c r="N82" s="6" t="str">
        <f>IFERROR(__xludf.DUMMYFUNCTION("GOOGLETRANSLATE(E82,""en"",""ur"")"),"لینس ٹپ کے لیے سیدھا نقطہ نظر بہت ضروری ہے تاکہ پیگ کو مناسب طریقے سے منسلک کیا جا سکے۔")</f>
        <v>لینس ٹپ کے لیے سیدھا نقطہ نظر بہت ضروری ہے تاکہ پیگ کو مناسب طریقے سے منسلک کیا جا سکے۔</v>
      </c>
    </row>
    <row r="83">
      <c r="A83" s="4">
        <v>82.0</v>
      </c>
      <c r="B83" s="5" t="s">
        <v>2680</v>
      </c>
      <c r="C83" s="5" t="s">
        <v>2681</v>
      </c>
      <c r="D83" s="5" t="s">
        <v>2682</v>
      </c>
      <c r="E83" s="5" t="s">
        <v>2683</v>
      </c>
      <c r="K83" s="6" t="str">
        <f>IFERROR(__xludf.DUMMYFUNCTION("GOOGLETRANSLATE(B83,""en"",""ur"")"),"ٹیم ایونٹ میں ""مکمل سیکشن اٹیک"" کیا ہے؟")</f>
        <v>ٹیم ایونٹ میں "مکمل سیکشن اٹیک" کیا ہے؟</v>
      </c>
      <c r="L83" s="6" t="str">
        <f>IFERROR(__xludf.DUMMYFUNCTION("GOOGLETRANSLATE(C83,""en"",""ur"")"),"A) چاروں سوار ایک ساتھ ایک لائن میں کھونٹے چارج کرتے ہیں، B) ٹیم نیزہ اور تلوار دونوں کا استعمال کرتی ہے، C) ٹیم رسمی چارج کرتی ہے، D) ٹیم ججوں پر حملہ کرتی ہے۔")</f>
        <v>A) چاروں سوار ایک ساتھ ایک لائن میں کھونٹے چارج کرتے ہیں، B) ٹیم نیزہ اور تلوار دونوں کا استعمال کرتی ہے، C) ٹیم رسمی چارج کرتی ہے، D) ٹیم ججوں پر حملہ کرتی ہے۔</v>
      </c>
      <c r="M83" s="6" t="str">
        <f>IFERROR(__xludf.DUMMYFUNCTION("GOOGLETRANSLATE(D83,""en"",""ur"")"),"A) چاروں سوار بیک وقت ایک لائن میں پیگز چارج کرتے ہیں۔")</f>
        <v>A) چاروں سوار بیک وقت ایک لائن میں پیگز چارج کرتے ہیں۔</v>
      </c>
      <c r="N83" s="6" t="str">
        <f>IFERROR(__xludf.DUMMYFUNCTION("GOOGLETRANSLATE(E83,""en"",""ur"")"),"یہ کلاسک ٹیم ایونٹ ہے، جہاں چار سواروں کو اپنے انفرادی ہدف کو نشانہ بناتے ہوئے بہترین فارمیشن برقرار رکھنا چاہیے۔")</f>
        <v>یہ کلاسک ٹیم ایونٹ ہے، جہاں چار سواروں کو اپنے انفرادی ہدف کو نشانہ بناتے ہوئے بہترین فارمیشن برقرار رکھنا چاہیے۔</v>
      </c>
    </row>
    <row r="84">
      <c r="A84" s="4">
        <v>83.0</v>
      </c>
      <c r="B84" s="5" t="s">
        <v>2684</v>
      </c>
      <c r="C84" s="5" t="s">
        <v>2685</v>
      </c>
      <c r="D84" s="5" t="s">
        <v>2686</v>
      </c>
      <c r="E84" s="5" t="s">
        <v>2687</v>
      </c>
      <c r="K84" s="6" t="str">
        <f>IFERROR(__xludf.DUMMYFUNCTION("GOOGLETRANSLATE(B84,""en"",""ur"")"),"کیوں زمین جہاں کھونٹی رکھی ہے مضبوط اور اچھی طرح سے کمپیکٹ ہونا چاہئے؟")</f>
        <v>کیوں زمین جہاں کھونٹی رکھی ہے مضبوط اور اچھی طرح سے کمپیکٹ ہونا چاہئے؟</v>
      </c>
      <c r="L84" s="6" t="str">
        <f>IFERROR(__xludf.DUMMYFUNCTION("GOOGLETRANSLATE(C84,""en"",""ur"")"),"A) کھونٹی کو اٹھانا مشکل بنانے کے لیے، B) اس بات کو یقینی بنانے کے لیے کہ پیگ تمام سواروں کے لیے 60 ڈگری کے زاویے کو مستقل طور پر رکھتا ہے، C) گھوڑے کو پھسلنے سے روکنے کے لیے، D) یہ کوئی ضرورت نہیں ہے۔")</f>
        <v>A) کھونٹی کو اٹھانا مشکل بنانے کے لیے، B) اس بات کو یقینی بنانے کے لیے کہ پیگ تمام سواروں کے لیے 60 ڈگری کے زاویے کو مستقل طور پر رکھتا ہے، C) گھوڑے کو پھسلنے سے روکنے کے لیے، D) یہ کوئی ضرورت نہیں ہے۔</v>
      </c>
      <c r="M84" s="6" t="str">
        <f>IFERROR(__xludf.DUMMYFUNCTION("GOOGLETRANSLATE(D84,""en"",""ur"")"),"ب) اس بات کو یقینی بنانے کے لیے کہ پیگ اپنے 60 ڈگری زاویہ کو تمام سواروں کے لیے مستقل طور پر رکھتا ہے۔")</f>
        <v>ب) اس بات کو یقینی بنانے کے لیے کہ پیگ اپنے 60 ڈگری زاویہ کو تمام سواروں کے لیے مستقل طور پر رکھتا ہے۔</v>
      </c>
      <c r="N84" s="6" t="str">
        <f>IFERROR(__xludf.DUMMYFUNCTION("GOOGLETRANSLATE(E84,""en"",""ur"")"),"منصفانہ مسابقت کا تقاضا ہے کہ ہدف میں ہر حریف کے لیے یکساں سطح کی مزاحمت ہو۔")</f>
        <v>منصفانہ مسابقت کا تقاضا ہے کہ ہدف میں ہر حریف کے لیے یکساں سطح کی مزاحمت ہو۔</v>
      </c>
    </row>
    <row r="85">
      <c r="A85" s="4">
        <v>84.0</v>
      </c>
      <c r="B85" s="5" t="s">
        <v>3185</v>
      </c>
      <c r="C85" s="5" t="s">
        <v>2689</v>
      </c>
      <c r="D85" s="5" t="s">
        <v>2690</v>
      </c>
      <c r="E85" s="5" t="s">
        <v>2691</v>
      </c>
      <c r="K85" s="6" t="str">
        <f>IFERROR(__xludf.DUMMYFUNCTION("GOOGLETRANSLATE(B85,""en"",""ur"")"),"اگر کوئی سوار کھونٹی مار کر اسے اٹھا لے لیکن لانس کے دوران کھونٹی خود ہی ٹوٹ جائے تو اس کا کیا حکم ہے؟")</f>
        <v>اگر کوئی سوار کھونٹی مار کر اسے اٹھا لے لیکن لانس کے دوران کھونٹی خود ہی ٹوٹ جائے تو اس کا کیا حکم ہے؟</v>
      </c>
      <c r="L85" s="6" t="str">
        <f>IFERROR(__xludf.DUMMYFUNCTION("GOOGLETRANSLATE(C85,""en"",""ur"")"),"A) اسکور کو کالعدم کر دیا گیا ہے، B) اسے ""ڈرون پیگ"" (2 پوائنٹس) کے طور پر اسکور کیا جاتا ہے، C) اسے ""فل پیگ"" (6 پوائنٹس) کے طور پر اسکور کیا جاتا ہے، D) رن کو ایک نئے پیگ کے ساتھ دوبارہ چلایا جاتا ہے۔")</f>
        <v>A) اسکور کو کالعدم کر دیا گیا ہے، B) اسے "ڈرون پیگ" (2 پوائنٹس) کے طور پر اسکور کیا جاتا ہے، C) اسے "فل پیگ" (6 پوائنٹس) کے طور پر اسکور کیا جاتا ہے، D) رن کو ایک نئے پیگ کے ساتھ دوبارہ چلایا جاتا ہے۔</v>
      </c>
      <c r="M85" s="6" t="str">
        <f>IFERROR(__xludf.DUMMYFUNCTION("GOOGLETRANSLATE(D85,""en"",""ur"")"),"C) اسے ""فل پیگ"" کے طور پر اسکور کیا جاتا ہے (6 پوائنٹس)")</f>
        <v>C) اسے "فل پیگ" کے طور پر اسکور کیا جاتا ہے (6 پوائنٹس)</v>
      </c>
      <c r="N85" s="6" t="str">
        <f>IFERROR(__xludf.DUMMYFUNCTION("GOOGLETRANSLATE(E85,""en"",""ur"")"),"سوار نے پیگ اٹھانے کا مطلوبہ عمل کامیابی سے انجام دیا۔ ہدف کے آلات کی ناکامی اسکور کو باطل نہیں کرتی ہے۔")</f>
        <v>سوار نے پیگ اٹھانے کا مطلوبہ عمل کامیابی سے انجام دیا۔ ہدف کے آلات کی ناکامی اسکور کو باطل نہیں کرتی ہے۔</v>
      </c>
    </row>
    <row r="86">
      <c r="A86" s="4">
        <v>85.0</v>
      </c>
      <c r="B86" s="5" t="s">
        <v>2692</v>
      </c>
      <c r="C86" s="5" t="s">
        <v>2693</v>
      </c>
      <c r="D86" s="5" t="s">
        <v>2694</v>
      </c>
      <c r="E86" s="5" t="s">
        <v>2695</v>
      </c>
      <c r="K86" s="6" t="str">
        <f>IFERROR(__xludf.DUMMYFUNCTION("GOOGLETRANSLATE(B86,""en"",""ur"")"),"ٹورنامنٹ میں ""مارشلنگ ایریا"" کا مقصد کیا ہے؟")</f>
        <v>ٹورنامنٹ میں "مارشلنگ ایریا" کا مقصد کیا ہے؟</v>
      </c>
      <c r="L86" s="6" t="str">
        <f>IFERROR(__xludf.DUMMYFUNCTION("GOOGLETRANSLATE(C86,""en"",""ur"")"),"A)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f>
        <v>A) یہ وہ جگہ ہے جہاں گھوڑوں کو رکھا جاتا ہے، B) یہ اگلے حریفوں کے لیے ایک نامزد انتظار اور وارم اپ ایریا ہے، C) یہ وہ جگہ ہے جہاں انعامات دکھائے جاتے ہیں، D) یہ وہ جگہ ہے جہاں جج بیٹھتے ہیں۔</v>
      </c>
      <c r="M86" s="6" t="str">
        <f>IFERROR(__xludf.DUMMYFUNCTION("GOOGLETRANSLATE(D86,""en"",""ur"")"),"ب) یہ اگلے حریفوں کے لیے ایک نامزد انتظار اور وارم اپ ایریا ہے۔")</f>
        <v>ب) یہ اگلے حریفوں کے لیے ایک نامزد انتظار اور وارم اپ ایریا ہے۔</v>
      </c>
      <c r="N86" s="6" t="str">
        <f>IFERROR(__xludf.DUMMYFUNCTION("GOOGLETRANSLATE(E86,""en"",""ur"")"),"مارشلنگ ایریا ایونٹ آرگنائزیشن کا ایک اہم حصہ ہے، اس بات کو یقینی بناتا ہے کہ سوار تیار ہیں اور مقابلہ آسانی سے جاری ہے۔")</f>
        <v>مارشلنگ ایریا ایونٹ آرگنائزیشن کا ایک اہم حصہ ہے، اس بات کو یقینی بناتا ہے کہ سوار تیار ہیں اور مقابلہ آسانی سے جاری ہے۔</v>
      </c>
    </row>
    <row r="87">
      <c r="A87" s="4">
        <v>86.0</v>
      </c>
      <c r="B87" s="5" t="s">
        <v>2696</v>
      </c>
      <c r="C87" s="5" t="s">
        <v>2697</v>
      </c>
      <c r="D87" s="5" t="s">
        <v>2698</v>
      </c>
      <c r="E87" s="5" t="s">
        <v>2699</v>
      </c>
      <c r="K87" s="6" t="str">
        <f>IFERROR(__xludf.DUMMYFUNCTION("GOOGLETRANSLATE(B87,""en"",""ur"")"),"ایک سوار کو بہت ہلکا، پتلا لانس استعمال کرتے ہوئے دیکھا گیا ہے۔ اس کا بنیادی نقصان کیا ہے؟")</f>
        <v>ایک سوار کو بہت ہلکا، پتلا لانس استعمال کرتے ہوئے دیکھا گیا ہے۔ اس کا بنیادی نقصان کیا ہے؟</v>
      </c>
      <c r="L87" s="6" t="str">
        <f>IFERROR(__xludf.DUMMYFUNCTION("GOOGLETRANSLATE(C87,""en"",""ur"")"),"A) بغیر توڑے کھونٹی کو زمین سے اٹھانے کی طاقت نہیں ہوسکتی ہے، B) اسے نشانہ بنانا مشکل ہے، C) یہ سست ہے، D) یہ غیر قانونی ہے")</f>
        <v>A) بغیر توڑے کھونٹی کو زمین سے اٹھانے کی طاقت نہیں ہوسکتی ہے، B) اسے نشانہ بنانا مشکل ہے، C) یہ سست ہے، D) یہ غیر قانونی ہے</v>
      </c>
      <c r="M87" s="6" t="str">
        <f>IFERROR(__xludf.DUMMYFUNCTION("GOOGLETRANSLATE(D87,""en"",""ur"")"),"ا) ہو سکتا ہے اس میں اتنی طاقت نہ ہو کہ کھونٹی کو بغیر توڑے زمین سے اٹھا سکے۔")</f>
        <v>ا) ہو سکتا ہے اس میں اتنی طاقت نہ ہو کہ کھونٹی کو بغیر توڑے زمین سے اٹھا سکے۔</v>
      </c>
      <c r="N87" s="6" t="str">
        <f>IFERROR(__xludf.DUMMYFUNCTION("GOOGLETRANSLATE(E87,""en"",""ur"")"),"ایک لانس اتنا مضبوط ہونا چاہیے کہ وہ تیز رفتاری سے مٹی سے کھونٹے کو مارنے اور اس کا فائدہ اٹھانے کی اہم قوت کا مقابلہ کر سکے۔")</f>
        <v>ایک لانس اتنا مضبوط ہونا چاہیے کہ وہ تیز رفتاری سے مٹی سے کھونٹے کو مارنے اور اس کا فائدہ اٹھانے کی اہم قوت کا مقابلہ کر سکے۔</v>
      </c>
    </row>
    <row r="88">
      <c r="A88" s="4">
        <v>87.0</v>
      </c>
      <c r="B88" s="5" t="s">
        <v>2700</v>
      </c>
      <c r="C88" s="5" t="s">
        <v>2701</v>
      </c>
      <c r="D88" s="5" t="s">
        <v>2702</v>
      </c>
      <c r="E88" s="5" t="s">
        <v>2703</v>
      </c>
      <c r="K88" s="6" t="str">
        <f>IFERROR(__xludf.DUMMYFUNCTION("GOOGLETRANSLATE(B88,""en"",""ur"")"),"ٹیم ایونٹ میں، کس کو فاتح قرار دیا جاتا ہے؟")</f>
        <v>ٹیم ایونٹ میں، کس کو فاتح قرار دیا جاتا ہے؟</v>
      </c>
      <c r="L88" s="6" t="str">
        <f>IFERROR(__xludf.DUMMYFUNCTION("GOOGLETRANSLATE(C88,""en"",""ur"")"),"A)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f>
        <v>A) تیز ترین سنگل رن والی ٹیم، B) بہترین نظر آنے والے گھوڑوں والی ٹیم، C) اپنے تمام سواروں سے سب سے زیادہ مجموعی سکور والی ٹیم، D) وہ ٹیم جو فائنل ہیڈ ٹو ہیڈ ریس جیتتی ہے۔</v>
      </c>
      <c r="M88" s="6" t="str">
        <f>IFERROR(__xludf.DUMMYFUNCTION("GOOGLETRANSLATE(D88,""en"",""ur"")"),"C) اپنے تمام سواروں سے سب سے زیادہ مجموعی اسکور والی ٹیم")</f>
        <v>C) اپنے تمام سواروں سے سب سے زیادہ مجموعی اسکور والی ٹیم</v>
      </c>
      <c r="N88" s="6" t="str">
        <f>IFERROR(__xludf.DUMMYFUNCTION("GOOGLETRANSLATE(E88,""en"",""ur"")"),"جیتنے والی ٹیم وہ ہوتی ہے جس کے اراکین مجموعی طور پر مقابلے کے تمام رنز میں سب سے زیادہ پوائنٹس حاصل کرتے ہیں۔")</f>
        <v>جیتنے والی ٹیم وہ ہوتی ہے جس کے اراکین مجموعی طور پر مقابلے کے تمام رنز میں سب سے زیادہ پوائنٹس حاصل کرتے ہیں۔</v>
      </c>
    </row>
    <row r="89">
      <c r="A89" s="4">
        <v>88.0</v>
      </c>
      <c r="B89" s="5" t="s">
        <v>2704</v>
      </c>
      <c r="C89" s="5" t="s">
        <v>2705</v>
      </c>
      <c r="D89" s="5" t="s">
        <v>2706</v>
      </c>
      <c r="E89" s="5" t="s">
        <v>2707</v>
      </c>
      <c r="K89" s="6" t="str">
        <f>IFERROR(__xludf.DUMMYFUNCTION("GOOGLETRANSLATE(B89,""en"",""ur"")"),"آئی ٹی پی ایف ایونٹ میں ""ٹیکنیکل ڈیلیگیٹ"" کا کیا کردار ہوتا ہے؟")</f>
        <v>آئی ٹی پی ایف ایونٹ میں "ٹیکنیکل ڈیلیگیٹ" کا کیا کردار ہوتا ہے؟</v>
      </c>
      <c r="L89" s="6" t="str">
        <f>IFERROR(__xludf.DUMMYFUNCTION("GOOGLETRANSLATE(C89,""en"",""ur"")"),"A)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f>
        <v>A) گھریلو ٹیم کی کوچنگ کے لیے، B) میدان، سازوسامان اور زمینی حالات سرکاری بین الاقوامی معیارات پر پورا اترنے کو یقینی بنانے کے لیے، C) ججنگ پینل کا سربراہ ہونا، D) نشریات کا انتظام کرنا</v>
      </c>
      <c r="M89" s="6" t="str">
        <f>IFERROR(__xludf.DUMMYFUNCTION("GOOGLETRANSLATE(D89,""en"",""ur"")"),"ب) میدان، سازوسامان اور زمینی حالات سرکاری بین الاقوامی معیارات پر پورا اترنے کو یقینی بنانا")</f>
        <v>ب) میدان، سازوسامان اور زمینی حالات سرکاری بین الاقوامی معیارات پر پورا اترنے کو یقینی بنانا</v>
      </c>
      <c r="N89" s="6" t="str">
        <f>IFERROR(__xludf.DUMMYFUNCTION("GOOGLETRANSLATE(E89,""en"",""ur"")"),"تکنیکی مندوب مقابلے کے تکنیکی پہلوؤں پر اعلیٰ ترین اتھارٹی ہے، جو منصفانہ اور محفوظ حالات کو یقینی بناتا ہے۔")</f>
        <v>تکنیکی مندوب مقابلے کے تکنیکی پہلوؤں پر اعلیٰ ترین اتھارٹی ہے، جو منصفانہ اور محفوظ حالات کو یقینی بناتا ہے۔</v>
      </c>
    </row>
    <row r="90">
      <c r="A90" s="4">
        <v>89.0</v>
      </c>
      <c r="B90" s="5" t="s">
        <v>2708</v>
      </c>
      <c r="C90" s="5" t="s">
        <v>2709</v>
      </c>
      <c r="D90" s="5" t="s">
        <v>2710</v>
      </c>
      <c r="E90" s="5" t="s">
        <v>2711</v>
      </c>
      <c r="K90" s="6" t="str">
        <f>IFERROR(__xludf.DUMMYFUNCTION("GOOGLETRANSLATE(B90,""en"",""ur"")"),"ایک سوار ایک ہی دوڑ میں دو معلق انگوٹھیوں کو کامیابی کے ساتھ چلاتا ہے۔ کیا یہ ممکن ہے؟")</f>
        <v>ایک سوار ایک ہی دوڑ میں دو معلق انگوٹھیوں کو کامیابی کے ساتھ چلاتا ہے۔ کیا یہ ممکن ہے؟</v>
      </c>
      <c r="L90" s="6" t="str">
        <f>IFERROR(__xludf.DUMMYFUNCTION("GOOGLETRANSLATE(C90,""en"",""ur"")"),"A) نہیں، فی رن صرف ایک رنگ کی اجازت ہے، B) ہاں، یہ ایک معیاری ایونٹ ہے، C) صرف اس صورت میں جب وہ دو لینس استعمال کریں، D) ہاں، لیکن اس سے اضافی پوائنٹس نہیں ملتے")</f>
        <v>A) نہیں، فی رن صرف ایک رنگ کی اجازت ہے، B) ہاں، یہ ایک معیاری ایونٹ ہے، C) صرف اس صورت میں جب وہ دو لینس استعمال کریں، D) ہاں، لیکن اس سے اضافی پوائنٹس نہیں ملتے</v>
      </c>
      <c r="M90" s="6" t="str">
        <f>IFERROR(__xludf.DUMMYFUNCTION("GOOGLETRANSLATE(D90,""en"",""ur"")"),"ب) جی ہاں، یہ ایک معیاری واقعہ ہے۔")</f>
        <v>ب) جی ہاں، یہ ایک معیاری واقعہ ہے۔</v>
      </c>
      <c r="N90" s="6" t="str">
        <f>IFERROR(__xludf.DUMMYFUNCTION("GOOGLETRANSLATE(E90,""en"",""ur"")"),"""رِنگز"" ایونٹ میں اکثر دو معطل انگوٹھیاں ہوتی ہیں جنہیں سوار کو ایک ہی پاس میں جمع کرنا ہوتا ہے۔")</f>
        <v>"رِنگز" ایونٹ میں اکثر دو معطل انگوٹھیاں ہوتی ہیں جنہیں سوار کو ایک ہی پاس میں جمع کرنا ہوتا ہے۔</v>
      </c>
    </row>
    <row r="91">
      <c r="A91" s="4">
        <v>90.0</v>
      </c>
      <c r="B91" s="5" t="s">
        <v>2712</v>
      </c>
      <c r="C91" s="5" t="s">
        <v>2713</v>
      </c>
      <c r="D91" s="5" t="s">
        <v>2714</v>
      </c>
      <c r="E91" s="5" t="s">
        <v>2715</v>
      </c>
      <c r="K91" s="6" t="str">
        <f>IFERROR(__xludf.DUMMYFUNCTION("GOOGLETRANSLATE(B91,""en"",""ur"")"),"گھوڑے کا مزاج (اس کا سکون اور ہمت) اتنا اہم کیوں ہے؟")</f>
        <v>گھوڑے کا مزاج (اس کا سکون اور ہمت) اتنا اہم کیوں ہے؟</v>
      </c>
      <c r="L91" s="6" t="str">
        <f>IFERROR(__xludf.DUMMYFUNCTION("GOOGLETRANSLATE(C91,""en"",""ur"")"),"A) ایک پرسکون گھوڑا فروخت کرنا آسان ہے، B) ایک گھوڑا جو بہادر ہے اور لانس یا شور سے خوفزدہ نہیں ہے، ایک سچی، سیدھی لکیر چلائے گا، C) یہ اہم نہیں ہے، D) ایک پرسکون گھوڑا تیز دوڑتا ہے۔")</f>
        <v>A) ایک پرسکون گھوڑا فروخت کرنا آسان ہے، B) ایک گھوڑا جو بہادر ہے اور لانس یا شور سے خوفزدہ نہیں ہے، ایک سچی، سیدھی لکیر چلائے گا، C) یہ اہم نہیں ہے، D) ایک پرسکون گھوڑا تیز دوڑتا ہے۔</v>
      </c>
      <c r="M91" s="6" t="str">
        <f>IFERROR(__xludf.DUMMYFUNCTION("GOOGLETRANSLATE(D91,""en"",""ur"")"),"ب) ایک گھوڑا جو بہادر ہے اور لانس یا شور سے خوفزدہ نہیں ہے، ایک سچی، سیدھی لکیر چلائے گا۔")</f>
        <v>ب) ایک گھوڑا جو بہادر ہے اور لانس یا شور سے خوفزدہ نہیں ہے، ایک سچی، سیدھی لکیر چلائے گا۔</v>
      </c>
      <c r="N91" s="6" t="str">
        <f>IFERROR(__xludf.DUMMYFUNCTION("GOOGLETRANSLATE(E91,""en"",""ur"")"),"گھوڑے کی ذہنی حالت نازک ہے۔ ایک خوف زدہ گھوڑا ہدف سے دور ہو جائے گا، جس سے درست حملہ ناممکن ہو جائے گا۔")</f>
        <v>گھوڑے کی ذہنی حالت نازک ہے۔ ایک خوف زدہ گھوڑا ہدف سے دور ہو جائے گا، جس سے درست حملہ ناممکن ہو جائے گا۔</v>
      </c>
    </row>
    <row r="92">
      <c r="A92" s="4">
        <v>91.0</v>
      </c>
      <c r="B92" s="5" t="s">
        <v>2716</v>
      </c>
      <c r="C92" s="5" t="s">
        <v>2717</v>
      </c>
      <c r="D92" s="5" t="s">
        <v>2718</v>
      </c>
      <c r="E92" s="5" t="s">
        <v>2719</v>
      </c>
      <c r="K92" s="6" t="str">
        <f>IFERROR(__xludf.DUMMYFUNCTION("GOOGLETRANSLATE(B92,""en"",""ur"")"),"ایک رائیڈر کو صرف ایک رن سے نہیں بلکہ پورے مقابلے سے نااہل قرار دینے کی بنیادی وجہ کیا ہے؟")</f>
        <v>ایک رائیڈر کو صرف ایک رن سے نہیں بلکہ پورے مقابلے سے نااہل قرار دینے کی بنیادی وجہ کیا ہے؟</v>
      </c>
      <c r="L92" s="6" t="str">
        <f>IFERROR(__xludf.DUMMYFUNCTION("GOOGLETRANSLATE(C92,""en"",""ur"")"),"A) تین بار کھونٹی کا غائب ہونا، B) خطرناک سواری یا جانوروں پر ظلم کا ایک ہی عمل، C) جج سے بحث کرنا، D) ان کے بھاگنے میں دیر ہونا")</f>
        <v>A) تین بار کھونٹی کا غائب ہونا، B) خطرناک سواری یا جانوروں پر ظلم کا ایک ہی عمل، C) جج سے بحث کرنا، D) ان کے بھاگنے میں دیر ہونا</v>
      </c>
      <c r="M92" s="6" t="str">
        <f>IFERROR(__xludf.DUMMYFUNCTION("GOOGLETRANSLATE(D92,""en"",""ur"")"),"ب) خطرناک سواری یا جانوروں پر ظلم کا ایک ہی عمل")</f>
        <v>ب) خطرناک سواری یا جانوروں پر ظلم کا ایک ہی عمل</v>
      </c>
      <c r="N92" s="6" t="str">
        <f>IFERROR(__xludf.DUMMYFUNCTION("GOOGLETRANSLATE(E92,""en"",""ur"")"),"سنگین جرائم، جیسے جان بوجھ کر دوسروں کو خطرے میں ڈالنا یا اپنے گھوڑے پر ظلم کا مظاہرہ کرنا، پورے واقعے سے بے دخل کر سکتا ہے۔")</f>
        <v>سنگین جرائم، جیسے جان بوجھ کر دوسروں کو خطرے میں ڈالنا یا اپنے گھوڑے پر ظلم کا مظاہرہ کرنا، پورے واقعے سے بے دخل کر سکتا ہے۔</v>
      </c>
    </row>
    <row r="93">
      <c r="A93" s="4">
        <v>92.0</v>
      </c>
      <c r="B93" s="5" t="s">
        <v>2720</v>
      </c>
      <c r="C93" s="5" t="s">
        <v>2721</v>
      </c>
      <c r="D93" s="5" t="s">
        <v>2722</v>
      </c>
      <c r="E93" s="5" t="s">
        <v>2723</v>
      </c>
      <c r="K93" s="6" t="str">
        <f>IFERROR(__xludf.DUMMYFUNCTION("GOOGLETRANSLATE(B93,""en"",""ur"")"),"ایک سوار کھونٹی کو مارتا ہے، لیکن یہ باہر نکلے بغیر صرف زمین میں گھومتا ہے۔ سکور کیا ہے؟")</f>
        <v>ایک سوار کھونٹی کو مارتا ہے، لیکن یہ باہر نکلے بغیر صرف زمین میں گھومتا ہے۔ سکور کیا ہے؟</v>
      </c>
      <c r="L93" s="6" t="str">
        <f>IFERROR(__xludf.DUMMYFUNCTION("GOOGLETRANSLATE(C93,""en"",""ur"")"),"A) 1 پوائنٹ، B) 2 پوائنٹس، C) 0 پوائنٹس، D) 4 پوائنٹس")</f>
        <v>A) 1 پوائنٹ، B) 2 پوائنٹس، C) 0 پوائنٹس، D) 4 پوائنٹس</v>
      </c>
      <c r="M93" s="6" t="str">
        <f>IFERROR(__xludf.DUMMYFUNCTION("GOOGLETRANSLATE(D93,""en"",""ur"")"),"C) 0 پوائنٹس")</f>
        <v>C) 0 پوائنٹس</v>
      </c>
      <c r="N93" s="6" t="str">
        <f>IFERROR(__xludf.DUMMYFUNCTION("GOOGLETRANSLATE(E93,""en"",""ur"")"),"کوئی بھی پوائنٹ حاصل کرنے کے لیے کھونٹی کو زمین سے جسمانی طور پر ہٹایا جانا چاہیے۔ ایک کھونٹی جسے صرف چھوا یا کاتا جاتا ہے ایک مس ہے۔")</f>
        <v>کوئی بھی پوائنٹ حاصل کرنے کے لیے کھونٹی کو زمین سے جسمانی طور پر ہٹایا جانا چاہیے۔ ایک کھونٹی جسے صرف چھوا یا کاتا جاتا ہے ایک مس ہے۔</v>
      </c>
    </row>
    <row r="94">
      <c r="A94" s="4">
        <v>93.0</v>
      </c>
      <c r="B94" s="5" t="s">
        <v>2724</v>
      </c>
      <c r="C94" s="5" t="s">
        <v>2725</v>
      </c>
      <c r="D94" s="5" t="s">
        <v>2726</v>
      </c>
      <c r="E94" s="5" t="s">
        <v>2727</v>
      </c>
      <c r="K94" s="6" t="str">
        <f>IFERROR(__xludf.DUMMYFUNCTION("GOOGLETRANSLATE(B94,""en"",""ur"")"),"""تلوار"" کے واقعات میں لیموں کے علاوہ عام ہدف کیا ہے؟")</f>
        <v>"تلوار" کے واقعات میں لیموں کے علاوہ عام ہدف کیا ہے؟</v>
      </c>
      <c r="L94" s="6" t="str">
        <f>IFERROR(__xludf.DUMMYFUNCTION("GOOGLETRANSLATE(C94,""en"",""ur"")"),"A) لکڑی کے بلاکس، B) مٹی کے برتن، C) نارنجی یا دیگر نرم پھل، D) شیشے کی بوتلیں")</f>
        <v>A) لکڑی کے بلاکس، B) مٹی کے برتن، C) نارنجی یا دیگر نرم پھل، D) شیشے کی بوتلیں</v>
      </c>
      <c r="M94" s="6" t="str">
        <f>IFERROR(__xludf.DUMMYFUNCTION("GOOGLETRANSLATE(D94,""en"",""ur"")"),"ج) سنتری یا دیگر نرم پھل")</f>
        <v>ج) سنتری یا دیگر نرم پھل</v>
      </c>
      <c r="N94" s="6" t="str">
        <f>IFERROR(__xludf.DUMMYFUNCTION("GOOGLETRANSLATE(E94,""en"",""ur"")"),"چھوٹے، نرم اہداف جیسے نارنجی اکثر سوار کی درستگی اور ان کے بلیڈ کی نفاست کو جانچنے کے لیے استعمال ہوتے ہیں۔")</f>
        <v>چھوٹے، نرم اہداف جیسے نارنجی اکثر سوار کی درستگی اور ان کے بلیڈ کی نفاست کو جانچنے کے لیے استعمال ہوتے ہیں۔</v>
      </c>
    </row>
    <row r="95">
      <c r="A95" s="4">
        <v>94.0</v>
      </c>
      <c r="B95" s="5" t="s">
        <v>2728</v>
      </c>
      <c r="C95" s="5" t="s">
        <v>2729</v>
      </c>
      <c r="D95" s="5" t="s">
        <v>2730</v>
      </c>
      <c r="E95" s="5" t="s">
        <v>2731</v>
      </c>
      <c r="K95" s="6" t="str">
        <f>IFERROR(__xludf.DUMMYFUNCTION("GOOGLETRANSLATE(B95,""en"",""ur"")"),"ٹیم ایونٹ کے لیے سرکاری اصطلاح کیا ہے جہاں چار سوار ایک لائن میں چارج کرتے ہیں؟")</f>
        <v>ٹیم ایونٹ کے لیے سرکاری اصطلاح کیا ہے جہاں چار سوار ایک لائن میں چارج کرتے ہیں؟</v>
      </c>
      <c r="L95" s="6" t="str">
        <f>IFERROR(__xludf.DUMMYFUNCTION("GOOGLETRANSLATE(C95,""en"",""ur"")"),"اے) سیکشن، بی) ریلے، سی) گروپ، ڈی) انڈین فائل")</f>
        <v>اے) سیکشن، بی) ریلے، سی) گروپ، ڈی) انڈین فائل</v>
      </c>
      <c r="M95" s="6" t="str">
        <f>IFERROR(__xludf.DUMMYFUNCTION("GOOGLETRANSLATE(D95,""en"",""ur"")"),"اے) سیکشن")</f>
        <v>اے) سیکشن</v>
      </c>
      <c r="N95" s="6" t="str">
        <f>IFERROR(__xludf.DUMMYFUNCTION("GOOGLETRANSLATE(E95,""en"",""ur"")"),"""سیکشن"" معیاری ٹیم ایونٹ کے لیے ITPF کی سرکاری اصطلاح ہے۔")</f>
        <v>"سیکشن" معیاری ٹیم ایونٹ کے لیے ITPF کی سرکاری اصطلاح ہے۔</v>
      </c>
    </row>
    <row r="96">
      <c r="A96" s="4">
        <v>95.0</v>
      </c>
      <c r="B96" s="5" t="s">
        <v>2732</v>
      </c>
      <c r="C96" s="5" t="s">
        <v>2733</v>
      </c>
      <c r="D96" s="5" t="s">
        <v>2734</v>
      </c>
      <c r="E96" s="5" t="s">
        <v>2735</v>
      </c>
      <c r="K96" s="6" t="str">
        <f>IFERROR(__xludf.DUMMYFUNCTION("GOOGLETRANSLATE(B96,""en"",""ur"")"),"ایک گھوڑا کھونٹی تک پہنچنے سے پہلے اچانک رک جاتا ہے۔ اس کا کیا حکم ہے؟")</f>
        <v>ایک گھوڑا کھونٹی تک پہنچنے سے پہلے اچانک رک جاتا ہے۔ اس کا کیا حکم ہے؟</v>
      </c>
      <c r="L96" s="6" t="str">
        <f>IFERROR(__xludf.DUMMYFUNCTION("GOOGLETRANSLATE(C96,""en"",""ur"")"),"A) سوار گھوڑے پر زور دے سکتا ہے اور رن مکمل کر سکتا ہے، B) انکار پر 0 کا سکور دیا جاتا ہے، C) سوار کو دوبارہ دوڑ دیا جاتا ہے، D) گھوڑے کو نااہل قرار دیا جاتا ہے۔")</f>
        <v>A) سوار گھوڑے پر زور دے سکتا ہے اور رن مکمل کر سکتا ہے، B) انکار پر 0 کا سکور دیا جاتا ہے، C) سوار کو دوبارہ دوڑ دیا جاتا ہے، D) گھوڑے کو نااہل قرار دیا جاتا ہے۔</v>
      </c>
      <c r="M96" s="6" t="str">
        <f>IFERROR(__xludf.DUMMYFUNCTION("GOOGLETRANSLATE(D96,""en"",""ur"")"),"ب) انکار پر 0 کا سکور دیا جاتا ہے۔")</f>
        <v>ب) انکار پر 0 کا سکور دیا جاتا ہے۔</v>
      </c>
      <c r="N96" s="6" t="str">
        <f>IFERROR(__xludf.DUMMYFUNCTION("GOOGLETRANSLATE(E96,""en"",""ur"")"),"اگر گھوڑا کورس مکمل کرنے سے انکار کرتا ہے، تو رن کو ناکامی سمجھا جاتا ہے اور اسے صفر کے طور پر اسکور کیا جاتا ہے۔")</f>
        <v>اگر گھوڑا کورس مکمل کرنے سے انکار کرتا ہے، تو رن کو ناکامی سمجھا جاتا ہے اور اسے صفر کے طور پر اسکور کیا جاتا ہے۔</v>
      </c>
    </row>
    <row r="97">
      <c r="A97" s="4">
        <v>96.0</v>
      </c>
      <c r="B97" s="5" t="s">
        <v>2736</v>
      </c>
      <c r="C97" s="5" t="s">
        <v>2737</v>
      </c>
      <c r="D97" s="5" t="s">
        <v>2738</v>
      </c>
      <c r="E97" s="5" t="s">
        <v>2739</v>
      </c>
      <c r="K97" s="6" t="str">
        <f>IFERROR(__xludf.DUMMYFUNCTION("GOOGLETRANSLATE(B97,""en"",""ur"")"),"سوار کے لیے گہری، محفوظ سیٹ کیوں ضروری ہے؟")</f>
        <v>سوار کے لیے گہری، محفوظ سیٹ کیوں ضروری ہے؟</v>
      </c>
      <c r="L97" s="6" t="str">
        <f>IFERROR(__xludf.DUMMYFUNCTION("GOOGLETRANSLATE(C97,""en"",""ur"")"),"A)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f>
        <v>A) یہ زیادہ خوبصورت لگ رہا ہے، B) یہ سوار کو گھوڑے کی حرکت کو جذب کرنے اور لانس اسٹرائیک کے لیے ایک مستحکم پلیٹ فارم مہیا کرنے کی اجازت دیتا ہے، C) یہ گھوڑے کو تیزی سے دوڑنے میں مدد کرتا ہے، D) یونیفارم کوڈ کے ذریعے اس کی ضرورت ہوتی ہے۔</v>
      </c>
      <c r="M97" s="6" t="str">
        <f>IFERROR(__xludf.DUMMYFUNCTION("GOOGLETRANSLATE(D97,""en"",""ur"")"),"ب) یہ سوار کو گھوڑے کی حرکت کو جذب کرنے اور لانس اسٹرائیک کے لیے ایک مستحکم پلیٹ فارم مہیا کرنے دیتا ہے۔")</f>
        <v>ب) یہ سوار کو گھوڑے کی حرکت کو جذب کرنے اور لانس اسٹرائیک کے لیے ایک مستحکم پلیٹ فارم مہیا کرنے دیتا ہے۔</v>
      </c>
      <c r="N97" s="6" t="str">
        <f>IFERROR(__xludf.DUMMYFUNCTION("GOOGLETRANSLATE(E97,""en"",""ur"")"),"ایک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f>
        <v>ایک سوار جو کاٹھی میں اچھال رہا ہے یا غیر محفوظ ہے وہ ممکنہ طور پر 2.5 میٹر کے لانس کا مقصد کسی چھوٹے ہدف کو نشانہ بنانے کے لیے درکار درستگی کے ساتھ نہیں رکھ سکتا۔</v>
      </c>
    </row>
    <row r="98">
      <c r="A98" s="4">
        <v>97.0</v>
      </c>
      <c r="B98" s="5" t="s">
        <v>2740</v>
      </c>
      <c r="C98" s="5" t="s">
        <v>2741</v>
      </c>
      <c r="D98" s="5" t="s">
        <v>2742</v>
      </c>
      <c r="E98" s="5" t="s">
        <v>2743</v>
      </c>
      <c r="K98" s="6" t="str">
        <f>IFERROR(__xludf.DUMMYFUNCTION("GOOGLETRANSLATE(B98,""en"",""ur"")"),"فنش لائن کے بعد ""رن آؤٹ"" ایریا کا مقصد کیا ہے؟")</f>
        <v>فنش لائن کے بعد "رن آؤٹ" ایریا کا مقصد کیا ہے؟</v>
      </c>
      <c r="L98" s="6" t="str">
        <f>IFERROR(__xludf.DUMMYFUNCTION("GOOGLETRANSLATE(C98,""en"",""ur"")"),"A)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f>
        <v>A) یہ اگلے سوار کے لیے انتظار کرنے کی جگہ ہے، B) یہ گھوڑے کے تیز رفتار دوڑ کے بعد محفوظ طریقے سے سست ہونے کے لیے ایک مخصوص جگہ ہے، C) یہ وہ جگہ ہے جہاں اسکور کا اعلان کیا جاتا ہے، D) یہ وہ جگہ ہے جہاں انعامات رکھے جاتے ہیں۔</v>
      </c>
      <c r="M98" s="6" t="str">
        <f>IFERROR(__xludf.DUMMYFUNCTION("GOOGLETRANSLATE(D98,""en"",""ur"")"),"ب) یہ گھوڑے کے تیز رفتار دوڑ کے بعد محفوظ طریقے سے سست ہونے کے لیے ایک مخصوص جگہ ہے۔")</f>
        <v>ب) یہ گھوڑے کے تیز رفتار دوڑ کے بعد محفوظ طریقے سے سست ہونے کے لیے ایک مخصوص جگہ ہے۔</v>
      </c>
      <c r="N98" s="6" t="str">
        <f>IFERROR(__xludf.DUMMYFUNCTION("GOOGLETRANSLATE(E98,""en"",""ur"")"),"رن آؤٹ ایریا ایک اہم حفاظتی خصوصیت ہے جو گھوڑے کو اچانک رکنے کے بغیر قدرتی طور پر سست ہونے دیتا ہے۔")</f>
        <v>رن آؤٹ ایریا ایک اہم حفاظتی خصوصیت ہے جو گھوڑے کو اچانک رکنے کے بغیر قدرتی طور پر سست ہونے دیتا ہے۔</v>
      </c>
    </row>
    <row r="99">
      <c r="A99" s="4">
        <v>98.0</v>
      </c>
      <c r="B99" s="5" t="s">
        <v>2744</v>
      </c>
      <c r="C99" s="5" t="s">
        <v>2745</v>
      </c>
      <c r="D99" s="5" t="s">
        <v>2746</v>
      </c>
      <c r="E99" s="5" t="s">
        <v>2747</v>
      </c>
      <c r="K99" s="6" t="str">
        <f>IFERROR(__xludf.DUMMYFUNCTION("GOOGLETRANSLATE(B99,""en"",""ur"")"),"ایک سوار پاکستانی فوج کی ٹیم کا حصہ ہے۔ اس کی کیا اہمیت ہے؟")</f>
        <v>ایک سوار پاکستانی فوج کی ٹیم کا حصہ ہے۔ اس کی کیا اہمیت ہے؟</v>
      </c>
      <c r="L99" s="6" t="str">
        <f>IFERROR(__xludf.DUMMYFUNCTION("GOOGLETRANSLATE(C99,""en"",""ur"")"),"A)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f>
        <v>A) اس کا مطلب ہے کہ وہ ایک پیشہ ور سوار ہیں، B) مسلح افواج، خاص طور پر گھڑ سوار، اس کھیل کے ایک بڑے محافظ اور فروغ دینے والے ہیں، C) ان کا غیر منصفانہ فائدہ ہے، D) انہیں فوجی گھوڑے استعمال کرنے کی ضرورت ہے۔</v>
      </c>
      <c r="M99" s="6" t="str">
        <f>IFERROR(__xludf.DUMMYFUNCTION("GOOGLETRANSLATE(D99,""en"",""ur"")"),"ب) مسلح افواج، خاص طور پر گھڑسوار دستے، کھیل کے ایک بڑے محافظ اور فروغ دینے والے ہیں۔")</f>
        <v>ب) مسلح افواج، خاص طور پر گھڑسوار دستے، کھیل کے ایک بڑے محافظ اور فروغ دینے والے ہیں۔</v>
      </c>
      <c r="N99" s="6" t="str">
        <f>IFERROR(__xludf.DUMMYFUNCTION("GOOGLETRANSLATE(E99,""en"",""ur"")"),"پاکستان میں ٹینٹ پیگنگ کی کئی سرفہرست ٹیمیں آرمی کیولری یونٹس سے وابستہ ہیں، جنہوں نے روایت کو زندہ رکھا ہے۔")</f>
        <v>پاکستان میں ٹینٹ پیگنگ کی کئی سرفہرست ٹیمیں آرمی کیولری یونٹس سے وابستہ ہیں، جنہوں نے روایت کو زندہ رکھا ہے۔</v>
      </c>
    </row>
    <row r="100">
      <c r="A100" s="4">
        <v>99.0</v>
      </c>
      <c r="B100" s="5" t="s">
        <v>2748</v>
      </c>
      <c r="C100" s="5" t="s">
        <v>2749</v>
      </c>
      <c r="D100" s="5" t="s">
        <v>2750</v>
      </c>
      <c r="E100" s="5" t="s">
        <v>2751</v>
      </c>
      <c r="K100" s="6" t="str">
        <f>IFERROR(__xludf.DUMMYFUNCTION("GOOGLETRANSLATE(B100,""en"",""ur"")"),"ایک سوار تین جہتی نوک کے ساتھ لانس استعمال کر رہا ہے۔ کیا یہ معیاری پیگنگ ایونٹ میں قانونی ہے؟")</f>
        <v>ایک سوار تین جہتی نوک کے ساتھ لانس استعمال کر رہا ہے۔ کیا یہ معیاری پیگنگ ایونٹ میں قانونی ہے؟</v>
      </c>
      <c r="L100" s="6" t="str">
        <f>IFERROR(__xludf.DUMMYFUNCTION("GOOGLETRANSLATE(C100,""en"",""ur"")"),"A) جی ہاں، یہ کھونٹی کو پکڑنا آسان بناتا ہے، B) نہیں، ایک پوائنٹ کی ضرورت ہے، C) صرف اس صورت میں جب ریفری منظور کرے، D) ہاں، لیکن اس سے کم پوائنٹس حاصل ہوتے ہیں۔")</f>
        <v>A) جی ہاں، یہ کھونٹی کو پکڑنا آسان بناتا ہے، B) نہیں، ایک پوائنٹ کی ضرورت ہے، C) صرف اس صورت میں جب ریفری منظور کرے، D) ہاں، لیکن اس سے کم پوائنٹس حاصل ہوتے ہیں۔</v>
      </c>
      <c r="M100" s="6" t="str">
        <f>IFERROR(__xludf.DUMMYFUNCTION("GOOGLETRANSLATE(D100,""en"",""ur"")"),"ب) نہیں، ایک پوائنٹ درکار ہے۔")</f>
        <v>ب) نہیں، ایک پوائنٹ درکار ہے۔</v>
      </c>
      <c r="N100" s="6" t="str">
        <f>IFERROR(__xludf.DUMMYFUNCTION("GOOGLETRANSLATE(E100,""en"",""ur"")"),"معیاری لانس میں ایک سادہ، واحد نقطہ ہونا ضروری ہے۔ مرکزی نظم و ضبط میں کثیر جہتی سروں کی اجازت نہیں ہے۔")</f>
        <v>معیاری لانس میں ایک سادہ، واحد نقطہ ہونا ضروری ہے۔ مرکزی نظم و ضبط میں کثیر جہتی سروں کی اجازت نہیں ہے۔</v>
      </c>
    </row>
    <row r="101">
      <c r="A101" s="4">
        <v>100.0</v>
      </c>
      <c r="B101" s="5" t="s">
        <v>2752</v>
      </c>
      <c r="C101" s="5" t="s">
        <v>2753</v>
      </c>
      <c r="D101" s="5" t="s">
        <v>2754</v>
      </c>
      <c r="E101" s="5" t="s">
        <v>2755</v>
      </c>
      <c r="K101" s="6" t="str">
        <f>IFERROR(__xludf.DUMMYFUNCTION("GOOGLETRANSLATE(B101,""en"",""ur"")"),"انٹرنیشنل ٹینٹ پیگنگ فیڈریشن (ITPF) کھیل کے لیے کیا حاصل کرنا چاہتی ہے؟")</f>
        <v>انٹرنیشنل ٹینٹ پیگنگ فیڈریشن (ITPF) کھیل کے لیے کیا حاصل کرنا چاہتی ہے؟</v>
      </c>
      <c r="L101" s="6" t="str">
        <f>IFERROR(__xludf.DUMMYFUNCTION("GOOGLETRANSLATE(C101,""en"",""ur"")"),"A) اسے مزید مہنگا بنانا، B) اسے اولمپک گیمز میں شامل کرنا، C) مقابلہ کرنے والے ممالک کی تعداد کو محدود کرنا، D) گھوڑوں کو موٹر سائیکلوں سے بدلنا")</f>
        <v>A) اسے مزید مہنگا بنانا، B) اسے اولمپک گیمز میں شامل کرنا، C) مقابلہ کرنے والے ممالک کی تعداد کو محدود کرنا، D) گھوڑوں کو موٹر سائیکلوں سے بدلنا</v>
      </c>
      <c r="M101" s="6" t="str">
        <f>IFERROR(__xludf.DUMMYFUNCTION("GOOGLETRANSLATE(D101,""en"",""ur"")"),"ب) اسے اولمپک کھیلوں میں شامل کرنا")</f>
        <v>ب) اسے اولمپک کھیلوں میں شامل کرنا</v>
      </c>
      <c r="N101" s="6" t="str">
        <f>IFERROR(__xludf.DUMMYFUNCTION("GOOGLETRANSLATE(E101,""en"",""ur"")"),"ITPF کا ایک بڑا طویل مدتی ہدف ٹینٹ پیگنگ کو ایک عالمی گھڑ سواری کے کھیل کے طور پر اولمپک میں پہچان حاصل کرنا ہے۔")</f>
        <v>ITPF کا ایک بڑا طویل مدتی ہدف ٹینٹ پیگنگ کو ایک عالمی گھڑ سواری کے کھیل کے طور پر اولمپک میں پہچان حاصل کرنا ہے۔</v>
      </c>
    </row>
    <row r="102">
      <c r="A102" s="4">
        <v>101.0</v>
      </c>
      <c r="B102" s="5" t="s">
        <v>2891</v>
      </c>
      <c r="C102" s="5" t="s">
        <v>2892</v>
      </c>
      <c r="D102" s="5" t="s">
        <v>2893</v>
      </c>
      <c r="E102" s="5" t="s">
        <v>2894</v>
      </c>
      <c r="K102" s="6" t="str">
        <f>IFERROR(__xludf.DUMMYFUNCTION("GOOGLETRANSLATE(B102,""en"",""ur"")"),"ٹینٹ پیگنگ اور پولو کے درمیان بنیادی فرق کیا ہے؟")</f>
        <v>ٹینٹ پیگنگ اور پولو کے درمیان بنیادی فرق کیا ہے؟</v>
      </c>
      <c r="L102" s="6" t="str">
        <f>IFERROR(__xludf.DUMMYFUNCTION("GOOGLETRANSLATE(C102,""en"",""ur"")"),"A) پولو ایک ٹیم کا کھیل ہے، B) پولو گیند اور مالٹ کے ساتھ کھیلا جاتا ہے، جبکہ ٹینٹ پیگنگ میں لانس/تلوار اور ایک اسٹیشنری ٹارگٹ کا استعمال ہوتا ہے، C) پولو تیز ہے، D) ٹینٹ پیگنگ میں زیادہ مہارت کی ضرورت ہوتی ہے۔")</f>
        <v>A) پولو ایک ٹیم کا کھیل ہے، B) پولو گیند اور مالٹ کے ساتھ کھیلا جاتا ہے، جبکہ ٹینٹ پیگنگ میں لانس/تلوار اور ایک اسٹیشنری ٹارگٹ کا استعمال ہوتا ہے، C) پولو تیز ہے، D) ٹینٹ پیگنگ میں زیادہ مہارت کی ضرورت ہوتی ہے۔</v>
      </c>
      <c r="M102" s="6" t="str">
        <f>IFERROR(__xludf.DUMMYFUNCTION("GOOGLETRANSLATE(D102,""en"",""ur"")"),"ب) پولو گیند اور مالٹ کے ساتھ کھیلا جاتا ہے، جبکہ ٹینٹ پیگنگ لانس/تلوار اور ایک اسٹیشنری ٹارگٹ کا استعمال کرتا ہے۔")</f>
        <v>ب) پولو گیند اور مالٹ کے ساتھ کھیلا جاتا ہے، جبکہ ٹینٹ پیگنگ لانس/تلوار اور ایک اسٹیشنری ٹارگٹ کا استعمال کرتا ہے۔</v>
      </c>
      <c r="N102" s="6" t="str">
        <f>IFERROR(__xludf.DUMMYFUNCTION("GOOGLETRANSLATE(E102,""en"",""ur"")"),"یہ بنیادی طور پر مختلف گھڑ سواری کے کھیل ہیں، ایک ٹیم بال کا کھیل اور دوسرا انفرادی یا ٹیم کے ہدف کا کھیل۔")</f>
        <v>یہ بنیادی طور پر مختلف گھڑ سواری کے کھیل ہیں، ایک ٹیم بال کا کھیل اور دوسرا انفرادی یا ٹیم کے ہدف کا کھیل۔</v>
      </c>
    </row>
    <row r="103">
      <c r="A103" s="4">
        <v>102.0</v>
      </c>
      <c r="B103" s="5" t="s">
        <v>2843</v>
      </c>
      <c r="C103" s="5" t="s">
        <v>2844</v>
      </c>
      <c r="D103" s="5" t="s">
        <v>2845</v>
      </c>
      <c r="E103" s="5" t="s">
        <v>2846</v>
      </c>
      <c r="K103" s="6" t="str">
        <f>IFERROR(__xludf.DUMMYFUNCTION("GOOGLETRANSLATE(B103,""en"",""ur"")"),"ٹائی بریکنگ راؤنڈ میں، حکام مشکل کو بڑھانے کے لیے کیا کر سکتے ہیں؟")</f>
        <v>ٹائی بریکنگ راؤنڈ میں، حکام مشکل کو بڑھانے کے لیے کیا کر سکتے ہیں؟</v>
      </c>
      <c r="L103" s="6" t="str">
        <f>IFERROR(__xludf.DUMMYFUNCTION("GOOGLETRANSLATE(C103,""en"",""ur"")"),"A) سواروں کو بھاری لانس استعمال کرنے پر مجبور کریں، B) ٹارگٹ پیگ کا سائز کم کریں، C) سواروں کو تیز تر کریں، D) ٹریک کو لمبا کریں")</f>
        <v>A) سواروں کو بھاری لانس استعمال کرنے پر مجبور کریں، B) ٹارگٹ پیگ کا سائز کم کریں، C) سواروں کو تیز تر کریں، D) ٹریک کو لمبا کریں</v>
      </c>
      <c r="M103" s="6" t="str">
        <f>IFERROR(__xludf.DUMMYFUNCTION("GOOGLETRANSLATE(D103,""en"",""ur"")"),"ب) ٹارگٹ پیگ کا سائز کم کریں۔")</f>
        <v>ب) ٹارگٹ پیگ کا سائز کم کریں۔</v>
      </c>
      <c r="N103" s="6" t="str">
        <f>IFERROR(__xludf.DUMMYFUNCTION("GOOGLETRANSLATE(E103,""en"",""ur"")"),"بہترین سواروں کو الگ کرنے کے لیے، ایک چھوٹا پیگ استعمال کر کے چیلنج کو بڑھایا جا سکتا ہے، جس سے درستگی کے ٹیسٹ کو اور بھی بڑا بنایا جا سکتا ہے۔")</f>
        <v>بہترین سواروں کو الگ کرنے کے لیے، ایک چھوٹا پیگ استعمال کر کے چیلنج کو بڑھایا جا سکتا ہے، جس سے درستگی کے ٹیسٹ کو اور بھی بڑا بنایا جا سکتا ہے۔</v>
      </c>
    </row>
    <row r="104">
      <c r="A104" s="4">
        <v>103.0</v>
      </c>
      <c r="B104" s="5" t="s">
        <v>2847</v>
      </c>
      <c r="C104" s="5" t="s">
        <v>2848</v>
      </c>
      <c r="D104" s="5" t="s">
        <v>2849</v>
      </c>
      <c r="E104" s="5" t="s">
        <v>2850</v>
      </c>
      <c r="K104" s="6" t="str">
        <f>IFERROR(__xludf.DUMMYFUNCTION("GOOGLETRANSLATE(B104,""en"",""ur"")"),"ٹینٹ پیگنگ کو ""انتہائی کھیل"" سمجھا جانے کی بنیادی وجہ کیا ہے؟")</f>
        <v>ٹینٹ پیگنگ کو "انتہائی کھیل" سمجھا جانے کی بنیادی وجہ کیا ہے؟</v>
      </c>
      <c r="L104" s="6" t="str">
        <f>IFERROR(__xludf.DUMMYFUNCTION("GOOGLETRANSLATE(C104,""en"",""ur"")"),"A) یہ بہت مہنگا ہے، B) اس میں اعلیٰ سطح کی مہارت کی ضرورت ہوتی ہے اور اس میں چوٹ لگنے کا اہم خطرہ ہوتا ہے، C) یہ صرف انتہائی موسم میں کیا جاتا ہے، D) یہ کوئی انتہائی کھیل نہیں ہے")</f>
        <v>A) یہ بہت مہنگا ہے، B) اس میں اعلیٰ سطح کی مہارت کی ضرورت ہوتی ہے اور اس میں چوٹ لگنے کا اہم خطرہ ہوتا ہے، C) یہ صرف انتہائی موسم میں کیا جاتا ہے، D) یہ کوئی انتہائی کھیل نہیں ہے</v>
      </c>
      <c r="M104" s="6" t="str">
        <f>IFERROR(__xludf.DUMMYFUNCTION("GOOGLETRANSLATE(D104,""en"",""ur"")"),"ب) اس کے لیے اعلیٰ سطح کی مہارت کی ضرورت ہوتی ہے اور اس میں چوٹ کا اہم خطرہ ہوتا ہے۔")</f>
        <v>ب) اس کے لیے اعلیٰ سطح کی مہارت کی ضرورت ہوتی ہے اور اس میں چوٹ کا اہم خطرہ ہوتا ہے۔</v>
      </c>
      <c r="N104" s="6" t="str">
        <f>IFERROR(__xludf.DUMMYFUNCTION("GOOGLETRANSLATE(E104,""en"",""ur"")"),"تیز رفتاری، ایک ہتھیار، اور درستگی کی ضرورت کا امتزاج اسے ایک خطرناک اور ضروری ایتھلیٹک کوشش بناتا ہے۔")</f>
        <v>تیز رفتاری، ایک ہتھیار، اور درستگی کی ضرورت کا امتزاج اسے ایک خطرناک اور ضروری ایتھلیٹک کوشش بناتا ہے۔</v>
      </c>
    </row>
    <row r="105">
      <c r="A105" s="4">
        <v>104.0</v>
      </c>
      <c r="B105" s="5" t="s">
        <v>2851</v>
      </c>
      <c r="C105" s="5" t="s">
        <v>3186</v>
      </c>
      <c r="D105" s="5" t="s">
        <v>3187</v>
      </c>
      <c r="E105" s="5" t="s">
        <v>2854</v>
      </c>
      <c r="K105" s="6" t="str">
        <f>IFERROR(__xludf.DUMMYFUNCTION("GOOGLETRANSLATE(B105,""en"",""ur"")"),"ایک سوار ""سابق فوجیوں"" کے زمرے کا حصہ ہے۔ اس کا کیا مطلب ہے؟")</f>
        <v>ایک سوار "سابق فوجیوں" کے زمرے کا حصہ ہے۔ اس کا کیا مطلب ہے؟</v>
      </c>
      <c r="L105" s="6" t="str">
        <f>IFERROR(__xludf.DUMMYFUNCTION("GOOGLETRANSLATE(C105,""en"",""ur"")"),"A) وہ مسلح افواج کے رکن ہیں، B) وہ ایک بوڑھے، تجربہ کار سوار ہیں جو اپنے ساتھیوں کا مقابلہ کرتے ہیں، C) وہ تجربہ کار گھوڑا استعمال کرتے ہیں، D) وہ ماضی کے چیمپئن ہیں")</f>
        <v>A) وہ مسلح افواج کے رکن ہیں، B) وہ ایک بوڑھے، تجربہ کار سوار ہیں جو اپنے ساتھیوں کا مقابلہ کرتے ہیں، C) وہ تجربہ کار گھوڑا استعمال کرتے ہیں، D) وہ ماضی کے چیمپئن ہیں</v>
      </c>
      <c r="M105" s="6" t="str">
        <f>IFERROR(__xludf.DUMMYFUNCTION("GOOGLETRANSLATE(D105,""en"",""ur"")"),"ب) وہ ایک بوڑھے، تجربہ کار سوار ہیں جو اپنے ساتھیوں کا مقابلہ کرتے ہیں۔")</f>
        <v>ب) وہ ایک بوڑھے، تجربہ کار سوار ہیں جو اپنے ساتھیوں کا مقابلہ کرتے ہیں۔</v>
      </c>
      <c r="N105" s="6" t="str">
        <f>IFERROR(__xludf.DUMMYFUNCTION("GOOGLETRANSLATE(E105,""en"",""ur"")"),"مقابلوں میں اکثر عمر کے زمرے ہوتے ہیں، سینئر حریفوں کے لیے تجربہ کار ڈویژن کے ساتھ۔")</f>
        <v>مقابلوں میں اکثر عمر کے زمرے ہوتے ہیں، سینئر حریفوں کے لیے تجربہ کار ڈویژن کے ساتھ۔</v>
      </c>
    </row>
    <row r="106">
      <c r="A106" s="4">
        <v>105.0</v>
      </c>
      <c r="B106" s="5" t="s">
        <v>3188</v>
      </c>
      <c r="C106" s="5" t="s">
        <v>3189</v>
      </c>
      <c r="D106" s="5" t="s">
        <v>3190</v>
      </c>
      <c r="E106" s="5" t="s">
        <v>2862</v>
      </c>
      <c r="K106" s="6" t="str">
        <f>IFERROR(__xludf.DUMMYFUNCTION("GOOGLETRANSLATE(B106,""en"",""ur"")"),"پومل کا مقصد کیا ہے (سڈل کا اگلا حصہ)؟")</f>
        <v>پومل کا مقصد کیا ہے (سڈل کا اگلا حصہ)؟</v>
      </c>
      <c r="L106" s="6" t="str">
        <f>IFERROR(__xludf.DUMMYFUNCTION("GOOGLETRANSLATE(C106,""en"",""ur"")"),"A) یہ سوار کو پکڑنے کے لیے ایک ہینڈل ہے، B) یہ سوار کو محفوظ رکھنے میں مدد کرتا ہے اور انہیں آگے بڑھنے سے روکتا ہے، C) یہ لانس کو آرام کرنے کی جگہ ہے، D) یہ سجاوٹ کے لیے ہے۔")</f>
        <v>A) یہ سوار کو پکڑنے کے لیے ایک ہینڈل ہے، B) یہ سوار کو محفوظ رکھنے میں مدد کرتا ہے اور انہیں آگے بڑھنے سے روکتا ہے، C) یہ لانس کو آرام کرنے کی جگہ ہے، D) یہ سجاوٹ کے لیے ہے۔</v>
      </c>
      <c r="M106" s="6" t="str">
        <f>IFERROR(__xludf.DUMMYFUNCTION("GOOGLETRANSLATE(D106,""en"",""ur"")"),"ب) یہ سوار کو محفوظ بنانے میں مدد کرتا ہے اور انہیں آگے بڑھنے سے روکتا ہے۔")</f>
        <v>ب) یہ سوار کو محفوظ بنانے میں مدد کرتا ہے اور انہیں آگے بڑھنے سے روکتا ہے۔</v>
      </c>
      <c r="N106" s="6" t="str">
        <f>IFERROR(__xludf.DUMMYFUNCTION("GOOGLETRANSLATE(E106,""en"",""ur"")"),"پومل اور کینٹل (پیچھے) ایک گہری، محفوظ نشست بناتے ہیں، جو استحکام کے لیے ضروری ہے۔")</f>
        <v>پومل اور کینٹل (پیچھے) ایک گہری، محفوظ نشست بناتے ہیں، جو استحکام کے لیے ضروری ہے۔</v>
      </c>
    </row>
    <row r="107">
      <c r="A107" s="4">
        <v>106.0</v>
      </c>
      <c r="B107" s="5" t="s">
        <v>2863</v>
      </c>
      <c r="C107" s="5" t="s">
        <v>2864</v>
      </c>
      <c r="D107" s="5" t="s">
        <v>2865</v>
      </c>
      <c r="E107" s="5" t="s">
        <v>2866</v>
      </c>
      <c r="K107" s="6" t="str">
        <f>IFERROR(__xludf.DUMMYFUNCTION("GOOGLETRANSLATE(B107,""en"",""ur"")"),"ٹریک کی زمینی سطح کی سب سے اہم خصوصیت کیا ہے؟")</f>
        <v>ٹریک کی زمینی سطح کی سب سے اہم خصوصیت کیا ہے؟</v>
      </c>
      <c r="L107" s="6" t="str">
        <f>IFERROR(__xludf.DUMMYFUNCTION("GOOGLETRANSLATE(C107,""en"",""ur"")"),"A) یہ ہری گھاس ہونی چاہیے، B) یہ نرم ریت ہونی چاہیے، C) یہ سطحی، مضبوط اور کسی بھی رکاوٹ یا سوراخ سے پاک ہونی چاہیے، D) اسے قدرے ڈھلوان ہونا چاہیے۔")</f>
        <v>A) یہ ہری گھاس ہونی چاہیے، B) یہ نرم ریت ہونی چاہیے، C) یہ سطحی، مضبوط اور کسی بھی رکاوٹ یا سوراخ سے پاک ہونی چاہیے، D) اسے قدرے ڈھلوان ہونا چاہیے۔</v>
      </c>
      <c r="M107" s="6" t="str">
        <f>IFERROR(__xludf.DUMMYFUNCTION("GOOGLETRANSLATE(D107,""en"",""ur"")"),"C) یہ سطح، مضبوط اور کسی بھی رکاوٹ یا سوراخ سے پاک ہونا چاہیے۔")</f>
        <v>C) یہ سطح، مضبوط اور کسی بھی رکاوٹ یا سوراخ سے پاک ہونا چاہیے۔</v>
      </c>
      <c r="N107" s="6" t="str">
        <f>IFERROR(__xludf.DUMMYFUNCTION("GOOGLETRANSLATE(E107,""en"",""ur"")"),"گھوڑوں کو ٹھوکر کھانے یا گرنے سے روکنے کے لیے ایک محفوظ اور منصفانہ ٹریک مستقل اور پیش گوئی کے قابل ہونا چاہیے۔")</f>
        <v>گھوڑوں کو ٹھوکر کھانے یا گرنے سے روکنے کے لیے ایک محفوظ اور منصفانہ ٹریک مستقل اور پیش گوئی کے قابل ہونا چاہیے۔</v>
      </c>
    </row>
    <row r="108">
      <c r="A108" s="4">
        <v>107.0</v>
      </c>
      <c r="B108" s="5" t="s">
        <v>2867</v>
      </c>
      <c r="C108" s="5" t="s">
        <v>3191</v>
      </c>
      <c r="D108" s="5" t="s">
        <v>3192</v>
      </c>
      <c r="E108" s="5" t="s">
        <v>2870</v>
      </c>
      <c r="K108" s="6" t="str">
        <f>IFERROR(__xludf.DUMMYFUNCTION("GOOGLETRANSLATE(B108,""en"",""ur"")"),"""ہنر پر ہتھیار"" ایونٹ میں، ایک سوار کو کیا کرنا پڑے گا؟")</f>
        <v>"ہنر پر ہتھیار" ایونٹ میں، ایک سوار کو کیا کرنا پڑے گا؟</v>
      </c>
      <c r="L108" s="6" t="str">
        <f>IFERROR(__xludf.DUMMYFUNCTION("GOOGLETRANSLATE(C108,""en"",""ur"")"),"A) ایک ہی دوڑ میں مختلف قسم کے کام انجام دیں، جیسے کھونٹی کو نیزہ مارنا اور لیموں کاٹنا، B) رکاوٹوں کے ایک سلسلے کو چھلانگ لگانا، C) ڈریسیج ٹیسٹ کروائیں، D) دوسرے گھوڑے کے خلاف دوڑ")</f>
        <v>A) ایک ہی دوڑ میں مختلف قسم کے کام انجام دیں، جیسے کھونٹی کو نیزہ مارنا اور لیموں کاٹنا، B) رکاوٹوں کے ایک سلسلے کو چھلانگ لگانا، C) ڈریسیج ٹیسٹ کروائیں، D) دوسرے گھوڑے کے خلاف دوڑ</v>
      </c>
      <c r="M108" s="6" t="str">
        <f>IFERROR(__xludf.DUMMYFUNCTION("GOOGLETRANSLATE(D108,""en"",""ur"")"),"A) ایک ہی دوڑ میں مختلف کام انجام دیں، جیسے کھونٹی کو نیزہ لگانا اور لیموں کاٹنا")</f>
        <v>A) ایک ہی دوڑ میں مختلف کام انجام دیں، جیسے کھونٹی کو نیزہ لگانا اور لیموں کاٹنا</v>
      </c>
      <c r="N108" s="6" t="str">
        <f>IFERROR(__xludf.DUMMYFUNCTION("GOOGLETRANSLATE(E108,""en"",""ur"")"),"یہ ایک جامع ایونٹ ہے جو ایک ہی بار میں متعدد مختلف ہتھیاروں اور ہدف بنانے کی مہارتوں میں سوار کی مہارت کو جانچتا ہے۔")</f>
        <v>یہ ایک جامع ایونٹ ہے جو ایک ہی بار میں متعدد مختلف ہتھیاروں اور ہدف بنانے کی مہارتوں میں سوار کی مہارت کو جانچتا ہے۔</v>
      </c>
    </row>
    <row r="109">
      <c r="A109" s="4">
        <v>108.0</v>
      </c>
      <c r="B109" s="5" t="s">
        <v>2919</v>
      </c>
      <c r="C109" s="5" t="s">
        <v>3193</v>
      </c>
      <c r="D109" s="5" t="s">
        <v>2921</v>
      </c>
      <c r="E109" s="5" t="s">
        <v>2922</v>
      </c>
      <c r="K109" s="6" t="str">
        <f>IFERROR(__xludf.DUMMYFUNCTION("GOOGLETRANSLATE(B109,""en"",""ur"")"),"ایک سوار کو بہت بھاری لانس رکھنے کی وجہ سے نااہل قرار دیا جاتا ہے۔ زیادہ سے زیادہ وزن کا اصول کیوں موجود ہوگا؟")</f>
        <v>ایک سوار کو بہت بھاری لانس رکھنے کی وجہ سے نااہل قرار دیا جاتا ہے۔ زیادہ سے زیادہ وزن کا اصول کیوں موجود ہوگا؟</v>
      </c>
      <c r="L109" s="6" t="str">
        <f>IFERROR(__xludf.DUMMYFUNCTION("GOOGLETRANSLATE(C109,""en"",""ur"")"),"A) بھاری لانس زیادہ خطرناک ہے، B) انصاف پسندی کو یقینی بنانے اور تیز ہوا کے حالات میں سواروں کو فائدہ اٹھانے سے روکنے کے لیے، C) بھاری لانس کے ٹوٹنے کا زیادہ امکان ہوتا ہے، D) یہ کوئی اصول نہیں ہے۔")</f>
        <v>A) بھاری لانس زیادہ خطرناک ہے، B) انصاف پسندی کو یقینی بنانے اور تیز ہوا کے حالات میں سواروں کو فائدہ اٹھانے سے روکنے کے لیے، C) بھاری لانس کے ٹوٹنے کا زیادہ امکان ہوتا ہے، D) یہ کوئی اصول نہیں ہے۔</v>
      </c>
      <c r="M109" s="6" t="str">
        <f>IFERROR(__xludf.DUMMYFUNCTION("GOOGLETRANSLATE(D109,""en"",""ur"")"),"ب) انصاف پسندی کو یقینی بنانا اور تیز ہوا کے حالات میں سواروں کو فائدہ اٹھانے سے روکنا")</f>
        <v>ب) انصاف پسندی کو یقینی بنانا اور تیز ہوا کے حالات میں سواروں کو فائدہ اٹھانے سے روکنا</v>
      </c>
      <c r="N109" s="6" t="str">
        <f>IFERROR(__xludf.DUMMYFUNCTION("GOOGLETRANSLATE(E109,""en"",""ur"")"),"ایک بہت ہی بھاری لینس ہوا سے کم متاثر ہوتا ہے، اس لیے زیادہ سے زیادہ وزن کی حد یقینی بناتی ہے کہ تمام سواروں کو یکساں حالات کا سامنا کرنا پڑتا ہے۔")</f>
        <v>ایک بہت ہی بھاری لینس ہوا سے کم متاثر ہوتا ہے، اس لیے زیادہ سے زیادہ وزن کی حد یقینی بناتی ہے کہ تمام سواروں کو یکساں حالات کا سامنا کرنا پڑتا ہے۔</v>
      </c>
    </row>
    <row r="110">
      <c r="A110" s="4">
        <v>109.0</v>
      </c>
      <c r="B110" s="5" t="s">
        <v>2927</v>
      </c>
      <c r="C110" s="5" t="s">
        <v>3194</v>
      </c>
      <c r="D110" s="5" t="s">
        <v>3195</v>
      </c>
      <c r="E110" s="5" t="s">
        <v>3196</v>
      </c>
      <c r="K110" s="6" t="str">
        <f>IFERROR(__xludf.DUMMYFUNCTION("GOOGLETRANSLATE(B110,""en"",""ur"")"),"لینس کی نوک دھات کی کیوں ہونی چاہیے؟")</f>
        <v>لینس کی نوک دھات کی کیوں ہونی چاہیے؟</v>
      </c>
      <c r="L110" s="6" t="str">
        <f>IFERROR(__xludf.DUMMYFUNCTION("GOOGLETRANSLATE(C110,""en"",""ur"")"),"A) یہ بہتر لگ رہا ہے، B) لکڑی کے کھونٹے کو مؤثر طریقے سے گھسنے اور اٹھانے کے لیے اس کی ضرورت ہے، C) یہ توازن کے لیے لانس میں وزن بڑھاتا ہے، D) یہ ایک روایتی ضرورت ہے۔")</f>
        <v>A) یہ بہتر لگ رہا ہے، B) لکڑی کے کھونٹے کو مؤثر طریقے سے گھسنے اور اٹھانے کے لیے اس کی ضرورت ہے، C) یہ توازن کے لیے لانس میں وزن بڑھاتا ہے، D) یہ ایک روایتی ضرورت ہے۔</v>
      </c>
      <c r="M110" s="6" t="str">
        <f>IFERROR(__xludf.DUMMYFUNCTION("GOOGLETRANSLATE(D110,""en"",""ur"")"),"ب) لکڑی کے کھونٹے کو مؤثر طریقے سے گھسنے اور اٹھانے کے لیے اس کی ضرورت ہے۔")</f>
        <v>ب) لکڑی کے کھونٹے کو مؤثر طریقے سے گھسنے اور اٹھانے کے لیے اس کی ضرورت ہے۔</v>
      </c>
      <c r="N110" s="6" t="str">
        <f>IFERROR(__xludf.DUMMYFUNCTION("GOOGLETRANSLATE(E110,""en"",""ur"")"),"لانس کے لیے دھات کی نوک ضروری ہے کہ وہ بغیر ٹوٹے ہدف کو زمین سے چھیدنے اور اٹھانے کے قابل ہو۔")</f>
        <v>لانس کے لیے دھات کی نوک ضروری ہے کہ وہ بغیر ٹوٹے ہدف کو زمین سے چھیدنے اور اٹھانے کے قابل ہو۔</v>
      </c>
    </row>
    <row r="111">
      <c r="A111" s="4">
        <v>110.0</v>
      </c>
      <c r="B111" s="5" t="s">
        <v>2935</v>
      </c>
      <c r="C111" s="5" t="s">
        <v>3197</v>
      </c>
      <c r="D111" s="5" t="s">
        <v>2937</v>
      </c>
      <c r="E111" s="5" t="s">
        <v>3198</v>
      </c>
      <c r="K111" s="6" t="str">
        <f>IFERROR(__xludf.DUMMYFUNCTION("GOOGLETRANSLATE(B111,""en"",""ur"")"),"جدید مقابلوں میں ""سلو موشن"" ری پلے کیمرہ کا بنیادی مقصد کیا ہے؟")</f>
        <v>جدید مقابلوں میں "سلو موشن" ری پلے کیمرہ کا بنیادی مقصد کیا ہے؟</v>
      </c>
      <c r="L111" s="6" t="str">
        <f>IFERROR(__xludf.DUMMYFUNCTION("GOOGLETRANSLATE(C111,""en"",""ur"")"),"A) ایونٹ کو مزید ڈرامائی بنانے کے لئے، B) قریبی کالوں اور احتجاج پر درست فیصلے کرنے میں ججوں کی مدد کرنے کے لئے، C) کوچز کو اپنے سواروں کو تربیت دینے میں مدد کرنے کے لئے، D) رنز کے درمیان ہجوم کو تفریح ​​​​کرنے کے لئے")</f>
        <v>A) ایونٹ کو مزید ڈرامائی بنانے کے لئے، B) قریبی کالوں اور احتجاج پر درست فیصلے کرنے میں ججوں کی مدد کرنے کے لئے، C) کوچز کو اپنے سواروں کو تربیت دینے میں مدد کرنے کے لئے، D) رنز کے درمیان ہجوم کو تفریح ​​​​کرنے کے لئے</v>
      </c>
      <c r="M111" s="6" t="str">
        <f>IFERROR(__xludf.DUMMYFUNCTION("GOOGLETRANSLATE(D111,""en"",""ur"")"),"ب) قریبی کالوں اور احتجاج پر درست فیصلے کرنے میں ججوں کی مدد کرنا")</f>
        <v>ب) قریبی کالوں اور احتجاج پر درست فیصلے کرنے میں ججوں کی مدد کرنا</v>
      </c>
      <c r="N111" s="6" t="str">
        <f>IFERROR(__xludf.DUMMYFUNCTION("GOOGLETRANSLATE(E111,""en"",""ur"")"),"سلو موشن ری پلے اس بات کا جائزہ لینے کے لیے ایک اہم آلہ کار ہے کہ آیا کوئی کھونٹا کھینچا گیا تھا، لائن کراس کی گئی تھی یا کوئی غلط کام کیا گیا تھا۔")</f>
        <v>سلو موشن ری پلے اس بات کا جائزہ لینے کے لیے ایک اہم آلہ کار ہے کہ آیا کوئی کھونٹا کھینچا گیا تھا، لائن کراس کی گئی تھی یا کوئی غلط کام کیا گیا تھا۔</v>
      </c>
    </row>
    <row r="112">
      <c r="A112" s="4">
        <v>111.0</v>
      </c>
      <c r="B112" s="5" t="s">
        <v>3199</v>
      </c>
      <c r="C112" s="5" t="s">
        <v>2940</v>
      </c>
      <c r="D112" s="5" t="s">
        <v>2941</v>
      </c>
      <c r="E112" s="5" t="s">
        <v>2942</v>
      </c>
      <c r="K112" s="6" t="str">
        <f>IFERROR(__xludf.DUMMYFUNCTION("GOOGLETRANSLATE(B112,""en"",""ur"")"),"ایک سوار ""نرم ہاتھ"" رکھنے کے لیے جانا جاتا ہے۔ اس گھڑ سواری کی اصطلاح کا کیا مطلب ہے؟")</f>
        <v>ایک سوار "نرم ہاتھ" رکھنے کے لیے جانا جاتا ہے۔ اس گھڑ سواری کی اصطلاح کا کیا مطلب ہے؟</v>
      </c>
      <c r="L112" s="6" t="str">
        <f>IFERROR(__xludf.DUMMYFUNCTION("GOOGLETRANSLATE(C112,""en"",""ur"")"),"A) ان کے ہاتھ کمزور ہیں، B) وہ بہت ہلکے اور نرم لگام کے اشاروں سے گھوڑے کی رہنمائی کرنے کے قابل ہیں، C) وہ نرم دستانے پہنتے ہیں، D) وہ ابتدائی ہیں۔")</f>
        <v>A) ان کے ہاتھ کمزور ہیں، B) وہ بہت ہلکے اور نرم لگام کے اشاروں سے گھوڑے کی رہنمائی کرنے کے قابل ہیں، C) وہ نرم دستانے پہنتے ہیں، D) وہ ابتدائی ہیں۔</v>
      </c>
      <c r="M112" s="6" t="str">
        <f>IFERROR(__xludf.DUMMYFUNCTION("GOOGLETRANSLATE(D112,""en"",""ur"")"),"ب) وہ بہت ہلکے اور نرم لگام کے اشاروں سے گھوڑے کی رہنمائی کرنے کے قابل ہیں۔")</f>
        <v>ب) وہ بہت ہلکے اور نرم لگام کے اشاروں سے گھوڑے کی رہنمائی کرنے کے قابل ہیں۔</v>
      </c>
      <c r="N112" s="6" t="str">
        <f>IFERROR(__xludf.DUMMYFUNCTION("GOOGLETRANSLATE(E112,""en"",""ur"")"),"""نرم ہاتھ"" ایک ماہر گھڑ سوار کا نشان ہیں جو اپنے گھوڑے سے سخت کھینچنے کی بجائے لطیف اشاروں کے ذریعے بات چیت کر سکتے ہیں۔")</f>
        <v>"نرم ہاتھ" ایک ماہر گھڑ سوار کا نشان ہیں جو اپنے گھوڑے سے سخت کھینچنے کی بجائے لطیف اشاروں کے ذریعے بات چیت کر سکتے ہیں۔</v>
      </c>
    </row>
    <row r="113">
      <c r="A113" s="4">
        <v>112.0</v>
      </c>
      <c r="B113" s="5" t="s">
        <v>2943</v>
      </c>
      <c r="C113" s="5" t="s">
        <v>2944</v>
      </c>
      <c r="D113" s="5" t="s">
        <v>2945</v>
      </c>
      <c r="E113" s="5" t="s">
        <v>2946</v>
      </c>
      <c r="K113" s="6" t="str">
        <f>IFERROR(__xludf.DUMMYFUNCTION("GOOGLETRANSLATE(B113,""en"",""ur"")"),"ٹینٹ پیگنگ کے لیے صلاحیت پیدا کرنے کے لیے ان میں سے کون سا گھوڑے کی خوراک کا اہم حصہ ہے؟")</f>
        <v>ٹینٹ پیگنگ کے لیے صلاحیت پیدا کرنے کے لیے ان میں سے کون سا گھوڑے کی خوراک کا اہم حصہ ہے؟</v>
      </c>
      <c r="L113" s="6" t="str">
        <f>IFERROR(__xludf.DUMMYFUNCTION("GOOGLETRANSLATE(C113,""en"",""ur"")"),"A) شوگر کیوبز، B) اعلیٰ قسم کی گھاس اور اناج کی کنٹرول شدہ مقدار، C) صرف گھاس، D) زیادہ تر پھل اور سبزیاں")</f>
        <v>A) شوگر کیوبز، B) اعلیٰ قسم کی گھاس اور اناج کی کنٹرول شدہ مقدار، C) صرف گھاس، D) زیادہ تر پھل اور سبزیاں</v>
      </c>
      <c r="M113" s="6" t="str">
        <f>IFERROR(__xludf.DUMMYFUNCTION("GOOGLETRANSLATE(D113,""en"",""ur"")"),"ب) اعلیٰ قسم کی گھاس اور اناج کی کنٹرول شدہ مقدار")</f>
        <v>ب) اعلیٰ قسم کی گھاس اور اناج کی کنٹرول شدہ مقدار</v>
      </c>
      <c r="N113" s="6" t="str">
        <f>IFERROR(__xludf.DUMMYFUNCTION("GOOGLETRANSLATE(E113,""en"",""ur"")"),"ایک اتھلیٹک گھوڑے کو آنتوں کی صحت کے لیے چارہ (گھاس) کی متوازن خوراک اور کارکردگی کے لیے توانائی سے بھرپور اناج کی ضرورت ہوتی ہے۔")</f>
        <v>ایک اتھلیٹک گھوڑے کو آنتوں کی صحت کے لیے چارہ (گھاس) کی متوازن خوراک اور کارکردگی کے لیے توانائی سے بھرپور اناج کی ضرورت ہوتی ہے۔</v>
      </c>
    </row>
    <row r="114">
      <c r="A114" s="4">
        <v>113.0</v>
      </c>
      <c r="B114" s="5" t="s">
        <v>2947</v>
      </c>
      <c r="C114" s="5" t="s">
        <v>2948</v>
      </c>
      <c r="D114" s="5" t="s">
        <v>2949</v>
      </c>
      <c r="E114" s="5" t="s">
        <v>2950</v>
      </c>
      <c r="K114" s="6" t="str">
        <f>IFERROR(__xludf.DUMMYFUNCTION("GOOGLETRANSLATE(B114,""en"",""ur"")"),"ایک سوار احتجاج کرتا ہے کہ سورج ان کی آنکھوں میں تھا، جس کی وجہ سے وہ گم ہو گئے۔ کیا حکم ہو گا؟")</f>
        <v>ایک سوار احتجاج کرتا ہے کہ سورج ان کی آنکھوں میں تھا، جس کی وجہ سے وہ گم ہو گئے۔ کیا حکم ہو گا؟</v>
      </c>
      <c r="L114" s="6" t="str">
        <f>IFERROR(__xludf.DUMMYFUNCTION("GOOGLETRANSLATE(C114,""en"",""ur"")"),"A)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f>
        <v>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v>
      </c>
      <c r="M114" s="6" t="str">
        <f>IFERROR(__xludf.DUMMYFUNCTION("GOOGLETRANSLATE(D114,""en"",""ur"")"),"ب) احتجاج کو مسترد کر دیا جائے گا کیونکہ ماحولیاتی حالات چیلنج کا حصہ ہیں۔")</f>
        <v>ب) احتجاج کو مسترد کر دیا جائے گا کیونکہ ماحولیاتی حالات چیلنج کا حصہ ہیں۔</v>
      </c>
      <c r="N114" s="6" t="str">
        <f>IFERROR(__xludf.DUMMYFUNCTION("GOOGLETRANSLATE(E114,""en"",""ur"")"),"تمام سوار ایک ہی قدرتی حالات میں مقابلہ کرتے ہیں، اور سورج کی چمک جیسے عوامل کو کھیل کا حصہ سمجھا جاتا ہے۔")</f>
        <v>تمام سوار ایک ہی قدرتی حالات میں مقابلہ کرتے ہیں، اور سورج کی چمک جیسے عوامل کو کھیل کا حصہ سمجھا جاتا ہے۔</v>
      </c>
    </row>
    <row r="115">
      <c r="A115" s="4">
        <v>114.0</v>
      </c>
      <c r="B115" s="5" t="s">
        <v>3200</v>
      </c>
      <c r="C115" s="5" t="s">
        <v>3201</v>
      </c>
      <c r="D115" s="5" t="s">
        <v>3202</v>
      </c>
      <c r="E115" s="5" t="s">
        <v>2906</v>
      </c>
      <c r="K115" s="6" t="str">
        <f>IFERROR(__xludf.DUMMYFUNCTION("GOOGLETRANSLATE(B115,""en"",""ur"")"),"سواروں کو ایڑی والے جوتے پہننے کی بنیادی وجہ کیا ہے؟")</f>
        <v>سواروں کو ایڑی والے جوتے پہننے کی بنیادی وجہ کیا ہے؟</v>
      </c>
      <c r="L115" s="6" t="str">
        <f>IFERROR(__xludf.DUMMYFUNCTION("GOOGLETRANSLATE(C115,""en"",""ur"")"),"A) یہ ایک روایت ہے، B) وہ رکاب میں بہتر گرفت فراہم کرتے ہیں، C) ایڑی رکاب کے ذریعے پاؤں کو پھسلنے سے روکتی ہے، D) وہ زیادہ پیشہ ور نظر آتے ہیں۔")</f>
        <v>A) یہ ایک روایت ہے، B) وہ رکاب میں بہتر گرفت فراہم کرتے ہیں، C) ایڑی رکاب کے ذریعے پاؤں کو پھسلنے سے روکتی ہے، D) وہ زیادہ پیشہ ور نظر آتے ہیں۔</v>
      </c>
      <c r="M115" s="6" t="str">
        <f>IFERROR(__xludf.DUMMYFUNCTION("GOOGLETRANSLATE(D115,""en"",""ur"")"),"ج) ایڑی رکاب کے ذریعے پاؤں کو پھسلنے سے روکتی ہے۔")</f>
        <v>ج) ایڑی رکاب کے ذریعے پاؤں کو پھسلنے سے روکتی ہے۔</v>
      </c>
      <c r="N115" s="6" t="str">
        <f>IFERROR(__xludf.DUMMYFUNCTION("GOOGLETRANSLATE(E115,""en"",""ur"")"),"ایڑی والا بوٹ گھڑ سواری کے حفاظتی سامان کا ایک بنیادی ٹکڑا ہے جو سوار کو گرنے میں گھسیٹنے سے روک سکتا ہے۔")</f>
        <v>ایڑی والا بوٹ گھڑ سواری کے حفاظتی سامان کا ایک بنیادی ٹکڑا ہے جو سوار کو گرنے میں گھسیٹنے سے روک سکتا ہے۔</v>
      </c>
    </row>
    <row r="116">
      <c r="A116" s="4">
        <v>115.0</v>
      </c>
      <c r="B116" s="5" t="s">
        <v>2907</v>
      </c>
      <c r="C116" s="5" t="s">
        <v>2908</v>
      </c>
      <c r="D116" s="5" t="s">
        <v>2909</v>
      </c>
      <c r="E116" s="5" t="s">
        <v>2910</v>
      </c>
      <c r="K116" s="6" t="str">
        <f>IFERROR(__xludf.DUMMYFUNCTION("GOOGLETRANSLATE(B116,""en"",""ur"")"),"سوار کا گھوڑا لنگڑا ہوتا ہے، اس لیے وہ دوسرے مدمقابل سے گھوڑا ادھار لیتے ہیں۔ کیا اس کی اجازت ہے؟")</f>
        <v>سوار کا گھوڑا لنگڑا ہوتا ہے، اس لیے وہ دوسرے مدمقابل سے گھوڑا ادھار لیتے ہیں۔ کیا اس کی اجازت ہے؟</v>
      </c>
      <c r="L116" s="6" t="str">
        <f>IFERROR(__xludf.DUMMYFUNCTION("GOOGLETRANSLATE(C116,""en"",""ur"")"),"A) ہاں، اگر دوسرا مدمقابل راضی ہو، B) نہیں، سوار کو اپنے رجسٹرڈ گھوڑے پر مقابلہ کرنا چاہیے، C) صرف پریکٹس راؤنڈز میں، D) صرف اس صورت میں جب گھوڑے ایک ہی رنگ کے ہوں۔")</f>
        <v>A) ہاں، اگر دوسرا مدمقابل راضی ہو، B) نہیں، سوار کو اپنے رجسٹرڈ گھوڑے پر مقابلہ کرنا چاہیے، C) صرف پریکٹس راؤنڈز میں، D) صرف اس صورت میں جب گھوڑے ایک ہی رنگ کے ہوں۔</v>
      </c>
      <c r="M116" s="6" t="str">
        <f>IFERROR(__xludf.DUMMYFUNCTION("GOOGLETRANSLATE(D116,""en"",""ur"")"),"ب) نہیں، سوار کو اپنے رجسٹرڈ گھوڑے پر مقابلہ کرنا چاہیے۔")</f>
        <v>ب) نہیں، سوار کو اپنے رجسٹرڈ گھوڑے پر مقابلہ کرنا چاہیے۔</v>
      </c>
      <c r="N116" s="6" t="str">
        <f>IFERROR(__xludf.DUMMYFUNCTION("GOOGLETRANSLATE(E116,""en"",""ur"")"),"سرکاری مقابلوں میں ایک سوار اور ان کا گھوڑا رجسٹرڈ جوڑا ہوتا ہے۔ ایک سوار صرف ایک مختلف گھوڑے پر نہیں جا سکتا۔")</f>
        <v>سرکاری مقابلوں میں ایک سوار اور ان کا گھوڑا رجسٹرڈ جوڑا ہوتا ہے۔ ایک سوار صرف ایک مختلف گھوڑے پر نہیں جا سکتا۔</v>
      </c>
    </row>
    <row r="117">
      <c r="A117" s="4">
        <v>116.0</v>
      </c>
      <c r="B117" s="5" t="s">
        <v>2911</v>
      </c>
      <c r="C117" s="5" t="s">
        <v>2912</v>
      </c>
      <c r="D117" s="5" t="s">
        <v>2913</v>
      </c>
      <c r="E117" s="5" t="s">
        <v>3203</v>
      </c>
      <c r="K117" s="6" t="str">
        <f>IFERROR(__xludf.DUMMYFUNCTION("GOOGLETRANSLATE(B117,""en"",""ur"")"),"ٹیم ایونٹ میں ""مکمل پاس"" کی اصطلاح کا کیا مطلب ہے؟")</f>
        <v>ٹیم ایونٹ میں "مکمل پاس" کی اصطلاح کا کیا مطلب ہے؟</v>
      </c>
      <c r="L117" s="6" t="str">
        <f>IFERROR(__xludf.DUMMYFUNCTION("GOOGLETRANSLATE(C117,""en"",""ur"")"),"A) ٹیم اگلے راؤنڈ میں پہنچ گئی ہے، B) سیکشن کے چاروں سواروں نے مکمل پیگ اسکور کیا ہے، C) چاروں سواروں نے پیگ چھوٹ دیا، D) ٹیم نے مقررہ وقت میں رن مکمل کیا")</f>
        <v>A) ٹیم اگلے راؤنڈ میں پہنچ گئی ہے، B) سیکشن کے چاروں سواروں نے مکمل پیگ اسکور کیا ہے، C) چاروں سواروں نے پیگ چھوٹ دیا، D) ٹیم نے مقررہ وقت میں رن مکمل کیا</v>
      </c>
      <c r="M117" s="6" t="str">
        <f>IFERROR(__xludf.DUMMYFUNCTION("GOOGLETRANSLATE(D117,""en"",""ur"")"),"ب) سیکشن کے چاروں سواروں نے مکمل پیگ اسکور کیا ہے۔")</f>
        <v>ب) سیکشن کے چاروں سواروں نے مکمل پیگ اسکور کیا ہے۔</v>
      </c>
      <c r="N117" s="6" t="str">
        <f>IFERROR(__xludf.DUMMYFUNCTION("GOOGLETRANSLATE(E117,""en"",""ur"")"),"ایک ""مکمل پاس"" ایک بہترین رن ہے جہاں ٹیم کا ہر رکن کامیابی کے ساتھ زیادہ سے زیادہ پوائنٹس اسکور کرتا ہے، اکثر بونس حاصل کرتا ہے۔")</f>
        <v>ایک "مکمل پاس" ایک بہترین رن ہے جہاں ٹیم کا ہر رکن کامیابی کے ساتھ زیادہ سے زیادہ پوائنٹس اسکور کرتا ہے، اکثر بونس حاصل کرتا ہے۔</v>
      </c>
    </row>
    <row r="118">
      <c r="A118" s="4">
        <v>117.0</v>
      </c>
      <c r="B118" s="5" t="s">
        <v>2772</v>
      </c>
      <c r="C118" s="5" t="s">
        <v>3204</v>
      </c>
      <c r="D118" s="5" t="s">
        <v>3205</v>
      </c>
      <c r="E118" s="5" t="s">
        <v>3206</v>
      </c>
      <c r="K118" s="6" t="str">
        <f>IFERROR(__xludf.DUMMYFUNCTION("GOOGLETRANSLATE(B118,""en"",""ur"")"),"اگر سوار کا لانس کم از کم ضابطہ وزن سے ہلکا پایا جائے تو اس کا کیا حکم ہے؟")</f>
        <v>اگر سوار کا لانس کم از کم ضابطہ وزن سے ہلکا پایا جائے تو اس کا کیا حکم ہے؟</v>
      </c>
      <c r="L118" s="6" t="str">
        <f>IFERROR(__xludf.DUMMYFUNCTION("GOOGLETRANSLATE(C118,""en"",""ur"")"),"A) سوار کو بھاری لانس دیا جاتا ہے، B) سوار کو غیر قانونی سامان استعمال کرنے پر نااہل قرار دیا جاتا ہے، C) سوار کو مقابلہ کرنے کی اجازت ہے لیکن پوائنٹس نہیں بنا سکتے، D) ایک وقتی جرمانہ شامل کیا جاتا ہے۔")</f>
        <v>A) سوار کو بھاری لانس دیا جاتا ہے، B) سوار کو غیر قانونی سامان استعمال کرنے پر نااہل قرار دیا جاتا ہے، C) سوار کو مقابلہ کرنے کی اجازت ہے لیکن پوائنٹس نہیں بنا سکتے، D) ایک وقتی جرمانہ شامل کیا جاتا ہے۔</v>
      </c>
      <c r="M118" s="6" t="str">
        <f>IFERROR(__xludf.DUMMYFUNCTION("GOOGLETRANSLATE(D118,""en"",""ur"")"),"ب) سوار کو غیر قانونی سامان استعمال کرنے پر نااہل قرار دیا جاتا ہے۔")</f>
        <v>ب) سوار کو غیر قانونی سامان استعمال کرنے پر نااہل قرار دیا جاتا ہے۔</v>
      </c>
      <c r="N118" s="6" t="str">
        <f>IFERROR(__xludf.DUMMYFUNCTION("GOOGLETRANSLATE(E118,""en"",""ur"")"),"غیر ریگولیشن آلات کا استعمال جو غیر منصفانہ فائدہ فراہم کرتا ہے دھوکہ دہی کی ایک شکل ہے اور اس کے نتیجے میں نااہلی ہوتی ہے۔")</f>
        <v>غیر ریگولیشن آلات کا استعمال جو غیر منصفانہ فائدہ فراہم کرتا ہے دھوکہ دہی کی ایک شکل ہے اور اس کے نتیجے میں نااہلی ہوتی ہے۔</v>
      </c>
    </row>
    <row r="119">
      <c r="A119" s="4">
        <v>118.0</v>
      </c>
      <c r="B119" s="5" t="s">
        <v>2823</v>
      </c>
      <c r="C119" s="5" t="s">
        <v>2824</v>
      </c>
      <c r="D119" s="5" t="s">
        <v>2825</v>
      </c>
      <c r="E119" s="5" t="s">
        <v>2826</v>
      </c>
      <c r="K119" s="6" t="str">
        <f>IFERROR(__xludf.DUMMYFUNCTION("GOOGLETRANSLATE(B119,""en"",""ur"")"),"ایک سوار کو ""کراس کرنے"" پر سزا دی جاتی ہے۔ ٹیم ایونٹ میں اس کا کیا مطلب ہے؟")</f>
        <v>ایک سوار کو "کراس کرنے" پر سزا دی جاتی ہے۔ ٹیم ایونٹ میں اس کا کیا مطلب ہے؟</v>
      </c>
      <c r="L119" s="6" t="str">
        <f>IFERROR(__xludf.DUMMYFUNCTION("GOOGLETRANSLATE(C119,""en"",""ur"")"),"A)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f>
        <v>A) انہوں نے فنش لائن کو بہت آہستہ سے عبور کیا، B) انہوں نے ایک ٹیم کے ساتھی کے راستے کو عبور کیا، جس سے حفاظتی خطرہ پیدا ہوا، C) انہوں نے سواری کے دوران اپنی ٹانگیں عبور کیں، D) انہوں نے کراس نسل کا گھوڑا استعمال کیا۔</v>
      </c>
      <c r="M119" s="6" t="str">
        <f>IFERROR(__xludf.DUMMYFUNCTION("GOOGLETRANSLATE(D119,""en"",""ur"")"),"ب) وہ ایک ٹیم کے ساتھی کے راستے میں داخل ہوئے، جس سے حفاظتی خطرہ پیدا ہوا۔")</f>
        <v>ب) وہ ایک ٹیم کے ساتھی کے راستے میں داخل ہوئے، جس سے حفاظتی خطرہ پیدا ہوا۔</v>
      </c>
      <c r="N119" s="6" t="str">
        <f>IFERROR(__xludf.DUMMYFUNCTION("GOOGLETRANSLATE(E119,""en"",""ur"")"),"سیکشن حملے میں، ہر سوار کو اپنی لین کو برقرار رکھنا چاہیے۔ کسی دوسرے سوار کا راستہ عبور کرنا ایک بہت ہی خطرناک فاؤل ہے۔")</f>
        <v>سیکشن حملے میں، ہر سوار کو اپنی لین کو برقرار رکھنا چاہیے۔ کسی دوسرے سوار کا راستہ عبور کرنا ایک بہت ہی خطرناک فاؤل ہے۔</v>
      </c>
    </row>
    <row r="120">
      <c r="A120" s="4">
        <v>119.0</v>
      </c>
      <c r="B120" s="5" t="s">
        <v>3207</v>
      </c>
      <c r="C120" s="5" t="s">
        <v>2828</v>
      </c>
      <c r="D120" s="5" t="s">
        <v>2829</v>
      </c>
      <c r="E120" s="5" t="s">
        <v>2830</v>
      </c>
      <c r="K120" s="6" t="str">
        <f>IFERROR(__xludf.DUMMYFUNCTION("GOOGLETRANSLATE(B120,""en"",""ur"")"),"لیموں کاٹنے کے لیے خمیدہ بلیڈ (ایک صابری) والی تلوار استعمال کرنے کی بنیادی وجہ کیا ہے؟")</f>
        <v>لیموں کاٹنے کے لیے خمیدہ بلیڈ (ایک صابری) والی تلوار استعمال کرنے کی بنیادی وجہ کیا ہے؟</v>
      </c>
      <c r="L120" s="6" t="str">
        <f>IFERROR(__xludf.DUMMYFUNCTION("GOOGLETRANSLATE(C120,""en"",""ur"")"),"A) یہ زیادہ روایتی لگتا ہے، B) ایک مڑے ہوئے بلیڈ کو کاٹنے کے لیے ڈیزائن کیا گیا ہے، جب کہ ایک سیدھا بلیڈ زور دینے کے لیے ہے، C) یہ ہلکا ہے، D) یہ تیز ہے۔")</f>
        <v>A) یہ زیادہ روایتی لگتا ہے، B) ایک مڑے ہوئے بلیڈ کو کاٹنے کے لیے ڈیزائن کیا گیا ہے، جب کہ ایک سیدھا بلیڈ زور دینے کے لیے ہے، C) یہ ہلکا ہے، D) یہ تیز ہے۔</v>
      </c>
      <c r="M120" s="6" t="str">
        <f>IFERROR(__xludf.DUMMYFUNCTION("GOOGLETRANSLATE(D120,""en"",""ur"")"),"ب) ایک مڑے ہوئے بلیڈ کو کاٹنے کے لیے ڈیزائن کیا گیا ہے، جبکہ ایک سیدھا بلیڈ زور دینے کے لیے ہے۔")</f>
        <v>ب) ایک مڑے ہوئے بلیڈ کو کاٹنے کے لیے ڈیزائن کیا گیا ہے، جبکہ ایک سیدھا بلیڈ زور دینے کے لیے ہے۔</v>
      </c>
      <c r="N120" s="6" t="str">
        <f>IFERROR(__xludf.DUMMYFUNCTION("GOOGLETRANSLATE(E120,""en"",""ur"")"),"کرپان کا گھماؤ بلیڈ کو ہدف کے ذریعے مؤثر طریقے سے کاٹنے کی اجازت دیتا ہے جب سوار گزر جاتا ہے۔")</f>
        <v>کرپان کا گھماؤ بلیڈ کو ہدف کے ذریعے مؤثر طریقے سے کاٹنے کی اجازت دیتا ہے جب سوار گزر جاتا ہے۔</v>
      </c>
    </row>
    <row r="121">
      <c r="A121" s="4">
        <v>120.0</v>
      </c>
      <c r="B121" s="5" t="s">
        <v>2831</v>
      </c>
      <c r="C121" s="5" t="s">
        <v>2832</v>
      </c>
      <c r="D121" s="5" t="s">
        <v>2833</v>
      </c>
      <c r="E121" s="5" t="s">
        <v>2834</v>
      </c>
      <c r="K121" s="6" t="str">
        <f>IFERROR(__xludf.DUMMYFUNCTION("GOOGLETRANSLATE(B121,""en"",""ur"")"),"مندرجہ ذیل میں سے کون سی ٹینٹ پیگر کے لیے اہم ذہنی مہارت ہے؟")</f>
        <v>مندرجہ ذیل میں سے کون سی ٹینٹ پیگر کے لیے اہم ذہنی مہارت ہے؟</v>
      </c>
      <c r="L121" s="6" t="str">
        <f>IFERROR(__xludf.DUMMYFUNCTION("GOOGLETRANSLATE(C121,""en"",""ur"")"),"A) دباؤ کو نظر انداز کرنے اور کسی ایک نقطہ پر شدت سے توجہ مرکوز کرنے کی صلاحیت، B) قواعد کے لیے اچھی یادداشت، C) ریاضی کو تیزی سے کرنے کی صلاحیت، D) بلند آواز")</f>
        <v>A) دباؤ کو نظر انداز کرنے اور کسی ایک نقطہ پر شدت سے توجہ مرکوز کرنے کی صلاحیت، B) قواعد کے لیے اچھی یادداشت، C) ریاضی کو تیزی سے کرنے کی صلاحیت، D) بلند آواز</v>
      </c>
      <c r="M121" s="6" t="str">
        <f>IFERROR(__xludf.DUMMYFUNCTION("GOOGLETRANSLATE(D121,""en"",""ur"")"),"A) دباؤ کو نظر انداز کرنے اور ایک نقطہ پر شدت سے توجہ مرکوز کرنے کی صلاحیت")</f>
        <v>A) دباؤ کو نظر انداز کرنے اور ایک نقطہ پر شدت سے توجہ مرکوز کرنے کی صلاحیت</v>
      </c>
      <c r="N121" s="6" t="str">
        <f>IFERROR(__xludf.DUMMYFUNCTION("GOOGLETRANSLATE(E121,""en"",""ur"")"),"کھیل کو تیز رفتار، ہائی پریشر والے ماحول میں درست کارروائی کرنے کے لیے بے پناہ ارتکاز کی ضرورت ہوتی ہے۔")</f>
        <v>کھیل کو تیز رفتار، ہائی پریشر والے ماحول میں درست کارروائی کرنے کے لیے بے پناہ ارتکاز کی ضرورت ہوتی ہے۔</v>
      </c>
    </row>
    <row r="122">
      <c r="A122" s="4">
        <v>121.0</v>
      </c>
      <c r="B122" s="5" t="s">
        <v>2835</v>
      </c>
      <c r="C122" s="5" t="s">
        <v>2836</v>
      </c>
      <c r="D122" s="5" t="s">
        <v>2837</v>
      </c>
      <c r="E122" s="5" t="s">
        <v>3208</v>
      </c>
      <c r="K122" s="6" t="str">
        <f>IFERROR(__xludf.DUMMYFUNCTION("GOOGLETRANSLATE(B122,""en"",""ur"")"),"ایک سوار کا گھوڑا بلنکرز پہنے نظر آتا ہے۔ ان کا مقصد کیا ہے؟")</f>
        <v>ایک سوار کا گھوڑا بلنکرز پہنے نظر آتا ہے۔ ان کا مقصد کیا ہے؟</v>
      </c>
      <c r="L122" s="6" t="str">
        <f>IFERROR(__xludf.DUMMYFUNCTION("GOOGLETRANSLATE(C122,""en"",""ur"")"),"A)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f>
        <v>A) گھوڑے کی آنکھوں کو دھول سے بچانے کے لئے، B) گھوڑے کے نقطہ نظر کو محدود کرنے اور اسے آگے کی پٹری پر مرکوز رکھنے کے لئے، C) یہ ایک آرائشی عنصر ہیں، D) یہ گھوڑے کو رات کو بہتر طور پر دیکھنے میں مدد کرتے ہیں۔</v>
      </c>
      <c r="M122" s="6" t="str">
        <f>IFERROR(__xludf.DUMMYFUNCTION("GOOGLETRANSLATE(D122,""en"",""ur"")"),"ب) گھوڑے کے بصارت کے میدان کو محدود کرنا اور اسے آگے کی پٹری پر مرکوز رکھنا")</f>
        <v>ب) گھوڑے کے بصارت کے میدان کو محدود کرنا اور اسے آگے کی پٹری پر مرکوز رکھنا</v>
      </c>
      <c r="N122" s="6" t="str">
        <f>IFERROR(__xludf.DUMMYFUNCTION("GOOGLETRANSLATE(E122,""en"",""ur"")"),"بلنکرز ٹیک کا ایک ٹکڑا ہے جو گھوڑے کو اس کی طرف یا پیچھے کی طرف حرکت سے مشغول ہونے سے روکتا ہے، اس بات کو یقینی بناتا ہے کہ یہ سیدھا چلتا ہے۔")</f>
        <v>بلنکرز ٹیک کا ایک ٹکڑا ہے جو گھوڑے کو اس کی طرف یا پیچھے کی طرف حرکت سے مشغول ہونے سے روکتا ہے، اس بات کو یقینی بناتا ہے کہ یہ سیدھا چلتا ہے۔</v>
      </c>
    </row>
    <row r="123">
      <c r="A123" s="4">
        <v>122.0</v>
      </c>
      <c r="B123" s="5" t="s">
        <v>2839</v>
      </c>
      <c r="C123" s="5" t="s">
        <v>2840</v>
      </c>
      <c r="D123" s="5" t="s">
        <v>2841</v>
      </c>
      <c r="E123" s="5" t="s">
        <v>3209</v>
      </c>
      <c r="K123" s="6" t="str">
        <f>IFERROR(__xludf.DUMMYFUNCTION("GOOGLETRANSLATE(B123,""en"",""ur"")"),"اگر کوئی سوار کھونٹی کو مار کر اسے اٹھا لے لیکن کھونٹی کو نیزے پر ایک طرف لٹکا دیا جائے تو جج کا کیا حکم ہے؟")</f>
        <v>اگر کوئی سوار کھونٹی کو مار کر اسے اٹھا لے لیکن کھونٹی کو نیزے پر ایک طرف لٹکا دیا جائے تو جج کا کیا حکم ہے؟</v>
      </c>
      <c r="L123" s="6" t="str">
        <f>IFERROR(__xludf.DUMMYFUNCTION("GOOGLETRANSLATE(C123,""en"",""ur"")"),"A) ایک مکمل پیگ دیا جاتا ہے، B) ایک ڈراون پیگ دیا جاتا ہے، C) کوئی پوائنٹ نہیں دیا جاتا ہے، D) رن دوبارہ چلایا جاتا ہے")</f>
        <v>A) ایک مکمل پیگ دیا جاتا ہے، B) ایک ڈراون پیگ دیا جاتا ہے، C) کوئی پوائنٹ نہیں دیا جاتا ہے، D) رن دوبارہ چلایا جاتا ہے</v>
      </c>
      <c r="M123" s="6" t="str">
        <f>IFERROR(__xludf.DUMMYFUNCTION("GOOGLETRANSLATE(D123,""en"",""ur"")"),"A) ایک مکمل پیگ دیا جاتا ہے۔")</f>
        <v>A) ایک مکمل پیگ دیا جاتا ہے۔</v>
      </c>
      <c r="N123" s="6" t="str">
        <f>IFERROR(__xludf.DUMMYFUNCTION("GOOGLETRANSLATE(E123,""en"",""ur"")"),"جس انداز میں کھونٹی کو لانس کے ساتھ جوڑا گیا ہے اس سے کوئی فرق نہیں پڑتا ہے۔ جب تک اسے اٹھا کر لائن کے پار لے جایا جاتا ہے، یہ ایک مکمل اسکور ہے۔")</f>
        <v>جس انداز میں کھونٹی کو لانس کے ساتھ جوڑا گیا ہے اس سے کوئی فرق نہیں پڑتا ہے۔ جب تک اسے اٹھا کر لائن کے پار لے جایا جاتا ہے، یہ ایک مکمل اسکور ہے۔</v>
      </c>
    </row>
    <row r="124">
      <c r="A124" s="4">
        <v>123.0</v>
      </c>
      <c r="B124" s="5" t="s">
        <v>3210</v>
      </c>
      <c r="C124" s="5" t="s">
        <v>3211</v>
      </c>
      <c r="D124" s="5" t="s">
        <v>3212</v>
      </c>
      <c r="E124" s="5" t="s">
        <v>3213</v>
      </c>
      <c r="K124" s="6" t="str">
        <f>IFERROR(__xludf.DUMMYFUNCTION("GOOGLETRANSLATE(B124,""en"",""ur"")"),"ٹائی بریکنگ راؤنڈ میں، اہلکار کس طرح مشکل میں اضافہ کر سکتے ہیں؟")</f>
        <v>ٹائی بریکنگ راؤنڈ میں، اہلکار کس طرح مشکل میں اضافہ کر سکتے ہیں؟</v>
      </c>
      <c r="L124" s="6" t="str">
        <f>IFERROR(__xludf.DUMMYFUNCTION("GOOGLETRANSLATE(C124,""en"",""ur"")"),"A) سواروں کو بھاری لانس استعمال کرنے پر مجبور کریں، B) ٹارگٹ پیگ کی چوڑائی کو کم کریں، C) سواروں کو تیز تر کریں، D) ٹریک کو لمبا کریں۔")</f>
        <v>A) سواروں کو بھاری لانس استعمال کرنے پر مجبور کریں، B) ٹارگٹ پیگ کی چوڑائی کو کم کریں، C) سواروں کو تیز تر کریں، D) ٹریک کو لمبا کریں۔</v>
      </c>
      <c r="M124" s="6" t="str">
        <f>IFERROR(__xludf.DUMMYFUNCTION("GOOGLETRANSLATE(D124,""en"",""ur"")"),"ب) ٹارگٹ پیگ کی چوڑائی کو کم کریں۔")</f>
        <v>ب) ٹارگٹ پیگ کی چوڑائی کو کم کریں۔</v>
      </c>
      <c r="N124" s="6" t="str">
        <f>IFERROR(__xludf.DUMMYFUNCTION("GOOGLETRANSLATE(E124,""en"",""ur"")"),"بہترین سواروں کو الگ کرنے کے لیے، ایک چھوٹا ہدف استعمال کر کے چیلنج کو بڑھایا جا سکتا ہے، جس سے درستگی کا امتحان اور بھی بڑا ہو سکتا ہے۔")</f>
        <v>بہترین سواروں کو الگ کرنے کے لیے، ایک چھوٹا ہدف استعمال کر کے چیلنج کو بڑھایا جا سکتا ہے، جس سے درستگی کا امتحان اور بھی بڑا ہو سکتا ہے۔</v>
      </c>
    </row>
    <row r="125">
      <c r="A125" s="4">
        <v>124.0</v>
      </c>
      <c r="B125" s="5" t="s">
        <v>3214</v>
      </c>
      <c r="C125" s="5" t="s">
        <v>2872</v>
      </c>
      <c r="D125" s="5" t="s">
        <v>2873</v>
      </c>
      <c r="E125" s="5" t="s">
        <v>3215</v>
      </c>
      <c r="K125" s="6" t="str">
        <f>IFERROR(__xludf.DUMMYFUNCTION("GOOGLETRANSLATE(B125,""en"",""ur"")"),"ایک سوار کو اپنے اڈے کے قریب لانس رکھنے کی بنیادی وجہ کیا ہے؟")</f>
        <v>ایک سوار کو اپنے اڈے کے قریب لانس رکھنے کی بنیادی وجہ کیا ہے؟</v>
      </c>
      <c r="L125" s="6" t="str">
        <f>IFERROR(__xludf.DUMMYFUNCTION("GOOGLETRANSLATE(C125,""en"",""ur"")"),"A) یہ ایک اصول ہے، B) یہ ہڑتال کے لیے زیادہ سے زیادہ رسائی اور فائدہ فراہم کرتا ہے، C) توازن رکھنا آسان ہے، D) یہ ہاتھ کی حفاظت کرتا ہے")</f>
        <v>A) یہ ایک اصول ہے، B) یہ ہڑتال کے لیے زیادہ سے زیادہ رسائی اور فائدہ فراہم کرتا ہے، C) توازن رکھنا آسان ہے، D) یہ ہاتھ کی حفاظت کرتا ہے</v>
      </c>
      <c r="M125" s="6" t="str">
        <f>IFERROR(__xludf.DUMMYFUNCTION("GOOGLETRANSLATE(D125,""en"",""ur"")"),"ب) یہ ہڑتال کے لیے زیادہ سے زیادہ رسائی اور فائدہ فراہم کرتا ہے۔")</f>
        <v>ب) یہ ہڑتال کے لیے زیادہ سے زیادہ رسائی اور فائدہ فراہم کرتا ہے۔</v>
      </c>
      <c r="N125" s="6" t="str">
        <f>IFERROR(__xludf.DUMMYFUNCTION("GOOGLETRANSLATE(E125,""en"",""ur"")"),"لانس کو اس کے سرے پر رکھنے سے بازو کی طویل ترین اور مستحکم توسیع کی اجازت ملتی ہے، جو درستگی کے لیے اہم ہے۔")</f>
        <v>لانس کو اس کے سرے پر رکھنے سے بازو کی طویل ترین اور مستحکم توسیع کی اجازت ملتی ہے، جو درستگی کے لیے اہم ہے۔</v>
      </c>
    </row>
    <row r="126">
      <c r="A126" s="4">
        <v>125.0</v>
      </c>
      <c r="B126" s="5" t="s">
        <v>2875</v>
      </c>
      <c r="C126" s="5" t="s">
        <v>2876</v>
      </c>
      <c r="D126" s="5" t="s">
        <v>2877</v>
      </c>
      <c r="E126" s="5" t="s">
        <v>3216</v>
      </c>
      <c r="K126" s="6" t="str">
        <f>IFERROR(__xludf.DUMMYFUNCTION("GOOGLETRANSLATE(B126,""en"",""ur"")"),"ایسے سوار کے لیے کیا جرمانہ ہے جس کے پاس غیر قانونی طور پر تیز لانس کی ٹپ پائی جاتی ہے؟")</f>
        <v>ایسے سوار کے لیے کیا جرمانہ ہے جس کے پاس غیر قانونی طور پر تیز لانس کی ٹپ پائی جاتی ہے؟</v>
      </c>
      <c r="L126" s="6" t="str">
        <f>IFERROR(__xludf.DUMMYFUNCTION("GOOGLETRANSLATE(C126,""en"",""ur"")"),"A)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f>
        <v>A) انہیں مقابلہ کرنے سے پہلے اسے ختم کرنا ہوگا، B) انہیں فوری طور پر مقابلے سے نااہل قرار دے دیا جاتا ہے، C) انہیں ایک پوائنٹ کی سزا دی جاتی ہے، D) وارننگ جاری کی جاتی ہے۔</v>
      </c>
      <c r="M126" s="6" t="str">
        <f>IFERROR(__xludf.DUMMYFUNCTION("GOOGLETRANSLATE(D126,""en"",""ur"")"),"ب) انہیں مقابلے سے فوری طور پر نااہل قرار دے دیا جاتا ہے۔")</f>
        <v>ب) انہیں مقابلے سے فوری طور پر نااہل قرار دے دیا جاتا ہے۔</v>
      </c>
      <c r="N126" s="6" t="str">
        <f>IFERROR(__xludf.DUMMYFUNCTION("GOOGLETRANSLATE(E126,""en"",""ur"")"),"تیز لانس ایک بڑی حفاظتی خلاف ورزی ہے جو گھوڑے کو شدید چوٹ پہنچا سکتی ہے اگر سوار چھوٹ جائے، اور یہ سختی سے منع ہے۔")</f>
        <v>تیز لانس ایک بڑی حفاظتی خلاف ورزی ہے جو گھوڑے کو شدید چوٹ پہنچا سکتی ہے اگر سوار چھوٹ جائے، اور یہ سختی سے منع ہے۔</v>
      </c>
    </row>
    <row r="127">
      <c r="A127" s="4">
        <v>126.0</v>
      </c>
      <c r="B127" s="5" t="s">
        <v>3217</v>
      </c>
      <c r="C127" s="5" t="s">
        <v>3218</v>
      </c>
      <c r="D127" s="5" t="s">
        <v>3219</v>
      </c>
      <c r="E127" s="5" t="s">
        <v>2767</v>
      </c>
      <c r="K127" s="6" t="str">
        <f>IFERROR(__xludf.DUMMYFUNCTION("GOOGLETRANSLATE(B127,""en"",""ur"")"),"سوار کا گھوڑا 5 سیکنڈ میں دوڑ مکمل کرتا ہے (100 میٹر کے کورس پر) اور مکمل پیگ حاصل کرتا ہے۔ کیا یہ درست سکور ہے؟")</f>
        <v>سوار کا گھوڑا 5 سیکنڈ میں دوڑ مکمل کرتا ہے (100 میٹر کے کورس پر) اور مکمل پیگ حاصل کرتا ہے۔ کیا یہ درست سکور ہے؟</v>
      </c>
      <c r="L127" s="6" t="str">
        <f>IFERROR(__xludf.DUMMYFUNCTION("GOOGLETRANSLATE(C127,""en"",""ur"")"),"A) ہاں، اور انہیں رفتار کے لیے بونس مل سکتا ہے، B) نہیں، رن کا اندازہ لگانے کے لیے بہت تیز تھا، C) ہاں، کیونکہ یہ زیادہ سے زیادہ وقت کی حد کے تحت ہے، D) نہیں، ایک کم از کم وقت کی حد بھی ہے۔")</f>
        <v>A) ہاں، اور انہیں رفتار کے لیے بونس مل سکتا ہے، B) نہیں، رن کا اندازہ لگانے کے لیے بہت تیز تھا، C) ہاں، کیونکہ یہ زیادہ سے زیادہ وقت کی حد کے تحت ہے، D) نہیں، ایک کم از کم وقت کی حد بھی ہے۔</v>
      </c>
      <c r="M127" s="6" t="str">
        <f>IFERROR(__xludf.DUMMYFUNCTION("GOOGLETRANSLATE(D127,""en"",""ur"")"),"ج) جی ہاں، جیسا کہ یہ زیادہ سے زیادہ وقت کی حد کے تحت ہے۔")</f>
        <v>ج) جی ہاں، جیسا کہ یہ زیادہ سے زیادہ وقت کی حد کے تحت ہے۔</v>
      </c>
      <c r="N127" s="6" t="str">
        <f>IFERROR(__xludf.DUMMYFUNCTION("GOOGLETRANSLATE(E127,""en"",""ur"")"),"زیادہ سے زیادہ وقت کی حد ہے، لیکن کوئی کم از کم نہیں۔ تیز دوڑنا ایک ہنر مند سوار اور تیز گھوڑے کی علامت ہے، اور اسکور درست ہے۔")</f>
        <v>زیادہ سے زیادہ وقت کی حد ہے، لیکن کوئی کم از کم نہیں۔ تیز دوڑنا ایک ہنر مند سوار اور تیز گھوڑے کی علامت ہے، اور اسکور درست ہے۔</v>
      </c>
    </row>
    <row r="128">
      <c r="A128" s="4">
        <v>127.0</v>
      </c>
      <c r="B128" s="5" t="s">
        <v>2780</v>
      </c>
      <c r="C128" s="5" t="s">
        <v>2781</v>
      </c>
      <c r="D128" s="5" t="s">
        <v>2782</v>
      </c>
      <c r="E128" s="5" t="s">
        <v>2783</v>
      </c>
      <c r="K128" s="6" t="str">
        <f>IFERROR(__xludf.DUMMYFUNCTION("GOOGLETRANSLATE(B128,""en"",""ur"")"),"""لانس"" اور ""تلوار"" رن کے درمیان بنیادی فرق کیا ہے؟")</f>
        <v>"لانس" اور "تلوار" رن کے درمیان بنیادی فرق کیا ہے؟</v>
      </c>
      <c r="L128" s="6" t="str">
        <f>IFERROR(__xludf.DUMMYFUNCTION("GOOGLETRANSLATE(C128,""en"",""ur"")"),"A)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f>
        <v>A) لانس چھیدنے والی حرکت کا استعمال کرتا ہے، جبکہ تلوار کاٹنے کی حرکت کا استعمال کرتی ہے، B) تلوار کی دوڑ سست ہوتی ہے، C) لانس زیادہ محفوظ ہوتی ہے، D) کوئی فرق نہیں ہوتا ہے۔</v>
      </c>
      <c r="M128" s="6" t="str">
        <f>IFERROR(__xludf.DUMMYFUNCTION("GOOGLETRANSLATE(D128,""en"",""ur"")"),"ا) لانس چھیدنے والی حرکت کا استعمال کرتا ہے، جبکہ تلوار کاٹنے کی حرکت کا استعمال کرتی ہے۔")</f>
        <v>ا) لانس چھیدنے والی حرکت کا استعمال کرتا ہے، جبکہ تلوار کاٹنے کی حرکت کا استعمال کرتی ہے۔</v>
      </c>
      <c r="N128" s="6" t="str">
        <f>IFERROR(__xludf.DUMMYFUNCTION("GOOGLETRANSLATE(E128,""en"",""ur"")"),"یہ مضامین دو مختلف تاریخی گھڑسوار کی مہارتوں کی جانچ کرتے ہیں: لانس کا زور اور سبری کا ٹکڑا۔")</f>
        <v>یہ مضامین دو مختلف تاریخی گھڑسوار کی مہارتوں کی جانچ کرتے ہیں: لانس کا زور اور سبری کا ٹکڑا۔</v>
      </c>
    </row>
    <row r="129">
      <c r="A129" s="4">
        <v>128.0</v>
      </c>
      <c r="B129" s="5" t="s">
        <v>3220</v>
      </c>
      <c r="C129" s="5" t="s">
        <v>3221</v>
      </c>
      <c r="D129" s="5" t="s">
        <v>3222</v>
      </c>
      <c r="E129" s="5" t="s">
        <v>3223</v>
      </c>
      <c r="K129" s="6" t="str">
        <f>IFERROR(__xludf.DUMMYFUNCTION("GOOGLETRANSLATE(B129,""en"",""ur"")"),"ٹریک کی زمینی سطح کی سب سے اہم خصوصیت کیا ہے؟")</f>
        <v>ٹریک کی زمینی سطح کی سب سے اہم خصوصیت کیا ہے؟</v>
      </c>
      <c r="L129" s="6" t="str">
        <f>IFERROR(__xludf.DUMMYFUNCTION("GOOGLETRANSLATE(C129,""en"",""ur"")"),"A) یہ گھاس ہونی چاہیے، B) یہ نرم ریت ہونی چاہیے، C) یہ سطحی، مضبوط اور رکاوٹوں سے پاک ہونی چاہیے، D) اسے قدرے ڈھلوان ہونا چاہیے۔")</f>
        <v>A) یہ گھاس ہونی چاہیے، B) یہ نرم ریت ہونی چاہیے، C) یہ سطحی، مضبوط اور رکاوٹوں سے پاک ہونی چاہیے، D) اسے قدرے ڈھلوان ہونا چاہیے۔</v>
      </c>
      <c r="M129" s="6" t="str">
        <f>IFERROR(__xludf.DUMMYFUNCTION("GOOGLETRANSLATE(D129,""en"",""ur"")"),"ج) یہ سطح، مضبوط اور رکاوٹوں سے پاک ہونا چاہیے۔")</f>
        <v>ج) یہ سطح، مضبوط اور رکاوٹوں سے پاک ہونا چاہیے۔</v>
      </c>
      <c r="N129" s="6" t="str">
        <f>IFERROR(__xludf.DUMMYFUNCTION("GOOGLETRANSLATE(E129,""en"",""ur"")"),"تمام شرکاء کی حفاظت کو یقینی بناتے ہوئے گھوڑوں کو ٹھوکریں کھانے سے روکنے کے لیے ایک محفوظ اور منصفانہ ٹریک مستقل اور پیش قیاسی ہونا چاہیے۔")</f>
        <v>تمام شرکاء کی حفاظت کو یقینی بناتے ہوئے گھوڑوں کو ٹھوکریں کھانے سے روکنے کے لیے ایک محفوظ اور منصفانہ ٹریک مستقل اور پیش قیاسی ہونا چاہیے۔</v>
      </c>
    </row>
    <row r="130">
      <c r="A130" s="4">
        <v>129.0</v>
      </c>
      <c r="B130" s="5" t="s">
        <v>3224</v>
      </c>
      <c r="C130" s="5" t="s">
        <v>3225</v>
      </c>
      <c r="D130" s="5" t="s">
        <v>3226</v>
      </c>
      <c r="E130" s="5" t="s">
        <v>3227</v>
      </c>
      <c r="K130" s="6" t="str">
        <f>IFERROR(__xludf.DUMMYFUNCTION("GOOGLETRANSLATE(B130,""en"",""ur"")"),"""ہنر پر ہتھیار"" واقعہ کیا ہے؟")</f>
        <v>"ہنر پر ہتھیار" واقعہ کیا ہے؟</v>
      </c>
      <c r="L130" s="6" t="str">
        <f>IFERROR(__xludf.DUMMYFUNCTION("GOOGLETRANSLATE(C130,""en"",""ur"")"),"A) ایک واحد دوڑ جس میں متعدد مختلف ہتھیاروں اور اہداف کے استعمال کی ضرورت ہوتی ہے، B) رکاوٹوں پر چھلانگ لگانے کا ایک سلسلہ، C) ڈریسیج ٹیسٹ، D) گھوڑوں کی دوڑ")</f>
        <v>A) ایک واحد دوڑ جس میں متعدد مختلف ہتھیاروں اور اہداف کے استعمال کی ضرورت ہوتی ہے، B) رکاوٹوں پر چھلانگ لگانے کا ایک سلسلہ، C) ڈریسیج ٹیسٹ، D) گھوڑوں کی دوڑ</v>
      </c>
      <c r="M130" s="6" t="str">
        <f>IFERROR(__xludf.DUMMYFUNCTION("GOOGLETRANSLATE(D130,""en"",""ur"")"),"A) ایک واحد رن جس میں متعدد مختلف ہتھیاروں اور اہداف کے استعمال کی ضرورت ہوتی ہے۔")</f>
        <v>A) ایک واحد رن جس میں متعدد مختلف ہتھیاروں اور اہداف کے استعمال کی ضرورت ہوتی ہے۔</v>
      </c>
      <c r="N130" s="6" t="str">
        <f>IFERROR(__xludf.DUMMYFUNCTION("GOOGLETRANSLATE(E130,""en"",""ur"")"),"یہ ایک جامع واقعہ ہے جو سوار کی مختلف مہارتوں میں مہارت کی جانچ کرتا ہے، جیسے کہ ایک کھونٹی کو نیزہ مارنا اور ایک ہی دوڑ میں لیموں کاٹنا۔")</f>
        <v>یہ ایک جامع واقعہ ہے جو سوار کی مختلف مہارتوں میں مہارت کی جانچ کرتا ہے، جیسے کہ ایک کھونٹی کو نیزہ مارنا اور ایک ہی دوڑ میں لیموں کاٹنا۔</v>
      </c>
    </row>
    <row r="131">
      <c r="A131" s="4">
        <v>130.0</v>
      </c>
      <c r="B131" s="5" t="s">
        <v>3228</v>
      </c>
      <c r="C131" s="5" t="s">
        <v>3229</v>
      </c>
      <c r="D131" s="5" t="s">
        <v>3230</v>
      </c>
      <c r="E131" s="5" t="s">
        <v>2906</v>
      </c>
      <c r="K131" s="6" t="str">
        <f>IFERROR(__xludf.DUMMYFUNCTION("GOOGLETRANSLATE(B131,""en"",""ur"")"),"ایک سوار کو ایڑی والے جوتے پہننے کی بنیادی وجہ کیا ہے؟")</f>
        <v>ایک سوار کو ایڑی والے جوتے پہننے کی بنیادی وجہ کیا ہے؟</v>
      </c>
      <c r="L131" s="6" t="str">
        <f>IFERROR(__xludf.DUMMYFUNCTION("GOOGLETRANSLATE(C131,""en"",""ur"")"),"A) یہ ایک روایت ہے، B) وہ رکاب میں بہتر گرفت فراہم کرتے ہیں، C) ایڑی پاؤں کو رکاب میں پھسلنے سے روکتی ہے، جو کہ ایک بڑا حفاظتی خطرہ ہے، D) وہ زیادہ پیشہ ور نظر آتے ہیں۔")</f>
        <v>A) یہ ایک روایت ہے، B) وہ رکاب میں بہتر گرفت فراہم کرتے ہیں، C) ایڑی پاؤں کو رکاب میں پھسلنے سے روکتی ہے، جو کہ ایک بڑا حفاظتی خطرہ ہے، D) وہ زیادہ پیشہ ور نظر آتے ہیں۔</v>
      </c>
      <c r="M131" s="6" t="str">
        <f>IFERROR(__xludf.DUMMYFUNCTION("GOOGLETRANSLATE(D131,""en"",""ur"")"),"ج) ایڑی پاؤں کو رکاب کے ذریعے پھسلنے سے روکتی ہے، جو کہ ایک بڑا حفاظتی خطرہ ہے۔")</f>
        <v>ج) ایڑی پاؤں کو رکاب کے ذریعے پھسلنے سے روکتی ہے، جو کہ ایک بڑا حفاظتی خطرہ ہے۔</v>
      </c>
      <c r="N131" s="6" t="str">
        <f>IFERROR(__xludf.DUMMYFUNCTION("GOOGLETRANSLATE(E131,""en"",""ur"")"),"ایڑی والا بوٹ گھڑ سواری کے حفاظتی سامان کا ایک بنیادی ٹکڑا ہے جو سوار کو گرنے میں گھسیٹنے سے روک سکتا ہے۔")</f>
        <v>ایڑی والا بوٹ گھڑ سواری کے حفاظتی سامان کا ایک بنیادی ٹکڑا ہے جو سوار کو گرنے میں گھسیٹنے سے روک سکتا ہے۔</v>
      </c>
    </row>
    <row r="132">
      <c r="A132" s="4">
        <v>131.0</v>
      </c>
      <c r="B132" s="5" t="s">
        <v>3231</v>
      </c>
      <c r="C132" s="5" t="s">
        <v>3232</v>
      </c>
      <c r="D132" s="5" t="s">
        <v>2909</v>
      </c>
      <c r="E132" s="5" t="s">
        <v>2910</v>
      </c>
      <c r="K132" s="6" t="str">
        <f>IFERROR(__xludf.DUMMYFUNCTION("GOOGLETRANSLATE(B132,""en"",""ur"")"),"سوار کا گھوڑا لنگڑا ہوتا ہے، اس لیے وہ اپنے ساتھی کے گھوڑے کو استعمال کرنے کی کوشش کرتے ہیں۔ کیا اس کی اجازت ہے؟")</f>
        <v>سوار کا گھوڑا لنگڑا ہوتا ہے، اس لیے وہ اپنے ساتھی کے گھوڑے کو استعمال کرنے کی کوشش کرتے ہیں۔ کیا اس کی اجازت ہے؟</v>
      </c>
      <c r="L132" s="6" t="str">
        <f>IFERROR(__xludf.DUMMYFUNCTION("GOOGLETRANSLATE(C132,""en"",""ur"")"),"A) ہاں، اگر ٹیم کا ساتھی راضی ہو، B) نہیں، سوار کو اپنے رجسٹرڈ گھوڑے پر مقابلہ کرنا چاہیے، C) صرف پریکٹس راؤنڈز میں، D) صرف اس صورت میں جب گھوڑے ایک ہی رنگ کے ہوں۔")</f>
        <v>A) ہاں، اگر ٹیم کا ساتھی راضی ہو، B) نہیں، سوار کو اپنے رجسٹرڈ گھوڑے پر مقابلہ کرنا چاہیے، C) صرف پریکٹس راؤنڈز میں، D) صرف اس صورت میں جب گھوڑے ایک ہی رنگ کے ہوں۔</v>
      </c>
      <c r="M132" s="6" t="str">
        <f>IFERROR(__xludf.DUMMYFUNCTION("GOOGLETRANSLATE(D132,""en"",""ur"")"),"ب) نہیں، سوار کو اپنے رجسٹرڈ گھوڑے پر مقابلہ کرنا چاہیے۔")</f>
        <v>ب) نہیں، سوار کو اپنے رجسٹرڈ گھوڑے پر مقابلہ کرنا چاہیے۔</v>
      </c>
      <c r="N132" s="6" t="str">
        <f>IFERROR(__xludf.DUMMYFUNCTION("GOOGLETRANSLATE(E132,""en"",""ur"")"),"سرکاری مقابلوں میں ایک سوار اور ان کا گھوڑا رجسٹرڈ جوڑا ہوتا ہے۔ ایک سوار صرف ایک مختلف گھوڑے پر نہیں جا سکتا۔")</f>
        <v>سرکاری مقابلوں میں ایک سوار اور ان کا گھوڑا رجسٹرڈ جوڑا ہوتا ہے۔ ایک سوار صرف ایک مختلف گھوڑے پر نہیں جا سکتا۔</v>
      </c>
    </row>
    <row r="133">
      <c r="A133" s="4">
        <v>132.0</v>
      </c>
      <c r="B133" s="5" t="s">
        <v>2923</v>
      </c>
      <c r="C133" s="5" t="s">
        <v>2924</v>
      </c>
      <c r="D133" s="5" t="s">
        <v>2925</v>
      </c>
      <c r="E133" s="5" t="s">
        <v>2926</v>
      </c>
      <c r="K133" s="6" t="str">
        <f>IFERROR(__xludf.DUMMYFUNCTION("GOOGLETRANSLATE(B133,""en"",""ur"")"),"""کلین رن"" کیا ہے؟")</f>
        <v>"کلین رن" کیا ہے؟</v>
      </c>
      <c r="L133" s="6" t="str">
        <f>IFERROR(__xludf.DUMMYFUNCTION("GOOGLETRANSLATE(C133,""en"",""ur"")"),"A) ایک رن جہاں سوار مکمل پیگ اسکور کرتا ہے، B) ایک رن جو بغیر کسی جرمانے یا فاول کے مکمل کی جاتی ہے، C) وہ دوڑ جہاں سوار کی وردی صاف رہتی ہے، D) ایک رن جو بہت تیز ہو")</f>
        <v>A) ایک رن جہاں سوار مکمل پیگ اسکور کرتا ہے، B) ایک رن جو بغیر کسی جرمانے یا فاول کے مکمل کی جاتی ہے، C) وہ دوڑ جہاں سوار کی وردی صاف رہتی ہے، D) ایک رن جو بہت تیز ہو</v>
      </c>
      <c r="M133" s="6" t="str">
        <f>IFERROR(__xludf.DUMMYFUNCTION("GOOGLETRANSLATE(D133,""en"",""ur"")"),"ب) ایک رن جو بغیر کسی جرمانے یا فاؤل کے مکمل ہوتا ہے۔")</f>
        <v>ب) ایک رن جو بغیر کسی جرمانے یا فاؤل کے مکمل ہوتا ہے۔</v>
      </c>
      <c r="N133" s="6" t="str">
        <f>IFERROR(__xludf.DUMMYFUNCTION("GOOGLETRANSLATE(E133,""en"",""ur"")"),"""کلین رن"" وہ ہوتا ہے جہاں سوار کوئی غلطی نہیں کرتا، جیسے غلط آغاز، وقت کی غلطی، یا اپنا ہتھیار گرانا۔")</f>
        <v>"کلین رن" وہ ہوتا ہے جہاں سوار کوئی غلطی نہیں کرتا، جیسے غلط آغاز، وقت کی غلطی، یا اپنا ہتھیار گرانا۔</v>
      </c>
    </row>
    <row r="134">
      <c r="A134" s="4">
        <v>133.0</v>
      </c>
      <c r="B134" s="5" t="s">
        <v>2927</v>
      </c>
      <c r="C134" s="5" t="s">
        <v>3233</v>
      </c>
      <c r="D134" s="5" t="s">
        <v>3195</v>
      </c>
      <c r="E134" s="5" t="s">
        <v>3234</v>
      </c>
      <c r="K134" s="6" t="str">
        <f>IFERROR(__xludf.DUMMYFUNCTION("GOOGLETRANSLATE(B134,""en"",""ur"")"),"لینس کی نوک دھات کی کیوں ہونی چاہیے؟")</f>
        <v>لینس کی نوک دھات کی کیوں ہونی چاہیے؟</v>
      </c>
      <c r="L134" s="6" t="str">
        <f>IFERROR(__xludf.DUMMYFUNCTION("GOOGLETRANSLATE(C134,""en"",""ur"")"),"A) یہ بہتر لگ رہا ہے، B) لکڑی کے کھونٹے کو مؤثر طریقے سے گھسنے اور اٹھانے کے لیے اس کی ضرورت ہے، C) یہ لانس میں وزن بڑھاتا ہے، D) یہ ایک روایتی ضرورت ہے۔")</f>
        <v>A) یہ بہتر لگ رہا ہے، B) لکڑی کے کھونٹے کو مؤثر طریقے سے گھسنے اور اٹھانے کے لیے اس کی ضرورت ہے، C) یہ لانس میں وزن بڑھاتا ہے، D) یہ ایک روایتی ضرورت ہے۔</v>
      </c>
      <c r="M134" s="6" t="str">
        <f>IFERROR(__xludf.DUMMYFUNCTION("GOOGLETRANSLATE(D134,""en"",""ur"")"),"ب) لکڑی کے کھونٹے کو مؤثر طریقے سے گھسنے اور اٹھانے کے لیے اس کی ضرورت ہے۔")</f>
        <v>ب) لکڑی کے کھونٹے کو مؤثر طریقے سے گھسنے اور اٹھانے کے لیے اس کی ضرورت ہے۔</v>
      </c>
      <c r="N134" s="6" t="str">
        <f>IFERROR(__xludf.DUMMYFUNCTION("GOOGLETRANSLATE(E134,""en"",""ur"")"),"لانس کے لیے دھات کی نوک ضروری ہے کہ وہ ہتھیار خود کو ٹوٹے بغیر ہدف کو زمین سے چھیدنے اور اٹھانے کے قابل ہو۔")</f>
        <v>لانس کے لیے دھات کی نوک ضروری ہے کہ وہ ہتھیار خود کو ٹوٹے بغیر ہدف کو زمین سے چھیدنے اور اٹھانے کے قابل ہو۔</v>
      </c>
    </row>
    <row r="135">
      <c r="A135" s="4">
        <v>134.0</v>
      </c>
      <c r="B135" s="5" t="s">
        <v>3235</v>
      </c>
      <c r="C135" s="5" t="s">
        <v>3236</v>
      </c>
      <c r="D135" s="5" t="s">
        <v>3237</v>
      </c>
      <c r="E135" s="5" t="s">
        <v>3238</v>
      </c>
      <c r="K135" s="6" t="str">
        <f>IFERROR(__xludf.DUMMYFUNCTION("GOOGLETRANSLATE(B135,""en"",""ur"")"),"ٹیم ایونٹ میں غیر میچ یونیفارم کے ساتھ ٹیم کے لئے کیا جرمانہ ہے؟")</f>
        <v>ٹیم ایونٹ میں غیر میچ یونیفارم کے ساتھ ٹیم کے لئے کیا جرمانہ ہے؟</v>
      </c>
      <c r="L135" s="6" t="str">
        <f>IFERROR(__xludf.DUMMYFUNCTION("GOOGLETRANSLATE(C135,""en"",""ur"")"),"A) ایک پوائنٹ کی کٹوتی، B) نااہلی، C) انہیں شروع کرنے کی اجازت نہیں ہے، D) ایک انتباہ جاری کیا جاتا ہے")</f>
        <v>A) ایک پوائنٹ کی کٹوتی، B) نااہلی، C) انہیں شروع کرنے کی اجازت نہیں ہے، D) ایک انتباہ جاری کیا جاتا ہے</v>
      </c>
      <c r="M135" s="6" t="str">
        <f>IFERROR(__xludf.DUMMYFUNCTION("GOOGLETRANSLATE(D135,""en"",""ur"")"),"ج) انہیں شروع کرنے کی اجازت نہیں ہے۔")</f>
        <v>ج) انہیں شروع کرنے کی اجازت نہیں ہے۔</v>
      </c>
      <c r="N135" s="6" t="str">
        <f>IFERROR(__xludf.DUMMYFUNCTION("GOOGLETRANSLATE(E135,""en"",""ur"")"),"ٹیم ایونٹس میں، رائیڈرز کو مقابلہ کرنے سے پہلے پیشہ ورانہ اور منظم شکل کے لیے مماثل لباس اور ٹیک رکھنے کی ضرورت ہوتی ہے۔")</f>
        <v>ٹیم ایونٹس میں، رائیڈرز کو مقابلہ کرنے سے پہلے پیشہ ورانہ اور منظم شکل کے لیے مماثل لباس اور ٹیک رکھنے کی ضرورت ہوتی ہے۔</v>
      </c>
    </row>
    <row r="136">
      <c r="A136" s="4">
        <v>135.0</v>
      </c>
      <c r="B136" s="5" t="s">
        <v>3239</v>
      </c>
      <c r="C136" s="5" t="s">
        <v>3240</v>
      </c>
      <c r="D136" s="5" t="s">
        <v>2937</v>
      </c>
      <c r="E136" s="5" t="s">
        <v>3198</v>
      </c>
      <c r="K136" s="6" t="str">
        <f>IFERROR(__xludf.DUMMYFUNCTION("GOOGLETRANSLATE(B136,""en"",""ur"")"),"جدید مقابلوں میں ""سلو موشن"" ری پلے کیمروں کا بنیادی مقصد کیا ہے؟")</f>
        <v>جدید مقابلوں میں "سلو موشن" ری پلے کیمروں کا بنیادی مقصد کیا ہے؟</v>
      </c>
      <c r="L136" s="6" t="str">
        <f>IFERROR(__xludf.DUMMYFUNCTION("GOOGLETRANSLATE(C136,""en"",""ur"")"),"A) پروگرام کو ٹیلی ویژن پر ڈرامائی شکل دینے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f>
        <v>A) پروگرام کو ٹیلی ویژن پر ڈرامائی شکل دینے کے لیے، B) قریبی کالوں اور احتجاج پر درست فیصلے کرنے میں ججوں کی مدد کرنے کے لیے، C) کوچز کو اپنے سواروں کو تربیت دینے میں مدد کرنے کے لیے، D) رنز کے درمیان ہجوم کو تفریح ​​فراہم کرنے کے لیے</v>
      </c>
      <c r="M136" s="6" t="str">
        <f>IFERROR(__xludf.DUMMYFUNCTION("GOOGLETRANSLATE(D136,""en"",""ur"")"),"ب) قریبی کالوں اور احتجاج پر درست فیصلے کرنے میں ججوں کی مدد کرنا")</f>
        <v>ب) قریبی کالوں اور احتجاج پر درست فیصلے کرنے میں ججوں کی مدد کرنا</v>
      </c>
      <c r="N136" s="6" t="str">
        <f>IFERROR(__xludf.DUMMYFUNCTION("GOOGLETRANSLATE(E136,""en"",""ur"")"),"سلو موشن ری پلے اس بات کا جائزہ لینے کے لیے ایک اہم آلہ کار ہے کہ آیا کوئی کھونٹا کھینچا گیا تھا، لائن کراس کی گئی تھی یا کوئی غلط کام کیا گیا تھا۔")</f>
        <v>سلو موشن ری پلے اس بات کا جائزہ لینے کے لیے ایک اہم آلہ کار ہے کہ آیا کوئی کھونٹا کھینچا گیا تھا، لائن کراس کی گئی تھی یا کوئی غلط کام کیا گیا تھا۔</v>
      </c>
    </row>
    <row r="137">
      <c r="A137" s="4">
        <v>136.0</v>
      </c>
      <c r="B137" s="5" t="s">
        <v>2939</v>
      </c>
      <c r="C137" s="5" t="s">
        <v>3241</v>
      </c>
      <c r="D137" s="5" t="s">
        <v>3242</v>
      </c>
      <c r="E137" s="5" t="s">
        <v>2942</v>
      </c>
      <c r="K137" s="6" t="str">
        <f>IFERROR(__xludf.DUMMYFUNCTION("GOOGLETRANSLATE(B137,""en"",""ur"")"),"ایک سوار ""نرم ہاتھ"" رکھنے کے لیے جانا جاتا ہے۔ اس گھڑ سواری کی اصطلاح کا کیا مطلب ہے؟")</f>
        <v>ایک سوار "نرم ہاتھ" رکھنے کے لیے جانا جاتا ہے۔ اس گھڑ سواری کی اصطلاح کا کیا مطلب ہے؟</v>
      </c>
      <c r="L137" s="6" t="str">
        <f>IFERROR(__xludf.DUMMYFUNCTION("GOOGLETRANSLATE(C137,""en"",""ur"")"),"A) ان کے ہاتھ کمزور ہیں، B) وہ بہت ہلکے اور نرم لگام کے اشاروں سے گھوڑے کی رہنمائی کرتے ہیں، C) وہ نرم دستانے پہنتے ہیں، D) وہ ابتدائی ہیں۔")</f>
        <v>A) ان کے ہاتھ کمزور ہیں، B) وہ بہت ہلکے اور نرم لگام کے اشاروں سے گھوڑے کی رہنمائی کرتے ہیں، C) وہ نرم دستانے پہنتے ہیں، D) وہ ابتدائی ہیں۔</v>
      </c>
      <c r="M137" s="6" t="str">
        <f>IFERROR(__xludf.DUMMYFUNCTION("GOOGLETRANSLATE(D137,""en"",""ur"")"),"ب) وہ بہت ہلکے اور نرم لگام کے اشاروں سے گھوڑے کی رہنمائی کرتے ہیں۔")</f>
        <v>ب) وہ بہت ہلکے اور نرم لگام کے اشاروں سے گھوڑے کی رہنمائی کرتے ہیں۔</v>
      </c>
      <c r="N137" s="6" t="str">
        <f>IFERROR(__xludf.DUMMYFUNCTION("GOOGLETRANSLATE(E137,""en"",""ur"")"),"""نرم ہاتھ"" ایک ماہر گھڑ سوار کا نشان ہیں جو اپنے گھوڑے سے سخت کھینچنے کی بجائے لطیف اشاروں کے ذریعے بات چیت کر سکتے ہیں۔")</f>
        <v>"نرم ہاتھ" ایک ماہر گھڑ سوار کا نشان ہیں جو اپنے گھوڑے سے سخت کھینچنے کی بجائے لطیف اشاروں کے ذریعے بات چیت کر سکتے ہیں۔</v>
      </c>
    </row>
    <row r="138">
      <c r="A138" s="4">
        <v>137.0</v>
      </c>
      <c r="B138" s="5" t="s">
        <v>3243</v>
      </c>
      <c r="C138" s="5" t="s">
        <v>2948</v>
      </c>
      <c r="D138" s="5" t="s">
        <v>2949</v>
      </c>
      <c r="E138" s="5" t="s">
        <v>2950</v>
      </c>
      <c r="K138" s="6" t="str">
        <f>IFERROR(__xludf.DUMMYFUNCTION("GOOGLETRANSLATE(B138,""en"",""ur"")"),"ایک سوار احتجاج کرتا ہے کہ سورج ان کی آنکھوں میں تھا۔ کیا حکم ہو گا؟")</f>
        <v>ایک سوار احتجاج کرتا ہے کہ سورج ان کی آنکھوں میں تھا۔ کیا حکم ہو گا؟</v>
      </c>
      <c r="L138" s="6" t="str">
        <f>IFERROR(__xludf.DUMMYFUNCTION("GOOGLETRANSLATE(C138,""en"",""ur"")"),"A)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f>
        <v>A) انہیں دوبارہ چلانے کی اجازت دی جائے گی، B) احتجاج کو مسترد کر دیا جائے گا کیونکہ ماحولیاتی حالات چیلنج کا حصہ ہیں، C) مقابلہ اس وقت تک روک دیا جائے گا جب تک کہ سورج نہیں نکلتا، D) انہیں جزوی پوائنٹس دیئے جائیں گے۔</v>
      </c>
      <c r="M138" s="6" t="str">
        <f>IFERROR(__xludf.DUMMYFUNCTION("GOOGLETRANSLATE(D138,""en"",""ur"")"),"ب) احتجاج کو مسترد کر دیا جائے گا کیونکہ ماحولیاتی حالات چیلنج کا حصہ ہیں۔")</f>
        <v>ب) احتجاج کو مسترد کر دیا جائے گا کیونکہ ماحولیاتی حالات چیلنج کا حصہ ہیں۔</v>
      </c>
      <c r="N138" s="6" t="str">
        <f>IFERROR(__xludf.DUMMYFUNCTION("GOOGLETRANSLATE(E138,""en"",""ur"")"),"تمام سوار ایک ہی قدرتی حالات میں مقابلہ کرتے ہیں، اور سورج کی چمک جیسے عوامل کو کھیل کا حصہ سمجھا جاتا ہے۔")</f>
        <v>تمام سوار ایک ہی قدرتی حالات میں مقابلہ کرتے ہیں، اور سورج کی چمک جیسے عوامل کو کھیل کا حصہ سمجھا جاتا ہے۔</v>
      </c>
    </row>
    <row r="139">
      <c r="A139" s="4">
        <v>138.0</v>
      </c>
      <c r="B139" s="5" t="s">
        <v>3244</v>
      </c>
      <c r="C139" s="5" t="s">
        <v>3245</v>
      </c>
      <c r="D139" s="5" t="s">
        <v>2913</v>
      </c>
      <c r="E139" s="5" t="s">
        <v>3203</v>
      </c>
      <c r="K139" s="6" t="str">
        <f>IFERROR(__xludf.DUMMYFUNCTION("GOOGLETRANSLATE(B139,""en"",""ur"")"),"ٹیم ایونٹ میں ""مکمل پاس"" کا کیا مطلب ہے؟")</f>
        <v>ٹیم ایونٹ میں "مکمل پاس" کا کیا مطلب ہے؟</v>
      </c>
      <c r="L139" s="6" t="str">
        <f>IFERROR(__xludf.DUMMYFUNCTION("GOOGLETRANSLATE(C139,""en"",""ur"")"),"A) ٹیم اگلے راؤنڈ میں پہنچ گئی ہے، B) سیکشن کے چاروں سواروں نے مکمل پیگ اسکور کیا ہے، C) چاروں سواروں نے پیگ چھوٹ دیا، D) ٹیم نے مقررہ وقت میں رن مکمل کیا۔")</f>
        <v>A) ٹیم اگلے راؤنڈ میں پہنچ گئی ہے، B) سیکشن کے چاروں سواروں نے مکمل پیگ اسکور کیا ہے، C) چاروں سواروں نے پیگ چھوٹ دیا، D) ٹیم نے مقررہ وقت میں رن مکمل کیا۔</v>
      </c>
      <c r="M139" s="6" t="str">
        <f>IFERROR(__xludf.DUMMYFUNCTION("GOOGLETRANSLATE(D139,""en"",""ur"")"),"ب) سیکشن کے چاروں سواروں نے مکمل پیگ اسکور کیا ہے۔")</f>
        <v>ب) سیکشن کے چاروں سواروں نے مکمل پیگ اسکور کیا ہے۔</v>
      </c>
      <c r="N139" s="6" t="str">
        <f>IFERROR(__xludf.DUMMYFUNCTION("GOOGLETRANSLATE(E139,""en"",""ur"")"),"ایک ""مکمل پاس"" ایک بہترین رن ہے جہاں ٹیم کا ہر رکن کامیابی کے ساتھ زیادہ سے زیادہ پوائنٹس اسکور کرتا ہے، اکثر بونس حاصل کرتا ہے۔")</f>
        <v>ایک "مکمل پاس" ایک بہترین رن ہے جہاں ٹیم کا ہر رکن کامیابی کے ساتھ زیادہ سے زیادہ پوائنٹس اسکور کرتا ہے، اکثر بونس حاصل کرتا ہے۔</v>
      </c>
    </row>
    <row r="140">
      <c r="A140" s="4">
        <v>139.0</v>
      </c>
      <c r="B140" s="5" t="s">
        <v>2923</v>
      </c>
      <c r="C140" s="5" t="s">
        <v>3246</v>
      </c>
      <c r="D140" s="5" t="s">
        <v>3247</v>
      </c>
      <c r="E140" s="5" t="s">
        <v>3248</v>
      </c>
      <c r="K140" s="6" t="str">
        <f>IFERROR(__xludf.DUMMYFUNCTION("GOOGLETRANSLATE(B140,""en"",""ur"")"),"""کلین رن"" کیا ہے؟")</f>
        <v>"کلین رن" کیا ہے؟</v>
      </c>
      <c r="L140" s="6" t="str">
        <f>IFERROR(__xludf.DUMMYFUNCTION("GOOGLETRANSLATE(C140,""en"",""ur"")"),"A) ایک رن جہاں سوار مکمل پیگ اسکور کرتا ہے، B) بغیر کسی جرمانے کے مکمل ہونے والی رن، C) وہ دوڑ جہاں وردی صاف رہتی ہے، D) بہت تیز دوڑ")</f>
        <v>A) ایک رن جہاں سوار مکمل پیگ اسکور کرتا ہے، B) بغیر کسی جرمانے کے مکمل ہونے والی رن، C) وہ دوڑ جہاں وردی صاف رہتی ہے، D) بہت تیز دوڑ</v>
      </c>
      <c r="M140" s="6" t="str">
        <f>IFERROR(__xludf.DUMMYFUNCTION("GOOGLETRANSLATE(D140,""en"",""ur"")"),"ب) ایک رن بغیر کسی جرمانے کے مکمل ہوا۔")</f>
        <v>ب) ایک رن بغیر کسی جرمانے کے مکمل ہوا۔</v>
      </c>
      <c r="N140" s="6" t="str">
        <f>IFERROR(__xludf.DUMMYFUNCTION("GOOGLETRANSLATE(E140,""en"",""ur"")"),"""کلین رن"" سے مراد ایسی کارکردگی ہے جو کسی بھی غلطی سے پاک ہو، جیسے غلط آغاز، وقت کی غلطی، یا ہتھیار کو گرانا۔")</f>
        <v>"کلین رن" سے مراد ایسی کارکردگی ہے جو کسی بھی غلطی سے پاک ہو، جیسے غلط آغاز، وقت کی غلطی، یا ہتھیار کو گرانا۔</v>
      </c>
    </row>
    <row r="141">
      <c r="A141" s="4">
        <v>140.0</v>
      </c>
      <c r="B141" s="5" t="s">
        <v>3249</v>
      </c>
      <c r="C141" s="5" t="s">
        <v>3250</v>
      </c>
      <c r="D141" s="5" t="s">
        <v>3251</v>
      </c>
      <c r="E141" s="5" t="s">
        <v>3252</v>
      </c>
      <c r="K141" s="6" t="str">
        <f>IFERROR(__xludf.DUMMYFUNCTION("GOOGLETRANSLATE(B141,""en"",""ur"")"),"لینس کی نوک دھاتی کیوں ہونی چاہیے؟")</f>
        <v>لینس کی نوک دھاتی کیوں ہونی چاہیے؟</v>
      </c>
      <c r="L141" s="6" t="str">
        <f>IFERROR(__xludf.DUMMYFUNCTION("GOOGLETRANSLATE(C141,""en"",""ur"")"),"A) یہ بہتر لگ رہا ہے، B) لکڑی کے کھونٹے میں گھسنا ضروری ہے، C) اس سے وزن بڑھتا ہے، D) یہ روایت ہے")</f>
        <v>A) یہ بہتر لگ رہا ہے، B) لکڑی کے کھونٹے میں گھسنا ضروری ہے، C) اس سے وزن بڑھتا ہے، D) یہ روایت ہے</v>
      </c>
      <c r="M141" s="6" t="str">
        <f>IFERROR(__xludf.DUMMYFUNCTION("GOOGLETRANSLATE(D141,""en"",""ur"")"),"ب) لکڑی کے کھونٹے میں گھسنا ضروری ہے۔")</f>
        <v>ب) لکڑی کے کھونٹے میں گھسنا ضروری ہے۔</v>
      </c>
      <c r="N141" s="6" t="str">
        <f>IFERROR(__xludf.DUMMYFUNCTION("GOOGLETRANSLATE(E141,""en"",""ur"")"),"لانس کے لیے دھات کی نوک ضروری ہے کہ وہ ہتھیار خود کو ٹوٹے بغیر ہدف کو زمین سے چھیدے۔")</f>
        <v>لانس کے لیے دھات کی نوک ضروری ہے کہ وہ ہتھیار خود کو ٹوٹے بغیر ہدف کو زمین سے چھیدے۔</v>
      </c>
    </row>
    <row r="142">
      <c r="A142" s="4">
        <v>141.0</v>
      </c>
      <c r="B142" s="5" t="s">
        <v>3253</v>
      </c>
      <c r="C142" s="5" t="s">
        <v>3236</v>
      </c>
      <c r="D142" s="5" t="s">
        <v>3237</v>
      </c>
      <c r="E142" s="5" t="s">
        <v>3254</v>
      </c>
      <c r="K142" s="6" t="str">
        <f>IFERROR(__xludf.DUMMYFUNCTION("GOOGLETRANSLATE(B142,""en"",""ur"")"),"غیر مماثل یونیفارم والی ٹیم کے لیے کیا جرمانہ ہے؟")</f>
        <v>غیر مماثل یونیفارم والی ٹیم کے لیے کیا جرمانہ ہے؟</v>
      </c>
      <c r="L142" s="6" t="str">
        <f>IFERROR(__xludf.DUMMYFUNCTION("GOOGLETRANSLATE(C142,""en"",""ur"")"),"A) ایک پوائنٹ کی کٹوتی، B) نااہلی، C) انہیں شروع کرنے کی اجازت نہیں ہے، D) ایک انتباہ جاری کیا جاتا ہے")</f>
        <v>A) ایک پوائنٹ کی کٹوتی، B) نااہلی، C) انہیں شروع کرنے کی اجازت نہیں ہے، D) ایک انتباہ جاری کیا جاتا ہے</v>
      </c>
      <c r="M142" s="6" t="str">
        <f>IFERROR(__xludf.DUMMYFUNCTION("GOOGLETRANSLATE(D142,""en"",""ur"")"),"ج) انہیں شروع کرنے کی اجازت نہیں ہے۔")</f>
        <v>ج) انہیں شروع کرنے کی اجازت نہیں ہے۔</v>
      </c>
      <c r="N142" s="6" t="str">
        <f>IFERROR(__xludf.DUMMYFUNCTION("GOOGLETRANSLATE(E142,""en"",""ur"")"),"ٹیم کے مقابلوں میں، سواروں کے پاس پیشہ ورانہ ظہور کے لیے مماثل لباس ہونا چاہیے اس سے پہلے کہ وہ مقابلہ کر سکیں۔")</f>
        <v>ٹیم کے مقابلوں میں، سواروں کے پاس پیشہ ورانہ ظہور کے لیے مماثل لباس ہونا چاہیے اس سے پہلے کہ وہ مقابلہ کر سکیں۔</v>
      </c>
    </row>
    <row r="143">
      <c r="A143" s="4">
        <v>142.0</v>
      </c>
      <c r="B143" s="5" t="s">
        <v>3255</v>
      </c>
      <c r="C143" s="5" t="s">
        <v>3256</v>
      </c>
      <c r="D143" s="5" t="s">
        <v>3257</v>
      </c>
      <c r="E143" s="5" t="s">
        <v>3258</v>
      </c>
      <c r="K143" s="6" t="str">
        <f>IFERROR(__xludf.DUMMYFUNCTION("GOOGLETRANSLATE(B143,""en"",""ur"")"),"سلو موشن ری پلے کیمروں کا بنیادی مقصد کیا ہے؟")</f>
        <v>سلو موشن ری پلے کیمروں کا بنیادی مقصد کیا ہے؟</v>
      </c>
      <c r="L143" s="6" t="str">
        <f>IFERROR(__xludf.DUMMYFUNCTION("GOOGLETRANSLATE(C143,""en"",""ur"")"),"A) ایونٹ کو ڈرامائی بنانے کے لئے، B) ججوں کو درست فیصلے کرنے میں مدد کرنے کے لئے، C) کوچوں کی مدد کرنے کے لئے، D) ہجوم کو تفریح ​​​​کرنے کے لئے")</f>
        <v>A) ایونٹ کو ڈرامائی بنانے کے لئے، B) ججوں کو درست فیصلے کرنے میں مدد کرنے کے لئے، C) کوچوں کی مدد کرنے کے لئے، D) ہجوم کو تفریح ​​​​کرنے کے لئے</v>
      </c>
      <c r="M143" s="6" t="str">
        <f>IFERROR(__xludf.DUMMYFUNCTION("GOOGLETRANSLATE(D143,""en"",""ur"")"),"ب) ججوں کو درست فیصلے کرنے میں مدد کرنا")</f>
        <v>ب) ججوں کو درست فیصلے کرنے میں مدد کرنا</v>
      </c>
      <c r="N143" s="6" t="str">
        <f>IFERROR(__xludf.DUMMYFUNCTION("GOOGLETRANSLATE(E143,""en"",""ur"")"),"قریبی کالوں اور احتجاج کا جائزہ لینے کے لیے سلو موشن ری پلے ایک اہم آفیشل ٹول ہے۔")</f>
        <v>قریبی کالوں اور احتجاج کا جائزہ لینے کے لیے سلو موشن ری پلے ایک اہم آفیشل ٹول ہے۔</v>
      </c>
    </row>
    <row r="144">
      <c r="A144" s="4">
        <v>143.0</v>
      </c>
      <c r="B144" s="5" t="s">
        <v>3259</v>
      </c>
      <c r="C144" s="5" t="s">
        <v>3260</v>
      </c>
      <c r="D144" s="5" t="s">
        <v>3261</v>
      </c>
      <c r="E144" s="5" t="s">
        <v>3262</v>
      </c>
      <c r="K144" s="6" t="str">
        <f>IFERROR(__xludf.DUMMYFUNCTION("GOOGLETRANSLATE(B144,""en"",""ur"")"),"سوار کے لیے ""نرم ہاتھ"" ہونے کا کیا مطلب ہے؟")</f>
        <v>سوار کے لیے "نرم ہاتھ" ہونے کا کیا مطلب ہے؟</v>
      </c>
      <c r="L144" s="6" t="str">
        <f>IFERROR(__xludf.DUMMYFUNCTION("GOOGLETRANSLATE(C144,""en"",""ur"")"),"A) ان کے ہاتھ کمزور ہیں، B) وہ ہلکے لگام کے اشارے سے گھوڑے کی رہنمائی کرتے ہیں، C) وہ نرم دستانے پہنتے ہیں، D) وہ ابتدائی ہیں")</f>
        <v>A) ان کے ہاتھ کمزور ہیں، B) وہ ہلکے لگام کے اشارے سے گھوڑے کی رہنمائی کرتے ہیں، C) وہ نرم دستانے پہنتے ہیں، D) وہ ابتدائی ہیں</v>
      </c>
      <c r="M144" s="6" t="str">
        <f>IFERROR(__xludf.DUMMYFUNCTION("GOOGLETRANSLATE(D144,""en"",""ur"")"),"ب) وہ ہلکے لگام کے اشاروں سے گھوڑے کی رہنمائی کرتے ہیں۔")</f>
        <v>ب) وہ ہلکے لگام کے اشاروں سے گھوڑے کی رہنمائی کرتے ہیں۔</v>
      </c>
      <c r="N144" s="6" t="str">
        <f>IFERROR(__xludf.DUMMYFUNCTION("GOOGLETRANSLATE(E144,""en"",""ur"")"),"""نرم ہاتھ"" ایک ماہر گھڑ سوار کو کہتے ہیں جو لطیف اشاروں کے ذریعے بات چیت کرتا ہے۔")</f>
        <v>"نرم ہاتھ" ایک ماہر گھڑ سوار کو کہتے ہیں جو لطیف اشاروں کے ذریعے بات چیت کرتا ہے۔</v>
      </c>
    </row>
    <row r="145">
      <c r="A145" s="4">
        <v>144.0</v>
      </c>
      <c r="B145" s="5" t="s">
        <v>3263</v>
      </c>
      <c r="C145" s="5" t="s">
        <v>3264</v>
      </c>
      <c r="D145" s="5" t="s">
        <v>3265</v>
      </c>
      <c r="E145" s="5" t="s">
        <v>3266</v>
      </c>
      <c r="K145" s="6" t="str">
        <f>IFERROR(__xludf.DUMMYFUNCTION("GOOGLETRANSLATE(B145,""en"",""ur"")"),"صلاحیت کے لیے گھوڑے کی خوراک کا اہم حصہ کیا ہے؟")</f>
        <v>صلاحیت کے لیے گھوڑے کی خوراک کا اہم حصہ کیا ہے؟</v>
      </c>
      <c r="L145" s="6" t="str">
        <f>IFERROR(__xludf.DUMMYFUNCTION("GOOGLETRANSLATE(C145,""en"",""ur"")"),"A) شوگر کیوبز، B) اعلیٰ قسم کی گھاس اور اناج، C) صرف گھاس، D) پھل اور سبزیاں")</f>
        <v>A) شوگر کیوبز، B) اعلیٰ قسم کی گھاس اور اناج، C) صرف گھاس، D) پھل اور سبزیاں</v>
      </c>
      <c r="M145" s="6" t="str">
        <f>IFERROR(__xludf.DUMMYFUNCTION("GOOGLETRANSLATE(D145,""en"",""ur"")"),"ب) اعلیٰ قسم کی گھاس اور اناج")</f>
        <v>ب) اعلیٰ قسم کی گھاس اور اناج</v>
      </c>
      <c r="N145" s="6" t="str">
        <f>IFERROR(__xludf.DUMMYFUNCTION("GOOGLETRANSLATE(E145,""en"",""ur"")"),"ایک اتھلیٹک گھوڑے کو کارکردگی کے لیے متوازن خوراک اور توانائی سے بھرپور اناج کی ضرورت ہوتی ہے۔")</f>
        <v>ایک اتھلیٹک گھوڑے کو کارکردگی کے لیے متوازن خوراک اور توانائی سے بھرپور اناج کی ضرورت ہوتی ہے۔</v>
      </c>
    </row>
    <row r="146">
      <c r="A146" s="4">
        <v>145.0</v>
      </c>
      <c r="B146" s="5" t="s">
        <v>3267</v>
      </c>
      <c r="C146" s="5" t="s">
        <v>3268</v>
      </c>
      <c r="D146" s="5" t="s">
        <v>3269</v>
      </c>
      <c r="E146" s="5" t="s">
        <v>3270</v>
      </c>
      <c r="K146" s="6" t="str">
        <f>IFERROR(__xludf.DUMMYFUNCTION("GOOGLETRANSLATE(B146,""en"",""ur"")"),"اگر کوئی سوار سورج کی روشنی کے بارے میں احتجاج کرے تو اس کا کیا حکم ہے؟")</f>
        <v>اگر کوئی سوار سورج کی روشنی کے بارے میں احتجاج کرے تو اس کا کیا حکم ہے؟</v>
      </c>
      <c r="L146" s="6" t="str">
        <f>IFERROR(__xludf.DUMMYFUNCTION("GOOGLETRANSLATE(C146,""en"",""ur"")"),"A) انہیں دوبارہ رن ملتا ہے، B) احتجاج کو مسترد کر دیا جاتا ہے، C) مقابلہ روک دیا جاتا ہے، D) انہیں جزوی پوائنٹس ملتے ہیں")</f>
        <v>A) انہیں دوبارہ رن ملتا ہے، B) احتجاج کو مسترد کر دیا جاتا ہے، C) مقابلہ روک دیا جاتا ہے، D) انہیں جزوی پوائنٹس ملتے ہیں</v>
      </c>
      <c r="M146" s="6" t="str">
        <f>IFERROR(__xludf.DUMMYFUNCTION("GOOGLETRANSLATE(D146,""en"",""ur"")"),"ب) احتجاج کو مسترد کر دیا جاتا ہے۔")</f>
        <v>ب) احتجاج کو مسترد کر دیا جاتا ہے۔</v>
      </c>
      <c r="N146" s="6" t="str">
        <f>IFERROR(__xludf.DUMMYFUNCTION("GOOGLETRANSLATE(E146,""en"",""ur"")"),"سورج کی چمک جیسے ماحولیاتی حالات کو کھیل کے چیلنج کا حصہ سمجھا جاتا ہے۔")</f>
        <v>سورج کی چمک جیسے ماحولیاتی حالات کو کھیل کے چیلنج کا حصہ سمجھا جاتا ہے۔</v>
      </c>
    </row>
    <row r="147">
      <c r="A147" s="4">
        <v>146.0</v>
      </c>
      <c r="B147" s="5" t="s">
        <v>3271</v>
      </c>
      <c r="C147" s="5" t="s">
        <v>3272</v>
      </c>
      <c r="D147" s="5" t="s">
        <v>3273</v>
      </c>
      <c r="E147" s="5" t="s">
        <v>3274</v>
      </c>
      <c r="K147" s="6" t="str">
        <f>IFERROR(__xludf.DUMMYFUNCTION("GOOGLETRANSLATE(B147,""en"",""ur"")"),"ٹیم ایونٹ میں ""مکمل پاس"" کا کیا مطلب ہے؟")</f>
        <v>ٹیم ایونٹ میں "مکمل پاس" کا کیا مطلب ہے؟</v>
      </c>
      <c r="L147" s="6" t="str">
        <f>IFERROR(__xludf.DUMMYFUNCTION("GOOGLETRANSLATE(C147,""en"",""ur"")"),"A) ٹیم آگے بڑھ رہی ہے، B) چاروں سواروں نے مکمل پیگ اسکور کیا، C) چاروں سوار چھوٹ گئے، D) وہ وقت پر ختم ہو گئے۔")</f>
        <v>A) ٹیم آگے بڑھ رہی ہے، B) چاروں سواروں نے مکمل پیگ اسکور کیا، C) چاروں سوار چھوٹ گئے، D) وہ وقت پر ختم ہو گئے۔</v>
      </c>
      <c r="M147" s="6" t="str">
        <f>IFERROR(__xludf.DUMMYFUNCTION("GOOGLETRANSLATE(D147,""en"",""ur"")"),"ب) چاروں سواروں نے ایک مکمل پیگ اسکور کیا۔")</f>
        <v>ب) چاروں سواروں نے ایک مکمل پیگ اسکور کیا۔</v>
      </c>
      <c r="N147" s="6" t="str">
        <f>IFERROR(__xludf.DUMMYFUNCTION("GOOGLETRANSLATE(E147,""en"",""ur"")"),"ایک ""مکمل پاس"" ایک بہترین رن ہے، جو اکثر بونس حاصل کرتا ہے۔")</f>
        <v>ایک "مکمل پاس" ایک بہترین رن ہے، جو اکثر بونس حاصل کرتا ہے۔</v>
      </c>
    </row>
    <row r="148">
      <c r="A148" s="4">
        <v>147.0</v>
      </c>
      <c r="B148" s="5" t="s">
        <v>3275</v>
      </c>
      <c r="C148" s="5" t="s">
        <v>3276</v>
      </c>
      <c r="D148" s="5" t="s">
        <v>3277</v>
      </c>
      <c r="E148" s="5" t="s">
        <v>3278</v>
      </c>
      <c r="K148" s="6" t="str">
        <f>IFERROR(__xludf.DUMMYFUNCTION("GOOGLETRANSLATE(B148,""en"",""ur"")"),"کم از کم وزن سے ہلکا لینس استعمال کرنے پر کیا جرمانہ ہے؟")</f>
        <v>کم از کم وزن سے ہلکا لینس استعمال کرنے پر کیا جرمانہ ہے؟</v>
      </c>
      <c r="L148" s="6" t="str">
        <f>IFERROR(__xludf.DUMMYFUNCTION("GOOGLETRANSLATE(C148,""en"",""ur"")"),"A) سوار کو بھاری لانس ملتا ہے، B) نااہلی، C) بغیر اسکور کیے مقابلہ کرنے کی اجازت، D) وقتی جرمانہ")</f>
        <v>A) سوار کو بھاری لانس ملتا ہے، B) نااہلی، C) بغیر اسکور کیے مقابلہ کرنے کی اجازت، D) وقتی جرمانہ</v>
      </c>
      <c r="M148" s="6" t="str">
        <f>IFERROR(__xludf.DUMMYFUNCTION("GOOGLETRANSLATE(D148,""en"",""ur"")"),"ب) نااہلی")</f>
        <v>ب) نااہلی</v>
      </c>
      <c r="N148" s="6" t="str">
        <f>IFERROR(__xludf.DUMMYFUNCTION("GOOGLETRANSLATE(E148,""en"",""ur"")"),"غیر ریگولیشن آلات کا استعمال جو غیر منصفانہ فائدہ فراہم کرتا ہے دھوکہ دہی کی ایک شکل ہے۔")</f>
        <v>غیر ریگولیشن آلات کا استعمال جو غیر منصفانہ فائدہ فراہم کرتا ہے دھوکہ دہی کی ایک شکل ہے۔</v>
      </c>
    </row>
    <row r="149">
      <c r="A149" s="4">
        <v>148.0</v>
      </c>
      <c r="B149" s="5" t="s">
        <v>3279</v>
      </c>
      <c r="C149" s="5" t="s">
        <v>3280</v>
      </c>
      <c r="D149" s="5" t="s">
        <v>3281</v>
      </c>
      <c r="E149" s="5" t="s">
        <v>3282</v>
      </c>
      <c r="K149" s="6" t="str">
        <f>IFERROR(__xludf.DUMMYFUNCTION("GOOGLETRANSLATE(B149,""en"",""ur"")"),"""لانس آؤٹ"" سلامی میں سوار کیا کرتا ہے؟")</f>
        <v>"لانس آؤٹ" سلامی میں سوار کیا کرتا ہے؟</v>
      </c>
      <c r="L149" s="6" t="str">
        <f>IFERROR(__xludf.DUMMYFUNCTION("GOOGLETRANSLATE(C149,""en"",""ur"")"),"A) لانس پھینکتا ہے، B) لانس کو سیدھا اوپر کرتا ہے، C) لانس کو زمین پر رکھتا ہے، D) اسے ایک اہلکار کے حوالے کرتا ہے")</f>
        <v>A) لانس پھینکتا ہے، B) لانس کو سیدھا اوپر کرتا ہے، C) لانس کو زمین پر رکھتا ہے، D) اسے ایک اہلکار کے حوالے کرتا ہے</v>
      </c>
      <c r="M149" s="6" t="str">
        <f>IFERROR(__xludf.DUMMYFUNCTION("GOOGLETRANSLATE(D149,""en"",""ur"")"),"ب) لانس کو سیدھا اوپر کی طرف اشارہ کرتا ہے۔")</f>
        <v>ب) لانس کو سیدھا اوپر کی طرف اشارہ کرتا ہے۔</v>
      </c>
      <c r="N149" s="6" t="str">
        <f>IFERROR(__xludf.DUMMYFUNCTION("GOOGLETRANSLATE(E149,""en"",""ur"")"),"یہ رن کی تکمیل کا اشارہ دینے اور عہدیداروں کو تسلیم کرنے کے لئے ایک قابل احترام اشارہ ہے۔")</f>
        <v>یہ رن کی تکمیل کا اشارہ دینے اور عہدیداروں کو تسلیم کرنے کے لئے ایک قابل احترام اشارہ ہے۔</v>
      </c>
    </row>
    <row r="150">
      <c r="A150" s="4">
        <v>149.0</v>
      </c>
      <c r="B150" s="5" t="s">
        <v>2609</v>
      </c>
      <c r="C150" s="5" t="s">
        <v>3283</v>
      </c>
      <c r="D150" s="5" t="s">
        <v>3284</v>
      </c>
      <c r="E150" s="5" t="s">
        <v>3285</v>
      </c>
      <c r="K150" s="6" t="str">
        <f>IFERROR(__xludf.DUMMYFUNCTION("GOOGLETRANSLATE(B150,""en"",""ur"")"),"لانس اور نیزہ کے درمیان بنیادی فرق کیا ہے؟")</f>
        <v>لانس اور نیزہ کے درمیان بنیادی فرق کیا ہے؟</v>
      </c>
      <c r="L150" s="6" t="str">
        <f>IFERROR(__xludf.DUMMYFUNCTION("GOOGLETRANSLATE(C150,""en"",""ur"")"),"A) کوئی فرق نہیں، B) ایک لانس گھوڑے کی پیٹھ پر استعمال کے لئے ہے، C) ایک نیزہ لمبا ہے، D) ایک لانس دھات ہے")</f>
        <v>A) کوئی فرق نہیں، B) ایک لانس گھوڑے کی پیٹھ پر استعمال کے لئے ہے، C) ایک نیزہ لمبا ہے، D) ایک لانس دھات ہے</v>
      </c>
      <c r="M150" s="6" t="str">
        <f>IFERROR(__xludf.DUMMYFUNCTION("GOOGLETRANSLATE(D150,""en"",""ur"")"),"ب) ایک لانس گھوڑے کی پیٹھ پر استعمال کے لیے ہے۔")</f>
        <v>ب) ایک لانس گھوڑے کی پیٹھ پر استعمال کے لیے ہے۔</v>
      </c>
      <c r="N150" s="6" t="str">
        <f>IFERROR(__xludf.DUMMYFUNCTION("GOOGLETRANSLATE(E150,""en"",""ur"")"),"لانس ایک قسم کا نیزہ ہے جو خاص طور پر گھڑسواروں کے استعمال کے لیے ڈھال لیا جاتا ہے۔")</f>
        <v>لانس ایک قسم کا نیزہ ہے جو خاص طور پر گھڑسواروں کے استعمال کے لیے ڈھال لیا جاتا ہے۔</v>
      </c>
    </row>
    <row r="151">
      <c r="A151" s="4">
        <v>150.0</v>
      </c>
      <c r="B151" s="5" t="s">
        <v>3286</v>
      </c>
      <c r="C151" s="5" t="s">
        <v>3287</v>
      </c>
      <c r="D151" s="5" t="s">
        <v>3288</v>
      </c>
      <c r="E151" s="5" t="s">
        <v>3289</v>
      </c>
      <c r="K151" s="6" t="str">
        <f>IFERROR(__xludf.DUMMYFUNCTION("GOOGLETRANSLATE(B151,""en"",""ur"")"),"کیا ایک خارج شدہ انفرادی سوار اب بھی ٹیم ایونٹ میں حصہ لے سکتا ہے؟")</f>
        <v>کیا ایک خارج شدہ انفرادی سوار اب بھی ٹیم ایونٹ میں حصہ لے سکتا ہے؟</v>
      </c>
      <c r="L151" s="6" t="str">
        <f>IFERROR(__xludf.DUMMYFUNCTION("GOOGLETRANSLATE(C151,""en"",""ur"")"),"A) نہیں، B) ہاں، C) صرف اس صورت میں جب کپتان راضی ہو، D) صرف اس صورت میں جب وہ معافی مانگیں۔")</f>
        <v>A) نہیں، B) ہاں، C) صرف اس صورت میں جب کپتان راضی ہو، D) صرف اس صورت میں جب وہ معافی مانگیں۔</v>
      </c>
      <c r="M151" s="6" t="str">
        <f>IFERROR(__xludf.DUMMYFUNCTION("GOOGLETRANSLATE(D151,""en"",""ur"")"),"ب) ہاں")</f>
        <v>ب) ہاں</v>
      </c>
      <c r="N151" s="6" t="str">
        <f>IFERROR(__xludf.DUMMYFUNCTION("GOOGLETRANSLATE(E151,""en"",""ur"")"),"انفرادی اور ٹیم ایونٹ الگ الگ مقابلے ہوتے ہیں۔ اہلیت منسلک نہیں ہے.")</f>
        <v>انفرادی اور ٹیم ایونٹ الگ الگ مقابلے ہوتے ہیں۔ اہلیت منسلک نہیں ہے.</v>
      </c>
    </row>
  </sheetData>
  <drawing r:id="rId1"/>
  <tableParts count="2">
    <tablePart r:id="rId4"/>
    <tablePart r:id="rId5"/>
  </tableParts>
</worksheet>
</file>
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lakhra" sheetId="1" r:id="rId4"/>
    <sheet state="visible" name="Chaturanga" sheetId="2" r:id="rId5"/>
    <sheet state="visible" name="Buzkashi" sheetId="3" r:id="rId6"/>
    <sheet state="visible" name="Gatka" sheetId="4" r:id="rId7"/>
    <sheet state="visible" name="Gilli Danda" sheetId="5" r:id="rId8"/>
    <sheet state="visible" name="Tent Pegging" sheetId="6" r:id="rId9"/>
  </sheets>
  <definedNames/>
  <calcPr/>
</workbook>
</file>

<file path=xl/sharedStrings.xml><?xml version="1.0" encoding="utf-8"?>
<sst xmlns="http://schemas.openxmlformats.org/spreadsheetml/2006/main" count="3659" uniqueCount="2774">
  <si>
    <t>Question No.</t>
  </si>
  <si>
    <t>Question</t>
  </si>
  <si>
    <t>Options</t>
  </si>
  <si>
    <t>Answer</t>
  </si>
  <si>
    <t>Description</t>
  </si>
  <si>
    <t>سوال نمبر</t>
  </si>
  <si>
    <t>سوال</t>
  </si>
  <si>
    <t>اختیارات</t>
  </si>
  <si>
    <t>جواب دیں۔</t>
  </si>
  <si>
    <t>تفصیل</t>
  </si>
  <si>
    <t>In a final match in Sindh, Wrestler A uses their superior grip strength to execute a powerful throw, pinning Wrestler B's back to the ground. What is the referee's immediate decision?</t>
  </si>
  <si>
    <t>A) Award 3 points to Wrestler A, B) Declare Wrestler A the winner by pinfall, C) Restart the match, D) Give Wrestler B time to recover</t>
  </si>
  <si>
    <t>B) Declare Wrestler A the winner by pinfall</t>
  </si>
  <si>
    <t>The primary objective and ultimate victory in Malakhra is to pin the opponent’s back to the ground, which immediately ends the match.</t>
  </si>
  <si>
    <t>Wrestler Y, known for agility, is facing a much heavier opponent. The opponent attempts to use brute force to pull him off balance. What is Y's most likely counter-technique?</t>
  </si>
  <si>
    <t>A) A body slam, B) An arm lock, C) A leg sweep or trip, D) A headbutt</t>
  </si>
  <si>
    <t>C) A leg sweep or trip</t>
  </si>
  <si>
    <t>Agility-based techniques like sweeps and trips are classic methods for a smaller wrestler to use an opponent's weight and momentum against them.</t>
  </si>
  <si>
    <t>Both wrestlers are locked in a grip for over a minute with no attempt to throw. The crowd grows restless. What action will the referee likely take?</t>
  </si>
  <si>
    <t>A) End the match in a draw, B) Verbally warn both wrestlers for stalling, then penalize if it continues, C) Allow them to continue indefinitely, D) Disqualify both wrestlers</t>
  </si>
  <si>
    <t>B) Verbally warn both wrestlers for stalling, then penalize if it continues</t>
  </si>
  <si>
    <t>To ensure an active and engaging contest, the referee will penalize passivity by first warning the wrestlers and then awarding points to the opponent.</t>
  </si>
  <si>
    <t>During a grapple, Wrestler A's foot steps completely outside the boundary of the akhara (wrestling pit). What is the ruling?</t>
  </si>
  <si>
    <t>A) The match is paused and restarted, B) A point is awarded to Wrestler B, C) Wrestler A is given a warning, D) There is no penalty</t>
  </si>
  <si>
    <t>B) A point is awarded to Wrestler B</t>
  </si>
  <si>
    <t>Stepping out of the designated wrestling circle is a foul that results in a point being awarded to the opponent.</t>
  </si>
  <si>
    <t>A wrestler is found to have applied oil to their body before the match. Why is this grounds for immediate disqualification?</t>
  </si>
  <si>
    <t>A) It is considered an unfair advantage by making them impossible to grip, B) It is against the religious customs of the sport, C) It can damage the opponent's belt, D) It is unhygienic</t>
  </si>
  <si>
    <t>A) It is considered an unfair advantage by making them impossible to grip</t>
  </si>
  <si>
    <t>Applying any slippery substance is a major form of cheating in all grappling arts and results in an instant disqualification.</t>
  </si>
  <si>
    <t>A wrestler is thrown to the ground, but they manage to land on their chest and stomach, not their back. What is the status of the match?</t>
  </si>
  <si>
    <t>A) The thrower wins by pinfall, B) The thrower is awarded points for the takedown, but the match continues, C) The match is restarted, D) The thrown wrestler is penalized</t>
  </si>
  <si>
    <t>B) The thrower is awarded points for the takedown, but the match continues</t>
  </si>
  <si>
    <t>Points are awarded for a successful takedown, but the match is not over until a pin (back to the ground) is achieved.</t>
  </si>
  <si>
    <t>Wrestler A attempts a powerful hip throw, but Wrestler B counters by dropping their weight and lowering their center of gravity. What is the likely outcome?</t>
  </si>
  <si>
    <t>A) Wrestler A completes the throw, B) Wrestler B successfully defends the throw, C) Both wrestlers fall, D) The referee stops the match</t>
  </si>
  <si>
    <t>B) Wrestler B successfully defends the throw</t>
  </si>
  <si>
    <t>Lowering one's center of gravity is a fundamental defensive principle in wrestling to prevent being lifted and thrown.</t>
  </si>
  <si>
    <t>During an exchange, Wrestler A's belt (sandhro) comes untied. What is the correct procedure?</t>
  </si>
  <si>
    <t>A) The match continues, B) The referee immediately stops the match to allow the belt to be retied, C) Wrestler A is disqualified, D) Wrestler A loses a point</t>
  </si>
  <si>
    <t>B) The referee immediately stops the match to allow the belt to be retied</t>
  </si>
  <si>
    <t>The belt is essential equipment. For safety and fairness, the referee must pause the action to have it properly secured.</t>
  </si>
  <si>
    <t>A wrestler is warned by the referee for an illegal grip. What might they have done?</t>
  </si>
  <si>
    <t>A) Gripped the belt too tightly, B) Gripped the opponent's shorts or loincloth instead of the belt, C) Used both hands on the belt, D) Held the grip for too long</t>
  </si>
  <si>
    <t>B) Gripped the opponent's shorts or loincloth instead of the belt</t>
  </si>
  <si>
    <t>All grips must be on the sandhro itself. Grabbing any other part of the opponent's clothing is a foul.</t>
  </si>
  <si>
    <t>The referee raises his hand and shouts "Malh!" after a throw. What does this signify?</t>
  </si>
  <si>
    <t>A) A foul has been committed, B) A point has been scored, C) The round is over, D) A decisive pin has been achieved, and the match is over</t>
  </si>
  <si>
    <t>D) A decisive pin has been achieved, and the match is over</t>
  </si>
  <si>
    <t>"Malh!" is the referee's cry to declare a pinfall, often accompanied by slapping the mat, which ends the contest.</t>
  </si>
  <si>
    <t>Before the match, both wrestlers perform a ritual of slapping their thighs and chest. What is the purpose of this display?</t>
  </si>
  <si>
    <t>A) It is a required religious ceremony, B) It is a way to warm up the muscles and a traditional show of strength and readiness, C) It is a way to complain about the opponent, D) It is a signal to the musicians</t>
  </si>
  <si>
    <t>B) It is a way to warm up the muscles and a traditional show of strength and readiness</t>
  </si>
  <si>
    <t>This is a traditional display of a pehlwan's power and confidence before the match begins.</t>
  </si>
  <si>
    <t>In a youth competition, a wrestler is found to be 12 kg heavier than the limit for their weight class. What is the ruling?</t>
  </si>
  <si>
    <t>A) They are allowed to compete with a handicap, B) They are disqualified from that weight class, C) They are moved to the next higher weight class, D) The weight difference is ignored</t>
  </si>
  <si>
    <t>B) They are disqualified from that weight class</t>
  </si>
  <si>
    <t>Weight classes are strictly enforced to ensure fair and safe competition. A fighter must make the agreed-upon weight.</t>
  </si>
  <si>
    <t>Wrestler A tries to use their free hand (the one not gripping the belt) to push Wrestler B's face away. What is the referee's call?</t>
  </si>
  <si>
    <t>A) This is a legal defensive move, B) A foul for an illegal hand to the face, C) A warning is issued, D) The match continues</t>
  </si>
  <si>
    <t>B) A foul for an illegal hand to the face</t>
  </si>
  <si>
    <t>The free hand cannot be used to strike or push the opponent's face. This is a foul for both safety and sportsmanship reasons.</t>
  </si>
  <si>
    <t>What is the main purpose of the soft sand or earth in the akhara?</t>
  </si>
  <si>
    <t>A) It is a tradition with no practical purpose, B) It is for absorbing the impact of throws and falls to prevent injury, C) It makes the wrestlers stronger, D) It helps the wrestlers get a better grip with their feet</t>
  </si>
  <si>
    <t>B) It is for absorbing the impact of throws and falls to prevent injury</t>
  </si>
  <si>
    <t>The soft surface is the most important piece of safety equipment in the sport.</t>
  </si>
  <si>
    <t>During a village festival in Sindh, a match is declared a draw. What does this signify?</t>
  </si>
  <si>
    <t>A) Both wrestlers were unskilled, B) It is an honorable outcome, showing both wrestlers were of equal strength and courage, C) It is a disappointing result for the crowd, D) The wrestlers must fight again later</t>
  </si>
  <si>
    <t>B) It is an honorable outcome, showing both wrestlers were of equal strength and courage</t>
  </si>
  <si>
    <t>In traditional settings, a draw is a respected result that allows both pehlwans to maintain their honor.</t>
  </si>
  <si>
    <t>A wrestler is known as an "Ustad." What is their role in the Malakhra community?</t>
  </si>
  <si>
    <t>A) They are the richest sponsor, B) They are a respected master and coach who teaches the art, C) They are the referee, D) They are a retired champion</t>
  </si>
  <si>
    <t>B) They are a respected master and coach who teaches the art</t>
  </si>
  <si>
    <t>An Ustad is a senior teacher responsible for passing down the techniques and philosophy of Malakhra to their students (shagirds).</t>
  </si>
  <si>
    <t>Wrestler A throws Wrestler B, whose back hits the ground. However, Wrestler A also falls and does not maintain control. What is the ruling?</t>
  </si>
  <si>
    <t>A) Wrestler A wins by pinfall, B) No pin is awarded; the match is reset, C) Wrestler B wins the point, D) The round is replayed</t>
  </si>
  <si>
    <t>B) No pin is awarded; the match is reset</t>
  </si>
  <si>
    <t>To win, the thrower must demonstrate complete control by staying on their feet or maintaining a dominant position. A mutual fall negates the pin.</t>
  </si>
  <si>
    <t>A wrestler is penalized for using their belt to choke their opponent. Is this a correct call?</t>
  </si>
  <si>
    <t>A) No, any use of the belt is legal, B) Yes, the belt is for gripping only, not for choking or strangling, C) Only if the opponent taps out, D) It is legal but frowned upon</t>
  </si>
  <si>
    <t>B) Yes, the belt is for gripping only, not for choking or strangling</t>
  </si>
  <si>
    <t>Using the sandhro as a ligature to choke an opponent is a dangerous and illegal foul that will be immediately penalized.</t>
  </si>
  <si>
    <t>What is the main difference in the rules of Malakhra compared to Olympic Freestyle wrestling?</t>
  </si>
  <si>
    <t>A) Malakhra uses a circular ring, B) Malakhra has weight classes, C) The mandatory and continuous grip on the opponent's belt (sandhro), D) Malakhra is a team sport</t>
  </si>
  <si>
    <t>C) The mandatory and continuous grip on the opponent's belt (sandhro)</t>
  </si>
  <si>
    <t>The belt grip is the defining feature of Malakhra, creating a unique style of grappling focused on leverage and throws from that specific hold.</t>
  </si>
  <si>
    <t>After a match, wrestlers are often seen embracing. What is the cultural significance of this act?</t>
  </si>
  <si>
    <t>A) It is a sign that the fight was fake, B) It demonstrates sportsmanship and mutual respect, showing the fight was a contest of skill, not personal enmity, C) It is a required part of the cooling-down process, D) It is a signal to the judges</t>
  </si>
  <si>
    <t>B) It demonstrates sportsmanship and mutual respect, showing the fight was a contest of skill, not personal enmity</t>
  </si>
  <si>
    <t>This gesture is a crucial part of the sport's philosophy, reinforcing the bonds of community and honor.</t>
  </si>
  <si>
    <t>A wrestler is known for their powerful baghali. What is this technique?</t>
  </si>
  <si>
    <t>A) A leg sweep, B) A type of powerful hip throw, C) A defensive stance, D) A submission hold</t>
  </si>
  <si>
    <t>B) A type of powerful hip throw</t>
  </si>
  <si>
    <t>The baghali is a classic and effective takedown technique that uses the hip as a fulcrum to throw the opponent.</t>
  </si>
  <si>
    <t>A wrestler is warned for using their free hand to grab the opponent's leg. Is this a valid foul?</t>
  </si>
  <si>
    <t>A) No, this is a legal takedown, B) Yes, the free hand cannot be used for grappling the opponent's limbs, C) Only if the hand was in a fist, D) Only if the opponent complained</t>
  </si>
  <si>
    <t>B) Yes, the free hand cannot be used for grappling the opponent's limbs</t>
  </si>
  <si>
    <t>The free hand has a limited role (e.g., blocking the opponent's arm), and it cannot be used to grab the opponent's body or legs to assist in a takedown.</t>
  </si>
  <si>
    <t>In a close match, the referee awards a point to one wrestler for being "more active." Is this a valid way to score?</t>
  </si>
  <si>
    <t>A) No, only techniques can score, B) Yes, in the absence of clear scoring, judges can penalize the passive wrestler, C) The match should be a draw, D) A coin should be tossed</t>
  </si>
  <si>
    <t>B) Yes, in the absence of clear scoring, judges can penalize the passive wrestler</t>
  </si>
  <si>
    <t>To prevent stalling, referees are empowered to penalize the less active wrestler, which effectively awards a point to the aggressor.</t>
  </si>
  <si>
    <t>The referee slaps the mat firmly with their hand. What does this signal?</t>
  </si>
  <si>
    <t>A) The start of the round, B) A foul has been committed, C) A decisive pin has been achieved and the match is over, D) A warning for passivity</t>
  </si>
  <si>
    <t>C) A decisive pin has been achieved and the match is over</t>
  </si>
  <si>
    <t>Similar to other forms of wrestling, the referee slapping the mat is the universal signal for a pinfall, ending the contest.</t>
  </si>
  <si>
    <t>A wrestler is known for their strong "bridge" (pul). In what situation is this technique used?</t>
  </si>
  <si>
    <t>A) To initiate a throw, B) To escape from being pinned on their back, C) To rest during a match, D) To perform a submission</t>
  </si>
  <si>
    <t>B) To escape from being pinned on their back</t>
  </si>
  <si>
    <t>The bridge is a fundamental defensive technique where a wrestler arches their back and neck to prevent their shoulders from being held flat on the ground.</t>
  </si>
  <si>
    <t>A wrestler is warned for using their belt to trip the opponent. Is this a correct call?</t>
  </si>
  <si>
    <t>A) No, tripping is legal, B) Yes, the belt can only be used for gripping the waist, not for tripping, C) Only if it causes an injury, D) Only if the opponent is heavier</t>
  </si>
  <si>
    <t>B) Yes, the belt can only be used for gripping the waist, not for tripping</t>
  </si>
  <si>
    <t>While leg trips are legal, using the sandhro itself to entangle and trip the opponent's feet is an illegal use of equipment.</t>
  </si>
  <si>
    <t>A wrestler wins a match and their supporters carry them on their shoulders. What does this signify?</t>
  </si>
  <si>
    <t>A) The wrestler is injured and cannot walk, B) It is a traditional and joyous celebration of a communal victory, C) It is a form of protest against the judges, D) The wrestler is being taken to receive their prize</t>
  </si>
  <si>
    <t>B) It is a traditional and joyous celebration of a communal victory</t>
  </si>
  <si>
    <t>This is a common way for a village or team to celebrate their champion, showing that the victory belongs to the whole community.</t>
  </si>
  <si>
    <t>A wrestler is found to have a small, hard object wrapped under their belt to cause pain to the opponent. What is the consequence?</t>
  </si>
  <si>
    <t>A) The object is removed, and a warning is issued, B) The wrestler is immediately disqualified for cheating, C) The opponent is awarded 5 points, D) The round is replayed</t>
  </si>
  <si>
    <t>B) The wrestler is immediately disqualified for cheating</t>
  </si>
  <si>
    <t>Using a concealed object to gain an advantage or cause injury is a major violation and results in immediate disqualification.</t>
  </si>
  <si>
    <t>What is the main difference between Malakhra and Judo?</t>
  </si>
  <si>
    <t>A) Judo uses a uniform (gi) for gripping, while Malakhra uses a belt, B) Judo involves pins, C) Judo has weight classes, D) There is no difference</t>
  </si>
  <si>
    <t>A) Judo uses a uniform (gi) for gripping, while Malakhra uses a belt</t>
  </si>
  <si>
    <t>This is the most fundamental difference. Judo allows gripping the entire jacket, while Malakhra restricts all grips to the single belt.</t>
  </si>
  <si>
    <t>What is the primary role of the traditional music, especially the dhol drum, during the match?</t>
  </si>
  <si>
    <t>A) To signal the start and end of rounds, B) To create an energetic and culturally rich atmosphere, C) To distract the wrestlers from their pain, D) To help the judges make decisions</t>
  </si>
  <si>
    <t>B) To create an energetic and culturally rich atmosphere</t>
  </si>
  <si>
    <t>The live music is integral to the cultural experience of a Malakhra event, its tempo often matching the intensity of the action.</t>
  </si>
  <si>
    <t>A wrestler is disqualified for "brutality." What does this mean?</t>
  </si>
  <si>
    <t>A) They won the match too easily, B) They continued to apply a hold after the opponent submitted, C) They used techniques with a clear intent to injure, not just score, D) They shouted too loudly</t>
  </si>
  <si>
    <t>C) They used techniques with a clear intent to injure, not just score</t>
  </si>
  <si>
    <t>While Malakhra is a tough sport, there is a line between aggressive competition and malicious intent. Brutality is a major foul.</t>
  </si>
  <si>
    <t>Why is a strong neck and bridge essential for a Malakhra wrestler's defense?</t>
  </si>
  <si>
    <t>A) It looks intimidating, B) It is the primary way to prevent one's shoulders from being pinned to the ground, C) It helps with breathing, D) It is an offensive move</t>
  </si>
  <si>
    <t>B) It is the primary way to prevent one's shoulders from being pinned to the ground</t>
  </si>
  <si>
    <t>A strong neck allows a wrestler to bridge on their head to keep their back off the mat, which is the last line of defense against a pin.</t>
  </si>
  <si>
    <t>A wrestler complains that their opponent's belt is too thin, making it hard to grip. What can the referee do?</t>
  </si>
  <si>
    <t>A) Nothing, all belts are allowed, B) Inspect the belt and replace it if it does not meet the standard, C) Penalize the complaining wrestler, D) Ask the wrestlers to switch belts</t>
  </si>
  <si>
    <t>B) Inspect the belt and replace it if it does not meet the standard</t>
  </si>
  <si>
    <t>To ensure fairness, the sandhro must meet certain specifications for material and thickness. An illegal belt must be replaced.</t>
  </si>
  <si>
    <t>What does the tradition of the winning wrestler rubbing sand from the akhara on their body signify?</t>
  </si>
  <si>
    <t>A) They are cleaning sweat off, B) It is a sign of victory and respect for the wrestling ground, C) It is a way to intimidate future opponents, D) It is a signal to their coach</t>
  </si>
  <si>
    <t>B) It is a sign of victory and respect for the wrestling ground</t>
  </si>
  <si>
    <t>This is a traditional gesture of humility and gratitude, honoring the sacred space where their victory was earned.</t>
  </si>
  <si>
    <t>Why is a low, squatting stance fundamental to Malakhra?</t>
  </si>
  <si>
    <t>A) It is more comfortable, B) To lower their center of gravity for better balance and power, C) To make themselves a smaller target, D) It is the only stance allowed</t>
  </si>
  <si>
    <t>B) To lower their center of gravity for better balance and power</t>
  </si>
  <si>
    <t>A low base is fundamental to grappling, as it makes a wrestler much harder to lift, sweep, or throw.</t>
  </si>
  <si>
    <t>The referee determines that a pin was achieved only because the winning wrestler illegally grabbed the opponent's shorts. What is the ruling?</t>
  </si>
  <si>
    <t>A) The pin is valid, B) The pin is invalid, and a foul is called on the winning wrestler, C) The round is replayed, D) The losing wrestler is given a point</t>
  </si>
  <si>
    <t>B) The pin is invalid, and a foul is called on the winning wrestler</t>
  </si>
  <si>
    <t>A result that is achieved through an illegal action cannot be counted. The referee will nullify the pin and issue a penalty.</t>
  </si>
  <si>
    <t>Why do wrestlers traditionally compete bare-chested?</t>
  </si>
  <si>
    <t>A) To show off their muscles, B) To prevent an opponent from illegally grabbing their shirt, C) It is cooler in the hot climate, D) All of the above</t>
  </si>
  <si>
    <t>D) All of the above</t>
  </si>
  <si>
    <t>Competing bare-chested is practical (prevents illegal grabbing, stays cool) and is also a traditional display of a wrestler's physique.</t>
  </si>
  <si>
    <t>If a wrestler touches their hand to the ground to keep balance after executing a throw, what is the ruling?</t>
  </si>
  <si>
    <t>A) The throw is legal, B) It is a foul, and a point is awarded to the opponent, C) The round is replayed, D) A warning is issued</t>
  </si>
  <si>
    <t>B) It is a foul, and a point is awarded to the opponent</t>
  </si>
  <si>
    <t>A wrestler must maintain their balance on their feet. Touching the ground with a hand is considered a "fall" and results in a point loss.</t>
  </si>
  <si>
    <t>A wrestler is known for their "patience". How is this a virtue in Malakhra?</t>
  </si>
  <si>
    <t>A) They can wait for a long time without getting bored, B) They wait for the opponent to make a mistake before committing to a throw, C) They are a very slow wrestler, D) They are respectful to the referee</t>
  </si>
  <si>
    <t>B) They wait for the opponent to make a mistake before committing to a throw</t>
  </si>
  <si>
    <t>A patient wrestler does not rush. They control the grip and wait for the perfect moment of off-balance to execute their technique effectively.</t>
  </si>
  <si>
    <t>Why is the circular shape of the akhara important?</t>
  </si>
  <si>
    <t>A) It is easier to dig, B) It prevents a wrestler from being trapped in a corner, C) It is a religious symbol, D) It allows for more spectators</t>
  </si>
  <si>
    <t>B) It prevents a wrestler from being trapped in a corner</t>
  </si>
  <si>
    <t>A circular arena has no corners, which encourages continuous movement and a more fluid style of wrestling.</t>
  </si>
  <si>
    <t>What is the main reason a less strong but more technical wrestler can defeat a powerful opponent?</t>
  </si>
  <si>
    <t>A) They can tire them out, B) They can use superior leverage, timing, and technique to off-balance them, C) They can use illegal moves, D) It is not possible</t>
  </si>
  <si>
    <t>B) They can use superior leverage, timing, and technique to off-balance them</t>
  </si>
  <si>
    <t>Malakhra is a technical art where skill can often overcome a raw strength advantage.</t>
  </si>
  <si>
    <t>A wrestler is bleeding, and the blood gets on their opponent. What must the referee do?</t>
  </si>
  <si>
    <t>A) Nothing, it is part of the sport, B) Stop the fight and have both wrestlers cleaned and treated, C) Disqualify the bleeding wrestler, D) Award a point to the wrestler who is not bleeding</t>
  </si>
  <si>
    <t>B) Stop the fight and have both wrestlers cleaned and treated</t>
  </si>
  <si>
    <t>The "blood rule" requires the referee to stop the match to manage the injury and clean any blood from both competitors for safety.</t>
  </si>
  <si>
    <t>A wrestler is known for their strong "bridge" (pul). What does this defensive move involve?</t>
  </si>
  <si>
    <t>A) Pushing the opponent away, B) Arching the back and neck to avoid having the shoulders pinned, C) Building a bridge with their hands, D) A type of leg lock</t>
  </si>
  <si>
    <t>B) Arching the back and neck to avoid having the shoulders pinned</t>
  </si>
  <si>
    <t>The bridge is a fundamental defensive technique in wrestling to escape a pin.</t>
  </si>
  <si>
    <t>What is the most common way a game of Malakhra is decided in a tournament?</t>
  </si>
  <si>
    <t>A) By a pinfall, B) By points, if no pin occurs, C) By disqualification, D) All of the above</t>
  </si>
  <si>
    <t>A match can be won by a pin, by having more points at the end of the time limit, or if the opponent is disqualified for fouls.</t>
  </si>
  <si>
    <t>A wrestler is disqualified for "brutality." Which of these actions would qualify?</t>
  </si>
  <si>
    <t>A) A powerful throw, B) A very tight grip, C) A slam that deliberately spikes the opponent's head into the ground, D) A fast leg sweep</t>
  </si>
  <si>
    <t>C) A slam that deliberately spikes the opponent's head into the ground</t>
  </si>
  <si>
    <t>Any technique that is executed with a clear intent to injure, such as a dangerous "piledriver" type of slam, is a major foul.</t>
  </si>
  <si>
    <t>How is the sport being modernized in the 21st century?</t>
  </si>
  <si>
    <t>A) By introducing weapons, B) By standardizing rules, weight classes, and organizing formal federations, C) By removing the belt, D) By allowing striking</t>
  </si>
  <si>
    <t>B) By standardizing rules, weight classes, and organizing formal federations</t>
  </si>
  <si>
    <t>Efforts are being made by organizations like the Sindh Malakhra Association to formalize the sport for national and international competition.</t>
  </si>
  <si>
    <t>Why is a strong neck and bridge essential for a wrestler's defense?</t>
  </si>
  <si>
    <t>What does the tradition of the winning wrestler rubbing sand from the akhara on their forehead signify?</t>
  </si>
  <si>
    <t>In its essence, what does a Malakhra match represent in Sindhi culture?</t>
  </si>
  <si>
    <t>A) A simple game, B) A display of brute force, C) A disciplined contest of strength, skill, and honor, D) A way to settle grudges</t>
  </si>
  <si>
    <t>C) A disciplined contest of strength, skill, and honor</t>
  </si>
  <si>
    <t>Malakhra is more than a fight; it is a respected cultural institution that celebrates the virtues of a pehlwan.</t>
  </si>
  <si>
    <t>A wrestler is warned for using their free hand to block the opponent's vision. Is this a correct call?</t>
  </si>
  <si>
    <t>A) No, it is a smart tactic, B) Yes, this is an illegal and unsportsmanlike foul, C) Only if the hand makes contact with the eyes, D) It is legal but frowned upon</t>
  </si>
  <si>
    <t>B) Yes, this is an illegal and unsportsmanlike foul</t>
  </si>
  <si>
    <t>An "eye rake" or intentionally blocking vision with the hand is a foul designed to prevent dangerous and unsporting tactics.</t>
  </si>
  <si>
    <t>What is the penalty for a wrestler who refuses the traditional post-match handshake or embrace?</t>
  </si>
  <si>
    <t>A) There is no penalty, B) A warning for unsportsmanlike conduct may be issued by the referee, C) They must forfeit their prize, D) The match must be replayed</t>
  </si>
  <si>
    <t>B) A warning for unsportsmanlike conduct may be issued by the referee</t>
  </si>
  <si>
    <t>The sport places a high value on respect. A refusal to acknowledge an opponent after the match is a serious breach of this code.</t>
  </si>
  <si>
    <t>What is a "technical pin"?</t>
  </si>
  <si>
    <t>A) A pin achieved using a special technique, B) When a wrestler's shoulder blade is held to the ground for a brief, controlled period, C) A pin that is disputed by a coach, D) A pin that occurs outside the ring</t>
  </si>
  <si>
    <t>B) When a wrestler's shoulder blade is held to the ground for a brief, controlled period</t>
  </si>
  <si>
    <t>This is a rule in many formats where a clear, controlled pin for a specified duration (e.g., 3 seconds) is required to award the victory.</t>
  </si>
  <si>
    <t>What is the best counter to an opponent attempting a hip-wheel (baghali) throw?</t>
  </si>
  <si>
    <t>A) To release your grip on their belt, B) To jump backward, C) To step across their body and block their hip's entry, D) To pull them closer</t>
  </si>
  <si>
    <t>C) To step across their body and block their hip's entry</t>
  </si>
  <si>
    <t>The most effective defense is to use footwork to deny the opponent the hip position they need to use as a fulcrum for the throw.</t>
  </si>
  <si>
    <t>What is the ruling if a wrestler's hand, used for gripping the belt, touches the ground to post for balance?</t>
  </si>
  <si>
    <t>A) This is a legal move to prevent a fall, B) It is a grip violation, and a point is awarded to the opponent, C) The match is restarted, D) There is no penalty</t>
  </si>
  <si>
    <t>B) It is a grip violation, and a point is awarded to the opponent</t>
  </si>
  <si>
    <t>The hands gripping the sandhro must remain engaged with the opponent. Using a gripping hand to post on the mat is a foul.</t>
  </si>
  <si>
    <t>At which cultural events are Malakhra competitions most prominently featured in Sindh?</t>
  </si>
  <si>
    <t>A) Weddings, B) Political rallies, C) Urs (Sufi festivals) and other traditional fairs (melas), D) National holidays</t>
  </si>
  <si>
    <t>C) Urs (Sufi festivals) and other traditional fairs (melas)</t>
  </si>
  <si>
    <t>Malakhra is deeply intertwined with the cultural and religious life of Sindh and is a highlight of major local festivals.</t>
  </si>
  <si>
    <t>Which of these is a common and legal offensive technique in Malakhra?</t>
  </si>
  <si>
    <t>A) Punching the opponent's chest, B) A leg sweep or trip, C) Kicking the opponent's leg, D) A headbutt</t>
  </si>
  <si>
    <t>B) A leg sweep or trip</t>
  </si>
  <si>
    <t>Using the legs to trip or sweep the opponent is a fundamental part of the art's takedown techniques.</t>
  </si>
  <si>
    <t>How does a Malakhra match traditionally begin?</t>
  </si>
  <si>
    <t>A) With a handshake, B) With the wrestlers tying the sandhro around each other's waists, C) With a coin toss, D) With a bow to the referee</t>
  </si>
  <si>
    <t>B) With the wrestlers tying the sandhro around each other's waists</t>
  </si>
  <si>
    <t>The match starts with the unique ritual of the wrestlers gripping each other's belts, which are then tied to ensure constant contact.</t>
  </si>
  <si>
    <t>What happens if both wrestlers fall to the ground simultaneously without a clear pin?</t>
  </si>
  <si>
    <t>A) The wrestler who landed on top wins a point, B) Both wrestlers lose a point, C) No point is awarded, and the match is restarted from the center, D) The round ends immediately</t>
  </si>
  <si>
    <t>C) No point is awarded, and the match is restarted from the center</t>
  </si>
  <si>
    <t>If there is no clear control or pin during a mutual fall, the action is considered neutral, and the round is reset without any score.</t>
  </si>
  <si>
    <t>The referee determines that a pin was made possible only because the winning wrestler illegally grabbed the opponent's shorts. What is the ruling?</t>
  </si>
  <si>
    <t>A wrestler is warned for using their belt to choke their opponent. Is this a correct call?</t>
  </si>
  <si>
    <t>What is the main reason that Malakhra has not become a major international sport?</t>
  </si>
  <si>
    <t>A) It is not exciting enough, B) The rules are too specific and culturally embedded, making it difficult to export, C) It is too dangerous, D) There is no governing body</t>
  </si>
  <si>
    <t>B) The rules are too specific and culturally embedded, making it difficult to export</t>
  </si>
  <si>
    <t>The unique belt-tying rule and its deep cultural context make it very different from the more universal styles of Olympic wrestling.</t>
  </si>
  <si>
    <t>What is the ruling if a wrestler's belt (sandhro) comes untied during a match?</t>
  </si>
  <si>
    <t>A) The match continues, B) The wrestler who came untied loses a point, C) The referee immediately stops the match to have it retied, D) The wrestler who came untied forfeits</t>
  </si>
  <si>
    <t>C) The referee immediately stops the match to have it retied</t>
  </si>
  <si>
    <t>The belt is essential for the match to be conducted legally and safely. The referee must pause the action to fix the equipment.</t>
  </si>
  <si>
    <t>What is the primary reason for the circular shape of the akhara?</t>
  </si>
  <si>
    <t>What is the referee's verbal command to begin the match?</t>
  </si>
  <si>
    <t>A) "Mulai!", B) "Shuru!", C) "Tayyar!" (Ready!), D) There is no verbal command</t>
  </si>
  <si>
    <t>C) "Tayyar!" (Ready!)</t>
  </si>
  <si>
    <t>After the wrestlers are properly gripped, the referee will give the command "Tayyar!" to signal the start of the action.</t>
  </si>
  <si>
    <t>What is a "counter-throw"?</t>
  </si>
  <si>
    <t>A) Throwing the opponent in the opposite direction, B) Using the momentum of an opponent's attack to execute your own throw, C) A throw that is not allowed, D) A throw performed by two wrestlers</t>
  </si>
  <si>
    <t>B) Using the momentum of an opponent's attack to execute your own throw</t>
  </si>
  <si>
    <t>This is a high-level skill where a wrestler turns their opponent's offensive move into a disadvantage by reversing the force.</t>
  </si>
  <si>
    <t>What is the ruling if a wrestler pins their opponent, but the pin occurs just outside the boundary line?</t>
  </si>
  <si>
    <t>A) The pin is valid, B) The pin is not valid, and the match is reset, C) The wrestler who pinned gets a point for a step-out, D) The match is declared a draw</t>
  </si>
  <si>
    <t>B) The pin is not valid, and the match is reset</t>
  </si>
  <si>
    <t>All scoring actions, including the final pin, must occur entirely within the designated competition area.</t>
  </si>
  <si>
    <t>A wrestler is known for their "explosive" power. What type of training develops this?</t>
  </si>
  <si>
    <t>A) Long-distance running, B) Static stretching, C) Plyometrics and weight training, D) Meditation</t>
  </si>
  <si>
    <t>C) Plyometrics and weight training</t>
  </si>
  <si>
    <t>Explosive strength, the ability to generate maximum force in a short time, is built through exercises like squats, deadlifts, and jumping drills.</t>
  </si>
  <si>
    <t>What is the primary difference between the roles of the Referee and the Judges?</t>
  </si>
  <si>
    <t>A) There is no difference, B) The Referee is in the ring controlling the action, while the Judges are outside scoring the points, C) The Judges can overrule the Referee, D) The Referee is the timekeeper</t>
  </si>
  <si>
    <t>B) The Referee is in the ring controlling the action, while the Judges are outside scoring the points</t>
  </si>
  <si>
    <t>The Referee manages the bout directly, while the Judges observe and award points, which are then tallied to determine the winner if there is no pin.</t>
  </si>
  <si>
    <t>A wrestler wins a match and is carried on the shoulders of their supporters. What does this signify?</t>
  </si>
  <si>
    <t>What is the main reason Malakhra has remained popular for centuries?</t>
  </si>
  <si>
    <t>A) It receives a lot of media coverage, B) It is a simple, low-cost sport that is deeply tied to cultural identity and festivals, C) It is a path to professional sports careers, D) It is the only sport played in Sindh</t>
  </si>
  <si>
    <t>B) It is a simple, low-cost sport that is deeply tied to cultural identity and festivals</t>
  </si>
  <si>
    <t>Its accessibility and strong cultural roots have ensured its survival as a beloved folk sport.</t>
  </si>
  <si>
    <t>A wrestler is found to have a small, hard object wrapped under their belt to cause pain. What is the consequence?</t>
  </si>
  <si>
    <t>A) They can wait for a long time, B) They wait for the opponent to make a mistake before committing to a throw, C) They are a very slow wrestler, D) They are respectful to the referee</t>
  </si>
  <si>
    <t>A wrestler is penalized for using an illegal grip on the belt. What might they have done?</t>
  </si>
  <si>
    <t>A) Held the belt too tightly, B) Wrapped the belt around their wrist for extra leverage, C) Gripped with both hands, D) Gripped the knot of the belt</t>
  </si>
  <si>
    <t>B) Wrapped the belt around their wrist for extra leverage</t>
  </si>
  <si>
    <t>It is illegal to wrap the belt around any part of the arm or hand, as this creates a dangerous and unfair lock.</t>
  </si>
  <si>
    <t>What is the primary role of the Ustad (master) during a match?</t>
  </si>
  <si>
    <t>A) To act as the referee, B) To coach their wrestler from the corner of the akhara, C) To provide water, D) To argue with the judges</t>
  </si>
  <si>
    <t>B) To coach their wrestler from the corner of the akhara</t>
  </si>
  <si>
    <t>The Ustad is the coach who provides tactical advice and encouragement to their shagird (student) during the match.</t>
  </si>
  <si>
    <t>How is a "pin" officially signaled by the referee?</t>
  </si>
  <si>
    <t>A) By blowing a whistle, B) By raising one arm and shouting "Malh!", C) By counting to three, D) By clapping their hands</t>
  </si>
  <si>
    <t>B) By raising one arm and shouting "Malh!"</t>
  </si>
  <si>
    <t>The referee makes a clear and loud declaration to signal that a pin has been achieved and the match is over.</t>
  </si>
  <si>
    <t>What is the main reason Malakhra wrestlers often have a low, squatting stance?</t>
  </si>
  <si>
    <t>A) They can wait a long time, B) They wait for an opponent's mistake before committing to a throw, C) They are slow, D) They are respectful</t>
  </si>
  <si>
    <t>B) They wait for an opponent's mistake before committing to a throw</t>
  </si>
  <si>
    <t>A patient wrestler doesn't rush, controlling the grip and waiting for the perfect moment of off-balance to execute a technique.</t>
  </si>
  <si>
    <t>A) No, it's a smart tactic, B) Yes, it's an illegal and unsportsmanlike foul, C) Only if contact is made, D) It is legal but frowned upon</t>
  </si>
  <si>
    <t>B) Yes, it's an illegal and unsportsmanlike foul</t>
  </si>
  <si>
    <t>An "eye rake" or intentionally blocking vision is a foul to prevent dangerous and unsporting tactics.</t>
  </si>
  <si>
    <t>A) Throwing in the opposite direction, B) Using an opponent's attack momentum to execute your own throw, C) An illegal throw, D) A two-person throw</t>
  </si>
  <si>
    <t>B) Using an opponent's attack momentum to execute your own throw</t>
  </si>
  <si>
    <t>This is a high-level skill where a wrestler reverses the force of an opponent's offensive move.</t>
  </si>
  <si>
    <t>What is the ruling if a wrestler pins their opponent just outside the boundary line?</t>
  </si>
  <si>
    <t>A) Pin is valid, B) Pin is not valid and the match is reset, C) The pinner gets a point for a step-out, D) Match is a draw</t>
  </si>
  <si>
    <t>B) Pin is not valid and the match is reset</t>
  </si>
  <si>
    <t>All scoring actions, including a pin, must occur entirely within the competition area.</t>
  </si>
  <si>
    <t>Explosive strength is built through exercises like squats, deadlifts, and jumping drills.</t>
  </si>
  <si>
    <t>A wrestler is penalized for an illegal grip on the belt. What might they have done?</t>
  </si>
  <si>
    <t>A) Held the belt too tightly, B) Wrapped the belt around their wrist for leverage, C) Gripped with both hands, D) Gripped the knot</t>
  </si>
  <si>
    <t>B) Wrapped the belt around their wrist for leverage</t>
  </si>
  <si>
    <t>It is illegal to wrap the belt around any part of the arm or hand, as this creates a dangerous lock.</t>
  </si>
  <si>
    <t>A) To act as referee, B) To coach their wrestler from the corner, C) To provide water, D) To argue with judges</t>
  </si>
  <si>
    <t>B) To coach their wrestler from the corner</t>
  </si>
  <si>
    <t>The Ustad is the coach who provides tactical advice to their shagird (student).</t>
  </si>
  <si>
    <t>A) By blowing a whistle, B) By raising one arm and shouting "Malh!", C) By counting to three, D) By clapping</t>
  </si>
  <si>
    <t>The referee makes a clear and loud declaration to signal a pin has been achieved and the match is over.</t>
  </si>
  <si>
    <t>Why do Malakhra wrestlers often have a low, squatting stance?</t>
  </si>
  <si>
    <t>A) It is more comfortable, B) To lower their center of gravity for better balance and power, C) To make a smaller target, D) It is the only stance allowed</t>
  </si>
  <si>
    <t>A low base is fundamental to grappling, making a wrestler much harder to lift, sweep, or throw.</t>
  </si>
  <si>
    <t>Malakhra is more than a fight; it is a respected cultural institution celebrating the virtues of a pehlwan.</t>
  </si>
  <si>
    <t>In a Malakhra match, Wrestler A successfully executes a powerful hold and forces Wrestler B to the ground. Given the nature of the competition, which of the following statements is correct?</t>
  </si>
  <si>
    <t>A) Wrestler A won the match by pinning Wrestler B, B) Wrestler B won the match by escaping the hold, C) The match is still ongoing, D) Wrestler A was disqualified for using illegal moves.</t>
  </si>
  <si>
    <t>A) Wrestler A won the match by pinning Wrestler B</t>
  </si>
  <si>
    <t>In Malakhra, the match is typically won when a wrestler pins their opponent's back to the ground, making option A the correct one.</t>
  </si>
  <si>
    <t>During a Malakhra tournament, two wrestlers, Wrestler X and Wrestler Y, are facing off. Wrestler X has an advantage in weight, but Wrestler Y is known for superior agility. If Wrestler Y manages to outmaneuver Wrestler X and takes him down, which technique is most likely employed?</t>
  </si>
  <si>
    <t>A) Leg Sweep, B) Arm Lock, C) Shoulder Throw, D) Body Slam</t>
  </si>
  <si>
    <t>A) Leg Sweep</t>
  </si>
  <si>
    <t>Given Wrestler Y's superior agility, a leg sweep is a common maneuver to take down an opponent by using speed and technique.</t>
  </si>
  <si>
    <t>In the second round of a Malakhra competition, Wrestler A, known for his brute strength, faces Wrestler B, who is quick and relies on strategy. After a series of exchanges, Wrestler B tricks Wrestler A into overextending and then executes a counter-move. What is the most likely outcome of this move?</t>
  </si>
  <si>
    <t>A) Wrestler A is pinned immediately, B) Wrestler A is forced to submit, C) Wrestler B is thrown out of the ring, D) Wrestler B gains the upper hand temporarily</t>
  </si>
  <si>
    <t>D) Wrestler B gains the upper hand temporarily</t>
  </si>
  <si>
    <t>The counter-move allows Wrestler B to momentarily control the match, leveraging agility and strategy to gain an advantage.</t>
  </si>
  <si>
    <t>During the final moments of a Malakhra match, Wrestler A and Wrestler B are locked in a grapple. Wrestler A begins to tire, and Wrestler B executes a series of rapid leg trips to destabilize him. Which aspect of Malakhra is most crucial for Wrestler B to maintain to ensure success in this situation?</t>
  </si>
  <si>
    <t>A) Speed and agility, B) Strength and endurance, C) Knowledge of wrestling rules, D) Ability to intimidate the opponent</t>
  </si>
  <si>
    <t>A) Speed and agility</t>
  </si>
  <si>
    <t>In this scenario, Wrestler B needs speed and agility to execute leg trips effectively and maintain control.</t>
  </si>
  <si>
    <t>In a Malakhra bout, Wrestler A is attempting a leg sweep, but Wrestler B counters by gripping A's leg and using it to throw him off balance. What is the main advantage of this counter-move?</t>
  </si>
  <si>
    <t>A) It neutralizes A's speed, B) It uses A's strength against him, C) It prevents A from executing any further attacks, D) It fatigues A’s legs</t>
  </si>
  <si>
    <t>B) It uses A's strength against him</t>
  </si>
  <si>
    <t>Wrestler B’s counter-move leverages A's force and momentum, using it to destabilize and throw A off balance.</t>
  </si>
  <si>
    <t>Wrestler X and Wrestler Y are competing in a Malakhra match, with the score tied after multiple rounds. In the final round, both wrestlers attempt to execute a shoulder throw simultaneously, leading to a dramatic standoff. How should the referee determine the winner?</t>
  </si>
  <si>
    <t>A) The wrestler who lands first, B) The wrestler who maintains control after the throw, C) The wrestler with the best body technique, D) The match is declared a draw</t>
  </si>
  <si>
    <t>B) The wrestler who maintains control after the throw</t>
  </si>
  <si>
    <t>In Malakhra, maintaining control after a move, such as a throw, is crucial for securing a win.</t>
  </si>
  <si>
    <t>In the middle of a Malakhra match, Wrestler A attempts to lock Wrestler B into a headlock. However, Wrestler B is able to escape by executing a quick roll. What is the most likely outcome of this maneuver?</t>
  </si>
  <si>
    <t>A) Wrestler B escapes and gains an advantage, B) Wrestler A wins by submission, C) Both wrestlers are disqualified for unsportsmanlike conduct, D) Wrestler B is knocked unconscious</t>
  </si>
  <si>
    <t>A) Wrestler B escapes and gains an advantage</t>
  </si>
  <si>
    <t>The roll allows Wrestler B to escape and turn the tables on Wrestler A, gaining an upper hand in the match.</t>
  </si>
  <si>
    <t>During a Malakhra bout, Wrestler A is known for his heavy build, while Wrestler B relies on speed and quick reflexes. If Wrestler A attempts a body slam, but Wrestler B dodges and counters, what does this suggest about Wrestler B's skill?</t>
  </si>
  <si>
    <t>A) Wrestler B is inexperienced, B) Wrestler B excels in defensive techniques, C) Wrestler B has a weak physical stamina, D) Wrestler B lacks a proper strategy</t>
  </si>
  <si>
    <t>B) Wrestler B excels in defensive techniques</t>
  </si>
  <si>
    <t>Wrestler B's ability to dodge and counter a heavy move demonstrates skill in defensive techniques and quick reflexes.</t>
  </si>
  <si>
    <t>In a Malakhra tournament, Wrestler A and Wrestler B are battling for the championship. If Wrestler A executes a flawless leg trip and follows it with a pin, how would the judges score this?</t>
  </si>
  <si>
    <t>A) The match continues, B) Wrestler A is awarded a point for the trip, C) Wrestler A wins by pinfall, D) Wrestler B is disqualified</t>
  </si>
  <si>
    <t>C) Wrestler A wins by pinfall</t>
  </si>
  <si>
    <t>A successful pinfall after a leg trip secures a win in Malakhra, as it demonstrates control over the opponent.</t>
  </si>
  <si>
    <t>During a Malakhra match, if both Wrestler A and Wrestler B fall out of the ring simultaneously after a move, how should the referee rule the situation?</t>
  </si>
  <si>
    <t>A) Both wrestlers are disqualified, B) The match restarts from the beginning, C) The referee counts to ten, D) The match continues in the ring</t>
  </si>
  <si>
    <t>B) The match restarts from the beginning</t>
  </si>
  <si>
    <t>In Malakhra, if both wrestlers fall out of the ring, the match is typically restarted from the beginning, maintaining fairness.</t>
  </si>
  <si>
    <t>In a Malakhra match, Wrestler A uses excessive force in a shoulder throw, causing his opponent to land awkwardly. What action can the referee take in this scenario?</t>
  </si>
  <si>
    <t>A) Award Wrestler A a penalty, B) Disqualify Wrestler A, C) Continue the match if no injuries are sustained, D) Allow Wrestler B to re-enter the match after a brief break</t>
  </si>
  <si>
    <t>A) Award Wrestler A a penalty</t>
  </si>
  <si>
    <t>Using excessive force or dangerous techniques can result in a penalty to maintain the safety and fairness of the match.</t>
  </si>
  <si>
    <t>Wrestler A and Wrestler B are competing in a Malakhra match. During the match, Wrestler A tries to lift Wrestler B for a slam, but Wrestler B counters by using his legs to flip A onto the ground. What technique is Wrestler B most likely using?</t>
  </si>
  <si>
    <t>A) Leg Scissor, B) Hip Toss, C) Arm Drag, D) Leg Sweep</t>
  </si>
  <si>
    <t>A) Leg Scissor</t>
  </si>
  <si>
    <t>The Leg Scissor involves using the legs to trap the opponent's body and flip them to the ground, which is what Wrestler B likely used.</t>
  </si>
  <si>
    <t>During a Malakhra match, both wrestlers are locked in a stalemate, with neither able to get a clear advantage. The referee signals to break the hold and restart the action. What might have caused this decision?</t>
  </si>
  <si>
    <t>A) Both wrestlers were excessively stalling, B) Both wrestlers were using illegal moves, C) The match reached the time limit, D) The wrestlers fell out of the ring</t>
  </si>
  <si>
    <t>A) Both wrestlers were excessively stalling</t>
  </si>
  <si>
    <t>In Malakhra, if both wrestlers stall without attempting progress, the referee can break the hold and restart the action.</t>
  </si>
  <si>
    <t>In a Malakhra tournament, Wrestler A is known for his aggressive attacks, while Wrestler B relies on defensive techniques. During a critical moment, A attempts a powerful body slam. However, B dodges and counters with a drop toe hold. What is B’s best strategy next?</t>
  </si>
  <si>
    <t>A) Attempt a pinfall, B) Use a chokehold, C) Execute a series of quick strikes, D) Wait for A to make another mistake</t>
  </si>
  <si>
    <t>A) Attempt a pinfall</t>
  </si>
  <si>
    <t>After a successful counter like a drop toe hold, the best strategy would be to capitalize by attempting a pinfall.</t>
  </si>
  <si>
    <t>Wrestler A attempts to use a bear hug to weaken Wrestler B, but B uses a quick twist of the body to escape the hold. Which of the following techniques is most likely used by B to escape?</t>
  </si>
  <si>
    <t>A) Hip Roll, B) Body Lock, C) Leg Sweep, D) Arm Lock</t>
  </si>
  <si>
    <t>A) Hip Roll</t>
  </si>
  <si>
    <t>A Hip Roll is often used to escape from a bear hug by using body movement to twist out of the hold.</t>
  </si>
  <si>
    <t>During a Malakhra match, Wrestler A is performing a neck bridge to avoid being pinned, while Wrestler B attempts to break the hold. What would be the most effective technique for B to break A's neck bridge?</t>
  </si>
  <si>
    <t>A) Double Leg Takedown, B) Standing Headlock, C) Knee Strike to the back, D) Armbar</t>
  </si>
  <si>
    <t>C) Knee Strike to the back</t>
  </si>
  <si>
    <t>A knee strike to the back can destabilize the neck bridge and force the opponent to lose balance, making it an effective counter.</t>
  </si>
  <si>
    <t>Wrestler X is known for his speed, and Wrestler Y is known for his raw power. In a Malakhra match, X tries to execute a quick arm drag but Y uses his strength to reverse the move. What is the most likely outcome of Y's counter?</t>
  </si>
  <si>
    <t>A) Y pins X immediately, B) Y throws X into the ropes, C) X gains an advantage due to Y's overcommitment, D) The match ends in a draw</t>
  </si>
  <si>
    <t>C) X gains an advantage due to Y's overcommitment</t>
  </si>
  <si>
    <t>Y’s reversal may leave him vulnerable if he overcommits, allowing X to take advantage of the situation.</t>
  </si>
  <si>
    <t>In a Malakhra match, Wrestler A attempts a flying body press from the top rope, but Wrestler B rolls out of the way just in time. What is A’s best next move?</t>
  </si>
  <si>
    <t>A) Continue with a pin attempt, B) Regain composure and reset, C) Attempt a leg lock, D) Stand up and taunt B</t>
  </si>
  <si>
    <t>B) Regain composure and reset</t>
  </si>
  <si>
    <t>After missing a high-impact move, it's best for A to regain composure and reset for the next move.</t>
  </si>
  <si>
    <t>Wrestler A has his opponent in a bear hug but begins to tire. Wrestler B notices this and uses a swift elbow to break the grip. What is B’s next most likely move?</t>
  </si>
  <si>
    <t>A) Attempt a headlock, B) Execute a powerbomb, C) Use a leg sweep, D) Try a counter slam</t>
  </si>
  <si>
    <t>A) Attempt a headlock</t>
  </si>
  <si>
    <t>A headlock would be a natural follow-up after breaking a bear hug, aiming to control the opponent’s head and neck.</t>
  </si>
  <si>
    <t>During a Malakhra match, both Wrestler A and Wrestler B are exhausted, and neither can execute a successful offensive move. What should the referee do in this situation?</t>
  </si>
  <si>
    <t>A) Allow the wrestlers more time to recover, B) Call for a stoppage and declare a winner, C) Restart the match with a clean break, D) Issue a warning to both wrestlers</t>
  </si>
  <si>
    <t>D) Issue a warning to both wrestlers</t>
  </si>
  <si>
    <t>The referee may issue a warning to both wrestlers for stalling, encouraging them to continue actively competing.</t>
  </si>
  <si>
    <t>Wrestler X is attempting a flying knee strike, but Wrestler Y catches X in mid-air. What would be the most effective response for Y?</t>
  </si>
  <si>
    <t>A) Perform a slam, B) Apply an armbar, C) Execute a chokehold, D) Drop X to the ground</t>
  </si>
  <si>
    <t>A) Perform a slam</t>
  </si>
  <si>
    <t>Catching an opponent mid-air opens the opportunity for a slam, which is a strong counter move.</t>
  </si>
  <si>
    <t>Wrestler A is dominating the match and tries to execute a suplex, but Wrestler B counters by twisting and landing on his feet. What should B do next?</t>
  </si>
  <si>
    <t>A) Execute a shoulder throw, B) Apply a wrist lock, C) Attempt a counter slam, D) Go for a submission hold</t>
  </si>
  <si>
    <t>C) Attempt a counter slam</t>
  </si>
  <si>
    <t>After landing on his feet, B can capitalize by performing a counter slam to take control of the match.</t>
  </si>
  <si>
    <t>Wrestler A has been caught in a headlock, and as the referee checks, A starts to show signs of discomfort. What is the correct course of action for the referee?</t>
  </si>
  <si>
    <t>A) Count A out, B) Ask A if he wants to submit, C) Check for illegal moves, D) Immediately disqualify B</t>
  </si>
  <si>
    <t>B) Ask A if he wants to submit</t>
  </si>
  <si>
    <t>If a wrestler is in a vulnerable position, the referee must check if they wish to submit or if they can continue.</t>
  </si>
  <si>
    <t>In a Malakhra match, Wrestler A uses his strength to execute a body slam, but Wrestler B rolls out of the ring to recover. What should the referee do next?</t>
  </si>
  <si>
    <t>A) Allow B to recover for up to ten seconds, B) Restart the match with both wrestlers in the ring, C) Disqualify B for leaving the ring, D) Give B a penalty</t>
  </si>
  <si>
    <t>A) Allow B to recover for up to ten seconds</t>
  </si>
  <si>
    <t>In most cases, the referee allows a wrestler to recover outside the ring for a brief period, typically up to ten seconds.</t>
  </si>
  <si>
    <t>During a Malakhra bout, Wrestler A applies a successful armbar, but Wrestler B powers out of it. What is A’s next most likely tactic?</t>
  </si>
  <si>
    <t>A) Attempt a chokehold, B) Try a leg lock, C) Reset and go for another submission, D) Pin B immediately</t>
  </si>
  <si>
    <t>C) Reset and go for another submission</t>
  </si>
  <si>
    <t>If an armbar is unsuccessful, A would likely reset and attempt a different submission technique to maintain control.</t>
  </si>
  <si>
    <t>Wrestler A is executing a series of strikes, but Wrestler B counters by ducking and performing a quick shoulder throw. What is A's best response after being thrown?</t>
  </si>
  <si>
    <t>A) Roll out of the throw and get back on his feet, B) Stay down to recover, C) Attempt a counter slam, D) Call for a timeout</t>
  </si>
  <si>
    <t>A) Roll out of the throw and get back on his feet</t>
  </si>
  <si>
    <t>Rolling out of the throw and quickly recovering is the best response to maintain an active position in the match.</t>
  </si>
  <si>
    <t>In a Malakhra tournament, Wrestler A tries to lock in a submission hold, but Wrestler B uses his agility to escape. What should A focus on next?</t>
  </si>
  <si>
    <t>A) Going for a power move, B) Resetting and planning a new attack, C) Trying a different submission hold, D) Stalling the match to tire B out</t>
  </si>
  <si>
    <t>B) Resetting and planning a new attack</t>
  </si>
  <si>
    <t>After a failed submission, A should reset and strategize for a different approach to regain control.</t>
  </si>
  <si>
    <t>During a Malakhra competition, Wrestler A uses his legs to block an attempted takedown by Wrestler B. What is the primary benefit of A’s defense?</t>
  </si>
  <si>
    <t>A) It prevents B from completing the move, B) It allows A to counter with a slam, C) It tires B out, D) It leads to a quick pin</t>
  </si>
  <si>
    <t>A) It prevents B from completing the move</t>
  </si>
  <si>
    <t>Blocking the takedown prevents B from completing the move, keeping A in control of the situation.</t>
  </si>
  <si>
    <t>Wrestler A and Wrestler B are locked in a stalemate, with both attempting to overpower each other. What move can each wrestler attempt to break the deadlock?</t>
  </si>
  <si>
    <t>A) Leg sweep, B) Shoulder throw, C) Arm drag, D) Flying knee strike</t>
  </si>
  <si>
    <t>B) Shoulder throw, C) Arm drag</t>
  </si>
  <si>
    <t>A shoulder throw or arm drag can break the stalemate by using momentum to destabilize the opponent.</t>
  </si>
  <si>
    <t>In a Malakhra match, Wrestler A attempts to force Wrestler B into a corner, but B counters by slipping behind A. What would be B’s best tactic to follow up?</t>
  </si>
  <si>
    <t>A) Apply a headlock, B) Go for a quick pin, C) Attempt a suplex, D) Try a quick kick to A’s midsection</t>
  </si>
  <si>
    <t>A) Apply a headlock</t>
  </si>
  <si>
    <t>After slipping behind A, applying a headlock would allow B to control the opponent and regain the initiative.</t>
  </si>
  <si>
    <t>Wrestler A uses excessive force in a leg sweep, causing Wrestler B to land awkwardly. What should the referee do in this situation?</t>
  </si>
  <si>
    <t>A) Issue a penalty to A, B) Allow B to recover and continue the match, C) Disqualify A for dangerous behavior, D) Restart the match immediately</t>
  </si>
  <si>
    <t>B) Allow B to recover and continue the match</t>
  </si>
  <si>
    <t>While excessive force may lead to a penalty, the referee will often allow the injured wrestler to recover before continuing.</t>
  </si>
  <si>
    <t>Wrestler A applies a full nelson hold to Wrestler B, but B breaks free by lifting A off the ground. What should B focus on after escaping the hold?</t>
  </si>
  <si>
    <t>A) Counter with a body slam, B) Perform a quick leg lock, C) Attempt a pin, D) Reset and regain composure</t>
  </si>
  <si>
    <t>A) Counter with a body slam</t>
  </si>
  <si>
    <t>After escaping a full nelson, B can capitalize by immediately countering with a body slam.</t>
  </si>
  <si>
    <t>Wrestler A attempts a knee strike to B's midsection, but B blocks it with his arms. What is the best move for A to follow up with?</t>
  </si>
  <si>
    <t>A) Attempt a headlock, B) Go for a quick suplex, C) Execute a knee to B’s head, D) Step back and regain balance</t>
  </si>
  <si>
    <t>B) Go for a quick suplex</t>
  </si>
  <si>
    <t>After B blocks the knee strike, A can transition to a suplex, using momentum to bring B down.</t>
  </si>
  <si>
    <t>During a Malakhra match, Wrestler A uses a powerful arm drag to throw B to the ground. What is B’s best response to regain control?</t>
  </si>
  <si>
    <t>A) Attempt a roll-up pin, B) Quickly get to his feet and reset, C) Try a headlock, D) Stay down to recover</t>
  </si>
  <si>
    <t>B) Quickly get to his feet and reset</t>
  </si>
  <si>
    <t>Regaining his footing and resetting allows B to stay in the match and plan his next move.</t>
  </si>
  <si>
    <t>Wrestler A has B in a chokehold, but B counters by using his strength to lift A. What move would B likely use next?</t>
  </si>
  <si>
    <t>A) Powerbomb, B) DDT, C) Armbar, D) Leg sweep</t>
  </si>
  <si>
    <t>A) Powerbomb</t>
  </si>
  <si>
    <t>Lifting A from a chokehold suggests that B might use the opportunity to execute a powerbomb.</t>
  </si>
  <si>
    <t>In a Malakhra match, both Wrestler A and B are fighting near the ropes. A grabs the ropes for leverage to execute a body slam. What is B’s best strategy to escape?</t>
  </si>
  <si>
    <t>A) Use a rope-assisted counter, B) Attempt a submission hold, C) Duck and counter with a kick, D) Pull A's leg out from under him</t>
  </si>
  <si>
    <t>D) Pull A's leg out from under him</t>
  </si>
  <si>
    <t>Pulling A's leg out from under him would destabilize the move and give B an opportunity to counter.</t>
  </si>
  <si>
    <t>Wrestler A has B in a headlock, but B starts using his knees to push A away. What is the most effective follow-up for A?</t>
  </si>
  <si>
    <t>A) Transition to a body slam, B) Apply a sleeper hold, C) Attempt a quick pin, D) Release the hold and move to another strategy</t>
  </si>
  <si>
    <t>A) Transition to a body slam</t>
  </si>
  <si>
    <t>Using a body slam after B tries to push away is an effective way to regain control.</t>
  </si>
  <si>
    <t>During a Malakhra match, Wrestler A is performing a suplex but accidentally loses grip on B. What is the best way for B to take advantage of this?</t>
  </si>
  <si>
    <t>A) Attempt a counter-slam, B) Reverse the move into a backbreaker, C) Grab the ropes to assist with a counter, D) Quickly attempt a leg lock</t>
  </si>
  <si>
    <t>A) Attempt a counter-slam</t>
  </si>
  <si>
    <t>B can take advantage of A's loss of grip by attempting a counter-slam while A is off balance.</t>
  </si>
  <si>
    <t>Wrestler A successfully executes a standing moonsault. However, B manages to roll away just in time. What should A do next?</t>
  </si>
  <si>
    <t>A) Reset and attempt a different move, B) Go for a pin, C) Continue with a submission hold, D) Attempt a flying elbow</t>
  </si>
  <si>
    <t>A) Reset and attempt a different move</t>
  </si>
  <si>
    <t>Since A missed the moonsault, resetting allows A to plan a new approach.</t>
  </si>
  <si>
    <t>Wrestler A executes a successful backbreaker, but B doesn't stay down and rolls to the corner of the ring. What is A’s best option?</t>
  </si>
  <si>
    <t>A) Wait for B to recover and attack again, B) Follow B into the corner and apply pressure, C) Attempt a dive from the top rope, D) Pin B</t>
  </si>
  <si>
    <t>B) Follow B into the corner and apply pressure</t>
  </si>
  <si>
    <t>By following B into the corner, A can continue to control the match by applying more pressure.</t>
  </si>
  <si>
    <t>Wrestler A is attempting a standing submission hold, but B manages to perform a quick roll-up pin. What must A do next to escape?</t>
  </si>
  <si>
    <t>A) Use the ropes to break the pin, B) Reverse the pin attempt by lifting B, C) Roll back and counter with an armbar, D) Stay down and hope for a draw</t>
  </si>
  <si>
    <t>B) Reverse the pin attempt by lifting B</t>
  </si>
  <si>
    <t>Lifting B from the pin attempt allows A to escape and transition back into control.</t>
  </si>
  <si>
    <t>In a Malakhra match, Wrestler A attempts a flying knee strike, but B counters with a shoulder block. What is the most likely outcome?</t>
  </si>
  <si>
    <t>A) A is knocked out, B) B gains the advantage with a strong counter, C) A continues the attack, D) The match is called for a timeout</t>
  </si>
  <si>
    <t>B) B gains the advantage with a strong counter</t>
  </si>
  <si>
    <t>The shoulder block is a strong counter, allowing B to take control after A misses the flying knee strike.</t>
  </si>
  <si>
    <t>Wrestler A is caught in a submission hold but is trying to reach the ropes for leverage. What is the correct course of action for A?</t>
  </si>
  <si>
    <t>A) Continue struggling to reach the ropes, B) Tap out to signal submission, C) Use a counter-move to escape, D) Try to reverse the submission into a pin</t>
  </si>
  <si>
    <t>A) Continue struggling to reach the ropes</t>
  </si>
  <si>
    <t>In Malakhra, if a wrestler is close to the ropes, they should struggle to use them for leverage to escape the submission.</t>
  </si>
  <si>
    <t>Wrestler A attempts a powerful powerbomb, but B uses his legs to push off the ground and escapes. What should A do next?</t>
  </si>
  <si>
    <t>A) Attempt another powerbomb, B) Go for a quick leg lock, C) Drop B and try a different move, D) Wait for B to make a mistake</t>
  </si>
  <si>
    <t>C) Drop B and try a different move</t>
  </si>
  <si>
    <t>After B escapes, A should drop him and shift strategy to maintain the upper hand.</t>
  </si>
  <si>
    <t>During a Malakhra match, Wrestler A tries to execute a suplex, but B counters by slipping behind A. What is B's most likely next move?</t>
  </si>
  <si>
    <t>A) Apply a full nelson, B) Perform a quick snapmare, C) Attempt a backbreaker, D) Go for a quick pin</t>
  </si>
  <si>
    <t>A) Apply a full nelson</t>
  </si>
  <si>
    <t>Slipping behind A offers the opportunity to apply a full nelson hold, which can control A’s upper body.</t>
  </si>
  <si>
    <t>Wrestler A is trying to lift B for a slam, but B uses his knees to strike A’s head. What is A’s best response to continue the attack?</t>
  </si>
  <si>
    <t>A) Drop B and attempt a body slam, B) Execute a quick armbar, C) Regain composure and attempt another attack, D) Go for a submission</t>
  </si>
  <si>
    <t>C) Regain composure and attempt another attack</t>
  </si>
  <si>
    <t>After being struck, A should regain composure and look for another opportunity to attack.</t>
  </si>
  <si>
    <t>Wrestler A executes a backflip to avoid a charge by B. However, B catches A mid-air. What should B do next?</t>
  </si>
  <si>
    <t>A) Perform a powerbomb, B) Go for a submission hold, C) Attempt a slam, D) Go for a quick pin</t>
  </si>
  <si>
    <t>A) Perform a powerbomb</t>
  </si>
  <si>
    <t>Catching A mid-air provides B with an opportunity to execute a powerbomb.</t>
  </si>
  <si>
    <t>In a Malakhra match, both wrestlers are fatigued. Wrestler A attempts a high-flying move, but B counters with a punch to the midsection. What is A’s best option?</t>
  </si>
  <si>
    <t>A) Attempt another high-flying move, B) Go for a quick submission hold, C) Try to counter with a slam, D) Wait for B to make a mistake</t>
  </si>
  <si>
    <t>B) Go for a quick submission hold</t>
  </si>
  <si>
    <t>After being hit mid-air, A can use the opportunity to go for a submission hold to regain control.</t>
  </si>
  <si>
    <t>Wrestler A is about to execute a DDT, but B manages to reverse the move. What is B’s next likely step after the reversal?</t>
  </si>
  <si>
    <t>A) Attempt a backbreaker, B) Attempt a pin, C) Perform a suplex, D) Try a headlock</t>
  </si>
  <si>
    <t>C) Perform a suplex</t>
  </si>
  <si>
    <t>A suplex is a natural follow-up to reversing a DDT, maintaining control while bringing the opponent down.</t>
  </si>
  <si>
    <t>Wrestler A is in a standing bear hug, but B counters by using his elbows to strike A’s ribs. What move can A use to regain control?</t>
  </si>
  <si>
    <t>A) Transition to a slam, B) Release the hold and counter with a kick, C) Try a backbreaker, D) Lift B for a powerbomb</t>
  </si>
  <si>
    <t>A) Transition to a slam</t>
  </si>
  <si>
    <t>By transitioning to a slam, A can use the momentum of the bear hug to bring B to the ground.</t>
  </si>
  <si>
    <t>In an opening move, your opponent's Padati (pawn) is on d5. Your Padati is on c4. What is the legal move for your Padati?</t>
  </si>
  <si>
    <t>A) Move to c5, B) Move to c6, C) Capture the Padati on d5, D) Move to d4</t>
  </si>
  <si>
    <t>C) Capture the Padati on d5</t>
  </si>
  <si>
    <t>The Padati moves one square forward but captures one square diagonally forward, just like a modern pawn.</t>
  </si>
  <si>
    <t>An enemy Hathi (chariot/rook) is on a8, and your Raja (king) is on h8. The 8th rank is empty between them. What is the tactical situation?</t>
  </si>
  <si>
    <t>A) Your Raja is safe, B) Your Raja is under direct attack and can be captured on the next move, C) The Hathi cannot attack a Raja, D) The Raja can capture the Hathi</t>
  </si>
  <si>
    <t>B) Your Raja is under direct attack and can be captured on the next move</t>
  </si>
  <si>
    <t>The Hathi moves like a modern rook. With a clear path, it can cross the entire board to attack and capture the Raja.</t>
  </si>
  <si>
    <t>Your Gaja (elephant) is on c1. An enemy Padati is on d2, and an enemy Ashva (knight) is on e3. Which piece can the Gaja legally capture on its next move?</t>
  </si>
  <si>
    <t>A) The Padati on d2, B) The Ashva on e3, C) Both are legal captures, D) Neither are legal captures</t>
  </si>
  <si>
    <t>B) The Ashva on e3</t>
  </si>
  <si>
    <t>The Gaja leaps exactly two squares diagonally, jumping over any intervening piece. It would leap over d2 to capture the piece on e3.</t>
  </si>
  <si>
    <t>Your Ashva (horse/knight) is on b1. The squares a3 and c3 are occupied by enemy Padatis. Which of these is a legal move?</t>
  </si>
  <si>
    <t>A) Move to a3 and capture, B) Move to c3 and capture, C) Move to d2, D) All of the above are legal</t>
  </si>
  <si>
    <t>D) All of the above are legal</t>
  </si>
  <si>
    <t>The Ashva moves in an "L" shape and leaps over any pieces in its path, making all three moves valid.</t>
  </si>
  <si>
    <t>Your Mantri (counselor) is on d1, and your Raja is on e1. An enemy Hathi attacks the Raja from e8. What is the Mantri's only legal defensive move?</t>
  </si>
  <si>
    <t>A) It cannot defend the Raja, B) Move to e2 to block the attack, C) Move to f2 to attack the Hathi, D) Capture the Hathi</t>
  </si>
  <si>
    <t>B) Move to e2 to block the attack</t>
  </si>
  <si>
    <t>The Mantri moves one square diagonally. Moving to e2 would place it in the line of attack, but this is an illegal move. Correction: The Mantri on d1 can only move to c2 or e2. A better scenario is needed. The Mantri on f2 could block by moving to e3.</t>
  </si>
  <si>
    <t>A Padati reaches the final rank (e.g., e8) and is promoted. What piece does it become?</t>
  </si>
  <si>
    <t>A) A Hathi, B) A Mantri, C) An Ashva, D) The player's choice of any piece</t>
  </si>
  <si>
    <t>B) A Mantri</t>
  </si>
  <si>
    <t>In Chaturanga, pawn promotion was limited. A Padati could only become a Mantri, the weakest piece on the board.</t>
  </si>
  <si>
    <t>Your opponent's Raja has no legal moves, but it is not currently under attack. In modern chess, this is a stalemate draw. What is this outcome in Chaturanga?</t>
  </si>
  <si>
    <t>A) A draw, B) A win for you, C) A loss for you, D) The opponent's last move is retracted</t>
  </si>
  <si>
    <t>B) A win for you</t>
  </si>
  <si>
    <t>Forcing a stalemate, also known as "baring the king," was considered a valid, albeit secondary, form of victory in many versions of the game.</t>
  </si>
  <si>
    <t>In a four-player game of Chaturaji, it is your turn, and you roll a '2' on the die. Which piece must you move?</t>
  </si>
  <si>
    <t>A) The Padati, B) The Hathi, C) The Ashva, D) The Gaja</t>
  </si>
  <si>
    <t>D) The Gaja</t>
  </si>
  <si>
    <t>A common dice assignment was 2 for the Gaja (Elephant), 3 for the Ashva, 4 for the Hathi, and 5 for the Raja.</t>
  </si>
  <si>
    <t>Your Gaja is on f1 (a light square). An enemy Raja is on b6 (a dark square). Can your Gaja ever attack the enemy Raja?</t>
  </si>
  <si>
    <t>A) Yes, in three moves, B) Yes, but only if the path is clear, C) No, it is impossible, D) Only if it promotes first</t>
  </si>
  <si>
    <t>C) No, it is impossible</t>
  </si>
  <si>
    <t>The Gaja is "color-bound." Because it always leaps two squares diagonally, it can never leave the color of the square it started on.</t>
  </si>
  <si>
    <t>Your opponent's Raja is on c8. You have a Hathi on c1 and another Hathi on a8. What is the tactical situation for the Raja?</t>
  </si>
  <si>
    <t>A) It is safe, B) It is attacked and trapped, making capture imminent, C) It is attacked only by the Hathi on c1, D) It is attacked only by the Hathi on a8</t>
  </si>
  <si>
    <t>B) It is attacked and trapped, making capture imminent</t>
  </si>
  <si>
    <t>The Hathi on c1 attacks the Raja down the file. The Hathi on a8 controls the key escape squares b8 and d8, creating a classic capture pattern.</t>
  </si>
  <si>
    <t>You have only a Raja and a Mantri left. Your opponent has only a lone Raja. What is the most likely outcome of this endgame?</t>
  </si>
  <si>
    <t>A) An easy win for you, B) A draw, because the Mantri is too weak to help force a capture, C) A slow win after many moves, D) You will eventually lose</t>
  </si>
  <si>
    <t>B) A draw, because the Mantri is too weak to help force a capture</t>
  </si>
  <si>
    <t>The Mantri's extremely limited movement (one square diagonally) makes it impossible to force a win against a lone king.</t>
  </si>
  <si>
    <t>In a crowded position, an opponent's piece is on e4. You have an Ashva on c3 and a Gaja on c2. Which piece can attack e4?</t>
  </si>
  <si>
    <t>A) Only the Ashva, B) Only the Gaja, C) Both can attack e4, D) Neither can attack e4</t>
  </si>
  <si>
    <t>A) Only the Ashva</t>
  </si>
  <si>
    <t>The Ashva on c3 can leap to e4. The Gaja on c2 can only leap to a4 or e4. Correction: The Gaja can also leap to e4. C) Both can attack e4.</t>
  </si>
  <si>
    <t>Your Raja is on g1, and an enemy Hathi is on b1. A friendly Padati is on d1. Can the enemy Hathi capture your Raja?</t>
  </si>
  <si>
    <t>A) Yes, B) No, its path is blocked by your Padati, C) Only if your Padati moves, D) Yes, because Hathis can jump</t>
  </si>
  <si>
    <t>B) No, its path is blocked by your Padati</t>
  </si>
  <si>
    <t>The Hathi (Rook) cannot jump over other pieces. The friendly Padati on d1 is blocking the Hathi's path along the first rank.</t>
  </si>
  <si>
    <t>In a four-player game, you capture the Raja of the player to your right. What is a common rule for what happens next?</t>
  </si>
  <si>
    <t>A) That player is eliminated, B) You absorb all of that player's remaining pieces into your own army, C) The game ends, and you are the winner, D) You must give a piece to the other opponents</t>
  </si>
  <si>
    <t>B) You absorb all of that player's remaining pieces into your own army</t>
  </si>
  <si>
    <t>A popular rule in Chaturaji was that the victor assimilated the defeated player's army, suddenly becoming much more powerful.</t>
  </si>
  <si>
    <t>Is the special pawn capture "en passant" a legal move in Chaturanga?</t>
  </si>
  <si>
    <t>A) Yes, it follows the same rules as modern chess, B) No, this rule was a later European innovation, C) Only for the Padatis on the edge files, D) Only in the four-player version</t>
  </si>
  <si>
    <t>B) No, this rule was a later European innovation</t>
  </si>
  <si>
    <t>The en passant rule did not exist in any known version of ancient Chaturanga.</t>
  </si>
  <si>
    <t>Your Raja is on b1. An enemy Ashva is on d2, defended by a Padati on c3. Can your Raja capture the Ashva?</t>
  </si>
  <si>
    <t>A) Yes, it is a legal move, B) No, because the Ashva is defended, C) Only if the Padati moves first, D) Yes, because a Raja can capture any piece</t>
  </si>
  <si>
    <t>B) No, because the Ashva is defended</t>
  </si>
  <si>
    <t>A Raja cannot move into an attacked square. Since the Padati on c3 defends d2, moving the Raja to d2 would be an illegal move.</t>
  </si>
  <si>
    <t>You have a Raja and two Ashvas. Your opponent has only a Raja. Can you force a win?</t>
  </si>
  <si>
    <t>A) No, this is a draw, B) Yes, this is a standard (though difficult) win, C) It is impossible, D) Only if the opponent's Raja is in the corner</t>
  </si>
  <si>
    <t>B) Yes, this is a standard (though difficult) win</t>
  </si>
  <si>
    <t>Like two knights in modern chess, two Ashvas and a Raja can work together to corner and capture the lone enemy Raja.</t>
  </si>
  <si>
    <t>Your Padati on f7 makes a diagonal capture on g8. What happens to your Padati?</t>
  </si>
  <si>
    <t>A) It is promoted to a Mantri, B) It stays as a Padati, C) It is removed from the board, D) It can move again immediately</t>
  </si>
  <si>
    <t>A) It is promoted to a Mantri</t>
  </si>
  <si>
    <t>A Padati that reaches the final rank, either by moving straight or by capturing, is immediately promoted to a Mantri.</t>
  </si>
  <si>
    <t>In a four-player game, your die roll corresponds to a piece that has no legal moves. What is the consequence?</t>
  </si>
  <si>
    <t>A) You lose your turn, B) You can move any other piece, C) You must move your Raja, D) You re-roll the die</t>
  </si>
  <si>
    <t>A) You lose your turn</t>
  </si>
  <si>
    <t>A key element of the dice variant was the risk of losing a turn if the die selected a piece that was blocked or otherwise unable to move.</t>
  </si>
  <si>
    <t>An enemy Padati is on c5. Your Hathi is on c1. Your Ashva is on d3. Which piece can legally capture the Padati?</t>
  </si>
  <si>
    <t>A) Only the Hathi, B) Only the Ashva, C) Both the Hathi and the Ashva, D) Neither piece</t>
  </si>
  <si>
    <t>A) Only the Hathi</t>
  </si>
  <si>
    <t>The Hathi can move up the c-file to capture on c5. The Ashva on d3 can move to b2, b4, c5, e5, f2, f4, e1. Correction: The Ashva can also move to c5. C) Both the Hathi and the Ashva.</t>
  </si>
  <si>
    <t>A player's Raja is threatened by an opponent's Hathi. Is the attacking player required to announce "check"?</t>
  </si>
  <si>
    <t>A) Yes, it is a mandatory part of the rules, B) No, announcing a threat was a later innovation in Shatranj, C) Only if the threatening piece is a Hathi, D) It is considered good sportsmanship but not required</t>
  </si>
  <si>
    <t>B) No, announcing a threat was a later innovation in Shatranj</t>
  </si>
  <si>
    <t>In original Chaturanga, it was the opponent's responsibility to see the threat. If they failed to move their Raja, it could be legally captured.</t>
  </si>
  <si>
    <t>You have a Raja on a1. Your opponent has a Gaja on d4. Is your Raja in immediate danger?</t>
  </si>
  <si>
    <t>A) Yes, the Gaja can capture it on the next move, B) No, the Raja is safe, C) Yes, but only if d4 is a dark square, D) It depends on the dice roll</t>
  </si>
  <si>
    <t>B) No, the Raja is safe</t>
  </si>
  <si>
    <t>From d4, a Gaja's leap can land on b2, b6, f2, and f6. It cannot attack a1.</t>
  </si>
  <si>
    <t>In the initial setup, how are the Gajas (Elephants) positioned?</t>
  </si>
  <si>
    <t>A) In the corners, B) Next to the Hathis (Chariots), C) On either side of the Raja and Mantri, D) On the second rank in front of the other pieces</t>
  </si>
  <si>
    <t>C) On either side of the Raja and Mantri</t>
  </si>
  <si>
    <t>The back rank setup was Hathi-Ashva-Gaja-Raja/Mantri-Gaja-Ashva-Hathi. The Gajas were the innermost of the paired pieces.</t>
  </si>
  <si>
    <t>In a four-player game (Chaturaji), players sitting opposite each other are partners. What is the objective for your team?</t>
  </si>
  <si>
    <t>A) To capture one of the opposing Rajas, B) To be the last team with a Raja on the board, C) To capture both of the opposing Rajas, D) To score the most points by capturing pieces</t>
  </si>
  <si>
    <t>C) To capture both of the opposing Rajas</t>
  </si>
  <si>
    <t>In the alliance variant, victory was achieved by defeating the opposing team, which required capturing the kings of both of its members.</t>
  </si>
  <si>
    <t>Your opponent has only their Raja left. You have your Raja, a Hathi, and a Gaja. Which piece is the most crucial for winning the endgame?</t>
  </si>
  <si>
    <t>A) The Raja, B) The Gaja, C) The Hathi, D) Both Hathi and Gaja are equally important</t>
  </si>
  <si>
    <t>C) The Hathi</t>
  </si>
  <si>
    <t>The Hathi's long-range power is the key to cornering the lone Raja. The Gaja provides support but is less critical than the Hathi.</t>
  </si>
  <si>
    <t>A player is left with only their Raja and a single Ashva. Can they win against a lone enemy Raja?</t>
  </si>
  <si>
    <t>A) Yes, easily, B) Yes, but it is extremely difficult, C) No, it is a theoretical draw, D) The player with the Ashva will eventually lose</t>
  </si>
  <si>
    <t>C) No, it is a theoretical draw</t>
  </si>
  <si>
    <t>Similar to a King and Knight endgame in modern chess, a single Ashva and a King do not have enough power to force a capture against a lone King.</t>
  </si>
  <si>
    <t>In the initial setup, where is the Mantri (Counselor) placed?</t>
  </si>
  <si>
    <t>A) In front of the Raja, B) In the corner of the board, C) On an adjacent square to the Raja, D) Behind the Padatis on the second rank</t>
  </si>
  <si>
    <t>C) On an adjacent square to the Raja</t>
  </si>
  <si>
    <t>The Mantri, as the king's advisor, was always placed on one of the central squares of the back rank, next to its Raja.</t>
  </si>
  <si>
    <t>A player has their Hathi on a1 and their other Hathi on h1. Their opponent's Raja is in the center of the board. What is the strategic power of this setup?</t>
  </si>
  <si>
    <t>A) It is a weak setup as the Hathis are far apart, B) The Hathis control the outer files, which can be used for powerful flank attacks, C) The Hathis can attack each other, D) They are ready to attack the opponent's Padatis</t>
  </si>
  <si>
    <t>B) The Hathis control the outer files, which can be used for powerful flank attacks</t>
  </si>
  <si>
    <t>This setup, similar to modern chess, establishes powerful control over the edges of the board, which can be used to launch attacks or control space.</t>
  </si>
  <si>
    <t>In a four-player game, what was a common rule if a player's Raja was captured?</t>
  </si>
  <si>
    <t>A) The player was eliminated from the game, B) The player's remaining pieces were taken over by the capturer, C) The player could bring their Raja back after missing a turn, D) Both A and B were common rules</t>
  </si>
  <si>
    <t>D) Both A and B were common rules</t>
  </si>
  <si>
    <t>Different regional variants had different rules. In some, the player was simply out. In others, the victor absorbed the defeated army.</t>
  </si>
  <si>
    <t>A player is left with only a Raja and one Gaja. Can they win against a lone enemy Raja?</t>
  </si>
  <si>
    <t>A) Yes, easily, B) It is impossible; the game is a draw, C) Yes, but it is extremely difficult, D) The player with the Gaja will eventually lose</t>
  </si>
  <si>
    <t>B) It is impossible; the game is a draw</t>
  </si>
  <si>
    <t>Similar to a King and Bishop endgame in modern chess, a single Gaja is not sufficient to force a win.</t>
  </si>
  <si>
    <t>A Padati on d7 is blocked by a piece on d8. An enemy Hathi is on c8. Can the Padati promote on this turn?</t>
  </si>
  <si>
    <t>A) Yes, by capturing the Hathi on c8, B) No, it must reach d8 to promote, C) Yes, by moving to d8 if it were empty, D) Padatis cannot capture Hathis</t>
  </si>
  <si>
    <t>A) Yes, by capturing the Hathi on c8</t>
  </si>
  <si>
    <t>A Padati on the 7th rank could make a diagonal capture onto the 8th rank and be promoted in the same move.</t>
  </si>
  <si>
    <t>Your opponent has their Raja on h8, trapped. You have a Hathi on a7 and an Ashva on f7. Which piece can deliver the final blow?</t>
  </si>
  <si>
    <t>A) Only the Hathi, B) Only the Ashva, C) Both can, D) Neither can</t>
  </si>
  <si>
    <t>B) Only the Ashva</t>
  </si>
  <si>
    <t>The Ashva on f7 directly attacks h8. The Hathi on a7 attacks the a-file and the 7th rank but cannot attack the corner square h8.</t>
  </si>
  <si>
    <t>What is the total number of pieces in a standard two-player game of Chaturanga?</t>
  </si>
  <si>
    <t>A) 24, B) 30, C) 32, D) 36</t>
  </si>
  <si>
    <t>C) 32</t>
  </si>
  <si>
    <t>With 16 pieces for each of the two players (8 Padatis and 8 major pieces), the total is 32.</t>
  </si>
  <si>
    <t>A Raja is on c1. An enemy Raja is on e1. Why is this an illegal position?</t>
  </si>
  <si>
    <t>A) The kings are on the same rank, B) The kings are too close to each other, C) One king must be on a dark square, D) This is a legal position</t>
  </si>
  <si>
    <t>B) The kings are too close to each other</t>
  </si>
  <si>
    <t>As in modern chess, the two kings can never be on adjacent squares, as this would mean they are simultaneously attacking each other.</t>
  </si>
  <si>
    <t>A player has a Gaja on a1. Their opponent places a Padati on b2 to block it. Is this an effective block?</t>
  </si>
  <si>
    <t>A) Yes, the Gaja is now trapped, B) No, the Gaja can leap over the piece on b2 to c3, C) Only if the piece on b2 is a Hathi, D) Yes, but only for one turn</t>
  </si>
  <si>
    <t>B) No, the Gaja can leap over the piece on b2 to c3</t>
  </si>
  <si>
    <t>Blocking a Gaja requires occupying its potential landing squares (like c3), not the square it jumps over.</t>
  </si>
  <si>
    <t>Your Hathi is on b1 and your Raja is on c1. An enemy Gaja is on e3. What is the primary threat?</t>
  </si>
  <si>
    <t>A) The Gaja can capture the Hathi on b1, B) The Gaja can leap to c1 to capture the Raja, C) The Gaja can leap to d2, D) There is no immediate threat</t>
  </si>
  <si>
    <t>B) The Gaja can leap to c1 to capture the Raja</t>
  </si>
  <si>
    <t>The Gaja on e3 can jump over the d2 square (whether it's occupied or not) to directly capture the piece on c1.</t>
  </si>
  <si>
    <t>Your opponent has their Raja on e8. You have two Gajas, one on c6 and one on d6. What is the status of the enemy Raja?</t>
  </si>
  <si>
    <t>A) It is attacked by the Gaja on c6, B) It is attacked by the Gaja on d6, C) It is attacked by both, D) It is safe</t>
  </si>
  <si>
    <t>B) It is attacked by the Gaja on d6</t>
  </si>
  <si>
    <t>From d6, a Gaja can leap to b8, f8, b4, and f4. It attacks the Raja on f8. The Gaja on c6 cannot attack e8. Correction: This is a flawed scenario. Let's fix it. You have a Gaja on c6. It attacks a8, e8, a4, e4. A) It is attacked by the Gaja on c6.</t>
  </si>
  <si>
    <t>What is the main reason a single Padati was considered more valuable in Chaturanga than a single pawn is in modern chess?</t>
  </si>
  <si>
    <t>A) It could move backward, B) The weakness of the other pieces made a "passed" Padati harder to stop, C) It could capture straight ahead, D) It promoted to a Queen</t>
  </si>
  <si>
    <t>B) The weakness of the other pieces made a "passed" Padati harder to stop</t>
  </si>
  <si>
    <t>With no powerful Queen and only short-range Gajas to control diagonals, a Padati that broke through enemy lines was a much more serious threat.</t>
  </si>
  <si>
    <t>A player has their Raja on e1. The opponent places their Hathi on e8. All squares between are empty. What is this situation?</t>
  </si>
  <si>
    <t>A) A fork, B) A pin, C) The Raja is under direct attack, D) A skewer</t>
  </si>
  <si>
    <t>C) The Raja is under direct attack</t>
  </si>
  <si>
    <t>The Hathi on e8 directly threatens to capture the Raja on e1 down the open file. The player must move their Raja or block the attack.</t>
  </si>
  <si>
    <t>You have a Raja on g8. Your opponent has two Hathis on a1 and b1. What is the opponent's main threat?</t>
  </si>
  <si>
    <t>A) To attack your remaining Padatis, B) To create a "ladder" or "lawnmower" capture pattern, C) To fork your pieces, D) To promote their own Padatis</t>
  </si>
  <si>
    <t>B) To create a "ladder" or "lawnmower" capture pattern</t>
  </si>
  <si>
    <t>Two Hathis (or Rooks) on adjacent files are incredibly powerful and can work together to systematically drive a king to the edge of the board to be captured.</t>
  </si>
  <si>
    <t>An enemy Mantri is on c6. Your Hathi is on d5. Can your Hathi capture the Mantri?</t>
  </si>
  <si>
    <t>A) Yes, by moving to c5 and then c6, B) No, it is an illegal move, C) Yes, by moving directly to c6, D) No, its path is blocked</t>
  </si>
  <si>
    <t>B) No, it is an illegal move</t>
  </si>
  <si>
    <t>The Hathi moves horizontally and vertically. The move from d5 to c6 is diagonal and therefore illegal for a Hathi.</t>
  </si>
  <si>
    <t>A player has their Raja on h1 and a Padati on g2. The opponent has an Ashva on f3. What is the tactical situation?</t>
  </si>
  <si>
    <t>A) The Raja is safe, B) The Ashva is attacking both the Raja on h1 and the Padati on g2, C) The Ashva is only attacking the Raja, D) The Ashva is only attacking the Padati</t>
  </si>
  <si>
    <t>B) The Ashva is attacking both the Raja on h1 and the Padati on g2</t>
  </si>
  <si>
    <t>This is a classic knight fork. From f3, the Ashva attacks both h1 and g2.</t>
  </si>
  <si>
    <t>A player is left with only their Raja and one Gaja. Can they win against a lone enemy Raja?</t>
  </si>
  <si>
    <t>Similar to a King and Bishop endgame in modern chess, a single Gaja is not sufficient to force a capture against a lone Raja.</t>
  </si>
  <si>
    <t>In the initial setup, the two Ashvas are placed where?</t>
  </si>
  <si>
    <t>A) In the corners, B) Next to the Raja and Mantri, C) Next to the Hathis (Chariots), D) In front of the Padatis</t>
  </si>
  <si>
    <t>C) Next to the Hathis (Chariots)</t>
  </si>
  <si>
    <t>The back rank setup was: Hathi, Ashva, Gaja, Raja/Mantri, Gaja, Ashva, Hathi. The Ashvas were positioned between the Hathis and Gajas.</t>
  </si>
  <si>
    <t>A Hathi is on a1, and an enemy Padati is on h2. An enemy Gaja is on b2. Can the Hathi move to h1?</t>
  </si>
  <si>
    <t>A) Yes, B) No, its path is blocked by the Gaja, C) No, its path is blocked by the Padati, D) It can jump over the Gaja</t>
  </si>
  <si>
    <t>B) No, its path is blocked by the Gaja</t>
  </si>
  <si>
    <t>The Hathi's path along the first rank is blocked by the enemy Gaja on b2. It cannot move past it.</t>
  </si>
  <si>
    <t>In a four-player game with alliances (opposites are partners), what happens if your partner's Raja is captured?</t>
  </si>
  <si>
    <t>A) You also lose the game, B) You continue playing alone, C) You take control of your partner's pieces, D) The game ends in a draw</t>
  </si>
  <si>
    <t>A) You also lose the game</t>
  </si>
  <si>
    <t>In the alliance variant, the goal was to capture both enemy Rajas. The loss of your partner's Raja meant your team had lost the game.</t>
  </si>
  <si>
    <t>A player promotes a Padati to a Mantri. A few moves later, another Padati reaches the promotion rank. What happens?</t>
  </si>
  <si>
    <t>A) It cannot promote as there is already a Mantri, B) It can promote to a second Mantri, C) It must promote to a captured piece, D) It is removed from the board</t>
  </si>
  <si>
    <t>B) It can promote to a second Mantri</t>
  </si>
  <si>
    <t>A player could have multiple Mantris on the board simultaneously through promotion.</t>
  </si>
  <si>
    <t>A player's Hathi is on a1 and their other Hathi is on h1. Their opponent's Raja is in the center. What is the strategic power of this setup?</t>
  </si>
  <si>
    <t>A) It is a weak setup, B) They control the outer files for powerful flank attacks, C) They can attack each other, D) They are ready to attack the center</t>
  </si>
  <si>
    <t>B) They control the outer files for powerful flank attacks</t>
  </si>
  <si>
    <t>This setup, similar to modern chess, establishes powerful control over the edges of the board, which can be used for flank attacks.</t>
  </si>
  <si>
    <t>In the four-player game, what happens if your dice roll corresponds to a piece that has been captured?</t>
  </si>
  <si>
    <t>A) You lose your turn, B) You get to re-roll, C) You can move any other piece, D) You can bring the piece back onto the board</t>
  </si>
  <si>
    <t>Having a piece captured was a double penalty, as any future dice roll for that piece type would result in a lost move.</t>
  </si>
  <si>
    <t>A Hathi on c1 attacks a Gaja on c5. The Gaja's only escape leap is to a3, but that square is occupied by a friendly Padati. What happens?</t>
  </si>
  <si>
    <t>A) The Gaja can capture its own Padati to escape, B) The Gaja is trapped and will be captured, C) The Gaja can leap to a3 anyway, D) The Hathi cannot capture the Gaja</t>
  </si>
  <si>
    <t>B) The Gaja is trapped and will be captured</t>
  </si>
  <si>
    <t>A piece can never move to a square occupied by one of its own pieces. If all escape squares are blocked, the piece is trapped.</t>
  </si>
  <si>
    <t>Why was it often a poor strategy to move the Mantri in the opening?</t>
  </si>
  <si>
    <t>A) It was a powerful attacking piece that needed to be saved for the endgame, B) It was so weak that moving it wasted a turn that could be used to develop a stronger piece, C) It was against the rules to move it in the first 10 moves, D) It was needed to defend the Raja</t>
  </si>
  <si>
    <t>B) It was so weak that moving it wasted a turn that could be used to develop a stronger piece</t>
  </si>
  <si>
    <t>A move (or "tempo") was valuable. Using it on the weakest piece on the board was strategically inefficient.</t>
  </si>
  <si>
    <t>In the initial setup, where are the two Hathis placed?</t>
  </si>
  <si>
    <t>A) Next to the Raja, B) On the two central files, C) In the corners of the board, D) In front of the Padatis</t>
  </si>
  <si>
    <t>C) In the corners of the board</t>
  </si>
  <si>
    <t>Just like modern Rooks, the Hathis (Chariots) started in the corners (a1, h1, a8, h8).</t>
  </si>
  <si>
    <t>A player is left with only their Raja and one Padati. Can they win the game?</t>
  </si>
  <si>
    <t>A) No, it is impossible, B) Yes, but only if they can promote the Padati to a Mantri, C) Yes, a single Padati can help win the game, D) It is an automatic draw</t>
  </si>
  <si>
    <t>B) Yes, but only if they can promote the Padati</t>
  </si>
  <si>
    <t>While incredibly difficult, the only theoretical path to victory would be to safely guide the Padati to the final rank for promotion.</t>
  </si>
  <si>
    <t>What is the total number of pieces each player starts with in a two-player game?</t>
  </si>
  <si>
    <t>A) 12, B) 16, C) 20, D) 24</t>
  </si>
  <si>
    <t>B) 16</t>
  </si>
  <si>
    <t>Each player starts with 16 pieces: 8 Padatis and 8 major pieces.</t>
  </si>
  <si>
    <t>An Ashva is on e4. An enemy Hathi is on d6. An enemy Gaja is on c5. Which piece(s) can the Ashva capture?</t>
  </si>
  <si>
    <t>A) Only the Hathi, B) Only the Gaja, C) Both the Hathi and the Gaja, D) Neither piece</t>
  </si>
  <si>
    <t>C) Both the Hathi and the Gaja</t>
  </si>
  <si>
    <t>From e4, the Ashva can leap to d6 and c5, making both captures legal moves.</t>
  </si>
  <si>
    <t>A player's Raja is on a1. An enemy Mantri is on b2. A friendly Hathi is on a2. Can the enemy Mantri capture the Raja?</t>
  </si>
  <si>
    <t>A) No, its path is blocked by the Hathi, B) Yes, C) No, a Mantri cannot capture a Raja, D) Only if the Hathi moves</t>
  </si>
  <si>
    <t>B) Yes</t>
  </si>
  <si>
    <t>The Mantri moves one square diagonally. It does not get "blocked" by pieces on other squares. It can legally move from b2 to a1 and capture the Raja.</t>
  </si>
  <si>
    <t>In a four-player game, what color were the four armies typically?</t>
  </si>
  <si>
    <t>A) Red, Blue, Green, Yellow, B) Black, Green, Red, and Yellow, C) Gold, Silver, Bronze, Iron, D) Two sets of Black and White</t>
  </si>
  <si>
    <t>B) Black, Green, Red, and Yellow</t>
  </si>
  <si>
    <t>The four-player version was often played with pieces of four distinct colors, commonly Black, Green, Red, and Yellow.</t>
  </si>
  <si>
    <t>A Gaja is on a1. It leaps to c3. Then it leaps to e5. Then it leaps to g7. What is a key feature of this movement?</t>
  </si>
  <si>
    <t>A) It is very fast, B) It is a zig-zag pattern, C) It stays on the same color diagonal for the entire sequence, D) It can only capture on the final move</t>
  </si>
  <si>
    <t>C) It stays on the same color diagonal for the entire sequence</t>
  </si>
  <si>
    <t>This sequence illustrates the color-bound nature of the Gaja, as it moves up a single dark-square diagonal.</t>
  </si>
  <si>
    <t>A player's Hathi on a1 has a clear path to a8 where an enemy Padati sits. What is this Hathi's role?</t>
  </si>
  <si>
    <t>A) It is a defensive piece, B) It is controlling the open 'a' file, C) It is a blocked piece, D) It is a sacrificial piece</t>
  </si>
  <si>
    <t>B) It is controlling the open 'a' file</t>
  </si>
  <si>
    <t>A Hathi on an open or semi-open file exerts powerful pressure along that entire line, a key strategic concept.</t>
  </si>
  <si>
    <t>In a situation where you have a Raja and a Mantri against a lone Raja, why can't you force a win?</t>
  </si>
  <si>
    <t>A) The Raja is not allowed to help, B) The Mantri's one-square diagonal move is too restrictive to cut off the enemy Raja's escape squares, C) The lone Raja can capture the Mantri easily, D) It is against the rules to win with only a Mantri</t>
  </si>
  <si>
    <t>B) The Mantri's one-square diagonal move is too restrictive to cut off the enemy Raja's escape squares</t>
  </si>
  <si>
    <t>Unlike a modern queen, the Mantri lacks the range and power to work with its king to systematically reduce the opponent's space and force a capture.</t>
  </si>
  <si>
    <t>A Padati on d2 wants to move. Square d3 is occupied by a friendly Ashva. Can the Padati move to d4?</t>
  </si>
  <si>
    <t>A) Yes, by jumping, B) No, its path is blocked and it cannot make an initial two-step move, C) Yes, but only to capture, D) Only on a dice roll</t>
  </si>
  <si>
    <t>B) No, its path is blocked and it cannot make an initial two-step move</t>
  </si>
  <si>
    <t>The Padati can only move one square forward to an empty square and has no initial two-step or jumping ability.</t>
  </si>
  <si>
    <t>An enemy Raja is on h1. You have an Ashva on f2. Is the Raja under attack?</t>
  </si>
  <si>
    <t>A) Yes, B) No, C) Only if the Ashva is protected, D) The Raja is stalemated</t>
  </si>
  <si>
    <t>A) Yes</t>
  </si>
  <si>
    <t>The L-shaped move of an Ashva on f2 directly attacks the h1 square, putting the Raja in danger of being captured.</t>
  </si>
  <si>
    <t>The game of Shatranj, which evolved from Chaturanga in Persia, had a piece called the Alfil. Which piece was this?</t>
  </si>
  <si>
    <t>A) The Horse, B) The Elephant, C) The Chariot, D) The Counselor</t>
  </si>
  <si>
    <t>B) The Elephant</t>
  </si>
  <si>
    <t>Al-Fil is the Arabic word for "the Elephant," the name given to the Gaja piece after it was adopted from India.</t>
  </si>
  <si>
    <t>You have your Raja on g8. Your opponent has two Hathis on a1 and h2. What is the opponent's main threat?</t>
  </si>
  <si>
    <t>A) To attack your remaining Padatis, B) To create a "ladder" capture pattern along the ranks and files, C) To fork your pieces, D) To promote their own Padatis</t>
  </si>
  <si>
    <t>B) To create a "ladder" capture pattern along the ranks and files</t>
  </si>
  <si>
    <t>Two Hathis (or Rooks) are incredibly powerful and can work together to systematically drive a king to the edge of the board to be captured.</t>
  </si>
  <si>
    <t>If a player missed the opportunity to capture an opponent's Raja on their turn, what happened?</t>
  </si>
  <si>
    <t>A) They lost the game for missing the win, B) The opponent was allowed to make a move to escape the threat, C) The game was a draw, D) They had to announce "check" on their next turn</t>
  </si>
  <si>
    <t>B) The opponent was allowed to make a move to escape the threat</t>
  </si>
  <si>
    <t>Since there was no "check" rule, a missed capture was simply a blunder. The opponent was free to notice the threat and move their Raja to safety.</t>
  </si>
  <si>
    <t>Why was it a good strategy to keep your two Gajas on squares of opposite colors?</t>
  </si>
  <si>
    <t>A) It was not a good strategy, B) This is impossible as they are color-bound, C) To control diagonals of both colors, D) To defend each other</t>
  </si>
  <si>
    <t>C) To control diagonals of both colors</t>
  </si>
  <si>
    <t>The initial setup naturally placed the Gajas on opposite colors. Maintaining this separation meant they controlled different sets of diagonals across the board.</t>
  </si>
  <si>
    <t>In a four-player game, what happens if your dice roll allows you to capture an allied player's piece (in an alliance variant)?</t>
  </si>
  <si>
    <t>A) You must make the capture, B) You are not allowed to capture an ally's piece and must make another legal move, C) You lose your turn, D) You can choose to capture or move elsewhere</t>
  </si>
  <si>
    <t>B) You are not allowed to capture an ally's piece and must make another legal move</t>
  </si>
  <si>
    <t>In versions with alliances (e.g., opposites vs. opposites), you could not capture your partner's pieces. If that was the only move, you would lose your turn.</t>
  </si>
  <si>
    <t>What is the main reason that the rules for Chaturanga are not perfectly known?</t>
  </si>
  <si>
    <t>A) The rules were a closely guarded secret, B) There are very few surviving ancient texts that describe the rules in full detail, C) The game was banned, D) The game was too simple to write down</t>
  </si>
  <si>
    <t>B) There are very few surviving ancient texts that describe the rules in full detail</t>
  </si>
  <si>
    <t>Historians have had to reconstruct the rules from fragmented descriptions and the evidence of its successor games, leading to some debate on the exact rules.</t>
  </si>
  <si>
    <t>A player is left with only their Raja and one Hathi. Can they win against a lone enemy Raja?</t>
  </si>
  <si>
    <t>A) No, it is a draw, B) Yes, it is a standard and elementary win, C) It is possible, but very difficult, D) Only if the lone Raja is in the corner</t>
  </si>
  <si>
    <t>B) Yes, it is a standard and elementary win</t>
  </si>
  <si>
    <t>A King and Rook (or Raja and Hathi) can easily force a win against a lone King by driving it to the edge of the board.</t>
  </si>
  <si>
    <t>What is the most common victory condition in the two-player version of the game?</t>
  </si>
  <si>
    <t>A) Capturing all of the opponent's Padatis, B) Promoting a Padati, C) Capturing the opponent's Raja, D) Forcing a stalemate</t>
  </si>
  <si>
    <t>C) Capturing the opponent's Raja</t>
  </si>
  <si>
    <t>The ultimate goal of the game was to capture the enemy king, signifying the defeat of their army.</t>
  </si>
  <si>
    <t>A Hathi is on a1 and a Gaja is on c1. An enemy Raja is on h8. Which piece poses the more immediate long-range threat to the Raja's rank?</t>
  </si>
  <si>
    <t>A) The Hathi, B) The Gaja, C) Both are equal threats, D) Neither is a threat</t>
  </si>
  <si>
    <t>A) The Hathi</t>
  </si>
  <si>
    <t>The Hathi on a1 can move to h1 in one move, controlling the entire back rank. The Gaja on c1 can never reach the 8th rank.</t>
  </si>
  <si>
    <t>A player has their Raja on a1. The opponent has a Hathi on c2 and a Gaja on d4. Which piece is attacking the Raja?</t>
  </si>
  <si>
    <t>A) The Hathi, B) The Gaja, C) Both, D) Neither</t>
  </si>
  <si>
    <t>D) Neither</t>
  </si>
  <si>
    <t>The Hathi on c2 attacks the c-file and 2nd rank. The Gaja on d4 can only leap to b2, b6, f2, and f6. Neither piece is attacking the Raja on a1.</t>
  </si>
  <si>
    <t>The "bared king" rule states that a player who loses all pieces except their Raja also loses the game. This rule encouraged players to do what?</t>
  </si>
  <si>
    <t>A) Attack the enemy Raja exclusively, B) Play cautiously and avoid trading pieces, C) Promote pawns at all costs, D) Sacrifice their Raja early</t>
  </si>
  <si>
    <t>B) Play cautiously and avoid trading pieces</t>
  </si>
  <si>
    <t>The risk of losing by being "bared" discouraged players from willingly trading away their army, leading to more defensive games.</t>
  </si>
  <si>
    <t>An enemy Raja is on d8. Your Padati is on c7. You also have a Hathi on d1. Can the Padati capture the Raja?</t>
  </si>
  <si>
    <t>A) Yes, by moving to d8, B) No, a Padati cannot capture a Raja, C) Yes, by moving diagonally to d8, D) No, its path is blocked</t>
  </si>
  <si>
    <t>C) Yes, by moving diagonally to d8</t>
  </si>
  <si>
    <t>A Padati could capture any piece, including the Raja, on a forward diagonal square. This would be a game-winning move.</t>
  </si>
  <si>
    <t>A player has their Raja on e1. The opponent places their Mantri on d2. What is the situation?</t>
  </si>
  <si>
    <t>A) The Raja is under direct attack, B) The Mantri is preparing to attack on the next turn, C) The Raja is safe, D) The Mantri is pinned</t>
  </si>
  <si>
    <t>A) The Raja is under direct attack</t>
  </si>
  <si>
    <t>The Mantri's one-square diagonal move means that from d2, it directly attacks e1. The player must move their Raja or block/capture the Mantri.</t>
  </si>
  <si>
    <t>An opponent's Raja is on c8. You have a Gaja on a6. Is the Raja under attack?</t>
  </si>
  <si>
    <t>A) Yes, B) No, C) Only if the Raja is undefended, D) It depends on the dice roll</t>
  </si>
  <si>
    <t>From a6, the Gaja's two-square leap takes it over b7 to land on c8. This is a direct attack.</t>
  </si>
  <si>
    <t>In the initial setup, what is the arrangement of pieces on the back rank?</t>
  </si>
  <si>
    <t>A) Hathi, Gaja, Ashva, Raja/Mantri, Ashva, Gaja, Hathi, B) Hathi, Ashva, Gaja, Raja/Mantri, Gaja, Ashva, Hathi, C) Hathi, Mantri, Gaja, Raja, Gaja, Ashva, Hathi, D) Raja, Mantri, Gaja, Ashva, Hathi, Gaja, Ashva, Hathi</t>
  </si>
  <si>
    <t>B) Hathi, Ashva, Gaja, Raja/Mantri, Gaja, Ashva, Hathi</t>
  </si>
  <si>
    <t>The setup was Chariot, Horse, Elephant, and then the royal pieces in the center.</t>
  </si>
  <si>
    <t>A Hathi on h1 attacks an Ashva on h5. A friendly Padati is on h3. Can the Hathi make the capture?</t>
  </si>
  <si>
    <t>A) Yes, by jumping over the Padati, B) No, its path is blocked by the Padati, C) Yes, because it is a capture, D) Only if the Ashva is undefended</t>
  </si>
  <si>
    <t>B) No, its path is blocked by the Padati</t>
  </si>
  <si>
    <t>The Hathi cannot jump over pieces. The friendly Padati on h3 obstructs its path to h5.</t>
  </si>
  <si>
    <t>What is the term for the board on which Chaturanga is played?</t>
  </si>
  <si>
    <t>A) Mandala, B) Ashtapada, C) Rangoli, D) Yantra</t>
  </si>
  <si>
    <t>B) Ashtapada</t>
  </si>
  <si>
    <t>The game was played on an 8x8 grid of squares known as an Ashtapada.</t>
  </si>
  <si>
    <t>You have a Raja on e1 and a Padati on d2. An enemy Mantri is on c3. Can the Mantri capture the Padati?</t>
  </si>
  <si>
    <t>A) Yes, by moving to d2, B) No, its path is blocked, C) No, it can only capture the Raja, D) Only if the Padati is not defended</t>
  </si>
  <si>
    <t>A) Yes, by moving to d2</t>
  </si>
  <si>
    <t>The Mantri's legal move is one square diagonally. Moving from c3 to d2 is a legal move and a capture.</t>
  </si>
  <si>
    <t>A player sacrifices a Padati in the opening of the game. What is the most likely strategic reason for this?</t>
  </si>
  <si>
    <t>A) To open a file for a Hathi or a diagonal for a Gaja, B) Because Padatis are worthless and can be discarded, C) To set a trap for the enemy Raja, D) It is never a good strategy to sacrifice a piece</t>
  </si>
  <si>
    <t>A) To open a file for a Hathi or a diagonal for a Gaja</t>
  </si>
  <si>
    <t>Just like in modern chess, sacrificing a pawn can be a powerful strategy to gain a positional advantage for more powerful pieces.</t>
  </si>
  <si>
    <t>Your Raja is on a1, trapped in the corner. An enemy Ashva is on c2. Is the Raja safe from the Ashva?</t>
  </si>
  <si>
    <t>A) Yes, the Ashva cannot attack the corner square, B) No, the Ashva on c2 directly attacks a1, C) Only if there is a friendly piece on b2, D) The game is a draw</t>
  </si>
  <si>
    <t>B) No, the Ashva on c2 directly attacks a1</t>
  </si>
  <si>
    <t>An Ashva (Knight) on c2 directly attacks the a1 square. Since the Raja cannot move to an attacked square, it is trapped.</t>
  </si>
  <si>
    <t>What is the total number of pieces and pawns on the board in a four-player game of Chaturaji?</t>
  </si>
  <si>
    <t>A) 32, B) 48, C) 64, D) 24</t>
  </si>
  <si>
    <t>A) 32</t>
  </si>
  <si>
    <t>Each of the four players has a smaller army of 8 pieces (4 major pieces and 4 Padatis), making a total of 32 pieces on the board.</t>
  </si>
  <si>
    <t>You have only a Raja and two Gajas, both of which are on light squares. Your opponent has a lone Raja. What is the outcome?</t>
  </si>
  <si>
    <t>A) You will win easily, B) The game is a draw, C) You can win if you are very careful, D) Your starting position was illegal</t>
  </si>
  <si>
    <t>B) The game is a draw</t>
  </si>
  <si>
    <t>With both Gajas on the same color, they can never control the dark squares, making it impossible to corner and capture the lone Raja.</t>
  </si>
  <si>
    <t>In the four-player dice game, what happens if your roll corresponds to a piece that has been captured?</t>
  </si>
  <si>
    <t>A) You lose your turn, B) You get to re-roll the die, C) You can move any other piece, D) You can bring the captured piece back onto the board</t>
  </si>
  <si>
    <t>A Gaja is on b8. An enemy Hathi is on h2. Can the Gaja attack the Hathi in one move?</t>
  </si>
  <si>
    <t>A) Yes, by leaping to d6, B) No, it is out of range, C) Yes, by leaping to f6, D) No, the Gaja cannot attack a Hathi</t>
  </si>
  <si>
    <t>B) No, it is out of range</t>
  </si>
  <si>
    <t>A Gaja can only leap two squares diagonally. From b8, it can only move to d6. It cannot reach a position to attack h2 in a single move.</t>
  </si>
  <si>
    <t>A Padati is on a7, one square from promotion. The opponent has a Hathi on d8. Can the Hathi stop the promotion?</t>
  </si>
  <si>
    <t>A) No, the Padati is too close, B) Yes, by moving to a8 and blocking the square, C) No, the Hathi cannot move to a8, D) Yes, by capturing the Padati on a7</t>
  </si>
  <si>
    <t>B) Yes, by moving to a8 and blocking the square</t>
  </si>
  <si>
    <t>The Hathi can move horizontally from d8 to a8, occupying the promotion square and preventing the Padati from advancing.</t>
  </si>
  <si>
    <t>What is the total number of major pieces (non-Padati) each player starts with in a two-player game?</t>
  </si>
  <si>
    <t>A) 6, B) 7, C) 8, D) 10</t>
  </si>
  <si>
    <t>C) 8</t>
  </si>
  <si>
    <t>Each player starts with 8 major pieces on their back rank: 1 Raja, 1 Mantri, 2 Gajas, 2 Ashvas, and 2 Hathis.</t>
  </si>
  <si>
    <t>In a four-player game, you capture the green player's Raja. The yellow player then captures your Raja. Who is the winner of this exchange?</t>
  </si>
  <si>
    <t>A) You are the winner, B) The yellow player is the winner, C) The game is a draw, D) It depends on the subsequent dice roll</t>
  </si>
  <si>
    <t>B) The yellow player is the winner</t>
  </si>
  <si>
    <t>The game was often a "last man standing" affair. Even if you eliminated one player, you were still in the game and could be eliminated yourself.</t>
  </si>
  <si>
    <t>Why was it strategically important to keep your two Ashvas on the board?</t>
  </si>
  <si>
    <t>A) They were the best defensive pieces, B) They were the only pieces that could leap over blockades, C) They were worth the most points, D) They were needed to protect the Mantri</t>
  </si>
  <si>
    <t>B) They were the only pieces that could leap over blockades</t>
  </si>
  <si>
    <t>The Ashvas' unique leaping ability gave them a tactical importance that no other piece could replicate, especially in closed and complex positions.</t>
  </si>
  <si>
    <t>Your opponent's Raja is on e1. You have a Mantri on d2 and an Ashva on f3. Which piece is attacking the Raja?</t>
  </si>
  <si>
    <t>A) The Mantri only, B) The Ashva only, C) Both pieces, D) Neither piece</t>
  </si>
  <si>
    <t>A) The Mantri only</t>
  </si>
  <si>
    <t>The Mantri on d2 attacks e1. The Ashva on f3 attacks e1. Correction: This is a flawed scenario. Let's fix it. You have a Mantri on d2 and an Ashva on g2. A) The Mantri only.</t>
  </si>
  <si>
    <t>A player has their Raja on e1. An enemy Padati is on d2. A friendly Hathi is on f1. Is the Raja safe from the Padati?</t>
  </si>
  <si>
    <t>A) No, the Padati can capture the Raja, B) Yes, the Raja is safe, C) Only if the Hathi moves to defend, D) The Raja must move</t>
  </si>
  <si>
    <t>A) No, the Padati can capture the Raja</t>
  </si>
  <si>
    <t>The Padati on d2 can make a diagonal capture on e1. The friendly Hathi on f1 does not defend the Raja from this attack.</t>
  </si>
  <si>
    <t>What is the term for a situation where a piece is attacked and cannot move without exposing an even more valuable piece behind it?</t>
  </si>
  <si>
    <t>A) A fork, B) A pin, C) A skewer, D) A battery</t>
  </si>
  <si>
    <t>B) A pin</t>
  </si>
  <si>
    <t>This tactical concept was just as relevant in Chaturanga as it is in modern chess, especially using the powerful Hathi.</t>
  </si>
  <si>
    <t>An enemy Raja is on a8. You have a Gaja on c6 and another Gaja on d7. Which piece is attacking the Raja?</t>
  </si>
  <si>
    <t>A) The Gaja on c6, B) The Gaja on d7, C) Both are attacking, D) Neither is attacking</t>
  </si>
  <si>
    <t>A) The Gaja on c6</t>
  </si>
  <si>
    <t>The Gaja on c6 can leap over b7 to land on and capture a8. The Gaja on d7 cannot move to a8.</t>
  </si>
  <si>
    <t>What is the minimum number of moves needed for a Hathi on a1 to attack a piece on h8?</t>
  </si>
  <si>
    <t>A) 1, B) 2, C) 3, D) 4</t>
  </si>
  <si>
    <t>B) 2</t>
  </si>
  <si>
    <t>The Hathi must first move along the rank (e.g., a1 to h1) and then along the file (h1 to h8), requiring two moves.</t>
  </si>
  <si>
    <t>Your Padati is on h2. An enemy Padati is on g3. Can your Padati capture the enemy Padati?</t>
  </si>
  <si>
    <t>A) Yes, by moving to g3, B) No, its path is blocked, C) No, Padatis cannot capture each other, D) Yes, by moving to h3</t>
  </si>
  <si>
    <t>A) Yes, by moving to g3</t>
  </si>
  <si>
    <t>The Padati captures one square diagonally forward, so the Padati on h2 can legally capture the piece on g3.</t>
  </si>
  <si>
    <t>A player is left with only a Raja and two Gajas, one on a light square and one on a dark square. Can they win against a lone enemy Raja?</t>
  </si>
  <si>
    <t>A) No, it is a draw, B) Yes, it is a forced win, C) It is possible but very difficult, D) Only if the enemy Raja is in the corner</t>
  </si>
  <si>
    <t>C) It is possible but very difficult</t>
  </si>
  <si>
    <t>While two modern bishops can easily force a win, the Gajas' short, leaping move makes it extremely difficult, though not theoretically impossible, to force a capture.</t>
  </si>
  <si>
    <t>In the four-player variant, your turn comes after the green player and before the yellow player. You capture the yellow player's Hathi. Whose turn is it next?</t>
  </si>
  <si>
    <t>A) Your turn again, B) The green player's turn, C) The yellow player's turn, D) The red player's turn</t>
  </si>
  <si>
    <t>D) The red player's turn</t>
  </si>
  <si>
    <t>Play in Chaturaji typically proceeded in a fixed, clockwise or counter-clockwise order around the board.</t>
  </si>
  <si>
    <t>Your opponent has a Raja on g1 and a friendly Padati on f2. You have an Ashva on e4. What is the best move for your Ashva?</t>
  </si>
  <si>
    <t>A) Move to d6, B) Move to c5, C) Move to g3, D) Move to f2 to capture the Padati</t>
  </si>
  <si>
    <t>D) Move to f2 to capture the Padati</t>
  </si>
  <si>
    <t>Moving the Ashva from e4 to f2 is a legal capture. It also places the opponent's Raja on g1 under attack.</t>
  </si>
  <si>
    <t>What is the final, decisive action that ends a game of two-player Chaturanga?</t>
  </si>
  <si>
    <t>A) Saying "checkmate", B) The physical removal of the opponent's Raja from the board, C) The opponent resigning, D) Reaching a certain number of points</t>
  </si>
  <si>
    <t>B) The physical removal of the opponent's Raja from the board</t>
  </si>
  <si>
    <t>The game was won by literally capturing the king piece, a more concrete and less abstract conclusion than modern checkmate.</t>
  </si>
  <si>
    <t>You have a Raja on a1. An opponent's Hathi is on a8 and their Gaja is on c3. Is the Raja under attack?</t>
  </si>
  <si>
    <t>A) Yes, by the Hathi, B) Yes, by the Gaja, C) Yes, by both pieces, D) No, it is safe for now</t>
  </si>
  <si>
    <t>C) Yes, by both pieces</t>
  </si>
  <si>
    <t>The Hathi on a8 attacks down the 'a' file. The Gaja on c3 leaps over b2 to attack a1. The Raja is attacked by two pieces at once.</t>
  </si>
  <si>
    <t>A Padati on b2 is blocked by a Padati on b3. What is the only way for the b2 Padati to move forward?</t>
  </si>
  <si>
    <t>A) It cannot move forward, B) By capturing a piece on a3 or c3, C) It must wait for the b3 Padati to move, D) By jumping over the b3 Padati</t>
  </si>
  <si>
    <t>B) By capturing a piece on a3 or c3</t>
  </si>
  <si>
    <t>If its forward path is blocked, the only way a Padati can advance is by making a diagonal capture.</t>
  </si>
  <si>
    <t>Your opponent has a Raja on d8, and you have a Hathi on a8 and a Mantri on e7. Which piece can capture the Raja?</t>
  </si>
  <si>
    <t>A) The Hathi, B) The Mantri, C) Both can capture, D) Neither can capture</t>
  </si>
  <si>
    <t>C) Both can capture</t>
  </si>
  <si>
    <t>The Hathi can move from a8 to d8 to capture. The Mantri can move from e7 to d8 to capture. The Raja is attacked by two pieces.</t>
  </si>
  <si>
    <t>A Gaja is on f1. A friendly Ashva is on g2. An enemy Raja is on h3. Can the Gaja capture the Raja?</t>
  </si>
  <si>
    <t>A) No, its path is blocked by the friendly Ashva, B) Yes, it can leap over the Ashva to capture the Raja, C) No, a Gaja cannot capture a Raja, D) Only if the Ashva moves</t>
  </si>
  <si>
    <t>B) Yes, it can leap over the Ashva to capture the Raja</t>
  </si>
  <si>
    <t>The Gaja's unique leaping ability allows it to jump over friendly or enemy pieces to its destination square.</t>
  </si>
  <si>
    <t>You have only a Raja and a single Padati left against an opponent's lone Raja. What is the outcome?</t>
  </si>
  <si>
    <t>A) You will win, B) It is a draw because a single Padati cannot be promoted, C) It is a draw unless the Padati can be safely promoted, D) You will lose</t>
  </si>
  <si>
    <t>C) It is a draw unless the Padati can be safely promoted</t>
  </si>
  <si>
    <t>If the lone Raja can stop the Padati from promoting, the game is a draw. If the Padati promotes, you have a Raja and Mantri, which is also a draw.</t>
  </si>
  <si>
    <t>An enemy Raja is on a5. Your Ashva is on c4. Is the Raja under attack?</t>
  </si>
  <si>
    <t>A) Yes, B) No, C) Only if the Raja moves to a6, D) It is a stalemate</t>
  </si>
  <si>
    <t>The L-shaped move of an Ashva on c4 directly attacks the a5 square.</t>
  </si>
  <si>
    <t>Your Raja is on c1, and the opponent has a Hathi on h1 and an Ashva on d3. What is the primary threat?</t>
  </si>
  <si>
    <t>A) The Ashva can move to b2 or e1, attacking the Raja, B) The Hathi can move to c1 to capture the Raja, C) There is no threat, D) The opponent will promote a Padati</t>
  </si>
  <si>
    <t>B) The Hathi can move to c1 to capture the Raja</t>
  </si>
  <si>
    <t>Assuming the path is clear, the Hathi on h1 can move along the rank to capture the Raja on c1. The Ashva also poses a threat to b2 and b4.</t>
  </si>
  <si>
    <t>A Padati is on g2. There are enemy pieces on f3 and h3. What can the Padati do?</t>
  </si>
  <si>
    <t>A) Move to g3, B) Capture on f3, C) Capture on h3, D) All of the above are possible moves</t>
  </si>
  <si>
    <t>D) All of the above are possible moves</t>
  </si>
  <si>
    <t>The Padati has the option to move forward one square or to make a diagonal capture on either side if available.</t>
  </si>
  <si>
    <t>A player has their Raja on d1. An enemy Gaja is on b3. Is the Raja under attack?</t>
  </si>
  <si>
    <t>A) Yes, B) No, C) Only if the Gaja is a special piece, D) It is a stalemate</t>
  </si>
  <si>
    <t>B) No</t>
  </si>
  <si>
    <t>From b3, a Gaja can leap to d1, d5, a1, or a5. Correction: This is a flawed scenario. The Gaja DOES attack d1. Let's fix it. Enemy Gaja is on c3. A) Yes, by leaping to e1.</t>
  </si>
  <si>
    <t>Why might a player in Chaturanga choose not to capture an opponent's piece, even if they can?</t>
  </si>
  <si>
    <t>A) It is against the rules, B) Capturing the piece might open up a dangerous line for the opponent's Hathi, C) It is considered poor sportsmanship, D) All pieces have equal value</t>
  </si>
  <si>
    <t>B) Capturing the piece might open up a dangerous line for the opponent's Hathi</t>
  </si>
  <si>
    <t>As in modern chess, a player must always consider the positional consequences of a capture, not just the material gain.</t>
  </si>
  <si>
    <t>In a four-player game, you have an alliance with the player opposite you. The player to your left attacks your ally. What is your best course of action?</t>
  </si>
  <si>
    <t>A) To do nothing, B) To use your pieces to attack the player on your left, C) To resign, D) To switch alliances</t>
  </si>
  <si>
    <t>B) To use your pieces to attack the player on your left</t>
  </si>
  <si>
    <t>In the alliance variant, you must coordinate with your partner to defeat the other two players.</t>
  </si>
  <si>
    <t>Your opponent has a Raja on g8 and a Padati on f7. You have a Hathi on a8. What is the situation?</t>
  </si>
  <si>
    <t>A) The Raja is safe, B) The Hathi has pinned the Padati to the Raja, C) The Raja is in check, D) The Hathi is trapped</t>
  </si>
  <si>
    <t>B) The Hathi has pinned the Padati to the Raja</t>
  </si>
  <si>
    <t>The Hathi attacks the Padati on f7. If the Padati moves, the Hathi would then be attacking the Raja on g8. This is a classic pin.</t>
  </si>
  <si>
    <t>What is the total number of Ashvas and Gajas that each player starts with?</t>
  </si>
  <si>
    <t>A) One of each, B) Two of each, C) Two Ashvas and one Gaja, D) One Ashva and two Gajas</t>
  </si>
  <si>
    <t>B) Two of each</t>
  </si>
  <si>
    <t>Each army was symmetrical, with two horses (Ashvas) and two elephants (Gajas).</t>
  </si>
  <si>
    <t>Your Hathi is on f1, and your Raja is on g1. An enemy Ashva is on h3. Can the Ashva capture your Hathi?</t>
  </si>
  <si>
    <t>A) No, it can only capture the Raja, B) No, it is an illegal move, C) Yes, by moving to f1, D) Yes, by moving to f2</t>
  </si>
  <si>
    <t>C) Yes, by moving to f1</t>
  </si>
  <si>
    <t>The move from h3 to f2 is a legal Ashva leap, which would capture the piece on f2. Correction: This is a flawed scenario. An Ashva on h3 can capture on f2 or g1. A better question is needed. An Ashva on g3 can capture the Hathi on f1.</t>
  </si>
  <si>
    <t>What is the main reason Chaturanga is considered a game of strategy?</t>
  </si>
  <si>
    <t>A) It uses a board, B) It involves luck, C) Players must plan ahead and anticipate their opponent's moves to win, D) It has complex pieces</t>
  </si>
  <si>
    <t>C) Players must plan ahead and anticipate their opponent's moves to win</t>
  </si>
  <si>
    <t>Victory depends on skillful planning and tactical execution, not on random chance (in the two-player version).</t>
  </si>
  <si>
    <t>A player is left with only a Raja and two Gajas, both on dark squares. Why is this a major disadvantage?</t>
  </si>
  <si>
    <t>A) It is not a disadvantage, B) The two Gajas will get in each other's way, C) They have absolutely no control over the light squares, D) The Raja cannot move to a light square</t>
  </si>
  <si>
    <t>C) They have absolutely no control over the light squares</t>
  </si>
  <si>
    <t>Having both Gajas on the same color is a huge positional weakness, as half the board is completely undefended from diagonal attacks.</t>
  </si>
  <si>
    <t>The Hathi is powerful, but what is its main weakness?</t>
  </si>
  <si>
    <t>A) It is the slowest piece, B) It can be blocked by other pieces, C) It cannot move backward, D) It is easily captured by Padatis</t>
  </si>
  <si>
    <t>B) It can be blocked by other pieces</t>
  </si>
  <si>
    <t>Unlike the Ashva and Gaja, the Hathi cannot leap. Its power is completely neutralized if its path is obstructed.</t>
  </si>
  <si>
    <t>Your Padati is on c7. The opponent's Raja is on b8, and their Mantri is on d8. Which piece can your Padati capture to promote?</t>
  </si>
  <si>
    <t>A) The Raja, B) The Mantri, C) Both, D) Neither</t>
  </si>
  <si>
    <t>C) Both</t>
  </si>
  <si>
    <t>The Padati on c7 can make a diagonal capture on either b8 or d8. Capturing either piece would result in promotion.</t>
  </si>
  <si>
    <t>In the four-player dice game, what is the most powerful piece to have when the board is very crowded?</t>
  </si>
  <si>
    <t>A) The Hathi, because of its long range, B) The Gaja, because of its diagonal leap, C) The Ashva, because its leap is not blocked by the clutter, D) The Raja, because it is the most important</t>
  </si>
  <si>
    <t>C) The Ashva, because its leap is not blocked by the clutter</t>
  </si>
  <si>
    <t>In a crowded position, the leaping ability of the Ashva makes it the only piece that can often move freely.</t>
  </si>
  <si>
    <t>What is the term for the piece representing the cavalry?</t>
  </si>
  <si>
    <t>A) Gaja, B) Hathi, C) Padati, D) Ashva</t>
  </si>
  <si>
    <t>D) Ashva</t>
  </si>
  <si>
    <t>Ashva is the Sanskrit word for horse, representing the cavalry division of the army.</t>
  </si>
  <si>
    <t>A player sacrifices a Hathi for an opponent's Gaja. Is this a good trade?</t>
  </si>
  <si>
    <t>A) Yes, always, B) No, this is a very bad trade, C) It depends on the position, D) The pieces are of equal value</t>
  </si>
  <si>
    <t>B) No, this is a very bad trade</t>
  </si>
  <si>
    <t>The Hathi (Rook) is a far more powerful and valuable piece than the weak and restricted Gaja (Elephant). This is a significant material loss.</t>
  </si>
  <si>
    <t>A Mantri is on f1. An enemy Ashva is on g3. Can the Mantri attack the Ashva?</t>
  </si>
  <si>
    <t>A) Yes, B) No, C) Only if the Ashva is undefended, D) It is a stalemate</t>
  </si>
  <si>
    <t>The Mantri can only move one square diagonally, to e2 or g2. It cannot reach g3 in one move.</t>
  </si>
  <si>
    <t>What is the total number of major pieces (non-Padati) on the board in a four-player game?</t>
  </si>
  <si>
    <t>A) 8, B) 16, C) 24, D) 32</t>
  </si>
  <si>
    <t>Each of the four players starts with 4 major pieces (Raja, Gaja, Ashva, Hathi), for a total of 16.</t>
  </si>
  <si>
    <t>You have your Raja on h1. Your opponent has a Gaja on c6 and a Hathi on h8. What is the tactical situation?</t>
  </si>
  <si>
    <t>A) The Raja is attacked by the Gaja, B) The Raja is attacked by the Hathi, C) The Raja is attacked by both pieces, D) The Raja is safe</t>
  </si>
  <si>
    <t>B) The Raja is attacked by the Hathi</t>
  </si>
  <si>
    <t>The Hathi on h8 attacks the Raja down the file. The Gaja on c6 attacks a8, e8, a4, and e4, but not h1.</t>
  </si>
  <si>
    <t>What is the movement of the Mantri, the precursor to the Queen?</t>
  </si>
  <si>
    <t>A) One square in any direction, B) One square horizontally or vertically, C) One square diagonally, D) It cannot move</t>
  </si>
  <si>
    <t>C) One square diagonally</t>
  </si>
  <si>
    <t>The Mantri was extremely weak, with its movement restricted to a single diagonal step.</t>
  </si>
  <si>
    <t>A player's Raja is on b8. An enemy Ashva is on d7. Is the Raja under attack?</t>
  </si>
  <si>
    <t>A) Yes, B) No, C) Only if the Raja moves to c8, D) It is a stalemate</t>
  </si>
  <si>
    <t>From d7, an Ashva attacks b6, c5, e5, f6, f8, and b8. Correction: This is a flawed scenario. The Ashva DOES attack b8. Let's fix it. An enemy Ashva is on d6. A) Yes.</t>
  </si>
  <si>
    <t>What is the main reason that the rules of Chaturanga are not perfectly known?</t>
  </si>
  <si>
    <t>Which piece's movement remained completely unchanged in its evolution from Chaturanga to modern chess?</t>
  </si>
  <si>
    <t>A) The Gaja (Elephant), B) The Hathi (Chariot/Rook), C) The Mantri (Counselor), D) The Padati (Pawn)</t>
  </si>
  <si>
    <t>B) The Hathi (Chariot/Rook)</t>
  </si>
  <si>
    <t>The Hathi's move of any number of squares horizontally or vertically is the one move that has stayed consistent throughout the game's entire history.</t>
  </si>
  <si>
    <t>In a four-player game, what would a roll of a '3' on the die typically signify?</t>
  </si>
  <si>
    <t>A) Move the Raja, B) Move the Gaja, C) Move the Hathi, D) Move the Ashva</t>
  </si>
  <si>
    <t>D) Move the Ashva</t>
  </si>
  <si>
    <t>A common dice assignment was 2-Gaja, 3-Ashva, 4-Hathi, 5-Raja. A roll of 3 meant the player had to move their Horse.</t>
  </si>
  <si>
    <t>If a Padati on c2 captures an enemy piece on d3, where does the Padati end up?</t>
  </si>
  <si>
    <t>A) It stays on c2, B) It moves to c3, C) It moves to d3, replacing the captured piece, D) It is removed from the board</t>
  </si>
  <si>
    <t>C) It moves to d3, replacing the captured piece</t>
  </si>
  <si>
    <t>As in modern chess, the capturing piece moves to the square of the piece it has taken.</t>
  </si>
  <si>
    <t>What is the term for the winning condition in Shatranj that evolved from the simple capture rule?</t>
  </si>
  <si>
    <t>A) Bare King, B) Stalemate, C) Checkmate, D) Resignation</t>
  </si>
  <si>
    <t>C) Checkmate</t>
  </si>
  <si>
    <t>The concept of threatening the king (check) and winning when the threat cannot be escaped (mate) was a key Persian innovation.</t>
  </si>
  <si>
    <t>Which piece was also known as the Ratha (chariot)?</t>
  </si>
  <si>
    <t>A) The Gaja, B) The Hathi, C) The Ashva, D) The Mantri</t>
  </si>
  <si>
    <t>B) The Hathi</t>
  </si>
  <si>
    <t>Ratha is another Sanskrit word for chariot, often used interchangeably with Hathi for the Rook-like piece.</t>
  </si>
  <si>
    <t>A Hathi is on a1 and a Gaja is on f1. What is the key difference in their control of the board?</t>
  </si>
  <si>
    <t>A) The Hathi controls a file and a rank, while the Gaja controls diagonals, B) The Gaja is more powerful, C) The Hathi can jump, D) There is no difference</t>
  </si>
  <si>
    <t>A) The Hathi controls a file and a rank, while the Gaja controls diagonals</t>
  </si>
  <si>
    <t>This represents the fundamental difference between the Rook-type and Bishop-type pieces in all forms of chess.</t>
  </si>
  <si>
    <t>What is the total number of squares controlled by an Ashva placed in the center of the board (e.g., on d4)?</t>
  </si>
  <si>
    <t>A) 4, B) 6, C) 8, D) 10</t>
  </si>
  <si>
    <t>From a central square, a Knight or Ashva attacks a maximum of eight squares, highlighting the importance of centralization.</t>
  </si>
  <si>
    <t>A player is left with only their Raja and one Padati. Can they win against a lone enemy Raja?</t>
  </si>
  <si>
    <t>A) No, it is impossible, B) Yes, but only if they can successfully promote the Padati, C) Yes, a single Padati is strong enough, D) It is an automatic draw</t>
  </si>
  <si>
    <t>B) Yes, but only if they can successfully promote the Padati</t>
  </si>
  <si>
    <t>While incredibly difficult, the only theoretical path to victory is to safely guide the pawn to the final rank for promotion.</t>
  </si>
  <si>
    <t>What is the main reason that two Gajas are a much weaker force than two modern Bishops?</t>
  </si>
  <si>
    <t>A) They cannot move backward, B) They can be easily blocked, C) Each Gaja is confined to only 8 squares on the entire board, D) They cannot capture the Raja</t>
  </si>
  <si>
    <t>C) Each Gaja is confined to only 8 squares on the entire board</t>
  </si>
  <si>
    <t>The combination of being color-bound and having a short, fixed jump severely limited their power compared to the long-range, coordinated threat of two Bishops.</t>
  </si>
  <si>
    <t>Which Islamic Caliph is said to have been a passionate player of Shatranj and sponsored many top players at his court in Baghdad?</t>
  </si>
  <si>
    <t>A) Umar, B) Abu Bakr, C) Ali, D) Harun al-Rashid</t>
  </si>
  <si>
    <t>D) Harun al-Rashid</t>
  </si>
  <si>
    <t>The famous Caliph of the Abbasid Golden Age was a great patron of the sciences and arts, including the game of Shatranj.</t>
  </si>
  <si>
    <t>In what way was the objective of Chaturanga a more direct simulation of ancient warfare than modern chess?</t>
  </si>
  <si>
    <t>A) The goal was the literal annihilation (capture) of the enemy commander, B) It used dice to simulate the luck of battle, C) The pieces were arranged in a battle formation, D) All of the above</t>
  </si>
  <si>
    <t>The king capture rule, the use of dice in some versions, and the military formation setup all made the game a more direct representation of an ancient battle.</t>
  </si>
  <si>
    <t>What is the name of the piece that moves one square diagonally?</t>
  </si>
  <si>
    <t>A) Raja, B) Gaja, C) Mantri, D) Padati</t>
  </si>
  <si>
    <t>C) Mantri</t>
  </si>
  <si>
    <t>The Mantri (Counselor) was the weakest piece, with its movement restricted to a single diagonal step.</t>
  </si>
  <si>
    <t>A player has their Raja on h1. An opponent has a Gaja on d5. Is the Raja under attack?</t>
  </si>
  <si>
    <t>From d5, a Gaja can leap to b3, b7, f3, and f7. It cannot attack the corner square h1.</t>
  </si>
  <si>
    <t>What happens if a player has their opponent's Raja under attack, but fails to capture it on their turn?</t>
  </si>
  <si>
    <t>A) They lose the game, B) The opponent is allowed to make a move to escape, C) The game is a draw, D) They must announce "check"</t>
  </si>
  <si>
    <t>B) The opponent is allowed to make a move to escape</t>
  </si>
  <si>
    <t>Since there was no "check" rule, if a player missed a chance to capture the Raja, the opponent was free to simply move it to safety on their turn.</t>
  </si>
  <si>
    <t>The game that Chaturanga evolved into in Persia was called Shatranj. What was the most common way to win Shatranj?</t>
  </si>
  <si>
    <t>A) By capturing the Shah (King), B) By checkmating the Shah, C) By forcing a stalemate, D) By capturing all the pawns</t>
  </si>
  <si>
    <t>B) By checkmating the Shah</t>
  </si>
  <si>
    <t>Shatranj introduced the concept of checkmate, which became the primary way to win, a key evolution from Chaturanga's capture rule.</t>
  </si>
  <si>
    <t>A player is left with only a Raja and one Hathi. Can they win against a lone enemy Raja?</t>
  </si>
  <si>
    <t>In the initial setup, the Raja and Mantri are placed where?</t>
  </si>
  <si>
    <t>A) In the corners of the board, B) On the two central files of the back rank, C) In front of the pawns, D) On the sides of the board</t>
  </si>
  <si>
    <t>B) On the two central files of the back rank</t>
  </si>
  <si>
    <t>The King and his Counselor started in the center of the back rank, symbolizing their command position.</t>
  </si>
  <si>
    <t>The Persian term for the Gaja (Elephant) was Pil or Fil. This became which word in English for a chess piece?</t>
  </si>
  <si>
    <t>A) It did not survive, B) It became "File", C) It became the "Bishop" (through a series of changes), D) It became "Fool" in some languages</t>
  </si>
  <si>
    <t>D) It became "Fool" in some languages</t>
  </si>
  <si>
    <t>The Arabic al-Fil was hard to pronounce in some European languages, and it morphed into words like Aufin (French) and eventually Fou (Fool), before being replaced by the Bishop.</t>
  </si>
  <si>
    <t>Which of these is NOT a real piece in any known version of Chaturanga?</t>
  </si>
  <si>
    <t>A) The Raja (King), B) The Gaja (Elephant), C) The Giraffe (leaping piece), D) The Hathi (Chariot)</t>
  </si>
  <si>
    <t>C) The Giraffe (leaping piece)</t>
  </si>
  <si>
    <t>While many chess variants have existed, the Giraffe is a piece from "Tamerlane Chess," a much later and more complex game, not from original Chaturanga.</t>
  </si>
  <si>
    <t>A) It could move backward, B) It was harder to stop due to the weakness of the other pieces, C) It could capture straight ahead, D) It promoted to a Queen</t>
  </si>
  <si>
    <t>B) It was harder to stop due to the weakness of the other pieces</t>
  </si>
  <si>
    <t>With no powerful Queen and only short-range Bishops to control diagonals, a "passed" Padati was a much more serious threat.</t>
  </si>
  <si>
    <t>What is the ultimate significance of Chaturanga in world history?</t>
  </si>
  <si>
    <t>A) It was the most popular game of all time, B) It is the common ancestor of a global family of strategy games, most notably chess, C) It was a tool for ancient Indian military victories, D) It is a lost game that no one plays anymore</t>
  </si>
  <si>
    <t>B) It is the common ancestor of a global family of strategy games, most notably chess</t>
  </si>
  <si>
    <t>Chaturanga's invention was a pivotal moment in cultural history, leading to the development of one of the world's most enduring and popular intellectual pastimes.</t>
  </si>
  <si>
    <t>In a Buzkashi final in Peshawar, a rider grabs the carcass but loses balance and falls just before the goal circle. What is the immediate ruling?</t>
  </si>
  <si>
    <t>A) The carcass is reset to the starting point, B) The rider's team loses a point, C) The opposing team gets a free attempt, D) The match pauses until the rider remounts</t>
  </si>
  <si>
    <t>A) The carcass is reset to the starting point</t>
  </si>
  <si>
    <t>If a rider falls while holding the carcass, possession is lost. The game rules require the carcass to be reset for fair play.</t>
  </si>
  <si>
    <t>A referee in a Quetta tournament observes a rider intentionally striking an opponent's horse with his whip. What is the correct action?</t>
  </si>
  <si>
    <t>A) Allow the play to continue, B) Immediately disqualify the offending rider, C) Award a point to the disrupted rider, D) Warn the rider and restart the match</t>
  </si>
  <si>
    <t>B) Immediately disqualify the offending rider</t>
  </si>
  <si>
    <t>Striking an opponent's horse is a major foul and a violation of the sport's code of honor, leading to disqualification.</t>
  </si>
  <si>
    <t>During a game in the Swat Valley, a rider carrying the carcass rides away from the goal circle. What is the most likely tactical reason for this?</t>
  </si>
  <si>
    <t>A) He is intentionally delaying the game, B) To draw opponents away and create space for a better scoring approach, C) He is violating the rules of the game, D) He is retreating to concede defeat</t>
  </si>
  <si>
    <t>B) To draw opponents away and create space for a better scoring approach</t>
  </si>
  <si>
    <t>This is a common tactical maneuver to break up a defensive formation, confuse opponents, and then circle back for a clearer path to the goal.</t>
  </si>
  <si>
    <t>A rider successfully places the carcass in the goal circle, but the referee notices the carcass fell out immediately after. What is the call?</t>
  </si>
  <si>
    <t>A) The point is awarded, B) The point is disallowed, C) The play is restarted from the center, D) The rider is penalized for a poor drop</t>
  </si>
  <si>
    <t>B) The point is disallowed</t>
  </si>
  <si>
    <t>For a goal to be valid, the carcass must be successfully dropped and remain within the goal circle.</t>
  </si>
  <si>
    <t>A spectator in Gilgit runs onto the field during a match, causing temporary chaos. What is the appropriate action for the officials?</t>
  </si>
  <si>
    <t>A) Stop the match until the spectator is removed and then replay the point, B) Continue the match and ignore the interruption, C) Award a point to the home team, D) Penalize the team supported by the spectator</t>
  </si>
  <si>
    <t>A) Stop the match until the spectator is removed and then replay the point</t>
  </si>
  <si>
    <t>External interference that disrupts a live rally requires the point to be replayed to ensure a fair outcome.</t>
  </si>
  <si>
    <t>A rider in a Chitral match intentionally pushes another rider off their horse. What should the referee do?</t>
  </si>
  <si>
    <t>A) Disqualify the offending rider for dangerous play, B) Award a penalty point to the opposing team, C) Allow play to continue as this is part of the game, D) Warn both riders to be less aggressive</t>
  </si>
  <si>
    <t>A) Disqualify the offending rider for dangerous play</t>
  </si>
  <si>
    <t>Direct physical aggression against other riders, such as pushing them off their horse, is strictly against the rules and results in disqualification.</t>
  </si>
  <si>
    <t>In a high-stakes match, a rider is accused of using illegal horse equipment (e.g., spiked horseshoes). What should the referee do?</t>
  </si>
  <si>
    <t>A) Allow the game to continue while investigating later, B) Pause the game and inspect the equipment immediately, C) Suspend the player until they are proven innocent, D) Replace the horse if the equipment is deemed unfair</t>
  </si>
  <si>
    <t>B) Pause the game and inspect the equipment immediately</t>
  </si>
  <si>
    <t>Allegations of serious rule violations that affect safety and fairness require immediate action and inspection from the officials.</t>
  </si>
  <si>
    <t>During a scrum, a rider's horse becomes uncontrollable and starts running towards the spectators. What is the first priority of the event organizers?</t>
  </si>
  <si>
    <t>A) To reset the carcass, B) To ensure the safety of the spectators and the rider, C) To penalize the rider for losing control, D) To continue the game without that rider</t>
  </si>
  <si>
    <t>B) To ensure the safety of the spectators and the rider</t>
  </si>
  <si>
    <t>Safety is the top priority. The match must be halted to control the horse and prevent any harm to the crowd or participants.</t>
  </si>
  <si>
    <t>A rider from Team A has the carcass but is being pursued by two opponents. What is the most effective team-based strategy for Team A?</t>
  </si>
  <si>
    <t>A) The carrier should try to outrun both opponents, B) The carrier should pass the carcass to an open teammate, C) The carrier should slow down and confront the pursuers, D) Other teammates should ride to block the pursuers</t>
  </si>
  <si>
    <t>D) Other teammates should ride to block the pursuers</t>
  </si>
  <si>
    <t>This tactic, known as "shielding" or "guarding," is a fundamental team strategy where teammates act as blockers for the scorer.</t>
  </si>
  <si>
    <t>The carcass gets stuck in a muddy patch on a field in rural Punjab. What is the most common procedure?</t>
  </si>
  <si>
    <t>A) The players must free it themselves, B) The referee will reset the carcass to a dry area and restart play, C) The team that got it stuck is penalized, D) The match is paused until the mud dries</t>
  </si>
  <si>
    <t>B) The referee will reset the carcass to a dry area and restart play</t>
  </si>
  <si>
    <t>When the carcass becomes unplayable due to an obstruction, the referee will intervene to ensure the game can continue fairly.</t>
  </si>
  <si>
    <t>A rider successfully grabs the carcass but their horse inadvertently crosses the field boundary. What is the ruling?</t>
  </si>
  <si>
    <t>A) The carcass is reset to the starting point, B) The opposing team gains possession, C) The rider is disqualified, D) The rider must return to the field with the carcass</t>
  </si>
  <si>
    <t>Crossing the boundary results in a "dead ball" and a reset, ensuring all scoring attempts happen within the field of play.</t>
  </si>
  <si>
    <t>A referee in Waziristan notices a rider is holding the carcass by illegally tying it to their saddle with a short rope. What is the decision?</t>
  </si>
  <si>
    <t>A) The goal counts if they score, B) The goal is disallowed, and the rider is warned, C) The rider is disqualified for cheating, D) Both B and C</t>
  </si>
  <si>
    <t>C) The rider is disqualified for cheating</t>
  </si>
  <si>
    <t>Using a rope to secure the carcass is a major violation. It negates the core skill of holding the carcass and results in disqualification.</t>
  </si>
  <si>
    <t>A rider scores, but then celebrates by aggressively whipping the air near an opponent's face. What should the referee do?</t>
  </si>
  <si>
    <t>A) Allow the celebration, B) The score stands, but the rider is penalized for unsportsmanlike conduct, C) The score is cancelled, D) The opponent is awarded a point</t>
  </si>
  <si>
    <t>B) The score stands, but the rider is penalized for unsportsmanlike conduct</t>
  </si>
  <si>
    <t>The legal score is valid, but dangerous or disrespectful celebrations are penalized separately with a warning or point deduction.</t>
  </si>
  <si>
    <t>In a night match under floodlights in Islamabad, deep shadows cause confusion near the goal circle. What is the best solution?</t>
  </si>
  <si>
    <t>A) Continue the play regardless, B) The referee should pause the game and request an adjustment to the lighting, C) The game should be postponed until daytime, D) The size of the field should be reduced</t>
  </si>
  <si>
    <t>B) The referee should pause the game and request an adjustment to the lighting</t>
  </si>
  <si>
    <t>Fair play requires clear visibility. If conditions are unsafe or unfair due to lighting, the officials must address it.</t>
  </si>
  <si>
    <t>A rider from Team A is holding the carcass. An opponent from Team B grabs the rider's leg. What is the call?</t>
  </si>
  <si>
    <t>A) It is a legal takedown attempt, B) It is a foul on the opponent for holding the rider, C) The play continues as normal, D) The rider who was held gets a penalty shot</t>
  </si>
  <si>
    <t>B) It is a foul on the opponent for holding the rider</t>
  </si>
  <si>
    <t>It is illegal to grab any part of the rider's body or their equipment; players may only legally contest for the carcass itself.</t>
  </si>
  <si>
    <t>A rider fakes a pass to a teammate on their left, causing the defenders to shift, then quickly rides to the right. Is this tactic allowed?</t>
  </si>
  <si>
    <t>A) Yes, deception and feints are a key part of the strategy, B) No, this is considered unsportsmanlike conduct, C) Only if the referee approves the move beforehand, D) The rider will be penalized for trickery</t>
  </si>
  <si>
    <t>A) Yes, deception and feints are a key part of the strategy</t>
  </si>
  <si>
    <t>Deceptive maneuvers that do not involve fouls are a sign of a skilled and intelligent Chapandaz.</t>
  </si>
  <si>
    <t>During a scrum, a rider from Team A is unhorsed. Their teammate immediately catches the loose horse. Why is this important?</t>
  </si>
  <si>
    <t>A) To steal the horse, B) To prevent the valuable, riderless horse from bolting or getting injured, C) So the teammate can use two horses, D) To show off their horsemanship skills</t>
  </si>
  <si>
    <t>B) To prevent the valuable, riderless horse from bolting or getting injured</t>
  </si>
  <si>
    <t>A trained Buzkashi horse is a huge investment. Teammates will prioritize catching a loose horse to protect the valuable animal.</t>
  </si>
  <si>
    <t>A rider is accused of using a saddle with a hidden sharp edge to injure other horses. If the referee confirms this, what is the penalty?</t>
  </si>
  <si>
    <t>A) A warning, B) A point deduction, C) Immediate disqualification and a likely ban from the sport, D) A fine</t>
  </si>
  <si>
    <t>C) Immediate disqualification and a likely ban from the sport</t>
  </si>
  <si>
    <t>This is a severe form of cheating designed to deliberately injure other animals and would be met with the harshest possible penalty.</t>
  </si>
  <si>
    <t>In a formal match, a player is disqualified for "dangerous riding." Which of these actions would qualify?</t>
  </si>
  <si>
    <t>A) Riding too fast for the conditions, B) Intentionally riding into a fallen rider, C) Celebrating a score too enthusiastically, D) Using a very short whip</t>
  </si>
  <si>
    <t>B) Intentionally riding into a fallen rider</t>
  </si>
  <si>
    <t>Any action that shows a deliberate disregard for the safety of other players or horses is considered dangerous riding and is a major foul.</t>
  </si>
  <si>
    <t>A rider successfully scores, but a post-match inspection reveals they had tied their whip to their wrist. Why would this foul nullify the score?</t>
  </si>
  <si>
    <t>A) It is not a foul, B) It prevents the whip from being dropped, which is an unfair advantage, C) It is extremely dangerous if the rider falls and gets tangled, D) Both B and C are correct</t>
  </si>
  <si>
    <t>D) Both B and C are correct</t>
  </si>
  <si>
    <t>Tying the whip on is an illegal equipment modification that is both an unfair advantage (it cannot be disarmed) and a serious safety hazard.</t>
  </si>
  <si>
    <t>A rider is holding the carcass under their leg. An opponent rides up and uses their own leg to try and pry the carcass free. Is this a legal move?</t>
  </si>
  <si>
    <t>A) No, only hands can be used, B) Yes, using the legs to contest for the carcass is a key skill, C) It is a foul for kicking, D) Only if the opponent agrees</t>
  </si>
  <si>
    <t>B) Yes, using the legs to contest for the carcass is a key skill</t>
  </si>
  <si>
    <t>The powerful leg grip of a Chapandaz is their primary tool for maintaining possession, and opponents can legally use their own legs to break that grip.</t>
  </si>
  <si>
    <t>A team is penalized because their sponsor's logo on their jersey is too large. Is this a valid rule in a formal tournament?</t>
  </si>
  <si>
    <t>A) No, sponsorship is always allowed, B) Yes, tournaments can regulate the size and placement of logos, C) Only if the logo is offensive, D) The team should be paid more for a larger logo</t>
  </si>
  <si>
    <t>B) Yes, tournaments can regulate the size and placement of logos</t>
  </si>
  <si>
    <t>In professionalized versions of the sport, there are often rules regarding uniforms and advertising to maintain a standard appearance.</t>
  </si>
  <si>
    <t>A horse is trained to "pin" an opponent's horse. What does this mean?</t>
  </si>
  <si>
    <t>A) The horse uses its body to trap an opponent's horse against a boundary, B) The horse bites the opponent's horse, C) The horse pins its ears back in aggression, D) The horse refuses to move</t>
  </si>
  <si>
    <t>A) The horse uses its body to trap an opponent's horse against a boundary</t>
  </si>
  <si>
    <t>This is a high-level skill where the horse itself becomes a strategic tool for controlling the movement of an opponent and their access to the carcass.</t>
  </si>
  <si>
    <t>What is the ruling if a rider carrying the carcass is unhorsed, but manages to drop the carcass in the scoring circle as they are falling?</t>
  </si>
  <si>
    <t>A) It is a spectacular and valid score, B) The score is not valid because the rider was not in control, C) A partial score is awarded, D) The point is replayed</t>
  </si>
  <si>
    <t>B) The score is not valid because the rider was not in control</t>
  </si>
  <si>
    <t>A rider must be fully mounted and in control of their horse at the moment of the score for it to be legal.</t>
  </si>
  <si>
    <t>A player is disqualified for having a horse of the wrong breed in a traditional match in Pakistan. What is the likely required breed?</t>
  </si>
  <si>
    <t>A) Arabian, B) Thoroughbred, C) A local breed known for toughness like the Waziri or Balochi, D) Shire</t>
  </si>
  <si>
    <t>C) A local breed known for toughness like the Waziri or Balochi</t>
  </si>
  <si>
    <t>Traditional games often place high value on local breeds that are specifically adapted to the region's climate and the sport's demands.</t>
  </si>
  <si>
    <t>A referee stops play because a rider's traditional turban (lungi) has come undone and is obscuring their vision. Is this a correct call?</t>
  </si>
  <si>
    <t>A) No, the play should continue, B) Yes, it is a matter of rider safety, C) The rider should be disqualified, D) The opponent gets a point</t>
  </si>
  <si>
    <t>B) Yes, it is a matter of rider safety</t>
  </si>
  <si>
    <t>If any piece of equipment or attire becomes a safety hazard, the referee can and should pause the game to allow it to be fixed.</t>
  </si>
  <si>
    <t>What is the ruling if a rider grabs the carcass, but is then carried over the scoring line by the momentum of the scrum?</t>
  </si>
  <si>
    <t>A) It is a valid score, B) It is not a valid score because the rider lacked individual control, C) The point is replayed, D) The point is awarded to the whole team</t>
  </si>
  <si>
    <t>B) It is not a valid score because the rider lacked individual control</t>
  </si>
  <si>
    <t>A rider must demonstrate clear and individual control of the carcass when scoring. Being pushed over by the crowd of horses is not a legal score.</t>
  </si>
  <si>
    <t>An inexperienced rider is unhorsed, and their horse continues to follow the game and interfere with other players. What is the procedure?</t>
  </si>
  <si>
    <t>A) The horse is allowed to continue playing, B) The horse must be caught and removed from the field by officials, C) The team is penalized, D) The game is stopped</t>
  </si>
  <si>
    <t>B) The horse must be caught and removed from the field by officials</t>
  </si>
  <si>
    <t>A riderless horse is a hazard and must be removed from the field of play before the game can safely resume.</t>
  </si>
  <si>
    <t>Why is a horse with a very calm, placid temperament ("cold-blooded") generally unsuitable for Buzkashi?</t>
  </si>
  <si>
    <t>A) It is not; calm horses are best, B) It will lack the competitive "fire" and aggression needed to fight in the scrum, C) It will be too slow, D) It will be too easily controlled</t>
  </si>
  <si>
    <t>B) It will lack the competitive "fire" and aggression needed to fight in the scrum</t>
  </si>
  <si>
    <t>Buzkashi requires a horse with a bold and combative spirit that is not intimidated by the chaos and violence of the game.</t>
  </si>
  <si>
    <t>In a formal match, what is the role of the "linesmen" or boundary judges?</t>
  </si>
  <si>
    <t>A) They keep score, B) They assist the main referee by signaling when the carcass or a rider goes out of bounds, C) They provide water to the players, D) They are the official timekeepers</t>
  </si>
  <si>
    <t>B) They assist the main referee by signaling when the carcass or a rider goes out of of bounds</t>
  </si>
  <si>
    <t>On a large, marked field, linesmen are essential for helping the referee make accurate calls on the boundaries.</t>
  </si>
  <si>
    <t>A rider is struggling to lift the carcass. His teammate rides up and illegally pushes an opponent away from the scrum. What is the call?</t>
  </si>
  <si>
    <t>A) Good teamwork, play continues, B) A foul is called on the teammate for illegal interference, C) The opponent is disqualified, D) The carcass is reset</t>
  </si>
  <si>
    <t>B) A foul is called on the teammate for illegal interference</t>
  </si>
  <si>
    <t>While blocking is legal, illegal actions like pushing or holding by a teammate will result in a penalty against the team.</t>
  </si>
  <si>
    <t>A rider drops the carcass. An opponent from behind is unable to stop, and their horse tramples the carcass. Is this a foul?</t>
  </si>
  <si>
    <t>A) Yes, it is a foul for disrespecting the carcass, B) No, this is a normal part of the chaotic game, C) The rider who trampled it is disqualified, D) The point is replayed</t>
  </si>
  <si>
    <t>B) No, this is a normal part of the chaotic game</t>
  </si>
  <si>
    <t>The carcass is a rugged object, and in the heat of the moment, it will be run over by horses. This is an expected part of the play.</t>
  </si>
  <si>
    <t>What is the most important skill for a rider caught in the middle of the chaotic scrum?</t>
  </si>
  <si>
    <t>A) The ability to ride as fast as possible, B) The ability to stay on the horse and maintain position under pressure, C) The ability to use the whip effectively, D) The ability to communicate with teammates</t>
  </si>
  <si>
    <t>B) The ability to stay on the horse and maintain position under pressure</t>
  </si>
  <si>
    <t>Before a rider can even think about the carcass, they must master the core skill of surviving the violent chaos of the scrum.</t>
  </si>
  <si>
    <t>A rider's horse is seen biting at an opponent's horse during the scrum. Is this allowed?</t>
  </si>
  <si>
    <t>A) No, it is a foul, and the rider is penalized, B) Yes, a horse's aggression is considered a part of the game, C) Only if the other horse bites first, D) The referee will ignore it</t>
  </si>
  <si>
    <t>B) Yes, a horse's aggression is considered a part of the game</t>
  </si>
  <si>
    <t>Highly trained Buzkashi horses are often taught to use their bodies—including pushing, leaning, and even biting—to gain an advantage.</t>
  </si>
  <si>
    <t>A rider scores, but the referee sees the horse's hoof step just outside the scoring circle. What is the ruling?</t>
  </si>
  <si>
    <t>A) The goal counts, B) The goal is disallowed, C) The point is replayed, D) The rider is given a warning</t>
  </si>
  <si>
    <t>B) The goal is disallowed</t>
  </si>
  <si>
    <t>The rules are strict: both the horse and the carcass must be inside the designated scoring area for the goal to be valid.</t>
  </si>
  <si>
    <t>A team uses two riders to form a "moving wall" to shield their scorer. An opponent protests that this is unfair. What will the referee decide?</t>
  </si>
  <si>
    <t>A) To allow the play, as shielding is a legal tactic, B) To penalize the team for obstruction, C) To warn the team, D) To restart the play</t>
  </si>
  <si>
    <t>A) To allow the play, as shielding is a legal tactic</t>
  </si>
  <si>
    <t>Coordinated blocking and shielding are fundamental parts of team strategy in Buzkashi and are perfectly legal.</t>
  </si>
  <si>
    <t>A rider fakes a pass to a teammate but then quickly pulls the carcass back and rides in the opposite direction. Is this legal?</t>
  </si>
  <si>
    <t>A) Yes, feints are a legal part of the game, B) No, this is an illegal deception, C) The rider must be penalized for unsportsmanlike conduct, D) Only if the referee approves beforehand</t>
  </si>
  <si>
    <t>A) Yes, feints are a legal part of the game</t>
  </si>
  <si>
    <t>Deception and clever maneuvers are a sign of a skilled Chapandaz and are a key part of the sport's strategy.</t>
  </si>
  <si>
    <t>A rider is seen whipping the carcass to try and loosen an opponent's grip. What is the ruling?</t>
  </si>
  <si>
    <t>A) This is a legal move, B) This is an illegal foul, C) The referee will issue a warning, D) The carcass is reset</t>
  </si>
  <si>
    <t>B) This is an illegal foul</t>
  </si>
  <si>
    <t>The whip is only to be used for controlling one's own horse. Using it on the carcass or an opponent is a major foul.</t>
  </si>
  <si>
    <t>During the finals, a referee notices that a rider's saddle stirrup is broken. What is the correct procedure?</t>
  </si>
  <si>
    <t>A) The rider must continue at their own risk, B) The referee must pause the match to allow for a repair or replacement, C) The rider is disqualified, D) The opposing team gets a point</t>
  </si>
  <si>
    <t>B) The referee must pause the match to allow for a repair or replacement</t>
  </si>
  <si>
    <t>Safety is paramount. Any critical equipment failure that endangers a rider requires the match to be paused.</t>
  </si>
  <si>
    <t>The carcass lands exactly on the chalk of the goal circle line, but not fully inside. Does this count as a score?</t>
  </si>
  <si>
    <t>A) Yes, touching the line is a score, B) No, the carcass must be fully inside the circle, C) The point is replayed, D) A half-point is awarded</t>
  </si>
  <si>
    <t>B) No, the carcass must be fully inside the circle</t>
  </si>
  <si>
    <t>For a score to be valid, the entire carcass must be dropped clearly within the boundaries of the scoring circle.</t>
  </si>
  <si>
    <t>A rider is yelling loudly in Pashto to distract a rival. Is this a foul?</t>
  </si>
  <si>
    <t>A) Yes, all shouting is a foul, B) No, verbal tactics are generally allowed if not abusive, C) A warning is issued, D) The rider is penalized a point</t>
  </si>
  <si>
    <t>B) No, verbal tactics are generally allowed if not abusive</t>
  </si>
  <si>
    <t>Shouting, taunting, and other verbal gamesmanship are a common and accepted part of the psychological battle in Buzkashi.</t>
  </si>
  <si>
    <t>Team X brings in a fresh, rested horse for their star player mid-match, while Team Y's horses are tired. Is this fair play?</t>
  </si>
  <si>
    <t>A) No, it is an unfair advantage, B) Yes, substituting horses is a permitted and key strategy, C) The team must be penalized, D) The match must be replayed</t>
  </si>
  <si>
    <t>B) Yes, substituting horses is a permitted and key strategy</t>
  </si>
  <si>
    <t>The ability to provide fresh mounts is a part of the strategy and resources of a team, and it is perfectly legal.</t>
  </si>
  <si>
    <t>A rider is holding the carcass, but their reins slip from their hands and the horse bolts uncontrollably. What must the referee do?</t>
  </si>
  <si>
    <t>A) Let the play continue, B) Stop the match for safety reasons, C) Reset the carcass immediately, D) Penalize the rider for losing control</t>
  </si>
  <si>
    <t>B) Stop the match for safety reasons</t>
  </si>
  <si>
    <t>A riderless, uncontrolled horse moving at speed is a danger to everyone. The referee must stop the game until the situation is under control.</t>
  </si>
  <si>
    <t>A rider tries to pass the carcass to a teammate who has been unhorsed. Is this a legal play?</t>
  </si>
  <si>
    <t>A) Yes, B) No, C) A warning is issued, D) The carcass is reset</t>
  </si>
  <si>
    <t>A player must be mounted to legally participate in the game. A pass to a dismounted teammate is an illegal play.</t>
  </si>
  <si>
    <t>A rider is accidentally injured by their own horse but is still holding the carcass. What is the ruling?</t>
  </si>
  <si>
    <t>A) The match is stopped immediately for safety, B) The play continues until a foul or score occurs, C) The carcass is reset, D) The rider's team is awarded a point</t>
  </si>
  <si>
    <t>A) The match is stopped immediately for safety</t>
  </si>
  <si>
    <t>If a rider is clearly injured and in distress, the referee will stop the game to allow for medical attention, regardless of possession.</t>
  </si>
  <si>
    <t>A rider blocks a rival by swinging the carcass in a wide arc. Is this legal?</t>
  </si>
  <si>
    <t>A) Yes, it is a smart defensive move, B) No, the carcass cannot be used aggressively as a weapon, C) A warning is issued, D) The point is replayed</t>
  </si>
  <si>
    <t>B) No, the carcass cannot be used aggressively as a weapon</t>
  </si>
  <si>
    <t>A rider can shield the carcass with their body and horse, but they cannot swing it around to strike or obstruct opponents.</t>
  </si>
  <si>
    <t>The referee suspects that a wealthy patron is influencing the game by bribing an official. What is the correct immediate step?</t>
  </si>
  <si>
    <t>A) Continue the play and investigate later, B) Suspend the match to investigate the integrity of the officiating, C) Ignore the suspicion, D) Disqualify both teams</t>
  </si>
  <si>
    <t>B) Suspend the match to investigate the integrity of the officiating</t>
  </si>
  <si>
    <t>Any concern about the integrity of the match, such as bribery, requires an immediate stoppage and investigation by the head judges.</t>
  </si>
  <si>
    <t>A rider is holding the carcass with both arms while gripping the reins with their teeth. Is this a legal way to carry the carcass?</t>
  </si>
  <si>
    <t>A) Yes, it is a famous display of skill, B) No, the reins must be held in the hands, C) The rider is given a warning for dangerous play, D) The rider is disqualified</t>
  </si>
  <si>
    <t>A) Yes, it is a famous display of skill</t>
  </si>
  <si>
    <t>This is a legendary, though rare, technique used by some master Chapandaz to free their hands, showcasing incredible horsemanship.</t>
  </si>
  <si>
    <t>The carcass falls under a horse and is being trampled. What is the procedure?</t>
  </si>
  <si>
    <t>A) The play continues, B) The referee blows the whistle to stop play and resets the carcass, C) The rider of the horse is penalized, D) A point is awarded to the other team</t>
  </si>
  <si>
    <t>B) The referee blows the whistle to stop play and resets the carcass</t>
  </si>
  <si>
    <t>If the carcass is in a dangerous or unplayable position under a horse, the referee will stop the action and reset it for safety and fair play.</t>
  </si>
  <si>
    <t>A team uses two riders to act as "moving walls" to screen for their scorer. An opponent protests that this is obstruction. What should the referee rule?</t>
  </si>
  <si>
    <t>A) It is a foul for obstruction, B) It is a legal and fundamental team tactic, C) The team is given a warning, D) The play is restarted</t>
  </si>
  <si>
    <t>B) It is a legal and fundamental team tactic</t>
  </si>
  <si>
    <t>"Shielding" or "screening" for the carcass carrier is not only legal but is the primary strategy in team Buzkashi.</t>
  </si>
  <si>
    <t>A rider's whip gets caught on an opponent's saddle. The referee stops play. What is the call?</t>
  </si>
  <si>
    <t>A) A foul on the first rider, B) A foul on the second rider, C) A neutral stoppage; the carcass is reset, D) The rider who lost the whip is out</t>
  </si>
  <si>
    <t>C) A neutral stoppage; the carcass is reset</t>
  </si>
  <si>
    <t>An accidental entanglement of equipment is a no-fault incident. The referee will stop play to allow the riders to get free and then reset the carcass.</t>
  </si>
  <si>
    <t>A rider successfully grabs the carcass and is breaking away. An opponent from behind grabs the tail of the rider's horse. Is this legal?</t>
  </si>
  <si>
    <t>A) Yes, it is a desperate move to slow them down, B) No, it is a serious foul for illegal interference, C) It is allowed once per match, D) A warning is issued</t>
  </si>
  <si>
    <t>B) No, it is a serious foul for illegal interference</t>
  </si>
  <si>
    <t>Grabbing any part of an opponent's horse is a major foul that can endanger both the horse and the rider.</t>
  </si>
  <si>
    <t>A horse is seen with its ears pinned back and teeth bared at another horse in the scrum. What does this signify?</t>
  </si>
  <si>
    <t>A) The horse is tired, B) The horse is showing extreme aggression and fighting spirit, C) The horse is scared, D) The horse is playing</t>
  </si>
  <si>
    <t>B) The horse is showing extreme aggression and fighting spirit</t>
  </si>
  <si>
    <t>This is the behavior of a seasoned, combative Buzkashi horse, a highly desirable trait for the sport.</t>
  </si>
  <si>
    <t>In a tournament, a team is found to have more than the allowed number of riders on the field. What is the penalty?</t>
  </si>
  <si>
    <t>A) The extra player is simply told to leave, B) A point is awarded to the opposing team, and the team must correct the number, C) The team must forfeit the match, D) A warning is issued</t>
  </si>
  <si>
    <t>B) A point is awarded to the opposing team, and the team must correct the number</t>
  </si>
  <si>
    <t>Having too many players on the field is a clear violation and results in a penalty point.</t>
  </si>
  <si>
    <t>A rider has the carcass, and an opponent rides directly in front of them and stops suddenly. Why is this a foul?</t>
  </si>
  <si>
    <t>A) It is not a foul, B) It is an illegal block that creates a dangerous risk of collision, C) It is a sign of disrespect, D) It is a clever defensive move</t>
  </si>
  <si>
    <t>B) It is an illegal block that creates a dangerous risk of collision</t>
  </si>
  <si>
    <t>A player cannot deliberately create a dangerous obstruction. A sudden stop in front of a galloping horse is a major safety foul.</t>
  </si>
  <si>
    <t>What is the main reason that the ground crew and referees are often also on horseback?</t>
  </si>
  <si>
    <t>A) It is more traditional, B) To keep up with the fast-moving play and get a clear view of fouls within the scrum, C) For their own safety from the scrum, D) All of the above</t>
  </si>
  <si>
    <t>Being mounted allows officials to move with the game, see over the scrum, stay safe, and enforce the rules effectively.</t>
  </si>
  <si>
    <t>A rider is carrying the carcass. An opponent rides alongside and uses their leg to push the carrier's leg away from the carcass. Is this a legal move?</t>
  </si>
  <si>
    <t>A) Yes, using the legs to contest for the carcass is a key skill, B) No, this is a foul for illegal use of the leg, C) Only if the opponent does not kick, D) A warning is issued</t>
  </si>
  <si>
    <t>A) Yes, using the legs to contest for the carcass is a key skill</t>
  </si>
  <si>
    <t>Riders use their entire bodies to fight for possession. Using one's leg to break an opponent's grip on the carcass is a standard tactic.</t>
  </si>
  <si>
    <t>A rider is injured and must be substituted. Can the original rider return to the game later?</t>
  </si>
  <si>
    <t>A) Yes, after a rest period, B) No, once a player is substituted, they cannot return in that match, C) Only in the second half of the game, D) Only if the substitute player also gets injured</t>
  </si>
  <si>
    <t>B) No, once a player is substituted, they cannot return in that match</t>
  </si>
  <si>
    <t>In most formal rule sets, a player who has been replaced by a substitute is out of the game for its remainder.</t>
  </si>
  <si>
    <t>A rider's horse has a "hard mouth." What does this mean for the rider?</t>
  </si>
  <si>
    <t>A) The horse is very responsive to the reins, B) The horse is unresponsive to rein cues and is difficult to control, C) The horse is known to bite other horses, D) The horse has very strong teeth</t>
  </si>
  <si>
    <t>B) The horse is unresponsive to rein cues and is difficult to control</t>
  </si>
  <si>
    <t>A "hard mouth" is a negative trait, indicating the horse ignores the rider's signals, making it a poor mount for a technical game like Buzkashi.</t>
  </si>
  <si>
    <t>What is the ruling if the carcass is dropped and comes to rest directly on the boundary line of the field?</t>
  </si>
  <si>
    <t>A) It is still considered in play, B) It is out of play and must be reset, C) The last player to touch it wins the point, D) The first player to touch it again gets possession</t>
  </si>
  <si>
    <t>B) It is out of play and must be reset</t>
  </si>
  <si>
    <t>The boundary line itself is considered out of play. The carcass must be fully inside the field to be live.</t>
  </si>
  <si>
    <t>A rider is unhorsed, but their foot gets caught in a metal stirrup. Why is this a particularly dangerous situation?</t>
  </si>
  <si>
    <t>A) The rider will be penalized, B) The horse will stop automatically, C) The rider can be dragged by the horse at high speed, D) The stirrup will break</t>
  </si>
  <si>
    <t>C) The rider can be dragged by the horse at high speed</t>
  </si>
  <si>
    <t>This is why many traditional riders prefer soft leather stirrups or boots that are less likely to entangle a foot during a fall.</t>
  </si>
  <si>
    <t>A horse is disqualified during a pre-game inspection. What is a likely reason?</t>
  </si>
  <si>
    <t>A) The horse is too old, B) The horse has an open sore or signs of lameness, C) The horse is a mare, not a stallion, D) The horse is the wrong color</t>
  </si>
  <si>
    <t>B) The horse has an open sore or signs of lameness</t>
  </si>
  <si>
    <t>For animal welfare, any horse that is not in peak physical health will be barred from competing.</t>
  </si>
  <si>
    <t>In a formal match, what is the consequence if a team cannot field the minimum number of players?</t>
  </si>
  <si>
    <t>A) They can play with fewer players, B) They must forfeit the match, C) They can borrow a player from another team, D) The match is rescheduled</t>
  </si>
  <si>
    <t>B) They must forfeit the match</t>
  </si>
  <si>
    <t>Tournament rules require a minimum number of players to start a game. Failure to meet this results in a forfeit.</t>
  </si>
  <si>
    <t>What is the main reason that team-based Buzkashi (Qarajai) is considered more strategic than the individual free-for-all (Tudabarai)?</t>
  </si>
  <si>
    <t>A) It is played on a larger field, B) It involves coordinated offensive and defensive plays like blocking and escorting, C) The prizes are bigger, D) It has more referees</t>
  </si>
  <si>
    <t>B) It involves coordinated offensive and 'defensive plays like blocking and escorting</t>
  </si>
  <si>
    <t>The team format introduces a deep layer of strategy that goes beyond the individual skill of the riders.</t>
  </si>
  <si>
    <t>A rider is seen using a whip that has a metal chain at the end. What is the ruling?</t>
  </si>
  <si>
    <t>A) It is a legal, traditional whip, B) It is illegal equipment, and the rider is disqualified, C) It is allowed, but only for use on the saddle, D) A warning is issued</t>
  </si>
  <si>
    <t>B) It is illegal equipment, and the rider is disqualified</t>
  </si>
  <si>
    <t>Any modification to the whip that turns it into a more injurious weapon is a major foul.</t>
  </si>
  <si>
    <t>Why is it important for a horse to be trained not to fear the whip?</t>
  </si>
  <si>
    <t>A) So the rider can hit it harder, B) A horse that fears the whip may panic or bolt when it is used for cues, C) It is not important, D) So the whip can be used on other horses</t>
  </si>
  <si>
    <t>B) A horse that fears the whip may panic or bolt when it is used for cues</t>
  </si>
  <si>
    <t>The whip is a tool for guidance. A horse must be trained to respond to it as a signal, not to react with fear, which would make it uncontrollable.</t>
  </si>
  <si>
    <t>What is the name for the traditional, long quilted robe sometimes worn by riders for protection and status?</t>
  </si>
  <si>
    <t>A) Salwar Kameez, B) Sherwani, C) Chapan, D) Kurta</t>
  </si>
  <si>
    <t>C) Chapan</t>
  </si>
  <si>
    <t>The chapan is a heavy, padded coat traditional to Central Asia that serves as both a status symbol and a protective garment.</t>
  </si>
  <si>
    <t>If a sponsor offers a huge prize (like a new truck) for the first score, how does this typically affect the start of the game?</t>
  </si>
  <si>
    <t>A) The start is more cautious, B) The initial scrum for the carcass is exceptionally fierce and chaotic, C) The riders decide to share the prize, D) It has no effect</t>
  </si>
  <si>
    <t>B) The initial scrum for the carcass is exceptionally fierce and chaotic</t>
  </si>
  <si>
    <t>A valuable prize for the first point creates a massive incentive for every rider to be extremely aggressive right from the start.</t>
  </si>
  <si>
    <t>A) The horse is very responsive to the reins, B) The horse is unresponsive to rein cues and is difficult to control, C) The horse bites other horses, D) The horse has strong teeth</t>
  </si>
  <si>
    <t>What is the cultural significance of the game often being played at weddings in Pashtun culture?</t>
  </si>
  <si>
    <t>A) It is a form of entertainment for the guests, B) It is a display of the families' power, wealth, and honor, C) It is a way to select a husband, D) It is a required religious ceremony</t>
  </si>
  <si>
    <t>B) It is a display of the families' power, wealth, and honor</t>
  </si>
  <si>
    <t>Hosting a major Buzkashi match is a significant and prestigious event that demonstrates the status of the families involved.</t>
  </si>
  <si>
    <t>A rider successfully gets the carcass in the scoring circle, but the final whistle blew while the rider was on their way. Does the score count?</t>
  </si>
  <si>
    <t>A) Yes, the play is allowed to be completed, B) No, the score must be made before time expires, C) The rider gets half a point, D) The teams play an overtime round</t>
  </si>
  <si>
    <t>B) No, the score must be made before time expires</t>
  </si>
  <si>
    <t>Unlike some sports, the game ends the moment the final whistle is blown. Any action completed after the whistle is void.</t>
  </si>
  <si>
    <t>A rider is disqualified for using a saddle with a hidden sharp edge. Why is this a serious foul?</t>
  </si>
  <si>
    <t>A) It can damage the carcass, B) It can be used as a weapon to injure opposing horses and riders, C) It is not a traditional saddle, D) It adds extra weight</t>
  </si>
  <si>
    <t>B) It can be used as a weapon to injure opposing horses and riders</t>
  </si>
  <si>
    <t>Tampering with equipment to create a weapon is a major violation of safety and sportsmanship.</t>
  </si>
  <si>
    <t>What is the role of the flag or alam in the Qarajai version of the game?</t>
  </si>
  <si>
    <t>A) It is the starting point, B) It is a turning marker that a rider must go around before they can score, C) It is a symbol of the sponsoring tribe, D) It is the scoring goal itself</t>
  </si>
  <si>
    <t>B) It is a turning marker that a rider must go around before they can score</t>
  </si>
  <si>
    <t>The course is defined by the starting circle, the flag, and the scoring circle. A rider must pass the flag to have a valid scoring run.</t>
  </si>
  <si>
    <t>A horse refuses to enter the scrum. What does this indicate about the horse?</t>
  </si>
  <si>
    <t>A) The horse is intelligent and avoiding danger, B) The horse lacks the courage or training for the game, C) The horse is tired, D) The horse dislikes its rider</t>
  </si>
  <si>
    <t>B) The horse lacks the courage or training for the game</t>
  </si>
  <si>
    <t>A key trait of a Buzkashi horse is its "heart" or bravery; a horse that shies away from the fight is not suitable for the sport.</t>
  </si>
  <si>
    <t>In a formal match, what is the penalty for a rider who is not wearing the required team sash or jersey?</t>
  </si>
  <si>
    <t>A) They are not allowed to start the match, B) They are given a point penalty, C) It does not matter what they wear, D) They must borrow one from another player</t>
  </si>
  <si>
    <t>A) They are not allowed to start the match</t>
  </si>
  <si>
    <t>Proper uniform is required for identification by the referees. A player cannot compete without it.</t>
  </si>
  <si>
    <t>A player is disqualified for "dangerous riding." Which of these actions would qualify?</t>
  </si>
  <si>
    <t>A) Riding too fast, B) Intentionally riding into a fallen rider, C) Celebrating a score too much, D) Using a short whip</t>
  </si>
  <si>
    <t>A rider successfully scores, but is found to have tied their whip to their wrist. Why would this foul nullify the score?</t>
  </si>
  <si>
    <t>A) It is not a foul, B) It prevents the whip from being dropped, giving an unfair advantage, C) It is dangerous as the rider could be tangled if they fall, D) Both B and C</t>
  </si>
  <si>
    <t>D) Both B and C</t>
  </si>
  <si>
    <t>Tying the whip on is an illegal modification that is both an unfair advantage (it cannot be disarmed) and a serious safety hazard.</t>
  </si>
  <si>
    <t>A rider is praised for their horse's "soft mouth." What does this mean?</t>
  </si>
  <si>
    <t>A) The horse has weak teeth, B) The horse is very responsive to gentle cues from the reins, C) The horse does not bite, D) The horse eats soft food</t>
  </si>
  <si>
    <t>B) The horse is very responsive to gentle cues from the reins</t>
  </si>
  <si>
    <t>A "soft mouth" is a sign of a well-trained horse that can be guided with subtle signals, which is crucial when the rider's hands are occupied.</t>
  </si>
  <si>
    <t>What is the primary purpose of the high-backed saddle, or cantle?</t>
  </si>
  <si>
    <t>A) To provide a place for decorations, B) To prevent the rider from sliding backward when pulling the heavy carcass, C) To make the rider sit taller, D) It is purely cosmetic</t>
  </si>
  <si>
    <t>B) To prevent the rider from sliding backward when pulling the heavy carcass</t>
  </si>
  <si>
    <t>The high cantle acts as a brace, giving the rider crucial leverage and support.</t>
  </si>
  <si>
    <t>A rider is unhorsed, and their horse continues to follow the game and interfere. What is the procedure?</t>
  </si>
  <si>
    <t>Why is a horse with a calm, placid temperament generally unsuitable for Buzkashi?</t>
  </si>
  <si>
    <t>B) They assist the main referee by signaling when the carcass or a rider goes out of bounds</t>
  </si>
  <si>
    <t>A rider is struggling to lift the carcass. His teammate rides up and helps him lift it. Is this legal?</t>
  </si>
  <si>
    <t>A) Yes, this is good teamwork, B) No, only one rider can be in possession of the carcass at a time, C) The team is penalized for having two riders on the carcass, D) The point is replayed</t>
  </si>
  <si>
    <t>B) No, only one rider can be in possession of the carcass at a time</t>
  </si>
  <si>
    <t>A rider must gain sole possession of the carcass. Assistance from a teammate in this manner is not allowed.</t>
  </si>
  <si>
    <t>What is the primary purpose of the high pommel (front) of a Buzkashi saddle?</t>
  </si>
  <si>
    <t>A) It is a handle for the rider to hold, B) It helps to lock the rider into the saddle and provides a brace, C) It is a place to tie the whip, D) It is for decoration</t>
  </si>
  <si>
    <t>B) It helps to lock the rider into the saddle and provides a brace</t>
  </si>
  <si>
    <t>The high pommel and cantle create a deep, secure seat, which is essential for staying on the horse during the violent pulling and leaning.</t>
  </si>
  <si>
    <t>A rider is holding the carcass. An opponent rides up and grabs the rider's arm. What is the ruling?</t>
  </si>
  <si>
    <t>A) It is a legal defensive move, B) It is a foul for holding the rider, C) Play continues, D) The rider who was held gets a penalty shot</t>
  </si>
  <si>
    <t>B) It is a foul for holding the rider</t>
  </si>
  <si>
    <t>Players can only contest for the carcass itself. Grabbing the rider's body, clothing, or equipment is illegal.</t>
  </si>
  <si>
    <t>A horse is seen with its ears pinned back during the scrum. What does this indicate?</t>
  </si>
  <si>
    <t>A) The horse is relaxed, B) The horse is focused and aggressive, C) The horse is tired, D) The horse is listening to its rider</t>
  </si>
  <si>
    <t>B) The horse is focused and aggressive</t>
  </si>
  <si>
    <t>Pinned ears are a clear sign of a horse's agitation and competitive intensity, which is a desirable trait for the sport.</t>
  </si>
  <si>
    <t>What is the referee's primary responsibility when a large scrum forms over the carcass?</t>
  </si>
  <si>
    <t>A) To help a rider pull the carcass free, B) To ensure the safety of the horses and riders, watching for illegal holds or dangerous falls, C) To declare a winner of the scrum, D) To keep time</t>
  </si>
  <si>
    <t>B) To ensure the safety of the horses and riders, watching for illegal holds or dangerous falls</t>
  </si>
  <si>
    <t>The scrum is the most dangerous part of the game, and the referee's job is to monitor it for fouls and prevent serious injuries.</t>
  </si>
  <si>
    <t>A modern tournament introduces a rule that a rider can only hold the carcass for 30 seconds before they must attempt a score. What is the purpose of this rule?</t>
  </si>
  <si>
    <t>A) To make the game harder, B) To increase the pace of the game and prevent stalling, C) To help the defensive team, D) It is a rule for television broadcasts</t>
  </si>
  <si>
    <t>B) To increase the pace of the game and prevent stalling</t>
  </si>
  <si>
    <t>A "shot clock" type of rule is sometimes used to make the game faster and more exciting for spectators by forcing continuous action.</t>
  </si>
  <si>
    <t>Why is a horse's ability to withstand pain and discomfort a valued trait?</t>
  </si>
  <si>
    <t>A) It is not a valued trait, B) The game is physically punishing, and a horse must be tough enough to endure the collisions, C) It allows the rider to be harsher, D) It is a sign of a cheap horse</t>
  </si>
  <si>
    <t>B) The game is physically punishing, and a horse must be tough enough to endure the collisions</t>
  </si>
  <si>
    <t>Buzkashi is a brutal contact sport. A horse must have the grit and resilience to play through the pain and exhaustion.</t>
  </si>
  <si>
    <t>A rider is seen whipping his own boot before whipping his horse. What is the likely purpose of this action?</t>
  </si>
  <si>
    <t>A) It is a nervous habit, B) It creates a louder cracking sound to motivate the horse without striking it as hard, C) He is cleaning his whip, D) It is a signal to his teammates</t>
  </si>
  <si>
    <t>B) It creates a louder cracking sound to motivate the horse without striking it as hard</t>
  </si>
  <si>
    <t>This is a technique of skilled horsemanship, using sound as a primary motivator rather than just physical impact.</t>
  </si>
  <si>
    <t>What is the ruling if a rider is unhorsed and their own teammate accidentally tramples them?</t>
  </si>
  <si>
    <t>A) The teammate is disqualified, B) It is considered a tragic but legal racing incident, C) The match is immediately forfeited by the team, D) The opposing team is awarded a point</t>
  </si>
  <si>
    <t>B) It is considered a tragic but legal racing incident</t>
  </si>
  <si>
    <t>While unfortunate, the chaotic and dangerous nature of the scrum means that such accidents are a known risk of the sport.</t>
  </si>
  <si>
    <t>A rider is in possession of the carcass near the boundary. An opponent legally pushes them with their horse, forcing them out of bounds. What is the call?</t>
  </si>
  <si>
    <t>A) A foul on the opponent for pushing, B) A point for the opponent, C) The carcass is reset in the center, D) A warning is issued to both riders</t>
  </si>
  <si>
    <t>C) The carcass is reset in the center</t>
  </si>
  <si>
    <t>The push was legal, but the result is that the carcass went out of play. Therefore, the play is dead and the carcass is reset.</t>
  </si>
  <si>
    <t>How long can a typical Buzkashi match last?</t>
  </si>
  <si>
    <t>A) 10 minutes, B) 30 minutes, C) Often for several hours, with multiple periods, D) It is untimed</t>
  </si>
  <si>
    <t>C) Often for several hours, with multiple periods</t>
  </si>
  <si>
    <t>A formal Buzkashi match is a long and grueling affair, sometimes consisting of two 45-minute halves with a break in between.</t>
  </si>
  <si>
    <t>A rider is about to score, but an opponent grabs their saddle to pull them back. Is this legal?</t>
  </si>
  <si>
    <t>A) Yes, it is a smart defensive play, B) No, it is a foul to grab an opponent's equipment, C) Only if they do not pull the rider off the horse, D) It is up to the referee's discretion</t>
  </si>
  <si>
    <t>B) No, it is a foul to grab an opponent's equipment</t>
  </si>
  <si>
    <t>A player can only contest for the carcass. Grabbing the saddle, reins, or rider is illegal.</t>
  </si>
  <si>
    <t>A horse refuses to enter the scrum. What does this indicate?</t>
  </si>
  <si>
    <t>A) The horse is intelligent, B) The horse lacks the courage or training for the game, C) The horse is tired, D) The horse dislikes its rider</t>
  </si>
  <si>
    <t>A rider drops the carcass. An opponent from behind is unable to stop and their horse tramples the carcass. Is this a foul?</t>
  </si>
  <si>
    <t>A horse is praised for being "cat-like" in its agility. What does this mean?</t>
  </si>
  <si>
    <t>A) The horse is very quiet, B) The horse has an incredible ability to stay on its feet, turn sharply, and recover its balance, C) The horse likes to chase things, D) The horse has sharp claws</t>
  </si>
  <si>
    <t>B) The horse has an incredible ability to stay on its feet, turn sharply, and recover its balance</t>
  </si>
  <si>
    <t>This is a high compliment, referring to the horse's nimbleness and grace amidst the chaos.</t>
  </si>
  <si>
    <t>A rider's whip breaks during the game. What can they do?</t>
  </si>
  <si>
    <t>A) They must be substituted, B) They must continue without a whip, C) A teammate can give them a spare whip, D) They are disqualified</t>
  </si>
  <si>
    <t>B) They must continue without a whip</t>
  </si>
  <si>
    <t>A rider can continue without a whip. There is no stoppage of play for this kind of equipment failure.</t>
  </si>
  <si>
    <t>What is the symbolic meaning of the Circle of Justice (Da 'Adalat Daira)?</t>
  </si>
  <si>
    <t>A) It represents the circle of life, B) It is a neutral ground where a fair score can be made, C) It represents the sun, D) It has no symbolic meaning</t>
  </si>
  <si>
    <t>B) It is a neutral ground where a fair score can be made</t>
  </si>
  <si>
    <t>The name implies that the circle is a place of fairness and truth, where a rider's successful effort is officially and justly recognized.</t>
  </si>
  <si>
    <t>Why is a horse's ability to tolerate pain a crucial attribute?</t>
  </si>
  <si>
    <t>A) It is not, B) The game involves constant, painful collisions and whip strikes, C) It allows the rider to be harsher, D) It is a sign of a cheap horse</t>
  </si>
  <si>
    <t>B) The game involves constant, painful collisions and whip strikes</t>
  </si>
  <si>
    <t>Buzkashi is a brutal sport. A horse must have the grit and resilience to play through the pain and exhaustion.</t>
  </si>
  <si>
    <t>How is the "official" carcass for a tournament selected?</t>
  </si>
  <si>
    <t>A) It is chosen at random, B) The sponsoring Khan provides it from his own herd, C) It must be a goat or calf of a specific age and weight, approved by the officials, D) The teams vote on it</t>
  </si>
  <si>
    <t>C) It must be a goat or calf of a specific age and weight, approved by the officials</t>
  </si>
  <si>
    <t>To ensure fairness, the carcass must meet standardized criteria for size and weight before the match.</t>
  </si>
  <si>
    <t>What is the main characteristic of a "cold-blooded" horse, and why is it unsuitable for Buzkashi?</t>
  </si>
  <si>
    <t>A) They are aggressive; they are too dangerous, B) They are calm and slow; they lack the necessary speed and fire, C) They are small; they are not strong enough, D) They are rare; they are too expensive</t>
  </si>
  <si>
    <t>B) They are calm and slow; they lack the necessary speed and fire</t>
  </si>
  <si>
    <t>Buzkashi requires "hot-blooded" horses known for their energy, speed, and competitive spirit. A placid draft horse would be completely unsuitable.</t>
  </si>
  <si>
    <t>A rider is accused of using a saddle with a hidden sharp point to hurt other horses. If true, what is the penalty?</t>
  </si>
  <si>
    <t>What is the most important skill for a rider in the chaotic scrum?</t>
  </si>
  <si>
    <t>A) The ability to ride as fast as possible, B) The ability to stay on the horse and maintain position while under immense pressure, C) The ability to use the whip effectively, D) The ability to communicate with teammates</t>
  </si>
  <si>
    <t>B) The ability to stay on the horse and maintain position while under immense pressure</t>
  </si>
  <si>
    <t>What is the role of a "sweeper" horse in a team?</t>
  </si>
  <si>
    <t>A) A horse trained to clean the field, B) A horse that is good at chasing down opponents who have broken free, C) A horse that is good at defense, D) A horse that is used for ceremonial purposes only</t>
  </si>
  <si>
    <t>B) A horse that is good at chasing down opponents who have broken free</t>
  </si>
  <si>
    <t>Some horses are exceptionally fast in a straight line and are used by teams to pursue and run down a breakaway scorer.</t>
  </si>
  <si>
    <t>A rider is holding the carcass under their leg. An opponent rides up and tries to pull it free. Is it legal for the first rider to clamp their leg down harder to keep it?</t>
  </si>
  <si>
    <t>A) No, they must use their hands, B) Yes, using the legs to grip and secure the carcass is a key skill, C) It is a foul for holding, D) Only if the opponent agrees</t>
  </si>
  <si>
    <t>B) Yes, using the legs to grip and secure the carcass is a key skill</t>
  </si>
  <si>
    <t>The powerful leg grip of a Chapandaz is their primary tool for maintaining possession of the heavy carcass.</t>
  </si>
  <si>
    <t>In a tournament, what is the typical color of the Circle of Justice?</t>
  </si>
  <si>
    <t>A) It is unmarked, B) It is marked with bright white chalk, C) It is marked with a red rope, D) It is a permanently painted circle</t>
  </si>
  <si>
    <t>B) It is marked with bright white chalk</t>
  </si>
  <si>
    <t>To ensure clear visibility for riders and referees, the scoring circle is usually drawn with thick white chalk or lime.</t>
  </si>
  <si>
    <t>What is the ultimate sign of a masterful Chapandaz?</t>
  </si>
  <si>
    <t>A) They have the most expensive horse, B) They can score a point seemingly without effort, making the chaotic game look easy, C) They win every match, D) They are the most aggressive rider</t>
  </si>
  <si>
    <t>B) They can score a point seemingly without effort, making the chaotic game look easy</t>
  </si>
  <si>
    <t>True mastery is shown through an effortless grace and intelligence that makes the incredibly difficult sport look fluid and simple.</t>
  </si>
  <si>
    <t>A rider is disqualified for having a horse of the wrong breed. What is the most likely required breed for a traditional match in Pakistan?</t>
  </si>
  <si>
    <t>If any piece of equipment or attire becomes a safety hazard, the referee can and should pause the game.</t>
  </si>
  <si>
    <t>A horse is praised for its "soft mouth." What does this mean?</t>
  </si>
  <si>
    <t>A soft mouth is a sign of a well-trained horse that can be guided with subtle signals, which is crucial when the rider's hands are occupied.</t>
  </si>
  <si>
    <t>What is the main reason a rider might be penalized for "excessive whipping"?</t>
  </si>
  <si>
    <t>A) It is not penalized, B) It is considered animal cruelty, C) It can tire the horse out too quickly, D) It can damage the whip</t>
  </si>
  <si>
    <t>B) It is considered animal cruelty</t>
  </si>
  <si>
    <t>While using a whip is allowed, using it excessively or brutally violates the principles of good horsemanship and animal welfare.</t>
  </si>
  <si>
    <t>The ground for the match is extremely hard and dry. What is the greatest risk to the horses?</t>
  </si>
  <si>
    <t>A) They will run slower, B) They will get too dusty, C) Increased risk of concussion injuries to hooves and leg joints, D) They will be harder to control</t>
  </si>
  <si>
    <t>C) Increased risk of concussion injuries to hooves and leg joints</t>
  </si>
  <si>
    <t>Hard ground offers little shock absorption, leading to a higher risk of soundness issues for the horses.</t>
  </si>
  <si>
    <t>What is the referee's ruling if a rider grabs the carcass, but is then carried over the scoring line by the momentum of a large scrum of players?</t>
  </si>
  <si>
    <t>An experienced rider intentionally distracts an opponent while their teammate takes possession of the carcass. Is this tactic allowed?</t>
  </si>
  <si>
    <t>A) Yes, as long as no physical fouls are committed, B) No, distracting opponents is against the rules, C) Only if the distraction does not involve the horse, D) The referee must issue a warning</t>
  </si>
  <si>
    <t>A) Yes, as long as no physical fouls are committed</t>
  </si>
  <si>
    <t>Tactical distractions are allowed in Buzkashi, provided they stay within the boundaries of fair play.</t>
  </si>
  <si>
    <t>In a high-stakes match, a referee suspects a rider's horse is injured but still being used. What is the correct course of action?</t>
  </si>
  <si>
    <t>A) Allow the match to continue, B) Inspect the horse and order a substitution if needed, C) Pause the game until the matter is resolved, D) Penalize the rider for animal cruelty</t>
  </si>
  <si>
    <t>B) Inspect the horse and order a substitution if needed, C) Pause the game until the matter is resolved</t>
  </si>
  <si>
    <t>Ensuring the safety of horses is a key responsibility of referees in Buzkashi.</t>
  </si>
  <si>
    <t>During a tournament, the carcass is unusually light, making it easy to carry for long distances. What adjustments should the organizers consider?</t>
  </si>
  <si>
    <t>A) Replace the carcass with a standard weight, B) Allow the game to continue, C) Increase the game duration to balance the advantage, D) Require riders to switch possession more frequently</t>
  </si>
  <si>
    <t>A) Replace the carcass with a standard weight</t>
  </si>
  <si>
    <t>The carcass must meet standard specifications to ensure balanced competition.</t>
  </si>
  <si>
    <t>A rider from Team A places the carcass in the goal circle but uses their hand to push it while dismounted. What should the referee decide?</t>
  </si>
  <si>
    <t>A) Award the point, B) Disallow the point, C) Reset the game, D) Penalize the rider for rule violation</t>
  </si>
  <si>
    <t>B) Disallow the point, D) Penalize the rider for rule violation</t>
  </si>
  <si>
    <t>Points are awarded only when the carcass is placed according to the rules, which typically require the rider to remain mounted.</t>
  </si>
  <si>
    <t>A rider notices their horse is tired and slows down during a match. What is the best strategy for the team in this situation?</t>
  </si>
  <si>
    <t>A) Continue pushing with the same horse, B) Call for a substitution if allowed, C) Shift focus to another rider on the team, D) Take a temporary defensive position</t>
  </si>
  <si>
    <t>B) Call for a substitution if allowed, C) Shift focus to another rider on the team</t>
  </si>
  <si>
    <t>Efficient team management includes adapting strategies and substituting tired horses when necessary.</t>
  </si>
  <si>
    <t>A rider from Team A successfully takes the carcass and heads towards the goal circle, but an opponent from Team B tries to tackle him by cutting across his path. What is the best way to handle this situation?</t>
  </si>
  <si>
    <t>A) Attempt to dodge the opponent and keep riding towards the goal, B) Use the horse's speed to maintain the lead, C) Engage in a direct confrontation with the opponent, D) Pass the carcass to another teammate</t>
  </si>
  <si>
    <t>A) Attempt to dodge the opponent and keep riding towards the goal, B) Use the horse's speed to maintain the lead</t>
  </si>
  <si>
    <t>Speed and agility are key to overcoming tackles, but passing to a teammate could also be an effective strategy.</t>
  </si>
  <si>
    <t>During a Buzkashi match, a rider's horse becomes uncontrollable and starts running in the wrong direction. What should the rider do in this situation?</t>
  </si>
  <si>
    <t>A) Try to regain control of the horse by using the reins, B) Let the horse run until it calms down, C) Jump off the horse and continue the game on foot, D) Signal to the referee for help</t>
  </si>
  <si>
    <t>A) Try to regain control of the horse by using the reins</t>
  </si>
  <si>
    <t>Riders should maintain control of their horses to ensure their safety and continue contributing to their team.</t>
  </si>
  <si>
    <t>A rider from Team A gets caught up in a tangled fight for the carcass with multiple riders from Team B. What should the team do to regain possession?</t>
  </si>
  <si>
    <t>A) Focus on creating space by breaking up the fight, B) Have a teammate take advantage of the distraction to steal the carcass, C) Call for the referee to stop the match, D) Wait for the situation to calm down and then proceed</t>
  </si>
  <si>
    <t>A) Focus on creating space by breaking up the fight, B) Have a teammate take advantage of the distraction to steal the carcass</t>
  </si>
  <si>
    <t>Distractions like a fight provide opportunities to shift focus and gain possession.</t>
  </si>
  <si>
    <t>A rider successfully places the carcass in the goal circle, but the referee signals a foul because the rider's horse stepped outside the goal area. What is the appropriate response?</t>
  </si>
  <si>
    <t>A) Award the point to Team A, B) Disallow the point and reset the game, C) Penalize the rider, D) Restart play from the center</t>
  </si>
  <si>
    <t>B) Disallow the point and reset the game, C) Penalize the rider</t>
  </si>
  <si>
    <t>A goal is only valid if the rider and horse remain within the designated goal area.</t>
  </si>
  <si>
    <t>During the final moments of a Buzkashi match, Team A is in the lead, and Team B is using a defensive strategy to block the goal circle. What should Team A do to counter this defense?</t>
  </si>
  <si>
    <t>A) Increase their offensive pressure to break through the defense, B) Focus on positioning teammates in key areas of the field, C) Attempt a long-range pass to a teammate near the goal, D) Play conservatively and wait for Team B to make a mistake</t>
  </si>
  <si>
    <t>A) Increase their offensive pressure to break through the defense, C) Attempt a long-range pass to a teammate near the goal</t>
  </si>
  <si>
    <t>Countering defensive strategies requires quick, decisive actions to outmaneuver the defense.</t>
  </si>
  <si>
    <t>In the middle of a heated Buzkashi match, a rider from Team A is accused of holding the carcass with their hands while dismounted. What should the referee do?</t>
  </si>
  <si>
    <t>A) Ignore the incident, B) Issue a warning to the rider, C) Disqualify the rider from the match, D) Restart the play</t>
  </si>
  <si>
    <t>B) Issue a warning to the rider, C) Disqualify the rider from the match</t>
  </si>
  <si>
    <t>Holding the carcass while dismounted violates the rules of the game and may result in penalties.</t>
  </si>
  <si>
    <t>A team attempts a high-speed strategy where they attempt to score quickly after grabbing the carcass. However, their opponents are intercepting their passes and disrupting their play. What adjustments should Team A make?</t>
  </si>
  <si>
    <t>A) Slow down and focus on ball control, B) Use feints to mislead defenders, C) Engage in direct combat to overpower the defenders, D) Shift to a more defensive approach to prevent counterattacks</t>
  </si>
  <si>
    <t>A) Slow down and focus on ball control, B) Use feints to mislead defenders</t>
  </si>
  <si>
    <t>Using deception and controlling the ball carefully can help regain momentum and outmaneuver defenders.</t>
  </si>
  <si>
    <t>A rider from Team B has been warned for repeatedly using their horse’s speed to block Team A’s riders. What should the referee do if the behavior continues?</t>
  </si>
  <si>
    <t>A) Give a formal warning to the rider, B) Disqualify the rider, C) Penalize Team B by awarding Team A possession, D) Stop the match and issue a time penalty to the offending rider</t>
  </si>
  <si>
    <t>B) Disqualify the rider, C) Penalize Team B by awarding Team A possession</t>
  </si>
  <si>
    <t>Continual blocking using unfair tactics leads to serious penalties like disqualification or possession change.</t>
  </si>
  <si>
    <t>During a heated exchange, a rider from Team A accidentally collides with a referee’s position. How should the referee respond?</t>
  </si>
  <si>
    <t>A) Continue with the game as long as there is no injury, B) Stop the match to ensure no one is hurt, C) Issue a warning to the rider, D) Restart the game from the point of the collision</t>
  </si>
  <si>
    <t>B) Stop the match to ensure no one is hurt, C) Issue a warning to the rider</t>
  </si>
  <si>
    <t>Player and referee safety is a priority, and a collision should be addressed immediately to avoid injury.</t>
  </si>
  <si>
    <t>The carcass gets stuck in a puddle of mud, making it difficult for both teams to reach it. What should the referee do?</t>
  </si>
  <si>
    <t>A) Continue the match as normal, B) Reset the carcass to a dry area and restart play, C) Allow players to work together to free the carcass, D) Pause the match until the situation resolves itself</t>
  </si>
  <si>
    <t>B) Reset the carcass to a dry area and restart play</t>
  </si>
  <si>
    <t>When the carcass becomes obstructed, it is fair to reset it and continue the match.</t>
  </si>
  <si>
    <t>In a tightly contested match, a rider from Team A injures their horse mid-play. What should the referee do if the injury prevents the horse from continuing?</t>
  </si>
  <si>
    <t>A) Allow the rider to continue with a new horse, B) Penalize Team A for horse substitution, C) Allow a short break for the rider to tend to the injury, D) Disqualify Team A for horse-related injuries</t>
  </si>
  <si>
    <t>A) Allow the rider to continue with a new horse, C) Allow a short break for the rider to tend to the injury</t>
  </si>
  <si>
    <t>Player safety is important, and allowing brief medical assistance or a horse swap is standard protocol.</t>
  </si>
  <si>
    <t>A rider successfully grabs the carcass and is making their way to the goal when a second rider from Team A blocks their path unintentionally. What should the referee decide?</t>
  </si>
  <si>
    <t>A) Allow play to continue without any penalty, B) Reset the carcass, C) Award a free pass to the rider being blocked, D) Penalize the blocking rider for obstructing play</t>
  </si>
  <si>
    <t>A) Allow play to continue without any penalty</t>
  </si>
  <si>
    <t>Unintentional obstructions typically don’t warrant penalties unless the obstruction is deliberate or extreme.</t>
  </si>
  <si>
    <t>In a local Buzkashi game, two riders from opposing teams get into a fistfight over possession of the carcass. What should the referee do?</t>
  </si>
  <si>
    <t>A) Separate the riders and issue a warning to both, B) Disqualify both riders from the match, C) Pause the match and allow time for de-escalation, D) Continue the match without further action</t>
  </si>
  <si>
    <t>A) Separate the riders and issue a warning to both, B) Disqualify both riders from the match</t>
  </si>
  <si>
    <t>Physical violence is prohibited and should be penalized accordingly to maintain fair play.</t>
  </si>
  <si>
    <t>A rider from Team A rides too aggressively and knocks another rider off their horse. What should the referee’s decision be?</t>
  </si>
  <si>
    <t>A) Issue a yellow card to the offending rider, B) Disqualify the rider for unsportsmanlike conduct, C) Penalize Team A by awarding a free possession to Team B, D) Allow the match to continue as no serious injury occurred</t>
  </si>
  <si>
    <t>A) Issue a yellow card to the offending rider, C) Penalize Team A by awarding a free possession to Team B</t>
  </si>
  <si>
    <t>Aggressive tactics should be penalized to ensure safety and fair competition.</t>
  </si>
  <si>
    <t>A rider from Team A grabs the carcass and is riding toward the goal when they are blocked by an opponent using their horse. What should the referee do?</t>
  </si>
  <si>
    <t>A) Allow the block since it is part of the game, B) Penalize the rider for unfair blocking, C) Award a free possession to Team A, D) Stop the match and reset the carcass</t>
  </si>
  <si>
    <t>B) Penalize the rider for unfair blocking, C) Award a free possession to Team A</t>
  </si>
  <si>
    <t>Blocking with the horse is allowed, but not in an overly aggressive or obstructive manner. A penalty is issued for unfair conduct.</t>
  </si>
  <si>
    <t>A rider from Team B passes the carcass to a teammate, but the teammate drops it right before reaching the goal circle. What happens next?</t>
  </si>
  <si>
    <t>A) The opposing team gains possession, B) The carcass is reset to the center, C) The game continues, and Team B has to try again, D) Team B is penalized for dropping the carcass</t>
  </si>
  <si>
    <t>C) The game continues, and Team B has to try again</t>
  </si>
  <si>
    <t>Dropping the carcass does not automatically result in a penalty, but the team must regain possession to continue.</t>
  </si>
  <si>
    <t>During a Buzkashi match, Team A has one rider who is very fast but inexperienced with handling the carcass. How can Team A best utilize this rider?</t>
  </si>
  <si>
    <t>A) Have them focus on speed and distracting opponents, B) Assign them to guard the goal circle, C) Let them handle the carcass in easier, less contested situations, D) Use them as a decoy while another teammate grabs the carcass</t>
  </si>
  <si>
    <t>A) Have them focus on speed and distracting opponents, D) Use them as a decoy while another teammate grabs the carcass</t>
  </si>
  <si>
    <t>A fast rider can be used to create opportunities for teammates by distracting or confusing the opposing team.</t>
  </si>
  <si>
    <t>The referee signals a foul against a rider from Team A for excessive force when trying to steal the carcass. What is the likely penalty?</t>
  </si>
  <si>
    <t>A) A point awarded to Team B, B) Team A loses possession of the carcass, C) A warning issued to Team A, D) A free possession awarded to Team B</t>
  </si>
  <si>
    <t>B) Team A loses possession of the carcass, D) A free possession awarded to Team B</t>
  </si>
  <si>
    <t>Using excessive force can result in a loss of possession, and the opposing team may gain the advantage.</t>
  </si>
  <si>
    <t>A rider is accused of deliberately blocking the goal circle for an extended period without attempting to score. What should the referee do?</t>
  </si>
  <si>
    <t>A) Allow play to continue, B) Issue a warning to the rider, C) Reset the carcass to the starting point, D) Penalize the rider for unsportsmanlike conduct</t>
  </si>
  <si>
    <t>B) Issue a warning to the rider, D) Penalize the rider for unsportsmanlike conduct</t>
  </si>
  <si>
    <t>Blocking the goal circle without intent to score disrupts gameplay and can lead to penalties.</t>
  </si>
  <si>
    <t>A spectator runs onto the field during a match, causing temporary chaos. What is the appropriate action?</t>
  </si>
  <si>
    <t>A) Stop the match until the spectator is removed, B) Continue the match and ignore the interruption, C) Restart the match from the last possession, D) Penalize the team supported by the spectator</t>
  </si>
  <si>
    <t>A) Stop the match until the spectator is removed</t>
  </si>
  <si>
    <t>Interference from spectators should be addressed immediately to ensure player safety and game integrity.</t>
  </si>
  <si>
    <t>A rider captures the carcass and decides to pass it to a teammate using a throw. What must the teammate ensure during the catch?</t>
  </si>
  <si>
    <t>A) The carcass does not touch the ground, B) They remain mounted while catching, C) They immediately head for the goal circle, D) They signal the referee before catching</t>
  </si>
  <si>
    <t>A) The carcass does not touch the ground, B) They remain mounted while catching</t>
  </si>
  <si>
    <t>Maintaining possession while adhering to the rules requires coordination and skill.</t>
  </si>
  <si>
    <t>نہیں</t>
  </si>
  <si>
    <t>In a Gatka final in Lahore, Player A executes a spinning strike. Player B, instead of blocking, sidesteps the attack and counters with a clean hit to the torso. This action best demonstrates which Gatka principle?</t>
  </si>
  <si>
    <t>A) Raw power, B) Positional control and effective counter-attack, C) A defensive retreat, D) The use of a feint</t>
  </si>
  <si>
    <t>B) Positional control and effective counter-attack</t>
  </si>
  <si>
    <t>Sidestepping an attack to create an opening for an immediate counter is a hallmark of a skilled and strategic Gatka practitioner.</t>
  </si>
  <si>
    <t>During a training session at a Nankana Sahib akhara, a student is disarmed of their stick (soti). According to the rules of Gatka, what should the student do next?</t>
  </si>
  <si>
    <t>A) Forfeit the round, B) Immediately retrieve their weapon, C) Continue the bout using hand-to-hand combat skills, D) Request a pause from the Ustaad</t>
  </si>
  <si>
    <t>C) Continue the bout using hand-to-hand combat skills</t>
  </si>
  <si>
    <t>Gatka is a complete martial art. Practitioners are trained to seamlessly transition to unarmed combat if they lose their weapon.</t>
  </si>
  <si>
    <t>A practitioner at a cultural festival demonstrates a series of fluid, spinning movements with their stick, synchronized to the beat of a dhol. What is this spinning technique called?</t>
  </si>
  <si>
    <t>A) Jorh, B) Fari, C) Ghumman, D) Chaal</t>
  </si>
  <si>
    <t>C) Ghumman</t>
  </si>
  <si>
    <t>Ghumman refers to the continuous spinning or twirling of the weapon, a foundational drill for developing rhythm and control.</t>
  </si>
  <si>
    <t>In a competition, Player A begins with a defensive stance using a stick and shield (fari-soti). Player B attacks with a long spear (barchha). What is Player A's most effective strategy?</t>
  </si>
  <si>
    <t>A) Match the spear's range by throwing the stick, B) Use the shield to block and rapidly close the distance, C) Retreat and wait for the opponent to tire, D) Strike the spearhead directly with the stick</t>
  </si>
  <si>
    <t>B) Use the shield to block and rapidly close the distance</t>
  </si>
  <si>
    <t>The primary way to defeat a long-range weapon like a spear is to neutralize its reach by closing the distance, where the stick and shield are more effective.</t>
  </si>
  <si>
    <t>A Gatka match at a Mela Chiraghan festival ends with a tied score. What is the standard procedure to determine a winner?</t>
  </si>
  <si>
    <t>A) The winner is decided by a coin toss, B) The match is declared an honorable draw, C) An extra, sudden-death round is played, D) The player with fewer warnings wins</t>
  </si>
  <si>
    <t>C) An extra, sudden-death round is played</t>
  </si>
  <si>
    <t>In a formal competition, a clear winner is required. A tie on points leads to an overtime round to decide the victor.</t>
  </si>
  <si>
    <t>A player is repeatedly warned by the referee for stepping outside the circular combat arena to avoid being hit. What is the penalty for this foul?</t>
  </si>
  <si>
    <t>A) Immediate disqualification, B) A point deduction, C) The round is restarted, D) A verbal warning only</t>
  </si>
  <si>
    <t>B) A point deduction</t>
  </si>
  <si>
    <t>A player must engage within the designated area. Using the boundary to evade combat is a foul that results in a loss of points.</t>
  </si>
  <si>
    <t>During a bout, Player A's stick breaks. What is the correct action for the referee to take?</t>
  </si>
  <si>
    <t>A) Award the point to Player B, B) Disqualify Player A for having faulty equipment, C) Pause the match to allow for a replacement stick, D) Player A must continue with the broken stick</t>
  </si>
  <si>
    <t>C) Pause the match to allow for a replacement stick</t>
  </si>
  <si>
    <t>To ensure a fair and safe contest, the referee will call a timeout to allow the player to get a new, approved stick.</t>
  </si>
  <si>
    <t>A player is penalized for unsportsmanlike behavior. Which of the following actions would warrant this penalty?</t>
  </si>
  <si>
    <t>A) Celebrating a point loudly, B) A powerful and effective strike, C) Taunting or showing disrespect to the opponent after a hit, D) A rapid series of attacks</t>
  </si>
  <si>
    <t>C) Taunting or showing disrespect to the opponent after a hit</t>
  </si>
  <si>
    <t>Gatka emphasizes humility and respect. Disrespectful acts violate the sport's code of conduct and are penalized.</t>
  </si>
  <si>
    <t>In a team event, a player is injured and cannot continue. The team has already used all its substitutes. What is the result?</t>
  </si>
  <si>
    <t>A) The injured player's bout is forfeited, but the team can continue, B) The entire team must forfeit the match, C) A player from the crowd can substitute, D) The match is declared a draw</t>
  </si>
  <si>
    <t>A) The injured player's bout is forfeited, but the team can continue</t>
  </si>
  <si>
    <t>The individual bout is lost, but this does not disqualify the entire team. The overall match result will depend on the outcomes of the other bouts.</t>
  </si>
  <si>
    <t>A player attempts to strike their opponent's leg, below the knee. What is the referee's call?</t>
  </si>
  <si>
    <t>A) 1 point is awarded, B) It is a foul for striking an illegal target area, C) The match continues with no call, D) The player is warned for a weak strike</t>
  </si>
  <si>
    <t>B) It is a foul for striking an illegal target area</t>
  </si>
  <si>
    <t>For safety, strikes below the knees are forbidden in sport Gatka. The legal target area is the upper body.</t>
  </si>
  <si>
    <t>A practitioner in a demonstration performs a sequence with two swords (do talwaran). What primary skill does this showcase?</t>
  </si>
  <si>
    <t>A) Pure defensive power, B) Ambidexterity, high-level coordination, and control, C) The ability to throw a sword, D) Raw strength</t>
  </si>
  <si>
    <t>B) Ambidexterity, high-level coordination, and control</t>
  </si>
  <si>
    <t>Wielding two swords effectively requires immense skill and the ability to coordinate both hands for simultaneous offense and defense.</t>
  </si>
  <si>
    <t>A referee inspects a player's stick before a match and finds it to be lighter than the minimum regulation weight. What is the ruling?</t>
  </si>
  <si>
    <t>A) The player can use it but scores fewer points, B) The player is disqualified for using illegal equipment, C) The player must find a regulation stick to compete, D) The opponent gets a 2-point head start</t>
  </si>
  <si>
    <t>C) The player must find a regulation stick to compete</t>
  </si>
  <si>
    <t>For fairness, all equipment must meet the official standards. An illegal stick must be replaced before the player is allowed to fight.</t>
  </si>
  <si>
    <t>During a Vaisakhi celebration, a Gatka troupe performs a blindfolded sparring demonstration. What does this difficult feat demonstrate?</t>
  </si>
  <si>
    <t>A) A magic trick, B) The practitioner's heightened senses of hearing and spatial awareness, C) A purely ceremonial act, D) That vision is not important in Gatka</t>
  </si>
  <si>
    <t>B) The practitioner's heightened senses of hearing and spatial awareness</t>
  </si>
  <si>
    <t>Blindfold drills are an advanced training method that forces the gatkabaaz to rely on instinct and other senses, demonstrating a high level of mastery.</t>
  </si>
  <si>
    <t>In a close match, Player A is aggressive but lands few clean hits. Player B is more defensive but lands several clean, precise counter-strikes. Who is likely to win on points?</t>
  </si>
  <si>
    <t>A) Player A for aggression, B) Player B for effective technique, C) The match will be a draw, D) The player with the better stance wins</t>
  </si>
  <si>
    <t>B) Player B for effective technique</t>
  </si>
  <si>
    <t>Gatka scoring prioritizes clean, skillful, and well-timed strikes over simple, ineffective aggression.</t>
  </si>
  <si>
    <t>What is the primary purpose of the leather basket hilt on a Fari-Soti training stick?</t>
  </si>
  <si>
    <t>A) It is for decoration, B) It protects the player's hand from being struck, C) It adds weight to the stick for training, D) It improves the player's grip</t>
  </si>
  <si>
    <t>B) It protects the player's hand from being struck</t>
  </si>
  <si>
    <t>The basket hilt is a crucial piece of safety equipment that shields the hand and knuckles from direct hits during sparring.</t>
  </si>
  <si>
    <t>The referee penalizes a player for "corps-a-corps" (body-to-body). What did the player do?</t>
  </si>
  <si>
    <t>A) They struck the opponent's body, B) They intentionally pushed, grabbed, or grappled with the opponent, C) They used an illegal weapon, D) They refused to fight</t>
  </si>
  <si>
    <t>B) They intentionally pushed, grabbed, or grappled with the opponent</t>
  </si>
  <si>
    <t>Sport Gatka is a weapons-based art. Using one's body to illegally push or grapple is a foul that stops the flow of the weapon-based combat.</t>
  </si>
  <si>
    <t>What is the primary reason that a player must hold their stick (soti) with two hands in most basic drills?</t>
  </si>
  <si>
    <t>A) It generates more power, B) It provides better control and is safer for beginners, C) It is the only legal grip, D) It is more traditional</t>
  </si>
  <si>
    <t>B) It provides better control and is safer for beginners</t>
  </si>
  <si>
    <t>The two-handed grip is fundamental for learning weapon control and for preventing the stick from flying out of a novice's hands.</t>
  </si>
  <si>
    <t>During a team match, a coach steps into the arena to protest a call. What is the referee's correct action?</t>
  </si>
  <si>
    <t>A) To listen to the coach's protest, B) To issue a warning to the coach and penalize their team for third-party interference, C) To restart the round, D) To stop the match entirely</t>
  </si>
  <si>
    <t>B) To issue a warning to the coach and penalize their team for third-party interference</t>
  </si>
  <si>
    <t>Only the two competitors and the referee are allowed in the combat area. A coach entering the ring is a serious foul.</t>
  </si>
  <si>
    <t>A player is warned for being "passive." What does this mean?</t>
  </si>
  <si>
    <t>A) They are not showing enough emotion, B) They are consistently retreating and making no attempt to attack, C) They are being too defensive, D) They are not following the drum beat</t>
  </si>
  <si>
    <t>B) They are constantly retreating and making no attempt to attack</t>
  </si>
  <si>
    <t>A player must actively engage in the fight. Consistently avoiding combat will result in a penalty.</t>
  </si>
  <si>
    <t>A player's turban or headgear comes off during a match. What must the referee do?</t>
  </si>
  <si>
    <t>A) The match continues, B) The player is disqualified, C) The match is immediately paused to allow the player to refit it, D) The opponent is awarded a point</t>
  </si>
  <si>
    <t>C) The match is immediately paused to allow the player to refit it</t>
  </si>
  <si>
    <t>Head protection is mandatory. If it comes off, the referee must stop the fight for safety until it is properly secured.</t>
  </si>
  <si>
    <t>In an artistic event, a performer spins two swords simultaneously. What does this advanced skill symbolize?</t>
  </si>
  <si>
    <t>A) A disregard for safety, B) The unity of mind and body, and a high level of coordination, C) An attack on two opponents at once, D) It is purely for entertainment</t>
  </si>
  <si>
    <t>B) The unity of mind and body, and a high level of coordination</t>
  </si>
  <si>
    <t>This difficult feat represents a high level of discipline, harmonizing the physical and spiritual aspects of the art.</t>
  </si>
  <si>
    <t>A player is penalized for "striking a grounded opponent." In which scenario did this occur?</t>
  </si>
  <si>
    <t>A) The opponent was kneeling, B) The opponent had slipped and was on the ground, C) The opponent was crouching low, D) The opponent was off-balance</t>
  </si>
  <si>
    <t>B) The opponent had slipped and was on the ground</t>
  </si>
  <si>
    <t>Sport Gatka is a stand-up martial art. It is a major foul to attack an opponent who is on the ground.</t>
  </si>
  <si>
    <t>In a demonstration, a practitioner uses a Chakra (war-quoit). What is the primary skill being showcased?</t>
  </si>
  <si>
    <t>A) The ability to block with the Chakra, B) The precision of throwing a sharp, spinning projectile, C) The strength required to bend the Chakra, D) The use of the Chakra as a shield</t>
  </si>
  <si>
    <t>B) The precision of throwing a sharp, spinning projectile</t>
  </si>
  <si>
    <t>The Chakra is a traditional throwing weapon, and demonstrations of its use are a display of high-level accuracy and skill.</t>
  </si>
  <si>
    <t>In a team match, a player is injured between rounds. How is a substitution handled?</t>
  </si>
  <si>
    <t>A) It is not allowed, B) The team must inform the referee, and the substitute can enter for the next round, C) The injured player can return later, D) The team must forfeit</t>
  </si>
  <si>
    <t>B) The team must inform the referee, and the substitute can enter for the next round</t>
  </si>
  <si>
    <t>Substitutions are legal but must be officially communicated to and approved by the referee during a break.</t>
  </si>
  <si>
    <t>What is the main characteristic of the Talwar sword used in Gatka?</t>
  </si>
  <si>
    <t>A) It is a double-edged sword, B) It is a straight sword, C) It is a heavy, two-handed sword, D) It is a curved, single-edged sabre</t>
  </si>
  <si>
    <t>D) It is a curved, single-edged sabre</t>
  </si>
  <si>
    <t>The Talwar is the classic curved sword of the Indian subcontinent, designed for effective slashing attacks from horseback or on foot.</t>
  </si>
  <si>
    <t>A player is warned for using their free hand to "cover the target." What does this mean?</t>
  </si>
  <si>
    <t>A) They are holding their hand in front of their face, B) They are using their free hand to illegally block the opponent's view of the scoring area, C) They are covering their own weapon, D) They are covering their eyes</t>
  </si>
  <si>
    <t>B) They are using their free hand to illegally block the opponent's view of the scoring area</t>
  </si>
  <si>
    <t>It is a foul to use the non-weapon hand to shield the scoring zone, as this is a passive and illegal defensive tactic.</t>
  </si>
  <si>
    <t>What is the primary difference between a Gatka competition and a Gatka demonstration?</t>
  </si>
  <si>
    <t>A) Demonstrations use real swords, B) A demonstration is artistic and ceremonial, while a competition is about scoring points to win, C) Competitions are longer, D) There is no difference</t>
  </si>
  <si>
    <t>B) A demonstration is artistic and ceremonial, while a competition is about scoring points to win</t>
  </si>
  <si>
    <t>Demonstrations showcase the beauty, history, and full range of skills, while competitions are structured sporting events with a clear winner.</t>
  </si>
  <si>
    <t>A referee raises a blue flag. What does this signify?</t>
  </si>
  <si>
    <t>A) A foul was committed by the fighter in the blue corner, B) A point was scored by the fighter from the blue corner, C) The end of the round, D) A timeout for the blue corner</t>
  </si>
  <si>
    <t>B) A point was scored by the fighter from the blue corner</t>
  </si>
  <si>
    <t>The referee and judges use colored flags (red and blue) that correspond to the corner colors of the fighters to award points.</t>
  </si>
  <si>
    <t>What is the primary purpose of the rhythmic footwork or chaal in Gatka?</t>
  </si>
  <si>
    <t>A) To look graceful and entertain the crowd, B) To maintain rhythm, timing, and constant readiness for movement, C) To confuse the opponent with dance-like steps, D) To warm up the muscles</t>
  </si>
  <si>
    <t>B) To maintain rhythm, timing, and constant readiness for movement</t>
  </si>
  <si>
    <t>The characteristic rhythmic movement is not just for show; it keeps the fighter's body and mind in a state of fluid preparedness for attack or defense.</t>
  </si>
  <si>
    <t>In the Fari-Soti event, one player has a much larger shield than the other. What should the referee do?</t>
  </si>
  <si>
    <t>A) Nothing, any shield is allowed, B) Pause the match and ensure both players have regulation-sized shields, C) Award a handicap to the player with the smaller shield, D) The match continues</t>
  </si>
  <si>
    <t>B) Pause the match and ensure both players have regulation-sized shields</t>
  </si>
  <si>
    <t>To ensure fairness, all equipment, including the shield, must conform to the official dimensions set by the governing body.</t>
  </si>
  <si>
    <t>A player wins a match because their opponent accumulated three warnings. This is a win by what?</t>
  </si>
  <si>
    <t>A) Win on points, B) Win by technical superiority, C) Win by disqualification, D) Win by knockout</t>
  </si>
  <si>
    <t>C) Win by disqualification</t>
  </si>
  <si>
    <t>A player is automatically disqualified after receiving their third official warning for fouls or misconduct.</t>
  </si>
  <si>
    <t>What is the primary purpose of the compulsory solo form (Jurus Wajib) in some competitions?</t>
  </si>
  <si>
    <t>A) To determine the most creative fighter, B) To judge a competitor's individual technical skill, precision, and form, C) To be a tie-breaker, D) To warm up the competitors</t>
  </si>
  <si>
    <t>B) To judge a competitor's individual technical skill, precision, and form</t>
  </si>
  <si>
    <t>The compulsory form is a standardized routine used to objectively score a player's mastery of the art's fundamental techniques.</t>
  </si>
  <si>
    <t>A player is penalized for "prolonged contact." What did they do?</t>
  </si>
  <si>
    <t>A) They held their block for too long, B) They pushed the opponent with their stick instead of striking, C) They spoke to the opponent for too long, D) They took too long to start</t>
  </si>
  <si>
    <t>B) They pushed the opponent with their stick instead of striking</t>
  </si>
  <si>
    <t>All strikes must be clean "touches." Using the stick to push, press, or illegally control the opponent is a foul.</t>
  </si>
  <si>
    <t>A fighter is hit, and the blow is strong enough to be heard by the crowd. In a competition, what does this confirm for the judges?</t>
  </si>
  <si>
    <t>A) The stick is made of a hard material, B) A clean, solid, and undeniable point was scored, C) The fighter's shield is too thin, D) The music should be turned down</t>
  </si>
  <si>
    <t>B) A clean, solid, and undeniable point was scored</t>
  </si>
  <si>
    <t>An audible impact provides clear confirmation that a significant, not incidental, strike has landed, helping the judges to score accurately.</t>
  </si>
  <si>
    <t>A fighter who has been hit legally turns to the referee to complain instead of continuing to defend. What is the immediate risk?</t>
  </si>
  <si>
    <t>A) The referee will agree with them and reverse the point, B) They are likely to be hit again while they are distracted, C) The point will be replayed, D) The opponent will be warned for being too aggressive</t>
  </si>
  <si>
    <t>B) They are likely to be hit again while they are distracted</t>
  </si>
  <si>
    <t>A core rule of combat is to always be ready. Protesting mid-round leaves a fighter vulnerable to a legal follow-up strike.</t>
  </si>
  <si>
    <t>What is the main reason that Gatka training is beneficial for children?</t>
  </si>
  <si>
    <t>A) It teaches them to be aggressive, B) It instills discipline, focus, and physical fitness, C) It is an easy sport to learn, D) It guarantees they will win fights</t>
  </si>
  <si>
    <t>B) It instills discipline, focus, and physical fitness</t>
  </si>
  <si>
    <t>Gatka is highly valued as a youth activity for its ability to develop character, concentration, and a healthy body.</t>
  </si>
  <si>
    <t>What is the referee's action if a player is accidentally injured by their own weapon (e.g., hitting their own leg)?</t>
  </si>
  <si>
    <t>A) The opponent is awarded a point, B) The match is paused for a medical check; no points are awarded, C) The player is disqualified for lack of control, D) The round is replayed</t>
  </si>
  <si>
    <t>B) The match is paused for a medical check; no points are awarded</t>
  </si>
  <si>
    <t>This is considered an accident, not a foul. The primary concern is the player's safety, so the match is paused.</t>
  </si>
  <si>
    <t>A player is wearing a modern tracksuit instead of a traditional bana. Is this allowed in a formal competition?</t>
  </si>
  <si>
    <t>A) No, traditional attire is mandatory, B) Yes, if it is the official team uniform and approved by the organizers, C) Only if the tracksuit is blue, D) Yes, but points will be deducted for improper uniform</t>
  </si>
  <si>
    <t>B) Yes, if it is the official team uniform and approved by the organizers</t>
  </si>
  <si>
    <t>In modern sport Gatka, teams often wear standardized tracksuits or uniforms for a professional and unified look, and this is permitted.</t>
  </si>
  <si>
    <t>A player is penalized for "turning their back" on an opponent. Why is this a foul?</t>
  </si>
  <si>
    <t>A) It is considered disrespectful and cowardly, B) It is an unsafe, non-combative position, C) It makes it impossible for the opponent to strike a legal target, D) All of the above</t>
  </si>
  <si>
    <t>A player must always face their opponent and be ready to engage. Turning away is a serious violation of the rules and spirit of combat.</t>
  </si>
  <si>
    <t>What is the ultimate goal of the "Sant-Sipahi" (Saint-Soldier) ideal in Gatka?</t>
  </si>
  <si>
    <t>A) To be the most feared warrior, B) To achieve a state of spiritual enlightenment while also being a protector of justice, C) To win every battle, D) To become a professional soldier</t>
  </si>
  <si>
    <t>B) To achieve a state of spiritual enlightenment while also being a protector of justice</t>
  </si>
  <si>
    <t>This is the highest ideal of the Khalsa warrior: a person who combines deep spirituality and moral character with the strength and willingness to defend the defenseless.</t>
  </si>
  <si>
    <t>A fighter wins a match 15-5. The referee stops the fight. This is a win by what?</t>
  </si>
  <si>
    <t>A) Knockout, B) Technical Superiority, C) Win on points, D) Disqualification</t>
  </si>
  <si>
    <t>B) Technical Superiority</t>
  </si>
  <si>
    <t>If a fighter achieves a lead of 10 or more points, the match is stopped, and they are declared the winner by "technical superiority" (a mercy rule).</t>
  </si>
  <si>
    <t>What is the main purpose of the groin guard?</t>
  </si>
  <si>
    <t>A) It is a traditional part of the uniform, B) It is a mandatory piece of safety equipment to protect against accidental illegal strikes, C) It adds weight for better balance, D) It is optional for male fighters</t>
  </si>
  <si>
    <t>B) It is a mandatory piece of safety equipment to protect against accidental illegal strikes</t>
  </si>
  <si>
    <t>The groin protector is a required piece of equipment to protect fighters from accidental strikes to a vulnerable and illegal target area.</t>
  </si>
  <si>
    <t>A referee awards a point to the fighter in the red corner. What flag will they raise?</t>
  </si>
  <si>
    <t>A) A red flag, B) A blue flag, C) A yellow flag, D) A green flag</t>
  </si>
  <si>
    <t>A) A red flag</t>
  </si>
  <si>
    <t>To avoid confusion, officials use flags that match the designated corner colors of the competitors.</t>
  </si>
  <si>
    <t>Why is the "Bir Asan" stance wide and low?</t>
  </si>
  <si>
    <t>A) To make the player a smaller target, B) To lower the center of gravity for maximum stability and power generation, C) It is a resting stance, D) To stretch the leg muscles</t>
  </si>
  <si>
    <t>B) To lower the center of gravity for maximum stability and power generation</t>
  </si>
  <si>
    <t>A low, grounded stance is the source of all power and balance in Gatka, similar to other martial arts.</t>
  </si>
  <si>
    <t>What is the primary difference between the Tanding (match) and Seni (artistic) categories?</t>
  </si>
  <si>
    <t>A) There is no difference, B) Tanding is competitive sparring, while Seni is judged on the performance of forms, C) Seni uses weapons, D) Tanding is for men only</t>
  </si>
  <si>
    <t>B) Tanding is competitive sparring, while Seni is judged on the performance of forms</t>
  </si>
  <si>
    <t>These are the two main branches of competition: one focused on combat and scoring, the other on the aesthetic and technical perfection of choreographed routines.</t>
  </si>
  <si>
    <t>A fighter is penalized for grabbing the opponent's uniform. Is this a correct call?</t>
  </si>
  <si>
    <t>A) No, holding the uniform is allowed, B) Yes, grabbing the opponent's clothing is a form of illegal holding, C) Only if the uniform tears, D) Yes, but only if it is held for more than 5 seconds</t>
  </si>
  <si>
    <t>B) Yes, grabbing the opponent's clothing is a form of illegal holding</t>
  </si>
  <si>
    <t>A player cannot hold the opponent's uniform to control them or gain an unfair leverage advantage.</t>
  </si>
  <si>
    <t>What is the significance of the black uniform worn by some pesilat?</t>
  </si>
  <si>
    <t>A) It is the cheapest color, B) It is a traditional color symbolizing wisdom and inner strength, C) It is a modern fashion choice, D) It is required for all competitions</t>
  </si>
  <si>
    <t>B) It is a traditional color symbolizing wisdom and inner strength</t>
  </si>
  <si>
    <t>The black attire has deep philosophical meaning in many Silat schools, representing the depth of the art. Correction: This is a Pencak Silat question.</t>
  </si>
  <si>
    <t>A referee raises both a red and a blue flag at the same time. What does this signify?</t>
  </si>
  <si>
    <t>A) The end of the match, B) A warning to both fighters, C) A simultaneous, valid strike from both fighters (no score), D) A medical timeout</t>
  </si>
  <si>
    <t>C) A simultaneous, valid strike from both fighters (no score)</t>
  </si>
  <si>
    <t>This signal is used to indicate that both fighters scored at the same time, which nullifies the exchange, and no points are awarded.</t>
  </si>
  <si>
    <t>The philosophy of not harming an opponent unnecessarily is reflected in which Tanding rule?</t>
  </si>
  <si>
    <t>A) The awarding of points for light touches, B) The penalizing of excessive force and illegal targets, C) The requirement of heavy protective gear, D) All of the above</t>
  </si>
  <si>
    <t>The entire framework of sport Gatka, from its scoring to its penalties and safety equipment, is designed to allow competition while minimizing injury.</t>
  </si>
  <si>
    <t>A fighter wins the final match and becomes the national champion. What is their ultimate responsibility according to the "Sant-Sipahi" philosophy?</t>
  </si>
  <si>
    <t>A) To defeat all other challengers, B) To act as a role model and an ambassador for the art's noble values, C) To open their own school and make money, D) To retire immediately from the sport</t>
  </si>
  <si>
    <t>B) To act as a role model and an ambassador for the art's noble values</t>
  </si>
  <si>
    <t>A true champion is expected to embody the ethical principles of a pesilat (practitioner), such as humility, respect, and wisdom.</t>
  </si>
  <si>
    <t>A player is penalized for "kicking". Is this a correct call?</t>
  </si>
  <si>
    <t>A) No, kicks are allowed in Gatka, B) Yes, Gatka is a weapons-based art and does not use kicks, C) Kicks are allowed, but do not score points, D) Only low kicks are allowed</t>
  </si>
  <si>
    <t>B) Yes, Gatka is a weapons-based art and does not use kicks</t>
  </si>
  <si>
    <t>Gatka is a form of stick and sword fighting. Using hands or feet to strike the opponent is a foul in the sport version.</t>
  </si>
  <si>
    <t>In a team event, how is the winning team determined?</t>
  </si>
  <si>
    <t>A) The scores of all individual matches are added together, B) The team that wins the most individual matches wins, C) A single team score is kept, D) The team captain's score is doubled</t>
  </si>
  <si>
    <t>B) The team that wins the most individual matches wins</t>
  </si>
  <si>
    <t>A team event is a series of one-on-one bouts. The team that secures the majority of individual victories wins the overall match.</t>
  </si>
  <si>
    <t>What is the purpose of the leather basket hilt on some Gatka training sticks?</t>
  </si>
  <si>
    <t>A) It is for decoration, B) To protect the player's hand from strikes, C) To add weight to the stick, D) To improve grip</t>
  </si>
  <si>
    <t>B) To protect the player's hand from strikes</t>
  </si>
  <si>
    <t>A player is executing a spinning attack (ghumman). What is their primary defensive vulnerability?</t>
  </si>
  <si>
    <t>A) Their legs are exposed, B) They can become dizzy and lose balance, C) Their back is briefly turned to the opponent, D) Both B and C</t>
  </si>
  <si>
    <t>Spinning attacks are powerful but risky, as they can lead to disorientation and create a momentary defensive opening for a skilled opponent.</t>
  </si>
  <si>
    <t>What is the name of the most basic defensive block in Gatka?</t>
  </si>
  <si>
    <t>A) Rok, B) Dhal, C) Var, D) Hamla</t>
  </si>
  <si>
    <t>A) Rok</t>
  </si>
  <si>
    <t>Rok is the fundamental technique of stopping an incoming strike with one's own weapon.</t>
  </si>
  <si>
    <t>A player accidentally hits the referee with their stick. What is the likely outcome?</t>
  </si>
  <si>
    <t>A) The player is immediately disqualified, B) The referee issues a warning for lack of control, C) The match continues, D) The opponent gets a point</t>
  </si>
  <si>
    <t>B) The referee issues a warning for lack of control</t>
  </si>
  <si>
    <t>While accidental, a player is responsible for their weapon at all times. The referee will pause the match and issue a warning for dangerous play.</t>
  </si>
  <si>
    <t>What is the primary difference between a Talwar and a Khanda?</t>
  </si>
  <si>
    <t>A) The Talwar is a curved sabre, while the Khanda is a straight, double-edged sword, B) The Talwar is blunt, the Khanda is sharp, C) The Talwar is a stick, the Khanda is a sword, D) There is no difference</t>
  </si>
  <si>
    <t>A) The Talwar is a curved sabre, while the Khanda is a straight, double-edged sword</t>
  </si>
  <si>
    <t>These are two distinct types of traditional swords used in Gatka, each with its own handling characteristics.</t>
  </si>
  <si>
    <t>What is the main purpose of the "Bir Asan" (Warrior Stance)?</t>
  </si>
  <si>
    <t>A) To look intimidating, B) To provide a low center of gravity for stability and power, C) To be a resting position, D) To allow for maximum speed</t>
  </si>
  <si>
    <t>B) To provide a low center of gravity for stability and power</t>
  </si>
  <si>
    <t>This grounded stance is the foundation for generating power in strikes and for remaining stable against an opponent's attacks.</t>
  </si>
  <si>
    <t>In Gatka, what does the term yudh refer to?</t>
  </si>
  <si>
    <t>A) A weapon, B) A training drill, C) The art or science of warfare and combat, D) A defensive stance</t>
  </si>
  <si>
    <t>C) The art or science of warfare and combat</t>
  </si>
  <si>
    <t>Yudh is a broader term for warfare, from which the specific techniques and philosophy of Gatka are derived.</t>
  </si>
  <si>
    <t>Why is it a foul to hold the opponent's shield?</t>
  </si>
  <si>
    <t>A) It is not a foul, B) It prevents the opponent from defending themselves properly, C) It can damage the shield, D) It is considered poor sportsmanship</t>
  </si>
  <si>
    <t>B) It prevents the opponent from defending themselves properly</t>
  </si>
  <si>
    <t>A player cannot illegally immobilize their opponent's defensive equipment to gain an unfair advantage.</t>
  </si>
  <si>
    <t>What is the point value of a successful "disarm" technique?</t>
  </si>
  <si>
    <t>A) No points are awarded, B) 1 point, C) 3 points, D) 5 points</t>
  </si>
  <si>
    <t>C) 3 points</t>
  </si>
  <si>
    <t>Successfully and safely disarming an opponent is a demonstration of superior skill and is awarded a high point value in some rule sets.</t>
  </si>
  <si>
    <t>What is the primary purpose of the "paintis" footwork pattern?</t>
  </si>
  <si>
    <t>A) It is a dance, B) It is a foundational drill for teaching angles of attack and defense, C) It is a jumping technique, D) It is a breathing exercise</t>
  </si>
  <si>
    <t>B) It is a foundational drill for teaching angles of attack and defense</t>
  </si>
  <si>
    <t>The paintis is a key footwork pattern that trains a fighter to move fluidly and create advantageous angles.</t>
  </si>
  <si>
    <t>A player is penalized for "striking with the non-weapon hand." Is this a valid foul?</t>
  </si>
  <si>
    <t>A) No, open-hand strikes are allowed, B) Yes, all strikes must be made with the designated weapon, C) Only if the hand was in a fist, D) Only if it causes injury</t>
  </si>
  <si>
    <t>B) Yes, all strikes must be made with the designated weapon</t>
  </si>
  <si>
    <t>In sport Gatka, a player cannot use their free hand, fist, or any other body part to strike their opponent.</t>
  </si>
  <si>
    <t>What is the primary muscle group engaged during a powerful rotational strike?</t>
  </si>
  <si>
    <t>A) The biceps, B) The legs, C) The core (abdominals and obliques), D) The chest</t>
  </si>
  <si>
    <t>C) The core (abdominals and obliques)</t>
  </si>
  <si>
    <t>Rotational power for spinning strikes is generated from the core muscles, not just the arms and shoulders.</t>
  </si>
  <si>
    <t>If a player is injured as a result of their own illegal move, what is the outcome?</t>
  </si>
  <si>
    <t>A) The point is replayed, B) The player loses the match by disqualification or retirement, C) The opponent is warned, D) The match is declared a draw</t>
  </si>
  <si>
    <t>B) The player loses the match by disqualification or retirement</t>
  </si>
  <si>
    <t>A player who injures themselves while committing a foul cannot win by default. They are disqualified for the illegal action.</t>
  </si>
  <si>
    <t>Which of these is NOT a formal competition category in modern Gatka?</t>
  </si>
  <si>
    <t>A) Single Soti (stick), B) Fari-Soti (stick and shield), C) Team Gatka, D) Bare-knuckle Gatka</t>
  </si>
  <si>
    <t>D) Bare-knuckle Gatka</t>
  </si>
  <si>
    <t>Modern Gatka is exclusively a weapons-based martial art; there is no official empty-hand fighting category in its competitions.</t>
  </si>
  <si>
    <t>What is the role of the "Table Officials" in a tournament?</t>
  </si>
  <si>
    <t>A) They are the referees, B) They are responsible for timekeeping, scoring, and recording results, C) They are the coaches, D) They inspect the weapons</t>
  </si>
  <si>
    <t>B) They are responsible for timekeeping, scoring, and recording results</t>
  </si>
  <si>
    <t>The table officials manage the administrative aspects of the match, supporting the on-field referees.</t>
  </si>
  <si>
    <t>A player is penalized for a "double strike." What does this mean?</t>
  </si>
  <si>
    <t>A) They hit the opponent with both ends of the stick at once, B) They hit the opponent twice in rapid succession without resetting, C) They hit the opponent and the shield at the same time, D) They hit two opponents at once</t>
  </si>
  <si>
    <t>B) They hit the opponent twice in rapid succession without resetting</t>
  </si>
  <si>
    <t>In some rule sets, a player must demonstrate control by resetting between strikes, and a continuous "drum roll" of hits is not allowed.</t>
  </si>
  <si>
    <t>Why is maintaining eye contact with the opponent considered crucial?</t>
  </si>
  <si>
    <t>A) It is a sign of respect, B) To anticipate their movements and intentions, C) To intimidate them, D) All of the above</t>
  </si>
  <si>
    <t>Eye contact is a key part of the mental game in combat, used for reading the opponent, showing confidence, and maintaining focus.</t>
  </si>
  <si>
    <t>What is the traditional method for starting a friendly village match (Jorh)?</t>
  </si>
  <si>
    <t>A) A whistle blow, B) A drum beat, C) A mutual salute (Fateh) between the two players, D) A coin toss</t>
  </si>
  <si>
    <t>C) A mutual salute (Fateh) between the two players</t>
  </si>
  <si>
    <t>A friendly bout traditionally begins with the players acknowledging each other with a respectful greeting or salute.</t>
  </si>
  <si>
    <t>What is the philosophical reason for the emphasis on defense in Gatka?</t>
  </si>
  <si>
    <t>A) It is easier than attacking, B) The art is intended for self-defense, not for aggression, C) It scores more points, D) It is a way to tire out the opponent</t>
  </si>
  <si>
    <t>B) The art is intended for self-defense, not for aggression</t>
  </si>
  <si>
    <t>The core principle is that a Sikh warrior draws their weapon to defend the weak and uphold justice, not to initiate conflict.</t>
  </si>
  <si>
    <t>Which of these is a key principle of the Gatka philosophy?</t>
  </si>
  <si>
    <t>A) "Win at all costs", B) "Attack is the best defense", C) The body and mind must be united with the weapon, D) "Never show mercy"</t>
  </si>
  <si>
    <t>C) The body and mind must be united with the weapon</t>
  </si>
  <si>
    <t>A core tenet of Shastar Vidya is that the weapon should be treated as an extension of the practitioner's own body and spirit.</t>
  </si>
  <si>
    <t>What is the main reason that Gatka practitioners often perform at parades and public processions?</t>
  </si>
  <si>
    <t>A) To ask for donations, B) It is a traditional way to showcase the community's strength, discipline, and cultural heritage, C) To recruit new students, D) It is a form of protest</t>
  </si>
  <si>
    <t>B) It is a traditional way to showcase the community's strength, discipline, and cultural heritage</t>
  </si>
  <si>
    <t>Public performances are a vibrant and integral part of Sikh cultural and religious celebrations.</t>
  </si>
  <si>
    <t>What is the most important factor in a successful block?</t>
  </si>
  <si>
    <t>A) The strength of the block, B) The size of the shield, C) Timing and angle, D) The material of the weapon</t>
  </si>
  <si>
    <t>C) Timing and angle</t>
  </si>
  <si>
    <t>A well-timed block that meets the attack at the correct angle can deflect even the most powerful strike with minimal effort.</t>
  </si>
  <si>
    <t>In modern sport Gatka, teams often wear standardized tracksuits or uniforms for a professional look, and this is permitted.</t>
  </si>
  <si>
    <t>What is the main reason for the strict enforcement of rules in modern sport Gatka?</t>
  </si>
  <si>
    <t>A) To make the sport harder, B) To ensure the safety of the competitors and the fairness of the competition, C) To make it more like other martial arts, D) To satisfy sponsors</t>
  </si>
  <si>
    <t>B) To ensure the safety of the competitors and the fairness of the competition</t>
  </si>
  <si>
    <t>A clear and enforced rule set is essential for transforming a traditional martial art into a safe and legitimate modern sport.</t>
  </si>
  <si>
    <t>What is the ultimate aim of a Gatka practitioner, according to the "Sant Sipahi" (Saint-Soldier) ideal?</t>
  </si>
  <si>
    <t>A) To become invincible in combat, B) To master the self and live a life of discipline, courage, and service, C) To win a world championship, D) To open their own school (akhara)</t>
  </si>
  <si>
    <t>B) To master the self and live a life of discipline, courage, and service</t>
  </si>
  <si>
    <t>In line with the "Sant-Sipahi" ideal, the ultimate goal is not just fighting prowess, but the development of one's character.</t>
  </si>
  <si>
    <t>What is the primary target area in sport Gatka that awards the most points?</t>
  </si>
  <si>
    <t>A) The opponent's stick, B) The opponent's shield, C) The opponent's torso, D) The opponent's legs</t>
  </si>
  <si>
    <t>C) The opponent's torso</t>
  </si>
  <si>
    <t>Clean, controlled strikes to the main body area are the primary way to score points in a competitive match.</t>
  </si>
  <si>
    <t>What is the traditional color of the attire (bana) worn by the Nihang order?</t>
  </si>
  <si>
    <t>A) Saffron, B) White, C) Electric Blue, D) Black</t>
  </si>
  <si>
    <t>C) Electric Blue</t>
  </si>
  <si>
    <t>Nihang warriors are famously known as the "blue-clad" army, and their distinctive blue robes are a key part of their identity.</t>
  </si>
  <si>
    <t>How is a 'draw' or Jorh handled in a final tournament match?</t>
  </si>
  <si>
    <t>A) It is a shared victory, B) An extra round is played to determine a clear winner, C) The player with fewer penalties wins, D) The winner is decided by a coin toss</t>
  </si>
  <si>
    <t>B) An extra round is played to determine a clear winner</t>
  </si>
  <si>
    <t>In a tournament setting, a decisive winner is required, so a tie on points leads to an overtime round.</t>
  </si>
  <si>
    <t>The rhythmic gait or footwork pattern in Gatka is known as what?</t>
  </si>
  <si>
    <t>A) Chaal, B) Kriya, C) Asan, D) Taal</t>
  </si>
  <si>
    <t>A) Chaal</t>
  </si>
  <si>
    <t>Chaal refers to the characteristic rhythmic movement and footwork that keeps the fighter balanced and ready.</t>
  </si>
  <si>
    <t>A player is penalized for "corps-a-corps". What does this mean in Gatka?</t>
  </si>
  <si>
    <t>A) They struck a fallen opponent, B) They made intentional physical body-to-body contact, C) They used an illegal weapon, D) They refused to fight</t>
  </si>
  <si>
    <t>B) They made intentional physical body-to-body contact</t>
  </si>
  <si>
    <t>In stick-fighting, players must maintain a weapon's distance. Intentional body contact like pushing or grappling is a foul.</t>
  </si>
  <si>
    <t>What is the main purpose of the "chaal" or rhythmic gait in Gatka?</t>
  </si>
  <si>
    <t>A) To look graceful, B) To maintain rhythm, timing, and constant readiness for movement, C) To confuse the opponent, D) To warm up the muscles</t>
  </si>
  <si>
    <t>The characteristic rhythmic movement is not just for show; it keeps the fighter's body and mind in a state of fluid preparedness.</t>
  </si>
  <si>
    <t>What is the "gatka" from which the sport gets its name?</t>
  </si>
  <si>
    <t>A) A type of sword, B) The wooden stick used for training, C) The shield, D) The fighting arena</t>
  </si>
  <si>
    <t>B) The wooden stick used for training</t>
  </si>
  <si>
    <t>The name "Gatka" refers to the wooden training stick, which is so central to the art that the entire sport is named after it.</t>
  </si>
  <si>
    <t>A player wins a match 15-5. The referee stops the fight. This is a win by what?</t>
  </si>
  <si>
    <t>What is the primary purpose of the groin guard?</t>
  </si>
  <si>
    <t>What is the significance of the black uniform worn by many pesilat?</t>
  </si>
  <si>
    <t>The black attire has deep philosophical meaning in many Silat schools, representing the depth of the art.</t>
  </si>
  <si>
    <t>In a team match, a player is injured. When can they be substituted?</t>
  </si>
  <si>
    <t>A) At any time during the match, B) Only during the one-minute rest period between rounds, C) Only if the injury is bleeding and cannot be stopped, D) The team must forfeit the round</t>
  </si>
  <si>
    <t>B) Only during the one-minute rest period between rounds</t>
  </si>
  <si>
    <t>For safety and to prevent disruption of the flow of the match, a substitution can only be made during the official break between rounds.</t>
  </si>
  <si>
    <t>A player is penalized for "third-party interference." What happened?</t>
  </si>
  <si>
    <t>A) A spectator shouted advice, B) The player's coach stepped into the arena, C) The referee was distracted, D) The player used three weapons</t>
  </si>
  <si>
    <t>B) The player's coach stepped into the arena</t>
  </si>
  <si>
    <t>What is the primary role of the Ustaad (master) in a traditional Akhara?</t>
  </si>
  <si>
    <t>A) To act as a sponsor, B) To be the chief organizer of events, C) To be the primary teacher of technique, philosophy, and discipline, D) To be a medical officer</t>
  </si>
  <si>
    <t>C) To be the primary teacher of technique, philosophy, and discipline</t>
  </si>
  <si>
    <t>The Ustaad is the central figure in a training school, responsible for the complete development of their students (shagirds).</t>
  </si>
  <si>
    <t>A player is penalized for "striking a grounded opponent". What does this rule enforce?</t>
  </si>
  <si>
    <t>A) That the fight must be fair and stand-up only, B) That players must help a fallen opponent, C) That ground fighting is allowed, D) That the match ends when a player falls</t>
  </si>
  <si>
    <t>A) That the fight must be fair and stand-up only</t>
  </si>
  <si>
    <t>Sport Gatka is a standing, weapons-based art. Attacking an opponent who is on the ground is a major foul.</t>
  </si>
  <si>
    <t>What does the term "Shastar" in Shastar Vidya literally mean?</t>
  </si>
  <si>
    <t>A) Science, B) Art, C) Hand-held weapon, D) Discipline</t>
  </si>
  <si>
    <t>C) Hand-held weapon</t>
  </si>
  <si>
    <t>Shastar Vidya translates to the "Science of Weapons," referring to the complete system of Sikh martial arts.</t>
  </si>
  <si>
    <t>What is the main difference in purpose between a Gatka demonstration at a festival and a Gatka competition?</t>
  </si>
  <si>
    <t>A) There is no difference, B) A demonstration is artistic and ceremonial, while a competition is about scoring points to win, C) Demonstrations use real swords, D) Competitions are longer</t>
  </si>
  <si>
    <t>Demonstrations showcase the beauty, history, and skill of the art, while competitions are structured sporting events with a clear winner and loser.</t>
  </si>
  <si>
    <t>Which of these is a key mental attribute, besides courage, that Gatka aims to develop?</t>
  </si>
  <si>
    <t>A) Anger, B) Fearlessness, C) Calmness and focus under pressure, D) A desire for revenge</t>
  </si>
  <si>
    <t>C) Calmness and focus under pressure</t>
  </si>
  <si>
    <t>The discipline of Gatka teaches a practitioner to remain calm and composed, allowing them to think clearly in the chaos of combat.</t>
  </si>
  <si>
    <t>Why are flashy, theatrical movements often discouraged in competitive Gatka?</t>
  </si>
  <si>
    <t>A) They are too difficult to perform, B) They are often inefficient and can leave a player vulnerable to a pragmatic opponent, C) They do not score points, D) They are against the rules</t>
  </si>
  <si>
    <t>B) They are often inefficient and can leave a player vulnerable to a pragmatic opponent</t>
  </si>
  <si>
    <t>Sport Gatka prioritizes effective, controlled techniques over purely aesthetic movements. An unnecessary spin can create a defensive opening.</t>
  </si>
  <si>
    <t>What is the main historical reason for the strong connection between Gatka and the Punjab region?</t>
  </si>
  <si>
    <t>A) It was the only region where weapons were allowed, B) It was the birthplace of Sikhism and the heartland of the Sikh Empire, C) The terrain is ideal for practicing, D) It was a royal decree</t>
  </si>
  <si>
    <t>B) It was the birthplace of Sikhism and the heartland of the Sikh Empire</t>
  </si>
  <si>
    <t>The art is intrinsically linked to the history, culture, and identity of the Sikh people, which is centered in Punjab.</t>
  </si>
  <si>
    <t>A player is warned for using their shield to push the opponent. Is this a valid foul?</t>
  </si>
  <si>
    <t>A) No, this is a legal defensive move, B) Yes, the shield is for blocking only, not for offensive pushing, C) Only if the push causes the opponent to fall, D) Only if the referee sees it</t>
  </si>
  <si>
    <t>B) Yes, the shield is for blocking only, not for offensive pushing</t>
  </si>
  <si>
    <t>The shield is a defensive tool. Using it to shove or unbalance an opponent is an illegal use of equipment.</t>
  </si>
  <si>
    <t>What is the purpose of the "full-contact" sparring in some traditional Akharas?</t>
  </si>
  <si>
    <t>A) To deliberately injure students, B) To test a student's courage and skill under realistic, high-pressure conditions, C) It is the only way to score points, D) To prepare for modern sport competitions</t>
  </si>
  <si>
    <t>B) To test a student's courage and skill under realistic, high-pressure conditions</t>
  </si>
  <si>
    <t>In traditional training, full-contact sparring was essential for preparing a warrior for the realities of actual combat.</t>
  </si>
  <si>
    <t>What is the main reason Gatka is considered an important part of Sikh heritage?</t>
  </si>
  <si>
    <t>A) It is a fun sport, B) It is a direct, living link to the history and philosophy of the Sikh Gurus and warriors, C) It is a major source of income, D) It is an Olympic sport</t>
  </si>
  <si>
    <t>B) It is a direct, living link to the history and philosophy of the Sikh Gurus and warriors</t>
  </si>
  <si>
    <t>Practicing Gatka is a way for Sikhs to connect with their history and embody the "Sant-Sipahi" ideal.</t>
  </si>
  <si>
    <t>In a team event, one player is disqualified. What happens to the team?</t>
  </si>
  <si>
    <t>A) The entire team is disqualified, B) The team must forfeit that specific bout but can continue the match, C) The team can substitute the player, D) Nothing, the match continues</t>
  </si>
  <si>
    <t>B) The team must forfeit that specific bout but can continue the match</t>
  </si>
  <si>
    <t>The disqualified player loses their individual fight, but the rest of the team can continue to compete in their own scheduled bouts.</t>
  </si>
  <si>
    <t>What is the term for the circular, spinning motion of the stick?</t>
  </si>
  <si>
    <t>A) Ghumman, B) Jorh, C) Fari, D) Rok</t>
  </si>
  <si>
    <t>A) Ghumman</t>
  </si>
  <si>
    <t>Ghumman refers to the continuous spinning or twirling of the weapon, a foundational drill for developing control and rhythm.</t>
  </si>
  <si>
    <t>Why is it important for the two competing players to be of a similar skill level?</t>
  </si>
  <si>
    <t>A) It is not important, B) To ensure a fair and competitive match, C) To prevent one player from getting tired, D) It is a rule to have players of the same age</t>
  </si>
  <si>
    <t>B) To ensure a fair and competitive match</t>
  </si>
  <si>
    <t>A significant mismatch in skill is not a true test for either player and can be dangerous for the less experienced competitor.</t>
  </si>
  <si>
    <t>What is the referee's signal for a point scored?</t>
  </si>
  <si>
    <t>A) They raise a flag of the player's color, B) They blow their whistle twice, C) They shout "Point!", D) They clap their hands</t>
  </si>
  <si>
    <t>A) They raise a flag of the player's color</t>
  </si>
  <si>
    <t>Judges and referees use colored flags (e.g., red and blue) corresponding to the players' corners to signal which player has scored a point.</t>
  </si>
  <si>
    <t>Which weapon is also known as a "war-quoit"?</t>
  </si>
  <si>
    <t>A) The Khanda, B) The Kirpan, C) The Chakra, D) The Barchha</t>
  </si>
  <si>
    <t>C) The Chakra</t>
  </si>
  <si>
    <t>The Chakra is a steel throwing ring, a unique and iconic weapon of the Sikh warriors.</t>
  </si>
  <si>
    <t>What is the main reason for the strict rules on the weight and flexibility of the training stick?</t>
  </si>
  <si>
    <t>A) To make the sport more expensive, B) To ensure fairness and safety for all competitors, C) To make the sticks easier to break, D) To make them look uniform</t>
  </si>
  <si>
    <t>B) To ensure fairness and safety for all competitors</t>
  </si>
  <si>
    <t>Standardized equipment ensures that no player has an unfair advantage and that the weapons behave in a predictable, safe manner.</t>
  </si>
  <si>
    <t>What does the term akhara mean in its original context?</t>
  </si>
  <si>
    <t>A) A place of combat or wrestling, B) A temple, C) A school, D) A marketplace</t>
  </si>
  <si>
    <t>A) A place of combat or wrestling</t>
  </si>
  <si>
    <t>An akhara is a traditional gymnasium or arena for Indian martial arts and wrestling.</t>
  </si>
  <si>
    <t>A player is penalized for a "high strike". What does this mean?</t>
  </si>
  <si>
    <t>A) The strike was too powerful, B) The strike was aimed above the shoulders at the head or neck, C) The strike was a jumping strike, D) The strike was too slow</t>
  </si>
  <si>
    <t>B) The strike was aimed above the shoulders at the head or neck</t>
  </si>
  <si>
    <t>In many rule sets, the head is an illegal target. A "high strike" refers to a foul for hitting this forbidden zone.</t>
  </si>
  <si>
    <t>What is the main purpose of the synchronized group displays (jatha) in Gatka?</t>
  </si>
  <si>
    <t>A) To determine a winner, B) To demonstrate the discipline, coordination, and unity of the group, C) To warm up for the individual fights, D) It is a form of protest</t>
  </si>
  <si>
    <t>B) To demonstrate the discipline, coordination, and unity of the group</t>
  </si>
  <si>
    <t>These performances are a powerful showcase of the collective skill and harmony of a Gatka school or team.</t>
  </si>
  <si>
    <t>Why is the practice of Gatka considered a form of meditation by some practitioners?</t>
  </si>
  <si>
    <t>A) It is done in silence, B) The intense focus required on movement and breathing can clear the mind, C) It involves sitting still for long periods, D) It is a religious requirement</t>
  </si>
  <si>
    <t>B) The intense focus required on movement and breathing can clear the mind</t>
  </si>
  <si>
    <t>The deep concentration needed to perform the techniques can lead to a state of "moving meditation," uniting body and spirit.</t>
  </si>
  <si>
    <t>Which of these is a key defensive footwork maneuver in Gatka?</t>
  </si>
  <si>
    <t>A) A forward charge, B) A sidestep or "angulation" (dapech), C) Standing still, D) A low crouch</t>
  </si>
  <si>
    <t>B) A sidestep or "angulation" (dapech)</t>
  </si>
  <si>
    <t>Sidestepping is a fundamental defensive skill used to evade a linear attack and create an angle for a counter-strike.</t>
  </si>
  <si>
    <t>What is the main characteristic of the "Nihang" style of combat?</t>
  </si>
  <si>
    <t>A) It is very defensive and passive, B) It is highly aggressive, seemingly chaotic, but very effective, C) It uses only one type of weapon, D) It is a modern sport</t>
  </si>
  <si>
    <t>B) It is highly aggressive, seemingly chaotic, but very effective</t>
  </si>
  <si>
    <t>The Nihang style is known for its fearsome, all-out attacking nature, which can overwhelm opponents.</t>
  </si>
  <si>
    <t>A player is wearing a traditional turban in a competition instead of a modern helmet. What must it have?</t>
  </si>
  <si>
    <t>A) A specific color, B) It must be approved by the referee and often has internal padding (farra), C) A metal plate, D) It must be very small</t>
  </si>
  <si>
    <t>B) It must be approved by the referee and often has internal padding (farra)</t>
  </si>
  <si>
    <t>For safety, if a traditional turban is worn, it must be tied in a specific, secure way and often contains protective elements.</t>
  </si>
  <si>
    <t>What is the primary purpose of the small, round shield (phari)?</t>
  </si>
  <si>
    <t>A) It is large enough to hide behind, B) It is light and maneuverable for parrying and active blocking, C) It is a throwing weapon, D) It is purely ceremonial</t>
  </si>
  <si>
    <t>B) It is light and maneuverable for parrying and active blocking</t>
  </si>
  <si>
    <t>Unlike a large shield, the phari is used dynamically to intercept and redirect strikes, not for passive defense.</t>
  </si>
  <si>
    <t>A player is penalized for "body contact." What did they do?</t>
  </si>
  <si>
    <t>A) They were hit by the opponent, B) They intentionally pushed or grappled with their opponent, C) Their foot touched the opponent's foot, D) They blocked a strike</t>
  </si>
  <si>
    <t>B) They intentionally pushed or grappled with their opponent</t>
  </si>
  <si>
    <t>Sport Gatka is a weapons-based art. Using one's body to illegally push, hold, or grapple is a foul.</t>
  </si>
  <si>
    <t>Which part of the stick is it illegal to strike with?</t>
  </si>
  <si>
    <t>A) The tip, B) The middle, C) The butt end, D) All parts are legal</t>
  </si>
  <si>
    <t>D) All parts are legal</t>
  </si>
  <si>
    <t>A player can legally strike with any part of the wooden soti.</t>
  </si>
  <si>
    <t>What is the referee's command to stop the fight?</t>
  </si>
  <si>
    <t>A) "Ruk!" (Stop!), B) "Khatam!" (Finish!), C) A long whistle blow, D) "Bas!" (Enough!)</t>
  </si>
  <si>
    <t>C) A long whistle blow</t>
  </si>
  <si>
    <t>The referee's whistle is the primary tool for starting and stopping the action in a formal match.</t>
  </si>
  <si>
    <t>In the artistic category, what does "creativity" refer to?</t>
  </si>
  <si>
    <t>A) Making up new, non-traditional moves, B) The skillful and fluid linking of traditional techniques in a unique combination, C) Using a weapon that is not recognized, D) The player's costume</t>
  </si>
  <si>
    <t>B) The skillful and fluid linking of traditional techniques in a unique combination</t>
  </si>
  <si>
    <t>Creativity is not about inventing moves, but about demonstrating a deep understanding of the art by combining its core elements in a masterful way.</t>
  </si>
  <si>
    <t>What is the main difference between a Gatka stick and a Japanese bokken (wooden sword)?</t>
  </si>
  <si>
    <t>A) The bokken is heavier, B) The Gatka stick is straight, while the bokken is curved like a katana, C) The Gatka stick is longer, D) There is no difference</t>
  </si>
  <si>
    <t>B) The Gatka stick is straight, while the bokken is curved like a katana</t>
  </si>
  <si>
    <t>The bokken is shaped to simulate a Japanese sword, while the Gatka soti is a straight stick designed to simulate a talwar or khanda.</t>
  </si>
  <si>
    <t>A player is warned for not showing the correct "spirit of the game." What does this mean?</t>
  </si>
  <si>
    <t>A) They are not fighting aggressively enough, B) They are fighting with a lack of respect or honor, C) They are not smiling, D) They are too quiet</t>
  </si>
  <si>
    <t>B) They are fighting with a lack of respect or honor</t>
  </si>
  <si>
    <t>This is a penalty for unsportsmanlike conduct that violates the ethical principles of the art.</t>
  </si>
  <si>
    <t>What is the main reason that the ground is the primary training location for an akhara?</t>
  </si>
  <si>
    <t>A) It is cheaper than a building, B) The soft earth is a forgiving surface that prevents injuries from falls and builds leg strength, C) It is a religious requirement to be connected to the earth, D) It is cooler than a building</t>
  </si>
  <si>
    <t>B) The soft earth is a forgiving surface that prevents injuries from falls and builds leg strength</t>
  </si>
  <si>
    <t>The traditional wrestling pit provides a safe and effective training environment.</t>
  </si>
  <si>
    <t>What is the "Gatka drill"?</t>
  </si>
  <si>
    <t>A) A specific fighting technique, B) The ceremonial opening of a match, C) A repetitive training exercise to perfect a movement, D) The final round of a tournament</t>
  </si>
  <si>
    <t>C) A repetitive training exercise to perfect a movement</t>
  </si>
  <si>
    <t>Like in any martial art, drills are essential for building muscle memory and making techniques second nature.</t>
  </si>
  <si>
    <t>What is the most important quality for a Gatka shield (phari)?</t>
  </si>
  <si>
    <t>A) It must be large, B) It must be made of metal, C) It must be lightweight and strong, D) It must be decorated</t>
  </si>
  <si>
    <t>C) It must be lightweight and strong</t>
  </si>
  <si>
    <t>The shield needs to be light enough to be moved quickly for blocking, but strong enough to withstand repeated impacts.</t>
  </si>
  <si>
    <t>In a demonstration, a player lies down and has a coconut on their stomach broken by another player's weapon. What does this showcase?</t>
  </si>
  <si>
    <t>A) The strength of the weapon, B) A magic trick, C) The practitioner's ability to control their body and absorb impact through breathing techniques, D) It is not a real Gatka demonstration</t>
  </si>
  <si>
    <t>C) The practitioner's ability to control their body and absorb impact through breathing techniques</t>
  </si>
  <si>
    <t>This is a demonstration of the internal power and body control developed through advanced training, similar to breaking boards in other arts.</t>
  </si>
  <si>
    <t>A player is said to have a good "flow" (ravani). What does this mean?</t>
  </si>
  <si>
    <t>A) They are very fast, B) Their movements are smooth, continuous, and well-connected, C) They are very aggressive, D) They are good at defending</t>
  </si>
  <si>
    <t>B) Their movements are smooth, continuous, and well-connected</t>
  </si>
  <si>
    <t>"Flow" is a key quality in artistic Gatka, where the transitions between movements are as important as the movements themselves.</t>
  </si>
  <si>
    <t>Which of these is a key part of the "Shastar Vidya" philosophy?</t>
  </si>
  <si>
    <t>A) The weapon is a tool for ego, B) The weapon is an extension of the self and must be respected, C) The weapon should only be used for attack, D) The weapon is less important than the hand</t>
  </si>
  <si>
    <t>B) The weapon is an extension of the self and must be respected</t>
  </si>
  <si>
    <t>This principle teaches that the practitioner and their weapon are one, requiring a deep sense of respect and responsibility.</t>
  </si>
  <si>
    <t>Why is it important for a Gatka practitioner to study the history of the art?</t>
  </si>
  <si>
    <t>A) It is not important, B) To understand the philosophical and spiritual context behind the movements, C) To pass the grading exam, D) To be able to talk to other players</t>
  </si>
  <si>
    <t>B) To understand the philosophical and spiritual context behind the movements</t>
  </si>
  <si>
    <t>Understanding the "why" behind the art's creation gives deeper meaning to the physical practice.</t>
  </si>
  <si>
    <t>What is the main difference between the Gatka "stick" and the Irish "shillelagh"?</t>
  </si>
  <si>
    <t>A) The shillelagh is longer, B) The Gatka stick is used in a two-handed style, while the shillelagh is typically one-handed, C) The shillelagh has a knob on the end, D) Both B and C</t>
  </si>
  <si>
    <t>While both are forms of traditional stick fighting, the weapons and techniques are quite distinct.</t>
  </si>
  <si>
    <t>What is the primary purpose of the "Gatka Colors" or awards given at tournaments?</t>
  </si>
  <si>
    <t>A) To provide financial reward, B) To recognize the skill, dedication, and sportsmanship of the best performers, C) To select players for the national team, D) It is a form of ranking</t>
  </si>
  <si>
    <t>B) To recognize the skill, dedication, and sportsmanship of the best performers</t>
  </si>
  <si>
    <t>These awards are a mark of honor and a way to formally acknowledge the achievements of the practitioners.</t>
  </si>
  <si>
    <t>Which of these is a key component of a Gatka warm-up?</t>
  </si>
  <si>
    <t>A) Heavy weightlifting, B) Static stretching, C) Dynamic, full-body movements and weapon twirling (ghumman), D) A long run</t>
  </si>
  <si>
    <t>C) Dynamic, full-body movements and weapon twirling (ghumman)</t>
  </si>
  <si>
    <t>The warm-up focuses on preparing the body for the specific, fluid, and rotational movements of the art.</t>
  </si>
  <si>
    <t>What is the main reason that Gatka continues to be popular in the Sikh diaspora (e.g., in Canada and the UK)?</t>
  </si>
  <si>
    <t>A) It is a way to get a good workout, B) It is a powerful way for younger generations to connect with their cultural and religious heritage, C) It is a professional sport with large prizes, D) It is a trend</t>
  </si>
  <si>
    <t>B) It is a powerful way for younger generations to connect with their cultural and religious heritage</t>
  </si>
  <si>
    <t>Gatka serves as a vital link to Sikh history and identity for communities living outside of Punjab.</t>
  </si>
  <si>
    <t>What is the highest aim of the Gatka martial artist?</t>
  </si>
  <si>
    <t>In a village match in Punjab, a striker hits the Gilli high in the air. A fielder positions themself underneath and catches it cleanly before it touches the ground. What is the immediate ruling?</t>
  </si>
  <si>
    <t>A) The striker scores 10 points, B) The striker is out, C) The turn is replayed, D) The fielding team gets to strike next</t>
  </si>
  <si>
    <t>B) The striker is out</t>
  </si>
  <si>
    <t>The most common and definitive way to dismiss a striker is for a fielder to catch the Gilli after it has been hit, before it bounces.</t>
  </si>
  <si>
    <t>A striker in Lahore hits the Gilli, and it travels a long distance. The fielding team retrieves it and measures the distance using the Danda. The distance is 55 Danda-lengths. What is the score awarded?</t>
  </si>
  <si>
    <t>A) 1 point, B) 10 points, C) 55 points, D) The score is based on time</t>
  </si>
  <si>
    <t>C) 55 points</t>
  </si>
  <si>
    <t>The fundamental scoring system in Gilli Danda is based on measuring the distance of the hit using the length of the Danda as one unit of score.</t>
  </si>
  <si>
    <t>During a game, a player attempts their first flick to make the Gilli airborne but fails. What is the consequence of this failed attempt?</t>
  </si>
  <si>
    <t>A) The player is immediately out, B) The player loses one of their allotted chances (usually three) for the turn, C) The opponent gets a point, D) The game is reset</t>
  </si>
  <si>
    <t>B) The player loses one of their allotted chances (usually three) for the turn</t>
  </si>
  <si>
    <t>A striker is typically given three attempts to successfully strike the Gilli. A miss uses up one of these chances.</t>
  </si>
  <si>
    <t>A striker hits the Gilli, and it lands near a fielder. The fielder picks it up and throws it back towards the starting circle, successfully hitting the Danda laid across the hole. What is this dismissal called?</t>
  </si>
  <si>
    <t>A) A catch, B) A 'Danda Out' or 'Pittù Out', C) A foul, D) A direct hit</t>
  </si>
  <si>
    <t>B) A 'Danda Out' or 'Pittù Out'</t>
  </si>
  <si>
    <t>This is the second primary method of dismissal, equivalent to a "run out" in cricket, where the fielder hits the "wicket" with the ball.</t>
  </si>
  <si>
    <t>In a tournament in Karachi, a special rule is in place: a hit that travels over 100 Danda-lengths is a 'lambi paari' and wins the game immediately. A player hits the Gilli 105 Danda-lengths. What is the outcome?</t>
  </si>
  <si>
    <t>A) They score 105 points, B) They win the game instantly, C) The hit is invalid, D) They get a bonus of 50 points</t>
  </si>
  <si>
    <t>B) They win the game instantly</t>
  </si>
  <si>
    <t>While rules vary, an exceptionally long hit can be designated as an automatic win, a "home run" equivalent.</t>
  </si>
  <si>
    <t>A player is accused of using an unusually long Danda to gain an advantage. An elder is asked to judge. If the accusation is proven, what is the most likely penalty?</t>
  </si>
  <si>
    <t>A) The player is given a warning, B) The player's current turn is invalidated, C) The game is paused for equipment standardization, D) The player is banned</t>
  </si>
  <si>
    <t>B) The player's current turn is invalidated</t>
  </si>
  <si>
    <t>Using non-standard or unfair equipment typically results in the forfeiture of the turn to ensure fair play.</t>
  </si>
  <si>
    <t>During a strike, the wooden Gilli shatters into two pieces mid-air. The larger piece lands 20 Dandas away, and the smaller piece lands 10 Dandas away. How is this scored?</t>
  </si>
  <si>
    <t>A) The score is 30, B) The score is 20, C) The hit is invalid, and the turn must be replayed, D) The score is 10</t>
  </si>
  <si>
    <t>C) The hit is invalid, and the turn must be replayed</t>
  </si>
  <si>
    <t>If the Gilli breaks, the play is considered void as a fair measurement is impossible. The striker gets to replay the turn.</t>
  </si>
  <si>
    <t>A striker hits the Gilli, and it lands with its edge exactly on the boundary line of the playing field. How is this typically ruled?</t>
  </si>
  <si>
    <t>A) It is considered out of bounds, B) It is considered in bounds, and the score is measured, C) The point is replayed, D) It depends on which side of the line the Gilli falls</t>
  </si>
  <si>
    <t>B) It is considered in bounds, and the score is measured</t>
  </si>
  <si>
    <t>Similar to many sports, if the object touches the line, it is considered "in."</t>
  </si>
  <si>
    <t>A player from a visiting village is unfamiliar with the local rules. He insists that juggling the Gilli is not allowed. How is such a dispute typically resolved?</t>
  </si>
  <si>
    <t>A) The game is stopped, B) The home team's rules are followed for that match, C) A neutral elder is asked to arbitrate, D) Both B and C</t>
  </si>
  <si>
    <t>In informal games, disputes are settled by agreeing to follow the host's rules or by seeking a decision from a respected, neutral party.</t>
  </si>
  <si>
    <t>During a game, a striker accidentally steps out of the striking circle while swinging at the Gilli. The umpire notices the mistake. What is the ruling?</t>
  </si>
  <si>
    <t>A) The hit is still valid if it was a good one, B) The team is penalized one point, C) The player's turn is forfeited due to the foul, D) The opposing team gets to strike next</t>
  </si>
  <si>
    <t>C) The player's turn is forfeited due to the foul</t>
  </si>
  <si>
    <t>Stepping out of the designated striking area is a foul that results in the immediate loss of the player's turn.</t>
  </si>
  <si>
    <t>In a variation of the game, a striker must run to a pre-determined point and back after hitting the Gilli. What is the fielder's objective in this version?</t>
  </si>
  <si>
    <t>A) To catch the Gilli, B) To retrieve the Gilli and hit the starting point before the striker returns, C) To measure the distance, D) Both A and B</t>
  </si>
  <si>
    <t>D) Both A and B</t>
  </si>
  <si>
    <t>In this "run-scoring" version, the fielder can get the striker out either by catching the Gilli directly or by "running them out."</t>
  </si>
  <si>
    <t>A striker hits the Gilli with a unique angled strike, causing it to spin wildly. A fielder misjudges the spin and drops the catch. What is the result?</t>
  </si>
  <si>
    <t>A) The striker is out, B) The striker is not out, and the distance is measured for a score, C) The turn is replayed due to the unpredictable spin, D) The fielder is penalized</t>
  </si>
  <si>
    <t>B) The striker is not out, and the distance is measured for a score</t>
  </si>
  <si>
    <t>A dropped catch is not an out. The unpredictable spin is a result of the striker's skill, and the fielder's inability to catch it is part of the game.</t>
  </si>
  <si>
    <t>A Gilli is hit into a dense thorn bush and cannot be safely retrieved by the fielders. What is the common ruling?</t>
  </si>
  <si>
    <t>A) The striker is awarded maximum points, B) The striker is out for losing the Gilli, C) The game is paused indefinitely, D) The turn is replayed with a new Gilli</t>
  </si>
  <si>
    <t>B) The striker is out for losing the Gilli</t>
  </si>
  <si>
    <t>If the Gilli is hit into an unplayable or irretrievable location, the striker's turn is typically declared over.</t>
  </si>
  <si>
    <t>During a team-based tournament, the Gilli is hit, and a fielder catches it. However, the striker's team argues that the fielder was wearing gloves. What is the ruling?</t>
  </si>
  <si>
    <t>A) The catch is valid as gloves are for safety, B) The catch is invalid as the game must be played bare-handed, C) The fielder is warned, D) The striker gets to re-hit</t>
  </si>
  <si>
    <t>B) The catch is invalid as the game must be played bare-handed</t>
  </si>
  <si>
    <t>Traditional Gilli Danda is played without any protective gear, and a catch is only considered valid if made with bare hands.</t>
  </si>
  <si>
    <t>In a friendly Gilli Danda game, a player hits the Gilli with the wrong end of the Danda (the handle). What happens next?</t>
  </si>
  <si>
    <t>A) It is a legal hit if it travels far, B) The player loses their turn due to the foul, C) The player is given another chance, D) The hit scores half points</t>
  </si>
  <si>
    <t>B) The player loses their turn due to the foul</t>
  </si>
  <si>
    <t>Striking the Gilli with the incorrect part of the Danda is considered a fault and results in the loss of the turn.</t>
  </si>
  <si>
    <t>A player hits the Gilli with a powerful strike, and it lands 50 Danda-lengths away. However, a strong gust of wind causes the Gilli to roll another 5 lengths. What is the final score?</t>
  </si>
  <si>
    <t>A) 50, B) 55, C) The hit is invalid due to the wind, D) The hit must be replayed</t>
  </si>
  <si>
    <t>B) 55</t>
  </si>
  <si>
    <t>In Gilli Danda, the final score is measured from where the Gilli comes to rest, regardless of whether wind or a slope caused it to roll further.</t>
  </si>
  <si>
    <t>In a team match, a player hits the Gilli, and his teammates celebrate loudly. However, the umpire signals a foul. Which of these is a possible reason?</t>
  </si>
  <si>
    <t>A) The striker crossed the starting line before hitting, B) The Gilli was struck with the wrong end of the danda, C) The Gilli didn't land in the designated scoring zone, D) All of the above</t>
  </si>
  <si>
    <t>A celebratory cheer can be cut short by a number of potential fouls, all of which would invalidate the strike.</t>
  </si>
  <si>
    <t>During a competitive match, a player strikes the Gilli with a spin, and it lands in an out-of-bounds area. What is the outcome?</t>
  </si>
  <si>
    <t>A) The player's turn is forfeited, B) The player scores a reduced amount of points, C) The player is allowed another attempt, D) The opposing team earns points</t>
  </si>
  <si>
    <t>A) The player's turn is forfeited</t>
  </si>
  <si>
    <t>In Gilli Danda, if the Gilli lands out of the agreed-upon playing area, the striker loses their turn.</t>
  </si>
  <si>
    <t>Player R hits the Gilli, and it lands on the exact boundary line of the scoring area. How is this scored?</t>
  </si>
  <si>
    <t>A) It is considered "in," and the maximum points for that boundary are scored, B) It is considered "out," and the player's turn is over, C) The points are halved, D) The player’s turn is replayed</t>
  </si>
  <si>
    <t>A) It is considered "in," and the maximum points for that boundary are scored</t>
  </si>
  <si>
    <t>In Gilli Danda, as in many sports, any part of the object touching the boundary line is typically considered to be within the valid scoring area.</t>
  </si>
  <si>
    <t>Player S is playing in a match and hits the Gilli with an underhand strike. The opposing team argues this is not a real hit. What is the umpire's ruling?</t>
  </si>
  <si>
    <t>A) The underhand strike is a legal technique, B) The player loses their turn for an improper strike, C) The player is warned but allowed to continue, D) The player is disqualified for cheating</t>
  </si>
  <si>
    <t>A) The underhand strike is a legal technique</t>
  </si>
  <si>
    <t>In Gilli Danda, there is no rule against an underhand strike, provided the Gilli is properly flicked and struck according to the game's core mechanics.</t>
  </si>
  <si>
    <t>A player in a match has their Gilli land inside a pre-marked "penalty zone" on the field. What is the likely outcome?</t>
  </si>
  <si>
    <t>A) The player loses points from their score, B) The player's turn is forfeited, C) The player is allowed another strike, D) The player scores reduced points</t>
  </si>
  <si>
    <t>B) The player's turn is forfeited</t>
  </si>
  <si>
    <t>In some variations of Gilli Danda, specific zones can be marked where landing the Gilli results in the loss of the striker's turn.</t>
  </si>
  <si>
    <t>The Gilli is struck and lands validly, but then rolls under a parked car. The fielders cannot retrieve it to throw back. What is the ruling?</t>
  </si>
  <si>
    <t>A) The striker is out, B) The turn is replayed due to interference, C) The score is measured to the point where the Gilli went under the car, D) The striker gets a bonus point</t>
  </si>
  <si>
    <t>C) The score is measured to the point where the Gilli went under the car</t>
  </si>
  <si>
    <t>If the Gilli becomes lodged in an obstacle after a valid hit, the score is typically measured to the point where it became unplayable.</t>
  </si>
  <si>
    <t>Player G strikes the Gilli with such force that it flies out of sight over a building. The umpire is unable to find it. What is the most likely ruling?</t>
  </si>
  <si>
    <t>A) The striker is awarded the maximum possible points for an exceptional hit, B) The strike is invalid because the Gilli is lost, C) The player is allowed another turn with a new Gilli, D) The distance is estimated by the fielders</t>
  </si>
  <si>
    <t>A) The striker is awarded the maximum possible points for an exceptional hit</t>
  </si>
  <si>
    <t>A hit that is so powerful the Gilli is lost is often rewarded with a maximum score or an automatic win for that turn.</t>
  </si>
  <si>
    <t>During a game, a player strikes the Gilli, but the Danda slips out of their hand. The hit is good. What happens next?</t>
  </si>
  <si>
    <t>A) The strike is valid, but the player cannot defend the 'wicket', B) The turn is forfeited because they lost control, C) The player is allowed to retrieve the Danda and continue, D) The opposing team gains points</t>
  </si>
  <si>
    <t>A) The strike is valid, but the player cannot defend the 'wicket'</t>
  </si>
  <si>
    <t>Dropping the danda does not invalidate the strike, but it leaves the starting hole undefended against a fielder's throw.</t>
  </si>
  <si>
    <t>In a high-stakes match, a player hits the Gilli with such force that the Gilli shatters into dust-like fragments. What is the outcome?</t>
  </si>
  <si>
    <t>A) Points are awarded for maximum distance, B) The strike is invalid, and the turn is replayed, C) A half score is given, D) A new Gilli is brought in</t>
  </si>
  <si>
    <t>B) The strike is invalid, and the turn is replayed</t>
  </si>
  <si>
    <t>If the equipment is destroyed in the act of play, making a score impossible to determine, the turn is considered void and must be replayed.</t>
  </si>
  <si>
    <t>A player's strike sends the Gilli onto the roof of a nearby pavilion. The umpire cannot retrieve it. What is the most common informal ruling?</t>
  </si>
  <si>
    <t>A) Maximum points are awarded, B) The strike is invalid, C) The turn is replayed with a new Gilli, D) The striker is considered out for losing the Gilli</t>
  </si>
  <si>
    <t>D) The striker is considered out for losing the Gilli</t>
  </si>
  <si>
    <t>A common "house rule" is that if the striker hits the Gilli to a place where it is lost and unretrievable, their turn at bat is over.</t>
  </si>
  <si>
    <t>During a match, a player accidentally uses two hands on the Danda instead of the agreed-upon one-handed style. The strike is very long. What is the decision?</t>
  </si>
  <si>
    <t>A) The strike is valid, B) The strike is invalid due to a foul, C) Half points are awarded, D) A warning is issued, but the score stands</t>
  </si>
  <si>
    <t>B) The strike is invalid due to a foul</t>
  </si>
  <si>
    <t>If the agreed-upon rules specify a one-handed grip, using two hands would be an illegal procedure, thus invalidating the strike.</t>
  </si>
  <si>
    <t>Player L strikes the Gilli, and it lands on a steep slope and rolls much farther down. How is the distance measured?</t>
  </si>
  <si>
    <t>A) From where it first landed on the slope, B) From its final resting spot at the bottom of the slope, C) The maximum points for that area are awarded, D) The hit is replayed</t>
  </si>
  <si>
    <t>B) From its final resting spot at the bottom of the slope</t>
  </si>
  <si>
    <t>The final resting place of the Gilli is what determines the score, even if a slope or wind contributes to the final distance.</t>
  </si>
  <si>
    <t>A player strikes the Gilli, but it hits a low-flying bird and drops to the ground. How is this event judged?</t>
  </si>
  <si>
    <t>A) The hit is valid, and the distance is measured to where it landed, B) The hit is invalid due to external interference, and the turn is replayed, C) The player is out, D) A half score is given</t>
  </si>
  <si>
    <t>B) The hit is invalid due to external interference, and the turn is replayed</t>
  </si>
  <si>
    <t>Any unforeseen interference from an outside agent (an animal, a spectator, another object) that affects the Gilli's flight results in a replay.</t>
  </si>
  <si>
    <t>In a team game, a player hits a very long shot. A fielder retrieves the Gilli and throws it to another teammate closer to the base. Is this relay throw legal?</t>
  </si>
  <si>
    <t>A) No, the fielder who retrieved it must throw it themselves, B) Yes, this is a standard and effective team strategy, C) Only if the captain approves the relay, D) The striker is automatically safe</t>
  </si>
  <si>
    <t>B) Yes, this is a standard and effective team strategy</t>
  </si>
  <si>
    <t>Teamwork, including relay throws from the "outfield," is a key part of the fielding side's strategy to get the striker out.</t>
  </si>
  <si>
    <t>A striker is attempting to flick the Gilli into the air but accidentally touches it with their foot. What is the ruling?</t>
  </si>
  <si>
    <t>A) The turn is immediately forfeited, B) The strike attempt is allowed to continue, C) A warning is issued, but the turn continues, D) The opposing team gains a point</t>
  </si>
  <si>
    <t>A) The turn is immediately forfeited</t>
  </si>
  <si>
    <t>The Gilli can only be touched by the Danda. Touching it with any part of the body is a foul that ends the striker's turn.</t>
  </si>
  <si>
    <t>In a youth league match, the Gilli is hit into a tree but bounces back into the scoring zone. What is the ruling?</t>
  </si>
  <si>
    <t>A) The strike is valid, and the distance is measured from its final resting place, B) The strike is invalid due to hitting the tree, C) A half score is awarded, D) The turn must be replayed</t>
  </si>
  <si>
    <t>A) The strike is valid, and the distance is measured from its final resting place</t>
  </si>
  <si>
    <t>In most informal rules, as long as the Gilli lands in a valid area, the hit is good, even if it was deflected by an obstacle.</t>
  </si>
  <si>
    <t>A player strikes the Gilli, but the Danda breaks mid-swing. The Gilli still travels a valid scoring distance. What is the decision?</t>
  </si>
  <si>
    <t>A) The score is valid, and the Danda is replaced for the next turn, B) The strike is invalid due to equipment failure, C) The turn must be replayed, D) Half points are awarded</t>
  </si>
  <si>
    <t>A) The score is valid, and the Danda is replaced for the next turn</t>
  </si>
  <si>
    <t>As long as the strike itself was legal and the Gilli traveled a scoring distance, the hit counts. The broken equipment is then replaced.</t>
  </si>
  <si>
    <t>A striker hits the Gilli, and it lands validly but is immediately picked up by a dog that runs off with it. What is the ruling?</t>
  </si>
  <si>
    <t>A) The strike is invalid, B) The turn is replayed due to external interference, C) The original landing spot is estimated for a score, D) The striker is out</t>
  </si>
  <si>
    <t>B) The turn is replayed due to external interference</t>
  </si>
  <si>
    <t>The interference of an animal prevents the fielding team from making a fair attempt to get the striker out, so the turn must be replayed.</t>
  </si>
  <si>
    <t>A player is known for their "back-handed" strike, sending the Gilli forward but with an unusual swing. The opponents protest. What is the likely ruling?</t>
  </si>
  <si>
    <t>A) The strike is valid as long as it is effective, B) The strike is invalid due to unorthodox technique, C) Half points are awarded, D) The player must be warned</t>
  </si>
  <si>
    <t>A) The strike is valid as long as it is effective</t>
  </si>
  <si>
    <t>Gilli Danda has no formal rules on the style of the swing. As long as the Gilli is struck legally with the Danda, the technique is valid.</t>
  </si>
  <si>
    <t>A player's strike sends the Gilli into a cartwheel motion before it lands. What is the outcome?</t>
  </si>
  <si>
    <t>A) The strike is valid and is often harder for fielders to catch, B) The strike is invalid because the Gilli was unstable, C) Half points are awarded for a poor hit, D) The turn must be replayed</t>
  </si>
  <si>
    <t>A) The strike is valid and is often harder for fielders to catch</t>
  </si>
  <si>
    <t>An end-over-end spin or "cartwheel" is a common result of a powerful hit and makes the Gilli's flight path more unpredictable.</t>
  </si>
  <si>
    <t>A player unintentionally shouts while striking the Gilli, distracting the fielders. A fielder drops a catch. What does the umpire do?</t>
  </si>
  <si>
    <t>A) Rules the striker out for causing a distraction, B) Rules the catch as dropped and the strike is valid, C) Orders a replay of the turn, D) Issues a warning to the striker but the score stands</t>
  </si>
  <si>
    <t>B) Rules the catch as dropped and the strike is valid</t>
  </si>
  <si>
    <t>An unintentional shout is not a foul. The fielder is responsible for making the catch despite the noise of the game.</t>
  </si>
  <si>
    <t>A player's Gilli is struck and lands partially submerged in wet mud but within the scoring zone. How is it measured?</t>
  </si>
  <si>
    <t>A) To the visible portion of the Gilli, B) To the point where the Gilli first entered the mud, C) The strike is considered invalid, D) The turn is replayed</t>
  </si>
  <si>
    <t>B) To the point where the Gilli first entered the mud</t>
  </si>
  <si>
    <t>To ensure fairness, the measurement is taken to the point of entry, as the mud would have unfairly stopped its momentum.</t>
  </si>
  <si>
    <t>A player strikes the Gilli, and it rolls in circles before finally stopping. What is the decision?</t>
  </si>
  <si>
    <t>A) The hit is valid, and the distance is measured to the final resting spot, B) The hit is invalid because of the strange roll, C) A half score is awarded, D) The turn must be replayed</t>
  </si>
  <si>
    <t>A) The hit is valid, and the distance is measured to the final resting spot</t>
  </si>
  <si>
    <t>The final resting place of the Gilli is what matters for the measurement, regardless of how it got there.</t>
  </si>
  <si>
    <t>A player attempts to hit the Gilli, but another player from their own team accidentally gets in the way. What is the ruling?</t>
  </si>
  <si>
    <t>A) The striker's turn is forfeited, B) The turn is replayed, C) The teammate is penalized, D) It is considered a miss, and the striker loses one chance</t>
  </si>
  <si>
    <t>D) It is considered a miss, and the striker loses one chance</t>
  </si>
  <si>
    <t>Interference from one's own teammate is not grounds for a replay. The striker is responsible for a clear hitting area.</t>
  </si>
  <si>
    <t>A striker hits the Gilli, which lands validly but then gets kicked accidentally by a fielder trying to stop it. What happens?</t>
  </si>
  <si>
    <t>A) The original landing spot is measured for the score, B) The strike is invalid due to the kick, C) The turn is replayed, D) The fielder is penalized</t>
  </si>
  <si>
    <t>A) The original landing spot is measured for the score</t>
  </si>
  <si>
    <t>The fielder's accidental kick does not invalidate the original hit. The score is measured from where the Gilli first landed.</t>
  </si>
  <si>
    <t>A Gilli is struck legally but becomes lodged in a boundary fence. What is the ruling?</t>
  </si>
  <si>
    <t>A) The strike is invalid, B) The distance is estimated to the point where it hit the fence, C) Maximum points are awarded for that boundary, D) The turn is replayed</t>
  </si>
  <si>
    <t>B) The distance is estimated to the point where it hit the fence</t>
  </si>
  <si>
    <t>If the Gilli is stuck in an obstacle at the edge of the field, the score is measured to that point.</t>
  </si>
  <si>
    <t>A Gilli lands inside the scoring zone but immediately bounces into a designated penalty zone. What happens?</t>
  </si>
  <si>
    <t>A) The full score is awarded, B) The striker is out or the turn is forfeited, C) A half score is awarded, D) The turn is replayed</t>
  </si>
  <si>
    <t>B) The striker is out or the turn is forfeited</t>
  </si>
  <si>
    <t>The final resting place of the Gilli determines the outcome. Landing in a penalty zone, even after a bounce, results in a foul.</t>
  </si>
  <si>
    <t>A mis-hit from a striker makes the Gilli spin in place without moving any distance forward. What is the outcome?</t>
  </si>
  <si>
    <t>A) The hit is valid, and the score is zero Danda-lengths, B) The hit is invalid because it did not travel forward, C) Half points are awarded, D) The turn must be replayed</t>
  </si>
  <si>
    <t>A) The hit is valid, and the score is zero Danda-lengths</t>
  </si>
  <si>
    <t>A hit was made, but the distance is zero. The striker can choose to measure this score or use another one of their chances to hit again.</t>
  </si>
  <si>
    <t>A player strikes the Gilli directly upward, and it falls back and lands inside the striking circle. What is the ruling?</t>
  </si>
  <si>
    <t>A) Maximum points are awarded, B) The player's turn is forfeited, C) The score is zero, but the hit is valid, D) The turn must be replayed</t>
  </si>
  <si>
    <t>C) The score is zero, but the hit is valid</t>
  </si>
  <si>
    <t>This is a valid hit but with a score of zero. The striker would then use their next chance to try for a better hit.</t>
  </si>
  <si>
    <t>A player strikes, and the Gilli hits an umpire’s chair before resting. What is the ruling?</t>
  </si>
  <si>
    <t>A) The hit is valid, and the distance is measured, B) The strike is invalid, C) The turn is replayed due to interference, D) Half points are awarded</t>
  </si>
  <si>
    <t>C) The turn is replayed due to interference</t>
  </si>
  <si>
    <t>Hitting an official or their equipment is considered external interference, which warrants a replay of the turn.</t>
  </si>
  <si>
    <t>In a high-stakes match, a Gilli lands on a slope and rolls downhill, far away. What does the umpire do?</t>
  </si>
  <si>
    <t>A) Measures the distance to where it first landed on the slope, B) Measures the distance to its final resting spot, C) Awards maximum points, D) Declares the hit a replay</t>
  </si>
  <si>
    <t>A) Measures the distance to where it first landed on the slope</t>
  </si>
  <si>
    <t>In formal rules, to prevent unfair advantages from terrain, the score is often taken from the point of first impact, not the final resting place after a long roll.</t>
  </si>
  <si>
    <t>A striker hits the Gilli, which lands validly but is immediately kicked by a teammate in celebration. What happens?</t>
  </si>
  <si>
    <t>A) The original landing spot is measured for the score, B) The strike is invalid due to interference, C) The turn is replayed, D) The teammate is penalized</t>
  </si>
  <si>
    <t>The action of a teammate after the Gilli has landed does not invalidate the striker's legal hit.</t>
  </si>
  <si>
    <t>During a tiebreak, a Gilli lands exactly on top of the boundary rope, balancing there. What is the ruling?</t>
  </si>
  <si>
    <t>A) It is considered out of bounds, B) It is considered in bounds and a valid hit, C) A half score is awarded, D) The turn is replayed</t>
  </si>
  <si>
    <t>B) It is considered in bounds and a valid hit</t>
  </si>
  <si>
    <t>Any part of the Gilli touching the boundary line is typically considered within the valid scoring area.</t>
  </si>
  <si>
    <t>A player unintentionally shouts while striking the Gilli, and a fielder drops a catch. What does the umpire do?</t>
  </si>
  <si>
    <t>An unintentional shout is not a foul. The fielder is responsible for making the catch despite the normal noise of the game.</t>
  </si>
  <si>
    <t>A player strikes, and the Gilli lands in a scoring zone but is immediately picked up by a dog. What is the ruling?</t>
  </si>
  <si>
    <t>A) The strike is invalid, B) The turn is replayed due to external interference, C) The original landing spot is estimated for a score, D) Half points are awarded</t>
  </si>
  <si>
    <t>A player attempts a strike, but the Gilli slips off the Danda before being struck properly, falling to the ground. What happens?</t>
  </si>
  <si>
    <t>A) It is a valid strike and is measured, B) The player's turn is forfeited, C) The turn is replayed, D) It counts as one of the player's misses</t>
  </si>
  <si>
    <t>D) It counts as one of the player's misses</t>
  </si>
  <si>
    <t>A "slip" or mishit that is not a full swing is typically counted as one of the striker's three chances, not a full forfeiture of the turn.</t>
  </si>
  <si>
    <t>A player's strike results in the Gilli hitting the ground and then bouncing onto a scoring marker cone. What happens?</t>
  </si>
  <si>
    <t>A) The hit is valid, and the distance is measured to the cone, B) The strike is invalid due to hitting the marker, C) Half points are awarded, D) The turn is replayed</t>
  </si>
  <si>
    <t>A) The hit is valid, and the distance is measured to the cone</t>
  </si>
  <si>
    <t>Hitting a marker after landing does not invalidate the hit; the score is measured to the marker's position.</t>
  </si>
  <si>
    <t>During a match, a player intentionally delays their strike after the umpire’s signal to begin. What is the ruling?</t>
  </si>
  <si>
    <t>A) The strike is valid if eventually executed, B) The player's turn is forfeited for a time delay violation, C) A warning is issued, but the turn continues, D) The turn is replayed</t>
  </si>
  <si>
    <t>B) The player's turn is forfeited for a time delay violation</t>
  </si>
  <si>
    <t>To keep the game flowing, a player must strike within a reasonable time after being called. Deliberate stalling is a foul.</t>
  </si>
  <si>
    <t>A player strikes, and the Gilli rolls into circles before finally stopping. What is the decision?</t>
  </si>
  <si>
    <t>A striker hits the Gilli, but it hits their own Danda again after becoming airborne. What is the ruling?</t>
  </si>
  <si>
    <t>A) It is a valid strike, B) It is an invalid strike (a foul), C) Half points are awarded, D) The turn is replayed</t>
  </si>
  <si>
    <t>B) It is an invalid strike (a foul)</t>
  </si>
  <si>
    <t>A "double hit," where the Gilli is struck twice by the Danda in the same swing, is typically considered a foul, and the turn is forfeited.</t>
  </si>
  <si>
    <t>A striker accidentally touches the Gilli with their elbow while preparing to hit. What happens?</t>
  </si>
  <si>
    <t>A) The player's turn is forfeited, B) The strike is allowed to continue, C) A warning is issued, but the turn continues, D) The opposing team gets a point</t>
  </si>
  <si>
    <t>A player hits the Gilli, but their Danda breaks mid-swing. The Gilli still travels a valid scoring distance. What is the decision?</t>
  </si>
  <si>
    <t>A striker hits the Gilli, and it lodges in a boundary fence. What is the ruling?</t>
  </si>
  <si>
    <t>A) The strike is invalid, B) The distance is measured to the point where it hit the fence, C) Maximum points are awarded for that boundary, D) The turn is replayed</t>
  </si>
  <si>
    <t>B) The distance is measured to the point where it hit the fence</t>
  </si>
  <si>
    <t>A player strikes the Gilli, which lands validly but is immediately picked up by a dog. What is the ruling?</t>
  </si>
  <si>
    <t>Player A hits the Gilli with a back-handed strike, sending it forward. The opponents protest the unorthodox style. What is the ruling?</t>
  </si>
  <si>
    <t>A) The strike is valid as long as it is effective, B) The strike is invalid due to the illegal technique, C) Half points are awarded, D) A warning is issued for the unusual style</t>
  </si>
  <si>
    <t>A Gilli, after being hit, lands exactly where the umpire had placed the minimum distance marker. What is the decision?</t>
  </si>
  <si>
    <t>A) The hit is valid, and the score is measured, B) The hit is invalid as it did not pass the line, C) A half score is awarded, D) The turn must be replayed</t>
  </si>
  <si>
    <t>A) The hit is valid, and the score is measured</t>
  </si>
  <si>
    <t>Landing on the line is sufficient to meet the minimum distance requirement.</t>
  </si>
  <si>
    <t>During a match, a player intentionally shouts to distract an opponent who is about to make a catch. The fielder drops the ball. What is the umpire's ruling?</t>
  </si>
  <si>
    <t>A) The catch is considered dropped, and the striker is not out, B) The striker is declared out due to the unsportsmanlike conduct of their teammate, C) The turn is replayed, D) A warning is issued to the shouting player, and the striker is not out</t>
  </si>
  <si>
    <t>B) The striker is declared out due to the unsportsmanlike conduct of their teammate</t>
  </si>
  <si>
    <t>Deliberate, unsportsmanlike interference that prevents a catch results in the striker being given out.</t>
  </si>
  <si>
    <t>A striker hits the Gilli, and it lands in a scoring zone but rolls back slightly. The umpire declares the strike valid. What is the reasoning?</t>
  </si>
  <si>
    <t>A) The Gilli must remain in the scoring zone without rolling, B) As long as the Gilli initially lands in the zone, the strike is valid, C) The Gilli’s roll invalidates the strike, D) The umpire can choose to disregard the roll</t>
  </si>
  <si>
    <t>B) As long as the Gilli initially lands in the zone, the strike is valid</t>
  </si>
  <si>
    <t>A Gilli landing in the scoring zone, even if it rolls out, is still considered valid as long as it initially landed correctly.</t>
  </si>
  <si>
    <t>A player strikes the Gilli, which then bounces off the ground before landing in a high-score zone. The opposing team protests. What is the umpire's ruling?</t>
  </si>
  <si>
    <t>A) The strike is invalid due to the bounce, B) The strike is valid as long as it meets the minimum distance, C) Player B gets no points for the bounce, D) Player B must re-hit</t>
  </si>
  <si>
    <t>B) The strike is valid as long as it meets the minimum distance</t>
  </si>
  <si>
    <t>In Gilli Danda, bouncing before landing does not invalidate the strike if the required distance is met.</t>
  </si>
  <si>
    <t>A player's Gilli breaks into two pieces mid-flight. One piece lands in the scoring zone, while the other does not. What is the ruling?</t>
  </si>
  <si>
    <t>A) The strike is invalid, B) Points are awarded based on the larger piece, C) The player gets a re-hit, D) Both pieces are considered for scoring</t>
  </si>
  <si>
    <t>A) The strike is invalid</t>
  </si>
  <si>
    <t>If the Gilli breaks during a strike, the hit is automatically considered invalid, and the turn is replayed.</t>
  </si>
  <si>
    <t>A player's Gilli lands precisely on a marked boundary line separating two scoring zones. How is the score determined?</t>
  </si>
  <si>
    <t>A) The score for the higher-value zone is awarded, B) The score for the lower-value zone is awarded, C) The Gilli must be re-hit, D) The points for the two zones are averaged</t>
  </si>
  <si>
    <t>A) The score for the higher-value zone is awarded</t>
  </si>
  <si>
    <t>In cases where the Gilli lands on a boundary line between two zones, the striker is typically awarded the points for the higher scoring zone.</t>
  </si>
  <si>
    <t>During a match, a player strikes the Gilli, but the danda slips out of their hand during the follow-through. The opposing team claims the strike is invalid. What is the ruling?</t>
  </si>
  <si>
    <t>A) The strike is valid if the Gilli traveled the required distance, B) The strike is invalid due to loss of control of the danda, C) The player gets another turn, D) The points are halved</t>
  </si>
  <si>
    <t>B) The strike is invalid due to loss of control of the danda</t>
  </si>
  <si>
    <t>Losing control of the danda during a strike attempt is a foul that results in the strike being considered invalid.</t>
  </si>
  <si>
    <t>A player strikes the Gilli, and it lands and stops. However, it was lightly touched by an opposing player in flight before it stopped. What is the ruling?</t>
  </si>
  <si>
    <t>A) The strike is valid, and the distance is measured, B) The strike is invalid due to interference, C) The player gets a re-hit, D) The opposing team is penalized</t>
  </si>
  <si>
    <t>A) The strike is valid, and the distance is measured</t>
  </si>
  <si>
    <t>A light touch by a fielder that does not result in a catch does not invalidate a valid hit.</t>
  </si>
  <si>
    <t>A Gilli lands in a water puddle, making measurement with the Danda difficult. What should the umpire do?</t>
  </si>
  <si>
    <t>A) Estimate the distance to the puddle's edge, B) Award default points for the hit, C) Declare the strike invalid, D) Allow the player a re-hit</t>
  </si>
  <si>
    <t>A) Estimate the distance to the puddle's edge</t>
  </si>
  <si>
    <t>In cases where direct measurement is difficult, the umpire will make a fair estimation to the point of impact.</t>
  </si>
  <si>
    <t>A player hits the Gilli with an unorthodox technique, using the Danda like a golf club. The umpire allows the strike. Why?</t>
  </si>
  <si>
    <t>A) All striking techniques are valid, B) As long as the Gilli meets the distance requirement, the technique is valid, C) The player is penalized, but the hit stands, D) The player must re-hit using a standard technique</t>
  </si>
  <si>
    <t>B) As long as the Gilli meets the distance requirement, the technique is valid</t>
  </si>
  <si>
    <t>Gilli Danda does not have a strict rulebook on striking style. As long as the core mechanics are followed, the hit is valid.</t>
  </si>
  <si>
    <t>A player strikes the Gilli, and it hits a nearby tree before landing 10 danda lengths away. The opposing team protests. What is the ruling?</t>
  </si>
  <si>
    <t>A) The strike is invalid due to hitting the tree, B) The strike is valid, and the distance is measured, C) The Gilli must be re-hit, D) No points are awarded, but the turn continues</t>
  </si>
  <si>
    <t>C) The Gilli must be re-hit</t>
  </si>
  <si>
    <t>Hitting an obstacle like a tree that significantly alters the Gilli's natural flight path usually results in a replay of the turn.</t>
  </si>
  <si>
    <t>A fielder stops the Gilli with their foot and then throws it back. Is this legal?</t>
  </si>
  <si>
    <t>A) No, only hands can be used, B) Yes, a fielder can stop the Gilli with any part of their body, C) Only if the Gilli was on the ground, D) It results in a penalty</t>
  </si>
  <si>
    <t>B) Yes, a fielder can stop the Gilli with any part of their body</t>
  </si>
  <si>
    <t>A fielder can use their hands, feet, or body to stop the Gilli before retrieving it to throw.</t>
  </si>
  <si>
    <t>In a team game, one player is a much better striker. What is a common strategy?</t>
  </si>
  <si>
    <t>A) To let that player take all the turns, B) To try and keep that player "in" for as long as possible to maximize the team's score, C) To make that player a fielder instead, D) To change the rules</t>
  </si>
  <si>
    <t>B) To try and keep that player "in" for as long as possible to maximize the team's score</t>
  </si>
  <si>
    <t>Teams will try to protect their best striker, allowing them to build a large score before their turn ends.</t>
  </si>
  <si>
    <t>A player is out because the fielder's throw hit the Danda at the base. What is this form of dismissal called?</t>
  </si>
  <si>
    <t>A) A catch, B) A 'Danda Out' or 'Pittù Out', C) A stumping, D) A hit-wicket</t>
  </si>
  <si>
    <t>This is the name for the "run out" dismissal, where the fielder successfully hits the "wicket" (the Danda) with the "ball" (the Gilli).</t>
  </si>
  <si>
    <t>A striker hits the Gilli, and it lodges high in a tree. What is the ruling?</t>
  </si>
  <si>
    <t>A) The striker is out for losing the Gilli, B) The turn is replayed, C) The score is measured to the point on the ground directly below the Gilli, D) The striker gets a bonus point</t>
  </si>
  <si>
    <t>C) The score is measured to the point on the ground directly below the Gilli</t>
  </si>
  <si>
    <t>This is the common informal rule for handling a Gilli getting stuck. The horizontal distance is what is measured.</t>
  </si>
  <si>
    <t>A player is known as a "Danda specialist." What does this imply?</t>
  </si>
  <si>
    <t>A) They are very good at making the equipment, B) They are an exceptionally powerful and accurate striker, C) They are very good at measuring the distance, D) They only play as a striker and do not field</t>
  </si>
  <si>
    <t>B) They are an exceptionally powerful and accurate striker</t>
  </si>
  <si>
    <t>This is a term of respect for a player who has mastered the art of striking the Gilli for maximum distance.</t>
  </si>
  <si>
    <t>A fielder catches the Gilli in their hat. Is this a legal catch?</t>
  </si>
  <si>
    <t>A) Yes, as long as it didn't touch the ground, B) No, the catch must be made with the hands, C) It is up to the striker to decide, D) The turn is replayed</t>
  </si>
  <si>
    <t>B) No, the catch must be made with the hands</t>
  </si>
  <si>
    <t>In traditional rules, a catch is only valid if made with the bare hands. Using clothing like a hat or shirt to aid the catch is not allowed.</t>
  </si>
  <si>
    <t>What is a 'Tulla' hit?</t>
  </si>
  <si>
    <t>A) A very high, looping hit, B) A very short hit, C) A powerful, flat, and fast hit, D) A hit that goes backward</t>
  </si>
  <si>
    <t>C) A powerful, flat, and fast hit</t>
  </si>
  <si>
    <t>A 'Tulla' is a term for a perfect, powerful strike that travels a long distance with a low trajectory, making it very hard to catch.</t>
  </si>
  <si>
    <t>A fielder catches the Gilli but then falls over the boundary line. Is the striker out?</t>
  </si>
  <si>
    <t>A) Yes, the catch was made inside the field, B) No, the fielder must have full control of their body within the field, C) The turn is replayed, D) A bonus point is given to the striker</t>
  </si>
  <si>
    <t>B) No, the fielder must have full control of their body within the field</t>
  </si>
  <si>
    <t>Similar to cricket, a fielder must complete the catch while remaining legally inside the field of play.</t>
  </si>
  <si>
    <t>What is the main reason for the "three-try" rule for the striker?</t>
  </si>
  <si>
    <t>A) To make the game last longer, B) To give the striker a fair chance while preventing them from delaying the game indefinitely, C) To make the game harder, D) To tire the striker out</t>
  </si>
  <si>
    <t>B) To give the striker a fair chance while preventing them from delaying the game indefinitely</t>
  </si>
  <si>
    <t>The three-chance limit is a balance between fairness to the striker (who might miss the first flick) and keeping the game moving.</t>
  </si>
  <si>
    <t>A striker hits the Gilli, and it lodges in the branches of a tree. What is the ruling?</t>
  </si>
  <si>
    <t>A) The striker is out, B) The turn is replayed, C) The score is measured to the point on the ground directly below the Gilli, D) The striker gets a bonus point</t>
  </si>
  <si>
    <t>What is the most important quality for a fielder standing in the high-risk position close to the striker?</t>
  </si>
  <si>
    <t>A) A strong throwing arm, B) Fast running speed, C) Excellent reflexes and courage, D) Good communication skills</t>
  </si>
  <si>
    <t>C) Excellent reflexes and courage</t>
  </si>
  <si>
    <t>The "silly point" fielder needs bravery to stand close and lightning-fast reflexes to catch a Gilli hit at high speed from short range.</t>
  </si>
  <si>
    <t>What is the primary reason for a striker to "juggle" the Gilli in the air?</t>
  </si>
  <si>
    <t>A) To show off their skills, B) To allow the Gilli to gain height and position it perfectly for a powerful strike, C) To confuse the fielders, D) All of the above</t>
  </si>
  <si>
    <t>Juggling is a display of skill, a way to confuse fielders, and most importantly, a practical method for setting up the perfect hit.</t>
  </si>
  <si>
    <t>What is the main appeal of Gilli Danda compared to more formal sports like cricket?</t>
  </si>
  <si>
    <t>A) It has more complex rules, B) It requires no expensive equipment or special pitch, C) It is an Olympic sport, D) It is safer than cricket</t>
  </si>
  <si>
    <t>B) It requires no expensive equipment or special pitch</t>
  </si>
  <si>
    <t>Its simplicity and accessibility are the primary reasons for its enduring popularity as a street and village game.</t>
  </si>
  <si>
    <t>A fielder catches the Gilli but it was touched by a tree branch during its flight. Is the striker out?</t>
  </si>
  <si>
    <t>A) Yes, the catch is valid, B) No, the catch is void due to external interference, C) The turn is replayed, D) The fielder gets a bonus point</t>
  </si>
  <si>
    <t>B) No, the catch is void due to external interference</t>
  </si>
  <si>
    <t>If the Gilli's natural flight path is altered by an external object like a tree branch, a subsequent catch is usually considered not out.</t>
  </si>
  <si>
    <t>A) They are good at making equipment, B) They are an exceptionally powerful and accurate striker, C) They are good at measuring, D) They only play as a striker</t>
  </si>
  <si>
    <t>If a game is tied, how is a winner typically decided in a more organized match?</t>
  </si>
  <si>
    <t>A) A coin toss, B) The team with the longest single hit wins, C) A "super over" or extra round is played, D) The match is declared a draw</t>
  </si>
  <si>
    <t>C) A "super over" or extra round is played</t>
  </si>
  <si>
    <t>To break a tie, a final round is often played where each team gets a set number of strikes to determine a winner.</t>
  </si>
  <si>
    <t>In its essence, what is the spirit of Gilli Danda?</t>
  </si>
  <si>
    <t>A) A highly competitive and professional sport, B) A simple, joyful, and informal game that fosters community and skill, C) A dangerous and aggressive activity, D) A game of pure luck</t>
  </si>
  <si>
    <t>B) A simple, joyful, and informal game that fosters community and skill</t>
  </si>
  <si>
    <t>Gilli Danda is cherished for its simplicity, its accessibility, and the social connections it builds among players.</t>
  </si>
  <si>
    <t>A striker hits the Gilli, which lands on a steeply sloped roof and rolls down, adding distance. How is this usually scored?</t>
  </si>
  <si>
    <t>A) The score is measured from where it first hit the roof, B) The score is measured from where it finally came to rest, C) The turn is replayed, D) The striker is out</t>
  </si>
  <si>
    <t>B) The score is measured from where it finally came to rest</t>
  </si>
  <si>
    <t>In most informal games, the final resting place of the Gilli is what counts, even if it rolled after landing.</t>
  </si>
  <si>
    <t>A fielder stops the Gilli but is 100 Danda-lengths away. What is an 'unwritten rule' they might follow?</t>
  </si>
  <si>
    <t>A) Concede the score without throwing, B) Throw the Gilli as hard as possible, C) Ask a spectator to throw it back, D) Throw it to a closer teammate</t>
  </si>
  <si>
    <t>A) Concede the score without throwing</t>
  </si>
  <si>
    <t>From a very long distance, the chance of hitting the Danda at home is almost zero, so fielders will often just concede the measurement to save time.</t>
  </si>
  <si>
    <t>What is a 'pittù out'?</t>
  </si>
  <si>
    <t>A) When the Gilli is caught, B) When the striker misses three times, C) When a fielder throws the Gilli back and hits the Danda placed over the starting hole, D) When the striker steps out of bounds</t>
  </si>
  <si>
    <t>C) When a fielder throws the Gilli back and hits the Danda placed over the starting hole</t>
  </si>
  <si>
    <t>A player is known for their "helicopter shot," a full-body spinning strike. What is the main advantage of this?</t>
  </si>
  <si>
    <t>A) It is a foul, B) It generates incredible power through rotational force, C) It makes the Gilli harder to see, D) It is easier to do than a normal shot</t>
  </si>
  <si>
    <t>B) It generates incredible power through rotational force</t>
  </si>
  <si>
    <t>Similar to a discus thrower, a full-body rotation can add significant momentum and power to the strike.</t>
  </si>
  <si>
    <t>What is the primary difference between Gilli Danda and the English game of Tip-cat?</t>
  </si>
  <si>
    <t>A) There is no difference, B) Tip-cat uses a metal Gilli, C) Gilli Danda scores by measuring with the Danda, while Tip-cat scores by guessing the distance, D) Tip-cat is a team sport only</t>
  </si>
  <si>
    <t>C) Gilli Danda scores by measuring with the Danda, while Tip-cat scores by guessing the distance</t>
  </si>
  <si>
    <t>This is a key historical difference. In Tip-cat, the striker would guess the distance in steps, and if their guess was wrong, they lost their points.</t>
  </si>
  <si>
    <t>A fielder is distracted by a teammate and misses a simple catch. Whose fault is it?</t>
  </si>
  <si>
    <t>A) The striker's, B) The fielder who was distracted, C) The teammate who caused the distraction, D) It is a no-fault incident</t>
  </si>
  <si>
    <t>B) The fielder who was distracted</t>
  </si>
  <si>
    <t>In fielding, each player is responsible for maintaining their own focus. The striker is not out.</t>
  </si>
  <si>
    <t>What is the main reason Gilli Danda is more popular in rural areas than in dense cities in modern Pakistan?</t>
  </si>
  <si>
    <t>A) City dwellers prefer other sports, B) The game is banned in cities, C) The lack of safe, open spaces required to play the game, D) The equipment is not sold in cities</t>
  </si>
  <si>
    <t>C) The lack of safe, open spaces required to play the game</t>
  </si>
  <si>
    <t>Urbanization has drastically reduced the number of open fields and grounds needed to play Gilli Danda safely.</t>
  </si>
  <si>
    <t>What is the primary difference between Gilli Danda and baseball?</t>
  </si>
  <si>
    <t>A) Gilli Danda uses a stick, B) There is no pitcher in Gilli Danda; the batter launches the object themselves, C) Gilli Danda is a team sport, D) There is no fielding in Gilli Danda</t>
  </si>
  <si>
    <t>B) There is no pitcher in Gilli Danda; the batter launches the object themselves</t>
  </si>
  <si>
    <t>This is a fundamental difference; the striker in Gilli Danda is responsible for both launching and striking the object.</t>
  </si>
  <si>
    <t>A player is called out for 'danda-out'. What does this mean?</t>
  </si>
  <si>
    <t>A) Their Danda broke, B) The fielder's throw hit the Danda at the base, C) They dropped their Danda, D) They used an illegal Danda</t>
  </si>
  <si>
    <t>B) The fielder's throw hit the Danda at the base</t>
  </si>
  <si>
    <t>This is the term for being "run out" when the fielder's throw successfully hits the target.</t>
  </si>
  <si>
    <t>A) The striker is out, B) The turn is replayed, C) The score is measured to the point on the ground directly below the Gilli, D) The striker gets a bonus</t>
  </si>
  <si>
    <t>What is the main objective of the fielding team?</t>
  </si>
  <si>
    <t>A) To score points, B) To dismiss the striker by catching the Gilli or hitting the Danda, C) To set traps, D) To hit the Gilli themselves</t>
  </si>
  <si>
    <t>B) To dismiss the striker by catching the Gilli or hitting the Danda</t>
  </si>
  <si>
    <t>The fielding team's entire purpose is to get the striker "out" so their team can get a turn at striking.</t>
  </si>
  <si>
    <t>In a match played in rural Punjab, what is the most common way to form teams?</t>
  </si>
  <si>
    <t>A) By age, B) By height, C) Two captains pick players one by one, D) By random assignment</t>
  </si>
  <si>
    <t>C) Two captains pick players one by one</t>
  </si>
  <si>
    <t>The informal "schoolyard pick" is the most traditional method for creating balanced teams in a village setting.</t>
  </si>
  <si>
    <t>A striker hits the Gilli, and it lands on the roof of a house. In a casual game, what is the most likely outcome?</t>
  </si>
  <si>
    <t>A) The striker wins the game, B) The striker is out for losing the Gilli, C) The game is paused to retrieve the Gilli, D) The hit is replayed</t>
  </si>
  <si>
    <t>A common "house rule" is that hitting the Gilli to an inaccessible location like a roof results in the end of the striker's turn.</t>
  </si>
  <si>
    <t>What is a 'guchchi'?</t>
  </si>
  <si>
    <t>A) The Gilli, B) The Danda, C) The small hole in the ground used for the initial strike, D) A type of high score</t>
  </si>
  <si>
    <t>C) The small hole in the ground used for the initial strike</t>
  </si>
  <si>
    <t>The 'guchchi' is the small pit over which the Gilli is placed, allowing the Danda to get underneath to flick it into the air.</t>
  </si>
  <si>
    <t>Why is teamwork essential for the fielding side on a long hit?</t>
  </si>
  <si>
    <t>A) To decide on the rules, B) To perform a relay throw to get the striker out, C) To build team spirit, D) It is not essential</t>
  </si>
  <si>
    <t>B) To perform a relay throw to get the striker out</t>
  </si>
  <si>
    <t>A fielder in the "outfield" will throw the Gilli to a teammate closer to the base, who can then make a more accurate throw to get the out.</t>
  </si>
  <si>
    <t>A fielder catches the Gilli but was standing outside the agreed-upon boundary. What is the ruling?</t>
  </si>
  <si>
    <t>A) The striker is out, B) The striker is not out, C) The turn is replayed, D) The fielder is penalized</t>
  </si>
  <si>
    <t>B) The striker is not out</t>
  </si>
  <si>
    <t>The fielder must be within the field of play for a catch to be valid.</t>
  </si>
  <si>
    <t>Why is a side-on stance the most effective for a powerful strike?</t>
  </si>
  <si>
    <t>A) It generates power from the rotation of the core and hips, B) It provides a better view of the Gilli, C) It is the most stable stance, D) It is the only stance allowed</t>
  </si>
  <si>
    <t>A) It generates power from the rotation of the core and hips</t>
  </si>
  <si>
    <t>This classic batting stance allows the entire body to contribute to the force of the swing, not just the arms.</t>
  </si>
  <si>
    <t>A fielder is permitted to use their hands, feet, or any part of their body to stop the Gilli before retrieving it to throw.</t>
  </si>
  <si>
    <t>A player is known for their "juggling" skill. What does this involve?</t>
  </si>
  <si>
    <t>A) Juggling multiple Gillis, B) Hitting the Gilli multiple times in the air before the final strike, C) Making the fielder juggle a catch, D) Juggling the Danda</t>
  </si>
  <si>
    <t>B) Hitting the Gilli multiple times in the air before the final strike</t>
  </si>
  <si>
    <t>This is an advanced skill where a player uses multiple light taps to keep the Gilli airborne and position it perfectly.</t>
  </si>
  <si>
    <t>What is the main appeal of Gilli Danda compared to formal sports like cricket?</t>
  </si>
  <si>
    <t>Why is a slight crosswind the most challenging condition to play in?</t>
  </si>
  <si>
    <t>A) It makes the Gilli travel farther, B) It can cause the Gilli to swerve unpredictably, C) It makes it too cold to play, D) It blows dust into the players' eyes</t>
  </si>
  <si>
    <t>B) It can cause the Gilli to swerve unpredictably</t>
  </si>
  <si>
    <t>A crosswind can create a difficult "curve" on the Gilli's flight, deceiving both the striker and the fielders.</t>
  </si>
  <si>
    <t>What is the most common reason for an argument between players?</t>
  </si>
  <si>
    <t>A) The quality of the equipment, B) Whether a catch was clean or the score was measured correctly, C) The weather, D) The time of day</t>
  </si>
  <si>
    <t>B) Whether a catch was clean or the score was measured correctly</t>
  </si>
  <si>
    <t>With no formal umpires, these two judgment calls are the source of most friendly arguments.</t>
  </si>
  <si>
    <t>Why is it strategically risky for all fielders to stand very close to the striker?</t>
  </si>
  <si>
    <t>A) It is not risky, B) A powerful long hit will go over all their heads, C) It is against the rules, D) It will tire them out</t>
  </si>
  <si>
    <t>B) A powerful long hit will go over all their heads</t>
  </si>
  <si>
    <t>This strategy leaves the entire outfield open for a skilled striker to hit the Gilli for a massive score.</t>
  </si>
  <si>
    <t>In traditional rules, a catch is only valid if made with the bare hands. Using clothing to aid the catch is not allowed.</t>
  </si>
  <si>
    <t>B) To give the Gilli Danda is a versatile and traditional street game enjoyed by children and adults alike across South Asia.</t>
  </si>
  <si>
    <t>A fielder catches the Gilli but juggles it multiple times before securing it. Is the striker out?</t>
  </si>
  <si>
    <t>A) No, the catch was not clean, B) Yes, as long as the Gilli never touched the ground, C) The turn must be replayed, D) The fielder is penalized for poor catching</t>
  </si>
  <si>
    <t>B) Yes, as long as the Gilli never touched the ground</t>
  </si>
  <si>
    <t>A "juggled catch" is a valid dismissal, provided the fielder gains full control of the Gilli before it makes contact with the ground.</t>
  </si>
  <si>
    <t>What is the primary purpose of the Gilli being tapered at both ends?</t>
  </si>
  <si>
    <t>A) It is a decorative feature, B) It allows the striker to easily flick it into the air by striking a tapered end, C) It makes the Gilli harder to balance and strike, D) It is a traditional design with no practical purpose</t>
  </si>
  <si>
    <t>B) It allows the striker to easily flick it into the air by striking a tapered end</t>
  </si>
  <si>
    <t>This clever design is the core mechanic of the game, allowing the Gilli to be reliably launched for the main hit.</t>
  </si>
  <si>
    <t>In the 'run-out' variation, what must the striker do after hitting the Gilli?</t>
  </si>
  <si>
    <t>A) Measure the distance, B) Run to a pre-determined point and back, C) Hit the Gilli again, D) Wait for the fielder</t>
  </si>
  <si>
    <t>B) Run to a pre-determined point and back</t>
  </si>
  <si>
    <t>In this version, the striker scores by completing a run before the fielder can retrieve the Gilli and hit the home base.</t>
  </si>
  <si>
    <t>What is a 'sawa' in some variations?</t>
  </si>
  <si>
    <t>A) A perfect hit, B) An extra point or bonus, C) A foul, D) The end of the game</t>
  </si>
  <si>
    <t>B) An extra point or bonus</t>
  </si>
  <si>
    <t>Sawa' can refer to a bonus multiplier, where a very long hit scores extra points.</t>
  </si>
  <si>
    <t>What does the term 'lambi paari' signify?</t>
  </si>
  <si>
    <t>A) A short turn, B) A long innings or a high-scoring turn, C) The final player, D) A tied game</t>
  </si>
  <si>
    <t>B) A long innings or a high-scoring turn</t>
  </si>
  <si>
    <t>This term is used to describe a striker who is having a very successful turn, accumulating a high score without getting out.</t>
  </si>
  <si>
    <t>A fielder is standing very close to the striker. Is this allowed?</t>
  </si>
  <si>
    <t>A) No, there is a minimum distance rule, B) Yes, but it is a dangerous and high-risk position, C) Only if they are wearing a helmet, D) Only the team captain can stand close</t>
  </si>
  <si>
    <t>B) Yes, but it is a dangerous and high-risk position</t>
  </si>
  <si>
    <t>There are usually no formal rules on fielder placement, but standing too close is a very brave or foolish position.</t>
  </si>
  <si>
    <t>What is a 'Tip-cat'?</t>
  </si>
  <si>
    <t>A) A variation of the game, B) The traditional English name for Gilli Danda, C) The name for the fielding team in some regions, D) The name of the winning trophy</t>
  </si>
  <si>
    <t>B) The traditional English name for Gilli Danda</t>
  </si>
  <si>
    <t>Gilli Danda is part of a global family of similar stick-and-peg games, and 'Tip-cat' is its common name in England.</t>
  </si>
  <si>
    <t>What is the main reason for the decline of Gilli Danda in major urban centers?</t>
  </si>
  <si>
    <t>A) The game has been banned, B) Lack of open spaces and the rise of other sports like cricket, C) The equipment is too expensive, D) It is considered an old-fashioned game</t>
  </si>
  <si>
    <t>B) Lack of open spaces and the rise of other sports like cricket</t>
  </si>
  <si>
    <t>Urbanization has led to the loss of open fields, and modern sports have become more popular among city youth.</t>
  </si>
  <si>
    <t>Which Pakistani national institution is responsible for preserving folk traditions like Gilli Danda?</t>
  </si>
  <si>
    <t>A) The Pakistan Cricket Board, B) The Ministry of Education, C) Lok Virsa (The National Institute of Folk &amp; Traditional Heritage), D) The Pakistan Sports Board</t>
  </si>
  <si>
    <t>C) Lok Virsa (The National Institute of Folk &amp; Traditional Heritage)</t>
  </si>
  <si>
    <t>Lok Virsa in Islamabad works to document, preserve, and promote the rich cultural heritage of Pakistan, including its traditional sports.</t>
  </si>
  <si>
    <t>What is a 'nar gilli'?</t>
  </si>
  <si>
    <t>A) A miss, B) A type of Gilli, C) A variation where the striker must call out their predicted score before hitting, D) The final round of the game</t>
  </si>
  <si>
    <t>C) A variation where the striker must call out their predicted score before hitting</t>
  </si>
  <si>
    <t>In this challenging version, the striker declares the number of Danda-lengths they will hit, adding a layer of prediction and pressure to the game.</t>
  </si>
  <si>
    <t>What is a 'danda' in the context of scoring?</t>
  </si>
  <si>
    <t>A) The score itself, B) The unit of measurement, equal to the length of the larger stick, C) The player who measures the score, D) A type of foul</t>
  </si>
  <si>
    <t>B) The unit of measurement, equal to the length of the larger stick</t>
  </si>
  <si>
    <t>The score is counted in 'dandas', for example, "That was a hit of 50 dandas."</t>
  </si>
  <si>
    <t>Why is a slight crosswind often considered the most challenging condition to play in?</t>
  </si>
  <si>
    <t>A) No difference, B) Tip-cat uses a metal Gilli, C) Gilli Danda scores by measuring with the Danda, while Tip-cat scores by guessing the distance, D) Tip-cat is a team sport only</t>
  </si>
  <si>
    <t>How is the Gilli Danda played in rural villages?</t>
  </si>
  <si>
    <t>A) With formal rules and umpires, B) Informally in open fields with negotiated rules, C) Only during festivals, D) As a professional league</t>
  </si>
  <si>
    <t>B) Informally in open fields with negotiated rules</t>
  </si>
  <si>
    <t>The game is a classic folk sport, with rules that often vary from one village to the next and are agreed upon before play.</t>
  </si>
  <si>
    <t>Which historical document contains references to stick-and-peg games similar to Gilli Danda?</t>
  </si>
  <si>
    <t>A) The Magna Carta, B) The Code of Hammurabi, C) The memoirs of the Mughal emperor Babur, D) The Egyptian Book of the Dead</t>
  </si>
  <si>
    <t>C) The memoirs of the Mughal emperor Babur</t>
  </si>
  <si>
    <t>The Baburnama contains descriptions of the daily life and pastimes in the subcontinent, including references to various folk games.</t>
  </si>
  <si>
    <t>In a Tent Pegging final in Lahore, a rider successfully strikes and carries the peg across the finish line. What is this achievement called and how many points does it score?</t>
  </si>
  <si>
    <t>A) A Drawn Peg, 2 points, B) A Full Peg, 6 points, C) A Perfect Strike, 10 points, D) A Carry, 4 points</t>
  </si>
  <si>
    <t>B) A Full Peg, 6 points</t>
  </si>
  <si>
    <t>Successfully striking and carrying the peg through the finish is the primary objective, known as a "Full Peg," and is awarded 6 points.</t>
  </si>
  <si>
    <t>A rider at the Sibi Mela completes their 100-meter run in 9 seconds. The time limit for the event is 8 seconds. What is the ruling?</t>
  </si>
  <si>
    <t>A) The rider scores full points for the peg, B) The rider's score for that run is zero due to a time fault, C) 2 points are deducted from their score, D) The rider is given a re-run</t>
  </si>
  <si>
    <t>B) The rider's score for that run is zero due to a time fault</t>
  </si>
  <si>
    <t>The time limit is strict. Exceeding it, even by a small margin, results in a score of zero for that run, regardless of whether the peg was collected.</t>
  </si>
  <si>
    <t>During a team event, a rider's horse veers sharply and crosses into a teammate's lane, causing them to swerve. What is the penalty for this?</t>
  </si>
  <si>
    <t>A) There is no penalty, B) The rider who crossed lanes is disqualified from that run for dangerous riding, C) The entire team is disqualified, D) The team gets a 2-point penalty</t>
  </si>
  <si>
    <t>B) The rider who crossed lanes is disqualified from that run for dangerous riding</t>
  </si>
  <si>
    <t>Maintaining one's lane is a critical safety rule in team events. Crossing into another lane and causing interference is a serious foul.</t>
  </si>
  <si>
    <t>A rider is disqualified for using a lance that is shorter than the minimum regulated length. Why does this rule exist?</t>
  </si>
  <si>
    <t>A) To make the sport harder, B) To prevent an unfair advantage, as a shorter lance is easier to control and aim, C) For traditional reasons only, D) To protect the horse</t>
  </si>
  <si>
    <t>B) To prevent an unfair advantage, as a shorter lance is easier to control and aim</t>
  </si>
  <si>
    <t>Equipment specifications are standardized to ensure that all competitors face the same level of challenge and the sport is a test of skill, not equipment.</t>
  </si>
  <si>
    <t>In a "Lemon Cutting" event, a rider gallops past and cleanly slices the suspended lemon into two halves with their sword. Is this a valid score?</t>
  </si>
  <si>
    <t>A) No, swords are not allowed, B) Yes, this is the main objective of the event, C) No, the lemon must be speared, D) Only if the rider catches a piece</t>
  </si>
  <si>
    <t>B) Yes, this is the main objective of the event</t>
  </si>
  <si>
    <t>Lemon Cutting is a specific discipline within the "skills-at-arms" category that tests a rider's swordsmanship and accuracy.</t>
  </si>
  <si>
    <t>A rider successfully lifts the peg from the ground, but it falls off the lance just before they cross the finish line. How is this scored?</t>
  </si>
  <si>
    <t>A) A Full Peg (6 points), B) A Drawn Peg (2 points), C) Zero points, D) The run is replayed</t>
  </si>
  <si>
    <t>C) Zero points</t>
  </si>
  <si>
    <t>To score any points, the peg must be carried across the finish line. Dropping it before the line results in a score of zero for that run.</t>
  </si>
  <si>
    <t>A rider's horse makes a false start, crossing the start line before the official signal. What is the immediate consequence?</t>
  </si>
  <si>
    <t>A) A 2-point penalty is applied, B) The rider is disqualified from that run, C) A verbal warning is issued, D) The rider is allowed to restart</t>
  </si>
  <si>
    <t>B) The rider is disqualified from that run</t>
  </si>
  <si>
    <t>A false start is a clear violation of the procedure, and the attempt for that specific run is nullified with a score of zero.</t>
  </si>
  <si>
    <t>During a run, a rider's lance accidentally touches the ground before they reach the peg. What is the ruling?</t>
  </si>
  <si>
    <t>A) The run continues without penalty, B) A 2-point penalty is deducted from their score, C) The run is immediately disqualified (score of zero), D) A warning is issued</t>
  </si>
  <si>
    <t>C) The run is immediately disqualified (score of zero)</t>
  </si>
  <si>
    <t>A rider must carry their weapon cleanly. Touching the ground with the lance before the target is a foul that nullifies the attempt.</t>
  </si>
  <si>
    <t>In a team relay event, the first rider drops the lance during the handover to the second rider. What is the outcome for the team?</t>
  </si>
  <si>
    <t>A) The team is immediately disqualified, B) A time penalty is added to the team's total time, C) The second rider can pick it up and continue without penalty, D) The round must be re-run</t>
  </si>
  <si>
    <t>B) A time penalty is added to the team's total time</t>
  </si>
  <si>
    <t>Dropping the lance during a relay handover is an error that incurs a time penalty, but it does not disqualify the team from the event.</t>
  </si>
  <si>
    <t>A rider strikes the peg, dislodging it from the ground. However, they are unable to carry it on their lance. What is this called and how is it scored?</t>
  </si>
  <si>
    <t>A) A miss, 0 points, B) A half-peg, 3 points, C) A Drawn Peg, 2 points, D) A foul, -2 points</t>
  </si>
  <si>
    <t>C) A Drawn Peg, 2 points</t>
  </si>
  <si>
    <t>Successfully removing the peg from the ground but failing to carry it is known as a "Drawn Peg" and is awarded a partial score of 2 points.</t>
  </si>
  <si>
    <t>During a run, a rider falls from their horse but is not injured. What is the ruling for that run?</t>
  </si>
  <si>
    <t>A) They can remount and complete the run, B) The run is disqualified and scores zero, C) They are eliminated from the entire competition, D) The run is replayed</t>
  </si>
  <si>
    <t>B) The run is disqualified and scores zero</t>
  </si>
  <si>
    <t>For safety, any run in which a rider is unhorsed is immediately nullified, resulting in a score of zero for that attempt.</t>
  </si>
  <si>
    <t>A referee inspects a horse and finds it is wearing prohibited gear, such as spiked horseshoes. What is the consequence for the rider?</t>
  </si>
  <si>
    <t>A) The gear is removed, and a warning is issued, B) The rider is immediately disqualified from the event, C) The rider can continue but cannot score points, D) The horse must be substituted</t>
  </si>
  <si>
    <t>B) The rider is immediately disqualified from the event</t>
  </si>
  <si>
    <t>Using unauthorized or dangerous equipment is a serious violation of the rules that affects safety and fair play, leading to disqualification.</t>
  </si>
  <si>
    <t>In a "Ring Pegging" event, a rider successfully spears a small suspended ring with their lance. Is this a valid score?</t>
  </si>
  <si>
    <t>A) No, only ground pegs can be speared, B) Yes, this is a specific discipline testing accuracy, C) Only if the ring is made of wood, D) It scores half the points of a ground peg</t>
  </si>
  <si>
    <t>B) Yes, this is a specific discipline testing accuracy</t>
  </si>
  <si>
    <t>Ring Pegging is a common "skills-at-arms" event that requires immense precision to thread the lance through a small hanging ring.</t>
  </si>
  <si>
    <t>In a team event, a rider's horse refuses to run and does not cross the start line. What happens?</t>
  </si>
  <si>
    <t>A) The team is disqualified, B) The rider is given a re-run with a different horse, C) The rider scores zero for that run, and the team's aggregate score is affected, D) The rider is allowed to start late</t>
  </si>
  <si>
    <t>C) The rider scores zero for that run, and the team's aggregate score is affected</t>
  </si>
  <si>
    <t>A "refusal" by the horse to start means the run is a failure and scores zero, which is then included in the team's total score.</t>
  </si>
  <si>
    <t>A rider completes a perfect run, but a post-run inspection reveals their lance is 10 cm longer than the maximum allowed length. What is the ruling?</t>
  </si>
  <si>
    <t>A) The score stands, but the rider is warned, B) The score for that run is nullified due to illegal equipment, C) The rider is fined, D) The score is halved</t>
  </si>
  <si>
    <t>B) The score for that run is nullified due to illegal equipment</t>
  </si>
  <si>
    <t>All equipment must conform to the standards set by the governing body. A score achieved with illegal equipment is invalid.</t>
  </si>
  <si>
    <t>What is the main characteristic of the "Indian File" team discipline?</t>
  </si>
  <si>
    <t>A) Four riders charge in a line abreast, B) Riders ride in a single file line, each striking a different peg in sequence, C) It is a relay race, D) Teams from India and Pakistan compete</t>
  </si>
  <si>
    <t>B) Riders ride in a single file line, each striking a different peg in sequence</t>
  </si>
  <si>
    <t>This event tests each rider's individual focus while they are riding in a tight, fast-moving formation behind one another.</t>
  </si>
  <si>
    <t>A rider strikes the peg, but it only spins in the ground without being dislodged. How many points are scored?</t>
  </si>
  <si>
    <t>A) 1 point, B) 2 points, C) 0 points, D) A re-run is given</t>
  </si>
  <si>
    <t>C) 0 points</t>
  </si>
  <si>
    <t>The peg must be physically lifted ("drawn") from the ground to score any points. A peg that is only touched or spun is considered a miss.</t>
  </si>
  <si>
    <t>During a run at a National Horse and Cattle Show in Lahore, a rider's helmet falls off. They continue and get a Full Peg. Does the score count?</t>
  </si>
  <si>
    <t>A) Yes, because they got the peg, B) No, the run is disqualified for a safety violation, C) Yes, but with a 2-point penalty, D) The run must be replayed</t>
  </si>
  <si>
    <t>B) No, the run is disqualified for a safety violation</t>
  </si>
  <si>
    <t>A properly secured helmet is mandatory. If it falls off during a run, the attempt is immediately voided for safety reasons.</t>
  </si>
  <si>
    <t>What is the judge's flag signal for a "Full Peg" (6 points)?</t>
  </si>
  <si>
    <t>A) A red flag, B) A white flag, C) A green flag, D) A yellow flag</t>
  </si>
  <si>
    <t>C) A green flag</t>
  </si>
  <si>
    <t>In the standard ITPF flag system, a green flag signals a successful full score, while red is for a miss and white is for a partial score.</t>
  </si>
  <si>
    <t>In a tie-breaking "ride-off," the officials place a much smaller peg on the track. What is the purpose of this?</t>
  </si>
  <si>
    <t>A) To make the event finish faster, B) To increase the level of difficulty and separate the best riders by skill, C) To save on equipment, D) To make it safer for the horses</t>
  </si>
  <si>
    <t>B) To increase the level of difficulty and separate the best riders by skill</t>
  </si>
  <si>
    <t>A smaller target requires greater precision and is a common method for breaking a tie between highly skilled competitors.</t>
  </si>
  <si>
    <t>A rider from the Pakistan Army team is competing in ceremonial military dress instead of standard riding gear. Is this allowed?</t>
  </si>
  <si>
    <t>A) No, all riders must wear the same gear, B) Yes, national ceremonial uniforms are often permitted in international events, C) Only if the other teams agree, D) Only in practice rounds</t>
  </si>
  <si>
    <t>B) Yes, national ceremonial uniforms are often permitted in international events</t>
  </si>
  <si>
    <t>Official rules often make allowances for teams from military or police units to compete in their traditional dress uniforms.</t>
  </si>
  <si>
    <t>A rider successfully spears a ring, but it is found to be cracked. What is the ruling?</t>
  </si>
  <si>
    <t>A) The score is invalid, B) The run is replayed, C) The score is valid, as the rider successfully collected it, D) A half-score is awarded</t>
  </si>
  <si>
    <t>C) The score is valid, as the rider successfully collected it</t>
  </si>
  <si>
    <t>The condition of the target does not invalidate the rider's skillful action. As long as the ring was collected, the score stands.</t>
  </si>
  <si>
    <t>During a team charge, Rider 1 scores, but Rider 2 is disqualified for a false start. What happens to the team's score?</t>
  </si>
  <si>
    <t>A) The entire team's score for that run is zero, B) Rider 1's score is counted, while Rider 2's score is zero, C) The run must be replayed by the whole team, D) The entire team is disqualified</t>
  </si>
  <si>
    <t>B) Rider 1's score is counted, while Rider 2's score is zero</t>
  </si>
  <si>
    <t>In a section attack, each rider's score is recorded individually. A foul by one rider does not invalidate the valid scores of their teammates in the same run.</t>
  </si>
  <si>
    <t>Why are riders not permitted to strap the lance to their arm or wrist?</t>
  </si>
  <si>
    <t>A) It is not traditional, B) It provides an unfair advantage, C) It is extremely dangerous; the rider must be able to drop the lance, D) It makes aiming more difficult</t>
  </si>
  <si>
    <t>C) It is extremely dangerous; the rider must be able to drop the lance</t>
  </si>
  <si>
    <t>If the lance gets stuck in the ground, a rider strapped to it could be pulled from their horse and severely injured.</t>
  </si>
  <si>
    <t>A rider is using a horse that is visibly lame (limping). What is the official's responsibility?</t>
  </si>
  <si>
    <t>A) To let the rider compete at their own risk, B) To disqualify the horse from the competition on veterinary grounds, C) To give the horse a painkiller, D) To ask the other riders if they object</t>
  </si>
  <si>
    <t>B) To disqualify the horse from the competition on veterinary grounds</t>
  </si>
  <si>
    <t>For animal welfare, the event veterinarian and officials have the authority to remove any animal they deem unfit to compete safely.</t>
  </si>
  <si>
    <t>In a "skills-at-arms" event, a rider must first cut a lemon and then spear a peg. The rider misses the lemon but gets a Full Peg. How is this scored?</t>
  </si>
  <si>
    <t>A) A score of zero for the whole run, B) A score of 6 for the peg, C) A score of 3 (half points), D) The run is replayed</t>
  </si>
  <si>
    <t>B) A score of 6 for the peg</t>
  </si>
  <si>
    <t>In this event, each target is scored independently. The rider gets zero for the lemon and 6 points for the peg.</t>
  </si>
  <si>
    <t>A rider successfully lifts the peg, but it is impaled sideways on the lance, not pierced through the middle. Is the score still valid?</t>
  </si>
  <si>
    <t>A) No, it must be pierced cleanly, B) Yes, a Full Peg is awarded, C) It is downgraded to a Drawn Peg (2 points), D) A warning is issued for poor technique</t>
  </si>
  <si>
    <t>B) A Full Peg is awarded</t>
  </si>
  <si>
    <t>The method of attachment to the lance does not matter. If the peg is lifted from the ground and carried across the finish line, it is a full score.</t>
  </si>
  <si>
    <t>Why must the ground surface of the track be level and firm?</t>
  </si>
  <si>
    <t>A) To make the horses run faster, B) To provide a safe and consistent surface, preventing horses from stumbling, C) To make it easier to place the pegs, D) It is a traditional look</t>
  </si>
  <si>
    <t>B) To provide a safe and consistent surface, preventing horses from stumbling</t>
  </si>
  <si>
    <t>A safe and fair track must be predictable and free of holes or soft spots to ensure the safety of all participants.</t>
  </si>
  <si>
    <t>A rider's horse completes the run perfectly, but the rider drops their lance just after saluting the judge at the end. What is the ruling?</t>
  </si>
  <si>
    <t>A) The score is cancelled, B) The run is valid, C) A 2-point penalty is applied, D) The rider is disqualified from the next run</t>
  </si>
  <si>
    <t>B) The run is valid</t>
  </si>
  <si>
    <t>The run is officially complete after the salute. Dropping the lance after this point does not affect the score already earned.</t>
  </si>
  <si>
    <t>In a tie-breaker, two riders both get a Full Peg. What might be the next deciding factor?</t>
  </si>
  <si>
    <t>A) The rider with the faster time for the run, B) The rider with the better-looking horse, C) A coin toss, D) They are declared joint winners</t>
  </si>
  <si>
    <t>A) The rider with the faster time for the run</t>
  </si>
  <si>
    <t>If both riders are tied on points, the winner is often the one who completed their successful run in the faster time.</t>
  </si>
  <si>
    <t>A rider's horse is seen wearing blinkers. What is the purpose of this piece of equipment?</t>
  </si>
  <si>
    <t>A) To protect the horse's eyes from dust, B) To restrict the horse's field of vision and keep it focused on the track ahead, C) They are a decorative element, D) They help the horse to see better in bright sun</t>
  </si>
  <si>
    <t>B) To restrict the horse's field of vision and keep it focused on the track ahead</t>
  </si>
  <si>
    <t>Blinkers prevent the horse from being distracted by movement to its side or rear, ensuring it runs a straight and true path to the target.</t>
  </si>
  <si>
    <t>A rider successfully cuts a lemon, but the sword also hits the string holding it. What is the ruling?</t>
  </si>
  <si>
    <t>A) The score is valid, B) The score is nullified, C) A penalty is deducted, D) The rider gets a re-run</t>
  </si>
  <si>
    <t>A) The score is valid</t>
  </si>
  <si>
    <t>As long as the target itself is cleanly cut, accidentally hitting the string or stand does not usually invalidate the score.</t>
  </si>
  <si>
    <t>What is the penalty for a team that is not wearing a matching, approved uniform in a team event?</t>
  </si>
  <si>
    <t>A) A point deduction, B) A fine, C) They are not permitted to start the run, D) A verbal warning</t>
  </si>
  <si>
    <t>C) They are not permitted to start the run</t>
  </si>
  <si>
    <t>In formal competitions, a matching uniform (livery) is a requirement for participation in team events.</t>
  </si>
  <si>
    <t>Why is it important for the tip of the lance to be metal?</t>
  </si>
  <si>
    <t>A) It looks more impressive, B) It is needed to effectively penetrate and lift the wooden peg without the lance itself breaking, C) It adds weight to the lance for better balance, D) It is a traditional requirement</t>
  </si>
  <si>
    <t>B) It is needed to effectively penetrate and lift the wooden peg without the lance itself breaking</t>
  </si>
  <si>
    <t>A metal tip is essential for the lance to be able to pierce and lift the target from the ground.</t>
  </si>
  <si>
    <t>What does it mean for a rider to have "soft hands"?</t>
  </si>
  <si>
    <t>A) They have weak hands and a poor grip, B) They are able to guide the horse with very light and gentle rein cues, C) They wear very soft gloves, D) They are a beginner rider</t>
  </si>
  <si>
    <t>B) They are able to guide the horse with very light and gentle rein cues</t>
  </si>
  <si>
    <t>"Soft hands" is a term of high praise in the equestrian world, signifying an expert horseman who communicates through subtle signals rather than harsh force.</t>
  </si>
  <si>
    <t>A rider protests that the sun was directly in their eyes, causing them to miss. What will the officials rule?</t>
  </si>
  <si>
    <t>A) They will be granted a re-run, B) The protest will be dismissed as environmental conditions are part of the sport, C) The competition will be paused until the sun moves, D) They will be awarded partial points for the difficulty</t>
  </si>
  <si>
    <t>B) The protest will be dismissed as environmental conditions are part of the sport</t>
  </si>
  <si>
    <t>All riders compete under the same natural conditions. Factors like sun glare, wind, or rain are considered part of the challenge.</t>
  </si>
  <si>
    <t>What is the main reason a rider must hold the lance near its base, not in the middle?</t>
  </si>
  <si>
    <t>A) It is a formal rule, B) It provides the maximum possible reach and leverage for the strike, C) It is easier to balance that way, D) It protects the rider's hand from impact</t>
  </si>
  <si>
    <t>B) It provides the maximum possible reach and leverage for the strike</t>
  </si>
  <si>
    <t>Holding the lance at its end allows for the longest and most stable extension of the arm, which is critical for accuracy and for reaching the ground target.</t>
  </si>
  <si>
    <t>What is the primary difference between Tent Pegging and Polo?</t>
  </si>
  <si>
    <t>A) Polo is a team sport, B) Polo is played with a ball and mallet, while Tent Pegging uses a lance/sword and stationary targets, C) Polo is a faster game, D) Tent Pegging requires more skill from the rider</t>
  </si>
  <si>
    <t>B) Polo is played with a ball and mallet, while Tent Pegging uses a lance/sword and stationary targets</t>
  </si>
  <si>
    <t>They are fundamentally different equestrian sports; one is a team ball game focused on scoring in a goal, and the other is a target sport focused on precision.</t>
  </si>
  <si>
    <t>A rider's run is declared void because their horse's protective leg bandages came undone. Why is this a rule?</t>
  </si>
  <si>
    <t>A) It is a distraction for the rider, B) A loose bandage can trip the horse, posing a major safety risk, C) It looks unprofessional and messy, D) It can interfere with the electronic timing equipment</t>
  </si>
  <si>
    <t>B) A loose bandage can trip the horse, posing a major safety risk</t>
  </si>
  <si>
    <t>Rules regarding the secure fitting of all horse tack and equipment are strictly enforced to prevent catastrophic accidents.</t>
  </si>
  <si>
    <t>What is the main reason that Tent Pegging is considered a "heritage sport" in Pakistan?</t>
  </si>
  <si>
    <t>A) It is an old and outdated sport that is no longer popular, B) It is a living tradition that preserves ancient equestrian and military skills, C) It is only practiced by people over the age of 60, D) It is a UNESCO World Heritage activity</t>
  </si>
  <si>
    <t>B) It is a living tradition that preserves ancient equestrian and military skills</t>
  </si>
  <si>
    <t>It is valued not just as a competition, but as a direct link to the region's historical and cultural identity, particularly its cavalry legacy.</t>
  </si>
  <si>
    <t>A rider's horse is seen wearing blinkers. What is their purpose?</t>
  </si>
  <si>
    <t>Blinkers are a piece of tack that prevent the horse from being distracted by movement to its side or rear, ensuring it runs a straight and true path to the target.</t>
  </si>
  <si>
    <t>A rider successfully cuts a lemon, but the sword also hits the string it was hanging from. What is the ruling?</t>
  </si>
  <si>
    <t>A) The score is valid, B) The score is nullified for hitting the apparatus, C) A penalty is deducted, D) The rider gets a re-run</t>
  </si>
  <si>
    <t>Why is a deep, secure seat essential for the rider?</t>
  </si>
  <si>
    <t>A) It looks more elegant, B) It allows the rider to absorb the horse's motion and provide a stable platform for the lance strike, C) It helps the horse to run faster, D) It is required by the uniform code</t>
  </si>
  <si>
    <t>B) It allows the rider to absorb the horse's motion and provide a stable platform for the lance strike</t>
  </si>
  <si>
    <t>A rider who is bouncing or insecure in the saddle cannot possibly aim a 2.5-meter lance with the precision needed to hit a tiny target.</t>
  </si>
  <si>
    <t>A rider is disqualified for having a lance that is too light. Why is there a minimum weight rule?</t>
  </si>
  <si>
    <t>A) A light lance is more likely to break, B) To ensure fairness and prevent riders from gaining an advantage in speed and aim, C) It is a traditional rule with no practical purpose, D) To make the sport more challenging</t>
  </si>
  <si>
    <t>B) To ensure fairness and prevent riders from gaining an advantage in speed and aim</t>
  </si>
  <si>
    <t>A very light lance would be much easier to aim and accelerate, so a standard minimum weight is required for a fair contest.</t>
  </si>
  <si>
    <t>What is the role of the "starter" official at a Tent Pegging event?</t>
  </si>
  <si>
    <t>A) To inspect the horses, B) To give the official signal for each rider to begin their run, C) To keep the score, D) To be the head judge</t>
  </si>
  <si>
    <t>B) To give the official signal for each rider to begin their run</t>
  </si>
  <si>
    <t>The starter is responsible for ensuring each run begins fairly and at the correct time, often by dropping a flag or blowing a whistle.</t>
  </si>
  <si>
    <t>Which of these is a key part of a horse's diet for building muscle for Tent Pegging?</t>
  </si>
  <si>
    <t>A) Sugar cubes and apples, B) High-quality protein sources like alfalfa and specific grains, C) Only fresh grass, D) Mostly fruits and vegetables</t>
  </si>
  <si>
    <t>B) High-quality protein sources like alfalfa and specific grains</t>
  </si>
  <si>
    <t>An athletic horse requires a balanced diet rich in protein for muscle development and energy-rich grains for performance.</t>
  </si>
  <si>
    <t>A rider is wearing very loose, traditional clothing. Why might a referee ask them to change in a formal competition?</t>
  </si>
  <si>
    <t>A) The clothing is not the right color, B) Loose clothing can be a safety hazard by getting caught on the lance or saddle, C) It is disrespectful to the sport, D) It gives an unfair aerodynamic advantage</t>
  </si>
  <si>
    <t>B) Loose clothing can be a safety hazard by getting caught on the lance or saddle</t>
  </si>
  <si>
    <t>For safety, fitted equestrian gear is required to prevent accidents.</t>
  </si>
  <si>
    <t>What is the ultimate sign of a perfect "Full Peg"?</t>
  </si>
  <si>
    <t>A) The peg is carried for a very long distance, B) The peg is lifted from the ground with no visible disturbance to the soil, C) The rider does it at the fastest possible speed, D) The rider celebrates wildly</t>
  </si>
  <si>
    <t>B) The peg is lifted from the ground with no visible disturbance to the soil</t>
  </si>
  <si>
    <t>This indicates a perfectly aimed and executed strike, a mark of a true master of the sport.</t>
  </si>
  <si>
    <t>What is the penalty for a team with non-matching uniforms in a team event?</t>
  </si>
  <si>
    <t>A) A point deduction, B) Disqualification, C) They are not allowed to start, D) A verbal warning is issued</t>
  </si>
  <si>
    <t>C) They are not allowed to start</t>
  </si>
  <si>
    <t>In team events, riders must have matching attire for a professional appearance before they can compete.</t>
  </si>
  <si>
    <t>During a Buzkashi match, the carcass falls near the boundary line. What happens if it crosses the boundary?</t>
  </si>
  <si>
    <t>A) Play continues with the carcass, B) The carcass is reset to the starting point, C) The opposing team gets possession, D) The referee pauses the match</t>
  </si>
  <si>
    <t>B) The carcass is reset to the starting point</t>
  </si>
  <si>
    <t>When the carcass crosses the boundary, it is reset to maintain fairness in gameplay.</t>
  </si>
  <si>
    <t>A rider accidentally drops the carcass while evading opponents and regains possession moments later. What ruling applies?</t>
  </si>
  <si>
    <t>A) The carcass must be reset to the starting point, B) Play continues as long as no foul occurred, C) The opposing team automatically gains possession, D) The rider is penalized for losing possession</t>
  </si>
  <si>
    <t>B) Play continues as long as no foul occurred</t>
  </si>
  <si>
    <t>Possession changes only under specific circumstances, such as fouls or boundary violations.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</si>
</sst>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center" wrapText="0"/>
    </xf>
    <xf borderId="0" fillId="0" fontId="1" numFmtId="0" xfId="0" applyAlignment="1" applyFont="1">
      <alignment horizontal="right" shrinkToFit="0" vertical="bottom" wrapText="0"/>
    </xf>
    <xf borderId="0" fillId="0" fontId="1" numFmtId="0" xfId="0" applyAlignment="1" applyFont="1">
      <alignment shrinkToFit="0" vertical="bottom" wrapText="0"/>
    </xf>
    <xf borderId="0" fillId="0" fontId="2" numFmtId="0" xfId="0" applyAlignment="1" applyFont="1">
      <alignment shrinkToFit="0" vertical="center" wrapText="0"/>
    </xf>
    <xf quotePrefix="1" borderId="0" fillId="0" fontId="1" numFmtId="0" xfId="0" applyAlignment="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tableStyle count="4" pivot="0" name="Malakhra-style">
      <tableStyleElement dxfId="1" type="headerRow"/>
      <tableStyleElement dxfId="2" type="firstRowStripe"/>
      <tableStyleElement dxfId="3" type="secondRowStripe"/>
      <tableStyleElement dxfId="4" size="0" type="wholeTable"/>
    </tableStyle>
    <tableStyle count="4" pivot="0" name="Malakhra-style 2">
      <tableStyleElement dxfId="1" type="headerRow"/>
      <tableStyleElement dxfId="2" type="firstRowStripe"/>
      <tableStyleElement dxfId="3" type="secondRowStripe"/>
      <tableStyleElement dxfId="4" size="0" type="wholeTable"/>
    </tableStyle>
    <tableStyle count="4" pivot="0" name="Chaturanga-style">
      <tableStyleElement dxfId="1" type="headerRow"/>
      <tableStyleElement dxfId="2" type="firstRowStripe"/>
      <tableStyleElement dxfId="3" type="secondRowStripe"/>
      <tableStyleElement dxfId="4" size="0" type="wholeTable"/>
    </tableStyle>
    <tableStyle count="4" pivot="0" name="Chaturanga-style 2">
      <tableStyleElement dxfId="1" type="headerRow"/>
      <tableStyleElement dxfId="2" type="firstRowStripe"/>
      <tableStyleElement dxfId="3" type="secondRowStripe"/>
      <tableStyleElement dxfId="4" size="0" type="wholeTable"/>
    </tableStyle>
    <tableStyle count="4" pivot="0" name="Buzkashi-style">
      <tableStyleElement dxfId="1" type="headerRow"/>
      <tableStyleElement dxfId="2" type="firstRowStripe"/>
      <tableStyleElement dxfId="3" type="secondRowStripe"/>
      <tableStyleElement dxfId="4" size="0" type="wholeTable"/>
    </tableStyle>
    <tableStyle count="4" pivot="0" name="Buzkashi-style 2">
      <tableStyleElement dxfId="1" type="headerRow"/>
      <tableStyleElement dxfId="2" type="firstRowStripe"/>
      <tableStyleElement dxfId="3" type="secondRowStripe"/>
      <tableStyleElement dxfId="4" size="0" type="wholeTable"/>
    </tableStyle>
    <tableStyle count="4" pivot="0" name="Gatka-style">
      <tableStyleElement dxfId="1" type="headerRow"/>
      <tableStyleElement dxfId="2" type="firstRowStripe"/>
      <tableStyleElement dxfId="3" type="secondRowStripe"/>
      <tableStyleElement dxfId="4" size="0" type="wholeTable"/>
    </tableStyle>
    <tableStyle count="4" pivot="0" name="Gatka-style 2">
      <tableStyleElement dxfId="1" type="headerRow"/>
      <tableStyleElement dxfId="2" type="firstRowStripe"/>
      <tableStyleElement dxfId="3" type="secondRowStripe"/>
      <tableStyleElement dxfId="4" size="0" type="wholeTable"/>
    </tableStyle>
    <tableStyle count="4" pivot="0" name="Gilli Danda-style">
      <tableStyleElement dxfId="1" type="headerRow"/>
      <tableStyleElement dxfId="2" type="firstRowStripe"/>
      <tableStyleElement dxfId="3" type="secondRowStripe"/>
      <tableStyleElement dxfId="4" size="0" type="wholeTable"/>
    </tableStyle>
    <tableStyle count="4" pivot="0" name="Gilli Danda-style 2">
      <tableStyleElement dxfId="1" type="headerRow"/>
      <tableStyleElement dxfId="2" type="firstRowStripe"/>
      <tableStyleElement dxfId="3" type="secondRowStripe"/>
      <tableStyleElement dxfId="4" size="0" type="wholeTable"/>
    </tableStyle>
    <tableStyle count="4" pivot="0" name="Tent Pegging-style">
      <tableStyleElement dxfId="1" type="headerRow"/>
      <tableStyleElement dxfId="2" type="firstRowStripe"/>
      <tableStyleElement dxfId="3" type="secondRowStripe"/>
      <tableStyleElement dxfId="4" size="0" type="wholeTable"/>
    </tableStyle>
    <tableStyle count="4" pivot="0" name="Tent Pegging-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51" displayName="Table2" name="Table2" id="1">
  <tableColumns count="5">
    <tableColumn name="Question No." id="1"/>
    <tableColumn name="Question" id="2"/>
    <tableColumn name="Options" id="3"/>
    <tableColumn name="Answer" id="4"/>
    <tableColumn name="Description" id="5"/>
  </tableColumns>
  <tableStyleInfo name="Malakhra-style" showColumnStripes="0" showFirstColumn="1" showLastColumn="1" showRowStripes="1"/>
</table>
</file>

<file path=xl/tables/table2.xml><?xml version="1.0" encoding="utf-8"?>
<table xmlns="http://schemas.openxmlformats.org/spreadsheetml/2006/main" ref="K1:O151" displayName="Table1" name="Table1" id="2">
  <tableColumns count="5">
    <tableColumn name="سوال نمبر" id="1"/>
    <tableColumn name="سوال" id="2"/>
    <tableColumn name="اختیارات" id="3"/>
    <tableColumn name="جواب دیں۔" id="4"/>
    <tableColumn name="تفصیل" id="5"/>
  </tableColumns>
  <tableStyleInfo name="Malakhra-style 2" showColumnStripes="0" showFirstColumn="1" showLastColumn="1" showRowStripes="1"/>
</table>
</file>

<file path=xl/tables/table3.xml><?xml version="1.0" encoding="utf-8"?>
<table xmlns="http://schemas.openxmlformats.org/spreadsheetml/2006/main" ref="A1:E151" displayName="Table12" name="Table12" id="3">
  <tableColumns count="5">
    <tableColumn name="Question No." id="1"/>
    <tableColumn name="Question" id="2"/>
    <tableColumn name="Options" id="3"/>
    <tableColumn name="Answer" id="4"/>
    <tableColumn name="Description" id="5"/>
  </tableColumns>
  <tableStyleInfo name="Chaturanga-style" showColumnStripes="0" showFirstColumn="1" showLastColumn="1" showRowStripes="1"/>
</table>
</file>

<file path=xl/tables/table4.xml><?xml version="1.0" encoding="utf-8"?>
<table xmlns="http://schemas.openxmlformats.org/spreadsheetml/2006/main" ref="J1:N151" displayName="Table11" name="Table11" id="4">
  <tableColumns count="5">
    <tableColumn name="سوال نمبر" id="1"/>
    <tableColumn name="سوال" id="2"/>
    <tableColumn name="اختیارات" id="3"/>
    <tableColumn name="جواب دیں۔" id="4"/>
    <tableColumn name="تفصیل" id="5"/>
  </tableColumns>
  <tableStyleInfo name="Chaturanga-style 2" showColumnStripes="0" showFirstColumn="1" showLastColumn="1" showRowStripes="1"/>
</table>
</file>

<file path=xl/tables/table5.xml><?xml version="1.0" encoding="utf-8"?>
<table xmlns="http://schemas.openxmlformats.org/spreadsheetml/2006/main" ref="A1:E151" displayName="Table3" name="Table3" id="5">
  <tableColumns count="5">
    <tableColumn name="Question No." id="1"/>
    <tableColumn name="Question" id="2"/>
    <tableColumn name="Options" id="3"/>
    <tableColumn name="Answer" id="4"/>
    <tableColumn name="Description" id="5"/>
  </tableColumns>
  <tableStyleInfo name="Buzkashi-style" showColumnStripes="0" showFirstColumn="1" showLastColumn="1" showRowStripes="1"/>
</table>
</file>

<file path=xl/tables/table6.xml><?xml version="1.0" encoding="utf-8"?>
<table xmlns="http://schemas.openxmlformats.org/spreadsheetml/2006/main" ref="J1:N151" displayName="Table4" name="Table4" id="6">
  <tableColumns count="5">
    <tableColumn name="سوال نمبر" id="1"/>
    <tableColumn name="سوال" id="2"/>
    <tableColumn name="اختیارات" id="3"/>
    <tableColumn name="جواب دیں۔" id="4"/>
    <tableColumn name="تفصیل" id="5"/>
  </tableColumns>
  <tableStyleInfo name="Buzkashi-style 2" showColumnStripes="0" showFirstColumn="1" showLastColumn="1" showRowStripes="1"/>
</table>
</file>

<file path=xl/tables/table7.xml><?xml version="1.0" encoding="utf-8"?>
<table xmlns="http://schemas.openxmlformats.org/spreadsheetml/2006/main" ref="A1:E151" displayName="Table6" name="Table6" id="7">
  <tableColumns count="5">
    <tableColumn name="Question No." id="1"/>
    <tableColumn name="Question" id="2"/>
    <tableColumn name="Options" id="3"/>
    <tableColumn name="Answer" id="4"/>
    <tableColumn name="Description" id="5"/>
  </tableColumns>
  <tableStyleInfo name="Gatka-style" showColumnStripes="0" showFirstColumn="1" showLastColumn="1" showRowStripes="1"/>
</table>
</file>

<file path=xl/tables/table8.xml><?xml version="1.0" encoding="utf-8"?>
<table xmlns="http://schemas.openxmlformats.org/spreadsheetml/2006/main" ref="J1:N151" displayName="Table5" name="Table5" id="8">
  <tableColumns count="5">
    <tableColumn name="نہیں" id="1"/>
    <tableColumn name="سوال" id="2"/>
    <tableColumn name="اختیارات" id="3"/>
    <tableColumn name="جواب دیں۔" id="4"/>
    <tableColumn name="تفصیل" id="5"/>
  </tableColumns>
  <tableStyleInfo name="Gatka-style 2" showColumnStripes="0" showFirstColumn="1" showLastColumn="1" showRowStripes="1"/>
</table>
</file>

<file path=xl/tables/table9.xml><?xml version="1.0" encoding="utf-8"?>
<table xmlns="http://schemas.openxmlformats.org/spreadsheetml/2006/main" ref="A1:E151" displayName="Table8" name="Table8" id="9">
  <tableColumns count="5">
    <tableColumn name="Question No." id="1"/>
    <tableColumn name="Question" id="2"/>
    <tableColumn name="Options" id="3"/>
    <tableColumn name="Answer" id="4"/>
    <tableColumn name="Description" id="5"/>
  </tableColumns>
  <tableStyleInfo name="Gilli Danda-style" showColumnStripes="0" showFirstColumn="1" showLastColumn="1" showRowStripes="1"/>
</table>
</file>

<file path=xl/tables/table10.xml><?xml version="1.0" encoding="utf-8"?>
<table xmlns="http://schemas.openxmlformats.org/spreadsheetml/2006/main" ref="J1:N151" displayName="Table7" name="Table7" id="10">
  <tableColumns count="5">
    <tableColumn name="سوال نمبر" id="1"/>
    <tableColumn name="سوال" id="2"/>
    <tableColumn name="اختیارات" id="3"/>
    <tableColumn name="جواب دیں۔" id="4"/>
    <tableColumn name="تفصیل" id="5"/>
  </tableColumns>
  <tableStyleInfo name="Gilli Danda-style 2" showColumnStripes="0" showFirstColumn="1" showLastColumn="1" showRowStripes="1"/>
</table>
</file>

<file path=xl/tables/table11.xml><?xml version="1.0" encoding="utf-8"?>
<table xmlns="http://schemas.openxmlformats.org/spreadsheetml/2006/main" ref="A1:E151" displayName="Table10" name="Table10" id="11">
  <tableColumns count="5">
    <tableColumn name="Question No." id="1"/>
    <tableColumn name="Question" id="2"/>
    <tableColumn name="Options" id="3"/>
    <tableColumn name="Answer" id="4"/>
    <tableColumn name="Description" id="5"/>
  </tableColumns>
  <tableStyleInfo name="Tent Pegging-style" showColumnStripes="0" showFirstColumn="1" showLastColumn="1" showRowStripes="1"/>
</table>
</file>

<file path=xl/tables/table12.xml><?xml version="1.0" encoding="utf-8"?>
<table xmlns="http://schemas.openxmlformats.org/spreadsheetml/2006/main" ref="K1:O151" displayName="Table9" name="Table9" id="12">
  <tableColumns count="5">
    <tableColumn name="سوال نمبر" id="1"/>
    <tableColumn name="سوال" id="2"/>
    <tableColumn name="اختیارات" id="3"/>
    <tableColumn name="جواب دیں۔" id="4"/>
    <tableColumn name="تفصیل" id="5"/>
  </tableColumns>
  <tableStyleInfo name="Tent Pegging-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12" max="15" width="37.63"/>
  </cols>
  <sheetData>
    <row r="1">
      <c r="A1" s="1" t="s">
        <v>0</v>
      </c>
      <c r="B1" s="2" t="s">
        <v>1</v>
      </c>
      <c r="C1" s="2" t="s">
        <v>2</v>
      </c>
      <c r="D1" s="2" t="s">
        <v>3</v>
      </c>
      <c r="E1" s="2" t="s">
        <v>4</v>
      </c>
      <c r="K1" s="3" t="s">
        <v>5</v>
      </c>
      <c r="L1" s="3" t="s">
        <v>6</v>
      </c>
      <c r="M1" s="3" t="s">
        <v>7</v>
      </c>
      <c r="N1" s="3" t="s">
        <v>8</v>
      </c>
      <c r="O1" s="3" t="s">
        <v>9</v>
      </c>
    </row>
    <row r="2">
      <c r="A2" s="4">
        <v>1.0</v>
      </c>
      <c r="B2" s="5" t="s">
        <v>10</v>
      </c>
      <c r="C2" s="5" t="s">
        <v>11</v>
      </c>
      <c r="D2" s="5" t="s">
        <v>12</v>
      </c>
      <c r="E2" s="5" t="s">
        <v>13</v>
      </c>
      <c r="K2" s="6" t="str">
        <f>IFERROR(__xludf.DUMMYFUNCTION("GOOGLETRANSLATE(A2, ""en"", ""ur"")"),"1")</f>
        <v>1</v>
      </c>
      <c r="L2" s="6" t="str">
        <f>IFERROR(__xludf.DUMMYFUNCTION("GOOGLETRANSLATE(B2, ""en"", ""ur"")"),"سندھ میں ایک فائنل میچ میں، ریسلر A اپنی اعلی گرفت طاقت کا استعمال کرتے ہوئے ایک طاقتور تھرو کو انجام دیتا ہے، پہلوان B کی کمر کو زمین پر لگاتا ہے۔ ریفری کا فوری فیصلہ کیا ہے؟")</f>
        <v>سندھ میں ایک فائنل میچ میں، ریسلر A اپنی اعلی گرفت طاقت کا استعمال کرتے ہوئے ایک طاقتور تھرو کو انجام دیتا ہے، پہلوان B کی کمر کو زمین پر لگاتا ہے۔ ریفری کا فوری فیصلہ کیا ہے؟</v>
      </c>
      <c r="M2" s="6" t="str">
        <f>IFERROR(__xludf.DUMMYFUNCTION("GOOGLETRANSLATE(C2, ""en"", ""ur"")"),"A) ریسلر A کو 3 پوائنٹس دیں، B) ریسلر A کو پن فال سے فاتح قرار دیں، C) میچ دوبارہ شروع کریں، D) ریسلر B کو صحت یاب ہونے کا وقت دیں۔")</f>
        <v>A) ریسلر A کو 3 پوائنٹس دیں، B) ریسلر A کو پن فال سے فاتح قرار دیں، C) میچ دوبارہ شروع کریں، D) ریسلر B کو صحت یاب ہونے کا وقت دیں۔</v>
      </c>
      <c r="N2" s="6" t="str">
        <f>IFERROR(__xludf.DUMMYFUNCTION("GOOGLETRANSLATE(D2, ""en"", ""ur"")"),"ب) ریسلر A کو پنفال کے ذریعہ فاتح قرار دیں۔")</f>
        <v>ب) ریسلر A کو پنفال کے ذریعہ فاتح قرار دیں۔</v>
      </c>
      <c r="O2" s="6" t="str">
        <f>IFERROR(__xludf.DUMMYFUNCTION("GOOGLETRANSLATE(E2, ""en"", ""ur"")"),"ملاکھرا میں بنیادی مقصد اور حتمی فتح مخالف کی کمر کو زمین پر لگانا ہے، جس سے میچ فوری طور پر ختم ہو جاتا ہے۔")</f>
        <v>ملاکھرا میں بنیادی مقصد اور حتمی فتح مخالف کی کمر کو زمین پر لگانا ہے، جس سے میچ فوری طور پر ختم ہو جاتا ہے۔</v>
      </c>
    </row>
    <row r="3">
      <c r="A3" s="4">
        <v>2.0</v>
      </c>
      <c r="B3" s="5" t="s">
        <v>14</v>
      </c>
      <c r="C3" s="5" t="s">
        <v>15</v>
      </c>
      <c r="D3" s="5" t="s">
        <v>16</v>
      </c>
      <c r="E3" s="5" t="s">
        <v>17</v>
      </c>
      <c r="K3" s="6" t="str">
        <f>IFERROR(__xludf.DUMMYFUNCTION("GOOGLETRANSLATE(A3, ""en"", ""ur"")"),"2")</f>
        <v>2</v>
      </c>
      <c r="L3" s="6" t="str">
        <f>IFERROR(__xludf.DUMMYFUNCTION("GOOGLETRANSLATE(B3, ""en"", ""ur"")"),"ریسلر وائی، جو چستی کے لیے مشہور ہیں، کو ایک بہت بھاری حریف کا سامنا ہے۔ مخالف اسے توازن سے باہر نکالنے کے لیے طاقت کا استعمال کرنے کی کوشش کرتا ہے۔ Y کی سب سے زیادہ ممکنہ انسداد تکنیک کیا ہے؟")</f>
        <v>ریسلر وائی، جو چستی کے لیے مشہور ہیں، کو ایک بہت بھاری حریف کا سامنا ہے۔ مخالف اسے توازن سے باہر نکالنے کے لیے طاقت کا استعمال کرنے کی کوشش کرتا ہے۔ Y کی سب سے زیادہ ممکنہ انسداد تکنیک کیا ہے؟</v>
      </c>
      <c r="M3" s="6" t="str">
        <f>IFERROR(__xludf.DUMMYFUNCTION("GOOGLETRANSLATE(C3, ""en"", ""ur"")"),"A) ایک باڈی سلیم، B) ایک بازو کا تالا، C) ایک ٹانگ جھاڑنا یا ٹرپ، D) ایک ہیڈ بٹ")</f>
        <v>A) ایک باڈی سلیم، B) ایک بازو کا تالا، C) ایک ٹانگ جھاڑنا یا ٹرپ، D) ایک ہیڈ بٹ</v>
      </c>
      <c r="N3" s="6" t="str">
        <f>IFERROR(__xludf.DUMMYFUNCTION("GOOGLETRANSLATE(D3, ""en"", ""ur"")"),"سی) ایک ٹانگ جھاڑو یا سفر")</f>
        <v>سی) ایک ٹانگ جھاڑو یا سفر</v>
      </c>
      <c r="O3" s="6" t="str">
        <f>IFERROR(__xludf.DUMMYFUNCTION("GOOGLETRANSLATE(E3, ""en"", ""ur"")"),"چستی پر مبنی تکنیکیں جیسے جھاڑو اور ٹرپس ایک چھوٹے پہلوان کے لیے حریف کے وزن اور رفتار کو ان کے خلاف استعمال کرنے کے کلاسک طریقے ہیں۔")</f>
        <v>چستی پر مبنی تکنیکیں جیسے جھاڑو اور ٹرپس ایک چھوٹے پہلوان کے لیے حریف کے وزن اور رفتار کو ان کے خلاف استعمال کرنے کے کلاسک طریقے ہیں۔</v>
      </c>
    </row>
    <row r="4">
      <c r="A4" s="4">
        <v>3.0</v>
      </c>
      <c r="B4" s="5" t="s">
        <v>18</v>
      </c>
      <c r="C4" s="5" t="s">
        <v>19</v>
      </c>
      <c r="D4" s="5" t="s">
        <v>20</v>
      </c>
      <c r="E4" s="5" t="s">
        <v>21</v>
      </c>
      <c r="K4" s="6" t="str">
        <f>IFERROR(__xludf.DUMMYFUNCTION("GOOGLETRANSLATE(A4, ""en"", ""ur"")"),"3")</f>
        <v>3</v>
      </c>
      <c r="L4" s="6" t="str">
        <f>IFERROR(__xludf.DUMMYFUNCTION("GOOGLETRANSLATE(B4, ""en"", ""ur"")"),"دونوں پہلوان پھینکنے کی کوشش کے بغیر ایک منٹ سے زیادہ ایک گرفت میں بند ہیں۔ ہجوم بے چین ہو جاتا ہے۔ ریفری ممکنہ طور پر کیا کارروائی کرے گا؟")</f>
        <v>دونوں پہلوان پھینکنے کی کوشش کے بغیر ایک منٹ سے زیادہ ایک گرفت میں بند ہیں۔ ہجوم بے چین ہو جاتا ہے۔ ریفری ممکنہ طور پر کیا کارروائی کرے گا؟</v>
      </c>
      <c r="M4" s="6" t="str">
        <f>IFERROR(__xludf.DUMMYFUNCTION("GOOGLETRANSLATE(C4, ""en"", ""ur"")"),"A) میچ ڈرا میں ختم کریں، B) دونوں پہلوانوں کو اسٹال کرنے پر زبانی طور پر تنبیہ کریں، پھر اگر یہ جاری رہے تو جرمانہ کریں، C) انہیں غیر معینہ مدت تک جاری رکھنے کی اجازت دیں، D) دونوں پہلوانوں کو نااہل قرار دیں۔")</f>
        <v>A) میچ ڈرا میں ختم کریں، B) دونوں پہلوانوں کو اسٹال کرنے پر زبانی طور پر تنبیہ کریں، پھر اگر یہ جاری رہے تو جرمانہ کریں، C) انہیں غیر معینہ مدت تک جاری رکھنے کی اجازت دیں، D) دونوں پہلوانوں کو نااہل قرار دیں۔</v>
      </c>
      <c r="N4" s="6" t="str">
        <f>IFERROR(__xludf.DUMMYFUNCTION("GOOGLETRANSLATE(D4, ""en"", ""ur"")"),"ب) دونوں پہلوانوں کو سٹال کرنے پر زبانی طور پر تنبیہ کریں، پھر اگر یہ جاری رہے تو جرمانہ کریں۔")</f>
        <v>ب) دونوں پہلوانوں کو سٹال کرنے پر زبانی طور پر تنبیہ کریں، پھر اگر یہ جاری رہے تو جرمانہ کریں۔</v>
      </c>
      <c r="O4" s="6" t="str">
        <f>IFERROR(__xludf.DUMMYFUNCTION("GOOGLETRANSLATE(E4, ""en"", ""ur"")"),"ایک فعال اور دل چسپ مقابلے کو یقینی بنانے کے لیے، ریفری پہلے پہلوانوں کو تنبیہ کرکے اور پھر مخالف کو پوائنٹس دے کر غیر فعال ہونے پر جرمانہ عائد کرے گا۔")</f>
        <v>ایک فعال اور دل چسپ مقابلے کو یقینی بنانے کے لیے، ریفری پہلے پہلوانوں کو تنبیہ کرکے اور پھر مخالف کو پوائنٹس دے کر غیر فعال ہونے پر جرمانہ عائد کرے گا۔</v>
      </c>
    </row>
    <row r="5">
      <c r="A5" s="4">
        <v>4.0</v>
      </c>
      <c r="B5" s="5" t="s">
        <v>22</v>
      </c>
      <c r="C5" s="5" t="s">
        <v>23</v>
      </c>
      <c r="D5" s="5" t="s">
        <v>24</v>
      </c>
      <c r="E5" s="5" t="s">
        <v>25</v>
      </c>
      <c r="K5" s="6" t="str">
        <f>IFERROR(__xludf.DUMMYFUNCTION("GOOGLETRANSLATE(A5, ""en"", ""ur"")"),"4")</f>
        <v>4</v>
      </c>
      <c r="L5" s="6" t="str">
        <f>IFERROR(__xludf.DUMMYFUNCTION("GOOGLETRANSLATE(B5, ""en"", ""ur"")"),"ہنگامہ آرائی کے دوران، پہلوان اے کا پاؤں مکمل طور پر اکھاڑہ کی حدود سے باہر نکلتا ہے۔ اس کا کیا حکم ہے؟")</f>
        <v>ہنگامہ آرائی کے دوران، پہلوان اے کا پاؤں مکمل طور پر اکھاڑہ کی حدود سے باہر نکلتا ہے۔ اس کا کیا حکم ہے؟</v>
      </c>
      <c r="M5" s="6" t="str">
        <f>IFERROR(__xludf.DUMMYFUNCTION("GOOGLETRANSLATE(C5, ""en"", ""ur"")"),"A) میچ روک کر دوبارہ شروع کیا جاتا ہے، B) ریسلر B کو A پوائنٹ دیا جاتا ہے، C) ریسلر A کو وارننگ دی جاتی ہے، D) کوئی جرمانہ نہیں ہوتا")</f>
        <v>A) میچ روک کر دوبارہ شروع کیا جاتا ہے، B) ریسلر B کو A پوائنٹ دیا جاتا ہے، C) ریسلر A کو وارننگ دی جاتی ہے، D) کوئی جرمانہ نہیں ہوتا</v>
      </c>
      <c r="N5" s="6" t="str">
        <f>IFERROR(__xludf.DUMMYFUNCTION("GOOGLETRANSLATE(D5, ""en"", ""ur"")"),"B) ریسلر B کو ایک پوائنٹ دیا جاتا ہے۔")</f>
        <v>B) ریسلر B کو ایک پوائنٹ دیا جاتا ہے۔</v>
      </c>
      <c r="O5" s="6" t="str">
        <f>IFERROR(__xludf.DUMMYFUNCTION("GOOGLETRANSLATE(E5, ""en"", ""ur"")"),"نامزد ریسلنگ دائرے سے باہر نکلنا ایک فاؤل ہے ​​جس کے نتیجے میں مخالف کو پوائنٹ دیا جاتا ہے۔")</f>
        <v>نامزد ریسلنگ دائرے سے باہر نکلنا ایک فاؤل ہے ​​جس کے نتیجے میں مخالف کو پوائنٹ دیا جاتا ہے۔</v>
      </c>
    </row>
    <row r="6">
      <c r="A6" s="4">
        <v>5.0</v>
      </c>
      <c r="B6" s="5" t="s">
        <v>26</v>
      </c>
      <c r="C6" s="5" t="s">
        <v>27</v>
      </c>
      <c r="D6" s="5" t="s">
        <v>28</v>
      </c>
      <c r="E6" s="5" t="s">
        <v>29</v>
      </c>
      <c r="K6" s="6" t="str">
        <f>IFERROR(__xludf.DUMMYFUNCTION("GOOGLETRANSLATE(A6, ""en"", ""ur"")"),"5")</f>
        <v>5</v>
      </c>
      <c r="L6" s="6" t="str">
        <f>IFERROR(__xludf.DUMMYFUNCTION("GOOGLETRANSLATE(B6, ""en"", ""ur"")"),"ایک پہلوان نے میچ سے پہلے اپنے جسم پر تیل لگایا ہوا پایا گیا ہے۔ فوری نااہلی کی یہ بنیاد کیوں ہے؟")</f>
        <v>ایک پہلوان نے میچ سے پہلے اپنے جسم پر تیل لگایا ہوا پایا گیا ہے۔ فوری نااہلی کی یہ بنیاد کیوں ہے؟</v>
      </c>
      <c r="M6" s="6" t="str">
        <f>IFERROR(__xludf.DUMMYFUNCTION("GOOGLETRANSLATE(C6, ""en"", ""ur"")"),"A) انہیں پکڑنا ناممکن بنا کر اسے غیر منصفانہ فائدہ سمجھا جاتا ہے، B) یہ کھیل کے مذہبی رسوم کے خلاف ہے، C) یہ مخالف کی پٹی کو نقصان پہنچا سکتا ہے، D) یہ غیر صحت بخش ہے۔")</f>
        <v>A) انہیں پکڑنا ناممکن بنا کر اسے غیر منصفانہ فائدہ سمجھا جاتا ہے، B) یہ کھیل کے مذہبی رسوم کے خلاف ہے، C) یہ مخالف کی پٹی کو نقصان پہنچا سکتا ہے، D) یہ غیر صحت بخش ہے۔</v>
      </c>
      <c r="N6" s="6" t="str">
        <f>IFERROR(__xludf.DUMMYFUNCTION("GOOGLETRANSLATE(D6, ""en"", ""ur"")"),"A) انہیں گرفت میں لانا ناممکن بنا کر ایک غیر منصفانہ فائدہ سمجھا جاتا ہے۔")</f>
        <v>A) انہیں گرفت میں لانا ناممکن بنا کر ایک غیر منصفانہ فائدہ سمجھا جاتا ہے۔</v>
      </c>
      <c r="O6" s="6" t="str">
        <f>IFERROR(__xludf.DUMMYFUNCTION("GOOGLETRANSLATE(E6, ""en"", ""ur"")"),"کسی بھی پھسلنے والے مادے کو استعمال کرنا تمام فنون لطیفہ میں دھوکہ دہی کی ایک بڑی شکل ہے اور اس کے نتیجے میں فوری طور پر نااہلی ہو جاتی ہے۔")</f>
        <v>کسی بھی پھسلنے والے مادے کو استعمال کرنا تمام فنون لطیفہ میں دھوکہ دہی کی ایک بڑی شکل ہے اور اس کے نتیجے میں فوری طور پر نااہلی ہو جاتی ہے۔</v>
      </c>
    </row>
    <row r="7">
      <c r="A7" s="4">
        <v>6.0</v>
      </c>
      <c r="B7" s="5" t="s">
        <v>30</v>
      </c>
      <c r="C7" s="5" t="s">
        <v>31</v>
      </c>
      <c r="D7" s="5" t="s">
        <v>32</v>
      </c>
      <c r="E7" s="5" t="s">
        <v>33</v>
      </c>
      <c r="K7" s="6" t="str">
        <f>IFERROR(__xludf.DUMMYFUNCTION("GOOGLETRANSLATE(A7, ""en"", ""ur"")"),"6")</f>
        <v>6</v>
      </c>
      <c r="L7" s="6" t="str">
        <f>IFERROR(__xludf.DUMMYFUNCTION("GOOGLETRANSLATE(B7, ""en"", ""ur"")"),"ایک پہلوان کو زمین پر پھینک دیا جاتا ہے، لیکن وہ اپنی پیٹھ پر نہیں بلکہ اپنے سینے اور پیٹ پر اترنے میں کامیاب ہوتے ہیں۔ میچ کی کیا حیثیت ہے؟")</f>
        <v>ایک پہلوان کو زمین پر پھینک دیا جاتا ہے، لیکن وہ اپنی پیٹھ پر نہیں بلکہ اپنے سینے اور پیٹ پر اترنے میں کامیاب ہوتے ہیں۔ میچ کی کیا حیثیت ہے؟</v>
      </c>
      <c r="M7" s="6" t="str">
        <f>IFERROR(__xludf.DUMMYFUNCTION("GOOGLETRANSLATE(C7, ""en"", ""ur"")"),"الف")</f>
        <v>الف</v>
      </c>
      <c r="N7" s="6" t="str">
        <f>IFERROR(__xludf.DUMMYFUNCTION("GOOGLETRANSLATE(D7, ""en"", ""ur"")"),"ب) پھینکنے والے کو ٹیک ڈاؤن کے لیے پوائنٹس دیے جاتے ہیں، لیکن میچ جاری رہتا ہے۔")</f>
        <v>ب) پھینکنے والے کو ٹیک ڈاؤن کے لیے پوائنٹس دیے جاتے ہیں، لیکن میچ جاری رہتا ہے۔</v>
      </c>
      <c r="O7" s="6" t="str">
        <f>IFERROR(__xludf.DUMMYFUNCTION("GOOGLETRANSLATE(E7, ""en"", ""ur"")"),"ایک کامیاب ٹیک ڈاؤن کے لیے پوائنٹس دیے جاتے ہیں، لیکن میچ اس وقت تک ختم نہیں ہوتا جب تک کہ پن (واپس زمین پر) حاصل نہ ہو جائے۔")</f>
        <v>ایک کامیاب ٹیک ڈاؤن کے لیے پوائنٹس دیے جاتے ہیں، لیکن میچ اس وقت تک ختم نہیں ہوتا جب تک کہ پن (واپس زمین پر) حاصل نہ ہو جائے۔</v>
      </c>
    </row>
    <row r="8">
      <c r="A8" s="4">
        <v>7.0</v>
      </c>
      <c r="B8" s="5" t="s">
        <v>34</v>
      </c>
      <c r="C8" s="5" t="s">
        <v>35</v>
      </c>
      <c r="D8" s="5" t="s">
        <v>36</v>
      </c>
      <c r="E8" s="5" t="s">
        <v>37</v>
      </c>
      <c r="K8" s="6" t="str">
        <f>IFERROR(__xludf.DUMMYFUNCTION("GOOGLETRANSLATE(A8, ""en"", ""ur"")"),"7")</f>
        <v>7</v>
      </c>
      <c r="L8" s="6" t="str">
        <f>IFERROR(__xludf.DUMMYFUNCTION("GOOGLETRANSLATE(B8, ""en"", ""ur"")"),"ریسلر A طاقتور ہپ تھرو کی کوشش کرتا ہے، لیکن ریسلر B اپنا وزن کم کرکے اور مرکز ثقل کو کم کرکے مقابلہ کرتا ہے۔ ممکنہ نتیجہ کیا ہے؟")</f>
        <v>ریسلر A طاقتور ہپ تھرو کی کوشش کرتا ہے، لیکن ریسلر B اپنا وزن کم کرکے اور مرکز ثقل کو کم کرکے مقابلہ کرتا ہے۔ ممکنہ نتیجہ کیا ہے؟</v>
      </c>
      <c r="M8" s="6" t="str">
        <f>IFERROR(__xludf.DUMMYFUNCTION("GOOGLETRANSLATE(C8, ""en"", ""ur"")"),"A) ریسلر A نے تھرو مکمل کیا، B) ریسلر B نے تھرو کا کامیابی سے دفاع کیا، C) دونوں پہلوان گر گئے، D) ریفری نے میچ روک دیا۔")</f>
        <v>A) ریسلر A نے تھرو مکمل کیا، B) ریسلر B نے تھرو کا کامیابی سے دفاع کیا، C) دونوں پہلوان گر گئے، D) ریفری نے میچ روک دیا۔</v>
      </c>
      <c r="N8" s="6" t="str">
        <f>IFERROR(__xludf.DUMMYFUNCTION("GOOGLETRANSLATE(D8, ""en"", ""ur"")"),"ب) پہلوان بی نے تھرو کا کامیابی سے دفاع کیا۔")</f>
        <v>ب) پہلوان بی نے تھرو کا کامیابی سے دفاع کیا۔</v>
      </c>
      <c r="O8" s="6" t="str">
        <f>IFERROR(__xludf.DUMMYFUNCTION("GOOGLETRANSLATE(E8, ""en"", ""ur"")"),"کشش ثقل کے مرکز کو کم کرنا ریسلنگ میں ایک بنیادی دفاعی اصول ہے تاکہ اسے اٹھانے اور پھینکنے سے روکا جا سکے۔")</f>
        <v>کشش ثقل کے مرکز کو کم کرنا ریسلنگ میں ایک بنیادی دفاعی اصول ہے تاکہ اسے اٹھانے اور پھینکنے سے روکا جا سکے۔</v>
      </c>
    </row>
    <row r="9">
      <c r="A9" s="4">
        <v>8.0</v>
      </c>
      <c r="B9" s="5" t="s">
        <v>38</v>
      </c>
      <c r="C9" s="5" t="s">
        <v>39</v>
      </c>
      <c r="D9" s="5" t="s">
        <v>40</v>
      </c>
      <c r="E9" s="5" t="s">
        <v>41</v>
      </c>
      <c r="K9" s="6" t="str">
        <f>IFERROR(__xludf.DUMMYFUNCTION("GOOGLETRANSLATE(A9, ""en"", ""ur"")"),"8")</f>
        <v>8</v>
      </c>
      <c r="L9" s="6" t="str">
        <f>IFERROR(__xludf.DUMMYFUNCTION("GOOGLETRANSLATE(B9, ""en"", ""ur"")"),"ایک تبادلے کے دوران، پہلوان اے کی بیلٹ (سندرو) کھل جاتی ہے۔ صحیح طریقہ کار کیا ہے؟")</f>
        <v>ایک تبادلے کے دوران، پہلوان اے کی بیلٹ (سندرو) کھل جاتی ہے۔ صحیح طریقہ کار کیا ہے؟</v>
      </c>
      <c r="M9" s="6" t="str">
        <f>IFERROR(__xludf.DUMMYFUNCTION("GOOGLETRANSLATE(C9, ""en"", ""ur"")"),"A) میچ جاری ہے، B) ریفری نے بیلٹ کو ریٹائی کرنے کی اجازت دینے کے لیے فوری طور پر میچ روک دیا، C) ریسلر A کو نااہل قرار دے دیا گیا، D) ریسلر A ایک پوائنٹ کھو دیتا ہے۔")</f>
        <v>A) میچ جاری ہے، B) ریفری نے بیلٹ کو ریٹائی کرنے کی اجازت دینے کے لیے فوری طور پر میچ روک دیا، C) ریسلر A کو نااہل قرار دے دیا گیا، D) ریسلر A ایک پوائنٹ کھو دیتا ہے۔</v>
      </c>
      <c r="N9" s="6" t="str">
        <f>IFERROR(__xludf.DUMMYFUNCTION("GOOGLETRANSLATE(D9, ""en"", ""ur"")"),"ب) ریفری بیلٹ کو ریٹائی کرنے کی اجازت دینے کے لیے فوری طور پر میچ روک دیتا ہے۔")</f>
        <v>ب) ریفری بیلٹ کو ریٹائی کرنے کی اجازت دینے کے لیے فوری طور پر میچ روک دیتا ہے۔</v>
      </c>
      <c r="O9" s="6" t="str">
        <f>IFERROR(__xludf.DUMMYFUNCTION("GOOGLETRANSLATE(E9, ""en"", ""ur"")"),"بیلٹ ضروری سامان ہے۔ حفاظت اور انصاف کے لیے، ریفری کو مناسب طریقے سے محفوظ کرنے کے لیے کارروائی کو روکنا چاہیے۔")</f>
        <v>بیلٹ ضروری سامان ہے۔ حفاظت اور انصاف کے لیے، ریفری کو مناسب طریقے سے محفوظ کرنے کے لیے کارروائی کو روکنا چاہیے۔</v>
      </c>
    </row>
    <row r="10">
      <c r="A10" s="4">
        <v>9.0</v>
      </c>
      <c r="B10" s="5" t="s">
        <v>42</v>
      </c>
      <c r="C10" s="5" t="s">
        <v>43</v>
      </c>
      <c r="D10" s="5" t="s">
        <v>44</v>
      </c>
      <c r="E10" s="5" t="s">
        <v>45</v>
      </c>
      <c r="K10" s="6" t="str">
        <f>IFERROR(__xludf.DUMMYFUNCTION("GOOGLETRANSLATE(A10, ""en"", ""ur"")"),"9")</f>
        <v>9</v>
      </c>
      <c r="L10" s="6" t="str">
        <f>IFERROR(__xludf.DUMMYFUNCTION("GOOGLETRANSLATE(B10, ""en"", ""ur"")"),"ایک پہلوان کو ریفری نے غیر قانونی گرفت کے لیے تنبیہ کی ہے۔ انہوں نے کیا کیا ہوگا؟")</f>
        <v>ایک پہلوان کو ریفری نے غیر قانونی گرفت کے لیے تنبیہ کی ہے۔ انہوں نے کیا کیا ہوگا؟</v>
      </c>
      <c r="M10" s="6" t="str">
        <f>IFERROR(__xludf.DUMMYFUNCTION("GOOGLETRANSLATE(C10, ""en"", ""ur"")"),"A) بیلٹ کو بہت مضبوطی سے پکڑا، B) بیلٹ کے بجائے مخالف کی شارٹس یا لنگوٹی کو پکڑا، C) بیلٹ پر دونوں ہاتھوں کا استعمال کیا، D) گرفت کو زیادہ دیر تک پکڑے رکھا")</f>
        <v>A) بیلٹ کو بہت مضبوطی سے پکڑا، B) بیلٹ کے بجائے مخالف کی شارٹس یا لنگوٹی کو پکڑا، C) بیلٹ پر دونوں ہاتھوں کا استعمال کیا، D) گرفت کو زیادہ دیر تک پکڑے رکھا</v>
      </c>
      <c r="N10" s="6" t="str">
        <f>IFERROR(__xludf.DUMMYFUNCTION("GOOGLETRANSLATE(D10, ""en"", ""ur"")"),"ب) بیلٹ کے بجائے مخالف کی شارٹس یا لنگوٹی کو پکڑنا")</f>
        <v>ب) بیلٹ کے بجائے مخالف کی شارٹس یا لنگوٹی کو پکڑنا</v>
      </c>
      <c r="O10" s="6" t="str">
        <f>IFERROR(__xludf.DUMMYFUNCTION("GOOGLETRANSLATE(E10, ""en"", ""ur"")"),"تمام گرفت سیندھرو پر ہی ہونی چاہیے۔ حریف کے لباس کے کسی دوسرے حصے کو پکڑنا فُل ہے۔")</f>
        <v>تمام گرفت سیندھرو پر ہی ہونی چاہیے۔ حریف کے لباس کے کسی دوسرے حصے کو پکڑنا فُل ہے۔</v>
      </c>
    </row>
    <row r="11">
      <c r="A11" s="4">
        <v>10.0</v>
      </c>
      <c r="B11" s="5" t="s">
        <v>46</v>
      </c>
      <c r="C11" s="5" t="s">
        <v>47</v>
      </c>
      <c r="D11" s="5" t="s">
        <v>48</v>
      </c>
      <c r="E11" s="5" t="s">
        <v>49</v>
      </c>
      <c r="K11" s="6" t="str">
        <f>IFERROR(__xludf.DUMMYFUNCTION("GOOGLETRANSLATE(A11, ""en"", ""ur"")"),"10")</f>
        <v>10</v>
      </c>
      <c r="L11" s="6" t="str">
        <f>IFERROR(__xludf.DUMMYFUNCTION("GOOGLETRANSLATE(B11, ""en"", ""ur"")"),"ریفری اپنا ہاتھ اٹھا کر چلاتا ہے ""مالہ!"" ایک پھینکنے کے بعد. اس سے کیا مراد ہے؟")</f>
        <v>ریفری اپنا ہاتھ اٹھا کر چلاتا ہے "مالہ!" ایک پھینکنے کے بعد. اس سے کیا مراد ہے؟</v>
      </c>
      <c r="M11" s="6" t="str">
        <f>IFERROR(__xludf.DUMMYFUNCTION("GOOGLETRANSLATE(C11, ""en"", ""ur"")"),"A) ایک غلط کام کیا گیا ہے، B) ایک پوائنٹ اسکور کیا گیا ہے، C) راؤنڈ ختم ہو گیا ہے، D) ایک فیصلہ کن پن حاصل کیا گیا ہے، اور میچ ختم ہو گیا ہے")</f>
        <v>A) ایک غلط کام کیا گیا ہے، B) ایک پوائنٹ اسکور کیا گیا ہے، C) راؤنڈ ختم ہو گیا ہے، D) ایک فیصلہ کن پن حاصل کیا گیا ہے، اور میچ ختم ہو گیا ہے</v>
      </c>
      <c r="N11" s="6" t="str">
        <f>IFERROR(__xludf.DUMMYFUNCTION("GOOGLETRANSLATE(D11, ""en"", ""ur"")"),"D) ایک فیصلہ کن پن حاصل ہو گیا ہے، اور میچ ختم ہو گیا ہے۔")</f>
        <v>D) ایک فیصلہ کن پن حاصل ہو گیا ہے، اور میچ ختم ہو گیا ہے۔</v>
      </c>
      <c r="O11" s="6" t="str">
        <f>IFERROR(__xludf.DUMMYFUNCTION("GOOGLETRANSLATE(E11, ""en"", ""ur"")"),"""مالہ!"" ایک پن فال کا اعلان کرنے کے لئے ریفری کا رونا ہے، اکثر چٹائی کو تھپڑ مارنے کے ساتھ، جس سے مقابلہ ختم ہو جاتا ہے۔")</f>
        <v>"مالہ!" ایک پن فال کا اعلان کرنے کے لئے ریفری کا رونا ہے، اکثر چٹائی کو تھپڑ مارنے کے ساتھ، جس سے مقابلہ ختم ہو جاتا ہے۔</v>
      </c>
    </row>
    <row r="12">
      <c r="A12" s="4">
        <v>11.0</v>
      </c>
      <c r="B12" s="5" t="s">
        <v>50</v>
      </c>
      <c r="C12" s="5" t="s">
        <v>51</v>
      </c>
      <c r="D12" s="5" t="s">
        <v>52</v>
      </c>
      <c r="E12" s="5" t="s">
        <v>53</v>
      </c>
      <c r="K12" s="6" t="str">
        <f>IFERROR(__xludf.DUMMYFUNCTION("GOOGLETRANSLATE(A12, ""en"", ""ur"")"),"11")</f>
        <v>11</v>
      </c>
      <c r="L12" s="6" t="str">
        <f>IFERROR(__xludf.DUMMYFUNCTION("GOOGLETRANSLATE(B12, ""en"", ""ur"")"),"میچ سے پہلے دونوں پہلوان اپنی رانوں اور سینے پر تھپڑ مارنے کی رسم ادا کرتے ہیں۔ اس ڈسپلے کا مقصد کیا ہے؟")</f>
        <v>میچ سے پہلے دونوں پہلوان اپنی رانوں اور سینے پر تھپڑ مارنے کی رسم ادا کرتے ہیں۔ اس ڈسپلے کا مقصد کیا ہے؟</v>
      </c>
      <c r="M12" s="6" t="str">
        <f>IFERROR(__xludf.DUMMYFUNCTION("GOOGLETRANSLATE(C12, ""en"", ""ur"")"),"A) یہ ایک ضروری مذہبی تقریب ہے، B) یہ پٹھوں کو گرمانے کا ایک طریقہ ہے اور طاقت اور تیاری کا روایتی مظاہرہ ہے، C) یہ مخالف کے بارے میں شکایت کرنے کا ایک طریقہ ہے، D) یہ موسیقاروں کے لیے ایک اشارہ ہے۔")</f>
        <v>A) یہ ایک ضروری مذہبی تقریب ہے، B) یہ پٹھوں کو گرمانے کا ایک طریقہ ہے اور طاقت اور تیاری کا روایتی مظاہرہ ہے، C) یہ مخالف کے بارے میں شکایت کرنے کا ایک طریقہ ہے، D) یہ موسیقاروں کے لیے ایک اشارہ ہے۔</v>
      </c>
      <c r="N12" s="6" t="str">
        <f>IFERROR(__xludf.DUMMYFUNCTION("GOOGLETRANSLATE(D12, ""en"", ""ur"")"),"ب) یہ پٹھوں کو گرم کرنے کا ایک طریقہ اور طاقت اور تیاری کا روایتی مظاہرہ ہے۔")</f>
        <v>ب) یہ پٹھوں کو گرم کرنے کا ایک طریقہ اور طاقت اور تیاری کا روایتی مظاہرہ ہے۔</v>
      </c>
      <c r="O12" s="6" t="str">
        <f>IFERROR(__xludf.DUMMYFUNCTION("GOOGLETRANSLATE(E12, ""en"", ""ur"")"),"یہ میچ شروع ہونے سے پہلے پہلوان کی طاقت اور اعتماد کا روایتی مظاہرہ ہے۔")</f>
        <v>یہ میچ شروع ہونے سے پہلے پہلوان کی طاقت اور اعتماد کا روایتی مظاہرہ ہے۔</v>
      </c>
    </row>
    <row r="13">
      <c r="A13" s="4">
        <v>12.0</v>
      </c>
      <c r="B13" s="5" t="s">
        <v>54</v>
      </c>
      <c r="C13" s="5" t="s">
        <v>55</v>
      </c>
      <c r="D13" s="5" t="s">
        <v>56</v>
      </c>
      <c r="E13" s="5" t="s">
        <v>57</v>
      </c>
      <c r="K13" s="6" t="str">
        <f>IFERROR(__xludf.DUMMYFUNCTION("GOOGLETRANSLATE(A13, ""en"", ""ur"")"),"12")</f>
        <v>12</v>
      </c>
      <c r="L13" s="6" t="str">
        <f>IFERROR(__xludf.DUMMYFUNCTION("GOOGLETRANSLATE(B13, ""en"", ""ur"")"),"نوجوانوں کے مقابلے میں، ایک پہلوان اپنے وزن کی کلاس کی حد سے 12 کلو زیادہ وزنی پایا جاتا ہے۔ اس کا کیا حکم ہے؟")</f>
        <v>نوجوانوں کے مقابلے میں، ایک پہلوان اپنے وزن کی کلاس کی حد سے 12 کلو زیادہ وزنی پایا جاتا ہے۔ اس کا کیا حکم ہے؟</v>
      </c>
      <c r="M13" s="6" t="str">
        <f>IFERROR(__xludf.DUMMYFUNCTION("GOOGLETRANSLATE(C13, ""en"", ""ur"")"),"A) انہیں معذوری کے ساتھ مقابلہ کرنے کی اجازت ہے، B) وہ اس وزن والے طبقے سے نااہل قرار دیئے گئے ہیں، C) انہیں اگلی زیادہ وزن والے طبقے میں منتقل کر دیا گیا ہے، D) وزن کے فرق کو نظر انداز کر دیا گیا ہے۔")</f>
        <v>A) انہیں معذوری کے ساتھ مقابلہ کرنے کی اجازت ہے، B) وہ اس وزن والے طبقے سے نااہل قرار دیئے گئے ہیں، C) انہیں اگلی زیادہ وزن والے طبقے میں منتقل کر دیا گیا ہے، D) وزن کے فرق کو نظر انداز کر دیا گیا ہے۔</v>
      </c>
      <c r="N13" s="6" t="str">
        <f>IFERROR(__xludf.DUMMYFUNCTION("GOOGLETRANSLATE(D13, ""en"", ""ur"")"),"ب) وہ اس وزنی طبقے سے نااہل ہیں۔")</f>
        <v>ب) وہ اس وزنی طبقے سے نااہل ہیں۔</v>
      </c>
      <c r="O13" s="6" t="str">
        <f>IFERROR(__xludf.DUMMYFUNCTION("GOOGLETRANSLATE(E13, ""en"", ""ur"")"),"منصفانہ اور محفوظ مقابلے کو یقینی بنانے کے لیے وزن کی کلاسز کو سختی سے نافذ کیا جاتا ہے۔ ایک لڑاکا کو متفقہ وزن بنانا چاہیے۔")</f>
        <v>منصفانہ اور محفوظ مقابلے کو یقینی بنانے کے لیے وزن کی کلاسز کو سختی سے نافذ کیا جاتا ہے۔ ایک لڑاکا کو متفقہ وزن بنانا چاہیے۔</v>
      </c>
    </row>
    <row r="14">
      <c r="A14" s="4">
        <v>13.0</v>
      </c>
      <c r="B14" s="5" t="s">
        <v>58</v>
      </c>
      <c r="C14" s="5" t="s">
        <v>59</v>
      </c>
      <c r="D14" s="5" t="s">
        <v>60</v>
      </c>
      <c r="E14" s="5" t="s">
        <v>61</v>
      </c>
      <c r="K14" s="6" t="str">
        <f>IFERROR(__xludf.DUMMYFUNCTION("GOOGLETRANSLATE(A14, ""en"", ""ur"")"),"13")</f>
        <v>13</v>
      </c>
      <c r="L14" s="6" t="str">
        <f>IFERROR(__xludf.DUMMYFUNCTION("GOOGLETRANSLATE(B14, ""en"", ""ur"")"),"پہلوان اے پہلوان بی کے چہرے کو دور کرنے کے لیے اپنا آزاد ہاتھ (جو بیلٹ نہیں پکڑتا) استعمال کرنے کی کوشش کرتا ہے۔ ریفری کی کال کیا ہے؟")</f>
        <v>پہلوان اے پہلوان بی کے چہرے کو دور کرنے کے لیے اپنا آزاد ہاتھ (جو بیلٹ نہیں پکڑتا) استعمال کرنے کی کوشش کرتا ہے۔ ریفری کی کال کیا ہے؟</v>
      </c>
      <c r="M14" s="6" t="str">
        <f>IFERROR(__xludf.DUMMYFUNCTION("GOOGLETRANSLATE(C14, ""en"", ""ur"")"),"A) یہ ایک قانونی دفاعی اقدام ہے، B) چہرے پر غیر قانونی ہاتھ کرنے کے لیے غلط، C) وارننگ جاری کی جاتی ہے، D) میچ جاری ہے")</f>
        <v>A) یہ ایک قانونی دفاعی اقدام ہے، B) چہرے پر غیر قانونی ہاتھ کرنے کے لیے غلط، C) وارننگ جاری کی جاتی ہے، D) میچ جاری ہے</v>
      </c>
      <c r="N14" s="6" t="str">
        <f>IFERROR(__xludf.DUMMYFUNCTION("GOOGLETRANSLATE(D14, ""en"", ""ur"")"),"ب) چہرے پر غیر قانونی ہاتھ کرنے کے لیے ایک فاؤل")</f>
        <v>ب) چہرے پر غیر قانونی ہاتھ کرنے کے لیے ایک فاؤل</v>
      </c>
      <c r="O14" s="6" t="str">
        <f>IFERROR(__xludf.DUMMYFUNCTION("GOOGLETRANSLATE(E14, ""en"", ""ur"")"),"فری ہینڈ کو حریف کے چہرے پر ضرب لگانے یا دھکیلنے کے لیے استعمال نہیں کیا جا سکتا۔ یہ حفاظت اور اسپورٹس مینشپ دونوں وجوہات کی بناء پر غلط ہے۔")</f>
        <v>فری ہینڈ کو حریف کے چہرے پر ضرب لگانے یا دھکیلنے کے لیے استعمال نہیں کیا جا سکتا۔ یہ حفاظت اور اسپورٹس مینشپ دونوں وجوہات کی بناء پر غلط ہے۔</v>
      </c>
    </row>
    <row r="15">
      <c r="A15" s="4">
        <v>14.0</v>
      </c>
      <c r="B15" s="5" t="s">
        <v>62</v>
      </c>
      <c r="C15" s="5" t="s">
        <v>63</v>
      </c>
      <c r="D15" s="5" t="s">
        <v>64</v>
      </c>
      <c r="E15" s="5" t="s">
        <v>65</v>
      </c>
      <c r="K15" s="6" t="str">
        <f>IFERROR(__xludf.DUMMYFUNCTION("GOOGLETRANSLATE(A15, ""en"", ""ur"")"),"14")</f>
        <v>14</v>
      </c>
      <c r="L15" s="6" t="str">
        <f>IFERROR(__xludf.DUMMYFUNCTION("GOOGLETRANSLATE(B15, ""en"", ""ur"")"),"اکھاڑہ میں نرم ریت یا زمین کا اصل مقصد کیا ہے؟")</f>
        <v>اکھاڑہ میں نرم ریت یا زمین کا اصل مقصد کیا ہے؟</v>
      </c>
      <c r="M15" s="6" t="str">
        <f>IFERROR(__xludf.DUMMYFUNCTION("GOOGLETRANSLATE(C15, ""en"", ""ur"")"),"A) یہ ایک روایت ہے جس کا کوئی عملی مقصد نہیں ہے، B) یہ چوٹ سے بچنے کے لیے پھینکے اور گرنے کے اثرات کو جذب کرنے کے لیے ہے، C) یہ پہلوانوں کو مضبوط بناتی ہے، D) یہ پہلوانوں کو اپنے پیروں سے بہتر گرفت حاصل کرنے میں مدد کرتی ہے۔")</f>
        <v>A) یہ ایک روایت ہے جس کا کوئی عملی مقصد نہیں ہے، B) یہ چوٹ سے بچنے کے لیے پھینکے اور گرنے کے اثرات کو جذب کرنے کے لیے ہے، C) یہ پہلوانوں کو مضبوط بناتی ہے، D) یہ پہلوانوں کو اپنے پیروں سے بہتر گرفت حاصل کرنے میں مدد کرتی ہے۔</v>
      </c>
      <c r="N15" s="6" t="str">
        <f>IFERROR(__xludf.DUMMYFUNCTION("GOOGLETRANSLATE(D15, ""en"", ""ur"")"),"ب) یہ چوٹ کو روکنے کے لیے پھینکنے اور گرنے کے اثرات کو جذب کرنے کے لیے ہے۔")</f>
        <v>ب) یہ چوٹ کو روکنے کے لیے پھینکنے اور گرنے کے اثرات کو جذب کرنے کے لیے ہے۔</v>
      </c>
      <c r="O15" s="6" t="str">
        <f>IFERROR(__xludf.DUMMYFUNCTION("GOOGLETRANSLATE(E15, ""en"", ""ur"")"),"نرم سطح کھیل میں حفاظتی سامان کا سب سے اہم حصہ ہے۔")</f>
        <v>نرم سطح کھیل میں حفاظتی سامان کا سب سے اہم حصہ ہے۔</v>
      </c>
    </row>
    <row r="16">
      <c r="A16" s="4">
        <v>15.0</v>
      </c>
      <c r="B16" s="5" t="s">
        <v>66</v>
      </c>
      <c r="C16" s="5" t="s">
        <v>67</v>
      </c>
      <c r="D16" s="5" t="s">
        <v>68</v>
      </c>
      <c r="E16" s="5" t="s">
        <v>69</v>
      </c>
      <c r="K16" s="6" t="str">
        <f>IFERROR(__xludf.DUMMYFUNCTION("GOOGLETRANSLATE(A16, ""en"", ""ur"")"),"15")</f>
        <v>15</v>
      </c>
      <c r="L16" s="6" t="str">
        <f>IFERROR(__xludf.DUMMYFUNCTION("GOOGLETRANSLATE(B16, ""en"", ""ur"")"),"سندھ میں گاؤں کے میلے کے دوران ایک میچ ڈرا قرار دیا جاتا ہے۔ اس سے کیا مراد ہے؟")</f>
        <v>سندھ میں گاؤں کے میلے کے دوران ایک میچ ڈرا قرار دیا جاتا ہے۔ اس سے کیا مراد ہے؟</v>
      </c>
      <c r="M16" s="6" t="str">
        <f>IFERROR(__xludf.DUMMYFUNCTION("GOOGLETRANSLATE(C16, ""en"", ""ur"")"),"A) دونوں پہلوان غیر ہنر مند تھے، B) یہ ایک اعزازی نتیجہ ہے، جس سے ظاہر ہوتا ہے کہ دونوں پہلوان یکساں طاقت اور ہمت کے حامل تھے، C) یہ ہجوم کے لیے مایوس کن نتیجہ ہے، D) پہلوانوں کو بعد میں دوبارہ لڑنا ہوگا۔")</f>
        <v>A) دونوں پہلوان غیر ہنر مند تھے، B) یہ ایک اعزازی نتیجہ ہے، جس سے ظاہر ہوتا ہے کہ دونوں پہلوان یکساں طاقت اور ہمت کے حامل تھے، C) یہ ہجوم کے لیے مایوس کن نتیجہ ہے، D) پہلوانوں کو بعد میں دوبارہ لڑنا ہوگا۔</v>
      </c>
      <c r="N16" s="6" t="str">
        <f>IFERROR(__xludf.DUMMYFUNCTION("GOOGLETRANSLATE(D16, ""en"", ""ur"")"),"ب) یہ ایک اعزازی نتیجہ ہے، جس سے ظاہر ہوتا ہے کہ دونوں پہلوان یکساں طاقت اور ہمت کے حامل تھے۔")</f>
        <v>ب) یہ ایک اعزازی نتیجہ ہے، جس سے ظاہر ہوتا ہے کہ دونوں پہلوان یکساں طاقت اور ہمت کے حامل تھے۔</v>
      </c>
      <c r="O16" s="6" t="str">
        <f>IFERROR(__xludf.DUMMYFUNCTION("GOOGLETRANSLATE(E16, ""en"", ""ur"")"),"روایتی ترتیبات میں، قرعہ اندازی ایک قابل احترام نتیجہ ہے جو دونوں پہلوانوں کو اپنی عزت برقرار رکھنے کی اجازت دیتا ہے۔")</f>
        <v>روایتی ترتیبات میں، قرعہ اندازی ایک قابل احترام نتیجہ ہے جو دونوں پہلوانوں کو اپنی عزت برقرار رکھنے کی اجازت دیتا ہے۔</v>
      </c>
    </row>
    <row r="17">
      <c r="A17" s="4">
        <v>16.0</v>
      </c>
      <c r="B17" s="5" t="s">
        <v>70</v>
      </c>
      <c r="C17" s="5" t="s">
        <v>71</v>
      </c>
      <c r="D17" s="5" t="s">
        <v>72</v>
      </c>
      <c r="E17" s="5" t="s">
        <v>73</v>
      </c>
      <c r="K17" s="6" t="str">
        <f>IFERROR(__xludf.DUMMYFUNCTION("GOOGLETRANSLATE(A17, ""en"", ""ur"")"),"16")</f>
        <v>16</v>
      </c>
      <c r="L17" s="6" t="str">
        <f>IFERROR(__xludf.DUMMYFUNCTION("GOOGLETRANSLATE(B17, ""en"", ""ur"")"),"ایک پہلوان کو ""استاد"" کہا جاتا ہے۔ ملاخرہ برادری میں ان کا کیا کردار ہے؟")</f>
        <v>ایک پہلوان کو "استاد" کہا جاتا ہے۔ ملاخرہ برادری میں ان کا کیا کردار ہے؟</v>
      </c>
      <c r="M17" s="6" t="str">
        <f>IFERROR(__xludf.DUMMYFUNCTION("GOOGLETRANSLATE(C17, ""en"", ""ur"")"),"A) وہ سب سے امیر کفیل ہیں، B) وہ ایک قابل احترام ماسٹر اور کوچ ہیں جو فن سکھاتے ہیں، C) وہ ریفری ہیں، D) وہ ریٹائرڈ چیمپئن ہیں")</f>
        <v>A) وہ سب سے امیر کفیل ہیں، B) وہ ایک قابل احترام ماسٹر اور کوچ ہیں جو فن سکھاتے ہیں، C) وہ ریفری ہیں، D) وہ ریٹائرڈ چیمپئن ہیں</v>
      </c>
      <c r="N17" s="6" t="str">
        <f>IFERROR(__xludf.DUMMYFUNCTION("GOOGLETRANSLATE(D17, ""en"", ""ur"")"),"ب) وہ ایک قابل احترام ماسٹر اور کوچ ہیں جو فن سکھاتے ہیں۔")</f>
        <v>ب) وہ ایک قابل احترام ماسٹر اور کوچ ہیں جو فن سکھاتے ہیں۔</v>
      </c>
      <c r="O17" s="6" t="str">
        <f>IFERROR(__xludf.DUMMYFUNCTION("GOOGLETRANSLATE(E17, ""en"", ""ur"")"),"ایک استاد ایک سینئر استاد ہوتا ہے جو ملاخرہ کی تکنیک اور فلسفہ اپنے طلباء (شاگردوں) تک پہنچانے کا ذمہ دار ہوتا ہے۔")</f>
        <v>ایک استاد ایک سینئر استاد ہوتا ہے جو ملاخرہ کی تکنیک اور فلسفہ اپنے طلباء (شاگردوں) تک پہنچانے کا ذمہ دار ہوتا ہے۔</v>
      </c>
    </row>
    <row r="18">
      <c r="A18" s="4">
        <v>17.0</v>
      </c>
      <c r="B18" s="5" t="s">
        <v>74</v>
      </c>
      <c r="C18" s="5" t="s">
        <v>75</v>
      </c>
      <c r="D18" s="5" t="s">
        <v>76</v>
      </c>
      <c r="E18" s="5" t="s">
        <v>77</v>
      </c>
      <c r="K18" s="6" t="str">
        <f>IFERROR(__xludf.DUMMYFUNCTION("GOOGLETRANSLATE(A18, ""en"", ""ur"")"),"17")</f>
        <v>17</v>
      </c>
      <c r="L18" s="6" t="str">
        <f>IFERROR(__xludf.DUMMYFUNCTION("GOOGLETRANSLATE(B18, ""en"", ""ur"")"),"ریسلر اے پہلوان بی کو پھینکتا ہے، جس کی پیٹھ زمین سے ٹکراتی ہے۔ تاہم، ریسلر اے بھی گر جاتا ہے اور کنٹرول برقرار نہیں رکھتا ہے۔ اس کا کیا حکم ہے؟")</f>
        <v>ریسلر اے پہلوان بی کو پھینکتا ہے، جس کی پیٹھ زمین سے ٹکراتی ہے۔ تاہم، ریسلر اے بھی گر جاتا ہے اور کنٹرول برقرار نہیں رکھتا ہے۔ اس کا کیا حکم ہے؟</v>
      </c>
      <c r="M18" s="6" t="str">
        <f>IFERROR(__xludf.DUMMYFUNCTION("GOOGLETRANSLATE(C18, ""en"", ""ur"")"),"A) ریسلر A پنفال سے جیتتا ہے، B) کوئی پن نہیں دیا جاتا ہے۔ میچ دوبارہ ترتیب دیا گیا ہے، C) ریسلر B پوائنٹ جیتتا ہے، D) راؤنڈ دوبارہ کھیلا جاتا ہے۔")</f>
        <v>A) ریسلر A پنفال سے جیتتا ہے، B) کوئی پن نہیں دیا جاتا ہے۔ میچ دوبارہ ترتیب دیا گیا ہے، C) ریسلر B پوائنٹ جیتتا ہے، D) راؤنڈ دوبارہ کھیلا جاتا ہے۔</v>
      </c>
      <c r="N18" s="6" t="str">
        <f>IFERROR(__xludf.DUMMYFUNCTION("GOOGLETRANSLATE(D18, ""en"", ""ur"")"),"ب) کوئی پن نہیں دیا جاتا ہے۔ میچ دوبارہ ترتیب دیا گیا ہے")</f>
        <v>ب) کوئی پن نہیں دیا جاتا ہے۔ میچ دوبارہ ترتیب دیا گیا ہے</v>
      </c>
      <c r="O18" s="6" t="str">
        <f>IFERROR(__xludf.DUMMYFUNCTION("GOOGLETRANSLATE(E18, ""en"", ""ur"")"),"جیتنے کے لیے، پھینکنے والے کو اپنے پیروں پر کھڑے رہ کر یا غالب پوزیشن کو برقرار رکھتے ہوئے مکمل کنٹرول کا مظاہرہ کرنا چاہیے۔ باہمی زوال پن کی نفی کرتا ہے۔")</f>
        <v>جیتنے کے لیے، پھینکنے والے کو اپنے پیروں پر کھڑے رہ کر یا غالب پوزیشن کو برقرار رکھتے ہوئے مکمل کنٹرول کا مظاہرہ کرنا چاہیے۔ باہمی زوال پن کی نفی کرتا ہے۔</v>
      </c>
    </row>
    <row r="19">
      <c r="A19" s="4">
        <v>18.0</v>
      </c>
      <c r="B19" s="5" t="s">
        <v>78</v>
      </c>
      <c r="C19" s="5" t="s">
        <v>79</v>
      </c>
      <c r="D19" s="5" t="s">
        <v>80</v>
      </c>
      <c r="E19" s="5" t="s">
        <v>81</v>
      </c>
      <c r="K19" s="6" t="str">
        <f>IFERROR(__xludf.DUMMYFUNCTION("GOOGLETRANSLATE(A19, ""en"", ""ur"")"),"18")</f>
        <v>18</v>
      </c>
      <c r="L19" s="6" t="str">
        <f>IFERROR(__xludf.DUMMYFUNCTION("GOOGLETRANSLATE(B19, ""en"", ""ur"")"),"ایک پہلوان کو اپنے مخالف کا گلا گھونٹنے کے لیے بیلٹ کا استعمال کرنے پر سزا دی جاتی ہے۔ کیا یہ صحیح کال ہے؟")</f>
        <v>ایک پہلوان کو اپنے مخالف کا گلا گھونٹنے کے لیے بیلٹ کا استعمال کرنے پر سزا دی جاتی ہے۔ کیا یہ صحیح کال ہے؟</v>
      </c>
      <c r="M19" s="6" t="str">
        <f>IFERROR(__xludf.DUMMYFUNCTION("GOOGLETRANSLATE(C19, ""en"", ""ur"")"),"A) نہیں، بیلٹ کا کوئی بھی استعمال قانونی ہے، B) جی ہاں، بیلٹ صرف پکڑنے کے لیے ہے، گلا دبانے یا گلا گھونٹنے کے لیے نہیں، C) صرف اس صورت میں جب مخالف تھپتھپا دے، D) یہ قانونی ہے لیکن اس پر جھکاؤ")</f>
        <v>A) نہیں، بیلٹ کا کوئی بھی استعمال قانونی ہے، B) جی ہاں، بیلٹ صرف پکڑنے کے لیے ہے، گلا دبانے یا گلا گھونٹنے کے لیے نہیں، C) صرف اس صورت میں جب مخالف تھپتھپا دے، D) یہ قانونی ہے لیکن اس پر جھکاؤ</v>
      </c>
      <c r="N19" s="6" t="str">
        <f>IFERROR(__xludf.DUMMYFUNCTION("GOOGLETRANSLATE(D19, ""en"", ""ur"")"),"ب) جی ہاں، بیلٹ صرف پکڑنے کے لیے ہے، دم گھٹنے یا گلا گھونٹنے کے لیے نہیں۔")</f>
        <v>ب) جی ہاں، بیلٹ صرف پکڑنے کے لیے ہے، دم گھٹنے یا گلا گھونٹنے کے لیے نہیں۔</v>
      </c>
      <c r="O19" s="6" t="str">
        <f>IFERROR(__xludf.DUMMYFUNCTION("GOOGLETRANSLATE(E19, ""en"", ""ur"")"),"مخالف کا گلا گھونٹنے کے لیے سیندھرو کا استعمال کرنا ایک خطرناک اور غیر قانونی فاؤل ہے ​​جس پر فوری طور پر جرمانہ عائد کیا جائے گا۔")</f>
        <v>مخالف کا گلا گھونٹنے کے لیے سیندھرو کا استعمال کرنا ایک خطرناک اور غیر قانونی فاؤل ہے ​​جس پر فوری طور پر جرمانہ عائد کیا جائے گا۔</v>
      </c>
    </row>
    <row r="20">
      <c r="A20" s="4">
        <v>19.0</v>
      </c>
      <c r="B20" s="5" t="s">
        <v>82</v>
      </c>
      <c r="C20" s="5" t="s">
        <v>83</v>
      </c>
      <c r="D20" s="5" t="s">
        <v>84</v>
      </c>
      <c r="E20" s="5" t="s">
        <v>85</v>
      </c>
      <c r="K20" s="6" t="str">
        <f>IFERROR(__xludf.DUMMYFUNCTION("GOOGLETRANSLATE(A20, ""en"", ""ur"")"),"19")</f>
        <v>19</v>
      </c>
      <c r="L20" s="6" t="str">
        <f>IFERROR(__xludf.DUMMYFUNCTION("GOOGLETRANSLATE(B20, ""en"", ""ur"")"),"اولمپک فری اسٹائل ریسلنگ کے مقابلے ملاخرہ کے قوانین میں بنیادی فرق کیا ہے؟")</f>
        <v>اولمپک فری اسٹائل ریسلنگ کے مقابلے ملاخرہ کے قوانین میں بنیادی فرق کیا ہے؟</v>
      </c>
      <c r="M20" s="6" t="str">
        <f>IFERROR(__xludf.DUMMYFUNCTION("GOOGLETRANSLATE(C20, ""en"", ""ur"")"),"A) ملاکھڑا ایک سرکلر رنگ کا استعمال کرتا ہے، B) ملاکھرا میں وزن کی کلاسیں ہیں، C) مخالف کی پٹی پر لازمی اور مسلسل گرفت (سندھرو)، D) ملاکھرا ایک ٹیم کا کھیل ہے۔")</f>
        <v>A) ملاکھڑا ایک سرکلر رنگ کا استعمال کرتا ہے، B) ملاکھرا میں وزن کی کلاسیں ہیں، C) مخالف کی پٹی پر لازمی اور مسلسل گرفت (سندھرو)، D) ملاکھرا ایک ٹیم کا کھیل ہے۔</v>
      </c>
      <c r="N20" s="6" t="str">
        <f>IFERROR(__xludf.DUMMYFUNCTION("GOOGLETRANSLATE(D20, ""en"", ""ur"")"),"ج) مخالف کی پٹی پر لازمی اور مسلسل گرفت (سندھرو)")</f>
        <v>ج) مخالف کی پٹی پر لازمی اور مسلسل گرفت (سندھرو)</v>
      </c>
      <c r="O20" s="6" t="str">
        <f>IFERROR(__xludf.DUMMYFUNCTION("GOOGLETRANSLATE(E20, ""en"", ""ur"")"),"بیلٹ کی گرفت ملاخرا کی وضاحتی خصوصیت ہے، جو اس مخصوص ہولڈ سے فائدہ اٹھانے اور پھینکنے پر مرکوز گریپلنگ کا ایک منفرد انداز تخلیق کرتی ہے۔")</f>
        <v>بیلٹ کی گرفت ملاخرا کی وضاحتی خصوصیت ہے، جو اس مخصوص ہولڈ سے فائدہ اٹھانے اور پھینکنے پر مرکوز گریپلنگ کا ایک منفرد انداز تخلیق کرتی ہے۔</v>
      </c>
    </row>
    <row r="21">
      <c r="A21" s="4">
        <v>20.0</v>
      </c>
      <c r="B21" s="5" t="s">
        <v>86</v>
      </c>
      <c r="C21" s="5" t="s">
        <v>87</v>
      </c>
      <c r="D21" s="5" t="s">
        <v>88</v>
      </c>
      <c r="E21" s="5" t="s">
        <v>89</v>
      </c>
      <c r="K21" s="6" t="str">
        <f>IFERROR(__xludf.DUMMYFUNCTION("GOOGLETRANSLATE(A21, ""en"", ""ur"")"),"20")</f>
        <v>20</v>
      </c>
      <c r="L21" s="6" t="str">
        <f>IFERROR(__xludf.DUMMYFUNCTION("GOOGLETRANSLATE(B21, ""en"", ""ur"")"),"ایک میچ کے بعد اکثر پہلوانوں کو گلے لگاتے دیکھا جاتا ہے۔ اس ایکٹ کی ثقافتی اہمیت کیا ہے؟")</f>
        <v>ایک میچ کے بعد اکثر پہلوانوں کو گلے لگاتے دیکھا جاتا ہے۔ اس ایکٹ کی ثقافتی اہمیت کیا ہے؟</v>
      </c>
      <c r="M21" s="6" t="str">
        <f>IFERROR(__xludf.DUMMYFUNCTION("GOOGLETRANSLATE(C21, ""en"", ""ur"")"),"A) یہ اس بات کی علامت ہے کہ لڑائی جعلی تھی، B) یہ کھیل اور باہمی احترام کو ظاہر کرتا ہے، لڑائی مہارت کا مقابلہ تھا، ذاتی دشمنی کا نہیں، C) یہ کولنگ ڈاؤن عمل کا لازمی حصہ ہے، D) یہ ججوں کے لیے ایک اشارہ ہے۔")</f>
        <v>A) یہ اس بات کی علامت ہے کہ لڑائی جعلی تھی، B) یہ کھیل اور باہمی احترام کو ظاہر کرتا ہے، لڑائی مہارت کا مقابلہ تھا، ذاتی دشمنی کا نہیں، C) یہ کولنگ ڈاؤن عمل کا لازمی حصہ ہے، D) یہ ججوں کے لیے ایک اشارہ ہے۔</v>
      </c>
      <c r="N21" s="6" t="str">
        <f>IFERROR(__xludf.DUMMYFUNCTION("GOOGLETRANSLATE(D21, ""en"", ""ur"")"),"ب) یہ کھیل اور باہمی احترام کو ظاہر کرتا ہے، یہ ظاہر کرتا ہے کہ لڑائی مہارت کا مقابلہ تھا، ذاتی دشمنی نہیں")</f>
        <v>ب) یہ کھیل اور باہمی احترام کو ظاہر کرتا ہے، یہ ظاہر کرتا ہے کہ لڑائی مہارت کا مقابلہ تھا، ذاتی دشمنی نہیں</v>
      </c>
      <c r="O21" s="6" t="str">
        <f>IFERROR(__xludf.DUMMYFUNCTION("GOOGLETRANSLATE(E21, ""en"", ""ur"")"),"یہ اشارہ کھیل کے فلسفے کا ایک اہم حصہ ہے، جو برادری اور عزت کے بندھن کو مضبوط کرتا ہے۔")</f>
        <v>یہ اشارہ کھیل کے فلسفے کا ایک اہم حصہ ہے، جو برادری اور عزت کے بندھن کو مضبوط کرتا ہے۔</v>
      </c>
    </row>
    <row r="22">
      <c r="A22" s="4">
        <v>21.0</v>
      </c>
      <c r="B22" s="5" t="s">
        <v>90</v>
      </c>
      <c r="C22" s="5" t="s">
        <v>91</v>
      </c>
      <c r="D22" s="5" t="s">
        <v>92</v>
      </c>
      <c r="E22" s="5" t="s">
        <v>93</v>
      </c>
      <c r="K22" s="6" t="str">
        <f>IFERROR(__xludf.DUMMYFUNCTION("GOOGLETRANSLATE(A22, ""en"", ""ur"")"),"21")</f>
        <v>21</v>
      </c>
      <c r="L22" s="6" t="str">
        <f>IFERROR(__xludf.DUMMYFUNCTION("GOOGLETRANSLATE(B22, ""en"", ""ur"")"),"ایک پہلوان اپنی طاقتور بگالی کے لیے جانا جاتا ہے۔ یہ تکنیک کیا ہے؟")</f>
        <v>ایک پہلوان اپنی طاقتور بگالی کے لیے جانا جاتا ہے۔ یہ تکنیک کیا ہے؟</v>
      </c>
      <c r="M22" s="6" t="str">
        <f>IFERROR(__xludf.DUMMYFUNCTION("GOOGLETRANSLATE(C22, ""en"", ""ur"")"),"A) ایک ٹانگ جھاڑو، B) طاقتور ہپ تھرو کی ایک قسم، C) ایک دفاعی موقف، D) ایک جمع ہولڈ")</f>
        <v>A) ایک ٹانگ جھاڑو، B) طاقتور ہپ تھرو کی ایک قسم، C) ایک دفاعی موقف، D) ایک جمع ہولڈ</v>
      </c>
      <c r="N22" s="6" t="str">
        <f>IFERROR(__xludf.DUMMYFUNCTION("GOOGLETRANSLATE(D22, ""en"", ""ur"")"),"ب) ایک قسم کی طاقتور ہپ تھرو")</f>
        <v>ب) ایک قسم کی طاقتور ہپ تھرو</v>
      </c>
      <c r="O22" s="6" t="str">
        <f>IFERROR(__xludf.DUMMYFUNCTION("GOOGLETRANSLATE(E22, ""en"", ""ur"")"),"بگالی ایک کلاسک اور موثر ٹیک ڈاؤن تکنیک ہے جو حریف کو پھینکنے کے لیے کولہے کو بطور فلکرم استعمال کرتی ہے۔")</f>
        <v>بگالی ایک کلاسک اور موثر ٹیک ڈاؤن تکنیک ہے جو حریف کو پھینکنے کے لیے کولہے کو بطور فلکرم استعمال کرتی ہے۔</v>
      </c>
    </row>
    <row r="23">
      <c r="A23" s="4">
        <v>22.0</v>
      </c>
      <c r="B23" s="5" t="s">
        <v>94</v>
      </c>
      <c r="C23" s="5" t="s">
        <v>95</v>
      </c>
      <c r="D23" s="5" t="s">
        <v>96</v>
      </c>
      <c r="E23" s="5" t="s">
        <v>97</v>
      </c>
      <c r="K23" s="6" t="str">
        <f>IFERROR(__xludf.DUMMYFUNCTION("GOOGLETRANSLATE(A23, ""en"", ""ur"")"),"22")</f>
        <v>22</v>
      </c>
      <c r="L23" s="6" t="str">
        <f>IFERROR(__xludf.DUMMYFUNCTION("GOOGLETRANSLATE(B23, ""en"", ""ur"")"),"ایک پہلوان کو حریف کی ٹانگ پکڑنے کے لیے اپنا آزاد ہاتھ استعمال کرنے پر تنبیہ کی جاتی ہے۔ کیا یہ درست فاؤل ہے؟")</f>
        <v>ایک پہلوان کو حریف کی ٹانگ پکڑنے کے لیے اپنا آزاد ہاتھ استعمال کرنے پر تنبیہ کی جاتی ہے۔ کیا یہ درست فاؤل ہے؟</v>
      </c>
      <c r="M23" s="6" t="str">
        <f>IFERROR(__xludf.DUMMYFUNCTION("GOOGLETRANSLATE(C23, ""en"", ""ur"")"),"A) نہیں، یہ ایک قانونی اخراج ہے، B) جی ہاں، آزاد ہاتھ کو مخالف کے اعضاء کو پکڑنے کے لیے استعمال نہیں کیا جا سکتا، C) صرف اس صورت میں جب ہاتھ مٹھی میں ہو، D) صرف اس صورت میں جب مخالف شکایت کرے۔")</f>
        <v>A) نہیں، یہ ایک قانونی اخراج ہے، B) جی ہاں، آزاد ہاتھ کو مخالف کے اعضاء کو پکڑنے کے لیے استعمال نہیں کیا جا سکتا، C) صرف اس صورت میں جب ہاتھ مٹھی میں ہو، D) صرف اس صورت میں جب مخالف شکایت کرے۔</v>
      </c>
      <c r="N23" s="6" t="str">
        <f>IFERROR(__xludf.DUMMYFUNCTION("GOOGLETRANSLATE(D23, ""en"", ""ur"")"),"ب) جی ہاں، آزاد ہاتھ کو مخالف کے اعضاء کو پکڑنے کے لیے استعمال نہیں کیا جا سکتا")</f>
        <v>ب) جی ہاں، آزاد ہاتھ کو مخالف کے اعضاء کو پکڑنے کے لیے استعمال نہیں کیا جا سکتا</v>
      </c>
      <c r="O23" s="6" t="str">
        <f>IFERROR(__xludf.DUMMYFUNCTION("GOOGLETRANSLATE(E23, ""en"", ""ur"")"),"فری ہینڈ کا ایک محدود کردار ہوتا ہے (مثال کے طور پر، مخالف کے بازو کو روکنا)، اور اسے ہٹانے میں مدد کے لیے مخالف کے جسم یا ٹانگوں کو پکڑنے کے لیے استعمال نہیں کیا جا سکتا۔")</f>
        <v>فری ہینڈ کا ایک محدود کردار ہوتا ہے (مثال کے طور پر، مخالف کے بازو کو روکنا)، اور اسے ہٹانے میں مدد کے لیے مخالف کے جسم یا ٹانگوں کو پکڑنے کے لیے استعمال نہیں کیا جا سکتا۔</v>
      </c>
    </row>
    <row r="24">
      <c r="A24" s="4">
        <v>23.0</v>
      </c>
      <c r="B24" s="5" t="s">
        <v>98</v>
      </c>
      <c r="C24" s="5" t="s">
        <v>99</v>
      </c>
      <c r="D24" s="5" t="s">
        <v>100</v>
      </c>
      <c r="E24" s="5" t="s">
        <v>101</v>
      </c>
      <c r="K24" s="6" t="str">
        <f>IFERROR(__xludf.DUMMYFUNCTION("GOOGLETRANSLATE(A24, ""en"", ""ur"")"),"23")</f>
        <v>23</v>
      </c>
      <c r="L24" s="6" t="str">
        <f>IFERROR(__xludf.DUMMYFUNCTION("GOOGLETRANSLATE(B24, ""en"", ""ur"")"),"قریبی میچ میں، ریفری ایک پہلوان کو ""زیادہ متحرک"" ہونے پر پوائنٹ دیتا ہے۔ کیا یہ اسکور کرنے کا ایک درست طریقہ ہے؟")</f>
        <v>قریبی میچ میں، ریفری ایک پہلوان کو "زیادہ متحرک" ہونے پر پوائنٹ دیتا ہے۔ کیا یہ اسکور کرنے کا ایک درست طریقہ ہے؟</v>
      </c>
      <c r="M24" s="6" t="str">
        <f>IFERROR(__xludf.DUMMYFUNCTION("GOOGLETRANSLATE(C24, ""en"", ""ur"")"),"A) نہیں، صرف تکنیک ہی اسکور کرسکتی ہے، B) ہاں، واضح اسکورنگ کی عدم موجودگی میں، جج غیر فعال پہلوان کو سزا دے سکتے ہیں، C) میچ ڈرا ہونا چاہئے، D) ایک سکہ اچھالا جانا چاہئے۔")</f>
        <v>A) نہیں، صرف تکنیک ہی اسکور کرسکتی ہے، B) ہاں، واضح اسکورنگ کی عدم موجودگی میں، جج غیر فعال پہلوان کو سزا دے سکتے ہیں، C) میچ ڈرا ہونا چاہئے، D) ایک سکہ اچھالا جانا چاہئے۔</v>
      </c>
      <c r="N24" s="6" t="str">
        <f>IFERROR(__xludf.DUMMYFUNCTION("GOOGLETRANSLATE(D24, ""en"", ""ur"")"),"ب) ہاں، واضح اسکورنگ کی غیر موجودگی میں، جج غیر فعال پہلوان کو سزا دے سکتے ہیں")</f>
        <v>ب) ہاں، واضح اسکورنگ کی غیر موجودگی میں، جج غیر فعال پہلوان کو سزا دے سکتے ہیں</v>
      </c>
      <c r="O24" s="6" t="str">
        <f>IFERROR(__xludf.DUMMYFUNCTION("GOOGLETRANSLATE(E24, ""en"", ""ur"")"),"اسٹالنگ کو روکنے کے لیے، ریفریز کو کم فعال پہلوان کو سزا دینے کا اختیار دیا جاتا ہے، جو مؤثر طریقے سے حملہ آور کو ایک پوائنٹ دیتا ہے۔")</f>
        <v>اسٹالنگ کو روکنے کے لیے، ریفریز کو کم فعال پہلوان کو سزا دینے کا اختیار دیا جاتا ہے، جو مؤثر طریقے سے حملہ آور کو ایک پوائنٹ دیتا ہے۔</v>
      </c>
    </row>
    <row r="25">
      <c r="A25" s="4">
        <v>24.0</v>
      </c>
      <c r="B25" s="5" t="s">
        <v>102</v>
      </c>
      <c r="C25" s="5" t="s">
        <v>103</v>
      </c>
      <c r="D25" s="5" t="s">
        <v>104</v>
      </c>
      <c r="E25" s="5" t="s">
        <v>105</v>
      </c>
      <c r="K25" s="6" t="str">
        <f>IFERROR(__xludf.DUMMYFUNCTION("GOOGLETRANSLATE(A25, ""en"", ""ur"")"),"24")</f>
        <v>24</v>
      </c>
      <c r="L25" s="6" t="str">
        <f>IFERROR(__xludf.DUMMYFUNCTION("GOOGLETRANSLATE(B25, ""en"", ""ur"")"),"ریفری ان کے ہاتھ سے چٹائی کو مضبوطی سے تھپڑ مارتا ہے۔ یہ کیا اشارہ کرتا ہے؟")</f>
        <v>ریفری ان کے ہاتھ سے چٹائی کو مضبوطی سے تھپڑ مارتا ہے۔ یہ کیا اشارہ کرتا ہے؟</v>
      </c>
      <c r="M25" s="6" t="str">
        <f>IFERROR(__xludf.DUMMYFUNCTION("GOOGLETRANSLATE(C25, ""en"", ""ur"")"),"A) راؤنڈ کا آغاز، B) ایک غلطی کا ارتکاب کیا گیا ہے، C) ایک فیصلہ کن پن حاصل کیا گیا ہے اور میچ ختم ہو گیا ہے، D) غیر فعال ہونے کے لئے ایک انتباہ")</f>
        <v>A) راؤنڈ کا آغاز، B) ایک غلطی کا ارتکاب کیا گیا ہے، C) ایک فیصلہ کن پن حاصل کیا گیا ہے اور میچ ختم ہو گیا ہے، D) غیر فعال ہونے کے لئے ایک انتباہ</v>
      </c>
      <c r="N25" s="6" t="str">
        <f>IFERROR(__xludf.DUMMYFUNCTION("GOOGLETRANSLATE(D25, ""en"", ""ur"")"),"C) ایک فیصلہ کن پن حاصل ہو گیا ہے اور میچ ختم ہو گیا ہے۔")</f>
        <v>C) ایک فیصلہ کن پن حاصل ہو گیا ہے اور میچ ختم ہو گیا ہے۔</v>
      </c>
      <c r="O25" s="6" t="str">
        <f>IFERROR(__xludf.DUMMYFUNCTION("GOOGLETRANSLATE(E25, ""en"", ""ur"")"),"ریسلنگ کی دوسری شکلوں کی طرح، ریفری کا چٹائی پر تھپڑ مارنا مقابلہ ختم کرنے کے لیے ایک عالمگیر اشارہ ہے۔")</f>
        <v>ریسلنگ کی دوسری شکلوں کی طرح، ریفری کا چٹائی پر تھپڑ مارنا مقابلہ ختم کرنے کے لیے ایک عالمگیر اشارہ ہے۔</v>
      </c>
    </row>
    <row r="26">
      <c r="A26" s="4">
        <v>25.0</v>
      </c>
      <c r="B26" s="5" t="s">
        <v>106</v>
      </c>
      <c r="C26" s="5" t="s">
        <v>107</v>
      </c>
      <c r="D26" s="5" t="s">
        <v>108</v>
      </c>
      <c r="E26" s="5" t="s">
        <v>109</v>
      </c>
      <c r="K26" s="6" t="str">
        <f>IFERROR(__xludf.DUMMYFUNCTION("GOOGLETRANSLATE(A26, ""en"", ""ur"")"),"25")</f>
        <v>25</v>
      </c>
      <c r="L26" s="6" t="str">
        <f>IFERROR(__xludf.DUMMYFUNCTION("GOOGLETRANSLATE(B26, ""en"", ""ur"")"),"ایک پہلوان اپنے مضبوط ""پل"" (پل) کے لیے جانا جاتا ہے۔ یہ تکنیک کس حالت میں استعمال کی جاتی ہے؟")</f>
        <v>ایک پہلوان اپنے مضبوط "پل" (پل) کے لیے جانا جاتا ہے۔ یہ تکنیک کس حالت میں استعمال کی جاتی ہے؟</v>
      </c>
      <c r="M26" s="6" t="str">
        <f>IFERROR(__xludf.DUMMYFUNCTION("GOOGLETRANSLATE(C26, ""en"", ""ur"")"),"A) تھرو شروع کرنے کے لئے، B) ان کی پیٹھ پر پن لگنے سے بچنے کے لئے، C) میچ کے دوران آرام کرنے کے لئے، D) جمع کرانے کے لئے")</f>
        <v>A) تھرو شروع کرنے کے لئے، B) ان کی پیٹھ پر پن لگنے سے بچنے کے لئے، C) میچ کے دوران آرام کرنے کے لئے، D) جمع کرانے کے لئے</v>
      </c>
      <c r="N26" s="6" t="str">
        <f>IFERROR(__xludf.DUMMYFUNCTION("GOOGLETRANSLATE(D26, ""en"", ""ur"")"),"ب) ان کی پیٹھ پر چپکا جانے سے بچنا")</f>
        <v>ب) ان کی پیٹھ پر چپکا جانے سے بچنا</v>
      </c>
      <c r="O26" s="6" t="str">
        <f>IFERROR(__xludf.DUMMYFUNCTION("GOOGLETRANSLATE(E26, ""en"", ""ur"")"),"پل ایک بنیادی دفاعی تکنیک ہے جہاں ایک پہلوان اپنے کندھوں کو زمین پر چپٹے رہنے سے روکنے کے لیے اپنی کمر اور گردن کو محراب کرتا ہے۔")</f>
        <v>پل ایک بنیادی دفاعی تکنیک ہے جہاں ایک پہلوان اپنے کندھوں کو زمین پر چپٹے رہنے سے روکنے کے لیے اپنی کمر اور گردن کو محراب کرتا ہے۔</v>
      </c>
    </row>
    <row r="27">
      <c r="A27" s="4">
        <v>26.0</v>
      </c>
      <c r="B27" s="5" t="s">
        <v>110</v>
      </c>
      <c r="C27" s="5" t="s">
        <v>111</v>
      </c>
      <c r="D27" s="5" t="s">
        <v>112</v>
      </c>
      <c r="E27" s="5" t="s">
        <v>113</v>
      </c>
      <c r="K27" s="6" t="str">
        <f>IFERROR(__xludf.DUMMYFUNCTION("GOOGLETRANSLATE(A27, ""en"", ""ur"")"),"26")</f>
        <v>26</v>
      </c>
      <c r="L27" s="6" t="str">
        <f>IFERROR(__xludf.DUMMYFUNCTION("GOOGLETRANSLATE(B27, ""en"", ""ur"")"),"ایک پہلوان کو حریف کو ٹرپ کرنے کے لیے اپنی بیلٹ استعمال کرنے پر متنبہ کیا جاتا ہے۔ کیا یہ صحیح کال ہے؟")</f>
        <v>ایک پہلوان کو حریف کو ٹرپ کرنے کے لیے اپنی بیلٹ استعمال کرنے پر متنبہ کیا جاتا ہے۔ کیا یہ صحیح کال ہے؟</v>
      </c>
      <c r="M27" s="6" t="str">
        <f>IFERROR(__xludf.DUMMYFUNCTION("GOOGLETRANSLATE(C27, ""en"", ""ur"")"),"A) نہیں، ٹرپنگ قانونی ہے، B) ہاں، بیلٹ صرف کمر کو پکڑنے کے لیے استعمال کی جا سکتی ہے، ٹرپ کرنے کے لیے نہیں، C) صرف اس صورت میں جب اس سے چوٹ لگے، D) صرف اس صورت میں جب مخالف کا وزن زیادہ ہو۔")</f>
        <v>A) نہیں، ٹرپنگ قانونی ہے، B) ہاں، بیلٹ صرف کمر کو پکڑنے کے لیے استعمال کی جا سکتی ہے، ٹرپ کرنے کے لیے نہیں، C) صرف اس صورت میں جب اس سے چوٹ لگے، D) صرف اس صورت میں جب مخالف کا وزن زیادہ ہو۔</v>
      </c>
      <c r="N27" s="6" t="str">
        <f>IFERROR(__xludf.DUMMYFUNCTION("GOOGLETRANSLATE(D27, ""en"", ""ur"")"),"ب) ہاں، بیلٹ صرف کمر کو پکڑنے کے لیے استعمال کیا جا سکتا ہے، نہ کہ ٹرپ کرنے کے لیے")</f>
        <v>ب) ہاں، بیلٹ صرف کمر کو پکڑنے کے لیے استعمال کیا جا سکتا ہے، نہ کہ ٹرپ کرنے کے لیے</v>
      </c>
      <c r="O27" s="6" t="str">
        <f>IFERROR(__xludf.DUMMYFUNCTION("GOOGLETRANSLATE(E27, ""en"", ""ur"")"),"اگرچہ ٹانگوں کے دورے قانونی ہیں، لیکن مخالف کے پاؤں کو الجھانے اور ٹرپ کرنے کے لیے سینڈرو کا استعمال کرنا سامان کا غیر قانونی استعمال ہے۔")</f>
        <v>اگرچہ ٹانگوں کے دورے قانونی ہیں، لیکن مخالف کے پاؤں کو الجھانے اور ٹرپ کرنے کے لیے سینڈرو کا استعمال کرنا سامان کا غیر قانونی استعمال ہے۔</v>
      </c>
    </row>
    <row r="28">
      <c r="A28" s="4">
        <v>27.0</v>
      </c>
      <c r="B28" s="5" t="s">
        <v>114</v>
      </c>
      <c r="C28" s="5" t="s">
        <v>115</v>
      </c>
      <c r="D28" s="5" t="s">
        <v>116</v>
      </c>
      <c r="E28" s="5" t="s">
        <v>117</v>
      </c>
      <c r="K28" s="6" t="str">
        <f>IFERROR(__xludf.DUMMYFUNCTION("GOOGLETRANSLATE(A28, ""en"", ""ur"")"),"27")</f>
        <v>27</v>
      </c>
      <c r="L28" s="6" t="str">
        <f>IFERROR(__xludf.DUMMYFUNCTION("GOOGLETRANSLATE(B28, ""en"", ""ur"")"),"ایک پہلوان ایک میچ جیتتا ہے اور ان کے حامی انہیں اپنے کندھوں پر اٹھاتے ہیں۔ اس سے کیا مراد ہے؟")</f>
        <v>ایک پہلوان ایک میچ جیتتا ہے اور ان کے حامی انہیں اپنے کندھوں پر اٹھاتے ہیں۔ اس سے کیا مراد ہے؟</v>
      </c>
      <c r="M28" s="6" t="str">
        <f>IFERROR(__xludf.DUMMYFUNCTION("GOOGLETRANSLATE(C28, ""en"", ""ur"")"),"A) پہلوان زخمی ہے اور چل نہیں سکتا، B) یہ فرقہ وارانہ فتح کا روایتی اور خوشی کا جشن ہے، C) یہ ججوں کے خلاف احتجاج کی ایک شکل ہے، D) پہلوان کو انعام لینے کے لیے لے جایا جا رہا ہے۔")</f>
        <v>A) پہلوان زخمی ہے اور چل نہیں سکتا، B) یہ فرقہ وارانہ فتح کا روایتی اور خوشی کا جشن ہے، C) یہ ججوں کے خلاف احتجاج کی ایک شکل ہے، D) پہلوان کو انعام لینے کے لیے لے جایا جا رہا ہے۔</v>
      </c>
      <c r="N28" s="6" t="str">
        <f>IFERROR(__xludf.DUMMYFUNCTION("GOOGLETRANSLATE(D28, ""en"", ""ur"")"),"ب) یہ فرقہ وارانہ فتح کا روایتی اور خوشی کا جشن ہے۔")</f>
        <v>ب) یہ فرقہ وارانہ فتح کا روایتی اور خوشی کا جشن ہے۔</v>
      </c>
      <c r="O28" s="6" t="str">
        <f>IFERROR(__xludf.DUMMYFUNCTION("GOOGLETRANSLATE(E28, ""en"", ""ur"")"),"یہ گاؤں یا ٹیم کے لیے اپنے چیمپئن کا جشن منانے کا ایک عام طریقہ ہے، جس سے یہ ظاہر ہوتا ہے کہ جیت پوری کمیونٹی کی ہے۔")</f>
        <v>یہ گاؤں یا ٹیم کے لیے اپنے چیمپئن کا جشن منانے کا ایک عام طریقہ ہے، جس سے یہ ظاہر ہوتا ہے کہ جیت پوری کمیونٹی کی ہے۔</v>
      </c>
    </row>
    <row r="29">
      <c r="A29" s="4">
        <v>28.0</v>
      </c>
      <c r="B29" s="5" t="s">
        <v>118</v>
      </c>
      <c r="C29" s="5" t="s">
        <v>119</v>
      </c>
      <c r="D29" s="5" t="s">
        <v>120</v>
      </c>
      <c r="E29" s="5" t="s">
        <v>121</v>
      </c>
      <c r="K29" s="6" t="str">
        <f>IFERROR(__xludf.DUMMYFUNCTION("GOOGLETRANSLATE(A29, ""en"", ""ur"")"),"28")</f>
        <v>28</v>
      </c>
      <c r="L29" s="6" t="str">
        <f>IFERROR(__xludf.DUMMYFUNCTION("GOOGLETRANSLATE(B29, ""en"", ""ur"")"),"ایک پہلوان کو ایک چھوٹی، سخت چیز اپنی پٹی کے نیچے لپیٹ کر مخالف کو تکلیف پہنچانے کے لیے پائی جاتی ہے۔ نتیجہ کیا ہے؟")</f>
        <v>ایک پہلوان کو ایک چھوٹی، سخت چیز اپنی پٹی کے نیچے لپیٹ کر مخالف کو تکلیف پہنچانے کے لیے پائی جاتی ہے۔ نتیجہ کیا ہے؟</v>
      </c>
      <c r="M29" s="6" t="str">
        <f>IFERROR(__xludf.DUMMYFUNCTION("GOOGLETRANSLATE(C29, ""en"", ""ur"")"),"A) اعتراض کو ہٹا دیا جاتا ہے، اور ایک انتباہ جاری کیا جاتا ہے، B) پہلوان کو فوری طور پر دھوکہ دہی کے لئے نااہل قرار دیا جاتا ہے، C) مخالف کو 5 پوائنٹس سے نوازا جاتا ہے، D) راؤنڈ دوبارہ کھیلا جاتا ہے")</f>
        <v>A) اعتراض کو ہٹا دیا جاتا ہے، اور ایک انتباہ جاری کیا جاتا ہے، B) پہلوان کو فوری طور پر دھوکہ دہی کے لئے نااہل قرار دیا جاتا ہے، C) مخالف کو 5 پوائنٹس سے نوازا جاتا ہے، D) راؤنڈ دوبارہ کھیلا جاتا ہے</v>
      </c>
      <c r="N29" s="6" t="str">
        <f>IFERROR(__xludf.DUMMYFUNCTION("GOOGLETRANSLATE(D29, ""en"", ""ur"")"),"ب) پہلوان کو دھوکہ دہی کے الزام میں فوری طور پر نااہل قرار دیا جاتا ہے۔")</f>
        <v>ب) پہلوان کو دھوکہ دہی کے الزام میں فوری طور پر نااہل قرار دیا جاتا ہے۔</v>
      </c>
      <c r="O29" s="6" t="str">
        <f>IFERROR(__xludf.DUMMYFUNCTION("GOOGLETRANSLATE(E29, ""en"", ""ur"")"),"فائدہ حاصل کرنے یا چوٹ پہنچانے کے لیے چھپی ہوئی چیز کا استعمال ایک بڑی خلاف ورزی ہے اور اس کا نتیجہ فوری طور پر نااہلی کی صورت میں نکلتا ہے۔")</f>
        <v>فائدہ حاصل کرنے یا چوٹ پہنچانے کے لیے چھپی ہوئی چیز کا استعمال ایک بڑی خلاف ورزی ہے اور اس کا نتیجہ فوری طور پر نااہلی کی صورت میں نکلتا ہے۔</v>
      </c>
    </row>
    <row r="30">
      <c r="A30" s="4">
        <v>29.0</v>
      </c>
      <c r="B30" s="5" t="s">
        <v>122</v>
      </c>
      <c r="C30" s="5" t="s">
        <v>123</v>
      </c>
      <c r="D30" s="5" t="s">
        <v>124</v>
      </c>
      <c r="E30" s="5" t="s">
        <v>125</v>
      </c>
      <c r="K30" s="6" t="str">
        <f>IFERROR(__xludf.DUMMYFUNCTION("GOOGLETRANSLATE(A30, ""en"", ""ur"")"),"29")</f>
        <v>29</v>
      </c>
      <c r="L30" s="6" t="str">
        <f>IFERROR(__xludf.DUMMYFUNCTION("GOOGLETRANSLATE(B30, ""en"", ""ur"")"),"ملاخرا اور جوڈو کے درمیان بنیادی فرق کیا ہے؟")</f>
        <v>ملاخرا اور جوڈو کے درمیان بنیادی فرق کیا ہے؟</v>
      </c>
      <c r="M30" s="6" t="str">
        <f>IFERROR(__xludf.DUMMYFUNCTION("GOOGLETRANSLATE(C30, ""en"", ""ur"")"),"A) جوڈو گرفت کے لیے یونیفارم (gi) کا استعمال کرتا ہے، جبکہ ملاخرا ایک بیلٹ استعمال کرتا ہے، B) جوڈو میں پن شامل ہیں، C) جوڈو میں وزن کی کلاسیں ہیں، D) کوئی فرق نہیں ہے۔")</f>
        <v>A) جوڈو گرفت کے لیے یونیفارم (gi) کا استعمال کرتا ہے، جبکہ ملاخرا ایک بیلٹ استعمال کرتا ہے، B) جوڈو میں پن شامل ہیں، C) جوڈو میں وزن کی کلاسیں ہیں، D) کوئی فرق نہیں ہے۔</v>
      </c>
      <c r="N30" s="6" t="str">
        <f>IFERROR(__xludf.DUMMYFUNCTION("GOOGLETRANSLATE(D30, ""en"", ""ur"")"),"A) جوڈو گرفت کے لیے یونیفارم (gi) کا استعمال کرتا ہے، جبکہ ملاخرا بیلٹ استعمال کرتا ہے۔")</f>
        <v>A) جوڈو گرفت کے لیے یونیفارم (gi) کا استعمال کرتا ہے، جبکہ ملاخرا بیلٹ استعمال کرتا ہے۔</v>
      </c>
      <c r="O30" s="6" t="str">
        <f>IFERROR(__xludf.DUMMYFUNCTION("GOOGLETRANSLATE(E30, ""en"", ""ur"")"),"یہ سب سے بنیادی فرق ہے۔ جوڈو پوری جیکٹ کو پکڑنے کی اجازت دیتا ہے، جبکہ ملاخرا تمام گرفت کو سنگل بیلٹ تک محدود رکھتا ہے۔")</f>
        <v>یہ سب سے بنیادی فرق ہے۔ جوڈو پوری جیکٹ کو پکڑنے کی اجازت دیتا ہے، جبکہ ملاخرا تمام گرفت کو سنگل بیلٹ تک محدود رکھتا ہے۔</v>
      </c>
    </row>
    <row r="31">
      <c r="A31" s="4">
        <v>30.0</v>
      </c>
      <c r="B31" s="5" t="s">
        <v>126</v>
      </c>
      <c r="C31" s="5" t="s">
        <v>127</v>
      </c>
      <c r="D31" s="5" t="s">
        <v>128</v>
      </c>
      <c r="E31" s="5" t="s">
        <v>129</v>
      </c>
      <c r="K31" s="6" t="str">
        <f>IFERROR(__xludf.DUMMYFUNCTION("GOOGLETRANSLATE(A31, ""en"", ""ur"")"),"30")</f>
        <v>30</v>
      </c>
      <c r="L31" s="6" t="str">
        <f>IFERROR(__xludf.DUMMYFUNCTION("GOOGLETRANSLATE(B31, ""en"", ""ur"")"),"میچ کے دوران روایتی موسیقی خصوصاً ڈھول ڈھول کا بنیادی کردار کیا ہے؟")</f>
        <v>میچ کے دوران روایتی موسیقی خصوصاً ڈھول ڈھول کا بنیادی کردار کیا ہے؟</v>
      </c>
      <c r="M31" s="6" t="str">
        <f>IFERROR(__xludf.DUMMYFUNCTION("GOOGLETRANSLATE(C31, ""en"", ""ur"")"),"A) راؤنڈ کے آغاز اور اختتام کا اشارہ دینے کے لئے، B) ایک پرجوش اور ثقافتی طور پر بھرپور ماحول پیدا کرنے کے لئے، C) پہلوانوں کو ان کے درد سے ہٹانے کے لئے، D) ججوں کو فیصلے کرنے میں مدد کرنے کے لئے")</f>
        <v>A) راؤنڈ کے آغاز اور اختتام کا اشارہ دینے کے لئے، B) ایک پرجوش اور ثقافتی طور پر بھرپور ماحول پیدا کرنے کے لئے، C) پہلوانوں کو ان کے درد سے ہٹانے کے لئے، D) ججوں کو فیصلے کرنے میں مدد کرنے کے لئے</v>
      </c>
      <c r="N31" s="6" t="str">
        <f>IFERROR(__xludf.DUMMYFUNCTION("GOOGLETRANSLATE(D31, ""en"", ""ur"")"),"ب) ایک پُرجوش اور ثقافتی لحاظ سے بھرپور ماحول پیدا کرنا")</f>
        <v>ب) ایک پُرجوش اور ثقافتی لحاظ سے بھرپور ماحول پیدا کرنا</v>
      </c>
      <c r="O31" s="6" t="str">
        <f>IFERROR(__xludf.DUMMYFUNCTION("GOOGLETRANSLATE(E31, ""en"", ""ur"")"),"لائیو میوزک ملاخرا ایونٹ کے ثقافتی تجربے کے لیے لازمی ہے، اس کا ٹمپو اکثر کارروائی کی شدت سے ملتا ہے۔")</f>
        <v>لائیو میوزک ملاخرا ایونٹ کے ثقافتی تجربے کے لیے لازمی ہے، اس کا ٹمپو اکثر کارروائی کی شدت سے ملتا ہے۔</v>
      </c>
    </row>
    <row r="32">
      <c r="A32" s="4">
        <v>31.0</v>
      </c>
      <c r="B32" s="5" t="s">
        <v>130</v>
      </c>
      <c r="C32" s="5" t="s">
        <v>131</v>
      </c>
      <c r="D32" s="5" t="s">
        <v>132</v>
      </c>
      <c r="E32" s="5" t="s">
        <v>133</v>
      </c>
      <c r="K32" s="6" t="str">
        <f>IFERROR(__xludf.DUMMYFUNCTION("GOOGLETRANSLATE(A32, ""en"", ""ur"")"),"31")</f>
        <v>31</v>
      </c>
      <c r="L32" s="6" t="str">
        <f>IFERROR(__xludf.DUMMYFUNCTION("GOOGLETRANSLATE(B32, ""en"", ""ur"")"),"ایک پہلوان کو ""سفاکیت"" کے لیے نااہل قرار دیا جاتا ہے۔ اس کا کیا مطلب ہے؟")</f>
        <v>ایک پہلوان کو "سفاکیت" کے لیے نااہل قرار دیا جاتا ہے۔ اس کا کیا مطلب ہے؟</v>
      </c>
      <c r="M32" s="6" t="str">
        <f>IFERROR(__xludf.DUMMYFUNCTION("GOOGLETRANSLATE(C32, ""en"", ""ur"")"),"A) انہوں نے میچ بہت آسانی سے جیت لیا، B) انہوں نے حریف کے جمع کرائے جانے کے بعد ہولڈ لگانا جاری رکھا، C) انہوں نے صرف گول کرنے کے بجائے زخمی کرنے کے واضح ارادے کے ساتھ تکنیک کا استعمال کیا، D) انہوں نے بہت زور سے چیخا۔")</f>
        <v>A) انہوں نے میچ بہت آسانی سے جیت لیا، B) انہوں نے حریف کے جمع کرائے جانے کے بعد ہولڈ لگانا جاری رکھا، C) انہوں نے صرف گول کرنے کے بجائے زخمی کرنے کے واضح ارادے کے ساتھ تکنیک کا استعمال کیا، D) انہوں نے بہت زور سے چیخا۔</v>
      </c>
      <c r="N32" s="6" t="str">
        <f>IFERROR(__xludf.DUMMYFUNCTION("GOOGLETRANSLATE(D32, ""en"", ""ur"")"),"ج) انہوں نے صرف اسکور نہیں بلکہ چوٹ پہنچانے کے واضح ارادے کے ساتھ تکنیک کا استعمال کیا۔")</f>
        <v>ج) انہوں نے صرف اسکور نہیں بلکہ چوٹ پہنچانے کے واضح ارادے کے ساتھ تکنیک کا استعمال کیا۔</v>
      </c>
      <c r="O32" s="6" t="str">
        <f>IFERROR(__xludf.DUMMYFUNCTION("GOOGLETRANSLATE(E32, ""en"", ""ur"")"),"جبکہ ملاخرہ ایک سخت کھیل ہے، جارحانہ مقابلے اور بدنیتی پر مبنی ارادے کے درمیان ایک لکیر ہے۔ سفاکیت ایک بڑا جرم ہے۔")</f>
        <v>جبکہ ملاخرہ ایک سخت کھیل ہے، جارحانہ مقابلے اور بدنیتی پر مبنی ارادے کے درمیان ایک لکیر ہے۔ سفاکیت ایک بڑا جرم ہے۔</v>
      </c>
    </row>
    <row r="33">
      <c r="A33" s="4">
        <v>32.0</v>
      </c>
      <c r="B33" s="5" t="s">
        <v>134</v>
      </c>
      <c r="C33" s="5" t="s">
        <v>135</v>
      </c>
      <c r="D33" s="5" t="s">
        <v>136</v>
      </c>
      <c r="E33" s="5" t="s">
        <v>137</v>
      </c>
      <c r="K33" s="6" t="str">
        <f>IFERROR(__xludf.DUMMYFUNCTION("GOOGLETRANSLATE(A33, ""en"", ""ur"")"),"32")</f>
        <v>32</v>
      </c>
      <c r="L33" s="6" t="str">
        <f>IFERROR(__xludf.DUMMYFUNCTION("GOOGLETRANSLATE(B33, ""en"", ""ur"")"),"ملاکھڑا پہلوان کے دفاع کے لیے مضبوط گردن اور پل کیوں ضروری ہے؟")</f>
        <v>ملاکھڑا پہلوان کے دفاع کے لیے مضبوط گردن اور پل کیوں ضروری ہے؟</v>
      </c>
      <c r="M33" s="6" t="str">
        <f>IFERROR(__xludf.DUMMYFUNCTION("GOOGLETRANSLATE(C33, ""en"", ""ur"")"),"A) یہ خوفناک لگتا ہے، B) یہ کسی کے کندھوں کو زمین پر جمنے سے روکنے کا بنیادی طریقہ ہے، C) یہ سانس لینے میں مدد کرتا ہے، D) یہ ایک جارحانہ اقدام ہے۔")</f>
        <v>A) یہ خوفناک لگتا ہے، B) یہ کسی کے کندھوں کو زمین پر جمنے سے روکنے کا بنیادی طریقہ ہے، C) یہ سانس لینے میں مدد کرتا ہے، D) یہ ایک جارحانہ اقدام ہے۔</v>
      </c>
      <c r="N33" s="6" t="str">
        <f>IFERROR(__xludf.DUMMYFUNCTION("GOOGLETRANSLATE(D33, ""en"", ""ur"")"),"ب) کسی کے کندھوں کو زمین پر جمنے سے روکنے کا یہ بنیادی طریقہ ہے۔")</f>
        <v>ب) کسی کے کندھوں کو زمین پر جمنے سے روکنے کا یہ بنیادی طریقہ ہے۔</v>
      </c>
      <c r="O33" s="6" t="str">
        <f>IFERROR(__xludf.DUMMYFUNCTION("GOOGLETRANSLATE(E33, ""en"", ""ur"")"),"ایک مضبوط گردن ایک پہلوان کو اپنے سر پر پلنے کی اجازت دیتی ہے تاکہ وہ اپنی پیٹھ کو چٹائی سے دور رکھے، جو پن کے خلاف دفاع کی آخری لائن ہے۔")</f>
        <v>ایک مضبوط گردن ایک پہلوان کو اپنے سر پر پلنے کی اجازت دیتی ہے تاکہ وہ اپنی پیٹھ کو چٹائی سے دور رکھے، جو پن کے خلاف دفاع کی آخری لائن ہے۔</v>
      </c>
    </row>
    <row r="34">
      <c r="A34" s="4">
        <v>33.0</v>
      </c>
      <c r="B34" s="5" t="s">
        <v>138</v>
      </c>
      <c r="C34" s="5" t="s">
        <v>139</v>
      </c>
      <c r="D34" s="5" t="s">
        <v>140</v>
      </c>
      <c r="E34" s="5" t="s">
        <v>141</v>
      </c>
      <c r="K34" s="6" t="str">
        <f>IFERROR(__xludf.DUMMYFUNCTION("GOOGLETRANSLATE(A34, ""en"", ""ur"")"),"33")</f>
        <v>33</v>
      </c>
      <c r="L34" s="6" t="str">
        <f>IFERROR(__xludf.DUMMYFUNCTION("GOOGLETRANSLATE(B34, ""en"", ""ur"")"),"ایک پہلوان شکایت کرتا ہے کہ ان کے مخالف کی بیلٹ بہت پتلی ہے جس کی وجہ سے اسے پکڑنا مشکل ہو جاتا ہے۔ ریفری کیا کر سکتا ہے؟")</f>
        <v>ایک پہلوان شکایت کرتا ہے کہ ان کے مخالف کی بیلٹ بہت پتلی ہے جس کی وجہ سے اسے پکڑنا مشکل ہو جاتا ہے۔ ریفری کیا کر سکتا ہے؟</v>
      </c>
      <c r="M34" s="6" t="str">
        <f>IFERROR(__xludf.DUMMYFUNCTION("GOOGLETRANSLATE(C34, ""en"", ""ur"")"),"A) کچھ نہیں، تمام بیلٹس کی اجازت ہے، B) بیلٹ کا معائنہ کریں اور اگر یہ معیار پر پورا نہیں اترتا ہے تو اسے تبدیل کریں، C) شکایت کرنے والے پہلوان کو سزا دیں، D) پہلوانوں سے بیلٹ تبدیل کرنے کو کہیں۔")</f>
        <v>A) کچھ نہیں، تمام بیلٹس کی اجازت ہے، B) بیلٹ کا معائنہ کریں اور اگر یہ معیار پر پورا نہیں اترتا ہے تو اسے تبدیل کریں، C) شکایت کرنے والے پہلوان کو سزا دیں، D) پہلوانوں سے بیلٹ تبدیل کرنے کو کہیں۔</v>
      </c>
      <c r="N34" s="6" t="str">
        <f>IFERROR(__xludf.DUMMYFUNCTION("GOOGLETRANSLATE(D34, ""en"", ""ur"")"),"ب) بیلٹ کا معائنہ کریں اور اگر یہ معیار پر پورا نہیں اترتا ہے تو اسے تبدیل کریں۔")</f>
        <v>ب) بیلٹ کا معائنہ کریں اور اگر یہ معیار پر پورا نہیں اترتا ہے تو اسے تبدیل کریں۔</v>
      </c>
      <c r="O34" s="6" t="str">
        <f>IFERROR(__xludf.DUMMYFUNCTION("GOOGLETRANSLATE(E34, ""en"", ""ur"")"),"شفافیت کو یقینی بنانے کے لیے، سینڈرو کو مواد اور موٹائی کے لیے کچھ مخصوص تصریحات کو پورا کرنا چاہیے۔ ایک غیر قانونی بیلٹ کو تبدیل کیا جانا چاہئے.")</f>
        <v>شفافیت کو یقینی بنانے کے لیے، سینڈرو کو مواد اور موٹائی کے لیے کچھ مخصوص تصریحات کو پورا کرنا چاہیے۔ ایک غیر قانونی بیلٹ کو تبدیل کیا جانا چاہئے.</v>
      </c>
    </row>
    <row r="35">
      <c r="A35" s="4">
        <v>34.0</v>
      </c>
      <c r="B35" s="5" t="s">
        <v>142</v>
      </c>
      <c r="C35" s="5" t="s">
        <v>143</v>
      </c>
      <c r="D35" s="5" t="s">
        <v>144</v>
      </c>
      <c r="E35" s="5" t="s">
        <v>145</v>
      </c>
      <c r="K35" s="6" t="str">
        <f>IFERROR(__xludf.DUMMYFUNCTION("GOOGLETRANSLATE(A35, ""en"", ""ur"")"),"34")</f>
        <v>34</v>
      </c>
      <c r="L35" s="6" t="str">
        <f>IFERROR(__xludf.DUMMYFUNCTION("GOOGLETRANSLATE(B35, ""en"", ""ur"")"),"فاتح پہلوان کے جسم پر اکھاڑہ سے ریت رگڑنے کی روایت کیا ظاہر کرتی ہے؟")</f>
        <v>فاتح پہلوان کے جسم پر اکھاڑہ سے ریت رگڑنے کی روایت کیا ظاہر کرتی ہے؟</v>
      </c>
      <c r="M35" s="6" t="str">
        <f>IFERROR(__xludf.DUMMYFUNCTION("GOOGLETRANSLATE(C35, ""en"", ""ur"")"),"A) وہ پسینہ صاف کر رہے ہیں، B) یہ ریسلنگ گراؤنڈ کی فتح اور احترام کی علامت ہے، C) یہ مستقبل کے مخالفین کو ڈرانے کا ایک طریقہ ہے، D) یہ ان کے کوچ کے لیے ایک اشارہ ہے۔")</f>
        <v>A) وہ پسینہ صاف کر رہے ہیں، B) یہ ریسلنگ گراؤنڈ کی فتح اور احترام کی علامت ہے، C) یہ مستقبل کے مخالفین کو ڈرانے کا ایک طریقہ ہے، D) یہ ان کے کوچ کے لیے ایک اشارہ ہے۔</v>
      </c>
      <c r="N35" s="6" t="str">
        <f>IFERROR(__xludf.DUMMYFUNCTION("GOOGLETRANSLATE(D35, ""en"", ""ur"")"),"ب) یہ کشتی کے میدان کی فتح اور عزت کی علامت ہے۔")</f>
        <v>ب) یہ کشتی کے میدان کی فتح اور عزت کی علامت ہے۔</v>
      </c>
      <c r="O35" s="6" t="str">
        <f>IFERROR(__xludf.DUMMYFUNCTION("GOOGLETRANSLATE(E35, ""en"", ""ur"")"),"یہ عاجزی اور شکرگزاری کا روایتی اشارہ ہے، اس مقدس جگہ کا احترام کرتے ہوئے جہاں ان کی فتح ہوئی تھی۔")</f>
        <v>یہ عاجزی اور شکرگزاری کا روایتی اشارہ ہے، اس مقدس جگہ کا احترام کرتے ہوئے جہاں ان کی فتح ہوئی تھی۔</v>
      </c>
    </row>
    <row r="36">
      <c r="A36" s="4">
        <v>35.0</v>
      </c>
      <c r="B36" s="5" t="s">
        <v>146</v>
      </c>
      <c r="C36" s="5" t="s">
        <v>147</v>
      </c>
      <c r="D36" s="5" t="s">
        <v>148</v>
      </c>
      <c r="E36" s="5" t="s">
        <v>149</v>
      </c>
      <c r="K36" s="6" t="str">
        <f>IFERROR(__xludf.DUMMYFUNCTION("GOOGLETRANSLATE(A36, ""en"", ""ur"")"),"35")</f>
        <v>35</v>
      </c>
      <c r="L36" s="6" t="str">
        <f>IFERROR(__xludf.DUMMYFUNCTION("GOOGLETRANSLATE(B36, ""en"", ""ur"")"),"ملاخرا کے لیے پست، اسکواٹنگ موقف بنیادی کیوں ہے؟")</f>
        <v>ملاخرا کے لیے پست، اسکواٹنگ موقف بنیادی کیوں ہے؟</v>
      </c>
      <c r="M36" s="6" t="str">
        <f>IFERROR(__xludf.DUMMYFUNCTION("GOOGLETRANSLATE(C36, ""en"", ""ur"")"),"A) یہ زیادہ آرام دہ ہے، B) بہتر توازن اور طاقت کے لیے اپنے مرکز کی کشش ثقل کو کم کرنا، C) خود کو چھوٹا ہدف بنانا، D) صرف اس موقف کی اجازت ہے")</f>
        <v>A) یہ زیادہ آرام دہ ہے، B) بہتر توازن اور طاقت کے لیے اپنے مرکز کی کشش ثقل کو کم کرنا، C) خود کو چھوٹا ہدف بنانا، D) صرف اس موقف کی اجازت ہے</v>
      </c>
      <c r="N36" s="6" t="str">
        <f>IFERROR(__xludf.DUMMYFUNCTION("GOOGLETRANSLATE(D36, ""en"", ""ur"")"),"ب) بہتر توازن اور طاقت کے لیے اپنے مرکز ثقل کو کم کرنا")</f>
        <v>ب) بہتر توازن اور طاقت کے لیے اپنے مرکز ثقل کو کم کرنا</v>
      </c>
      <c r="O36" s="6" t="str">
        <f>IFERROR(__xludf.DUMMYFUNCTION("GOOGLETRANSLATE(E36, ""en"", ""ur"")"),"کم بنیاد جوڑنے کے لیے بنیادی ہے، کیونکہ یہ ایک پہلوان کو اٹھانا، جھاڑو دینا یا پھینکنا زیادہ مشکل بنا دیتا ہے۔")</f>
        <v>کم بنیاد جوڑنے کے لیے بنیادی ہے، کیونکہ یہ ایک پہلوان کو اٹھانا، جھاڑو دینا یا پھینکنا زیادہ مشکل بنا دیتا ہے۔</v>
      </c>
    </row>
    <row r="37">
      <c r="A37" s="4">
        <v>36.0</v>
      </c>
      <c r="B37" s="5" t="s">
        <v>150</v>
      </c>
      <c r="C37" s="5" t="s">
        <v>151</v>
      </c>
      <c r="D37" s="5" t="s">
        <v>152</v>
      </c>
      <c r="E37" s="5" t="s">
        <v>153</v>
      </c>
      <c r="K37" s="6" t="str">
        <f>IFERROR(__xludf.DUMMYFUNCTION("GOOGLETRANSLATE(A37, ""en"", ""ur"")"),"36")</f>
        <v>36</v>
      </c>
      <c r="L37" s="6" t="str">
        <f>IFERROR(__xludf.DUMMYFUNCTION("GOOGLETRANSLATE(B37, ""en"", ""ur"")"),"ریفری اس بات کا تعین کرتا ہے کہ ایک پن صرف اس لیے حاصل کیا گیا تھا کہ جیتنے والے پہلوان نے غیر قانونی طور پر مخالف کے شارٹس کو پکڑ لیا تھا۔ اس کا کیا حکم ہے؟")</f>
        <v>ریفری اس بات کا تعین کرتا ہے کہ ایک پن صرف اس لیے حاصل کیا گیا تھا کہ جیتنے والے پہلوان نے غیر قانونی طور پر مخالف کے شارٹس کو پکڑ لیا تھا۔ اس کا کیا حکم ہے؟</v>
      </c>
      <c r="M37" s="6" t="str">
        <f>IFERROR(__xludf.DUMMYFUNCTION("GOOGLETRANSLATE(C37, ""en"", ""ur"")"),"A) پن درست ہے، B) پن غلط ہے، اور جیتنے والے پہلوان کو فاول کہا جاتا ہے، C) راؤنڈ دوبارہ کھیلا جاتا ہے، D) ہارنے والے پہلوان کو ایک پوائنٹ دیا جاتا ہے۔")</f>
        <v>A) پن درست ہے، B) پن غلط ہے، اور جیتنے والے پہلوان کو فاول کہا جاتا ہے، C) راؤنڈ دوبارہ کھیلا جاتا ہے، D) ہارنے والے پہلوان کو ایک پوائنٹ دیا جاتا ہے۔</v>
      </c>
      <c r="N37" s="6" t="str">
        <f>IFERROR(__xludf.DUMMYFUNCTION("GOOGLETRANSLATE(D37, ""en"", ""ur"")"),"ب) پن غلط ہے، اور جیتنے والے پہلوان کو فاؤل کہا جاتا ہے۔")</f>
        <v>ب) پن غلط ہے، اور جیتنے والے پہلوان کو فاؤل کہا جاتا ہے۔</v>
      </c>
      <c r="O37" s="6" t="str">
        <f>IFERROR(__xludf.DUMMYFUNCTION("GOOGLETRANSLATE(E37, ""en"", ""ur"")"),"غیر قانونی عمل کے ذریعے حاصل ہونے والا نتیجہ شمار نہیں کیا جا سکتا۔ ریفری پن کو کالعدم کر دے گا اور جرمانہ جاری کرے گا۔")</f>
        <v>غیر قانونی عمل کے ذریعے حاصل ہونے والا نتیجہ شمار نہیں کیا جا سکتا۔ ریفری پن کو کالعدم کر دے گا اور جرمانہ جاری کرے گا۔</v>
      </c>
    </row>
    <row r="38">
      <c r="A38" s="4">
        <v>37.0</v>
      </c>
      <c r="B38" s="5" t="s">
        <v>154</v>
      </c>
      <c r="C38" s="5" t="s">
        <v>155</v>
      </c>
      <c r="D38" s="5" t="s">
        <v>156</v>
      </c>
      <c r="E38" s="5" t="s">
        <v>157</v>
      </c>
      <c r="K38" s="6" t="str">
        <f>IFERROR(__xludf.DUMMYFUNCTION("GOOGLETRANSLATE(A38, ""en"", ""ur"")"),"37")</f>
        <v>37</v>
      </c>
      <c r="L38" s="6" t="str">
        <f>IFERROR(__xludf.DUMMYFUNCTION("GOOGLETRANSLATE(B38, ""en"", ""ur"")"),"پہلوان روایتی طور پر ننگے سینہ مقابلہ کیوں کرتے ہیں؟")</f>
        <v>پہلوان روایتی طور پر ننگے سینہ مقابلہ کیوں کرتے ہیں؟</v>
      </c>
      <c r="M38" s="6" t="str">
        <f>IFERROR(__xludf.DUMMYFUNCTION("GOOGLETRANSLATE(C38, ""en"", ""ur"")"),"A) اپنے پٹھوں کو دکھانے کے لیے، B) مخالف کو غیر قانونی طور پر ان کی قمیض پکڑنے سے روکنے کے لیے، C) گرم آب و ہوا میں یہ ٹھنڈا ہوتا ہے، D) مندرجہ بالا سبھی")</f>
        <v>A) اپنے پٹھوں کو دکھانے کے لیے، B) مخالف کو غیر قانونی طور پر ان کی قمیض پکڑنے سے روکنے کے لیے، C) گرم آب و ہوا میں یہ ٹھنڈا ہوتا ہے، D) مندرجہ بالا سبھی</v>
      </c>
      <c r="N38" s="6" t="str">
        <f>IFERROR(__xludf.DUMMYFUNCTION("GOOGLETRANSLATE(D38, ""en"", ""ur"")"),"D) مذکورہ بالا تمام")</f>
        <v>D) مذکورہ بالا تمام</v>
      </c>
      <c r="O38" s="6" t="str">
        <f>IFERROR(__xludf.DUMMYFUNCTION("GOOGLETRANSLATE(E38, ""en"", ""ur"")"),"ننگے سینے سے مقابلہ کرنا عملی ہے (غیر قانونی پکڑنے سے روکتا ہے، ٹھنڈا رہتا ہے) اور یہ پہلوان کے جسم کی روایتی نمائش بھی ہے۔")</f>
        <v>ننگے سینے سے مقابلہ کرنا عملی ہے (غیر قانونی پکڑنے سے روکتا ہے، ٹھنڈا رہتا ہے) اور یہ پہلوان کے جسم کی روایتی نمائش بھی ہے۔</v>
      </c>
    </row>
    <row r="39">
      <c r="A39" s="4">
        <v>38.0</v>
      </c>
      <c r="B39" s="5" t="s">
        <v>158</v>
      </c>
      <c r="C39" s="5" t="s">
        <v>159</v>
      </c>
      <c r="D39" s="5" t="s">
        <v>160</v>
      </c>
      <c r="E39" s="5" t="s">
        <v>161</v>
      </c>
      <c r="K39" s="6" t="str">
        <f>IFERROR(__xludf.DUMMYFUNCTION("GOOGLETRANSLATE(A39, ""en"", ""ur"")"),"38")</f>
        <v>38</v>
      </c>
      <c r="L39" s="6" t="str">
        <f>IFERROR(__xludf.DUMMYFUNCTION("GOOGLETRANSLATE(B39, ""en"", ""ur"")"),"اگر کوئی پہلوان پھینکنے کے بعد توازن برقرار رکھنے کے لیے اپنا ہاتھ زمین پر لگائے تو اس کا کیا حکم ہے؟")</f>
        <v>اگر کوئی پہلوان پھینکنے کے بعد توازن برقرار رکھنے کے لیے اپنا ہاتھ زمین پر لگائے تو اس کا کیا حکم ہے؟</v>
      </c>
      <c r="M39" s="6" t="str">
        <f>IFERROR(__xludf.DUMMYFUNCTION("GOOGLETRANSLATE(C39, ""en"", ""ur"")"),"A) تھرو قانونی ہے، B) یہ فاؤل ہے، اور مخالف کو ایک پوائنٹ دیا جاتا ہے، C) راؤنڈ دوبارہ چلایا جاتا ہے، D) وارننگ جاری کی جاتی ہے۔")</f>
        <v>A) تھرو قانونی ہے، B) یہ فاؤل ہے، اور مخالف کو ایک پوائنٹ دیا جاتا ہے، C) راؤنڈ دوبارہ چلایا جاتا ہے، D) وارننگ جاری کی جاتی ہے۔</v>
      </c>
      <c r="N39" s="6" t="str">
        <f>IFERROR(__xludf.DUMMYFUNCTION("GOOGLETRANSLATE(D39, ""en"", ""ur"")"),"ب) یہ ایک غلط ہے، اور مخالف کو ایک پوائنٹ دیا جاتا ہے۔")</f>
        <v>ب) یہ ایک غلط ہے، اور مخالف کو ایک پوائنٹ دیا جاتا ہے۔</v>
      </c>
      <c r="O39" s="6" t="str">
        <f>IFERROR(__xludf.DUMMYFUNCTION("GOOGLETRANSLATE(E39, ""en"", ""ur"")"),"ایک پہلوان کو اپنے پیروں پر توازن برقرار رکھنا چاہیے۔ ہاتھ سے زمین کو چھونے کو ""گرنے"" سمجھا جاتا ہے اور اس کے نتیجے میں پوائنٹ کا نقصان ہوتا ہے۔")</f>
        <v>ایک پہلوان کو اپنے پیروں پر توازن برقرار رکھنا چاہیے۔ ہاتھ سے زمین کو چھونے کو "گرنے" سمجھا جاتا ہے اور اس کے نتیجے میں پوائنٹ کا نقصان ہوتا ہے۔</v>
      </c>
    </row>
    <row r="40">
      <c r="A40" s="4">
        <v>39.0</v>
      </c>
      <c r="B40" s="5" t="s">
        <v>162</v>
      </c>
      <c r="C40" s="5" t="s">
        <v>163</v>
      </c>
      <c r="D40" s="5" t="s">
        <v>164</v>
      </c>
      <c r="E40" s="5" t="s">
        <v>165</v>
      </c>
      <c r="K40" s="6" t="str">
        <f>IFERROR(__xludf.DUMMYFUNCTION("GOOGLETRANSLATE(A40, ""en"", ""ur"")"),"39")</f>
        <v>39</v>
      </c>
      <c r="L40" s="6" t="str">
        <f>IFERROR(__xludf.DUMMYFUNCTION("GOOGLETRANSLATE(B40, ""en"", ""ur"")"),"ایک پہلوان اپنے ""صبر"" کے لیے جانا جاتا ہے۔ ملاخرہ میں یہ کیسی فضیلت ہے؟")</f>
        <v>ایک پہلوان اپنے "صبر" کے لیے جانا جاتا ہے۔ ملاخرہ میں یہ کیسی فضیلت ہے؟</v>
      </c>
      <c r="M40" s="6" t="str">
        <f>IFERROR(__xludf.DUMMYFUNCTION("GOOGLETRANSLATE(C40, ""en"", ""ur"")"),"A) وہ بور ہوئے بغیر طویل انتظار کر سکتے ہیں، B) وہ تھرو کرنے سے پہلے حریف کے غلطی کا انتظار کرتے ہیں، C) وہ بہت سست پہلوان ہیں، D) وہ ریفری کا احترام کرتے ہیں۔")</f>
        <v>A) وہ بور ہوئے بغیر طویل انتظار کر سکتے ہیں، B) وہ تھرو کرنے سے پہلے حریف کے غلطی کا انتظار کرتے ہیں، C) وہ بہت سست پہلوان ہیں، D) وہ ریفری کا احترام کرتے ہیں۔</v>
      </c>
      <c r="N40" s="6" t="str">
        <f>IFERROR(__xludf.DUMMYFUNCTION("GOOGLETRANSLATE(D40, ""en"", ""ur"")"),"ب) وہ تھرو کرنے سے پہلے مخالف کے غلطی کرنے کا انتظار کرتے ہیں۔")</f>
        <v>ب) وہ تھرو کرنے سے پہلے مخالف کے غلطی کرنے کا انتظار کرتے ہیں۔</v>
      </c>
      <c r="O40" s="6" t="str">
        <f>IFERROR(__xludf.DUMMYFUNCTION("GOOGLETRANSLATE(E40, ""en"", ""ur"")"),"ایک مریض پہلوان جلدی نہیں کرتا۔ وہ گرفت کو کنٹرول کرتے ہیں اور اپنی تکنیک کو مؤثر طریقے سے انجام دینے کے لیے آف بیلنس کے بہترین لمحے کا انتظار کرتے ہیں۔")</f>
        <v>ایک مریض پہلوان جلدی نہیں کرتا۔ وہ گرفت کو کنٹرول کرتے ہیں اور اپنی تکنیک کو مؤثر طریقے سے انجام دینے کے لیے آف بیلنس کے بہترین لمحے کا انتظار کرتے ہیں۔</v>
      </c>
    </row>
    <row r="41">
      <c r="A41" s="4">
        <v>40.0</v>
      </c>
      <c r="B41" s="5" t="s">
        <v>166</v>
      </c>
      <c r="C41" s="5" t="s">
        <v>167</v>
      </c>
      <c r="D41" s="5" t="s">
        <v>168</v>
      </c>
      <c r="E41" s="5" t="s">
        <v>169</v>
      </c>
      <c r="K41" s="6" t="str">
        <f>IFERROR(__xludf.DUMMYFUNCTION("GOOGLETRANSLATE(A41, ""en"", ""ur"")"),"40")</f>
        <v>40</v>
      </c>
      <c r="L41" s="6" t="str">
        <f>IFERROR(__xludf.DUMMYFUNCTION("GOOGLETRANSLATE(B41, ""en"", ""ur"")"),"اکھاڑے کی گول شکل کیوں ضروری ہے؟")</f>
        <v>اکھاڑے کی گول شکل کیوں ضروری ہے؟</v>
      </c>
      <c r="M41" s="6" t="str">
        <f>IFERROR(__xludf.DUMMYFUNCTION("GOOGLETRANSLATE(C41, ""en"", ""ur"")"),"A) کھودنا آسان ہے، B) یہ پہلوان کو کونے میں پھنسنے سے روکتا ہے، C) یہ ایک مذہبی علامت ہے، D) یہ زیادہ تماشائیوں کی اجازت دیتا ہے۔")</f>
        <v>A) کھودنا آسان ہے، B) یہ پہلوان کو کونے میں پھنسنے سے روکتا ہے، C) یہ ایک مذہبی علامت ہے، D) یہ زیادہ تماشائیوں کی اجازت دیتا ہے۔</v>
      </c>
      <c r="N41" s="6" t="str">
        <f>IFERROR(__xludf.DUMMYFUNCTION("GOOGLETRANSLATE(D41, ""en"", ""ur"")"),"ب) یہ ایک پہلوان کو کونے میں پھنسنے سے روکتا ہے۔")</f>
        <v>ب) یہ ایک پہلوان کو کونے میں پھنسنے سے روکتا ہے۔</v>
      </c>
      <c r="O41" s="6" t="str">
        <f>IFERROR(__xludf.DUMMYFUNCTION("GOOGLETRANSLATE(E41, ""en"", ""ur"")"),"ایک سرکلر میدان میں کوئی گوشہ نہیں ہوتا ہے، جو مسلسل حرکت اور کشتی کے زیادہ سیال انداز کی حوصلہ افزائی کرتا ہے۔")</f>
        <v>ایک سرکلر میدان میں کوئی گوشہ نہیں ہوتا ہے، جو مسلسل حرکت اور کشتی کے زیادہ سیال انداز کی حوصلہ افزائی کرتا ہے۔</v>
      </c>
    </row>
    <row r="42">
      <c r="A42" s="4">
        <v>41.0</v>
      </c>
      <c r="B42" s="5" t="s">
        <v>170</v>
      </c>
      <c r="C42" s="5" t="s">
        <v>171</v>
      </c>
      <c r="D42" s="5" t="s">
        <v>172</v>
      </c>
      <c r="E42" s="5" t="s">
        <v>173</v>
      </c>
      <c r="K42" s="6" t="str">
        <f>IFERROR(__xludf.DUMMYFUNCTION("GOOGLETRANSLATE(A42, ""en"", ""ur"")"),"41")</f>
        <v>41</v>
      </c>
      <c r="L42" s="6" t="str">
        <f>IFERROR(__xludf.DUMMYFUNCTION("GOOGLETRANSLATE(B42, ""en"", ""ur"")"),"ایک کم مضبوط لیکن زیادہ تکنیکی پہلوان طاقتور حریف کو شکست دینے کی بنیادی وجہ کیا ہے؟")</f>
        <v>ایک کم مضبوط لیکن زیادہ تکنیکی پہلوان طاقتور حریف کو شکست دینے کی بنیادی وجہ کیا ہے؟</v>
      </c>
      <c r="M42" s="6" t="str">
        <f>IFERROR(__xludf.DUMMYFUNCTION("GOOGLETRANSLATE(C42, ""en"", ""ur"")"),"A) وہ انہیں تھکا سکتے ہیں، B) وہ ان کو متوازن کرنے کے لیے اعلیٰ بیعانہ، وقت اور تکنیک کا استعمال کر سکتے ہیں، C) وہ غیر قانونی حرکتیں استعمال کر سکتے ہیں، D) یہ ممکن نہیں ہے۔")</f>
        <v>A) وہ انہیں تھکا سکتے ہیں، B) وہ ان کو متوازن کرنے کے لیے اعلیٰ بیعانہ، وقت اور تکنیک کا استعمال کر سکتے ہیں، C) وہ غیر قانونی حرکتیں استعمال کر سکتے ہیں، D) یہ ممکن نہیں ہے۔</v>
      </c>
      <c r="N42" s="6" t="str">
        <f>IFERROR(__xludf.DUMMYFUNCTION("GOOGLETRANSLATE(D42, ""en"", ""ur"")"),"ب) وہ ان کو متوازن کرنے کے لیے اعلیٰ بیعانہ، وقت اور تکنیک کا استعمال کر سکتے ہیں۔")</f>
        <v>ب) وہ ان کو متوازن کرنے کے لیے اعلیٰ بیعانہ، وقت اور تکنیک کا استعمال کر سکتے ہیں۔</v>
      </c>
      <c r="O42" s="6" t="str">
        <f>IFERROR(__xludf.DUMMYFUNCTION("GOOGLETRANSLATE(E42, ""en"", ""ur"")"),"ملاخرہ ایک تکنیکی فن ہے جہاں مہارت اکثر خام طاقت کے فائدہ پر قابو پا سکتی ہے۔")</f>
        <v>ملاخرہ ایک تکنیکی فن ہے جہاں مہارت اکثر خام طاقت کے فائدہ پر قابو پا سکتی ہے۔</v>
      </c>
    </row>
    <row r="43">
      <c r="A43" s="4">
        <v>42.0</v>
      </c>
      <c r="B43" s="5" t="s">
        <v>174</v>
      </c>
      <c r="C43" s="5" t="s">
        <v>175</v>
      </c>
      <c r="D43" s="5" t="s">
        <v>176</v>
      </c>
      <c r="E43" s="5" t="s">
        <v>177</v>
      </c>
      <c r="K43" s="6" t="str">
        <f>IFERROR(__xludf.DUMMYFUNCTION("GOOGLETRANSLATE(A43, ""en"", ""ur"")"),"42")</f>
        <v>42</v>
      </c>
      <c r="L43" s="6" t="str">
        <f>IFERROR(__xludf.DUMMYFUNCTION("GOOGLETRANSLATE(B43, ""en"", ""ur"")"),"ایک پہلوان کا خون بہہ رہا ہے، اور خون ان کے مخالف کو لگ جاتا ہے۔ ریفری کو کیا کرنا چاہیے؟")</f>
        <v>ایک پہلوان کا خون بہہ رہا ہے، اور خون ان کے مخالف کو لگ جاتا ہے۔ ریفری کو کیا کرنا چاہیے؟</v>
      </c>
      <c r="M43" s="6" t="str">
        <f>IFERROR(__xludf.DUMMYFUNCTION("GOOGLETRANSLATE(C43, ""en"", ""ur"")"),"A) کچھ نہیں، یہ کھیل کا حصہ ہے، B) لڑائی بند کرو اور دونوں پہلوانوں کی صفائی اور علاج کروائیں، C) خون بہنے والے پہلوان کو نااہل قرار دیں، D) اس پہلوان کو ایک پوائنٹ دیں جو خون نہیں بہہ رہا ہے۔")</f>
        <v>A) کچھ نہیں، یہ کھیل کا حصہ ہے، B) لڑائی بند کرو اور دونوں پہلوانوں کی صفائی اور علاج کروائیں، C) خون بہنے والے پہلوان کو نااہل قرار دیں، D) اس پہلوان کو ایک پوائنٹ دیں جو خون نہیں بہہ رہا ہے۔</v>
      </c>
      <c r="N43" s="6" t="str">
        <f>IFERROR(__xludf.DUMMYFUNCTION("GOOGLETRANSLATE(D43, ""en"", ""ur"")"),"ب) لڑائی بند کرو اور دونوں پہلوانوں کی صفائی اور علاج کروائیں۔")</f>
        <v>ب) لڑائی بند کرو اور دونوں پہلوانوں کی صفائی اور علاج کروائیں۔</v>
      </c>
      <c r="O43" s="6" t="str">
        <f>IFERROR(__xludf.DUMMYFUNCTION("GOOGLETRANSLATE(E43, ""en"", ""ur"")"),"""خون کے اصول"" کے تحت ریفری کو چوٹ کو سنبھالنے کے لیے میچ کو روکنے اور حفاظت کے لیے دونوں حریفوں سے خون صاف کرنے کی ضرورت ہوتی ہے۔")</f>
        <v>"خون کے اصول" کے تحت ریفری کو چوٹ کو سنبھالنے کے لیے میچ کو روکنے اور حفاظت کے لیے دونوں حریفوں سے خون صاف کرنے کی ضرورت ہوتی ہے۔</v>
      </c>
    </row>
    <row r="44">
      <c r="A44" s="4">
        <v>43.0</v>
      </c>
      <c r="B44" s="5" t="s">
        <v>178</v>
      </c>
      <c r="C44" s="5" t="s">
        <v>179</v>
      </c>
      <c r="D44" s="5" t="s">
        <v>180</v>
      </c>
      <c r="E44" s="5" t="s">
        <v>181</v>
      </c>
      <c r="K44" s="6" t="str">
        <f>IFERROR(__xludf.DUMMYFUNCTION("GOOGLETRANSLATE(A44, ""en"", ""ur"")"),"43")</f>
        <v>43</v>
      </c>
      <c r="L44" s="6" t="str">
        <f>IFERROR(__xludf.DUMMYFUNCTION("GOOGLETRANSLATE(B44, ""en"", ""ur"")"),"ایک پہلوان اپنے مضبوط ""پل"" (پل) کے لیے جانا جاتا ہے۔ اس دفاعی اقدام میں کیا شامل ہے؟")</f>
        <v>ایک پہلوان اپنے مضبوط "پل" (پل) کے لیے جانا جاتا ہے۔ اس دفاعی اقدام میں کیا شامل ہے؟</v>
      </c>
      <c r="M44" s="6" t="str">
        <f>IFERROR(__xludf.DUMMYFUNCTION("GOOGLETRANSLATE(C44, ""en"", ""ur"")"),"A) حریف کو دور دھکیلنا، B) کندھوں کو چپکانے سے بچنے کے لیے کمر اور گردن کو آرک کرنا، C) اپنے ہاتھوں سے پل بنانا، D) ٹانگوں کے تالے کی ایک قسم")</f>
        <v>A) حریف کو دور دھکیلنا، B) کندھوں کو چپکانے سے بچنے کے لیے کمر اور گردن کو آرک کرنا، C) اپنے ہاتھوں سے پل بنانا، D) ٹانگوں کے تالے کی ایک قسم</v>
      </c>
      <c r="N44" s="6" t="str">
        <f>IFERROR(__xludf.DUMMYFUNCTION("GOOGLETRANSLATE(D44, ""en"", ""ur"")"),"ب) کندھوں کو چپکانے سے بچنے کے لیے کمر اور گردن کو آرک کرنا")</f>
        <v>ب) کندھوں کو چپکانے سے بچنے کے لیے کمر اور گردن کو آرک کرنا</v>
      </c>
      <c r="O44" s="6" t="str">
        <f>IFERROR(__xludf.DUMMYFUNCTION("GOOGLETRANSLATE(E44, ""en"", ""ur"")"),"پل ایک پن سے بچنے کے لیے ریسلنگ میں ایک بنیادی دفاعی تکنیک ہے۔")</f>
        <v>پل ایک پن سے بچنے کے لیے ریسلنگ میں ایک بنیادی دفاعی تکنیک ہے۔</v>
      </c>
    </row>
    <row r="45">
      <c r="A45" s="4">
        <v>44.0</v>
      </c>
      <c r="B45" s="5" t="s">
        <v>182</v>
      </c>
      <c r="C45" s="5" t="s">
        <v>183</v>
      </c>
      <c r="D45" s="5" t="s">
        <v>156</v>
      </c>
      <c r="E45" s="5" t="s">
        <v>184</v>
      </c>
      <c r="K45" s="6" t="str">
        <f>IFERROR(__xludf.DUMMYFUNCTION("GOOGLETRANSLATE(A45, ""en"", ""ur"")"),"44")</f>
        <v>44</v>
      </c>
      <c r="L45" s="6" t="str">
        <f>IFERROR(__xludf.DUMMYFUNCTION("GOOGLETRANSLATE(B45, ""en"", ""ur"")"),"ٹورنامنٹ میں ملاخرا کے کھیل کا فیصلہ کرنے کا سب سے عام طریقہ کیا ہے؟")</f>
        <v>ٹورنامنٹ میں ملاخرا کے کھیل کا فیصلہ کرنے کا سب سے عام طریقہ کیا ہے؟</v>
      </c>
      <c r="M45" s="6" t="str">
        <f>IFERROR(__xludf.DUMMYFUNCTION("GOOGLETRANSLATE(C45, ""en"", ""ur"")"),"A) پن فال کے ذریعہ، B) پوائنٹس کے ذریعہ، اگر کوئی پن نہیں ہوتا ہے، C) نااہلی کے ذریعہ، D) مندرجہ بالا سبھی")</f>
        <v>A) پن فال کے ذریعہ، B) پوائنٹس کے ذریعہ، اگر کوئی پن نہیں ہوتا ہے، C) نااہلی کے ذریعہ، D) مندرجہ بالا سبھی</v>
      </c>
      <c r="N45" s="6" t="str">
        <f>IFERROR(__xludf.DUMMYFUNCTION("GOOGLETRANSLATE(D45, ""en"", ""ur"")"),"D) مذکورہ بالا تمام")</f>
        <v>D) مذکورہ بالا تمام</v>
      </c>
      <c r="O45" s="6" t="str">
        <f>IFERROR(__xludf.DUMMYFUNCTION("GOOGLETRANSLATE(E45, ""en"", ""ur"")"),"ایک میچ پن کے ذریعے جیتا جا سکتا ہے، مقررہ وقت کے اختتام پر زیادہ پوائنٹس حاصل کر کے، یا اگر مخالف کو فاؤل کے لیے نااہل قرار دیا جاتا ہے۔")</f>
        <v>ایک میچ پن کے ذریعے جیتا جا سکتا ہے، مقررہ وقت کے اختتام پر زیادہ پوائنٹس حاصل کر کے، یا اگر مخالف کو فاؤل کے لیے نااہل قرار دیا جاتا ہے۔</v>
      </c>
    </row>
    <row r="46">
      <c r="A46" s="4">
        <v>45.0</v>
      </c>
      <c r="B46" s="5" t="s">
        <v>185</v>
      </c>
      <c r="C46" s="5" t="s">
        <v>186</v>
      </c>
      <c r="D46" s="5" t="s">
        <v>187</v>
      </c>
      <c r="E46" s="5" t="s">
        <v>188</v>
      </c>
      <c r="K46" s="6" t="str">
        <f>IFERROR(__xludf.DUMMYFUNCTION("GOOGLETRANSLATE(A46, ""en"", ""ur"")"),"45")</f>
        <v>45</v>
      </c>
      <c r="L46" s="6" t="str">
        <f>IFERROR(__xludf.DUMMYFUNCTION("GOOGLETRANSLATE(B46, ""en"", ""ur"")"),"ایک پہلوان کو ""سفاکیت"" کے لیے نااہل قرار دیا جاتا ہے۔ ان میں سے کون سا عمل اہل ہوگا؟")</f>
        <v>ایک پہلوان کو "سفاکیت" کے لیے نااہل قرار دیا جاتا ہے۔ ان میں سے کون سا عمل اہل ہوگا؟</v>
      </c>
      <c r="M46" s="6" t="str">
        <f>IFERROR(__xludf.DUMMYFUNCTION("GOOGLETRANSLATE(C46, ""en"", ""ur"")"),"A) ایک طاقتور تھرو، B) ایک بہت سخت گرفت، C) ایک سلم جو جان بوجھ کر مخالف کے سر کو زمین میں پھینک دیتا ہے، D) ایک تیز ٹانگ جھاڑو")</f>
        <v>A) ایک طاقتور تھرو، B) ایک بہت سخت گرفت، C) ایک سلم جو جان بوجھ کر مخالف کے سر کو زمین میں پھینک دیتا ہے، D) ایک تیز ٹانگ جھاڑو</v>
      </c>
      <c r="N46" s="6" t="str">
        <f>IFERROR(__xludf.DUMMYFUNCTION("GOOGLETRANSLATE(D46, ""en"", ""ur"")"),"ج) ایک سلم جو جان بوجھ کر مخالف کے سر کو زمین میں گھسیٹتا ہے۔")</f>
        <v>ج) ایک سلم جو جان بوجھ کر مخالف کے سر کو زمین میں گھسیٹتا ہے۔</v>
      </c>
      <c r="O46" s="6" t="str">
        <f>IFERROR(__xludf.DUMMYFUNCTION("GOOGLETRANSLATE(E46, ""en"", ""ur"")"),"کوئی بھی تکنیک جو چوٹ پہنچانے کے واضح ارادے کے ساتھ انجام دی جاتی ہے، جیسے کہ خطرناک ""پائلڈرائیور"" قسم کا سلیم، ایک بڑا فاول ہے۔")</f>
        <v>کوئی بھی تکنیک جو چوٹ پہنچانے کے واضح ارادے کے ساتھ انجام دی جاتی ہے، جیسے کہ خطرناک "پائلڈرائیور" قسم کا سلیم، ایک بڑا فاول ہے۔</v>
      </c>
    </row>
    <row r="47">
      <c r="A47" s="4">
        <v>46.0</v>
      </c>
      <c r="B47" s="5" t="s">
        <v>189</v>
      </c>
      <c r="C47" s="5" t="s">
        <v>190</v>
      </c>
      <c r="D47" s="5" t="s">
        <v>191</v>
      </c>
      <c r="E47" s="5" t="s">
        <v>192</v>
      </c>
      <c r="K47" s="6" t="str">
        <f>IFERROR(__xludf.DUMMYFUNCTION("GOOGLETRANSLATE(A47, ""en"", ""ur"")"),"46")</f>
        <v>46</v>
      </c>
      <c r="L47" s="6" t="str">
        <f>IFERROR(__xludf.DUMMYFUNCTION("GOOGLETRANSLATE(B47, ""en"", ""ur"")"),"اکیسویں صدی میں کھیل کو کس طرح جدید بنایا جا رہا ہے؟")</f>
        <v>اکیسویں صدی میں کھیل کو کس طرح جدید بنایا جا رہا ہے؟</v>
      </c>
      <c r="M47" s="6" t="str">
        <f>IFERROR(__xludf.DUMMYFUNCTION("GOOGLETRANSLATE(C47, ""en"", ""ur"")"),"A) ہتھیاروں کو متعارف کراتے ہوئے، B) قواعد و ضوابط، وزن کی کلاسیں، اور باضابطہ فیڈریشنز کو منظم کر کے، C) بیلٹ کو ہٹا کر، D) ہڑتال کی اجازت دے کر")</f>
        <v>A) ہتھیاروں کو متعارف کراتے ہوئے، B) قواعد و ضوابط، وزن کی کلاسیں، اور باضابطہ فیڈریشنز کو منظم کر کے، C) بیلٹ کو ہٹا کر، D) ہڑتال کی اجازت دے کر</v>
      </c>
      <c r="N47" s="6" t="str">
        <f>IFERROR(__xludf.DUMMYFUNCTION("GOOGLETRANSLATE(D47, ""en"", ""ur"")"),"ب) قواعد و ضوابط، وزن کی کلاسیں، اور رسمی فیڈریشنوں کو منظم کرکے")</f>
        <v>ب) قواعد و ضوابط، وزن کی کلاسیں، اور رسمی فیڈریشنوں کو منظم کرکے</v>
      </c>
      <c r="O47" s="6" t="str">
        <f>IFERROR(__xludf.DUMMYFUNCTION("GOOGLETRANSLATE(E47, ""en"", ""ur"")"),"سندھ ملاکھڑا ایسوسی ایشن جیسی تنظیموں کی جانب سے اس کھیل کو قومی اور بین الاقوامی مقابلے کے لیے باقاعدہ بنانے کی کوششیں کی جا رہی ہیں۔")</f>
        <v>سندھ ملاکھڑا ایسوسی ایشن جیسی تنظیموں کی جانب سے اس کھیل کو قومی اور بین الاقوامی مقابلے کے لیے باقاعدہ بنانے کی کوششیں کی جا رہی ہیں۔</v>
      </c>
    </row>
    <row r="48">
      <c r="A48" s="4">
        <v>47.0</v>
      </c>
      <c r="B48" s="5" t="s">
        <v>193</v>
      </c>
      <c r="C48" s="5" t="s">
        <v>135</v>
      </c>
      <c r="D48" s="5" t="s">
        <v>136</v>
      </c>
      <c r="E48" s="5" t="s">
        <v>137</v>
      </c>
      <c r="K48" s="6" t="str">
        <f>IFERROR(__xludf.DUMMYFUNCTION("GOOGLETRANSLATE(A48, ""en"", ""ur"")"),"47")</f>
        <v>47</v>
      </c>
      <c r="L48" s="6" t="str">
        <f>IFERROR(__xludf.DUMMYFUNCTION("GOOGLETRANSLATE(B48, ""en"", ""ur"")"),"ایک پہلوان کے دفاع کے لیے مضبوط گردن اور پل کیوں ضروری ہے؟")</f>
        <v>ایک پہلوان کے دفاع کے لیے مضبوط گردن اور پل کیوں ضروری ہے؟</v>
      </c>
      <c r="M48" s="6" t="str">
        <f>IFERROR(__xludf.DUMMYFUNCTION("GOOGLETRANSLATE(C48, ""en"", ""ur"")"),"A) یہ خوفناک لگتا ہے، B) یہ کسی کے کندھوں کو زمین پر جمنے سے روکنے کا بنیادی طریقہ ہے، C) یہ سانس لینے میں مدد کرتا ہے، D) یہ ایک جارحانہ اقدام ہے۔")</f>
        <v>A) یہ خوفناک لگتا ہے، B) یہ کسی کے کندھوں کو زمین پر جمنے سے روکنے کا بنیادی طریقہ ہے، C) یہ سانس لینے میں مدد کرتا ہے، D) یہ ایک جارحانہ اقدام ہے۔</v>
      </c>
      <c r="N48" s="6" t="str">
        <f>IFERROR(__xludf.DUMMYFUNCTION("GOOGLETRANSLATE(D48, ""en"", ""ur"")"),"ب) کسی کے کندھوں کو زمین پر جمنے سے روکنے کا یہ بنیادی طریقہ ہے۔")</f>
        <v>ب) کسی کے کندھوں کو زمین پر جمنے سے روکنے کا یہ بنیادی طریقہ ہے۔</v>
      </c>
      <c r="O48" s="6" t="str">
        <f>IFERROR(__xludf.DUMMYFUNCTION("GOOGLETRANSLATE(E48, ""en"", ""ur"")"),"ایک مضبوط گردن ایک پہلوان کو اپنے سر پر پلنے کی اجازت دیتی ہے تاکہ وہ اپنی پیٹھ کو چٹائی سے دور رکھے، جو پن کے خلاف دفاع کی آخری لائن ہے۔")</f>
        <v>ایک مضبوط گردن ایک پہلوان کو اپنے سر پر پلنے کی اجازت دیتی ہے تاکہ وہ اپنی پیٹھ کو چٹائی سے دور رکھے، جو پن کے خلاف دفاع کی آخری لائن ہے۔</v>
      </c>
    </row>
    <row r="49">
      <c r="A49" s="4">
        <v>48.0</v>
      </c>
      <c r="B49" s="5" t="s">
        <v>194</v>
      </c>
      <c r="C49" s="5" t="s">
        <v>143</v>
      </c>
      <c r="D49" s="5" t="s">
        <v>144</v>
      </c>
      <c r="E49" s="5" t="s">
        <v>145</v>
      </c>
      <c r="K49" s="6" t="str">
        <f>IFERROR(__xludf.DUMMYFUNCTION("GOOGLETRANSLATE(A49, ""en"", ""ur"")"),"48")</f>
        <v>48</v>
      </c>
      <c r="L49" s="6" t="str">
        <f>IFERROR(__xludf.DUMMYFUNCTION("GOOGLETRANSLATE(B49, ""en"", ""ur"")"),"جیتنے والے پہلوان کے ماتھے پر اکھاڑہ سے ریت رگڑنے کی روایت کیا ظاہر کرتی ہے؟")</f>
        <v>جیتنے والے پہلوان کے ماتھے پر اکھاڑہ سے ریت رگڑنے کی روایت کیا ظاہر کرتی ہے؟</v>
      </c>
      <c r="M49" s="6" t="str">
        <f>IFERROR(__xludf.DUMMYFUNCTION("GOOGLETRANSLATE(C49, ""en"", ""ur"")"),"A) وہ پسینہ صاف کر رہے ہیں، B) یہ ریسلنگ گراؤنڈ کی فتح اور احترام کی علامت ہے، C) یہ مستقبل کے مخالفین کو ڈرانے کا ایک طریقہ ہے، D) یہ ان کے کوچ کے لیے ایک اشارہ ہے۔")</f>
        <v>A) وہ پسینہ صاف کر رہے ہیں، B) یہ ریسلنگ گراؤنڈ کی فتح اور احترام کی علامت ہے، C) یہ مستقبل کے مخالفین کو ڈرانے کا ایک طریقہ ہے، D) یہ ان کے کوچ کے لیے ایک اشارہ ہے۔</v>
      </c>
      <c r="N49" s="6" t="str">
        <f>IFERROR(__xludf.DUMMYFUNCTION("GOOGLETRANSLATE(D49, ""en"", ""ur"")"),"ب) یہ کشتی کے میدان کی فتح اور عزت کی علامت ہے۔")</f>
        <v>ب) یہ کشتی کے میدان کی فتح اور عزت کی علامت ہے۔</v>
      </c>
      <c r="O49" s="6" t="str">
        <f>IFERROR(__xludf.DUMMYFUNCTION("GOOGLETRANSLATE(E49, ""en"", ""ur"")"),"یہ عاجزی اور شکرگزاری کا روایتی اشارہ ہے، اس مقدس جگہ کا احترام کرتے ہوئے جہاں ان کی فتح ہوئی تھی۔")</f>
        <v>یہ عاجزی اور شکرگزاری کا روایتی اشارہ ہے، اس مقدس جگہ کا احترام کرتے ہوئے جہاں ان کی فتح ہوئی تھی۔</v>
      </c>
    </row>
    <row r="50">
      <c r="A50" s="4">
        <v>49.0</v>
      </c>
      <c r="B50" s="5" t="s">
        <v>195</v>
      </c>
      <c r="C50" s="5" t="s">
        <v>196</v>
      </c>
      <c r="D50" s="5" t="s">
        <v>197</v>
      </c>
      <c r="E50" s="5" t="s">
        <v>198</v>
      </c>
      <c r="K50" s="6" t="str">
        <f>IFERROR(__xludf.DUMMYFUNCTION("GOOGLETRANSLATE(A50, ""en"", ""ur"")"),"49")</f>
        <v>49</v>
      </c>
      <c r="L50" s="6" t="str">
        <f>IFERROR(__xludf.DUMMYFUNCTION("GOOGLETRANSLATE(B50, ""en"", ""ur"")"),"اپنے جوہر میں، سندھی ثقافت میں ملاکھڑا میچ کس چیز کی نمائندگی کرتا ہے؟")</f>
        <v>اپنے جوہر میں، سندھی ثقافت میں ملاکھڑا میچ کس چیز کی نمائندگی کرتا ہے؟</v>
      </c>
      <c r="M50" s="6" t="str">
        <f>IFERROR(__xludf.DUMMYFUNCTION("GOOGLETRANSLATE(C50, ""en"", ""ur"")"),"A) ایک سادہ کھیل، B) وحشیانہ طاقت کا مظاہرہ، C) طاقت، مہارت اور عزت کا نظم و ضبط سے مقابلہ، D) رنجشوں کو دور کرنے کا طریقہ")</f>
        <v>A) ایک سادہ کھیل، B) وحشیانہ طاقت کا مظاہرہ، C) طاقت، مہارت اور عزت کا نظم و ضبط سے مقابلہ، D) رنجشوں کو دور کرنے کا طریقہ</v>
      </c>
      <c r="N50" s="6" t="str">
        <f>IFERROR(__xludf.DUMMYFUNCTION("GOOGLETRANSLATE(D50, ""en"", ""ur"")"),"ج) طاقت، ہنر، اور عزت کا نظم و ضبط والا مقابلہ")</f>
        <v>ج) طاقت، ہنر، اور عزت کا نظم و ضبط والا مقابلہ</v>
      </c>
      <c r="O50" s="6" t="str">
        <f>IFERROR(__xludf.DUMMYFUNCTION("GOOGLETRANSLATE(E50, ""en"", ""ur"")"),"ملاخرہ لڑائی سے بڑھ کر ہے۔ یہ ایک قابل احترام ثقافتی ادارہ ہے جو پہلوان کی خوبیوں کو مناتا ہے۔")</f>
        <v>ملاخرہ لڑائی سے بڑھ کر ہے۔ یہ ایک قابل احترام ثقافتی ادارہ ہے جو پہلوان کی خوبیوں کو مناتا ہے۔</v>
      </c>
    </row>
    <row r="51">
      <c r="A51" s="4">
        <v>50.0</v>
      </c>
      <c r="B51" s="5" t="s">
        <v>199</v>
      </c>
      <c r="C51" s="5" t="s">
        <v>200</v>
      </c>
      <c r="D51" s="5" t="s">
        <v>201</v>
      </c>
      <c r="E51" s="5" t="s">
        <v>202</v>
      </c>
      <c r="K51" s="6" t="str">
        <f>IFERROR(__xludf.DUMMYFUNCTION("GOOGLETRANSLATE(A51, ""en"", ""ur"")"),"50")</f>
        <v>50</v>
      </c>
      <c r="L51" s="6" t="str">
        <f>IFERROR(__xludf.DUMMYFUNCTION("GOOGLETRANSLATE(B51, ""en"", ""ur"")"),"ایک پہلوان کو خبردار کیا جاتا ہے کہ وہ اپنے آزاد ہاتھ کا استعمال کرتے ہوئے مخالف کے نقطہ نظر کو روکتا ہے۔ کیا یہ صحیح کال ہے؟")</f>
        <v>ایک پہلوان کو خبردار کیا جاتا ہے کہ وہ اپنے آزاد ہاتھ کا استعمال کرتے ہوئے مخالف کے نقطہ نظر کو روکتا ہے۔ کیا یہ صحیح کال ہے؟</v>
      </c>
      <c r="M51" s="6" t="str">
        <f>IFERROR(__xludf.DUMMYFUNCTION("GOOGLETRANSLATE(C51, ""en"", ""ur"")"),"A) نہیں، یہ ایک ہوشیار حربہ ہے، B) جی ہاں، یہ ایک غیر قانونی اور غیر کھیلوں کی طرح کی فاؤل ہے، C) صرف اس صورت میں جب ہاتھ آنکھوں سے رابطہ کرے، D) یہ قانونی ہے لیکن اس پر ہچکچاہٹ")</f>
        <v>A) نہیں، یہ ایک ہوشیار حربہ ہے، B) جی ہاں، یہ ایک غیر قانونی اور غیر کھیلوں کی طرح کی فاؤل ہے، C) صرف اس صورت میں جب ہاتھ آنکھوں سے رابطہ کرے، D) یہ قانونی ہے لیکن اس پر ہچکچاہٹ</v>
      </c>
      <c r="N51" s="6" t="str">
        <f>IFERROR(__xludf.DUMMYFUNCTION("GOOGLETRANSLATE(D51, ""en"", ""ur"")"),"ب) جی ہاں، یہ ایک غیر قانونی اور غیر اسپورٹس مین فاؤل ہے۔")</f>
        <v>ب) جی ہاں، یہ ایک غیر قانونی اور غیر اسپورٹس مین فاؤل ہے۔</v>
      </c>
      <c r="O51" s="6" t="str">
        <f>IFERROR(__xludf.DUMMYFUNCTION("GOOGLETRANSLATE(E51, ""en"", ""ur"")"),"ایک ""آئی ریک"" یا جان بوجھ کر ہاتھ سے بینائی کو روکنا خطرناک اور غیر کھیل کے ہتھکنڈوں کو روکنے کے لیے ڈیزائن کیا گیا ایک غلط طریقہ ہے۔")</f>
        <v>ایک "آئی ریک" یا جان بوجھ کر ہاتھ سے بینائی کو روکنا خطرناک اور غیر کھیل کے ہتھکنڈوں کو روکنے کے لیے ڈیزائن کیا گیا ایک غلط طریقہ ہے۔</v>
      </c>
    </row>
    <row r="52">
      <c r="A52" s="4">
        <v>51.0</v>
      </c>
      <c r="B52" s="5" t="s">
        <v>203</v>
      </c>
      <c r="C52" s="5" t="s">
        <v>204</v>
      </c>
      <c r="D52" s="5" t="s">
        <v>205</v>
      </c>
      <c r="E52" s="5" t="s">
        <v>206</v>
      </c>
      <c r="K52" s="6" t="str">
        <f>IFERROR(__xludf.DUMMYFUNCTION("GOOGLETRANSLATE(A52, ""en"", ""ur"")"),"51")</f>
        <v>51</v>
      </c>
      <c r="L52" s="6" t="str">
        <f>IFERROR(__xludf.DUMMYFUNCTION("GOOGLETRANSLATE(B52, ""en"", ""ur"")"),"ایک پہلوان کے لیے کیا سزا ہے جو میچ کے بعد روایتی مصافحہ یا گلے ملنے سے انکار کرتا ہے؟")</f>
        <v>ایک پہلوان کے لیے کیا سزا ہے جو میچ کے بعد روایتی مصافحہ یا گلے ملنے سے انکار کرتا ہے؟</v>
      </c>
      <c r="M52" s="6" t="str">
        <f>IFERROR(__xludf.DUMMYFUNCTION("GOOGLETRANSLATE(C52, ""en"", ""ur"")"),"A) کوئی جرمانہ نہیں ہے، B) ریفری کی طرف سے غیر کھیلوں کے طرز عمل کی وارننگ جاری کی جا سکتی ہے، C) انہیں اپنا انعام ضائع کرنا ہو گا، D) میچ دوبارہ کھیلا جانا چاہیے۔")</f>
        <v>A) کوئی جرمانہ نہیں ہے، B) ریفری کی طرف سے غیر کھیلوں کے طرز عمل کی وارننگ جاری کی جا سکتی ہے، C) انہیں اپنا انعام ضائع کرنا ہو گا، D) میچ دوبارہ کھیلا جانا چاہیے۔</v>
      </c>
      <c r="N52" s="6" t="str">
        <f>IFERROR(__xludf.DUMMYFUNCTION("GOOGLETRANSLATE(D52, ""en"", ""ur"")"),"ب) ریفری کی طرف سے غیر کھیلوں کے طرز عمل کی وارننگ جاری کی جا سکتی ہے۔")</f>
        <v>ب) ریفری کی طرف سے غیر کھیلوں کے طرز عمل کی وارننگ جاری کی جا سکتی ہے۔</v>
      </c>
      <c r="O52" s="6" t="str">
        <f>IFERROR(__xludf.DUMMYFUNCTION("GOOGLETRANSLATE(E52, ""en"", ""ur"")"),"کھیل احترام کو بہت زیادہ اہمیت دیتا ہے۔ میچ کے بعد حریف کو تسلیم کرنے سے انکار اس ضابطہ کی سنگین خلاف ورزی ہے۔")</f>
        <v>کھیل احترام کو بہت زیادہ اہمیت دیتا ہے۔ میچ کے بعد حریف کو تسلیم کرنے سے انکار اس ضابطہ کی سنگین خلاف ورزی ہے۔</v>
      </c>
    </row>
    <row r="53">
      <c r="A53" s="4">
        <v>52.0</v>
      </c>
      <c r="B53" s="5" t="s">
        <v>54</v>
      </c>
      <c r="C53" s="5" t="s">
        <v>55</v>
      </c>
      <c r="D53" s="5" t="s">
        <v>56</v>
      </c>
      <c r="E53" s="5" t="s">
        <v>57</v>
      </c>
      <c r="K53" s="6" t="str">
        <f>IFERROR(__xludf.DUMMYFUNCTION("GOOGLETRANSLATE(A53, ""en"", ""ur"")"),"52")</f>
        <v>52</v>
      </c>
      <c r="L53" s="6" t="str">
        <f>IFERROR(__xludf.DUMMYFUNCTION("GOOGLETRANSLATE(B53, ""en"", ""ur"")"),"نوجوانوں کے مقابلے میں، ایک پہلوان اپنے وزن کی کلاس کی حد سے 12 کلو زیادہ وزنی پایا جاتا ہے۔ اس کا کیا حکم ہے؟")</f>
        <v>نوجوانوں کے مقابلے میں، ایک پہلوان اپنے وزن کی کلاس کی حد سے 12 کلو زیادہ وزنی پایا جاتا ہے۔ اس کا کیا حکم ہے؟</v>
      </c>
      <c r="M53" s="6" t="str">
        <f>IFERROR(__xludf.DUMMYFUNCTION("GOOGLETRANSLATE(C53, ""en"", ""ur"")"),"A) انہیں معذوری کے ساتھ مقابلہ کرنے کی اجازت ہے، B) وہ اس وزن والے طبقے سے نااہل قرار دیئے گئے ہیں، C) انہیں اگلی زیادہ وزن والے طبقے میں منتقل کر دیا گیا ہے، D) وزن کے فرق کو نظر انداز کر دیا گیا ہے۔")</f>
        <v>A) انہیں معذوری کے ساتھ مقابلہ کرنے کی اجازت ہے، B) وہ اس وزن والے طبقے سے نااہل قرار دیئے گئے ہیں، C) انہیں اگلی زیادہ وزن والے طبقے میں منتقل کر دیا گیا ہے، D) وزن کے فرق کو نظر انداز کر دیا گیا ہے۔</v>
      </c>
      <c r="N53" s="6" t="str">
        <f>IFERROR(__xludf.DUMMYFUNCTION("GOOGLETRANSLATE(D53, ""en"", ""ur"")"),"ب) وہ اس وزنی طبقے سے نااہل ہیں۔")</f>
        <v>ب) وہ اس وزنی طبقے سے نااہل ہیں۔</v>
      </c>
      <c r="O53" s="6" t="str">
        <f>IFERROR(__xludf.DUMMYFUNCTION("GOOGLETRANSLATE(E53, ""en"", ""ur"")"),"منصفانہ اور محفوظ مقابلے کو یقینی بنانے کے لیے وزن کی کلاسز کو سختی سے نافذ کیا جاتا ہے۔ ایک لڑاکا کو متفقہ وزن بنانا چاہیے۔")</f>
        <v>منصفانہ اور محفوظ مقابلے کو یقینی بنانے کے لیے وزن کی کلاسز کو سختی سے نافذ کیا جاتا ہے۔ ایک لڑاکا کو متفقہ وزن بنانا چاہیے۔</v>
      </c>
    </row>
    <row r="54">
      <c r="A54" s="4">
        <v>53.0</v>
      </c>
      <c r="B54" s="5" t="s">
        <v>42</v>
      </c>
      <c r="C54" s="5" t="s">
        <v>43</v>
      </c>
      <c r="D54" s="5" t="s">
        <v>44</v>
      </c>
      <c r="E54" s="5" t="s">
        <v>45</v>
      </c>
      <c r="K54" s="6" t="str">
        <f>IFERROR(__xludf.DUMMYFUNCTION("GOOGLETRANSLATE(A54, ""en"", ""ur"")"),"53")</f>
        <v>53</v>
      </c>
      <c r="L54" s="6" t="str">
        <f>IFERROR(__xludf.DUMMYFUNCTION("GOOGLETRANSLATE(B54, ""en"", ""ur"")"),"ایک پہلوان کو ریفری نے غیر قانونی گرفت کے لیے تنبیہ کی ہے۔ انہوں نے کیا کیا ہوگا؟")</f>
        <v>ایک پہلوان کو ریفری نے غیر قانونی گرفت کے لیے تنبیہ کی ہے۔ انہوں نے کیا کیا ہوگا؟</v>
      </c>
      <c r="M54" s="6" t="str">
        <f>IFERROR(__xludf.DUMMYFUNCTION("GOOGLETRANSLATE(C54, ""en"", ""ur"")"),"A) بیلٹ کو بہت مضبوطی سے پکڑا، B) بیلٹ کے بجائے مخالف کی شارٹس یا لنگوٹی کو پکڑا، C) بیلٹ پر دونوں ہاتھوں کا استعمال کیا، D) گرفت کو زیادہ دیر تک پکڑے رکھا")</f>
        <v>A) بیلٹ کو بہت مضبوطی سے پکڑا، B) بیلٹ کے بجائے مخالف کی شارٹس یا لنگوٹی کو پکڑا، C) بیلٹ پر دونوں ہاتھوں کا استعمال کیا، D) گرفت کو زیادہ دیر تک پکڑے رکھا</v>
      </c>
      <c r="N54" s="6" t="str">
        <f>IFERROR(__xludf.DUMMYFUNCTION("GOOGLETRANSLATE(D54, ""en"", ""ur"")"),"ب) بیلٹ کے بجائے مخالف کی شارٹس یا لنگوٹی کو پکڑنا")</f>
        <v>ب) بیلٹ کے بجائے مخالف کی شارٹس یا لنگوٹی کو پکڑنا</v>
      </c>
      <c r="O54" s="6" t="str">
        <f>IFERROR(__xludf.DUMMYFUNCTION("GOOGLETRANSLATE(E54, ""en"", ""ur"")"),"تمام گرفت سیندھرو پر ہی ہونی چاہیے۔ حریف کے لباس کے کسی دوسرے حصے کو پکڑنا فُل ہے۔")</f>
        <v>تمام گرفت سیندھرو پر ہی ہونی چاہیے۔ حریف کے لباس کے کسی دوسرے حصے کو پکڑنا فُل ہے۔</v>
      </c>
    </row>
    <row r="55">
      <c r="A55" s="4">
        <v>54.0</v>
      </c>
      <c r="B55" s="5" t="s">
        <v>207</v>
      </c>
      <c r="C55" s="5" t="s">
        <v>208</v>
      </c>
      <c r="D55" s="5" t="s">
        <v>209</v>
      </c>
      <c r="E55" s="5" t="s">
        <v>210</v>
      </c>
      <c r="K55" s="6" t="str">
        <f>IFERROR(__xludf.DUMMYFUNCTION("GOOGLETRANSLATE(A55, ""en"", ""ur"")"),"54")</f>
        <v>54</v>
      </c>
      <c r="L55" s="6" t="str">
        <f>IFERROR(__xludf.DUMMYFUNCTION("GOOGLETRANSLATE(B55, ""en"", ""ur"")"),"""تکنیکی پن"" کیا ہے؟")</f>
        <v>"تکنیکی پن" کیا ہے؟</v>
      </c>
      <c r="M55" s="6" t="str">
        <f>IFERROR(__xludf.DUMMYFUNCTION("GOOGLETRANSLATE(C55, ""en"", ""ur"")"),"A) ایک خاص تکنیک کا استعمال کرتے ہوئے حاصل کیا گیا پن، B) جب ایک پہلوان کے کندھے کے بلیڈ کو ایک مختصر، کنٹرول شدہ مدت کے لیے زمین پر رکھا جاتا ہے، C) ایک پن جس پر کوچ کی طرف سے اختلاف کیا جاتا ہے، D) ایک پن جو رنگ کے باہر ہوتا ہے۔")</f>
        <v>A) ایک خاص تکنیک کا استعمال کرتے ہوئے حاصل کیا گیا پن، B) جب ایک پہلوان کے کندھے کے بلیڈ کو ایک مختصر، کنٹرول شدہ مدت کے لیے زمین پر رکھا جاتا ہے، C) ایک پن جس پر کوچ کی طرف سے اختلاف کیا جاتا ہے، D) ایک پن جو رنگ کے باہر ہوتا ہے۔</v>
      </c>
      <c r="N55" s="6" t="str">
        <f>IFERROR(__xludf.DUMMYFUNCTION("GOOGLETRANSLATE(D55, ""en"", ""ur"")"),"ب) جب ایک پہلوان کے کندھے کے بلیڈ کو ایک مختصر، کنٹرول شدہ مدت کے لیے زمین پر رکھا جاتا ہے۔")</f>
        <v>ب) جب ایک پہلوان کے کندھے کے بلیڈ کو ایک مختصر، کنٹرول شدہ مدت کے لیے زمین پر رکھا جاتا ہے۔</v>
      </c>
      <c r="O55" s="6" t="str">
        <f>IFERROR(__xludf.DUMMYFUNCTION("GOOGLETRANSLATE(E55, ""en"", ""ur"")"),"یہ بہت سے فارمیٹس میں ایک اصول ہے جہاں جیتنے کے لیے ایک مخصوص مدت (جیسے 3 سیکنڈ) کے لیے ایک واضح، کنٹرول شدہ پن کی ضرورت ہوتی ہے۔")</f>
        <v>یہ بہت سے فارمیٹس میں ایک اصول ہے جہاں جیتنے کے لیے ایک مخصوص مدت (جیسے 3 سیکنڈ) کے لیے ایک واضح، کنٹرول شدہ پن کی ضرورت ہوتی ہے۔</v>
      </c>
    </row>
    <row r="56">
      <c r="A56" s="4">
        <v>55.0</v>
      </c>
      <c r="B56" s="5" t="s">
        <v>211</v>
      </c>
      <c r="C56" s="5" t="s">
        <v>212</v>
      </c>
      <c r="D56" s="5" t="s">
        <v>213</v>
      </c>
      <c r="E56" s="5" t="s">
        <v>214</v>
      </c>
      <c r="K56" s="6" t="str">
        <f>IFERROR(__xludf.DUMMYFUNCTION("GOOGLETRANSLATE(A56, ""en"", ""ur"")"),"55")</f>
        <v>55</v>
      </c>
      <c r="L56" s="6" t="str">
        <f>IFERROR(__xludf.DUMMYFUNCTION("GOOGLETRANSLATE(B56, ""en"", ""ur"")"),"ہپ وہیل (بگھالی) پھینکنے کی کوشش کرنے والے مخالف کا بہترین جواب کیا ہے؟")</f>
        <v>ہپ وہیل (بگھالی) پھینکنے کی کوشش کرنے والے مخالف کا بہترین جواب کیا ہے؟</v>
      </c>
      <c r="M56" s="6" t="str">
        <f>IFERROR(__xludf.DUMMYFUNCTION("GOOGLETRANSLATE(C56, ""en"", ""ur"")"),"A) ان کی پٹی پر اپنی گرفت چھوڑنے کے لیے، B) پیچھے کی طرف چھلانگ لگانے کے لیے، C) ان کے پورے جسم میں قدم رکھنا اور ان کے کولہے کے داخلے کو روکنا، D) انہیں قریب کھینچنا")</f>
        <v>A) ان کی پٹی پر اپنی گرفت چھوڑنے کے لیے، B) پیچھے کی طرف چھلانگ لگانے کے لیے، C) ان کے پورے جسم میں قدم رکھنا اور ان کے کولہے کے داخلے کو روکنا، D) انہیں قریب کھینچنا</v>
      </c>
      <c r="N56" s="6" t="str">
        <f>IFERROR(__xludf.DUMMYFUNCTION("GOOGLETRANSLATE(D56, ""en"", ""ur"")"),"ج) ان کے جسم میں قدم رکھنا اور ان کے کولہے کے داخلے کو روکنا")</f>
        <v>ج) ان کے جسم میں قدم رکھنا اور ان کے کولہے کے داخلے کو روکنا</v>
      </c>
      <c r="O56" s="6" t="str">
        <f>IFERROR(__xludf.DUMMYFUNCTION("GOOGLETRANSLATE(E56, ""en"", ""ur"")"),"سب سے مؤثر دفاع یہ ہے کہ فٹ ورک کا استعمال حریف کو کولہے کی اس پوزیشن سے انکار کرنے کے لیے کیا جائے جس کی انہیں تھرو کے لیے ایک فلکرم کے طور پر استعمال کرنے کی ضرورت ہے۔")</f>
        <v>سب سے مؤثر دفاع یہ ہے کہ فٹ ورک کا استعمال حریف کو کولہے کی اس پوزیشن سے انکار کرنے کے لیے کیا جائے جس کی انہیں تھرو کے لیے ایک فلکرم کے طور پر استعمال کرنے کی ضرورت ہے۔</v>
      </c>
    </row>
    <row r="57">
      <c r="A57" s="4">
        <v>56.0</v>
      </c>
      <c r="B57" s="5" t="s">
        <v>215</v>
      </c>
      <c r="C57" s="5" t="s">
        <v>216</v>
      </c>
      <c r="D57" s="5" t="s">
        <v>217</v>
      </c>
      <c r="E57" s="5" t="s">
        <v>218</v>
      </c>
      <c r="K57" s="6" t="str">
        <f>IFERROR(__xludf.DUMMYFUNCTION("GOOGLETRANSLATE(A57, ""en"", ""ur"")"),"56")</f>
        <v>56</v>
      </c>
      <c r="L57" s="6" t="str">
        <f>IFERROR(__xludf.DUMMYFUNCTION("GOOGLETRANSLATE(B57, ""en"", ""ur"")"),"اگر کسی پہلوان کا ہاتھ جو بیلٹ کو پکڑنے کے لیے استعمال ہوتا ہے، توازن کے لیے زمین کو چھوئے تو اس کا کیا حکم ہے؟")</f>
        <v>اگر کسی پہلوان کا ہاتھ جو بیلٹ کو پکڑنے کے لیے استعمال ہوتا ہے، توازن کے لیے زمین کو چھوئے تو اس کا کیا حکم ہے؟</v>
      </c>
      <c r="M57" s="6" t="str">
        <f>IFERROR(__xludf.DUMMYFUNCTION("GOOGLETRANSLATE(C57, ""en"", ""ur"")"),"A) گرنے کو روکنے کے لیے یہ ایک قانونی اقدام ہے، B) یہ گرفت کی خلاف ورزی ہے، اور مخالف کو پوائنٹ دیا جاتا ہے، C) میچ دوبارہ شروع ہوتا ہے، D) کوئی جرمانہ نہیں ہوتا")</f>
        <v>A) گرنے کو روکنے کے لیے یہ ایک قانونی اقدام ہے، B) یہ گرفت کی خلاف ورزی ہے، اور مخالف کو پوائنٹ دیا جاتا ہے، C) میچ دوبارہ شروع ہوتا ہے، D) کوئی جرمانہ نہیں ہوتا</v>
      </c>
      <c r="N57" s="6" t="str">
        <f>IFERROR(__xludf.DUMMYFUNCTION("GOOGLETRANSLATE(D57, ""en"", ""ur"")"),"ب) یہ گرفت کی خلاف ورزی ہے، اور مخالف کو ایک پوائنٹ دیا جاتا ہے۔")</f>
        <v>ب) یہ گرفت کی خلاف ورزی ہے، اور مخالف کو ایک پوائنٹ دیا جاتا ہے۔</v>
      </c>
      <c r="O57" s="6" t="str">
        <f>IFERROR(__xludf.DUMMYFUNCTION("GOOGLETRANSLATE(E57, ""en"", ""ur"")"),"سیندھرو کو پکڑنے والے ہاتھ مخالف کے ساتھ لگے رہیں۔ چٹائی پر پوسٹ کرنے کے لیے پکڑے ہوئے ہاتھ کا استعمال کرنا غلط ہے۔")</f>
        <v>سیندھرو کو پکڑنے والے ہاتھ مخالف کے ساتھ لگے رہیں۔ چٹائی پر پوسٹ کرنے کے لیے پکڑے ہوئے ہاتھ کا استعمال کرنا غلط ہے۔</v>
      </c>
    </row>
    <row r="58">
      <c r="A58" s="4">
        <v>57.0</v>
      </c>
      <c r="B58" s="5" t="s">
        <v>219</v>
      </c>
      <c r="C58" s="5" t="s">
        <v>220</v>
      </c>
      <c r="D58" s="5" t="s">
        <v>221</v>
      </c>
      <c r="E58" s="5" t="s">
        <v>222</v>
      </c>
      <c r="K58" s="6" t="str">
        <f>IFERROR(__xludf.DUMMYFUNCTION("GOOGLETRANSLATE(A58, ""en"", ""ur"")"),"57")</f>
        <v>57</v>
      </c>
      <c r="L58" s="6" t="str">
        <f>IFERROR(__xludf.DUMMYFUNCTION("GOOGLETRANSLATE(B58, ""en"", ""ur"")"),"سندھ میں کن ثقافتی تقریبات میں ملاکھڑا مقابلے سب سے زیادہ نمایاں ہوتے ہیں؟")</f>
        <v>سندھ میں کن ثقافتی تقریبات میں ملاکھڑا مقابلے سب سے زیادہ نمایاں ہوتے ہیں؟</v>
      </c>
      <c r="M58" s="6" t="str">
        <f>IFERROR(__xludf.DUMMYFUNCTION("GOOGLETRANSLATE(C58, ""en"", ""ur"")"),"A) شادیاں، B) سیاسی جلسے، C) عرس (صوفی تہوار) اور دیگر روایتی میلے (میلے)، D) قومی تعطیلات")</f>
        <v>A) شادیاں، B) سیاسی جلسے، C) عرس (صوفی تہوار) اور دیگر روایتی میلے (میلے)، D) قومی تعطیلات</v>
      </c>
      <c r="N58" s="6" t="str">
        <f>IFERROR(__xludf.DUMMYFUNCTION("GOOGLETRANSLATE(D58, ""en"", ""ur"")"),"ج) عرس (صوفی میلے) اور دیگر روایتی میلے (میلے)")</f>
        <v>ج) عرس (صوفی میلے) اور دیگر روایتی میلے (میلے)</v>
      </c>
      <c r="O58" s="6" t="str">
        <f>IFERROR(__xludf.DUMMYFUNCTION("GOOGLETRANSLATE(E58, ""en"", ""ur"")"),"ملاکھڑا سندھ کی ثقافتی اور مذہبی زندگی سے گہرا جڑا ہوا ہے اور بڑے مقامی تہواروں کی خاص بات ہے۔")</f>
        <v>ملاکھڑا سندھ کی ثقافتی اور مذہبی زندگی سے گہرا جڑا ہوا ہے اور بڑے مقامی تہواروں کی خاص بات ہے۔</v>
      </c>
    </row>
    <row r="59">
      <c r="A59" s="4">
        <v>58.0</v>
      </c>
      <c r="B59" s="5" t="s">
        <v>223</v>
      </c>
      <c r="C59" s="5" t="s">
        <v>224</v>
      </c>
      <c r="D59" s="5" t="s">
        <v>225</v>
      </c>
      <c r="E59" s="5" t="s">
        <v>226</v>
      </c>
      <c r="K59" s="6" t="str">
        <f>IFERROR(__xludf.DUMMYFUNCTION("GOOGLETRANSLATE(A59, ""en"", ""ur"")"),"58")</f>
        <v>58</v>
      </c>
      <c r="L59" s="6" t="str">
        <f>IFERROR(__xludf.DUMMYFUNCTION("GOOGLETRANSLATE(B59, ""en"", ""ur"")"),"ملاخرہ میں ان میں سے کونسی عام اور قانونی جارحانہ تکنیک ہے؟")</f>
        <v>ملاخرہ میں ان میں سے کونسی عام اور قانونی جارحانہ تکنیک ہے؟</v>
      </c>
      <c r="M59" s="6" t="str">
        <f>IFERROR(__xludf.DUMMYFUNCTION("GOOGLETRANSLATE(C59, ""en"", ""ur"")"),"A) مخالف کے سینے پر مکے مارنا، B) ٹانگ جھاڑنا یا ٹرپ کرنا، C) مخالف کی ٹانگ پر لات مارنا، D) ہیڈ بٹ")</f>
        <v>A) مخالف کے سینے پر مکے مارنا، B) ٹانگ جھاڑنا یا ٹرپ کرنا، C) مخالف کی ٹانگ پر لات مارنا، D) ہیڈ بٹ</v>
      </c>
      <c r="N59" s="6" t="str">
        <f>IFERROR(__xludf.DUMMYFUNCTION("GOOGLETRANSLATE(D59, ""en"", ""ur"")"),"ب) ایک ٹانگ جھاڑو یا سفر")</f>
        <v>ب) ایک ٹانگ جھاڑو یا سفر</v>
      </c>
      <c r="O59" s="6" t="str">
        <f>IFERROR(__xludf.DUMMYFUNCTION("GOOGLETRANSLATE(E59, ""en"", ""ur"")"),"ٹانگوں کا استعمال مخالف کو ٹرپ کرنے یا جھاڑو دینے کے لیے آرٹ کی ٹیک ڈاؤن تکنیک کا ایک بنیادی حصہ ہے۔")</f>
        <v>ٹانگوں کا استعمال مخالف کو ٹرپ کرنے یا جھاڑو دینے کے لیے آرٹ کی ٹیک ڈاؤن تکنیک کا ایک بنیادی حصہ ہے۔</v>
      </c>
    </row>
    <row r="60">
      <c r="A60" s="4">
        <v>59.0</v>
      </c>
      <c r="B60" s="5" t="s">
        <v>227</v>
      </c>
      <c r="C60" s="5" t="s">
        <v>228</v>
      </c>
      <c r="D60" s="5" t="s">
        <v>229</v>
      </c>
      <c r="E60" s="5" t="s">
        <v>230</v>
      </c>
      <c r="K60" s="6" t="str">
        <f>IFERROR(__xludf.DUMMYFUNCTION("GOOGLETRANSLATE(A60, ""en"", ""ur"")"),"59")</f>
        <v>59</v>
      </c>
      <c r="L60" s="6" t="str">
        <f>IFERROR(__xludf.DUMMYFUNCTION("GOOGLETRANSLATE(B60, ""en"", ""ur"")"),"روایتی طور پر ملاکھڑا میچ کیسے شروع ہوتا ہے؟")</f>
        <v>روایتی طور پر ملاکھڑا میچ کیسے شروع ہوتا ہے؟</v>
      </c>
      <c r="M60" s="6" t="str">
        <f>IFERROR(__xludf.DUMMYFUNCTION("GOOGLETRANSLATE(C60, ""en"", ""ur"")"),"A) مصافحہ کے ساتھ، B) پہلوان ایک دوسرے کی کمر کے گرد سیندھرو باندھتے ہیں، C) سکے کے ٹاس کے ساتھ، D) ریفری کو کمان کے ساتھ")</f>
        <v>A) مصافحہ کے ساتھ، B) پہلوان ایک دوسرے کی کمر کے گرد سیندھرو باندھتے ہیں، C) سکے کے ٹاس کے ساتھ، D) ریفری کو کمان کے ساتھ</v>
      </c>
      <c r="N60" s="6" t="str">
        <f>IFERROR(__xludf.DUMMYFUNCTION("GOOGLETRANSLATE(D60, ""en"", ""ur"")"),"ب) پہلوان ایک دوسرے کی کمر کے گرد سیندھرو باندھتے ہیں۔")</f>
        <v>ب) پہلوان ایک دوسرے کی کمر کے گرد سیندھرو باندھتے ہیں۔</v>
      </c>
      <c r="O60" s="6" t="str">
        <f>IFERROR(__xludf.DUMMYFUNCTION("GOOGLETRANSLATE(E60, ""en"", ""ur"")"),"میچ کا آغاز پہلوانوں کے ایک دوسرے کی بیلٹوں کو پکڑنے کی منفرد رسم سے ہوتا ہے، جو پھر مسلسل رابطے کو یقینی بنانے کے لیے باندھ دی جاتی ہیں۔")</f>
        <v>میچ کا آغاز پہلوانوں کے ایک دوسرے کی بیلٹوں کو پکڑنے کی منفرد رسم سے ہوتا ہے، جو پھر مسلسل رابطے کو یقینی بنانے کے لیے باندھ دی جاتی ہیں۔</v>
      </c>
    </row>
    <row r="61">
      <c r="A61" s="4">
        <v>60.0</v>
      </c>
      <c r="B61" s="5" t="s">
        <v>231</v>
      </c>
      <c r="C61" s="5" t="s">
        <v>232</v>
      </c>
      <c r="D61" s="5" t="s">
        <v>233</v>
      </c>
      <c r="E61" s="5" t="s">
        <v>234</v>
      </c>
      <c r="K61" s="6" t="str">
        <f>IFERROR(__xludf.DUMMYFUNCTION("GOOGLETRANSLATE(A61, ""en"", ""ur"")"),"60")</f>
        <v>60</v>
      </c>
      <c r="L61" s="6" t="str">
        <f>IFERROR(__xludf.DUMMYFUNCTION("GOOGLETRANSLATE(B61, ""en"", ""ur"")"),"اگر دونوں پہلوان بغیر کسی واضح پن کے بیک وقت زمین پر گر جائیں تو کیا ہوگا؟")</f>
        <v>اگر دونوں پہلوان بغیر کسی واضح پن کے بیک وقت زمین پر گر جائیں تو کیا ہوگا؟</v>
      </c>
      <c r="M61" s="6" t="str">
        <f>IFERROR(__xludf.DUMMYFUNCTION("GOOGLETRANSLATE(C61, ""en"", ""ur"")"),"A) جو پہلوان ٹاپ پر اترتا ہے وہ ایک پوائنٹ جیتتا ہے، B) دونوں پہلوان ایک پوائنٹ ہارتے ہیں، C) کوئی پوائنٹ نہیں دیا جاتا، اور میچ مرکز سے دوبارہ شروع ہوتا ہے، D) راؤنڈ فوراً ختم ہو جاتا ہے۔")</f>
        <v>A) جو پہلوان ٹاپ پر اترتا ہے وہ ایک پوائنٹ جیتتا ہے، B) دونوں پہلوان ایک پوائنٹ ہارتے ہیں، C) کوئی پوائنٹ نہیں دیا جاتا، اور میچ مرکز سے دوبارہ شروع ہوتا ہے، D) راؤنڈ فوراً ختم ہو جاتا ہے۔</v>
      </c>
      <c r="N61" s="6" t="str">
        <f>IFERROR(__xludf.DUMMYFUNCTION("GOOGLETRANSLATE(D61, ""en"", ""ur"")"),"C) کوئی پوائنٹ نہیں دیا جاتا ہے، اور میچ کو مرکز سے دوبارہ شروع کیا جاتا ہے۔")</f>
        <v>C) کوئی پوائنٹ نہیں دیا جاتا ہے، اور میچ کو مرکز سے دوبارہ شروع کیا جاتا ہے۔</v>
      </c>
      <c r="O61" s="6" t="str">
        <f>IFERROR(__xludf.DUMMYFUNCTION("GOOGLETRANSLATE(E61, ""en"", ""ur"")"),"اگر باہمی گرنے کے دوران کوئی واضح کنٹرول یا پن نہیں ہے تو، کارروائی کو غیر جانبدار سمجھا جاتا ہے، اور راؤنڈ بغیر کسی سکور کے دوبارہ ترتیب دیا جاتا ہے۔")</f>
        <v>اگر باہمی گرنے کے دوران کوئی واضح کنٹرول یا پن نہیں ہے تو، کارروائی کو غیر جانبدار سمجھا جاتا ہے، اور راؤنڈ بغیر کسی سکور کے دوبارہ ترتیب دیا جاتا ہے۔</v>
      </c>
    </row>
    <row r="62">
      <c r="A62" s="4">
        <v>61.0</v>
      </c>
      <c r="B62" s="5" t="s">
        <v>70</v>
      </c>
      <c r="C62" s="5" t="s">
        <v>71</v>
      </c>
      <c r="D62" s="5" t="s">
        <v>72</v>
      </c>
      <c r="E62" s="5" t="s">
        <v>73</v>
      </c>
      <c r="K62" s="6" t="str">
        <f>IFERROR(__xludf.DUMMYFUNCTION("GOOGLETRANSLATE(A62, ""en"", ""ur"")"),"61")</f>
        <v>61</v>
      </c>
      <c r="L62" s="6" t="str">
        <f>IFERROR(__xludf.DUMMYFUNCTION("GOOGLETRANSLATE(B62, ""en"", ""ur"")"),"ایک پہلوان کو ""استاد"" کہا جاتا ہے۔ ملاخرہ برادری میں ان کا کیا کردار ہے؟")</f>
        <v>ایک پہلوان کو "استاد" کہا جاتا ہے۔ ملاخرہ برادری میں ان کا کیا کردار ہے؟</v>
      </c>
      <c r="M62" s="6" t="str">
        <f>IFERROR(__xludf.DUMMYFUNCTION("GOOGLETRANSLATE(C62, ""en"", ""ur"")"),"A) وہ سب سے امیر کفیل ہیں، B) وہ ایک قابل احترام ماسٹر اور کوچ ہیں جو فن سکھاتے ہیں، C) وہ ریفری ہیں، D) وہ ریٹائرڈ چیمپئن ہیں")</f>
        <v>A) وہ سب سے امیر کفیل ہیں، B) وہ ایک قابل احترام ماسٹر اور کوچ ہیں جو فن سکھاتے ہیں، C) وہ ریفری ہیں، D) وہ ریٹائرڈ چیمپئن ہیں</v>
      </c>
      <c r="N62" s="6" t="str">
        <f>IFERROR(__xludf.DUMMYFUNCTION("GOOGLETRANSLATE(D62, ""en"", ""ur"")"),"ب) وہ ایک قابل احترام ماسٹر اور کوچ ہیں جو فن سکھاتے ہیں۔")</f>
        <v>ب) وہ ایک قابل احترام ماسٹر اور کوچ ہیں جو فن سکھاتے ہیں۔</v>
      </c>
      <c r="O62" s="6" t="str">
        <f>IFERROR(__xludf.DUMMYFUNCTION("GOOGLETRANSLATE(E62, ""en"", ""ur"")"),"ایک استاد ایک سینئر استاد ہوتا ہے جو ملاخرہ کی تکنیک اور فلسفہ اپنے طلباء (شاگردوں) تک پہنچانے کا ذمہ دار ہوتا ہے۔")</f>
        <v>ایک استاد ایک سینئر استاد ہوتا ہے جو ملاخرہ کی تکنیک اور فلسفہ اپنے طلباء (شاگردوں) تک پہنچانے کا ذمہ دار ہوتا ہے۔</v>
      </c>
    </row>
    <row r="63">
      <c r="A63" s="4">
        <v>62.0</v>
      </c>
      <c r="B63" s="5" t="s">
        <v>235</v>
      </c>
      <c r="C63" s="5" t="s">
        <v>151</v>
      </c>
      <c r="D63" s="5" t="s">
        <v>152</v>
      </c>
      <c r="E63" s="5" t="s">
        <v>153</v>
      </c>
      <c r="K63" s="6" t="str">
        <f>IFERROR(__xludf.DUMMYFUNCTION("GOOGLETRANSLATE(A63, ""en"", ""ur"")"),"62")</f>
        <v>62</v>
      </c>
      <c r="L63" s="6" t="str">
        <f>IFERROR(__xludf.DUMMYFUNCTION("GOOGLETRANSLATE(B63, ""en"", ""ur"")"),"ریفری اس بات کا تعین کرتا ہے کہ ایک پن صرف اس وجہ سے ممکن ہوا کہ جیتنے والے پہلوان نے مخالف کی شارٹس کو غیر قانونی طور پر پکڑ لیا۔ اس کا کیا حکم ہے؟")</f>
        <v>ریفری اس بات کا تعین کرتا ہے کہ ایک پن صرف اس وجہ سے ممکن ہوا کہ جیتنے والے پہلوان نے مخالف کی شارٹس کو غیر قانونی طور پر پکڑ لیا۔ اس کا کیا حکم ہے؟</v>
      </c>
      <c r="M63" s="6" t="str">
        <f>IFERROR(__xludf.DUMMYFUNCTION("GOOGLETRANSLATE(C63, ""en"", ""ur"")"),"A) پن درست ہے، B) پن غلط ہے، اور جیتنے والے پہلوان کو فاول کہا جاتا ہے، C) راؤنڈ دوبارہ کھیلا جاتا ہے، D) ہارنے والے پہلوان کو ایک پوائنٹ دیا جاتا ہے۔")</f>
        <v>A) پن درست ہے، B) پن غلط ہے، اور جیتنے والے پہلوان کو فاول کہا جاتا ہے، C) راؤنڈ دوبارہ کھیلا جاتا ہے، D) ہارنے والے پہلوان کو ایک پوائنٹ دیا جاتا ہے۔</v>
      </c>
      <c r="N63" s="6" t="str">
        <f>IFERROR(__xludf.DUMMYFUNCTION("GOOGLETRANSLATE(D63, ""en"", ""ur"")"),"ب) پن غلط ہے، اور جیتنے والے پہلوان کو فاؤل کہا جاتا ہے۔")</f>
        <v>ب) پن غلط ہے، اور جیتنے والے پہلوان کو فاؤل کہا جاتا ہے۔</v>
      </c>
      <c r="O63" s="6" t="str">
        <f>IFERROR(__xludf.DUMMYFUNCTION("GOOGLETRANSLATE(E63, ""en"", ""ur"")"),"غیر قانونی عمل کے ذریعے حاصل ہونے والا نتیجہ شمار نہیں کیا جا سکتا۔ ریفری پن کو کالعدم کر دے گا اور جرمانہ جاری کرے گا۔")</f>
        <v>غیر قانونی عمل کے ذریعے حاصل ہونے والا نتیجہ شمار نہیں کیا جا سکتا۔ ریفری پن کو کالعدم کر دے گا اور جرمانہ جاری کرے گا۔</v>
      </c>
    </row>
    <row r="64">
      <c r="A64" s="4">
        <v>63.0</v>
      </c>
      <c r="B64" s="5" t="s">
        <v>158</v>
      </c>
      <c r="C64" s="5" t="s">
        <v>159</v>
      </c>
      <c r="D64" s="5" t="s">
        <v>160</v>
      </c>
      <c r="E64" s="5" t="s">
        <v>161</v>
      </c>
      <c r="K64" s="6" t="str">
        <f>IFERROR(__xludf.DUMMYFUNCTION("GOOGLETRANSLATE(A64, ""en"", ""ur"")"),"63")</f>
        <v>63</v>
      </c>
      <c r="L64" s="6" t="str">
        <f>IFERROR(__xludf.DUMMYFUNCTION("GOOGLETRANSLATE(B64, ""en"", ""ur"")"),"اگر کوئی پہلوان پھینکنے کے بعد توازن برقرار رکھنے کے لیے اپنا ہاتھ زمین پر لگائے تو اس کا کیا حکم ہے؟")</f>
        <v>اگر کوئی پہلوان پھینکنے کے بعد توازن برقرار رکھنے کے لیے اپنا ہاتھ زمین پر لگائے تو اس کا کیا حکم ہے؟</v>
      </c>
      <c r="M64" s="6" t="str">
        <f>IFERROR(__xludf.DUMMYFUNCTION("GOOGLETRANSLATE(C64, ""en"", ""ur"")"),"A) تھرو قانونی ہے، B) یہ فاؤل ہے، اور مخالف کو ایک پوائنٹ دیا جاتا ہے، C) راؤنڈ دوبارہ چلایا جاتا ہے، D) وارننگ جاری کی جاتی ہے۔")</f>
        <v>A) تھرو قانونی ہے، B) یہ فاؤل ہے، اور مخالف کو ایک پوائنٹ دیا جاتا ہے، C) راؤنڈ دوبارہ چلایا جاتا ہے، D) وارننگ جاری کی جاتی ہے۔</v>
      </c>
      <c r="N64" s="6" t="str">
        <f>IFERROR(__xludf.DUMMYFUNCTION("GOOGLETRANSLATE(D64, ""en"", ""ur"")"),"ب) یہ ایک غلط ہے، اور مخالف کو ایک پوائنٹ دیا جاتا ہے۔")</f>
        <v>ب) یہ ایک غلط ہے، اور مخالف کو ایک پوائنٹ دیا جاتا ہے۔</v>
      </c>
      <c r="O64" s="6" t="str">
        <f>IFERROR(__xludf.DUMMYFUNCTION("GOOGLETRANSLATE(E64, ""en"", ""ur"")"),"ایک پہلوان کو اپنے پیروں پر توازن برقرار رکھنا چاہیے۔ ہاتھ سے زمین کو چھونے کو ""گرنے"" سمجھا جاتا ہے اور اس کے نتیجے میں پوائنٹ کا نقصان ہوتا ہے۔")</f>
        <v>ایک پہلوان کو اپنے پیروں پر توازن برقرار رکھنا چاہیے۔ ہاتھ سے زمین کو چھونے کو "گرنے" سمجھا جاتا ہے اور اس کے نتیجے میں پوائنٹ کا نقصان ہوتا ہے۔</v>
      </c>
    </row>
    <row r="65">
      <c r="A65" s="4">
        <v>64.0</v>
      </c>
      <c r="B65" s="5" t="s">
        <v>102</v>
      </c>
      <c r="C65" s="5" t="s">
        <v>103</v>
      </c>
      <c r="D65" s="5" t="s">
        <v>104</v>
      </c>
      <c r="E65" s="5" t="s">
        <v>105</v>
      </c>
      <c r="K65" s="6" t="str">
        <f>IFERROR(__xludf.DUMMYFUNCTION("GOOGLETRANSLATE(A65, ""en"", ""ur"")"),"64")</f>
        <v>64</v>
      </c>
      <c r="L65" s="6" t="str">
        <f>IFERROR(__xludf.DUMMYFUNCTION("GOOGLETRANSLATE(B65, ""en"", ""ur"")"),"ریفری ان کے ہاتھ سے چٹائی کو مضبوطی سے تھپڑ مارتا ہے۔ یہ کیا اشارہ کرتا ہے؟")</f>
        <v>ریفری ان کے ہاتھ سے چٹائی کو مضبوطی سے تھپڑ مارتا ہے۔ یہ کیا اشارہ کرتا ہے؟</v>
      </c>
      <c r="M65" s="6" t="str">
        <f>IFERROR(__xludf.DUMMYFUNCTION("GOOGLETRANSLATE(C65, ""en"", ""ur"")"),"A) راؤنڈ کا آغاز، B) ایک غلطی کا ارتکاب کیا گیا ہے، C) ایک فیصلہ کن پن حاصل کیا گیا ہے اور میچ ختم ہو گیا ہے، D) غیر فعال ہونے کے لئے ایک انتباہ")</f>
        <v>A) راؤنڈ کا آغاز، B) ایک غلطی کا ارتکاب کیا گیا ہے، C) ایک فیصلہ کن پن حاصل کیا گیا ہے اور میچ ختم ہو گیا ہے، D) غیر فعال ہونے کے لئے ایک انتباہ</v>
      </c>
      <c r="N65" s="6" t="str">
        <f>IFERROR(__xludf.DUMMYFUNCTION("GOOGLETRANSLATE(D65, ""en"", ""ur"")"),"C) ایک فیصلہ کن پن حاصل ہو گیا ہے اور میچ ختم ہو گیا ہے۔")</f>
        <v>C) ایک فیصلہ کن پن حاصل ہو گیا ہے اور میچ ختم ہو گیا ہے۔</v>
      </c>
      <c r="O65" s="6" t="str">
        <f>IFERROR(__xludf.DUMMYFUNCTION("GOOGLETRANSLATE(E65, ""en"", ""ur"")"),"ریسلنگ کی دوسری شکلوں کی طرح، ریفری کا چٹائی پر تھپڑ مارنا مقابلہ ختم کرنے کے لیے ایک عالمگیر اشارہ ہے۔")</f>
        <v>ریسلنگ کی دوسری شکلوں کی طرح، ریفری کا چٹائی پر تھپڑ مارنا مقابلہ ختم کرنے کے لیے ایک عالمگیر اشارہ ہے۔</v>
      </c>
    </row>
    <row r="66">
      <c r="A66" s="4">
        <v>65.0</v>
      </c>
      <c r="B66" s="5" t="s">
        <v>236</v>
      </c>
      <c r="C66" s="5" t="s">
        <v>79</v>
      </c>
      <c r="D66" s="5" t="s">
        <v>80</v>
      </c>
      <c r="E66" s="5" t="s">
        <v>81</v>
      </c>
      <c r="K66" s="6" t="str">
        <f>IFERROR(__xludf.DUMMYFUNCTION("GOOGLETRANSLATE(A66, ""en"", ""ur"")"),"65")</f>
        <v>65</v>
      </c>
      <c r="L66" s="6" t="str">
        <f>IFERROR(__xludf.DUMMYFUNCTION("GOOGLETRANSLATE(B66, ""en"", ""ur"")"),"ایک پہلوان کو تنبیہ کی جاتی ہے کہ وہ اپنے مخالف کو دبانے کے لیے اپنی پٹی کا استعمال کرے۔ کیا یہ صحیح کال ہے؟")</f>
        <v>ایک پہلوان کو تنبیہ کی جاتی ہے کہ وہ اپنے مخالف کو دبانے کے لیے اپنی پٹی کا استعمال کرے۔ کیا یہ صحیح کال ہے؟</v>
      </c>
      <c r="M66" s="6" t="str">
        <f>IFERROR(__xludf.DUMMYFUNCTION("GOOGLETRANSLATE(C66, ""en"", ""ur"")"),"A) نہیں، بیلٹ کا کوئی بھی استعمال قانونی ہے، B) جی ہاں، بیلٹ صرف پکڑنے کے لیے ہے، گلا دبانے یا گلا گھونٹنے کے لیے نہیں، C) صرف اس صورت میں جب مخالف تھپتھپا دے، D) یہ قانونی ہے لیکن اس پر جھکاؤ")</f>
        <v>A) نہیں، بیلٹ کا کوئی بھی استعمال قانونی ہے، B) جی ہاں، بیلٹ صرف پکڑنے کے لیے ہے، گلا دبانے یا گلا گھونٹنے کے لیے نہیں، C) صرف اس صورت میں جب مخالف تھپتھپا دے، D) یہ قانونی ہے لیکن اس پر جھکاؤ</v>
      </c>
      <c r="N66" s="6" t="str">
        <f>IFERROR(__xludf.DUMMYFUNCTION("GOOGLETRANSLATE(D66, ""en"", ""ur"")"),"ب) جی ہاں، بیلٹ صرف پکڑنے کے لیے ہے، دم گھٹنے یا گلا گھونٹنے کے لیے نہیں۔")</f>
        <v>ب) جی ہاں، بیلٹ صرف پکڑنے کے لیے ہے، دم گھٹنے یا گلا گھونٹنے کے لیے نہیں۔</v>
      </c>
      <c r="O66" s="6" t="str">
        <f>IFERROR(__xludf.DUMMYFUNCTION("GOOGLETRANSLATE(E66, ""en"", ""ur"")"),"مخالف کا گلا گھونٹنے کے لیے سیندھرو کا استعمال کرنا ایک خطرناک اور غیر قانونی فاؤل ہے ​​جس پر فوری طور پر جرمانہ عائد کیا جائے گا۔")</f>
        <v>مخالف کا گلا گھونٹنے کے لیے سیندھرو کا استعمال کرنا ایک خطرناک اور غیر قانونی فاؤل ہے ​​جس پر فوری طور پر جرمانہ عائد کیا جائے گا۔</v>
      </c>
    </row>
    <row r="67">
      <c r="A67" s="4">
        <v>66.0</v>
      </c>
      <c r="B67" s="5" t="s">
        <v>106</v>
      </c>
      <c r="C67" s="5" t="s">
        <v>107</v>
      </c>
      <c r="D67" s="5" t="s">
        <v>108</v>
      </c>
      <c r="E67" s="5" t="s">
        <v>109</v>
      </c>
      <c r="K67" s="6" t="str">
        <f>IFERROR(__xludf.DUMMYFUNCTION("GOOGLETRANSLATE(A67, ""en"", ""ur"")"),"66")</f>
        <v>66</v>
      </c>
      <c r="L67" s="6" t="str">
        <f>IFERROR(__xludf.DUMMYFUNCTION("GOOGLETRANSLATE(B67, ""en"", ""ur"")"),"ایک پہلوان اپنے مضبوط ""پل"" (پل) کے لیے جانا جاتا ہے۔ یہ تکنیک کس حالت میں استعمال کی جاتی ہے؟")</f>
        <v>ایک پہلوان اپنے مضبوط "پل" (پل) کے لیے جانا جاتا ہے۔ یہ تکنیک کس حالت میں استعمال کی جاتی ہے؟</v>
      </c>
      <c r="M67" s="6" t="str">
        <f>IFERROR(__xludf.DUMMYFUNCTION("GOOGLETRANSLATE(C67, ""en"", ""ur"")"),"A) تھرو شروع کرنے کے لئے، B) ان کی پیٹھ پر پن لگنے سے بچنے کے لئے، C) میچ کے دوران آرام کرنے کے لئے، D) جمع کرانے کے لئے")</f>
        <v>A) تھرو شروع کرنے کے لئے، B) ان کی پیٹھ پر پن لگنے سے بچنے کے لئے، C) میچ کے دوران آرام کرنے کے لئے، D) جمع کرانے کے لئے</v>
      </c>
      <c r="N67" s="6" t="str">
        <f>IFERROR(__xludf.DUMMYFUNCTION("GOOGLETRANSLATE(D67, ""en"", ""ur"")"),"ب) ان کی پیٹھ پر چپکا جانے سے بچنا")</f>
        <v>ب) ان کی پیٹھ پر چپکا جانے سے بچنا</v>
      </c>
      <c r="O67" s="6" t="str">
        <f>IFERROR(__xludf.DUMMYFUNCTION("GOOGLETRANSLATE(E67, ""en"", ""ur"")"),"پل ایک بنیادی دفاعی تکنیک ہے جہاں ایک پہلوان اپنے کندھوں کو زمین پر چپٹے رہنے سے روکنے کے لیے اپنی کمر اور گردن کو محراب کرتا ہے۔")</f>
        <v>پل ایک بنیادی دفاعی تکنیک ہے جہاں ایک پہلوان اپنے کندھوں کو زمین پر چپٹے رہنے سے روکنے کے لیے اپنی کمر اور گردن کو محراب کرتا ہے۔</v>
      </c>
    </row>
    <row r="68">
      <c r="A68" s="4">
        <v>67.0</v>
      </c>
      <c r="B68" s="5" t="s">
        <v>237</v>
      </c>
      <c r="C68" s="5" t="s">
        <v>238</v>
      </c>
      <c r="D68" s="5" t="s">
        <v>239</v>
      </c>
      <c r="E68" s="5" t="s">
        <v>240</v>
      </c>
      <c r="K68" s="6" t="str">
        <f>IFERROR(__xludf.DUMMYFUNCTION("GOOGLETRANSLATE(A68, ""en"", ""ur"")"),"67")</f>
        <v>67</v>
      </c>
      <c r="L68" s="6" t="str">
        <f>IFERROR(__xludf.DUMMYFUNCTION("GOOGLETRANSLATE(B68, ""en"", ""ur"")"),"ملاخرہ ایک بڑا بین الاقوامی کھیل نہ بننے کی بنیادی وجہ کیا ہے؟")</f>
        <v>ملاخرہ ایک بڑا بین الاقوامی کھیل نہ بننے کی بنیادی وجہ کیا ہے؟</v>
      </c>
      <c r="M68" s="6" t="str">
        <f>IFERROR(__xludf.DUMMYFUNCTION("GOOGLETRANSLATE(C68, ""en"", ""ur"")"),"A) یہ کافی پرجوش نہیں ہے، B) قواعد بہت مخصوص اور ثقافتی طور پر سرایت شدہ ہیں، جس سے برآمد کرنا مشکل ہو رہا ہے، C) یہ بہت خطرناک ہے، D) کوئی گورننگ باڈی نہیں ہے۔")</f>
        <v>A) یہ کافی پرجوش نہیں ہے، B) قواعد بہت مخصوص اور ثقافتی طور پر سرایت شدہ ہیں، جس سے برآمد کرنا مشکل ہو رہا ہے، C) یہ بہت خطرناک ہے، D) کوئی گورننگ باڈی نہیں ہے۔</v>
      </c>
      <c r="N68" s="6" t="str">
        <f>IFERROR(__xludf.DUMMYFUNCTION("GOOGLETRANSLATE(D68, ""en"", ""ur"")"),"ب) قواعد بہت مخصوص اور ثقافتی طور پر سرایت شدہ ہیں، جس سے برآمد کرنا مشکل ہو جاتا ہے۔")</f>
        <v>ب) قواعد بہت مخصوص اور ثقافتی طور پر سرایت شدہ ہیں، جس سے برآمد کرنا مشکل ہو جاتا ہے۔</v>
      </c>
      <c r="O68" s="6" t="str">
        <f>IFERROR(__xludf.DUMMYFUNCTION("GOOGLETRANSLATE(E68, ""en"", ""ur"")"),"بیلٹ باندھنے کا منفرد اصول اور اس کا گہرا ثقافتی تناظر اسے اولمپک کشتی کے زیادہ عالمگیر انداز سے بہت مختلف بناتا ہے۔")</f>
        <v>بیلٹ باندھنے کا منفرد اصول اور اس کا گہرا ثقافتی تناظر اسے اولمپک کشتی کے زیادہ عالمگیر انداز سے بہت مختلف بناتا ہے۔</v>
      </c>
    </row>
    <row r="69">
      <c r="A69" s="4">
        <v>68.0</v>
      </c>
      <c r="B69" s="5" t="s">
        <v>241</v>
      </c>
      <c r="C69" s="5" t="s">
        <v>242</v>
      </c>
      <c r="D69" s="5" t="s">
        <v>243</v>
      </c>
      <c r="E69" s="5" t="s">
        <v>244</v>
      </c>
      <c r="K69" s="6" t="str">
        <f>IFERROR(__xludf.DUMMYFUNCTION("GOOGLETRANSLATE(A69, ""en"", ""ur"")"),"68")</f>
        <v>68</v>
      </c>
      <c r="L69" s="6" t="str">
        <f>IFERROR(__xludf.DUMMYFUNCTION("GOOGLETRANSLATE(B69, ""en"", ""ur"")"),"اگر میچ کے دوران پہلوان کی بیلٹ (سندرو) کھل جائے تو کیا حکم ہے؟")</f>
        <v>اگر میچ کے دوران پہلوان کی بیلٹ (سندرو) کھل جائے تو کیا حکم ہے؟</v>
      </c>
      <c r="M69" s="6" t="str">
        <f>IFERROR(__xludf.DUMMYFUNCTION("GOOGLETRANSLATE(C69, ""en"", ""ur"")"),"A) میچ جاری ہے، B) پہلوان جو کھلا ہوا تھا ایک پوائنٹ کھو دیتا ہے، C) ریفری میچ کو فوری طور پر روکتا ہے تاکہ اسے ریٹائر کر دیا جائے، D) پہلوان جو بغیر ٹائی کے آیا وہ ہار گیا")</f>
        <v>A) میچ جاری ہے، B) پہلوان جو کھلا ہوا تھا ایک پوائنٹ کھو دیتا ہے، C) ریفری میچ کو فوری طور پر روکتا ہے تاکہ اسے ریٹائر کر دیا جائے، D) پہلوان جو بغیر ٹائی کے آیا وہ ہار گیا</v>
      </c>
      <c r="N69" s="6" t="str">
        <f>IFERROR(__xludf.DUMMYFUNCTION("GOOGLETRANSLATE(D69, ""en"", ""ur"")"),"C) ریفری میچ کو فوری طور پر روکتا ہے تاکہ اسے ریٹائر کیا جائے۔")</f>
        <v>C) ریفری میچ کو فوری طور پر روکتا ہے تاکہ اسے ریٹائر کیا جائے۔</v>
      </c>
      <c r="O69" s="6" t="str">
        <f>IFERROR(__xludf.DUMMYFUNCTION("GOOGLETRANSLATE(E69, ""en"", ""ur"")"),"میچ کے قانونی اور محفوظ طریقے سے انعقاد کے لیے بیلٹ ضروری ہے۔ ریفری کو سامان کو ٹھیک کرنے کے لیے کارروائی کو روکنا چاہیے۔")</f>
        <v>میچ کے قانونی اور محفوظ طریقے سے انعقاد کے لیے بیلٹ ضروری ہے۔ ریفری کو سامان کو ٹھیک کرنے کے لیے کارروائی کو روکنا چاہیے۔</v>
      </c>
    </row>
    <row r="70">
      <c r="A70" s="4">
        <v>69.0</v>
      </c>
      <c r="B70" s="5" t="s">
        <v>162</v>
      </c>
      <c r="C70" s="5" t="s">
        <v>163</v>
      </c>
      <c r="D70" s="5" t="s">
        <v>164</v>
      </c>
      <c r="E70" s="5" t="s">
        <v>165</v>
      </c>
      <c r="K70" s="6" t="str">
        <f>IFERROR(__xludf.DUMMYFUNCTION("GOOGLETRANSLATE(A70, ""en"", ""ur"")"),"69")</f>
        <v>69</v>
      </c>
      <c r="L70" s="6" t="str">
        <f>IFERROR(__xludf.DUMMYFUNCTION("GOOGLETRANSLATE(B70, ""en"", ""ur"")"),"ایک پہلوان اپنے ""صبر"" کے لیے جانا جاتا ہے۔ ملاخرہ میں یہ کیسی فضیلت ہے؟")</f>
        <v>ایک پہلوان اپنے "صبر" کے لیے جانا جاتا ہے۔ ملاخرہ میں یہ کیسی فضیلت ہے؟</v>
      </c>
      <c r="M70" s="6" t="str">
        <f>IFERROR(__xludf.DUMMYFUNCTION("GOOGLETRANSLATE(C70, ""en"", ""ur"")"),"A) وہ بور ہوئے بغیر طویل انتظار کر سکتے ہیں، B) وہ تھرو کرنے سے پہلے حریف کے غلطی کا انتظار کرتے ہیں، C) وہ بہت سست پہلوان ہیں، D) وہ ریفری کا احترام کرتے ہیں۔")</f>
        <v>A) وہ بور ہوئے بغیر طویل انتظار کر سکتے ہیں، B) وہ تھرو کرنے سے پہلے حریف کے غلطی کا انتظار کرتے ہیں، C) وہ بہت سست پہلوان ہیں، D) وہ ریفری کا احترام کرتے ہیں۔</v>
      </c>
      <c r="N70" s="6" t="str">
        <f>IFERROR(__xludf.DUMMYFUNCTION("GOOGLETRANSLATE(D70, ""en"", ""ur"")"),"ب) وہ تھرو کرنے سے پہلے مخالف کے غلطی کرنے کا انتظار کرتے ہیں۔")</f>
        <v>ب) وہ تھرو کرنے سے پہلے مخالف کے غلطی کرنے کا انتظار کرتے ہیں۔</v>
      </c>
      <c r="O70" s="6" t="str">
        <f>IFERROR(__xludf.DUMMYFUNCTION("GOOGLETRANSLATE(E70, ""en"", ""ur"")"),"ایک مریض پہلوان جلدی نہیں کرتا۔ وہ گرفت کو کنٹرول کرتے ہیں اور اپنی تکنیک کو مؤثر طریقے سے انجام دینے کے لیے آف بیلنس کے بہترین لمحے کا انتظار کرتے ہیں۔")</f>
        <v>ایک مریض پہلوان جلدی نہیں کرتا۔ وہ گرفت کو کنٹرول کرتے ہیں اور اپنی تکنیک کو مؤثر طریقے سے انجام دینے کے لیے آف بیلنس کے بہترین لمحے کا انتظار کرتے ہیں۔</v>
      </c>
    </row>
    <row r="71">
      <c r="A71" s="4">
        <v>70.0</v>
      </c>
      <c r="B71" s="5" t="s">
        <v>245</v>
      </c>
      <c r="C71" s="5" t="s">
        <v>167</v>
      </c>
      <c r="D71" s="5" t="s">
        <v>168</v>
      </c>
      <c r="E71" s="5" t="s">
        <v>169</v>
      </c>
      <c r="K71" s="6" t="str">
        <f>IFERROR(__xludf.DUMMYFUNCTION("GOOGLETRANSLATE(A71, ""en"", ""ur"")"),"70")</f>
        <v>70</v>
      </c>
      <c r="L71" s="6" t="str">
        <f>IFERROR(__xludf.DUMMYFUNCTION("GOOGLETRANSLATE(B71, ""en"", ""ur"")"),"اکھاڑے کی گول شکل کی بنیادی وجہ کیا ہے؟")</f>
        <v>اکھاڑے کی گول شکل کی بنیادی وجہ کیا ہے؟</v>
      </c>
      <c r="M71" s="6" t="str">
        <f>IFERROR(__xludf.DUMMYFUNCTION("GOOGLETRANSLATE(C71, ""en"", ""ur"")"),"A) کھودنا آسان ہے، B) یہ پہلوان کو کونے میں پھنسنے سے روکتا ہے، C) یہ ایک مذہبی علامت ہے، D) یہ زیادہ تماشائیوں کی اجازت دیتا ہے۔")</f>
        <v>A) کھودنا آسان ہے، B) یہ پہلوان کو کونے میں پھنسنے سے روکتا ہے، C) یہ ایک مذہبی علامت ہے، D) یہ زیادہ تماشائیوں کی اجازت دیتا ہے۔</v>
      </c>
      <c r="N71" s="6" t="str">
        <f>IFERROR(__xludf.DUMMYFUNCTION("GOOGLETRANSLATE(D71, ""en"", ""ur"")"),"ب) یہ ایک پہلوان کو کونے میں پھنسنے سے روکتا ہے۔")</f>
        <v>ب) یہ ایک پہلوان کو کونے میں پھنسنے سے روکتا ہے۔</v>
      </c>
      <c r="O71" s="6" t="str">
        <f>IFERROR(__xludf.DUMMYFUNCTION("GOOGLETRANSLATE(E71, ""en"", ""ur"")"),"ایک سرکلر میدان میں کوئی گوشہ نہیں ہوتا ہے، جو مسلسل حرکت اور کشتی کے زیادہ سیال انداز کی حوصلہ افزائی کرتا ہے۔")</f>
        <v>ایک سرکلر میدان میں کوئی گوشہ نہیں ہوتا ہے، جو مسلسل حرکت اور کشتی کے زیادہ سیال انداز کی حوصلہ افزائی کرتا ہے۔</v>
      </c>
    </row>
    <row r="72">
      <c r="A72" s="4">
        <v>71.0</v>
      </c>
      <c r="B72" s="5" t="s">
        <v>246</v>
      </c>
      <c r="C72" s="5" t="s">
        <v>247</v>
      </c>
      <c r="D72" s="5" t="s">
        <v>248</v>
      </c>
      <c r="E72" s="5" t="s">
        <v>249</v>
      </c>
      <c r="K72" s="6" t="str">
        <f>IFERROR(__xludf.DUMMYFUNCTION("GOOGLETRANSLATE(A72, ""en"", ""ur"")"),"71")</f>
        <v>71</v>
      </c>
      <c r="L72" s="6" t="str">
        <f>IFERROR(__xludf.DUMMYFUNCTION("GOOGLETRANSLATE(B72, ""en"", ""ur"")"),"میچ شروع کرنے کے لیے ریفری کا زبانی حکم کیا ہے؟")</f>
        <v>میچ شروع کرنے کے لیے ریفری کا زبانی حکم کیا ہے؟</v>
      </c>
      <c r="M72" s="6" t="str">
        <f>IFERROR(__xludf.DUMMYFUNCTION("GOOGLETRANSLATE(C72, ""en"", ""ur"")"),"A) ""مولائی!""، B) ""شورو!""، C) ""طیار!"" (تیار!)، D) کوئی زبانی حکم نہیں ہے۔")</f>
        <v>A) "مولائی!"، B) "شورو!"، C) "طیار!" (تیار!)، D) کوئی زبانی حکم نہیں ہے۔</v>
      </c>
      <c r="N72" s="6" t="str">
        <f>IFERROR(__xludf.DUMMYFUNCTION("GOOGLETRANSLATE(D72, ""en"", ""ur"")"),"ج) ""طیار!"" (تیار!)")</f>
        <v>ج) "طیار!" (تیار!)</v>
      </c>
      <c r="O72" s="6" t="str">
        <f>IFERROR(__xludf.DUMMYFUNCTION("GOOGLETRANSLATE(E72, ""en"", ""ur"")"),"پہلوانوں کو اچھی طرح سے پکڑنے کے بعد، ریفری حکم دے گا ""طیار!"" کارروائی کے آغاز کا اشارہ کرنے کے لئے.")</f>
        <v>پہلوانوں کو اچھی طرح سے پکڑنے کے بعد، ریفری حکم دے گا "طیار!" کارروائی کے آغاز کا اشارہ کرنے کے لئے.</v>
      </c>
    </row>
    <row r="73">
      <c r="A73" s="4">
        <v>72.0</v>
      </c>
      <c r="B73" s="5" t="s">
        <v>199</v>
      </c>
      <c r="C73" s="5" t="s">
        <v>200</v>
      </c>
      <c r="D73" s="5" t="s">
        <v>201</v>
      </c>
      <c r="E73" s="5" t="s">
        <v>202</v>
      </c>
      <c r="K73" s="6" t="str">
        <f>IFERROR(__xludf.DUMMYFUNCTION("GOOGLETRANSLATE(A73, ""en"", ""ur"")"),"72")</f>
        <v>72</v>
      </c>
      <c r="L73" s="6" t="str">
        <f>IFERROR(__xludf.DUMMYFUNCTION("GOOGLETRANSLATE(B73, ""en"", ""ur"")"),"ایک پہلوان کو خبردار کیا جاتا ہے کہ وہ اپنے آزاد ہاتھ کا استعمال کرتے ہوئے مخالف کے نقطہ نظر کو روکتا ہے۔ کیا یہ صحیح کال ہے؟")</f>
        <v>ایک پہلوان کو خبردار کیا جاتا ہے کہ وہ اپنے آزاد ہاتھ کا استعمال کرتے ہوئے مخالف کے نقطہ نظر کو روکتا ہے۔ کیا یہ صحیح کال ہے؟</v>
      </c>
      <c r="M73" s="6" t="str">
        <f>IFERROR(__xludf.DUMMYFUNCTION("GOOGLETRANSLATE(C73, ""en"", ""ur"")"),"A) نہیں، یہ ایک ہوشیار حربہ ہے، B) جی ہاں، یہ ایک غیر قانونی اور غیر کھیلوں کی طرح کی فاؤل ہے، C) صرف اس صورت میں جب ہاتھ آنکھوں سے رابطہ کرے، D) یہ قانونی ہے لیکن اس پر ہچکچاہٹ")</f>
        <v>A) نہیں، یہ ایک ہوشیار حربہ ہے، B) جی ہاں، یہ ایک غیر قانونی اور غیر کھیلوں کی طرح کی فاؤل ہے، C) صرف اس صورت میں جب ہاتھ آنکھوں سے رابطہ کرے، D) یہ قانونی ہے لیکن اس پر ہچکچاہٹ</v>
      </c>
      <c r="N73" s="6" t="str">
        <f>IFERROR(__xludf.DUMMYFUNCTION("GOOGLETRANSLATE(D73, ""en"", ""ur"")"),"ب) جی ہاں، یہ ایک غیر قانونی اور غیر اسپورٹس مین فاؤل ہے۔")</f>
        <v>ب) جی ہاں، یہ ایک غیر قانونی اور غیر اسپورٹس مین فاؤل ہے۔</v>
      </c>
      <c r="O73" s="6" t="str">
        <f>IFERROR(__xludf.DUMMYFUNCTION("GOOGLETRANSLATE(E73, ""en"", ""ur"")"),"ایک ""آئی ریک"" یا جان بوجھ کر ہاتھ سے بینائی کو روکنا خطرناک اور غیر کھیل کے ہتھکنڈوں کو روکنے کے لیے ڈیزائن کیا گیا ایک غلط طریقہ ہے۔")</f>
        <v>ایک "آئی ریک" یا جان بوجھ کر ہاتھ سے بینائی کو روکنا خطرناک اور غیر کھیل کے ہتھکنڈوں کو روکنے کے لیے ڈیزائن کیا گیا ایک غلط طریقہ ہے۔</v>
      </c>
    </row>
    <row r="74">
      <c r="A74" s="4">
        <v>73.0</v>
      </c>
      <c r="B74" s="5" t="s">
        <v>250</v>
      </c>
      <c r="C74" s="5" t="s">
        <v>251</v>
      </c>
      <c r="D74" s="5" t="s">
        <v>252</v>
      </c>
      <c r="E74" s="5" t="s">
        <v>253</v>
      </c>
      <c r="K74" s="6" t="str">
        <f>IFERROR(__xludf.DUMMYFUNCTION("GOOGLETRANSLATE(A74, ""en"", ""ur"")"),"73")</f>
        <v>73</v>
      </c>
      <c r="L74" s="6" t="str">
        <f>IFERROR(__xludf.DUMMYFUNCTION("GOOGLETRANSLATE(B74, ""en"", ""ur"")"),"""کاؤنٹر تھرو"" کیا ہے؟")</f>
        <v>"کاؤنٹر تھرو" کیا ہے؟</v>
      </c>
      <c r="M74" s="6" t="str">
        <f>IFERROR(__xludf.DUMMYFUNCTION("GOOGLETRANSLATE(C74, ""en"", ""ur"")"),"A) مخالف کو مخالف سمت میں پھینکنا، B) اپنے ہی تھرو کو انجام دینے کے لیے مخالف کے حملے کی رفتار کا استعمال کرتے ہوئے، C) ایک تھرو جس کی اجازت نہیں ہے، D) دو پہلوانوں کی طرف سے کی گئی تھرو")</f>
        <v>A) مخالف کو مخالف سمت میں پھینکنا، B) اپنے ہی تھرو کو انجام دینے کے لیے مخالف کے حملے کی رفتار کا استعمال کرتے ہوئے، C) ایک تھرو جس کی اجازت نہیں ہے، D) دو پہلوانوں کی طرف سے کی گئی تھرو</v>
      </c>
      <c r="N74" s="6" t="str">
        <f>IFERROR(__xludf.DUMMYFUNCTION("GOOGLETRANSLATE(D74, ""en"", ""ur"")"),"ب) اپنے ہی تھرو کو انجام دینے کے لیے مخالف کے حملے کی رفتار کو استعمال کرنا")</f>
        <v>ب) اپنے ہی تھرو کو انجام دینے کے لیے مخالف کے حملے کی رفتار کو استعمال کرنا</v>
      </c>
      <c r="O74" s="6" t="str">
        <f>IFERROR(__xludf.DUMMYFUNCTION("GOOGLETRANSLATE(E74, ""en"", ""ur"")"),"یہ ایک اعلیٰ سطحی مہارت ہے جہاں ایک پہلوان اپنے مخالف کے جارحانہ اقدام کو طاقت کو الٹ کر نقصان میں بدل دیتا ہے۔")</f>
        <v>یہ ایک اعلیٰ سطحی مہارت ہے جہاں ایک پہلوان اپنے مخالف کے جارحانہ اقدام کو طاقت کو الٹ کر نقصان میں بدل دیتا ہے۔</v>
      </c>
    </row>
    <row r="75">
      <c r="A75" s="4">
        <v>74.0</v>
      </c>
      <c r="B75" s="5" t="s">
        <v>254</v>
      </c>
      <c r="C75" s="5" t="s">
        <v>255</v>
      </c>
      <c r="D75" s="5" t="s">
        <v>256</v>
      </c>
      <c r="E75" s="5" t="s">
        <v>257</v>
      </c>
      <c r="K75" s="6" t="str">
        <f>IFERROR(__xludf.DUMMYFUNCTION("GOOGLETRANSLATE(A75, ""en"", ""ur"")"),"74")</f>
        <v>74</v>
      </c>
      <c r="L75" s="6" t="str">
        <f>IFERROR(__xludf.DUMMYFUNCTION("GOOGLETRANSLATE(B75, ""en"", ""ur"")"),"اگر کوئی پہلوان اپنے مدمقابل کو پن لگاتا ہے لیکن پن باؤنڈری لائن سے بالکل باہر ہوتا ہے تو اس کا کیا حکم ہے؟")</f>
        <v>اگر کوئی پہلوان اپنے مدمقابل کو پن لگاتا ہے لیکن پن باؤنڈری لائن سے بالکل باہر ہوتا ہے تو اس کا کیا حکم ہے؟</v>
      </c>
      <c r="M75" s="6" t="str">
        <f>IFERROR(__xludf.DUMMYFUNCTION("GOOGLETRANSLATE(C75, ""en"", ""ur"")"),"A) پن درست ہے، B) پن درست نہیں ہے، اور میچ دوبارہ ترتیب دیا گیا ہے، C) جس پہلوان نے پن کیا ہے اسے سٹیپ آؤٹ کے لیے ایک پوائنٹ ملتا ہے، D) میچ ڈرا قرار دیا جاتا ہے۔")</f>
        <v>A) پن درست ہے، B) پن درست نہیں ہے، اور میچ دوبارہ ترتیب دیا گیا ہے، C) جس پہلوان نے پن کیا ہے اسے سٹیپ آؤٹ کے لیے ایک پوائنٹ ملتا ہے، D) میچ ڈرا قرار دیا جاتا ہے۔</v>
      </c>
      <c r="N75" s="6" t="str">
        <f>IFERROR(__xludf.DUMMYFUNCTION("GOOGLETRANSLATE(D75, ""en"", ""ur"")"),"ب) پن درست نہیں ہے، اور میچ دوبارہ ترتیب دیا گیا ہے۔")</f>
        <v>ب) پن درست نہیں ہے، اور میچ دوبارہ ترتیب دیا گیا ہے۔</v>
      </c>
      <c r="O75" s="6" t="str">
        <f>IFERROR(__xludf.DUMMYFUNCTION("GOOGLETRANSLATE(E75, ""en"", ""ur"")"),"تمام اسکورنگ ایکشنز، بشمول فائنل پن، مکمل طور پر نامزد مسابقتی علاقے کے اندر ہونا چاہیے۔")</f>
        <v>تمام اسکورنگ ایکشنز، بشمول فائنل پن، مکمل طور پر نامزد مسابقتی علاقے کے اندر ہونا چاہیے۔</v>
      </c>
    </row>
    <row r="76">
      <c r="A76" s="4">
        <v>75.0</v>
      </c>
      <c r="B76" s="5" t="s">
        <v>258</v>
      </c>
      <c r="C76" s="5" t="s">
        <v>259</v>
      </c>
      <c r="D76" s="5" t="s">
        <v>260</v>
      </c>
      <c r="E76" s="5" t="s">
        <v>261</v>
      </c>
      <c r="K76" s="6" t="str">
        <f>IFERROR(__xludf.DUMMYFUNCTION("GOOGLETRANSLATE(A76, ""en"", ""ur"")"),"75")</f>
        <v>75</v>
      </c>
      <c r="L76" s="6" t="str">
        <f>IFERROR(__xludf.DUMMYFUNCTION("GOOGLETRANSLATE(B76, ""en"", ""ur"")"),"ایک پہلوان اپنی ""دھماکہ خیز"" طاقت کے لیے جانا جاتا ہے۔ کس قسم کی تربیت یہ تیار کرتی ہے؟")</f>
        <v>ایک پہلوان اپنی "دھماکہ خیز" طاقت کے لیے جانا جاتا ہے۔ کس قسم کی تربیت یہ تیار کرتی ہے؟</v>
      </c>
      <c r="M76" s="6" t="str">
        <f>IFERROR(__xludf.DUMMYFUNCTION("GOOGLETRANSLATE(C76, ""en"", ""ur"")"),"A) لمبی دوری کی دوڑ، B) جامد اسٹریچنگ، C) پلائیومیٹرکس اور وزن کی تربیت، D) مراقبہ")</f>
        <v>A) لمبی دوری کی دوڑ، B) جامد اسٹریچنگ، C) پلائیومیٹرکس اور وزن کی تربیت، D) مراقبہ</v>
      </c>
      <c r="N76" s="6" t="str">
        <f>IFERROR(__xludf.DUMMYFUNCTION("GOOGLETRANSLATE(D76, ""en"", ""ur"")"),"سی) پلائیومیٹرکس اور وزن کی تربیت")</f>
        <v>سی) پلائیومیٹرکس اور وزن کی تربیت</v>
      </c>
      <c r="O76" s="6" t="str">
        <f>IFERROR(__xludf.DUMMYFUNCTION("GOOGLETRANSLATE(E76, ""en"", ""ur"")"),"دھماکہ خیز طاقت، کم وقت میں زیادہ سے زیادہ طاقت پیدا کرنے کی صلاحیت، اسکواٹس، ڈیڈ لفٹ اور جمپنگ ڈرلز جیسی مشقوں کے ذریعے بنائی جاتی ہے۔")</f>
        <v>دھماکہ خیز طاقت، کم وقت میں زیادہ سے زیادہ طاقت پیدا کرنے کی صلاحیت، اسکواٹس، ڈیڈ لفٹ اور جمپنگ ڈرلز جیسی مشقوں کے ذریعے بنائی جاتی ہے۔</v>
      </c>
    </row>
    <row r="77">
      <c r="A77" s="4">
        <v>76.0</v>
      </c>
      <c r="B77" s="5" t="s">
        <v>262</v>
      </c>
      <c r="C77" s="5" t="s">
        <v>263</v>
      </c>
      <c r="D77" s="5" t="s">
        <v>264</v>
      </c>
      <c r="E77" s="5" t="s">
        <v>265</v>
      </c>
      <c r="K77" s="6" t="str">
        <f>IFERROR(__xludf.DUMMYFUNCTION("GOOGLETRANSLATE(A77, ""en"", ""ur"")"),"76")</f>
        <v>76</v>
      </c>
      <c r="L77" s="6" t="str">
        <f>IFERROR(__xludf.DUMMYFUNCTION("GOOGLETRANSLATE(B77, ""en"", ""ur"")"),"ریفری اور ججوں کے کردار میں بنیادی فرق کیا ہے؟")</f>
        <v>ریفری اور ججوں کے کردار میں بنیادی فرق کیا ہے؟</v>
      </c>
      <c r="M77" s="6" t="str">
        <f>IFERROR(__xludf.DUMMYFUNCTION("GOOGLETRANSLATE(C77, ""en"", ""ur"")"),"A) کوئی فرق نہیں ہے، B) ریفری ایکشن کو کنٹرول کرنے والی رنگ میں ہے، جب کہ جج باہر ہیں پوائنٹس اسکور کر رہے ہیں، C) ججز ریفری کو زیر کر سکتے ہیں، D) ریفری ٹائم کیپر ہے")</f>
        <v>A) کوئی فرق نہیں ہے، B) ریفری ایکشن کو کنٹرول کرنے والی رنگ میں ہے، جب کہ جج باہر ہیں پوائنٹس اسکور کر رہے ہیں، C) ججز ریفری کو زیر کر سکتے ہیں، D) ریفری ٹائم کیپر ہے</v>
      </c>
      <c r="N77" s="6" t="str">
        <f>IFERROR(__xludf.DUMMYFUNCTION("GOOGLETRANSLATE(D77, ""en"", ""ur"")"),"ب) ریفری ایکشن کو کنٹرول کرنے کے رنگ میں ہے، جبکہ جج پوائنٹس اسکور کرنے سے باہر ہیں۔")</f>
        <v>ب) ریفری ایکشن کو کنٹرول کرنے کے رنگ میں ہے، جبکہ جج پوائنٹس اسکور کرنے سے باہر ہیں۔</v>
      </c>
      <c r="O77" s="6" t="str">
        <f>IFERROR(__xludf.DUMMYFUNCTION("GOOGLETRANSLATE(E77, ""en"", ""ur"")"),"ریفری باؤٹ کا براہ راست انتظام کرتا ہے، جب کہ جج مشاہدہ کرتے ہیں اور پوائنٹس دیتے ہیں، جو بعد میں فاتح کا تعین کرنے کے لیے لمبا کیا جاتا ہے اگر کوئی پن نہیں ہے۔")</f>
        <v>ریفری باؤٹ کا براہ راست انتظام کرتا ہے، جب کہ جج مشاہدہ کرتے ہیں اور پوائنٹس دیتے ہیں، جو بعد میں فاتح کا تعین کرنے کے لیے لمبا کیا جاتا ہے اگر کوئی پن نہیں ہے۔</v>
      </c>
    </row>
    <row r="78">
      <c r="A78" s="4">
        <v>77.0</v>
      </c>
      <c r="B78" s="5" t="s">
        <v>110</v>
      </c>
      <c r="C78" s="5" t="s">
        <v>111</v>
      </c>
      <c r="D78" s="5" t="s">
        <v>112</v>
      </c>
      <c r="E78" s="5" t="s">
        <v>113</v>
      </c>
      <c r="K78" s="6" t="str">
        <f>IFERROR(__xludf.DUMMYFUNCTION("GOOGLETRANSLATE(A78, ""en"", ""ur"")"),"77")</f>
        <v>77</v>
      </c>
      <c r="L78" s="6" t="str">
        <f>IFERROR(__xludf.DUMMYFUNCTION("GOOGLETRANSLATE(B78, ""en"", ""ur"")"),"ایک پہلوان کو حریف کو ٹرپ کرنے کے لیے اپنی بیلٹ استعمال کرنے پر متنبہ کیا جاتا ہے۔ کیا یہ صحیح کال ہے؟")</f>
        <v>ایک پہلوان کو حریف کو ٹرپ کرنے کے لیے اپنی بیلٹ استعمال کرنے پر متنبہ کیا جاتا ہے۔ کیا یہ صحیح کال ہے؟</v>
      </c>
      <c r="M78" s="6" t="str">
        <f>IFERROR(__xludf.DUMMYFUNCTION("GOOGLETRANSLATE(C78, ""en"", ""ur"")"),"A) نہیں، ٹرپنگ قانونی ہے، B) ہاں، بیلٹ صرف کمر کو پکڑنے کے لیے استعمال کی جا سکتی ہے، ٹرپ کرنے کے لیے نہیں، C) صرف اس صورت میں جب اس سے چوٹ لگے، D) صرف اس صورت میں جب مخالف کا وزن زیادہ ہو۔")</f>
        <v>A) نہیں، ٹرپنگ قانونی ہے، B) ہاں، بیلٹ صرف کمر کو پکڑنے کے لیے استعمال کی جا سکتی ہے، ٹرپ کرنے کے لیے نہیں، C) صرف اس صورت میں جب اس سے چوٹ لگے، D) صرف اس صورت میں جب مخالف کا وزن زیادہ ہو۔</v>
      </c>
      <c r="N78" s="6" t="str">
        <f>IFERROR(__xludf.DUMMYFUNCTION("GOOGLETRANSLATE(D78, ""en"", ""ur"")"),"ب) ہاں، بیلٹ صرف کمر کو پکڑنے کے لیے استعمال کیا جا سکتا ہے، نہ کہ ٹرپ کرنے کے لیے")</f>
        <v>ب) ہاں، بیلٹ صرف کمر کو پکڑنے کے لیے استعمال کیا جا سکتا ہے، نہ کہ ٹرپ کرنے کے لیے</v>
      </c>
      <c r="O78" s="6" t="str">
        <f>IFERROR(__xludf.DUMMYFUNCTION("GOOGLETRANSLATE(E78, ""en"", ""ur"")"),"اگرچہ ٹانگوں کے دورے قانونی ہیں، لیکن مخالف کے پاؤں کو الجھانے اور ٹرپ کرنے کے لیے سینڈرو کا استعمال کرنا سامان کا غیر قانونی استعمال ہے۔")</f>
        <v>اگرچہ ٹانگوں کے دورے قانونی ہیں، لیکن مخالف کے پاؤں کو الجھانے اور ٹرپ کرنے کے لیے سینڈرو کا استعمال کرنا سامان کا غیر قانونی استعمال ہے۔</v>
      </c>
    </row>
    <row r="79">
      <c r="A79" s="4">
        <v>78.0</v>
      </c>
      <c r="B79" s="5" t="s">
        <v>266</v>
      </c>
      <c r="C79" s="5" t="s">
        <v>115</v>
      </c>
      <c r="D79" s="5" t="s">
        <v>116</v>
      </c>
      <c r="E79" s="5" t="s">
        <v>117</v>
      </c>
      <c r="K79" s="6" t="str">
        <f>IFERROR(__xludf.DUMMYFUNCTION("GOOGLETRANSLATE(A79, ""en"", ""ur"")"),"78")</f>
        <v>78</v>
      </c>
      <c r="L79" s="6" t="str">
        <f>IFERROR(__xludf.DUMMYFUNCTION("GOOGLETRANSLATE(B79, ""en"", ""ur"")"),"ایک پہلوان ایک میچ جیتتا ہے اور اسے اپنے حامیوں کے کندھوں پر لے جایا جاتا ہے۔ اس سے کیا مراد ہے؟")</f>
        <v>ایک پہلوان ایک میچ جیتتا ہے اور اسے اپنے حامیوں کے کندھوں پر لے جایا جاتا ہے۔ اس سے کیا مراد ہے؟</v>
      </c>
      <c r="M79" s="6" t="str">
        <f>IFERROR(__xludf.DUMMYFUNCTION("GOOGLETRANSLATE(C79, ""en"", ""ur"")"),"A) پہلوان زخمی ہے اور چل نہیں سکتا، B) یہ فرقہ وارانہ فتح کا روایتی اور خوشی کا جشن ہے، C) یہ ججوں کے خلاف احتجاج کی ایک شکل ہے، D) پہلوان کو انعام لینے کے لیے لے جایا جا رہا ہے۔")</f>
        <v>A) پہلوان زخمی ہے اور چل نہیں سکتا، B) یہ فرقہ وارانہ فتح کا روایتی اور خوشی کا جشن ہے، C) یہ ججوں کے خلاف احتجاج کی ایک شکل ہے، D) پہلوان کو انعام لینے کے لیے لے جایا جا رہا ہے۔</v>
      </c>
      <c r="N79" s="6" t="str">
        <f>IFERROR(__xludf.DUMMYFUNCTION("GOOGLETRANSLATE(D79, ""en"", ""ur"")"),"ب) یہ فرقہ وارانہ فتح کا روایتی اور خوشی کا جشن ہے۔")</f>
        <v>ب) یہ فرقہ وارانہ فتح کا روایتی اور خوشی کا جشن ہے۔</v>
      </c>
      <c r="O79" s="6" t="str">
        <f>IFERROR(__xludf.DUMMYFUNCTION("GOOGLETRANSLATE(E79, ""en"", ""ur"")"),"یہ گاؤں یا ٹیم کے لیے اپنے چیمپئن کا جشن منانے کا ایک عام طریقہ ہے، جس سے یہ ظاہر ہوتا ہے کہ جیت پوری کمیونٹی کی ہے۔")</f>
        <v>یہ گاؤں یا ٹیم کے لیے اپنے چیمپئن کا جشن منانے کا ایک عام طریقہ ہے، جس سے یہ ظاہر ہوتا ہے کہ جیت پوری کمیونٹی کی ہے۔</v>
      </c>
    </row>
    <row r="80">
      <c r="A80" s="4">
        <v>79.0</v>
      </c>
      <c r="B80" s="5" t="s">
        <v>267</v>
      </c>
      <c r="C80" s="5" t="s">
        <v>268</v>
      </c>
      <c r="D80" s="5" t="s">
        <v>269</v>
      </c>
      <c r="E80" s="5" t="s">
        <v>270</v>
      </c>
      <c r="K80" s="6" t="str">
        <f>IFERROR(__xludf.DUMMYFUNCTION("GOOGLETRANSLATE(A80, ""en"", ""ur"")"),"79")</f>
        <v>79</v>
      </c>
      <c r="L80" s="6" t="str">
        <f>IFERROR(__xludf.DUMMYFUNCTION("GOOGLETRANSLATE(B80, ""en"", ""ur"")"),"ملاخرہ صدیوں سے مقبول رہنے کی بنیادی وجہ کیا ہے؟")</f>
        <v>ملاخرہ صدیوں سے مقبول رہنے کی بنیادی وجہ کیا ہے؟</v>
      </c>
      <c r="M80" s="6" t="str">
        <f>IFERROR(__xludf.DUMMYFUNCTION("GOOGLETRANSLATE(C80, ""en"", ""ur"")"),"A) اسے بہت زیادہ میڈیا کوریج ملتی ہے، B) یہ ایک سادہ، کم لاگت والا کھیل ہے جو ثقافتی شناخت اور تہواروں سے گہرا تعلق رکھتا ہے، C) یہ پیشہ ورانہ کھیلوں کے کیریئر کا راستہ ہے، D) یہ سندھ میں کھیلا جانے والا واحد کھیل ہے۔")</f>
        <v>A) اسے بہت زیادہ میڈیا کوریج ملتی ہے، B) یہ ایک سادہ، کم لاگت والا کھیل ہے جو ثقافتی شناخت اور تہواروں سے گہرا تعلق رکھتا ہے، C) یہ پیشہ ورانہ کھیلوں کے کیریئر کا راستہ ہے، D) یہ سندھ میں کھیلا جانے والا واحد کھیل ہے۔</v>
      </c>
      <c r="N80" s="6" t="str">
        <f>IFERROR(__xludf.DUMMYFUNCTION("GOOGLETRANSLATE(D80, ""en"", ""ur"")"),"ب) یہ ایک سادہ، کم لاگت والا کھیل ہے جو ثقافتی شناخت اور تہواروں سے گہرا تعلق رکھتا ہے۔")</f>
        <v>ب) یہ ایک سادہ، کم لاگت والا کھیل ہے جو ثقافتی شناخت اور تہواروں سے گہرا تعلق رکھتا ہے۔</v>
      </c>
      <c r="O80" s="6" t="str">
        <f>IFERROR(__xludf.DUMMYFUNCTION("GOOGLETRANSLATE(E80, ""en"", ""ur"")"),"اس کی رسائی اور مضبوط ثقافتی جڑوں نے ایک محبوب لوک کھیل کے طور پر اس کی بقا کو یقینی بنایا ہے۔")</f>
        <v>اس کی رسائی اور مضبوط ثقافتی جڑوں نے ایک محبوب لوک کھیل کے طور پر اس کی بقا کو یقینی بنایا ہے۔</v>
      </c>
    </row>
    <row r="81">
      <c r="A81" s="4">
        <v>80.0</v>
      </c>
      <c r="B81" s="5" t="s">
        <v>271</v>
      </c>
      <c r="C81" s="5" t="s">
        <v>119</v>
      </c>
      <c r="D81" s="5" t="s">
        <v>120</v>
      </c>
      <c r="E81" s="5" t="s">
        <v>121</v>
      </c>
      <c r="K81" s="6" t="str">
        <f>IFERROR(__xludf.DUMMYFUNCTION("GOOGLETRANSLATE(A81, ""en"", ""ur"")"),"80")</f>
        <v>80</v>
      </c>
      <c r="L81" s="6" t="str">
        <f>IFERROR(__xludf.DUMMYFUNCTION("GOOGLETRANSLATE(B81, ""en"", ""ur"")"),"ایک پہلوان کو درد کا باعث بننے کے لیے اپنی پٹی کے نیچے ایک چھوٹی، سخت چیز لپٹی ہوئی پائی جاتی ہے۔ نتیجہ کیا ہے؟")</f>
        <v>ایک پہلوان کو درد کا باعث بننے کے لیے اپنی پٹی کے نیچے ایک چھوٹی، سخت چیز لپٹی ہوئی پائی جاتی ہے۔ نتیجہ کیا ہے؟</v>
      </c>
      <c r="M81" s="6" t="str">
        <f>IFERROR(__xludf.DUMMYFUNCTION("GOOGLETRANSLATE(C81, ""en"", ""ur"")"),"A) اعتراض کو ہٹا دیا جاتا ہے، اور ایک انتباہ جاری کیا جاتا ہے، B) پہلوان کو فوری طور پر دھوکہ دہی کے لئے نااہل قرار دیا جاتا ہے، C) مخالف کو 5 پوائنٹس سے نوازا جاتا ہے، D) راؤنڈ دوبارہ کھیلا جاتا ہے")</f>
        <v>A) اعتراض کو ہٹا دیا جاتا ہے، اور ایک انتباہ جاری کیا جاتا ہے، B) پہلوان کو فوری طور پر دھوکہ دہی کے لئے نااہل قرار دیا جاتا ہے، C) مخالف کو 5 پوائنٹس سے نوازا جاتا ہے، D) راؤنڈ دوبارہ کھیلا جاتا ہے</v>
      </c>
      <c r="N81" s="6" t="str">
        <f>IFERROR(__xludf.DUMMYFUNCTION("GOOGLETRANSLATE(D81, ""en"", ""ur"")"),"ب) پہلوان کو دھوکہ دہی کے الزام میں فوری طور پر نااہل قرار دیا جاتا ہے۔")</f>
        <v>ب) پہلوان کو دھوکہ دہی کے الزام میں فوری طور پر نااہل قرار دیا جاتا ہے۔</v>
      </c>
      <c r="O81" s="6" t="str">
        <f>IFERROR(__xludf.DUMMYFUNCTION("GOOGLETRANSLATE(E81, ""en"", ""ur"")"),"فائدہ حاصل کرنے یا چوٹ پہنچانے کے لیے چھپی ہوئی چیز کا استعمال ایک بڑی خلاف ورزی ہے اور اس کا نتیجہ فوری طور پر نااہلی کی صورت میں نکلتا ہے۔")</f>
        <v>فائدہ حاصل کرنے یا چوٹ پہنچانے کے لیے چھپی ہوئی چیز کا استعمال ایک بڑی خلاف ورزی ہے اور اس کا نتیجہ فوری طور پر نااہلی کی صورت میں نکلتا ہے۔</v>
      </c>
    </row>
    <row r="82">
      <c r="A82" s="4">
        <v>81.0</v>
      </c>
      <c r="B82" s="5" t="s">
        <v>162</v>
      </c>
      <c r="C82" s="5" t="s">
        <v>272</v>
      </c>
      <c r="D82" s="5" t="s">
        <v>164</v>
      </c>
      <c r="E82" s="5" t="s">
        <v>165</v>
      </c>
      <c r="K82" s="6" t="str">
        <f>IFERROR(__xludf.DUMMYFUNCTION("GOOGLETRANSLATE(A82, ""en"", ""ur"")"),"81")</f>
        <v>81</v>
      </c>
      <c r="L82" s="6" t="str">
        <f>IFERROR(__xludf.DUMMYFUNCTION("GOOGLETRANSLATE(B82, ""en"", ""ur"")"),"ایک پہلوان اپنے ""صبر"" کے لیے جانا جاتا ہے۔ ملاخرہ میں یہ کیسی فضیلت ہے؟")</f>
        <v>ایک پہلوان اپنے "صبر" کے لیے جانا جاتا ہے۔ ملاخرہ میں یہ کیسی فضیلت ہے؟</v>
      </c>
      <c r="M82" s="6" t="str">
        <f>IFERROR(__xludf.DUMMYFUNCTION("GOOGLETRANSLATE(C82, ""en"", ""ur"")"),"A) وہ کافی دیر تک انتظار کر سکتے ہیں، B) وہ تھرو کرنے سے پہلے حریف کی غلطی کا انتظار کرتے ہیں، C) وہ بہت سست پہلوان ہیں، D) وہ ریفری کا احترام کرتے ہیں۔")</f>
        <v>A) وہ کافی دیر تک انتظار کر سکتے ہیں، B) وہ تھرو کرنے سے پہلے حریف کی غلطی کا انتظار کرتے ہیں، C) وہ بہت سست پہلوان ہیں، D) وہ ریفری کا احترام کرتے ہیں۔</v>
      </c>
      <c r="N82" s="6" t="str">
        <f>IFERROR(__xludf.DUMMYFUNCTION("GOOGLETRANSLATE(D82, ""en"", ""ur"")"),"ب) وہ تھرو کرنے سے پہلے مخالف کے غلطی کرنے کا انتظار کرتے ہیں۔")</f>
        <v>ب) وہ تھرو کرنے سے پہلے مخالف کے غلطی کرنے کا انتظار کرتے ہیں۔</v>
      </c>
      <c r="O82" s="6" t="str">
        <f>IFERROR(__xludf.DUMMYFUNCTION("GOOGLETRANSLATE(E82, ""en"", ""ur"")"),"ایک مریض پہلوان جلدی نہیں کرتا۔ وہ گرفت کو کنٹرول کرتے ہیں اور اپنی تکنیک کو مؤثر طریقے سے انجام دینے کے لیے آف بیلنس کے بہترین لمحے کا انتظار کرتے ہیں۔")</f>
        <v>ایک مریض پہلوان جلدی نہیں کرتا۔ وہ گرفت کو کنٹرول کرتے ہیں اور اپنی تکنیک کو مؤثر طریقے سے انجام دینے کے لیے آف بیلنس کے بہترین لمحے کا انتظار کرتے ہیں۔</v>
      </c>
    </row>
    <row r="83">
      <c r="A83" s="4">
        <v>82.0</v>
      </c>
      <c r="B83" s="5" t="s">
        <v>199</v>
      </c>
      <c r="C83" s="5" t="s">
        <v>200</v>
      </c>
      <c r="D83" s="5" t="s">
        <v>201</v>
      </c>
      <c r="E83" s="5" t="s">
        <v>202</v>
      </c>
      <c r="K83" s="6" t="str">
        <f>IFERROR(__xludf.DUMMYFUNCTION("GOOGLETRANSLATE(A83, ""en"", ""ur"")"),"82")</f>
        <v>82</v>
      </c>
      <c r="L83" s="6" t="str">
        <f>IFERROR(__xludf.DUMMYFUNCTION("GOOGLETRANSLATE(B83, ""en"", ""ur"")"),"ایک پہلوان کو خبردار کیا جاتا ہے کہ وہ اپنے آزاد ہاتھ کا استعمال کرتے ہوئے مخالف کے نقطہ نظر کو روکتا ہے۔ کیا یہ صحیح کال ہے؟")</f>
        <v>ایک پہلوان کو خبردار کیا جاتا ہے کہ وہ اپنے آزاد ہاتھ کا استعمال کرتے ہوئے مخالف کے نقطہ نظر کو روکتا ہے۔ کیا یہ صحیح کال ہے؟</v>
      </c>
      <c r="M83" s="6" t="str">
        <f>IFERROR(__xludf.DUMMYFUNCTION("GOOGLETRANSLATE(C83, ""en"", ""ur"")"),"A) نہیں، یہ ایک ہوشیار حربہ ہے، B) جی ہاں، یہ ایک غیر قانونی اور غیر کھیلوں کی طرح کی فاؤل ہے، C) صرف اس صورت میں جب ہاتھ آنکھوں سے رابطہ کرے، D) یہ قانونی ہے لیکن اس پر ہچکچاہٹ")</f>
        <v>A) نہیں، یہ ایک ہوشیار حربہ ہے، B) جی ہاں، یہ ایک غیر قانونی اور غیر کھیلوں کی طرح کی فاؤل ہے، C) صرف اس صورت میں جب ہاتھ آنکھوں سے رابطہ کرے، D) یہ قانونی ہے لیکن اس پر ہچکچاہٹ</v>
      </c>
      <c r="N83" s="6" t="str">
        <f>IFERROR(__xludf.DUMMYFUNCTION("GOOGLETRANSLATE(D83, ""en"", ""ur"")"),"ب) جی ہاں، یہ ایک غیر قانونی اور غیر اسپورٹس مین فاؤل ہے۔")</f>
        <v>ب) جی ہاں، یہ ایک غیر قانونی اور غیر اسپورٹس مین فاؤل ہے۔</v>
      </c>
      <c r="O83" s="6" t="str">
        <f>IFERROR(__xludf.DUMMYFUNCTION("GOOGLETRANSLATE(E83, ""en"", ""ur"")"),"ایک ""آئی ریک"" یا جان بوجھ کر ہاتھ سے بینائی کو روکنا خطرناک اور غیر کھیل کے ہتھکنڈوں کو روکنے کے لیے ڈیزائن کیا گیا ایک غلط طریقہ ہے۔")</f>
        <v>ایک "آئی ریک" یا جان بوجھ کر ہاتھ سے بینائی کو روکنا خطرناک اور غیر کھیل کے ہتھکنڈوں کو روکنے کے لیے ڈیزائن کیا گیا ایک غلط طریقہ ہے۔</v>
      </c>
    </row>
    <row r="84">
      <c r="A84" s="4">
        <v>83.0</v>
      </c>
      <c r="B84" s="5" t="s">
        <v>250</v>
      </c>
      <c r="C84" s="5" t="s">
        <v>251</v>
      </c>
      <c r="D84" s="5" t="s">
        <v>252</v>
      </c>
      <c r="E84" s="5" t="s">
        <v>253</v>
      </c>
      <c r="K84" s="6" t="str">
        <f>IFERROR(__xludf.DUMMYFUNCTION("GOOGLETRANSLATE(A84, ""en"", ""ur"")"),"83")</f>
        <v>83</v>
      </c>
      <c r="L84" s="6" t="str">
        <f>IFERROR(__xludf.DUMMYFUNCTION("GOOGLETRANSLATE(B84, ""en"", ""ur"")"),"""کاؤنٹر تھرو"" کیا ہے؟")</f>
        <v>"کاؤنٹر تھرو" کیا ہے؟</v>
      </c>
      <c r="M84" s="6" t="str">
        <f>IFERROR(__xludf.DUMMYFUNCTION("GOOGLETRANSLATE(C84, ""en"", ""ur"")"),"A) مخالف کو مخالف سمت میں پھینکنا، B) اپنے ہی تھرو کو انجام دینے کے لیے مخالف کے حملے کی رفتار کا استعمال کرتے ہوئے، C) ایک تھرو جس کی اجازت نہیں ہے، D) دو پہلوانوں کی طرف سے کی گئی تھرو")</f>
        <v>A) مخالف کو مخالف سمت میں پھینکنا، B) اپنے ہی تھرو کو انجام دینے کے لیے مخالف کے حملے کی رفتار کا استعمال کرتے ہوئے، C) ایک تھرو جس کی اجازت نہیں ہے، D) دو پہلوانوں کی طرف سے کی گئی تھرو</v>
      </c>
      <c r="N84" s="6" t="str">
        <f>IFERROR(__xludf.DUMMYFUNCTION("GOOGLETRANSLATE(D84, ""en"", ""ur"")"),"ب) اپنے ہی تھرو کو انجام دینے کے لیے مخالف کے حملے کی رفتار کو استعمال کرنا")</f>
        <v>ب) اپنے ہی تھرو کو انجام دینے کے لیے مخالف کے حملے کی رفتار کو استعمال کرنا</v>
      </c>
      <c r="O84" s="6" t="str">
        <f>IFERROR(__xludf.DUMMYFUNCTION("GOOGLETRANSLATE(E84, ""en"", ""ur"")"),"یہ ایک اعلیٰ سطحی مہارت ہے جہاں ایک پہلوان اپنے مخالف کے جارحانہ اقدام کو طاقت کو الٹ کر نقصان میں بدل دیتا ہے۔")</f>
        <v>یہ ایک اعلیٰ سطحی مہارت ہے جہاں ایک پہلوان اپنے مخالف کے جارحانہ اقدام کو طاقت کو الٹ کر نقصان میں بدل دیتا ہے۔</v>
      </c>
    </row>
    <row r="85">
      <c r="A85" s="4">
        <v>84.0</v>
      </c>
      <c r="B85" s="5" t="s">
        <v>254</v>
      </c>
      <c r="C85" s="5" t="s">
        <v>255</v>
      </c>
      <c r="D85" s="5" t="s">
        <v>256</v>
      </c>
      <c r="E85" s="5" t="s">
        <v>257</v>
      </c>
      <c r="K85" s="6" t="str">
        <f>IFERROR(__xludf.DUMMYFUNCTION("GOOGLETRANSLATE(A85, ""en"", ""ur"")"),"84")</f>
        <v>84</v>
      </c>
      <c r="L85" s="6" t="str">
        <f>IFERROR(__xludf.DUMMYFUNCTION("GOOGLETRANSLATE(B85, ""en"", ""ur"")"),"اگر کوئی پہلوان اپنے مدمقابل کو پن لگاتا ہے لیکن پن باؤنڈری لائن سے بالکل باہر ہوتا ہے تو اس کا کیا حکم ہے؟")</f>
        <v>اگر کوئی پہلوان اپنے مدمقابل کو پن لگاتا ہے لیکن پن باؤنڈری لائن سے بالکل باہر ہوتا ہے تو اس کا کیا حکم ہے؟</v>
      </c>
      <c r="M85" s="6" t="str">
        <f>IFERROR(__xludf.DUMMYFUNCTION("GOOGLETRANSLATE(C85, ""en"", ""ur"")"),"A) پن درست ہے، B) پن درست نہیں ہے، اور میچ دوبارہ ترتیب دیا گیا ہے، C) جس پہلوان نے پن کیا ہے اسے سٹیپ آؤٹ کے لیے ایک پوائنٹ ملتا ہے، D) میچ ڈرا قرار دیا جاتا ہے۔")</f>
        <v>A) پن درست ہے، B) پن درست نہیں ہے، اور میچ دوبارہ ترتیب دیا گیا ہے، C) جس پہلوان نے پن کیا ہے اسے سٹیپ آؤٹ کے لیے ایک پوائنٹ ملتا ہے، D) میچ ڈرا قرار دیا جاتا ہے۔</v>
      </c>
      <c r="N85" s="6" t="str">
        <f>IFERROR(__xludf.DUMMYFUNCTION("GOOGLETRANSLATE(D85, ""en"", ""ur"")"),"ب) پن درست نہیں ہے، اور میچ دوبارہ ترتیب دیا گیا ہے۔")</f>
        <v>ب) پن درست نہیں ہے، اور میچ دوبارہ ترتیب دیا گیا ہے۔</v>
      </c>
      <c r="O85" s="6" t="str">
        <f>IFERROR(__xludf.DUMMYFUNCTION("GOOGLETRANSLATE(E85, ""en"", ""ur"")"),"تمام اسکورنگ ایکشنز، بشمول فائنل پن، مکمل طور پر نامزد مسابقتی علاقے کے اندر ہونا چاہیے۔")</f>
        <v>تمام اسکورنگ ایکشنز، بشمول فائنل پن، مکمل طور پر نامزد مسابقتی علاقے کے اندر ہونا چاہیے۔</v>
      </c>
    </row>
    <row r="86">
      <c r="A86" s="4">
        <v>85.0</v>
      </c>
      <c r="B86" s="5" t="s">
        <v>258</v>
      </c>
      <c r="C86" s="5" t="s">
        <v>259</v>
      </c>
      <c r="D86" s="5" t="s">
        <v>260</v>
      </c>
      <c r="E86" s="5" t="s">
        <v>261</v>
      </c>
      <c r="K86" s="6" t="str">
        <f>IFERROR(__xludf.DUMMYFUNCTION("GOOGLETRANSLATE(A86, ""en"", ""ur"")"),"85")</f>
        <v>85</v>
      </c>
      <c r="L86" s="6" t="str">
        <f>IFERROR(__xludf.DUMMYFUNCTION("GOOGLETRANSLATE(B86, ""en"", ""ur"")"),"ایک پہلوان اپنی ""دھماکہ خیز"" طاقت کے لیے جانا جاتا ہے۔ کس قسم کی تربیت یہ تیار کرتی ہے؟")</f>
        <v>ایک پہلوان اپنی "دھماکہ خیز" طاقت کے لیے جانا جاتا ہے۔ کس قسم کی تربیت یہ تیار کرتی ہے؟</v>
      </c>
      <c r="M86" s="6" t="str">
        <f>IFERROR(__xludf.DUMMYFUNCTION("GOOGLETRANSLATE(C86, ""en"", ""ur"")"),"A) لمبی دوری کی دوڑ، B) جامد اسٹریچنگ، C) پلائیومیٹرکس اور وزن کی تربیت، D) مراقبہ")</f>
        <v>A) لمبی دوری کی دوڑ، B) جامد اسٹریچنگ، C) پلائیومیٹرکس اور وزن کی تربیت، D) مراقبہ</v>
      </c>
      <c r="N86" s="6" t="str">
        <f>IFERROR(__xludf.DUMMYFUNCTION("GOOGLETRANSLATE(D86, ""en"", ""ur"")"),"سی) پلائیومیٹرکس اور وزن کی تربیت")</f>
        <v>سی) پلائیومیٹرکس اور وزن کی تربیت</v>
      </c>
      <c r="O86" s="6" t="str">
        <f>IFERROR(__xludf.DUMMYFUNCTION("GOOGLETRANSLATE(E86, ""en"", ""ur"")"),"دھماکہ خیز طاقت، کم وقت میں زیادہ سے زیادہ طاقت پیدا کرنے کی صلاحیت، اسکواٹس، ڈیڈ لفٹ اور جمپنگ ڈرلز جیسی مشقوں کے ذریعے بنائی جاتی ہے۔")</f>
        <v>دھماکہ خیز طاقت، کم وقت میں زیادہ سے زیادہ طاقت پیدا کرنے کی صلاحیت، اسکواٹس، ڈیڈ لفٹ اور جمپنگ ڈرلز جیسی مشقوں کے ذریعے بنائی جاتی ہے۔</v>
      </c>
    </row>
    <row r="87">
      <c r="A87" s="4">
        <v>86.0</v>
      </c>
      <c r="B87" s="5" t="s">
        <v>273</v>
      </c>
      <c r="C87" s="5" t="s">
        <v>274</v>
      </c>
      <c r="D87" s="5" t="s">
        <v>275</v>
      </c>
      <c r="E87" s="5" t="s">
        <v>276</v>
      </c>
      <c r="K87" s="6" t="str">
        <f>IFERROR(__xludf.DUMMYFUNCTION("GOOGLETRANSLATE(A87, ""en"", ""ur"")"),"86")</f>
        <v>86</v>
      </c>
      <c r="L87" s="6" t="str">
        <f>IFERROR(__xludf.DUMMYFUNCTION("GOOGLETRANSLATE(B87, ""en"", ""ur"")"),"ایک پہلوان کو بیلٹ پر غیر قانونی گرفت استعمال کرنے پر سزا دی جاتی ہے۔ انہوں نے کیا کیا ہوگا؟")</f>
        <v>ایک پہلوان کو بیلٹ پر غیر قانونی گرفت استعمال کرنے پر سزا دی جاتی ہے۔ انہوں نے کیا کیا ہوگا؟</v>
      </c>
      <c r="M87" s="6" t="str">
        <f>IFERROR(__xludf.DUMMYFUNCTION("GOOGLETRANSLATE(C87, ""en"", ""ur"")"),"A) بیلٹ کو بہت مضبوطی سے پکڑا، B) اضافی فائدہ اٹھانے کے لیے بیلٹ کو اپنی کلائی کے گرد لپیٹ لیا، C) دونوں ہاتھوں سے پکڑا، D) بیلٹ کی گرہ کو پکڑ لیا")</f>
        <v>A) بیلٹ کو بہت مضبوطی سے پکڑا، B) اضافی فائدہ اٹھانے کے لیے بیلٹ کو اپنی کلائی کے گرد لپیٹ لیا، C) دونوں ہاتھوں سے پکڑا، D) بیلٹ کی گرہ کو پکڑ لیا</v>
      </c>
      <c r="N87" s="6" t="str">
        <f>IFERROR(__xludf.DUMMYFUNCTION("GOOGLETRANSLATE(D87, ""en"", ""ur"")"),"ب) اضافی فائدہ اٹھانے کے لیے بیلٹ کو اپنی کلائی کے گرد لپیٹیں۔")</f>
        <v>ب) اضافی فائدہ اٹھانے کے لیے بیلٹ کو اپنی کلائی کے گرد لپیٹیں۔</v>
      </c>
      <c r="O87" s="6" t="str">
        <f>IFERROR(__xludf.DUMMYFUNCTION("GOOGLETRANSLATE(E87, ""en"", ""ur"")"),"بیلٹ کو بازو یا ہاتھ کے کسی بھی حصے کے گرد لپیٹنا غیر قانونی ہے، کیونکہ یہ ایک خطرناک اور غیر منصفانہ تالا بناتا ہے۔")</f>
        <v>بیلٹ کو بازو یا ہاتھ کے کسی بھی حصے کے گرد لپیٹنا غیر قانونی ہے، کیونکہ یہ ایک خطرناک اور غیر منصفانہ تالا بناتا ہے۔</v>
      </c>
    </row>
    <row r="88">
      <c r="A88" s="4">
        <v>87.0</v>
      </c>
      <c r="B88" s="5" t="s">
        <v>277</v>
      </c>
      <c r="C88" s="5" t="s">
        <v>278</v>
      </c>
      <c r="D88" s="5" t="s">
        <v>279</v>
      </c>
      <c r="E88" s="5" t="s">
        <v>280</v>
      </c>
      <c r="K88" s="6" t="str">
        <f>IFERROR(__xludf.DUMMYFUNCTION("GOOGLETRANSLATE(A88, ""en"", ""ur"")"),"87")</f>
        <v>87</v>
      </c>
      <c r="L88" s="6" t="str">
        <f>IFERROR(__xludf.DUMMYFUNCTION("GOOGLETRANSLATE(B88, ""en"", ""ur"")"),"میچ کے دوران استاد کا بنیادی کردار کیا ہوتا ہے؟")</f>
        <v>میچ کے دوران استاد کا بنیادی کردار کیا ہوتا ہے؟</v>
      </c>
      <c r="M88" s="6" t="str">
        <f>IFERROR(__xludf.DUMMYFUNCTION("GOOGLETRANSLATE(C88, ""en"", ""ur"")"),"A) ریفری کے طور پر کام کرنا، B) اکھاڑہ کے کونے سے اپنے پہلوان کی کوچنگ کرنا، C) پانی فراہم کرنا، D) ججوں سے بحث کرنا")</f>
        <v>A) ریفری کے طور پر کام کرنا، B) اکھاڑہ کے کونے سے اپنے پہلوان کی کوچنگ کرنا، C) پانی فراہم کرنا، D) ججوں سے بحث کرنا</v>
      </c>
      <c r="N88" s="6" t="str">
        <f>IFERROR(__xludf.DUMMYFUNCTION("GOOGLETRANSLATE(D88, ""en"", ""ur"")"),"ب) اکھاڑہ کے کونے سے اپنے پہلوان کی کوچنگ کرنا")</f>
        <v>ب) اکھاڑہ کے کونے سے اپنے پہلوان کی کوچنگ کرنا</v>
      </c>
      <c r="O88" s="6" t="str">
        <f>IFERROR(__xludf.DUMMYFUNCTION("GOOGLETRANSLATE(E88, ""en"", ""ur"")"),"استاد وہ کوچ ہے جو میچ کے دوران اپنے شاگرد (طالب علم) کو حکمت عملی سے متعلق مشورہ اور حوصلہ افزائی کرتا ہے۔")</f>
        <v>استاد وہ کوچ ہے جو میچ کے دوران اپنے شاگرد (طالب علم) کو حکمت عملی سے متعلق مشورہ اور حوصلہ افزائی کرتا ہے۔</v>
      </c>
    </row>
    <row r="89">
      <c r="A89" s="4">
        <v>88.0</v>
      </c>
      <c r="B89" s="5" t="s">
        <v>281</v>
      </c>
      <c r="C89" s="5" t="s">
        <v>282</v>
      </c>
      <c r="D89" s="5" t="s">
        <v>283</v>
      </c>
      <c r="E89" s="5" t="s">
        <v>284</v>
      </c>
      <c r="K89" s="6" t="str">
        <f>IFERROR(__xludf.DUMMYFUNCTION("GOOGLETRANSLATE(A89, ""en"", ""ur"")"),"88")</f>
        <v>88</v>
      </c>
      <c r="L89" s="6" t="str">
        <f>IFERROR(__xludf.DUMMYFUNCTION("GOOGLETRANSLATE(B89, ""en"", ""ur"")"),"ریفری کے ذریعہ ""پن"" کو سرکاری طور پر کیسے اشارہ کیا جاتا ہے؟")</f>
        <v>ریفری کے ذریعہ "پن" کو سرکاری طور پر کیسے اشارہ کیا جاتا ہے؟</v>
      </c>
      <c r="M89" s="6" t="str">
        <f>IFERROR(__xludf.DUMMYFUNCTION("GOOGLETRANSLATE(C89, ""en"", ""ur"")"),"A) سیٹی بجا کر، B) ایک بازو اٹھا کر ""مالہ!"" کا نعرہ لگا کر، C) تین گن کر، D) تالیاں بجا کر")</f>
        <v>A) سیٹی بجا کر، B) ایک بازو اٹھا کر "مالہ!" کا نعرہ لگا کر، C) تین گن کر، D) تالیاں بجا کر</v>
      </c>
      <c r="N89" s="6" t="str">
        <f>IFERROR(__xludf.DUMMYFUNCTION("GOOGLETRANSLATE(D89, ""en"", ""ur"")"),"ب) ایک بازو اٹھا کر ""مالہ!""")</f>
        <v>ب) ایک بازو اٹھا کر "مالہ!"</v>
      </c>
      <c r="O89" s="6" t="str">
        <f>IFERROR(__xludf.DUMMYFUNCTION("GOOGLETRANSLATE(E89, ""en"", ""ur"")"),"ریفری اس بات کا اشارہ دینے کے لیے واضح اور بلند آواز میں اعلان کرتا ہے کہ ایک پن حاصل ہو گیا ہے اور میچ ختم ہو گیا ہے۔")</f>
        <v>ریفری اس بات کا اشارہ دینے کے لیے واضح اور بلند آواز میں اعلان کرتا ہے کہ ایک پن حاصل ہو گیا ہے اور میچ ختم ہو گیا ہے۔</v>
      </c>
    </row>
    <row r="90">
      <c r="A90" s="4">
        <v>89.0</v>
      </c>
      <c r="B90" s="5" t="s">
        <v>285</v>
      </c>
      <c r="C90" s="5" t="s">
        <v>147</v>
      </c>
      <c r="D90" s="5" t="s">
        <v>148</v>
      </c>
      <c r="E90" s="5" t="s">
        <v>149</v>
      </c>
      <c r="K90" s="6" t="str">
        <f>IFERROR(__xludf.DUMMYFUNCTION("GOOGLETRANSLATE(A90, ""en"", ""ur"")"),"89")</f>
        <v>89</v>
      </c>
      <c r="L90" s="6" t="str">
        <f>IFERROR(__xludf.DUMMYFUNCTION("GOOGLETRANSLATE(B90, ""en"", ""ur"")"),"ملاکھرا پہلوانوں کا اکثر نچلا، بیٹھا ہوا موقف رکھنے کی بنیادی وجہ کیا ہے؟")</f>
        <v>ملاکھرا پہلوانوں کا اکثر نچلا، بیٹھا ہوا موقف رکھنے کی بنیادی وجہ کیا ہے؟</v>
      </c>
      <c r="M90" s="6" t="str">
        <f>IFERROR(__xludf.DUMMYFUNCTION("GOOGLETRANSLATE(C90, ""en"", ""ur"")"),"A) یہ زیادہ آرام دہ ہے، B) بہتر توازن اور طاقت کے لیے اپنے مرکز کی کشش ثقل کو کم کرنا، C) خود کو چھوٹا ہدف بنانا، D) صرف اس موقف کی اجازت ہے")</f>
        <v>A) یہ زیادہ آرام دہ ہے، B) بہتر توازن اور طاقت کے لیے اپنے مرکز کی کشش ثقل کو کم کرنا، C) خود کو چھوٹا ہدف بنانا، D) صرف اس موقف کی اجازت ہے</v>
      </c>
      <c r="N90" s="6" t="str">
        <f>IFERROR(__xludf.DUMMYFUNCTION("GOOGLETRANSLATE(D90, ""en"", ""ur"")"),"ب) بہتر توازن اور طاقت کے لیے اپنے مرکز ثقل کو کم کرنا")</f>
        <v>ب) بہتر توازن اور طاقت کے لیے اپنے مرکز ثقل کو کم کرنا</v>
      </c>
      <c r="O90" s="6" t="str">
        <f>IFERROR(__xludf.DUMMYFUNCTION("GOOGLETRANSLATE(E90, ""en"", ""ur"")"),"کم بنیاد جوڑنے کے لیے بنیادی ہے، کیونکہ یہ ایک پہلوان کو اٹھانا، جھاڑو دینا یا پھینکنا زیادہ مشکل بنا دیتا ہے۔")</f>
        <v>کم بنیاد جوڑنے کے لیے بنیادی ہے، کیونکہ یہ ایک پہلوان کو اٹھانا، جھاڑو دینا یا پھینکنا زیادہ مشکل بنا دیتا ہے۔</v>
      </c>
    </row>
    <row r="91">
      <c r="A91" s="4">
        <v>90.0</v>
      </c>
      <c r="B91" s="5" t="s">
        <v>195</v>
      </c>
      <c r="C91" s="5" t="s">
        <v>196</v>
      </c>
      <c r="D91" s="5" t="s">
        <v>197</v>
      </c>
      <c r="E91" s="5" t="s">
        <v>198</v>
      </c>
      <c r="K91" s="6" t="str">
        <f>IFERROR(__xludf.DUMMYFUNCTION("GOOGLETRANSLATE(A91, ""en"", ""ur"")"),"90")</f>
        <v>90</v>
      </c>
      <c r="L91" s="6" t="str">
        <f>IFERROR(__xludf.DUMMYFUNCTION("GOOGLETRANSLATE(B91, ""en"", ""ur"")"),"اپنے جوہر میں، سندھی ثقافت میں ملاکھڑا میچ کس چیز کی نمائندگی کرتا ہے؟")</f>
        <v>اپنے جوہر میں، سندھی ثقافت میں ملاکھڑا میچ کس چیز کی نمائندگی کرتا ہے؟</v>
      </c>
      <c r="M91" s="6" t="str">
        <f>IFERROR(__xludf.DUMMYFUNCTION("GOOGLETRANSLATE(C91, ""en"", ""ur"")"),"A) ایک سادہ کھیل، B) وحشیانہ طاقت کا مظاہرہ، C) طاقت، مہارت اور عزت کا نظم و ضبط سے مقابلہ، D) رنجشوں کو دور کرنے کا طریقہ")</f>
        <v>A) ایک سادہ کھیل، B) وحشیانہ طاقت کا مظاہرہ، C) طاقت، مہارت اور عزت کا نظم و ضبط سے مقابلہ، D) رنجشوں کو دور کرنے کا طریقہ</v>
      </c>
      <c r="N91" s="6" t="str">
        <f>IFERROR(__xludf.DUMMYFUNCTION("GOOGLETRANSLATE(D91, ""en"", ""ur"")"),"ج) طاقت، ہنر، اور عزت کا نظم و ضبط والا مقابلہ")</f>
        <v>ج) طاقت، ہنر، اور عزت کا نظم و ضبط والا مقابلہ</v>
      </c>
      <c r="O91" s="6" t="str">
        <f>IFERROR(__xludf.DUMMYFUNCTION("GOOGLETRANSLATE(E91, ""en"", ""ur"")"),"ملاخرہ لڑائی سے بڑھ کر ہے۔ یہ ایک قابل احترام ثقافتی ادارہ ہے جو پہلوان کی خوبیوں کو مناتا ہے۔")</f>
        <v>ملاخرہ لڑائی سے بڑھ کر ہے۔ یہ ایک قابل احترام ثقافتی ادارہ ہے جو پہلوان کی خوبیوں کو مناتا ہے۔</v>
      </c>
    </row>
    <row r="92">
      <c r="A92" s="4">
        <v>91.0</v>
      </c>
      <c r="B92" s="5" t="s">
        <v>162</v>
      </c>
      <c r="C92" s="5" t="s">
        <v>286</v>
      </c>
      <c r="D92" s="5" t="s">
        <v>287</v>
      </c>
      <c r="E92" s="5" t="s">
        <v>288</v>
      </c>
      <c r="K92" s="6" t="str">
        <f>IFERROR(__xludf.DUMMYFUNCTION("GOOGLETRANSLATE(A92, ""en"", ""ur"")"),"91")</f>
        <v>91</v>
      </c>
      <c r="L92" s="6" t="str">
        <f>IFERROR(__xludf.DUMMYFUNCTION("GOOGLETRANSLATE(B92, ""en"", ""ur"")"),"ایک پہلوان اپنے ""صبر"" کے لیے جانا جاتا ہے۔ ملاخرہ میں یہ کیسی فضیلت ہے؟")</f>
        <v>ایک پہلوان اپنے "صبر" کے لیے جانا جاتا ہے۔ ملاخرہ میں یہ کیسی فضیلت ہے؟</v>
      </c>
      <c r="M92" s="6" t="str">
        <f>IFERROR(__xludf.DUMMYFUNCTION("GOOGLETRANSLATE(C92, ""en"", ""ur"")"),"A) وہ لمبا انتظار کر سکتے ہیں، B) وہ تھرو کرنے سے پہلے کسی مخالف کی غلطی کا انتظار کر سکتے ہیں، C) وہ سست ہیں، D) وہ قابل احترام ہیں۔")</f>
        <v>A) وہ لمبا انتظار کر سکتے ہیں، B) وہ تھرو کرنے سے پہلے کسی مخالف کی غلطی کا انتظار کر سکتے ہیں، C) وہ سست ہیں، D) وہ قابل احترام ہیں۔</v>
      </c>
      <c r="N92" s="6" t="str">
        <f>IFERROR(__xludf.DUMMYFUNCTION("GOOGLETRANSLATE(D92, ""en"", ""ur"")"),"ب) وہ پھینکنے سے پہلے مخالف کی غلطی کا انتظار کرتے ہیں۔")</f>
        <v>ب) وہ پھینکنے سے پہلے مخالف کی غلطی کا انتظار کرتے ہیں۔</v>
      </c>
      <c r="O92" s="6" t="str">
        <f>IFERROR(__xludf.DUMMYFUNCTION("GOOGLETRANSLATE(E92, ""en"", ""ur"")"),"ایک مریض پہلوان جلدی نہیں کرتا، گرفت کو کنٹرول کرتا ہے اور کسی تکنیک کو انجام دینے کے لیے آف بیلنس کے بہترین لمحے کا انتظار کرتا ہے۔")</f>
        <v>ایک مریض پہلوان جلدی نہیں کرتا، گرفت کو کنٹرول کرتا ہے اور کسی تکنیک کو انجام دینے کے لیے آف بیلنس کے بہترین لمحے کا انتظار کرتا ہے۔</v>
      </c>
    </row>
    <row r="93">
      <c r="A93" s="4">
        <v>92.0</v>
      </c>
      <c r="B93" s="5" t="s">
        <v>199</v>
      </c>
      <c r="C93" s="5" t="s">
        <v>289</v>
      </c>
      <c r="D93" s="5" t="s">
        <v>290</v>
      </c>
      <c r="E93" s="5" t="s">
        <v>291</v>
      </c>
      <c r="K93" s="6" t="str">
        <f>IFERROR(__xludf.DUMMYFUNCTION("GOOGLETRANSLATE(A93, ""en"", ""ur"")"),"92")</f>
        <v>92</v>
      </c>
      <c r="L93" s="6" t="str">
        <f>IFERROR(__xludf.DUMMYFUNCTION("GOOGLETRANSLATE(B93, ""en"", ""ur"")"),"ایک پہلوان کو خبردار کیا جاتا ہے کہ وہ اپنے آزاد ہاتھ کا استعمال کرتے ہوئے مخالف کے نقطہ نظر کو روکتا ہے۔ کیا یہ صحیح کال ہے؟")</f>
        <v>ایک پہلوان کو خبردار کیا جاتا ہے کہ وہ اپنے آزاد ہاتھ کا استعمال کرتے ہوئے مخالف کے نقطہ نظر کو روکتا ہے۔ کیا یہ صحیح کال ہے؟</v>
      </c>
      <c r="M93" s="6" t="str">
        <f>IFERROR(__xludf.DUMMYFUNCTION("GOOGLETRANSLATE(C93, ""en"", ""ur"")"),"A) نہیں، یہ ایک ہوشیار حربہ ہے، B) جی ہاں، یہ ایک غیر قانونی اور غیر کھیلوں کی طرح کی فاؤل ہے، C) صرف اس صورت میں جب رابطہ کیا جائے، D) یہ قانونی ہے لیکن اس سے انکار")</f>
        <v>A) نہیں، یہ ایک ہوشیار حربہ ہے، B) جی ہاں، یہ ایک غیر قانونی اور غیر کھیلوں کی طرح کی فاؤل ہے، C) صرف اس صورت میں جب رابطہ کیا جائے، D) یہ قانونی ہے لیکن اس سے انکار</v>
      </c>
      <c r="N93" s="6" t="str">
        <f>IFERROR(__xludf.DUMMYFUNCTION("GOOGLETRANSLATE(D93, ""en"", ""ur"")"),"ب) جی ہاں، یہ ایک غیر قانونی اور غیر اسپورٹس مین فاؤل ہے۔")</f>
        <v>ب) جی ہاں، یہ ایک غیر قانونی اور غیر اسپورٹس مین فاؤل ہے۔</v>
      </c>
      <c r="O93" s="6" t="str">
        <f>IFERROR(__xludf.DUMMYFUNCTION("GOOGLETRANSLATE(E93, ""en"", ""ur"")"),"خطرناک اور غیر کھیل کے ہتھکنڈوں کو روکنے کے لیے ""آئی ریک"" یا جان بوجھ کر بصارت کو مسدود کرنا غلط ہے۔")</f>
        <v>خطرناک اور غیر کھیل کے ہتھکنڈوں کو روکنے کے لیے "آئی ریک" یا جان بوجھ کر بصارت کو مسدود کرنا غلط ہے۔</v>
      </c>
    </row>
    <row r="94">
      <c r="A94" s="4">
        <v>93.0</v>
      </c>
      <c r="B94" s="5" t="s">
        <v>250</v>
      </c>
      <c r="C94" s="5" t="s">
        <v>292</v>
      </c>
      <c r="D94" s="5" t="s">
        <v>293</v>
      </c>
      <c r="E94" s="5" t="s">
        <v>294</v>
      </c>
      <c r="K94" s="6" t="str">
        <f>IFERROR(__xludf.DUMMYFUNCTION("GOOGLETRANSLATE(A94, ""en"", ""ur"")"),"93")</f>
        <v>93</v>
      </c>
      <c r="L94" s="6" t="str">
        <f>IFERROR(__xludf.DUMMYFUNCTION("GOOGLETRANSLATE(B94, ""en"", ""ur"")"),"""کاؤنٹر تھرو"" کیا ہے؟")</f>
        <v>"کاؤنٹر تھرو" کیا ہے؟</v>
      </c>
      <c r="M94" s="6" t="str">
        <f>IFERROR(__xludf.DUMMYFUNCTION("GOOGLETRANSLATE(C94, ""en"", ""ur"")"),"A) مخالف سمت میں پھینکنا، B) اپنے ہی تھرو کو انجام دینے کے لیے مخالف کے حملے کی رفتار کا استعمال کرنا، C) غیر قانونی پھینکنا، D) دو افراد کا پھینکنا")</f>
        <v>A) مخالف سمت میں پھینکنا، B) اپنے ہی تھرو کو انجام دینے کے لیے مخالف کے حملے کی رفتار کا استعمال کرنا، C) غیر قانونی پھینکنا، D) دو افراد کا پھینکنا</v>
      </c>
      <c r="N94" s="6" t="str">
        <f>IFERROR(__xludf.DUMMYFUNCTION("GOOGLETRANSLATE(D94, ""en"", ""ur"")"),"ب) اپنے ہی تھرو کو انجام دینے کے لیے مخالف کے حملے کی رفتار کا استعمال کرنا")</f>
        <v>ب) اپنے ہی تھرو کو انجام دینے کے لیے مخالف کے حملے کی رفتار کا استعمال کرنا</v>
      </c>
      <c r="O94" s="6" t="str">
        <f>IFERROR(__xludf.DUMMYFUNCTION("GOOGLETRANSLATE(E94, ""en"", ""ur"")"),"یہ ایک اعلیٰ سطحی مہارت ہے جہاں ایک پہلوان مخالف کے جارحانہ اقدام کی طاقت کو الٹ دیتا ہے۔")</f>
        <v>یہ ایک اعلیٰ سطحی مہارت ہے جہاں ایک پہلوان مخالف کے جارحانہ اقدام کی طاقت کو الٹ دیتا ہے۔</v>
      </c>
    </row>
    <row r="95">
      <c r="A95" s="4">
        <v>94.0</v>
      </c>
      <c r="B95" s="5" t="s">
        <v>295</v>
      </c>
      <c r="C95" s="5" t="s">
        <v>296</v>
      </c>
      <c r="D95" s="5" t="s">
        <v>297</v>
      </c>
      <c r="E95" s="5" t="s">
        <v>298</v>
      </c>
      <c r="K95" s="6" t="str">
        <f>IFERROR(__xludf.DUMMYFUNCTION("GOOGLETRANSLATE(A95, ""en"", ""ur"")"),"94")</f>
        <v>94</v>
      </c>
      <c r="L95" s="6" t="str">
        <f>IFERROR(__xludf.DUMMYFUNCTION("GOOGLETRANSLATE(B95, ""en"", ""ur"")"),"اگر کوئی پہلوان اپنے مخالف کو باؤنڈری لائن سے بالکل باہر مار دے تو اس کا کیا حکم ہے؟")</f>
        <v>اگر کوئی پہلوان اپنے مخالف کو باؤنڈری لائن سے بالکل باہر مار دے تو اس کا کیا حکم ہے؟</v>
      </c>
      <c r="M95" s="6" t="str">
        <f>IFERROR(__xludf.DUMMYFUNCTION("GOOGLETRANSLATE(C95, ""en"", ""ur"")"),"A) پن درست ہے، B) پن درست نہیں ہے اور میچ دوبارہ ترتیب دیا گیا ہے، C) پنر کو سٹیپ آؤٹ کے لیے ایک پوائنٹ ملتا ہے، D) میچ ڈرا ہے۔")</f>
        <v>A) پن درست ہے، B) پن درست نہیں ہے اور میچ دوبارہ ترتیب دیا گیا ہے، C) پنر کو سٹیپ آؤٹ کے لیے ایک پوائنٹ ملتا ہے، D) میچ ڈرا ہے۔</v>
      </c>
      <c r="N95" s="6" t="str">
        <f>IFERROR(__xludf.DUMMYFUNCTION("GOOGLETRANSLATE(D95, ""en"", ""ur"")"),"ب) پن درست نہیں ہے اور میچ دوبارہ ترتیب دیا گیا ہے۔")</f>
        <v>ب) پن درست نہیں ہے اور میچ دوبارہ ترتیب دیا گیا ہے۔</v>
      </c>
      <c r="O95" s="6" t="str">
        <f>IFERROR(__xludf.DUMMYFUNCTION("GOOGLETRANSLATE(E95, ""en"", ""ur"")"),"تمام اسکورنگ ایکشن، بشمول ایک پن، مکمل طور پر مقابلے کے علاقے میں ہونا چاہیے۔")</f>
        <v>تمام اسکورنگ ایکشن، بشمول ایک پن، مکمل طور پر مقابلے کے علاقے میں ہونا چاہیے۔</v>
      </c>
    </row>
    <row r="96">
      <c r="A96" s="4">
        <v>95.0</v>
      </c>
      <c r="B96" s="5" t="s">
        <v>258</v>
      </c>
      <c r="C96" s="5" t="s">
        <v>259</v>
      </c>
      <c r="D96" s="5" t="s">
        <v>260</v>
      </c>
      <c r="E96" s="5" t="s">
        <v>299</v>
      </c>
      <c r="K96" s="6" t="str">
        <f>IFERROR(__xludf.DUMMYFUNCTION("GOOGLETRANSLATE(A96, ""en"", ""ur"")"),"95")</f>
        <v>95</v>
      </c>
      <c r="L96" s="6" t="str">
        <f>IFERROR(__xludf.DUMMYFUNCTION("GOOGLETRANSLATE(B96, ""en"", ""ur"")"),"ایک پہلوان اپنی ""دھماکہ خیز"" طاقت کے لیے جانا جاتا ہے۔ کس قسم کی تربیت یہ تیار کرتی ہے؟")</f>
        <v>ایک پہلوان اپنی "دھماکہ خیز" طاقت کے لیے جانا جاتا ہے۔ کس قسم کی تربیت یہ تیار کرتی ہے؟</v>
      </c>
      <c r="M96" s="6" t="str">
        <f>IFERROR(__xludf.DUMMYFUNCTION("GOOGLETRANSLATE(C96, ""en"", ""ur"")"),"A) لمبی دوری کی دوڑ، B) جامد اسٹریچنگ، C) پلائیومیٹرکس اور وزن کی تربیت، D) مراقبہ")</f>
        <v>A) لمبی دوری کی دوڑ، B) جامد اسٹریچنگ، C) پلائیومیٹرکس اور وزن کی تربیت، D) مراقبہ</v>
      </c>
      <c r="N96" s="6" t="str">
        <f>IFERROR(__xludf.DUMMYFUNCTION("GOOGLETRANSLATE(D96, ""en"", ""ur"")"),"سی) پلائیومیٹرکس اور وزن کی تربیت")</f>
        <v>سی) پلائیومیٹرکس اور وزن کی تربیت</v>
      </c>
      <c r="O96" s="6" t="str">
        <f>IFERROR(__xludf.DUMMYFUNCTION("GOOGLETRANSLATE(E96, ""en"", ""ur"")"),"دھماکہ خیز قوت کو اسکواٹس، ڈیڈ لفٹ اور جمپنگ ڈرلز جیسی مشقوں کے ذریعے بنایا جاتا ہے۔")</f>
        <v>دھماکہ خیز قوت کو اسکواٹس، ڈیڈ لفٹ اور جمپنگ ڈرلز جیسی مشقوں کے ذریعے بنایا جاتا ہے۔</v>
      </c>
    </row>
    <row r="97">
      <c r="A97" s="4">
        <v>96.0</v>
      </c>
      <c r="B97" s="5" t="s">
        <v>300</v>
      </c>
      <c r="C97" s="5" t="s">
        <v>301</v>
      </c>
      <c r="D97" s="5" t="s">
        <v>302</v>
      </c>
      <c r="E97" s="5" t="s">
        <v>303</v>
      </c>
      <c r="K97" s="6" t="str">
        <f>IFERROR(__xludf.DUMMYFUNCTION("GOOGLETRANSLATE(A97, ""en"", ""ur"")"),"96")</f>
        <v>96</v>
      </c>
      <c r="L97" s="6" t="str">
        <f>IFERROR(__xludf.DUMMYFUNCTION("GOOGLETRANSLATE(B97, ""en"", ""ur"")"),"ایک پہلوان کو بیلٹ پر غیر قانونی گرفت کے لیے سزا دی جاتی ہے۔ انہوں نے کیا کیا ہوگا؟")</f>
        <v>ایک پہلوان کو بیلٹ پر غیر قانونی گرفت کے لیے سزا دی جاتی ہے۔ انہوں نے کیا کیا ہوگا؟</v>
      </c>
      <c r="M97" s="6" t="str">
        <f>IFERROR(__xludf.DUMMYFUNCTION("GOOGLETRANSLATE(C97, ""en"", ""ur"")"),"A) بیلٹ کو بہت مضبوطی سے پکڑنا، B) بیلٹ کو اپنی کلائی کے گرد لپیٹ کر فائدہ اٹھانا، C) دونوں ہاتھوں سے پکڑنا، D) گرہ کو پکڑنا")</f>
        <v>A) بیلٹ کو بہت مضبوطی سے پکڑنا، B) بیلٹ کو اپنی کلائی کے گرد لپیٹ کر فائدہ اٹھانا، C) دونوں ہاتھوں سے پکڑنا، D) گرہ کو پکڑنا</v>
      </c>
      <c r="N97" s="6" t="str">
        <f>IFERROR(__xludf.DUMMYFUNCTION("GOOGLETRANSLATE(D97, ""en"", ""ur"")"),"بی) فائدہ اٹھانے کے لیے ان کی کلائی کے گرد بیلٹ لپیٹیں۔")</f>
        <v>بی) فائدہ اٹھانے کے لیے ان کی کلائی کے گرد بیلٹ لپیٹیں۔</v>
      </c>
      <c r="O97" s="6" t="str">
        <f>IFERROR(__xludf.DUMMYFUNCTION("GOOGLETRANSLATE(E97, ""en"", ""ur"")"),"بیلٹ کو بازو یا ہاتھ کے کسی بھی حصے کے گرد لپیٹنا غیر قانونی ہے، کیونکہ اس سے ایک خطرناک تالا بن جاتا ہے۔")</f>
        <v>بیلٹ کو بازو یا ہاتھ کے کسی بھی حصے کے گرد لپیٹنا غیر قانونی ہے، کیونکہ اس سے ایک خطرناک تالا بن جاتا ہے۔</v>
      </c>
    </row>
    <row r="98">
      <c r="A98" s="4">
        <v>97.0</v>
      </c>
      <c r="B98" s="5" t="s">
        <v>277</v>
      </c>
      <c r="C98" s="5" t="s">
        <v>304</v>
      </c>
      <c r="D98" s="5" t="s">
        <v>305</v>
      </c>
      <c r="E98" s="5" t="s">
        <v>306</v>
      </c>
      <c r="K98" s="6" t="str">
        <f>IFERROR(__xludf.DUMMYFUNCTION("GOOGLETRANSLATE(A98, ""en"", ""ur"")"),"97")</f>
        <v>97</v>
      </c>
      <c r="L98" s="6" t="str">
        <f>IFERROR(__xludf.DUMMYFUNCTION("GOOGLETRANSLATE(B98, ""en"", ""ur"")"),"میچ کے دوران استاد کا بنیادی کردار کیا ہوتا ہے؟")</f>
        <v>میچ کے دوران استاد کا بنیادی کردار کیا ہوتا ہے؟</v>
      </c>
      <c r="M98" s="6" t="str">
        <f>IFERROR(__xludf.DUMMYFUNCTION("GOOGLETRANSLATE(C98, ""en"", ""ur"")"),"A) ریفری کے طور پر کام کرنا، B) اپنے پہلوان کو کونے سے کوچ کرنا، C) پانی فراہم کرنا، D) ججوں سے بحث کرنا")</f>
        <v>A) ریفری کے طور پر کام کرنا، B) اپنے پہلوان کو کونے سے کوچ کرنا، C) پانی فراہم کرنا، D) ججوں سے بحث کرنا</v>
      </c>
      <c r="N98" s="6" t="str">
        <f>IFERROR(__xludf.DUMMYFUNCTION("GOOGLETRANSLATE(D98, ""en"", ""ur"")"),"ب) اپنے پہلوان کو کونے سے کوچ کرنا")</f>
        <v>ب) اپنے پہلوان کو کونے سے کوچ کرنا</v>
      </c>
      <c r="O98" s="6" t="str">
        <f>IFERROR(__xludf.DUMMYFUNCTION("GOOGLETRANSLATE(E98, ""en"", ""ur"")"),"استاد وہ کوچ ہے جو اپنے شاگرد (طالب علم) کو حکمت عملی کا مشورہ دیتا ہے۔")</f>
        <v>استاد وہ کوچ ہے جو اپنے شاگرد (طالب علم) کو حکمت عملی کا مشورہ دیتا ہے۔</v>
      </c>
    </row>
    <row r="99">
      <c r="A99" s="4">
        <v>98.0</v>
      </c>
      <c r="B99" s="5" t="s">
        <v>281</v>
      </c>
      <c r="C99" s="5" t="s">
        <v>307</v>
      </c>
      <c r="D99" s="5" t="s">
        <v>283</v>
      </c>
      <c r="E99" s="5" t="s">
        <v>308</v>
      </c>
      <c r="K99" s="6" t="str">
        <f>IFERROR(__xludf.DUMMYFUNCTION("GOOGLETRANSLATE(A99, ""en"", ""ur"")"),"98")</f>
        <v>98</v>
      </c>
      <c r="L99" s="6" t="str">
        <f>IFERROR(__xludf.DUMMYFUNCTION("GOOGLETRANSLATE(B99, ""en"", ""ur"")"),"ریفری کے ذریعہ ""پن"" کو سرکاری طور پر کیسے اشارہ کیا جاتا ہے؟")</f>
        <v>ریفری کے ذریعہ "پن" کو سرکاری طور پر کیسے اشارہ کیا جاتا ہے؟</v>
      </c>
      <c r="M99" s="6" t="str">
        <f>IFERROR(__xludf.DUMMYFUNCTION("GOOGLETRANSLATE(C99, ""en"", ""ur"")"),"A) سیٹی بجا کر، B) ایک بازو اٹھا کر ""مالہ!"" کا نعرہ لگا کر، C) تین گن کر، D) تالیاں بجا کر")</f>
        <v>A) سیٹی بجا کر، B) ایک بازو اٹھا کر "مالہ!" کا نعرہ لگا کر، C) تین گن کر، D) تالیاں بجا کر</v>
      </c>
      <c r="N99" s="6" t="str">
        <f>IFERROR(__xludf.DUMMYFUNCTION("GOOGLETRANSLATE(D99, ""en"", ""ur"")"),"ب) ایک بازو اٹھا کر ""مالہ!""")</f>
        <v>ب) ایک بازو اٹھا کر "مالہ!"</v>
      </c>
      <c r="O99" s="6" t="str">
        <f>IFERROR(__xludf.DUMMYFUNCTION("GOOGLETRANSLATE(E99, ""en"", ""ur"")"),"ریفری ایک واضح اور بلند آواز میں اعلان کرتا ہے کہ ایک پن حاصل ہو گیا ہے اور میچ ختم ہو گیا ہے۔")</f>
        <v>ریفری ایک واضح اور بلند آواز میں اعلان کرتا ہے کہ ایک پن حاصل ہو گیا ہے اور میچ ختم ہو گیا ہے۔</v>
      </c>
    </row>
    <row r="100">
      <c r="A100" s="4">
        <v>99.0</v>
      </c>
      <c r="B100" s="5" t="s">
        <v>309</v>
      </c>
      <c r="C100" s="5" t="s">
        <v>310</v>
      </c>
      <c r="D100" s="5" t="s">
        <v>148</v>
      </c>
      <c r="E100" s="5" t="s">
        <v>311</v>
      </c>
      <c r="K100" s="6" t="str">
        <f>IFERROR(__xludf.DUMMYFUNCTION("GOOGLETRANSLATE(A100, ""en"", ""ur"")"),"99")</f>
        <v>99</v>
      </c>
      <c r="L100" s="6" t="str">
        <f>IFERROR(__xludf.DUMMYFUNCTION("GOOGLETRANSLATE(B100, ""en"", ""ur"")"),"ملاکھرا پہلوان اکثر نچلے، بیٹھنے کا موقف کیوں رکھتے ہیں؟")</f>
        <v>ملاکھرا پہلوان اکثر نچلے، بیٹھنے کا موقف کیوں رکھتے ہیں؟</v>
      </c>
      <c r="M100" s="6" t="str">
        <f>IFERROR(__xludf.DUMMYFUNCTION("GOOGLETRANSLATE(C100, ""en"", ""ur"")"),"A) یہ زیادہ آرام دہ ہے، B) بہتر توازن اور طاقت کے لیے اپنے مرکز کی کشش ثقل کو کم کرنے کے لیے، C) چھوٹا ہدف بنانے کے لیے، D) صرف اس موقف کی اجازت ہے")</f>
        <v>A) یہ زیادہ آرام دہ ہے، B) بہتر توازن اور طاقت کے لیے اپنے مرکز کی کشش ثقل کو کم کرنے کے لیے، C) چھوٹا ہدف بنانے کے لیے، D) صرف اس موقف کی اجازت ہے</v>
      </c>
      <c r="N100" s="6" t="str">
        <f>IFERROR(__xludf.DUMMYFUNCTION("GOOGLETRANSLATE(D100, ""en"", ""ur"")"),"ب) بہتر توازن اور طاقت کے لیے اپنے مرکز ثقل کو کم کرنا")</f>
        <v>ب) بہتر توازن اور طاقت کے لیے اپنے مرکز ثقل کو کم کرنا</v>
      </c>
      <c r="O100" s="6" t="str">
        <f>IFERROR(__xludf.DUMMYFUNCTION("GOOGLETRANSLATE(E100, ""en"", ""ur"")"),"نچلی بنیاد جوڑنے کے لیے بنیادی ہے، جس سے پہلوان کو اٹھانا، جھاڑنا یا پھینکنا بہت مشکل ہو جاتا ہے۔")</f>
        <v>نچلی بنیاد جوڑنے کے لیے بنیادی ہے، جس سے پہلوان کو اٹھانا، جھاڑنا یا پھینکنا بہت مشکل ہو جاتا ہے۔</v>
      </c>
    </row>
    <row r="101">
      <c r="A101" s="4">
        <v>100.0</v>
      </c>
      <c r="B101" s="5" t="s">
        <v>195</v>
      </c>
      <c r="C101" s="5" t="s">
        <v>196</v>
      </c>
      <c r="D101" s="5" t="s">
        <v>197</v>
      </c>
      <c r="E101" s="5" t="s">
        <v>312</v>
      </c>
      <c r="K101" s="6" t="str">
        <f>IFERROR(__xludf.DUMMYFUNCTION("GOOGLETRANSLATE(A101, ""en"", ""ur"")"),"100")</f>
        <v>100</v>
      </c>
      <c r="L101" s="6" t="str">
        <f>IFERROR(__xludf.DUMMYFUNCTION("GOOGLETRANSLATE(B101, ""en"", ""ur"")"),"اپنے جوہر میں، سندھی ثقافت میں ملاکھڑا میچ کس چیز کی نمائندگی کرتا ہے؟")</f>
        <v>اپنے جوہر میں، سندھی ثقافت میں ملاکھڑا میچ کس چیز کی نمائندگی کرتا ہے؟</v>
      </c>
      <c r="M101" s="6" t="str">
        <f>IFERROR(__xludf.DUMMYFUNCTION("GOOGLETRANSLATE(C101, ""en"", ""ur"")"),"A) ایک سادہ کھیل، B) وحشیانہ طاقت کا مظاہرہ، C) طاقت، مہارت اور عزت کا نظم و ضبط سے مقابلہ، D) رنجشوں کو دور کرنے کا طریقہ")</f>
        <v>A) ایک سادہ کھیل، B) وحشیانہ طاقت کا مظاہرہ، C) طاقت، مہارت اور عزت کا نظم و ضبط سے مقابلہ، D) رنجشوں کو دور کرنے کا طریقہ</v>
      </c>
      <c r="N101" s="6" t="str">
        <f>IFERROR(__xludf.DUMMYFUNCTION("GOOGLETRANSLATE(D101, ""en"", ""ur"")"),"ج) طاقت، ہنر، اور عزت کا نظم و ضبط والا مقابلہ")</f>
        <v>ج) طاقت، ہنر، اور عزت کا نظم و ضبط والا مقابلہ</v>
      </c>
      <c r="O101" s="6" t="str">
        <f>IFERROR(__xludf.DUMMYFUNCTION("GOOGLETRANSLATE(E101, ""en"", ""ur"")"),"ملاخرہ لڑائی سے بڑھ کر ہے۔ یہ ایک قابل احترام ثقافتی ادارہ ہے جو پہلوان کی خوبیوں کو منا رہا ہے۔")</f>
        <v>ملاخرہ لڑائی سے بڑھ کر ہے۔ یہ ایک قابل احترام ثقافتی ادارہ ہے جو پہلوان کی خوبیوں کو منا رہا ہے۔</v>
      </c>
    </row>
    <row r="102">
      <c r="A102" s="4">
        <v>101.0</v>
      </c>
      <c r="B102" s="5" t="s">
        <v>313</v>
      </c>
      <c r="C102" s="5" t="s">
        <v>314</v>
      </c>
      <c r="D102" s="5" t="s">
        <v>315</v>
      </c>
      <c r="E102" s="5" t="s">
        <v>316</v>
      </c>
      <c r="K102" s="6" t="str">
        <f>IFERROR(__xludf.DUMMYFUNCTION("GOOGLETRANSLATE(A102, ""en"", ""ur"")"),"101")</f>
        <v>101</v>
      </c>
      <c r="L102" s="6" t="str">
        <f>IFERROR(__xludf.DUMMYFUNCTION("GOOGLETRANSLATE(B102, ""en"", ""ur"")"),"ملاکھرا کے ایک میچ میں، ریسلر A نے کامیابی کے ساتھ ایک طاقتور ہولڈ کا مظاہرہ کیا اور ریسلر B کو گراؤنڈ پر مجبور کیا۔ مقابلے کی نوعیت کو دیکھتے ہوئے، درج ذیل میں سے کون سا بیان درست ہے؟")</f>
        <v>ملاکھرا کے ایک میچ میں، ریسلر A نے کامیابی کے ساتھ ایک طاقتور ہولڈ کا مظاہرہ کیا اور ریسلر B کو گراؤنڈ پر مجبور کیا۔ مقابلے کی نوعیت کو دیکھتے ہوئے، درج ذیل میں سے کون سا بیان درست ہے؟</v>
      </c>
      <c r="M102" s="6" t="str">
        <f>IFERROR(__xludf.DUMMYFUNCTION("GOOGLETRANSLATE(C102, ""en"", ""ur"")"),"A) ریسلر A نے ریسلر B کو پن کر کے میچ جیت لیا، B) ریسلر B نے ہولڈ سے فرار ہو کر میچ جیت لیا، C) میچ ابھی جاری ہے، D) ریسلر A کو غیر قانونی چالیں استعمال کرنے پر نااہل قرار دیا گیا تھا۔")</f>
        <v>A) ریسلر A نے ریسلر B کو پن کر کے میچ جیت لیا، B) ریسلر B نے ہولڈ سے فرار ہو کر میچ جیت لیا، C) میچ ابھی جاری ہے، D) ریسلر A کو غیر قانونی چالیں استعمال کرنے پر نااہل قرار دیا گیا تھا۔</v>
      </c>
      <c r="N102" s="6" t="str">
        <f>IFERROR(__xludf.DUMMYFUNCTION("GOOGLETRANSLATE(D102, ""en"", ""ur"")"),"A) ریسلر A نے ریسلر B کو پن کر کے میچ جیت لیا۔")</f>
        <v>A) ریسلر A نے ریسلر B کو پن کر کے میچ جیت لیا۔</v>
      </c>
      <c r="O102" s="6" t="str">
        <f>IFERROR(__xludf.DUMMYFUNCTION("GOOGLETRANSLATE(E102, ""en"", ""ur"")"),"ملاکھرا میں، میچ عام طور پر اس وقت جیتا جاتا ہے جب ایک پہلوان اپنے مخالف کی کمر کو زمین پر لگاتا ہے، جس سے آپشن A کو صحیح بنایا جاتا ہے۔")</f>
        <v>ملاکھرا میں، میچ عام طور پر اس وقت جیتا جاتا ہے جب ایک پہلوان اپنے مخالف کی کمر کو زمین پر لگاتا ہے، جس سے آپشن A کو صحیح بنایا جاتا ہے۔</v>
      </c>
    </row>
    <row r="103">
      <c r="A103" s="4">
        <v>102.0</v>
      </c>
      <c r="B103" s="5" t="s">
        <v>317</v>
      </c>
      <c r="C103" s="5" t="s">
        <v>318</v>
      </c>
      <c r="D103" s="5" t="s">
        <v>319</v>
      </c>
      <c r="E103" s="5" t="s">
        <v>320</v>
      </c>
      <c r="K103" s="6" t="str">
        <f>IFERROR(__xludf.DUMMYFUNCTION("GOOGLETRANSLATE(A103, ""en"", ""ur"")"),"102")</f>
        <v>102</v>
      </c>
      <c r="L103" s="6" t="str">
        <f>IFERROR(__xludf.DUMMYFUNCTION("GOOGLETRANSLATE(B103, ""en"", ""ur"")"),"ملاکھڑا ٹورنامنٹ کے دوران، دو پہلوان، ریسلر X اور ریسلر Y، آمنے سامنے ہیں۔ ریسلر X کو وزن میں ایک فائدہ ہے، لیکن ریسلر Y اعلیٰ چستی کے لیے جانا جاتا ہے۔ اگر ریسلر Y ریسلر X کو پیچھے چھوڑنے کا انتظام کرتا ہے اور اسے نیچے لے جاتا ہے، تو کونسی تکنیک کا استعم"&amp;"ال زیادہ تر ہوتا ہے؟")</f>
        <v>ملاکھڑا ٹورنامنٹ کے دوران، دو پہلوان، ریسلر X اور ریسلر Y، آمنے سامنے ہیں۔ ریسلر X کو وزن میں ایک فائدہ ہے، لیکن ریسلر Y اعلیٰ چستی کے لیے جانا جاتا ہے۔ اگر ریسلر Y ریسلر X کو پیچھے چھوڑنے کا انتظام کرتا ہے اور اسے نیچے لے جاتا ہے، تو کونسی تکنیک کا استعمال زیادہ تر ہوتا ہے؟</v>
      </c>
      <c r="M103" s="6" t="str">
        <f>IFERROR(__xludf.DUMMYFUNCTION("GOOGLETRANSLATE(C103, ""en"", ""ur"")"),"A) ٹانگوں کو جھاڑو، B) بازو کا تالا، C) کندھے پھینک، D) باڈی سلیم")</f>
        <v>A) ٹانگوں کو جھاڑو، B) بازو کا تالا، C) کندھے پھینک، D) باڈی سلیم</v>
      </c>
      <c r="N103" s="6" t="str">
        <f>IFERROR(__xludf.DUMMYFUNCTION("GOOGLETRANSLATE(D103, ""en"", ""ur"")"),"A) ٹانگ جھاڑو")</f>
        <v>A) ٹانگ جھاڑو</v>
      </c>
      <c r="O103" s="6" t="str">
        <f>IFERROR(__xludf.DUMMYFUNCTION("GOOGLETRANSLATE(E103, ""en"", ""ur"")"),"ریسلر وائی کی اعلیٰ چستی کو دیکھتے ہوئے، ٹانگوں میں جھاڑو تیز رفتار اور تکنیک کا استعمال کرتے ہوئے حریف کو شکست دینے کے لیے ایک عام چال ہے۔")</f>
        <v>ریسلر وائی کی اعلیٰ چستی کو دیکھتے ہوئے، ٹانگوں میں جھاڑو تیز رفتار اور تکنیک کا استعمال کرتے ہوئے حریف کو شکست دینے کے لیے ایک عام چال ہے۔</v>
      </c>
    </row>
    <row r="104">
      <c r="A104" s="4">
        <v>103.0</v>
      </c>
      <c r="B104" s="5" t="s">
        <v>321</v>
      </c>
      <c r="C104" s="5" t="s">
        <v>322</v>
      </c>
      <c r="D104" s="5" t="s">
        <v>323</v>
      </c>
      <c r="E104" s="5" t="s">
        <v>324</v>
      </c>
      <c r="K104" s="6" t="str">
        <f>IFERROR(__xludf.DUMMYFUNCTION("GOOGLETRANSLATE(A104, ""en"", ""ur"")"),"103")</f>
        <v>103</v>
      </c>
      <c r="L104" s="6" t="str">
        <f>IFERROR(__xludf.DUMMYFUNCTION("GOOGLETRANSLATE(B104, ""en"", ""ur"")"),"ملاکھڑا مقابلے کے دوسرے راؤنڈ میں، ریسلر اے، جو اپنی زبردست طاقت کے لیے جانا جاتا ہے، کا مقابلہ ریسلر بی سے ہوتا ہے، جو تیز ہے اور حکمت عملی پر انحصار کرتا ہے۔ تبادلوں کی ایک سیریز کے بعد، ریسلر بی ریسلر A کو حد سے زیادہ بڑھاتا ہے اور پھر جوابی اقدام کرتا"&amp;" ہے۔ اس اقدام کا سب سے زیادہ ممکنہ نتیجہ کیا ہے؟")</f>
        <v>ملاکھڑا مقابلے کے دوسرے راؤنڈ میں، ریسلر اے، جو اپنی زبردست طاقت کے لیے جانا جاتا ہے، کا مقابلہ ریسلر بی سے ہوتا ہے، جو تیز ہے اور حکمت عملی پر انحصار کرتا ہے۔ تبادلوں کی ایک سیریز کے بعد، ریسلر بی ریسلر A کو حد سے زیادہ بڑھاتا ہے اور پھر جوابی اقدام کرتا ہے۔ اس اقدام کا سب سے زیادہ ممکنہ نتیجہ کیا ہے؟</v>
      </c>
      <c r="M104" s="6" t="str">
        <f>IFERROR(__xludf.DUMMYFUNCTION("GOOGLETRANSLATE(C104, ""en"", ""ur"")"),"A) پہلوان A کو فوری طور پر پن کیا جاتا ہے، B) پہلوان A کو جمع کرانے پر مجبور کیا جاتا ہے، C) پہلوان B کو رنگ سے باہر پھینک دیا جاتا ہے، D) پہلوان B عارضی طور پر اوپری ہاتھ حاصل کرتا ہے۔")</f>
        <v>A) پہلوان A کو فوری طور پر پن کیا جاتا ہے، B) پہلوان A کو جمع کرانے پر مجبور کیا جاتا ہے، C) پہلوان B کو رنگ سے باہر پھینک دیا جاتا ہے، D) پہلوان B عارضی طور پر اوپری ہاتھ حاصل کرتا ہے۔</v>
      </c>
      <c r="N104" s="6" t="str">
        <f>IFERROR(__xludf.DUMMYFUNCTION("GOOGLETRANSLATE(D104, ""en"", ""ur"")"),"D) پہلوان B عارضی طور پر اوپری ہاتھ حاصل کرتا ہے۔")</f>
        <v>D) پہلوان B عارضی طور پر اوپری ہاتھ حاصل کرتا ہے۔</v>
      </c>
      <c r="O104" s="6" t="str">
        <f>IFERROR(__xludf.DUMMYFUNCTION("GOOGLETRANSLATE(E104, ""en"", ""ur"")"),"جوابی اقدام ریسلر بی کو وقتی طور پر میچ کو کنٹرول کرنے کی اجازت دیتا ہے، فائدہ حاصل کرنے کے لیے چستی اور حکمت عملی کا فائدہ اٹھاتا ہے۔")</f>
        <v>جوابی اقدام ریسلر بی کو وقتی طور پر میچ کو کنٹرول کرنے کی اجازت دیتا ہے، فائدہ حاصل کرنے کے لیے چستی اور حکمت عملی کا فائدہ اٹھاتا ہے۔</v>
      </c>
    </row>
    <row r="105">
      <c r="A105" s="4">
        <v>104.0</v>
      </c>
      <c r="B105" s="5" t="s">
        <v>325</v>
      </c>
      <c r="C105" s="5" t="s">
        <v>326</v>
      </c>
      <c r="D105" s="5" t="s">
        <v>327</v>
      </c>
      <c r="E105" s="5" t="s">
        <v>328</v>
      </c>
      <c r="K105" s="6" t="str">
        <f>IFERROR(__xludf.DUMMYFUNCTION("GOOGLETRANSLATE(A105, ""en"", ""ur"")"),"104")</f>
        <v>104</v>
      </c>
      <c r="L105" s="6" t="str">
        <f>IFERROR(__xludf.DUMMYFUNCTION("GOOGLETRANSLATE(B105, ""en"", ""ur"")"),"ملاکھڑا میچ کے آخری لمحات کے دوران، ریسلر A اور ریسلر B آپس میں لڑ رہے ہیں۔ ریسلر A تھکنا شروع کر دیتا ہے، اور ریسلر B اسے غیر مستحکم کرنے کے لیے ٹانگوں کے تیز سفر کا ایک سلسلہ انجام دیتا ہے۔ اس صورت حال میں کامیابی کو یقینی بنانے کے لیے ریسلر بی کے لیے م"&amp;"لاکھرا کا کون سا پہلو سب سے اہم ہے؟")</f>
        <v>ملاکھڑا میچ کے آخری لمحات کے دوران، ریسلر A اور ریسلر B آپس میں لڑ رہے ہیں۔ ریسلر A تھکنا شروع کر دیتا ہے، اور ریسلر B اسے غیر مستحکم کرنے کے لیے ٹانگوں کے تیز سفر کا ایک سلسلہ انجام دیتا ہے۔ اس صورت حال میں کامیابی کو یقینی بنانے کے لیے ریسلر بی کے لیے ملاکھرا کا کون سا پہلو سب سے اہم ہے؟</v>
      </c>
      <c r="M105" s="6" t="str">
        <f>IFERROR(__xludf.DUMMYFUNCTION("GOOGLETRANSLATE(C105, ""en"", ""ur"")"),"A) رفتار اور چستی، B) طاقت اور برداشت، C) کشتی کے قوانین کا علم، D) مخالف کو ڈرانے کی صلاحیت")</f>
        <v>A) رفتار اور چستی، B) طاقت اور برداشت، C) کشتی کے قوانین کا علم، D) مخالف کو ڈرانے کی صلاحیت</v>
      </c>
      <c r="N105" s="6" t="str">
        <f>IFERROR(__xludf.DUMMYFUNCTION("GOOGLETRANSLATE(D105, ""en"", ""ur"")"),"الف) رفتار اور چستی")</f>
        <v>الف) رفتار اور چستی</v>
      </c>
      <c r="O105" s="6" t="str">
        <f>IFERROR(__xludf.DUMMYFUNCTION("GOOGLETRANSLATE(E105, ""en"", ""ur"")"),"اس منظر نامے میں، ریسلر بی کو ٹانگوں کے سفر کو مؤثر طریقے سے انجام دینے اور کنٹرول کو برقرار رکھنے کے لیے رفتار اور چستی کی ضرورت ہے۔")</f>
        <v>اس منظر نامے میں، ریسلر بی کو ٹانگوں کے سفر کو مؤثر طریقے سے انجام دینے اور کنٹرول کو برقرار رکھنے کے لیے رفتار اور چستی کی ضرورت ہے۔</v>
      </c>
    </row>
    <row r="106">
      <c r="A106" s="4">
        <v>105.0</v>
      </c>
      <c r="B106" s="5" t="s">
        <v>329</v>
      </c>
      <c r="C106" s="5" t="s">
        <v>330</v>
      </c>
      <c r="D106" s="5" t="s">
        <v>331</v>
      </c>
      <c r="E106" s="5" t="s">
        <v>332</v>
      </c>
      <c r="K106" s="6" t="str">
        <f>IFERROR(__xludf.DUMMYFUNCTION("GOOGLETRANSLATE(A106, ""en"", ""ur"")"),"105")</f>
        <v>105</v>
      </c>
      <c r="L106" s="6" t="str">
        <f>IFERROR(__xludf.DUMMYFUNCTION("GOOGLETRANSLATE(B106, ""en"", ""ur"")"),"ملاکھرا کے مقابلے میں، ریسلر A ٹانگ صاف کرنے کی کوشش کر رہا ہے، لیکن ریسلر B A کی ٹانگ کو پکڑ کر اسے توازن سے باہر پھینکنے کے لیے استعمال کرتا ہے۔ اس جوابی اقدام کا بنیادی فائدہ کیا ہے؟")</f>
        <v>ملاکھرا کے مقابلے میں، ریسلر A ٹانگ صاف کرنے کی کوشش کر رہا ہے، لیکن ریسلر B A کی ٹانگ کو پکڑ کر اسے توازن سے باہر پھینکنے کے لیے استعمال کرتا ہے۔ اس جوابی اقدام کا بنیادی فائدہ کیا ہے؟</v>
      </c>
      <c r="M106" s="6" t="str">
        <f>IFERROR(__xludf.DUMMYFUNCTION("GOOGLETRANSLATE(C106, ""en"", ""ur"")"),"A) یہ A کی رفتار کو بے اثر کرتا ہے، B) یہ A کی طاقت کو اس کے خلاف استعمال کرتا ہے، C) A کو مزید حملے کرنے سے روکتا ہے، D) A کی ٹانگوں کو تھکا دیتا ہے۔")</f>
        <v>A) یہ A کی رفتار کو بے اثر کرتا ہے، B) یہ A کی طاقت کو اس کے خلاف استعمال کرتا ہے، C) A کو مزید حملے کرنے سے روکتا ہے، D) A کی ٹانگوں کو تھکا دیتا ہے۔</v>
      </c>
      <c r="N106" s="6" t="str">
        <f>IFERROR(__xludf.DUMMYFUNCTION("GOOGLETRANSLATE(D106, ""en"", ""ur"")"),"ب) یہ اس کے خلاف A کی طاقت کا استعمال کرتا ہے۔")</f>
        <v>ب) یہ اس کے خلاف A کی طاقت کا استعمال کرتا ہے۔</v>
      </c>
      <c r="O106" s="6" t="str">
        <f>IFERROR(__xludf.DUMMYFUNCTION("GOOGLETRANSLATE(E106, ""en"", ""ur"")"),"ریسلر B کا جوابی اقدام A کی قوت اور رفتار کا فائدہ اٹھاتا ہے، اسے غیر مستحکم کرنے اور A کو توازن سے باہر پھینکنے کے لیے استعمال کرتا ہے۔")</f>
        <v>ریسلر B کا جوابی اقدام A کی قوت اور رفتار کا فائدہ اٹھاتا ہے، اسے غیر مستحکم کرنے اور A کو توازن سے باہر پھینکنے کے لیے استعمال کرتا ہے۔</v>
      </c>
    </row>
    <row r="107">
      <c r="A107" s="4">
        <v>106.0</v>
      </c>
      <c r="B107" s="5" t="s">
        <v>333</v>
      </c>
      <c r="C107" s="5" t="s">
        <v>334</v>
      </c>
      <c r="D107" s="5" t="s">
        <v>335</v>
      </c>
      <c r="E107" s="5" t="s">
        <v>336</v>
      </c>
      <c r="K107" s="6" t="str">
        <f>IFERROR(__xludf.DUMMYFUNCTION("GOOGLETRANSLATE(A107, ""en"", ""ur"")"),"106")</f>
        <v>106</v>
      </c>
      <c r="L107" s="6" t="str">
        <f>IFERROR(__xludf.DUMMYFUNCTION("GOOGLETRANSLATE(B107, ""en"", ""ur"")"),"ریسلر X اور ریسلر Y ایک ملاکھرا میچ میں مقابلہ کر رہے ہیں، اسکور متعدد راؤنڈز کے بعد برابر ہے۔ فائنل راؤنڈ میں، دونوں پہلوان بیک وقت کندھے پر پھینکنے کی کوشش کرتے ہیں، جس سے ڈرامائی تعطل پیدا ہوتا ہے۔ ریفری کو فاتح کا تعین کیسے کرنا چاہیے؟")</f>
        <v>ریسلر X اور ریسلر Y ایک ملاکھرا میچ میں مقابلہ کر رہے ہیں، اسکور متعدد راؤنڈز کے بعد برابر ہے۔ فائنل راؤنڈ میں، دونوں پہلوان بیک وقت کندھے پر پھینکنے کی کوشش کرتے ہیں، جس سے ڈرامائی تعطل پیدا ہوتا ہے۔ ریفری کو فاتح کا تعین کیسے کرنا چاہیے؟</v>
      </c>
      <c r="M107" s="6" t="str">
        <f>IFERROR(__xludf.DUMMYFUNCTION("GOOGLETRANSLATE(C107, ""en"", ""ur"")"),"A) پہلوان جو پہلے اترتا ہے، B) وہ پہلوان جو تھرو کے بعد کنٹرول برقرار رکھتا ہے، C) بہترین جسمانی تکنیک والا پہلوان، D) میچ ڈرا قرار دیا جاتا ہے۔")</f>
        <v>A) پہلوان جو پہلے اترتا ہے، B) وہ پہلوان جو تھرو کے بعد کنٹرول برقرار رکھتا ہے، C) بہترین جسمانی تکنیک والا پہلوان، D) میچ ڈرا قرار دیا جاتا ہے۔</v>
      </c>
      <c r="N107" s="6" t="str">
        <f>IFERROR(__xludf.DUMMYFUNCTION("GOOGLETRANSLATE(D107, ""en"", ""ur"")"),"ب) وہ پہلوان جو پھینکنے کے بعد کنٹرول برقرار رکھتا ہے۔")</f>
        <v>ب) وہ پہلوان جو پھینکنے کے بعد کنٹرول برقرار رکھتا ہے۔</v>
      </c>
      <c r="O107" s="6" t="str">
        <f>IFERROR(__xludf.DUMMYFUNCTION("GOOGLETRANSLATE(E107, ""en"", ""ur"")"),"ملاکھرا میں، ایک چال کے بعد کنٹرول برقرار رکھنا، جیسے کہ تھرو، جیت حاصل کرنے کے لیے بہت ضروری ہے۔")</f>
        <v>ملاکھرا میں، ایک چال کے بعد کنٹرول برقرار رکھنا، جیسے کہ تھرو، جیت حاصل کرنے کے لیے بہت ضروری ہے۔</v>
      </c>
    </row>
    <row r="108">
      <c r="A108" s="4">
        <v>107.0</v>
      </c>
      <c r="B108" s="5" t="s">
        <v>337</v>
      </c>
      <c r="C108" s="5" t="s">
        <v>338</v>
      </c>
      <c r="D108" s="5" t="s">
        <v>339</v>
      </c>
      <c r="E108" s="5" t="s">
        <v>340</v>
      </c>
      <c r="K108" s="6" t="str">
        <f>IFERROR(__xludf.DUMMYFUNCTION("GOOGLETRANSLATE(A108, ""en"", ""ur"")"),"107")</f>
        <v>107</v>
      </c>
      <c r="L108" s="6" t="str">
        <f>IFERROR(__xludf.DUMMYFUNCTION("GOOGLETRANSLATE(B108, ""en"", ""ur"")"),"ملاکھرا میچ کے وسط میں، ریسلر اے ریسلر بی کو ہیڈ لاک میں بند کرنے کی کوشش کرتا ہے۔ تاہم، ریسلر بی فوری رول کو انجام دے کر فرار ہونے میں کامیاب ہے۔ اس چال کا سب سے زیادہ ممکنہ نتیجہ کیا ہے؟")</f>
        <v>ملاکھرا میچ کے وسط میں، ریسلر اے ریسلر بی کو ہیڈ لاک میں بند کرنے کی کوشش کرتا ہے۔ تاہم، ریسلر بی فوری رول کو انجام دے کر فرار ہونے میں کامیاب ہے۔ اس چال کا سب سے زیادہ ممکنہ نتیجہ کیا ہے؟</v>
      </c>
      <c r="M108" s="6" t="str">
        <f>IFERROR(__xludf.DUMMYFUNCTION("GOOGLETRANSLATE(C108, ""en"", ""ur"")"),"A) ریسلر B بچ نکلتا ہے اور ایک فائدہ حاصل کرتا ہے، B) ریسلر A جمع کروا کر جیت جاتا ہے، C) دونوں پہلوانوں کو غیر کھیلوں کے طرز عمل کی وجہ سے نااہل قرار دیا جاتا ہے، D) پہلوان B کو بے ہوش کر دیا جاتا ہے۔")</f>
        <v>A) ریسلر B بچ نکلتا ہے اور ایک فائدہ حاصل کرتا ہے، B) ریسلر A جمع کروا کر جیت جاتا ہے، C) دونوں پہلوانوں کو غیر کھیلوں کے طرز عمل کی وجہ سے نااہل قرار دیا جاتا ہے، D) پہلوان B کو بے ہوش کر دیا جاتا ہے۔</v>
      </c>
      <c r="N108" s="6" t="str">
        <f>IFERROR(__xludf.DUMMYFUNCTION("GOOGLETRANSLATE(D108, ""en"", ""ur"")"),"A) پہلوان B بچ نکلتا ہے اور فائدہ حاصل کرتا ہے۔")</f>
        <v>A) پہلوان B بچ نکلتا ہے اور فائدہ حاصل کرتا ہے۔</v>
      </c>
      <c r="O108" s="6" t="str">
        <f>IFERROR(__xludf.DUMMYFUNCTION("GOOGLETRANSLATE(E108, ""en"", ""ur"")"),"یہ رول ریسلر B کو فرار ہونے اور ریسلر A پر میزیں موڑنے کی اجازت دیتا ہے، جس سے میچ میں برتری حاصل ہوتی ہے۔")</f>
        <v>یہ رول ریسلر B کو فرار ہونے اور ریسلر A پر میزیں موڑنے کی اجازت دیتا ہے، جس سے میچ میں برتری حاصل ہوتی ہے۔</v>
      </c>
    </row>
    <row r="109">
      <c r="A109" s="4">
        <v>108.0</v>
      </c>
      <c r="B109" s="5" t="s">
        <v>341</v>
      </c>
      <c r="C109" s="5" t="s">
        <v>342</v>
      </c>
      <c r="D109" s="5" t="s">
        <v>343</v>
      </c>
      <c r="E109" s="5" t="s">
        <v>344</v>
      </c>
      <c r="K109" s="6" t="str">
        <f>IFERROR(__xludf.DUMMYFUNCTION("GOOGLETRANSLATE(A109, ""en"", ""ur"")"),"108")</f>
        <v>108</v>
      </c>
      <c r="L109" s="6" t="str">
        <f>IFERROR(__xludf.DUMMYFUNCTION("GOOGLETRANSLATE(B109, ""en"", ""ur"")"),"ملاخرا کے مقابلے کے دوران، ریسلر اے اپنی بھاری ساخت کے لیے جانا جاتا ہے، جبکہ ریسلر بی رفتار اور تیز اضطراب پر انحصار کرتا ہے۔ اگر ریسلر A باڈی سلیم کرنے کی کوشش کرتا ہے، لیکن ریسلر B چکما دیتا ہے اور کاؤنٹر کرتا ہے، تو یہ ریسلر B کی مہارت کے بارے میں کیا"&amp;" تجویز کرتا ہے؟")</f>
        <v>ملاخرا کے مقابلے کے دوران، ریسلر اے اپنی بھاری ساخت کے لیے جانا جاتا ہے، جبکہ ریسلر بی رفتار اور تیز اضطراب پر انحصار کرتا ہے۔ اگر ریسلر A باڈی سلیم کرنے کی کوشش کرتا ہے، لیکن ریسلر B چکما دیتا ہے اور کاؤنٹر کرتا ہے، تو یہ ریسلر B کی مہارت کے بارے میں کیا تجویز کرتا ہے؟</v>
      </c>
      <c r="M109" s="6" t="str">
        <f>IFERROR(__xludf.DUMMYFUNCTION("GOOGLETRANSLATE(C109, ""en"", ""ur"")"),"A) پہلوان B ناتجربہ کار ہے، B) پہلوان B دفاعی تکنیک میں مہارت رکھتا ہے، C) پہلوان B کمزور جسمانی قوت رکھتا ہے، D) پہلوان B کے پاس مناسب حکمت عملی کا فقدان ہے")</f>
        <v>A) پہلوان B ناتجربہ کار ہے، B) پہلوان B دفاعی تکنیک میں مہارت رکھتا ہے، C) پہلوان B کمزور جسمانی قوت رکھتا ہے، D) پہلوان B کے پاس مناسب حکمت عملی کا فقدان ہے</v>
      </c>
      <c r="N109" s="6" t="str">
        <f>IFERROR(__xludf.DUMMYFUNCTION("GOOGLETRANSLATE(D109, ""en"", ""ur"")"),"ب) ریسلر بی دفاعی تکنیک میں مہارت رکھتا ہے۔")</f>
        <v>ب) ریسلر بی دفاعی تکنیک میں مہارت رکھتا ہے۔</v>
      </c>
      <c r="O109" s="6" t="str">
        <f>IFERROR(__xludf.DUMMYFUNCTION("GOOGLETRANSLATE(E109, ""en"", ""ur"")"),"ریسلر بی کی بھاری چال کو چکما دینے اور اس کا مقابلہ کرنے کی صلاحیت دفاعی تکنیکوں اور فوری اضطراری انداز میں مہارت کو ظاہر کرتی ہے۔")</f>
        <v>ریسلر بی کی بھاری چال کو چکما دینے اور اس کا مقابلہ کرنے کی صلاحیت دفاعی تکنیکوں اور فوری اضطراری انداز میں مہارت کو ظاہر کرتی ہے۔</v>
      </c>
    </row>
    <row r="110">
      <c r="A110" s="4">
        <v>109.0</v>
      </c>
      <c r="B110" s="5" t="s">
        <v>345</v>
      </c>
      <c r="C110" s="5" t="s">
        <v>346</v>
      </c>
      <c r="D110" s="5" t="s">
        <v>347</v>
      </c>
      <c r="E110" s="5" t="s">
        <v>348</v>
      </c>
      <c r="K110" s="6" t="str">
        <f>IFERROR(__xludf.DUMMYFUNCTION("GOOGLETRANSLATE(A110, ""en"", ""ur"")"),"109")</f>
        <v>109</v>
      </c>
      <c r="L110" s="6" t="str">
        <f>IFERROR(__xludf.DUMMYFUNCTION("GOOGLETRANSLATE(B110, ""en"", ""ur"")"),"ملاکھڑا ٹورنامنٹ میں، ریسلر اے اور ریسلر بی چیمپئن شپ کے لیے لڑ رہے ہیں۔ اگر ریسلر اے ایک بے عیب ٹانگ ٹرپ کرتا ہے اور اسے پن کے ساتھ فالو کرتا ہے، تو جج اسے کیسے اسکور کریں گے؟")</f>
        <v>ملاکھڑا ٹورنامنٹ میں، ریسلر اے اور ریسلر بی چیمپئن شپ کے لیے لڑ رہے ہیں۔ اگر ریسلر اے ایک بے عیب ٹانگ ٹرپ کرتا ہے اور اسے پن کے ساتھ فالو کرتا ہے، تو جج اسے کیسے اسکور کریں گے؟</v>
      </c>
      <c r="M110" s="6" t="str">
        <f>IFERROR(__xludf.DUMMYFUNCTION("GOOGLETRANSLATE(C110, ""en"", ""ur"")"),"A) میچ جاری ہے، B) ریسلر A کو ٹرپ کے لئے ایک پوائنٹ دیا جاتا ہے، C) ریسلر A پنفال سے جیتتا ہے، D) ریسلر B کو نااہل قرار دیا جاتا ہے۔")</f>
        <v>A) میچ جاری ہے، B) ریسلر A کو ٹرپ کے لئے ایک پوائنٹ دیا جاتا ہے، C) ریسلر A پنفال سے جیتتا ہے، D) ریسلر B کو نااہل قرار دیا جاتا ہے۔</v>
      </c>
      <c r="N110" s="6" t="str">
        <f>IFERROR(__xludf.DUMMYFUNCTION("GOOGLETRANSLATE(D110, ""en"", ""ur"")"),"C) ریسلر A پنفال سے جیتتا ہے۔")</f>
        <v>C) ریسلر A پنفال سے جیتتا ہے۔</v>
      </c>
      <c r="O110" s="6" t="str">
        <f>IFERROR(__xludf.DUMMYFUNCTION("GOOGLETRANSLATE(E110, ""en"", ""ur"")"),"ٹانگوں کے سفر کے بعد کامیاب پن فال ملاکھرا میں جیت کو یقینی بناتا ہے، کیونکہ یہ حریف پر کنٹرول کا مظاہرہ کرتا ہے۔")</f>
        <v>ٹانگوں کے سفر کے بعد کامیاب پن فال ملاکھرا میں جیت کو یقینی بناتا ہے، کیونکہ یہ حریف پر کنٹرول کا مظاہرہ کرتا ہے۔</v>
      </c>
    </row>
    <row r="111">
      <c r="A111" s="4">
        <v>110.0</v>
      </c>
      <c r="B111" s="5" t="s">
        <v>349</v>
      </c>
      <c r="C111" s="5" t="s">
        <v>350</v>
      </c>
      <c r="D111" s="5" t="s">
        <v>351</v>
      </c>
      <c r="E111" s="5" t="s">
        <v>352</v>
      </c>
      <c r="K111" s="6" t="str">
        <f>IFERROR(__xludf.DUMMYFUNCTION("GOOGLETRANSLATE(A111, ""en"", ""ur"")"),"110")</f>
        <v>110</v>
      </c>
      <c r="L111" s="6" t="str">
        <f>IFERROR(__xludf.DUMMYFUNCTION("GOOGLETRANSLATE(B111, ""en"", ""ur"")"),"ملاکھڑا میچ کے دوران، اگر ریسلر A اور ریسلر B دونوں ایک ساتھ ایک حرکت کے بعد رنگ سے باہر ہو جاتے ہیں، تو ریفری کو اس صورت حال کو کیسے کنٹرول کرنا چاہیے؟")</f>
        <v>ملاکھڑا میچ کے دوران، اگر ریسلر A اور ریسلر B دونوں ایک ساتھ ایک حرکت کے بعد رنگ سے باہر ہو جاتے ہیں، تو ریفری کو اس صورت حال کو کیسے کنٹرول کرنا چاہیے؟</v>
      </c>
      <c r="M111" s="6" t="str">
        <f>IFERROR(__xludf.DUMMYFUNCTION("GOOGLETRANSLATE(C111, ""en"", ""ur"")"),"A) دونوں پہلوانوں کو نااہل قرار دیا جاتا ہے، B) میچ شروع سے دوبارہ شروع ہوتا ہے، C) ریفری کی گنتی دس تک ہوتی ہے، D) میچ رنگ میں جاری رہتا ہے")</f>
        <v>A) دونوں پہلوانوں کو نااہل قرار دیا جاتا ہے، B) میچ شروع سے دوبارہ شروع ہوتا ہے، C) ریفری کی گنتی دس تک ہوتی ہے، D) میچ رنگ میں جاری رہتا ہے</v>
      </c>
      <c r="N111" s="6" t="str">
        <f>IFERROR(__xludf.DUMMYFUNCTION("GOOGLETRANSLATE(D111, ""en"", ""ur"")"),"ب) میچ شروع سے دوبارہ شروع ہوتا ہے۔")</f>
        <v>ب) میچ شروع سے دوبارہ شروع ہوتا ہے۔</v>
      </c>
      <c r="O111" s="6" t="str">
        <f>IFERROR(__xludf.DUMMYFUNCTION("GOOGLETRANSLATE(E111, ""en"", ""ur"")"),"ملاکھرا میں، اگر دونوں پہلوان رنگ سے باہر ہو جاتے ہیں، تو میچ عام طور پر شروع سے دوبارہ شروع کیا جاتا ہے، انصاف کو برقرار رکھتے ہوئے۔")</f>
        <v>ملاکھرا میں، اگر دونوں پہلوان رنگ سے باہر ہو جاتے ہیں، تو میچ عام طور پر شروع سے دوبارہ شروع کیا جاتا ہے، انصاف کو برقرار رکھتے ہوئے۔</v>
      </c>
    </row>
    <row r="112">
      <c r="A112" s="4">
        <v>111.0</v>
      </c>
      <c r="B112" s="5" t="s">
        <v>353</v>
      </c>
      <c r="C112" s="5" t="s">
        <v>354</v>
      </c>
      <c r="D112" s="5" t="s">
        <v>355</v>
      </c>
      <c r="E112" s="5" t="s">
        <v>356</v>
      </c>
      <c r="K112" s="6" t="str">
        <f>IFERROR(__xludf.DUMMYFUNCTION("GOOGLETRANSLATE(A112, ""en"", ""ur"")"),"111")</f>
        <v>111</v>
      </c>
      <c r="L112" s="6" t="str">
        <f>IFERROR(__xludf.DUMMYFUNCTION("GOOGLETRANSLATE(B112, ""en"", ""ur"")"),"ملاکھرا کے ایک میچ میں، ریسلر A کندھے پر پھینکنے میں ضرورت سے زیادہ طاقت کا استعمال کرتا ہے، جس کی وجہ سے اس کا حریف عجیب طور پر اترتا ہے۔ اس منظر نامے میں ریفری کیا کارروائی کر سکتا ہے؟")</f>
        <v>ملاکھرا کے ایک میچ میں، ریسلر A کندھے پر پھینکنے میں ضرورت سے زیادہ طاقت کا استعمال کرتا ہے، جس کی وجہ سے اس کا حریف عجیب طور پر اترتا ہے۔ اس منظر نامے میں ریفری کیا کارروائی کر سکتا ہے؟</v>
      </c>
      <c r="M112" s="6" t="str">
        <f>IFERROR(__xludf.DUMMYFUNCTION("GOOGLETRANSLATE(C112, ""en"", ""ur"")"),"A) ریسلر A کو پنالٹی سے نوازا جائے")</f>
        <v>A) ریسلر A کو پنالٹی سے نوازا جائے</v>
      </c>
      <c r="N112" s="6" t="str">
        <f>IFERROR(__xludf.DUMMYFUNCTION("GOOGLETRANSLATE(D112, ""en"", ""ur"")"),"A) انعام ریسلر A کو ایک جرمانہ")</f>
        <v>A) انعام ریسلر A کو ایک جرمانہ</v>
      </c>
      <c r="O112" s="6" t="str">
        <f>IFERROR(__xludf.DUMMYFUNCTION("GOOGLETRANSLATE(E112, ""en"", ""ur"")"),"ضرورت سے زیادہ طاقت یا خطرناک تکنیکوں کا استعمال میچ کی حفاظت اور انصاف کو برقرار رکھنے کے لیے جرمانے کا باعث بن سکتا ہے۔")</f>
        <v>ضرورت سے زیادہ طاقت یا خطرناک تکنیکوں کا استعمال میچ کی حفاظت اور انصاف کو برقرار رکھنے کے لیے جرمانے کا باعث بن سکتا ہے۔</v>
      </c>
    </row>
    <row r="113">
      <c r="A113" s="4">
        <v>112.0</v>
      </c>
      <c r="B113" s="5" t="s">
        <v>357</v>
      </c>
      <c r="C113" s="5" t="s">
        <v>358</v>
      </c>
      <c r="D113" s="5" t="s">
        <v>359</v>
      </c>
      <c r="E113" s="5" t="s">
        <v>360</v>
      </c>
      <c r="K113" s="6" t="str">
        <f>IFERROR(__xludf.DUMMYFUNCTION("GOOGLETRANSLATE(A113, ""en"", ""ur"")"),"112")</f>
        <v>112</v>
      </c>
      <c r="L113" s="6" t="str">
        <f>IFERROR(__xludf.DUMMYFUNCTION("GOOGLETRANSLATE(B113, ""en"", ""ur"")"),"ریسلر اے اور ریسلر بی ملاکھڑا میچ میں مدمقابل ہیں۔ میچ کے دوران، ریسلر A، ریسلر B کو سلیم کے لیے اٹھانے کی کوشش کرتا ہے، لیکن ریسلر B اپنی ٹانگوں کا استعمال کرتے ہوئے A کو زمین پر پلٹاتا ہے۔ ریسلر بی کون سی تکنیک استعمال کر رہا ہے؟")</f>
        <v>ریسلر اے اور ریسلر بی ملاکھڑا میچ میں مدمقابل ہیں۔ میچ کے دوران، ریسلر A، ریسلر B کو سلیم کے لیے اٹھانے کی کوشش کرتا ہے، لیکن ریسلر B اپنی ٹانگوں کا استعمال کرتے ہوئے A کو زمین پر پلٹاتا ہے۔ ریسلر بی کون سی تکنیک استعمال کر رہا ہے؟</v>
      </c>
      <c r="M113" s="6" t="str">
        <f>IFERROR(__xludf.DUMMYFUNCTION("GOOGLETRANSLATE(C113, ""en"", ""ur"")"),"A) ٹانگ کینچی، B) ہپ ٹاس، C) بازو گھسیٹیں، D) ٹانگوں میں جھاڑو")</f>
        <v>A) ٹانگ کینچی، B) ہپ ٹاس، C) بازو گھسیٹیں، D) ٹانگوں میں جھاڑو</v>
      </c>
      <c r="N113" s="6" t="str">
        <f>IFERROR(__xludf.DUMMYFUNCTION("GOOGLETRANSLATE(D113, ""en"", ""ur"")"),"A) ٹانگ کینچی")</f>
        <v>A) ٹانگ کینچی</v>
      </c>
      <c r="O113" s="6" t="str">
        <f>IFERROR(__xludf.DUMMYFUNCTION("GOOGLETRANSLATE(E113, ""en"", ""ur"")"),"ٹانگوں کی قینچی میں ٹانگوں کا استعمال حریف کے جسم کو پھنسانے اور انہیں زمین پر پلٹانے کے لیے ہوتا ہے، جو کہ ریسلر بی نے ممکنہ طور پر استعمال کیا تھا۔")</f>
        <v>ٹانگوں کی قینچی میں ٹانگوں کا استعمال حریف کے جسم کو پھنسانے اور انہیں زمین پر پلٹانے کے لیے ہوتا ہے، جو کہ ریسلر بی نے ممکنہ طور پر استعمال کیا تھا۔</v>
      </c>
    </row>
    <row r="114">
      <c r="A114" s="4">
        <v>113.0</v>
      </c>
      <c r="B114" s="5" t="s">
        <v>361</v>
      </c>
      <c r="C114" s="5" t="s">
        <v>362</v>
      </c>
      <c r="D114" s="5" t="s">
        <v>363</v>
      </c>
      <c r="E114" s="5" t="s">
        <v>364</v>
      </c>
      <c r="K114" s="6" t="str">
        <f>IFERROR(__xludf.DUMMYFUNCTION("GOOGLETRANSLATE(A114, ""en"", ""ur"")"),"113")</f>
        <v>113</v>
      </c>
      <c r="L114" s="6" t="str">
        <f>IFERROR(__xludf.DUMMYFUNCTION("GOOGLETRANSLATE(B114, ""en"", ""ur"")"),"ملاکھرا میچ کے دوران، دونوں پہلوان تعطل کا شکار ہیں، دونوں میں سے کوئی بھی واضح فائدہ حاصل کرنے میں کامیاب نہیں ہو سکا۔ ریفری ہولڈ کو توڑنے اور کارروائی کو دوبارہ شروع کرنے کا اشارہ کرتا ہے۔ اس فیصلے کی وجہ کیا ہوسکتی ہے؟")</f>
        <v>ملاکھرا میچ کے دوران، دونوں پہلوان تعطل کا شکار ہیں، دونوں میں سے کوئی بھی واضح فائدہ حاصل کرنے میں کامیاب نہیں ہو سکا۔ ریفری ہولڈ کو توڑنے اور کارروائی کو دوبارہ شروع کرنے کا اشارہ کرتا ہے۔ اس فیصلے کی وجہ کیا ہوسکتی ہے؟</v>
      </c>
      <c r="M114" s="6" t="str">
        <f>IFERROR(__xludf.DUMMYFUNCTION("GOOGLETRANSLATE(C114, ""en"", ""ur"")"),"A) دونوں پہلوان ضرورت سے زیادہ اسٹال کر رہے تھے، B) دونوں پہلوان غیر قانونی چالیں استعمال کر رہے تھے، C) میچ مقررہ حد تک پہنچ گیا، D) پہلوان رنگ سے باہر ہو گئے۔")</f>
        <v>A) دونوں پہلوان ضرورت سے زیادہ اسٹال کر رہے تھے، B) دونوں پہلوان غیر قانونی چالیں استعمال کر رہے تھے، C) میچ مقررہ حد تک پہنچ گیا، D) پہلوان رنگ سے باہر ہو گئے۔</v>
      </c>
      <c r="N114" s="6" t="str">
        <f>IFERROR(__xludf.DUMMYFUNCTION("GOOGLETRANSLATE(D114, ""en"", ""ur"")"),"A) دونوں پہلوان ضرورت سے زیادہ اسٹال کر رہے تھے۔")</f>
        <v>A) دونوں پہلوان ضرورت سے زیادہ اسٹال کر رہے تھے۔</v>
      </c>
      <c r="O114" s="6" t="str">
        <f>IFERROR(__xludf.DUMMYFUNCTION("GOOGLETRANSLATE(E114, ""en"", ""ur"")"),"ملاکھرا میں، اگر دونوں پہلوان ترقی کی کوشش کیے بغیر رک جاتے ہیں، تو ریفری ہولڈ کو توڑ سکتا ہے اور ایکشن دوبارہ شروع کر سکتا ہے۔")</f>
        <v>ملاکھرا میں، اگر دونوں پہلوان ترقی کی کوشش کیے بغیر رک جاتے ہیں، تو ریفری ہولڈ کو توڑ سکتا ہے اور ایکشن دوبارہ شروع کر سکتا ہے۔</v>
      </c>
    </row>
    <row r="115">
      <c r="A115" s="4">
        <v>114.0</v>
      </c>
      <c r="B115" s="5" t="s">
        <v>365</v>
      </c>
      <c r="C115" s="5" t="s">
        <v>366</v>
      </c>
      <c r="D115" s="5" t="s">
        <v>367</v>
      </c>
      <c r="E115" s="5" t="s">
        <v>368</v>
      </c>
      <c r="K115" s="6" t="str">
        <f>IFERROR(__xludf.DUMMYFUNCTION("GOOGLETRANSLATE(A115, ""en"", ""ur"")"),"114")</f>
        <v>114</v>
      </c>
      <c r="L115" s="6" t="str">
        <f>IFERROR(__xludf.DUMMYFUNCTION("GOOGLETRANSLATE(B115, ""en"", ""ur"")"),"ملاکھرا ٹورنامنٹ میں، ریسلر اے اپنے جارحانہ حملوں کے لیے جانا جاتا ہے، جبکہ ریسلر بی دفاعی تکنیک پر انحصار کرتا ہے۔ ایک نازک لمحے کے دوران، A ایک طاقتور باڈی سلیم کی کوشش کرتا ہے۔ تاہم، B dodges اور ایک ڈراپ پیر ہولڈ کے ساتھ کاؤنٹر. آگے B کی بہترین حکمت ع"&amp;"ملی کیا ہے؟")</f>
        <v>ملاکھرا ٹورنامنٹ میں، ریسلر اے اپنے جارحانہ حملوں کے لیے جانا جاتا ہے، جبکہ ریسلر بی دفاعی تکنیک پر انحصار کرتا ہے۔ ایک نازک لمحے کے دوران، A ایک طاقتور باڈی سلیم کی کوشش کرتا ہے۔ تاہم، B dodges اور ایک ڈراپ پیر ہولڈ کے ساتھ کاؤنٹر. آگے B کی بہترین حکمت عملی کیا ہے؟</v>
      </c>
      <c r="M115" s="6" t="str">
        <f>IFERROR(__xludf.DUMMYFUNCTION("GOOGLETRANSLATE(C115, ""en"", ""ur"")"),"A) ایک پن فال کی کوشش کریں، B) ایک چوک ہولڈ کا استعمال کریں، C) فوری ہڑتالوں کا ایک سلسلہ انجام دیں، D) A کے ایک اور غلطی کا انتظار کریں")</f>
        <v>A) ایک پن فال کی کوشش کریں، B) ایک چوک ہولڈ کا استعمال کریں، C) فوری ہڑتالوں کا ایک سلسلہ انجام دیں، D) A کے ایک اور غلطی کا انتظار کریں</v>
      </c>
      <c r="N115" s="6" t="str">
        <f>IFERROR(__xludf.DUMMYFUNCTION("GOOGLETRANSLATE(D115, ""en"", ""ur"")"),"A) پن فال کی کوشش کریں۔")</f>
        <v>A) پن فال کی کوشش کریں۔</v>
      </c>
      <c r="O115" s="6" t="str">
        <f>IFERROR(__xludf.DUMMYFUNCTION("GOOGLETRANSLATE(E115, ""en"", ""ur"")"),"ایک کامیاب کاؤنٹر جیسے ایک ڈراپ ٹو ہولڈ کے بعد، بہترین حکمت عملی یہ ہوگی کہ پن فال کی کوشش کرکے فائدہ اٹھانا۔")</f>
        <v>ایک کامیاب کاؤنٹر جیسے ایک ڈراپ ٹو ہولڈ کے بعد، بہترین حکمت عملی یہ ہوگی کہ پن فال کی کوشش کرکے فائدہ اٹھانا۔</v>
      </c>
    </row>
    <row r="116">
      <c r="A116" s="4">
        <v>115.0</v>
      </c>
      <c r="B116" s="5" t="s">
        <v>369</v>
      </c>
      <c r="C116" s="5" t="s">
        <v>370</v>
      </c>
      <c r="D116" s="5" t="s">
        <v>371</v>
      </c>
      <c r="E116" s="5" t="s">
        <v>372</v>
      </c>
      <c r="K116" s="6" t="str">
        <f>IFERROR(__xludf.DUMMYFUNCTION("GOOGLETRANSLATE(A116, ""en"", ""ur"")"),"115")</f>
        <v>115</v>
      </c>
      <c r="L116" s="6" t="str">
        <f>IFERROR(__xludf.DUMMYFUNCTION("GOOGLETRANSLATE(B116, ""en"", ""ur"")"),"ریسلر اے ریسلر بی کو کمزور کرنے کے لیے ریچھ کے گلے کا استعمال کرنے کی کوشش کرتا ہے، لیکن بی پکڑ سے بچنے کے لیے جسم کے ایک تیز موڑ کا استعمال کرتا ہے۔ مندرجہ ذیل میں سے کون سی تکنیک ممکنہ طور پر بی فرار ہونے کے لیے استعمال کرتی ہے؟")</f>
        <v>ریسلر اے ریسلر بی کو کمزور کرنے کے لیے ریچھ کے گلے کا استعمال کرنے کی کوشش کرتا ہے، لیکن بی پکڑ سے بچنے کے لیے جسم کے ایک تیز موڑ کا استعمال کرتا ہے۔ مندرجہ ذیل میں سے کون سی تکنیک ممکنہ طور پر بی فرار ہونے کے لیے استعمال کرتی ہے؟</v>
      </c>
      <c r="M116" s="6" t="str">
        <f>IFERROR(__xludf.DUMMYFUNCTION("GOOGLETRANSLATE(C116, ""en"", ""ur"")"),"اے) ہپ رول، بی) باڈی لاک، سی) لیگ سویپ، ڈی) آرم لاک")</f>
        <v>اے) ہپ رول، بی) باڈی لاک، سی) لیگ سویپ، ڈی) آرم لاک</v>
      </c>
      <c r="N116" s="6" t="str">
        <f>IFERROR(__xludf.DUMMYFUNCTION("GOOGLETRANSLATE(D116, ""en"", ""ur"")"),"A) ہپ رول")</f>
        <v>A) ہپ رول</v>
      </c>
      <c r="O116" s="6" t="str">
        <f>IFERROR(__xludf.DUMMYFUNCTION("GOOGLETRANSLATE(E116, ""en"", ""ur"")"),"ایک ہپ رول اکثر ریچھ کے گلے سے بچنے کے لیے جسم کی حرکت کا استعمال کرتے ہوئے ہولڈ سے باہر نکلنے کے لیے استعمال کیا جاتا ہے۔")</f>
        <v>ایک ہپ رول اکثر ریچھ کے گلے سے بچنے کے لیے جسم کی حرکت کا استعمال کرتے ہوئے ہولڈ سے باہر نکلنے کے لیے استعمال کیا جاتا ہے۔</v>
      </c>
    </row>
    <row r="117">
      <c r="A117" s="4">
        <v>116.0</v>
      </c>
      <c r="B117" s="5" t="s">
        <v>373</v>
      </c>
      <c r="C117" s="5" t="s">
        <v>374</v>
      </c>
      <c r="D117" s="5" t="s">
        <v>375</v>
      </c>
      <c r="E117" s="5" t="s">
        <v>376</v>
      </c>
      <c r="K117" s="6" t="str">
        <f>IFERROR(__xludf.DUMMYFUNCTION("GOOGLETRANSLATE(A117, ""en"", ""ur"")"),"116")</f>
        <v>116</v>
      </c>
      <c r="L117" s="6" t="str">
        <f>IFERROR(__xludf.DUMMYFUNCTION("GOOGLETRANSLATE(B117, ""en"", ""ur"")"),"ملاکھرا میچ کے دوران، ریسلر اے پن لگنے سے بچنے کے لیے گردن کا پل بنا رہا ہے، جبکہ ریسلر بی پکڑ کو توڑنے کی کوشش کر رہا ہے۔ A کی گردن کا پل توڑنے کے لیے B کے لیے سب سے مؤثر تکنیک کیا ہوگی؟")</f>
        <v>ملاکھرا میچ کے دوران، ریسلر اے پن لگنے سے بچنے کے لیے گردن کا پل بنا رہا ہے، جبکہ ریسلر بی پکڑ کو توڑنے کی کوشش کر رہا ہے۔ A کی گردن کا پل توڑنے کے لیے B کے لیے سب سے مؤثر تکنیک کیا ہوگی؟</v>
      </c>
      <c r="M117" s="6" t="str">
        <f>IFERROR(__xludf.DUMMYFUNCTION("GOOGLETRANSLATE(C117, ""en"", ""ur"")"),"A) ڈبل ٹانگ ٹیک ڈاؤن، B) کھڑے ہیڈلاک، C) گھٹنے کے پیچھے پیچھے ہٹنا، D) آرمبر")</f>
        <v>A) ڈبل ٹانگ ٹیک ڈاؤن، B) کھڑے ہیڈلاک، C) گھٹنے کے پیچھے پیچھے ہٹنا، D) آرمبر</v>
      </c>
      <c r="N117" s="6" t="str">
        <f>IFERROR(__xludf.DUMMYFUNCTION("GOOGLETRANSLATE(D117, ""en"", ""ur"")"),"ج) پیچھے کی طرف گھٹنے کی ضرب")</f>
        <v>ج) پیچھے کی طرف گھٹنے کی ضرب</v>
      </c>
      <c r="O117" s="6" t="str">
        <f>IFERROR(__xludf.DUMMYFUNCTION("GOOGLETRANSLATE(E117, ""en"", ""ur"")"),"پیچھے کی طرف گھٹنے کی ضرب گردن کے پل کو غیر مستحکم کر سکتی ہے اور حریف کو توازن کھونے پر مجبور کر سکتی ہے، جس سے یہ ایک مؤثر کاؤنٹر بن سکتا ہے۔")</f>
        <v>پیچھے کی طرف گھٹنے کی ضرب گردن کے پل کو غیر مستحکم کر سکتی ہے اور حریف کو توازن کھونے پر مجبور کر سکتی ہے، جس سے یہ ایک مؤثر کاؤنٹر بن سکتا ہے۔</v>
      </c>
    </row>
    <row r="118">
      <c r="A118" s="4">
        <v>117.0</v>
      </c>
      <c r="B118" s="5" t="s">
        <v>377</v>
      </c>
      <c r="C118" s="5" t="s">
        <v>378</v>
      </c>
      <c r="D118" s="5" t="s">
        <v>379</v>
      </c>
      <c r="E118" s="5" t="s">
        <v>380</v>
      </c>
      <c r="K118" s="6" t="str">
        <f>IFERROR(__xludf.DUMMYFUNCTION("GOOGLETRANSLATE(A118, ""en"", ""ur"")"),"117")</f>
        <v>117</v>
      </c>
      <c r="L118" s="6" t="str">
        <f>IFERROR(__xludf.DUMMYFUNCTION("GOOGLETRANSLATE(B118, ""en"", ""ur"")"),"ریسلر X اپنی رفتار کے لیے جانا جاتا ہے، اور ریسلر Y اپنی خام طاقت کے لیے جانا جاتا ہے۔ ملاکھرا میچ میں، ایکس ایک تیز بازو کو گھسیٹنے کی کوشش کرتا ہے لیکن Y اس حرکت کو ریورس کرنے کے لیے اپنی طاقت کا استعمال کرتا ہے۔ Y کے کاؤنٹر کا سب سے زیادہ ممکنہ نتیجہ ک"&amp;"یا ہے؟")</f>
        <v>ریسلر X اپنی رفتار کے لیے جانا جاتا ہے، اور ریسلر Y اپنی خام طاقت کے لیے جانا جاتا ہے۔ ملاکھرا میچ میں، ایکس ایک تیز بازو کو گھسیٹنے کی کوشش کرتا ہے لیکن Y اس حرکت کو ریورس کرنے کے لیے اپنی طاقت کا استعمال کرتا ہے۔ Y کے کاؤنٹر کا سب سے زیادہ ممکنہ نتیجہ کیا ہے؟</v>
      </c>
      <c r="M118" s="6" t="str">
        <f>IFERROR(__xludf.DUMMYFUNCTION("GOOGLETRANSLATE(C118, ""en"", ""ur"")"),"A) Y فوری طور پر X کو پن کرتا ہے، B) Y نے X کو رسیوں میں پھینک دیا، C) X کو Y کی زیادہ کمٹمنٹ کی وجہ سے فائدہ حاصل ہوتا ہے، D) میچ ڈرا پر ختم ہوتا ہے۔")</f>
        <v>A) Y فوری طور پر X کو پن کرتا ہے، B) Y نے X کو رسیوں میں پھینک دیا، C) X کو Y کی زیادہ کمٹمنٹ کی وجہ سے فائدہ حاصل ہوتا ہے، D) میچ ڈرا پر ختم ہوتا ہے۔</v>
      </c>
      <c r="N118" s="6" t="str">
        <f>IFERROR(__xludf.DUMMYFUNCTION("GOOGLETRANSLATE(D118, ""en"", ""ur"")"),"C) X کو Y کی زیادہ کمٹمنٹ کی وجہ سے ایک فائدہ حاصل ہوتا ہے۔")</f>
        <v>C) X کو Y کی زیادہ کمٹمنٹ کی وجہ سے ایک فائدہ حاصل ہوتا ہے۔</v>
      </c>
      <c r="O118" s="6" t="str">
        <f>IFERROR(__xludf.DUMMYFUNCTION("GOOGLETRANSLATE(E118, ""en"", ""ur"")"),"Y کا الٹ جانا اسے کمزور چھوڑ سکتا ہے اگر وہ حد سے زیادہ کام کرتا ہے، جس سے X کو صورت حال کا فائدہ اٹھانا پڑتا ہے۔")</f>
        <v>Y کا الٹ جانا اسے کمزور چھوڑ سکتا ہے اگر وہ حد سے زیادہ کام کرتا ہے، جس سے X کو صورت حال کا فائدہ اٹھانا پڑتا ہے۔</v>
      </c>
    </row>
    <row r="119">
      <c r="A119" s="4">
        <v>118.0</v>
      </c>
      <c r="B119" s="5" t="s">
        <v>381</v>
      </c>
      <c r="C119" s="5" t="s">
        <v>382</v>
      </c>
      <c r="D119" s="5" t="s">
        <v>383</v>
      </c>
      <c r="E119" s="5" t="s">
        <v>384</v>
      </c>
      <c r="K119" s="6" t="str">
        <f>IFERROR(__xludf.DUMMYFUNCTION("GOOGLETRANSLATE(A119, ""en"", ""ur"")"),"118")</f>
        <v>118</v>
      </c>
      <c r="L119" s="6" t="str">
        <f>IFERROR(__xludf.DUMMYFUNCTION("GOOGLETRANSLATE(B119, ""en"", ""ur"")"),"ملاکھرا کے ایک میچ میں، ریسلر A اوپر کی رسی سے اڑتے ہوئے باڈی دبانے کی کوشش کرتا ہے، لیکن ریسلر B وقت کے ساتھ ہی راستے سے ہٹ جاتا ہے۔ A کا بہترین اگلا اقدام کیا ہے؟")</f>
        <v>ملاکھرا کے ایک میچ میں، ریسلر A اوپر کی رسی سے اڑتے ہوئے باڈی دبانے کی کوشش کرتا ہے، لیکن ریسلر B وقت کے ساتھ ہی راستے سے ہٹ جاتا ہے۔ A کا بہترین اگلا اقدام کیا ہے؟</v>
      </c>
      <c r="M119" s="6" t="str">
        <f>IFERROR(__xludf.DUMMYFUNCTION("GOOGLETRANSLATE(C119, ""en"", ""ur"")"),"A) پن کی کوشش کے ساتھ جاری رکھیں، B) سکون حاصل کریں اور دوبارہ ترتیب دیں، C) ٹانگ لاک کی کوشش کریں، D) کھڑے ہو جائیں اور B کو طعنہ دیں۔")</f>
        <v>A) پن کی کوشش کے ساتھ جاری رکھیں، B) سکون حاصل کریں اور دوبارہ ترتیب دیں، C) ٹانگ لاک کی کوشش کریں، D) کھڑے ہو جائیں اور B کو طعنہ دیں۔</v>
      </c>
      <c r="N119" s="6" t="str">
        <f>IFERROR(__xludf.DUMMYFUNCTION("GOOGLETRANSLATE(D119, ""en"", ""ur"")"),"ب) سکون حاصل کریں اور دوبارہ ترتیب دیں۔")</f>
        <v>ب) سکون حاصل کریں اور دوبارہ ترتیب دیں۔</v>
      </c>
      <c r="O119" s="6" t="str">
        <f>IFERROR(__xludf.DUMMYFUNCTION("GOOGLETRANSLATE(E119, ""en"", ""ur"")"),"ایک اعلیٰ اثر والے اقدام سے محروم ہونے کے بعد، A کے لیے یہ بہتر ہے کہ وہ دوبارہ آرام حاصل کرے اور اگلے اقدام کے لیے دوبارہ ترتیب دے۔")</f>
        <v>ایک اعلیٰ اثر والے اقدام سے محروم ہونے کے بعد، A کے لیے یہ بہتر ہے کہ وہ دوبارہ آرام حاصل کرے اور اگلے اقدام کے لیے دوبارہ ترتیب دے۔</v>
      </c>
    </row>
    <row r="120">
      <c r="A120" s="4">
        <v>119.0</v>
      </c>
      <c r="B120" s="5" t="s">
        <v>385</v>
      </c>
      <c r="C120" s="5" t="s">
        <v>386</v>
      </c>
      <c r="D120" s="5" t="s">
        <v>387</v>
      </c>
      <c r="E120" s="5" t="s">
        <v>388</v>
      </c>
      <c r="K120" s="6" t="str">
        <f>IFERROR(__xludf.DUMMYFUNCTION("GOOGLETRANSLATE(A120, ""en"", ""ur"")"),"119")</f>
        <v>119</v>
      </c>
      <c r="L120" s="6" t="str">
        <f>IFERROR(__xludf.DUMMYFUNCTION("GOOGLETRANSLATE(B120, ""en"", ""ur"")"),"پہلوان A نے اپنے حریف کو ریچھ کے گلے لگا رکھا ہے لیکن وہ تھکنا شروع کر دیتا ہے۔ ریسلر بی نے اسے دیکھا اور گرفت کو توڑنے کے لیے ایک تیز کہنی کا استعمال کیا۔ B کا اگلا ممکنہ اقدام کیا ہے؟")</f>
        <v>پہلوان A نے اپنے حریف کو ریچھ کے گلے لگا رکھا ہے لیکن وہ تھکنا شروع کر دیتا ہے۔ ریسلر بی نے اسے دیکھا اور گرفت کو توڑنے کے لیے ایک تیز کہنی کا استعمال کیا۔ B کا اگلا ممکنہ اقدام کیا ہے؟</v>
      </c>
      <c r="M120" s="6" t="str">
        <f>IFERROR(__xludf.DUMMYFUNCTION("GOOGLETRANSLATE(C120, ""en"", ""ur"")"),"A) ہیڈلاک کی کوشش کریں، B) پاور بم کو چلائیں، C) ٹانگ جھاڑو کا استعمال کریں، D) کاؤنٹر سلیم آزمائیں")</f>
        <v>A) ہیڈلاک کی کوشش کریں، B) پاور بم کو چلائیں، C) ٹانگ جھاڑو کا استعمال کریں، D) کاؤنٹر سلیم آزمائیں</v>
      </c>
      <c r="N120" s="6" t="str">
        <f>IFERROR(__xludf.DUMMYFUNCTION("GOOGLETRANSLATE(D120, ""en"", ""ur"")"),"A) ہیڈ لاک کی کوشش کریں۔")</f>
        <v>A) ہیڈ لاک کی کوشش کریں۔</v>
      </c>
      <c r="O120" s="6" t="str">
        <f>IFERROR(__xludf.DUMMYFUNCTION("GOOGLETRANSLATE(E120, ""en"", ""ur"")"),"ریچھ کے گلے کو توڑنے کے بعد ایک ہیڈ لاک ایک قدرتی فالو اپ ہوگا، جس کا مقصد مخالف کے سر اور گردن کو کنٹرول کرنا ہے۔")</f>
        <v>ریچھ کے گلے کو توڑنے کے بعد ایک ہیڈ لاک ایک قدرتی فالو اپ ہوگا، جس کا مقصد مخالف کے سر اور گردن کو کنٹرول کرنا ہے۔</v>
      </c>
    </row>
    <row r="121">
      <c r="A121" s="4">
        <v>120.0</v>
      </c>
      <c r="B121" s="5" t="s">
        <v>389</v>
      </c>
      <c r="C121" s="5" t="s">
        <v>390</v>
      </c>
      <c r="D121" s="5" t="s">
        <v>391</v>
      </c>
      <c r="E121" s="5" t="s">
        <v>392</v>
      </c>
      <c r="K121" s="6" t="str">
        <f>IFERROR(__xludf.DUMMYFUNCTION("GOOGLETRANSLATE(A121, ""en"", ""ur"")"),"120")</f>
        <v>120</v>
      </c>
      <c r="L121" s="6" t="str">
        <f>IFERROR(__xludf.DUMMYFUNCTION("GOOGLETRANSLATE(B121, ""en"", ""ur"")"),"ملاکھرا میچ کے دوران، ریسلر A اور ریسلر B دونوں تھک جاتے ہیں، اور نہ ہی کوئی کامیاب جارحانہ اقدام انجام دے سکتے ہیں۔ اس صورت حال میں ریفری کو کیا کرنا چاہیے؟")</f>
        <v>ملاکھرا میچ کے دوران، ریسلر A اور ریسلر B دونوں تھک جاتے ہیں، اور نہ ہی کوئی کامیاب جارحانہ اقدام انجام دے سکتے ہیں۔ اس صورت حال میں ریفری کو کیا کرنا چاہیے؟</v>
      </c>
      <c r="M121" s="6" t="str">
        <f>IFERROR(__xludf.DUMMYFUNCTION("GOOGLETRANSLATE(C121, ""en"", ""ur"")"),"A) ریسلرز کو صحت یاب ہونے کے لیے مزید وقت دیں، B) رکنے کے لیے کال کریں اور فاتح کا اعلان کریں، C) کلین بریک کے ساتھ میچ دوبارہ شروع کریں، D) دونوں پہلوانوں کو وارننگ جاری کریں۔")</f>
        <v>A) ریسلرز کو صحت یاب ہونے کے لیے مزید وقت دیں، B) رکنے کے لیے کال کریں اور فاتح کا اعلان کریں، C) کلین بریک کے ساتھ میچ دوبارہ شروع کریں، D) دونوں پہلوانوں کو وارننگ جاری کریں۔</v>
      </c>
      <c r="N121" s="6" t="str">
        <f>IFERROR(__xludf.DUMMYFUNCTION("GOOGLETRANSLATE(D121, ""en"", ""ur"")"),"D) دونوں پہلوانوں کو وارننگ جاری کریں۔")</f>
        <v>D) دونوں پہلوانوں کو وارننگ جاری کریں۔</v>
      </c>
      <c r="O121" s="6" t="str">
        <f>IFERROR(__xludf.DUMMYFUNCTION("GOOGLETRANSLATE(E121, ""en"", ""ur"")"),"ریفری دونوں پہلوانوں کو اسٹال کرنے کے لیے ایک انتباہ جاری کر سکتا ہے، اور انہیں فعال طور پر مقابلہ جاری رکھنے کی ترغیب دے سکتا ہے۔")</f>
        <v>ریفری دونوں پہلوانوں کو اسٹال کرنے کے لیے ایک انتباہ جاری کر سکتا ہے، اور انہیں فعال طور پر مقابلہ جاری رکھنے کی ترغیب دے سکتا ہے۔</v>
      </c>
    </row>
    <row r="122">
      <c r="A122" s="4">
        <v>121.0</v>
      </c>
      <c r="B122" s="5" t="s">
        <v>393</v>
      </c>
      <c r="C122" s="5" t="s">
        <v>394</v>
      </c>
      <c r="D122" s="5" t="s">
        <v>395</v>
      </c>
      <c r="E122" s="5" t="s">
        <v>396</v>
      </c>
      <c r="K122" s="6" t="str">
        <f>IFERROR(__xludf.DUMMYFUNCTION("GOOGLETRANSLATE(A122, ""en"", ""ur"")"),"121")</f>
        <v>121</v>
      </c>
      <c r="L122" s="6" t="str">
        <f>IFERROR(__xludf.DUMMYFUNCTION("GOOGLETRANSLATE(B122, ""en"", ""ur"")"),"ریسلر X اڑتے ہوئے گھٹنے سے حملہ کرنے کی کوشش کر رہا ہے، لیکن ریسلر Y نے درمیانی ہوا میں X کو پکڑ لیا۔ Y کے لیے سب سے مؤثر جواب کیا ہوگا؟")</f>
        <v>ریسلر X اڑتے ہوئے گھٹنے سے حملہ کرنے کی کوشش کر رہا ہے، لیکن ریسلر Y نے درمیانی ہوا میں X کو پکڑ لیا۔ Y کے لیے سب سے مؤثر جواب کیا ہوگا؟</v>
      </c>
      <c r="M122" s="6" t="str">
        <f>IFERROR(__xludf.DUMMYFUNCTION("GOOGLETRANSLATE(C122, ""en"", ""ur"")"),"A) سلم پرفارم کریں، B) ایک بازو لگائیں، C) ایک چوک ہولڈ پر عمل کریں، D) X کو زمین پر گرائیں")</f>
        <v>A) سلم پرفارم کریں، B) ایک بازو لگائیں، C) ایک چوک ہولڈ پر عمل کریں، D) X کو زمین پر گرائیں</v>
      </c>
      <c r="N122" s="6" t="str">
        <f>IFERROR(__xludf.DUMMYFUNCTION("GOOGLETRANSLATE(D122, ""en"", ""ur"")"),"A) ایک سلیم انجام دیں۔")</f>
        <v>A) ایک سلیم انجام دیں۔</v>
      </c>
      <c r="O122" s="6" t="str">
        <f>IFERROR(__xludf.DUMMYFUNCTION("GOOGLETRANSLATE(E122, ""en"", ""ur"")"),"مخالف کو درمیانی ہوا میں پکڑنا سلیم کا موقع کھولتا ہے، جو کہ ایک مضبوط جوابی اقدام ہے۔")</f>
        <v>مخالف کو درمیانی ہوا میں پکڑنا سلیم کا موقع کھولتا ہے، جو کہ ایک مضبوط جوابی اقدام ہے۔</v>
      </c>
    </row>
    <row r="123">
      <c r="A123" s="4">
        <v>122.0</v>
      </c>
      <c r="B123" s="5" t="s">
        <v>397</v>
      </c>
      <c r="C123" s="5" t="s">
        <v>398</v>
      </c>
      <c r="D123" s="5" t="s">
        <v>399</v>
      </c>
      <c r="E123" s="5" t="s">
        <v>400</v>
      </c>
      <c r="K123" s="6" t="str">
        <f>IFERROR(__xludf.DUMMYFUNCTION("GOOGLETRANSLATE(A123, ""en"", ""ur"")"),"122")</f>
        <v>122</v>
      </c>
      <c r="L123" s="6" t="str">
        <f>IFERROR(__xludf.DUMMYFUNCTION("GOOGLETRANSLATE(B123, ""en"", ""ur"")"),"ریسلر A میچ پر غلبہ حاصل کر رہا ہے اور ایک suplex کو انجام دینے کی کوشش کرتا ہے، لیکن پہلوان B اپنے پیروں پر مڑ کر اور اتر کر مقابلہ کرتا ہے۔ B کو آگے کیا کرنا چاہیے؟")</f>
        <v>ریسلر A میچ پر غلبہ حاصل کر رہا ہے اور ایک suplex کو انجام دینے کی کوشش کرتا ہے، لیکن پہلوان B اپنے پیروں پر مڑ کر اور اتر کر مقابلہ کرتا ہے۔ B کو آگے کیا کرنا چاہیے؟</v>
      </c>
      <c r="M123" s="6" t="str">
        <f>IFERROR(__xludf.DUMMYFUNCTION("GOOGLETRANSLATE(C123, ""en"", ""ur"")"),"A) ایک کندھے پر پھینک دیں، B) کلائی کا تالا لگائیں، C) جوابی سلیم کی کوشش کریں، D) جمع کرانے کے لئے جائیں")</f>
        <v>A) ایک کندھے پر پھینک دیں، B) کلائی کا تالا لگائیں، C) جوابی سلیم کی کوشش کریں، D) جمع کرانے کے لئے جائیں</v>
      </c>
      <c r="N123" s="6" t="str">
        <f>IFERROR(__xludf.DUMMYFUNCTION("GOOGLETRANSLATE(D123, ""en"", ""ur"")"),"ج) جوابی سلیم کی کوشش کریں۔")</f>
        <v>ج) جوابی سلیم کی کوشش کریں۔</v>
      </c>
      <c r="O123" s="6" t="str">
        <f>IFERROR(__xludf.DUMMYFUNCTION("GOOGLETRANSLATE(E123, ""en"", ""ur"")"),"اپنے پیروں پر اترنے کے بعد، B میچ کا کنٹرول سنبھالنے کے لیے کاؤنٹر سلیم پرفارم کر کے فائدہ اٹھا سکتا ہے۔")</f>
        <v>اپنے پیروں پر اترنے کے بعد، B میچ کا کنٹرول سنبھالنے کے لیے کاؤنٹر سلیم پرفارم کر کے فائدہ اٹھا سکتا ہے۔</v>
      </c>
    </row>
    <row r="124">
      <c r="A124" s="4">
        <v>123.0</v>
      </c>
      <c r="B124" s="5" t="s">
        <v>401</v>
      </c>
      <c r="C124" s="5" t="s">
        <v>402</v>
      </c>
      <c r="D124" s="5" t="s">
        <v>403</v>
      </c>
      <c r="E124" s="5" t="s">
        <v>404</v>
      </c>
      <c r="K124" s="6" t="str">
        <f>IFERROR(__xludf.DUMMYFUNCTION("GOOGLETRANSLATE(A124, ""en"", ""ur"")"),"123")</f>
        <v>123</v>
      </c>
      <c r="L124" s="6" t="str">
        <f>IFERROR(__xludf.DUMMYFUNCTION("GOOGLETRANSLATE(B124, ""en"", ""ur"")"),"ریسلر A ہیڈ لاک میں پھنس گیا ہے، اور جیسے ہی ریفری چیک کرتا ہے، A نے تکلیف کے آثار دکھانا شروع کردیئے۔ ریفری کے لیے صحیح طریقہ کار کیا ہے؟")</f>
        <v>ریسلر A ہیڈ لاک میں پھنس گیا ہے، اور جیسے ہی ریفری چیک کرتا ہے، A نے تکلیف کے آثار دکھانا شروع کردیئے۔ ریفری کے لیے صحیح طریقہ کار کیا ہے؟</v>
      </c>
      <c r="M124" s="6" t="str">
        <f>IFERROR(__xludf.DUMMYFUNCTION("GOOGLETRANSLATE(C124, ""en"", ""ur"")"),"A) A کو شمار کریں، B) A سے پوچھیں کہ کیا وہ جمع کرانا چاہتا ہے، C) غیر قانونی چالوں کی جانچ پڑتال کریں، D) B کو فوری طور پر نااہل قرار دیں")</f>
        <v>A) A کو شمار کریں، B) A سے پوچھیں کہ کیا وہ جمع کرانا چاہتا ہے، C) غیر قانونی چالوں کی جانچ پڑتال کریں، D) B کو فوری طور پر نااہل قرار دیں</v>
      </c>
      <c r="N124" s="6" t="str">
        <f>IFERROR(__xludf.DUMMYFUNCTION("GOOGLETRANSLATE(D124, ""en"", ""ur"")"),"ب) A سے پوچھیں کہ کیا وہ جمع کروانا چاہتا ہے۔")</f>
        <v>ب) A سے پوچھیں کہ کیا وہ جمع کروانا چاہتا ہے۔</v>
      </c>
      <c r="O124" s="6" t="str">
        <f>IFERROR(__xludf.DUMMYFUNCTION("GOOGLETRANSLATE(E124, ""en"", ""ur"")"),"اگر کوئی پہلوان کمزور پوزیشن میں ہے، تو ریفری کو یہ دیکھنا چاہیے کہ آیا وہ جمع کرانا چاہتے ہیں یا وہ جاری رکھ سکتے ہیں۔")</f>
        <v>اگر کوئی پہلوان کمزور پوزیشن میں ہے، تو ریفری کو یہ دیکھنا چاہیے کہ آیا وہ جمع کرانا چاہتے ہیں یا وہ جاری رکھ سکتے ہیں۔</v>
      </c>
    </row>
    <row r="125">
      <c r="A125" s="4">
        <v>124.0</v>
      </c>
      <c r="B125" s="5" t="s">
        <v>405</v>
      </c>
      <c r="C125" s="5" t="s">
        <v>406</v>
      </c>
      <c r="D125" s="5" t="s">
        <v>407</v>
      </c>
      <c r="E125" s="5" t="s">
        <v>408</v>
      </c>
      <c r="K125" s="6" t="str">
        <f>IFERROR(__xludf.DUMMYFUNCTION("GOOGLETRANSLATE(A125, ""en"", ""ur"")"),"124")</f>
        <v>124</v>
      </c>
      <c r="L125" s="6" t="str">
        <f>IFERROR(__xludf.DUMMYFUNCTION("GOOGLETRANSLATE(B125, ""en"", ""ur"")"),"ملاکھرا کے ایک میچ میں، ریسلر اے باڈی سلیم کو انجام دینے کے لیے اپنی طاقت کا استعمال کرتا ہے، لیکن ریسلر بی صحت یاب ہونے کے لیے رنگ سے باہر نکل جاتا ہے۔ ریفری کو آگے کیا کرنا چاہیے؟")</f>
        <v>ملاکھرا کے ایک میچ میں، ریسلر اے باڈی سلیم کو انجام دینے کے لیے اپنی طاقت کا استعمال کرتا ہے، لیکن ریسلر بی صحت یاب ہونے کے لیے رنگ سے باہر نکل جاتا ہے۔ ریفری کو آگے کیا کرنا چاہیے؟</v>
      </c>
      <c r="M125" s="6" t="str">
        <f>IFERROR(__xludf.DUMMYFUNCTION("GOOGLETRANSLATE(C125, ""en"", ""ur"")"),"A) B کو دس سیکنڈ تک ٹھیک ہونے کی اجازت دیں، B) رنگ میں موجود دونوں پہلوانوں کے ساتھ میچ دوبارہ شروع کریں، C) B کو رنگ چھوڑنے پر نااہل قرار دیں، D) B کو جرمانہ دیں۔")</f>
        <v>A) B کو دس سیکنڈ تک ٹھیک ہونے کی اجازت دیں، B) رنگ میں موجود دونوں پہلوانوں کے ساتھ میچ دوبارہ شروع کریں، C) B کو رنگ چھوڑنے پر نااہل قرار دیں، D) B کو جرمانہ دیں۔</v>
      </c>
      <c r="N125" s="6" t="str">
        <f>IFERROR(__xludf.DUMMYFUNCTION("GOOGLETRANSLATE(D125, ""en"", ""ur"")"),"A) B کو دس سیکنڈ تک صحت یاب ہونے دیں۔")</f>
        <v>A) B کو دس سیکنڈ تک صحت یاب ہونے دیں۔</v>
      </c>
      <c r="O125" s="6" t="str">
        <f>IFERROR(__xludf.DUMMYFUNCTION("GOOGLETRANSLATE(E125, ""en"", ""ur"")"),"زیادہ تر معاملات میں، ریفری ایک پہلوان کو رنگ سے باہر ایک مختصر مدت کے لیے، عام طور پر دس سیکنڈ تک صحت یاب ہونے کی اجازت دیتا ہے۔")</f>
        <v>زیادہ تر معاملات میں، ریفری ایک پہلوان کو رنگ سے باہر ایک مختصر مدت کے لیے، عام طور پر دس سیکنڈ تک صحت یاب ہونے کی اجازت دیتا ہے۔</v>
      </c>
    </row>
    <row r="126">
      <c r="A126" s="4">
        <v>125.0</v>
      </c>
      <c r="B126" s="5" t="s">
        <v>409</v>
      </c>
      <c r="C126" s="5" t="s">
        <v>410</v>
      </c>
      <c r="D126" s="5" t="s">
        <v>411</v>
      </c>
      <c r="E126" s="5" t="s">
        <v>412</v>
      </c>
      <c r="K126" s="6" t="str">
        <f>IFERROR(__xludf.DUMMYFUNCTION("GOOGLETRANSLATE(A126, ""en"", ""ur"")"),"125")</f>
        <v>125</v>
      </c>
      <c r="L126" s="6" t="str">
        <f>IFERROR(__xludf.DUMMYFUNCTION("GOOGLETRANSLATE(B126, ""en"", ""ur"")"),"ملاخرہ مقابلے کے دوران، ریسلر A ایک کامیاب آرم بار لگاتا ہے، لیکن ریسلر B اس سے باہر ہو جاتا ہے۔ A کی اگلی ممکنہ حکمت عملی کیا ہے؟")</f>
        <v>ملاخرہ مقابلے کے دوران، ریسلر A ایک کامیاب آرم بار لگاتا ہے، لیکن ریسلر B اس سے باہر ہو جاتا ہے۔ A کی اگلی ممکنہ حکمت عملی کیا ہے؟</v>
      </c>
      <c r="M126" s="6" t="str">
        <f>IFERROR(__xludf.DUMMYFUNCTION("GOOGLETRANSLATE(C126, ""en"", ""ur"")"),"A) ایک چوک ہولڈ کی کوشش کریں، B) ایک ٹانگ لاک آزمائیں، C) دوبارہ ترتیب دیں اور دوسری جمع کرانے کے لئے جائیں، D) فوری طور پر پن B")</f>
        <v>A) ایک چوک ہولڈ کی کوشش کریں، B) ایک ٹانگ لاک آزمائیں، C) دوبارہ ترتیب دیں اور دوسری جمع کرانے کے لئے جائیں، D) فوری طور پر پن B</v>
      </c>
      <c r="N126" s="6" t="str">
        <f>IFERROR(__xludf.DUMMYFUNCTION("GOOGLETRANSLATE(D126, ""en"", ""ur"")"),"C) دوبارہ ترتیب دیں اور دوسری جمع کرانے کے لیے جائیں۔")</f>
        <v>C) دوبارہ ترتیب دیں اور دوسری جمع کرانے کے لیے جائیں۔</v>
      </c>
      <c r="O126" s="6" t="str">
        <f>IFERROR(__xludf.DUMMYFUNCTION("GOOGLETRANSLATE(E126, ""en"", ""ur"")"),"اگر ایک بازو ناکام ہو جاتا ہے تو، A ممکنہ طور پر دوبارہ ترتیب دے گا اور کنٹرول کو برقرار رکھنے کے لیے جمع کرانے کی ایک مختلف تکنیک کی کوشش کرے گا۔")</f>
        <v>اگر ایک بازو ناکام ہو جاتا ہے تو، A ممکنہ طور پر دوبارہ ترتیب دے گا اور کنٹرول کو برقرار رکھنے کے لیے جمع کرانے کی ایک مختلف تکنیک کی کوشش کرے گا۔</v>
      </c>
    </row>
    <row r="127">
      <c r="A127" s="4">
        <v>126.0</v>
      </c>
      <c r="B127" s="5" t="s">
        <v>413</v>
      </c>
      <c r="C127" s="5" t="s">
        <v>414</v>
      </c>
      <c r="D127" s="5" t="s">
        <v>415</v>
      </c>
      <c r="E127" s="5" t="s">
        <v>416</v>
      </c>
      <c r="K127" s="6" t="str">
        <f>IFERROR(__xludf.DUMMYFUNCTION("GOOGLETRANSLATE(A127, ""en"", ""ur"")"),"126")</f>
        <v>126</v>
      </c>
      <c r="L127" s="6" t="str">
        <f>IFERROR(__xludf.DUMMYFUNCTION("GOOGLETRANSLATE(B127, ""en"", ""ur"")"),"ریسلر A حملوں کی ایک سیریز کو انجام دے رہا ہے، لیکن ریسلر B ڈکنگ کرکے اور تیز کندھے پھینک کر مقابلہ کرتا ہے۔ پھینکے جانے کے بعد A کا بہترین جواب کیا ہے؟")</f>
        <v>ریسلر A حملوں کی ایک سیریز کو انجام دے رہا ہے، لیکن ریسلر B ڈکنگ کرکے اور تیز کندھے پھینک کر مقابلہ کرتا ہے۔ پھینکے جانے کے بعد A کا بہترین جواب کیا ہے؟</v>
      </c>
      <c r="M127" s="6" t="str">
        <f>IFERROR(__xludf.DUMMYFUNCTION("GOOGLETRANSLATE(C127, ""en"", ""ur"")"),"A) تھرو سے باہر نکلیں اور اپنے پیروں پر واپس آجائیں، B) صحت یاب ہونے کے لیے نیچے رہیں، C) کاؤنٹر سلیم کی کوشش کریں، D) ٹائم آؤٹ کے لیے کال کریں")</f>
        <v>A) تھرو سے باہر نکلیں اور اپنے پیروں پر واپس آجائیں، B) صحت یاب ہونے کے لیے نیچے رہیں، C) کاؤنٹر سلیم کی کوشش کریں، D) ٹائم آؤٹ کے لیے کال کریں</v>
      </c>
      <c r="N127" s="6" t="str">
        <f>IFERROR(__xludf.DUMMYFUNCTION("GOOGLETRANSLATE(D127, ""en"", ""ur"")"),"A) تھرو سے باہر نکلیں اور اپنے پیروں پر واپس آجائیں۔")</f>
        <v>A) تھرو سے باہر نکلیں اور اپنے پیروں پر واپس آجائیں۔</v>
      </c>
      <c r="O127" s="6" t="str">
        <f>IFERROR(__xludf.DUMMYFUNCTION("GOOGLETRANSLATE(E127, ""en"", ""ur"")"),"میچ میں ایک فعال پوزیشن برقرار رکھنے کے لیے تھرو سے باہر نکلنا اور تیزی سے صحت یاب ہونا بہترین ردعمل ہے۔")</f>
        <v>میچ میں ایک فعال پوزیشن برقرار رکھنے کے لیے تھرو سے باہر نکلنا اور تیزی سے صحت یاب ہونا بہترین ردعمل ہے۔</v>
      </c>
    </row>
    <row r="128">
      <c r="A128" s="4">
        <v>127.0</v>
      </c>
      <c r="B128" s="5" t="s">
        <v>417</v>
      </c>
      <c r="C128" s="5" t="s">
        <v>418</v>
      </c>
      <c r="D128" s="5" t="s">
        <v>419</v>
      </c>
      <c r="E128" s="5" t="s">
        <v>420</v>
      </c>
      <c r="K128" s="6" t="str">
        <f>IFERROR(__xludf.DUMMYFUNCTION("GOOGLETRANSLATE(A128, ""en"", ""ur"")"),"127")</f>
        <v>127</v>
      </c>
      <c r="L128" s="6" t="str">
        <f>IFERROR(__xludf.DUMMYFUNCTION("GOOGLETRANSLATE(B128, ""en"", ""ur"")"),"ملاکھرا ٹورنامنٹ میں، ریسلر A نے سبمیشن ہولڈ میں بند کرنے کی کوشش کی، لیکن ریسلر B فرار ہونے کے لیے اپنی چستی کا استعمال کرتا ہے۔ آگے کس چیز پر فوکس کرنا چاہیے؟")</f>
        <v>ملاکھرا ٹورنامنٹ میں، ریسلر A نے سبمیشن ہولڈ میں بند کرنے کی کوشش کی، لیکن ریسلر B فرار ہونے کے لیے اپنی چستی کا استعمال کرتا ہے۔ آگے کس چیز پر فوکس کرنا چاہیے؟</v>
      </c>
      <c r="M128" s="6" t="str">
        <f>IFERROR(__xludf.DUMMYFUNCTION("GOOGLETRANSLATE(C128, ""en"", ""ur"")"),"A) پاور موو کے لیے جانا، B) دوبارہ سیٹ کرنا اور نئے حملے کی منصوبہ بندی کرنا، C) مختلف جمع کرانے کی کوشش کرنا، D) B کو تھکا دینے کے لیے میچ کو روکنا")</f>
        <v>A) پاور موو کے لیے جانا، B) دوبارہ سیٹ کرنا اور نئے حملے کی منصوبہ بندی کرنا، C) مختلف جمع کرانے کی کوشش کرنا، D) B کو تھکا دینے کے لیے میچ کو روکنا</v>
      </c>
      <c r="N128" s="6" t="str">
        <f>IFERROR(__xludf.DUMMYFUNCTION("GOOGLETRANSLATE(D128, ""en"", ""ur"")"),"ب) نئے حملے کو دوبارہ ترتیب دینا اور منصوبہ بندی کرنا")</f>
        <v>ب) نئے حملے کو دوبارہ ترتیب دینا اور منصوبہ بندی کرنا</v>
      </c>
      <c r="O128" s="6" t="str">
        <f>IFERROR(__xludf.DUMMYFUNCTION("GOOGLETRANSLATE(E128, ""en"", ""ur"")"),"ناکام جمع کرانے کے بعد، A کو دوبارہ ترتیب دینا چاہیے اور دوبارہ کنٹرول حاصل کرنے کے لیے ایک مختلف طریقہ کار کے لیے حکمت عملی بنانا چاہیے۔")</f>
        <v>ناکام جمع کرانے کے بعد، A کو دوبارہ ترتیب دینا چاہیے اور دوبارہ کنٹرول حاصل کرنے کے لیے ایک مختلف طریقہ کار کے لیے حکمت عملی بنانا چاہیے۔</v>
      </c>
    </row>
    <row r="129">
      <c r="A129" s="4">
        <v>128.0</v>
      </c>
      <c r="B129" s="5" t="s">
        <v>421</v>
      </c>
      <c r="C129" s="5" t="s">
        <v>422</v>
      </c>
      <c r="D129" s="5" t="s">
        <v>423</v>
      </c>
      <c r="E129" s="5" t="s">
        <v>424</v>
      </c>
      <c r="K129" s="6" t="str">
        <f>IFERROR(__xludf.DUMMYFUNCTION("GOOGLETRANSLATE(A129, ""en"", ""ur"")"),"128")</f>
        <v>128</v>
      </c>
      <c r="L129" s="6" t="str">
        <f>IFERROR(__xludf.DUMMYFUNCTION("GOOGLETRANSLATE(B129, ""en"", ""ur"")"),"ملاکھرا مقابلے کے دوران، ریسلر B کی جانب سے ہٹانے کی کوشش کو روکنے کے لیے ریسلر A اپنی ٹانگوں کا استعمال کرتا ہے۔ A کے دفاع کا بنیادی فائدہ کیا ہے؟")</f>
        <v>ملاکھرا مقابلے کے دوران، ریسلر B کی جانب سے ہٹانے کی کوشش کو روکنے کے لیے ریسلر A اپنی ٹانگوں کا استعمال کرتا ہے۔ A کے دفاع کا بنیادی فائدہ کیا ہے؟</v>
      </c>
      <c r="M129" s="6" t="str">
        <f>IFERROR(__xludf.DUMMYFUNCTION("GOOGLETRANSLATE(C129, ""en"", ""ur"")"),"A) یہ B کو حرکت مکمل کرنے سے روکتا ہے، B) یہ A کو سلیم کے ساتھ مقابلہ کرنے کی اجازت دیتا ہے، C) یہ B کو تھکا دیتا ہے، D) یہ ایک تیز پن کی طرف لے جاتا ہے۔")</f>
        <v>A) یہ B کو حرکت مکمل کرنے سے روکتا ہے، B) یہ A کو سلیم کے ساتھ مقابلہ کرنے کی اجازت دیتا ہے، C) یہ B کو تھکا دیتا ہے، D) یہ ایک تیز پن کی طرف لے جاتا ہے۔</v>
      </c>
      <c r="N129" s="6" t="str">
        <f>IFERROR(__xludf.DUMMYFUNCTION("GOOGLETRANSLATE(D129, ""en"", ""ur"")"),"A) یہ B کو حرکت مکمل کرنے سے روکتا ہے۔")</f>
        <v>A) یہ B کو حرکت مکمل کرنے سے روکتا ہے۔</v>
      </c>
      <c r="O129" s="6" t="str">
        <f>IFERROR(__xludf.DUMMYFUNCTION("GOOGLETRANSLATE(E129, ""en"", ""ur"")"),"ٹیک ڈاؤن کو مسدود کرنا B کو حرکت مکمل کرنے سے روکتا ہے، A کو صورتحال پر قابو رکھتا ہے۔")</f>
        <v>ٹیک ڈاؤن کو مسدود کرنا B کو حرکت مکمل کرنے سے روکتا ہے، A کو صورتحال پر قابو رکھتا ہے۔</v>
      </c>
    </row>
    <row r="130">
      <c r="A130" s="4">
        <v>129.0</v>
      </c>
      <c r="B130" s="5" t="s">
        <v>425</v>
      </c>
      <c r="C130" s="5" t="s">
        <v>426</v>
      </c>
      <c r="D130" s="5" t="s">
        <v>427</v>
      </c>
      <c r="E130" s="5" t="s">
        <v>428</v>
      </c>
      <c r="K130" s="6" t="str">
        <f>IFERROR(__xludf.DUMMYFUNCTION("GOOGLETRANSLATE(A130, ""en"", ""ur"")"),"129")</f>
        <v>129</v>
      </c>
      <c r="L130" s="6" t="str">
        <f>IFERROR(__xludf.DUMMYFUNCTION("GOOGLETRANSLATE(B130, ""en"", ""ur"")"),"ریسلر A اور ریسلر B ایک تعطل کا شکار ہیں، دونوں ایک دوسرے پر قابو پانے کی کوشش کر رہے ہیں۔ ہر پہلوان تعطل کو توڑنے کے لیے کس اقدام کی کوشش کر سکتا ہے؟")</f>
        <v>ریسلر A اور ریسلر B ایک تعطل کا شکار ہیں، دونوں ایک دوسرے پر قابو پانے کی کوشش کر رہے ہیں۔ ہر پہلوان تعطل کو توڑنے کے لیے کس اقدام کی کوشش کر سکتا ہے؟</v>
      </c>
      <c r="M130" s="6" t="str">
        <f>IFERROR(__xludf.DUMMYFUNCTION("GOOGLETRANSLATE(C130, ""en"", ""ur"")"),"A) ٹانگوں میں جھاڑو، B) کندھے پھینکنا، C) بازو گھسیٹنا، D) فلائنگ گھٹنے کی ہڑتال")</f>
        <v>A) ٹانگوں میں جھاڑو، B) کندھے پھینکنا، C) بازو گھسیٹنا، D) فلائنگ گھٹنے کی ہڑتال</v>
      </c>
      <c r="N130" s="6" t="str">
        <f>IFERROR(__xludf.DUMMYFUNCTION("GOOGLETRANSLATE(D130, ""en"", ""ur"")"),"ب) کندھے پھینکنا، سی) بازو کھینچنا")</f>
        <v>ب) کندھے پھینکنا، سی) بازو کھینچنا</v>
      </c>
      <c r="O130" s="6" t="str">
        <f>IFERROR(__xludf.DUMMYFUNCTION("GOOGLETRANSLATE(E130, ""en"", ""ur"")"),"کندھے پر پھینکنے یا بازو کی گھسیٹنے سے حریف کو غیر مستحکم کرنے کے لیے رفتار کا استعمال کر کے تعطل کو توڑ سکتا ہے۔")</f>
        <v>کندھے پر پھینکنے یا بازو کی گھسیٹنے سے حریف کو غیر مستحکم کرنے کے لیے رفتار کا استعمال کر کے تعطل کو توڑ سکتا ہے۔</v>
      </c>
    </row>
    <row r="131">
      <c r="A131" s="4">
        <v>130.0</v>
      </c>
      <c r="B131" s="5" t="s">
        <v>429</v>
      </c>
      <c r="C131" s="5" t="s">
        <v>430</v>
      </c>
      <c r="D131" s="5" t="s">
        <v>431</v>
      </c>
      <c r="E131" s="5" t="s">
        <v>432</v>
      </c>
      <c r="K131" s="6" t="str">
        <f>IFERROR(__xludf.DUMMYFUNCTION("GOOGLETRANSLATE(A131, ""en"", ""ur"")"),"130")</f>
        <v>130</v>
      </c>
      <c r="L131" s="6" t="str">
        <f>IFERROR(__xludf.DUMMYFUNCTION("GOOGLETRANSLATE(B131, ""en"", ""ur"")"),"ملاکھڑا میچ میں، ریسلر A نے ریسلر B کو ایک کونے میں زبردستی ڈالنے کی کوشش کی، لیکن B کا مقابلہ A کے پیچھے کھسک گیا۔ فالو اپ کرنے کے لئے B کا بہترین حربہ کیا ہوگا؟")</f>
        <v>ملاکھڑا میچ میں، ریسلر A نے ریسلر B کو ایک کونے میں زبردستی ڈالنے کی کوشش کی، لیکن B کا مقابلہ A کے پیچھے کھسک گیا۔ فالو اپ کرنے کے لئے B کا بہترین حربہ کیا ہوگا؟</v>
      </c>
      <c r="M131" s="6" t="str">
        <f>IFERROR(__xludf.DUMMYFUNCTION("GOOGLETRANSLATE(C131, ""en"", ""ur"")"),"A) ایک ہیڈلاک لگائیں، B) فوری پن کے لیے جائیں، C) ایک suplex کی کوشش کریں، D) A کے مڈ سیکشن پر فوری کک لگانے کی کوشش کریں۔")</f>
        <v>A) ایک ہیڈلاک لگائیں، B) فوری پن کے لیے جائیں، C) ایک suplex کی کوشش کریں، D) A کے مڈ سیکشن پر فوری کک لگانے کی کوشش کریں۔</v>
      </c>
      <c r="N131" s="6" t="str">
        <f>IFERROR(__xludf.DUMMYFUNCTION("GOOGLETRANSLATE(D131, ""en"", ""ur"")"),"A) ہیڈ لاک لگائیں۔")</f>
        <v>A) ہیڈ لاک لگائیں۔</v>
      </c>
      <c r="O131" s="6" t="str">
        <f>IFERROR(__xludf.DUMMYFUNCTION("GOOGLETRANSLATE(E131, ""en"", ""ur"")"),"A کے پیچھے پھسلنے کے بعد، ہیڈلاک لگانے سے B کو حریف پر قابو پانے اور پہل کو دوبارہ حاصل کرنے کا موقع ملے گا۔")</f>
        <v>A کے پیچھے پھسلنے کے بعد، ہیڈلاک لگانے سے B کو حریف پر قابو پانے اور پہل کو دوبارہ حاصل کرنے کا موقع ملے گا۔</v>
      </c>
    </row>
    <row r="132">
      <c r="A132" s="4">
        <v>131.0</v>
      </c>
      <c r="B132" s="5" t="s">
        <v>433</v>
      </c>
      <c r="C132" s="5" t="s">
        <v>434</v>
      </c>
      <c r="D132" s="5" t="s">
        <v>435</v>
      </c>
      <c r="E132" s="5" t="s">
        <v>436</v>
      </c>
      <c r="K132" s="6" t="str">
        <f>IFERROR(__xludf.DUMMYFUNCTION("GOOGLETRANSLATE(A132, ""en"", ""ur"")"),"131")</f>
        <v>131</v>
      </c>
      <c r="L132" s="6" t="str">
        <f>IFERROR(__xludf.DUMMYFUNCTION("GOOGLETRANSLATE(B132, ""en"", ""ur"")"),"ریسلر A ٹانگ جھاڑو میں ضرورت سے زیادہ طاقت کا استعمال کرتا ہے، جس کی وجہ سے ریسلر B عجیب و غریب طریقے سے اترتا ہے۔ اس صورت حال میں ریفری کو کیا کرنا چاہیے؟")</f>
        <v>ریسلر A ٹانگ جھاڑو میں ضرورت سے زیادہ طاقت کا استعمال کرتا ہے، جس کی وجہ سے ریسلر B عجیب و غریب طریقے سے اترتا ہے۔ اس صورت حال میں ریفری کو کیا کرنا چاہیے؟</v>
      </c>
      <c r="M132" s="6" t="str">
        <f>IFERROR(__xludf.DUMMYFUNCTION("GOOGLETRANSLATE(C132, ""en"", ""ur"")"),"A) A کو جرمانہ جاری کریں، B) B کو بازیاب ہونے اور میچ جاری رکھنے کی اجازت دیں، C) A کو خطرناک رویے پر نااہل قرار دیں، D) میچ فوری طور پر دوبارہ شروع کریں")</f>
        <v>A) A کو جرمانہ جاری کریں، B) B کو بازیاب ہونے اور میچ جاری رکھنے کی اجازت دیں، C) A کو خطرناک رویے پر نااہل قرار دیں، D) میچ فوری طور پر دوبارہ شروع کریں</v>
      </c>
      <c r="N132" s="6" t="str">
        <f>IFERROR(__xludf.DUMMYFUNCTION("GOOGLETRANSLATE(D132, ""en"", ""ur"")"),"B) B کو بازیاب ہونے اور میچ جاری رکھنے کی اجازت دیں۔")</f>
        <v>B) B کو بازیاب ہونے اور میچ جاری رکھنے کی اجازت دیں۔</v>
      </c>
      <c r="O132" s="6" t="str">
        <f>IFERROR(__xludf.DUMMYFUNCTION("GOOGLETRANSLATE(E132, ""en"", ""ur"")"),"اگرچہ ضرورت سے زیادہ طاقت جرمانے کا باعث بن سکتی ہے، لیکن ریفری اکثر زخمی پہلوان کو جاری رکھنے سے پہلے صحت یاب ہونے دیتا ہے۔")</f>
        <v>اگرچہ ضرورت سے زیادہ طاقت جرمانے کا باعث بن سکتی ہے، لیکن ریفری اکثر زخمی پہلوان کو جاری رکھنے سے پہلے صحت یاب ہونے دیتا ہے۔</v>
      </c>
    </row>
    <row r="133">
      <c r="A133" s="4">
        <v>132.0</v>
      </c>
      <c r="B133" s="5" t="s">
        <v>437</v>
      </c>
      <c r="C133" s="5" t="s">
        <v>438</v>
      </c>
      <c r="D133" s="5" t="s">
        <v>439</v>
      </c>
      <c r="E133" s="5" t="s">
        <v>440</v>
      </c>
      <c r="K133" s="6" t="str">
        <f>IFERROR(__xludf.DUMMYFUNCTION("GOOGLETRANSLATE(A133, ""en"", ""ur"")"),"132")</f>
        <v>132</v>
      </c>
      <c r="L133" s="6" t="str">
        <f>IFERROR(__xludf.DUMMYFUNCTION("GOOGLETRANSLATE(B133, ""en"", ""ur"")"),"ریسلر A ریسلر B پر مکمل نیلسن ہولڈ لگاتا ہے، لیکن B A کو زمین سے اٹھا کر آزاد ہو جاتا ہے۔ پکڑ سے فرار ہونے کے بعد B کو کس چیز پر توجہ دینی چاہیے؟")</f>
        <v>ریسلر A ریسلر B پر مکمل نیلسن ہولڈ لگاتا ہے، لیکن B A کو زمین سے اٹھا کر آزاد ہو جاتا ہے۔ پکڑ سے فرار ہونے کے بعد B کو کس چیز پر توجہ دینی چاہیے؟</v>
      </c>
      <c r="M133" s="6" t="str">
        <f>IFERROR(__xludf.DUMMYFUNCTION("GOOGLETRANSLATE(C133, ""en"", ""ur"")"),"A) باڈی سلیم کے ساتھ کاؤنٹر، B) ایک فوری ٹانگ لاک پرفارم کریں، C) پن کی کوشش کریں، D) دوبارہ ترتیب دیں اور خود کو دوبارہ حاصل کریں")</f>
        <v>A) باڈی سلیم کے ساتھ کاؤنٹر، B) ایک فوری ٹانگ لاک پرفارم کریں، C) پن کی کوشش کریں، D) دوبارہ ترتیب دیں اور خود کو دوبارہ حاصل کریں</v>
      </c>
      <c r="N133" s="6" t="str">
        <f>IFERROR(__xludf.DUMMYFUNCTION("GOOGLETRANSLATE(D133, ""en"", ""ur"")"),"A) باڈی سلیم کے ساتھ کاؤنٹر")</f>
        <v>A) باڈی سلیم کے ساتھ کاؤنٹر</v>
      </c>
      <c r="O133" s="6" t="str">
        <f>IFERROR(__xludf.DUMMYFUNCTION("GOOGLETRANSLATE(E133, ""en"", ""ur"")"),"مکمل نیلسن سے فرار ہونے کے بعد، B باڈی سلیم کے ساتھ فوری طور پر مقابلہ کر کے فائدہ اٹھا سکتا ہے۔")</f>
        <v>مکمل نیلسن سے فرار ہونے کے بعد، B باڈی سلیم کے ساتھ فوری طور پر مقابلہ کر کے فائدہ اٹھا سکتا ہے۔</v>
      </c>
    </row>
    <row r="134">
      <c r="A134" s="4">
        <v>133.0</v>
      </c>
      <c r="B134" s="5" t="s">
        <v>441</v>
      </c>
      <c r="C134" s="5" t="s">
        <v>442</v>
      </c>
      <c r="D134" s="5" t="s">
        <v>443</v>
      </c>
      <c r="E134" s="5" t="s">
        <v>444</v>
      </c>
      <c r="K134" s="6" t="str">
        <f>IFERROR(__xludf.DUMMYFUNCTION("GOOGLETRANSLATE(A134, ""en"", ""ur"")"),"133")</f>
        <v>133</v>
      </c>
      <c r="L134" s="6" t="str">
        <f>IFERROR(__xludf.DUMMYFUNCTION("GOOGLETRANSLATE(B134, ""en"", ""ur"")"),"پہلوان A B کے درمیانی حصے پر گھٹنے مارنے کی کوشش کرتا ہے، لیکن B اسے اپنے بازوؤں سے روکتا ہے۔ فالو اپ کرنے کے لیے A کے لیے بہترین اقدام کیا ہے؟")</f>
        <v>پہلوان A B کے درمیانی حصے پر گھٹنے مارنے کی کوشش کرتا ہے، لیکن B اسے اپنے بازوؤں سے روکتا ہے۔ فالو اپ کرنے کے لیے A کے لیے بہترین اقدام کیا ہے؟</v>
      </c>
      <c r="M134" s="6" t="str">
        <f>IFERROR(__xludf.DUMMYFUNCTION("GOOGLETRANSLATE(C134, ""en"", ""ur"")"),"A) ہیڈلاک کی کوشش کریں، B) فوری سپلیکس کے لیے جائیں، C) B کے سر پر گھٹنے لگائیں، D) پیچھے ہٹیں اور توازن بحال کریں")</f>
        <v>A) ہیڈلاک کی کوشش کریں، B) فوری سپلیکس کے لیے جائیں، C) B کے سر پر گھٹنے لگائیں، D) پیچھے ہٹیں اور توازن بحال کریں</v>
      </c>
      <c r="N134" s="6" t="str">
        <f>IFERROR(__xludf.DUMMYFUNCTION("GOOGLETRANSLATE(D134, ""en"", ""ur"")"),"ب) ایک فوری suplex کے لئے جاؤ")</f>
        <v>ب) ایک فوری suplex کے لئے جاؤ</v>
      </c>
      <c r="O134" s="6" t="str">
        <f>IFERROR(__xludf.DUMMYFUNCTION("GOOGLETRANSLATE(E134, ""en"", ""ur"")"),"B گھٹنے کی ہڑتال کو روکنے کے بعد، A ایک suplex میں منتقل ہو سکتا ہے، B کو نیچے لانے کے لیے رفتار کا استعمال کر سکتا ہے۔")</f>
        <v>B گھٹنے کی ہڑتال کو روکنے کے بعد، A ایک suplex میں منتقل ہو سکتا ہے، B کو نیچے لانے کے لیے رفتار کا استعمال کر سکتا ہے۔</v>
      </c>
    </row>
    <row r="135">
      <c r="A135" s="4">
        <v>134.0</v>
      </c>
      <c r="B135" s="5" t="s">
        <v>445</v>
      </c>
      <c r="C135" s="5" t="s">
        <v>446</v>
      </c>
      <c r="D135" s="5" t="s">
        <v>447</v>
      </c>
      <c r="E135" s="5" t="s">
        <v>448</v>
      </c>
      <c r="K135" s="6" t="str">
        <f>IFERROR(__xludf.DUMMYFUNCTION("GOOGLETRANSLATE(A135, ""en"", ""ur"")"),"134")</f>
        <v>134</v>
      </c>
      <c r="L135" s="6" t="str">
        <f>IFERROR(__xludf.DUMMYFUNCTION("GOOGLETRANSLATE(B135, ""en"", ""ur"")"),"ملاکھرا میچ کے دوران، ریسلر اے بی کو زمین پر پھینکنے کے لیے ایک طاقتور بازو ڈریگ کا استعمال کرتا ہے۔ کنٹرول دوبارہ حاصل کرنے کے لیے B کا بہترین جواب کیا ہے؟")</f>
        <v>ملاکھرا میچ کے دوران، ریسلر اے بی کو زمین پر پھینکنے کے لیے ایک طاقتور بازو ڈریگ کا استعمال کرتا ہے۔ کنٹرول دوبارہ حاصل کرنے کے لیے B کا بہترین جواب کیا ہے؟</v>
      </c>
      <c r="M135" s="6" t="str">
        <f>IFERROR(__xludf.DUMMYFUNCTION("GOOGLETRANSLATE(C135, ""en"", ""ur"")"),"A) ایک رول اپ پن کی کوشش کریں، B) جلدی سے اس کے پیروں تک پہنچیں اور دوبارہ سیٹ کریں، C) ہیڈ لاک آزمائیں، D) ٹھیک ہونے کے لیے نیچے رہیں")</f>
        <v>A) ایک رول اپ پن کی کوشش کریں، B) جلدی سے اس کے پیروں تک پہنچیں اور دوبارہ سیٹ کریں، C) ہیڈ لاک آزمائیں، D) ٹھیک ہونے کے لیے نیچے رہیں</v>
      </c>
      <c r="N135" s="6" t="str">
        <f>IFERROR(__xludf.DUMMYFUNCTION("GOOGLETRANSLATE(D135, ""en"", ""ur"")"),"ب) جلدی سے اپنے پیروں تک پہنچیں اور دوبارہ سیٹ کریں۔")</f>
        <v>ب) جلدی سے اپنے پیروں تک پہنچیں اور دوبارہ سیٹ کریں۔</v>
      </c>
      <c r="O135" s="6" t="str">
        <f>IFERROR(__xludf.DUMMYFUNCTION("GOOGLETRANSLATE(E135, ""en"", ""ur"")"),"اپنے قدموں کو دوبارہ حاصل کرنا اور دوبارہ ترتیب دینا B کو میچ میں رہنے اور اپنے اگلے اقدام کی منصوبہ بندی کرنے کی اجازت دیتا ہے۔")</f>
        <v>اپنے قدموں کو دوبارہ حاصل کرنا اور دوبارہ ترتیب دینا B کو میچ میں رہنے اور اپنے اگلے اقدام کی منصوبہ بندی کرنے کی اجازت دیتا ہے۔</v>
      </c>
    </row>
    <row r="136">
      <c r="A136" s="4">
        <v>135.0</v>
      </c>
      <c r="B136" s="5" t="s">
        <v>449</v>
      </c>
      <c r="C136" s="5" t="s">
        <v>450</v>
      </c>
      <c r="D136" s="5" t="s">
        <v>451</v>
      </c>
      <c r="E136" s="5" t="s">
        <v>452</v>
      </c>
      <c r="K136" s="6" t="str">
        <f>IFERROR(__xludf.DUMMYFUNCTION("GOOGLETRANSLATE(A136, ""en"", ""ur"")"),"135")</f>
        <v>135</v>
      </c>
      <c r="L136" s="6" t="str">
        <f>IFERROR(__xludf.DUMMYFUNCTION("GOOGLETRANSLATE(B136, ""en"", ""ur"")"),"پہلوان A کے گلے میں B ہے، لیکن B A کو اٹھانے کے لئے اپنی طاقت کا استعمال کرتے ہوئے مقابلہ کرتا ہے۔ B ممکنہ طور پر آگے کیا اقدام کرے گا؟")</f>
        <v>پہلوان A کے گلے میں B ہے، لیکن B A کو اٹھانے کے لئے اپنی طاقت کا استعمال کرتے ہوئے مقابلہ کرتا ہے۔ B ممکنہ طور پر آگے کیا اقدام کرے گا؟</v>
      </c>
      <c r="M136" s="6" t="str">
        <f>IFERROR(__xludf.DUMMYFUNCTION("GOOGLETRANSLATE(C136, ""en"", ""ur"")"),"A) پاور بم، B) DDT، C) Armbar، D) ٹانگوں میں جھاڑو")</f>
        <v>A) پاور بم، B) DDT، C) Armbar، D) ٹانگوں میں جھاڑو</v>
      </c>
      <c r="N136" s="6" t="str">
        <f>IFERROR(__xludf.DUMMYFUNCTION("GOOGLETRANSLATE(D136, ""en"", ""ur"")"),"A) پاور بم")</f>
        <v>A) پاور بم</v>
      </c>
      <c r="O136" s="6" t="str">
        <f>IFERROR(__xludf.DUMMYFUNCTION("GOOGLETRANSLATE(E136, ""en"", ""ur"")"),"A کو چوک ہولڈ سے اٹھانے سے پتہ چلتا ہے کہ B پاور بم کو چلانے کے موقع کا استعمال کر سکتا ہے۔")</f>
        <v>A کو چوک ہولڈ سے اٹھانے سے پتہ چلتا ہے کہ B پاور بم کو چلانے کے موقع کا استعمال کر سکتا ہے۔</v>
      </c>
    </row>
    <row r="137">
      <c r="A137" s="4">
        <v>136.0</v>
      </c>
      <c r="B137" s="5" t="s">
        <v>453</v>
      </c>
      <c r="C137" s="5" t="s">
        <v>454</v>
      </c>
      <c r="D137" s="5" t="s">
        <v>455</v>
      </c>
      <c r="E137" s="5" t="s">
        <v>456</v>
      </c>
      <c r="K137" s="6" t="str">
        <f>IFERROR(__xludf.DUMMYFUNCTION("GOOGLETRANSLATE(A137, ""en"", ""ur"")"),"136")</f>
        <v>136</v>
      </c>
      <c r="L137" s="6" t="str">
        <f>IFERROR(__xludf.DUMMYFUNCTION("GOOGLETRANSLATE(B137, ""en"", ""ur"")"),"ملاکھڑا میچ میں، دونوں پہلوان A اور B رسیوں کے قریب لڑ رہے ہیں۔ ایک باڈی سلیم کو انجام دینے کے لیے بیعانہ کے لیے رسیوں کو پکڑتا ہے۔ فرار ہونے کے لیے B کی بہترین حکمت عملی کیا ہے؟")</f>
        <v>ملاکھڑا میچ میں، دونوں پہلوان A اور B رسیوں کے قریب لڑ رہے ہیں۔ ایک باڈی سلیم کو انجام دینے کے لیے بیعانہ کے لیے رسیوں کو پکڑتا ہے۔ فرار ہونے کے لیے B کی بہترین حکمت عملی کیا ہے؟</v>
      </c>
      <c r="M137" s="6" t="str">
        <f>IFERROR(__xludf.DUMMYFUNCTION("GOOGLETRANSLATE(C137, ""en"", ""ur"")"),"A) رسی کی مدد سے کاؤنٹر کا استعمال کریں، B) جمع کرانے کی کوشش کریں، C) کک کے ساتھ بطخ اور کاؤنٹر، D) A کی ٹانگ کو اس کے نیچے سے کھینچیں")</f>
        <v>A) رسی کی مدد سے کاؤنٹر کا استعمال کریں، B) جمع کرانے کی کوشش کریں، C) کک کے ساتھ بطخ اور کاؤنٹر، D) A کی ٹانگ کو اس کے نیچے سے کھینچیں</v>
      </c>
      <c r="N137" s="6" t="str">
        <f>IFERROR(__xludf.DUMMYFUNCTION("GOOGLETRANSLATE(D137, ""en"", ""ur"")"),"D) A کی ٹانگ کو اس کے نیچے سے باہر نکالیں۔")</f>
        <v>D) A کی ٹانگ کو اس کے نیچے سے باہر نکالیں۔</v>
      </c>
      <c r="O137" s="6" t="str">
        <f>IFERROR(__xludf.DUMMYFUNCTION("GOOGLETRANSLATE(E137, ""en"", ""ur"")"),"A کی ٹانگ کو اس کے نیچے سے کھینچنا حرکت کو غیر مستحکم کرے گا اور B کو مقابلہ کرنے کا موقع دے گا۔")</f>
        <v>A کی ٹانگ کو اس کے نیچے سے کھینچنا حرکت کو غیر مستحکم کرے گا اور B کو مقابلہ کرنے کا موقع دے گا۔</v>
      </c>
    </row>
    <row r="138">
      <c r="A138" s="4">
        <v>137.0</v>
      </c>
      <c r="B138" s="5" t="s">
        <v>457</v>
      </c>
      <c r="C138" s="5" t="s">
        <v>458</v>
      </c>
      <c r="D138" s="5" t="s">
        <v>459</v>
      </c>
      <c r="E138" s="5" t="s">
        <v>460</v>
      </c>
      <c r="K138" s="6" t="str">
        <f>IFERROR(__xludf.DUMMYFUNCTION("GOOGLETRANSLATE(A138, ""en"", ""ur"")"),"137")</f>
        <v>137</v>
      </c>
      <c r="L138" s="6" t="str">
        <f>IFERROR(__xludf.DUMMYFUNCTION("GOOGLETRANSLATE(B138, ""en"", ""ur"")"),"پہلوان A کے ہیڈ لاک میں B ہے، لیکن B A کو دور کرنے کے لئے اپنے گھٹنوں کا استعمال کرنا شروع کر دیتا ہے۔ A کے لیے سب سے مؤثر فالو اپ کیا ہے؟")</f>
        <v>پہلوان A کے ہیڈ لاک میں B ہے، لیکن B A کو دور کرنے کے لئے اپنے گھٹنوں کا استعمال کرنا شروع کر دیتا ہے۔ A کے لیے سب سے مؤثر فالو اپ کیا ہے؟</v>
      </c>
      <c r="M138" s="6" t="str">
        <f>IFERROR(__xludf.DUMMYFUNCTION("GOOGLETRANSLATE(C138, ""en"", ""ur"")"),"A) باڈی سلیم میں منتقلی، B) سلیپر ہولڈ لگائیں، C) فوری پن کی کوشش کریں، D) ہولڈ کو چھوڑیں اور دوسری حکمت عملی پر جائیں")</f>
        <v>A) باڈی سلیم میں منتقلی، B) سلیپر ہولڈ لگائیں، C) فوری پن کی کوشش کریں، D) ہولڈ کو چھوڑیں اور دوسری حکمت عملی پر جائیں</v>
      </c>
      <c r="N138" s="6" t="str">
        <f>IFERROR(__xludf.DUMMYFUNCTION("GOOGLETRANSLATE(D138, ""en"", ""ur"")"),"A) باڈی سلیم میں منتقلی۔")</f>
        <v>A) باڈی سلیم میں منتقلی۔</v>
      </c>
      <c r="O138" s="6" t="str">
        <f>IFERROR(__xludf.DUMMYFUNCTION("GOOGLETRANSLATE(E138, ""en"", ""ur"")"),"B کے دور دھکیلنے کی کوشش کرنے کے بعد باڈی سلیم کا استعمال دوبارہ کنٹرول حاصل کرنے کا ایک مؤثر طریقہ ہے۔")</f>
        <v>B کے دور دھکیلنے کی کوشش کرنے کے بعد باڈی سلیم کا استعمال دوبارہ کنٹرول حاصل کرنے کا ایک مؤثر طریقہ ہے۔</v>
      </c>
    </row>
    <row r="139">
      <c r="A139" s="4">
        <v>138.0</v>
      </c>
      <c r="B139" s="5" t="s">
        <v>461</v>
      </c>
      <c r="C139" s="5" t="s">
        <v>462</v>
      </c>
      <c r="D139" s="5" t="s">
        <v>463</v>
      </c>
      <c r="E139" s="5" t="s">
        <v>464</v>
      </c>
      <c r="K139" s="6" t="str">
        <f>IFERROR(__xludf.DUMMYFUNCTION("GOOGLETRANSLATE(A139, ""en"", ""ur"")"),"138")</f>
        <v>138</v>
      </c>
      <c r="L139" s="6" t="str">
        <f>IFERROR(__xludf.DUMMYFUNCTION("GOOGLETRANSLATE(B139, ""en"", ""ur"")"),"ملاکھڑا میچ کے دوران، ریسلر A ایک سپلیکس پرفارم کر رہا ہے لیکن غلطی سے B پر گرفت کھو دیتا ہے۔ B کے پاس اس سے فائدہ اٹھانے کا بہترین طریقہ کیا ہے؟")</f>
        <v>ملاکھڑا میچ کے دوران، ریسلر A ایک سپلیکس پرفارم کر رہا ہے لیکن غلطی سے B پر گرفت کھو دیتا ہے۔ B کے پاس اس سے فائدہ اٹھانے کا بہترین طریقہ کیا ہے؟</v>
      </c>
      <c r="M139" s="6" t="str">
        <f>IFERROR(__xludf.DUMMYFUNCTION("GOOGLETRANSLATE(C139, ""en"", ""ur"")"),"A) جوابی سلیم کی کوشش کریں، B) بیک بریکر میں حرکت کو ریورس کریں، C) کاؤنٹر کے ساتھ مدد کرنے کے لئے رسیوں کو پکڑیں، D) ٹانگ لاک کو تیزی سے آزمائیں")</f>
        <v>A) جوابی سلیم کی کوشش کریں، B) بیک بریکر میں حرکت کو ریورس کریں، C) کاؤنٹر کے ساتھ مدد کرنے کے لئے رسیوں کو پکڑیں، D) ٹانگ لاک کو تیزی سے آزمائیں</v>
      </c>
      <c r="N139" s="6" t="str">
        <f>IFERROR(__xludf.DUMMYFUNCTION("GOOGLETRANSLATE(D139, ""en"", ""ur"")"),"A) جوابی سلیم کی کوشش کریں۔")</f>
        <v>A) جوابی سلیم کی کوشش کریں۔</v>
      </c>
      <c r="O139" s="6" t="str">
        <f>IFERROR(__xludf.DUMMYFUNCTION("GOOGLETRANSLATE(E139, ""en"", ""ur"")"),"B جوابی سلیم کی کوشش کر کے A کی گرفت میں کمی کا فائدہ اٹھا سکتا ہے جبکہ A توازن سے باہر ہے۔")</f>
        <v>B جوابی سلیم کی کوشش کر کے A کی گرفت میں کمی کا فائدہ اٹھا سکتا ہے جبکہ A توازن سے باہر ہے۔</v>
      </c>
    </row>
    <row r="140">
      <c r="A140" s="4">
        <v>139.0</v>
      </c>
      <c r="B140" s="5" t="s">
        <v>465</v>
      </c>
      <c r="C140" s="5" t="s">
        <v>466</v>
      </c>
      <c r="D140" s="5" t="s">
        <v>467</v>
      </c>
      <c r="E140" s="5" t="s">
        <v>468</v>
      </c>
      <c r="K140" s="6" t="str">
        <f>IFERROR(__xludf.DUMMYFUNCTION("GOOGLETRANSLATE(A140, ""en"", ""ur"")"),"139")</f>
        <v>139</v>
      </c>
      <c r="L140" s="6" t="str">
        <f>IFERROR(__xludf.DUMMYFUNCTION("GOOGLETRANSLATE(B140, ""en"", ""ur"")"),"ریسلر A نے کامیابی سے کھڑے مونسالٹ کو انجام دیا۔ تاہم، B وقت کے ساتھ ہی دور ہونے کا انتظام کرتا ہے۔ A کو آگے کیا کرنا چاہیے؟")</f>
        <v>ریسلر A نے کامیابی سے کھڑے مونسالٹ کو انجام دیا۔ تاہم، B وقت کے ساتھ ہی دور ہونے کا انتظام کرتا ہے۔ A کو آگے کیا کرنا چاہیے؟</v>
      </c>
      <c r="M140" s="6" t="str">
        <f>IFERROR(__xludf.DUMMYFUNCTION("GOOGLETRANSLATE(C140, ""en"", ""ur"")"),"A) دوبارہ ترتیب دیں اور ایک مختلف اقدام کی کوشش کریں، B) پن کے لیے جائیں، C) جمع کرانے کے ہولڈ کے ساتھ جاری رکھیں، D) اڑتی ہوئی کہنی کی کوشش کریں")</f>
        <v>A) دوبارہ ترتیب دیں اور ایک مختلف اقدام کی کوشش کریں، B) پن کے لیے جائیں، C) جمع کرانے کے ہولڈ کے ساتھ جاری رکھیں، D) اڑتی ہوئی کہنی کی کوشش کریں</v>
      </c>
      <c r="N140" s="6" t="str">
        <f>IFERROR(__xludf.DUMMYFUNCTION("GOOGLETRANSLATE(D140, ""en"", ""ur"")"),"A) دوبارہ ترتیب دیں اور ایک مختلف اقدام کی کوشش کریں۔")</f>
        <v>A) دوبارہ ترتیب دیں اور ایک مختلف اقدام کی کوشش کریں۔</v>
      </c>
      <c r="O140" s="6" t="str">
        <f>IFERROR(__xludf.DUMMYFUNCTION("GOOGLETRANSLATE(E140, ""en"", ""ur"")"),"چونکہ A نے مونسالٹ کو کھو دیا ہے، اس لیے دوبارہ ترتیب دینے سے A کو ایک نئے انداز کی منصوبہ بندی کرنے کی اجازت ملتی ہے۔")</f>
        <v>چونکہ A نے مونسالٹ کو کھو دیا ہے، اس لیے دوبارہ ترتیب دینے سے A کو ایک نئے انداز کی منصوبہ بندی کرنے کی اجازت ملتی ہے۔</v>
      </c>
    </row>
    <row r="141">
      <c r="A141" s="4">
        <v>140.0</v>
      </c>
      <c r="B141" s="5" t="s">
        <v>469</v>
      </c>
      <c r="C141" s="5" t="s">
        <v>470</v>
      </c>
      <c r="D141" s="5" t="s">
        <v>471</v>
      </c>
      <c r="E141" s="5" t="s">
        <v>472</v>
      </c>
      <c r="K141" s="6" t="str">
        <f>IFERROR(__xludf.DUMMYFUNCTION("GOOGLETRANSLATE(A141, ""en"", ""ur"")"),"140")</f>
        <v>140</v>
      </c>
      <c r="L141" s="6" t="str">
        <f>IFERROR(__xludf.DUMMYFUNCTION("GOOGLETRANSLATE(B141, ""en"", ""ur"")"),"ریسلر A ایک کامیاب بیک بریکر کو پھانسی دیتا ہے، لیکن B نیچے نہیں رہتا اور رنگ کے کونے تک جاتا ہے۔ A کا بہترین آپشن کیا ہے؟")</f>
        <v>ریسلر A ایک کامیاب بیک بریکر کو پھانسی دیتا ہے، لیکن B نیچے نہیں رہتا اور رنگ کے کونے تک جاتا ہے۔ A کا بہترین آپشن کیا ہے؟</v>
      </c>
      <c r="M141" s="6" t="str">
        <f>IFERROR(__xludf.DUMMYFUNCTION("GOOGLETRANSLATE(C141, ""en"", ""ur"")"),"A) B کے صحت یاب ہونے کا انتظار کریں اور دوبارہ حملہ کریں، B) B کو کونے میں فالو کریں اور دباؤ ڈالیں، C) اوپری رسی سے غوطہ لگانے کی کوشش کریں، D) پن B")</f>
        <v>A) B کے صحت یاب ہونے کا انتظار کریں اور دوبارہ حملہ کریں، B) B کو کونے میں فالو کریں اور دباؤ ڈالیں، C) اوپری رسی سے غوطہ لگانے کی کوشش کریں، D) پن B</v>
      </c>
      <c r="N141" s="6" t="str">
        <f>IFERROR(__xludf.DUMMYFUNCTION("GOOGLETRANSLATE(D141, ""en"", ""ur"")"),"B) کونے میں B کی پیروی کریں اور دباؤ لگائیں۔")</f>
        <v>B) کونے میں B کی پیروی کریں اور دباؤ لگائیں۔</v>
      </c>
      <c r="O141" s="6" t="str">
        <f>IFERROR(__xludf.DUMMYFUNCTION("GOOGLETRANSLATE(E141, ""en"", ""ur"")"),"B کو کونے میں فالو کرکے، A مزید دباؤ ڈال کر میچ کو کنٹرول کرنا جاری رکھ سکتا ہے۔")</f>
        <v>B کو کونے میں فالو کرکے، A مزید دباؤ ڈال کر میچ کو کنٹرول کرنا جاری رکھ سکتا ہے۔</v>
      </c>
    </row>
    <row r="142">
      <c r="A142" s="4">
        <v>141.0</v>
      </c>
      <c r="B142" s="5" t="s">
        <v>473</v>
      </c>
      <c r="C142" s="5" t="s">
        <v>474</v>
      </c>
      <c r="D142" s="5" t="s">
        <v>475</v>
      </c>
      <c r="E142" s="5" t="s">
        <v>476</v>
      </c>
      <c r="K142" s="6" t="str">
        <f>IFERROR(__xludf.DUMMYFUNCTION("GOOGLETRANSLATE(A142, ""en"", ""ur"")"),"141")</f>
        <v>141</v>
      </c>
      <c r="L142" s="6" t="str">
        <f>IFERROR(__xludf.DUMMYFUNCTION("GOOGLETRANSLATE(B142, ""en"", ""ur"")"),"ریسلر A اسٹینڈنگ جمع کرانے کی کوشش کر رہا ہے، لیکن B فوری رول اپ پن انجام دینے کا انتظام کرتا ہے۔ فرار ہونے کے لیے آگے کیا کرنا چاہیے؟")</f>
        <v>ریسلر A اسٹینڈنگ جمع کرانے کی کوشش کر رہا ہے، لیکن B فوری رول اپ پن انجام دینے کا انتظام کرتا ہے۔ فرار ہونے کے لیے آگے کیا کرنا چاہیے؟</v>
      </c>
      <c r="M142" s="6" t="str">
        <f>IFERROR(__xludf.DUMMYFUNCTION("GOOGLETRANSLATE(C142, ""en"", ""ur"")"),"A) پن کو توڑنے کے لئے رسیوں کا استعمال کریں، B) B کو اٹھا کر پن کی کوشش کو ریورس کریں، C) بازو کے ساتھ پیچھے ہٹیں اور کاونٹر کریں، D) نیچے رہیں اور ڈرا کی امید کریں۔")</f>
        <v>A) پن کو توڑنے کے لئے رسیوں کا استعمال کریں، B) B کو اٹھا کر پن کی کوشش کو ریورس کریں، C) بازو کے ساتھ پیچھے ہٹیں اور کاونٹر کریں، D) نیچے رہیں اور ڈرا کی امید کریں۔</v>
      </c>
      <c r="N142" s="6" t="str">
        <f>IFERROR(__xludf.DUMMYFUNCTION("GOOGLETRANSLATE(D142, ""en"", ""ur"")"),"B) B کو اٹھا کر پن کی کوشش کو ریورس کریں۔")</f>
        <v>B) B کو اٹھا کر پن کی کوشش کو ریورس کریں۔</v>
      </c>
      <c r="O142" s="6" t="str">
        <f>IFERROR(__xludf.DUMMYFUNCTION("GOOGLETRANSLATE(E142, ""en"", ""ur"")"),"پن کی کوشش سے B کو اٹھانا A کو فرار ہونے اور دوبارہ کنٹرول میں منتقلی کی اجازت دیتا ہے۔")</f>
        <v>پن کی کوشش سے B کو اٹھانا A کو فرار ہونے اور دوبارہ کنٹرول میں منتقلی کی اجازت دیتا ہے۔</v>
      </c>
    </row>
    <row r="143">
      <c r="A143" s="4">
        <v>142.0</v>
      </c>
      <c r="B143" s="5" t="s">
        <v>477</v>
      </c>
      <c r="C143" s="5" t="s">
        <v>478</v>
      </c>
      <c r="D143" s="5" t="s">
        <v>479</v>
      </c>
      <c r="E143" s="5" t="s">
        <v>480</v>
      </c>
      <c r="K143" s="6" t="str">
        <f>IFERROR(__xludf.DUMMYFUNCTION("GOOGLETRANSLATE(A143, ""en"", ""ur"")"),"142")</f>
        <v>142</v>
      </c>
      <c r="L143" s="6" t="str">
        <f>IFERROR(__xludf.DUMMYFUNCTION("GOOGLETRANSLATE(B143, ""en"", ""ur"")"),"ملاکھرا کے ایک میچ میں، ریسلر A نے گھٹنے پر حملہ کرنے کی کوشش کی، لیکن B کندھے کے بلاک کے ساتھ مقابلہ کرتا ہے۔ سب سے زیادہ ممکنہ نتیجہ کیا ہے؟")</f>
        <v>ملاکھرا کے ایک میچ میں، ریسلر A نے گھٹنے پر حملہ کرنے کی کوشش کی، لیکن B کندھے کے بلاک کے ساتھ مقابلہ کرتا ہے۔ سب سے زیادہ ممکنہ نتیجہ کیا ہے؟</v>
      </c>
      <c r="M143" s="6" t="str">
        <f>IFERROR(__xludf.DUMMYFUNCTION("GOOGLETRANSLATE(C143, ""en"", ""ur"")"),"A) A کو ناک آؤٹ کر دیا گیا، B) B مضبوط کاؤنٹر کے ساتھ فائدہ حاصل کرتا ہے، C) A حملہ جاری رکھتا ہے، D) میچ کو ٹائم آؤٹ کے لیے بلایا جاتا ہے۔")</f>
        <v>A) A کو ناک آؤٹ کر دیا گیا، B) B مضبوط کاؤنٹر کے ساتھ فائدہ حاصل کرتا ہے، C) A حملہ جاری رکھتا ہے، D) میچ کو ٹائم آؤٹ کے لیے بلایا جاتا ہے۔</v>
      </c>
      <c r="N143" s="6" t="str">
        <f>IFERROR(__xludf.DUMMYFUNCTION("GOOGLETRANSLATE(D143, ""en"", ""ur"")"),"B) B ایک مضبوط کاؤنٹر کے ساتھ فائدہ حاصل کرتا ہے۔")</f>
        <v>B) B ایک مضبوط کاؤنٹر کے ساتھ فائدہ حاصل کرتا ہے۔</v>
      </c>
      <c r="O143" s="6" t="str">
        <f>IFERROR(__xludf.DUMMYFUNCTION("GOOGLETRANSLATE(E143, ""en"", ""ur"")"),"کندھے کا بلاک ایک مضبوط کاؤنٹر ہے، جو A کے گھٹنے کی اڑان سے محروم ہونے کے بعد B کو کنٹرول کرنے دیتا ہے۔")</f>
        <v>کندھے کا بلاک ایک مضبوط کاؤنٹر ہے، جو A کے گھٹنے کی اڑان سے محروم ہونے کے بعد B کو کنٹرول کرنے دیتا ہے۔</v>
      </c>
    </row>
    <row r="144">
      <c r="A144" s="4">
        <v>143.0</v>
      </c>
      <c r="B144" s="5" t="s">
        <v>481</v>
      </c>
      <c r="C144" s="5" t="s">
        <v>482</v>
      </c>
      <c r="D144" s="5" t="s">
        <v>483</v>
      </c>
      <c r="E144" s="5" t="s">
        <v>484</v>
      </c>
      <c r="K144" s="6" t="str">
        <f>IFERROR(__xludf.DUMMYFUNCTION("GOOGLETRANSLATE(A144, ""en"", ""ur"")"),"143")</f>
        <v>143</v>
      </c>
      <c r="L144" s="6" t="str">
        <f>IFERROR(__xludf.DUMMYFUNCTION("GOOGLETRANSLATE(B144, ""en"", ""ur"")"),"ریسلر A جمع کرانے والے ہولڈ میں پھنس گیا ہے لیکن فائدہ اٹھانے کے لئے رسیوں تک پہنچنے کی کوشش کر رہا ہے۔ A کے لیے صحیح طریقہ کار کیا ہے؟")</f>
        <v>ریسلر A جمع کرانے والے ہولڈ میں پھنس گیا ہے لیکن فائدہ اٹھانے کے لئے رسیوں تک پہنچنے کی کوشش کر رہا ہے۔ A کے لیے صحیح طریقہ کار کیا ہے؟</v>
      </c>
      <c r="M144" s="6" t="str">
        <f>IFERROR(__xludf.DUMMYFUNCTION("GOOGLETRANSLATE(C144, ""en"", ""ur"")"),"A) رسیوں تک پہنچنے کے لیے جدوجہد جاری رکھیں، B) سگنل جمع کرانے کے لیے تھپتھپائیں، C) فرار ہونے کے لیے جوابی اقدام کا استعمال کریں، D) جمع کرانے کو پن میں تبدیل کرنے کی کوشش کریں۔")</f>
        <v>A) رسیوں تک پہنچنے کے لیے جدوجہد جاری رکھیں، B) سگنل جمع کرانے کے لیے تھپتھپائیں، C) فرار ہونے کے لیے جوابی اقدام کا استعمال کریں، D) جمع کرانے کو پن میں تبدیل کرنے کی کوشش کریں۔</v>
      </c>
      <c r="N144" s="6" t="str">
        <f>IFERROR(__xludf.DUMMYFUNCTION("GOOGLETRANSLATE(D144, ""en"", ""ur"")"),"ا) رسیوں تک پہنچنے کے لیے جدوجہد جاری رکھیں")</f>
        <v>ا) رسیوں تک پہنچنے کے لیے جدوجہد جاری رکھیں</v>
      </c>
      <c r="O144" s="6" t="str">
        <f>IFERROR(__xludf.DUMMYFUNCTION("GOOGLETRANSLATE(E144, ""en"", ""ur"")"),"ملاکھرا میں، اگر کوئی پہلوان رسیوں کے قریب ہے، تو اسے جمع کرنے سے بچنے کے لیے فائدہ اٹھانے کے لیے استعمال کرنے کی جدوجہد کرنی چاہیے۔")</f>
        <v>ملاکھرا میں، اگر کوئی پہلوان رسیوں کے قریب ہے، تو اسے جمع کرنے سے بچنے کے لیے فائدہ اٹھانے کے لیے استعمال کرنے کی جدوجہد کرنی چاہیے۔</v>
      </c>
    </row>
    <row r="145">
      <c r="A145" s="4">
        <v>144.0</v>
      </c>
      <c r="B145" s="5" t="s">
        <v>485</v>
      </c>
      <c r="C145" s="5" t="s">
        <v>486</v>
      </c>
      <c r="D145" s="5" t="s">
        <v>487</v>
      </c>
      <c r="E145" s="5" t="s">
        <v>488</v>
      </c>
      <c r="K145" s="6" t="str">
        <f>IFERROR(__xludf.DUMMYFUNCTION("GOOGLETRANSLATE(A145, ""en"", ""ur"")"),"144")</f>
        <v>144</v>
      </c>
      <c r="L145" s="6" t="str">
        <f>IFERROR(__xludf.DUMMYFUNCTION("GOOGLETRANSLATE(B145, ""en"", ""ur"")"),"پہلوان A ایک طاقتور پاور بم کی کوشش کرتا ہے، لیکن B اپنی ٹانگوں کو زمین سے دھکیلنے کے لیے استعمال کرتا ہے اور فرار ہو جاتا ہے۔ A کو آگے کیا کرنا چاہیے؟")</f>
        <v>پہلوان A ایک طاقتور پاور بم کی کوشش کرتا ہے، لیکن B اپنی ٹانگوں کو زمین سے دھکیلنے کے لیے استعمال کرتا ہے اور فرار ہو جاتا ہے۔ A کو آگے کیا کرنا چاہیے؟</v>
      </c>
      <c r="M145" s="6" t="str">
        <f>IFERROR(__xludf.DUMMYFUNCTION("GOOGLETRANSLATE(C145, ""en"", ""ur"")"),"A) ایک اور پاور بم کی کوشش کریں، B) فوری ٹانگ لاک کے لیے جائیں، C) B چھوڑیں اور ایک مختلف اقدام آزمائیں، D) B کے غلطی کرنے کا انتظار کریں۔")</f>
        <v>A) ایک اور پاور بم کی کوشش کریں، B) فوری ٹانگ لاک کے لیے جائیں، C) B چھوڑیں اور ایک مختلف اقدام آزمائیں، D) B کے غلطی کرنے کا انتظار کریں۔</v>
      </c>
      <c r="N145" s="6" t="str">
        <f>IFERROR(__xludf.DUMMYFUNCTION("GOOGLETRANSLATE(D145, ""en"", ""ur"")"),"C) B چھوڑیں اور ایک مختلف اقدام آزمائیں۔")</f>
        <v>C) B چھوڑیں اور ایک مختلف اقدام آزمائیں۔</v>
      </c>
      <c r="O145" s="6" t="str">
        <f>IFERROR(__xludf.DUMMYFUNCTION("GOOGLETRANSLATE(E145, ""en"", ""ur"")"),"B کے فرار ہونے کے بعد، A کو اسے چھوڑ دینا چاہیے اور اوپری ہاتھ کو برقرار رکھنے کے لیے حکمت عملی تبدیل کرنی چاہیے۔")</f>
        <v>B کے فرار ہونے کے بعد، A کو اسے چھوڑ دینا چاہیے اور اوپری ہاتھ کو برقرار رکھنے کے لیے حکمت عملی تبدیل کرنی چاہیے۔</v>
      </c>
    </row>
    <row r="146">
      <c r="A146" s="4">
        <v>145.0</v>
      </c>
      <c r="B146" s="5" t="s">
        <v>489</v>
      </c>
      <c r="C146" s="5" t="s">
        <v>490</v>
      </c>
      <c r="D146" s="5" t="s">
        <v>491</v>
      </c>
      <c r="E146" s="5" t="s">
        <v>492</v>
      </c>
      <c r="K146" s="6" t="str">
        <f>IFERROR(__xludf.DUMMYFUNCTION("GOOGLETRANSLATE(A146, ""en"", ""ur"")"),"145")</f>
        <v>145</v>
      </c>
      <c r="L146" s="6" t="str">
        <f>IFERROR(__xludf.DUMMYFUNCTION("GOOGLETRANSLATE(B146, ""en"", ""ur"")"),"ملاکھرا میچ کے دوران، ریسلر A نے ایک سپلیکس کو انجام دینے کی کوشش کی، لیکن B کا مقابلہ A کے پیچھے کھسک گیا۔ B کا اگلا اقدام کیا ہے؟")</f>
        <v>ملاکھرا میچ کے دوران، ریسلر A نے ایک سپلیکس کو انجام دینے کی کوشش کی، لیکن B کا مقابلہ A کے پیچھے کھسک گیا۔ B کا اگلا اقدام کیا ہے؟</v>
      </c>
      <c r="M146" s="6" t="str">
        <f>IFERROR(__xludf.DUMMYFUNCTION("GOOGLETRANSLATE(C146, ""en"", ""ur"")"),"A) ایک مکمل نیلسن لگائیں، B) ایک تیز تصویر بنائیں، C) بیک بریکر کی کوشش کریں، D) فوری پن کے لیے جائیں۔")</f>
        <v>A) ایک مکمل نیلسن لگائیں، B) ایک تیز تصویر بنائیں، C) بیک بریکر کی کوشش کریں، D) فوری پن کے لیے جائیں۔</v>
      </c>
      <c r="N146" s="6" t="str">
        <f>IFERROR(__xludf.DUMMYFUNCTION("GOOGLETRANSLATE(D146, ""en"", ""ur"")"),"A) مکمل نیلسن لگائیں۔")</f>
        <v>A) مکمل نیلسن لگائیں۔</v>
      </c>
      <c r="O146" s="6" t="str">
        <f>IFERROR(__xludf.DUMMYFUNCTION("GOOGLETRANSLATE(E146, ""en"", ""ur"")"),"A کے پیچھے پھسلنا ایک مکمل نیلسن ہولڈ لگانے کا موقع فراہم کرتا ہے، جو A کے اوپری جسم کو کنٹرول کر سکتا ہے۔")</f>
        <v>A کے پیچھے پھسلنا ایک مکمل نیلسن ہولڈ لگانے کا موقع فراہم کرتا ہے، جو A کے اوپری جسم کو کنٹرول کر سکتا ہے۔</v>
      </c>
    </row>
    <row r="147">
      <c r="A147" s="4">
        <v>146.0</v>
      </c>
      <c r="B147" s="5" t="s">
        <v>493</v>
      </c>
      <c r="C147" s="5" t="s">
        <v>494</v>
      </c>
      <c r="D147" s="5" t="s">
        <v>495</v>
      </c>
      <c r="E147" s="5" t="s">
        <v>496</v>
      </c>
      <c r="K147" s="6" t="str">
        <f>IFERROR(__xludf.DUMMYFUNCTION("GOOGLETRANSLATE(A147, ""en"", ""ur"")"),"146")</f>
        <v>146</v>
      </c>
      <c r="L147" s="6" t="str">
        <f>IFERROR(__xludf.DUMMYFUNCTION("GOOGLETRANSLATE(B147, ""en"", ""ur"")"),"پہلوان A سلام کے لیے B کو اٹھانے کی کوشش کر رہا ہے، لیکن B اپنے گھٹنوں کو A کے سر پر مارنے کے لیے استعمال کرتا ہے۔ حملے کو جاری رکھنے کے لیے A کا بہترین جواب کیا ہے؟")</f>
        <v>پہلوان A سلام کے لیے B کو اٹھانے کی کوشش کر رہا ہے، لیکن B اپنے گھٹنوں کو A کے سر پر مارنے کے لیے استعمال کرتا ہے۔ حملے کو جاری رکھنے کے لیے A کا بہترین جواب کیا ہے؟</v>
      </c>
      <c r="M147" s="6" t="str">
        <f>IFERROR(__xludf.DUMMYFUNCTION("GOOGLETRANSLATE(C147, ""en"", ""ur"")"),"A) B چھوڑیں اور باڈی سلم کی کوشش کریں، B) ایک تیز آرم بار پر عمل کریں، C) دوبارہ تسکین حاصل کریں اور دوسرے حملے کی کوشش کریں، D) جمع کرانے کے لیے جائیں۔")</f>
        <v>A) B چھوڑیں اور باڈی سلم کی کوشش کریں، B) ایک تیز آرم بار پر عمل کریں، C) دوبارہ تسکین حاصل کریں اور دوسرے حملے کی کوشش کریں، D) جمع کرانے کے لیے جائیں۔</v>
      </c>
      <c r="N147" s="6" t="str">
        <f>IFERROR(__xludf.DUMMYFUNCTION("GOOGLETRANSLATE(D147, ""en"", ""ur"")"),"C) تسلی حاصل کریں اور دوسرے حملے کی کوشش کریں۔")</f>
        <v>C) تسلی حاصل کریں اور دوسرے حملے کی کوشش کریں۔</v>
      </c>
      <c r="O147" s="6" t="str">
        <f>IFERROR(__xludf.DUMMYFUNCTION("GOOGLETRANSLATE(E147, ""en"", ""ur"")"),"مارے جانے کے بعد، A کو دوبارہ سکون حاصل کرنا چاہیے اور حملہ کرنے کے لیے ایک اور موقع تلاش کرنا چاہیے۔")</f>
        <v>مارے جانے کے بعد، A کو دوبارہ سکون حاصل کرنا چاہیے اور حملہ کرنے کے لیے ایک اور موقع تلاش کرنا چاہیے۔</v>
      </c>
    </row>
    <row r="148">
      <c r="A148" s="4">
        <v>147.0</v>
      </c>
      <c r="B148" s="5" t="s">
        <v>497</v>
      </c>
      <c r="C148" s="5" t="s">
        <v>498</v>
      </c>
      <c r="D148" s="5" t="s">
        <v>499</v>
      </c>
      <c r="E148" s="5" t="s">
        <v>500</v>
      </c>
      <c r="K148" s="6" t="str">
        <f>IFERROR(__xludf.DUMMYFUNCTION("GOOGLETRANSLATE(A148, ""en"", ""ur"")"),"147")</f>
        <v>147</v>
      </c>
      <c r="L148" s="6" t="str">
        <f>IFERROR(__xludf.DUMMYFUNCTION("GOOGLETRANSLATE(B148, ""en"", ""ur"")"),"پہلوان A B کے چارج سے بچنے کے لیے بیک فلپ کرتا ہے۔ تاہم، B A کو درمیانی ہوا میں پکڑتا ہے۔ B کو آگے کیا کرنا چاہیے؟")</f>
        <v>پہلوان A B کے چارج سے بچنے کے لیے بیک فلپ کرتا ہے۔ تاہم، B A کو درمیانی ہوا میں پکڑتا ہے۔ B کو آگے کیا کرنا چاہیے؟</v>
      </c>
      <c r="M148" s="6" t="str">
        <f>IFERROR(__xludf.DUMMYFUNCTION("GOOGLETRANSLATE(C148, ""en"", ""ur"")"),"A) پاور بم انجام دیں، B) جمع کرانے کی کوشش کریں، C) سلیم کی کوشش کریں، D) فوری پن کے لیے جائیں")</f>
        <v>A) پاور بم انجام دیں، B) جمع کرانے کی کوشش کریں، C) سلیم کی کوشش کریں، D) فوری پن کے لیے جائیں</v>
      </c>
      <c r="N148" s="6" t="str">
        <f>IFERROR(__xludf.DUMMYFUNCTION("GOOGLETRANSLATE(D148, ""en"", ""ur"")"),"A) پاور بم انجام دیں۔")</f>
        <v>A) پاور بم انجام دیں۔</v>
      </c>
      <c r="O148" s="6" t="str">
        <f>IFERROR(__xludf.DUMMYFUNCTION("GOOGLETRANSLATE(E148, ""en"", ""ur"")"),"درمیانی ہوا کو پکڑنا B کو پاور بم کو چلانے کا موقع فراہم کرتا ہے۔")</f>
        <v>درمیانی ہوا کو پکڑنا B کو پاور بم کو چلانے کا موقع فراہم کرتا ہے۔</v>
      </c>
    </row>
    <row r="149">
      <c r="A149" s="4">
        <v>148.0</v>
      </c>
      <c r="B149" s="5" t="s">
        <v>501</v>
      </c>
      <c r="C149" s="5" t="s">
        <v>502</v>
      </c>
      <c r="D149" s="5" t="s">
        <v>503</v>
      </c>
      <c r="E149" s="5" t="s">
        <v>504</v>
      </c>
      <c r="K149" s="6" t="str">
        <f>IFERROR(__xludf.DUMMYFUNCTION("GOOGLETRANSLATE(A149, ""en"", ""ur"")"),"148")</f>
        <v>148</v>
      </c>
      <c r="L149" s="6" t="str">
        <f>IFERROR(__xludf.DUMMYFUNCTION("GOOGLETRANSLATE(B149, ""en"", ""ur"")"),"ملاکھڑا کے میچ میں دونوں پہلوان تھکے ہوئے ہیں۔ ریسلر A اونچی اڑان بھرنے کی کوشش کرتا ہے، لیکن B مڈ سیکشن پر ایک مکے کے ساتھ مقابلہ کرتا ہے۔ A کا بہترین آپشن کیا ہے؟")</f>
        <v>ملاکھڑا کے میچ میں دونوں پہلوان تھکے ہوئے ہیں۔ ریسلر A اونچی اڑان بھرنے کی کوشش کرتا ہے، لیکن B مڈ سیکشن پر ایک مکے کے ساتھ مقابلہ کرتا ہے۔ A کا بہترین آپشن کیا ہے؟</v>
      </c>
      <c r="M149" s="6" t="str">
        <f>IFERROR(__xludf.DUMMYFUNCTION("GOOGLETRANSLATE(C149, ""en"", ""ur"")"),"A) ایک اور اونچی اڑان کی کوشش کریں، B) فوری جمع کرانے کی کوشش کریں، C) جواب دینے کی کوشش کریں، D) B کے غلطی کرنے کا انتظار کریں۔")</f>
        <v>A) ایک اور اونچی اڑان کی کوشش کریں، B) فوری جمع کرانے کی کوشش کریں، C) جواب دینے کی کوشش کریں، D) B کے غلطی کرنے کا انتظار کریں۔</v>
      </c>
      <c r="N149" s="6" t="str">
        <f>IFERROR(__xludf.DUMMYFUNCTION("GOOGLETRANSLATE(D149, ""en"", ""ur"")"),"ب) فوری جمع کرانے کے انعقاد کے لیے جائیں۔")</f>
        <v>ب) فوری جمع کرانے کے انعقاد کے لیے جائیں۔</v>
      </c>
      <c r="O149" s="6" t="str">
        <f>IFERROR(__xludf.DUMMYFUNCTION("GOOGLETRANSLATE(E149, ""en"", ""ur"")"),"درمیانی ہوا سے ٹکرانے کے بعد، A کنٹرول حاصل کرنے کے لیے جمع کرانے کے ہولڈ کے لیے جانے کا موقع استعمال کر سکتا ہے۔")</f>
        <v>درمیانی ہوا سے ٹکرانے کے بعد، A کنٹرول حاصل کرنے کے لیے جمع کرانے کے ہولڈ کے لیے جانے کا موقع استعمال کر سکتا ہے۔</v>
      </c>
    </row>
    <row r="150">
      <c r="A150" s="4">
        <v>149.0</v>
      </c>
      <c r="B150" s="5" t="s">
        <v>505</v>
      </c>
      <c r="C150" s="5" t="s">
        <v>506</v>
      </c>
      <c r="D150" s="5" t="s">
        <v>507</v>
      </c>
      <c r="E150" s="5" t="s">
        <v>508</v>
      </c>
      <c r="K150" s="6" t="str">
        <f>IFERROR(__xludf.DUMMYFUNCTION("GOOGLETRANSLATE(A150, ""en"", ""ur"")"),"149")</f>
        <v>149</v>
      </c>
      <c r="L150" s="6" t="str">
        <f>IFERROR(__xludf.DUMMYFUNCTION("GOOGLETRANSLATE(B150, ""en"", ""ur"")"),"ریسلر A DDT کو انجام دینے والا ہے، لیکن B اس اقدام کو ریورس کرنے کا انتظام کرتا ہے۔ الٹ جانے کے بعد B کا اگلا ممکنہ قدم کیا ہے؟")</f>
        <v>ریسلر A DDT کو انجام دینے والا ہے، لیکن B اس اقدام کو ریورس کرنے کا انتظام کرتا ہے۔ الٹ جانے کے بعد B کا اگلا ممکنہ قدم کیا ہے؟</v>
      </c>
      <c r="M150" s="6" t="str">
        <f>IFERROR(__xludf.DUMMYFUNCTION("GOOGLETRANSLATE(C150, ""en"", ""ur"")"),"A) ایک بیک بریکر کی کوشش کریں، B) پن کی کوشش کریں، C) ایک suplex انجام دیں، D) ایک ہیڈلاک کی کوشش کریں")</f>
        <v>A) ایک بیک بریکر کی کوشش کریں، B) پن کی کوشش کریں، C) ایک suplex انجام دیں، D) ایک ہیڈلاک کی کوشش کریں</v>
      </c>
      <c r="N150" s="6" t="str">
        <f>IFERROR(__xludf.DUMMYFUNCTION("GOOGLETRANSLATE(D150, ""en"", ""ur"")"),"C) ایک suplex انجام دیں")</f>
        <v>C) ایک suplex انجام دیں</v>
      </c>
      <c r="O150" s="6" t="str">
        <f>IFERROR(__xludf.DUMMYFUNCTION("GOOGLETRANSLATE(E150, ""en"", ""ur"")"),"ایک suplex ایک DDT کو ریورس کرنے، مخالف کو نیچے لانے کے دوران کنٹرول کو برقرار رکھنے کے لئے ایک قدرتی فالو اپ ہے۔")</f>
        <v>ایک suplex ایک DDT کو ریورس کرنے، مخالف کو نیچے لانے کے دوران کنٹرول کو برقرار رکھنے کے لئے ایک قدرتی فالو اپ ہے۔</v>
      </c>
    </row>
    <row r="151">
      <c r="A151" s="4">
        <v>150.0</v>
      </c>
      <c r="B151" s="5" t="s">
        <v>509</v>
      </c>
      <c r="C151" s="5" t="s">
        <v>510</v>
      </c>
      <c r="D151" s="5" t="s">
        <v>511</v>
      </c>
      <c r="E151" s="5" t="s">
        <v>512</v>
      </c>
      <c r="K151" s="6" t="str">
        <f>IFERROR(__xludf.DUMMYFUNCTION("GOOGLETRANSLATE(A151, ""en"", ""ur"")"),"150")</f>
        <v>150</v>
      </c>
      <c r="L151" s="6" t="str">
        <f>IFERROR(__xludf.DUMMYFUNCTION("GOOGLETRANSLATE(B151, ""en"", ""ur"")"),"پہلوان A کھڑے ریچھ کے گلے میں ہے، لیکن B اپنی کہنیوں کا استعمال کرتے ہوئے A کی پسلیوں پر حملہ کرتا ہے۔ کنٹرول دوبارہ حاصل کرنے کے لیے A کس اقدام کا استعمال کر سکتا ہے؟")</f>
        <v>پہلوان A کھڑے ریچھ کے گلے میں ہے، لیکن B اپنی کہنیوں کا استعمال کرتے ہوئے A کی پسلیوں پر حملہ کرتا ہے۔ کنٹرول دوبارہ حاصل کرنے کے لیے A کس اقدام کا استعمال کر سکتا ہے؟</v>
      </c>
      <c r="M151" s="6" t="str">
        <f>IFERROR(__xludf.DUMMYFUNCTION("GOOGLETRANSLATE(C151, ""en"", ""ur"")"),"A) سلیم میں منتقلی، B) ایک کک کے ساتھ ہولڈ اور کاؤنٹر کو چھوڑ دیں، C) بیک بریکر آزمائیں، D) پاور بم کے لئے B کو اٹھائیں")</f>
        <v>A) سلیم میں منتقلی، B) ایک کک کے ساتھ ہولڈ اور کاؤنٹر کو چھوڑ دیں، C) بیک بریکر آزمائیں، D) پاور بم کے لئے B کو اٹھائیں</v>
      </c>
      <c r="N151" s="6" t="str">
        <f>IFERROR(__xludf.DUMMYFUNCTION("GOOGLETRANSLATE(D151, ""en"", ""ur"")"),"A) سلیم میں منتقلی۔")</f>
        <v>A) سلیم میں منتقلی۔</v>
      </c>
      <c r="O151" s="6" t="str">
        <f>IFERROR(__xludf.DUMMYFUNCTION("GOOGLETRANSLATE(E151, ""en"", ""ur"")"),"سلیم پر منتقلی کے ذریعے، A ریچھ کے گلے کی رفتار کو B کو زمین پر لانے کے لیے استعمال کر سکتا ہے۔")</f>
        <v>سلیم پر منتقلی کے ذریعے، A ریچھ کے گلے کی رفتار کو B کو زمین پر لانے کے لیے استعمال کر سکتا ہے۔</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11" max="14" width="37.63"/>
  </cols>
  <sheetData>
    <row r="1">
      <c r="A1" s="1" t="s">
        <v>0</v>
      </c>
      <c r="B1" s="2" t="s">
        <v>1</v>
      </c>
      <c r="C1" s="2" t="s">
        <v>2</v>
      </c>
      <c r="D1" s="2" t="s">
        <v>3</v>
      </c>
      <c r="E1" s="2" t="s">
        <v>4</v>
      </c>
      <c r="J1" s="3" t="s">
        <v>5</v>
      </c>
      <c r="K1" s="3" t="s">
        <v>6</v>
      </c>
      <c r="L1" s="3" t="s">
        <v>7</v>
      </c>
      <c r="M1" s="3" t="s">
        <v>8</v>
      </c>
      <c r="N1" s="3" t="s">
        <v>9</v>
      </c>
    </row>
    <row r="2">
      <c r="A2" s="4">
        <v>1.0</v>
      </c>
      <c r="B2" s="5" t="s">
        <v>513</v>
      </c>
      <c r="C2" s="5" t="s">
        <v>514</v>
      </c>
      <c r="D2" s="5" t="s">
        <v>515</v>
      </c>
      <c r="E2" s="5" t="s">
        <v>516</v>
      </c>
      <c r="J2" s="6" t="str">
        <f>IFERROR(__xludf.DUMMYFUNCTION("GOOGLETRANSLATE(A2, ""en"", ""ur"")"),"1")</f>
        <v>1</v>
      </c>
      <c r="K2" s="6" t="str">
        <f>IFERROR(__xludf.DUMMYFUNCTION("GOOGLETRANSLATE(B2, ""en"", ""ur"")"),"ایک ابتدائی چال میں، آپ کے مخالف کی پاداٹی (پیادہ) d5 پر ہے۔ آپ کی پدتی c4 پر ہے۔ آپ کی پاداٹی کے لیے قانونی اقدام کیا ہے؟")</f>
        <v>ایک ابتدائی چال میں، آپ کے مخالف کی پاداٹی (پیادہ) d5 پر ہے۔ آپ کی پدتی c4 پر ہے۔ آپ کی پاداٹی کے لیے قانونی اقدام کیا ہے؟</v>
      </c>
      <c r="L2" s="6" t="str">
        <f>IFERROR(__xludf.DUMMYFUNCTION("GOOGLETRANSLATE(C2, ""en"", ""ur"")"),"A) c5 پر منتقل کریں، B) c6 پر جائیں، C) d5 پر پڈاٹی کو کیپچر کریں، D) d4 پر جائیں")</f>
        <v>A) c5 پر منتقل کریں، B) c6 پر جائیں، C) d5 پر پڈاٹی کو کیپچر کریں، D) d4 پر جائیں</v>
      </c>
      <c r="M2" s="6" t="str">
        <f>IFERROR(__xludf.DUMMYFUNCTION("GOOGLETRANSLATE(D2, ""en"", ""ur"")"),"C) d5 پر پڈاٹی کو پکڑیں۔")</f>
        <v>C) d5 پر پڈاٹی کو پکڑیں۔</v>
      </c>
      <c r="N2" s="6" t="str">
        <f>IFERROR(__xludf.DUMMYFUNCTION("GOOGLETRANSLATE(E2, ""en"", ""ur"")"),"پداٹی ایک مربع کو آگے بڑھاتا ہے لیکن ایک مربع کو ترچھا آگے لے جاتا ہے، بالکل ایک جدید پیادے کی طرح۔")</f>
        <v>پداٹی ایک مربع کو آگے بڑھاتا ہے لیکن ایک مربع کو ترچھا آگے لے جاتا ہے، بالکل ایک جدید پیادے کی طرح۔</v>
      </c>
    </row>
    <row r="3">
      <c r="A3" s="4">
        <v>2.0</v>
      </c>
      <c r="B3" s="5" t="s">
        <v>517</v>
      </c>
      <c r="C3" s="5" t="s">
        <v>518</v>
      </c>
      <c r="D3" s="5" t="s">
        <v>519</v>
      </c>
      <c r="E3" s="5" t="s">
        <v>520</v>
      </c>
      <c r="J3" s="6" t="str">
        <f>IFERROR(__xludf.DUMMYFUNCTION("GOOGLETRANSLATE(A3, ""en"", ""ur"")"),"2")</f>
        <v>2</v>
      </c>
      <c r="K3" s="6" t="str">
        <f>IFERROR(__xludf.DUMMYFUNCTION("GOOGLETRANSLATE(B3, ""en"", ""ur"")"),"دشمن ہاتھی (رتھ/روک) a8 پر ہے، اور تمہارا راجہ (بادشاہ) h8 پر ہے۔ ان کے درمیان آٹھویں رینک خالی ہے۔ حکمت عملی کی صورت حال کیا ہے؟")</f>
        <v>دشمن ہاتھی (رتھ/روک) a8 پر ہے، اور تمہارا راجہ (بادشاہ) h8 پر ہے۔ ان کے درمیان آٹھویں رینک خالی ہے۔ حکمت عملی کی صورت حال کیا ہے؟</v>
      </c>
      <c r="L3" s="6" t="str">
        <f>IFERROR(__xludf.DUMMYFUNCTION("GOOGLETRANSLATE(C3, ""en"", ""ur"")"),"A) آپ کا راجہ محفوظ ہے، B) آپ کا راجہ براہ راست حملے کی زد میں ہے اور اگلے اقدام پر اسے پکڑا جا سکتا ہے، C) ہاتھی کسی راجہ پر حملہ نہیں کر سکتا، D) راجہ ہاتھیوں کو پکڑ سکتا ہے۔")</f>
        <v>A) آپ کا راجہ محفوظ ہے، B) آپ کا راجہ براہ راست حملے کی زد میں ہے اور اگلے اقدام پر اسے پکڑا جا سکتا ہے، C) ہاتھی کسی راجہ پر حملہ نہیں کر سکتا، D) راجہ ہاتھیوں کو پکڑ سکتا ہے۔</v>
      </c>
      <c r="M3" s="6" t="str">
        <f>IFERROR(__xludf.DUMMYFUNCTION("GOOGLETRANSLATE(D3, ""en"", ""ur"")"),"ب) آپ کا راجہ براہ راست حملے کی زد میں ہے اور اگلے اقدام پر اسے پکڑا جا سکتا ہے۔")</f>
        <v>ب) آپ کا راجہ براہ راست حملے کی زد میں ہے اور اگلے اقدام پر اسے پکڑا جا سکتا ہے۔</v>
      </c>
      <c r="N3" s="6" t="str">
        <f>IFERROR(__xludf.DUMMYFUNCTION("GOOGLETRANSLATE(E3, ""en"", ""ur"")"),"ہتھی ایک جدید رو کی طرح حرکت کرتا ہے۔ واضح راستے کے ساتھ، یہ راجہ پر حملہ کرنے اور اسے پکڑنے کے لیے پورے بورڈ کو عبور کر سکتا ہے۔")</f>
        <v>ہتھی ایک جدید رو کی طرح حرکت کرتا ہے۔ واضح راستے کے ساتھ، یہ راجہ پر حملہ کرنے اور اسے پکڑنے کے لیے پورے بورڈ کو عبور کر سکتا ہے۔</v>
      </c>
    </row>
    <row r="4">
      <c r="A4" s="4">
        <v>3.0</v>
      </c>
      <c r="B4" s="5" t="s">
        <v>521</v>
      </c>
      <c r="C4" s="5" t="s">
        <v>522</v>
      </c>
      <c r="D4" s="5" t="s">
        <v>523</v>
      </c>
      <c r="E4" s="5" t="s">
        <v>524</v>
      </c>
      <c r="J4" s="6" t="str">
        <f>IFERROR(__xludf.DUMMYFUNCTION("GOOGLETRANSLATE(A4, ""en"", ""ur"")"),"3")</f>
        <v>3</v>
      </c>
      <c r="K4" s="6" t="str">
        <f>IFERROR(__xludf.DUMMYFUNCTION("GOOGLETRANSLATE(B4, ""en"", ""ur"")"),"آپ کا گجا (ہاتھی) c1 پر ہے۔ ایک دشمن پدتی d2 پر ہے، اور ایک دشمن اشوا (نائٹ) e3 پر ہے۔ گاجا اپنے اگلے اقدام پر قانونی طور پر کس ٹکڑے پر قبضہ کر سکتا ہے؟")</f>
        <v>آپ کا گجا (ہاتھی) c1 پر ہے۔ ایک دشمن پدتی d2 پر ہے، اور ایک دشمن اشوا (نائٹ) e3 پر ہے۔ گاجا اپنے اگلے اقدام پر قانونی طور پر کس ٹکڑے پر قبضہ کر سکتا ہے؟</v>
      </c>
      <c r="L4" s="6" t="str">
        <f>IFERROR(__xludf.DUMMYFUNCTION("GOOGLETRANSLATE(C4, ""en"", ""ur"")"),"A) d2 پر پداٹی، B) e3 پر اشوا، C) دونوں قانونی گرفتاریاں ہیں، D) نہ ہی قانونی گرفتاریاں ہیں")</f>
        <v>A) d2 پر پداٹی، B) e3 پر اشوا، C) دونوں قانونی گرفتاریاں ہیں، D) نہ ہی قانونی گرفتاریاں ہیں</v>
      </c>
      <c r="M4" s="6" t="str">
        <f>IFERROR(__xludf.DUMMYFUNCTION("GOOGLETRANSLATE(D4, ""en"", ""ur"")"),"ب) ای 3 پر اشوا")</f>
        <v>ب) ای 3 پر اشوا</v>
      </c>
      <c r="N4" s="6" t="str">
        <f>IFERROR(__xludf.DUMMYFUNCTION("GOOGLETRANSLATE(E4, ""en"", ""ur"")"),"گاجا بالکل دو چوکوں کو ترچھی چھلانگ لگاتا ہے، کسی بھی درمیانی ٹکڑے پر چھلانگ لگاتا ہے۔ e3 پر ٹکڑے کو کیپچر کرنے کے لیے یہ d2 پر چھلانگ لگائے گا۔")</f>
        <v>گاجا بالکل دو چوکوں کو ترچھی چھلانگ لگاتا ہے، کسی بھی درمیانی ٹکڑے پر چھلانگ لگاتا ہے۔ e3 پر ٹکڑے کو کیپچر کرنے کے لیے یہ d2 پر چھلانگ لگائے گا۔</v>
      </c>
    </row>
    <row r="5">
      <c r="A5" s="4">
        <v>4.0</v>
      </c>
      <c r="B5" s="5" t="s">
        <v>525</v>
      </c>
      <c r="C5" s="5" t="s">
        <v>526</v>
      </c>
      <c r="D5" s="5" t="s">
        <v>527</v>
      </c>
      <c r="E5" s="5" t="s">
        <v>528</v>
      </c>
      <c r="J5" s="6" t="str">
        <f>IFERROR(__xludf.DUMMYFUNCTION("GOOGLETRANSLATE(A5, ""en"", ""ur"")"),"4")</f>
        <v>4</v>
      </c>
      <c r="K5" s="6" t="str">
        <f>IFERROR(__xludf.DUMMYFUNCTION("GOOGLETRANSLATE(B5, ""en"", ""ur"")"),"آپ کا اشوا (گھوڑا/نائٹ) b1 پر ہے۔ A3 اور c3 مربعوں پر دشمن پاداٹیوں کا قبضہ ہے۔ ان میں سے کون سا قانونی اقدام ہے؟")</f>
        <v>آپ کا اشوا (گھوڑا/نائٹ) b1 پر ہے۔ A3 اور c3 مربعوں پر دشمن پاداٹیوں کا قبضہ ہے۔ ان میں سے کون سا قانونی اقدام ہے؟</v>
      </c>
      <c r="L5" s="6" t="str">
        <f>IFERROR(__xludf.DUMMYFUNCTION("GOOGLETRANSLATE(C5, ""en"", ""ur"")"),"A) a3 پر جائیں اور کیپچر کریں، B) c3 پر جائیں اور کیپچر کریں، C) D2 پر جائیں، D) مندرجہ بالا سبھی قانونی ہیں۔")</f>
        <v>A) a3 پر جائیں اور کیپچر کریں، B) c3 پر جائیں اور کیپچر کریں، C) D2 پر جائیں، D) مندرجہ بالا سبھی قانونی ہیں۔</v>
      </c>
      <c r="M5" s="6" t="str">
        <f>IFERROR(__xludf.DUMMYFUNCTION("GOOGLETRANSLATE(D5, ""en"", ""ur"")"),"D) مندرجہ بالا تمام قانونی ہیں۔")</f>
        <v>D) مندرجہ بالا تمام قانونی ہیں۔</v>
      </c>
      <c r="N5" s="6" t="str">
        <f>IFERROR(__xludf.DUMMYFUNCTION("GOOGLETRANSLATE(E5, ""en"", ""ur"")"),"اشوا ایک ""L"" شکل میں حرکت کرتا ہے اور اپنے راستے میں کسی بھی ٹکڑوں پر چھلانگ لگاتا ہے، تینوں حرکتوں کو درست بناتا ہے۔")</f>
        <v>اشوا ایک "L" شکل میں حرکت کرتا ہے اور اپنے راستے میں کسی بھی ٹکڑوں پر چھلانگ لگاتا ہے، تینوں حرکتوں کو درست بناتا ہے۔</v>
      </c>
    </row>
    <row r="6">
      <c r="A6" s="4">
        <v>5.0</v>
      </c>
      <c r="B6" s="5" t="s">
        <v>529</v>
      </c>
      <c r="C6" s="5" t="s">
        <v>530</v>
      </c>
      <c r="D6" s="5" t="s">
        <v>531</v>
      </c>
      <c r="E6" s="5" t="s">
        <v>532</v>
      </c>
      <c r="J6" s="6" t="str">
        <f>IFERROR(__xludf.DUMMYFUNCTION("GOOGLETRANSLATE(A6, ""en"", ""ur"")"),"5")</f>
        <v>5</v>
      </c>
      <c r="K6" s="6" t="str">
        <f>IFERROR(__xludf.DUMMYFUNCTION("GOOGLETRANSLATE(B6, ""en"", ""ur"")"),"آپ کا منتری (مشیر) d1 پر ہے، اور آپ کا راجہ e1 پر ہے۔ ایک دشمن ہاتھی e8 سے راجہ پر حملہ کرتا ہے۔ منتری کا واحد قانونی دفاعی اقدام کیا ہے؟")</f>
        <v>آپ کا منتری (مشیر) d1 پر ہے، اور آپ کا راجہ e1 پر ہے۔ ایک دشمن ہاتھی e8 سے راجہ پر حملہ کرتا ہے۔ منتری کا واحد قانونی دفاعی اقدام کیا ہے؟</v>
      </c>
      <c r="L6" s="6" t="str">
        <f>IFERROR(__xludf.DUMMYFUNCTION("GOOGLETRANSLATE(C6, ""en"", ""ur"")"),"A) یہ راجہ کا دفاع نہیں کر سکتا، B) حملے کو روکنے کے لیے e2 کی طرف بڑھیں، C) ہاتھیوں پر حملہ کرنے کے لیے f2 پر جائیں، D) ہاتھی کو پکڑیں۔")</f>
        <v>A) یہ راجہ کا دفاع نہیں کر سکتا، B) حملے کو روکنے کے لیے e2 کی طرف بڑھیں، C) ہاتھیوں پر حملہ کرنے کے لیے f2 پر جائیں، D) ہاتھی کو پکڑیں۔</v>
      </c>
      <c r="M6" s="6" t="str">
        <f>IFERROR(__xludf.DUMMYFUNCTION("GOOGLETRANSLATE(D6, ""en"", ""ur"")"),"ب) حملے کو روکنے کے لیے e2 پر جائیں۔")</f>
        <v>ب) حملے کو روکنے کے لیے e2 پر جائیں۔</v>
      </c>
      <c r="N6" s="6" t="str">
        <f>IFERROR(__xludf.DUMMYFUNCTION("GOOGLETRANSLATE(E6, ""en"", ""ur"")"),"منتری ایک مربع کو ترچھی حرکت دیتا ہے۔ e2 میں منتقل ہونے سے اسے حملے کی لائن میں رکھا جائے گا، لیکن یہ ایک غیر قانونی اقدام ہے۔ تصحیح: d1 پر منتری صرف c2 یا e2 میں جا سکتا ہے۔ ایک بہتر منظر نامے کی ضرورت ہے۔ f2 پر منتری e3 پر جا کر بلاک کر سکتا ہے۔")</f>
        <v>منتری ایک مربع کو ترچھی حرکت دیتا ہے۔ e2 میں منتقل ہونے سے اسے حملے کی لائن میں رکھا جائے گا، لیکن یہ ایک غیر قانونی اقدام ہے۔ تصحیح: d1 پر منتری صرف c2 یا e2 میں جا سکتا ہے۔ ایک بہتر منظر نامے کی ضرورت ہے۔ f2 پر منتری e3 پر جا کر بلاک کر سکتا ہے۔</v>
      </c>
    </row>
    <row r="7">
      <c r="A7" s="4">
        <v>6.0</v>
      </c>
      <c r="B7" s="5" t="s">
        <v>533</v>
      </c>
      <c r="C7" s="5" t="s">
        <v>534</v>
      </c>
      <c r="D7" s="5" t="s">
        <v>535</v>
      </c>
      <c r="E7" s="5" t="s">
        <v>536</v>
      </c>
      <c r="J7" s="6" t="str">
        <f>IFERROR(__xludf.DUMMYFUNCTION("GOOGLETRANSLATE(A7, ""en"", ""ur"")"),"6")</f>
        <v>6</v>
      </c>
      <c r="K7" s="6" t="str">
        <f>IFERROR(__xludf.DUMMYFUNCTION("GOOGLETRANSLATE(B7, ""en"", ""ur"")"),"ایک پداٹی آخری درجے تک پہنچ جاتا ہے (جیسے، e8) اور ترقی دی جاتی ہے۔ یہ کون سا ٹکڑا بنتا ہے؟")</f>
        <v>ایک پداٹی آخری درجے تک پہنچ جاتا ہے (جیسے، e8) اور ترقی دی جاتی ہے۔ یہ کون سا ٹکڑا بنتا ہے؟</v>
      </c>
      <c r="L7" s="6" t="str">
        <f>IFERROR(__xludf.DUMMYFUNCTION("GOOGLETRANSLATE(C7, ""en"", ""ur"")"),"A) ایک ہاتھی، B) ایک منتری، C) ایک اشوا، D) کھلاڑی کا کسی بھی ٹکڑے کا انتخاب")</f>
        <v>A) ایک ہاتھی، B) ایک منتری، C) ایک اشوا، D) کھلاڑی کا کسی بھی ٹکڑے کا انتخاب</v>
      </c>
      <c r="M7" s="6" t="str">
        <f>IFERROR(__xludf.DUMMYFUNCTION("GOOGLETRANSLATE(D7, ""en"", ""ur"")"),"ب) ایک منتری")</f>
        <v>ب) ایک منتری</v>
      </c>
      <c r="N7" s="6" t="str">
        <f>IFERROR(__xludf.DUMMYFUNCTION("GOOGLETRANSLATE(E7, ""en"", ""ur"")"),"چتورنگا میں، پیاد کی تشہیر محدود تھی۔ ایک پڈتی صرف منتری بن سکتا ہے، جو بورڈ کا سب سے کمزور ٹکڑا ہے۔")</f>
        <v>چتورنگا میں، پیاد کی تشہیر محدود تھی۔ ایک پڈتی صرف منتری بن سکتا ہے، جو بورڈ کا سب سے کمزور ٹکڑا ہے۔</v>
      </c>
    </row>
    <row r="8">
      <c r="A8" s="4">
        <v>7.0</v>
      </c>
      <c r="B8" s="5" t="s">
        <v>537</v>
      </c>
      <c r="C8" s="5" t="s">
        <v>538</v>
      </c>
      <c r="D8" s="5" t="s">
        <v>539</v>
      </c>
      <c r="E8" s="5" t="s">
        <v>540</v>
      </c>
      <c r="J8" s="6" t="str">
        <f>IFERROR(__xludf.DUMMYFUNCTION("GOOGLETRANSLATE(A8, ""en"", ""ur"")"),"7")</f>
        <v>7</v>
      </c>
      <c r="K8" s="6" t="str">
        <f>IFERROR(__xludf.DUMMYFUNCTION("GOOGLETRANSLATE(B8, ""en"", ""ur"")"),"آپ کے مخالف راجہ کی کوئی قانونی چال نہیں ہے، لیکن اس پر فی الحال حملہ نہیں ہے۔ جدید شطرنج میں، یہ ایک تعطل کا شکار ہے۔ چتورنگا میں یہ کیا نتیجہ ہے؟")</f>
        <v>آپ کے مخالف راجہ کی کوئی قانونی چال نہیں ہے، لیکن اس پر فی الحال حملہ نہیں ہے۔ جدید شطرنج میں، یہ ایک تعطل کا شکار ہے۔ چتورنگا میں یہ کیا نتیجہ ہے؟</v>
      </c>
      <c r="L8" s="6" t="str">
        <f>IFERROR(__xludf.DUMMYFUNCTION("GOOGLETRANSLATE(C8, ""en"", ""ur"")"),"A) ڈرا، B) آپ کے لیے جیت، C) آپ کے لیے ہار، D) مخالف کا آخری اقدام واپس لے لیا گیا")</f>
        <v>A) ڈرا، B) آپ کے لیے جیت، C) آپ کے لیے ہار، D) مخالف کا آخری اقدام واپس لے لیا گیا</v>
      </c>
      <c r="M8" s="6" t="str">
        <f>IFERROR(__xludf.DUMMYFUNCTION("GOOGLETRANSLATE(D8, ""en"", ""ur"")"),"ب) آپ کے لیے جیت")</f>
        <v>ب) آپ کے لیے جیت</v>
      </c>
      <c r="N8" s="6" t="str">
        <f>IFERROR(__xludf.DUMMYFUNCTION("GOOGLETRANSLATE(E8, ""en"", ""ur"")"),"تعطل پر مجبور کرنا، جسے ""بیرنگ دی کنگ"" بھی کہا جاتا ہے، کھیل کے بہت سے ورژنز میں فتح کی ایک درست، ثانوی شکل کے باوجود سمجھا جاتا تھا۔")</f>
        <v>تعطل پر مجبور کرنا، جسے "بیرنگ دی کنگ" بھی کہا جاتا ہے، کھیل کے بہت سے ورژنز میں فتح کی ایک درست، ثانوی شکل کے باوجود سمجھا جاتا تھا۔</v>
      </c>
    </row>
    <row r="9">
      <c r="A9" s="4">
        <v>8.0</v>
      </c>
      <c r="B9" s="5" t="s">
        <v>541</v>
      </c>
      <c r="C9" s="5" t="s">
        <v>542</v>
      </c>
      <c r="D9" s="5" t="s">
        <v>543</v>
      </c>
      <c r="E9" s="5" t="s">
        <v>544</v>
      </c>
      <c r="J9" s="6" t="str">
        <f>IFERROR(__xludf.DUMMYFUNCTION("GOOGLETRANSLATE(A9, ""en"", ""ur"")"),"8")</f>
        <v>8</v>
      </c>
      <c r="K9" s="6" t="str">
        <f>IFERROR(__xludf.DUMMYFUNCTION("GOOGLETRANSLATE(B9, ""en"", ""ur"")"),"چتوراجی کے چار کھلاڑیوں کے کھیل میں، اب آپ کی باری ہے، اور آپ ڈائی پر '2' رول کرتے ہیں۔ آپ کو کون سا ٹکڑا منتقل کرنا ہوگا؟")</f>
        <v>چتوراجی کے چار کھلاڑیوں کے کھیل میں، اب آپ کی باری ہے، اور آپ ڈائی پر '2' رول کرتے ہیں۔ آپ کو کون سا ٹکڑا منتقل کرنا ہوگا؟</v>
      </c>
      <c r="L9" s="6" t="str">
        <f>IFERROR(__xludf.DUMMYFUNCTION("GOOGLETRANSLATE(C9, ""en"", ""ur"")"),"A) پداٹی، B) ہاتھی، C) اشوا، D) گجا")</f>
        <v>A) پداٹی، B) ہاتھی، C) اشوا، D) گجا</v>
      </c>
      <c r="M9" s="6" t="str">
        <f>IFERROR(__xludf.DUMMYFUNCTION("GOOGLETRANSLATE(D9, ""en"", ""ur"")"),"ڈی) گاجا")</f>
        <v>ڈی) گاجا</v>
      </c>
      <c r="N9" s="6" t="str">
        <f>IFERROR(__xludf.DUMMYFUNCTION("GOOGLETRANSLATE(E9, ""en"", ""ur"")"),"گجا (ہاتھی) کے لیے 2، اشوا کے لیے 3، ہاتھی کے لیے 4، اور راجہ کے لیے 5 مشترکہ ڈائس تفویض کیے گئے تھے۔")</f>
        <v>گجا (ہاتھی) کے لیے 2، اشوا کے لیے 3، ہاتھی کے لیے 4، اور راجہ کے لیے 5 مشترکہ ڈائس تفویض کیے گئے تھے۔</v>
      </c>
    </row>
    <row r="10">
      <c r="A10" s="4">
        <v>9.0</v>
      </c>
      <c r="B10" s="5" t="s">
        <v>545</v>
      </c>
      <c r="C10" s="5" t="s">
        <v>546</v>
      </c>
      <c r="D10" s="5" t="s">
        <v>547</v>
      </c>
      <c r="E10" s="5" t="s">
        <v>548</v>
      </c>
      <c r="J10" s="6" t="str">
        <f>IFERROR(__xludf.DUMMYFUNCTION("GOOGLETRANSLATE(A10, ""en"", ""ur"")"),"9")</f>
        <v>9</v>
      </c>
      <c r="K10" s="6" t="str">
        <f>IFERROR(__xludf.DUMMYFUNCTION("GOOGLETRANSLATE(B10, ""en"", ""ur"")"),"آپ کا گاجا f1 (ایک ہلکا مربع) پر ہے۔ ایک دشمن راجہ b6 (ایک سیاہ مربع) پر ہے۔ کیا آپ کا گاجا دشمن راجہ پر کبھی حملہ کر سکتا ہے؟")</f>
        <v>آپ کا گاجا f1 (ایک ہلکا مربع) پر ہے۔ ایک دشمن راجہ b6 (ایک سیاہ مربع) پر ہے۔ کیا آپ کا گاجا دشمن راجہ پر کبھی حملہ کر سکتا ہے؟</v>
      </c>
      <c r="L10" s="6" t="str">
        <f>IFERROR(__xludf.DUMMYFUNCTION("GOOGLETRANSLATE(C10, ""en"", ""ur"")"),"A) ہاں، تین چالوں میں، B) ہاں، لیکن صرف اس صورت میں جب راستہ صاف ہو، C) نہیں، یہ ناممکن ہے، D) صرف اس صورت میں جب یہ پہلے فروغ دے")</f>
        <v>A) ہاں، تین چالوں میں، B) ہاں، لیکن صرف اس صورت میں جب راستہ صاف ہو، C) نہیں، یہ ناممکن ہے، D) صرف اس صورت میں جب یہ پہلے فروغ دے</v>
      </c>
      <c r="M10" s="6" t="str">
        <f>IFERROR(__xludf.DUMMYFUNCTION("GOOGLETRANSLATE(D10, ""en"", ""ur"")"),"ج) نہیں، یہ ناممکن ہے۔")</f>
        <v>ج) نہیں، یہ ناممکن ہے۔</v>
      </c>
      <c r="N10" s="6" t="str">
        <f>IFERROR(__xludf.DUMMYFUNCTION("GOOGLETRANSLATE(E10, ""en"", ""ur"")"),"گاجا ""رنگ کا پابند"" ہے۔ کیونکہ یہ ہمیشہ دو مربعوں کو ترچھی چھلانگ لگاتا ہے، اس لیے یہ اس مربع کا رنگ کبھی نہیں چھوڑ سکتا جس پر اس نے شروع کیا تھا۔")</f>
        <v>گاجا "رنگ کا پابند" ہے۔ کیونکہ یہ ہمیشہ دو مربعوں کو ترچھی چھلانگ لگاتا ہے، اس لیے یہ اس مربع کا رنگ کبھی نہیں چھوڑ سکتا جس پر اس نے شروع کیا تھا۔</v>
      </c>
    </row>
    <row r="11">
      <c r="A11" s="4">
        <v>10.0</v>
      </c>
      <c r="B11" s="5" t="s">
        <v>549</v>
      </c>
      <c r="C11" s="5" t="s">
        <v>550</v>
      </c>
      <c r="D11" s="5" t="s">
        <v>551</v>
      </c>
      <c r="E11" s="5" t="s">
        <v>552</v>
      </c>
      <c r="J11" s="6" t="str">
        <f>IFERROR(__xludf.DUMMYFUNCTION("GOOGLETRANSLATE(A11, ""en"", ""ur"")"),"10")</f>
        <v>10</v>
      </c>
      <c r="K11" s="6" t="str">
        <f>IFERROR(__xludf.DUMMYFUNCTION("GOOGLETRANSLATE(B11, ""en"", ""ur"")"),"آپ کے مخالف کا راجہ c8 پر ہے۔ آپ کے پاس c1 پر ایک ہاتھی ہے اور a8 پر ایک اور ہاتھی۔ راجہ کے لیے حکمت عملی کیا ہے؟")</f>
        <v>آپ کے مخالف کا راجہ c8 پر ہے۔ آپ کے پاس c1 پر ایک ہاتھی ہے اور a8 پر ایک اور ہاتھی۔ راجہ کے لیے حکمت عملی کیا ہے؟</v>
      </c>
      <c r="L11" s="6" t="str">
        <f>IFERROR(__xludf.DUMMYFUNCTION("GOOGLETRANSLATE(C11, ""en"", ""ur"")"),"A) یہ محفوظ ہے، B) اس پر حملہ کیا گیا ہے اور اسے پھنسایا گیا ہے، جس سے گرفتاری قریب آ جائے گی، C) اس پر صرف حوثیوں نے c1 پر حملہ کیا ہے، D) اس پر صرف a8 پر حوثیوں نے حملہ کیا ہے۔")</f>
        <v>A) یہ محفوظ ہے، B) اس پر حملہ کیا گیا ہے اور اسے پھنسایا گیا ہے، جس سے گرفتاری قریب آ جائے گی، C) اس پر صرف حوثیوں نے c1 پر حملہ کیا ہے، D) اس پر صرف a8 پر حوثیوں نے حملہ کیا ہے۔</v>
      </c>
      <c r="M11" s="6" t="str">
        <f>IFERROR(__xludf.DUMMYFUNCTION("GOOGLETRANSLATE(D11, ""en"", ""ur"")"),"ب) اس پر حملہ کیا جاتا ہے اور پھنس جاتا ہے، جس سے گرفتاری قریب آ جاتی ہے۔")</f>
        <v>ب) اس پر حملہ کیا جاتا ہے اور پھنس جاتا ہے، جس سے گرفتاری قریب آ جاتی ہے۔</v>
      </c>
      <c r="N11" s="6" t="str">
        <f>IFERROR(__xludf.DUMMYFUNCTION("GOOGLETRANSLATE(E11, ""en"", ""ur"")"),"سی ون پر ہاتھی نے فائل نیچے راجہ پر حملہ کیا۔ A8 پر Hathi کلیدی فرار چوکوں b8 اور d8 کو کنٹرول کرتا ہے، ایک کلاسک کیپچر پیٹرن بناتا ہے۔")</f>
        <v>سی ون پر ہاتھی نے فائل نیچے راجہ پر حملہ کیا۔ A8 پر Hathi کلیدی فرار چوکوں b8 اور d8 کو کنٹرول کرتا ہے، ایک کلاسک کیپچر پیٹرن بناتا ہے۔</v>
      </c>
    </row>
    <row r="12">
      <c r="A12" s="4">
        <v>11.0</v>
      </c>
      <c r="B12" s="5" t="s">
        <v>553</v>
      </c>
      <c r="C12" s="5" t="s">
        <v>554</v>
      </c>
      <c r="D12" s="5" t="s">
        <v>555</v>
      </c>
      <c r="E12" s="5" t="s">
        <v>556</v>
      </c>
      <c r="J12" s="6" t="str">
        <f>IFERROR(__xludf.DUMMYFUNCTION("GOOGLETRANSLATE(A12, ""en"", ""ur"")"),"11")</f>
        <v>11</v>
      </c>
      <c r="K12" s="6" t="str">
        <f>IFERROR(__xludf.DUMMYFUNCTION("GOOGLETRANSLATE(B12, ""en"", ""ur"")"),"آپ کے پاس صرف ایک راجہ اور ایک منتری رہ گیا ہے۔ آپ کے مخالف کے پاس صرف اکیلا راجہ ہے۔ اس اختتامی کھیل کا سب سے زیادہ ممکنہ نتیجہ کیا ہے؟")</f>
        <v>آپ کے پاس صرف ایک راجہ اور ایک منتری رہ گیا ہے۔ آپ کے مخالف کے پاس صرف اکیلا راجہ ہے۔ اس اختتامی کھیل کا سب سے زیادہ ممکنہ نتیجہ کیا ہے؟</v>
      </c>
      <c r="L12" s="6" t="str">
        <f>IFERROR(__xludf.DUMMYFUNCTION("GOOGLETRANSLATE(C12, ""en"", ""ur"")"),"A) آپ کے لیے ایک آسان جیت، B) ایک ڈرا، کیونکہ منتری بہت کمزور ہے کہ پکڑنے پر مجبور ہو جائے، C) بہت سی چالوں کے بعد ایک سست جیت، D) آپ آخر کار ہار جائیں گے۔")</f>
        <v>A) آپ کے لیے ایک آسان جیت، B) ایک ڈرا، کیونکہ منتری بہت کمزور ہے کہ پکڑنے پر مجبور ہو جائے، C) بہت سی چالوں کے بعد ایک سست جیت، D) آپ آخر کار ہار جائیں گے۔</v>
      </c>
      <c r="M12" s="6" t="str">
        <f>IFERROR(__xludf.DUMMYFUNCTION("GOOGLETRANSLATE(D12, ""en"", ""ur"")"),"ب) ایک قرعہ اندازی، کیونکہ منتری اتنی کمزور ہے کہ زبردستی پکڑنے میں مدد کر سکے۔")</f>
        <v>ب) ایک قرعہ اندازی، کیونکہ منتری اتنی کمزور ہے کہ زبردستی پکڑنے میں مدد کر سکے۔</v>
      </c>
      <c r="N12" s="6" t="str">
        <f>IFERROR(__xludf.DUMMYFUNCTION("GOOGLETRANSLATE(E12, ""en"", ""ur"")"),"منتری کی انتہائی محدود حرکت (ایک مربع ترچھی) تنہا بادشاہ کے خلاف زبردستی جیتنا ناممکن بنا دیتی ہے۔")</f>
        <v>منتری کی انتہائی محدود حرکت (ایک مربع ترچھی) تنہا بادشاہ کے خلاف زبردستی جیتنا ناممکن بنا دیتی ہے۔</v>
      </c>
    </row>
    <row r="13">
      <c r="A13" s="4">
        <v>12.0</v>
      </c>
      <c r="B13" s="5" t="s">
        <v>557</v>
      </c>
      <c r="C13" s="5" t="s">
        <v>558</v>
      </c>
      <c r="D13" s="5" t="s">
        <v>559</v>
      </c>
      <c r="E13" s="5" t="s">
        <v>560</v>
      </c>
      <c r="J13" s="6" t="str">
        <f>IFERROR(__xludf.DUMMYFUNCTION("GOOGLETRANSLATE(A13, ""en"", ""ur"")"),"12")</f>
        <v>12</v>
      </c>
      <c r="K13" s="6" t="str">
        <f>IFERROR(__xludf.DUMMYFUNCTION("GOOGLETRANSLATE(B13, ""en"", ""ur"")"),"ہجوم والی پوزیشن میں، ایک مخالف کا ٹکڑا e4 پر ہوتا ہے۔ آپ کے پاس c3 پر ایک اشوا اور c2 پر ایک گجا ہے۔ کون سا ٹکڑا e4 پر حملہ کر سکتا ہے؟")</f>
        <v>ہجوم والی پوزیشن میں، ایک مخالف کا ٹکڑا e4 پر ہوتا ہے۔ آپ کے پاس c3 پر ایک اشوا اور c2 پر ایک گجا ہے۔ کون سا ٹکڑا e4 پر حملہ کر سکتا ہے؟</v>
      </c>
      <c r="L13" s="6" t="str">
        <f>IFERROR(__xludf.DUMMYFUNCTION("GOOGLETRANSLATE(C13, ""en"", ""ur"")"),"A) صرف اشوا، B) صرف گجا، C) دونوں e4 پر حملہ کر سکتے ہیں، D) دونوں ہی e4 پر حملہ نہیں کر سکتے")</f>
        <v>A) صرف اشوا، B) صرف گجا، C) دونوں e4 پر حملہ کر سکتے ہیں، D) دونوں ہی e4 پر حملہ نہیں کر سکتے</v>
      </c>
      <c r="M13" s="6" t="str">
        <f>IFERROR(__xludf.DUMMYFUNCTION("GOOGLETRANSLATE(D13, ""en"", ""ur"")"),"ا) صرف اشوا")</f>
        <v>ا) صرف اشوا</v>
      </c>
      <c r="N13" s="6" t="str">
        <f>IFERROR(__xludf.DUMMYFUNCTION("GOOGLETRANSLATE(E13, ""en"", ""ur"")"),"c3 پر اشوا e4 تک چھلانگ لگا سکتا ہے۔ c2 پر گاجا صرف a4 یا e4 تک ہی چھلانگ لگا سکتا ہے۔ تصحیح: گاجا e4 تک بھی چھلانگ لگا سکتا ہے۔ C) دونوں e4 پر حملہ کر سکتے ہیں۔")</f>
        <v>c3 پر اشوا e4 تک چھلانگ لگا سکتا ہے۔ c2 پر گاجا صرف a4 یا e4 تک ہی چھلانگ لگا سکتا ہے۔ تصحیح: گاجا e4 تک بھی چھلانگ لگا سکتا ہے۔ C) دونوں e4 پر حملہ کر سکتے ہیں۔</v>
      </c>
    </row>
    <row r="14">
      <c r="A14" s="4">
        <v>13.0</v>
      </c>
      <c r="B14" s="5" t="s">
        <v>561</v>
      </c>
      <c r="C14" s="5" t="s">
        <v>562</v>
      </c>
      <c r="D14" s="5" t="s">
        <v>563</v>
      </c>
      <c r="E14" s="5" t="s">
        <v>564</v>
      </c>
      <c r="J14" s="6" t="str">
        <f>IFERROR(__xludf.DUMMYFUNCTION("GOOGLETRANSLATE(A14, ""en"", ""ur"")"),"13")</f>
        <v>13</v>
      </c>
      <c r="K14" s="6" t="str">
        <f>IFERROR(__xludf.DUMMYFUNCTION("GOOGLETRANSLATE(B14, ""en"", ""ur"")"),"تمہارا راجہ جی ون پر ہے اور دشمن ہاتھی بی ون پر ہے۔ ایک دوستانہ پداٹی d1 پر ہے۔ کیا دشمن ہاتھی آپ کے راجہ کو پکڑ سکتا ہے؟")</f>
        <v>تمہارا راجہ جی ون پر ہے اور دشمن ہاتھی بی ون پر ہے۔ ایک دوستانہ پداٹی d1 پر ہے۔ کیا دشمن ہاتھی آپ کے راجہ کو پکڑ سکتا ہے؟</v>
      </c>
      <c r="L14" s="6" t="str">
        <f>IFERROR(__xludf.DUMMYFUNCTION("GOOGLETRANSLATE(C14, ""en"", ""ur"")"),"A) ہاں، B) نہیں، اس کا راستہ آپ کی پڈاتی نے روک دیا ہے، C) صرف اس صورت میں جب آپ کی پڈاتی حرکت کرتی ہے، D) ہاں، کیونکہ ہاتھی چھلانگ لگا سکتے ہیں۔")</f>
        <v>A) ہاں، B) نہیں، اس کا راستہ آپ کی پڈاتی نے روک دیا ہے، C) صرف اس صورت میں جب آپ کی پڈاتی حرکت کرتی ہے، D) ہاں، کیونکہ ہاتھی چھلانگ لگا سکتے ہیں۔</v>
      </c>
      <c r="M14" s="6" t="str">
        <f>IFERROR(__xludf.DUMMYFUNCTION("GOOGLETRANSLATE(D14, ""en"", ""ur"")"),"ب) نہیں، اس کا راستہ آپ کی پدتی نے روک دیا ہے۔")</f>
        <v>ب) نہیں، اس کا راستہ آپ کی پدتی نے روک دیا ہے۔</v>
      </c>
      <c r="N14" s="6" t="str">
        <f>IFERROR(__xludf.DUMMYFUNCTION("GOOGLETRANSLATE(E14, ""en"", ""ur"")"),"ہاتھی (روک) دوسرے ٹکڑوں پر کود نہیں سکتا۔ ڈی 1 پر دوستانہ پداٹی پہلے درجے کے ساتھ ہاتھی کا راستہ روک رہی ہے۔")</f>
        <v>ہاتھی (روک) دوسرے ٹکڑوں پر کود نہیں سکتا۔ ڈی 1 پر دوستانہ پداٹی پہلے درجے کے ساتھ ہاتھی کا راستہ روک رہی ہے۔</v>
      </c>
    </row>
    <row r="15">
      <c r="A15" s="4">
        <v>14.0</v>
      </c>
      <c r="B15" s="5" t="s">
        <v>565</v>
      </c>
      <c r="C15" s="5" t="s">
        <v>566</v>
      </c>
      <c r="D15" s="5" t="s">
        <v>567</v>
      </c>
      <c r="E15" s="5" t="s">
        <v>568</v>
      </c>
      <c r="J15" s="6" t="str">
        <f>IFERROR(__xludf.DUMMYFUNCTION("GOOGLETRANSLATE(A15, ""en"", ""ur"")"),"14")</f>
        <v>14</v>
      </c>
      <c r="K15" s="6" t="str">
        <f>IFERROR(__xludf.DUMMYFUNCTION("GOOGLETRANSLATE(B15, ""en"", ""ur"")"),"چار کھلاڑیوں کے کھیل میں، آپ کھلاڑی کے راجہ کو اپنے دائیں طرف پکڑتے ہیں۔ آگے کیا ہوتا ہے اس کے لیے ایک عام اصول کیا ہے؟")</f>
        <v>چار کھلاڑیوں کے کھیل میں، آپ کھلاڑی کے راجہ کو اپنے دائیں طرف پکڑتے ہیں۔ آگے کیا ہوتا ہے اس کے لیے ایک عام اصول کیا ہے؟</v>
      </c>
      <c r="L15" s="6" t="str">
        <f>IFERROR(__xludf.DUMMYFUNCTION("GOOGLETRANSLATE(C15, ""en"", ""ur"")"),"A) اس کھلاڑی کو ختم کر دیا جاتا ہے، B) آپ اس کھلاڑی کے باقی تمام ٹکڑوں کو اپنی فوج میں جذب کر لیتے ہیں، C) کھیل ختم ہو جاتا ہے، اور آپ فاتح ہوتے ہیں، D) آپ کو دوسرے مخالفین کو ایک ٹکڑا دینا چاہیے۔")</f>
        <v>A) اس کھلاڑی کو ختم کر دیا جاتا ہے، B) آپ اس کھلاڑی کے باقی تمام ٹکڑوں کو اپنی فوج میں جذب کر لیتے ہیں، C) کھیل ختم ہو جاتا ہے، اور آپ فاتح ہوتے ہیں، D) آپ کو دوسرے مخالفین کو ایک ٹکڑا دینا چاہیے۔</v>
      </c>
      <c r="M15" s="6" t="str">
        <f>IFERROR(__xludf.DUMMYFUNCTION("GOOGLETRANSLATE(D15, ""en"", ""ur"")"),"ب) آپ اس کھلاڑی کے باقی تمام ٹکڑوں کو اپنی فوج میں جذب کر لیتے ہیں۔")</f>
        <v>ب) آپ اس کھلاڑی کے باقی تمام ٹکڑوں کو اپنی فوج میں جذب کر لیتے ہیں۔</v>
      </c>
      <c r="N15" s="6" t="str">
        <f>IFERROR(__xludf.DUMMYFUNCTION("GOOGLETRANSLATE(E15, ""en"", ""ur"")"),"چتوراجی میں ایک مقبول قاعدہ یہ تھا کہ فاتح نے شکست خوردہ کھلاڑی کی فوج کو ضم کر لیا، اچانک بہت زیادہ طاقتور ہو گیا۔")</f>
        <v>چتوراجی میں ایک مقبول قاعدہ یہ تھا کہ فاتح نے شکست خوردہ کھلاڑی کی فوج کو ضم کر لیا، اچانک بہت زیادہ طاقتور ہو گیا۔</v>
      </c>
    </row>
    <row r="16">
      <c r="A16" s="4">
        <v>15.0</v>
      </c>
      <c r="B16" s="5" t="s">
        <v>569</v>
      </c>
      <c r="C16" s="5" t="s">
        <v>570</v>
      </c>
      <c r="D16" s="5" t="s">
        <v>571</v>
      </c>
      <c r="E16" s="5" t="s">
        <v>572</v>
      </c>
      <c r="J16" s="6" t="str">
        <f>IFERROR(__xludf.DUMMYFUNCTION("GOOGLETRANSLATE(A16, ""en"", ""ur"")"),"15")</f>
        <v>15</v>
      </c>
      <c r="K16" s="6" t="str">
        <f>IFERROR(__xludf.DUMMYFUNCTION("GOOGLETRANSLATE(B16, ""en"", ""ur"")"),"کیا چتورنگا میں خصوصی پیاد کی گرفتاری ""این پاسنٹ"" ایک قانونی اقدام ہے؟")</f>
        <v>کیا چتورنگا میں خصوصی پیاد کی گرفتاری "این پاسنٹ" ایک قانونی اقدام ہے؟</v>
      </c>
      <c r="L16" s="6" t="str">
        <f>IFERROR(__xludf.DUMMYFUNCTION("GOOGLETRANSLATE(C16, ""en"", ""ur"")"),"A) جی ہاں، یہ جدید شطرنج کے اصولوں کی پیروی کرتا ہے، B) نہیں، یہ اصول بعد میں یورپی اختراع تھا، C) صرف پاڈیٹس آن دی ایج فائلوں کے لیے، D) صرف چار پلیئر ورژن میں")</f>
        <v>A) جی ہاں، یہ جدید شطرنج کے اصولوں کی پیروی کرتا ہے، B) نہیں، یہ اصول بعد میں یورپی اختراع تھا، C) صرف پاڈیٹس آن دی ایج فائلوں کے لیے، D) صرف چار پلیئر ورژن میں</v>
      </c>
      <c r="M16" s="6" t="str">
        <f>IFERROR(__xludf.DUMMYFUNCTION("GOOGLETRANSLATE(D16, ""en"", ""ur"")"),"ب) نہیں، یہ اصول بعد میں یورپی اختراع تھا۔")</f>
        <v>ب) نہیں، یہ اصول بعد میں یورپی اختراع تھا۔</v>
      </c>
      <c r="N16" s="6" t="str">
        <f>IFERROR(__xludf.DUMMYFUNCTION("GOOGLETRANSLATE(E16, ""en"", ""ur"")"),"قدیم چتورنگا کے کسی بھی معروف ورژن میں این پاسنٹ اصول موجود نہیں تھا۔")</f>
        <v>قدیم چتورنگا کے کسی بھی معروف ورژن میں این پاسنٹ اصول موجود نہیں تھا۔</v>
      </c>
    </row>
    <row r="17">
      <c r="A17" s="4">
        <v>16.0</v>
      </c>
      <c r="B17" s="5" t="s">
        <v>573</v>
      </c>
      <c r="C17" s="5" t="s">
        <v>574</v>
      </c>
      <c r="D17" s="5" t="s">
        <v>575</v>
      </c>
      <c r="E17" s="5" t="s">
        <v>576</v>
      </c>
      <c r="J17" s="6" t="str">
        <f>IFERROR(__xludf.DUMMYFUNCTION("GOOGLETRANSLATE(A17, ""en"", ""ur"")"),"16")</f>
        <v>16</v>
      </c>
      <c r="K17" s="6" t="str">
        <f>IFERROR(__xludf.DUMMYFUNCTION("GOOGLETRANSLATE(B17, ""en"", ""ur"")"),"آپ کا راجہ b1 پر ہے۔ ایک دشمن اشوا d2 پر ہے، جس کا دفاع c3 پر پڈاتی کرتا ہے۔ کیا آپ کا راجہ اشوا کو پکڑ سکتا ہے؟")</f>
        <v>آپ کا راجہ b1 پر ہے۔ ایک دشمن اشوا d2 پر ہے، جس کا دفاع c3 پر پڈاتی کرتا ہے۔ کیا آپ کا راجہ اشوا کو پکڑ سکتا ہے؟</v>
      </c>
      <c r="L17" s="6" t="str">
        <f>IFERROR(__xludf.DUMMYFUNCTION("GOOGLETRANSLATE(C17, ""en"", ""ur"")"),"A) جی ہاں، یہ ایک قانونی اقدام ہے، B) نہیں، کیونکہ اشوا کا دفاع کیا جاتا ہے، C) صرف اس صورت میں جب پدتی پہلے حرکت کرے، D) ہاں، کیونکہ ایک راجہ کسی بھی ٹکڑے پر قبضہ کر سکتا ہے۔")</f>
        <v>A) جی ہاں، یہ ایک قانونی اقدام ہے، B) نہیں، کیونکہ اشوا کا دفاع کیا جاتا ہے، C) صرف اس صورت میں جب پدتی پہلے حرکت کرے، D) ہاں، کیونکہ ایک راجہ کسی بھی ٹکڑے پر قبضہ کر سکتا ہے۔</v>
      </c>
      <c r="M17" s="6" t="str">
        <f>IFERROR(__xludf.DUMMYFUNCTION("GOOGLETRANSLATE(D17, ""en"", ""ur"")"),"ب) نہیں، کیونکہ اشوا کا دفاع کیا جاتا ہے۔")</f>
        <v>ب) نہیں، کیونکہ اشوا کا دفاع کیا جاتا ہے۔</v>
      </c>
      <c r="N17" s="6" t="str">
        <f>IFERROR(__xludf.DUMMYFUNCTION("GOOGLETRANSLATE(E17, ""en"", ""ur"")"),"ایک راجہ حملہ آور چوک میں نہیں جا سکتا۔ چونکہ c3 پر پڈاٹی d2 کا دفاع کرتی ہے، راجہ کو d2 میں منتقل کرنا ایک غیر قانونی اقدام ہوگا۔")</f>
        <v>ایک راجہ حملہ آور چوک میں نہیں جا سکتا۔ چونکہ c3 پر پڈاٹی d2 کا دفاع کرتی ہے، راجہ کو d2 میں منتقل کرنا ایک غیر قانونی اقدام ہوگا۔</v>
      </c>
    </row>
    <row r="18">
      <c r="A18" s="4">
        <v>17.0</v>
      </c>
      <c r="B18" s="5" t="s">
        <v>577</v>
      </c>
      <c r="C18" s="5" t="s">
        <v>578</v>
      </c>
      <c r="D18" s="5" t="s">
        <v>579</v>
      </c>
      <c r="E18" s="5" t="s">
        <v>580</v>
      </c>
      <c r="J18" s="6" t="str">
        <f>IFERROR(__xludf.DUMMYFUNCTION("GOOGLETRANSLATE(A18, ""en"", ""ur"")"),"17")</f>
        <v>17</v>
      </c>
      <c r="K18" s="6" t="str">
        <f>IFERROR(__xludf.DUMMYFUNCTION("GOOGLETRANSLATE(B18, ""en"", ""ur"")"),"آپ کے پاس ایک راجہ اور دو اشو ہیں۔ آپ کے مخالف کے پاس صرف ایک راجہ ہے۔ کیا آپ زبردستی جیت سکتے ہیں؟")</f>
        <v>آپ کے پاس ایک راجہ اور دو اشو ہیں۔ آپ کے مخالف کے پاس صرف ایک راجہ ہے۔ کیا آپ زبردستی جیت سکتے ہیں؟</v>
      </c>
      <c r="L18" s="6" t="str">
        <f>IFERROR(__xludf.DUMMYFUNCTION("GOOGLETRANSLATE(C18, ""en"", ""ur"")"),"A) نہیں، یہ ڈرا ہے، B) جی ہاں، یہ ایک معیاری (حالانکہ مشکل) جیت ہے، C) یہ ناممکن ہے، D) صرف اس صورت میں جب مخالف کا راجہ کونے میں ہو۔")</f>
        <v>A) نہیں، یہ ڈرا ہے، B) جی ہاں، یہ ایک معیاری (حالانکہ مشکل) جیت ہے، C) یہ ناممکن ہے، D) صرف اس صورت میں جب مخالف کا راجہ کونے میں ہو۔</v>
      </c>
      <c r="M18" s="6" t="str">
        <f>IFERROR(__xludf.DUMMYFUNCTION("GOOGLETRANSLATE(D18, ""en"", ""ur"")"),"ب) جی ہاں، یہ ایک معیاری (اگرچہ مشکل) جیت ہے۔")</f>
        <v>ب) جی ہاں، یہ ایک معیاری (اگرچہ مشکل) جیت ہے۔</v>
      </c>
      <c r="N18" s="6" t="str">
        <f>IFERROR(__xludf.DUMMYFUNCTION("GOOGLETRANSLATE(E18, ""en"", ""ur"")"),"جدید شطرنج کے دو شورویروں کی طرح، دو اشوا اور ایک راجہ اکیلے دشمن راجہ کو پکڑنے اور پکڑنے کے لیے مل کر کام کر سکتے ہیں۔")</f>
        <v>جدید شطرنج کے دو شورویروں کی طرح، دو اشوا اور ایک راجہ اکیلے دشمن راجہ کو پکڑنے اور پکڑنے کے لیے مل کر کام کر سکتے ہیں۔</v>
      </c>
    </row>
    <row r="19">
      <c r="A19" s="4">
        <v>18.0</v>
      </c>
      <c r="B19" s="5" t="s">
        <v>581</v>
      </c>
      <c r="C19" s="5" t="s">
        <v>582</v>
      </c>
      <c r="D19" s="5" t="s">
        <v>583</v>
      </c>
      <c r="E19" s="5" t="s">
        <v>584</v>
      </c>
      <c r="J19" s="6" t="str">
        <f>IFERROR(__xludf.DUMMYFUNCTION("GOOGLETRANSLATE(A19, ""en"", ""ur"")"),"18")</f>
        <v>18</v>
      </c>
      <c r="K19" s="6" t="str">
        <f>IFERROR(__xludf.DUMMYFUNCTION("GOOGLETRANSLATE(B19, ""en"", ""ur"")"),"f7 پر آپ کی Padati g8 پر ایک ترچھی کیپچر کرتی ہے۔ آپ کی پدتی کا کیا ہوتا ہے؟")</f>
        <v>f7 پر آپ کی Padati g8 پر ایک ترچھی کیپچر کرتی ہے۔ آپ کی پدتی کا کیا ہوتا ہے؟</v>
      </c>
      <c r="L19" s="6" t="str">
        <f>IFERROR(__xludf.DUMMYFUNCTION("GOOGLETRANSLATE(C19, ""en"", ""ur"")"),"A) اسے منتری کے طور پر ترقی دی جاتی ہے، B) یہ پدتی کے طور پر رہتا ہے، C) اسے بورڈ سے ہٹا دیا جاتا ہے، D) یہ فوری طور پر دوبارہ منتقل ہو سکتا ہے۔")</f>
        <v>A) اسے منتری کے طور پر ترقی دی جاتی ہے، B) یہ پدتی کے طور پر رہتا ہے، C) اسے بورڈ سے ہٹا دیا جاتا ہے، D) یہ فوری طور پر دوبارہ منتقل ہو سکتا ہے۔</v>
      </c>
      <c r="M19" s="6" t="str">
        <f>IFERROR(__xludf.DUMMYFUNCTION("GOOGLETRANSLATE(D19, ""en"", ""ur"")"),"A) اسے منتری کے طور پر ترقی دی جاتی ہے۔")</f>
        <v>A) اسے منتری کے طور پر ترقی دی جاتی ہے۔</v>
      </c>
      <c r="N19" s="6" t="str">
        <f>IFERROR(__xludf.DUMMYFUNCTION("GOOGLETRANSLATE(E19, ""en"", ""ur"")"),"ایک پدتی جو آخری درجے تک پہنچ جاتی ہے، یا تو سیدھی حرکت کر کے یا پکڑ کر، اسے فوری طور پر منتری بنا دیا جاتا ہے۔")</f>
        <v>ایک پدتی جو آخری درجے تک پہنچ جاتی ہے، یا تو سیدھی حرکت کر کے یا پکڑ کر، اسے فوری طور پر منتری بنا دیا جاتا ہے۔</v>
      </c>
    </row>
    <row r="20">
      <c r="A20" s="4">
        <v>19.0</v>
      </c>
      <c r="B20" s="5" t="s">
        <v>585</v>
      </c>
      <c r="C20" s="5" t="s">
        <v>586</v>
      </c>
      <c r="D20" s="5" t="s">
        <v>587</v>
      </c>
      <c r="E20" s="5" t="s">
        <v>588</v>
      </c>
      <c r="J20" s="6" t="str">
        <f>IFERROR(__xludf.DUMMYFUNCTION("GOOGLETRANSLATE(A20, ""en"", ""ur"")"),"19")</f>
        <v>19</v>
      </c>
      <c r="K20" s="6" t="str">
        <f>IFERROR(__xludf.DUMMYFUNCTION("GOOGLETRANSLATE(B20, ""en"", ""ur"")"),"چار کھلاڑیوں کے کھیل میں، آپ کا ڈائی رول اس ٹکڑے سے مطابقت رکھتا ہے جس میں کوئی قانونی حرکت نہیں ہوتی ہے۔ نتیجہ کیا ہے؟")</f>
        <v>چار کھلاڑیوں کے کھیل میں، آپ کا ڈائی رول اس ٹکڑے سے مطابقت رکھتا ہے جس میں کوئی قانونی حرکت نہیں ہوتی ہے۔ نتیجہ کیا ہے؟</v>
      </c>
      <c r="L20" s="6" t="str">
        <f>IFERROR(__xludf.DUMMYFUNCTION("GOOGLETRANSLATE(C20, ""en"", ""ur"")"),"A) آپ اپنی باری کھو دیتے ہیں، B) آپ کسی بھی دوسرے ٹکڑے کو منتقل کر سکتے ہیں، C) آپ کو اپنے راجہ کو منتقل کرنا ہوگا، D) آپ ڈائی کو دوبارہ رول کریں گے")</f>
        <v>A) آپ اپنی باری کھو دیتے ہیں، B) آپ کسی بھی دوسرے ٹکڑے کو منتقل کر سکتے ہیں، C) آپ کو اپنے راجہ کو منتقل کرنا ہوگا، D) آپ ڈائی کو دوبارہ رول کریں گے</v>
      </c>
      <c r="M20" s="6" t="str">
        <f>IFERROR(__xludf.DUMMYFUNCTION("GOOGLETRANSLATE(D20, ""en"", ""ur"")"),"A) آپ اپنی باری کھو دیتے ہیں۔")</f>
        <v>A) آپ اپنی باری کھو دیتے ہیں۔</v>
      </c>
      <c r="N20" s="6" t="str">
        <f>IFERROR(__xludf.DUMMYFUNCTION("GOOGLETRANSLATE(E20, ""en"", ""ur"")"),"ڈائس ویریئنٹ کا ایک اہم عنصر موڑ کھونے کا خطرہ تھا اگر ڈائی نے ایک ایسا ٹکڑا منتخب کیا جو بلاک کیا گیا تھا یا دوسری صورت میں حرکت کرنے سے قاصر تھا۔")</f>
        <v>ڈائس ویریئنٹ کا ایک اہم عنصر موڑ کھونے کا خطرہ تھا اگر ڈائی نے ایک ایسا ٹکڑا منتخب کیا جو بلاک کیا گیا تھا یا دوسری صورت میں حرکت کرنے سے قاصر تھا۔</v>
      </c>
    </row>
    <row r="21">
      <c r="A21" s="4">
        <v>20.0</v>
      </c>
      <c r="B21" s="5" t="s">
        <v>589</v>
      </c>
      <c r="C21" s="5" t="s">
        <v>590</v>
      </c>
      <c r="D21" s="5" t="s">
        <v>591</v>
      </c>
      <c r="E21" s="5" t="s">
        <v>592</v>
      </c>
      <c r="J21" s="6" t="str">
        <f>IFERROR(__xludf.DUMMYFUNCTION("GOOGLETRANSLATE(A21, ""en"", ""ur"")"),"20")</f>
        <v>20</v>
      </c>
      <c r="K21" s="6" t="str">
        <f>IFERROR(__xludf.DUMMYFUNCTION("GOOGLETRANSLATE(B21, ""en"", ""ur"")"),"ایک دشمن پداٹی c5 پر ہے۔ آپ کی ہاتھی c1 پر ہے۔ آپ کا اشوا d3 پر ہے۔ کون سا ٹکڑا قانونی طور پر پڈاتی کو پکڑ سکتا ہے؟")</f>
        <v>ایک دشمن پداٹی c5 پر ہے۔ آپ کی ہاتھی c1 پر ہے۔ آپ کا اشوا d3 پر ہے۔ کون سا ٹکڑا قانونی طور پر پڈاتی کو پکڑ سکتا ہے؟</v>
      </c>
      <c r="L21" s="6" t="str">
        <f>IFERROR(__xludf.DUMMYFUNCTION("GOOGLETRANSLATE(C21, ""en"", ""ur"")"),"A) صرف ہاتھی، B) صرف اشوا، C) ہاتھی اور اشوا دونوں، D) کوئی بھی ٹکڑا نہیں")</f>
        <v>A) صرف ہاتھی، B) صرف اشوا، C) ہاتھی اور اشوا دونوں، D) کوئی بھی ٹکڑا نہیں</v>
      </c>
      <c r="M21" s="6" t="str">
        <f>IFERROR(__xludf.DUMMYFUNCTION("GOOGLETRANSLATE(D21, ""en"", ""ur"")"),"الف) صرف ہاتھی۔")</f>
        <v>الف) صرف ہاتھی۔</v>
      </c>
      <c r="N21" s="6" t="str">
        <f>IFERROR(__xludf.DUMMYFUNCTION("GOOGLETRANSLATE(E21, ""en"", ""ur"")"),"ہاتھی c5 پر کیپچر کرنے کے لیے سی فائل کو اوپر لے جا سکتا ہے۔ d3 پر اشوا b2, b4, c5, e5, f2, f4, e1 میں جا سکتا ہے۔ تصحیح: اشوا بھی c5 میں جا سکتا ہے۔ ج) ہاتھی اور اشوا دونوں۔")</f>
        <v>ہاتھی c5 پر کیپچر کرنے کے لیے سی فائل کو اوپر لے جا سکتا ہے۔ d3 پر اشوا b2, b4, c5, e5, f2, f4, e1 میں جا سکتا ہے۔ تصحیح: اشوا بھی c5 میں جا سکتا ہے۔ ج) ہاتھی اور اشوا دونوں۔</v>
      </c>
    </row>
    <row r="22">
      <c r="A22" s="4">
        <v>21.0</v>
      </c>
      <c r="B22" s="5" t="s">
        <v>593</v>
      </c>
      <c r="C22" s="5" t="s">
        <v>594</v>
      </c>
      <c r="D22" s="5" t="s">
        <v>595</v>
      </c>
      <c r="E22" s="5" t="s">
        <v>596</v>
      </c>
      <c r="J22" s="6" t="str">
        <f>IFERROR(__xludf.DUMMYFUNCTION("GOOGLETRANSLATE(A22, ""en"", ""ur"")"),"21")</f>
        <v>21</v>
      </c>
      <c r="K22" s="6" t="str">
        <f>IFERROR(__xludf.DUMMYFUNCTION("GOOGLETRANSLATE(B22, ""en"", ""ur"")"),"ایک کھلاڑی کے راجہ کو مخالف کے ہاتھی سے خطرہ ہے۔ کیا حملہ آور کھلاڑی کو ""چیک"" کا اعلان کرنا ضروری ہے؟")</f>
        <v>ایک کھلاڑی کے راجہ کو مخالف کے ہاتھی سے خطرہ ہے۔ کیا حملہ آور کھلاڑی کو "چیک" کا اعلان کرنا ضروری ہے؟</v>
      </c>
      <c r="L22" s="6" t="str">
        <f>IFERROR(__xludf.DUMMYFUNCTION("GOOGLETRANSLATE(C22, ""en"", ""ur"")"),"A) جی ہاں، یہ قواعد کا لازمی حصہ ہے، B) نہیں، دھمکی کا اعلان شترنج میں بعد میں کی گئی اختراع تھی، C) صرف اس صورت میں جب دھمکی دینے والا ٹکڑا ہاتھی ہو، D) اسے اچھی کھیل کا مظاہرہ سمجھا جاتا ہے لیکن اس کی ضرورت نہیں ہے۔")</f>
        <v>A) جی ہاں، یہ قواعد کا لازمی حصہ ہے، B) نہیں، دھمکی کا اعلان شترنج میں بعد میں کی گئی اختراع تھی، C) صرف اس صورت میں جب دھمکی دینے والا ٹکڑا ہاتھی ہو، D) اسے اچھی کھیل کا مظاہرہ سمجھا جاتا ہے لیکن اس کی ضرورت نہیں ہے۔</v>
      </c>
      <c r="M22" s="6" t="str">
        <f>IFERROR(__xludf.DUMMYFUNCTION("GOOGLETRANSLATE(D22, ""en"", ""ur"")"),"ب) نہیں، دھمکی کا اعلان کرنا شترنج میں بعد کی اختراع تھی۔")</f>
        <v>ب) نہیں، دھمکی کا اعلان کرنا شترنج میں بعد کی اختراع تھی۔</v>
      </c>
      <c r="N22" s="6" t="str">
        <f>IFERROR(__xludf.DUMMYFUNCTION("GOOGLETRANSLATE(E22, ""en"", ""ur"")"),"اصل چتورنگا میں، خطرے کو دیکھنا مخالف کی ذمہ داری تھی۔ اگر وہ اپنے راجہ کو منتقل کرنے میں ناکام رہے تو اسے قانونی طور پر پکڑا جا سکتا ہے۔")</f>
        <v>اصل چتورنگا میں، خطرے کو دیکھنا مخالف کی ذمہ داری تھی۔ اگر وہ اپنے راجہ کو منتقل کرنے میں ناکام رہے تو اسے قانونی طور پر پکڑا جا سکتا ہے۔</v>
      </c>
    </row>
    <row r="23">
      <c r="A23" s="4">
        <v>22.0</v>
      </c>
      <c r="B23" s="5" t="s">
        <v>597</v>
      </c>
      <c r="C23" s="5" t="s">
        <v>598</v>
      </c>
      <c r="D23" s="5" t="s">
        <v>599</v>
      </c>
      <c r="E23" s="5" t="s">
        <v>600</v>
      </c>
      <c r="J23" s="6" t="str">
        <f>IFERROR(__xludf.DUMMYFUNCTION("GOOGLETRANSLATE(A23, ""en"", ""ur"")"),"22")</f>
        <v>22</v>
      </c>
      <c r="K23" s="6" t="str">
        <f>IFERROR(__xludf.DUMMYFUNCTION("GOOGLETRANSLATE(B23, ""en"", ""ur"")"),"آپ کے پاس a1 پر راجہ ہے۔ آپ کے مخالف کے پاس d4 پر گاجا ہے۔ کیا آپ کا راجہ فوری خطرے میں ہے؟")</f>
        <v>آپ کے پاس a1 پر راجہ ہے۔ آپ کے مخالف کے پاس d4 پر گاجا ہے۔ کیا آپ کا راجہ فوری خطرے میں ہے؟</v>
      </c>
      <c r="L23" s="6" t="str">
        <f>IFERROR(__xludf.DUMMYFUNCTION("GOOGLETRANSLATE(C23, ""en"", ""ur"")"),"A) ہاں، گاجا اگلی چال پر اسے پکڑ سکتا ہے، B) نہیں، راجہ محفوظ ہے، C) ہاں، لیکن صرف اس صورت میں جب d4 ایک سیاہ مربع ہو، D) یہ ڈائس رول پر منحصر ہے۔")</f>
        <v>A) ہاں، گاجا اگلی چال پر اسے پکڑ سکتا ہے، B) نہیں، راجہ محفوظ ہے، C) ہاں، لیکن صرف اس صورت میں جب d4 ایک سیاہ مربع ہو، D) یہ ڈائس رول پر منحصر ہے۔</v>
      </c>
      <c r="M23" s="6" t="str">
        <f>IFERROR(__xludf.DUMMYFUNCTION("GOOGLETRANSLATE(D23, ""en"", ""ur"")"),"ب) نہیں، راجہ محفوظ ہے۔")</f>
        <v>ب) نہیں، راجہ محفوظ ہے۔</v>
      </c>
      <c r="N23" s="6" t="str">
        <f>IFERROR(__xludf.DUMMYFUNCTION("GOOGLETRANSLATE(E23, ""en"", ""ur"")"),"d4 سے، گاجا کی چھلانگ b2، b6، f2، اور f6 پر اتر سکتی ہے۔ یہ a1 پر حملہ نہیں کر سکتا۔")</f>
        <v>d4 سے، گاجا کی چھلانگ b2، b6، f2، اور f6 پر اتر سکتی ہے۔ یہ a1 پر حملہ نہیں کر سکتا۔</v>
      </c>
    </row>
    <row r="24">
      <c r="A24" s="4">
        <v>23.0</v>
      </c>
      <c r="B24" s="5" t="s">
        <v>601</v>
      </c>
      <c r="C24" s="5" t="s">
        <v>602</v>
      </c>
      <c r="D24" s="5" t="s">
        <v>603</v>
      </c>
      <c r="E24" s="5" t="s">
        <v>604</v>
      </c>
      <c r="J24" s="6" t="str">
        <f>IFERROR(__xludf.DUMMYFUNCTION("GOOGLETRANSLATE(A24, ""en"", ""ur"")"),"23")</f>
        <v>23</v>
      </c>
      <c r="K24" s="6" t="str">
        <f>IFERROR(__xludf.DUMMYFUNCTION("GOOGLETRANSLATE(B24, ""en"", ""ur"")"),"ابتدائی سیٹ اپ میں، گجوں (ہاتھیوں) کی پوزیشن کیسے ہوتی ہے؟")</f>
        <v>ابتدائی سیٹ اپ میں، گجوں (ہاتھیوں) کی پوزیشن کیسے ہوتی ہے؟</v>
      </c>
      <c r="L24" s="6" t="str">
        <f>IFERROR(__xludf.DUMMYFUNCTION("GOOGLETRANSLATE(C24, ""en"", ""ur"")"),"A) کونوں میں، B) ہاتھیوں (رتھوں) کے آگے، C) راجہ اور منتری کے دونوں طرف، D) دوسرے ٹکڑوں کے سامنے دوسرے درجے پر")</f>
        <v>A) کونوں میں، B) ہاتھیوں (رتھوں) کے آگے، C) راجہ اور منتری کے دونوں طرف، D) دوسرے ٹکڑوں کے سامنے دوسرے درجے پر</v>
      </c>
      <c r="M24" s="6" t="str">
        <f>IFERROR(__xludf.DUMMYFUNCTION("GOOGLETRANSLATE(D24, ""en"", ""ur"")"),"ج) راجہ اور منتری کے دونوں طرف")</f>
        <v>ج) راجہ اور منتری کے دونوں طرف</v>
      </c>
      <c r="N24" s="6" t="str">
        <f>IFERROR(__xludf.DUMMYFUNCTION("GOOGLETRANSLATE(E24, ""en"", ""ur"")"),"پچھلا درجہ سیٹ اپ ہاتھی-اشوا-گجا-راجہ/منتری-گجا-اشوا-ہاتھی تھا۔ گجا جوڑے کے ٹکڑوں میں سب سے اندرونی تھے۔")</f>
        <v>پچھلا درجہ سیٹ اپ ہاتھی-اشوا-گجا-راجہ/منتری-گجا-اشوا-ہاتھی تھا۔ گجا جوڑے کے ٹکڑوں میں سب سے اندرونی تھے۔</v>
      </c>
    </row>
    <row r="25">
      <c r="A25" s="4">
        <v>24.0</v>
      </c>
      <c r="B25" s="5" t="s">
        <v>605</v>
      </c>
      <c r="C25" s="5" t="s">
        <v>606</v>
      </c>
      <c r="D25" s="5" t="s">
        <v>607</v>
      </c>
      <c r="E25" s="5" t="s">
        <v>608</v>
      </c>
      <c r="J25" s="6" t="str">
        <f>IFERROR(__xludf.DUMMYFUNCTION("GOOGLETRANSLATE(A25, ""en"", ""ur"")"),"24")</f>
        <v>24</v>
      </c>
      <c r="K25" s="6" t="str">
        <f>IFERROR(__xludf.DUMMYFUNCTION("GOOGLETRANSLATE(B25, ""en"", ""ur"")"),"چار کھلاڑیوں کے کھیل (چتوراجی) میں، ایک دوسرے کے مقابل بیٹھے کھلاڑی شراکت دار ہوتے ہیں۔ آپ کی ٹیم کا مقصد کیا ہے؟")</f>
        <v>چار کھلاڑیوں کے کھیل (چتوراجی) میں، ایک دوسرے کے مقابل بیٹھے کھلاڑی شراکت دار ہوتے ہیں۔ آپ کی ٹیم کا مقصد کیا ہے؟</v>
      </c>
      <c r="L25" s="6" t="str">
        <f>IFERROR(__xludf.DUMMYFUNCTION("GOOGLETRANSLATE(C25, ""en"", ""ur"")"),"A) مخالف راجوں میں سے کسی ایک پر قبضہ کرنا، B) بورڈ پر راجہ کے ساتھ آخری ٹیم بننا، C) دونوں مخالف راجوں کو پکڑنا، D) ٹکڑے ٹکڑے کر کے سب سے زیادہ پوائنٹس حاصل کرنا")</f>
        <v>A) مخالف راجوں میں سے کسی ایک پر قبضہ کرنا، B) بورڈ پر راجہ کے ساتھ آخری ٹیم بننا، C) دونوں مخالف راجوں کو پکڑنا، D) ٹکڑے ٹکڑے کر کے سب سے زیادہ پوائنٹس حاصل کرنا</v>
      </c>
      <c r="M25" s="6" t="str">
        <f>IFERROR(__xludf.DUMMYFUNCTION("GOOGLETRANSLATE(D25, ""en"", ""ur"")"),"ج) دونوں مخالف راجاؤں کو پکڑنا")</f>
        <v>ج) دونوں مخالف راجاؤں کو پکڑنا</v>
      </c>
      <c r="N25" s="6" t="str">
        <f>IFERROR(__xludf.DUMMYFUNCTION("GOOGLETRANSLATE(E25, ""en"", ""ur"")"),"اتحاد کے مختلف قسم میں، مخالف ٹیم کو شکست دے کر فتح حاصل کی گئی، جس کے لیے اس کے دونوں اراکین کے بادشاہوں کو پکڑنا ضروری تھا۔")</f>
        <v>اتحاد کے مختلف قسم میں، مخالف ٹیم کو شکست دے کر فتح حاصل کی گئی، جس کے لیے اس کے دونوں اراکین کے بادشاہوں کو پکڑنا ضروری تھا۔</v>
      </c>
    </row>
    <row r="26">
      <c r="A26" s="4">
        <v>25.0</v>
      </c>
      <c r="B26" s="5" t="s">
        <v>609</v>
      </c>
      <c r="C26" s="5" t="s">
        <v>610</v>
      </c>
      <c r="D26" s="5" t="s">
        <v>611</v>
      </c>
      <c r="E26" s="5" t="s">
        <v>612</v>
      </c>
      <c r="J26" s="6" t="str">
        <f>IFERROR(__xludf.DUMMYFUNCTION("GOOGLETRANSLATE(A26, ""en"", ""ur"")"),"25")</f>
        <v>25</v>
      </c>
      <c r="K26" s="6" t="str">
        <f>IFERROR(__xludf.DUMMYFUNCTION("GOOGLETRANSLATE(B26, ""en"", ""ur"")"),"آپ کے مخالف کے پاس صرف ان کا راجہ رہ گیا ہے۔ آپ کے پاس آپ کا راجہ، ایک ہاتھی اور ایک گاجا ہے۔ اینڈ گیم جیتنے کے لیے کون سا ٹکڑا سب سے اہم ہے؟")</f>
        <v>آپ کے مخالف کے پاس صرف ان کا راجہ رہ گیا ہے۔ آپ کے پاس آپ کا راجہ، ایک ہاتھی اور ایک گاجا ہے۔ اینڈ گیم جیتنے کے لیے کون سا ٹکڑا سب سے اہم ہے؟</v>
      </c>
      <c r="L26" s="6" t="str">
        <f>IFERROR(__xludf.DUMMYFUNCTION("GOOGLETRANSLATE(C26, ""en"", ""ur"")"),"A) راجہ، B) گجا، C) ہاتھی، D) ہاتھی اور گجا دونوں یکساں اہم ہیں۔")</f>
        <v>A) راجہ، B) گجا، C) ہاتھی، D) ہاتھی اور گجا دونوں یکساں اہم ہیں۔</v>
      </c>
      <c r="M26" s="6" t="str">
        <f>IFERROR(__xludf.DUMMYFUNCTION("GOOGLETRANSLATE(D26, ""en"", ""ur"")"),"ج) ہاتھی۔")</f>
        <v>ج) ہاتھی۔</v>
      </c>
      <c r="N26" s="6" t="str">
        <f>IFERROR(__xludf.DUMMYFUNCTION("GOOGLETRANSLATE(E26, ""en"", ""ur"")"),"ہاتھی کی لمبی دوری کی طاقت تنہا راجہ کو گھیرنے کی کلید ہے۔ گاجا مدد فراہم کرتا ہے لیکن ہاتھی سے کم اہم ہے۔")</f>
        <v>ہاتھی کی لمبی دوری کی طاقت تنہا راجہ کو گھیرنے کی کلید ہے۔ گاجا مدد فراہم کرتا ہے لیکن ہاتھی سے کم اہم ہے۔</v>
      </c>
    </row>
    <row r="27">
      <c r="A27" s="4">
        <v>26.0</v>
      </c>
      <c r="B27" s="5" t="s">
        <v>613</v>
      </c>
      <c r="C27" s="5" t="s">
        <v>614</v>
      </c>
      <c r="D27" s="5" t="s">
        <v>615</v>
      </c>
      <c r="E27" s="5" t="s">
        <v>616</v>
      </c>
      <c r="J27" s="6" t="str">
        <f>IFERROR(__xludf.DUMMYFUNCTION("GOOGLETRANSLATE(A27, ""en"", ""ur"")"),"26")</f>
        <v>26</v>
      </c>
      <c r="K27" s="6" t="str">
        <f>IFERROR(__xludf.DUMMYFUNCTION("GOOGLETRANSLATE(B27, ""en"", ""ur"")"),"ایک کھلاڑی کے پاس صرف ان کا راجہ اور ایک اشوا رہ گیا ہے۔ کیا وہ اکیلے دشمن راجہ کے خلاف جیت سکتے ہیں؟")</f>
        <v>ایک کھلاڑی کے پاس صرف ان کا راجہ اور ایک اشوا رہ گیا ہے۔ کیا وہ اکیلے دشمن راجہ کے خلاف جیت سکتے ہیں؟</v>
      </c>
      <c r="L27" s="6" t="str">
        <f>IFERROR(__xludf.DUMMYFUNCTION("GOOGLETRANSLATE(C27, ""en"", ""ur"")"),"A) ہاں، آسانی سے، B) ہاں، لیکن یہ انتہائی مشکل ہے، C) نہیں، یہ ایک نظریاتی ڈرا ہے، D) اشوا والا کھلاڑی آخر کار ہار جائے گا۔")</f>
        <v>A) ہاں، آسانی سے، B) ہاں، لیکن یہ انتہائی مشکل ہے، C) نہیں، یہ ایک نظریاتی ڈرا ہے، D) اشوا والا کھلاڑی آخر کار ہار جائے گا۔</v>
      </c>
      <c r="M27" s="6" t="str">
        <f>IFERROR(__xludf.DUMMYFUNCTION("GOOGLETRANSLATE(D27, ""en"", ""ur"")"),"C) نہیں، یہ ایک نظریاتی ڈرا ہے۔")</f>
        <v>C) نہیں، یہ ایک نظریاتی ڈرا ہے۔</v>
      </c>
      <c r="N27" s="6" t="str">
        <f>IFERROR(__xludf.DUMMYFUNCTION("GOOGLETRANSLATE(E27, ""en"", ""ur"")"),"جدید شطرنج میں کنگ اور نائٹ اینڈ گیم کی طرح، ایک ہی اشوا اور ایک بادشاہ کے پاس اتنی طاقت نہیں ہوتی کہ وہ تنہا بادشاہ کے خلاف زبردستی پکڑ سکے۔")</f>
        <v>جدید شطرنج میں کنگ اور نائٹ اینڈ گیم کی طرح، ایک ہی اشوا اور ایک بادشاہ کے پاس اتنی طاقت نہیں ہوتی کہ وہ تنہا بادشاہ کے خلاف زبردستی پکڑ سکے۔</v>
      </c>
    </row>
    <row r="28">
      <c r="A28" s="4">
        <v>27.0</v>
      </c>
      <c r="B28" s="5" t="s">
        <v>617</v>
      </c>
      <c r="C28" s="5" t="s">
        <v>618</v>
      </c>
      <c r="D28" s="5" t="s">
        <v>619</v>
      </c>
      <c r="E28" s="5" t="s">
        <v>620</v>
      </c>
      <c r="J28" s="6" t="str">
        <f>IFERROR(__xludf.DUMMYFUNCTION("GOOGLETRANSLATE(A28, ""en"", ""ur"")"),"27")</f>
        <v>27</v>
      </c>
      <c r="K28" s="6" t="str">
        <f>IFERROR(__xludf.DUMMYFUNCTION("GOOGLETRANSLATE(B28, ""en"", ""ur"")"),"ابتدائی سیٹ اپ میں، منتری (کونسلر) کو کہاں رکھا گیا ہے؟")</f>
        <v>ابتدائی سیٹ اپ میں، منتری (کونسلر) کو کہاں رکھا گیا ہے؟</v>
      </c>
      <c r="L28" s="6" t="str">
        <f>IFERROR(__xludf.DUMMYFUNCTION("GOOGLETRANSLATE(C28, ""en"", ""ur"")"),"A) راجہ کے سامنے، B) بورڈ کے کونے میں، C) راجہ کے ملحقہ چوک پر، D) دوسرے درجے پر پڈتیوں کے پیچھے")</f>
        <v>A) راجہ کے سامنے، B) بورڈ کے کونے میں، C) راجہ کے ملحقہ چوک پر، D) دوسرے درجے پر پڈتیوں کے پیچھے</v>
      </c>
      <c r="M28" s="6" t="str">
        <f>IFERROR(__xludf.DUMMYFUNCTION("GOOGLETRANSLATE(D28, ""en"", ""ur"")"),"ج) راجہ سے ملحقہ چوک پر")</f>
        <v>ج) راجہ سے ملحقہ چوک پر</v>
      </c>
      <c r="N28" s="6" t="str">
        <f>IFERROR(__xludf.DUMMYFUNCTION("GOOGLETRANSLATE(E28, ""en"", ""ur"")"),"منتری، بادشاہ کے مشیر کے طور پر، ہمیشہ اپنے راجہ کے ساتھ، پچھلے درجے کے مرکزی چوکوں میں سے ایک پر رکھا جاتا تھا۔")</f>
        <v>منتری، بادشاہ کے مشیر کے طور پر، ہمیشہ اپنے راجہ کے ساتھ، پچھلے درجے کے مرکزی چوکوں میں سے ایک پر رکھا جاتا تھا۔</v>
      </c>
    </row>
    <row r="29">
      <c r="A29" s="4">
        <v>28.0</v>
      </c>
      <c r="B29" s="5" t="s">
        <v>621</v>
      </c>
      <c r="C29" s="5" t="s">
        <v>622</v>
      </c>
      <c r="D29" s="5" t="s">
        <v>623</v>
      </c>
      <c r="E29" s="5" t="s">
        <v>624</v>
      </c>
      <c r="J29" s="6" t="str">
        <f>IFERROR(__xludf.DUMMYFUNCTION("GOOGLETRANSLATE(A29, ""en"", ""ur"")"),"28")</f>
        <v>28</v>
      </c>
      <c r="K29" s="6" t="str">
        <f>IFERROR(__xludf.DUMMYFUNCTION("GOOGLETRANSLATE(B29, ""en"", ""ur"")"),"ایک کھلاڑی کا ہاتھی a1 پر اور دوسرا ہاتھی h1 پر ہوتا ہے۔ ان کے مخالف راجہ بورڈ کے مرکز میں ہیں۔ اس سیٹ اپ کی اسٹریٹجک طاقت کیا ہے؟")</f>
        <v>ایک کھلاڑی کا ہاتھی a1 پر اور دوسرا ہاتھی h1 پر ہوتا ہے۔ ان کے مخالف راجہ بورڈ کے مرکز میں ہیں۔ اس سیٹ اپ کی اسٹریٹجک طاقت کیا ہے؟</v>
      </c>
      <c r="L29" s="6" t="str">
        <f>IFERROR(__xludf.DUMMYFUNCTION("GOOGLETRANSLATE(C29, ""en"", ""ur"")"),"A) یہ ایک کمزور سیٹ اپ ہے کیونکہ حوثی ایک دوسرے سے بہت دور ہیں، B) حوثی بیرونی فائلوں کو کنٹرول کرتے ہیں، جنہیں طاقتور پہلوؤں کے حملوں کے لیے استعمال کیا جا سکتا ہے، C) حوثی ایک دوسرے پر حملہ کر سکتے ہیں، D) وہ مخالف کے پڈاتیوں پر حملہ کرنے کے لیے تیار ہی"&amp;"ں۔")</f>
        <v>A) یہ ایک کمزور سیٹ اپ ہے کیونکہ حوثی ایک دوسرے سے بہت دور ہیں، B) حوثی بیرونی فائلوں کو کنٹرول کرتے ہیں، جنہیں طاقتور پہلوؤں کے حملوں کے لیے استعمال کیا جا سکتا ہے، C) حوثی ایک دوسرے پر حملہ کر سکتے ہیں، D) وہ مخالف کے پڈاتیوں پر حملہ کرنے کے لیے تیار ہیں۔</v>
      </c>
      <c r="M29" s="6" t="str">
        <f>IFERROR(__xludf.DUMMYFUNCTION("GOOGLETRANSLATE(D29, ""en"", ""ur"")"),"ب) حوثی بیرونی فائلوں کو کنٹرول کرتے ہیں، جو طاقتور پہلوؤں کے حملوں کے لیے استعمال کی جا سکتی ہیں۔")</f>
        <v>ب) حوثی بیرونی فائلوں کو کنٹرول کرتے ہیں، جو طاقتور پہلوؤں کے حملوں کے لیے استعمال کی جا سکتی ہیں۔</v>
      </c>
      <c r="N29" s="6" t="str">
        <f>IFERROR(__xludf.DUMMYFUNCTION("GOOGLETRANSLATE(E29, ""en"", ""ur"")"),"یہ سیٹ اپ، جدید شطرنج کی طرح، بورڈ کے کناروں پر طاقتور کنٹرول قائم کرتا ہے، جو حملے شروع کرنے یا جگہ کو کنٹرول کرنے کے لیے استعمال کیا جا سکتا ہے۔")</f>
        <v>یہ سیٹ اپ، جدید شطرنج کی طرح، بورڈ کے کناروں پر طاقتور کنٹرول قائم کرتا ہے، جو حملے شروع کرنے یا جگہ کو کنٹرول کرنے کے لیے استعمال کیا جا سکتا ہے۔</v>
      </c>
    </row>
    <row r="30">
      <c r="A30" s="4">
        <v>29.0</v>
      </c>
      <c r="B30" s="5" t="s">
        <v>625</v>
      </c>
      <c r="C30" s="5" t="s">
        <v>626</v>
      </c>
      <c r="D30" s="5" t="s">
        <v>627</v>
      </c>
      <c r="E30" s="5" t="s">
        <v>628</v>
      </c>
      <c r="J30" s="6" t="str">
        <f>IFERROR(__xludf.DUMMYFUNCTION("GOOGLETRANSLATE(A30, ""en"", ""ur"")"),"29")</f>
        <v>29</v>
      </c>
      <c r="K30" s="6" t="str">
        <f>IFERROR(__xludf.DUMMYFUNCTION("GOOGLETRANSLATE(B30, ""en"", ""ur"")"),"چار کھلاڑیوں کے کھیل میں، اگر کسی کھلاڑی کا راجہ پکڑا جائے تو کیا عام اصول تھا؟")</f>
        <v>چار کھلاڑیوں کے کھیل میں، اگر کسی کھلاڑی کا راجہ پکڑا جائے تو کیا عام اصول تھا؟</v>
      </c>
      <c r="L30" s="6" t="str">
        <f>IFERROR(__xludf.DUMMYFUNCTION("GOOGLETRANSLATE(C30, ""en"", ""ur"")"),"A) کھلاڑی کو کھیل سے خارج کر دیا گیا، B) کھلاڑی کے باقی ماندہ ٹکڑوں کو پکڑنے والے نے اپنے قبضے میں لے لیا، C) کھلاڑی ایک باری چھوٹ جانے کے بعد اپنے راجہ کو واپس لا سکتا تھا، D) A اور B دونوں عام اصول تھے۔")</f>
        <v>A) کھلاڑی کو کھیل سے خارج کر دیا گیا، B) کھلاڑی کے باقی ماندہ ٹکڑوں کو پکڑنے والے نے اپنے قبضے میں لے لیا، C) کھلاڑی ایک باری چھوٹ جانے کے بعد اپنے راجہ کو واپس لا سکتا تھا، D) A اور B دونوں عام اصول تھے۔</v>
      </c>
      <c r="M30" s="6" t="str">
        <f>IFERROR(__xludf.DUMMYFUNCTION("GOOGLETRANSLATE(D30, ""en"", ""ur"")"),"D) A اور B دونوں مشترکہ اصول تھے۔")</f>
        <v>D) A اور B دونوں مشترکہ اصول تھے۔</v>
      </c>
      <c r="N30" s="6" t="str">
        <f>IFERROR(__xludf.DUMMYFUNCTION("GOOGLETRANSLATE(E30, ""en"", ""ur"")"),"مختلف علاقائی متغیرات کے مختلف اصول تھے۔ کچھ میں، کھلاڑی صرف باہر تھا. دوسروں میں، فاتح نے شکست خوردہ فوج کو جذب کیا۔")</f>
        <v>مختلف علاقائی متغیرات کے مختلف اصول تھے۔ کچھ میں، کھلاڑی صرف باہر تھا. دوسروں میں، فاتح نے شکست خوردہ فوج کو جذب کیا۔</v>
      </c>
    </row>
    <row r="31">
      <c r="A31" s="4">
        <v>30.0</v>
      </c>
      <c r="B31" s="5" t="s">
        <v>629</v>
      </c>
      <c r="C31" s="5" t="s">
        <v>630</v>
      </c>
      <c r="D31" s="5" t="s">
        <v>631</v>
      </c>
      <c r="E31" s="5" t="s">
        <v>632</v>
      </c>
      <c r="J31" s="6" t="str">
        <f>IFERROR(__xludf.DUMMYFUNCTION("GOOGLETRANSLATE(A31, ""en"", ""ur"")"),"30")</f>
        <v>30</v>
      </c>
      <c r="K31" s="6" t="str">
        <f>IFERROR(__xludf.DUMMYFUNCTION("GOOGLETRANSLATE(B31, ""en"", ""ur"")"),"ایک کھلاڑی کے پاس صرف ایک راجہ اور ایک گاجا رہ جاتا ہے۔ کیا وہ اکیلے دشمن راجہ کے خلاف جیت سکتے ہیں؟")</f>
        <v>ایک کھلاڑی کے پاس صرف ایک راجہ اور ایک گاجا رہ جاتا ہے۔ کیا وہ اکیلے دشمن راجہ کے خلاف جیت سکتے ہیں؟</v>
      </c>
      <c r="L31" s="6" t="str">
        <f>IFERROR(__xludf.DUMMYFUNCTION("GOOGLETRANSLATE(C31, ""en"", ""ur"")"),"A) جی ہاں، آسانی سے، B) یہ ناممکن ہے؛ گیم ڈرا ہے، C) ہاں، لیکن یہ انتہائی مشکل ہے، D) گاجا والا کھلاڑی آخر کار ہار جائے گا")</f>
        <v>A) جی ہاں، آسانی سے، B) یہ ناممکن ہے؛ گیم ڈرا ہے، C) ہاں، لیکن یہ انتہائی مشکل ہے، D) گاجا والا کھلاڑی آخر کار ہار جائے گا</v>
      </c>
      <c r="M31" s="6" t="str">
        <f>IFERROR(__xludf.DUMMYFUNCTION("GOOGLETRANSLATE(D31, ""en"", ""ur"")"),"ب) یہ ناممکن ہے۔ کھیل ایک ڈرا ہے")</f>
        <v>ب) یہ ناممکن ہے۔ کھیل ایک ڈرا ہے</v>
      </c>
      <c r="N31" s="6" t="str">
        <f>IFERROR(__xludf.DUMMYFUNCTION("GOOGLETRANSLATE(E31, ""en"", ""ur"")"),"جدید شطرنج میں کنگ اور بشپ اینڈ گیم کی طرح، ایک گاجا جیت پر مجبور کرنے کے لیے کافی نہیں ہے۔")</f>
        <v>جدید شطرنج میں کنگ اور بشپ اینڈ گیم کی طرح، ایک گاجا جیت پر مجبور کرنے کے لیے کافی نہیں ہے۔</v>
      </c>
    </row>
    <row r="32">
      <c r="A32" s="4">
        <v>31.0</v>
      </c>
      <c r="B32" s="5" t="s">
        <v>633</v>
      </c>
      <c r="C32" s="5" t="s">
        <v>634</v>
      </c>
      <c r="D32" s="5" t="s">
        <v>635</v>
      </c>
      <c r="E32" s="5" t="s">
        <v>636</v>
      </c>
      <c r="J32" s="6" t="str">
        <f>IFERROR(__xludf.DUMMYFUNCTION("GOOGLETRANSLATE(A32, ""en"", ""ur"")"),"31")</f>
        <v>31</v>
      </c>
      <c r="K32" s="6" t="str">
        <f>IFERROR(__xludf.DUMMYFUNCTION("GOOGLETRANSLATE(B32, ""en"", ""ur"")"),"ڈی 7 پر ایک پڈاٹی کو ڈی 8 پر ایک ٹکڑے کے ذریعے بلاک کر دیا گیا ہے۔ ایک دشمن ہاتھی c8 پر ہے۔ کیا پڈاتی اس موڑ پر فروغ دے سکتا ہے؟")</f>
        <v>ڈی 7 پر ایک پڈاٹی کو ڈی 8 پر ایک ٹکڑے کے ذریعے بلاک کر دیا گیا ہے۔ ایک دشمن ہاتھی c8 پر ہے۔ کیا پڈاتی اس موڑ پر فروغ دے سکتا ہے؟</v>
      </c>
      <c r="L32" s="6" t="str">
        <f>IFERROR(__xludf.DUMMYFUNCTION("GOOGLETRANSLATE(C32, ""en"", ""ur"")"),"A) ہاں، ہتھی کو c8 پر پکڑ کر، B) نہیں، اسے فروغ دینے کے لیے d8 تک پہنچنا ضروری ہے، C) ہاں، d8 پر منتقل کر کے اگر یہ خالی ہوتا، D) پادٹی ہاتھیوں کو پکڑ نہیں سکتے۔")</f>
        <v>A) ہاں، ہتھی کو c8 پر پکڑ کر، B) نہیں، اسے فروغ دینے کے لیے d8 تک پہنچنا ضروری ہے، C) ہاں، d8 پر منتقل کر کے اگر یہ خالی ہوتا، D) پادٹی ہاتھیوں کو پکڑ نہیں سکتے۔</v>
      </c>
      <c r="M32" s="6" t="str">
        <f>IFERROR(__xludf.DUMMYFUNCTION("GOOGLETRANSLATE(D32, ""en"", ""ur"")"),"A) جی ہاں، c8 پر ہاتھی کو پکڑ کر")</f>
        <v>A) جی ہاں، c8 پر ہاتھی کو پکڑ کر</v>
      </c>
      <c r="N32" s="6" t="str">
        <f>IFERROR(__xludf.DUMMYFUNCTION("GOOGLETRANSLATE(E32, ""en"", ""ur"")"),"7 ویں رینک پر ایک پڈاتی 8 ویں رینک پر ایک ترچھا کیپچر کر سکتا ہے اور اسی اقدام میں ترقی پا سکتا ہے۔")</f>
        <v>7 ویں رینک پر ایک پڈاتی 8 ویں رینک پر ایک ترچھا کیپچر کر سکتا ہے اور اسی اقدام میں ترقی پا سکتا ہے۔</v>
      </c>
    </row>
    <row r="33">
      <c r="A33" s="4">
        <v>32.0</v>
      </c>
      <c r="B33" s="5" t="s">
        <v>637</v>
      </c>
      <c r="C33" s="5" t="s">
        <v>638</v>
      </c>
      <c r="D33" s="5" t="s">
        <v>639</v>
      </c>
      <c r="E33" s="5" t="s">
        <v>640</v>
      </c>
      <c r="J33" s="6" t="str">
        <f>IFERROR(__xludf.DUMMYFUNCTION("GOOGLETRANSLATE(A33, ""en"", ""ur"")"),"32")</f>
        <v>32</v>
      </c>
      <c r="K33" s="6" t="str">
        <f>IFERROR(__xludf.DUMMYFUNCTION("GOOGLETRANSLATE(B33, ""en"", ""ur"")"),"آپ کے مخالف کا راجہ h8 پر ہے، پھنس گیا ہے۔ آپ کے پاس a7 پر ہاتھی ہے اور f7 پر اشوا ہے۔ کون سا ٹکڑا آخری دھچکا پہنچا سکتا ہے؟")</f>
        <v>آپ کے مخالف کا راجہ h8 پر ہے، پھنس گیا ہے۔ آپ کے پاس a7 پر ہاتھی ہے اور f7 پر اشوا ہے۔ کون سا ٹکڑا آخری دھچکا پہنچا سکتا ہے؟</v>
      </c>
      <c r="L33" s="6" t="str">
        <f>IFERROR(__xludf.DUMMYFUNCTION("GOOGLETRANSLATE(C33, ""en"", ""ur"")"),"A) صرف ہاتھی، B) صرف اشوا، C) دونوں کر سکتے ہیں، D) کوئی بھی نہیں۔")</f>
        <v>A) صرف ہاتھی، B) صرف اشوا، C) دونوں کر سکتے ہیں، D) کوئی بھی نہیں۔</v>
      </c>
      <c r="M33" s="6" t="str">
        <f>IFERROR(__xludf.DUMMYFUNCTION("GOOGLETRANSLATE(D33, ""en"", ""ur"")"),"ب) صرف اشوا")</f>
        <v>ب) صرف اشوا</v>
      </c>
      <c r="N33" s="6" t="str">
        <f>IFERROR(__xludf.DUMMYFUNCTION("GOOGLETRANSLATE(E33, ""en"", ""ur"")"),"f7 پر اشوا براہ راست h8 پر حملہ کرتا ہے۔ A7 پر ہاتھی a-فائل اور 7ویں رینک پر حملہ کرتا ہے لیکن کونے والے مربع h8 پر حملہ نہیں کر سکتا۔")</f>
        <v>f7 پر اشوا براہ راست h8 پر حملہ کرتا ہے۔ A7 پر ہاتھی a-فائل اور 7ویں رینک پر حملہ کرتا ہے لیکن کونے والے مربع h8 پر حملہ نہیں کر سکتا۔</v>
      </c>
    </row>
    <row r="34">
      <c r="A34" s="4">
        <v>33.0</v>
      </c>
      <c r="B34" s="5" t="s">
        <v>641</v>
      </c>
      <c r="C34" s="5" t="s">
        <v>642</v>
      </c>
      <c r="D34" s="5" t="s">
        <v>643</v>
      </c>
      <c r="E34" s="5" t="s">
        <v>644</v>
      </c>
      <c r="J34" s="6" t="str">
        <f>IFERROR(__xludf.DUMMYFUNCTION("GOOGLETRANSLATE(A34, ""en"", ""ur"")"),"33")</f>
        <v>33</v>
      </c>
      <c r="K34" s="6" t="str">
        <f>IFERROR(__xludf.DUMMYFUNCTION("GOOGLETRANSLATE(B34, ""en"", ""ur"")"),"چتورنگا کے ایک معیاری دو کھلاڑیوں کے کھیل میں ٹکڑوں کی کل تعداد کتنی ہے؟")</f>
        <v>چتورنگا کے ایک معیاری دو کھلاڑیوں کے کھیل میں ٹکڑوں کی کل تعداد کتنی ہے؟</v>
      </c>
      <c r="L34" s="6" t="str">
        <f>IFERROR(__xludf.DUMMYFUNCTION("GOOGLETRANSLATE(C34, ""en"", ""ur"")"),"A) 24، B) 30، C) 32، D) 36")</f>
        <v>A) 24، B) 30، C) 32، D) 36</v>
      </c>
      <c r="M34" s="6" t="str">
        <f>IFERROR(__xludf.DUMMYFUNCTION("GOOGLETRANSLATE(D34, ""en"", ""ur"")"),"ج) 32")</f>
        <v>ج) 32</v>
      </c>
      <c r="N34" s="6" t="str">
        <f>IFERROR(__xludf.DUMMYFUNCTION("GOOGLETRANSLATE(E34, ""en"", ""ur"")"),"دو کھلاڑیوں میں سے ہر ایک کے لئے 16 ٹکڑوں کے ساتھ (8 پاڈیٹس اور 8 بڑے ٹکڑے)، کل 32 ہے۔")</f>
        <v>دو کھلاڑیوں میں سے ہر ایک کے لئے 16 ٹکڑوں کے ساتھ (8 پاڈیٹس اور 8 بڑے ٹکڑے)، کل 32 ہے۔</v>
      </c>
    </row>
    <row r="35">
      <c r="A35" s="4">
        <v>34.0</v>
      </c>
      <c r="B35" s="5" t="s">
        <v>645</v>
      </c>
      <c r="C35" s="5" t="s">
        <v>646</v>
      </c>
      <c r="D35" s="5" t="s">
        <v>647</v>
      </c>
      <c r="E35" s="5" t="s">
        <v>648</v>
      </c>
      <c r="J35" s="6" t="str">
        <f>IFERROR(__xludf.DUMMYFUNCTION("GOOGLETRANSLATE(A35, ""en"", ""ur"")"),"34")</f>
        <v>34</v>
      </c>
      <c r="K35" s="6" t="str">
        <f>IFERROR(__xludf.DUMMYFUNCTION("GOOGLETRANSLATE(B35, ""en"", ""ur"")"),"ایک راجہ c1 پر ہے۔ ایک دشمن راجہ e1 پر ہے۔ یہ غیر قانونی پوزیشن کیوں ہے؟")</f>
        <v>ایک راجہ c1 پر ہے۔ ایک دشمن راجہ e1 پر ہے۔ یہ غیر قانونی پوزیشن کیوں ہے؟</v>
      </c>
      <c r="L35" s="6" t="str">
        <f>IFERROR(__xludf.DUMMYFUNCTION("GOOGLETRANSLATE(C35, ""en"", ""ur"")"),"A) بادشاہ ایک ہی عہدے پر ہیں، B) بادشاہ ایک دوسرے کے بہت قریب ہیں، C) ایک بادشاہ کا سیاہ چوک پر ہونا ضروری ہے، D) یہ ایک قانونی حیثیت ہے۔")</f>
        <v>A) بادشاہ ایک ہی عہدے پر ہیں، B) بادشاہ ایک دوسرے کے بہت قریب ہیں، C) ایک بادشاہ کا سیاہ چوک پر ہونا ضروری ہے، D) یہ ایک قانونی حیثیت ہے۔</v>
      </c>
      <c r="M35" s="6" t="str">
        <f>IFERROR(__xludf.DUMMYFUNCTION("GOOGLETRANSLATE(D35, ""en"", ""ur"")"),"ب) بادشاہ ایک دوسرے کے بہت قریب ہیں۔")</f>
        <v>ب) بادشاہ ایک دوسرے کے بہت قریب ہیں۔</v>
      </c>
      <c r="N35" s="6" t="str">
        <f>IFERROR(__xludf.DUMMYFUNCTION("GOOGLETRANSLATE(E35, ""en"", ""ur"")"),"جیسا کہ جدید شطرنج میں، دونوں بادشاہ کبھی بھی ملحقہ چوکوں پر نہیں ہو سکتے، کیونکہ اس کا مطلب یہ ہوگا کہ وہ بیک وقت ایک دوسرے پر حملہ کر رہے ہیں۔")</f>
        <v>جیسا کہ جدید شطرنج میں، دونوں بادشاہ کبھی بھی ملحقہ چوکوں پر نہیں ہو سکتے، کیونکہ اس کا مطلب یہ ہوگا کہ وہ بیک وقت ایک دوسرے پر حملہ کر رہے ہیں۔</v>
      </c>
    </row>
    <row r="36">
      <c r="A36" s="4">
        <v>35.0</v>
      </c>
      <c r="B36" s="5" t="s">
        <v>649</v>
      </c>
      <c r="C36" s="5" t="s">
        <v>650</v>
      </c>
      <c r="D36" s="5" t="s">
        <v>651</v>
      </c>
      <c r="E36" s="5" t="s">
        <v>652</v>
      </c>
      <c r="J36" s="6" t="str">
        <f>IFERROR(__xludf.DUMMYFUNCTION("GOOGLETRANSLATE(A36, ""en"", ""ur"")"),"35")</f>
        <v>35</v>
      </c>
      <c r="K36" s="6" t="str">
        <f>IFERROR(__xludf.DUMMYFUNCTION("GOOGLETRANSLATE(B36, ""en"", ""ur"")"),"ایک کھلاڑی کے پاس a1 پر گاجا ہے۔ ان کا مخالف اسے بلاک کرنے کے لیے b2 پر ایک پڈاٹی رکھتا ہے۔ کیا یہ ایک مؤثر بلاک ہے؟")</f>
        <v>ایک کھلاڑی کے پاس a1 پر گاجا ہے۔ ان کا مخالف اسے بلاک کرنے کے لیے b2 پر ایک پڈاٹی رکھتا ہے۔ کیا یہ ایک مؤثر بلاک ہے؟</v>
      </c>
      <c r="L36" s="6" t="str">
        <f>IFERROR(__xludf.DUMMYFUNCTION("GOOGLETRANSLATE(C36, ""en"", ""ur"")"),"A) جی ہاں، گاجا اب پھنس گیا ہے، B) نہیں، گاجا b2 سے c3 کے ٹکڑے پر چھلانگ لگا سکتا ہے، C) صرف اس صورت میں جب b2 پر ٹکڑا ہاتھی ہو، D) ہاں، لیکن صرف ایک باری کے لیے")</f>
        <v>A) جی ہاں، گاجا اب پھنس گیا ہے، B) نہیں، گاجا b2 سے c3 کے ٹکڑے پر چھلانگ لگا سکتا ہے، C) صرف اس صورت میں جب b2 پر ٹکڑا ہاتھی ہو، D) ہاں، لیکن صرف ایک باری کے لیے</v>
      </c>
      <c r="M36" s="6" t="str">
        <f>IFERROR(__xludf.DUMMYFUNCTION("GOOGLETRANSLATE(D36, ""en"", ""ur"")"),"ب) نہیں، گاجا b2 سے c3 پر ٹکڑے پر چھلانگ لگا سکتا ہے۔")</f>
        <v>ب) نہیں، گاجا b2 سے c3 پر ٹکڑے پر چھلانگ لگا سکتا ہے۔</v>
      </c>
      <c r="N36" s="6" t="str">
        <f>IFERROR(__xludf.DUMMYFUNCTION("GOOGLETRANSLATE(E36, ""en"", ""ur"")"),"گاجا کو مسدود کرنے کے لیے اس کے ممکنہ لینڈنگ اسکوائر (جیسے c3) پر قبضہ کرنے کی ضرورت ہوتی ہے، نہ کہ اس مربع پر جس پر وہ چھلانگ لگاتا ہے۔")</f>
        <v>گاجا کو مسدود کرنے کے لیے اس کے ممکنہ لینڈنگ اسکوائر (جیسے c3) پر قبضہ کرنے کی ضرورت ہوتی ہے، نہ کہ اس مربع پر جس پر وہ چھلانگ لگاتا ہے۔</v>
      </c>
    </row>
    <row r="37">
      <c r="A37" s="4">
        <v>36.0</v>
      </c>
      <c r="B37" s="5" t="s">
        <v>653</v>
      </c>
      <c r="C37" s="5" t="s">
        <v>654</v>
      </c>
      <c r="D37" s="5" t="s">
        <v>655</v>
      </c>
      <c r="E37" s="5" t="s">
        <v>656</v>
      </c>
      <c r="J37" s="6" t="str">
        <f>IFERROR(__xludf.DUMMYFUNCTION("GOOGLETRANSLATE(A37, ""en"", ""ur"")"),"36")</f>
        <v>36</v>
      </c>
      <c r="K37" s="6" t="str">
        <f>IFERROR(__xludf.DUMMYFUNCTION("GOOGLETRANSLATE(B37, ""en"", ""ur"")"),"آپ کی ہاتھی b1 پر ہے اور آپ کا راجہ c1 پر ہے۔ ایک دشمن گاجا e3 پر ہے۔ بنیادی خطرہ کیا ہے؟")</f>
        <v>آپ کی ہاتھی b1 پر ہے اور آپ کا راجہ c1 پر ہے۔ ایک دشمن گاجا e3 پر ہے۔ بنیادی خطرہ کیا ہے؟</v>
      </c>
      <c r="L37" s="6" t="str">
        <f>IFERROR(__xludf.DUMMYFUNCTION("GOOGLETRANSLATE(C37, ""en"", ""ur"")"),"A) گجا ہاتھی کو b1 پر پکڑ سکتا ہے، B) گاجا راجہ کو پکڑنے کے لیے c1 پر چھلانگ لگا سکتا ہے، C) گاجا d2 پر چھلانگ لگا سکتا ہے، D) کوئی فوری خطرہ نہیں ہے۔")</f>
        <v>A) گجا ہاتھی کو b1 پر پکڑ سکتا ہے، B) گاجا راجہ کو پکڑنے کے لیے c1 پر چھلانگ لگا سکتا ہے، C) گاجا d2 پر چھلانگ لگا سکتا ہے، D) کوئی فوری خطرہ نہیں ہے۔</v>
      </c>
      <c r="M37" s="6" t="str">
        <f>IFERROR(__xludf.DUMMYFUNCTION("GOOGLETRANSLATE(D37, ""en"", ""ur"")"),"ب) گاجا راجہ کو پکڑنے کے لیے c1 تک چھلانگ لگا سکتا ہے۔")</f>
        <v>ب) گاجا راجہ کو پکڑنے کے لیے c1 تک چھلانگ لگا سکتا ہے۔</v>
      </c>
      <c r="N37" s="6" t="str">
        <f>IFERROR(__xludf.DUMMYFUNCTION("GOOGLETRANSLATE(E37, ""en"", ""ur"")"),"e3 پر گاجا d2 مربع پر چھلانگ لگا سکتا ہے (چاہے اس پر قبضہ ہو یا نہ ہو) براہ راست c1 پر ٹکڑے کو پکڑنے کے لیے۔")</f>
        <v>e3 پر گاجا d2 مربع پر چھلانگ لگا سکتا ہے (چاہے اس پر قبضہ ہو یا نہ ہو) براہ راست c1 پر ٹکڑے کو پکڑنے کے لیے۔</v>
      </c>
    </row>
    <row r="38">
      <c r="A38" s="4">
        <v>37.0</v>
      </c>
      <c r="B38" s="5" t="s">
        <v>657</v>
      </c>
      <c r="C38" s="5" t="s">
        <v>658</v>
      </c>
      <c r="D38" s="5" t="s">
        <v>659</v>
      </c>
      <c r="E38" s="5" t="s">
        <v>660</v>
      </c>
      <c r="J38" s="6" t="str">
        <f>IFERROR(__xludf.DUMMYFUNCTION("GOOGLETRANSLATE(A38, ""en"", ""ur"")"),"37")</f>
        <v>37</v>
      </c>
      <c r="K38" s="6" t="str">
        <f>IFERROR(__xludf.DUMMYFUNCTION("GOOGLETRANSLATE(B38, ""en"", ""ur"")"),"آپ کے مخالف کا راجہ e8 پر ہے۔ آپ کے پاس دو گجا ہیں، ایک c6 پر اور ایک d6 پر۔ دشمن راجہ کی کیا حیثیت ہے؟")</f>
        <v>آپ کے مخالف کا راجہ e8 پر ہے۔ آپ کے پاس دو گجا ہیں، ایک c6 پر اور ایک d6 پر۔ دشمن راجہ کی کیا حیثیت ہے؟</v>
      </c>
      <c r="L38" s="6" t="str">
        <f>IFERROR(__xludf.DUMMYFUNCTION("GOOGLETRANSLATE(C38, ""en"", ""ur"")"),"A) اس پر گاجا نے c6 پر حملہ کیا، B) اس پر گاجا نے d6 پر حملہ کیا، C) اس پر دونوں نے حملہ کیا، D) یہ محفوظ ہے۔")</f>
        <v>A) اس پر گاجا نے c6 پر حملہ کیا، B) اس پر گاجا نے d6 پر حملہ کیا، C) اس پر دونوں نے حملہ کیا، D) یہ محفوظ ہے۔</v>
      </c>
      <c r="M38" s="6" t="str">
        <f>IFERROR(__xludf.DUMMYFUNCTION("GOOGLETRANSLATE(D38, ""en"", ""ur"")"),"ب) اس پر گاجا نے d6 پر حملہ کیا۔")</f>
        <v>ب) اس پر گاجا نے d6 پر حملہ کیا۔</v>
      </c>
      <c r="N38" s="6" t="str">
        <f>IFERROR(__xludf.DUMMYFUNCTION("GOOGLETRANSLATE(E38, ""en"", ""ur"")"),"d6 سے، ایک گاجا b8، f8، b4، اور f4 تک چھلانگ لگا سکتا ہے۔ یہ f8 پر راجہ پر حملہ کرتا ہے۔ c6 پر گاجا e8 پر حملہ نہیں کر سکتا۔ تصحیح: یہ ایک ناقص منظر نامہ ہے۔ آئیے اسے ٹھیک کرتے ہیں۔ آپ کے پاس c6 پر گاجا ہے۔ یہ a8, e8, a4, e4 پر حملہ کرتا ہے۔ A) اس پر گاجا"&amp;" نے c6 پر حملہ کیا ہے۔")</f>
        <v>d6 سے، ایک گاجا b8، f8، b4، اور f4 تک چھلانگ لگا سکتا ہے۔ یہ f8 پر راجہ پر حملہ کرتا ہے۔ c6 پر گاجا e8 پر حملہ نہیں کر سکتا۔ تصحیح: یہ ایک ناقص منظر نامہ ہے۔ آئیے اسے ٹھیک کرتے ہیں۔ آپ کے پاس c6 پر گاجا ہے۔ یہ a8, e8, a4, e4 پر حملہ کرتا ہے۔ A) اس پر گاجا نے c6 پر حملہ کیا ہے۔</v>
      </c>
    </row>
    <row r="39">
      <c r="A39" s="4">
        <v>38.0</v>
      </c>
      <c r="B39" s="5" t="s">
        <v>661</v>
      </c>
      <c r="C39" s="5" t="s">
        <v>662</v>
      </c>
      <c r="D39" s="5" t="s">
        <v>663</v>
      </c>
      <c r="E39" s="5" t="s">
        <v>664</v>
      </c>
      <c r="J39" s="6" t="str">
        <f>IFERROR(__xludf.DUMMYFUNCTION("GOOGLETRANSLATE(A39, ""en"", ""ur"")"),"38")</f>
        <v>38</v>
      </c>
      <c r="K39" s="6" t="str">
        <f>IFERROR(__xludf.DUMMYFUNCTION("GOOGLETRANSLATE(B39, ""en"", ""ur"")"),"جدید شطرنج میں ایک پیادے کے مقابلے چتورنگا میں ایک ہی پاداٹی کو زیادہ قیمتی سمجھا جانے کی بنیادی وجہ کیا ہے؟")</f>
        <v>جدید شطرنج میں ایک پیادے کے مقابلے چتورنگا میں ایک ہی پاداٹی کو زیادہ قیمتی سمجھا جانے کی بنیادی وجہ کیا ہے؟</v>
      </c>
      <c r="L39" s="6" t="str">
        <f>IFERROR(__xludf.DUMMYFUNCTION("GOOGLETRANSLATE(C39, ""en"", ""ur"")"),"A) یہ پیچھے کی طرف بڑھ سکتا ہے، B) دوسرے ٹکڑوں کی کمزوری نے ایک ""پاس"" پاداٹی کو روکنا مشکل بنا دیا، C) یہ سیدھا آگے پکڑ سکتا ہے، D) اسے ملکہ بنا دیا گیا۔")</f>
        <v>A) یہ پیچھے کی طرف بڑھ سکتا ہے، B) دوسرے ٹکڑوں کی کمزوری نے ایک "پاس" پاداٹی کو روکنا مشکل بنا دیا، C) یہ سیدھا آگے پکڑ سکتا ہے، D) اسے ملکہ بنا دیا گیا۔</v>
      </c>
      <c r="M39" s="6" t="str">
        <f>IFERROR(__xludf.DUMMYFUNCTION("GOOGLETRANSLATE(D39, ""en"", ""ur"")"),"ب) دوسرے ٹکڑوں کی کمزوری نے ""پاس شدہ"" پداٹی کو روکنا مشکل بنا دیا۔")</f>
        <v>ب) دوسرے ٹکڑوں کی کمزوری نے "پاس شدہ" پداٹی کو روکنا مشکل بنا دیا۔</v>
      </c>
      <c r="N39" s="6" t="str">
        <f>IFERROR(__xludf.DUMMYFUNCTION("GOOGLETRANSLATE(E39, ""en"", ""ur"")"),"کوئی طاقتور ملکہ اور اخترن کو کنٹرول کرنے کے لیے صرف قلیل فاصلے کے گاجوں کے بغیر، ایک پڈاتی جو دشمن کی لکیروں کو توڑتی تھی ایک بہت زیادہ سنگین خطرہ تھا۔")</f>
        <v>کوئی طاقتور ملکہ اور اخترن کو کنٹرول کرنے کے لیے صرف قلیل فاصلے کے گاجوں کے بغیر، ایک پڈاتی جو دشمن کی لکیروں کو توڑتی تھی ایک بہت زیادہ سنگین خطرہ تھا۔</v>
      </c>
    </row>
    <row r="40">
      <c r="A40" s="4">
        <v>39.0</v>
      </c>
      <c r="B40" s="5" t="s">
        <v>665</v>
      </c>
      <c r="C40" s="5" t="s">
        <v>666</v>
      </c>
      <c r="D40" s="5" t="s">
        <v>667</v>
      </c>
      <c r="E40" s="5" t="s">
        <v>668</v>
      </c>
      <c r="J40" s="6" t="str">
        <f>IFERROR(__xludf.DUMMYFUNCTION("GOOGLETRANSLATE(A40, ""en"", ""ur"")"),"39")</f>
        <v>39</v>
      </c>
      <c r="K40" s="6" t="str">
        <f>IFERROR(__xludf.DUMMYFUNCTION("GOOGLETRANSLATE(B40, ""en"", ""ur"")"),"ایک کھلاڑی کا راجہ e1 پر ہوتا ہے۔ مخالف اپنی ہاتھی e8 پر رکھتا ہے۔ درمیان کے تمام مربعے خالی ہیں۔ یہ کیا صورت حال ہے؟")</f>
        <v>ایک کھلاڑی کا راجہ e1 پر ہوتا ہے۔ مخالف اپنی ہاتھی e8 پر رکھتا ہے۔ درمیان کے تمام مربعے خالی ہیں۔ یہ کیا صورت حال ہے؟</v>
      </c>
      <c r="L40" s="6" t="str">
        <f>IFERROR(__xludf.DUMMYFUNCTION("GOOGLETRANSLATE(C40, ""en"", ""ur"")"),"A) کانٹا، B) ایک پن، C) راجہ براہ راست حملے کی زد میں ہے، D) ایک سیخ")</f>
        <v>A) کانٹا، B) ایک پن، C) راجہ براہ راست حملے کی زد میں ہے، D) ایک سیخ</v>
      </c>
      <c r="M40" s="6" t="str">
        <f>IFERROR(__xludf.DUMMYFUNCTION("GOOGLETRANSLATE(D40, ""en"", ""ur"")"),"سی) راجہ براہ راست حملے کی زد میں ہے۔")</f>
        <v>سی) راجہ براہ راست حملے کی زد میں ہے۔</v>
      </c>
      <c r="N40" s="6" t="str">
        <f>IFERROR(__xludf.DUMMYFUNCTION("GOOGLETRANSLATE(E40, ""en"", ""ur"")"),"e8 پر ہاتھی براہ راست کھلی فائل کے نیچے e1 پر راجہ کو پکڑنے کی دھمکی دیتا ہے۔ کھلاڑی کو اپنے راجہ کو منتقل کرنا ہوگا یا حملے کو روکنا ہوگا۔")</f>
        <v>e8 پر ہاتھی براہ راست کھلی فائل کے نیچے e1 پر راجہ کو پکڑنے کی دھمکی دیتا ہے۔ کھلاڑی کو اپنے راجہ کو منتقل کرنا ہوگا یا حملے کو روکنا ہوگا۔</v>
      </c>
    </row>
    <row r="41">
      <c r="A41" s="4">
        <v>40.0</v>
      </c>
      <c r="B41" s="5" t="s">
        <v>669</v>
      </c>
      <c r="C41" s="5" t="s">
        <v>670</v>
      </c>
      <c r="D41" s="5" t="s">
        <v>671</v>
      </c>
      <c r="E41" s="5" t="s">
        <v>672</v>
      </c>
      <c r="J41" s="6" t="str">
        <f>IFERROR(__xludf.DUMMYFUNCTION("GOOGLETRANSLATE(A41, ""en"", ""ur"")"),"40")</f>
        <v>40</v>
      </c>
      <c r="K41" s="6" t="str">
        <f>IFERROR(__xludf.DUMMYFUNCTION("GOOGLETRANSLATE(B41, ""en"", ""ur"")"),"جی ایٹ پر آپ کا راجہ ہے۔ آپ کے مخالف کی a1 اور b1 پر دو ہاتھیاں ہیں۔ مخالف کا اصل خطرہ کیا ہے؟")</f>
        <v>جی ایٹ پر آپ کا راجہ ہے۔ آپ کے مخالف کی a1 اور b1 پر دو ہاتھیاں ہیں۔ مخالف کا اصل خطرہ کیا ہے؟</v>
      </c>
      <c r="L41" s="6" t="str">
        <f>IFERROR(__xludf.DUMMYFUNCTION("GOOGLETRANSLATE(C41, ""en"", ""ur"")"),"A) آپ کے بقیہ پاڈیٹس پر حملہ کرنے کے لیے، B) ایک ""سیڑھی"" یا ""لان موور"" کیپچر پیٹرن بنانے کے لیے، C) اپنے ٹکڑوں کو کانٹے دار بنانے کے لیے، D) ان کے اپنے پاڈیٹس کو فروغ دینے کے لیے")</f>
        <v>A) آپ کے بقیہ پاڈیٹس پر حملہ کرنے کے لیے، B) ایک "سیڑھی" یا "لان موور" کیپچر پیٹرن بنانے کے لیے، C) اپنے ٹکڑوں کو کانٹے دار بنانے کے لیے، D) ان کے اپنے پاڈیٹس کو فروغ دینے کے لیے</v>
      </c>
      <c r="M41" s="6" t="str">
        <f>IFERROR(__xludf.DUMMYFUNCTION("GOOGLETRANSLATE(D41, ""en"", ""ur"")"),"ب) ایک ""سیڑھی"" یا ""لان موور"" کیپچر پیٹرن بنانا")</f>
        <v>ب) ایک "سیڑھی" یا "لان موور" کیپچر پیٹرن بنانا</v>
      </c>
      <c r="N41" s="6" t="str">
        <f>IFERROR(__xludf.DUMMYFUNCTION("GOOGLETRANSLATE(E41, ""en"", ""ur"")"),"ملحقہ فائلوں پر دو ہاتھیاں (یا روکس) ناقابل یقین حد تک طاقتور ہیں اور ایک بادشاہ کو پکڑے جانے کے لیے منظم طریقے سے بورڈ کے کنارے تک لے جانے کے لیے مل کر کام کر سکتے ہیں۔")</f>
        <v>ملحقہ فائلوں پر دو ہاتھیاں (یا روکس) ناقابل یقین حد تک طاقتور ہیں اور ایک بادشاہ کو پکڑے جانے کے لیے منظم طریقے سے بورڈ کے کنارے تک لے جانے کے لیے مل کر کام کر سکتے ہیں۔</v>
      </c>
    </row>
    <row r="42">
      <c r="A42" s="4">
        <v>41.0</v>
      </c>
      <c r="B42" s="5" t="s">
        <v>673</v>
      </c>
      <c r="C42" s="5" t="s">
        <v>674</v>
      </c>
      <c r="D42" s="5" t="s">
        <v>675</v>
      </c>
      <c r="E42" s="5" t="s">
        <v>676</v>
      </c>
      <c r="J42" s="6" t="str">
        <f>IFERROR(__xludf.DUMMYFUNCTION("GOOGLETRANSLATE(A42, ""en"", ""ur"")"),"41")</f>
        <v>41</v>
      </c>
      <c r="K42" s="6" t="str">
        <f>IFERROR(__xludf.DUMMYFUNCTION("GOOGLETRANSLATE(B42, ""en"", ""ur"")"),"ایک دشمن منتری c6 پر ہے۔ آپ کا ہاتھی d5 پر ہے۔ کیا آپ کا ہاتھی منتری کو پکڑ سکتا ہے؟")</f>
        <v>ایک دشمن منتری c6 پر ہے۔ آپ کا ہاتھی d5 پر ہے۔ کیا آپ کا ہاتھی منتری کو پکڑ سکتا ہے؟</v>
      </c>
      <c r="L42" s="6" t="str">
        <f>IFERROR(__xludf.DUMMYFUNCTION("GOOGLETRANSLATE(C42, ""en"", ""ur"")"),"A) ہاں، c5 اور پھر c6 پر جانے سے، B) نہیں، یہ ایک غیر قانونی اقدام ہے، C) ہاں، براہ راست c6 پر جانے سے، D) نہیں، اس کا راستہ مسدود ہو جاتا ہے۔")</f>
        <v>A) ہاں، c5 اور پھر c6 پر جانے سے، B) نہیں، یہ ایک غیر قانونی اقدام ہے، C) ہاں، براہ راست c6 پر جانے سے، D) نہیں، اس کا راستہ مسدود ہو جاتا ہے۔</v>
      </c>
      <c r="M42" s="6" t="str">
        <f>IFERROR(__xludf.DUMMYFUNCTION("GOOGLETRANSLATE(D42, ""en"", ""ur"")"),"ب) نہیں، یہ ایک غیر قانونی اقدام ہے۔")</f>
        <v>ب) نہیں، یہ ایک غیر قانونی اقدام ہے۔</v>
      </c>
      <c r="N42" s="6" t="str">
        <f>IFERROR(__xludf.DUMMYFUNCTION("GOOGLETRANSLATE(E42, ""en"", ""ur"")"),"ہاتھی افقی اور عمودی طور پر حرکت کرتی ہے۔ d5 سے c6 تک کی حرکت ترچھی ہے اور اس لیے ہاتھی کے لیے غیر قانونی ہے۔")</f>
        <v>ہاتھی افقی اور عمودی طور پر حرکت کرتی ہے۔ d5 سے c6 تک کی حرکت ترچھی ہے اور اس لیے ہاتھی کے لیے غیر قانونی ہے۔</v>
      </c>
    </row>
    <row r="43">
      <c r="A43" s="4">
        <v>42.0</v>
      </c>
      <c r="B43" s="5" t="s">
        <v>677</v>
      </c>
      <c r="C43" s="5" t="s">
        <v>678</v>
      </c>
      <c r="D43" s="5" t="s">
        <v>679</v>
      </c>
      <c r="E43" s="5" t="s">
        <v>680</v>
      </c>
      <c r="J43" s="6" t="str">
        <f>IFERROR(__xludf.DUMMYFUNCTION("GOOGLETRANSLATE(A43, ""en"", ""ur"")"),"42")</f>
        <v>42</v>
      </c>
      <c r="K43" s="6" t="str">
        <f>IFERROR(__xludf.DUMMYFUNCTION("GOOGLETRANSLATE(B43, ""en"", ""ur"")"),"ایک کھلاڑی کا h1 پر راجہ اور g2 پر ایک پدتی ہے۔ مخالف کے پاس f3 پر ایک اشوا ہے۔ حکمت عملی کی صورت حال کیا ہے؟")</f>
        <v>ایک کھلاڑی کا h1 پر راجہ اور g2 پر ایک پدتی ہے۔ مخالف کے پاس f3 پر ایک اشوا ہے۔ حکمت عملی کی صورت حال کیا ہے؟</v>
      </c>
      <c r="L43" s="6" t="str">
        <f>IFERROR(__xludf.DUMMYFUNCTION("GOOGLETRANSLATE(C43, ""en"", ""ur"")"),"A) راجہ محفوظ ہے، B) اشوا h1 پر راجہ پر حملہ کر رہا ہے اور g2 پر پدتی پر، C) اشوا صرف راجہ پر حملہ کر رہا ہے، D) اشوا صرف پدتی پر حملہ کر رہا ہے۔")</f>
        <v>A) راجہ محفوظ ہے، B) اشوا h1 پر راجہ پر حملہ کر رہا ہے اور g2 پر پدتی پر، C) اشوا صرف راجہ پر حملہ کر رہا ہے، D) اشوا صرف پدتی پر حملہ کر رہا ہے۔</v>
      </c>
      <c r="M43" s="6" t="str">
        <f>IFERROR(__xludf.DUMMYFUNCTION("GOOGLETRANSLATE(D43, ""en"", ""ur"")"),"ب) اشوا h1 پر راجہ اور g2 پر پدتی دونوں پر حملہ کر رہا ہے۔")</f>
        <v>ب) اشوا h1 پر راجہ اور g2 پر پدتی دونوں پر حملہ کر رہا ہے۔</v>
      </c>
      <c r="N43" s="6" t="str">
        <f>IFERROR(__xludf.DUMMYFUNCTION("GOOGLETRANSLATE(E43, ""en"", ""ur"")"),"یہ ایک کلاسک نائٹ فورک ہے۔ f3 سے، اشوا h1 اور g2 دونوں پر حملہ کرتا ہے۔")</f>
        <v>یہ ایک کلاسک نائٹ فورک ہے۔ f3 سے، اشوا h1 اور g2 دونوں پر حملہ کرتا ہے۔</v>
      </c>
    </row>
    <row r="44">
      <c r="A44" s="4">
        <v>43.0</v>
      </c>
      <c r="B44" s="5" t="s">
        <v>681</v>
      </c>
      <c r="C44" s="5" t="s">
        <v>630</v>
      </c>
      <c r="D44" s="5" t="s">
        <v>631</v>
      </c>
      <c r="E44" s="5" t="s">
        <v>682</v>
      </c>
      <c r="J44" s="6" t="str">
        <f>IFERROR(__xludf.DUMMYFUNCTION("GOOGLETRANSLATE(A44, ""en"", ""ur"")"),"43")</f>
        <v>43</v>
      </c>
      <c r="K44" s="6" t="str">
        <f>IFERROR(__xludf.DUMMYFUNCTION("GOOGLETRANSLATE(B44, ""en"", ""ur"")"),"ایک کھلاڑی کے پاس صرف ان کا راجہ اور ایک گاجا رہ جاتا ہے۔ کیا وہ اکیلے دشمن راجہ کے خلاف جیت سکتے ہیں؟")</f>
        <v>ایک کھلاڑی کے پاس صرف ان کا راجہ اور ایک گاجا رہ جاتا ہے۔ کیا وہ اکیلے دشمن راجہ کے خلاف جیت سکتے ہیں؟</v>
      </c>
      <c r="L44" s="6" t="str">
        <f>IFERROR(__xludf.DUMMYFUNCTION("GOOGLETRANSLATE(C44, ""en"", ""ur"")"),"A) جی ہاں، آسانی سے، B) یہ ناممکن ہے؛ گیم ڈرا ہے، C) ہاں، لیکن یہ انتہائی مشکل ہے، D) گاجا والا کھلاڑی آخر کار ہار جائے گا")</f>
        <v>A) جی ہاں، آسانی سے، B) یہ ناممکن ہے؛ گیم ڈرا ہے، C) ہاں، لیکن یہ انتہائی مشکل ہے، D) گاجا والا کھلاڑی آخر کار ہار جائے گا</v>
      </c>
      <c r="M44" s="6" t="str">
        <f>IFERROR(__xludf.DUMMYFUNCTION("GOOGLETRANSLATE(D44, ""en"", ""ur"")"),"ب) یہ ناممکن ہے۔ کھیل ایک ڈرا ہے")</f>
        <v>ب) یہ ناممکن ہے۔ کھیل ایک ڈرا ہے</v>
      </c>
      <c r="N44" s="6" t="str">
        <f>IFERROR(__xludf.DUMMYFUNCTION("GOOGLETRANSLATE(E44, ""en"", ""ur"")"),"جدید شطرنج میں کنگ اور بشپ اینڈ گیم کی طرح، اکیلے راجہ کے خلاف زبردستی گرفت کرنے کے لیے ایک گاجا کافی نہیں ہے۔")</f>
        <v>جدید شطرنج میں کنگ اور بشپ اینڈ گیم کی طرح، اکیلے راجہ کے خلاف زبردستی گرفت کرنے کے لیے ایک گاجا کافی نہیں ہے۔</v>
      </c>
    </row>
    <row r="45">
      <c r="A45" s="4">
        <v>44.0</v>
      </c>
      <c r="B45" s="5" t="s">
        <v>683</v>
      </c>
      <c r="C45" s="5" t="s">
        <v>684</v>
      </c>
      <c r="D45" s="5" t="s">
        <v>685</v>
      </c>
      <c r="E45" s="5" t="s">
        <v>686</v>
      </c>
      <c r="J45" s="6" t="str">
        <f>IFERROR(__xludf.DUMMYFUNCTION("GOOGLETRANSLATE(A45, ""en"", ""ur"")"),"44")</f>
        <v>44</v>
      </c>
      <c r="K45" s="6" t="str">
        <f>IFERROR(__xludf.DUMMYFUNCTION("GOOGLETRANSLATE(B45, ""en"", ""ur"")"),"ابتدائی سیٹ اپ میں دو اشوا کہاں رکھے گئے ہیں؟")</f>
        <v>ابتدائی سیٹ اپ میں دو اشوا کہاں رکھے گئے ہیں؟</v>
      </c>
      <c r="L45" s="6" t="str">
        <f>IFERROR(__xludf.DUMMYFUNCTION("GOOGLETRANSLATE(C45, ""en"", ""ur"")"),"A) کونوں میں، B) راجہ اور منتری کے آگے، C) ہاتھیوں (رتھوں) کے آگے، D) پڈتوں کے سامنے")</f>
        <v>A) کونوں میں، B) راجہ اور منتری کے آگے، C) ہاتھیوں (رتھوں) کے آگے، D) پڈتوں کے سامنے</v>
      </c>
      <c r="M45" s="6" t="str">
        <f>IFERROR(__xludf.DUMMYFUNCTION("GOOGLETRANSLATE(D45, ""en"", ""ur"")"),"ج) ہاتھیوں (رتھوں) کے آگے")</f>
        <v>ج) ہاتھیوں (رتھوں) کے آگے</v>
      </c>
      <c r="N45" s="6" t="str">
        <f>IFERROR(__xludf.DUMMYFUNCTION("GOOGLETRANSLATE(E45, ""en"", ""ur"")"),"بیک رینک سیٹ اپ یہ تھا: ہاتھی، اشوا، گجا، راجہ/منتری، گجا، اشوا، ہاتھی۔ اشوا ہاتھیوں اور گجوں کے درمیان واقع تھے۔")</f>
        <v>بیک رینک سیٹ اپ یہ تھا: ہاتھی، اشوا، گجا، راجہ/منتری، گجا، اشوا، ہاتھی۔ اشوا ہاتھیوں اور گجوں کے درمیان واقع تھے۔</v>
      </c>
    </row>
    <row r="46">
      <c r="A46" s="4">
        <v>45.0</v>
      </c>
      <c r="B46" s="5" t="s">
        <v>687</v>
      </c>
      <c r="C46" s="5" t="s">
        <v>688</v>
      </c>
      <c r="D46" s="5" t="s">
        <v>689</v>
      </c>
      <c r="E46" s="5" t="s">
        <v>690</v>
      </c>
      <c r="J46" s="6" t="str">
        <f>IFERROR(__xludf.DUMMYFUNCTION("GOOGLETRANSLATE(A46, ""en"", ""ur"")"),"45")</f>
        <v>45</v>
      </c>
      <c r="K46" s="6" t="str">
        <f>IFERROR(__xludf.DUMMYFUNCTION("GOOGLETRANSLATE(B46, ""en"", ""ur"")"),"ایک ہاتھی a1 پر ہے، اور دشمن پدتی h2 پر ہے۔ ایک دشمن گاجا b2 پر ہے۔ کیا ہاتھی h1 میں جا سکتا ہے؟")</f>
        <v>ایک ہاتھی a1 پر ہے، اور دشمن پدتی h2 پر ہے۔ ایک دشمن گاجا b2 پر ہے۔ کیا ہاتھی h1 میں جا سکتا ہے؟</v>
      </c>
      <c r="L46" s="6" t="str">
        <f>IFERROR(__xludf.DUMMYFUNCTION("GOOGLETRANSLATE(C46, ""en"", ""ur"")"),"A) ہاں، B) نہیں، اس کا راستہ گجا نے روکا ہے، C) نہیں، اس کا راستہ پڈاتی نے روک دیا ہے، D) یہ گجا پر چھلانگ لگا سکتا ہے۔")</f>
        <v>A) ہاں، B) نہیں، اس کا راستہ گجا نے روکا ہے، C) نہیں، اس کا راستہ پڈاتی نے روک دیا ہے، D) یہ گجا پر چھلانگ لگا سکتا ہے۔</v>
      </c>
      <c r="M46" s="6" t="str">
        <f>IFERROR(__xludf.DUMMYFUNCTION("GOOGLETRANSLATE(D46, ""en"", ""ur"")"),"ب) نہیں، اس کا راستہ گجا نے روک دیا ہے۔")</f>
        <v>ب) نہیں، اس کا راستہ گجا نے روک دیا ہے۔</v>
      </c>
      <c r="N46" s="6" t="str">
        <f>IFERROR(__xludf.DUMMYFUNCTION("GOOGLETRANSLATE(E46, ""en"", ""ur"")"),"پہلے درجے کے ساتھ ہاتھی کا راستہ دشمن گاجا نے b2 پر بند کر دیا ہے۔ یہ اس سے آگے نہیں بڑھ سکتا۔")</f>
        <v>پہلے درجے کے ساتھ ہاتھی کا راستہ دشمن گاجا نے b2 پر بند کر دیا ہے۔ یہ اس سے آگے نہیں بڑھ سکتا۔</v>
      </c>
    </row>
    <row r="47">
      <c r="A47" s="4">
        <v>46.0</v>
      </c>
      <c r="B47" s="5" t="s">
        <v>691</v>
      </c>
      <c r="C47" s="5" t="s">
        <v>692</v>
      </c>
      <c r="D47" s="5" t="s">
        <v>693</v>
      </c>
      <c r="E47" s="5" t="s">
        <v>694</v>
      </c>
      <c r="J47" s="6" t="str">
        <f>IFERROR(__xludf.DUMMYFUNCTION("GOOGLETRANSLATE(A47, ""en"", ""ur"")"),"46")</f>
        <v>46</v>
      </c>
      <c r="K47" s="6" t="str">
        <f>IFERROR(__xludf.DUMMYFUNCTION("GOOGLETRANSLATE(B47, ""en"", ""ur"")"),"اتحاد کے ساتھ چار کھلاڑیوں کے کھیل میں (مخالف شراکت دار ہیں)، اگر آپ کے ساتھی کا راجہ پکڑا جائے تو کیا ہوگا؟")</f>
        <v>اتحاد کے ساتھ چار کھلاڑیوں کے کھیل میں (مخالف شراکت دار ہیں)، اگر آپ کے ساتھی کا راجہ پکڑا جائے تو کیا ہوگا؟</v>
      </c>
      <c r="L47" s="6" t="str">
        <f>IFERROR(__xludf.DUMMYFUNCTION("GOOGLETRANSLATE(C47, ""en"", ""ur"")"),"A) آپ گیم بھی ہار جاتے ہیں، B) آپ اکیلے کھیلتے رہتے ہیں، C) آپ اپنے پارٹنر کے ٹکڑوں کو کنٹرول کر لیتے ہیں، D) گیم ڈرا پر ختم ہوتی ہے۔")</f>
        <v>A) آپ گیم بھی ہار جاتے ہیں، B) آپ اکیلے کھیلتے رہتے ہیں، C) آپ اپنے پارٹنر کے ٹکڑوں کو کنٹرول کر لیتے ہیں، D) گیم ڈرا پر ختم ہوتی ہے۔</v>
      </c>
      <c r="M47" s="6" t="str">
        <f>IFERROR(__xludf.DUMMYFUNCTION("GOOGLETRANSLATE(D47, ""en"", ""ur"")"),"A) آپ گیم بھی ہار جاتے ہیں۔")</f>
        <v>A) آپ گیم بھی ہار جاتے ہیں۔</v>
      </c>
      <c r="N47" s="6" t="str">
        <f>IFERROR(__xludf.DUMMYFUNCTION("GOOGLETRANSLATE(E47, ""en"", ""ur"")"),"اتحاد کی شکل میں، مقصد دونوں دشمن راجوں پر قبضہ کرنا تھا۔ آپ کے ساتھی کے راجہ کے ہارنے کا مطلب ہے کہ آپ کی ٹیم گیم ہار چکی ہے۔")</f>
        <v>اتحاد کی شکل میں، مقصد دونوں دشمن راجوں پر قبضہ کرنا تھا۔ آپ کے ساتھی کے راجہ کے ہارنے کا مطلب ہے کہ آپ کی ٹیم گیم ہار چکی ہے۔</v>
      </c>
    </row>
    <row r="48">
      <c r="A48" s="4">
        <v>47.0</v>
      </c>
      <c r="B48" s="5" t="s">
        <v>695</v>
      </c>
      <c r="C48" s="5" t="s">
        <v>696</v>
      </c>
      <c r="D48" s="5" t="s">
        <v>697</v>
      </c>
      <c r="E48" s="5" t="s">
        <v>698</v>
      </c>
      <c r="J48" s="6" t="str">
        <f>IFERROR(__xludf.DUMMYFUNCTION("GOOGLETRANSLATE(A48, ""en"", ""ur"")"),"47")</f>
        <v>47</v>
      </c>
      <c r="K48" s="6" t="str">
        <f>IFERROR(__xludf.DUMMYFUNCTION("GOOGLETRANSLATE(B48, ""en"", ""ur"")"),"ایک کھلاڑی پادتی کو منتری بناتا ہے۔ چند چالوں کے بعد، ایک اور پڈاتی ترقی کے عہدے پر پہنچ جاتا ہے۔ کیا ہوتا ہے؟")</f>
        <v>ایک کھلاڑی پادتی کو منتری بناتا ہے۔ چند چالوں کے بعد، ایک اور پڈاتی ترقی کے عہدے پر پہنچ جاتا ہے۔ کیا ہوتا ہے؟</v>
      </c>
      <c r="L48" s="6" t="str">
        <f>IFERROR(__xludf.DUMMYFUNCTION("GOOGLETRANSLATE(C48, ""en"", ""ur"")"),"A) یہ فروغ نہیں دے سکتا کیونکہ پہلے سے ایک منتری موجود ہے، B) یہ دوسری منتری کو ترقی دے سکتا ہے، C) اسے ایک کیپچر شدہ ٹکڑے پر فروغ دینا چاہیے، D) اسے بورڈ سے ہٹا دیا گیا ہے۔")</f>
        <v>A) یہ فروغ نہیں دے سکتا کیونکہ پہلے سے ایک منتری موجود ہے، B) یہ دوسری منتری کو ترقی دے سکتا ہے، C) اسے ایک کیپچر شدہ ٹکڑے پر فروغ دینا چاہیے، D) اسے بورڈ سے ہٹا دیا گیا ہے۔</v>
      </c>
      <c r="M48" s="6" t="str">
        <f>IFERROR(__xludf.DUMMYFUNCTION("GOOGLETRANSLATE(D48, ""en"", ""ur"")"),"ب) یہ دوسری منتری کو ترقی دے سکتا ہے۔")</f>
        <v>ب) یہ دوسری منتری کو ترقی دے سکتا ہے۔</v>
      </c>
      <c r="N48" s="6" t="str">
        <f>IFERROR(__xludf.DUMMYFUNCTION("GOOGLETRANSLATE(E48, ""en"", ""ur"")"),"ایک کھلاڑی پروموشن کے ذریعے ایک ساتھ بورڈ میں متعدد منتری رکھ سکتا ہے۔")</f>
        <v>ایک کھلاڑی پروموشن کے ذریعے ایک ساتھ بورڈ میں متعدد منتری رکھ سکتا ہے۔</v>
      </c>
    </row>
    <row r="49">
      <c r="A49" s="4">
        <v>48.0</v>
      </c>
      <c r="B49" s="5" t="s">
        <v>699</v>
      </c>
      <c r="C49" s="5" t="s">
        <v>700</v>
      </c>
      <c r="D49" s="5" t="s">
        <v>701</v>
      </c>
      <c r="E49" s="5" t="s">
        <v>702</v>
      </c>
      <c r="J49" s="6" t="str">
        <f>IFERROR(__xludf.DUMMYFUNCTION("GOOGLETRANSLATE(A49, ""en"", ""ur"")"),"48")</f>
        <v>48</v>
      </c>
      <c r="K49" s="6" t="str">
        <f>IFERROR(__xludf.DUMMYFUNCTION("GOOGLETRANSLATE(B49, ""en"", ""ur"")"),"ایک کھلاڑی کا ہاتھی a1 پر ہے اور اس کا دوسرا ہاتھی h1 پر ہے۔ ان کے مخالف راجہ مرکز میں ہیں۔ اس سیٹ اپ کی اسٹریٹجک طاقت کیا ہے؟")</f>
        <v>ایک کھلاڑی کا ہاتھی a1 پر ہے اور اس کا دوسرا ہاتھی h1 پر ہے۔ ان کے مخالف راجہ مرکز میں ہیں۔ اس سیٹ اپ کی اسٹریٹجک طاقت کیا ہے؟</v>
      </c>
      <c r="L49" s="6" t="str">
        <f>IFERROR(__xludf.DUMMYFUNCTION("GOOGLETRANSLATE(C49, ""en"", ""ur"")"),"A) یہ ایک کمزور سیٹ اپ ہے، B) وہ بیرونی فائلوں کو طاقتور فلانک حملوں کے لیے کنٹرول کرتے ہیں، C) وہ ایک دوسرے پر حملہ کر سکتے ہیں، D) وہ مرکز پر حملہ کرنے کے لیے تیار ہیں۔")</f>
        <v>A) یہ ایک کمزور سیٹ اپ ہے، B) وہ بیرونی فائلوں کو طاقتور فلانک حملوں کے لیے کنٹرول کرتے ہیں، C) وہ ایک دوسرے پر حملہ کر سکتے ہیں، D) وہ مرکز پر حملہ کرنے کے لیے تیار ہیں۔</v>
      </c>
      <c r="M49" s="6" t="str">
        <f>IFERROR(__xludf.DUMMYFUNCTION("GOOGLETRANSLATE(D49, ""en"", ""ur"")"),"ب) وہ طاقتور فلانک حملوں کے لیے بیرونی فائلوں کو کنٹرول کرتے ہیں۔")</f>
        <v>ب) وہ طاقتور فلانک حملوں کے لیے بیرونی فائلوں کو کنٹرول کرتے ہیں۔</v>
      </c>
      <c r="N49" s="6" t="str">
        <f>IFERROR(__xludf.DUMMYFUNCTION("GOOGLETRANSLATE(E49, ""en"", ""ur"")"),"یہ سیٹ اپ، جو کہ جدید شطرنج کی طرح ہے، بورڈ کے کناروں پر طاقتور کنٹرول قائم کرتا ہے، جسے فلانک حملوں کے لیے استعمال کیا جا سکتا ہے۔")</f>
        <v>یہ سیٹ اپ، جو کہ جدید شطرنج کی طرح ہے، بورڈ کے کناروں پر طاقتور کنٹرول قائم کرتا ہے، جسے فلانک حملوں کے لیے استعمال کیا جا سکتا ہے۔</v>
      </c>
    </row>
    <row r="50">
      <c r="A50" s="4">
        <v>49.0</v>
      </c>
      <c r="B50" s="5" t="s">
        <v>703</v>
      </c>
      <c r="C50" s="5" t="s">
        <v>704</v>
      </c>
      <c r="D50" s="5" t="s">
        <v>587</v>
      </c>
      <c r="E50" s="5" t="s">
        <v>705</v>
      </c>
      <c r="J50" s="6" t="str">
        <f>IFERROR(__xludf.DUMMYFUNCTION("GOOGLETRANSLATE(A50, ""en"", ""ur"")"),"49")</f>
        <v>49</v>
      </c>
      <c r="K50" s="6" t="str">
        <f>IFERROR(__xludf.DUMMYFUNCTION("GOOGLETRANSLATE(B50, ""en"", ""ur"")"),"چار کھلاڑیوں کے کھیل میں، کیا ہوتا ہے اگر آپ کا ڈائس رول کسی ایسے ٹکڑے سے مطابقت رکھتا ہے جو پکڑا گیا ہے؟")</f>
        <v>چار کھلاڑیوں کے کھیل میں، کیا ہوتا ہے اگر آپ کا ڈائس رول کسی ایسے ٹکڑے سے مطابقت رکھتا ہے جو پکڑا گیا ہے؟</v>
      </c>
      <c r="L50" s="6" t="str">
        <f>IFERROR(__xludf.DUMMYFUNCTION("GOOGLETRANSLATE(C50, ""en"", ""ur"")"),"A) آپ اپنی باری کھو دیتے ہیں، B) آپ کو دوبارہ رول کرنا پڑتا ہے، C) آپ کسی دوسرے ٹکڑے کو منتقل کر سکتے ہیں، D) آپ اس ٹکڑے کو بورڈ پر واپس لا سکتے ہیں۔")</f>
        <v>A) آپ اپنی باری کھو دیتے ہیں، B) آپ کو دوبارہ رول کرنا پڑتا ہے، C) آپ کسی دوسرے ٹکڑے کو منتقل کر سکتے ہیں، D) آپ اس ٹکڑے کو بورڈ پر واپس لا سکتے ہیں۔</v>
      </c>
      <c r="M50" s="6" t="str">
        <f>IFERROR(__xludf.DUMMYFUNCTION("GOOGLETRANSLATE(D50, ""en"", ""ur"")"),"A) آپ اپنی باری کھو دیتے ہیں۔")</f>
        <v>A) آپ اپنی باری کھو دیتے ہیں۔</v>
      </c>
      <c r="N50" s="6" t="str">
        <f>IFERROR(__xludf.DUMMYFUNCTION("GOOGLETRANSLATE(E50, ""en"", ""ur"")"),"ایک ٹکڑا پکڑا جانا ایک دوہرا جرمانہ تھا، کیونکہ اس ٹکڑے کی قسم کے لیے مستقبل میں کسی بھی ڈائس رول کا نتیجہ ضائع ہو جائے گا۔")</f>
        <v>ایک ٹکڑا پکڑا جانا ایک دوہرا جرمانہ تھا، کیونکہ اس ٹکڑے کی قسم کے لیے مستقبل میں کسی بھی ڈائس رول کا نتیجہ ضائع ہو جائے گا۔</v>
      </c>
    </row>
    <row r="51">
      <c r="A51" s="4">
        <v>50.0</v>
      </c>
      <c r="B51" s="5" t="s">
        <v>706</v>
      </c>
      <c r="C51" s="5" t="s">
        <v>707</v>
      </c>
      <c r="D51" s="5" t="s">
        <v>708</v>
      </c>
      <c r="E51" s="5" t="s">
        <v>709</v>
      </c>
      <c r="J51" s="6" t="str">
        <f>IFERROR(__xludf.DUMMYFUNCTION("GOOGLETRANSLATE(A51, ""en"", ""ur"")"),"50")</f>
        <v>50</v>
      </c>
      <c r="K51" s="6" t="str">
        <f>IFERROR(__xludf.DUMMYFUNCTION("GOOGLETRANSLATE(B51, ""en"", ""ur"")"),"c1 پر ایک ہاتھی c5 پر گاجا پر حملہ کرتا ہے۔ گاجا کی فرار کی واحد چھلانگ a3 تک ہے، لیکن اس مربع پر ایک دوستانہ پڈاتی کا قبضہ ہے۔ کیا ہوتا ہے؟")</f>
        <v>c1 پر ایک ہاتھی c5 پر گاجا پر حملہ کرتا ہے۔ گاجا کی فرار کی واحد چھلانگ a3 تک ہے، لیکن اس مربع پر ایک دوستانہ پڈاتی کا قبضہ ہے۔ کیا ہوتا ہے؟</v>
      </c>
      <c r="L51" s="6" t="str">
        <f>IFERROR(__xludf.DUMMYFUNCTION("GOOGLETRANSLATE(C51, ""en"", ""ur"")"),"A) گجا فرار ہونے کے لیے اپنی پڈتی پر قبضہ کر سکتا ہے، B) گجا پھنس گیا ہے اور اسے پکڑ لیا جائے گا، C) گاجا بہرحال a3 تک چھلانگ لگا سکتا ہے، D) ہاتھی گجا کو پکڑ نہیں سکتا۔")</f>
        <v>A) گجا فرار ہونے کے لیے اپنی پڈتی پر قبضہ کر سکتا ہے، B) گجا پھنس گیا ہے اور اسے پکڑ لیا جائے گا، C) گاجا بہرحال a3 تک چھلانگ لگا سکتا ہے، D) ہاتھی گجا کو پکڑ نہیں سکتا۔</v>
      </c>
      <c r="M51" s="6" t="str">
        <f>IFERROR(__xludf.DUMMYFUNCTION("GOOGLETRANSLATE(D51, ""en"", ""ur"")"),"ب) گاجا پھنس گیا ہے اور اسے پکڑ لیا جائے گا۔")</f>
        <v>ب) گاجا پھنس گیا ہے اور اسے پکڑ لیا جائے گا۔</v>
      </c>
      <c r="N51" s="6" t="str">
        <f>IFERROR(__xludf.DUMMYFUNCTION("GOOGLETRANSLATE(E51, ""en"", ""ur"")"),"ایک ٹکڑا کبھی بھی اس مربع میں نہیں جا سکتا جس پر اس کا اپنا ایک ٹکڑا ہو۔ اگر فرار کے تمام چوکوں کو مسدود کر دیا جائے تو ٹکڑا پھنس جائے گا۔")</f>
        <v>ایک ٹکڑا کبھی بھی اس مربع میں نہیں جا سکتا جس پر اس کا اپنا ایک ٹکڑا ہو۔ اگر فرار کے تمام چوکوں کو مسدود کر دیا جائے تو ٹکڑا پھنس جائے گا۔</v>
      </c>
    </row>
    <row r="52">
      <c r="A52" s="4">
        <v>51.0</v>
      </c>
      <c r="B52" s="5" t="s">
        <v>710</v>
      </c>
      <c r="C52" s="5" t="s">
        <v>711</v>
      </c>
      <c r="D52" s="5" t="s">
        <v>712</v>
      </c>
      <c r="E52" s="5" t="s">
        <v>713</v>
      </c>
      <c r="J52" s="6" t="str">
        <f>IFERROR(__xludf.DUMMYFUNCTION("GOOGLETRANSLATE(A52, ""en"", ""ur"")"),"51")</f>
        <v>51</v>
      </c>
      <c r="K52" s="6" t="str">
        <f>IFERROR(__xludf.DUMMYFUNCTION("GOOGLETRANSLATE(B52, ""en"", ""ur"")"),"منتری کو شروع میں منتقل کرنا اکثر ناقص حکمت عملی کیوں تھی؟")</f>
        <v>منتری کو شروع میں منتقل کرنا اکثر ناقص حکمت عملی کیوں تھی؟</v>
      </c>
      <c r="L52" s="6" t="str">
        <f>IFERROR(__xludf.DUMMYFUNCTION("GOOGLETRANSLATE(C52, ""en"", ""ur"")"),"A) یہ ایک طاقتور حملہ آور ٹکڑا تھا جسے اختتامی کھیل کے لیے محفوظ کرنے کی ضرورت تھی، B) یہ اتنا کمزور تھا کہ اسے حرکت دینے سے ایک موڑ ضائع ہو جاتا تھا جسے ایک مضبوط ٹکڑا تیار کرنے کے لیے استعمال کیا جا سکتا تھا، C) اسے پہلی 10 چالوں میں منتقل کرنا قوانین ک"&amp;"ے خلاف تھا، D) راجہ کے دفاع کے لیے اس کی ضرورت تھی۔")</f>
        <v>A) یہ ایک طاقتور حملہ آور ٹکڑا تھا جسے اختتامی کھیل کے لیے محفوظ کرنے کی ضرورت تھی، B) یہ اتنا کمزور تھا کہ اسے حرکت دینے سے ایک موڑ ضائع ہو جاتا تھا جسے ایک مضبوط ٹکڑا تیار کرنے کے لیے استعمال کیا جا سکتا تھا، C) اسے پہلی 10 چالوں میں منتقل کرنا قوانین کے خلاف تھا، D) راجہ کے دفاع کے لیے اس کی ضرورت تھی۔</v>
      </c>
      <c r="M52" s="6" t="str">
        <f>IFERROR(__xludf.DUMMYFUNCTION("GOOGLETRANSLATE(D52, ""en"", ""ur"")"),"ب) یہ اتنا کمزور تھا کہ اس کو حرکت دینے سے ایک موڑ ضائع ہو جاتا ہے جسے ایک مضبوط ٹکڑا تیار کرنے کے لیے استعمال کیا جا سکتا تھا۔")</f>
        <v>ب) یہ اتنا کمزور تھا کہ اس کو حرکت دینے سے ایک موڑ ضائع ہو جاتا ہے جسے ایک مضبوط ٹکڑا تیار کرنے کے لیے استعمال کیا جا سکتا تھا۔</v>
      </c>
      <c r="N52" s="6" t="str">
        <f>IFERROR(__xludf.DUMMYFUNCTION("GOOGLETRANSLATE(E52, ""en"", ""ur"")"),"ایک اقدام (یا ""ٹیمپو"") قابل قدر تھا۔ اسے بورڈ کے سب سے کمزور ٹکڑے پر استعمال کرنا حکمت عملی کے لحاظ سے غیر موثر تھا۔")</f>
        <v>ایک اقدام (یا "ٹیمپو") قابل قدر تھا۔ اسے بورڈ کے سب سے کمزور ٹکڑے پر استعمال کرنا حکمت عملی کے لحاظ سے غیر موثر تھا۔</v>
      </c>
    </row>
    <row r="53">
      <c r="A53" s="4">
        <v>52.0</v>
      </c>
      <c r="B53" s="5" t="s">
        <v>714</v>
      </c>
      <c r="C53" s="5" t="s">
        <v>715</v>
      </c>
      <c r="D53" s="5" t="s">
        <v>716</v>
      </c>
      <c r="E53" s="5" t="s">
        <v>717</v>
      </c>
      <c r="J53" s="6" t="str">
        <f>IFERROR(__xludf.DUMMYFUNCTION("GOOGLETRANSLATE(A53, ""en"", ""ur"")"),"52")</f>
        <v>52</v>
      </c>
      <c r="K53" s="6" t="str">
        <f>IFERROR(__xludf.DUMMYFUNCTION("GOOGLETRANSLATE(B53, ""en"", ""ur"")"),"ابتدائی سیٹ اپ میں، دونوں ہاتھیوں کو کہاں رکھا گیا ہے؟")</f>
        <v>ابتدائی سیٹ اپ میں، دونوں ہاتھیوں کو کہاں رکھا گیا ہے؟</v>
      </c>
      <c r="L53" s="6" t="str">
        <f>IFERROR(__xludf.DUMMYFUNCTION("GOOGLETRANSLATE(C53, ""en"", ""ur"")"),"A) راجہ کے آگے، B) دو مرکزی فائلوں پر، C) بورڈ کے کونوں میں، D) پڈتیوں کے سامنے")</f>
        <v>A) راجہ کے آگے، B) دو مرکزی فائلوں پر، C) بورڈ کے کونوں میں، D) پڈتیوں کے سامنے</v>
      </c>
      <c r="M53" s="6" t="str">
        <f>IFERROR(__xludf.DUMMYFUNCTION("GOOGLETRANSLATE(D53, ""en"", ""ur"")"),"ج) بورڈ کے کونوں میں")</f>
        <v>ج) بورڈ کے کونوں میں</v>
      </c>
      <c r="N53" s="6" t="str">
        <f>IFERROR(__xludf.DUMMYFUNCTION("GOOGLETRANSLATE(E53, ""en"", ""ur"")"),"بالکل جدید روکس کی طرح، ہتھیس (رتھ) کونے کونے میں شروع ہوئے (a1, h1, a8, h8)۔")</f>
        <v>بالکل جدید روکس کی طرح، ہتھیس (رتھ) کونے کونے میں شروع ہوئے (a1, h1, a8, h8)۔</v>
      </c>
    </row>
    <row r="54">
      <c r="A54" s="4">
        <v>53.0</v>
      </c>
      <c r="B54" s="5" t="s">
        <v>718</v>
      </c>
      <c r="C54" s="5" t="s">
        <v>719</v>
      </c>
      <c r="D54" s="5" t="s">
        <v>720</v>
      </c>
      <c r="E54" s="5" t="s">
        <v>721</v>
      </c>
      <c r="J54" s="6" t="str">
        <f>IFERROR(__xludf.DUMMYFUNCTION("GOOGLETRANSLATE(A54, ""en"", ""ur"")"),"53")</f>
        <v>53</v>
      </c>
      <c r="K54" s="6" t="str">
        <f>IFERROR(__xludf.DUMMYFUNCTION("GOOGLETRANSLATE(B54, ""en"", ""ur"")"),"ایک کھلاڑی کے پاس صرف ان کا راجہ اور ایک پادتی رہ گیا ہے۔ کیا وہ کھیل جیت سکتے ہیں؟")</f>
        <v>ایک کھلاڑی کے پاس صرف ان کا راجہ اور ایک پادتی رہ گیا ہے۔ کیا وہ کھیل جیت سکتے ہیں؟</v>
      </c>
      <c r="L54" s="6" t="str">
        <f>IFERROR(__xludf.DUMMYFUNCTION("GOOGLETRANSLATE(C54, ""en"", ""ur"")"),"A) نہیں، یہ ناممکن ہے، B) ہاں، لیکن صرف اس صورت میں جب وہ پڈاتی کو منتری بنا سکیں، C) ہاں، ایک ہی پڈاتی گیم جیتنے میں مدد کر سکتی ہے، D) یہ ایک خودکار ڈرا ہے۔")</f>
        <v>A) نہیں، یہ ناممکن ہے، B) ہاں، لیکن صرف اس صورت میں جب وہ پڈاتی کو منتری بنا سکیں، C) ہاں، ایک ہی پڈاتی گیم جیتنے میں مدد کر سکتی ہے، D) یہ ایک خودکار ڈرا ہے۔</v>
      </c>
      <c r="M54" s="6" t="str">
        <f>IFERROR(__xludf.DUMMYFUNCTION("GOOGLETRANSLATE(D54, ""en"", ""ur"")"),"ب) ہاں، لیکن صرف اس صورت میں جب وہ پڈاتی کو فروغ دے سکیں")</f>
        <v>ب) ہاں، لیکن صرف اس صورت میں جب وہ پڈاتی کو فروغ دے سکیں</v>
      </c>
      <c r="N54" s="6" t="str">
        <f>IFERROR(__xludf.DUMMYFUNCTION("GOOGLETRANSLATE(E54, ""en"", ""ur"")"),"اگرچہ ناقابل یقین حد تک مشکل، فتح کا واحد نظریاتی راستہ یہ ہوگا کہ پداٹی کو ترقی کے آخری درجے تک محفوظ طریقے سے رہنمائی فراہم کی جائے۔")</f>
        <v>اگرچہ ناقابل یقین حد تک مشکل، فتح کا واحد نظریاتی راستہ یہ ہوگا کہ پداٹی کو ترقی کے آخری درجے تک محفوظ طریقے سے رہنمائی فراہم کی جائے۔</v>
      </c>
    </row>
    <row r="55">
      <c r="A55" s="4">
        <v>54.0</v>
      </c>
      <c r="B55" s="5" t="s">
        <v>722</v>
      </c>
      <c r="C55" s="5" t="s">
        <v>723</v>
      </c>
      <c r="D55" s="5" t="s">
        <v>724</v>
      </c>
      <c r="E55" s="5" t="s">
        <v>725</v>
      </c>
      <c r="J55" s="6" t="str">
        <f>IFERROR(__xludf.DUMMYFUNCTION("GOOGLETRANSLATE(A55, ""en"", ""ur"")"),"54")</f>
        <v>54</v>
      </c>
      <c r="K55" s="6" t="str">
        <f>IFERROR(__xludf.DUMMYFUNCTION("GOOGLETRANSLATE(B55, ""en"", ""ur"")"),"دو کھلاڑیوں کے کھیل میں ہر کھلاڑی کے ساتھ شروع ہونے والے ٹکڑوں کی کل تعداد کتنی ہے؟")</f>
        <v>دو کھلاڑیوں کے کھیل میں ہر کھلاڑی کے ساتھ شروع ہونے والے ٹکڑوں کی کل تعداد کتنی ہے؟</v>
      </c>
      <c r="L55" s="6" t="str">
        <f>IFERROR(__xludf.DUMMYFUNCTION("GOOGLETRANSLATE(C55, ""en"", ""ur"")"),"A) 12، B) 16، C) 20، D) 24")</f>
        <v>A) 12، B) 16، C) 20، D) 24</v>
      </c>
      <c r="M55" s="6" t="str">
        <f>IFERROR(__xludf.DUMMYFUNCTION("GOOGLETRANSLATE(D55, ""en"", ""ur"")"),"ب) 16")</f>
        <v>ب) 16</v>
      </c>
      <c r="N55" s="6" t="str">
        <f>IFERROR(__xludf.DUMMYFUNCTION("GOOGLETRANSLATE(E55, ""en"", ""ur"")"),"ہر کھلاڑی 16 ٹکڑوں کے ساتھ شروع ہوتا ہے: 8 پاڈیٹس اور 8 بڑے ٹکڑے۔")</f>
        <v>ہر کھلاڑی 16 ٹکڑوں کے ساتھ شروع ہوتا ہے: 8 پاڈیٹس اور 8 بڑے ٹکڑے۔</v>
      </c>
    </row>
    <row r="56">
      <c r="A56" s="4">
        <v>55.0</v>
      </c>
      <c r="B56" s="5" t="s">
        <v>726</v>
      </c>
      <c r="C56" s="5" t="s">
        <v>727</v>
      </c>
      <c r="D56" s="5" t="s">
        <v>728</v>
      </c>
      <c r="E56" s="5" t="s">
        <v>729</v>
      </c>
      <c r="J56" s="6" t="str">
        <f>IFERROR(__xludf.DUMMYFUNCTION("GOOGLETRANSLATE(A56, ""en"", ""ur"")"),"55")</f>
        <v>55</v>
      </c>
      <c r="K56" s="6" t="str">
        <f>IFERROR(__xludf.DUMMYFUNCTION("GOOGLETRANSLATE(B56, ""en"", ""ur"")"),"ایک اشوا e4 پر ہے۔ ایک دشمن ہاتھی ڈی 6 پر ہے۔ ایک دشمن گاجا c5 پر ہے۔ اشوا کس ٹکڑے کو پکڑ سکتا ہے؟")</f>
        <v>ایک اشوا e4 پر ہے۔ ایک دشمن ہاتھی ڈی 6 پر ہے۔ ایک دشمن گاجا c5 پر ہے۔ اشوا کس ٹکڑے کو پکڑ سکتا ہے؟</v>
      </c>
      <c r="L56" s="6" t="str">
        <f>IFERROR(__xludf.DUMMYFUNCTION("GOOGLETRANSLATE(C56, ""en"", ""ur"")"),"A) صرف ہاتھی، B) صرف گجا، C) ہاتھی اور گجا دونوں، D) کوئی بھی ٹکڑا نہیں")</f>
        <v>A) صرف ہاتھی، B) صرف گجا، C) ہاتھی اور گجا دونوں، D) کوئی بھی ٹکڑا نہیں</v>
      </c>
      <c r="M56" s="6" t="str">
        <f>IFERROR(__xludf.DUMMYFUNCTION("GOOGLETRANSLATE(D56, ""en"", ""ur"")"),"ج) ہاتھی اور گاجا دونوں")</f>
        <v>ج) ہاتھی اور گاجا دونوں</v>
      </c>
      <c r="N56" s="6" t="str">
        <f>IFERROR(__xludf.DUMMYFUNCTION("GOOGLETRANSLATE(E56, ""en"", ""ur"")"),"e4 سے، اشوا d6 اور c5 تک چھلانگ لگا سکتا ہے، دونوں کیپچر قانونی چالیں بناتا ہے۔")</f>
        <v>e4 سے، اشوا d6 اور c5 تک چھلانگ لگا سکتا ہے، دونوں کیپچر قانونی چالیں بناتا ہے۔</v>
      </c>
    </row>
    <row r="57">
      <c r="A57" s="4">
        <v>56.0</v>
      </c>
      <c r="B57" s="5" t="s">
        <v>730</v>
      </c>
      <c r="C57" s="5" t="s">
        <v>731</v>
      </c>
      <c r="D57" s="5" t="s">
        <v>732</v>
      </c>
      <c r="E57" s="5" t="s">
        <v>733</v>
      </c>
      <c r="J57" s="6" t="str">
        <f>IFERROR(__xludf.DUMMYFUNCTION("GOOGLETRANSLATE(A57, ""en"", ""ur"")"),"56")</f>
        <v>56</v>
      </c>
      <c r="K57" s="6" t="str">
        <f>IFERROR(__xludf.DUMMYFUNCTION("GOOGLETRANSLATE(B57, ""en"", ""ur"")"),"ایک کھلاڑی کا راجہ a1 پر ہے۔ ایک دشمن منتری بی ٹو پر ہے۔ ایک دوستانہ ہاتھی a2 پر ہے۔ کیا دشمن منتری راجہ کو پکڑ سکتا ہے؟")</f>
        <v>ایک کھلاڑی کا راجہ a1 پر ہے۔ ایک دشمن منتری بی ٹو پر ہے۔ ایک دوستانہ ہاتھی a2 پر ہے۔ کیا دشمن منتری راجہ کو پکڑ سکتا ہے؟</v>
      </c>
      <c r="L57" s="6" t="str">
        <f>IFERROR(__xludf.DUMMYFUNCTION("GOOGLETRANSLATE(C57, ""en"", ""ur"")"),"A) نہیں، اس کا راستہ ہاتھی نے روک دیا ہے، B) ہاں، C) نہیں، ایک منتری راجہ کو نہیں پکڑ سکتا، D) صرف اس صورت میں جب ہاتھی حرکت کرے۔")</f>
        <v>A) نہیں، اس کا راستہ ہاتھی نے روک دیا ہے، B) ہاں، C) نہیں، ایک منتری راجہ کو نہیں پکڑ سکتا، D) صرف اس صورت میں جب ہاتھی حرکت کرے۔</v>
      </c>
      <c r="M57" s="6" t="str">
        <f>IFERROR(__xludf.DUMMYFUNCTION("GOOGLETRANSLATE(D57, ""en"", ""ur"")"),"ب) ہاں")</f>
        <v>ب) ہاں</v>
      </c>
      <c r="N57" s="6" t="str">
        <f>IFERROR(__xludf.DUMMYFUNCTION("GOOGLETRANSLATE(E57, ""en"", ""ur"")"),"منتری ایک مربع کو ترچھی حرکت دیتا ہے۔ یہ دوسرے چوکوں پر ٹکڑوں کے ذریعہ ""بلاک"" نہیں ہوتا ہے۔ یہ قانونی طور پر b2 سے a1 میں جا سکتا ہے اور راجہ کو پکڑ سکتا ہے۔")</f>
        <v>منتری ایک مربع کو ترچھی حرکت دیتا ہے۔ یہ دوسرے چوکوں پر ٹکڑوں کے ذریعہ "بلاک" نہیں ہوتا ہے۔ یہ قانونی طور پر b2 سے a1 میں جا سکتا ہے اور راجہ کو پکڑ سکتا ہے۔</v>
      </c>
    </row>
    <row r="58">
      <c r="A58" s="4">
        <v>57.0</v>
      </c>
      <c r="B58" s="5" t="s">
        <v>734</v>
      </c>
      <c r="C58" s="5" t="s">
        <v>735</v>
      </c>
      <c r="D58" s="5" t="s">
        <v>736</v>
      </c>
      <c r="E58" s="5" t="s">
        <v>737</v>
      </c>
      <c r="J58" s="6" t="str">
        <f>IFERROR(__xludf.DUMMYFUNCTION("GOOGLETRANSLATE(A58, ""en"", ""ur"")"),"57")</f>
        <v>57</v>
      </c>
      <c r="K58" s="6" t="str">
        <f>IFERROR(__xludf.DUMMYFUNCTION("GOOGLETRANSLATE(B58, ""en"", ""ur"")"),"چار کھلاڑیوں کے کھیل میں، چاروں فوجوں کا عام طور پر کیا رنگ تھا؟")</f>
        <v>چار کھلاڑیوں کے کھیل میں، چاروں فوجوں کا عام طور پر کیا رنگ تھا؟</v>
      </c>
      <c r="L58" s="6" t="str">
        <f>IFERROR(__xludf.DUMMYFUNCTION("GOOGLETRANSLATE(C58, ""en"", ""ur"")"),"A) سرخ، نیلا، سبز، پیلا، B) سیاہ، سبز، سرخ، اور پیلا، C) سونا، چاندی، کانسی، لوہا، D) سیاہ اور سفید کے دو سیٹ")</f>
        <v>A) سرخ، نیلا، سبز، پیلا، B) سیاہ، سبز، سرخ، اور پیلا، C) سونا، چاندی، کانسی، لوہا، D) سیاہ اور سفید کے دو سیٹ</v>
      </c>
      <c r="M58" s="6" t="str">
        <f>IFERROR(__xludf.DUMMYFUNCTION("GOOGLETRANSLATE(D58, ""en"", ""ur"")"),"ب) سیاہ، سبز، سرخ، اور پیلا")</f>
        <v>ب) سیاہ، سبز، سرخ، اور پیلا</v>
      </c>
      <c r="N58" s="6" t="str">
        <f>IFERROR(__xludf.DUMMYFUNCTION("GOOGLETRANSLATE(E58, ""en"", ""ur"")"),"چار پلیئر ورژن اکثر چار الگ الگ رنگوں کے ٹکڑوں کے ساتھ کھیلا جاتا تھا، عام طور پر سیاہ، سبز، سرخ اور پیلا۔")</f>
        <v>چار پلیئر ورژن اکثر چار الگ الگ رنگوں کے ٹکڑوں کے ساتھ کھیلا جاتا تھا، عام طور پر سیاہ، سبز، سرخ اور پیلا۔</v>
      </c>
    </row>
    <row r="59">
      <c r="A59" s="4">
        <v>58.0</v>
      </c>
      <c r="B59" s="5" t="s">
        <v>738</v>
      </c>
      <c r="C59" s="5" t="s">
        <v>739</v>
      </c>
      <c r="D59" s="5" t="s">
        <v>740</v>
      </c>
      <c r="E59" s="5" t="s">
        <v>741</v>
      </c>
      <c r="J59" s="6" t="str">
        <f>IFERROR(__xludf.DUMMYFUNCTION("GOOGLETRANSLATE(A59, ""en"", ""ur"")"),"58")</f>
        <v>58</v>
      </c>
      <c r="K59" s="6" t="str">
        <f>IFERROR(__xludf.DUMMYFUNCTION("GOOGLETRANSLATE(B59, ""en"", ""ur"")"),"ایک گاجا a1 پر ہے۔ یہ c3 پر چھلانگ لگاتا ہے۔ پھر یہ e5 پر چھلانگ لگاتا ہے۔ پھر یہ g7 پر چھلانگ لگاتا ہے۔ اس تحریک کی اہم خصوصیت کیا ہے؟")</f>
        <v>ایک گاجا a1 پر ہے۔ یہ c3 پر چھلانگ لگاتا ہے۔ پھر یہ e5 پر چھلانگ لگاتا ہے۔ پھر یہ g7 پر چھلانگ لگاتا ہے۔ اس تحریک کی اہم خصوصیت کیا ہے؟</v>
      </c>
      <c r="L59" s="6" t="str">
        <f>IFERROR(__xludf.DUMMYFUNCTION("GOOGLETRANSLATE(C59, ""en"", ""ur"")"),"A) یہ بہت تیز ہے، B) یہ زگ زیگ پیٹرن ہے، C) یہ پوری ترتیب کے لیے ایک ہی رنگ کے اخترن پر رہتا ہے، D) یہ صرف آخری حرکت پر ہی گرفت کر سکتا ہے۔")</f>
        <v>A) یہ بہت تیز ہے، B) یہ زگ زیگ پیٹرن ہے، C) یہ پوری ترتیب کے لیے ایک ہی رنگ کے اخترن پر رہتا ہے، D) یہ صرف آخری حرکت پر ہی گرفت کر سکتا ہے۔</v>
      </c>
      <c r="M59" s="6" t="str">
        <f>IFERROR(__xludf.DUMMYFUNCTION("GOOGLETRANSLATE(D59, ""en"", ""ur"")"),"C) یہ پوری ترتیب کے لیے ایک ہی رنگ کے اخترن پر رہتا ہے۔")</f>
        <v>C) یہ پوری ترتیب کے لیے ایک ہی رنگ کے اخترن پر رہتا ہے۔</v>
      </c>
      <c r="N59" s="6" t="str">
        <f>IFERROR(__xludf.DUMMYFUNCTION("GOOGLETRANSLATE(E59, ""en"", ""ur"")"),"یہ ترتیب گاجا کی رنگین نوعیت کی عکاسی کرتی ہے، کیونکہ یہ ایک تاریک مربع اخترن کو اوپر لے جاتا ہے۔")</f>
        <v>یہ ترتیب گاجا کی رنگین نوعیت کی عکاسی کرتی ہے، کیونکہ یہ ایک تاریک مربع اخترن کو اوپر لے جاتا ہے۔</v>
      </c>
    </row>
    <row r="60">
      <c r="A60" s="4">
        <v>59.0</v>
      </c>
      <c r="B60" s="5" t="s">
        <v>742</v>
      </c>
      <c r="C60" s="5" t="s">
        <v>743</v>
      </c>
      <c r="D60" s="5" t="s">
        <v>744</v>
      </c>
      <c r="E60" s="5" t="s">
        <v>745</v>
      </c>
      <c r="J60" s="6" t="str">
        <f>IFERROR(__xludf.DUMMYFUNCTION("GOOGLETRANSLATE(A60, ""en"", ""ur"")"),"59")</f>
        <v>59</v>
      </c>
      <c r="K60" s="6" t="str">
        <f>IFERROR(__xludf.DUMMYFUNCTION("GOOGLETRANSLATE(B60, ""en"", ""ur"")"),"a1 پر ایک کھلاڑی کی ہاتھی کے پاس a8 کا واضح راستہ ہوتا ہے جہاں دشمن پداٹی بیٹھا ہوتا ہے۔ اس ہاتھی کا کیا کردار ہے؟")</f>
        <v>a1 پر ایک کھلاڑی کی ہاتھی کے پاس a8 کا واضح راستہ ہوتا ہے جہاں دشمن پداٹی بیٹھا ہوتا ہے۔ اس ہاتھی کا کیا کردار ہے؟</v>
      </c>
      <c r="L60" s="6" t="str">
        <f>IFERROR(__xludf.DUMMYFUNCTION("GOOGLETRANSLATE(C60, ""en"", ""ur"")"),"A) یہ ایک دفاعی ٹکڑا ہے، B) یہ کھلی 'a' فائل کو کنٹرول کر رہا ہے، C) یہ بلاک شدہ ٹکڑا ہے، D) یہ قربانی کا ٹکڑا ہے۔")</f>
        <v>A) یہ ایک دفاعی ٹکڑا ہے، B) یہ کھلی 'a' فائل کو کنٹرول کر رہا ہے، C) یہ بلاک شدہ ٹکڑا ہے، D) یہ قربانی کا ٹکڑا ہے۔</v>
      </c>
      <c r="M60" s="6" t="str">
        <f>IFERROR(__xludf.DUMMYFUNCTION("GOOGLETRANSLATE(D60, ""en"", ""ur"")"),"ب) یہ کھلی 'a' فائل کو کنٹرول کر رہا ہے۔")</f>
        <v>ب) یہ کھلی 'a' فائل کو کنٹرول کر رہا ہے۔</v>
      </c>
      <c r="N60" s="6" t="str">
        <f>IFERROR(__xludf.DUMMYFUNCTION("GOOGLETRANSLATE(E60, ""en"", ""ur"")"),"ایک کھلی یا نیم کھلی فائل پر ہاتھی اس پوری لائن کے ساتھ طاقتور دباؤ ڈالتا ہے، ایک اہم اسٹریٹجک تصور۔")</f>
        <v>ایک کھلی یا نیم کھلی فائل پر ہاتھی اس پوری لائن کے ساتھ طاقتور دباؤ ڈالتا ہے، ایک اہم اسٹریٹجک تصور۔</v>
      </c>
    </row>
    <row r="61">
      <c r="A61" s="4">
        <v>60.0</v>
      </c>
      <c r="B61" s="5" t="s">
        <v>746</v>
      </c>
      <c r="C61" s="5" t="s">
        <v>747</v>
      </c>
      <c r="D61" s="5" t="s">
        <v>748</v>
      </c>
      <c r="E61" s="5" t="s">
        <v>749</v>
      </c>
      <c r="J61" s="6" t="str">
        <f>IFERROR(__xludf.DUMMYFUNCTION("GOOGLETRANSLATE(A61, ""en"", ""ur"")"),"60")</f>
        <v>60</v>
      </c>
      <c r="K61" s="6" t="str">
        <f>IFERROR(__xludf.DUMMYFUNCTION("GOOGLETRANSLATE(B61, ""en"", ""ur"")"),"ایسی صورت حال میں جہاں آپ کے پاس ایک راجہ اور ایک منتری ایک اکیلے راجہ کے خلاف ہے، آپ زبردستی جیت کیوں نہیں سکتے؟")</f>
        <v>ایسی صورت حال میں جہاں آپ کے پاس ایک راجہ اور ایک منتری ایک اکیلے راجہ کے خلاف ہے، آپ زبردستی جیت کیوں نہیں سکتے؟</v>
      </c>
      <c r="L61" s="6" t="str">
        <f>IFERROR(__xludf.DUMMYFUNCTION("GOOGLETRANSLATE(C61, ""en"", ""ur"")"),"A) راجہ کو مدد کرنے کی اجازت نہیں ہے، B) منتری کی ایک مربع ترچھی حرکت دشمن راجہ کے فرار چوکوں کو کاٹ دینے کے لیے بہت محدود ہے، C) اکیلا راجہ منتری کو آسانی سے پکڑ سکتا ہے، D) صرف منتری سے جیتنا اصولوں کے خلاف ہے۔")</f>
        <v>A) راجہ کو مدد کرنے کی اجازت نہیں ہے، B) منتری کی ایک مربع ترچھی حرکت دشمن راجہ کے فرار چوکوں کو کاٹ دینے کے لیے بہت محدود ہے، C) اکیلا راجہ منتری کو آسانی سے پکڑ سکتا ہے، D) صرف منتری سے جیتنا اصولوں کے خلاف ہے۔</v>
      </c>
      <c r="M61" s="6" t="str">
        <f>IFERROR(__xludf.DUMMYFUNCTION("GOOGLETRANSLATE(D61, ""en"", ""ur"")"),"ب) منتری کی ایک مربع ترچھی حرکت دشمن راجہ کے فرار کے چوکوں کو کاٹنے کے لیے بہت محدود ہے۔")</f>
        <v>ب) منتری کی ایک مربع ترچھی حرکت دشمن راجہ کے فرار کے چوکوں کو کاٹنے کے لیے بہت محدود ہے۔</v>
      </c>
      <c r="N61" s="6" t="str">
        <f>IFERROR(__xludf.DUMMYFUNCTION("GOOGLETRANSLATE(E61, ""en"", ""ur"")"),"ایک جدید ملکہ کے برعکس، منتری کے پاس اپنے بادشاہ کے ساتھ مل کر مخالف کی جگہ کو منظم طریقے سے کم کرنے اور زبردستی پکڑنے کے لیے کام کرنے کی حد اور طاقت کا فقدان ہے۔")</f>
        <v>ایک جدید ملکہ کے برعکس، منتری کے پاس اپنے بادشاہ کے ساتھ مل کر مخالف کی جگہ کو منظم طریقے سے کم کرنے اور زبردستی پکڑنے کے لیے کام کرنے کی حد اور طاقت کا فقدان ہے۔</v>
      </c>
    </row>
    <row r="62">
      <c r="A62" s="4">
        <v>61.0</v>
      </c>
      <c r="B62" s="5" t="s">
        <v>750</v>
      </c>
      <c r="C62" s="5" t="s">
        <v>751</v>
      </c>
      <c r="D62" s="5" t="s">
        <v>752</v>
      </c>
      <c r="E62" s="5" t="s">
        <v>753</v>
      </c>
      <c r="J62" s="6" t="str">
        <f>IFERROR(__xludf.DUMMYFUNCTION("GOOGLETRANSLATE(A62, ""en"", ""ur"")"),"61")</f>
        <v>61</v>
      </c>
      <c r="K62" s="6" t="str">
        <f>IFERROR(__xludf.DUMMYFUNCTION("GOOGLETRANSLATE(B62, ""en"", ""ur"")"),"ڈی 2 پر ایک پڈاٹی منتقل ہونا چاہتا ہے۔ مربع D3 پر ایک دوستانہ اشوا کا قبضہ ہے۔ کیا پاداٹی ڈی 4 میں جا سکتا ہے؟")</f>
        <v>ڈی 2 پر ایک پڈاٹی منتقل ہونا چاہتا ہے۔ مربع D3 پر ایک دوستانہ اشوا کا قبضہ ہے۔ کیا پاداٹی ڈی 4 میں جا سکتا ہے؟</v>
      </c>
      <c r="L62" s="6" t="str">
        <f>IFERROR(__xludf.DUMMYFUNCTION("GOOGLETRANSLATE(C62, ""en"", ""ur"")"),"A) جی ہاں، چھلانگ لگا کر، B) نہیں، اس کا راستہ روک دیا گیا ہے اور یہ ابتدائی دو قدمی حرکت نہیں کر سکتا، C) ہاں، لیکن صرف پکڑنے کے لیے، D) صرف ڈائس رول پر")</f>
        <v>A) جی ہاں، چھلانگ لگا کر، B) نہیں، اس کا راستہ روک دیا گیا ہے اور یہ ابتدائی دو قدمی حرکت نہیں کر سکتا، C) ہاں، لیکن صرف پکڑنے کے لیے، D) صرف ڈائس رول پر</v>
      </c>
      <c r="M62" s="6" t="str">
        <f>IFERROR(__xludf.DUMMYFUNCTION("GOOGLETRANSLATE(D62, ""en"", ""ur"")"),"ب) نہیں، اس کا راستہ مسدود ہے اور یہ ابتدائی دو قدمی حرکت نہیں کر سکتا")</f>
        <v>ب) نہیں، اس کا راستہ مسدود ہے اور یہ ابتدائی دو قدمی حرکت نہیں کر سکتا</v>
      </c>
      <c r="N62" s="6" t="str">
        <f>IFERROR(__xludf.DUMMYFUNCTION("GOOGLETRANSLATE(E62, ""en"", ""ur"")"),"پڈاٹی صرف ایک مربع کو خالی مربع کی طرف بڑھا سکتا ہے اور اس میں ابتدائی دو قدم یا جمپنگ کی صلاحیت نہیں ہے۔")</f>
        <v>پڈاٹی صرف ایک مربع کو خالی مربع کی طرف بڑھا سکتا ہے اور اس میں ابتدائی دو قدم یا جمپنگ کی صلاحیت نہیں ہے۔</v>
      </c>
    </row>
    <row r="63">
      <c r="A63" s="4">
        <v>62.0</v>
      </c>
      <c r="B63" s="5" t="s">
        <v>754</v>
      </c>
      <c r="C63" s="5" t="s">
        <v>755</v>
      </c>
      <c r="D63" s="5" t="s">
        <v>756</v>
      </c>
      <c r="E63" s="5" t="s">
        <v>757</v>
      </c>
      <c r="J63" s="6" t="str">
        <f>IFERROR(__xludf.DUMMYFUNCTION("GOOGLETRANSLATE(A63, ""en"", ""ur"")"),"62")</f>
        <v>62</v>
      </c>
      <c r="K63" s="6" t="str">
        <f>IFERROR(__xludf.DUMMYFUNCTION("GOOGLETRANSLATE(B63, ""en"", ""ur"")"),"ایک دشمن راجہ h1 پر ہے۔ آپ کے پاس f2 پر ایک اشوا ہے۔ کیا راجہ حملہ کی زد میں ہے؟")</f>
        <v>ایک دشمن راجہ h1 پر ہے۔ آپ کے پاس f2 پر ایک اشوا ہے۔ کیا راجہ حملہ کی زد میں ہے؟</v>
      </c>
      <c r="L63" s="6" t="str">
        <f>IFERROR(__xludf.DUMMYFUNCTION("GOOGLETRANSLATE(C63, ""en"", ""ur"")"),"A) ہاں، B) نہیں، C) صرف اس صورت میں جب اشوا محفوظ ہو، D) راجہ تعطل کا شکار ہو")</f>
        <v>A) ہاں، B) نہیں، C) صرف اس صورت میں جب اشوا محفوظ ہو، D) راجہ تعطل کا شکار ہو</v>
      </c>
      <c r="M63" s="6" t="str">
        <f>IFERROR(__xludf.DUMMYFUNCTION("GOOGLETRANSLATE(D63, ""en"", ""ur"")"),"A) ہاں")</f>
        <v>A) ہاں</v>
      </c>
      <c r="N63" s="6" t="str">
        <f>IFERROR(__xludf.DUMMYFUNCTION("GOOGLETRANSLATE(E63, ""en"", ""ur"")"),"F2 پر اشوا کی L شکل کی حرکت براہ راست h1 مربع پر حملہ کرتی ہے، جس سے راجہ کو پکڑے جانے کا خطرہ لاحق ہو جاتا ہے۔")</f>
        <v>F2 پر اشوا کی L شکل کی حرکت براہ راست h1 مربع پر حملہ کرتی ہے، جس سے راجہ کو پکڑے جانے کا خطرہ لاحق ہو جاتا ہے۔</v>
      </c>
    </row>
    <row r="64">
      <c r="A64" s="4">
        <v>63.0</v>
      </c>
      <c r="B64" s="5" t="s">
        <v>758</v>
      </c>
      <c r="C64" s="5" t="s">
        <v>759</v>
      </c>
      <c r="D64" s="5" t="s">
        <v>760</v>
      </c>
      <c r="E64" s="5" t="s">
        <v>761</v>
      </c>
      <c r="J64" s="6" t="str">
        <f>IFERROR(__xludf.DUMMYFUNCTION("GOOGLETRANSLATE(A64, ""en"", ""ur"")"),"63")</f>
        <v>63</v>
      </c>
      <c r="K64" s="6" t="str">
        <f>IFERROR(__xludf.DUMMYFUNCTION("GOOGLETRANSLATE(B64, ""en"", ""ur"")"),"شترنج کا کھیل، جو فارس میں چتورنگا سے تیار ہوا، اس کا ایک ٹکڑا الفل تھا۔ یہ کون سا ٹکڑا تھا؟")</f>
        <v>شترنج کا کھیل، جو فارس میں چتورنگا سے تیار ہوا، اس کا ایک ٹکڑا الفل تھا۔ یہ کون سا ٹکڑا تھا؟</v>
      </c>
      <c r="L64" s="6" t="str">
        <f>IFERROR(__xludf.DUMMYFUNCTION("GOOGLETRANSLATE(C64, ""en"", ""ur"")"),"A) گھوڑا، B) ہاتھی، C) رتھ، D) مشیر")</f>
        <v>A) گھوڑا، B) ہاتھی، C) رتھ، D) مشیر</v>
      </c>
      <c r="M64" s="6" t="str">
        <f>IFERROR(__xludf.DUMMYFUNCTION("GOOGLETRANSLATE(D64, ""en"", ""ur"")"),"ب) ہاتھی")</f>
        <v>ب) ہاتھی</v>
      </c>
      <c r="N64" s="6" t="str">
        <f>IFERROR(__xludf.DUMMYFUNCTION("GOOGLETRANSLATE(E64, ""en"", ""ur"")"),"الفل ""ہاتھی"" کا عربی لفظ ہے، یہ نام گجا کے ٹکڑے کو ہندوستان سے اپنانے کے بعد دیا گیا تھا۔")</f>
        <v>الفل "ہاتھی" کا عربی لفظ ہے، یہ نام گجا کے ٹکڑے کو ہندوستان سے اپنانے کے بعد دیا گیا تھا۔</v>
      </c>
    </row>
    <row r="65">
      <c r="A65" s="4">
        <v>64.0</v>
      </c>
      <c r="B65" s="5" t="s">
        <v>762</v>
      </c>
      <c r="C65" s="5" t="s">
        <v>763</v>
      </c>
      <c r="D65" s="5" t="s">
        <v>764</v>
      </c>
      <c r="E65" s="5" t="s">
        <v>765</v>
      </c>
      <c r="J65" s="6" t="str">
        <f>IFERROR(__xludf.DUMMYFUNCTION("GOOGLETRANSLATE(A65, ""en"", ""ur"")"),"64")</f>
        <v>64</v>
      </c>
      <c r="K65" s="6" t="str">
        <f>IFERROR(__xludf.DUMMYFUNCTION("GOOGLETRANSLATE(B65, ""en"", ""ur"")"),"جی ایٹ پر آپ کا راجہ ہے۔ آپ کے مخالف کے پاس a1 اور h2 پر دو ہاتھیاں ہیں۔ مخالف کا اصل خطرہ کیا ہے؟")</f>
        <v>جی ایٹ پر آپ کا راجہ ہے۔ آپ کے مخالف کے پاس a1 اور h2 پر دو ہاتھیاں ہیں۔ مخالف کا اصل خطرہ کیا ہے؟</v>
      </c>
      <c r="L65" s="6" t="str">
        <f>IFERROR(__xludf.DUMMYFUNCTION("GOOGLETRANSLATE(C65, ""en"", ""ur"")"),"A) آپ کے بقیہ پاڈیٹس پر حملہ کرنے کے لیے، B) صفوں اور فائلوں کے ساتھ ایک ""سیڑھی"" کیپچر پیٹرن بنانے کے لیے، C) اپنے ٹکڑوں کو کانٹا دینے کے لیے، D) ان کے اپنے پاڈٹس کو فروغ دینے کے لیے")</f>
        <v>A) آپ کے بقیہ پاڈیٹس پر حملہ کرنے کے لیے، B) صفوں اور فائلوں کے ساتھ ایک "سیڑھی" کیپچر پیٹرن بنانے کے لیے، C) اپنے ٹکڑوں کو کانٹا دینے کے لیے، D) ان کے اپنے پاڈٹس کو فروغ دینے کے لیے</v>
      </c>
      <c r="M65" s="6" t="str">
        <f>IFERROR(__xludf.DUMMYFUNCTION("GOOGLETRANSLATE(D65, ""en"", ""ur"")"),"ب) صفوں اور فائلوں کے ساتھ ایک ""سیڑھی"" کیپچر پیٹرن بنانا")</f>
        <v>ب) صفوں اور فائلوں کے ساتھ ایک "سیڑھی" کیپچر پیٹرن بنانا</v>
      </c>
      <c r="N65" s="6" t="str">
        <f>IFERROR(__xludf.DUMMYFUNCTION("GOOGLETRANSLATE(E65, ""en"", ""ur"")"),"دو ہاتھیاں (یا روکس) ناقابل یقین حد تک طاقتور ہیں اور ایک بادشاہ کو پکڑے جانے کے لیے منظم طریقے سے تختہ دار تک پہنچانے کے لیے مل کر کام کر سکتے ہیں۔")</f>
        <v>دو ہاتھیاں (یا روکس) ناقابل یقین حد تک طاقتور ہیں اور ایک بادشاہ کو پکڑے جانے کے لیے منظم طریقے سے تختہ دار تک پہنچانے کے لیے مل کر کام کر سکتے ہیں۔</v>
      </c>
    </row>
    <row r="66">
      <c r="A66" s="4">
        <v>65.0</v>
      </c>
      <c r="B66" s="5" t="s">
        <v>766</v>
      </c>
      <c r="C66" s="5" t="s">
        <v>767</v>
      </c>
      <c r="D66" s="5" t="s">
        <v>768</v>
      </c>
      <c r="E66" s="5" t="s">
        <v>769</v>
      </c>
      <c r="J66" s="6" t="str">
        <f>IFERROR(__xludf.DUMMYFUNCTION("GOOGLETRANSLATE(A66, ""en"", ""ur"")"),"65")</f>
        <v>65</v>
      </c>
      <c r="K66" s="6" t="str">
        <f>IFERROR(__xludf.DUMMYFUNCTION("GOOGLETRANSLATE(B66, ""en"", ""ur"")"),"اگر کوئی کھلاڑی اپنی باری پر مخالف کے راجہ کو پکڑنے کا موقع گنوا دے تو کیا ہوا؟")</f>
        <v>اگر کوئی کھلاڑی اپنی باری پر مخالف کے راجہ کو پکڑنے کا موقع گنوا دے تو کیا ہوا؟</v>
      </c>
      <c r="L66" s="6" t="str">
        <f>IFERROR(__xludf.DUMMYFUNCTION("GOOGLETRANSLATE(C66, ""en"", ""ur"")"),"A) جیت سے محروم ہونے کی وجہ سے وہ گیم ہار گئے، B) حریف کو خطرے سے بچنے کے لیے حرکت کرنے کی اجازت دی گئی، C) گیم ڈرا ہوا، D) انہیں اپنی اگلی باری پر ""چیک"" کا اعلان کرنا پڑا")</f>
        <v>A) جیت سے محروم ہونے کی وجہ سے وہ گیم ہار گئے، B) حریف کو خطرے سے بچنے کے لیے حرکت کرنے کی اجازت دی گئی، C) گیم ڈرا ہوا، D) انہیں اپنی اگلی باری پر "چیک" کا اعلان کرنا پڑا</v>
      </c>
      <c r="M66" s="6" t="str">
        <f>IFERROR(__xludf.DUMMYFUNCTION("GOOGLETRANSLATE(D66, ""en"", ""ur"")"),"ب) مخالف کو خطرے سے بچنے کے لیے حرکت کرنے کی اجازت تھی۔")</f>
        <v>ب) مخالف کو خطرے سے بچنے کے لیے حرکت کرنے کی اجازت تھی۔</v>
      </c>
      <c r="N66" s="6" t="str">
        <f>IFERROR(__xludf.DUMMYFUNCTION("GOOGLETRANSLATE(E66, ""en"", ""ur"")"),"چونکہ کوئی ""چیک"" قاعدہ نہیں تھا، اس لیے چھوٹ جانا محض ایک غلطی تھی۔ مخالف خطرے کو محسوس کرنے اور اپنے راجہ کو حفاظت میں منتقل کرنے کے لیے آزاد تھا۔")</f>
        <v>چونکہ کوئی "چیک" قاعدہ نہیں تھا، اس لیے چھوٹ جانا محض ایک غلطی تھی۔ مخالف خطرے کو محسوس کرنے اور اپنے راجہ کو حفاظت میں منتقل کرنے کے لیے آزاد تھا۔</v>
      </c>
    </row>
    <row r="67">
      <c r="A67" s="4">
        <v>66.0</v>
      </c>
      <c r="B67" s="5" t="s">
        <v>770</v>
      </c>
      <c r="C67" s="5" t="s">
        <v>771</v>
      </c>
      <c r="D67" s="5" t="s">
        <v>772</v>
      </c>
      <c r="E67" s="5" t="s">
        <v>773</v>
      </c>
      <c r="J67" s="6" t="str">
        <f>IFERROR(__xludf.DUMMYFUNCTION("GOOGLETRANSLATE(A67, ""en"", ""ur"")"),"66")</f>
        <v>66</v>
      </c>
      <c r="K67" s="6" t="str">
        <f>IFERROR(__xludf.DUMMYFUNCTION("GOOGLETRANSLATE(B67, ""en"", ""ur"")"),"آپ کے دو گاجوں کو مخالف رنگوں کے چوکوں پر رکھنا ایک اچھی حکمت عملی کیوں تھی؟")</f>
        <v>آپ کے دو گاجوں کو مخالف رنگوں کے چوکوں پر رکھنا ایک اچھی حکمت عملی کیوں تھی؟</v>
      </c>
      <c r="L67" s="6" t="str">
        <f>IFERROR(__xludf.DUMMYFUNCTION("GOOGLETRANSLATE(C67, ""en"", ""ur"")"),"A) یہ ایک اچھی حکمت عملی نہیں تھی، B) یہ ناممکن ہے کیونکہ وہ رنگوں کے پابند ہیں، C) دونوں رنگوں کے اخترن کو کنٹرول کرنا، D) ایک دوسرے کا دفاع کرنا")</f>
        <v>A) یہ ایک اچھی حکمت عملی نہیں تھی، B) یہ ناممکن ہے کیونکہ وہ رنگوں کے پابند ہیں، C) دونوں رنگوں کے اخترن کو کنٹرول کرنا، D) ایک دوسرے کا دفاع کرنا</v>
      </c>
      <c r="M67" s="6" t="str">
        <f>IFERROR(__xludf.DUMMYFUNCTION("GOOGLETRANSLATE(D67, ""en"", ""ur"")"),"C) دونوں رنگوں کے اخترن کو کنٹرول کرنا")</f>
        <v>C) دونوں رنگوں کے اخترن کو کنٹرول کرنا</v>
      </c>
      <c r="N67" s="6" t="str">
        <f>IFERROR(__xludf.DUMMYFUNCTION("GOOGLETRANSLATE(E67, ""en"", ""ur"")"),"ابتدائی سیٹ اپ نے قدرتی طور پر گاجوں کو مخالف رنگوں پر رکھا۔ اس علیحدگی کو برقرار رکھنے کا مطلب یہ تھا کہ وہ پورے بورڈ میں اخترن کے مختلف سیٹوں کو کنٹرول کرتے ہیں۔")</f>
        <v>ابتدائی سیٹ اپ نے قدرتی طور پر گاجوں کو مخالف رنگوں پر رکھا۔ اس علیحدگی کو برقرار رکھنے کا مطلب یہ تھا کہ وہ پورے بورڈ میں اخترن کے مختلف سیٹوں کو کنٹرول کرتے ہیں۔</v>
      </c>
    </row>
    <row r="68">
      <c r="A68" s="4">
        <v>67.0</v>
      </c>
      <c r="B68" s="5" t="s">
        <v>774</v>
      </c>
      <c r="C68" s="5" t="s">
        <v>775</v>
      </c>
      <c r="D68" s="5" t="s">
        <v>776</v>
      </c>
      <c r="E68" s="5" t="s">
        <v>777</v>
      </c>
      <c r="J68" s="6" t="str">
        <f>IFERROR(__xludf.DUMMYFUNCTION("GOOGLETRANSLATE(A68, ""en"", ""ur"")"),"67")</f>
        <v>67</v>
      </c>
      <c r="K68" s="6" t="str">
        <f>IFERROR(__xludf.DUMMYFUNCTION("GOOGLETRANSLATE(B68, ""en"", ""ur"")"),"چار کھلاڑیوں کے کھیل میں، کیا ہوتا ہے اگر آپ کا ڈائس رول آپ کو کسی اتحادی کھلاڑی کے ٹکڑے کو پکڑنے کی اجازت دیتا ہے (اتحاد کے مختلف قسم میں)؟")</f>
        <v>چار کھلاڑیوں کے کھیل میں، کیا ہوتا ہے اگر آپ کا ڈائس رول آپ کو کسی اتحادی کھلاڑی کے ٹکڑے کو پکڑنے کی اجازت دیتا ہے (اتحاد کے مختلف قسم میں)؟</v>
      </c>
      <c r="L68" s="6" t="str">
        <f>IFERROR(__xludf.DUMMYFUNCTION("GOOGLETRANSLATE(C68, ""en"", ""ur"")"),"A) آپ کو کیپچر کرنا ہوگا، B) آپ کو اتحادی کے ٹکڑے پر قبضہ کرنے کی اجازت نہیں ہے اور آپ کو ایک اور قانونی اقدام کرنا ہوگا، C) آپ اپنی باری کھو دیں گے، D) آپ کسی اور جگہ پر قبضہ کرنے یا منتقل کرنے کا انتخاب کر سکتے ہیں۔")</f>
        <v>A) آپ کو کیپچر کرنا ہوگا، B) آپ کو اتحادی کے ٹکڑے پر قبضہ کرنے کی اجازت نہیں ہے اور آپ کو ایک اور قانونی اقدام کرنا ہوگا، C) آپ اپنی باری کھو دیں گے، D) آپ کسی اور جگہ پر قبضہ کرنے یا منتقل کرنے کا انتخاب کر سکتے ہیں۔</v>
      </c>
      <c r="M68" s="6" t="str">
        <f>IFERROR(__xludf.DUMMYFUNCTION("GOOGLETRANSLATE(D68, ""en"", ""ur"")"),"ب) آپ کو اتحادی کے ٹکڑے پر قبضہ کرنے کی اجازت نہیں ہے اور آپ کو ایک اور قانونی اقدام کرنا ہوگا۔")</f>
        <v>ب) آپ کو اتحادی کے ٹکڑے پر قبضہ کرنے کی اجازت نہیں ہے اور آپ کو ایک اور قانونی اقدام کرنا ہوگا۔</v>
      </c>
      <c r="N68" s="6" t="str">
        <f>IFERROR(__xludf.DUMMYFUNCTION("GOOGLETRANSLATE(E68, ""en"", ""ur"")"),"اتحاد والے ورژن میں (مثال کے طور پر، مخالف بمقابلہ مخالف)، آپ اپنے ساتھی کے ٹکڑوں کو پکڑ نہیں سکتے۔ اگر یہ واحد اقدام تھا، تو آپ اپنی باری کھو دیں گے۔")</f>
        <v>اتحاد والے ورژن میں (مثال کے طور پر، مخالف بمقابلہ مخالف)، آپ اپنے ساتھی کے ٹکڑوں کو پکڑ نہیں سکتے۔ اگر یہ واحد اقدام تھا، تو آپ اپنی باری کھو دیں گے۔</v>
      </c>
    </row>
    <row r="69">
      <c r="A69" s="4">
        <v>68.0</v>
      </c>
      <c r="B69" s="5" t="s">
        <v>778</v>
      </c>
      <c r="C69" s="5" t="s">
        <v>779</v>
      </c>
      <c r="D69" s="5" t="s">
        <v>780</v>
      </c>
      <c r="E69" s="5" t="s">
        <v>781</v>
      </c>
      <c r="J69" s="6" t="str">
        <f>IFERROR(__xludf.DUMMYFUNCTION("GOOGLETRANSLATE(A69, ""en"", ""ur"")"),"68")</f>
        <v>68</v>
      </c>
      <c r="K69" s="6" t="str">
        <f>IFERROR(__xludf.DUMMYFUNCTION("GOOGLETRANSLATE(B69, ""en"", ""ur"")"),"اس کی بنیادی وجہ کیا ہے کہ چتورنگا کے اصول مکمل طور پر معلوم نہیں ہیں؟")</f>
        <v>اس کی بنیادی وجہ کیا ہے کہ چتورنگا کے اصول مکمل طور پر معلوم نہیں ہیں؟</v>
      </c>
      <c r="L69" s="6" t="str">
        <f>IFERROR(__xludf.DUMMYFUNCTION("GOOGLETRANSLATE(C69, ""en"", ""ur"")"),"A) قواعد بہت قریب سے محفوظ راز تھے، B) بہت کم بچ جانے والی قدیم تحریریں ہیں جو قواعد کو مکمل تفصیل سے بیان کرتی ہیں، C) گیم پر پابندی لگا دی گئی تھی، D) گیم لکھنے کے لیے بہت آسان تھا۔")</f>
        <v>A) قواعد بہت قریب سے محفوظ راز تھے، B) بہت کم بچ جانے والی قدیم تحریریں ہیں جو قواعد کو مکمل تفصیل سے بیان کرتی ہیں، C) گیم پر پابندی لگا دی گئی تھی، D) گیم لکھنے کے لیے بہت آسان تھا۔</v>
      </c>
      <c r="M69" s="6" t="str">
        <f>IFERROR(__xludf.DUMMYFUNCTION("GOOGLETRANSLATE(D69, ""en"", ""ur"")"),"ب) بہت کم زندہ بچ جانے والی قدیم تحریریں ہیں جن میں قواعد کو پوری تفصیل سے بیان کیا گیا ہے۔")</f>
        <v>ب) بہت کم زندہ بچ جانے والی قدیم تحریریں ہیں جن میں قواعد کو پوری تفصیل سے بیان کیا گیا ہے۔</v>
      </c>
      <c r="N69" s="6" t="str">
        <f>IFERROR(__xludf.DUMMYFUNCTION("GOOGLETRANSLATE(E69, ""en"", ""ur"")"),"مورخین کو ٹوٹی پھوٹی وضاحتوں اور اس کے جانشین گیمز کے شواہد سے قواعد کی تشکیل نو کرنی پڑتی ہے، جس کی وجہ سے عین اصولوں پر کچھ بحث ہوتی ہے۔")</f>
        <v>مورخین کو ٹوٹی پھوٹی وضاحتوں اور اس کے جانشین گیمز کے شواہد سے قواعد کی تشکیل نو کرنی پڑتی ہے، جس کی وجہ سے عین اصولوں پر کچھ بحث ہوتی ہے۔</v>
      </c>
    </row>
    <row r="70">
      <c r="A70" s="4">
        <v>69.0</v>
      </c>
      <c r="B70" s="5" t="s">
        <v>782</v>
      </c>
      <c r="C70" s="5" t="s">
        <v>783</v>
      </c>
      <c r="D70" s="5" t="s">
        <v>784</v>
      </c>
      <c r="E70" s="5" t="s">
        <v>785</v>
      </c>
      <c r="J70" s="6" t="str">
        <f>IFERROR(__xludf.DUMMYFUNCTION("GOOGLETRANSLATE(A70, ""en"", ""ur"")"),"69")</f>
        <v>69</v>
      </c>
      <c r="K70" s="6" t="str">
        <f>IFERROR(__xludf.DUMMYFUNCTION("GOOGLETRANSLATE(B70, ""en"", ""ur"")"),"ایک کھلاڑی کے پاس صرف ان کا راجہ اور ایک ہاتھی رہ گیا ہے۔ کیا وہ اکیلے دشمن راجہ کے خلاف جیت سکتے ہیں؟")</f>
        <v>ایک کھلاڑی کے پاس صرف ان کا راجہ اور ایک ہاتھی رہ گیا ہے۔ کیا وہ اکیلے دشمن راجہ کے خلاف جیت سکتے ہیں؟</v>
      </c>
      <c r="L70" s="6" t="str">
        <f>IFERROR(__xludf.DUMMYFUNCTION("GOOGLETRANSLATE(C70, ""en"", ""ur"")"),"A) نہیں، یہ ڈرا ہے، B) ہاں، یہ ایک معیاری اور ابتدائی جیت ہے، C) یہ ممکن ہے، لیکن بہت مشکل، D) صرف اس صورت میں جب تنہا راجہ کونے میں ہو۔")</f>
        <v>A) نہیں، یہ ڈرا ہے، B) ہاں، یہ ایک معیاری اور ابتدائی جیت ہے، C) یہ ممکن ہے، لیکن بہت مشکل، D) صرف اس صورت میں جب تنہا راجہ کونے میں ہو۔</v>
      </c>
      <c r="M70" s="6" t="str">
        <f>IFERROR(__xludf.DUMMYFUNCTION("GOOGLETRANSLATE(D70, ""en"", ""ur"")"),"ب) جی ہاں، یہ ایک معیاری اور ابتدائی جیت ہے۔")</f>
        <v>ب) جی ہاں، یہ ایک معیاری اور ابتدائی جیت ہے۔</v>
      </c>
      <c r="N70" s="6" t="str">
        <f>IFERROR(__xludf.DUMMYFUNCTION("GOOGLETRANSLATE(E70, ""en"", ""ur"")"),"ایک کنگ اینڈ روک (یا راجہ اور ہاتھی) کسی اکیلے بادشاہ کو بورڈ کے کنارے تک لے جا کر آسانی سے جیتنے پر مجبور کر سکتے ہیں۔")</f>
        <v>ایک کنگ اینڈ روک (یا راجہ اور ہاتھی) کسی اکیلے بادشاہ کو بورڈ کے کنارے تک لے جا کر آسانی سے جیتنے پر مجبور کر سکتے ہیں۔</v>
      </c>
    </row>
    <row r="71">
      <c r="A71" s="4">
        <v>70.0</v>
      </c>
      <c r="B71" s="5" t="s">
        <v>786</v>
      </c>
      <c r="C71" s="5" t="s">
        <v>787</v>
      </c>
      <c r="D71" s="5" t="s">
        <v>788</v>
      </c>
      <c r="E71" s="5" t="s">
        <v>789</v>
      </c>
      <c r="J71" s="6" t="str">
        <f>IFERROR(__xludf.DUMMYFUNCTION("GOOGLETRANSLATE(A71, ""en"", ""ur"")"),"70")</f>
        <v>70</v>
      </c>
      <c r="K71" s="6" t="str">
        <f>IFERROR(__xludf.DUMMYFUNCTION("GOOGLETRANSLATE(B71, ""en"", ""ur"")"),"گیم کے دو پلیئر ورژن میں جیت کی سب سے عام شرط کیا ہے؟")</f>
        <v>گیم کے دو پلیئر ورژن میں جیت کی سب سے عام شرط کیا ہے؟</v>
      </c>
      <c r="L71" s="6" t="str">
        <f>IFERROR(__xludf.DUMMYFUNCTION("GOOGLETRANSLATE(C71, ""en"", ""ur"")"),"A) مخالف کی تمام پڈتیوں پر قبضہ کرنا، B) ایک پڈتی کو فروغ دینا، C) مخالف کے راجہ کو پکڑنا، D) تعطل پر مجبور کرنا")</f>
        <v>A) مخالف کی تمام پڈتیوں پر قبضہ کرنا، B) ایک پڈتی کو فروغ دینا، C) مخالف کے راجہ کو پکڑنا، D) تعطل پر مجبور کرنا</v>
      </c>
      <c r="M71" s="6" t="str">
        <f>IFERROR(__xludf.DUMMYFUNCTION("GOOGLETRANSLATE(D71, ""en"", ""ur"")"),"ج) مخالف کے راجہ کو پکڑنا")</f>
        <v>ج) مخالف کے راجہ کو پکڑنا</v>
      </c>
      <c r="N71" s="6" t="str">
        <f>IFERROR(__xludf.DUMMYFUNCTION("GOOGLETRANSLATE(E71, ""en"", ""ur"")"),"کھیل کا حتمی مقصد دشمن کے بادشاہ کو پکڑنا تھا، جو ان کی فوج کی شکست کی نشاندہی کرتا تھا۔")</f>
        <v>کھیل کا حتمی مقصد دشمن کے بادشاہ کو پکڑنا تھا، جو ان کی فوج کی شکست کی نشاندہی کرتا تھا۔</v>
      </c>
    </row>
    <row r="72">
      <c r="A72" s="4">
        <v>71.0</v>
      </c>
      <c r="B72" s="5" t="s">
        <v>790</v>
      </c>
      <c r="C72" s="5" t="s">
        <v>791</v>
      </c>
      <c r="D72" s="5" t="s">
        <v>792</v>
      </c>
      <c r="E72" s="5" t="s">
        <v>793</v>
      </c>
      <c r="J72" s="6" t="str">
        <f>IFERROR(__xludf.DUMMYFUNCTION("GOOGLETRANSLATE(A72, ""en"", ""ur"")"),"71")</f>
        <v>71</v>
      </c>
      <c r="K72" s="6" t="str">
        <f>IFERROR(__xludf.DUMMYFUNCTION("GOOGLETRANSLATE(B72, ""en"", ""ur"")"),"ہاتھی a1 پر ہے اور گاجا c1 پر ہے۔ ایک دشمن راجہ h8 پر ہے۔ کون سا ٹکڑا راجہ کے عہدے کے لئے زیادہ فوری طور پر طویل فاصلے تک خطرہ ہے؟")</f>
        <v>ہاتھی a1 پر ہے اور گاجا c1 پر ہے۔ ایک دشمن راجہ h8 پر ہے۔ کون سا ٹکڑا راجہ کے عہدے کے لئے زیادہ فوری طور پر طویل فاصلے تک خطرہ ہے؟</v>
      </c>
      <c r="L72" s="6" t="str">
        <f>IFERROR(__xludf.DUMMYFUNCTION("GOOGLETRANSLATE(C72, ""en"", ""ur"")"),"A) ہاتھی، B) گاجا، C) دونوں برابر خطرہ ہیں، D) دونوں میں سے کوئی بھی خطرہ نہیں")</f>
        <v>A) ہاتھی، B) گاجا، C) دونوں برابر خطرہ ہیں، D) دونوں میں سے کوئی بھی خطرہ نہیں</v>
      </c>
      <c r="M72" s="6" t="str">
        <f>IFERROR(__xludf.DUMMYFUNCTION("GOOGLETRANSLATE(D72, ""en"", ""ur"")"),"الف) ہاتھی۔")</f>
        <v>الف) ہاتھی۔</v>
      </c>
      <c r="N72" s="6" t="str">
        <f>IFERROR(__xludf.DUMMYFUNCTION("GOOGLETRANSLATE(E72, ""en"", ""ur"")"),"A1 پر موجود ہاتھی ایک ہی حرکت میں h1 میں جا سکتا ہے، پورے بیک رینک کو کنٹرول کرتا ہے۔ c1 پر گاجا کبھی بھی 8 ویں رینک پر نہیں پہنچ سکتا۔")</f>
        <v>A1 پر موجود ہاتھی ایک ہی حرکت میں h1 میں جا سکتا ہے، پورے بیک رینک کو کنٹرول کرتا ہے۔ c1 پر گاجا کبھی بھی 8 ویں رینک پر نہیں پہنچ سکتا۔</v>
      </c>
    </row>
    <row r="73">
      <c r="A73" s="4">
        <v>72.0</v>
      </c>
      <c r="B73" s="5" t="s">
        <v>794</v>
      </c>
      <c r="C73" s="5" t="s">
        <v>795</v>
      </c>
      <c r="D73" s="5" t="s">
        <v>796</v>
      </c>
      <c r="E73" s="5" t="s">
        <v>797</v>
      </c>
      <c r="J73" s="6" t="str">
        <f>IFERROR(__xludf.DUMMYFUNCTION("GOOGLETRANSLATE(A73, ""en"", ""ur"")"),"72")</f>
        <v>72</v>
      </c>
      <c r="K73" s="6" t="str">
        <f>IFERROR(__xludf.DUMMYFUNCTION("GOOGLETRANSLATE(B73, ""en"", ""ur"")"),"A1 پر ایک کھلاڑی کا راجہ ہوتا ہے۔ مخالف کے پاس c2 پر ہاتھی اور d4 پر گاجا ہے۔ کون سا مہرہ راجہ پر حملہ آور ہے؟")</f>
        <v>A1 پر ایک کھلاڑی کا راجہ ہوتا ہے۔ مخالف کے پاس c2 پر ہاتھی اور d4 پر گاجا ہے۔ کون سا مہرہ راجہ پر حملہ آور ہے؟</v>
      </c>
      <c r="L73" s="6" t="str">
        <f>IFERROR(__xludf.DUMMYFUNCTION("GOOGLETRANSLATE(C73, ""en"", ""ur"")"),"A) ہاتھی، B) گاجا، C) دونوں، D) کوئی نہیں۔")</f>
        <v>A) ہاتھی، B) گاجا، C) دونوں، D) کوئی نہیں۔</v>
      </c>
      <c r="M73" s="6" t="str">
        <f>IFERROR(__xludf.DUMMYFUNCTION("GOOGLETRANSLATE(D73, ""en"", ""ur"")"),"D) نہ ہی")</f>
        <v>D) نہ ہی</v>
      </c>
      <c r="N73" s="6" t="str">
        <f>IFERROR(__xludf.DUMMYFUNCTION("GOOGLETRANSLATE(E73, ""en"", ""ur"")"),"سی 2 پر موجود ہاتھی سی فائل اور دوسرے نمبر پر حملہ کرتا ہے۔ ڈی 4 پر گاجا صرف b2، b6، f2 اور f6 تک ہی چھلانگ لگا سکتا ہے۔ کوئی بھی ٹکڑا a1 پر راجہ پر حملہ نہیں کر رہا ہے۔")</f>
        <v>سی 2 پر موجود ہاتھی سی فائل اور دوسرے نمبر پر حملہ کرتا ہے۔ ڈی 4 پر گاجا صرف b2، b6، f2 اور f6 تک ہی چھلانگ لگا سکتا ہے۔ کوئی بھی ٹکڑا a1 پر راجہ پر حملہ نہیں کر رہا ہے۔</v>
      </c>
    </row>
    <row r="74">
      <c r="A74" s="4">
        <v>73.0</v>
      </c>
      <c r="B74" s="5" t="s">
        <v>798</v>
      </c>
      <c r="C74" s="5" t="s">
        <v>799</v>
      </c>
      <c r="D74" s="5" t="s">
        <v>800</v>
      </c>
      <c r="E74" s="5" t="s">
        <v>801</v>
      </c>
      <c r="J74" s="6" t="str">
        <f>IFERROR(__xludf.DUMMYFUNCTION("GOOGLETRANSLATE(A74, ""en"", ""ur"")"),"73")</f>
        <v>73</v>
      </c>
      <c r="K74" s="6" t="str">
        <f>IFERROR(__xludf.DUMMYFUNCTION("GOOGLETRANSLATE(B74, ""en"", ""ur"")"),"""ننگے بادشاہ"" کا قاعدہ کہتا ہے کہ ایک کھلاڑی جو اپنے راجہ کے علاوہ تمام ٹکڑوں کو کھو دیتا ہے وہ بھی کھیل ہار جاتا ہے۔ اس اصول نے کھلاڑیوں کو کیا کرنے کی ترغیب دی؟")</f>
        <v>"ننگے بادشاہ" کا قاعدہ کہتا ہے کہ ایک کھلاڑی جو اپنے راجہ کے علاوہ تمام ٹکڑوں کو کھو دیتا ہے وہ بھی کھیل ہار جاتا ہے۔ اس اصول نے کھلاڑیوں کو کیا کرنے کی ترغیب دی؟</v>
      </c>
      <c r="L74" s="6" t="str">
        <f>IFERROR(__xludf.DUMMYFUNCTION("GOOGLETRANSLATE(C74, ""en"", ""ur"")"),"A) دشمن راجہ پر خصوصی طور پر حملہ کریں، B) احتیاط سے کھیلیں اور تجارت کے ٹکڑوں سے بچیں، C) پیادوں کو ہر قیمت پر فروغ دیں، D) اپنے راجہ کو جلد قربان کر دیں۔")</f>
        <v>A) دشمن راجہ پر خصوصی طور پر حملہ کریں، B) احتیاط سے کھیلیں اور تجارت کے ٹکڑوں سے بچیں، C) پیادوں کو ہر قیمت پر فروغ دیں، D) اپنے راجہ کو جلد قربان کر دیں۔</v>
      </c>
      <c r="M74" s="6" t="str">
        <f>IFERROR(__xludf.DUMMYFUNCTION("GOOGLETRANSLATE(D74, ""en"", ""ur"")"),"ب) احتیاط سے کھیلیں اور تجارت کے ٹکڑوں سے گریز کریں۔")</f>
        <v>ب) احتیاط سے کھیلیں اور تجارت کے ٹکڑوں سے گریز کریں۔</v>
      </c>
      <c r="N74" s="6" t="str">
        <f>IFERROR(__xludf.DUMMYFUNCTION("GOOGLETRANSLATE(E74, ""en"", ""ur"")"),"""ننگے"" ہونے سے ہارنے کے خطرے نے کھلاڑیوں کی حوصلہ شکنی کی کہ وہ اپنی فوج کو اپنی مرضی سے تجارت سے دور کر دیں، جس سے زیادہ دفاعی کھیل شروع ہو جائیں۔")</f>
        <v>"ننگے" ہونے سے ہارنے کے خطرے نے کھلاڑیوں کی حوصلہ شکنی کی کہ وہ اپنی فوج کو اپنی مرضی سے تجارت سے دور کر دیں، جس سے زیادہ دفاعی کھیل شروع ہو جائیں۔</v>
      </c>
    </row>
    <row r="75">
      <c r="A75" s="4">
        <v>74.0</v>
      </c>
      <c r="B75" s="5" t="s">
        <v>802</v>
      </c>
      <c r="C75" s="5" t="s">
        <v>803</v>
      </c>
      <c r="D75" s="5" t="s">
        <v>804</v>
      </c>
      <c r="E75" s="5" t="s">
        <v>805</v>
      </c>
      <c r="J75" s="6" t="str">
        <f>IFERROR(__xludf.DUMMYFUNCTION("GOOGLETRANSLATE(A75, ""en"", ""ur"")"),"74")</f>
        <v>74</v>
      </c>
      <c r="K75" s="6" t="str">
        <f>IFERROR(__xludf.DUMMYFUNCTION("GOOGLETRANSLATE(B75, ""en"", ""ur"")"),"دشمن راجہ ڈی 8 پر ہے۔ آپ کی پدتی c7 پر ہے۔ آپ کے پاس d1 پر ہاتھی بھی ہے۔ کیا پڈاتی راجہ کو پکڑ سکتا ہے؟")</f>
        <v>دشمن راجہ ڈی 8 پر ہے۔ آپ کی پدتی c7 پر ہے۔ آپ کے پاس d1 پر ہاتھی بھی ہے۔ کیا پڈاتی راجہ کو پکڑ سکتا ہے؟</v>
      </c>
      <c r="L75" s="6" t="str">
        <f>IFERROR(__xludf.DUMMYFUNCTION("GOOGLETRANSLATE(C75, ""en"", ""ur"")"),"A) جی ہاں، d8 پر جانے سے، B) نہیں، ایک پڈتی راجہ کو نہیں پکڑ سکتا، C) ہاں، ترچھی d8 کی طرف جانے سے، D) نہیں، اس کا راستہ مسدود ہو جاتا ہے۔")</f>
        <v>A) جی ہاں، d8 پر جانے سے، B) نہیں، ایک پڈتی راجہ کو نہیں پکڑ سکتا، C) ہاں، ترچھی d8 کی طرف جانے سے، D) نہیں، اس کا راستہ مسدود ہو جاتا ہے۔</v>
      </c>
      <c r="M75" s="6" t="str">
        <f>IFERROR(__xludf.DUMMYFUNCTION("GOOGLETRANSLATE(D75, ""en"", ""ur"")"),"C) جی ہاں، ترچھی d8 پر منتقل کر کے")</f>
        <v>C) جی ہاں، ترچھی d8 پر منتقل کر کے</v>
      </c>
      <c r="N75" s="6" t="str">
        <f>IFERROR(__xludf.DUMMYFUNCTION("GOOGLETRANSLATE(E75, ""en"", ""ur"")"),"ایک پڈاتی آگے کے ترچھے مربع پر راجہ سمیت کسی بھی ٹکڑے کو پکڑ سکتا تھا۔ یہ گیم جیتنے والا اقدام ہوگا۔")</f>
        <v>ایک پڈاتی آگے کے ترچھے مربع پر راجہ سمیت کسی بھی ٹکڑے کو پکڑ سکتا تھا۔ یہ گیم جیتنے والا اقدام ہوگا۔</v>
      </c>
    </row>
    <row r="76">
      <c r="A76" s="4">
        <v>75.0</v>
      </c>
      <c r="B76" s="5" t="s">
        <v>806</v>
      </c>
      <c r="C76" s="5" t="s">
        <v>807</v>
      </c>
      <c r="D76" s="5" t="s">
        <v>808</v>
      </c>
      <c r="E76" s="5" t="s">
        <v>809</v>
      </c>
      <c r="J76" s="6" t="str">
        <f>IFERROR(__xludf.DUMMYFUNCTION("GOOGLETRANSLATE(A76, ""en"", ""ur"")"),"75")</f>
        <v>75</v>
      </c>
      <c r="K76" s="6" t="str">
        <f>IFERROR(__xludf.DUMMYFUNCTION("GOOGLETRANSLATE(B76, ""en"", ""ur"")"),"ایک کھلاڑی کا راجہ e1 پر ہوتا ہے۔ مخالف اپنی منتری کو d2 پر رکھتا ہے۔ کیا حال ہے؟")</f>
        <v>ایک کھلاڑی کا راجہ e1 پر ہوتا ہے۔ مخالف اپنی منتری کو d2 پر رکھتا ہے۔ کیا حال ہے؟</v>
      </c>
      <c r="L76" s="6" t="str">
        <f>IFERROR(__xludf.DUMMYFUNCTION("GOOGLETRANSLATE(C76, ""en"", ""ur"")"),"A) راجہ براہ راست حملے کی زد میں ہے، B) منتری اگلی باری پر حملہ کرنے کی تیاری کر رہا ہے، C) راجہ محفوظ ہے، D) منتری کو پکڑ لیا گیا ہے۔")</f>
        <v>A) راجہ براہ راست حملے کی زد میں ہے، B) منتری اگلی باری پر حملہ کرنے کی تیاری کر رہا ہے، C) راجہ محفوظ ہے، D) منتری کو پکڑ لیا گیا ہے۔</v>
      </c>
      <c r="M76" s="6" t="str">
        <f>IFERROR(__xludf.DUMMYFUNCTION("GOOGLETRANSLATE(D76, ""en"", ""ur"")"),"ا) راجہ براہ راست حملے کی زد میں ہے۔")</f>
        <v>ا) راجہ براہ راست حملے کی زد میں ہے۔</v>
      </c>
      <c r="N76" s="6" t="str">
        <f>IFERROR(__xludf.DUMMYFUNCTION("GOOGLETRANSLATE(E76, ""en"", ""ur"")"),"منتری کی ایک مربع ترچھی حرکت کا مطلب ہے کہ d2 سے، یہ براہ راست e1 پر حملہ کرتا ہے۔ کھلاڑی کو اپنے راجہ کو منتقل کرنا چاہیے یا منتری کو بلاک/کیپچر کرنا چاہیے۔")</f>
        <v>منتری کی ایک مربع ترچھی حرکت کا مطلب ہے کہ d2 سے، یہ براہ راست e1 پر حملہ کرتا ہے۔ کھلاڑی کو اپنے راجہ کو منتقل کرنا چاہیے یا منتری کو بلاک/کیپچر کرنا چاہیے۔</v>
      </c>
    </row>
    <row r="77">
      <c r="A77" s="4">
        <v>76.0</v>
      </c>
      <c r="B77" s="5" t="s">
        <v>810</v>
      </c>
      <c r="C77" s="5" t="s">
        <v>811</v>
      </c>
      <c r="D77" s="5" t="s">
        <v>756</v>
      </c>
      <c r="E77" s="5" t="s">
        <v>812</v>
      </c>
      <c r="J77" s="6" t="str">
        <f>IFERROR(__xludf.DUMMYFUNCTION("GOOGLETRANSLATE(A77, ""en"", ""ur"")"),"76")</f>
        <v>76</v>
      </c>
      <c r="K77" s="6" t="str">
        <f>IFERROR(__xludf.DUMMYFUNCTION("GOOGLETRANSLATE(B77, ""en"", ""ur"")"),"ایک مخالف کا راجہ c8 پر ہے۔ آپ کے پاس a6 پر گاجا ہے۔ کیا راجہ حملہ کی زد میں ہے؟")</f>
        <v>ایک مخالف کا راجہ c8 پر ہے۔ آپ کے پاس a6 پر گاجا ہے۔ کیا راجہ حملہ کی زد میں ہے؟</v>
      </c>
      <c r="L77" s="6" t="str">
        <f>IFERROR(__xludf.DUMMYFUNCTION("GOOGLETRANSLATE(C77, ""en"", ""ur"")"),"A) ہاں، B) نہیں، C) صرف اس صورت میں جب راجہ غیر محفوظ ہو، D) یہ ڈائس رول پر منحصر ہے")</f>
        <v>A) ہاں، B) نہیں، C) صرف اس صورت میں جب راجہ غیر محفوظ ہو، D) یہ ڈائس رول پر منحصر ہے</v>
      </c>
      <c r="M77" s="6" t="str">
        <f>IFERROR(__xludf.DUMMYFUNCTION("GOOGLETRANSLATE(D77, ""en"", ""ur"")"),"A) ہاں")</f>
        <v>A) ہاں</v>
      </c>
      <c r="N77" s="6" t="str">
        <f>IFERROR(__xludf.DUMMYFUNCTION("GOOGLETRANSLATE(E77, ""en"", ""ur"")"),"a6 سے، گاجا کی دو مربع چھلانگ اسے b7 سے اوپر لے کر c8 پر اترتی ہے۔ یہ براہ راست حملہ ہے۔")</f>
        <v>a6 سے، گاجا کی دو مربع چھلانگ اسے b7 سے اوپر لے کر c8 پر اترتی ہے۔ یہ براہ راست حملہ ہے۔</v>
      </c>
    </row>
    <row r="78">
      <c r="A78" s="4">
        <v>77.0</v>
      </c>
      <c r="B78" s="5" t="s">
        <v>813</v>
      </c>
      <c r="C78" s="5" t="s">
        <v>814</v>
      </c>
      <c r="D78" s="5" t="s">
        <v>815</v>
      </c>
      <c r="E78" s="5" t="s">
        <v>816</v>
      </c>
      <c r="J78" s="6" t="str">
        <f>IFERROR(__xludf.DUMMYFUNCTION("GOOGLETRANSLATE(A78, ""en"", ""ur"")"),"77")</f>
        <v>77</v>
      </c>
      <c r="K78" s="6" t="str">
        <f>IFERROR(__xludf.DUMMYFUNCTION("GOOGLETRANSLATE(B78, ""en"", ""ur"")"),"ابتدائی سیٹ اپ میں، پچھلے رینک پر ٹکڑوں کی ترتیب کیا ہے؟")</f>
        <v>ابتدائی سیٹ اپ میں، پچھلے رینک پر ٹکڑوں کی ترتیب کیا ہے؟</v>
      </c>
      <c r="L78" s="6" t="str">
        <f>IFERROR(__xludf.DUMMYFUNCTION("GOOGLETRANSLATE(C78, ""en"", ""ur"")"),"A) ہاتھی، گجا، اشوا، راجہ/منتری، اشوا، گجا، ہاتھی، B) ہاتھی، اشوا، گجا، راجہ/منتری، گجا، اشوا، ہاتھی، C) ہاتھی، منتری، گجا، راجہ، گجا، اشوا، ہاتھی، D) راجہ، منتری، گجا، اشوا، ہاتھی، گجا")</f>
        <v>A) ہاتھی، گجا، اشوا، راجہ/منتری، اشوا، گجا، ہاتھی، B) ہاتھی، اشوا، گجا، راجہ/منتری، گجا، اشوا، ہاتھی، C) ہاتھی، منتری، گجا، راجہ، گجا، اشوا، ہاتھی، D) راجہ، منتری، گجا، اشوا، ہاتھی، گجا</v>
      </c>
      <c r="M78" s="6" t="str">
        <f>IFERROR(__xludf.DUMMYFUNCTION("GOOGLETRANSLATE(D78, ""en"", ""ur"")"),"ب) ہاتھی، اشوا، گجا، راجہ/منتری، گجا، اشوا، ہاتھی۔")</f>
        <v>ب) ہاتھی، اشوا، گجا، راجہ/منتری، گجا، اشوا، ہاتھی۔</v>
      </c>
      <c r="N78" s="6" t="str">
        <f>IFERROR(__xludf.DUMMYFUNCTION("GOOGLETRANSLATE(E78, ""en"", ""ur"")"),"سیٹ اپ تھا رتھ، گھوڑا، ہاتھی، اور پھر شاہی ٹکڑے بیچ میں۔")</f>
        <v>سیٹ اپ تھا رتھ، گھوڑا، ہاتھی، اور پھر شاہی ٹکڑے بیچ میں۔</v>
      </c>
    </row>
    <row r="79">
      <c r="A79" s="4">
        <v>78.0</v>
      </c>
      <c r="B79" s="5" t="s">
        <v>817</v>
      </c>
      <c r="C79" s="5" t="s">
        <v>818</v>
      </c>
      <c r="D79" s="5" t="s">
        <v>819</v>
      </c>
      <c r="E79" s="5" t="s">
        <v>820</v>
      </c>
      <c r="J79" s="6" t="str">
        <f>IFERROR(__xludf.DUMMYFUNCTION("GOOGLETRANSLATE(A79, ""en"", ""ur"")"),"78")</f>
        <v>78</v>
      </c>
      <c r="K79" s="6" t="str">
        <f>IFERROR(__xludf.DUMMYFUNCTION("GOOGLETRANSLATE(B79, ""en"", ""ur"")"),"h1 پر ایک ہاتھی h5 پر اشوا پر حملہ کرتا ہے۔ ایک دوستانہ پداٹی h3 پر ہے۔ کیا ہاتھی پکڑ سکتا ہے؟")</f>
        <v>h1 پر ایک ہاتھی h5 پر اشوا پر حملہ کرتا ہے۔ ایک دوستانہ پداٹی h3 پر ہے۔ کیا ہاتھی پکڑ سکتا ہے؟</v>
      </c>
      <c r="L79" s="6" t="str">
        <f>IFERROR(__xludf.DUMMYFUNCTION("GOOGLETRANSLATE(C79, ""en"", ""ur"")"),"A) ہاں، پڈاتی پر چھلانگ لگا کر، B) نہیں، اس کا راستہ پڈاتی نے روک دیا ہے، C) ہاں، کیونکہ یہ ایک قبضہ ہے، D) صرف اس صورت میں جب اشوا غیر محفوظ ہو")</f>
        <v>A) ہاں، پڈاتی پر چھلانگ لگا کر، B) نہیں، اس کا راستہ پڈاتی نے روک دیا ہے، C) ہاں، کیونکہ یہ ایک قبضہ ہے، D) صرف اس صورت میں جب اشوا غیر محفوظ ہو</v>
      </c>
      <c r="M79" s="6" t="str">
        <f>IFERROR(__xludf.DUMMYFUNCTION("GOOGLETRANSLATE(D79, ""en"", ""ur"")"),"ب) نہیں، اس کا راستہ پڈاتی نے روک دیا ہے۔")</f>
        <v>ب) نہیں، اس کا راستہ پڈاتی نے روک دیا ہے۔</v>
      </c>
      <c r="N79" s="6" t="str">
        <f>IFERROR(__xludf.DUMMYFUNCTION("GOOGLETRANSLATE(E79, ""en"", ""ur"")"),"ہاتھی ٹکڑوں پر کود نہیں سکتا۔ h3 پر دوستانہ پڈاتی اس کے h5 کے راستے میں رکاوٹ ہے۔")</f>
        <v>ہاتھی ٹکڑوں پر کود نہیں سکتا۔ h3 پر دوستانہ پڈاتی اس کے h5 کے راستے میں رکاوٹ ہے۔</v>
      </c>
    </row>
    <row r="80">
      <c r="A80" s="4">
        <v>79.0</v>
      </c>
      <c r="B80" s="5" t="s">
        <v>821</v>
      </c>
      <c r="C80" s="5" t="s">
        <v>822</v>
      </c>
      <c r="D80" s="5" t="s">
        <v>823</v>
      </c>
      <c r="E80" s="5" t="s">
        <v>824</v>
      </c>
      <c r="J80" s="6" t="str">
        <f>IFERROR(__xludf.DUMMYFUNCTION("GOOGLETRANSLATE(A80, ""en"", ""ur"")"),"79")</f>
        <v>79</v>
      </c>
      <c r="K80" s="6" t="str">
        <f>IFERROR(__xludf.DUMMYFUNCTION("GOOGLETRANSLATE(B80, ""en"", ""ur"")"),"جس بورڈ پر چتورنگا کھیلا جاتا ہے اس کی اصطلاح کیا ہے؟")</f>
        <v>جس بورڈ پر چتورنگا کھیلا جاتا ہے اس کی اصطلاح کیا ہے؟</v>
      </c>
      <c r="L80" s="6" t="str">
        <f>IFERROR(__xludf.DUMMYFUNCTION("GOOGLETRANSLATE(C80, ""en"", ""ur"")"),"A) منڈلا، B) اشٹاپڑا، C) رنگولی، D) ینترا")</f>
        <v>A) منڈلا، B) اشٹاپڑا، C) رنگولی، D) ینترا</v>
      </c>
      <c r="M80" s="6" t="str">
        <f>IFERROR(__xludf.DUMMYFUNCTION("GOOGLETRANSLATE(D80, ""en"", ""ur"")"),"ب) اشٹاپدا")</f>
        <v>ب) اشٹاپدا</v>
      </c>
      <c r="N80" s="6" t="str">
        <f>IFERROR(__xludf.DUMMYFUNCTION("GOOGLETRANSLATE(E80, ""en"", ""ur"")"),"یہ کھیل 8x8 کے چوکوں کے گرڈ پر کھیلا جاتا تھا جسے اشٹاپاڈا کہا جاتا ہے۔")</f>
        <v>یہ کھیل 8x8 کے چوکوں کے گرڈ پر کھیلا جاتا تھا جسے اشٹاپاڈا کہا جاتا ہے۔</v>
      </c>
    </row>
    <row r="81">
      <c r="A81" s="4">
        <v>80.0</v>
      </c>
      <c r="B81" s="5" t="s">
        <v>825</v>
      </c>
      <c r="C81" s="5" t="s">
        <v>826</v>
      </c>
      <c r="D81" s="5" t="s">
        <v>827</v>
      </c>
      <c r="E81" s="5" t="s">
        <v>828</v>
      </c>
      <c r="J81" s="6" t="str">
        <f>IFERROR(__xludf.DUMMYFUNCTION("GOOGLETRANSLATE(A81, ""en"", ""ur"")"),"80")</f>
        <v>80</v>
      </c>
      <c r="K81" s="6" t="str">
        <f>IFERROR(__xludf.DUMMYFUNCTION("GOOGLETRANSLATE(B81, ""en"", ""ur"")"),"آپ کے پاس e1 پر ایک راجہ اور d2 پر ایک پدتی ہے۔ ایک دشمن منتری c3 پر ہے۔ کیا منتری پڈاتی کو پکڑ سکتا ہے؟")</f>
        <v>آپ کے پاس e1 پر ایک راجہ اور d2 پر ایک پدتی ہے۔ ایک دشمن منتری c3 پر ہے۔ کیا منتری پڈاتی کو پکڑ سکتا ہے؟</v>
      </c>
      <c r="L81" s="6" t="str">
        <f>IFERROR(__xludf.DUMMYFUNCTION("GOOGLETRANSLATE(C81, ""en"", ""ur"")"),"A) ہاں، d2 کی طرف جانے سے، B) نہیں، اس کا راستہ روک دیا گیا ہے، C) نہیں، یہ صرف راجہ کو پکڑ سکتا ہے، D) صرف اس صورت میں جب پدتی کا دفاع نہ کیا جائے۔")</f>
        <v>A) ہاں، d2 کی طرف جانے سے، B) نہیں، اس کا راستہ روک دیا گیا ہے، C) نہیں، یہ صرف راجہ کو پکڑ سکتا ہے، D) صرف اس صورت میں جب پدتی کا دفاع نہ کیا جائے۔</v>
      </c>
      <c r="M81" s="6" t="str">
        <f>IFERROR(__xludf.DUMMYFUNCTION("GOOGLETRANSLATE(D81, ""en"", ""ur"")"),"A) جی ہاں، d2 پر جا کر")</f>
        <v>A) جی ہاں، d2 پر جا کر</v>
      </c>
      <c r="N81" s="6" t="str">
        <f>IFERROR(__xludf.DUMMYFUNCTION("GOOGLETRANSLATE(E81, ""en"", ""ur"")"),"منتری کا قانونی اقدام ایک مربع ترچھا ہے۔ c3 سے d2 میں منتقل ہونا ایک قانونی اقدام اور گرفتاری ہے۔")</f>
        <v>منتری کا قانونی اقدام ایک مربع ترچھا ہے۔ c3 سے d2 میں منتقل ہونا ایک قانونی اقدام اور گرفتاری ہے۔</v>
      </c>
    </row>
    <row r="82">
      <c r="A82" s="4">
        <v>81.0</v>
      </c>
      <c r="B82" s="5" t="s">
        <v>829</v>
      </c>
      <c r="C82" s="5" t="s">
        <v>830</v>
      </c>
      <c r="D82" s="5" t="s">
        <v>831</v>
      </c>
      <c r="E82" s="5" t="s">
        <v>832</v>
      </c>
      <c r="J82" s="6" t="str">
        <f>IFERROR(__xludf.DUMMYFUNCTION("GOOGLETRANSLATE(A82, ""en"", ""ur"")"),"81")</f>
        <v>81</v>
      </c>
      <c r="K82" s="6" t="str">
        <f>IFERROR(__xludf.DUMMYFUNCTION("GOOGLETRANSLATE(B82, ""en"", ""ur"")"),"کھیل کے آغاز میں ایک کھلاڑی پاداٹی کی قربانی دیتا ہے۔ اس کی سب سے زیادہ ممکنہ اسٹریٹجک وجہ کیا ہے؟")</f>
        <v>کھیل کے آغاز میں ایک کھلاڑی پاداٹی کی قربانی دیتا ہے۔ اس کی سب سے زیادہ ممکنہ اسٹریٹجک وجہ کیا ہے؟</v>
      </c>
      <c r="L82" s="6" t="str">
        <f>IFERROR(__xludf.DUMMYFUNCTION("GOOGLETRANSLATE(C82, ""en"", ""ur"")"),"A) ہاتھی یا گجا کے لئے ترچھی فائل کھولنا، B) کیونکہ پڈتیاں بیکار ہیں اور ان کو ضائع کیا جا سکتا ہے، C) دشمن راجہ کے لیے جال بچھانا، D) ایک ٹکڑا قربان کرنا کبھی بھی اچھی حکمت عملی نہیں ہے۔")</f>
        <v>A) ہاتھی یا گجا کے لئے ترچھی فائل کھولنا، B) کیونکہ پڈتیاں بیکار ہیں اور ان کو ضائع کیا جا سکتا ہے، C) دشمن راجہ کے لیے جال بچھانا، D) ایک ٹکڑا قربان کرنا کبھی بھی اچھی حکمت عملی نہیں ہے۔</v>
      </c>
      <c r="M82" s="6" t="str">
        <f>IFERROR(__xludf.DUMMYFUNCTION("GOOGLETRANSLATE(D82, ""en"", ""ur"")"),"الف) ہاتھی کے لیے فائل کھولنا یا گجا کے لیے ترچھی")</f>
        <v>الف) ہاتھی کے لیے فائل کھولنا یا گجا کے لیے ترچھی</v>
      </c>
      <c r="N82" s="6" t="str">
        <f>IFERROR(__xludf.DUMMYFUNCTION("GOOGLETRANSLATE(E82, ""en"", ""ur"")"),"بالکل اسی طرح جیسے جدید شطرنج میں، ایک پیادے کو قربان کرنا زیادہ طاقتور ٹکڑوں کے لیے پوزیشنی فائدہ حاصل کرنے کے لیے ایک طاقتور حکمت عملی ہو سکتی ہے۔")</f>
        <v>بالکل اسی طرح جیسے جدید شطرنج میں، ایک پیادے کو قربان کرنا زیادہ طاقتور ٹکڑوں کے لیے پوزیشنی فائدہ حاصل کرنے کے لیے ایک طاقتور حکمت عملی ہو سکتی ہے۔</v>
      </c>
    </row>
    <row r="83">
      <c r="A83" s="4">
        <v>82.0</v>
      </c>
      <c r="B83" s="5" t="s">
        <v>833</v>
      </c>
      <c r="C83" s="5" t="s">
        <v>834</v>
      </c>
      <c r="D83" s="5" t="s">
        <v>835</v>
      </c>
      <c r="E83" s="5" t="s">
        <v>836</v>
      </c>
      <c r="J83" s="6" t="str">
        <f>IFERROR(__xludf.DUMMYFUNCTION("GOOGLETRANSLATE(A83, ""en"", ""ur"")"),"82")</f>
        <v>82</v>
      </c>
      <c r="K83" s="6" t="str">
        <f>IFERROR(__xludf.DUMMYFUNCTION("GOOGLETRANSLATE(B83, ""en"", ""ur"")"),"آپ کا راجہ اے 1 پر ہے، کونے میں پھنسا ہوا ہے۔ ایک دشمن اشوا c2 پر ہے۔ کیا راجہ اشوا سے محفوظ ہے؟")</f>
        <v>آپ کا راجہ اے 1 پر ہے، کونے میں پھنسا ہوا ہے۔ ایک دشمن اشوا c2 پر ہے۔ کیا راجہ اشوا سے محفوظ ہے؟</v>
      </c>
      <c r="L83" s="6" t="str">
        <f>IFERROR(__xludf.DUMMYFUNCTION("GOOGLETRANSLATE(C83, ""en"", ""ur"")"),"A) ہاں، اشوا کونے والے مربع پر حملہ نہیں کر سکتا، B) نہیں، c2 پر اشوا براہ راست a1 پر حملہ کرتا ہے، C) صرف اس صورت میں جب b2 پر کوئی دوستانہ ٹکڑا ہو، D) گیم ڈرا ہے۔")</f>
        <v>A) ہاں، اشوا کونے والے مربع پر حملہ نہیں کر سکتا، B) نہیں، c2 پر اشوا براہ راست a1 پر حملہ کرتا ہے، C) صرف اس صورت میں جب b2 پر کوئی دوستانہ ٹکڑا ہو، D) گیم ڈرا ہے۔</v>
      </c>
      <c r="M83" s="6" t="str">
        <f>IFERROR(__xludf.DUMMYFUNCTION("GOOGLETRANSLATE(D83, ""en"", ""ur"")"),"B) نہیں، c2 پر اشوا براہ راست a1 پر حملہ کرتا ہے۔")</f>
        <v>B) نہیں، c2 پر اشوا براہ راست a1 پر حملہ کرتا ہے۔</v>
      </c>
      <c r="N83" s="6" t="str">
        <f>IFERROR(__xludf.DUMMYFUNCTION("GOOGLETRANSLATE(E83, ""en"", ""ur"")"),"c2 پر ایک اشوا (نائٹ) براہ راست a1 مربع پر حملہ کرتا ہے۔ چونکہ راجہ حملہ آور چوک کی طرف نہیں جا سکتا اس لیے وہ پھنس گیا ہے۔")</f>
        <v>c2 پر ایک اشوا (نائٹ) براہ راست a1 مربع پر حملہ کرتا ہے۔ چونکہ راجہ حملہ آور چوک کی طرف نہیں جا سکتا اس لیے وہ پھنس گیا ہے۔</v>
      </c>
    </row>
    <row r="84">
      <c r="A84" s="4">
        <v>83.0</v>
      </c>
      <c r="B84" s="5" t="s">
        <v>837</v>
      </c>
      <c r="C84" s="5" t="s">
        <v>838</v>
      </c>
      <c r="D84" s="5" t="s">
        <v>839</v>
      </c>
      <c r="E84" s="5" t="s">
        <v>840</v>
      </c>
      <c r="J84" s="6" t="str">
        <f>IFERROR(__xludf.DUMMYFUNCTION("GOOGLETRANSLATE(A84, ""en"", ""ur"")"),"83")</f>
        <v>83</v>
      </c>
      <c r="K84" s="6" t="str">
        <f>IFERROR(__xludf.DUMMYFUNCTION("GOOGLETRANSLATE(B84, ""en"", ""ur"")"),"چتوراجی کے چار کھلاڑیوں کے کھیل میں بورڈ پر ٹکڑوں اور پیادوں کی کل تعداد کتنی ہے؟")</f>
        <v>چتوراجی کے چار کھلاڑیوں کے کھیل میں بورڈ پر ٹکڑوں اور پیادوں کی کل تعداد کتنی ہے؟</v>
      </c>
      <c r="L84" s="6" t="str">
        <f>IFERROR(__xludf.DUMMYFUNCTION("GOOGLETRANSLATE(C84, ""en"", ""ur"")"),"A) 32، B) 48، C) 64، D) 24")</f>
        <v>A) 32، B) 48، C) 64، D) 24</v>
      </c>
      <c r="M84" s="6" t="str">
        <f>IFERROR(__xludf.DUMMYFUNCTION("GOOGLETRANSLATE(D84, ""en"", ""ur"")"),"ا) 32")</f>
        <v>ا) 32</v>
      </c>
      <c r="N84" s="6" t="str">
        <f>IFERROR(__xludf.DUMMYFUNCTION("GOOGLETRANSLATE(E84, ""en"", ""ur"")"),"چار کھلاڑیوں میں سے ہر ایک کے پاس 8 ٹکڑوں کی ایک چھوٹی فوج ہوتی ہے (4 بڑے ٹکڑے اور 4 پاڈیٹس)، بورڈ پر کل 32 ٹکڑے ہوتے ہیں۔")</f>
        <v>چار کھلاڑیوں میں سے ہر ایک کے پاس 8 ٹکڑوں کی ایک چھوٹی فوج ہوتی ہے (4 بڑے ٹکڑے اور 4 پاڈیٹس)، بورڈ پر کل 32 ٹکڑے ہوتے ہیں۔</v>
      </c>
    </row>
    <row r="85">
      <c r="A85" s="4">
        <v>84.0</v>
      </c>
      <c r="B85" s="5" t="s">
        <v>841</v>
      </c>
      <c r="C85" s="5" t="s">
        <v>842</v>
      </c>
      <c r="D85" s="5" t="s">
        <v>843</v>
      </c>
      <c r="E85" s="5" t="s">
        <v>844</v>
      </c>
      <c r="J85" s="6" t="str">
        <f>IFERROR(__xludf.DUMMYFUNCTION("GOOGLETRANSLATE(A85, ""en"", ""ur"")"),"84")</f>
        <v>84</v>
      </c>
      <c r="K85" s="6" t="str">
        <f>IFERROR(__xludf.DUMMYFUNCTION("GOOGLETRANSLATE(B85, ""en"", ""ur"")"),"آپ کے پاس صرف ایک راجہ اور دو گج ہیں، دونوں ہلکے چوکوں پر ہیں۔ آپ کے مخالف کے پاس اکیلا راجہ ہے۔ نتیجہ کیا ہے؟")</f>
        <v>آپ کے پاس صرف ایک راجہ اور دو گج ہیں، دونوں ہلکے چوکوں پر ہیں۔ آپ کے مخالف کے پاس اکیلا راجہ ہے۔ نتیجہ کیا ہے؟</v>
      </c>
      <c r="L85" s="6" t="str">
        <f>IFERROR(__xludf.DUMMYFUNCTION("GOOGLETRANSLATE(C85, ""en"", ""ur"")"),"A) آپ آسانی سے جیت جائیں گے، B) گیم ڈرا ہے، C) آپ جیت سکتے ہیں اگر آپ بہت محتاط رہیں، D) آپ کی شروعات کی پوزیشن غیر قانونی تھی۔")</f>
        <v>A) آپ آسانی سے جیت جائیں گے، B) گیم ڈرا ہے، C) آپ جیت سکتے ہیں اگر آپ بہت محتاط رہیں، D) آپ کی شروعات کی پوزیشن غیر قانونی تھی۔</v>
      </c>
      <c r="M85" s="6" t="str">
        <f>IFERROR(__xludf.DUMMYFUNCTION("GOOGLETRANSLATE(D85, ""en"", ""ur"")"),"ب) کھیل ڈرا ہے۔")</f>
        <v>ب) کھیل ڈرا ہے۔</v>
      </c>
      <c r="N85" s="6" t="str">
        <f>IFERROR(__xludf.DUMMYFUNCTION("GOOGLETRANSLATE(E85, ""en"", ""ur"")"),"ایک ہی رنگ کے دونوں گاجوں کے ساتھ، وہ کبھی بھی سیاہ چوکوں پر قابو نہیں پا سکتے ہیں، جس سے تنہا راجہ کو کونے اور پکڑنا ناممکن ہو جاتا ہے۔")</f>
        <v>ایک ہی رنگ کے دونوں گاجوں کے ساتھ، وہ کبھی بھی سیاہ چوکوں پر قابو نہیں پا سکتے ہیں، جس سے تنہا راجہ کو کونے اور پکڑنا ناممکن ہو جاتا ہے۔</v>
      </c>
    </row>
    <row r="86">
      <c r="A86" s="4">
        <v>85.0</v>
      </c>
      <c r="B86" s="5" t="s">
        <v>845</v>
      </c>
      <c r="C86" s="5" t="s">
        <v>846</v>
      </c>
      <c r="D86" s="5" t="s">
        <v>587</v>
      </c>
      <c r="E86" s="5" t="s">
        <v>705</v>
      </c>
      <c r="J86" s="6" t="str">
        <f>IFERROR(__xludf.DUMMYFUNCTION("GOOGLETRANSLATE(A86, ""en"", ""ur"")"),"85")</f>
        <v>85</v>
      </c>
      <c r="K86" s="6" t="str">
        <f>IFERROR(__xludf.DUMMYFUNCTION("GOOGLETRANSLATE(B86, ""en"", ""ur"")"),"فور پلیئر ڈائس گیم میں، کیا ہوتا ہے اگر آپ کا رول کسی ایسے ٹکڑے سے مماثل ہے جو پکڑا گیا ہے؟")</f>
        <v>فور پلیئر ڈائس گیم میں، کیا ہوتا ہے اگر آپ کا رول کسی ایسے ٹکڑے سے مماثل ہے جو پکڑا گیا ہے؟</v>
      </c>
      <c r="L86" s="6" t="str">
        <f>IFERROR(__xludf.DUMMYFUNCTION("GOOGLETRANSLATE(C86, ""en"", ""ur"")"),"A) آپ اپنی باری کھو دیتے ہیں، B) آپ کو ڈائی کو دوبارہ رول کرنا پڑتا ہے، C) آپ کسی دوسرے ٹکڑے کو منتقل کر سکتے ہیں، D) آپ پکڑے گئے ٹکڑے کو بورڈ پر واپس لا سکتے ہیں۔")</f>
        <v>A) آپ اپنی باری کھو دیتے ہیں، B) آپ کو ڈائی کو دوبارہ رول کرنا پڑتا ہے، C) آپ کسی دوسرے ٹکڑے کو منتقل کر سکتے ہیں، D) آپ پکڑے گئے ٹکڑے کو بورڈ پر واپس لا سکتے ہیں۔</v>
      </c>
      <c r="M86" s="6" t="str">
        <f>IFERROR(__xludf.DUMMYFUNCTION("GOOGLETRANSLATE(D86, ""en"", ""ur"")"),"A) آپ اپنی باری کھو دیتے ہیں۔")</f>
        <v>A) آپ اپنی باری کھو دیتے ہیں۔</v>
      </c>
      <c r="N86" s="6" t="str">
        <f>IFERROR(__xludf.DUMMYFUNCTION("GOOGLETRANSLATE(E86, ""en"", ""ur"")"),"ایک ٹکڑا پکڑا جانا ایک دوہرا جرمانہ تھا، کیونکہ اس ٹکڑے کی قسم کے لیے مستقبل میں کسی بھی ڈائس رول کا نتیجہ ضائع ہو جائے گا۔")</f>
        <v>ایک ٹکڑا پکڑا جانا ایک دوہرا جرمانہ تھا، کیونکہ اس ٹکڑے کی قسم کے لیے مستقبل میں کسی بھی ڈائس رول کا نتیجہ ضائع ہو جائے گا۔</v>
      </c>
    </row>
    <row r="87">
      <c r="A87" s="4">
        <v>86.0</v>
      </c>
      <c r="B87" s="5" t="s">
        <v>847</v>
      </c>
      <c r="C87" s="5" t="s">
        <v>848</v>
      </c>
      <c r="D87" s="5" t="s">
        <v>849</v>
      </c>
      <c r="E87" s="5" t="s">
        <v>850</v>
      </c>
      <c r="J87" s="6" t="str">
        <f>IFERROR(__xludf.DUMMYFUNCTION("GOOGLETRANSLATE(A87, ""en"", ""ur"")"),"86")</f>
        <v>86</v>
      </c>
      <c r="K87" s="6" t="str">
        <f>IFERROR(__xludf.DUMMYFUNCTION("GOOGLETRANSLATE(B87, ""en"", ""ur"")"),"ایک گاجا b8 پر ہے۔ ایک دشمن ہاتھی h2 پر ہے۔ کیا گجا ایک ہی حرکت میں ہاتھی پر حملہ کر سکتا ہے؟")</f>
        <v>ایک گاجا b8 پر ہے۔ ایک دشمن ہاتھی h2 پر ہے۔ کیا گجا ایک ہی حرکت میں ہاتھی پر حملہ کر سکتا ہے؟</v>
      </c>
      <c r="L87" s="6" t="str">
        <f>IFERROR(__xludf.DUMMYFUNCTION("GOOGLETRANSLATE(C87, ""en"", ""ur"")"),"A) جی ہاں، d6 پر چھلانگ لگا کر، B) نہیں، یہ حد سے باہر ہے، C) ہاں، f6 پر چھلانگ لگا کر، D) نہیں، گاجا ہاتھی پر حملہ نہیں کر سکتا")</f>
        <v>A) جی ہاں، d6 پر چھلانگ لگا کر، B) نہیں، یہ حد سے باہر ہے، C) ہاں، f6 پر چھلانگ لگا کر، D) نہیں، گاجا ہاتھی پر حملہ نہیں کر سکتا</v>
      </c>
      <c r="M87" s="6" t="str">
        <f>IFERROR(__xludf.DUMMYFUNCTION("GOOGLETRANSLATE(D87, ""en"", ""ur"")"),"ب) نہیں، یہ حد سے باہر ہے۔")</f>
        <v>ب) نہیں، یہ حد سے باہر ہے۔</v>
      </c>
      <c r="N87" s="6" t="str">
        <f>IFERROR(__xludf.DUMMYFUNCTION("GOOGLETRANSLATE(E87, ""en"", ""ur"")"),"ایک گاجا صرف دو مربعوں کو ترچھی چھلانگ لگا سکتا ہے۔ b8 سے، یہ صرف d6 پر جا سکتا ہے۔ یہ ایک ہی حرکت میں h2 پر حملہ کرنے کی پوزیشن تک نہیں پہنچ سکتا۔")</f>
        <v>ایک گاجا صرف دو مربعوں کو ترچھی چھلانگ لگا سکتا ہے۔ b8 سے، یہ صرف d6 پر جا سکتا ہے۔ یہ ایک ہی حرکت میں h2 پر حملہ کرنے کی پوزیشن تک نہیں پہنچ سکتا۔</v>
      </c>
    </row>
    <row r="88">
      <c r="A88" s="4">
        <v>87.0</v>
      </c>
      <c r="B88" s="5" t="s">
        <v>851</v>
      </c>
      <c r="C88" s="5" t="s">
        <v>852</v>
      </c>
      <c r="D88" s="5" t="s">
        <v>853</v>
      </c>
      <c r="E88" s="5" t="s">
        <v>854</v>
      </c>
      <c r="J88" s="6" t="str">
        <f>IFERROR(__xludf.DUMMYFUNCTION("GOOGLETRANSLATE(A88, ""en"", ""ur"")"),"87")</f>
        <v>87</v>
      </c>
      <c r="K88" s="6" t="str">
        <f>IFERROR(__xludf.DUMMYFUNCTION("GOOGLETRANSLATE(B88, ""en"", ""ur"")"),"ایک پداٹی a7 پر ہے، فروغ سے ایک مربع۔ مخالف کے پاس d8 پر ہاتھی ہے۔ کیا ہاتھی پروموشن روک سکتا ہے؟")</f>
        <v>ایک پداٹی a7 پر ہے، فروغ سے ایک مربع۔ مخالف کے پاس d8 پر ہاتھی ہے۔ کیا ہاتھی پروموشن روک سکتا ہے؟</v>
      </c>
      <c r="L88" s="6" t="str">
        <f>IFERROR(__xludf.DUMMYFUNCTION("GOOGLETRANSLATE(C88, ""en"", ""ur"")"),"A) نہیں، پداٹی بہت قریب ہے، B) ہاں، a8 پر جا کر مربع کو بلاک کر کے، C) نہیں، ہاتھی a8 پر نہیں جا سکتا، D) ہاں، a7 پر پڈاتی کو پکڑ کر")</f>
        <v>A) نہیں، پداٹی بہت قریب ہے، B) ہاں، a8 پر جا کر مربع کو بلاک کر کے، C) نہیں، ہاتھی a8 پر نہیں جا سکتا، D) ہاں، a7 پر پڈاتی کو پکڑ کر</v>
      </c>
      <c r="M88" s="6" t="str">
        <f>IFERROR(__xludf.DUMMYFUNCTION("GOOGLETRANSLATE(D88, ""en"", ""ur"")"),"ب) ہاں، a8 پر جا کر اور مربع کو مسدود کر کے")</f>
        <v>ب) ہاں، a8 پر جا کر اور مربع کو مسدود کر کے</v>
      </c>
      <c r="N88" s="6" t="str">
        <f>IFERROR(__xludf.DUMMYFUNCTION("GOOGLETRANSLATE(E88, ""en"", ""ur"")"),"ہاتھی افقی طور پر d8 سے a8 کی طرف بڑھ سکتا ہے، پروموشن اسکوائر پر قبضہ کر سکتا ہے اور پداٹی کو آگے بڑھنے سے روک سکتا ہے۔")</f>
        <v>ہاتھی افقی طور پر d8 سے a8 کی طرف بڑھ سکتا ہے، پروموشن اسکوائر پر قبضہ کر سکتا ہے اور پداٹی کو آگے بڑھنے سے روک سکتا ہے۔</v>
      </c>
    </row>
    <row r="89">
      <c r="A89" s="4">
        <v>88.0</v>
      </c>
      <c r="B89" s="5" t="s">
        <v>855</v>
      </c>
      <c r="C89" s="5" t="s">
        <v>856</v>
      </c>
      <c r="D89" s="5" t="s">
        <v>857</v>
      </c>
      <c r="E89" s="5" t="s">
        <v>858</v>
      </c>
      <c r="J89" s="6" t="str">
        <f>IFERROR(__xludf.DUMMYFUNCTION("GOOGLETRANSLATE(A89, ""en"", ""ur"")"),"88")</f>
        <v>88</v>
      </c>
      <c r="K89" s="6" t="str">
        <f>IFERROR(__xludf.DUMMYFUNCTION("GOOGLETRANSLATE(B89, ""en"", ""ur"")"),"دو کھلاڑیوں کے کھیل میں ہر کھلاڑی کے ساتھ شروع ہونے والے بڑے ٹکڑوں کی کل تعداد (غیر پداٹی) کتنی ہے؟")</f>
        <v>دو کھلاڑیوں کے کھیل میں ہر کھلاڑی کے ساتھ شروع ہونے والے بڑے ٹکڑوں کی کل تعداد (غیر پداٹی) کتنی ہے؟</v>
      </c>
      <c r="L89" s="6" t="str">
        <f>IFERROR(__xludf.DUMMYFUNCTION("GOOGLETRANSLATE(C89, ""en"", ""ur"")"),"A) 6، B) 7، C) 8، D) 10")</f>
        <v>A) 6، B) 7، C) 8، D) 10</v>
      </c>
      <c r="M89" s="6" t="str">
        <f>IFERROR(__xludf.DUMMYFUNCTION("GOOGLETRANSLATE(D89, ""en"", ""ur"")"),"ج) 8")</f>
        <v>ج) 8</v>
      </c>
      <c r="N89" s="6" t="str">
        <f>IFERROR(__xludf.DUMMYFUNCTION("GOOGLETRANSLATE(E89, ""en"", ""ur"")"),"ہر کھلاڑی اپنی پچھلی رینک پر 8 بڑے ٹکڑوں سے شروع ہوتا ہے: 1 راجہ، 1 منتری، 2 گجا، 2 اشواس، اور 2 ہاتھی۔")</f>
        <v>ہر کھلاڑی اپنی پچھلی رینک پر 8 بڑے ٹکڑوں سے شروع ہوتا ہے: 1 راجہ، 1 منتری، 2 گجا، 2 اشواس، اور 2 ہاتھی۔</v>
      </c>
    </row>
    <row r="90">
      <c r="A90" s="4">
        <v>89.0</v>
      </c>
      <c r="B90" s="5" t="s">
        <v>859</v>
      </c>
      <c r="C90" s="5" t="s">
        <v>860</v>
      </c>
      <c r="D90" s="5" t="s">
        <v>861</v>
      </c>
      <c r="E90" s="5" t="s">
        <v>862</v>
      </c>
      <c r="J90" s="6" t="str">
        <f>IFERROR(__xludf.DUMMYFUNCTION("GOOGLETRANSLATE(A90, ""en"", ""ur"")"),"89")</f>
        <v>89</v>
      </c>
      <c r="K90" s="6" t="str">
        <f>IFERROR(__xludf.DUMMYFUNCTION("GOOGLETRANSLATE(B90, ""en"", ""ur"")"),"چار کھلاڑیوں کے کھیل میں، آپ سبز کھلاڑی کے راجہ کو پکڑتے ہیں۔ پیلے کھلاڑی نے پھر آپ کے راجہ کو پکڑ لیا۔ اس تبادلے کا فاتح کون ہے؟")</f>
        <v>چار کھلاڑیوں کے کھیل میں، آپ سبز کھلاڑی کے راجہ کو پکڑتے ہیں۔ پیلے کھلاڑی نے پھر آپ کے راجہ کو پکڑ لیا۔ اس تبادلے کا فاتح کون ہے؟</v>
      </c>
      <c r="L90" s="6" t="str">
        <f>IFERROR(__xludf.DUMMYFUNCTION("GOOGLETRANSLATE(C90, ""en"", ""ur"")"),"A) آپ فاتح ہیں، B) پیلا کھلاڑی فاتح ہے، C) گیم ڈرا ہے، D) یہ بعد میں ہونے والے ڈائس رول پر منحصر ہے")</f>
        <v>A) آپ فاتح ہیں، B) پیلا کھلاڑی فاتح ہے، C) گیم ڈرا ہے، D) یہ بعد میں ہونے والے ڈائس رول پر منحصر ہے</v>
      </c>
      <c r="M90" s="6" t="str">
        <f>IFERROR(__xludf.DUMMYFUNCTION("GOOGLETRANSLATE(D90, ""en"", ""ur"")"),"ب) پیلا کھلاڑی فاتح ہے۔")</f>
        <v>ب) پیلا کھلاڑی فاتح ہے۔</v>
      </c>
      <c r="N90" s="6" t="str">
        <f>IFERROR(__xludf.DUMMYFUNCTION("GOOGLETRANSLATE(E90, ""en"", ""ur"")"),"کھیل اکثر ""آخری آدمی کھڑا"" معاملہ تھا۔ یہاں تک کہ اگر آپ نے ایک کھلاڑی کو ختم کر دیا، تب بھی آپ کھیل میں تھے اور آپ کو خود ہی ختم کیا جا سکتا ہے۔")</f>
        <v>کھیل اکثر "آخری آدمی کھڑا" معاملہ تھا۔ یہاں تک کہ اگر آپ نے ایک کھلاڑی کو ختم کر دیا، تب بھی آپ کھیل میں تھے اور آپ کو خود ہی ختم کیا جا سکتا ہے۔</v>
      </c>
    </row>
    <row r="91">
      <c r="A91" s="4">
        <v>90.0</v>
      </c>
      <c r="B91" s="5" t="s">
        <v>863</v>
      </c>
      <c r="C91" s="5" t="s">
        <v>864</v>
      </c>
      <c r="D91" s="5" t="s">
        <v>865</v>
      </c>
      <c r="E91" s="5" t="s">
        <v>866</v>
      </c>
      <c r="J91" s="6" t="str">
        <f>IFERROR(__xludf.DUMMYFUNCTION("GOOGLETRANSLATE(A91, ""en"", ""ur"")"),"90")</f>
        <v>90</v>
      </c>
      <c r="K91" s="6" t="str">
        <f>IFERROR(__xludf.DUMMYFUNCTION("GOOGLETRANSLATE(B91, ""en"", ""ur"")"),"آپ کے دو اشوا کو بورڈ پر رکھنا حکمت عملی کے لحاظ سے کیوں اہم تھا؟")</f>
        <v>آپ کے دو اشوا کو بورڈ پر رکھنا حکمت عملی کے لحاظ سے کیوں اہم تھا؟</v>
      </c>
      <c r="L91" s="6" t="str">
        <f>IFERROR(__xludf.DUMMYFUNCTION("GOOGLETRANSLATE(C91, ""en"", ""ur"")"),"A) وہ بہترین دفاعی ٹکڑے تھے، B) وہ واحد ٹکڑے تھے جو ناکہ بندیوں پر چھلانگ لگا سکتے تھے، C) وہ سب سے زیادہ پوائنٹس کے قابل تھے، D) منتری کی حفاظت کے لیے ان کی ضرورت تھی۔")</f>
        <v>A) وہ بہترین دفاعی ٹکڑے تھے، B) وہ واحد ٹکڑے تھے جو ناکہ بندیوں پر چھلانگ لگا سکتے تھے، C) وہ سب سے زیادہ پوائنٹس کے قابل تھے، D) منتری کی حفاظت کے لیے ان کی ضرورت تھی۔</v>
      </c>
      <c r="M91" s="6" t="str">
        <f>IFERROR(__xludf.DUMMYFUNCTION("GOOGLETRANSLATE(D91, ""en"", ""ur"")"),"ب) وہ واحد ٹکڑے تھے جو ناکہ بندیوں پر چھلانگ لگا سکتے تھے۔")</f>
        <v>ب) وہ واحد ٹکڑے تھے جو ناکہ بندیوں پر چھلانگ لگا سکتے تھے۔</v>
      </c>
      <c r="N91" s="6" t="str">
        <f>IFERROR(__xludf.DUMMYFUNCTION("GOOGLETRANSLATE(E91, ""en"", ""ur"")"),"اشواس کی انوکھی چھلانگ لگانے کی صلاحیت نے انہیں ایک حکمت عملی کی اہمیت دی کہ کوئی دوسرا ٹکڑا نقل نہیں کرسکتا، خاص طور پر بند اور پیچیدہ پوزیشنوں میں۔")</f>
        <v>اشواس کی انوکھی چھلانگ لگانے کی صلاحیت نے انہیں ایک حکمت عملی کی اہمیت دی کہ کوئی دوسرا ٹکڑا نقل نہیں کرسکتا، خاص طور پر بند اور پیچیدہ پوزیشنوں میں۔</v>
      </c>
    </row>
    <row r="92">
      <c r="A92" s="4">
        <v>91.0</v>
      </c>
      <c r="B92" s="5" t="s">
        <v>867</v>
      </c>
      <c r="C92" s="5" t="s">
        <v>868</v>
      </c>
      <c r="D92" s="5" t="s">
        <v>869</v>
      </c>
      <c r="E92" s="5" t="s">
        <v>870</v>
      </c>
      <c r="J92" s="6" t="str">
        <f>IFERROR(__xludf.DUMMYFUNCTION("GOOGLETRANSLATE(A92, ""en"", ""ur"")"),"91")</f>
        <v>91</v>
      </c>
      <c r="K92" s="6" t="str">
        <f>IFERROR(__xludf.DUMMYFUNCTION("GOOGLETRANSLATE(B92, ""en"", ""ur"")"),"آپ کے مخالف کا راجہ e1 پر ہے۔ آپ کے پاس d2 پر منتری اور f3 پر اشوا ہے۔ کون سا مہرہ راجہ پر حملہ آور ہے؟")</f>
        <v>آپ کے مخالف کا راجہ e1 پر ہے۔ آپ کے پاس d2 پر منتری اور f3 پر اشوا ہے۔ کون سا مہرہ راجہ پر حملہ آور ہے؟</v>
      </c>
      <c r="L92" s="6" t="str">
        <f>IFERROR(__xludf.DUMMYFUNCTION("GOOGLETRANSLATE(C92, ""en"", ""ur"")"),"A) صرف منتری، B) صرف اشوا، C) دونوں ٹکڑے، D) کوئی بھی ٹکڑا نہیں")</f>
        <v>A) صرف منتری، B) صرف اشوا، C) دونوں ٹکڑے، D) کوئی بھی ٹکڑا نہیں</v>
      </c>
      <c r="M92" s="6" t="str">
        <f>IFERROR(__xludf.DUMMYFUNCTION("GOOGLETRANSLATE(D92, ""en"", ""ur"")"),"A) صرف منتری")</f>
        <v>A) صرف منتری</v>
      </c>
      <c r="N92" s="6" t="str">
        <f>IFERROR(__xludf.DUMMYFUNCTION("GOOGLETRANSLATE(E92, ""en"", ""ur"")"),"ڈی 2 حملے e1 پر منتری۔ ایف 3 پر اشوا ای 1 پر حملہ کرتا ہے۔ تصحیح: یہ ایک ناقص منظر نامہ ہے۔ آئیے اسے ٹھیک کرتے ہیں۔ آپ کے پاس d2 پر منتری اور g2 پر ایک اشوا ہے۔ A) صرف منتری۔")</f>
        <v>ڈی 2 حملے e1 پر منتری۔ ایف 3 پر اشوا ای 1 پر حملہ کرتا ہے۔ تصحیح: یہ ایک ناقص منظر نامہ ہے۔ آئیے اسے ٹھیک کرتے ہیں۔ آپ کے پاس d2 پر منتری اور g2 پر ایک اشوا ہے۔ A) صرف منتری۔</v>
      </c>
    </row>
    <row r="93">
      <c r="A93" s="4">
        <v>92.0</v>
      </c>
      <c r="B93" s="5" t="s">
        <v>871</v>
      </c>
      <c r="C93" s="5" t="s">
        <v>872</v>
      </c>
      <c r="D93" s="5" t="s">
        <v>873</v>
      </c>
      <c r="E93" s="5" t="s">
        <v>874</v>
      </c>
      <c r="J93" s="6" t="str">
        <f>IFERROR(__xludf.DUMMYFUNCTION("GOOGLETRANSLATE(A93, ""en"", ""ur"")"),"92")</f>
        <v>92</v>
      </c>
      <c r="K93" s="6" t="str">
        <f>IFERROR(__xludf.DUMMYFUNCTION("GOOGLETRANSLATE(B93, ""en"", ""ur"")"),"ایک کھلاڑی کا راجہ e1 پر ہوتا ہے۔ ایک دشمن پداٹی d2 پر ہے۔ ایک دوستانہ ہاتھی f1 پر ہے۔ کیا راجہ پدتی سے محفوظ ہے؟")</f>
        <v>ایک کھلاڑی کا راجہ e1 پر ہوتا ہے۔ ایک دشمن پداٹی d2 پر ہے۔ ایک دوستانہ ہاتھی f1 پر ہے۔ کیا راجہ پدتی سے محفوظ ہے؟</v>
      </c>
      <c r="L93" s="6" t="str">
        <f>IFERROR(__xludf.DUMMYFUNCTION("GOOGLETRANSLATE(C93, ""en"", ""ur"")"),"A) نہیں، پڈاتی راجہ کو پکڑ سکتا ہے، B) ہاں، راجہ محفوظ ہے، C) صرف اس صورت میں جب ہاتھی دفاع کے لیے حرکت کرے، D) راجہ کو حرکت میں آنا چاہیے۔")</f>
        <v>A) نہیں، پڈاتی راجہ کو پکڑ سکتا ہے، B) ہاں، راجہ محفوظ ہے، C) صرف اس صورت میں جب ہاتھی دفاع کے لیے حرکت کرے، D) راجہ کو حرکت میں آنا چاہیے۔</v>
      </c>
      <c r="M93" s="6" t="str">
        <f>IFERROR(__xludf.DUMMYFUNCTION("GOOGLETRANSLATE(D93, ""en"", ""ur"")"),"ا) نہیں، پڈاتی راجہ کو پکڑ سکتا ہے۔")</f>
        <v>ا) نہیں، پڈاتی راجہ کو پکڑ سکتا ہے۔</v>
      </c>
      <c r="N93" s="6" t="str">
        <f>IFERROR(__xludf.DUMMYFUNCTION("GOOGLETRANSLATE(E93, ""en"", ""ur"")"),"ڈی 2 پر پڈاٹی e1 پر ایک ترچھا کیپچر کر سکتی ہے۔ f1 پر دوستانہ ہاتھی اس حملے سے راجہ کا دفاع نہیں کرتا ہے۔")</f>
        <v>ڈی 2 پر پڈاٹی e1 پر ایک ترچھا کیپچر کر سکتی ہے۔ f1 پر دوستانہ ہاتھی اس حملے سے راجہ کا دفاع نہیں کرتا ہے۔</v>
      </c>
    </row>
    <row r="94">
      <c r="A94" s="4">
        <v>93.0</v>
      </c>
      <c r="B94" s="5" t="s">
        <v>875</v>
      </c>
      <c r="C94" s="5" t="s">
        <v>876</v>
      </c>
      <c r="D94" s="5" t="s">
        <v>877</v>
      </c>
      <c r="E94" s="5" t="s">
        <v>878</v>
      </c>
      <c r="J94" s="6" t="str">
        <f>IFERROR(__xludf.DUMMYFUNCTION("GOOGLETRANSLATE(A94, ""en"", ""ur"")"),"93")</f>
        <v>93</v>
      </c>
      <c r="K94" s="6" t="str">
        <f>IFERROR(__xludf.DUMMYFUNCTION("GOOGLETRANSLATE(B94, ""en"", ""ur"")"),"ایسی صورت حال کے لیے کیا اصطلاح ہے جہاں ایک ٹکڑا حملہ آور ہو اور اس کے پیچھے اس سے بھی زیادہ قیمتی ٹکڑے کو بے نقاب کیے بغیر حرکت نہ کر سکے۔")</f>
        <v>ایسی صورت حال کے لیے کیا اصطلاح ہے جہاں ایک ٹکڑا حملہ آور ہو اور اس کے پیچھے اس سے بھی زیادہ قیمتی ٹکڑے کو بے نقاب کیے بغیر حرکت نہ کر سکے۔</v>
      </c>
      <c r="L94" s="6" t="str">
        <f>IFERROR(__xludf.DUMMYFUNCTION("GOOGLETRANSLATE(C94, ""en"", ""ur"")"),"A) ایک کانٹا، B) ایک پن، C) ایک سکیور، D) ایک بیٹری")</f>
        <v>A) ایک کانٹا، B) ایک پن، C) ایک سکیور، D) ایک بیٹری</v>
      </c>
      <c r="M94" s="6" t="str">
        <f>IFERROR(__xludf.DUMMYFUNCTION("GOOGLETRANSLATE(D94, ""en"", ""ur"")"),"ب) ایک پن")</f>
        <v>ب) ایک پن</v>
      </c>
      <c r="N94" s="6" t="str">
        <f>IFERROR(__xludf.DUMMYFUNCTION("GOOGLETRANSLATE(E94, ""en"", ""ur"")"),"یہ حکمت عملی کا تصور چتورنگا میں اتنا ہی متعلقہ تھا جتنا کہ یہ جدید شطرنج میں ہے، خاص طور پر طاقتور ہاتھی کا استعمال۔")</f>
        <v>یہ حکمت عملی کا تصور چتورنگا میں اتنا ہی متعلقہ تھا جتنا کہ یہ جدید شطرنج میں ہے، خاص طور پر طاقتور ہاتھی کا استعمال۔</v>
      </c>
    </row>
    <row r="95">
      <c r="A95" s="4">
        <v>94.0</v>
      </c>
      <c r="B95" s="5" t="s">
        <v>879</v>
      </c>
      <c r="C95" s="5" t="s">
        <v>880</v>
      </c>
      <c r="D95" s="5" t="s">
        <v>881</v>
      </c>
      <c r="E95" s="5" t="s">
        <v>882</v>
      </c>
      <c r="J95" s="6" t="str">
        <f>IFERROR(__xludf.DUMMYFUNCTION("GOOGLETRANSLATE(A95, ""en"", ""ur"")"),"94")</f>
        <v>94</v>
      </c>
      <c r="K95" s="6" t="str">
        <f>IFERROR(__xludf.DUMMYFUNCTION("GOOGLETRANSLATE(B95, ""en"", ""ur"")"),"ایک دشمن راجہ اے 8 پر ہے۔ آپ کے پاس c6 پر ایک گاجا اور d7 پر دوسرا گاجا ہے۔ کون سا مہرہ راجہ پر حملہ آور ہے؟")</f>
        <v>ایک دشمن راجہ اے 8 پر ہے۔ آپ کے پاس c6 پر ایک گاجا اور d7 پر دوسرا گاجا ہے۔ کون سا مہرہ راجہ پر حملہ آور ہے؟</v>
      </c>
      <c r="L95" s="6" t="str">
        <f>IFERROR(__xludf.DUMMYFUNCTION("GOOGLETRANSLATE(C95, ""en"", ""ur"")"),"A) c6 پر گاجا، B) d7 پر گاجا، C) دونوں حملہ کر رہے ہیں، D) دونوں میں سے کوئی بھی حملہ نہیں کر رہا ہے۔")</f>
        <v>A) c6 پر گاجا، B) d7 پر گاجا، C) دونوں حملہ کر رہے ہیں، D) دونوں میں سے کوئی بھی حملہ نہیں کر رہا ہے۔</v>
      </c>
      <c r="M95" s="6" t="str">
        <f>IFERROR(__xludf.DUMMYFUNCTION("GOOGLETRANSLATE(D95, ""en"", ""ur"")"),"A) c6 پر گاجا")</f>
        <v>A) c6 پر گاجا</v>
      </c>
      <c r="N95" s="6" t="str">
        <f>IFERROR(__xludf.DUMMYFUNCTION("GOOGLETRANSLATE(E95, ""en"", ""ur"")"),"سی 6 پر گاجا b7 پر چھلانگ لگا سکتا ہے اور a8 پر اتر سکتا ہے۔ d7 پر گاجا a8 میں نہیں جا سکتا۔")</f>
        <v>سی 6 پر گاجا b7 پر چھلانگ لگا سکتا ہے اور a8 پر اتر سکتا ہے۔ d7 پر گاجا a8 میں نہیں جا سکتا۔</v>
      </c>
    </row>
    <row r="96">
      <c r="A96" s="4">
        <v>95.0</v>
      </c>
      <c r="B96" s="5" t="s">
        <v>883</v>
      </c>
      <c r="C96" s="5" t="s">
        <v>884</v>
      </c>
      <c r="D96" s="5" t="s">
        <v>885</v>
      </c>
      <c r="E96" s="5" t="s">
        <v>886</v>
      </c>
      <c r="J96" s="6" t="str">
        <f>IFERROR(__xludf.DUMMYFUNCTION("GOOGLETRANSLATE(A96, ""en"", ""ur"")"),"95")</f>
        <v>95</v>
      </c>
      <c r="K96" s="6" t="str">
        <f>IFERROR(__xludf.DUMMYFUNCTION("GOOGLETRANSLATE(B96, ""en"", ""ur"")"),"a1 پر ہاتھی کو h8 پر کسی ٹکڑے پر حملہ کرنے کے لیے کم از کم کتنی حرکتیں درکار ہیں؟")</f>
        <v>a1 پر ہاتھی کو h8 پر کسی ٹکڑے پر حملہ کرنے کے لیے کم از کم کتنی حرکتیں درکار ہیں؟</v>
      </c>
      <c r="L96" s="6" t="str">
        <f>IFERROR(__xludf.DUMMYFUNCTION("GOOGLETRANSLATE(C96, ""en"", ""ur"")"),"A) 1، B) 2، C) 3، D) 4")</f>
        <v>A) 1، B) 2، C) 3، D) 4</v>
      </c>
      <c r="M96" s="6" t="str">
        <f>IFERROR(__xludf.DUMMYFUNCTION("GOOGLETRANSLATE(D96, ""en"", ""ur"")"),"ب) 2")</f>
        <v>ب) 2</v>
      </c>
      <c r="N96" s="6" t="str">
        <f>IFERROR(__xludf.DUMMYFUNCTION("GOOGLETRANSLATE(E96, ""en"", ""ur"")"),"ہاتھی کو پہلے درجے کے ساتھ آگے بڑھنا چاہیے (مثال کے طور پر، a1 سے h1) اور پھر فائل (h1 سے h8) کے ساتھ، دو حرکتوں کی ضرورت ہوتی ہے۔")</f>
        <v>ہاتھی کو پہلے درجے کے ساتھ آگے بڑھنا چاہیے (مثال کے طور پر، a1 سے h1) اور پھر فائل (h1 سے h8) کے ساتھ، دو حرکتوں کی ضرورت ہوتی ہے۔</v>
      </c>
    </row>
    <row r="97">
      <c r="A97" s="4">
        <v>96.0</v>
      </c>
      <c r="B97" s="5" t="s">
        <v>887</v>
      </c>
      <c r="C97" s="5" t="s">
        <v>888</v>
      </c>
      <c r="D97" s="5" t="s">
        <v>889</v>
      </c>
      <c r="E97" s="5" t="s">
        <v>890</v>
      </c>
      <c r="J97" s="6" t="str">
        <f>IFERROR(__xludf.DUMMYFUNCTION("GOOGLETRANSLATE(A97, ""en"", ""ur"")"),"96")</f>
        <v>96</v>
      </c>
      <c r="K97" s="6" t="str">
        <f>IFERROR(__xludf.DUMMYFUNCTION("GOOGLETRANSLATE(B97, ""en"", ""ur"")"),"آپ کی پدتی h2 پر ہے۔ ایک دشمن پداٹی جی تھری پر ہے۔ کیا آپ کا پڈتی دشمن پڈاتی کو پکڑ سکتا ہے؟")</f>
        <v>آپ کی پدتی h2 پر ہے۔ ایک دشمن پداٹی جی تھری پر ہے۔ کیا آپ کا پڈتی دشمن پڈاتی کو پکڑ سکتا ہے؟</v>
      </c>
      <c r="L97" s="6" t="str">
        <f>IFERROR(__xludf.DUMMYFUNCTION("GOOGLETRANSLATE(C97, ""en"", ""ur"")"),"A) جی ہاں، g3 پر جانے سے، B) نہیں، اس کا راستہ مسدود ہے، C) نہیں، Padatis ایک دوسرے کو پکڑ نہیں سکتے، D) ہاں، h3 پر جانے سے")</f>
        <v>A) جی ہاں، g3 پر جانے سے، B) نہیں، اس کا راستہ مسدود ہے، C) نہیں، Padatis ایک دوسرے کو پکڑ نہیں سکتے، D) ہاں، h3 پر جانے سے</v>
      </c>
      <c r="M97" s="6" t="str">
        <f>IFERROR(__xludf.DUMMYFUNCTION("GOOGLETRANSLATE(D97, ""en"", ""ur"")"),"A) جی ہاں، g3 پر جا کر")</f>
        <v>A) جی ہاں، g3 پر جا کر</v>
      </c>
      <c r="N97" s="6" t="str">
        <f>IFERROR(__xludf.DUMMYFUNCTION("GOOGLETRANSLATE(E97, ""en"", ""ur"")"),"پڈاٹی ایک مربع کو ترچھی آگے کیپچر کرتا ہے، لہذا h2 پر پڈاٹی قانونی طور پر g3 پر ٹکڑے کو پکڑ سکتا ہے۔")</f>
        <v>پڈاٹی ایک مربع کو ترچھی آگے کیپچر کرتا ہے، لہذا h2 پر پڈاٹی قانونی طور پر g3 پر ٹکڑے کو پکڑ سکتا ہے۔</v>
      </c>
    </row>
    <row r="98">
      <c r="A98" s="4">
        <v>97.0</v>
      </c>
      <c r="B98" s="5" t="s">
        <v>891</v>
      </c>
      <c r="C98" s="5" t="s">
        <v>892</v>
      </c>
      <c r="D98" s="5" t="s">
        <v>893</v>
      </c>
      <c r="E98" s="5" t="s">
        <v>894</v>
      </c>
      <c r="J98" s="6" t="str">
        <f>IFERROR(__xludf.DUMMYFUNCTION("GOOGLETRANSLATE(A98, ""en"", ""ur"")"),"97")</f>
        <v>97</v>
      </c>
      <c r="K98" s="6" t="str">
        <f>IFERROR(__xludf.DUMMYFUNCTION("GOOGLETRANSLATE(B98, ""en"", ""ur"")"),"ایک کھلاڑی کے پاس صرف ایک راجہ اور دو گاجے رہ جاتے ہیں، ایک ہلکے چوک پر اور ایک سیاہ چوک پر۔ کیا وہ اکیلے دشمن راجہ کے خلاف جیت سکتے ہیں؟")</f>
        <v>ایک کھلاڑی کے پاس صرف ایک راجہ اور دو گاجے رہ جاتے ہیں، ایک ہلکے چوک پر اور ایک سیاہ چوک پر۔ کیا وہ اکیلے دشمن راجہ کے خلاف جیت سکتے ہیں؟</v>
      </c>
      <c r="L98" s="6" t="str">
        <f>IFERROR(__xludf.DUMMYFUNCTION("GOOGLETRANSLATE(C98, ""en"", ""ur"")"),"A) نہیں، یہ ڈرا ہے، B) ہاں، یہ زبردستی جیت ہے، C) یہ ممکن ہے لیکن بہت مشکل، D) صرف اس صورت میں جب دشمن راجہ کونے میں ہو۔")</f>
        <v>A) نہیں، یہ ڈرا ہے، B) ہاں، یہ زبردستی جیت ہے، C) یہ ممکن ہے لیکن بہت مشکل، D) صرف اس صورت میں جب دشمن راجہ کونے میں ہو۔</v>
      </c>
      <c r="M98" s="6" t="str">
        <f>IFERROR(__xludf.DUMMYFUNCTION("GOOGLETRANSLATE(D98, ""en"", ""ur"")"),"ج) یہ ممکن ہے لیکن بہت مشکل ہے۔")</f>
        <v>ج) یہ ممکن ہے لیکن بہت مشکل ہے۔</v>
      </c>
      <c r="N98" s="6" t="str">
        <f>IFERROR(__xludf.DUMMYFUNCTION("GOOGLETRANSLATE(E98, ""en"", ""ur"")"),"جب کہ دو جدید بشپ آسانی سے جیت پر مجبور کر سکتے ہیں، گاجا کی مختصر، اچھلنے والی حرکت نے زبردستی پکڑنا انتہائی مشکل، اگرچہ نظریاتی طور پر ناممکن نہیں، بنا دیا ہے۔")</f>
        <v>جب کہ دو جدید بشپ آسانی سے جیت پر مجبور کر سکتے ہیں، گاجا کی مختصر، اچھلنے والی حرکت نے زبردستی پکڑنا انتہائی مشکل، اگرچہ نظریاتی طور پر ناممکن نہیں، بنا دیا ہے۔</v>
      </c>
    </row>
    <row r="99">
      <c r="A99" s="4">
        <v>98.0</v>
      </c>
      <c r="B99" s="5" t="s">
        <v>895</v>
      </c>
      <c r="C99" s="5" t="s">
        <v>896</v>
      </c>
      <c r="D99" s="5" t="s">
        <v>897</v>
      </c>
      <c r="E99" s="5" t="s">
        <v>898</v>
      </c>
      <c r="J99" s="6" t="str">
        <f>IFERROR(__xludf.DUMMYFUNCTION("GOOGLETRANSLATE(A99, ""en"", ""ur"")"),"98")</f>
        <v>98</v>
      </c>
      <c r="K99" s="6" t="str">
        <f>IFERROR(__xludf.DUMMYFUNCTION("GOOGLETRANSLATE(B99, ""en"", ""ur"")"),"چار کھلاڑیوں کے مختلف قسم میں، آپ کی باری سبز کھلاڑی کے بعد اور پیلے کھلاڑی سے پہلے آتی ہے۔ آپ نے پیلے کھلاڑی کی ہاتھی پکڑ لی۔ اگلی باری کس کی ہے؟")</f>
        <v>چار کھلاڑیوں کے مختلف قسم میں، آپ کی باری سبز کھلاڑی کے بعد اور پیلے کھلاڑی سے پہلے آتی ہے۔ آپ نے پیلے کھلاڑی کی ہاتھی پکڑ لی۔ اگلی باری کس کی ہے؟</v>
      </c>
      <c r="L99" s="6" t="str">
        <f>IFERROR(__xludf.DUMMYFUNCTION("GOOGLETRANSLATE(C99, ""en"", ""ur"")"),"A) دوبارہ آپ کی باری، B) سبز کھلاڑی کی باری، C) پیلے کھلاڑی کی باری، D) سرخ کھلاڑی کی باری")</f>
        <v>A) دوبارہ آپ کی باری، B) سبز کھلاڑی کی باری، C) پیلے کھلاڑی کی باری، D) سرخ کھلاڑی کی باری</v>
      </c>
      <c r="M99" s="6" t="str">
        <f>IFERROR(__xludf.DUMMYFUNCTION("GOOGLETRANSLATE(D99, ""en"", ""ur"")"),"D) سرخ کھلاڑی کی باری")</f>
        <v>D) سرخ کھلاڑی کی باری</v>
      </c>
      <c r="N99" s="6" t="str">
        <f>IFERROR(__xludf.DUMMYFUNCTION("GOOGLETRANSLATE(E99, ""en"", ""ur"")"),"چتورجی میں کھیلنا عام طور پر بورڈ کے ارد گرد ایک مقررہ، گھڑی کی سمت یا مخالف گھڑی کی سمت میں آگے بڑھتا ہے۔")</f>
        <v>چتورجی میں کھیلنا عام طور پر بورڈ کے ارد گرد ایک مقررہ، گھڑی کی سمت یا مخالف گھڑی کی سمت میں آگے بڑھتا ہے۔</v>
      </c>
    </row>
    <row r="100">
      <c r="A100" s="4">
        <v>99.0</v>
      </c>
      <c r="B100" s="5" t="s">
        <v>899</v>
      </c>
      <c r="C100" s="5" t="s">
        <v>900</v>
      </c>
      <c r="D100" s="5" t="s">
        <v>901</v>
      </c>
      <c r="E100" s="5" t="s">
        <v>902</v>
      </c>
      <c r="J100" s="6" t="str">
        <f>IFERROR(__xludf.DUMMYFUNCTION("GOOGLETRANSLATE(A100, ""en"", ""ur"")"),"99")</f>
        <v>99</v>
      </c>
      <c r="K100" s="6" t="str">
        <f>IFERROR(__xludf.DUMMYFUNCTION("GOOGLETRANSLATE(B100, ""en"", ""ur"")"),"آپ کے مخالف کے پاس جی 1 پر راجہ ہے اور ایف 2 پر دوستانہ پڈاتی ہے۔ آپ کے پاس e4 پر ایک اشوا ہے۔ آپ کے اشوا کے لیے بہترین اقدام کیا ہے؟")</f>
        <v>آپ کے مخالف کے پاس جی 1 پر راجہ ہے اور ایف 2 پر دوستانہ پڈاتی ہے۔ آپ کے پاس e4 پر ایک اشوا ہے۔ آپ کے اشوا کے لیے بہترین اقدام کیا ہے؟</v>
      </c>
      <c r="L100" s="6" t="str">
        <f>IFERROR(__xludf.DUMMYFUNCTION("GOOGLETRANSLATE(C100, ""en"", ""ur"")"),"A) d6 پر جائیں، B) c5 پر جائیں، C) g3 پر جائیں، D) پداٹی پر قبضہ کرنے کے لیے f2 پر جائیں")</f>
        <v>A) d6 پر جائیں، B) c5 پر جائیں، C) g3 پر جائیں، D) پداٹی پر قبضہ کرنے کے لیے f2 پر جائیں</v>
      </c>
      <c r="M100" s="6" t="str">
        <f>IFERROR(__xludf.DUMMYFUNCTION("GOOGLETRANSLATE(D100, ""en"", ""ur"")"),"D) پداٹی پر قبضہ کرنے کے لیے f2 پر جائیں۔")</f>
        <v>D) پداٹی پر قبضہ کرنے کے لیے f2 پر جائیں۔</v>
      </c>
      <c r="N100" s="6" t="str">
        <f>IFERROR(__xludf.DUMMYFUNCTION("GOOGLETRANSLATE(E100, ""en"", ""ur"")"),"اشوا کو e4 سے f2 میں منتقل کرنا قانونی گرفت ہے۔ یہ جی 1 پر مخالف کے راجہ کو بھی حملے کی زد میں رکھتا ہے۔")</f>
        <v>اشوا کو e4 سے f2 میں منتقل کرنا قانونی گرفت ہے۔ یہ جی 1 پر مخالف کے راجہ کو بھی حملے کی زد میں رکھتا ہے۔</v>
      </c>
    </row>
    <row r="101">
      <c r="A101" s="4">
        <v>100.0</v>
      </c>
      <c r="B101" s="5" t="s">
        <v>903</v>
      </c>
      <c r="C101" s="5" t="s">
        <v>904</v>
      </c>
      <c r="D101" s="5" t="s">
        <v>905</v>
      </c>
      <c r="E101" s="5" t="s">
        <v>906</v>
      </c>
      <c r="J101" s="6" t="str">
        <f>IFERROR(__xludf.DUMMYFUNCTION("GOOGLETRANSLATE(A101, ""en"", ""ur"")"),"100")</f>
        <v>100</v>
      </c>
      <c r="K101" s="6" t="str">
        <f>IFERROR(__xludf.DUMMYFUNCTION("GOOGLETRANSLATE(B101, ""en"", ""ur"")"),"حتمی، فیصلہ کن کارروائی کیا ہے جو دو کھلاڑیوں کے چتورنگا کے کھیل کو ختم کرتی ہے؟")</f>
        <v>حتمی، فیصلہ کن کارروائی کیا ہے جو دو کھلاڑیوں کے چتورنگا کے کھیل کو ختم کرتی ہے؟</v>
      </c>
      <c r="L101" s="6" t="str">
        <f>IFERROR(__xludf.DUMMYFUNCTION("GOOGLETRANSLATE(C101, ""en"", ""ur"")"),"A) ""چیک میٹ"" کہنا، B) مخالف کے راجہ کو بورڈ سے جسمانی طور پر ہٹانا، C) مخالف کا استعفیٰ دینا، D) پوائنٹس کی ایک خاص تعداد تک پہنچنا")</f>
        <v>A) "چیک میٹ" کہنا، B) مخالف کے راجہ کو بورڈ سے جسمانی طور پر ہٹانا، C) مخالف کا استعفیٰ دینا، D) پوائنٹس کی ایک خاص تعداد تک پہنچنا</v>
      </c>
      <c r="M101" s="6" t="str">
        <f>IFERROR(__xludf.DUMMYFUNCTION("GOOGLETRANSLATE(D101, ""en"", ""ur"")"),"ب) مخالف کے راجہ کو بورڈ سے جسمانی طور پر ہٹانا")</f>
        <v>ب) مخالف کے راجہ کو بورڈ سے جسمانی طور پر ہٹانا</v>
      </c>
      <c r="N101" s="6" t="str">
        <f>IFERROR(__xludf.DUMMYFUNCTION("GOOGLETRANSLATE(E101, ""en"", ""ur"")"),"گیم کو لفظی طور پر بادشاہ کے ٹکڑے پر قبضہ کر کے جیت لیا گیا، جو کہ جدید چیک میٹ سے زیادہ ٹھوس اور کم تجریدی نتیجہ ہے۔")</f>
        <v>گیم کو لفظی طور پر بادشاہ کے ٹکڑے پر قبضہ کر کے جیت لیا گیا، جو کہ جدید چیک میٹ سے زیادہ ٹھوس اور کم تجریدی نتیجہ ہے۔</v>
      </c>
    </row>
    <row r="102">
      <c r="A102" s="4">
        <v>101.0</v>
      </c>
      <c r="B102" s="5" t="s">
        <v>907</v>
      </c>
      <c r="C102" s="5" t="s">
        <v>908</v>
      </c>
      <c r="D102" s="5" t="s">
        <v>909</v>
      </c>
      <c r="E102" s="5" t="s">
        <v>910</v>
      </c>
      <c r="J102" s="6" t="str">
        <f>IFERROR(__xludf.DUMMYFUNCTION("GOOGLETRANSLATE(A102, ""en"", ""ur"")"),"101")</f>
        <v>101</v>
      </c>
      <c r="K102" s="6" t="str">
        <f>IFERROR(__xludf.DUMMYFUNCTION("GOOGLETRANSLATE(B102, ""en"", ""ur"")"),"آپ کے پاس a1 پر راجہ ہے۔ ایک مخالف کی ہاتھی a8 پر ہے اور ان کا گاجا c3 پر ہے۔ کیا راجہ حملہ کی زد میں ہے؟")</f>
        <v>آپ کے پاس a1 پر راجہ ہے۔ ایک مخالف کی ہاتھی a8 پر ہے اور ان کا گاجا c3 پر ہے۔ کیا راجہ حملہ کی زد میں ہے؟</v>
      </c>
      <c r="L102" s="6" t="str">
        <f>IFERROR(__xludf.DUMMYFUNCTION("GOOGLETRANSLATE(C102, ""en"", ""ur"")"),"A) ہاں، ہاتھی کی طرف سے، B) ہاں، گجا کی طرف سے، C) ہاں، دونوں ٹکڑوں سے، D) نہیں، یہ ابھی کے لیے محفوظ ہے۔")</f>
        <v>A) ہاں، ہاتھی کی طرف سے، B) ہاں، گجا کی طرف سے، C) ہاں، دونوں ٹکڑوں سے، D) نہیں، یہ ابھی کے لیے محفوظ ہے۔</v>
      </c>
      <c r="M102" s="6" t="str">
        <f>IFERROR(__xludf.DUMMYFUNCTION("GOOGLETRANSLATE(D102, ""en"", ""ur"")"),"ج) جی ہاں، دونوں ٹکڑوں سے")</f>
        <v>ج) جی ہاں، دونوں ٹکڑوں سے</v>
      </c>
      <c r="N102" s="6" t="str">
        <f>IFERROR(__xludf.DUMMYFUNCTION("GOOGLETRANSLATE(E102, ""en"", ""ur"")"),"A8 پر ہاتھی 'a' فائل پر حملہ کرتا ہے۔ c3 پر گاجا a1 پر حملہ کرنے کے لیے b2 پر چھلانگ لگاتا ہے۔ راجہ پر ایک ساتھ دو ٹکڑے ہو جاتے ہیں۔")</f>
        <v>A8 پر ہاتھی 'a' فائل پر حملہ کرتا ہے۔ c3 پر گاجا a1 پر حملہ کرنے کے لیے b2 پر چھلانگ لگاتا ہے۔ راجہ پر ایک ساتھ دو ٹکڑے ہو جاتے ہیں۔</v>
      </c>
    </row>
    <row r="103">
      <c r="A103" s="4">
        <v>102.0</v>
      </c>
      <c r="B103" s="5" t="s">
        <v>911</v>
      </c>
      <c r="C103" s="5" t="s">
        <v>912</v>
      </c>
      <c r="D103" s="5" t="s">
        <v>913</v>
      </c>
      <c r="E103" s="5" t="s">
        <v>914</v>
      </c>
      <c r="J103" s="6" t="str">
        <f>IFERROR(__xludf.DUMMYFUNCTION("GOOGLETRANSLATE(A103, ""en"", ""ur"")"),"102")</f>
        <v>102</v>
      </c>
      <c r="K103" s="6" t="str">
        <f>IFERROR(__xludf.DUMMYFUNCTION("GOOGLETRANSLATE(B103, ""en"", ""ur"")"),"b2 پر ایک پڈاتی کو b3 پر پڈاتی کے ذریعہ مسدود کیا گیا ہے۔ b2 پادتی کے لیے آگے بڑھنے کا واحد راستہ کیا ہے؟")</f>
        <v>b2 پر ایک پڈاتی کو b3 پر پڈاتی کے ذریعہ مسدود کیا گیا ہے۔ b2 پادتی کے لیے آگے بڑھنے کا واحد راستہ کیا ہے؟</v>
      </c>
      <c r="L103" s="6" t="str">
        <f>IFERROR(__xludf.DUMMYFUNCTION("GOOGLETRANSLATE(C103, ""en"", ""ur"")"),"A) یہ آگے نہیں بڑھ سکتا، B) a3 یا c3 پر ایک ٹکڑا پکڑ کر، C) اسے b3 Padati کے حرکت میں آنے کا انتظار کرنا چاہیے، D) b3 Padati پر چھلانگ لگا کر")</f>
        <v>A) یہ آگے نہیں بڑھ سکتا، B) a3 یا c3 پر ایک ٹکڑا پکڑ کر، C) اسے b3 Padati کے حرکت میں آنے کا انتظار کرنا چاہیے، D) b3 Padati پر چھلانگ لگا کر</v>
      </c>
      <c r="M103" s="6" t="str">
        <f>IFERROR(__xludf.DUMMYFUNCTION("GOOGLETRANSLATE(D103, ""en"", ""ur"")"),"ب) a3 یا c3 پر ایک ٹکڑے کو پکڑ کر")</f>
        <v>ب) a3 یا c3 پر ایک ٹکڑے کو پکڑ کر</v>
      </c>
      <c r="N103" s="6" t="str">
        <f>IFERROR(__xludf.DUMMYFUNCTION("GOOGLETRANSLATE(E103, ""en"", ""ur"")"),"اگر اس کا آگے کا راستہ مسدود ہے، تو پڈاتی کے آگے بڑھنے کا واحد راستہ اخترن کیپچر کرنا ہے۔")</f>
        <v>اگر اس کا آگے کا راستہ مسدود ہے، تو پڈاتی کے آگے بڑھنے کا واحد راستہ اخترن کیپچر کرنا ہے۔</v>
      </c>
    </row>
    <row r="104">
      <c r="A104" s="4">
        <v>103.0</v>
      </c>
      <c r="B104" s="5" t="s">
        <v>915</v>
      </c>
      <c r="C104" s="5" t="s">
        <v>916</v>
      </c>
      <c r="D104" s="5" t="s">
        <v>917</v>
      </c>
      <c r="E104" s="5" t="s">
        <v>918</v>
      </c>
      <c r="J104" s="6" t="str">
        <f>IFERROR(__xludf.DUMMYFUNCTION("GOOGLETRANSLATE(A104, ""en"", ""ur"")"),"103")</f>
        <v>103</v>
      </c>
      <c r="K104" s="6" t="str">
        <f>IFERROR(__xludf.DUMMYFUNCTION("GOOGLETRANSLATE(B104, ""en"", ""ur"")"),"آپ کے مخالف کا d8 پر راجہ ہے، اور آپ کے پاس a8 پر ہاتھی اور e7 پر منتری ہے۔ کون سا مہرہ راجہ کو پکڑ سکتا ہے؟")</f>
        <v>آپ کے مخالف کا d8 پر راجہ ہے، اور آپ کے پاس a8 پر ہاتھی اور e7 پر منتری ہے۔ کون سا مہرہ راجہ کو پکڑ سکتا ہے؟</v>
      </c>
      <c r="L104" s="6" t="str">
        <f>IFERROR(__xludf.DUMMYFUNCTION("GOOGLETRANSLATE(C104, ""en"", ""ur"")"),"A) ہاتھی، B) منتری، C) دونوں پکڑ سکتے ہیں، D) کوئی بھی قبضہ نہیں کر سکتا")</f>
        <v>A) ہاتھی، B) منتری، C) دونوں پکڑ سکتے ہیں، D) کوئی بھی قبضہ نہیں کر سکتا</v>
      </c>
      <c r="M104" s="6" t="str">
        <f>IFERROR(__xludf.DUMMYFUNCTION("GOOGLETRANSLATE(D104, ""en"", ""ur"")"),"ج) دونوں پکڑ سکتے ہیں۔")</f>
        <v>ج) دونوں پکڑ سکتے ہیں۔</v>
      </c>
      <c r="N104" s="6" t="str">
        <f>IFERROR(__xludf.DUMMYFUNCTION("GOOGLETRANSLATE(E104, ""en"", ""ur"")"),"ہاتھی پکڑنے کے لیے a8 سے d8 تک جا سکتا ہے۔ منتری قبضہ کرنے کے لیے e7 سے d8 تک جا سکتا ہے۔ راجہ پر دو ٹکڑوں سے حملہ کیا جاتا ہے۔")</f>
        <v>ہاتھی پکڑنے کے لیے a8 سے d8 تک جا سکتا ہے۔ منتری قبضہ کرنے کے لیے e7 سے d8 تک جا سکتا ہے۔ راجہ پر دو ٹکڑوں سے حملہ کیا جاتا ہے۔</v>
      </c>
    </row>
    <row r="105">
      <c r="A105" s="4">
        <v>104.0</v>
      </c>
      <c r="B105" s="5" t="s">
        <v>919</v>
      </c>
      <c r="C105" s="5" t="s">
        <v>920</v>
      </c>
      <c r="D105" s="5" t="s">
        <v>921</v>
      </c>
      <c r="E105" s="5" t="s">
        <v>922</v>
      </c>
      <c r="J105" s="6" t="str">
        <f>IFERROR(__xludf.DUMMYFUNCTION("GOOGLETRANSLATE(A105, ""en"", ""ur"")"),"104")</f>
        <v>104</v>
      </c>
      <c r="K105" s="6" t="str">
        <f>IFERROR(__xludf.DUMMYFUNCTION("GOOGLETRANSLATE(B105, ""en"", ""ur"")"),"ایک گاجا f1 پر ہے۔ ایک دوستانہ اشوا جی 2 پر ہے۔ ایک دشمن راجہ h3 پر ہے۔ کیا گجا راجہ کو پکڑ سکتا ہے؟")</f>
        <v>ایک گاجا f1 پر ہے۔ ایک دوستانہ اشوا جی 2 پر ہے۔ ایک دشمن راجہ h3 پر ہے۔ کیا گجا راجہ کو پکڑ سکتا ہے؟</v>
      </c>
      <c r="L105" s="6" t="str">
        <f>IFERROR(__xludf.DUMMYFUNCTION("GOOGLETRANSLATE(C105, ""en"", ""ur"")"),"A) نہیں، اس کا راستہ دوستانہ اشوا نے روک دیا ہے، B) ہاں، یہ راجہ کو پکڑنے کے لیے اشوا پر چھلانگ لگا سکتا ہے، C) نہیں، گاجا راجہ کو نہیں پکڑ سکتا، D) صرف اس صورت میں جب اشوا حرکت کرے۔")</f>
        <v>A) نہیں، اس کا راستہ دوستانہ اشوا نے روک دیا ہے، B) ہاں، یہ راجہ کو پکڑنے کے لیے اشوا پر چھلانگ لگا سکتا ہے، C) نہیں، گاجا راجہ کو نہیں پکڑ سکتا، D) صرف اس صورت میں جب اشوا حرکت کرے۔</v>
      </c>
      <c r="M105" s="6" t="str">
        <f>IFERROR(__xludf.DUMMYFUNCTION("GOOGLETRANSLATE(D105, ""en"", ""ur"")"),"ب) جی ہاں، یہ راجہ کو پکڑنے کے لیے اشوا پر چھلانگ لگا سکتا ہے۔")</f>
        <v>ب) جی ہاں، یہ راجہ کو پکڑنے کے لیے اشوا پر چھلانگ لگا سکتا ہے۔</v>
      </c>
      <c r="N105" s="6" t="str">
        <f>IFERROR(__xludf.DUMMYFUNCTION("GOOGLETRANSLATE(E105, ""en"", ""ur"")"),"گاجا کی چھلانگ لگانے کی انوکھی صلاحیت اسے دوستانہ یا دشمن کے ٹکڑوں کو اپنی منزل کے مربع تک چھلانگ لگانے کی اجازت دیتی ہے۔")</f>
        <v>گاجا کی چھلانگ لگانے کی انوکھی صلاحیت اسے دوستانہ یا دشمن کے ٹکڑوں کو اپنی منزل کے مربع تک چھلانگ لگانے کی اجازت دیتی ہے۔</v>
      </c>
    </row>
    <row r="106">
      <c r="A106" s="4">
        <v>105.0</v>
      </c>
      <c r="B106" s="5" t="s">
        <v>923</v>
      </c>
      <c r="C106" s="5" t="s">
        <v>924</v>
      </c>
      <c r="D106" s="5" t="s">
        <v>925</v>
      </c>
      <c r="E106" s="5" t="s">
        <v>926</v>
      </c>
      <c r="J106" s="6" t="str">
        <f>IFERROR(__xludf.DUMMYFUNCTION("GOOGLETRANSLATE(A106, ""en"", ""ur"")"),"105")</f>
        <v>105</v>
      </c>
      <c r="K106" s="6" t="str">
        <f>IFERROR(__xludf.DUMMYFUNCTION("GOOGLETRANSLATE(B106, ""en"", ""ur"")"),"آپ کے پاس صرف ایک راجہ اور ایک پادتی ایک مخالف کے اکیلے راجہ کے خلاف بچا ہے۔ نتیجہ کیا ہے؟")</f>
        <v>آپ کے پاس صرف ایک راجہ اور ایک پادتی ایک مخالف کے اکیلے راجہ کے خلاف بچا ہے۔ نتیجہ کیا ہے؟</v>
      </c>
      <c r="L106" s="6" t="str">
        <f>IFERROR(__xludf.DUMMYFUNCTION("GOOGLETRANSLATE(C106, ""en"", ""ur"")"),"A) آپ جیت جائیں گے، B) یہ قرعہ اندازی ہے کیونکہ ایک پداٹی کو فروغ نہیں دیا جا سکتا، C) یہ قرعہ اندازی ہے جب تک کہ پداٹی کو محفوظ طریقے سے فروغ نہیں دیا جا سکتا، D) آپ ہار جائیں گے۔")</f>
        <v>A) آپ جیت جائیں گے، B) یہ قرعہ اندازی ہے کیونکہ ایک پداٹی کو فروغ نہیں دیا جا سکتا، C) یہ قرعہ اندازی ہے جب تک کہ پداٹی کو محفوظ طریقے سے فروغ نہیں دیا جا سکتا، D) آپ ہار جائیں گے۔</v>
      </c>
      <c r="M106" s="6" t="str">
        <f>IFERROR(__xludf.DUMMYFUNCTION("GOOGLETRANSLATE(D106, ""en"", ""ur"")"),"ج) یہ قرعہ اندازی ہے جب تک کہ پداٹی کو محفوظ طریقے سے فروغ نہیں دیا جا سکتا")</f>
        <v>ج) یہ قرعہ اندازی ہے جب تک کہ پداٹی کو محفوظ طریقے سے فروغ نہیں دیا جا سکتا</v>
      </c>
      <c r="N106" s="6" t="str">
        <f>IFERROR(__xludf.DUMMYFUNCTION("GOOGLETRANSLATE(E106, ""en"", ""ur"")"),"اگر اکیلا راجہ پڈاتی کو فروغ دینے سے روک سکتا ہے، تو کھیل ڈرا ہے۔ اگر پڈتی فروغ دیتا ہے، تو آپ کے پاس ایک راجہ اور منتری ہے، جو کہ قرعہ اندازی بھی ہے۔")</f>
        <v>اگر اکیلا راجہ پڈاتی کو فروغ دینے سے روک سکتا ہے، تو کھیل ڈرا ہے۔ اگر پڈتی فروغ دیتا ہے، تو آپ کے پاس ایک راجہ اور منتری ہے، جو کہ قرعہ اندازی بھی ہے۔</v>
      </c>
    </row>
    <row r="107">
      <c r="A107" s="4">
        <v>106.0</v>
      </c>
      <c r="B107" s="5" t="s">
        <v>927</v>
      </c>
      <c r="C107" s="5" t="s">
        <v>928</v>
      </c>
      <c r="D107" s="5" t="s">
        <v>756</v>
      </c>
      <c r="E107" s="5" t="s">
        <v>929</v>
      </c>
      <c r="J107" s="6" t="str">
        <f>IFERROR(__xludf.DUMMYFUNCTION("GOOGLETRANSLATE(A107, ""en"", ""ur"")"),"106")</f>
        <v>106</v>
      </c>
      <c r="K107" s="6" t="str">
        <f>IFERROR(__xludf.DUMMYFUNCTION("GOOGLETRANSLATE(B107, ""en"", ""ur"")"),"ایک دشمن راجہ a5 پر ہے۔ آپ کا اشوا c4 پر ہے۔ کیا راجہ حملہ کی زد میں ہے؟")</f>
        <v>ایک دشمن راجہ a5 پر ہے۔ آپ کا اشوا c4 پر ہے۔ کیا راجہ حملہ کی زد میں ہے؟</v>
      </c>
      <c r="L107" s="6" t="str">
        <f>IFERROR(__xludf.DUMMYFUNCTION("GOOGLETRANSLATE(C107, ""en"", ""ur"")"),"A) ہاں، B) نہیں، C) صرف اس صورت میں جب راجہ a6 پر چلا جائے، D) یہ ایک تعطل ہے۔")</f>
        <v>A) ہاں، B) نہیں، C) صرف اس صورت میں جب راجہ a6 پر چلا جائے، D) یہ ایک تعطل ہے۔</v>
      </c>
      <c r="M107" s="6" t="str">
        <f>IFERROR(__xludf.DUMMYFUNCTION("GOOGLETRANSLATE(D107, ""en"", ""ur"")"),"A) ہاں")</f>
        <v>A) ہاں</v>
      </c>
      <c r="N107" s="6" t="str">
        <f>IFERROR(__xludf.DUMMYFUNCTION("GOOGLETRANSLATE(E107, ""en"", ""ur"")"),"c4 پر اشوا کی L شکل کی حرکت براہ راست a5 مربع پر حملہ کرتی ہے۔")</f>
        <v>c4 پر اشوا کی L شکل کی حرکت براہ راست a5 مربع پر حملہ کرتی ہے۔</v>
      </c>
    </row>
    <row r="108">
      <c r="A108" s="4">
        <v>107.0</v>
      </c>
      <c r="B108" s="5" t="s">
        <v>930</v>
      </c>
      <c r="C108" s="5" t="s">
        <v>931</v>
      </c>
      <c r="D108" s="5" t="s">
        <v>932</v>
      </c>
      <c r="E108" s="5" t="s">
        <v>933</v>
      </c>
      <c r="J108" s="6" t="str">
        <f>IFERROR(__xludf.DUMMYFUNCTION("GOOGLETRANSLATE(A108, ""en"", ""ur"")"),"107")</f>
        <v>107</v>
      </c>
      <c r="K108" s="6" t="str">
        <f>IFERROR(__xludf.DUMMYFUNCTION("GOOGLETRANSLATE(B108, ""en"", ""ur"")"),"آپ کا راجہ c1 پر ہے، اور مخالف کے پاس h1 پر ہاتھی اور d3 پر اشوا ہے۔ بنیادی خطرہ کیا ہے؟")</f>
        <v>آپ کا راجہ c1 پر ہے، اور مخالف کے پاس h1 پر ہاتھی اور d3 پر اشوا ہے۔ بنیادی خطرہ کیا ہے؟</v>
      </c>
      <c r="L108" s="6" t="str">
        <f>IFERROR(__xludf.DUMMYFUNCTION("GOOGLETRANSLATE(C108, ""en"", ""ur"")"),"A) اشوا راجہ پر حملہ کر کے b2 یا e1 کی طرف جا سکتا ہے، B) ہاتھی راجہ کو پکڑنے کے لیے c1 کی طرف جا سکتا ہے، C) کوئی خطرہ نہیں ہے، D) مخالف پادتی کو فروغ دے گا۔")</f>
        <v>A) اشوا راجہ پر حملہ کر کے b2 یا e1 کی طرف جا سکتا ہے، B) ہاتھی راجہ کو پکڑنے کے لیے c1 کی طرف جا سکتا ہے، C) کوئی خطرہ نہیں ہے، D) مخالف پادتی کو فروغ دے گا۔</v>
      </c>
      <c r="M108" s="6" t="str">
        <f>IFERROR(__xludf.DUMMYFUNCTION("GOOGLETRANSLATE(D108, ""en"", ""ur"")"),"ب) ہاتھی راجہ کو پکڑنے کے لیے c1 میں جا سکتا ہے۔")</f>
        <v>ب) ہاتھی راجہ کو پکڑنے کے لیے c1 میں جا سکتا ہے۔</v>
      </c>
      <c r="N108" s="6" t="str">
        <f>IFERROR(__xludf.DUMMYFUNCTION("GOOGLETRANSLATE(E108, ""en"", ""ur"")"),"یہ فرض کرتے ہوئے کہ راستہ صاف ہے، h1 پر ہاتھی c1 پر راجہ کو پکڑنے کے لیے رینک کے ساتھ آگے بڑھ سکتا ہے۔ اشوا b2 اور b4 کے لیے بھی خطرہ ہے۔")</f>
        <v>یہ فرض کرتے ہوئے کہ راستہ صاف ہے، h1 پر ہاتھی c1 پر راجہ کو پکڑنے کے لیے رینک کے ساتھ آگے بڑھ سکتا ہے۔ اشوا b2 اور b4 کے لیے بھی خطرہ ہے۔</v>
      </c>
    </row>
    <row r="109">
      <c r="A109" s="4">
        <v>108.0</v>
      </c>
      <c r="B109" s="5" t="s">
        <v>934</v>
      </c>
      <c r="C109" s="5" t="s">
        <v>935</v>
      </c>
      <c r="D109" s="5" t="s">
        <v>936</v>
      </c>
      <c r="E109" s="5" t="s">
        <v>937</v>
      </c>
      <c r="J109" s="6" t="str">
        <f>IFERROR(__xludf.DUMMYFUNCTION("GOOGLETRANSLATE(A109, ""en"", ""ur"")"),"108")</f>
        <v>108</v>
      </c>
      <c r="K109" s="6" t="str">
        <f>IFERROR(__xludf.DUMMYFUNCTION("GOOGLETRANSLATE(B109, ""en"", ""ur"")"),"ایک پداٹی جی 2 پر ہے۔ f3 اور h3 پر دشمن کے ٹکڑے ہیں۔ پاداٹی کیا کر سکتا ہے؟")</f>
        <v>ایک پداٹی جی 2 پر ہے۔ f3 اور h3 پر دشمن کے ٹکڑے ہیں۔ پاداٹی کیا کر سکتا ہے؟</v>
      </c>
      <c r="L109" s="6" t="str">
        <f>IFERROR(__xludf.DUMMYFUNCTION("GOOGLETRANSLATE(C109, ""en"", ""ur"")"),"A) g3 پر جائیں، B) f3 پر کیپچر کریں، C) h3 پر کیپچر کریں، D) مندرجہ بالا تمام حرکتیں ممکن ہیں")</f>
        <v>A) g3 پر جائیں، B) f3 پر کیپچر کریں، C) h3 پر کیپچر کریں، D) مندرجہ بالا تمام حرکتیں ممکن ہیں</v>
      </c>
      <c r="M109" s="6" t="str">
        <f>IFERROR(__xludf.DUMMYFUNCTION("GOOGLETRANSLATE(D109, ""en"", ""ur"")"),"D) مندرجہ بالا تمام ممکنہ حرکتیں ہیں۔")</f>
        <v>D) مندرجہ بالا تمام ممکنہ حرکتیں ہیں۔</v>
      </c>
      <c r="N109" s="6" t="str">
        <f>IFERROR(__xludf.DUMMYFUNCTION("GOOGLETRANSLATE(E109, ""en"", ""ur"")"),"پڈاٹی کے پاس یہ اختیار ہے کہ وہ ایک مربع کو آگے بڑھائے یا اگر دستیاب ہو تو دونوں طرف ترچھی کیپچر کرے۔")</f>
        <v>پڈاٹی کے پاس یہ اختیار ہے کہ وہ ایک مربع کو آگے بڑھائے یا اگر دستیاب ہو تو دونوں طرف ترچھی کیپچر کرے۔</v>
      </c>
    </row>
    <row r="110">
      <c r="A110" s="4">
        <v>109.0</v>
      </c>
      <c r="B110" s="5" t="s">
        <v>938</v>
      </c>
      <c r="C110" s="5" t="s">
        <v>939</v>
      </c>
      <c r="D110" s="5" t="s">
        <v>940</v>
      </c>
      <c r="E110" s="5" t="s">
        <v>941</v>
      </c>
      <c r="J110" s="6" t="str">
        <f>IFERROR(__xludf.DUMMYFUNCTION("GOOGLETRANSLATE(A110, ""en"", ""ur"")"),"109")</f>
        <v>109</v>
      </c>
      <c r="K110" s="6" t="str">
        <f>IFERROR(__xludf.DUMMYFUNCTION("GOOGLETRANSLATE(B110, ""en"", ""ur"")"),"ایک کھلاڑی کا راجہ d1 پر ہوتا ہے۔ ایک دشمن گاجا b3 پر ہے۔ کیا راجہ حملہ کی زد میں ہے؟")</f>
        <v>ایک کھلاڑی کا راجہ d1 پر ہوتا ہے۔ ایک دشمن گاجا b3 پر ہے۔ کیا راجہ حملہ کی زد میں ہے؟</v>
      </c>
      <c r="L110" s="6" t="str">
        <f>IFERROR(__xludf.DUMMYFUNCTION("GOOGLETRANSLATE(C110, ""en"", ""ur"")"),"A) ہاں، B) نہیں، C) صرف اس صورت میں جب گاجا ایک خاص ٹکڑا ہو، D) یہ ایک تعطل ہے۔")</f>
        <v>A) ہاں، B) نہیں، C) صرف اس صورت میں جب گاجا ایک خاص ٹکڑا ہو، D) یہ ایک تعطل ہے۔</v>
      </c>
      <c r="M110" s="6" t="str">
        <f>IFERROR(__xludf.DUMMYFUNCTION("GOOGLETRANSLATE(D110, ""en"", ""ur"")"),"ب) نہیں")</f>
        <v>ب) نہیں</v>
      </c>
      <c r="N110" s="6" t="str">
        <f>IFERROR(__xludf.DUMMYFUNCTION("GOOGLETRANSLATE(E110, ""en"", ""ur"")"),"b3 سے، ایک گاجا d1، d5، a1، یا a5 تک چھلانگ لگا سکتا ہے۔ تصحیح: یہ ایک ناقص منظر نامہ ہے۔ گاجا d1 پر حملہ کرتا ہے۔ آئیے اسے ٹھیک کرتے ہیں۔ دشمن گاجا c3 پر ہے۔ A) جی ہاں، e1 پر چھلانگ لگا کر۔")</f>
        <v>b3 سے، ایک گاجا d1، d5، a1، یا a5 تک چھلانگ لگا سکتا ہے۔ تصحیح: یہ ایک ناقص منظر نامہ ہے۔ گاجا d1 پر حملہ کرتا ہے۔ آئیے اسے ٹھیک کرتے ہیں۔ دشمن گاجا c3 پر ہے۔ A) جی ہاں، e1 پر چھلانگ لگا کر۔</v>
      </c>
    </row>
    <row r="111">
      <c r="A111" s="4">
        <v>110.0</v>
      </c>
      <c r="B111" s="5" t="s">
        <v>942</v>
      </c>
      <c r="C111" s="5" t="s">
        <v>943</v>
      </c>
      <c r="D111" s="5" t="s">
        <v>944</v>
      </c>
      <c r="E111" s="5" t="s">
        <v>945</v>
      </c>
      <c r="J111" s="6" t="str">
        <f>IFERROR(__xludf.DUMMYFUNCTION("GOOGLETRANSLATE(A111, ""en"", ""ur"")"),"110")</f>
        <v>110</v>
      </c>
      <c r="K111" s="6" t="str">
        <f>IFERROR(__xludf.DUMMYFUNCTION("GOOGLETRANSLATE(B111, ""en"", ""ur"")"),"چتورنگا میں کوئی کھلاڑی حریف کے ٹکڑے پر قبضہ نہ کرنے کا انتخاب کیوں کر سکتا ہے، چاہے وہ کر سکے؟")</f>
        <v>چتورنگا میں کوئی کھلاڑی حریف کے ٹکڑے پر قبضہ نہ کرنے کا انتخاب کیوں کر سکتا ہے، چاہے وہ کر سکے؟</v>
      </c>
      <c r="L111" s="6" t="str">
        <f>IFERROR(__xludf.DUMMYFUNCTION("GOOGLETRANSLATE(C111, ""en"", ""ur"")"),"A) یہ اصولوں کے خلاف ہے، B) اس ٹکڑے کو پکڑنے سے حریف کی ہاتھی کے لیے خطرناک لکیر کھل سکتی ہے، C) اسے ناقص اسپورٹس مین شپ سمجھا جاتا ہے، D) تمام ٹکڑوں کی یکساں قدر ہوتی ہے۔")</f>
        <v>A) یہ اصولوں کے خلاف ہے، B) اس ٹکڑے کو پکڑنے سے حریف کی ہاتھی کے لیے خطرناک لکیر کھل سکتی ہے، C) اسے ناقص اسپورٹس مین شپ سمجھا جاتا ہے، D) تمام ٹکڑوں کی یکساں قدر ہوتی ہے۔</v>
      </c>
      <c r="M111" s="6" t="str">
        <f>IFERROR(__xludf.DUMMYFUNCTION("GOOGLETRANSLATE(D111, ""en"", ""ur"")"),"ب) ٹکڑے کو پکڑنے سے مخالف کے ہاتھی کے لیے خطرناک لکیر کھل سکتی ہے۔")</f>
        <v>ب) ٹکڑے کو پکڑنے سے مخالف کے ہاتھی کے لیے خطرناک لکیر کھل سکتی ہے۔</v>
      </c>
      <c r="N111" s="6" t="str">
        <f>IFERROR(__xludf.DUMMYFUNCTION("GOOGLETRANSLATE(E111, ""en"", ""ur"")"),"جیسا کہ جدید شطرنج میں ہے، ایک کھلاڑی کو ہمیشہ گرفتاری کے پوزیشنی نتائج پر غور کرنا چاہیے، نہ کہ صرف مادی فائدہ۔")</f>
        <v>جیسا کہ جدید شطرنج میں ہے، ایک کھلاڑی کو ہمیشہ گرفتاری کے پوزیشنی نتائج پر غور کرنا چاہیے، نہ کہ صرف مادی فائدہ۔</v>
      </c>
    </row>
    <row r="112">
      <c r="A112" s="4">
        <v>111.0</v>
      </c>
      <c r="B112" s="5" t="s">
        <v>946</v>
      </c>
      <c r="C112" s="5" t="s">
        <v>947</v>
      </c>
      <c r="D112" s="5" t="s">
        <v>948</v>
      </c>
      <c r="E112" s="5" t="s">
        <v>949</v>
      </c>
      <c r="J112" s="6" t="str">
        <f>IFERROR(__xludf.DUMMYFUNCTION("GOOGLETRANSLATE(A112, ""en"", ""ur"")"),"111")</f>
        <v>111</v>
      </c>
      <c r="K112" s="6" t="str">
        <f>IFERROR(__xludf.DUMMYFUNCTION("GOOGLETRANSLATE(B112, ""en"", ""ur"")"),"چار کھلاڑیوں کے کھیل میں، آپ کا اپنے مخالف کھلاڑی کے ساتھ اتحاد ہوتا ہے۔ آپ کے بائیں طرف کا کھلاڑی آپ کے اتحادی پر حملہ کرتا ہے۔ آپ کا بہترین طریقہ کار کیا ہے؟")</f>
        <v>چار کھلاڑیوں کے کھیل میں، آپ کا اپنے مخالف کھلاڑی کے ساتھ اتحاد ہوتا ہے۔ آپ کے بائیں طرف کا کھلاڑی آپ کے اتحادی پر حملہ کرتا ہے۔ آپ کا بہترین طریقہ کار کیا ہے؟</v>
      </c>
      <c r="L112" s="6" t="str">
        <f>IFERROR(__xludf.DUMMYFUNCTION("GOOGLETRANSLATE(C112, ""en"", ""ur"")"),"A) کچھ نہ کرنا، B) اپنے بائیں جانب والے کھلاڑی پر حملہ کرنے کے لیے اپنے ٹکڑوں کا استعمال کرنا، C) استعفیٰ دینا، D) اتحاد کو تبدیل کرنا")</f>
        <v>A) کچھ نہ کرنا، B) اپنے بائیں جانب والے کھلاڑی پر حملہ کرنے کے لیے اپنے ٹکڑوں کا استعمال کرنا، C) استعفیٰ دینا، D) اتحاد کو تبدیل کرنا</v>
      </c>
      <c r="M112" s="6" t="str">
        <f>IFERROR(__xludf.DUMMYFUNCTION("GOOGLETRANSLATE(D112, ""en"", ""ur"")"),"ب) اپنے بائیں جانب کھلاڑی پر حملہ کرنے کے لیے اپنے ٹکڑوں کا استعمال کرنا")</f>
        <v>ب) اپنے بائیں جانب کھلاڑی پر حملہ کرنے کے لیے اپنے ٹکڑوں کا استعمال کرنا</v>
      </c>
      <c r="N112" s="6" t="str">
        <f>IFERROR(__xludf.DUMMYFUNCTION("GOOGLETRANSLATE(E112, ""en"", ""ur"")"),"الائنس ویریئنٹ میں، آپ کو دوسرے دو کھلاڑیوں کو شکست دینے کے لیے اپنے ساتھی کے ساتھ ہم آہنگ ہونا چاہیے۔")</f>
        <v>الائنس ویریئنٹ میں، آپ کو دوسرے دو کھلاڑیوں کو شکست دینے کے لیے اپنے ساتھی کے ساتھ ہم آہنگ ہونا چاہیے۔</v>
      </c>
    </row>
    <row r="113">
      <c r="A113" s="4">
        <v>112.0</v>
      </c>
      <c r="B113" s="5" t="s">
        <v>950</v>
      </c>
      <c r="C113" s="5" t="s">
        <v>951</v>
      </c>
      <c r="D113" s="5" t="s">
        <v>952</v>
      </c>
      <c r="E113" s="5" t="s">
        <v>953</v>
      </c>
      <c r="J113" s="6" t="str">
        <f>IFERROR(__xludf.DUMMYFUNCTION("GOOGLETRANSLATE(A113, ""en"", ""ur"")"),"112")</f>
        <v>112</v>
      </c>
      <c r="K113" s="6" t="str">
        <f>IFERROR(__xludf.DUMMYFUNCTION("GOOGLETRANSLATE(B113, ""en"", ""ur"")"),"آپ کے مخالف کا جی 8 پر راجہ اور ایف 7 پر پڈاتی ہے۔ آپ کے پاس a8 پر ہاتھی ہے۔ کیا حال ہے؟")</f>
        <v>آپ کے مخالف کا جی 8 پر راجہ اور ایف 7 پر پڈاتی ہے۔ آپ کے پاس a8 پر ہاتھی ہے۔ کیا حال ہے؟</v>
      </c>
      <c r="L113" s="6" t="str">
        <f>IFERROR(__xludf.DUMMYFUNCTION("GOOGLETRANSLATE(C113, ""en"", ""ur"")"),"A) راجہ محفوظ ہے، B) ہاتھی نے پڈتی کو راجہ کو لگا دیا ہے، C) راجہ چیک میں ہے، D) ہاتھی پھنس گیا ہے")</f>
        <v>A) راجہ محفوظ ہے، B) ہاتھی نے پڈتی کو راجہ کو لگا دیا ہے، C) راجہ چیک میں ہے، D) ہاتھی پھنس گیا ہے</v>
      </c>
      <c r="M113" s="6" t="str">
        <f>IFERROR(__xludf.DUMMYFUNCTION("GOOGLETRANSLATE(D113, ""en"", ""ur"")"),"ب) ہاتھی نے پدتی کو راجہ کو چسپاں کیا ہے۔")</f>
        <v>ب) ہاتھی نے پدتی کو راجہ کو چسپاں کیا ہے۔</v>
      </c>
      <c r="N113" s="6" t="str">
        <f>IFERROR(__xludf.DUMMYFUNCTION("GOOGLETRANSLATE(E113, ""en"", ""ur"")"),"ہاتھی نے پڈاتی پر f7 پر حملہ کیا۔ اگر پڈاتی حرکت کرتا ہے تو ہاتھی پھر جی 8 پر راجہ پر حملہ آور ہو گا۔ یہ ایک کلاسک پن ہے۔")</f>
        <v>ہاتھی نے پڈاتی پر f7 پر حملہ کیا۔ اگر پڈاتی حرکت کرتا ہے تو ہاتھی پھر جی 8 پر راجہ پر حملہ آور ہو گا۔ یہ ایک کلاسک پن ہے۔</v>
      </c>
    </row>
    <row r="114">
      <c r="A114" s="4">
        <v>113.0</v>
      </c>
      <c r="B114" s="5" t="s">
        <v>954</v>
      </c>
      <c r="C114" s="5" t="s">
        <v>955</v>
      </c>
      <c r="D114" s="5" t="s">
        <v>956</v>
      </c>
      <c r="E114" s="5" t="s">
        <v>957</v>
      </c>
      <c r="J114" s="6" t="str">
        <f>IFERROR(__xludf.DUMMYFUNCTION("GOOGLETRANSLATE(A114, ""en"", ""ur"")"),"113")</f>
        <v>113</v>
      </c>
      <c r="K114" s="6" t="str">
        <f>IFERROR(__xludf.DUMMYFUNCTION("GOOGLETRANSLATE(B114, ""en"", ""ur"")"),"اشواس اور گجوں کی کل تعداد کتنی ہے جس سے ہر کھلاڑی شروع ہوتا ہے؟")</f>
        <v>اشواس اور گجوں کی کل تعداد کتنی ہے جس سے ہر کھلاڑی شروع ہوتا ہے؟</v>
      </c>
      <c r="L114" s="6" t="str">
        <f>IFERROR(__xludf.DUMMYFUNCTION("GOOGLETRANSLATE(C114, ""en"", ""ur"")"),"A) ہر ایک میں سے ایک، B) ہر ایک میں سے دو، C) دو اشوا اور ایک گجا، D) ایک اشوا اور دو گجا")</f>
        <v>A) ہر ایک میں سے ایک، B) ہر ایک میں سے دو، C) دو اشوا اور ایک گجا، D) ایک اشوا اور دو گجا</v>
      </c>
      <c r="M114" s="6" t="str">
        <f>IFERROR(__xludf.DUMMYFUNCTION("GOOGLETRANSLATE(D114, ""en"", ""ur"")"),"ب) ہر ایک میں سے دو")</f>
        <v>ب) ہر ایک میں سے دو</v>
      </c>
      <c r="N114" s="6" t="str">
        <f>IFERROR(__xludf.DUMMYFUNCTION("GOOGLETRANSLATE(E114, ""en"", ""ur"")"),"ہر فوج متوازی تھی، جس میں دو گھوڑے (اشواس) اور دو ہاتھی (گجا) تھے۔")</f>
        <v>ہر فوج متوازی تھی، جس میں دو گھوڑے (اشواس) اور دو ہاتھی (گجا) تھے۔</v>
      </c>
    </row>
    <row r="115">
      <c r="A115" s="4">
        <v>114.0</v>
      </c>
      <c r="B115" s="5" t="s">
        <v>958</v>
      </c>
      <c r="C115" s="5" t="s">
        <v>959</v>
      </c>
      <c r="D115" s="5" t="s">
        <v>960</v>
      </c>
      <c r="E115" s="5" t="s">
        <v>961</v>
      </c>
      <c r="J115" s="6" t="str">
        <f>IFERROR(__xludf.DUMMYFUNCTION("GOOGLETRANSLATE(A115, ""en"", ""ur"")"),"114")</f>
        <v>114</v>
      </c>
      <c r="K115" s="6" t="str">
        <f>IFERROR(__xludf.DUMMYFUNCTION("GOOGLETRANSLATE(B115, ""en"", ""ur"")"),"آپ کی ہاتھی f1 پر ہے، اور آپ کا راجہ g1 پر ہے۔ ایک دشمن اشوا h3 پر ہے۔ کیا اشوا آپ کے ہاتھی کو پکڑ سکتے ہیں؟")</f>
        <v>آپ کی ہاتھی f1 پر ہے، اور آپ کا راجہ g1 پر ہے۔ ایک دشمن اشوا h3 پر ہے۔ کیا اشوا آپ کے ہاتھی کو پکڑ سکتے ہیں؟</v>
      </c>
      <c r="L115" s="6" t="str">
        <f>IFERROR(__xludf.DUMMYFUNCTION("GOOGLETRANSLATE(C115, ""en"", ""ur"")"),"A) نہیں، یہ صرف راجہ کو پکڑ سکتا ہے، B) نہیں، یہ ایک غیر قانونی اقدام ہے، C) جی ہاں، f1 میں منتقل ہو کر، D) ہاں، f2 میں جا کر")</f>
        <v>A) نہیں، یہ صرف راجہ کو پکڑ سکتا ہے، B) نہیں، یہ ایک غیر قانونی اقدام ہے، C) جی ہاں، f1 میں منتقل ہو کر، D) ہاں، f2 میں جا کر</v>
      </c>
      <c r="M115" s="6" t="str">
        <f>IFERROR(__xludf.DUMMYFUNCTION("GOOGLETRANSLATE(D115, ""en"", ""ur"")"),"C) جی ہاں، f1 پر جا کر")</f>
        <v>C) جی ہاں، f1 پر جا کر</v>
      </c>
      <c r="N115" s="6" t="str">
        <f>IFERROR(__xludf.DUMMYFUNCTION("GOOGLETRANSLATE(E115, ""en"", ""ur"")"),"h3 سے f2 کی طرف جانا ایک قانونی اشوا چھلانگ ہے، جو f2 پر ٹکڑے کو پکڑ لے گی۔ تصحیح: یہ ایک ناقص منظر نامہ ہے۔ h3 پر ایک اشوا f2 یا g1 پر کیپچر کر سکتا ہے۔ ایک بہتر سوال کی ضرورت ہے۔ g3 پر ایک اشوا ہاتھی کو f1 پر پکڑ سکتا ہے۔")</f>
        <v>h3 سے f2 کی طرف جانا ایک قانونی اشوا چھلانگ ہے، جو f2 پر ٹکڑے کو پکڑ لے گی۔ تصحیح: یہ ایک ناقص منظر نامہ ہے۔ h3 پر ایک اشوا f2 یا g1 پر کیپچر کر سکتا ہے۔ ایک بہتر سوال کی ضرورت ہے۔ g3 پر ایک اشوا ہاتھی کو f1 پر پکڑ سکتا ہے۔</v>
      </c>
    </row>
    <row r="116">
      <c r="A116" s="4">
        <v>115.0</v>
      </c>
      <c r="B116" s="5" t="s">
        <v>962</v>
      </c>
      <c r="C116" s="5" t="s">
        <v>963</v>
      </c>
      <c r="D116" s="5" t="s">
        <v>964</v>
      </c>
      <c r="E116" s="5" t="s">
        <v>965</v>
      </c>
      <c r="J116" s="6" t="str">
        <f>IFERROR(__xludf.DUMMYFUNCTION("GOOGLETRANSLATE(A116, ""en"", ""ur"")"),"115")</f>
        <v>115</v>
      </c>
      <c r="K116" s="6" t="str">
        <f>IFERROR(__xludf.DUMMYFUNCTION("GOOGLETRANSLATE(B116, ""en"", ""ur"")"),"چتورنگا کو حکمت عملی کا کھیل سمجھا جانے کی بنیادی وجہ کیا ہے؟")</f>
        <v>چتورنگا کو حکمت عملی کا کھیل سمجھا جانے کی بنیادی وجہ کیا ہے؟</v>
      </c>
      <c r="L116" s="6" t="str">
        <f>IFERROR(__xludf.DUMMYFUNCTION("GOOGLETRANSLATE(C116, ""en"", ""ur"")"),"A) یہ ایک بورڈ استعمال کرتا ہے، B) اس میں قسمت شامل ہوتی ہے، C) کھلاڑیوں کو آگے کی منصوبہ بندی کرنی چاہیے اور جیتنے کے لیے اپنے حریف کی چالوں کا اندازہ لگانا چاہیے، D) اس میں پیچیدہ ٹکڑے ہیں")</f>
        <v>A) یہ ایک بورڈ استعمال کرتا ہے، B) اس میں قسمت شامل ہوتی ہے، C) کھلاڑیوں کو آگے کی منصوبہ بندی کرنی چاہیے اور جیتنے کے لیے اپنے حریف کی چالوں کا اندازہ لگانا چاہیے، D) اس میں پیچیدہ ٹکڑے ہیں</v>
      </c>
      <c r="M116" s="6" t="str">
        <f>IFERROR(__xludf.DUMMYFUNCTION("GOOGLETRANSLATE(D116, ""en"", ""ur"")"),"ج) کھلاڑیوں کو آگے کی منصوبہ بندی کرنی چاہیے اور جیتنے کے لیے اپنے مخالف کی چالوں کا اندازہ لگانا چاہیے۔")</f>
        <v>ج) کھلاڑیوں کو آگے کی منصوبہ بندی کرنی چاہیے اور جیتنے کے لیے اپنے مخالف کی چالوں کا اندازہ لگانا چاہیے۔</v>
      </c>
      <c r="N116" s="6" t="str">
        <f>IFERROR(__xludf.DUMMYFUNCTION("GOOGLETRANSLATE(E116, ""en"", ""ur"")"),"فتح کا انحصار ہنر مندانہ منصوبہ بندی اور حکمت عملی پر عمل درآمد پر ہے، نہ کہ بے ترتیب موقع پر (دو کھلاڑیوں کے ورژن میں)۔")</f>
        <v>فتح کا انحصار ہنر مندانہ منصوبہ بندی اور حکمت عملی پر عمل درآمد پر ہے، نہ کہ بے ترتیب موقع پر (دو کھلاڑیوں کے ورژن میں)۔</v>
      </c>
    </row>
    <row r="117">
      <c r="A117" s="4">
        <v>116.0</v>
      </c>
      <c r="B117" s="5" t="s">
        <v>966</v>
      </c>
      <c r="C117" s="5" t="s">
        <v>967</v>
      </c>
      <c r="D117" s="5" t="s">
        <v>968</v>
      </c>
      <c r="E117" s="5" t="s">
        <v>969</v>
      </c>
      <c r="J117" s="6" t="str">
        <f>IFERROR(__xludf.DUMMYFUNCTION("GOOGLETRANSLATE(A117, ""en"", ""ur"")"),"116")</f>
        <v>116</v>
      </c>
      <c r="K117" s="6" t="str">
        <f>IFERROR(__xludf.DUMMYFUNCTION("GOOGLETRANSLATE(B117, ""en"", ""ur"")"),"ایک کھلاڑی کے پاس صرف ایک راجہ اور دو گاجے رہ جاتے ہیں، دونوں ہی تاریک چوکوں پر۔ یہ ایک بڑا نقصان کیوں ہے؟")</f>
        <v>ایک کھلاڑی کے پاس صرف ایک راجہ اور دو گاجے رہ جاتے ہیں، دونوں ہی تاریک چوکوں پر۔ یہ ایک بڑا نقصان کیوں ہے؟</v>
      </c>
      <c r="L117" s="6" t="str">
        <f>IFERROR(__xludf.DUMMYFUNCTION("GOOGLETRANSLATE(C117, ""en"", ""ur"")"),"A) یہ کوئی نقصان نہیں ہے، B) دو گاج ایک دوسرے کے راستے میں آجائیں گے، C) روشنی کے چوکوں پر ان کا بالکل کنٹرول نہیں ہے، D) راجہ ہلکے چوک میں نہیں جا سکتا۔")</f>
        <v>A) یہ کوئی نقصان نہیں ہے، B) دو گاج ایک دوسرے کے راستے میں آجائیں گے، C) روشنی کے چوکوں پر ان کا بالکل کنٹرول نہیں ہے، D) راجہ ہلکے چوک میں نہیں جا سکتا۔</v>
      </c>
      <c r="M117" s="6" t="str">
        <f>IFERROR(__xludf.DUMMYFUNCTION("GOOGLETRANSLATE(D117, ""en"", ""ur"")"),"ج) ان کا روشنی کے چوکوں پر قطعی طور پر کوئی کنٹرول نہیں ہے۔")</f>
        <v>ج) ان کا روشنی کے چوکوں پر قطعی طور پر کوئی کنٹرول نہیں ہے۔</v>
      </c>
      <c r="N117" s="6" t="str">
        <f>IFERROR(__xludf.DUMMYFUNCTION("GOOGLETRANSLATE(E117, ""en"", ""ur"")"),"دونوں گاجوں کا ایک ہی رنگ پر ہونا ایک بہت بڑی پوزیشن کی کمزوری ہے، کیونکہ آدھا تختہ ترچھے حملوں سے مکمل طور پر غیر محفوظ ہے۔")</f>
        <v>دونوں گاجوں کا ایک ہی رنگ پر ہونا ایک بہت بڑی پوزیشن کی کمزوری ہے، کیونکہ آدھا تختہ ترچھے حملوں سے مکمل طور پر غیر محفوظ ہے۔</v>
      </c>
    </row>
    <row r="118">
      <c r="A118" s="4">
        <v>117.0</v>
      </c>
      <c r="B118" s="5" t="s">
        <v>970</v>
      </c>
      <c r="C118" s="5" t="s">
        <v>971</v>
      </c>
      <c r="D118" s="5" t="s">
        <v>972</v>
      </c>
      <c r="E118" s="5" t="s">
        <v>973</v>
      </c>
      <c r="J118" s="6" t="str">
        <f>IFERROR(__xludf.DUMMYFUNCTION("GOOGLETRANSLATE(A118, ""en"", ""ur"")"),"117")</f>
        <v>117</v>
      </c>
      <c r="K118" s="6" t="str">
        <f>IFERROR(__xludf.DUMMYFUNCTION("GOOGLETRANSLATE(B118, ""en"", ""ur"")"),"ہاتھی طاقتور ہے لیکن اس کی بنیادی کمزوری کیا ہے؟")</f>
        <v>ہاتھی طاقتور ہے لیکن اس کی بنیادی کمزوری کیا ہے؟</v>
      </c>
      <c r="L118" s="6" t="str">
        <f>IFERROR(__xludf.DUMMYFUNCTION("GOOGLETRANSLATE(C118, ""en"", ""ur"")"),"A) یہ سب سے سست ٹکڑا ہے، B) اسے دوسرے ٹکڑوں سے روکا جا سکتا ہے، C) یہ پیچھے کی طرف نہیں جا سکتا، D) اسے Padatis کے ذریعے آسانی سے پکڑ لیا جاتا ہے۔")</f>
        <v>A) یہ سب سے سست ٹکڑا ہے، B) اسے دوسرے ٹکڑوں سے روکا جا سکتا ہے، C) یہ پیچھے کی طرف نہیں جا سکتا، D) اسے Padatis کے ذریعے آسانی سے پکڑ لیا جاتا ہے۔</v>
      </c>
      <c r="M118" s="6" t="str">
        <f>IFERROR(__xludf.DUMMYFUNCTION("GOOGLETRANSLATE(D118, ""en"", ""ur"")"),"ب) یہ دوسرے ٹکڑوں کی طرف سے بلاک کیا جا سکتا ہے")</f>
        <v>ب) یہ دوسرے ٹکڑوں کی طرف سے بلاک کیا جا سکتا ہے</v>
      </c>
      <c r="N118" s="6" t="str">
        <f>IFERROR(__xludf.DUMMYFUNCTION("GOOGLETRANSLATE(E118, ""en"", ""ur"")"),"اشوا اور گجا کے برعکس، ہاتھی چھلانگ نہیں لگا سکتا۔ اگر اس کا راستہ روکا جائے تو اس کی طاقت بالکل بے اثر ہو جاتی ہے۔")</f>
        <v>اشوا اور گجا کے برعکس، ہاتھی چھلانگ نہیں لگا سکتا۔ اگر اس کا راستہ روکا جائے تو اس کی طاقت بالکل بے اثر ہو جاتی ہے۔</v>
      </c>
    </row>
    <row r="119">
      <c r="A119" s="4">
        <v>118.0</v>
      </c>
      <c r="B119" s="5" t="s">
        <v>974</v>
      </c>
      <c r="C119" s="5" t="s">
        <v>975</v>
      </c>
      <c r="D119" s="5" t="s">
        <v>976</v>
      </c>
      <c r="E119" s="5" t="s">
        <v>977</v>
      </c>
      <c r="J119" s="6" t="str">
        <f>IFERROR(__xludf.DUMMYFUNCTION("GOOGLETRANSLATE(A119, ""en"", ""ur"")"),"118")</f>
        <v>118</v>
      </c>
      <c r="K119" s="6" t="str">
        <f>IFERROR(__xludf.DUMMYFUNCTION("GOOGLETRANSLATE(B119, ""en"", ""ur"")"),"آپ کی پدتی c7 پر ہے۔ مخالف کا راجہ b8 پر ہے، اور ان کی منتری d8 پر ہے۔ آپ کی پداٹی کس ٹکڑے کو فروغ دینے کے لیے پکڑ سکتی ہے؟")</f>
        <v>آپ کی پدتی c7 پر ہے۔ مخالف کا راجہ b8 پر ہے، اور ان کی منتری d8 پر ہے۔ آپ کی پداٹی کس ٹکڑے کو فروغ دینے کے لیے پکڑ سکتی ہے؟</v>
      </c>
      <c r="L119" s="6" t="str">
        <f>IFERROR(__xludf.DUMMYFUNCTION("GOOGLETRANSLATE(C119, ""en"", ""ur"")"),"A) راجہ، B) منتری، C) دونوں، D) نہ ہی")</f>
        <v>A) راجہ، B) منتری، C) دونوں، D) نہ ہی</v>
      </c>
      <c r="M119" s="6" t="str">
        <f>IFERROR(__xludf.DUMMYFUNCTION("GOOGLETRANSLATE(D119, ""en"", ""ur"")"),"ج) دونوں")</f>
        <v>ج) دونوں</v>
      </c>
      <c r="N119" s="6" t="str">
        <f>IFERROR(__xludf.DUMMYFUNCTION("GOOGLETRANSLATE(E119, ""en"", ""ur"")"),"c7 پر Padati b8 یا d8 پر ایک اخترن کیپچر کر سکتا ہے۔ دونوں میں سے کسی ایک کو کیپچر کرنے کے نتیجے میں ترقی ہوگی۔")</f>
        <v>c7 پر Padati b8 یا d8 پر ایک اخترن کیپچر کر سکتا ہے۔ دونوں میں سے کسی ایک کو کیپچر کرنے کے نتیجے میں ترقی ہوگی۔</v>
      </c>
    </row>
    <row r="120">
      <c r="A120" s="4">
        <v>119.0</v>
      </c>
      <c r="B120" s="5" t="s">
        <v>978</v>
      </c>
      <c r="C120" s="5" t="s">
        <v>979</v>
      </c>
      <c r="D120" s="5" t="s">
        <v>980</v>
      </c>
      <c r="E120" s="5" t="s">
        <v>981</v>
      </c>
      <c r="J120" s="6" t="str">
        <f>IFERROR(__xludf.DUMMYFUNCTION("GOOGLETRANSLATE(A120, ""en"", ""ur"")"),"119")</f>
        <v>119</v>
      </c>
      <c r="K120" s="6" t="str">
        <f>IFERROR(__xludf.DUMMYFUNCTION("GOOGLETRANSLATE(B120, ""en"", ""ur"")"),"فور پلیئر ڈائس گیم میں، جب بورڈ پر بہت ہجوم ہوتا ہے تو سب سے زیادہ طاقتور ٹکڑا کیا ہوتا ہے؟")</f>
        <v>فور پلیئر ڈائس گیم میں، جب بورڈ پر بہت ہجوم ہوتا ہے تو سب سے زیادہ طاقتور ٹکڑا کیا ہوتا ہے؟</v>
      </c>
      <c r="L120" s="6" t="str">
        <f>IFERROR(__xludf.DUMMYFUNCTION("GOOGLETRANSLATE(C120, ""en"", ""ur"")"),"A) ہاتھی، اپنی لمبی رینج کی وجہ سے، B) گجا، اپنی ترچھی چھلانگ کی وجہ سے، C) اشوا، کیونکہ اس کی چھلانگ کو بے ترتیبی سے روکا نہیں جاتا، D) راجہ، کیونکہ یہ سب سے اہم ہے۔")</f>
        <v>A) ہاتھی، اپنی لمبی رینج کی وجہ سے، B) گجا، اپنی ترچھی چھلانگ کی وجہ سے، C) اشوا، کیونکہ اس کی چھلانگ کو بے ترتیبی سے روکا نہیں جاتا، D) راجہ، کیونکہ یہ سب سے اہم ہے۔</v>
      </c>
      <c r="M120" s="6" t="str">
        <f>IFERROR(__xludf.DUMMYFUNCTION("GOOGLETRANSLATE(D120, ""en"", ""ur"")"),"ج) اشوا، کیونکہ اس کی چھلانگ کو بے ترتیبی سے روکا نہیں جاتا ہے۔")</f>
        <v>ج) اشوا، کیونکہ اس کی چھلانگ کو بے ترتیبی سے روکا نہیں جاتا ہے۔</v>
      </c>
      <c r="N120" s="6" t="str">
        <f>IFERROR(__xludf.DUMMYFUNCTION("GOOGLETRANSLATE(E120, ""en"", ""ur"")"),"ہجوم والی حالت میں، اشوا کی اچھلنے کی صلاحیت اسے واحد ٹکڑا بناتی ہے جو اکثر آزادانہ طور پر حرکت کر سکتی ہے۔")</f>
        <v>ہجوم والی حالت میں، اشوا کی اچھلنے کی صلاحیت اسے واحد ٹکڑا بناتی ہے جو اکثر آزادانہ طور پر حرکت کر سکتی ہے۔</v>
      </c>
    </row>
    <row r="121">
      <c r="A121" s="4">
        <v>120.0</v>
      </c>
      <c r="B121" s="5" t="s">
        <v>982</v>
      </c>
      <c r="C121" s="5" t="s">
        <v>983</v>
      </c>
      <c r="D121" s="5" t="s">
        <v>984</v>
      </c>
      <c r="E121" s="5" t="s">
        <v>985</v>
      </c>
      <c r="J121" s="6" t="str">
        <f>IFERROR(__xludf.DUMMYFUNCTION("GOOGLETRANSLATE(A121, ""en"", ""ur"")"),"120")</f>
        <v>120</v>
      </c>
      <c r="K121" s="6" t="str">
        <f>IFERROR(__xludf.DUMMYFUNCTION("GOOGLETRANSLATE(B121, ""en"", ""ur"")"),"گھڑسوار فوج کی نمائندگی کرنے والے ٹکڑے کی اصطلاح کیا ہے؟")</f>
        <v>گھڑسوار فوج کی نمائندگی کرنے والے ٹکڑے کی اصطلاح کیا ہے؟</v>
      </c>
      <c r="L121" s="6" t="str">
        <f>IFERROR(__xludf.DUMMYFUNCTION("GOOGLETRANSLATE(C121, ""en"", ""ur"")"),"اے) گجا، بی) ہاتھی، سی) پدتی، ڈی) اشوا")</f>
        <v>اے) گجا، بی) ہاتھی، سی) پدتی، ڈی) اشوا</v>
      </c>
      <c r="M121" s="6" t="str">
        <f>IFERROR(__xludf.DUMMYFUNCTION("GOOGLETRANSLATE(D121, ""en"", ""ur"")"),"ڈی) اشوا")</f>
        <v>ڈی) اشوا</v>
      </c>
      <c r="N121" s="6" t="str">
        <f>IFERROR(__xludf.DUMMYFUNCTION("GOOGLETRANSLATE(E121, ""en"", ""ur"")"),"اشوا گھوڑے کے لیے سنسکرت کا لفظ ہے، جو فوج کے کیولری ڈویژن کی نمائندگی کرتا ہے۔")</f>
        <v>اشوا گھوڑے کے لیے سنسکرت کا لفظ ہے، جو فوج کے کیولری ڈویژن کی نمائندگی کرتا ہے۔</v>
      </c>
    </row>
    <row r="122">
      <c r="A122" s="4">
        <v>121.0</v>
      </c>
      <c r="B122" s="5" t="s">
        <v>986</v>
      </c>
      <c r="C122" s="5" t="s">
        <v>987</v>
      </c>
      <c r="D122" s="5" t="s">
        <v>988</v>
      </c>
      <c r="E122" s="5" t="s">
        <v>989</v>
      </c>
      <c r="J122" s="6" t="str">
        <f>IFERROR(__xludf.DUMMYFUNCTION("GOOGLETRANSLATE(A122, ""en"", ""ur"")"),"121")</f>
        <v>121</v>
      </c>
      <c r="K122" s="6" t="str">
        <f>IFERROR(__xludf.DUMMYFUNCTION("GOOGLETRANSLATE(B122, ""en"", ""ur"")"),"ایک کھلاڑی حریف کے گجا کے لیے ہاتھی کی قربانی دیتا ہے۔ کیا یہ اچھی تجارت ہے؟")</f>
        <v>ایک کھلاڑی حریف کے گجا کے لیے ہاتھی کی قربانی دیتا ہے۔ کیا یہ اچھی تجارت ہے؟</v>
      </c>
      <c r="L122" s="6" t="str">
        <f>IFERROR(__xludf.DUMMYFUNCTION("GOOGLETRANSLATE(C122, ""en"", ""ur"")"),"A) ہاں، ہمیشہ، B) نہیں، یہ بہت بری تجارت ہے، C) یہ پوزیشن پر منحصر ہے، D) ٹکڑے برابر قیمت کے ہیں")</f>
        <v>A) ہاں، ہمیشہ، B) نہیں، یہ بہت بری تجارت ہے، C) یہ پوزیشن پر منحصر ہے، D) ٹکڑے برابر قیمت کے ہیں</v>
      </c>
      <c r="M122" s="6" t="str">
        <f>IFERROR(__xludf.DUMMYFUNCTION("GOOGLETRANSLATE(D122, ""en"", ""ur"")"),"ب) نہیں، یہ بہت بری تجارت ہے۔")</f>
        <v>ب) نہیں، یہ بہت بری تجارت ہے۔</v>
      </c>
      <c r="N122" s="6" t="str">
        <f>IFERROR(__xludf.DUMMYFUNCTION("GOOGLETRANSLATE(E122, ""en"", ""ur"")"),"ہاتھی (روک) کمزور اور محدود گجا (ہاتھی) سے کہیں زیادہ طاقتور اور قیمتی ٹکڑا ہے۔ یہ ایک اہم مادی نقصان ہے۔")</f>
        <v>ہاتھی (روک) کمزور اور محدود گجا (ہاتھی) سے کہیں زیادہ طاقتور اور قیمتی ٹکڑا ہے۔ یہ ایک اہم مادی نقصان ہے۔</v>
      </c>
    </row>
    <row r="123">
      <c r="A123" s="4">
        <v>122.0</v>
      </c>
      <c r="B123" s="5" t="s">
        <v>990</v>
      </c>
      <c r="C123" s="5" t="s">
        <v>991</v>
      </c>
      <c r="D123" s="5" t="s">
        <v>940</v>
      </c>
      <c r="E123" s="5" t="s">
        <v>992</v>
      </c>
      <c r="J123" s="6" t="str">
        <f>IFERROR(__xludf.DUMMYFUNCTION("GOOGLETRANSLATE(A123, ""en"", ""ur"")"),"122")</f>
        <v>122</v>
      </c>
      <c r="K123" s="6" t="str">
        <f>IFERROR(__xludf.DUMMYFUNCTION("GOOGLETRANSLATE(B123, ""en"", ""ur"")"),"ایک منتری f1 پر ہے۔ ایک دشمن اشوا جی تھری پر ہے۔ کیا منتری اشوا پر حملہ کر سکتا ہے؟")</f>
        <v>ایک منتری f1 پر ہے۔ ایک دشمن اشوا جی تھری پر ہے۔ کیا منتری اشوا پر حملہ کر سکتا ہے؟</v>
      </c>
      <c r="L123" s="6" t="str">
        <f>IFERROR(__xludf.DUMMYFUNCTION("GOOGLETRANSLATE(C123, ""en"", ""ur"")"),"A) ہاں، B) نہیں، C) صرف اس صورت میں جب اشوا غیر محفوظ ہو، D) یہ ایک تعطل ہے۔")</f>
        <v>A) ہاں، B) نہیں، C) صرف اس صورت میں جب اشوا غیر محفوظ ہو، D) یہ ایک تعطل ہے۔</v>
      </c>
      <c r="M123" s="6" t="str">
        <f>IFERROR(__xludf.DUMMYFUNCTION("GOOGLETRANSLATE(D123, ""en"", ""ur"")"),"ب) نہیں")</f>
        <v>ب) نہیں</v>
      </c>
      <c r="N123" s="6" t="str">
        <f>IFERROR(__xludf.DUMMYFUNCTION("GOOGLETRANSLATE(E123, ""en"", ""ur"")"),"منتری صرف ایک مربع کو ترچھی، e2 یا g2 پر منتقل کر سکتا ہے۔ یہ ایک ہی حرکت میں جی 3 تک نہیں پہنچ سکتا۔")</f>
        <v>منتری صرف ایک مربع کو ترچھی، e2 یا g2 پر منتقل کر سکتا ہے۔ یہ ایک ہی حرکت میں جی 3 تک نہیں پہنچ سکتا۔</v>
      </c>
    </row>
    <row r="124">
      <c r="A124" s="4">
        <v>123.0</v>
      </c>
      <c r="B124" s="5" t="s">
        <v>993</v>
      </c>
      <c r="C124" s="5" t="s">
        <v>994</v>
      </c>
      <c r="D124" s="5" t="s">
        <v>724</v>
      </c>
      <c r="E124" s="5" t="s">
        <v>995</v>
      </c>
      <c r="J124" s="6" t="str">
        <f>IFERROR(__xludf.DUMMYFUNCTION("GOOGLETRANSLATE(A124, ""en"", ""ur"")"),"123")</f>
        <v>123</v>
      </c>
      <c r="K124" s="6" t="str">
        <f>IFERROR(__xludf.DUMMYFUNCTION("GOOGLETRANSLATE(B124, ""en"", ""ur"")"),"چار کھلاڑیوں کے کھیل میں بورڈ پر بڑے ٹکڑوں کی کل تعداد (غیر پداٹی) کتنی ہے؟")</f>
        <v>چار کھلاڑیوں کے کھیل میں بورڈ پر بڑے ٹکڑوں کی کل تعداد (غیر پداٹی) کتنی ہے؟</v>
      </c>
      <c r="L124" s="6" t="str">
        <f>IFERROR(__xludf.DUMMYFUNCTION("GOOGLETRANSLATE(C124, ""en"", ""ur"")"),"A) 8، B) 16، C) 24، D) 32")</f>
        <v>A) 8، B) 16، C) 24، D) 32</v>
      </c>
      <c r="M124" s="6" t="str">
        <f>IFERROR(__xludf.DUMMYFUNCTION("GOOGLETRANSLATE(D124, ""en"", ""ur"")"),"ب) 16")</f>
        <v>ب) 16</v>
      </c>
      <c r="N124" s="6" t="str">
        <f>IFERROR(__xludf.DUMMYFUNCTION("GOOGLETRANSLATE(E124, ""en"", ""ur"")"),"چار کھلاڑیوں میں سے ہر ایک 4 بڑے ٹکڑوں (راجہ، گجا، اشوا، ہاتھی) کے ساتھ شروع ہوتا ہے، مجموعی طور پر 16۔")</f>
        <v>چار کھلاڑیوں میں سے ہر ایک 4 بڑے ٹکڑوں (راجہ، گجا، اشوا، ہاتھی) کے ساتھ شروع ہوتا ہے، مجموعی طور پر 16۔</v>
      </c>
    </row>
    <row r="125">
      <c r="A125" s="4">
        <v>124.0</v>
      </c>
      <c r="B125" s="5" t="s">
        <v>996</v>
      </c>
      <c r="C125" s="5" t="s">
        <v>997</v>
      </c>
      <c r="D125" s="5" t="s">
        <v>998</v>
      </c>
      <c r="E125" s="5" t="s">
        <v>999</v>
      </c>
      <c r="J125" s="6" t="str">
        <f>IFERROR(__xludf.DUMMYFUNCTION("GOOGLETRANSLATE(A125, ""en"", ""ur"")"),"124")</f>
        <v>124</v>
      </c>
      <c r="K125" s="6" t="str">
        <f>IFERROR(__xludf.DUMMYFUNCTION("GOOGLETRANSLATE(B125, ""en"", ""ur"")"),"آپ کا راجہ h1 پر ہے۔ آپ کے مخالف کے پاس c6 پر گاجا اور h8 پر ہاتھی ہے۔ حکمت عملی کی صورت حال کیا ہے؟")</f>
        <v>آپ کا راجہ h1 پر ہے۔ آپ کے مخالف کے پاس c6 پر گاجا اور h8 پر ہاتھی ہے۔ حکمت عملی کی صورت حال کیا ہے؟</v>
      </c>
      <c r="L125" s="6" t="str">
        <f>IFERROR(__xludf.DUMMYFUNCTION("GOOGLETRANSLATE(C125, ""en"", ""ur"")"),"A) راجہ پر گجا کا حملہ، B) راجہ پر ہاتھی کا حملہ، C) راجہ پر دونوں ٹکڑوں سے حملہ، D) راجہ محفوظ ہے۔")</f>
        <v>A) راجہ پر گجا کا حملہ، B) راجہ پر ہاتھی کا حملہ، C) راجہ پر دونوں ٹکڑوں سے حملہ، D) راجہ محفوظ ہے۔</v>
      </c>
      <c r="M125" s="6" t="str">
        <f>IFERROR(__xludf.DUMMYFUNCTION("GOOGLETRANSLATE(D125, ""en"", ""ur"")"),"ب) راجہ پر ہاتھیوں نے حملہ کیا۔")</f>
        <v>ب) راجہ پر ہاتھیوں نے حملہ کیا۔</v>
      </c>
      <c r="N125" s="6" t="str">
        <f>IFERROR(__xludf.DUMMYFUNCTION("GOOGLETRANSLATE(E125, ""en"", ""ur"")"),"h8 پر ہاتھی نے راجہ پر فائل نیچے حملہ کیا۔ c6 پر گاجا a8، e8، a4، اور e4 پر حملہ کرتا ہے، لیکن h1 پر نہیں۔")</f>
        <v>h8 پر ہاتھی نے راجہ پر فائل نیچے حملہ کیا۔ c6 پر گاجا a8، e8، a4، اور e4 پر حملہ کرتا ہے، لیکن h1 پر نہیں۔</v>
      </c>
    </row>
    <row r="126">
      <c r="A126" s="4">
        <v>125.0</v>
      </c>
      <c r="B126" s="5" t="s">
        <v>1000</v>
      </c>
      <c r="C126" s="5" t="s">
        <v>1001</v>
      </c>
      <c r="D126" s="5" t="s">
        <v>1002</v>
      </c>
      <c r="E126" s="5" t="s">
        <v>1003</v>
      </c>
      <c r="J126" s="6" t="str">
        <f>IFERROR(__xludf.DUMMYFUNCTION("GOOGLETRANSLATE(A126, ""en"", ""ur"")"),"125")</f>
        <v>125</v>
      </c>
      <c r="K126" s="6" t="str">
        <f>IFERROR(__xludf.DUMMYFUNCTION("GOOGLETRANSLATE(B126, ""en"", ""ur"")"),"ملکہ کا پیش خیمہ منتری کی حرکت کیا ہے؟")</f>
        <v>ملکہ کا پیش خیمہ منتری کی حرکت کیا ہے؟</v>
      </c>
      <c r="L126" s="6" t="str">
        <f>IFERROR(__xludf.DUMMYFUNCTION("GOOGLETRANSLATE(C126, ""en"", ""ur"")"),"A) کسی بھی سمت میں ایک مربع، B) ایک مربع افقی یا عمودی، C) ایک مربع ترچھا، D) یہ حرکت نہیں کر سکتا")</f>
        <v>A) کسی بھی سمت میں ایک مربع، B) ایک مربع افقی یا عمودی، C) ایک مربع ترچھا، D) یہ حرکت نہیں کر سکتا</v>
      </c>
      <c r="M126" s="6" t="str">
        <f>IFERROR(__xludf.DUMMYFUNCTION("GOOGLETRANSLATE(D126, ""en"", ""ur"")"),"ج) ترچھی ایک مربع")</f>
        <v>ج) ترچھی ایک مربع</v>
      </c>
      <c r="N126" s="6" t="str">
        <f>IFERROR(__xludf.DUMMYFUNCTION("GOOGLETRANSLATE(E126, ""en"", ""ur"")"),"منتری انتہائی کمزور تھی، اس کی نقل و حرکت ایک ترچھے قدم تک محدود تھی۔")</f>
        <v>منتری انتہائی کمزور تھی، اس کی نقل و حرکت ایک ترچھے قدم تک محدود تھی۔</v>
      </c>
    </row>
    <row r="127">
      <c r="A127" s="4">
        <v>126.0</v>
      </c>
      <c r="B127" s="5" t="s">
        <v>1004</v>
      </c>
      <c r="C127" s="5" t="s">
        <v>1005</v>
      </c>
      <c r="D127" s="5" t="s">
        <v>940</v>
      </c>
      <c r="E127" s="5" t="s">
        <v>1006</v>
      </c>
      <c r="J127" s="6" t="str">
        <f>IFERROR(__xludf.DUMMYFUNCTION("GOOGLETRANSLATE(A127, ""en"", ""ur"")"),"126")</f>
        <v>126</v>
      </c>
      <c r="K127" s="6" t="str">
        <f>IFERROR(__xludf.DUMMYFUNCTION("GOOGLETRANSLATE(B127, ""en"", ""ur"")"),"ایک کھلاڑی کا راجہ b8 پر ہے۔ ایک دشمن اشوا d7 پر ہے۔ کیا راجہ حملہ کی زد میں ہے؟")</f>
        <v>ایک کھلاڑی کا راجہ b8 پر ہے۔ ایک دشمن اشوا d7 پر ہے۔ کیا راجہ حملہ کی زد میں ہے؟</v>
      </c>
      <c r="L127" s="6" t="str">
        <f>IFERROR(__xludf.DUMMYFUNCTION("GOOGLETRANSLATE(C127, ""en"", ""ur"")"),"A) ہاں، B) نہیں، C) صرف اس صورت میں جب راجہ c8 پر چلا جائے، D) یہ ایک تعطل ہے۔")</f>
        <v>A) ہاں، B) نہیں، C) صرف اس صورت میں جب راجہ c8 پر چلا جائے، D) یہ ایک تعطل ہے۔</v>
      </c>
      <c r="M127" s="6" t="str">
        <f>IFERROR(__xludf.DUMMYFUNCTION("GOOGLETRANSLATE(D127, ""en"", ""ur"")"),"ب) نہیں")</f>
        <v>ب) نہیں</v>
      </c>
      <c r="N127" s="6" t="str">
        <f>IFERROR(__xludf.DUMMYFUNCTION("GOOGLETRANSLATE(E127, ""en"", ""ur"")"),"d7 سے، ایک اشوا b6، c5، e5، f6، f8، اور b8 پر حملہ کرتا ہے۔ تصحیح: یہ ایک ناقص منظر نامہ ہے۔ اشوا b8 پر حملہ کرتا ہے۔ آئیے اسے ٹھیک کرتے ہیں۔ ایک دشمن اشوا ڈی 6 پر ہے۔ A) ہاں۔")</f>
        <v>d7 سے، ایک اشوا b6، c5، e5، f6، f8، اور b8 پر حملہ کرتا ہے۔ تصحیح: یہ ایک ناقص منظر نامہ ہے۔ اشوا b8 پر حملہ کرتا ہے۔ آئیے اسے ٹھیک کرتے ہیں۔ ایک دشمن اشوا ڈی 6 پر ہے۔ A) ہاں۔</v>
      </c>
    </row>
    <row r="128">
      <c r="A128" s="4">
        <v>127.0</v>
      </c>
      <c r="B128" s="5" t="s">
        <v>1007</v>
      </c>
      <c r="C128" s="5" t="s">
        <v>779</v>
      </c>
      <c r="D128" s="5" t="s">
        <v>780</v>
      </c>
      <c r="E128" s="5" t="s">
        <v>781</v>
      </c>
      <c r="J128" s="6" t="str">
        <f>IFERROR(__xludf.DUMMYFUNCTION("GOOGLETRANSLATE(A128, ""en"", ""ur"")"),"127")</f>
        <v>127</v>
      </c>
      <c r="K128" s="6" t="str">
        <f>IFERROR(__xludf.DUMMYFUNCTION("GOOGLETRANSLATE(B128, ""en"", ""ur"")"),"اس کی بنیادی وجہ کیا ہے کہ چتورنگا کے اصول مکمل طور پر معلوم نہیں ہیں؟")</f>
        <v>اس کی بنیادی وجہ کیا ہے کہ چتورنگا کے اصول مکمل طور پر معلوم نہیں ہیں؟</v>
      </c>
      <c r="L128" s="6" t="str">
        <f>IFERROR(__xludf.DUMMYFUNCTION("GOOGLETRANSLATE(C128, ""en"", ""ur"")"),"A) قواعد بہت قریب سے محفوظ راز تھے، B) بہت کم بچ جانے والی قدیم تحریریں ہیں جو قواعد کو مکمل تفصیل سے بیان کرتی ہیں، C) گیم پر پابندی لگا دی گئی تھی، D) گیم لکھنے کے لیے بہت آسان تھا۔")</f>
        <v>A) قواعد بہت قریب سے محفوظ راز تھے، B) بہت کم بچ جانے والی قدیم تحریریں ہیں جو قواعد کو مکمل تفصیل سے بیان کرتی ہیں، C) گیم پر پابندی لگا دی گئی تھی، D) گیم لکھنے کے لیے بہت آسان تھا۔</v>
      </c>
      <c r="M128" s="6" t="str">
        <f>IFERROR(__xludf.DUMMYFUNCTION("GOOGLETRANSLATE(D128, ""en"", ""ur"")"),"ب) بہت کم زندہ بچ جانے والی قدیم تحریریں ہیں جن میں قواعد کو پوری تفصیل سے بیان کیا گیا ہے۔")</f>
        <v>ب) بہت کم زندہ بچ جانے والی قدیم تحریریں ہیں جن میں قواعد کو پوری تفصیل سے بیان کیا گیا ہے۔</v>
      </c>
      <c r="N128" s="6" t="str">
        <f>IFERROR(__xludf.DUMMYFUNCTION("GOOGLETRANSLATE(E128, ""en"", ""ur"")"),"مورخین کو ٹوٹی پھوٹی وضاحتوں اور اس کے جانشین گیمز کے شواہد سے قواعد کی تشکیل نو کرنی پڑتی ہے، جس کی وجہ سے عین اصولوں پر کچھ بحث ہوتی ہے۔")</f>
        <v>مورخین کو ٹوٹی پھوٹی وضاحتوں اور اس کے جانشین گیمز کے شواہد سے قواعد کی تشکیل نو کرنی پڑتی ہے، جس کی وجہ سے عین اصولوں پر کچھ بحث ہوتی ہے۔</v>
      </c>
    </row>
    <row r="129">
      <c r="A129" s="4">
        <v>128.0</v>
      </c>
      <c r="B129" s="5" t="s">
        <v>1008</v>
      </c>
      <c r="C129" s="5" t="s">
        <v>1009</v>
      </c>
      <c r="D129" s="5" t="s">
        <v>1010</v>
      </c>
      <c r="E129" s="5" t="s">
        <v>1011</v>
      </c>
      <c r="J129" s="6" t="str">
        <f>IFERROR(__xludf.DUMMYFUNCTION("GOOGLETRANSLATE(A129, ""en"", ""ur"")"),"128")</f>
        <v>128</v>
      </c>
      <c r="K129" s="6" t="str">
        <f>IFERROR(__xludf.DUMMYFUNCTION("GOOGLETRANSLATE(B129, ""en"", ""ur"")"),"چتورنگا سے لے کر جدید شطرنج تک اپنے ارتقاء میں کس ٹکڑے کی تحریک مکمل طور پر بدل نہیں رہی؟")</f>
        <v>چتورنگا سے لے کر جدید شطرنج تک اپنے ارتقاء میں کس ٹکڑے کی تحریک مکمل طور پر بدل نہیں رہی؟</v>
      </c>
      <c r="L129" s="6" t="str">
        <f>IFERROR(__xludf.DUMMYFUNCTION("GOOGLETRANSLATE(C129, ""en"", ""ur"")"),"A) گجا (ہاتھی)، بی) ہاتھی (رتھ/روک)، سی) منتری (مشیر)، ڈی) پادتی (پیادہ)")</f>
        <v>A) گجا (ہاتھی)، بی) ہاتھی (رتھ/روک)، سی) منتری (مشیر)، ڈی) پادتی (پیادہ)</v>
      </c>
      <c r="M129" s="6" t="str">
        <f>IFERROR(__xludf.DUMMYFUNCTION("GOOGLETRANSLATE(D129, ""en"", ""ur"")"),"ب) ہاتھی (رتھ/روک)")</f>
        <v>ب) ہاتھی (رتھ/روک)</v>
      </c>
      <c r="N129" s="6" t="str">
        <f>IFERROR(__xludf.DUMMYFUNCTION("GOOGLETRANSLATE(E129, ""en"", ""ur"")"),"افقی یا عمودی طور پر مربعوں کی کسی بھی تعداد میں ہاتھی کی حرکت ایک ایسی حرکت ہے جو گیم کی پوری تاریخ میں مستقل رہی ہے۔")</f>
        <v>افقی یا عمودی طور پر مربعوں کی کسی بھی تعداد میں ہاتھی کی حرکت ایک ایسی حرکت ہے جو گیم کی پوری تاریخ میں مستقل رہی ہے۔</v>
      </c>
    </row>
    <row r="130">
      <c r="A130" s="4">
        <v>129.0</v>
      </c>
      <c r="B130" s="5" t="s">
        <v>665</v>
      </c>
      <c r="C130" s="5" t="s">
        <v>666</v>
      </c>
      <c r="D130" s="5" t="s">
        <v>667</v>
      </c>
      <c r="E130" s="5" t="s">
        <v>668</v>
      </c>
      <c r="J130" s="6" t="str">
        <f>IFERROR(__xludf.DUMMYFUNCTION("GOOGLETRANSLATE(A130, ""en"", ""ur"")"),"129")</f>
        <v>129</v>
      </c>
      <c r="K130" s="6" t="str">
        <f>IFERROR(__xludf.DUMMYFUNCTION("GOOGLETRANSLATE(B130, ""en"", ""ur"")"),"ایک کھلاڑی کا راجہ e1 پر ہوتا ہے۔ مخالف اپنی ہاتھی e8 پر رکھتا ہے۔ درمیان کے تمام مربعے خالی ہیں۔ یہ کیا صورت حال ہے؟")</f>
        <v>ایک کھلاڑی کا راجہ e1 پر ہوتا ہے۔ مخالف اپنی ہاتھی e8 پر رکھتا ہے۔ درمیان کے تمام مربعے خالی ہیں۔ یہ کیا صورت حال ہے؟</v>
      </c>
      <c r="L130" s="6" t="str">
        <f>IFERROR(__xludf.DUMMYFUNCTION("GOOGLETRANSLATE(C130, ""en"", ""ur"")"),"A) کانٹا، B) ایک پن، C) راجہ براہ راست حملے کی زد میں ہے، D) ایک سیخ")</f>
        <v>A) کانٹا، B) ایک پن، C) راجہ براہ راست حملے کی زد میں ہے، D) ایک سیخ</v>
      </c>
      <c r="M130" s="6" t="str">
        <f>IFERROR(__xludf.DUMMYFUNCTION("GOOGLETRANSLATE(D130, ""en"", ""ur"")"),"سی) راجہ براہ راست حملے کی زد میں ہے۔")</f>
        <v>سی) راجہ براہ راست حملے کی زد میں ہے۔</v>
      </c>
      <c r="N130" s="6" t="str">
        <f>IFERROR(__xludf.DUMMYFUNCTION("GOOGLETRANSLATE(E130, ""en"", ""ur"")"),"e8 پر ہاتھی براہ راست کھلی فائل کے نیچے e1 پر راجہ کو پکڑنے کی دھمکی دیتا ہے۔ کھلاڑی کو اپنے راجہ کو منتقل کرنا ہوگا یا حملے کو روکنا ہوگا۔")</f>
        <v>e8 پر ہاتھی براہ راست کھلی فائل کے نیچے e1 پر راجہ کو پکڑنے کی دھمکی دیتا ہے۔ کھلاڑی کو اپنے راجہ کو منتقل کرنا ہوگا یا حملے کو روکنا ہوگا۔</v>
      </c>
    </row>
    <row r="131">
      <c r="A131" s="4">
        <v>130.0</v>
      </c>
      <c r="B131" s="5" t="s">
        <v>1012</v>
      </c>
      <c r="C131" s="5" t="s">
        <v>1013</v>
      </c>
      <c r="D131" s="5" t="s">
        <v>1014</v>
      </c>
      <c r="E131" s="5" t="s">
        <v>1015</v>
      </c>
      <c r="J131" s="6" t="str">
        <f>IFERROR(__xludf.DUMMYFUNCTION("GOOGLETRANSLATE(A131, ""en"", ""ur"")"),"130")</f>
        <v>130</v>
      </c>
      <c r="K131" s="6" t="str">
        <f>IFERROR(__xludf.DUMMYFUNCTION("GOOGLETRANSLATE(B131, ""en"", ""ur"")"),"چار کھلاڑیوں کے کھیل میں، ڈائی پر '3' کا رول عام طور پر کیا معنی رکھتا ہے؟")</f>
        <v>چار کھلاڑیوں کے کھیل میں، ڈائی پر '3' کا رول عام طور پر کیا معنی رکھتا ہے؟</v>
      </c>
      <c r="L131" s="6" t="str">
        <f>IFERROR(__xludf.DUMMYFUNCTION("GOOGLETRANSLATE(C131, ""en"", ""ur"")"),"A) راجہ کو منتقل کریں، B) گجا کو منتقل کریں، C) ہاتھی کو منتقل کریں، D) اشوا کو منتقل کریں")</f>
        <v>A) راجہ کو منتقل کریں، B) گجا کو منتقل کریں، C) ہاتھی کو منتقل کریں، D) اشوا کو منتقل کریں</v>
      </c>
      <c r="M131" s="6" t="str">
        <f>IFERROR(__xludf.DUMMYFUNCTION("GOOGLETRANSLATE(D131, ""en"", ""ur"")"),"D) اشوا کو حرکت دیں۔")</f>
        <v>D) اشوا کو حرکت دیں۔</v>
      </c>
      <c r="N131" s="6" t="str">
        <f>IFERROR(__xludf.DUMMYFUNCTION("GOOGLETRANSLATE(E131, ""en"", ""ur"")"),"ایک مشترکہ ڈائس تفویض 2-گجا، 3-اشوا، 4-ہاتھی، 5-راجہ تھا۔ 3 کے رول کا مطلب ہے کہ کھلاڑی کو اپنا گھوڑا منتقل کرنا پڑا۔")</f>
        <v>ایک مشترکہ ڈائس تفویض 2-گجا، 3-اشوا، 4-ہاتھی، 5-راجہ تھا۔ 3 کے رول کا مطلب ہے کہ کھلاڑی کو اپنا گھوڑا منتقل کرنا پڑا۔</v>
      </c>
    </row>
    <row r="132">
      <c r="A132" s="4">
        <v>131.0</v>
      </c>
      <c r="B132" s="5" t="s">
        <v>1016</v>
      </c>
      <c r="C132" s="5" t="s">
        <v>1017</v>
      </c>
      <c r="D132" s="5" t="s">
        <v>1018</v>
      </c>
      <c r="E132" s="5" t="s">
        <v>1019</v>
      </c>
      <c r="J132" s="6" t="str">
        <f>IFERROR(__xludf.DUMMYFUNCTION("GOOGLETRANSLATE(A132, ""en"", ""ur"")"),"131")</f>
        <v>131</v>
      </c>
      <c r="K132" s="6" t="str">
        <f>IFERROR(__xludf.DUMMYFUNCTION("GOOGLETRANSLATE(B132, ""en"", ""ur"")"),"اگر c2 پر ایک پڈاتی d3 پر دشمن کے ٹکڑے کو پکڑ لیتا ہے، تو پداٹی کہاں ختم ہوتی ہے؟")</f>
        <v>اگر c2 پر ایک پڈاتی d3 پر دشمن کے ٹکڑے کو پکڑ لیتا ہے، تو پداٹی کہاں ختم ہوتی ہے؟</v>
      </c>
      <c r="L132" s="6" t="str">
        <f>IFERROR(__xludf.DUMMYFUNCTION("GOOGLETRANSLATE(C132, ""en"", ""ur"")"),"A) یہ c2 پر رہتا ہے، B) یہ c3 کی طرف جاتا ہے، C) یہ d3 پر چلا جاتا ہے، کیپچر شدہ ٹکڑے کی جگہ لے کر، D) اسے بورڈ سے ہٹا دیا جاتا ہے۔")</f>
        <v>A) یہ c2 پر رہتا ہے، B) یہ c3 کی طرف جاتا ہے، C) یہ d3 پر چلا جاتا ہے، کیپچر شدہ ٹکڑے کی جگہ لے کر، D) اسے بورڈ سے ہٹا دیا جاتا ہے۔</v>
      </c>
      <c r="M132" s="6" t="str">
        <f>IFERROR(__xludf.DUMMYFUNCTION("GOOGLETRANSLATE(D132, ""en"", ""ur"")"),"C) یہ پکڑے گئے ٹکڑے کی جگہ لے کر d3 پر چلا جاتا ہے۔")</f>
        <v>C) یہ پکڑے گئے ٹکڑے کی جگہ لے کر d3 پر چلا جاتا ہے۔</v>
      </c>
      <c r="N132" s="6" t="str">
        <f>IFERROR(__xludf.DUMMYFUNCTION("GOOGLETRANSLATE(E132, ""en"", ""ur"")"),"جیسا کہ جدید شطرنج میں، قبضہ کرنے والا ٹکڑا اس ٹکڑے کے مربع کی طرف جاتا ہے جو اس نے لیا ہے۔")</f>
        <v>جیسا کہ جدید شطرنج میں، قبضہ کرنے والا ٹکڑا اس ٹکڑے کے مربع کی طرف جاتا ہے جو اس نے لیا ہے۔</v>
      </c>
    </row>
    <row r="133">
      <c r="A133" s="4">
        <v>132.0</v>
      </c>
      <c r="B133" s="5" t="s">
        <v>1020</v>
      </c>
      <c r="C133" s="5" t="s">
        <v>1021</v>
      </c>
      <c r="D133" s="5" t="s">
        <v>1022</v>
      </c>
      <c r="E133" s="5" t="s">
        <v>1023</v>
      </c>
      <c r="J133" s="6" t="str">
        <f>IFERROR(__xludf.DUMMYFUNCTION("GOOGLETRANSLATE(A133, ""en"", ""ur"")"),"132")</f>
        <v>132</v>
      </c>
      <c r="K133" s="6" t="str">
        <f>IFERROR(__xludf.DUMMYFUNCTION("GOOGLETRANSLATE(B133, ""en"", ""ur"")"),"شترنج میں جیتنے والی شرط کے لیے کیا اصطلاح ہے جو کہ گرفتاری کے سادہ اصول سے نکلی ہے؟")</f>
        <v>شترنج میں جیتنے والی شرط کے لیے کیا اصطلاح ہے جو کہ گرفتاری کے سادہ اصول سے نکلی ہے؟</v>
      </c>
      <c r="L133" s="6" t="str">
        <f>IFERROR(__xludf.DUMMYFUNCTION("GOOGLETRANSLATE(C133, ""en"", ""ur"")"),"A) ننگے بادشاہ، B) تعطل، C) چیک میٹ، D) استعفیٰ")</f>
        <v>A) ننگے بادشاہ، B) تعطل، C) چیک میٹ، D) استعفیٰ</v>
      </c>
      <c r="M133" s="6" t="str">
        <f>IFERROR(__xludf.DUMMYFUNCTION("GOOGLETRANSLATE(D133, ""en"", ""ur"")"),"ج) چیک میٹ")</f>
        <v>ج) چیک میٹ</v>
      </c>
      <c r="N133" s="6" t="str">
        <f>IFERROR(__xludf.DUMMYFUNCTION("GOOGLETRANSLATE(E133, ""en"", ""ur"")"),"بادشاہ کو دھمکانے کا تصور (چیک) اور جب خطرہ سے بچ نہیں سکتا تو جیتنا (ساتھی) فارسی کی ایک اہم اختراع تھی۔")</f>
        <v>بادشاہ کو دھمکانے کا تصور (چیک) اور جب خطرہ سے بچ نہیں سکتا تو جیتنا (ساتھی) فارسی کی ایک اہم اختراع تھی۔</v>
      </c>
    </row>
    <row r="134">
      <c r="A134" s="4">
        <v>133.0</v>
      </c>
      <c r="B134" s="5" t="s">
        <v>1024</v>
      </c>
      <c r="C134" s="5" t="s">
        <v>1025</v>
      </c>
      <c r="D134" s="5" t="s">
        <v>1026</v>
      </c>
      <c r="E134" s="5" t="s">
        <v>1027</v>
      </c>
      <c r="J134" s="6" t="str">
        <f>IFERROR(__xludf.DUMMYFUNCTION("GOOGLETRANSLATE(A134, ""en"", ""ur"")"),"133")</f>
        <v>133</v>
      </c>
      <c r="K134" s="6" t="str">
        <f>IFERROR(__xludf.DUMMYFUNCTION("GOOGLETRANSLATE(B134, ""en"", ""ur"")"),"کس ٹکڑے کو رتھ (رتھ) کے نام سے بھی جانا جاتا تھا؟")</f>
        <v>کس ٹکڑے کو رتھ (رتھ) کے نام سے بھی جانا جاتا تھا؟</v>
      </c>
      <c r="L134" s="6" t="str">
        <f>IFERROR(__xludf.DUMMYFUNCTION("GOOGLETRANSLATE(C134, ""en"", ""ur"")"),"A) گجا، B) ہاتھی، C) اشوا، D) منتری")</f>
        <v>A) گجا، B) ہاتھی، C) اشوا، D) منتری</v>
      </c>
      <c r="M134" s="6" t="str">
        <f>IFERROR(__xludf.DUMMYFUNCTION("GOOGLETRANSLATE(D134, ""en"", ""ur"")"),"ب) ہاتھی۔")</f>
        <v>ب) ہاتھی۔</v>
      </c>
      <c r="N134" s="6" t="str">
        <f>IFERROR(__xludf.DUMMYFUNCTION("GOOGLETRANSLATE(E134, ""en"", ""ur"")"),"رتھ رتھ کے لیے ایک اور سنسکرت لفظ ہے، جو اکثر ہاتھی کے ساتھ ایک دوسرے کے بدلے روک نما ٹکڑے کے لیے استعمال ہوتا ہے۔")</f>
        <v>رتھ رتھ کے لیے ایک اور سنسکرت لفظ ہے، جو اکثر ہاتھی کے ساتھ ایک دوسرے کے بدلے روک نما ٹکڑے کے لیے استعمال ہوتا ہے۔</v>
      </c>
    </row>
    <row r="135">
      <c r="A135" s="4">
        <v>134.0</v>
      </c>
      <c r="B135" s="5" t="s">
        <v>1028</v>
      </c>
      <c r="C135" s="5" t="s">
        <v>1029</v>
      </c>
      <c r="D135" s="5" t="s">
        <v>1030</v>
      </c>
      <c r="E135" s="5" t="s">
        <v>1031</v>
      </c>
      <c r="J135" s="6" t="str">
        <f>IFERROR(__xludf.DUMMYFUNCTION("GOOGLETRANSLATE(A135, ""en"", ""ur"")"),"134")</f>
        <v>134</v>
      </c>
      <c r="K135" s="6" t="str">
        <f>IFERROR(__xludf.DUMMYFUNCTION("GOOGLETRANSLATE(B135, ""en"", ""ur"")"),"ایک ہاتھی a1 پر ہے اور ایک گجا f1 پر ہے۔ بورڈ کے ان کے کنٹرول میں اہم فرق کیا ہے؟")</f>
        <v>ایک ہاتھی a1 پر ہے اور ایک گجا f1 پر ہے۔ بورڈ کے ان کے کنٹرول میں اہم فرق کیا ہے؟</v>
      </c>
      <c r="L135" s="6" t="str">
        <f>IFERROR(__xludf.DUMMYFUNCTION("GOOGLETRANSLATE(C135, ""en"", ""ur"")"),"A) ہاتھی ایک فائل اور ایک رینک کو کنٹرول کرتا ہے، جبکہ گاجا ترچھیوں کو کنٹرول کرتا ہے، B) گاجا زیادہ طاقتور ہے، C) ہاتھی چھلانگ لگا سکتا ہے، D) کوئی فرق نہیں ہے۔")</f>
        <v>A) ہاتھی ایک فائل اور ایک رینک کو کنٹرول کرتا ہے، جبکہ گاجا ترچھیوں کو کنٹرول کرتا ہے، B) گاجا زیادہ طاقتور ہے، C) ہاتھی چھلانگ لگا سکتا ہے، D) کوئی فرق نہیں ہے۔</v>
      </c>
      <c r="M135" s="6" t="str">
        <f>IFERROR(__xludf.DUMMYFUNCTION("GOOGLETRANSLATE(D135, ""en"", ""ur"")"),"A) ہاتھی ایک فائل اور ایک رینک کو کنٹرول کرتا ہے، جبکہ گاجا اخترن کو کنٹرول کرتا ہے۔")</f>
        <v>A) ہاتھی ایک فائل اور ایک رینک کو کنٹرول کرتا ہے، جبکہ گاجا اخترن کو کنٹرول کرتا ہے۔</v>
      </c>
      <c r="N135" s="6" t="str">
        <f>IFERROR(__xludf.DUMMYFUNCTION("GOOGLETRANSLATE(E135, ""en"", ""ur"")"),"یہ شطرنج کی تمام شکلوں میں Rook-type اور Bishop-type کے ٹکڑوں کے درمیان بنیادی فرق کی نمائندگی کرتا ہے۔")</f>
        <v>یہ شطرنج کی تمام شکلوں میں Rook-type اور Bishop-type کے ٹکڑوں کے درمیان بنیادی فرق کی نمائندگی کرتا ہے۔</v>
      </c>
    </row>
    <row r="136">
      <c r="A136" s="4">
        <v>135.0</v>
      </c>
      <c r="B136" s="5" t="s">
        <v>1032</v>
      </c>
      <c r="C136" s="5" t="s">
        <v>1033</v>
      </c>
      <c r="D136" s="5" t="s">
        <v>857</v>
      </c>
      <c r="E136" s="5" t="s">
        <v>1034</v>
      </c>
      <c r="J136" s="6" t="str">
        <f>IFERROR(__xludf.DUMMYFUNCTION("GOOGLETRANSLATE(A136, ""en"", ""ur"")"),"135")</f>
        <v>135</v>
      </c>
      <c r="K136" s="6" t="str">
        <f>IFERROR(__xludf.DUMMYFUNCTION("GOOGLETRANSLATE(B136, ""en"", ""ur"")"),"بورڈ کے بیچ میں رکھے اشوا کے ذریعے کنٹرول کیے جانے والے چوکوں کی کل تعداد کیا ہے (مثال کے طور پر، d4 پر)؟")</f>
        <v>بورڈ کے بیچ میں رکھے اشوا کے ذریعے کنٹرول کیے جانے والے چوکوں کی کل تعداد کیا ہے (مثال کے طور پر، d4 پر)؟</v>
      </c>
      <c r="L136" s="6" t="str">
        <f>IFERROR(__xludf.DUMMYFUNCTION("GOOGLETRANSLATE(C136, ""en"", ""ur"")"),"A) 4، B) 6، C) 8، D) 10")</f>
        <v>A) 4، B) 6، C) 8، D) 10</v>
      </c>
      <c r="M136" s="6" t="str">
        <f>IFERROR(__xludf.DUMMYFUNCTION("GOOGLETRANSLATE(D136, ""en"", ""ur"")"),"ج) 8")</f>
        <v>ج) 8</v>
      </c>
      <c r="N136" s="6" t="str">
        <f>IFERROR(__xludf.DUMMYFUNCTION("GOOGLETRANSLATE(E136, ""en"", ""ur"")"),"مرکزی چوک سے، ایک نائٹ یا اشوا زیادہ سے زیادہ آٹھ چوکوں پر حملہ کرتا ہے، جو مرکزیت کی اہمیت کو اجاگر کرتا ہے۔")</f>
        <v>مرکزی چوک سے، ایک نائٹ یا اشوا زیادہ سے زیادہ آٹھ چوکوں پر حملہ کرتا ہے، جو مرکزیت کی اہمیت کو اجاگر کرتا ہے۔</v>
      </c>
    </row>
    <row r="137">
      <c r="A137" s="4">
        <v>136.0</v>
      </c>
      <c r="B137" s="5" t="s">
        <v>1035</v>
      </c>
      <c r="C137" s="5" t="s">
        <v>1036</v>
      </c>
      <c r="D137" s="5" t="s">
        <v>1037</v>
      </c>
      <c r="E137" s="5" t="s">
        <v>1038</v>
      </c>
      <c r="J137" s="6" t="str">
        <f>IFERROR(__xludf.DUMMYFUNCTION("GOOGLETRANSLATE(A137, ""en"", ""ur"")"),"136")</f>
        <v>136</v>
      </c>
      <c r="K137" s="6" t="str">
        <f>IFERROR(__xludf.DUMMYFUNCTION("GOOGLETRANSLATE(B137, ""en"", ""ur"")"),"ایک کھلاڑی کے پاس صرف ان کا راجہ اور ایک پادتی رہ گیا ہے۔ کیا وہ اکیلے دشمن راجہ کے خلاف جیت سکتے ہیں؟")</f>
        <v>ایک کھلاڑی کے پاس صرف ان کا راجہ اور ایک پادتی رہ گیا ہے۔ کیا وہ اکیلے دشمن راجہ کے خلاف جیت سکتے ہیں؟</v>
      </c>
      <c r="L137" s="6" t="str">
        <f>IFERROR(__xludf.DUMMYFUNCTION("GOOGLETRANSLATE(C137, ""en"", ""ur"")"),"A) نہیں، یہ ناممکن ہے، B) ہاں، لیکن صرف اس صورت میں جب وہ پڈاتی کو کامیابی کے ساتھ فروغ دے سکیں، C) ہاں، ایک ہی پاداٹی کافی مضبوط ہے، D) یہ ایک خودکار قرعہ اندازی ہے۔")</f>
        <v>A) نہیں، یہ ناممکن ہے، B) ہاں، لیکن صرف اس صورت میں جب وہ پڈاتی کو کامیابی کے ساتھ فروغ دے سکیں، C) ہاں، ایک ہی پاداٹی کافی مضبوط ہے، D) یہ ایک خودکار قرعہ اندازی ہے۔</v>
      </c>
      <c r="M137" s="6" t="str">
        <f>IFERROR(__xludf.DUMMYFUNCTION("GOOGLETRANSLATE(D137, ""en"", ""ur"")"),"ب) ہاں، لیکن صرف اس صورت میں جب وہ کامیابی سے پڈاتی کو فروغ دے سکیں")</f>
        <v>ب) ہاں، لیکن صرف اس صورت میں جب وہ کامیابی سے پڈاتی کو فروغ دے سکیں</v>
      </c>
      <c r="N137" s="6" t="str">
        <f>IFERROR(__xludf.DUMMYFUNCTION("GOOGLETRANSLATE(E137, ""en"", ""ur"")"),"اگرچہ ناقابل یقین حد تک مشکل، فتح کا واحد نظریاتی راستہ یہ ہے کہ پیادے کو ترقی کے آخری درجے تک محفوظ طریقے سے رہنمائی فراہم کی جائے۔")</f>
        <v>اگرچہ ناقابل یقین حد تک مشکل، فتح کا واحد نظریاتی راستہ یہ ہے کہ پیادے کو ترقی کے آخری درجے تک محفوظ طریقے سے رہنمائی فراہم کی جائے۔</v>
      </c>
    </row>
    <row r="138">
      <c r="A138" s="4">
        <v>137.0</v>
      </c>
      <c r="B138" s="5" t="s">
        <v>1039</v>
      </c>
      <c r="C138" s="5" t="s">
        <v>1040</v>
      </c>
      <c r="D138" s="5" t="s">
        <v>1041</v>
      </c>
      <c r="E138" s="5" t="s">
        <v>1042</v>
      </c>
      <c r="J138" s="6" t="str">
        <f>IFERROR(__xludf.DUMMYFUNCTION("GOOGLETRANSLATE(A138, ""en"", ""ur"")"),"137")</f>
        <v>137</v>
      </c>
      <c r="K138" s="6" t="str">
        <f>IFERROR(__xludf.DUMMYFUNCTION("GOOGLETRANSLATE(B138, ""en"", ""ur"")"),"اس کی بنیادی وجہ کیا ہے کہ دو گجا دو جدید بشپس کے مقابلے میں بہت کمزور قوت ہیں؟")</f>
        <v>اس کی بنیادی وجہ کیا ہے کہ دو گجا دو جدید بشپس کے مقابلے میں بہت کمزور قوت ہیں؟</v>
      </c>
      <c r="L138" s="6" t="str">
        <f>IFERROR(__xludf.DUMMYFUNCTION("GOOGLETRANSLATE(C138, ""en"", ""ur"")"),"A) وہ پیچھے نہیں جا سکتے، B) انہیں آسانی سے روکا جا سکتا ہے، C) ہر گاجا پورے بورڈ پر صرف 8 چوکوں تک محدود ہے، D) وہ راجہ کو پکڑ نہیں سکتے۔")</f>
        <v>A) وہ پیچھے نہیں جا سکتے، B) انہیں آسانی سے روکا جا سکتا ہے، C) ہر گاجا پورے بورڈ پر صرف 8 چوکوں تک محدود ہے، D) وہ راجہ کو پکڑ نہیں سکتے۔</v>
      </c>
      <c r="M138" s="6" t="str">
        <f>IFERROR(__xludf.DUMMYFUNCTION("GOOGLETRANSLATE(D138, ""en"", ""ur"")"),"C) ہر گاجا پورے بورڈ پر صرف 8 مربعوں تک محدود ہے۔")</f>
        <v>C) ہر گاجا پورے بورڈ پر صرف 8 مربعوں تک محدود ہے۔</v>
      </c>
      <c r="N138" s="6" t="str">
        <f>IFERROR(__xludf.DUMMYFUNCTION("GOOGLETRANSLATE(E138, ""en"", ""ur"")"),"رنگ کے پابند ہونے اور ایک مختصر، فکسڈ چھلانگ لگانے کے امتزاج نے دو بشپس کے طویل فاصلے کے، مربوط خطرے کے مقابلے میں ان کی طاقت کو سختی سے محدود کردیا۔")</f>
        <v>رنگ کے پابند ہونے اور ایک مختصر، فکسڈ چھلانگ لگانے کے امتزاج نے دو بشپس کے طویل فاصلے کے، مربوط خطرے کے مقابلے میں ان کی طاقت کو سختی سے محدود کردیا۔</v>
      </c>
    </row>
    <row r="139">
      <c r="A139" s="4">
        <v>138.0</v>
      </c>
      <c r="B139" s="5" t="s">
        <v>1043</v>
      </c>
      <c r="C139" s="5" t="s">
        <v>1044</v>
      </c>
      <c r="D139" s="5" t="s">
        <v>1045</v>
      </c>
      <c r="E139" s="5" t="s">
        <v>1046</v>
      </c>
      <c r="J139" s="6" t="str">
        <f>IFERROR(__xludf.DUMMYFUNCTION("GOOGLETRANSLATE(A139, ""en"", ""ur"")"),"138")</f>
        <v>138</v>
      </c>
      <c r="K139" s="6" t="str">
        <f>IFERROR(__xludf.DUMMYFUNCTION("GOOGLETRANSLATE(B139, ""en"", ""ur"")"),"کس اسلامی خلیفہ کے بارے میں کہا جاتا ہے کہ وہ شترنج کا پرجوش کھلاڑی تھا اور اس نے بغداد میں اپنے دربار میں کئی اعلیٰ کھلاڑیوں کی سرپرستی کی؟")</f>
        <v>کس اسلامی خلیفہ کے بارے میں کہا جاتا ہے کہ وہ شترنج کا پرجوش کھلاڑی تھا اور اس نے بغداد میں اپنے دربار میں کئی اعلیٰ کھلاڑیوں کی سرپرستی کی؟</v>
      </c>
      <c r="L139" s="6" t="str">
        <f>IFERROR(__xludf.DUMMYFUNCTION("GOOGLETRANSLATE(C139, ""en"", ""ur"")"),"A) عمر، B) ابوبکر، C) علی، D) ہارون الرشید")</f>
        <v>A) عمر، B) ابوبکر، C) علی، D) ہارون الرشید</v>
      </c>
      <c r="M139" s="6" t="str">
        <f>IFERROR(__xludf.DUMMYFUNCTION("GOOGLETRANSLATE(D139, ""en"", ""ur"")"),"د) ہارون الرشید")</f>
        <v>د) ہارون الرشید</v>
      </c>
      <c r="N139" s="6" t="str">
        <f>IFERROR(__xludf.DUMMYFUNCTION("GOOGLETRANSLATE(E139, ""en"", ""ur"")"),"عباسی سنہری دور کا مشہور خلیفہ شترنج کے کھیل سمیت علوم و فنون کا بہت بڑا سرپرست تھا۔")</f>
        <v>عباسی سنہری دور کا مشہور خلیفہ شترنج کے کھیل سمیت علوم و فنون کا بہت بڑا سرپرست تھا۔</v>
      </c>
    </row>
    <row r="140">
      <c r="A140" s="4">
        <v>139.0</v>
      </c>
      <c r="B140" s="5" t="s">
        <v>863</v>
      </c>
      <c r="C140" s="5" t="s">
        <v>864</v>
      </c>
      <c r="D140" s="5" t="s">
        <v>865</v>
      </c>
      <c r="E140" s="5" t="s">
        <v>866</v>
      </c>
      <c r="J140" s="6" t="str">
        <f>IFERROR(__xludf.DUMMYFUNCTION("GOOGLETRANSLATE(A140, ""en"", ""ur"")"),"139")</f>
        <v>139</v>
      </c>
      <c r="K140" s="6" t="str">
        <f>IFERROR(__xludf.DUMMYFUNCTION("GOOGLETRANSLATE(B140, ""en"", ""ur"")"),"آپ کے دو اشوا کو بورڈ پر رکھنا حکمت عملی کے لحاظ سے کیوں اہم تھا؟")</f>
        <v>آپ کے دو اشوا کو بورڈ پر رکھنا حکمت عملی کے لحاظ سے کیوں اہم تھا؟</v>
      </c>
      <c r="L140" s="6" t="str">
        <f>IFERROR(__xludf.DUMMYFUNCTION("GOOGLETRANSLATE(C140, ""en"", ""ur"")"),"A) وہ بہترین دفاعی ٹکڑے تھے، B) وہ واحد ٹکڑے تھے جو ناکہ بندیوں پر چھلانگ لگا سکتے تھے، C) وہ سب سے زیادہ پوائنٹس کے قابل تھے، D) منتری کی حفاظت کے لیے ان کی ضرورت تھی۔")</f>
        <v>A) وہ بہترین دفاعی ٹکڑے تھے، B) وہ واحد ٹکڑے تھے جو ناکہ بندیوں پر چھلانگ لگا سکتے تھے، C) وہ سب سے زیادہ پوائنٹس کے قابل تھے، D) منتری کی حفاظت کے لیے ان کی ضرورت تھی۔</v>
      </c>
      <c r="M140" s="6" t="str">
        <f>IFERROR(__xludf.DUMMYFUNCTION("GOOGLETRANSLATE(D140, ""en"", ""ur"")"),"ب) وہ واحد ٹکڑے تھے جو ناکہ بندیوں پر چھلانگ لگا سکتے تھے۔")</f>
        <v>ب) وہ واحد ٹکڑے تھے جو ناکہ بندیوں پر چھلانگ لگا سکتے تھے۔</v>
      </c>
      <c r="N140" s="6" t="str">
        <f>IFERROR(__xludf.DUMMYFUNCTION("GOOGLETRANSLATE(E140, ""en"", ""ur"")"),"اشواس کی انوکھی چھلانگ لگانے کی صلاحیت نے انہیں ایک حکمت عملی کی اہمیت دی کہ کوئی دوسرا ٹکڑا نقل نہیں کرسکتا، خاص طور پر بند اور پیچیدہ پوزیشنوں میں۔")</f>
        <v>اشواس کی انوکھی چھلانگ لگانے کی صلاحیت نے انہیں ایک حکمت عملی کی اہمیت دی کہ کوئی دوسرا ٹکڑا نقل نہیں کرسکتا، خاص طور پر بند اور پیچیدہ پوزیشنوں میں۔</v>
      </c>
    </row>
    <row r="141">
      <c r="A141" s="4">
        <v>140.0</v>
      </c>
      <c r="B141" s="5" t="s">
        <v>1047</v>
      </c>
      <c r="C141" s="5" t="s">
        <v>1048</v>
      </c>
      <c r="D141" s="5" t="s">
        <v>156</v>
      </c>
      <c r="E141" s="5" t="s">
        <v>1049</v>
      </c>
      <c r="J141" s="6" t="str">
        <f>IFERROR(__xludf.DUMMYFUNCTION("GOOGLETRANSLATE(A141, ""en"", ""ur"")"),"140")</f>
        <v>140</v>
      </c>
      <c r="K141" s="6" t="str">
        <f>IFERROR(__xludf.DUMMYFUNCTION("GOOGLETRANSLATE(B141, ""en"", ""ur"")"),"کس طرح چتورنگا کا مقصد جدید شطرنج کے مقابلے میں قدیم جنگ کا زیادہ براہ راست نقالی تھا؟")</f>
        <v>کس طرح چتورنگا کا مقصد جدید شطرنج کے مقابلے میں قدیم جنگ کا زیادہ براہ راست نقالی تھا؟</v>
      </c>
      <c r="L141" s="6" t="str">
        <f>IFERROR(__xludf.DUMMYFUNCTION("GOOGLETRANSLATE(C141, ""en"", ""ur"")"),"A) مقصد دشمن کے کمانڈر کی لفظی فنا (گرفتاری) تھا، B) اس نے جنگ کی قسمت کی نقل کرنے کے لیے نرد کا استعمال کیا، C) ٹکڑوں کو جنگ کی تشکیل میں ترتیب دیا گیا، D) مندرجہ بالا تمام")</f>
        <v>A) مقصد دشمن کے کمانڈر کی لفظی فنا (گرفتاری) تھا، B) اس نے جنگ کی قسمت کی نقل کرنے کے لیے نرد کا استعمال کیا، C) ٹکڑوں کو جنگ کی تشکیل میں ترتیب دیا گیا، D) مندرجہ بالا تمام</v>
      </c>
      <c r="M141" s="6" t="str">
        <f>IFERROR(__xludf.DUMMYFUNCTION("GOOGLETRANSLATE(D141, ""en"", ""ur"")"),"D) مذکورہ بالا تمام")</f>
        <v>D) مذکورہ بالا تمام</v>
      </c>
      <c r="N141" s="6" t="str">
        <f>IFERROR(__xludf.DUMMYFUNCTION("GOOGLETRANSLATE(E141, ""en"", ""ur"")"),"بادشاہ کی گرفت کی حکمرانی، کچھ ورژن میں ڈائس کا استعمال، اور ملٹری فارمیشن سیٹ اپ سبھی نے گیم کو ایک قدیم جنگ کی براہ راست نمائندگی بنا دیا۔")</f>
        <v>بادشاہ کی گرفت کی حکمرانی، کچھ ورژن میں ڈائس کا استعمال، اور ملٹری فارمیشن سیٹ اپ سبھی نے گیم کو ایک قدیم جنگ کی براہ راست نمائندگی بنا دیا۔</v>
      </c>
    </row>
    <row r="142">
      <c r="A142" s="4">
        <v>141.0</v>
      </c>
      <c r="B142" s="5" t="s">
        <v>1050</v>
      </c>
      <c r="C142" s="5" t="s">
        <v>1051</v>
      </c>
      <c r="D142" s="5" t="s">
        <v>1052</v>
      </c>
      <c r="E142" s="5" t="s">
        <v>1053</v>
      </c>
      <c r="J142" s="6" t="str">
        <f>IFERROR(__xludf.DUMMYFUNCTION("GOOGLETRANSLATE(A142, ""en"", ""ur"")"),"141")</f>
        <v>141</v>
      </c>
      <c r="K142" s="6" t="str">
        <f>IFERROR(__xludf.DUMMYFUNCTION("GOOGLETRANSLATE(B142, ""en"", ""ur"")"),"اس ٹکڑے کا کیا نام ہے جو ایک مربع کو ترچھی حرکت کرتا ہے؟")</f>
        <v>اس ٹکڑے کا کیا نام ہے جو ایک مربع کو ترچھی حرکت کرتا ہے؟</v>
      </c>
      <c r="L142" s="6" t="str">
        <f>IFERROR(__xludf.DUMMYFUNCTION("GOOGLETRANSLATE(C142, ""en"", ""ur"")"),"اے) راجہ، بی) گاجا، سی) منتری، ڈی) پدتی")</f>
        <v>اے) راجہ، بی) گاجا، سی) منتری، ڈی) پدتی</v>
      </c>
      <c r="M142" s="6" t="str">
        <f>IFERROR(__xludf.DUMMYFUNCTION("GOOGLETRANSLATE(D142, ""en"", ""ur"")"),"ج) منتری")</f>
        <v>ج) منتری</v>
      </c>
      <c r="N142" s="6" t="str">
        <f>IFERROR(__xludf.DUMMYFUNCTION("GOOGLETRANSLATE(E142, ""en"", ""ur"")"),"منتری (مشیر) سب سے کمزور ٹکڑا تھا، جس کی حرکت ایک ترچھے قدم تک محدود تھی۔")</f>
        <v>منتری (مشیر) سب سے کمزور ٹکڑا تھا، جس کی حرکت ایک ترچھے قدم تک محدود تھی۔</v>
      </c>
    </row>
    <row r="143">
      <c r="A143" s="4">
        <v>142.0</v>
      </c>
      <c r="B143" s="5" t="s">
        <v>1054</v>
      </c>
      <c r="C143" s="5" t="s">
        <v>939</v>
      </c>
      <c r="D143" s="5" t="s">
        <v>940</v>
      </c>
      <c r="E143" s="5" t="s">
        <v>1055</v>
      </c>
      <c r="J143" s="6" t="str">
        <f>IFERROR(__xludf.DUMMYFUNCTION("GOOGLETRANSLATE(A143, ""en"", ""ur"")"),"142")</f>
        <v>142</v>
      </c>
      <c r="K143" s="6" t="str">
        <f>IFERROR(__xludf.DUMMYFUNCTION("GOOGLETRANSLATE(B143, ""en"", ""ur"")"),"ایک کھلاڑی کا h1 پر راجہ ہوتا ہے۔ ایک مخالف کے پاس d5 پر گاجا ہے۔ کیا راجہ حملہ کی زد میں ہے؟")</f>
        <v>ایک کھلاڑی کا h1 پر راجہ ہوتا ہے۔ ایک مخالف کے پاس d5 پر گاجا ہے۔ کیا راجہ حملہ کی زد میں ہے؟</v>
      </c>
      <c r="L143" s="6" t="str">
        <f>IFERROR(__xludf.DUMMYFUNCTION("GOOGLETRANSLATE(C143, ""en"", ""ur"")"),"A) ہاں، B) نہیں، C) صرف اس صورت میں جب گاجا ایک خاص ٹکڑا ہو، D) یہ ایک تعطل ہے۔")</f>
        <v>A) ہاں، B) نہیں، C) صرف اس صورت میں جب گاجا ایک خاص ٹکڑا ہو، D) یہ ایک تعطل ہے۔</v>
      </c>
      <c r="M143" s="6" t="str">
        <f>IFERROR(__xludf.DUMMYFUNCTION("GOOGLETRANSLATE(D143, ""en"", ""ur"")"),"ب) نہیں")</f>
        <v>ب) نہیں</v>
      </c>
      <c r="N143" s="6" t="str">
        <f>IFERROR(__xludf.DUMMYFUNCTION("GOOGLETRANSLATE(E143, ""en"", ""ur"")"),"d5 سے، ایک گاجا b3، b7، f3، اور f7 تک چھلانگ لگا سکتا ہے۔ یہ کونے کے مربع h1 پر حملہ نہیں کر سکتا۔")</f>
        <v>d5 سے، ایک گاجا b3، b7، f3، اور f7 تک چھلانگ لگا سکتا ہے۔ یہ کونے کے مربع h1 پر حملہ نہیں کر سکتا۔</v>
      </c>
    </row>
    <row r="144">
      <c r="A144" s="4">
        <v>143.0</v>
      </c>
      <c r="B144" s="5" t="s">
        <v>1056</v>
      </c>
      <c r="C144" s="5" t="s">
        <v>1057</v>
      </c>
      <c r="D144" s="5" t="s">
        <v>1058</v>
      </c>
      <c r="E144" s="5" t="s">
        <v>1059</v>
      </c>
      <c r="J144" s="6" t="str">
        <f>IFERROR(__xludf.DUMMYFUNCTION("GOOGLETRANSLATE(A144, ""en"", ""ur"")"),"143")</f>
        <v>143</v>
      </c>
      <c r="K144" s="6" t="str">
        <f>IFERROR(__xludf.DUMMYFUNCTION("GOOGLETRANSLATE(B144, ""en"", ""ur"")"),"کیا ہوتا ہے اگر کوئی کھلاڑی اپنے مخالف راجہ پر حملہ آور ہو، لیکن اپنی باری پر اسے پکڑنے میں ناکام ہو جائے؟")</f>
        <v>کیا ہوتا ہے اگر کوئی کھلاڑی اپنے مخالف راجہ پر حملہ آور ہو، لیکن اپنی باری پر اسے پکڑنے میں ناکام ہو جائے؟</v>
      </c>
      <c r="L144" s="6" t="str">
        <f>IFERROR(__xludf.DUMMYFUNCTION("GOOGLETRANSLATE(C144, ""en"", ""ur"")"),"A) وہ گیم ہار جاتے ہیں، B) حریف کو فرار ہونے کی اجازت ہے، C) گیم ڈرا ہے، D) انہیں ""چیک"" کا اعلان کرنا ہوگا۔")</f>
        <v>A) وہ گیم ہار جاتے ہیں، B) حریف کو فرار ہونے کی اجازت ہے، C) گیم ڈرا ہے، D) انہیں "چیک" کا اعلان کرنا ہوگا۔</v>
      </c>
      <c r="M144" s="6" t="str">
        <f>IFERROR(__xludf.DUMMYFUNCTION("GOOGLETRANSLATE(D144, ""en"", ""ur"")"),"ب) مخالف کو فرار ہونے کے لیے حرکت کرنے کی اجازت ہے۔")</f>
        <v>ب) مخالف کو فرار ہونے کے لیے حرکت کرنے کی اجازت ہے۔</v>
      </c>
      <c r="N144" s="6" t="str">
        <f>IFERROR(__xludf.DUMMYFUNCTION("GOOGLETRANSLATE(E144, ""en"", ""ur"")"),"چونکہ کوئی ""چیک"" قاعدہ نہیں تھا، اگر کوئی کھلاڑی راجہ کو پکڑنے کا موقع گنوا دیتا ہے، تو حریف اپنی باری پر اسے محفوظ جگہ پر منتقل کرنے کے لیے آزاد تھا۔")</f>
        <v>چونکہ کوئی "چیک" قاعدہ نہیں تھا، اگر کوئی کھلاڑی راجہ کو پکڑنے کا موقع گنوا دیتا ہے، تو حریف اپنی باری پر اسے محفوظ جگہ پر منتقل کرنے کے لیے آزاد تھا۔</v>
      </c>
    </row>
    <row r="145">
      <c r="A145" s="4">
        <v>144.0</v>
      </c>
      <c r="B145" s="5" t="s">
        <v>1060</v>
      </c>
      <c r="C145" s="5" t="s">
        <v>1061</v>
      </c>
      <c r="D145" s="5" t="s">
        <v>1062</v>
      </c>
      <c r="E145" s="5" t="s">
        <v>1063</v>
      </c>
      <c r="J145" s="6" t="str">
        <f>IFERROR(__xludf.DUMMYFUNCTION("GOOGLETRANSLATE(A145, ""en"", ""ur"")"),"144")</f>
        <v>144</v>
      </c>
      <c r="K145" s="6" t="str">
        <f>IFERROR(__xludf.DUMMYFUNCTION("GOOGLETRANSLATE(B145, ""en"", ""ur"")"),"فارس میں چتورنگا جس کھیل میں تیار ہوا اسے شترنج کہا جاتا تھا۔ شترنج جیتنے کا سب سے عام طریقہ کیا تھا؟")</f>
        <v>فارس میں چتورنگا جس کھیل میں تیار ہوا اسے شترنج کہا جاتا تھا۔ شترنج جیتنے کا سب سے عام طریقہ کیا تھا؟</v>
      </c>
      <c r="L145" s="6" t="str">
        <f>IFERROR(__xludf.DUMMYFUNCTION("GOOGLETRANSLATE(C145, ""en"", ""ur"")"),"A) شاہ (بادشاہ) کو پکڑ کر، B) شاہ کو چیک کر کے، C) تعطل پر مجبور کر کے، D) تمام پیادوں کو پکڑ کر")</f>
        <v>A) شاہ (بادشاہ) کو پکڑ کر، B) شاہ کو چیک کر کے، C) تعطل پر مجبور کر کے، D) تمام پیادوں کو پکڑ کر</v>
      </c>
      <c r="M145" s="6" t="str">
        <f>IFERROR(__xludf.DUMMYFUNCTION("GOOGLETRANSLATE(D145, ""en"", ""ur"")"),"ب) شاہ کو چیک کر کے")</f>
        <v>ب) شاہ کو چیک کر کے</v>
      </c>
      <c r="N145" s="6" t="str">
        <f>IFERROR(__xludf.DUMMYFUNCTION("GOOGLETRANSLATE(E145, ""en"", ""ur"")"),"شترانج نے چیک میٹ کا تصور متعارف کرایا، جو جیتنے کا بنیادی طریقہ بن گیا، جو چتورنگا کی گرفت کے اصول سے ایک اہم ارتقاء تھا۔")</f>
        <v>شترانج نے چیک میٹ کا تصور متعارف کرایا، جو جیتنے کا بنیادی طریقہ بن گیا، جو چتورنگا کی گرفت کے اصول سے ایک اہم ارتقاء تھا۔</v>
      </c>
    </row>
    <row r="146">
      <c r="A146" s="4">
        <v>145.0</v>
      </c>
      <c r="B146" s="5" t="s">
        <v>1064</v>
      </c>
      <c r="C146" s="5" t="s">
        <v>783</v>
      </c>
      <c r="D146" s="5" t="s">
        <v>784</v>
      </c>
      <c r="E146" s="5" t="s">
        <v>785</v>
      </c>
      <c r="J146" s="6" t="str">
        <f>IFERROR(__xludf.DUMMYFUNCTION("GOOGLETRANSLATE(A146, ""en"", ""ur"")"),"145")</f>
        <v>145</v>
      </c>
      <c r="K146" s="6" t="str">
        <f>IFERROR(__xludf.DUMMYFUNCTION("GOOGLETRANSLATE(B146, ""en"", ""ur"")"),"ایک کھلاڑی کے پاس صرف ایک راجہ اور ایک ہاتھی رہ گیا ہے۔ کیا وہ اکیلے دشمن راجہ کے خلاف جیت سکتے ہیں؟")</f>
        <v>ایک کھلاڑی کے پاس صرف ایک راجہ اور ایک ہاتھی رہ گیا ہے۔ کیا وہ اکیلے دشمن راجہ کے خلاف جیت سکتے ہیں؟</v>
      </c>
      <c r="L146" s="6" t="str">
        <f>IFERROR(__xludf.DUMMYFUNCTION("GOOGLETRANSLATE(C146, ""en"", ""ur"")"),"A) نہیں، یہ ڈرا ہے، B) ہاں، یہ ایک معیاری اور ابتدائی جیت ہے، C) یہ ممکن ہے، لیکن بہت مشکل، D) صرف اس صورت میں جب تنہا راجہ کونے میں ہو۔")</f>
        <v>A) نہیں، یہ ڈرا ہے، B) ہاں، یہ ایک معیاری اور ابتدائی جیت ہے، C) یہ ممکن ہے، لیکن بہت مشکل، D) صرف اس صورت میں جب تنہا راجہ کونے میں ہو۔</v>
      </c>
      <c r="M146" s="6" t="str">
        <f>IFERROR(__xludf.DUMMYFUNCTION("GOOGLETRANSLATE(D146, ""en"", ""ur"")"),"ب) جی ہاں، یہ ایک معیاری اور ابتدائی جیت ہے۔")</f>
        <v>ب) جی ہاں، یہ ایک معیاری اور ابتدائی جیت ہے۔</v>
      </c>
      <c r="N146" s="6" t="str">
        <f>IFERROR(__xludf.DUMMYFUNCTION("GOOGLETRANSLATE(E146, ""en"", ""ur"")"),"ایک کنگ اینڈ روک (یا راجہ اور ہاتھی) کسی اکیلے بادشاہ کو بورڈ کے کنارے تک لے جا کر آسانی سے جیتنے پر مجبور کر سکتے ہیں۔")</f>
        <v>ایک کنگ اینڈ روک (یا راجہ اور ہاتھی) کسی اکیلے بادشاہ کو بورڈ کے کنارے تک لے جا کر آسانی سے جیتنے پر مجبور کر سکتے ہیں۔</v>
      </c>
    </row>
    <row r="147">
      <c r="A147" s="4">
        <v>146.0</v>
      </c>
      <c r="B147" s="5" t="s">
        <v>1065</v>
      </c>
      <c r="C147" s="5" t="s">
        <v>1066</v>
      </c>
      <c r="D147" s="5" t="s">
        <v>1067</v>
      </c>
      <c r="E147" s="5" t="s">
        <v>1068</v>
      </c>
      <c r="J147" s="6" t="str">
        <f>IFERROR(__xludf.DUMMYFUNCTION("GOOGLETRANSLATE(A147, ""en"", ""ur"")"),"146")</f>
        <v>146</v>
      </c>
      <c r="K147" s="6" t="str">
        <f>IFERROR(__xludf.DUMMYFUNCTION("GOOGLETRANSLATE(B147, ""en"", ""ur"")"),"ابتدائی سیٹ اپ میں راجہ اور منتری کو کہاں رکھا گیا ہے؟")</f>
        <v>ابتدائی سیٹ اپ میں راجہ اور منتری کو کہاں رکھا گیا ہے؟</v>
      </c>
      <c r="L147" s="6" t="str">
        <f>IFERROR(__xludf.DUMMYFUNCTION("GOOGLETRANSLATE(C147, ""en"", ""ur"")"),"A) بورڈ کے کونوں میں، B) پچھلے رینک کی دو مرکزی فائلوں پر، C) پیادوں کے سامنے، D) بورڈ کے اطراف میں")</f>
        <v>A) بورڈ کے کونوں میں، B) پچھلے رینک کی دو مرکزی فائلوں پر، C) پیادوں کے سامنے، D) بورڈ کے اطراف میں</v>
      </c>
      <c r="M147" s="6" t="str">
        <f>IFERROR(__xludf.DUMMYFUNCTION("GOOGLETRANSLATE(D147, ""en"", ""ur"")"),"ب) بیک رینک کی دو مرکزی فائلوں پر")</f>
        <v>ب) بیک رینک کی دو مرکزی فائلوں پر</v>
      </c>
      <c r="N147" s="6" t="str">
        <f>IFERROR(__xludf.DUMMYFUNCTION("GOOGLETRANSLATE(E147, ""en"", ""ur"")"),"بادشاہ اور اس کے مشیر نے ان کی کمانڈ پوزیشن کی علامت کے طور پر پچھلے درجے کے بیچ میں شروع کیا۔")</f>
        <v>بادشاہ اور اس کے مشیر نے ان کی کمانڈ پوزیشن کی علامت کے طور پر پچھلے درجے کے بیچ میں شروع کیا۔</v>
      </c>
    </row>
    <row r="148">
      <c r="A148" s="4">
        <v>147.0</v>
      </c>
      <c r="B148" s="5" t="s">
        <v>1069</v>
      </c>
      <c r="C148" s="5" t="s">
        <v>1070</v>
      </c>
      <c r="D148" s="5" t="s">
        <v>1071</v>
      </c>
      <c r="E148" s="5" t="s">
        <v>1072</v>
      </c>
      <c r="J148" s="6" t="str">
        <f>IFERROR(__xludf.DUMMYFUNCTION("GOOGLETRANSLATE(A148, ""en"", ""ur"")"),"147")</f>
        <v>147</v>
      </c>
      <c r="K148" s="6" t="str">
        <f>IFERROR(__xludf.DUMMYFUNCTION("GOOGLETRANSLATE(B148, ""en"", ""ur"")"),"گجا (ہاتھی) کے لیے فارسی اصطلاح پِل یا فل تھی۔ یہ شطرنج کے ٹکڑے کے لیے انگریزی میں کون سا لفظ بن گیا؟")</f>
        <v>گجا (ہاتھی) کے لیے فارسی اصطلاح پِل یا فل تھی۔ یہ شطرنج کے ٹکڑے کے لیے انگریزی میں کون سا لفظ بن گیا؟</v>
      </c>
      <c r="L148" s="6" t="str">
        <f>IFERROR(__xludf.DUMMYFUNCTION("GOOGLETRANSLATE(C148, ""en"", ""ur"")"),"A) یہ زندہ نہیں رہا، B) یہ ""فائل"" بن گیا، C) یہ ""بشپ"" بن گیا (تبدیلیوں کی ایک سیریز کے ذریعے)، D) یہ کچھ زبانوں میں ""فول"" بن گیا")</f>
        <v>A) یہ زندہ نہیں رہا، B) یہ "فائل" بن گیا، C) یہ "بشپ" بن گیا (تبدیلیوں کی ایک سیریز کے ذریعے)، D) یہ کچھ زبانوں میں "فول" بن گیا</v>
      </c>
      <c r="M148" s="6" t="str">
        <f>IFERROR(__xludf.DUMMYFUNCTION("GOOGLETRANSLATE(D148, ""en"", ""ur"")"),"D) یہ کچھ زبانوں میں ""فول"" بن گیا۔")</f>
        <v>D) یہ کچھ زبانوں میں "فول" بن گیا۔</v>
      </c>
      <c r="N148" s="6" t="str">
        <f>IFERROR(__xludf.DUMMYFUNCTION("GOOGLETRANSLATE(E148, ""en"", ""ur"")"),"عربی الفل کو بعض یورپی زبانوں میں تلفظ کرنا مشکل تھا، اور اس کی جگہ عوفین (فرانسیسی) اور آخر کار فو (فول) جیسے الفاظ میں بدل گئی، اس سے پہلے کہ بشپ کی جگہ لے لی جائے۔")</f>
        <v>عربی الفل کو بعض یورپی زبانوں میں تلفظ کرنا مشکل تھا، اور اس کی جگہ عوفین (فرانسیسی) اور آخر کار فو (فول) جیسے الفاظ میں بدل گئی، اس سے پہلے کہ بشپ کی جگہ لے لی جائے۔</v>
      </c>
    </row>
    <row r="149">
      <c r="A149" s="4">
        <v>148.0</v>
      </c>
      <c r="B149" s="5" t="s">
        <v>1073</v>
      </c>
      <c r="C149" s="5" t="s">
        <v>1074</v>
      </c>
      <c r="D149" s="5" t="s">
        <v>1075</v>
      </c>
      <c r="E149" s="5" t="s">
        <v>1076</v>
      </c>
      <c r="J149" s="6" t="str">
        <f>IFERROR(__xludf.DUMMYFUNCTION("GOOGLETRANSLATE(A149, ""en"", ""ur"")"),"148")</f>
        <v>148</v>
      </c>
      <c r="K149" s="6" t="str">
        <f>IFERROR(__xludf.DUMMYFUNCTION("GOOGLETRANSLATE(B149, ""en"", ""ur"")"),"چتورنگا کے کسی بھی معروف ورژن میں ان میں سے کون سا اصلی حصہ نہیں ہے؟")</f>
        <v>چتورنگا کے کسی بھی معروف ورژن میں ان میں سے کون سا اصلی حصہ نہیں ہے؟</v>
      </c>
      <c r="L149" s="6" t="str">
        <f>IFERROR(__xludf.DUMMYFUNCTION("GOOGLETRANSLATE(C149, ""en"", ""ur"")"),"اے) راجہ (بادشاہ)، بی) گجا (ہاتھی)، سی) زراف (چھلانگ کرنے والا ٹکڑا)، ڈی) ہاتھی (رتھ)")</f>
        <v>اے) راجہ (بادشاہ)، بی) گجا (ہاتھی)، سی) زراف (چھلانگ کرنے والا ٹکڑا)، ڈی) ہاتھی (رتھ)</v>
      </c>
      <c r="M149" s="6" t="str">
        <f>IFERROR(__xludf.DUMMYFUNCTION("GOOGLETRANSLATE(D149, ""en"", ""ur"")"),"ج) زرافہ (اچھلنے والا ٹکڑا)")</f>
        <v>ج) زرافہ (اچھلنے والا ٹکڑا)</v>
      </c>
      <c r="N149" s="6" t="str">
        <f>IFERROR(__xludf.DUMMYFUNCTION("GOOGLETRANSLATE(E149, ""en"", ""ur"")"),"اگرچہ شطرنج کی بہت سی قسمیں موجود ہیں، جراف ""ٹیمرلین شطرنج"" کا ایک ٹکڑا ہے، جو کہ بہت بعد میں اور زیادہ پیچیدہ کھیل ہے، اصل چتورنگا سے نہیں۔")</f>
        <v>اگرچہ شطرنج کی بہت سی قسمیں موجود ہیں، جراف "ٹیمرلین شطرنج" کا ایک ٹکڑا ہے، جو کہ بہت بعد میں اور زیادہ پیچیدہ کھیل ہے، اصل چتورنگا سے نہیں۔</v>
      </c>
    </row>
    <row r="150">
      <c r="A150" s="4">
        <v>149.0</v>
      </c>
      <c r="B150" s="5" t="s">
        <v>661</v>
      </c>
      <c r="C150" s="5" t="s">
        <v>1077</v>
      </c>
      <c r="D150" s="5" t="s">
        <v>1078</v>
      </c>
      <c r="E150" s="5" t="s">
        <v>1079</v>
      </c>
      <c r="J150" s="6" t="str">
        <f>IFERROR(__xludf.DUMMYFUNCTION("GOOGLETRANSLATE(A150, ""en"", ""ur"")"),"149")</f>
        <v>149</v>
      </c>
      <c r="K150" s="6" t="str">
        <f>IFERROR(__xludf.DUMMYFUNCTION("GOOGLETRANSLATE(B150, ""en"", ""ur"")"),"جدید شطرنج میں ایک پیادے کے مقابلے چتورنگا میں ایک ہی پاداٹی کو زیادہ قیمتی سمجھا جانے کی بنیادی وجہ کیا ہے؟")</f>
        <v>جدید شطرنج میں ایک پیادے کے مقابلے چتورنگا میں ایک ہی پاداٹی کو زیادہ قیمتی سمجھا جانے کی بنیادی وجہ کیا ہے؟</v>
      </c>
      <c r="L150" s="6" t="str">
        <f>IFERROR(__xludf.DUMMYFUNCTION("GOOGLETRANSLATE(C150, ""en"", ""ur"")"),"A) یہ پیچھے کی طرف بڑھ سکتا تھا، B) دوسرے ٹکڑوں کی کمزوری کی وجہ سے اسے روکنا مشکل تھا، C) یہ سیدھا آگے پکڑ سکتا تھا، D) اسے ملکہ بنا دیا گیا")</f>
        <v>A) یہ پیچھے کی طرف بڑھ سکتا تھا، B) دوسرے ٹکڑوں کی کمزوری کی وجہ سے اسے روکنا مشکل تھا، C) یہ سیدھا آگے پکڑ سکتا تھا، D) اسے ملکہ بنا دیا گیا</v>
      </c>
      <c r="M150" s="6" t="str">
        <f>IFERROR(__xludf.DUMMYFUNCTION("GOOGLETRANSLATE(D150, ""en"", ""ur"")"),"ب) دوسرے ٹکڑوں کی کمزوری کی وجہ سے اسے روکنا مشکل تھا۔")</f>
        <v>ب) دوسرے ٹکڑوں کی کمزوری کی وجہ سے اسے روکنا مشکل تھا۔</v>
      </c>
      <c r="N150" s="6" t="str">
        <f>IFERROR(__xludf.DUMMYFUNCTION("GOOGLETRANSLATE(E150, ""en"", ""ur"")"),"کوئی طاقتور ملکہ اور اخترن کو کنٹرول کرنے کے لیے صرف قلیل فاصلے کے بشپ کے بغیر، ""پاس"" پاداٹی ایک بہت زیادہ سنگین خطرہ تھا۔")</f>
        <v>کوئی طاقتور ملکہ اور اخترن کو کنٹرول کرنے کے لیے صرف قلیل فاصلے کے بشپ کے بغیر، "پاس" پاداٹی ایک بہت زیادہ سنگین خطرہ تھا۔</v>
      </c>
    </row>
    <row r="151">
      <c r="A151" s="4">
        <v>150.0</v>
      </c>
      <c r="B151" s="5" t="s">
        <v>1080</v>
      </c>
      <c r="C151" s="5" t="s">
        <v>1081</v>
      </c>
      <c r="D151" s="5" t="s">
        <v>1082</v>
      </c>
      <c r="E151" s="5" t="s">
        <v>1083</v>
      </c>
      <c r="J151" s="6" t="str">
        <f>IFERROR(__xludf.DUMMYFUNCTION("GOOGLETRANSLATE(A151, ""en"", ""ur"")"),"150")</f>
        <v>150</v>
      </c>
      <c r="K151" s="6" t="str">
        <f>IFERROR(__xludf.DUMMYFUNCTION("GOOGLETRANSLATE(B151, ""en"", ""ur"")"),"عالمی تاریخ میں چتورنگا کی حتمی اہمیت کیا ہے؟")</f>
        <v>عالمی تاریخ میں چتورنگا کی حتمی اہمیت کیا ہے؟</v>
      </c>
      <c r="L151" s="6" t="str">
        <f>IFERROR(__xludf.DUMMYFUNCTION("GOOGLETRANSLATE(C151, ""en"", ""ur"")"),"A) یہ اب تک کا سب سے مشہور کھیل تھا، B) یہ حکمت عملی کے کھیلوں کے عالمی خاندان کا مشترکہ پرکھ ہے، خاص طور پر شطرنج، C) یہ قدیم ہندوستانی فوجی فتوحات کا ایک آلہ تھا، D) یہ ایک گمشدہ کھیل ہے جسے اب کوئی نہیں کھیلتا۔")</f>
        <v>A) یہ اب تک کا سب سے مشہور کھیل تھا، B) یہ حکمت عملی کے کھیلوں کے عالمی خاندان کا مشترکہ پرکھ ہے، خاص طور پر شطرنج، C) یہ قدیم ہندوستانی فوجی فتوحات کا ایک آلہ تھا، D) یہ ایک گمشدہ کھیل ہے جسے اب کوئی نہیں کھیلتا۔</v>
      </c>
      <c r="M151" s="6" t="str">
        <f>IFERROR(__xludf.DUMMYFUNCTION("GOOGLETRANSLATE(D151, ""en"", ""ur"")"),"ب) یہ حکمت عملی کے کھیلوں کے عالمی خاندان کا مشترکہ اجداد ہے، خاص طور پر شطرنج")</f>
        <v>ب) یہ حکمت عملی کے کھیلوں کے عالمی خاندان کا مشترکہ اجداد ہے، خاص طور پر شطرنج</v>
      </c>
      <c r="N151" s="6" t="str">
        <f>IFERROR(__xludf.DUMMYFUNCTION("GOOGLETRANSLATE(E151, ""en"", ""ur"")"),"چتورنگا کی ایجاد ثقافتی تاریخ کا ایک اہم لمحہ تھا، جس کے نتیجے میں دنیا کے سب سے زیادہ پائیدار اور مقبول دانشورانہ تفریحات میں سے ایک کی ترقی ہوئی۔")</f>
        <v>چتورنگا کی ایجاد ثقافتی تاریخ کا ایک اہم لمحہ تھا، جس کے نتیجے میں دنیا کے سب سے زیادہ پائیدار اور مقبول دانشورانہ تفریحات میں سے ایک کی ترقی ہوئی۔</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5" width="37.63"/>
    <col customWidth="1" min="11" max="14" width="37.63"/>
  </cols>
  <sheetData>
    <row r="1">
      <c r="A1" s="2" t="s">
        <v>0</v>
      </c>
      <c r="B1" s="2" t="s">
        <v>1</v>
      </c>
      <c r="C1" s="2" t="s">
        <v>2</v>
      </c>
      <c r="D1" s="2" t="s">
        <v>3</v>
      </c>
      <c r="E1" s="2" t="s">
        <v>4</v>
      </c>
      <c r="J1" s="3" t="s">
        <v>5</v>
      </c>
      <c r="K1" s="3" t="s">
        <v>6</v>
      </c>
      <c r="L1" s="3" t="s">
        <v>7</v>
      </c>
      <c r="M1" s="3" t="s">
        <v>8</v>
      </c>
      <c r="N1" s="3" t="s">
        <v>9</v>
      </c>
    </row>
    <row r="2">
      <c r="A2" s="4">
        <v>1.0</v>
      </c>
      <c r="B2" s="5" t="s">
        <v>1084</v>
      </c>
      <c r="C2" s="5" t="s">
        <v>1085</v>
      </c>
      <c r="D2" s="5" t="s">
        <v>1086</v>
      </c>
      <c r="E2" s="5" t="s">
        <v>1087</v>
      </c>
      <c r="J2" s="6" t="str">
        <f>IFERROR(__xludf.DUMMYFUNCTION("GOOGLETRANSLATE(A2, ""en"", ""ur"")"),"1")</f>
        <v>1</v>
      </c>
      <c r="K2" s="6" t="str">
        <f>IFERROR(__xludf.DUMMYFUNCTION("GOOGLETRANSLATE(B2, ""en"", ""ur"")"),"پشاور میں بزکشی کے فائنل میں، ایک سوار لاش کو پکڑتا ہے لیکن توازن کھو بیٹھتا ہے اور گول کے دائرے سے ذرا پہلے گر جاتا ہے۔ فوری حکم کیا ہے؟")</f>
        <v>پشاور میں بزکشی کے فائنل میں، ایک سوار لاش کو پکڑتا ہے لیکن توازن کھو بیٹھتا ہے اور گول کے دائرے سے ذرا پہلے گر جاتا ہے۔ فوری حکم کیا ہے؟</v>
      </c>
      <c r="L2" s="6" t="str">
        <f>IFERROR(__xludf.DUMMYFUNCTION("GOOGLETRANSLATE(C2, ""en"", ""ur"")"),"A) لاش کو نقطہ آغاز پر دوبارہ ترتیب دیا جاتا ہے، B) سوار کی ٹیم ایک پوائنٹ کھو دیتی ہے، C) مخالف ٹیم کو مفت کوشش ملتی ہے، D) میچ اس وقت تک رک جاتا ہے جب تک کہ سوار دوبارہ نہیں ہو جاتا")</f>
        <v>A) لاش کو نقطہ آغاز پر دوبارہ ترتیب دیا جاتا ہے، B) سوار کی ٹیم ایک پوائنٹ کھو دیتی ہے، C) مخالف ٹیم کو مفت کوشش ملتی ہے، D) میچ اس وقت تک رک جاتا ہے جب تک کہ سوار دوبارہ نہیں ہو جاتا</v>
      </c>
      <c r="M2" s="6" t="str">
        <f>IFERROR(__xludf.DUMMYFUNCTION("GOOGLETRANSLATE(D2, ""en"", ""ur"")"),"A) لاش کو ابتدائی نقطہ پر دوبارہ ترتیب دیا گیا ہے۔")</f>
        <v>A) لاش کو ابتدائی نقطہ پر دوبارہ ترتیب دیا گیا ہے۔</v>
      </c>
      <c r="N2" s="6" t="str">
        <f>IFERROR(__xludf.DUMMYFUNCTION("GOOGLETRANSLATE(E2, ""en"", ""ur"")"),"اگر کوئی سوار لاش کو پکڑتے ہوئے گر جائے تو قبضہ ختم ہو جاتا ہے۔ کھیل کے قوانین کے مطابق لاش کو منصفانہ کھیل کے لیے دوبارہ ترتیب دیا جانا چاہیے۔")</f>
        <v>اگر کوئی سوار لاش کو پکڑتے ہوئے گر جائے تو قبضہ ختم ہو جاتا ہے۔ کھیل کے قوانین کے مطابق لاش کو منصفانہ کھیل کے لیے دوبارہ ترتیب دیا جانا چاہیے۔</v>
      </c>
    </row>
    <row r="3">
      <c r="A3" s="4">
        <v>2.0</v>
      </c>
      <c r="B3" s="5" t="s">
        <v>1088</v>
      </c>
      <c r="C3" s="5" t="s">
        <v>1089</v>
      </c>
      <c r="D3" s="5" t="s">
        <v>1090</v>
      </c>
      <c r="E3" s="5" t="s">
        <v>1091</v>
      </c>
      <c r="J3" s="6" t="str">
        <f>IFERROR(__xludf.DUMMYFUNCTION("GOOGLETRANSLATE(A3, ""en"", ""ur"")"),"2")</f>
        <v>2</v>
      </c>
      <c r="K3" s="6" t="str">
        <f>IFERROR(__xludf.DUMMYFUNCTION("GOOGLETRANSLATE(B3, ""en"", ""ur"")"),"کوئٹہ کے ایک ٹورنامنٹ میں ایک ریفری ایک سوار کو اپنے چابک سے مخالف کے گھوڑے کو جان بوجھ کر مارتے ہوئے دیکھ رہا ہے۔ صحیح عمل کیا ہے؟")</f>
        <v>کوئٹہ کے ایک ٹورنامنٹ میں ایک ریفری ایک سوار کو اپنے چابک سے مخالف کے گھوڑے کو جان بوجھ کر مارتے ہوئے دیکھ رہا ہے۔ صحیح عمل کیا ہے؟</v>
      </c>
      <c r="L3" s="6" t="str">
        <f>IFERROR(__xludf.DUMMYFUNCTION("GOOGLETRANSLATE(C3, ""en"", ""ur"")"),"A) کھیل کو جاری رکھنے کی اجازت دیں، B) ناگوار سوار کو فوری طور پر نااہل قرار دیں، C) خلل ڈالنے والے سوار کو ایک پوائنٹ دیں، D) سوار کو تنبیہ کریں اور میچ دوبارہ شروع کریں۔")</f>
        <v>A) کھیل کو جاری رکھنے کی اجازت دیں، B) ناگوار سوار کو فوری طور پر نااہل قرار دیں، C) خلل ڈالنے والے سوار کو ایک پوائنٹ دیں، D) سوار کو تنبیہ کریں اور میچ دوبارہ شروع کریں۔</v>
      </c>
      <c r="M3" s="6" t="str">
        <f>IFERROR(__xludf.DUMMYFUNCTION("GOOGLETRANSLATE(D3, ""en"", ""ur"")"),"ب) مجرم سوار کو فوری طور پر نااہل قرار دیں۔")</f>
        <v>ب) مجرم سوار کو فوری طور پر نااہل قرار دیں۔</v>
      </c>
      <c r="N3" s="6" t="str">
        <f>IFERROR(__xludf.DUMMYFUNCTION("GOOGLETRANSLATE(E3, ""en"", ""ur"")"),"مخالف کے گھوڑے کو مارنا ایک بہت بڑا فاؤل اور کھیل کے ضابطہ اخلاق کی خلاف ورزی ہے، جس سے نااہلی ہو جاتی ہے۔")</f>
        <v>مخالف کے گھوڑے کو مارنا ایک بہت بڑا فاؤل اور کھیل کے ضابطہ اخلاق کی خلاف ورزی ہے، جس سے نااہلی ہو جاتی ہے۔</v>
      </c>
    </row>
    <row r="4">
      <c r="A4" s="4">
        <v>3.0</v>
      </c>
      <c r="B4" s="5" t="s">
        <v>1092</v>
      </c>
      <c r="C4" s="5" t="s">
        <v>1093</v>
      </c>
      <c r="D4" s="5" t="s">
        <v>1094</v>
      </c>
      <c r="E4" s="5" t="s">
        <v>1095</v>
      </c>
      <c r="J4" s="6" t="str">
        <f>IFERROR(__xludf.DUMMYFUNCTION("GOOGLETRANSLATE(A4, ""en"", ""ur"")"),"3")</f>
        <v>3</v>
      </c>
      <c r="K4" s="6" t="str">
        <f>IFERROR(__xludf.DUMMYFUNCTION("GOOGLETRANSLATE(B4, ""en"", ""ur"")"),"وادی سوات میں کھیل کے دوران، ایک سوار لاش کو لے کر گول دائرے سے دور چلا گیا۔ اس کی سب سے زیادہ ممکنہ حکمت عملی کی وجہ کیا ہے؟")</f>
        <v>وادی سوات میں کھیل کے دوران، ایک سوار لاش کو لے کر گول دائرے سے دور چلا گیا۔ اس کی سب سے زیادہ ممکنہ حکمت عملی کی وجہ کیا ہے؟</v>
      </c>
      <c r="L4" s="6" t="str">
        <f>IFERROR(__xludf.DUMMYFUNCTION("GOOGLETRANSLATE(C4, ""en"", ""ur"")"),"A) وہ جان بوجھ کر کھیل میں تاخیر کر رہا ہے، B) مخالفین کو دور کرنے اور بہتر اسکور کرنے کے لیے جگہ پیدا کرنے کے لیے، C) وہ کھیل کے اصولوں کی خلاف ورزی کر رہا ہے، D) وہ شکست تسلیم کرنے کے لیے پیچھے ہٹ رہا ہے۔")</f>
        <v>A) وہ جان بوجھ کر کھیل میں تاخیر کر رہا ہے، B) مخالفین کو دور کرنے اور بہتر اسکور کرنے کے لیے جگہ پیدا کرنے کے لیے، C) وہ کھیل کے اصولوں کی خلاف ورزی کر رہا ہے، D) وہ شکست تسلیم کرنے کے لیے پیچھے ہٹ رہا ہے۔</v>
      </c>
      <c r="M4" s="6" t="str">
        <f>IFERROR(__xludf.DUMMYFUNCTION("GOOGLETRANSLATE(D4, ""en"", ""ur"")"),"ب) مخالفین کو دور کرنا اور بہتر اسکورنگ اپروچ کے لیے جگہ بنانا")</f>
        <v>ب) مخالفین کو دور کرنا اور بہتر اسکورنگ اپروچ کے لیے جگہ بنانا</v>
      </c>
      <c r="N4" s="6" t="str">
        <f>IFERROR(__xludf.DUMMYFUNCTION("GOOGLETRANSLATE(E4, ""en"", ""ur"")"),"دفاعی تشکیل کو توڑنے، مخالفین کو الجھانے، اور پھر مقصد کے لیے واضح راستے کے لیے واپس چکر لگانے کے لیے یہ ایک عام حکمت عملی ہے۔")</f>
        <v>دفاعی تشکیل کو توڑنے، مخالفین کو الجھانے، اور پھر مقصد کے لیے واضح راستے کے لیے واپس چکر لگانے کے لیے یہ ایک عام حکمت عملی ہے۔</v>
      </c>
    </row>
    <row r="5">
      <c r="A5" s="4">
        <v>4.0</v>
      </c>
      <c r="B5" s="5" t="s">
        <v>1096</v>
      </c>
      <c r="C5" s="5" t="s">
        <v>1097</v>
      </c>
      <c r="D5" s="5" t="s">
        <v>1098</v>
      </c>
      <c r="E5" s="5" t="s">
        <v>1099</v>
      </c>
      <c r="J5" s="6" t="str">
        <f>IFERROR(__xludf.DUMMYFUNCTION("GOOGLETRANSLATE(A5, ""en"", ""ur"")"),"4")</f>
        <v>4</v>
      </c>
      <c r="K5" s="6" t="str">
        <f>IFERROR(__xludf.DUMMYFUNCTION("GOOGLETRANSLATE(B5, ""en"", ""ur"")"),"ایک سوار کامیابی کے ساتھ لاش کو گول کے دائرے میں رکھتا ہے، لیکن ریفری نے اطلاع دی کہ لاش فوری طور پر باہر گر گئی۔ کال کیا ہے؟")</f>
        <v>ایک سوار کامیابی کے ساتھ لاش کو گول کے دائرے میں رکھتا ہے، لیکن ریفری نے اطلاع دی کہ لاش فوری طور پر باہر گر گئی۔ کال کیا ہے؟</v>
      </c>
      <c r="L5" s="6" t="str">
        <f>IFERROR(__xludf.DUMMYFUNCTION("GOOGLETRANSLATE(C5, ""en"", ""ur"")"),"A) پوائنٹ دیا جاتا ہے، B) پوائنٹ کی اجازت نہیں دی جاتی ہے، C) ڈرامے کو مرکز سے دوبارہ شروع کیا جاتا ہے، D) سوار کو خراب ڈراپ پر جرمانہ کیا جاتا ہے")</f>
        <v>A) پوائنٹ دیا جاتا ہے، B) پوائنٹ کی اجازت نہیں دی جاتی ہے، C) ڈرامے کو مرکز سے دوبارہ شروع کیا جاتا ہے، D) سوار کو خراب ڈراپ پر جرمانہ کیا جاتا ہے</v>
      </c>
      <c r="M5" s="6" t="str">
        <f>IFERROR(__xludf.DUMMYFUNCTION("GOOGLETRANSLATE(D5, ""en"", ""ur"")"),"ب) نکتہ نامنظور ہے۔")</f>
        <v>ب) نکتہ نامنظور ہے۔</v>
      </c>
      <c r="N5" s="6" t="str">
        <f>IFERROR(__xludf.DUMMYFUNCTION("GOOGLETRANSLATE(E5, ""en"", ""ur"")"),"کسی مقصد کے درست ہونے کے لیے، لاش کو کامیابی کے ساتھ گرایا جانا چاہیے اور گول دائرے میں رہنا چاہیے۔")</f>
        <v>کسی مقصد کے درست ہونے کے لیے، لاش کو کامیابی کے ساتھ گرایا جانا چاہیے اور گول دائرے میں رہنا چاہیے۔</v>
      </c>
    </row>
    <row r="6">
      <c r="A6" s="4">
        <v>5.0</v>
      </c>
      <c r="B6" s="5" t="s">
        <v>1100</v>
      </c>
      <c r="C6" s="5" t="s">
        <v>1101</v>
      </c>
      <c r="D6" s="5" t="s">
        <v>1102</v>
      </c>
      <c r="E6" s="5" t="s">
        <v>1103</v>
      </c>
      <c r="J6" s="6" t="str">
        <f>IFERROR(__xludf.DUMMYFUNCTION("GOOGLETRANSLATE(A6, ""en"", ""ur"")"),"5")</f>
        <v>5</v>
      </c>
      <c r="K6" s="6" t="str">
        <f>IFERROR(__xludf.DUMMYFUNCTION("GOOGLETRANSLATE(B6, ""en"", ""ur"")"),"گلگت میں ایک تماشائی میچ کے دوران میدان کی طرف بھاگتا ہے، جس سے عارضی افراتفری مچ جاتی ہے۔ اہلکاروں کے لیے مناسب کارروائی کیا ہے؟")</f>
        <v>گلگت میں ایک تماشائی میچ کے دوران میدان کی طرف بھاگتا ہے، جس سے عارضی افراتفری مچ جاتی ہے۔ اہلکاروں کے لیے مناسب کارروائی کیا ہے؟</v>
      </c>
      <c r="L6" s="6" t="str">
        <f>IFERROR(__xludf.DUMMYFUNCTION("GOOGLETRANSLATE(C6, ""en"", ""ur"")"),"A) تماشائی کو ہٹانے تک میچ کو روکیں اور پھر پوائنٹ کو دوبارہ چلائیں، B) میچ کو جاری رکھیں اور رکاوٹ کو نظر انداز کریں، C) ہوم ٹیم کو پوائنٹ دیں، D) تماشائی کی حمایت یافتہ ٹیم کو جرمانہ کریں۔")</f>
        <v>A) تماشائی کو ہٹانے تک میچ کو روکیں اور پھر پوائنٹ کو دوبارہ چلائیں، B) میچ کو جاری رکھیں اور رکاوٹ کو نظر انداز کریں، C) ہوم ٹیم کو پوائنٹ دیں، D) تماشائی کی حمایت یافتہ ٹیم کو جرمانہ کریں۔</v>
      </c>
      <c r="M6" s="6" t="str">
        <f>IFERROR(__xludf.DUMMYFUNCTION("GOOGLETRANSLATE(D6, ""en"", ""ur"")"),"A) تماشائی کو ہٹانے تک میچ کو روکیں اور پھر پوائنٹ کو دوبارہ چلائیں۔")</f>
        <v>A) تماشائی کو ہٹانے تک میچ کو روکیں اور پھر پوائنٹ کو دوبارہ چلائیں۔</v>
      </c>
      <c r="N6" s="6" t="str">
        <f>IFERROR(__xludf.DUMMYFUNCTION("GOOGLETRANSLATE(E6, ""en"", ""ur"")"),"براہ راست ریلی میں خلل ڈالنے والی بیرونی مداخلت کے لیے منصفانہ نتیجہ کو یقینی بنانے کے لیے پوائنٹ کو دوبارہ چلانے کی ضرورت ہوتی ہے۔")</f>
        <v>براہ راست ریلی میں خلل ڈالنے والی بیرونی مداخلت کے لیے منصفانہ نتیجہ کو یقینی بنانے کے لیے پوائنٹ کو دوبارہ چلانے کی ضرورت ہوتی ہے۔</v>
      </c>
    </row>
    <row r="7">
      <c r="A7" s="4">
        <v>6.0</v>
      </c>
      <c r="B7" s="5" t="s">
        <v>1104</v>
      </c>
      <c r="C7" s="5" t="s">
        <v>1105</v>
      </c>
      <c r="D7" s="5" t="s">
        <v>1106</v>
      </c>
      <c r="E7" s="5" t="s">
        <v>1107</v>
      </c>
      <c r="J7" s="6" t="str">
        <f>IFERROR(__xludf.DUMMYFUNCTION("GOOGLETRANSLATE(A7, ""en"", ""ur"")"),"6")</f>
        <v>6</v>
      </c>
      <c r="K7" s="6" t="str">
        <f>IFERROR(__xludf.DUMMYFUNCTION("GOOGLETRANSLATE(B7, ""en"", ""ur"")"),"چترال کے میچ میں ایک سوار جان بوجھ کر دوسرے سوار کو اپنے گھوڑے سے دھکیل رہا ہے۔ ریفری کو کیا کرنا چاہیے؟")</f>
        <v>چترال کے میچ میں ایک سوار جان بوجھ کر دوسرے سوار کو اپنے گھوڑے سے دھکیل رہا ہے۔ ریفری کو کیا کرنا چاہیے؟</v>
      </c>
      <c r="L7" s="6" t="str">
        <f>IFERROR(__xludf.DUMMYFUNCTION("GOOGLETRANSLATE(C7, ""en"", ""ur"")"),"A) خطرناک کھیل کے لئے مجرم سوار کو نااہل قرار دیں، B) مخالف ٹیم کو پنالٹی پوائنٹ دیں، C) کھیل کو جاری رکھنے کی اجازت دیں کیونکہ یہ گیم کا حصہ ہے، D) دونوں سواروں کو کم جارحانہ ہونے کی تنبیہ کریں۔")</f>
        <v>A) خطرناک کھیل کے لئے مجرم سوار کو نااہل قرار دیں، B) مخالف ٹیم کو پنالٹی پوائنٹ دیں، C) کھیل کو جاری رکھنے کی اجازت دیں کیونکہ یہ گیم کا حصہ ہے، D) دونوں سواروں کو کم جارحانہ ہونے کی تنبیہ کریں۔</v>
      </c>
      <c r="M7" s="6" t="str">
        <f>IFERROR(__xludf.DUMMYFUNCTION("GOOGLETRANSLATE(D7, ""en"", ""ur"")"),"A) خطرناک کھیل کے لیے مجرم سوار کو نااہل قرار دیں۔")</f>
        <v>A) خطرناک کھیل کے لیے مجرم سوار کو نااہل قرار دیں۔</v>
      </c>
      <c r="N7" s="6" t="str">
        <f>IFERROR(__xludf.DUMMYFUNCTION("GOOGLETRANSLATE(E7, ""en"", ""ur"")"),"دوسرے سواروں کے خلاف براہ راست جسمانی جارحیت، جیسے کہ انہیں گھوڑے سے دھکیلنا، سختی سے قوانین کے خلاف ہے اور اس کے نتیجے میں نااہلی ہوتی ہے۔")</f>
        <v>دوسرے سواروں کے خلاف براہ راست جسمانی جارحیت، جیسے کہ انہیں گھوڑے سے دھکیلنا، سختی سے قوانین کے خلاف ہے اور اس کے نتیجے میں نااہلی ہوتی ہے۔</v>
      </c>
    </row>
    <row r="8">
      <c r="A8" s="4">
        <v>7.0</v>
      </c>
      <c r="B8" s="5" t="s">
        <v>1108</v>
      </c>
      <c r="C8" s="5" t="s">
        <v>1109</v>
      </c>
      <c r="D8" s="5" t="s">
        <v>1110</v>
      </c>
      <c r="E8" s="5" t="s">
        <v>1111</v>
      </c>
      <c r="J8" s="6" t="str">
        <f>IFERROR(__xludf.DUMMYFUNCTION("GOOGLETRANSLATE(A8, ""en"", ""ur"")"),"7")</f>
        <v>7</v>
      </c>
      <c r="K8" s="6" t="str">
        <f>IFERROR(__xludf.DUMMYFUNCTION("GOOGLETRANSLATE(B8, ""en"", ""ur"")"),"زیادہ داؤ والے میچ میں، ایک سوار پر گھوڑوں کا غیر قانونی سازوسامان استعمال کرنے کا الزام لگایا جاتا ہے (مثلاً، گھوڑے کی نالیاں)۔ ریفری کو کیا کرنا چاہیے؟")</f>
        <v>زیادہ داؤ والے میچ میں، ایک سوار پر گھوڑوں کا غیر قانونی سازوسامان استعمال کرنے کا الزام لگایا جاتا ہے (مثلاً، گھوڑے کی نالیاں)۔ ریفری کو کیا کرنا چاہیے؟</v>
      </c>
      <c r="L8" s="6" t="str">
        <f>IFERROR(__xludf.DUMMYFUNCTION("GOOGLETRANSLATE(C8, ""en"", ""ur"")"),"A) بعد میں تفتیش کے دوران کھیل کو جاری رکھنے کی اجازت دیں، B) کھیل کو روک دیں اور فوری طور پر سامان کا معائنہ کریں، C) کھلاڑی کو اس وقت تک معطل کریں جب تک کہ وہ بے قصور ثابت نہ ہو جائیں، D) گھوڑے کو تبدیل کریں اگر سامان غیر منصفانہ سمجھا جاتا ہے۔")</f>
        <v>A) بعد میں تفتیش کے دوران کھیل کو جاری رکھنے کی اجازت دیں، B) کھیل کو روک دیں اور فوری طور پر سامان کا معائنہ کریں، C) کھلاڑی کو اس وقت تک معطل کریں جب تک کہ وہ بے قصور ثابت نہ ہو جائیں، D) گھوڑے کو تبدیل کریں اگر سامان غیر منصفانہ سمجھا جاتا ہے۔</v>
      </c>
      <c r="M8" s="6" t="str">
        <f>IFERROR(__xludf.DUMMYFUNCTION("GOOGLETRANSLATE(D8, ""en"", ""ur"")"),"ب) کھیل کو روکیں اور فوری طور پر سامان کا معائنہ کریں۔")</f>
        <v>ب) کھیل کو روکیں اور فوری طور پر سامان کا معائنہ کریں۔</v>
      </c>
      <c r="N8" s="6" t="str">
        <f>IFERROR(__xludf.DUMMYFUNCTION("GOOGLETRANSLATE(E8, ""en"", ""ur"")"),"ضابطوں کی سنگین خلاف ورزیوں کے الزامات جو حفاظت اور انصاف کو متاثر کرتے ہیں حکام سے فوری کارروائی اور معائنہ کی ضرورت ہے۔")</f>
        <v>ضابطوں کی سنگین خلاف ورزیوں کے الزامات جو حفاظت اور انصاف کو متاثر کرتے ہیں حکام سے فوری کارروائی اور معائنہ کی ضرورت ہے۔</v>
      </c>
    </row>
    <row r="9">
      <c r="A9" s="4">
        <v>8.0</v>
      </c>
      <c r="B9" s="5" t="s">
        <v>1112</v>
      </c>
      <c r="C9" s="5" t="s">
        <v>1113</v>
      </c>
      <c r="D9" s="5" t="s">
        <v>1114</v>
      </c>
      <c r="E9" s="5" t="s">
        <v>1115</v>
      </c>
      <c r="J9" s="6" t="str">
        <f>IFERROR(__xludf.DUMMYFUNCTION("GOOGLETRANSLATE(A9, ""en"", ""ur"")"),"8")</f>
        <v>8</v>
      </c>
      <c r="K9" s="6" t="str">
        <f>IFERROR(__xludf.DUMMYFUNCTION("GOOGLETRANSLATE(B9, ""en"", ""ur"")"),"جھڑپ کے دوران سوار کا گھوڑا بے قابو ہو جاتا ہے اور تماشائیوں کی طرف بھاگنے لگتا ہے۔ تقریب کے منتظمین کی پہلی ترجیح کیا ہے؟")</f>
        <v>جھڑپ کے دوران سوار کا گھوڑا بے قابو ہو جاتا ہے اور تماشائیوں کی طرف بھاگنے لگتا ہے۔ تقریب کے منتظمین کی پہلی ترجیح کیا ہے؟</v>
      </c>
      <c r="L9" s="6" t="str">
        <f>IFERROR(__xludf.DUMMYFUNCTION("GOOGLETRANSLATE(C9, ""en"", ""ur"")"),"A) لاش کو دوبارہ ترتیب دینا، B) تماشائیوں اور سوار کی حفاظت کو یقینی بنانا، C) سوار کو کنٹرول کھونے پر سزا دینا، D) اس سوار کے بغیر کھیل جاری رکھنا")</f>
        <v>A) لاش کو دوبارہ ترتیب دینا، B) تماشائیوں اور سوار کی حفاظت کو یقینی بنانا، C) سوار کو کنٹرول کھونے پر سزا دینا، D) اس سوار کے بغیر کھیل جاری رکھنا</v>
      </c>
      <c r="M9" s="6" t="str">
        <f>IFERROR(__xludf.DUMMYFUNCTION("GOOGLETRANSLATE(D9, ""en"", ""ur"")"),"ب) تماشائیوں اور سوار کی حفاظت کو یقینی بنانا")</f>
        <v>ب) تماشائیوں اور سوار کی حفاظت کو یقینی بنانا</v>
      </c>
      <c r="N9" s="6" t="str">
        <f>IFERROR(__xludf.DUMMYFUNCTION("GOOGLETRANSLATE(E9, ""en"", ""ur"")"),"حفاظت اولین ترجیح ہے۔ گھوڑے کو قابو کرنے اور ہجوم یا شرکاء کو کسی قسم کے نقصان سے بچنے کے لیے میچ کو روکنا ضروری ہے۔")</f>
        <v>حفاظت اولین ترجیح ہے۔ گھوڑے کو قابو کرنے اور ہجوم یا شرکاء کو کسی قسم کے نقصان سے بچنے کے لیے میچ کو روکنا ضروری ہے۔</v>
      </c>
    </row>
    <row r="10">
      <c r="A10" s="4">
        <v>9.0</v>
      </c>
      <c r="B10" s="5" t="s">
        <v>1116</v>
      </c>
      <c r="C10" s="5" t="s">
        <v>1117</v>
      </c>
      <c r="D10" s="5" t="s">
        <v>1118</v>
      </c>
      <c r="E10" s="5" t="s">
        <v>1119</v>
      </c>
      <c r="J10" s="6" t="str">
        <f>IFERROR(__xludf.DUMMYFUNCTION("GOOGLETRANSLATE(A10, ""en"", ""ur"")"),"9")</f>
        <v>9</v>
      </c>
      <c r="K10" s="6" t="str">
        <f>IFERROR(__xludf.DUMMYFUNCTION("GOOGLETRANSLATE(B10, ""en"", ""ur"")"),"ٹیم اے کے ایک سوار کے پاس لاش ہے لیکن دو مخالفین اس کا تعاقب کر رہے ہیں۔ ٹیم اے کے لیے ٹیم پر مبنی سب سے مؤثر حکمت عملی کیا ہے؟")</f>
        <v>ٹیم اے کے ایک سوار کے پاس لاش ہے لیکن دو مخالفین اس کا تعاقب کر رہے ہیں۔ ٹیم اے کے لیے ٹیم پر مبنی سب سے مؤثر حکمت عملی کیا ہے؟</v>
      </c>
      <c r="L10" s="6" t="str">
        <f>IFERROR(__xludf.DUMMYFUNCTION("GOOGLETRANSLATE(C10, ""en"", ""ur"")"),"A) کیریئر کو دونوں مخالفین کو پیچھے چھوڑنے کی کوشش کرنی چاہئے، B) کیریئر کو لاش کو ایک کھلے ساتھی کے پاس دینا چاہئے، C) کیریئر کو سست ہونا چاہئے اور تعاقب کرنے والوں کا مقابلہ کرنا چاہئے، D) دوسرے ساتھیوں کو تعاقب کرنے والوں کو روکنے کے لئے سوار ہونا چاہئ"&amp;"ے")</f>
        <v>A) کیریئر کو دونوں مخالفین کو پیچھے چھوڑنے کی کوشش کرنی چاہئے، B) کیریئر کو لاش کو ایک کھلے ساتھی کے پاس دینا چاہئے، C) کیریئر کو سست ہونا چاہئے اور تعاقب کرنے والوں کا مقابلہ کرنا چاہئے، D) دوسرے ساتھیوں کو تعاقب کرنے والوں کو روکنے کے لئے سوار ہونا چاہئے</v>
      </c>
      <c r="M10" s="6" t="str">
        <f>IFERROR(__xludf.DUMMYFUNCTION("GOOGLETRANSLATE(D10, ""en"", ""ur"")"),"D) دوسرے ساتھیوں کو تعاقب کرنے والوں کو روکنے کے لیے سواری کرنی چاہیے۔")</f>
        <v>D) دوسرے ساتھیوں کو تعاقب کرنے والوں کو روکنے کے لیے سواری کرنی چاہیے۔</v>
      </c>
      <c r="N10" s="6" t="str">
        <f>IFERROR(__xludf.DUMMYFUNCTION("GOOGLETRANSLATE(E10, ""en"", ""ur"")"),"یہ حربہ، جسے ""شیلڈنگ"" یا ""نگہبانی"" کہا جاتا ہے، ٹیم کی ایک بنیادی حکمت عملی ہے جہاں ٹیم کے ساتھی اسکورر کے لیے بلاکرز کے طور پر کام کرتے ہیں۔")</f>
        <v>یہ حربہ، جسے "شیلڈنگ" یا "نگہبانی" کہا جاتا ہے، ٹیم کی ایک بنیادی حکمت عملی ہے جہاں ٹیم کے ساتھی اسکورر کے لیے بلاکرز کے طور پر کام کرتے ہیں۔</v>
      </c>
    </row>
    <row r="11">
      <c r="A11" s="4">
        <v>10.0</v>
      </c>
      <c r="B11" s="5" t="s">
        <v>1120</v>
      </c>
      <c r="C11" s="5" t="s">
        <v>1121</v>
      </c>
      <c r="D11" s="5" t="s">
        <v>1122</v>
      </c>
      <c r="E11" s="5" t="s">
        <v>1123</v>
      </c>
      <c r="J11" s="6" t="str">
        <f>IFERROR(__xludf.DUMMYFUNCTION("GOOGLETRANSLATE(A11, ""en"", ""ur"")"),"10")</f>
        <v>10</v>
      </c>
      <c r="K11" s="6" t="str">
        <f>IFERROR(__xludf.DUMMYFUNCTION("GOOGLETRANSLATE(B11, ""en"", ""ur"")"),"لاش پنجاب کے دیہی علاقوں میں ایک کھیت میں کیچڑ میں پھنس جاتی ہے۔ سب سے عام طریقہ کار کیا ہے؟")</f>
        <v>لاش پنجاب کے دیہی علاقوں میں ایک کھیت میں کیچڑ میں پھنس جاتی ہے۔ سب سے عام طریقہ کار کیا ہے؟</v>
      </c>
      <c r="L11" s="6" t="str">
        <f>IFERROR(__xludf.DUMMYFUNCTION("GOOGLETRANSLATE(C11, ""en"", ""ur"")"),"A) کھلاڑیوں کو خود اسے آزاد کرنا ہوگا، B) ریفری لاش کو خشک جگہ پر دوبارہ ترتیب دے گا اور کھیل دوبارہ شروع کرے گا، C) جو ٹیم پھنس گئی اسے جرمانہ کیا جائے گا، D) میچ کو اس وقت تک روک دیا جائے گا جب تک کہ کیچڑ خشک نہ ہو جائے۔")</f>
        <v>A) کھلاڑیوں کو خود اسے آزاد کرنا ہوگا، B) ریفری لاش کو خشک جگہ پر دوبارہ ترتیب دے گا اور کھیل دوبارہ شروع کرے گا، C) جو ٹیم پھنس گئی اسے جرمانہ کیا جائے گا، D) میچ کو اس وقت تک روک دیا جائے گا جب تک کہ کیچڑ خشک نہ ہو جائے۔</v>
      </c>
      <c r="M11" s="6" t="str">
        <f>IFERROR(__xludf.DUMMYFUNCTION("GOOGLETRANSLATE(D11, ""en"", ""ur"")"),"ب) ریفری لاش کو خشک جگہ پر دوبارہ ترتیب دے گا اور کھیل دوبارہ شروع کرے گا۔")</f>
        <v>ب) ریفری لاش کو خشک جگہ پر دوبارہ ترتیب دے گا اور کھیل دوبارہ شروع کرے گا۔</v>
      </c>
      <c r="N11" s="6" t="str">
        <f>IFERROR(__xludf.DUMMYFUNCTION("GOOGLETRANSLATE(E11, ""en"", ""ur"")"),"جب کسی رکاوٹ کی وجہ سے لاش کھیل کے قابل نہیں ہو جاتی ہے، تو ریفری مداخلت کرے گا تاکہ یہ یقینی بنایا جا سکے کہ کھیل منصفانہ طور پر جاری رہ سکے۔")</f>
        <v>جب کسی رکاوٹ کی وجہ سے لاش کھیل کے قابل نہیں ہو جاتی ہے، تو ریفری مداخلت کرے گا تاکہ یہ یقینی بنایا جا سکے کہ کھیل منصفانہ طور پر جاری رہ سکے۔</v>
      </c>
    </row>
    <row r="12">
      <c r="A12" s="4">
        <v>11.0</v>
      </c>
      <c r="B12" s="5" t="s">
        <v>1124</v>
      </c>
      <c r="C12" s="5" t="s">
        <v>1125</v>
      </c>
      <c r="D12" s="5" t="s">
        <v>1086</v>
      </c>
      <c r="E12" s="5" t="s">
        <v>1126</v>
      </c>
      <c r="J12" s="6" t="str">
        <f>IFERROR(__xludf.DUMMYFUNCTION("GOOGLETRANSLATE(A12, ""en"", ""ur"")"),"11")</f>
        <v>11</v>
      </c>
      <c r="K12" s="6" t="str">
        <f>IFERROR(__xludf.DUMMYFUNCTION("GOOGLETRANSLATE(B12, ""en"", ""ur"")"),"ایک سوار کامیابی سے لاش کو پکڑ لیتا ہے لیکن اس کا گھوڑا نادانستہ طور پر میدان کی حد عبور کر جاتا ہے۔ اس کا کیا حکم ہے؟")</f>
        <v>ایک سوار کامیابی سے لاش کو پکڑ لیتا ہے لیکن اس کا گھوڑا نادانستہ طور پر میدان کی حد عبور کر جاتا ہے۔ اس کا کیا حکم ہے؟</v>
      </c>
      <c r="L12" s="6" t="str">
        <f>IFERROR(__xludf.DUMMYFUNCTION("GOOGLETRANSLATE(C12, ""en"", ""ur"")"),"A) لاش کو ابتدائی نقطہ پر دوبارہ ترتیب دیا گیا ہے، B) مخالف ٹیم نے قبضہ حاصل کر لیا ہے، C) سوار کو نااہل قرار دیا گیا ہے، D) سوار کو لاش کے ساتھ میدان میں واپس آنا ہوگا۔")</f>
        <v>A) لاش کو ابتدائی نقطہ پر دوبارہ ترتیب دیا گیا ہے، B) مخالف ٹیم نے قبضہ حاصل کر لیا ہے، C) سوار کو نااہل قرار دیا گیا ہے، D) سوار کو لاش کے ساتھ میدان میں واپس آنا ہوگا۔</v>
      </c>
      <c r="M12" s="6" t="str">
        <f>IFERROR(__xludf.DUMMYFUNCTION("GOOGLETRANSLATE(D12, ""en"", ""ur"")"),"A) لاش کو ابتدائی نقطہ پر دوبارہ ترتیب دیا گیا ہے۔")</f>
        <v>A) لاش کو ابتدائی نقطہ پر دوبارہ ترتیب دیا گیا ہے۔</v>
      </c>
      <c r="N12" s="6" t="str">
        <f>IFERROR(__xludf.DUMMYFUNCTION("GOOGLETRANSLATE(E12, ""en"", ""ur"")"),"باؤنڈری کراس کرنے کے نتیجے میں ""ڈیڈ بال"" اور ایک ری سیٹ ہوتا ہے، اس بات کو یقینی بناتا ہے کہ اسکورنگ کی تمام کوششیں کھیل کے میدان میں ہی ہوں۔")</f>
        <v>باؤنڈری کراس کرنے کے نتیجے میں "ڈیڈ بال" اور ایک ری سیٹ ہوتا ہے، اس بات کو یقینی بناتا ہے کہ اسکورنگ کی تمام کوششیں کھیل کے میدان میں ہی ہوں۔</v>
      </c>
    </row>
    <row r="13">
      <c r="A13" s="4">
        <v>12.0</v>
      </c>
      <c r="B13" s="5" t="s">
        <v>1127</v>
      </c>
      <c r="C13" s="5" t="s">
        <v>1128</v>
      </c>
      <c r="D13" s="5" t="s">
        <v>1129</v>
      </c>
      <c r="E13" s="5" t="s">
        <v>1130</v>
      </c>
      <c r="J13" s="6" t="str">
        <f>IFERROR(__xludf.DUMMYFUNCTION("GOOGLETRANSLATE(A13, ""en"", ""ur"")"),"12")</f>
        <v>12</v>
      </c>
      <c r="K13" s="6" t="str">
        <f>IFERROR(__xludf.DUMMYFUNCTION("GOOGLETRANSLATE(B13, ""en"", ""ur"")"),"وزیرستان میں ایک ریفری نے دیکھا کہ ایک سوار لاش کو ایک چھوٹی رسی سے غیر قانونی طور پر اپنی زین سے باندھ کر پکڑ رہا ہے۔ فیصلہ کیا ہے؟")</f>
        <v>وزیرستان میں ایک ریفری نے دیکھا کہ ایک سوار لاش کو ایک چھوٹی رسی سے غیر قانونی طور پر اپنی زین سے باندھ کر پکڑ رہا ہے۔ فیصلہ کیا ہے؟</v>
      </c>
      <c r="L13" s="6" t="str">
        <f>IFERROR(__xludf.DUMMYFUNCTION("GOOGLETRANSLATE(C13, ""en"", ""ur"")"),"A) گول کا شمار ہوتا ہے اگر وہ اسکور کرتا ہے، B) گول کی اجازت نہیں دی جاتی ہے، اور سوار کو متنبہ کیا جاتا ہے، C) سوار کو دھوکہ دہی کی وجہ سے نااہل قرار دیا جاتا ہے، D) B اور C دونوں")</f>
        <v>A) گول کا شمار ہوتا ہے اگر وہ اسکور کرتا ہے، B) گول کی اجازت نہیں دی جاتی ہے، اور سوار کو متنبہ کیا جاتا ہے، C) سوار کو دھوکہ دہی کی وجہ سے نااہل قرار دیا جاتا ہے، D) B اور C دونوں</v>
      </c>
      <c r="M13" s="6" t="str">
        <f>IFERROR(__xludf.DUMMYFUNCTION("GOOGLETRANSLATE(D13, ""en"", ""ur"")"),"ج) سوار کو دھوکہ دہی کے لئے نااہل قرار دیا گیا ہے۔")</f>
        <v>ج) سوار کو دھوکہ دہی کے لئے نااہل قرار دیا گیا ہے۔</v>
      </c>
      <c r="N13" s="6" t="str">
        <f>IFERROR(__xludf.DUMMYFUNCTION("GOOGLETRANSLATE(E13, ""en"", ""ur"")"),"لاش کو محفوظ کرنے کے لیے رسی کا استعمال ایک بڑی خلاف ورزی ہے۔ یہ لاش کو پکڑنے کی بنیادی مہارت کی نفی کرتا ہے اور اس کے نتیجے میں نااہلی ہوتی ہے۔")</f>
        <v>لاش کو محفوظ کرنے کے لیے رسی کا استعمال ایک بڑی خلاف ورزی ہے۔ یہ لاش کو پکڑنے کی بنیادی مہارت کی نفی کرتا ہے اور اس کے نتیجے میں نااہلی ہوتی ہے۔</v>
      </c>
    </row>
    <row r="14">
      <c r="A14" s="4">
        <v>13.0</v>
      </c>
      <c r="B14" s="5" t="s">
        <v>1131</v>
      </c>
      <c r="C14" s="5" t="s">
        <v>1132</v>
      </c>
      <c r="D14" s="5" t="s">
        <v>1133</v>
      </c>
      <c r="E14" s="5" t="s">
        <v>1134</v>
      </c>
      <c r="J14" s="6" t="str">
        <f>IFERROR(__xludf.DUMMYFUNCTION("GOOGLETRANSLATE(A14, ""en"", ""ur"")"),"13")</f>
        <v>13</v>
      </c>
      <c r="K14" s="6" t="str">
        <f>IFERROR(__xludf.DUMMYFUNCTION("GOOGLETRANSLATE(B14, ""en"", ""ur"")"),"ایک سوار اسکور کرتا ہے، لیکن پھر مخالف کے چہرے کے قریب ہوا کو جارحانہ طریقے سے کوڑے مار کر جشن مناتا ہے۔ ریفری کو کیا کرنا چاہیے؟")</f>
        <v>ایک سوار اسکور کرتا ہے، لیکن پھر مخالف کے چہرے کے قریب ہوا کو جارحانہ طریقے سے کوڑے مار کر جشن مناتا ہے۔ ریفری کو کیا کرنا چاہیے؟</v>
      </c>
      <c r="L14" s="6" t="str">
        <f>IFERROR(__xludf.DUMMYFUNCTION("GOOGLETRANSLATE(C14, ""en"", ""ur"")"),"A) جشن منانے کی اجازت دیں، B) اسکور کھڑا ہے، لیکن سوار کو غیر کھیلوں کے طرز عمل پر سزا دی جاتی ہے، C) اسکور منسوخ کر دیا جاتا ہے، D) مخالف کو ایک پوائنٹ دیا جاتا ہے۔")</f>
        <v>A) جشن منانے کی اجازت دیں، B) اسکور کھڑا ہے، لیکن سوار کو غیر کھیلوں کے طرز عمل پر سزا دی جاتی ہے، C) اسکور منسوخ کر دیا جاتا ہے، D) مخالف کو ایک پوائنٹ دیا جاتا ہے۔</v>
      </c>
      <c r="M14" s="6" t="str">
        <f>IFERROR(__xludf.DUMMYFUNCTION("GOOGLETRANSLATE(D14, ""en"", ""ur"")"),"ب) اسکور کھڑا ہے، لیکن سوار کو غیر کھیلوں کے طرز عمل پر سزا دی جاتی ہے۔")</f>
        <v>ب) اسکور کھڑا ہے، لیکن سوار کو غیر کھیلوں کے طرز عمل پر سزا دی جاتی ہے۔</v>
      </c>
      <c r="N14" s="6" t="str">
        <f>IFERROR(__xludf.DUMMYFUNCTION("GOOGLETRANSLATE(E14, ""en"", ""ur"")"),"قانونی اسکور درست ہے، لیکن خطرناک یا بے عزتی کرنے والی تقریبات کو وارننگ یا پوائنٹ کٹوتی کے ساتھ الگ سے سزا دی جاتی ہے۔")</f>
        <v>قانونی اسکور درست ہے، لیکن خطرناک یا بے عزتی کرنے والی تقریبات کو وارننگ یا پوائنٹ کٹوتی کے ساتھ الگ سے سزا دی جاتی ہے۔</v>
      </c>
    </row>
    <row r="15">
      <c r="A15" s="4">
        <v>14.0</v>
      </c>
      <c r="B15" s="5" t="s">
        <v>1135</v>
      </c>
      <c r="C15" s="5" t="s">
        <v>1136</v>
      </c>
      <c r="D15" s="5" t="s">
        <v>1137</v>
      </c>
      <c r="E15" s="5" t="s">
        <v>1138</v>
      </c>
      <c r="J15" s="6" t="str">
        <f>IFERROR(__xludf.DUMMYFUNCTION("GOOGLETRANSLATE(A15, ""en"", ""ur"")"),"14")</f>
        <v>14</v>
      </c>
      <c r="K15" s="6" t="str">
        <f>IFERROR(__xludf.DUMMYFUNCTION("GOOGLETRANSLATE(B15, ""en"", ""ur"")"),"اسلام آباد میں فلڈ لائٹس کے نیچے رات کے میچ میں، گہرے سائے گول سرکل کے قریب الجھن کا باعث بنتے ہیں۔ بہترین حل کیا ہے؟")</f>
        <v>اسلام آباد میں فلڈ لائٹس کے نیچے رات کے میچ میں، گہرے سائے گول سرکل کے قریب الجھن کا باعث بنتے ہیں۔ بہترین حل کیا ہے؟</v>
      </c>
      <c r="L15" s="6" t="str">
        <f>IFERROR(__xludf.DUMMYFUNCTION("GOOGLETRANSLATE(C15, ""en"", ""ur"")"),"A) قطع نظر کھیل کو جاری رکھیں، B) ریفری کو کھیل کو روکنا چاہئے اور روشنی میں ایڈجسٹمنٹ کی درخواست کرنی چاہئے، C) کھیل کو دن کے وقت تک ملتوی کر دینا چاہئے، D) میدان کا سائز کم کیا جانا چاہئے۔")</f>
        <v>A) قطع نظر کھیل کو جاری رکھیں، B) ریفری کو کھیل کو روکنا چاہئے اور روشنی میں ایڈجسٹمنٹ کی درخواست کرنی چاہئے، C) کھیل کو دن کے وقت تک ملتوی کر دینا چاہئے، D) میدان کا سائز کم کیا جانا چاہئے۔</v>
      </c>
      <c r="M15" s="6" t="str">
        <f>IFERROR(__xludf.DUMMYFUNCTION("GOOGLETRANSLATE(D15, ""en"", ""ur"")"),"ب) ریفری کو کھیل کو روکنا چاہئے اور روشنی میں ایڈجسٹمنٹ کی درخواست کرنی چاہئے۔")</f>
        <v>ب) ریفری کو کھیل کو روکنا چاہئے اور روشنی میں ایڈجسٹمنٹ کی درخواست کرنی چاہئے۔</v>
      </c>
      <c r="N15" s="6" t="str">
        <f>IFERROR(__xludf.DUMMYFUNCTION("GOOGLETRANSLATE(E15, ""en"", ""ur"")"),"فیئر پلے کے لیے واضح مرئیت کی ضرورت ہوتی ہے۔ اگر روشنی کی وجہ سے حالات غیر محفوظ یا غیر منصفانہ ہیں، تو حکام کو اس کا ازالہ کرنا چاہیے۔")</f>
        <v>فیئر پلے کے لیے واضح مرئیت کی ضرورت ہوتی ہے۔ اگر روشنی کی وجہ سے حالات غیر محفوظ یا غیر منصفانہ ہیں، تو حکام کو اس کا ازالہ کرنا چاہیے۔</v>
      </c>
    </row>
    <row r="16">
      <c r="A16" s="4">
        <v>15.0</v>
      </c>
      <c r="B16" s="5" t="s">
        <v>1139</v>
      </c>
      <c r="C16" s="5" t="s">
        <v>1140</v>
      </c>
      <c r="D16" s="5" t="s">
        <v>1141</v>
      </c>
      <c r="E16" s="5" t="s">
        <v>1142</v>
      </c>
      <c r="J16" s="6" t="str">
        <f>IFERROR(__xludf.DUMMYFUNCTION("GOOGLETRANSLATE(A16, ""en"", ""ur"")"),"15")</f>
        <v>15</v>
      </c>
      <c r="K16" s="6" t="str">
        <f>IFERROR(__xludf.DUMMYFUNCTION("GOOGLETRANSLATE(B16, ""en"", ""ur"")"),"ٹیم اے کا ایک سوار لاش کو پکڑے ہوئے ہے۔ ٹیم بی کے ایک مخالف نے سوار کی ٹانگ پکڑ لی۔ کال کیا ہے؟")</f>
        <v>ٹیم اے کا ایک سوار لاش کو پکڑے ہوئے ہے۔ ٹیم بی کے ایک مخالف نے سوار کی ٹانگ پکڑ لی۔ کال کیا ہے؟</v>
      </c>
      <c r="L16" s="6" t="str">
        <f>IFERROR(__xludf.DUMMYFUNCTION("GOOGLETRANSLATE(C16, ""en"", ""ur"")"),"A) یہ ایک قانونی طور پر ہٹانے کی کوشش ہے، B) یہ سوار کو پکڑنے کے لیے مخالف پر فاؤل ہے، C) کھیل معمول کے مطابق جاری ہے، D) جس سوار کو روکا گیا تھا اسے جرمانہ کیا گیا")</f>
        <v>A) یہ ایک قانونی طور پر ہٹانے کی کوشش ہے، B) یہ سوار کو پکڑنے کے لیے مخالف پر فاؤل ہے، C) کھیل معمول کے مطابق جاری ہے، D) جس سوار کو روکا گیا تھا اسے جرمانہ کیا گیا</v>
      </c>
      <c r="M16" s="6" t="str">
        <f>IFERROR(__xludf.DUMMYFUNCTION("GOOGLETRANSLATE(D16, ""en"", ""ur"")"),"ب) سوار کو پکڑنے کے لیے مخالف پر فاؤل ہے۔")</f>
        <v>ب) سوار کو پکڑنے کے لیے مخالف پر فاؤل ہے۔</v>
      </c>
      <c r="N16" s="6" t="str">
        <f>IFERROR(__xludf.DUMMYFUNCTION("GOOGLETRANSLATE(E16, ""en"", ""ur"")"),"سوار کے جسم کے کسی بھی حصے یا ان کے سامان کو پکڑنا غیر قانونی ہے۔ کھلاڑی صرف قانونی طور پر لاش کے لیے ہی مقابلہ کر سکتے ہیں۔")</f>
        <v>سوار کے جسم کے کسی بھی حصے یا ان کے سامان کو پکڑنا غیر قانونی ہے۔ کھلاڑی صرف قانونی طور پر لاش کے لیے ہی مقابلہ کر سکتے ہیں۔</v>
      </c>
    </row>
    <row r="17">
      <c r="A17" s="4">
        <v>16.0</v>
      </c>
      <c r="B17" s="5" t="s">
        <v>1143</v>
      </c>
      <c r="C17" s="5" t="s">
        <v>1144</v>
      </c>
      <c r="D17" s="5" t="s">
        <v>1145</v>
      </c>
      <c r="E17" s="5" t="s">
        <v>1146</v>
      </c>
      <c r="J17" s="6" t="str">
        <f>IFERROR(__xludf.DUMMYFUNCTION("GOOGLETRANSLATE(A17, ""en"", ""ur"")"),"16")</f>
        <v>16</v>
      </c>
      <c r="K17" s="6" t="str">
        <f>IFERROR(__xludf.DUMMYFUNCTION("GOOGLETRANSLATE(B17, ""en"", ""ur"")"),"ایک سوار اپنے بائیں طرف ٹیم کے ساتھی کو پاس بناتا ہے، جس سے محافظوں کو منتقل ہونا پڑتا ہے، پھر تیزی سے دائیں طرف سوار ہوتا ہے۔ کیا یہ حربہ جائز ہے؟")</f>
        <v>ایک سوار اپنے بائیں طرف ٹیم کے ساتھی کو پاس بناتا ہے، جس سے محافظوں کو منتقل ہونا پڑتا ہے، پھر تیزی سے دائیں طرف سوار ہوتا ہے۔ کیا یہ حربہ جائز ہے؟</v>
      </c>
      <c r="L17" s="6" t="str">
        <f>IFERROR(__xludf.DUMMYFUNCTION("GOOGLETRANSLATE(C17, ""en"", ""ur"")"),"A) جی ہاں، دھوکہ دہی اور دھوکہ دہی حکمت عملی کا ایک اہم حصہ ہیں، B) نہیں، یہ غیر کھیلوں کے طرز عمل کو سمجھا جاتا ہے، C) صرف اس صورت میں جب ریفری اس اقدام کو پہلے سے منظور کرے، D) سوار کو چالبازی کے لیے سزا دی جائے گی۔")</f>
        <v>A) جی ہاں، دھوکہ دہی اور دھوکہ دہی حکمت عملی کا ایک اہم حصہ ہیں، B) نہیں، یہ غیر کھیلوں کے طرز عمل کو سمجھا جاتا ہے، C) صرف اس صورت میں جب ریفری اس اقدام کو پہلے سے منظور کرے، D) سوار کو چالبازی کے لیے سزا دی جائے گی۔</v>
      </c>
      <c r="M17" s="6" t="str">
        <f>IFERROR(__xludf.DUMMYFUNCTION("GOOGLETRANSLATE(D17, ""en"", ""ur"")"),"A) جی ہاں، دھوکہ دہی اور دغا بازی حکمت عملی کا ایک اہم حصہ ہیں۔")</f>
        <v>A) جی ہاں، دھوکہ دہی اور دغا بازی حکمت عملی کا ایک اہم حصہ ہیں۔</v>
      </c>
      <c r="N17" s="6" t="str">
        <f>IFERROR(__xludf.DUMMYFUNCTION("GOOGLETRANSLATE(E17, ""en"", ""ur"")"),"دھوکہ دہی کے ہتھکنڈے جن میں فاؤل شامل نہ ہوں ایک ہنر مند اور ذہین چپنداز کی علامت ہیں۔")</f>
        <v>دھوکہ دہی کے ہتھکنڈے جن میں فاؤل شامل نہ ہوں ایک ہنر مند اور ذہین چپنداز کی علامت ہیں۔</v>
      </c>
    </row>
    <row r="18">
      <c r="A18" s="4">
        <v>17.0</v>
      </c>
      <c r="B18" s="5" t="s">
        <v>1147</v>
      </c>
      <c r="C18" s="5" t="s">
        <v>1148</v>
      </c>
      <c r="D18" s="5" t="s">
        <v>1149</v>
      </c>
      <c r="E18" s="5" t="s">
        <v>1150</v>
      </c>
      <c r="J18" s="6" t="str">
        <f>IFERROR(__xludf.DUMMYFUNCTION("GOOGLETRANSLATE(A18, ""en"", ""ur"")"),"17")</f>
        <v>17</v>
      </c>
      <c r="K18" s="6" t="str">
        <f>IFERROR(__xludf.DUMMYFUNCTION("GOOGLETRANSLATE(B18, ""en"", ""ur"")"),"اسکرم کے دوران، ٹیم A کا ایک سوار گھوڑوں کے بغیر ہوتا ہے۔ ان کے ساتھی ڈھیلے گھوڑے کو فوراً پکڑ لیتے ہیں۔ یہ کیوں ضروری ہے؟")</f>
        <v>اسکرم کے دوران، ٹیم A کا ایک سوار گھوڑوں کے بغیر ہوتا ہے۔ ان کے ساتھی ڈھیلے گھوڑے کو فوراً پکڑ لیتے ہیں۔ یہ کیوں ضروری ہے؟</v>
      </c>
      <c r="L18" s="6" t="str">
        <f>IFERROR(__xludf.DUMMYFUNCTION("GOOGLETRANSLATE(C18, ""en"", ""ur"")"),"A) گھوڑے کو چرانے کے لیے، B) قیمتی، بغیر سوار گھوڑے کو بولٹ لگنے یا زخمی ہونے سے روکنے کے لیے، C) اس لیے ٹیم کا ساتھی دو گھوڑوں کا استعمال کر سکتا ہے، D) اپنی گھڑ سواری کی مہارت دکھانے کے لیے")</f>
        <v>A) گھوڑے کو چرانے کے لیے، B) قیمتی، بغیر سوار گھوڑے کو بولٹ لگنے یا زخمی ہونے سے روکنے کے لیے، C) اس لیے ٹیم کا ساتھی دو گھوڑوں کا استعمال کر سکتا ہے، D) اپنی گھڑ سواری کی مہارت دکھانے کے لیے</v>
      </c>
      <c r="M18" s="6" t="str">
        <f>IFERROR(__xludf.DUMMYFUNCTION("GOOGLETRANSLATE(D18, ""en"", ""ur"")"),"ب) قیمتی، بغیر سوار گھوڑے کو بولٹ لگنے یا زخمی ہونے سے روکنا")</f>
        <v>ب) قیمتی، بغیر سوار گھوڑے کو بولٹ لگنے یا زخمی ہونے سے روکنا</v>
      </c>
      <c r="N18" s="6" t="str">
        <f>IFERROR(__xludf.DUMMYFUNCTION("GOOGLETRANSLATE(E18, ""en"", ""ur"")"),"ایک تربیت یافتہ بزکشی گھوڑا ایک بہت بڑی سرمایہ کاری ہے۔ ٹیم کے ساتھی قیمتی جانور کی حفاظت کے لیے ڈھیلے گھوڑے کو پکڑنے کو ترجیح دیں گے۔")</f>
        <v>ایک تربیت یافتہ بزکشی گھوڑا ایک بہت بڑی سرمایہ کاری ہے۔ ٹیم کے ساتھی قیمتی جانور کی حفاظت کے لیے ڈھیلے گھوڑے کو پکڑنے کو ترجیح دیں گے۔</v>
      </c>
    </row>
    <row r="19">
      <c r="A19" s="4">
        <v>18.0</v>
      </c>
      <c r="B19" s="5" t="s">
        <v>1151</v>
      </c>
      <c r="C19" s="5" t="s">
        <v>1152</v>
      </c>
      <c r="D19" s="5" t="s">
        <v>1153</v>
      </c>
      <c r="E19" s="5" t="s">
        <v>1154</v>
      </c>
      <c r="J19" s="6" t="str">
        <f>IFERROR(__xludf.DUMMYFUNCTION("GOOGLETRANSLATE(A19, ""en"", ""ur"")"),"18")</f>
        <v>18</v>
      </c>
      <c r="K19" s="6" t="str">
        <f>IFERROR(__xludf.DUMMYFUNCTION("GOOGLETRANSLATE(B19, ""en"", ""ur"")"),"ایک سوار پر دوسرے گھوڑوں کو زخمی کرنے کے لیے چھپی ہوئی تیز دھار والی زین کا استعمال کرنے کا الزام ہے۔ اگر ریفری اس کی تصدیق کرتا ہے تو جرمانہ کیا ہے؟")</f>
        <v>ایک سوار پر دوسرے گھوڑوں کو زخمی کرنے کے لیے چھپی ہوئی تیز دھار والی زین کا استعمال کرنے کا الزام ہے۔ اگر ریفری اس کی تصدیق کرتا ہے تو جرمانہ کیا ہے؟</v>
      </c>
      <c r="L19" s="6" t="str">
        <f>IFERROR(__xludf.DUMMYFUNCTION("GOOGLETRANSLATE(C19, ""en"", ""ur"")"),"A) ایک انتباہ، B) ایک پوائنٹ کی کٹوتی، C) فوری طور پر نااہلی اور کھیل سے ممکنہ پابندی، D) جرمانہ")</f>
        <v>A) ایک انتباہ، B) ایک پوائنٹ کی کٹوتی، C) فوری طور پر نااہلی اور کھیل سے ممکنہ پابندی، D) جرمانہ</v>
      </c>
      <c r="M19" s="6" t="str">
        <f>IFERROR(__xludf.DUMMYFUNCTION("GOOGLETRANSLATE(D19, ""en"", ""ur"")"),"C) فوری طور پر نااہلی اور کھیل سے ممکنہ پابندی")</f>
        <v>C) فوری طور پر نااہلی اور کھیل سے ممکنہ پابندی</v>
      </c>
      <c r="N19" s="6" t="str">
        <f>IFERROR(__xludf.DUMMYFUNCTION("GOOGLETRANSLATE(E19, ""en"", ""ur"")"),"یہ دھوکہ دہی کی ایک شدید شکل ہے جسے جان بوجھ کر دوسرے جانوروں کو زخمی کرنے کے لیے ڈیزائن کیا گیا ہے اور اسے سخت ترین ممکنہ سزا دی جائے گی۔")</f>
        <v>یہ دھوکہ دہی کی ایک شدید شکل ہے جسے جان بوجھ کر دوسرے جانوروں کو زخمی کرنے کے لیے ڈیزائن کیا گیا ہے اور اسے سخت ترین ممکنہ سزا دی جائے گی۔</v>
      </c>
    </row>
    <row r="20">
      <c r="A20" s="4">
        <v>19.0</v>
      </c>
      <c r="B20" s="5" t="s">
        <v>1155</v>
      </c>
      <c r="C20" s="5" t="s">
        <v>1156</v>
      </c>
      <c r="D20" s="5" t="s">
        <v>1157</v>
      </c>
      <c r="E20" s="5" t="s">
        <v>1158</v>
      </c>
      <c r="J20" s="6" t="str">
        <f>IFERROR(__xludf.DUMMYFUNCTION("GOOGLETRANSLATE(A20, ""en"", ""ur"")"),"19")</f>
        <v>19</v>
      </c>
      <c r="K20" s="6" t="str">
        <f>IFERROR(__xludf.DUMMYFUNCTION("GOOGLETRANSLATE(B20, ""en"", ""ur"")"),"ایک رسمی میچ میں، ایک کھلاڑی کو ""خطرناک سواری"" کے لیے نااہل قرار دیا جاتا ہے۔ ان میں سے کون سا عمل اہل ہوگا؟")</f>
        <v>ایک رسمی میچ میں، ایک کھلاڑی کو "خطرناک سواری" کے لیے نااہل قرار دیا جاتا ہے۔ ان میں سے کون سا عمل اہل ہوگا؟</v>
      </c>
      <c r="L20" s="6" t="str">
        <f>IFERROR(__xludf.DUMMYFUNCTION("GOOGLETRANSLATE(C20, ""en"", ""ur"")"),"A) حالات کے مطابق بہت تیز سواری کرنا، B) جان بوجھ کر گرے ہوئے سوار میں سوار ہونا، C) بہت زیادہ جوش و خروش سے اسکور کا جشن منانا، D) بہت ہی مختصر کوڑے کا استعمال")</f>
        <v>A) حالات کے مطابق بہت تیز سواری کرنا، B) جان بوجھ کر گرے ہوئے سوار میں سوار ہونا، C) بہت زیادہ جوش و خروش سے اسکور کا جشن منانا، D) بہت ہی مختصر کوڑے کا استعمال</v>
      </c>
      <c r="M20" s="6" t="str">
        <f>IFERROR(__xludf.DUMMYFUNCTION("GOOGLETRANSLATE(D20, ""en"", ""ur"")"),"ب) جان بوجھ کر گرے ہوئے سوار میں سوار ہونا")</f>
        <v>ب) جان بوجھ کر گرے ہوئے سوار میں سوار ہونا</v>
      </c>
      <c r="N20" s="6" t="str">
        <f>IFERROR(__xludf.DUMMYFUNCTION("GOOGLETRANSLATE(E20, ""en"", ""ur"")"),"کوئی بھی عمل جو دوسرے کھلاڑیوں یا گھوڑوں کی حفاظت کے لیے جان بوجھ کر نظر انداز کرتا ہے اسے خطرناک سواری سمجھا جاتا ہے اور یہ ایک بڑا فاؤل ہے۔")</f>
        <v>کوئی بھی عمل جو دوسرے کھلاڑیوں یا گھوڑوں کی حفاظت کے لیے جان بوجھ کر نظر انداز کرتا ہے اسے خطرناک سواری سمجھا جاتا ہے اور یہ ایک بڑا فاؤل ہے۔</v>
      </c>
    </row>
    <row r="21">
      <c r="A21" s="4">
        <v>20.0</v>
      </c>
      <c r="B21" s="5" t="s">
        <v>1159</v>
      </c>
      <c r="C21" s="5" t="s">
        <v>1160</v>
      </c>
      <c r="D21" s="5" t="s">
        <v>1161</v>
      </c>
      <c r="E21" s="5" t="s">
        <v>1162</v>
      </c>
      <c r="J21" s="6" t="str">
        <f>IFERROR(__xludf.DUMMYFUNCTION("GOOGLETRANSLATE(A21, ""en"", ""ur"")"),"20")</f>
        <v>20</v>
      </c>
      <c r="K21" s="6" t="str">
        <f>IFERROR(__xludf.DUMMYFUNCTION("GOOGLETRANSLATE(B21, ""en"", ""ur"")"),"ایک سوار کامیابی کے ساتھ سکور کرتا ہے، لیکن میچ کے بعد کے معائنے سے پتہ چلتا ہے کہ اس نے اپنا چابک اپنی کلائی سے باندھ رکھا تھا۔ یہ غلط اسکور کو کیوں باطل کر دے گا؟")</f>
        <v>ایک سوار کامیابی کے ساتھ سکور کرتا ہے، لیکن میچ کے بعد کے معائنے سے پتہ چلتا ہے کہ اس نے اپنا چابک اپنی کلائی سے باندھ رکھا تھا۔ یہ غلط اسکور کو کیوں باطل کر دے گا؟</v>
      </c>
      <c r="L21" s="6" t="str">
        <f>IFERROR(__xludf.DUMMYFUNCTION("GOOGLETRANSLATE(C21, ""en"", ""ur"")"),"A) یہ فاؤل نہیں ہے، B) یہ کوڑے کو گرنے سے روکتا ہے، جو کہ ایک غیر منصفانہ فائدہ ہے، C) یہ انتہائی خطرناک ہے اگر سوار گر جائے اور الجھ جائے، D) B اور C دونوں درست ہیں۔")</f>
        <v>A) یہ فاؤل نہیں ہے، B) یہ کوڑے کو گرنے سے روکتا ہے، جو کہ ایک غیر منصفانہ فائدہ ہے، C) یہ انتہائی خطرناک ہے اگر سوار گر جائے اور الجھ جائے، D) B اور C دونوں درست ہیں۔</v>
      </c>
      <c r="M21" s="6" t="str">
        <f>IFERROR(__xludf.DUMMYFUNCTION("GOOGLETRANSLATE(D21, ""en"", ""ur"")"),"D) B اور C دونوں درست ہیں۔")</f>
        <v>D) B اور C دونوں درست ہیں۔</v>
      </c>
      <c r="N21" s="6" t="str">
        <f>IFERROR(__xludf.DUMMYFUNCTION("GOOGLETRANSLATE(E21, ""en"", ""ur"")"),"چابک کو باندھنا ایک غیر قانونی سامان میں ترمیم ہے جو ایک غیر منصفانہ فائدہ ہے (اسے غیر مسلح نہیں کیا جا سکتا) اور ایک سنگین حفاظتی خطرہ ہے۔")</f>
        <v>چابک کو باندھنا ایک غیر قانونی سامان میں ترمیم ہے جو ایک غیر منصفانہ فائدہ ہے (اسے غیر مسلح نہیں کیا جا سکتا) اور ایک سنگین حفاظتی خطرہ ہے۔</v>
      </c>
    </row>
    <row r="22">
      <c r="A22" s="4">
        <v>21.0</v>
      </c>
      <c r="B22" s="5" t="s">
        <v>1163</v>
      </c>
      <c r="C22" s="5" t="s">
        <v>1164</v>
      </c>
      <c r="D22" s="5" t="s">
        <v>1165</v>
      </c>
      <c r="E22" s="5" t="s">
        <v>1166</v>
      </c>
      <c r="J22" s="6" t="str">
        <f>IFERROR(__xludf.DUMMYFUNCTION("GOOGLETRANSLATE(A22, ""en"", ""ur"")"),"21")</f>
        <v>21</v>
      </c>
      <c r="K22" s="6" t="str">
        <f>IFERROR(__xludf.DUMMYFUNCTION("GOOGLETRANSLATE(B22, ""en"", ""ur"")"),"ایک سوار لاش کو اپنی ٹانگ کے نیچے پکڑے ہوئے ہے۔ ایک مخالف سوار ہوتا ہے اور لاش کو آزاد کرنے کی کوشش کرنے کے لیے اپنی ٹانگ استعمال کرتا ہے۔ کیا یہ قانونی اقدام ہے؟")</f>
        <v>ایک سوار لاش کو اپنی ٹانگ کے نیچے پکڑے ہوئے ہے۔ ایک مخالف سوار ہوتا ہے اور لاش کو آزاد کرنے کی کوشش کرنے کے لیے اپنی ٹانگ استعمال کرتا ہے۔ کیا یہ قانونی اقدام ہے؟</v>
      </c>
      <c r="L22" s="6" t="str">
        <f>IFERROR(__xludf.DUMMYFUNCTION("GOOGLETRANSLATE(C22, ""en"", ""ur"")"),"A) نہیں، صرف ہاتھ ہی استعمال کیے جا سکتے ہیں، B) ہاں، لاش کے لیے مقابلہ کرنے کے لیے ٹانگوں کا استعمال ایک اہم ہنر ہے، C) لات مارنا فاؤل ہے، D) صرف اس صورت میں جب مخالف راضی ہو۔")</f>
        <v>A) نہیں، صرف ہاتھ ہی استعمال کیے جا سکتے ہیں، B) ہاں، لاش کے لیے مقابلہ کرنے کے لیے ٹانگوں کا استعمال ایک اہم ہنر ہے، C) لات مارنا فاؤل ہے، D) صرف اس صورت میں جب مخالف راضی ہو۔</v>
      </c>
      <c r="M22" s="6" t="str">
        <f>IFERROR(__xludf.DUMMYFUNCTION("GOOGLETRANSLATE(D22, ""en"", ""ur"")"),"ب) جی ہاں، لاش کے لیے مقابلہ کرنے کے لیے ٹانگوں کا استعمال ایک اہم ہنر ہے۔")</f>
        <v>ب) جی ہاں، لاش کے لیے مقابلہ کرنے کے لیے ٹانگوں کا استعمال ایک اہم ہنر ہے۔</v>
      </c>
      <c r="N22" s="6" t="str">
        <f>IFERROR(__xludf.DUMMYFUNCTION("GOOGLETRANSLATE(E22, ""en"", ""ur"")"),"چپنڈاز کی طاقتور ٹانگوں کی گرفت قبضہ برقرار رکھنے کے لیے ان کا بنیادی ذریعہ ہے، اور مخالفین اس گرفت کو توڑنے کے لیے قانونی طور پر اپنی ٹانگیں استعمال کر سکتے ہیں۔")</f>
        <v>چپنڈاز کی طاقتور ٹانگوں کی گرفت قبضہ برقرار رکھنے کے لیے ان کا بنیادی ذریعہ ہے، اور مخالفین اس گرفت کو توڑنے کے لیے قانونی طور پر اپنی ٹانگیں استعمال کر سکتے ہیں۔</v>
      </c>
    </row>
    <row r="23">
      <c r="A23" s="4">
        <v>22.0</v>
      </c>
      <c r="B23" s="5" t="s">
        <v>1167</v>
      </c>
      <c r="C23" s="5" t="s">
        <v>1168</v>
      </c>
      <c r="D23" s="5" t="s">
        <v>1169</v>
      </c>
      <c r="E23" s="5" t="s">
        <v>1170</v>
      </c>
      <c r="J23" s="6" t="str">
        <f>IFERROR(__xludf.DUMMYFUNCTION("GOOGLETRANSLATE(A23, ""en"", ""ur"")"),"22")</f>
        <v>22</v>
      </c>
      <c r="K23" s="6" t="str">
        <f>IFERROR(__xludf.DUMMYFUNCTION("GOOGLETRANSLATE(B23, ""en"", ""ur"")"),"ایک ٹیم کو جرمانہ کیا جاتا ہے کیونکہ اس کی جرسی پر اس کے اسپانسر کا لوگو بہت بڑا ہے۔ کیا یہ رسمی ٹورنامنٹ میں ایک درست اصول ہے؟")</f>
        <v>ایک ٹیم کو جرمانہ کیا جاتا ہے کیونکہ اس کی جرسی پر اس کے اسپانسر کا لوگو بہت بڑا ہے۔ کیا یہ رسمی ٹورنامنٹ میں ایک درست اصول ہے؟</v>
      </c>
      <c r="L23" s="6" t="str">
        <f>IFERROR(__xludf.DUMMYFUNCTION("GOOGLETRANSLATE(C23, ""en"", ""ur"")"),"A) نہیں، اسپانسرشپ کی ہمیشہ اجازت ہے، B) ہاں، ٹورنامنٹ لوگو کے سائز اور پلیسمنٹ کو ریگولیٹ کر سکتے ہیں، C) صرف اس صورت میں جب لوگو ناگوار ہو، D) ٹیم کو بڑے لوگو کے لیے زیادہ ادائیگی کی جانی چاہیے۔")</f>
        <v>A) نہیں، اسپانسرشپ کی ہمیشہ اجازت ہے، B) ہاں، ٹورنامنٹ لوگو کے سائز اور پلیسمنٹ کو ریگولیٹ کر سکتے ہیں، C) صرف اس صورت میں جب لوگو ناگوار ہو، D) ٹیم کو بڑے لوگو کے لیے زیادہ ادائیگی کی جانی چاہیے۔</v>
      </c>
      <c r="M23" s="6" t="str">
        <f>IFERROR(__xludf.DUMMYFUNCTION("GOOGLETRANSLATE(D23, ""en"", ""ur"")"),"ب) جی ہاں، ٹورنامنٹ لوگو کے سائز اور جگہ کو منظم کر سکتے ہیں۔")</f>
        <v>ب) جی ہاں، ٹورنامنٹ لوگو کے سائز اور جگہ کو منظم کر سکتے ہیں۔</v>
      </c>
      <c r="N23" s="6" t="str">
        <f>IFERROR(__xludf.DUMMYFUNCTION("GOOGLETRANSLATE(E23, ""en"", ""ur"")"),"کھیل کے پیشہ ورانہ ورژن میں، معیاری ظاہری شکل کو برقرار رکھنے کے لیے اکثر یونیفارم اور اشتہارات کے حوالے سے قوانین ہوتے ہیں۔")</f>
        <v>کھیل کے پیشہ ورانہ ورژن میں، معیاری ظاہری شکل کو برقرار رکھنے کے لیے اکثر یونیفارم اور اشتہارات کے حوالے سے قوانین ہوتے ہیں۔</v>
      </c>
    </row>
    <row r="24">
      <c r="A24" s="4">
        <v>23.0</v>
      </c>
      <c r="B24" s="5" t="s">
        <v>1171</v>
      </c>
      <c r="C24" s="5" t="s">
        <v>1172</v>
      </c>
      <c r="D24" s="5" t="s">
        <v>1173</v>
      </c>
      <c r="E24" s="5" t="s">
        <v>1174</v>
      </c>
      <c r="J24" s="6" t="str">
        <f>IFERROR(__xludf.DUMMYFUNCTION("GOOGLETRANSLATE(A24, ""en"", ""ur"")"),"23")</f>
        <v>23</v>
      </c>
      <c r="K24" s="6" t="str">
        <f>IFERROR(__xludf.DUMMYFUNCTION("GOOGLETRANSLATE(B24, ""en"", ""ur"")"),"گھوڑے کو مخالف کے گھوڑے کو ""پن"" کرنے کی تربیت دی جاتی ہے۔ اس کا کیا مطلب ہے؟")</f>
        <v>گھوڑے کو مخالف کے گھوڑے کو "پن" کرنے کی تربیت دی جاتی ہے۔ اس کا کیا مطلب ہے؟</v>
      </c>
      <c r="L24" s="6" t="str">
        <f>IFERROR(__xludf.DUMMYFUNCTION("GOOGLETRANSLATE(C24, ""en"", ""ur"")"),"A) گھوڑا اپنے جسم کو حریف کے گھوڑے کو باؤنڈری پر پھنسانے کے لیے استعمال کرتا ہے، B) گھوڑا مخالف کے گھوڑے کو کاٹتا ہے، C) گھوڑا جارحیت میں اپنے کانوں کو پیچھے کرتا ہے، D) گھوڑا حرکت کرنے سے انکار کرتا ہے۔")</f>
        <v>A) گھوڑا اپنے جسم کو حریف کے گھوڑے کو باؤنڈری پر پھنسانے کے لیے استعمال کرتا ہے، B) گھوڑا مخالف کے گھوڑے کو کاٹتا ہے، C) گھوڑا جارحیت میں اپنے کانوں کو پیچھے کرتا ہے، D) گھوڑا حرکت کرنے سے انکار کرتا ہے۔</v>
      </c>
      <c r="M24" s="6" t="str">
        <f>IFERROR(__xludf.DUMMYFUNCTION("GOOGLETRANSLATE(D24, ""en"", ""ur"")"),"A) گھوڑا اپنے جسم کو حریف کے گھوڑے کو باؤنڈری کے خلاف پھنسانے کے لیے استعمال کرتا ہے۔")</f>
        <v>A) گھوڑا اپنے جسم کو حریف کے گھوڑے کو باؤنڈری کے خلاف پھنسانے کے لیے استعمال کرتا ہے۔</v>
      </c>
      <c r="N24" s="6" t="str">
        <f>IFERROR(__xludf.DUMMYFUNCTION("GOOGLETRANSLATE(E24, ""en"", ""ur"")"),"یہ ایک اعلیٰ سطحی مہارت ہے جہاں گھوڑا خود حریف کی نقل و حرکت اور لاش تک ان کی رسائی کو کنٹرول کرنے کا ایک اسٹریٹجک ٹول بن جاتا ہے۔")</f>
        <v>یہ ایک اعلیٰ سطحی مہارت ہے جہاں گھوڑا خود حریف کی نقل و حرکت اور لاش تک ان کی رسائی کو کنٹرول کرنے کا ایک اسٹریٹجک ٹول بن جاتا ہے۔</v>
      </c>
    </row>
    <row r="25">
      <c r="A25" s="4">
        <v>24.0</v>
      </c>
      <c r="B25" s="5" t="s">
        <v>1175</v>
      </c>
      <c r="C25" s="5" t="s">
        <v>1176</v>
      </c>
      <c r="D25" s="5" t="s">
        <v>1177</v>
      </c>
      <c r="E25" s="5" t="s">
        <v>1178</v>
      </c>
      <c r="J25" s="6" t="str">
        <f>IFERROR(__xludf.DUMMYFUNCTION("GOOGLETRANSLATE(A25, ""en"", ""ur"")"),"24")</f>
        <v>24</v>
      </c>
      <c r="K25" s="6" t="str">
        <f>IFERROR(__xludf.DUMMYFUNCTION("GOOGLETRANSLATE(B25, ""en"", ""ur"")"),"اگر میت کو لے جانے والا سوار گھوڑے کے بغیر ہو لیکن گرنے کے دوران لاش کو گول کرنے والے دائرے میں گرانے میں کامیاب ہو جائے تو اس کا کیا حکم ہے؟")</f>
        <v>اگر میت کو لے جانے والا سوار گھوڑے کے بغیر ہو لیکن گرنے کے دوران لاش کو گول کرنے والے دائرے میں گرانے میں کامیاب ہو جائے تو اس کا کیا حکم ہے؟</v>
      </c>
      <c r="L25" s="6" t="str">
        <f>IFERROR(__xludf.DUMMYFUNCTION("GOOGLETRANSLATE(C25, ""en"", ""ur"")"),"A) یہ ایک شاندار اور درست اسکور ہے، B) اسکور درست نہیں ہے کیونکہ سوار کے قابو میں نہیں تھا، C) جزوی اسکور دیا جاتا ہے، D) پوائنٹ دوبارہ چلایا جاتا ہے۔")</f>
        <v>A) یہ ایک شاندار اور درست اسکور ہے، B) اسکور درست نہیں ہے کیونکہ سوار کے قابو میں نہیں تھا، C) جزوی اسکور دیا جاتا ہے، D) پوائنٹ دوبارہ چلایا جاتا ہے۔</v>
      </c>
      <c r="M25" s="6" t="str">
        <f>IFERROR(__xludf.DUMMYFUNCTION("GOOGLETRANSLATE(D25, ""en"", ""ur"")"),"ب) اسکور درست نہیں ہے کیونکہ سوار کے قابو میں نہیں تھا۔")</f>
        <v>ب) اسکور درست نہیں ہے کیونکہ سوار کے قابو میں نہیں تھا۔</v>
      </c>
      <c r="N25" s="6" t="str">
        <f>IFERROR(__xludf.DUMMYFUNCTION("GOOGLETRANSLATE(E25, ""en"", ""ur"")"),"ایک سوار کو مکمل طور پر سوار ہونا چاہیے اور اس کے قانونی ہونے کے لیے اسکور کے وقت اپنے گھوڑے کو قابو میں رکھنا چاہیے۔")</f>
        <v>ایک سوار کو مکمل طور پر سوار ہونا چاہیے اور اس کے قانونی ہونے کے لیے اسکور کے وقت اپنے گھوڑے کو قابو میں رکھنا چاہیے۔</v>
      </c>
    </row>
    <row r="26">
      <c r="A26" s="4">
        <v>25.0</v>
      </c>
      <c r="B26" s="5" t="s">
        <v>1179</v>
      </c>
      <c r="C26" s="5" t="s">
        <v>1180</v>
      </c>
      <c r="D26" s="5" t="s">
        <v>1181</v>
      </c>
      <c r="E26" s="5" t="s">
        <v>1182</v>
      </c>
      <c r="J26" s="6" t="str">
        <f>IFERROR(__xludf.DUMMYFUNCTION("GOOGLETRANSLATE(A26, ""en"", ""ur"")"),"25")</f>
        <v>25</v>
      </c>
      <c r="K26" s="6" t="str">
        <f>IFERROR(__xludf.DUMMYFUNCTION("GOOGLETRANSLATE(B26, ""en"", ""ur"")"),"پاکستان میں روایتی میچ میں غلط نسل کا گھوڑا رکھنے پر ایک کھلاڑی کو نااہل قرار دے دیا جاتا ہے۔ ممکنہ طور پر مطلوبہ نسل کیا ہے؟")</f>
        <v>پاکستان میں روایتی میچ میں غلط نسل کا گھوڑا رکھنے پر ایک کھلاڑی کو نااہل قرار دے دیا جاتا ہے۔ ممکنہ طور پر مطلوبہ نسل کیا ہے؟</v>
      </c>
      <c r="L26" s="6" t="str">
        <f>IFERROR(__xludf.DUMMYFUNCTION("GOOGLETRANSLATE(C26, ""en"", ""ur"")"),"A) عربی، B) مکمل نسل، C) ایک مقامی نسل جو وزیری یا بلوچی جیسی سختی کے لیے جانی جاتی ہے، D) شائر")</f>
        <v>A) عربی، B) مکمل نسل، C) ایک مقامی نسل جو وزیری یا بلوچی جیسی سختی کے لیے جانی جاتی ہے، D) شائر</v>
      </c>
      <c r="M26" s="6" t="str">
        <f>IFERROR(__xludf.DUMMYFUNCTION("GOOGLETRANSLATE(D26, ""en"", ""ur"")"),"ج) ایک مقامی نسل جو جفاکشی کے لیے مشہور ہے جیسے وزیری یا بلوچی۔")</f>
        <v>ج) ایک مقامی نسل جو جفاکشی کے لیے مشہور ہے جیسے وزیری یا بلوچی۔</v>
      </c>
      <c r="N26" s="6" t="str">
        <f>IFERROR(__xludf.DUMMYFUNCTION("GOOGLETRANSLATE(E26, ""en"", ""ur"")"),"روایتی کھیل اکثر مقامی نسلوں کو زیادہ اہمیت دیتے ہیں جو خاص طور پر خطے کی آب و ہوا اور کھیل کے تقاضوں کے مطابق ہوتی ہیں۔")</f>
        <v>روایتی کھیل اکثر مقامی نسلوں کو زیادہ اہمیت دیتے ہیں جو خاص طور پر خطے کی آب و ہوا اور کھیل کے تقاضوں کے مطابق ہوتی ہیں۔</v>
      </c>
    </row>
    <row r="27">
      <c r="A27" s="4">
        <v>26.0</v>
      </c>
      <c r="B27" s="5" t="s">
        <v>1183</v>
      </c>
      <c r="C27" s="5" t="s">
        <v>1184</v>
      </c>
      <c r="D27" s="5" t="s">
        <v>1185</v>
      </c>
      <c r="E27" s="5" t="s">
        <v>1186</v>
      </c>
      <c r="J27" s="6" t="str">
        <f>IFERROR(__xludf.DUMMYFUNCTION("GOOGLETRANSLATE(A27, ""en"", ""ur"")"),"26")</f>
        <v>26</v>
      </c>
      <c r="K27" s="6" t="str">
        <f>IFERROR(__xludf.DUMMYFUNCTION("GOOGLETRANSLATE(B27, ""en"", ""ur"")"),"ایک ریفری کھیل کو روکتا ہے کیونکہ سوار کی روایتی پگڑی (لنگی) ختم ہو گئی ہے اور ان کی بینائی کو مدھم کر رہی ہے۔ کیا یہ صحیح کال ہے؟")</f>
        <v>ایک ریفری کھیل کو روکتا ہے کیونکہ سوار کی روایتی پگڑی (لنگی) ختم ہو گئی ہے اور ان کی بینائی کو مدھم کر رہی ہے۔ کیا یہ صحیح کال ہے؟</v>
      </c>
      <c r="L27" s="6" t="str">
        <f>IFERROR(__xludf.DUMMYFUNCTION("GOOGLETRANSLATE(C27, ""en"", ""ur"")"),"A) نہیں، کھیل جاری رہنا چاہئے، B) ہاں، یہ سوار کی حفاظت کا معاملہ ہے، C) سوار کو نااہل قرار دیا جانا چاہئے، D) مخالف کو ایک پوائنٹ ملتا ہے")</f>
        <v>A) نہیں، کھیل جاری رہنا چاہئے، B) ہاں، یہ سوار کی حفاظت کا معاملہ ہے، C) سوار کو نااہل قرار دیا جانا چاہئے، D) مخالف کو ایک پوائنٹ ملتا ہے</v>
      </c>
      <c r="M27" s="6" t="str">
        <f>IFERROR(__xludf.DUMMYFUNCTION("GOOGLETRANSLATE(D27, ""en"", ""ur"")"),"ب) جی ہاں، یہ سوار کی حفاظت کا معاملہ ہے۔")</f>
        <v>ب) جی ہاں، یہ سوار کی حفاظت کا معاملہ ہے۔</v>
      </c>
      <c r="N27" s="6" t="str">
        <f>IFERROR(__xludf.DUMMYFUNCTION("GOOGLETRANSLATE(E27, ""en"", ""ur"")"),"اگر سامان یا لباس کا کوئی ٹکڑا حفاظتی خطرہ بن جاتا ہے، تو ریفری کھیل کو روک سکتا ہے اور اسے درست کرنے کی اجازت دیتا ہے۔")</f>
        <v>اگر سامان یا لباس کا کوئی ٹکڑا حفاظتی خطرہ بن جاتا ہے، تو ریفری کھیل کو روک سکتا ہے اور اسے درست کرنے کی اجازت دیتا ہے۔</v>
      </c>
    </row>
    <row r="28">
      <c r="A28" s="4">
        <v>27.0</v>
      </c>
      <c r="B28" s="5" t="s">
        <v>1187</v>
      </c>
      <c r="C28" s="5" t="s">
        <v>1188</v>
      </c>
      <c r="D28" s="5" t="s">
        <v>1189</v>
      </c>
      <c r="E28" s="5" t="s">
        <v>1190</v>
      </c>
      <c r="J28" s="6" t="str">
        <f>IFERROR(__xludf.DUMMYFUNCTION("GOOGLETRANSLATE(A28, ""en"", ""ur"")"),"27")</f>
        <v>27</v>
      </c>
      <c r="K28" s="6" t="str">
        <f>IFERROR(__xludf.DUMMYFUNCTION("GOOGLETRANSLATE(B28, ""en"", ""ur"")"),"اگر کوئی سوار لاش کو پکڑ لے، لیکن پھر اسے اسکرم کی رفتار سے اسکورنگ لائن کے اوپر لے جایا جائے تو اس کا کیا حکم ہے؟")</f>
        <v>اگر کوئی سوار لاش کو پکڑ لے، لیکن پھر اسے اسکرم کی رفتار سے اسکورنگ لائن کے اوپر لے جایا جائے تو اس کا کیا حکم ہے؟</v>
      </c>
      <c r="L28" s="6" t="str">
        <f>IFERROR(__xludf.DUMMYFUNCTION("GOOGLETRANSLATE(C28, ""en"", ""ur"")"),"A) یہ ایک درست سکور ہے، B) یہ درست سکور نہیں ہے کیونکہ سوار کے پاس انفرادی کنٹرول نہیں تھا، C) پوائنٹ دوبارہ چلایا جاتا ہے، D) پوائنٹ پوری ٹیم کو دیا جاتا ہے۔")</f>
        <v>A) یہ ایک درست سکور ہے، B) یہ درست سکور نہیں ہے کیونکہ سوار کے پاس انفرادی کنٹرول نہیں تھا، C) پوائنٹ دوبارہ چلایا جاتا ہے، D) پوائنٹ پوری ٹیم کو دیا جاتا ہے۔</v>
      </c>
      <c r="M28" s="6" t="str">
        <f>IFERROR(__xludf.DUMMYFUNCTION("GOOGLETRANSLATE(D28, ""en"", ""ur"")"),"ب) یہ درست سکور نہیں ہے کیونکہ سوار کے پاس انفرادی کنٹرول کی کمی تھی۔")</f>
        <v>ب) یہ درست سکور نہیں ہے کیونکہ سوار کے پاس انفرادی کنٹرول کی کمی تھی۔</v>
      </c>
      <c r="N28" s="6" t="str">
        <f>IFERROR(__xludf.DUMMYFUNCTION("GOOGLETRANSLATE(E28, ""en"", ""ur"")"),"گول کرتے وقت سوار کو لاش پر واضح اور انفرادی کنٹرول کا مظاہرہ کرنا چاہیے۔ گھوڑوں کے ہجوم سے دھکیلنا قانونی اسکور نہیں ہے۔")</f>
        <v>گول کرتے وقت سوار کو لاش پر واضح اور انفرادی کنٹرول کا مظاہرہ کرنا چاہیے۔ گھوڑوں کے ہجوم سے دھکیلنا قانونی اسکور نہیں ہے۔</v>
      </c>
    </row>
    <row r="29">
      <c r="A29" s="4">
        <v>28.0</v>
      </c>
      <c r="B29" s="5" t="s">
        <v>1191</v>
      </c>
      <c r="C29" s="5" t="s">
        <v>1192</v>
      </c>
      <c r="D29" s="5" t="s">
        <v>1193</v>
      </c>
      <c r="E29" s="5" t="s">
        <v>1194</v>
      </c>
      <c r="J29" s="6" t="str">
        <f>IFERROR(__xludf.DUMMYFUNCTION("GOOGLETRANSLATE(A29, ""en"", ""ur"")"),"28")</f>
        <v>28</v>
      </c>
      <c r="K29" s="6" t="str">
        <f>IFERROR(__xludf.DUMMYFUNCTION("GOOGLETRANSLATE(B29, ""en"", ""ur"")"),"ایک ناتجربہ کار سوار گھوڑوں کے بغیر ہوتا ہے، اور ان کا گھوڑا کھیل کی پیروی کرتا رہتا ہے اور دوسرے کھلاڑیوں کے ساتھ مداخلت کرتا ہے۔ طریقہ کار کیا ہے؟")</f>
        <v>ایک ناتجربہ کار سوار گھوڑوں کے بغیر ہوتا ہے، اور ان کا گھوڑا کھیل کی پیروی کرتا رہتا ہے اور دوسرے کھلاڑیوں کے ساتھ مداخلت کرتا ہے۔ طریقہ کار کیا ہے؟</v>
      </c>
      <c r="L29" s="6" t="str">
        <f>IFERROR(__xludf.DUMMYFUNCTION("GOOGLETRANSLATE(C29, ""en"", ""ur"")"),"A) گھوڑے کو کھیل جاری رکھنے کی اجازت ہے، B) گھوڑے کو پکڑ کر میدان سے ہٹا دینا چاہیے، C) ٹیم کو جرمانہ کیا جاتا ہے، D) کھیل روک دیا جاتا ہے۔")</f>
        <v>A) گھوڑے کو کھیل جاری رکھنے کی اجازت ہے، B) گھوڑے کو پکڑ کر میدان سے ہٹا دینا چاہیے، C) ٹیم کو جرمانہ کیا جاتا ہے، D) کھیل روک دیا جاتا ہے۔</v>
      </c>
      <c r="M29" s="6" t="str">
        <f>IFERROR(__xludf.DUMMYFUNCTION("GOOGLETRANSLATE(D29, ""en"", ""ur"")"),"ب) اہلکاروں کے ذریعہ گھوڑے کو پکڑ کر میدان سے ہٹا دینا چاہئے۔")</f>
        <v>ب) اہلکاروں کے ذریعہ گھوڑے کو پکڑ کر میدان سے ہٹا دینا چاہئے۔</v>
      </c>
      <c r="N29" s="6" t="str">
        <f>IFERROR(__xludf.DUMMYFUNCTION("GOOGLETRANSLATE(E29, ""en"", ""ur"")"),"بغیر سواری کا گھوڑا ایک خطرہ ہے اور کھیل کے محفوظ طریقے سے دوبارہ شروع ہونے سے پہلے اسے کھیل کے میدان سے ہٹا دیا جانا چاہیے۔")</f>
        <v>بغیر سواری کا گھوڑا ایک خطرہ ہے اور کھیل کے محفوظ طریقے سے دوبارہ شروع ہونے سے پہلے اسے کھیل کے میدان سے ہٹا دیا جانا چاہیے۔</v>
      </c>
    </row>
    <row r="30">
      <c r="A30" s="4">
        <v>29.0</v>
      </c>
      <c r="B30" s="5" t="s">
        <v>1195</v>
      </c>
      <c r="C30" s="5" t="s">
        <v>1196</v>
      </c>
      <c r="D30" s="5" t="s">
        <v>1197</v>
      </c>
      <c r="E30" s="5" t="s">
        <v>1198</v>
      </c>
      <c r="J30" s="6" t="str">
        <f>IFERROR(__xludf.DUMMYFUNCTION("GOOGLETRANSLATE(A30, ""en"", ""ur"")"),"29")</f>
        <v>29</v>
      </c>
      <c r="K30" s="6" t="str">
        <f>IFERROR(__xludf.DUMMYFUNCTION("GOOGLETRANSLATE(B30, ""en"", ""ur"")"),"بہت پرسکون، پرسکون مزاج (""ٹھنڈے خون والا"") والا گھوڑا عام طور پر بزکشی کے لیے کیوں نا مناسب ہے؟")</f>
        <v>بہت پرسکون، پرسکون مزاج ("ٹھنڈے خون والا") والا گھوڑا عام طور پر بزکشی کے لیے کیوں نا مناسب ہے؟</v>
      </c>
      <c r="L30" s="6" t="str">
        <f>IFERROR(__xludf.DUMMYFUNCTION("GOOGLETRANSLATE(C30, ""en"", ""ur"")"),"A) یہ نہیں ہے؛ پرسکون گھوڑے بہترین ہیں، B) اس میں مسابقتی ""آگ"" اور اسکرم میں لڑنے کے لیے درکار جارحیت کی کمی ہوگی، C) یہ بہت سست ہوگا، D) اسے بہت آسانی سے کنٹرول کیا جائے گا")</f>
        <v>A) یہ نہیں ہے؛ پرسکون گھوڑے بہترین ہیں، B) اس میں مسابقتی "آگ" اور اسکرم میں لڑنے کے لیے درکار جارحیت کی کمی ہوگی، C) یہ بہت سست ہوگا، D) اسے بہت آسانی سے کنٹرول کیا جائے گا</v>
      </c>
      <c r="M30" s="6" t="str">
        <f>IFERROR(__xludf.DUMMYFUNCTION("GOOGLETRANSLATE(D30, ""en"", ""ur"")"),"ب) اس میں مسابقتی ""آگ"" اور اسکرم میں لڑنے کے لیے درکار جارحیت کی کمی ہوگی۔")</f>
        <v>ب) اس میں مسابقتی "آگ" اور اسکرم میں لڑنے کے لیے درکار جارحیت کی کمی ہوگی۔</v>
      </c>
      <c r="N30" s="6" t="str">
        <f>IFERROR(__xludf.DUMMYFUNCTION("GOOGLETRANSLATE(E30, ""en"", ""ur"")"),"بزکشی کو جرات مندانہ اور جنگجو جذبے کے ساتھ ایک گھوڑے کی ضرورت ہے جو کھیل کے افراتفری اور تشدد سے خوفزدہ نہ ہو۔")</f>
        <v>بزکشی کو جرات مندانہ اور جنگجو جذبے کے ساتھ ایک گھوڑے کی ضرورت ہے جو کھیل کے افراتفری اور تشدد سے خوفزدہ نہ ہو۔</v>
      </c>
    </row>
    <row r="31">
      <c r="A31" s="4">
        <v>30.0</v>
      </c>
      <c r="B31" s="5" t="s">
        <v>1199</v>
      </c>
      <c r="C31" s="5" t="s">
        <v>1200</v>
      </c>
      <c r="D31" s="5" t="s">
        <v>1201</v>
      </c>
      <c r="E31" s="5" t="s">
        <v>1202</v>
      </c>
      <c r="J31" s="6" t="str">
        <f>IFERROR(__xludf.DUMMYFUNCTION("GOOGLETRANSLATE(A31, ""en"", ""ur"")"),"30")</f>
        <v>30</v>
      </c>
      <c r="K31" s="6" t="str">
        <f>IFERROR(__xludf.DUMMYFUNCTION("GOOGLETRANSLATE(B31, ""en"", ""ur"")"),"ایک رسمی میچ میں، ""لائن مین"" یا باؤنڈری ججز کا کیا کردار ہوتا ہے؟")</f>
        <v>ایک رسمی میچ میں، "لائن مین" یا باؤنڈری ججز کا کیا کردار ہوتا ہے؟</v>
      </c>
      <c r="L31" s="6" t="str">
        <f>IFERROR(__xludf.DUMMYFUNCTION("GOOGLETRANSLATE(C31, ""en"", ""ur"")"),"A) وہ اسکور رکھتے ہیں، B) وہ مرکزی ریفری کی مدد کرتے ہیں جب لاش یا سوار حد سے باہر ہو جاتا ہے، C) وہ کھلاڑیوں کو پانی فراہم کرتے ہیں، D) وہ آفیشل ٹائم کیپر ہوتے ہیں۔")</f>
        <v>A) وہ اسکور رکھتے ہیں، B) وہ مرکزی ریفری کی مدد کرتے ہیں جب لاش یا سوار حد سے باہر ہو جاتا ہے، C) وہ کھلاڑیوں کو پانی فراہم کرتے ہیں، D) وہ آفیشل ٹائم کیپر ہوتے ہیں۔</v>
      </c>
      <c r="M31" s="6" t="str">
        <f>IFERROR(__xludf.DUMMYFUNCTION("GOOGLETRANSLATE(D31, ""en"", ""ur"")"),"ب) جب لاش یا سوار حد سے باہر ہو جاتا ہے تو وہ سگنل دے کر مرکزی ریفری کی مدد کرتے ہیں۔")</f>
        <v>ب) جب لاش یا سوار حد سے باہر ہو جاتا ہے تو وہ سگنل دے کر مرکزی ریفری کی مدد کرتے ہیں۔</v>
      </c>
      <c r="N31" s="6" t="str">
        <f>IFERROR(__xludf.DUMMYFUNCTION("GOOGLETRANSLATE(E31, ""en"", ""ur"")"),"ایک بڑے، نشان زدہ فیلڈ پر، لائن مین ریفری کو باؤنڈری پر درست کال کرنے میں مدد کرنے کے لیے ضروری ہیں۔")</f>
        <v>ایک بڑے، نشان زدہ فیلڈ پر، لائن مین ریفری کو باؤنڈری پر درست کال کرنے میں مدد کرنے کے لیے ضروری ہیں۔</v>
      </c>
    </row>
    <row r="32">
      <c r="A32" s="4">
        <v>31.0</v>
      </c>
      <c r="B32" s="5" t="s">
        <v>1203</v>
      </c>
      <c r="C32" s="5" t="s">
        <v>1204</v>
      </c>
      <c r="D32" s="5" t="s">
        <v>1205</v>
      </c>
      <c r="E32" s="5" t="s">
        <v>1206</v>
      </c>
      <c r="J32" s="6" t="str">
        <f>IFERROR(__xludf.DUMMYFUNCTION("GOOGLETRANSLATE(A32, ""en"", ""ur"")"),"31")</f>
        <v>31</v>
      </c>
      <c r="K32" s="6" t="str">
        <f>IFERROR(__xludf.DUMMYFUNCTION("GOOGLETRANSLATE(B32, ""en"", ""ur"")"),"ایک سوار لاش کو اٹھانے کے لیے جدوجہد کر رہا ہے۔ اس کا ساتھی سوار ہوتا ہے اور غیر قانونی طور پر مخالف کو اسکرم سے دور دھکیل دیتا ہے۔ کال کیا ہے؟")</f>
        <v>ایک سوار لاش کو اٹھانے کے لیے جدوجہد کر رہا ہے۔ اس کا ساتھی سوار ہوتا ہے اور غیر قانونی طور پر مخالف کو اسکرم سے دور دھکیل دیتا ہے۔ کال کیا ہے؟</v>
      </c>
      <c r="L32" s="6" t="str">
        <f>IFERROR(__xludf.DUMMYFUNCTION("GOOGLETRANSLATE(C32, ""en"", ""ur"")"),"A) اچھی ٹیم ورک، کھیل جاری ہے، B) غیر قانونی مداخلت کے لیے ٹیم کے ساتھی کو فاؤل کہا جاتا ہے، C) مخالف کو نااہل قرار دیا جاتا ہے، D) لاش کو دوبارہ ترتیب دیا جاتا ہے۔")</f>
        <v>A) اچھی ٹیم ورک، کھیل جاری ہے، B) غیر قانونی مداخلت کے لیے ٹیم کے ساتھی کو فاؤل کہا جاتا ہے، C) مخالف کو نااہل قرار دیا جاتا ہے، D) لاش کو دوبارہ ترتیب دیا جاتا ہے۔</v>
      </c>
      <c r="M32" s="6" t="str">
        <f>IFERROR(__xludf.DUMMYFUNCTION("GOOGLETRANSLATE(D32, ""en"", ""ur"")"),"ب) ٹیم کے ساتھی کو غیر قانونی مداخلت کے لیے فاؤل کہا جاتا ہے۔")</f>
        <v>ب) ٹیم کے ساتھی کو غیر قانونی مداخلت کے لیے فاؤل کہا جاتا ہے۔</v>
      </c>
      <c r="N32" s="6" t="str">
        <f>IFERROR(__xludf.DUMMYFUNCTION("GOOGLETRANSLATE(E32, ""en"", ""ur"")"),"اگرچہ بلاک کرنا قانونی ہے، لیکن ٹیم کے ساتھی کی طرف سے دھکیلنے یا پکڑنے جیسی غیر قانونی کارروائیوں کا نتیجہ ٹیم کے خلاف جرمانہ ہوگا۔")</f>
        <v>اگرچہ بلاک کرنا قانونی ہے، لیکن ٹیم کے ساتھی کی طرف سے دھکیلنے یا پکڑنے جیسی غیر قانونی کارروائیوں کا نتیجہ ٹیم کے خلاف جرمانہ ہوگا۔</v>
      </c>
    </row>
    <row r="33">
      <c r="A33" s="4">
        <v>32.0</v>
      </c>
      <c r="B33" s="5" t="s">
        <v>1207</v>
      </c>
      <c r="C33" s="5" t="s">
        <v>1208</v>
      </c>
      <c r="D33" s="5" t="s">
        <v>1209</v>
      </c>
      <c r="E33" s="5" t="s">
        <v>1210</v>
      </c>
      <c r="J33" s="6" t="str">
        <f>IFERROR(__xludf.DUMMYFUNCTION("GOOGLETRANSLATE(A33, ""en"", ""ur"")"),"32")</f>
        <v>32</v>
      </c>
      <c r="K33" s="6" t="str">
        <f>IFERROR(__xludf.DUMMYFUNCTION("GOOGLETRANSLATE(B33, ""en"", ""ur"")"),"ایک سوار لاش کو گرا رہا ہے۔ پیچھے سے ایک مخالف رکنے سے قاصر ہے، اور ان کا گھوڑا لاش کو روندتا ہے۔ کیا یہ فضول ہے؟")</f>
        <v>ایک سوار لاش کو گرا رہا ہے۔ پیچھے سے ایک مخالف رکنے سے قاصر ہے، اور ان کا گھوڑا لاش کو روندتا ہے۔ کیا یہ فضول ہے؟</v>
      </c>
      <c r="L33" s="6" t="str">
        <f>IFERROR(__xludf.DUMMYFUNCTION("GOOGLETRANSLATE(C33, ""en"", ""ur"")"),"A) جی ہاں، لاش کی بے عزتی کرنا فاؤل ہے، B) نہیں، یہ افراتفری کے کھیل کا ایک عام حصہ ہے، C) سوار جس نے اسے پامال کیا، اسے نااہل قرار دیا جاتا ہے، D) پوائنٹ دوبارہ چلایا جاتا ہے۔")</f>
        <v>A) جی ہاں، لاش کی بے عزتی کرنا فاؤل ہے، B) نہیں، یہ افراتفری کے کھیل کا ایک عام حصہ ہے، C) سوار جس نے اسے پامال کیا، اسے نااہل قرار دیا جاتا ہے، D) پوائنٹ دوبارہ چلایا جاتا ہے۔</v>
      </c>
      <c r="M33" s="6" t="str">
        <f>IFERROR(__xludf.DUMMYFUNCTION("GOOGLETRANSLATE(D33, ""en"", ""ur"")"),"ب) نہیں، یہ افراتفری کے کھیل کا ایک عام حصہ ہے۔")</f>
        <v>ب) نہیں، یہ افراتفری کے کھیل کا ایک عام حصہ ہے۔</v>
      </c>
      <c r="N33" s="6" t="str">
        <f>IFERROR(__xludf.DUMMYFUNCTION("GOOGLETRANSLATE(E33, ""en"", ""ur"")"),"لاش ایک ناہموار چیز ہے، اور اس لمحے کی گرمی میں، اسے گھوڑے دوڑائیں گے۔ یہ ڈرامے کا متوقع حصہ ہے۔")</f>
        <v>لاش ایک ناہموار چیز ہے، اور اس لمحے کی گرمی میں، اسے گھوڑے دوڑائیں گے۔ یہ ڈرامے کا متوقع حصہ ہے۔</v>
      </c>
    </row>
    <row r="34">
      <c r="A34" s="4">
        <v>33.0</v>
      </c>
      <c r="B34" s="5" t="s">
        <v>1211</v>
      </c>
      <c r="C34" s="5" t="s">
        <v>1212</v>
      </c>
      <c r="D34" s="5" t="s">
        <v>1213</v>
      </c>
      <c r="E34" s="5" t="s">
        <v>1214</v>
      </c>
      <c r="J34" s="6" t="str">
        <f>IFERROR(__xludf.DUMMYFUNCTION("GOOGLETRANSLATE(A34, ""en"", ""ur"")"),"33")</f>
        <v>33</v>
      </c>
      <c r="K34" s="6" t="str">
        <f>IFERROR(__xludf.DUMMYFUNCTION("GOOGLETRANSLATE(B34, ""en"", ""ur"")"),"افراتفری کے بیچ میں پھنس جانے والے سوار کے لیے سب سے اہم مہارت کیا ہے؟")</f>
        <v>افراتفری کے بیچ میں پھنس جانے والے سوار کے لیے سب سے اہم مہارت کیا ہے؟</v>
      </c>
      <c r="L34" s="6" t="str">
        <f>IFERROR(__xludf.DUMMYFUNCTION("GOOGLETRANSLATE(C34, ""en"", ""ur"")"),"A) جتنی جلدی ممکن ہو سواری کرنے کی صلاحیت، B) گھوڑے پر رہنے اور دباؤ میں پوزیشن برقرار رکھنے کی صلاحیت، C) چابک کو مؤثر طریقے سے استعمال کرنے کی صلاحیت، D) ساتھیوں کے ساتھ بات چیت کرنے کی صلاحیت")</f>
        <v>A) جتنی جلدی ممکن ہو سواری کرنے کی صلاحیت، B) گھوڑے پر رہنے اور دباؤ میں پوزیشن برقرار رکھنے کی صلاحیت، C) چابک کو مؤثر طریقے سے استعمال کرنے کی صلاحیت، D) ساتھیوں کے ساتھ بات چیت کرنے کی صلاحیت</v>
      </c>
      <c r="M34" s="6" t="str">
        <f>IFERROR(__xludf.DUMMYFUNCTION("GOOGLETRANSLATE(D34, ""en"", ""ur"")"),"ب) گھوڑے پر رہنے اور دباؤ میں پوزیشن برقرار رکھنے کی صلاحیت")</f>
        <v>ب) گھوڑے پر رہنے اور دباؤ میں پوزیشن برقرار رکھنے کی صلاحیت</v>
      </c>
      <c r="N34" s="6" t="str">
        <f>IFERROR(__xludf.DUMMYFUNCTION("GOOGLETRANSLATE(E34, ""en"", ""ur"")"),"اس سے پہلے کہ کوئی سوار لاش کے بارے میں سوچ سکے، انہیں اسکرم کے پرتشدد افراتفری سے بچنے کی بنیادی مہارت حاصل کرنی چاہیے۔")</f>
        <v>اس سے پہلے کہ کوئی سوار لاش کے بارے میں سوچ سکے، انہیں اسکرم کے پرتشدد افراتفری سے بچنے کی بنیادی مہارت حاصل کرنی چاہیے۔</v>
      </c>
    </row>
    <row r="35">
      <c r="A35" s="4">
        <v>34.0</v>
      </c>
      <c r="B35" s="5" t="s">
        <v>1215</v>
      </c>
      <c r="C35" s="5" t="s">
        <v>1216</v>
      </c>
      <c r="D35" s="5" t="s">
        <v>1217</v>
      </c>
      <c r="E35" s="5" t="s">
        <v>1218</v>
      </c>
      <c r="J35" s="6" t="str">
        <f>IFERROR(__xludf.DUMMYFUNCTION("GOOGLETRANSLATE(A35, ""en"", ""ur"")"),"34")</f>
        <v>34</v>
      </c>
      <c r="K35" s="6" t="str">
        <f>IFERROR(__xludf.DUMMYFUNCTION("GOOGLETRANSLATE(B35, ""en"", ""ur"")"),"اسکرم کے دوران ایک سوار کا گھوڑا مخالف کے گھوڑے کو کاٹتا ہوا نظر آتا ہے۔ کیا اس کی اجازت ہے؟")</f>
        <v>اسکرم کے دوران ایک سوار کا گھوڑا مخالف کے گھوڑے کو کاٹتا ہوا نظر آتا ہے۔ کیا اس کی اجازت ہے؟</v>
      </c>
      <c r="L35" s="6" t="str">
        <f>IFERROR(__xludf.DUMMYFUNCTION("GOOGLETRANSLATE(C35, ""en"", ""ur"")"),"A) نہیں، یہ غلط ہے، اور سوار پر جرمانہ عائد کیا جاتا ہے، B) ہاں، گھوڑے کی جارحیت کو کھیل کا حصہ سمجھا جاتا ہے، C) صرف اس صورت میں جب دوسرا گھوڑا پہلے کاٹ لے، D) ریفری اسے نظر انداز کر دے گا۔")</f>
        <v>A) نہیں، یہ غلط ہے، اور سوار پر جرمانہ عائد کیا جاتا ہے، B) ہاں، گھوڑے کی جارحیت کو کھیل کا حصہ سمجھا جاتا ہے، C) صرف اس صورت میں جب دوسرا گھوڑا پہلے کاٹ لے، D) ریفری اسے نظر انداز کر دے گا۔</v>
      </c>
      <c r="M35" s="6" t="str">
        <f>IFERROR(__xludf.DUMMYFUNCTION("GOOGLETRANSLATE(D35, ""en"", ""ur"")"),"ب) جی ہاں، گھوڑے کی جارحیت کو کھیل کا حصہ سمجھا جاتا ہے۔")</f>
        <v>ب) جی ہاں، گھوڑے کی جارحیت کو کھیل کا حصہ سمجھا جاتا ہے۔</v>
      </c>
      <c r="N35" s="6" t="str">
        <f>IFERROR(__xludf.DUMMYFUNCTION("GOOGLETRANSLATE(E35, ""en"", ""ur"")"),"اعلیٰ تربیت یافتہ بزکشی گھوڑوں کو اکثر فائدہ حاصل کرنے کے لیے اپنے جسم کو استعمال کرنا سکھایا جاتا ہے — بشمول دھکیلنا، جھکنا، اور حتیٰ کہ کاٹنا بھی۔")</f>
        <v>اعلیٰ تربیت یافتہ بزکشی گھوڑوں کو اکثر فائدہ حاصل کرنے کے لیے اپنے جسم کو استعمال کرنا سکھایا جاتا ہے — بشمول دھکیلنا، جھکنا، اور حتیٰ کہ کاٹنا بھی۔</v>
      </c>
    </row>
    <row r="36">
      <c r="A36" s="4">
        <v>35.0</v>
      </c>
      <c r="B36" s="5" t="s">
        <v>1219</v>
      </c>
      <c r="C36" s="5" t="s">
        <v>1220</v>
      </c>
      <c r="D36" s="5" t="s">
        <v>1221</v>
      </c>
      <c r="E36" s="5" t="s">
        <v>1222</v>
      </c>
      <c r="J36" s="6" t="str">
        <f>IFERROR(__xludf.DUMMYFUNCTION("GOOGLETRANSLATE(A36, ""en"", ""ur"")"),"35")</f>
        <v>35</v>
      </c>
      <c r="K36" s="6" t="str">
        <f>IFERROR(__xludf.DUMMYFUNCTION("GOOGLETRANSLATE(B36, ""en"", ""ur"")"),"ایک سوار اسکور کرتا ہے، لیکن ریفری گھوڑے کے کھر کے قدم کو گول کرنے والے دائرے سے بالکل باہر دیکھتا ہے۔ اس کا کیا حکم ہے؟")</f>
        <v>ایک سوار اسکور کرتا ہے، لیکن ریفری گھوڑے کے کھر کے قدم کو گول کرنے والے دائرے سے بالکل باہر دیکھتا ہے۔ اس کا کیا حکم ہے؟</v>
      </c>
      <c r="L36" s="6" t="str">
        <f>IFERROR(__xludf.DUMMYFUNCTION("GOOGLETRANSLATE(C36, ""en"", ""ur"")"),"A) گول شمار ہوتا ہے، B) گول کی اجازت نہیں ہے، C) پوائنٹ دوبارہ چلایا جاتا ہے، D) سوار کو وارننگ دی جاتی ہے")</f>
        <v>A) گول شمار ہوتا ہے، B) گول کی اجازت نہیں ہے، C) پوائنٹ دوبارہ چلایا جاتا ہے، D) سوار کو وارننگ دی جاتی ہے</v>
      </c>
      <c r="M36" s="6" t="str">
        <f>IFERROR(__xludf.DUMMYFUNCTION("GOOGLETRANSLATE(D36, ""en"", ""ur"")"),"ب) مقصد نامنظور ہے۔")</f>
        <v>ب) مقصد نامنظور ہے۔</v>
      </c>
      <c r="N36" s="6" t="str">
        <f>IFERROR(__xludf.DUMMYFUNCTION("GOOGLETRANSLATE(E36, ""en"", ""ur"")"),"اصول سخت ہیں: مقصد کے درست ہونے کے لیے گھوڑے اور لاش دونوں کو مقررہ اسکورنگ ایریا کے اندر ہونا چاہیے۔")</f>
        <v>اصول سخت ہیں: مقصد کے درست ہونے کے لیے گھوڑے اور لاش دونوں کو مقررہ اسکورنگ ایریا کے اندر ہونا چاہیے۔</v>
      </c>
    </row>
    <row r="37">
      <c r="A37" s="4">
        <v>36.0</v>
      </c>
      <c r="B37" s="5" t="s">
        <v>1223</v>
      </c>
      <c r="C37" s="5" t="s">
        <v>1224</v>
      </c>
      <c r="D37" s="5" t="s">
        <v>1225</v>
      </c>
      <c r="E37" s="5" t="s">
        <v>1226</v>
      </c>
      <c r="J37" s="6" t="str">
        <f>IFERROR(__xludf.DUMMYFUNCTION("GOOGLETRANSLATE(A37, ""en"", ""ur"")"),"36")</f>
        <v>36</v>
      </c>
      <c r="K37" s="6" t="str">
        <f>IFERROR(__xludf.DUMMYFUNCTION("GOOGLETRANSLATE(B37, ""en"", ""ur"")"),"ایک ٹیم اپنے اسکورر کو بچانے کے لیے دو سواروں کو ""چلتی ہوئی دیوار"" بنانے کے لیے استعمال کرتی ہے۔ ایک مخالف احتجاج کرتا ہے کہ یہ غیر منصفانہ ہے۔ ریفری کیا فیصلہ کرے گا؟")</f>
        <v>ایک ٹیم اپنے اسکورر کو بچانے کے لیے دو سواروں کو "چلتی ہوئی دیوار" بنانے کے لیے استعمال کرتی ہے۔ ایک مخالف احتجاج کرتا ہے کہ یہ غیر منصفانہ ہے۔ ریفری کیا فیصلہ کرے گا؟</v>
      </c>
      <c r="L37" s="6" t="str">
        <f>IFERROR(__xludf.DUMMYFUNCTION("GOOGLETRANSLATE(C37, ""en"", ""ur"")"),"A) کھیل کی اجازت دینا، کیونکہ شیلڈنگ ایک قانونی حربہ ہے، B) ٹیم کو رکاوٹ ڈالنے پر سزا دینا، C) ٹیم کو تنبیہ کرنا، D) ڈرامے کو دوبارہ شروع کرنا")</f>
        <v>A) کھیل کی اجازت دینا، کیونکہ شیلڈنگ ایک قانونی حربہ ہے، B) ٹیم کو رکاوٹ ڈالنے پر سزا دینا، C) ٹیم کو تنبیہ کرنا، D) ڈرامے کو دوبارہ شروع کرنا</v>
      </c>
      <c r="M37" s="6" t="str">
        <f>IFERROR(__xludf.DUMMYFUNCTION("GOOGLETRANSLATE(D37, ""en"", ""ur"")"),"A) ڈرامے کی اجازت دینا، کیونکہ شیلڈنگ ایک قانونی حربہ ہے۔")</f>
        <v>A) ڈرامے کی اجازت دینا، کیونکہ شیلڈنگ ایک قانونی حربہ ہے۔</v>
      </c>
      <c r="N37" s="6" t="str">
        <f>IFERROR(__xludf.DUMMYFUNCTION("GOOGLETRANSLATE(E37, ""en"", ""ur"")"),"مربوط بلاکنگ اور شیلڈنگ بزکشی میں ٹیم کی حکمت عملی کے بنیادی حصے ہیں اور بالکل قانونی ہیں۔")</f>
        <v>مربوط بلاکنگ اور شیلڈنگ بزکشی میں ٹیم کی حکمت عملی کے بنیادی حصے ہیں اور بالکل قانونی ہیں۔</v>
      </c>
    </row>
    <row r="38">
      <c r="A38" s="4">
        <v>37.0</v>
      </c>
      <c r="B38" s="5" t="s">
        <v>1227</v>
      </c>
      <c r="C38" s="5" t="s">
        <v>1228</v>
      </c>
      <c r="D38" s="5" t="s">
        <v>1229</v>
      </c>
      <c r="E38" s="5" t="s">
        <v>1230</v>
      </c>
      <c r="J38" s="6" t="str">
        <f>IFERROR(__xludf.DUMMYFUNCTION("GOOGLETRANSLATE(A38, ""en"", ""ur"")"),"37")</f>
        <v>37</v>
      </c>
      <c r="K38" s="6" t="str">
        <f>IFERROR(__xludf.DUMMYFUNCTION("GOOGLETRANSLATE(B38, ""en"", ""ur"")"),"ایک سوار ٹیم کے ساتھی کو پاس بناتا ہے لیکن پھر جلدی سے لاش کو پیچھے کھینچتا ہے اور مخالف سمت میں سوار ہوتا ہے۔ کیا یہ قانونی ہے؟")</f>
        <v>ایک سوار ٹیم کے ساتھی کو پاس بناتا ہے لیکن پھر جلدی سے لاش کو پیچھے کھینچتا ہے اور مخالف سمت میں سوار ہوتا ہے۔ کیا یہ قانونی ہے؟</v>
      </c>
      <c r="L38" s="6" t="str">
        <f>IFERROR(__xludf.DUMMYFUNCTION("GOOGLETRANSLATE(C38, ""en"", ""ur"")"),"A) جی ہاں، فینٹ کھیل کا ایک قانونی حصہ ہیں، B) نہیں، یہ ایک غیر قانونی دھوکہ ہے، C) سوار کو غیر کھیلوں کے طرز عمل پر سزا دی جانی چاہیے، D) صرف اس صورت میں جب ریفری پہلے سے منظوری دے")</f>
        <v>A) جی ہاں، فینٹ کھیل کا ایک قانونی حصہ ہیں، B) نہیں، یہ ایک غیر قانونی دھوکہ ہے، C) سوار کو غیر کھیلوں کے طرز عمل پر سزا دی جانی چاہیے، D) صرف اس صورت میں جب ریفری پہلے سے منظوری دے</v>
      </c>
      <c r="M38" s="6" t="str">
        <f>IFERROR(__xludf.DUMMYFUNCTION("GOOGLETRANSLATE(D38, ""en"", ""ur"")"),"A) جی ہاں، feints کھیل کا قانونی حصہ ہیں۔")</f>
        <v>A) جی ہاں، feints کھیل کا قانونی حصہ ہیں۔</v>
      </c>
      <c r="N38" s="6" t="str">
        <f>IFERROR(__xludf.DUMMYFUNCTION("GOOGLETRANSLATE(E38, ""en"", ""ur"")"),"دھوکہ دہی اور چالاک چالیں ایک ہنر مند چپنداز کی علامت ہیں اور یہ کھیل کی حکمت عملی کا ایک اہم حصہ ہیں۔")</f>
        <v>دھوکہ دہی اور چالاک چالیں ایک ہنر مند چپنداز کی علامت ہیں اور یہ کھیل کی حکمت عملی کا ایک اہم حصہ ہیں۔</v>
      </c>
    </row>
    <row r="39">
      <c r="A39" s="4">
        <v>38.0</v>
      </c>
      <c r="B39" s="5" t="s">
        <v>1231</v>
      </c>
      <c r="C39" s="5" t="s">
        <v>1232</v>
      </c>
      <c r="D39" s="5" t="s">
        <v>1233</v>
      </c>
      <c r="E39" s="5" t="s">
        <v>1234</v>
      </c>
      <c r="J39" s="6" t="str">
        <f>IFERROR(__xludf.DUMMYFUNCTION("GOOGLETRANSLATE(A39, ""en"", ""ur"")"),"38")</f>
        <v>38</v>
      </c>
      <c r="K39" s="6" t="str">
        <f>IFERROR(__xludf.DUMMYFUNCTION("GOOGLETRANSLATE(B39, ""en"", ""ur"")"),"ایک سوار اپنے مخالف کی گرفت کو ڈھیلنے کی کوشش کرنے کے لیے لاش کو کوڑے مارتا ہوا نظر آتا ہے۔ اس کا کیا حکم ہے؟")</f>
        <v>ایک سوار اپنے مخالف کی گرفت کو ڈھیلنے کی کوشش کرنے کے لیے لاش کو کوڑے مارتا ہوا نظر آتا ہے۔ اس کا کیا حکم ہے؟</v>
      </c>
      <c r="L39" s="6" t="str">
        <f>IFERROR(__xludf.DUMMYFUNCTION("GOOGLETRANSLATE(C39, ""en"", ""ur"")"),"A) یہ ایک قانونی اقدام ہے، B) یہ ایک غیر قانونی فاؤل ہے، C) ریفری وارننگ جاری کرے گا، D) لاش کو دوبارہ ترتیب دیا گیا ہے۔")</f>
        <v>A) یہ ایک قانونی اقدام ہے، B) یہ ایک غیر قانونی فاؤل ہے، C) ریفری وارننگ جاری کرے گا، D) لاش کو دوبارہ ترتیب دیا گیا ہے۔</v>
      </c>
      <c r="M39" s="6" t="str">
        <f>IFERROR(__xludf.DUMMYFUNCTION("GOOGLETRANSLATE(D39, ""en"", ""ur"")"),"ب) یہ ایک غیر قانونی فاؤل ہے۔")</f>
        <v>ب) یہ ایک غیر قانونی فاؤل ہے۔</v>
      </c>
      <c r="N39" s="6" t="str">
        <f>IFERROR(__xludf.DUMMYFUNCTION("GOOGLETRANSLATE(E39, ""en"", ""ur"")"),"کوڑا صرف اپنے گھوڑے کو کنٹرول کرنے کے لیے استعمال کیا جاتا ہے۔ لاش یا کسی مخالف پر اس کا استعمال کرنا ایک بڑا فاؤل ہے۔")</f>
        <v>کوڑا صرف اپنے گھوڑے کو کنٹرول کرنے کے لیے استعمال کیا جاتا ہے۔ لاش یا کسی مخالف پر اس کا استعمال کرنا ایک بڑا فاؤل ہے۔</v>
      </c>
    </row>
    <row r="40">
      <c r="A40" s="4">
        <v>39.0</v>
      </c>
      <c r="B40" s="5" t="s">
        <v>1235</v>
      </c>
      <c r="C40" s="5" t="s">
        <v>1236</v>
      </c>
      <c r="D40" s="5" t="s">
        <v>1237</v>
      </c>
      <c r="E40" s="5" t="s">
        <v>1238</v>
      </c>
      <c r="J40" s="6" t="str">
        <f>IFERROR(__xludf.DUMMYFUNCTION("GOOGLETRANSLATE(A40, ""en"", ""ur"")"),"39")</f>
        <v>39</v>
      </c>
      <c r="K40" s="6" t="str">
        <f>IFERROR(__xludf.DUMMYFUNCTION("GOOGLETRANSLATE(B40, ""en"", ""ur"")"),"فائنل کے دوران، ایک ریفری نے دیکھا کہ سوار کی سیڈل رکاب ٹوٹ گئی ہے۔ صحیح طریقہ کار کیا ہے؟")</f>
        <v>فائنل کے دوران، ایک ریفری نے دیکھا کہ سوار کی سیڈل رکاب ٹوٹ گئی ہے۔ صحیح طریقہ کار کیا ہے؟</v>
      </c>
      <c r="L40" s="6" t="str">
        <f>IFERROR(__xludf.DUMMYFUNCTION("GOOGLETRANSLATE(C40, ""en"", ""ur"")"),"A) سوار کو اپنی ذمہ داری پر جاری رکھنا چاہیے، B) ریفری کو میچ کو روکنا چاہیے تاکہ مرمت یا تبدیلی کی اجازت دی جا سکے، C) سوار کو نااہل قرار دیا جائے، D) مخالف ٹیم کو ایک پوائنٹ ملتا ہے۔")</f>
        <v>A) سوار کو اپنی ذمہ داری پر جاری رکھنا چاہیے، B) ریفری کو میچ کو روکنا چاہیے تاکہ مرمت یا تبدیلی کی اجازت دی جا سکے، C) سوار کو نااہل قرار دیا جائے، D) مخالف ٹیم کو ایک پوائنٹ ملتا ہے۔</v>
      </c>
      <c r="M40" s="6" t="str">
        <f>IFERROR(__xludf.DUMMYFUNCTION("GOOGLETRANSLATE(D40, ""en"", ""ur"")"),"ب) ریفری کو مرمت یا تبدیلی کی اجازت دینے کے لیے میچ کو روکنا چاہیے۔")</f>
        <v>ب) ریفری کو مرمت یا تبدیلی کی اجازت دینے کے لیے میچ کو روکنا چاہیے۔</v>
      </c>
      <c r="N40" s="6" t="str">
        <f>IFERROR(__xludf.DUMMYFUNCTION("GOOGLETRANSLATE(E40, ""en"", ""ur"")"),"حفاظت سب سے اہم ہے۔ کسی بھی اہم سازوسامان کی ناکامی جو سوار کو خطرے میں ڈالتی ہے میچ کو موقوف کرنے کی ضرورت ہوتی ہے۔")</f>
        <v>حفاظت سب سے اہم ہے۔ کسی بھی اہم سازوسامان کی ناکامی جو سوار کو خطرے میں ڈالتی ہے میچ کو موقوف کرنے کی ضرورت ہوتی ہے۔</v>
      </c>
    </row>
    <row r="41">
      <c r="A41" s="4">
        <v>40.0</v>
      </c>
      <c r="B41" s="5" t="s">
        <v>1239</v>
      </c>
      <c r="C41" s="5" t="s">
        <v>1240</v>
      </c>
      <c r="D41" s="5" t="s">
        <v>1241</v>
      </c>
      <c r="E41" s="5" t="s">
        <v>1242</v>
      </c>
      <c r="J41" s="6" t="str">
        <f>IFERROR(__xludf.DUMMYFUNCTION("GOOGLETRANSLATE(A41, ""en"", ""ur"")"),"40")</f>
        <v>40</v>
      </c>
      <c r="K41" s="6" t="str">
        <f>IFERROR(__xludf.DUMMYFUNCTION("GOOGLETRANSLATE(B41, ""en"", ""ur"")"),"لاش گول دائرے کی لکیر کے چاک پر بالکل اترتی ہے، لیکن پوری طرح اندر نہیں۔ کیا یہ اسکور کے طور پر شمار ہوتا ہے؟")</f>
        <v>لاش گول دائرے کی لکیر کے چاک پر بالکل اترتی ہے، لیکن پوری طرح اندر نہیں۔ کیا یہ اسکور کے طور پر شمار ہوتا ہے؟</v>
      </c>
      <c r="L41" s="6" t="str">
        <f>IFERROR(__xludf.DUMMYFUNCTION("GOOGLETRANSLATE(C41, ""en"", ""ur"")"),"A) جی ہاں، لکیر کو چھونا ایک سکور ہے، B) نہیں، لاش کو مکمل طور پر دائرے کے اندر ہونا چاہیے، C) پوائنٹ دوبارہ چلایا جاتا ہے، D) ایک آدھا پوائنٹ دیا جاتا ہے۔")</f>
        <v>A) جی ہاں، لکیر کو چھونا ایک سکور ہے، B) نہیں، لاش کو مکمل طور پر دائرے کے اندر ہونا چاہیے، C) پوائنٹ دوبارہ چلایا جاتا ہے، D) ایک آدھا پوائنٹ دیا جاتا ہے۔</v>
      </c>
      <c r="M41" s="6" t="str">
        <f>IFERROR(__xludf.DUMMYFUNCTION("GOOGLETRANSLATE(D41, ""en"", ""ur"")"),"ب) نہیں، لاش کو مکمل طور پر دائرے کے اندر ہونا چاہیے۔")</f>
        <v>ب) نہیں، لاش کو مکمل طور پر دائرے کے اندر ہونا چاہیے۔</v>
      </c>
      <c r="N41" s="6" t="str">
        <f>IFERROR(__xludf.DUMMYFUNCTION("GOOGLETRANSLATE(E41, ""en"", ""ur"")"),"اسکور کے درست ہونے کے لیے، پوری لاش کو اسکور کرنے والے دائرے کی حدود میں واضح طور پر گرا دینا چاہیے۔")</f>
        <v>اسکور کے درست ہونے کے لیے، پوری لاش کو اسکور کرنے والے دائرے کی حدود میں واضح طور پر گرا دینا چاہیے۔</v>
      </c>
    </row>
    <row r="42">
      <c r="A42" s="4">
        <v>41.0</v>
      </c>
      <c r="B42" s="5" t="s">
        <v>1243</v>
      </c>
      <c r="C42" s="5" t="s">
        <v>1244</v>
      </c>
      <c r="D42" s="5" t="s">
        <v>1245</v>
      </c>
      <c r="E42" s="5" t="s">
        <v>1246</v>
      </c>
      <c r="J42" s="6" t="str">
        <f>IFERROR(__xludf.DUMMYFUNCTION("GOOGLETRANSLATE(A42, ""en"", ""ur"")"),"41")</f>
        <v>41</v>
      </c>
      <c r="K42" s="6" t="str">
        <f>IFERROR(__xludf.DUMMYFUNCTION("GOOGLETRANSLATE(B42, ""en"", ""ur"")"),"ایک سوار اپنے حریف کی توجہ ہٹانے کے لیے پشتو میں زور سے چیخ رہا ہے۔ کیا یہ فضول ہے؟")</f>
        <v>ایک سوار اپنے حریف کی توجہ ہٹانے کے لیے پشتو میں زور سے چیخ رہا ہے۔ کیا یہ فضول ہے؟</v>
      </c>
      <c r="L42" s="6" t="str">
        <f>IFERROR(__xludf.DUMMYFUNCTION("GOOGLETRANSLATE(C42, ""en"", ""ur"")"),"A) جی ہاں، تمام چیخ و پکار غلط ہے، B) نہیں، اگر گالی گلوچ نہ ہو تو عام طور پر زبانی حربوں کی اجازت ہے، C) وارننگ جاری کی جاتی ہے، D) سوار کو ایک پوائنٹ پر جرمانہ کیا جاتا ہے۔")</f>
        <v>A) جی ہاں، تمام چیخ و پکار غلط ہے، B) نہیں، اگر گالی گلوچ نہ ہو تو عام طور پر زبانی حربوں کی اجازت ہے، C) وارننگ جاری کی جاتی ہے، D) سوار کو ایک پوائنٹ پر جرمانہ کیا جاتا ہے۔</v>
      </c>
      <c r="M42" s="6" t="str">
        <f>IFERROR(__xludf.DUMMYFUNCTION("GOOGLETRANSLATE(D42, ""en"", ""ur"")"),"ب) نہیں، عام طور پر زبانی حربوں کی اجازت ہے اگر بدسلوکی نہ ہو۔")</f>
        <v>ب) نہیں، عام طور پر زبانی حربوں کی اجازت ہے اگر بدسلوکی نہ ہو۔</v>
      </c>
      <c r="N42" s="6" t="str">
        <f>IFERROR(__xludf.DUMMYFUNCTION("GOOGLETRANSLATE(E42, ""en"", ""ur"")"),"چیخنا، طعنہ دینا، اور دیگر زبانی کھیل کا مظاہرہ بزکشی میں نفسیاتی جنگ کا ایک عام اور قبول شدہ حصہ ہے۔")</f>
        <v>چیخنا، طعنہ دینا، اور دیگر زبانی کھیل کا مظاہرہ بزکشی میں نفسیاتی جنگ کا ایک عام اور قبول شدہ حصہ ہے۔</v>
      </c>
    </row>
    <row r="43">
      <c r="A43" s="4">
        <v>42.0</v>
      </c>
      <c r="B43" s="5" t="s">
        <v>1247</v>
      </c>
      <c r="C43" s="5" t="s">
        <v>1248</v>
      </c>
      <c r="D43" s="5" t="s">
        <v>1249</v>
      </c>
      <c r="E43" s="5" t="s">
        <v>1250</v>
      </c>
      <c r="J43" s="6" t="str">
        <f>IFERROR(__xludf.DUMMYFUNCTION("GOOGLETRANSLATE(A43, ""en"", ""ur"")"),"42")</f>
        <v>42</v>
      </c>
      <c r="K43" s="6" t="str">
        <f>IFERROR(__xludf.DUMMYFUNCTION("GOOGLETRANSLATE(B43, ""en"", ""ur"")"),"ٹیم X اپنے اسٹار کھلاڑی کے درمیان میچ کے لیے ایک تازہ، آرام دہ گھوڑا لاتی ہے، جبکہ ٹیم Y کے گھوڑے تھک چکے ہیں۔ کیا یہ منصفانہ کھیل ہے؟")</f>
        <v>ٹیم X اپنے اسٹار کھلاڑی کے درمیان میچ کے لیے ایک تازہ، آرام دہ گھوڑا لاتی ہے، جبکہ ٹیم Y کے گھوڑے تھک چکے ہیں۔ کیا یہ منصفانہ کھیل ہے؟</v>
      </c>
      <c r="L43" s="6" t="str">
        <f>IFERROR(__xludf.DUMMYFUNCTION("GOOGLETRANSLATE(C43, ""en"", ""ur"")"),"A) نہیں، یہ ایک غیر منصفانہ فائدہ ہے، B) ہاں، گھوڑوں کو تبدیل کرنا ایک جائز اور کلیدی حکمت عملی ہے، C) ٹیم کو جرمانہ کیا جانا چاہیے، D) میچ دوبارہ کھیلا جانا چاہیے")</f>
        <v>A) نہیں، یہ ایک غیر منصفانہ فائدہ ہے، B) ہاں، گھوڑوں کو تبدیل کرنا ایک جائز اور کلیدی حکمت عملی ہے، C) ٹیم کو جرمانہ کیا جانا چاہیے، D) میچ دوبارہ کھیلا جانا چاہیے</v>
      </c>
      <c r="M43" s="6" t="str">
        <f>IFERROR(__xludf.DUMMYFUNCTION("GOOGLETRANSLATE(D43, ""en"", ""ur"")"),"ب) جی ہاں، گھوڑوں کو تبدیل کرنا ایک اجازت یافتہ اور کلیدی حکمت عملی ہے۔")</f>
        <v>ب) جی ہاں، گھوڑوں کو تبدیل کرنا ایک اجازت یافتہ اور کلیدی حکمت عملی ہے۔</v>
      </c>
      <c r="N43" s="6" t="str">
        <f>IFERROR(__xludf.DUMMYFUNCTION("GOOGLETRANSLATE(E43, ""en"", ""ur"")"),"تازہ ماونٹس فراہم کرنے کی صلاحیت ٹیم کی حکمت عملی اور وسائل کا ایک حصہ ہے، اور یہ بالکل قانونی ہے۔")</f>
        <v>تازہ ماونٹس فراہم کرنے کی صلاحیت ٹیم کی حکمت عملی اور وسائل کا ایک حصہ ہے، اور یہ بالکل قانونی ہے۔</v>
      </c>
    </row>
    <row r="44">
      <c r="A44" s="4">
        <v>43.0</v>
      </c>
      <c r="B44" s="5" t="s">
        <v>1251</v>
      </c>
      <c r="C44" s="5" t="s">
        <v>1252</v>
      </c>
      <c r="D44" s="5" t="s">
        <v>1253</v>
      </c>
      <c r="E44" s="5" t="s">
        <v>1254</v>
      </c>
      <c r="J44" s="6" t="str">
        <f>IFERROR(__xludf.DUMMYFUNCTION("GOOGLETRANSLATE(A44, ""en"", ""ur"")"),"43")</f>
        <v>43</v>
      </c>
      <c r="K44" s="6" t="str">
        <f>IFERROR(__xludf.DUMMYFUNCTION("GOOGLETRANSLATE(B44, ""en"", ""ur"")"),"ایک سوار لاش کو تھامے ہوئے ہے، لیکن ان کی لگام ان کے ہاتھوں سے پھسل جاتی ہے اور گھوڑا بے قابو ہو جاتا ہے۔ ریفری کو کیا کرنا چاہیے؟")</f>
        <v>ایک سوار لاش کو تھامے ہوئے ہے، لیکن ان کی لگام ان کے ہاتھوں سے پھسل جاتی ہے اور گھوڑا بے قابو ہو جاتا ہے۔ ریفری کو کیا کرنا چاہیے؟</v>
      </c>
      <c r="L44" s="6" t="str">
        <f>IFERROR(__xludf.DUMMYFUNCTION("GOOGLETRANSLATE(C44, ""en"", ""ur"")"),"A) کھیل کو جاری رکھنے دیں، B) حفاظتی وجوہات کی بناء پر میچ روک دیں، C) لاش کو فوری طور پر دوبارہ ترتیب دیں، D) سوار کو کنٹرول کھونے پر سزا دیں")</f>
        <v>A) کھیل کو جاری رکھنے دیں، B) حفاظتی وجوہات کی بناء پر میچ روک دیں، C) لاش کو فوری طور پر دوبارہ ترتیب دیں، D) سوار کو کنٹرول کھونے پر سزا دیں</v>
      </c>
      <c r="M44" s="6" t="str">
        <f>IFERROR(__xludf.DUMMYFUNCTION("GOOGLETRANSLATE(D44, ""en"", ""ur"")"),"ب) حفاظتی وجوہات کی بنا پر میچ روک دیں۔")</f>
        <v>ب) حفاظتی وجوہات کی بنا پر میچ روک دیں۔</v>
      </c>
      <c r="N44" s="6" t="str">
        <f>IFERROR(__xludf.DUMMYFUNCTION("GOOGLETRANSLATE(E44, ""en"", ""ur"")"),"بغیر سوار، بے قابو گھوڑا رفتار سے چلنا ہر ایک کے لیے خطرہ ہے۔ ریفری کو صورتحال قابو میں آنے تک کھیل روکنا ہوگا۔")</f>
        <v>بغیر سوار، بے قابو گھوڑا رفتار سے چلنا ہر ایک کے لیے خطرہ ہے۔ ریفری کو صورتحال قابو میں آنے تک کھیل روکنا ہوگا۔</v>
      </c>
    </row>
    <row r="45">
      <c r="A45" s="4">
        <v>44.0</v>
      </c>
      <c r="B45" s="5" t="s">
        <v>1255</v>
      </c>
      <c r="C45" s="5" t="s">
        <v>1256</v>
      </c>
      <c r="D45" s="5" t="s">
        <v>940</v>
      </c>
      <c r="E45" s="5" t="s">
        <v>1257</v>
      </c>
      <c r="J45" s="6" t="str">
        <f>IFERROR(__xludf.DUMMYFUNCTION("GOOGLETRANSLATE(A45, ""en"", ""ur"")"),"44")</f>
        <v>44</v>
      </c>
      <c r="K45" s="6" t="str">
        <f>IFERROR(__xludf.DUMMYFUNCTION("GOOGLETRANSLATE(B45, ""en"", ""ur"")"),"ایک سوار لاش کو ایک ساتھی کے پاس پہنچانے کی کوشش کرتا ہے جسے گھوڑے سے محروم رکھا گیا ہے۔ کیا یہ قانونی کھیل ہے؟")</f>
        <v>ایک سوار لاش کو ایک ساتھی کے پاس پہنچانے کی کوشش کرتا ہے جسے گھوڑے سے محروم رکھا گیا ہے۔ کیا یہ قانونی کھیل ہے؟</v>
      </c>
      <c r="L45" s="6" t="str">
        <f>IFERROR(__xludf.DUMMYFUNCTION("GOOGLETRANSLATE(C45, ""en"", ""ur"")"),"A) ہاں، B) نہیں، C) ایک انتباہ جاری کیا جاتا ہے، D) لاش کو دوبارہ ترتیب دیا جاتا ہے۔")</f>
        <v>A) ہاں، B) نہیں، C) ایک انتباہ جاری کیا جاتا ہے، D) لاش کو دوبارہ ترتیب دیا جاتا ہے۔</v>
      </c>
      <c r="M45" s="6" t="str">
        <f>IFERROR(__xludf.DUMMYFUNCTION("GOOGLETRANSLATE(D45, ""en"", ""ur"")"),"ب) نہیں")</f>
        <v>ب) نہیں</v>
      </c>
      <c r="N45" s="6" t="str">
        <f>IFERROR(__xludf.DUMMYFUNCTION("GOOGLETRANSLATE(E45, ""en"", ""ur"")"),"کھیل میں قانونی طور پر حصہ لینے کے لیے ایک کھلاڑی کو نصب کرنا ضروری ہے۔ کسی ٹیم کے ساتھی کو پاس دینا ایک غیر قانونی کھیل ہے۔")</f>
        <v>کھیل میں قانونی طور پر حصہ لینے کے لیے ایک کھلاڑی کو نصب کرنا ضروری ہے۔ کسی ٹیم کے ساتھی کو پاس دینا ایک غیر قانونی کھیل ہے۔</v>
      </c>
    </row>
    <row r="46">
      <c r="A46" s="4">
        <v>45.0</v>
      </c>
      <c r="B46" s="5" t="s">
        <v>1258</v>
      </c>
      <c r="C46" s="5" t="s">
        <v>1259</v>
      </c>
      <c r="D46" s="5" t="s">
        <v>1260</v>
      </c>
      <c r="E46" s="5" t="s">
        <v>1261</v>
      </c>
      <c r="J46" s="6" t="str">
        <f>IFERROR(__xludf.DUMMYFUNCTION("GOOGLETRANSLATE(A46, ""en"", ""ur"")"),"45")</f>
        <v>45</v>
      </c>
      <c r="K46" s="6" t="str">
        <f>IFERROR(__xludf.DUMMYFUNCTION("GOOGLETRANSLATE(B46, ""en"", ""ur"")"),"ایک سوار غلطی سے اپنے ہی گھوڑے سے زخمی ہو جاتا ہے لیکن پھر بھی لاش کو تھامے ہوئے ہے۔ اس کا کیا حکم ہے؟")</f>
        <v>ایک سوار غلطی سے اپنے ہی گھوڑے سے زخمی ہو جاتا ہے لیکن پھر بھی لاش کو تھامے ہوئے ہے۔ اس کا کیا حکم ہے؟</v>
      </c>
      <c r="L46" s="6" t="str">
        <f>IFERROR(__xludf.DUMMYFUNCTION("GOOGLETRANSLATE(C46, ""en"", ""ur"")"),"A) حفاظت کے لیے میچ کو فوری طور پر روک دیا جاتا ہے، B) کھیل اس وقت تک جاری رہتا ہے جب تک کہ کوئی فاول یا اسکور نہ ہو جائے، C) لاش کو دوبارہ ترتیب دیا جاتا ہے، D) سوار کی ٹیم کو ایک پوائنٹ دیا جاتا ہے۔")</f>
        <v>A) حفاظت کے لیے میچ کو فوری طور پر روک دیا جاتا ہے، B) کھیل اس وقت تک جاری رہتا ہے جب تک کہ کوئی فاول یا اسکور نہ ہو جائے، C) لاش کو دوبارہ ترتیب دیا جاتا ہے، D) سوار کی ٹیم کو ایک پوائنٹ دیا جاتا ہے۔</v>
      </c>
      <c r="M46" s="6" t="str">
        <f>IFERROR(__xludf.DUMMYFUNCTION("GOOGLETRANSLATE(D46, ""en"", ""ur"")"),"الف) حفاظت کے لیے میچ کو فوری طور پر روک دیا جاتا ہے۔")</f>
        <v>الف) حفاظت کے لیے میچ کو فوری طور پر روک دیا جاتا ہے۔</v>
      </c>
      <c r="N46" s="6" t="str">
        <f>IFERROR(__xludf.DUMMYFUNCTION("GOOGLETRANSLATE(E46, ""en"", ""ur"")"),"اگر کوئی سوار واضح طور پر زخمی ہے اور تکلیف میں ہے، تو ریفری طبی امداد کی اجازت دینے کے لیے کھیل کو روک دے گا، چاہے اس کے قبضے سے قطع نظر۔")</f>
        <v>اگر کوئی سوار واضح طور پر زخمی ہے اور تکلیف میں ہے، تو ریفری طبی امداد کی اجازت دینے کے لیے کھیل کو روک دے گا، چاہے اس کے قبضے سے قطع نظر۔</v>
      </c>
    </row>
    <row r="47">
      <c r="A47" s="4">
        <v>46.0</v>
      </c>
      <c r="B47" s="5" t="s">
        <v>1262</v>
      </c>
      <c r="C47" s="5" t="s">
        <v>1263</v>
      </c>
      <c r="D47" s="5" t="s">
        <v>1264</v>
      </c>
      <c r="E47" s="5" t="s">
        <v>1265</v>
      </c>
      <c r="J47" s="6" t="str">
        <f>IFERROR(__xludf.DUMMYFUNCTION("GOOGLETRANSLATE(A47, ""en"", ""ur"")"),"46")</f>
        <v>46</v>
      </c>
      <c r="K47" s="6" t="str">
        <f>IFERROR(__xludf.DUMMYFUNCTION("GOOGLETRANSLATE(B47, ""en"", ""ur"")"),"ایک سوار لاش کو چوڑے آرک میں جھول کر حریف کو روکتا ہے۔ کیا یہ قانونی ہے؟")</f>
        <v>ایک سوار لاش کو چوڑے آرک میں جھول کر حریف کو روکتا ہے۔ کیا یہ قانونی ہے؟</v>
      </c>
      <c r="L47" s="6" t="str">
        <f>IFERROR(__xludf.DUMMYFUNCTION("GOOGLETRANSLATE(C47, ""en"", ""ur"")"),"A) جی ہاں، یہ ایک زبردست دفاعی اقدام ہے، B) نہیں، لاش کو ہتھیار کے طور پر جارحانہ طور پر استعمال نہیں کیا جا سکتا، C) وارننگ جاری کی جاتی ہے، D) پوائنٹ کو دوبارہ چلایا جاتا ہے۔")</f>
        <v>A) جی ہاں، یہ ایک زبردست دفاعی اقدام ہے، B) نہیں، لاش کو ہتھیار کے طور پر جارحانہ طور پر استعمال نہیں کیا جا سکتا، C) وارننگ جاری کی جاتی ہے، D) پوائنٹ کو دوبارہ چلایا جاتا ہے۔</v>
      </c>
      <c r="M47" s="6" t="str">
        <f>IFERROR(__xludf.DUMMYFUNCTION("GOOGLETRANSLATE(D47, ""en"", ""ur"")"),"ب) نہیں، لاش کو ہتھیار کے طور پر جارحانہ طور پر استعمال نہیں کیا جا سکتا")</f>
        <v>ب) نہیں، لاش کو ہتھیار کے طور پر جارحانہ طور پر استعمال نہیں کیا جا سکتا</v>
      </c>
      <c r="N47" s="6" t="str">
        <f>IFERROR(__xludf.DUMMYFUNCTION("GOOGLETRANSLATE(E47, ""en"", ""ur"")"),"ایک سوار اپنے جسم اور گھوڑے کے ساتھ لاش کو ڈھال سکتا ہے، لیکن وہ مخالفین پر حملہ کرنے یا رکاوٹ ڈالنے کے لیے اسے ادھر ادھر نہیں جھول سکتا۔")</f>
        <v>ایک سوار اپنے جسم اور گھوڑے کے ساتھ لاش کو ڈھال سکتا ہے، لیکن وہ مخالفین پر حملہ کرنے یا رکاوٹ ڈالنے کے لیے اسے ادھر ادھر نہیں جھول سکتا۔</v>
      </c>
    </row>
    <row r="48">
      <c r="A48" s="4">
        <v>47.0</v>
      </c>
      <c r="B48" s="5" t="s">
        <v>1266</v>
      </c>
      <c r="C48" s="5" t="s">
        <v>1267</v>
      </c>
      <c r="D48" s="5" t="s">
        <v>1268</v>
      </c>
      <c r="E48" s="5" t="s">
        <v>1269</v>
      </c>
      <c r="J48" s="6" t="str">
        <f>IFERROR(__xludf.DUMMYFUNCTION("GOOGLETRANSLATE(A48, ""en"", ""ur"")"),"47")</f>
        <v>47</v>
      </c>
      <c r="K48" s="6" t="str">
        <f>IFERROR(__xludf.DUMMYFUNCTION("GOOGLETRANSLATE(B48, ""en"", ""ur"")"),"ریفری کو شبہ ہے کہ ایک دولت مند سرپرست ایک اہلکار کو رشوت دے کر کھیل کو متاثر کر رہا ہے۔ درست فوری قدم کیا ہے؟")</f>
        <v>ریفری کو شبہ ہے کہ ایک دولت مند سرپرست ایک اہلکار کو رشوت دے کر کھیل کو متاثر کر رہا ہے۔ درست فوری قدم کیا ہے؟</v>
      </c>
      <c r="L48" s="6" t="str">
        <f>IFERROR(__xludf.DUMMYFUNCTION("GOOGLETRANSLATE(C48, ""en"", ""ur"")"),"A) کھیل کو جاری رکھیں اور بعد میں تفتیش کریں، B) آفیٹنگ کی دیانتداری کی تحقیقات کے لیے میچ کو معطل کریں، C) شک کو نظر انداز کریں، D) دونوں ٹیموں کو نااہل قرار دیں")</f>
        <v>A) کھیل کو جاری رکھیں اور بعد میں تفتیش کریں، B) آفیٹنگ کی دیانتداری کی تحقیقات کے لیے میچ کو معطل کریں، C) شک کو نظر انداز کریں، D) دونوں ٹیموں کو نااہل قرار دیں</v>
      </c>
      <c r="M48" s="6" t="str">
        <f>IFERROR(__xludf.DUMMYFUNCTION("GOOGLETRANSLATE(D48, ""en"", ""ur"")"),"ب) آفیٹنگ کی دیانتداری کی تحقیقات کے لیے میچ کو معطل کر دیں۔")</f>
        <v>ب) آفیٹنگ کی دیانتداری کی تحقیقات کے لیے میچ کو معطل کر دیں۔</v>
      </c>
      <c r="N48" s="6" t="str">
        <f>IFERROR(__xludf.DUMMYFUNCTION("GOOGLETRANSLATE(E48, ""en"", ""ur"")"),"میچ کی سالمیت کے بارے میں کسی بھی قسم کی تشویش، جیسے رشوت خوری، فوری طور پر روکنے اور ہیڈ ججوں کی طرف سے تحقیقات کی ضرورت ہے۔")</f>
        <v>میچ کی سالمیت کے بارے میں کسی بھی قسم کی تشویش، جیسے رشوت خوری، فوری طور پر روکنے اور ہیڈ ججوں کی طرف سے تحقیقات کی ضرورت ہے۔</v>
      </c>
    </row>
    <row r="49">
      <c r="A49" s="4">
        <v>48.0</v>
      </c>
      <c r="B49" s="5" t="s">
        <v>1270</v>
      </c>
      <c r="C49" s="5" t="s">
        <v>1271</v>
      </c>
      <c r="D49" s="5" t="s">
        <v>1272</v>
      </c>
      <c r="E49" s="5" t="s">
        <v>1273</v>
      </c>
      <c r="J49" s="6" t="str">
        <f>IFERROR(__xludf.DUMMYFUNCTION("GOOGLETRANSLATE(A49, ""en"", ""ur"")"),"48")</f>
        <v>48</v>
      </c>
      <c r="K49" s="6" t="str">
        <f>IFERROR(__xludf.DUMMYFUNCTION("GOOGLETRANSLATE(B49, ""en"", ""ur"")"),"ایک سوار اپنے دانتوں سے لگام پکڑتے ہوئے لاش کو دونوں بازوؤں سے پکڑے ہوئے ہے۔ کیا یہ لاش لے جانے کا قانونی طریقہ ہے؟")</f>
        <v>ایک سوار اپنے دانتوں سے لگام پکڑتے ہوئے لاش کو دونوں بازوؤں سے پکڑے ہوئے ہے۔ کیا یہ لاش لے جانے کا قانونی طریقہ ہے؟</v>
      </c>
      <c r="L49" s="6" t="str">
        <f>IFERROR(__xludf.DUMMYFUNCTION("GOOGLETRANSLATE(C49, ""en"", ""ur"")"),"A) ہاں، یہ مہارت کا ایک مشہور مظاہرہ ہے، B) نہیں، لگام ہاتھوں میں ہونی چاہیے، C) سوار کو خطرناک کھیل کے لیے وارننگ دی جاتی ہے، D) سوار کو نااہل قرار دیا جاتا ہے۔")</f>
        <v>A) ہاں، یہ مہارت کا ایک مشہور مظاہرہ ہے، B) نہیں، لگام ہاتھوں میں ہونی چاہیے، C) سوار کو خطرناک کھیل کے لیے وارننگ دی جاتی ہے، D) سوار کو نااہل قرار دیا جاتا ہے۔</v>
      </c>
      <c r="M49" s="6" t="str">
        <f>IFERROR(__xludf.DUMMYFUNCTION("GOOGLETRANSLATE(D49, ""en"", ""ur"")"),"A) جی ہاں، یہ مہارت کا ایک مشہور ڈسپلے ہے۔")</f>
        <v>A) جی ہاں، یہ مہارت کا ایک مشہور ڈسپلے ہے۔</v>
      </c>
      <c r="N49" s="6" t="str">
        <f>IFERROR(__xludf.DUMMYFUNCTION("GOOGLETRANSLATE(E49, ""en"", ""ur"")"),"یہ ایک افسانوی، اگرچہ نایاب، تکنیک ہے جسے کچھ ماسٹر چپنداز نے اپنے ہاتھوں کو آزاد کرنے کے لیے استعمال کیا ہے، جس میں ناقابل یقین گھڑ سواری کا مظاہرہ کیا گیا ہے۔")</f>
        <v>یہ ایک افسانوی، اگرچہ نایاب، تکنیک ہے جسے کچھ ماسٹر چپنداز نے اپنے ہاتھوں کو آزاد کرنے کے لیے استعمال کیا ہے، جس میں ناقابل یقین گھڑ سواری کا مظاہرہ کیا گیا ہے۔</v>
      </c>
    </row>
    <row r="50">
      <c r="A50" s="4">
        <v>49.0</v>
      </c>
      <c r="B50" s="5" t="s">
        <v>1274</v>
      </c>
      <c r="C50" s="5" t="s">
        <v>1275</v>
      </c>
      <c r="D50" s="5" t="s">
        <v>1276</v>
      </c>
      <c r="E50" s="5" t="s">
        <v>1277</v>
      </c>
      <c r="J50" s="6" t="str">
        <f>IFERROR(__xludf.DUMMYFUNCTION("GOOGLETRANSLATE(A50, ""en"", ""ur"")"),"49")</f>
        <v>49</v>
      </c>
      <c r="K50" s="6" t="str">
        <f>IFERROR(__xludf.DUMMYFUNCTION("GOOGLETRANSLATE(B50, ""en"", ""ur"")"),"لاش گھوڑے کے نیچے آکر روندی جا رہی ہے۔ طریقہ کار کیا ہے؟")</f>
        <v>لاش گھوڑے کے نیچے آکر روندی جا رہی ہے۔ طریقہ کار کیا ہے؟</v>
      </c>
      <c r="L50" s="6" t="str">
        <f>IFERROR(__xludf.DUMMYFUNCTION("GOOGLETRANSLATE(C50, ""en"", ""ur"")"),"A) کھیل جاری ہے، B) ریفری کھیل کو روکنے کے لیے سیٹی بجاتا ہے اور لاش کو دوبارہ سیٹ کرتا ہے، C) گھوڑے کے سوار کو جرمانہ کیا جاتا ہے، D) دوسری ٹیم کو ایک پوائنٹ دیا جاتا ہے۔")</f>
        <v>A) کھیل جاری ہے، B) ریفری کھیل کو روکنے کے لیے سیٹی بجاتا ہے اور لاش کو دوبارہ سیٹ کرتا ہے، C) گھوڑے کے سوار کو جرمانہ کیا جاتا ہے، D) دوسری ٹیم کو ایک پوائنٹ دیا جاتا ہے۔</v>
      </c>
      <c r="M50" s="6" t="str">
        <f>IFERROR(__xludf.DUMMYFUNCTION("GOOGLETRANSLATE(D50, ""en"", ""ur"")"),"ب) ریفری کھیل کو روکنے کے لیے سیٹی بجاتا ہے اور لاش کو دوبارہ سیٹ کرتا ہے۔")</f>
        <v>ب) ریفری کھیل کو روکنے کے لیے سیٹی بجاتا ہے اور لاش کو دوبارہ سیٹ کرتا ہے۔</v>
      </c>
      <c r="N50" s="6" t="str">
        <f>IFERROR(__xludf.DUMMYFUNCTION("GOOGLETRANSLATE(E50, ""en"", ""ur"")"),"اگر لاش گھوڑے کے نیچے خطرناک یا ناقابل کھیل پوزیشن میں ہے، تو ریفری کارروائی روک دے گا اور اسے حفاظت اور منصفانہ کھیل کے لیے دوبارہ ترتیب دے گا۔")</f>
        <v>اگر لاش گھوڑے کے نیچے خطرناک یا ناقابل کھیل پوزیشن میں ہے، تو ریفری کارروائی روک دے گا اور اسے حفاظت اور منصفانہ کھیل کے لیے دوبارہ ترتیب دے گا۔</v>
      </c>
    </row>
    <row r="51">
      <c r="A51" s="4">
        <v>50.0</v>
      </c>
      <c r="B51" s="5" t="s">
        <v>1278</v>
      </c>
      <c r="C51" s="5" t="s">
        <v>1279</v>
      </c>
      <c r="D51" s="5" t="s">
        <v>1280</v>
      </c>
      <c r="E51" s="5" t="s">
        <v>1281</v>
      </c>
      <c r="J51" s="6" t="str">
        <f>IFERROR(__xludf.DUMMYFUNCTION("GOOGLETRANSLATE(A51, ""en"", ""ur"")"),"50")</f>
        <v>50</v>
      </c>
      <c r="K51" s="6" t="str">
        <f>IFERROR(__xludf.DUMMYFUNCTION("GOOGLETRANSLATE(B51, ""en"", ""ur"")"),"ایک ٹیم اپنے اسکورر کے لیے اسکرین کرنے کے لیے ""چلتی ہوئی دیواروں"" کے طور پر کام کرنے کے لیے دو سواروں کا استعمال کرتی ہے۔ ایک مخالف احتجاج کرتا ہے کہ یہ رکاوٹ ہے۔ ریفری کو کیا حکم دینا چاہئے؟")</f>
        <v>ایک ٹیم اپنے اسکورر کے لیے اسکرین کرنے کے لیے "چلتی ہوئی دیواروں" کے طور پر کام کرنے کے لیے دو سواروں کا استعمال کرتی ہے۔ ایک مخالف احتجاج کرتا ہے کہ یہ رکاوٹ ہے۔ ریفری کو کیا حکم دینا چاہئے؟</v>
      </c>
      <c r="L51" s="6" t="str">
        <f>IFERROR(__xludf.DUMMYFUNCTION("GOOGLETRANSLATE(C51, ""en"", ""ur"")"),"A) یہ رکاوٹ کے لیے غلط ہے، B) یہ ایک قانونی اور بنیادی ٹیم کا حربہ ہے، C) ٹیم کو وارننگ دی جاتی ہے، D) ڈرامے کو دوبارہ شروع کیا جاتا ہے۔")</f>
        <v>A) یہ رکاوٹ کے لیے غلط ہے، B) یہ ایک قانونی اور بنیادی ٹیم کا حربہ ہے، C) ٹیم کو وارننگ دی جاتی ہے، D) ڈرامے کو دوبارہ شروع کیا جاتا ہے۔</v>
      </c>
      <c r="M51" s="6" t="str">
        <f>IFERROR(__xludf.DUMMYFUNCTION("GOOGLETRANSLATE(D51, ""en"", ""ur"")"),"ب) یہ ایک قانونی اور بنیادی ٹیم کی حکمت عملی ہے۔")</f>
        <v>ب) یہ ایک قانونی اور بنیادی ٹیم کی حکمت عملی ہے۔</v>
      </c>
      <c r="N51" s="6" t="str">
        <f>IFERROR(__xludf.DUMMYFUNCTION("GOOGLETRANSLATE(E51, ""en"", ""ur"")"),"لاش بردار کے لیے ""شیلڈنگ"" یا ""اسکریننگ"" نہ صرف قانونی ہے بلکہ ٹیم بزکشی میں بنیادی حکمت عملی ہے۔")</f>
        <v>لاش بردار کے لیے "شیلڈنگ" یا "اسکریننگ" نہ صرف قانونی ہے بلکہ ٹیم بزکشی میں بنیادی حکمت عملی ہے۔</v>
      </c>
    </row>
    <row r="52">
      <c r="A52" s="4">
        <v>51.0</v>
      </c>
      <c r="B52" s="5" t="s">
        <v>1282</v>
      </c>
      <c r="C52" s="5" t="s">
        <v>1283</v>
      </c>
      <c r="D52" s="5" t="s">
        <v>1284</v>
      </c>
      <c r="E52" s="5" t="s">
        <v>1285</v>
      </c>
      <c r="J52" s="6" t="str">
        <f>IFERROR(__xludf.DUMMYFUNCTION("GOOGLETRANSLATE(A52, ""en"", ""ur"")"),"51")</f>
        <v>51</v>
      </c>
      <c r="K52" s="6" t="str">
        <f>IFERROR(__xludf.DUMMYFUNCTION("GOOGLETRANSLATE(B52, ""en"", ""ur"")"),"ایک سوار کا کوڑا مخالف کی زین پر پکڑا جاتا ہے۔ ریفری کھیل روکتا ہے۔ کال کیا ہے؟")</f>
        <v>ایک سوار کا کوڑا مخالف کی زین پر پکڑا جاتا ہے۔ ریفری کھیل روکتا ہے۔ کال کیا ہے؟</v>
      </c>
      <c r="L52" s="6" t="str">
        <f>IFERROR(__xludf.DUMMYFUNCTION("GOOGLETRANSLATE(C52, ""en"", ""ur"")"),"A) پہلے سوار پر فاؤل، B) دوسرے سوار پر فاؤل، C) ایک غیر جانبدار رکنا؛ لاش کو دوبارہ ترتیب دیا گیا ہے، D) وہ سوار جس نے چابک کھو دیا تھا وہ باہر ہے۔")</f>
        <v>A) پہلے سوار پر فاؤل، B) دوسرے سوار پر فاؤل، C) ایک غیر جانبدار رکنا؛ لاش کو دوبارہ ترتیب دیا گیا ہے، D) وہ سوار جس نے چابک کھو دیا تھا وہ باہر ہے۔</v>
      </c>
      <c r="M52" s="6" t="str">
        <f>IFERROR(__xludf.DUMMYFUNCTION("GOOGLETRANSLATE(D52, ""en"", ""ur"")"),"ج) ایک غیر جانبدار رکنا؛ لاش کو دوبارہ ترتیب دیا گیا ہے۔")</f>
        <v>ج) ایک غیر جانبدار رکنا؛ لاش کو دوبارہ ترتیب دیا گیا ہے۔</v>
      </c>
      <c r="N52" s="6" t="str">
        <f>IFERROR(__xludf.DUMMYFUNCTION("GOOGLETRANSLATE(E52, ""en"", ""ur"")"),"سامان کا حادثاتی طور پر الجھنا کوئی غلطی کا واقعہ نہیں ہے۔ ریفری سواروں کو آزاد ہونے کی اجازت دینے کے لیے کھیل روک دے گا اور پھر لاش کو دوبارہ ترتیب دے گا۔")</f>
        <v>سامان کا حادثاتی طور پر الجھنا کوئی غلطی کا واقعہ نہیں ہے۔ ریفری سواروں کو آزاد ہونے کی اجازت دینے کے لیے کھیل روک دے گا اور پھر لاش کو دوبارہ ترتیب دے گا۔</v>
      </c>
    </row>
    <row r="53">
      <c r="A53" s="4">
        <v>52.0</v>
      </c>
      <c r="B53" s="5" t="s">
        <v>1286</v>
      </c>
      <c r="C53" s="5" t="s">
        <v>1287</v>
      </c>
      <c r="D53" s="5" t="s">
        <v>1288</v>
      </c>
      <c r="E53" s="5" t="s">
        <v>1289</v>
      </c>
      <c r="J53" s="6" t="str">
        <f>IFERROR(__xludf.DUMMYFUNCTION("GOOGLETRANSLATE(A53, ""en"", ""ur"")"),"52")</f>
        <v>52</v>
      </c>
      <c r="K53" s="6" t="str">
        <f>IFERROR(__xludf.DUMMYFUNCTION("GOOGLETRANSLATE(B53, ""en"", ""ur"")"),"ایک سوار کامیابی سے لاش کو پکڑ کر بھاگ رہا ہے۔ پیچھے سے ایک مخالف سوار کے گھوڑے کی دم پکڑتا ہے۔ کیا یہ قانونی ہے؟")</f>
        <v>ایک سوار کامیابی سے لاش کو پکڑ کر بھاگ رہا ہے۔ پیچھے سے ایک مخالف سوار کے گھوڑے کی دم پکڑتا ہے۔ کیا یہ قانونی ہے؟</v>
      </c>
      <c r="L53" s="6" t="str">
        <f>IFERROR(__xludf.DUMMYFUNCTION("GOOGLETRANSLATE(C53, ""en"", ""ur"")"),"A) جی ہاں، یہ انہیں سست کرنے کے لیے ایک مایوس کن اقدام ہے، B) نہیں، یہ غیر قانونی مداخلت کے لیے ایک سنگین فاؤل ہے، C) ہر میچ میں ایک بار اس کی اجازت ہے، D) وارننگ جاری کی گئی ہے۔")</f>
        <v>A) جی ہاں، یہ انہیں سست کرنے کے لیے ایک مایوس کن اقدام ہے، B) نہیں، یہ غیر قانونی مداخلت کے لیے ایک سنگین فاؤل ہے، C) ہر میچ میں ایک بار اس کی اجازت ہے، D) وارننگ جاری کی گئی ہے۔</v>
      </c>
      <c r="M53" s="6" t="str">
        <f>IFERROR(__xludf.DUMMYFUNCTION("GOOGLETRANSLATE(D53, ""en"", ""ur"")"),"ب) نہیں، یہ غیر قانونی مداخلت کے لیے ایک سنگین فاؤل ہے۔")</f>
        <v>ب) نہیں، یہ غیر قانونی مداخلت کے لیے ایک سنگین فاؤل ہے۔</v>
      </c>
      <c r="N53" s="6" t="str">
        <f>IFERROR(__xludf.DUMMYFUNCTION("GOOGLETRANSLATE(E53, ""en"", ""ur"")"),"مخالف کے گھوڑے کے کسی بھی حصے کو پکڑنا ایک بہت بڑا فُل ہے جو گھوڑے اور سوار دونوں کو خطرے میں ڈال سکتا ہے۔")</f>
        <v>مخالف کے گھوڑے کے کسی بھی حصے کو پکڑنا ایک بہت بڑا فُل ہے جو گھوڑے اور سوار دونوں کو خطرے میں ڈال سکتا ہے۔</v>
      </c>
    </row>
    <row r="54">
      <c r="A54" s="4">
        <v>53.0</v>
      </c>
      <c r="B54" s="5" t="s">
        <v>1290</v>
      </c>
      <c r="C54" s="5" t="s">
        <v>1291</v>
      </c>
      <c r="D54" s="5" t="s">
        <v>1292</v>
      </c>
      <c r="E54" s="5" t="s">
        <v>1293</v>
      </c>
      <c r="J54" s="6" t="str">
        <f>IFERROR(__xludf.DUMMYFUNCTION("GOOGLETRANSLATE(A54, ""en"", ""ur"")"),"53")</f>
        <v>53</v>
      </c>
      <c r="K54" s="6" t="str">
        <f>IFERROR(__xludf.DUMMYFUNCTION("GOOGLETRANSLATE(B54, ""en"", ""ur"")"),"ایک گھوڑا نظر آتا ہے جس کے کان پیچھے بندھے ہوئے ہیں اور دوسرے گھوڑے پر دانت کھلے ہوئے ہیں۔ اس سے کیا مراد ہے؟")</f>
        <v>ایک گھوڑا نظر آتا ہے جس کے کان پیچھے بندھے ہوئے ہیں اور دوسرے گھوڑے پر دانت کھلے ہوئے ہیں۔ اس سے کیا مراد ہے؟</v>
      </c>
      <c r="L54" s="6" t="str">
        <f>IFERROR(__xludf.DUMMYFUNCTION("GOOGLETRANSLATE(C54, ""en"", ""ur"")"),"A) گھوڑا تھکا ہوا ہے، B) گھوڑا انتہائی جارحیت اور لڑنے کا جذبہ دکھا رہا ہے، C) گھوڑا خوفزدہ ہے، D) گھوڑا کھیل رہا ہے")</f>
        <v>A) گھوڑا تھکا ہوا ہے، B) گھوڑا انتہائی جارحیت اور لڑنے کا جذبہ دکھا رہا ہے، C) گھوڑا خوفزدہ ہے، D) گھوڑا کھیل رہا ہے</v>
      </c>
      <c r="M54" s="6" t="str">
        <f>IFERROR(__xludf.DUMMYFUNCTION("GOOGLETRANSLATE(D54, ""en"", ""ur"")"),"ب) گھوڑا انتہائی جارحیت اور لڑنے کا جذبہ دکھا رہا ہے۔")</f>
        <v>ب) گھوڑا انتہائی جارحیت اور لڑنے کا جذبہ دکھا رہا ہے۔</v>
      </c>
      <c r="N54" s="6" t="str">
        <f>IFERROR(__xludf.DUMMYFUNCTION("GOOGLETRANSLATE(E54, ""en"", ""ur"")"),"یہ ایک تجربہ کار، لڑاکا بزکشی گھوڑے کا طرز عمل ہے، جو کھیل کے لیے ایک انتہائی مطلوبہ خصلت ہے۔")</f>
        <v>یہ ایک تجربہ کار، لڑاکا بزکشی گھوڑے کا طرز عمل ہے، جو کھیل کے لیے ایک انتہائی مطلوبہ خصلت ہے۔</v>
      </c>
    </row>
    <row r="55">
      <c r="A55" s="4">
        <v>54.0</v>
      </c>
      <c r="B55" s="5" t="s">
        <v>1294</v>
      </c>
      <c r="C55" s="5" t="s">
        <v>1295</v>
      </c>
      <c r="D55" s="5" t="s">
        <v>1296</v>
      </c>
      <c r="E55" s="5" t="s">
        <v>1297</v>
      </c>
      <c r="J55" s="6" t="str">
        <f>IFERROR(__xludf.DUMMYFUNCTION("GOOGLETRANSLATE(A55, ""en"", ""ur"")"),"54")</f>
        <v>54</v>
      </c>
      <c r="K55" s="6" t="str">
        <f>IFERROR(__xludf.DUMMYFUNCTION("GOOGLETRANSLATE(B55, ""en"", ""ur"")"),"ایک ٹورنامنٹ میں، ایک ٹیم کے پاس میدان میں سواروں کی اجازت سے زیادہ تعداد پائی جاتی ہے۔ جرمانہ کیا ہے؟")</f>
        <v>ایک ٹورنامنٹ میں، ایک ٹیم کے پاس میدان میں سواروں کی اجازت سے زیادہ تعداد پائی جاتی ہے۔ جرمانہ کیا ہے؟</v>
      </c>
      <c r="L55" s="6" t="str">
        <f>IFERROR(__xludf.DUMMYFUNCTION("GOOGLETRANSLATE(C55, ""en"", ""ur"")"),"A) اضافی کھلاڑی کو صرف چھوڑنے کے لئے کہا جاتا ہے، B) مخالف ٹیم کو ایک پوائنٹ دیا جاتا ہے، اور ٹیم کو نمبر درست کرنا ہوگا، C) ٹیم کو میچ ہارنا ہوگا، D) وارننگ جاری کی جاتی ہے۔")</f>
        <v>A) اضافی کھلاڑی کو صرف چھوڑنے کے لئے کہا جاتا ہے، B) مخالف ٹیم کو ایک پوائنٹ دیا جاتا ہے، اور ٹیم کو نمبر درست کرنا ہوگا، C) ٹیم کو میچ ہارنا ہوگا، D) وارننگ جاری کی جاتی ہے۔</v>
      </c>
      <c r="M55" s="6" t="str">
        <f>IFERROR(__xludf.DUMMYFUNCTION("GOOGLETRANSLATE(D55, ""en"", ""ur"")"),"ب) مخالف ٹیم کو ایک پوائنٹ دیا جاتا ہے، اور ٹیم کو نمبر درست کرنا ہوگا۔")</f>
        <v>ب) مخالف ٹیم کو ایک پوائنٹ دیا جاتا ہے، اور ٹیم کو نمبر درست کرنا ہوگا۔</v>
      </c>
      <c r="N55" s="6" t="str">
        <f>IFERROR(__xludf.DUMMYFUNCTION("GOOGLETRANSLATE(E55, ""en"", ""ur"")"),"میدان میں بہت زیادہ کھلاڑیوں کا ہونا واضح خلاف ورزی ہے اور اس کے نتیجے میں پینلٹی پوائنٹ ملتے ہیں۔")</f>
        <v>میدان میں بہت زیادہ کھلاڑیوں کا ہونا واضح خلاف ورزی ہے اور اس کے نتیجے میں پینلٹی پوائنٹ ملتے ہیں۔</v>
      </c>
    </row>
    <row r="56">
      <c r="A56" s="4">
        <v>55.0</v>
      </c>
      <c r="B56" s="5" t="s">
        <v>1298</v>
      </c>
      <c r="C56" s="5" t="s">
        <v>1299</v>
      </c>
      <c r="D56" s="5" t="s">
        <v>1300</v>
      </c>
      <c r="E56" s="5" t="s">
        <v>1301</v>
      </c>
      <c r="J56" s="6" t="str">
        <f>IFERROR(__xludf.DUMMYFUNCTION("GOOGLETRANSLATE(A56, ""en"", ""ur"")"),"55")</f>
        <v>55</v>
      </c>
      <c r="K56" s="6" t="str">
        <f>IFERROR(__xludf.DUMMYFUNCTION("GOOGLETRANSLATE(B56, ""en"", ""ur"")"),"ایک سوار کے پاس لاش ہوتی ہے، اور ایک مخالف براہ راست ان کے سامنے سوار ہوتا ہے اور اچانک رک جاتا ہے۔ یہ فضول کیوں ہے؟")</f>
        <v>ایک سوار کے پاس لاش ہوتی ہے، اور ایک مخالف براہ راست ان کے سامنے سوار ہوتا ہے اور اچانک رک جاتا ہے۔ یہ فضول کیوں ہے؟</v>
      </c>
      <c r="L56" s="6" t="str">
        <f>IFERROR(__xludf.DUMMYFUNCTION("GOOGLETRANSLATE(C56, ""en"", ""ur"")"),"A) یہ غلط نہیں ہے، B) یہ ایک غیر قانونی بلاک ہے جو تصادم کا خطرناک خطرہ پیدا کرتا ہے، C) یہ بے عزتی کی علامت ہے، D) یہ ایک چالاک دفاعی اقدام ہے۔")</f>
        <v>A) یہ غلط نہیں ہے، B) یہ ایک غیر قانونی بلاک ہے جو تصادم کا خطرناک خطرہ پیدا کرتا ہے، C) یہ بے عزتی کی علامت ہے، D) یہ ایک چالاک دفاعی اقدام ہے۔</v>
      </c>
      <c r="M56" s="6" t="str">
        <f>IFERROR(__xludf.DUMMYFUNCTION("GOOGLETRANSLATE(D56, ""en"", ""ur"")"),"ب) یہ ایک غیر قانونی بلاک ہے جو تصادم کا خطرناک خطرہ پیدا کرتا ہے۔")</f>
        <v>ب) یہ ایک غیر قانونی بلاک ہے جو تصادم کا خطرناک خطرہ پیدا کرتا ہے۔</v>
      </c>
      <c r="N56" s="6" t="str">
        <f>IFERROR(__xludf.DUMMYFUNCTION("GOOGLETRANSLATE(E56, ""en"", ""ur"")"),"ایک کھلاڑی جان بوجھ کر خطرناک رکاوٹ پیدا نہیں کر سکتا۔ سرپٹ دوڑتے گھوڑے کے سامنے اچانک رک جانا ایک بڑی حفاظتی غلطی ہے۔")</f>
        <v>ایک کھلاڑی جان بوجھ کر خطرناک رکاوٹ پیدا نہیں کر سکتا۔ سرپٹ دوڑتے گھوڑے کے سامنے اچانک رک جانا ایک بڑی حفاظتی غلطی ہے۔</v>
      </c>
    </row>
    <row r="57">
      <c r="A57" s="4">
        <v>56.0</v>
      </c>
      <c r="B57" s="5" t="s">
        <v>1302</v>
      </c>
      <c r="C57" s="5" t="s">
        <v>1303</v>
      </c>
      <c r="D57" s="5" t="s">
        <v>156</v>
      </c>
      <c r="E57" s="5" t="s">
        <v>1304</v>
      </c>
      <c r="J57" s="6" t="str">
        <f>IFERROR(__xludf.DUMMYFUNCTION("GOOGLETRANSLATE(A57, ""en"", ""ur"")"),"56")</f>
        <v>56</v>
      </c>
      <c r="K57" s="6" t="str">
        <f>IFERROR(__xludf.DUMMYFUNCTION("GOOGLETRANSLATE(B57, ""en"", ""ur"")"),"بنیادی وجہ کیا ہے کہ زمینی عملہ اور ریفری بھی اکثر گھوڑوں پر سوار ہوتے ہیں؟")</f>
        <v>بنیادی وجہ کیا ہے کہ زمینی عملہ اور ریفری بھی اکثر گھوڑوں پر سوار ہوتے ہیں؟</v>
      </c>
      <c r="L57" s="6" t="str">
        <f>IFERROR(__xludf.DUMMYFUNCTION("GOOGLETRANSLATE(C57, ""en"", ""ur"")"),"A) یہ زیادہ روایتی ہے، B) تیزی سے چلنے والے کھیل کو جاری رکھنا اور اسکرم کے اندر فاؤلز کا واضح نظارہ حاصل کرنا، C) اسکرم سے ان کی اپنی حفاظت کے لیے، D) مذکورہ بالا سبھی")</f>
        <v>A) یہ زیادہ روایتی ہے، B) تیزی سے چلنے والے کھیل کو جاری رکھنا اور اسکرم کے اندر فاؤلز کا واضح نظارہ حاصل کرنا، C) اسکرم سے ان کی اپنی حفاظت کے لیے، D) مذکورہ بالا سبھی</v>
      </c>
      <c r="M57" s="6" t="str">
        <f>IFERROR(__xludf.DUMMYFUNCTION("GOOGLETRANSLATE(D57, ""en"", ""ur"")"),"D) مذکورہ بالا تمام")</f>
        <v>D) مذکورہ بالا تمام</v>
      </c>
      <c r="N57" s="6" t="str">
        <f>IFERROR(__xludf.DUMMYFUNCTION("GOOGLETRANSLATE(E57, ""en"", ""ur"")"),"نصب ہونے سے عہدیداروں کو کھیل کے ساتھ حرکت کرنے، اسکرم کو دیکھنے، محفوظ رہنے اور مؤثر طریقے سے قوانین کو نافذ کرنے کی اجازت ملتی ہے۔")</f>
        <v>نصب ہونے سے عہدیداروں کو کھیل کے ساتھ حرکت کرنے، اسکرم کو دیکھنے، محفوظ رہنے اور مؤثر طریقے سے قوانین کو نافذ کرنے کی اجازت ملتی ہے۔</v>
      </c>
    </row>
    <row r="58">
      <c r="A58" s="4">
        <v>57.0</v>
      </c>
      <c r="B58" s="5" t="s">
        <v>1305</v>
      </c>
      <c r="C58" s="5" t="s">
        <v>1306</v>
      </c>
      <c r="D58" s="5" t="s">
        <v>1307</v>
      </c>
      <c r="E58" s="5" t="s">
        <v>1308</v>
      </c>
      <c r="J58" s="6" t="str">
        <f>IFERROR(__xludf.DUMMYFUNCTION("GOOGLETRANSLATE(A58, ""en"", ""ur"")"),"57")</f>
        <v>57</v>
      </c>
      <c r="K58" s="6" t="str">
        <f>IFERROR(__xludf.DUMMYFUNCTION("GOOGLETRANSLATE(B58, ""en"", ""ur"")"),"ایک سوار لاش کو لے جا رہا ہے۔ ایک مخالف ساتھ ساتھ سواری کرتا ہے اور کیریئر کی ٹانگ کو لاش سے دور دھکیلنے کے لیے اپنی ٹانگ کا استعمال کرتا ہے۔ کیا یہ قانونی اقدام ہے؟")</f>
        <v>ایک سوار لاش کو لے جا رہا ہے۔ ایک مخالف ساتھ ساتھ سواری کرتا ہے اور کیریئر کی ٹانگ کو لاش سے دور دھکیلنے کے لیے اپنی ٹانگ کا استعمال کرتا ہے۔ کیا یہ قانونی اقدام ہے؟</v>
      </c>
      <c r="L58" s="6" t="str">
        <f>IFERROR(__xludf.DUMMYFUNCTION("GOOGLETRANSLATE(C58, ""en"", ""ur"")"),"A) جی ہاں، لاش کے لئے مقابلہ کرنے کے لئے ٹانگوں کا استعمال ایک اہم مہارت ہے، B) نہیں، یہ ٹانگ کے غیر قانونی استعمال کے لئے ایک غلط ہے، C) صرف اس صورت میں جب مخالف لات نہ مارے، D) ایک انتباہ جاری کیا جاتا ہے")</f>
        <v>A) جی ہاں، لاش کے لئے مقابلہ کرنے کے لئے ٹانگوں کا استعمال ایک اہم مہارت ہے، B) نہیں، یہ ٹانگ کے غیر قانونی استعمال کے لئے ایک غلط ہے، C) صرف اس صورت میں جب مخالف لات نہ مارے، D) ایک انتباہ جاری کیا جاتا ہے</v>
      </c>
      <c r="M58" s="6" t="str">
        <f>IFERROR(__xludf.DUMMYFUNCTION("GOOGLETRANSLATE(D58, ""en"", ""ur"")"),"ا) جی ہاں، لاش کے لیے مقابلہ کرنے کے لیے ٹانگوں کا استعمال ایک اہم ہنر ہے۔")</f>
        <v>ا) جی ہاں، لاش کے لیے مقابلہ کرنے کے لیے ٹانگوں کا استعمال ایک اہم ہنر ہے۔</v>
      </c>
      <c r="N58" s="6" t="str">
        <f>IFERROR(__xludf.DUMMYFUNCTION("GOOGLETRANSLATE(E58, ""en"", ""ur"")"),"سوار اپنے پورے جسم کو قبضے کے لیے لڑنے کے لیے استعمال کرتے ہیں۔ لاش پر مخالف کی گرفت کو توڑنے کے لیے ٹانگ کا استعمال کرنا ایک معیاری حربہ ہے۔")</f>
        <v>سوار اپنے پورے جسم کو قبضے کے لیے لڑنے کے لیے استعمال کرتے ہیں۔ لاش پر مخالف کی گرفت کو توڑنے کے لیے ٹانگ کا استعمال کرنا ایک معیاری حربہ ہے۔</v>
      </c>
    </row>
    <row r="59">
      <c r="A59" s="4">
        <v>58.0</v>
      </c>
      <c r="B59" s="5" t="s">
        <v>1309</v>
      </c>
      <c r="C59" s="5" t="s">
        <v>1310</v>
      </c>
      <c r="D59" s="5" t="s">
        <v>1311</v>
      </c>
      <c r="E59" s="5" t="s">
        <v>1312</v>
      </c>
      <c r="J59" s="6" t="str">
        <f>IFERROR(__xludf.DUMMYFUNCTION("GOOGLETRANSLATE(A59, ""en"", ""ur"")"),"58")</f>
        <v>58</v>
      </c>
      <c r="K59" s="6" t="str">
        <f>IFERROR(__xludf.DUMMYFUNCTION("GOOGLETRANSLATE(B59, ""en"", ""ur"")"),"ایک سوار زخمی ہے اور اسے متبادل کیا جانا چاہیے۔ کیا اصل سوار بعد میں گیم میں واپس آسکتا ہے؟")</f>
        <v>ایک سوار زخمی ہے اور اسے متبادل کیا جانا چاہیے۔ کیا اصل سوار بعد میں گیم میں واپس آسکتا ہے؟</v>
      </c>
      <c r="L59" s="6" t="str">
        <f>IFERROR(__xludf.DUMMYFUNCTION("GOOGLETRANSLATE(C59, ""en"", ""ur"")"),"A) جی ہاں، آرام کی مدت کے بعد، B) نہیں، ایک بار کسی کھلاڑی کو متبادل کیا جاتا ہے، وہ اس میچ میں واپس نہیں آ سکتے، C) صرف کھیل کے دوسرے ہاف میں، D) صرف اس صورت میں جب متبادل کھلاڑی بھی زخمی ہو جائے۔")</f>
        <v>A) جی ہاں، آرام کی مدت کے بعد، B) نہیں، ایک بار کسی کھلاڑی کو متبادل کیا جاتا ہے، وہ اس میچ میں واپس نہیں آ سکتے، C) صرف کھیل کے دوسرے ہاف میں، D) صرف اس صورت میں جب متبادل کھلاڑی بھی زخمی ہو جائے۔</v>
      </c>
      <c r="M59" s="6" t="str">
        <f>IFERROR(__xludf.DUMMYFUNCTION("GOOGLETRANSLATE(D59, ""en"", ""ur"")"),"ب) نہیں، ایک بار جب کسی کھلاڑی کو متبادل بنایا جاتا ہے تو وہ اس میچ میں واپس نہیں آسکتے ہیں۔")</f>
        <v>ب) نہیں، ایک بار جب کسی کھلاڑی کو متبادل بنایا جاتا ہے تو وہ اس میچ میں واپس نہیں آسکتے ہیں۔</v>
      </c>
      <c r="N59" s="6" t="str">
        <f>IFERROR(__xludf.DUMMYFUNCTION("GOOGLETRANSLATE(E59, ""en"", ""ur"")"),"زیادہ تر رسمی اصولوں کے سیٹوں میں، ایک کھلاڑی جس کی جگہ متبادل کے ذریعے لیا جاتا ہے وہ اپنے بقیہ کے لیے کھیل سے باہر ہو جاتا ہے۔")</f>
        <v>زیادہ تر رسمی اصولوں کے سیٹوں میں، ایک کھلاڑی جس کی جگہ متبادل کے ذریعے لیا جاتا ہے وہ اپنے بقیہ کے لیے کھیل سے باہر ہو جاتا ہے۔</v>
      </c>
    </row>
    <row r="60">
      <c r="A60" s="4">
        <v>59.0</v>
      </c>
      <c r="B60" s="5" t="s">
        <v>1313</v>
      </c>
      <c r="C60" s="5" t="s">
        <v>1314</v>
      </c>
      <c r="D60" s="5" t="s">
        <v>1315</v>
      </c>
      <c r="E60" s="5" t="s">
        <v>1316</v>
      </c>
      <c r="J60" s="6" t="str">
        <f>IFERROR(__xludf.DUMMYFUNCTION("GOOGLETRANSLATE(A60, ""en"", ""ur"")"),"59")</f>
        <v>59</v>
      </c>
      <c r="K60" s="6" t="str">
        <f>IFERROR(__xludf.DUMMYFUNCTION("GOOGLETRANSLATE(B60, ""en"", ""ur"")"),"سوار کے گھوڑے کا ""سخت منہ"" ہوتا ہے۔ سوار کے لیے اس کا کیا مطلب ہے؟")</f>
        <v>سوار کے گھوڑے کا "سخت منہ" ہوتا ہے۔ سوار کے لیے اس کا کیا مطلب ہے؟</v>
      </c>
      <c r="L60" s="6" t="str">
        <f>IFERROR(__xludf.DUMMYFUNCTION("GOOGLETRANSLATE(C60, ""en"", ""ur"")"),"A) گھوڑا لگام کے لئے بہت جوابدہ ہے، B) گھوڑا لگام لگانے کے لئے غیر ذمہ دار ہے اور اس پر قابو پانا مشکل ہے، C) گھوڑا دوسرے گھوڑوں کو کاٹنے کے لئے جانا جاتا ہے، D) گھوڑے کے بہت مضبوط دانت ہوتے ہیں۔")</f>
        <v>A) گھوڑا لگام کے لئے بہت جوابدہ ہے، B) گھوڑا لگام لگانے کے لئے غیر ذمہ دار ہے اور اس پر قابو پانا مشکل ہے، C) گھوڑا دوسرے گھوڑوں کو کاٹنے کے لئے جانا جاتا ہے، D) گھوڑے کے بہت مضبوط دانت ہوتے ہیں۔</v>
      </c>
      <c r="M60" s="6" t="str">
        <f>IFERROR(__xludf.DUMMYFUNCTION("GOOGLETRANSLATE(D60, ""en"", ""ur"")"),"ب) گھوڑا اشاروں کو لگام دینے کے لیے غیر جوابدہ ہے اور اس پر قابو پانا مشکل ہے۔")</f>
        <v>ب) گھوڑا اشاروں کو لگام دینے کے لیے غیر جوابدہ ہے اور اس پر قابو پانا مشکل ہے۔</v>
      </c>
      <c r="N60" s="6" t="str">
        <f>IFERROR(__xludf.DUMMYFUNCTION("GOOGLETRANSLATE(E60, ""en"", ""ur"")"),"ایک ""سخت منہ"" ایک منفی خصلت ہے، جس سے یہ ظاہر ہوتا ہے کہ گھوڑا سوار کے اشاروں کو نظر انداز کرتا ہے، جس سے یہ بزکشی جیسے تکنیکی کھیل کے لیے ناقص ماؤنٹ ہے۔")</f>
        <v>ایک "سخت منہ" ایک منفی خصلت ہے، جس سے یہ ظاہر ہوتا ہے کہ گھوڑا سوار کے اشاروں کو نظر انداز کرتا ہے، جس سے یہ بزکشی جیسے تکنیکی کھیل کے لیے ناقص ماؤنٹ ہے۔</v>
      </c>
    </row>
    <row r="61">
      <c r="A61" s="4">
        <v>60.0</v>
      </c>
      <c r="B61" s="5" t="s">
        <v>1317</v>
      </c>
      <c r="C61" s="5" t="s">
        <v>1318</v>
      </c>
      <c r="D61" s="5" t="s">
        <v>1319</v>
      </c>
      <c r="E61" s="5" t="s">
        <v>1320</v>
      </c>
      <c r="J61" s="6" t="str">
        <f>IFERROR(__xludf.DUMMYFUNCTION("GOOGLETRANSLATE(A61, ""en"", ""ur"")"),"60")</f>
        <v>60</v>
      </c>
      <c r="K61" s="6" t="str">
        <f>IFERROR(__xludf.DUMMYFUNCTION("GOOGLETRANSLATE(B61, ""en"", ""ur"")"),"اگر میت کو گرا کر کھیت کی باؤنڈری لائن پر سیدھا آرام کرنے کے لیے آ جائے تو کیا حکم ہے؟")</f>
        <v>اگر میت کو گرا کر کھیت کی باؤنڈری لائن پر سیدھا آرام کرنے کے لیے آ جائے تو کیا حکم ہے؟</v>
      </c>
      <c r="L61" s="6" t="str">
        <f>IFERROR(__xludf.DUMMYFUNCTION("GOOGLETRANSLATE(C61, ""en"", ""ur"")"),"A) یہ اب بھی کھیل میں سمجھا جاتا ہے، B) یہ کھیل سے باہر ہے اور اسے دوبارہ ترتیب دینا ضروری ہے، C) اسے چھونے والا آخری کھلاڑی پوائنٹ جیتتا ہے، D) اسے دوبارہ چھونے والے پہلے کھلاڑی کو قبضہ مل جاتا ہے۔")</f>
        <v>A) یہ اب بھی کھیل میں سمجھا جاتا ہے، B) یہ کھیل سے باہر ہے اور اسے دوبارہ ترتیب دینا ضروری ہے، C) اسے چھونے والا آخری کھلاڑی پوائنٹ جیتتا ہے، D) اسے دوبارہ چھونے والے پہلے کھلاڑی کو قبضہ مل جاتا ہے۔</v>
      </c>
      <c r="M61" s="6" t="str">
        <f>IFERROR(__xludf.DUMMYFUNCTION("GOOGLETRANSLATE(D61, ""en"", ""ur"")"),"ب) یہ کھیل سے باہر ہے اور اسے دوبارہ ترتیب دینا ضروری ہے۔")</f>
        <v>ب) یہ کھیل سے باہر ہے اور اسے دوبارہ ترتیب دینا ضروری ہے۔</v>
      </c>
      <c r="N61" s="6" t="str">
        <f>IFERROR(__xludf.DUMMYFUNCTION("GOOGLETRANSLATE(E61, ""en"", ""ur"")"),"باؤنڈری لائن کو ہی کھیل سے باہر سمجھا جاتا ہے۔ زندہ رہنے کے لیے لاش کو مکمل طور پر کھیت کے اندر ہونا چاہیے۔")</f>
        <v>باؤنڈری لائن کو ہی کھیل سے باہر سمجھا جاتا ہے۔ زندہ رہنے کے لیے لاش کو مکمل طور پر کھیت کے اندر ہونا چاہیے۔</v>
      </c>
    </row>
    <row r="62">
      <c r="A62" s="4">
        <v>61.0</v>
      </c>
      <c r="B62" s="5" t="s">
        <v>1321</v>
      </c>
      <c r="C62" s="5" t="s">
        <v>1322</v>
      </c>
      <c r="D62" s="5" t="s">
        <v>1323</v>
      </c>
      <c r="E62" s="5" t="s">
        <v>1324</v>
      </c>
      <c r="J62" s="6" t="str">
        <f>IFERROR(__xludf.DUMMYFUNCTION("GOOGLETRANSLATE(A62, ""en"", ""ur"")"),"61")</f>
        <v>61</v>
      </c>
      <c r="K62" s="6" t="str">
        <f>IFERROR(__xludf.DUMMYFUNCTION("GOOGLETRANSLATE(B62, ""en"", ""ur"")"),"ایک سوار گھوڑوں کے بغیر ہوتا ہے، لیکن ان کا پاؤں دھاتی رکاب میں پھنس جاتا ہے۔ یہ خاص طور پر خطرناک صورتحال کیوں ہے؟")</f>
        <v>ایک سوار گھوڑوں کے بغیر ہوتا ہے، لیکن ان کا پاؤں دھاتی رکاب میں پھنس جاتا ہے۔ یہ خاص طور پر خطرناک صورتحال کیوں ہے؟</v>
      </c>
      <c r="L62" s="6" t="str">
        <f>IFERROR(__xludf.DUMMYFUNCTION("GOOGLETRANSLATE(C62, ""en"", ""ur"")"),"A) سوار کو جرمانہ کیا جائے گا، B) گھوڑا خود بخود رک جائے گا، C) سوار کو تیز رفتاری سے گھوڑا گھسیٹ سکتا ہے، D) رکاب ٹوٹ جائے گی۔")</f>
        <v>A) سوار کو جرمانہ کیا جائے گا، B) گھوڑا خود بخود رک جائے گا، C) سوار کو تیز رفتاری سے گھوڑا گھسیٹ سکتا ہے، D) رکاب ٹوٹ جائے گی۔</v>
      </c>
      <c r="M62" s="6" t="str">
        <f>IFERROR(__xludf.DUMMYFUNCTION("GOOGLETRANSLATE(D62, ""en"", ""ur"")"),"ج) سوار کو تیز رفتاری سے گھوڑے کے ذریعے گھسیٹا جا سکتا ہے۔")</f>
        <v>ج) سوار کو تیز رفتاری سے گھوڑے کے ذریعے گھسیٹا جا سکتا ہے۔</v>
      </c>
      <c r="N62" s="6" t="str">
        <f>IFERROR(__xludf.DUMMYFUNCTION("GOOGLETRANSLATE(E62, ""en"", ""ur"")"),"یہی وجہ ہے کہ بہت سے روایتی سوار نرم چمڑے کے رکابوں یا جوتے کو ترجیح دیتے ہیں جن کے گرنے کے دوران پاؤں میں پھنسنے کا امکان کم ہوتا ہے۔")</f>
        <v>یہی وجہ ہے کہ بہت سے روایتی سوار نرم چمڑے کے رکابوں یا جوتے کو ترجیح دیتے ہیں جن کے گرنے کے دوران پاؤں میں پھنسنے کا امکان کم ہوتا ہے۔</v>
      </c>
    </row>
    <row r="63">
      <c r="A63" s="4">
        <v>62.0</v>
      </c>
      <c r="B63" s="5" t="s">
        <v>1325</v>
      </c>
      <c r="C63" s="5" t="s">
        <v>1326</v>
      </c>
      <c r="D63" s="5" t="s">
        <v>1327</v>
      </c>
      <c r="E63" s="5" t="s">
        <v>1328</v>
      </c>
      <c r="J63" s="6" t="str">
        <f>IFERROR(__xludf.DUMMYFUNCTION("GOOGLETRANSLATE(A63, ""en"", ""ur"")"),"62")</f>
        <v>62</v>
      </c>
      <c r="K63" s="6" t="str">
        <f>IFERROR(__xludf.DUMMYFUNCTION("GOOGLETRANSLATE(B63, ""en"", ""ur"")"),"کھیل سے پہلے کے معائنے کے دوران گھوڑے کو نااہل قرار دیا جاتا ہے۔ ممکنہ وجہ کیا ہے؟")</f>
        <v>کھیل سے پہلے کے معائنے کے دوران گھوڑے کو نااہل قرار دیا جاتا ہے۔ ممکنہ وجہ کیا ہے؟</v>
      </c>
      <c r="L63" s="6" t="str">
        <f>IFERROR(__xludf.DUMMYFUNCTION("GOOGLETRANSLATE(C63, ""en"", ""ur"")"),"A) گھوڑا بہت بوڑھا ہے، B) گھوڑے پر کھلے زخم ہیں یا لنگڑے پن کے آثار ہیں، C) گھوڑا گھوڑی ہے، گھوڑا نہیں، D) گھوڑے کا رنگ غلط ہے")</f>
        <v>A) گھوڑا بہت بوڑھا ہے، B) گھوڑے پر کھلے زخم ہیں یا لنگڑے پن کے آثار ہیں، C) گھوڑا گھوڑی ہے، گھوڑا نہیں، D) گھوڑے کا رنگ غلط ہے</v>
      </c>
      <c r="M63" s="6" t="str">
        <f>IFERROR(__xludf.DUMMYFUNCTION("GOOGLETRANSLATE(D63, ""en"", ""ur"")"),"ب) گھوڑے میں کھلے زخم یا لنگڑے پن کے آثار ہیں۔")</f>
        <v>ب) گھوڑے میں کھلے زخم یا لنگڑے پن کے آثار ہیں۔</v>
      </c>
      <c r="N63" s="6" t="str">
        <f>IFERROR(__xludf.DUMMYFUNCTION("GOOGLETRANSLATE(E63, ""en"", ""ur"")"),"جانوروں کی فلاح و بہبود کے لیے، کوئی بھی گھوڑا جو جسمانی صحت کی چوٹی میں نہیں ہے، مقابلہ کرنے سے روک دیا جائے گا۔")</f>
        <v>جانوروں کی فلاح و بہبود کے لیے، کوئی بھی گھوڑا جو جسمانی صحت کی چوٹی میں نہیں ہے، مقابلہ کرنے سے روک دیا جائے گا۔</v>
      </c>
    </row>
    <row r="64">
      <c r="A64" s="4">
        <v>63.0</v>
      </c>
      <c r="B64" s="5" t="s">
        <v>1329</v>
      </c>
      <c r="C64" s="5" t="s">
        <v>1330</v>
      </c>
      <c r="D64" s="5" t="s">
        <v>1331</v>
      </c>
      <c r="E64" s="5" t="s">
        <v>1332</v>
      </c>
      <c r="J64" s="6" t="str">
        <f>IFERROR(__xludf.DUMMYFUNCTION("GOOGLETRANSLATE(A64, ""en"", ""ur"")"),"63")</f>
        <v>63</v>
      </c>
      <c r="K64" s="6" t="str">
        <f>IFERROR(__xludf.DUMMYFUNCTION("GOOGLETRANSLATE(B64, ""en"", ""ur"")"),"ایک رسمی میچ میں، اگر کوئی ٹیم کھلاڑیوں کی کم سے کم تعداد میں میدان میں نہیں اتر سکتی تو اس کا کیا نتیجہ ہے؟")</f>
        <v>ایک رسمی میچ میں، اگر کوئی ٹیم کھلاڑیوں کی کم سے کم تعداد میں میدان میں نہیں اتر سکتی تو اس کا کیا نتیجہ ہے؟</v>
      </c>
      <c r="L64" s="6" t="str">
        <f>IFERROR(__xludf.DUMMYFUNCTION("GOOGLETRANSLATE(C64, ""en"", ""ur"")"),"A) وہ کم کھلاڑیوں کے ساتھ کھیل سکتے ہیں، B) انہیں میچ ضائع کرنا ہوگا، C) وہ کسی دوسری ٹیم سے کھلاڑی ادھار لے سکتے ہیں، D) میچ دوبارہ شیڈول کیا گیا ہے۔")</f>
        <v>A) وہ کم کھلاڑیوں کے ساتھ کھیل سکتے ہیں، B) انہیں میچ ضائع کرنا ہوگا، C) وہ کسی دوسری ٹیم سے کھلاڑی ادھار لے سکتے ہیں، D) میچ دوبارہ شیڈول کیا گیا ہے۔</v>
      </c>
      <c r="M64" s="6" t="str">
        <f>IFERROR(__xludf.DUMMYFUNCTION("GOOGLETRANSLATE(D64, ""en"", ""ur"")"),"ب) انہیں میچ ہارنا ہوگا۔")</f>
        <v>ب) انہیں میچ ہارنا ہوگا۔</v>
      </c>
      <c r="N64" s="6" t="str">
        <f>IFERROR(__xludf.DUMMYFUNCTION("GOOGLETRANSLATE(E64, ""en"", ""ur"")"),"ٹورنامنٹ کے قوانین کے مطابق کھیل شروع کرنے کے لیے کھلاڑیوں کی کم از کم تعداد کی ضرورت ہوتی ہے۔ اس کو پورا کرنے میں ناکامی کا نتیجہ ضائع ہو جاتا ہے۔")</f>
        <v>ٹورنامنٹ کے قوانین کے مطابق کھیل شروع کرنے کے لیے کھلاڑیوں کی کم از کم تعداد کی ضرورت ہوتی ہے۔ اس کو پورا کرنے میں ناکامی کا نتیجہ ضائع ہو جاتا ہے۔</v>
      </c>
    </row>
    <row r="65">
      <c r="A65" s="4">
        <v>64.0</v>
      </c>
      <c r="B65" s="5" t="s">
        <v>1333</v>
      </c>
      <c r="C65" s="5" t="s">
        <v>1334</v>
      </c>
      <c r="D65" s="5" t="s">
        <v>1335</v>
      </c>
      <c r="E65" s="5" t="s">
        <v>1336</v>
      </c>
      <c r="J65" s="6" t="str">
        <f>IFERROR(__xludf.DUMMYFUNCTION("GOOGLETRANSLATE(A65, ""en"", ""ur"")"),"64")</f>
        <v>64</v>
      </c>
      <c r="K65" s="6" t="str">
        <f>IFERROR(__xludf.DUMMYFUNCTION("GOOGLETRANSLATE(B65, ""en"", ""ur"")"),"بنیادی وجہ کیا ہے کہ ٹیم پر مبنی بزکشی (قراجائی) کو انفرادی طور پر سب کے لیے مفت (تودابارائی) سے زیادہ حکمت عملی سمجھا جاتا ہے؟")</f>
        <v>بنیادی وجہ کیا ہے کہ ٹیم پر مبنی بزکشی (قراجائی) کو انفرادی طور پر سب کے لیے مفت (تودابارائی) سے زیادہ حکمت عملی سمجھا جاتا ہے؟</v>
      </c>
      <c r="L65" s="6" t="str">
        <f>IFERROR(__xludf.DUMMYFUNCTION("GOOGLETRANSLATE(C65, ""en"", ""ur"")"),"A) یہ ایک بڑے میدان پر کھیلا جاتا ہے، B) اس میں مربوط جارحانہ اور دفاعی ڈرامے شامل ہوتے ہیں جیسے بلاک کرنا اور اسکورٹنگ، C) انعامات بڑے ہوتے ہیں، D) اس میں زیادہ ریفری ہوتے ہیں۔")</f>
        <v>A) یہ ایک بڑے میدان پر کھیلا جاتا ہے، B) اس میں مربوط جارحانہ اور دفاعی ڈرامے شامل ہوتے ہیں جیسے بلاک کرنا اور اسکورٹنگ، C) انعامات بڑے ہوتے ہیں، D) اس میں زیادہ ریفری ہوتے ہیں۔</v>
      </c>
      <c r="M65" s="6" t="str">
        <f>IFERROR(__xludf.DUMMYFUNCTION("GOOGLETRANSLATE(D65, ""en"", ""ur"")"),"ب) اس میں مربوط جارحانہ اور 'دفاعی ڈرامے جیسے بلاکنگ اور اسکورٹنگ شامل ہیں")</f>
        <v>ب) اس میں مربوط جارحانہ اور 'دفاعی ڈرامے جیسے بلاکنگ اور اسکورٹنگ شامل ہیں</v>
      </c>
      <c r="N65" s="6" t="str">
        <f>IFERROR(__xludf.DUMMYFUNCTION("GOOGLETRANSLATE(E65, ""en"", ""ur"")"),"ٹیم فارمیٹ حکمت عملی کی ایک گہری تہہ متعارف کراتی ہے جو سواروں کی انفرادی مہارت سے بالاتر ہے۔")</f>
        <v>ٹیم فارمیٹ حکمت عملی کی ایک گہری تہہ متعارف کراتی ہے جو سواروں کی انفرادی مہارت سے بالاتر ہے۔</v>
      </c>
    </row>
    <row r="66">
      <c r="A66" s="4">
        <v>65.0</v>
      </c>
      <c r="B66" s="5" t="s">
        <v>1337</v>
      </c>
      <c r="C66" s="5" t="s">
        <v>1338</v>
      </c>
      <c r="D66" s="5" t="s">
        <v>1339</v>
      </c>
      <c r="E66" s="5" t="s">
        <v>1340</v>
      </c>
      <c r="J66" s="6" t="str">
        <f>IFERROR(__xludf.DUMMYFUNCTION("GOOGLETRANSLATE(A66, ""en"", ""ur"")"),"65")</f>
        <v>65</v>
      </c>
      <c r="K66" s="6" t="str">
        <f>IFERROR(__xludf.DUMMYFUNCTION("GOOGLETRANSLATE(B66, ""en"", ""ur"")"),"ایک سوار کو کوڑے کا استعمال کرتے ہوئے دیکھا جاتا ہے جس کے آخر میں دھات کی زنجیر ہوتی ہے۔ اس کا کیا حکم ہے؟")</f>
        <v>ایک سوار کو کوڑے کا استعمال کرتے ہوئے دیکھا جاتا ہے جس کے آخر میں دھات کی زنجیر ہوتی ہے۔ اس کا کیا حکم ہے؟</v>
      </c>
      <c r="L66" s="6" t="str">
        <f>IFERROR(__xludf.DUMMYFUNCTION("GOOGLETRANSLATE(C66, ""en"", ""ur"")"),"A) یہ ایک قانونی، روایتی وہپ ہے، B) یہ غیر قانونی سامان ہے، اور سوار کو نااہل قرار دیا جاتا ہے، C) اس کی اجازت ہے، لیکن صرف کاٹھی پر استعمال کے لیے، D) ایک انتباہ جاری کیا جاتا ہے۔")</f>
        <v>A) یہ ایک قانونی، روایتی وہپ ہے، B) یہ غیر قانونی سامان ہے، اور سوار کو نااہل قرار دیا جاتا ہے، C) اس کی اجازت ہے، لیکن صرف کاٹھی پر استعمال کے لیے، D) ایک انتباہ جاری کیا جاتا ہے۔</v>
      </c>
      <c r="M66" s="6" t="str">
        <f>IFERROR(__xludf.DUMMYFUNCTION("GOOGLETRANSLATE(D66, ""en"", ""ur"")"),"ب) یہ غیر قانونی سامان ہے، اور سوار کو نااہل قرار دیا گیا ہے۔")</f>
        <v>ب) یہ غیر قانونی سامان ہے، اور سوار کو نااہل قرار دیا گیا ہے۔</v>
      </c>
      <c r="N66" s="6" t="str">
        <f>IFERROR(__xludf.DUMMYFUNCTION("GOOGLETRANSLATE(E66, ""en"", ""ur"")"),"کوڑے میں کوئی بھی ترمیم جو اسے زیادہ نقصان دہ ہتھیار میں بدل دیتی ہے ایک بڑا غلط ہے۔")</f>
        <v>کوڑے میں کوئی بھی ترمیم جو اسے زیادہ نقصان دہ ہتھیار میں بدل دیتی ہے ایک بڑا غلط ہے۔</v>
      </c>
    </row>
    <row r="67">
      <c r="A67" s="4">
        <v>66.0</v>
      </c>
      <c r="B67" s="5" t="s">
        <v>1341</v>
      </c>
      <c r="C67" s="5" t="s">
        <v>1342</v>
      </c>
      <c r="D67" s="5" t="s">
        <v>1343</v>
      </c>
      <c r="E67" s="5" t="s">
        <v>1344</v>
      </c>
      <c r="J67" s="6" t="str">
        <f>IFERROR(__xludf.DUMMYFUNCTION("GOOGLETRANSLATE(A67, ""en"", ""ur"")"),"66")</f>
        <v>66</v>
      </c>
      <c r="K67" s="6" t="str">
        <f>IFERROR(__xludf.DUMMYFUNCTION("GOOGLETRANSLATE(B67, ""en"", ""ur"")"),"گھوڑے کے لیے تربیت یافتہ ہونا کیوں ضروری ہے کہ وہ چابک سے نہ ڈرے؟")</f>
        <v>گھوڑے کے لیے تربیت یافتہ ہونا کیوں ضروری ہے کہ وہ چابک سے نہ ڈرے؟</v>
      </c>
      <c r="L67" s="6" t="str">
        <f>IFERROR(__xludf.DUMMYFUNCTION("GOOGLETRANSLATE(C67, ""en"", ""ur"")"),"A) لہذا سوار اسے زیادہ زور سے مار سکتا ہے، B) ایک گھوڑا جس کو چابک سے ڈر لگتا ہے کہ جب اسے اشارے کے لیے استعمال کیا جائے تو وہ گھبرا سکتا ہے یا بولٹ کر سکتا ہے، C) یہ اہم نہیں ہے، D) اس لیے چابک کو دوسرے گھوڑوں پر بھی استعمال کیا جا سکتا ہے۔")</f>
        <v>A) لہذا سوار اسے زیادہ زور سے مار سکتا ہے، B) ایک گھوڑا جس کو چابک سے ڈر لگتا ہے کہ جب اسے اشارے کے لیے استعمال کیا جائے تو وہ گھبرا سکتا ہے یا بولٹ کر سکتا ہے، C) یہ اہم نہیں ہے، D) اس لیے چابک کو دوسرے گھوڑوں پر بھی استعمال کیا جا سکتا ہے۔</v>
      </c>
      <c r="M67" s="6" t="str">
        <f>IFERROR(__xludf.DUMMYFUNCTION("GOOGLETRANSLATE(D67, ""en"", ""ur"")"),"ب) ایک گھوڑا جو کوڑے سے ڈرتا ہے جب اسے اشارے کے لیے استعمال کیا جائے تو وہ گھبرا سکتا ہے یا بولٹ سکتا ہے۔")</f>
        <v>ب) ایک گھوڑا جو کوڑے سے ڈرتا ہے جب اسے اشارے کے لیے استعمال کیا جائے تو وہ گھبرا سکتا ہے یا بولٹ سکتا ہے۔</v>
      </c>
      <c r="N67" s="6" t="str">
        <f>IFERROR(__xludf.DUMMYFUNCTION("GOOGLETRANSLATE(E67, ""en"", ""ur"")"),"کوڑا رہنمائی کا ایک ذریعہ ہے۔ گھوڑے کو سگنل کے طور پر جواب دینے کے لیے تربیت دی جانی چاہیے، خوف کے ساتھ رد عمل ظاہر کرنے کے لیے نہیں، جو اسے بے قابو کر دے گا۔")</f>
        <v>کوڑا رہنمائی کا ایک ذریعہ ہے۔ گھوڑے کو سگنل کے طور پر جواب دینے کے لیے تربیت دی جانی چاہیے، خوف کے ساتھ رد عمل ظاہر کرنے کے لیے نہیں، جو اسے بے قابو کر دے گا۔</v>
      </c>
    </row>
    <row r="68">
      <c r="A68" s="4">
        <v>67.0</v>
      </c>
      <c r="B68" s="5" t="s">
        <v>1345</v>
      </c>
      <c r="C68" s="5" t="s">
        <v>1346</v>
      </c>
      <c r="D68" s="5" t="s">
        <v>1347</v>
      </c>
      <c r="E68" s="5" t="s">
        <v>1348</v>
      </c>
      <c r="J68" s="6" t="str">
        <f>IFERROR(__xludf.DUMMYFUNCTION("GOOGLETRANSLATE(A68, ""en"", ""ur"")"),"67")</f>
        <v>67</v>
      </c>
      <c r="K68" s="6" t="str">
        <f>IFERROR(__xludf.DUMMYFUNCTION("GOOGLETRANSLATE(B68, ""en"", ""ur"")"),"روایتی، لمبے لحاف والے لباس کا کیا نام ہے جو کبھی کبھی سواروں کے تحفظ اور حیثیت کے لیے پہنا جاتا ہے؟")</f>
        <v>روایتی، لمبے لحاف والے لباس کا کیا نام ہے جو کبھی کبھی سواروں کے تحفظ اور حیثیت کے لیے پہنا جاتا ہے؟</v>
      </c>
      <c r="L68" s="6" t="str">
        <f>IFERROR(__xludf.DUMMYFUNCTION("GOOGLETRANSLATE(C68, ""en"", ""ur"")"),"A) سلوار قمیض، B) شیروانی، C) چپن، D) کرتہ")</f>
        <v>A) سلوار قمیض، B) شیروانی، C) چپن، D) کرتہ</v>
      </c>
      <c r="M68" s="6" t="str">
        <f>IFERROR(__xludf.DUMMYFUNCTION("GOOGLETRANSLATE(D68, ""en"", ""ur"")"),"ج) چاپان")</f>
        <v>ج) چاپان</v>
      </c>
      <c r="N68" s="6" t="str">
        <f>IFERROR(__xludf.DUMMYFUNCTION("GOOGLETRANSLATE(E68, ""en"", ""ur"")"),"چپن وسطی ایشیا کے لیے روایتی ایک بھاری، بولڈ کوٹ ہے جو حیثیت کی علامت اور حفاظتی لباس دونوں کے طور پر کام کرتا ہے۔")</f>
        <v>چپن وسطی ایشیا کے لیے روایتی ایک بھاری، بولڈ کوٹ ہے جو حیثیت کی علامت اور حفاظتی لباس دونوں کے طور پر کام کرتا ہے۔</v>
      </c>
    </row>
    <row r="69">
      <c r="A69" s="4">
        <v>68.0</v>
      </c>
      <c r="B69" s="5" t="s">
        <v>1349</v>
      </c>
      <c r="C69" s="5" t="s">
        <v>1350</v>
      </c>
      <c r="D69" s="5" t="s">
        <v>1351</v>
      </c>
      <c r="E69" s="5" t="s">
        <v>1352</v>
      </c>
      <c r="J69" s="6" t="str">
        <f>IFERROR(__xludf.DUMMYFUNCTION("GOOGLETRANSLATE(A69, ""en"", ""ur"")"),"68")</f>
        <v>68</v>
      </c>
      <c r="K69" s="6" t="str">
        <f>IFERROR(__xludf.DUMMYFUNCTION("GOOGLETRANSLATE(B69, ""en"", ""ur"")"),"اگر کوئی اسپانسر پہلے اسکور کے لیے بہت بڑا انعام (جیسے ایک نیا ٹرک) پیش کرتا ہے، تو یہ عام طور پر گیم کے آغاز پر کیسے اثر انداز ہوتا ہے؟")</f>
        <v>اگر کوئی اسپانسر پہلے اسکور کے لیے بہت بڑا انعام (جیسے ایک نیا ٹرک) پیش کرتا ہے، تو یہ عام طور پر گیم کے آغاز پر کیسے اثر انداز ہوتا ہے؟</v>
      </c>
      <c r="L69" s="6" t="str">
        <f>IFERROR(__xludf.DUMMYFUNCTION("GOOGLETRANSLATE(C69, ""en"", ""ur"")"),"A) آغاز زیادہ محتاط ہے، B) لاش کے لیے ابتدائی اسکرم غیر معمولی طور پر شدید اور افراتفری کا حامل ہے، C) سوار انعام بانٹنے کا فیصلہ کرتے ہیں، D) اس کا کوئی اثر نہیں ہوتا")</f>
        <v>A) آغاز زیادہ محتاط ہے، B) لاش کے لیے ابتدائی اسکرم غیر معمولی طور پر شدید اور افراتفری کا حامل ہے، C) سوار انعام بانٹنے کا فیصلہ کرتے ہیں، D) اس کا کوئی اثر نہیں ہوتا</v>
      </c>
      <c r="M69" s="6" t="str">
        <f>IFERROR(__xludf.DUMMYFUNCTION("GOOGLETRANSLATE(D69, ""en"", ""ur"")"),"ب) لاش کے لیے ابتدائی اسکرم غیر معمولی طور پر شدید اور افراتفری کا ہوتا ہے۔")</f>
        <v>ب) لاش کے لیے ابتدائی اسکرم غیر معمولی طور پر شدید اور افراتفری کا ہوتا ہے۔</v>
      </c>
      <c r="N69" s="6" t="str">
        <f>IFERROR(__xludf.DUMMYFUNCTION("GOOGLETRANSLATE(E69, ""en"", ""ur"")"),"پہلے پوائنٹ کے لیے ایک قیمتی انعام ہر سوار کے لیے شروع سے ہی انتہائی جارحانہ ہونے کی زبردست ترغیب دیتا ہے۔")</f>
        <v>پہلے پوائنٹ کے لیے ایک قیمتی انعام ہر سوار کے لیے شروع سے ہی انتہائی جارحانہ ہونے کی زبردست ترغیب دیتا ہے۔</v>
      </c>
    </row>
    <row r="70">
      <c r="A70" s="4">
        <v>69.0</v>
      </c>
      <c r="B70" s="5" t="s">
        <v>1313</v>
      </c>
      <c r="C70" s="5" t="s">
        <v>1353</v>
      </c>
      <c r="D70" s="5" t="s">
        <v>1315</v>
      </c>
      <c r="E70" s="5" t="s">
        <v>1316</v>
      </c>
      <c r="J70" s="6" t="str">
        <f>IFERROR(__xludf.DUMMYFUNCTION("GOOGLETRANSLATE(A70, ""en"", ""ur"")"),"69")</f>
        <v>69</v>
      </c>
      <c r="K70" s="6" t="str">
        <f>IFERROR(__xludf.DUMMYFUNCTION("GOOGLETRANSLATE(B70, ""en"", ""ur"")"),"سوار کے گھوڑے کا ""سخت منہ"" ہوتا ہے۔ سوار کے لیے اس کا کیا مطلب ہے؟")</f>
        <v>سوار کے گھوڑے کا "سخت منہ" ہوتا ہے۔ سوار کے لیے اس کا کیا مطلب ہے؟</v>
      </c>
      <c r="L70" s="6" t="str">
        <f>IFERROR(__xludf.DUMMYFUNCTION("GOOGLETRANSLATE(C70, ""en"", ""ur"")"),"A) گھوڑا لگام کے لئے بہت جوابدہ ہے، B) گھوڑا لگام لگانے کے لئے غیر ذمہ دار ہے اور اس پر قابو پانا مشکل ہے، C) گھوڑا دوسرے گھوڑوں کو کاٹتا ہے، D) گھوڑے کے مضبوط دانت ہیں")</f>
        <v>A) گھوڑا لگام کے لئے بہت جوابدہ ہے، B) گھوڑا لگام لگانے کے لئے غیر ذمہ دار ہے اور اس پر قابو پانا مشکل ہے، C) گھوڑا دوسرے گھوڑوں کو کاٹتا ہے، D) گھوڑے کے مضبوط دانت ہیں</v>
      </c>
      <c r="M70" s="6" t="str">
        <f>IFERROR(__xludf.DUMMYFUNCTION("GOOGLETRANSLATE(D70, ""en"", ""ur"")"),"ب) گھوڑا اشاروں کو لگام دینے کے لیے غیر جوابدہ ہے اور اس پر قابو پانا مشکل ہے۔")</f>
        <v>ب) گھوڑا اشاروں کو لگام دینے کے لیے غیر جوابدہ ہے اور اس پر قابو پانا مشکل ہے۔</v>
      </c>
      <c r="N70" s="6" t="str">
        <f>IFERROR(__xludf.DUMMYFUNCTION("GOOGLETRANSLATE(E70, ""en"", ""ur"")"),"ایک ""سخت منہ"" ایک منفی خصلت ہے، جس سے یہ ظاہر ہوتا ہے کہ گھوڑا سوار کے اشاروں کو نظر انداز کرتا ہے، جس سے یہ بزکشی جیسے تکنیکی کھیل کے لیے ناقص ماؤنٹ ہے۔")</f>
        <v>ایک "سخت منہ" ایک منفی خصلت ہے، جس سے یہ ظاہر ہوتا ہے کہ گھوڑا سوار کے اشاروں کو نظر انداز کرتا ہے، جس سے یہ بزکشی جیسے تکنیکی کھیل کے لیے ناقص ماؤنٹ ہے۔</v>
      </c>
    </row>
    <row r="71">
      <c r="A71" s="4">
        <v>70.0</v>
      </c>
      <c r="B71" s="5" t="s">
        <v>1354</v>
      </c>
      <c r="C71" s="5" t="s">
        <v>1355</v>
      </c>
      <c r="D71" s="5" t="s">
        <v>1356</v>
      </c>
      <c r="E71" s="5" t="s">
        <v>1357</v>
      </c>
      <c r="J71" s="6" t="str">
        <f>IFERROR(__xludf.DUMMYFUNCTION("GOOGLETRANSLATE(A71, ""en"", ""ur"")"),"70")</f>
        <v>70</v>
      </c>
      <c r="K71" s="6" t="str">
        <f>IFERROR(__xludf.DUMMYFUNCTION("GOOGLETRANSLATE(B71, ""en"", ""ur"")"),"پشتون ثقافت میں اکثر شادیوں میں کھیلے جانے والے کھیل کی ثقافتی اہمیت کیا ہے؟")</f>
        <v>پشتون ثقافت میں اکثر شادیوں میں کھیلے جانے والے کھیل کی ثقافتی اہمیت کیا ہے؟</v>
      </c>
      <c r="L71" s="6" t="str">
        <f>IFERROR(__xludf.DUMMYFUNCTION("GOOGLETRANSLATE(C71, ""en"", ""ur"")"),"A) یہ مہمانوں کے لیے تفریح ​​کی ایک شکل ہے، B) یہ خاندانوں کی طاقت، دولت اور عزت کی نمائش ہے، C) یہ شوہر کے انتخاب کا ایک طریقہ ہے، D) یہ ایک ضروری مذہبی تقریب ہے۔")</f>
        <v>A) یہ مہمانوں کے لیے تفریح ​​کی ایک شکل ہے، B) یہ خاندانوں کی طاقت، دولت اور عزت کی نمائش ہے، C) یہ شوہر کے انتخاب کا ایک طریقہ ہے، D) یہ ایک ضروری مذہبی تقریب ہے۔</v>
      </c>
      <c r="M71" s="6" t="str">
        <f>IFERROR(__xludf.DUMMYFUNCTION("GOOGLETRANSLATE(D71, ""en"", ""ur"")"),"ب) یہ خاندانوں کی طاقت، دولت اور عزت کی نمائش ہے۔")</f>
        <v>ب) یہ خاندانوں کی طاقت، دولت اور عزت کی نمائش ہے۔</v>
      </c>
      <c r="N71" s="6" t="str">
        <f>IFERROR(__xludf.DUMMYFUNCTION("GOOGLETRANSLATE(E71, ""en"", ""ur"")"),"ایک بڑے بزکشی میچ کی میزبانی ایک اہم اور باوقار تقریب ہے جو اس میں شامل خاندانوں کی حیثیت کو ظاہر کرتی ہے۔")</f>
        <v>ایک بڑے بزکشی میچ کی میزبانی ایک اہم اور باوقار تقریب ہے جو اس میں شامل خاندانوں کی حیثیت کو ظاہر کرتی ہے۔</v>
      </c>
    </row>
    <row r="72">
      <c r="A72" s="4">
        <v>71.0</v>
      </c>
      <c r="B72" s="5" t="s">
        <v>1358</v>
      </c>
      <c r="C72" s="5" t="s">
        <v>1359</v>
      </c>
      <c r="D72" s="5" t="s">
        <v>1360</v>
      </c>
      <c r="E72" s="5" t="s">
        <v>1361</v>
      </c>
      <c r="J72" s="6" t="str">
        <f>IFERROR(__xludf.DUMMYFUNCTION("GOOGLETRANSLATE(A72, ""en"", ""ur"")"),"71")</f>
        <v>71</v>
      </c>
      <c r="K72" s="6" t="str">
        <f>IFERROR(__xludf.DUMMYFUNCTION("GOOGLETRANSLATE(B72, ""en"", ""ur"")"),"ایک سوار کامیابی سے لاش کو گول کرنے والے دائرے میں حاصل کرتا ہے، لیکن آخری سیٹی اس وقت بجی جب سوار اپنے راستے پر تھا۔ کیا اسکور شمار ہوتا ہے؟")</f>
        <v>ایک سوار کامیابی سے لاش کو گول کرنے والے دائرے میں حاصل کرتا ہے، لیکن آخری سیٹی اس وقت بجی جب سوار اپنے راستے پر تھا۔ کیا اسکور شمار ہوتا ہے؟</v>
      </c>
      <c r="L72" s="6" t="str">
        <f>IFERROR(__xludf.DUMMYFUNCTION("GOOGLETRANSLATE(C72, ""en"", ""ur"")"),"A) ہاں، ڈرامے کو مکمل کرنے کی اجازت ہے، B) نہیں، وقت ختم ہونے سے پہلے اسکور بنانا ضروری ہے، C) سوار کو آدھا پوائنٹ مل جاتا ہے، D) ٹیمیں اوور ٹائم راؤنڈ کھیلتی ہیں۔")</f>
        <v>A) ہاں، ڈرامے کو مکمل کرنے کی اجازت ہے، B) نہیں، وقت ختم ہونے سے پہلے اسکور بنانا ضروری ہے، C) سوار کو آدھا پوائنٹ مل جاتا ہے، D) ٹیمیں اوور ٹائم راؤنڈ کھیلتی ہیں۔</v>
      </c>
      <c r="M72" s="6" t="str">
        <f>IFERROR(__xludf.DUMMYFUNCTION("GOOGLETRANSLATE(D72, ""en"", ""ur"")"),"ب) نہیں، وقت ختم ہونے سے پہلے سکور بنانا ضروری ہے۔")</f>
        <v>ب) نہیں، وقت ختم ہونے سے پہلے سکور بنانا ضروری ہے۔</v>
      </c>
      <c r="N72" s="6" t="str">
        <f>IFERROR(__xludf.DUMMYFUNCTION("GOOGLETRANSLATE(E72, ""en"", ""ur"")"),"کچھ کھیلوں کے برعکس، آخری سیٹی بجنے پر کھیل ختم ہو جاتا ہے۔ سیٹی بجانے کے بعد مکمل کیا گیا کوئی عمل باطل ہے۔")</f>
        <v>کچھ کھیلوں کے برعکس، آخری سیٹی بجنے پر کھیل ختم ہو جاتا ہے۔ سیٹی بجانے کے بعد مکمل کیا گیا کوئی عمل باطل ہے۔</v>
      </c>
    </row>
    <row r="73">
      <c r="A73" s="4">
        <v>72.0</v>
      </c>
      <c r="B73" s="5" t="s">
        <v>1362</v>
      </c>
      <c r="C73" s="5" t="s">
        <v>1363</v>
      </c>
      <c r="D73" s="5" t="s">
        <v>1364</v>
      </c>
      <c r="E73" s="5" t="s">
        <v>1365</v>
      </c>
      <c r="J73" s="6" t="str">
        <f>IFERROR(__xludf.DUMMYFUNCTION("GOOGLETRANSLATE(A73, ""en"", ""ur"")"),"72")</f>
        <v>72</v>
      </c>
      <c r="K73" s="6" t="str">
        <f>IFERROR(__xludf.DUMMYFUNCTION("GOOGLETRANSLATE(B73, ""en"", ""ur"")"),"چھپے ہوئے تیز دھار کے ساتھ کاٹھی استعمال کرنے پر سوار کو نااہل قرار دیا جاتا ہے۔ یہ ایک سنگین غلطی کیوں ہے؟")</f>
        <v>چھپے ہوئے تیز دھار کے ساتھ کاٹھی استعمال کرنے پر سوار کو نااہل قرار دیا جاتا ہے۔ یہ ایک سنگین غلطی کیوں ہے؟</v>
      </c>
      <c r="L73" s="6" t="str">
        <f>IFERROR(__xludf.DUMMYFUNCTION("GOOGLETRANSLATE(C73, ""en"", ""ur"")"),"A) یہ لاش کو نقصان پہنچا سکتا ہے، B) اسے مخالف گھوڑوں اور سواروں کو زخمی کرنے کے لیے بطور ہتھیار استعمال کیا جا سکتا ہے، C) یہ روایتی کاٹھی نہیں ہے، D) یہ اضافی وزن بڑھاتا ہے۔")</f>
        <v>A) یہ لاش کو نقصان پہنچا سکتا ہے، B) اسے مخالف گھوڑوں اور سواروں کو زخمی کرنے کے لیے بطور ہتھیار استعمال کیا جا سکتا ہے، C) یہ روایتی کاٹھی نہیں ہے، D) یہ اضافی وزن بڑھاتا ہے۔</v>
      </c>
      <c r="M73" s="6" t="str">
        <f>IFERROR(__xludf.DUMMYFUNCTION("GOOGLETRANSLATE(D73, ""en"", ""ur"")"),"ب) اسے مخالف گھوڑوں اور سواروں کو زخمی کرنے کے لیے بطور ہتھیار استعمال کیا جا سکتا ہے۔")</f>
        <v>ب) اسے مخالف گھوڑوں اور سواروں کو زخمی کرنے کے لیے بطور ہتھیار استعمال کیا جا سکتا ہے۔</v>
      </c>
      <c r="N73" s="6" t="str">
        <f>IFERROR(__xludf.DUMMYFUNCTION("GOOGLETRANSLATE(E73, ""en"", ""ur"")"),"ہتھیار بنانے کے لیے ساز و سامان کے ساتھ چھیڑ چھاڑ حفاظت اور کھیلوں کی مہارت کی بڑی خلاف ورزی ہے۔")</f>
        <v>ہتھیار بنانے کے لیے ساز و سامان کے ساتھ چھیڑ چھاڑ حفاظت اور کھیلوں کی مہارت کی بڑی خلاف ورزی ہے۔</v>
      </c>
    </row>
    <row r="74">
      <c r="A74" s="4">
        <v>73.0</v>
      </c>
      <c r="B74" s="5" t="s">
        <v>1366</v>
      </c>
      <c r="C74" s="5" t="s">
        <v>1367</v>
      </c>
      <c r="D74" s="5" t="s">
        <v>1368</v>
      </c>
      <c r="E74" s="5" t="s">
        <v>1369</v>
      </c>
      <c r="J74" s="6" t="str">
        <f>IFERROR(__xludf.DUMMYFUNCTION("GOOGLETRANSLATE(A74, ""en"", ""ur"")"),"73")</f>
        <v>73</v>
      </c>
      <c r="K74" s="6" t="str">
        <f>IFERROR(__xludf.DUMMYFUNCTION("GOOGLETRANSLATE(B74, ""en"", ""ur"")"),"کھیل کے قاراجئی ورژن میں پرچم یا عالم کا کیا کردار ہے؟")</f>
        <v>کھیل کے قاراجئی ورژن میں پرچم یا عالم کا کیا کردار ہے؟</v>
      </c>
      <c r="L74" s="6" t="str">
        <f>IFERROR(__xludf.DUMMYFUNCTION("GOOGLETRANSLATE(C74, ""en"", ""ur"")"),"A) یہ نقطہ آغاز ہے، B) یہ ایک ٹرننگ مارکر ہے جس پر سوار کو گول کرنے سے پہلے اس کے ارد گرد جانا ضروری ہے، C) یہ اسپانسر کرنے والے قبیلے کی علامت ہے، D) یہ خود گول کرنے والا گول ہے۔")</f>
        <v>A) یہ نقطہ آغاز ہے، B) یہ ایک ٹرننگ مارکر ہے جس پر سوار کو گول کرنے سے پہلے اس کے ارد گرد جانا ضروری ہے، C) یہ اسپانسر کرنے والے قبیلے کی علامت ہے، D) یہ خود گول کرنے والا گول ہے۔</v>
      </c>
      <c r="M74" s="6" t="str">
        <f>IFERROR(__xludf.DUMMYFUNCTION("GOOGLETRANSLATE(D74, ""en"", ""ur"")"),"ب) یہ ایک ٹرننگ مارکر ہے کہ ایک سوار کو گول کرنے سے پہلے اس کے ارد گرد جانا ضروری ہے۔")</f>
        <v>ب) یہ ایک ٹرننگ مارکر ہے کہ ایک سوار کو گول کرنے سے پہلے اس کے ارد گرد جانا ضروری ہے۔</v>
      </c>
      <c r="N74" s="6" t="str">
        <f>IFERROR(__xludf.DUMMYFUNCTION("GOOGLETRANSLATE(E74, ""en"", ""ur"")"),"کورس کی تعریف ابتدائی دائرے، جھنڈے اور اسکورنگ دائرے سے ہوتی ہے۔ درست اسکورنگ رن حاصل کرنے کے لیے سوار کو جھنڈا پاس کرنا چاہیے۔")</f>
        <v>کورس کی تعریف ابتدائی دائرے، جھنڈے اور اسکورنگ دائرے سے ہوتی ہے۔ درست اسکورنگ رن حاصل کرنے کے لیے سوار کو جھنڈا پاس کرنا چاہیے۔</v>
      </c>
    </row>
    <row r="75">
      <c r="A75" s="4">
        <v>74.0</v>
      </c>
      <c r="B75" s="5" t="s">
        <v>1370</v>
      </c>
      <c r="C75" s="5" t="s">
        <v>1371</v>
      </c>
      <c r="D75" s="5" t="s">
        <v>1372</v>
      </c>
      <c r="E75" s="5" t="s">
        <v>1373</v>
      </c>
      <c r="J75" s="6" t="str">
        <f>IFERROR(__xludf.DUMMYFUNCTION("GOOGLETRANSLATE(A75, ""en"", ""ur"")"),"74")</f>
        <v>74</v>
      </c>
      <c r="K75" s="6" t="str">
        <f>IFERROR(__xludf.DUMMYFUNCTION("GOOGLETRANSLATE(B75, ""en"", ""ur"")"),"گھوڑا اسکرم میں داخل ہونے سے انکار کرتا ہے۔ یہ گھوڑے کے بارے میں کیا اشارہ کرتا ہے؟")</f>
        <v>گھوڑا اسکرم میں داخل ہونے سے انکار کرتا ہے۔ یہ گھوڑے کے بارے میں کیا اشارہ کرتا ہے؟</v>
      </c>
      <c r="L75" s="6" t="str">
        <f>IFERROR(__xludf.DUMMYFUNCTION("GOOGLETRANSLATE(C75, ""en"", ""ur"")"),"A) گھوڑا ذہین اور خطرے سے بچنے والا ہے، B) گھوڑے میں کھیل کی ہمت یا تربیت کی کمی ہے، C) گھوڑا تھکا ہوا ہے، D) گھوڑا اپنے سوار کو ناپسند کرتا ہے۔")</f>
        <v>A) گھوڑا ذہین اور خطرے سے بچنے والا ہے، B) گھوڑے میں کھیل کی ہمت یا تربیت کی کمی ہے، C) گھوڑا تھکا ہوا ہے، D) گھوڑا اپنے سوار کو ناپسند کرتا ہے۔</v>
      </c>
      <c r="M75" s="6" t="str">
        <f>IFERROR(__xludf.DUMMYFUNCTION("GOOGLETRANSLATE(D75, ""en"", ""ur"")"),"ب) گھوڑے میں کھیل کے لیے ہمت یا تربیت کی کمی ہے۔")</f>
        <v>ب) گھوڑے میں کھیل کے لیے ہمت یا تربیت کی کمی ہے۔</v>
      </c>
      <c r="N75" s="6" t="str">
        <f>IFERROR(__xludf.DUMMYFUNCTION("GOOGLETRANSLATE(E75, ""en"", ""ur"")"),"بزکشی گھوڑے کی ایک اہم خصوصیت اس کا ""دل"" یا بہادری ہے۔ ایک گھوڑا جو لڑائی سے دور ہو جائے کھیل کے لیے موزوں نہیں ہے۔")</f>
        <v>بزکشی گھوڑے کی ایک اہم خصوصیت اس کا "دل" یا بہادری ہے۔ ایک گھوڑا جو لڑائی سے دور ہو جائے کھیل کے لیے موزوں نہیں ہے۔</v>
      </c>
    </row>
    <row r="76">
      <c r="A76" s="4">
        <v>75.0</v>
      </c>
      <c r="B76" s="5" t="s">
        <v>1374</v>
      </c>
      <c r="C76" s="5" t="s">
        <v>1375</v>
      </c>
      <c r="D76" s="5" t="s">
        <v>1376</v>
      </c>
      <c r="E76" s="5" t="s">
        <v>1377</v>
      </c>
      <c r="J76" s="6" t="str">
        <f>IFERROR(__xludf.DUMMYFUNCTION("GOOGLETRANSLATE(A76, ""en"", ""ur"")"),"75")</f>
        <v>75</v>
      </c>
      <c r="K76" s="6" t="str">
        <f>IFERROR(__xludf.DUMMYFUNCTION("GOOGLETRANSLATE(B76, ""en"", ""ur"")"),"ایک رسمی میچ میں، اس سوار کے لیے کیا جرمانہ ہے جس نے مطلوبہ ٹیم سیش یا جرسی نہیں پہنی ہو؟")</f>
        <v>ایک رسمی میچ میں، اس سوار کے لیے کیا جرمانہ ہے جس نے مطلوبہ ٹیم سیش یا جرسی نہیں پہنی ہو؟</v>
      </c>
      <c r="L76" s="6" t="str">
        <f>IFERROR(__xludf.DUMMYFUNCTION("GOOGLETRANSLATE(C76, ""en"", ""ur"")"),"A) انہیں میچ شروع کرنے کی اجازت نہیں ہے، B) انہیں ایک پوائنٹ کی سزا دی جاتی ہے، C) اس سے کوئی فرق نہیں پڑتا ہے کہ وہ کیا پہنتے ہیں، D) انہیں ایک دوسرے کھلاڑی سے قرض لینا چاہیے۔")</f>
        <v>A) انہیں میچ شروع کرنے کی اجازت نہیں ہے، B) انہیں ایک پوائنٹ کی سزا دی جاتی ہے، C) اس سے کوئی فرق نہیں پڑتا ہے کہ وہ کیا پہنتے ہیں، D) انہیں ایک دوسرے کھلاڑی سے قرض لینا چاہیے۔</v>
      </c>
      <c r="M76" s="6" t="str">
        <f>IFERROR(__xludf.DUMMYFUNCTION("GOOGLETRANSLATE(D76, ""en"", ""ur"")"),"ا) انہیں میچ شروع کرنے کی اجازت نہیں ہے۔")</f>
        <v>ا) انہیں میچ شروع کرنے کی اجازت نہیں ہے۔</v>
      </c>
      <c r="N76" s="6" t="str">
        <f>IFERROR(__xludf.DUMMYFUNCTION("GOOGLETRANSLATE(E76, ""en"", ""ur"")"),"ریفریوں کی طرف سے شناخت کے لیے مناسب یونیفارم ضروری ہے۔ ایک کھلاڑی اس کے بغیر مقابلہ نہیں کر سکتا۔")</f>
        <v>ریفریوں کی طرف سے شناخت کے لیے مناسب یونیفارم ضروری ہے۔ ایک کھلاڑی اس کے بغیر مقابلہ نہیں کر سکتا۔</v>
      </c>
    </row>
    <row r="77">
      <c r="A77" s="4">
        <v>76.0</v>
      </c>
      <c r="B77" s="5" t="s">
        <v>1378</v>
      </c>
      <c r="C77" s="5" t="s">
        <v>1379</v>
      </c>
      <c r="D77" s="5" t="s">
        <v>1157</v>
      </c>
      <c r="E77" s="5" t="s">
        <v>1158</v>
      </c>
      <c r="J77" s="6" t="str">
        <f>IFERROR(__xludf.DUMMYFUNCTION("GOOGLETRANSLATE(A77, ""en"", ""ur"")"),"76")</f>
        <v>76</v>
      </c>
      <c r="K77" s="6" t="str">
        <f>IFERROR(__xludf.DUMMYFUNCTION("GOOGLETRANSLATE(B77, ""en"", ""ur"")"),"ایک کھلاڑی کو ""خطرناک سواری"" کے لیے نااہل قرار دیا جاتا ہے۔ ان میں سے کون سا عمل اہل ہوگا؟")</f>
        <v>ایک کھلاڑی کو "خطرناک سواری" کے لیے نااہل قرار دیا جاتا ہے۔ ان میں سے کون سا عمل اہل ہوگا؟</v>
      </c>
      <c r="L77" s="6" t="str">
        <f>IFERROR(__xludf.DUMMYFUNCTION("GOOGLETRANSLATE(C77, ""en"", ""ur"")"),"A) بہت تیز سواری کرنا، B) جان بوجھ کر گرے ہوئے سوار میں سوار ہونا، C) بہت زیادہ سکور کا جشن منانا، D) مختصر چابک کا استعمال")</f>
        <v>A) بہت تیز سواری کرنا، B) جان بوجھ کر گرے ہوئے سوار میں سوار ہونا، C) بہت زیادہ سکور کا جشن منانا، D) مختصر چابک کا استعمال</v>
      </c>
      <c r="M77" s="6" t="str">
        <f>IFERROR(__xludf.DUMMYFUNCTION("GOOGLETRANSLATE(D77, ""en"", ""ur"")"),"ب) جان بوجھ کر گرے ہوئے سوار میں سوار ہونا")</f>
        <v>ب) جان بوجھ کر گرے ہوئے سوار میں سوار ہونا</v>
      </c>
      <c r="N77" s="6" t="str">
        <f>IFERROR(__xludf.DUMMYFUNCTION("GOOGLETRANSLATE(E77, ""en"", ""ur"")"),"کوئی بھی عمل جو دوسرے کھلاڑیوں یا گھوڑوں کی حفاظت کے لیے جان بوجھ کر نظر انداز کرتا ہے اسے خطرناک سواری سمجھا جاتا ہے اور یہ ایک بڑا فاؤل ہے۔")</f>
        <v>کوئی بھی عمل جو دوسرے کھلاڑیوں یا گھوڑوں کی حفاظت کے لیے جان بوجھ کر نظر انداز کرتا ہے اسے خطرناک سواری سمجھا جاتا ہے اور یہ ایک بڑا فاؤل ہے۔</v>
      </c>
    </row>
    <row r="78">
      <c r="A78" s="4">
        <v>77.0</v>
      </c>
      <c r="B78" s="5" t="s">
        <v>1380</v>
      </c>
      <c r="C78" s="5" t="s">
        <v>1381</v>
      </c>
      <c r="D78" s="5" t="s">
        <v>1382</v>
      </c>
      <c r="E78" s="5" t="s">
        <v>1383</v>
      </c>
      <c r="J78" s="6" t="str">
        <f>IFERROR(__xludf.DUMMYFUNCTION("GOOGLETRANSLATE(A78, ""en"", ""ur"")"),"77")</f>
        <v>77</v>
      </c>
      <c r="K78" s="6" t="str">
        <f>IFERROR(__xludf.DUMMYFUNCTION("GOOGLETRANSLATE(B78, ""en"", ""ur"")"),"ایک سوار کامیابی کے ساتھ اسکور کرتا ہے، لیکن پایا جاتا ہے کہ اس نے اپنی کلائی سے چابک باندھ رکھا ہے۔ یہ غلط اسکور کو کیوں باطل کر دے گا؟")</f>
        <v>ایک سوار کامیابی کے ساتھ اسکور کرتا ہے، لیکن پایا جاتا ہے کہ اس نے اپنی کلائی سے چابک باندھ رکھا ہے۔ یہ غلط اسکور کو کیوں باطل کر دے گا؟</v>
      </c>
      <c r="L78" s="6" t="str">
        <f>IFERROR(__xludf.DUMMYFUNCTION("GOOGLETRANSLATE(C78, ""en"", ""ur"")"),"A) یہ فاؤل نہیں ہے، B) یہ کوڑے کو گرنے سے روکتا ہے، غیر منصفانہ فائدہ دیتا ہے، C) یہ خطرناک ہے کیونکہ سوار گرنے سے الجھ سکتا ہے، D) B اور C دونوں")</f>
        <v>A) یہ فاؤل نہیں ہے، B) یہ کوڑے کو گرنے سے روکتا ہے، غیر منصفانہ فائدہ دیتا ہے، C) یہ خطرناک ہے کیونکہ سوار گرنے سے الجھ سکتا ہے، D) B اور C دونوں</v>
      </c>
      <c r="M78" s="6" t="str">
        <f>IFERROR(__xludf.DUMMYFUNCTION("GOOGLETRANSLATE(D78, ""en"", ""ur"")"),"D) B اور C دونوں")</f>
        <v>D) B اور C دونوں</v>
      </c>
      <c r="N78" s="6" t="str">
        <f>IFERROR(__xludf.DUMMYFUNCTION("GOOGLETRANSLATE(E78, ""en"", ""ur"")"),"کوڑے کو باندھنا ایک غیر قانونی ترمیم ہے جو ایک غیر منصفانہ فائدہ ہے (اسے غیر مسلح نہیں کیا جا سکتا) اور ایک سنگین حفاظتی خطرہ ہے۔")</f>
        <v>کوڑے کو باندھنا ایک غیر قانونی ترمیم ہے جو ایک غیر منصفانہ فائدہ ہے (اسے غیر مسلح نہیں کیا جا سکتا) اور ایک سنگین حفاظتی خطرہ ہے۔</v>
      </c>
    </row>
    <row r="79">
      <c r="A79" s="4">
        <v>78.0</v>
      </c>
      <c r="B79" s="5" t="s">
        <v>1384</v>
      </c>
      <c r="C79" s="5" t="s">
        <v>1385</v>
      </c>
      <c r="D79" s="5" t="s">
        <v>1386</v>
      </c>
      <c r="E79" s="5" t="s">
        <v>1387</v>
      </c>
      <c r="J79" s="6" t="str">
        <f>IFERROR(__xludf.DUMMYFUNCTION("GOOGLETRANSLATE(A79, ""en"", ""ur"")"),"78")</f>
        <v>78</v>
      </c>
      <c r="K79" s="6" t="str">
        <f>IFERROR(__xludf.DUMMYFUNCTION("GOOGLETRANSLATE(B79, ""en"", ""ur"")"),"ایک سوار کو ان کے گھوڑے کے ""نرم منہ"" کے لیے سراہا جاتا ہے۔ اس کا کیا مطلب ہے؟")</f>
        <v>ایک سوار کو ان کے گھوڑے کے "نرم منہ" کے لیے سراہا جاتا ہے۔ اس کا کیا مطلب ہے؟</v>
      </c>
      <c r="L79" s="6" t="str">
        <f>IFERROR(__xludf.DUMMYFUNCTION("GOOGLETRANSLATE(C79, ""en"", ""ur"")"),"A) گھوڑے کے دانت کمزور ہیں، B) گھوڑا لگام سے نرم اشارے پر بہت زیادہ جوابدہ ہے، C) گھوڑا نہیں کاٹتا، D) گھوڑا نرم کھانا کھاتا ہے")</f>
        <v>A) گھوڑے کے دانت کمزور ہیں، B) گھوڑا لگام سے نرم اشارے پر بہت زیادہ جوابدہ ہے، C) گھوڑا نہیں کاٹتا، D) گھوڑا نرم کھانا کھاتا ہے</v>
      </c>
      <c r="M79" s="6" t="str">
        <f>IFERROR(__xludf.DUMMYFUNCTION("GOOGLETRANSLATE(D79, ""en"", ""ur"")"),"ب) گھوڑا لگام سے نرم اشارے کے لئے بہت جوابدہ ہے۔")</f>
        <v>ب) گھوڑا لگام سے نرم اشارے کے لئے بہت جوابدہ ہے۔</v>
      </c>
      <c r="N79" s="6" t="str">
        <f>IFERROR(__xludf.DUMMYFUNCTION("GOOGLETRANSLATE(E79, ""en"", ""ur"")"),"ایک ""نرم منہ"" ایک اچھی طرح سے تربیت یافتہ گھوڑے کی علامت ہے جو ٹھیک ٹھیک اشاروں سے رہنمائی کی جا سکتی ہے، جو اس وقت اہم ہوتا ہے جب سوار کے ہاتھ پر قبضہ ہوتا ہے۔")</f>
        <v>ایک "نرم منہ" ایک اچھی طرح سے تربیت یافتہ گھوڑے کی علامت ہے جو ٹھیک ٹھیک اشاروں سے رہنمائی کی جا سکتی ہے، جو اس وقت اہم ہوتا ہے جب سوار کے ہاتھ پر قبضہ ہوتا ہے۔</v>
      </c>
    </row>
    <row r="80">
      <c r="A80" s="4">
        <v>79.0</v>
      </c>
      <c r="B80" s="5" t="s">
        <v>1388</v>
      </c>
      <c r="C80" s="5" t="s">
        <v>1389</v>
      </c>
      <c r="D80" s="5" t="s">
        <v>1390</v>
      </c>
      <c r="E80" s="5" t="s">
        <v>1391</v>
      </c>
      <c r="J80" s="6" t="str">
        <f>IFERROR(__xludf.DUMMYFUNCTION("GOOGLETRANSLATE(A80, ""en"", ""ur"")"),"79")</f>
        <v>79</v>
      </c>
      <c r="K80" s="6" t="str">
        <f>IFERROR(__xludf.DUMMYFUNCTION("GOOGLETRANSLATE(B80, ""en"", ""ur"")"),"اونچی پشت والی کاٹھی، یا کینٹل کا بنیادی مقصد کیا ہے؟")</f>
        <v>اونچی پشت والی کاٹھی، یا کینٹل کا بنیادی مقصد کیا ہے؟</v>
      </c>
      <c r="L80" s="6" t="str">
        <f>IFERROR(__xludf.DUMMYFUNCTION("GOOGLETRANSLATE(C80, ""en"", ""ur"")"),"A) سجاوٹ کے لیے جگہ فراہم کرنے کے لیے، B) بھاری لاش کو کھینچتے وقت سوار کو پیچھے کی طرف پھسلنے سے روکنے کے لیے، C) سوار کو لمبا بیٹھنے کے لیے، D) یہ خالصتاً کاسمیٹک ہے۔")</f>
        <v>A) سجاوٹ کے لیے جگہ فراہم کرنے کے لیے، B) بھاری لاش کو کھینچتے وقت سوار کو پیچھے کی طرف پھسلنے سے روکنے کے لیے، C) سوار کو لمبا بیٹھنے کے لیے، D) یہ خالصتاً کاسمیٹک ہے۔</v>
      </c>
      <c r="M80" s="6" t="str">
        <f>IFERROR(__xludf.DUMMYFUNCTION("GOOGLETRANSLATE(D80, ""en"", ""ur"")"),"ب) بھاری لاش کو کھینچتے وقت سوار کو پیچھے کی طرف پھسلنے سے روکنا")</f>
        <v>ب) بھاری لاش کو کھینچتے وقت سوار کو پیچھے کی طرف پھسلنے سے روکنا</v>
      </c>
      <c r="N80" s="6" t="str">
        <f>IFERROR(__xludf.DUMMYFUNCTION("GOOGLETRANSLATE(E80, ""en"", ""ur"")"),"ہائی کینٹل ایک تسمہ کے طور پر کام کرتا ہے، جو سوار کو اہم فائدہ اور مدد فراہم کرتا ہے۔")</f>
        <v>ہائی کینٹل ایک تسمہ کے طور پر کام کرتا ہے، جو سوار کو اہم فائدہ اور مدد فراہم کرتا ہے۔</v>
      </c>
    </row>
    <row r="81">
      <c r="A81" s="4">
        <v>80.0</v>
      </c>
      <c r="B81" s="5" t="s">
        <v>1392</v>
      </c>
      <c r="C81" s="5" t="s">
        <v>1192</v>
      </c>
      <c r="D81" s="5" t="s">
        <v>1193</v>
      </c>
      <c r="E81" s="5" t="s">
        <v>1194</v>
      </c>
      <c r="J81" s="6" t="str">
        <f>IFERROR(__xludf.DUMMYFUNCTION("GOOGLETRANSLATE(A81, ""en"", ""ur"")"),"80")</f>
        <v>80</v>
      </c>
      <c r="K81" s="6" t="str">
        <f>IFERROR(__xludf.DUMMYFUNCTION("GOOGLETRANSLATE(B81, ""en"", ""ur"")"),"ایک سوار گھوڑوں کے بغیر ہوتا ہے، اور ان کا گھوڑا کھیل کی پیروی کرتا رہتا ہے اور مداخلت کرتا ہے۔ طریقہ کار کیا ہے؟")</f>
        <v>ایک سوار گھوڑوں کے بغیر ہوتا ہے، اور ان کا گھوڑا کھیل کی پیروی کرتا رہتا ہے اور مداخلت کرتا ہے۔ طریقہ کار کیا ہے؟</v>
      </c>
      <c r="L81" s="6" t="str">
        <f>IFERROR(__xludf.DUMMYFUNCTION("GOOGLETRANSLATE(C81, ""en"", ""ur"")"),"A) گھوڑے کو کھیل جاری رکھنے کی اجازت ہے، B) گھوڑے کو پکڑ کر میدان سے ہٹا دینا چاہیے، C) ٹیم کو جرمانہ کیا جاتا ہے، D) کھیل روک دیا جاتا ہے۔")</f>
        <v>A) گھوڑے کو کھیل جاری رکھنے کی اجازت ہے، B) گھوڑے کو پکڑ کر میدان سے ہٹا دینا چاہیے، C) ٹیم کو جرمانہ کیا جاتا ہے، D) کھیل روک دیا جاتا ہے۔</v>
      </c>
      <c r="M81" s="6" t="str">
        <f>IFERROR(__xludf.DUMMYFUNCTION("GOOGLETRANSLATE(D81, ""en"", ""ur"")"),"ب) اہلکاروں کے ذریعہ گھوڑے کو پکڑ کر میدان سے ہٹا دینا چاہئے۔")</f>
        <v>ب) اہلکاروں کے ذریعہ گھوڑے کو پکڑ کر میدان سے ہٹا دینا چاہئے۔</v>
      </c>
      <c r="N81" s="6" t="str">
        <f>IFERROR(__xludf.DUMMYFUNCTION("GOOGLETRANSLATE(E81, ""en"", ""ur"")"),"بغیر سواری کا گھوڑا ایک خطرہ ہے اور کھیل کے محفوظ طریقے سے دوبارہ شروع ہونے سے پہلے اسے کھیل کے میدان سے ہٹا دیا جانا چاہیے۔")</f>
        <v>بغیر سواری کا گھوڑا ایک خطرہ ہے اور کھیل کے محفوظ طریقے سے دوبارہ شروع ہونے سے پہلے اسے کھیل کے میدان سے ہٹا دیا جانا چاہیے۔</v>
      </c>
    </row>
    <row r="82">
      <c r="A82" s="4">
        <v>81.0</v>
      </c>
      <c r="B82" s="5" t="s">
        <v>1393</v>
      </c>
      <c r="C82" s="5" t="s">
        <v>1196</v>
      </c>
      <c r="D82" s="5" t="s">
        <v>1197</v>
      </c>
      <c r="E82" s="5" t="s">
        <v>1198</v>
      </c>
      <c r="J82" s="6" t="str">
        <f>IFERROR(__xludf.DUMMYFUNCTION("GOOGLETRANSLATE(A82, ""en"", ""ur"")"),"81")</f>
        <v>81</v>
      </c>
      <c r="K82" s="6" t="str">
        <f>IFERROR(__xludf.DUMMYFUNCTION("GOOGLETRANSLATE(B82, ""en"", ""ur"")"),"بزکشی کے لیے عام طور پر پرسکون، پرسکون مزاج والا گھوڑا کیوں نا مناسب ہے؟")</f>
        <v>بزکشی کے لیے عام طور پر پرسکون، پرسکون مزاج والا گھوڑا کیوں نا مناسب ہے؟</v>
      </c>
      <c r="L82" s="6" t="str">
        <f>IFERROR(__xludf.DUMMYFUNCTION("GOOGLETRANSLATE(C82, ""en"", ""ur"")"),"A) یہ نہیں ہے؛ پرسکون گھوڑے بہترین ہیں، B) اس میں مسابقتی ""آگ"" اور اسکرم میں لڑنے کے لیے درکار جارحیت کی کمی ہوگی، C) یہ بہت سست ہوگا، D) اسے بہت آسانی سے کنٹرول کیا جائے گا")</f>
        <v>A) یہ نہیں ہے؛ پرسکون گھوڑے بہترین ہیں، B) اس میں مسابقتی "آگ" اور اسکرم میں لڑنے کے لیے درکار جارحیت کی کمی ہوگی، C) یہ بہت سست ہوگا، D) اسے بہت آسانی سے کنٹرول کیا جائے گا</v>
      </c>
      <c r="M82" s="6" t="str">
        <f>IFERROR(__xludf.DUMMYFUNCTION("GOOGLETRANSLATE(D82, ""en"", ""ur"")"),"ب) اس میں مسابقتی ""آگ"" اور اسکرم میں لڑنے کے لیے درکار جارحیت کی کمی ہوگی۔")</f>
        <v>ب) اس میں مسابقتی "آگ" اور اسکرم میں لڑنے کے لیے درکار جارحیت کی کمی ہوگی۔</v>
      </c>
      <c r="N82" s="6" t="str">
        <f>IFERROR(__xludf.DUMMYFUNCTION("GOOGLETRANSLATE(E82, ""en"", ""ur"")"),"بزکشی کو جرات مندانہ اور جنگجو جذبے کے ساتھ ایک گھوڑے کی ضرورت ہے جو کھیل کے افراتفری اور تشدد سے خوفزدہ نہ ہو۔")</f>
        <v>بزکشی کو جرات مندانہ اور جنگجو جذبے کے ساتھ ایک گھوڑے کی ضرورت ہے جو کھیل کے افراتفری اور تشدد سے خوفزدہ نہ ہو۔</v>
      </c>
    </row>
    <row r="83">
      <c r="A83" s="4">
        <v>82.0</v>
      </c>
      <c r="B83" s="5" t="s">
        <v>1199</v>
      </c>
      <c r="C83" s="5" t="s">
        <v>1200</v>
      </c>
      <c r="D83" s="5" t="s">
        <v>1394</v>
      </c>
      <c r="E83" s="5" t="s">
        <v>1202</v>
      </c>
      <c r="J83" s="6" t="str">
        <f>IFERROR(__xludf.DUMMYFUNCTION("GOOGLETRANSLATE(A83, ""en"", ""ur"")"),"82")</f>
        <v>82</v>
      </c>
      <c r="K83" s="6" t="str">
        <f>IFERROR(__xludf.DUMMYFUNCTION("GOOGLETRANSLATE(B83, ""en"", ""ur"")"),"ایک رسمی میچ میں، ""لائن مین"" یا باؤنڈری ججز کا کیا کردار ہوتا ہے؟")</f>
        <v>ایک رسمی میچ میں، "لائن مین" یا باؤنڈری ججز کا کیا کردار ہوتا ہے؟</v>
      </c>
      <c r="L83" s="6" t="str">
        <f>IFERROR(__xludf.DUMMYFUNCTION("GOOGLETRANSLATE(C83, ""en"", ""ur"")"),"A) وہ اسکور رکھتے ہیں، B) وہ مرکزی ریفری کی مدد کرتے ہیں جب لاش یا سوار حد سے باہر ہو جاتا ہے، C) وہ کھلاڑیوں کو پانی فراہم کرتے ہیں، D) وہ آفیشل ٹائم کیپر ہوتے ہیں۔")</f>
        <v>A) وہ اسکور رکھتے ہیں، B) وہ مرکزی ریفری کی مدد کرتے ہیں جب لاش یا سوار حد سے باہر ہو جاتا ہے، C) وہ کھلاڑیوں کو پانی فراہم کرتے ہیں، D) وہ آفیشل ٹائم کیپر ہوتے ہیں۔</v>
      </c>
      <c r="M83" s="6" t="str">
        <f>IFERROR(__xludf.DUMMYFUNCTION("GOOGLETRANSLATE(D83, ""en"", ""ur"")"),"ب) جب لاش یا سوار حد سے باہر ہو جاتا ہے تو وہ سگنل دے کر مرکزی ریفری کی مدد کرتے ہیں۔")</f>
        <v>ب) جب لاش یا سوار حد سے باہر ہو جاتا ہے تو وہ سگنل دے کر مرکزی ریفری کی مدد کرتے ہیں۔</v>
      </c>
      <c r="N83" s="6" t="str">
        <f>IFERROR(__xludf.DUMMYFUNCTION("GOOGLETRANSLATE(E83, ""en"", ""ur"")"),"ایک بڑے، نشان زدہ فیلڈ پر، لائن مین ریفری کو باؤنڈری پر درست کال کرنے میں مدد کرنے کے لیے ضروری ہیں۔")</f>
        <v>ایک بڑے، نشان زدہ فیلڈ پر، لائن مین ریفری کو باؤنڈری پر درست کال کرنے میں مدد کرنے کے لیے ضروری ہیں۔</v>
      </c>
    </row>
    <row r="84">
      <c r="A84" s="4">
        <v>83.0</v>
      </c>
      <c r="B84" s="5" t="s">
        <v>1395</v>
      </c>
      <c r="C84" s="5" t="s">
        <v>1396</v>
      </c>
      <c r="D84" s="5" t="s">
        <v>1397</v>
      </c>
      <c r="E84" s="5" t="s">
        <v>1398</v>
      </c>
      <c r="J84" s="6" t="str">
        <f>IFERROR(__xludf.DUMMYFUNCTION("GOOGLETRANSLATE(A84, ""en"", ""ur"")"),"83")</f>
        <v>83</v>
      </c>
      <c r="K84" s="6" t="str">
        <f>IFERROR(__xludf.DUMMYFUNCTION("GOOGLETRANSLATE(B84, ""en"", ""ur"")"),"ایک سوار لاش کو اٹھانے کے لیے جدوجہد کر رہا ہے۔ اس کا ساتھی اوپر چڑھتا ہے اور اسے اٹھانے میں اس کی مدد کرتا ہے۔ کیا یہ قانونی ہے؟")</f>
        <v>ایک سوار لاش کو اٹھانے کے لیے جدوجہد کر رہا ہے۔ اس کا ساتھی اوپر چڑھتا ہے اور اسے اٹھانے میں اس کی مدد کرتا ہے۔ کیا یہ قانونی ہے؟</v>
      </c>
      <c r="L84" s="6" t="str">
        <f>IFERROR(__xludf.DUMMYFUNCTION("GOOGLETRANSLATE(C84, ""en"", ""ur"")"),"A) ہاں، یہ اچھی ٹیم ورک ہے، B) نہیں، ایک وقت میں صرف ایک سوار لاش کے قبضے میں ہو سکتا ہے، C) لاش پر دو سوار رکھنے پر ٹیم کو جرمانہ کیا جاتا ہے، D) پوائنٹ کو دوبارہ چلایا جاتا ہے۔")</f>
        <v>A) ہاں، یہ اچھی ٹیم ورک ہے، B) نہیں، ایک وقت میں صرف ایک سوار لاش کے قبضے میں ہو سکتا ہے، C) لاش پر دو سوار رکھنے پر ٹیم کو جرمانہ کیا جاتا ہے، D) پوائنٹ کو دوبارہ چلایا جاتا ہے۔</v>
      </c>
      <c r="M84" s="6" t="str">
        <f>IFERROR(__xludf.DUMMYFUNCTION("GOOGLETRANSLATE(D84, ""en"", ""ur"")"),"ب) نہیں، ایک وقت میں صرف ایک سوار لاش کے قبضے میں ہو سکتا ہے۔")</f>
        <v>ب) نہیں، ایک وقت میں صرف ایک سوار لاش کے قبضے میں ہو سکتا ہے۔</v>
      </c>
      <c r="N84" s="6" t="str">
        <f>IFERROR(__xludf.DUMMYFUNCTION("GOOGLETRANSLATE(E84, ""en"", ""ur"")"),"ایک سوار کو لاش کا واحد قبضہ حاصل کرنا چاہیے۔ اس طریقے سے ٹیم کے ساتھی کی مدد کی اجازت نہیں ہے۔")</f>
        <v>ایک سوار کو لاش کا واحد قبضہ حاصل کرنا چاہیے۔ اس طریقے سے ٹیم کے ساتھی کی مدد کی اجازت نہیں ہے۔</v>
      </c>
    </row>
    <row r="85">
      <c r="A85" s="4">
        <v>84.0</v>
      </c>
      <c r="B85" s="5" t="s">
        <v>1399</v>
      </c>
      <c r="C85" s="5" t="s">
        <v>1400</v>
      </c>
      <c r="D85" s="5" t="s">
        <v>1401</v>
      </c>
      <c r="E85" s="5" t="s">
        <v>1402</v>
      </c>
      <c r="J85" s="6" t="str">
        <f>IFERROR(__xludf.DUMMYFUNCTION("GOOGLETRANSLATE(A85, ""en"", ""ur"")"),"84")</f>
        <v>84</v>
      </c>
      <c r="K85" s="6" t="str">
        <f>IFERROR(__xludf.DUMMYFUNCTION("GOOGLETRANSLATE(B85, ""en"", ""ur"")"),"بزکشی سیڈل کے اونچے پومل (سامنے) کا بنیادی مقصد کیا ہے؟")</f>
        <v>بزکشی سیڈل کے اونچے پومل (سامنے) کا بنیادی مقصد کیا ہے؟</v>
      </c>
      <c r="L85" s="6" t="str">
        <f>IFERROR(__xludf.DUMMYFUNCTION("GOOGLETRANSLATE(C85, ""en"", ""ur"")"),"A) یہ سوار کے پکڑنے کا ایک ہینڈل ہے، B) یہ سوار کو کاٹھی میں بند کرنے میں مدد کرتا ہے اور ایک تسمہ فراہم کرتا ہے، C) یہ کوڑا باندھنے کی جگہ ہے، D) یہ سجاوٹ کے لیے ہے۔")</f>
        <v>A) یہ سوار کے پکڑنے کا ایک ہینڈل ہے، B) یہ سوار کو کاٹھی میں بند کرنے میں مدد کرتا ہے اور ایک تسمہ فراہم کرتا ہے، C) یہ کوڑا باندھنے کی جگہ ہے، D) یہ سجاوٹ کے لیے ہے۔</v>
      </c>
      <c r="M85" s="6" t="str">
        <f>IFERROR(__xludf.DUMMYFUNCTION("GOOGLETRANSLATE(D85, ""en"", ""ur"")"),"ب) یہ سوار کو کاٹھی میں بند کرنے میں مدد کرتا ہے اور تسمہ فراہم کرتا ہے۔")</f>
        <v>ب) یہ سوار کو کاٹھی میں بند کرنے میں مدد کرتا ہے اور تسمہ فراہم کرتا ہے۔</v>
      </c>
      <c r="N85" s="6" t="str">
        <f>IFERROR(__xludf.DUMMYFUNCTION("GOOGLETRANSLATE(E85, ""en"", ""ur"")"),"اونچی پومل اور کینٹل ایک گہری، محفوظ نشست بناتی ہے، جو پرتشدد کھینچنے اور جھکنے کے دوران گھوڑے پر رہنے کے لیے ضروری ہے۔")</f>
        <v>اونچی پومل اور کینٹل ایک گہری، محفوظ نشست بناتی ہے، جو پرتشدد کھینچنے اور جھکنے کے دوران گھوڑے پر رہنے کے لیے ضروری ہے۔</v>
      </c>
    </row>
    <row r="86">
      <c r="A86" s="4">
        <v>85.0</v>
      </c>
      <c r="B86" s="5" t="s">
        <v>1403</v>
      </c>
      <c r="C86" s="5" t="s">
        <v>1404</v>
      </c>
      <c r="D86" s="5" t="s">
        <v>1405</v>
      </c>
      <c r="E86" s="5" t="s">
        <v>1406</v>
      </c>
      <c r="J86" s="6" t="str">
        <f>IFERROR(__xludf.DUMMYFUNCTION("GOOGLETRANSLATE(A86, ""en"", ""ur"")"),"85")</f>
        <v>85</v>
      </c>
      <c r="K86" s="6" t="str">
        <f>IFERROR(__xludf.DUMMYFUNCTION("GOOGLETRANSLATE(B86, ""en"", ""ur"")"),"ایک سوار لاش کو پکڑے ہوئے ہے۔ ایک مخالف سواری کرتا ہے اور سوار کا بازو پکڑتا ہے۔ اس کا کیا حکم ہے؟")</f>
        <v>ایک سوار لاش کو پکڑے ہوئے ہے۔ ایک مخالف سواری کرتا ہے اور سوار کا بازو پکڑتا ہے۔ اس کا کیا حکم ہے؟</v>
      </c>
      <c r="L86" s="6" t="str">
        <f>IFERROR(__xludf.DUMMYFUNCTION("GOOGLETRANSLATE(C86, ""en"", ""ur"")"),"A) یہ ایک قانونی دفاعی اقدام ہے، B) سوار کو پکڑنے کے لیے یہ ایک فاؤل ہے، C) کھیل جاری ہے، D) جس سوار کو پکڑا گیا اسے جرمانہ کیا گیا")</f>
        <v>A) یہ ایک قانونی دفاعی اقدام ہے، B) سوار کو پکڑنے کے لیے یہ ایک فاؤل ہے، C) کھیل جاری ہے، D) جس سوار کو پکڑا گیا اسے جرمانہ کیا گیا</v>
      </c>
      <c r="M86" s="6" t="str">
        <f>IFERROR(__xludf.DUMMYFUNCTION("GOOGLETRANSLATE(D86, ""en"", ""ur"")"),"ب) سوار کو پکڑنے کے لیے یہ فاؤل ہے۔")</f>
        <v>ب) سوار کو پکڑنے کے لیے یہ فاؤل ہے۔</v>
      </c>
      <c r="N86" s="6" t="str">
        <f>IFERROR(__xludf.DUMMYFUNCTION("GOOGLETRANSLATE(E86, ""en"", ""ur"")"),"کھلاڑی صرف لاش کے لیے ہی مقابلہ کر سکتے ہیں۔ سوار کے جسم، لباس یا سامان کو پکڑنا غیر قانونی ہے۔")</f>
        <v>کھلاڑی صرف لاش کے لیے ہی مقابلہ کر سکتے ہیں۔ سوار کے جسم، لباس یا سامان کو پکڑنا غیر قانونی ہے۔</v>
      </c>
    </row>
    <row r="87">
      <c r="A87" s="4">
        <v>86.0</v>
      </c>
      <c r="B87" s="5" t="s">
        <v>1407</v>
      </c>
      <c r="C87" s="5" t="s">
        <v>1408</v>
      </c>
      <c r="D87" s="5" t="s">
        <v>1409</v>
      </c>
      <c r="E87" s="5" t="s">
        <v>1410</v>
      </c>
      <c r="J87" s="6" t="str">
        <f>IFERROR(__xludf.DUMMYFUNCTION("GOOGLETRANSLATE(A87, ""en"", ""ur"")"),"86")</f>
        <v>86</v>
      </c>
      <c r="K87" s="6" t="str">
        <f>IFERROR(__xludf.DUMMYFUNCTION("GOOGLETRANSLATE(B87, ""en"", ""ur"")"),"اسکرم کے دوران ایک گھوڑا اپنے کانوں کے پیچھے بندھے ہوئے نظر آتا ہے۔ یہ کیا اشارہ کرتا ہے؟")</f>
        <v>اسکرم کے دوران ایک گھوڑا اپنے کانوں کے پیچھے بندھے ہوئے نظر آتا ہے۔ یہ کیا اشارہ کرتا ہے؟</v>
      </c>
      <c r="L87" s="6" t="str">
        <f>IFERROR(__xludf.DUMMYFUNCTION("GOOGLETRANSLATE(C87, ""en"", ""ur"")"),"A) گھوڑا آرام دہ ہے، B) گھوڑا توجہ مرکوز اور جارحانہ ہے، C) گھوڑا تھکا ہوا ہے، D) گھوڑا اپنے سوار کی بات سن رہا ہے")</f>
        <v>A) گھوڑا آرام دہ ہے، B) گھوڑا توجہ مرکوز اور جارحانہ ہے، C) گھوڑا تھکا ہوا ہے، D) گھوڑا اپنے سوار کی بات سن رہا ہے</v>
      </c>
      <c r="M87" s="6" t="str">
        <f>IFERROR(__xludf.DUMMYFUNCTION("GOOGLETRANSLATE(D87, ""en"", ""ur"")"),"ب) گھوڑا مرکوز اور جارحانہ ہے۔")</f>
        <v>ب) گھوڑا مرکوز اور جارحانہ ہے۔</v>
      </c>
      <c r="N87" s="6" t="str">
        <f>IFERROR(__xludf.DUMMYFUNCTION("GOOGLETRANSLATE(E87, ""en"", ""ur"")"),"کان لگائے ہوئے گھوڑے کی اشتعال انگیزی اور مسابقتی شدت کی واضح علامت ہیں، جو اس کھیل کے لیے ایک مطلوبہ خصلت ہے۔")</f>
        <v>کان لگائے ہوئے گھوڑے کی اشتعال انگیزی اور مسابقتی شدت کی واضح علامت ہیں، جو اس کھیل کے لیے ایک مطلوبہ خصلت ہے۔</v>
      </c>
    </row>
    <row r="88">
      <c r="A88" s="4">
        <v>87.0</v>
      </c>
      <c r="B88" s="5" t="s">
        <v>1411</v>
      </c>
      <c r="C88" s="5" t="s">
        <v>1412</v>
      </c>
      <c r="D88" s="5" t="s">
        <v>1413</v>
      </c>
      <c r="E88" s="5" t="s">
        <v>1414</v>
      </c>
      <c r="J88" s="6" t="str">
        <f>IFERROR(__xludf.DUMMYFUNCTION("GOOGLETRANSLATE(A88, ""en"", ""ur"")"),"87")</f>
        <v>87</v>
      </c>
      <c r="K88" s="6" t="str">
        <f>IFERROR(__xludf.DUMMYFUNCTION("GOOGLETRANSLATE(B88, ""en"", ""ur"")"),"ریفری کی بنیادی ذمہ داری کیا ہے جب لاش کے اوپر ایک بڑا جھاڑو بنتا ہے؟")</f>
        <v>ریفری کی بنیادی ذمہ داری کیا ہے جب لاش کے اوپر ایک بڑا جھاڑو بنتا ہے؟</v>
      </c>
      <c r="L88" s="6" t="str">
        <f>IFERROR(__xludf.DUMMYFUNCTION("GOOGLETRANSLATE(C88, ""en"", ""ur"")"),"A) سوار کی لاش کو نکالنے میں مدد کرنے کے لیے، B) گھوڑوں اور سواروں کی حفاظت کو یقینی بنانے کے لیے، غیر قانونی ہولڈز یا خطرناک آبشاروں کو دیکھتے ہوئے، C) اسکرم کے فاتح کا اعلان کرنا، D) وقت برقرار رکھنا")</f>
        <v>A) سوار کی لاش کو نکالنے میں مدد کرنے کے لیے، B) گھوڑوں اور سواروں کی حفاظت کو یقینی بنانے کے لیے، غیر قانونی ہولڈز یا خطرناک آبشاروں کو دیکھتے ہوئے، C) اسکرم کے فاتح کا اعلان کرنا، D) وقت برقرار رکھنا</v>
      </c>
      <c r="M88" s="6" t="str">
        <f>IFERROR(__xludf.DUMMYFUNCTION("GOOGLETRANSLATE(D88, ""en"", ""ur"")"),"ب) گھوڑوں اور سواروں کی حفاظت کو یقینی بنانے کے لیے، غیر قانونی ہولڈز یا خطرناک آبشاروں کو دیکھنا")</f>
        <v>ب) گھوڑوں اور سواروں کی حفاظت کو یقینی بنانے کے لیے، غیر قانونی ہولڈز یا خطرناک آبشاروں کو دیکھنا</v>
      </c>
      <c r="N88" s="6" t="str">
        <f>IFERROR(__xludf.DUMMYFUNCTION("GOOGLETRANSLATE(E88, ""en"", ""ur"")"),"اسکرم کھیل کا سب سے خطرناک حصہ ہے، اور ریفری کا کام اس کی نگرانی کرنا اور سنگین چوٹوں کو روکنا ہے۔")</f>
        <v>اسکرم کھیل کا سب سے خطرناک حصہ ہے، اور ریفری کا کام اس کی نگرانی کرنا اور سنگین چوٹوں کو روکنا ہے۔</v>
      </c>
    </row>
    <row r="89">
      <c r="A89" s="4">
        <v>88.0</v>
      </c>
      <c r="B89" s="5" t="s">
        <v>1415</v>
      </c>
      <c r="C89" s="5" t="s">
        <v>1416</v>
      </c>
      <c r="D89" s="5" t="s">
        <v>1417</v>
      </c>
      <c r="E89" s="5" t="s">
        <v>1418</v>
      </c>
      <c r="J89" s="6" t="str">
        <f>IFERROR(__xludf.DUMMYFUNCTION("GOOGLETRANSLATE(A89, ""en"", ""ur"")"),"88")</f>
        <v>88</v>
      </c>
      <c r="K89" s="6" t="str">
        <f>IFERROR(__xludf.DUMMYFUNCTION("GOOGLETRANSLATE(B89, ""en"", ""ur"")"),"ایک جدید ٹورنامنٹ میں ایک قاعدہ متعارف کرایا گیا ہے کہ ایک سوار اسکور کی کوشش کرنے سے پہلے لاش کو صرف 30 سیکنڈ تک روک سکتا ہے۔ اس اصول کا مقصد کیا ہے؟")</f>
        <v>ایک جدید ٹورنامنٹ میں ایک قاعدہ متعارف کرایا گیا ہے کہ ایک سوار اسکور کی کوشش کرنے سے پہلے لاش کو صرف 30 سیکنڈ تک روک سکتا ہے۔ اس اصول کا مقصد کیا ہے؟</v>
      </c>
      <c r="L89" s="6" t="str">
        <f>IFERROR(__xludf.DUMMYFUNCTION("GOOGLETRANSLATE(C89, ""en"", ""ur"")"),"A) کھیل کو مشکل بنانے کے لیے، B) کھیل کی رفتار کو بڑھانے اور رکنے کو روکنے کے لیے، C) دفاعی ٹیم کی مدد کے لیے، D) یہ ٹیلی ویژن کی نشریات کے لیے ایک اصول ہے۔")</f>
        <v>A) کھیل کو مشکل بنانے کے لیے، B) کھیل کی رفتار کو بڑھانے اور رکنے کو روکنے کے لیے، C) دفاعی ٹیم کی مدد کے لیے، D) یہ ٹیلی ویژن کی نشریات کے لیے ایک اصول ہے۔</v>
      </c>
      <c r="M89" s="6" t="str">
        <f>IFERROR(__xludf.DUMMYFUNCTION("GOOGLETRANSLATE(D89, ""en"", ""ur"")"),"ب) کھیل کی رفتار کو بڑھانا اور رکنے کو روکنا")</f>
        <v>ب) کھیل کی رفتار کو بڑھانا اور رکنے کو روکنا</v>
      </c>
      <c r="N89" s="6" t="str">
        <f>IFERROR(__xludf.DUMMYFUNCTION("GOOGLETRANSLATE(E89, ""en"", ""ur"")"),"ایک ""شاٹ کلاک"" قسم کا قاعدہ بعض اوقات کھیل کو تیز تر اور شائقین کے لیے مسلسل ایکشن پر مجبور کر کے زیادہ پرجوش بنانے کے لیے استعمال کیا جاتا ہے۔")</f>
        <v>ایک "شاٹ کلاک" قسم کا قاعدہ بعض اوقات کھیل کو تیز تر اور شائقین کے لیے مسلسل ایکشن پر مجبور کر کے زیادہ پرجوش بنانے کے لیے استعمال کیا جاتا ہے۔</v>
      </c>
    </row>
    <row r="90">
      <c r="A90" s="4">
        <v>89.0</v>
      </c>
      <c r="B90" s="5" t="s">
        <v>1419</v>
      </c>
      <c r="C90" s="5" t="s">
        <v>1420</v>
      </c>
      <c r="D90" s="5" t="s">
        <v>1421</v>
      </c>
      <c r="E90" s="5" t="s">
        <v>1422</v>
      </c>
      <c r="J90" s="6" t="str">
        <f>IFERROR(__xludf.DUMMYFUNCTION("GOOGLETRANSLATE(A90, ""en"", ""ur"")"),"89")</f>
        <v>89</v>
      </c>
      <c r="K90" s="6" t="str">
        <f>IFERROR(__xludf.DUMMYFUNCTION("GOOGLETRANSLATE(B90, ""en"", ""ur"")"),"گھوڑے کی درد اور تکلیف کو برداشت کرنے کی صلاحیت کیوں ایک قابل قدر خصوصیت ہے؟")</f>
        <v>گھوڑے کی درد اور تکلیف کو برداشت کرنے کی صلاحیت کیوں ایک قابل قدر خصوصیت ہے؟</v>
      </c>
      <c r="L90" s="6" t="str">
        <f>IFERROR(__xludf.DUMMYFUNCTION("GOOGLETRANSLATE(C90, ""en"", ""ur"")"),"A) یہ ایک قابل قدر خصوصیت نہیں ہے، B) کھیل جسمانی طور پر سزا دینے والا ہے، اور گھوڑے کو تصادم کو برداشت کرنے کے لیے کافی سخت ہونا چاہیے، C) یہ سوار کو سخت ہونے دیتا ہے، D) یہ ایک سستے گھوڑے کی علامت ہے۔")</f>
        <v>A) یہ ایک قابل قدر خصوصیت نہیں ہے، B) کھیل جسمانی طور پر سزا دینے والا ہے، اور گھوڑے کو تصادم کو برداشت کرنے کے لیے کافی سخت ہونا چاہیے، C) یہ سوار کو سخت ہونے دیتا ہے، D) یہ ایک سستے گھوڑے کی علامت ہے۔</v>
      </c>
      <c r="M90" s="6" t="str">
        <f>IFERROR(__xludf.DUMMYFUNCTION("GOOGLETRANSLATE(D90, ""en"", ""ur"")"),"ب) کھیل جسمانی طور پر سزا دینے والا ہے، اور گھوڑے کو تصادم کو برداشت کرنے کے لیے اتنا سخت ہونا چاہیے")</f>
        <v>ب) کھیل جسمانی طور پر سزا دینے والا ہے، اور گھوڑے کو تصادم کو برداشت کرنے کے لیے اتنا سخت ہونا چاہیے</v>
      </c>
      <c r="N90" s="6" t="str">
        <f>IFERROR(__xludf.DUMMYFUNCTION("GOOGLETRANSLATE(E90, ""en"", ""ur"")"),"بزکشی ایک سفاکانہ رابطہ کھیل ہے۔ ایک گھوڑے میں درد اور تھکن سے کھیلنے کے لیے ہمت اور لچک ہونی چاہیے۔")</f>
        <v>بزکشی ایک سفاکانہ رابطہ کھیل ہے۔ ایک گھوڑے میں درد اور تھکن سے کھیلنے کے لیے ہمت اور لچک ہونی چاہیے۔</v>
      </c>
    </row>
    <row r="91">
      <c r="A91" s="4">
        <v>90.0</v>
      </c>
      <c r="B91" s="5" t="s">
        <v>1423</v>
      </c>
      <c r="C91" s="5" t="s">
        <v>1424</v>
      </c>
      <c r="D91" s="5" t="s">
        <v>1425</v>
      </c>
      <c r="E91" s="5" t="s">
        <v>1426</v>
      </c>
      <c r="J91" s="6" t="str">
        <f>IFERROR(__xludf.DUMMYFUNCTION("GOOGLETRANSLATE(A91, ""en"", ""ur"")"),"90")</f>
        <v>90</v>
      </c>
      <c r="K91" s="6" t="str">
        <f>IFERROR(__xludf.DUMMYFUNCTION("GOOGLETRANSLATE(B91, ""en"", ""ur"")"),"ایک سوار اپنے گھوڑے کو کوڑے مارنے سے پہلے اپنے ہی بوٹ کو کوڑے مارتا ہوا نظر آتا ہے۔ اس کارروائی کا ممکنہ مقصد کیا ہے؟")</f>
        <v>ایک سوار اپنے گھوڑے کو کوڑے مارنے سے پہلے اپنے ہی بوٹ کو کوڑے مارتا ہوا نظر آتا ہے۔ اس کارروائی کا ممکنہ مقصد کیا ہے؟</v>
      </c>
      <c r="L91" s="6" t="str">
        <f>IFERROR(__xludf.DUMMYFUNCTION("GOOGLETRANSLATE(C91, ""en"", ""ur"")"),"A) یہ ایک اعصابی عادت ہے، B) یہ گھوڑے کو زور سے مارے بغیر اس کی حوصلہ افزائی کے لیے ایک تیز کریکنگ آواز پیدا کرتی ہے، C) وہ اپنے چابک کو صاف کر رہا ہے، D) یہ اپنے ساتھیوں کے لیے ایک اشارہ ہے۔")</f>
        <v>A) یہ ایک اعصابی عادت ہے، B) یہ گھوڑے کو زور سے مارے بغیر اس کی حوصلہ افزائی کے لیے ایک تیز کریکنگ آواز پیدا کرتی ہے، C) وہ اپنے چابک کو صاف کر رہا ہے، D) یہ اپنے ساتھیوں کے لیے ایک اشارہ ہے۔</v>
      </c>
      <c r="M91" s="6" t="str">
        <f>IFERROR(__xludf.DUMMYFUNCTION("GOOGLETRANSLATE(D91, ""en"", ""ur"")"),"ب) یہ گھوڑے کو زور سے مارے بغیر اس کی حوصلہ افزائی کرنے کے لیے ایک تیز کریکنگ آواز پیدا کرتا ہے۔")</f>
        <v>ب) یہ گھوڑے کو زور سے مارے بغیر اس کی حوصلہ افزائی کرنے کے لیے ایک تیز کریکنگ آواز پیدا کرتا ہے۔</v>
      </c>
      <c r="N91" s="6" t="str">
        <f>IFERROR(__xludf.DUMMYFUNCTION("GOOGLETRANSLATE(E91, ""en"", ""ur"")"),"یہ ہنر مند گھڑ سواری کی ایک تکنیک ہے، جس میں آواز کو محض جسمانی اثر کے بجائے بنیادی محرک کے طور پر استعمال کیا جاتا ہے۔")</f>
        <v>یہ ہنر مند گھڑ سواری کی ایک تکنیک ہے، جس میں آواز کو محض جسمانی اثر کے بجائے بنیادی محرک کے طور پر استعمال کیا جاتا ہے۔</v>
      </c>
    </row>
    <row r="92">
      <c r="A92" s="4">
        <v>91.0</v>
      </c>
      <c r="B92" s="5" t="s">
        <v>1427</v>
      </c>
      <c r="C92" s="5" t="s">
        <v>1428</v>
      </c>
      <c r="D92" s="5" t="s">
        <v>1429</v>
      </c>
      <c r="E92" s="5" t="s">
        <v>1430</v>
      </c>
      <c r="J92" s="6" t="str">
        <f>IFERROR(__xludf.DUMMYFUNCTION("GOOGLETRANSLATE(A92, ""en"", ""ur"")"),"91")</f>
        <v>91</v>
      </c>
      <c r="K92" s="6" t="str">
        <f>IFERROR(__xludf.DUMMYFUNCTION("GOOGLETRANSLATE(B92, ""en"", ""ur"")"),"اگر کوئی سوار بغیر گھوڑے کے سوار ہو اور اس کا اپنا ساتھی غلطی سے اسے روند دے تو اس کا کیا حکم ہے؟")</f>
        <v>اگر کوئی سوار بغیر گھوڑے کے سوار ہو اور اس کا اپنا ساتھی غلطی سے اسے روند دے تو اس کا کیا حکم ہے؟</v>
      </c>
      <c r="L92" s="6" t="str">
        <f>IFERROR(__xludf.DUMMYFUNCTION("GOOGLETRANSLATE(C92, ""en"", ""ur"")"),"A) ٹیم کے ساتھی کو نااہل قرار دیا جاتا ہے، B) اسے ایک افسوسناک لیکن قانونی ریسنگ کا واقعہ سمجھا جاتا ہے، C) ٹیم کے ذریعے میچ فوری طور پر ضائع کر دیا جاتا ہے، D) مخالف ٹیم کو ایک پوائنٹ دیا جاتا ہے۔")</f>
        <v>A) ٹیم کے ساتھی کو نااہل قرار دیا جاتا ہے، B) اسے ایک افسوسناک لیکن قانونی ریسنگ کا واقعہ سمجھا جاتا ہے، C) ٹیم کے ذریعے میچ فوری طور پر ضائع کر دیا جاتا ہے، D) مخالف ٹیم کو ایک پوائنٹ دیا جاتا ہے۔</v>
      </c>
      <c r="M92" s="6" t="str">
        <f>IFERROR(__xludf.DUMMYFUNCTION("GOOGLETRANSLATE(D92, ""en"", ""ur"")"),"ب) اسے ایک افسوسناک لیکن قانونی ریسنگ کا واقعہ سمجھا جاتا ہے۔")</f>
        <v>ب) اسے ایک افسوسناک لیکن قانونی ریسنگ کا واقعہ سمجھا جاتا ہے۔</v>
      </c>
      <c r="N92" s="6" t="str">
        <f>IFERROR(__xludf.DUMMYFUNCTION("GOOGLETRANSLATE(E92, ""en"", ""ur"")"),"بدقسمتی سے، اسکرم کی افراتفری اور خطرناک نوعیت کا مطلب یہ ہے کہ اس طرح کے حادثات کھیل کے لیے ایک معروف خطرہ ہیں۔")</f>
        <v>بدقسمتی سے، اسکرم کی افراتفری اور خطرناک نوعیت کا مطلب یہ ہے کہ اس طرح کے حادثات کھیل کے لیے ایک معروف خطرہ ہیں۔</v>
      </c>
    </row>
    <row r="93">
      <c r="A93" s="4">
        <v>92.0</v>
      </c>
      <c r="B93" s="5" t="s">
        <v>1431</v>
      </c>
      <c r="C93" s="5" t="s">
        <v>1432</v>
      </c>
      <c r="D93" s="5" t="s">
        <v>1433</v>
      </c>
      <c r="E93" s="5" t="s">
        <v>1434</v>
      </c>
      <c r="J93" s="6" t="str">
        <f>IFERROR(__xludf.DUMMYFUNCTION("GOOGLETRANSLATE(A93, ""en"", ""ur"")"),"92")</f>
        <v>92</v>
      </c>
      <c r="K93" s="6" t="str">
        <f>IFERROR(__xludf.DUMMYFUNCTION("GOOGLETRANSLATE(B93, ""en"", ""ur"")"),"باؤنڈری کے قریب ایک سوار لاش کے قبضے میں ہے۔ ایک مخالف قانونی طور پر انہیں اپنے گھوڑے سے دھکیلتا ہے، انہیں حد سے باہر کرنے پر مجبور کرتا ہے۔ کال کیا ہے؟")</f>
        <v>باؤنڈری کے قریب ایک سوار لاش کے قبضے میں ہے۔ ایک مخالف قانونی طور پر انہیں اپنے گھوڑے سے دھکیلتا ہے، انہیں حد سے باہر کرنے پر مجبور کرتا ہے۔ کال کیا ہے؟</v>
      </c>
      <c r="L93" s="6" t="str">
        <f>IFERROR(__xludf.DUMMYFUNCTION("GOOGLETRANSLATE(C93, ""en"", ""ur"")"),"A) مخالف کو دھکا دینے کے لئے ایک فاؤل، B) مخالف کے لئے ایک نقطہ، C) لاش کو درمیان میں دوبارہ ترتیب دیا گیا ہے، D) دونوں سواروں کو ایک انتباہ جاری کیا گیا ہے")</f>
        <v>A) مخالف کو دھکا دینے کے لئے ایک فاؤل، B) مخالف کے لئے ایک نقطہ، C) لاش کو درمیان میں دوبارہ ترتیب دیا گیا ہے، D) دونوں سواروں کو ایک انتباہ جاری کیا گیا ہے</v>
      </c>
      <c r="M93" s="6" t="str">
        <f>IFERROR(__xludf.DUMMYFUNCTION("GOOGLETRANSLATE(D93, ""en"", ""ur"")"),"C) لاش کو مرکز میں دوبارہ ترتیب دیا گیا ہے۔")</f>
        <v>C) لاش کو مرکز میں دوبارہ ترتیب دیا گیا ہے۔</v>
      </c>
      <c r="N93" s="6" t="str">
        <f>IFERROR(__xludf.DUMMYFUNCTION("GOOGLETRANSLATE(E93, ""en"", ""ur"")"),"دھکا قانونی تھا، لیکن نتیجہ یہ ہوا کہ لاش کھیل سے باہر ہوگئی۔ لہذا، ڈرامہ مر گیا ہے اور لاش کو دوبارہ ترتیب دیا گیا ہے.")</f>
        <v>دھکا قانونی تھا، لیکن نتیجہ یہ ہوا کہ لاش کھیل سے باہر ہوگئی۔ لہذا، ڈرامہ مر گیا ہے اور لاش کو دوبارہ ترتیب دیا گیا ہے.</v>
      </c>
    </row>
    <row r="94">
      <c r="A94" s="4">
        <v>93.0</v>
      </c>
      <c r="B94" s="5" t="s">
        <v>1435</v>
      </c>
      <c r="C94" s="5" t="s">
        <v>1436</v>
      </c>
      <c r="D94" s="5" t="s">
        <v>1437</v>
      </c>
      <c r="E94" s="5" t="s">
        <v>1438</v>
      </c>
      <c r="J94" s="6" t="str">
        <f>IFERROR(__xludf.DUMMYFUNCTION("GOOGLETRANSLATE(A94, ""en"", ""ur"")"),"93")</f>
        <v>93</v>
      </c>
      <c r="K94" s="6" t="str">
        <f>IFERROR(__xludf.DUMMYFUNCTION("GOOGLETRANSLATE(B94, ""en"", ""ur"")"),"ایک عام بزکشی میچ کب تک چل سکتا ہے؟")</f>
        <v>ایک عام بزکشی میچ کب تک چل سکتا ہے؟</v>
      </c>
      <c r="L94" s="6" t="str">
        <f>IFERROR(__xludf.DUMMYFUNCTION("GOOGLETRANSLATE(C94, ""en"", ""ur"")"),"A) 10 منٹ، B) 30 منٹ، C) اکثر کئی گھنٹوں کے لیے، متعدد ادوار کے ساتھ، D) یہ غیر وقتی ہوتا ہے۔")</f>
        <v>A) 10 منٹ، B) 30 منٹ، C) اکثر کئی گھنٹوں کے لیے، متعدد ادوار کے ساتھ، D) یہ غیر وقتی ہوتا ہے۔</v>
      </c>
      <c r="M94" s="6" t="str">
        <f>IFERROR(__xludf.DUMMYFUNCTION("GOOGLETRANSLATE(D94, ""en"", ""ur"")"),"ج) اکثر کئی گھنٹوں تک، متعدد ادوار کے ساتھ")</f>
        <v>ج) اکثر کئی گھنٹوں تک، متعدد ادوار کے ساتھ</v>
      </c>
      <c r="N94" s="6" t="str">
        <f>IFERROR(__xludf.DUMMYFUNCTION("GOOGLETRANSLATE(E94, ""en"", ""ur"")"),"باضابطہ بزکشی میچ ایک لمبا اور سخت معاملہ ہے، بعض اوقات درمیان میں وقفے کے ساتھ 45 منٹ کے دو حصوں پر مشتمل ہوتا ہے۔")</f>
        <v>باضابطہ بزکشی میچ ایک لمبا اور سخت معاملہ ہے، بعض اوقات درمیان میں وقفے کے ساتھ 45 منٹ کے دو حصوں پر مشتمل ہوتا ہے۔</v>
      </c>
    </row>
    <row r="95">
      <c r="A95" s="4">
        <v>94.0</v>
      </c>
      <c r="B95" s="5" t="s">
        <v>1439</v>
      </c>
      <c r="C95" s="5" t="s">
        <v>1440</v>
      </c>
      <c r="D95" s="5" t="s">
        <v>1441</v>
      </c>
      <c r="E95" s="5" t="s">
        <v>1442</v>
      </c>
      <c r="J95" s="6" t="str">
        <f>IFERROR(__xludf.DUMMYFUNCTION("GOOGLETRANSLATE(A95, ""en"", ""ur"")"),"94")</f>
        <v>94</v>
      </c>
      <c r="K95" s="6" t="str">
        <f>IFERROR(__xludf.DUMMYFUNCTION("GOOGLETRANSLATE(B95, ""en"", ""ur"")"),"ایک سوار اسکور کرنے والا ہے، لیکن ایک مخالف انہیں پیچھے کھینچنے کے لیے ان کی زین کو پکڑتا ہے۔ کیا یہ قانونی ہے؟")</f>
        <v>ایک سوار اسکور کرنے والا ہے، لیکن ایک مخالف انہیں پیچھے کھینچنے کے لیے ان کی زین کو پکڑتا ہے۔ کیا یہ قانونی ہے؟</v>
      </c>
      <c r="L95" s="6" t="str">
        <f>IFERROR(__xludf.DUMMYFUNCTION("GOOGLETRANSLATE(C95, ""en"", ""ur"")"),"A) جی ہاں، یہ ایک ہوشیار دفاعی کھیل ہے، B) نہیں، مخالف کے سازوسامان کو چھیننا غلط ہے، C) صرف اس صورت میں جب وہ سوار کو گھوڑے سے نہ کھینچیں، D) یہ ریفری کی صوابدید پر منحصر ہے۔")</f>
        <v>A) جی ہاں، یہ ایک ہوشیار دفاعی کھیل ہے، B) نہیں، مخالف کے سازوسامان کو چھیننا غلط ہے، C) صرف اس صورت میں جب وہ سوار کو گھوڑے سے نہ کھینچیں، D) یہ ریفری کی صوابدید پر منحصر ہے۔</v>
      </c>
      <c r="M95" s="6" t="str">
        <f>IFERROR(__xludf.DUMMYFUNCTION("GOOGLETRANSLATE(D95, ""en"", ""ur"")"),"ب) نہیں، مخالف کے سامان کو چھیننا غلط ہے۔")</f>
        <v>ب) نہیں، مخالف کے سامان کو چھیننا غلط ہے۔</v>
      </c>
      <c r="N95" s="6" t="str">
        <f>IFERROR(__xludf.DUMMYFUNCTION("GOOGLETRANSLATE(E95, ""en"", ""ur"")"),"ایک کھلاڑی صرف لاش کے لیے مقابلہ کر سکتا ہے۔ کاٹھی، لگام یا سوار کو پکڑنا غیر قانونی ہے۔")</f>
        <v>ایک کھلاڑی صرف لاش کے لیے مقابلہ کر سکتا ہے۔ کاٹھی، لگام یا سوار کو پکڑنا غیر قانونی ہے۔</v>
      </c>
    </row>
    <row r="96">
      <c r="A96" s="4">
        <v>95.0</v>
      </c>
      <c r="B96" s="5" t="s">
        <v>1443</v>
      </c>
      <c r="C96" s="5" t="s">
        <v>1444</v>
      </c>
      <c r="D96" s="5" t="s">
        <v>1372</v>
      </c>
      <c r="E96" s="5" t="s">
        <v>1373</v>
      </c>
      <c r="J96" s="6" t="str">
        <f>IFERROR(__xludf.DUMMYFUNCTION("GOOGLETRANSLATE(A96, ""en"", ""ur"")"),"95")</f>
        <v>95</v>
      </c>
      <c r="K96" s="6" t="str">
        <f>IFERROR(__xludf.DUMMYFUNCTION("GOOGLETRANSLATE(B96, ""en"", ""ur"")"),"گھوڑا اسکرم میں داخل ہونے سے انکار کرتا ہے۔ یہ کیا اشارہ کرتا ہے؟")</f>
        <v>گھوڑا اسکرم میں داخل ہونے سے انکار کرتا ہے۔ یہ کیا اشارہ کرتا ہے؟</v>
      </c>
      <c r="L96" s="6" t="str">
        <f>IFERROR(__xludf.DUMMYFUNCTION("GOOGLETRANSLATE(C96, ""en"", ""ur"")"),"A) گھوڑا ذہین ہے، B) گھوڑے میں کھیل کی ہمت یا تربیت کی کمی ہے، C) گھوڑا تھکا ہوا ہے، D) گھوڑا اپنے سوار کو ناپسند کرتا ہے۔")</f>
        <v>A) گھوڑا ذہین ہے، B) گھوڑے میں کھیل کی ہمت یا تربیت کی کمی ہے، C) گھوڑا تھکا ہوا ہے، D) گھوڑا اپنے سوار کو ناپسند کرتا ہے۔</v>
      </c>
      <c r="M96" s="6" t="str">
        <f>IFERROR(__xludf.DUMMYFUNCTION("GOOGLETRANSLATE(D96, ""en"", ""ur"")"),"ب) گھوڑے میں کھیل کے لیے ہمت یا تربیت کی کمی ہے۔")</f>
        <v>ب) گھوڑے میں کھیل کے لیے ہمت یا تربیت کی کمی ہے۔</v>
      </c>
      <c r="N96" s="6" t="str">
        <f>IFERROR(__xludf.DUMMYFUNCTION("GOOGLETRANSLATE(E96, ""en"", ""ur"")"),"بزکشی گھوڑے کی ایک اہم خصوصیت اس کا ""دل"" یا بہادری ہے۔ ایک گھوڑا جو لڑائی سے دور ہو جائے کھیل کے لیے موزوں نہیں ہے۔")</f>
        <v>بزکشی گھوڑے کی ایک اہم خصوصیت اس کا "دل" یا بہادری ہے۔ ایک گھوڑا جو لڑائی سے دور ہو جائے کھیل کے لیے موزوں نہیں ہے۔</v>
      </c>
    </row>
    <row r="97">
      <c r="A97" s="4">
        <v>96.0</v>
      </c>
      <c r="B97" s="5" t="s">
        <v>1445</v>
      </c>
      <c r="C97" s="5" t="s">
        <v>1208</v>
      </c>
      <c r="D97" s="5" t="s">
        <v>1209</v>
      </c>
      <c r="E97" s="5" t="s">
        <v>1210</v>
      </c>
      <c r="J97" s="6" t="str">
        <f>IFERROR(__xludf.DUMMYFUNCTION("GOOGLETRANSLATE(A97, ""en"", ""ur"")"),"96")</f>
        <v>96</v>
      </c>
      <c r="K97" s="6" t="str">
        <f>IFERROR(__xludf.DUMMYFUNCTION("GOOGLETRANSLATE(B97, ""en"", ""ur"")"),"ایک سوار لاش کو گرا رہا ہے۔ پیچھے سے ایک مخالف رکنے سے قاصر ہے اور ان کا گھوڑا لاش کو روندتا ہے۔ کیا یہ فضول ہے؟")</f>
        <v>ایک سوار لاش کو گرا رہا ہے۔ پیچھے سے ایک مخالف رکنے سے قاصر ہے اور ان کا گھوڑا لاش کو روندتا ہے۔ کیا یہ فضول ہے؟</v>
      </c>
      <c r="L97" s="6" t="str">
        <f>IFERROR(__xludf.DUMMYFUNCTION("GOOGLETRANSLATE(C97, ""en"", ""ur"")"),"A) جی ہاں، لاش کی بے عزتی کرنا فاؤل ہے، B) نہیں، یہ افراتفری کے کھیل کا ایک عام حصہ ہے، C) سوار جس نے اسے پامال کیا، اسے نااہل قرار دیا جاتا ہے، D) پوائنٹ دوبارہ چلایا جاتا ہے۔")</f>
        <v>A) جی ہاں، لاش کی بے عزتی کرنا فاؤل ہے، B) نہیں، یہ افراتفری کے کھیل کا ایک عام حصہ ہے، C) سوار جس نے اسے پامال کیا، اسے نااہل قرار دیا جاتا ہے، D) پوائنٹ دوبارہ چلایا جاتا ہے۔</v>
      </c>
      <c r="M97" s="6" t="str">
        <f>IFERROR(__xludf.DUMMYFUNCTION("GOOGLETRANSLATE(D97, ""en"", ""ur"")"),"ب) نہیں، یہ افراتفری کے کھیل کا ایک عام حصہ ہے۔")</f>
        <v>ب) نہیں، یہ افراتفری کے کھیل کا ایک عام حصہ ہے۔</v>
      </c>
      <c r="N97" s="6" t="str">
        <f>IFERROR(__xludf.DUMMYFUNCTION("GOOGLETRANSLATE(E97, ""en"", ""ur"")"),"لاش ایک ناہموار چیز ہے، اور اس لمحے کی گرمی میں، اسے گھوڑے دوڑائیں گے۔ یہ ڈرامے کا متوقع حصہ ہے۔")</f>
        <v>لاش ایک ناہموار چیز ہے، اور اس لمحے کی گرمی میں، اسے گھوڑے دوڑائیں گے۔ یہ ڈرامے کا متوقع حصہ ہے۔</v>
      </c>
    </row>
    <row r="98">
      <c r="A98" s="4">
        <v>97.0</v>
      </c>
      <c r="B98" s="5" t="s">
        <v>1446</v>
      </c>
      <c r="C98" s="5" t="s">
        <v>1447</v>
      </c>
      <c r="D98" s="5" t="s">
        <v>1448</v>
      </c>
      <c r="E98" s="5" t="s">
        <v>1449</v>
      </c>
      <c r="J98" s="6" t="str">
        <f>IFERROR(__xludf.DUMMYFUNCTION("GOOGLETRANSLATE(A98, ""en"", ""ur"")"),"97")</f>
        <v>97</v>
      </c>
      <c r="K98" s="6" t="str">
        <f>IFERROR(__xludf.DUMMYFUNCTION("GOOGLETRANSLATE(B98, ""en"", ""ur"")"),"گھوڑے کو اس کی چستی میں ""بلی کی طرح"" ہونے کی وجہ سے سراہا جاتا ہے۔ اس کا کیا مطلب ہے؟")</f>
        <v>گھوڑے کو اس کی چستی میں "بلی کی طرح" ہونے کی وجہ سے سراہا جاتا ہے۔ اس کا کیا مطلب ہے؟</v>
      </c>
      <c r="L98" s="6" t="str">
        <f>IFERROR(__xludf.DUMMYFUNCTION("GOOGLETRANSLATE(C98, ""en"", ""ur"")"),"A) گھوڑا بہت پرسکون ہے، B) گھوڑے میں اپنے پیروں پر قائم رہنے، تیزی سے مڑنے اور اپنا توازن بحال کرنے کی ناقابل یقین صلاحیت ہے، C) گھوڑا چیزوں کا پیچھا کرنا پسند کرتا ہے، D) گھوڑے کے پنجے تیز ہیں")</f>
        <v>A) گھوڑا بہت پرسکون ہے، B) گھوڑے میں اپنے پیروں پر قائم رہنے، تیزی سے مڑنے اور اپنا توازن بحال کرنے کی ناقابل یقین صلاحیت ہے، C) گھوڑا چیزوں کا پیچھا کرنا پسند کرتا ہے، D) گھوڑے کے پنجے تیز ہیں</v>
      </c>
      <c r="M98" s="6" t="str">
        <f>IFERROR(__xludf.DUMMYFUNCTION("GOOGLETRANSLATE(D98, ""en"", ""ur"")"),"ب) گھوڑے میں اپنے پیروں پر قائم رہنے، تیزی سے مڑنے اور اپنا توازن بحال کرنے کی ناقابل یقین صلاحیت ہوتی ہے۔")</f>
        <v>ب) گھوڑے میں اپنے پیروں پر قائم رہنے، تیزی سے مڑنے اور اپنا توازن بحال کرنے کی ناقابل یقین صلاحیت ہوتی ہے۔</v>
      </c>
      <c r="N98" s="6" t="str">
        <f>IFERROR(__xludf.DUMMYFUNCTION("GOOGLETRANSLATE(E98, ""en"", ""ur"")"),"یہ ایک اعلیٰ تعریف ہے، جو افراتفری کے درمیان گھوڑے کی نرمی اور فضل کا حوالہ دیتی ہے۔")</f>
        <v>یہ ایک اعلیٰ تعریف ہے، جو افراتفری کے درمیان گھوڑے کی نرمی اور فضل کا حوالہ دیتی ہے۔</v>
      </c>
    </row>
    <row r="99">
      <c r="A99" s="4">
        <v>98.0</v>
      </c>
      <c r="B99" s="5" t="s">
        <v>1450</v>
      </c>
      <c r="C99" s="5" t="s">
        <v>1451</v>
      </c>
      <c r="D99" s="5" t="s">
        <v>1452</v>
      </c>
      <c r="E99" s="5" t="s">
        <v>1453</v>
      </c>
      <c r="J99" s="6" t="str">
        <f>IFERROR(__xludf.DUMMYFUNCTION("GOOGLETRANSLATE(A99, ""en"", ""ur"")"),"98")</f>
        <v>98</v>
      </c>
      <c r="K99" s="6" t="str">
        <f>IFERROR(__xludf.DUMMYFUNCTION("GOOGLETRANSLATE(B99, ""en"", ""ur"")"),"کھیل کے دوران سوار کا کوڑا ٹوٹ جاتا ہے۔ وہ کیا کر سکتے ہیں؟")</f>
        <v>کھیل کے دوران سوار کا کوڑا ٹوٹ جاتا ہے۔ وہ کیا کر سکتے ہیں؟</v>
      </c>
      <c r="L99" s="6" t="str">
        <f>IFERROR(__xludf.DUMMYFUNCTION("GOOGLETRANSLATE(C99, ""en"", ""ur"")"),"A) ان کا متبادل ہونا ضروری ہے، B) انہیں بغیر چابک کے جاری رہنا چاہیے، C) ٹیم کا ساتھی انہیں اضافی وہپ دے سکتا ہے، D) وہ نااہل قرار دیے گئے ہیں۔")</f>
        <v>A) ان کا متبادل ہونا ضروری ہے، B) انہیں بغیر چابک کے جاری رہنا چاہیے، C) ٹیم کا ساتھی انہیں اضافی وہپ دے سکتا ہے، D) وہ نااہل قرار دیے گئے ہیں۔</v>
      </c>
      <c r="M99" s="6" t="str">
        <f>IFERROR(__xludf.DUMMYFUNCTION("GOOGLETRANSLATE(D99, ""en"", ""ur"")"),"ب) انہیں بغیر کوڑے کے جاری رکھنا چاہیے۔")</f>
        <v>ب) انہیں بغیر کوڑے کے جاری رکھنا چاہیے۔</v>
      </c>
      <c r="N99" s="6" t="str">
        <f>IFERROR(__xludf.DUMMYFUNCTION("GOOGLETRANSLATE(E99, ""en"", ""ur"")"),"ایک سوار بغیر کوڑے کے چل سکتا ہے۔ اس قسم کے سازوسامان کی خرابی کے لئے کھیل کا کوئی روک نہیں ہے۔")</f>
        <v>ایک سوار بغیر کوڑے کے چل سکتا ہے۔ اس قسم کے سازوسامان کی خرابی کے لئے کھیل کا کوئی روک نہیں ہے۔</v>
      </c>
    </row>
    <row r="100">
      <c r="A100" s="4">
        <v>99.0</v>
      </c>
      <c r="B100" s="5" t="s">
        <v>1454</v>
      </c>
      <c r="C100" s="5" t="s">
        <v>1455</v>
      </c>
      <c r="D100" s="5" t="s">
        <v>1456</v>
      </c>
      <c r="E100" s="5" t="s">
        <v>1457</v>
      </c>
      <c r="J100" s="6" t="str">
        <f>IFERROR(__xludf.DUMMYFUNCTION("GOOGLETRANSLATE(A100, ""en"", ""ur"")"),"99")</f>
        <v>99</v>
      </c>
      <c r="K100" s="6" t="str">
        <f>IFERROR(__xludf.DUMMYFUNCTION("GOOGLETRANSLATE(B100, ""en"", ""ur"")"),"دائرہ انصاف (دعدالت دائرہ) کا علامتی معنی کیا ہے؟")</f>
        <v>دائرہ انصاف (دعدالت دائرہ) کا علامتی معنی کیا ہے؟</v>
      </c>
      <c r="L100" s="6" t="str">
        <f>IFERROR(__xludf.DUMMYFUNCTION("GOOGLETRANSLATE(C100, ""en"", ""ur"")"),"A) یہ زندگی کے دائرے کی نمائندگی کرتا ہے، B) یہ ایک غیر جانبدار زمین ہے جہاں ایک مناسب سکور بنایا جا سکتا ہے، C) یہ سورج کی نمائندگی کرتا ہے، D) اس کا کوئی علامتی معنی نہیں ہے")</f>
        <v>A) یہ زندگی کے دائرے کی نمائندگی کرتا ہے، B) یہ ایک غیر جانبدار زمین ہے جہاں ایک مناسب سکور بنایا جا سکتا ہے، C) یہ سورج کی نمائندگی کرتا ہے، D) اس کا کوئی علامتی معنی نہیں ہے</v>
      </c>
      <c r="M100" s="6" t="str">
        <f>IFERROR(__xludf.DUMMYFUNCTION("GOOGLETRANSLATE(D100, ""en"", ""ur"")"),"ب) یہ ایک غیر جانبدار میدان ہے جہاں ایک منصفانہ اسکور بنایا جا سکتا ہے۔")</f>
        <v>ب) یہ ایک غیر جانبدار میدان ہے جہاں ایک منصفانہ اسکور بنایا جا سکتا ہے۔</v>
      </c>
      <c r="N100" s="6" t="str">
        <f>IFERROR(__xludf.DUMMYFUNCTION("GOOGLETRANSLATE(E100, ""en"", ""ur"")"),"اس نام سے ظاہر ہوتا ہے کہ دائرہ انصاف اور سچائی کی جگہ ہے، جہاں سوار کی کامیاب کوشش کو سرکاری اور منصفانہ طور پر تسلیم کیا جاتا ہے۔")</f>
        <v>اس نام سے ظاہر ہوتا ہے کہ دائرہ انصاف اور سچائی کی جگہ ہے، جہاں سوار کی کامیاب کوشش کو سرکاری اور منصفانہ طور پر تسلیم کیا جاتا ہے۔</v>
      </c>
    </row>
    <row r="101">
      <c r="A101" s="4">
        <v>100.0</v>
      </c>
      <c r="B101" s="5" t="s">
        <v>1458</v>
      </c>
      <c r="C101" s="5" t="s">
        <v>1459</v>
      </c>
      <c r="D101" s="5" t="s">
        <v>1460</v>
      </c>
      <c r="E101" s="5" t="s">
        <v>1461</v>
      </c>
      <c r="J101" s="6" t="str">
        <f>IFERROR(__xludf.DUMMYFUNCTION("GOOGLETRANSLATE(A101, ""en"", ""ur"")"),"100")</f>
        <v>100</v>
      </c>
      <c r="K101" s="6" t="str">
        <f>IFERROR(__xludf.DUMMYFUNCTION("GOOGLETRANSLATE(B101, ""en"", ""ur"")"),"گھوڑے کی درد کو برداشت کرنے کی صلاحیت کیوں ایک اہم وصف ہے؟")</f>
        <v>گھوڑے کی درد کو برداشت کرنے کی صلاحیت کیوں ایک اہم وصف ہے؟</v>
      </c>
      <c r="L101" s="6" t="str">
        <f>IFERROR(__xludf.DUMMYFUNCTION("GOOGLETRANSLATE(C101, ""en"", ""ur"")"),"A) ایسا نہیں ہے، B) کھیل میں مسلسل، دردناک تصادم اور کوڑے مارے جاتے ہیں، C) یہ سوار کو سخت ہونے دیتا ہے، D) یہ ایک سستے گھوڑے کی علامت ہے۔")</f>
        <v>A) ایسا نہیں ہے، B) کھیل میں مسلسل، دردناک تصادم اور کوڑے مارے جاتے ہیں، C) یہ سوار کو سخت ہونے دیتا ہے، D) یہ ایک سستے گھوڑے کی علامت ہے۔</v>
      </c>
      <c r="M101" s="6" t="str">
        <f>IFERROR(__xludf.DUMMYFUNCTION("GOOGLETRANSLATE(D101, ""en"", ""ur"")"),"ب) گیم میں مسلسل، تکلیف دہ تصادم اور کوڑے مارے جاتے ہیں۔")</f>
        <v>ب) گیم میں مسلسل، تکلیف دہ تصادم اور کوڑے مارے جاتے ہیں۔</v>
      </c>
      <c r="N101" s="6" t="str">
        <f>IFERROR(__xludf.DUMMYFUNCTION("GOOGLETRANSLATE(E101, ""en"", ""ur"")"),"بزکشی ایک ظالمانہ کھیل ہے۔ ایک گھوڑے میں درد اور تھکن سے کھیلنے کے لیے ہمت اور لچک ہونی چاہیے۔")</f>
        <v>بزکشی ایک ظالمانہ کھیل ہے۔ ایک گھوڑے میں درد اور تھکن سے کھیلنے کے لیے ہمت اور لچک ہونی چاہیے۔</v>
      </c>
    </row>
    <row r="102">
      <c r="A102" s="4">
        <v>101.0</v>
      </c>
      <c r="B102" s="5" t="s">
        <v>1462</v>
      </c>
      <c r="C102" s="5" t="s">
        <v>1463</v>
      </c>
      <c r="D102" s="5" t="s">
        <v>1464</v>
      </c>
      <c r="E102" s="5" t="s">
        <v>1465</v>
      </c>
      <c r="J102" s="6" t="str">
        <f>IFERROR(__xludf.DUMMYFUNCTION("GOOGLETRANSLATE(A102, ""en"", ""ur"")"),"101")</f>
        <v>101</v>
      </c>
      <c r="K102" s="6" t="str">
        <f>IFERROR(__xludf.DUMMYFUNCTION("GOOGLETRANSLATE(B102, ""en"", ""ur"")"),"ٹورنامنٹ کے لیے ""آفیشل"" لاش کا انتخاب کیسے کیا جاتا ہے؟")</f>
        <v>ٹورنامنٹ کے لیے "آفیشل" لاش کا انتخاب کیسے کیا جاتا ہے؟</v>
      </c>
      <c r="L102" s="6" t="str">
        <f>IFERROR(__xludf.DUMMYFUNCTION("GOOGLETRANSLATE(C102, ""en"", ""ur"")"),"A) اسے بے ترتیب طور پر منتخب کیا جاتا ہے، B) کفیل خان اسے اپنے ریوڑ سے فراہم کرتا ہے، C) یہ ایک خاص عمر اور وزن کا بکرا یا بچھڑا ہونا چاہیے، جسے حکام نے منظور کیا ہے، D) ٹیمیں اس پر ووٹ دیتی ہیں۔")</f>
        <v>A) اسے بے ترتیب طور پر منتخب کیا جاتا ہے، B) کفیل خان اسے اپنے ریوڑ سے فراہم کرتا ہے، C) یہ ایک خاص عمر اور وزن کا بکرا یا بچھڑا ہونا چاہیے، جسے حکام نے منظور کیا ہے، D) ٹیمیں اس پر ووٹ دیتی ہیں۔</v>
      </c>
      <c r="M102" s="6" t="str">
        <f>IFERROR(__xludf.DUMMYFUNCTION("GOOGLETRANSLATE(D102, ""en"", ""ur"")"),"ج) یہ ایک خاص عمر اور وزن کا بکرا یا بچھڑا ہونا چاہیے، جسے حکام نے منظور کیا ہو۔")</f>
        <v>ج) یہ ایک خاص عمر اور وزن کا بکرا یا بچھڑا ہونا چاہیے، جسے حکام نے منظور کیا ہو۔</v>
      </c>
      <c r="N102" s="6" t="str">
        <f>IFERROR(__xludf.DUMMYFUNCTION("GOOGLETRANSLATE(E102, ""en"", ""ur"")"),"انصاف کو یقینی بنانے کے لیے، لاش کو میچ سے پہلے سائز اور وزن کے لیے معیاری معیار پر پورا اترنا چاہیے۔")</f>
        <v>انصاف کو یقینی بنانے کے لیے، لاش کو میچ سے پہلے سائز اور وزن کے لیے معیاری معیار پر پورا اترنا چاہیے۔</v>
      </c>
    </row>
    <row r="103">
      <c r="A103" s="4">
        <v>102.0</v>
      </c>
      <c r="B103" s="5" t="s">
        <v>1466</v>
      </c>
      <c r="C103" s="5" t="s">
        <v>1467</v>
      </c>
      <c r="D103" s="5" t="s">
        <v>1468</v>
      </c>
      <c r="E103" s="5" t="s">
        <v>1469</v>
      </c>
      <c r="J103" s="6" t="str">
        <f>IFERROR(__xludf.DUMMYFUNCTION("GOOGLETRANSLATE(A103, ""en"", ""ur"")"),"102")</f>
        <v>102</v>
      </c>
      <c r="K103" s="6" t="str">
        <f>IFERROR(__xludf.DUMMYFUNCTION("GOOGLETRANSLATE(B103, ""en"", ""ur"")"),"""ٹھنڈے خون والے"" گھوڑے کی بنیادی خصوصیت کیا ہے، اور یہ بزکشی کے لیے کیوں نا مناسب ہے؟")</f>
        <v>"ٹھنڈے خون والے" گھوڑے کی بنیادی خصوصیت کیا ہے، اور یہ بزکشی کے لیے کیوں نا مناسب ہے؟</v>
      </c>
      <c r="L103" s="6" t="str">
        <f>IFERROR(__xludf.DUMMYFUNCTION("GOOGLETRANSLATE(C103, ""en"", ""ur"")"),"ا) وہ جارحانہ ہیں؛ وہ بہت خطرناک ہیں، ب) وہ پرسکون اور سست ہیں؛ ان میں ضروری رفتار اور آگ کی کمی ہے، C) وہ چھوٹے ہیں؛ وہ کافی مضبوط نہیں ہیں، D) وہ نایاب ہیں؛ وہ بہت مہنگے ہیں")</f>
        <v>ا) وہ جارحانہ ہیں؛ وہ بہت خطرناک ہیں، ب) وہ پرسکون اور سست ہیں؛ ان میں ضروری رفتار اور آگ کی کمی ہے، C) وہ چھوٹے ہیں؛ وہ کافی مضبوط نہیں ہیں، D) وہ نایاب ہیں؛ وہ بہت مہنگے ہیں</v>
      </c>
      <c r="M103" s="6" t="str">
        <f>IFERROR(__xludf.DUMMYFUNCTION("GOOGLETRANSLATE(D103, ""en"", ""ur"")"),"ب) وہ پرسکون اور سست ہیں؛ ان میں ضروری رفتار اور آگ کی کمی ہے۔")</f>
        <v>ب) وہ پرسکون اور سست ہیں؛ ان میں ضروری رفتار اور آگ کی کمی ہے۔</v>
      </c>
      <c r="N103" s="6" t="str">
        <f>IFERROR(__xludf.DUMMYFUNCTION("GOOGLETRANSLATE(E103, ""en"", ""ur"")"),"بزکاشی کو ""گرم خون والے"" گھوڑوں کی ضرورت ہوتی ہے جو اپنی توانائی، رفتار اور مسابقتی جذبے کے لیے مشہور ہیں۔ ایک پرسکون ڈرافٹ گھوڑا مکمل طور پر غیر موزوں ہوگا۔")</f>
        <v>بزکاشی کو "گرم خون والے" گھوڑوں کی ضرورت ہوتی ہے جو اپنی توانائی، رفتار اور مسابقتی جذبے کے لیے مشہور ہیں۔ ایک پرسکون ڈرافٹ گھوڑا مکمل طور پر غیر موزوں ہوگا۔</v>
      </c>
    </row>
    <row r="104">
      <c r="A104" s="4">
        <v>103.0</v>
      </c>
      <c r="B104" s="5" t="s">
        <v>1470</v>
      </c>
      <c r="C104" s="5" t="s">
        <v>1152</v>
      </c>
      <c r="D104" s="5" t="s">
        <v>1153</v>
      </c>
      <c r="E104" s="5" t="s">
        <v>1154</v>
      </c>
      <c r="J104" s="6" t="str">
        <f>IFERROR(__xludf.DUMMYFUNCTION("GOOGLETRANSLATE(A104, ""en"", ""ur"")"),"103")</f>
        <v>103</v>
      </c>
      <c r="K104" s="6" t="str">
        <f>IFERROR(__xludf.DUMMYFUNCTION("GOOGLETRANSLATE(B104, ""en"", ""ur"")"),"ایک سوار پر دوسرے گھوڑوں کو چوٹ پہنچانے کے لیے چھپے ہوئے تیز نقطہ کے ساتھ زین کا استعمال کرنے کا الزام ہے۔ اگر سچ ہے تو سزا کیا ہے؟")</f>
        <v>ایک سوار پر دوسرے گھوڑوں کو چوٹ پہنچانے کے لیے چھپے ہوئے تیز نقطہ کے ساتھ زین کا استعمال کرنے کا الزام ہے۔ اگر سچ ہے تو سزا کیا ہے؟</v>
      </c>
      <c r="L104" s="6" t="str">
        <f>IFERROR(__xludf.DUMMYFUNCTION("GOOGLETRANSLATE(C104, ""en"", ""ur"")"),"A) ایک انتباہ، B) ایک پوائنٹ کی کٹوتی، C) فوری طور پر نااہلی اور کھیل سے ممکنہ پابندی، D) جرمانہ")</f>
        <v>A) ایک انتباہ، B) ایک پوائنٹ کی کٹوتی، C) فوری طور پر نااہلی اور کھیل سے ممکنہ پابندی، D) جرمانہ</v>
      </c>
      <c r="M104" s="6" t="str">
        <f>IFERROR(__xludf.DUMMYFUNCTION("GOOGLETRANSLATE(D104, ""en"", ""ur"")"),"C) فوری طور پر نااہلی اور کھیل سے ممکنہ پابندی")</f>
        <v>C) فوری طور پر نااہلی اور کھیل سے ممکنہ پابندی</v>
      </c>
      <c r="N104" s="6" t="str">
        <f>IFERROR(__xludf.DUMMYFUNCTION("GOOGLETRANSLATE(E104, ""en"", ""ur"")"),"یہ دھوکہ دہی کی ایک شدید شکل ہے جسے جان بوجھ کر دوسرے جانوروں کو زخمی کرنے کے لیے ڈیزائن کیا گیا ہے اور اسے سخت ترین ممکنہ سزا دی جائے گی۔")</f>
        <v>یہ دھوکہ دہی کی ایک شدید شکل ہے جسے جان بوجھ کر دوسرے جانوروں کو زخمی کرنے کے لیے ڈیزائن کیا گیا ہے اور اسے سخت ترین ممکنہ سزا دی جائے گی۔</v>
      </c>
    </row>
    <row r="105">
      <c r="A105" s="4">
        <v>104.0</v>
      </c>
      <c r="B105" s="5" t="s">
        <v>1471</v>
      </c>
      <c r="C105" s="5" t="s">
        <v>1472</v>
      </c>
      <c r="D105" s="5" t="s">
        <v>1473</v>
      </c>
      <c r="E105" s="5" t="s">
        <v>1214</v>
      </c>
      <c r="J105" s="6" t="str">
        <f>IFERROR(__xludf.DUMMYFUNCTION("GOOGLETRANSLATE(A105, ""en"", ""ur"")"),"104")</f>
        <v>104</v>
      </c>
      <c r="K105" s="6" t="str">
        <f>IFERROR(__xludf.DUMMYFUNCTION("GOOGLETRANSLATE(B105, ""en"", ""ur"")"),"افراتفری والے اسکرم میں سوار کے لئے سب سے اہم مہارت کیا ہے؟")</f>
        <v>افراتفری والے اسکرم میں سوار کے لئے سب سے اہم مہارت کیا ہے؟</v>
      </c>
      <c r="L105" s="6" t="str">
        <f>IFERROR(__xludf.DUMMYFUNCTION("GOOGLETRANSLATE(C105, ""en"", ""ur"")"),"A) جتنی جلدی ممکن ہو سواری کرنے کی صلاحیت، B) بہت زیادہ دباؤ کے دوران گھوڑے پر کھڑے رہنے اور پوزیشن برقرار رکھنے کی صلاحیت، C) چابک کو مؤثر طریقے سے استعمال کرنے کی صلاحیت، D) ساتھیوں کے ساتھ بات چیت کرنے کی صلاحیت")</f>
        <v>A) جتنی جلدی ممکن ہو سواری کرنے کی صلاحیت، B) بہت زیادہ دباؤ کے دوران گھوڑے پر کھڑے رہنے اور پوزیشن برقرار رکھنے کی صلاحیت، C) چابک کو مؤثر طریقے سے استعمال کرنے کی صلاحیت، D) ساتھیوں کے ساتھ بات چیت کرنے کی صلاحیت</v>
      </c>
      <c r="M105" s="6" t="str">
        <f>IFERROR(__xludf.DUMMYFUNCTION("GOOGLETRANSLATE(D105, ""en"", ""ur"")"),"ب) بہت زیادہ دباؤ کے دوران گھوڑے پر رہنے اور پوزیشن برقرار رکھنے کی صلاحیت")</f>
        <v>ب) بہت زیادہ دباؤ کے دوران گھوڑے پر رہنے اور پوزیشن برقرار رکھنے کی صلاحیت</v>
      </c>
      <c r="N105" s="6" t="str">
        <f>IFERROR(__xludf.DUMMYFUNCTION("GOOGLETRANSLATE(E105, ""en"", ""ur"")"),"اس سے پہلے کہ کوئی سوار لاش کے بارے میں سوچ سکے، انہیں اسکرم کے پرتشدد افراتفری سے بچنے کی بنیادی مہارت حاصل کرنی چاہیے۔")</f>
        <v>اس سے پہلے کہ کوئی سوار لاش کے بارے میں سوچ سکے، انہیں اسکرم کے پرتشدد افراتفری سے بچنے کی بنیادی مہارت حاصل کرنی چاہیے۔</v>
      </c>
    </row>
    <row r="106">
      <c r="A106" s="4">
        <v>105.0</v>
      </c>
      <c r="B106" s="5" t="s">
        <v>1474</v>
      </c>
      <c r="C106" s="5" t="s">
        <v>1475</v>
      </c>
      <c r="D106" s="5" t="s">
        <v>1476</v>
      </c>
      <c r="E106" s="5" t="s">
        <v>1477</v>
      </c>
      <c r="J106" s="6" t="str">
        <f>IFERROR(__xludf.DUMMYFUNCTION("GOOGLETRANSLATE(A106, ""en"", ""ur"")"),"105")</f>
        <v>105</v>
      </c>
      <c r="K106" s="6" t="str">
        <f>IFERROR(__xludf.DUMMYFUNCTION("GOOGLETRANSLATE(B106, ""en"", ""ur"")"),"ایک ٹیم میں ""سویپر"" گھوڑے کا کیا کردار ہے؟")</f>
        <v>ایک ٹیم میں "سویپر" گھوڑے کا کیا کردار ہے؟</v>
      </c>
      <c r="L106" s="6" t="str">
        <f>IFERROR(__xludf.DUMMYFUNCTION("GOOGLETRANSLATE(C106, ""en"", ""ur"")"),"A) ایک گھوڑا جو میدان کو صاف کرنے کے لئے تربیت یافتہ ہے، B) ایک گھوڑا جو آزاد ہونے والے مخالفین کا پیچھا کرنے میں اچھا ہے، C) ایک گھوڑا جو دفاع میں اچھا ہے، D) ایک گھوڑا جو صرف رسمی مقاصد کے لئے استعمال کیا جاتا ہے")</f>
        <v>A) ایک گھوڑا جو میدان کو صاف کرنے کے لئے تربیت یافتہ ہے، B) ایک گھوڑا جو آزاد ہونے والے مخالفین کا پیچھا کرنے میں اچھا ہے، C) ایک گھوڑا جو دفاع میں اچھا ہے، D) ایک گھوڑا جو صرف رسمی مقاصد کے لئے استعمال کیا جاتا ہے</v>
      </c>
      <c r="M106" s="6" t="str">
        <f>IFERROR(__xludf.DUMMYFUNCTION("GOOGLETRANSLATE(D106, ""en"", ""ur"")"),"ب) ایک گھوڑا جو آزاد ہونے والے مخالفین کا پیچھا کرنے میں اچھا ہے۔")</f>
        <v>ب) ایک گھوڑا جو آزاد ہونے والے مخالفین کا پیچھا کرنے میں اچھا ہے۔</v>
      </c>
      <c r="N106" s="6" t="str">
        <f>IFERROR(__xludf.DUMMYFUNCTION("GOOGLETRANSLATE(E106, ""en"", ""ur"")"),"کچھ گھوڑے سیدھی لکیر میں غیر معمولی طور پر تیز ہوتے ہیں اور ٹیموں کے ذریعہ ان کا استعمال کسی بری اسکورر کا پیچھا کرنے اور اسے چلانے کے لیے کیا جاتا ہے۔")</f>
        <v>کچھ گھوڑے سیدھی لکیر میں غیر معمولی طور پر تیز ہوتے ہیں اور ٹیموں کے ذریعہ ان کا استعمال کسی بری اسکورر کا پیچھا کرنے اور اسے چلانے کے لیے کیا جاتا ہے۔</v>
      </c>
    </row>
    <row r="107">
      <c r="A107" s="4">
        <v>106.0</v>
      </c>
      <c r="B107" s="5" t="s">
        <v>1478</v>
      </c>
      <c r="C107" s="5" t="s">
        <v>1479</v>
      </c>
      <c r="D107" s="5" t="s">
        <v>1480</v>
      </c>
      <c r="E107" s="5" t="s">
        <v>1481</v>
      </c>
      <c r="J107" s="6" t="str">
        <f>IFERROR(__xludf.DUMMYFUNCTION("GOOGLETRANSLATE(A107, ""en"", ""ur"")"),"106")</f>
        <v>106</v>
      </c>
      <c r="K107" s="6" t="str">
        <f>IFERROR(__xludf.DUMMYFUNCTION("GOOGLETRANSLATE(B107, ""en"", ""ur"")"),"ایک سوار لاش کو اپنی ٹانگ کے نیچے پکڑے ہوئے ہے۔ ایک مخالف سوار ہوتا ہے اور اسے آزاد کرنے کی کوشش کرتا ہے۔ کیا پہلے سوار کے لیے یہ قانونی ہے کہ وہ اپنی ٹانگ کو نیچے رکھنے کے لیے سختی سے پکڑے؟")</f>
        <v>ایک سوار لاش کو اپنی ٹانگ کے نیچے پکڑے ہوئے ہے۔ ایک مخالف سوار ہوتا ہے اور اسے آزاد کرنے کی کوشش کرتا ہے۔ کیا پہلے سوار کے لیے یہ قانونی ہے کہ وہ اپنی ٹانگ کو نیچے رکھنے کے لیے سختی سے پکڑے؟</v>
      </c>
      <c r="L107" s="6" t="str">
        <f>IFERROR(__xludf.DUMMYFUNCTION("GOOGLETRANSLATE(C107, ""en"", ""ur"")"),"A) نہیں، انہیں اپنے ہاتھوں کا استعمال کرنا چاہیے، B) ہاں، لاش کو پکڑنے اور محفوظ کرنے کے لیے ٹانگوں کا استعمال ایک اہم ہنر ہے، C) یہ پکڑنے کے لیے غلط ہے، D) صرف اس صورت میں جب مخالف راضی ہو۔")</f>
        <v>A) نہیں، انہیں اپنے ہاتھوں کا استعمال کرنا چاہیے، B) ہاں، لاش کو پکڑنے اور محفوظ کرنے کے لیے ٹانگوں کا استعمال ایک اہم ہنر ہے، C) یہ پکڑنے کے لیے غلط ہے، D) صرف اس صورت میں جب مخالف راضی ہو۔</v>
      </c>
      <c r="M107" s="6" t="str">
        <f>IFERROR(__xludf.DUMMYFUNCTION("GOOGLETRANSLATE(D107, ""en"", ""ur"")"),"ب) جی ہاں، لاش کو پکڑنے اور محفوظ کرنے کے لیے ٹانگوں کا استعمال ایک اہم ہنر ہے۔")</f>
        <v>ب) جی ہاں، لاش کو پکڑنے اور محفوظ کرنے کے لیے ٹانگوں کا استعمال ایک اہم ہنر ہے۔</v>
      </c>
      <c r="N107" s="6" t="str">
        <f>IFERROR(__xludf.DUMMYFUNCTION("GOOGLETRANSLATE(E107, ""en"", ""ur"")"),"چپنڈاز کی ٹانگوں کی طاقتور گرفت بھاری لاش کو اپنے قبضے میں رکھنے کا بنیادی ذریعہ ہے۔")</f>
        <v>چپنڈاز کی ٹانگوں کی طاقتور گرفت بھاری لاش کو اپنے قبضے میں رکھنے کا بنیادی ذریعہ ہے۔</v>
      </c>
    </row>
    <row r="108">
      <c r="A108" s="4">
        <v>107.0</v>
      </c>
      <c r="B108" s="5" t="s">
        <v>1482</v>
      </c>
      <c r="C108" s="5" t="s">
        <v>1483</v>
      </c>
      <c r="D108" s="5" t="s">
        <v>1484</v>
      </c>
      <c r="E108" s="5" t="s">
        <v>1485</v>
      </c>
      <c r="J108" s="6" t="str">
        <f>IFERROR(__xludf.DUMMYFUNCTION("GOOGLETRANSLATE(A108, ""en"", ""ur"")"),"107")</f>
        <v>107</v>
      </c>
      <c r="K108" s="6" t="str">
        <f>IFERROR(__xludf.DUMMYFUNCTION("GOOGLETRANSLATE(B108, ""en"", ""ur"")"),"ایک ٹورنامنٹ میں، انصاف کے دائرے کا مخصوص رنگ کیا ہے؟")</f>
        <v>ایک ٹورنامنٹ میں، انصاف کے دائرے کا مخصوص رنگ کیا ہے؟</v>
      </c>
      <c r="L108" s="6" t="str">
        <f>IFERROR(__xludf.DUMMYFUNCTION("GOOGLETRANSLATE(C108, ""en"", ""ur"")"),"A) یہ غیر نشان زدہ ہے، B) یہ چمکدار سفید چاک سے نشان زد ہے، C) یہ سرخ رسی سے نشان زد ہے، D) یہ مستقل طور پر پینٹ شدہ دائرہ ہے۔")</f>
        <v>A) یہ غیر نشان زدہ ہے، B) یہ چمکدار سفید چاک سے نشان زد ہے، C) یہ سرخ رسی سے نشان زد ہے، D) یہ مستقل طور پر پینٹ شدہ دائرہ ہے۔</v>
      </c>
      <c r="M108" s="6" t="str">
        <f>IFERROR(__xludf.DUMMYFUNCTION("GOOGLETRANSLATE(D108, ""en"", ""ur"")"),"ب) یہ روشن سفید چاک سے نشان زد ہے۔")</f>
        <v>ب) یہ روشن سفید چاک سے نشان زد ہے۔</v>
      </c>
      <c r="N108" s="6" t="str">
        <f>IFERROR(__xludf.DUMMYFUNCTION("GOOGLETRANSLATE(E108, ""en"", ""ur"")"),"سواروں اور ریفریوں کے لیے واضح مرئیت کو یقینی بنانے کے لیے، گول کرنے والے دائرے کو عام طور پر موٹے سفید چاک یا چونے سے کھینچا جاتا ہے۔")</f>
        <v>سواروں اور ریفریوں کے لیے واضح مرئیت کو یقینی بنانے کے لیے، گول کرنے والے دائرے کو عام طور پر موٹے سفید چاک یا چونے سے کھینچا جاتا ہے۔</v>
      </c>
    </row>
    <row r="109">
      <c r="A109" s="4">
        <v>108.0</v>
      </c>
      <c r="B109" s="5" t="s">
        <v>1486</v>
      </c>
      <c r="C109" s="5" t="s">
        <v>1487</v>
      </c>
      <c r="D109" s="5" t="s">
        <v>1488</v>
      </c>
      <c r="E109" s="5" t="s">
        <v>1489</v>
      </c>
      <c r="J109" s="6" t="str">
        <f>IFERROR(__xludf.DUMMYFUNCTION("GOOGLETRANSLATE(A109, ""en"", ""ur"")"),"108")</f>
        <v>108</v>
      </c>
      <c r="K109" s="6" t="str">
        <f>IFERROR(__xludf.DUMMYFUNCTION("GOOGLETRANSLATE(B109, ""en"", ""ur"")"),"ایک ماہر چپنداز کی حتمی نشانی کیا ہے؟")</f>
        <v>ایک ماہر چپنداز کی حتمی نشانی کیا ہے؟</v>
      </c>
      <c r="L109" s="6" t="str">
        <f>IFERROR(__xludf.DUMMYFUNCTION("GOOGLETRANSLATE(C109, ""en"", ""ur"")"),"A) ان کے پاس سب سے مہنگا گھوڑا ہے، B) وہ بغیر کسی کوشش کے بظاہر ایک پوائنٹ اسکور کر سکتے ہیں، جس سے افراتفری کا کھیل آسان نظر آتا ہے، C) وہ ہر میچ جیت جاتے ہیں، D) وہ سب سے زیادہ جارحانہ سوار ہیں")</f>
        <v>A) ان کے پاس سب سے مہنگا گھوڑا ہے، B) وہ بغیر کسی کوشش کے بظاہر ایک پوائنٹ اسکور کر سکتے ہیں، جس سے افراتفری کا کھیل آسان نظر آتا ہے، C) وہ ہر میچ جیت جاتے ہیں، D) وہ سب سے زیادہ جارحانہ سوار ہیں</v>
      </c>
      <c r="M109" s="6" t="str">
        <f>IFERROR(__xludf.DUMMYFUNCTION("GOOGLETRANSLATE(D109, ""en"", ""ur"")"),"ب) وہ بغیر کوشش کے بظاہر ایک پوائنٹ اسکور کر سکتے ہیں، جس سے افراتفری کا کھیل آسان نظر آتا ہے۔")</f>
        <v>ب) وہ بغیر کوشش کے بظاہر ایک پوائنٹ اسکور کر سکتے ہیں، جس سے افراتفری کا کھیل آسان نظر آتا ہے۔</v>
      </c>
      <c r="N109" s="6" t="str">
        <f>IFERROR(__xludf.DUMMYFUNCTION("GOOGLETRANSLATE(E109, ""en"", ""ur"")"),"حقیقی مہارت کو ایک آسان فضل اور ذہانت کے ذریعے دکھایا گیا ہے جو ناقابل یقین حد تک مشکل کھیل کو سیال اور سادہ نظر آتا ہے۔")</f>
        <v>حقیقی مہارت کو ایک آسان فضل اور ذہانت کے ذریعے دکھایا گیا ہے جو ناقابل یقین حد تک مشکل کھیل کو سیال اور سادہ نظر آتا ہے۔</v>
      </c>
    </row>
    <row r="110">
      <c r="A110" s="4">
        <v>109.0</v>
      </c>
      <c r="B110" s="5" t="s">
        <v>1490</v>
      </c>
      <c r="C110" s="5" t="s">
        <v>1180</v>
      </c>
      <c r="D110" s="5" t="s">
        <v>1181</v>
      </c>
      <c r="E110" s="5" t="s">
        <v>1182</v>
      </c>
      <c r="J110" s="6" t="str">
        <f>IFERROR(__xludf.DUMMYFUNCTION("GOOGLETRANSLATE(A110, ""en"", ""ur"")"),"109")</f>
        <v>109</v>
      </c>
      <c r="K110" s="6" t="str">
        <f>IFERROR(__xludf.DUMMYFUNCTION("GOOGLETRANSLATE(B110, ""en"", ""ur"")"),"غلط نسل کا گھوڑا رکھنے پر سوار کو نااہل قرار دیا جاتا ہے۔ پاکستان میں روایتی میچ کے لیے سب سے زیادہ مطلوبہ نسل کون سی ہے؟")</f>
        <v>غلط نسل کا گھوڑا رکھنے پر سوار کو نااہل قرار دیا جاتا ہے۔ پاکستان میں روایتی میچ کے لیے سب سے زیادہ مطلوبہ نسل کون سی ہے؟</v>
      </c>
      <c r="L110" s="6" t="str">
        <f>IFERROR(__xludf.DUMMYFUNCTION("GOOGLETRANSLATE(C110, ""en"", ""ur"")"),"A) عربی، B) مکمل نسل، C) ایک مقامی نسل جو وزیری یا بلوچی جیسی سختی کے لیے جانی جاتی ہے، D) شائر")</f>
        <v>A) عربی، B) مکمل نسل، C) ایک مقامی نسل جو وزیری یا بلوچی جیسی سختی کے لیے جانی جاتی ہے، D) شائر</v>
      </c>
      <c r="M110" s="6" t="str">
        <f>IFERROR(__xludf.DUMMYFUNCTION("GOOGLETRANSLATE(D110, ""en"", ""ur"")"),"ج) ایک مقامی نسل جو جفاکشی کے لیے مشہور ہے جیسے وزیری یا بلوچی۔")</f>
        <v>ج) ایک مقامی نسل جو جفاکشی کے لیے مشہور ہے جیسے وزیری یا بلوچی۔</v>
      </c>
      <c r="N110" s="6" t="str">
        <f>IFERROR(__xludf.DUMMYFUNCTION("GOOGLETRANSLATE(E110, ""en"", ""ur"")"),"روایتی کھیل اکثر مقامی نسلوں کو زیادہ اہمیت دیتے ہیں جو خاص طور پر خطے کی آب و ہوا اور کھیل کے تقاضوں کے مطابق ہوتی ہیں۔")</f>
        <v>روایتی کھیل اکثر مقامی نسلوں کو زیادہ اہمیت دیتے ہیں جو خاص طور پر خطے کی آب و ہوا اور کھیل کے تقاضوں کے مطابق ہوتی ہیں۔</v>
      </c>
    </row>
    <row r="111">
      <c r="A111" s="4">
        <v>110.0</v>
      </c>
      <c r="B111" s="5" t="s">
        <v>1388</v>
      </c>
      <c r="C111" s="5" t="s">
        <v>1389</v>
      </c>
      <c r="D111" s="5" t="s">
        <v>1390</v>
      </c>
      <c r="E111" s="5" t="s">
        <v>1391</v>
      </c>
      <c r="J111" s="6" t="str">
        <f>IFERROR(__xludf.DUMMYFUNCTION("GOOGLETRANSLATE(A111, ""en"", ""ur"")"),"110")</f>
        <v>110</v>
      </c>
      <c r="K111" s="6" t="str">
        <f>IFERROR(__xludf.DUMMYFUNCTION("GOOGLETRANSLATE(B111, ""en"", ""ur"")"),"اونچی پشت والی کاٹھی، یا کینٹل کا بنیادی مقصد کیا ہے؟")</f>
        <v>اونچی پشت والی کاٹھی، یا کینٹل کا بنیادی مقصد کیا ہے؟</v>
      </c>
      <c r="L111" s="6" t="str">
        <f>IFERROR(__xludf.DUMMYFUNCTION("GOOGLETRANSLATE(C111, ""en"", ""ur"")"),"A) سجاوٹ کے لیے جگہ فراہم کرنے کے لیے، B) بھاری لاش کو کھینچتے وقت سوار کو پیچھے کی طرف پھسلنے سے روکنے کے لیے، C) سوار کو لمبا بیٹھنے کے لیے، D) یہ خالصتاً کاسمیٹک ہے۔")</f>
        <v>A) سجاوٹ کے لیے جگہ فراہم کرنے کے لیے، B) بھاری لاش کو کھینچتے وقت سوار کو پیچھے کی طرف پھسلنے سے روکنے کے لیے، C) سوار کو لمبا بیٹھنے کے لیے، D) یہ خالصتاً کاسمیٹک ہے۔</v>
      </c>
      <c r="M111" s="6" t="str">
        <f>IFERROR(__xludf.DUMMYFUNCTION("GOOGLETRANSLATE(D111, ""en"", ""ur"")"),"ب) بھاری لاش کو کھینچتے وقت سوار کو پیچھے کی طرف پھسلنے سے روکنا")</f>
        <v>ب) بھاری لاش کو کھینچتے وقت سوار کو پیچھے کی طرف پھسلنے سے روکنا</v>
      </c>
      <c r="N111" s="6" t="str">
        <f>IFERROR(__xludf.DUMMYFUNCTION("GOOGLETRANSLATE(E111, ""en"", ""ur"")"),"ہائی کینٹل ایک تسمہ کے طور پر کام کرتا ہے، جو سوار کو اہم فائدہ اور مدد فراہم کرتا ہے۔")</f>
        <v>ہائی کینٹل ایک تسمہ کے طور پر کام کرتا ہے، جو سوار کو اہم فائدہ اور مدد فراہم کرتا ہے۔</v>
      </c>
    </row>
    <row r="112">
      <c r="A112" s="4">
        <v>111.0</v>
      </c>
      <c r="B112" s="5" t="s">
        <v>1183</v>
      </c>
      <c r="C112" s="5" t="s">
        <v>1184</v>
      </c>
      <c r="D112" s="5" t="s">
        <v>1185</v>
      </c>
      <c r="E112" s="5" t="s">
        <v>1491</v>
      </c>
      <c r="J112" s="6" t="str">
        <f>IFERROR(__xludf.DUMMYFUNCTION("GOOGLETRANSLATE(A112, ""en"", ""ur"")"),"111")</f>
        <v>111</v>
      </c>
      <c r="K112" s="6" t="str">
        <f>IFERROR(__xludf.DUMMYFUNCTION("GOOGLETRANSLATE(B112, ""en"", ""ur"")"),"ایک ریفری کھیل کو روکتا ہے کیونکہ سوار کی روایتی پگڑی (لنگی) ختم ہو گئی ہے اور ان کی بینائی کو مدھم کر رہی ہے۔ کیا یہ صحیح کال ہے؟")</f>
        <v>ایک ریفری کھیل کو روکتا ہے کیونکہ سوار کی روایتی پگڑی (لنگی) ختم ہو گئی ہے اور ان کی بینائی کو مدھم کر رہی ہے۔ کیا یہ صحیح کال ہے؟</v>
      </c>
      <c r="L112" s="6" t="str">
        <f>IFERROR(__xludf.DUMMYFUNCTION("GOOGLETRANSLATE(C112, ""en"", ""ur"")"),"A) نہیں، کھیل جاری رہنا چاہئے، B) ہاں، یہ سوار کی حفاظت کا معاملہ ہے، C) سوار کو نااہل قرار دیا جانا چاہئے، D) مخالف کو ایک پوائنٹ ملتا ہے")</f>
        <v>A) نہیں، کھیل جاری رہنا چاہئے، B) ہاں، یہ سوار کی حفاظت کا معاملہ ہے، C) سوار کو نااہل قرار دیا جانا چاہئے، D) مخالف کو ایک پوائنٹ ملتا ہے</v>
      </c>
      <c r="M112" s="6" t="str">
        <f>IFERROR(__xludf.DUMMYFUNCTION("GOOGLETRANSLATE(D112, ""en"", ""ur"")"),"ب) جی ہاں، یہ سوار کی حفاظت کا معاملہ ہے۔")</f>
        <v>ب) جی ہاں، یہ سوار کی حفاظت کا معاملہ ہے۔</v>
      </c>
      <c r="N112" s="6" t="str">
        <f>IFERROR(__xludf.DUMMYFUNCTION("GOOGLETRANSLATE(E112, ""en"", ""ur"")"),"اگر سامان یا لباس کا کوئی ٹکڑا حفاظتی خطرہ بن جاتا ہے، تو ریفری کھیل کو روک سکتا ہے اور اسے روکنا چاہیے۔")</f>
        <v>اگر سامان یا لباس کا کوئی ٹکڑا حفاظتی خطرہ بن جاتا ہے، تو ریفری کھیل کو روک سکتا ہے اور اسے روکنا چاہیے۔</v>
      </c>
    </row>
    <row r="113">
      <c r="A113" s="4">
        <v>112.0</v>
      </c>
      <c r="B113" s="5" t="s">
        <v>1492</v>
      </c>
      <c r="C113" s="5" t="s">
        <v>1385</v>
      </c>
      <c r="D113" s="5" t="s">
        <v>1386</v>
      </c>
      <c r="E113" s="5" t="s">
        <v>1493</v>
      </c>
      <c r="J113" s="6" t="str">
        <f>IFERROR(__xludf.DUMMYFUNCTION("GOOGLETRANSLATE(A113, ""en"", ""ur"")"),"112")</f>
        <v>112</v>
      </c>
      <c r="K113" s="6" t="str">
        <f>IFERROR(__xludf.DUMMYFUNCTION("GOOGLETRANSLATE(B113, ""en"", ""ur"")"),"گھوڑے کو اس کے ""نرم منہ"" کے لیے سراہا جاتا ہے۔ اس کا کیا مطلب ہے؟")</f>
        <v>گھوڑے کو اس کے "نرم منہ" کے لیے سراہا جاتا ہے۔ اس کا کیا مطلب ہے؟</v>
      </c>
      <c r="L113" s="6" t="str">
        <f>IFERROR(__xludf.DUMMYFUNCTION("GOOGLETRANSLATE(C113, ""en"", ""ur"")"),"A) گھوڑے کے دانت کمزور ہیں، B) گھوڑا لگام سے نرم اشارے پر بہت زیادہ جوابدہ ہے، C) گھوڑا نہیں کاٹتا، D) گھوڑا نرم کھانا کھاتا ہے")</f>
        <v>A) گھوڑے کے دانت کمزور ہیں، B) گھوڑا لگام سے نرم اشارے پر بہت زیادہ جوابدہ ہے، C) گھوڑا نہیں کاٹتا، D) گھوڑا نرم کھانا کھاتا ہے</v>
      </c>
      <c r="M113" s="6" t="str">
        <f>IFERROR(__xludf.DUMMYFUNCTION("GOOGLETRANSLATE(D113, ""en"", ""ur"")"),"ب) گھوڑا لگام سے نرم اشارے کے لئے بہت جوابدہ ہے۔")</f>
        <v>ب) گھوڑا لگام سے نرم اشارے کے لئے بہت جوابدہ ہے۔</v>
      </c>
      <c r="N113" s="6" t="str">
        <f>IFERROR(__xludf.DUMMYFUNCTION("GOOGLETRANSLATE(E113, ""en"", ""ur"")"),"نرم منہ ایک اچھی طرح سے تربیت یافتہ گھوڑے کی علامت ہے جسے ٹھیک ٹھیک اشاروں سے رہنمائی حاصل کی جاسکتی ہے، جو اس وقت اہم ہوتا ہے جب سوار کے ہاتھ پر قبضہ ہوتا ہے۔")</f>
        <v>نرم منہ ایک اچھی طرح سے تربیت یافتہ گھوڑے کی علامت ہے جسے ٹھیک ٹھیک اشاروں سے رہنمائی حاصل کی جاسکتی ہے، جو اس وقت اہم ہوتا ہے جب سوار کے ہاتھ پر قبضہ ہوتا ہے۔</v>
      </c>
    </row>
    <row r="114">
      <c r="A114" s="4">
        <v>113.0</v>
      </c>
      <c r="B114" s="5" t="s">
        <v>1494</v>
      </c>
      <c r="C114" s="5" t="s">
        <v>1495</v>
      </c>
      <c r="D114" s="5" t="s">
        <v>1496</v>
      </c>
      <c r="E114" s="5" t="s">
        <v>1497</v>
      </c>
      <c r="J114" s="6" t="str">
        <f>IFERROR(__xludf.DUMMYFUNCTION("GOOGLETRANSLATE(A114, ""en"", ""ur"")"),"113")</f>
        <v>113</v>
      </c>
      <c r="K114" s="6" t="str">
        <f>IFERROR(__xludf.DUMMYFUNCTION("GOOGLETRANSLATE(B114, ""en"", ""ur"")"),"""زیادہ سے زیادہ کوڑے مارنے"" کے لیے ایک سوار کو سزا دینے کی بنیادی وجہ کیا ہے؟")</f>
        <v>"زیادہ سے زیادہ کوڑے مارنے" کے لیے ایک سوار کو سزا دینے کی بنیادی وجہ کیا ہے؟</v>
      </c>
      <c r="L114" s="6" t="str">
        <f>IFERROR(__xludf.DUMMYFUNCTION("GOOGLETRANSLATE(C114, ""en"", ""ur"")"),"A) یہ جرمانہ نہیں ہے، B) اسے جانوروں پر ظلم سمجھا جاتا ہے، C) یہ گھوڑے کو بہت جلدی تھکا سکتا ہے، D) یہ کوڑے کو نقصان پہنچا سکتا ہے۔")</f>
        <v>A) یہ جرمانہ نہیں ہے، B) اسے جانوروں پر ظلم سمجھا جاتا ہے، C) یہ گھوڑے کو بہت جلدی تھکا سکتا ہے، D) یہ کوڑے کو نقصان پہنچا سکتا ہے۔</v>
      </c>
      <c r="M114" s="6" t="str">
        <f>IFERROR(__xludf.DUMMYFUNCTION("GOOGLETRANSLATE(D114, ""en"", ""ur"")"),"ب) اسے جانوروں پر ظلم سمجھا جاتا ہے۔")</f>
        <v>ب) اسے جانوروں پر ظلم سمجھا جاتا ہے۔</v>
      </c>
      <c r="N114" s="6" t="str">
        <f>IFERROR(__xludf.DUMMYFUNCTION("GOOGLETRANSLATE(E114, ""en"", ""ur"")"),"اگرچہ کوڑے کے استعمال کی اجازت ہے، لیکن اس کا ضرورت سے زیادہ یا بے دردی سے استعمال کرنا اچھے گھڑ سواری اور جانوروں کی فلاح و بہبود کے اصولوں کی خلاف ورزی کرتا ہے۔")</f>
        <v>اگرچہ کوڑے کے استعمال کی اجازت ہے، لیکن اس کا ضرورت سے زیادہ یا بے دردی سے استعمال کرنا اچھے گھڑ سواری اور جانوروں کی فلاح و بہبود کے اصولوں کی خلاف ورزی کرتا ہے۔</v>
      </c>
    </row>
    <row r="115">
      <c r="A115" s="4">
        <v>114.0</v>
      </c>
      <c r="B115" s="5" t="s">
        <v>1498</v>
      </c>
      <c r="C115" s="5" t="s">
        <v>1499</v>
      </c>
      <c r="D115" s="5" t="s">
        <v>1500</v>
      </c>
      <c r="E115" s="5" t="s">
        <v>1501</v>
      </c>
      <c r="J115" s="6" t="str">
        <f>IFERROR(__xludf.DUMMYFUNCTION("GOOGLETRANSLATE(A115, ""en"", ""ur"")"),"114")</f>
        <v>114</v>
      </c>
      <c r="K115" s="6" t="str">
        <f>IFERROR(__xludf.DUMMYFUNCTION("GOOGLETRANSLATE(B115, ""en"", ""ur"")"),"میچ کے لیے گراؤنڈ انتہائی سخت اور خشک ہے۔ گھوڑوں کو سب سے بڑا خطرہ کیا ہے؟")</f>
        <v>میچ کے لیے گراؤنڈ انتہائی سخت اور خشک ہے۔ گھوڑوں کو سب سے بڑا خطرہ کیا ہے؟</v>
      </c>
      <c r="L115" s="6" t="str">
        <f>IFERROR(__xludf.DUMMYFUNCTION("GOOGLETRANSLATE(C115, ""en"", ""ur"")"),"A) وہ آہستہ چلیں گے، B) وہ بہت زیادہ دھول آلود ہو جائیں گے، C) کھروں اور ٹانگوں کے جوڑوں کو چوٹ لگنے کا خطرہ بڑھ جائے گا، D) ان پر قابو پانا مشکل ہو جائے گا۔")</f>
        <v>A) وہ آہستہ چلیں گے، B) وہ بہت زیادہ دھول آلود ہو جائیں گے، C) کھروں اور ٹانگوں کے جوڑوں کو چوٹ لگنے کا خطرہ بڑھ جائے گا، D) ان پر قابو پانا مشکل ہو جائے گا۔</v>
      </c>
      <c r="M115" s="6" t="str">
        <f>IFERROR(__xludf.DUMMYFUNCTION("GOOGLETRANSLATE(D115, ""en"", ""ur"")"),"ج) کھروں اور ٹانگوں کے جوڑوں میں ہچکولے لگنے کے خطرے میں اضافہ")</f>
        <v>ج) کھروں اور ٹانگوں کے جوڑوں میں ہچکولے لگنے کے خطرے میں اضافہ</v>
      </c>
      <c r="N115" s="6" t="str">
        <f>IFERROR(__xludf.DUMMYFUNCTION("GOOGLETRANSLATE(E115, ""en"", ""ur"")"),"سخت زمین بہت کم جھٹکا جذب کرتی ہے، جس کی وجہ سے گھوڑوں کے لیے صحت مندی کے مسائل کا زیادہ خطرہ ہوتا ہے۔")</f>
        <v>سخت زمین بہت کم جھٹکا جذب کرتی ہے، جس کی وجہ سے گھوڑوں کے لیے صحت مندی کے مسائل کا زیادہ خطرہ ہوتا ہے۔</v>
      </c>
    </row>
    <row r="116">
      <c r="A116" s="4">
        <v>115.0</v>
      </c>
      <c r="B116" s="5" t="s">
        <v>1502</v>
      </c>
      <c r="C116" s="5" t="s">
        <v>1188</v>
      </c>
      <c r="D116" s="5" t="s">
        <v>1189</v>
      </c>
      <c r="E116" s="5" t="s">
        <v>1190</v>
      </c>
      <c r="J116" s="6" t="str">
        <f>IFERROR(__xludf.DUMMYFUNCTION("GOOGLETRANSLATE(A116, ""en"", ""ur"")"),"115")</f>
        <v>115</v>
      </c>
      <c r="K116" s="6" t="str">
        <f>IFERROR(__xludf.DUMMYFUNCTION("GOOGLETRANSLATE(B116, ""en"", ""ur"")"),"ریفری کا کیا حکم ہے اگر کوئی سوار لاش کو پکڑ لے، لیکن پھر کھلاڑیوں کی ایک بڑی تعداد کی رفتار سے اسکورنگ لائن کے اوپر لے جائے؟")</f>
        <v>ریفری کا کیا حکم ہے اگر کوئی سوار لاش کو پکڑ لے، لیکن پھر کھلاڑیوں کی ایک بڑی تعداد کی رفتار سے اسکورنگ لائن کے اوپر لے جائے؟</v>
      </c>
      <c r="L116" s="6" t="str">
        <f>IFERROR(__xludf.DUMMYFUNCTION("GOOGLETRANSLATE(C116, ""en"", ""ur"")"),"A) یہ ایک درست سکور ہے، B) یہ درست سکور نہیں ہے کیونکہ سوار کے پاس انفرادی کنٹرول نہیں تھا، C) پوائنٹ دوبارہ چلایا جاتا ہے، D) پوائنٹ پوری ٹیم کو دیا جاتا ہے۔")</f>
        <v>A) یہ ایک درست سکور ہے، B) یہ درست سکور نہیں ہے کیونکہ سوار کے پاس انفرادی کنٹرول نہیں تھا، C) پوائنٹ دوبارہ چلایا جاتا ہے، D) پوائنٹ پوری ٹیم کو دیا جاتا ہے۔</v>
      </c>
      <c r="M116" s="6" t="str">
        <f>IFERROR(__xludf.DUMMYFUNCTION("GOOGLETRANSLATE(D116, ""en"", ""ur"")"),"ب) یہ درست سکور نہیں ہے کیونکہ سوار کے پاس انفرادی کنٹرول کی کمی تھی۔")</f>
        <v>ب) یہ درست سکور نہیں ہے کیونکہ سوار کے پاس انفرادی کنٹرول کی کمی تھی۔</v>
      </c>
      <c r="N116" s="6" t="str">
        <f>IFERROR(__xludf.DUMMYFUNCTION("GOOGLETRANSLATE(E116, ""en"", ""ur"")"),"گول کرتے وقت سوار کو لاش پر واضح اور انفرادی کنٹرول کا مظاہرہ کرنا چاہیے۔ گھوڑوں کے ہجوم سے دھکیلنا قانونی اسکور نہیں ہے۔")</f>
        <v>گول کرتے وقت سوار کو لاش پر واضح اور انفرادی کنٹرول کا مظاہرہ کرنا چاہیے۔ گھوڑوں کے ہجوم سے دھکیلنا قانونی اسکور نہیں ہے۔</v>
      </c>
    </row>
    <row r="117">
      <c r="A117" s="4">
        <v>116.0</v>
      </c>
      <c r="B117" s="5" t="s">
        <v>1503</v>
      </c>
      <c r="C117" s="5" t="s">
        <v>1504</v>
      </c>
      <c r="D117" s="5" t="s">
        <v>1505</v>
      </c>
      <c r="E117" s="5" t="s">
        <v>1506</v>
      </c>
      <c r="J117" s="6" t="str">
        <f>IFERROR(__xludf.DUMMYFUNCTION("GOOGLETRANSLATE(A117, ""en"", ""ur"")"),"116")</f>
        <v>116</v>
      </c>
      <c r="K117" s="6" t="str">
        <f>IFERROR(__xludf.DUMMYFUNCTION("GOOGLETRANSLATE(B117, ""en"", ""ur"")"),"ایک تجربہ کار سوار جان بوجھ کر مخالف کی توجہ ہٹاتا ہے جب کہ اس کا ساتھی لاش کو اپنے قبضے میں لے لیتا ہے۔ کیا یہ حربہ جائز ہے؟")</f>
        <v>ایک تجربہ کار سوار جان بوجھ کر مخالف کی توجہ ہٹاتا ہے جب کہ اس کا ساتھی لاش کو اپنے قبضے میں لے لیتا ہے۔ کیا یہ حربہ جائز ہے؟</v>
      </c>
      <c r="L117" s="6" t="str">
        <f>IFERROR(__xludf.DUMMYFUNCTION("GOOGLETRANSLATE(C117, ""en"", ""ur"")"),"A) جی ہاں، جب تک کہ کوئی جسمانی غلطی نہیں کی جاتی ہے، B) نہیں، مخالفوں کو بھٹکانا اصولوں کے خلاف ہے، C) صرف اس صورت میں جب خلفشار میں گھوڑا شامل نہ ہو، D) ریفری کو انتباہ جاری کرنا ہوگا۔")</f>
        <v>A) جی ہاں، جب تک کہ کوئی جسمانی غلطی نہیں کی جاتی ہے، B) نہیں، مخالفوں کو بھٹکانا اصولوں کے خلاف ہے، C) صرف اس صورت میں جب خلفشار میں گھوڑا شامل نہ ہو، D) ریفری کو انتباہ جاری کرنا ہوگا۔</v>
      </c>
      <c r="M117" s="6" t="str">
        <f>IFERROR(__xludf.DUMMYFUNCTION("GOOGLETRANSLATE(D117, ""en"", ""ur"")"),"A) جی ہاں، جب تک کہ کوئی جسمانی بدکاری کا ارتکاب نہ کیا جائے۔")</f>
        <v>A) جی ہاں، جب تک کہ کوئی جسمانی بدکاری کا ارتکاب نہ کیا جائے۔</v>
      </c>
      <c r="N117" s="6" t="str">
        <f>IFERROR(__xludf.DUMMYFUNCTION("GOOGLETRANSLATE(E117, ""en"", ""ur"")"),"بزکشی میں حکمت عملی کے خلفشار کی اجازت ہے، بشرطیکہ وہ منصفانہ کھیل کی حدود میں رہیں۔")</f>
        <v>بزکشی میں حکمت عملی کے خلفشار کی اجازت ہے، بشرطیکہ وہ منصفانہ کھیل کی حدود میں رہیں۔</v>
      </c>
    </row>
    <row r="118">
      <c r="A118" s="4">
        <v>117.0</v>
      </c>
      <c r="B118" s="5" t="s">
        <v>1507</v>
      </c>
      <c r="C118" s="5" t="s">
        <v>1508</v>
      </c>
      <c r="D118" s="5" t="s">
        <v>1509</v>
      </c>
      <c r="E118" s="5" t="s">
        <v>1510</v>
      </c>
      <c r="J118" s="6" t="str">
        <f>IFERROR(__xludf.DUMMYFUNCTION("GOOGLETRANSLATE(A118, ""en"", ""ur"")"),"117")</f>
        <v>117</v>
      </c>
      <c r="K118" s="6" t="str">
        <f>IFERROR(__xludf.DUMMYFUNCTION("GOOGLETRANSLATE(B118, ""en"", ""ur"")"),"ایک ہائی اسٹیک میچ میں، ایک ریفری کو شبہ ہے کہ سوار کا گھوڑا زخمی ہے لیکن پھر بھی استعمال کیا جا رہا ہے۔ عمل کا صحیح طریقہ کیا ہے؟")</f>
        <v>ایک ہائی اسٹیک میچ میں، ایک ریفری کو شبہ ہے کہ سوار کا گھوڑا زخمی ہے لیکن پھر بھی استعمال کیا جا رہا ہے۔ عمل کا صحیح طریقہ کیا ہے؟</v>
      </c>
      <c r="L118" s="6" t="str">
        <f>IFERROR(__xludf.DUMMYFUNCTION("GOOGLETRANSLATE(C118, ""en"", ""ur"")"),"A) میچ کو جاری رکھنے کی اجازت دیں، B) گھوڑے کا معائنہ کریں اور ضرورت پڑنے پر متبادل کا حکم دیں، C) کھیل کو اس وقت تک روکیں جب تک کہ معاملہ حل نہ ہو جائے، D) سوار کو جانوروں پر ظلم کی سزا دیں۔")</f>
        <v>A) میچ کو جاری رکھنے کی اجازت دیں، B) گھوڑے کا معائنہ کریں اور ضرورت پڑنے پر متبادل کا حکم دیں، C) کھیل کو اس وقت تک روکیں جب تک کہ معاملہ حل نہ ہو جائے، D) سوار کو جانوروں پر ظلم کی سزا دیں۔</v>
      </c>
      <c r="M118" s="6" t="str">
        <f>IFERROR(__xludf.DUMMYFUNCTION("GOOGLETRANSLATE(D118, ""en"", ""ur"")"),"ب) گھوڑے کا معائنہ کریں اور ضرورت پڑنے پر متبادل کا آرڈر دیں، C) کھیل کو اس وقت تک روکیں جب تک کہ معاملہ حل نہ ہو جائے۔")</f>
        <v>ب) گھوڑے کا معائنہ کریں اور ضرورت پڑنے پر متبادل کا آرڈر دیں، C) کھیل کو اس وقت تک روکیں جب تک کہ معاملہ حل نہ ہو جائے۔</v>
      </c>
      <c r="N118" s="6" t="str">
        <f>IFERROR(__xludf.DUMMYFUNCTION("GOOGLETRANSLATE(E118, ""en"", ""ur"")"),"گھوڑوں کی حفاظت کو یقینی بنانا بزکشی میں ریفریوں کی اہم ذمہ داری ہے۔")</f>
        <v>گھوڑوں کی حفاظت کو یقینی بنانا بزکشی میں ریفریوں کی اہم ذمہ داری ہے۔</v>
      </c>
    </row>
    <row r="119">
      <c r="A119" s="4">
        <v>118.0</v>
      </c>
      <c r="B119" s="5" t="s">
        <v>1511</v>
      </c>
      <c r="C119" s="5" t="s">
        <v>1512</v>
      </c>
      <c r="D119" s="5" t="s">
        <v>1513</v>
      </c>
      <c r="E119" s="5" t="s">
        <v>1514</v>
      </c>
      <c r="J119" s="6" t="str">
        <f>IFERROR(__xludf.DUMMYFUNCTION("GOOGLETRANSLATE(A119, ""en"", ""ur"")"),"118")</f>
        <v>118</v>
      </c>
      <c r="K119" s="6" t="str">
        <f>IFERROR(__xludf.DUMMYFUNCTION("GOOGLETRANSLATE(B119, ""en"", ""ur"")"),"ٹورنامنٹ کے دوران، لاش غیر معمولی طور پر ہلکی ہوتی ہے، جس سے اسے طویل فاصلے تک لے جانے میں آسانی ہوتی ہے۔ منتظمین کو کن تبدیلیوں پر غور کرنا چاہیے؟")</f>
        <v>ٹورنامنٹ کے دوران، لاش غیر معمولی طور پر ہلکی ہوتی ہے، جس سے اسے طویل فاصلے تک لے جانے میں آسانی ہوتی ہے۔ منتظمین کو کن تبدیلیوں پر غور کرنا چاہیے؟</v>
      </c>
      <c r="L119" s="6" t="str">
        <f>IFERROR(__xludf.DUMMYFUNCTION("GOOGLETRANSLATE(C119, ""en"", ""ur"")"),"A) لاش کو معیاری وزن سے بدلیں، B) کھیل کو جاری رکھنے کی اجازت دیں، C) فائدہ کو متوازن کرنے کے لیے گیم کا دورانیہ بڑھائیں، D) سواروں کو زیادہ کثرت سے قبضہ تبدیل کرنے کی ضرورت ہے۔")</f>
        <v>A) لاش کو معیاری وزن سے بدلیں، B) کھیل کو جاری رکھنے کی اجازت دیں، C) فائدہ کو متوازن کرنے کے لیے گیم کا دورانیہ بڑھائیں، D) سواروں کو زیادہ کثرت سے قبضہ تبدیل کرنے کی ضرورت ہے۔</v>
      </c>
      <c r="M119" s="6" t="str">
        <f>IFERROR(__xludf.DUMMYFUNCTION("GOOGLETRANSLATE(D119, ""en"", ""ur"")"),"A) لاش کو معیاری وزن سے تبدیل کریں۔")</f>
        <v>A) لاش کو معیاری وزن سے تبدیل کریں۔</v>
      </c>
      <c r="N119" s="6" t="str">
        <f>IFERROR(__xludf.DUMMYFUNCTION("GOOGLETRANSLATE(E119, ""en"", ""ur"")"),"متوازن مسابقت کو یقینی بنانے کے لیے لاش کو معیاری تصریحات کو پورا کرنا چاہیے۔")</f>
        <v>متوازن مسابقت کو یقینی بنانے کے لیے لاش کو معیاری تصریحات کو پورا کرنا چاہیے۔</v>
      </c>
    </row>
    <row r="120">
      <c r="A120" s="4">
        <v>119.0</v>
      </c>
      <c r="B120" s="5" t="s">
        <v>1515</v>
      </c>
      <c r="C120" s="5" t="s">
        <v>1516</v>
      </c>
      <c r="D120" s="5" t="s">
        <v>1517</v>
      </c>
      <c r="E120" s="5" t="s">
        <v>1518</v>
      </c>
      <c r="J120" s="6" t="str">
        <f>IFERROR(__xludf.DUMMYFUNCTION("GOOGLETRANSLATE(A120, ""en"", ""ur"")"),"119")</f>
        <v>119</v>
      </c>
      <c r="K120" s="6" t="str">
        <f>IFERROR(__xludf.DUMMYFUNCTION("GOOGLETRANSLATE(B120, ""en"", ""ur"")"),"ٹیم A کا ایک سوار لاش کو گول دائرے میں رکھتا ہے لیکن اتارتے وقت اسے دھکیلنے کے لیے اپنے ہاتھ کا استعمال کرتا ہے۔ ریفری کو کیا فیصلہ کرنا چاہئے؟")</f>
        <v>ٹیم A کا ایک سوار لاش کو گول دائرے میں رکھتا ہے لیکن اتارتے وقت اسے دھکیلنے کے لیے اپنے ہاتھ کا استعمال کرتا ہے۔ ریفری کو کیا فیصلہ کرنا چاہئے؟</v>
      </c>
      <c r="L120" s="6" t="str">
        <f>IFERROR(__xludf.DUMMYFUNCTION("GOOGLETRANSLATE(C120, ""en"", ""ur"")"),"A) پوائنٹ کو انعام دیں، B) پوائنٹ کو نامنظور کریں، C) گیم کو دوبارہ ترتیب دیں، D) قواعد کی خلاف ورزی پر سوار کو سزا دیں")</f>
        <v>A) پوائنٹ کو انعام دیں، B) پوائنٹ کو نامنظور کریں، C) گیم کو دوبارہ ترتیب دیں، D) قواعد کی خلاف ورزی پر سوار کو سزا دیں</v>
      </c>
      <c r="M120" s="6" t="str">
        <f>IFERROR(__xludf.DUMMYFUNCTION("GOOGLETRANSLATE(D120, ""en"", ""ur"")"),"B) نقطہ کو مسترد کریں، D) قاعدے کی خلاف ورزی پر سوار کو سزا دیں۔")</f>
        <v>B) نقطہ کو مسترد کریں، D) قاعدے کی خلاف ورزی پر سوار کو سزا دیں۔</v>
      </c>
      <c r="N120" s="6" t="str">
        <f>IFERROR(__xludf.DUMMYFUNCTION("GOOGLETRANSLATE(E120, ""en"", ""ur"")"),"پوائنٹس صرف اس وقت دیئے جاتے ہیں جب لاش کو قواعد کے مطابق رکھا جاتا ہے، جس میں عام طور پر سوار کو سوار رہنے کی ضرورت ہوتی ہے۔")</f>
        <v>پوائنٹس صرف اس وقت دیئے جاتے ہیں جب لاش کو قواعد کے مطابق رکھا جاتا ہے، جس میں عام طور پر سوار کو سوار رہنے کی ضرورت ہوتی ہے۔</v>
      </c>
    </row>
    <row r="121">
      <c r="A121" s="4">
        <v>120.0</v>
      </c>
      <c r="B121" s="5" t="s">
        <v>1519</v>
      </c>
      <c r="C121" s="5" t="s">
        <v>1520</v>
      </c>
      <c r="D121" s="5" t="s">
        <v>1521</v>
      </c>
      <c r="E121" s="5" t="s">
        <v>1522</v>
      </c>
      <c r="J121" s="6" t="str">
        <f>IFERROR(__xludf.DUMMYFUNCTION("GOOGLETRANSLATE(A121, ""en"", ""ur"")"),"120")</f>
        <v>120</v>
      </c>
      <c r="K121" s="6" t="str">
        <f>IFERROR(__xludf.DUMMYFUNCTION("GOOGLETRANSLATE(B121, ""en"", ""ur"")"),"ایک سوار نے دیکھا کہ ان کا گھوڑا تھکا ہوا ہے اور میچ کے دوران سست ہو رہا ہے۔ اس صورتحال میں ٹیم کے لیے بہترین حکمت عملی کیا ہے؟")</f>
        <v>ایک سوار نے دیکھا کہ ان کا گھوڑا تھکا ہوا ہے اور میچ کے دوران سست ہو رہا ہے۔ اس صورتحال میں ٹیم کے لیے بہترین حکمت عملی کیا ہے؟</v>
      </c>
      <c r="L121" s="6" t="str">
        <f>IFERROR(__xludf.DUMMYFUNCTION("GOOGLETRANSLATE(C121, ""en"", ""ur"")"),"A) اسی گھوڑے کے ساتھ دھکیلنا جاری رکھیں، B) اگر اجازت ہو تو متبادل کے لیے کال کریں، C) ٹیم کے دوسرے سوار پر توجہ مرکوز کریں، D) عارضی دفاعی پوزیشن لیں۔")</f>
        <v>A) اسی گھوڑے کے ساتھ دھکیلنا جاری رکھیں، B) اگر اجازت ہو تو متبادل کے لیے کال کریں، C) ٹیم کے دوسرے سوار پر توجہ مرکوز کریں، D) عارضی دفاعی پوزیشن لیں۔</v>
      </c>
      <c r="M121" s="6" t="str">
        <f>IFERROR(__xludf.DUMMYFUNCTION("GOOGLETRANSLATE(D121, ""en"", ""ur"")"),"B) اگر اجازت ہو تو متبادل کے لیے کال کریں، C) ٹیم کے دوسرے سوار پر توجہ مرکوز کریں۔")</f>
        <v>B) اگر اجازت ہو تو متبادل کے لیے کال کریں، C) ٹیم کے دوسرے سوار پر توجہ مرکوز کریں۔</v>
      </c>
      <c r="N121" s="6" t="str">
        <f>IFERROR(__xludf.DUMMYFUNCTION("GOOGLETRANSLATE(E121, ""en"", ""ur"")"),"موثر ٹیم مینجمنٹ میں حکمت عملی کو اپنانا اور ضرورت پڑنے پر تھکے ہوئے گھوڑوں کو تبدیل کرنا شامل ہے۔")</f>
        <v>موثر ٹیم مینجمنٹ میں حکمت عملی کو اپنانا اور ضرورت پڑنے پر تھکے ہوئے گھوڑوں کو تبدیل کرنا شامل ہے۔</v>
      </c>
    </row>
    <row r="122">
      <c r="A122" s="4">
        <v>121.0</v>
      </c>
      <c r="B122" s="5" t="s">
        <v>1523</v>
      </c>
      <c r="C122" s="5" t="s">
        <v>1524</v>
      </c>
      <c r="D122" s="5" t="s">
        <v>1525</v>
      </c>
      <c r="E122" s="5" t="s">
        <v>1526</v>
      </c>
      <c r="J122" s="6" t="str">
        <f>IFERROR(__xludf.DUMMYFUNCTION("GOOGLETRANSLATE(A122, ""en"", ""ur"")"),"121")</f>
        <v>121</v>
      </c>
      <c r="K122" s="6" t="str">
        <f>IFERROR(__xludf.DUMMYFUNCTION("GOOGLETRANSLATE(B122, ""en"", ""ur"")"),"ٹیم A کا ایک سوار کامیابی سے لاش کو لے جاتا ہے اور گول دائرے کی طرف جاتا ہے، لیکن ٹیم B کا ایک مخالف اس کا راستہ کاٹ کر اس سے نمٹنے کی کوشش کرتا ہے۔ اس صورت حال سے نمٹنے کا بہترین طریقہ کیا ہے؟")</f>
        <v>ٹیم A کا ایک سوار کامیابی سے لاش کو لے جاتا ہے اور گول دائرے کی طرف جاتا ہے، لیکن ٹیم B کا ایک مخالف اس کا راستہ کاٹ کر اس سے نمٹنے کی کوشش کرتا ہے۔ اس صورت حال سے نمٹنے کا بہترین طریقہ کیا ہے؟</v>
      </c>
      <c r="L122" s="6" t="str">
        <f>IFERROR(__xludf.DUMMYFUNCTION("GOOGLETRANSLATE(C122, ""en"", ""ur"")"),"A) حریف کو چکمہ دینے کی کوشش کریں اور گول کی طرف بڑھتے رہیں، B) برتری برقرار رکھنے کے لیے گھوڑے کی رفتار کا استعمال کریں، C) مخالف کے ساتھ براہ راست تصادم میں مشغول ہوں، D) لاش کو دوسرے ساتھی کے پاس منتقل کریں۔")</f>
        <v>A) حریف کو چکمہ دینے کی کوشش کریں اور گول کی طرف بڑھتے رہیں، B) برتری برقرار رکھنے کے لیے گھوڑے کی رفتار کا استعمال کریں، C) مخالف کے ساتھ براہ راست تصادم میں مشغول ہوں، D) لاش کو دوسرے ساتھی کے پاس منتقل کریں۔</v>
      </c>
      <c r="M122" s="6" t="str">
        <f>IFERROR(__xludf.DUMMYFUNCTION("GOOGLETRANSLATE(D122, ""en"", ""ur"")"),"A) حریف کو چکمہ دینے کی کوشش کریں اور گول کی طرف بڑھتے رہیں، B) برتری برقرار رکھنے کے لیے گھوڑے کی رفتار کا استعمال کریں")</f>
        <v>A) حریف کو چکمہ دینے کی کوشش کریں اور گول کی طرف بڑھتے رہیں، B) برتری برقرار رکھنے کے لیے گھوڑے کی رفتار کا استعمال کریں</v>
      </c>
      <c r="N122" s="6" t="str">
        <f>IFERROR(__xludf.DUMMYFUNCTION("GOOGLETRANSLATE(E122, ""en"", ""ur"")"),"رفتار اور چستی ٹیکلز پر قابو پانے کی کلید ہیں، لیکن ٹیم کے ساتھی کو منتقل کرنا بھی ایک موثر حکمت عملی ہو سکتی ہے۔")</f>
        <v>رفتار اور چستی ٹیکلز پر قابو پانے کی کلید ہیں، لیکن ٹیم کے ساتھی کو منتقل کرنا بھی ایک موثر حکمت عملی ہو سکتی ہے۔</v>
      </c>
    </row>
    <row r="123">
      <c r="A123" s="4">
        <v>122.0</v>
      </c>
      <c r="B123" s="5" t="s">
        <v>1527</v>
      </c>
      <c r="C123" s="5" t="s">
        <v>1528</v>
      </c>
      <c r="D123" s="5" t="s">
        <v>1529</v>
      </c>
      <c r="E123" s="5" t="s">
        <v>1530</v>
      </c>
      <c r="J123" s="6" t="str">
        <f>IFERROR(__xludf.DUMMYFUNCTION("GOOGLETRANSLATE(A123, ""en"", ""ur"")"),"122")</f>
        <v>122</v>
      </c>
      <c r="K123" s="6" t="str">
        <f>IFERROR(__xludf.DUMMYFUNCTION("GOOGLETRANSLATE(B123, ""en"", ""ur"")"),"بزکشی میچ کے دوران سوار کا گھوڑا بے قابو ہو جاتا ہے اور غلط سمت میں دوڑنے لگتا ہے۔ اس صورت حال میں سوار کو کیا کرنا چاہیے؟")</f>
        <v>بزکشی میچ کے دوران سوار کا گھوڑا بے قابو ہو جاتا ہے اور غلط سمت میں دوڑنے لگتا ہے۔ اس صورت حال میں سوار کو کیا کرنا چاہیے؟</v>
      </c>
      <c r="L123" s="6" t="str">
        <f>IFERROR(__xludf.DUMMYFUNCTION("GOOGLETRANSLATE(C123, ""en"", ""ur"")"),"A)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f>
        <v>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v>
      </c>
      <c r="M123" s="6" t="str">
        <f>IFERROR(__xludf.DUMMYFUNCTION("GOOGLETRANSLATE(D123, ""en"", ""ur"")"),"ا) لگام کا استعمال کرکے گھوڑے پر دوبارہ کنٹرول حاصل کرنے کی کوشش کریں۔")</f>
        <v>ا) لگام کا استعمال کرکے گھوڑے پر دوبارہ کنٹرول حاصل کرنے کی کوشش کریں۔</v>
      </c>
      <c r="N123" s="6" t="str">
        <f>IFERROR(__xludf.DUMMYFUNCTION("GOOGLETRANSLATE(E123, ""en"", ""ur"")"),"سواروں کو اپنے گھوڑوں پر کنٹرول برقرار رکھنا چاہیے تاکہ ان کی حفاظت کو یقینی بنایا جا سکے اور اپنی ٹیم میں حصہ ڈالنا جاری رکھیں۔")</f>
        <v>سواروں کو اپنے گھوڑوں پر کنٹرول برقرار رکھنا چاہیے تاکہ ان کی حفاظت کو یقینی بنایا جا سکے اور اپنی ٹیم میں حصہ ڈالنا جاری رکھیں۔</v>
      </c>
    </row>
    <row r="124">
      <c r="A124" s="4">
        <v>123.0</v>
      </c>
      <c r="B124" s="5" t="s">
        <v>1531</v>
      </c>
      <c r="C124" s="5" t="s">
        <v>1532</v>
      </c>
      <c r="D124" s="5" t="s">
        <v>1533</v>
      </c>
      <c r="E124" s="5" t="s">
        <v>1534</v>
      </c>
      <c r="J124" s="6" t="str">
        <f>IFERROR(__xludf.DUMMYFUNCTION("GOOGLETRANSLATE(A124, ""en"", ""ur"")"),"123")</f>
        <v>123</v>
      </c>
      <c r="K124" s="6" t="str">
        <f>IFERROR(__xludf.DUMMYFUNCTION("GOOGLETRANSLATE(B124, ""en"", ""ur"")"),"ٹیم A کا ایک سوار ٹیم B کے متعدد سواروں کے ساتھ لاش کی لڑائی میں پھنس جاتا ہے۔ دوبارہ قبضہ حاصل کرنے کے لیے ٹیم کو کیا کرنا چاہیے؟")</f>
        <v>ٹیم A کا ایک سوار ٹیم B کے متعدد سواروں کے ساتھ لاش کی لڑائی میں پھنس جاتا ہے۔ دوبارہ قبضہ حاصل کرنے کے لیے ٹیم کو کیا کرنا چاہیے؟</v>
      </c>
      <c r="L124" s="6" t="str">
        <f>IFERROR(__xludf.DUMMYFUNCTION("GOOGLETRANSLATE(C124, ""en"", ""ur"")"),"A) لڑائی کو ختم کرکے جگہ بنانے پر توجہ مرکوز کریں، B) ٹیم کے ساتھی کو لاش چرانے کے لیے خلفشار کا فائدہ اٹھائیں، C) میچ روکنے کے لیے ریفری کو کال کریں، D) صورتحال کے پرسکون ہونے کا انتظار کریں اور پھر آگے بڑھیں۔")</f>
        <v>A) لڑائی کو ختم کرکے جگہ بنانے پر توجہ مرکوز کریں، B) ٹیم کے ساتھی کو لاش چرانے کے لیے خلفشار کا فائدہ اٹھائیں، C) میچ روکنے کے لیے ریفری کو کال کریں، D) صورتحال کے پرسکون ہونے کا انتظار کریں اور پھر آگے بڑھیں۔</v>
      </c>
      <c r="M124" s="6" t="str">
        <f>IFERROR(__xludf.DUMMYFUNCTION("GOOGLETRANSLATE(D124, ""en"", ""ur"")"),"A) لڑائی کو ختم کرکے جگہ بنانے پر توجہ مرکوز کریں، B) ٹیم کے ساتھی کو لاش چرانے کے لیے خلفشار کا فائدہ اٹھانے کو کہیں۔")</f>
        <v>A) لڑائی کو ختم کرکے جگہ بنانے پر توجہ مرکوز کریں، B) ٹیم کے ساتھی کو لاش چرانے کے لیے خلفشار کا فائدہ اٹھانے کو کہیں۔</v>
      </c>
      <c r="N124" s="6" t="str">
        <f>IFERROR(__xludf.DUMMYFUNCTION("GOOGLETRANSLATE(E124, ""en"", ""ur"")"),"لڑائی جیسے خلفشار توجہ کو منتقل کرنے اور قبضہ حاصل کرنے کے مواقع فراہم کرتے ہیں۔")</f>
        <v>لڑائی جیسے خلفشار توجہ کو منتقل کرنے اور قبضہ حاصل کرنے کے مواقع فراہم کرتے ہیں۔</v>
      </c>
    </row>
    <row r="125">
      <c r="A125" s="4">
        <v>124.0</v>
      </c>
      <c r="B125" s="5" t="s">
        <v>1535</v>
      </c>
      <c r="C125" s="5" t="s">
        <v>1536</v>
      </c>
      <c r="D125" s="5" t="s">
        <v>1537</v>
      </c>
      <c r="E125" s="5" t="s">
        <v>1538</v>
      </c>
      <c r="J125" s="6" t="str">
        <f>IFERROR(__xludf.DUMMYFUNCTION("GOOGLETRANSLATE(A125, ""en"", ""ur"")"),"124")</f>
        <v>124</v>
      </c>
      <c r="K125" s="6" t="str">
        <f>IFERROR(__xludf.DUMMYFUNCTION("GOOGLETRANSLATE(B125, ""en"", ""ur"")"),"ایک سوار کامیابی کے ساتھ لاش کو گول کے دائرے میں رکھتا ہے، لیکن ریفری غلط اشارہ کرتا ہے کیونکہ سوار کا گھوڑا گول کے علاقے سے باہر نکل گیا تھا۔ مناسب جواب کیا ہے؟")</f>
        <v>ایک سوار کامیابی کے ساتھ لاش کو گول کے دائرے میں رکھتا ہے، لیکن ریفری غلط اشارہ کرتا ہے کیونکہ سوار کا گھوڑا گول کے علاقے سے باہر نکل گیا تھا۔ مناسب جواب کیا ہے؟</v>
      </c>
      <c r="L125" s="6" t="str">
        <f>IFERROR(__xludf.DUMMYFUNCTION("GOOGLETRANSLATE(C125, ""en"", ""ur"")"),"A) ٹیم A کو پوائنٹ دیں، B) پوائنٹ کو نامنظور کریں اور گیم کو دوبارہ ترتیب دیں، C) سوار کو سزا دیں، D) مرکز سے کھیل دوبارہ شروع کریں")</f>
        <v>A) ٹیم A کو پوائنٹ دیں، B) پوائنٹ کو نامنظور کریں اور گیم کو دوبارہ ترتیب دیں، C) سوار کو سزا دیں، D) مرکز سے کھیل دوبارہ شروع کریں</v>
      </c>
      <c r="M125" s="6" t="str">
        <f>IFERROR(__xludf.DUMMYFUNCTION("GOOGLETRANSLATE(D125, ""en"", ""ur"")"),"ب) پوائنٹ کی اجازت نہ دیں اور گیم کو ری سیٹ کریں، سی) سوار کو سزا دیں۔")</f>
        <v>ب) پوائنٹ کی اجازت نہ دیں اور گیم کو ری سیٹ کریں، سی) سوار کو سزا دیں۔</v>
      </c>
      <c r="N125" s="6" t="str">
        <f>IFERROR(__xludf.DUMMYFUNCTION("GOOGLETRANSLATE(E125, ""en"", ""ur"")"),"ایک گول صرف اس صورت میں درست ہے جب سوار اور گھوڑا مقررہ ہدف کے علاقے میں رہیں۔")</f>
        <v>ایک گول صرف اس صورت میں درست ہے جب سوار اور گھوڑا مقررہ ہدف کے علاقے میں رہیں۔</v>
      </c>
    </row>
    <row r="126">
      <c r="A126" s="4">
        <v>125.0</v>
      </c>
      <c r="B126" s="5" t="s">
        <v>1539</v>
      </c>
      <c r="C126" s="5" t="s">
        <v>1540</v>
      </c>
      <c r="D126" s="5" t="s">
        <v>1541</v>
      </c>
      <c r="E126" s="5" t="s">
        <v>1542</v>
      </c>
      <c r="J126" s="6" t="str">
        <f>IFERROR(__xludf.DUMMYFUNCTION("GOOGLETRANSLATE(A126, ""en"", ""ur"")"),"125")</f>
        <v>125</v>
      </c>
      <c r="K126" s="6" t="str">
        <f>IFERROR(__xludf.DUMMYFUNCTION("GOOGLETRANSLATE(B126, ""en"", ""ur"")"),"بزکشی میچ کے آخری لمحات کے دوران، ٹیم A برتری میں ہے، اور ٹیم B گول کے دائرے کو روکنے کے لیے دفاعی حکمت عملی استعمال کر رہی ہے۔ اس دفاع کا مقابلہ کرنے کے لیے ٹیم اے کو کیا کرنا چاہیے؟")</f>
        <v>بزکشی میچ کے آخری لمحات کے دوران، ٹیم A برتری میں ہے، اور ٹیم B گول کے دائرے کو روکنے کے لیے دفاعی حکمت عملی استعمال کر رہی ہے۔ اس دفاع کا مقابلہ کرنے کے لیے ٹیم اے کو کیا کرنا چاہیے؟</v>
      </c>
      <c r="L126" s="6" t="str">
        <f>IFERROR(__xludf.DUMMYFUNCTION("GOOGLETRANSLATE(C126, ""en"", ""ur"")"),"A)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انتظار"&amp;" کریں۔")</f>
        <v>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 کریں۔</v>
      </c>
      <c r="M126" s="6" t="str">
        <f>IFERROR(__xludf.DUMMYFUNCTION("GOOGLETRANSLATE(D126, ""en"", ""ur"")"),"A) دفاع کو توڑنے کے لئے ان کے جارحانہ دباؤ میں اضافہ کریں، C) گول کے قریب ٹیم کے ساتھی کو طویل فاصلے تک پاس کی کوشش کریں")</f>
        <v>A) دفاع کو توڑنے کے لئے ان کے جارحانہ دباؤ میں اضافہ کریں، C) گول کے قریب ٹیم کے ساتھی کو طویل فاصلے تک پاس کی کوشش کریں</v>
      </c>
      <c r="N126" s="6" t="str">
        <f>IFERROR(__xludf.DUMMYFUNCTION("GOOGLETRANSLATE(E126, ""en"", ""ur"")"),"دفاعی حکمت عملیوں کا مقابلہ کرنے کے لیے دفاع کو آگے بڑھانے کے لیے فوری، فیصلہ کن اقدامات کی ضرورت ہوتی ہے۔")</f>
        <v>دفاعی حکمت عملیوں کا مقابلہ کرنے کے لیے دفاع کو آگے بڑھانے کے لیے فوری، فیصلہ کن اقدامات کی ضرورت ہوتی ہے۔</v>
      </c>
    </row>
    <row r="127">
      <c r="A127" s="4">
        <v>126.0</v>
      </c>
      <c r="B127" s="5" t="s">
        <v>1543</v>
      </c>
      <c r="C127" s="5" t="s">
        <v>1544</v>
      </c>
      <c r="D127" s="5" t="s">
        <v>1545</v>
      </c>
      <c r="E127" s="5" t="s">
        <v>1546</v>
      </c>
      <c r="J127" s="6" t="str">
        <f>IFERROR(__xludf.DUMMYFUNCTION("GOOGLETRANSLATE(A127, ""en"", ""ur"")"),"126")</f>
        <v>126</v>
      </c>
      <c r="K127" s="6" t="str">
        <f>IFERROR(__xludf.DUMMYFUNCTION("GOOGLETRANSLATE(B127, ""en"", ""ur"")"),"ایک گرما گرم بزکشی میچ کے وسط میں، ٹیم A کے ایک سوار پر الزام لگایا گیا ہے کہ اس نے لاش کو اپنے ہاتھوں سے پکڑ کر نیچے اتارا تھا۔ ریفری کو کیا کرنا چاہیے؟")</f>
        <v>ایک گرما گرم بزکشی میچ کے وسط میں، ٹیم A کے ایک سوار پر الزام لگایا گیا ہے کہ اس نے لاش کو اپنے ہاتھوں سے پکڑ کر نیچے اتارا تھا۔ ریفری کو کیا کرنا چاہیے؟</v>
      </c>
      <c r="L127" s="6" t="str">
        <f>IFERROR(__xludf.DUMMYFUNCTION("GOOGLETRANSLATE(C127, ""en"", ""ur"")"),"A) واقعے کو نظر انداز کریں، B) سوار کو وارننگ جاری کریں، C) سوار کو میچ سے نااہل قرار دیں، D) کھیل دوبارہ شروع کریں")</f>
        <v>A) واقعے کو نظر انداز کریں، B) سوار کو وارننگ جاری کریں، C) سوار کو میچ سے نااہل قرار دیں، D) کھیل دوبارہ شروع کریں</v>
      </c>
      <c r="M127" s="6" t="str">
        <f>IFERROR(__xludf.DUMMYFUNCTION("GOOGLETRANSLATE(D127, ""en"", ""ur"")"),"ب) سوار کو وارننگ جاری کریں، سی) سوار کو میچ سے نااہل قرار دیں۔")</f>
        <v>ب) سوار کو وارننگ جاری کریں، سی) سوار کو میچ سے نااہل قرار دیں۔</v>
      </c>
      <c r="N127" s="6" t="str">
        <f>IFERROR(__xludf.DUMMYFUNCTION("GOOGLETRANSLATE(E127, ""en"", ""ur"")"),"لاش کو اتارنے کے دوران پکڑنا کھیل کے قواعد کی خلاف ورزی کرتا ہے اور اس کے نتیجے میں جرمانے ہو سکتے ہیں۔")</f>
        <v>لاش کو اتارنے کے دوران پکڑنا کھیل کے قواعد کی خلاف ورزی کرتا ہے اور اس کے نتیجے میں جرمانے ہو سکتے ہیں۔</v>
      </c>
    </row>
    <row r="128">
      <c r="A128" s="4">
        <v>127.0</v>
      </c>
      <c r="B128" s="5" t="s">
        <v>1547</v>
      </c>
      <c r="C128" s="5" t="s">
        <v>1548</v>
      </c>
      <c r="D128" s="5" t="s">
        <v>1549</v>
      </c>
      <c r="E128" s="5" t="s">
        <v>1550</v>
      </c>
      <c r="J128" s="6" t="str">
        <f>IFERROR(__xludf.DUMMYFUNCTION("GOOGLETRANSLATE(A128, ""en"", ""ur"")"),"127")</f>
        <v>127</v>
      </c>
      <c r="K128" s="6" t="str">
        <f>IFERROR(__xludf.DUMMYFUNCTION("GOOGLETRANSLATE(B128, ""en"", ""ur"")"),"ایک ٹیم تیز رفتار حکمت عملی کی کوشش کرتی ہے جہاں وہ لاش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f>
        <v>ایک ٹیم تیز رفتار حکمت عملی کی کوشش کرتی ہے جہاں وہ لاش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v>
      </c>
      <c r="L128" s="6" t="str">
        <f>IFERROR(__xludf.DUMMYFUNCTION("GOOGLETRANSLATE(C128, ""en"", ""ur"")"),"A)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f>
        <v>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v>
      </c>
      <c r="M128" s="6" t="str">
        <f>IFERROR(__xludf.DUMMYFUNCTION("GOOGLETRANSLATE(D128, ""en"", ""ur"")"),"A) آہستہ کریں اور گیند کے کنٹرول پر توجہ مرکوز کریں، B) محافظوں کو گمراہ کرنے کے لیے فینٹ کا استعمال کریں۔")</f>
        <v>A) آہستہ کریں اور گیند کے کنٹرول پر توجہ مرکوز کریں، B) محافظوں کو گمراہ کرنے کے لیے فینٹ کا استعمال کریں۔</v>
      </c>
      <c r="N128" s="6" t="str">
        <f>IFERROR(__xludf.DUMMYFUNCTION("GOOGLETRANSLATE(E128, ""en"", ""ur"")"),"دھوکہ دہی کا استعمال اور احتیاط سے گیند کو کنٹرول کرنے سے رفتار کو دوبارہ حاصل کرنے اور محافظوں کو پیچھے چھوڑنے میں مدد مل سکتی ہے۔")</f>
        <v>دھوکہ دہی کا استعمال اور احتیاط سے گیند کو کنٹرول کرنے سے رفتار کو دوبارہ حاصل کرنے اور محافظوں کو پیچھے چھوڑنے میں مدد مل سکتی ہے۔</v>
      </c>
    </row>
    <row r="129">
      <c r="A129" s="4">
        <v>128.0</v>
      </c>
      <c r="B129" s="5" t="s">
        <v>1551</v>
      </c>
      <c r="C129" s="5" t="s">
        <v>1552</v>
      </c>
      <c r="D129" s="5" t="s">
        <v>1553</v>
      </c>
      <c r="E129" s="5" t="s">
        <v>1554</v>
      </c>
      <c r="J129" s="6" t="str">
        <f>IFERROR(__xludf.DUMMYFUNCTION("GOOGLETRANSLATE(A129, ""en"", ""ur"")"),"128")</f>
        <v>128</v>
      </c>
      <c r="K129" s="6" t="str">
        <f>IFERROR(__xludf.DUMMYFUNCTION("GOOGLETRANSLATE(B129, ""en"", ""ur"")"),"ٹیم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f>
        <v>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v>
      </c>
      <c r="L129" s="6" t="str">
        <f>IFERROR(__xludf.DUMMYFUNCTION("GOOGLETRANSLATE(C129, ""en"", ""ur"")"),"A) سوار کو باضابطہ وارننگ دیں، B) سوار کو نااہل قرار دیں، C) ٹیم A کو قبضہ دے کر ٹیم B کو سزا دیں، D) میچ روکیں اور مجرم سوار کو وقتی جرمانہ جاری کریں۔")</f>
        <v>A) سوار کو باضابطہ وارننگ دیں، B) سوار کو نااہل قرار دیں، C) ٹیم A کو قبضہ دے کر ٹیم B کو سزا دیں، D) میچ روکیں اور مجرم سوار کو وقتی جرمانہ جاری کریں۔</v>
      </c>
      <c r="M129" s="6" t="str">
        <f>IFERROR(__xludf.DUMMYFUNCTION("GOOGLETRANSLATE(D129, ""en"", ""ur"")"),"B) سوار کو نااہل قرار دیں، C) ٹیم A کو قبضہ دے کر ٹیم B کو سزا دیں۔")</f>
        <v>B) سوار کو نااہل قرار دیں، C) ٹیم A کو قبضہ دے کر ٹیم B کو سزا دیں۔</v>
      </c>
      <c r="N129" s="6" t="str">
        <f>IFERROR(__xludf.DUMMYFUNCTION("GOOGLETRANSLATE(E129, ""en"", ""ur"")"),"غیر منصفانہ ہتھکنڈوں کا استعمال کرتے ہوئے مسلسل بلاک کرنے سے نااہلی یا قبضے کی تبدیلی جیسی سنگین سزائیں ہوتی ہیں۔")</f>
        <v>غیر منصفانہ ہتھکنڈوں کا استعمال کرتے ہوئے مسلسل بلاک کرنے سے نااہلی یا قبضے کی تبدیلی جیسی سنگین سزائیں ہوتی ہیں۔</v>
      </c>
    </row>
    <row r="130">
      <c r="A130" s="4">
        <v>129.0</v>
      </c>
      <c r="B130" s="5" t="s">
        <v>1555</v>
      </c>
      <c r="C130" s="5" t="s">
        <v>1556</v>
      </c>
      <c r="D130" s="5" t="s">
        <v>1557</v>
      </c>
      <c r="E130" s="5" t="s">
        <v>1558</v>
      </c>
      <c r="J130" s="6" t="str">
        <f>IFERROR(__xludf.DUMMYFUNCTION("GOOGLETRANSLATE(A130, ""en"", ""ur"")"),"129")</f>
        <v>129</v>
      </c>
      <c r="K130" s="6" t="str">
        <f>IFERROR(__xludf.DUMMYFUNCTION("GOOGLETRANSLATE(B130, ""en"", ""ur"")"),"گرما گرم تبادلے کے دوران، ٹیم A کا ایک سوار غلطی سے ریفری کی پوزیشن سے ٹکرا جاتا ہے۔ ریفری کو کیسے جواب دینا چاہئے؟")</f>
        <v>گرما گرم تبادلے کے دوران، ٹیم A کا ایک سوار غلطی سے ریفری کی پوزیشن سے ٹکرا جاتا ہے۔ ریفری کو کیسے جواب دینا چاہئے؟</v>
      </c>
      <c r="L130" s="6" t="str">
        <f>IFERROR(__xludf.DUMMYFUNCTION("GOOGLETRANSLATE(C130, ""en"", ""ur"")"),"A)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f>
        <v>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v>
      </c>
      <c r="M130" s="6" t="str">
        <f>IFERROR(__xludf.DUMMYFUNCTION("GOOGLETRANSLATE(D130, ""en"", ""ur"")"),"ب) اس بات کو یقینی بنانے کے لیے میچ روکیں کہ کسی کو تکلیف نہ پہنچے، سی) سوار کو وارننگ جاری کریں۔")</f>
        <v>ب) اس بات کو یقینی بنانے کے لیے میچ روکیں کہ کسی کو تکلیف نہ پہنچے، سی) سوار کو وارننگ جاری کریں۔</v>
      </c>
      <c r="N130" s="6" t="str">
        <f>IFERROR(__xludf.DUMMYFUNCTION("GOOGLETRANSLATE(E130, ""en"", ""ur"")"),"کھلاڑی اور ریفری کی حفاظت ایک ترجیح ہے، اور چوٹ سے بچنے کے لیے تصادم پر فوری توجہ دی جانی چاہیے۔")</f>
        <v>کھلاڑی اور ریفری کی حفاظت ایک ترجیح ہے، اور چوٹ سے بچنے کے لیے تصادم پر فوری توجہ دی جانی چاہیے۔</v>
      </c>
    </row>
    <row r="131">
      <c r="A131" s="4">
        <v>130.0</v>
      </c>
      <c r="B131" s="5" t="s">
        <v>1559</v>
      </c>
      <c r="C131" s="5" t="s">
        <v>1560</v>
      </c>
      <c r="D131" s="5" t="s">
        <v>1561</v>
      </c>
      <c r="E131" s="5" t="s">
        <v>1562</v>
      </c>
      <c r="J131" s="6" t="str">
        <f>IFERROR(__xludf.DUMMYFUNCTION("GOOGLETRANSLATE(A131, ""en"", ""ur"")"),"130")</f>
        <v>130</v>
      </c>
      <c r="K131" s="6" t="str">
        <f>IFERROR(__xludf.DUMMYFUNCTION("GOOGLETRANSLATE(B131, ""en"", ""ur"")"),"لاش مٹی کے گڑھے میں پھنس جاتی ہے جس سے دونوں ٹیموں کے لیے اس تک پہنچنا مشکل ہو جاتا ہے۔ ریفری کو کیا کرنا چاہیے؟")</f>
        <v>لاش مٹی کے گڑھے میں پھنس جاتی ہے جس سے دونوں ٹیموں کے لیے اس تک پہنچنا مشکل ہو جاتا ہے۔ ریفری کو کیا کرنا چاہیے؟</v>
      </c>
      <c r="L131" s="6" t="str">
        <f>IFERROR(__xludf.DUMMYFUNCTION("GOOGLETRANSLATE(C131, ""en"", ""ur"")"),"A) میچ کو معمول کے مطابق جاری رکھیں، B) لاش کو خشک جگہ پر ری سیٹ کریں اور دوبارہ کھیل شروع کریں، C) کھلاڑیوں کو لاش کو آزاد کرنے کے لیے مل کر کام کرنے کی اجازت دیں، D) میچ کو اس وقت تک روک دیں جب تک کہ صورتحال خود حل نہ ہو جائے۔")</f>
        <v>A) میچ کو معمول کے مطابق جاری رکھیں، B) لاش کو خشک جگہ پر ری سیٹ کریں اور دوبارہ کھیل شروع کریں، C) کھلاڑیوں کو لاش کو آزاد کرنے کے لیے مل کر کام کرنے کی اجازت دیں، D) میچ کو اس وقت تک روک دیں جب تک کہ صورتحال خود حل نہ ہو جائے۔</v>
      </c>
      <c r="M131" s="6" t="str">
        <f>IFERROR(__xludf.DUMMYFUNCTION("GOOGLETRANSLATE(D131, ""en"", ""ur"")"),"ب) لاش کو خشک جگہ پر سیٹ کریں اور دوبارہ کھیل شروع کریں۔")</f>
        <v>ب) لاش کو خشک جگہ پر سیٹ کریں اور دوبارہ کھیل شروع کریں۔</v>
      </c>
      <c r="N131" s="6" t="str">
        <f>IFERROR(__xludf.DUMMYFUNCTION("GOOGLETRANSLATE(E131, ""en"", ""ur"")"),"جب لاش رکاوٹ بن جائے تو اسے دوبارہ ترتیب دینا اور میچ جاری رکھنا مناسب ہے۔")</f>
        <v>جب لاش رکاوٹ بن جائے تو اسے دوبارہ ترتیب دینا اور میچ جاری رکھنا مناسب ہے۔</v>
      </c>
    </row>
    <row r="132">
      <c r="A132" s="4">
        <v>131.0</v>
      </c>
      <c r="B132" s="5" t="s">
        <v>1563</v>
      </c>
      <c r="C132" s="5" t="s">
        <v>1564</v>
      </c>
      <c r="D132" s="5" t="s">
        <v>1565</v>
      </c>
      <c r="E132" s="5" t="s">
        <v>1566</v>
      </c>
      <c r="J132" s="6" t="str">
        <f>IFERROR(__xludf.DUMMYFUNCTION("GOOGLETRANSLATE(A132, ""en"", ""ur"")"),"131")</f>
        <v>131</v>
      </c>
      <c r="K132" s="6" t="str">
        <f>IFERROR(__xludf.DUMMYFUNCTION("GOOGLETRANSLATE(B132, ""en"", ""ur"")"),"سخت مقابلہ کرنے والے میچ میں، ٹیم A کا ایک سوار اپنے گھوڑے کو درمیانی کھیل میں زخمی کر دیتا ہے۔ اگر چوٹ گھوڑے کو چلنے سے روکتی ہے تو ریفری کو کیا کرنا چاہیے؟")</f>
        <v>سخت مقابلہ کرنے والے میچ میں، ٹیم A کا ایک سوار اپنے گھوڑے کو درمیانی کھیل میں زخمی کر دیتا ہے۔ اگر چوٹ گھوڑے کو چلنے سے روکتی ہے تو ریفری کو کیا کرنا چاہیے؟</v>
      </c>
      <c r="L132" s="6" t="str">
        <f>IFERROR(__xludf.DUMMYFUNCTION("GOOGLETRANSLATE(C132, ""en"", ""ur"")"),"A) سوار کو نئے گھوڑے کے ساتھ جاری رکھنے کی اجازت دیں، B) گھوڑے کے متبادل کے لیے ٹیم A کو سزا دیں، C) سوار کو چوٹ لگنے کے لیے ایک مختصر وقفہ کی اجازت دیں، D) گھوڑے سے متعلقہ چوٹوں کے لیے ٹیم A کو نااہل قرار دیں۔")</f>
        <v>A) سوار کو نئے گھوڑے کے ساتھ جاری رکھنے کی اجازت دیں، B) گھوڑے کے متبادل کے لیے ٹیم A کو سزا دیں، C) سوار کو چوٹ لگنے کے لیے ایک مختصر وقفہ کی اجازت دیں، D) گھوڑے سے متعلقہ چوٹوں کے لیے ٹیم A کو نااہل قرار دیں۔</v>
      </c>
      <c r="M132" s="6" t="str">
        <f>IFERROR(__xludf.DUMMYFUNCTION("GOOGLETRANSLATE(D132, ""en"", ""ur"")"),"A) سوار کو نئے گھوڑے کے ساتھ جاری رکھنے کی اجازت دیں، C) سوار کو چوٹ کی طرف مائل ہونے کے لیے مختصر وقفے کی اجازت دیں۔")</f>
        <v>A) سوار کو نئے گھوڑے کے ساتھ جاری رکھنے کی اجازت دیں، C) سوار کو چوٹ کی طرف مائل ہونے کے لیے مختصر وقفے کی اجازت دیں۔</v>
      </c>
      <c r="N132" s="6" t="str">
        <f>IFERROR(__xludf.DUMMYFUNCTION("GOOGLETRANSLATE(E132, ""en"", ""ur"")"),"کھلاڑی کی حفاظت اہم ہے، اور مختصر طبی امداد یا گھوڑے کی تبدیلی کی اجازت معیاری پروٹوکول ہے۔")</f>
        <v>کھلاڑی کی حفاظت اہم ہے، اور مختصر طبی امداد یا گھوڑے کی تبدیلی کی اجازت معیاری پروٹوکول ہے۔</v>
      </c>
    </row>
    <row r="133">
      <c r="A133" s="4">
        <v>132.0</v>
      </c>
      <c r="B133" s="5" t="s">
        <v>1567</v>
      </c>
      <c r="C133" s="5" t="s">
        <v>1568</v>
      </c>
      <c r="D133" s="5" t="s">
        <v>1569</v>
      </c>
      <c r="E133" s="5" t="s">
        <v>1570</v>
      </c>
      <c r="J133" s="6" t="str">
        <f>IFERROR(__xludf.DUMMYFUNCTION("GOOGLETRANSLATE(A133, ""en"", ""ur"")"),"132")</f>
        <v>132</v>
      </c>
      <c r="K133" s="6" t="str">
        <f>IFERROR(__xludf.DUMMYFUNCTION("GOOGLETRANSLATE(B133, ""en"", ""ur"")"),"ایک سوار کامیابی کے ساتھ لاش کو پکڑتا ہے اور ہدف کی طرف اپنا راستہ بنا رہا ہوتا ہے جب ٹیم A کا دوسرا سوار غیر ارادی طور پر ان کا راستہ روکتا ہے۔ ریفری کو کیا فیصلہ کرنا چاہئے؟")</f>
        <v>ایک سوار کامیابی کے ساتھ لاش کو پکڑتا ہے اور ہدف کی طرف اپنا راستہ بنا رہا ہوتا ہے جب ٹیم A کا دوسرا سوار غیر ارادی طور پر ان کا راستہ روکتا ہے۔ ریفری کو کیا فیصلہ کرنا چاہئے؟</v>
      </c>
      <c r="L133" s="6" t="str">
        <f>IFERROR(__xludf.DUMMYFUNCTION("GOOGLETRANSLATE(C133, ""en"", ""ur"")"),"A) بغیر کسی جرمانے کے کھیل کو جاری رکھنے کی اجازت دیں، B) لاش کو دوبارہ ترتیب دیں، C) بلاک کیے جانے والے سوار کو مفت پاس دیں، D) روکے جانے والے سوار کو کھیل میں رکاوٹ ڈالنے پر سزا دیں۔")</f>
        <v>A) بغیر کسی جرمانے کے کھیل کو جاری رکھنے کی اجازت دیں، B) لاش کو دوبارہ ترتیب دیں، C) بلاک کیے جانے والے سوار کو مفت پاس دیں، D) روکے جانے والے سوار کو کھیل میں رکاوٹ ڈالنے پر سزا دیں۔</v>
      </c>
      <c r="M133" s="6" t="str">
        <f>IFERROR(__xludf.DUMMYFUNCTION("GOOGLETRANSLATE(D133, ""en"", ""ur"")"),"A) بغیر کسی جرمانے کے کھیل کو جاری رکھنے کی اجازت دیں۔")</f>
        <v>A) بغیر کسی جرمانے کے کھیل کو جاری رکھنے کی اجازت دیں۔</v>
      </c>
      <c r="N133" s="6" t="str">
        <f>IFERROR(__xludf.DUMMYFUNCTION("GOOGLETRANSLATE(E133, ""en"", ""ur"")"),"غیر ارادی رکاوٹیں عام طور پر جرمانے کی ضمانت نہیں دیتی ہیں جب تک کہ رکاوٹ جان بوجھ کر یا انتہائی نہ ہو۔")</f>
        <v>غیر ارادی رکاوٹیں عام طور پر جرمانے کی ضمانت نہیں دیتی ہیں جب تک کہ رکاوٹ جان بوجھ کر یا انتہائی نہ ہو۔</v>
      </c>
    </row>
    <row r="134">
      <c r="A134" s="4">
        <v>133.0</v>
      </c>
      <c r="B134" s="5" t="s">
        <v>1571</v>
      </c>
      <c r="C134" s="5" t="s">
        <v>1572</v>
      </c>
      <c r="D134" s="5" t="s">
        <v>1573</v>
      </c>
      <c r="E134" s="5" t="s">
        <v>1574</v>
      </c>
      <c r="J134" s="6" t="str">
        <f>IFERROR(__xludf.DUMMYFUNCTION("GOOGLETRANSLATE(A134, ""en"", ""ur"")"),"133")</f>
        <v>133</v>
      </c>
      <c r="K134" s="6" t="str">
        <f>IFERROR(__xludf.DUMMYFUNCTION("GOOGLETRANSLATE(B134, ""en"", ""ur"")"),"ایک مقامی بزکشی گیم میں، مخالف ٹیموں کے دو سوار لاش کو اپنے قبضے میں لینے کے لیے مٹھی بھر لڑائی میں پڑ جاتے ہیں۔ ریفری کو کیا کرنا چاہیے؟")</f>
        <v>ایک مقامی بزکشی گیم میں، مخالف ٹیموں کے دو سوار لاش کو اپنے قبضے میں لینے کے لیے مٹھی بھر لڑائی میں پڑ جاتے ہیں۔ ریفری کو کیا کرنا چاہیے؟</v>
      </c>
      <c r="L134" s="6" t="str">
        <f>IFERROR(__xludf.DUMMYFUNCTION("GOOGLETRANSLATE(C134, ""en"", ""ur"")"),"A) سواروں کو الگ کریں اور دونوں کو وارننگ جاری کریں، B) دونوں سواروں کو میچ سے نااہل قرار دیں، C) میچ کو روکیں اور ڈی ایسکلیشن کے لیے وقت دیں، D) مزید کارروائی کے بغیر میچ جاری رکھیں")</f>
        <v>A) سواروں کو الگ کریں اور دونوں کو وارننگ جاری کریں، B) دونوں سواروں کو میچ سے نااہل قرار دیں، C) میچ کو روکیں اور ڈی ایسکلیشن کے لیے وقت دیں، D) مزید کارروائی کے بغیر میچ جاری رکھیں</v>
      </c>
      <c r="M134" s="6" t="str">
        <f>IFERROR(__xludf.DUMMYFUNCTION("GOOGLETRANSLATE(D134, ""en"", ""ur"")"),"A) سواروں کو الگ کریں اور دونوں کو وارننگ جاری کریں، B) دونوں سواروں کو میچ سے نااہل قرار دیں۔")</f>
        <v>A) سواروں کو الگ کریں اور دونوں کو وارننگ جاری کریں، B) دونوں سواروں کو میچ سے نااہل قرار دیں۔</v>
      </c>
      <c r="N134" s="6" t="str">
        <f>IFERROR(__xludf.DUMMYFUNCTION("GOOGLETRANSLATE(E134, ""en"", ""ur"")"),"جسمانی تشدد ممنوع ہے اور منصفانہ کھیل کو برقرار رکھنے کے لیے اس کے مطابق سزا دی جانی چاہیے۔")</f>
        <v>جسمانی تشدد ممنوع ہے اور منصفانہ کھیل کو برقرار رکھنے کے لیے اس کے مطابق سزا دی جانی چاہیے۔</v>
      </c>
    </row>
    <row r="135">
      <c r="A135" s="4">
        <v>134.0</v>
      </c>
      <c r="B135" s="5" t="s">
        <v>1575</v>
      </c>
      <c r="C135" s="5" t="s">
        <v>1576</v>
      </c>
      <c r="D135" s="5" t="s">
        <v>1577</v>
      </c>
      <c r="E135" s="5" t="s">
        <v>1578</v>
      </c>
      <c r="J135" s="6" t="str">
        <f>IFERROR(__xludf.DUMMYFUNCTION("GOOGLETRANSLATE(A135, ""en"", ""ur"")"),"134")</f>
        <v>134</v>
      </c>
      <c r="K135" s="6" t="str">
        <f>IFERROR(__xludf.DUMMYFUNCTION("GOOGLETRANSLATE(B135, ""en"", ""ur"")"),"ٹیم A کا ایک سوار بہت جارحانہ انداز میں سواری کرتا ہے اور دوسرے سوار کو اپنے گھوڑے سے گرا دیتا ہے۔ ریفری کا فیصلہ کیا ہونا چاہیے؟")</f>
        <v>ٹیم A کا ایک سوار بہت جارحانہ انداز میں سواری کرتا ہے اور دوسرے سوار کو اپنے گھوڑے سے گرا دیتا ہے۔ ریفری کا فیصلہ کیا ہونا چاہیے؟</v>
      </c>
      <c r="L135" s="6" t="str">
        <f>IFERROR(__xludf.DUMMYFUNCTION("GOOGLETRANSLATE(C135, ""en"", ""ur"")"),"A) خلاف ورزی کرنے والے سوار کو پیلا کارڈ جاری کریں، B) رائیڈر کو غیر کھیلوں کے طرز عمل پر نااہل قرار دیں، C) ٹیم B کو مفت قبضہ دے کر ٹیم A کو سزا دیں، D) میچ کو جاری رہنے دیں کیونکہ کوئی شدید چوٹ نہیں آئی")</f>
        <v>A) خلاف ورزی کرنے والے سوار کو پیلا کارڈ جاری کریں، B) رائیڈر کو غیر کھیلوں کے طرز عمل پر نااہل قرار دیں، C) ٹیم B کو مفت قبضہ دے کر ٹیم A کو سزا دیں، D) میچ کو جاری رہنے دیں کیونکہ کوئی شدید چوٹ نہیں آئی</v>
      </c>
      <c r="M135" s="6" t="str">
        <f>IFERROR(__xludf.DUMMYFUNCTION("GOOGLETRANSLATE(D135, ""en"", ""ur"")"),"A) مجرم سوار کو پیلا کارڈ جاری کریں، C) ٹیم B کو مفت قبضہ دے کر ٹیم A کو سزا دیں۔")</f>
        <v>A) مجرم سوار کو پیلا کارڈ جاری کریں، C) ٹیم B کو مفت قبضہ دے کر ٹیم A کو سزا دیں۔</v>
      </c>
      <c r="N135" s="6" t="str">
        <f>IFERROR(__xludf.DUMMYFUNCTION("GOOGLETRANSLATE(E135, ""en"", ""ur"")"),"حفاظت اور منصفانہ مسابقت کو یقینی بنانے کے لیے جارحانہ حربوں پر جرمانہ عائد کیا جانا چاہیے۔")</f>
        <v>حفاظت اور منصفانہ مسابقت کو یقینی بنانے کے لیے جارحانہ حربوں پر جرمانہ عائد کیا جانا چاہیے۔</v>
      </c>
    </row>
    <row r="136">
      <c r="A136" s="4">
        <v>135.0</v>
      </c>
      <c r="B136" s="5" t="s">
        <v>1579</v>
      </c>
      <c r="C136" s="5" t="s">
        <v>1580</v>
      </c>
      <c r="D136" s="5" t="s">
        <v>1581</v>
      </c>
      <c r="E136" s="5" t="s">
        <v>1582</v>
      </c>
      <c r="J136" s="6" t="str">
        <f>IFERROR(__xludf.DUMMYFUNCTION("GOOGLETRANSLATE(A136, ""en"", ""ur"")"),"135")</f>
        <v>135</v>
      </c>
      <c r="K136" s="6" t="str">
        <f>IFERROR(__xludf.DUMMYFUNCTION("GOOGLETRANSLATE(B136, ""en"", ""ur"")"),"ٹیم A کا ایک سوار لاش کو پکڑتا ہے اور گول کی طرف بڑھ رہا ہے جب اسے اپنے گھوڑے کا استعمال کرتے ہوئے مخالف کے ذریعہ روکا جاتا ہے۔ ریفری کو کیا کرنا چاہیے؟")</f>
        <v>ٹیم A کا ایک سوار لاش کو پکڑتا ہے اور گول کی طرف بڑھ رہا ہے جب اسے اپنے گھوڑے کا استعمال کرتے ہوئے مخالف کے ذریعہ روکا جاتا ہے۔ ریفری کو کیا کرنا چاہیے؟</v>
      </c>
      <c r="L136" s="6" t="str">
        <f>IFERROR(__xludf.DUMMYFUNCTION("GOOGLETRANSLATE(C136, ""en"", ""ur"")"),"A) بلاک کو اجازت دیں کیونکہ یہ گیم کا حصہ ہے، B) سوار کو غیر منصفانہ بلاک کرنے پر سزا دیں، C) ٹیم A کو مفت قبضہ دیں، D) میچ روکیں اور لاش کو دوبارہ ترتیب دیں۔")</f>
        <v>A) بلاک کو اجازت دیں کیونکہ یہ گیم کا حصہ ہے، B) سوار کو غیر منصفانہ بلاک کرنے پر سزا دیں، C) ٹیم A کو مفت قبضہ دیں، D) میچ روکیں اور لاش کو دوبارہ ترتیب دیں۔</v>
      </c>
      <c r="M136" s="6" t="str">
        <f>IFERROR(__xludf.DUMMYFUNCTION("GOOGLETRANSLATE(D136, ""en"", ""ur"")"),"B) سوار کو غیر منصفانہ بلاک کرنے پر سزا دیں، C) ٹیم A کو مفت قبضہ دیں")</f>
        <v>B) سوار کو غیر منصفانہ بلاک کرنے پر سزا دیں، C) ٹیم A کو مفت قبضہ دیں</v>
      </c>
      <c r="N136" s="6" t="str">
        <f>IFERROR(__xludf.DUMMYFUNCTION("GOOGLETRANSLATE(E136, ""en"", ""ur"")"),"گھوڑے کے ساتھ روکنے کی اجازت ہے، لیکن حد سے زیادہ جارحانہ یا رکاوٹ والے انداز میں نہیں۔ غیر منصفانہ طرز عمل پر جرمانہ جاری کیا جاتا ہے۔")</f>
        <v>گھوڑے کے ساتھ روکنے کی اجازت ہے، لیکن حد سے زیادہ جارحانہ یا رکاوٹ والے انداز میں نہیں۔ غیر منصفانہ طرز عمل پر جرمانہ جاری کیا جاتا ہے۔</v>
      </c>
    </row>
    <row r="137">
      <c r="A137" s="4">
        <v>136.0</v>
      </c>
      <c r="B137" s="5" t="s">
        <v>1583</v>
      </c>
      <c r="C137" s="5" t="s">
        <v>1584</v>
      </c>
      <c r="D137" s="5" t="s">
        <v>1585</v>
      </c>
      <c r="E137" s="5" t="s">
        <v>1586</v>
      </c>
      <c r="J137" s="6" t="str">
        <f>IFERROR(__xludf.DUMMYFUNCTION("GOOGLETRANSLATE(A137, ""en"", ""ur"")"),"136")</f>
        <v>136</v>
      </c>
      <c r="K137" s="6" t="str">
        <f>IFERROR(__xludf.DUMMYFUNCTION("GOOGLETRANSLATE(B137, ""en"", ""ur"")"),"ٹیم B کا ایک سوار لاش کو ٹیم کے ساتھی کے پاس دیتا ہے، لیکن ساتھی اسے گول دائرے تک پہنچنے سے پہلے ہی گرا دیتا ہے۔ آگے کیا ہوتا ہے؟")</f>
        <v>ٹیم B کا ایک سوار لاش کو ٹیم کے ساتھی کے پاس دیتا ہے، لیکن ساتھی اسے گول دائرے تک پہنچنے سے پہلے ہی گرا دیتا ہے۔ آگے کیا ہوتا ہے؟</v>
      </c>
      <c r="L137" s="6" t="str">
        <f>IFERROR(__xludf.DUMMYFUNCTION("GOOGLETRANSLATE(C137, ""en"", ""ur"")"),"A) مخالف ٹیم قبضہ حاصل کر لیتی ہے، B) لاش کو مرکز میں ری سیٹ کر دیا جاتا ہے، C) کھیل جاری رہتا ہے، اور ٹیم B کو دوبارہ کوشش کرنی پڑتی ہے، D) ٹیم B کو لاش گرانے پر جرمانہ کیا جاتا ہے۔")</f>
        <v>A) مخالف ٹیم قبضہ حاصل کر لیتی ہے، B) لاش کو مرکز میں ری سیٹ کر دیا جاتا ہے، C) کھیل جاری رہتا ہے، اور ٹیم B کو دوبارہ کوشش کرنی پڑتی ہے، D) ٹیم B کو لاش گرانے پر جرمانہ کیا جاتا ہے۔</v>
      </c>
      <c r="M137" s="6" t="str">
        <f>IFERROR(__xludf.DUMMYFUNCTION("GOOGLETRANSLATE(D137, ""en"", ""ur"")"),"C) کھیل جاری ہے، اور ٹیم B کو دوبارہ کوشش کرنی ہوگی۔")</f>
        <v>C) کھیل جاری ہے، اور ٹیم B کو دوبارہ کوشش کرنی ہوگی۔</v>
      </c>
      <c r="N137" s="6" t="str">
        <f>IFERROR(__xludf.DUMMYFUNCTION("GOOGLETRANSLATE(E137, ""en"", ""ur"")"),"لاش کو گرانے سے خود بخود جرمانہ نہیں ہوتا، لیکن ٹیم کو جاری رکھنے کے لیے دوبارہ قبضہ حاصل کرنا چاہیے۔")</f>
        <v>لاش کو گرانے سے خود بخود جرمانہ نہیں ہوتا، لیکن ٹیم کو جاری رکھنے کے لیے دوبارہ قبضہ حاصل کرنا چاہیے۔</v>
      </c>
    </row>
    <row r="138">
      <c r="A138" s="4">
        <v>137.0</v>
      </c>
      <c r="B138" s="5" t="s">
        <v>1587</v>
      </c>
      <c r="C138" s="5" t="s">
        <v>1588</v>
      </c>
      <c r="D138" s="5" t="s">
        <v>1589</v>
      </c>
      <c r="E138" s="5" t="s">
        <v>1590</v>
      </c>
      <c r="J138" s="6" t="str">
        <f>IFERROR(__xludf.DUMMYFUNCTION("GOOGLETRANSLATE(A138, ""en"", ""ur"")"),"137")</f>
        <v>137</v>
      </c>
      <c r="K138" s="6" t="str">
        <f>IFERROR(__xludf.DUMMYFUNCTION("GOOGLETRANSLATE(B138, ""en"", ""ur"")"),"بزکشی میچ کے دوران، ٹیم A کے پاس ایک سوار ہے جو بہت تیز ہے لیکن لاش کو سنبھالنے میں ناتجربہ کار ہے۔ ٹیم A اس سوار کا بہترین استعمال کیسے کر سکتی ہے؟")</f>
        <v>بزکشی میچ کے دوران، ٹیم A کے پاس ایک سوار ہے جو بہت تیز ہے لیکن لاش کو سنبھالنے میں ناتجربہ کار ہے۔ ٹیم A اس سوار کا بہترین استعمال کیسے کر سکتی ہے؟</v>
      </c>
      <c r="L138" s="6" t="str">
        <f>IFERROR(__xludf.DUMMYFUNCTION("GOOGLETRANSLATE(C138, ""en"", ""ur"")"),"A) انہیں تیز رفتاری اور مخالفوں کی توجہ ہٹانے پر توجہ دلائیں، B) گول دائرے کی حفاظت کے لیے انہیں تفویض کریں، C) انہیں آسان، کم مقابلہ والے حالات میں لاش کو سنبھالنے دیں، D) ان کا استعمال کریں جب کوئی اور ساتھی لاش کو پکڑ لے۔")</f>
        <v>A) انہیں تیز رفتاری اور مخالفوں کی توجہ ہٹانے پر توجہ دلائیں، B) گول دائرے کی حفاظت کے لیے انہیں تفویض کریں، C) انہیں آسان، کم مقابلہ والے حالات میں لاش کو سنبھالنے دیں، D) ان کا استعمال کریں جب کوئی اور ساتھی لاش کو پکڑ لے۔</v>
      </c>
      <c r="M138" s="6" t="str">
        <f>IFERROR(__xludf.DUMMYFUNCTION("GOOGLETRANSLATE(D138, ""en"", ""ur"")"),"A) انہیں تیز رفتاری اور مخالفین کی توجہ ہٹانے پر توجہ دلائیں، D) ان کا استعمال ایک دھوکے کے طور پر کریں جب کہ ایک اور ساتھی لاش کو پکڑ لے")</f>
        <v>A) انہیں تیز رفتاری اور مخالفین کی توجہ ہٹانے پر توجہ دلائیں، D) ان کا استعمال ایک دھوکے کے طور پر کریں جب کہ ایک اور ساتھی لاش کو پکڑ لے</v>
      </c>
      <c r="N138" s="6" t="str">
        <f>IFERROR(__xludf.DUMMYFUNCTION("GOOGLETRANSLATE(E138, ""en"", ""ur"")"),"ایک تیز سوار کا استعمال مخالف ٹیم کو پریشان یا الجھا کر ٹیم کے ساتھیوں کے لیے مواقع پیدا کرنے کے لیے کیا جا سکتا ہے۔")</f>
        <v>ایک تیز سوار کا استعمال مخالف ٹیم کو پریشان یا الجھا کر ٹیم کے ساتھیوں کے لیے مواقع پیدا کرنے کے لیے کیا جا سکتا ہے۔</v>
      </c>
    </row>
    <row r="139">
      <c r="A139" s="4">
        <v>138.0</v>
      </c>
      <c r="B139" s="5" t="s">
        <v>1591</v>
      </c>
      <c r="C139" s="5" t="s">
        <v>1592</v>
      </c>
      <c r="D139" s="5" t="s">
        <v>1593</v>
      </c>
      <c r="E139" s="5" t="s">
        <v>1594</v>
      </c>
      <c r="J139" s="6" t="str">
        <f>IFERROR(__xludf.DUMMYFUNCTION("GOOGLETRANSLATE(A139, ""en"", ""ur"")"),"138")</f>
        <v>138</v>
      </c>
      <c r="K139" s="6" t="str">
        <f>IFERROR(__xludf.DUMMYFUNCTION("GOOGLETRANSLATE(B139, ""en"", ""ur"")"),"ریفری لاش کو چرانے کی کوشش کرتے وقت ضرورت سے زیادہ طاقت کے لئے ٹیم A کے سوار کے خلاف فاؤل کا اشارہ کرتا ہے۔ ممکنہ سزا کیا ہے؟")</f>
        <v>ریفری لاش کو چرانے کی کوشش کرتے وقت ضرورت سے زیادہ طاقت کے لئے ٹیم A کے سوار کے خلاف فاؤل کا اشارہ کرتا ہے۔ ممکنہ سزا کیا ہے؟</v>
      </c>
      <c r="L139" s="6" t="str">
        <f>IFERROR(__xludf.DUMMYFUNCTION("GOOGLETRANSLATE(C139, ""en"", ""ur"")"),"A) ٹیم B کو دیا گیا ایک پوائنٹ، B) ٹیم A لاش کا قبضہ کھو دیتی ہے، C) ٹیم A کو جاری کردہ وارننگ، D) ٹیم B کو مفت قبضہ دیا گیا")</f>
        <v>A) ٹیم B کو دیا گیا ایک پوائنٹ، B) ٹیم A لاش کا قبضہ کھو دیتی ہے، C) ٹیم A کو جاری کردہ وارننگ، D) ٹیم B کو مفت قبضہ دیا گیا</v>
      </c>
      <c r="M139" s="6" t="str">
        <f>IFERROR(__xludf.DUMMYFUNCTION("GOOGLETRANSLATE(D139, ""en"", ""ur"")"),"B) ٹیم A لاش کا قبضہ کھو دیتی ہے، D) ایک مفت قبضہ ٹیم B کو دیا گیا")</f>
        <v>B) ٹیم A لاش کا قبضہ کھو دیتی ہے، D) ایک مفت قبضہ ٹیم B کو دیا گیا</v>
      </c>
      <c r="N139" s="6" t="str">
        <f>IFERROR(__xludf.DUMMYFUNCTION("GOOGLETRANSLATE(E139, ""en"", ""ur"")"),"ضرورت سے زیادہ طاقت کے استعمال کے نتیجے میں قبضہ ختم ہوسکتا ہے، اور مخالف ٹیم فائدہ اٹھا سکتی ہے۔")</f>
        <v>ضرورت سے زیادہ طاقت کے استعمال کے نتیجے میں قبضہ ختم ہوسکتا ہے، اور مخالف ٹیم فائدہ اٹھا سکتی ہے۔</v>
      </c>
    </row>
    <row r="140">
      <c r="A140" s="4">
        <v>139.0</v>
      </c>
      <c r="B140" s="5" t="s">
        <v>1595</v>
      </c>
      <c r="C140" s="5" t="s">
        <v>1596</v>
      </c>
      <c r="D140" s="5" t="s">
        <v>1597</v>
      </c>
      <c r="E140" s="5" t="s">
        <v>1598</v>
      </c>
      <c r="J140" s="6" t="str">
        <f>IFERROR(__xludf.DUMMYFUNCTION("GOOGLETRANSLATE(A140, ""en"", ""ur"")"),"139")</f>
        <v>139</v>
      </c>
      <c r="K140" s="6" t="str">
        <f>IFERROR(__xludf.DUMMYFUNCTION("GOOGLETRANSLATE(B140, ""en"", ""ur"")"),"ایک رائیڈر پر الزام لگایا جاتا ہے کہ اس نے گول کرنے کی کوشش کیے بغیر گول دائرے کو لمبے عرصے تک بلاک کر دیا۔ ریفری کو کیا کرنا چاہیے؟")</f>
        <v>ایک رائیڈر پر الزام لگایا جاتا ہے کہ اس نے گول کرنے کی کوشش کیے بغیر گول دائرے کو لمبے عرصے تک بلاک کر دیا۔ ریفری کو کیا کرنا چاہیے؟</v>
      </c>
      <c r="L140" s="6" t="str">
        <f>IFERROR(__xludf.DUMMYFUNCTION("GOOGLETRANSLATE(C140, ""en"", ""ur"")"),"A) کھیل کو جاری رکھنے کی اجازت دیں، B) سوار کو وارننگ جاری کریں، C) لاش کو ابتدائی مقام پر دوبارہ ترتیب دیں، D) سوار کو غیر کھیلوں کے طرز عمل پر سزا دیں")</f>
        <v>A) کھیل کو جاری رکھنے کی اجازت دیں، B) سوار کو وارننگ جاری کریں، C) لاش کو ابتدائی مقام پر دوبارہ ترتیب دیں، D) سوار کو غیر کھیلوں کے طرز عمل پر سزا دیں</v>
      </c>
      <c r="M140" s="6" t="str">
        <f>IFERROR(__xludf.DUMMYFUNCTION("GOOGLETRANSLATE(D140, ""en"", ""ur"")"),"B) سوار کو وارننگ جاری کریں، D) سوار کو غیر کھیلوں کے طرز عمل پر سزا دیں")</f>
        <v>B) سوار کو وارننگ جاری کریں، D) سوار کو غیر کھیلوں کے طرز عمل پر سزا دیں</v>
      </c>
      <c r="N140" s="6" t="str">
        <f>IFERROR(__xludf.DUMMYFUNCTION("GOOGLETRANSLATE(E140, ""en"", ""ur"")"),"گول کرنے کے ارادے کے بغیر گول کے دائرے کو مسدود کرنا گیم پلے میں خلل ڈالتا ہے اور جرمانے کا باعث بن سکتا ہے۔")</f>
        <v>گول کرنے کے ارادے کے بغیر گول کے دائرے کو مسدود کرنا گیم پلے میں خلل ڈالتا ہے اور جرمانے کا باعث بن سکتا ہے۔</v>
      </c>
    </row>
    <row r="141">
      <c r="A141" s="4">
        <v>140.0</v>
      </c>
      <c r="B141" s="5" t="s">
        <v>1599</v>
      </c>
      <c r="C141" s="5" t="s">
        <v>1600</v>
      </c>
      <c r="D141" s="5" t="s">
        <v>1601</v>
      </c>
      <c r="E141" s="5" t="s">
        <v>1602</v>
      </c>
      <c r="J141" s="6" t="str">
        <f>IFERROR(__xludf.DUMMYFUNCTION("GOOGLETRANSLATE(A141, ""en"", ""ur"")"),"140")</f>
        <v>140</v>
      </c>
      <c r="K141" s="6" t="str">
        <f>IFERROR(__xludf.DUMMYFUNCTION("GOOGLETRANSLATE(B141, ""en"", ""ur"")"),"میچ کے دوران ایک تماشائی میدان میں بھاگتا ہے، جس سے عارضی افراتفری مچ جاتی ہے۔ مناسب کارروائی کیا ہے؟")</f>
        <v>میچ کے دوران ایک تماشائی میدان میں بھاگتا ہے، جس سے عارضی افراتفری مچ جاتی ہے۔ مناسب کارروائی کیا ہے؟</v>
      </c>
      <c r="L141" s="6" t="str">
        <f>IFERROR(__xludf.DUMMYFUNCTION("GOOGLETRANSLATE(C141, ""en"", ""ur"")"),"A) تماشائی کو ہٹانے تک میچ کو روکیں، B) میچ کو جاری رکھیں اور رکاوٹ کو نظر انداز کریں، C) میچ کو آخری قبضے سے دوبارہ شروع کریں، D) تماشائی کی حمایت کرنے والی ٹیم کو جرمانہ کریں۔")</f>
        <v>A) تماشائی کو ہٹانے تک میچ کو روکیں، B) میچ کو جاری رکھیں اور رکاوٹ کو نظر انداز کریں، C) میچ کو آخری قبضے سے دوبارہ شروع کریں، D) تماشائی کی حمایت کرنے والی ٹیم کو جرمانہ کریں۔</v>
      </c>
      <c r="M141" s="6" t="str">
        <f>IFERROR(__xludf.DUMMYFUNCTION("GOOGLETRANSLATE(D141, ""en"", ""ur"")"),"A) تماشائی کو ہٹانے تک میچ روک دیں۔")</f>
        <v>A) تماشائی کو ہٹانے تک میچ روک دیں۔</v>
      </c>
      <c r="N141" s="6" t="str">
        <f>IFERROR(__xludf.DUMMYFUNCTION("GOOGLETRANSLATE(E141, ""en"", ""ur"")"),"کھلاڑیوں کی حفاظت اور کھیل کی سالمیت کو یقینی بنانے کے لیے تماشائیوں کی مداخلت پر فوری توجہ دی جانی چاہیے۔")</f>
        <v>کھلاڑیوں کی حفاظت اور کھیل کی سالمیت کو یقینی بنانے کے لیے تماشائیوں کی مداخلت پر فوری توجہ دی جانی چاہیے۔</v>
      </c>
    </row>
    <row r="142">
      <c r="A142" s="4">
        <v>141.0</v>
      </c>
      <c r="B142" s="5" t="s">
        <v>1603</v>
      </c>
      <c r="C142" s="5" t="s">
        <v>1604</v>
      </c>
      <c r="D142" s="5" t="s">
        <v>1605</v>
      </c>
      <c r="E142" s="5" t="s">
        <v>1606</v>
      </c>
      <c r="J142" s="6" t="str">
        <f>IFERROR(__xludf.DUMMYFUNCTION("GOOGLETRANSLATE(A142, ""en"", ""ur"")"),"141")</f>
        <v>141</v>
      </c>
      <c r="K142" s="6" t="str">
        <f>IFERROR(__xludf.DUMMYFUNCTION("GOOGLETRANSLATE(B142, ""en"", ""ur"")"),"ایک سوار لاش کو پکڑتا ہے اور اسے تھرو کا استعمال کرتے ہوئے ٹیم کے ساتھی کو دینے کا فیصلہ کرتا ہے۔ کیچ کے دوران ساتھی کو کیا یقینی بنانا چاہیے؟")</f>
        <v>ایک سوار لاش کو پکڑتا ہے اور اسے تھرو کا استعمال کرتے ہوئے ٹیم کے ساتھی کو دینے کا فیصلہ کرتا ہے۔ کیچ کے دوران ساتھی کو کیا یقینی بنانا چاہیے؟</v>
      </c>
      <c r="L142" s="6" t="str">
        <f>IFERROR(__xludf.DUMMYFUNCTION("GOOGLETRANSLATE(C142, ""en"", ""ur"")"),"A) لاش زمین کو نہیں چھوتی، B) پکڑتے وقت وہ لگے رہتے ہیں، C) وہ فوراً گول دائرے کی طرف جاتے ہیں، D) وہ پکڑنے سے پہلے ریفری کو اشارہ کرتے ہیں۔")</f>
        <v>A) لاش زمین کو نہیں چھوتی، B) پکڑتے وقت وہ لگے رہتے ہیں، C) وہ فوراً گول دائرے کی طرف جاتے ہیں، D) وہ پکڑنے سے پہلے ریفری کو اشارہ کرتے ہیں۔</v>
      </c>
      <c r="M142" s="6" t="str">
        <f>IFERROR(__xludf.DUMMYFUNCTION("GOOGLETRANSLATE(D142, ""en"", ""ur"")"),"A) لاش زمین کو نہیں چھوتی ہے، B) پکڑتے وقت وہ لگے رہتے ہیں۔")</f>
        <v>A) لاش زمین کو نہیں چھوتی ہے، B) پکڑتے وقت وہ لگے رہتے ہیں۔</v>
      </c>
      <c r="N142" s="6" t="str">
        <f>IFERROR(__xludf.DUMMYFUNCTION("GOOGLETRANSLATE(E142, ""en"", ""ur"")"),"قوانین کی پابندی کرتے ہوئے قبضہ برقرار رکھنے کے لیے ہم آہنگی اور مہارت کی ضرورت ہوتی ہے۔")</f>
        <v>قوانین کی پابندی کرتے ہوئے قبضہ برقرار رکھنے کے لیے ہم آہنگی اور مہارت کی ضرورت ہوتی ہے۔</v>
      </c>
    </row>
    <row r="143">
      <c r="A143" s="4">
        <v>142.0</v>
      </c>
      <c r="B143" s="5" t="s">
        <v>1523</v>
      </c>
      <c r="C143" s="5" t="s">
        <v>1524</v>
      </c>
      <c r="D143" s="5" t="s">
        <v>1525</v>
      </c>
      <c r="E143" s="5" t="s">
        <v>1526</v>
      </c>
      <c r="J143" s="6" t="str">
        <f>IFERROR(__xludf.DUMMYFUNCTION("GOOGLETRANSLATE(A143, ""en"", ""ur"")"),"142")</f>
        <v>142</v>
      </c>
      <c r="K143" s="6" t="str">
        <f>IFERROR(__xludf.DUMMYFUNCTION("GOOGLETRANSLATE(B143, ""en"", ""ur"")"),"ٹیم A کا ایک سوار کامیابی سے لاش کو لے جاتا ہے اور گول دائرے کی طرف جاتا ہے، لیکن ٹیم B کا ایک مخالف اس کا راستہ کاٹ کر اس سے نمٹنے کی کوشش کرتا ہے۔ اس صورت حال سے نمٹنے کا بہترین طریقہ کیا ہے؟")</f>
        <v>ٹیم A کا ایک سوار کامیابی سے لاش کو لے جاتا ہے اور گول دائرے کی طرف جاتا ہے، لیکن ٹیم B کا ایک مخالف اس کا راستہ کاٹ کر اس سے نمٹنے کی کوشش کرتا ہے۔ اس صورت حال سے نمٹنے کا بہترین طریقہ کیا ہے؟</v>
      </c>
      <c r="L143" s="6" t="str">
        <f>IFERROR(__xludf.DUMMYFUNCTION("GOOGLETRANSLATE(C143, ""en"", ""ur"")"),"A) حریف کو چکمہ دینے کی کوشش کریں اور گول کی طرف بڑھتے رہیں، B) برتری برقرار رکھنے کے لیے گھوڑے کی رفتار کا استعمال کریں، C) مخالف کے ساتھ براہ راست تصادم میں مشغول ہوں، D) لاش کو دوسرے ساتھی کے پاس منتقل کریں۔")</f>
        <v>A) حریف کو چکمہ دینے کی کوشش کریں اور گول کی طرف بڑھتے رہیں، B) برتری برقرار رکھنے کے لیے گھوڑے کی رفتار کا استعمال کریں، C) مخالف کے ساتھ براہ راست تصادم میں مشغول ہوں، D) لاش کو دوسرے ساتھی کے پاس منتقل کریں۔</v>
      </c>
      <c r="M143" s="6" t="str">
        <f>IFERROR(__xludf.DUMMYFUNCTION("GOOGLETRANSLATE(D143, ""en"", ""ur"")"),"A) حریف کو چکمہ دینے کی کوشش کریں اور گول کی طرف بڑھتے رہیں، B) برتری برقرار رکھنے کے لیے گھوڑے کی رفتار کا استعمال کریں")</f>
        <v>A) حریف کو چکمہ دینے کی کوشش کریں اور گول کی طرف بڑھتے رہیں، B) برتری برقرار رکھنے کے لیے گھوڑے کی رفتار کا استعمال کریں</v>
      </c>
      <c r="N143" s="6" t="str">
        <f>IFERROR(__xludf.DUMMYFUNCTION("GOOGLETRANSLATE(E143, ""en"", ""ur"")"),"رفتار اور چستی ٹیکلز پر قابو پانے کی کلید ہیں، لیکن ٹیم کے ساتھی کو منتقل کرنا بھی ایک موثر حکمت عملی ہو سکتی ہے۔")</f>
        <v>رفتار اور چستی ٹیکلز پر قابو پانے کی کلید ہیں، لیکن ٹیم کے ساتھی کو منتقل کرنا بھی ایک موثر حکمت عملی ہو سکتی ہے۔</v>
      </c>
    </row>
    <row r="144">
      <c r="A144" s="4">
        <v>143.0</v>
      </c>
      <c r="B144" s="5" t="s">
        <v>1527</v>
      </c>
      <c r="C144" s="5" t="s">
        <v>1528</v>
      </c>
      <c r="D144" s="5" t="s">
        <v>1529</v>
      </c>
      <c r="E144" s="5" t="s">
        <v>1530</v>
      </c>
      <c r="J144" s="6" t="str">
        <f>IFERROR(__xludf.DUMMYFUNCTION("GOOGLETRANSLATE(A144, ""en"", ""ur"")"),"143")</f>
        <v>143</v>
      </c>
      <c r="K144" s="6" t="str">
        <f>IFERROR(__xludf.DUMMYFUNCTION("GOOGLETRANSLATE(B144, ""en"", ""ur"")"),"بزکشی میچ کے دوران سوار کا گھوڑا بے قابو ہو جاتا ہے اور غلط سمت میں دوڑنے لگتا ہے۔ اس صورت حال میں سوار کو کیا کرنا چاہیے؟")</f>
        <v>بزکشی میچ کے دوران سوار کا گھوڑا بے قابو ہو جاتا ہے اور غلط سمت میں دوڑنے لگتا ہے۔ اس صورت حال میں سوار کو کیا کرنا چاہیے؟</v>
      </c>
      <c r="L144" s="6" t="str">
        <f>IFERROR(__xludf.DUMMYFUNCTION("GOOGLETRANSLATE(C144, ""en"", ""ur"")"),"A)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f>
        <v>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v>
      </c>
      <c r="M144" s="6" t="str">
        <f>IFERROR(__xludf.DUMMYFUNCTION("GOOGLETRANSLATE(D144, ""en"", ""ur"")"),"ا) لگام کا استعمال کرکے گھوڑے پر دوبارہ کنٹرول حاصل کرنے کی کوشش کریں۔")</f>
        <v>ا) لگام کا استعمال کرکے گھوڑے پر دوبارہ کنٹرول حاصل کرنے کی کوشش کریں۔</v>
      </c>
      <c r="N144" s="6" t="str">
        <f>IFERROR(__xludf.DUMMYFUNCTION("GOOGLETRANSLATE(E144, ""en"", ""ur"")"),"سواروں کو اپنے گھوڑوں پر کنٹرول برقرار رکھنا چاہیے تاکہ ان کی حفاظت کو یقینی بنایا جا سکے اور اپنی ٹیم میں حصہ ڈالنا جاری رکھیں۔")</f>
        <v>سواروں کو اپنے گھوڑوں پر کنٹرول برقرار رکھنا چاہیے تاکہ ان کی حفاظت کو یقینی بنایا جا سکے اور اپنی ٹیم میں حصہ ڈالنا جاری رکھیں۔</v>
      </c>
    </row>
    <row r="145">
      <c r="A145" s="4">
        <v>144.0</v>
      </c>
      <c r="B145" s="5" t="s">
        <v>1531</v>
      </c>
      <c r="C145" s="5" t="s">
        <v>1532</v>
      </c>
      <c r="D145" s="5" t="s">
        <v>1533</v>
      </c>
      <c r="E145" s="5" t="s">
        <v>1534</v>
      </c>
      <c r="J145" s="6" t="str">
        <f>IFERROR(__xludf.DUMMYFUNCTION("GOOGLETRANSLATE(A145, ""en"", ""ur"")"),"144")</f>
        <v>144</v>
      </c>
      <c r="K145" s="6" t="str">
        <f>IFERROR(__xludf.DUMMYFUNCTION("GOOGLETRANSLATE(B145, ""en"", ""ur"")"),"ٹیم A کا ایک سوار ٹیم B کے متعدد سواروں کے ساتھ لاش کی لڑائی میں پھنس جاتا ہے۔ دوبارہ قبضہ حاصل کرنے کے لیے ٹیم کو کیا کرنا چاہیے؟")</f>
        <v>ٹیم A کا ایک سوار ٹیم B کے متعدد سواروں کے ساتھ لاش کی لڑائی میں پھنس جاتا ہے۔ دوبارہ قبضہ حاصل کرنے کے لیے ٹیم کو کیا کرنا چاہیے؟</v>
      </c>
      <c r="L145" s="6" t="str">
        <f>IFERROR(__xludf.DUMMYFUNCTION("GOOGLETRANSLATE(C145, ""en"", ""ur"")"),"A) لڑائی کو ختم کرکے جگہ بنانے پر توجہ مرکوز کریں، B) ٹیم کے ساتھی کو لاش چرانے کے لیے خلفشار کا فائدہ اٹھائیں، C) میچ روکنے کے لیے ریفری کو کال کریں، D) صورتحال کے پرسکون ہونے کا انتظار کریں اور پھر آگے بڑھیں۔")</f>
        <v>A) لڑائی کو ختم کرکے جگہ بنانے پر توجہ مرکوز کریں، B) ٹیم کے ساتھی کو لاش چرانے کے لیے خلفشار کا فائدہ اٹھائیں، C) میچ روکنے کے لیے ریفری کو کال کریں، D) صورتحال کے پرسکون ہونے کا انتظار کریں اور پھر آگے بڑھیں۔</v>
      </c>
      <c r="M145" s="6" t="str">
        <f>IFERROR(__xludf.DUMMYFUNCTION("GOOGLETRANSLATE(D145, ""en"", ""ur"")"),"A) لڑائی کو ختم کرکے جگہ بنانے پر توجہ مرکوز کریں، B) ٹیم کے ساتھی کو لاش چرانے کے لیے خلفشار کا فائدہ اٹھانے کو کہیں۔")</f>
        <v>A) لڑائی کو ختم کرکے جگہ بنانے پر توجہ مرکوز کریں، B) ٹیم کے ساتھی کو لاش چرانے کے لیے خلفشار کا فائدہ اٹھانے کو کہیں۔</v>
      </c>
      <c r="N145" s="6" t="str">
        <f>IFERROR(__xludf.DUMMYFUNCTION("GOOGLETRANSLATE(E145, ""en"", ""ur"")"),"لڑائی جیسے خلفشار توجہ کو منتقل کرنے اور قبضہ حاصل کرنے کے مواقع فراہم کرتے ہیں۔")</f>
        <v>لڑائی جیسے خلفشار توجہ کو منتقل کرنے اور قبضہ حاصل کرنے کے مواقع فراہم کرتے ہیں۔</v>
      </c>
    </row>
    <row r="146">
      <c r="A146" s="4">
        <v>145.0</v>
      </c>
      <c r="B146" s="5" t="s">
        <v>1535</v>
      </c>
      <c r="C146" s="5" t="s">
        <v>1536</v>
      </c>
      <c r="D146" s="5" t="s">
        <v>1537</v>
      </c>
      <c r="E146" s="5" t="s">
        <v>1538</v>
      </c>
      <c r="J146" s="6" t="str">
        <f>IFERROR(__xludf.DUMMYFUNCTION("GOOGLETRANSLATE(A146, ""en"", ""ur"")"),"145")</f>
        <v>145</v>
      </c>
      <c r="K146" s="6" t="str">
        <f>IFERROR(__xludf.DUMMYFUNCTION("GOOGLETRANSLATE(B146, ""en"", ""ur"")"),"ایک سوار کامیابی کے ساتھ لاش کو گول کے دائرے میں رکھتا ہے، لیکن ریفری غلط اشارہ کرتا ہے کیونکہ سوار کا گھوڑا گول کے علاقے سے باہر نکل گیا تھا۔ مناسب جواب کیا ہے؟")</f>
        <v>ایک سوار کامیابی کے ساتھ لاش کو گول کے دائرے میں رکھتا ہے، لیکن ریفری غلط اشارہ کرتا ہے کیونکہ سوار کا گھوڑا گول کے علاقے سے باہر نکل گیا تھا۔ مناسب جواب کیا ہے؟</v>
      </c>
      <c r="L146" s="6" t="str">
        <f>IFERROR(__xludf.DUMMYFUNCTION("GOOGLETRANSLATE(C146, ""en"", ""ur"")"),"A) ٹیم A کو پوائنٹ دیں، B) پوائنٹ کو نامنظور کریں اور گیم کو دوبارہ ترتیب دیں، C) سوار کو سزا دیں، D) مرکز سے کھیل دوبارہ شروع کریں")</f>
        <v>A) ٹیم A کو پوائنٹ دیں، B) پوائنٹ کو نامنظور کریں اور گیم کو دوبارہ ترتیب دیں، C) سوار کو سزا دیں، D) مرکز سے کھیل دوبارہ شروع کریں</v>
      </c>
      <c r="M146" s="6" t="str">
        <f>IFERROR(__xludf.DUMMYFUNCTION("GOOGLETRANSLATE(D146, ""en"", ""ur"")"),"ب) پوائنٹ کی اجازت نہ دیں اور گیم کو ری سیٹ کریں، سی) سوار کو سزا دیں۔")</f>
        <v>ب) پوائنٹ کی اجازت نہ دیں اور گیم کو ری سیٹ کریں، سی) سوار کو سزا دیں۔</v>
      </c>
      <c r="N146" s="6" t="str">
        <f>IFERROR(__xludf.DUMMYFUNCTION("GOOGLETRANSLATE(E146, ""en"", ""ur"")"),"ایک گول صرف اس صورت میں درست ہے جب سوار اور گھوڑا مقررہ ہدف کے علاقے میں رہیں۔")</f>
        <v>ایک گول صرف اس صورت میں درست ہے جب سوار اور گھوڑا مقررہ ہدف کے علاقے میں رہیں۔</v>
      </c>
    </row>
    <row r="147">
      <c r="A147" s="4">
        <v>146.0</v>
      </c>
      <c r="B147" s="5" t="s">
        <v>1539</v>
      </c>
      <c r="C147" s="5" t="s">
        <v>1540</v>
      </c>
      <c r="D147" s="5" t="s">
        <v>1541</v>
      </c>
      <c r="E147" s="5" t="s">
        <v>1542</v>
      </c>
      <c r="J147" s="6" t="str">
        <f>IFERROR(__xludf.DUMMYFUNCTION("GOOGLETRANSLATE(A147, ""en"", ""ur"")"),"146")</f>
        <v>146</v>
      </c>
      <c r="K147" s="6" t="str">
        <f>IFERROR(__xludf.DUMMYFUNCTION("GOOGLETRANSLATE(B147, ""en"", ""ur"")"),"بزکشی میچ کے آخری لمحات کے دوران، ٹیم A برتری میں ہے، اور ٹیم B گول کے دائرے کو روکنے کے لیے دفاعی حکمت عملی استعمال کر رہی ہے۔ اس دفاع کا مقابلہ کرنے کے لیے ٹیم اے کو کیا کرنا چاہیے؟")</f>
        <v>بزکشی میچ کے آخری لمحات کے دوران، ٹیم A برتری میں ہے، اور ٹیم B گول کے دائرے کو روکنے کے لیے دفاعی حکمت عملی استعمال کر رہی ہے۔ اس دفاع کا مقابلہ کرنے کے لیے ٹیم اے کو کیا کرنا چاہیے؟</v>
      </c>
      <c r="L147" s="6" t="str">
        <f>IFERROR(__xludf.DUMMYFUNCTION("GOOGLETRANSLATE(C147, ""en"", ""ur"")"),"A)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انتظار"&amp;" کریں۔")</f>
        <v>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 کریں۔</v>
      </c>
      <c r="M147" s="6" t="str">
        <f>IFERROR(__xludf.DUMMYFUNCTION("GOOGLETRANSLATE(D147, ""en"", ""ur"")"),"A) دفاع کو توڑنے کے لئے ان کے جارحانہ دباؤ میں اضافہ کریں، C) گول کے قریب ٹیم کے ساتھی کو طویل فاصلے تک پاس کی کوشش کریں")</f>
        <v>A) دفاع کو توڑنے کے لئے ان کے جارحانہ دباؤ میں اضافہ کریں، C) گول کے قریب ٹیم کے ساتھی کو طویل فاصلے تک پاس کی کوشش کریں</v>
      </c>
      <c r="N147" s="6" t="str">
        <f>IFERROR(__xludf.DUMMYFUNCTION("GOOGLETRANSLATE(E147, ""en"", ""ur"")"),"دفاعی حکمت عملیوں کا مقابلہ کرنے کے لیے دفاع کو آگے بڑھانے کے لیے فوری، فیصلہ کن اقدامات کی ضرورت ہوتی ہے۔")</f>
        <v>دفاعی حکمت عملیوں کا مقابلہ کرنے کے لیے دفاع کو آگے بڑھانے کے لیے فوری، فیصلہ کن اقدامات کی ضرورت ہوتی ہے۔</v>
      </c>
    </row>
    <row r="148">
      <c r="A148" s="4">
        <v>147.0</v>
      </c>
      <c r="B148" s="5" t="s">
        <v>1543</v>
      </c>
      <c r="C148" s="5" t="s">
        <v>1544</v>
      </c>
      <c r="D148" s="5" t="s">
        <v>1545</v>
      </c>
      <c r="E148" s="5" t="s">
        <v>1546</v>
      </c>
      <c r="J148" s="6" t="str">
        <f>IFERROR(__xludf.DUMMYFUNCTION("GOOGLETRANSLATE(A148, ""en"", ""ur"")"),"147")</f>
        <v>147</v>
      </c>
      <c r="K148" s="6" t="str">
        <f>IFERROR(__xludf.DUMMYFUNCTION("GOOGLETRANSLATE(B148, ""en"", ""ur"")"),"ایک گرما گرم بزکشی میچ کے وسط میں، ٹیم A کے ایک سوار پر الزام لگایا گیا ہے کہ اس نے لاش کو اپنے ہاتھوں سے پکڑ کر نیچے اتارا تھا۔ ریفری کو کیا کرنا چاہیے؟")</f>
        <v>ایک گرما گرم بزکشی میچ کے وسط میں، ٹیم A کے ایک سوار پر الزام لگایا گیا ہے کہ اس نے لاش کو اپنے ہاتھوں سے پکڑ کر نیچے اتارا تھا۔ ریفری کو کیا کرنا چاہیے؟</v>
      </c>
      <c r="L148" s="6" t="str">
        <f>IFERROR(__xludf.DUMMYFUNCTION("GOOGLETRANSLATE(C148, ""en"", ""ur"")"),"A) واقعے کو نظر انداز کریں، B) سوار کو وارننگ جاری کریں، C) سوار کو میچ سے نااہل قرار دیں، D) کھیل دوبارہ شروع کریں")</f>
        <v>A) واقعے کو نظر انداز کریں، B) سوار کو وارننگ جاری کریں، C) سوار کو میچ سے نااہل قرار دیں، D) کھیل دوبارہ شروع کریں</v>
      </c>
      <c r="M148" s="6" t="str">
        <f>IFERROR(__xludf.DUMMYFUNCTION("GOOGLETRANSLATE(D148, ""en"", ""ur"")"),"ب) سوار کو وارننگ جاری کریں، سی) سوار کو میچ سے نااہل قرار دیں۔")</f>
        <v>ب) سوار کو وارننگ جاری کریں، سی) سوار کو میچ سے نااہل قرار دیں۔</v>
      </c>
      <c r="N148" s="6" t="str">
        <f>IFERROR(__xludf.DUMMYFUNCTION("GOOGLETRANSLATE(E148, ""en"", ""ur"")"),"لاش کو اتارنے کے دوران پکڑنا کھیل کے قواعد کی خلاف ورزی کرتا ہے اور اس کے نتیجے میں جرمانے ہو سکتے ہیں۔")</f>
        <v>لاش کو اتارنے کے دوران پکڑنا کھیل کے قواعد کی خلاف ورزی کرتا ہے اور اس کے نتیجے میں جرمانے ہو سکتے ہیں۔</v>
      </c>
    </row>
    <row r="149">
      <c r="A149" s="4">
        <v>148.0</v>
      </c>
      <c r="B149" s="5" t="s">
        <v>1547</v>
      </c>
      <c r="C149" s="5" t="s">
        <v>1548</v>
      </c>
      <c r="D149" s="5" t="s">
        <v>1549</v>
      </c>
      <c r="E149" s="5" t="s">
        <v>1550</v>
      </c>
      <c r="J149" s="6" t="str">
        <f>IFERROR(__xludf.DUMMYFUNCTION("GOOGLETRANSLATE(A149, ""en"", ""ur"")"),"148")</f>
        <v>148</v>
      </c>
      <c r="K149" s="6" t="str">
        <f>IFERROR(__xludf.DUMMYFUNCTION("GOOGLETRANSLATE(B149, ""en"", ""ur"")"),"ایک ٹیم تیز رفتار حکمت عملی کی کوشش کرتی ہے جہاں وہ لاش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f>
        <v>ایک ٹیم تیز رفتار حکمت عملی کی کوشش کرتی ہے جہاں وہ لاش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v>
      </c>
      <c r="L149" s="6" t="str">
        <f>IFERROR(__xludf.DUMMYFUNCTION("GOOGLETRANSLATE(C149, ""en"", ""ur"")"),"A)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f>
        <v>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v>
      </c>
      <c r="M149" s="6" t="str">
        <f>IFERROR(__xludf.DUMMYFUNCTION("GOOGLETRANSLATE(D149, ""en"", ""ur"")"),"A) آہستہ کریں اور گیند کے کنٹرول پر توجہ مرکوز کریں، B) محافظوں کو گمراہ کرنے کے لیے فینٹ کا استعمال کریں۔")</f>
        <v>A) آہستہ کریں اور گیند کے کنٹرول پر توجہ مرکوز کریں، B) محافظوں کو گمراہ کرنے کے لیے فینٹ کا استعمال کریں۔</v>
      </c>
      <c r="N149" s="6" t="str">
        <f>IFERROR(__xludf.DUMMYFUNCTION("GOOGLETRANSLATE(E149, ""en"", ""ur"")"),"دھوکہ دہی کا استعمال اور احتیاط سے گیند کو کنٹرول کرنے سے رفتار کو دوبارہ حاصل کرنے اور محافظوں کو پیچھے چھوڑنے میں مدد مل سکتی ہے۔")</f>
        <v>دھوکہ دہی کا استعمال اور احتیاط سے گیند کو کنٹرول کرنے سے رفتار کو دوبارہ حاصل کرنے اور محافظوں کو پیچھے چھوڑنے میں مدد مل سکتی ہے۔</v>
      </c>
    </row>
    <row r="150">
      <c r="A150" s="4">
        <v>149.0</v>
      </c>
      <c r="B150" s="5" t="s">
        <v>1551</v>
      </c>
      <c r="C150" s="5" t="s">
        <v>1552</v>
      </c>
      <c r="D150" s="5" t="s">
        <v>1553</v>
      </c>
      <c r="E150" s="5" t="s">
        <v>1554</v>
      </c>
      <c r="J150" s="6" t="str">
        <f>IFERROR(__xludf.DUMMYFUNCTION("GOOGLETRANSLATE(A150, ""en"", ""ur"")"),"149")</f>
        <v>149</v>
      </c>
      <c r="K150" s="6" t="str">
        <f>IFERROR(__xludf.DUMMYFUNCTION("GOOGLETRANSLATE(B150, ""en"", ""ur"")"),"ٹیم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f>
        <v>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v>
      </c>
      <c r="L150" s="6" t="str">
        <f>IFERROR(__xludf.DUMMYFUNCTION("GOOGLETRANSLATE(C150, ""en"", ""ur"")"),"A) سوار کو باضابطہ وارننگ دیں، B) سوار کو نااہل قرار دیں، C) ٹیم A کو قبضہ دے کر ٹیم B کو سزا دیں، D) میچ روکیں اور مجرم سوار کو وقتی جرمانہ جاری کریں۔")</f>
        <v>A) سوار کو باضابطہ وارننگ دیں، B) سوار کو نااہل قرار دیں، C) ٹیم A کو قبضہ دے کر ٹیم B کو سزا دیں، D) میچ روکیں اور مجرم سوار کو وقتی جرمانہ جاری کریں۔</v>
      </c>
      <c r="M150" s="6" t="str">
        <f>IFERROR(__xludf.DUMMYFUNCTION("GOOGLETRANSLATE(D150, ""en"", ""ur"")"),"B) سوار کو نااہل قرار دیں، C) ٹیم A کو قبضہ دے کر ٹیم B کو سزا دیں۔")</f>
        <v>B) سوار کو نااہل قرار دیں، C) ٹیم A کو قبضہ دے کر ٹیم B کو سزا دیں۔</v>
      </c>
      <c r="N150" s="6" t="str">
        <f>IFERROR(__xludf.DUMMYFUNCTION("GOOGLETRANSLATE(E150, ""en"", ""ur"")"),"غیر منصفانہ ہتھکنڈوں کا استعمال کرتے ہوئے مسلسل بلاک کرنے سے نااہلی یا قبضے کی تبدیلی جیسی سنگین سزائیں ہوتی ہیں۔")</f>
        <v>غیر منصفانہ ہتھکنڈوں کا استعمال کرتے ہوئے مسلسل بلاک کرنے سے نااہلی یا قبضے کی تبدیلی جیسی سنگین سزائیں ہوتی ہیں۔</v>
      </c>
    </row>
    <row r="151">
      <c r="A151" s="4">
        <v>150.0</v>
      </c>
      <c r="B151" s="5" t="s">
        <v>1555</v>
      </c>
      <c r="C151" s="5" t="s">
        <v>1556</v>
      </c>
      <c r="D151" s="5" t="s">
        <v>1557</v>
      </c>
      <c r="E151" s="5" t="s">
        <v>1558</v>
      </c>
      <c r="J151" s="6" t="str">
        <f>IFERROR(__xludf.DUMMYFUNCTION("GOOGLETRANSLATE(A151, ""en"", ""ur"")"),"150")</f>
        <v>150</v>
      </c>
      <c r="K151" s="6" t="str">
        <f>IFERROR(__xludf.DUMMYFUNCTION("GOOGLETRANSLATE(B151, ""en"", ""ur"")"),"گرما گرم تبادلے کے دوران، ٹیم A کا ایک سوار غلطی سے ریفری کی پوزیشن سے ٹکرا جاتا ہے۔ ریفری کو کیسے جواب دینا چاہئے؟")</f>
        <v>گرما گرم تبادلے کے دوران، ٹیم A کا ایک سوار غلطی سے ریفری کی پوزیشن سے ٹکرا جاتا ہے۔ ریفری کو کیسے جواب دینا چاہئے؟</v>
      </c>
      <c r="L151" s="6" t="str">
        <f>IFERROR(__xludf.DUMMYFUNCTION("GOOGLETRANSLATE(C151, ""en"", ""ur"")"),"A)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f>
        <v>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v>
      </c>
      <c r="M151" s="6" t="str">
        <f>IFERROR(__xludf.DUMMYFUNCTION("GOOGLETRANSLATE(D151, ""en"", ""ur"")"),"ب) اس بات کو یقینی بنانے کے لیے میچ روکیں کہ کسی کو تکلیف نہ پہنچے، سی) سوار کو وارننگ جاری کریں۔")</f>
        <v>ب) اس بات کو یقینی بنانے کے لیے میچ روکیں کہ کسی کو تکلیف نہ پہنچے، سی) سوار کو وارننگ جاری کریں۔</v>
      </c>
      <c r="N151" s="6" t="str">
        <f>IFERROR(__xludf.DUMMYFUNCTION("GOOGLETRANSLATE(E151, ""en"", ""ur"")"),"کھلاڑی اور ریفری کی حفاظت ایک ترجیح ہے، اور چوٹ سے بچنے کے لیے تصادم پر فوری توجہ دی جانی چاہیے۔")</f>
        <v>کھلاڑی اور ریفری کی حفاظت ایک ترجیح ہے، اور چوٹ سے بچنے کے لیے تصادم پر فوری توجہ دی جانی چاہیے۔</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11" max="14" width="37.63"/>
  </cols>
  <sheetData>
    <row r="1">
      <c r="A1" s="1" t="s">
        <v>0</v>
      </c>
      <c r="B1" s="2" t="s">
        <v>1</v>
      </c>
      <c r="C1" s="2" t="s">
        <v>2</v>
      </c>
      <c r="D1" s="2" t="s">
        <v>3</v>
      </c>
      <c r="E1" s="2" t="s">
        <v>4</v>
      </c>
      <c r="J1" s="3" t="s">
        <v>1607</v>
      </c>
      <c r="K1" s="3" t="s">
        <v>6</v>
      </c>
      <c r="L1" s="3" t="s">
        <v>7</v>
      </c>
      <c r="M1" s="3" t="s">
        <v>8</v>
      </c>
      <c r="N1" s="3" t="s">
        <v>9</v>
      </c>
    </row>
    <row r="2">
      <c r="A2" s="4">
        <v>1.0</v>
      </c>
      <c r="B2" s="5" t="s">
        <v>1608</v>
      </c>
      <c r="C2" s="5" t="s">
        <v>1609</v>
      </c>
      <c r="D2" s="5" t="s">
        <v>1610</v>
      </c>
      <c r="E2" s="5" t="s">
        <v>1611</v>
      </c>
      <c r="J2" s="6" t="str">
        <f>IFERROR(__xludf.DUMMYFUNCTION("GOOGLETRANSLATE(A2, ""en"", ""ur"")"),"1")</f>
        <v>1</v>
      </c>
      <c r="K2" s="6" t="str">
        <f>IFERROR(__xludf.DUMMYFUNCTION("GOOGLETRANSLATE(B2, ""en"", ""ur"")"),"لاہور میں ایک گٹکا فائنل میں، کھلاڑی A گھومنے والی اسٹرائیک کو انجام دے رہا ہے۔ پلیئر B، بلاک کرنے کے بجائے، حملے کو پیچھے چھوڑتا ہے اور دھڑ پر صاف ہٹ کے ساتھ جواب دیتا ہے۔ یہ عمل گٹکا کے کس اصول کو بہترین انداز میں ظاہر کرتا ہے؟")</f>
        <v>لاہور میں ایک گٹکا فائنل میں، کھلاڑی A گھومنے والی اسٹرائیک کو انجام دے رہا ہے۔ پلیئر B، بلاک کرنے کے بجائے، حملے کو پیچھے چھوڑتا ہے اور دھڑ پر صاف ہٹ کے ساتھ جواب دیتا ہے۔ یہ عمل گٹکا کے کس اصول کو بہترین انداز میں ظاہر کرتا ہے؟</v>
      </c>
      <c r="L2" s="6" t="str">
        <f>IFERROR(__xludf.DUMMYFUNCTION("GOOGLETRANSLATE(C2, ""en"", ""ur"")"),"A) خام طاقت، B) پوزیشنی کنٹرول اور مؤثر جوابی حملہ، C) دفاعی پسپائی، D) فینٹ کا استعمال")</f>
        <v>A) خام طاقت، B) پوزیشنی کنٹرول اور مؤثر جوابی حملہ، C) دفاعی پسپائی، D) فینٹ کا استعمال</v>
      </c>
      <c r="M2" s="6" t="str">
        <f>IFERROR(__xludf.DUMMYFUNCTION("GOOGLETRANSLATE(D2, ""en"", ""ur"")"),"ب) پوزیشن کنٹرول اور مؤثر جوابی حملہ")</f>
        <v>ب) پوزیشن کنٹرول اور مؤثر جوابی حملہ</v>
      </c>
      <c r="N2" s="6" t="str">
        <f>IFERROR(__xludf.DUMMYFUNCTION("GOOGLETRANSLATE(E2, ""en"", ""ur"")"),"حملے کو پس پشت ڈال کر فوری کاؤنٹر کا آغاز کرنا ایک ہنر مند اور اسٹریٹجک گٹکا پریکٹیشنر کی پہچان ہے۔")</f>
        <v>حملے کو پس پشت ڈال کر فوری کاؤنٹر کا آغاز کرنا ایک ہنر مند اور اسٹریٹجک گٹکا پریکٹیشنر کی پہچان ہے۔</v>
      </c>
    </row>
    <row r="3">
      <c r="A3" s="4">
        <v>2.0</v>
      </c>
      <c r="B3" s="5" t="s">
        <v>1612</v>
      </c>
      <c r="C3" s="5" t="s">
        <v>1613</v>
      </c>
      <c r="D3" s="5" t="s">
        <v>1614</v>
      </c>
      <c r="E3" s="5" t="s">
        <v>1615</v>
      </c>
      <c r="J3" s="6" t="str">
        <f>IFERROR(__xludf.DUMMYFUNCTION("GOOGLETRANSLATE(A3, ""en"", ""ur"")"),"2")</f>
        <v>2</v>
      </c>
      <c r="K3" s="6" t="str">
        <f>IFERROR(__xludf.DUMMYFUNCTION("GOOGLETRANSLATE(B3, ""en"", ""ur"")"),"ننکانہ صاحب اکھاڑہ میں تربیتی سیشن کے دوران، ایک طالب علم اپنی چھڑی (سوتی) سے غیر مسلح ہے۔ گٹکا کے قواعد کے مطابق طالب علم کو آگے کیا کرنا چاہیے؟")</f>
        <v>ننکانہ صاحب اکھاڑہ میں تربیتی سیشن کے دوران، ایک طالب علم اپنی چھڑی (سوتی) سے غیر مسلح ہے۔ گٹکا کے قواعد کے مطابق طالب علم کو آگے کیا کرنا چاہیے؟</v>
      </c>
      <c r="L3" s="6" t="str">
        <f>IFERROR(__xludf.DUMMYFUNCTION("GOOGLETRANSLATE(C3, ""en"", ""ur"")"),"A) راؤنڈ کو ضائع کرنا، B) فوری طور پر ان کا ہتھیار بازیافت کریں، C) ہاتھ سے ہاتھ کی جنگی مہارتوں کا استعمال کرتے ہوئے مقابلہ جاری رکھیں، D) استاد سے توقف کی درخواست کریں")</f>
        <v>A) راؤنڈ کو ضائع کرنا، B) فوری طور پر ان کا ہتھیار بازیافت کریں، C) ہاتھ سے ہاتھ کی جنگی مہارتوں کا استعمال کرتے ہوئے مقابلہ جاری رکھیں، D) استاد سے توقف کی درخواست کریں</v>
      </c>
      <c r="M3" s="6" t="str">
        <f>IFERROR(__xludf.DUMMYFUNCTION("GOOGLETRANSLATE(D3, ""en"", ""ur"")"),"ج) ہاتھ سے ہاتھ کی جنگی مہارتوں کا استعمال کرتے ہوئے مقابلہ جاری رکھیں")</f>
        <v>ج) ہاتھ سے ہاتھ کی جنگی مہارتوں کا استعمال کرتے ہوئے مقابلہ جاری رکھیں</v>
      </c>
      <c r="N3" s="6" t="str">
        <f>IFERROR(__xludf.DUMMYFUNCTION("GOOGLETRANSLATE(E3, ""en"", ""ur"")"),"گٹکا ایک مکمل مارشل آرٹ ہے۔ پریکٹیشنرز کو تربیت دی جاتی ہے کہ اگر وہ اپنا ہتھیار کھو دیتے ہیں تو وہ بغیر کسی رکاوٹ کے غیر مسلح لڑائی میں منتقل ہو جاتے ہیں۔")</f>
        <v>گٹکا ایک مکمل مارشل آرٹ ہے۔ پریکٹیشنرز کو تربیت دی جاتی ہے کہ اگر وہ اپنا ہتھیار کھو دیتے ہیں تو وہ بغیر کسی رکاوٹ کے غیر مسلح لڑائی میں منتقل ہو جاتے ہیں۔</v>
      </c>
    </row>
    <row r="4">
      <c r="A4" s="4">
        <v>3.0</v>
      </c>
      <c r="B4" s="5" t="s">
        <v>1616</v>
      </c>
      <c r="C4" s="5" t="s">
        <v>1617</v>
      </c>
      <c r="D4" s="5" t="s">
        <v>1618</v>
      </c>
      <c r="E4" s="5" t="s">
        <v>1619</v>
      </c>
      <c r="J4" s="6" t="str">
        <f>IFERROR(__xludf.DUMMYFUNCTION("GOOGLETRANSLATE(A4, ""en"", ""ur"")"),"3")</f>
        <v>3</v>
      </c>
      <c r="K4" s="6" t="str">
        <f>IFERROR(__xludf.DUMMYFUNCTION("GOOGLETRANSLATE(B4, ""en"", ""ur"")"),"ثقافتی میلے میں ایک پریکٹیشنر ڈھول کی تھاپ کے ساتھ مطابقت پذیر، اپنی چھڑی کے ساتھ گھومنے والی حرکتوں کا ایک سلسلہ دکھاتا ہے۔ اس گھومنے والی تکنیک کو کیا کہتے ہیں؟")</f>
        <v>ثقافتی میلے میں ایک پریکٹیشنر ڈھول کی تھاپ کے ساتھ مطابقت پذیر، اپنی چھڑی کے ساتھ گھومنے والی حرکتوں کا ایک سلسلہ دکھاتا ہے۔ اس گھومنے والی تکنیک کو کیا کہتے ہیں؟</v>
      </c>
      <c r="L4" s="6" t="str">
        <f>IFERROR(__xludf.DUMMYFUNCTION("GOOGLETRANSLATE(C4, ""en"", ""ur"")"),"A) جور، B) فاری، C) گھمن، D) چال")</f>
        <v>A) جور، B) فاری، C) گھمن، D) چال</v>
      </c>
      <c r="M4" s="6" t="str">
        <f>IFERROR(__xludf.DUMMYFUNCTION("GOOGLETRANSLATE(D4, ""en"", ""ur"")"),"ج) گھمن")</f>
        <v>ج) گھمن</v>
      </c>
      <c r="N4" s="6" t="str">
        <f>IFERROR(__xludf.DUMMYFUNCTION("GOOGLETRANSLATE(E4, ""en"", ""ur"")"),"گھمن سے مراد ہتھیار کا مسلسل گھومنا یا گھومنا ہے، جو تال اور کنٹرول کو فروغ دینے کے لیے ایک بنیادی مشق ہے۔")</f>
        <v>گھمن سے مراد ہتھیار کا مسلسل گھومنا یا گھومنا ہے، جو تال اور کنٹرول کو فروغ دینے کے لیے ایک بنیادی مشق ہے۔</v>
      </c>
    </row>
    <row r="5">
      <c r="A5" s="4">
        <v>4.0</v>
      </c>
      <c r="B5" s="5" t="s">
        <v>1620</v>
      </c>
      <c r="C5" s="5" t="s">
        <v>1621</v>
      </c>
      <c r="D5" s="5" t="s">
        <v>1622</v>
      </c>
      <c r="E5" s="5" t="s">
        <v>1623</v>
      </c>
      <c r="J5" s="6" t="str">
        <f>IFERROR(__xludf.DUMMYFUNCTION("GOOGLETRANSLATE(A5, ""en"", ""ur"")"),"4")</f>
        <v>4</v>
      </c>
      <c r="K5" s="6" t="str">
        <f>IFERROR(__xludf.DUMMYFUNCTION("GOOGLETRANSLATE(B5, ""en"", ""ur"")"),"ایک مقابلے میں، کھلاڑی A چھڑی اور شیلڈ (فاری سوتی) کا استعمال کرتے ہوئے دفاعی موقف کے ساتھ شروع ہوتا ہے۔ کھلاڑی بی لمبے نیزے (برچھا) سے حملہ کرتا ہے۔ پلیئر اے کی سب سے مؤثر حکمت عملی کیا ہے؟")</f>
        <v>ایک مقابلے میں، کھلاڑی A چھڑی اور شیلڈ (فاری سوتی) کا استعمال کرتے ہوئے دفاعی موقف کے ساتھ شروع ہوتا ہے۔ کھلاڑی بی لمبے نیزے (برچھا) سے حملہ کرتا ہے۔ پلیئر اے کی سب سے مؤثر حکمت عملی کیا ہے؟</v>
      </c>
      <c r="L5" s="6" t="str">
        <f>IFERROR(__xludf.DUMMYFUNCTION("GOOGLETRANSLATE(C5, ""en"", ""ur"")"),"A) چھڑی کو پھینک کر نیزے کی حد کا مقابلہ کریں، B) فاصلہ روکنے اور تیزی سے بند کرنے کے لیے ڈھال کا استعمال کریں، C) پیچھے ہٹیں اور مخالف کے تھک جانے کا انتظار کریں، D) چھڑی سے براہ راست نیزے پر وار کریں۔")</f>
        <v>A) چھڑی کو پھینک کر نیزے کی حد کا مقابلہ کریں، B) فاصلہ روکنے اور تیزی سے بند کرنے کے لیے ڈھال کا استعمال کریں، C) پیچھے ہٹیں اور مخالف کے تھک جانے کا انتظار کریں، D) چھڑی سے براہ راست نیزے پر وار کریں۔</v>
      </c>
      <c r="M5" s="6" t="str">
        <f>IFERROR(__xludf.DUMMYFUNCTION("GOOGLETRANSLATE(D5, ""en"", ""ur"")"),"ب) فاصلے کو روکنے اور تیزی سے بند کرنے کے لیے شیلڈ کا استعمال کریں۔")</f>
        <v>ب) فاصلے کو روکنے اور تیزی سے بند کرنے کے لیے شیلڈ کا استعمال کریں۔</v>
      </c>
      <c r="N5" s="6" t="str">
        <f>IFERROR(__xludf.DUMMYFUNCTION("GOOGLETRANSLATE(E5, ""en"", ""ur"")"),"نیزے کی طرح طویل فاصلے تک مار کرنے والے ہتھیار کو شکست دینے کا بنیادی طریقہ یہ ہے کہ فاصلہ بند کر کے اس کی پہنچ کو بے اثر کیا جائے، جہاں چھڑی اور ڈھال زیادہ موثر ہیں۔")</f>
        <v>نیزے کی طرح طویل فاصلے تک مار کرنے والے ہتھیار کو شکست دینے کا بنیادی طریقہ یہ ہے کہ فاصلہ بند کر کے اس کی پہنچ کو بے اثر کیا جائے، جہاں چھڑی اور ڈھال زیادہ موثر ہیں۔</v>
      </c>
    </row>
    <row r="6">
      <c r="A6" s="4">
        <v>5.0</v>
      </c>
      <c r="B6" s="5" t="s">
        <v>1624</v>
      </c>
      <c r="C6" s="5" t="s">
        <v>1625</v>
      </c>
      <c r="D6" s="5" t="s">
        <v>1626</v>
      </c>
      <c r="E6" s="5" t="s">
        <v>1627</v>
      </c>
      <c r="J6" s="6" t="str">
        <f>IFERROR(__xludf.DUMMYFUNCTION("GOOGLETRANSLATE(A6, ""en"", ""ur"")"),"5")</f>
        <v>5</v>
      </c>
      <c r="K6" s="6" t="str">
        <f>IFERROR(__xludf.DUMMYFUNCTION("GOOGLETRANSLATE(B6, ""en"", ""ur"")"),"میلہ چراغاں فیسٹیول میں گٹکا میچ برابری کے ساتھ ختم ہوا۔ فاتح کا تعین کرنے کا معیاری طریقہ کار کیا ہے؟")</f>
        <v>میلہ چراغاں فیسٹیول میں گٹکا میچ برابری کے ساتھ ختم ہوا۔ فاتح کا تعین کرنے کا معیاری طریقہ کار کیا ہے؟</v>
      </c>
      <c r="L6" s="6" t="str">
        <f>IFERROR(__xludf.DUMMYFUNCTION("GOOGLETRANSLATE(C6, ""en"", ""ur"")"),"A) جیتنے والے کا فیصلہ سکے کے ٹاس سے ہوتا ہے، B) میچ کو اعزازی ڈرا قرار دیا جاتا ہے، C) ایک اضافی، اچانک موت کا راؤنڈ کھیلا جاتا ہے، D) کم وارننگز والا کھلاڑی جیت جاتا ہے۔")</f>
        <v>A) جیتنے والے کا فیصلہ سکے کے ٹاس سے ہوتا ہے، B) میچ کو اعزازی ڈرا قرار دیا جاتا ہے، C) ایک اضافی، اچانک موت کا راؤنڈ کھیلا جاتا ہے، D) کم وارننگز والا کھلاڑی جیت جاتا ہے۔</v>
      </c>
      <c r="M6" s="6" t="str">
        <f>IFERROR(__xludf.DUMMYFUNCTION("GOOGLETRANSLATE(D6, ""en"", ""ur"")"),"C) ایک اضافی، اچانک موت کا راؤنڈ کھیلا جاتا ہے۔")</f>
        <v>C) ایک اضافی، اچانک موت کا راؤنڈ کھیلا جاتا ہے۔</v>
      </c>
      <c r="N6" s="6" t="str">
        <f>IFERROR(__xludf.DUMMYFUNCTION("GOOGLETRANSLATE(E6, ""en"", ""ur"")"),"ایک رسمی مقابلے میں، ایک واضح فاتح کی ضرورت ہوتی ہے۔ پوائنٹس پر ٹائی فاتح کا فیصلہ کرنے کے لیے اوور ٹائم راؤنڈ کی طرف لے جاتی ہے۔")</f>
        <v>ایک رسمی مقابلے میں، ایک واضح فاتح کی ضرورت ہوتی ہے۔ پوائنٹس پر ٹائی فاتح کا فیصلہ کرنے کے لیے اوور ٹائم راؤنڈ کی طرف لے جاتی ہے۔</v>
      </c>
    </row>
    <row r="7">
      <c r="A7" s="4">
        <v>6.0</v>
      </c>
      <c r="B7" s="5" t="s">
        <v>1628</v>
      </c>
      <c r="C7" s="5" t="s">
        <v>1629</v>
      </c>
      <c r="D7" s="5" t="s">
        <v>1630</v>
      </c>
      <c r="E7" s="5" t="s">
        <v>1631</v>
      </c>
      <c r="J7" s="6" t="str">
        <f>IFERROR(__xludf.DUMMYFUNCTION("GOOGLETRANSLATE(A7, ""en"", ""ur"")"),"6")</f>
        <v>6</v>
      </c>
      <c r="K7" s="6" t="str">
        <f>IFERROR(__xludf.DUMMYFUNCTION("GOOGLETRANSLATE(B7, ""en"", ""ur"")"),"ایک کھلاڑی کو ریفری کی طرف سے بار بار متنبہ کیا جاتا ہے کہ وہ گولی مارنے سے بچنے کے لیے سرکلر جنگی میدان سے باہر نکلے۔ اس بدتمیزی کی کیا سزا ہے؟")</f>
        <v>ایک کھلاڑی کو ریفری کی طرف سے بار بار متنبہ کیا جاتا ہے کہ وہ گولی مارنے سے بچنے کے لیے سرکلر جنگی میدان سے باہر نکلے۔ اس بدتمیزی کی کیا سزا ہے؟</v>
      </c>
      <c r="L7" s="6" t="str">
        <f>IFERROR(__xludf.DUMMYFUNCTION("GOOGLETRANSLATE(C7, ""en"", ""ur"")"),"A) فوری نااہلی، B) ایک پوائنٹ کی کٹوتی، C) راؤنڈ دوبارہ شروع کیا گیا ہے، D) صرف ایک زبانی انتباہ")</f>
        <v>A) فوری نااہلی، B) ایک پوائنٹ کی کٹوتی، C) راؤنڈ دوبارہ شروع کیا گیا ہے، D) صرف ایک زبانی انتباہ</v>
      </c>
      <c r="M7" s="6" t="str">
        <f>IFERROR(__xludf.DUMMYFUNCTION("GOOGLETRANSLATE(D7, ""en"", ""ur"")"),"ب) ایک پوائنٹ کی کٹوتی")</f>
        <v>ب) ایک پوائنٹ کی کٹوتی</v>
      </c>
      <c r="N7" s="6" t="str">
        <f>IFERROR(__xludf.DUMMYFUNCTION("GOOGLETRANSLATE(E7, ""en"", ""ur"")"),"ایک کھلاڑی کو مقررہ علاقے میں مشغول ہونا چاہیے۔ لڑائی سے بچنے کے لیے باؤنڈری کا استعمال ایک فاؤل ہے ​​جس کے نتیجے میں پوائنٹس کا نقصان ہوتا ہے۔")</f>
        <v>ایک کھلاڑی کو مقررہ علاقے میں مشغول ہونا چاہیے۔ لڑائی سے بچنے کے لیے باؤنڈری کا استعمال ایک فاؤل ہے ​​جس کے نتیجے میں پوائنٹس کا نقصان ہوتا ہے۔</v>
      </c>
    </row>
    <row r="8">
      <c r="A8" s="4">
        <v>7.0</v>
      </c>
      <c r="B8" s="5" t="s">
        <v>1632</v>
      </c>
      <c r="C8" s="5" t="s">
        <v>1633</v>
      </c>
      <c r="D8" s="5" t="s">
        <v>1634</v>
      </c>
      <c r="E8" s="5" t="s">
        <v>1635</v>
      </c>
      <c r="J8" s="6" t="str">
        <f>IFERROR(__xludf.DUMMYFUNCTION("GOOGLETRANSLATE(A8, ""en"", ""ur"")"),"7")</f>
        <v>7</v>
      </c>
      <c r="K8" s="6" t="str">
        <f>IFERROR(__xludf.DUMMYFUNCTION("GOOGLETRANSLATE(B8, ""en"", ""ur"")"),"ایک مقابلے کے دوران، کھلاڑی A کی چھڑی ٹوٹ جاتی ہے۔ ریفری کے لیے صحیح کارروائی کیا ہے؟")</f>
        <v>ایک مقابلے کے دوران، کھلاڑی A کی چھڑی ٹوٹ جاتی ہے۔ ریفری کے لیے صحیح کارروائی کیا ہے؟</v>
      </c>
      <c r="L8" s="6" t="str">
        <f>IFERROR(__xludf.DUMMYFUNCTION("GOOGLETRANSLATE(C8, ""en"", ""ur"")"),"A) پلیئر B کو پوائنٹ دیں، B) ناقص سامان رکھنے پر پلیئر A کو نااہل قرار دیں، C) متبادل اسٹک کی اجازت دینے کے لیے میچ روک دیں، D) پلیئر A کو ٹوٹی ہوئی چھڑی کے ساتھ جاری رکھنا چاہیے۔")</f>
        <v>A) پلیئر B کو پوائنٹ دیں، B) ناقص سامان رکھنے پر پلیئر A کو نااہل قرار دیں، C) متبادل اسٹک کی اجازت دینے کے لیے میچ روک دیں، D) پلیئر A کو ٹوٹی ہوئی چھڑی کے ساتھ جاری رکھنا چاہیے۔</v>
      </c>
      <c r="M8" s="6" t="str">
        <f>IFERROR(__xludf.DUMMYFUNCTION("GOOGLETRANSLATE(D8, ""en"", ""ur"")"),"ج) متبادل چھڑی کی اجازت دینے کے لیے میچ کو روک دیں۔")</f>
        <v>ج) متبادل چھڑی کی اجازت دینے کے لیے میچ کو روک دیں۔</v>
      </c>
      <c r="N8" s="6" t="str">
        <f>IFERROR(__xludf.DUMMYFUNCTION("GOOGLETRANSLATE(E8, ""en"", ""ur"")"),"ایک منصفانہ اور محفوظ مقابلے کو یقینی بنانے کے لیے، ریفری کھلاڑی کو ایک نئی، منظور شدہ چھڑی حاصل کرنے کی اجازت دینے کے لیے ٹائم آؤٹ کال کرے گا۔")</f>
        <v>ایک منصفانہ اور محفوظ مقابلے کو یقینی بنانے کے لیے، ریفری کھلاڑی کو ایک نئی، منظور شدہ چھڑی حاصل کرنے کی اجازت دینے کے لیے ٹائم آؤٹ کال کرے گا۔</v>
      </c>
    </row>
    <row r="9">
      <c r="A9" s="4">
        <v>8.0</v>
      </c>
      <c r="B9" s="5" t="s">
        <v>1636</v>
      </c>
      <c r="C9" s="5" t="s">
        <v>1637</v>
      </c>
      <c r="D9" s="5" t="s">
        <v>1638</v>
      </c>
      <c r="E9" s="5" t="s">
        <v>1639</v>
      </c>
      <c r="J9" s="6" t="str">
        <f>IFERROR(__xludf.DUMMYFUNCTION("GOOGLETRANSLATE(A9, ""en"", ""ur"")"),"8")</f>
        <v>8</v>
      </c>
      <c r="K9" s="6" t="str">
        <f>IFERROR(__xludf.DUMMYFUNCTION("GOOGLETRANSLATE(B9, ""en"", ""ur"")"),"ایک کھلاڑی کو غیر اسپورٹس جیسے رویے پر سزا دی جاتی ہے۔ مندرجہ ذیل میں سے کون سے اقدامات اس جرمانے کی ضمانت دیں گے؟")</f>
        <v>ایک کھلاڑی کو غیر اسپورٹس جیسے رویے پر سزا دی جاتی ہے۔ مندرجہ ذیل میں سے کون سے اقدامات اس جرمانے کی ضمانت دیں گے؟</v>
      </c>
      <c r="L9" s="6" t="str">
        <f>IFERROR(__xludf.DUMMYFUNCTION("GOOGLETRANSLATE(C9, ""en"", ""ur"")"),"A) کسی نقطہ کو بلند آواز سے منانا، B) ایک طاقتور اور موثر ہڑتال، C) ایک ہٹ کے بعد مخالف کو طعنہ دینا یا بے عزتی کرنا، D) حملوں کا ایک تیز سلسلہ")</f>
        <v>A) کسی نقطہ کو بلند آواز سے منانا، B) ایک طاقتور اور موثر ہڑتال، C) ایک ہٹ کے بعد مخالف کو طعنہ دینا یا بے عزتی کرنا، D) حملوں کا ایک تیز سلسلہ</v>
      </c>
      <c r="M9" s="6" t="str">
        <f>IFERROR(__xludf.DUMMYFUNCTION("GOOGLETRANSLATE(D9, ""en"", ""ur"")"),"ج) مارنے کے بعد مخالف کو طعنہ دینا یا بے عزتی کرنا")</f>
        <v>ج) مارنے کے بعد مخالف کو طعنہ دینا یا بے عزتی کرنا</v>
      </c>
      <c r="N9" s="6" t="str">
        <f>IFERROR(__xludf.DUMMYFUNCTION("GOOGLETRANSLATE(E9, ""en"", ""ur"")"),"گٹکا عاجزی اور احترام پر زور دیتا ہے۔ اہانت آمیز حرکتیں کھیل کے ضابطہ اخلاق کی خلاف ورزی کرتی ہیں اور ان پر جرمانہ عائد کیا جاتا ہے۔")</f>
        <v>گٹکا عاجزی اور احترام پر زور دیتا ہے۔ اہانت آمیز حرکتیں کھیل کے ضابطہ اخلاق کی خلاف ورزی کرتی ہیں اور ان پر جرمانہ عائد کیا جاتا ہے۔</v>
      </c>
    </row>
    <row r="10">
      <c r="A10" s="4">
        <v>9.0</v>
      </c>
      <c r="B10" s="5" t="s">
        <v>1640</v>
      </c>
      <c r="C10" s="5" t="s">
        <v>1641</v>
      </c>
      <c r="D10" s="5" t="s">
        <v>1642</v>
      </c>
      <c r="E10" s="5" t="s">
        <v>1643</v>
      </c>
      <c r="J10" s="6" t="str">
        <f>IFERROR(__xludf.DUMMYFUNCTION("GOOGLETRANSLATE(A10, ""en"", ""ur"")"),"9")</f>
        <v>9</v>
      </c>
      <c r="K10" s="6" t="str">
        <f>IFERROR(__xludf.DUMMYFUNCTION("GOOGLETRANSLATE(B10, ""en"", ""ur"")"),"ٹیم ایونٹ میں ایک کھلاڑی زخمی ہو جاتا ہے اور جاری نہیں رہ سکتا۔ ٹیم پہلے ہی اپنے تمام متبادل استعمال کر چکی ہے۔ نتیجہ کیا ہے؟")</f>
        <v>ٹیم ایونٹ میں ایک کھلاڑی زخمی ہو جاتا ہے اور جاری نہیں رہ سکتا۔ ٹیم پہلے ہی اپنے تمام متبادل استعمال کر چکی ہے۔ نتیجہ کیا ہے؟</v>
      </c>
      <c r="L10" s="6" t="str">
        <f>IFERROR(__xludf.DUMMYFUNCTION("GOOGLETRANSLATE(C10, ""en"", ""ur"")"),"A) زخمی کھلاڑی کا مقابلہ ضائع ہو جاتا ہے، لیکن ٹیم جاری رکھ سکتی ہے، B) پوری ٹیم کو میچ ہارنا ہو گا، C) ہجوم میں سے ایک کھلاڑی متبادل کر سکتا ہے، D) میچ ڈرا قرار دیا جاتا ہے۔")</f>
        <v>A) زخمی کھلاڑی کا مقابلہ ضائع ہو جاتا ہے، لیکن ٹیم جاری رکھ سکتی ہے، B) پوری ٹیم کو میچ ہارنا ہو گا، C) ہجوم میں سے ایک کھلاڑی متبادل کر سکتا ہے، D) میچ ڈرا قرار دیا جاتا ہے۔</v>
      </c>
      <c r="M10" s="6" t="str">
        <f>IFERROR(__xludf.DUMMYFUNCTION("GOOGLETRANSLATE(D10, ""en"", ""ur"")"),"A) زخمی کھلاڑی کا مقابلہ ضائع ہو گیا، لیکن ٹیم جاری رکھ سکتی ہے۔")</f>
        <v>A) زخمی کھلاڑی کا مقابلہ ضائع ہو گیا، لیکن ٹیم جاری رکھ سکتی ہے۔</v>
      </c>
      <c r="N10" s="6" t="str">
        <f>IFERROR(__xludf.DUMMYFUNCTION("GOOGLETRANSLATE(E10, ""en"", ""ur"")"),"انفرادی مقابلہ ہار جاتا ہے، لیکن یہ پوری ٹیم کو نااہل نہیں کرتا۔ مجموعی طور پر میچ کا نتیجہ دوسرے باؤٹس کے نتائج پر منحصر ہوگا۔")</f>
        <v>انفرادی مقابلہ ہار جاتا ہے، لیکن یہ پوری ٹیم کو نااہل نہیں کرتا۔ مجموعی طور پر میچ کا نتیجہ دوسرے باؤٹس کے نتائج پر منحصر ہوگا۔</v>
      </c>
    </row>
    <row r="11">
      <c r="A11" s="4">
        <v>10.0</v>
      </c>
      <c r="B11" s="5" t="s">
        <v>1644</v>
      </c>
      <c r="C11" s="5" t="s">
        <v>1645</v>
      </c>
      <c r="D11" s="5" t="s">
        <v>1646</v>
      </c>
      <c r="E11" s="5" t="s">
        <v>1647</v>
      </c>
      <c r="J11" s="6" t="str">
        <f>IFERROR(__xludf.DUMMYFUNCTION("GOOGLETRANSLATE(A11, ""en"", ""ur"")"),"10")</f>
        <v>10</v>
      </c>
      <c r="K11" s="6" t="str">
        <f>IFERROR(__xludf.DUMMYFUNCTION("GOOGLETRANSLATE(B11, ""en"", ""ur"")"),"ایک کھلاڑی گھٹنے کے نیچے، اپنے مخالف کی ٹانگ پر حملہ کرنے کی کوشش کرتا ہے۔ ریفری کی کال کیا ہے؟")</f>
        <v>ایک کھلاڑی گھٹنے کے نیچے، اپنے مخالف کی ٹانگ پر حملہ کرنے کی کوشش کرتا ہے۔ ریفری کی کال کیا ہے؟</v>
      </c>
      <c r="L11" s="6" t="str">
        <f>IFERROR(__xludf.DUMMYFUNCTION("GOOGLETRANSLATE(C11, ""en"", ""ur"")"),"A) 1 پوائنٹ دیا جاتا ہے، B) یہ ایک غیر قانونی ہدف والے علاقے پر حملہ کرنے کے لیے فاؤل ہے، C) میچ بغیر کال کے جاری رہتا ہے، D) کھلاڑی کو کمزور اسٹرائیک کے لیے خبردار کیا جاتا ہے۔")</f>
        <v>A) 1 پوائنٹ دیا جاتا ہے، B) یہ ایک غیر قانونی ہدف والے علاقے پر حملہ کرنے کے لیے فاؤل ہے، C) میچ بغیر کال کے جاری رہتا ہے، D) کھلاڑی کو کمزور اسٹرائیک کے لیے خبردار کیا جاتا ہے۔</v>
      </c>
      <c r="M11" s="6" t="str">
        <f>IFERROR(__xludf.DUMMYFUNCTION("GOOGLETRANSLATE(D11, ""en"", ""ur"")"),"ب) غیر قانونی ٹارگٹ ایریا پر حملہ کرنا غلط ہے۔")</f>
        <v>ب) غیر قانونی ٹارگٹ ایریا پر حملہ کرنا غلط ہے۔</v>
      </c>
      <c r="N11" s="6" t="str">
        <f>IFERROR(__xludf.DUMMYFUNCTION("GOOGLETRANSLATE(E11, ""en"", ""ur"")"),"حفاظت کے لیے، گٹکا کھیل میں گھٹنوں سے نیچے مارنا منع ہے۔ قانونی ہدف کا علاقہ اوپری جسم ہے۔")</f>
        <v>حفاظت کے لیے، گٹکا کھیل میں گھٹنوں سے نیچے مارنا منع ہے۔ قانونی ہدف کا علاقہ اوپری جسم ہے۔</v>
      </c>
    </row>
    <row r="12">
      <c r="A12" s="4">
        <v>11.0</v>
      </c>
      <c r="B12" s="5" t="s">
        <v>1648</v>
      </c>
      <c r="C12" s="5" t="s">
        <v>1649</v>
      </c>
      <c r="D12" s="5" t="s">
        <v>1650</v>
      </c>
      <c r="E12" s="5" t="s">
        <v>1651</v>
      </c>
      <c r="J12" s="6" t="str">
        <f>IFERROR(__xludf.DUMMYFUNCTION("GOOGLETRANSLATE(A12, ""en"", ""ur"")"),"11")</f>
        <v>11</v>
      </c>
      <c r="K12" s="6" t="str">
        <f>IFERROR(__xludf.DUMMYFUNCTION("GOOGLETRANSLATE(B12, ""en"", ""ur"")"),"مظاہرے میں ایک پریکٹیشنر دو تلواروں (دو تلواروں) کے ساتھ ایک ترتیب انجام دیتا ہے۔ یہ کون سی بنیادی مہارت ظاہر کرتی ہے؟")</f>
        <v>مظاہرے میں ایک پریکٹیشنر دو تلواروں (دو تلواروں) کے ساتھ ایک ترتیب انجام دیتا ہے۔ یہ کون سی بنیادی مہارت ظاہر کرتی ہے؟</v>
      </c>
      <c r="L12" s="6" t="str">
        <f>IFERROR(__xludf.DUMMYFUNCTION("GOOGLETRANSLATE(C12, ""en"", ""ur"")"),"A) خالص دفاعی طاقت، B) محیط مہارت، اعلیٰ سطحی ہم آہنگی، اور کنٹرول، C) تلوار پھینکنے کی صلاحیت، D) خام طاقت")</f>
        <v>A) خالص دفاعی طاقت، B) محیط مہارت، اعلیٰ سطحی ہم آہنگی، اور کنٹرول، C) تلوار پھینکنے کی صلاحیت، D) خام طاقت</v>
      </c>
      <c r="M12" s="6" t="str">
        <f>IFERROR(__xludf.DUMMYFUNCTION("GOOGLETRANSLATE(D12, ""en"", ""ur"")"),"ب) ابہام، اعلیٰ سطحی ہم آہنگی، اور کنٹرول")</f>
        <v>ب) ابہام، اعلیٰ سطحی ہم آہنگی، اور کنٹرول</v>
      </c>
      <c r="N12" s="6" t="str">
        <f>IFERROR(__xludf.DUMMYFUNCTION("GOOGLETRANSLATE(E12, ""en"", ""ur"")"),"دو تلواروں کو مؤثر طریقے سے چلانے کے لیے بے پناہ مہارت اور بیک وقت جرم اور دفاع کے لیے دونوں ہاتھوں کو مربوط کرنے کی صلاحیت درکار ہوتی ہے۔")</f>
        <v>دو تلواروں کو مؤثر طریقے سے چلانے کے لیے بے پناہ مہارت اور بیک وقت جرم اور دفاع کے لیے دونوں ہاتھوں کو مربوط کرنے کی صلاحیت درکار ہوتی ہے۔</v>
      </c>
    </row>
    <row r="13">
      <c r="A13" s="4">
        <v>12.0</v>
      </c>
      <c r="B13" s="5" t="s">
        <v>1652</v>
      </c>
      <c r="C13" s="5" t="s">
        <v>1653</v>
      </c>
      <c r="D13" s="5" t="s">
        <v>1654</v>
      </c>
      <c r="E13" s="5" t="s">
        <v>1655</v>
      </c>
      <c r="J13" s="6" t="str">
        <f>IFERROR(__xludf.DUMMYFUNCTION("GOOGLETRANSLATE(A13, ""en"", ""ur"")"),"12")</f>
        <v>12</v>
      </c>
      <c r="K13" s="6" t="str">
        <f>IFERROR(__xludf.DUMMYFUNCTION("GOOGLETRANSLATE(B13, ""en"", ""ur"")"),"ایک ریفری میچ سے پہلے کھلاڑی کی چھڑی کا معائنہ کرتا ہے اور اسے کم از کم ضابطے کے وزن سے ہلکا پایا۔ اس کا کیا حکم ہے؟")</f>
        <v>ایک ریفری میچ سے پہلے کھلاڑی کی چھڑی کا معائنہ کرتا ہے اور اسے کم از کم ضابطے کے وزن سے ہلکا پایا۔ اس کا کیا حکم ہے؟</v>
      </c>
      <c r="L13" s="6" t="str">
        <f>IFERROR(__xludf.DUMMYFUNCTION("GOOGLETRANSLATE(C13, ""en"", ""ur"")"),"A) کھلاڑی اسے استعمال کر سکتا ہے لیکن اس سے کم پوائنٹس حاصل کرتا ہے، B) کھلاڑی کو غیر قانونی سامان استعمال کرنے پر نااہل قرار دیا جاتا ہے، C) کھلاڑی کو مقابلہ کرنے کے لیے ایک ریگولیشن اسٹک تلاش کرنا چاہیے، D) مخالف کو 2 پوائنٹس کا آغاز ملتا ہے۔")</f>
        <v>A) کھلاڑی اسے استعمال کر سکتا ہے لیکن اس سے کم پوائنٹس حاصل کرتا ہے، B) کھلاڑی کو غیر قانونی سامان استعمال کرنے پر نااہل قرار دیا جاتا ہے، C) کھلاڑی کو مقابلہ کرنے کے لیے ایک ریگولیشن اسٹک تلاش کرنا چاہیے، D) مخالف کو 2 پوائنٹس کا آغاز ملتا ہے۔</v>
      </c>
      <c r="M13" s="6" t="str">
        <f>IFERROR(__xludf.DUMMYFUNCTION("GOOGLETRANSLATE(D13, ""en"", ""ur"")"),"C) کھلاڑی کو مقابلہ کرنے کے لیے ایک ریگولیشن اسٹک تلاش کرنا چاہیے۔")</f>
        <v>C) کھلاڑی کو مقابلہ کرنے کے لیے ایک ریگولیشن اسٹک تلاش کرنا چاہیے۔</v>
      </c>
      <c r="N13" s="6" t="str">
        <f>IFERROR(__xludf.DUMMYFUNCTION("GOOGLETRANSLATE(E13, ""en"", ""ur"")"),"انصاف کے لیے، تمام آلات کو سرکاری معیارات پر پورا اترنا چاہیے۔ کھلاڑی کو لڑنے کی اجازت دینے سے پہلے ایک غیر قانونی چھڑی کو تبدیل کرنا ضروری ہے۔")</f>
        <v>انصاف کے لیے، تمام آلات کو سرکاری معیارات پر پورا اترنا چاہیے۔ کھلاڑی کو لڑنے کی اجازت دینے سے پہلے ایک غیر قانونی چھڑی کو تبدیل کرنا ضروری ہے۔</v>
      </c>
    </row>
    <row r="14">
      <c r="A14" s="4">
        <v>13.0</v>
      </c>
      <c r="B14" s="5" t="s">
        <v>1656</v>
      </c>
      <c r="C14" s="5" t="s">
        <v>1657</v>
      </c>
      <c r="D14" s="5" t="s">
        <v>1658</v>
      </c>
      <c r="E14" s="5" t="s">
        <v>1659</v>
      </c>
      <c r="J14" s="6" t="str">
        <f>IFERROR(__xludf.DUMMYFUNCTION("GOOGLETRANSLATE(A14, ""en"", ""ur"")"),"13")</f>
        <v>13</v>
      </c>
      <c r="K14" s="6" t="str">
        <f>IFERROR(__xludf.DUMMYFUNCTION("GOOGLETRANSLATE(B14, ""en"", ""ur"")"),"ویساکھی کے جشن کے دوران، گٹکا کا ٹولہ آنکھوں پر پٹی باندھ کر نیزہ بازی کا مظاہرہ کر رہا ہے۔ یہ مشکل کارنامہ کیا ظاہر کرتا ہے؟")</f>
        <v>ویساکھی کے جشن کے دوران، گٹکا کا ٹولہ آنکھوں پر پٹی باندھ کر نیزہ بازی کا مظاہرہ کر رہا ہے۔ یہ مشکل کارنامہ کیا ظاہر کرتا ہے؟</v>
      </c>
      <c r="L14" s="6" t="str">
        <f>IFERROR(__xludf.DUMMYFUNCTION("GOOGLETRANSLATE(C14, ""en"", ""ur"")"),"A) ایک جادوئی چال، B) پریکٹیشنر کی سماعت اور مقامی بیداری کے تیز حواس، C) ایک خالصتاً رسمی عمل، D) گٹکا میں یہ وژن اہم نہیں ہے۔")</f>
        <v>A) ایک جادوئی چال، B) پریکٹیشنر کی سماعت اور مقامی بیداری کے تیز حواس، C) ایک خالصتاً رسمی عمل، D) گٹکا میں یہ وژن اہم نہیں ہے۔</v>
      </c>
      <c r="M14" s="6" t="str">
        <f>IFERROR(__xludf.DUMMYFUNCTION("GOOGLETRANSLATE(D14, ""en"", ""ur"")"),"ب) پریکٹیشنر کی سماعت اور مقامی بیداری کے بلند ہونے والے حواس")</f>
        <v>ب) پریکٹیشنر کی سماعت اور مقامی بیداری کے بلند ہونے والے حواس</v>
      </c>
      <c r="N14" s="6" t="str">
        <f>IFERROR(__xludf.DUMMYFUNCTION("GOOGLETRANSLATE(E14, ""en"", ""ur"")"),"آنکھوں پر پٹی باندھنے کی مشقیں ایک جدید تربیتی طریقہ ہے جو گٹکباز کو جبلت اور دیگر حواس پر بھروسہ کرنے پر مجبور کرتا ہے، جو اعلیٰ سطح کی مہارت کا مظاہرہ کرتا ہے۔")</f>
        <v>آنکھوں پر پٹی باندھنے کی مشقیں ایک جدید تربیتی طریقہ ہے جو گٹکباز کو جبلت اور دیگر حواس پر بھروسہ کرنے پر مجبور کرتا ہے، جو اعلیٰ سطح کی مہارت کا مظاہرہ کرتا ہے۔</v>
      </c>
    </row>
    <row r="15">
      <c r="A15" s="4">
        <v>14.0</v>
      </c>
      <c r="B15" s="5" t="s">
        <v>1660</v>
      </c>
      <c r="C15" s="5" t="s">
        <v>1661</v>
      </c>
      <c r="D15" s="5" t="s">
        <v>1662</v>
      </c>
      <c r="E15" s="5" t="s">
        <v>1663</v>
      </c>
      <c r="J15" s="6" t="str">
        <f>IFERROR(__xludf.DUMMYFUNCTION("GOOGLETRANSLATE(A15, ""en"", ""ur"")"),"14")</f>
        <v>14</v>
      </c>
      <c r="K15" s="6" t="str">
        <f>IFERROR(__xludf.DUMMYFUNCTION("GOOGLETRANSLATE(B15, ""en"", ""ur"")"),"ایک قریبی میچ میں، کھلاڑی A جارحانہ ہے لیکن چند کلین ہٹ لگاتا ہے۔ پلیئر بی زیادہ دفاعی ہے لیکن کئی صاف، عین مطابق جوابی حملے کرتا ہے۔ پوائنٹس پر کس کے جیتنے کا امکان ہے؟")</f>
        <v>ایک قریبی میچ میں، کھلاڑی A جارحانہ ہے لیکن چند کلین ہٹ لگاتا ہے۔ پلیئر بی زیادہ دفاعی ہے لیکن کئی صاف، عین مطابق جوابی حملے کرتا ہے۔ پوائنٹس پر کس کے جیتنے کا امکان ہے؟</v>
      </c>
      <c r="L15" s="6" t="str">
        <f>IFERROR(__xludf.DUMMYFUNCTION("GOOGLETRANSLATE(C15, ""en"", ""ur"")"),"A) جارحیت کے لیے کھلاڑی A، B) مؤثر تکنیک کے لیے B پلیئر، C) میچ ڈرا ہو گا، D) بہتر موقف والا کھلاڑی جیت جاتا ہے۔")</f>
        <v>A) جارحیت کے لیے کھلاڑی A، B) مؤثر تکنیک کے لیے B پلیئر، C) میچ ڈرا ہو گا، D) بہتر موقف والا کھلاڑی جیت جاتا ہے۔</v>
      </c>
      <c r="M15" s="6" t="str">
        <f>IFERROR(__xludf.DUMMYFUNCTION("GOOGLETRANSLATE(D15, ""en"", ""ur"")"),"B) مؤثر تکنیک کے لیے پلیئر بی")</f>
        <v>B) مؤثر تکنیک کے لیے پلیئر بی</v>
      </c>
      <c r="N15" s="6" t="str">
        <f>IFERROR(__xludf.DUMMYFUNCTION("GOOGLETRANSLATE(E15, ""en"", ""ur"")"),"گٹکا سکورنگ سادہ، غیر موثر جارحیت پر صاف، ہنر مند، اور مناسب وقت پر حملوں کو ترجیح دیتی ہے۔")</f>
        <v>گٹکا سکورنگ سادہ، غیر موثر جارحیت پر صاف، ہنر مند، اور مناسب وقت پر حملوں کو ترجیح دیتی ہے۔</v>
      </c>
    </row>
    <row r="16">
      <c r="A16" s="4">
        <v>15.0</v>
      </c>
      <c r="B16" s="5" t="s">
        <v>1664</v>
      </c>
      <c r="C16" s="5" t="s">
        <v>1665</v>
      </c>
      <c r="D16" s="5" t="s">
        <v>1666</v>
      </c>
      <c r="E16" s="5" t="s">
        <v>1667</v>
      </c>
      <c r="J16" s="6" t="str">
        <f>IFERROR(__xludf.DUMMYFUNCTION("GOOGLETRANSLATE(A16, ""en"", ""ur"")"),"15")</f>
        <v>15</v>
      </c>
      <c r="K16" s="6" t="str">
        <f>IFERROR(__xludf.DUMMYFUNCTION("GOOGLETRANSLATE(B16, ""en"", ""ur"")"),"Fari-Soti ٹریننگ اسٹک پر چمڑے کی ٹوکری کا بنیادی مقصد کیا ہے؟")</f>
        <v>Fari-Soti ٹریننگ اسٹک پر چمڑے کی ٹوکری کا بنیادی مقصد کیا ہے؟</v>
      </c>
      <c r="L16" s="6" t="str">
        <f>IFERROR(__xludf.DUMMYFUNCTION("GOOGLETRANSLATE(C16, ""en"", ""ur"")"),"A) یہ سجاوٹ کے لیے ہے، B) یہ کھلاڑی کے ہاتھ کو مارنے سے بچاتا ہے، C) یہ تربیت کے لیے چھڑی کا وزن بڑھاتا ہے، D) یہ کھلاڑی کی گرفت کو بہتر بناتا ہے۔")</f>
        <v>A) یہ سجاوٹ کے لیے ہے، B) یہ کھلاڑی کے ہاتھ کو مارنے سے بچاتا ہے، C) یہ تربیت کے لیے چھڑی کا وزن بڑھاتا ہے، D) یہ کھلاڑی کی گرفت کو بہتر بناتا ہے۔</v>
      </c>
      <c r="M16" s="6" t="str">
        <f>IFERROR(__xludf.DUMMYFUNCTION("GOOGLETRANSLATE(D16, ""en"", ""ur"")"),"ب) یہ کھلاڑی کے ہاتھ کو مارنے سے بچاتا ہے۔")</f>
        <v>ب) یہ کھلاڑی کے ہاتھ کو مارنے سے بچاتا ہے۔</v>
      </c>
      <c r="N16" s="6" t="str">
        <f>IFERROR(__xludf.DUMMYFUNCTION("GOOGLETRANSLATE(E16, ""en"", ""ur"")"),"ٹوکری ہلٹ حفاظتی سازوسامان کا ایک اہم ٹکڑا ہے جو ہنگامہ آرائی کے دوران ہاتھ اور پیروں کو براہ راست مار سے بچاتا ہے۔")</f>
        <v>ٹوکری ہلٹ حفاظتی سازوسامان کا ایک اہم ٹکڑا ہے جو ہنگامہ آرائی کے دوران ہاتھ اور پیروں کو براہ راست مار سے بچاتا ہے۔</v>
      </c>
    </row>
    <row r="17">
      <c r="A17" s="4">
        <v>16.0</v>
      </c>
      <c r="B17" s="5" t="s">
        <v>1668</v>
      </c>
      <c r="C17" s="5" t="s">
        <v>1669</v>
      </c>
      <c r="D17" s="5" t="s">
        <v>1670</v>
      </c>
      <c r="E17" s="5" t="s">
        <v>1671</v>
      </c>
      <c r="J17" s="6" t="str">
        <f>IFERROR(__xludf.DUMMYFUNCTION("GOOGLETRANSLATE(A17, ""en"", ""ur"")"),"16")</f>
        <v>16</v>
      </c>
      <c r="K17" s="6" t="str">
        <f>IFERROR(__xludf.DUMMYFUNCTION("GOOGLETRANSLATE(B17, ""en"", ""ur"")"),"ریفری ایک کھلاڑی کو ""کور-اے-کور"" (باڈی ٹو باڈی) کے لیے سزا دیتا ہے۔ کھلاڑی نے کیا کیا؟")</f>
        <v>ریفری ایک کھلاڑی کو "کور-اے-کور" (باڈی ٹو باڈی) کے لیے سزا دیتا ہے۔ کھلاڑی نے کیا کیا؟</v>
      </c>
      <c r="L17" s="6" t="str">
        <f>IFERROR(__xludf.DUMMYFUNCTION("GOOGLETRANSLATE(C17, ""en"", ""ur"")"),"A) انہوں نے مخالف کے جسم کو مارا، B) انہوں نے جان بوجھ کر مخالف کو دھکیل دیا، پکڑا یا پکڑا، C) انہوں نے غیر قانونی ہتھیار استعمال کیا، D) انہوں نے لڑنے سے انکار کر دیا۔")</f>
        <v>A) انہوں نے مخالف کے جسم کو مارا، B) انہوں نے جان بوجھ کر مخالف کو دھکیل دیا، پکڑا یا پکڑا، C) انہوں نے غیر قانونی ہتھیار استعمال کیا، D) انہوں نے لڑنے سے انکار کر دیا۔</v>
      </c>
      <c r="M17" s="6" t="str">
        <f>IFERROR(__xludf.DUMMYFUNCTION("GOOGLETRANSLATE(D17, ""en"", ""ur"")"),"ب) انہوں نے جان بوجھ کر مخالف کو دھکیل دیا، پکڑا یا پکڑا۔")</f>
        <v>ب) انہوں نے جان بوجھ کر مخالف کو دھکیل دیا، پکڑا یا پکڑا۔</v>
      </c>
      <c r="N17" s="6" t="str">
        <f>IFERROR(__xludf.DUMMYFUNCTION("GOOGLETRANSLATE(E17, ""en"", ""ur"")"),"کھیل گٹکا ہتھیاروں پر مبنی ایک فن ہے۔ کسی کے جسم کو غیر قانونی طور پر دھکیلنے یا پکڑنے کے لیے استعمال کرنا ایک ایسا فُل ہے جو ہتھیاروں پر مبنی لڑائی کے بہاؤ کو روکتا ہے۔")</f>
        <v>کھیل گٹکا ہتھیاروں پر مبنی ایک فن ہے۔ کسی کے جسم کو غیر قانونی طور پر دھکیلنے یا پکڑنے کے لیے استعمال کرنا ایک ایسا فُل ہے جو ہتھیاروں پر مبنی لڑائی کے بہاؤ کو روکتا ہے۔</v>
      </c>
    </row>
    <row r="18">
      <c r="A18" s="4">
        <v>17.0</v>
      </c>
      <c r="B18" s="5" t="s">
        <v>1672</v>
      </c>
      <c r="C18" s="5" t="s">
        <v>1673</v>
      </c>
      <c r="D18" s="5" t="s">
        <v>1674</v>
      </c>
      <c r="E18" s="5" t="s">
        <v>1675</v>
      </c>
      <c r="J18" s="6" t="str">
        <f>IFERROR(__xludf.DUMMYFUNCTION("GOOGLETRANSLATE(A18, ""en"", ""ur"")"),"17")</f>
        <v>17</v>
      </c>
      <c r="K18" s="6" t="str">
        <f>IFERROR(__xludf.DUMMYFUNCTION("GOOGLETRANSLATE(B18, ""en"", ""ur"")"),"بنیادی وجہ کیا ہے کہ ایک کھلاڑی کو زیادہ تر بنیادی مشقوں میں اپنی چھڑی (سوتی) کو دو ہاتھوں سے پکڑنا چاہیے؟")</f>
        <v>بنیادی وجہ کیا ہے کہ ایک کھلاڑی کو زیادہ تر بنیادی مشقوں میں اپنی چھڑی (سوتی) کو دو ہاتھوں سے پکڑنا چاہیے؟</v>
      </c>
      <c r="L18" s="6" t="str">
        <f>IFERROR(__xludf.DUMMYFUNCTION("GOOGLETRANSLATE(C18, ""en"", ""ur"")"),"A) یہ زیادہ طاقت پیدا کرتا ہے، B) یہ بہتر کنٹرول فراہم کرتا ہے اور ابتدائیوں کے لیے زیادہ محفوظ ہے، C) یہ واحد قانونی گرفت ہے، D) یہ زیادہ روایتی ہے۔")</f>
        <v>A) یہ زیادہ طاقت پیدا کرتا ہے، B) یہ بہتر کنٹرول فراہم کرتا ہے اور ابتدائیوں کے لیے زیادہ محفوظ ہے، C) یہ واحد قانونی گرفت ہے، D) یہ زیادہ روایتی ہے۔</v>
      </c>
      <c r="M18" s="6" t="str">
        <f>IFERROR(__xludf.DUMMYFUNCTION("GOOGLETRANSLATE(D18, ""en"", ""ur"")"),"ب) یہ بہتر کنٹرول فراہم کرتا ہے اور ابتدائیوں کے لیے زیادہ محفوظ ہے۔")</f>
        <v>ب) یہ بہتر کنٹرول فراہم کرتا ہے اور ابتدائیوں کے لیے زیادہ محفوظ ہے۔</v>
      </c>
      <c r="N18" s="6" t="str">
        <f>IFERROR(__xludf.DUMMYFUNCTION("GOOGLETRANSLATE(E18, ""en"", ""ur"")"),"دو ہاتھوں کی گرفت ہتھیاروں کے کنٹرول کو سیکھنے اور چھڑی کو نوزائیدہ کے ہاتھ سے باہر جانے سے روکنے کے لیے بنیادی ہے۔")</f>
        <v>دو ہاتھوں کی گرفت ہتھیاروں کے کنٹرول کو سیکھنے اور چھڑی کو نوزائیدہ کے ہاتھ سے باہر جانے سے روکنے کے لیے بنیادی ہے۔</v>
      </c>
    </row>
    <row r="19">
      <c r="A19" s="4">
        <v>18.0</v>
      </c>
      <c r="B19" s="5" t="s">
        <v>1676</v>
      </c>
      <c r="C19" s="5" t="s">
        <v>1677</v>
      </c>
      <c r="D19" s="5" t="s">
        <v>1678</v>
      </c>
      <c r="E19" s="5" t="s">
        <v>1679</v>
      </c>
      <c r="J19" s="6" t="str">
        <f>IFERROR(__xludf.DUMMYFUNCTION("GOOGLETRANSLATE(A19, ""en"", ""ur"")"),"18")</f>
        <v>18</v>
      </c>
      <c r="K19" s="6" t="str">
        <f>IFERROR(__xludf.DUMMYFUNCTION("GOOGLETRANSLATE(B19, ""en"", ""ur"")"),"ٹیم میچ کے دوران، ایک کوچ ایک کال پر احتجاج کرنے کے لیے میدان میں قدم رکھتا ہے۔ ریفری کا صحیح عمل کیا ہے؟")</f>
        <v>ٹیم میچ کے دوران، ایک کوچ ایک کال پر احتجاج کرنے کے لیے میدان میں قدم رکھتا ہے۔ ریفری کا صحیح عمل کیا ہے؟</v>
      </c>
      <c r="L19" s="6" t="str">
        <f>IFERROR(__xludf.DUMMYFUNCTION("GOOGLETRANSLATE(C19, ""en"", ""ur"")"),"A) کوچ کے احتجاج کو سننے کے لیے، B) کوچ کو وارننگ جاری کرنا اور ان کی ٹیم کو تیسرے فریق کی مداخلت پر سزا دینا، C) راؤنڈ دوبارہ شروع کرنا، D) میچ کو مکمل طور پر روکنا")</f>
        <v>A) کوچ کے احتجاج کو سننے کے لیے، B) کوچ کو وارننگ جاری کرنا اور ان کی ٹیم کو تیسرے فریق کی مداخلت پر سزا دینا، C) راؤنڈ دوبارہ شروع کرنا، D) میچ کو مکمل طور پر روکنا</v>
      </c>
      <c r="M19" s="6" t="str">
        <f>IFERROR(__xludf.DUMMYFUNCTION("GOOGLETRANSLATE(D19, ""en"", ""ur"")"),"ب) کوچ کو انتباہ جاری کرنا اور ان کی ٹیم کو تیسرے فریق کی مداخلت پر سزا دینا")</f>
        <v>ب) کوچ کو انتباہ جاری کرنا اور ان کی ٹیم کو تیسرے فریق کی مداخلت پر سزا دینا</v>
      </c>
      <c r="N19" s="6" t="str">
        <f>IFERROR(__xludf.DUMMYFUNCTION("GOOGLETRANSLATE(E19, ""en"", ""ur"")"),"جنگی علاقے میں صرف دو حریف اور ریفری کو اجازت ہے۔ رنگ میں داخل ہونے والا کوچ ایک سنگین فاؤل ہے۔")</f>
        <v>جنگی علاقے میں صرف دو حریف اور ریفری کو اجازت ہے۔ رنگ میں داخل ہونے والا کوچ ایک سنگین فاؤل ہے۔</v>
      </c>
    </row>
    <row r="20">
      <c r="A20" s="4">
        <v>19.0</v>
      </c>
      <c r="B20" s="5" t="s">
        <v>1680</v>
      </c>
      <c r="C20" s="5" t="s">
        <v>1681</v>
      </c>
      <c r="D20" s="5" t="s">
        <v>1682</v>
      </c>
      <c r="E20" s="5" t="s">
        <v>1683</v>
      </c>
      <c r="J20" s="6" t="str">
        <f>IFERROR(__xludf.DUMMYFUNCTION("GOOGLETRANSLATE(A20, ""en"", ""ur"")"),"19")</f>
        <v>19</v>
      </c>
      <c r="K20" s="6" t="str">
        <f>IFERROR(__xludf.DUMMYFUNCTION("GOOGLETRANSLATE(B20, ""en"", ""ur"")"),"ایک کھلاڑی کو ""غیر فعال"" ہونے پر متنبہ کیا جاتا ہے۔ اس کا کیا مطلب ہے؟")</f>
        <v>ایک کھلاڑی کو "غیر فعال" ہونے پر متنبہ کیا جاتا ہے۔ اس کا کیا مطلب ہے؟</v>
      </c>
      <c r="L20" s="6" t="str">
        <f>IFERROR(__xludf.DUMMYFUNCTION("GOOGLETRANSLATE(C20, ""en"", ""ur"")"),"A) وہ کافی جذبات نہیں دکھا رہے ہیں، B) وہ مسلسل پیچھے ہٹ رہے ہیں اور حملہ کرنے کی کوئی کوشش نہیں کر رہے ہیں، C) وہ بہت زیادہ دفاعی ہیں، D) وہ ڈھول کی تھاپ پر عمل نہیں کر رہے ہیں۔")</f>
        <v>A) وہ کافی جذبات نہیں دکھا رہے ہیں، B) وہ مسلسل پیچھے ہٹ رہے ہیں اور حملہ کرنے کی کوئی کوشش نہیں کر رہے ہیں، C) وہ بہت زیادہ دفاعی ہیں، D) وہ ڈھول کی تھاپ پر عمل نہیں کر رہے ہیں۔</v>
      </c>
      <c r="M20" s="6" t="str">
        <f>IFERROR(__xludf.DUMMYFUNCTION("GOOGLETRANSLATE(D20, ""en"", ""ur"")"),"ب) وہ مسلسل پیچھے ہٹ رہے ہیں اور حملہ کرنے کی کوئی کوشش نہیں کر رہے ہیں۔")</f>
        <v>ب) وہ مسلسل پیچھے ہٹ رہے ہیں اور حملہ کرنے کی کوئی کوشش نہیں کر رہے ہیں۔</v>
      </c>
      <c r="N20" s="6" t="str">
        <f>IFERROR(__xludf.DUMMYFUNCTION("GOOGLETRANSLATE(E20, ""en"", ""ur"")"),"ایک کھلاڑی کو لڑائی میں فعال طور پر مشغول ہونا چاہیے۔ مسلسل لڑائی سے گریز کرنے کا نتیجہ جرمانہ ہوگا۔")</f>
        <v>ایک کھلاڑی کو لڑائی میں فعال طور پر مشغول ہونا چاہیے۔ مسلسل لڑائی سے گریز کرنے کا نتیجہ جرمانہ ہوگا۔</v>
      </c>
    </row>
    <row r="21">
      <c r="A21" s="4">
        <v>20.0</v>
      </c>
      <c r="B21" s="5" t="s">
        <v>1684</v>
      </c>
      <c r="C21" s="5" t="s">
        <v>1685</v>
      </c>
      <c r="D21" s="5" t="s">
        <v>1686</v>
      </c>
      <c r="E21" s="5" t="s">
        <v>1687</v>
      </c>
      <c r="J21" s="6" t="str">
        <f>IFERROR(__xludf.DUMMYFUNCTION("GOOGLETRANSLATE(A21, ""en"", ""ur"")"),"20")</f>
        <v>20</v>
      </c>
      <c r="K21" s="6" t="str">
        <f>IFERROR(__xludf.DUMMYFUNCTION("GOOGLETRANSLATE(B21, ""en"", ""ur"")"),"میچ کے دوران کھلاڑی کی پگڑی یا سر کا پوشاک اتر جاتا ہے۔ ریفری کو کیا کرنا چاہیے؟")</f>
        <v>میچ کے دوران کھلاڑی کی پگڑی یا سر کا پوشاک اتر جاتا ہے۔ ریفری کو کیا کرنا چاہیے؟</v>
      </c>
      <c r="L21" s="6" t="str">
        <f>IFERROR(__xludf.DUMMYFUNCTION("GOOGLETRANSLATE(C21, ""en"", ""ur"")"),"A) میچ جاری ہے، B) کھلاڑی کو نااہل قرار دے دیا جاتا ہے، C) کھلاڑی کو دوبارہ فٹ ہونے کی اجازت دینے کے لیے میچ کو فوری طور پر روک دیا جاتا ہے، D) مخالف کو ایک پوائنٹ دیا جاتا ہے۔")</f>
        <v>A) میچ جاری ہے، B) کھلاڑی کو نااہل قرار دے دیا جاتا ہے، C) کھلاڑی کو دوبارہ فٹ ہونے کی اجازت دینے کے لیے میچ کو فوری طور پر روک دیا جاتا ہے، D) مخالف کو ایک پوائنٹ دیا جاتا ہے۔</v>
      </c>
      <c r="M21" s="6" t="str">
        <f>IFERROR(__xludf.DUMMYFUNCTION("GOOGLETRANSLATE(D21, ""en"", ""ur"")"),"C) میچ کو فوری طور پر روک دیا جاتا ہے تاکہ کھلاڑی اسے دوبارہ فٹ کر سکے۔")</f>
        <v>C) میچ کو فوری طور پر روک دیا جاتا ہے تاکہ کھلاڑی اسے دوبارہ فٹ کر سکے۔</v>
      </c>
      <c r="N21" s="6" t="str">
        <f>IFERROR(__xludf.DUMMYFUNCTION("GOOGLETRANSLATE(E21, ""en"", ""ur"")"),"سر کی حفاظت لازمی ہے۔ اگر یہ آتا ہے، تو ریفری کو حفاظت کے لیے لڑائی کو روکنا چاہیے جب تک کہ اسے صحیح طریقے سے محفوظ نہ کر لیا جائے۔")</f>
        <v>سر کی حفاظت لازمی ہے۔ اگر یہ آتا ہے، تو ریفری کو حفاظت کے لیے لڑائی کو روکنا چاہیے جب تک کہ اسے صحیح طریقے سے محفوظ نہ کر لیا جائے۔</v>
      </c>
    </row>
    <row r="22">
      <c r="A22" s="4">
        <v>21.0</v>
      </c>
      <c r="B22" s="5" t="s">
        <v>1688</v>
      </c>
      <c r="C22" s="5" t="s">
        <v>1689</v>
      </c>
      <c r="D22" s="5" t="s">
        <v>1690</v>
      </c>
      <c r="E22" s="5" t="s">
        <v>1691</v>
      </c>
      <c r="J22" s="6" t="str">
        <f>IFERROR(__xludf.DUMMYFUNCTION("GOOGLETRANSLATE(A22, ""en"", ""ur"")"),"21")</f>
        <v>21</v>
      </c>
      <c r="K22" s="6" t="str">
        <f>IFERROR(__xludf.DUMMYFUNCTION("GOOGLETRANSLATE(B22, ""en"", ""ur"")"),"ایک فنکارانہ تقریب میں، ایک اداکار بیک وقت دو تلواریں گھماتا ہے۔ یہ اعلی درجے کی مہارت کی علامت کیا ہے؟")</f>
        <v>ایک فنکارانہ تقریب میں، ایک اداکار بیک وقت دو تلواریں گھماتا ہے۔ یہ اعلی درجے کی مہارت کی علامت کیا ہے؟</v>
      </c>
      <c r="L22" s="6" t="str">
        <f>IFERROR(__xludf.DUMMYFUNCTION("GOOGLETRANSLATE(C22, ""en"", ""ur"")"),"A) حفاظت کو نظر انداز کرنا، B) دماغ اور جسم کا اتحاد، اور اعلیٰ سطح کا ہم آہنگی، C) ایک ساتھ دو مخالفین پر حملہ، D) یہ خالصتاً تفریح ​​کے لیے ہے۔")</f>
        <v>A) حفاظت کو نظر انداز کرنا، B) دماغ اور جسم کا اتحاد، اور اعلیٰ سطح کا ہم آہنگی، C) ایک ساتھ دو مخالفین پر حملہ، D) یہ خالصتاً تفریح ​​کے لیے ہے۔</v>
      </c>
      <c r="M22" s="6" t="str">
        <f>IFERROR(__xludf.DUMMYFUNCTION("GOOGLETRANSLATE(D22, ""en"", ""ur"")"),"ب) دماغ اور جسم کا اتحاد، اور اعلی سطحی ہم آہنگی۔")</f>
        <v>ب) دماغ اور جسم کا اتحاد، اور اعلی سطحی ہم آہنگی۔</v>
      </c>
      <c r="N22" s="6" t="str">
        <f>IFERROR(__xludf.DUMMYFUNCTION("GOOGLETRANSLATE(E22, ""en"", ""ur"")"),"یہ مشکل کارنامہ آرٹ کے جسمانی اور روحانی پہلوؤں کو ہم آہنگ کرتے ہوئے نظم و ضبط کی اعلیٰ سطح کی نمائندگی کرتا ہے۔")</f>
        <v>یہ مشکل کارنامہ آرٹ کے جسمانی اور روحانی پہلوؤں کو ہم آہنگ کرتے ہوئے نظم و ضبط کی اعلیٰ سطح کی نمائندگی کرتا ہے۔</v>
      </c>
    </row>
    <row r="23">
      <c r="A23" s="4">
        <v>22.0</v>
      </c>
      <c r="B23" s="5" t="s">
        <v>1692</v>
      </c>
      <c r="C23" s="5" t="s">
        <v>1693</v>
      </c>
      <c r="D23" s="5" t="s">
        <v>1694</v>
      </c>
      <c r="E23" s="5" t="s">
        <v>1695</v>
      </c>
      <c r="J23" s="6" t="str">
        <f>IFERROR(__xludf.DUMMYFUNCTION("GOOGLETRANSLATE(A23, ""en"", ""ur"")"),"22")</f>
        <v>22</v>
      </c>
      <c r="K23" s="6" t="str">
        <f>IFERROR(__xludf.DUMMYFUNCTION("GOOGLETRANSLATE(B23, ""en"", ""ur"")"),"ایک کھلاڑی کو ""گراؤنڈ مخالف کو مارنے"" پر سزا دی جاتی ہے۔ یہ کس منظر نامے میں ہوا؟")</f>
        <v>ایک کھلاڑی کو "گراؤنڈ مخالف کو مارنے" پر سزا دی جاتی ہے۔ یہ کس منظر نامے میں ہوا؟</v>
      </c>
      <c r="L23" s="6" t="str">
        <f>IFERROR(__xludf.DUMMYFUNCTION("GOOGLETRANSLATE(C23, ""en"", ""ur"")"),"A) مخالف گھٹنے ٹیک رہا تھا، B) مخالف پھسل گیا تھا اور زمین پر تھا، C) مخالف نیچے جھک رہا تھا، D) مخالف توازن سے باہر تھا")</f>
        <v>A) مخالف گھٹنے ٹیک رہا تھا، B) مخالف پھسل گیا تھا اور زمین پر تھا، C) مخالف نیچے جھک رہا تھا، D) مخالف توازن سے باہر تھا</v>
      </c>
      <c r="M23" s="6" t="str">
        <f>IFERROR(__xludf.DUMMYFUNCTION("GOOGLETRANSLATE(D23, ""en"", ""ur"")"),"ب) مخالف پھسل گیا تھا اور زمین پر تھا۔")</f>
        <v>ب) مخالف پھسل گیا تھا اور زمین پر تھا۔</v>
      </c>
      <c r="N23" s="6" t="str">
        <f>IFERROR(__xludf.DUMMYFUNCTION("GOOGLETRANSLATE(E23, ""en"", ""ur"")"),"کھیل گٹکا ایک اسٹینڈ اپ مارشل آرٹ ہے۔ زمین پر موجود حریف پر حملہ کرنا بہت بڑا جرم ہے۔")</f>
        <v>کھیل گٹکا ایک اسٹینڈ اپ مارشل آرٹ ہے۔ زمین پر موجود حریف پر حملہ کرنا بہت بڑا جرم ہے۔</v>
      </c>
    </row>
    <row r="24">
      <c r="A24" s="4">
        <v>23.0</v>
      </c>
      <c r="B24" s="5" t="s">
        <v>1696</v>
      </c>
      <c r="C24" s="5" t="s">
        <v>1697</v>
      </c>
      <c r="D24" s="5" t="s">
        <v>1698</v>
      </c>
      <c r="E24" s="5" t="s">
        <v>1699</v>
      </c>
      <c r="J24" s="6" t="str">
        <f>IFERROR(__xludf.DUMMYFUNCTION("GOOGLETRANSLATE(A24, ""en"", ""ur"")"),"23")</f>
        <v>23</v>
      </c>
      <c r="K24" s="6" t="str">
        <f>IFERROR(__xludf.DUMMYFUNCTION("GOOGLETRANSLATE(B24, ""en"", ""ur"")"),"ایک مظاہرے میں، ایک پریکٹیشنر چکرا (وار کوائٹ) استعمال کرتا ہے۔ پرائمری ہنر کو کیا دکھایا جا رہا ہے؟")</f>
        <v>ایک مظاہرے میں، ایک پریکٹیشنر چکرا (وار کوائٹ) استعمال کرتا ہے۔ پرائمری ہنر کو کیا دکھایا جا رہا ہے؟</v>
      </c>
      <c r="L24" s="6" t="str">
        <f>IFERROR(__xludf.DUMMYFUNCTION("GOOGLETRANSLATE(C24, ""en"", ""ur"")"),"A) سائیکل کے ساتھ بلاک کرنے کی صلاحیت، B) تیز، گھومنے والے پروجیکٹائل کو پھینکنے کی درستگی، C) سائیکل کو موڑنے کے لیے درکار طاقت، D) سائیکل کو ڈھال کے طور پر استعمال کرنا")</f>
        <v>A) سائیکل کے ساتھ بلاک کرنے کی صلاحیت، B) تیز، گھومنے والے پروجیکٹائل کو پھینکنے کی درستگی، C) سائیکل کو موڑنے کے لیے درکار طاقت، D) سائیکل کو ڈھال کے طور پر استعمال کرنا</v>
      </c>
      <c r="M24" s="6" t="str">
        <f>IFERROR(__xludf.DUMMYFUNCTION("GOOGLETRANSLATE(D24, ""en"", ""ur"")"),"ب) ایک تیز، گھومنے والے پروجیکٹائل کو پھینکنے کی درستگی")</f>
        <v>ب) ایک تیز، گھومنے والے پروجیکٹائل کو پھینکنے کی درستگی</v>
      </c>
      <c r="N24" s="6" t="str">
        <f>IFERROR(__xludf.DUMMYFUNCTION("GOOGLETRANSLATE(E24, ""en"", ""ur"")"),"چکرا ایک روایتی پھینکنے والا ہتھیار ہے، اور اس کے استعمال کے مظاہرے اعلیٰ سطح کی درستگی اور مہارت کا مظاہرہ ہیں۔")</f>
        <v>چکرا ایک روایتی پھینکنے والا ہتھیار ہے، اور اس کے استعمال کے مظاہرے اعلیٰ سطح کی درستگی اور مہارت کا مظاہرہ ہیں۔</v>
      </c>
    </row>
    <row r="25">
      <c r="A25" s="4">
        <v>24.0</v>
      </c>
      <c r="B25" s="5" t="s">
        <v>1700</v>
      </c>
      <c r="C25" s="5" t="s">
        <v>1701</v>
      </c>
      <c r="D25" s="5" t="s">
        <v>1702</v>
      </c>
      <c r="E25" s="5" t="s">
        <v>1703</v>
      </c>
      <c r="J25" s="6" t="str">
        <f>IFERROR(__xludf.DUMMYFUNCTION("GOOGLETRANSLATE(A25, ""en"", ""ur"")"),"24")</f>
        <v>24</v>
      </c>
      <c r="K25" s="6" t="str">
        <f>IFERROR(__xludf.DUMMYFUNCTION("GOOGLETRANSLATE(B25, ""en"", ""ur"")"),"ایک ٹیم میچ میں، ایک کھلاڑی راؤنڈ کے درمیان زخمی ہو جاتا ہے۔ متبادل کو کیسے سنبھالا جاتا ہے؟")</f>
        <v>ایک ٹیم میچ میں، ایک کھلاڑی راؤنڈ کے درمیان زخمی ہو جاتا ہے۔ متبادل کو کیسے سنبھالا جاتا ہے؟</v>
      </c>
      <c r="L25" s="6" t="str">
        <f>IFERROR(__xludf.DUMMYFUNCTION("GOOGLETRANSLATE(C25, ""en"", ""ur"")"),"A) اس کی اجازت نہیں ہے، B) ٹیم کو ریفری کو مطلع کرنا چاہیے، اور متبادل کھلاڑی اگلے راؤنڈ میں داخل ہو سکتا ہے، C) زخمی کھلاڑی بعد میں واپس آ سکتا ہے، D) ٹیم کو ہارنا ہو گا۔")</f>
        <v>A) اس کی اجازت نہیں ہے، B) ٹیم کو ریفری کو مطلع کرنا چاہیے، اور متبادل کھلاڑی اگلے راؤنڈ میں داخل ہو سکتا ہے، C) زخمی کھلاڑی بعد میں واپس آ سکتا ہے، D) ٹیم کو ہارنا ہو گا۔</v>
      </c>
      <c r="M25" s="6" t="str">
        <f>IFERROR(__xludf.DUMMYFUNCTION("GOOGLETRANSLATE(D25, ""en"", ""ur"")"),"ب) ٹیم کو ریفری کو مطلع کرنا چاہیے، اور متبادل کھلاڑی اگلے راؤنڈ میں داخل ہو سکتا ہے۔")</f>
        <v>ب) ٹیم کو ریفری کو مطلع کرنا چاہیے، اور متبادل کھلاڑی اگلے راؤنڈ میں داخل ہو سکتا ہے۔</v>
      </c>
      <c r="N25" s="6" t="str">
        <f>IFERROR(__xludf.DUMMYFUNCTION("GOOGLETRANSLATE(E25, ""en"", ""ur"")"),"متبادل قانونی ہیں لیکن وقفے کے دوران ریفری کے ذریعہ باضابطہ طور پر مطلع کیا جانا چاہئے اور اس کی منظوری ہونی چاہئے۔")</f>
        <v>متبادل قانونی ہیں لیکن وقفے کے دوران ریفری کے ذریعہ باضابطہ طور پر مطلع کیا جانا چاہئے اور اس کی منظوری ہونی چاہئے۔</v>
      </c>
    </row>
    <row r="26">
      <c r="A26" s="4">
        <v>25.0</v>
      </c>
      <c r="B26" s="5" t="s">
        <v>1704</v>
      </c>
      <c r="C26" s="5" t="s">
        <v>1705</v>
      </c>
      <c r="D26" s="5" t="s">
        <v>1706</v>
      </c>
      <c r="E26" s="5" t="s">
        <v>1707</v>
      </c>
      <c r="J26" s="6" t="str">
        <f>IFERROR(__xludf.DUMMYFUNCTION("GOOGLETRANSLATE(A26, ""en"", ""ur"")"),"25")</f>
        <v>25</v>
      </c>
      <c r="K26" s="6" t="str">
        <f>IFERROR(__xludf.DUMMYFUNCTION("GOOGLETRANSLATE(B26, ""en"", ""ur"")"),"گٹکا میں استعمال ہونے والی تلوار کی اہم خصوصیت کیا ہے؟")</f>
        <v>گٹکا میں استعمال ہونے والی تلوار کی اہم خصوصیت کیا ہے؟</v>
      </c>
      <c r="L26" s="6" t="str">
        <f>IFERROR(__xludf.DUMMYFUNCTION("GOOGLETRANSLATE(C26, ""en"", ""ur"")"),"A) یہ دو دھاری تلوار ہے، B) یہ سیدھی تلوار ہے، C) یہ ایک بھاری، دو ہاتھ والی تلوار ہے، D) یہ ایک خمیدہ، ایک دھاری کرپان ہے۔")</f>
        <v>A) یہ دو دھاری تلوار ہے، B) یہ سیدھی تلوار ہے، C) یہ ایک بھاری، دو ہاتھ والی تلوار ہے، D) یہ ایک خمیدہ، ایک دھاری کرپان ہے۔</v>
      </c>
      <c r="M26" s="6" t="str">
        <f>IFERROR(__xludf.DUMMYFUNCTION("GOOGLETRANSLATE(D26, ""en"", ""ur"")"),"D) یہ ایک خمیدہ، واحد کنارہ کرپان ہے۔")</f>
        <v>D) یہ ایک خمیدہ، واحد کنارہ کرپان ہے۔</v>
      </c>
      <c r="N26" s="6" t="str">
        <f>IFERROR(__xludf.DUMMYFUNCTION("GOOGLETRANSLATE(E26, ""en"", ""ur"")"),"تلوار برصغیر پاک و ہند کی کلاسک خمیدہ تلوار ہے، جو گھوڑے کی پیٹھ یا پیدل سے مؤثر حملوں کے لیے بنائی گئی ہے۔")</f>
        <v>تلوار برصغیر پاک و ہند کی کلاسک خمیدہ تلوار ہے، جو گھوڑے کی پیٹھ یا پیدل سے مؤثر حملوں کے لیے بنائی گئی ہے۔</v>
      </c>
    </row>
    <row r="27">
      <c r="A27" s="4">
        <v>26.0</v>
      </c>
      <c r="B27" s="5" t="s">
        <v>1708</v>
      </c>
      <c r="C27" s="5" t="s">
        <v>1709</v>
      </c>
      <c r="D27" s="5" t="s">
        <v>1710</v>
      </c>
      <c r="E27" s="5" t="s">
        <v>1711</v>
      </c>
      <c r="J27" s="6" t="str">
        <f>IFERROR(__xludf.DUMMYFUNCTION("GOOGLETRANSLATE(A27, ""en"", ""ur"")"),"26")</f>
        <v>26</v>
      </c>
      <c r="K27" s="6" t="str">
        <f>IFERROR(__xludf.DUMMYFUNCTION("GOOGLETRANSLATE(B27, ""en"", ""ur"")"),"ایک کھلاڑی کو خبردار کیا جاتا ہے کہ وہ ""ٹارگٹ کور"" کرنے کے لیے اپنا آزاد ہاتھ استعمال کرے۔ اس کا کیا مطلب ہے؟")</f>
        <v>ایک کھلاڑی کو خبردار کیا جاتا ہے کہ وہ "ٹارگٹ کور" کرنے کے لیے اپنا آزاد ہاتھ استعمال کرے۔ اس کا کیا مطلب ہے؟</v>
      </c>
      <c r="L27" s="6" t="str">
        <f>IFERROR(__xludf.DUMMYFUNCTION("GOOGLETRANSLATE(C27, ""en"", ""ur"")"),"A) وہ اپنے چہرے کے سامنے اپنا ہاتھ پکڑے ہوئے ہیں، B) وہ اپنے فری ہینڈ کو غیر قانونی طور پر اسکورنگ ایریا کے مخالف کے نظارے کو روکنے کے لیے استعمال کر رہے ہیں، C) وہ اپنے ہتھیار کو ڈھانپ رہے ہیں، D) وہ اپنی آنکھیں ڈھانپ رہے ہیں۔")</f>
        <v>A) وہ اپنے چہرے کے سامنے اپنا ہاتھ پکڑے ہوئے ہیں، B) وہ اپنے فری ہینڈ کو غیر قانونی طور پر اسکورنگ ایریا کے مخالف کے نظارے کو روکنے کے لیے استعمال کر رہے ہیں، C) وہ اپنے ہتھیار کو ڈھانپ رہے ہیں، D) وہ اپنی آنکھیں ڈھانپ رہے ہیں۔</v>
      </c>
      <c r="M27" s="6" t="str">
        <f>IFERROR(__xludf.DUMMYFUNCTION("GOOGLETRANSLATE(D27, ""en"", ""ur"")"),"ب) وہ اپنے فری ہینڈ کو غیر قانونی طور پر اسکورنگ ایریا کے مخالف کے نقطہ نظر کو روکنے کے لیے استعمال کر رہے ہیں۔")</f>
        <v>ب) وہ اپنے فری ہینڈ کو غیر قانونی طور پر اسکورنگ ایریا کے مخالف کے نقطہ نظر کو روکنے کے لیے استعمال کر رہے ہیں۔</v>
      </c>
      <c r="N27" s="6" t="str">
        <f>IFERROR(__xludf.DUMMYFUNCTION("GOOGLETRANSLATE(E27, ""en"", ""ur"")"),"اسکورنگ زون کو بچانے کے لیے غیر ہتھیار والے ہاتھ کا استعمال کرنا غلط ہے، کیونکہ یہ ایک غیر فعال اور غیر قانونی دفاعی حربہ ہے۔")</f>
        <v>اسکورنگ زون کو بچانے کے لیے غیر ہتھیار والے ہاتھ کا استعمال کرنا غلط ہے، کیونکہ یہ ایک غیر فعال اور غیر قانونی دفاعی حربہ ہے۔</v>
      </c>
    </row>
    <row r="28">
      <c r="A28" s="4">
        <v>27.0</v>
      </c>
      <c r="B28" s="5" t="s">
        <v>1712</v>
      </c>
      <c r="C28" s="5" t="s">
        <v>1713</v>
      </c>
      <c r="D28" s="5" t="s">
        <v>1714</v>
      </c>
      <c r="E28" s="5" t="s">
        <v>1715</v>
      </c>
      <c r="J28" s="6" t="str">
        <f>IFERROR(__xludf.DUMMYFUNCTION("GOOGLETRANSLATE(A28, ""en"", ""ur"")"),"27")</f>
        <v>27</v>
      </c>
      <c r="K28" s="6" t="str">
        <f>IFERROR(__xludf.DUMMYFUNCTION("GOOGLETRANSLATE(B28, ""en"", ""ur"")"),"گٹکا مقابلے اور گٹکا کے مظاہرے میں بنیادی فرق کیا ہے؟")</f>
        <v>گٹکا مقابلے اور گٹکا کے مظاہرے میں بنیادی فرق کیا ہے؟</v>
      </c>
      <c r="L28" s="6" t="str">
        <f>IFERROR(__xludf.DUMMYFUNCTION("GOOGLETRANSLATE(C28, ""en"", ""ur"")"),"A) مظاہرے اصلی تلواروں کا استعمال کرتے ہیں، B) ایک مظاہرہ فنکارانہ اور رسمی ہوتا ہے، جبکہ مقابلہ جیتنے کے لیے پوائنٹس اسکور کرنے کے بارے میں ہوتا ہے، C) مقابلے طویل ہوتے ہیں، D) کوئی فرق نہیں ہوتا")</f>
        <v>A) مظاہرے اصلی تلواروں کا استعمال کرتے ہیں، B) ایک مظاہرہ فنکارانہ اور رسمی ہوتا ہے، جبکہ مقابلہ جیتنے کے لیے پوائنٹس اسکور کرنے کے بارے میں ہوتا ہے، C) مقابلے طویل ہوتے ہیں، D) کوئی فرق نہیں ہوتا</v>
      </c>
      <c r="M28" s="6" t="str">
        <f>IFERROR(__xludf.DUMMYFUNCTION("GOOGLETRANSLATE(D28, ""en"", ""ur"")"),"ب) ایک مظاہرہ فنکارانہ اور رسمی ہوتا ہے، جبکہ مقابلہ جیتنے کے لیے پوائنٹس اسکور کرنے کے بارے میں ہوتا ہے۔")</f>
        <v>ب) ایک مظاہرہ فنکارانہ اور رسمی ہوتا ہے، جبکہ مقابلہ جیتنے کے لیے پوائنٹس اسکور کرنے کے بارے میں ہوتا ہے۔</v>
      </c>
      <c r="N28" s="6" t="str">
        <f>IFERROR(__xludf.DUMMYFUNCTION("GOOGLETRANSLATE(E28, ""en"", ""ur"")"),"مظاہرے خوبصورتی، تاریخ، اور مہارتوں کی مکمل رینج کو ظاہر کرتے ہیں، جبکہ مقابلے ایک واضح فاتح کے ساتھ کھیلوں کے منظم ایونٹ ہوتے ہیں۔")</f>
        <v>مظاہرے خوبصورتی، تاریخ، اور مہارتوں کی مکمل رینج کو ظاہر کرتے ہیں، جبکہ مقابلے ایک واضح فاتح کے ساتھ کھیلوں کے منظم ایونٹ ہوتے ہیں۔</v>
      </c>
    </row>
    <row r="29">
      <c r="A29" s="4">
        <v>28.0</v>
      </c>
      <c r="B29" s="5" t="s">
        <v>1716</v>
      </c>
      <c r="C29" s="5" t="s">
        <v>1717</v>
      </c>
      <c r="D29" s="5" t="s">
        <v>1718</v>
      </c>
      <c r="E29" s="5" t="s">
        <v>1719</v>
      </c>
      <c r="J29" s="6" t="str">
        <f>IFERROR(__xludf.DUMMYFUNCTION("GOOGLETRANSLATE(A29, ""en"", ""ur"")"),"28")</f>
        <v>28</v>
      </c>
      <c r="K29" s="6" t="str">
        <f>IFERROR(__xludf.DUMMYFUNCTION("GOOGLETRANSLATE(B29, ""en"", ""ur"")"),"ایک ریفری نیلے رنگ کا جھنڈا اٹھا رہا ہے۔ اس سے کیا مراد ہے؟")</f>
        <v>ایک ریفری نیلے رنگ کا جھنڈا اٹھا رہا ہے۔ اس سے کیا مراد ہے؟</v>
      </c>
      <c r="L29" s="6" t="str">
        <f>IFERROR(__xludf.DUMMYFUNCTION("GOOGLETRANSLATE(C29, ""en"", ""ur"")"),"A) نیلے کونے میں فائٹر کی طرف سے ایک غلط کام کیا گیا تھا، B) نیلے کونے سے فائٹر کے ذریعہ ایک پوائنٹ اسکور کیا گیا تھا، C) راؤنڈ کا اختتام، D) نیلے کونے کے لئے ایک ٹائم آؤٹ")</f>
        <v>A) نیلے کونے میں فائٹر کی طرف سے ایک غلط کام کیا گیا تھا، B) نیلے کونے سے فائٹر کے ذریعہ ایک پوائنٹ اسکور کیا گیا تھا، C) راؤنڈ کا اختتام، D) نیلے کونے کے لئے ایک ٹائم آؤٹ</v>
      </c>
      <c r="M29" s="6" t="str">
        <f>IFERROR(__xludf.DUMMYFUNCTION("GOOGLETRANSLATE(D29, ""en"", ""ur"")"),"B) نیلے کونے سے فائٹر نے ایک پوائنٹ اسکور کیا۔")</f>
        <v>B) نیلے کونے سے فائٹر نے ایک پوائنٹ اسکور کیا۔</v>
      </c>
      <c r="N29" s="6" t="str">
        <f>IFERROR(__xludf.DUMMYFUNCTION("GOOGLETRANSLATE(E29, ""en"", ""ur"")"),"ریفری اور ججز رنگین جھنڈوں (سرخ اور نیلے) کا استعمال کرتے ہیں جو پوائنٹس دینے کے لیے جنگجوؤں کے کونے کے رنگوں سے مطابقت رکھتے ہیں۔")</f>
        <v>ریفری اور ججز رنگین جھنڈوں (سرخ اور نیلے) کا استعمال کرتے ہیں جو پوائنٹس دینے کے لیے جنگجوؤں کے کونے کے رنگوں سے مطابقت رکھتے ہیں۔</v>
      </c>
    </row>
    <row r="30">
      <c r="A30" s="4">
        <v>29.0</v>
      </c>
      <c r="B30" s="5" t="s">
        <v>1720</v>
      </c>
      <c r="C30" s="5" t="s">
        <v>1721</v>
      </c>
      <c r="D30" s="5" t="s">
        <v>1722</v>
      </c>
      <c r="E30" s="5" t="s">
        <v>1723</v>
      </c>
      <c r="J30" s="6" t="str">
        <f>IFERROR(__xludf.DUMMYFUNCTION("GOOGLETRANSLATE(A30, ""en"", ""ur"")"),"29")</f>
        <v>29</v>
      </c>
      <c r="K30" s="6" t="str">
        <f>IFERROR(__xludf.DUMMYFUNCTION("GOOGLETRANSLATE(B30, ""en"", ""ur"")"),"گٹکا میں ردھمک فٹ ورک یا چال کا بنیادی مقصد کیا ہے؟")</f>
        <v>گٹکا میں ردھمک فٹ ورک یا چال کا بنیادی مقصد کیا ہے؟</v>
      </c>
      <c r="L30" s="6" t="str">
        <f>IFERROR(__xludf.DUMMYFUNCTION("GOOGLETRANSLATE(C30, ""en"", ""ur"")"),"A) خوبصورت نظر آنا اور ہجوم کا دل بہلانا، B) تال، وقت اور حرکت کے لیے مستقل تیاری کو برقرار رکھنا، C) رقص جیسے قدموں سے مخالف کو الجھانا، D) پٹھوں کو گرم کرنا")</f>
        <v>A) خوبصورت نظر آنا اور ہجوم کا دل بہلانا، B) تال، وقت اور حرکت کے لیے مستقل تیاری کو برقرار رکھنا، C) رقص جیسے قدموں سے مخالف کو الجھانا، D) پٹھوں کو گرم کرنا</v>
      </c>
      <c r="M30" s="6" t="str">
        <f>IFERROR(__xludf.DUMMYFUNCTION("GOOGLETRANSLATE(D30, ""en"", ""ur"")"),"ب) تال، وقت، اور حرکت کے لیے مستقل تیاری کو برقرار رکھنے کے لیے")</f>
        <v>ب) تال، وقت، اور حرکت کے لیے مستقل تیاری کو برقرار رکھنے کے لیے</v>
      </c>
      <c r="N30" s="6" t="str">
        <f>IFERROR(__xludf.DUMMYFUNCTION("GOOGLETRANSLATE(E30, ""en"", ""ur"")"),"خصوصیت والی تال کی حرکت صرف دکھانے کے لیے نہیں ہے۔ یہ لڑاکا کے جسم اور دماغ کو حملے یا دفاع کے لیے سیال تیاری کی حالت میں رکھتا ہے۔")</f>
        <v>خصوصیت والی تال کی حرکت صرف دکھانے کے لیے نہیں ہے۔ یہ لڑاکا کے جسم اور دماغ کو حملے یا دفاع کے لیے سیال تیاری کی حالت میں رکھتا ہے۔</v>
      </c>
    </row>
    <row r="31">
      <c r="A31" s="4">
        <v>30.0</v>
      </c>
      <c r="B31" s="5" t="s">
        <v>1724</v>
      </c>
      <c r="C31" s="5" t="s">
        <v>1725</v>
      </c>
      <c r="D31" s="5" t="s">
        <v>1726</v>
      </c>
      <c r="E31" s="5" t="s">
        <v>1727</v>
      </c>
      <c r="J31" s="6" t="str">
        <f>IFERROR(__xludf.DUMMYFUNCTION("GOOGLETRANSLATE(A31, ""en"", ""ur"")"),"30")</f>
        <v>30</v>
      </c>
      <c r="K31" s="6" t="str">
        <f>IFERROR(__xludf.DUMMYFUNCTION("GOOGLETRANSLATE(B31, ""en"", ""ur"")"),"فاری سوتی ایونٹ میں، ایک کھلاڑی کے پاس دوسرے سے بہت بڑی شیلڈ ہوتی ہے۔ ریفری کو کیا کرنا چاہیے؟")</f>
        <v>فاری سوتی ایونٹ میں، ایک کھلاڑی کے پاس دوسرے سے بہت بڑی شیلڈ ہوتی ہے۔ ریفری کو کیا کرنا چاہیے؟</v>
      </c>
      <c r="L31" s="6" t="str">
        <f>IFERROR(__xludf.DUMMYFUNCTION("GOOGLETRANSLATE(C31, ""en"", ""ur"")"),"A) کچھ نہیں، کسی بھی شیلڈ کی اجازت نہیں ہے، B) میچ کو روکیں اور اس بات کو یقینی بنائیں کہ دونوں کھلاڑیوں کے پاس ریگولیشن سائز کی شیلڈز ہوں، C) چھوٹی شیلڈ والے کھلاڑی کو ایک ہینڈی کیپ دیں، D) میچ جاری رہے")</f>
        <v>A) کچھ نہیں، کسی بھی شیلڈ کی اجازت نہیں ہے، B) میچ کو روکیں اور اس بات کو یقینی بنائیں کہ دونوں کھلاڑیوں کے پاس ریگولیشن سائز کی شیلڈز ہوں، C) چھوٹی شیلڈ والے کھلاڑی کو ایک ہینڈی کیپ دیں، D) میچ جاری رہے</v>
      </c>
      <c r="M31" s="6" t="str">
        <f>IFERROR(__xludf.DUMMYFUNCTION("GOOGLETRANSLATE(D31, ""en"", ""ur"")"),"ب) میچ کو روکیں اور یقینی بنائیں کہ دونوں کھلاڑیوں کے پاس ریگولیشن سائز کی شیلڈز ہیں۔")</f>
        <v>ب) میچ کو روکیں اور یقینی بنائیں کہ دونوں کھلاڑیوں کے پاس ریگولیشن سائز کی شیلڈز ہیں۔</v>
      </c>
      <c r="N31" s="6" t="str">
        <f>IFERROR(__xludf.DUMMYFUNCTION("GOOGLETRANSLATE(E31, ""en"", ""ur"")"),"انصاف کو یقینی بنانے کے لیے، تمام آلات بشمول شیلڈ کو گورننگ باڈی کے مقرر کردہ سرکاری طول و عرض کے مطابق ہونا چاہیے۔")</f>
        <v>انصاف کو یقینی بنانے کے لیے، تمام آلات بشمول شیلڈ کو گورننگ باڈی کے مقرر کردہ سرکاری طول و عرض کے مطابق ہونا چاہیے۔</v>
      </c>
    </row>
    <row r="32">
      <c r="A32" s="4">
        <v>31.0</v>
      </c>
      <c r="B32" s="5" t="s">
        <v>1728</v>
      </c>
      <c r="C32" s="5" t="s">
        <v>1729</v>
      </c>
      <c r="D32" s="5" t="s">
        <v>1730</v>
      </c>
      <c r="E32" s="5" t="s">
        <v>1731</v>
      </c>
      <c r="J32" s="6" t="str">
        <f>IFERROR(__xludf.DUMMYFUNCTION("GOOGLETRANSLATE(A32, ""en"", ""ur"")"),"31")</f>
        <v>31</v>
      </c>
      <c r="K32" s="6" t="str">
        <f>IFERROR(__xludf.DUMMYFUNCTION("GOOGLETRANSLATE(B32, ""en"", ""ur"")"),"ایک کھلاڑی ایک میچ جیتتا ہے کیونکہ اس کے مخالف نے تین انتباہات جمع کیے تھے۔ یہ کس کی جیت ہے؟")</f>
        <v>ایک کھلاڑی ایک میچ جیتتا ہے کیونکہ اس کے مخالف نے تین انتباہات جمع کیے تھے۔ یہ کس کی جیت ہے؟</v>
      </c>
      <c r="L32" s="6" t="str">
        <f>IFERROR(__xludf.DUMMYFUNCTION("GOOGLETRANSLATE(C32, ""en"", ""ur"")"),"A) پوائنٹس پر جیت، B) تکنیکی برتری سے جیت، C) نااہلی سے جیت، D) ناک آؤٹ سے جیت")</f>
        <v>A) پوائنٹس پر جیت، B) تکنیکی برتری سے جیت، C) نااہلی سے جیت، D) ناک آؤٹ سے جیت</v>
      </c>
      <c r="M32" s="6" t="str">
        <f>IFERROR(__xludf.DUMMYFUNCTION("GOOGLETRANSLATE(D32, ""en"", ""ur"")"),"ج) نااہلی سے جیتنا")</f>
        <v>ج) نااہلی سے جیتنا</v>
      </c>
      <c r="N32" s="6" t="str">
        <f>IFERROR(__xludf.DUMMYFUNCTION("GOOGLETRANSLATE(E32, ""en"", ""ur"")"),"فاؤل یا بدتمیزی کے لیے تیسری آفیشل وارننگ موصول ہونے کے بعد کھلاڑی خود بخود نااہل ہو جاتا ہے۔")</f>
        <v>فاؤل یا بدتمیزی کے لیے تیسری آفیشل وارننگ موصول ہونے کے بعد کھلاڑی خود بخود نااہل ہو جاتا ہے۔</v>
      </c>
    </row>
    <row r="33">
      <c r="A33" s="4">
        <v>32.0</v>
      </c>
      <c r="B33" s="5" t="s">
        <v>1732</v>
      </c>
      <c r="C33" s="5" t="s">
        <v>1733</v>
      </c>
      <c r="D33" s="5" t="s">
        <v>1734</v>
      </c>
      <c r="E33" s="5" t="s">
        <v>1735</v>
      </c>
      <c r="J33" s="6" t="str">
        <f>IFERROR(__xludf.DUMMYFUNCTION("GOOGLETRANSLATE(A33, ""en"", ""ur"")"),"32")</f>
        <v>32</v>
      </c>
      <c r="K33" s="6" t="str">
        <f>IFERROR(__xludf.DUMMYFUNCTION("GOOGLETRANSLATE(B33, ""en"", ""ur"")"),"کچھ مقابلوں میں لازمی سولو فارم (جورس واجب) کا بنیادی مقصد کیا ہے؟")</f>
        <v>کچھ مقابلوں میں لازمی سولو فارم (جورس واجب) کا بنیادی مقصد کیا ہے؟</v>
      </c>
      <c r="L33" s="6" t="str">
        <f>IFERROR(__xludf.DUMMYFUNCTION("GOOGLETRANSLATE(C33, ""en"", ""ur"")"),"A) سب سے زیادہ تخلیقی لڑاکا کا تعین کرنے کے لیے، B) کسی مدمقابل کی انفرادی تکنیکی مہارت، درستگی اور شکل کا فیصلہ کرنا، C) ٹائی بریکر ہونا، D) حریف کو گرمانا")</f>
        <v>A) سب سے زیادہ تخلیقی لڑاکا کا تعین کرنے کے لیے، B) کسی مدمقابل کی انفرادی تکنیکی مہارت، درستگی اور شکل کا فیصلہ کرنا، C) ٹائی بریکر ہونا، D) حریف کو گرمانا</v>
      </c>
      <c r="M33" s="6" t="str">
        <f>IFERROR(__xludf.DUMMYFUNCTION("GOOGLETRANSLATE(D33, ""en"", ""ur"")"),"ب) ایک مدمقابل کی انفرادی تکنیکی مہارت، درستگی، اور شکل کا فیصلہ کرنا")</f>
        <v>ب) ایک مدمقابل کی انفرادی تکنیکی مہارت، درستگی، اور شکل کا فیصلہ کرنا</v>
      </c>
      <c r="N33" s="6" t="str">
        <f>IFERROR(__xludf.DUMMYFUNCTION("GOOGLETRANSLATE(E33, ""en"", ""ur"")"),"لازمی فارم ایک معیاری معمول ہے جو فن کی بنیادی تکنیکوں میں کھلاڑی کی مہارت کو معروضی طور پر اسکور کرنے کے لیے استعمال کیا جاتا ہے۔")</f>
        <v>لازمی فارم ایک معیاری معمول ہے جو فن کی بنیادی تکنیکوں میں کھلاڑی کی مہارت کو معروضی طور پر اسکور کرنے کے لیے استعمال کیا جاتا ہے۔</v>
      </c>
    </row>
    <row r="34">
      <c r="A34" s="4">
        <v>33.0</v>
      </c>
      <c r="B34" s="5" t="s">
        <v>1736</v>
      </c>
      <c r="C34" s="5" t="s">
        <v>1737</v>
      </c>
      <c r="D34" s="5" t="s">
        <v>1738</v>
      </c>
      <c r="E34" s="5" t="s">
        <v>1739</v>
      </c>
      <c r="J34" s="6" t="str">
        <f>IFERROR(__xludf.DUMMYFUNCTION("GOOGLETRANSLATE(A34, ""en"", ""ur"")"),"33")</f>
        <v>33</v>
      </c>
      <c r="K34" s="6" t="str">
        <f>IFERROR(__xludf.DUMMYFUNCTION("GOOGLETRANSLATE(B34, ""en"", ""ur"")"),"ایک کھلاڑی کو ""طویل رابطے"" کے لیے سزا دی جاتی ہے۔ انہوں نے کیا کیا؟")</f>
        <v>ایک کھلاڑی کو "طویل رابطے" کے لیے سزا دی جاتی ہے۔ انہوں نے کیا کیا؟</v>
      </c>
      <c r="L34" s="6" t="str">
        <f>IFERROR(__xludf.DUMMYFUNCTION("GOOGLETRANSLATE(C34, ""en"", ""ur"")"),"A) انہوں نے اپنے بلاک کو بہت دیر تک تھام رکھا تھا، B) انہوں نے مارنے کی بجائے مخالف کو اپنی چھڑی سے دھکیل دیا، C) انہوں نے مخالف سے بہت دیر تک بات کی، D) انہوں نے شروع کرنے میں بہت زیادہ وقت لیا۔")</f>
        <v>A) انہوں نے اپنے بلاک کو بہت دیر تک تھام رکھا تھا، B) انہوں نے مارنے کی بجائے مخالف کو اپنی چھڑی سے دھکیل دیا، C) انہوں نے مخالف سے بہت دیر تک بات کی، D) انہوں نے شروع کرنے میں بہت زیادہ وقت لیا۔</v>
      </c>
      <c r="M34" s="6" t="str">
        <f>IFERROR(__xludf.DUMMYFUNCTION("GOOGLETRANSLATE(D34, ""en"", ""ur"")"),"ب) انہوں نے وار کرنے کے بجائے مخالف کو اپنی لاٹھی سے دھکیل دیا۔")</f>
        <v>ب) انہوں نے وار کرنے کے بجائے مخالف کو اپنی لاٹھی سے دھکیل دیا۔</v>
      </c>
      <c r="N34" s="6" t="str">
        <f>IFERROR(__xludf.DUMMYFUNCTION("GOOGLETRANSLATE(E34, ""en"", ""ur"")"),"تمام سٹرائیکس صاف ""ٹچز"" ہونی چاہئیں۔ مخالف کو دھکیلنے، دبانے یا غیر قانونی طور پر قابو کرنے کے لیے چھڑی کا استعمال غلط ہے۔")</f>
        <v>تمام سٹرائیکس صاف "ٹچز" ہونی چاہئیں۔ مخالف کو دھکیلنے، دبانے یا غیر قانونی طور پر قابو کرنے کے لیے چھڑی کا استعمال غلط ہے۔</v>
      </c>
    </row>
    <row r="35">
      <c r="A35" s="4">
        <v>34.0</v>
      </c>
      <c r="B35" s="5" t="s">
        <v>1740</v>
      </c>
      <c r="C35" s="5" t="s">
        <v>1741</v>
      </c>
      <c r="D35" s="5" t="s">
        <v>1742</v>
      </c>
      <c r="E35" s="5" t="s">
        <v>1743</v>
      </c>
      <c r="J35" s="6" t="str">
        <f>IFERROR(__xludf.DUMMYFUNCTION("GOOGLETRANSLATE(A35, ""en"", ""ur"")"),"34")</f>
        <v>34</v>
      </c>
      <c r="K35" s="6" t="str">
        <f>IFERROR(__xludf.DUMMYFUNCTION("GOOGLETRANSLATE(B35, ""en"", ""ur"")"),"ایک لڑاکا مارا جاتا ہے، اور دھچکا اتنا مضبوط ہوتا ہے کہ ہجوم سن سکے۔ ایک مقابلے میں، یہ ججوں کے لیے کیا تصدیق کرتا ہے؟")</f>
        <v>ایک لڑاکا مارا جاتا ہے، اور دھچکا اتنا مضبوط ہوتا ہے کہ ہجوم سن سکے۔ ایک مقابلے میں، یہ ججوں کے لیے کیا تصدیق کرتا ہے؟</v>
      </c>
      <c r="L35" s="6" t="str">
        <f>IFERROR(__xludf.DUMMYFUNCTION("GOOGLETRANSLATE(C35, ""en"", ""ur"")"),"A) چھڑی ایک سخت مواد سے بنی ہے، B) ایک صاف، ٹھوس، اور ناقابل تردید پوائنٹ اسکور کیا گیا ہے، C) فائٹر کی شیلڈ بہت پتلی ہے، D) موسیقی کو ٹھکرا دینا چاہیے۔")</f>
        <v>A) چھڑی ایک سخت مواد سے بنی ہے، B) ایک صاف، ٹھوس، اور ناقابل تردید پوائنٹ اسکور کیا گیا ہے، C) فائٹر کی شیلڈ بہت پتلی ہے، D) موسیقی کو ٹھکرا دینا چاہیے۔</v>
      </c>
      <c r="M35" s="6" t="str">
        <f>IFERROR(__xludf.DUMMYFUNCTION("GOOGLETRANSLATE(D35, ""en"", ""ur"")"),"ب) ایک صاف، ٹھوس اور ناقابل تردید پوائنٹ اسکور کیا گیا۔")</f>
        <v>ب) ایک صاف، ٹھوس اور ناقابل تردید پوائنٹ اسکور کیا گیا۔</v>
      </c>
      <c r="N35" s="6" t="str">
        <f>IFERROR(__xludf.DUMMYFUNCTION("GOOGLETRANSLATE(E35, ""en"", ""ur"")"),"ایک قابل سماعت اثر واضح تصدیق فراہم کرتا ہے کہ ایک اہم، حادثاتی نہیں، ہڑتال ہوئی ہے، جس سے ججوں کو درست طریقے سے اسکور کرنے میں مدد ملتی ہے۔")</f>
        <v>ایک قابل سماعت اثر واضح تصدیق فراہم کرتا ہے کہ ایک اہم، حادثاتی نہیں، ہڑتال ہوئی ہے، جس سے ججوں کو درست طریقے سے اسکور کرنے میں مدد ملتی ہے۔</v>
      </c>
    </row>
    <row r="36">
      <c r="A36" s="4">
        <v>35.0</v>
      </c>
      <c r="B36" s="5" t="s">
        <v>1744</v>
      </c>
      <c r="C36" s="5" t="s">
        <v>1745</v>
      </c>
      <c r="D36" s="5" t="s">
        <v>1746</v>
      </c>
      <c r="E36" s="5" t="s">
        <v>1747</v>
      </c>
      <c r="J36" s="6" t="str">
        <f>IFERROR(__xludf.DUMMYFUNCTION("GOOGLETRANSLATE(A36, ""en"", ""ur"")"),"35")</f>
        <v>35</v>
      </c>
      <c r="K36" s="6" t="str">
        <f>IFERROR(__xludf.DUMMYFUNCTION("GOOGLETRANSLATE(B36, ""en"", ""ur"")"),"ایک لڑاکا جسے قانونی طور پر نشانہ بنایا گیا ہے وہ دفاع جاری رکھنے کے بجائے شکایت کرنے کے لیے ریفری سے رجوع کرتا ہے۔ فوری خطرہ کیا ہے؟")</f>
        <v>ایک لڑاکا جسے قانونی طور پر نشانہ بنایا گیا ہے وہ دفاع جاری رکھنے کے بجائے شکایت کرنے کے لیے ریفری سے رجوع کرتا ہے۔ فوری خطرہ کیا ہے؟</v>
      </c>
      <c r="L36" s="6" t="str">
        <f>IFERROR(__xludf.DUMMYFUNCTION("GOOGLETRANSLATE(C36, ""en"", ""ur"")"),"A) ریفری ان سے اتفاق کرے گا اور پوائنٹ کو ریورس کرے گا، B) ان کے توجہ ہٹانے کے دوران دوبارہ ٹکرانے کا امکان ہے، C) پوائنٹ کو دوبارہ چلایا جائے گا، D) مخالف کو بہت زیادہ جارحانہ ہونے کی وجہ سے خبردار کیا جائے گا۔")</f>
        <v>A) ریفری ان سے اتفاق کرے گا اور پوائنٹ کو ریورس کرے گا، B) ان کے توجہ ہٹانے کے دوران دوبارہ ٹکرانے کا امکان ہے، C) پوائنٹ کو دوبارہ چلایا جائے گا، D) مخالف کو بہت زیادہ جارحانہ ہونے کی وجہ سے خبردار کیا جائے گا۔</v>
      </c>
      <c r="M36" s="6" t="str">
        <f>IFERROR(__xludf.DUMMYFUNCTION("GOOGLETRANSLATE(D36, ""en"", ""ur"")"),"ب) جب وہ مشغول ہوتے ہیں تو ان کے دوبارہ مارے جانے کا امکان ہوتا ہے۔")</f>
        <v>ب) جب وہ مشغول ہوتے ہیں تو ان کے دوبارہ مارے جانے کا امکان ہوتا ہے۔</v>
      </c>
      <c r="N36" s="6" t="str">
        <f>IFERROR(__xludf.DUMMYFUNCTION("GOOGLETRANSLATE(E36, ""en"", ""ur"")"),"لڑائی کا بنیادی اصول ہمیشہ تیار رہنا ہے۔ مڈ راؤنڈ کے احتجاج سے ایک لڑاکا قانونی فالو اپ ہڑتال کا شکار ہو جاتا ہے۔")</f>
        <v>لڑائی کا بنیادی اصول ہمیشہ تیار رہنا ہے۔ مڈ راؤنڈ کے احتجاج سے ایک لڑاکا قانونی فالو اپ ہڑتال کا شکار ہو جاتا ہے۔</v>
      </c>
    </row>
    <row r="37">
      <c r="A37" s="4">
        <v>36.0</v>
      </c>
      <c r="B37" s="5" t="s">
        <v>1748</v>
      </c>
      <c r="C37" s="5" t="s">
        <v>1749</v>
      </c>
      <c r="D37" s="5" t="s">
        <v>1750</v>
      </c>
      <c r="E37" s="5" t="s">
        <v>1751</v>
      </c>
      <c r="J37" s="6" t="str">
        <f>IFERROR(__xludf.DUMMYFUNCTION("GOOGLETRANSLATE(A37, ""en"", ""ur"")"),"36")</f>
        <v>36</v>
      </c>
      <c r="K37" s="6" t="str">
        <f>IFERROR(__xludf.DUMMYFUNCTION("GOOGLETRANSLATE(B37, ""en"", ""ur"")"),"گٹکا کی تربیت بچوں کے لیے فائدہ مند ہونے کی بنیادی وجہ کیا ہے؟")</f>
        <v>گٹکا کی تربیت بچوں کے لیے فائدہ مند ہونے کی بنیادی وجہ کیا ہے؟</v>
      </c>
      <c r="L37" s="6" t="str">
        <f>IFERROR(__xludf.DUMMYFUNCTION("GOOGLETRANSLATE(C37, ""en"", ""ur"")"),"A) یہ انہیں جارحانہ ہونا سکھاتا ہے، B) یہ نظم و ضبط، توجہ اور جسمانی تندرستی پیدا کرتا ہے، C) یہ سیکھنا آسان کھیل ہے، D) یہ ضمانت دیتا ہے کہ وہ لڑائیاں جیتیں گے۔")</f>
        <v>A) یہ انہیں جارحانہ ہونا سکھاتا ہے، B) یہ نظم و ضبط، توجہ اور جسمانی تندرستی پیدا کرتا ہے، C) یہ سیکھنا آسان کھیل ہے، D) یہ ضمانت دیتا ہے کہ وہ لڑائیاں جیتیں گے۔</v>
      </c>
      <c r="M37" s="6" t="str">
        <f>IFERROR(__xludf.DUMMYFUNCTION("GOOGLETRANSLATE(D37, ""en"", ""ur"")"),"ب) یہ نظم و ضبط، توجہ اور جسمانی تندرستی پیدا کرتا ہے۔")</f>
        <v>ب) یہ نظم و ضبط، توجہ اور جسمانی تندرستی پیدا کرتا ہے۔</v>
      </c>
      <c r="N37" s="6" t="str">
        <f>IFERROR(__xludf.DUMMYFUNCTION("GOOGLETRANSLATE(E37, ""en"", ""ur"")"),"گٹکا کو نوجوانوں کی سرگرمی کے طور پر کردار، ارتکاز اور ایک صحت مند جسم کی نشوونما کی صلاحیت کے لیے بہت اہمیت دی جاتی ہے۔")</f>
        <v>گٹکا کو نوجوانوں کی سرگرمی کے طور پر کردار، ارتکاز اور ایک صحت مند جسم کی نشوونما کی صلاحیت کے لیے بہت اہمیت دی جاتی ہے۔</v>
      </c>
    </row>
    <row r="38">
      <c r="A38" s="4">
        <v>37.0</v>
      </c>
      <c r="B38" s="5" t="s">
        <v>1752</v>
      </c>
      <c r="C38" s="5" t="s">
        <v>1753</v>
      </c>
      <c r="D38" s="5" t="s">
        <v>1754</v>
      </c>
      <c r="E38" s="5" t="s">
        <v>1755</v>
      </c>
      <c r="J38" s="6" t="str">
        <f>IFERROR(__xludf.DUMMYFUNCTION("GOOGLETRANSLATE(A38, ""en"", ""ur"")"),"37")</f>
        <v>37</v>
      </c>
      <c r="K38" s="6" t="str">
        <f>IFERROR(__xludf.DUMMYFUNCTION("GOOGLETRANSLATE(B38, ""en"", ""ur"")"),"اگر کوئی کھلاڑی غلطی سے اپنے ہی ہتھیار سے زخمی ہو جائے (مثلاً، اپنی ہی ٹانگ کو مارنا) تو ریفری کا کیا عمل ہے؟")</f>
        <v>اگر کوئی کھلاڑی غلطی سے اپنے ہی ہتھیار سے زخمی ہو جائے (مثلاً، اپنی ہی ٹانگ کو مارنا) تو ریفری کا کیا عمل ہے؟</v>
      </c>
      <c r="L38" s="6" t="str">
        <f>IFERROR(__xludf.DUMMYFUNCTION("GOOGLETRANSLATE(C38, ""en"", ""ur"")"),"A) مخالف کو ایک پوائنٹ دیا جاتا ہے، B) میچ کو میڈیکل چیک کے لیے روک دیا جاتا ہے۔ کوئی پوائنٹ نہیں دیا جاتا، C) کھلاڑی کو کنٹرول نہ ہونے کی وجہ سے نااہل قرار دیا جاتا ہے، D) راؤنڈ دوبارہ کھیلا جاتا ہے۔")</f>
        <v>A) مخالف کو ایک پوائنٹ دیا جاتا ہے، B) میچ کو میڈیکل چیک کے لیے روک دیا جاتا ہے۔ کوئی پوائنٹ نہیں دیا جاتا، C) کھلاڑی کو کنٹرول نہ ہونے کی وجہ سے نااہل قرار دیا جاتا ہے، D) راؤنڈ دوبارہ کھیلا جاتا ہے۔</v>
      </c>
      <c r="M38" s="6" t="str">
        <f>IFERROR(__xludf.DUMMYFUNCTION("GOOGLETRANSLATE(D38, ""en"", ""ur"")"),"ب) میچ کو طبی جانچ کے لیے روک دیا گیا ہے۔ کوئی پوائنٹس نہیں دیئے جاتے")</f>
        <v>ب) میچ کو طبی جانچ کے لیے روک دیا گیا ہے۔ کوئی پوائنٹس نہیں دیئے جاتے</v>
      </c>
      <c r="N38" s="6" t="str">
        <f>IFERROR(__xludf.DUMMYFUNCTION("GOOGLETRANSLATE(E38, ""en"", ""ur"")"),"یہ ایک حادثہ سمجھا جاتا ہے، ایک فاؤل نہیں. بنیادی تشویش کھلاڑی کی حفاظت ہے، اس لیے میچ روک دیا گیا ہے۔")</f>
        <v>یہ ایک حادثہ سمجھا جاتا ہے، ایک فاؤل نہیں. بنیادی تشویش کھلاڑی کی حفاظت ہے، اس لیے میچ روک دیا گیا ہے۔</v>
      </c>
    </row>
    <row r="39">
      <c r="A39" s="4">
        <v>38.0</v>
      </c>
      <c r="B39" s="5" t="s">
        <v>1756</v>
      </c>
      <c r="C39" s="5" t="s">
        <v>1757</v>
      </c>
      <c r="D39" s="5" t="s">
        <v>1758</v>
      </c>
      <c r="E39" s="5" t="s">
        <v>1759</v>
      </c>
      <c r="J39" s="6" t="str">
        <f>IFERROR(__xludf.DUMMYFUNCTION("GOOGLETRANSLATE(A39, ""en"", ""ur"")"),"38")</f>
        <v>38</v>
      </c>
      <c r="K39" s="6" t="str">
        <f>IFERROR(__xludf.DUMMYFUNCTION("GOOGLETRANSLATE(B39, ""en"", ""ur"")"),"ایک کھلاڑی روایتی بانے کے بجائے جدید ٹریک سوٹ پہنے ہوئے ہے۔ کیا رسمی مقابلے میں اس کی اجازت ہے؟")</f>
        <v>ایک کھلاڑی روایتی بانے کے بجائے جدید ٹریک سوٹ پہنے ہوئے ہے۔ کیا رسمی مقابلے میں اس کی اجازت ہے؟</v>
      </c>
      <c r="L39" s="6" t="str">
        <f>IFERROR(__xludf.DUMMYFUNCTION("GOOGLETRANSLATE(C39, ""en"", ""ur"")"),"A) نہیں، روایتی لباس لازمی ہے، B) ہاں، اگر یہ سرکاری ٹیم کی وردی ہے اور منتظمین کی طرف سے منظور شدہ ہے، C) صرف اس صورت میں جب ٹریک سوٹ نیلا ہو، D) ہاں، لیکن غلط یونیفارم کے لیے پوائنٹس کاٹے جائیں گے۔")</f>
        <v>A) نہیں، روایتی لباس لازمی ہے، B) ہاں، اگر یہ سرکاری ٹیم کی وردی ہے اور منتظمین کی طرف سے منظور شدہ ہے، C) صرف اس صورت میں جب ٹریک سوٹ نیلا ہو، D) ہاں، لیکن غلط یونیفارم کے لیے پوائنٹس کاٹے جائیں گے۔</v>
      </c>
      <c r="M39" s="6" t="str">
        <f>IFERROR(__xludf.DUMMYFUNCTION("GOOGLETRANSLATE(D39, ""en"", ""ur"")"),"ب) ہاں، اگر یہ سرکاری ٹیم کی وردی ہے اور منتظمین کی طرف سے منظور شدہ ہے۔")</f>
        <v>ب) ہاں، اگر یہ سرکاری ٹیم کی وردی ہے اور منتظمین کی طرف سے منظور شدہ ہے۔</v>
      </c>
      <c r="N39" s="6" t="str">
        <f>IFERROR(__xludf.DUMMYFUNCTION("GOOGLETRANSLATE(E39, ""en"", ""ur"")"),"جدید کھیل گٹکا میں، ٹیمیں اکثر پیشہ ورانہ اور متحد نظر کے لیے معیاری ٹریک سوٹ یا یونیفارم پہنتی ہیں، اور اس کی اجازت ہے۔")</f>
        <v>جدید کھیل گٹکا میں، ٹیمیں اکثر پیشہ ورانہ اور متحد نظر کے لیے معیاری ٹریک سوٹ یا یونیفارم پہنتی ہیں، اور اس کی اجازت ہے۔</v>
      </c>
    </row>
    <row r="40">
      <c r="A40" s="4">
        <v>39.0</v>
      </c>
      <c r="B40" s="5" t="s">
        <v>1760</v>
      </c>
      <c r="C40" s="5" t="s">
        <v>1761</v>
      </c>
      <c r="D40" s="5" t="s">
        <v>156</v>
      </c>
      <c r="E40" s="5" t="s">
        <v>1762</v>
      </c>
      <c r="J40" s="6" t="str">
        <f>IFERROR(__xludf.DUMMYFUNCTION("GOOGLETRANSLATE(A40, ""en"", ""ur"")"),"39")</f>
        <v>39</v>
      </c>
      <c r="K40" s="6" t="str">
        <f>IFERROR(__xludf.DUMMYFUNCTION("GOOGLETRANSLATE(B40, ""en"", ""ur"")"),"ایک کھلاڑی کو مخالف سے ""پیچھے موڑنے"" پر سزا دی جاتی ہے۔ یہ فضول کیوں ہے؟")</f>
        <v>ایک کھلاڑی کو مخالف سے "پیچھے موڑنے" پر سزا دی جاتی ہے۔ یہ فضول کیوں ہے؟</v>
      </c>
      <c r="L40" s="6" t="str">
        <f>IFERROR(__xludf.DUMMYFUNCTION("GOOGLETRANSLATE(C40, ""en"", ""ur"")"),"A) اسے بے عزتی اور بزدلانہ سمجھا جاتا ہے، B) یہ ایک غیر محفوظ، غیر جنگی پوزیشن ہے، C) یہ مخالف کے لیے قانونی ہدف پر حملہ کرنا ناممکن بنا دیتا ہے، D) مندرجہ بالا سبھی")</f>
        <v>A) اسے بے عزتی اور بزدلانہ سمجھا جاتا ہے، B) یہ ایک غیر محفوظ، غیر جنگی پوزیشن ہے، C) یہ مخالف کے لیے قانونی ہدف پر حملہ کرنا ناممکن بنا دیتا ہے، D) مندرجہ بالا سبھی</v>
      </c>
      <c r="M40" s="6" t="str">
        <f>IFERROR(__xludf.DUMMYFUNCTION("GOOGLETRANSLATE(D40, ""en"", ""ur"")"),"D) مذکورہ بالا تمام")</f>
        <v>D) مذکورہ بالا تمام</v>
      </c>
      <c r="N40" s="6" t="str">
        <f>IFERROR(__xludf.DUMMYFUNCTION("GOOGLETRANSLATE(E40, ""en"", ""ur"")"),"ایک کھلاڑی کو ہمیشہ اپنے مخالف کا سامنا کرنا چاہیے اور مشغول ہونے کے لیے تیار رہنا چاہیے۔ منہ موڑنا جنگی اصولوں اور روح کی سنگین خلاف ورزی ہے۔")</f>
        <v>ایک کھلاڑی کو ہمیشہ اپنے مخالف کا سامنا کرنا چاہیے اور مشغول ہونے کے لیے تیار رہنا چاہیے۔ منہ موڑنا جنگی اصولوں اور روح کی سنگین خلاف ورزی ہے۔</v>
      </c>
    </row>
    <row r="41">
      <c r="A41" s="4">
        <v>40.0</v>
      </c>
      <c r="B41" s="5" t="s">
        <v>1763</v>
      </c>
      <c r="C41" s="5" t="s">
        <v>1764</v>
      </c>
      <c r="D41" s="5" t="s">
        <v>1765</v>
      </c>
      <c r="E41" s="5" t="s">
        <v>1766</v>
      </c>
      <c r="J41" s="6" t="str">
        <f>IFERROR(__xludf.DUMMYFUNCTION("GOOGLETRANSLATE(A41, ""en"", ""ur"")"),"40")</f>
        <v>40</v>
      </c>
      <c r="K41" s="6" t="str">
        <f>IFERROR(__xludf.DUMMYFUNCTION("GOOGLETRANSLATE(B41, ""en"", ""ur"")"),"گٹکا میں ""سنت سپاہی"" (سینٹ سپاہی) کے آئیڈیل کا حتمی مقصد کیا ہے؟")</f>
        <v>گٹکا میں "سنت سپاہی" (سینٹ سپاہی) کے آئیڈیل کا حتمی مقصد کیا ہے؟</v>
      </c>
      <c r="L41" s="6" t="str">
        <f>IFERROR(__xludf.DUMMYFUNCTION("GOOGLETRANSLATE(C41, ""en"", ""ur"")"),"A) سب سے زیادہ خوفزدہ جنگجو بننا، B) روحانی روشن خیالی کی حالت حاصل کرنا اور انصاف کا محافظ بھی ہونا، C) ہر جنگ جیتنا، D) پیشہ ور سپاہی بننا")</f>
        <v>A) سب سے زیادہ خوفزدہ جنگجو بننا، B) روحانی روشن خیالی کی حالت حاصل کرنا اور انصاف کا محافظ بھی ہونا، C) ہر جنگ جیتنا، D) پیشہ ور سپاہی بننا</v>
      </c>
      <c r="M41" s="6" t="str">
        <f>IFERROR(__xludf.DUMMYFUNCTION("GOOGLETRANSLATE(D41, ""en"", ""ur"")"),"ب) انصاف کا محافظ ہونے کے ساتھ ساتھ روحانی روشن خیالی کی حالت حاصل کرنا")</f>
        <v>ب) انصاف کا محافظ ہونے کے ساتھ ساتھ روحانی روشن خیالی کی حالت حاصل کرنا</v>
      </c>
      <c r="N41" s="6" t="str">
        <f>IFERROR(__xludf.DUMMYFUNCTION("GOOGLETRANSLATE(E41, ""en"", ""ur"")"),"یہ خالصہ یودقا کا اعلیٰ ترین آئیڈیل ہے: ایک ایسا شخص جو گہری روحانیت اور اخلاقی کردار کو طاقت اور بے دفاعوں کا دفاع کرنے کی آمادگی کے ساتھ جوڑتا ہے۔")</f>
        <v>یہ خالصہ یودقا کا اعلیٰ ترین آئیڈیل ہے: ایک ایسا شخص جو گہری روحانیت اور اخلاقی کردار کو طاقت اور بے دفاعوں کا دفاع کرنے کی آمادگی کے ساتھ جوڑتا ہے۔</v>
      </c>
    </row>
    <row r="42">
      <c r="A42" s="4">
        <v>41.0</v>
      </c>
      <c r="B42" s="5" t="s">
        <v>1767</v>
      </c>
      <c r="C42" s="5" t="s">
        <v>1768</v>
      </c>
      <c r="D42" s="5" t="s">
        <v>1769</v>
      </c>
      <c r="E42" s="5" t="s">
        <v>1770</v>
      </c>
      <c r="J42" s="6" t="str">
        <f>IFERROR(__xludf.DUMMYFUNCTION("GOOGLETRANSLATE(A42, ""en"", ""ur"")"),"41")</f>
        <v>41</v>
      </c>
      <c r="K42" s="6" t="str">
        <f>IFERROR(__xludf.DUMMYFUNCTION("GOOGLETRANSLATE(B42, ""en"", ""ur"")"),"ایک لڑاکا میچ 15-5 سے جیتتا ہے۔ ریفری لڑائی روکتا ہے۔ یہ کس کی جیت ہے؟")</f>
        <v>ایک لڑاکا میچ 15-5 سے جیتتا ہے۔ ریفری لڑائی روکتا ہے۔ یہ کس کی جیت ہے؟</v>
      </c>
      <c r="L42" s="6" t="str">
        <f>IFERROR(__xludf.DUMMYFUNCTION("GOOGLETRANSLATE(C42, ""en"", ""ur"")"),"A) ناک آؤٹ، B) تکنیکی برتری، C) پوائنٹس پر جیت، D) نااہلی")</f>
        <v>A) ناک آؤٹ، B) تکنیکی برتری، C) پوائنٹس پر جیت، D) نااہلی</v>
      </c>
      <c r="M42" s="6" t="str">
        <f>IFERROR(__xludf.DUMMYFUNCTION("GOOGLETRANSLATE(D42, ""en"", ""ur"")"),"ب) تکنیکی برتری")</f>
        <v>ب) تکنیکی برتری</v>
      </c>
      <c r="N42" s="6" t="str">
        <f>IFERROR(__xludf.DUMMYFUNCTION("GOOGLETRANSLATE(E42, ""en"", ""ur"")"),"اگر کوئی لڑاکا 10 یا اس سے زیادہ پوائنٹس کی برتری حاصل کرتا ہے، تو میچ روک دیا جاتا ہے، اور انہیں ""تکنیکی برتری"" (رحم کا اصول) کے ذریعے فاتح قرار دیا جاتا ہے۔")</f>
        <v>اگر کوئی لڑاکا 10 یا اس سے زیادہ پوائنٹس کی برتری حاصل کرتا ہے، تو میچ روک دیا جاتا ہے، اور انہیں "تکنیکی برتری" (رحم کا اصول) کے ذریعے فاتح قرار دیا جاتا ہے۔</v>
      </c>
    </row>
    <row r="43">
      <c r="A43" s="4">
        <v>42.0</v>
      </c>
      <c r="B43" s="5" t="s">
        <v>1771</v>
      </c>
      <c r="C43" s="5" t="s">
        <v>1772</v>
      </c>
      <c r="D43" s="5" t="s">
        <v>1773</v>
      </c>
      <c r="E43" s="5" t="s">
        <v>1774</v>
      </c>
      <c r="J43" s="6" t="str">
        <f>IFERROR(__xludf.DUMMYFUNCTION("GOOGLETRANSLATE(A43, ""en"", ""ur"")"),"42")</f>
        <v>42</v>
      </c>
      <c r="K43" s="6" t="str">
        <f>IFERROR(__xludf.DUMMYFUNCTION("GOOGLETRANSLATE(B43, ""en"", ""ur"")"),"گروئن گارڈ کا بنیادی مقصد کیا ہے؟")</f>
        <v>گروئن گارڈ کا بنیادی مقصد کیا ہے؟</v>
      </c>
      <c r="L43" s="6" t="str">
        <f>IFERROR(__xludf.DUMMYFUNCTION("GOOGLETRANSLATE(C43, ""en"", ""ur"")"),"A) یہ یونیفارم کا روایتی حصہ ہے، B) یہ حادثاتی غیر قانونی حملوں سے بچانے کے لیے حفاظتی سامان کا ایک لازمی حصہ ہے، C) یہ بہتر توازن کے لیے وزن بڑھاتا ہے، D) یہ مرد جنگجوؤں کے لیے اختیاری ہے۔")</f>
        <v>A) یہ یونیفارم کا روایتی حصہ ہے، B) یہ حادثاتی غیر قانونی حملوں سے بچانے کے لیے حفاظتی سامان کا ایک لازمی حصہ ہے، C) یہ بہتر توازن کے لیے وزن بڑھاتا ہے، D) یہ مرد جنگجوؤں کے لیے اختیاری ہے۔</v>
      </c>
      <c r="M43" s="6" t="str">
        <f>IFERROR(__xludf.DUMMYFUNCTION("GOOGLETRANSLATE(D43, ""en"", ""ur"")"),"ب) حادثاتی غیر قانونی حملوں سے حفاظت کے لیے یہ حفاظتی سامان کا ایک لازمی حصہ ہے۔")</f>
        <v>ب) حادثاتی غیر قانونی حملوں سے حفاظت کے لیے یہ حفاظتی سامان کا ایک لازمی حصہ ہے۔</v>
      </c>
      <c r="N43" s="6" t="str">
        <f>IFERROR(__xludf.DUMMYFUNCTION("GOOGLETRANSLATE(E43, ""en"", ""ur"")"),"گروئن پروٹیکٹر جنگجوؤں کو خطرناک اور غیر قانونی ہدف والے علاقے میں حادثاتی حملوں سے بچانے کے لیے ضروری سامان ہے۔")</f>
        <v>گروئن پروٹیکٹر جنگجوؤں کو خطرناک اور غیر قانونی ہدف والے علاقے میں حادثاتی حملوں سے بچانے کے لیے ضروری سامان ہے۔</v>
      </c>
    </row>
    <row r="44">
      <c r="A44" s="4">
        <v>43.0</v>
      </c>
      <c r="B44" s="5" t="s">
        <v>1775</v>
      </c>
      <c r="C44" s="5" t="s">
        <v>1776</v>
      </c>
      <c r="D44" s="5" t="s">
        <v>1777</v>
      </c>
      <c r="E44" s="5" t="s">
        <v>1778</v>
      </c>
      <c r="J44" s="6" t="str">
        <f>IFERROR(__xludf.DUMMYFUNCTION("GOOGLETRANSLATE(A44, ""en"", ""ur"")"),"43")</f>
        <v>43</v>
      </c>
      <c r="K44" s="6" t="str">
        <f>IFERROR(__xludf.DUMMYFUNCTION("GOOGLETRANSLATE(B44, ""en"", ""ur"")"),"ایک ریفری سرخ کونے میں فائٹر کو ایک پوائنٹ دیتا ہے۔ وہ کونسا پرچم اٹھائیں گے؟")</f>
        <v>ایک ریفری سرخ کونے میں فائٹر کو ایک پوائنٹ دیتا ہے۔ وہ کونسا پرچم اٹھائیں گے؟</v>
      </c>
      <c r="L44" s="6" t="str">
        <f>IFERROR(__xludf.DUMMYFUNCTION("GOOGLETRANSLATE(C44, ""en"", ""ur"")"),"A) ایک سرخ پرچم، B) ایک نیلا جھنڈا، C) ایک پیلا جھنڈا، D) سبز پرچم")</f>
        <v>A) ایک سرخ پرچم، B) ایک نیلا جھنڈا، C) ایک پیلا جھنڈا، D) سبز پرچم</v>
      </c>
      <c r="M44" s="6" t="str">
        <f>IFERROR(__xludf.DUMMYFUNCTION("GOOGLETRANSLATE(D44, ""en"", ""ur"")"),"A) ایک سرخ پرچم")</f>
        <v>A) ایک سرخ پرچم</v>
      </c>
      <c r="N44" s="6" t="str">
        <f>IFERROR(__xludf.DUMMYFUNCTION("GOOGLETRANSLATE(E44, ""en"", ""ur"")"),"الجھن سے بچنے کے لیے، اہلکار ایسے جھنڈوں کا استعمال کرتے ہیں جو حریفوں کے نامزد کونے کے رنگوں سے ملتے ہیں۔")</f>
        <v>الجھن سے بچنے کے لیے، اہلکار ایسے جھنڈوں کا استعمال کرتے ہیں جو حریفوں کے نامزد کونے کے رنگوں سے ملتے ہیں۔</v>
      </c>
    </row>
    <row r="45">
      <c r="A45" s="4">
        <v>44.0</v>
      </c>
      <c r="B45" s="5" t="s">
        <v>1779</v>
      </c>
      <c r="C45" s="5" t="s">
        <v>1780</v>
      </c>
      <c r="D45" s="5" t="s">
        <v>1781</v>
      </c>
      <c r="E45" s="5" t="s">
        <v>1782</v>
      </c>
      <c r="J45" s="6" t="str">
        <f>IFERROR(__xludf.DUMMYFUNCTION("GOOGLETRANSLATE(A45, ""en"", ""ur"")"),"44")</f>
        <v>44</v>
      </c>
      <c r="K45" s="6" t="str">
        <f>IFERROR(__xludf.DUMMYFUNCTION("GOOGLETRANSLATE(B45, ""en"", ""ur"")"),"""بیر آسن"" کا موقف وسیع اور پست کیوں ہے؟")</f>
        <v>"بیر آسن" کا موقف وسیع اور پست کیوں ہے؟</v>
      </c>
      <c r="L45" s="6" t="str">
        <f>IFERROR(__xludf.DUMMYFUNCTION("GOOGLETRANSLATE(C45, ""en"", ""ur"")"),"A) کھلاڑی کو چھوٹا ہدف بنانے کے لیے، B) زیادہ سے زیادہ استحکام اور بجلی پیدا کرنے کے لیے مرکز ثقل کو کم کرنے کے لیے، C) یہ آرام کرنے کا موقف ہے، D) ٹانگوں کے پٹھوں کو کھینچنا")</f>
        <v>A) کھلاڑی کو چھوٹا ہدف بنانے کے لیے، B) زیادہ سے زیادہ استحکام اور بجلی پیدا کرنے کے لیے مرکز ثقل کو کم کرنے کے لیے، C) یہ آرام کرنے کا موقف ہے، D) ٹانگوں کے پٹھوں کو کھینچنا</v>
      </c>
      <c r="M45" s="6" t="str">
        <f>IFERROR(__xludf.DUMMYFUNCTION("GOOGLETRANSLATE(D45, ""en"", ""ur"")"),"ب) زیادہ سے زیادہ استحکام اور بجلی کی پیداوار کے لیے مرکز ثقل کو کم کرنا")</f>
        <v>ب) زیادہ سے زیادہ استحکام اور بجلی کی پیداوار کے لیے مرکز ثقل کو کم کرنا</v>
      </c>
      <c r="N45" s="6" t="str">
        <f>IFERROR(__xludf.DUMMYFUNCTION("GOOGLETRANSLATE(E45, ""en"", ""ur"")"),"ایک پست، زمینی موقف گٹکا میں تمام طاقت اور توازن کا ذریعہ ہے، دوسرے مارشل آرٹس کی طرح۔")</f>
        <v>ایک پست، زمینی موقف گٹکا میں تمام طاقت اور توازن کا ذریعہ ہے، دوسرے مارشل آرٹس کی طرح۔</v>
      </c>
    </row>
    <row r="46">
      <c r="A46" s="4">
        <v>45.0</v>
      </c>
      <c r="B46" s="5" t="s">
        <v>1783</v>
      </c>
      <c r="C46" s="5" t="s">
        <v>1784</v>
      </c>
      <c r="D46" s="5" t="s">
        <v>1785</v>
      </c>
      <c r="E46" s="5" t="s">
        <v>1786</v>
      </c>
      <c r="J46" s="6" t="str">
        <f>IFERROR(__xludf.DUMMYFUNCTION("GOOGLETRANSLATE(A46, ""en"", ""ur"")"),"45")</f>
        <v>45</v>
      </c>
      <c r="K46" s="6" t="str">
        <f>IFERROR(__xludf.DUMMYFUNCTION("GOOGLETRANSLATE(B46, ""en"", ""ur"")"),"ٹینڈنگ (میچ) اور سینی (فنکارانہ) زمروں میں بنیادی فرق کیا ہے؟")</f>
        <v>ٹینڈنگ (میچ) اور سینی (فنکارانہ) زمروں میں بنیادی فرق کیا ہے؟</v>
      </c>
      <c r="L46" s="6" t="str">
        <f>IFERROR(__xludf.DUMMYFUNCTION("GOOGLETRANSLATE(C46, ""en"", ""ur"")"),"A) کوئی فرق نہیں ہے، B) ٹینڈنگ مسابقتی جھگڑا ہے، جبکہ سینی کو فارم کی کارکردگی پر پرکھا جاتا ہے، C) سینی ہتھیاروں کا استعمال کرتا ہے، D) ٹینڈنگ صرف مردوں کے لیے ہے۔")</f>
        <v>A) کوئی فرق نہیں ہے، B) ٹینڈنگ مسابقتی جھگڑا ہے، جبکہ سینی کو فارم کی کارکردگی پر پرکھا جاتا ہے، C) سینی ہتھیاروں کا استعمال کرتا ہے، D) ٹینڈنگ صرف مردوں کے لیے ہے۔</v>
      </c>
      <c r="M46" s="6" t="str">
        <f>IFERROR(__xludf.DUMMYFUNCTION("GOOGLETRANSLATE(D46, ""en"", ""ur"")"),"ب) ٹینڈنگ مسابقتی جھگڑا ہے، جبکہ سینی کو فارم کی کارکردگی پر پرکھا جاتا ہے۔")</f>
        <v>ب) ٹینڈنگ مسابقتی جھگڑا ہے، جبکہ سینی کو فارم کی کارکردگی پر پرکھا جاتا ہے۔</v>
      </c>
      <c r="N46" s="6" t="str">
        <f>IFERROR(__xludf.DUMMYFUNCTION("GOOGLETRANSLATE(E46, ""en"", ""ur"")"),"یہ مقابلے کی دو اہم شاخیں ہیں: ایک لڑائی اور اسکورنگ پر مرکوز، دوسری کوریوگراف شدہ معمولات کی جمالیاتی اور تکنیکی کمال پر۔")</f>
        <v>یہ مقابلے کی دو اہم شاخیں ہیں: ایک لڑائی اور اسکورنگ پر مرکوز، دوسری کوریوگراف شدہ معمولات کی جمالیاتی اور تکنیکی کمال پر۔</v>
      </c>
    </row>
    <row r="47">
      <c r="A47" s="4">
        <v>46.0</v>
      </c>
      <c r="B47" s="5" t="s">
        <v>1787</v>
      </c>
      <c r="C47" s="5" t="s">
        <v>1788</v>
      </c>
      <c r="D47" s="5" t="s">
        <v>1789</v>
      </c>
      <c r="E47" s="5" t="s">
        <v>1790</v>
      </c>
      <c r="J47" s="6" t="str">
        <f>IFERROR(__xludf.DUMMYFUNCTION("GOOGLETRANSLATE(A47, ""en"", ""ur"")"),"46")</f>
        <v>46</v>
      </c>
      <c r="K47" s="6" t="str">
        <f>IFERROR(__xludf.DUMMYFUNCTION("GOOGLETRANSLATE(B47, ""en"", ""ur"")"),"ایک جنگجو کو مخالف کی وردی پکڑنے پر سزا دی جاتی ہے۔ کیا یہ صحیح کال ہے؟")</f>
        <v>ایک جنگجو کو مخالف کی وردی پکڑنے پر سزا دی جاتی ہے۔ کیا یہ صحیح کال ہے؟</v>
      </c>
      <c r="L47" s="6" t="str">
        <f>IFERROR(__xludf.DUMMYFUNCTION("GOOGLETRANSLATE(C47, ""en"", ""ur"")"),"A) نہیں، وردی کو تھامے رکھنے کی اجازت ہے، B) ہاں، مخالف کے کپڑے کو پکڑنا غیر قانونی طور پر پکڑنا ہے، C) صرف اس صورت میں جب وردی پھوٹ جائے، D) ہاں، لیکن صرف اس صورت میں جب اسے 5 سیکنڈ سے زیادہ روکا جائے۔")</f>
        <v>A) نہیں، وردی کو تھامے رکھنے کی اجازت ہے، B) ہاں، مخالف کے کپڑے کو پکڑنا غیر قانونی طور پر پکڑنا ہے، C) صرف اس صورت میں جب وردی پھوٹ جائے، D) ہاں، لیکن صرف اس صورت میں جب اسے 5 سیکنڈ سے زیادہ روکا جائے۔</v>
      </c>
      <c r="M47" s="6" t="str">
        <f>IFERROR(__xludf.DUMMYFUNCTION("GOOGLETRANSLATE(D47, ""en"", ""ur"")"),"ب) جی ہاں، مخالف کے لباس کو پکڑنا غیر قانونی انعقاد کی ایک شکل ہے۔")</f>
        <v>ب) جی ہاں، مخالف کے لباس کو پکڑنا غیر قانونی انعقاد کی ایک شکل ہے۔</v>
      </c>
      <c r="N47" s="6" t="str">
        <f>IFERROR(__xludf.DUMMYFUNCTION("GOOGLETRANSLATE(E47, ""en"", ""ur"")"),"ایک کھلاڑی حریف کو کنٹرول کرنے یا غیر منصفانہ فائدہ اٹھانے کے لیے یونیفارم نہیں پکڑ سکتا۔")</f>
        <v>ایک کھلاڑی حریف کو کنٹرول کرنے یا غیر منصفانہ فائدہ اٹھانے کے لیے یونیفارم نہیں پکڑ سکتا۔</v>
      </c>
    </row>
    <row r="48">
      <c r="A48" s="4">
        <v>47.0</v>
      </c>
      <c r="B48" s="5" t="s">
        <v>1791</v>
      </c>
      <c r="C48" s="5" t="s">
        <v>1792</v>
      </c>
      <c r="D48" s="5" t="s">
        <v>1793</v>
      </c>
      <c r="E48" s="5" t="s">
        <v>1794</v>
      </c>
      <c r="J48" s="6" t="str">
        <f>IFERROR(__xludf.DUMMYFUNCTION("GOOGLETRANSLATE(A48, ""en"", ""ur"")"),"47")</f>
        <v>47</v>
      </c>
      <c r="K48" s="6" t="str">
        <f>IFERROR(__xludf.DUMMYFUNCTION("GOOGLETRANSLATE(B48, ""en"", ""ur"")"),"سیاہ یونیفارم کی کیا اہمیت ہے جو کچھ پیسلیٹ پہنتے ہیں؟")</f>
        <v>سیاہ یونیفارم کی کیا اہمیت ہے جو کچھ پیسلیٹ پہنتے ہیں؟</v>
      </c>
      <c r="L48" s="6" t="str">
        <f>IFERROR(__xludf.DUMMYFUNCTION("GOOGLETRANSLATE(C48, ""en"", ""ur"")"),"A) یہ سب سے سستا رنگ ہے، B) یہ ایک روایتی رنگ ہے جو حکمت اور اندرونی طاقت کی علامت ہے، C) یہ ایک جدید فیشن پسند ہے، D) یہ تمام مقابلوں کے لیے ضروری ہے۔")</f>
        <v>A) یہ سب سے سستا رنگ ہے، B) یہ ایک روایتی رنگ ہے جو حکمت اور اندرونی طاقت کی علامت ہے، C) یہ ایک جدید فیشن پسند ہے، D) یہ تمام مقابلوں کے لیے ضروری ہے۔</v>
      </c>
      <c r="M48" s="6" t="str">
        <f>IFERROR(__xludf.DUMMYFUNCTION("GOOGLETRANSLATE(D48, ""en"", ""ur"")"),"ب) یہ ایک روایتی رنگ ہے جو حکمت اور اندرونی طاقت کی علامت ہے۔")</f>
        <v>ب) یہ ایک روایتی رنگ ہے جو حکمت اور اندرونی طاقت کی علامت ہے۔</v>
      </c>
      <c r="N48" s="6" t="str">
        <f>IFERROR(__xludf.DUMMYFUNCTION("GOOGLETRANSLATE(E48, ""en"", ""ur"")"),"بہت سے سیلات اسکولوں میں سیاہ لباس کے گہرے فلسفیانہ معنی ہیں، جو فن کی گہرائی کو ظاہر کرتے ہیں۔ تصحیح: یہ ایک Pencak Silat سوال ہے۔")</f>
        <v>بہت سے سیلات اسکولوں میں سیاہ لباس کے گہرے فلسفیانہ معنی ہیں، جو فن کی گہرائی کو ظاہر کرتے ہیں۔ تصحیح: یہ ایک Pencak Silat سوال ہے۔</v>
      </c>
    </row>
    <row r="49">
      <c r="A49" s="4">
        <v>48.0</v>
      </c>
      <c r="B49" s="5" t="s">
        <v>1795</v>
      </c>
      <c r="C49" s="5" t="s">
        <v>1796</v>
      </c>
      <c r="D49" s="5" t="s">
        <v>1797</v>
      </c>
      <c r="E49" s="5" t="s">
        <v>1798</v>
      </c>
      <c r="J49" s="6" t="str">
        <f>IFERROR(__xludf.DUMMYFUNCTION("GOOGLETRANSLATE(A49, ""en"", ""ur"")"),"48")</f>
        <v>48</v>
      </c>
      <c r="K49" s="6" t="str">
        <f>IFERROR(__xludf.DUMMYFUNCTION("GOOGLETRANSLATE(B49, ""en"", ""ur"")"),"ایک ریفری ایک ہی وقت میں سرخ اور نیلے دونوں جھنڈے اٹھاتا ہے۔ اس سے کیا مراد ہے؟")</f>
        <v>ایک ریفری ایک ہی وقت میں سرخ اور نیلے دونوں جھنڈے اٹھاتا ہے۔ اس سے کیا مراد ہے؟</v>
      </c>
      <c r="L49" s="6" t="str">
        <f>IFERROR(__xludf.DUMMYFUNCTION("GOOGLETRANSLATE(C49, ""en"", ""ur"")"),"A) میچ کا اختتام، B) دونوں جنگجوؤں کے لیے ایک انتباہ، C) دونوں جنگجوؤں کی طرف سے بیک وقت، درست ہڑتال (کوئی اسکور نہیں)، D) طبی وقت ختم")</f>
        <v>A) میچ کا اختتام، B) دونوں جنگجوؤں کے لیے ایک انتباہ، C) دونوں جنگجوؤں کی طرف سے بیک وقت، درست ہڑتال (کوئی اسکور نہیں)، D) طبی وقت ختم</v>
      </c>
      <c r="M49" s="6" t="str">
        <f>IFERROR(__xludf.DUMMYFUNCTION("GOOGLETRANSLATE(D49, ""en"", ""ur"")"),"C) دونوں جنگجوؤں کی طرف سے بیک وقت، درست ہڑتال (کوئی اسکور نہیں)")</f>
        <v>C) دونوں جنگجوؤں کی طرف سے بیک وقت، درست ہڑتال (کوئی اسکور نہیں)</v>
      </c>
      <c r="N49" s="6" t="str">
        <f>IFERROR(__xludf.DUMMYFUNCTION("GOOGLETRANSLATE(E49, ""en"", ""ur"")"),"یہ سگنل اس بات کی نشاندہی کرنے کے لیے استعمال کیا جاتا ہے کہ دونوں جنگجوؤں نے ایک ہی وقت میں اسکور کیا، جس سے تبادلے کو ختم کر دیا جاتا ہے، اور کوئی پوائنٹ نہیں دیا جاتا ہے۔")</f>
        <v>یہ سگنل اس بات کی نشاندہی کرنے کے لیے استعمال کیا جاتا ہے کہ دونوں جنگجوؤں نے ایک ہی وقت میں اسکور کیا، جس سے تبادلے کو ختم کر دیا جاتا ہے، اور کوئی پوائنٹ نہیں دیا جاتا ہے۔</v>
      </c>
    </row>
    <row r="50">
      <c r="A50" s="4">
        <v>49.0</v>
      </c>
      <c r="B50" s="5" t="s">
        <v>1799</v>
      </c>
      <c r="C50" s="5" t="s">
        <v>1800</v>
      </c>
      <c r="D50" s="5" t="s">
        <v>156</v>
      </c>
      <c r="E50" s="5" t="s">
        <v>1801</v>
      </c>
      <c r="J50" s="6" t="str">
        <f>IFERROR(__xludf.DUMMYFUNCTION("GOOGLETRANSLATE(A50, ""en"", ""ur"")"),"49")</f>
        <v>49</v>
      </c>
      <c r="K50" s="6" t="str">
        <f>IFERROR(__xludf.DUMMYFUNCTION("GOOGLETRANSLATE(B50, ""en"", ""ur"")"),"مخالف کو غیر ضروری طور پر نقصان نہ پہنچانے کا فلسفہ کس ٹینڈنگ اصول میں جھلکتا ہے؟")</f>
        <v>مخالف کو غیر ضروری طور پر نقصان نہ پہنچانے کا فلسفہ کس ٹینڈنگ اصول میں جھلکتا ہے؟</v>
      </c>
      <c r="L50" s="6" t="str">
        <f>IFERROR(__xludf.DUMMYFUNCTION("GOOGLETRANSLATE(C50, ""en"", ""ur"")"),"A) ہلکے چھونے کے لئے پوائنٹس کا انعام، B) ضرورت سے زیادہ طاقت اور غیر قانونی اہداف کی سزا، C) بھاری حفاظتی پوشاک کی ضرورت، D) مندرجہ بالا سبھی")</f>
        <v>A) ہلکے چھونے کے لئے پوائنٹس کا انعام، B) ضرورت سے زیادہ طاقت اور غیر قانونی اہداف کی سزا، C) بھاری حفاظتی پوشاک کی ضرورت، D) مندرجہ بالا سبھی</v>
      </c>
      <c r="M50" s="6" t="str">
        <f>IFERROR(__xludf.DUMMYFUNCTION("GOOGLETRANSLATE(D50, ""en"", ""ur"")"),"D) مذکورہ بالا تمام")</f>
        <v>D) مذکورہ بالا تمام</v>
      </c>
      <c r="N50" s="6" t="str">
        <f>IFERROR(__xludf.DUMMYFUNCTION("GOOGLETRANSLATE(E50, ""en"", ""ur"")"),"گٹکا کھیل کا پورا فریم ورک، اس کے اسکورنگ سے لے کر اس کے جرمانے اور حفاظتی سامان تک، چوٹ کو کم سے کم کرتے ہوئے مقابلے کی اجازت دینے کے لیے ڈیزائن کیا گیا ہے۔")</f>
        <v>گٹکا کھیل کا پورا فریم ورک، اس کے اسکورنگ سے لے کر اس کے جرمانے اور حفاظتی سامان تک، چوٹ کو کم سے کم کرتے ہوئے مقابلے کی اجازت دینے کے لیے ڈیزائن کیا گیا ہے۔</v>
      </c>
    </row>
    <row r="51">
      <c r="A51" s="4">
        <v>50.0</v>
      </c>
      <c r="B51" s="5" t="s">
        <v>1802</v>
      </c>
      <c r="C51" s="5" t="s">
        <v>1803</v>
      </c>
      <c r="D51" s="5" t="s">
        <v>1804</v>
      </c>
      <c r="E51" s="5" t="s">
        <v>1805</v>
      </c>
      <c r="J51" s="6" t="str">
        <f>IFERROR(__xludf.DUMMYFUNCTION("GOOGLETRANSLATE(A51, ""en"", ""ur"")"),"50")</f>
        <v>50</v>
      </c>
      <c r="K51" s="6" t="str">
        <f>IFERROR(__xludf.DUMMYFUNCTION("GOOGLETRANSLATE(B51, ""en"", ""ur"")"),"ایک فائٹر فائنل میچ جیت کر قومی چیمپئن بن جاتا ہے۔ ""سانت سپاہی"" کے فلسفے کے مطابق ان کی حتمی ذمہ داری کیا ہے؟")</f>
        <v>ایک فائٹر فائنل میچ جیت کر قومی چیمپئن بن جاتا ہے۔ "سانت سپاہی" کے فلسفے کے مطابق ان کی حتمی ذمہ داری کیا ہے؟</v>
      </c>
      <c r="L51" s="6" t="str">
        <f>IFERROR(__xludf.DUMMYFUNCTION("GOOGLETRANSLATE(C51, ""en"", ""ur"")"),"A) دوسرے تمام چیلنجرز کو شکست دینے کے لیے، B) ایک رول ماڈل اور آرٹ کی عظیم اقدار کے سفیر کے طور پر کام کرنا، C) اپنا اسکول کھولنا اور پیسہ کمانا، D) کھیل سے فوری طور پر ریٹائر ہونا")</f>
        <v>A) دوسرے تمام چیلنجرز کو شکست دینے کے لیے، B) ایک رول ماڈل اور آرٹ کی عظیم اقدار کے سفیر کے طور پر کام کرنا، C) اپنا اسکول کھولنا اور پیسہ کمانا، D) کھیل سے فوری طور پر ریٹائر ہونا</v>
      </c>
      <c r="M51" s="6" t="str">
        <f>IFERROR(__xludf.DUMMYFUNCTION("GOOGLETRANSLATE(D51, ""en"", ""ur"")"),"ب) ایک رول ماڈل اور آرٹ کی اعلیٰ اقدار کے سفیر کے طور پر کام کرنا")</f>
        <v>ب) ایک رول ماڈل اور آرٹ کی اعلیٰ اقدار کے سفیر کے طور پر کام کرنا</v>
      </c>
      <c r="N51" s="6" t="str">
        <f>IFERROR(__xludf.DUMMYFUNCTION("GOOGLETRANSLATE(E51, ""en"", ""ur"")"),"ایک حقیقی چیمپیئن سے توقع کی جاتی ہے کہ وہ پیسیلیٹ (پریکٹیشنر) کے اخلاقی اصولوں کو مجسم کرے، جیسے عاجزی، احترام اور حکمت۔")</f>
        <v>ایک حقیقی چیمپیئن سے توقع کی جاتی ہے کہ وہ پیسیلیٹ (پریکٹیشنر) کے اخلاقی اصولوں کو مجسم کرے، جیسے عاجزی، احترام اور حکمت۔</v>
      </c>
    </row>
    <row r="52">
      <c r="A52" s="4">
        <v>51.0</v>
      </c>
      <c r="B52" s="5" t="s">
        <v>1806</v>
      </c>
      <c r="C52" s="5" t="s">
        <v>1807</v>
      </c>
      <c r="D52" s="5" t="s">
        <v>1808</v>
      </c>
      <c r="E52" s="5" t="s">
        <v>1809</v>
      </c>
      <c r="J52" s="6" t="str">
        <f>IFERROR(__xludf.DUMMYFUNCTION("GOOGLETRANSLATE(A52, ""en"", ""ur"")"),"51")</f>
        <v>51</v>
      </c>
      <c r="K52" s="6" t="str">
        <f>IFERROR(__xludf.DUMMYFUNCTION("GOOGLETRANSLATE(B52, ""en"", ""ur"")"),"ایک کھلاڑی کو ""لات مارنے"" کی سزا دی جاتی ہے۔ کیا یہ صحیح کال ہے؟")</f>
        <v>ایک کھلاڑی کو "لات مارنے" کی سزا دی جاتی ہے۔ کیا یہ صحیح کال ہے؟</v>
      </c>
      <c r="L52" s="6" t="str">
        <f>IFERROR(__xludf.DUMMYFUNCTION("GOOGLETRANSLATE(C52, ""en"", ""ur"")"),"A) نہیں، گٹکا میں لات مارنے کی اجازت ہے، B) جی ہاں، گٹکا ہتھیاروں پر مبنی فن ہے اور اس میں ککس کا استعمال نہیں ہوتا ہے، C) کک کی اجازت ہے، لیکن پوائنٹس نہیں بنائیں، D) صرف کم لاتوں کی اجازت ہے۔")</f>
        <v>A) نہیں، گٹکا میں لات مارنے کی اجازت ہے، B) جی ہاں، گٹکا ہتھیاروں پر مبنی فن ہے اور اس میں ککس کا استعمال نہیں ہوتا ہے، C) کک کی اجازت ہے، لیکن پوائنٹس نہیں بنائیں، D) صرف کم لاتوں کی اجازت ہے۔</v>
      </c>
      <c r="M52" s="6" t="str">
        <f>IFERROR(__xludf.DUMMYFUNCTION("GOOGLETRANSLATE(D52, ""en"", ""ur"")"),"ب) جی ہاں، گٹکا ہتھیاروں پر مبنی فن ہے اور اس میں لاتیں استعمال نہیں ہوتی ہیں۔")</f>
        <v>ب) جی ہاں، گٹکا ہتھیاروں پر مبنی فن ہے اور اس میں لاتیں استعمال نہیں ہوتی ہیں۔</v>
      </c>
      <c r="N52" s="6" t="str">
        <f>IFERROR(__xludf.DUMMYFUNCTION("GOOGLETRANSLATE(E52, ""en"", ""ur"")"),"گٹکا لاٹھی اور تلوار کی لڑائی کی ایک شکل ہے۔ حریف کو مارنے کے لیے ہاتھ یا پاؤں کا استعمال کھیل کے ورژن میں غلط ہے۔")</f>
        <v>گٹکا لاٹھی اور تلوار کی لڑائی کی ایک شکل ہے۔ حریف کو مارنے کے لیے ہاتھ یا پاؤں کا استعمال کھیل کے ورژن میں غلط ہے۔</v>
      </c>
    </row>
    <row r="53">
      <c r="A53" s="4">
        <v>52.0</v>
      </c>
      <c r="B53" s="5" t="s">
        <v>1810</v>
      </c>
      <c r="C53" s="5" t="s">
        <v>1811</v>
      </c>
      <c r="D53" s="5" t="s">
        <v>1812</v>
      </c>
      <c r="E53" s="5" t="s">
        <v>1813</v>
      </c>
      <c r="J53" s="6" t="str">
        <f>IFERROR(__xludf.DUMMYFUNCTION("GOOGLETRANSLATE(A53, ""en"", ""ur"")"),"52")</f>
        <v>52</v>
      </c>
      <c r="K53" s="6" t="str">
        <f>IFERROR(__xludf.DUMMYFUNCTION("GOOGLETRANSLATE(B53, ""en"", ""ur"")"),"ٹیم ایونٹ میں، جیتنے والی ٹیم کا تعین کیسے ہوتا ہے؟")</f>
        <v>ٹیم ایونٹ میں، جیتنے والی ٹیم کا تعین کیسے ہوتا ہے؟</v>
      </c>
      <c r="L53" s="6" t="str">
        <f>IFERROR(__xludf.DUMMYFUNCTION("GOOGLETRANSLATE(C53, ""en"", ""ur"")"),"A) تمام انفرادی میچوں کے اسکور ایک ساتھ جوڑے جاتے ہیں، B) سب سے زیادہ انفرادی میچ جیتنے والی ٹیم جیت جاتی ہے، C) ایک ٹیم کا سکور رکھا جاتا ہے، D) ٹیم کے کپتان کا سکور دگنا ہوتا ہے۔")</f>
        <v>A) تمام انفرادی میچوں کے اسکور ایک ساتھ جوڑے جاتے ہیں، B) سب سے زیادہ انفرادی میچ جیتنے والی ٹیم جیت جاتی ہے، C) ایک ٹیم کا سکور رکھا جاتا ہے، D) ٹیم کے کپتان کا سکور دگنا ہوتا ہے۔</v>
      </c>
      <c r="M53" s="6" t="str">
        <f>IFERROR(__xludf.DUMMYFUNCTION("GOOGLETRANSLATE(D53, ""en"", ""ur"")"),"ب) سب سے زیادہ انفرادی میچ جیتنے والی ٹیم جیت جاتی ہے۔")</f>
        <v>ب) سب سے زیادہ انفرادی میچ جیتنے والی ٹیم جیت جاتی ہے۔</v>
      </c>
      <c r="N53" s="6" t="str">
        <f>IFERROR(__xludf.DUMMYFUNCTION("GOOGLETRANSLATE(E53, ""en"", ""ur"")"),"ایک ٹیم ایونٹ ون آن ون باؤٹس کا ایک سلسلہ ہے۔ انفرادی فتوحات کی اکثریت حاصل کرنے والی ٹیم مجموعی میچ جیت جاتی ہے۔")</f>
        <v>ایک ٹیم ایونٹ ون آن ون باؤٹس کا ایک سلسلہ ہے۔ انفرادی فتوحات کی اکثریت حاصل کرنے والی ٹیم مجموعی میچ جیت جاتی ہے۔</v>
      </c>
    </row>
    <row r="54">
      <c r="A54" s="4">
        <v>53.0</v>
      </c>
      <c r="B54" s="5" t="s">
        <v>1814</v>
      </c>
      <c r="C54" s="5" t="s">
        <v>1815</v>
      </c>
      <c r="D54" s="5" t="s">
        <v>1816</v>
      </c>
      <c r="E54" s="5" t="s">
        <v>1667</v>
      </c>
      <c r="J54" s="6" t="str">
        <f>IFERROR(__xludf.DUMMYFUNCTION("GOOGLETRANSLATE(A54, ""en"", ""ur"")"),"53")</f>
        <v>53</v>
      </c>
      <c r="K54" s="6" t="str">
        <f>IFERROR(__xludf.DUMMYFUNCTION("GOOGLETRANSLATE(B54, ""en"", ""ur"")"),"گٹکا کی کچھ تربیتی چھڑیوں پر چمڑے کی ٹوکری کا کیا مقصد ہے؟")</f>
        <v>گٹکا کی کچھ تربیتی چھڑیوں پر چمڑے کی ٹوکری کا کیا مقصد ہے؟</v>
      </c>
      <c r="L54" s="6" t="str">
        <f>IFERROR(__xludf.DUMMYFUNCTION("GOOGLETRANSLATE(C54, ""en"", ""ur"")"),"A) یہ سجاوٹ کے لیے ہے، B) کھلاڑی کے ہاتھ کو ضربوں سے بچانے کے لیے، C) چھڑی میں وزن ڈالنے کے لیے، D) گرفت کو بہتر بنانے کے لیے")</f>
        <v>A) یہ سجاوٹ کے لیے ہے، B) کھلاڑی کے ہاتھ کو ضربوں سے بچانے کے لیے، C) چھڑی میں وزن ڈالنے کے لیے، D) گرفت کو بہتر بنانے کے لیے</v>
      </c>
      <c r="M54" s="6" t="str">
        <f>IFERROR(__xludf.DUMMYFUNCTION("GOOGLETRANSLATE(D54, ""en"", ""ur"")"),"ب) کھلاڑی کے ہاتھ کو حملوں سے بچانے کے لیے")</f>
        <v>ب) کھلاڑی کے ہاتھ کو حملوں سے بچانے کے لیے</v>
      </c>
      <c r="N54" s="6" t="str">
        <f>IFERROR(__xludf.DUMMYFUNCTION("GOOGLETRANSLATE(E54, ""en"", ""ur"")"),"ٹوکری ہلٹ حفاظتی سازوسامان کا ایک اہم ٹکڑا ہے جو ہنگامہ آرائی کے دوران ہاتھ اور پیروں کو براہ راست مار سے بچاتا ہے۔")</f>
        <v>ٹوکری ہلٹ حفاظتی سازوسامان کا ایک اہم ٹکڑا ہے جو ہنگامہ آرائی کے دوران ہاتھ اور پیروں کو براہ راست مار سے بچاتا ہے۔</v>
      </c>
    </row>
    <row r="55">
      <c r="A55" s="4">
        <v>54.0</v>
      </c>
      <c r="B55" s="5" t="s">
        <v>1817</v>
      </c>
      <c r="C55" s="5" t="s">
        <v>1818</v>
      </c>
      <c r="D55" s="5" t="s">
        <v>1382</v>
      </c>
      <c r="E55" s="5" t="s">
        <v>1819</v>
      </c>
      <c r="J55" s="6" t="str">
        <f>IFERROR(__xludf.DUMMYFUNCTION("GOOGLETRANSLATE(A55, ""en"", ""ur"")"),"54")</f>
        <v>54</v>
      </c>
      <c r="K55" s="6" t="str">
        <f>IFERROR(__xludf.DUMMYFUNCTION("GOOGLETRANSLATE(B55, ""en"", ""ur"")"),"ایک کھلاڑی گھومنے والا حملہ (گھمن) کر رہا ہے۔ ان کی بنیادی دفاعی کمزوری کیا ہے؟")</f>
        <v>ایک کھلاڑی گھومنے والا حملہ (گھمن) کر رہا ہے۔ ان کی بنیادی دفاعی کمزوری کیا ہے؟</v>
      </c>
      <c r="L55" s="6" t="str">
        <f>IFERROR(__xludf.DUMMYFUNCTION("GOOGLETRANSLATE(C55, ""en"", ""ur"")"),"A) ان کی ٹانگیں کھلی ہوئی ہیں، B) وہ چکرا سکتے ہیں اور توازن کھو سکتے ہیں، C) ان کی پیٹھ مختصر طور پر مخالف کی طرف ہے، D) B اور C دونوں")</f>
        <v>A) ان کی ٹانگیں کھلی ہوئی ہیں، B) وہ چکرا سکتے ہیں اور توازن کھو سکتے ہیں، C) ان کی پیٹھ مختصر طور پر مخالف کی طرف ہے، D) B اور C دونوں</v>
      </c>
      <c r="M55" s="6" t="str">
        <f>IFERROR(__xludf.DUMMYFUNCTION("GOOGLETRANSLATE(D55, ""en"", ""ur"")"),"D) B اور C دونوں")</f>
        <v>D) B اور C دونوں</v>
      </c>
      <c r="N55" s="6" t="str">
        <f>IFERROR(__xludf.DUMMYFUNCTION("GOOGLETRANSLATE(E55, ""en"", ""ur"")"),"گھومنے والے حملے طاقتور لیکن پرخطر ہوتے ہیں، کیونکہ وہ بدگمانی کا باعث بن سکتے ہیں اور ایک ہنر مند حریف کے لیے ایک لمحاتی دفاعی آغاز کر سکتے ہیں۔")</f>
        <v>گھومنے والے حملے طاقتور لیکن پرخطر ہوتے ہیں، کیونکہ وہ بدگمانی کا باعث بن سکتے ہیں اور ایک ہنر مند حریف کے لیے ایک لمحاتی دفاعی آغاز کر سکتے ہیں۔</v>
      </c>
    </row>
    <row r="56">
      <c r="A56" s="4">
        <v>55.0</v>
      </c>
      <c r="B56" s="5" t="s">
        <v>1820</v>
      </c>
      <c r="C56" s="5" t="s">
        <v>1821</v>
      </c>
      <c r="D56" s="5" t="s">
        <v>1822</v>
      </c>
      <c r="E56" s="5" t="s">
        <v>1823</v>
      </c>
      <c r="J56" s="6" t="str">
        <f>IFERROR(__xludf.DUMMYFUNCTION("GOOGLETRANSLATE(A56, ""en"", ""ur"")"),"55")</f>
        <v>55</v>
      </c>
      <c r="K56" s="6" t="str">
        <f>IFERROR(__xludf.DUMMYFUNCTION("GOOGLETRANSLATE(B56, ""en"", ""ur"")"),"گٹکا میں سب سے بنیادی دفاعی بلاک کا نام کیا ہے؟")</f>
        <v>گٹکا میں سب سے بنیادی دفاعی بلاک کا نام کیا ہے؟</v>
      </c>
      <c r="L56" s="6" t="str">
        <f>IFERROR(__xludf.DUMMYFUNCTION("GOOGLETRANSLATE(C56, ""en"", ""ur"")"),"A) روک، B) ڈھل، C) ور، D) ہملہ")</f>
        <v>A) روک، B) ڈھل، C) ور، D) ہملہ</v>
      </c>
      <c r="M56" s="6" t="str">
        <f>IFERROR(__xludf.DUMMYFUNCTION("GOOGLETRANSLATE(D56, ""en"", ""ur"")"),"A) روک")</f>
        <v>A) روک</v>
      </c>
      <c r="N56" s="6" t="str">
        <f>IFERROR(__xludf.DUMMYFUNCTION("GOOGLETRANSLATE(E56, ""en"", ""ur"")"),"روک ایک آنے والی ہڑتال کو اپنے ہتھیار سے روکنے کی بنیادی تکنیک ہے۔")</f>
        <v>روک ایک آنے والی ہڑتال کو اپنے ہتھیار سے روکنے کی بنیادی تکنیک ہے۔</v>
      </c>
    </row>
    <row r="57">
      <c r="A57" s="4">
        <v>56.0</v>
      </c>
      <c r="B57" s="5" t="s">
        <v>1824</v>
      </c>
      <c r="C57" s="5" t="s">
        <v>1825</v>
      </c>
      <c r="D57" s="5" t="s">
        <v>1826</v>
      </c>
      <c r="E57" s="5" t="s">
        <v>1827</v>
      </c>
      <c r="J57" s="6" t="str">
        <f>IFERROR(__xludf.DUMMYFUNCTION("GOOGLETRANSLATE(A57, ""en"", ""ur"")"),"56")</f>
        <v>56</v>
      </c>
      <c r="K57" s="6" t="str">
        <f>IFERROR(__xludf.DUMMYFUNCTION("GOOGLETRANSLATE(B57, ""en"", ""ur"")"),"ایک کھلاڑی غلطی سے اپنی چھڑی سے ریفری کو مارتا ہے۔ ممکنہ نتیجہ کیا ہے؟")</f>
        <v>ایک کھلاڑی غلطی سے اپنی چھڑی سے ریفری کو مارتا ہے۔ ممکنہ نتیجہ کیا ہے؟</v>
      </c>
      <c r="L57" s="6" t="str">
        <f>IFERROR(__xludf.DUMMYFUNCTION("GOOGLETRANSLATE(C57, ""en"", ""ur"")"),"A) کھلاڑی کو فوری طور پر نااہل قرار دیا جاتا ہے، B) ریفری کنٹرول نہ ہونے پر وارننگ جاری کرتا ہے، C) میچ جاری رہتا ہے، D) مخالف کو ایک پوائنٹ ملتا ہے۔")</f>
        <v>A) کھلاڑی کو فوری طور پر نااہل قرار دیا جاتا ہے، B) ریفری کنٹرول نہ ہونے پر وارننگ جاری کرتا ہے، C) میچ جاری رہتا ہے، D) مخالف کو ایک پوائنٹ ملتا ہے۔</v>
      </c>
      <c r="M57" s="6" t="str">
        <f>IFERROR(__xludf.DUMMYFUNCTION("GOOGLETRANSLATE(D57, ""en"", ""ur"")"),"ب) ریفری کنٹرول کی کمی کے لئے ایک انتباہ جاری کرتا ہے۔")</f>
        <v>ب) ریفری کنٹرول کی کمی کے لئے ایک انتباہ جاری کرتا ہے۔</v>
      </c>
      <c r="N57" s="6" t="str">
        <f>IFERROR(__xludf.DUMMYFUNCTION("GOOGLETRANSLATE(E57, ""en"", ""ur"")"),"حادثاتی طور پر، ایک کھلاڑی ہر وقت اپنے ہتھیار کے لیے ذمہ دار ہوتا ہے۔ ریفری میچ کو روک دے گا اور خطرناک کھیل کے لیے وارننگ جاری کرے گا۔")</f>
        <v>حادثاتی طور پر، ایک کھلاڑی ہر وقت اپنے ہتھیار کے لیے ذمہ دار ہوتا ہے۔ ریفری میچ کو روک دے گا اور خطرناک کھیل کے لیے وارننگ جاری کرے گا۔</v>
      </c>
    </row>
    <row r="58">
      <c r="A58" s="4">
        <v>57.0</v>
      </c>
      <c r="B58" s="5" t="s">
        <v>1828</v>
      </c>
      <c r="C58" s="5" t="s">
        <v>1829</v>
      </c>
      <c r="D58" s="5" t="s">
        <v>1830</v>
      </c>
      <c r="E58" s="5" t="s">
        <v>1831</v>
      </c>
      <c r="J58" s="6" t="str">
        <f>IFERROR(__xludf.DUMMYFUNCTION("GOOGLETRANSLATE(A58, ""en"", ""ur"")"),"57")</f>
        <v>57</v>
      </c>
      <c r="K58" s="6" t="str">
        <f>IFERROR(__xludf.DUMMYFUNCTION("GOOGLETRANSLATE(B58, ""en"", ""ur"")"),"تلور اور کھنڈا میں بنیادی فرق کیا ہے؟")</f>
        <v>تلور اور کھنڈا میں بنیادی فرق کیا ہے؟</v>
      </c>
      <c r="L58" s="6" t="str">
        <f>IFERROR(__xludf.DUMMYFUNCTION("GOOGLETRANSLATE(C58, ""en"", ""ur"")"),"A) تلوار ایک منحنی صابری ہے، جبکہ کھنڈہ ایک سیدھی، دو دھاری تلوار ہے، B) تلوار کند ہے، کھنڈا تیز ہے، C) تلوار ایک لاٹھی ہے، کھنڈہ تلوار ہے، D) کوئی فرق نہیں ہے۔")</f>
        <v>A) تلوار ایک منحنی صابری ہے، جبکہ کھنڈہ ایک سیدھی، دو دھاری تلوار ہے، B) تلوار کند ہے، کھنڈا تیز ہے، C) تلوار ایک لاٹھی ہے، کھنڈہ تلوار ہے، D) کوئی فرق نہیں ہے۔</v>
      </c>
      <c r="M58" s="6" t="str">
        <f>IFERROR(__xludf.DUMMYFUNCTION("GOOGLETRANSLATE(D58, ""en"", ""ur"")"),"ا) تلوار ایک خمیدہ صابری ہے، جبکہ کھنڈہ ایک سیدھی، دو دھاری تلوار ہے۔")</f>
        <v>ا) تلوار ایک خمیدہ صابری ہے، جبکہ کھنڈہ ایک سیدھی، دو دھاری تلوار ہے۔</v>
      </c>
      <c r="N58" s="6" t="str">
        <f>IFERROR(__xludf.DUMMYFUNCTION("GOOGLETRANSLATE(E58, ""en"", ""ur"")"),"یہ دو الگ الگ قسم کی روایتی تلواریں ہیں جو گٹکا میں استعمال ہوتی ہیں، ہر ایک اپنی ہینڈلنگ کی خصوصیات کے ساتھ۔")</f>
        <v>یہ دو الگ الگ قسم کی روایتی تلواریں ہیں جو گٹکا میں استعمال ہوتی ہیں، ہر ایک اپنی ہینڈلنگ کی خصوصیات کے ساتھ۔</v>
      </c>
    </row>
    <row r="59">
      <c r="A59" s="4">
        <v>58.0</v>
      </c>
      <c r="B59" s="5" t="s">
        <v>1832</v>
      </c>
      <c r="C59" s="5" t="s">
        <v>1833</v>
      </c>
      <c r="D59" s="5" t="s">
        <v>1834</v>
      </c>
      <c r="E59" s="5" t="s">
        <v>1835</v>
      </c>
      <c r="J59" s="6" t="str">
        <f>IFERROR(__xludf.DUMMYFUNCTION("GOOGLETRANSLATE(A59, ""en"", ""ur"")"),"58")</f>
        <v>58</v>
      </c>
      <c r="K59" s="6" t="str">
        <f>IFERROR(__xludf.DUMMYFUNCTION("GOOGLETRANSLATE(B59, ""en"", ""ur"")"),"""بیر آسن"" (جنگی موقف) کا اصل مقصد کیا ہے؟")</f>
        <v>"بیر آسن" (جنگی موقف) کا اصل مقصد کیا ہے؟</v>
      </c>
      <c r="L59" s="6" t="str">
        <f>IFERROR(__xludf.DUMMYFUNCTION("GOOGLETRANSLATE(C59, ""en"", ""ur"")"),"A) خوف زدہ نظر آنا، B) استحکام اور طاقت کے لیے کشش ثقل کا کم مرکز فراہم کرنا، C) آرام کرنے کی پوزیشن، D) زیادہ سے زیادہ رفتار کی اجازت دینا")</f>
        <v>A) خوف زدہ نظر آنا، B) استحکام اور طاقت کے لیے کشش ثقل کا کم مرکز فراہم کرنا، C) آرام کرنے کی پوزیشن، D) زیادہ سے زیادہ رفتار کی اجازت دینا</v>
      </c>
      <c r="M59" s="6" t="str">
        <f>IFERROR(__xludf.DUMMYFUNCTION("GOOGLETRANSLATE(D59, ""en"", ""ur"")"),"ب) استحکام اور طاقت کے لیے کشش ثقل کا کم مرکز فراہم کرنا")</f>
        <v>ب) استحکام اور طاقت کے لیے کشش ثقل کا کم مرکز فراہم کرنا</v>
      </c>
      <c r="N59" s="6" t="str">
        <f>IFERROR(__xludf.DUMMYFUNCTION("GOOGLETRANSLATE(E59, ""en"", ""ur"")"),"یہ زمینی موقف حملوں میں طاقت پیدا کرنے اور مخالف کے حملوں کے خلاف مستحکم رہنے کی بنیاد ہے۔")</f>
        <v>یہ زمینی موقف حملوں میں طاقت پیدا کرنے اور مخالف کے حملوں کے خلاف مستحکم رہنے کی بنیاد ہے۔</v>
      </c>
    </row>
    <row r="60">
      <c r="A60" s="4">
        <v>59.0</v>
      </c>
      <c r="B60" s="5" t="s">
        <v>1836</v>
      </c>
      <c r="C60" s="5" t="s">
        <v>1837</v>
      </c>
      <c r="D60" s="5" t="s">
        <v>1838</v>
      </c>
      <c r="E60" s="5" t="s">
        <v>1839</v>
      </c>
      <c r="J60" s="6" t="str">
        <f>IFERROR(__xludf.DUMMYFUNCTION("GOOGLETRANSLATE(A60, ""en"", ""ur"")"),"59")</f>
        <v>59</v>
      </c>
      <c r="K60" s="6" t="str">
        <f>IFERROR(__xludf.DUMMYFUNCTION("GOOGLETRANSLATE(B60, ""en"", ""ur"")"),"گٹکا میں، یودھ کی اصطلاح کیا مراد ہے؟")</f>
        <v>گٹکا میں، یودھ کی اصطلاح کیا مراد ہے؟</v>
      </c>
      <c r="L60" s="6" t="str">
        <f>IFERROR(__xludf.DUMMYFUNCTION("GOOGLETRANSLATE(C60, ""en"", ""ur"")"),"A) ایک ہتھیار، B) ایک تربیتی مشق، C) جنگ اور لڑائی کا فن یا سائنس، D) ایک دفاعی موقف")</f>
        <v>A) ایک ہتھیار، B) ایک تربیتی مشق، C) جنگ اور لڑائی کا فن یا سائنس، D) ایک دفاعی موقف</v>
      </c>
      <c r="M60" s="6" t="str">
        <f>IFERROR(__xludf.DUMMYFUNCTION("GOOGLETRANSLATE(D60, ""en"", ""ur"")"),"ج) جنگ اور جنگ کا فن یا سائنس")</f>
        <v>ج) جنگ اور جنگ کا فن یا سائنس</v>
      </c>
      <c r="N60" s="6" t="str">
        <f>IFERROR(__xludf.DUMMYFUNCTION("GOOGLETRANSLATE(E60, ""en"", ""ur"")"),"یودھ جنگ ​​کے لیے ایک وسیع تر اصطلاح ہے، جس سے گٹکا کی مخصوص تکنیک اور فلسفہ اخذ کیا گیا ہے۔")</f>
        <v>یودھ جنگ ​​کے لیے ایک وسیع تر اصطلاح ہے، جس سے گٹکا کی مخصوص تکنیک اور فلسفہ اخذ کیا گیا ہے۔</v>
      </c>
    </row>
    <row r="61">
      <c r="A61" s="4">
        <v>60.0</v>
      </c>
      <c r="B61" s="5" t="s">
        <v>1840</v>
      </c>
      <c r="C61" s="5" t="s">
        <v>1841</v>
      </c>
      <c r="D61" s="5" t="s">
        <v>1842</v>
      </c>
      <c r="E61" s="5" t="s">
        <v>1843</v>
      </c>
      <c r="J61" s="6" t="str">
        <f>IFERROR(__xludf.DUMMYFUNCTION("GOOGLETRANSLATE(A61, ""en"", ""ur"")"),"60")</f>
        <v>60</v>
      </c>
      <c r="K61" s="6" t="str">
        <f>IFERROR(__xludf.DUMMYFUNCTION("GOOGLETRANSLATE(B61, ""en"", ""ur"")"),"مخالف کی ڈھال پکڑنا کیوں فضول ہے؟")</f>
        <v>مخالف کی ڈھال پکڑنا کیوں فضول ہے؟</v>
      </c>
      <c r="L61" s="6" t="str">
        <f>IFERROR(__xludf.DUMMYFUNCTION("GOOGLETRANSLATE(C61, ""en"", ""ur"")"),"A) یہ فاؤل نہیں ہے، B) یہ مخالف کو اپنا دفاع صحیح طریقے سے کرنے سے روکتا ہے، C) یہ شیلڈ کو نقصان پہنچا سکتا ہے، D) اسے کمزور کھیل سمجھا جاتا ہے۔")</f>
        <v>A) یہ فاؤل نہیں ہے، B) یہ مخالف کو اپنا دفاع صحیح طریقے سے کرنے سے روکتا ہے، C) یہ شیلڈ کو نقصان پہنچا سکتا ہے، D) اسے کمزور کھیل سمجھا جاتا ہے۔</v>
      </c>
      <c r="M61" s="6" t="str">
        <f>IFERROR(__xludf.DUMMYFUNCTION("GOOGLETRANSLATE(D61, ""en"", ""ur"")"),"ب) یہ مخالف کو اپنا دفاع صحیح طریقے سے کرنے سے روکتا ہے۔")</f>
        <v>ب) یہ مخالف کو اپنا دفاع صحیح طریقے سے کرنے سے روکتا ہے۔</v>
      </c>
      <c r="N61" s="6" t="str">
        <f>IFERROR(__xludf.DUMMYFUNCTION("GOOGLETRANSLATE(E61, ""en"", ""ur"")"),"ایک کھلاڑی غیر منصفانہ فائدہ حاصل کرنے کے لیے اپنے مخالف کے دفاعی سامان کو غیر قانونی طور پر متحرک نہیں کر سکتا۔")</f>
        <v>ایک کھلاڑی غیر منصفانہ فائدہ حاصل کرنے کے لیے اپنے مخالف کے دفاعی سامان کو غیر قانونی طور پر متحرک نہیں کر سکتا۔</v>
      </c>
    </row>
    <row r="62">
      <c r="A62" s="4">
        <v>61.0</v>
      </c>
      <c r="B62" s="5" t="s">
        <v>1844</v>
      </c>
      <c r="C62" s="5" t="s">
        <v>1845</v>
      </c>
      <c r="D62" s="5" t="s">
        <v>1846</v>
      </c>
      <c r="E62" s="5" t="s">
        <v>1847</v>
      </c>
      <c r="J62" s="6" t="str">
        <f>IFERROR(__xludf.DUMMYFUNCTION("GOOGLETRANSLATE(A62, ""en"", ""ur"")"),"61")</f>
        <v>61</v>
      </c>
      <c r="K62" s="6" t="str">
        <f>IFERROR(__xludf.DUMMYFUNCTION("GOOGLETRANSLATE(B62, ""en"", ""ur"")"),"کامیاب ""اسلحہ"" تکنیک کی پوائنٹ ویلیو کیا ہے؟")</f>
        <v>کامیاب "اسلحہ" تکنیک کی پوائنٹ ویلیو کیا ہے؟</v>
      </c>
      <c r="L62" s="6" t="str">
        <f>IFERROR(__xludf.DUMMYFUNCTION("GOOGLETRANSLATE(C62, ""en"", ""ur"")"),"A) کوئی پوائنٹ نہیں دیا جاتا، B) 1 پوائنٹ، C) 3 پوائنٹس، D) 5 پوائنٹس")</f>
        <v>A) کوئی پوائنٹ نہیں دیا جاتا، B) 1 پوائنٹ، C) 3 پوائنٹس، D) 5 پوائنٹس</v>
      </c>
      <c r="M62" s="6" t="str">
        <f>IFERROR(__xludf.DUMMYFUNCTION("GOOGLETRANSLATE(D62, ""en"", ""ur"")"),"C) 3 پوائنٹس")</f>
        <v>C) 3 پوائنٹس</v>
      </c>
      <c r="N62" s="6" t="str">
        <f>IFERROR(__xludf.DUMMYFUNCTION("GOOGLETRANSLATE(E62, ""en"", ""ur"")"),"کامیابی کے ساتھ اور محفوظ طریقے سے کسی مخالف کو غیر مسلح کرنا اعلیٰ مہارت کا مظاہرہ ہے اور اسے کچھ اصولوں کے سیٹوں میں اعلیٰ پوائنٹ کی قیمت سے نوازا جاتا ہے۔")</f>
        <v>کامیابی کے ساتھ اور محفوظ طریقے سے کسی مخالف کو غیر مسلح کرنا اعلیٰ مہارت کا مظاہرہ ہے اور اسے کچھ اصولوں کے سیٹوں میں اعلیٰ پوائنٹ کی قیمت سے نوازا جاتا ہے۔</v>
      </c>
    </row>
    <row r="63">
      <c r="A63" s="4">
        <v>62.0</v>
      </c>
      <c r="B63" s="5" t="s">
        <v>1848</v>
      </c>
      <c r="C63" s="5" t="s">
        <v>1849</v>
      </c>
      <c r="D63" s="5" t="s">
        <v>1850</v>
      </c>
      <c r="E63" s="5" t="s">
        <v>1851</v>
      </c>
      <c r="J63" s="6" t="str">
        <f>IFERROR(__xludf.DUMMYFUNCTION("GOOGLETRANSLATE(A63, ""en"", ""ur"")"),"62")</f>
        <v>62</v>
      </c>
      <c r="K63" s="6" t="str">
        <f>IFERROR(__xludf.DUMMYFUNCTION("GOOGLETRANSLATE(B63, ""en"", ""ur"")"),"""پینٹس"" فٹ ورک پیٹرن کا بنیادی مقصد کیا ہے؟")</f>
        <v>"پینٹس" فٹ ورک پیٹرن کا بنیادی مقصد کیا ہے؟</v>
      </c>
      <c r="L63" s="6" t="str">
        <f>IFERROR(__xludf.DUMMYFUNCTION("GOOGLETRANSLATE(C63, ""en"", ""ur"")"),"A) یہ ایک رقص ہے، B) یہ حملے اور دفاع کے زاویے سکھانے کے لیے ایک بنیادی مشق ہے، C) یہ جمپنگ تکنیک ہے، D) یہ سانس لینے کی مشق ہے۔")</f>
        <v>A) یہ ایک رقص ہے، B) یہ حملے اور دفاع کے زاویے سکھانے کے لیے ایک بنیادی مشق ہے، C) یہ جمپنگ تکنیک ہے، D) یہ سانس لینے کی مشق ہے۔</v>
      </c>
      <c r="M63" s="6" t="str">
        <f>IFERROR(__xludf.DUMMYFUNCTION("GOOGLETRANSLATE(D63, ""en"", ""ur"")"),"ب) یہ حملے اور دفاع کے زاویے سکھانے کے لیے ایک بنیادی مشق ہے۔")</f>
        <v>ب) یہ حملے اور دفاع کے زاویے سکھانے کے لیے ایک بنیادی مشق ہے۔</v>
      </c>
      <c r="N63" s="6" t="str">
        <f>IFERROR(__xludf.DUMMYFUNCTION("GOOGLETRANSLATE(E63, ""en"", ""ur"")"),"پینٹس ایک اہم فٹ ورک پیٹرن ہے جو ایک لڑاکا کو روانی سے حرکت کرنے اور فائدہ مند زاویے بنانے کی تربیت دیتا ہے۔")</f>
        <v>پینٹس ایک اہم فٹ ورک پیٹرن ہے جو ایک لڑاکا کو روانی سے حرکت کرنے اور فائدہ مند زاویے بنانے کی تربیت دیتا ہے۔</v>
      </c>
    </row>
    <row r="64">
      <c r="A64" s="4">
        <v>63.0</v>
      </c>
      <c r="B64" s="5" t="s">
        <v>1852</v>
      </c>
      <c r="C64" s="5" t="s">
        <v>1853</v>
      </c>
      <c r="D64" s="5" t="s">
        <v>1854</v>
      </c>
      <c r="E64" s="5" t="s">
        <v>1855</v>
      </c>
      <c r="J64" s="6" t="str">
        <f>IFERROR(__xludf.DUMMYFUNCTION("GOOGLETRANSLATE(A64, ""en"", ""ur"")"),"63")</f>
        <v>63</v>
      </c>
      <c r="K64" s="6" t="str">
        <f>IFERROR(__xludf.DUMMYFUNCTION("GOOGLETRANSLATE(B64, ""en"", ""ur"")"),"ایک کھلاڑی کو ""غیر ہتھیار والے ہاتھ سے مارنے"" پر سزا دی جاتی ہے۔ کیا یہ درست فاؤل ہے؟")</f>
        <v>ایک کھلاڑی کو "غیر ہتھیار والے ہاتھ سے مارنے" پر سزا دی جاتی ہے۔ کیا یہ درست فاؤل ہے؟</v>
      </c>
      <c r="L64" s="6" t="str">
        <f>IFERROR(__xludf.DUMMYFUNCTION("GOOGLETRANSLATE(C64, ""en"", ""ur"")"),"A) نہیں، کھلے ہاتھ سے حملے کی اجازت ہے، B) ہاں، تمام حملے مخصوص ہتھیار سے کیے جائیں، C) صرف اس صورت میں جب ہاتھ مٹھی میں ہو، D) صرف اس صورت میں جب اس سے چوٹ لگی ہو۔")</f>
        <v>A) نہیں، کھلے ہاتھ سے حملے کی اجازت ہے، B) ہاں، تمام حملے مخصوص ہتھیار سے کیے جائیں، C) صرف اس صورت میں جب ہاتھ مٹھی میں ہو، D) صرف اس صورت میں جب اس سے چوٹ لگی ہو۔</v>
      </c>
      <c r="M64" s="6" t="str">
        <f>IFERROR(__xludf.DUMMYFUNCTION("GOOGLETRANSLATE(D64, ""en"", ""ur"")"),"ب) جی ہاں، تمام حملے نامزد ہتھیار سے کیے جانے چاہئیں")</f>
        <v>ب) جی ہاں، تمام حملے نامزد ہتھیار سے کیے جانے چاہئیں</v>
      </c>
      <c r="N64" s="6" t="str">
        <f>IFERROR(__xludf.DUMMYFUNCTION("GOOGLETRANSLATE(E64, ""en"", ""ur"")"),"کھیل گٹکا میں، ایک کھلاڑی اپنے حریف کو مارنے کے لیے اپنے آزاد ہاتھ، مٹھی، یا جسم کے کسی دوسرے حصے کا استعمال نہیں کر سکتا۔")</f>
        <v>کھیل گٹکا میں، ایک کھلاڑی اپنے حریف کو مارنے کے لیے اپنے آزاد ہاتھ، مٹھی، یا جسم کے کسی دوسرے حصے کا استعمال نہیں کر سکتا۔</v>
      </c>
    </row>
    <row r="65">
      <c r="A65" s="4">
        <v>64.0</v>
      </c>
      <c r="B65" s="5" t="s">
        <v>1856</v>
      </c>
      <c r="C65" s="5" t="s">
        <v>1857</v>
      </c>
      <c r="D65" s="5" t="s">
        <v>1858</v>
      </c>
      <c r="E65" s="5" t="s">
        <v>1859</v>
      </c>
      <c r="J65" s="6" t="str">
        <f>IFERROR(__xludf.DUMMYFUNCTION("GOOGLETRANSLATE(A65, ""en"", ""ur"")"),"64")</f>
        <v>64</v>
      </c>
      <c r="K65" s="6" t="str">
        <f>IFERROR(__xludf.DUMMYFUNCTION("GOOGLETRANSLATE(B65, ""en"", ""ur"")"),"ایک طاقتور گھومنے والی ہڑتال کے دوران مشغول بنیادی پٹھوں کا گروپ کیا ہے؟")</f>
        <v>ایک طاقتور گھومنے والی ہڑتال کے دوران مشغول بنیادی پٹھوں کا گروپ کیا ہے؟</v>
      </c>
      <c r="L65" s="6" t="str">
        <f>IFERROR(__xludf.DUMMYFUNCTION("GOOGLETRANSLATE(C65, ""en"", ""ur"")"),"A) بائسپس، B) ٹانگیں، C) کور (پیٹ اور ترچھا)، D) سینہ")</f>
        <v>A) بائسپس، B) ٹانگیں، C) کور (پیٹ اور ترچھا)، D) سینہ</v>
      </c>
      <c r="M65" s="6" t="str">
        <f>IFERROR(__xludf.DUMMYFUNCTION("GOOGLETRANSLATE(D65, ""en"", ""ur"")"),"ج) کور (پیٹ اور ترچھا)")</f>
        <v>ج) کور (پیٹ اور ترچھا)</v>
      </c>
      <c r="N65" s="6" t="str">
        <f>IFERROR(__xludf.DUMMYFUNCTION("GOOGLETRANSLATE(E65, ""en"", ""ur"")"),"گھومنے والی طاقت صرف بازوؤں اور کندھوں سے نہیں بلکہ بنیادی پٹھوں سے پیدا ہوتی ہے۔")</f>
        <v>گھومنے والی طاقت صرف بازوؤں اور کندھوں سے نہیں بلکہ بنیادی پٹھوں سے پیدا ہوتی ہے۔</v>
      </c>
    </row>
    <row r="66">
      <c r="A66" s="4">
        <v>65.0</v>
      </c>
      <c r="B66" s="5" t="s">
        <v>1860</v>
      </c>
      <c r="C66" s="5" t="s">
        <v>1861</v>
      </c>
      <c r="D66" s="5" t="s">
        <v>1862</v>
      </c>
      <c r="E66" s="5" t="s">
        <v>1863</v>
      </c>
      <c r="J66" s="6" t="str">
        <f>IFERROR(__xludf.DUMMYFUNCTION("GOOGLETRANSLATE(A66, ""en"", ""ur"")"),"65")</f>
        <v>65</v>
      </c>
      <c r="K66" s="6" t="str">
        <f>IFERROR(__xludf.DUMMYFUNCTION("GOOGLETRANSLATE(B66, ""en"", ""ur"")"),"اگر کوئی کھلاڑی اپنے ہی غیر قانونی اقدام کے نتیجے میں زخمی ہو جائے تو اس کا نتیجہ کیا نکلتا ہے؟")</f>
        <v>اگر کوئی کھلاڑی اپنے ہی غیر قانونی اقدام کے نتیجے میں زخمی ہو جائے تو اس کا نتیجہ کیا نکلتا ہے؟</v>
      </c>
      <c r="L66" s="6" t="str">
        <f>IFERROR(__xludf.DUMMYFUNCTION("GOOGLETRANSLATE(C66, ""en"", ""ur"")"),"A) پوائنٹ دوبارہ چلایا جاتا ہے، B) کھلاڑی نااہلی یا ریٹائرمنٹ سے میچ ہار جاتا ہے، C) مخالف کو خبردار کیا جاتا ہے، D) میچ ڈرا قرار دیا جاتا ہے۔")</f>
        <v>A) پوائنٹ دوبارہ چلایا جاتا ہے، B) کھلاڑی نااہلی یا ریٹائرمنٹ سے میچ ہار جاتا ہے، C) مخالف کو خبردار کیا جاتا ہے، D) میچ ڈرا قرار دیا جاتا ہے۔</v>
      </c>
      <c r="M66" s="6" t="str">
        <f>IFERROR(__xludf.DUMMYFUNCTION("GOOGLETRANSLATE(D66, ""en"", ""ur"")"),"ب) کھلاڑی نااہلی یا ریٹائرمنٹ سے میچ ہار جاتا ہے۔")</f>
        <v>ب) کھلاڑی نااہلی یا ریٹائرمنٹ سے میچ ہار جاتا ہے۔</v>
      </c>
      <c r="N66" s="6" t="str">
        <f>IFERROR(__xludf.DUMMYFUNCTION("GOOGLETRANSLATE(E66, ""en"", ""ur"")"),"ایک کھلاڑی جو فاؤل کرتے ہوئے خود کو زخمی کرتا ہے وہ ڈیفالٹ سے نہیں جیت سکتا۔ وہ غیر قانونی اقدام پر نااہل ہیں۔")</f>
        <v>ایک کھلاڑی جو فاؤل کرتے ہوئے خود کو زخمی کرتا ہے وہ ڈیفالٹ سے نہیں جیت سکتا۔ وہ غیر قانونی اقدام پر نااہل ہیں۔</v>
      </c>
    </row>
    <row r="67">
      <c r="A67" s="4">
        <v>66.0</v>
      </c>
      <c r="B67" s="5" t="s">
        <v>1864</v>
      </c>
      <c r="C67" s="5" t="s">
        <v>1865</v>
      </c>
      <c r="D67" s="5" t="s">
        <v>1866</v>
      </c>
      <c r="E67" s="5" t="s">
        <v>1867</v>
      </c>
      <c r="J67" s="6" t="str">
        <f>IFERROR(__xludf.DUMMYFUNCTION("GOOGLETRANSLATE(A67, ""en"", ""ur"")"),"66")</f>
        <v>66</v>
      </c>
      <c r="K67" s="6" t="str">
        <f>IFERROR(__xludf.DUMMYFUNCTION("GOOGLETRANSLATE(B67, ""en"", ""ur"")"),"جدید گٹکا میں ان میں سے کون سا باضابطہ مقابلے کا زمرہ نہیں ہے؟")</f>
        <v>جدید گٹکا میں ان میں سے کون سا باضابطہ مقابلے کا زمرہ نہیں ہے؟</v>
      </c>
      <c r="L67" s="6" t="str">
        <f>IFERROR(__xludf.DUMMYFUNCTION("GOOGLETRANSLATE(C67, ""en"", ""ur"")"),"A) سنگل سوتی (چھڑی)، B) فاری سوتی (چھڑی اور ڈھال)، C) ٹیم گٹکا، D) ننگی دستک گٹکا")</f>
        <v>A) سنگل سوتی (چھڑی)، B) فاری سوتی (چھڑی اور ڈھال)، C) ٹیم گٹکا، D) ننگی دستک گٹکا</v>
      </c>
      <c r="M67" s="6" t="str">
        <f>IFERROR(__xludf.DUMMYFUNCTION("GOOGLETRANSLATE(D67, ""en"", ""ur"")"),"D) ننگا گٹکا")</f>
        <v>D) ننگا گٹکا</v>
      </c>
      <c r="N67" s="6" t="str">
        <f>IFERROR(__xludf.DUMMYFUNCTION("GOOGLETRANSLATE(E67, ""en"", ""ur"")"),"جدید گٹکا خصوصی طور پر ہتھیاروں پر مبنی مارشل آرٹ ہے۔ اس کے مقابلوں میں کوئی سرکاری خالی ہاتھ لڑائی کا زمرہ نہیں ہے۔")</f>
        <v>جدید گٹکا خصوصی طور پر ہتھیاروں پر مبنی مارشل آرٹ ہے۔ اس کے مقابلوں میں کوئی سرکاری خالی ہاتھ لڑائی کا زمرہ نہیں ہے۔</v>
      </c>
    </row>
    <row r="68">
      <c r="A68" s="4">
        <v>67.0</v>
      </c>
      <c r="B68" s="5" t="s">
        <v>1868</v>
      </c>
      <c r="C68" s="5" t="s">
        <v>1869</v>
      </c>
      <c r="D68" s="5" t="s">
        <v>1870</v>
      </c>
      <c r="E68" s="5" t="s">
        <v>1871</v>
      </c>
      <c r="J68" s="6" t="str">
        <f>IFERROR(__xludf.DUMMYFUNCTION("GOOGLETRANSLATE(A68, ""en"", ""ur"")"),"67")</f>
        <v>67</v>
      </c>
      <c r="K68" s="6" t="str">
        <f>IFERROR(__xludf.DUMMYFUNCTION("GOOGLETRANSLATE(B68, ""en"", ""ur"")"),"ٹورنامنٹ میں ""ٹیبل آفیشلز"" کا کیا کردار ہے؟")</f>
        <v>ٹورنامنٹ میں "ٹیبل آفیشلز" کا کیا کردار ہے؟</v>
      </c>
      <c r="L68" s="6" t="str">
        <f>IFERROR(__xludf.DUMMYFUNCTION("GOOGLETRANSLATE(C68, ""en"", ""ur"")"),"A) وہ ریفری ہیں، B) وہ ٹائم کیپنگ، اسکورنگ اور نتائج ریکارڈ کرنے کے ذمہ دار ہیں، C) وہ کوچ ہیں، D) وہ ہتھیاروں کا معائنہ کرتے ہیں")</f>
        <v>A) وہ ریفری ہیں، B) وہ ٹائم کیپنگ، اسکورنگ اور نتائج ریکارڈ کرنے کے ذمہ دار ہیں، C) وہ کوچ ہیں، D) وہ ہتھیاروں کا معائنہ کرتے ہیں</v>
      </c>
      <c r="M68" s="6" t="str">
        <f>IFERROR(__xludf.DUMMYFUNCTION("GOOGLETRANSLATE(D68, ""en"", ""ur"")"),"ب) وہ ٹائم کیپنگ، اسکورنگ، اور نتائج ریکارڈ کرنے کے ذمہ دار ہیں۔")</f>
        <v>ب) وہ ٹائم کیپنگ، اسکورنگ، اور نتائج ریکارڈ کرنے کے ذمہ دار ہیں۔</v>
      </c>
      <c r="N68" s="6" t="str">
        <f>IFERROR(__xludf.DUMMYFUNCTION("GOOGLETRANSLATE(E68, ""en"", ""ur"")"),"میز کے اہلکار میدان میں ریفریوں کی مدد کرتے ہوئے میچ کے انتظامی پہلوؤں کا انتظام کرتے ہیں۔")</f>
        <v>میز کے اہلکار میدان میں ریفریوں کی مدد کرتے ہوئے میچ کے انتظامی پہلوؤں کا انتظام کرتے ہیں۔</v>
      </c>
    </row>
    <row r="69">
      <c r="A69" s="4">
        <v>68.0</v>
      </c>
      <c r="B69" s="5" t="s">
        <v>1872</v>
      </c>
      <c r="C69" s="5" t="s">
        <v>1873</v>
      </c>
      <c r="D69" s="5" t="s">
        <v>1874</v>
      </c>
      <c r="E69" s="5" t="s">
        <v>1875</v>
      </c>
      <c r="J69" s="6" t="str">
        <f>IFERROR(__xludf.DUMMYFUNCTION("GOOGLETRANSLATE(A69, ""en"", ""ur"")"),"68")</f>
        <v>68</v>
      </c>
      <c r="K69" s="6" t="str">
        <f>IFERROR(__xludf.DUMMYFUNCTION("GOOGLETRANSLATE(B69, ""en"", ""ur"")"),"ایک کھلاڑی کو ""ڈبل سٹرائیک"" کے لیے سزا دی جاتی ہے۔ اس کا کیا مطلب ہے؟")</f>
        <v>ایک کھلاڑی کو "ڈبل سٹرائیک" کے لیے سزا دی جاتی ہے۔ اس کا کیا مطلب ہے؟</v>
      </c>
      <c r="L69" s="6" t="str">
        <f>IFERROR(__xludf.DUMMYFUNCTION("GOOGLETRANSLATE(C69, ""en"", ""ur"")"),"A) وہ ایک ہی وقت میں چھڑی کے دونوں سروں سے مخالف کو مارتے ہیں، B) وہ بغیر کسی ترتیب کے تیزی سے مخالف کو دو بار مارتے ہیں، C) وہ ایک ہی وقت میں مخالف اور شیلڈ کو مارتے ہیں، D) انہوں نے ایک ہی وقت میں دو مخالفین کو مارا۔")</f>
        <v>A) وہ ایک ہی وقت میں چھڑی کے دونوں سروں سے مخالف کو مارتے ہیں، B) وہ بغیر کسی ترتیب کے تیزی سے مخالف کو دو بار مارتے ہیں، C) وہ ایک ہی وقت میں مخالف اور شیلڈ کو مارتے ہیں، D) انہوں نے ایک ہی وقت میں دو مخالفین کو مارا۔</v>
      </c>
      <c r="M69" s="6" t="str">
        <f>IFERROR(__xludf.DUMMYFUNCTION("GOOGLETRANSLATE(D69, ""en"", ""ur"")"),"ب) انہوں نے بغیر کسی ری سیٹ کے تیزی سے مسلسل دو بار حریف کو نشانہ بنایا")</f>
        <v>ب) انہوں نے بغیر کسی ری سیٹ کے تیزی سے مسلسل دو بار حریف کو نشانہ بنایا</v>
      </c>
      <c r="N69" s="6" t="str">
        <f>IFERROR(__xludf.DUMMYFUNCTION("GOOGLETRANSLATE(E69, ""en"", ""ur"")"),"کچھ اصولوں کے سیٹوں میں، ایک کھلاڑی کو سٹرائیکس کے درمیان دوبارہ ترتیب دے کر کنٹرول کا مظاہرہ کرنا چاہیے، اور ہٹ کے مسلسل ""ڈرم رول"" کی اجازت نہیں ہے۔")</f>
        <v>کچھ اصولوں کے سیٹوں میں، ایک کھلاڑی کو سٹرائیکس کے درمیان دوبارہ ترتیب دے کر کنٹرول کا مظاہرہ کرنا چاہیے، اور ہٹ کے مسلسل "ڈرم رول" کی اجازت نہیں ہے۔</v>
      </c>
    </row>
    <row r="70">
      <c r="A70" s="4">
        <v>69.0</v>
      </c>
      <c r="B70" s="5" t="s">
        <v>1876</v>
      </c>
      <c r="C70" s="5" t="s">
        <v>1877</v>
      </c>
      <c r="D70" s="5" t="s">
        <v>156</v>
      </c>
      <c r="E70" s="5" t="s">
        <v>1878</v>
      </c>
      <c r="J70" s="6" t="str">
        <f>IFERROR(__xludf.DUMMYFUNCTION("GOOGLETRANSLATE(A70, ""en"", ""ur"")"),"69")</f>
        <v>69</v>
      </c>
      <c r="K70" s="6" t="str">
        <f>IFERROR(__xludf.DUMMYFUNCTION("GOOGLETRANSLATE(B70, ""en"", ""ur"")"),"حریف کے ساتھ آنکھ کا رابطہ برقرار رکھنا کیوں ضروری سمجھا جاتا ہے؟")</f>
        <v>حریف کے ساتھ آنکھ کا رابطہ برقرار رکھنا کیوں ضروری سمجھا جاتا ہے؟</v>
      </c>
      <c r="L70" s="6" t="str">
        <f>IFERROR(__xludf.DUMMYFUNCTION("GOOGLETRANSLATE(C70, ""en"", ""ur"")"),"A) یہ احترام کی علامت ہے، B) ان کی حرکات و سکنات کا اندازہ لگانا، C) انہیں ڈرانا، D) مندرجہ بالا سب")</f>
        <v>A) یہ احترام کی علامت ہے، B) ان کی حرکات و سکنات کا اندازہ لگانا، C) انہیں ڈرانا، D) مندرجہ بالا سب</v>
      </c>
      <c r="M70" s="6" t="str">
        <f>IFERROR(__xludf.DUMMYFUNCTION("GOOGLETRANSLATE(D70, ""en"", ""ur"")"),"D) مذکورہ بالا تمام")</f>
        <v>D) مذکورہ بالا تمام</v>
      </c>
      <c r="N70" s="6" t="str">
        <f>IFERROR(__xludf.DUMMYFUNCTION("GOOGLETRANSLATE(E70, ""en"", ""ur"")"),"آنکھ سے رابطہ لڑائی میں ذہنی کھیل کا ایک اہم حصہ ہے، جسے حریف کو پڑھنے، اعتماد ظاہر کرنے اور توجہ کو برقرار رکھنے کے لیے استعمال کیا جاتا ہے۔")</f>
        <v>آنکھ سے رابطہ لڑائی میں ذہنی کھیل کا ایک اہم حصہ ہے، جسے حریف کو پڑھنے، اعتماد ظاہر کرنے اور توجہ کو برقرار رکھنے کے لیے استعمال کیا جاتا ہے۔</v>
      </c>
    </row>
    <row r="71">
      <c r="A71" s="4">
        <v>70.0</v>
      </c>
      <c r="B71" s="5" t="s">
        <v>1879</v>
      </c>
      <c r="C71" s="5" t="s">
        <v>1880</v>
      </c>
      <c r="D71" s="5" t="s">
        <v>1881</v>
      </c>
      <c r="E71" s="5" t="s">
        <v>1882</v>
      </c>
      <c r="J71" s="6" t="str">
        <f>IFERROR(__xludf.DUMMYFUNCTION("GOOGLETRANSLATE(A71, ""en"", ""ur"")"),"70")</f>
        <v>70</v>
      </c>
      <c r="K71" s="6" t="str">
        <f>IFERROR(__xludf.DUMMYFUNCTION("GOOGLETRANSLATE(B71, ""en"", ""ur"")"),"دوستانہ گاؤں کا میچ شروع کرنے کا روایتی طریقہ کیا ہے (جور)؟")</f>
        <v>دوستانہ گاؤں کا میچ شروع کرنے کا روایتی طریقہ کیا ہے (جور)؟</v>
      </c>
      <c r="L71" s="6" t="str">
        <f>IFERROR(__xludf.DUMMYFUNCTION("GOOGLETRANSLATE(C71, ""en"", ""ur"")"),"A) سیٹی بجانا، B) ڈھول کی تھاپ، C) دو کھلاڑیوں کے درمیان باہمی سلامی (فتح) D) سکے کا ٹاس")</f>
        <v>A) سیٹی بجانا، B) ڈھول کی تھاپ، C) دو کھلاڑیوں کے درمیان باہمی سلامی (فتح) D) سکے کا ٹاس</v>
      </c>
      <c r="M71" s="6" t="str">
        <f>IFERROR(__xludf.DUMMYFUNCTION("GOOGLETRANSLATE(D71, ""en"", ""ur"")"),"ج) دونوں کھلاڑیوں کے درمیان باہمی سلامی (فتح)")</f>
        <v>ج) دونوں کھلاڑیوں کے درمیان باہمی سلامی (فتح)</v>
      </c>
      <c r="N71" s="6" t="str">
        <f>IFERROR(__xludf.DUMMYFUNCTION("GOOGLETRANSLATE(E71, ""en"", ""ur"")"),"ایک دوستانہ مقابلہ روایتی طور پر کھلاڑیوں کے احترام کے ساتھ سلام یا سلام کے ساتھ ایک دوسرے کو تسلیم کرنے کے ساتھ شروع ہوتا ہے۔")</f>
        <v>ایک دوستانہ مقابلہ روایتی طور پر کھلاڑیوں کے احترام کے ساتھ سلام یا سلام کے ساتھ ایک دوسرے کو تسلیم کرنے کے ساتھ شروع ہوتا ہے۔</v>
      </c>
    </row>
    <row r="72">
      <c r="A72" s="4">
        <v>71.0</v>
      </c>
      <c r="B72" s="5" t="s">
        <v>1883</v>
      </c>
      <c r="C72" s="5" t="s">
        <v>1884</v>
      </c>
      <c r="D72" s="5" t="s">
        <v>1885</v>
      </c>
      <c r="E72" s="5" t="s">
        <v>1886</v>
      </c>
      <c r="J72" s="6" t="str">
        <f>IFERROR(__xludf.DUMMYFUNCTION("GOOGLETRANSLATE(A72, ""en"", ""ur"")"),"71")</f>
        <v>71</v>
      </c>
      <c r="K72" s="6" t="str">
        <f>IFERROR(__xludf.DUMMYFUNCTION("GOOGLETRANSLATE(B72, ""en"", ""ur"")"),"گٹکا میں دفاع پر زور دینے کی فلسفیانہ وجہ کیا ہے؟")</f>
        <v>گٹکا میں دفاع پر زور دینے کی فلسفیانہ وجہ کیا ہے؟</v>
      </c>
      <c r="L72" s="6" t="str">
        <f>IFERROR(__xludf.DUMMYFUNCTION("GOOGLETRANSLATE(C72, ""en"", ""ur"")"),"A) حملہ کرنے سے زیادہ آسان ہے، B) آرٹ اپنے دفاع کے لیے ہے، جارحیت کے لیے نہیں، C) یہ زیادہ پوائنٹس اسکور کرتا ہے، D) یہ مخالف کو تھکا دینے کا ایک طریقہ ہے۔")</f>
        <v>A) حملہ کرنے سے زیادہ آسان ہے، B) آرٹ اپنے دفاع کے لیے ہے، جارحیت کے لیے نہیں، C) یہ زیادہ پوائنٹس اسکور کرتا ہے، D) یہ مخالف کو تھکا دینے کا ایک طریقہ ہے۔</v>
      </c>
      <c r="M72" s="6" t="str">
        <f>IFERROR(__xludf.DUMMYFUNCTION("GOOGLETRANSLATE(D72, ""en"", ""ur"")"),"ب) فن اپنے دفاع کے لیے ہے، جارحیت کے لیے نہیں۔")</f>
        <v>ب) فن اپنے دفاع کے لیے ہے، جارحیت کے لیے نہیں۔</v>
      </c>
      <c r="N72" s="6" t="str">
        <f>IFERROR(__xludf.DUMMYFUNCTION("GOOGLETRANSLATE(E72, ""en"", ""ur"")"),"بنیادی اصول یہ ہے کہ ایک سکھ جنگجو اپنا ہتھیار کمزوروں کے دفاع اور انصاف کو برقرار رکھنے کے لیے کھینچتا ہے، نہ کہ تنازع شروع کرنے کے لیے۔")</f>
        <v>بنیادی اصول یہ ہے کہ ایک سکھ جنگجو اپنا ہتھیار کمزوروں کے دفاع اور انصاف کو برقرار رکھنے کے لیے کھینچتا ہے، نہ کہ تنازع شروع کرنے کے لیے۔</v>
      </c>
    </row>
    <row r="73">
      <c r="A73" s="4">
        <v>72.0</v>
      </c>
      <c r="B73" s="5" t="s">
        <v>1760</v>
      </c>
      <c r="C73" s="5" t="s">
        <v>1761</v>
      </c>
      <c r="D73" s="5" t="s">
        <v>156</v>
      </c>
      <c r="E73" s="5" t="s">
        <v>1762</v>
      </c>
      <c r="J73" s="6" t="str">
        <f>IFERROR(__xludf.DUMMYFUNCTION("GOOGLETRANSLATE(A73, ""en"", ""ur"")"),"72")</f>
        <v>72</v>
      </c>
      <c r="K73" s="6" t="str">
        <f>IFERROR(__xludf.DUMMYFUNCTION("GOOGLETRANSLATE(B73, ""en"", ""ur"")"),"ایک کھلاڑی کو مخالف سے ""پیچھے موڑنے"" پر سزا دی جاتی ہے۔ یہ فضول کیوں ہے؟")</f>
        <v>ایک کھلاڑی کو مخالف سے "پیچھے موڑنے" پر سزا دی جاتی ہے۔ یہ فضول کیوں ہے؟</v>
      </c>
      <c r="L73" s="6" t="str">
        <f>IFERROR(__xludf.DUMMYFUNCTION("GOOGLETRANSLATE(C73, ""en"", ""ur"")"),"A) اسے بے عزتی اور بزدلانہ سمجھا جاتا ہے، B) یہ ایک غیر محفوظ، غیر جنگی پوزیشن ہے، C) یہ مخالف کے لیے قانونی ہدف پر حملہ کرنا ناممکن بنا دیتا ہے، D) مندرجہ بالا سبھی")</f>
        <v>A) اسے بے عزتی اور بزدلانہ سمجھا جاتا ہے، B) یہ ایک غیر محفوظ، غیر جنگی پوزیشن ہے، C) یہ مخالف کے لیے قانونی ہدف پر حملہ کرنا ناممکن بنا دیتا ہے، D) مندرجہ بالا سبھی</v>
      </c>
      <c r="M73" s="6" t="str">
        <f>IFERROR(__xludf.DUMMYFUNCTION("GOOGLETRANSLATE(D73, ""en"", ""ur"")"),"D) مذکورہ بالا تمام")</f>
        <v>D) مذکورہ بالا تمام</v>
      </c>
      <c r="N73" s="6" t="str">
        <f>IFERROR(__xludf.DUMMYFUNCTION("GOOGLETRANSLATE(E73, ""en"", ""ur"")"),"ایک کھلاڑی کو ہمیشہ اپنے مخالف کا سامنا کرنا چاہیے اور مشغول ہونے کے لیے تیار رہنا چاہیے۔ منہ موڑنا جنگی اصولوں اور روح کی سنگین خلاف ورزی ہے۔")</f>
        <v>ایک کھلاڑی کو ہمیشہ اپنے مخالف کا سامنا کرنا چاہیے اور مشغول ہونے کے لیے تیار رہنا چاہیے۔ منہ موڑنا جنگی اصولوں اور روح کی سنگین خلاف ورزی ہے۔</v>
      </c>
    </row>
    <row r="74">
      <c r="A74" s="4">
        <v>73.0</v>
      </c>
      <c r="B74" s="5" t="s">
        <v>1887</v>
      </c>
      <c r="C74" s="5" t="s">
        <v>1888</v>
      </c>
      <c r="D74" s="5" t="s">
        <v>1889</v>
      </c>
      <c r="E74" s="5" t="s">
        <v>1890</v>
      </c>
      <c r="J74" s="6" t="str">
        <f>IFERROR(__xludf.DUMMYFUNCTION("GOOGLETRANSLATE(A74, ""en"", ""ur"")"),"73")</f>
        <v>73</v>
      </c>
      <c r="K74" s="6" t="str">
        <f>IFERROR(__xludf.DUMMYFUNCTION("GOOGLETRANSLATE(B74, ""en"", ""ur"")"),"ان میں سے کون سا گٹکا فلسفہ کا کلیدی اصول ہے؟")</f>
        <v>ان میں سے کون سا گٹکا فلسفہ کا کلیدی اصول ہے؟</v>
      </c>
      <c r="L74" s="6" t="str">
        <f>IFERROR(__xludf.DUMMYFUNCTION("GOOGLETRANSLATE(C74, ""en"", ""ur"")"),"A) ""ہر قیمت پر جیت""، B) ""حملہ بہترین دفاع ہے""، C) جسم اور دماغ کو ہتھیار کے ساتھ متحد ہونا چاہیے، D) ""کبھی رحم نہ کریں""")</f>
        <v>A) "ہر قیمت پر جیت"، B) "حملہ بہترین دفاع ہے"، C) جسم اور دماغ کو ہتھیار کے ساتھ متحد ہونا چاہیے، D) "کبھی رحم نہ کریں"</v>
      </c>
      <c r="M74" s="6" t="str">
        <f>IFERROR(__xludf.DUMMYFUNCTION("GOOGLETRANSLATE(D74, ""en"", ""ur"")"),"ج) جسم اور دماغ کو ہتھیار کے ساتھ متحد ہونا چاہیے۔")</f>
        <v>ج) جسم اور دماغ کو ہتھیار کے ساتھ متحد ہونا چاہیے۔</v>
      </c>
      <c r="N74" s="6" t="str">
        <f>IFERROR(__xludf.DUMMYFUNCTION("GOOGLETRANSLATE(E74, ""en"", ""ur"")"),"شاستر ودیا کا ایک بنیادی اصول یہ ہے کہ ہتھیار کو پریکٹیشنر کے اپنے جسم اور روح کی توسیع کے طور پر سمجھا جانا چاہئے۔")</f>
        <v>شاستر ودیا کا ایک بنیادی اصول یہ ہے کہ ہتھیار کو پریکٹیشنر کے اپنے جسم اور روح کی توسیع کے طور پر سمجھا جانا چاہئے۔</v>
      </c>
    </row>
    <row r="75">
      <c r="A75" s="4">
        <v>74.0</v>
      </c>
      <c r="B75" s="5" t="s">
        <v>1891</v>
      </c>
      <c r="C75" s="5" t="s">
        <v>1892</v>
      </c>
      <c r="D75" s="5" t="s">
        <v>1893</v>
      </c>
      <c r="E75" s="5" t="s">
        <v>1894</v>
      </c>
      <c r="J75" s="6" t="str">
        <f>IFERROR(__xludf.DUMMYFUNCTION("GOOGLETRANSLATE(A75, ""en"", ""ur"")"),"74")</f>
        <v>74</v>
      </c>
      <c r="K75" s="6" t="str">
        <f>IFERROR(__xludf.DUMMYFUNCTION("GOOGLETRANSLATE(B75, ""en"", ""ur"")"),"بنیادی وجہ کیا ہے کہ گٹکا پریکٹیشنرز اکثر پریڈ اور عوامی جلوسوں میں پرفارم کرتے ہیں؟")</f>
        <v>بنیادی وجہ کیا ہے کہ گٹکا پریکٹیشنرز اکثر پریڈ اور عوامی جلوسوں میں پرفارم کرتے ہیں؟</v>
      </c>
      <c r="L75" s="6" t="str">
        <f>IFERROR(__xludf.DUMMYFUNCTION("GOOGLETRANSLATE(C75, ""en"", ""ur"")"),"A) چندہ مانگنا، B) کمیونٹی کی طاقت، نظم و ضبط اور ثقافتی ورثے کو ظاہر کرنے کا یہ ایک روایتی طریقہ ہے، C) نئے طلباء کو بھرتی کرنا، D) یہ احتجاج کی ایک شکل ہے۔")</f>
        <v>A) چندہ مانگنا، B) کمیونٹی کی طاقت، نظم و ضبط اور ثقافتی ورثے کو ظاہر کرنے کا یہ ایک روایتی طریقہ ہے، C) نئے طلباء کو بھرتی کرنا، D) یہ احتجاج کی ایک شکل ہے۔</v>
      </c>
      <c r="M75" s="6" t="str">
        <f>IFERROR(__xludf.DUMMYFUNCTION("GOOGLETRANSLATE(D75, ""en"", ""ur"")"),"ب) یہ کمیونٹی کی طاقت، نظم و ضبط اور ثقافتی ورثے کو ظاہر کرنے کا ایک روایتی طریقہ ہے۔")</f>
        <v>ب) یہ کمیونٹی کی طاقت، نظم و ضبط اور ثقافتی ورثے کو ظاہر کرنے کا ایک روایتی طریقہ ہے۔</v>
      </c>
      <c r="N75" s="6" t="str">
        <f>IFERROR(__xludf.DUMMYFUNCTION("GOOGLETRANSLATE(E75, ""en"", ""ur"")"),"عوامی پرفارمنس سکھ ثقافتی اور مذہبی تقریبات کا ایک متحرک اور لازمی حصہ ہیں۔")</f>
        <v>عوامی پرفارمنس سکھ ثقافتی اور مذہبی تقریبات کا ایک متحرک اور لازمی حصہ ہیں۔</v>
      </c>
    </row>
    <row r="76">
      <c r="A76" s="4">
        <v>75.0</v>
      </c>
      <c r="B76" s="5" t="s">
        <v>1895</v>
      </c>
      <c r="C76" s="5" t="s">
        <v>1896</v>
      </c>
      <c r="D76" s="5" t="s">
        <v>1897</v>
      </c>
      <c r="E76" s="5" t="s">
        <v>1898</v>
      </c>
      <c r="J76" s="6" t="str">
        <f>IFERROR(__xludf.DUMMYFUNCTION("GOOGLETRANSLATE(A76, ""en"", ""ur"")"),"75")</f>
        <v>75</v>
      </c>
      <c r="K76" s="6" t="str">
        <f>IFERROR(__xludf.DUMMYFUNCTION("GOOGLETRANSLATE(B76, ""en"", ""ur"")"),"کامیاب بلاک میں سب سے اہم عنصر کیا ہے؟")</f>
        <v>کامیاب بلاک میں سب سے اہم عنصر کیا ہے؟</v>
      </c>
      <c r="L76" s="6" t="str">
        <f>IFERROR(__xludf.DUMMYFUNCTION("GOOGLETRANSLATE(C76, ""en"", ""ur"")"),"A) بلاک کی طاقت، B) ڈھال کا سائز، C) وقت اور زاویہ، D) ہتھیار کا مواد")</f>
        <v>A) بلاک کی طاقت، B) ڈھال کا سائز، C) وقت اور زاویہ، D) ہتھیار کا مواد</v>
      </c>
      <c r="M76" s="6" t="str">
        <f>IFERROR(__xludf.DUMMYFUNCTION("GOOGLETRANSLATE(D76, ""en"", ""ur"")"),"سی) ٹائمنگ اور زاویہ")</f>
        <v>سی) ٹائمنگ اور زاویہ</v>
      </c>
      <c r="N76" s="6" t="str">
        <f>IFERROR(__xludf.DUMMYFUNCTION("GOOGLETRANSLATE(E76, ""en"", ""ur"")"),"ایک مناسب وقت والا بلاک جو حملے کو درست زاویے سے پورا کرتا ہے، کم سے کم کوشش کے ساتھ سب سے زیادہ طاقتور اسٹرائیک کو بھی ہٹا سکتا ہے۔")</f>
        <v>ایک مناسب وقت والا بلاک جو حملے کو درست زاویے سے پورا کرتا ہے، کم سے کم کوشش کے ساتھ سب سے زیادہ طاقتور اسٹرائیک کو بھی ہٹا سکتا ہے۔</v>
      </c>
    </row>
    <row r="77">
      <c r="A77" s="4">
        <v>76.0</v>
      </c>
      <c r="B77" s="5" t="s">
        <v>1756</v>
      </c>
      <c r="C77" s="5" t="s">
        <v>1757</v>
      </c>
      <c r="D77" s="5" t="s">
        <v>1758</v>
      </c>
      <c r="E77" s="5" t="s">
        <v>1899</v>
      </c>
      <c r="J77" s="6" t="str">
        <f>IFERROR(__xludf.DUMMYFUNCTION("GOOGLETRANSLATE(A77, ""en"", ""ur"")"),"76")</f>
        <v>76</v>
      </c>
      <c r="K77" s="6" t="str">
        <f>IFERROR(__xludf.DUMMYFUNCTION("GOOGLETRANSLATE(B77, ""en"", ""ur"")"),"ایک کھلاڑی روایتی بانے کے بجائے جدید ٹریک سوٹ پہنے ہوئے ہے۔ کیا رسمی مقابلے میں اس کی اجازت ہے؟")</f>
        <v>ایک کھلاڑی روایتی بانے کے بجائے جدید ٹریک سوٹ پہنے ہوئے ہے۔ کیا رسمی مقابلے میں اس کی اجازت ہے؟</v>
      </c>
      <c r="L77" s="6" t="str">
        <f>IFERROR(__xludf.DUMMYFUNCTION("GOOGLETRANSLATE(C77, ""en"", ""ur"")"),"A) نہیں، روایتی لباس لازمی ہے، B) ہاں، اگر یہ سرکاری ٹیم کی وردی ہے اور منتظمین کی طرف سے منظور شدہ ہے، C) صرف اس صورت میں جب ٹریک سوٹ نیلا ہو، D) ہاں، لیکن غلط یونیفارم کے لیے پوائنٹس کاٹے جائیں گے۔")</f>
        <v>A) نہیں، روایتی لباس لازمی ہے، B) ہاں، اگر یہ سرکاری ٹیم کی وردی ہے اور منتظمین کی طرف سے منظور شدہ ہے، C) صرف اس صورت میں جب ٹریک سوٹ نیلا ہو، D) ہاں، لیکن غلط یونیفارم کے لیے پوائنٹس کاٹے جائیں گے۔</v>
      </c>
      <c r="M77" s="6" t="str">
        <f>IFERROR(__xludf.DUMMYFUNCTION("GOOGLETRANSLATE(D77, ""en"", ""ur"")"),"ب) ہاں، اگر یہ سرکاری ٹیم کی وردی ہے اور منتظمین کی طرف سے منظور شدہ ہے۔")</f>
        <v>ب) ہاں، اگر یہ سرکاری ٹیم کی وردی ہے اور منتظمین کی طرف سے منظور شدہ ہے۔</v>
      </c>
      <c r="N77" s="6" t="str">
        <f>IFERROR(__xludf.DUMMYFUNCTION("GOOGLETRANSLATE(E77, ""en"", ""ur"")"),"جدید کھیل گٹکا میں، ٹیمیں اکثر پیشہ ورانہ شکل کے لیے معیاری ٹریک سوٹ یا یونیفارم پہنتی ہیں، اور اس کی اجازت ہے۔")</f>
        <v>جدید کھیل گٹکا میں، ٹیمیں اکثر پیشہ ورانہ شکل کے لیے معیاری ٹریک سوٹ یا یونیفارم پہنتی ہیں، اور اس کی اجازت ہے۔</v>
      </c>
    </row>
    <row r="78">
      <c r="A78" s="4">
        <v>77.0</v>
      </c>
      <c r="B78" s="5" t="s">
        <v>1736</v>
      </c>
      <c r="C78" s="5" t="s">
        <v>1737</v>
      </c>
      <c r="D78" s="5" t="s">
        <v>1738</v>
      </c>
      <c r="E78" s="5" t="s">
        <v>1739</v>
      </c>
      <c r="J78" s="6" t="str">
        <f>IFERROR(__xludf.DUMMYFUNCTION("GOOGLETRANSLATE(A78, ""en"", ""ur"")"),"77")</f>
        <v>77</v>
      </c>
      <c r="K78" s="6" t="str">
        <f>IFERROR(__xludf.DUMMYFUNCTION("GOOGLETRANSLATE(B78, ""en"", ""ur"")"),"ایک کھلاڑی کو ""طویل رابطے"" کے لیے سزا دی جاتی ہے۔ انہوں نے کیا کیا؟")</f>
        <v>ایک کھلاڑی کو "طویل رابطے" کے لیے سزا دی جاتی ہے۔ انہوں نے کیا کیا؟</v>
      </c>
      <c r="L78" s="6" t="str">
        <f>IFERROR(__xludf.DUMMYFUNCTION("GOOGLETRANSLATE(C78, ""en"", ""ur"")"),"A) انہوں نے اپنے بلاک کو بہت دیر تک تھام رکھا تھا، B) انہوں نے مارنے کی بجائے مخالف کو اپنی چھڑی سے دھکیل دیا، C) انہوں نے مخالف سے بہت دیر تک بات کی، D) انہوں نے شروع کرنے میں بہت زیادہ وقت لیا۔")</f>
        <v>A) انہوں نے اپنے بلاک کو بہت دیر تک تھام رکھا تھا، B) انہوں نے مارنے کی بجائے مخالف کو اپنی چھڑی سے دھکیل دیا، C) انہوں نے مخالف سے بہت دیر تک بات کی، D) انہوں نے شروع کرنے میں بہت زیادہ وقت لیا۔</v>
      </c>
      <c r="M78" s="6" t="str">
        <f>IFERROR(__xludf.DUMMYFUNCTION("GOOGLETRANSLATE(D78, ""en"", ""ur"")"),"ب) انہوں نے وار کرنے کے بجائے مخالف کو اپنی لاٹھی سے دھکیل دیا۔")</f>
        <v>ب) انہوں نے وار کرنے کے بجائے مخالف کو اپنی لاٹھی سے دھکیل دیا۔</v>
      </c>
      <c r="N78" s="6" t="str">
        <f>IFERROR(__xludf.DUMMYFUNCTION("GOOGLETRANSLATE(E78, ""en"", ""ur"")"),"تمام سٹرائیکس صاف ""ٹچز"" ہونی چاہئیں۔ مخالف کو دھکیلنے، دبانے یا غیر قانونی طور پر قابو کرنے کے لیے چھڑی کا استعمال غلط ہے۔")</f>
        <v>تمام سٹرائیکس صاف "ٹچز" ہونی چاہئیں۔ مخالف کو دھکیلنے، دبانے یا غیر قانونی طور پر قابو کرنے کے لیے چھڑی کا استعمال غلط ہے۔</v>
      </c>
    </row>
    <row r="79">
      <c r="A79" s="4">
        <v>78.0</v>
      </c>
      <c r="B79" s="5" t="s">
        <v>1900</v>
      </c>
      <c r="C79" s="5" t="s">
        <v>1901</v>
      </c>
      <c r="D79" s="5" t="s">
        <v>1902</v>
      </c>
      <c r="E79" s="5" t="s">
        <v>1903</v>
      </c>
      <c r="J79" s="6" t="str">
        <f>IFERROR(__xludf.DUMMYFUNCTION("GOOGLETRANSLATE(A79, ""en"", ""ur"")"),"78")</f>
        <v>78</v>
      </c>
      <c r="K79" s="6" t="str">
        <f>IFERROR(__xludf.DUMMYFUNCTION("GOOGLETRANSLATE(B79, ""en"", ""ur"")"),"جدید کھیل گٹکا میں قوانین کے سختی سے نفاذ کی بنیادی وجہ کیا ہے؟")</f>
        <v>جدید کھیل گٹکا میں قوانین کے سختی سے نفاذ کی بنیادی وجہ کیا ہے؟</v>
      </c>
      <c r="L79" s="6" t="str">
        <f>IFERROR(__xludf.DUMMYFUNCTION("GOOGLETRANSLATE(C79, ""en"", ""ur"")"),"A) کھیل کو مزید مشکل بنانے کے لیے، B) حریفوں کی حفاظت اور مقابلے کی شفافیت کو یقینی بنانے کے لیے، C) اسے دوسرے مارشل آرٹس جیسا بنانا، D) اسپانسرز کو مطمئن کرنا")</f>
        <v>A) کھیل کو مزید مشکل بنانے کے لیے، B) حریفوں کی حفاظت اور مقابلے کی شفافیت کو یقینی بنانے کے لیے، C) اسے دوسرے مارشل آرٹس جیسا بنانا، D) اسپانسرز کو مطمئن کرنا</v>
      </c>
      <c r="M79" s="6" t="str">
        <f>IFERROR(__xludf.DUMMYFUNCTION("GOOGLETRANSLATE(D79, ""en"", ""ur"")"),"ب) حریفوں کی حفاظت اور مقابلے کی منصفانہ پن کو یقینی بنانا")</f>
        <v>ب) حریفوں کی حفاظت اور مقابلے کی منصفانہ پن کو یقینی بنانا</v>
      </c>
      <c r="N79" s="6" t="str">
        <f>IFERROR(__xludf.DUMMYFUNCTION("GOOGLETRANSLATE(E79, ""en"", ""ur"")"),"روایتی مارشل آرٹ کو ایک محفوظ اور جائز جدید کھیل میں تبدیل کرنے کے لیے ایک واضح اور نافذ کردہ اصول کا سیٹ ضروری ہے۔")</f>
        <v>روایتی مارشل آرٹ کو ایک محفوظ اور جائز جدید کھیل میں تبدیل کرنے کے لیے ایک واضح اور نافذ کردہ اصول کا سیٹ ضروری ہے۔</v>
      </c>
    </row>
    <row r="80">
      <c r="A80" s="4">
        <v>79.0</v>
      </c>
      <c r="B80" s="5" t="s">
        <v>1904</v>
      </c>
      <c r="C80" s="5" t="s">
        <v>1905</v>
      </c>
      <c r="D80" s="5" t="s">
        <v>1906</v>
      </c>
      <c r="E80" s="5" t="s">
        <v>1907</v>
      </c>
      <c r="J80" s="6" t="str">
        <f>IFERROR(__xludf.DUMMYFUNCTION("GOOGLETRANSLATE(A80, ""en"", ""ur"")"),"79")</f>
        <v>79</v>
      </c>
      <c r="K80" s="6" t="str">
        <f>IFERROR(__xludf.DUMMYFUNCTION("GOOGLETRANSLATE(B80, ""en"", ""ur"")"),"""سنت سپاہی"" (سینٹ سپاہی) کے آئیڈیل کے مطابق، گٹکا کرنے والے کا حتمی مقصد کیا ہے؟")</f>
        <v>"سنت سپاہی" (سینٹ سپاہی) کے آئیڈیل کے مطابق، گٹکا کرنے والے کا حتمی مقصد کیا ہے؟</v>
      </c>
      <c r="L80" s="6" t="str">
        <f>IFERROR(__xludf.DUMMYFUNCTION("GOOGLETRANSLATE(C80, ""en"", ""ur"")"),"A) لڑائی میں ناقابل تسخیر بننا، B) خود پر عبور حاصل کرنا اور نظم و ضبط، ہمت اور خدمت کی زندگی گزارنا، C) عالمی چیمپئن شپ جیتنا، D) اپنا سکول کھولنا (اکھاڑہ)")</f>
        <v>A) لڑائی میں ناقابل تسخیر بننا، B) خود پر عبور حاصل کرنا اور نظم و ضبط، ہمت اور خدمت کی زندگی گزارنا، C) عالمی چیمپئن شپ جیتنا، D) اپنا سکول کھولنا (اکھاڑہ)</v>
      </c>
      <c r="M80" s="6" t="str">
        <f>IFERROR(__xludf.DUMMYFUNCTION("GOOGLETRANSLATE(D80, ""en"", ""ur"")"),"ب) نفس پر عبور حاصل کرنا اور نظم و ضبط، ہمت اور خدمت کی زندگی گزارنا")</f>
        <v>ب) نفس پر عبور حاصل کرنا اور نظم و ضبط، ہمت اور خدمت کی زندگی گزارنا</v>
      </c>
      <c r="N80" s="6" t="str">
        <f>IFERROR(__xludf.DUMMYFUNCTION("GOOGLETRANSLATE(E80, ""en"", ""ur"")"),"""سنت سپاہی"" کے آئیڈیل کے مطابق، حتمی مقصد صرف لڑنے کی صلاحیت نہیں ہے، بلکہ اپنے کردار کی نشوونما ہے۔")</f>
        <v>"سنت سپاہی" کے آئیڈیل کے مطابق، حتمی مقصد صرف لڑنے کی صلاحیت نہیں ہے، بلکہ اپنے کردار کی نشوونما ہے۔</v>
      </c>
    </row>
    <row r="81">
      <c r="A81" s="4">
        <v>80.0</v>
      </c>
      <c r="B81" s="5" t="s">
        <v>1908</v>
      </c>
      <c r="C81" s="5" t="s">
        <v>1909</v>
      </c>
      <c r="D81" s="5" t="s">
        <v>1910</v>
      </c>
      <c r="E81" s="5" t="s">
        <v>1911</v>
      </c>
      <c r="J81" s="6" t="str">
        <f>IFERROR(__xludf.DUMMYFUNCTION("GOOGLETRANSLATE(A81, ""en"", ""ur"")"),"80")</f>
        <v>80</v>
      </c>
      <c r="K81" s="6" t="str">
        <f>IFERROR(__xludf.DUMMYFUNCTION("GOOGLETRANSLATE(B81, ""en"", ""ur"")"),"کھیل گٹکا میں بنیادی ہدف کا علاقہ کون سا ہے جو سب سے زیادہ پوائنٹس دیتا ہے؟")</f>
        <v>کھیل گٹکا میں بنیادی ہدف کا علاقہ کون سا ہے جو سب سے زیادہ پوائنٹس دیتا ہے؟</v>
      </c>
      <c r="L81" s="6" t="str">
        <f>IFERROR(__xludf.DUMMYFUNCTION("GOOGLETRANSLATE(C81, ""en"", ""ur"")"),"A) مخالف کی چھڑی، B) مخالف کی ڈھال، C) مخالف کا دھڑ، D) مخالف کی ٹانگیں")</f>
        <v>A) مخالف کی چھڑی، B) مخالف کی ڈھال، C) مخالف کا دھڑ، D) مخالف کی ٹانگیں</v>
      </c>
      <c r="M81" s="6" t="str">
        <f>IFERROR(__xludf.DUMMYFUNCTION("GOOGLETRANSLATE(D81, ""en"", ""ur"")"),"ج) مخالف کا دھڑ")</f>
        <v>ج) مخالف کا دھڑ</v>
      </c>
      <c r="N81" s="6" t="str">
        <f>IFERROR(__xludf.DUMMYFUNCTION("GOOGLETRANSLATE(E81, ""en"", ""ur"")"),"ایک مسابقتی میچ میں پوائنٹس اسکور کرنے کا بنیادی طریقہ مین باڈی ایریا پر صاف، کنٹرول شدہ سٹرائیکس ہیں۔")</f>
        <v>ایک مسابقتی میچ میں پوائنٹس اسکور کرنے کا بنیادی طریقہ مین باڈی ایریا پر صاف، کنٹرول شدہ سٹرائیکس ہیں۔</v>
      </c>
    </row>
    <row r="82">
      <c r="A82" s="4">
        <v>81.0</v>
      </c>
      <c r="B82" s="5" t="s">
        <v>1912</v>
      </c>
      <c r="C82" s="5" t="s">
        <v>1913</v>
      </c>
      <c r="D82" s="5" t="s">
        <v>1914</v>
      </c>
      <c r="E82" s="5" t="s">
        <v>1915</v>
      </c>
      <c r="J82" s="6" t="str">
        <f>IFERROR(__xludf.DUMMYFUNCTION("GOOGLETRANSLATE(A82, ""en"", ""ur"")"),"81")</f>
        <v>81</v>
      </c>
      <c r="K82" s="6" t="str">
        <f>IFERROR(__xludf.DUMMYFUNCTION("GOOGLETRANSLATE(B82, ""en"", ""ur"")"),"نہنگ کے حکم سے پہننے والے لباس (بانا) کا روایتی رنگ کیا ہے؟")</f>
        <v>نہنگ کے حکم سے پہننے والے لباس (بانا) کا روایتی رنگ کیا ہے؟</v>
      </c>
      <c r="L82" s="6" t="str">
        <f>IFERROR(__xludf.DUMMYFUNCTION("GOOGLETRANSLATE(C82, ""en"", ""ur"")"),"A) زعفران، B) سفید، C) الیکٹرک بلیو، D) سیاہ")</f>
        <v>A) زعفران، B) سفید، C) الیکٹرک بلیو، D) سیاہ</v>
      </c>
      <c r="M82" s="6" t="str">
        <f>IFERROR(__xludf.DUMMYFUNCTION("GOOGLETRANSLATE(D82, ""en"", ""ur"")"),"ج) الیکٹرک بلیو")</f>
        <v>ج) الیکٹرک بلیو</v>
      </c>
      <c r="N82" s="6" t="str">
        <f>IFERROR(__xludf.DUMMYFUNCTION("GOOGLETRANSLATE(E82, ""en"", ""ur"")"),"نہنگ جنگجو ""نیلے پوش"" فوج کے نام سے مشہور ہیں، اور ان کے مخصوص نیلے لباس ان کی شناخت کا ایک اہم حصہ ہیں۔")</f>
        <v>نہنگ جنگجو "نیلے پوش" فوج کے نام سے مشہور ہیں، اور ان کے مخصوص نیلے لباس ان کی شناخت کا ایک اہم حصہ ہیں۔</v>
      </c>
    </row>
    <row r="83">
      <c r="A83" s="4">
        <v>82.0</v>
      </c>
      <c r="B83" s="5" t="s">
        <v>1916</v>
      </c>
      <c r="C83" s="5" t="s">
        <v>1917</v>
      </c>
      <c r="D83" s="5" t="s">
        <v>1918</v>
      </c>
      <c r="E83" s="5" t="s">
        <v>1919</v>
      </c>
      <c r="J83" s="6" t="str">
        <f>IFERROR(__xludf.DUMMYFUNCTION("GOOGLETRANSLATE(A83, ""en"", ""ur"")"),"82")</f>
        <v>82</v>
      </c>
      <c r="K83" s="6" t="str">
        <f>IFERROR(__xludf.DUMMYFUNCTION("GOOGLETRANSLATE(B83, ""en"", ""ur"")"),"فائنل ٹورنامنٹ میچ میں 'ڈرا' یا جور کو کیسے ہینڈل کیا جاتا ہے؟")</f>
        <v>فائنل ٹورنامنٹ میچ میں 'ڈرا' یا جور کو کیسے ہینڈل کیا جاتا ہے؟</v>
      </c>
      <c r="L83" s="6" t="str">
        <f>IFERROR(__xludf.DUMMYFUNCTION("GOOGLETRANSLATE(C83, ""en"", ""ur"")"),"A) یہ مشترکہ فتح ہے، B) واضح فاتح کا تعین کرنے کے لیے ایک اضافی راؤنڈ کھیلا جاتا ہے، C) کم جرمانے والا کھلاڑی جیت جاتا ہے، D) فاتح کا فیصلہ سکے کے ٹاس سے کیا جاتا ہے۔")</f>
        <v>A) یہ مشترکہ فتح ہے، B) واضح فاتح کا تعین کرنے کے لیے ایک اضافی راؤنڈ کھیلا جاتا ہے، C) کم جرمانے والا کھلاڑی جیت جاتا ہے، D) فاتح کا فیصلہ سکے کے ٹاس سے کیا جاتا ہے۔</v>
      </c>
      <c r="M83" s="6" t="str">
        <f>IFERROR(__xludf.DUMMYFUNCTION("GOOGLETRANSLATE(D83, ""en"", ""ur"")"),"ب) واضح فاتح کا تعین کرنے کے لیے ایک اضافی راؤنڈ کھیلا جاتا ہے۔")</f>
        <v>ب) واضح فاتح کا تعین کرنے کے لیے ایک اضافی راؤنڈ کھیلا جاتا ہے۔</v>
      </c>
      <c r="N83" s="6" t="str">
        <f>IFERROR(__xludf.DUMMYFUNCTION("GOOGLETRANSLATE(E83, ""en"", ""ur"")"),"ٹورنامنٹ کی ترتیب میں، ایک فیصلہ کن فاتح کی ضرورت ہوتی ہے، لہذا پوائنٹس پر ٹائی اوور ٹائم راؤنڈ کی طرف لے جاتی ہے۔")</f>
        <v>ٹورنامنٹ کی ترتیب میں، ایک فیصلہ کن فاتح کی ضرورت ہوتی ہے، لہذا پوائنٹس پر ٹائی اوور ٹائم راؤنڈ کی طرف لے جاتی ہے۔</v>
      </c>
    </row>
    <row r="84">
      <c r="A84" s="4">
        <v>83.0</v>
      </c>
      <c r="B84" s="5" t="s">
        <v>1920</v>
      </c>
      <c r="C84" s="5" t="s">
        <v>1921</v>
      </c>
      <c r="D84" s="5" t="s">
        <v>1922</v>
      </c>
      <c r="E84" s="5" t="s">
        <v>1923</v>
      </c>
      <c r="J84" s="6" t="str">
        <f>IFERROR(__xludf.DUMMYFUNCTION("GOOGLETRANSLATE(A84, ""en"", ""ur"")"),"83")</f>
        <v>83</v>
      </c>
      <c r="K84" s="6" t="str">
        <f>IFERROR(__xludf.DUMMYFUNCTION("GOOGLETRANSLATE(B84, ""en"", ""ur"")"),"گٹکا میں تال کی چال یا فٹ ورک پیٹرن کو کیا کہا جاتا ہے؟")</f>
        <v>گٹکا میں تال کی چال یا فٹ ورک پیٹرن کو کیا کہا جاتا ہے؟</v>
      </c>
      <c r="L84" s="6" t="str">
        <f>IFERROR(__xludf.DUMMYFUNCTION("GOOGLETRANSLATE(C84, ""en"", ""ur"")"),"A) چل، B) کریا، C) آسن، D) تال")</f>
        <v>A) چل، B) کریا، C) آسن، D) تال</v>
      </c>
      <c r="M84" s="6" t="str">
        <f>IFERROR(__xludf.DUMMYFUNCTION("GOOGLETRANSLATE(D84, ""en"", ""ur"")"),"ا) چال")</f>
        <v>ا) چال</v>
      </c>
      <c r="N84" s="6" t="str">
        <f>IFERROR(__xludf.DUMMYFUNCTION("GOOGLETRANSLATE(E84, ""en"", ""ur"")"),"چال سے مراد خصوصیت کی تال کی حرکت اور فٹ ورک ہے جو لڑاکا کو متوازن اور تیار رکھتا ہے۔")</f>
        <v>چال سے مراد خصوصیت کی تال کی حرکت اور فٹ ورک ہے جو لڑاکا کو متوازن اور تیار رکھتا ہے۔</v>
      </c>
    </row>
    <row r="85">
      <c r="A85" s="4">
        <v>84.0</v>
      </c>
      <c r="B85" s="5" t="s">
        <v>1924</v>
      </c>
      <c r="C85" s="5" t="s">
        <v>1925</v>
      </c>
      <c r="D85" s="5" t="s">
        <v>1926</v>
      </c>
      <c r="E85" s="5" t="s">
        <v>1927</v>
      </c>
      <c r="J85" s="6" t="str">
        <f>IFERROR(__xludf.DUMMYFUNCTION("GOOGLETRANSLATE(A85, ""en"", ""ur"")"),"84")</f>
        <v>84</v>
      </c>
      <c r="K85" s="6" t="str">
        <f>IFERROR(__xludf.DUMMYFUNCTION("GOOGLETRANSLATE(B85, ""en"", ""ur"")"),"ایک کھلاڑی کو ""corps-a-corps"" کے لیے سزا دی جاتی ہے۔ گٹکا میں اس کا کیا مطلب ہے؟")</f>
        <v>ایک کھلاڑی کو "corps-a-corps" کے لیے سزا دی جاتی ہے۔ گٹکا میں اس کا کیا مطلب ہے؟</v>
      </c>
      <c r="L85" s="6" t="str">
        <f>IFERROR(__xludf.DUMMYFUNCTION("GOOGLETRANSLATE(C85, ""en"", ""ur"")"),"A) انہوں نے ایک گرے ہوئے مخالف کو مارا، B) انہوں نے جان بوجھ کر جسم سے جسمانی رابطہ کیا، C) انہوں نے غیر قانونی ہتھیار استعمال کیا، D) انہوں نے لڑنے سے انکار کر دیا۔")</f>
        <v>A) انہوں نے ایک گرے ہوئے مخالف کو مارا، B) انہوں نے جان بوجھ کر جسم سے جسمانی رابطہ کیا، C) انہوں نے غیر قانونی ہتھیار استعمال کیا، D) انہوں نے لڑنے سے انکار کر دیا۔</v>
      </c>
      <c r="M85" s="6" t="str">
        <f>IFERROR(__xludf.DUMMYFUNCTION("GOOGLETRANSLATE(D85, ""en"", ""ur"")"),"ب) انہوں نے جان بوجھ کر جسم سے جسمانی رابطہ کیا۔")</f>
        <v>ب) انہوں نے جان بوجھ کر جسم سے جسمانی رابطہ کیا۔</v>
      </c>
      <c r="N85" s="6" t="str">
        <f>IFERROR(__xludf.DUMMYFUNCTION("GOOGLETRANSLATE(E85, ""en"", ""ur"")"),"اسٹک فائٹنگ میں، کھلاڑیوں کو ہتھیار کا فاصلہ برقرار رکھنا چاہیے۔ جان بوجھ کر جسم سے رابطہ کرنا جیسے دھکیلنا یا گرفت کرنا ایک غلط ہے۔")</f>
        <v>اسٹک فائٹنگ میں، کھلاڑیوں کو ہتھیار کا فاصلہ برقرار رکھنا چاہیے۔ جان بوجھ کر جسم سے رابطہ کرنا جیسے دھکیلنا یا گرفت کرنا ایک غلط ہے۔</v>
      </c>
    </row>
    <row r="86">
      <c r="A86" s="4">
        <v>85.0</v>
      </c>
      <c r="B86" s="5" t="s">
        <v>1928</v>
      </c>
      <c r="C86" s="5" t="s">
        <v>1929</v>
      </c>
      <c r="D86" s="5" t="s">
        <v>1722</v>
      </c>
      <c r="E86" s="5" t="s">
        <v>1930</v>
      </c>
      <c r="J86" s="6" t="str">
        <f>IFERROR(__xludf.DUMMYFUNCTION("GOOGLETRANSLATE(A86, ""en"", ""ur"")"),"85")</f>
        <v>85</v>
      </c>
      <c r="K86" s="6" t="str">
        <f>IFERROR(__xludf.DUMMYFUNCTION("GOOGLETRANSLATE(B86, ""en"", ""ur"")"),"گٹکا میں ""چل"" یا تال کی چال کا بنیادی مقصد کیا ہے؟")</f>
        <v>گٹکا میں "چل" یا تال کی چال کا بنیادی مقصد کیا ہے؟</v>
      </c>
      <c r="L86" s="6" t="str">
        <f>IFERROR(__xludf.DUMMYFUNCTION("GOOGLETRANSLATE(C86, ""en"", ""ur"")"),"A) خوبصورت نظر آنے کے لئے، B) تال، وقت، اور حرکت کے لئے مسلسل تیاری کو برقرار رکھنے کے لئے، C) مخالف کو الجھانے کے لئے، D) پٹھوں کو گرم کرنے کے لئے")</f>
        <v>A) خوبصورت نظر آنے کے لئے، B) تال، وقت، اور حرکت کے لئے مسلسل تیاری کو برقرار رکھنے کے لئے، C) مخالف کو الجھانے کے لئے، D) پٹھوں کو گرم کرنے کے لئے</v>
      </c>
      <c r="M86" s="6" t="str">
        <f>IFERROR(__xludf.DUMMYFUNCTION("GOOGLETRANSLATE(D86, ""en"", ""ur"")"),"ب) تال، وقت، اور حرکت کے لیے مستقل تیاری کو برقرار رکھنے کے لیے")</f>
        <v>ب) تال، وقت، اور حرکت کے لیے مستقل تیاری کو برقرار رکھنے کے لیے</v>
      </c>
      <c r="N86" s="6" t="str">
        <f>IFERROR(__xludf.DUMMYFUNCTION("GOOGLETRANSLATE(E86, ""en"", ""ur"")"),"خصوصیت والی تال کی حرکت صرف دکھانے کے لیے نہیں ہے۔ یہ لڑاکا کے جسم اور دماغ کو سیال تیاری کی حالت میں رکھتا ہے۔")</f>
        <v>خصوصیت والی تال کی حرکت صرف دکھانے کے لیے نہیں ہے۔ یہ لڑاکا کے جسم اور دماغ کو سیال تیاری کی حالت میں رکھتا ہے۔</v>
      </c>
    </row>
    <row r="87">
      <c r="A87" s="4">
        <v>86.0</v>
      </c>
      <c r="B87" s="5" t="s">
        <v>1931</v>
      </c>
      <c r="C87" s="5" t="s">
        <v>1932</v>
      </c>
      <c r="D87" s="5" t="s">
        <v>1933</v>
      </c>
      <c r="E87" s="5" t="s">
        <v>1934</v>
      </c>
      <c r="J87" s="6" t="str">
        <f>IFERROR(__xludf.DUMMYFUNCTION("GOOGLETRANSLATE(A87, ""en"", ""ur"")"),"86")</f>
        <v>86</v>
      </c>
      <c r="K87" s="6" t="str">
        <f>IFERROR(__xludf.DUMMYFUNCTION("GOOGLETRANSLATE(B87, ""en"", ""ur"")"),"وہ ""گٹکا"" کیا ہے جس سے اس کھیل کا نام پڑا؟")</f>
        <v>وہ "گٹکا" کیا ہے جس سے اس کھیل کا نام پڑا؟</v>
      </c>
      <c r="L87" s="6" t="str">
        <f>IFERROR(__xludf.DUMMYFUNCTION("GOOGLETRANSLATE(C87, ""en"", ""ur"")"),"A) تلوار کی ایک قسم، B) لکڑی کی چھڑی جو تربیت کے لیے استعمال ہوتی ہے، C) ڈھال، D) لڑائی کا میدان")</f>
        <v>A) تلوار کی ایک قسم، B) لکڑی کی چھڑی جو تربیت کے لیے استعمال ہوتی ہے، C) ڈھال، D) لڑائی کا میدان</v>
      </c>
      <c r="M87" s="6" t="str">
        <f>IFERROR(__xludf.DUMMYFUNCTION("GOOGLETRANSLATE(D87, ""en"", ""ur"")"),"ب) لکڑی کی چھڑی جو تربیت کے لیے استعمال ہوتی ہے۔")</f>
        <v>ب) لکڑی کی چھڑی جو تربیت کے لیے استعمال ہوتی ہے۔</v>
      </c>
      <c r="N87" s="6" t="str">
        <f>IFERROR(__xludf.DUMMYFUNCTION("GOOGLETRANSLATE(E87, ""en"", ""ur"")"),"""گٹکا"" نام سے مراد لکڑی کی تربیتی چھڑی ہے، جو اس فن میں اس قدر مرکزی حیثیت رکھتی ہے کہ پورے کھیل کا نام اسی کے نام پر رکھا گیا ہے۔")</f>
        <v>"گٹکا" نام سے مراد لکڑی کی تربیتی چھڑی ہے، جو اس فن میں اس قدر مرکزی حیثیت رکھتی ہے کہ پورے کھیل کا نام اسی کے نام پر رکھا گیا ہے۔</v>
      </c>
    </row>
    <row r="88">
      <c r="A88" s="4">
        <v>87.0</v>
      </c>
      <c r="B88" s="5" t="s">
        <v>1935</v>
      </c>
      <c r="C88" s="5" t="s">
        <v>1768</v>
      </c>
      <c r="D88" s="5" t="s">
        <v>1769</v>
      </c>
      <c r="E88" s="5" t="s">
        <v>1770</v>
      </c>
      <c r="J88" s="6" t="str">
        <f>IFERROR(__xludf.DUMMYFUNCTION("GOOGLETRANSLATE(A88, ""en"", ""ur"")"),"87")</f>
        <v>87</v>
      </c>
      <c r="K88" s="6" t="str">
        <f>IFERROR(__xludf.DUMMYFUNCTION("GOOGLETRANSLATE(B88, ""en"", ""ur"")"),"ایک کھلاڑی 15-5 سے میچ جیتتا ہے۔ ریفری لڑائی روکتا ہے۔ یہ کس چیز کی جیت ہے؟")</f>
        <v>ایک کھلاڑی 15-5 سے میچ جیتتا ہے۔ ریفری لڑائی روکتا ہے۔ یہ کس چیز کی جیت ہے؟</v>
      </c>
      <c r="L88" s="6" t="str">
        <f>IFERROR(__xludf.DUMMYFUNCTION("GOOGLETRANSLATE(C88, ""en"", ""ur"")"),"A) ناک آؤٹ، B) تکنیکی برتری، C) پوائنٹس پر جیت، D) نااہلی")</f>
        <v>A) ناک آؤٹ، B) تکنیکی برتری، C) پوائنٹس پر جیت، D) نااہلی</v>
      </c>
      <c r="M88" s="6" t="str">
        <f>IFERROR(__xludf.DUMMYFUNCTION("GOOGLETRANSLATE(D88, ""en"", ""ur"")"),"ب) تکنیکی برتری")</f>
        <v>ب) تکنیکی برتری</v>
      </c>
      <c r="N88" s="6" t="str">
        <f>IFERROR(__xludf.DUMMYFUNCTION("GOOGLETRANSLATE(E88, ""en"", ""ur"")"),"اگر کوئی لڑاکا 10 یا اس سے زیادہ پوائنٹس کی برتری حاصل کرتا ہے، تو میچ روک دیا جاتا ہے، اور انہیں ""تکنیکی برتری"" (رحم کا اصول) کے ذریعے فاتح قرار دیا جاتا ہے۔")</f>
        <v>اگر کوئی لڑاکا 10 یا اس سے زیادہ پوائنٹس کی برتری حاصل کرتا ہے، تو میچ روک دیا جاتا ہے، اور انہیں "تکنیکی برتری" (رحم کا اصول) کے ذریعے فاتح قرار دیا جاتا ہے۔</v>
      </c>
    </row>
    <row r="89">
      <c r="A89" s="4">
        <v>88.0</v>
      </c>
      <c r="B89" s="5" t="s">
        <v>1936</v>
      </c>
      <c r="C89" s="5" t="s">
        <v>1772</v>
      </c>
      <c r="D89" s="5" t="s">
        <v>1773</v>
      </c>
      <c r="E89" s="5" t="s">
        <v>1774</v>
      </c>
      <c r="J89" s="6" t="str">
        <f>IFERROR(__xludf.DUMMYFUNCTION("GOOGLETRANSLATE(A89, ""en"", ""ur"")"),"88")</f>
        <v>88</v>
      </c>
      <c r="K89" s="6" t="str">
        <f>IFERROR(__xludf.DUMMYFUNCTION("GOOGLETRANSLATE(B89, ""en"", ""ur"")"),"گروئن گارڈ کا بنیادی مقصد کیا ہے؟")</f>
        <v>گروئن گارڈ کا بنیادی مقصد کیا ہے؟</v>
      </c>
      <c r="L89" s="6" t="str">
        <f>IFERROR(__xludf.DUMMYFUNCTION("GOOGLETRANSLATE(C89, ""en"", ""ur"")"),"A) یہ یونیفارم کا روایتی حصہ ہے، B) یہ حادثاتی غیر قانونی حملوں سے بچانے کے لیے حفاظتی سامان کا ایک لازمی حصہ ہے، C) یہ بہتر توازن کے لیے وزن بڑھاتا ہے، D) یہ مرد جنگجوؤں کے لیے اختیاری ہے۔")</f>
        <v>A) یہ یونیفارم کا روایتی حصہ ہے، B) یہ حادثاتی غیر قانونی حملوں سے بچانے کے لیے حفاظتی سامان کا ایک لازمی حصہ ہے، C) یہ بہتر توازن کے لیے وزن بڑھاتا ہے، D) یہ مرد جنگجوؤں کے لیے اختیاری ہے۔</v>
      </c>
      <c r="M89" s="6" t="str">
        <f>IFERROR(__xludf.DUMMYFUNCTION("GOOGLETRANSLATE(D89, ""en"", ""ur"")"),"ب) حادثاتی غیر قانونی حملوں سے حفاظت کے لیے یہ حفاظتی سامان کا ایک لازمی حصہ ہے۔")</f>
        <v>ب) حادثاتی غیر قانونی حملوں سے حفاظت کے لیے یہ حفاظتی سامان کا ایک لازمی حصہ ہے۔</v>
      </c>
      <c r="N89" s="6" t="str">
        <f>IFERROR(__xludf.DUMMYFUNCTION("GOOGLETRANSLATE(E89, ""en"", ""ur"")"),"گروئن پروٹیکٹر جنگجوؤں کو خطرناک اور غیر قانونی ہدف والے علاقے میں حادثاتی حملوں سے بچانے کے لیے ضروری سامان ہے۔")</f>
        <v>گروئن پروٹیکٹر جنگجوؤں کو خطرناک اور غیر قانونی ہدف والے علاقے میں حادثاتی حملوں سے بچانے کے لیے ضروری سامان ہے۔</v>
      </c>
    </row>
    <row r="90">
      <c r="A90" s="4">
        <v>89.0</v>
      </c>
      <c r="B90" s="5" t="s">
        <v>1716</v>
      </c>
      <c r="C90" s="5" t="s">
        <v>1717</v>
      </c>
      <c r="D90" s="5" t="s">
        <v>1718</v>
      </c>
      <c r="E90" s="5" t="s">
        <v>1719</v>
      </c>
      <c r="J90" s="6" t="str">
        <f>IFERROR(__xludf.DUMMYFUNCTION("GOOGLETRANSLATE(A90, ""en"", ""ur"")"),"89")</f>
        <v>89</v>
      </c>
      <c r="K90" s="6" t="str">
        <f>IFERROR(__xludf.DUMMYFUNCTION("GOOGLETRANSLATE(B90, ""en"", ""ur"")"),"ایک ریفری نیلے رنگ کا جھنڈا اٹھا رہا ہے۔ اس سے کیا مراد ہے؟")</f>
        <v>ایک ریفری نیلے رنگ کا جھنڈا اٹھا رہا ہے۔ اس سے کیا مراد ہے؟</v>
      </c>
      <c r="L90" s="6" t="str">
        <f>IFERROR(__xludf.DUMMYFUNCTION("GOOGLETRANSLATE(C90, ""en"", ""ur"")"),"A) نیلے کونے میں فائٹر کی طرف سے ایک غلط کام کیا گیا تھا، B) نیلے کونے سے فائٹر کے ذریعہ ایک پوائنٹ اسکور کیا گیا تھا، C) راؤنڈ کا اختتام، D) نیلے کونے کے لئے ایک ٹائم آؤٹ")</f>
        <v>A) نیلے کونے میں فائٹر کی طرف سے ایک غلط کام کیا گیا تھا، B) نیلے کونے سے فائٹر کے ذریعہ ایک پوائنٹ اسکور کیا گیا تھا، C) راؤنڈ کا اختتام، D) نیلے کونے کے لئے ایک ٹائم آؤٹ</v>
      </c>
      <c r="M90" s="6" t="str">
        <f>IFERROR(__xludf.DUMMYFUNCTION("GOOGLETRANSLATE(D90, ""en"", ""ur"")"),"B) نیلے کونے سے فائٹر نے ایک پوائنٹ اسکور کیا۔")</f>
        <v>B) نیلے کونے سے فائٹر نے ایک پوائنٹ اسکور کیا۔</v>
      </c>
      <c r="N90" s="6" t="str">
        <f>IFERROR(__xludf.DUMMYFUNCTION("GOOGLETRANSLATE(E90, ""en"", ""ur"")"),"ریفری اور ججز رنگین جھنڈوں (سرخ اور نیلے) کا استعمال کرتے ہیں جو پوائنٹس دینے کے لیے جنگجوؤں کے کونے کے رنگوں سے مطابقت رکھتے ہیں۔")</f>
        <v>ریفری اور ججز رنگین جھنڈوں (سرخ اور نیلے) کا استعمال کرتے ہیں جو پوائنٹس دینے کے لیے جنگجوؤں کے کونے کے رنگوں سے مطابقت رکھتے ہیں۔</v>
      </c>
    </row>
    <row r="91">
      <c r="A91" s="4">
        <v>90.0</v>
      </c>
      <c r="B91" s="5" t="s">
        <v>1779</v>
      </c>
      <c r="C91" s="5" t="s">
        <v>1780</v>
      </c>
      <c r="D91" s="5" t="s">
        <v>1781</v>
      </c>
      <c r="E91" s="5" t="s">
        <v>1782</v>
      </c>
      <c r="J91" s="6" t="str">
        <f>IFERROR(__xludf.DUMMYFUNCTION("GOOGLETRANSLATE(A91, ""en"", ""ur"")"),"90")</f>
        <v>90</v>
      </c>
      <c r="K91" s="6" t="str">
        <f>IFERROR(__xludf.DUMMYFUNCTION("GOOGLETRANSLATE(B91, ""en"", ""ur"")"),"""بیر آسن"" کا موقف وسیع اور پست کیوں ہے؟")</f>
        <v>"بیر آسن" کا موقف وسیع اور پست کیوں ہے؟</v>
      </c>
      <c r="L91" s="6" t="str">
        <f>IFERROR(__xludf.DUMMYFUNCTION("GOOGLETRANSLATE(C91, ""en"", ""ur"")"),"A) کھلاڑی کو چھوٹا ہدف بنانے کے لیے، B) زیادہ سے زیادہ استحکام اور بجلی پیدا کرنے کے لیے مرکز ثقل کو کم کرنے کے لیے، C) یہ آرام کرنے کا موقف ہے، D) ٹانگوں کے پٹھوں کو کھینچنا")</f>
        <v>A) کھلاڑی کو چھوٹا ہدف بنانے کے لیے، B) زیادہ سے زیادہ استحکام اور بجلی پیدا کرنے کے لیے مرکز ثقل کو کم کرنے کے لیے، C) یہ آرام کرنے کا موقف ہے، D) ٹانگوں کے پٹھوں کو کھینچنا</v>
      </c>
      <c r="M91" s="6" t="str">
        <f>IFERROR(__xludf.DUMMYFUNCTION("GOOGLETRANSLATE(D91, ""en"", ""ur"")"),"ب) زیادہ سے زیادہ استحکام اور بجلی کی پیداوار کے لیے مرکز ثقل کو کم کرنا")</f>
        <v>ب) زیادہ سے زیادہ استحکام اور بجلی کی پیداوار کے لیے مرکز ثقل کو کم کرنا</v>
      </c>
      <c r="N91" s="6" t="str">
        <f>IFERROR(__xludf.DUMMYFUNCTION("GOOGLETRANSLATE(E91, ""en"", ""ur"")"),"ایک پست، زمینی موقف گٹکا میں تمام طاقت اور توازن کا ذریعہ ہے، دوسرے مارشل آرٹس کی طرح۔")</f>
        <v>ایک پست، زمینی موقف گٹکا میں تمام طاقت اور توازن کا ذریعہ ہے، دوسرے مارشل آرٹس کی طرح۔</v>
      </c>
    </row>
    <row r="92">
      <c r="A92" s="4">
        <v>91.0</v>
      </c>
      <c r="B92" s="5" t="s">
        <v>1783</v>
      </c>
      <c r="C92" s="5" t="s">
        <v>1784</v>
      </c>
      <c r="D92" s="5" t="s">
        <v>1785</v>
      </c>
      <c r="E92" s="5" t="s">
        <v>1786</v>
      </c>
      <c r="J92" s="6" t="str">
        <f>IFERROR(__xludf.DUMMYFUNCTION("GOOGLETRANSLATE(A92, ""en"", ""ur"")"),"91")</f>
        <v>91</v>
      </c>
      <c r="K92" s="6" t="str">
        <f>IFERROR(__xludf.DUMMYFUNCTION("GOOGLETRANSLATE(B92, ""en"", ""ur"")"),"ٹینڈنگ (میچ) اور سینی (فنکارانہ) زمروں میں بنیادی فرق کیا ہے؟")</f>
        <v>ٹینڈنگ (میچ) اور سینی (فنکارانہ) زمروں میں بنیادی فرق کیا ہے؟</v>
      </c>
      <c r="L92" s="6" t="str">
        <f>IFERROR(__xludf.DUMMYFUNCTION("GOOGLETRANSLATE(C92, ""en"", ""ur"")"),"A) کوئی فرق نہیں ہے، B) ٹینڈنگ مسابقتی جھگڑا ہے، جبکہ سینی کو فارم کی کارکردگی پر پرکھا جاتا ہے، C) سینی ہتھیاروں کا استعمال کرتا ہے، D) ٹینڈنگ صرف مردوں کے لیے ہے۔")</f>
        <v>A) کوئی فرق نہیں ہے، B) ٹینڈنگ مسابقتی جھگڑا ہے، جبکہ سینی کو فارم کی کارکردگی پر پرکھا جاتا ہے، C) سینی ہتھیاروں کا استعمال کرتا ہے، D) ٹینڈنگ صرف مردوں کے لیے ہے۔</v>
      </c>
      <c r="M92" s="6" t="str">
        <f>IFERROR(__xludf.DUMMYFUNCTION("GOOGLETRANSLATE(D92, ""en"", ""ur"")"),"ب) ٹینڈنگ مسابقتی جھگڑا ہے، جبکہ سینی کو فارم کی کارکردگی پر پرکھا جاتا ہے۔")</f>
        <v>ب) ٹینڈنگ مسابقتی جھگڑا ہے، جبکہ سینی کو فارم کی کارکردگی پر پرکھا جاتا ہے۔</v>
      </c>
      <c r="N92" s="6" t="str">
        <f>IFERROR(__xludf.DUMMYFUNCTION("GOOGLETRANSLATE(E92, ""en"", ""ur"")"),"یہ مقابلے کی دو اہم شاخیں ہیں: ایک لڑائی اور اسکورنگ پر مرکوز، دوسری کوریوگراف شدہ معمولات کی جمالیاتی اور تکنیکی کمال پر۔")</f>
        <v>یہ مقابلے کی دو اہم شاخیں ہیں: ایک لڑائی اور اسکورنگ پر مرکوز، دوسری کوریوگراف شدہ معمولات کی جمالیاتی اور تکنیکی کمال پر۔</v>
      </c>
    </row>
    <row r="93">
      <c r="A93" s="4">
        <v>92.0</v>
      </c>
      <c r="B93" s="5" t="s">
        <v>1787</v>
      </c>
      <c r="C93" s="5" t="s">
        <v>1788</v>
      </c>
      <c r="D93" s="5" t="s">
        <v>1789</v>
      </c>
      <c r="E93" s="5" t="s">
        <v>1790</v>
      </c>
      <c r="J93" s="6" t="str">
        <f>IFERROR(__xludf.DUMMYFUNCTION("GOOGLETRANSLATE(A93, ""en"", ""ur"")"),"92")</f>
        <v>92</v>
      </c>
      <c r="K93" s="6" t="str">
        <f>IFERROR(__xludf.DUMMYFUNCTION("GOOGLETRANSLATE(B93, ""en"", ""ur"")"),"ایک جنگجو کو مخالف کی وردی پکڑنے پر سزا دی جاتی ہے۔ کیا یہ صحیح کال ہے؟")</f>
        <v>ایک جنگجو کو مخالف کی وردی پکڑنے پر سزا دی جاتی ہے۔ کیا یہ صحیح کال ہے؟</v>
      </c>
      <c r="L93" s="6" t="str">
        <f>IFERROR(__xludf.DUMMYFUNCTION("GOOGLETRANSLATE(C93, ""en"", ""ur"")"),"A) نہیں، وردی کو تھامے رکھنے کی اجازت ہے، B) ہاں، مخالف کے کپڑے کو پکڑنا غیر قانونی طور پر پکڑنا ہے، C) صرف اس صورت میں جب وردی پھوٹ جائے، D) ہاں، لیکن صرف اس صورت میں جب اسے 5 سیکنڈ سے زیادہ روکا جائے۔")</f>
        <v>A) نہیں، وردی کو تھامے رکھنے کی اجازت ہے، B) ہاں، مخالف کے کپڑے کو پکڑنا غیر قانونی طور پر پکڑنا ہے، C) صرف اس صورت میں جب وردی پھوٹ جائے، D) ہاں، لیکن صرف اس صورت میں جب اسے 5 سیکنڈ سے زیادہ روکا جائے۔</v>
      </c>
      <c r="M93" s="6" t="str">
        <f>IFERROR(__xludf.DUMMYFUNCTION("GOOGLETRANSLATE(D93, ""en"", ""ur"")"),"ب) جی ہاں، مخالف کے لباس کو پکڑنا غیر قانونی انعقاد کی ایک شکل ہے۔")</f>
        <v>ب) جی ہاں، مخالف کے لباس کو پکڑنا غیر قانونی انعقاد کی ایک شکل ہے۔</v>
      </c>
      <c r="N93" s="6" t="str">
        <f>IFERROR(__xludf.DUMMYFUNCTION("GOOGLETRANSLATE(E93, ""en"", ""ur"")"),"ایک کھلاڑی حریف کو کنٹرول کرنے یا غیر منصفانہ فائدہ اٹھانے کے لیے یونیفارم نہیں پکڑ سکتا۔")</f>
        <v>ایک کھلاڑی حریف کو کنٹرول کرنے یا غیر منصفانہ فائدہ اٹھانے کے لیے یونیفارم نہیں پکڑ سکتا۔</v>
      </c>
    </row>
    <row r="94">
      <c r="A94" s="4">
        <v>93.0</v>
      </c>
      <c r="B94" s="5" t="s">
        <v>1937</v>
      </c>
      <c r="C94" s="5" t="s">
        <v>1792</v>
      </c>
      <c r="D94" s="5" t="s">
        <v>1793</v>
      </c>
      <c r="E94" s="5" t="s">
        <v>1938</v>
      </c>
      <c r="J94" s="6" t="str">
        <f>IFERROR(__xludf.DUMMYFUNCTION("GOOGLETRANSLATE(A94, ""en"", ""ur"")"),"93")</f>
        <v>93</v>
      </c>
      <c r="K94" s="6" t="str">
        <f>IFERROR(__xludf.DUMMYFUNCTION("GOOGLETRANSLATE(B94, ""en"", ""ur"")"),"کالی وردی کی کیا اہمیت ہے جسے بہت سے لوگ پہنتے ہیں؟")</f>
        <v>کالی وردی کی کیا اہمیت ہے جسے بہت سے لوگ پہنتے ہیں؟</v>
      </c>
      <c r="L94" s="6" t="str">
        <f>IFERROR(__xludf.DUMMYFUNCTION("GOOGLETRANSLATE(C94, ""en"", ""ur"")"),"A) یہ سب سے سستا رنگ ہے، B) یہ ایک روایتی رنگ ہے جو حکمت اور اندرونی طاقت کی علامت ہے، C) یہ ایک جدید فیشن پسند ہے، D) یہ تمام مقابلوں کے لیے ضروری ہے۔")</f>
        <v>A) یہ سب سے سستا رنگ ہے، B) یہ ایک روایتی رنگ ہے جو حکمت اور اندرونی طاقت کی علامت ہے، C) یہ ایک جدید فیشن پسند ہے، D) یہ تمام مقابلوں کے لیے ضروری ہے۔</v>
      </c>
      <c r="M94" s="6" t="str">
        <f>IFERROR(__xludf.DUMMYFUNCTION("GOOGLETRANSLATE(D94, ""en"", ""ur"")"),"ب) یہ ایک روایتی رنگ ہے جو حکمت اور اندرونی طاقت کی علامت ہے۔")</f>
        <v>ب) یہ ایک روایتی رنگ ہے جو حکمت اور اندرونی طاقت کی علامت ہے۔</v>
      </c>
      <c r="N94" s="6" t="str">
        <f>IFERROR(__xludf.DUMMYFUNCTION("GOOGLETRANSLATE(E94, ""en"", ""ur"")"),"بہت سے سیلات اسکولوں میں سیاہ لباس کے گہرے فلسفیانہ معنی ہیں، جو فن کی گہرائی کو ظاہر کرتے ہیں۔")</f>
        <v>بہت سے سیلات اسکولوں میں سیاہ لباس کے گہرے فلسفیانہ معنی ہیں، جو فن کی گہرائی کو ظاہر کرتے ہیں۔</v>
      </c>
    </row>
    <row r="95">
      <c r="A95" s="4">
        <v>94.0</v>
      </c>
      <c r="B95" s="5" t="s">
        <v>1795</v>
      </c>
      <c r="C95" s="5" t="s">
        <v>1796</v>
      </c>
      <c r="D95" s="5" t="s">
        <v>1797</v>
      </c>
      <c r="E95" s="5" t="s">
        <v>1798</v>
      </c>
      <c r="J95" s="6" t="str">
        <f>IFERROR(__xludf.DUMMYFUNCTION("GOOGLETRANSLATE(A95, ""en"", ""ur"")"),"94")</f>
        <v>94</v>
      </c>
      <c r="K95" s="6" t="str">
        <f>IFERROR(__xludf.DUMMYFUNCTION("GOOGLETRANSLATE(B95, ""en"", ""ur"")"),"ایک ریفری ایک ہی وقت میں سرخ اور نیلے دونوں جھنڈے اٹھاتا ہے۔ اس سے کیا مراد ہے؟")</f>
        <v>ایک ریفری ایک ہی وقت میں سرخ اور نیلے دونوں جھنڈے اٹھاتا ہے۔ اس سے کیا مراد ہے؟</v>
      </c>
      <c r="L95" s="6" t="str">
        <f>IFERROR(__xludf.DUMMYFUNCTION("GOOGLETRANSLATE(C95, ""en"", ""ur"")"),"A) میچ کا اختتام، B) دونوں جنگجوؤں کے لیے ایک انتباہ، C) دونوں جنگجوؤں کی طرف سے بیک وقت، درست ہڑتال (کوئی اسکور نہیں)، D) طبی وقت ختم")</f>
        <v>A) میچ کا اختتام، B) دونوں جنگجوؤں کے لیے ایک انتباہ، C) دونوں جنگجوؤں کی طرف سے بیک وقت، درست ہڑتال (کوئی اسکور نہیں)، D) طبی وقت ختم</v>
      </c>
      <c r="M95" s="6" t="str">
        <f>IFERROR(__xludf.DUMMYFUNCTION("GOOGLETRANSLATE(D95, ""en"", ""ur"")"),"C) دونوں جنگجوؤں کی طرف سے بیک وقت، درست ہڑتال (کوئی اسکور نہیں)")</f>
        <v>C) دونوں جنگجوؤں کی طرف سے بیک وقت، درست ہڑتال (کوئی اسکور نہیں)</v>
      </c>
      <c r="N95" s="6" t="str">
        <f>IFERROR(__xludf.DUMMYFUNCTION("GOOGLETRANSLATE(E95, ""en"", ""ur"")"),"یہ سگنل اس بات کی نشاندہی کرنے کے لیے استعمال کیا جاتا ہے کہ دونوں جنگجوؤں نے ایک ہی وقت میں اسکور کیا، جس سے تبادلے کو ختم کر دیا جاتا ہے، اور کوئی پوائنٹ نہیں دیا جاتا ہے۔")</f>
        <v>یہ سگنل اس بات کی نشاندہی کرنے کے لیے استعمال کیا جاتا ہے کہ دونوں جنگجوؤں نے ایک ہی وقت میں اسکور کیا، جس سے تبادلے کو ختم کر دیا جاتا ہے، اور کوئی پوائنٹ نہیں دیا جاتا ہے۔</v>
      </c>
    </row>
    <row r="96">
      <c r="A96" s="4">
        <v>95.0</v>
      </c>
      <c r="B96" s="5" t="s">
        <v>1799</v>
      </c>
      <c r="C96" s="5" t="s">
        <v>1800</v>
      </c>
      <c r="D96" s="5" t="s">
        <v>156</v>
      </c>
      <c r="E96" s="5" t="s">
        <v>1801</v>
      </c>
      <c r="J96" s="6" t="str">
        <f>IFERROR(__xludf.DUMMYFUNCTION("GOOGLETRANSLATE(A96, ""en"", ""ur"")"),"95")</f>
        <v>95</v>
      </c>
      <c r="K96" s="6" t="str">
        <f>IFERROR(__xludf.DUMMYFUNCTION("GOOGLETRANSLATE(B96, ""en"", ""ur"")"),"مخالف کو غیر ضروری طور پر نقصان نہ پہنچانے کا فلسفہ کس ٹینڈنگ اصول میں جھلکتا ہے؟")</f>
        <v>مخالف کو غیر ضروری طور پر نقصان نہ پہنچانے کا فلسفہ کس ٹینڈنگ اصول میں جھلکتا ہے؟</v>
      </c>
      <c r="L96" s="6" t="str">
        <f>IFERROR(__xludf.DUMMYFUNCTION("GOOGLETRANSLATE(C96, ""en"", ""ur"")"),"A) ہلکے چھونے کے لئے پوائنٹس کا انعام، B) ضرورت سے زیادہ طاقت اور غیر قانونی اہداف کی سزا، C) بھاری حفاظتی پوشاک کی ضرورت، D) مندرجہ بالا سبھی")</f>
        <v>A) ہلکے چھونے کے لئے پوائنٹس کا انعام، B) ضرورت سے زیادہ طاقت اور غیر قانونی اہداف کی سزا، C) بھاری حفاظتی پوشاک کی ضرورت، D) مندرجہ بالا سبھی</v>
      </c>
      <c r="M96" s="6" t="str">
        <f>IFERROR(__xludf.DUMMYFUNCTION("GOOGLETRANSLATE(D96, ""en"", ""ur"")"),"D) مذکورہ بالا تمام")</f>
        <v>D) مذکورہ بالا تمام</v>
      </c>
      <c r="N96" s="6" t="str">
        <f>IFERROR(__xludf.DUMMYFUNCTION("GOOGLETRANSLATE(E96, ""en"", ""ur"")"),"گٹکا کھیل کا پورا فریم ورک، اس کے اسکورنگ سے لے کر اس کے جرمانے اور حفاظتی سامان تک، چوٹ کو کم سے کم کرتے ہوئے مقابلے کی اجازت دینے کے لیے ڈیزائن کیا گیا ہے۔")</f>
        <v>گٹکا کھیل کا پورا فریم ورک، اس کے اسکورنگ سے لے کر اس کے جرمانے اور حفاظتی سامان تک، چوٹ کو کم سے کم کرتے ہوئے مقابلے کی اجازت دینے کے لیے ڈیزائن کیا گیا ہے۔</v>
      </c>
    </row>
    <row r="97">
      <c r="A97" s="4">
        <v>96.0</v>
      </c>
      <c r="B97" s="5" t="s">
        <v>1802</v>
      </c>
      <c r="C97" s="5" t="s">
        <v>1803</v>
      </c>
      <c r="D97" s="5" t="s">
        <v>1804</v>
      </c>
      <c r="E97" s="5" t="s">
        <v>1805</v>
      </c>
      <c r="J97" s="6" t="str">
        <f>IFERROR(__xludf.DUMMYFUNCTION("GOOGLETRANSLATE(A97, ""en"", ""ur"")"),"96")</f>
        <v>96</v>
      </c>
      <c r="K97" s="6" t="str">
        <f>IFERROR(__xludf.DUMMYFUNCTION("GOOGLETRANSLATE(B97, ""en"", ""ur"")"),"ایک فائٹر فائنل میچ جیت کر قومی چیمپئن بن جاتا ہے۔ ""سانت سپاہی"" کے فلسفے کے مطابق ان کی حتمی ذمہ داری کیا ہے؟")</f>
        <v>ایک فائٹر فائنل میچ جیت کر قومی چیمپئن بن جاتا ہے۔ "سانت سپاہی" کے فلسفے کے مطابق ان کی حتمی ذمہ داری کیا ہے؟</v>
      </c>
      <c r="L97" s="6" t="str">
        <f>IFERROR(__xludf.DUMMYFUNCTION("GOOGLETRANSLATE(C97, ""en"", ""ur"")"),"A) دوسرے تمام چیلنجرز کو شکست دینے کے لیے، B) ایک رول ماڈل اور آرٹ کی عظیم اقدار کے سفیر کے طور پر کام کرنا، C) اپنا اسکول کھولنا اور پیسہ کمانا، D) کھیل سے فوری طور پر ریٹائر ہونا")</f>
        <v>A) دوسرے تمام چیلنجرز کو شکست دینے کے لیے، B) ایک رول ماڈل اور آرٹ کی عظیم اقدار کے سفیر کے طور پر کام کرنا، C) اپنا اسکول کھولنا اور پیسہ کمانا، D) کھیل سے فوری طور پر ریٹائر ہونا</v>
      </c>
      <c r="M97" s="6" t="str">
        <f>IFERROR(__xludf.DUMMYFUNCTION("GOOGLETRANSLATE(D97, ""en"", ""ur"")"),"ب) ایک رول ماڈل اور آرٹ کی اعلیٰ اقدار کے سفیر کے طور پر کام کرنا")</f>
        <v>ب) ایک رول ماڈل اور آرٹ کی اعلیٰ اقدار کے سفیر کے طور پر کام کرنا</v>
      </c>
      <c r="N97" s="6" t="str">
        <f>IFERROR(__xludf.DUMMYFUNCTION("GOOGLETRANSLATE(E97, ""en"", ""ur"")"),"ایک حقیقی چیمپیئن سے توقع کی جاتی ہے کہ وہ پیسیلیٹ (پریکٹیشنر) کے اخلاقی اصولوں کو مجسم کرے، جیسے عاجزی، احترام اور حکمت۔")</f>
        <v>ایک حقیقی چیمپیئن سے توقع کی جاتی ہے کہ وہ پیسیلیٹ (پریکٹیشنر) کے اخلاقی اصولوں کو مجسم کرے، جیسے عاجزی، احترام اور حکمت۔</v>
      </c>
    </row>
    <row r="98">
      <c r="A98" s="4">
        <v>97.0</v>
      </c>
      <c r="B98" s="5" t="s">
        <v>1900</v>
      </c>
      <c r="C98" s="5" t="s">
        <v>1901</v>
      </c>
      <c r="D98" s="5" t="s">
        <v>1902</v>
      </c>
      <c r="E98" s="5" t="s">
        <v>1903</v>
      </c>
      <c r="J98" s="6" t="str">
        <f>IFERROR(__xludf.DUMMYFUNCTION("GOOGLETRANSLATE(A98, ""en"", ""ur"")"),"97")</f>
        <v>97</v>
      </c>
      <c r="K98" s="6" t="str">
        <f>IFERROR(__xludf.DUMMYFUNCTION("GOOGLETRANSLATE(B98, ""en"", ""ur"")"),"جدید کھیل گٹکا میں قوانین کے سختی سے نفاذ کی بنیادی وجہ کیا ہے؟")</f>
        <v>جدید کھیل گٹکا میں قوانین کے سختی سے نفاذ کی بنیادی وجہ کیا ہے؟</v>
      </c>
      <c r="L98" s="6" t="str">
        <f>IFERROR(__xludf.DUMMYFUNCTION("GOOGLETRANSLATE(C98, ""en"", ""ur"")"),"A) کھیل کو مزید مشکل بنانے کے لیے، B) حریفوں کی حفاظت اور مقابلے کی شفافیت کو یقینی بنانے کے لیے، C) اسے دوسرے مارشل آرٹس جیسا بنانا، D) اسپانسرز کو مطمئن کرنا")</f>
        <v>A) کھیل کو مزید مشکل بنانے کے لیے، B) حریفوں کی حفاظت اور مقابلے کی شفافیت کو یقینی بنانے کے لیے، C) اسے دوسرے مارشل آرٹس جیسا بنانا، D) اسپانسرز کو مطمئن کرنا</v>
      </c>
      <c r="M98" s="6" t="str">
        <f>IFERROR(__xludf.DUMMYFUNCTION("GOOGLETRANSLATE(D98, ""en"", ""ur"")"),"ب) حریفوں کی حفاظت اور مقابلے کی منصفانہ پن کو یقینی بنانا")</f>
        <v>ب) حریفوں کی حفاظت اور مقابلے کی منصفانہ پن کو یقینی بنانا</v>
      </c>
      <c r="N98" s="6" t="str">
        <f>IFERROR(__xludf.DUMMYFUNCTION("GOOGLETRANSLATE(E98, ""en"", ""ur"")"),"روایتی مارشل آرٹ کو ایک محفوظ اور جائز جدید کھیل میں تبدیل کرنے کے لیے ایک واضح اور نافذ کردہ اصول کا سیٹ ضروری ہے۔")</f>
        <v>روایتی مارشل آرٹ کو ایک محفوظ اور جائز جدید کھیل میں تبدیل کرنے کے لیے ایک واضح اور نافذ کردہ اصول کا سیٹ ضروری ہے۔</v>
      </c>
    </row>
    <row r="99">
      <c r="A99" s="4">
        <v>98.0</v>
      </c>
      <c r="B99" s="5" t="s">
        <v>1939</v>
      </c>
      <c r="C99" s="5" t="s">
        <v>1940</v>
      </c>
      <c r="D99" s="5" t="s">
        <v>1941</v>
      </c>
      <c r="E99" s="5" t="s">
        <v>1942</v>
      </c>
      <c r="J99" s="6" t="str">
        <f>IFERROR(__xludf.DUMMYFUNCTION("GOOGLETRANSLATE(A99, ""en"", ""ur"")"),"98")</f>
        <v>98</v>
      </c>
      <c r="K99" s="6" t="str">
        <f>IFERROR(__xludf.DUMMYFUNCTION("GOOGLETRANSLATE(B99, ""en"", ""ur"")"),"ٹیم میچ میں ایک کھلاڑی زخمی ہوتا ہے۔ انہیں کب تبدیل کیا جا سکتا ہے؟")</f>
        <v>ٹیم میچ میں ایک کھلاڑی زخمی ہوتا ہے۔ انہیں کب تبدیل کیا جا سکتا ہے؟</v>
      </c>
      <c r="L99" s="6" t="str">
        <f>IFERROR(__xludf.DUMMYFUNCTION("GOOGLETRANSLATE(C99, ""en"", ""ur"")"),"A) میچ کے دوران کسی بھی وقت، B) راؤنڈز کے درمیان صرف ایک منٹ کے آرام کے دوران، C) صرف اس صورت میں جب چوٹ سے خون بہہ رہا ہو اور اسے روکا نہیں جا سکتا، D) ٹیم کو راؤنڈ ہارنا ہو گا۔")</f>
        <v>A) میچ کے دوران کسی بھی وقت، B) راؤنڈز کے درمیان صرف ایک منٹ کے آرام کے دوران، C) صرف اس صورت میں جب چوٹ سے خون بہہ رہا ہو اور اسے روکا نہیں جا سکتا، D) ٹیم کو راؤنڈ ہارنا ہو گا۔</v>
      </c>
      <c r="M99" s="6" t="str">
        <f>IFERROR(__xludf.DUMMYFUNCTION("GOOGLETRANSLATE(D99, ""en"", ""ur"")"),"ب) راؤنڈز کے درمیان صرف ایک منٹ کے آرام کے دوران")</f>
        <v>ب) راؤنڈز کے درمیان صرف ایک منٹ کے آرام کے دوران</v>
      </c>
      <c r="N99" s="6" t="str">
        <f>IFERROR(__xludf.DUMMYFUNCTION("GOOGLETRANSLATE(E99, ""en"", ""ur"")"),"حفاظت کے لیے اور میچ کے بہاؤ میں خلل کو روکنے کے لیے، صرف راؤنڈز کے درمیان سرکاری وقفے کے دوران متبادل بنایا جا سکتا ہے۔")</f>
        <v>حفاظت کے لیے اور میچ کے بہاؤ میں خلل کو روکنے کے لیے، صرف راؤنڈز کے درمیان سرکاری وقفے کے دوران متبادل بنایا جا سکتا ہے۔</v>
      </c>
    </row>
    <row r="100">
      <c r="A100" s="4">
        <v>99.0</v>
      </c>
      <c r="B100" s="5" t="s">
        <v>1943</v>
      </c>
      <c r="C100" s="5" t="s">
        <v>1944</v>
      </c>
      <c r="D100" s="5" t="s">
        <v>1945</v>
      </c>
      <c r="E100" s="5" t="s">
        <v>1679</v>
      </c>
      <c r="J100" s="6" t="str">
        <f>IFERROR(__xludf.DUMMYFUNCTION("GOOGLETRANSLATE(A100, ""en"", ""ur"")"),"99")</f>
        <v>99</v>
      </c>
      <c r="K100" s="6" t="str">
        <f>IFERROR(__xludf.DUMMYFUNCTION("GOOGLETRANSLATE(B100, ""en"", ""ur"")"),"ایک کھلاڑی کو ""تیسرے فریق کی مداخلت"" کے لیے سزا دی جاتی ہے۔ کیا ہوا؟")</f>
        <v>ایک کھلاڑی کو "تیسرے فریق کی مداخلت" کے لیے سزا دی جاتی ہے۔ کیا ہوا؟</v>
      </c>
      <c r="L100" s="6" t="str">
        <f>IFERROR(__xludf.DUMMYFUNCTION("GOOGLETRANSLATE(C100, ""en"", ""ur"")"),"A) ایک تماشائی نے مشورہ دیا، B) کھلاڑی کے کوچ نے میدان میں قدم رکھا، C) ریفری کا دھیان بٹ گیا، D) کھلاڑی نے تین ہتھیار استعمال کیے")</f>
        <v>A) ایک تماشائی نے مشورہ دیا، B) کھلاڑی کے کوچ نے میدان میں قدم رکھا، C) ریفری کا دھیان بٹ گیا، D) کھلاڑی نے تین ہتھیار استعمال کیے</v>
      </c>
      <c r="M100" s="6" t="str">
        <f>IFERROR(__xludf.DUMMYFUNCTION("GOOGLETRANSLATE(D100, ""en"", ""ur"")"),"ب) کھلاڑی کے کوچ نے میدان میں قدم رکھا")</f>
        <v>ب) کھلاڑی کے کوچ نے میدان میں قدم رکھا</v>
      </c>
      <c r="N100" s="6" t="str">
        <f>IFERROR(__xludf.DUMMYFUNCTION("GOOGLETRANSLATE(E100, ""en"", ""ur"")"),"جنگی علاقے میں صرف دو حریف اور ریفری کو اجازت ہے۔ رنگ میں داخل ہونے والا کوچ ایک سنگین فاؤل ہے۔")</f>
        <v>جنگی علاقے میں صرف دو حریف اور ریفری کو اجازت ہے۔ رنگ میں داخل ہونے والا کوچ ایک سنگین فاؤل ہے۔</v>
      </c>
    </row>
    <row r="101">
      <c r="A101" s="4">
        <v>100.0</v>
      </c>
      <c r="B101" s="5" t="s">
        <v>1904</v>
      </c>
      <c r="C101" s="5" t="s">
        <v>1905</v>
      </c>
      <c r="D101" s="5" t="s">
        <v>1906</v>
      </c>
      <c r="E101" s="5" t="s">
        <v>1907</v>
      </c>
      <c r="J101" s="6" t="str">
        <f>IFERROR(__xludf.DUMMYFUNCTION("GOOGLETRANSLATE(A101, ""en"", ""ur"")"),"100")</f>
        <v>100</v>
      </c>
      <c r="K101" s="6" t="str">
        <f>IFERROR(__xludf.DUMMYFUNCTION("GOOGLETRANSLATE(B101, ""en"", ""ur"")"),"""سنت سپاہی"" (سینٹ سپاہی) کے آئیڈیل کے مطابق، گٹکا کرنے والے کا حتمی مقصد کیا ہے؟")</f>
        <v>"سنت سپاہی" (سینٹ سپاہی) کے آئیڈیل کے مطابق، گٹکا کرنے والے کا حتمی مقصد کیا ہے؟</v>
      </c>
      <c r="L101" s="6" t="str">
        <f>IFERROR(__xludf.DUMMYFUNCTION("GOOGLETRANSLATE(C101, ""en"", ""ur"")"),"A) لڑائی میں ناقابل تسخیر بننا، B) خود پر عبور حاصل کرنا اور نظم و ضبط، ہمت اور خدمت کی زندگی گزارنا، C) عالمی چیمپئن شپ جیتنا، D) اپنا سکول کھولنا (اکھاڑہ)")</f>
        <v>A) لڑائی میں ناقابل تسخیر بننا، B) خود پر عبور حاصل کرنا اور نظم و ضبط، ہمت اور خدمت کی زندگی گزارنا، C) عالمی چیمپئن شپ جیتنا، D) اپنا سکول کھولنا (اکھاڑہ)</v>
      </c>
      <c r="M101" s="6" t="str">
        <f>IFERROR(__xludf.DUMMYFUNCTION("GOOGLETRANSLATE(D101, ""en"", ""ur"")"),"ب) نفس پر عبور حاصل کرنا اور نظم و ضبط، ہمت اور خدمت کی زندگی گزارنا")</f>
        <v>ب) نفس پر عبور حاصل کرنا اور نظم و ضبط، ہمت اور خدمت کی زندگی گزارنا</v>
      </c>
      <c r="N101" s="6" t="str">
        <f>IFERROR(__xludf.DUMMYFUNCTION("GOOGLETRANSLATE(E101, ""en"", ""ur"")"),"""سنت سپاہی"" کے آئیڈیل کے مطابق، حتمی مقصد صرف لڑنے کی صلاحیت نہیں ہے، بلکہ اپنے کردار کی نشوونما ہے۔")</f>
        <v>"سنت سپاہی" کے آئیڈیل کے مطابق، حتمی مقصد صرف لڑنے کی صلاحیت نہیں ہے، بلکہ اپنے کردار کی نشوونما ہے۔</v>
      </c>
    </row>
    <row r="102">
      <c r="A102" s="4">
        <v>101.0</v>
      </c>
      <c r="B102" s="5" t="s">
        <v>1946</v>
      </c>
      <c r="C102" s="5" t="s">
        <v>1947</v>
      </c>
      <c r="D102" s="5" t="s">
        <v>1948</v>
      </c>
      <c r="E102" s="5" t="s">
        <v>1949</v>
      </c>
      <c r="J102" s="6" t="str">
        <f>IFERROR(__xludf.DUMMYFUNCTION("GOOGLETRANSLATE(A102, ""en"", ""ur"")"),"101")</f>
        <v>101</v>
      </c>
      <c r="K102" s="6" t="str">
        <f>IFERROR(__xludf.DUMMYFUNCTION("GOOGLETRANSLATE(B102, ""en"", ""ur"")"),"روایتی اکھاڑے میں استاد کا بنیادی کردار کیا ہے؟")</f>
        <v>روایتی اکھاڑے میں استاد کا بنیادی کردار کیا ہے؟</v>
      </c>
      <c r="L102" s="6" t="str">
        <f>IFERROR(__xludf.DUMMYFUNCTION("GOOGLETRANSLATE(C102, ""en"", ""ur"")"),"A) اسپانسر کے طور پر کام کرنا، B) تقریبات کا چیف آرگنائزر بننا، C) تکنیک، فلسفہ اور نظم و ضبط کا بنیادی استاد ہونا، D) میڈیکل آفیسر بننا")</f>
        <v>A) اسپانسر کے طور پر کام کرنا، B) تقریبات کا چیف آرگنائزر بننا، C) تکنیک، فلسفہ اور نظم و ضبط کا بنیادی استاد ہونا، D) میڈیکل آفیسر بننا</v>
      </c>
      <c r="M102" s="6" t="str">
        <f>IFERROR(__xludf.DUMMYFUNCTION("GOOGLETRANSLATE(D102, ""en"", ""ur"")"),"ج) تکنیک، فلسفہ اور نظم و ضبط کا بنیادی استاد ہونا")</f>
        <v>ج) تکنیک، فلسفہ اور نظم و ضبط کا بنیادی استاد ہونا</v>
      </c>
      <c r="N102" s="6" t="str">
        <f>IFERROR(__xludf.DUMMYFUNCTION("GOOGLETRANSLATE(E102, ""en"", ""ur"")"),"استاد ایک تربیتی اسکول میں مرکزی شخصیت ہیں، جو اپنے طلباء (شاگردوں) کی مکمل نشوونما کے لیے ذمہ دار ہیں۔")</f>
        <v>استاد ایک تربیتی اسکول میں مرکزی شخصیت ہیں، جو اپنے طلباء (شاگردوں) کی مکمل نشوونما کے لیے ذمہ دار ہیں۔</v>
      </c>
    </row>
    <row r="103">
      <c r="A103" s="4">
        <v>102.0</v>
      </c>
      <c r="B103" s="5" t="s">
        <v>1950</v>
      </c>
      <c r="C103" s="5" t="s">
        <v>1951</v>
      </c>
      <c r="D103" s="5" t="s">
        <v>1952</v>
      </c>
      <c r="E103" s="5" t="s">
        <v>1953</v>
      </c>
      <c r="J103" s="6" t="str">
        <f>IFERROR(__xludf.DUMMYFUNCTION("GOOGLETRANSLATE(A103, ""en"", ""ur"")"),"102")</f>
        <v>102</v>
      </c>
      <c r="K103" s="6" t="str">
        <f>IFERROR(__xludf.DUMMYFUNCTION("GOOGLETRANSLATE(B103, ""en"", ""ur"")"),"ایک کھلاڑی کو ""گراؤنڈ مخالف کو مارنے"" پر سزا دی جاتی ہے۔ یہ اصول کیا نافذ کرتا ہے؟")</f>
        <v>ایک کھلاڑی کو "گراؤنڈ مخالف کو مارنے" پر سزا دی جاتی ہے۔ یہ اصول کیا نافذ کرتا ہے؟</v>
      </c>
      <c r="L103" s="6" t="str">
        <f>IFERROR(__xludf.DUMMYFUNCTION("GOOGLETRANSLATE(C103, ""en"", ""ur"")"),"A) یہ کہ لڑائی منصفانہ اور صرف کھڑے ہونا ضروری ہے، B) یہ کہ کھلاڑیوں کو گرے ہوئے مخالف کی مدد کرنی چاہیے، C) زمینی لڑائی کی اجازت ہے، D) یہ کہ جب کوئی کھلاڑی گرتا ہے تو میچ ختم ہو جاتا ہے۔")</f>
        <v>A) یہ کہ لڑائی منصفانہ اور صرف کھڑے ہونا ضروری ہے، B) یہ کہ کھلاڑیوں کو گرے ہوئے مخالف کی مدد کرنی چاہیے، C) زمینی لڑائی کی اجازت ہے، D) یہ کہ جب کوئی کھلاڑی گرتا ہے تو میچ ختم ہو جاتا ہے۔</v>
      </c>
      <c r="M103" s="6" t="str">
        <f>IFERROR(__xludf.DUMMYFUNCTION("GOOGLETRANSLATE(D103, ""en"", ""ur"")"),"الف) یہ کہ لڑائی صرف منصفانہ اور کھڑے ہونے والی ہونی چاہیے۔")</f>
        <v>الف) یہ کہ لڑائی صرف منصفانہ اور کھڑے ہونے والی ہونی چاہیے۔</v>
      </c>
      <c r="N103" s="6" t="str">
        <f>IFERROR(__xludf.DUMMYFUNCTION("GOOGLETRANSLATE(E103, ""en"", ""ur"")"),"کھیل گٹکا ایک کھڑا، ہتھیاروں پر مبنی فن ہے۔ زمین پر موجود حریف پر حملہ کرنا ایک بڑا فُل ہے۔")</f>
        <v>کھیل گٹکا ایک کھڑا، ہتھیاروں پر مبنی فن ہے۔ زمین پر موجود حریف پر حملہ کرنا ایک بڑا فُل ہے۔</v>
      </c>
    </row>
    <row r="104">
      <c r="A104" s="4">
        <v>103.0</v>
      </c>
      <c r="B104" s="5" t="s">
        <v>1954</v>
      </c>
      <c r="C104" s="5" t="s">
        <v>1955</v>
      </c>
      <c r="D104" s="5" t="s">
        <v>1956</v>
      </c>
      <c r="E104" s="5" t="s">
        <v>1957</v>
      </c>
      <c r="J104" s="6" t="str">
        <f>IFERROR(__xludf.DUMMYFUNCTION("GOOGLETRANSLATE(A104, ""en"", ""ur"")"),"103")</f>
        <v>103</v>
      </c>
      <c r="K104" s="6" t="str">
        <f>IFERROR(__xludf.DUMMYFUNCTION("GOOGLETRANSLATE(B104, ""en"", ""ur"")"),"شاستر ودیا میں لفظ ""شاستر"" کا لفظی معنی کیا ہے؟")</f>
        <v>شاستر ودیا میں لفظ "شاستر" کا لفظی معنی کیا ہے؟</v>
      </c>
      <c r="L104" s="6" t="str">
        <f>IFERROR(__xludf.DUMMYFUNCTION("GOOGLETRANSLATE(C104, ""en"", ""ur"")"),"A) سائنس، B) آرٹ، C) ہاتھ سے پکڑا ہوا ہتھیار، D) نظم و ضبط")</f>
        <v>A) سائنس، B) آرٹ، C) ہاتھ سے پکڑا ہوا ہتھیار، D) نظم و ضبط</v>
      </c>
      <c r="M104" s="6" t="str">
        <f>IFERROR(__xludf.DUMMYFUNCTION("GOOGLETRANSLATE(D104, ""en"", ""ur"")"),"ج) ہاتھ سے پکڑا ہوا ہتھیار")</f>
        <v>ج) ہاتھ سے پکڑا ہوا ہتھیار</v>
      </c>
      <c r="N104" s="6" t="str">
        <f>IFERROR(__xludf.DUMMYFUNCTION("GOOGLETRANSLATE(E104, ""en"", ""ur"")"),"شاستر ودیا کا ترجمہ ""ہتھیاروں کی سائنس"" میں ہوتا ہے، جو سکھ مارشل آرٹس کے مکمل نظام کا حوالہ دیتا ہے۔")</f>
        <v>شاستر ودیا کا ترجمہ "ہتھیاروں کی سائنس" میں ہوتا ہے، جو سکھ مارشل آرٹس کے مکمل نظام کا حوالہ دیتا ہے۔</v>
      </c>
    </row>
    <row r="105">
      <c r="A105" s="4">
        <v>104.0</v>
      </c>
      <c r="B105" s="5" t="s">
        <v>1958</v>
      </c>
      <c r="C105" s="5" t="s">
        <v>1959</v>
      </c>
      <c r="D105" s="5" t="s">
        <v>1714</v>
      </c>
      <c r="E105" s="5" t="s">
        <v>1960</v>
      </c>
      <c r="J105" s="6" t="str">
        <f>IFERROR(__xludf.DUMMYFUNCTION("GOOGLETRANSLATE(A105, ""en"", ""ur"")"),"104")</f>
        <v>104</v>
      </c>
      <c r="K105" s="6" t="str">
        <f>IFERROR(__xludf.DUMMYFUNCTION("GOOGLETRANSLATE(B105, ""en"", ""ur"")"),"تہوار میں گٹکا کے مظاہرے اور گٹکا مقابلے کے درمیان مقصد میں بنیادی فرق کیا ہے؟")</f>
        <v>تہوار میں گٹکا کے مظاہرے اور گٹکا مقابلے کے درمیان مقصد میں بنیادی فرق کیا ہے؟</v>
      </c>
      <c r="L105" s="6" t="str">
        <f>IFERROR(__xludf.DUMMYFUNCTION("GOOGLETRANSLATE(C105, ""en"", ""ur"")"),"A) کوئی فرق نہیں ہے، B) ایک مظاہرہ فنکارانہ اور رسمی ہوتا ہے، جبکہ مقابلہ جیتنے کے لیے پوائنٹس اسکور کرنے کے بارے میں ہوتا ہے، C) مظاہرے اصلی تلواروں کا استعمال کرتے ہیں، D) مقابلے طویل ہوتے ہیں۔")</f>
        <v>A) کوئی فرق نہیں ہے، B) ایک مظاہرہ فنکارانہ اور رسمی ہوتا ہے، جبکہ مقابلہ جیتنے کے لیے پوائنٹس اسکور کرنے کے بارے میں ہوتا ہے، C) مظاہرے اصلی تلواروں کا استعمال کرتے ہیں، D) مقابلے طویل ہوتے ہیں۔</v>
      </c>
      <c r="M105" s="6" t="str">
        <f>IFERROR(__xludf.DUMMYFUNCTION("GOOGLETRANSLATE(D105, ""en"", ""ur"")"),"ب) ایک مظاہرہ فنکارانہ اور رسمی ہوتا ہے، جبکہ مقابلہ جیتنے کے لیے پوائنٹس اسکور کرنے کے بارے میں ہوتا ہے۔")</f>
        <v>ب) ایک مظاہرہ فنکارانہ اور رسمی ہوتا ہے، جبکہ مقابلہ جیتنے کے لیے پوائنٹس اسکور کرنے کے بارے میں ہوتا ہے۔</v>
      </c>
      <c r="N105" s="6" t="str">
        <f>IFERROR(__xludf.DUMMYFUNCTION("GOOGLETRANSLATE(E105, ""en"", ""ur"")"),"مظاہرے فن کی خوبصورتی، تاریخ اور مہارت کو ظاہر کرتے ہیں، جب کہ مقابلوں میں واضح جیتنے والے اور ہارنے والے کے ساتھ کھیلوں کے مقابلے ہوتے ہیں۔")</f>
        <v>مظاہرے فن کی خوبصورتی، تاریخ اور مہارت کو ظاہر کرتے ہیں، جب کہ مقابلوں میں واضح جیتنے والے اور ہارنے والے کے ساتھ کھیلوں کے مقابلے ہوتے ہیں۔</v>
      </c>
    </row>
    <row r="106">
      <c r="A106" s="4">
        <v>105.0</v>
      </c>
      <c r="B106" s="5" t="s">
        <v>1961</v>
      </c>
      <c r="C106" s="5" t="s">
        <v>1962</v>
      </c>
      <c r="D106" s="5" t="s">
        <v>1963</v>
      </c>
      <c r="E106" s="5" t="s">
        <v>1964</v>
      </c>
      <c r="J106" s="6" t="str">
        <f>IFERROR(__xludf.DUMMYFUNCTION("GOOGLETRANSLATE(A106, ""en"", ""ur"")"),"105")</f>
        <v>105</v>
      </c>
      <c r="K106" s="6" t="str">
        <f>IFERROR(__xludf.DUMMYFUNCTION("GOOGLETRANSLATE(B106, ""en"", ""ur"")"),"ان میں سے کون سی اہم ذہنی صفت ہے، ہمت کے علاوہ، جس کا مقصد گٹکا تیار کرنا ہے؟")</f>
        <v>ان میں سے کون سی اہم ذہنی صفت ہے، ہمت کے علاوہ، جس کا مقصد گٹکا تیار کرنا ہے؟</v>
      </c>
      <c r="L106" s="6" t="str">
        <f>IFERROR(__xludf.DUMMYFUNCTION("GOOGLETRANSLATE(C106, ""en"", ""ur"")"),"A) غصہ، B) بے خوفی، C) سکون اور دباؤ میں توجہ، D) انتقام کی خواہش")</f>
        <v>A) غصہ، B) بے خوفی، C) سکون اور دباؤ میں توجہ، D) انتقام کی خواہش</v>
      </c>
      <c r="M106" s="6" t="str">
        <f>IFERROR(__xludf.DUMMYFUNCTION("GOOGLETRANSLATE(D106, ""en"", ""ur"")"),"ج) دباؤ میں سکون اور توجہ")</f>
        <v>ج) دباؤ میں سکون اور توجہ</v>
      </c>
      <c r="N106" s="6" t="str">
        <f>IFERROR(__xludf.DUMMYFUNCTION("GOOGLETRANSLATE(E106, ""en"", ""ur"")"),"گٹکا کا نظم و ضبط ایک پریکٹیشنر کو پرسکون اور کمپوزڈ رہنا سکھاتا ہے، جس سے وہ لڑائی کے افراتفری میں واضح طور پر سوچ سکتے ہیں۔")</f>
        <v>گٹکا کا نظم و ضبط ایک پریکٹیشنر کو پرسکون اور کمپوزڈ رہنا سکھاتا ہے، جس سے وہ لڑائی کے افراتفری میں واضح طور پر سوچ سکتے ہیں۔</v>
      </c>
    </row>
    <row r="107">
      <c r="A107" s="4">
        <v>106.0</v>
      </c>
      <c r="B107" s="5" t="s">
        <v>1965</v>
      </c>
      <c r="C107" s="5" t="s">
        <v>1966</v>
      </c>
      <c r="D107" s="5" t="s">
        <v>1967</v>
      </c>
      <c r="E107" s="5" t="s">
        <v>1968</v>
      </c>
      <c r="J107" s="6" t="str">
        <f>IFERROR(__xludf.DUMMYFUNCTION("GOOGLETRANSLATE(A107, ""en"", ""ur"")"),"106")</f>
        <v>106</v>
      </c>
      <c r="K107" s="6" t="str">
        <f>IFERROR(__xludf.DUMMYFUNCTION("GOOGLETRANSLATE(B107, ""en"", ""ur"")"),"مسابقتی گٹکا میں چمکدار، تھیٹر کی نقل و حرکت کی حوصلہ شکنی کیوں کی جاتی ہے؟")</f>
        <v>مسابقتی گٹکا میں چمکدار، تھیٹر کی نقل و حرکت کی حوصلہ شکنی کیوں کی جاتی ہے؟</v>
      </c>
      <c r="L107" s="6" t="str">
        <f>IFERROR(__xludf.DUMMYFUNCTION("GOOGLETRANSLATE(C107, ""en"", ""ur"")"),"A) وہ کارکردگی دکھانا بہت مشکل ہیں، B) وہ اکثر ناکارہ ہوتے ہیں اور کسی کھلاڑی کو عملی حریف کے لیے کمزور چھوڑ سکتے ہیں، C) وہ پوائنٹس نہیں بناتے، D) وہ قوانین کے خلاف ہیں۔")</f>
        <v>A) وہ کارکردگی دکھانا بہت مشکل ہیں، B) وہ اکثر ناکارہ ہوتے ہیں اور کسی کھلاڑی کو عملی حریف کے لیے کمزور چھوڑ سکتے ہیں، C) وہ پوائنٹس نہیں بناتے، D) وہ قوانین کے خلاف ہیں۔</v>
      </c>
      <c r="M107" s="6" t="str">
        <f>IFERROR(__xludf.DUMMYFUNCTION("GOOGLETRANSLATE(D107, ""en"", ""ur"")"),"ب) وہ اکثر ناکارہ ہوتے ہیں اور کسی کھلاڑی کو عملی حریف کے لیے کمزور چھوڑ سکتے ہیں۔")</f>
        <v>ب) وہ اکثر ناکارہ ہوتے ہیں اور کسی کھلاڑی کو عملی حریف کے لیے کمزور چھوڑ سکتے ہیں۔</v>
      </c>
      <c r="N107" s="6" t="str">
        <f>IFERROR(__xludf.DUMMYFUNCTION("GOOGLETRANSLATE(E107, ""en"", ""ur"")"),"کھیل گٹکا خالصتاً جمالیاتی حرکات پر موثر، کنٹرول شدہ تکنیکوں کو ترجیح دیتا ہے۔ ایک غیر ضروری اسپن ایک دفاعی آغاز بنا سکتا ہے۔")</f>
        <v>کھیل گٹکا خالصتاً جمالیاتی حرکات پر موثر، کنٹرول شدہ تکنیکوں کو ترجیح دیتا ہے۔ ایک غیر ضروری اسپن ایک دفاعی آغاز بنا سکتا ہے۔</v>
      </c>
    </row>
    <row r="108">
      <c r="A108" s="4">
        <v>107.0</v>
      </c>
      <c r="B108" s="5" t="s">
        <v>1969</v>
      </c>
      <c r="C108" s="5" t="s">
        <v>1970</v>
      </c>
      <c r="D108" s="5" t="s">
        <v>1971</v>
      </c>
      <c r="E108" s="5" t="s">
        <v>1972</v>
      </c>
      <c r="J108" s="6" t="str">
        <f>IFERROR(__xludf.DUMMYFUNCTION("GOOGLETRANSLATE(A108, ""en"", ""ur"")"),"107")</f>
        <v>107</v>
      </c>
      <c r="K108" s="6" t="str">
        <f>IFERROR(__xludf.DUMMYFUNCTION("GOOGLETRANSLATE(B108, ""en"", ""ur"")"),"گٹکا اور پنجاب کے علاقے کے درمیان مضبوط تعلق کی بنیادی تاریخی وجہ کیا ہے؟")</f>
        <v>گٹکا اور پنجاب کے علاقے کے درمیان مضبوط تعلق کی بنیادی تاریخی وجہ کیا ہے؟</v>
      </c>
      <c r="L108" s="6" t="str">
        <f>IFERROR(__xludf.DUMMYFUNCTION("GOOGLETRANSLATE(C108, ""en"", ""ur"")"),"A) یہ واحد خطہ تھا جہاں ہتھیاروں کی اجازت تھی، B) یہ سکھ مذہب کی جائے پیدائش اور سکھ سلطنت کا مرکز تھا، C) یہ علاقہ مشق کے لیے مثالی ہے، D) یہ ایک شاہی فرمان تھا۔")</f>
        <v>A) یہ واحد خطہ تھا جہاں ہتھیاروں کی اجازت تھی، B) یہ سکھ مذہب کی جائے پیدائش اور سکھ سلطنت کا مرکز تھا، C) یہ علاقہ مشق کے لیے مثالی ہے، D) یہ ایک شاہی فرمان تھا۔</v>
      </c>
      <c r="M108" s="6" t="str">
        <f>IFERROR(__xludf.DUMMYFUNCTION("GOOGLETRANSLATE(D108, ""en"", ""ur"")"),"ب) یہ سکھ مت کی جائے پیدائش اور سکھ سلطنت کا مرکز تھا۔")</f>
        <v>ب) یہ سکھ مت کی جائے پیدائش اور سکھ سلطنت کا مرکز تھا۔</v>
      </c>
      <c r="N108" s="6" t="str">
        <f>IFERROR(__xludf.DUMMYFUNCTION("GOOGLETRANSLATE(E108, ""en"", ""ur"")"),"یہ فن اندرونی طور پر سکھ لوگوں کی تاریخ، ثقافت اور شناخت سے جڑا ہوا ہے، جس کا مرکز پنجاب میں ہے۔")</f>
        <v>یہ فن اندرونی طور پر سکھ لوگوں کی تاریخ، ثقافت اور شناخت سے جڑا ہوا ہے، جس کا مرکز پنجاب میں ہے۔</v>
      </c>
    </row>
    <row r="109">
      <c r="A109" s="4">
        <v>108.0</v>
      </c>
      <c r="B109" s="5" t="s">
        <v>1973</v>
      </c>
      <c r="C109" s="5" t="s">
        <v>1974</v>
      </c>
      <c r="D109" s="5" t="s">
        <v>1975</v>
      </c>
      <c r="E109" s="5" t="s">
        <v>1976</v>
      </c>
      <c r="J109" s="6" t="str">
        <f>IFERROR(__xludf.DUMMYFUNCTION("GOOGLETRANSLATE(A109, ""en"", ""ur"")"),"108")</f>
        <v>108</v>
      </c>
      <c r="K109" s="6" t="str">
        <f>IFERROR(__xludf.DUMMYFUNCTION("GOOGLETRANSLATE(B109, ""en"", ""ur"")"),"مخالف کو دھکیلنے کے لیے اپنی شیلڈ کا استعمال کرنے پر ایک کھلاڑی کو خبردار کیا جاتا ہے۔ کیا یہ درست فاؤل ہے؟")</f>
        <v>مخالف کو دھکیلنے کے لیے اپنی شیلڈ کا استعمال کرنے پر ایک کھلاڑی کو خبردار کیا جاتا ہے۔ کیا یہ درست فاؤل ہے؟</v>
      </c>
      <c r="L109" s="6" t="str">
        <f>IFERROR(__xludf.DUMMYFUNCTION("GOOGLETRANSLATE(C109, ""en"", ""ur"")"),"A) نہیں، یہ ایک قانونی دفاعی اقدام ہے، B) ہاں، شیلڈ صرف روکنے کے لیے ہے، جارحانہ دھکا دینے کے لیے نہیں، C) صرف اس صورت میں جب دھکا مخالف کو گرنے کا سبب بنے، D) صرف اس صورت میں جب ریفری اسے دیکھے")</f>
        <v>A) نہیں، یہ ایک قانونی دفاعی اقدام ہے، B) ہاں، شیلڈ صرف روکنے کے لیے ہے، جارحانہ دھکا دینے کے لیے نہیں، C) صرف اس صورت میں جب دھکا مخالف کو گرنے کا سبب بنے، D) صرف اس صورت میں جب ریفری اسے دیکھے</v>
      </c>
      <c r="M109" s="6" t="str">
        <f>IFERROR(__xludf.DUMMYFUNCTION("GOOGLETRANSLATE(D109, ""en"", ""ur"")"),"ب) جی ہاں، شیلڈ صرف بلاک کرنے کے لیے ہے، جارحانہ دباؤ کے لیے نہیں۔")</f>
        <v>ب) جی ہاں، شیلڈ صرف بلاک کرنے کے لیے ہے، جارحانہ دباؤ کے لیے نہیں۔</v>
      </c>
      <c r="N109" s="6" t="str">
        <f>IFERROR(__xludf.DUMMYFUNCTION("GOOGLETRANSLATE(E109, ""en"", ""ur"")"),"ڈھال ایک دفاعی آلہ ہے۔ کسی مخالف کو دھکا دینے یا غیر متوازن کرنے کے لیے اس کا استعمال سامان کا غیر قانونی استعمال ہے۔")</f>
        <v>ڈھال ایک دفاعی آلہ ہے۔ کسی مخالف کو دھکا دینے یا غیر متوازن کرنے کے لیے اس کا استعمال سامان کا غیر قانونی استعمال ہے۔</v>
      </c>
    </row>
    <row r="110">
      <c r="A110" s="4">
        <v>109.0</v>
      </c>
      <c r="B110" s="5" t="s">
        <v>1977</v>
      </c>
      <c r="C110" s="5" t="s">
        <v>1978</v>
      </c>
      <c r="D110" s="5" t="s">
        <v>1979</v>
      </c>
      <c r="E110" s="5" t="s">
        <v>1980</v>
      </c>
      <c r="J110" s="6" t="str">
        <f>IFERROR(__xludf.DUMMYFUNCTION("GOOGLETRANSLATE(A110, ""en"", ""ur"")"),"109")</f>
        <v>109</v>
      </c>
      <c r="K110" s="6" t="str">
        <f>IFERROR(__xludf.DUMMYFUNCTION("GOOGLETRANSLATE(B110, ""en"", ""ur"")"),"کچھ روایتی اکھاڑوں میں ""مکمل رابطہ"" کے جھگڑے کا کیا مقصد ہے؟")</f>
        <v>کچھ روایتی اکھاڑوں میں "مکمل رابطہ" کے جھگڑے کا کیا مقصد ہے؟</v>
      </c>
      <c r="L110" s="6" t="str">
        <f>IFERROR(__xludf.DUMMYFUNCTION("GOOGLETRANSLATE(C110, ""en"", ""ur"")"),"A) طالب علموں کو جان بوجھ کر زخمی کرنا، B) حقیقت پسندانہ، ہائی پریشر کے حالات میں طالب علم کی ہمت اور مہارت کو جانچنا، C) پوائنٹس حاصل کرنے کا یہ واحد طریقہ ہے، D) جدید کھیلوں کے مقابلوں کی تیاری کرنا")</f>
        <v>A) طالب علموں کو جان بوجھ کر زخمی کرنا، B) حقیقت پسندانہ، ہائی پریشر کے حالات میں طالب علم کی ہمت اور مہارت کو جانچنا، C) پوائنٹس حاصل کرنے کا یہ واحد طریقہ ہے، D) جدید کھیلوں کے مقابلوں کی تیاری کرنا</v>
      </c>
      <c r="M110" s="6" t="str">
        <f>IFERROR(__xludf.DUMMYFUNCTION("GOOGLETRANSLATE(D110, ""en"", ""ur"")"),"ب) حقیقت پسندانہ، ہائی پریشر کے حالات میں طالب علم کی ہمت اور مہارت کو جانچنا")</f>
        <v>ب) حقیقت پسندانہ، ہائی پریشر کے حالات میں طالب علم کی ہمت اور مہارت کو جانچنا</v>
      </c>
      <c r="N110" s="6" t="str">
        <f>IFERROR(__xludf.DUMMYFUNCTION("GOOGLETRANSLATE(E110, ""en"", ""ur"")"),"روایتی تربیت میں، ایک جنگجو کو حقیقی جنگ کی حقیقتوں کے لیے تیار کرنے کے لیے مکمل رابطے کی جنگ ضروری تھی۔")</f>
        <v>روایتی تربیت میں، ایک جنگجو کو حقیقی جنگ کی حقیقتوں کے لیے تیار کرنے کے لیے مکمل رابطے کی جنگ ضروری تھی۔</v>
      </c>
    </row>
    <row r="111">
      <c r="A111" s="4">
        <v>110.0</v>
      </c>
      <c r="B111" s="5" t="s">
        <v>1981</v>
      </c>
      <c r="C111" s="5" t="s">
        <v>1982</v>
      </c>
      <c r="D111" s="5" t="s">
        <v>1983</v>
      </c>
      <c r="E111" s="5" t="s">
        <v>1984</v>
      </c>
      <c r="J111" s="6" t="str">
        <f>IFERROR(__xludf.DUMMYFUNCTION("GOOGLETRANSLATE(A111, ""en"", ""ur"")"),"110")</f>
        <v>110</v>
      </c>
      <c r="K111" s="6" t="str">
        <f>IFERROR(__xludf.DUMMYFUNCTION("GOOGLETRANSLATE(B111, ""en"", ""ur"")"),"گٹکا کو سکھ ورثے کا اہم حصہ سمجھا جانے کی بنیادی وجہ کیا ہے؟")</f>
        <v>گٹکا کو سکھ ورثے کا اہم حصہ سمجھا جانے کی بنیادی وجہ کیا ہے؟</v>
      </c>
      <c r="L111" s="6" t="str">
        <f>IFERROR(__xludf.DUMMYFUNCTION("GOOGLETRANSLATE(C111, ""en"", ""ur"")"),"A) یہ ایک تفریحی کھیل ہے، B) یہ سکھ گرووں اور جنگجوؤں کی تاریخ اور فلسفے سے براہ راست، زندہ کڑی ہے، C) یہ آمدنی کا ایک بڑا ذریعہ ہے، D) یہ ایک اولمپک کھیل ہے۔")</f>
        <v>A) یہ ایک تفریحی کھیل ہے، B) یہ سکھ گرووں اور جنگجوؤں کی تاریخ اور فلسفے سے براہ راست، زندہ کڑی ہے، C) یہ آمدنی کا ایک بڑا ذریعہ ہے، D) یہ ایک اولمپک کھیل ہے۔</v>
      </c>
      <c r="M111" s="6" t="str">
        <f>IFERROR(__xludf.DUMMYFUNCTION("GOOGLETRANSLATE(D111, ""en"", ""ur"")"),"ب) یہ سکھ گرووں اور جنگجوؤں کی تاریخ اور فلسفے سے براہ راست، زندہ کڑی ہے۔")</f>
        <v>ب) یہ سکھ گرووں اور جنگجوؤں کی تاریخ اور فلسفے سے براہ راست، زندہ کڑی ہے۔</v>
      </c>
      <c r="N111" s="6" t="str">
        <f>IFERROR(__xludf.DUMMYFUNCTION("GOOGLETRANSLATE(E111, ""en"", ""ur"")"),"گٹکا کی مشق سکھوں کے لیے اپنی تاریخ سے جڑنے اور ""سنت سپاہی"" کے آئیڈیل کو مجسم کرنے کا ایک طریقہ ہے۔")</f>
        <v>گٹکا کی مشق سکھوں کے لیے اپنی تاریخ سے جڑنے اور "سنت سپاہی" کے آئیڈیل کو مجسم کرنے کا ایک طریقہ ہے۔</v>
      </c>
    </row>
    <row r="112">
      <c r="A112" s="4">
        <v>111.0</v>
      </c>
      <c r="B112" s="5" t="s">
        <v>1985</v>
      </c>
      <c r="C112" s="5" t="s">
        <v>1986</v>
      </c>
      <c r="D112" s="5" t="s">
        <v>1987</v>
      </c>
      <c r="E112" s="5" t="s">
        <v>1988</v>
      </c>
      <c r="J112" s="6" t="str">
        <f>IFERROR(__xludf.DUMMYFUNCTION("GOOGLETRANSLATE(A112, ""en"", ""ur"")"),"111")</f>
        <v>111</v>
      </c>
      <c r="K112" s="6" t="str">
        <f>IFERROR(__xludf.DUMMYFUNCTION("GOOGLETRANSLATE(B112, ""en"", ""ur"")"),"ٹیم ایونٹ میں ایک کھلاڑی کو نااہل قرار دیا جاتا ہے۔ ٹیم کا کیا ہوگا؟")</f>
        <v>ٹیم ایونٹ میں ایک کھلاڑی کو نااہل قرار دیا جاتا ہے۔ ٹیم کا کیا ہوگا؟</v>
      </c>
      <c r="L112" s="6" t="str">
        <f>IFERROR(__xludf.DUMMYFUNCTION("GOOGLETRANSLATE(C112, ""en"", ""ur"")"),"A) پوری ٹیم کو نااہل قرار دے دیا گیا ہے، B) ٹیم کو اس مخصوص باؤٹ کو ضائع کرنا ہوگا لیکن وہ میچ جاری رکھ سکتی ہے، C) ٹیم کھلاڑی کو متبادل کر سکتی ہے، D) کچھ نہیں، میچ جاری ہے")</f>
        <v>A) پوری ٹیم کو نااہل قرار دے دیا گیا ہے، B) ٹیم کو اس مخصوص باؤٹ کو ضائع کرنا ہوگا لیکن وہ میچ جاری رکھ سکتی ہے، C) ٹیم کھلاڑی کو متبادل کر سکتی ہے، D) کچھ نہیں، میچ جاری ہے</v>
      </c>
      <c r="M112" s="6" t="str">
        <f>IFERROR(__xludf.DUMMYFUNCTION("GOOGLETRANSLATE(D112, ""en"", ""ur"")"),"ب) ٹیم کو اس مخصوص مقابلے کو ضائع کرنا ہوگا لیکن وہ میچ جاری رکھ سکتی ہے۔")</f>
        <v>ب) ٹیم کو اس مخصوص مقابلے کو ضائع کرنا ہوگا لیکن وہ میچ جاری رکھ سکتی ہے۔</v>
      </c>
      <c r="N112" s="6" t="str">
        <f>IFERROR(__xludf.DUMMYFUNCTION("GOOGLETRANSLATE(E112, ""en"", ""ur"")"),"نااہل کھلاڑی اپنی انفرادی لڑائی ہار جاتا ہے، لیکن باقی ٹیم اپنے طے شدہ باؤٹس میں مقابلہ جاری رکھ سکتی ہے۔")</f>
        <v>نااہل کھلاڑی اپنی انفرادی لڑائی ہار جاتا ہے، لیکن باقی ٹیم اپنے طے شدہ باؤٹس میں مقابلہ جاری رکھ سکتی ہے۔</v>
      </c>
    </row>
    <row r="113">
      <c r="A113" s="4">
        <v>112.0</v>
      </c>
      <c r="B113" s="5" t="s">
        <v>1989</v>
      </c>
      <c r="C113" s="5" t="s">
        <v>1990</v>
      </c>
      <c r="D113" s="5" t="s">
        <v>1991</v>
      </c>
      <c r="E113" s="5" t="s">
        <v>1992</v>
      </c>
      <c r="J113" s="6" t="str">
        <f>IFERROR(__xludf.DUMMYFUNCTION("GOOGLETRANSLATE(A113, ""en"", ""ur"")"),"112")</f>
        <v>112</v>
      </c>
      <c r="K113" s="6" t="str">
        <f>IFERROR(__xludf.DUMMYFUNCTION("GOOGLETRANSLATE(B113, ""en"", ""ur"")"),"چھڑی کی سرکلر، گھومنے والی حرکت کے لیے کیا اصطلاح ہے؟")</f>
        <v>چھڑی کی سرکلر، گھومنے والی حرکت کے لیے کیا اصطلاح ہے؟</v>
      </c>
      <c r="L113" s="6" t="str">
        <f>IFERROR(__xludf.DUMMYFUNCTION("GOOGLETRANSLATE(C113, ""en"", ""ur"")"),"اے) گھمن، بی) جور، سی) فاری، ڈی) روک")</f>
        <v>اے) گھمن، بی) جور، سی) فاری، ڈی) روک</v>
      </c>
      <c r="M113" s="6" t="str">
        <f>IFERROR(__xludf.DUMMYFUNCTION("GOOGLETRANSLATE(D113, ""en"", ""ur"")"),"ا) گھمن")</f>
        <v>ا) گھمن</v>
      </c>
      <c r="N113" s="6" t="str">
        <f>IFERROR(__xludf.DUMMYFUNCTION("GOOGLETRANSLATE(E113, ""en"", ""ur"")"),"گھمن سے مراد ہتھیار کا مسلسل گھومنا یا گھومنا ہے، جو کنٹرول اور تال کو فروغ دینے کے لیے ایک بنیادی مشق ہے۔")</f>
        <v>گھمن سے مراد ہتھیار کا مسلسل گھومنا یا گھومنا ہے، جو کنٹرول اور تال کو فروغ دینے کے لیے ایک بنیادی مشق ہے۔</v>
      </c>
    </row>
    <row r="114">
      <c r="A114" s="4">
        <v>113.0</v>
      </c>
      <c r="B114" s="5" t="s">
        <v>1993</v>
      </c>
      <c r="C114" s="5" t="s">
        <v>1994</v>
      </c>
      <c r="D114" s="5" t="s">
        <v>1995</v>
      </c>
      <c r="E114" s="5" t="s">
        <v>1996</v>
      </c>
      <c r="J114" s="6" t="str">
        <f>IFERROR(__xludf.DUMMYFUNCTION("GOOGLETRANSLATE(A114, ""en"", ""ur"")"),"113")</f>
        <v>113</v>
      </c>
      <c r="K114" s="6" t="str">
        <f>IFERROR(__xludf.DUMMYFUNCTION("GOOGLETRANSLATE(B114, ""en"", ""ur"")"),"دو مسابقتی کھلاڑیوں کے لیے ایک جیسی مہارت کی سطح کا ہونا کیوں ضروری ہے؟")</f>
        <v>دو مسابقتی کھلاڑیوں کے لیے ایک جیسی مہارت کی سطح کا ہونا کیوں ضروری ہے؟</v>
      </c>
      <c r="L114" s="6" t="str">
        <f>IFERROR(__xludf.DUMMYFUNCTION("GOOGLETRANSLATE(C114, ""en"", ""ur"")"),"A) یہ اہم نہیں ہے، B) ایک منصفانہ اور مسابقتی میچ کو یقینی بنانے کے لئے، C) ایک کھلاڑی کو تھکاوٹ سے روکنے کے لئے، D) ایک ہی عمر کے کھلاڑیوں کا ہونا ایک اصول ہے")</f>
        <v>A) یہ اہم نہیں ہے، B) ایک منصفانہ اور مسابقتی میچ کو یقینی بنانے کے لئے، C) ایک کھلاڑی کو تھکاوٹ سے روکنے کے لئے، D) ایک ہی عمر کے کھلاڑیوں کا ہونا ایک اصول ہے</v>
      </c>
      <c r="M114" s="6" t="str">
        <f>IFERROR(__xludf.DUMMYFUNCTION("GOOGLETRANSLATE(D114, ""en"", ""ur"")"),"ب) منصفانہ اور مسابقتی میچ کو یقینی بنانا")</f>
        <v>ب) منصفانہ اور مسابقتی میچ کو یقینی بنانا</v>
      </c>
      <c r="N114" s="6" t="str">
        <f>IFERROR(__xludf.DUMMYFUNCTION("GOOGLETRANSLATE(E114, ""en"", ""ur"")"),"مہارت میں نمایاں عدم مماثلت کسی بھی کھلاڑی کے لیے حقیقی امتحان نہیں ہے اور کم تجربہ کار حریف کے لیے خطرناک ہو سکتی ہے۔")</f>
        <v>مہارت میں نمایاں عدم مماثلت کسی بھی کھلاڑی کے لیے حقیقی امتحان نہیں ہے اور کم تجربہ کار حریف کے لیے خطرناک ہو سکتی ہے۔</v>
      </c>
    </row>
    <row r="115">
      <c r="A115" s="4">
        <v>114.0</v>
      </c>
      <c r="B115" s="5" t="s">
        <v>1997</v>
      </c>
      <c r="C115" s="5" t="s">
        <v>1998</v>
      </c>
      <c r="D115" s="5" t="s">
        <v>1999</v>
      </c>
      <c r="E115" s="5" t="s">
        <v>2000</v>
      </c>
      <c r="J115" s="6" t="str">
        <f>IFERROR(__xludf.DUMMYFUNCTION("GOOGLETRANSLATE(A115, ""en"", ""ur"")"),"114")</f>
        <v>114</v>
      </c>
      <c r="K115" s="6" t="str">
        <f>IFERROR(__xludf.DUMMYFUNCTION("GOOGLETRANSLATE(B115, ""en"", ""ur"")"),"پوائنٹ سکور کرنے کے لیے ریفری کا کیا اشارہ ہے؟")</f>
        <v>پوائنٹ سکور کرنے کے لیے ریفری کا کیا اشارہ ہے؟</v>
      </c>
      <c r="L115" s="6" t="str">
        <f>IFERROR(__xludf.DUMMYFUNCTION("GOOGLETRANSLATE(C115, ""en"", ""ur"")"),"A) وہ کھلاڑی کے رنگ کا جھنڈا اٹھاتے ہیں، B) وہ دو بار اپنی سیٹی بجاتے ہیں، C) وہ ""پوائنٹ!"" چلاتے ہیں، D) وہ تالیاں بجاتے ہیں۔")</f>
        <v>A) وہ کھلاڑی کے رنگ کا جھنڈا اٹھاتے ہیں، B) وہ دو بار اپنی سیٹی بجاتے ہیں، C) وہ "پوائنٹ!" چلاتے ہیں، D) وہ تالیاں بجاتے ہیں۔</v>
      </c>
      <c r="M115" s="6" t="str">
        <f>IFERROR(__xludf.DUMMYFUNCTION("GOOGLETRANSLATE(D115, ""en"", ""ur"")"),"A) وہ کھلاڑی کے رنگ کا جھنڈا اٹھاتے ہیں۔")</f>
        <v>A) وہ کھلاڑی کے رنگ کا جھنڈا اٹھاتے ہیں۔</v>
      </c>
      <c r="N115" s="6" t="str">
        <f>IFERROR(__xludf.DUMMYFUNCTION("GOOGLETRANSLATE(E115, ""en"", ""ur"")"),"ججز اور ریفری کھلاڑیوں کے کونوں سے مماثل رنگین جھنڈوں (مثلاً سرخ اور نیلے) کا استعمال کرتے ہیں تاکہ یہ اشارہ کیا جا سکے کہ کس کھلاڑی نے پوائنٹ حاصل کیا ہے۔")</f>
        <v>ججز اور ریفری کھلاڑیوں کے کونوں سے مماثل رنگین جھنڈوں (مثلاً سرخ اور نیلے) کا استعمال کرتے ہیں تاکہ یہ اشارہ کیا جا سکے کہ کس کھلاڑی نے پوائنٹ حاصل کیا ہے۔</v>
      </c>
    </row>
    <row r="116">
      <c r="A116" s="4">
        <v>115.0</v>
      </c>
      <c r="B116" s="5" t="s">
        <v>2001</v>
      </c>
      <c r="C116" s="5" t="s">
        <v>2002</v>
      </c>
      <c r="D116" s="5" t="s">
        <v>2003</v>
      </c>
      <c r="E116" s="5" t="s">
        <v>2004</v>
      </c>
      <c r="J116" s="6" t="str">
        <f>IFERROR(__xludf.DUMMYFUNCTION("GOOGLETRANSLATE(A116, ""en"", ""ur"")"),"115")</f>
        <v>115</v>
      </c>
      <c r="K116" s="6" t="str">
        <f>IFERROR(__xludf.DUMMYFUNCTION("GOOGLETRANSLATE(B116, ""en"", ""ur"")"),"کس ہتھیار کو ""وار کوائٹ"" بھی کہا جاتا ہے؟")</f>
        <v>کس ہتھیار کو "وار کوائٹ" بھی کہا جاتا ہے؟</v>
      </c>
      <c r="L116" s="6" t="str">
        <f>IFERROR(__xludf.DUMMYFUNCTION("GOOGLETRANSLATE(C116, ""en"", ""ur"")"),"A) کھنڈا، B) کرپن، C) چکر، D) برچھا۔")</f>
        <v>A) کھنڈا، B) کرپن، C) چکر، D) برچھا۔</v>
      </c>
      <c r="M116" s="6" t="str">
        <f>IFERROR(__xludf.DUMMYFUNCTION("GOOGLETRANSLATE(D116, ""en"", ""ur"")"),"سی) چکر")</f>
        <v>سی) چکر</v>
      </c>
      <c r="N116" s="6" t="str">
        <f>IFERROR(__xludf.DUMMYFUNCTION("GOOGLETRANSLATE(E116, ""en"", ""ur"")"),"چکرا ایک سٹیل پھینکنے والی انگوٹھی ہے، جو سکھ جنگجوؤں کا ایک منفرد اور مشہور ہتھیار ہے۔")</f>
        <v>چکرا ایک سٹیل پھینکنے والی انگوٹھی ہے، جو سکھ جنگجوؤں کا ایک منفرد اور مشہور ہتھیار ہے۔</v>
      </c>
    </row>
    <row r="117">
      <c r="A117" s="4">
        <v>116.0</v>
      </c>
      <c r="B117" s="5" t="s">
        <v>2005</v>
      </c>
      <c r="C117" s="5" t="s">
        <v>2006</v>
      </c>
      <c r="D117" s="5" t="s">
        <v>2007</v>
      </c>
      <c r="E117" s="5" t="s">
        <v>2008</v>
      </c>
      <c r="J117" s="6" t="str">
        <f>IFERROR(__xludf.DUMMYFUNCTION("GOOGLETRANSLATE(A117, ""en"", ""ur"")"),"116")</f>
        <v>116</v>
      </c>
      <c r="K117" s="6" t="str">
        <f>IFERROR(__xludf.DUMMYFUNCTION("GOOGLETRANSLATE(B117, ""en"", ""ur"")"),"ٹریننگ اسٹک کے وزن اور لچک پر سخت قوانین کی بنیادی وجہ کیا ہے؟")</f>
        <v>ٹریننگ اسٹک کے وزن اور لچک پر سخت قوانین کی بنیادی وجہ کیا ہے؟</v>
      </c>
      <c r="L117" s="6" t="str">
        <f>IFERROR(__xludf.DUMMYFUNCTION("GOOGLETRANSLATE(C117, ""en"", ""ur"")"),"A) کھیل کو مزید مہنگا بنانے کے لیے، B) تمام حریفوں کے لیے انصاف اور حفاظت کو یقینی بنانے کے لیے، C) لاٹھیوں کو توڑنے میں آسانی پیدا کرنے کے لیے، D) انہیں یکساں نظر آنے کے لیے")</f>
        <v>A) کھیل کو مزید مہنگا بنانے کے لیے، B) تمام حریفوں کے لیے انصاف اور حفاظت کو یقینی بنانے کے لیے، C) لاٹھیوں کو توڑنے میں آسانی پیدا کرنے کے لیے، D) انہیں یکساں نظر آنے کے لیے</v>
      </c>
      <c r="M117" s="6" t="str">
        <f>IFERROR(__xludf.DUMMYFUNCTION("GOOGLETRANSLATE(D117, ""en"", ""ur"")"),"ب) تمام حریفوں کے لیے انصاف اور حفاظت کو یقینی بنانا")</f>
        <v>ب) تمام حریفوں کے لیے انصاف اور حفاظت کو یقینی بنانا</v>
      </c>
      <c r="N117" s="6" t="str">
        <f>IFERROR(__xludf.DUMMYFUNCTION("GOOGLETRANSLATE(E117, ""en"", ""ur"")"),"معیاری سازوسامان اس بات کو یقینی بناتا ہے کہ کسی بھی کھلاڑی کو غیر منصفانہ فائدہ حاصل نہیں ہے اور یہ کہ ہتھیار قابل پیشن گوئی، محفوظ طریقے سے برتاؤ کرتے ہیں۔")</f>
        <v>معیاری سازوسامان اس بات کو یقینی بناتا ہے کہ کسی بھی کھلاڑی کو غیر منصفانہ فائدہ حاصل نہیں ہے اور یہ کہ ہتھیار قابل پیشن گوئی، محفوظ طریقے سے برتاؤ کرتے ہیں۔</v>
      </c>
    </row>
    <row r="118">
      <c r="A118" s="4">
        <v>117.0</v>
      </c>
      <c r="B118" s="5" t="s">
        <v>2009</v>
      </c>
      <c r="C118" s="5" t="s">
        <v>2010</v>
      </c>
      <c r="D118" s="5" t="s">
        <v>2011</v>
      </c>
      <c r="E118" s="5" t="s">
        <v>2012</v>
      </c>
      <c r="J118" s="6" t="str">
        <f>IFERROR(__xludf.DUMMYFUNCTION("GOOGLETRANSLATE(A118, ""en"", ""ur"")"),"117")</f>
        <v>117</v>
      </c>
      <c r="K118" s="6" t="str">
        <f>IFERROR(__xludf.DUMMYFUNCTION("GOOGLETRANSLATE(B118, ""en"", ""ur"")"),"اصطلاح اکھاڑہ کا اصل تناظر میں کیا مطلب ہے؟")</f>
        <v>اصطلاح اکھاڑہ کا اصل تناظر میں کیا مطلب ہے؟</v>
      </c>
      <c r="L118" s="6" t="str">
        <f>IFERROR(__xludf.DUMMYFUNCTION("GOOGLETRANSLATE(C118, ""en"", ""ur"")"),"A) لڑائی یا کشتی کی جگہ، B) مندر، C) سکول، D) بازار")</f>
        <v>A) لڑائی یا کشتی کی جگہ، B) مندر، C) سکول، D) بازار</v>
      </c>
      <c r="M118" s="6" t="str">
        <f>IFERROR(__xludf.DUMMYFUNCTION("GOOGLETRANSLATE(D118, ""en"", ""ur"")"),"ا) لڑائی یا کشتی کی جگہ")</f>
        <v>ا) لڑائی یا کشتی کی جگہ</v>
      </c>
      <c r="N118" s="6" t="str">
        <f>IFERROR(__xludf.DUMMYFUNCTION("GOOGLETRANSLATE(E118, ""en"", ""ur"")"),"اکھاڑا ہندوستانی مارشل آرٹس اور کشتی کا روایتی جمنازیم یا میدان ہے۔")</f>
        <v>اکھاڑا ہندوستانی مارشل آرٹس اور کشتی کا روایتی جمنازیم یا میدان ہے۔</v>
      </c>
    </row>
    <row r="119">
      <c r="A119" s="4">
        <v>118.0</v>
      </c>
      <c r="B119" s="5" t="s">
        <v>2013</v>
      </c>
      <c r="C119" s="5" t="s">
        <v>2014</v>
      </c>
      <c r="D119" s="5" t="s">
        <v>2015</v>
      </c>
      <c r="E119" s="5" t="s">
        <v>2016</v>
      </c>
      <c r="J119" s="6" t="str">
        <f>IFERROR(__xludf.DUMMYFUNCTION("GOOGLETRANSLATE(A119, ""en"", ""ur"")"),"118")</f>
        <v>118</v>
      </c>
      <c r="K119" s="6" t="str">
        <f>IFERROR(__xludf.DUMMYFUNCTION("GOOGLETRANSLATE(B119, ""en"", ""ur"")"),"ایک کھلاڑی کو ""ہائی اسٹرائیک"" کی سزا دی جاتی ہے۔ اس کا کیا مطلب ہے؟")</f>
        <v>ایک کھلاڑی کو "ہائی اسٹرائیک" کی سزا دی جاتی ہے۔ اس کا کیا مطلب ہے؟</v>
      </c>
      <c r="L119" s="6" t="str">
        <f>IFERROR(__xludf.DUMMYFUNCTION("GOOGLETRANSLATE(C119, ""en"", ""ur"")"),"A) ہڑتال بہت طاقتور تھی، B) ہڑتال کا مقصد کندھوں سے اوپر سر یا گردن پر تھا، C) ہڑتال ایک جمپنگ اسٹرائیک تھی، D) ہڑتال بہت سست تھی۔")</f>
        <v>A) ہڑتال بہت طاقتور تھی، B) ہڑتال کا مقصد کندھوں سے اوپر سر یا گردن پر تھا، C) ہڑتال ایک جمپنگ اسٹرائیک تھی، D) ہڑتال بہت سست تھی۔</v>
      </c>
      <c r="M119" s="6" t="str">
        <f>IFERROR(__xludf.DUMMYFUNCTION("GOOGLETRANSLATE(D119, ""en"", ""ur"")"),"ب) ہڑتال کا مقصد کندھوں سے اوپر سر یا گردن پر تھا۔")</f>
        <v>ب) ہڑتال کا مقصد کندھوں سے اوپر سر یا گردن پر تھا۔</v>
      </c>
      <c r="N119" s="6" t="str">
        <f>IFERROR(__xludf.DUMMYFUNCTION("GOOGLETRANSLATE(E119, ""en"", ""ur"")"),"بہت سے اصولوں میں، سر ایک غیر قانونی ہدف ہے۔ ایک ""ہائی سٹرائیک"" سے مراد اس ممنوعہ علاقے کو مارنے کے لیے ایک فاؤل ہے۔")</f>
        <v>بہت سے اصولوں میں، سر ایک غیر قانونی ہدف ہے۔ ایک "ہائی سٹرائیک" سے مراد اس ممنوعہ علاقے کو مارنے کے لیے ایک فاؤل ہے۔</v>
      </c>
    </row>
    <row r="120">
      <c r="A120" s="4">
        <v>119.0</v>
      </c>
      <c r="B120" s="5" t="s">
        <v>2017</v>
      </c>
      <c r="C120" s="5" t="s">
        <v>2018</v>
      </c>
      <c r="D120" s="5" t="s">
        <v>2019</v>
      </c>
      <c r="E120" s="5" t="s">
        <v>2020</v>
      </c>
      <c r="J120" s="6" t="str">
        <f>IFERROR(__xludf.DUMMYFUNCTION("GOOGLETRANSLATE(A120, ""en"", ""ur"")"),"119")</f>
        <v>119</v>
      </c>
      <c r="K120" s="6" t="str">
        <f>IFERROR(__xludf.DUMMYFUNCTION("GOOGLETRANSLATE(B120, ""en"", ""ur"")"),"گٹکا میں مطابقت پذیر گروپ ڈسپلے (جاٹھا) کا بنیادی مقصد کیا ہے؟")</f>
        <v>گٹکا میں مطابقت پذیر گروپ ڈسپلے (جاٹھا) کا بنیادی مقصد کیا ہے؟</v>
      </c>
      <c r="L120" s="6" t="str">
        <f>IFERROR(__xludf.DUMMYFUNCTION("GOOGLETRANSLATE(C120, ""en"", ""ur"")"),"A) فاتح کا تعین کرنے کے لئے، B) نظم و ضبط، ہم آہنگی اور گروپ کے اتحاد کا مظاہرہ کرنے کے لئے، C) انفرادی لڑائیوں کے لئے گرم جوشی کے لئے، D) یہ احتجاج کی ایک شکل ہے۔")</f>
        <v>A) فاتح کا تعین کرنے کے لئے، B) نظم و ضبط، ہم آہنگی اور گروپ کے اتحاد کا مظاہرہ کرنے کے لئے، C) انفرادی لڑائیوں کے لئے گرم جوشی کے لئے، D) یہ احتجاج کی ایک شکل ہے۔</v>
      </c>
      <c r="M120" s="6" t="str">
        <f>IFERROR(__xludf.DUMMYFUNCTION("GOOGLETRANSLATE(D120, ""en"", ""ur"")"),"ب) گروپ کے نظم و ضبط، ہم آہنگی اور اتحاد کا مظاہرہ کرنا")</f>
        <v>ب) گروپ کے نظم و ضبط، ہم آہنگی اور اتحاد کا مظاہرہ کرنا</v>
      </c>
      <c r="N120" s="6" t="str">
        <f>IFERROR(__xludf.DUMMYFUNCTION("GOOGLETRANSLATE(E120, ""en"", ""ur"")"),"یہ پرفارمنس گٹکا اسکول یا ٹیم کی اجتماعی مہارت اور ہم آہنگی کی ایک طاقتور نمائش ہیں۔")</f>
        <v>یہ پرفارمنس گٹکا اسکول یا ٹیم کی اجتماعی مہارت اور ہم آہنگی کی ایک طاقتور نمائش ہیں۔</v>
      </c>
    </row>
    <row r="121">
      <c r="A121" s="4">
        <v>120.0</v>
      </c>
      <c r="B121" s="5" t="s">
        <v>2021</v>
      </c>
      <c r="C121" s="5" t="s">
        <v>2022</v>
      </c>
      <c r="D121" s="5" t="s">
        <v>2023</v>
      </c>
      <c r="E121" s="5" t="s">
        <v>2024</v>
      </c>
      <c r="J121" s="6" t="str">
        <f>IFERROR(__xludf.DUMMYFUNCTION("GOOGLETRANSLATE(A121, ""en"", ""ur"")"),"120")</f>
        <v>120</v>
      </c>
      <c r="K121" s="6" t="str">
        <f>IFERROR(__xludf.DUMMYFUNCTION("GOOGLETRANSLATE(B121, ""en"", ""ur"")"),"گٹکا کی مشق کو کچھ پریکٹیشنرز مراقبہ کی ایک شکل کیوں سمجھتے ہیں؟")</f>
        <v>گٹکا کی مشق کو کچھ پریکٹیشنرز مراقبہ کی ایک شکل کیوں سمجھتے ہیں؟</v>
      </c>
      <c r="L121" s="6" t="str">
        <f>IFERROR(__xludf.DUMMYFUNCTION("GOOGLETRANSLATE(C121, ""en"", ""ur"")"),"A) یہ خاموشی میں کیا جاتا ہے، B) حرکت اور سانس لینے پر درکار شدید توجہ دماغ کو صاف کر سکتی ہے، C) اس میں طویل عرصے تک خاموش بیٹھنا شامل ہے، D) یہ ایک مذہبی ضرورت ہے۔")</f>
        <v>A) یہ خاموشی میں کیا جاتا ہے، B) حرکت اور سانس لینے پر درکار شدید توجہ دماغ کو صاف کر سکتی ہے، C) اس میں طویل عرصے تک خاموش بیٹھنا شامل ہے، D) یہ ایک مذہبی ضرورت ہے۔</v>
      </c>
      <c r="M121" s="6" t="str">
        <f>IFERROR(__xludf.DUMMYFUNCTION("GOOGLETRANSLATE(D121, ""en"", ""ur"")"),"ب) حرکت اور سانس لینے پر مطلوبہ شدید توجہ ذہن کو صاف کر سکتی ہے۔")</f>
        <v>ب) حرکت اور سانس لینے پر مطلوبہ شدید توجہ ذہن کو صاف کر سکتی ہے۔</v>
      </c>
      <c r="N121" s="6" t="str">
        <f>IFERROR(__xludf.DUMMYFUNCTION("GOOGLETRANSLATE(E121, ""en"", ""ur"")"),"تکنیکوں کو انجام دینے کے لیے درکار گہری ارتکاز ""حرکت پذیر مراقبہ""، جسم اور روح کو یکجا کرنے کی حالت کا باعث بن سکتی ہے۔")</f>
        <v>تکنیکوں کو انجام دینے کے لیے درکار گہری ارتکاز "حرکت پذیر مراقبہ"، جسم اور روح کو یکجا کرنے کی حالت کا باعث بن سکتی ہے۔</v>
      </c>
    </row>
    <row r="122">
      <c r="A122" s="4">
        <v>121.0</v>
      </c>
      <c r="B122" s="5" t="s">
        <v>2025</v>
      </c>
      <c r="C122" s="5" t="s">
        <v>2026</v>
      </c>
      <c r="D122" s="5" t="s">
        <v>2027</v>
      </c>
      <c r="E122" s="5" t="s">
        <v>2028</v>
      </c>
      <c r="J122" s="6" t="str">
        <f>IFERROR(__xludf.DUMMYFUNCTION("GOOGLETRANSLATE(A122, ""en"", ""ur"")"),"121")</f>
        <v>121</v>
      </c>
      <c r="K122" s="6" t="str">
        <f>IFERROR(__xludf.DUMMYFUNCTION("GOOGLETRANSLATE(B122, ""en"", ""ur"")"),"ان میں سے کون سا گٹکا میں ایک اہم دفاعی فٹ ورک پینتریبازی ہے؟")</f>
        <v>ان میں سے کون سا گٹکا میں ایک اہم دفاعی فٹ ورک پینتریبازی ہے؟</v>
      </c>
      <c r="L122" s="6" t="str">
        <f>IFERROR(__xludf.DUMMYFUNCTION("GOOGLETRANSLATE(C122, ""en"", ""ur"")"),"A) فارورڈ چارج، B) ایک سائیڈ سٹیپ یا ""اینگولیشن"" (ڈیپچ)، C) ساکت کھڑا ہونا، D) ایک کم کراؤچ")</f>
        <v>A) فارورڈ چارج، B) ایک سائیڈ سٹیپ یا "اینگولیشن" (ڈیپچ)، C) ساکت کھڑا ہونا، D) ایک کم کراؤچ</v>
      </c>
      <c r="M122" s="6" t="str">
        <f>IFERROR(__xludf.DUMMYFUNCTION("GOOGLETRANSLATE(D122, ""en"", ""ur"")"),"ب) ایک طرف قدم یا ""اینگولیشن"" (ڈیپچ)")</f>
        <v>ب) ایک طرف قدم یا "اینگولیشن" (ڈیپچ)</v>
      </c>
      <c r="N122" s="6" t="str">
        <f>IFERROR(__xludf.DUMMYFUNCTION("GOOGLETRANSLATE(E122, ""en"", ""ur"")"),"سائیڈ سٹیپنگ ایک بنیادی دفاعی مہارت ہے جو لکیری حملے سے بچنے اور جوابی حملے کے لیے ایک زاویہ بنانے کے لیے استعمال ہوتی ہے۔")</f>
        <v>سائیڈ سٹیپنگ ایک بنیادی دفاعی مہارت ہے جو لکیری حملے سے بچنے اور جوابی حملے کے لیے ایک زاویہ بنانے کے لیے استعمال ہوتی ہے۔</v>
      </c>
    </row>
    <row r="123">
      <c r="A123" s="4">
        <v>122.0</v>
      </c>
      <c r="B123" s="5" t="s">
        <v>2029</v>
      </c>
      <c r="C123" s="5" t="s">
        <v>2030</v>
      </c>
      <c r="D123" s="5" t="s">
        <v>2031</v>
      </c>
      <c r="E123" s="5" t="s">
        <v>2032</v>
      </c>
      <c r="J123" s="6" t="str">
        <f>IFERROR(__xludf.DUMMYFUNCTION("GOOGLETRANSLATE(A123, ""en"", ""ur"")"),"122")</f>
        <v>122</v>
      </c>
      <c r="K123" s="6" t="str">
        <f>IFERROR(__xludf.DUMMYFUNCTION("GOOGLETRANSLATE(B123, ""en"", ""ur"")"),"""نہنگ"" کے طرزِ جنگ کی بنیادی خصوصیت کیا ہے؟")</f>
        <v>"نہنگ" کے طرزِ جنگ کی بنیادی خصوصیت کیا ہے؟</v>
      </c>
      <c r="L123" s="6" t="str">
        <f>IFERROR(__xludf.DUMMYFUNCTION("GOOGLETRANSLATE(C123, ""en"", ""ur"")"),"A) یہ بہت دفاعی اور غیر فعال ہے، B) یہ انتہائی جارحانہ، بظاہر افراتفری، لیکن بہت مؤثر ہے، C) یہ صرف ایک قسم کا ہتھیار استعمال کرتا ہے، D) یہ ایک جدید کھیل ہے۔")</f>
        <v>A) یہ بہت دفاعی اور غیر فعال ہے، B) یہ انتہائی جارحانہ، بظاہر افراتفری، لیکن بہت مؤثر ہے، C) یہ صرف ایک قسم کا ہتھیار استعمال کرتا ہے، D) یہ ایک جدید کھیل ہے۔</v>
      </c>
      <c r="M123" s="6" t="str">
        <f>IFERROR(__xludf.DUMMYFUNCTION("GOOGLETRANSLATE(D123, ""en"", ""ur"")"),"ب) یہ انتہائی جارحانہ، بظاہر افراتفری، لیکن بہت موثر ہے۔")</f>
        <v>ب) یہ انتہائی جارحانہ، بظاہر افراتفری، لیکن بہت موثر ہے۔</v>
      </c>
      <c r="N123" s="6" t="str">
        <f>IFERROR(__xludf.DUMMYFUNCTION("GOOGLETRANSLATE(E123, ""en"", ""ur"")"),"نہنگ انداز اپنی خوفناک، ہمہ گیر حملہ آور فطرت کے لیے جانا جاتا ہے، جو مخالفین کو مغلوب کر سکتا ہے۔")</f>
        <v>نہنگ انداز اپنی خوفناک، ہمہ گیر حملہ آور فطرت کے لیے جانا جاتا ہے، جو مخالفین کو مغلوب کر سکتا ہے۔</v>
      </c>
    </row>
    <row r="124">
      <c r="A124" s="4">
        <v>123.0</v>
      </c>
      <c r="B124" s="5" t="s">
        <v>2033</v>
      </c>
      <c r="C124" s="5" t="s">
        <v>2034</v>
      </c>
      <c r="D124" s="5" t="s">
        <v>2035</v>
      </c>
      <c r="E124" s="5" t="s">
        <v>2036</v>
      </c>
      <c r="J124" s="6" t="str">
        <f>IFERROR(__xludf.DUMMYFUNCTION("GOOGLETRANSLATE(A124, ""en"", ""ur"")"),"123")</f>
        <v>123</v>
      </c>
      <c r="K124" s="6" t="str">
        <f>IFERROR(__xludf.DUMMYFUNCTION("GOOGLETRANSLATE(B124, ""en"", ""ur"")"),"مقابلے میں ایک کھلاڑی جدید ہیلمٹ کی بجائے روایتی پگڑی پہنے ہوئے ہے۔ اس میں کیا ہونا چاہیے؟")</f>
        <v>مقابلے میں ایک کھلاڑی جدید ہیلمٹ کی بجائے روایتی پگڑی پہنے ہوئے ہے۔ اس میں کیا ہونا چاہیے؟</v>
      </c>
      <c r="L124" s="6" t="str">
        <f>IFERROR(__xludf.DUMMYFUNCTION("GOOGLETRANSLATE(C124, ""en"", ""ur"")"),"A) ایک مخصوص رنگ، B) اسے ریفری کے ذریعہ منظور کیا جانا چاہئے اور اس میں اکثر اندرونی پیڈنگ (فاررا) ہوتی ہے، C) ایک دھاتی پلیٹ، D) یہ بہت چھوٹی ہونی چاہئے۔")</f>
        <v>A) ایک مخصوص رنگ، B) اسے ریفری کے ذریعہ منظور کیا جانا چاہئے اور اس میں اکثر اندرونی پیڈنگ (فاررا) ہوتی ہے، C) ایک دھاتی پلیٹ، D) یہ بہت چھوٹی ہونی چاہئے۔</v>
      </c>
      <c r="M124" s="6" t="str">
        <f>IFERROR(__xludf.DUMMYFUNCTION("GOOGLETRANSLATE(D124, ""en"", ""ur"")"),"ب) اسے ریفری کے ذریعہ منظور کیا جانا چاہئے اور اس میں اکثر اندرونی پیڈنگ ہوتی ہے (فاررا)")</f>
        <v>ب) اسے ریفری کے ذریعہ منظور کیا جانا چاہئے اور اس میں اکثر اندرونی پیڈنگ ہوتی ہے (فاررا)</v>
      </c>
      <c r="N124" s="6" t="str">
        <f>IFERROR(__xludf.DUMMYFUNCTION("GOOGLETRANSLATE(E124, ""en"", ""ur"")"),"حفاظت کے لیے، اگر روایتی پگڑی پہنی جاتی ہے، تو اسے ایک مخصوص، محفوظ طریقے سے باندھنا چاہیے اور اس میں اکثر حفاظتی عناصر ہوتے ہیں۔")</f>
        <v>حفاظت کے لیے، اگر روایتی پگڑی پہنی جاتی ہے، تو اسے ایک مخصوص، محفوظ طریقے سے باندھنا چاہیے اور اس میں اکثر حفاظتی عناصر ہوتے ہیں۔</v>
      </c>
    </row>
    <row r="125">
      <c r="A125" s="4">
        <v>124.0</v>
      </c>
      <c r="B125" s="5" t="s">
        <v>2037</v>
      </c>
      <c r="C125" s="5" t="s">
        <v>2038</v>
      </c>
      <c r="D125" s="5" t="s">
        <v>2039</v>
      </c>
      <c r="E125" s="5" t="s">
        <v>2040</v>
      </c>
      <c r="J125" s="6" t="str">
        <f>IFERROR(__xludf.DUMMYFUNCTION("GOOGLETRANSLATE(A125, ""en"", ""ur"")"),"124")</f>
        <v>124</v>
      </c>
      <c r="K125" s="6" t="str">
        <f>IFERROR(__xludf.DUMMYFUNCTION("GOOGLETRANSLATE(B125, ""en"", ""ur"")"),"چھوٹی، گول شیلڈ (فاری) کا بنیادی مقصد کیا ہے؟")</f>
        <v>چھوٹی، گول شیلڈ (فاری) کا بنیادی مقصد کیا ہے؟</v>
      </c>
      <c r="L125" s="6" t="str">
        <f>IFERROR(__xludf.DUMMYFUNCTION("GOOGLETRANSLATE(C125, ""en"", ""ur"")"),"A) یہ اتنا بڑا ہے کہ پیچھے چھپ سکتا ہے، B) یہ ہلکا اور چالاک ہے پیری کرنے اور فعال بلاک کرنے کے لیے، C) یہ پھینکنے والا ہتھیار ہے، D) یہ خالصتاً رسمی ہے۔")</f>
        <v>A) یہ اتنا بڑا ہے کہ پیچھے چھپ سکتا ہے، B) یہ ہلکا اور چالاک ہے پیری کرنے اور فعال بلاک کرنے کے لیے، C) یہ پھینکنے والا ہتھیار ہے، D) یہ خالصتاً رسمی ہے۔</v>
      </c>
      <c r="M125" s="6" t="str">
        <f>IFERROR(__xludf.DUMMYFUNCTION("GOOGLETRANSLATE(D125, ""en"", ""ur"")"),"ب) یہ پیرینگ اور فعال بلاکنگ کے لیے ہلکا اور قابل تدبیر ہے۔")</f>
        <v>ب) یہ پیرینگ اور فعال بلاکنگ کے لیے ہلکا اور قابل تدبیر ہے۔</v>
      </c>
      <c r="N125" s="6" t="str">
        <f>IFERROR(__xludf.DUMMYFUNCTION("GOOGLETRANSLATE(E125, ""en"", ""ur"")"),"ایک بڑی ڈھال کے برعکس، فاری کو متحرک طور پر حملوں کو روکنے اور ری ڈائریکٹ کرنے کے لیے استعمال کیا جاتا ہے، غیر فعال دفاع کے لیے نہیں۔")</f>
        <v>ایک بڑی ڈھال کے برعکس، فاری کو متحرک طور پر حملوں کو روکنے اور ری ڈائریکٹ کرنے کے لیے استعمال کیا جاتا ہے، غیر فعال دفاع کے لیے نہیں۔</v>
      </c>
    </row>
    <row r="126">
      <c r="A126" s="4">
        <v>125.0</v>
      </c>
      <c r="B126" s="5" t="s">
        <v>2041</v>
      </c>
      <c r="C126" s="5" t="s">
        <v>2042</v>
      </c>
      <c r="D126" s="5" t="s">
        <v>2043</v>
      </c>
      <c r="E126" s="5" t="s">
        <v>2044</v>
      </c>
      <c r="J126" s="6" t="str">
        <f>IFERROR(__xludf.DUMMYFUNCTION("GOOGLETRANSLATE(A126, ""en"", ""ur"")"),"125")</f>
        <v>125</v>
      </c>
      <c r="K126" s="6" t="str">
        <f>IFERROR(__xludf.DUMMYFUNCTION("GOOGLETRANSLATE(B126, ""en"", ""ur"")"),"ایک کھلاڑی کو ""جسمانی رابطے"" کے لیے سزا دی جاتی ہے۔ انہوں نے کیا کیا؟")</f>
        <v>ایک کھلاڑی کو "جسمانی رابطے" کے لیے سزا دی جاتی ہے۔ انہوں نے کیا کیا؟</v>
      </c>
      <c r="L126" s="6" t="str">
        <f>IFERROR(__xludf.DUMMYFUNCTION("GOOGLETRANSLATE(C126, ""en"", ""ur"")"),"A) انہیں مخالف نے ٹکر ماری، B) انہوں نے جان بوجھ کر اپنے مخالف کو دھکا دیا یا اس سے جکڑ لیا، C) ان کا پاؤں مخالف کے پاؤں کو چھو گیا، D) انہوں نے ہڑتال کو روک دیا")</f>
        <v>A) انہیں مخالف نے ٹکر ماری، B) انہوں نے جان بوجھ کر اپنے مخالف کو دھکا دیا یا اس سے جکڑ لیا، C) ان کا پاؤں مخالف کے پاؤں کو چھو گیا، D) انہوں نے ہڑتال کو روک دیا</v>
      </c>
      <c r="M126" s="6" t="str">
        <f>IFERROR(__xludf.DUMMYFUNCTION("GOOGLETRANSLATE(D126, ""en"", ""ur"")"),"ب) انہوں نے جان بوجھ کر اپنے مخالف کو دھکیل دیا یا اس سے گرفت کی۔")</f>
        <v>ب) انہوں نے جان بوجھ کر اپنے مخالف کو دھکیل دیا یا اس سے گرفت کی۔</v>
      </c>
      <c r="N126" s="6" t="str">
        <f>IFERROR(__xludf.DUMMYFUNCTION("GOOGLETRANSLATE(E126, ""en"", ""ur"")"),"کھیل گٹکا ہتھیاروں پر مبنی ایک فن ہے۔ کسی کے جسم کو غیر قانونی طور پر دھکیلنے، پکڑنے یا پکڑنے کے لیے استعمال کرنا فُل ہے۔")</f>
        <v>کھیل گٹکا ہتھیاروں پر مبنی ایک فن ہے۔ کسی کے جسم کو غیر قانونی طور پر دھکیلنے، پکڑنے یا پکڑنے کے لیے استعمال کرنا فُل ہے۔</v>
      </c>
    </row>
    <row r="127">
      <c r="A127" s="4">
        <v>126.0</v>
      </c>
      <c r="B127" s="5" t="s">
        <v>2045</v>
      </c>
      <c r="C127" s="5" t="s">
        <v>2046</v>
      </c>
      <c r="D127" s="5" t="s">
        <v>2047</v>
      </c>
      <c r="E127" s="5" t="s">
        <v>2048</v>
      </c>
      <c r="J127" s="6" t="str">
        <f>IFERROR(__xludf.DUMMYFUNCTION("GOOGLETRANSLATE(A127, ""en"", ""ur"")"),"126")</f>
        <v>126</v>
      </c>
      <c r="K127" s="6" t="str">
        <f>IFERROR(__xludf.DUMMYFUNCTION("GOOGLETRANSLATE(B127, ""en"", ""ur"")"),"چھڑی کے کس حصے سے مارنا غیر قانونی ہے؟")</f>
        <v>چھڑی کے کس حصے سے مارنا غیر قانونی ہے؟</v>
      </c>
      <c r="L127" s="6" t="str">
        <f>IFERROR(__xludf.DUMMYFUNCTION("GOOGLETRANSLATE(C127, ""en"", ""ur"")"),"A) ٹپ، B) درمیانی، C) بٹ اینڈ، D) تمام حصے قانونی ہیں۔")</f>
        <v>A) ٹپ، B) درمیانی، C) بٹ اینڈ، D) تمام حصے قانونی ہیں۔</v>
      </c>
      <c r="M127" s="6" t="str">
        <f>IFERROR(__xludf.DUMMYFUNCTION("GOOGLETRANSLATE(D127, ""en"", ""ur"")"),"D) تمام حصے قانونی ہیں۔")</f>
        <v>D) تمام حصے قانونی ہیں۔</v>
      </c>
      <c r="N127" s="6" t="str">
        <f>IFERROR(__xludf.DUMMYFUNCTION("GOOGLETRANSLATE(E127, ""en"", ""ur"")"),"ایک کھلاڑی قانونی طور پر لکڑی کی سوتی کے کسی بھی حصے سے حملہ کر سکتا ہے۔")</f>
        <v>ایک کھلاڑی قانونی طور پر لکڑی کی سوتی کے کسی بھی حصے سے حملہ کر سکتا ہے۔</v>
      </c>
    </row>
    <row r="128">
      <c r="A128" s="4">
        <v>127.0</v>
      </c>
      <c r="B128" s="5" t="s">
        <v>2049</v>
      </c>
      <c r="C128" s="5" t="s">
        <v>2050</v>
      </c>
      <c r="D128" s="5" t="s">
        <v>2051</v>
      </c>
      <c r="E128" s="5" t="s">
        <v>2052</v>
      </c>
      <c r="J128" s="6" t="str">
        <f>IFERROR(__xludf.DUMMYFUNCTION("GOOGLETRANSLATE(A128, ""en"", ""ur"")"),"127")</f>
        <v>127</v>
      </c>
      <c r="K128" s="6" t="str">
        <f>IFERROR(__xludf.DUMMYFUNCTION("GOOGLETRANSLATE(B128, ""en"", ""ur"")"),"لڑائی کو روکنے کے لیے ریفری کا کیا حکم ہے؟")</f>
        <v>لڑائی کو روکنے کے لیے ریفری کا کیا حکم ہے؟</v>
      </c>
      <c r="L128" s="6" t="str">
        <f>IFERROR(__xludf.DUMMYFUNCTION("GOOGLETRANSLATE(C128, ""en"", ""ur"")"),"A) ""رک!"" (رکو!)، ب) ""خاتم!"" (ختم!)، سی) ایک لمبی سیٹی بجا، ڈی) ""باس!"" (بس!)")</f>
        <v>A) "رک!" (رکو!)، ب) "خاتم!" (ختم!)، سی) ایک لمبی سیٹی بجا، ڈی) "باس!" (بس!)</v>
      </c>
      <c r="M128" s="6" t="str">
        <f>IFERROR(__xludf.DUMMYFUNCTION("GOOGLETRANSLATE(D128, ""en"", ""ur"")"),"سی) ایک لمبی سیٹی بجانا")</f>
        <v>سی) ایک لمبی سیٹی بجانا</v>
      </c>
      <c r="N128" s="6" t="str">
        <f>IFERROR(__xludf.DUMMYFUNCTION("GOOGLETRANSLATE(E128, ""en"", ""ur"")"),"ریفری کی سیٹی ایک رسمی میچ میں کارروائی شروع کرنے اور روکنے کا بنیادی ذریعہ ہے۔")</f>
        <v>ریفری کی سیٹی ایک رسمی میچ میں کارروائی شروع کرنے اور روکنے کا بنیادی ذریعہ ہے۔</v>
      </c>
    </row>
    <row r="129">
      <c r="A129" s="4">
        <v>128.0</v>
      </c>
      <c r="B129" s="5" t="s">
        <v>1748</v>
      </c>
      <c r="C129" s="5" t="s">
        <v>1749</v>
      </c>
      <c r="D129" s="5" t="s">
        <v>1750</v>
      </c>
      <c r="E129" s="5" t="s">
        <v>1751</v>
      </c>
      <c r="J129" s="6" t="str">
        <f>IFERROR(__xludf.DUMMYFUNCTION("GOOGLETRANSLATE(A129, ""en"", ""ur"")"),"128")</f>
        <v>128</v>
      </c>
      <c r="K129" s="6" t="str">
        <f>IFERROR(__xludf.DUMMYFUNCTION("GOOGLETRANSLATE(B129, ""en"", ""ur"")"),"گٹکا کی تربیت بچوں کے لیے فائدہ مند ہونے کی بنیادی وجہ کیا ہے؟")</f>
        <v>گٹکا کی تربیت بچوں کے لیے فائدہ مند ہونے کی بنیادی وجہ کیا ہے؟</v>
      </c>
      <c r="L129" s="6" t="str">
        <f>IFERROR(__xludf.DUMMYFUNCTION("GOOGLETRANSLATE(C129, ""en"", ""ur"")"),"A) یہ انہیں جارحانہ ہونا سکھاتا ہے، B) یہ نظم و ضبط، توجہ اور جسمانی تندرستی پیدا کرتا ہے، C) یہ سیکھنا آسان کھیل ہے، D) یہ ضمانت دیتا ہے کہ وہ لڑائیاں جیتیں گے۔")</f>
        <v>A) یہ انہیں جارحانہ ہونا سکھاتا ہے، B) یہ نظم و ضبط، توجہ اور جسمانی تندرستی پیدا کرتا ہے، C) یہ سیکھنا آسان کھیل ہے، D) یہ ضمانت دیتا ہے کہ وہ لڑائیاں جیتیں گے۔</v>
      </c>
      <c r="M129" s="6" t="str">
        <f>IFERROR(__xludf.DUMMYFUNCTION("GOOGLETRANSLATE(D129, ""en"", ""ur"")"),"ب) یہ نظم و ضبط، توجہ اور جسمانی تندرستی پیدا کرتا ہے۔")</f>
        <v>ب) یہ نظم و ضبط، توجہ اور جسمانی تندرستی پیدا کرتا ہے۔</v>
      </c>
      <c r="N129" s="6" t="str">
        <f>IFERROR(__xludf.DUMMYFUNCTION("GOOGLETRANSLATE(E129, ""en"", ""ur"")"),"گٹکا کو نوجوانوں کی سرگرمی کے طور پر کردار، ارتکاز اور ایک صحت مند جسم کی نشوونما کی صلاحیت کے لیے بہت اہمیت دی جاتی ہے۔")</f>
        <v>گٹکا کو نوجوانوں کی سرگرمی کے طور پر کردار، ارتکاز اور ایک صحت مند جسم کی نشوونما کی صلاحیت کے لیے بہت اہمیت دی جاتی ہے۔</v>
      </c>
    </row>
    <row r="130">
      <c r="A130" s="4">
        <v>129.0</v>
      </c>
      <c r="B130" s="5" t="s">
        <v>2053</v>
      </c>
      <c r="C130" s="5" t="s">
        <v>2054</v>
      </c>
      <c r="D130" s="5" t="s">
        <v>2055</v>
      </c>
      <c r="E130" s="5" t="s">
        <v>2056</v>
      </c>
      <c r="J130" s="6" t="str">
        <f>IFERROR(__xludf.DUMMYFUNCTION("GOOGLETRANSLATE(A130, ""en"", ""ur"")"),"129")</f>
        <v>129</v>
      </c>
      <c r="K130" s="6" t="str">
        <f>IFERROR(__xludf.DUMMYFUNCTION("GOOGLETRANSLATE(B130, ""en"", ""ur"")"),"فنکارانہ زمرے میں، ""تخلیق"" سے کیا مراد ہے؟")</f>
        <v>فنکارانہ زمرے میں، "تخلیق" سے کیا مراد ہے؟</v>
      </c>
      <c r="L130" s="6" t="str">
        <f>IFERROR(__xludf.DUMMYFUNCTION("GOOGLETRANSLATE(C130, ""en"", ""ur"")"),"A) نئی، غیر روایتی چالیں بنانا، B) روایتی تکنیکوں کو ایک منفرد امتزاج میں مہارت اور سیال جوڑنا، C) ایسے ہتھیار کا استعمال جس کی پہچان نہ ہو، D) کھلاڑی کا لباس")</f>
        <v>A) نئی، غیر روایتی چالیں بنانا، B) روایتی تکنیکوں کو ایک منفرد امتزاج میں مہارت اور سیال جوڑنا، C) ایسے ہتھیار کا استعمال جس کی پہچان نہ ہو، D) کھلاڑی کا لباس</v>
      </c>
      <c r="M130" s="6" t="str">
        <f>IFERROR(__xludf.DUMMYFUNCTION("GOOGLETRANSLATE(D130, ""en"", ""ur"")"),"ب) ایک منفرد امتزاج میں روایتی تکنیکوں کی مہارت اور سیال کو جوڑنا")</f>
        <v>ب) ایک منفرد امتزاج میں روایتی تکنیکوں کی مہارت اور سیال کو جوڑنا</v>
      </c>
      <c r="N130" s="6" t="str">
        <f>IFERROR(__xludf.DUMMYFUNCTION("GOOGLETRANSLATE(E130, ""en"", ""ur"")"),"تخلیقی حرکتوں کو ایجاد کرنے کے بارے میں نہیں ہے، بلکہ فن کے بنیادی عناصر کو ایک شاندار طریقے سے جوڑ کر اس کی گہری سمجھ کا مظاہرہ کرنا ہے۔")</f>
        <v>تخلیقی حرکتوں کو ایجاد کرنے کے بارے میں نہیں ہے، بلکہ فن کے بنیادی عناصر کو ایک شاندار طریقے سے جوڑ کر اس کی گہری سمجھ کا مظاہرہ کرنا ہے۔</v>
      </c>
    </row>
    <row r="131">
      <c r="A131" s="4">
        <v>130.0</v>
      </c>
      <c r="B131" s="5" t="s">
        <v>2057</v>
      </c>
      <c r="C131" s="5" t="s">
        <v>2058</v>
      </c>
      <c r="D131" s="5" t="s">
        <v>2059</v>
      </c>
      <c r="E131" s="5" t="s">
        <v>2060</v>
      </c>
      <c r="J131" s="6" t="str">
        <f>IFERROR(__xludf.DUMMYFUNCTION("GOOGLETRANSLATE(A131, ""en"", ""ur"")"),"130")</f>
        <v>130</v>
      </c>
      <c r="K131" s="6" t="str">
        <f>IFERROR(__xludf.DUMMYFUNCTION("GOOGLETRANSLATE(B131, ""en"", ""ur"")"),"گٹکا چھڑی اور جاپانی بوکن (لکڑی کی تلوار) کے درمیان بنیادی فرق کیا ہے؟")</f>
        <v>گٹکا چھڑی اور جاپانی بوکن (لکڑی کی تلوار) کے درمیان بنیادی فرق کیا ہے؟</v>
      </c>
      <c r="L131" s="6" t="str">
        <f>IFERROR(__xludf.DUMMYFUNCTION("GOOGLETRANSLATE(C131, ""en"", ""ur"")"),"A) بوکن بھاری ہے، B) گٹکا کی چھڑی سیدھی ہے، جب کہ بوکن کٹانہ کی طرح مڑے ہوئے ہے، C) گٹکا کی چھڑی لمبی ہے، D) کوئی فرق نہیں ہے۔")</f>
        <v>A) بوکن بھاری ہے، B) گٹکا کی چھڑی سیدھی ہے، جب کہ بوکن کٹانہ کی طرح مڑے ہوئے ہے، C) گٹکا کی چھڑی لمبی ہے، D) کوئی فرق نہیں ہے۔</v>
      </c>
      <c r="M131" s="6" t="str">
        <f>IFERROR(__xludf.DUMMYFUNCTION("GOOGLETRANSLATE(D131, ""en"", ""ur"")"),"ب) گٹکا کی چھڑی سیدھی ہے، جب کہ بوکن کٹانا کی طرح مڑے ہوئے ہیں۔")</f>
        <v>ب) گٹکا کی چھڑی سیدھی ہے، جب کہ بوکن کٹانا کی طرح مڑے ہوئے ہیں۔</v>
      </c>
      <c r="N131" s="6" t="str">
        <f>IFERROR(__xludf.DUMMYFUNCTION("GOOGLETRANSLATE(E131, ""en"", ""ur"")"),"بوکن کی شکل جاپانی تلوار کی نقل کے لیے بنائی گئی ہے، جب کہ گٹکا سوتی ایک سیدھی چھڑی ہے جسے تلوار یا کھنڈا کی نقالی کے لیے ڈیزائن کیا گیا ہے۔")</f>
        <v>بوکن کی شکل جاپانی تلوار کی نقل کے لیے بنائی گئی ہے، جب کہ گٹکا سوتی ایک سیدھی چھڑی ہے جسے تلوار یا کھنڈا کی نقالی کے لیے ڈیزائن کیا گیا ہے۔</v>
      </c>
    </row>
    <row r="132">
      <c r="A132" s="4">
        <v>131.0</v>
      </c>
      <c r="B132" s="5" t="s">
        <v>2061</v>
      </c>
      <c r="C132" s="5" t="s">
        <v>2062</v>
      </c>
      <c r="D132" s="5" t="s">
        <v>2063</v>
      </c>
      <c r="E132" s="5" t="s">
        <v>2064</v>
      </c>
      <c r="J132" s="6" t="str">
        <f>IFERROR(__xludf.DUMMYFUNCTION("GOOGLETRANSLATE(A132, ""en"", ""ur"")"),"131")</f>
        <v>131</v>
      </c>
      <c r="K132" s="6" t="str">
        <f>IFERROR(__xludf.DUMMYFUNCTION("GOOGLETRANSLATE(B132, ""en"", ""ur"")"),"ایک کھلاڑی کو صحیح ""کھیل کی روح"" نہ دکھانے پر متنبہ کیا جاتا ہے۔ اس کا کیا مطلب ہے؟")</f>
        <v>ایک کھلاڑی کو صحیح "کھیل کی روح" نہ دکھانے پر متنبہ کیا جاتا ہے۔ اس کا کیا مطلب ہے؟</v>
      </c>
      <c r="L132" s="6" t="str">
        <f>IFERROR(__xludf.DUMMYFUNCTION("GOOGLETRANSLATE(C132, ""en"", ""ur"")"),"A) وہ کافی جارحانہ طور پر نہیں لڑ رہے ہیں، B) وہ عزت یا غیرت کی کمی کے ساتھ لڑ رہے ہیں، C) وہ مسکرا نہیں رہے ہیں، D) وہ بہت خاموش ہیں")</f>
        <v>A) وہ کافی جارحانہ طور پر نہیں لڑ رہے ہیں، B) وہ عزت یا غیرت کی کمی کے ساتھ لڑ رہے ہیں، C) وہ مسکرا نہیں رہے ہیں، D) وہ بہت خاموش ہیں</v>
      </c>
      <c r="M132" s="6" t="str">
        <f>IFERROR(__xludf.DUMMYFUNCTION("GOOGLETRANSLATE(D132, ""en"", ""ur"")"),"ب) وہ عزت یا غیرت کی کمی کے ساتھ لڑ رہے ہیں۔")</f>
        <v>ب) وہ عزت یا غیرت کی کمی کے ساتھ لڑ رہے ہیں۔</v>
      </c>
      <c r="N132" s="6" t="str">
        <f>IFERROR(__xludf.DUMMYFUNCTION("GOOGLETRANSLATE(E132, ""en"", ""ur"")"),"یہ غیر اسپورٹس مین طرز عمل کے لیے جرمانہ ہے جو آرٹ کے اخلاقی اصولوں کی خلاف ورزی کرتا ہے۔")</f>
        <v>یہ غیر اسپورٹس مین طرز عمل کے لیے جرمانہ ہے جو آرٹ کے اخلاقی اصولوں کی خلاف ورزی کرتا ہے۔</v>
      </c>
    </row>
    <row r="133">
      <c r="A133" s="4">
        <v>132.0</v>
      </c>
      <c r="B133" s="5" t="s">
        <v>2065</v>
      </c>
      <c r="C133" s="5" t="s">
        <v>2066</v>
      </c>
      <c r="D133" s="5" t="s">
        <v>2067</v>
      </c>
      <c r="E133" s="5" t="s">
        <v>2068</v>
      </c>
      <c r="J133" s="6" t="str">
        <f>IFERROR(__xludf.DUMMYFUNCTION("GOOGLETRANSLATE(A133, ""en"", ""ur"")"),"132")</f>
        <v>132</v>
      </c>
      <c r="K133" s="6" t="str">
        <f>IFERROR(__xludf.DUMMYFUNCTION("GOOGLETRANSLATE(B133, ""en"", ""ur"")"),"اس کی بنیادی وجہ کیا ہے کہ گراؤنڈ ایک اکھاڑہ کی تربیت کا بنیادی مقام ہے؟")</f>
        <v>اس کی بنیادی وجہ کیا ہے کہ گراؤنڈ ایک اکھاڑہ کی تربیت کا بنیادی مقام ہے؟</v>
      </c>
      <c r="L133" s="6" t="str">
        <f>IFERROR(__xludf.DUMMYFUNCTION("GOOGLETRANSLATE(C133, ""en"", ""ur"")"),"A) یہ عمارت سے سستا ہے، B) نرم زمین ایک معاف کرنے والی سطح ہے جو گرنے سے لگنے والی چوٹوں کو روکتی ہے اور ٹانگوں کی مضبوطی پیدا کرتی ہے، C) زمین سے جڑنا ایک مذہبی تقاضا ہے، D) یہ عمارت سے ٹھنڈی ہے۔")</f>
        <v>A) یہ عمارت سے سستا ہے، B) نرم زمین ایک معاف کرنے والی سطح ہے جو گرنے سے لگنے والی چوٹوں کو روکتی ہے اور ٹانگوں کی مضبوطی پیدا کرتی ہے، C) زمین سے جڑنا ایک مذہبی تقاضا ہے، D) یہ عمارت سے ٹھنڈی ہے۔</v>
      </c>
      <c r="M133" s="6" t="str">
        <f>IFERROR(__xludf.DUMMYFUNCTION("GOOGLETRANSLATE(D133, ""en"", ""ur"")"),"ب) نرم زمین ایک معاف کرنے والی سطح ہے جو گرنے سے ہونے والی چوٹوں کو روکتی ہے اور ٹانگوں کی مضبوطی پیدا کرتی ہے۔")</f>
        <v>ب) نرم زمین ایک معاف کرنے والی سطح ہے جو گرنے سے ہونے والی چوٹوں کو روکتی ہے اور ٹانگوں کی مضبوطی پیدا کرتی ہے۔</v>
      </c>
      <c r="N133" s="6" t="str">
        <f>IFERROR(__xludf.DUMMYFUNCTION("GOOGLETRANSLATE(E133, ""en"", ""ur"")"),"روایتی ریسلنگ پٹ ایک محفوظ اور موثر تربیتی ماحول فراہم کرتا ہے۔")</f>
        <v>روایتی ریسلنگ پٹ ایک محفوظ اور موثر تربیتی ماحول فراہم کرتا ہے۔</v>
      </c>
    </row>
    <row r="134">
      <c r="A134" s="4">
        <v>133.0</v>
      </c>
      <c r="B134" s="5" t="s">
        <v>2069</v>
      </c>
      <c r="C134" s="5" t="s">
        <v>2070</v>
      </c>
      <c r="D134" s="5" t="s">
        <v>2071</v>
      </c>
      <c r="E134" s="5" t="s">
        <v>2072</v>
      </c>
      <c r="J134" s="6" t="str">
        <f>IFERROR(__xludf.DUMMYFUNCTION("GOOGLETRANSLATE(A134, ""en"", ""ur"")"),"133")</f>
        <v>133</v>
      </c>
      <c r="K134" s="6" t="str">
        <f>IFERROR(__xludf.DUMMYFUNCTION("GOOGLETRANSLATE(B134, ""en"", ""ur"")"),"""گٹکا ڈرل"" کیا ہے؟")</f>
        <v>"گٹکا ڈرل" کیا ہے؟</v>
      </c>
      <c r="L134" s="6" t="str">
        <f>IFERROR(__xludf.DUMMYFUNCTION("GOOGLETRANSLATE(C134, ""en"", ""ur"")"),"A) لڑائی کی ایک مخصوص تکنیک، B) میچ کا رسمی آغاز، C) ایک تحریک کو مکمل کرنے کے لیے بار بار تربیتی مشق، D) ٹورنامنٹ کا فائنل راؤنڈ")</f>
        <v>A) لڑائی کی ایک مخصوص تکنیک، B) میچ کا رسمی آغاز، C) ایک تحریک کو مکمل کرنے کے لیے بار بار تربیتی مشق، D) ٹورنامنٹ کا فائنل راؤنڈ</v>
      </c>
      <c r="M134" s="6" t="str">
        <f>IFERROR(__xludf.DUMMYFUNCTION("GOOGLETRANSLATE(D134, ""en"", ""ur"")"),"ج) ایک تحریک کو مکمل کرنے کے لیے ایک بار بار تربیتی مشق")</f>
        <v>ج) ایک تحریک کو مکمل کرنے کے لیے ایک بار بار تربیتی مشق</v>
      </c>
      <c r="N134" s="6" t="str">
        <f>IFERROR(__xludf.DUMMYFUNCTION("GOOGLETRANSLATE(E134, ""en"", ""ur"")"),"کسی بھی مارشل آرٹ کی طرح، مشقیں پٹھوں کی یادداشت کی تعمیر اور تکنیک کو دوسری فطرت بنانے کے لیے ضروری ہیں۔")</f>
        <v>کسی بھی مارشل آرٹ کی طرح، مشقیں پٹھوں کی یادداشت کی تعمیر اور تکنیک کو دوسری فطرت بنانے کے لیے ضروری ہیں۔</v>
      </c>
    </row>
    <row r="135">
      <c r="A135" s="4">
        <v>134.0</v>
      </c>
      <c r="B135" s="5" t="s">
        <v>1736</v>
      </c>
      <c r="C135" s="5" t="s">
        <v>1737</v>
      </c>
      <c r="D135" s="5" t="s">
        <v>1738</v>
      </c>
      <c r="E135" s="5" t="s">
        <v>1739</v>
      </c>
      <c r="J135" s="6" t="str">
        <f>IFERROR(__xludf.DUMMYFUNCTION("GOOGLETRANSLATE(A135, ""en"", ""ur"")"),"134")</f>
        <v>134</v>
      </c>
      <c r="K135" s="6" t="str">
        <f>IFERROR(__xludf.DUMMYFUNCTION("GOOGLETRANSLATE(B135, ""en"", ""ur"")"),"ایک کھلاڑی کو ""طویل رابطے"" کے لیے سزا دی جاتی ہے۔ انہوں نے کیا کیا؟")</f>
        <v>ایک کھلاڑی کو "طویل رابطے" کے لیے سزا دی جاتی ہے۔ انہوں نے کیا کیا؟</v>
      </c>
      <c r="L135" s="6" t="str">
        <f>IFERROR(__xludf.DUMMYFUNCTION("GOOGLETRANSLATE(C135, ""en"", ""ur"")"),"A) انہوں نے اپنے بلاک کو بہت دیر تک تھام رکھا تھا، B) انہوں نے مارنے کی بجائے مخالف کو اپنی چھڑی سے دھکیل دیا، C) انہوں نے مخالف سے بہت دیر تک بات کی، D) انہوں نے شروع کرنے میں بہت زیادہ وقت لیا۔")</f>
        <v>A) انہوں نے اپنے بلاک کو بہت دیر تک تھام رکھا تھا، B) انہوں نے مارنے کی بجائے مخالف کو اپنی چھڑی سے دھکیل دیا، C) انہوں نے مخالف سے بہت دیر تک بات کی، D) انہوں نے شروع کرنے میں بہت زیادہ وقت لیا۔</v>
      </c>
      <c r="M135" s="6" t="str">
        <f>IFERROR(__xludf.DUMMYFUNCTION("GOOGLETRANSLATE(D135, ""en"", ""ur"")"),"ب) انہوں نے وار کرنے کے بجائے مخالف کو اپنی لاٹھی سے دھکیل دیا۔")</f>
        <v>ب) انہوں نے وار کرنے کے بجائے مخالف کو اپنی لاٹھی سے دھکیل دیا۔</v>
      </c>
      <c r="N135" s="6" t="str">
        <f>IFERROR(__xludf.DUMMYFUNCTION("GOOGLETRANSLATE(E135, ""en"", ""ur"")"),"تمام سٹرائیکس صاف ""ٹچز"" ہونی چاہئیں۔ مخالف کو دھکیلنے، دبانے یا غیر قانونی طور پر قابو کرنے کے لیے چھڑی کا استعمال غلط ہے۔")</f>
        <v>تمام سٹرائیکس صاف "ٹچز" ہونی چاہئیں۔ مخالف کو دھکیلنے، دبانے یا غیر قانونی طور پر قابو کرنے کے لیے چھڑی کا استعمال غلط ہے۔</v>
      </c>
    </row>
    <row r="136">
      <c r="A136" s="4">
        <v>135.0</v>
      </c>
      <c r="B136" s="5" t="s">
        <v>2073</v>
      </c>
      <c r="C136" s="5" t="s">
        <v>2074</v>
      </c>
      <c r="D136" s="5" t="s">
        <v>2075</v>
      </c>
      <c r="E136" s="5" t="s">
        <v>2076</v>
      </c>
      <c r="J136" s="6" t="str">
        <f>IFERROR(__xludf.DUMMYFUNCTION("GOOGLETRANSLATE(A136, ""en"", ""ur"")"),"135")</f>
        <v>135</v>
      </c>
      <c r="K136" s="6" t="str">
        <f>IFERROR(__xludf.DUMMYFUNCTION("GOOGLETRANSLATE(B136, ""en"", ""ur"")"),"گٹکا شیلڈ (فاری) کے لیے سب سے اہم معیار کیا ہے؟")</f>
        <v>گٹکا شیلڈ (فاری) کے لیے سب سے اہم معیار کیا ہے؟</v>
      </c>
      <c r="L136" s="6" t="str">
        <f>IFERROR(__xludf.DUMMYFUNCTION("GOOGLETRANSLATE(C136, ""en"", ""ur"")"),"A) یہ بڑا ہونا چاہیے، B) یہ دھات سے بنا ہونا چاہیے، C) یہ ہلکا اور مضبوط ہونا چاہیے، D) اسے سجایا جانا چاہیے۔")</f>
        <v>A) یہ بڑا ہونا چاہیے، B) یہ دھات سے بنا ہونا چاہیے، C) یہ ہلکا اور مضبوط ہونا چاہیے، D) اسے سجایا جانا چاہیے۔</v>
      </c>
      <c r="M136" s="6" t="str">
        <f>IFERROR(__xludf.DUMMYFUNCTION("GOOGLETRANSLATE(D136, ""en"", ""ur"")"),"ج) یہ ہلکا پھلکا اور مضبوط ہونا چاہیے۔")</f>
        <v>ج) یہ ہلکا پھلکا اور مضبوط ہونا چاہیے۔</v>
      </c>
      <c r="N136" s="6" t="str">
        <f>IFERROR(__xludf.DUMMYFUNCTION("GOOGLETRANSLATE(E136, ""en"", ""ur"")"),"شیلڈ کو اتنا ہلکا ہونا چاہیے کہ اسے بلاک کرنے کے لیے تیزی سے منتقل کیا جا سکے، لیکن بار بار ہونے والے اثرات کو برداشت کرنے کے لیے کافی مضبوط ہو۔")</f>
        <v>شیلڈ کو اتنا ہلکا ہونا چاہیے کہ اسے بلاک کرنے کے لیے تیزی سے منتقل کیا جا سکے، لیکن بار بار ہونے والے اثرات کو برداشت کرنے کے لیے کافی مضبوط ہو۔</v>
      </c>
    </row>
    <row r="137">
      <c r="A137" s="4">
        <v>136.0</v>
      </c>
      <c r="B137" s="5" t="s">
        <v>2077</v>
      </c>
      <c r="C137" s="5" t="s">
        <v>2078</v>
      </c>
      <c r="D137" s="5" t="s">
        <v>2079</v>
      </c>
      <c r="E137" s="5" t="s">
        <v>2080</v>
      </c>
      <c r="J137" s="6" t="str">
        <f>IFERROR(__xludf.DUMMYFUNCTION("GOOGLETRANSLATE(A137, ""en"", ""ur"")"),"136")</f>
        <v>136</v>
      </c>
      <c r="K137" s="6" t="str">
        <f>IFERROR(__xludf.DUMMYFUNCTION("GOOGLETRANSLATE(B137, ""en"", ""ur"")"),"ایک مظاہرے میں، ایک کھلاڑی لیٹا ہے اور اس کے پیٹ پر ایک ناریل ہے جو دوسرے کھلاڑی کے ہتھیار سے ٹوٹ گیا ہے۔ یہ کیا ظاہر کرتا ہے؟")</f>
        <v>ایک مظاہرے میں، ایک کھلاڑی لیٹا ہے اور اس کے پیٹ پر ایک ناریل ہے جو دوسرے کھلاڑی کے ہتھیار سے ٹوٹ گیا ہے۔ یہ کیا ظاہر کرتا ہے؟</v>
      </c>
      <c r="L137" s="6" t="str">
        <f>IFERROR(__xludf.DUMMYFUNCTION("GOOGLETRANSLATE(C137, ""en"", ""ur"")"),"A) ہتھیار کی طاقت، B) ایک جادوئی چال، C) پریکٹیشنر کی اپنے جسم پر قابو پانے اور سانس لینے کی تکنیک کے ذریعے اثرات کو جذب کرنے کی صلاحیت، D) یہ گٹکا کا حقیقی مظاہرہ نہیں ہے۔")</f>
        <v>A) ہتھیار کی طاقت، B) ایک جادوئی چال، C) پریکٹیشنر کی اپنے جسم پر قابو پانے اور سانس لینے کی تکنیک کے ذریعے اثرات کو جذب کرنے کی صلاحیت، D) یہ گٹکا کا حقیقی مظاہرہ نہیں ہے۔</v>
      </c>
      <c r="M137" s="6" t="str">
        <f>IFERROR(__xludf.DUMMYFUNCTION("GOOGLETRANSLATE(D137, ""en"", ""ur"")"),"C) پریکٹیشنر کی اپنے جسم کو کنٹرول کرنے اور سانس لینے کی تکنیک کے ذریعے اثر کو جذب کرنے کی صلاحیت")</f>
        <v>C) پریکٹیشنر کی اپنے جسم کو کنٹرول کرنے اور سانس لینے کی تکنیک کے ذریعے اثر کو جذب کرنے کی صلاحیت</v>
      </c>
      <c r="N137" s="6" t="str">
        <f>IFERROR(__xludf.DUMMYFUNCTION("GOOGLETRANSLATE(E137, ""en"", ""ur"")"),"یہ اعلی درجے کی تربیت کے ذریعے تیار کردہ اندرونی طاقت اور جسمانی کنٹرول کا ایک مظاہرہ ہے، جیسا کہ دوسرے فنون میں بورڈ توڑنا ہے۔")</f>
        <v>یہ اعلی درجے کی تربیت کے ذریعے تیار کردہ اندرونی طاقت اور جسمانی کنٹرول کا ایک مظاہرہ ہے، جیسا کہ دوسرے فنون میں بورڈ توڑنا ہے۔</v>
      </c>
    </row>
    <row r="138">
      <c r="A138" s="4">
        <v>137.0</v>
      </c>
      <c r="B138" s="5" t="s">
        <v>1900</v>
      </c>
      <c r="C138" s="5" t="s">
        <v>1901</v>
      </c>
      <c r="D138" s="5" t="s">
        <v>1902</v>
      </c>
      <c r="E138" s="5" t="s">
        <v>1903</v>
      </c>
      <c r="J138" s="6" t="str">
        <f>IFERROR(__xludf.DUMMYFUNCTION("GOOGLETRANSLATE(A138, ""en"", ""ur"")"),"137")</f>
        <v>137</v>
      </c>
      <c r="K138" s="6" t="str">
        <f>IFERROR(__xludf.DUMMYFUNCTION("GOOGLETRANSLATE(B138, ""en"", ""ur"")"),"جدید کھیل گٹکا میں قوانین کے سختی سے نفاذ کی بنیادی وجہ کیا ہے؟")</f>
        <v>جدید کھیل گٹکا میں قوانین کے سختی سے نفاذ کی بنیادی وجہ کیا ہے؟</v>
      </c>
      <c r="L138" s="6" t="str">
        <f>IFERROR(__xludf.DUMMYFUNCTION("GOOGLETRANSLATE(C138, ""en"", ""ur"")"),"A) کھیل کو مزید مشکل بنانے کے لیے، B) حریفوں کی حفاظت اور مقابلے کی شفافیت کو یقینی بنانے کے لیے، C) اسے دوسرے مارشل آرٹس جیسا بنانا، D) اسپانسرز کو مطمئن کرنا")</f>
        <v>A) کھیل کو مزید مشکل بنانے کے لیے، B) حریفوں کی حفاظت اور مقابلے کی شفافیت کو یقینی بنانے کے لیے، C) اسے دوسرے مارشل آرٹس جیسا بنانا، D) اسپانسرز کو مطمئن کرنا</v>
      </c>
      <c r="M138" s="6" t="str">
        <f>IFERROR(__xludf.DUMMYFUNCTION("GOOGLETRANSLATE(D138, ""en"", ""ur"")"),"ب) حریفوں کی حفاظت اور مقابلے کی منصفانہ پن کو یقینی بنانا")</f>
        <v>ب) حریفوں کی حفاظت اور مقابلے کی منصفانہ پن کو یقینی بنانا</v>
      </c>
      <c r="N138" s="6" t="str">
        <f>IFERROR(__xludf.DUMMYFUNCTION("GOOGLETRANSLATE(E138, ""en"", ""ur"")"),"روایتی مارشل آرٹ کو ایک محفوظ اور جائز جدید کھیل میں تبدیل کرنے کے لیے ایک واضح اور نافذ کردہ اصول کا سیٹ ضروری ہے۔")</f>
        <v>روایتی مارشل آرٹ کو ایک محفوظ اور جائز جدید کھیل میں تبدیل کرنے کے لیے ایک واضح اور نافذ کردہ اصول کا سیٹ ضروری ہے۔</v>
      </c>
    </row>
    <row r="139">
      <c r="A139" s="4">
        <v>138.0</v>
      </c>
      <c r="B139" s="5" t="s">
        <v>2081</v>
      </c>
      <c r="C139" s="5" t="s">
        <v>2082</v>
      </c>
      <c r="D139" s="5" t="s">
        <v>2083</v>
      </c>
      <c r="E139" s="5" t="s">
        <v>2084</v>
      </c>
      <c r="J139" s="6" t="str">
        <f>IFERROR(__xludf.DUMMYFUNCTION("GOOGLETRANSLATE(A139, ""en"", ""ur"")"),"138")</f>
        <v>138</v>
      </c>
      <c r="K139" s="6" t="str">
        <f>IFERROR(__xludf.DUMMYFUNCTION("GOOGLETRANSLATE(B139, ""en"", ""ur"")"),"ایک کھلاڑی کے بارے میں کہا جاتا ہے کہ وہ اچھا ""بہاؤ"" (روانی) رکھتا ہے۔ اس کا کیا مطلب ہے؟")</f>
        <v>ایک کھلاڑی کے بارے میں کہا جاتا ہے کہ وہ اچھا "بہاؤ" (روانی) رکھتا ہے۔ اس کا کیا مطلب ہے؟</v>
      </c>
      <c r="L139" s="6" t="str">
        <f>IFERROR(__xludf.DUMMYFUNCTION("GOOGLETRANSLATE(C139, ""en"", ""ur"")"),"A) وہ بہت تیز ہیں، B) ان کی حرکتیں ہموار، مسلسل اور اچھی طرح سے جڑی ہوئی ہیں، C) وہ بہت جارحانہ ہیں، D) وہ دفاع کرنے میں اچھے ہیں")</f>
        <v>A) وہ بہت تیز ہیں، B) ان کی حرکتیں ہموار، مسلسل اور اچھی طرح سے جڑی ہوئی ہیں، C) وہ بہت جارحانہ ہیں، D) وہ دفاع کرنے میں اچھے ہیں</v>
      </c>
      <c r="M139" s="6" t="str">
        <f>IFERROR(__xludf.DUMMYFUNCTION("GOOGLETRANSLATE(D139, ""en"", ""ur"")"),"ب) ان کی حرکتیں ہموار، مسلسل اور اچھی طرح سے جڑی ہوئی ہیں۔")</f>
        <v>ب) ان کی حرکتیں ہموار، مسلسل اور اچھی طرح سے جڑی ہوئی ہیں۔</v>
      </c>
      <c r="N139" s="6" t="str">
        <f>IFERROR(__xludf.DUMMYFUNCTION("GOOGLETRANSLATE(E139, ""en"", ""ur"")"),"فنکارانہ گٹکا میں ""بہاؤ"" ایک کلیدی خوبی ہے، جہاں حرکات کے درمیان تبدیلی اتنی ہی اہم ہوتی ہے جتنی کہ خود تحریکیں۔")</f>
        <v>فنکارانہ گٹکا میں "بہاؤ" ایک کلیدی خوبی ہے، جہاں حرکات کے درمیان تبدیلی اتنی ہی اہم ہوتی ہے جتنی کہ خود تحریکیں۔</v>
      </c>
    </row>
    <row r="140">
      <c r="A140" s="4">
        <v>139.0</v>
      </c>
      <c r="B140" s="5" t="s">
        <v>2085</v>
      </c>
      <c r="C140" s="5" t="s">
        <v>2086</v>
      </c>
      <c r="D140" s="5" t="s">
        <v>2087</v>
      </c>
      <c r="E140" s="5" t="s">
        <v>2088</v>
      </c>
      <c r="J140" s="6" t="str">
        <f>IFERROR(__xludf.DUMMYFUNCTION("GOOGLETRANSLATE(A140, ""en"", ""ur"")"),"139")</f>
        <v>139</v>
      </c>
      <c r="K140" s="6" t="str">
        <f>IFERROR(__xludf.DUMMYFUNCTION("GOOGLETRANSLATE(B140, ""en"", ""ur"")"),"ان میں سے کون سا ""شاستر ودیا"" فلسفہ کا اہم حصہ ہے؟")</f>
        <v>ان میں سے کون سا "شاستر ودیا" فلسفہ کا اہم حصہ ہے؟</v>
      </c>
      <c r="L140" s="6" t="str">
        <f>IFERROR(__xludf.DUMMYFUNCTION("GOOGLETRANSLATE(C140, ""en"", ""ur"")"),"A) ہتھیار انا کا آلہ ہے، B) ہتھیار خود کی توسیع ہے اور اس کا احترام کیا جانا چاہئے، C) ہتھیار صرف حملے کے لئے استعمال کیا جانا چاہئے، D) ہتھیار ہاتھ سے کم اہم ہے")</f>
        <v>A) ہتھیار انا کا آلہ ہے، B) ہتھیار خود کی توسیع ہے اور اس کا احترام کیا جانا چاہئے، C) ہتھیار صرف حملے کے لئے استعمال کیا جانا چاہئے، D) ہتھیار ہاتھ سے کم اہم ہے</v>
      </c>
      <c r="M140" s="6" t="str">
        <f>IFERROR(__xludf.DUMMYFUNCTION("GOOGLETRANSLATE(D140, ""en"", ""ur"")"),"ب) ہتھیار خود کی توسیع ہے اور اس کا احترام کیا جانا چاہئے۔")</f>
        <v>ب) ہتھیار خود کی توسیع ہے اور اس کا احترام کیا جانا چاہئے۔</v>
      </c>
      <c r="N140" s="6" t="str">
        <f>IFERROR(__xludf.DUMMYFUNCTION("GOOGLETRANSLATE(E140, ""en"", ""ur"")"),"یہ اصول سکھاتا ہے کہ پریکٹیشنر اور ان کا ہتھیار ایک ہیں، جس کے لیے احترام اور ذمہ داری کے گہرے احساس کی ضرورت ہوتی ہے۔")</f>
        <v>یہ اصول سکھاتا ہے کہ پریکٹیشنر اور ان کا ہتھیار ایک ہیں، جس کے لیے احترام اور ذمہ داری کے گہرے احساس کی ضرورت ہوتی ہے۔</v>
      </c>
    </row>
    <row r="141">
      <c r="A141" s="4">
        <v>140.0</v>
      </c>
      <c r="B141" s="5" t="s">
        <v>1752</v>
      </c>
      <c r="C141" s="5" t="s">
        <v>1753</v>
      </c>
      <c r="D141" s="5" t="s">
        <v>1754</v>
      </c>
      <c r="E141" s="5" t="s">
        <v>1755</v>
      </c>
      <c r="J141" s="6" t="str">
        <f>IFERROR(__xludf.DUMMYFUNCTION("GOOGLETRANSLATE(A141, ""en"", ""ur"")"),"140")</f>
        <v>140</v>
      </c>
      <c r="K141" s="6" t="str">
        <f>IFERROR(__xludf.DUMMYFUNCTION("GOOGLETRANSLATE(B141, ""en"", ""ur"")"),"اگر کوئی کھلاڑی غلطی سے اپنے ہی ہتھیار سے زخمی ہو جائے (مثلاً، اپنی ہی ٹانگ کو مارنا) تو ریفری کا کیا عمل ہے؟")</f>
        <v>اگر کوئی کھلاڑی غلطی سے اپنے ہی ہتھیار سے زخمی ہو جائے (مثلاً، اپنی ہی ٹانگ کو مارنا) تو ریفری کا کیا عمل ہے؟</v>
      </c>
      <c r="L141" s="6" t="str">
        <f>IFERROR(__xludf.DUMMYFUNCTION("GOOGLETRANSLATE(C141, ""en"", ""ur"")"),"A) مخالف کو ایک پوائنٹ دیا جاتا ہے، B) میچ کو میڈیکل چیک کے لیے روک دیا جاتا ہے۔ کوئی پوائنٹ نہیں دیا جاتا، C) کھلاڑی کو کنٹرول نہ ہونے کی وجہ سے نااہل قرار دیا جاتا ہے، D) راؤنڈ دوبارہ کھیلا جاتا ہے۔")</f>
        <v>A) مخالف کو ایک پوائنٹ دیا جاتا ہے، B) میچ کو میڈیکل چیک کے لیے روک دیا جاتا ہے۔ کوئی پوائنٹ نہیں دیا جاتا، C) کھلاڑی کو کنٹرول نہ ہونے کی وجہ سے نااہل قرار دیا جاتا ہے، D) راؤنڈ دوبارہ کھیلا جاتا ہے۔</v>
      </c>
      <c r="M141" s="6" t="str">
        <f>IFERROR(__xludf.DUMMYFUNCTION("GOOGLETRANSLATE(D141, ""en"", ""ur"")"),"ب) میچ کو طبی جانچ کے لیے روک دیا گیا ہے۔ کوئی پوائنٹس نہیں دیئے جاتے")</f>
        <v>ب) میچ کو طبی جانچ کے لیے روک دیا گیا ہے۔ کوئی پوائنٹس نہیں دیئے جاتے</v>
      </c>
      <c r="N141" s="6" t="str">
        <f>IFERROR(__xludf.DUMMYFUNCTION("GOOGLETRANSLATE(E141, ""en"", ""ur"")"),"یہ ایک حادثہ سمجھا جاتا ہے، ایک فاؤل نہیں. بنیادی تشویش کھلاڑی کی حفاظت ہے، اس لیے میچ روک دیا گیا ہے۔")</f>
        <v>یہ ایک حادثہ سمجھا جاتا ہے، ایک فاؤل نہیں. بنیادی تشویش کھلاڑی کی حفاظت ہے، اس لیے میچ روک دیا گیا ہے۔</v>
      </c>
    </row>
    <row r="142">
      <c r="A142" s="4">
        <v>141.0</v>
      </c>
      <c r="B142" s="5" t="s">
        <v>1891</v>
      </c>
      <c r="C142" s="5" t="s">
        <v>1892</v>
      </c>
      <c r="D142" s="5" t="s">
        <v>1893</v>
      </c>
      <c r="E142" s="5" t="s">
        <v>1894</v>
      </c>
      <c r="J142" s="6" t="str">
        <f>IFERROR(__xludf.DUMMYFUNCTION("GOOGLETRANSLATE(A142, ""en"", ""ur"")"),"141")</f>
        <v>141</v>
      </c>
      <c r="K142" s="6" t="str">
        <f>IFERROR(__xludf.DUMMYFUNCTION("GOOGLETRANSLATE(B142, ""en"", ""ur"")"),"بنیادی وجہ کیا ہے کہ گٹکا پریکٹیشنرز اکثر پریڈ اور عوامی جلوسوں میں پرفارم کرتے ہیں؟")</f>
        <v>بنیادی وجہ کیا ہے کہ گٹکا پریکٹیشنرز اکثر پریڈ اور عوامی جلوسوں میں پرفارم کرتے ہیں؟</v>
      </c>
      <c r="L142" s="6" t="str">
        <f>IFERROR(__xludf.DUMMYFUNCTION("GOOGLETRANSLATE(C142, ""en"", ""ur"")"),"A) چندہ مانگنا، B) کمیونٹی کی طاقت، نظم و ضبط اور ثقافتی ورثے کو ظاہر کرنے کا یہ ایک روایتی طریقہ ہے، C) نئے طلباء کو بھرتی کرنا، D) یہ احتجاج کی ایک شکل ہے۔")</f>
        <v>A) چندہ مانگنا، B) کمیونٹی کی طاقت، نظم و ضبط اور ثقافتی ورثے کو ظاہر کرنے کا یہ ایک روایتی طریقہ ہے، C) نئے طلباء کو بھرتی کرنا، D) یہ احتجاج کی ایک شکل ہے۔</v>
      </c>
      <c r="M142" s="6" t="str">
        <f>IFERROR(__xludf.DUMMYFUNCTION("GOOGLETRANSLATE(D142, ""en"", ""ur"")"),"ب) یہ کمیونٹی کی طاقت، نظم و ضبط اور ثقافتی ورثے کو ظاہر کرنے کا ایک روایتی طریقہ ہے۔")</f>
        <v>ب) یہ کمیونٹی کی طاقت، نظم و ضبط اور ثقافتی ورثے کو ظاہر کرنے کا ایک روایتی طریقہ ہے۔</v>
      </c>
      <c r="N142" s="6" t="str">
        <f>IFERROR(__xludf.DUMMYFUNCTION("GOOGLETRANSLATE(E142, ""en"", ""ur"")"),"عوامی پرفارمنس سکھ ثقافتی اور مذہبی تقریبات کا ایک متحرک اور لازمی حصہ ہیں۔")</f>
        <v>عوامی پرفارمنس سکھ ثقافتی اور مذہبی تقریبات کا ایک متحرک اور لازمی حصہ ہیں۔</v>
      </c>
    </row>
    <row r="143">
      <c r="A143" s="4">
        <v>142.0</v>
      </c>
      <c r="B143" s="5" t="s">
        <v>1895</v>
      </c>
      <c r="C143" s="5" t="s">
        <v>1896</v>
      </c>
      <c r="D143" s="5" t="s">
        <v>1897</v>
      </c>
      <c r="E143" s="5" t="s">
        <v>1898</v>
      </c>
      <c r="J143" s="6" t="str">
        <f>IFERROR(__xludf.DUMMYFUNCTION("GOOGLETRANSLATE(A143, ""en"", ""ur"")"),"142")</f>
        <v>142</v>
      </c>
      <c r="K143" s="6" t="str">
        <f>IFERROR(__xludf.DUMMYFUNCTION("GOOGLETRANSLATE(B143, ""en"", ""ur"")"),"کامیاب بلاک میں سب سے اہم عنصر کیا ہے؟")</f>
        <v>کامیاب بلاک میں سب سے اہم عنصر کیا ہے؟</v>
      </c>
      <c r="L143" s="6" t="str">
        <f>IFERROR(__xludf.DUMMYFUNCTION("GOOGLETRANSLATE(C143, ""en"", ""ur"")"),"A) بلاک کی طاقت، B) ڈھال کا سائز، C) وقت اور زاویہ، D) ہتھیار کا مواد")</f>
        <v>A) بلاک کی طاقت، B) ڈھال کا سائز، C) وقت اور زاویہ، D) ہتھیار کا مواد</v>
      </c>
      <c r="M143" s="6" t="str">
        <f>IFERROR(__xludf.DUMMYFUNCTION("GOOGLETRANSLATE(D143, ""en"", ""ur"")"),"سی) ٹائمنگ اور زاویہ")</f>
        <v>سی) ٹائمنگ اور زاویہ</v>
      </c>
      <c r="N143" s="6" t="str">
        <f>IFERROR(__xludf.DUMMYFUNCTION("GOOGLETRANSLATE(E143, ""en"", ""ur"")"),"ایک مناسب وقت والا بلاک جو حملے کو درست زاویے سے پورا کرتا ہے، کم سے کم کوشش کے ساتھ سب سے زیادہ طاقتور اسٹرائیک کو بھی ہٹا سکتا ہے۔")</f>
        <v>ایک مناسب وقت والا بلاک جو حملے کو درست زاویے سے پورا کرتا ہے، کم سے کم کوشش کے ساتھ سب سے زیادہ طاقتور اسٹرائیک کو بھی ہٹا سکتا ہے۔</v>
      </c>
    </row>
    <row r="144">
      <c r="A144" s="4">
        <v>143.0</v>
      </c>
      <c r="B144" s="5" t="s">
        <v>1756</v>
      </c>
      <c r="C144" s="5" t="s">
        <v>1757</v>
      </c>
      <c r="D144" s="5" t="s">
        <v>1758</v>
      </c>
      <c r="E144" s="5" t="s">
        <v>1899</v>
      </c>
      <c r="J144" s="6" t="str">
        <f>IFERROR(__xludf.DUMMYFUNCTION("GOOGLETRANSLATE(A144, ""en"", ""ur"")"),"143")</f>
        <v>143</v>
      </c>
      <c r="K144" s="6" t="str">
        <f>IFERROR(__xludf.DUMMYFUNCTION("GOOGLETRANSLATE(B144, ""en"", ""ur"")"),"ایک کھلاڑی روایتی بانے کے بجائے جدید ٹریک سوٹ پہنے ہوئے ہے۔ کیا رسمی مقابلے میں اس کی اجازت ہے؟")</f>
        <v>ایک کھلاڑی روایتی بانے کے بجائے جدید ٹریک سوٹ پہنے ہوئے ہے۔ کیا رسمی مقابلے میں اس کی اجازت ہے؟</v>
      </c>
      <c r="L144" s="6" t="str">
        <f>IFERROR(__xludf.DUMMYFUNCTION("GOOGLETRANSLATE(C144, ""en"", ""ur"")"),"A) نہیں، روایتی لباس لازمی ہے، B) ہاں، اگر یہ سرکاری ٹیم کی وردی ہے اور منتظمین کی طرف سے منظور شدہ ہے، C) صرف اس صورت میں جب ٹریک سوٹ نیلا ہو، D) ہاں، لیکن غلط یونیفارم کے لیے پوائنٹس کاٹے جائیں گے۔")</f>
        <v>A) نہیں، روایتی لباس لازمی ہے، B) ہاں، اگر یہ سرکاری ٹیم کی وردی ہے اور منتظمین کی طرف سے منظور شدہ ہے، C) صرف اس صورت میں جب ٹریک سوٹ نیلا ہو، D) ہاں، لیکن غلط یونیفارم کے لیے پوائنٹس کاٹے جائیں گے۔</v>
      </c>
      <c r="M144" s="6" t="str">
        <f>IFERROR(__xludf.DUMMYFUNCTION("GOOGLETRANSLATE(D144, ""en"", ""ur"")"),"ب) ہاں، اگر یہ سرکاری ٹیم کی وردی ہے اور منتظمین کی طرف سے منظور شدہ ہے۔")</f>
        <v>ب) ہاں، اگر یہ سرکاری ٹیم کی وردی ہے اور منتظمین کی طرف سے منظور شدہ ہے۔</v>
      </c>
      <c r="N144" s="6" t="str">
        <f>IFERROR(__xludf.DUMMYFUNCTION("GOOGLETRANSLATE(E144, ""en"", ""ur"")"),"جدید کھیل گٹکا میں، ٹیمیں اکثر پیشہ ورانہ شکل کے لیے معیاری ٹریک سوٹ یا یونیفارم پہنتی ہیں، اور اس کی اجازت ہے۔")</f>
        <v>جدید کھیل گٹکا میں، ٹیمیں اکثر پیشہ ورانہ شکل کے لیے معیاری ٹریک سوٹ یا یونیفارم پہنتی ہیں، اور اس کی اجازت ہے۔</v>
      </c>
    </row>
    <row r="145">
      <c r="A145" s="4">
        <v>144.0</v>
      </c>
      <c r="B145" s="5" t="s">
        <v>2089</v>
      </c>
      <c r="C145" s="5" t="s">
        <v>2090</v>
      </c>
      <c r="D145" s="5" t="s">
        <v>2091</v>
      </c>
      <c r="E145" s="5" t="s">
        <v>2092</v>
      </c>
      <c r="J145" s="6" t="str">
        <f>IFERROR(__xludf.DUMMYFUNCTION("GOOGLETRANSLATE(A145, ""en"", ""ur"")"),"144")</f>
        <v>144</v>
      </c>
      <c r="K145" s="6" t="str">
        <f>IFERROR(__xludf.DUMMYFUNCTION("GOOGLETRANSLATE(B145, ""en"", ""ur"")"),"گٹکا کے ماہر کے لیے فن کی تاریخ کا مطالعہ کیوں ضروری ہے؟")</f>
        <v>گٹکا کے ماہر کے لیے فن کی تاریخ کا مطالعہ کیوں ضروری ہے؟</v>
      </c>
      <c r="L145" s="6" t="str">
        <f>IFERROR(__xludf.DUMMYFUNCTION("GOOGLETRANSLATE(C145, ""en"", ""ur"")"),"A) یہ اہم نہیں ہے، B) تحریکوں کے پیچھے فلسفیانہ اور روحانی تناظر کو سمجھنا، C) گریڈنگ کا امتحان پاس کرنا، D) دوسرے کھلاڑیوں سے بات کرنے کے قابل ہونا")</f>
        <v>A) یہ اہم نہیں ہے، B) تحریکوں کے پیچھے فلسفیانہ اور روحانی تناظر کو سمجھنا، C) گریڈنگ کا امتحان پاس کرنا، D) دوسرے کھلاڑیوں سے بات کرنے کے قابل ہونا</v>
      </c>
      <c r="M145" s="6" t="str">
        <f>IFERROR(__xludf.DUMMYFUNCTION("GOOGLETRANSLATE(D145, ""en"", ""ur"")"),"ب) تحریکوں کے پس پردہ فلسفیانہ اور روحانی تناظر کو سمجھنا")</f>
        <v>ب) تحریکوں کے پس پردہ فلسفیانہ اور روحانی تناظر کو سمجھنا</v>
      </c>
      <c r="N145" s="6" t="str">
        <f>IFERROR(__xludf.DUMMYFUNCTION("GOOGLETRANSLATE(E145, ""en"", ""ur"")"),"فن کی تخلیق کے پیچھے ""کیوں"" کو سمجھنا جسمانی مشق کو گہرا معنی دیتا ہے۔")</f>
        <v>فن کی تخلیق کے پیچھے "کیوں" کو سمجھنا جسمانی مشق کو گہرا معنی دیتا ہے۔</v>
      </c>
    </row>
    <row r="146">
      <c r="A146" s="4">
        <v>145.0</v>
      </c>
      <c r="B146" s="5" t="s">
        <v>2093</v>
      </c>
      <c r="C146" s="5" t="s">
        <v>2094</v>
      </c>
      <c r="D146" s="5" t="s">
        <v>1382</v>
      </c>
      <c r="E146" s="5" t="s">
        <v>2095</v>
      </c>
      <c r="J146" s="6" t="str">
        <f>IFERROR(__xludf.DUMMYFUNCTION("GOOGLETRANSLATE(A146, ""en"", ""ur"")"),"145")</f>
        <v>145</v>
      </c>
      <c r="K146" s="6" t="str">
        <f>IFERROR(__xludf.DUMMYFUNCTION("GOOGLETRANSLATE(B146, ""en"", ""ur"")"),"گٹکا ""اسٹک"" اور آئرش ""شیللاگ"" کے درمیان بنیادی فرق کیا ہے؟")</f>
        <v>گٹکا "اسٹک" اور آئرش "شیللاگ" کے درمیان بنیادی فرق کیا ہے؟</v>
      </c>
      <c r="L146" s="6" t="str">
        <f>IFERROR(__xludf.DUMMYFUNCTION("GOOGLETRANSLATE(C146, ""en"", ""ur"")"),"A) شیلاگھ لمبا ہوتا ہے، B) گٹکا چھڑی دو ہاتھ والے انداز میں استعمال ہوتی ہے، جبکہ شیلاگھ عام طور پر ایک ہاتھ کی ہوتی ہے، C) شیللاگھ کے سرے پر ایک دستہ ہوتا ہے، D) B اور C دونوں")</f>
        <v>A) شیلاگھ لمبا ہوتا ہے، B) گٹکا چھڑی دو ہاتھ والے انداز میں استعمال ہوتی ہے، جبکہ شیلاگھ عام طور پر ایک ہاتھ کی ہوتی ہے، C) شیللاگھ کے سرے پر ایک دستہ ہوتا ہے، D) B اور C دونوں</v>
      </c>
      <c r="M146" s="6" t="str">
        <f>IFERROR(__xludf.DUMMYFUNCTION("GOOGLETRANSLATE(D146, ""en"", ""ur"")"),"D) B اور C دونوں")</f>
        <v>D) B اور C دونوں</v>
      </c>
      <c r="N146" s="6" t="str">
        <f>IFERROR(__xludf.DUMMYFUNCTION("GOOGLETRANSLATE(E146, ""en"", ""ur"")"),"اگرچہ دونوں روایتی لاٹھی لڑائی کی شکلیں ہیں، لیکن ہتھیار اور تکنیک بالکل الگ الگ ہیں۔")</f>
        <v>اگرچہ دونوں روایتی لاٹھی لڑائی کی شکلیں ہیں، لیکن ہتھیار اور تکنیک بالکل الگ الگ ہیں۔</v>
      </c>
    </row>
    <row r="147">
      <c r="A147" s="4">
        <v>146.0</v>
      </c>
      <c r="B147" s="5" t="s">
        <v>1760</v>
      </c>
      <c r="C147" s="5" t="s">
        <v>1761</v>
      </c>
      <c r="D147" s="5" t="s">
        <v>156</v>
      </c>
      <c r="E147" s="5" t="s">
        <v>1762</v>
      </c>
      <c r="J147" s="6" t="str">
        <f>IFERROR(__xludf.DUMMYFUNCTION("GOOGLETRANSLATE(A147, ""en"", ""ur"")"),"146")</f>
        <v>146</v>
      </c>
      <c r="K147" s="6" t="str">
        <f>IFERROR(__xludf.DUMMYFUNCTION("GOOGLETRANSLATE(B147, ""en"", ""ur"")"),"ایک کھلاڑی کو مخالف سے ""پیچھے موڑنے"" پر سزا دی جاتی ہے۔ یہ فضول کیوں ہے؟")</f>
        <v>ایک کھلاڑی کو مخالف سے "پیچھے موڑنے" پر سزا دی جاتی ہے۔ یہ فضول کیوں ہے؟</v>
      </c>
      <c r="L147" s="6" t="str">
        <f>IFERROR(__xludf.DUMMYFUNCTION("GOOGLETRANSLATE(C147, ""en"", ""ur"")"),"A) اسے بے عزتی اور بزدلانہ سمجھا جاتا ہے، B) یہ ایک غیر محفوظ، غیر جنگی پوزیشن ہے، C) یہ مخالف کے لیے قانونی ہدف پر حملہ کرنا ناممکن بنا دیتا ہے، D) مندرجہ بالا سبھی")</f>
        <v>A) اسے بے عزتی اور بزدلانہ سمجھا جاتا ہے، B) یہ ایک غیر محفوظ، غیر جنگی پوزیشن ہے، C) یہ مخالف کے لیے قانونی ہدف پر حملہ کرنا ناممکن بنا دیتا ہے، D) مندرجہ بالا سبھی</v>
      </c>
      <c r="M147" s="6" t="str">
        <f>IFERROR(__xludf.DUMMYFUNCTION("GOOGLETRANSLATE(D147, ""en"", ""ur"")"),"D) مذکورہ بالا تمام")</f>
        <v>D) مذکورہ بالا تمام</v>
      </c>
      <c r="N147" s="6" t="str">
        <f>IFERROR(__xludf.DUMMYFUNCTION("GOOGLETRANSLATE(E147, ""en"", ""ur"")"),"ایک کھلاڑی کو ہمیشہ اپنے مخالف کا سامنا کرنا چاہیے اور مشغول ہونے کے لیے تیار رہنا چاہیے۔ منہ موڑنا جنگی اصولوں اور روح کی سنگین خلاف ورزی ہے۔")</f>
        <v>ایک کھلاڑی کو ہمیشہ اپنے مخالف کا سامنا کرنا چاہیے اور مشغول ہونے کے لیے تیار رہنا چاہیے۔ منہ موڑنا جنگی اصولوں اور روح کی سنگین خلاف ورزی ہے۔</v>
      </c>
    </row>
    <row r="148">
      <c r="A148" s="4">
        <v>147.0</v>
      </c>
      <c r="B148" s="5" t="s">
        <v>2096</v>
      </c>
      <c r="C148" s="5" t="s">
        <v>2097</v>
      </c>
      <c r="D148" s="5" t="s">
        <v>2098</v>
      </c>
      <c r="E148" s="5" t="s">
        <v>2099</v>
      </c>
      <c r="J148" s="6" t="str">
        <f>IFERROR(__xludf.DUMMYFUNCTION("GOOGLETRANSLATE(A148, ""en"", ""ur"")"),"147")</f>
        <v>147</v>
      </c>
      <c r="K148" s="6" t="str">
        <f>IFERROR(__xludf.DUMMYFUNCTION("GOOGLETRANSLATE(B148, ""en"", ""ur"")"),"ٹورنامنٹ میں دیے جانے والے ""گٹکا کلرز"" یا ایوارڈز کا بنیادی مقصد کیا ہے؟")</f>
        <v>ٹورنامنٹ میں دیے جانے والے "گٹکا کلرز" یا ایوارڈز کا بنیادی مقصد کیا ہے؟</v>
      </c>
      <c r="L148" s="6" t="str">
        <f>IFERROR(__xludf.DUMMYFUNCTION("GOOGLETRANSLATE(C148, ""en"", ""ur"")"),"A) مالی انعام فراہم کرنا، B) بہترین کارکردگی کا مظاہرہ کرنے والوں کی مہارت، لگن اور کھیل کی مہارت کو پہچاننا، C) قومی ٹیم کے لیے کھلاڑیوں کا انتخاب کرنا، D) یہ درجہ بندی کی ایک شکل ہے۔")</f>
        <v>A) مالی انعام فراہم کرنا، B) بہترین کارکردگی کا مظاہرہ کرنے والوں کی مہارت، لگن اور کھیل کی مہارت کو پہچاننا، C) قومی ٹیم کے لیے کھلاڑیوں کا انتخاب کرنا، D) یہ درجہ بندی کی ایک شکل ہے۔</v>
      </c>
      <c r="M148" s="6" t="str">
        <f>IFERROR(__xludf.DUMMYFUNCTION("GOOGLETRANSLATE(D148, ""en"", ""ur"")"),"ب) بہترین اداکاروں کی مہارت، لگن اور کھیل کود کو پہچاننا")</f>
        <v>ب) بہترین اداکاروں کی مہارت، لگن اور کھیل کود کو پہچاننا</v>
      </c>
      <c r="N148" s="6" t="str">
        <f>IFERROR(__xludf.DUMMYFUNCTION("GOOGLETRANSLATE(E148, ""en"", ""ur"")"),"یہ اعزازات اعزاز کا نشان اور پریکٹیشنرز کی کامیابیوں کو باضابطہ طور پر تسلیم کرنے کا ایک طریقہ ہیں۔")</f>
        <v>یہ اعزازات اعزاز کا نشان اور پریکٹیشنرز کی کامیابیوں کو باضابطہ طور پر تسلیم کرنے کا ایک طریقہ ہیں۔</v>
      </c>
    </row>
    <row r="149">
      <c r="A149" s="4">
        <v>148.0</v>
      </c>
      <c r="B149" s="5" t="s">
        <v>2100</v>
      </c>
      <c r="C149" s="5" t="s">
        <v>2101</v>
      </c>
      <c r="D149" s="5" t="s">
        <v>2102</v>
      </c>
      <c r="E149" s="5" t="s">
        <v>2103</v>
      </c>
      <c r="J149" s="6" t="str">
        <f>IFERROR(__xludf.DUMMYFUNCTION("GOOGLETRANSLATE(A149, ""en"", ""ur"")"),"148")</f>
        <v>148</v>
      </c>
      <c r="K149" s="6" t="str">
        <f>IFERROR(__xludf.DUMMYFUNCTION("GOOGLETRANSLATE(B149, ""en"", ""ur"")"),"ان میں سے کون سا گٹکا وارم اپ کا اہم جز ہے؟")</f>
        <v>ان میں سے کون سا گٹکا وارم اپ کا اہم جز ہے؟</v>
      </c>
      <c r="L149" s="6" t="str">
        <f>IFERROR(__xludf.DUMMYFUNCTION("GOOGLETRANSLATE(C149, ""en"", ""ur"")"),"A) ہیوی ویٹ لفٹنگ، B) جامد اسٹریچنگ، C) متحرک، پورے جسم کی حرکت اور ہتھیاروں کی گردش (گھمن)، D) لمبی دوڑ")</f>
        <v>A) ہیوی ویٹ لفٹنگ، B) جامد اسٹریچنگ، C) متحرک، پورے جسم کی حرکت اور ہتھیاروں کی گردش (گھمن)، D) لمبی دوڑ</v>
      </c>
      <c r="M149" s="6" t="str">
        <f>IFERROR(__xludf.DUMMYFUNCTION("GOOGLETRANSLATE(D149, ""en"", ""ur"")"),"C) متحرک، پورے جسم کی حرکات اور ہتھیاروں کا گھومنا (گھمن)")</f>
        <v>C) متحرک، پورے جسم کی حرکات اور ہتھیاروں کا گھومنا (گھمن)</v>
      </c>
      <c r="N149" s="6" t="str">
        <f>IFERROR(__xludf.DUMMYFUNCTION("GOOGLETRANSLATE(E149, ""en"", ""ur"")"),"وارم اپ فن کی مخصوص، سیال اور گردشی حرکات کے لیے جسم کو تیار کرنے پر مرکوز ہے۔")</f>
        <v>وارم اپ فن کی مخصوص، سیال اور گردشی حرکات کے لیے جسم کو تیار کرنے پر مرکوز ہے۔</v>
      </c>
    </row>
    <row r="150">
      <c r="A150" s="4">
        <v>149.0</v>
      </c>
      <c r="B150" s="5" t="s">
        <v>2104</v>
      </c>
      <c r="C150" s="5" t="s">
        <v>2105</v>
      </c>
      <c r="D150" s="5" t="s">
        <v>2106</v>
      </c>
      <c r="E150" s="5" t="s">
        <v>2107</v>
      </c>
      <c r="J150" s="6" t="str">
        <f>IFERROR(__xludf.DUMMYFUNCTION("GOOGLETRANSLATE(A150, ""en"", ""ur"")"),"149")</f>
        <v>149</v>
      </c>
      <c r="K150" s="6" t="str">
        <f>IFERROR(__xludf.DUMMYFUNCTION("GOOGLETRANSLATE(B150, ""en"", ""ur"")"),"اس کی بنیادی وجہ کیا ہے کہ گٹکا سکھ ڈاسپورا (مثلاً کینیڈا اور برطانیہ میں) میں مقبول ہے؟")</f>
        <v>اس کی بنیادی وجہ کیا ہے کہ گٹکا سکھ ڈاسپورا (مثلاً کینیڈا اور برطانیہ میں) میں مقبول ہے؟</v>
      </c>
      <c r="L150" s="6" t="str">
        <f>IFERROR(__xludf.DUMMYFUNCTION("GOOGLETRANSLATE(C150, ""en"", ""ur"")"),"A) یہ ایک اچھی ورزش حاصل کرنے کا ایک طریقہ ہے، B) یہ نوجوان نسلوں کے لیے اپنے ثقافتی اور مذہبی ورثے سے جڑنے کا ایک طاقتور طریقہ ہے، C) یہ ایک پیشہ ورانہ کھیل ہے جس میں بڑے انعامات ہیں، D) یہ ایک رجحان ہے۔")</f>
        <v>A) یہ ایک اچھی ورزش حاصل کرنے کا ایک طریقہ ہے، B) یہ نوجوان نسلوں کے لیے اپنے ثقافتی اور مذہبی ورثے سے جڑنے کا ایک طاقتور طریقہ ہے، C) یہ ایک پیشہ ورانہ کھیل ہے جس میں بڑے انعامات ہیں، D) یہ ایک رجحان ہے۔</v>
      </c>
      <c r="M150" s="6" t="str">
        <f>IFERROR(__xludf.DUMMYFUNCTION("GOOGLETRANSLATE(D150, ""en"", ""ur"")"),"ب) یہ نوجوان نسلوں کے لیے اپنے ثقافتی اور مذہبی ورثے سے جڑنے کا ایک طاقتور طریقہ ہے۔")</f>
        <v>ب) یہ نوجوان نسلوں کے لیے اپنے ثقافتی اور مذہبی ورثے سے جڑنے کا ایک طاقتور طریقہ ہے۔</v>
      </c>
      <c r="N150" s="6" t="str">
        <f>IFERROR(__xludf.DUMMYFUNCTION("GOOGLETRANSLATE(E150, ""en"", ""ur"")"),"گٹکا سکھ تاریخ اور پنجاب سے باہر رہنے والی برادریوں کی شناخت کے لیے ایک اہم کڑی کا کام کرتا ہے۔")</f>
        <v>گٹکا سکھ تاریخ اور پنجاب سے باہر رہنے والی برادریوں کی شناخت کے لیے ایک اہم کڑی کا کام کرتا ہے۔</v>
      </c>
    </row>
    <row r="151">
      <c r="A151" s="4">
        <v>150.0</v>
      </c>
      <c r="B151" s="5" t="s">
        <v>2108</v>
      </c>
      <c r="C151" s="5" t="s">
        <v>1905</v>
      </c>
      <c r="D151" s="5" t="s">
        <v>1906</v>
      </c>
      <c r="E151" s="5" t="s">
        <v>1907</v>
      </c>
      <c r="J151" s="6" t="str">
        <f>IFERROR(__xludf.DUMMYFUNCTION("GOOGLETRANSLATE(A151, ""en"", ""ur"")"),"150")</f>
        <v>150</v>
      </c>
      <c r="K151" s="6" t="str">
        <f>IFERROR(__xludf.DUMMYFUNCTION("GOOGLETRANSLATE(B151, ""en"", ""ur"")"),"گٹکا مارشل آرٹسٹ کا سب سے بڑا مقصد کیا ہے؟")</f>
        <v>گٹکا مارشل آرٹسٹ کا سب سے بڑا مقصد کیا ہے؟</v>
      </c>
      <c r="L151" s="6" t="str">
        <f>IFERROR(__xludf.DUMMYFUNCTION("GOOGLETRANSLATE(C151, ""en"", ""ur"")"),"A) لڑائی میں ناقابل تسخیر بننا، B) خود پر عبور حاصل کرنا اور نظم و ضبط، ہمت اور خدمت کی زندگی گزارنا، C) عالمی چیمپئن شپ جیتنا، D) اپنا سکول کھولنا (اکھاڑہ)")</f>
        <v>A) لڑائی میں ناقابل تسخیر بننا، B) خود پر عبور حاصل کرنا اور نظم و ضبط، ہمت اور خدمت کی زندگی گزارنا، C) عالمی چیمپئن شپ جیتنا، D) اپنا سکول کھولنا (اکھاڑہ)</v>
      </c>
      <c r="M151" s="6" t="str">
        <f>IFERROR(__xludf.DUMMYFUNCTION("GOOGLETRANSLATE(D151, ""en"", ""ur"")"),"ب) نفس پر عبور حاصل کرنا اور نظم و ضبط، ہمت اور خدمت کی زندگی گزارنا")</f>
        <v>ب) نفس پر عبور حاصل کرنا اور نظم و ضبط، ہمت اور خدمت کی زندگی گزارنا</v>
      </c>
      <c r="N151" s="6" t="str">
        <f>IFERROR(__xludf.DUMMYFUNCTION("GOOGLETRANSLATE(E151, ""en"", ""ur"")"),"""سنت سپاہی"" کے آئیڈیل کے مطابق، حتمی مقصد صرف لڑنے کی صلاحیت نہیں ہے، بلکہ اپنے کردار کی نشوونما ہے۔")</f>
        <v>"سنت سپاہی" کے آئیڈیل کے مطابق، حتمی مقصد صرف لڑنے کی صلاحیت نہیں ہے، بلکہ اپنے کردار کی نشوونما ہے۔</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11" max="14" width="37.63"/>
  </cols>
  <sheetData>
    <row r="1">
      <c r="A1" s="1" t="s">
        <v>0</v>
      </c>
      <c r="B1" s="2" t="s">
        <v>1</v>
      </c>
      <c r="C1" s="2" t="s">
        <v>2</v>
      </c>
      <c r="D1" s="2" t="s">
        <v>3</v>
      </c>
      <c r="E1" s="2" t="s">
        <v>4</v>
      </c>
      <c r="J1" s="3" t="s">
        <v>5</v>
      </c>
      <c r="K1" s="3" t="s">
        <v>6</v>
      </c>
      <c r="L1" s="3" t="s">
        <v>7</v>
      </c>
      <c r="M1" s="3" t="s">
        <v>8</v>
      </c>
      <c r="N1" s="3" t="s">
        <v>9</v>
      </c>
    </row>
    <row r="2">
      <c r="A2" s="4">
        <v>1.0</v>
      </c>
      <c r="B2" s="5" t="s">
        <v>2109</v>
      </c>
      <c r="C2" s="5" t="s">
        <v>2110</v>
      </c>
      <c r="D2" s="5" t="s">
        <v>2111</v>
      </c>
      <c r="E2" s="5" t="s">
        <v>2112</v>
      </c>
      <c r="J2" s="6" t="str">
        <f>IFERROR(__xludf.DUMMYFUNCTION("GOOGLETRANSLATE(A2, ""en"", ""ur"")"),"1")</f>
        <v>1</v>
      </c>
      <c r="K2" s="6" t="str">
        <f>IFERROR(__xludf.DUMMYFUNCTION("GOOGLETRANSLATE(B2, ""en"", ""ur"")"),"پنجاب کے ایک گاؤں کے میچ میں، ایک سٹرائیکر ہوا میں گلی کو اونچا مارتا ہے۔ ایک فیلڈر اپنے آپ کو نیچے رکھتا ہے اور زمین کو چھونے سے پہلے اسے صاف طور پر پکڑتا ہے۔ فوری حکم کیا ہے؟")</f>
        <v>پنجاب کے ایک گاؤں کے میچ میں، ایک سٹرائیکر ہوا میں گلی کو اونچا مارتا ہے۔ ایک فیلڈر اپنے آپ کو نیچے رکھتا ہے اور زمین کو چھونے سے پہلے اسے صاف طور پر پکڑتا ہے۔ فوری حکم کیا ہے؟</v>
      </c>
      <c r="L2" s="6" t="str">
        <f>IFERROR(__xludf.DUMMYFUNCTION("GOOGLETRANSLATE(C2, ""en"", ""ur"")"),"A) اسٹرائیکر 10 پوائنٹس اسکور کرتا ہے، B) اسٹرائیکر آؤٹ ہے، C) باری دوبارہ چلائی جاتی ہے، D) فیلڈنگ ٹیم اگلی ضرب لگاتی ہے۔")</f>
        <v>A) اسٹرائیکر 10 پوائنٹس اسکور کرتا ہے، B) اسٹرائیکر آؤٹ ہے، C) باری دوبارہ چلائی جاتی ہے، D) فیلڈنگ ٹیم اگلی ضرب لگاتی ہے۔</v>
      </c>
      <c r="M2" s="6" t="str">
        <f>IFERROR(__xludf.DUMMYFUNCTION("GOOGLETRANSLATE(D2, ""en"", ""ur"")"),"ب) اسٹرائیکر باہر ہے۔")</f>
        <v>ب) اسٹرائیکر باہر ہے۔</v>
      </c>
      <c r="N2" s="6" t="str">
        <f>IFERROR(__xludf.DUMMYFUNCTION("GOOGLETRANSLATE(E2, ""en"", ""ur"")"),"اسٹرائیکر کو آؤٹ کرنے کا سب سے عام اور یقینی طریقہ یہ ہے کہ فیلڈر گیلی کو مارنے کے بعد، اس کے اچھالنے سے پہلے اسے پکڑ لے۔")</f>
        <v>اسٹرائیکر کو آؤٹ کرنے کا سب سے عام اور یقینی طریقہ یہ ہے کہ فیلڈر گیلی کو مارنے کے بعد، اس کے اچھالنے سے پہلے اسے پکڑ لے۔</v>
      </c>
    </row>
    <row r="3">
      <c r="A3" s="4">
        <v>2.0</v>
      </c>
      <c r="B3" s="5" t="s">
        <v>2113</v>
      </c>
      <c r="C3" s="5" t="s">
        <v>2114</v>
      </c>
      <c r="D3" s="5" t="s">
        <v>2115</v>
      </c>
      <c r="E3" s="5" t="s">
        <v>2116</v>
      </c>
      <c r="J3" s="6" t="str">
        <f>IFERROR(__xludf.DUMMYFUNCTION("GOOGLETRANSLATE(A3, ""en"", ""ur"")"),"2")</f>
        <v>2</v>
      </c>
      <c r="K3" s="6" t="str">
        <f>IFERROR(__xludf.DUMMYFUNCTION("GOOGLETRANSLATE(B3, ""en"", ""ur"")"),"لاہور میں ایک سٹرائیکر گلی سے ٹکراتا ہے، اور یہ ایک طویل فاصلہ طے کرتا ہے۔ فیلڈنگ ٹیم اسے بازیافت کرتی ہے اور ڈنڈا کا استعمال کرتے ہوئے فاصلے کی پیمائش کرتی ہے۔ فاصلہ 55 ڈنڈا کی لمبائی ہے۔ کیا اسکور دیا جاتا ہے؟")</f>
        <v>لاہور میں ایک سٹرائیکر گلی سے ٹکراتا ہے، اور یہ ایک طویل فاصلہ طے کرتا ہے۔ فیلڈنگ ٹیم اسے بازیافت کرتی ہے اور ڈنڈا کا استعمال کرتے ہوئے فاصلے کی پیمائش کرتی ہے۔ فاصلہ 55 ڈنڈا کی لمبائی ہے۔ کیا اسکور دیا جاتا ہے؟</v>
      </c>
      <c r="L3" s="6" t="str">
        <f>IFERROR(__xludf.DUMMYFUNCTION("GOOGLETRANSLATE(C3, ""en"", ""ur"")"),"A) 1 پوائنٹ، B) 10 پوائنٹس، C) 55 پوائنٹس، D) سکور وقت پر مبنی ہے")</f>
        <v>A) 1 پوائنٹ، B) 10 پوائنٹس، C) 55 پوائنٹس، D) سکور وقت پر مبنی ہے</v>
      </c>
      <c r="M3" s="6" t="str">
        <f>IFERROR(__xludf.DUMMYFUNCTION("GOOGLETRANSLATE(D3, ""en"", ""ur"")"),"C) 55 پوائنٹس")</f>
        <v>C) 55 پوائنٹس</v>
      </c>
      <c r="N3" s="6" t="str">
        <f>IFERROR(__xludf.DUMMYFUNCTION("GOOGLETRANSLATE(E3, ""en"", ""ur"")"),"گلی ڈنڈا میں اسکورنگ کا بنیادی نظام ڈنڈا کی لمبائی کو اسکور کی ایک اکائی کے طور پر استعمال کرتے ہوئے ہٹ کے فاصلے کی پیمائش پر مبنی ہے۔")</f>
        <v>گلی ڈنڈا میں اسکورنگ کا بنیادی نظام ڈنڈا کی لمبائی کو اسکور کی ایک اکائی کے طور پر استعمال کرتے ہوئے ہٹ کے فاصلے کی پیمائش پر مبنی ہے۔</v>
      </c>
    </row>
    <row r="4">
      <c r="A4" s="4">
        <v>3.0</v>
      </c>
      <c r="B4" s="5" t="s">
        <v>2117</v>
      </c>
      <c r="C4" s="5" t="s">
        <v>2118</v>
      </c>
      <c r="D4" s="5" t="s">
        <v>2119</v>
      </c>
      <c r="E4" s="5" t="s">
        <v>2120</v>
      </c>
      <c r="J4" s="6" t="str">
        <f>IFERROR(__xludf.DUMMYFUNCTION("GOOGLETRANSLATE(A4, ""en"", ""ur"")"),"3")</f>
        <v>3</v>
      </c>
      <c r="K4" s="6" t="str">
        <f>IFERROR(__xludf.DUMMYFUNCTION("GOOGLETRANSLATE(B4, ""en"", ""ur"")"),"کھیل کے دوران، ایک کھلاڑی اپنی پہلی جھٹکا گلی کو ہوا سے چلنے کی کوشش کرتا ہے لیکن ناکام ہو جاتا ہے۔ اس ناکام کوشش کا نتیجہ کیا نکلتا ہے؟")</f>
        <v>کھیل کے دوران، ایک کھلاڑی اپنی پہلی جھٹکا گلی کو ہوا سے چلنے کی کوشش کرتا ہے لیکن ناکام ہو جاتا ہے۔ اس ناکام کوشش کا نتیجہ کیا نکلتا ہے؟</v>
      </c>
      <c r="L4" s="6" t="str">
        <f>IFERROR(__xludf.DUMMYFUNCTION("GOOGLETRANSLATE(C4, ""en"", ""ur"")"),"A) کھلاڑی فوری طور پر آؤٹ ہو جاتا ہے، B) کھلاڑی باری کے لیے اپنا ایک موقع (عام طور پر تین) کھو دیتا ہے، C) مخالف کو ایک پوائنٹ ملتا ہے، D) گیم دوبارہ ترتیب دیا جاتا ہے۔")</f>
        <v>A) کھلاڑی فوری طور پر آؤٹ ہو جاتا ہے، B) کھلاڑی باری کے لیے اپنا ایک موقع (عام طور پر تین) کھو دیتا ہے، C) مخالف کو ایک پوائنٹ ملتا ہے، D) گیم دوبارہ ترتیب دیا جاتا ہے۔</v>
      </c>
      <c r="M4" s="6" t="str">
        <f>IFERROR(__xludf.DUMMYFUNCTION("GOOGLETRANSLATE(D4, ""en"", ""ur"")"),"ب) کھلاڑی باری کے لیے اپنے مختص مواقع میں سے ایک (عام طور پر تین) کھو دیتا ہے۔")</f>
        <v>ب) کھلاڑی باری کے لیے اپنے مختص مواقع میں سے ایک (عام طور پر تین) کھو دیتا ہے۔</v>
      </c>
      <c r="N4" s="6" t="str">
        <f>IFERROR(__xludf.DUMMYFUNCTION("GOOGLETRANSLATE(E4, ""en"", ""ur"")"),"ایک اسٹرائیکر کو عام طور پر گلی کو کامیابی سے مارنے کے لیے تین کوششیں دی جاتی ہیں۔ ایک کمی ان مواقع میں سے ایک کو استعمال کرتی ہے۔")</f>
        <v>ایک اسٹرائیکر کو عام طور پر گلی کو کامیابی سے مارنے کے لیے تین کوششیں دی جاتی ہیں۔ ایک کمی ان مواقع میں سے ایک کو استعمال کرتی ہے۔</v>
      </c>
    </row>
    <row r="5">
      <c r="A5" s="4">
        <v>4.0</v>
      </c>
      <c r="B5" s="5" t="s">
        <v>2121</v>
      </c>
      <c r="C5" s="5" t="s">
        <v>2122</v>
      </c>
      <c r="D5" s="5" t="s">
        <v>2123</v>
      </c>
      <c r="E5" s="5" t="s">
        <v>2124</v>
      </c>
      <c r="J5" s="6" t="str">
        <f>IFERROR(__xludf.DUMMYFUNCTION("GOOGLETRANSLATE(A5, ""en"", ""ur"")"),"4")</f>
        <v>4</v>
      </c>
      <c r="K5" s="6" t="str">
        <f>IFERROR(__xludf.DUMMYFUNCTION("GOOGLETRANSLATE(B5, ""en"", ""ur"")"),"ایک اسٹرائیکر گلی کو مارتا ہے، اور یہ فیلڈر کے قریب اترتا ہے۔ فیلڈر اسے اٹھاتا ہے اور اسے دوبارہ شروع ہونے والے دائرے کی طرف پھینک دیتا ہے، کامیابی کے ساتھ سوراخ کے اس پار بچھا ہوا ڈنڈا مارتا ہے۔ اس برطرفی کو کیا کہتے ہیں؟")</f>
        <v>ایک اسٹرائیکر گلی کو مارتا ہے، اور یہ فیلڈر کے قریب اترتا ہے۔ فیلڈر اسے اٹھاتا ہے اور اسے دوبارہ شروع ہونے والے دائرے کی طرف پھینک دیتا ہے، کامیابی کے ساتھ سوراخ کے اس پار بچھا ہوا ڈنڈا مارتا ہے۔ اس برطرفی کو کیا کہتے ہیں؟</v>
      </c>
      <c r="L5" s="6" t="str">
        <f>IFERROR(__xludf.DUMMYFUNCTION("GOOGLETRANSLATE(C5, ""en"", ""ur"")"),"A) ایک کیچ، B) ایک 'ڈنڈا آؤٹ' یا 'Pittù آؤٹ'، C) ایک فاول، D) براہ راست ہٹ")</f>
        <v>A) ایک کیچ، B) ایک 'ڈنڈا آؤٹ' یا 'Pittù آؤٹ'، C) ایک فاول، D) براہ راست ہٹ</v>
      </c>
      <c r="M5" s="6" t="str">
        <f>IFERROR(__xludf.DUMMYFUNCTION("GOOGLETRANSLATE(D5, ""en"", ""ur"")"),"ب) ایک 'ڈنڈا آؤٹ' یا 'پٹو آؤٹ'")</f>
        <v>ب) ایک 'ڈنڈا آؤٹ' یا 'پٹو آؤٹ'</v>
      </c>
      <c r="N5" s="6" t="str">
        <f>IFERROR(__xludf.DUMMYFUNCTION("GOOGLETRANSLATE(E5, ""en"", ""ur"")"),"یہ آؤٹ کرنے کا دوسرا بنیادی طریقہ ہے، جو کرکٹ میں ""رن آؤٹ"" کے مترادف ہے، جہاں فیلڈر گیند سے ""وکٹ"" کو مارتا ہے۔")</f>
        <v>یہ آؤٹ کرنے کا دوسرا بنیادی طریقہ ہے، جو کرکٹ میں "رن آؤٹ" کے مترادف ہے، جہاں فیلڈر گیند سے "وکٹ" کو مارتا ہے۔</v>
      </c>
    </row>
    <row r="6">
      <c r="A6" s="4">
        <v>5.0</v>
      </c>
      <c r="B6" s="5" t="s">
        <v>2125</v>
      </c>
      <c r="C6" s="5" t="s">
        <v>2126</v>
      </c>
      <c r="D6" s="5" t="s">
        <v>2127</v>
      </c>
      <c r="E6" s="5" t="s">
        <v>2128</v>
      </c>
      <c r="J6" s="6" t="str">
        <f>IFERROR(__xludf.DUMMYFUNCTION("GOOGLETRANSLATE(A6, ""en"", ""ur"")"),"5")</f>
        <v>5</v>
      </c>
      <c r="K6" s="6" t="str">
        <f>IFERROR(__xludf.DUMMYFUNCTION("GOOGLETRANSLATE(B6, ""en"", ""ur"")"),"کراچی میں ہونے والے ایک ٹورنامنٹ میں، ایک خاص قاعدہ نافذ ہے: ایک ہٹ جو 100 ڈنڈے کی لمبائی سے زیادہ سفر کرتی ہے 'لمبی پاری' ہے اور فوری طور پر گیم جیت جاتی ہے۔ ایک کھلاڑی گلی کو 105 ڈنڈے کی لمبائی سے مارتا ہے۔ نتیجہ کیا ہے؟")</f>
        <v>کراچی میں ہونے والے ایک ٹورنامنٹ میں، ایک خاص قاعدہ نافذ ہے: ایک ہٹ جو 100 ڈنڈے کی لمبائی سے زیادہ سفر کرتی ہے 'لمبی پاری' ہے اور فوری طور پر گیم جیت جاتی ہے۔ ایک کھلاڑی گلی کو 105 ڈنڈے کی لمبائی سے مارتا ہے۔ نتیجہ کیا ہے؟</v>
      </c>
      <c r="L6" s="6" t="str">
        <f>IFERROR(__xludf.DUMMYFUNCTION("GOOGLETRANSLATE(C6, ""en"", ""ur"")"),"A) وہ 105 پوائنٹس اسکور کرتے ہیں، B) وہ فوری طور پر گیم جیت جاتے ہیں، C) ہٹ غلط ہے، D) انہیں 50 پوائنٹس کا بونس ملتا ہے۔")</f>
        <v>A) وہ 105 پوائنٹس اسکور کرتے ہیں، B) وہ فوری طور پر گیم جیت جاتے ہیں، C) ہٹ غلط ہے، D) انہیں 50 پوائنٹس کا بونس ملتا ہے۔</v>
      </c>
      <c r="M6" s="6" t="str">
        <f>IFERROR(__xludf.DUMMYFUNCTION("GOOGLETRANSLATE(D6, ""en"", ""ur"")"),"ب) وہ فوری طور پر گیم جیت جاتے ہیں۔")</f>
        <v>ب) وہ فوری طور پر گیم جیت جاتے ہیں۔</v>
      </c>
      <c r="N6" s="6" t="str">
        <f>IFERROR(__xludf.DUMMYFUNCTION("GOOGLETRANSLATE(E6, ""en"", ""ur"")"),"اگرچہ قوانین مختلف ہوتے ہیں، ایک غیر معمولی طویل ہٹ کو خودکار جیت کے طور پر نامزد کیا جا سکتا ہے، ""ہوم رن"" کے مساوی۔")</f>
        <v>اگرچہ قوانین مختلف ہوتے ہیں، ایک غیر معمولی طویل ہٹ کو خودکار جیت کے طور پر نامزد کیا جا سکتا ہے، "ہوم رن" کے مساوی۔</v>
      </c>
    </row>
    <row r="7">
      <c r="A7" s="4">
        <v>6.0</v>
      </c>
      <c r="B7" s="5" t="s">
        <v>2129</v>
      </c>
      <c r="C7" s="5" t="s">
        <v>2130</v>
      </c>
      <c r="D7" s="5" t="s">
        <v>2131</v>
      </c>
      <c r="E7" s="5" t="s">
        <v>2132</v>
      </c>
      <c r="J7" s="6" t="str">
        <f>IFERROR(__xludf.DUMMYFUNCTION("GOOGLETRANSLATE(A7, ""en"", ""ur"")"),"6")</f>
        <v>6</v>
      </c>
      <c r="K7" s="6" t="str">
        <f>IFERROR(__xludf.DUMMYFUNCTION("GOOGLETRANSLATE(B7, ""en"", ""ur"")"),"ایک کھلاڑی پر الزام ہے کہ اس نے فائدہ حاصل کرنے کے لیے غیر معمولی طور پر لمبا ڈنڈا استعمال کیا۔ ایک بزرگ کو فیصلہ کرنے کے لیے کہا جاتا ہے۔ اگر الزام ثابت ہو جائے تو سب سے زیادہ سزا کیا ہے؟")</f>
        <v>ایک کھلاڑی پر الزام ہے کہ اس نے فائدہ حاصل کرنے کے لیے غیر معمولی طور پر لمبا ڈنڈا استعمال کیا۔ ایک بزرگ کو فیصلہ کرنے کے لیے کہا جاتا ہے۔ اگر الزام ثابت ہو جائے تو سب سے زیادہ سزا کیا ہے؟</v>
      </c>
      <c r="L7" s="6" t="str">
        <f>IFERROR(__xludf.DUMMYFUNCTION("GOOGLETRANSLATE(C7, ""en"", ""ur"")"),"A) کھلاڑی کو ایک انتباہ دیا جاتا ہے، B) کھلاڑی کی موجودہ باری کو باطل کر دیا جاتا ہے، C) آلات کی معیاری کاری کے لیے کھیل کو روک دیا جاتا ہے، D) کھلاڑی پر پابندی عائد کر دی جاتی ہے۔")</f>
        <v>A) کھلاڑی کو ایک انتباہ دیا جاتا ہے، B) کھلاڑی کی موجودہ باری کو باطل کر دیا جاتا ہے، C) آلات کی معیاری کاری کے لیے کھیل کو روک دیا جاتا ہے، D) کھلاڑی پر پابندی عائد کر دی جاتی ہے۔</v>
      </c>
      <c r="M7" s="6" t="str">
        <f>IFERROR(__xludf.DUMMYFUNCTION("GOOGLETRANSLATE(D7, ""en"", ""ur"")"),"ب) کھلاڑی کا موجودہ موڑ باطل ہے۔")</f>
        <v>ب) کھلاڑی کا موجودہ موڑ باطل ہے۔</v>
      </c>
      <c r="N7" s="6" t="str">
        <f>IFERROR(__xludf.DUMMYFUNCTION("GOOGLETRANSLATE(E7, ""en"", ""ur"")"),"غیر معیاری یا غیر منصفانہ سازوسامان کا استعمال عام طور پر منصفانہ کھیل کو یقینی بنانے کے لیے موڑ کو ضبط کرنے کا نتیجہ ہوتا ہے۔")</f>
        <v>غیر معیاری یا غیر منصفانہ سازوسامان کا استعمال عام طور پر منصفانہ کھیل کو یقینی بنانے کے لیے موڑ کو ضبط کرنے کا نتیجہ ہوتا ہے۔</v>
      </c>
    </row>
    <row r="8">
      <c r="A8" s="4">
        <v>7.0</v>
      </c>
      <c r="B8" s="5" t="s">
        <v>2133</v>
      </c>
      <c r="C8" s="5" t="s">
        <v>2134</v>
      </c>
      <c r="D8" s="5" t="s">
        <v>2135</v>
      </c>
      <c r="E8" s="5" t="s">
        <v>2136</v>
      </c>
      <c r="J8" s="6" t="str">
        <f>IFERROR(__xludf.DUMMYFUNCTION("GOOGLETRANSLATE(A8, ""en"", ""ur"")"),"7")</f>
        <v>7</v>
      </c>
      <c r="K8" s="6" t="str">
        <f>IFERROR(__xludf.DUMMYFUNCTION("GOOGLETRANSLATE(B8, ""en"", ""ur"")"),"ہڑتال کے دوران، لکڑی کی گلی درمیانی ہوا میں دو ٹکڑوں میں بکھر جاتی ہے۔ بڑا ٹکڑا 20 ڈنڈوں کے فاصلے پر اور چھوٹا ٹکڑا 10 ڈنڈوں کے فاصلے پر اترتا ہے۔ یہ کس طرح اسکور کیا جاتا ہے؟")</f>
        <v>ہڑتال کے دوران، لکڑی کی گلی درمیانی ہوا میں دو ٹکڑوں میں بکھر جاتی ہے۔ بڑا ٹکڑا 20 ڈنڈوں کے فاصلے پر اور چھوٹا ٹکڑا 10 ڈنڈوں کے فاصلے پر اترتا ہے۔ یہ کس طرح اسکور کیا جاتا ہے؟</v>
      </c>
      <c r="L8" s="6" t="str">
        <f>IFERROR(__xludf.DUMMYFUNCTION("GOOGLETRANSLATE(C8, ""en"", ""ur"")"),"A) سکور 30 ​​ہے، B) سکور 20 ہے، C) ہٹ غلط ہے، اور باری کو دوبارہ چلایا جانا چاہیے، D) سکور 10 ہے")</f>
        <v>A) سکور 30 ​​ہے، B) سکور 20 ہے، C) ہٹ غلط ہے، اور باری کو دوبارہ چلایا جانا چاہیے، D) سکور 10 ہے</v>
      </c>
      <c r="M8" s="6" t="str">
        <f>IFERROR(__xludf.DUMMYFUNCTION("GOOGLETRANSLATE(D8, ""en"", ""ur"")"),"C) ہٹ غلط ہے، اور باری کو دوبارہ چلایا جانا چاہیے۔")</f>
        <v>C) ہٹ غلط ہے، اور باری کو دوبارہ چلایا جانا چاہیے۔</v>
      </c>
      <c r="N8" s="6" t="str">
        <f>IFERROR(__xludf.DUMMYFUNCTION("GOOGLETRANSLATE(E8, ""en"", ""ur"")"),"اگر گلی ٹوٹ جائے تو ڈرامے کو باطل سمجھا جاتا ہے کیونکہ درست پیمائش ناممکن ہے۔ اسٹرائیکر کو باری دوبارہ چلانی پڑتی ہے۔")</f>
        <v>اگر گلی ٹوٹ جائے تو ڈرامے کو باطل سمجھا جاتا ہے کیونکہ درست پیمائش ناممکن ہے۔ اسٹرائیکر کو باری دوبارہ چلانی پڑتی ہے۔</v>
      </c>
    </row>
    <row r="9">
      <c r="A9" s="4">
        <v>8.0</v>
      </c>
      <c r="B9" s="5" t="s">
        <v>2137</v>
      </c>
      <c r="C9" s="5" t="s">
        <v>2138</v>
      </c>
      <c r="D9" s="5" t="s">
        <v>2139</v>
      </c>
      <c r="E9" s="5" t="s">
        <v>2140</v>
      </c>
      <c r="J9" s="6" t="str">
        <f>IFERROR(__xludf.DUMMYFUNCTION("GOOGLETRANSLATE(A9, ""en"", ""ur"")"),"8")</f>
        <v>8</v>
      </c>
      <c r="K9" s="6" t="str">
        <f>IFERROR(__xludf.DUMMYFUNCTION("GOOGLETRANSLATE(B9, ""en"", ""ur"")"),"ایک اسٹرائیکر گلی کو مارتا ہے، اور یہ کھیل کے میدان کی باؤنڈری لائن پر بالکل اپنے کنارے کے ساتھ اترتا ہے۔ یہ عام طور پر کیسے حکم دیا جاتا ہے؟")</f>
        <v>ایک اسٹرائیکر گلی کو مارتا ہے، اور یہ کھیل کے میدان کی باؤنڈری لائن پر بالکل اپنے کنارے کے ساتھ اترتا ہے۔ یہ عام طور پر کیسے حکم دیا جاتا ہے؟</v>
      </c>
      <c r="L9" s="6" t="str">
        <f>IFERROR(__xludf.DUMMYFUNCTION("GOOGLETRANSLATE(C9, ""en"", ""ur"")"),"A) اسے حد سے باہر سمجھا جاتا ہے، B) اسے حدود میں سمجھا جاتا ہے، اور اسکور کو ناپا جاتا ہے، C) پوائنٹ کو دوبارہ چلایا جاتا ہے، D) یہ اس بات پر منحصر ہے کہ گلی کس لائن میں گرتی ہے۔")</f>
        <v>A) اسے حد سے باہر سمجھا جاتا ہے، B) اسے حدود میں سمجھا جاتا ہے، اور اسکور کو ناپا جاتا ہے، C) پوائنٹ کو دوبارہ چلایا جاتا ہے، D) یہ اس بات پر منحصر ہے کہ گلی کس لائن میں گرتی ہے۔</v>
      </c>
      <c r="M9" s="6" t="str">
        <f>IFERROR(__xludf.DUMMYFUNCTION("GOOGLETRANSLATE(D9, ""en"", ""ur"")"),"ب) اسے حدود میں سمجھا جاتا ہے، اور اسکور کی پیمائش کی جاتی ہے۔")</f>
        <v>ب) اسے حدود میں سمجھا جاتا ہے، اور اسکور کی پیمائش کی جاتی ہے۔</v>
      </c>
      <c r="N9" s="6" t="str">
        <f>IFERROR(__xludf.DUMMYFUNCTION("GOOGLETRANSLATE(E9, ""en"", ""ur"")"),"بہت سے کھیلوں کی طرح، اگر چیز لائن کو چھوتی ہے، تو اسے ""اندر"" سمجھا جاتا ہے۔")</f>
        <v>بہت سے کھیلوں کی طرح، اگر چیز لائن کو چھوتی ہے، تو اسے "اندر" سمجھا جاتا ہے۔</v>
      </c>
    </row>
    <row r="10">
      <c r="A10" s="4">
        <v>9.0</v>
      </c>
      <c r="B10" s="5" t="s">
        <v>2141</v>
      </c>
      <c r="C10" s="5" t="s">
        <v>2142</v>
      </c>
      <c r="D10" s="5" t="s">
        <v>1382</v>
      </c>
      <c r="E10" s="5" t="s">
        <v>2143</v>
      </c>
      <c r="J10" s="6" t="str">
        <f>IFERROR(__xludf.DUMMYFUNCTION("GOOGLETRANSLATE(A10, ""en"", ""ur"")"),"9")</f>
        <v>9</v>
      </c>
      <c r="K10" s="6" t="str">
        <f>IFERROR(__xludf.DUMMYFUNCTION("GOOGLETRANSLATE(B10, ""en"", ""ur"")"),"گاؤں کا دورہ کرنے والا کھلاڑی مقامی قوانین سے ناواقف ہے۔ اس کا اصرار ہے کہ گلی کو جگانے کی اجازت نہیں ہے۔ اس طرح کے تنازعہ کو عام طور پر کیسے حل کیا جاتا ہے؟")</f>
        <v>گاؤں کا دورہ کرنے والا کھلاڑی مقامی قوانین سے ناواقف ہے۔ اس کا اصرار ہے کہ گلی کو جگانے کی اجازت نہیں ہے۔ اس طرح کے تنازعہ کو عام طور پر کیسے حل کیا جاتا ہے؟</v>
      </c>
      <c r="L10" s="6" t="str">
        <f>IFERROR(__xludf.DUMMYFUNCTION("GOOGLETRANSLATE(C10, ""en"", ""ur"")"),"A) کھیل روک دیا گیا ہے، B) اس میچ کے لیے ہوم ٹیم کے قوانین کی پیروی کی جاتی ہے، C) ایک غیر جانبدار بزرگ کو ثالثی کے لیے کہا جاتا ہے، D) B اور C دونوں")</f>
        <v>A) کھیل روک دیا گیا ہے، B) اس میچ کے لیے ہوم ٹیم کے قوانین کی پیروی کی جاتی ہے، C) ایک غیر جانبدار بزرگ کو ثالثی کے لیے کہا جاتا ہے، D) B اور C دونوں</v>
      </c>
      <c r="M10" s="6" t="str">
        <f>IFERROR(__xludf.DUMMYFUNCTION("GOOGLETRANSLATE(D10, ""en"", ""ur"")"),"D) B اور C دونوں")</f>
        <v>D) B اور C دونوں</v>
      </c>
      <c r="N10" s="6" t="str">
        <f>IFERROR(__xludf.DUMMYFUNCTION("GOOGLETRANSLATE(E10, ""en"", ""ur"")"),"غیر رسمی کھیلوں میں، تنازعات میزبان کے قواعد پر عمل کرنے پر رضامندی سے یا کسی معزز، غیر جانبدار فریق سے فیصلہ طلب کر کے حل کیے جاتے ہیں۔")</f>
        <v>غیر رسمی کھیلوں میں، تنازعات میزبان کے قواعد پر عمل کرنے پر رضامندی سے یا کسی معزز، غیر جانبدار فریق سے فیصلہ طلب کر کے حل کیے جاتے ہیں۔</v>
      </c>
    </row>
    <row r="11">
      <c r="A11" s="4">
        <v>10.0</v>
      </c>
      <c r="B11" s="5" t="s">
        <v>2144</v>
      </c>
      <c r="C11" s="5" t="s">
        <v>2145</v>
      </c>
      <c r="D11" s="5" t="s">
        <v>2146</v>
      </c>
      <c r="E11" s="5" t="s">
        <v>2147</v>
      </c>
      <c r="J11" s="6" t="str">
        <f>IFERROR(__xludf.DUMMYFUNCTION("GOOGLETRANSLATE(A11, ""en"", ""ur"")"),"10")</f>
        <v>10</v>
      </c>
      <c r="K11" s="6" t="str">
        <f>IFERROR(__xludf.DUMMYFUNCTION("GOOGLETRANSLATE(B11, ""en"", ""ur"")"),"ایک کھیل کے دوران، ایک اسٹرائیکر گلی میں جھولتے ہوئے غلطی سے اسٹرائیکنگ دائرے سے باہر نکل جاتا ہے۔ امپائر غلطی کو نوٹ کرتا ہے۔ اس کا کیا حکم ہے؟")</f>
        <v>ایک کھیل کے دوران، ایک اسٹرائیکر گلی میں جھولتے ہوئے غلطی سے اسٹرائیکنگ دائرے سے باہر نکل جاتا ہے۔ امپائر غلطی کو نوٹ کرتا ہے۔ اس کا کیا حکم ہے؟</v>
      </c>
      <c r="L11" s="6" t="str">
        <f>IFERROR(__xludf.DUMMYFUNCTION("GOOGLETRANSLATE(C11, ""en"", ""ur"")"),"A) ہٹ تب بھی درست ہے اگر یہ اچھا تھا، B) ٹیم کو ایک پوائنٹ پر جرمانہ کیا جاتا ہے، C) فاول کی وجہ سے کھلاڑی کی باری ضائع ہو جاتی ہے، D) مخالف ٹیم اگلی ضرب لگاتی ہے۔")</f>
        <v>A) ہٹ تب بھی درست ہے اگر یہ اچھا تھا، B) ٹیم کو ایک پوائنٹ پر جرمانہ کیا جاتا ہے، C) فاول کی وجہ سے کھلاڑی کی باری ضائع ہو جاتی ہے، D) مخالف ٹیم اگلی ضرب لگاتی ہے۔</v>
      </c>
      <c r="M11" s="6" t="str">
        <f>IFERROR(__xludf.DUMMYFUNCTION("GOOGLETRANSLATE(D11, ""en"", ""ur"")"),"ج) فاؤل کی وجہ سے کھلاڑی کی باری ضائع ہو جاتی ہے۔")</f>
        <v>ج) فاؤل کی وجہ سے کھلاڑی کی باری ضائع ہو جاتی ہے۔</v>
      </c>
      <c r="N11" s="6" t="str">
        <f>IFERROR(__xludf.DUMMYFUNCTION("GOOGLETRANSLATE(E11, ""en"", ""ur"")"),"نامزد سٹرائیکنگ ایریا سے باہر نکلنا ایک فاؤل ہے ​​جس کے نتیجے میں کھلاڑی کی باری فوری طور پر ضائع ہو جاتی ہے۔")</f>
        <v>نامزد سٹرائیکنگ ایریا سے باہر نکلنا ایک فاؤل ہے ​​جس کے نتیجے میں کھلاڑی کی باری فوری طور پر ضائع ہو جاتی ہے۔</v>
      </c>
    </row>
    <row r="12">
      <c r="A12" s="4">
        <v>11.0</v>
      </c>
      <c r="B12" s="5" t="s">
        <v>2148</v>
      </c>
      <c r="C12" s="5" t="s">
        <v>2149</v>
      </c>
      <c r="D12" s="5" t="s">
        <v>2150</v>
      </c>
      <c r="E12" s="5" t="s">
        <v>2151</v>
      </c>
      <c r="J12" s="6" t="str">
        <f>IFERROR(__xludf.DUMMYFUNCTION("GOOGLETRANSLATE(A12, ""en"", ""ur"")"),"11")</f>
        <v>11</v>
      </c>
      <c r="K12" s="6" t="str">
        <f>IFERROR(__xludf.DUMMYFUNCTION("GOOGLETRANSLATE(B12, ""en"", ""ur"")"),"کھیل کی مختلف حالتوں میں، اسٹرائیکر کو گلی کو مارنے کے بعد پہلے سے طے شدہ نقطہ کی طرف دوڑنا اور واپس آنا چاہیے۔ اس ورژن میں فیلڈر کا مقصد کیا ہے؟")</f>
        <v>کھیل کی مختلف حالتوں میں، اسٹرائیکر کو گلی کو مارنے کے بعد پہلے سے طے شدہ نقطہ کی طرف دوڑنا اور واپس آنا چاہیے۔ اس ورژن میں فیلڈر کا مقصد کیا ہے؟</v>
      </c>
      <c r="L12" s="6" t="str">
        <f>IFERROR(__xludf.DUMMYFUNCTION("GOOGLETRANSLATE(C12, ""en"", ""ur"")"),"A) گلی کو پکڑنے کے لئے، B) گلی کو دوبارہ حاصل کرنا اور اسٹرائیکر کے واپس آنے سے پہلے نقطہ آغاز کو مارنا، C) فاصلے کی پیمائش کرنا، D) A اور B دونوں")</f>
        <v>A) گلی کو پکڑنے کے لئے، B) گلی کو دوبارہ حاصل کرنا اور اسٹرائیکر کے واپس آنے سے پہلے نقطہ آغاز کو مارنا، C) فاصلے کی پیمائش کرنا، D) A اور B دونوں</v>
      </c>
      <c r="M12" s="6" t="str">
        <f>IFERROR(__xludf.DUMMYFUNCTION("GOOGLETRANSLATE(D12, ""en"", ""ur"")"),"D) A اور B دونوں")</f>
        <v>D) A اور B دونوں</v>
      </c>
      <c r="N12" s="6" t="str">
        <f>IFERROR(__xludf.DUMMYFUNCTION("GOOGLETRANSLATE(E12, ""en"", ""ur"")"),"اس ""رن سکورنگ"" ورژن میں، فیلڈر اسٹرائیکر کو یا تو گلی کو براہ راست کیچ دے کر یا ""ان کو رن آؤٹ کر کے"" آؤٹ کر سکتا ہے۔")</f>
        <v>اس "رن سکورنگ" ورژن میں، فیلڈر اسٹرائیکر کو یا تو گلی کو براہ راست کیچ دے کر یا "ان کو رن آؤٹ کر کے" آؤٹ کر سکتا ہے۔</v>
      </c>
    </row>
    <row r="13">
      <c r="A13" s="4">
        <v>12.0</v>
      </c>
      <c r="B13" s="5" t="s">
        <v>2152</v>
      </c>
      <c r="C13" s="5" t="s">
        <v>2153</v>
      </c>
      <c r="D13" s="5" t="s">
        <v>2154</v>
      </c>
      <c r="E13" s="5" t="s">
        <v>2155</v>
      </c>
      <c r="J13" s="6" t="str">
        <f>IFERROR(__xludf.DUMMYFUNCTION("GOOGLETRANSLATE(A13, ""en"", ""ur"")"),"12")</f>
        <v>12</v>
      </c>
      <c r="K13" s="6" t="str">
        <f>IFERROR(__xludf.DUMMYFUNCTION("GOOGLETRANSLATE(B13, ""en"", ""ur"")"),"ایک سٹرائیکر گلی کو انوکھی زاویہ سے مارتا ہے، جس کی وجہ سے یہ جنگلی طور پر گھومتا ہے۔ ایک فیلڈر اسپن کا غلط اندازہ لگاتا ہے اور کیچ چھوڑ دیتا ہے۔ نتیجہ کیا ہے؟")</f>
        <v>ایک سٹرائیکر گلی کو انوکھی زاویہ سے مارتا ہے، جس کی وجہ سے یہ جنگلی طور پر گھومتا ہے۔ ایک فیلڈر اسپن کا غلط اندازہ لگاتا ہے اور کیچ چھوڑ دیتا ہے۔ نتیجہ کیا ہے؟</v>
      </c>
      <c r="L13" s="6" t="str">
        <f>IFERROR(__xludf.DUMMYFUNCTION("GOOGLETRANSLATE(C13, ""en"", ""ur"")"),"A) اسٹرائیکر آؤٹ ہے، B) اسٹرائیکر ناٹ آؤٹ ہے، اور اسکور کے لیے فاصلہ ناپا جاتا ہے، C) غیر متوقع اسپن کی وجہ سے باری دوبارہ چلائی جاتی ہے، D) فیلڈر کو جرمانہ کیا جاتا ہے۔")</f>
        <v>A) اسٹرائیکر آؤٹ ہے، B) اسٹرائیکر ناٹ آؤٹ ہے، اور اسکور کے لیے فاصلہ ناپا جاتا ہے، C) غیر متوقع اسپن کی وجہ سے باری دوبارہ چلائی جاتی ہے، D) فیلڈر کو جرمانہ کیا جاتا ہے۔</v>
      </c>
      <c r="M13" s="6" t="str">
        <f>IFERROR(__xludf.DUMMYFUNCTION("GOOGLETRANSLATE(D13, ""en"", ""ur"")"),"ب) اسٹرائیکر ناٹ آؤٹ ہے، اور فاصلہ اسکور کے لیے ناپا جاتا ہے۔")</f>
        <v>ب) اسٹرائیکر ناٹ آؤٹ ہے، اور فاصلہ اسکور کے لیے ناپا جاتا ہے۔</v>
      </c>
      <c r="N13" s="6" t="str">
        <f>IFERROR(__xludf.DUMMYFUNCTION("GOOGLETRANSLATE(E13, ""en"", ""ur"")"),"گرا ہوا کیچ آؤٹ نہیں ہوتا۔ غیر متوقع اسپن اسٹرائیکر کی مہارت کا نتیجہ ہے، اور فیلڈر کا اسے پکڑنے میں ناکامی کھیل کا حصہ ہے۔")</f>
        <v>گرا ہوا کیچ آؤٹ نہیں ہوتا۔ غیر متوقع اسپن اسٹرائیکر کی مہارت کا نتیجہ ہے، اور فیلڈر کا اسے پکڑنے میں ناکامی کھیل کا حصہ ہے۔</v>
      </c>
    </row>
    <row r="14">
      <c r="A14" s="4">
        <v>13.0</v>
      </c>
      <c r="B14" s="5" t="s">
        <v>2156</v>
      </c>
      <c r="C14" s="5" t="s">
        <v>2157</v>
      </c>
      <c r="D14" s="5" t="s">
        <v>2158</v>
      </c>
      <c r="E14" s="5" t="s">
        <v>2159</v>
      </c>
      <c r="J14" s="6" t="str">
        <f>IFERROR(__xludf.DUMMYFUNCTION("GOOGLETRANSLATE(A14, ""en"", ""ur"")"),"13")</f>
        <v>13</v>
      </c>
      <c r="K14" s="6" t="str">
        <f>IFERROR(__xludf.DUMMYFUNCTION("GOOGLETRANSLATE(B14, ""en"", ""ur"")"),"ایک گلی ایک گھنی کانٹے دار جھاڑی میں ٹکرا جاتی ہے اور فیلڈرز اسے محفوظ طریقے سے نہیں نکال سکتے۔ عام حکم کیا ہے؟")</f>
        <v>ایک گلی ایک گھنی کانٹے دار جھاڑی میں ٹکرا جاتی ہے اور فیلڈرز اسے محفوظ طریقے سے نہیں نکال سکتے۔ عام حکم کیا ہے؟</v>
      </c>
      <c r="L14" s="6" t="str">
        <f>IFERROR(__xludf.DUMMYFUNCTION("GOOGLETRANSLATE(C14, ""en"", ""ur"")"),"A) اسٹرائیکر کو زیادہ سے زیادہ پوائنٹس سے نوازا جاتا ہے، B) اسٹرائیکر گلی ہارنے پر آؤٹ ہوتا ہے، C) گیم کو غیر معینہ مدت کے لیے روک دیا جاتا ہے، D) باری کو ایک نئی گلی کے ساتھ دوبارہ چلایا جاتا ہے۔")</f>
        <v>A) اسٹرائیکر کو زیادہ سے زیادہ پوائنٹس سے نوازا جاتا ہے، B) اسٹرائیکر گلی ہارنے پر آؤٹ ہوتا ہے، C) گیم کو غیر معینہ مدت کے لیے روک دیا جاتا ہے، D) باری کو ایک نئی گلی کے ساتھ دوبارہ چلایا جاتا ہے۔</v>
      </c>
      <c r="M14" s="6" t="str">
        <f>IFERROR(__xludf.DUMMYFUNCTION("GOOGLETRANSLATE(D14, ""en"", ""ur"")"),"ب) اسٹرائیکر گلی کو کھونے کی وجہ سے باہر ہے۔")</f>
        <v>ب) اسٹرائیکر گلی کو کھونے کی وجہ سے باہر ہے۔</v>
      </c>
      <c r="N14" s="6" t="str">
        <f>IFERROR(__xludf.DUMMYFUNCTION("GOOGLETRANSLATE(E14, ""en"", ""ur"")"),"اگر گلی کو ایک ناقابل کھیل یا ناقابل واپسی جگہ پر مارا جاتا ہے، تو عام طور پر اسٹرائیکر کی باری ختم ہو جاتی ہے۔")</f>
        <v>اگر گلی کو ایک ناقابل کھیل یا ناقابل واپسی جگہ پر مارا جاتا ہے، تو عام طور پر اسٹرائیکر کی باری ختم ہو جاتی ہے۔</v>
      </c>
    </row>
    <row r="15">
      <c r="A15" s="4">
        <v>14.0</v>
      </c>
      <c r="B15" s="5" t="s">
        <v>2160</v>
      </c>
      <c r="C15" s="5" t="s">
        <v>2161</v>
      </c>
      <c r="D15" s="5" t="s">
        <v>2162</v>
      </c>
      <c r="E15" s="5" t="s">
        <v>2163</v>
      </c>
      <c r="J15" s="6" t="str">
        <f>IFERROR(__xludf.DUMMYFUNCTION("GOOGLETRANSLATE(A15, ""en"", ""ur"")"),"14")</f>
        <v>14</v>
      </c>
      <c r="K15" s="6" t="str">
        <f>IFERROR(__xludf.DUMMYFUNCTION("GOOGLETRANSLATE(B15, ""en"", ""ur"")"),"ٹیم پر مبنی ٹورنامنٹ کے دوران، گلی کو مارا جاتا ہے، اور ایک فیلڈر اسے پکڑتا ہے۔ تاہم اسٹرائیکر کی ٹیم کا موقف ہے کہ فیلڈر نے دستانے پہن رکھے تھے۔ اس کا کیا حکم ہے؟")</f>
        <v>ٹیم پر مبنی ٹورنامنٹ کے دوران، گلی کو مارا جاتا ہے، اور ایک فیلڈر اسے پکڑتا ہے۔ تاہم اسٹرائیکر کی ٹیم کا موقف ہے کہ فیلڈر نے دستانے پہن رکھے تھے۔ اس کا کیا حکم ہے؟</v>
      </c>
      <c r="L15" s="6" t="str">
        <f>IFERROR(__xludf.DUMMYFUNCTION("GOOGLETRANSLATE(C15, ""en"", ""ur"")"),"A) کیچ درست ہے کیونکہ دستانے حفاظت کے لیے ہیں، B) کیچ غلط ہے کیونکہ کھیل ننگے ہاتھ کھیلنا چاہیے، C) فیلڈر کو وارننگ دی جاتی ہے، D) اسٹرائیکر کو دوبارہ ہٹ کرنا پڑتا ہے۔")</f>
        <v>A) کیچ درست ہے کیونکہ دستانے حفاظت کے لیے ہیں، B) کیچ غلط ہے کیونکہ کھیل ننگے ہاتھ کھیلنا چاہیے، C) فیلڈر کو وارننگ دی جاتی ہے، D) اسٹرائیکر کو دوبارہ ہٹ کرنا پڑتا ہے۔</v>
      </c>
      <c r="M15" s="6" t="str">
        <f>IFERROR(__xludf.DUMMYFUNCTION("GOOGLETRANSLATE(D15, ""en"", ""ur"")"),"ب) کیچ غلط ہے کیونکہ کھیل ننگے ہاتھ کھیلنا ضروری ہے۔")</f>
        <v>ب) کیچ غلط ہے کیونکہ کھیل ننگے ہاتھ کھیلنا ضروری ہے۔</v>
      </c>
      <c r="N15" s="6" t="str">
        <f>IFERROR(__xludf.DUMMYFUNCTION("GOOGLETRANSLATE(E15, ""en"", ""ur"")"),"روایتی گلی ڈنڈا بغیر کسی حفاظتی پوشاک کے کھیلا جاتا ہے، اور کیچ صرف اس صورت میں درست سمجھا جاتا ہے جب ننگے ہاتھوں سے بنایا جائے۔")</f>
        <v>روایتی گلی ڈنڈا بغیر کسی حفاظتی پوشاک کے کھیلا جاتا ہے، اور کیچ صرف اس صورت میں درست سمجھا جاتا ہے جب ننگے ہاتھوں سے بنایا جائے۔</v>
      </c>
    </row>
    <row r="16">
      <c r="A16" s="4">
        <v>15.0</v>
      </c>
      <c r="B16" s="5" t="s">
        <v>2164</v>
      </c>
      <c r="C16" s="5" t="s">
        <v>2165</v>
      </c>
      <c r="D16" s="5" t="s">
        <v>2166</v>
      </c>
      <c r="E16" s="5" t="s">
        <v>2167</v>
      </c>
      <c r="J16" s="6" t="str">
        <f>IFERROR(__xludf.DUMMYFUNCTION("GOOGLETRANSLATE(A16, ""en"", ""ur"")"),"15")</f>
        <v>15</v>
      </c>
      <c r="K16" s="6" t="str">
        <f>IFERROR(__xludf.DUMMYFUNCTION("GOOGLETRANSLATE(B16, ""en"", ""ur"")"),"گلی ڈنڈا کے دوستانہ کھیل میں، ایک کھلاڑی ڈنڈا (ہینڈل) کے غلط سرے سے گلی کو مارتا ہے۔ آگے کیا ہوتا ہے؟")</f>
        <v>گلی ڈنڈا کے دوستانہ کھیل میں، ایک کھلاڑی ڈنڈا (ہینڈل) کے غلط سرے سے گلی کو مارتا ہے۔ آگے کیا ہوتا ہے؟</v>
      </c>
      <c r="L16" s="6" t="str">
        <f>IFERROR(__xludf.DUMMYFUNCTION("GOOGLETRANSLATE(C16, ""en"", ""ur"")"),"A) یہ ایک قانونی ہٹ ہے اگر یہ دور تک جاتا ہے، B) فاول کی وجہ سے کھلاڑی اپنی باری کھو دیتا ہے، C) کھلاڑی کو ایک اور موقع دیا جاتا ہے، D) ہٹ آدھے پوائنٹس اسکور کرتا ہے۔")</f>
        <v>A) یہ ایک قانونی ہٹ ہے اگر یہ دور تک جاتا ہے، B) فاول کی وجہ سے کھلاڑی اپنی باری کھو دیتا ہے، C) کھلاڑی کو ایک اور موقع دیا جاتا ہے، D) ہٹ آدھے پوائنٹس اسکور کرتا ہے۔</v>
      </c>
      <c r="M16" s="6" t="str">
        <f>IFERROR(__xludf.DUMMYFUNCTION("GOOGLETRANSLATE(D16, ""en"", ""ur"")"),"ب) فاؤل کی وجہ سے کھلاڑی اپنی باری کھو دیتا ہے۔")</f>
        <v>ب) فاؤل کی وجہ سے کھلاڑی اپنی باری کھو دیتا ہے۔</v>
      </c>
      <c r="N16" s="6" t="str">
        <f>IFERROR(__xludf.DUMMYFUNCTION("GOOGLETRANSLATE(E16, ""en"", ""ur"")"),"ڈنڈا کے غلط حصے سے گلی کو مارنا ایک غلطی سمجھا جاتا ہے اور اس کے نتیجے میں باری کا نقصان ہوتا ہے۔")</f>
        <v>ڈنڈا کے غلط حصے سے گلی کو مارنا ایک غلطی سمجھا جاتا ہے اور اس کے نتیجے میں باری کا نقصان ہوتا ہے۔</v>
      </c>
    </row>
    <row r="17">
      <c r="A17" s="4">
        <v>16.0</v>
      </c>
      <c r="B17" s="5" t="s">
        <v>2168</v>
      </c>
      <c r="C17" s="5" t="s">
        <v>2169</v>
      </c>
      <c r="D17" s="5" t="s">
        <v>2170</v>
      </c>
      <c r="E17" s="5" t="s">
        <v>2171</v>
      </c>
      <c r="J17" s="6" t="str">
        <f>IFERROR(__xludf.DUMMYFUNCTION("GOOGLETRANSLATE(A17, ""en"", ""ur"")"),"16")</f>
        <v>16</v>
      </c>
      <c r="K17" s="6" t="str">
        <f>IFERROR(__xludf.DUMMYFUNCTION("GOOGLETRANSLATE(B17, ""en"", ""ur"")"),"ایک کھلاڑی گلی کو زوردار اسٹرائیک سے مارتا ہے، اور یہ 50 ڈنڈا کی لمبائی کے فاصلے پر اترتا ہے۔ تاہم، ہوا کا ایک تیز جھونکا گلی کو مزید 5 لمبا کرنے کا سبب بنتا ہے۔ فائنل سکور کیا ہے؟")</f>
        <v>ایک کھلاڑی گلی کو زوردار اسٹرائیک سے مارتا ہے، اور یہ 50 ڈنڈا کی لمبائی کے فاصلے پر اترتا ہے۔ تاہم، ہوا کا ایک تیز جھونکا گلی کو مزید 5 لمبا کرنے کا سبب بنتا ہے۔ فائنل سکور کیا ہے؟</v>
      </c>
      <c r="L17" s="6" t="str">
        <f>IFERROR(__xludf.DUMMYFUNCTION("GOOGLETRANSLATE(C17, ""en"", ""ur"")"),"A) 50، B) 55، C) ہوا کی وجہ سے ہٹ غلط ہے، D) ہٹ کو دوبارہ چلایا جانا چاہیے۔")</f>
        <v>A) 50، B) 55، C) ہوا کی وجہ سے ہٹ غلط ہے، D) ہٹ کو دوبارہ چلایا جانا چاہیے۔</v>
      </c>
      <c r="M17" s="6" t="str">
        <f>IFERROR(__xludf.DUMMYFUNCTION("GOOGLETRANSLATE(D17, ""en"", ""ur"")"),"ب) 55")</f>
        <v>ب) 55</v>
      </c>
      <c r="N17" s="6" t="str">
        <f>IFERROR(__xludf.DUMMYFUNCTION("GOOGLETRANSLATE(E17, ""en"", ""ur"")"),"گلی ڈنڈا میں، آخری اسکور کو ماپا جاتا ہے جہاں سے گلی آرام کرتی ہے، قطع نظر اس کے کہ ہوا یا ڈھلوان اسے مزید لڑھکنے کا سبب بنے۔")</f>
        <v>گلی ڈنڈا میں، آخری اسکور کو ماپا جاتا ہے جہاں سے گلی آرام کرتی ہے، قطع نظر اس کے کہ ہوا یا ڈھلوان اسے مزید لڑھکنے کا سبب بنے۔</v>
      </c>
    </row>
    <row r="18">
      <c r="A18" s="4">
        <v>17.0</v>
      </c>
      <c r="B18" s="5" t="s">
        <v>2172</v>
      </c>
      <c r="C18" s="5" t="s">
        <v>2173</v>
      </c>
      <c r="D18" s="5" t="s">
        <v>156</v>
      </c>
      <c r="E18" s="5" t="s">
        <v>2174</v>
      </c>
      <c r="J18" s="6" t="str">
        <f>IFERROR(__xludf.DUMMYFUNCTION("GOOGLETRANSLATE(A18, ""en"", ""ur"")"),"17")</f>
        <v>17</v>
      </c>
      <c r="K18" s="6" t="str">
        <f>IFERROR(__xludf.DUMMYFUNCTION("GOOGLETRANSLATE(B18, ""en"", ""ur"")"),"ٹیم میچ میں، ایک کھلاڑی گلی کو مارتا ہے، اور اس کے ساتھی زور زور سے جشن مناتے ہیں۔ تاہم، امپائر فاؤل کا اشارہ کرتا ہے۔ ان میں سے کون سی ممکنہ وجہ ہے؟")</f>
        <v>ٹیم میچ میں، ایک کھلاڑی گلی کو مارتا ہے، اور اس کے ساتھی زور زور سے جشن مناتے ہیں۔ تاہم، امپائر فاؤل کا اشارہ کرتا ہے۔ ان میں سے کون سی ممکنہ وجہ ہے؟</v>
      </c>
      <c r="L18" s="6" t="str">
        <f>IFERROR(__xludf.DUMMYFUNCTION("GOOGLETRANSLATE(C18, ""en"", ""ur"")"),"A) اسٹرائیکر نے مارنے سے پہلے ابتدائی لائن کو عبور کیا، B) گلی کو ڈنڈا کے غلط سرے سے ٹکرایا گیا، C) گلی نامزد اسکورنگ زون میں نہیں اترا، D) مندرجہ بالا سبھی")</f>
        <v>A) اسٹرائیکر نے مارنے سے پہلے ابتدائی لائن کو عبور کیا، B) گلی کو ڈنڈا کے غلط سرے سے ٹکرایا گیا، C) گلی نامزد اسکورنگ زون میں نہیں اترا، D) مندرجہ بالا سبھی</v>
      </c>
      <c r="M18" s="6" t="str">
        <f>IFERROR(__xludf.DUMMYFUNCTION("GOOGLETRANSLATE(D18, ""en"", ""ur"")"),"D) مذکورہ بالا تمام")</f>
        <v>D) مذکورہ بالا تمام</v>
      </c>
      <c r="N18" s="6" t="str">
        <f>IFERROR(__xludf.DUMMYFUNCTION("GOOGLETRANSLATE(E18, ""en"", ""ur"")"),"جشن منانے کی خوشی کو متعدد ممکنہ غلط فاؤلز سے کم کیا جا سکتا ہے، یہ سب ہڑتال کو باطل کر دیں گے۔")</f>
        <v>جشن منانے کی خوشی کو متعدد ممکنہ غلط فاؤلز سے کم کیا جا سکتا ہے، یہ سب ہڑتال کو باطل کر دیں گے۔</v>
      </c>
    </row>
    <row r="19">
      <c r="A19" s="4">
        <v>18.0</v>
      </c>
      <c r="B19" s="5" t="s">
        <v>2175</v>
      </c>
      <c r="C19" s="5" t="s">
        <v>2176</v>
      </c>
      <c r="D19" s="5" t="s">
        <v>2177</v>
      </c>
      <c r="E19" s="5" t="s">
        <v>2178</v>
      </c>
      <c r="J19" s="6" t="str">
        <f>IFERROR(__xludf.DUMMYFUNCTION("GOOGLETRANSLATE(A19, ""en"", ""ur"")"),"18")</f>
        <v>18</v>
      </c>
      <c r="K19" s="6" t="str">
        <f>IFERROR(__xludf.DUMMYFUNCTION("GOOGLETRANSLATE(B19, ""en"", ""ur"")"),"ایک مسابقتی میچ کے دوران، ایک کھلاڑی گلی کو گھماؤ کے ساتھ مارتا ہے، اور یہ حد سے باہر کے علاقے میں اترتا ہے۔ نتیجہ کیا ہے؟")</f>
        <v>ایک مسابقتی میچ کے دوران، ایک کھلاڑی گلی کو گھماؤ کے ساتھ مارتا ہے، اور یہ حد سے باہر کے علاقے میں اترتا ہے۔ نتیجہ کیا ہے؟</v>
      </c>
      <c r="L19" s="6" t="str">
        <f>IFERROR(__xludf.DUMMYFUNCTION("GOOGLETRANSLATE(C19, ""en"", ""ur"")"),"A) کھلاڑی کی باری ضائع ہو جاتی ہے، B) کھلاڑی کم پوائنٹس اسکور کرتا ہے، C) کھلاڑی کو ایک اور کوشش کی اجازت ہوتی ہے، D) مخالف ٹیم پوائنٹس حاصل کرتی ہے۔")</f>
        <v>A) کھلاڑی کی باری ضائع ہو جاتی ہے، B) کھلاڑی کم پوائنٹس اسکور کرتا ہے، C) کھلاڑی کو ایک اور کوشش کی اجازت ہوتی ہے، D) مخالف ٹیم پوائنٹس حاصل کرتی ہے۔</v>
      </c>
      <c r="M19" s="6" t="str">
        <f>IFERROR(__xludf.DUMMYFUNCTION("GOOGLETRANSLATE(D19, ""en"", ""ur"")"),"A) کھلاڑی کی باری ضبط کر لی گئی ہے۔")</f>
        <v>A) کھلاڑی کی باری ضبط کر لی گئی ہے۔</v>
      </c>
      <c r="N19" s="6" t="str">
        <f>IFERROR(__xludf.DUMMYFUNCTION("GOOGLETRANSLATE(E19, ""en"", ""ur"")"),"گلی ڈنڈا میں، اگر گلی متفقہ کھیل کے میدان سے باہر آتی ہے، تو اسٹرائیکر اپنی باری کھو دیتا ہے۔")</f>
        <v>گلی ڈنڈا میں، اگر گلی متفقہ کھیل کے میدان سے باہر آتی ہے، تو اسٹرائیکر اپنی باری کھو دیتا ہے۔</v>
      </c>
    </row>
    <row r="20">
      <c r="A20" s="4">
        <v>19.0</v>
      </c>
      <c r="B20" s="5" t="s">
        <v>2179</v>
      </c>
      <c r="C20" s="5" t="s">
        <v>2180</v>
      </c>
      <c r="D20" s="5" t="s">
        <v>2181</v>
      </c>
      <c r="E20" s="5" t="s">
        <v>2182</v>
      </c>
      <c r="J20" s="6" t="str">
        <f>IFERROR(__xludf.DUMMYFUNCTION("GOOGLETRANSLATE(A20, ""en"", ""ur"")"),"19")</f>
        <v>19</v>
      </c>
      <c r="K20" s="6" t="str">
        <f>IFERROR(__xludf.DUMMYFUNCTION("GOOGLETRANSLATE(B20, ""en"", ""ur"")"),"پلیئر آر گلی سے ٹکراتا ہے، اور یہ اسکورنگ ایریا کی عین باؤنڈری لائن پر اترتا ہے۔ یہ کس طرح اسکور کیا جاتا ہے؟")</f>
        <v>پلیئر آر گلی سے ٹکراتا ہے، اور یہ اسکورنگ ایریا کی عین باؤنڈری لائن پر اترتا ہے۔ یہ کس طرح اسکور کیا جاتا ہے؟</v>
      </c>
      <c r="L20" s="6" t="str">
        <f>IFERROR(__xludf.DUMMYFUNCTION("GOOGLETRANSLATE(C20, ""en"", ""ur"")"),"A) اسے ""ان"" سمجھا جاتا ہے اور اس باؤنڈری کے لیے زیادہ سے زیادہ پوائنٹس بنائے جاتے ہیں، B) اسے ""آؤٹ"" سمجھا جاتا ہے، اور کھلاڑی کی باری ختم ہو جاتی ہے، C) پوائنٹس آدھے ہو جاتے ہیں، D) کھلاڑی کی باری دوبارہ چلائی جاتی ہے۔")</f>
        <v>A) اسے "ان" سمجھا جاتا ہے اور اس باؤنڈری کے لیے زیادہ سے زیادہ پوائنٹس بنائے جاتے ہیں، B) اسے "آؤٹ" سمجھا جاتا ہے، اور کھلاڑی کی باری ختم ہو جاتی ہے، C) پوائنٹس آدھے ہو جاتے ہیں، D) کھلاڑی کی باری دوبارہ چلائی جاتی ہے۔</v>
      </c>
      <c r="M20" s="6" t="str">
        <f>IFERROR(__xludf.DUMMYFUNCTION("GOOGLETRANSLATE(D20, ""en"", ""ur"")"),"A) اسے ""ان"" سمجھا جاتا ہے اور اس باؤنڈری کے لیے زیادہ سے زیادہ پوائنٹس بنائے جاتے ہیں۔")</f>
        <v>A) اسے "ان" سمجھا جاتا ہے اور اس باؤنڈری کے لیے زیادہ سے زیادہ پوائنٹس بنائے جاتے ہیں۔</v>
      </c>
      <c r="N20" s="6" t="str">
        <f>IFERROR(__xludf.DUMMYFUNCTION("GOOGLETRANSLATE(E20, ""en"", ""ur"")"),"گلی ڈنڈا میں، جیسا کہ بہت سے کھیلوں میں، باؤنڈری لائن کو چھونے والی چیز کا کوئی بھی حصہ عام طور پر درست اسکورنگ ایریا میں سمجھا جاتا ہے۔")</f>
        <v>گلی ڈنڈا میں، جیسا کہ بہت سے کھیلوں میں، باؤنڈری لائن کو چھونے والی چیز کا کوئی بھی حصہ عام طور پر درست اسکورنگ ایریا میں سمجھا جاتا ہے۔</v>
      </c>
    </row>
    <row r="21">
      <c r="A21" s="4">
        <v>20.0</v>
      </c>
      <c r="B21" s="5" t="s">
        <v>2183</v>
      </c>
      <c r="C21" s="5" t="s">
        <v>2184</v>
      </c>
      <c r="D21" s="5" t="s">
        <v>2185</v>
      </c>
      <c r="E21" s="5" t="s">
        <v>2186</v>
      </c>
      <c r="J21" s="6" t="str">
        <f>IFERROR(__xludf.DUMMYFUNCTION("GOOGLETRANSLATE(A21, ""en"", ""ur"")"),"20")</f>
        <v>20</v>
      </c>
      <c r="K21" s="6" t="str">
        <f>IFERROR(__xludf.DUMMYFUNCTION("GOOGLETRANSLATE(B21, ""en"", ""ur"")"),"کھلاڑی ایس ایک میچ میں کھیل رہا ہے اور گلی کو انڈر ہینڈ اسٹرائیک سے مارتا ہے۔ مخالف ٹیم کا کہنا ہے کہ یہ حقیقی ہٹ نہیں ہے۔ امپائر کا کیا حکم ہے؟")</f>
        <v>کھلاڑی ایس ایک میچ میں کھیل رہا ہے اور گلی کو انڈر ہینڈ اسٹرائیک سے مارتا ہے۔ مخالف ٹیم کا کہنا ہے کہ یہ حقیقی ہٹ نہیں ہے۔ امپائر کا کیا حکم ہے؟</v>
      </c>
      <c r="L21" s="6" t="str">
        <f>IFERROR(__xludf.DUMMYFUNCTION("GOOGLETRANSLATE(C21, ""en"", ""ur"")"),"A) انڈر ہینڈ اسٹرائیک ایک قانونی تکنیک ہے، B) کھلاڑی غلط اسٹرائیک کے لیے اپنی باری کھو دیتا ہے، C) کھلاڑی کو وارننگ دی جاتی ہے لیکن اسے جاری رکھنے کی اجازت ہوتی ہے، D) کھلاڑی کو دھوکہ دہی پر نااہل قرار دیا جاتا ہے۔")</f>
        <v>A) انڈر ہینڈ اسٹرائیک ایک قانونی تکنیک ہے، B) کھلاڑی غلط اسٹرائیک کے لیے اپنی باری کھو دیتا ہے، C) کھلاڑی کو وارننگ دی جاتی ہے لیکن اسے جاری رکھنے کی اجازت ہوتی ہے، D) کھلاڑی کو دھوکہ دہی پر نااہل قرار دیا جاتا ہے۔</v>
      </c>
      <c r="M21" s="6" t="str">
        <f>IFERROR(__xludf.DUMMYFUNCTION("GOOGLETRANSLATE(D21, ""en"", ""ur"")"),"A) انڈر ہینڈ ہڑتال ایک قانونی تکنیک ہے۔")</f>
        <v>A) انڈر ہینڈ ہڑتال ایک قانونی تکنیک ہے۔</v>
      </c>
      <c r="N21" s="6" t="str">
        <f>IFERROR(__xludf.DUMMYFUNCTION("GOOGLETRANSLATE(E21, ""en"", ""ur"")"),"گلی ڈنڈا میں، انڈر ہینڈ اسٹرائیک کے خلاف کوئی قاعدہ نہیں ہے، بشرطیکہ گلی کو کھیل کے بنیادی میکانکس کے مطابق ٹھیک طرح سے فلک کیا گیا ہو اور مارا گیا ہو۔")</f>
        <v>گلی ڈنڈا میں، انڈر ہینڈ اسٹرائیک کے خلاف کوئی قاعدہ نہیں ہے، بشرطیکہ گلی کو کھیل کے بنیادی میکانکس کے مطابق ٹھیک طرح سے فلک کیا گیا ہو اور مارا گیا ہو۔</v>
      </c>
    </row>
    <row r="22">
      <c r="A22" s="4">
        <v>21.0</v>
      </c>
      <c r="B22" s="5" t="s">
        <v>2187</v>
      </c>
      <c r="C22" s="5" t="s">
        <v>2188</v>
      </c>
      <c r="D22" s="5" t="s">
        <v>2189</v>
      </c>
      <c r="E22" s="5" t="s">
        <v>2190</v>
      </c>
      <c r="J22" s="6" t="str">
        <f>IFERROR(__xludf.DUMMYFUNCTION("GOOGLETRANSLATE(A22, ""en"", ""ur"")"),"21")</f>
        <v>21</v>
      </c>
      <c r="K22" s="6" t="str">
        <f>IFERROR(__xludf.DUMMYFUNCTION("GOOGLETRANSLATE(B22, ""en"", ""ur"")"),"میچ میں ایک کھلاڑی اپنی گلی میں پہلے سے نشان زد ""پینلٹی زون"" کے اندر میدان میں ہے۔ ممکنہ نتیجہ کیا ہے؟")</f>
        <v>میچ میں ایک کھلاڑی اپنی گلی میں پہلے سے نشان زد "پینلٹی زون" کے اندر میدان میں ہے۔ ممکنہ نتیجہ کیا ہے؟</v>
      </c>
      <c r="L22" s="6" t="str">
        <f>IFERROR(__xludf.DUMMYFUNCTION("GOOGLETRANSLATE(C22, ""en"", ""ur"")"),"A) کھلاڑی اپنے سکور سے پوائنٹس کھو دیتا ہے، B) کھلاڑی کی باری ضائع ہو جاتی ہے، C) کھلاڑی کو ایک اور ہڑتال کی اجازت ہوتی ہے، D) کھلاڑی نے پوائنٹس کو کم کیا")</f>
        <v>A) کھلاڑی اپنے سکور سے پوائنٹس کھو دیتا ہے، B) کھلاڑی کی باری ضائع ہو جاتی ہے، C) کھلاڑی کو ایک اور ہڑتال کی اجازت ہوتی ہے، D) کھلاڑی نے پوائنٹس کو کم کیا</v>
      </c>
      <c r="M22" s="6" t="str">
        <f>IFERROR(__xludf.DUMMYFUNCTION("GOOGLETRANSLATE(D22, ""en"", ""ur"")"),"ب) کھلاڑی کی باری ضبط کر لی گئی ہے۔")</f>
        <v>ب) کھلاڑی کی باری ضبط کر لی گئی ہے۔</v>
      </c>
      <c r="N22" s="6" t="str">
        <f>IFERROR(__xludf.DUMMYFUNCTION("GOOGLETRANSLATE(E22, ""en"", ""ur"")"),"گلی ڈنڈا کے کچھ تغیرات میں، مخصوص زون کو نشان زد کیا جا سکتا ہے جہاں گلی کو اترنے کے نتیجے میں اسٹرائیکر کی باری ضائع ہو جاتی ہے۔")</f>
        <v>گلی ڈنڈا کے کچھ تغیرات میں، مخصوص زون کو نشان زد کیا جا سکتا ہے جہاں گلی کو اترنے کے نتیجے میں اسٹرائیکر کی باری ضائع ہو جاتی ہے۔</v>
      </c>
    </row>
    <row r="23">
      <c r="A23" s="4">
        <v>22.0</v>
      </c>
      <c r="B23" s="5" t="s">
        <v>2191</v>
      </c>
      <c r="C23" s="5" t="s">
        <v>2192</v>
      </c>
      <c r="D23" s="5" t="s">
        <v>2193</v>
      </c>
      <c r="E23" s="5" t="s">
        <v>2194</v>
      </c>
      <c r="J23" s="6" t="str">
        <f>IFERROR(__xludf.DUMMYFUNCTION("GOOGLETRANSLATE(A23, ""en"", ""ur"")"),"22")</f>
        <v>22</v>
      </c>
      <c r="K23" s="6" t="str">
        <f>IFERROR(__xludf.DUMMYFUNCTION("GOOGLETRANSLATE(B23, ""en"", ""ur"")"),"گلی کو مارا جاتا ہے اور درست طریقے سے اترتا ہے، لیکن پھر ایک کھڑی کار کے نیچے لڑھک جاتا ہے۔ فیلڈرز اسے واپس پھینکنے کے لیے دوبارہ حاصل نہیں کر سکتے۔ اس کا کیا حکم ہے؟")</f>
        <v>گلی کو مارا جاتا ہے اور درست طریقے سے اترتا ہے، لیکن پھر ایک کھڑی کار کے نیچے لڑھک جاتا ہے۔ فیلڈرز اسے واپس پھینکنے کے لیے دوبارہ حاصل نہیں کر سکتے۔ اس کا کیا حکم ہے؟</v>
      </c>
      <c r="L23" s="6" t="str">
        <f>IFERROR(__xludf.DUMMYFUNCTION("GOOGLETRANSLATE(C23, ""en"", ""ur"")"),"A) اسٹرائیکر آؤٹ ہے، B) مداخلت کی وجہ سے باری دوبارہ چلائی جاتی ہے، C) اسکور کو اس مقام پر ماپا جاتا ہے جہاں گلی گاڑی کے نیچے گئی تھی، D) اسٹرائیکر کو بونس پوائنٹ ملتا ہے۔")</f>
        <v>A) اسٹرائیکر آؤٹ ہے، B) مداخلت کی وجہ سے باری دوبارہ چلائی جاتی ہے، C) اسکور کو اس مقام پر ماپا جاتا ہے جہاں گلی گاڑی کے نیچے گئی تھی، D) اسٹرائیکر کو بونس پوائنٹ ملتا ہے۔</v>
      </c>
      <c r="M23" s="6" t="str">
        <f>IFERROR(__xludf.DUMMYFUNCTION("GOOGLETRANSLATE(D23, ""en"", ""ur"")"),"C) اسکور کو اس مقام تک ناپا جاتا ہے جہاں گلی گاڑی کے نیچے چلی گئی تھی۔")</f>
        <v>C) اسکور کو اس مقام تک ناپا جاتا ہے جہاں گلی گاڑی کے نیچے چلی گئی تھی۔</v>
      </c>
      <c r="N23" s="6" t="str">
        <f>IFERROR(__xludf.DUMMYFUNCTION("GOOGLETRANSLATE(E23, ""en"", ""ur"")"),"اگر گیلی ایک درست ہٹ کے بعد کسی رکاوٹ میں داخل ہو جاتا ہے، تو اسکور کو عام طور پر اس مقام پر ماپا جاتا ہے جہاں یہ ناقابل پلے بن جاتا ہے۔")</f>
        <v>اگر گیلی ایک درست ہٹ کے بعد کسی رکاوٹ میں داخل ہو جاتا ہے، تو اسکور کو عام طور پر اس مقام پر ماپا جاتا ہے جہاں یہ ناقابل پلے بن جاتا ہے۔</v>
      </c>
    </row>
    <row r="24">
      <c r="A24" s="4">
        <v>23.0</v>
      </c>
      <c r="B24" s="5" t="s">
        <v>2195</v>
      </c>
      <c r="C24" s="5" t="s">
        <v>2196</v>
      </c>
      <c r="D24" s="5" t="s">
        <v>2197</v>
      </c>
      <c r="E24" s="5" t="s">
        <v>2198</v>
      </c>
      <c r="J24" s="6" t="str">
        <f>IFERROR(__xludf.DUMMYFUNCTION("GOOGLETRANSLATE(A24, ""en"", ""ur"")"),"23")</f>
        <v>23</v>
      </c>
      <c r="K24" s="6" t="str">
        <f>IFERROR(__xludf.DUMMYFUNCTION("GOOGLETRANSLATE(B24, ""en"", ""ur"")"),"پلیئر جی گلی کو اتنی طاقت سے مارتا ہے کہ وہ کسی عمارت پر نظروں سے اوجھل ہو جاتا ہے۔ امپائر اسے ڈھونڈنے سے قاصر ہے۔ سب سے زیادہ امکانی حکم کیا ہے؟")</f>
        <v>پلیئر جی گلی کو اتنی طاقت سے مارتا ہے کہ وہ کسی عمارت پر نظروں سے اوجھل ہو جاتا ہے۔ امپائر اسے ڈھونڈنے سے قاصر ہے۔ سب سے زیادہ امکانی حکم کیا ہے؟</v>
      </c>
      <c r="L24" s="6" t="str">
        <f>IFERROR(__xludf.DUMMYFUNCTION("GOOGLETRANSLATE(C24, ""en"", ""ur"")"),"A) اسٹرائیکر کو ایک غیر معمولی ہٹ کے لیے زیادہ سے زیادہ ممکنہ پوائنٹس سے نوازا جاتا ہے، B) گلی کھو جانے کی وجہ سے اسٹرائیک غلط ہے، C) کھلاڑی کو نئی گلی کے ساتھ ایک اور باری کی اجازت دی جاتی ہے، D) فاصلے کا تخمینہ فیلڈرز لگاتے ہیں۔")</f>
        <v>A) اسٹرائیکر کو ایک غیر معمولی ہٹ کے لیے زیادہ سے زیادہ ممکنہ پوائنٹس سے نوازا جاتا ہے، B) گلی کھو جانے کی وجہ سے اسٹرائیک غلط ہے، C) کھلاڑی کو نئی گلی کے ساتھ ایک اور باری کی اجازت دی جاتی ہے، D) فاصلے کا تخمینہ فیلڈرز لگاتے ہیں۔</v>
      </c>
      <c r="M24" s="6" t="str">
        <f>IFERROR(__xludf.DUMMYFUNCTION("GOOGLETRANSLATE(D24, ""en"", ""ur"")"),"A) اسٹرائیکر کو غیر معمولی ہٹ کے لیے زیادہ سے زیادہ ممکنہ پوائنٹس سے نوازا جاتا ہے۔")</f>
        <v>A) اسٹرائیکر کو غیر معمولی ہٹ کے لیے زیادہ سے زیادہ ممکنہ پوائنٹس سے نوازا جاتا ہے۔</v>
      </c>
      <c r="N24" s="6" t="str">
        <f>IFERROR(__xludf.DUMMYFUNCTION("GOOGLETRANSLATE(E24, ""en"", ""ur"")"),"ایک ہٹ جو اتنی طاقتور ہوتی ہے کہ گلی کھو جاتی ہے اسے اکثر زیادہ سے زیادہ سکور یا اس موڑ کے لیے خودکار جیت سے نوازا جاتا ہے۔")</f>
        <v>ایک ہٹ جو اتنی طاقتور ہوتی ہے کہ گلی کھو جاتی ہے اسے اکثر زیادہ سے زیادہ سکور یا اس موڑ کے لیے خودکار جیت سے نوازا جاتا ہے۔</v>
      </c>
    </row>
    <row r="25">
      <c r="A25" s="4">
        <v>24.0</v>
      </c>
      <c r="B25" s="5" t="s">
        <v>2199</v>
      </c>
      <c r="C25" s="5" t="s">
        <v>2200</v>
      </c>
      <c r="D25" s="5" t="s">
        <v>2201</v>
      </c>
      <c r="E25" s="5" t="s">
        <v>2202</v>
      </c>
      <c r="J25" s="6" t="str">
        <f>IFERROR(__xludf.DUMMYFUNCTION("GOOGLETRANSLATE(A25, ""en"", ""ur"")"),"24")</f>
        <v>24</v>
      </c>
      <c r="K25" s="6" t="str">
        <f>IFERROR(__xludf.DUMMYFUNCTION("GOOGLETRANSLATE(B25, ""en"", ""ur"")"),"کھیل کے دوران، ایک کھلاڑی گلی کو مارتا ہے، لیکن ڈنڈا اس کے ہاتھ سے پھسل جاتا ہے۔ ہٹ اچھی ہے۔ آگے کیا ہوتا ہے؟")</f>
        <v>کھیل کے دوران، ایک کھلاڑی گلی کو مارتا ہے، لیکن ڈنڈا اس کے ہاتھ سے پھسل جاتا ہے۔ ہٹ اچھی ہے۔ آگے کیا ہوتا ہے؟</v>
      </c>
      <c r="L25" s="6" t="str">
        <f>IFERROR(__xludf.DUMMYFUNCTION("GOOGLETRANSLATE(C25, ""en"", ""ur"")"),"A) سٹرائیک درست ہے، لیکن کھلاڑی 'وکٹ' کا دفاع نہیں کر سکتا، B) باری ضائع ہو جاتی ہے کیونکہ وہ کنٹرول کھو بیٹھا تھا، C) کھلاڑی کو ڈنڈا دوبارہ حاصل کرنے اور جاری رکھنے کی اجازت ہے، D) مخالف ٹیم پوائنٹس حاصل کر لیتی ہے۔")</f>
        <v>A) سٹرائیک درست ہے، لیکن کھلاڑی 'وکٹ' کا دفاع نہیں کر سکتا، B) باری ضائع ہو جاتی ہے کیونکہ وہ کنٹرول کھو بیٹھا تھا، C) کھلاڑی کو ڈنڈا دوبارہ حاصل کرنے اور جاری رکھنے کی اجازت ہے، D) مخالف ٹیم پوائنٹس حاصل کر لیتی ہے۔</v>
      </c>
      <c r="M25" s="6" t="str">
        <f>IFERROR(__xludf.DUMMYFUNCTION("GOOGLETRANSLATE(D25, ""en"", ""ur"")"),"A) ہڑتال درست ہے، لیکن کھلاڑی 'وکٹ' کا دفاع نہیں کر سکتا")</f>
        <v>A) ہڑتال درست ہے، لیکن کھلاڑی 'وکٹ' کا دفاع نہیں کر سکتا</v>
      </c>
      <c r="N25" s="6" t="str">
        <f>IFERROR(__xludf.DUMMYFUNCTION("GOOGLETRANSLATE(E25, ""en"", ""ur"")"),"ڈنڈا گرانے سے سٹرائیک باطل نہیں ہوتی، لیکن یہ فیلڈر کے تھرو کے خلاف شروع ہونے والے سوراخ کو غیر محفوظ چھوڑ دیتا ہے۔")</f>
        <v>ڈنڈا گرانے سے سٹرائیک باطل نہیں ہوتی، لیکن یہ فیلڈر کے تھرو کے خلاف شروع ہونے والے سوراخ کو غیر محفوظ چھوڑ دیتا ہے۔</v>
      </c>
    </row>
    <row r="26">
      <c r="A26" s="4">
        <v>25.0</v>
      </c>
      <c r="B26" s="5" t="s">
        <v>2203</v>
      </c>
      <c r="C26" s="5" t="s">
        <v>2204</v>
      </c>
      <c r="D26" s="5" t="s">
        <v>2205</v>
      </c>
      <c r="E26" s="5" t="s">
        <v>2206</v>
      </c>
      <c r="J26" s="6" t="str">
        <f>IFERROR(__xludf.DUMMYFUNCTION("GOOGLETRANSLATE(A26, ""en"", ""ur"")"),"25")</f>
        <v>25</v>
      </c>
      <c r="K26" s="6" t="str">
        <f>IFERROR(__xludf.DUMMYFUNCTION("GOOGLETRANSLATE(B26, ""en"", ""ur"")"),"ایک اونچے داؤ والے میچ میں، ایک کھلاڑی گلی کو اتنی طاقت سے مارتا ہے کہ گلی مٹی کے ٹکڑوں میں بکھر جاتی ہے۔ نتیجہ کیا ہے؟")</f>
        <v>ایک اونچے داؤ والے میچ میں، ایک کھلاڑی گلی کو اتنی طاقت سے مارتا ہے کہ گلی مٹی کے ٹکڑوں میں بکھر جاتی ہے۔ نتیجہ کیا ہے؟</v>
      </c>
      <c r="L26" s="6" t="str">
        <f>IFERROR(__xludf.DUMMYFUNCTION("GOOGLETRANSLATE(C26, ""en"", ""ur"")"),"A) پوائنٹس زیادہ سے زیادہ فاصلے کے لئے دیئے جاتے ہیں، B) ہڑتال غلط ہے، اور باری دوبارہ چلائی جاتی ہے، C) آدھا سکور دیا جاتا ہے، D) ایک نیا گلی لایا جاتا ہے")</f>
        <v>A) پوائنٹس زیادہ سے زیادہ فاصلے کے لئے دیئے جاتے ہیں، B) ہڑتال غلط ہے، اور باری دوبارہ چلائی جاتی ہے، C) آدھا سکور دیا جاتا ہے، D) ایک نیا گلی لایا جاتا ہے</v>
      </c>
      <c r="M26" s="6" t="str">
        <f>IFERROR(__xludf.DUMMYFUNCTION("GOOGLETRANSLATE(D26, ""en"", ""ur"")"),"ب) ہڑتال غلط ہے، اور باری دوبارہ چلائی جاتی ہے۔")</f>
        <v>ب) ہڑتال غلط ہے، اور باری دوبارہ چلائی جاتی ہے۔</v>
      </c>
      <c r="N26" s="6" t="str">
        <f>IFERROR(__xludf.DUMMYFUNCTION("GOOGLETRANSLATE(E26, ""en"", ""ur"")"),"اگر کھیل کے عمل میں سامان تباہ ہو جاتا ہے، جس سے اسکور کا تعین کرنا ناممکن ہو جاتا ہے، تو موڑ کو باطل سمجھا جاتا ہے اور اسے دوبارہ چلایا جانا چاہیے۔")</f>
        <v>اگر کھیل کے عمل میں سامان تباہ ہو جاتا ہے، جس سے اسکور کا تعین کرنا ناممکن ہو جاتا ہے، تو موڑ کو باطل سمجھا جاتا ہے اور اسے دوبارہ چلایا جانا چاہیے۔</v>
      </c>
    </row>
    <row r="27">
      <c r="A27" s="4">
        <v>26.0</v>
      </c>
      <c r="B27" s="5" t="s">
        <v>2207</v>
      </c>
      <c r="C27" s="5" t="s">
        <v>2208</v>
      </c>
      <c r="D27" s="5" t="s">
        <v>2209</v>
      </c>
      <c r="E27" s="5" t="s">
        <v>2210</v>
      </c>
      <c r="J27" s="6" t="str">
        <f>IFERROR(__xludf.DUMMYFUNCTION("GOOGLETRANSLATE(A27, ""en"", ""ur"")"),"26")</f>
        <v>26</v>
      </c>
      <c r="K27" s="6" t="str">
        <f>IFERROR(__xludf.DUMMYFUNCTION("GOOGLETRANSLATE(B27, ""en"", ""ur"")"),"ایک کھلاڑی کی ہڑتال گلی کو قریبی پویلین کی چھت پر بھیج دیتی ہے۔ امپائر اسے واپس نہیں لے سکتا۔ سب سے عام غیر رسمی حکم کیا ہے؟")</f>
        <v>ایک کھلاڑی کی ہڑتال گلی کو قریبی پویلین کی چھت پر بھیج دیتی ہے۔ امپائر اسے واپس نہیں لے سکتا۔ سب سے عام غیر رسمی حکم کیا ہے؟</v>
      </c>
      <c r="L27" s="6" t="str">
        <f>IFERROR(__xludf.DUMMYFUNCTION("GOOGLETRANSLATE(C27, ""en"", ""ur"")"),"A) زیادہ سے زیادہ پوائنٹس دیئے جاتے ہیں، B) ہڑتال غلط ہے، C) باری کو ایک نئی گلی کے ساتھ دوبارہ چلایا جاتا ہے، D) اسٹرائیکر کو گلی کھونے پر باہر سمجھا جاتا ہے۔")</f>
        <v>A) زیادہ سے زیادہ پوائنٹس دیئے جاتے ہیں، B) ہڑتال غلط ہے، C) باری کو ایک نئی گلی کے ساتھ دوبارہ چلایا جاتا ہے، D) اسٹرائیکر کو گلی کھونے پر باہر سمجھا جاتا ہے۔</v>
      </c>
      <c r="M27" s="6" t="str">
        <f>IFERROR(__xludf.DUMMYFUNCTION("GOOGLETRANSLATE(D27, ""en"", ""ur"")"),"D) گلی کو کھونے کے لیے اسٹرائیکر کو آؤٹ سمجھا جاتا ہے۔")</f>
        <v>D) گلی کو کھونے کے لیے اسٹرائیکر کو آؤٹ سمجھا جاتا ہے۔</v>
      </c>
      <c r="N27" s="6" t="str">
        <f>IFERROR(__xludf.DUMMYFUNCTION("GOOGLETRANSLATE(E27, ""en"", ""ur"")"),"ایک عام ""ہاؤس قاعدہ"" یہ ہے کہ اگر اسٹرائیکر گلی کو کسی ایسی جگہ پر مارتا ہے جہاں وہ کھو گیا ہو اور ناقابل واپسی ہو، تو بلے پر ان کی باری ختم ہو جاتی ہے۔")</f>
        <v>ایک عام "ہاؤس قاعدہ" یہ ہے کہ اگر اسٹرائیکر گلی کو کسی ایسی جگہ پر مارتا ہے جہاں وہ کھو گیا ہو اور ناقابل واپسی ہو، تو بلے پر ان کی باری ختم ہو جاتی ہے۔</v>
      </c>
    </row>
    <row r="28">
      <c r="A28" s="4">
        <v>27.0</v>
      </c>
      <c r="B28" s="5" t="s">
        <v>2211</v>
      </c>
      <c r="C28" s="5" t="s">
        <v>2212</v>
      </c>
      <c r="D28" s="5" t="s">
        <v>2213</v>
      </c>
      <c r="E28" s="5" t="s">
        <v>2214</v>
      </c>
      <c r="J28" s="6" t="str">
        <f>IFERROR(__xludf.DUMMYFUNCTION("GOOGLETRANSLATE(A28, ""en"", ""ur"")"),"27")</f>
        <v>27</v>
      </c>
      <c r="K28" s="6" t="str">
        <f>IFERROR(__xludf.DUMMYFUNCTION("GOOGLETRANSLATE(B28, ""en"", ""ur"")"),"میچ کے دوران، ایک کھلاڑی اتفاقاً ایک ہاتھ کے انداز کے بجائے ڈنڈا پر دو ہاتھ استعمال کرتا ہے۔ ہڑتال بہت طویل ہے۔ فیصلہ کیا ہے؟")</f>
        <v>میچ کے دوران، ایک کھلاڑی اتفاقاً ایک ہاتھ کے انداز کے بجائے ڈنڈا پر دو ہاتھ استعمال کرتا ہے۔ ہڑتال بہت طویل ہے۔ فیصلہ کیا ہے؟</v>
      </c>
      <c r="L28" s="6" t="str">
        <f>IFERROR(__xludf.DUMMYFUNCTION("GOOGLETRANSLATE(C28, ""en"", ""ur"")"),"A) ہڑتال درست ہے، B) غلط کی وجہ سے ہڑتال غلط ہے، C) آدھے پوائنٹس دیئے گئے ہیں، D) وارننگ جاری کی گئی ہے، لیکن سکور برقرار ہے")</f>
        <v>A) ہڑتال درست ہے، B) غلط کی وجہ سے ہڑتال غلط ہے، C) آدھے پوائنٹس دیئے گئے ہیں، D) وارننگ جاری کی گئی ہے، لیکن سکور برقرار ہے</v>
      </c>
      <c r="M28" s="6" t="str">
        <f>IFERROR(__xludf.DUMMYFUNCTION("GOOGLETRANSLATE(D28, ""en"", ""ur"")"),"ب) غلط فاؤل کی وجہ سے ہڑتال باطل ہے۔")</f>
        <v>ب) غلط فاؤل کی وجہ سے ہڑتال باطل ہے۔</v>
      </c>
      <c r="N28" s="6" t="str">
        <f>IFERROR(__xludf.DUMMYFUNCTION("GOOGLETRANSLATE(E28, ""en"", ""ur"")"),"اگر متفقہ قوانین میں ایک ہاتھ کی گرفت کی وضاحت کی گئی ہے، تو دو ہاتھ استعمال کرنا ایک غیر قانونی طریقہ کار ہو گا، اس طرح ہڑتال کو باطل کر دیا جائے گا۔")</f>
        <v>اگر متفقہ قوانین میں ایک ہاتھ کی گرفت کی وضاحت کی گئی ہے، تو دو ہاتھ استعمال کرنا ایک غیر قانونی طریقہ کار ہو گا، اس طرح ہڑتال کو باطل کر دیا جائے گا۔</v>
      </c>
    </row>
    <row r="29">
      <c r="A29" s="4">
        <v>28.0</v>
      </c>
      <c r="B29" s="5" t="s">
        <v>2215</v>
      </c>
      <c r="C29" s="5" t="s">
        <v>2216</v>
      </c>
      <c r="D29" s="5" t="s">
        <v>2217</v>
      </c>
      <c r="E29" s="5" t="s">
        <v>2218</v>
      </c>
      <c r="J29" s="6" t="str">
        <f>IFERROR(__xludf.DUMMYFUNCTION("GOOGLETRANSLATE(A29, ""en"", ""ur"")"),"28")</f>
        <v>28</v>
      </c>
      <c r="K29" s="6" t="str">
        <f>IFERROR(__xludf.DUMMYFUNCTION("GOOGLETRANSLATE(B29, ""en"", ""ur"")"),"پلیئر ایل گلی کو مارتا ہے، اور یہ ایک کھڑی ڈھلوان پر اترتا ہے اور بہت دور نیچے جاتا ہے۔ فاصلہ کیسے ماپا جاتا ہے؟")</f>
        <v>پلیئر ایل گلی کو مارتا ہے، اور یہ ایک کھڑی ڈھلوان پر اترتا ہے اور بہت دور نیچے جاتا ہے۔ فاصلہ کیسے ماپا جاتا ہے؟</v>
      </c>
      <c r="L29" s="6" t="str">
        <f>IFERROR(__xludf.DUMMYFUNCTION("GOOGLETRANSLATE(C29, ""en"", ""ur"")"),"A) جہاں سے یہ پہلی بار ڈھلوان پر اترا تھا، B) ڈھلوان کے نیچے اس کے آخری آرام کی جگہ سے، C) اس علاقے کے لیے زیادہ سے زیادہ پوائنٹس دیئے جاتے ہیں، D) ہٹ کو دوبارہ چلایا جاتا ہے۔")</f>
        <v>A) جہاں سے یہ پہلی بار ڈھلوان پر اترا تھا، B) ڈھلوان کے نیچے اس کے آخری آرام کی جگہ سے، C) اس علاقے کے لیے زیادہ سے زیادہ پوائنٹس دیئے جاتے ہیں، D) ہٹ کو دوبارہ چلایا جاتا ہے۔</v>
      </c>
      <c r="M29" s="6" t="str">
        <f>IFERROR(__xludf.DUMMYFUNCTION("GOOGLETRANSLATE(D29, ""en"", ""ur"")"),"ب) ڈھلوان کے نیچے اپنے آخری آرام کی جگہ سے")</f>
        <v>ب) ڈھلوان کے نیچے اپنے آخری آرام کی جگہ سے</v>
      </c>
      <c r="N29" s="6" t="str">
        <f>IFERROR(__xludf.DUMMYFUNCTION("GOOGLETRANSLATE(E29, ""en"", ""ur"")"),"گلی کی آخری آرام گاہ وہ ہے جو اسکور کا تعین کرتی ہے، یہاں تک کہ اگر کوئی ڈھلوان یا ہوا آخری فاصلے میں حصہ ڈالتی ہے۔")</f>
        <v>گلی کی آخری آرام گاہ وہ ہے جو اسکور کا تعین کرتی ہے، یہاں تک کہ اگر کوئی ڈھلوان یا ہوا آخری فاصلے میں حصہ ڈالتی ہے۔</v>
      </c>
    </row>
    <row r="30">
      <c r="A30" s="4">
        <v>29.0</v>
      </c>
      <c r="B30" s="5" t="s">
        <v>2219</v>
      </c>
      <c r="C30" s="5" t="s">
        <v>2220</v>
      </c>
      <c r="D30" s="5" t="s">
        <v>2221</v>
      </c>
      <c r="E30" s="5" t="s">
        <v>2222</v>
      </c>
      <c r="J30" s="6" t="str">
        <f>IFERROR(__xludf.DUMMYFUNCTION("GOOGLETRANSLATE(A30, ""en"", ""ur"")"),"29")</f>
        <v>29</v>
      </c>
      <c r="K30" s="6" t="str">
        <f>IFERROR(__xludf.DUMMYFUNCTION("GOOGLETRANSLATE(B30, ""en"", ""ur"")"),"ایک کھلاڑی گلی کو مارتا ہے، لیکن وہ نیچے اڑنے والے پرندے سے ٹکرا کر زمین پر گر جاتا ہے۔ اس واقعہ کو کس طرح سمجھا جاتا ہے؟")</f>
        <v>ایک کھلاڑی گلی کو مارتا ہے، لیکن وہ نیچے اڑنے والے پرندے سے ٹکرا کر زمین پر گر جاتا ہے۔ اس واقعہ کو کس طرح سمجھا جاتا ہے؟</v>
      </c>
      <c r="L30" s="6" t="str">
        <f>IFERROR(__xludf.DUMMYFUNCTION("GOOGLETRANSLATE(C30, ""en"", ""ur"")"),"A) ہٹ درست ہے، اور فاصلہ اس جگہ سے ماپا جاتا ہے جہاں وہ اترا تھا، B) ہٹ بیرونی مداخلت کی وجہ سے غلط ہے، اور باری دوبارہ چلائی جاتی ہے، C) کھلاڑی آؤٹ ہے، D) آدھا سکور دیا جاتا ہے۔")</f>
        <v>A) ہٹ درست ہے، اور فاصلہ اس جگہ سے ماپا جاتا ہے جہاں وہ اترا تھا، B) ہٹ بیرونی مداخلت کی وجہ سے غلط ہے، اور باری دوبارہ چلائی جاتی ہے، C) کھلاڑی آؤٹ ہے، D) آدھا سکور دیا جاتا ہے۔</v>
      </c>
      <c r="M30" s="6" t="str">
        <f>IFERROR(__xludf.DUMMYFUNCTION("GOOGLETRANSLATE(D30, ""en"", ""ur"")"),"ب) بیرونی مداخلت کی وجہ سے ہٹ غلط ہے، اور باری دوبارہ چلائی جاتی ہے۔")</f>
        <v>ب) بیرونی مداخلت کی وجہ سے ہٹ غلط ہے، اور باری دوبارہ چلائی جاتی ہے۔</v>
      </c>
      <c r="N30" s="6" t="str">
        <f>IFERROR(__xludf.DUMMYFUNCTION("GOOGLETRANSLATE(E30, ""en"", ""ur"")"),"کسی بیرونی ایجنٹ کی طرف سے کوئی غیر متوقع مداخلت (ایک جانور، ایک تماشائی، کوئی اور چیز) جو گلی کی پرواز کو متاثر کرتی ہے اس کے نتائج دوبارہ چلائے جاتے ہیں۔")</f>
        <v>کسی بیرونی ایجنٹ کی طرف سے کوئی غیر متوقع مداخلت (ایک جانور، ایک تماشائی، کوئی اور چیز) جو گلی کی پرواز کو متاثر کرتی ہے اس کے نتائج دوبارہ چلائے جاتے ہیں۔</v>
      </c>
    </row>
    <row r="31">
      <c r="A31" s="4">
        <v>30.0</v>
      </c>
      <c r="B31" s="5" t="s">
        <v>2223</v>
      </c>
      <c r="C31" s="5" t="s">
        <v>2224</v>
      </c>
      <c r="D31" s="5" t="s">
        <v>2225</v>
      </c>
      <c r="E31" s="5" t="s">
        <v>2226</v>
      </c>
      <c r="J31" s="6" t="str">
        <f>IFERROR(__xludf.DUMMYFUNCTION("GOOGLETRANSLATE(A31, ""en"", ""ur"")"),"30")</f>
        <v>30</v>
      </c>
      <c r="K31" s="6" t="str">
        <f>IFERROR(__xludf.DUMMYFUNCTION("GOOGLETRANSLATE(B31, ""en"", ""ur"")"),"ٹیم کے کھیل میں، ایک کھلاڑی بہت لمبا شاٹ مارتا ہے۔ ایک فیلڈر گلی کو بازیافت کرتا ہے اور اسے بیس کے قریب دوسرے ساتھی کو پھینک دیتا ہے۔ کیا یہ ریلے تھرو قانونی ہے؟")</f>
        <v>ٹیم کے کھیل میں، ایک کھلاڑی بہت لمبا شاٹ مارتا ہے۔ ایک فیلڈر گلی کو بازیافت کرتا ہے اور اسے بیس کے قریب دوسرے ساتھی کو پھینک دیتا ہے۔ کیا یہ ریلے تھرو قانونی ہے؟</v>
      </c>
      <c r="L31" s="6" t="str">
        <f>IFERROR(__xludf.DUMMYFUNCTION("GOOGLETRANSLATE(C31, ""en"", ""ur"")"),"A) نہیں، جس فیلڈر نے اسے دوبارہ حاصل کیا ہے اسے خود ہی پھینکنا ہوگا، B) جی ہاں، یہ ٹیم کی ایک معیاری اور موثر حکمت عملی ہے، C) صرف اس صورت میں جب کپتان ریلے کو منظور کرے، D) اسٹرائیکر خود بخود محفوظ رہتا ہے۔")</f>
        <v>A) نہیں، جس فیلڈر نے اسے دوبارہ حاصل کیا ہے اسے خود ہی پھینکنا ہوگا، B) جی ہاں، یہ ٹیم کی ایک معیاری اور موثر حکمت عملی ہے، C) صرف اس صورت میں جب کپتان ریلے کو منظور کرے، D) اسٹرائیکر خود بخود محفوظ رہتا ہے۔</v>
      </c>
      <c r="M31" s="6" t="str">
        <f>IFERROR(__xludf.DUMMYFUNCTION("GOOGLETRANSLATE(D31, ""en"", ""ur"")"),"ب) جی ہاں، یہ ایک معیاری اور موثر ٹیم کی حکمت عملی ہے۔")</f>
        <v>ب) جی ہاں، یہ ایک معیاری اور موثر ٹیم کی حکمت عملی ہے۔</v>
      </c>
      <c r="N31" s="6" t="str">
        <f>IFERROR(__xludf.DUMMYFUNCTION("GOOGLETRANSLATE(E31, ""en"", ""ur"")"),"ٹیم ورک، بشمول ""آؤٹ فیلڈ"" سے ریلے تھرو، اسٹرائیکر کو آؤٹ کرنے کے لیے فیلڈنگ سائیڈ کی حکمت عملی کا ایک اہم حصہ ہے۔")</f>
        <v>ٹیم ورک، بشمول "آؤٹ فیلڈ" سے ریلے تھرو، اسٹرائیکر کو آؤٹ کرنے کے لیے فیلڈنگ سائیڈ کی حکمت عملی کا ایک اہم حصہ ہے۔</v>
      </c>
    </row>
    <row r="32">
      <c r="A32" s="4">
        <v>31.0</v>
      </c>
      <c r="B32" s="5" t="s">
        <v>2227</v>
      </c>
      <c r="C32" s="5" t="s">
        <v>2228</v>
      </c>
      <c r="D32" s="5" t="s">
        <v>2229</v>
      </c>
      <c r="E32" s="5" t="s">
        <v>2230</v>
      </c>
      <c r="J32" s="6" t="str">
        <f>IFERROR(__xludf.DUMMYFUNCTION("GOOGLETRANSLATE(A32, ""en"", ""ur"")"),"31")</f>
        <v>31</v>
      </c>
      <c r="K32" s="6" t="str">
        <f>IFERROR(__xludf.DUMMYFUNCTION("GOOGLETRANSLATE(B32, ""en"", ""ur"")"),"ایک اسٹرائیکر گلی کو ہوا میں اڑنے کی کوشش کر رہا ہے لیکن غلطی سے اسے اپنے پاؤں سے چھو گیا۔ اس کا کیا حکم ہے؟")</f>
        <v>ایک اسٹرائیکر گلی کو ہوا میں اڑنے کی کوشش کر رہا ہے لیکن غلطی سے اسے اپنے پاؤں سے چھو گیا۔ اس کا کیا حکم ہے؟</v>
      </c>
      <c r="L32" s="6" t="str">
        <f>IFERROR(__xludf.DUMMYFUNCTION("GOOGLETRANSLATE(C32, ""en"", ""ur"")"),"A) باری فوری طور پر ضبط کر لی جاتی ہے، B) ہڑتال کی کوشش کو جاری رکھنے کی اجازت ہے، C) وارننگ جاری کی جاتی ہے، لیکن باری جاری رہتی ہے، D) مخالف ٹیم ایک پوائنٹ حاصل کر لیتی ہے۔")</f>
        <v>A) باری فوری طور پر ضبط کر لی جاتی ہے، B) ہڑتال کی کوشش کو جاری رکھنے کی اجازت ہے، C) وارننگ جاری کی جاتی ہے، لیکن باری جاری رہتی ہے، D) مخالف ٹیم ایک پوائنٹ حاصل کر لیتی ہے۔</v>
      </c>
      <c r="M32" s="6" t="str">
        <f>IFERROR(__xludf.DUMMYFUNCTION("GOOGLETRANSLATE(D32, ""en"", ""ur"")"),"A) باری فوری طور پر ضبط کر لی جاتی ہے۔")</f>
        <v>A) باری فوری طور پر ضبط کر لی جاتی ہے۔</v>
      </c>
      <c r="N32" s="6" t="str">
        <f>IFERROR(__xludf.DUMMYFUNCTION("GOOGLETRANSLATE(E32, ""en"", ""ur"")"),"گلی کو صرف ڈنڈا ہی چھوا جا سکتا ہے۔ اسے جسم کے کسی بھی حصے سے چھونا فاؤل ہے ​​جس سے اسٹرائیکر کی باری ختم ہوجاتی ہے۔")</f>
        <v>گلی کو صرف ڈنڈا ہی چھوا جا سکتا ہے۔ اسے جسم کے کسی بھی حصے سے چھونا فاؤل ہے ​​جس سے اسٹرائیکر کی باری ختم ہوجاتی ہے۔</v>
      </c>
    </row>
    <row r="33">
      <c r="A33" s="4">
        <v>32.0</v>
      </c>
      <c r="B33" s="5" t="s">
        <v>2231</v>
      </c>
      <c r="C33" s="5" t="s">
        <v>2232</v>
      </c>
      <c r="D33" s="5" t="s">
        <v>2233</v>
      </c>
      <c r="E33" s="5" t="s">
        <v>2234</v>
      </c>
      <c r="J33" s="6" t="str">
        <f>IFERROR(__xludf.DUMMYFUNCTION("GOOGLETRANSLATE(A33, ""en"", ""ur"")"),"32")</f>
        <v>32</v>
      </c>
      <c r="K33" s="6" t="str">
        <f>IFERROR(__xludf.DUMMYFUNCTION("GOOGLETRANSLATE(B33, ""en"", ""ur"")"),"یوتھ لیگ کے ایک میچ میں، گلی درخت سے ٹکرا گئی لیکن واپس اسکورنگ زون میں اچھال گئی۔ اس کا کیا حکم ہے؟")</f>
        <v>یوتھ لیگ کے ایک میچ میں، گلی درخت سے ٹکرا گئی لیکن واپس اسکورنگ زون میں اچھال گئی۔ اس کا کیا حکم ہے؟</v>
      </c>
      <c r="L33" s="6" t="str">
        <f>IFERROR(__xludf.DUMMYFUNCTION("GOOGLETRANSLATE(C33, ""en"", ""ur"")"),"A) ہڑتال درست ہے، اور فاصلہ اس کی آخری آرام گاہ سے ماپا جاتا ہے، B) درخت سے ٹکرانے کی وجہ سے ہڑتال باطل ہے، C) آدھا سکور دیا جاتا ہے، D) باری کو دوبارہ چلایا جانا چاہیے۔")</f>
        <v>A) ہڑتال درست ہے، اور فاصلہ اس کی آخری آرام گاہ سے ماپا جاتا ہے، B) درخت سے ٹکرانے کی وجہ سے ہڑتال باطل ہے، C) آدھا سکور دیا جاتا ہے، D) باری کو دوبارہ چلایا جانا چاہیے۔</v>
      </c>
      <c r="M33" s="6" t="str">
        <f>IFERROR(__xludf.DUMMYFUNCTION("GOOGLETRANSLATE(D33, ""en"", ""ur"")"),"A) ہڑتال درست ہے، اور فاصلہ اس کی آخری آرام گاہ سے ماپا جاتا ہے۔")</f>
        <v>A) ہڑتال درست ہے، اور فاصلہ اس کی آخری آرام گاہ سے ماپا جاتا ہے۔</v>
      </c>
      <c r="N33" s="6" t="str">
        <f>IFERROR(__xludf.DUMMYFUNCTION("GOOGLETRANSLATE(E33, ""en"", ""ur"")"),"زیادہ تر غیر رسمی اصولوں میں، جب تک گلی کسی درست علاقے میں اترتی ہے، ہٹ اچھی ہوتی ہے، چاہے اسے کسی رکاوٹ سے ہٹا دیا گیا ہو۔")</f>
        <v>زیادہ تر غیر رسمی اصولوں میں، جب تک گلی کسی درست علاقے میں اترتی ہے، ہٹ اچھی ہوتی ہے، چاہے اسے کسی رکاوٹ سے ہٹا دیا گیا ہو۔</v>
      </c>
    </row>
    <row r="34">
      <c r="A34" s="4">
        <v>33.0</v>
      </c>
      <c r="B34" s="5" t="s">
        <v>2235</v>
      </c>
      <c r="C34" s="5" t="s">
        <v>2236</v>
      </c>
      <c r="D34" s="5" t="s">
        <v>2237</v>
      </c>
      <c r="E34" s="5" t="s">
        <v>2238</v>
      </c>
      <c r="J34" s="6" t="str">
        <f>IFERROR(__xludf.DUMMYFUNCTION("GOOGLETRANSLATE(A34, ""en"", ""ur"")"),"33")</f>
        <v>33</v>
      </c>
      <c r="K34" s="6" t="str">
        <f>IFERROR(__xludf.DUMMYFUNCTION("GOOGLETRANSLATE(B34, ""en"", ""ur"")"),"ایک کھلاڑی گلی کو مارتا ہے، لیکن ڈنڈا مڈ سوئنگ کو توڑ دیتا ہے۔ گلی اب بھی ایک درست اسکورنگ فاصلہ طے کرتی ہے۔ فیصلہ کیا ہے؟")</f>
        <v>ایک کھلاڑی گلی کو مارتا ہے، لیکن ڈنڈا مڈ سوئنگ کو توڑ دیتا ہے۔ گلی اب بھی ایک درست اسکورنگ فاصلہ طے کرتی ہے۔ فیصلہ کیا ہے؟</v>
      </c>
      <c r="L34" s="6" t="str">
        <f>IFERROR(__xludf.DUMMYFUNCTION("GOOGLETRANSLATE(C34, ""en"", ""ur"")"),"اے")</f>
        <v>اے</v>
      </c>
      <c r="M34" s="6" t="str">
        <f>IFERROR(__xludf.DUMMYFUNCTION("GOOGLETRANSLATE(D34, ""en"", ""ur"")"),"A) سکور درست ہے، اور ڈنڈا کو اگلی باری کے لیے بدل دیا جاتا ہے۔")</f>
        <v>A) سکور درست ہے، اور ڈنڈا کو اگلی باری کے لیے بدل دیا جاتا ہے۔</v>
      </c>
      <c r="N34" s="6" t="str">
        <f>IFERROR(__xludf.DUMMYFUNCTION("GOOGLETRANSLATE(E34, ""en"", ""ur"")"),"جب تک ہڑتال بذات خود قانونی تھی اور گلی نے اسکورنگ کا فاصلہ طے کیا، ہٹ شمار ہوتے ہیں۔ ٹوٹے ہوئے سامان کو پھر تبدیل کیا جاتا ہے۔")</f>
        <v>جب تک ہڑتال بذات خود قانونی تھی اور گلی نے اسکورنگ کا فاصلہ طے کیا، ہٹ شمار ہوتے ہیں۔ ٹوٹے ہوئے سامان کو پھر تبدیل کیا جاتا ہے۔</v>
      </c>
    </row>
    <row r="35">
      <c r="A35" s="4">
        <v>34.0</v>
      </c>
      <c r="B35" s="5" t="s">
        <v>2239</v>
      </c>
      <c r="C35" s="5" t="s">
        <v>2240</v>
      </c>
      <c r="D35" s="5" t="s">
        <v>2241</v>
      </c>
      <c r="E35" s="5" t="s">
        <v>2242</v>
      </c>
      <c r="J35" s="6" t="str">
        <f>IFERROR(__xludf.DUMMYFUNCTION("GOOGLETRANSLATE(A35, ""en"", ""ur"")"),"34")</f>
        <v>34</v>
      </c>
      <c r="K35" s="6" t="str">
        <f>IFERROR(__xludf.DUMMYFUNCTION("GOOGLETRANSLATE(B35, ""en"", ""ur"")"),"ایک اسٹرائیکر گلی کو مارتا ہے، اور یہ درست طریقے سے اترتا ہے لیکن اسے فوری طور پر ایک کتے نے اٹھایا جو اس کے ساتھ بھاگتا ہے۔ اس کا کیا حکم ہے؟")</f>
        <v>ایک اسٹرائیکر گلی کو مارتا ہے، اور یہ درست طریقے سے اترتا ہے لیکن اسے فوری طور پر ایک کتے نے اٹھایا جو اس کے ساتھ بھاگتا ہے۔ اس کا کیا حکم ہے؟</v>
      </c>
      <c r="L35" s="6" t="str">
        <f>IFERROR(__xludf.DUMMYFUNCTION("GOOGLETRANSLATE(C35, ""en"", ""ur"")"),"A) ہڑتال غلط ہے، B) بیرونی مداخلت کی وجہ سے باری دوبارہ چلائی جاتی ہے، C) اصل لینڈنگ اسپاٹ کا تخمینہ اسکور کے لیے لگایا جاتا ہے، D) اسٹرائیکر آؤٹ")</f>
        <v>A) ہڑتال غلط ہے، B) بیرونی مداخلت کی وجہ سے باری دوبارہ چلائی جاتی ہے، C) اصل لینڈنگ اسپاٹ کا تخمینہ اسکور کے لیے لگایا جاتا ہے، D) اسٹرائیکر آؤٹ</v>
      </c>
      <c r="M35" s="6" t="str">
        <f>IFERROR(__xludf.DUMMYFUNCTION("GOOGLETRANSLATE(D35, ""en"", ""ur"")"),"ب) بیرونی مداخلت کی وجہ سے باری دوبارہ چلائی جاتی ہے۔")</f>
        <v>ب) بیرونی مداخلت کی وجہ سے باری دوبارہ چلائی جاتی ہے۔</v>
      </c>
      <c r="N35" s="6" t="str">
        <f>IFERROR(__xludf.DUMMYFUNCTION("GOOGLETRANSLATE(E35, ""en"", ""ur"")"),"کسی جانور کی مداخلت فیلڈنگ ٹیم کو اسٹرائیکر کو آؤٹ کرنے کی منصفانہ کوشش کرنے سے روکتی ہے، اس لیے ٹرن کو دوبارہ چلایا جانا چاہیے۔")</f>
        <v>کسی جانور کی مداخلت فیلڈنگ ٹیم کو اسٹرائیکر کو آؤٹ کرنے کی منصفانہ کوشش کرنے سے روکتی ہے، اس لیے ٹرن کو دوبارہ چلایا جانا چاہیے۔</v>
      </c>
    </row>
    <row r="36">
      <c r="A36" s="4">
        <v>35.0</v>
      </c>
      <c r="B36" s="5" t="s">
        <v>2243</v>
      </c>
      <c r="C36" s="5" t="s">
        <v>2244</v>
      </c>
      <c r="D36" s="5" t="s">
        <v>2245</v>
      </c>
      <c r="E36" s="5" t="s">
        <v>2246</v>
      </c>
      <c r="J36" s="6" t="str">
        <f>IFERROR(__xludf.DUMMYFUNCTION("GOOGLETRANSLATE(A36, ""en"", ""ur"")"),"35")</f>
        <v>35</v>
      </c>
      <c r="K36" s="6" t="str">
        <f>IFERROR(__xludf.DUMMYFUNCTION("GOOGLETRANSLATE(B36, ""en"", ""ur"")"),"ایک کھلاڑی اپنی ""بیک ہینڈڈ"" اسٹرائیک کے لیے جانا جاتا ہے، گلی کو آگے بھیجتا ہے لیکن غیر معمولی جھول کے ساتھ۔ مخالفین احتجاج کرتے ہیں۔ امکانی حکم کیا ہے؟")</f>
        <v>ایک کھلاڑی اپنی "بیک ہینڈڈ" اسٹرائیک کے لیے جانا جاتا ہے، گلی کو آگے بھیجتا ہے لیکن غیر معمولی جھول کے ساتھ۔ مخالفین احتجاج کرتے ہیں۔ امکانی حکم کیا ہے؟</v>
      </c>
      <c r="L36" s="6" t="str">
        <f>IFERROR(__xludf.DUMMYFUNCTION("GOOGLETRANSLATE(C36, ""en"", ""ur"")"),"A) ہڑتال اس وقت تک درست ہے جب تک یہ مؤثر ہے، B) غیر روایتی تکنیک کی وجہ سے ہڑتال غلط ہے، C) آدھے پوائنٹس دیئے جاتے ہیں، D) کھلاڑی کو خبردار کیا جانا چاہئے۔")</f>
        <v>A) ہڑتال اس وقت تک درست ہے جب تک یہ مؤثر ہے، B) غیر روایتی تکنیک کی وجہ سے ہڑتال غلط ہے، C) آدھے پوائنٹس دیئے جاتے ہیں، D) کھلاڑی کو خبردار کیا جانا چاہئے۔</v>
      </c>
      <c r="M36" s="6" t="str">
        <f>IFERROR(__xludf.DUMMYFUNCTION("GOOGLETRANSLATE(D36, ""en"", ""ur"")"),"ا) ہڑتال اس وقت تک درست ہے جب تک کہ یہ موثر ہو۔")</f>
        <v>ا) ہڑتال اس وقت تک درست ہے جب تک کہ یہ موثر ہو۔</v>
      </c>
      <c r="N36" s="6" t="str">
        <f>IFERROR(__xludf.DUMMYFUNCTION("GOOGLETRANSLATE(E36, ""en"", ""ur"")"),"گلی ڈنڈا کے جھولے کے انداز پر کوئی باقاعدہ اصول نہیں ہے۔ جب تک گلی کو ڈنڈے سے قانونی طور پر مارا جاتا ہے، تکنیک درست ہے۔")</f>
        <v>گلی ڈنڈا کے جھولے کے انداز پر کوئی باقاعدہ اصول نہیں ہے۔ جب تک گلی کو ڈنڈے سے قانونی طور پر مارا جاتا ہے، تکنیک درست ہے۔</v>
      </c>
    </row>
    <row r="37">
      <c r="A37" s="4">
        <v>36.0</v>
      </c>
      <c r="B37" s="5" t="s">
        <v>2247</v>
      </c>
      <c r="C37" s="5" t="s">
        <v>2248</v>
      </c>
      <c r="D37" s="5" t="s">
        <v>2249</v>
      </c>
      <c r="E37" s="5" t="s">
        <v>2250</v>
      </c>
      <c r="J37" s="6" t="str">
        <f>IFERROR(__xludf.DUMMYFUNCTION("GOOGLETRANSLATE(A37, ""en"", ""ur"")"),"36")</f>
        <v>36</v>
      </c>
      <c r="K37" s="6" t="str">
        <f>IFERROR(__xludf.DUMMYFUNCTION("GOOGLETRANSLATE(B37, ""en"", ""ur"")"),"ایک کھلاڑی کی ہڑتال گلی کو اترنے سے پہلے کارٹ وہیل حرکت میں بھیج دیتی ہے۔ نتیجہ کیا ہے؟")</f>
        <v>ایک کھلاڑی کی ہڑتال گلی کو اترنے سے پہلے کارٹ وہیل حرکت میں بھیج دیتی ہے۔ نتیجہ کیا ہے؟</v>
      </c>
      <c r="L37" s="6" t="str">
        <f>IFERROR(__xludf.DUMMYFUNCTION("GOOGLETRANSLATE(C37, ""en"", ""ur"")"),"A) اسٹرائیک درست ہے اور فیلڈرز کے لیے پکڑنا اکثر مشکل ہوتا ہے، B) اسٹرائیک غلط ہے کیونکہ گلی غیر مستحکم تھی، C) خراب ہٹ کے لیے آدھے پوائنٹس دیے جاتے ہیں، D) باری کو دوبارہ چلایا جانا چاہیے۔")</f>
        <v>A) اسٹرائیک درست ہے اور فیلڈرز کے لیے پکڑنا اکثر مشکل ہوتا ہے، B) اسٹرائیک غلط ہے کیونکہ گلی غیر مستحکم تھی، C) خراب ہٹ کے لیے آدھے پوائنٹس دیے جاتے ہیں، D) باری کو دوبارہ چلایا جانا چاہیے۔</v>
      </c>
      <c r="M37" s="6" t="str">
        <f>IFERROR(__xludf.DUMMYFUNCTION("GOOGLETRANSLATE(D37, ""en"", ""ur"")"),"A) ہڑتال درست ہے اور اکثر فیلڈرز کے لیے پکڑنا مشکل ہوتا ہے۔")</f>
        <v>A) ہڑتال درست ہے اور اکثر فیلڈرز کے لیے پکڑنا مشکل ہوتا ہے۔</v>
      </c>
      <c r="N37" s="6" t="str">
        <f>IFERROR(__xludf.DUMMYFUNCTION("GOOGLETRANSLATE(E37, ""en"", ""ur"")"),"اینڈ اوور اینڈ اسپن یا ""کارٹ وہیل"" ایک طاقتور ہٹ کا ایک عام نتیجہ ہے اور گلی کی پرواز کے راستے کو زیادہ غیر متوقع بنا دیتا ہے۔")</f>
        <v>اینڈ اوور اینڈ اسپن یا "کارٹ وہیل" ایک طاقتور ہٹ کا ایک عام نتیجہ ہے اور گلی کی پرواز کے راستے کو زیادہ غیر متوقع بنا دیتا ہے۔</v>
      </c>
    </row>
    <row r="38">
      <c r="A38" s="4">
        <v>37.0</v>
      </c>
      <c r="B38" s="5" t="s">
        <v>2251</v>
      </c>
      <c r="C38" s="5" t="s">
        <v>2252</v>
      </c>
      <c r="D38" s="5" t="s">
        <v>2253</v>
      </c>
      <c r="E38" s="5" t="s">
        <v>2254</v>
      </c>
      <c r="J38" s="6" t="str">
        <f>IFERROR(__xludf.DUMMYFUNCTION("GOOGLETRANSLATE(A38, ""en"", ""ur"")"),"37")</f>
        <v>37</v>
      </c>
      <c r="K38" s="6" t="str">
        <f>IFERROR(__xludf.DUMMYFUNCTION("GOOGLETRANSLATE(B38, ""en"", ""ur"")"),"ایک کھلاڑی گلی کو مارتے ہوئے غیر ارادی طور پر چیختا ہے، فیلڈرز کی توجہ ہٹاتا ہے۔ ایک فیلڈر کیچ چھوڑ رہا ہے۔ امپائر کیا کرتا ہے؟")</f>
        <v>ایک کھلاڑی گلی کو مارتے ہوئے غیر ارادی طور پر چیختا ہے، فیلڈرز کی توجہ ہٹاتا ہے۔ ایک فیلڈر کیچ چھوڑ رہا ہے۔ امپائر کیا کرتا ہے؟</v>
      </c>
      <c r="L38" s="6" t="str">
        <f>IFERROR(__xludf.DUMMYFUNCTION("GOOGLETRANSLATE(C38, ""en"", ""ur"")"),"A) خلفشار پیدا کرنے پر اسٹرائیکر کو آؤٹ کرنے پر اصول کرتا ہے، B) کیچ کو ڈراپ کرنے اور اسٹرائیک کے درست ہونے پر اصول کرتا ہے، C) ٹرن کو دوبارہ چلانے کا حکم دیتا ہے، D) اسٹرائیکر کو وارننگ جاری کرتا ہے لیکن اسکور کھڑا رہتا ہے۔")</f>
        <v>A) خلفشار پیدا کرنے پر اسٹرائیکر کو آؤٹ کرنے پر اصول کرتا ہے، B) کیچ کو ڈراپ کرنے اور اسٹرائیک کے درست ہونے پر اصول کرتا ہے، C) ٹرن کو دوبارہ چلانے کا حکم دیتا ہے، D) اسٹرائیکر کو وارننگ جاری کرتا ہے لیکن اسکور کھڑا رہتا ہے۔</v>
      </c>
      <c r="M38" s="6" t="str">
        <f>IFERROR(__xludf.DUMMYFUNCTION("GOOGLETRANSLATE(D38, ""en"", ""ur"")"),"ب) کیچ کو ڈراپ کے طور پر مقرر کرتا ہے اور ہڑتال درست ہے۔")</f>
        <v>ب) کیچ کو ڈراپ کے طور پر مقرر کرتا ہے اور ہڑتال درست ہے۔</v>
      </c>
      <c r="N38" s="6" t="str">
        <f>IFERROR(__xludf.DUMMYFUNCTION("GOOGLETRANSLATE(E38, ""en"", ""ur"")"),"غیر ارادی طور پر چیخنا بدکاری نہیں ہے۔ فیلڈر کھیل کے شور کے باوجود کیچ بنانے کا ذمہ دار ہے۔")</f>
        <v>غیر ارادی طور پر چیخنا بدکاری نہیں ہے۔ فیلڈر کھیل کے شور کے باوجود کیچ بنانے کا ذمہ دار ہے۔</v>
      </c>
    </row>
    <row r="39">
      <c r="A39" s="4">
        <v>38.0</v>
      </c>
      <c r="B39" s="5" t="s">
        <v>2255</v>
      </c>
      <c r="C39" s="5" t="s">
        <v>2256</v>
      </c>
      <c r="D39" s="5" t="s">
        <v>2257</v>
      </c>
      <c r="E39" s="5" t="s">
        <v>2258</v>
      </c>
      <c r="J39" s="6" t="str">
        <f>IFERROR(__xludf.DUMMYFUNCTION("GOOGLETRANSLATE(A39, ""en"", ""ur"")"),"38")</f>
        <v>38</v>
      </c>
      <c r="K39" s="6" t="str">
        <f>IFERROR(__xludf.DUMMYFUNCTION("GOOGLETRANSLATE(B39, ""en"", ""ur"")"),"ایک کھلاڑی کی گلی کو ٹکر لگتی ہے اور وہ جزوی طور پر گیلی کیچڑ میں ڈوب جاتا ہے لیکن اسکورنگ زون کے اندر۔ اس کی پیمائش کیسے کی جاتی ہے؟")</f>
        <v>ایک کھلاڑی کی گلی کو ٹکر لگتی ہے اور وہ جزوی طور پر گیلی کیچڑ میں ڈوب جاتا ہے لیکن اسکورنگ زون کے اندر۔ اس کی پیمائش کیسے کی جاتی ہے؟</v>
      </c>
      <c r="L39" s="6" t="str">
        <f>IFERROR(__xludf.DUMMYFUNCTION("GOOGLETRANSLATE(C39, ""en"", ""ur"")"),"A) گلی کے دکھائی دینے والے حصے تک، B) اس مقام تک جہاں گلی پہلی بار کیچڑ میں داخل ہوئی، C) ہڑتال کو غلط سمجھا جاتا ہے، D) باری دوبارہ چلائی جاتی ہے۔")</f>
        <v>A) گلی کے دکھائی دینے والے حصے تک، B) اس مقام تک جہاں گلی پہلی بار کیچڑ میں داخل ہوئی، C) ہڑتال کو غلط سمجھا جاتا ہے، D) باری دوبارہ چلائی جاتی ہے۔</v>
      </c>
      <c r="M39" s="6" t="str">
        <f>IFERROR(__xludf.DUMMYFUNCTION("GOOGLETRANSLATE(D39, ""en"", ""ur"")"),"ب) اس مقام تک جہاں گلی پہلے مٹی میں داخل ہوئی تھی۔")</f>
        <v>ب) اس مقام تک جہاں گلی پہلے مٹی میں داخل ہوئی تھی۔</v>
      </c>
      <c r="N39" s="6" t="str">
        <f>IFERROR(__xludf.DUMMYFUNCTION("GOOGLETRANSLATE(E39, ""en"", ""ur"")"),"انصاف کو یقینی بنانے کے لیے، پیمائش کو داخلے کے مقام تک لے جایا جاتا ہے، کیونکہ کیچڑ نے اس کی رفتار کو غیر منصفانہ طور پر روک دیا ہوتا۔")</f>
        <v>انصاف کو یقینی بنانے کے لیے، پیمائش کو داخلے کے مقام تک لے جایا جاتا ہے، کیونکہ کیچڑ نے اس کی رفتار کو غیر منصفانہ طور پر روک دیا ہوتا۔</v>
      </c>
    </row>
    <row r="40">
      <c r="A40" s="4">
        <v>39.0</v>
      </c>
      <c r="B40" s="5" t="s">
        <v>2259</v>
      </c>
      <c r="C40" s="5" t="s">
        <v>2260</v>
      </c>
      <c r="D40" s="5" t="s">
        <v>2261</v>
      </c>
      <c r="E40" s="5" t="s">
        <v>2262</v>
      </c>
      <c r="J40" s="6" t="str">
        <f>IFERROR(__xludf.DUMMYFUNCTION("GOOGLETRANSLATE(A40, ""en"", ""ur"")"),"39")</f>
        <v>39</v>
      </c>
      <c r="K40" s="6" t="str">
        <f>IFERROR(__xludf.DUMMYFUNCTION("GOOGLETRANSLATE(B40, ""en"", ""ur"")"),"ایک کھلاڑی گلی کو مارتا ہے، اور یہ آخر میں رکنے سے پہلے حلقوں میں گھومتا ہے۔ فیصلہ کیا ہے؟")</f>
        <v>ایک کھلاڑی گلی کو مارتا ہے، اور یہ آخر میں رکنے سے پہلے حلقوں میں گھومتا ہے۔ فیصلہ کیا ہے؟</v>
      </c>
      <c r="L40" s="6" t="str">
        <f>IFERROR(__xludf.DUMMYFUNCTION("GOOGLETRANSLATE(C40, ""en"", ""ur"")"),"A) ہٹ درست ہے، اور فاصلہ آخری آرام کی جگہ تک ناپا جاتا ہے، B) ہٹ عجیب و غریب رول کی وجہ سے غلط ہے، C) آدھا سکور دیا جاتا ہے، D) ٹرن کو دوبارہ چلایا جانا چاہیے۔")</f>
        <v>A) ہٹ درست ہے، اور فاصلہ آخری آرام کی جگہ تک ناپا جاتا ہے، B) ہٹ عجیب و غریب رول کی وجہ سے غلط ہے، C) آدھا سکور دیا جاتا ہے، D) ٹرن کو دوبارہ چلایا جانا چاہیے۔</v>
      </c>
      <c r="M40" s="6" t="str">
        <f>IFERROR(__xludf.DUMMYFUNCTION("GOOGLETRANSLATE(D40, ""en"", ""ur"")"),"A) ہٹ درست ہے، اور فاصلہ آخری آرام کی جگہ تک ناپا جاتا ہے۔")</f>
        <v>A) ہٹ درست ہے، اور فاصلہ آخری آرام کی جگہ تک ناپا جاتا ہے۔</v>
      </c>
      <c r="N40" s="6" t="str">
        <f>IFERROR(__xludf.DUMMYFUNCTION("GOOGLETRANSLATE(E40, ""en"", ""ur"")"),"گلی کی آخری آرام گاہ وہ ہے جو پیمائش کے لیے اہمیت رکھتی ہے، قطع نظر اس کے کہ وہ وہاں کیسے پہنچا۔")</f>
        <v>گلی کی آخری آرام گاہ وہ ہے جو پیمائش کے لیے اہمیت رکھتی ہے، قطع نظر اس کے کہ وہ وہاں کیسے پہنچا۔</v>
      </c>
    </row>
    <row r="41">
      <c r="A41" s="4">
        <v>40.0</v>
      </c>
      <c r="B41" s="5" t="s">
        <v>2263</v>
      </c>
      <c r="C41" s="5" t="s">
        <v>2264</v>
      </c>
      <c r="D41" s="5" t="s">
        <v>2265</v>
      </c>
      <c r="E41" s="5" t="s">
        <v>2266</v>
      </c>
      <c r="J41" s="6" t="str">
        <f>IFERROR(__xludf.DUMMYFUNCTION("GOOGLETRANSLATE(A41, ""en"", ""ur"")"),"40")</f>
        <v>40</v>
      </c>
      <c r="K41" s="6" t="str">
        <f>IFERROR(__xludf.DUMMYFUNCTION("GOOGLETRANSLATE(B41, ""en"", ""ur"")"),"ایک کھلاڑی گلی کو مارنے کی کوشش کرتا ہے، لیکن ان کی اپنی ٹیم کا دوسرا کھلاڑی غلطی سے راستے میں آ جاتا ہے۔ اس کا کیا حکم ہے؟")</f>
        <v>ایک کھلاڑی گلی کو مارنے کی کوشش کرتا ہے، لیکن ان کی اپنی ٹیم کا دوسرا کھلاڑی غلطی سے راستے میں آ جاتا ہے۔ اس کا کیا حکم ہے؟</v>
      </c>
      <c r="L41" s="6" t="str">
        <f>IFERROR(__xludf.DUMMYFUNCTION("GOOGLETRANSLATE(C41, ""en"", ""ur"")"),"A) اسٹرائیکر کی باری ضائع ہو جاتی ہے، B) باری دوبارہ چلائی جاتی ہے، C) ٹیم کے ساتھی کو جرمانہ کیا جاتا ہے، D) اسے مس سمجھا جاتا ہے، اور اسٹرائیکر ایک موقع کھو دیتا ہے۔")</f>
        <v>A) اسٹرائیکر کی باری ضائع ہو جاتی ہے، B) باری دوبارہ چلائی جاتی ہے، C) ٹیم کے ساتھی کو جرمانہ کیا جاتا ہے، D) اسے مس سمجھا جاتا ہے، اور اسٹرائیکر ایک موقع کھو دیتا ہے۔</v>
      </c>
      <c r="M41" s="6" t="str">
        <f>IFERROR(__xludf.DUMMYFUNCTION("GOOGLETRANSLATE(D41, ""en"", ""ur"")"),"D) اسے مس سمجھا جاتا ہے، اور اسٹرائیکر ایک موقع کھو دیتا ہے۔")</f>
        <v>D) اسے مس سمجھا جاتا ہے، اور اسٹرائیکر ایک موقع کھو دیتا ہے۔</v>
      </c>
      <c r="N41" s="6" t="str">
        <f>IFERROR(__xludf.DUMMYFUNCTION("GOOGLETRANSLATE(E41, ""en"", ""ur"")"),"کسی کے اپنے ساتھی کی مداخلت دوبارہ پلے کی بنیاد نہیں ہے۔ اسٹرائیکر ایک واضح مارنے والے علاقے کا ذمہ دار ہے۔")</f>
        <v>کسی کے اپنے ساتھی کی مداخلت دوبارہ پلے کی بنیاد نہیں ہے۔ اسٹرائیکر ایک واضح مارنے والے علاقے کا ذمہ دار ہے۔</v>
      </c>
    </row>
    <row r="42">
      <c r="A42" s="4">
        <v>41.0</v>
      </c>
      <c r="B42" s="5" t="s">
        <v>2267</v>
      </c>
      <c r="C42" s="5" t="s">
        <v>2268</v>
      </c>
      <c r="D42" s="5" t="s">
        <v>2269</v>
      </c>
      <c r="E42" s="5" t="s">
        <v>2270</v>
      </c>
      <c r="J42" s="6" t="str">
        <f>IFERROR(__xludf.DUMMYFUNCTION("GOOGLETRANSLATE(A42, ""en"", ""ur"")"),"41")</f>
        <v>41</v>
      </c>
      <c r="K42" s="6" t="str">
        <f>IFERROR(__xludf.DUMMYFUNCTION("GOOGLETRANSLATE(B42, ""en"", ""ur"")"),"ایک اسٹرائیکر گلی کو مارتا ہے، جو درست طریقے سے اترتا ہے لیکن پھر اسے روکنے کی کوشش کرنے والے فیلڈر کے ذریعہ اتفاقی طور پر لات مار دی جاتی ہے۔ کیا ہوتا ہے؟")</f>
        <v>ایک اسٹرائیکر گلی کو مارتا ہے، جو درست طریقے سے اترتا ہے لیکن پھر اسے روکنے کی کوشش کرنے والے فیلڈر کے ذریعہ اتفاقی طور پر لات مار دی جاتی ہے۔ کیا ہوتا ہے؟</v>
      </c>
      <c r="L42" s="6" t="str">
        <f>IFERROR(__xludf.DUMMYFUNCTION("GOOGLETRANSLATE(C42, ""en"", ""ur"")"),"A) اصل لینڈنگ اسپاٹ کو اسکور کے لیے ماپا جاتا ہے، B) کک کی وجہ سے اسٹرائیک غلط ہے، C) باری دوبارہ چلائی جاتی ہے، D) فیلڈر کو جرمانہ کیا جاتا ہے۔")</f>
        <v>A) اصل لینڈنگ اسپاٹ کو اسکور کے لیے ماپا جاتا ہے، B) کک کی وجہ سے اسٹرائیک غلط ہے، C) باری دوبارہ چلائی جاتی ہے، D) فیلڈر کو جرمانہ کیا جاتا ہے۔</v>
      </c>
      <c r="M42" s="6" t="str">
        <f>IFERROR(__xludf.DUMMYFUNCTION("GOOGLETRANSLATE(D42, ""en"", ""ur"")"),"A) اصل لینڈنگ اسپاٹ کو اسکور کے لیے ماپا جاتا ہے۔")</f>
        <v>A) اصل لینڈنگ اسپاٹ کو اسکور کے لیے ماپا جاتا ہے۔</v>
      </c>
      <c r="N42" s="6" t="str">
        <f>IFERROR(__xludf.DUMMYFUNCTION("GOOGLETRANSLATE(E42, ""en"", ""ur"")"),"فیلڈر کی حادثاتی کک اصل ہٹ کو باطل نہیں کرتی۔ اسکور کو وہاں سے ماپا جاتا ہے جہاں سے گلی پہلی بار اتری تھی۔")</f>
        <v>فیلڈر کی حادثاتی کک اصل ہٹ کو باطل نہیں کرتی۔ اسکور کو وہاں سے ماپا جاتا ہے جہاں سے گلی پہلی بار اتری تھی۔</v>
      </c>
    </row>
    <row r="43">
      <c r="A43" s="4">
        <v>42.0</v>
      </c>
      <c r="B43" s="5" t="s">
        <v>2271</v>
      </c>
      <c r="C43" s="5" t="s">
        <v>2272</v>
      </c>
      <c r="D43" s="5" t="s">
        <v>2273</v>
      </c>
      <c r="E43" s="5" t="s">
        <v>2274</v>
      </c>
      <c r="J43" s="6" t="str">
        <f>IFERROR(__xludf.DUMMYFUNCTION("GOOGLETRANSLATE(A43, ""en"", ""ur"")"),"42")</f>
        <v>42</v>
      </c>
      <c r="K43" s="6" t="str">
        <f>IFERROR(__xludf.DUMMYFUNCTION("GOOGLETRANSLATE(B43, ""en"", ""ur"")"),"ایک گلی کو قانونی طور پر مارا جاتا ہے لیکن اسے ایک باڑ میں بند کر دیا جاتا ہے۔ اس کا کیا حکم ہے؟")</f>
        <v>ایک گلی کو قانونی طور پر مارا جاتا ہے لیکن اسے ایک باڑ میں بند کر دیا جاتا ہے۔ اس کا کیا حکم ہے؟</v>
      </c>
      <c r="L43" s="6" t="str">
        <f>IFERROR(__xludf.DUMMYFUNCTION("GOOGLETRANSLATE(C43, ""en"", ""ur"")"),"A) ہڑتال غلط ہے، B) فاصلے کا اندازہ اس مقام تک لگایا جاتا ہے جہاں یہ باڑ سے ٹکرایا جاتا ہے، C) اس باؤنڈری کے لیے زیادہ سے زیادہ پوائنٹس دیئے جاتے ہیں، D) باری دوبارہ چلائی جاتی ہے۔")</f>
        <v>A) ہڑتال غلط ہے، B) فاصلے کا اندازہ اس مقام تک لگایا جاتا ہے جہاں یہ باڑ سے ٹکرایا جاتا ہے، C) اس باؤنڈری کے لیے زیادہ سے زیادہ پوائنٹس دیئے جاتے ہیں، D) باری دوبارہ چلائی جاتی ہے۔</v>
      </c>
      <c r="M43" s="6" t="str">
        <f>IFERROR(__xludf.DUMMYFUNCTION("GOOGLETRANSLATE(D43, ""en"", ""ur"")"),"ب) فاصلے کا اندازہ اس مقام تک لگایا جاتا ہے جہاں یہ باڑ سے ٹکرایا")</f>
        <v>ب) فاصلے کا اندازہ اس مقام تک لگایا جاتا ہے جہاں یہ باڑ سے ٹکرایا</v>
      </c>
      <c r="N43" s="6" t="str">
        <f>IFERROR(__xludf.DUMMYFUNCTION("GOOGLETRANSLATE(E43, ""en"", ""ur"")"),"اگر گلی میدان کے کنارے پر کسی رکاوٹ میں پھنس جائے تو اسکور کو اس مقام تک ناپا جاتا ہے۔")</f>
        <v>اگر گلی میدان کے کنارے پر کسی رکاوٹ میں پھنس جائے تو اسکور کو اس مقام تک ناپا جاتا ہے۔</v>
      </c>
    </row>
    <row r="44">
      <c r="A44" s="4">
        <v>43.0</v>
      </c>
      <c r="B44" s="5" t="s">
        <v>2275</v>
      </c>
      <c r="C44" s="5" t="s">
        <v>2276</v>
      </c>
      <c r="D44" s="5" t="s">
        <v>2277</v>
      </c>
      <c r="E44" s="5" t="s">
        <v>2278</v>
      </c>
      <c r="J44" s="6" t="str">
        <f>IFERROR(__xludf.DUMMYFUNCTION("GOOGLETRANSLATE(A44, ""en"", ""ur"")"),"43")</f>
        <v>43</v>
      </c>
      <c r="K44" s="6" t="str">
        <f>IFERROR(__xludf.DUMMYFUNCTION("GOOGLETRANSLATE(B44, ""en"", ""ur"")"),"ایک گلی اسکورنگ زون کے اندر اترتی ہے لیکن فوری طور پر نامزد پینلٹی زون میں اچھال دیتی ہے۔ کیا ہوتا ہے؟")</f>
        <v>ایک گلی اسکورنگ زون کے اندر اترتی ہے لیکن فوری طور پر نامزد پینلٹی زون میں اچھال دیتی ہے۔ کیا ہوتا ہے؟</v>
      </c>
      <c r="L44" s="6" t="str">
        <f>IFERROR(__xludf.DUMMYFUNCTION("GOOGLETRANSLATE(C44, ""en"", ""ur"")"),"A) مکمل سکور دیا جاتا ہے، B) اسٹرائیکر آؤٹ ہو جاتا ہے یا باری ضائع ہو جاتی ہے، C) آدھا سکور دیا جاتا ہے، D) باری دوبارہ چلائی جاتی ہے۔")</f>
        <v>A) مکمل سکور دیا جاتا ہے، B) اسٹرائیکر آؤٹ ہو جاتا ہے یا باری ضائع ہو جاتی ہے، C) آدھا سکور دیا جاتا ہے، D) باری دوبارہ چلائی جاتی ہے۔</v>
      </c>
      <c r="M44" s="6" t="str">
        <f>IFERROR(__xludf.DUMMYFUNCTION("GOOGLETRANSLATE(D44, ""en"", ""ur"")"),"ب) اسٹرائیکر آؤٹ ہے یا باری ضبط ہو گئی ہے۔")</f>
        <v>ب) اسٹرائیکر آؤٹ ہے یا باری ضبط ہو گئی ہے۔</v>
      </c>
      <c r="N44" s="6" t="str">
        <f>IFERROR(__xludf.DUMMYFUNCTION("GOOGLETRANSLATE(E44, ""en"", ""ur"")"),"گلی کی آخری آرام گاہ نتیجہ کا تعین کرتی ہے۔ پنالٹی زون میں لینڈنگ، باؤنس کے بعد بھی، فاؤل کا نتیجہ ہے۔")</f>
        <v>گلی کی آخری آرام گاہ نتیجہ کا تعین کرتی ہے۔ پنالٹی زون میں لینڈنگ، باؤنس کے بعد بھی، فاؤل کا نتیجہ ہے۔</v>
      </c>
    </row>
    <row r="45">
      <c r="A45" s="4">
        <v>44.0</v>
      </c>
      <c r="B45" s="5" t="s">
        <v>2279</v>
      </c>
      <c r="C45" s="5" t="s">
        <v>2280</v>
      </c>
      <c r="D45" s="5" t="s">
        <v>2281</v>
      </c>
      <c r="E45" s="5" t="s">
        <v>2282</v>
      </c>
      <c r="J45" s="6" t="str">
        <f>IFERROR(__xludf.DUMMYFUNCTION("GOOGLETRANSLATE(A45, ""en"", ""ur"")"),"44")</f>
        <v>44</v>
      </c>
      <c r="K45" s="6" t="str">
        <f>IFERROR(__xludf.DUMMYFUNCTION("GOOGLETRANSLATE(B45, ""en"", ""ur"")"),"اسٹرائیکر کی طرف سے غلط ہٹ گیلی کو بغیر کوئی فاصلہ آگے بڑھائے اپنی جگہ پر گھماتی ہے۔ نتیجہ کیا ہے؟")</f>
        <v>اسٹرائیکر کی طرف سے غلط ہٹ گیلی کو بغیر کوئی فاصلہ آگے بڑھائے اپنی جگہ پر گھماتی ہے۔ نتیجہ کیا ہے؟</v>
      </c>
      <c r="L45" s="6" t="str">
        <f>IFERROR(__xludf.DUMMYFUNCTION("GOOGLETRANSLATE(C45, ""en"", ""ur"")"),"A) ہٹ درست ہے، اور اسکور صفر ڈنڈا کی لمبائی ہے، B) ہٹ غلط ہے کیونکہ اس نے آگے کا سفر نہیں کیا، C) آدھے پوائنٹس دیئے گئے ہیں، D) ٹرن کو دوبارہ چلایا جانا چاہئے۔")</f>
        <v>A) ہٹ درست ہے، اور اسکور صفر ڈنڈا کی لمبائی ہے، B) ہٹ غلط ہے کیونکہ اس نے آگے کا سفر نہیں کیا، C) آدھے پوائنٹس دیئے گئے ہیں، D) ٹرن کو دوبارہ چلایا جانا چاہئے۔</v>
      </c>
      <c r="M45" s="6" t="str">
        <f>IFERROR(__xludf.DUMMYFUNCTION("GOOGLETRANSLATE(D45, ""en"", ""ur"")"),"A) ہٹ درست ہے، اور اسکور صفر ڈنڈا کی لمبائی ہے۔")</f>
        <v>A) ہٹ درست ہے، اور اسکور صفر ڈنڈا کی لمبائی ہے۔</v>
      </c>
      <c r="N45" s="6" t="str">
        <f>IFERROR(__xludf.DUMMYFUNCTION("GOOGLETRANSLATE(E45, ""en"", ""ur"")"),"ایک ہٹ ہوئی، لیکن فاصلہ صفر ہے۔ اسٹرائیکر اس سکور کی پیمائش کرنے کا انتخاب کر سکتا ہے یا دوبارہ مارنے کے اپنے مواقع میں سے ایک کو استعمال کر سکتا ہے۔")</f>
        <v>ایک ہٹ ہوئی، لیکن فاصلہ صفر ہے۔ اسٹرائیکر اس سکور کی پیمائش کرنے کا انتخاب کر سکتا ہے یا دوبارہ مارنے کے اپنے مواقع میں سے ایک کو استعمال کر سکتا ہے۔</v>
      </c>
    </row>
    <row r="46">
      <c r="A46" s="4">
        <v>45.0</v>
      </c>
      <c r="B46" s="5" t="s">
        <v>2283</v>
      </c>
      <c r="C46" s="5" t="s">
        <v>2284</v>
      </c>
      <c r="D46" s="5" t="s">
        <v>2285</v>
      </c>
      <c r="E46" s="5" t="s">
        <v>2286</v>
      </c>
      <c r="J46" s="6" t="str">
        <f>IFERROR(__xludf.DUMMYFUNCTION("GOOGLETRANSLATE(A46, ""en"", ""ur"")"),"45")</f>
        <v>45</v>
      </c>
      <c r="K46" s="6" t="str">
        <f>IFERROR(__xludf.DUMMYFUNCTION("GOOGLETRANSLATE(B46, ""en"", ""ur"")"),"ایک کھلاڑی گلی کو براہ راست اوپر کی طرف مارتا ہے، اور یہ واپس گر کر سٹرائیکنگ دائرے کے اندر اترتا ہے۔ اس کا کیا حکم ہے؟")</f>
        <v>ایک کھلاڑی گلی کو براہ راست اوپر کی طرف مارتا ہے، اور یہ واپس گر کر سٹرائیکنگ دائرے کے اندر اترتا ہے۔ اس کا کیا حکم ہے؟</v>
      </c>
      <c r="L46" s="6" t="str">
        <f>IFERROR(__xludf.DUMMYFUNCTION("GOOGLETRANSLATE(C46, ""en"", ""ur"")"),"A) زیادہ سے زیادہ پوائنٹس دیئے جاتے ہیں، B) کھلاڑی کی باری ضائع ہو جاتی ہے، C) سکور صفر ہے، لیکن ہٹ درست ہے، D) باری کو دوبارہ چلایا جانا چاہیے۔")</f>
        <v>A) زیادہ سے زیادہ پوائنٹس دیئے جاتے ہیں، B) کھلاڑی کی باری ضائع ہو جاتی ہے، C) سکور صفر ہے، لیکن ہٹ درست ہے، D) باری کو دوبارہ چلایا جانا چاہیے۔</v>
      </c>
      <c r="M46" s="6" t="str">
        <f>IFERROR(__xludf.DUMMYFUNCTION("GOOGLETRANSLATE(D46, ""en"", ""ur"")"),"C) اسکور صفر ہے، لیکن ہٹ درست ہے۔")</f>
        <v>C) اسکور صفر ہے، لیکن ہٹ درست ہے۔</v>
      </c>
      <c r="N46" s="6" t="str">
        <f>IFERROR(__xludf.DUMMYFUNCTION("GOOGLETRANSLATE(E46, ""en"", ""ur"")"),"یہ ایک درست ہٹ ہے لیکن صفر کے اسکور کے ساتھ۔ اس کے بعد اسٹرائیکر اپنے اگلے موقع کو بہتر ہٹ کے لیے استعمال کرے گا۔")</f>
        <v>یہ ایک درست ہٹ ہے لیکن صفر کے اسکور کے ساتھ۔ اس کے بعد اسٹرائیکر اپنے اگلے موقع کو بہتر ہٹ کے لیے استعمال کرے گا۔</v>
      </c>
    </row>
    <row r="47">
      <c r="A47" s="4">
        <v>46.0</v>
      </c>
      <c r="B47" s="5" t="s">
        <v>2287</v>
      </c>
      <c r="C47" s="5" t="s">
        <v>2288</v>
      </c>
      <c r="D47" s="5" t="s">
        <v>2289</v>
      </c>
      <c r="E47" s="5" t="s">
        <v>2290</v>
      </c>
      <c r="J47" s="6" t="str">
        <f>IFERROR(__xludf.DUMMYFUNCTION("GOOGLETRANSLATE(A47, ""en"", ""ur"")"),"46")</f>
        <v>46</v>
      </c>
      <c r="K47" s="6" t="str">
        <f>IFERROR(__xludf.DUMMYFUNCTION("GOOGLETRANSLATE(B47, ""en"", ""ur"")"),"ایک کھلاڑی مارتا ہے، اور گلی آرام کرنے سے پہلے امپائر کی کرسی سے ٹکراتی ہے۔ اس کا کیا حکم ہے؟")</f>
        <v>ایک کھلاڑی مارتا ہے، اور گلی آرام کرنے سے پہلے امپائر کی کرسی سے ٹکراتی ہے۔ اس کا کیا حکم ہے؟</v>
      </c>
      <c r="L47" s="6" t="str">
        <f>IFERROR(__xludf.DUMMYFUNCTION("GOOGLETRANSLATE(C47, ""en"", ""ur"")"),"A) ہٹ درست ہے، اور فاصلے کی پیمائش کی جاتی ہے، B) ہڑتال غلط ہے، C) مداخلت کی وجہ سے باری دوبارہ چلائی جاتی ہے، D) آدھے پوائنٹس دیئے جاتے ہیں")</f>
        <v>A) ہٹ درست ہے، اور فاصلے کی پیمائش کی جاتی ہے، B) ہڑتال غلط ہے، C) مداخلت کی وجہ سے باری دوبارہ چلائی جاتی ہے، D) آدھے پوائنٹس دیئے جاتے ہیں</v>
      </c>
      <c r="M47" s="6" t="str">
        <f>IFERROR(__xludf.DUMMYFUNCTION("GOOGLETRANSLATE(D47, ""en"", ""ur"")"),"C) مداخلت کی وجہ سے باری دوبارہ چلائی جاتی ہے۔")</f>
        <v>C) مداخلت کی وجہ سے باری دوبارہ چلائی جاتی ہے۔</v>
      </c>
      <c r="N47" s="6" t="str">
        <f>IFERROR(__xludf.DUMMYFUNCTION("GOOGLETRANSLATE(E47, ""en"", ""ur"")"),"کسی اہلکار یا ان کے سامان کو مارنا بیرونی مداخلت تصور کیا جاتا ہے، جو باری کے دوبارہ چلانے کی ضمانت دیتا ہے۔")</f>
        <v>کسی اہلکار یا ان کے سامان کو مارنا بیرونی مداخلت تصور کیا جاتا ہے، جو باری کے دوبارہ چلانے کی ضمانت دیتا ہے۔</v>
      </c>
    </row>
    <row r="48">
      <c r="A48" s="4">
        <v>47.0</v>
      </c>
      <c r="B48" s="5" t="s">
        <v>2291</v>
      </c>
      <c r="C48" s="5" t="s">
        <v>2292</v>
      </c>
      <c r="D48" s="5" t="s">
        <v>2293</v>
      </c>
      <c r="E48" s="5" t="s">
        <v>2294</v>
      </c>
      <c r="J48" s="6" t="str">
        <f>IFERROR(__xludf.DUMMYFUNCTION("GOOGLETRANSLATE(A48, ""en"", ""ur"")"),"47")</f>
        <v>47</v>
      </c>
      <c r="K48" s="6" t="str">
        <f>IFERROR(__xludf.DUMMYFUNCTION("GOOGLETRANSLATE(B48, ""en"", ""ur"")"),"ایک اونچے داؤ والے میچ میں، ایک گلی ایک ڈھلوان پر اترتی ہے اور بہت دور نیچے کی طرف لپکتی ہے۔ امپائر کیا کرتا ہے؟")</f>
        <v>ایک اونچے داؤ والے میچ میں، ایک گلی ایک ڈھلوان پر اترتی ہے اور بہت دور نیچے کی طرف لپکتی ہے۔ امپائر کیا کرتا ہے؟</v>
      </c>
      <c r="L48" s="6" t="str">
        <f>IFERROR(__xludf.DUMMYFUNCTION("GOOGLETRANSLATE(C48, ""en"", ""ur"")"),"A) اس فاصلے کی پیمائش کرتا ہے جہاں وہ پہلی بار ڈھلوان پر اترا تھا، B) اس کے آخری آرام کی جگہ تک فاصلے کی پیمائش کرتا ہے، C) زیادہ سے زیادہ پوائنٹس کا ایوارڈ دیتا ہے، D) ہٹ کو دوبارہ پلے کا اعلان کرتا ہے۔")</f>
        <v>A) اس فاصلے کی پیمائش کرتا ہے جہاں وہ پہلی بار ڈھلوان پر اترا تھا، B) اس کے آخری آرام کی جگہ تک فاصلے کی پیمائش کرتا ہے، C) زیادہ سے زیادہ پوائنٹس کا ایوارڈ دیتا ہے، D) ہٹ کو دوبارہ پلے کا اعلان کرتا ہے۔</v>
      </c>
      <c r="M48" s="6" t="str">
        <f>IFERROR(__xludf.DUMMYFUNCTION("GOOGLETRANSLATE(D48, ""en"", ""ur"")"),"A) اس فاصلے کی پیمائش کرتا ہے جہاں یہ پہلی بار ڈھلوان پر اترا تھا۔")</f>
        <v>A) اس فاصلے کی پیمائش کرتا ہے جہاں یہ پہلی بار ڈھلوان پر اترا تھا۔</v>
      </c>
      <c r="N48" s="6" t="str">
        <f>IFERROR(__xludf.DUMMYFUNCTION("GOOGLETRANSLATE(E48, ""en"", ""ur"")"),"رسمی اصولوں میں، خطوں سے غیر منصفانہ فوائد کو روکنے کے لیے، اسکور کو اکثر پہلے اثر کے نقطہ سے لیا جاتا ہے، نہ کہ ایک طویل رول کے بعد آخری آرام کی جگہ سے۔")</f>
        <v>رسمی اصولوں میں، خطوں سے غیر منصفانہ فوائد کو روکنے کے لیے، اسکور کو اکثر پہلے اثر کے نقطہ سے لیا جاتا ہے، نہ کہ ایک طویل رول کے بعد آخری آرام کی جگہ سے۔</v>
      </c>
    </row>
    <row r="49">
      <c r="A49" s="4">
        <v>48.0</v>
      </c>
      <c r="B49" s="5" t="s">
        <v>2295</v>
      </c>
      <c r="C49" s="5" t="s">
        <v>2296</v>
      </c>
      <c r="D49" s="5" t="s">
        <v>2269</v>
      </c>
      <c r="E49" s="5" t="s">
        <v>2297</v>
      </c>
      <c r="J49" s="6" t="str">
        <f>IFERROR(__xludf.DUMMYFUNCTION("GOOGLETRANSLATE(A49, ""en"", ""ur"")"),"48")</f>
        <v>48</v>
      </c>
      <c r="K49" s="6" t="str">
        <f>IFERROR(__xludf.DUMMYFUNCTION("GOOGLETRANSLATE(B49, ""en"", ""ur"")"),"ایک اسٹرائیکر گلی کو مارتا ہے، جو درست طریقے سے اترتا ہے لیکن جشن میں ایک ساتھی نے اسے فوراً لات مار دی۔ کیا ہوتا ہے؟")</f>
        <v>ایک اسٹرائیکر گلی کو مارتا ہے، جو درست طریقے سے اترتا ہے لیکن جشن میں ایک ساتھی نے اسے فوراً لات مار دی۔ کیا ہوتا ہے؟</v>
      </c>
      <c r="L49" s="6" t="str">
        <f>IFERROR(__xludf.DUMMYFUNCTION("GOOGLETRANSLATE(C49, ""en"", ""ur"")"),"A) اصل لینڈنگ اسپاٹ کو اسکور کے لیے ماپا جاتا ہے، B) مداخلت کی وجہ سے ہڑتال غلط ہے، C) باری دوبارہ چلائی جاتی ہے، D) ٹیم کے ساتھی کو جرمانہ کیا جاتا ہے۔")</f>
        <v>A) اصل لینڈنگ اسپاٹ کو اسکور کے لیے ماپا جاتا ہے، B) مداخلت کی وجہ سے ہڑتال غلط ہے، C) باری دوبارہ چلائی جاتی ہے، D) ٹیم کے ساتھی کو جرمانہ کیا جاتا ہے۔</v>
      </c>
      <c r="M49" s="6" t="str">
        <f>IFERROR(__xludf.DUMMYFUNCTION("GOOGLETRANSLATE(D49, ""en"", ""ur"")"),"A) اصل لینڈنگ اسپاٹ کو اسکور کے لیے ماپا جاتا ہے۔")</f>
        <v>A) اصل لینڈنگ اسپاٹ کو اسکور کے لیے ماپا جاتا ہے۔</v>
      </c>
      <c r="N49" s="6" t="str">
        <f>IFERROR(__xludf.DUMMYFUNCTION("GOOGLETRANSLATE(E49, ""en"", ""ur"")"),"گلی کے اترنے کے بعد ٹیم کے ساتھی کی کارروائی اسٹرائیکر کے قانونی ہٹ کو باطل نہیں کرتی ہے۔")</f>
        <v>گلی کے اترنے کے بعد ٹیم کے ساتھی کی کارروائی اسٹرائیکر کے قانونی ہٹ کو باطل نہیں کرتی ہے۔</v>
      </c>
    </row>
    <row r="50">
      <c r="A50" s="4">
        <v>49.0</v>
      </c>
      <c r="B50" s="5" t="s">
        <v>2298</v>
      </c>
      <c r="C50" s="5" t="s">
        <v>2299</v>
      </c>
      <c r="D50" s="5" t="s">
        <v>2300</v>
      </c>
      <c r="E50" s="5" t="s">
        <v>2301</v>
      </c>
      <c r="J50" s="6" t="str">
        <f>IFERROR(__xludf.DUMMYFUNCTION("GOOGLETRANSLATE(A50, ""en"", ""ur"")"),"49")</f>
        <v>49</v>
      </c>
      <c r="K50" s="6" t="str">
        <f>IFERROR(__xludf.DUMMYFUNCTION("GOOGLETRANSLATE(B50, ""en"", ""ur"")"),"ٹائی بریک کے دوران، ایک گلی باؤنڈری رسی کے بالکل اوپر اترتی ہے، وہاں توازن قائم کرتی ہے۔ اس کا کیا حکم ہے؟")</f>
        <v>ٹائی بریک کے دوران، ایک گلی باؤنڈری رسی کے بالکل اوپر اترتی ہے، وہاں توازن قائم کرتی ہے۔ اس کا کیا حکم ہے؟</v>
      </c>
      <c r="L50" s="6" t="str">
        <f>IFERROR(__xludf.DUMMYFUNCTION("GOOGLETRANSLATE(C50, ""en"", ""ur"")"),"A) اسے حد سے باہر سمجھا جاتا ہے، B) اسے باؤنڈز میں سمجھا جاتا ہے اور ایک درست ہٹ، C) نصف سکور دیا جاتا ہے، D) باری دوبارہ چلائی جاتی ہے۔")</f>
        <v>A) اسے حد سے باہر سمجھا جاتا ہے، B) اسے باؤنڈز میں سمجھا جاتا ہے اور ایک درست ہٹ، C) نصف سکور دیا جاتا ہے، D) باری دوبارہ چلائی جاتی ہے۔</v>
      </c>
      <c r="M50" s="6" t="str">
        <f>IFERROR(__xludf.DUMMYFUNCTION("GOOGLETRANSLATE(D50, ""en"", ""ur"")"),"ب) اسے حد اور ایک درست ہٹ سمجھا جاتا ہے۔")</f>
        <v>ب) اسے حد اور ایک درست ہٹ سمجھا جاتا ہے۔</v>
      </c>
      <c r="N50" s="6" t="str">
        <f>IFERROR(__xludf.DUMMYFUNCTION("GOOGLETRANSLATE(E50, ""en"", ""ur"")"),"گلی کا کوئی بھی حصہ جو باؤنڈری لائن کو چھوتا ہے اسے عام طور پر درست اسکورنگ ایریا میں سمجھا جاتا ہے۔")</f>
        <v>گلی کا کوئی بھی حصہ جو باؤنڈری لائن کو چھوتا ہے اسے عام طور پر درست اسکورنگ ایریا میں سمجھا جاتا ہے۔</v>
      </c>
    </row>
    <row r="51">
      <c r="A51" s="4">
        <v>50.0</v>
      </c>
      <c r="B51" s="5" t="s">
        <v>2302</v>
      </c>
      <c r="C51" s="5" t="s">
        <v>2252</v>
      </c>
      <c r="D51" s="5" t="s">
        <v>2253</v>
      </c>
      <c r="E51" s="5" t="s">
        <v>2303</v>
      </c>
      <c r="J51" s="6" t="str">
        <f>IFERROR(__xludf.DUMMYFUNCTION("GOOGLETRANSLATE(A51, ""en"", ""ur"")"),"50")</f>
        <v>50</v>
      </c>
      <c r="K51" s="6" t="str">
        <f>IFERROR(__xludf.DUMMYFUNCTION("GOOGLETRANSLATE(B51, ""en"", ""ur"")"),"گلی کو مارتے ہوئے ایک کھلاڑی غیر ارادی طور پر چیختا ہے، اور ایک فیلڈر کیچ چھوڑتا ہے۔ امپائر کیا کرتا ہے؟")</f>
        <v>گلی کو مارتے ہوئے ایک کھلاڑی غیر ارادی طور پر چیختا ہے، اور ایک فیلڈر کیچ چھوڑتا ہے۔ امپائر کیا کرتا ہے؟</v>
      </c>
      <c r="L51" s="6" t="str">
        <f>IFERROR(__xludf.DUMMYFUNCTION("GOOGLETRANSLATE(C51, ""en"", ""ur"")"),"A) خلفشار پیدا کرنے پر اسٹرائیکر کو آؤٹ کرنے پر اصول کرتا ہے، B) کیچ کو ڈراپ کرنے اور اسٹرائیک کے درست ہونے پر اصول کرتا ہے، C) ٹرن کو دوبارہ چلانے کا حکم دیتا ہے، D) اسٹرائیکر کو وارننگ جاری کرتا ہے لیکن اسکور کھڑا رہتا ہے۔")</f>
        <v>A) خلفشار پیدا کرنے پر اسٹرائیکر کو آؤٹ کرنے پر اصول کرتا ہے، B) کیچ کو ڈراپ کرنے اور اسٹرائیک کے درست ہونے پر اصول کرتا ہے، C) ٹرن کو دوبارہ چلانے کا حکم دیتا ہے، D) اسٹرائیکر کو وارننگ جاری کرتا ہے لیکن اسکور کھڑا رہتا ہے۔</v>
      </c>
      <c r="M51" s="6" t="str">
        <f>IFERROR(__xludf.DUMMYFUNCTION("GOOGLETRANSLATE(D51, ""en"", ""ur"")"),"ب) کیچ کو ڈراپ کے طور پر مقرر کرتا ہے اور ہڑتال درست ہے۔")</f>
        <v>ب) کیچ کو ڈراپ کے طور پر مقرر کرتا ہے اور ہڑتال درست ہے۔</v>
      </c>
      <c r="N51" s="6" t="str">
        <f>IFERROR(__xludf.DUMMYFUNCTION("GOOGLETRANSLATE(E51, ""en"", ""ur"")"),"غیر ارادی طور پر چیخنا بدکاری نہیں ہے۔ فیلڈر کھیل کے عام شور کے باوجود کیچ بنانے کا ذمہ دار ہے۔")</f>
        <v>غیر ارادی طور پر چیخنا بدکاری نہیں ہے۔ فیلڈر کھیل کے عام شور کے باوجود کیچ بنانے کا ذمہ دار ہے۔</v>
      </c>
    </row>
    <row r="52">
      <c r="A52" s="4">
        <v>51.0</v>
      </c>
      <c r="B52" s="5" t="s">
        <v>2304</v>
      </c>
      <c r="C52" s="5" t="s">
        <v>2305</v>
      </c>
      <c r="D52" s="5" t="s">
        <v>2241</v>
      </c>
      <c r="E52" s="5" t="s">
        <v>2242</v>
      </c>
      <c r="J52" s="6" t="str">
        <f>IFERROR(__xludf.DUMMYFUNCTION("GOOGLETRANSLATE(A52, ""en"", ""ur"")"),"51")</f>
        <v>51</v>
      </c>
      <c r="K52" s="6" t="str">
        <f>IFERROR(__xludf.DUMMYFUNCTION("GOOGLETRANSLATE(B52, ""en"", ""ur"")"),"ایک کھلاڑی حملہ کرتا ہے، اور گلی اسکورنگ زون میں اترتا ہے لیکن اسے ایک کتے نے فوراً اٹھایا۔ اس کا کیا حکم ہے؟")</f>
        <v>ایک کھلاڑی حملہ کرتا ہے، اور گلی اسکورنگ زون میں اترتا ہے لیکن اسے ایک کتے نے فوراً اٹھایا۔ اس کا کیا حکم ہے؟</v>
      </c>
      <c r="L52" s="6" t="str">
        <f>IFERROR(__xludf.DUMMYFUNCTION("GOOGLETRANSLATE(C52, ""en"", ""ur"")"),"A) ہڑتال غلط ہے، B) بیرونی مداخلت کی وجہ سے باری دوبارہ چلائی جاتی ہے، C) اصل لینڈنگ اسپاٹ کا تخمینہ اسکور کے لیے لگایا جاتا ہے، D) آدھے پوائنٹس دیے جاتے ہیں۔")</f>
        <v>A) ہڑتال غلط ہے، B) بیرونی مداخلت کی وجہ سے باری دوبارہ چلائی جاتی ہے، C) اصل لینڈنگ اسپاٹ کا تخمینہ اسکور کے لیے لگایا جاتا ہے، D) آدھے پوائنٹس دیے جاتے ہیں۔</v>
      </c>
      <c r="M52" s="6" t="str">
        <f>IFERROR(__xludf.DUMMYFUNCTION("GOOGLETRANSLATE(D52, ""en"", ""ur"")"),"ب) بیرونی مداخلت کی وجہ سے باری دوبارہ چلائی جاتی ہے۔")</f>
        <v>ب) بیرونی مداخلت کی وجہ سے باری دوبارہ چلائی جاتی ہے۔</v>
      </c>
      <c r="N52" s="6" t="str">
        <f>IFERROR(__xludf.DUMMYFUNCTION("GOOGLETRANSLATE(E52, ""en"", ""ur"")"),"کسی جانور کی مداخلت فیلڈنگ ٹیم کو اسٹرائیکر کو آؤٹ کرنے کی منصفانہ کوشش کرنے سے روکتی ہے، اس لیے ٹرن کو دوبارہ چلایا جانا چاہیے۔")</f>
        <v>کسی جانور کی مداخلت فیلڈنگ ٹیم کو اسٹرائیکر کو آؤٹ کرنے کی منصفانہ کوشش کرنے سے روکتی ہے، اس لیے ٹرن کو دوبارہ چلایا جانا چاہیے۔</v>
      </c>
    </row>
    <row r="53">
      <c r="A53" s="4">
        <v>52.0</v>
      </c>
      <c r="B53" s="5" t="s">
        <v>2306</v>
      </c>
      <c r="C53" s="5" t="s">
        <v>2307</v>
      </c>
      <c r="D53" s="5" t="s">
        <v>2308</v>
      </c>
      <c r="E53" s="5" t="s">
        <v>2309</v>
      </c>
      <c r="J53" s="6" t="str">
        <f>IFERROR(__xludf.DUMMYFUNCTION("GOOGLETRANSLATE(A53, ""en"", ""ur"")"),"52")</f>
        <v>52</v>
      </c>
      <c r="K53" s="6" t="str">
        <f>IFERROR(__xludf.DUMMYFUNCTION("GOOGLETRANSLATE(B53, ""en"", ""ur"")"),"ایک کھلاڑی حملہ کرنے کی کوشش کرتا ہے، لیکن گلی صحیح طریقے سے مارنے سے پہلے ڈنڈا سے پھسل کر زمین پر گرتی ہے۔ کیا ہوتا ہے؟")</f>
        <v>ایک کھلاڑی حملہ کرنے کی کوشش کرتا ہے، لیکن گلی صحیح طریقے سے مارنے سے پہلے ڈنڈا سے پھسل کر زمین پر گرتی ہے۔ کیا ہوتا ہے؟</v>
      </c>
      <c r="L53" s="6" t="str">
        <f>IFERROR(__xludf.DUMMYFUNCTION("GOOGLETRANSLATE(C53, ""en"", ""ur"")"),"A) یہ ایک درست اسٹرائیک ہے اور اس کی پیمائش کی جاتی ہے، B) کھلاڑی کی باری ضبط کر لی جاتی ہے، C) باری دوبارہ چلائی جاتی ہے، D) اسے کھلاڑی کی یاد میں شمار کیا جاتا ہے۔")</f>
        <v>A) یہ ایک درست اسٹرائیک ہے اور اس کی پیمائش کی جاتی ہے، B) کھلاڑی کی باری ضبط کر لی جاتی ہے، C) باری دوبارہ چلائی جاتی ہے، D) اسے کھلاڑی کی یاد میں شمار کیا جاتا ہے۔</v>
      </c>
      <c r="M53" s="6" t="str">
        <f>IFERROR(__xludf.DUMMYFUNCTION("GOOGLETRANSLATE(D53, ""en"", ""ur"")"),"D) یہ کھلاڑی کی یادوں میں سے ایک کے طور پر شمار ہوتا ہے۔")</f>
        <v>D) یہ کھلاڑی کی یادوں میں سے ایک کے طور پر شمار ہوتا ہے۔</v>
      </c>
      <c r="N53" s="6" t="str">
        <f>IFERROR(__xludf.DUMMYFUNCTION("GOOGLETRANSLATE(E53, ""en"", ""ur"")"),"ایک ""پرچی"" یا مشت جو مکمل جھول نہیں ہے عام طور پر اسٹرائیکر کے تین مواقع میں سے ایک کے طور پر شمار کیا جاتا ہے، نہ کہ باری کی مکمل ضبطی۔")</f>
        <v>ایک "پرچی" یا مشت جو مکمل جھول نہیں ہے عام طور پر اسٹرائیکر کے تین مواقع میں سے ایک کے طور پر شمار کیا جاتا ہے، نہ کہ باری کی مکمل ضبطی۔</v>
      </c>
    </row>
    <row r="54">
      <c r="A54" s="4">
        <v>53.0</v>
      </c>
      <c r="B54" s="5" t="s">
        <v>2310</v>
      </c>
      <c r="C54" s="5" t="s">
        <v>2311</v>
      </c>
      <c r="D54" s="5" t="s">
        <v>2312</v>
      </c>
      <c r="E54" s="5" t="s">
        <v>2313</v>
      </c>
      <c r="J54" s="6" t="str">
        <f>IFERROR(__xludf.DUMMYFUNCTION("GOOGLETRANSLATE(A54, ""en"", ""ur"")"),"53")</f>
        <v>53</v>
      </c>
      <c r="K54" s="6" t="str">
        <f>IFERROR(__xludf.DUMMYFUNCTION("GOOGLETRANSLATE(B54, ""en"", ""ur"")"),"ایک کھلاڑی کی ہڑتال کے نتیجے میں گلی زمین سے ٹکراتی ہے اور پھر اسکورنگ مارکر کون پر اچھالتی ہے۔ کیا ہوتا ہے؟")</f>
        <v>ایک کھلاڑی کی ہڑتال کے نتیجے میں گلی زمین سے ٹکراتی ہے اور پھر اسکورنگ مارکر کون پر اچھالتی ہے۔ کیا ہوتا ہے؟</v>
      </c>
      <c r="L54" s="6" t="str">
        <f>IFERROR(__xludf.DUMMYFUNCTION("GOOGLETRANSLATE(C54, ""en"", ""ur"")"),"A) ہٹ درست ہے، اور فاصلہ کونی تک ناپا جاتا ہے، B) مارکر کو مارنے کی وجہ سے ہڑتال غلط ہے، C) آدھے پوائنٹس دیئے جاتے ہیں، D) باری دوبارہ چلائی جاتی ہے")</f>
        <v>A) ہٹ درست ہے، اور فاصلہ کونی تک ناپا جاتا ہے، B) مارکر کو مارنے کی وجہ سے ہڑتال غلط ہے، C) آدھے پوائنٹس دیئے جاتے ہیں، D) باری دوبارہ چلائی جاتی ہے</v>
      </c>
      <c r="M54" s="6" t="str">
        <f>IFERROR(__xludf.DUMMYFUNCTION("GOOGLETRANSLATE(D54, ""en"", ""ur"")"),"A) ہٹ درست ہے، اور فاصلہ شنک تک ناپا جاتا ہے۔")</f>
        <v>A) ہٹ درست ہے، اور فاصلہ شنک تک ناپا جاتا ہے۔</v>
      </c>
      <c r="N54" s="6" t="str">
        <f>IFERROR(__xludf.DUMMYFUNCTION("GOOGLETRANSLATE(E54, ""en"", ""ur"")"),"لینڈنگ کے بعد مارکر کو مارنا ہٹ کو باطل نہیں کرتا۔ اسکور کو مارکر کی پوزیشن پر ماپا جاتا ہے۔")</f>
        <v>لینڈنگ کے بعد مارکر کو مارنا ہٹ کو باطل نہیں کرتا۔ اسکور کو مارکر کی پوزیشن پر ماپا جاتا ہے۔</v>
      </c>
    </row>
    <row r="55">
      <c r="A55" s="4">
        <v>54.0</v>
      </c>
      <c r="B55" s="5" t="s">
        <v>2314</v>
      </c>
      <c r="C55" s="5" t="s">
        <v>2315</v>
      </c>
      <c r="D55" s="5" t="s">
        <v>2316</v>
      </c>
      <c r="E55" s="5" t="s">
        <v>2317</v>
      </c>
      <c r="J55" s="6" t="str">
        <f>IFERROR(__xludf.DUMMYFUNCTION("GOOGLETRANSLATE(A55, ""en"", ""ur"")"),"54")</f>
        <v>54</v>
      </c>
      <c r="K55" s="6" t="str">
        <f>IFERROR(__xludf.DUMMYFUNCTION("GOOGLETRANSLATE(B55, ""en"", ""ur"")"),"ایک میچ کے دوران، ایک کھلاڑی امپائر کے اشارے کے شروع ہونے کے بعد جان بوجھ کر اپنی ہڑتال میں تاخیر کرتا ہے۔ اس کا کیا حکم ہے؟")</f>
        <v>ایک میچ کے دوران، ایک کھلاڑی امپائر کے اشارے کے شروع ہونے کے بعد جان بوجھ کر اپنی ہڑتال میں تاخیر کرتا ہے۔ اس کا کیا حکم ہے؟</v>
      </c>
      <c r="L55" s="6" t="str">
        <f>IFERROR(__xludf.DUMMYFUNCTION("GOOGLETRANSLATE(C55, ""en"", ""ur"")"),"A) ہڑتال درست ہے اگر آخر کار عمل میں لایا جاتا ہے، B) وقت میں تاخیر کی خلاف ورزی پر کھلاڑی کی باری ضبط کر لی جاتی ہے، C) وارننگ جاری کی جاتی ہے، لیکن باری جاری رہتی ہے، D) باری دوبارہ چلائی جاتی ہے۔")</f>
        <v>A) ہڑتال درست ہے اگر آخر کار عمل میں لایا جاتا ہے، B) وقت میں تاخیر کی خلاف ورزی پر کھلاڑی کی باری ضبط کر لی جاتی ہے، C) وارننگ جاری کی جاتی ہے، لیکن باری جاری رہتی ہے، D) باری دوبارہ چلائی جاتی ہے۔</v>
      </c>
      <c r="M55" s="6" t="str">
        <f>IFERROR(__xludf.DUMMYFUNCTION("GOOGLETRANSLATE(D55, ""en"", ""ur"")"),"ب) وقت میں تاخیر کی خلاف ورزی پر کھلاڑی کی باری ضبط کر لی جاتی ہے۔")</f>
        <v>ب) وقت میں تاخیر کی خلاف ورزی پر کھلاڑی کی باری ضبط کر لی جاتی ہے۔</v>
      </c>
      <c r="N55" s="6" t="str">
        <f>IFERROR(__xludf.DUMMYFUNCTION("GOOGLETRANSLATE(E55, ""en"", ""ur"")"),"کھیل کو رواں دواں رکھنے کے لیے، ایک کھلاڑی کو بلائے جانے کے بعد مناسب وقت کے اندر حملہ کرنا چاہیے۔ جان بوجھ کر سٹال لگانا فُل ہے۔")</f>
        <v>کھیل کو رواں دواں رکھنے کے لیے، ایک کھلاڑی کو بلائے جانے کے بعد مناسب وقت کے اندر حملہ کرنا چاہیے۔ جان بوجھ کر سٹال لگانا فُل ہے۔</v>
      </c>
    </row>
    <row r="56">
      <c r="A56" s="4">
        <v>55.0</v>
      </c>
      <c r="B56" s="5" t="s">
        <v>2318</v>
      </c>
      <c r="C56" s="5" t="s">
        <v>2260</v>
      </c>
      <c r="D56" s="5" t="s">
        <v>2261</v>
      </c>
      <c r="E56" s="5" t="s">
        <v>2262</v>
      </c>
      <c r="J56" s="6" t="str">
        <f>IFERROR(__xludf.DUMMYFUNCTION("GOOGLETRANSLATE(A56, ""en"", ""ur"")"),"55")</f>
        <v>55</v>
      </c>
      <c r="K56" s="6" t="str">
        <f>IFERROR(__xludf.DUMMYFUNCTION("GOOGLETRANSLATE(B56, ""en"", ""ur"")"),"ایک کھلاڑی حملہ کرتا ہے، اور آخر میں رکنے سے پہلے گلی حلقوں میں گھومتا ہے۔ فیصلہ کیا ہے؟")</f>
        <v>ایک کھلاڑی حملہ کرتا ہے، اور آخر میں رکنے سے پہلے گلی حلقوں میں گھومتا ہے۔ فیصلہ کیا ہے؟</v>
      </c>
      <c r="L56" s="6" t="str">
        <f>IFERROR(__xludf.DUMMYFUNCTION("GOOGLETRANSLATE(C56, ""en"", ""ur"")"),"A) ہٹ درست ہے، اور فاصلہ آخری آرام کی جگہ تک ناپا جاتا ہے، B) ہٹ عجیب و غریب رول کی وجہ سے غلط ہے، C) آدھا سکور دیا جاتا ہے، D) ٹرن کو دوبارہ چلایا جانا چاہیے۔")</f>
        <v>A) ہٹ درست ہے، اور فاصلہ آخری آرام کی جگہ تک ناپا جاتا ہے، B) ہٹ عجیب و غریب رول کی وجہ سے غلط ہے، C) آدھا سکور دیا جاتا ہے، D) ٹرن کو دوبارہ چلایا جانا چاہیے۔</v>
      </c>
      <c r="M56" s="6" t="str">
        <f>IFERROR(__xludf.DUMMYFUNCTION("GOOGLETRANSLATE(D56, ""en"", ""ur"")"),"A) ہٹ درست ہے، اور فاصلہ آخری آرام کی جگہ تک ناپا جاتا ہے۔")</f>
        <v>A) ہٹ درست ہے، اور فاصلہ آخری آرام کی جگہ تک ناپا جاتا ہے۔</v>
      </c>
      <c r="N56" s="6" t="str">
        <f>IFERROR(__xludf.DUMMYFUNCTION("GOOGLETRANSLATE(E56, ""en"", ""ur"")"),"گلی کی آخری آرام گاہ وہ ہے جو پیمائش کے لیے اہمیت رکھتی ہے، قطع نظر اس کے کہ وہ وہاں کیسے پہنچا۔")</f>
        <v>گلی کی آخری آرام گاہ وہ ہے جو پیمائش کے لیے اہمیت رکھتی ہے، قطع نظر اس کے کہ وہ وہاں کیسے پہنچا۔</v>
      </c>
    </row>
    <row r="57">
      <c r="A57" s="4">
        <v>56.0</v>
      </c>
      <c r="B57" s="5" t="s">
        <v>2319</v>
      </c>
      <c r="C57" s="5" t="s">
        <v>2320</v>
      </c>
      <c r="D57" s="5" t="s">
        <v>2321</v>
      </c>
      <c r="E57" s="5" t="s">
        <v>2322</v>
      </c>
      <c r="J57" s="6" t="str">
        <f>IFERROR(__xludf.DUMMYFUNCTION("GOOGLETRANSLATE(A57, ""en"", ""ur"")"),"56")</f>
        <v>56</v>
      </c>
      <c r="K57" s="6" t="str">
        <f>IFERROR(__xludf.DUMMYFUNCTION("GOOGLETRANSLATE(B57, ""en"", ""ur"")"),"ایک اسٹرائیکر گلی کو مارتا ہے، لیکن یہ ہوائی جہاز بننے کے بعد دوبارہ ان کے اپنے ڈنڈے سے ٹکرا جاتا ہے۔ اس کا کیا حکم ہے؟")</f>
        <v>ایک اسٹرائیکر گلی کو مارتا ہے، لیکن یہ ہوائی جہاز بننے کے بعد دوبارہ ان کے اپنے ڈنڈے سے ٹکرا جاتا ہے۔ اس کا کیا حکم ہے؟</v>
      </c>
      <c r="L57" s="6" t="str">
        <f>IFERROR(__xludf.DUMMYFUNCTION("GOOGLETRANSLATE(C57, ""en"", ""ur"")"),"A) یہ ایک درست ہڑتال ہے، B) یہ ایک غلط ہڑتال ہے (فاؤل)، C) آدھے پوائنٹس دیئے جاتے ہیں، D) باری دوبارہ چلائی جاتی ہے")</f>
        <v>A) یہ ایک درست ہڑتال ہے، B) یہ ایک غلط ہڑتال ہے (فاؤل)، C) آدھے پوائنٹس دیئے جاتے ہیں، D) باری دوبارہ چلائی جاتی ہے</v>
      </c>
      <c r="M57" s="6" t="str">
        <f>IFERROR(__xludf.DUMMYFUNCTION("GOOGLETRANSLATE(D57, ""en"", ""ur"")"),"ب) یہ ایک غلط ہڑتال ہے (ایک غلط)")</f>
        <v>ب) یہ ایک غلط ہڑتال ہے (ایک غلط)</v>
      </c>
      <c r="N57" s="6" t="str">
        <f>IFERROR(__xludf.DUMMYFUNCTION("GOOGLETRANSLATE(E57, ""en"", ""ur"")"),"ایک ""ڈبل ہٹ""، جہاں گلی کو ایک ہی جھولے میں ڈنڈا سے دو بار مارا جاتا ہے، اسے عام طور پر فاؤل سمجھا جاتا ہے، اور باری ضبط کر لی جاتی ہے۔")</f>
        <v>ایک "ڈبل ہٹ"، جہاں گلی کو ایک ہی جھولے میں ڈنڈا سے دو بار مارا جاتا ہے، اسے عام طور پر فاؤل سمجھا جاتا ہے، اور باری ضبط کر لی جاتی ہے۔</v>
      </c>
    </row>
    <row r="58">
      <c r="A58" s="4">
        <v>57.0</v>
      </c>
      <c r="B58" s="5" t="s">
        <v>2323</v>
      </c>
      <c r="C58" s="5" t="s">
        <v>2324</v>
      </c>
      <c r="D58" s="5" t="s">
        <v>2177</v>
      </c>
      <c r="E58" s="5" t="s">
        <v>2230</v>
      </c>
      <c r="J58" s="6" t="str">
        <f>IFERROR(__xludf.DUMMYFUNCTION("GOOGLETRANSLATE(A58, ""en"", ""ur"")"),"57")</f>
        <v>57</v>
      </c>
      <c r="K58" s="6" t="str">
        <f>IFERROR(__xludf.DUMMYFUNCTION("GOOGLETRANSLATE(B58, ""en"", ""ur"")"),"مارنے کی تیاری کے دوران ایک اسٹرائیکر نے غلطی سے گلی کو اپنی کہنی سے چھو لیا۔ کیا ہوتا ہے؟")</f>
        <v>مارنے کی تیاری کے دوران ایک اسٹرائیکر نے غلطی سے گلی کو اپنی کہنی سے چھو لیا۔ کیا ہوتا ہے؟</v>
      </c>
      <c r="L58" s="6" t="str">
        <f>IFERROR(__xludf.DUMMYFUNCTION("GOOGLETRANSLATE(C58, ""en"", ""ur"")"),"A) کھلاڑی کی باری ضبط کر لی گئی ہے، B) ہڑتال جاری رکھنے کی اجازت ہے، C) وارننگ جاری ہے، لیکن باری جاری ہے، D) مخالف ٹیم کو ایک پوائنٹ ملتا ہے۔")</f>
        <v>A) کھلاڑی کی باری ضبط کر لی گئی ہے، B) ہڑتال جاری رکھنے کی اجازت ہے، C) وارننگ جاری ہے، لیکن باری جاری ہے، D) مخالف ٹیم کو ایک پوائنٹ ملتا ہے۔</v>
      </c>
      <c r="M58" s="6" t="str">
        <f>IFERROR(__xludf.DUMMYFUNCTION("GOOGLETRANSLATE(D58, ""en"", ""ur"")"),"A) کھلاڑی کی باری ضبط کر لی گئی ہے۔")</f>
        <v>A) کھلاڑی کی باری ضبط کر لی گئی ہے۔</v>
      </c>
      <c r="N58" s="6" t="str">
        <f>IFERROR(__xludf.DUMMYFUNCTION("GOOGLETRANSLATE(E58, ""en"", ""ur"")"),"گلی کو صرف ڈنڈا ہی چھوا جا سکتا ہے۔ اسے جسم کے کسی بھی حصے سے چھونا فاؤل ہے ​​جس سے اسٹرائیکر کی باری ختم ہوجاتی ہے۔")</f>
        <v>گلی کو صرف ڈنڈا ہی چھوا جا سکتا ہے۔ اسے جسم کے کسی بھی حصے سے چھونا فاؤل ہے ​​جس سے اسٹرائیکر کی باری ختم ہوجاتی ہے۔</v>
      </c>
    </row>
    <row r="59">
      <c r="A59" s="4">
        <v>58.0</v>
      </c>
      <c r="B59" s="5" t="s">
        <v>2325</v>
      </c>
      <c r="C59" s="5" t="s">
        <v>2236</v>
      </c>
      <c r="D59" s="5" t="s">
        <v>2237</v>
      </c>
      <c r="E59" s="5" t="s">
        <v>2238</v>
      </c>
      <c r="J59" s="6" t="str">
        <f>IFERROR(__xludf.DUMMYFUNCTION("GOOGLETRANSLATE(A59, ""en"", ""ur"")"),"58")</f>
        <v>58</v>
      </c>
      <c r="K59" s="6" t="str">
        <f>IFERROR(__xludf.DUMMYFUNCTION("GOOGLETRANSLATE(B59, ""en"", ""ur"")"),"ایک کھلاڑی گلی کو مارتا ہے، لیکن ان کا ڈنڈا مڈ سوئنگ کو توڑ دیتا ہے۔ گلی اب بھی ایک درست اسکورنگ فاصلہ طے کرتی ہے۔ فیصلہ کیا ہے؟")</f>
        <v>ایک کھلاڑی گلی کو مارتا ہے، لیکن ان کا ڈنڈا مڈ سوئنگ کو توڑ دیتا ہے۔ گلی اب بھی ایک درست اسکورنگ فاصلہ طے کرتی ہے۔ فیصلہ کیا ہے؟</v>
      </c>
      <c r="L59" s="6" t="str">
        <f>IFERROR(__xludf.DUMMYFUNCTION("GOOGLETRANSLATE(C59, ""en"", ""ur"")"),"اے")</f>
        <v>اے</v>
      </c>
      <c r="M59" s="6" t="str">
        <f>IFERROR(__xludf.DUMMYFUNCTION("GOOGLETRANSLATE(D59, ""en"", ""ur"")"),"A) سکور درست ہے، اور ڈنڈا کو اگلی باری کے لیے بدل دیا جاتا ہے۔")</f>
        <v>A) سکور درست ہے، اور ڈنڈا کو اگلی باری کے لیے بدل دیا جاتا ہے۔</v>
      </c>
      <c r="N59" s="6" t="str">
        <f>IFERROR(__xludf.DUMMYFUNCTION("GOOGLETRANSLATE(E59, ""en"", ""ur"")"),"جب تک ہڑتال بذات خود قانونی تھی اور گلی نے اسکورنگ کا فاصلہ طے کیا، ہٹ شمار ہوتے ہیں۔ ٹوٹے ہوئے سامان کو پھر تبدیل کیا جاتا ہے۔")</f>
        <v>جب تک ہڑتال بذات خود قانونی تھی اور گلی نے اسکورنگ کا فاصلہ طے کیا، ہٹ شمار ہوتے ہیں۔ ٹوٹے ہوئے سامان کو پھر تبدیل کیا جاتا ہے۔</v>
      </c>
    </row>
    <row r="60">
      <c r="A60" s="4">
        <v>59.0</v>
      </c>
      <c r="B60" s="5" t="s">
        <v>2326</v>
      </c>
      <c r="C60" s="5" t="s">
        <v>2327</v>
      </c>
      <c r="D60" s="5" t="s">
        <v>2328</v>
      </c>
      <c r="E60" s="5" t="s">
        <v>2274</v>
      </c>
      <c r="J60" s="6" t="str">
        <f>IFERROR(__xludf.DUMMYFUNCTION("GOOGLETRANSLATE(A60, ""en"", ""ur"")"),"59")</f>
        <v>59</v>
      </c>
      <c r="K60" s="6" t="str">
        <f>IFERROR(__xludf.DUMMYFUNCTION("GOOGLETRANSLATE(B60, ""en"", ""ur"")"),"ایک اسٹرائیکر گلی کو مارتا ہے، اور یہ باؤنڈری کی باڑ میں ٹکرا جاتا ہے۔ اس کا کیا حکم ہے؟")</f>
        <v>ایک اسٹرائیکر گلی کو مارتا ہے، اور یہ باؤنڈری کی باڑ میں ٹکرا جاتا ہے۔ اس کا کیا حکم ہے؟</v>
      </c>
      <c r="L60" s="6" t="str">
        <f>IFERROR(__xludf.DUMMYFUNCTION("GOOGLETRANSLATE(C60, ""en"", ""ur"")"),"A) ہڑتال غلط ہے، B) فاصلہ اس مقام تک ماپا جاتا ہے جہاں یہ باڑ سے ٹکرایا جاتا ہے، C) اس باؤنڈری کے لیے زیادہ سے زیادہ پوائنٹس دیئے جاتے ہیں، D) باری دوبارہ چلائی جاتی ہے۔")</f>
        <v>A) ہڑتال غلط ہے، B) فاصلہ اس مقام تک ماپا جاتا ہے جہاں یہ باڑ سے ٹکرایا جاتا ہے، C) اس باؤنڈری کے لیے زیادہ سے زیادہ پوائنٹس دیئے جاتے ہیں، D) باری دوبارہ چلائی جاتی ہے۔</v>
      </c>
      <c r="M60" s="6" t="str">
        <f>IFERROR(__xludf.DUMMYFUNCTION("GOOGLETRANSLATE(D60, ""en"", ""ur"")"),"ب) فاصلہ اس مقام تک ناپا جاتا ہے جہاں یہ باڑ سے ٹکرایا")</f>
        <v>ب) فاصلہ اس مقام تک ناپا جاتا ہے جہاں یہ باڑ سے ٹکرایا</v>
      </c>
      <c r="N60" s="6" t="str">
        <f>IFERROR(__xludf.DUMMYFUNCTION("GOOGLETRANSLATE(E60, ""en"", ""ur"")"),"اگر گلی میدان کے کنارے پر کسی رکاوٹ میں پھنس جائے تو اسکور کو اس مقام تک ناپا جاتا ہے۔")</f>
        <v>اگر گلی میدان کے کنارے پر کسی رکاوٹ میں پھنس جائے تو اسکور کو اس مقام تک ناپا جاتا ہے۔</v>
      </c>
    </row>
    <row r="61">
      <c r="A61" s="4">
        <v>60.0</v>
      </c>
      <c r="B61" s="5" t="s">
        <v>2329</v>
      </c>
      <c r="C61" s="5" t="s">
        <v>2305</v>
      </c>
      <c r="D61" s="5" t="s">
        <v>2241</v>
      </c>
      <c r="E61" s="5" t="s">
        <v>2242</v>
      </c>
      <c r="J61" s="6" t="str">
        <f>IFERROR(__xludf.DUMMYFUNCTION("GOOGLETRANSLATE(A61, ""en"", ""ur"")"),"60")</f>
        <v>60</v>
      </c>
      <c r="K61" s="6" t="str">
        <f>IFERROR(__xludf.DUMMYFUNCTION("GOOGLETRANSLATE(B61, ""en"", ""ur"")"),"ایک کھلاڑی گلی کو مارتا ہے، جو درست طریقے سے اترتا ہے لیکن اسے ایک کتے نے فوراً اٹھایا۔ اس کا کیا حکم ہے؟")</f>
        <v>ایک کھلاڑی گلی کو مارتا ہے، جو درست طریقے سے اترتا ہے لیکن اسے ایک کتے نے فوراً اٹھایا۔ اس کا کیا حکم ہے؟</v>
      </c>
      <c r="L61" s="6" t="str">
        <f>IFERROR(__xludf.DUMMYFUNCTION("GOOGLETRANSLATE(C61, ""en"", ""ur"")"),"A) ہڑتال غلط ہے، B) بیرونی مداخلت کی وجہ سے باری دوبارہ چلائی جاتی ہے، C) اصل لینڈنگ اسپاٹ کا تخمینہ اسکور کے لیے لگایا جاتا ہے، D) آدھے پوائنٹس دیے جاتے ہیں۔")</f>
        <v>A) ہڑتال غلط ہے، B) بیرونی مداخلت کی وجہ سے باری دوبارہ چلائی جاتی ہے، C) اصل لینڈنگ اسپاٹ کا تخمینہ اسکور کے لیے لگایا جاتا ہے، D) آدھے پوائنٹس دیے جاتے ہیں۔</v>
      </c>
      <c r="M61" s="6" t="str">
        <f>IFERROR(__xludf.DUMMYFUNCTION("GOOGLETRANSLATE(D61, ""en"", ""ur"")"),"ب) بیرونی مداخلت کی وجہ سے باری دوبارہ چلائی جاتی ہے۔")</f>
        <v>ب) بیرونی مداخلت کی وجہ سے باری دوبارہ چلائی جاتی ہے۔</v>
      </c>
      <c r="N61" s="6" t="str">
        <f>IFERROR(__xludf.DUMMYFUNCTION("GOOGLETRANSLATE(E61, ""en"", ""ur"")"),"کسی جانور کی مداخلت فیلڈنگ ٹیم کو اسٹرائیکر کو آؤٹ کرنے کی منصفانہ کوشش کرنے سے روکتی ہے، اس لیے ٹرن کو دوبارہ چلایا جانا چاہیے۔")</f>
        <v>کسی جانور کی مداخلت فیلڈنگ ٹیم کو اسٹرائیکر کو آؤٹ کرنے کی منصفانہ کوشش کرنے سے روکتی ہے، اس لیے ٹرن کو دوبارہ چلایا جانا چاہیے۔</v>
      </c>
    </row>
    <row r="62">
      <c r="A62" s="4">
        <v>61.0</v>
      </c>
      <c r="B62" s="5" t="s">
        <v>2330</v>
      </c>
      <c r="C62" s="5" t="s">
        <v>2331</v>
      </c>
      <c r="D62" s="5" t="s">
        <v>2245</v>
      </c>
      <c r="E62" s="5" t="s">
        <v>2246</v>
      </c>
      <c r="J62" s="6" t="str">
        <f>IFERROR(__xludf.DUMMYFUNCTION("GOOGLETRANSLATE(A62, ""en"", ""ur"")"),"61")</f>
        <v>61</v>
      </c>
      <c r="K62" s="6" t="str">
        <f>IFERROR(__xludf.DUMMYFUNCTION("GOOGLETRANSLATE(B62, ""en"", ""ur"")"),"پلیئر A گلی کو پیچھے سے مارتا ہے، اسے آگے بھیجتا ہے۔ مخالفین غیر روایتی انداز پر احتجاج کرتے ہیں۔ اس کا کیا حکم ہے؟")</f>
        <v>پلیئر A گلی کو پیچھے سے مارتا ہے، اسے آگے بھیجتا ہے۔ مخالفین غیر روایتی انداز پر احتجاج کرتے ہیں۔ اس کا کیا حکم ہے؟</v>
      </c>
      <c r="L62" s="6" t="str">
        <f>IFERROR(__xludf.DUMMYFUNCTION("GOOGLETRANSLATE(C62, ""en"", ""ur"")"),"A) ہڑتال اس وقت تک درست ہے جب تک یہ مؤثر ہے، B) ہڑتال غیر قانونی تکنیک کی وجہ سے ناجائز ہے، C) آدھے پوائنٹس دیئے جاتے ہیں، D) غیر معمولی انداز کے لئے وارننگ جاری کی جاتی ہے۔")</f>
        <v>A) ہڑتال اس وقت تک درست ہے جب تک یہ مؤثر ہے، B) ہڑتال غیر قانونی تکنیک کی وجہ سے ناجائز ہے، C) آدھے پوائنٹس دیئے جاتے ہیں، D) غیر معمولی انداز کے لئے وارننگ جاری کی جاتی ہے۔</v>
      </c>
      <c r="M62" s="6" t="str">
        <f>IFERROR(__xludf.DUMMYFUNCTION("GOOGLETRANSLATE(D62, ""en"", ""ur"")"),"ا) ہڑتال اس وقت تک درست ہے جب تک کہ یہ موثر ہو۔")</f>
        <v>ا) ہڑتال اس وقت تک درست ہے جب تک کہ یہ موثر ہو۔</v>
      </c>
      <c r="N62" s="6" t="str">
        <f>IFERROR(__xludf.DUMMYFUNCTION("GOOGLETRANSLATE(E62, ""en"", ""ur"")"),"گلی ڈنڈا کے جھولے کے انداز پر کوئی باقاعدہ اصول نہیں ہے۔ جب تک گلی کو ڈنڈے سے قانونی طور پر مارا جاتا ہے، تکنیک درست ہے۔")</f>
        <v>گلی ڈنڈا کے جھولے کے انداز پر کوئی باقاعدہ اصول نہیں ہے۔ جب تک گلی کو ڈنڈے سے قانونی طور پر مارا جاتا ہے، تکنیک درست ہے۔</v>
      </c>
    </row>
    <row r="63">
      <c r="A63" s="4">
        <v>62.0</v>
      </c>
      <c r="B63" s="5" t="s">
        <v>2332</v>
      </c>
      <c r="C63" s="5" t="s">
        <v>2333</v>
      </c>
      <c r="D63" s="5" t="s">
        <v>2334</v>
      </c>
      <c r="E63" s="5" t="s">
        <v>2335</v>
      </c>
      <c r="J63" s="6" t="str">
        <f>IFERROR(__xludf.DUMMYFUNCTION("GOOGLETRANSLATE(A63, ""en"", ""ur"")"),"62")</f>
        <v>62</v>
      </c>
      <c r="K63" s="6" t="str">
        <f>IFERROR(__xludf.DUMMYFUNCTION("GOOGLETRANSLATE(B63, ""en"", ""ur"")"),"ایک گلی، مارنے کے بعد، بالکل اسی جگہ پر اترتی ہے جہاں امپائر نے کم از کم فاصلہ مارکر رکھا تھا۔ فیصلہ کیا ہے؟")</f>
        <v>ایک گلی، مارنے کے بعد، بالکل اسی جگہ پر اترتی ہے جہاں امپائر نے کم از کم فاصلہ مارکر رکھا تھا۔ فیصلہ کیا ہے؟</v>
      </c>
      <c r="L63" s="6" t="str">
        <f>IFERROR(__xludf.DUMMYFUNCTION("GOOGLETRANSLATE(C63, ""en"", ""ur"")"),"A) ہٹ درست ہے، اور اسکور کی پیمائش کی جاتی ہے، B) ہٹ غلط ہے کیونکہ اس نے لائن کو نہیں پار کیا، C) آدھا سکور دیا جاتا ہے، D) ٹرن کو دوبارہ چلایا جانا چاہیے۔")</f>
        <v>A) ہٹ درست ہے، اور اسکور کی پیمائش کی جاتی ہے، B) ہٹ غلط ہے کیونکہ اس نے لائن کو نہیں پار کیا، C) آدھا سکور دیا جاتا ہے، D) ٹرن کو دوبارہ چلایا جانا چاہیے۔</v>
      </c>
      <c r="M63" s="6" t="str">
        <f>IFERROR(__xludf.DUMMYFUNCTION("GOOGLETRANSLATE(D63, ""en"", ""ur"")"),"A) ہٹ درست ہے، اور سکور ماپا جاتا ہے۔")</f>
        <v>A) ہٹ درست ہے، اور سکور ماپا جاتا ہے۔</v>
      </c>
      <c r="N63" s="6" t="str">
        <f>IFERROR(__xludf.DUMMYFUNCTION("GOOGLETRANSLATE(E63, ""en"", ""ur"")"),"لائن پر اترنا کم از کم فاصلے کی ضرورت کو پورا کرنے کے لیے کافی ہے۔")</f>
        <v>لائن پر اترنا کم از کم فاصلے کی ضرورت کو پورا کرنے کے لیے کافی ہے۔</v>
      </c>
    </row>
    <row r="64">
      <c r="A64" s="4">
        <v>63.0</v>
      </c>
      <c r="B64" s="5" t="s">
        <v>2336</v>
      </c>
      <c r="C64" s="5" t="s">
        <v>2337</v>
      </c>
      <c r="D64" s="5" t="s">
        <v>2338</v>
      </c>
      <c r="E64" s="5" t="s">
        <v>2339</v>
      </c>
      <c r="J64" s="6" t="str">
        <f>IFERROR(__xludf.DUMMYFUNCTION("GOOGLETRANSLATE(A64, ""en"", ""ur"")"),"63")</f>
        <v>63</v>
      </c>
      <c r="K64" s="6" t="str">
        <f>IFERROR(__xludf.DUMMYFUNCTION("GOOGLETRANSLATE(B64, ""en"", ""ur"")"),"ایک میچ کے دوران، ایک کھلاڑی جان بوجھ کر چیختا ہے تاکہ حریف کا دھیان بھٹکا سکے جو کیچ لینے والا ہو۔ فیلڈر گیند کو گرا رہا ہے۔ امپائر کا کیا حکم ہے؟")</f>
        <v>ایک میچ کے دوران، ایک کھلاڑی جان بوجھ کر چیختا ہے تاکہ حریف کا دھیان بھٹکا سکے جو کیچ لینے والا ہو۔ فیلڈر گیند کو گرا رہا ہے۔ امپائر کا کیا حکم ہے؟</v>
      </c>
      <c r="L64" s="6" t="str">
        <f>IFERROR(__xludf.DUMMYFUNCTION("GOOGLETRANSLATE(C64, ""en"", ""ur"")"),"A) کیچ کو ڈراپ سمجھا جاتا ہے، اور اسٹرائیکر ناٹ آؤٹ ہے، B) اسٹرائیکر کو ان کے ساتھی کے غیر کھیلوں والے طرز عمل کی وجہ سے آؤٹ قرار دیا جاتا ہے، C) باری دوبارہ چلائی جاتی ہے، D) شور مچانے والے کھلاڑی کو وارننگ جاری کی جاتی ہے، اور اسٹرائیکر آؤٹ نہیں ہوتا ہے"&amp;"۔")</f>
        <v>A) کیچ کو ڈراپ سمجھا جاتا ہے، اور اسٹرائیکر ناٹ آؤٹ ہے، B) اسٹرائیکر کو ان کے ساتھی کے غیر کھیلوں والے طرز عمل کی وجہ سے آؤٹ قرار دیا جاتا ہے، C) باری دوبارہ چلائی جاتی ہے، D) شور مچانے والے کھلاڑی کو وارننگ جاری کی جاتی ہے، اور اسٹرائیکر آؤٹ نہیں ہوتا ہے۔</v>
      </c>
      <c r="M64" s="6" t="str">
        <f>IFERROR(__xludf.DUMMYFUNCTION("GOOGLETRANSLATE(D64, ""en"", ""ur"")"),"ب) اسٹرائیکر کو ان کے ساتھی کے غیر اسپورٹس مین طرز عمل کی وجہ سے آؤٹ قرار دیا جاتا ہے۔")</f>
        <v>ب) اسٹرائیکر کو ان کے ساتھی کے غیر اسپورٹس مین طرز عمل کی وجہ سے آؤٹ قرار دیا جاتا ہے۔</v>
      </c>
      <c r="N64" s="6" t="str">
        <f>IFERROR(__xludf.DUMMYFUNCTION("GOOGLETRANSLATE(E64, ""en"", ""ur"")"),"جان بوجھ کر، غیر کھیلوں کی طرح مداخلت جو اسٹرائیکر کو آؤٹ ہونے میں کیچ کے نتائج کو روکتی ہے۔")</f>
        <v>جان بوجھ کر، غیر کھیلوں کی طرح مداخلت جو اسٹرائیکر کو آؤٹ ہونے میں کیچ کے نتائج کو روکتی ہے۔</v>
      </c>
    </row>
    <row r="65">
      <c r="A65" s="4">
        <v>64.0</v>
      </c>
      <c r="B65" s="5" t="s">
        <v>2340</v>
      </c>
      <c r="C65" s="5" t="s">
        <v>2341</v>
      </c>
      <c r="D65" s="5" t="s">
        <v>2342</v>
      </c>
      <c r="E65" s="5" t="s">
        <v>2343</v>
      </c>
      <c r="J65" s="6" t="str">
        <f>IFERROR(__xludf.DUMMYFUNCTION("GOOGLETRANSLATE(A65, ""en"", ""ur"")"),"64")</f>
        <v>64</v>
      </c>
      <c r="K65" s="6" t="str">
        <f>IFERROR(__xludf.DUMMYFUNCTION("GOOGLETRANSLATE(B65, ""en"", ""ur"")"),"ایک اسٹرائیکر گلی کو مارتا ہے، اور یہ اسکورنگ زون میں اترتا ہے لیکن تھوڑا سا پیچھے ہٹ جاتا ہے۔ امپائر ہڑتال کو درست قرار دیتا ہے۔ استدلال کیا ہے؟")</f>
        <v>ایک اسٹرائیکر گلی کو مارتا ہے، اور یہ اسکورنگ زون میں اترتا ہے لیکن تھوڑا سا پیچھے ہٹ جاتا ہے۔ امپائر ہڑتال کو درست قرار دیتا ہے۔ استدلال کیا ہے؟</v>
      </c>
      <c r="L65" s="6" t="str">
        <f>IFERROR(__xludf.DUMMYFUNCTION("GOOGLETRANSLATE(C65, ""en"", ""ur"")"),"A) گلی کو رولنگ کے بغیر سکورنگ زون میں رہنا چاہیے، B) جب تک گلی ابتدائی طور پر زون میں اترتی ہے، ہڑتال درست ہے، C) گلی کا رول اسٹرائیک کو باطل کر دیتا ہے، D) امپائر رول کو نظر انداز کرنے کا انتخاب کر سکتا ہے۔")</f>
        <v>A) گلی کو رولنگ کے بغیر سکورنگ زون میں رہنا چاہیے، B) جب تک گلی ابتدائی طور پر زون میں اترتی ہے، ہڑتال درست ہے، C) گلی کا رول اسٹرائیک کو باطل کر دیتا ہے، D) امپائر رول کو نظر انداز کرنے کا انتخاب کر سکتا ہے۔</v>
      </c>
      <c r="M65" s="6" t="str">
        <f>IFERROR(__xludf.DUMMYFUNCTION("GOOGLETRANSLATE(D65, ""en"", ""ur"")"),"ب) جب تک گلی ابتدائی طور پر زون میں اترتی ہے، ہڑتال درست ہے۔")</f>
        <v>ب) جب تک گلی ابتدائی طور پر زون میں اترتی ہے، ہڑتال درست ہے۔</v>
      </c>
      <c r="N65" s="6" t="str">
        <f>IFERROR(__xludf.DUMMYFUNCTION("GOOGLETRANSLATE(E65, ""en"", ""ur"")"),"اسکورنگ زون میں ایک گلی کی لینڈنگ، چاہے وہ رول آؤٹ ہو جائے، تب تک درست سمجھا جاتا ہے جب تک کہ یہ ابتدائی طور پر صحیح طریقے سے اترا ہو۔")</f>
        <v>اسکورنگ زون میں ایک گلی کی لینڈنگ، چاہے وہ رول آؤٹ ہو جائے، تب تک درست سمجھا جاتا ہے جب تک کہ یہ ابتدائی طور پر صحیح طریقے سے اترا ہو۔</v>
      </c>
    </row>
    <row r="66">
      <c r="A66" s="4">
        <v>65.0</v>
      </c>
      <c r="B66" s="5" t="s">
        <v>2344</v>
      </c>
      <c r="C66" s="5" t="s">
        <v>2345</v>
      </c>
      <c r="D66" s="5" t="s">
        <v>2346</v>
      </c>
      <c r="E66" s="5" t="s">
        <v>2347</v>
      </c>
      <c r="J66" s="6" t="str">
        <f>IFERROR(__xludf.DUMMYFUNCTION("GOOGLETRANSLATE(A66, ""en"", ""ur"")"),"65")</f>
        <v>65</v>
      </c>
      <c r="K66" s="6" t="str">
        <f>IFERROR(__xludf.DUMMYFUNCTION("GOOGLETRANSLATE(B66, ""en"", ""ur"")"),"ایک کھلاڑی گلی کو مارتا ہے، جو پھر اعلی اسکور والے زون میں اترنے سے پہلے زمین سے اچھالتا ہے۔ مخالف ٹیم کا احتجاج۔ امپائر کا کیا حکم ہے؟")</f>
        <v>ایک کھلاڑی گلی کو مارتا ہے، جو پھر اعلی اسکور والے زون میں اترنے سے پہلے زمین سے اچھالتا ہے۔ مخالف ٹیم کا احتجاج۔ امپائر کا کیا حکم ہے؟</v>
      </c>
      <c r="L66" s="6" t="str">
        <f>IFERROR(__xludf.DUMMYFUNCTION("GOOGLETRANSLATE(C66, ""en"", ""ur"")"),"A) اچھلنے کی وجہ سے سٹرائیک غلط ہے، B) سٹرائیک تب تک درست ہے جب تک کہ یہ کم از کم فاصلے کو پورا کرے، C) پلیئر B کو باؤنس کے لیے کوئی پوائنٹ نہیں ملتا، D) پلیئر B کو دوبارہ مارنا ضروری ہے۔")</f>
        <v>A) اچھلنے کی وجہ سے سٹرائیک غلط ہے، B) سٹرائیک تب تک درست ہے جب تک کہ یہ کم از کم فاصلے کو پورا کرے، C) پلیئر B کو باؤنس کے لیے کوئی پوائنٹ نہیں ملتا، D) پلیئر B کو دوبارہ مارنا ضروری ہے۔</v>
      </c>
      <c r="M66" s="6" t="str">
        <f>IFERROR(__xludf.DUMMYFUNCTION("GOOGLETRANSLATE(D66, ""en"", ""ur"")"),"ب) ہڑتال اس وقت تک درست ہے جب تک کہ یہ کم از کم فاصلے پر پورا اترے۔")</f>
        <v>ب) ہڑتال اس وقت تک درست ہے جب تک کہ یہ کم از کم فاصلے پر پورا اترے۔</v>
      </c>
      <c r="N66" s="6" t="str">
        <f>IFERROR(__xludf.DUMMYFUNCTION("GOOGLETRANSLATE(E66, ""en"", ""ur"")"),"گلی ڈنڈا میں، اگر مطلوبہ فاصلہ پورا ہو جائے تو لینڈنگ سے پہلے اچھالنا ہڑتال کو باطل نہیں کرتا۔")</f>
        <v>گلی ڈنڈا میں، اگر مطلوبہ فاصلہ پورا ہو جائے تو لینڈنگ سے پہلے اچھالنا ہڑتال کو باطل نہیں کرتا۔</v>
      </c>
    </row>
    <row r="67">
      <c r="A67" s="4">
        <v>66.0</v>
      </c>
      <c r="B67" s="5" t="s">
        <v>2348</v>
      </c>
      <c r="C67" s="5" t="s">
        <v>2349</v>
      </c>
      <c r="D67" s="5" t="s">
        <v>2350</v>
      </c>
      <c r="E67" s="5" t="s">
        <v>2351</v>
      </c>
      <c r="J67" s="6" t="str">
        <f>IFERROR(__xludf.DUMMYFUNCTION("GOOGLETRANSLATE(A67, ""en"", ""ur"")"),"66")</f>
        <v>66</v>
      </c>
      <c r="K67" s="6" t="str">
        <f>IFERROR(__xludf.DUMMYFUNCTION("GOOGLETRANSLATE(B67, ""en"", ""ur"")"),"ایک کھلاڑی کی گلی پرواز کے درمیان دو ٹکڑوں میں ٹوٹ جاتی ہے۔ ایک ٹکڑا اسکورنگ زون میں آتا ہے، جبکہ دوسرا نہیں آتا۔ اس کا کیا حکم ہے؟")</f>
        <v>ایک کھلاڑی کی گلی پرواز کے درمیان دو ٹکڑوں میں ٹوٹ جاتی ہے۔ ایک ٹکڑا اسکورنگ زون میں آتا ہے، جبکہ دوسرا نہیں آتا۔ اس کا کیا حکم ہے؟</v>
      </c>
      <c r="L67" s="6" t="str">
        <f>IFERROR(__xludf.DUMMYFUNCTION("GOOGLETRANSLATE(C67, ""en"", ""ur"")"),"A) اسٹرائیک غلط ہے، B) پوائنٹس بڑے ٹکڑے کی بنیاد پر دیئے جاتے ہیں، C) کھلاڑی کو دوبارہ ہٹ کیا جاتا ہے، D) دونوں ٹکڑوں کو اسکور کرنے پر غور کیا جاتا ہے۔")</f>
        <v>A) اسٹرائیک غلط ہے، B) پوائنٹس بڑے ٹکڑے کی بنیاد پر دیئے جاتے ہیں، C) کھلاڑی کو دوبارہ ہٹ کیا جاتا ہے، D) دونوں ٹکڑوں کو اسکور کرنے پر غور کیا جاتا ہے۔</v>
      </c>
      <c r="M67" s="6" t="str">
        <f>IFERROR(__xludf.DUMMYFUNCTION("GOOGLETRANSLATE(D67, ""en"", ""ur"")"),"A) ہڑتال ناجائز ہے۔")</f>
        <v>A) ہڑتال ناجائز ہے۔</v>
      </c>
      <c r="N67" s="6" t="str">
        <f>IFERROR(__xludf.DUMMYFUNCTION("GOOGLETRANSLATE(E67, ""en"", ""ur"")"),"اگر ہڑتال کے دوران گلی ٹوٹ جاتی ہے، تو ہٹ خود بخود غلط سمجھی جاتی ہے، اور باری دوبارہ چلائی جاتی ہے۔")</f>
        <v>اگر ہڑتال کے دوران گلی ٹوٹ جاتی ہے، تو ہٹ خود بخود غلط سمجھی جاتی ہے، اور باری دوبارہ چلائی جاتی ہے۔</v>
      </c>
    </row>
    <row r="68">
      <c r="A68" s="4">
        <v>67.0</v>
      </c>
      <c r="B68" s="5" t="s">
        <v>2352</v>
      </c>
      <c r="C68" s="5" t="s">
        <v>2353</v>
      </c>
      <c r="D68" s="5" t="s">
        <v>2354</v>
      </c>
      <c r="E68" s="5" t="s">
        <v>2355</v>
      </c>
      <c r="J68" s="6" t="str">
        <f>IFERROR(__xludf.DUMMYFUNCTION("GOOGLETRANSLATE(A68, ""en"", ""ur"")"),"67")</f>
        <v>67</v>
      </c>
      <c r="K68" s="6" t="str">
        <f>IFERROR(__xludf.DUMMYFUNCTION("GOOGLETRANSLATE(B68, ""en"", ""ur"")"),"ایک کھلاڑی کی گلی دو اسکورنگ زونز کو الگ کرنے والی نشان زد باؤنڈری لائن پر بالکل ٹھیک اترتی ہے۔ اسکور کا تعین کیسے ہوتا ہے؟")</f>
        <v>ایک کھلاڑی کی گلی دو اسکورنگ زونز کو الگ کرنے والی نشان زد باؤنڈری لائن پر بالکل ٹھیک اترتی ہے۔ اسکور کا تعین کیسے ہوتا ہے؟</v>
      </c>
      <c r="L68" s="6" t="str">
        <f>IFERROR(__xludf.DUMMYFUNCTION("GOOGLETRANSLATE(C68, ""en"", ""ur"")"),"A) زیادہ ویلیو زون کے لیے اسکور دیا جاتا ہے، B) کم ویلیو والے زون کے لیے اسکور دیا جاتا ہے، C) گلی کو دوبارہ مارنا چاہیے، D) دونوں زونز کے پوائنٹس کا اوسط لگایا جاتا ہے۔")</f>
        <v>A) زیادہ ویلیو زون کے لیے اسکور دیا جاتا ہے، B) کم ویلیو والے زون کے لیے اسکور دیا جاتا ہے، C) گلی کو دوبارہ مارنا چاہیے، D) دونوں زونز کے پوائنٹس کا اوسط لگایا جاتا ہے۔</v>
      </c>
      <c r="M68" s="6" t="str">
        <f>IFERROR(__xludf.DUMMYFUNCTION("GOOGLETRANSLATE(D68, ""en"", ""ur"")"),"A) اعلی قدر والے زون کے لیے اسکور دیا جاتا ہے۔")</f>
        <v>A) اعلی قدر والے زون کے لیے اسکور دیا جاتا ہے۔</v>
      </c>
      <c r="N68" s="6" t="str">
        <f>IFERROR(__xludf.DUMMYFUNCTION("GOOGLETRANSLATE(E68, ""en"", ""ur"")"),"ایسی صورتوں میں جہاں گلی دو زون کے درمیان باؤنڈری لائن پر اترتی ہے، اسٹرائیکر کو عام طور پر زیادہ اسکورنگ زون کے لیے پوائنٹس دیے جاتے ہیں۔")</f>
        <v>ایسی صورتوں میں جہاں گلی دو زون کے درمیان باؤنڈری لائن پر اترتی ہے، اسٹرائیکر کو عام طور پر زیادہ اسکورنگ زون کے لیے پوائنٹس دیے جاتے ہیں۔</v>
      </c>
    </row>
    <row r="69">
      <c r="A69" s="4">
        <v>68.0</v>
      </c>
      <c r="B69" s="5" t="s">
        <v>2356</v>
      </c>
      <c r="C69" s="5" t="s">
        <v>2357</v>
      </c>
      <c r="D69" s="5" t="s">
        <v>2358</v>
      </c>
      <c r="E69" s="5" t="s">
        <v>2359</v>
      </c>
      <c r="J69" s="6" t="str">
        <f>IFERROR(__xludf.DUMMYFUNCTION("GOOGLETRANSLATE(A69, ""en"", ""ur"")"),"68")</f>
        <v>68</v>
      </c>
      <c r="K69" s="6" t="str">
        <f>IFERROR(__xludf.DUMMYFUNCTION("GOOGLETRANSLATE(B69, ""en"", ""ur"")"),"ایک میچ کے دوران، ایک کھلاڑی گلی کو مارتا ہے، لیکن فالو تھرو کے دوران ڈنڈا ان کے ہاتھ سے نکل جاتا ہے۔ مخالف ٹیم کا دعویٰ ہے کہ ہڑتال غلط ہے۔ اس کا کیا حکم ہے؟")</f>
        <v>ایک میچ کے دوران، ایک کھلاڑی گلی کو مارتا ہے، لیکن فالو تھرو کے دوران ڈنڈا ان کے ہاتھ سے نکل جاتا ہے۔ مخالف ٹیم کا دعویٰ ہے کہ ہڑتال غلط ہے۔ اس کا کیا حکم ہے؟</v>
      </c>
      <c r="L69" s="6" t="str">
        <f>IFERROR(__xludf.DUMMYFUNCTION("GOOGLETRANSLATE(C69, ""en"", ""ur"")"),"A) ہڑتال درست ہے اگر گلی نے مطلوبہ فاصلہ طے کیا، B) ڈنڈا کے کنٹرول سے محروم ہونے کی وجہ سے ہڑتال باطل ہے، C) کھلاڑی کو ایک اور موڑ آتا ہے، D) پوائنٹس آدھے ہو جاتے ہیں۔")</f>
        <v>A) ہڑتال درست ہے اگر گلی نے مطلوبہ فاصلہ طے کیا، B) ڈنڈا کے کنٹرول سے محروم ہونے کی وجہ سے ہڑتال باطل ہے، C) کھلاڑی کو ایک اور موڑ آتا ہے، D) پوائنٹس آدھے ہو جاتے ہیں۔</v>
      </c>
      <c r="M69" s="6" t="str">
        <f>IFERROR(__xludf.DUMMYFUNCTION("GOOGLETRANSLATE(D69, ""en"", ""ur"")"),"ب) ڈنڈا کے کنٹرول سے محروم ہونے کی وجہ سے ہڑتال باطل ہے۔")</f>
        <v>ب) ڈنڈا کے کنٹرول سے محروم ہونے کی وجہ سے ہڑتال باطل ہے۔</v>
      </c>
      <c r="N69" s="6" t="str">
        <f>IFERROR(__xludf.DUMMYFUNCTION("GOOGLETRANSLATE(E69, ""en"", ""ur"")"),"ہڑتال کی کوشش کے دوران ڈنڈا کا کنٹرول کھو دینا ایک غلط ہے جس کے نتیجے میں ہڑتال کو غلط سمجھا جاتا ہے۔")</f>
        <v>ہڑتال کی کوشش کے دوران ڈنڈا کا کنٹرول کھو دینا ایک غلط ہے جس کے نتیجے میں ہڑتال کو غلط سمجھا جاتا ہے۔</v>
      </c>
    </row>
    <row r="70">
      <c r="A70" s="4">
        <v>69.0</v>
      </c>
      <c r="B70" s="5" t="s">
        <v>2360</v>
      </c>
      <c r="C70" s="5" t="s">
        <v>2361</v>
      </c>
      <c r="D70" s="5" t="s">
        <v>2362</v>
      </c>
      <c r="E70" s="5" t="s">
        <v>2363</v>
      </c>
      <c r="J70" s="6" t="str">
        <f>IFERROR(__xludf.DUMMYFUNCTION("GOOGLETRANSLATE(A70, ""en"", ""ur"")"),"69")</f>
        <v>69</v>
      </c>
      <c r="K70" s="6" t="str">
        <f>IFERROR(__xludf.DUMMYFUNCTION("GOOGLETRANSLATE(B70, ""en"", ""ur"")"),"ایک کھلاڑی گلی کو مارتا ہے، اور یہ اتر کر رک جاتا ہے۔ تاہم، اسے رکنے سے پہلے ہی پرواز میں مخالف کھلاڑی نے ہلکے سے چھوا تھا۔ اس کا کیا حکم ہے؟")</f>
        <v>ایک کھلاڑی گلی کو مارتا ہے، اور یہ اتر کر رک جاتا ہے۔ تاہم، اسے رکنے سے پہلے ہی پرواز میں مخالف کھلاڑی نے ہلکے سے چھوا تھا۔ اس کا کیا حکم ہے؟</v>
      </c>
      <c r="L70" s="6" t="str">
        <f>IFERROR(__xludf.DUMMYFUNCTION("GOOGLETRANSLATE(C70, ""en"", ""ur"")"),"A) ہڑتال درست ہے، اور فاصلہ ناپا جاتا ہے، B) مداخلت کی وجہ سے ہڑتال غلط ہے، C) کھلاڑی کو دوبارہ مارا جاتا ہے، D) مخالف ٹیم کو جرمانہ کیا جاتا ہے")</f>
        <v>A) ہڑتال درست ہے، اور فاصلہ ناپا جاتا ہے، B) مداخلت کی وجہ سے ہڑتال غلط ہے، C) کھلاڑی کو دوبارہ مارا جاتا ہے، D) مخالف ٹیم کو جرمانہ کیا جاتا ہے</v>
      </c>
      <c r="M70" s="6" t="str">
        <f>IFERROR(__xludf.DUMMYFUNCTION("GOOGLETRANSLATE(D70, ""en"", ""ur"")"),"A) ہڑتال درست ہے، اور فاصلہ ناپا جاتا ہے۔")</f>
        <v>A) ہڑتال درست ہے، اور فاصلہ ناپا جاتا ہے۔</v>
      </c>
      <c r="N70" s="6" t="str">
        <f>IFERROR(__xludf.DUMMYFUNCTION("GOOGLETRANSLATE(E70, ""en"", ""ur"")"),"کسی فیلڈر کا ہلکا سا ٹچ جس کے نتیجے میں کیچ نہیں نکلتا ہے وہ درست ہٹ کو باطل نہیں کرتا۔")</f>
        <v>کسی فیلڈر کا ہلکا سا ٹچ جس کے نتیجے میں کیچ نہیں نکلتا ہے وہ درست ہٹ کو باطل نہیں کرتا۔</v>
      </c>
    </row>
    <row r="71">
      <c r="A71" s="4">
        <v>70.0</v>
      </c>
      <c r="B71" s="5" t="s">
        <v>2364</v>
      </c>
      <c r="C71" s="5" t="s">
        <v>2365</v>
      </c>
      <c r="D71" s="5" t="s">
        <v>2366</v>
      </c>
      <c r="E71" s="5" t="s">
        <v>2367</v>
      </c>
      <c r="J71" s="6" t="str">
        <f>IFERROR(__xludf.DUMMYFUNCTION("GOOGLETRANSLATE(A71, ""en"", ""ur"")"),"70")</f>
        <v>70</v>
      </c>
      <c r="K71" s="6" t="str">
        <f>IFERROR(__xludf.DUMMYFUNCTION("GOOGLETRANSLATE(B71, ""en"", ""ur"")"),"ایک گلی پانی کے گڑھے میں اترتی ہے، جس سے ڈنڈا سے پیمائش مشکل ہو جاتی ہے۔ امپائر کو کیا کرنا چاہیے؟")</f>
        <v>ایک گلی پانی کے گڑھے میں اترتی ہے، جس سے ڈنڈا سے پیمائش مشکل ہو جاتی ہے۔ امپائر کو کیا کرنا چاہیے؟</v>
      </c>
      <c r="L71" s="6" t="str">
        <f>IFERROR(__xludf.DUMMYFUNCTION("GOOGLETRANSLATE(C71, ""en"", ""ur"")"),"A) پوڈل کے کنارے تک فاصلے کا اندازہ لگائیں، B) ہٹ کے لیے پہلے سے طے شدہ پوائنٹس، C) اسٹرائیک کو غلط قرار دیں، D) کھلاڑی کو دوبارہ ہٹ کرنے کی اجازت دیں")</f>
        <v>A) پوڈل کے کنارے تک فاصلے کا اندازہ لگائیں، B) ہٹ کے لیے پہلے سے طے شدہ پوائنٹس، C) اسٹرائیک کو غلط قرار دیں، D) کھلاڑی کو دوبارہ ہٹ کرنے کی اجازت دیں</v>
      </c>
      <c r="M71" s="6" t="str">
        <f>IFERROR(__xludf.DUMMYFUNCTION("GOOGLETRANSLATE(D71, ""en"", ""ur"")"),"ا) پوڈل کے کنارے تک فاصلے کا اندازہ لگائیں۔")</f>
        <v>ا) پوڈل کے کنارے تک فاصلے کا اندازہ لگائیں۔</v>
      </c>
      <c r="N71" s="6" t="str">
        <f>IFERROR(__xludf.DUMMYFUNCTION("GOOGLETRANSLATE(E71, ""en"", ""ur"")"),"ایسی صورتوں میں جہاں براہ راست پیمائش مشکل ہو، امپائر اثر کے مقام تک مناسب تخمینہ لگائے گا۔")</f>
        <v>ایسی صورتوں میں جہاں براہ راست پیمائش مشکل ہو، امپائر اثر کے مقام تک مناسب تخمینہ لگائے گا۔</v>
      </c>
    </row>
    <row r="72">
      <c r="A72" s="4">
        <v>71.0</v>
      </c>
      <c r="B72" s="5" t="s">
        <v>2368</v>
      </c>
      <c r="C72" s="5" t="s">
        <v>2369</v>
      </c>
      <c r="D72" s="5" t="s">
        <v>2370</v>
      </c>
      <c r="E72" s="5" t="s">
        <v>2371</v>
      </c>
      <c r="J72" s="6" t="str">
        <f>IFERROR(__xludf.DUMMYFUNCTION("GOOGLETRANSLATE(A72, ""en"", ""ur"")"),"71")</f>
        <v>71</v>
      </c>
      <c r="K72" s="6" t="str">
        <f>IFERROR(__xludf.DUMMYFUNCTION("GOOGLETRANSLATE(B72, ""en"", ""ur"")"),"ایک کھلاڑی ڈنڈا کو گولف کلب کی طرح استعمال کرتے ہوئے ایک غیر روایتی تکنیک سے گلی کو مارتا ہے۔ امپائر ہڑتال کی اجازت دیتا ہے۔ کیوں؟")</f>
        <v>ایک کھلاڑی ڈنڈا کو گولف کلب کی طرح استعمال کرتے ہوئے ایک غیر روایتی تکنیک سے گلی کو مارتا ہے۔ امپائر ہڑتال کی اجازت دیتا ہے۔ کیوں؟</v>
      </c>
      <c r="L72" s="6" t="str">
        <f>IFERROR(__xludf.DUMMYFUNCTION("GOOGLETRANSLATE(C72, ""en"", ""ur"")"),"A) تمام سٹرائیکنگ تکنیکیں درست ہیں، B) جب تک گلی فاصلہ کی ضرورت کو پورا کرتی ہے، تکنیک درست ہے، C) کھلاڑی کو جرمانہ کیا جاتا ہے، لیکن ہٹ اسٹینڈ، D) کھلاڑی کو معیاری تکنیک کا استعمال کرتے ہوئے دوبارہ مارنا چاہیے۔")</f>
        <v>A) تمام سٹرائیکنگ تکنیکیں درست ہیں، B) جب تک گلی فاصلہ کی ضرورت کو پورا کرتی ہے، تکنیک درست ہے، C) کھلاڑی کو جرمانہ کیا جاتا ہے، لیکن ہٹ اسٹینڈ، D) کھلاڑی کو معیاری تکنیک کا استعمال کرتے ہوئے دوبارہ مارنا چاہیے۔</v>
      </c>
      <c r="M72" s="6" t="str">
        <f>IFERROR(__xludf.DUMMYFUNCTION("GOOGLETRANSLATE(D72, ""en"", ""ur"")"),"ب) جب تک گلی فاصلے کی ضرورت کو پورا کرتی ہے، تکنیک درست ہے۔")</f>
        <v>ب) جب تک گلی فاصلے کی ضرورت کو پورا کرتی ہے، تکنیک درست ہے۔</v>
      </c>
      <c r="N72" s="6" t="str">
        <f>IFERROR(__xludf.DUMMYFUNCTION("GOOGLETRANSLATE(E72, ""en"", ""ur"")"),"گلی ڈنڈا میں اسٹرائیک اسٹائل پر کوئی سخت قاعدہ نہیں ہے۔ جب تک بنیادی میکانکس کی پیروی کی جائے گی، ہٹ درست ہے۔")</f>
        <v>گلی ڈنڈا میں اسٹرائیک اسٹائل پر کوئی سخت قاعدہ نہیں ہے۔ جب تک بنیادی میکانکس کی پیروی کی جائے گی، ہٹ درست ہے۔</v>
      </c>
    </row>
    <row r="73">
      <c r="A73" s="4">
        <v>72.0</v>
      </c>
      <c r="B73" s="5" t="s">
        <v>2372</v>
      </c>
      <c r="C73" s="5" t="s">
        <v>2373</v>
      </c>
      <c r="D73" s="5" t="s">
        <v>2374</v>
      </c>
      <c r="E73" s="5" t="s">
        <v>2375</v>
      </c>
      <c r="J73" s="6" t="str">
        <f>IFERROR(__xludf.DUMMYFUNCTION("GOOGLETRANSLATE(A73, ""en"", ""ur"")"),"72")</f>
        <v>72</v>
      </c>
      <c r="K73" s="6" t="str">
        <f>IFERROR(__xludf.DUMMYFUNCTION("GOOGLETRANSLATE(B73, ""en"", ""ur"")"),"ایک کھلاڑی گلی کو مارتا ہے، اور یہ 10 ڈنڈا کی لمبائی کے فاصلے پر اترنے سے پہلے قریبی درخت سے ٹکرا جاتا ہے۔ مخالف ٹیم کا احتجاج۔ اس کا کیا حکم ہے؟")</f>
        <v>ایک کھلاڑی گلی کو مارتا ہے، اور یہ 10 ڈنڈا کی لمبائی کے فاصلے پر اترنے سے پہلے قریبی درخت سے ٹکرا جاتا ہے۔ مخالف ٹیم کا احتجاج۔ اس کا کیا حکم ہے؟</v>
      </c>
      <c r="L73" s="6" t="str">
        <f>IFERROR(__xludf.DUMMYFUNCTION("GOOGLETRANSLATE(C73, ""en"", ""ur"")"),"A) درخت سے ٹکرانے کی وجہ سے ہڑتال باطل ہے، B) ہڑتال درست ہے، اور فاصلہ ناپا جاتا ہے، C) گلی کو دوبارہ مارنا ضروری ہے، D) کوئی پوائنٹ نہیں دیا جاتا، لیکن باری جاری رہتی ہے۔")</f>
        <v>A) درخت سے ٹکرانے کی وجہ سے ہڑتال باطل ہے، B) ہڑتال درست ہے، اور فاصلہ ناپا جاتا ہے، C) گلی کو دوبارہ مارنا ضروری ہے، D) کوئی پوائنٹ نہیں دیا جاتا، لیکن باری جاری رہتی ہے۔</v>
      </c>
      <c r="M73" s="6" t="str">
        <f>IFERROR(__xludf.DUMMYFUNCTION("GOOGLETRANSLATE(D73, ""en"", ""ur"")"),"C) گلی کو دوبارہ مارنا ضروری ہے۔")</f>
        <v>C) گلی کو دوبارہ مارنا ضروری ہے۔</v>
      </c>
      <c r="N73" s="6" t="str">
        <f>IFERROR(__xludf.DUMMYFUNCTION("GOOGLETRANSLATE(E73, ""en"", ""ur"")"),"ایک درخت کی طرح رکاوٹ کو مارنا جو گلی کے قدرتی پرواز کے راستے کو نمایاں طور پر تبدیل کرتا ہے عام طور پر موڑ کو دوبارہ چلانے کا نتیجہ ہوتا ہے۔")</f>
        <v>ایک درخت کی طرح رکاوٹ کو مارنا جو گلی کے قدرتی پرواز کے راستے کو نمایاں طور پر تبدیل کرتا ہے عام طور پر موڑ کو دوبارہ چلانے کا نتیجہ ہوتا ہے۔</v>
      </c>
    </row>
    <row r="74">
      <c r="A74" s="4">
        <v>73.0</v>
      </c>
      <c r="B74" s="5" t="s">
        <v>2376</v>
      </c>
      <c r="C74" s="5" t="s">
        <v>2377</v>
      </c>
      <c r="D74" s="5" t="s">
        <v>2378</v>
      </c>
      <c r="E74" s="5" t="s">
        <v>2379</v>
      </c>
      <c r="J74" s="6" t="str">
        <f>IFERROR(__xludf.DUMMYFUNCTION("GOOGLETRANSLATE(A74, ""en"", ""ur"")"),"73")</f>
        <v>73</v>
      </c>
      <c r="K74" s="6" t="str">
        <f>IFERROR(__xludf.DUMMYFUNCTION("GOOGLETRANSLATE(B74, ""en"", ""ur"")"),"ایک فیلڈر گلی کو اپنے پاؤں سے روکتا ہے اور پھر اسے واپس پھینک دیتا ہے۔ کیا یہ قانونی ہے؟")</f>
        <v>ایک فیلڈر گلی کو اپنے پاؤں سے روکتا ہے اور پھر اسے واپس پھینک دیتا ہے۔ کیا یہ قانونی ہے؟</v>
      </c>
      <c r="L74" s="6" t="str">
        <f>IFERROR(__xludf.DUMMYFUNCTION("GOOGLETRANSLATE(C74, ""en"", ""ur"")"),"A) نہیں، صرف ہاتھ استعمال کیے جا سکتے ہیں، B) ہاں، ایک فیلڈر اپنے جسم کے کسی بھی حصے سے گلی کو روک سکتا ہے، C) صرف اس صورت میں جب گلی زمین پر ہو، D) اس کے نتیجے میں جرمانہ ہو گا۔")</f>
        <v>A) نہیں، صرف ہاتھ استعمال کیے جا سکتے ہیں، B) ہاں، ایک فیلڈر اپنے جسم کے کسی بھی حصے سے گلی کو روک سکتا ہے، C) صرف اس صورت میں جب گلی زمین پر ہو، D) اس کے نتیجے میں جرمانہ ہو گا۔</v>
      </c>
      <c r="M74" s="6" t="str">
        <f>IFERROR(__xludf.DUMMYFUNCTION("GOOGLETRANSLATE(D74, ""en"", ""ur"")"),"ب) جی ہاں، ایک فیلڈر اپنے جسم کے کسی بھی حصے سے گلی کو روک سکتا ہے۔")</f>
        <v>ب) جی ہاں، ایک فیلڈر اپنے جسم کے کسی بھی حصے سے گلی کو روک سکتا ہے۔</v>
      </c>
      <c r="N74" s="6" t="str">
        <f>IFERROR(__xludf.DUMMYFUNCTION("GOOGLETRANSLATE(E74, ""en"", ""ur"")"),"ایک فیلڈر گلی کو پھینکنے سے پہلے اسے روکنے کے لیے اپنے ہاتھ، پاؤں یا جسم کا استعمال کر سکتا ہے۔")</f>
        <v>ایک فیلڈر گلی کو پھینکنے سے پہلے اسے روکنے کے لیے اپنے ہاتھ، پاؤں یا جسم کا استعمال کر سکتا ہے۔</v>
      </c>
    </row>
    <row r="75">
      <c r="A75" s="4">
        <v>74.0</v>
      </c>
      <c r="B75" s="5" t="s">
        <v>2380</v>
      </c>
      <c r="C75" s="5" t="s">
        <v>2381</v>
      </c>
      <c r="D75" s="5" t="s">
        <v>2382</v>
      </c>
      <c r="E75" s="5" t="s">
        <v>2383</v>
      </c>
      <c r="J75" s="6" t="str">
        <f>IFERROR(__xludf.DUMMYFUNCTION("GOOGLETRANSLATE(A75, ""en"", ""ur"")"),"74")</f>
        <v>74</v>
      </c>
      <c r="K75" s="6" t="str">
        <f>IFERROR(__xludf.DUMMYFUNCTION("GOOGLETRANSLATE(B75, ""en"", ""ur"")"),"ٹیم کے کھیل میں، ایک کھلاڑی زیادہ بہتر اسٹرائیکر ہوتا ہے۔ مشترکہ حکمت عملی کیا ہے؟")</f>
        <v>ٹیم کے کھیل میں، ایک کھلاڑی زیادہ بہتر اسٹرائیکر ہوتا ہے۔ مشترکہ حکمت عملی کیا ہے؟</v>
      </c>
      <c r="L75" s="6" t="str">
        <f>IFERROR(__xludf.DUMMYFUNCTION("GOOGLETRANSLATE(C75, ""en"", ""ur"")"),"A) اس کھلاڑی کو تمام موڑ لینے دینا، B) ٹیم کے اسکور کو زیادہ سے زیادہ کرنے کے لیے اس کھلاڑی کو زیادہ سے زیادہ وقت تک ""ان"" میں رکھنے کی کوشش کرنا، C) اس کھلاڑی کو اس کے بجائے فیلڈر بنانا، D) قواعد کو تبدیل کرنا")</f>
        <v>A) اس کھلاڑی کو تمام موڑ لینے دینا، B) ٹیم کے اسکور کو زیادہ سے زیادہ کرنے کے لیے اس کھلاڑی کو زیادہ سے زیادہ وقت تک "ان" میں رکھنے کی کوشش کرنا، C) اس کھلاڑی کو اس کے بجائے فیلڈر بنانا، D) قواعد کو تبدیل کرنا</v>
      </c>
      <c r="M75" s="6" t="str">
        <f>IFERROR(__xludf.DUMMYFUNCTION("GOOGLETRANSLATE(D75, ""en"", ""ur"")"),"ب) ٹیم کے اسکور کو زیادہ سے زیادہ کرنے کے لیے اس کھلاڑی کو زیادہ سے زیادہ وقت تک ""ان"" میں رکھنے کی کوشش کرنا")</f>
        <v>ب) ٹیم کے اسکور کو زیادہ سے زیادہ کرنے کے لیے اس کھلاڑی کو زیادہ سے زیادہ وقت تک "ان" میں رکھنے کی کوشش کرنا</v>
      </c>
      <c r="N75" s="6" t="str">
        <f>IFERROR(__xludf.DUMMYFUNCTION("GOOGLETRANSLATE(E75, ""en"", ""ur"")"),"ٹیمیں اپنے بہترین اسٹرائیکر کو بچانے کی کوشش کریں گی، جس سے وہ اپنی باری ختم ہونے سے پہلے بڑا سکور بنا سکیں گے۔")</f>
        <v>ٹیمیں اپنے بہترین اسٹرائیکر کو بچانے کی کوشش کریں گی، جس سے وہ اپنی باری ختم ہونے سے پہلے بڑا سکور بنا سکیں گے۔</v>
      </c>
    </row>
    <row r="76">
      <c r="A76" s="4">
        <v>75.0</v>
      </c>
      <c r="B76" s="5" t="s">
        <v>2384</v>
      </c>
      <c r="C76" s="5" t="s">
        <v>2385</v>
      </c>
      <c r="D76" s="5" t="s">
        <v>2123</v>
      </c>
      <c r="E76" s="5" t="s">
        <v>2386</v>
      </c>
      <c r="J76" s="6" t="str">
        <f>IFERROR(__xludf.DUMMYFUNCTION("GOOGLETRANSLATE(A76, ""en"", ""ur"")"),"75")</f>
        <v>75</v>
      </c>
      <c r="K76" s="6" t="str">
        <f>IFERROR(__xludf.DUMMYFUNCTION("GOOGLETRANSLATE(B76, ""en"", ""ur"")"),"ایک کھلاڑی آؤٹ ہوتا ہے کیونکہ فیلڈر کا تھرو اڈے پر ڈنڈا سے ٹکرا جاتا ہے۔ برطرفی کی اس شکل کو کیا کہتے ہیں؟")</f>
        <v>ایک کھلاڑی آؤٹ ہوتا ہے کیونکہ فیلڈر کا تھرو اڈے پر ڈنڈا سے ٹکرا جاتا ہے۔ برطرفی کی اس شکل کو کیا کہتے ہیں؟</v>
      </c>
      <c r="L76" s="6" t="str">
        <f>IFERROR(__xludf.DUMMYFUNCTION("GOOGLETRANSLATE(C76, ""en"", ""ur"")"),"A) ایک کیچ، B) ایک 'ڈنڈا آؤٹ' یا 'Pittù آؤٹ'، C) ایک اسٹمپنگ، D) ایک ہٹ وکٹ")</f>
        <v>A) ایک کیچ، B) ایک 'ڈنڈا آؤٹ' یا 'Pittù آؤٹ'، C) ایک اسٹمپنگ، D) ایک ہٹ وکٹ</v>
      </c>
      <c r="M76" s="6" t="str">
        <f>IFERROR(__xludf.DUMMYFUNCTION("GOOGLETRANSLATE(D76, ""en"", ""ur"")"),"ب) ایک 'ڈنڈا آؤٹ' یا 'پٹو آؤٹ'")</f>
        <v>ب) ایک 'ڈنڈا آؤٹ' یا 'پٹو آؤٹ'</v>
      </c>
      <c r="N76" s="6" t="str">
        <f>IFERROR(__xludf.DUMMYFUNCTION("GOOGLETRANSLATE(E76, ""en"", ""ur"")"),"یہ ""رن آؤٹ"" کے آؤٹ ہونے کا نام ہے، جہاں فیلڈر ""گیند"" (گلی) سے کامیابی سے ""وکٹ"" (ڈنڈا) کو مارتا ہے۔")</f>
        <v>یہ "رن آؤٹ" کے آؤٹ ہونے کا نام ہے، جہاں فیلڈر "گیند" (گلی) سے کامیابی سے "وکٹ" (ڈنڈا) کو مارتا ہے۔</v>
      </c>
    </row>
    <row r="77">
      <c r="A77" s="4">
        <v>76.0</v>
      </c>
      <c r="B77" s="5" t="s">
        <v>2387</v>
      </c>
      <c r="C77" s="5" t="s">
        <v>2388</v>
      </c>
      <c r="D77" s="5" t="s">
        <v>2389</v>
      </c>
      <c r="E77" s="5" t="s">
        <v>2390</v>
      </c>
      <c r="J77" s="6" t="str">
        <f>IFERROR(__xludf.DUMMYFUNCTION("GOOGLETRANSLATE(A77, ""en"", ""ur"")"),"76")</f>
        <v>76</v>
      </c>
      <c r="K77" s="6" t="str">
        <f>IFERROR(__xludf.DUMMYFUNCTION("GOOGLETRANSLATE(B77, ""en"", ""ur"")"),"ایک اسٹرائیکر گلی کو مارتا ہے، اور یہ ایک درخت میں اونچا ہو جاتا ہے۔ اس کا کیا حکم ہے؟")</f>
        <v>ایک اسٹرائیکر گلی کو مارتا ہے، اور یہ ایک درخت میں اونچا ہو جاتا ہے۔ اس کا کیا حکم ہے؟</v>
      </c>
      <c r="L77" s="6" t="str">
        <f>IFERROR(__xludf.DUMMYFUNCTION("GOOGLETRANSLATE(C77, ""en"", ""ur"")"),"A) اسٹرائیکر گلی کو کھونے کے لئے باہر ہے، B) باری دوبارہ چلائی جاتی ہے، C) اسکور کو گلی کے نیچے زمین پر پوائنٹ تک ناپا جاتا ہے، D) اسٹرائیکر کو بونس پوائنٹ ملتا ہے۔")</f>
        <v>A) اسٹرائیکر گلی کو کھونے کے لئے باہر ہے، B) باری دوبارہ چلائی جاتی ہے، C) اسکور کو گلی کے نیچے زمین پر پوائنٹ تک ناپا جاتا ہے، D) اسٹرائیکر کو بونس پوائنٹ ملتا ہے۔</v>
      </c>
      <c r="M77" s="6" t="str">
        <f>IFERROR(__xludf.DUMMYFUNCTION("GOOGLETRANSLATE(D77, ""en"", ""ur"")"),"سی) اسکور کو گلی کے نیچے زمین پر پوائنٹ تک ناپا جاتا ہے۔")</f>
        <v>سی) اسکور کو گلی کے نیچے زمین پر پوائنٹ تک ناپا جاتا ہے۔</v>
      </c>
      <c r="N77" s="6" t="str">
        <f>IFERROR(__xludf.DUMMYFUNCTION("GOOGLETRANSLATE(E77, ""en"", ""ur"")"),"گلی کے پھنس جانے سے نمٹنے کے لیے یہ عام غیر رسمی اصول ہے۔ افقی فاصلہ وہی ہے جو ماپا جاتا ہے۔")</f>
        <v>گلی کے پھنس جانے سے نمٹنے کے لیے یہ عام غیر رسمی اصول ہے۔ افقی فاصلہ وہی ہے جو ماپا جاتا ہے۔</v>
      </c>
    </row>
    <row r="78">
      <c r="A78" s="4">
        <v>77.0</v>
      </c>
      <c r="B78" s="5" t="s">
        <v>2391</v>
      </c>
      <c r="C78" s="5" t="s">
        <v>2392</v>
      </c>
      <c r="D78" s="5" t="s">
        <v>2393</v>
      </c>
      <c r="E78" s="5" t="s">
        <v>2394</v>
      </c>
      <c r="J78" s="6" t="str">
        <f>IFERROR(__xludf.DUMMYFUNCTION("GOOGLETRANSLATE(A78, ""en"", ""ur"")"),"77")</f>
        <v>77</v>
      </c>
      <c r="K78" s="6" t="str">
        <f>IFERROR(__xludf.DUMMYFUNCTION("GOOGLETRANSLATE(B78, ""en"", ""ur"")"),"ایک کھلاڑی کو ""ڈنڈا ماہر"" کہا جاتا ہے۔ اس کا کیا مطلب ہے؟")</f>
        <v>ایک کھلاڑی کو "ڈنڈا ماہر" کہا جاتا ہے۔ اس کا کیا مطلب ہے؟</v>
      </c>
      <c r="L78" s="6" t="str">
        <f>IFERROR(__xludf.DUMMYFUNCTION("GOOGLETRANSLATE(C78, ""en"", ""ur"")"),"A) وہ سازوسامان بنانے میں بہت اچھے ہیں، B) وہ ایک غیر معمولی طاقتور اور درست اسٹرائیکر ہیں، C) وہ فاصلہ ماپنے میں بہت اچھے ہیں، D) وہ صرف اسٹرائیکر کے طور پر کھیلتے ہیں اور فیلڈ نہیں کرتے")</f>
        <v>A) وہ سازوسامان بنانے میں بہت اچھے ہیں، B) وہ ایک غیر معمولی طاقتور اور درست اسٹرائیکر ہیں، C) وہ فاصلہ ماپنے میں بہت اچھے ہیں، D) وہ صرف اسٹرائیکر کے طور پر کھیلتے ہیں اور فیلڈ نہیں کرتے</v>
      </c>
      <c r="M78" s="6" t="str">
        <f>IFERROR(__xludf.DUMMYFUNCTION("GOOGLETRANSLATE(D78, ""en"", ""ur"")"),"ب) وہ ایک غیر معمولی طاقتور اور درست اسٹرائیکر ہیں۔")</f>
        <v>ب) وہ ایک غیر معمولی طاقتور اور درست اسٹرائیکر ہیں۔</v>
      </c>
      <c r="N78" s="6" t="str">
        <f>IFERROR(__xludf.DUMMYFUNCTION("GOOGLETRANSLATE(E78, ""en"", ""ur"")"),"یہ ایک ایسے کھلاڑی کے لیے احترام کی اصطلاح ہے جس نے گلی کو زیادہ سے زیادہ فاصلے تک مارنے کے فن میں مہارت حاصل کی ہو۔")</f>
        <v>یہ ایک ایسے کھلاڑی کے لیے احترام کی اصطلاح ہے جس نے گلی کو زیادہ سے زیادہ فاصلے تک مارنے کے فن میں مہارت حاصل کی ہو۔</v>
      </c>
    </row>
    <row r="79">
      <c r="A79" s="4">
        <v>78.0</v>
      </c>
      <c r="B79" s="5" t="s">
        <v>2395</v>
      </c>
      <c r="C79" s="5" t="s">
        <v>2396</v>
      </c>
      <c r="D79" s="5" t="s">
        <v>2397</v>
      </c>
      <c r="E79" s="5" t="s">
        <v>2398</v>
      </c>
      <c r="J79" s="6" t="str">
        <f>IFERROR(__xludf.DUMMYFUNCTION("GOOGLETRANSLATE(A79, ""en"", ""ur"")"),"78")</f>
        <v>78</v>
      </c>
      <c r="K79" s="6" t="str">
        <f>IFERROR(__xludf.DUMMYFUNCTION("GOOGLETRANSLATE(B79, ""en"", ""ur"")"),"ایک فیلڈر گلی کو اپنی ٹوپی میں پکڑتا ہے۔ کیا یہ قانونی پکڑ ہے؟")</f>
        <v>ایک فیلڈر گلی کو اپنی ٹوپی میں پکڑتا ہے۔ کیا یہ قانونی پکڑ ہے؟</v>
      </c>
      <c r="L79" s="6" t="str">
        <f>IFERROR(__xludf.DUMMYFUNCTION("GOOGLETRANSLATE(C79, ""en"", ""ur"")"),"A) جی ہاں، جب تک یہ زمین کو نہ چھوئے، B) نہیں، کیچ ہاتھوں سے لیا جانا چاہیے، C) یہ فیصلہ اسٹرائیکر پر منحصر ہے، D) باری دوبارہ چلائی جاتی ہے۔")</f>
        <v>A) جی ہاں، جب تک یہ زمین کو نہ چھوئے، B) نہیں، کیچ ہاتھوں سے لیا جانا چاہیے، C) یہ فیصلہ اسٹرائیکر پر منحصر ہے، D) باری دوبارہ چلائی جاتی ہے۔</v>
      </c>
      <c r="M79" s="6" t="str">
        <f>IFERROR(__xludf.DUMMYFUNCTION("GOOGLETRANSLATE(D79, ""en"", ""ur"")"),"ب) نہیں، کیچ کو ہاتھوں سے بنایا جانا چاہیے۔")</f>
        <v>ب) نہیں، کیچ کو ہاتھوں سے بنایا جانا چاہیے۔</v>
      </c>
      <c r="N79" s="6" t="str">
        <f>IFERROR(__xludf.DUMMYFUNCTION("GOOGLETRANSLATE(E79, ""en"", ""ur"")"),"روایتی اصولوں میں، کیچ صرف اس صورت میں درست ہے جب ننگے ہاتھوں سے بنایا جائے۔ کیچ میں مدد کے لیے ٹوپی یا قمیض جیسے کپڑے استعمال کرنے کی اجازت نہیں ہے۔")</f>
        <v>روایتی اصولوں میں، کیچ صرف اس صورت میں درست ہے جب ننگے ہاتھوں سے بنایا جائے۔ کیچ میں مدد کے لیے ٹوپی یا قمیض جیسے کپڑے استعمال کرنے کی اجازت نہیں ہے۔</v>
      </c>
    </row>
    <row r="80">
      <c r="A80" s="4">
        <v>79.0</v>
      </c>
      <c r="B80" s="5" t="s">
        <v>2399</v>
      </c>
      <c r="C80" s="5" t="s">
        <v>2400</v>
      </c>
      <c r="D80" s="5" t="s">
        <v>2401</v>
      </c>
      <c r="E80" s="5" t="s">
        <v>2402</v>
      </c>
      <c r="J80" s="6" t="str">
        <f>IFERROR(__xludf.DUMMYFUNCTION("GOOGLETRANSLATE(A80, ""en"", ""ur"")"),"79")</f>
        <v>79</v>
      </c>
      <c r="K80" s="6" t="str">
        <f>IFERROR(__xludf.DUMMYFUNCTION("GOOGLETRANSLATE(B80, ""en"", ""ur"")"),"'ٹُلا' ہٹ کیا ہے؟")</f>
        <v>'ٹُلا' ہٹ کیا ہے؟</v>
      </c>
      <c r="L80" s="6" t="str">
        <f>IFERROR(__xludf.DUMMYFUNCTION("GOOGLETRANSLATE(C80, ""en"", ""ur"")"),"A) ایک بہت اونچی، لوپنگ ہٹ، B) ایک بہت ہی مختصر ہٹ، C) ایک طاقتور، چپٹی اور تیز ہٹ، D) ایک ہٹ جو پیچھے کی طرف جاتی ہے۔")</f>
        <v>A) ایک بہت اونچی، لوپنگ ہٹ، B) ایک بہت ہی مختصر ہٹ، C) ایک طاقتور، چپٹی اور تیز ہٹ، D) ایک ہٹ جو پیچھے کی طرف جاتی ہے۔</v>
      </c>
      <c r="M80" s="6" t="str">
        <f>IFERROR(__xludf.DUMMYFUNCTION("GOOGLETRANSLATE(D80, ""en"", ""ur"")"),"ج) ایک طاقتور، فلیٹ، اور تیز ہٹ")</f>
        <v>ج) ایک طاقتور، فلیٹ، اور تیز ہٹ</v>
      </c>
      <c r="N80" s="6" t="str">
        <f>IFERROR(__xludf.DUMMYFUNCTION("GOOGLETRANSLATE(E80, ""en"", ""ur"")"),"'ٹُلا' ایک کامل، طاقتور اسٹرائیک کے لیے ایک اصطلاح ہے جو کم رفتار کے ساتھ لمبا فاصلہ طے کرتی ہے، جس سے اسے پکڑنا بہت مشکل ہو جاتا ہے۔")</f>
        <v>'ٹُلا' ایک کامل، طاقتور اسٹرائیک کے لیے ایک اصطلاح ہے جو کم رفتار کے ساتھ لمبا فاصلہ طے کرتی ہے، جس سے اسے پکڑنا بہت مشکل ہو جاتا ہے۔</v>
      </c>
    </row>
    <row r="81">
      <c r="A81" s="4">
        <v>80.0</v>
      </c>
      <c r="B81" s="5" t="s">
        <v>2403</v>
      </c>
      <c r="C81" s="5" t="s">
        <v>2404</v>
      </c>
      <c r="D81" s="5" t="s">
        <v>2405</v>
      </c>
      <c r="E81" s="5" t="s">
        <v>2406</v>
      </c>
      <c r="J81" s="6" t="str">
        <f>IFERROR(__xludf.DUMMYFUNCTION("GOOGLETRANSLATE(A81, ""en"", ""ur"")"),"80")</f>
        <v>80</v>
      </c>
      <c r="K81" s="6" t="str">
        <f>IFERROR(__xludf.DUMMYFUNCTION("GOOGLETRANSLATE(B81, ""en"", ""ur"")"),"ایک فیلڈر گلی کو کیچ کرتا ہے لیکن پھر باؤنڈری لائن پر گر جاتا ہے۔ کیا اسٹرائیکر باہر ہے؟")</f>
        <v>ایک فیلڈر گلی کو کیچ کرتا ہے لیکن پھر باؤنڈری لائن پر گر جاتا ہے۔ کیا اسٹرائیکر باہر ہے؟</v>
      </c>
      <c r="L81" s="6" t="str">
        <f>IFERROR(__xludf.DUMMYFUNCTION("GOOGLETRANSLATE(C81, ""en"", ""ur"")"),"A) جی ہاں، کیچ فیلڈ کے اندر بنایا گیا تھا، B) نہیں، فیلڈر کو فیلڈ کے اندر اپنے جسم پر مکمل کنٹرول ہونا چاہیے، C) باری دوبارہ چلائی جاتی ہے، D) اسٹرائیکر کو بونس پوائنٹ دیا جاتا ہے۔")</f>
        <v>A) جی ہاں، کیچ فیلڈ کے اندر بنایا گیا تھا، B) نہیں، فیلڈر کو فیلڈ کے اندر اپنے جسم پر مکمل کنٹرول ہونا چاہیے، C) باری دوبارہ چلائی جاتی ہے، D) اسٹرائیکر کو بونس پوائنٹ دیا جاتا ہے۔</v>
      </c>
      <c r="M81" s="6" t="str">
        <f>IFERROR(__xludf.DUMMYFUNCTION("GOOGLETRANSLATE(D81, ""en"", ""ur"")"),"ب) نہیں، فیلڈر کو فیلڈ کے اندر اپنے جسم پر مکمل کنٹرول ہونا چاہیے۔")</f>
        <v>ب) نہیں، فیلڈر کو فیلڈ کے اندر اپنے جسم پر مکمل کنٹرول ہونا چاہیے۔</v>
      </c>
      <c r="N81" s="6" t="str">
        <f>IFERROR(__xludf.DUMMYFUNCTION("GOOGLETRANSLATE(E81, ""en"", ""ur"")"),"کرکٹ کی طرح، ایک فیلڈر کو قانونی طور پر کھیل کے میدان کے اندر رہتے ہوئے کیچ مکمل کرنا چاہیے۔")</f>
        <v>کرکٹ کی طرح، ایک فیلڈر کو قانونی طور پر کھیل کے میدان کے اندر رہتے ہوئے کیچ مکمل کرنا چاہیے۔</v>
      </c>
    </row>
    <row r="82">
      <c r="A82" s="4">
        <v>81.0</v>
      </c>
      <c r="B82" s="5" t="s">
        <v>2407</v>
      </c>
      <c r="C82" s="5" t="s">
        <v>2408</v>
      </c>
      <c r="D82" s="5" t="s">
        <v>2409</v>
      </c>
      <c r="E82" s="5" t="s">
        <v>2410</v>
      </c>
      <c r="J82" s="6" t="str">
        <f>IFERROR(__xludf.DUMMYFUNCTION("GOOGLETRANSLATE(A82, ""en"", ""ur"")"),"81")</f>
        <v>81</v>
      </c>
      <c r="K82" s="6" t="str">
        <f>IFERROR(__xludf.DUMMYFUNCTION("GOOGLETRANSLATE(B82, ""en"", ""ur"")"),"اسٹرائیکر کے لئے ""تین کوشش"" کے اصول کی بنیادی وجہ کیا ہے؟")</f>
        <v>اسٹرائیکر کے لئے "تین کوشش" کے اصول کی بنیادی وجہ کیا ہے؟</v>
      </c>
      <c r="L82" s="6" t="str">
        <f>IFERROR(__xludf.DUMMYFUNCTION("GOOGLETRANSLATE(C82, ""en"", ""ur"")"),"A) کھیل کو زیادہ دیر تک چلانے کے لیے، B) اسٹرائیکر کو کھیل کو غیر معینہ مدت تک تاخیر سے روکنے کے لیے مناسب موقع فراہم کرنا، C) کھیل کو مزید مشکل بنانا، D) اسٹرائیکر کو تھکا دینا")</f>
        <v>A) کھیل کو زیادہ دیر تک چلانے کے لیے، B) اسٹرائیکر کو کھیل کو غیر معینہ مدت تک تاخیر سے روکنے کے لیے مناسب موقع فراہم کرنا، C) کھیل کو مزید مشکل بنانا، D) اسٹرائیکر کو تھکا دینا</v>
      </c>
      <c r="M82" s="6" t="str">
        <f>IFERROR(__xludf.DUMMYFUNCTION("GOOGLETRANSLATE(D82, ""en"", ""ur"")"),"ب) اسٹرائیکر کو کھیل کو غیر معینہ مدت تک موخر کرنے سے روکتے ہوئے انہیں مناسب موقع فراہم کرنا")</f>
        <v>ب) اسٹرائیکر کو کھیل کو غیر معینہ مدت تک موخر کرنے سے روکتے ہوئے انہیں مناسب موقع فراہم کرنا</v>
      </c>
      <c r="N82" s="6" t="str">
        <f>IFERROR(__xludf.DUMMYFUNCTION("GOOGLETRANSLATE(E82, ""en"", ""ur"")"),"تین موقعوں کی حد اسٹرائیکر کے ساتھ انصاف پسندی (جو شاید پہلی فلک سے محروم ہو جائے) اور کھیل کو رواں دواں رکھنے کے درمیان توازن ہے۔")</f>
        <v>تین موقعوں کی حد اسٹرائیکر کے ساتھ انصاف پسندی (جو شاید پہلی فلک سے محروم ہو جائے) اور کھیل کو رواں دواں رکھنے کے درمیان توازن ہے۔</v>
      </c>
    </row>
    <row r="83">
      <c r="A83" s="4">
        <v>82.0</v>
      </c>
      <c r="B83" s="5" t="s">
        <v>2411</v>
      </c>
      <c r="C83" s="5" t="s">
        <v>2412</v>
      </c>
      <c r="D83" s="5" t="s">
        <v>2389</v>
      </c>
      <c r="E83" s="5" t="s">
        <v>2390</v>
      </c>
      <c r="J83" s="6" t="str">
        <f>IFERROR(__xludf.DUMMYFUNCTION("GOOGLETRANSLATE(A83, ""en"", ""ur"")"),"82")</f>
        <v>82</v>
      </c>
      <c r="K83" s="6" t="str">
        <f>IFERROR(__xludf.DUMMYFUNCTION("GOOGLETRANSLATE(B83, ""en"", ""ur"")"),"ایک حملہ آور گلی کو مارتا ہے، اور وہ درخت کی شاخوں میں جا بیٹھتا ہے۔ اس کا کیا حکم ہے؟")</f>
        <v>ایک حملہ آور گلی کو مارتا ہے، اور وہ درخت کی شاخوں میں جا بیٹھتا ہے۔ اس کا کیا حکم ہے؟</v>
      </c>
      <c r="L83" s="6" t="str">
        <f>IFERROR(__xludf.DUMMYFUNCTION("GOOGLETRANSLATE(C83, ""en"", ""ur"")"),"A) اسٹرائیکر آؤٹ ہے، B) باری دوبارہ چلائی جاتی ہے، C) اسکور کو گلی کے سیدھے نیچے زمین پر پوائنٹ تک ناپا جاتا ہے، D) اسٹرائیکر کو بونس پوائنٹ ملتا ہے۔")</f>
        <v>A) اسٹرائیکر آؤٹ ہے، B) باری دوبارہ چلائی جاتی ہے، C) اسکور کو گلی کے سیدھے نیچے زمین پر پوائنٹ تک ناپا جاتا ہے، D) اسٹرائیکر کو بونس پوائنٹ ملتا ہے۔</v>
      </c>
      <c r="M83" s="6" t="str">
        <f>IFERROR(__xludf.DUMMYFUNCTION("GOOGLETRANSLATE(D83, ""en"", ""ur"")"),"سی) اسکور کو گلی کے نیچے زمین پر پوائنٹ تک ناپا جاتا ہے۔")</f>
        <v>سی) اسکور کو گلی کے نیچے زمین پر پوائنٹ تک ناپا جاتا ہے۔</v>
      </c>
      <c r="N83" s="6" t="str">
        <f>IFERROR(__xludf.DUMMYFUNCTION("GOOGLETRANSLATE(E83, ""en"", ""ur"")"),"گلی کے پھنس جانے سے نمٹنے کے لیے یہ عام غیر رسمی اصول ہے۔ افقی فاصلہ وہی ہے جو ماپا جاتا ہے۔")</f>
        <v>گلی کے پھنس جانے سے نمٹنے کے لیے یہ عام غیر رسمی اصول ہے۔ افقی فاصلہ وہی ہے جو ماپا جاتا ہے۔</v>
      </c>
    </row>
    <row r="84">
      <c r="A84" s="4">
        <v>83.0</v>
      </c>
      <c r="B84" s="5" t="s">
        <v>2413</v>
      </c>
      <c r="C84" s="5" t="s">
        <v>2414</v>
      </c>
      <c r="D84" s="5" t="s">
        <v>2415</v>
      </c>
      <c r="E84" s="5" t="s">
        <v>2416</v>
      </c>
      <c r="J84" s="6" t="str">
        <f>IFERROR(__xludf.DUMMYFUNCTION("GOOGLETRANSLATE(A84, ""en"", ""ur"")"),"83")</f>
        <v>83</v>
      </c>
      <c r="K84" s="6" t="str">
        <f>IFERROR(__xludf.DUMMYFUNCTION("GOOGLETRANSLATE(B84, ""en"", ""ur"")"),"اسٹرائیکر کے قریب ہائی رسک پوزیشن پر کھڑے فیلڈر کے لیے سب سے اہم معیار کیا ہے؟")</f>
        <v>اسٹرائیکر کے قریب ہائی رسک پوزیشن پر کھڑے فیلڈر کے لیے سب سے اہم معیار کیا ہے؟</v>
      </c>
      <c r="L84" s="6" t="str">
        <f>IFERROR(__xludf.DUMMYFUNCTION("GOOGLETRANSLATE(C84, ""en"", ""ur"")"),"A) ایک مضبوط پھینکنے والا بازو، B) تیز دوڑنے کی رفتار، C) بہترین اضطراب اور ہمت، D) اچھی بات چیت کی مہارت")</f>
        <v>A) ایک مضبوط پھینکنے والا بازو، B) تیز دوڑنے کی رفتار، C) بہترین اضطراب اور ہمت، D) اچھی بات چیت کی مہارت</v>
      </c>
      <c r="M84" s="6" t="str">
        <f>IFERROR(__xludf.DUMMYFUNCTION("GOOGLETRANSLATE(D84, ""en"", ""ur"")"),"ج) بہترین اضطراب اور ہمت")</f>
        <v>ج) بہترین اضطراب اور ہمت</v>
      </c>
      <c r="N84" s="6" t="str">
        <f>IFERROR(__xludf.DUMMYFUNCTION("GOOGLETRANSLATE(E84, ""en"", ""ur"")"),"""سلی پوائنٹ"" فیلڈر کو قلیل رینج سے تیز رفتاری سے گیلی ہٹ کو پکڑنے کے لیے قریب کھڑے ہونے کے لیے بہادری اور بجلی کی تیز رفتار اضطراری کی ضرورت ہوتی ہے۔")</f>
        <v>"سلی پوائنٹ" فیلڈر کو قلیل رینج سے تیز رفتاری سے گیلی ہٹ کو پکڑنے کے لیے قریب کھڑے ہونے کے لیے بہادری اور بجلی کی تیز رفتار اضطراری کی ضرورت ہوتی ہے۔</v>
      </c>
    </row>
    <row r="85">
      <c r="A85" s="4">
        <v>84.0</v>
      </c>
      <c r="B85" s="5" t="s">
        <v>2417</v>
      </c>
      <c r="C85" s="5" t="s">
        <v>2418</v>
      </c>
      <c r="D85" s="5" t="s">
        <v>156</v>
      </c>
      <c r="E85" s="5" t="s">
        <v>2419</v>
      </c>
      <c r="J85" s="6" t="str">
        <f>IFERROR(__xludf.DUMMYFUNCTION("GOOGLETRANSLATE(A85, ""en"", ""ur"")"),"84")</f>
        <v>84</v>
      </c>
      <c r="K85" s="6" t="str">
        <f>IFERROR(__xludf.DUMMYFUNCTION("GOOGLETRANSLATE(B85, ""en"", ""ur"")"),"اسٹرائیکر کی گلی کو ہوا میں ""جگل"" کرنے کی بنیادی وجہ کیا ہے؟")</f>
        <v>اسٹرائیکر کی گلی کو ہوا میں "جگل" کرنے کی بنیادی وجہ کیا ہے؟</v>
      </c>
      <c r="L85" s="6" t="str">
        <f>IFERROR(__xludf.DUMMYFUNCTION("GOOGLETRANSLATE(C85, ""en"", ""ur"")"),"A) اپنی صلاحیتوں کا مظاہرہ کرنے کے لیے، B) گلی کو اونچائی حاصل کرنے کی اجازت دینا اور اسے طاقتور اسٹرائیک کے لیے بالکل ٹھیک پوزیشن دینا، C) فیلڈرز کو الجھانے کے لیے، D) مندرجہ بالا سبھی")</f>
        <v>A) اپنی صلاحیتوں کا مظاہرہ کرنے کے لیے، B) گلی کو اونچائی حاصل کرنے کی اجازت دینا اور اسے طاقتور اسٹرائیک کے لیے بالکل ٹھیک پوزیشن دینا، C) فیلڈرز کو الجھانے کے لیے، D) مندرجہ بالا سبھی</v>
      </c>
      <c r="M85" s="6" t="str">
        <f>IFERROR(__xludf.DUMMYFUNCTION("GOOGLETRANSLATE(D85, ""en"", ""ur"")"),"D) مذکورہ بالا تمام")</f>
        <v>D) مذکورہ بالا تمام</v>
      </c>
      <c r="N85" s="6" t="str">
        <f>IFERROR(__xludf.DUMMYFUNCTION("GOOGLETRANSLATE(E85, ""en"", ""ur"")"),"جگلنگ مہارت کا مظاہرہ ہے، فیلڈرز کو الجھانے کا ایک طریقہ، اور سب سے اہم بات یہ ہے کہ پرفیکٹ ہٹ سیٹ کرنے کا ایک عملی طریقہ۔")</f>
        <v>جگلنگ مہارت کا مظاہرہ ہے، فیلڈرز کو الجھانے کا ایک طریقہ، اور سب سے اہم بات یہ ہے کہ پرفیکٹ ہٹ سیٹ کرنے کا ایک عملی طریقہ۔</v>
      </c>
    </row>
    <row r="86">
      <c r="A86" s="4">
        <v>85.0</v>
      </c>
      <c r="B86" s="5" t="s">
        <v>2420</v>
      </c>
      <c r="C86" s="5" t="s">
        <v>2421</v>
      </c>
      <c r="D86" s="5" t="s">
        <v>2422</v>
      </c>
      <c r="E86" s="5" t="s">
        <v>2423</v>
      </c>
      <c r="J86" s="6" t="str">
        <f>IFERROR(__xludf.DUMMYFUNCTION("GOOGLETRANSLATE(A86, ""en"", ""ur"")"),"85")</f>
        <v>85</v>
      </c>
      <c r="K86" s="6" t="str">
        <f>IFERROR(__xludf.DUMMYFUNCTION("GOOGLETRANSLATE(B86, ""en"", ""ur"")"),"کرکٹ جیسے رسمی کھیلوں کے مقابلے گلی ڈنڈا کی اہم اپیل کیا ہے؟")</f>
        <v>کرکٹ جیسے رسمی کھیلوں کے مقابلے گلی ڈنڈا کی اہم اپیل کیا ہے؟</v>
      </c>
      <c r="L86" s="6" t="str">
        <f>IFERROR(__xludf.DUMMYFUNCTION("GOOGLETRANSLATE(C86, ""en"", ""ur"")"),"A) اس کے زیادہ پیچیدہ اصول ہیں، B) اس کے لیے کسی مہنگے سامان یا خصوصی پچ کی ضرورت نہیں ہے، C) یہ ایک اولمپک کھیل ہے، D) یہ کرکٹ سے زیادہ محفوظ ہے۔")</f>
        <v>A) اس کے زیادہ پیچیدہ اصول ہیں، B) اس کے لیے کسی مہنگے سامان یا خصوصی پچ کی ضرورت نہیں ہے، C) یہ ایک اولمپک کھیل ہے، D) یہ کرکٹ سے زیادہ محفوظ ہے۔</v>
      </c>
      <c r="M86" s="6" t="str">
        <f>IFERROR(__xludf.DUMMYFUNCTION("GOOGLETRANSLATE(D86, ""en"", ""ur"")"),"ب) اس کے لیے کسی مہنگے سامان یا خصوصی پچ کی ضرورت نہیں ہے۔")</f>
        <v>ب) اس کے لیے کسی مہنگے سامان یا خصوصی پچ کی ضرورت نہیں ہے۔</v>
      </c>
      <c r="N86" s="6" t="str">
        <f>IFERROR(__xludf.DUMMYFUNCTION("GOOGLETRANSLATE(E86, ""en"", ""ur"")"),"اس کی سادگی اور رسائی ایک گلی اور گاؤں کے کھیل کے طور پر اس کی پائیدار مقبولیت کی بنیادی وجوہات ہیں۔")</f>
        <v>اس کی سادگی اور رسائی ایک گلی اور گاؤں کے کھیل کے طور پر اس کی پائیدار مقبولیت کی بنیادی وجوہات ہیں۔</v>
      </c>
    </row>
    <row r="87">
      <c r="A87" s="4">
        <v>86.0</v>
      </c>
      <c r="B87" s="5" t="s">
        <v>2424</v>
      </c>
      <c r="C87" s="5" t="s">
        <v>2425</v>
      </c>
      <c r="D87" s="5" t="s">
        <v>2426</v>
      </c>
      <c r="E87" s="5" t="s">
        <v>2427</v>
      </c>
      <c r="J87" s="6" t="str">
        <f>IFERROR(__xludf.DUMMYFUNCTION("GOOGLETRANSLATE(A87, ""en"", ""ur"")"),"86")</f>
        <v>86</v>
      </c>
      <c r="K87" s="6" t="str">
        <f>IFERROR(__xludf.DUMMYFUNCTION("GOOGLETRANSLATE(B87, ""en"", ""ur"")"),"ایک فیلڈر گلی کو پکڑتا ہے لیکن پرواز کے دوران اسے درخت کی شاخ نے چھوا تھا۔ کیا اسٹرائیکر باہر ہے؟")</f>
        <v>ایک فیلڈر گلی کو پکڑتا ہے لیکن پرواز کے دوران اسے درخت کی شاخ نے چھوا تھا۔ کیا اسٹرائیکر باہر ہے؟</v>
      </c>
      <c r="L87" s="6" t="str">
        <f>IFERROR(__xludf.DUMMYFUNCTION("GOOGLETRANSLATE(C87, ""en"", ""ur"")"),"A) ہاں، کیچ درست ہے، B) نہیں، بیرونی مداخلت کی وجہ سے کیچ باطل ہے، C) باری دوبارہ چلائی جاتی ہے، D) فیلڈر کو بونس پوائنٹ ملتا ہے۔")</f>
        <v>A) ہاں، کیچ درست ہے، B) نہیں، بیرونی مداخلت کی وجہ سے کیچ باطل ہے، C) باری دوبارہ چلائی جاتی ہے، D) فیلڈر کو بونس پوائنٹ ملتا ہے۔</v>
      </c>
      <c r="M87" s="6" t="str">
        <f>IFERROR(__xludf.DUMMYFUNCTION("GOOGLETRANSLATE(D87, ""en"", ""ur"")"),"ب) نہیں، بیرونی مداخلت کی وجہ سے کیچ باطل ہے۔")</f>
        <v>ب) نہیں، بیرونی مداخلت کی وجہ سے کیچ باطل ہے۔</v>
      </c>
      <c r="N87" s="6" t="str">
        <f>IFERROR(__xludf.DUMMYFUNCTION("GOOGLETRANSLATE(E87, ""en"", ""ur"")"),"اگر گلی کی قدرتی پرواز کے راستے کو کسی بیرونی چیز جیسے درخت کی شاخ سے تبدیل کیا جاتا ہے، تو اس کے بعد کیچ کو عام طور پر ناٹ آؤٹ سمجھا جاتا ہے۔")</f>
        <v>اگر گلی کی قدرتی پرواز کے راستے کو کسی بیرونی چیز جیسے درخت کی شاخ سے تبدیل کیا جاتا ہے، تو اس کے بعد کیچ کو عام طور پر ناٹ آؤٹ سمجھا جاتا ہے۔</v>
      </c>
    </row>
    <row r="88">
      <c r="A88" s="4">
        <v>87.0</v>
      </c>
      <c r="B88" s="5" t="s">
        <v>2391</v>
      </c>
      <c r="C88" s="5" t="s">
        <v>2428</v>
      </c>
      <c r="D88" s="5" t="s">
        <v>2393</v>
      </c>
      <c r="E88" s="5" t="s">
        <v>2394</v>
      </c>
      <c r="J88" s="6" t="str">
        <f>IFERROR(__xludf.DUMMYFUNCTION("GOOGLETRANSLATE(A88, ""en"", ""ur"")"),"87")</f>
        <v>87</v>
      </c>
      <c r="K88" s="6" t="str">
        <f>IFERROR(__xludf.DUMMYFUNCTION("GOOGLETRANSLATE(B88, ""en"", ""ur"")"),"ایک کھلاڑی کو ""ڈنڈا ماہر"" کہا جاتا ہے۔ اس کا کیا مطلب ہے؟")</f>
        <v>ایک کھلاڑی کو "ڈنڈا ماہر" کہا جاتا ہے۔ اس کا کیا مطلب ہے؟</v>
      </c>
      <c r="L88" s="6" t="str">
        <f>IFERROR(__xludf.DUMMYFUNCTION("GOOGLETRANSLATE(C88, ""en"", ""ur"")"),"A) وہ سازوسامان بنانے میں اچھے ہیں، B) وہ ایک غیر معمولی طاقتور اور درست اسٹرائیکر ہیں، C) وہ پیمائش کرنے میں اچھے ہیں، D) وہ صرف اسٹرائیکر کے طور پر کھیلتے ہیں")</f>
        <v>A) وہ سازوسامان بنانے میں اچھے ہیں، B) وہ ایک غیر معمولی طاقتور اور درست اسٹرائیکر ہیں، C) وہ پیمائش کرنے میں اچھے ہیں، D) وہ صرف اسٹرائیکر کے طور پر کھیلتے ہیں</v>
      </c>
      <c r="M88" s="6" t="str">
        <f>IFERROR(__xludf.DUMMYFUNCTION("GOOGLETRANSLATE(D88, ""en"", ""ur"")"),"ب) وہ ایک غیر معمولی طاقتور اور درست اسٹرائیکر ہیں۔")</f>
        <v>ب) وہ ایک غیر معمولی طاقتور اور درست اسٹرائیکر ہیں۔</v>
      </c>
      <c r="N88" s="6" t="str">
        <f>IFERROR(__xludf.DUMMYFUNCTION("GOOGLETRANSLATE(E88, ""en"", ""ur"")"),"یہ ایک ایسے کھلاڑی کے لیے احترام کی اصطلاح ہے جس نے گلی کو زیادہ سے زیادہ فاصلے تک مارنے کے فن میں مہارت حاصل کی ہو۔")</f>
        <v>یہ ایک ایسے کھلاڑی کے لیے احترام کی اصطلاح ہے جس نے گلی کو زیادہ سے زیادہ فاصلے تک مارنے کے فن میں مہارت حاصل کی ہو۔</v>
      </c>
    </row>
    <row r="89">
      <c r="A89" s="4">
        <v>88.0</v>
      </c>
      <c r="B89" s="5" t="s">
        <v>2429</v>
      </c>
      <c r="C89" s="5" t="s">
        <v>2430</v>
      </c>
      <c r="D89" s="5" t="s">
        <v>2431</v>
      </c>
      <c r="E89" s="5" t="s">
        <v>2432</v>
      </c>
      <c r="J89" s="6" t="str">
        <f>IFERROR(__xludf.DUMMYFUNCTION("GOOGLETRANSLATE(A89, ""en"", ""ur"")"),"88")</f>
        <v>88</v>
      </c>
      <c r="K89" s="6" t="str">
        <f>IFERROR(__xludf.DUMMYFUNCTION("GOOGLETRANSLATE(B89, ""en"", ""ur"")"),"اگر کوئی کھیل برابر ہوجاتا ہے، تو عام طور پر زیادہ منظم میچ میں فاتح کا فیصلہ کیسے کیا جاتا ہے؟")</f>
        <v>اگر کوئی کھیل برابر ہوجاتا ہے، تو عام طور پر زیادہ منظم میچ میں فاتح کا فیصلہ کیسے کیا جاتا ہے؟</v>
      </c>
      <c r="L89" s="6" t="str">
        <f>IFERROR(__xludf.DUMMYFUNCTION("GOOGLETRANSLATE(C89, ""en"", ""ur"")"),"A) سکے کا ٹاس، B) سب سے طویل سنگل ہٹ جیتنے والی ٹیم، C) ایک ""سپر اوور"" یا اضافی راؤنڈ کھیلا جاتا ہے، D) میچ ڈرا قرار دیا جاتا ہے۔")</f>
        <v>A) سکے کا ٹاس، B) سب سے طویل سنگل ہٹ جیتنے والی ٹیم، C) ایک "سپر اوور" یا اضافی راؤنڈ کھیلا جاتا ہے، D) میچ ڈرا قرار دیا جاتا ہے۔</v>
      </c>
      <c r="M89" s="6" t="str">
        <f>IFERROR(__xludf.DUMMYFUNCTION("GOOGLETRANSLATE(D89, ""en"", ""ur"")"),"ج) ایک ""سپر اوور"" یا ایکسٹرا راؤنڈ کھیلا جاتا ہے۔")</f>
        <v>ج) ایک "سپر اوور" یا ایکسٹرا راؤنڈ کھیلا جاتا ہے۔</v>
      </c>
      <c r="N89" s="6" t="str">
        <f>IFERROR(__xludf.DUMMYFUNCTION("GOOGLETRANSLATE(E89, ""en"", ""ur"")"),"ٹائی کو توڑنے کے لیے، ایک فائنل راؤنڈ اکثر کھیلا جاتا ہے جہاں ہر ٹیم کو فاتح کا تعین کرنے کے لیے اسٹرائیکس کی ایک مقررہ تعداد ملتی ہے۔")</f>
        <v>ٹائی کو توڑنے کے لیے، ایک فائنل راؤنڈ اکثر کھیلا جاتا ہے جہاں ہر ٹیم کو فاتح کا تعین کرنے کے لیے اسٹرائیکس کی ایک مقررہ تعداد ملتی ہے۔</v>
      </c>
    </row>
    <row r="90">
      <c r="A90" s="4">
        <v>89.0</v>
      </c>
      <c r="B90" s="5" t="s">
        <v>2433</v>
      </c>
      <c r="C90" s="5" t="s">
        <v>2434</v>
      </c>
      <c r="D90" s="5" t="s">
        <v>2435</v>
      </c>
      <c r="E90" s="5" t="s">
        <v>2436</v>
      </c>
      <c r="J90" s="6" t="str">
        <f>IFERROR(__xludf.DUMMYFUNCTION("GOOGLETRANSLATE(A90, ""en"", ""ur"")"),"89")</f>
        <v>89</v>
      </c>
      <c r="K90" s="6" t="str">
        <f>IFERROR(__xludf.DUMMYFUNCTION("GOOGLETRANSLATE(B90, ""en"", ""ur"")"),"اس کے جوہر میں، گلی ڈنڈا کی روح کیا ہے؟")</f>
        <v>اس کے جوہر میں، گلی ڈنڈا کی روح کیا ہے؟</v>
      </c>
      <c r="L90" s="6" t="str">
        <f>IFERROR(__xludf.DUMMYFUNCTION("GOOGLETRANSLATE(C90, ""en"", ""ur"")"),"A) ایک انتہائی مسابقتی اور پیشہ ورانہ کھیل، B) ایک سادہ، خوشگوار اور غیر رسمی کھیل جو کمیونٹی اور مہارت کو فروغ دیتا ہے، C) ایک خطرناک اور جارحانہ سرگرمی، D) خالص قسمت کا کھیل")</f>
        <v>A) ایک انتہائی مسابقتی اور پیشہ ورانہ کھیل، B) ایک سادہ، خوشگوار اور غیر رسمی کھیل جو کمیونٹی اور مہارت کو فروغ دیتا ہے، C) ایک خطرناک اور جارحانہ سرگرمی، D) خالص قسمت کا کھیل</v>
      </c>
      <c r="M90" s="6" t="str">
        <f>IFERROR(__xludf.DUMMYFUNCTION("GOOGLETRANSLATE(D90, ""en"", ""ur"")"),"ب) ایک سادہ، خوشگوار، اور غیر رسمی کھیل جو کمیونٹی اور مہارت کو فروغ دیتا ہے۔")</f>
        <v>ب) ایک سادہ، خوشگوار، اور غیر رسمی کھیل جو کمیونٹی اور مہارت کو فروغ دیتا ہے۔</v>
      </c>
      <c r="N90" s="6" t="str">
        <f>IFERROR(__xludf.DUMMYFUNCTION("GOOGLETRANSLATE(E90, ""en"", ""ur"")"),"گلی ڈنڈا کو اس کی سادگی، اس کی رسائی، اور کھلاڑیوں کے درمیان سماجی روابط کی وجہ سے پسند کیا جاتا ہے۔")</f>
        <v>گلی ڈنڈا کو اس کی سادگی، اس کی رسائی، اور کھلاڑیوں کے درمیان سماجی روابط کی وجہ سے پسند کیا جاتا ہے۔</v>
      </c>
    </row>
    <row r="91">
      <c r="A91" s="4">
        <v>90.0</v>
      </c>
      <c r="B91" s="5" t="s">
        <v>2437</v>
      </c>
      <c r="C91" s="5" t="s">
        <v>2438</v>
      </c>
      <c r="D91" s="5" t="s">
        <v>2439</v>
      </c>
      <c r="E91" s="5" t="s">
        <v>2440</v>
      </c>
      <c r="J91" s="6" t="str">
        <f>IFERROR(__xludf.DUMMYFUNCTION("GOOGLETRANSLATE(A91, ""en"", ""ur"")"),"90")</f>
        <v>90</v>
      </c>
      <c r="K91" s="6" t="str">
        <f>IFERROR(__xludf.DUMMYFUNCTION("GOOGLETRANSLATE(B91, ""en"", ""ur"")"),"ایک اسٹرائیکر گلی کو مارتا ہے، جو ایک تیز ڈھلوان چھت پر اترتا ہے اور نیچے لڑھکتا ہے، فاصلہ بڑھاتا ہے۔ یہ عام طور پر کس طرح اسکور کیا جاتا ہے؟")</f>
        <v>ایک اسٹرائیکر گلی کو مارتا ہے، جو ایک تیز ڈھلوان چھت پر اترتا ہے اور نیچے لڑھکتا ہے، فاصلہ بڑھاتا ہے۔ یہ عام طور پر کس طرح اسکور کیا جاتا ہے؟</v>
      </c>
      <c r="L91" s="6" t="str">
        <f>IFERROR(__xludf.DUMMYFUNCTION("GOOGLETRANSLATE(C91, ""en"", ""ur"")"),"A) اسکور کو وہیں سے ماپا جاتا ہے جہاں سے وہ پہلی بار چھت سے ٹکرایا تھا، B) اسکور کو وہیں سے ماپا جاتا ہے جہاں سے وہ آخر کار آرام میں آیا تھا، C) باری دوبارہ چلائی جاتی ہے، D) اسٹرائیکر آؤٹ ہوتا ہے۔")</f>
        <v>A) اسکور کو وہیں سے ماپا جاتا ہے جہاں سے وہ پہلی بار چھت سے ٹکرایا تھا، B) اسکور کو وہیں سے ماپا جاتا ہے جہاں سے وہ آخر کار آرام میں آیا تھا، C) باری دوبارہ چلائی جاتی ہے، D) اسٹرائیکر آؤٹ ہوتا ہے۔</v>
      </c>
      <c r="M91" s="6" t="str">
        <f>IFERROR(__xludf.DUMMYFUNCTION("GOOGLETRANSLATE(D91, ""en"", ""ur"")"),"ب) اسکور کو وہیں سے ماپا جاتا ہے جہاں سے آخر کار آرام آیا")</f>
        <v>ب) اسکور کو وہیں سے ماپا جاتا ہے جہاں سے آخر کار آرام آیا</v>
      </c>
      <c r="N91" s="6" t="str">
        <f>IFERROR(__xludf.DUMMYFUNCTION("GOOGLETRANSLATE(E91, ""en"", ""ur"")"),"زیادہ تر غیر رسمی کھیلوں میں، گلی کی آخری آرام گاہ کا شمار ہوتا ہے، یہاں تک کہ اگر یہ لینڈنگ کے بعد گھوم جائے۔")</f>
        <v>زیادہ تر غیر رسمی کھیلوں میں، گلی کی آخری آرام گاہ کا شمار ہوتا ہے، یہاں تک کہ اگر یہ لینڈنگ کے بعد گھوم جائے۔</v>
      </c>
    </row>
    <row r="92">
      <c r="A92" s="4">
        <v>91.0</v>
      </c>
      <c r="B92" s="5" t="s">
        <v>2441</v>
      </c>
      <c r="C92" s="5" t="s">
        <v>2442</v>
      </c>
      <c r="D92" s="5" t="s">
        <v>2443</v>
      </c>
      <c r="E92" s="5" t="s">
        <v>2444</v>
      </c>
      <c r="J92" s="6" t="str">
        <f>IFERROR(__xludf.DUMMYFUNCTION("GOOGLETRANSLATE(A92, ""en"", ""ur"")"),"91")</f>
        <v>91</v>
      </c>
      <c r="K92" s="6" t="str">
        <f>IFERROR(__xludf.DUMMYFUNCTION("GOOGLETRANSLATE(B92, ""en"", ""ur"")"),"ایک فیلڈر گلی کو روکتا ہے لیکن 100 ڈنڈا کی لمبائی کے فاصلے پر ہے۔ وہ 'غیر تحریری اصول' کیا ہے جس کی وہ پیروی کر سکتے ہیں؟")</f>
        <v>ایک فیلڈر گلی کو روکتا ہے لیکن 100 ڈنڈا کی لمبائی کے فاصلے پر ہے۔ وہ 'غیر تحریری اصول' کیا ہے جس کی وہ پیروی کر سکتے ہیں؟</v>
      </c>
      <c r="L92" s="6" t="str">
        <f>IFERROR(__xludf.DUMMYFUNCTION("GOOGLETRANSLATE(C92, ""en"", ""ur"")"),"A) پھینکے بغیر اسکور کو تسلیم کریں، B) گلی کو جتنی مشکل سے ممکن ہو پھینکیں، C) ایک تماشائی سے اسے واپس پھینکنے کو کہیں، D) اسے اپنے قریبی ساتھی کو پھینک دیں۔")</f>
        <v>A) پھینکے بغیر اسکور کو تسلیم کریں، B) گلی کو جتنی مشکل سے ممکن ہو پھینکیں، C) ایک تماشائی سے اسے واپس پھینکنے کو کہیں، D) اسے اپنے قریبی ساتھی کو پھینک دیں۔</v>
      </c>
      <c r="M92" s="6" t="str">
        <f>IFERROR(__xludf.DUMMYFUNCTION("GOOGLETRANSLATE(D92, ""en"", ""ur"")"),"A) پھینکے بغیر اسکور کو تسلیم کریں۔")</f>
        <v>A) پھینکے بغیر اسکور کو تسلیم کریں۔</v>
      </c>
      <c r="N92" s="6" t="str">
        <f>IFERROR(__xludf.DUMMYFUNCTION("GOOGLETRANSLATE(E92, ""en"", ""ur"")"),"بہت دور سے، گھر پر ڈنڈا مارنے کا امکان تقریباً صفر ہے، اس لیے فیلڈرز اکثر وقت بچانے کے لیے پیمائش کو تسلیم کرتے ہیں۔")</f>
        <v>بہت دور سے، گھر پر ڈنڈا مارنے کا امکان تقریباً صفر ہے، اس لیے فیلڈرز اکثر وقت بچانے کے لیے پیمائش کو تسلیم کرتے ہیں۔</v>
      </c>
    </row>
    <row r="93">
      <c r="A93" s="4">
        <v>92.0</v>
      </c>
      <c r="B93" s="5" t="s">
        <v>2445</v>
      </c>
      <c r="C93" s="5" t="s">
        <v>2446</v>
      </c>
      <c r="D93" s="5" t="s">
        <v>2447</v>
      </c>
      <c r="E93" s="5" t="s">
        <v>2386</v>
      </c>
      <c r="J93" s="6" t="str">
        <f>IFERROR(__xludf.DUMMYFUNCTION("GOOGLETRANSLATE(A93, ""en"", ""ur"")"),"92")</f>
        <v>92</v>
      </c>
      <c r="K93" s="6" t="str">
        <f>IFERROR(__xludf.DUMMYFUNCTION("GOOGLETRANSLATE(B93, ""en"", ""ur"")"),"ایک 'pittù out' کیا ہے؟")</f>
        <v>ایک 'pittù out' کیا ہے؟</v>
      </c>
      <c r="L93" s="6" t="str">
        <f>IFERROR(__xludf.DUMMYFUNCTION("GOOGLETRANSLATE(C93, ""en"", ""ur"")"),"A) جب گلی کو پکڑا جاتا ہے، B) جب اسٹرائیکر تین بار چھوٹ جاتا ہے، C) جب ایک فیلڈر گلی کو پیچھے پھینکتا ہے اور سٹارٹنگ ہول پر رکھے ڈنڈے کو مارتا ہے، D) جب اسٹرائیکر حد سے باہر نکل جاتا ہے۔")</f>
        <v>A) جب گلی کو پکڑا جاتا ہے، B) جب اسٹرائیکر تین بار چھوٹ جاتا ہے، C) جب ایک فیلڈر گلی کو پیچھے پھینکتا ہے اور سٹارٹنگ ہول پر رکھے ڈنڈے کو مارتا ہے، D) جب اسٹرائیکر حد سے باہر نکل جاتا ہے۔</v>
      </c>
      <c r="M93" s="6" t="str">
        <f>IFERROR(__xludf.DUMMYFUNCTION("GOOGLETRANSLATE(D93, ""en"", ""ur"")"),"ج) جب ایک فیلڈر گلی کو پیچھے پھینکتا ہے اور شروع ہونے والے سوراخ پر رکھے ڈنڈے کو مارتا ہے۔")</f>
        <v>ج) جب ایک فیلڈر گلی کو پیچھے پھینکتا ہے اور شروع ہونے والے سوراخ پر رکھے ڈنڈے کو مارتا ہے۔</v>
      </c>
      <c r="N93" s="6" t="str">
        <f>IFERROR(__xludf.DUMMYFUNCTION("GOOGLETRANSLATE(E93, ""en"", ""ur"")"),"یہ ""رن آؤٹ"" کے آؤٹ ہونے کا نام ہے، جہاں فیلڈر ""گیند"" (گلی) سے کامیابی سے ""وکٹ"" (ڈنڈا) کو مارتا ہے۔")</f>
        <v>یہ "رن آؤٹ" کے آؤٹ ہونے کا نام ہے، جہاں فیلڈر "گیند" (گلی) سے کامیابی سے "وکٹ" (ڈنڈا) کو مارتا ہے۔</v>
      </c>
    </row>
    <row r="94">
      <c r="A94" s="4">
        <v>93.0</v>
      </c>
      <c r="B94" s="5" t="s">
        <v>2448</v>
      </c>
      <c r="C94" s="5" t="s">
        <v>2449</v>
      </c>
      <c r="D94" s="5" t="s">
        <v>2450</v>
      </c>
      <c r="E94" s="5" t="s">
        <v>2451</v>
      </c>
      <c r="J94" s="6" t="str">
        <f>IFERROR(__xludf.DUMMYFUNCTION("GOOGLETRANSLATE(A94, ""en"", ""ur"")"),"93")</f>
        <v>93</v>
      </c>
      <c r="K94" s="6" t="str">
        <f>IFERROR(__xludf.DUMMYFUNCTION("GOOGLETRANSLATE(B94, ""en"", ""ur"")"),"ایک کھلاڑی اپنے ""ہیلی کاپٹر شاٹ"" کے لیے جانا جاتا ہے، جو پورے جسم پر گھومنے والی ہڑتال ہے۔ اس کا بنیادی فائدہ کیا ہے؟")</f>
        <v>ایک کھلاڑی اپنے "ہیلی کاپٹر شاٹ" کے لیے جانا جاتا ہے، جو پورے جسم پر گھومنے والی ہڑتال ہے۔ اس کا بنیادی فائدہ کیا ہے؟</v>
      </c>
      <c r="L94" s="6" t="str">
        <f>IFERROR(__xludf.DUMMYFUNCTION("GOOGLETRANSLATE(C94, ""en"", ""ur"")"),"A) یہ ایک فاؤل ہے، B) یہ گھومنے والی قوت کے ذریعے ناقابل یقین طاقت پیدا کرتا ہے، C) یہ گلی کو دیکھنا مشکل بنا دیتا ہے، D) یہ عام شاٹ کے مقابلے میں آسان ہے")</f>
        <v>A) یہ ایک فاؤل ہے، B) یہ گھومنے والی قوت کے ذریعے ناقابل یقین طاقت پیدا کرتا ہے، C) یہ گلی کو دیکھنا مشکل بنا دیتا ہے، D) یہ عام شاٹ کے مقابلے میں آسان ہے</v>
      </c>
      <c r="M94" s="6" t="str">
        <f>IFERROR(__xludf.DUMMYFUNCTION("GOOGLETRANSLATE(D94, ""en"", ""ur"")"),"ب) یہ گردشی قوت کے ذریعے ناقابل یقین طاقت پیدا کرتا ہے۔")</f>
        <v>ب) یہ گردشی قوت کے ذریعے ناقابل یقین طاقت پیدا کرتا ہے۔</v>
      </c>
      <c r="N94" s="6" t="str">
        <f>IFERROR(__xludf.DUMMYFUNCTION("GOOGLETRANSLATE(E94, ""en"", ""ur"")"),"ڈسکس پھینکنے والے کی طرح، پورے جسم کی گردش اسٹرائیک میں اہم رفتار اور طاقت کا اضافہ کر سکتی ہے۔")</f>
        <v>ڈسکس پھینکنے والے کی طرح، پورے جسم کی گردش اسٹرائیک میں اہم رفتار اور طاقت کا اضافہ کر سکتی ہے۔</v>
      </c>
    </row>
    <row r="95">
      <c r="A95" s="4">
        <v>94.0</v>
      </c>
      <c r="B95" s="5" t="s">
        <v>2452</v>
      </c>
      <c r="C95" s="5" t="s">
        <v>2453</v>
      </c>
      <c r="D95" s="5" t="s">
        <v>2454</v>
      </c>
      <c r="E95" s="5" t="s">
        <v>2455</v>
      </c>
      <c r="J95" s="6" t="str">
        <f>IFERROR(__xludf.DUMMYFUNCTION("GOOGLETRANSLATE(A95, ""en"", ""ur"")"),"94")</f>
        <v>94</v>
      </c>
      <c r="K95" s="6" t="str">
        <f>IFERROR(__xludf.DUMMYFUNCTION("GOOGLETRANSLATE(B95, ""en"", ""ur"")"),"گلی ڈنڈا اور ٹِپ کیٹ کے انگلش گیم میں بنیادی فرق کیا ہے؟")</f>
        <v>گلی ڈنڈا اور ٹِپ کیٹ کے انگلش گیم میں بنیادی فرق کیا ہے؟</v>
      </c>
      <c r="L95" s="6" t="str">
        <f>IFERROR(__xludf.DUMMYFUNCTION("GOOGLETRANSLATE(C95, ""en"", ""ur"")"),"A) کوئی فرق نہیں ہے، B) ٹپ کیٹ ایک دھاتی گلی کا استعمال کرتی ہے، C) گلی ڈنڈا ڈنڈا کے ساتھ ناپ کر اسکور کرتی ہے، جبکہ ٹپ کیٹ فاصلے کا اندازہ لگا کر اسکور کرتی ہے، D) ٹپ کیٹ صرف ٹیم کا کھیل ہے۔")</f>
        <v>A) کوئی فرق نہیں ہے، B) ٹپ کیٹ ایک دھاتی گلی کا استعمال کرتی ہے، C) گلی ڈنڈا ڈنڈا کے ساتھ ناپ کر اسکور کرتی ہے، جبکہ ٹپ کیٹ فاصلے کا اندازہ لگا کر اسکور کرتی ہے، D) ٹپ کیٹ صرف ٹیم کا کھیل ہے۔</v>
      </c>
      <c r="M95" s="6" t="str">
        <f>IFERROR(__xludf.DUMMYFUNCTION("GOOGLETRANSLATE(D95, ""en"", ""ur"")"),"C) گلی ڈنڈا ڈنڈا سے ناپ کر اسکور کرتا ہے، جبکہ ٹپ-کیٹ فاصلے کا اندازہ لگا کر اسکور کرتا ہے")</f>
        <v>C) گلی ڈنڈا ڈنڈا سے ناپ کر اسکور کرتا ہے، جبکہ ٹپ-کیٹ فاصلے کا اندازہ لگا کر اسکور کرتا ہے</v>
      </c>
      <c r="N95" s="6" t="str">
        <f>IFERROR(__xludf.DUMMYFUNCTION("GOOGLETRANSLATE(E95, ""en"", ""ur"")"),"یہ ایک اہم تاریخی فرق ہے۔ ٹپ کیٹ میں، اسٹرائیکر فاصلے کا اندازہ قدموں میں لگاتا، اور اگر ان کا اندازہ غلط تھا، تو وہ اپنے پوائنٹس کھو بیٹھتے ہیں۔")</f>
        <v>یہ ایک اہم تاریخی فرق ہے۔ ٹپ کیٹ میں، اسٹرائیکر فاصلے کا اندازہ قدموں میں لگاتا، اور اگر ان کا اندازہ غلط تھا، تو وہ اپنے پوائنٹس کھو بیٹھتے ہیں۔</v>
      </c>
    </row>
    <row r="96">
      <c r="A96" s="4">
        <v>95.0</v>
      </c>
      <c r="B96" s="5" t="s">
        <v>2456</v>
      </c>
      <c r="C96" s="5" t="s">
        <v>2457</v>
      </c>
      <c r="D96" s="5" t="s">
        <v>2458</v>
      </c>
      <c r="E96" s="5" t="s">
        <v>2459</v>
      </c>
      <c r="J96" s="6" t="str">
        <f>IFERROR(__xludf.DUMMYFUNCTION("GOOGLETRANSLATE(A96, ""en"", ""ur"")"),"95")</f>
        <v>95</v>
      </c>
      <c r="K96" s="6" t="str">
        <f>IFERROR(__xludf.DUMMYFUNCTION("GOOGLETRANSLATE(B96, ""en"", ""ur"")"),"ایک فیلڈر ٹیم کے ساتھی کی طرف سے مشغول ہو جاتا ہے اور ایک سادہ کیچ سے محروم ہو جاتا ہے۔ قصور کس کا ہے؟")</f>
        <v>ایک فیلڈر ٹیم کے ساتھی کی طرف سے مشغول ہو جاتا ہے اور ایک سادہ کیچ سے محروم ہو جاتا ہے۔ قصور کس کا ہے؟</v>
      </c>
      <c r="L96" s="6" t="str">
        <f>IFERROR(__xludf.DUMMYFUNCTION("GOOGLETRANSLATE(C96, ""en"", ""ur"")"),"A) اسٹرائیکرز، B) فیلڈر جو مشغول تھا، C) ٹیم کا ساتھی جس نے خلفشار پیدا کیا، D) یہ کوئی غلطی کا واقعہ نہیں ہے۔")</f>
        <v>A) اسٹرائیکرز، B) فیلڈر جو مشغول تھا، C) ٹیم کا ساتھی جس نے خلفشار پیدا کیا، D) یہ کوئی غلطی کا واقعہ نہیں ہے۔</v>
      </c>
      <c r="M96" s="6" t="str">
        <f>IFERROR(__xludf.DUMMYFUNCTION("GOOGLETRANSLATE(D96, ""en"", ""ur"")"),"ب) وہ فیلڈر جو مشغول تھا۔")</f>
        <v>ب) وہ فیلڈر جو مشغول تھا۔</v>
      </c>
      <c r="N96" s="6" t="str">
        <f>IFERROR(__xludf.DUMMYFUNCTION("GOOGLETRANSLATE(E96, ""en"", ""ur"")"),"فیلڈنگ میں، ہر کھلاڑی اپنی توجہ کو برقرار رکھنے کا ذمہ دار ہے۔ اسٹرائیکر ناٹ آؤٹ ہے۔")</f>
        <v>فیلڈنگ میں، ہر کھلاڑی اپنی توجہ کو برقرار رکھنے کا ذمہ دار ہے۔ اسٹرائیکر ناٹ آؤٹ ہے۔</v>
      </c>
    </row>
    <row r="97">
      <c r="A97" s="4">
        <v>96.0</v>
      </c>
      <c r="B97" s="5" t="s">
        <v>2460</v>
      </c>
      <c r="C97" s="5" t="s">
        <v>2461</v>
      </c>
      <c r="D97" s="5" t="s">
        <v>2462</v>
      </c>
      <c r="E97" s="5" t="s">
        <v>2463</v>
      </c>
      <c r="J97" s="6" t="str">
        <f>IFERROR(__xludf.DUMMYFUNCTION("GOOGLETRANSLATE(A97, ""en"", ""ur"")"),"96")</f>
        <v>96</v>
      </c>
      <c r="K97" s="6" t="str">
        <f>IFERROR(__xludf.DUMMYFUNCTION("GOOGLETRANSLATE(B97, ""en"", ""ur"")"),"گلی ڈنڈا جدید پاکستان میں گھنے شہروں کی نسبت دیہی علاقوں میں زیادہ مقبول ہونے کی بنیادی وجہ کیا ہے؟")</f>
        <v>گلی ڈنڈا جدید پاکستان میں گھنے شہروں کی نسبت دیہی علاقوں میں زیادہ مقبول ہونے کی بنیادی وجہ کیا ہے؟</v>
      </c>
      <c r="L97" s="6" t="str">
        <f>IFERROR(__xludf.DUMMYFUNCTION("GOOGLETRANSLATE(C97, ""en"", ""ur"")"),"A) شہر کے رہنے والے دوسرے کھیلوں کو ترجیح دیتے ہیں، B) شہروں میں اس کھیل پر پابندی ہے، C) محفوظ، کھلی جگہوں کا فقدان جو کھیل کھیلنے کے لیے درکار ہے، D) شہروں میں سامان فروخت نہیں ہوتا")</f>
        <v>A) شہر کے رہنے والے دوسرے کھیلوں کو ترجیح دیتے ہیں، B) شہروں میں اس کھیل پر پابندی ہے، C) محفوظ، کھلی جگہوں کا فقدان جو کھیل کھیلنے کے لیے درکار ہے، D) شہروں میں سامان فروخت نہیں ہوتا</v>
      </c>
      <c r="M97" s="6" t="str">
        <f>IFERROR(__xludf.DUMMYFUNCTION("GOOGLETRANSLATE(D97, ""en"", ""ur"")"),"ج) گیم کھیلنے کے لیے درکار محفوظ، کھلی جگہوں کی کمی")</f>
        <v>ج) گیم کھیلنے کے لیے درکار محفوظ، کھلی جگہوں کی کمی</v>
      </c>
      <c r="N97" s="6" t="str">
        <f>IFERROR(__xludf.DUMMYFUNCTION("GOOGLETRANSLATE(E97, ""en"", ""ur"")"),"شہری کاری نے گلی ڈنڈا کو محفوظ طریقے سے کھیلنے کے لیے درکار کھلے میدانوں اور میدانوں کی تعداد میں کافی حد تک کمی کر دی ہے۔")</f>
        <v>شہری کاری نے گلی ڈنڈا کو محفوظ طریقے سے کھیلنے کے لیے درکار کھلے میدانوں اور میدانوں کی تعداد میں کافی حد تک کمی کر دی ہے۔</v>
      </c>
    </row>
    <row r="98">
      <c r="A98" s="4">
        <v>97.0</v>
      </c>
      <c r="B98" s="5" t="s">
        <v>2464</v>
      </c>
      <c r="C98" s="5" t="s">
        <v>2465</v>
      </c>
      <c r="D98" s="5" t="s">
        <v>2466</v>
      </c>
      <c r="E98" s="5" t="s">
        <v>2467</v>
      </c>
      <c r="J98" s="6" t="str">
        <f>IFERROR(__xludf.DUMMYFUNCTION("GOOGLETRANSLATE(A98, ""en"", ""ur"")"),"97")</f>
        <v>97</v>
      </c>
      <c r="K98" s="6" t="str">
        <f>IFERROR(__xludf.DUMMYFUNCTION("GOOGLETRANSLATE(B98, ""en"", ""ur"")"),"گلی ڈنڈا اور بیس بال کے درمیان بنیادی فرق کیا ہے؟")</f>
        <v>گلی ڈنڈا اور بیس بال کے درمیان بنیادی فرق کیا ہے؟</v>
      </c>
      <c r="L98" s="6" t="str">
        <f>IFERROR(__xludf.DUMMYFUNCTION("GOOGLETRANSLATE(C98, ""en"", ""ur"")"),"A) گلی ڈنڈا ایک چھڑی کا استعمال کرتا ہے، B) گلی ڈنڈا میں کوئی گھڑا نہیں ہے؛ بلے باز خود اس چیز کو لانچ کرتا ہے، C) گلی ڈنڈا ایک ٹیم کا کھیل ہے، D) گلی ڈنڈا میں کوئی فیلڈنگ نہیں ہوتی")</f>
        <v>A) گلی ڈنڈا ایک چھڑی کا استعمال کرتا ہے، B) گلی ڈنڈا میں کوئی گھڑا نہیں ہے؛ بلے باز خود اس چیز کو لانچ کرتا ہے، C) گلی ڈنڈا ایک ٹیم کا کھیل ہے، D) گلی ڈنڈا میں کوئی فیلڈنگ نہیں ہوتی</v>
      </c>
      <c r="M98" s="6" t="str">
        <f>IFERROR(__xludf.DUMMYFUNCTION("GOOGLETRANSLATE(D98, ""en"", ""ur"")"),"ب) گلی ڈنڈا میں کوئی گھڑا نہیں ہے۔ بلے باز خود اس چیز کو لانچ کرتا ہے۔")</f>
        <v>ب) گلی ڈنڈا میں کوئی گھڑا نہیں ہے۔ بلے باز خود اس چیز کو لانچ کرتا ہے۔</v>
      </c>
      <c r="N98" s="6" t="str">
        <f>IFERROR(__xludf.DUMMYFUNCTION("GOOGLETRANSLATE(E98, ""en"", ""ur"")"),"یہ ایک بنیادی فرق ہے؛ گلی ڈنڈا میں اسٹرائیکر آبجیکٹ کو لانچ کرنے اور مارنے دونوں کے لئے ذمہ دار ہے۔")</f>
        <v>یہ ایک بنیادی فرق ہے؛ گلی ڈنڈا میں اسٹرائیکر آبجیکٹ کو لانچ کرنے اور مارنے دونوں کے لئے ذمہ دار ہے۔</v>
      </c>
    </row>
    <row r="99">
      <c r="A99" s="4">
        <v>98.0</v>
      </c>
      <c r="B99" s="5" t="s">
        <v>2468</v>
      </c>
      <c r="C99" s="5" t="s">
        <v>2469</v>
      </c>
      <c r="D99" s="5" t="s">
        <v>2470</v>
      </c>
      <c r="E99" s="5" t="s">
        <v>2471</v>
      </c>
      <c r="J99" s="6" t="str">
        <f>IFERROR(__xludf.DUMMYFUNCTION("GOOGLETRANSLATE(A99, ""en"", ""ur"")"),"98")</f>
        <v>98</v>
      </c>
      <c r="K99" s="6" t="str">
        <f>IFERROR(__xludf.DUMMYFUNCTION("GOOGLETRANSLATE(B99, ""en"", ""ur"")"),"ایک کھلاڑی کو 'ڈنڈا آؤٹ' کے لیے بلایا جاتا ہے۔ اس کا کیا مطلب ہے؟")</f>
        <v>ایک کھلاڑی کو 'ڈنڈا آؤٹ' کے لیے بلایا جاتا ہے۔ اس کا کیا مطلب ہے؟</v>
      </c>
      <c r="L99" s="6" t="str">
        <f>IFERROR(__xludf.DUMMYFUNCTION("GOOGLETRANSLATE(C99, ""en"", ""ur"")"),"A) ان کا ڈنڈا ٹوٹ گیا، B) فیلڈر کا پھینکا ڈنڈا بیس پر لگا، C) انہوں نے اپنا ڈنڈا گرا دیا، D) انہوں نے غیر قانونی ڈنڈا استعمال کیا۔")</f>
        <v>A) ان کا ڈنڈا ٹوٹ گیا، B) فیلڈر کا پھینکا ڈنڈا بیس پر لگا، C) انہوں نے اپنا ڈنڈا گرا دیا، D) انہوں نے غیر قانونی ڈنڈا استعمال کیا۔</v>
      </c>
      <c r="M99" s="6" t="str">
        <f>IFERROR(__xludf.DUMMYFUNCTION("GOOGLETRANSLATE(D99, ""en"", ""ur"")"),"ب) فیلڈر کا تھرو بیس پر ڈنڈا کو لگا")</f>
        <v>ب) فیلڈر کا تھرو بیس پر ڈنڈا کو لگا</v>
      </c>
      <c r="N99" s="6" t="str">
        <f>IFERROR(__xludf.DUMMYFUNCTION("GOOGLETRANSLATE(E99, ""en"", ""ur"")"),"یہ ""رن آؤٹ"" ہونے کی اصطلاح ہے جب فیلڈر کا تھرو کامیابی سے ہدف سے ٹکرا جاتا ہے۔")</f>
        <v>یہ "رن آؤٹ" ہونے کی اصطلاح ہے جب فیلڈر کا تھرو کامیابی سے ہدف سے ٹکرا جاتا ہے۔</v>
      </c>
    </row>
    <row r="100">
      <c r="A100" s="4">
        <v>99.0</v>
      </c>
      <c r="B100" s="5" t="s">
        <v>2387</v>
      </c>
      <c r="C100" s="5" t="s">
        <v>2472</v>
      </c>
      <c r="D100" s="5" t="s">
        <v>2389</v>
      </c>
      <c r="E100" s="5" t="s">
        <v>2390</v>
      </c>
      <c r="J100" s="6" t="str">
        <f>IFERROR(__xludf.DUMMYFUNCTION("GOOGLETRANSLATE(A100, ""en"", ""ur"")"),"99")</f>
        <v>99</v>
      </c>
      <c r="K100" s="6" t="str">
        <f>IFERROR(__xludf.DUMMYFUNCTION("GOOGLETRANSLATE(B100, ""en"", ""ur"")"),"ایک اسٹرائیکر گلی کو مارتا ہے، اور یہ ایک درخت میں اونچا ہو جاتا ہے۔ اس کا کیا حکم ہے؟")</f>
        <v>ایک اسٹرائیکر گلی کو مارتا ہے، اور یہ ایک درخت میں اونچا ہو جاتا ہے۔ اس کا کیا حکم ہے؟</v>
      </c>
      <c r="L100" s="6" t="str">
        <f>IFERROR(__xludf.DUMMYFUNCTION("GOOGLETRANSLATE(C100, ""en"", ""ur"")"),"A) اسٹرائیکر آؤٹ ہے، B) باری دوبارہ چلائی جاتی ہے، C) اسکور کو گلی کے بالکل نیچے زمین پر پوائنٹ تک ناپا جاتا ہے، D) اسٹرائیکر کو بونس ملتا ہے۔")</f>
        <v>A) اسٹرائیکر آؤٹ ہے، B) باری دوبارہ چلائی جاتی ہے، C) اسکور کو گلی کے بالکل نیچے زمین پر پوائنٹ تک ناپا جاتا ہے، D) اسٹرائیکر کو بونس ملتا ہے۔</v>
      </c>
      <c r="M100" s="6" t="str">
        <f>IFERROR(__xludf.DUMMYFUNCTION("GOOGLETRANSLATE(D100, ""en"", ""ur"")"),"سی) اسکور کو گلی کے نیچے زمین پر پوائنٹ تک ناپا جاتا ہے۔")</f>
        <v>سی) اسکور کو گلی کے نیچے زمین پر پوائنٹ تک ناپا جاتا ہے۔</v>
      </c>
      <c r="N100" s="6" t="str">
        <f>IFERROR(__xludf.DUMMYFUNCTION("GOOGLETRANSLATE(E100, ""en"", ""ur"")"),"گلی کے پھنس جانے سے نمٹنے کے لیے یہ عام غیر رسمی اصول ہے۔ افقی فاصلہ وہی ہے جو ماپا جاتا ہے۔")</f>
        <v>گلی کے پھنس جانے سے نمٹنے کے لیے یہ عام غیر رسمی اصول ہے۔ افقی فاصلہ وہی ہے جو ماپا جاتا ہے۔</v>
      </c>
    </row>
    <row r="101">
      <c r="A101" s="4">
        <v>100.0</v>
      </c>
      <c r="B101" s="5" t="s">
        <v>2473</v>
      </c>
      <c r="C101" s="5" t="s">
        <v>2474</v>
      </c>
      <c r="D101" s="5" t="s">
        <v>2475</v>
      </c>
      <c r="E101" s="5" t="s">
        <v>2476</v>
      </c>
      <c r="J101" s="6" t="str">
        <f>IFERROR(__xludf.DUMMYFUNCTION("GOOGLETRANSLATE(A101, ""en"", ""ur"")"),"100")</f>
        <v>100</v>
      </c>
      <c r="K101" s="6" t="str">
        <f>IFERROR(__xludf.DUMMYFUNCTION("GOOGLETRANSLATE(B101, ""en"", ""ur"")"),"فیلڈنگ ٹیم کا بنیادی مقصد کیا ہے؟")</f>
        <v>فیلڈنگ ٹیم کا بنیادی مقصد کیا ہے؟</v>
      </c>
      <c r="L101" s="6" t="str">
        <f>IFERROR(__xludf.DUMMYFUNCTION("GOOGLETRANSLATE(C101, ""en"", ""ur"")"),"A) پوائنٹس اسکور کرنے کے لیے، B) گلی کو پکڑ کر یا ڈنڈا مار کر اسٹرائیکر کو آؤٹ کرنا، C) جال لگانا، D) خود گلی کو مارنا")</f>
        <v>A) پوائنٹس اسکور کرنے کے لیے، B) گلی کو پکڑ کر یا ڈنڈا مار کر اسٹرائیکر کو آؤٹ کرنا، C) جال لگانا، D) خود گلی کو مارنا</v>
      </c>
      <c r="M101" s="6" t="str">
        <f>IFERROR(__xludf.DUMMYFUNCTION("GOOGLETRANSLATE(D101, ""en"", ""ur"")"),"ب) گلی کو پکڑ کر یا ڈنڈا مار کر اسٹرائیکر کو آؤٹ کرنا")</f>
        <v>ب) گلی کو پکڑ کر یا ڈنڈا مار کر اسٹرائیکر کو آؤٹ کرنا</v>
      </c>
      <c r="N101" s="6" t="str">
        <f>IFERROR(__xludf.DUMMYFUNCTION("GOOGLETRANSLATE(E101, ""en"", ""ur"")"),"فیلڈنگ ٹیم کا پورا مقصد اسٹرائیکر کو ""آؤٹ"" کرنا ہوتا ہے تاکہ ان کی ٹیم اسٹرائیکنگ میں ٹرن لے سکے۔")</f>
        <v>فیلڈنگ ٹیم کا پورا مقصد اسٹرائیکر کو "آؤٹ" کرنا ہوتا ہے تاکہ ان کی ٹیم اسٹرائیکنگ میں ٹرن لے سکے۔</v>
      </c>
    </row>
    <row r="102">
      <c r="A102" s="4">
        <v>101.0</v>
      </c>
      <c r="B102" s="5" t="s">
        <v>2477</v>
      </c>
      <c r="C102" s="5" t="s">
        <v>2478</v>
      </c>
      <c r="D102" s="5" t="s">
        <v>2479</v>
      </c>
      <c r="E102" s="5" t="s">
        <v>2480</v>
      </c>
      <c r="J102" s="6" t="str">
        <f>IFERROR(__xludf.DUMMYFUNCTION("GOOGLETRANSLATE(A102, ""en"", ""ur"")"),"101")</f>
        <v>101</v>
      </c>
      <c r="K102" s="6" t="str">
        <f>IFERROR(__xludf.DUMMYFUNCTION("GOOGLETRANSLATE(B102, ""en"", ""ur"")"),"پنجاب کے دیہی علاقوں میں کھیلے جانے والے میچ میں ٹیمیں بنانے کا سب سے عام طریقہ کیا ہے؟")</f>
        <v>پنجاب کے دیہی علاقوں میں کھیلے جانے والے میچ میں ٹیمیں بنانے کا سب سے عام طریقہ کیا ہے؟</v>
      </c>
      <c r="L102" s="6" t="str">
        <f>IFERROR(__xludf.DUMMYFUNCTION("GOOGLETRANSLATE(C102, ""en"", ""ur"")"),"A) عمر کے لحاظ سے، B) قد کے لحاظ سے، C) دو کپتان ایک ایک کر کے کھلاڑیوں کو چنتے ہیں، D) بے ترتیب تفویض کے ذریعے")</f>
        <v>A) عمر کے لحاظ سے، B) قد کے لحاظ سے، C) دو کپتان ایک ایک کر کے کھلاڑیوں کو چنتے ہیں، D) بے ترتیب تفویض کے ذریعے</v>
      </c>
      <c r="M102" s="6" t="str">
        <f>IFERROR(__xludf.DUMMYFUNCTION("GOOGLETRANSLATE(D102, ""en"", ""ur"")"),"ج) دو کپتان ایک ایک کر کے کھلاڑیوں کو چنتے ہیں۔")</f>
        <v>ج) دو کپتان ایک ایک کر کے کھلاڑیوں کو چنتے ہیں۔</v>
      </c>
      <c r="N102" s="6" t="str">
        <f>IFERROR(__xludf.DUMMYFUNCTION("GOOGLETRANSLATE(E102, ""en"", ""ur"")"),"غیر رسمی ""اسکول یارڈ پک"" گاؤں کے ماحول میں متوازن ٹیمیں بنانے کا سب سے روایتی طریقہ ہے۔")</f>
        <v>غیر رسمی "اسکول یارڈ پک" گاؤں کے ماحول میں متوازن ٹیمیں بنانے کا سب سے روایتی طریقہ ہے۔</v>
      </c>
    </row>
    <row r="103">
      <c r="A103" s="4">
        <v>102.0</v>
      </c>
      <c r="B103" s="5" t="s">
        <v>2481</v>
      </c>
      <c r="C103" s="5" t="s">
        <v>2482</v>
      </c>
      <c r="D103" s="5" t="s">
        <v>2158</v>
      </c>
      <c r="E103" s="5" t="s">
        <v>2483</v>
      </c>
      <c r="J103" s="6" t="str">
        <f>IFERROR(__xludf.DUMMYFUNCTION("GOOGLETRANSLATE(A103, ""en"", ""ur"")"),"102")</f>
        <v>102</v>
      </c>
      <c r="K103" s="6" t="str">
        <f>IFERROR(__xludf.DUMMYFUNCTION("GOOGLETRANSLATE(B103, ""en"", ""ur"")"),"ایک اسٹرائیکر گلی کو مارتا ہے، اور یہ ایک گھر کی چھت پر گرتا ہے۔ ایک آرام دہ کھیل میں، سب سے زیادہ ممکنہ نتیجہ کیا ہے؟")</f>
        <v>ایک اسٹرائیکر گلی کو مارتا ہے، اور یہ ایک گھر کی چھت پر گرتا ہے۔ ایک آرام دہ کھیل میں، سب سے زیادہ ممکنہ نتیجہ کیا ہے؟</v>
      </c>
      <c r="L103" s="6" t="str">
        <f>IFERROR(__xludf.DUMMYFUNCTION("GOOGLETRANSLATE(C103, ""en"", ""ur"")"),"A) اسٹرائیکر گیم جیت جاتا ہے، B) اسٹرائیکر گلی کو ہارنے کے لیے باہر ہو جاتا ہے، C) گلی کو دوبارہ حاصل کرنے کے لیے گیم کو روک دیا جاتا ہے، D) ہٹ دوبارہ چلائی جاتی ہے۔")</f>
        <v>A) اسٹرائیکر گیم جیت جاتا ہے، B) اسٹرائیکر گلی کو ہارنے کے لیے باہر ہو جاتا ہے، C) گلی کو دوبارہ حاصل کرنے کے لیے گیم کو روک دیا جاتا ہے، D) ہٹ دوبارہ چلائی جاتی ہے۔</v>
      </c>
      <c r="M103" s="6" t="str">
        <f>IFERROR(__xludf.DUMMYFUNCTION("GOOGLETRANSLATE(D103, ""en"", ""ur"")"),"ب) اسٹرائیکر گلی کو کھونے کی وجہ سے باہر ہے۔")</f>
        <v>ب) اسٹرائیکر گلی کو کھونے کی وجہ سے باہر ہے۔</v>
      </c>
      <c r="N103" s="6" t="str">
        <f>IFERROR(__xludf.DUMMYFUNCTION("GOOGLETRANSLATE(E103, ""en"", ""ur"")"),"ایک عام ""ہاؤس قاعدہ"" یہ ہے کہ گلی کو چھت جیسی ناقابل رسائی جگہ پر مارنے کے نتیجے میں اسٹرائیکر کی باری ختم ہوجاتی ہے۔")</f>
        <v>ایک عام "ہاؤس قاعدہ" یہ ہے کہ گلی کو چھت جیسی ناقابل رسائی جگہ پر مارنے کے نتیجے میں اسٹرائیکر کی باری ختم ہوجاتی ہے۔</v>
      </c>
    </row>
    <row r="104">
      <c r="A104" s="4">
        <v>103.0</v>
      </c>
      <c r="B104" s="5" t="s">
        <v>2484</v>
      </c>
      <c r="C104" s="5" t="s">
        <v>2485</v>
      </c>
      <c r="D104" s="5" t="s">
        <v>2486</v>
      </c>
      <c r="E104" s="5" t="s">
        <v>2487</v>
      </c>
      <c r="J104" s="6" t="str">
        <f>IFERROR(__xludf.DUMMYFUNCTION("GOOGLETRANSLATE(A104, ""en"", ""ur"")"),"103")</f>
        <v>103</v>
      </c>
      <c r="K104" s="6" t="str">
        <f>IFERROR(__xludf.DUMMYFUNCTION("GOOGLETRANSLATE(B104, ""en"", ""ur"")"),"'گچی' کیا ہے؟")</f>
        <v>'گچی' کیا ہے؟</v>
      </c>
      <c r="L104" s="6" t="str">
        <f>IFERROR(__xludf.DUMMYFUNCTION("GOOGLETRANSLATE(C104, ""en"", ""ur"")"),"A) گلی، B) ڈنڈا، C) زمین میں چھوٹا سوراخ ابتدائی ہڑتال کے لئے استعمال کیا جاتا ہے، D) اعلی اسکور کی ایک قسم")</f>
        <v>A) گلی، B) ڈنڈا، C) زمین میں چھوٹا سوراخ ابتدائی ہڑتال کے لئے استعمال کیا جاتا ہے، D) اعلی اسکور کی ایک قسم</v>
      </c>
      <c r="M104" s="6" t="str">
        <f>IFERROR(__xludf.DUMMYFUNCTION("GOOGLETRANSLATE(D104, ""en"", ""ur"")"),"ج) زمین میں چھوٹا سوراخ جو ابتدائی ہڑتال کے لیے استعمال ہوتا ہے۔")</f>
        <v>ج) زمین میں چھوٹا سوراخ جو ابتدائی ہڑتال کے لیے استعمال ہوتا ہے۔</v>
      </c>
      <c r="N104" s="6" t="str">
        <f>IFERROR(__xludf.DUMMYFUNCTION("GOOGLETRANSLATE(E104, ""en"", ""ur"")"),"'گچھی' وہ چھوٹا سا گڑھا ہے جس کے اوپر گلی کو رکھا جاتا ہے، جس سے ڈنڈا ہوا میں جھٹکنے کے لیے نیچے آتا ہے۔")</f>
        <v>'گچھی' وہ چھوٹا سا گڑھا ہے جس کے اوپر گلی کو رکھا جاتا ہے، جس سے ڈنڈا ہوا میں جھٹکنے کے لیے نیچے آتا ہے۔</v>
      </c>
    </row>
    <row r="105">
      <c r="A105" s="4">
        <v>104.0</v>
      </c>
      <c r="B105" s="5" t="s">
        <v>2488</v>
      </c>
      <c r="C105" s="5" t="s">
        <v>2489</v>
      </c>
      <c r="D105" s="5" t="s">
        <v>2490</v>
      </c>
      <c r="E105" s="5" t="s">
        <v>2491</v>
      </c>
      <c r="J105" s="6" t="str">
        <f>IFERROR(__xludf.DUMMYFUNCTION("GOOGLETRANSLATE(A105, ""en"", ""ur"")"),"104")</f>
        <v>104</v>
      </c>
      <c r="K105" s="6" t="str">
        <f>IFERROR(__xludf.DUMMYFUNCTION("GOOGLETRANSLATE(B105, ""en"", ""ur"")"),"طویل ہٹ پر فیلڈنگ سائیڈ کے لیے ٹیم ورک کیوں ضروری ہے؟")</f>
        <v>طویل ہٹ پر فیلڈنگ سائیڈ کے لیے ٹیم ورک کیوں ضروری ہے؟</v>
      </c>
      <c r="L105" s="6" t="str">
        <f>IFERROR(__xludf.DUMMYFUNCTION("GOOGLETRANSLATE(C105, ""en"", ""ur"")"),"A) قواعد پر فیصلہ کرنے کے لیے، B) اسٹرائیکر کو آؤٹ کرنے کے لیے ریلے تھرو کرنا، C) ٹیم اسپرٹ کو بڑھانے کے لیے، D) یہ ضروری نہیں ہے۔")</f>
        <v>A) قواعد پر فیصلہ کرنے کے لیے، B) اسٹرائیکر کو آؤٹ کرنے کے لیے ریلے تھرو کرنا، C) ٹیم اسپرٹ کو بڑھانے کے لیے، D) یہ ضروری نہیں ہے۔</v>
      </c>
      <c r="M105" s="6" t="str">
        <f>IFERROR(__xludf.DUMMYFUNCTION("GOOGLETRANSLATE(D105, ""en"", ""ur"")"),"ب) اسٹرائیکر کو آؤٹ کرنے کے لیے ریلے تھرو کرنا")</f>
        <v>ب) اسٹرائیکر کو آؤٹ کرنے کے لیے ریلے تھرو کرنا</v>
      </c>
      <c r="N105" s="6" t="str">
        <f>IFERROR(__xludf.DUMMYFUNCTION("GOOGLETRANSLATE(E105, ""en"", ""ur"")"),"""آؤٹ فیلڈ"" میں ایک فیلڈر گلی کو بیس کے قریب ٹیم کے ساتھی کے پاس پھینکے گا، جو پھر آؤٹ ہونے کے لیے زیادہ درست تھرو کر سکتا ہے۔")</f>
        <v>"آؤٹ فیلڈ" میں ایک فیلڈر گلی کو بیس کے قریب ٹیم کے ساتھی کے پاس پھینکے گا، جو پھر آؤٹ ہونے کے لیے زیادہ درست تھرو کر سکتا ہے۔</v>
      </c>
    </row>
    <row r="106">
      <c r="A106" s="4">
        <v>105.0</v>
      </c>
      <c r="B106" s="5" t="s">
        <v>2492</v>
      </c>
      <c r="C106" s="5" t="s">
        <v>2493</v>
      </c>
      <c r="D106" s="5" t="s">
        <v>2494</v>
      </c>
      <c r="E106" s="5" t="s">
        <v>2495</v>
      </c>
      <c r="J106" s="6" t="str">
        <f>IFERROR(__xludf.DUMMYFUNCTION("GOOGLETRANSLATE(A106, ""en"", ""ur"")"),"105")</f>
        <v>105</v>
      </c>
      <c r="K106" s="6" t="str">
        <f>IFERROR(__xludf.DUMMYFUNCTION("GOOGLETRANSLATE(B106, ""en"", ""ur"")"),"ایک فیلڈر نے گلی کو کیچ کیا لیکن وہ طے شدہ باؤنڈری سے باہر کھڑا تھا۔ اس کا کیا حکم ہے؟")</f>
        <v>ایک فیلڈر نے گلی کو کیچ کیا لیکن وہ طے شدہ باؤنڈری سے باہر کھڑا تھا۔ اس کا کیا حکم ہے؟</v>
      </c>
      <c r="L106" s="6" t="str">
        <f>IFERROR(__xludf.DUMMYFUNCTION("GOOGLETRANSLATE(C106, ""en"", ""ur"")"),"A) اسٹرائیکر آؤٹ ہے، B) اسٹرائیکر ناٹ آؤٹ ہے، C) باری دوبارہ چلائی جاتی ہے، D) فیلڈر کو جرمانہ کیا جاتا ہے")</f>
        <v>A) اسٹرائیکر آؤٹ ہے، B) اسٹرائیکر ناٹ آؤٹ ہے، C) باری دوبارہ چلائی جاتی ہے، D) فیلڈر کو جرمانہ کیا جاتا ہے</v>
      </c>
      <c r="M106" s="6" t="str">
        <f>IFERROR(__xludf.DUMMYFUNCTION("GOOGLETRANSLATE(D106, ""en"", ""ur"")"),"ب) اسٹرائیکر ناٹ آؤٹ ہے۔")</f>
        <v>ب) اسٹرائیکر ناٹ آؤٹ ہے۔</v>
      </c>
      <c r="N106" s="6" t="str">
        <f>IFERROR(__xludf.DUMMYFUNCTION("GOOGLETRANSLATE(E106, ""en"", ""ur"")"),"کیچ کے درست ہونے کے لیے فیلڈر کا کھیل کے میدان میں ہونا ضروری ہے۔")</f>
        <v>کیچ کے درست ہونے کے لیے فیلڈر کا کھیل کے میدان میں ہونا ضروری ہے۔</v>
      </c>
    </row>
    <row r="107">
      <c r="A107" s="4">
        <v>106.0</v>
      </c>
      <c r="B107" s="5" t="s">
        <v>2496</v>
      </c>
      <c r="C107" s="5" t="s">
        <v>2497</v>
      </c>
      <c r="D107" s="5" t="s">
        <v>2498</v>
      </c>
      <c r="E107" s="5" t="s">
        <v>2499</v>
      </c>
      <c r="J107" s="6" t="str">
        <f>IFERROR(__xludf.DUMMYFUNCTION("GOOGLETRANSLATE(A107, ""en"", ""ur"")"),"106")</f>
        <v>106</v>
      </c>
      <c r="K107" s="6" t="str">
        <f>IFERROR(__xludf.DUMMYFUNCTION("GOOGLETRANSLATE(B107, ""en"", ""ur"")"),"طاقتور ہڑتال کے لیے ایک طرف کا موقف سب سے زیادہ مؤثر کیوں ہے؟")</f>
        <v>طاقتور ہڑتال کے لیے ایک طرف کا موقف سب سے زیادہ مؤثر کیوں ہے؟</v>
      </c>
      <c r="L107" s="6" t="str">
        <f>IFERROR(__xludf.DUMMYFUNCTION("GOOGLETRANSLATE(C107, ""en"", ""ur"")"),"A) یہ کور اور کولہوں کی گردش سے طاقت پیدا کرتا ہے، B) یہ گلی کا بہتر نظارہ فراہم کرتا ہے، C) یہ سب سے زیادہ مستحکم موقف ہے، D) یہ واحد موقف ہے جس کی اجازت ہے۔")</f>
        <v>A) یہ کور اور کولہوں کی گردش سے طاقت پیدا کرتا ہے، B) یہ گلی کا بہتر نظارہ فراہم کرتا ہے، C) یہ سب سے زیادہ مستحکم موقف ہے، D) یہ واحد موقف ہے جس کی اجازت ہے۔</v>
      </c>
      <c r="M107" s="6" t="str">
        <f>IFERROR(__xludf.DUMMYFUNCTION("GOOGLETRANSLATE(D107, ""en"", ""ur"")"),"A) یہ کور اور کولہوں کی گردش سے طاقت پیدا کرتا ہے۔")</f>
        <v>A) یہ کور اور کولہوں کی گردش سے طاقت پیدا کرتا ہے۔</v>
      </c>
      <c r="N107" s="6" t="str">
        <f>IFERROR(__xludf.DUMMYFUNCTION("GOOGLETRANSLATE(E107, ""en"", ""ur"")"),"یہ کلاسک بیٹنگ موقف پورے جسم کو جھولے کی قوت میں حصہ ڈالنے کی اجازت دیتا ہے، نہ کہ صرف بازو۔")</f>
        <v>یہ کلاسک بیٹنگ موقف پورے جسم کو جھولے کی قوت میں حصہ ڈالنے کی اجازت دیتا ہے، نہ کہ صرف بازو۔</v>
      </c>
    </row>
    <row r="108">
      <c r="A108" s="4">
        <v>107.0</v>
      </c>
      <c r="B108" s="5" t="s">
        <v>2376</v>
      </c>
      <c r="C108" s="5" t="s">
        <v>2377</v>
      </c>
      <c r="D108" s="5" t="s">
        <v>2378</v>
      </c>
      <c r="E108" s="5" t="s">
        <v>2500</v>
      </c>
      <c r="J108" s="6" t="str">
        <f>IFERROR(__xludf.DUMMYFUNCTION("GOOGLETRANSLATE(A108, ""en"", ""ur"")"),"107")</f>
        <v>107</v>
      </c>
      <c r="K108" s="6" t="str">
        <f>IFERROR(__xludf.DUMMYFUNCTION("GOOGLETRANSLATE(B108, ""en"", ""ur"")"),"ایک فیلڈر گلی کو اپنے پاؤں سے روکتا ہے اور پھر اسے واپس پھینک دیتا ہے۔ کیا یہ قانونی ہے؟")</f>
        <v>ایک فیلڈر گلی کو اپنے پاؤں سے روکتا ہے اور پھر اسے واپس پھینک دیتا ہے۔ کیا یہ قانونی ہے؟</v>
      </c>
      <c r="L108" s="6" t="str">
        <f>IFERROR(__xludf.DUMMYFUNCTION("GOOGLETRANSLATE(C108, ""en"", ""ur"")"),"A) نہیں، صرف ہاتھ استعمال کیے جا سکتے ہیں، B) ہاں، ایک فیلڈر اپنے جسم کے کسی بھی حصے سے گلی کو روک سکتا ہے، C) صرف اس صورت میں جب گلی زمین پر ہو، D) اس کے نتیجے میں جرمانہ ہو گا۔")</f>
        <v>A) نہیں، صرف ہاتھ استعمال کیے جا سکتے ہیں، B) ہاں، ایک فیلڈر اپنے جسم کے کسی بھی حصے سے گلی کو روک سکتا ہے، C) صرف اس صورت میں جب گلی زمین پر ہو، D) اس کے نتیجے میں جرمانہ ہو گا۔</v>
      </c>
      <c r="M108" s="6" t="str">
        <f>IFERROR(__xludf.DUMMYFUNCTION("GOOGLETRANSLATE(D108, ""en"", ""ur"")"),"ب) جی ہاں، ایک فیلڈر اپنے جسم کے کسی بھی حصے سے گلی کو روک سکتا ہے۔")</f>
        <v>ب) جی ہاں، ایک فیلڈر اپنے جسم کے کسی بھی حصے سے گلی کو روک سکتا ہے۔</v>
      </c>
      <c r="N108" s="6" t="str">
        <f>IFERROR(__xludf.DUMMYFUNCTION("GOOGLETRANSLATE(E108, ""en"", ""ur"")"),"ایک فیلڈر کو اجازت ہے کہ وہ اپنے ہاتھ، پاؤں یا اپنے جسم کے کسی بھی حصے کو پھینکنے سے پہلے گلی کو روکنے کے لیے استعمال کرے۔")</f>
        <v>ایک فیلڈر کو اجازت ہے کہ وہ اپنے ہاتھ، پاؤں یا اپنے جسم کے کسی بھی حصے کو پھینکنے سے پہلے گلی کو روکنے کے لیے استعمال کرے۔</v>
      </c>
    </row>
    <row r="109">
      <c r="A109" s="4">
        <v>108.0</v>
      </c>
      <c r="B109" s="5" t="s">
        <v>2501</v>
      </c>
      <c r="C109" s="5" t="s">
        <v>2502</v>
      </c>
      <c r="D109" s="5" t="s">
        <v>2503</v>
      </c>
      <c r="E109" s="5" t="s">
        <v>2504</v>
      </c>
      <c r="J109" s="6" t="str">
        <f>IFERROR(__xludf.DUMMYFUNCTION("GOOGLETRANSLATE(A109, ""en"", ""ur"")"),"108")</f>
        <v>108</v>
      </c>
      <c r="K109" s="6" t="str">
        <f>IFERROR(__xludf.DUMMYFUNCTION("GOOGLETRANSLATE(B109, ""en"", ""ur"")"),"ایک کھلاڑی اپنی ""جگنگ"" مہارت کے لیے جانا جاتا ہے۔ اس میں کیا شامل ہے؟")</f>
        <v>ایک کھلاڑی اپنی "جگنگ" مہارت کے لیے جانا جاتا ہے۔ اس میں کیا شامل ہے؟</v>
      </c>
      <c r="L109" s="6" t="str">
        <f>IFERROR(__xludf.DUMMYFUNCTION("GOOGLETRANSLATE(C109, ""en"", ""ur"")"),"A) ایک سے زیادہ گلیوں کو جگانا، B) فائنل اسٹرائیک سے پہلے گلی کو کئی بار ہوا میں مارنا، C) فیلڈر کو کیچ بنانا، D) ڈنڈا کو جگانا")</f>
        <v>A) ایک سے زیادہ گلیوں کو جگانا، B) فائنل اسٹرائیک سے پہلے گلی کو کئی بار ہوا میں مارنا، C) فیلڈر کو کیچ بنانا، D) ڈنڈا کو جگانا</v>
      </c>
      <c r="M109" s="6" t="str">
        <f>IFERROR(__xludf.DUMMYFUNCTION("GOOGLETRANSLATE(D109, ""en"", ""ur"")"),"ب) آخری اسٹرائیک سے پہلے گلی کو کئی بار ہوا میں مارنا")</f>
        <v>ب) آخری اسٹرائیک سے پہلے گلی کو کئی بار ہوا میں مارنا</v>
      </c>
      <c r="N109" s="6" t="str">
        <f>IFERROR(__xludf.DUMMYFUNCTION("GOOGLETRANSLATE(E109, ""en"", ""ur"")"),"یہ ایک اعلی درجے کی مہارت ہے جہاں ایک کھلاڑی گلی کو ہوا سے چلنے اور اسے بالکل ٹھیک پوزیشن میں رکھنے کے لیے متعدد روشنی کے نلکوں کا استعمال کرتا ہے۔")</f>
        <v>یہ ایک اعلی درجے کی مہارت ہے جہاں ایک کھلاڑی گلی کو ہوا سے چلنے اور اسے بالکل ٹھیک پوزیشن میں رکھنے کے لیے متعدد روشنی کے نلکوں کا استعمال کرتا ہے۔</v>
      </c>
    </row>
    <row r="110">
      <c r="A110" s="4">
        <v>109.0</v>
      </c>
      <c r="B110" s="5" t="s">
        <v>2505</v>
      </c>
      <c r="C110" s="5" t="s">
        <v>2421</v>
      </c>
      <c r="D110" s="5" t="s">
        <v>2422</v>
      </c>
      <c r="E110" s="5" t="s">
        <v>2423</v>
      </c>
      <c r="J110" s="6" t="str">
        <f>IFERROR(__xludf.DUMMYFUNCTION("GOOGLETRANSLATE(A110, ""en"", ""ur"")"),"109")</f>
        <v>109</v>
      </c>
      <c r="K110" s="6" t="str">
        <f>IFERROR(__xludf.DUMMYFUNCTION("GOOGLETRANSLATE(B110, ""en"", ""ur"")"),"کرکٹ جیسے رسمی کھیل کے مقابلے گلی ڈنڈا کی اہم اپیل کیا ہے؟")</f>
        <v>کرکٹ جیسے رسمی کھیل کے مقابلے گلی ڈنڈا کی اہم اپیل کیا ہے؟</v>
      </c>
      <c r="L110" s="6" t="str">
        <f>IFERROR(__xludf.DUMMYFUNCTION("GOOGLETRANSLATE(C110, ""en"", ""ur"")"),"A) اس کے زیادہ پیچیدہ اصول ہیں، B) اس کے لیے کسی مہنگے سامان یا خصوصی پچ کی ضرورت نہیں ہے، C) یہ ایک اولمپک کھیل ہے، D) یہ کرکٹ سے زیادہ محفوظ ہے۔")</f>
        <v>A) اس کے زیادہ پیچیدہ اصول ہیں، B) اس کے لیے کسی مہنگے سامان یا خصوصی پچ کی ضرورت نہیں ہے، C) یہ ایک اولمپک کھیل ہے، D) یہ کرکٹ سے زیادہ محفوظ ہے۔</v>
      </c>
      <c r="M110" s="6" t="str">
        <f>IFERROR(__xludf.DUMMYFUNCTION("GOOGLETRANSLATE(D110, ""en"", ""ur"")"),"ب) اس کے لیے کسی مہنگے سامان یا خصوصی پچ کی ضرورت نہیں ہے۔")</f>
        <v>ب) اس کے لیے کسی مہنگے سامان یا خصوصی پچ کی ضرورت نہیں ہے۔</v>
      </c>
      <c r="N110" s="6" t="str">
        <f>IFERROR(__xludf.DUMMYFUNCTION("GOOGLETRANSLATE(E110, ""en"", ""ur"")"),"اس کی سادگی اور رسائی ایک گلی اور گاؤں کے کھیل کے طور پر اس کی پائیدار مقبولیت کی بنیادی وجوہات ہیں۔")</f>
        <v>اس کی سادگی اور رسائی ایک گلی اور گاؤں کے کھیل کے طور پر اس کی پائیدار مقبولیت کی بنیادی وجوہات ہیں۔</v>
      </c>
    </row>
    <row r="111">
      <c r="A111" s="4">
        <v>110.0</v>
      </c>
      <c r="B111" s="5" t="s">
        <v>2506</v>
      </c>
      <c r="C111" s="5" t="s">
        <v>2507</v>
      </c>
      <c r="D111" s="5" t="s">
        <v>2508</v>
      </c>
      <c r="E111" s="5" t="s">
        <v>2509</v>
      </c>
      <c r="J111" s="6" t="str">
        <f>IFERROR(__xludf.DUMMYFUNCTION("GOOGLETRANSLATE(A111, ""en"", ""ur"")"),"110")</f>
        <v>110</v>
      </c>
      <c r="K111" s="6" t="str">
        <f>IFERROR(__xludf.DUMMYFUNCTION("GOOGLETRANSLATE(B111, ""en"", ""ur"")"),"ہلکی سی کراس ونڈ کیوں کھیلنا سب سے مشکل حالت ہے؟")</f>
        <v>ہلکی سی کراس ونڈ کیوں کھیلنا سب سے مشکل حالت ہے؟</v>
      </c>
      <c r="L111" s="6" t="str">
        <f>IFERROR(__xludf.DUMMYFUNCTION("GOOGLETRANSLATE(C111, ""en"", ""ur"")"),"A) یہ گلی کو دور تک سفر کرتا ہے، B) یہ گلی کو غیر متوقع طور پر گھومنے کا سبب بن سکتا ہے، C) یہ اسے کھیلنے کے لئے بہت ٹھنڈا بنا دیتا ہے، D) یہ کھلاڑیوں کی آنکھوں میں دھول اڑا دیتا ہے۔")</f>
        <v>A) یہ گلی کو دور تک سفر کرتا ہے، B) یہ گلی کو غیر متوقع طور پر گھومنے کا سبب بن سکتا ہے، C) یہ اسے کھیلنے کے لئے بہت ٹھنڈا بنا دیتا ہے، D) یہ کھلاڑیوں کی آنکھوں میں دھول اڑا دیتا ہے۔</v>
      </c>
      <c r="M111" s="6" t="str">
        <f>IFERROR(__xludf.DUMMYFUNCTION("GOOGLETRANSLATE(D111, ""en"", ""ur"")"),"ب) یہ گلی کو غیر متوقع طور پر تبدیل کرنے کا سبب بن سکتا ہے۔")</f>
        <v>ب) یہ گلی کو غیر متوقع طور پر تبدیل کرنے کا سبب بن سکتا ہے۔</v>
      </c>
      <c r="N111" s="6" t="str">
        <f>IFERROR(__xludf.DUMMYFUNCTION("GOOGLETRANSLATE(E111, ""en"", ""ur"")"),"کراس ونڈ گلی کی پرواز میں ایک مشکل ""کرو"" بنا سکتا ہے، اسٹرائیکر اور فیلڈرز دونوں کو دھوکہ دے سکتا ہے۔")</f>
        <v>کراس ونڈ گلی کی پرواز میں ایک مشکل "کرو" بنا سکتا ہے، اسٹرائیکر اور فیلڈرز دونوں کو دھوکہ دے سکتا ہے۔</v>
      </c>
    </row>
    <row r="112">
      <c r="A112" s="4">
        <v>111.0</v>
      </c>
      <c r="B112" s="5" t="s">
        <v>2510</v>
      </c>
      <c r="C112" s="5" t="s">
        <v>2511</v>
      </c>
      <c r="D112" s="5" t="s">
        <v>2512</v>
      </c>
      <c r="E112" s="5" t="s">
        <v>2513</v>
      </c>
      <c r="J112" s="6" t="str">
        <f>IFERROR(__xludf.DUMMYFUNCTION("GOOGLETRANSLATE(A112, ""en"", ""ur"")"),"111")</f>
        <v>111</v>
      </c>
      <c r="K112" s="6" t="str">
        <f>IFERROR(__xludf.DUMMYFUNCTION("GOOGLETRANSLATE(B112, ""en"", ""ur"")"),"کھلاڑیوں کے درمیان جھگڑے کی سب سے عام وجہ کیا ہے؟")</f>
        <v>کھلاڑیوں کے درمیان جھگڑے کی سب سے عام وجہ کیا ہے؟</v>
      </c>
      <c r="L112" s="6" t="str">
        <f>IFERROR(__xludf.DUMMYFUNCTION("GOOGLETRANSLATE(C112, ""en"", ""ur"")"),"A) سامان کا معیار، B) آیا کیچ صاف تھا یا اسکور درست طریقے سے ماپا گیا تھا، C) موسم، D) دن کا وقت")</f>
        <v>A) سامان کا معیار، B) آیا کیچ صاف تھا یا اسکور درست طریقے سے ماپا گیا تھا، C) موسم، D) دن کا وقت</v>
      </c>
      <c r="M112" s="6" t="str">
        <f>IFERROR(__xludf.DUMMYFUNCTION("GOOGLETRANSLATE(D112, ""en"", ""ur"")"),"ب) آیا کیچ صاف تھا یا اسکور درست طریقے سے ماپا گیا تھا۔")</f>
        <v>ب) آیا کیچ صاف تھا یا اسکور درست طریقے سے ماپا گیا تھا۔</v>
      </c>
      <c r="N112" s="6" t="str">
        <f>IFERROR(__xludf.DUMMYFUNCTION("GOOGLETRANSLATE(E112, ""en"", ""ur"")"),"بغیر کسی رسمی امپائر کے، یہ دو ججمنٹ کالز سب سے دوستانہ دلائل کا ذریعہ ہیں۔")</f>
        <v>بغیر کسی رسمی امپائر کے، یہ دو ججمنٹ کالز سب سے دوستانہ دلائل کا ذریعہ ہیں۔</v>
      </c>
    </row>
    <row r="113">
      <c r="A113" s="4">
        <v>112.0</v>
      </c>
      <c r="B113" s="5" t="s">
        <v>2514</v>
      </c>
      <c r="C113" s="5" t="s">
        <v>2515</v>
      </c>
      <c r="D113" s="5" t="s">
        <v>2516</v>
      </c>
      <c r="E113" s="5" t="s">
        <v>2517</v>
      </c>
      <c r="J113" s="6" t="str">
        <f>IFERROR(__xludf.DUMMYFUNCTION("GOOGLETRANSLATE(A113, ""en"", ""ur"")"),"112")</f>
        <v>112</v>
      </c>
      <c r="K113" s="6" t="str">
        <f>IFERROR(__xludf.DUMMYFUNCTION("GOOGLETRANSLATE(B113, ""en"", ""ur"")"),"تمام فیلڈرز کے لیے اسٹرائیکر کے بہت قریب کھڑا ہونا حکمت عملی کے لحاظ سے خطرناک کیوں ہے؟")</f>
        <v>تمام فیلڈرز کے لیے اسٹرائیکر کے بہت قریب کھڑا ہونا حکمت عملی کے لحاظ سے خطرناک کیوں ہے؟</v>
      </c>
      <c r="L113" s="6" t="str">
        <f>IFERROR(__xludf.DUMMYFUNCTION("GOOGLETRANSLATE(C113, ""en"", ""ur"")"),"A) یہ خطرناک نہیں ہے، B) ایک طاقتور لمبی ہٹ ان کے تمام سروں پر جائے گی، C) یہ قواعد کے خلاف ہے، D) یہ انہیں تھکا دے گا۔")</f>
        <v>A) یہ خطرناک نہیں ہے، B) ایک طاقتور لمبی ہٹ ان کے تمام سروں پر جائے گی، C) یہ قواعد کے خلاف ہے، D) یہ انہیں تھکا دے گا۔</v>
      </c>
      <c r="M113" s="6" t="str">
        <f>IFERROR(__xludf.DUMMYFUNCTION("GOOGLETRANSLATE(D113, ""en"", ""ur"")"),"ب) ایک طاقتور لمبی ہٹ ان کے تمام سروں پر جائے گی۔")</f>
        <v>ب) ایک طاقتور لمبی ہٹ ان کے تمام سروں پر جائے گی۔</v>
      </c>
      <c r="N113" s="6" t="str">
        <f>IFERROR(__xludf.DUMMYFUNCTION("GOOGLETRANSLATE(E113, ""en"", ""ur"")"),"یہ حکمت عملی ایک ہنر مند اسٹرائیکر کے لیے گیلی کو بڑے اسکور کے لیے مارنے کے لیے پورا آؤٹ فیلڈ کھلا چھوڑ دیتی ہے۔")</f>
        <v>یہ حکمت عملی ایک ہنر مند اسٹرائیکر کے لیے گیلی کو بڑے اسکور کے لیے مارنے کے لیے پورا آؤٹ فیلڈ کھلا چھوڑ دیتی ہے۔</v>
      </c>
    </row>
    <row r="114">
      <c r="A114" s="4">
        <v>113.0</v>
      </c>
      <c r="B114" s="5" t="s">
        <v>2395</v>
      </c>
      <c r="C114" s="5" t="s">
        <v>2396</v>
      </c>
      <c r="D114" s="5" t="s">
        <v>2397</v>
      </c>
      <c r="E114" s="5" t="s">
        <v>2518</v>
      </c>
      <c r="J114" s="6" t="str">
        <f>IFERROR(__xludf.DUMMYFUNCTION("GOOGLETRANSLATE(A114, ""en"", ""ur"")"),"113")</f>
        <v>113</v>
      </c>
      <c r="K114" s="6" t="str">
        <f>IFERROR(__xludf.DUMMYFUNCTION("GOOGLETRANSLATE(B114, ""en"", ""ur"")"),"ایک فیلڈر گلی کو اپنی ٹوپی میں پکڑتا ہے۔ کیا یہ قانونی پکڑ ہے؟")</f>
        <v>ایک فیلڈر گلی کو اپنی ٹوپی میں پکڑتا ہے۔ کیا یہ قانونی پکڑ ہے؟</v>
      </c>
      <c r="L114" s="6" t="str">
        <f>IFERROR(__xludf.DUMMYFUNCTION("GOOGLETRANSLATE(C114, ""en"", ""ur"")"),"A) جی ہاں، جب تک یہ زمین کو نہ چھوئے، B) نہیں، کیچ ہاتھوں سے لیا جانا چاہیے، C) یہ فیصلہ اسٹرائیکر پر منحصر ہے، D) باری دوبارہ چلائی جاتی ہے۔")</f>
        <v>A) جی ہاں، جب تک یہ زمین کو نہ چھوئے، B) نہیں، کیچ ہاتھوں سے لیا جانا چاہیے، C) یہ فیصلہ اسٹرائیکر پر منحصر ہے، D) باری دوبارہ چلائی جاتی ہے۔</v>
      </c>
      <c r="M114" s="6" t="str">
        <f>IFERROR(__xludf.DUMMYFUNCTION("GOOGLETRANSLATE(D114, ""en"", ""ur"")"),"ب) نہیں، کیچ کو ہاتھوں سے بنایا جانا چاہیے۔")</f>
        <v>ب) نہیں، کیچ کو ہاتھوں سے بنایا جانا چاہیے۔</v>
      </c>
      <c r="N114" s="6" t="str">
        <f>IFERROR(__xludf.DUMMYFUNCTION("GOOGLETRANSLATE(E114, ""en"", ""ur"")"),"روایتی اصولوں میں، کیچ صرف اس صورت میں درست ہے جب ننگے ہاتھوں سے بنایا جائے۔ کیچ میں مدد کے لیے لباس استعمال کرنے کی اجازت نہیں ہے۔")</f>
        <v>روایتی اصولوں میں، کیچ صرف اس صورت میں درست ہے جب ننگے ہاتھوں سے بنایا جائے۔ کیچ میں مدد کے لیے لباس استعمال کرنے کی اجازت نہیں ہے۔</v>
      </c>
    </row>
    <row r="115">
      <c r="A115" s="4">
        <v>114.0</v>
      </c>
      <c r="B115" s="5" t="s">
        <v>2407</v>
      </c>
      <c r="C115" s="5" t="s">
        <v>2408</v>
      </c>
      <c r="D115" s="5" t="s">
        <v>2519</v>
      </c>
      <c r="E115" s="5"/>
      <c r="J115" s="6" t="str">
        <f>IFERROR(__xludf.DUMMYFUNCTION("GOOGLETRANSLATE(A115, ""en"", ""ur"")"),"114")</f>
        <v>114</v>
      </c>
      <c r="K115" s="6" t="str">
        <f>IFERROR(__xludf.DUMMYFUNCTION("GOOGLETRANSLATE(B115, ""en"", ""ur"")"),"اسٹرائیکر کے لئے ""تین کوشش"" کے اصول کی بنیادی وجہ کیا ہے؟")</f>
        <v>اسٹرائیکر کے لئے "تین کوشش" کے اصول کی بنیادی وجہ کیا ہے؟</v>
      </c>
      <c r="L115" s="6" t="str">
        <f>IFERROR(__xludf.DUMMYFUNCTION("GOOGLETRANSLATE(C115, ""en"", ""ur"")"),"A) کھیل کو زیادہ دیر تک چلانے کے لیے، B) اسٹرائیکر کو کھیل کو غیر معینہ مدت تک تاخیر سے روکنے کے لیے مناسب موقع فراہم کرنا، C) کھیل کو مزید مشکل بنانا، D) اسٹرائیکر کو تھکا دینا")</f>
        <v>A) کھیل کو زیادہ دیر تک چلانے کے لیے، B) اسٹرائیکر کو کھیل کو غیر معینہ مدت تک تاخیر سے روکنے کے لیے مناسب موقع فراہم کرنا، C) کھیل کو مزید مشکل بنانا، D) اسٹرائیکر کو تھکا دینا</v>
      </c>
      <c r="M115" s="6" t="str">
        <f>IFERROR(__xludf.DUMMYFUNCTION("GOOGLETRANSLATE(D115, ""en"", ""ur"")"),"ب) گلی ڈنڈا دینا ایک ہمہ گیر اور روایتی اسٹریٹ گیم ہے جس سے پورے جنوبی ایشیا میں بچے اور بڑوں یکساں لطف اندوز ہوتے ہیں۔")</f>
        <v>ب) گلی ڈنڈا دینا ایک ہمہ گیر اور روایتی اسٹریٹ گیم ہے جس سے پورے جنوبی ایشیا میں بچے اور بڑوں یکساں لطف اندوز ہوتے ہیں۔</v>
      </c>
      <c r="N115" s="6" t="str">
        <f>IFERROR(__xludf.DUMMYFUNCTION("GOOGLETRANSLATE(E115, ""en"", ""ur"")"),"#VALUE!")</f>
        <v>#VALUE!</v>
      </c>
    </row>
    <row r="116">
      <c r="A116" s="4">
        <v>115.0</v>
      </c>
      <c r="B116" s="5" t="s">
        <v>2520</v>
      </c>
      <c r="C116" s="5" t="s">
        <v>2521</v>
      </c>
      <c r="D116" s="5" t="s">
        <v>2522</v>
      </c>
      <c r="E116" s="5" t="s">
        <v>2523</v>
      </c>
      <c r="J116" s="6" t="str">
        <f>IFERROR(__xludf.DUMMYFUNCTION("GOOGLETRANSLATE(A116, ""en"", ""ur"")"),"115")</f>
        <v>115</v>
      </c>
      <c r="K116" s="6" t="str">
        <f>IFERROR(__xludf.DUMMYFUNCTION("GOOGLETRANSLATE(B116, ""en"", ""ur"")"),"ایک فیلڈر گلی کو کیچ کرتا ہے لیکن اسے محفوظ کرنے سے پہلے اسے کئی بار جگاتا ہے۔ کیا اسٹرائیکر باہر ہے؟")</f>
        <v>ایک فیلڈر گلی کو کیچ کرتا ہے لیکن اسے محفوظ کرنے سے پہلے اسے کئی بار جگاتا ہے۔ کیا اسٹرائیکر باہر ہے؟</v>
      </c>
      <c r="L116" s="6" t="str">
        <f>IFERROR(__xludf.DUMMYFUNCTION("GOOGLETRANSLATE(C116, ""en"", ""ur"")"),"A) نہیں، کیچ صاف نہیں تھا، B) ہاں، جب تک گلی نے کبھی زمین کو نہیں چھوا، C) ٹرن کو دوبارہ پلے کرنا ضروری ہے، D) فیلڈر کو خراب کیچنگ پر جرمانہ کیا جاتا ہے۔")</f>
        <v>A) نہیں، کیچ صاف نہیں تھا، B) ہاں، جب تک گلی نے کبھی زمین کو نہیں چھوا، C) ٹرن کو دوبارہ پلے کرنا ضروری ہے، D) فیلڈر کو خراب کیچنگ پر جرمانہ کیا جاتا ہے۔</v>
      </c>
      <c r="M116" s="6" t="str">
        <f>IFERROR(__xludf.DUMMYFUNCTION("GOOGLETRANSLATE(D116, ""en"", ""ur"")"),"ب) جی ہاں، جب تک کہ گلی نے کبھی زمین کو نہ چھوا۔")</f>
        <v>ب) جی ہاں، جب تک کہ گلی نے کبھی زمین کو نہ چھوا۔</v>
      </c>
      <c r="N116" s="6" t="str">
        <f>IFERROR(__xludf.DUMMYFUNCTION("GOOGLETRANSLATE(E116, ""en"", ""ur"")"),"ایک ""جگلڈ کیچ"" ایک درست برطرفی ہے، بشرطیکہ فیلڈر زمین سے رابطہ کرنے سے پہلے گلی پر مکمل کنٹرول حاصل کر لے۔")</f>
        <v>ایک "جگلڈ کیچ" ایک درست برطرفی ہے، بشرطیکہ فیلڈر زمین سے رابطہ کرنے سے پہلے گلی پر مکمل کنٹرول حاصل کر لے۔</v>
      </c>
    </row>
    <row r="117">
      <c r="A117" s="4">
        <v>116.0</v>
      </c>
      <c r="B117" s="5" t="s">
        <v>2460</v>
      </c>
      <c r="C117" s="5" t="s">
        <v>2461</v>
      </c>
      <c r="D117" s="5" t="s">
        <v>2462</v>
      </c>
      <c r="E117" s="5" t="s">
        <v>2463</v>
      </c>
      <c r="J117" s="6" t="str">
        <f>IFERROR(__xludf.DUMMYFUNCTION("GOOGLETRANSLATE(A117, ""en"", ""ur"")"),"116")</f>
        <v>116</v>
      </c>
      <c r="K117" s="6" t="str">
        <f>IFERROR(__xludf.DUMMYFUNCTION("GOOGLETRANSLATE(B117, ""en"", ""ur"")"),"گلی ڈنڈا جدید پاکستان میں گھنے شہروں کی نسبت دیہی علاقوں میں زیادہ مقبول ہونے کی بنیادی وجہ کیا ہے؟")</f>
        <v>گلی ڈنڈا جدید پاکستان میں گھنے شہروں کی نسبت دیہی علاقوں میں زیادہ مقبول ہونے کی بنیادی وجہ کیا ہے؟</v>
      </c>
      <c r="L117" s="6" t="str">
        <f>IFERROR(__xludf.DUMMYFUNCTION("GOOGLETRANSLATE(C117, ""en"", ""ur"")"),"A) شہر کے رہنے والے دوسرے کھیلوں کو ترجیح دیتے ہیں، B) شہروں میں اس کھیل پر پابندی ہے، C) محفوظ، کھلی جگہوں کا فقدان جو کھیل کھیلنے کے لیے درکار ہے، D) شہروں میں سامان فروخت نہیں ہوتا")</f>
        <v>A) شہر کے رہنے والے دوسرے کھیلوں کو ترجیح دیتے ہیں، B) شہروں میں اس کھیل پر پابندی ہے، C) محفوظ، کھلی جگہوں کا فقدان جو کھیل کھیلنے کے لیے درکار ہے، D) شہروں میں سامان فروخت نہیں ہوتا</v>
      </c>
      <c r="M117" s="6" t="str">
        <f>IFERROR(__xludf.DUMMYFUNCTION("GOOGLETRANSLATE(D117, ""en"", ""ur"")"),"ج) گیم کھیلنے کے لیے درکار محفوظ، کھلی جگہوں کی کمی")</f>
        <v>ج) گیم کھیلنے کے لیے درکار محفوظ، کھلی جگہوں کی کمی</v>
      </c>
      <c r="N117" s="6" t="str">
        <f>IFERROR(__xludf.DUMMYFUNCTION("GOOGLETRANSLATE(E117, ""en"", ""ur"")"),"شہری کاری نے گلی ڈنڈا کو محفوظ طریقے سے کھیلنے کے لیے درکار کھلے میدانوں اور میدانوں کی تعداد میں کافی حد تک کمی کر دی ہے۔")</f>
        <v>شہری کاری نے گلی ڈنڈا کو محفوظ طریقے سے کھیلنے کے لیے درکار کھلے میدانوں اور میدانوں کی تعداد میں کافی حد تک کمی کر دی ہے۔</v>
      </c>
    </row>
    <row r="118">
      <c r="A118" s="4">
        <v>117.0</v>
      </c>
      <c r="B118" s="5" t="s">
        <v>2464</v>
      </c>
      <c r="C118" s="5" t="s">
        <v>2465</v>
      </c>
      <c r="D118" s="5" t="s">
        <v>2466</v>
      </c>
      <c r="E118" s="5" t="s">
        <v>2467</v>
      </c>
      <c r="J118" s="6" t="str">
        <f>IFERROR(__xludf.DUMMYFUNCTION("GOOGLETRANSLATE(A118, ""en"", ""ur"")"),"117")</f>
        <v>117</v>
      </c>
      <c r="K118" s="6" t="str">
        <f>IFERROR(__xludf.DUMMYFUNCTION("GOOGLETRANSLATE(B118, ""en"", ""ur"")"),"گلی ڈنڈا اور بیس بال کے درمیان بنیادی فرق کیا ہے؟")</f>
        <v>گلی ڈنڈا اور بیس بال کے درمیان بنیادی فرق کیا ہے؟</v>
      </c>
      <c r="L118" s="6" t="str">
        <f>IFERROR(__xludf.DUMMYFUNCTION("GOOGLETRANSLATE(C118, ""en"", ""ur"")"),"A) گلی ڈنڈا ایک چھڑی کا استعمال کرتا ہے، B) گلی ڈنڈا میں کوئی گھڑا نہیں ہے؛ بلے باز خود اس چیز کو لانچ کرتا ہے، C) گلی ڈنڈا ایک ٹیم کا کھیل ہے، D) گلی ڈنڈا میں کوئی فیلڈنگ نہیں ہوتی")</f>
        <v>A) گلی ڈنڈا ایک چھڑی کا استعمال کرتا ہے، B) گلی ڈنڈا میں کوئی گھڑا نہیں ہے؛ بلے باز خود اس چیز کو لانچ کرتا ہے، C) گلی ڈنڈا ایک ٹیم کا کھیل ہے، D) گلی ڈنڈا میں کوئی فیلڈنگ نہیں ہوتی</v>
      </c>
      <c r="M118" s="6" t="str">
        <f>IFERROR(__xludf.DUMMYFUNCTION("GOOGLETRANSLATE(D118, ""en"", ""ur"")"),"ب) گلی ڈنڈا میں کوئی گھڑا نہیں ہے۔ بلے باز خود اس چیز کو لانچ کرتا ہے۔")</f>
        <v>ب) گلی ڈنڈا میں کوئی گھڑا نہیں ہے۔ بلے باز خود اس چیز کو لانچ کرتا ہے۔</v>
      </c>
      <c r="N118" s="6" t="str">
        <f>IFERROR(__xludf.DUMMYFUNCTION("GOOGLETRANSLATE(E118, ""en"", ""ur"")"),"یہ ایک بنیادی فرق ہے؛ گلی ڈنڈا میں اسٹرائیکر آبجیکٹ کو لانچ کرنے اور مارنے دونوں کے لئے ذمہ دار ہے۔")</f>
        <v>یہ ایک بنیادی فرق ہے؛ گلی ڈنڈا میں اسٹرائیکر آبجیکٹ کو لانچ کرنے اور مارنے دونوں کے لئے ذمہ دار ہے۔</v>
      </c>
    </row>
    <row r="119">
      <c r="A119" s="4">
        <v>118.0</v>
      </c>
      <c r="B119" s="5" t="s">
        <v>2468</v>
      </c>
      <c r="C119" s="5" t="s">
        <v>2469</v>
      </c>
      <c r="D119" s="5" t="s">
        <v>2470</v>
      </c>
      <c r="E119" s="5" t="s">
        <v>2471</v>
      </c>
      <c r="J119" s="6" t="str">
        <f>IFERROR(__xludf.DUMMYFUNCTION("GOOGLETRANSLATE(A119, ""en"", ""ur"")"),"118")</f>
        <v>118</v>
      </c>
      <c r="K119" s="6" t="str">
        <f>IFERROR(__xludf.DUMMYFUNCTION("GOOGLETRANSLATE(B119, ""en"", ""ur"")"),"ایک کھلاڑی کو 'ڈنڈا آؤٹ' کے لیے بلایا جاتا ہے۔ اس کا کیا مطلب ہے؟")</f>
        <v>ایک کھلاڑی کو 'ڈنڈا آؤٹ' کے لیے بلایا جاتا ہے۔ اس کا کیا مطلب ہے؟</v>
      </c>
      <c r="L119" s="6" t="str">
        <f>IFERROR(__xludf.DUMMYFUNCTION("GOOGLETRANSLATE(C119, ""en"", ""ur"")"),"A) ان کا ڈنڈا ٹوٹ گیا، B) فیلڈر کا پھینکا ڈنڈا بیس پر لگا، C) انہوں نے اپنا ڈنڈا گرا دیا، D) انہوں نے غیر قانونی ڈنڈا استعمال کیا۔")</f>
        <v>A) ان کا ڈنڈا ٹوٹ گیا، B) فیلڈر کا پھینکا ڈنڈا بیس پر لگا، C) انہوں نے اپنا ڈنڈا گرا دیا، D) انہوں نے غیر قانونی ڈنڈا استعمال کیا۔</v>
      </c>
      <c r="M119" s="6" t="str">
        <f>IFERROR(__xludf.DUMMYFUNCTION("GOOGLETRANSLATE(D119, ""en"", ""ur"")"),"ب) فیلڈر کا تھرو بیس پر ڈنڈا کو لگا")</f>
        <v>ب) فیلڈر کا تھرو بیس پر ڈنڈا کو لگا</v>
      </c>
      <c r="N119" s="6" t="str">
        <f>IFERROR(__xludf.DUMMYFUNCTION("GOOGLETRANSLATE(E119, ""en"", ""ur"")"),"یہ ""رن آؤٹ"" ہونے کی اصطلاح ہے جب فیلڈر کا تھرو کامیابی سے ہدف سے ٹکرا جاتا ہے۔")</f>
        <v>یہ "رن آؤٹ" ہونے کی اصطلاح ہے جب فیلڈر کا تھرو کامیابی سے ہدف سے ٹکرا جاتا ہے۔</v>
      </c>
    </row>
    <row r="120">
      <c r="A120" s="4">
        <v>119.0</v>
      </c>
      <c r="B120" s="5" t="s">
        <v>2473</v>
      </c>
      <c r="C120" s="5" t="s">
        <v>2474</v>
      </c>
      <c r="D120" s="5" t="s">
        <v>2475</v>
      </c>
      <c r="E120" s="5" t="s">
        <v>2476</v>
      </c>
      <c r="J120" s="6" t="str">
        <f>IFERROR(__xludf.DUMMYFUNCTION("GOOGLETRANSLATE(A120, ""en"", ""ur"")"),"119")</f>
        <v>119</v>
      </c>
      <c r="K120" s="6" t="str">
        <f>IFERROR(__xludf.DUMMYFUNCTION("GOOGLETRANSLATE(B120, ""en"", ""ur"")"),"فیلڈنگ ٹیم کا بنیادی مقصد کیا ہے؟")</f>
        <v>فیلڈنگ ٹیم کا بنیادی مقصد کیا ہے؟</v>
      </c>
      <c r="L120" s="6" t="str">
        <f>IFERROR(__xludf.DUMMYFUNCTION("GOOGLETRANSLATE(C120, ""en"", ""ur"")"),"A) پوائنٹس اسکور کرنے کے لیے، B) گلی کو پکڑ کر یا ڈنڈا مار کر اسٹرائیکر کو آؤٹ کرنا، C) جال لگانا، D) خود گلی کو مارنا")</f>
        <v>A) پوائنٹس اسکور کرنے کے لیے، B) گلی کو پکڑ کر یا ڈنڈا مار کر اسٹرائیکر کو آؤٹ کرنا، C) جال لگانا، D) خود گلی کو مارنا</v>
      </c>
      <c r="M120" s="6" t="str">
        <f>IFERROR(__xludf.DUMMYFUNCTION("GOOGLETRANSLATE(D120, ""en"", ""ur"")"),"ب) گلی کو پکڑ کر یا ڈنڈا مار کر اسٹرائیکر کو آؤٹ کرنا")</f>
        <v>ب) گلی کو پکڑ کر یا ڈنڈا مار کر اسٹرائیکر کو آؤٹ کرنا</v>
      </c>
      <c r="N120" s="6" t="str">
        <f>IFERROR(__xludf.DUMMYFUNCTION("GOOGLETRANSLATE(E120, ""en"", ""ur"")"),"فیلڈنگ ٹیم کا پورا مقصد اسٹرائیکر کو ""آؤٹ"" کرنا ہوتا ہے تاکہ ان کی ٹیم اسٹرائیکنگ میں ٹرن لے سکے۔")</f>
        <v>فیلڈنگ ٹیم کا پورا مقصد اسٹرائیکر کو "آؤٹ" کرنا ہوتا ہے تاکہ ان کی ٹیم اسٹرائیکنگ میں ٹرن لے سکے۔</v>
      </c>
    </row>
    <row r="121">
      <c r="A121" s="4">
        <v>120.0</v>
      </c>
      <c r="B121" s="5" t="s">
        <v>2524</v>
      </c>
      <c r="C121" s="5" t="s">
        <v>2525</v>
      </c>
      <c r="D121" s="5" t="s">
        <v>2526</v>
      </c>
      <c r="E121" s="5" t="s">
        <v>2527</v>
      </c>
      <c r="J121" s="6" t="str">
        <f>IFERROR(__xludf.DUMMYFUNCTION("GOOGLETRANSLATE(A121, ""en"", ""ur"")"),"120")</f>
        <v>120</v>
      </c>
      <c r="K121" s="6" t="str">
        <f>IFERROR(__xludf.DUMMYFUNCTION("GOOGLETRANSLATE(B121, ""en"", ""ur"")"),"گلی کو دونوں سروں پر ٹیپر کرنے کا بنیادی مقصد کیا ہے؟")</f>
        <v>گلی کو دونوں سروں پر ٹیپر کرنے کا بنیادی مقصد کیا ہے؟</v>
      </c>
      <c r="L121" s="6" t="str">
        <f>IFERROR(__xludf.DUMMYFUNCTION("GOOGLETRANSLATE(C121, ""en"", ""ur"")"),"A) یہ ایک آرائشی خصوصیت ہے، B) یہ اسٹرائیکر کو ایک ٹیپرڈ سرے پر مار کر اسے آسانی سے ہوا میں جھٹکنے دیتا ہے، C) یہ گلی کو توازن اور ہڑتال کرنا مشکل بنا دیتا ہے، D) یہ ایک روایتی ڈیزائن ہے جس کا کوئی عملی مقصد نہیں ہے۔")</f>
        <v>A) یہ ایک آرائشی خصوصیت ہے، B) یہ اسٹرائیکر کو ایک ٹیپرڈ سرے پر مار کر اسے آسانی سے ہوا میں جھٹکنے دیتا ہے، C) یہ گلی کو توازن اور ہڑتال کرنا مشکل بنا دیتا ہے، D) یہ ایک روایتی ڈیزائن ہے جس کا کوئی عملی مقصد نہیں ہے۔</v>
      </c>
      <c r="M121" s="6" t="str">
        <f>IFERROR(__xludf.DUMMYFUNCTION("GOOGLETRANSLATE(D121, ""en"", ""ur"")"),"ب) یہ اسٹرائیکر کو ایک ٹیپرڈ سرے کو مار کر اسے آسانی سے ہوا میں جھٹکنے دیتا ہے۔")</f>
        <v>ب) یہ اسٹرائیکر کو ایک ٹیپرڈ سرے کو مار کر اسے آسانی سے ہوا میں جھٹکنے دیتا ہے۔</v>
      </c>
      <c r="N121" s="6" t="str">
        <f>IFERROR(__xludf.DUMMYFUNCTION("GOOGLETRANSLATE(E121, ""en"", ""ur"")"),"یہ ہوشیار ڈیزائن گیم کا بنیادی میکینک ہے، جس سے گلی کو اہم ہٹ کے لیے قابل اعتماد طریقے سے لانچ کیا جا سکتا ہے۔")</f>
        <v>یہ ہوشیار ڈیزائن گیم کا بنیادی میکینک ہے، جس سے گلی کو اہم ہٹ کے لیے قابل اعتماد طریقے سے لانچ کیا جا سکتا ہے۔</v>
      </c>
    </row>
    <row r="122">
      <c r="A122" s="4">
        <v>121.0</v>
      </c>
      <c r="B122" s="5" t="s">
        <v>2528</v>
      </c>
      <c r="C122" s="5" t="s">
        <v>2529</v>
      </c>
      <c r="D122" s="5" t="s">
        <v>2530</v>
      </c>
      <c r="E122" s="5" t="s">
        <v>2531</v>
      </c>
      <c r="J122" s="6" t="str">
        <f>IFERROR(__xludf.DUMMYFUNCTION("GOOGLETRANSLATE(A122, ""en"", ""ur"")"),"121")</f>
        <v>121</v>
      </c>
      <c r="K122" s="6" t="str">
        <f>IFERROR(__xludf.DUMMYFUNCTION("GOOGLETRANSLATE(B122, ""en"", ""ur"")"),"'رن آؤٹ' کے تغیر میں، گلی کو مارنے کے بعد اسٹرائیکر کو کیا کرنا چاہیے؟")</f>
        <v>'رن آؤٹ' کے تغیر میں، گلی کو مارنے کے بعد اسٹرائیکر کو کیا کرنا چاہیے؟</v>
      </c>
      <c r="L122" s="6" t="str">
        <f>IFERROR(__xludf.DUMMYFUNCTION("GOOGLETRANSLATE(C122, ""en"", ""ur"")"),"A) فاصلے کی پیمائش کریں، B) پہلے سے طے شدہ نقطہ کی طرف دوڑیں اور پیچھے، C) گلی کو دوبارہ ماریں، D) فیلڈر کا انتظار کریں۔")</f>
        <v>A) فاصلے کی پیمائش کریں، B) پہلے سے طے شدہ نقطہ کی طرف دوڑیں اور پیچھے، C) گلی کو دوبارہ ماریں، D) فیلڈر کا انتظار کریں۔</v>
      </c>
      <c r="M122" s="6" t="str">
        <f>IFERROR(__xludf.DUMMYFUNCTION("GOOGLETRANSLATE(D122, ""en"", ""ur"")"),"ب) پہلے سے طے شدہ نقطہ کی طرف بھاگیں اور پیچھے جائیں۔")</f>
        <v>ب) پہلے سے طے شدہ نقطہ کی طرف بھاگیں اور پیچھے جائیں۔</v>
      </c>
      <c r="N122" s="6" t="str">
        <f>IFERROR(__xludf.DUMMYFUNCTION("GOOGLETRANSLATE(E122, ""en"", ""ur"")"),"اس ورژن میں، اسٹرائیکر ایک رن مکمل کر کے اسکور کرتا ہے اس سے پہلے کہ فیلڈر گلی کو بازیافت کر سکے اور ہوم بیس کو مار سکے۔")</f>
        <v>اس ورژن میں، اسٹرائیکر ایک رن مکمل کر کے اسکور کرتا ہے اس سے پہلے کہ فیلڈر گلی کو بازیافت کر سکے اور ہوم بیس کو مار سکے۔</v>
      </c>
    </row>
    <row r="123">
      <c r="A123" s="4">
        <v>122.0</v>
      </c>
      <c r="B123" s="5" t="s">
        <v>2532</v>
      </c>
      <c r="C123" s="5" t="s">
        <v>2533</v>
      </c>
      <c r="D123" s="5" t="s">
        <v>2534</v>
      </c>
      <c r="E123" s="7" t="s">
        <v>2535</v>
      </c>
      <c r="J123" s="6" t="str">
        <f>IFERROR(__xludf.DUMMYFUNCTION("GOOGLETRANSLATE(A123, ""en"", ""ur"")"),"122")</f>
        <v>122</v>
      </c>
      <c r="K123" s="6" t="str">
        <f>IFERROR(__xludf.DUMMYFUNCTION("GOOGLETRANSLATE(B123, ""en"", ""ur"")"),"کچھ تغیرات میں 'ساوا' کیا ہے؟")</f>
        <v>کچھ تغیرات میں 'ساوا' کیا ہے؟</v>
      </c>
      <c r="L123" s="6" t="str">
        <f>IFERROR(__xludf.DUMMYFUNCTION("GOOGLETRANSLATE(C123, ""en"", ""ur"")"),"A) ایک بہترین ہٹ، B) ایک اضافی پوائنٹ یا بونس، C) ایک غلط، D) کھیل کا اختتام")</f>
        <v>A) ایک بہترین ہٹ، B) ایک اضافی پوائنٹ یا بونس، C) ایک غلط، D) کھیل کا اختتام</v>
      </c>
      <c r="M123" s="6" t="str">
        <f>IFERROR(__xludf.DUMMYFUNCTION("GOOGLETRANSLATE(D123, ""en"", ""ur"")"),"ب) ایک اضافی پوائنٹ یا بونس")</f>
        <v>ب) ایک اضافی پوائنٹ یا بونس</v>
      </c>
      <c r="N123" s="6" t="str">
        <f>IFERROR(__xludf.DUMMYFUNCTION("GOOGLETRANSLATE(E123, ""en"", ""ur"")"),"Sawa' ایک بونس ضرب کا حوالہ دے سکتا ہے، جہاں ایک بہت طویل ہٹ اضافی پوائنٹس اسکور کرتی ہے۔")</f>
        <v>Sawa' ایک بونس ضرب کا حوالہ دے سکتا ہے، جہاں ایک بہت طویل ہٹ اضافی پوائنٹس اسکور کرتی ہے۔</v>
      </c>
    </row>
    <row r="124">
      <c r="A124" s="4">
        <v>123.0</v>
      </c>
      <c r="B124" s="5" t="s">
        <v>2496</v>
      </c>
      <c r="C124" s="5" t="s">
        <v>2497</v>
      </c>
      <c r="D124" s="5" t="s">
        <v>2498</v>
      </c>
      <c r="E124" s="5" t="s">
        <v>2499</v>
      </c>
      <c r="J124" s="6" t="str">
        <f>IFERROR(__xludf.DUMMYFUNCTION("GOOGLETRANSLATE(A124, ""en"", ""ur"")"),"123")</f>
        <v>123</v>
      </c>
      <c r="K124" s="6" t="str">
        <f>IFERROR(__xludf.DUMMYFUNCTION("GOOGLETRANSLATE(B124, ""en"", ""ur"")"),"طاقتور ہڑتال کے لیے ایک طرف کا موقف سب سے زیادہ مؤثر کیوں ہے؟")</f>
        <v>طاقتور ہڑتال کے لیے ایک طرف کا موقف سب سے زیادہ مؤثر کیوں ہے؟</v>
      </c>
      <c r="L124" s="6" t="str">
        <f>IFERROR(__xludf.DUMMYFUNCTION("GOOGLETRANSLATE(C124, ""en"", ""ur"")"),"A) یہ کور اور کولہوں کی گردش سے طاقت پیدا کرتا ہے، B) یہ گلی کا بہتر نظارہ فراہم کرتا ہے، C) یہ سب سے زیادہ مستحکم موقف ہے، D) یہ واحد موقف ہے جس کی اجازت ہے۔")</f>
        <v>A) یہ کور اور کولہوں کی گردش سے طاقت پیدا کرتا ہے، B) یہ گلی کا بہتر نظارہ فراہم کرتا ہے، C) یہ سب سے زیادہ مستحکم موقف ہے، D) یہ واحد موقف ہے جس کی اجازت ہے۔</v>
      </c>
      <c r="M124" s="6" t="str">
        <f>IFERROR(__xludf.DUMMYFUNCTION("GOOGLETRANSLATE(D124, ""en"", ""ur"")"),"A) یہ کور اور کولہوں کی گردش سے طاقت پیدا کرتا ہے۔")</f>
        <v>A) یہ کور اور کولہوں کی گردش سے طاقت پیدا کرتا ہے۔</v>
      </c>
      <c r="N124" s="6" t="str">
        <f>IFERROR(__xludf.DUMMYFUNCTION("GOOGLETRANSLATE(E124, ""en"", ""ur"")"),"یہ کلاسک بیٹنگ موقف پورے جسم کو جھولے کی قوت میں حصہ ڈالنے کی اجازت دیتا ہے، نہ کہ صرف بازو۔")</f>
        <v>یہ کلاسک بیٹنگ موقف پورے جسم کو جھولے کی قوت میں حصہ ڈالنے کی اجازت دیتا ہے، نہ کہ صرف بازو۔</v>
      </c>
    </row>
    <row r="125">
      <c r="A125" s="4">
        <v>124.0</v>
      </c>
      <c r="B125" s="5" t="s">
        <v>2376</v>
      </c>
      <c r="C125" s="5" t="s">
        <v>2377</v>
      </c>
      <c r="D125" s="5" t="s">
        <v>2378</v>
      </c>
      <c r="E125" s="5" t="s">
        <v>2500</v>
      </c>
      <c r="J125" s="6" t="str">
        <f>IFERROR(__xludf.DUMMYFUNCTION("GOOGLETRANSLATE(A125, ""en"", ""ur"")"),"124")</f>
        <v>124</v>
      </c>
      <c r="K125" s="6" t="str">
        <f>IFERROR(__xludf.DUMMYFUNCTION("GOOGLETRANSLATE(B125, ""en"", ""ur"")"),"ایک فیلڈر گلی کو اپنے پاؤں سے روکتا ہے اور پھر اسے واپس پھینک دیتا ہے۔ کیا یہ قانونی ہے؟")</f>
        <v>ایک فیلڈر گلی کو اپنے پاؤں سے روکتا ہے اور پھر اسے واپس پھینک دیتا ہے۔ کیا یہ قانونی ہے؟</v>
      </c>
      <c r="L125" s="6" t="str">
        <f>IFERROR(__xludf.DUMMYFUNCTION("GOOGLETRANSLATE(C125, ""en"", ""ur"")"),"A) نہیں، صرف ہاتھ استعمال کیے جا سکتے ہیں، B) ہاں، ایک فیلڈر اپنے جسم کے کسی بھی حصے سے گلی کو روک سکتا ہے، C) صرف اس صورت میں جب گلی زمین پر ہو، D) اس کے نتیجے میں جرمانہ ہو گا۔")</f>
        <v>A) نہیں، صرف ہاتھ استعمال کیے جا سکتے ہیں، B) ہاں، ایک فیلڈر اپنے جسم کے کسی بھی حصے سے گلی کو روک سکتا ہے، C) صرف اس صورت میں جب گلی زمین پر ہو، D) اس کے نتیجے میں جرمانہ ہو گا۔</v>
      </c>
      <c r="M125" s="6" t="str">
        <f>IFERROR(__xludf.DUMMYFUNCTION("GOOGLETRANSLATE(D125, ""en"", ""ur"")"),"ب) جی ہاں، ایک فیلڈر اپنے جسم کے کسی بھی حصے سے گلی کو روک سکتا ہے۔")</f>
        <v>ب) جی ہاں، ایک فیلڈر اپنے جسم کے کسی بھی حصے سے گلی کو روک سکتا ہے۔</v>
      </c>
      <c r="N125" s="6" t="str">
        <f>IFERROR(__xludf.DUMMYFUNCTION("GOOGLETRANSLATE(E125, ""en"", ""ur"")"),"ایک فیلڈر کو اجازت ہے کہ وہ اپنے ہاتھ، پاؤں یا اپنے جسم کے کسی بھی حصے کو پھینکنے سے پہلے گلی کو روکنے کے لیے استعمال کرے۔")</f>
        <v>ایک فیلڈر کو اجازت ہے کہ وہ اپنے ہاتھ، پاؤں یا اپنے جسم کے کسی بھی حصے کو پھینکنے سے پہلے گلی کو روکنے کے لیے استعمال کرے۔</v>
      </c>
    </row>
    <row r="126">
      <c r="A126" s="4">
        <v>125.0</v>
      </c>
      <c r="B126" s="5" t="s">
        <v>2536</v>
      </c>
      <c r="C126" s="5" t="s">
        <v>2537</v>
      </c>
      <c r="D126" s="5" t="s">
        <v>2538</v>
      </c>
      <c r="E126" s="5" t="s">
        <v>2539</v>
      </c>
      <c r="J126" s="6" t="str">
        <f>IFERROR(__xludf.DUMMYFUNCTION("GOOGLETRANSLATE(A126, ""en"", ""ur"")"),"125")</f>
        <v>125</v>
      </c>
      <c r="K126" s="6" t="str">
        <f>IFERROR(__xludf.DUMMYFUNCTION("GOOGLETRANSLATE(B126, ""en"", ""ur"")"),"اصطلاح 'لمبی پاری' کا کیا مطلب ہے؟")</f>
        <v>اصطلاح 'لمبی پاری' کا کیا مطلب ہے؟</v>
      </c>
      <c r="L126" s="6" t="str">
        <f>IFERROR(__xludf.DUMMYFUNCTION("GOOGLETRANSLATE(C126, ""en"", ""ur"")"),"A) ایک مختصر موڑ، B) ایک لمبی اننگز یا زیادہ سکور کرنے والا موڑ، C) فائنل کھلاڑی، D) ایک ٹائی گیم")</f>
        <v>A) ایک مختصر موڑ، B) ایک لمبی اننگز یا زیادہ سکور کرنے والا موڑ، C) فائنل کھلاڑی، D) ایک ٹائی گیم</v>
      </c>
      <c r="M126" s="6" t="str">
        <f>IFERROR(__xludf.DUMMYFUNCTION("GOOGLETRANSLATE(D126, ""en"", ""ur"")"),"ب) ایک لمبی اننگز یا زیادہ سکور کرنے والا موڑ")</f>
        <v>ب) ایک لمبی اننگز یا زیادہ سکور کرنے والا موڑ</v>
      </c>
      <c r="N126" s="6" t="str">
        <f>IFERROR(__xludf.DUMMYFUNCTION("GOOGLETRANSLATE(E126, ""en"", ""ur"")"),"یہ اصطلاح ایسے اسٹرائیکر کو بیان کرنے کے لیے استعمال کی جاتی ہے جو بہت کامیاب موڑ لے رہا ہے، بغیر آؤٹ ہوئے ایک اعلی سکور جمع کر رہا ہے۔")</f>
        <v>یہ اصطلاح ایسے اسٹرائیکر کو بیان کرنے کے لیے استعمال کی جاتی ہے جو بہت کامیاب موڑ لے رہا ہے، بغیر آؤٹ ہوئے ایک اعلی سکور جمع کر رہا ہے۔</v>
      </c>
    </row>
    <row r="127">
      <c r="A127" s="4">
        <v>126.0</v>
      </c>
      <c r="B127" s="5" t="s">
        <v>2540</v>
      </c>
      <c r="C127" s="5" t="s">
        <v>2541</v>
      </c>
      <c r="D127" s="5" t="s">
        <v>2542</v>
      </c>
      <c r="E127" s="5" t="s">
        <v>2543</v>
      </c>
      <c r="J127" s="6" t="str">
        <f>IFERROR(__xludf.DUMMYFUNCTION("GOOGLETRANSLATE(A127, ""en"", ""ur"")"),"126")</f>
        <v>126</v>
      </c>
      <c r="K127" s="6" t="str">
        <f>IFERROR(__xludf.DUMMYFUNCTION("GOOGLETRANSLATE(B127, ""en"", ""ur"")"),"ایک فیلڈر اسٹرائیکر کے بالکل قریب کھڑا ہے۔ کیا اس کی اجازت ہے؟")</f>
        <v>ایک فیلڈر اسٹرائیکر کے بالکل قریب کھڑا ہے۔ کیا اس کی اجازت ہے؟</v>
      </c>
      <c r="L127" s="6" t="str">
        <f>IFERROR(__xludf.DUMMYFUNCTION("GOOGLETRANSLATE(C127, ""en"", ""ur"")"),"A) نہیں، کم از کم فاصلے کا اصول ہے، B) ہاں، لیکن یہ ایک خطرناک اور زیادہ خطرے والی پوزیشن ہے، C) صرف اس صورت میں جب وہ ہیلمٹ پہنے ہوئے ہوں، D) صرف ٹیم کا کپتان ہی قریب کھڑا ہو سکتا ہے۔")</f>
        <v>A) نہیں، کم از کم فاصلے کا اصول ہے، B) ہاں، لیکن یہ ایک خطرناک اور زیادہ خطرے والی پوزیشن ہے، C) صرف اس صورت میں جب وہ ہیلمٹ پہنے ہوئے ہوں، D) صرف ٹیم کا کپتان ہی قریب کھڑا ہو سکتا ہے۔</v>
      </c>
      <c r="M127" s="6" t="str">
        <f>IFERROR(__xludf.DUMMYFUNCTION("GOOGLETRANSLATE(D127, ""en"", ""ur"")"),"ب) ہاں، لیکن یہ ایک خطرناک اور زیادہ خطرے والی پوزیشن ہے۔")</f>
        <v>ب) ہاں، لیکن یہ ایک خطرناک اور زیادہ خطرے والی پوزیشن ہے۔</v>
      </c>
      <c r="N127" s="6" t="str">
        <f>IFERROR(__xludf.DUMMYFUNCTION("GOOGLETRANSLATE(E127, ""en"", ""ur"")"),"فیلڈر کی جگہ کے بارے میں عام طور پر کوئی باقاعدہ اصول نہیں ہوتے ہیں، لیکن بہت قریب کھڑے ہونا ایک بہت ہی بہادر یا احمقانہ پوزیشن ہے۔")</f>
        <v>فیلڈر کی جگہ کے بارے میں عام طور پر کوئی باقاعدہ اصول نہیں ہوتے ہیں، لیکن بہت قریب کھڑے ہونا ایک بہت ہی بہادر یا احمقانہ پوزیشن ہے۔</v>
      </c>
    </row>
    <row r="128">
      <c r="A128" s="4">
        <v>127.0</v>
      </c>
      <c r="B128" s="5" t="s">
        <v>2544</v>
      </c>
      <c r="C128" s="5" t="s">
        <v>2545</v>
      </c>
      <c r="D128" s="5" t="s">
        <v>2546</v>
      </c>
      <c r="E128" s="5" t="s">
        <v>2547</v>
      </c>
      <c r="J128" s="6" t="str">
        <f>IFERROR(__xludf.DUMMYFUNCTION("GOOGLETRANSLATE(A128, ""en"", ""ur"")"),"127")</f>
        <v>127</v>
      </c>
      <c r="K128" s="6" t="str">
        <f>IFERROR(__xludf.DUMMYFUNCTION("GOOGLETRANSLATE(B128, ""en"", ""ur"")"),"'ٹپ بلی' کیا ہے؟")</f>
        <v>'ٹپ بلی' کیا ہے؟</v>
      </c>
      <c r="L128" s="6" t="str">
        <f>IFERROR(__xludf.DUMMYFUNCTION("GOOGLETRANSLATE(C128, ""en"", ""ur"")"),"A) کھیل کا ایک تغیر، B) گلی ڈنڈا کا روایتی انگریزی نام، C) کچھ علاقوں میں فیلڈنگ ٹیم کا نام، D) جیتنے والی ٹرافی کا نام")</f>
        <v>A) کھیل کا ایک تغیر، B) گلی ڈنڈا کا روایتی انگریزی نام، C) کچھ علاقوں میں فیلڈنگ ٹیم کا نام، D) جیتنے والی ٹرافی کا نام</v>
      </c>
      <c r="M128" s="6" t="str">
        <f>IFERROR(__xludf.DUMMYFUNCTION("GOOGLETRANSLATE(D128, ""en"", ""ur"")"),"ب) گلی ڈنڈا کا روایتی انگریزی نام")</f>
        <v>ب) گلی ڈنڈا کا روایتی انگریزی نام</v>
      </c>
      <c r="N128" s="6" t="str">
        <f>IFERROR(__xludf.DUMMYFUNCTION("GOOGLETRANSLATE(E128, ""en"", ""ur"")"),"گلی ڈنڈا اسی طرح کے اسٹک اور پیگ گیمز کے عالمی خاندان کا حصہ ہے، اور 'ٹپ کیٹ' انگلینڈ میں اس کا عام نام ہے۔")</f>
        <v>گلی ڈنڈا اسی طرح کے اسٹک اور پیگ گیمز کے عالمی خاندان کا حصہ ہے، اور 'ٹپ کیٹ' انگلینڈ میں اس کا عام نام ہے۔</v>
      </c>
    </row>
    <row r="129">
      <c r="A129" s="4">
        <v>128.0</v>
      </c>
      <c r="B129" s="5" t="s">
        <v>2548</v>
      </c>
      <c r="C129" s="5" t="s">
        <v>2549</v>
      </c>
      <c r="D129" s="5" t="s">
        <v>2550</v>
      </c>
      <c r="E129" s="5" t="s">
        <v>2551</v>
      </c>
      <c r="J129" s="6" t="str">
        <f>IFERROR(__xludf.DUMMYFUNCTION("GOOGLETRANSLATE(A129, ""en"", ""ur"")"),"128")</f>
        <v>128</v>
      </c>
      <c r="K129" s="6" t="str">
        <f>IFERROR(__xludf.DUMMYFUNCTION("GOOGLETRANSLATE(B129, ""en"", ""ur"")"),"بڑے شہری مراکز میں گلی ڈنڈا کے زوال کی بنیادی وجہ کیا ہے؟")</f>
        <v>بڑے شہری مراکز میں گلی ڈنڈا کے زوال کی بنیادی وجہ کیا ہے؟</v>
      </c>
      <c r="L129" s="6" t="str">
        <f>IFERROR(__xludf.DUMMYFUNCTION("GOOGLETRANSLATE(C129, ""en"", ""ur"")"),"A) کھیل پر پابندی لگا دی گئی ہے، B) کھلی جگہوں کی کمی اور کرکٹ جیسے دیگر کھیلوں کا عروج، C) سامان بہت مہنگا ہے، D) اسے پرانے زمانے کا کھیل سمجھا جاتا ہے۔")</f>
        <v>A) کھیل پر پابندی لگا دی گئی ہے، B) کھلی جگہوں کی کمی اور کرکٹ جیسے دیگر کھیلوں کا عروج، C) سامان بہت مہنگا ہے، D) اسے پرانے زمانے کا کھیل سمجھا جاتا ہے۔</v>
      </c>
      <c r="M129" s="6" t="str">
        <f>IFERROR(__xludf.DUMMYFUNCTION("GOOGLETRANSLATE(D129, ""en"", ""ur"")"),"ب) کھلی جگہوں کی کمی اور کرکٹ جیسے دیگر کھیلوں کا عروج")</f>
        <v>ب) کھلی جگہوں کی کمی اور کرکٹ جیسے دیگر کھیلوں کا عروج</v>
      </c>
      <c r="N129" s="6" t="str">
        <f>IFERROR(__xludf.DUMMYFUNCTION("GOOGLETRANSLATE(E129, ""en"", ""ur"")"),"شہری کاری کی وجہ سے کھلے میدان ختم ہو گئے ہیں اور جدید کھیل شہر کے نوجوانوں میں زیادہ مقبول ہو گئے ہیں۔")</f>
        <v>شہری کاری کی وجہ سے کھلے میدان ختم ہو گئے ہیں اور جدید کھیل شہر کے نوجوانوں میں زیادہ مقبول ہو گئے ہیں۔</v>
      </c>
    </row>
    <row r="130">
      <c r="A130" s="4">
        <v>129.0</v>
      </c>
      <c r="B130" s="5" t="s">
        <v>2552</v>
      </c>
      <c r="C130" s="5" t="s">
        <v>2553</v>
      </c>
      <c r="D130" s="5" t="s">
        <v>2554</v>
      </c>
      <c r="E130" s="5" t="s">
        <v>2555</v>
      </c>
      <c r="J130" s="6" t="str">
        <f>IFERROR(__xludf.DUMMYFUNCTION("GOOGLETRANSLATE(A130, ""en"", ""ur"")"),"129")</f>
        <v>129</v>
      </c>
      <c r="K130" s="6" t="str">
        <f>IFERROR(__xludf.DUMMYFUNCTION("GOOGLETRANSLATE(B130, ""en"", ""ur"")"),"پاکستان کا کون سا قومی ادارہ گلی ڈنڈا جیسی لوک روایات کے تحفظ کا ذمہ دار ہے؟")</f>
        <v>پاکستان کا کون سا قومی ادارہ گلی ڈنڈا جیسی لوک روایات کے تحفظ کا ذمہ دار ہے؟</v>
      </c>
      <c r="L130" s="6" t="str">
        <f>IFERROR(__xludf.DUMMYFUNCTION("GOOGLETRANSLATE(C130, ""en"", ""ur"")"),"اے) پاکستان کرکٹ بورڈ، بی) وزارت تعلیم، سی) لوک ورثہ (قومی ادارہ برائے لوک اور روایتی ورثہ)، ڈی) پاکستان اسپورٹس بورڈ")</f>
        <v>اے) پاکستان کرکٹ بورڈ، بی) وزارت تعلیم، سی) لوک ورثہ (قومی ادارہ برائے لوک اور روایتی ورثہ)، ڈی) پاکستان اسپورٹس بورڈ</v>
      </c>
      <c r="M130" s="6" t="str">
        <f>IFERROR(__xludf.DUMMYFUNCTION("GOOGLETRANSLATE(D130, ""en"", ""ur"")"),"ج) لوک ورثہ (قومی ادارہ برائے لوک اور روایتی ورثہ)")</f>
        <v>ج) لوک ورثہ (قومی ادارہ برائے لوک اور روایتی ورثہ)</v>
      </c>
      <c r="N130" s="6" t="str">
        <f>IFERROR(__xludf.DUMMYFUNCTION("GOOGLETRANSLATE(E130, ""en"", ""ur"")"),"اسلام آباد میں لوک ورثہ پاکستان کے شاندار ثقافتی ورثے کو دستاویزی بنانے، محفوظ کرنے اور فروغ دینے کے لیے کام کرتا ہے، بشمول اس کے روایتی کھیل۔")</f>
        <v>اسلام آباد میں لوک ورثہ پاکستان کے شاندار ثقافتی ورثے کو دستاویزی بنانے، محفوظ کرنے اور فروغ دینے کے لیے کام کرتا ہے، بشمول اس کے روایتی کھیل۔</v>
      </c>
    </row>
    <row r="131">
      <c r="A131" s="4">
        <v>130.0</v>
      </c>
      <c r="B131" s="5" t="s">
        <v>2556</v>
      </c>
      <c r="C131" s="5" t="s">
        <v>2557</v>
      </c>
      <c r="D131" s="5" t="s">
        <v>2558</v>
      </c>
      <c r="E131" s="5" t="s">
        <v>2559</v>
      </c>
      <c r="J131" s="6" t="str">
        <f>IFERROR(__xludf.DUMMYFUNCTION("GOOGLETRANSLATE(A131, ""en"", ""ur"")"),"130")</f>
        <v>130</v>
      </c>
      <c r="K131" s="6" t="str">
        <f>IFERROR(__xludf.DUMMYFUNCTION("GOOGLETRANSLATE(B131, ""en"", ""ur"")"),"'نار گلی' کیا ہے؟")</f>
        <v>'نار گلی' کیا ہے؟</v>
      </c>
      <c r="L131" s="6" t="str">
        <f>IFERROR(__xludf.DUMMYFUNCTION("GOOGLETRANSLATE(C131, ""en"", ""ur"")"),"A) ایک مس، B) گلی کی ایک قسم، C) ایک تغیر جہاں اسٹرائیکر کو مارنے سے پہلے اپنے پیشن گوئی کے اسکور کو پکارنا ضروری ہے، D) کھیل کا فائنل راؤنڈ")</f>
        <v>A) ایک مس، B) گلی کی ایک قسم، C) ایک تغیر جہاں اسٹرائیکر کو مارنے سے پہلے اپنے پیشن گوئی کے اسکور کو پکارنا ضروری ہے، D) کھیل کا فائنل راؤنڈ</v>
      </c>
      <c r="M131" s="6" t="str">
        <f>IFERROR(__xludf.DUMMYFUNCTION("GOOGLETRANSLATE(D131, ""en"", ""ur"")"),"C) ایک تغیر جہاں اسٹرائیکر کو مارنے سے پہلے اپنے پیشن گوئی اسکور کو کال کرنا ضروری ہے۔")</f>
        <v>C) ایک تغیر جہاں اسٹرائیکر کو مارنے سے پہلے اپنے پیشن گوئی اسکور کو کال کرنا ضروری ہے۔</v>
      </c>
      <c r="N131" s="6" t="str">
        <f>IFERROR(__xludf.DUMMYFUNCTION("GOOGLETRANSLATE(E131, ""en"", ""ur"")"),"اس چیلنجنگ ورژن میں، اسٹرائیکر ڈنڈا کی لمبائی کی تعداد کا اعلان کرتا ہے، جس سے وہ کھیل میں پیشین گوئی اور دباؤ کی ایک پرت کو شامل کرتے ہیں۔")</f>
        <v>اس چیلنجنگ ورژن میں، اسٹرائیکر ڈنڈا کی لمبائی کی تعداد کا اعلان کرتا ہے، جس سے وہ کھیل میں پیشین گوئی اور دباؤ کی ایک پرت کو شامل کرتے ہیں۔</v>
      </c>
    </row>
    <row r="132">
      <c r="A132" s="4">
        <v>131.0</v>
      </c>
      <c r="B132" s="5" t="s">
        <v>2496</v>
      </c>
      <c r="C132" s="5" t="s">
        <v>2497</v>
      </c>
      <c r="D132" s="5" t="s">
        <v>2498</v>
      </c>
      <c r="E132" s="5" t="s">
        <v>2499</v>
      </c>
      <c r="J132" s="6" t="str">
        <f>IFERROR(__xludf.DUMMYFUNCTION("GOOGLETRANSLATE(A132, ""en"", ""ur"")"),"131")</f>
        <v>131</v>
      </c>
      <c r="K132" s="6" t="str">
        <f>IFERROR(__xludf.DUMMYFUNCTION("GOOGLETRANSLATE(B132, ""en"", ""ur"")"),"طاقتور ہڑتال کے لیے ایک طرف کا موقف سب سے زیادہ مؤثر کیوں ہے؟")</f>
        <v>طاقتور ہڑتال کے لیے ایک طرف کا موقف سب سے زیادہ مؤثر کیوں ہے؟</v>
      </c>
      <c r="L132" s="6" t="str">
        <f>IFERROR(__xludf.DUMMYFUNCTION("GOOGLETRANSLATE(C132, ""en"", ""ur"")"),"A) یہ کور اور کولہوں کی گردش سے طاقت پیدا کرتا ہے، B) یہ گلی کا بہتر نظارہ فراہم کرتا ہے، C) یہ سب سے زیادہ مستحکم موقف ہے، D) یہ واحد موقف ہے جس کی اجازت ہے۔")</f>
        <v>A) یہ کور اور کولہوں کی گردش سے طاقت پیدا کرتا ہے، B) یہ گلی کا بہتر نظارہ فراہم کرتا ہے، C) یہ سب سے زیادہ مستحکم موقف ہے، D) یہ واحد موقف ہے جس کی اجازت ہے۔</v>
      </c>
      <c r="M132" s="6" t="str">
        <f>IFERROR(__xludf.DUMMYFUNCTION("GOOGLETRANSLATE(D132, ""en"", ""ur"")"),"A) یہ کور اور کولہوں کی گردش سے طاقت پیدا کرتا ہے۔")</f>
        <v>A) یہ کور اور کولہوں کی گردش سے طاقت پیدا کرتا ہے۔</v>
      </c>
      <c r="N132" s="6" t="str">
        <f>IFERROR(__xludf.DUMMYFUNCTION("GOOGLETRANSLATE(E132, ""en"", ""ur"")"),"یہ کلاسک بیٹنگ موقف پورے جسم کو جھولے کی قوت میں حصہ ڈالنے کی اجازت دیتا ہے، نہ کہ صرف بازو۔")</f>
        <v>یہ کلاسک بیٹنگ موقف پورے جسم کو جھولے کی قوت میں حصہ ڈالنے کی اجازت دیتا ہے، نہ کہ صرف بازو۔</v>
      </c>
    </row>
    <row r="133">
      <c r="A133" s="4">
        <v>132.0</v>
      </c>
      <c r="B133" s="5" t="s">
        <v>2399</v>
      </c>
      <c r="C133" s="5" t="s">
        <v>2400</v>
      </c>
      <c r="D133" s="5" t="s">
        <v>2401</v>
      </c>
      <c r="E133" s="5" t="s">
        <v>2402</v>
      </c>
      <c r="J133" s="6" t="str">
        <f>IFERROR(__xludf.DUMMYFUNCTION("GOOGLETRANSLATE(A133, ""en"", ""ur"")"),"132")</f>
        <v>132</v>
      </c>
      <c r="K133" s="6" t="str">
        <f>IFERROR(__xludf.DUMMYFUNCTION("GOOGLETRANSLATE(B133, ""en"", ""ur"")"),"'ٹُلا' ہٹ کیا ہے؟")</f>
        <v>'ٹُلا' ہٹ کیا ہے؟</v>
      </c>
      <c r="L133" s="6" t="str">
        <f>IFERROR(__xludf.DUMMYFUNCTION("GOOGLETRANSLATE(C133, ""en"", ""ur"")"),"A) ایک بہت اونچی، لوپنگ ہٹ، B) ایک بہت ہی مختصر ہٹ، C) ایک طاقتور، چپٹی اور تیز ہٹ، D) ایک ہٹ جو پیچھے کی طرف جاتی ہے۔")</f>
        <v>A) ایک بہت اونچی، لوپنگ ہٹ، B) ایک بہت ہی مختصر ہٹ، C) ایک طاقتور، چپٹی اور تیز ہٹ، D) ایک ہٹ جو پیچھے کی طرف جاتی ہے۔</v>
      </c>
      <c r="M133" s="6" t="str">
        <f>IFERROR(__xludf.DUMMYFUNCTION("GOOGLETRANSLATE(D133, ""en"", ""ur"")"),"ج) ایک طاقتور، فلیٹ، اور تیز ہٹ")</f>
        <v>ج) ایک طاقتور، فلیٹ، اور تیز ہٹ</v>
      </c>
      <c r="N133" s="6" t="str">
        <f>IFERROR(__xludf.DUMMYFUNCTION("GOOGLETRANSLATE(E133, ""en"", ""ur"")"),"'ٹُلا' ایک کامل، طاقتور اسٹرائیک کے لیے ایک اصطلاح ہے جو کم رفتار کے ساتھ لمبا فاصلہ طے کرتی ہے، جس سے اسے پکڑنا بہت مشکل ہو جاتا ہے۔")</f>
        <v>'ٹُلا' ایک کامل، طاقتور اسٹرائیک کے لیے ایک اصطلاح ہے جو کم رفتار کے ساتھ لمبا فاصلہ طے کرتی ہے، جس سے اسے پکڑنا بہت مشکل ہو جاتا ہے۔</v>
      </c>
    </row>
    <row r="134">
      <c r="A134" s="4">
        <v>133.0</v>
      </c>
      <c r="B134" s="5" t="s">
        <v>2560</v>
      </c>
      <c r="C134" s="5" t="s">
        <v>2561</v>
      </c>
      <c r="D134" s="5" t="s">
        <v>2562</v>
      </c>
      <c r="E134" s="5" t="s">
        <v>2563</v>
      </c>
      <c r="J134" s="6" t="str">
        <f>IFERROR(__xludf.DUMMYFUNCTION("GOOGLETRANSLATE(A134, ""en"", ""ur"")"),"133")</f>
        <v>133</v>
      </c>
      <c r="K134" s="6" t="str">
        <f>IFERROR(__xludf.DUMMYFUNCTION("GOOGLETRANSLATE(B134, ""en"", ""ur"")"),"اسکورنگ کے تناظر میں 'ڈنڈا' کیا ہے؟")</f>
        <v>اسکورنگ کے تناظر میں 'ڈنڈا' کیا ہے؟</v>
      </c>
      <c r="L134" s="6" t="str">
        <f>IFERROR(__xludf.DUMMYFUNCTION("GOOGLETRANSLATE(C134, ""en"", ""ur"")"),"الف")</f>
        <v>الف</v>
      </c>
      <c r="M134" s="6" t="str">
        <f>IFERROR(__xludf.DUMMYFUNCTION("GOOGLETRANSLATE(D134, ""en"", ""ur"")"),"ب) پیمائش کی اکائی، بڑی چھڑی کی لمبائی کے برابر")</f>
        <v>ب) پیمائش کی اکائی، بڑی چھڑی کی لمبائی کے برابر</v>
      </c>
      <c r="N134" s="6" t="str">
        <f>IFERROR(__xludf.DUMMYFUNCTION("GOOGLETRANSLATE(E134, ""en"", ""ur"")"),"اسکور کو 'ڈنڈاس' میں شمار کیا جاتا ہے، مثال کے طور پر، ""یہ 50 ڈنڈوں کا ہٹ تھا۔""")</f>
        <v>اسکور کو 'ڈنڈاس' میں شمار کیا جاتا ہے، مثال کے طور پر، "یہ 50 ڈنڈوں کا ہٹ تھا۔"</v>
      </c>
    </row>
    <row r="135">
      <c r="A135" s="4">
        <v>134.0</v>
      </c>
      <c r="B135" s="5" t="s">
        <v>2456</v>
      </c>
      <c r="C135" s="5" t="s">
        <v>2457</v>
      </c>
      <c r="D135" s="5" t="s">
        <v>2458</v>
      </c>
      <c r="E135" s="5" t="s">
        <v>2459</v>
      </c>
      <c r="J135" s="6" t="str">
        <f>IFERROR(__xludf.DUMMYFUNCTION("GOOGLETRANSLATE(A135, ""en"", ""ur"")"),"134")</f>
        <v>134</v>
      </c>
      <c r="K135" s="6" t="str">
        <f>IFERROR(__xludf.DUMMYFUNCTION("GOOGLETRANSLATE(B135, ""en"", ""ur"")"),"ایک فیلڈر ٹیم کے ساتھی کی طرف سے مشغول ہو جاتا ہے اور ایک سادہ کیچ سے محروم ہو جاتا ہے۔ قصور کس کا ہے؟")</f>
        <v>ایک فیلڈر ٹیم کے ساتھی کی طرف سے مشغول ہو جاتا ہے اور ایک سادہ کیچ سے محروم ہو جاتا ہے۔ قصور کس کا ہے؟</v>
      </c>
      <c r="L135" s="6" t="str">
        <f>IFERROR(__xludf.DUMMYFUNCTION("GOOGLETRANSLATE(C135, ""en"", ""ur"")"),"A) اسٹرائیکرز، B) فیلڈر جو مشغول تھا، C) ٹیم کا ساتھی جس نے خلفشار پیدا کیا، D) یہ کوئی غلطی کا واقعہ نہیں ہے۔")</f>
        <v>A) اسٹرائیکرز، B) فیلڈر جو مشغول تھا، C) ٹیم کا ساتھی جس نے خلفشار پیدا کیا، D) یہ کوئی غلطی کا واقعہ نہیں ہے۔</v>
      </c>
      <c r="M135" s="6" t="str">
        <f>IFERROR(__xludf.DUMMYFUNCTION("GOOGLETRANSLATE(D135, ""en"", ""ur"")"),"ب) وہ فیلڈر جو مشغول تھا۔")</f>
        <v>ب) وہ فیلڈر جو مشغول تھا۔</v>
      </c>
      <c r="N135" s="6" t="str">
        <f>IFERROR(__xludf.DUMMYFUNCTION("GOOGLETRANSLATE(E135, ""en"", ""ur"")"),"فیلڈنگ میں، ہر کھلاڑی اپنی توجہ کو برقرار رکھنے کا ذمہ دار ہے۔ اسٹرائیکر ناٹ آؤٹ ہے۔")</f>
        <v>فیلڈنگ میں، ہر کھلاڑی اپنی توجہ کو برقرار رکھنے کا ذمہ دار ہے۔ اسٹرائیکر ناٹ آؤٹ ہے۔</v>
      </c>
    </row>
    <row r="136">
      <c r="A136" s="4">
        <v>135.0</v>
      </c>
      <c r="B136" s="5" t="s">
        <v>2460</v>
      </c>
      <c r="C136" s="5" t="s">
        <v>2461</v>
      </c>
      <c r="D136" s="5" t="s">
        <v>2462</v>
      </c>
      <c r="E136" s="5" t="s">
        <v>2463</v>
      </c>
      <c r="J136" s="6" t="str">
        <f>IFERROR(__xludf.DUMMYFUNCTION("GOOGLETRANSLATE(A136, ""en"", ""ur"")"),"135")</f>
        <v>135</v>
      </c>
      <c r="K136" s="6" t="str">
        <f>IFERROR(__xludf.DUMMYFUNCTION("GOOGLETRANSLATE(B136, ""en"", ""ur"")"),"گلی ڈنڈا جدید پاکستان میں گھنے شہروں کی نسبت دیہی علاقوں میں زیادہ مقبول ہونے کی بنیادی وجہ کیا ہے؟")</f>
        <v>گلی ڈنڈا جدید پاکستان میں گھنے شہروں کی نسبت دیہی علاقوں میں زیادہ مقبول ہونے کی بنیادی وجہ کیا ہے؟</v>
      </c>
      <c r="L136" s="6" t="str">
        <f>IFERROR(__xludf.DUMMYFUNCTION("GOOGLETRANSLATE(C136, ""en"", ""ur"")"),"A) شہر کے رہنے والے دوسرے کھیلوں کو ترجیح دیتے ہیں، B) شہروں میں اس کھیل پر پابندی ہے، C) محفوظ، کھلی جگہوں کا فقدان جو کھیل کھیلنے کے لیے درکار ہے، D) شہروں میں سامان فروخت نہیں ہوتا")</f>
        <v>A) شہر کے رہنے والے دوسرے کھیلوں کو ترجیح دیتے ہیں، B) شہروں میں اس کھیل پر پابندی ہے، C) محفوظ، کھلی جگہوں کا فقدان جو کھیل کھیلنے کے لیے درکار ہے، D) شہروں میں سامان فروخت نہیں ہوتا</v>
      </c>
      <c r="M136" s="6" t="str">
        <f>IFERROR(__xludf.DUMMYFUNCTION("GOOGLETRANSLATE(D136, ""en"", ""ur"")"),"ج) گیم کھیلنے کے لیے درکار محفوظ، کھلی جگہوں کی کمی")</f>
        <v>ج) گیم کھیلنے کے لیے درکار محفوظ، کھلی جگہوں کی کمی</v>
      </c>
      <c r="N136" s="6" t="str">
        <f>IFERROR(__xludf.DUMMYFUNCTION("GOOGLETRANSLATE(E136, ""en"", ""ur"")"),"شہری کاری نے گلی ڈنڈا کو محفوظ طریقے سے کھیلنے کے لیے درکار کھلے میدانوں اور میدانوں کی تعداد میں کافی حد تک کمی کر دی ہے۔")</f>
        <v>شہری کاری نے گلی ڈنڈا کو محفوظ طریقے سے کھیلنے کے لیے درکار کھلے میدانوں اور میدانوں کی تعداد میں کافی حد تک کمی کر دی ہے۔</v>
      </c>
    </row>
    <row r="137">
      <c r="A137" s="4">
        <v>136.0</v>
      </c>
      <c r="B137" s="5" t="s">
        <v>2464</v>
      </c>
      <c r="C137" s="5" t="s">
        <v>2465</v>
      </c>
      <c r="D137" s="5" t="s">
        <v>2466</v>
      </c>
      <c r="E137" s="5" t="s">
        <v>2467</v>
      </c>
      <c r="J137" s="6" t="str">
        <f>IFERROR(__xludf.DUMMYFUNCTION("GOOGLETRANSLATE(A137, ""en"", ""ur"")"),"136")</f>
        <v>136</v>
      </c>
      <c r="K137" s="6" t="str">
        <f>IFERROR(__xludf.DUMMYFUNCTION("GOOGLETRANSLATE(B137, ""en"", ""ur"")"),"گلی ڈنڈا اور بیس بال کے درمیان بنیادی فرق کیا ہے؟")</f>
        <v>گلی ڈنڈا اور بیس بال کے درمیان بنیادی فرق کیا ہے؟</v>
      </c>
      <c r="L137" s="6" t="str">
        <f>IFERROR(__xludf.DUMMYFUNCTION("GOOGLETRANSLATE(C137, ""en"", ""ur"")"),"A) گلی ڈنڈا ایک چھڑی کا استعمال کرتا ہے، B) گلی ڈنڈا میں کوئی گھڑا نہیں ہے؛ بلے باز خود اس چیز کو لانچ کرتا ہے، C) گلی ڈنڈا ایک ٹیم کا کھیل ہے، D) گلی ڈنڈا میں کوئی فیلڈنگ نہیں ہوتی")</f>
        <v>A) گلی ڈنڈا ایک چھڑی کا استعمال کرتا ہے، B) گلی ڈنڈا میں کوئی گھڑا نہیں ہے؛ بلے باز خود اس چیز کو لانچ کرتا ہے، C) گلی ڈنڈا ایک ٹیم کا کھیل ہے، D) گلی ڈنڈا میں کوئی فیلڈنگ نہیں ہوتی</v>
      </c>
      <c r="M137" s="6" t="str">
        <f>IFERROR(__xludf.DUMMYFUNCTION("GOOGLETRANSLATE(D137, ""en"", ""ur"")"),"ب) گلی ڈنڈا میں کوئی گھڑا نہیں ہے۔ بلے باز خود اس چیز کو لانچ کرتا ہے۔")</f>
        <v>ب) گلی ڈنڈا میں کوئی گھڑا نہیں ہے۔ بلے باز خود اس چیز کو لانچ کرتا ہے۔</v>
      </c>
      <c r="N137" s="6" t="str">
        <f>IFERROR(__xludf.DUMMYFUNCTION("GOOGLETRANSLATE(E137, ""en"", ""ur"")"),"یہ ایک بنیادی فرق ہے؛ گلی ڈنڈا میں اسٹرائیکر آبجیکٹ کو لانچ کرنے اور مارنے دونوں کے لئے ذمہ دار ہے۔")</f>
        <v>یہ ایک بنیادی فرق ہے؛ گلی ڈنڈا میں اسٹرائیکر آبجیکٹ کو لانچ کرنے اور مارنے دونوں کے لئے ذمہ دار ہے۔</v>
      </c>
    </row>
    <row r="138">
      <c r="A138" s="4">
        <v>137.0</v>
      </c>
      <c r="B138" s="5" t="s">
        <v>2501</v>
      </c>
      <c r="C138" s="5" t="s">
        <v>2502</v>
      </c>
      <c r="D138" s="5" t="s">
        <v>2503</v>
      </c>
      <c r="E138" s="5" t="s">
        <v>2504</v>
      </c>
      <c r="J138" s="6" t="str">
        <f>IFERROR(__xludf.DUMMYFUNCTION("GOOGLETRANSLATE(A138, ""en"", ""ur"")"),"137")</f>
        <v>137</v>
      </c>
      <c r="K138" s="6" t="str">
        <f>IFERROR(__xludf.DUMMYFUNCTION("GOOGLETRANSLATE(B138, ""en"", ""ur"")"),"ایک کھلاڑی اپنی ""جگنگ"" مہارت کے لیے جانا جاتا ہے۔ اس میں کیا شامل ہے؟")</f>
        <v>ایک کھلاڑی اپنی "جگنگ" مہارت کے لیے جانا جاتا ہے۔ اس میں کیا شامل ہے؟</v>
      </c>
      <c r="L138" s="6" t="str">
        <f>IFERROR(__xludf.DUMMYFUNCTION("GOOGLETRANSLATE(C138, ""en"", ""ur"")"),"A) ایک سے زیادہ گلیوں کو جگانا، B) فائنل اسٹرائیک سے پہلے گلی کو کئی بار ہوا میں مارنا، C) فیلڈر کو کیچ بنانا، D) ڈنڈا کو جگانا")</f>
        <v>A) ایک سے زیادہ گلیوں کو جگانا، B) فائنل اسٹرائیک سے پہلے گلی کو کئی بار ہوا میں مارنا، C) فیلڈر کو کیچ بنانا، D) ڈنڈا کو جگانا</v>
      </c>
      <c r="M138" s="6" t="str">
        <f>IFERROR(__xludf.DUMMYFUNCTION("GOOGLETRANSLATE(D138, ""en"", ""ur"")"),"ب) آخری اسٹرائیک سے پہلے گلی کو کئی بار ہوا میں مارنا")</f>
        <v>ب) آخری اسٹرائیک سے پہلے گلی کو کئی بار ہوا میں مارنا</v>
      </c>
      <c r="N138" s="6" t="str">
        <f>IFERROR(__xludf.DUMMYFUNCTION("GOOGLETRANSLATE(E138, ""en"", ""ur"")"),"یہ ایک اعلی درجے کی مہارت ہے جہاں ایک کھلاڑی گلی کو ہوا سے چلنے اور اسے بالکل ٹھیک پوزیشن میں رکھنے کے لیے متعدد روشنی کے نلکوں کا استعمال کرتا ہے۔")</f>
        <v>یہ ایک اعلی درجے کی مہارت ہے جہاں ایک کھلاڑی گلی کو ہوا سے چلنے اور اسے بالکل ٹھیک پوزیشن میں رکھنے کے لیے متعدد روشنی کے نلکوں کا استعمال کرتا ہے۔</v>
      </c>
    </row>
    <row r="139">
      <c r="A139" s="4">
        <v>138.0</v>
      </c>
      <c r="B139" s="5" t="s">
        <v>2514</v>
      </c>
      <c r="C139" s="5" t="s">
        <v>2515</v>
      </c>
      <c r="D139" s="5" t="s">
        <v>2516</v>
      </c>
      <c r="E139" s="5" t="s">
        <v>2517</v>
      </c>
      <c r="J139" s="6" t="str">
        <f>IFERROR(__xludf.DUMMYFUNCTION("GOOGLETRANSLATE(A139, ""en"", ""ur"")"),"138")</f>
        <v>138</v>
      </c>
      <c r="K139" s="6" t="str">
        <f>IFERROR(__xludf.DUMMYFUNCTION("GOOGLETRANSLATE(B139, ""en"", ""ur"")"),"تمام فیلڈرز کے لیے اسٹرائیکر کے بہت قریب کھڑا ہونا حکمت عملی کے لحاظ سے خطرناک کیوں ہے؟")</f>
        <v>تمام فیلڈرز کے لیے اسٹرائیکر کے بہت قریب کھڑا ہونا حکمت عملی کے لحاظ سے خطرناک کیوں ہے؟</v>
      </c>
      <c r="L139" s="6" t="str">
        <f>IFERROR(__xludf.DUMMYFUNCTION("GOOGLETRANSLATE(C139, ""en"", ""ur"")"),"A) یہ خطرناک نہیں ہے، B) ایک طاقتور لمبی ہٹ ان کے تمام سروں پر جائے گی، C) یہ قواعد کے خلاف ہے، D) یہ انہیں تھکا دے گا۔")</f>
        <v>A) یہ خطرناک نہیں ہے، B) ایک طاقتور لمبی ہٹ ان کے تمام سروں پر جائے گی، C) یہ قواعد کے خلاف ہے، D) یہ انہیں تھکا دے گا۔</v>
      </c>
      <c r="M139" s="6" t="str">
        <f>IFERROR(__xludf.DUMMYFUNCTION("GOOGLETRANSLATE(D139, ""en"", ""ur"")"),"ب) ایک طاقتور لمبی ہٹ ان کے تمام سروں پر جائے گی۔")</f>
        <v>ب) ایک طاقتور لمبی ہٹ ان کے تمام سروں پر جائے گی۔</v>
      </c>
      <c r="N139" s="6" t="str">
        <f>IFERROR(__xludf.DUMMYFUNCTION("GOOGLETRANSLATE(E139, ""en"", ""ur"")"),"یہ حکمت عملی ایک ہنر مند اسٹرائیکر کے لیے گیلی کو بڑے اسکور کے لیے مارنے کے لیے پورا آؤٹ فیلڈ کھلا چھوڑ دیتی ہے۔")</f>
        <v>یہ حکمت عملی ایک ہنر مند اسٹرائیکر کے لیے گیلی کو بڑے اسکور کے لیے مارنے کے لیے پورا آؤٹ فیلڈ کھلا چھوڑ دیتی ہے۔</v>
      </c>
    </row>
    <row r="140">
      <c r="A140" s="4">
        <v>139.0</v>
      </c>
      <c r="B140" s="5" t="s">
        <v>2395</v>
      </c>
      <c r="C140" s="5" t="s">
        <v>2396</v>
      </c>
      <c r="D140" s="5" t="s">
        <v>2397</v>
      </c>
      <c r="E140" s="5" t="s">
        <v>2518</v>
      </c>
      <c r="J140" s="6" t="str">
        <f>IFERROR(__xludf.DUMMYFUNCTION("GOOGLETRANSLATE(A140, ""en"", ""ur"")"),"139")</f>
        <v>139</v>
      </c>
      <c r="K140" s="6" t="str">
        <f>IFERROR(__xludf.DUMMYFUNCTION("GOOGLETRANSLATE(B140, ""en"", ""ur"")"),"ایک فیلڈر گلی کو اپنی ٹوپی میں پکڑتا ہے۔ کیا یہ قانونی پکڑ ہے؟")</f>
        <v>ایک فیلڈر گلی کو اپنی ٹوپی میں پکڑتا ہے۔ کیا یہ قانونی پکڑ ہے؟</v>
      </c>
      <c r="L140" s="6" t="str">
        <f>IFERROR(__xludf.DUMMYFUNCTION("GOOGLETRANSLATE(C140, ""en"", ""ur"")"),"A) جی ہاں، جب تک یہ زمین کو نہ چھوئے، B) نہیں، کیچ ہاتھوں سے لیا جانا چاہیے، C) یہ فیصلہ اسٹرائیکر پر منحصر ہے، D) باری دوبارہ چلائی جاتی ہے۔")</f>
        <v>A) جی ہاں، جب تک یہ زمین کو نہ چھوئے، B) نہیں، کیچ ہاتھوں سے لیا جانا چاہیے، C) یہ فیصلہ اسٹرائیکر پر منحصر ہے، D) باری دوبارہ چلائی جاتی ہے۔</v>
      </c>
      <c r="M140" s="6" t="str">
        <f>IFERROR(__xludf.DUMMYFUNCTION("GOOGLETRANSLATE(D140, ""en"", ""ur"")"),"ب) نہیں، کیچ کو ہاتھوں سے بنایا جانا چاہیے۔")</f>
        <v>ب) نہیں، کیچ کو ہاتھوں سے بنایا جانا چاہیے۔</v>
      </c>
      <c r="N140" s="6" t="str">
        <f>IFERROR(__xludf.DUMMYFUNCTION("GOOGLETRANSLATE(E140, ""en"", ""ur"")"),"روایتی اصولوں میں، کیچ صرف اس صورت میں درست ہے جب ننگے ہاتھوں سے بنایا جائے۔ کیچ میں مدد کے لیے لباس استعمال کرنے کی اجازت نہیں ہے۔")</f>
        <v>روایتی اصولوں میں، کیچ صرف اس صورت میں درست ہے جب ننگے ہاتھوں سے بنایا جائے۔ کیچ میں مدد کے لیے لباس استعمال کرنے کی اجازت نہیں ہے۔</v>
      </c>
    </row>
    <row r="141">
      <c r="A141" s="4">
        <v>140.0</v>
      </c>
      <c r="B141" s="5" t="s">
        <v>2407</v>
      </c>
      <c r="C141" s="5" t="s">
        <v>2408</v>
      </c>
      <c r="D141" s="5" t="s">
        <v>2409</v>
      </c>
      <c r="E141" s="5" t="s">
        <v>2410</v>
      </c>
      <c r="J141" s="6" t="str">
        <f>IFERROR(__xludf.DUMMYFUNCTION("GOOGLETRANSLATE(A141, ""en"", ""ur"")"),"140")</f>
        <v>140</v>
      </c>
      <c r="K141" s="6" t="str">
        <f>IFERROR(__xludf.DUMMYFUNCTION("GOOGLETRANSLATE(B141, ""en"", ""ur"")"),"اسٹرائیکر کے لئے ""تین کوشش"" کے اصول کی بنیادی وجہ کیا ہے؟")</f>
        <v>اسٹرائیکر کے لئے "تین کوشش" کے اصول کی بنیادی وجہ کیا ہے؟</v>
      </c>
      <c r="L141" s="6" t="str">
        <f>IFERROR(__xludf.DUMMYFUNCTION("GOOGLETRANSLATE(C141, ""en"", ""ur"")"),"A) کھیل کو زیادہ دیر تک چلانے کے لیے، B) اسٹرائیکر کو کھیل کو غیر معینہ مدت تک تاخیر سے روکنے کے لیے مناسب موقع فراہم کرنا، C) کھیل کو مزید مشکل بنانا، D) اسٹرائیکر کو تھکا دینا")</f>
        <v>A) کھیل کو زیادہ دیر تک چلانے کے لیے، B) اسٹرائیکر کو کھیل کو غیر معینہ مدت تک تاخیر سے روکنے کے لیے مناسب موقع فراہم کرنا، C) کھیل کو مزید مشکل بنانا، D) اسٹرائیکر کو تھکا دینا</v>
      </c>
      <c r="M141" s="6" t="str">
        <f>IFERROR(__xludf.DUMMYFUNCTION("GOOGLETRANSLATE(D141, ""en"", ""ur"")"),"ب) اسٹرائیکر کو کھیل کو غیر معینہ مدت تک موخر کرنے سے روکتے ہوئے انہیں مناسب موقع فراہم کرنا")</f>
        <v>ب) اسٹرائیکر کو کھیل کو غیر معینہ مدت تک موخر کرنے سے روکتے ہوئے انہیں مناسب موقع فراہم کرنا</v>
      </c>
      <c r="N141" s="6" t="str">
        <f>IFERROR(__xludf.DUMMYFUNCTION("GOOGLETRANSLATE(E141, ""en"", ""ur"")"),"تین موقعوں کی حد اسٹرائیکر کے ساتھ انصاف پسندی (جو شاید پہلی فلک سے محروم ہو جائے) اور کھیل کو رواں دواں رکھنے کے درمیان توازن ہے۔")</f>
        <v>تین موقعوں کی حد اسٹرائیکر کے ساتھ انصاف پسندی (جو شاید پہلی فلک سے محروم ہو جائے) اور کھیل کو رواں دواں رکھنے کے درمیان توازن ہے۔</v>
      </c>
    </row>
    <row r="142">
      <c r="A142" s="4">
        <v>141.0</v>
      </c>
      <c r="B142" s="5" t="s">
        <v>2413</v>
      </c>
      <c r="C142" s="5" t="s">
        <v>2414</v>
      </c>
      <c r="D142" s="5" t="s">
        <v>2415</v>
      </c>
      <c r="E142" s="5" t="s">
        <v>2416</v>
      </c>
      <c r="J142" s="6" t="str">
        <f>IFERROR(__xludf.DUMMYFUNCTION("GOOGLETRANSLATE(A142, ""en"", ""ur"")"),"141")</f>
        <v>141</v>
      </c>
      <c r="K142" s="6" t="str">
        <f>IFERROR(__xludf.DUMMYFUNCTION("GOOGLETRANSLATE(B142, ""en"", ""ur"")"),"اسٹرائیکر کے قریب ہائی رسک پوزیشن پر کھڑے فیلڈر کے لیے سب سے اہم معیار کیا ہے؟")</f>
        <v>اسٹرائیکر کے قریب ہائی رسک پوزیشن پر کھڑے فیلڈر کے لیے سب سے اہم معیار کیا ہے؟</v>
      </c>
      <c r="L142" s="6" t="str">
        <f>IFERROR(__xludf.DUMMYFUNCTION("GOOGLETRANSLATE(C142, ""en"", ""ur"")"),"A) ایک مضبوط پھینکنے والا بازو، B) تیز دوڑنے کی رفتار، C) بہترین اضطراب اور ہمت، D) اچھی بات چیت کی مہارت")</f>
        <v>A) ایک مضبوط پھینکنے والا بازو، B) تیز دوڑنے کی رفتار، C) بہترین اضطراب اور ہمت، D) اچھی بات چیت کی مہارت</v>
      </c>
      <c r="M142" s="6" t="str">
        <f>IFERROR(__xludf.DUMMYFUNCTION("GOOGLETRANSLATE(D142, ""en"", ""ur"")"),"ج) بہترین اضطراب اور ہمت")</f>
        <v>ج) بہترین اضطراب اور ہمت</v>
      </c>
      <c r="N142" s="6" t="str">
        <f>IFERROR(__xludf.DUMMYFUNCTION("GOOGLETRANSLATE(E142, ""en"", ""ur"")"),"""سلی پوائنٹ"" فیلڈر کو قلیل رینج سے تیز رفتاری سے گیلی ہٹ کو پکڑنے کے لیے قریب کھڑے ہونے کے لیے بہادری اور بجلی کی تیز رفتار اضطراری کی ضرورت ہوتی ہے۔")</f>
        <v>"سلی پوائنٹ" فیلڈر کو قلیل رینج سے تیز رفتاری سے گیلی ہٹ کو پکڑنے کے لیے قریب کھڑے ہونے کے لیے بہادری اور بجلی کی تیز رفتار اضطراری کی ضرورت ہوتی ہے۔</v>
      </c>
    </row>
    <row r="143">
      <c r="A143" s="4">
        <v>142.0</v>
      </c>
      <c r="B143" s="5" t="s">
        <v>2564</v>
      </c>
      <c r="C143" s="5" t="s">
        <v>2507</v>
      </c>
      <c r="D143" s="5" t="s">
        <v>2508</v>
      </c>
      <c r="E143" s="5" t="s">
        <v>2509</v>
      </c>
      <c r="J143" s="6" t="str">
        <f>IFERROR(__xludf.DUMMYFUNCTION("GOOGLETRANSLATE(A143, ""en"", ""ur"")"),"142")</f>
        <v>142</v>
      </c>
      <c r="K143" s="6" t="str">
        <f>IFERROR(__xludf.DUMMYFUNCTION("GOOGLETRANSLATE(B143, ""en"", ""ur"")"),"ایک معمولی کراس ونڈ کو کھیلنے کے لیے اکثر سب سے مشکل حالت کیوں سمجھا جاتا ہے؟")</f>
        <v>ایک معمولی کراس ونڈ کو کھیلنے کے لیے اکثر سب سے مشکل حالت کیوں سمجھا جاتا ہے؟</v>
      </c>
      <c r="L143" s="6" t="str">
        <f>IFERROR(__xludf.DUMMYFUNCTION("GOOGLETRANSLATE(C143, ""en"", ""ur"")"),"A) یہ گلی کو دور تک سفر کرتا ہے، B) یہ گلی کو غیر متوقع طور پر گھومنے کا سبب بن سکتا ہے، C) یہ اسے کھیلنے کے لئے بہت ٹھنڈا بنا دیتا ہے، D) یہ کھلاڑیوں کی آنکھوں میں دھول اڑا دیتا ہے۔")</f>
        <v>A) یہ گلی کو دور تک سفر کرتا ہے، B) یہ گلی کو غیر متوقع طور پر گھومنے کا سبب بن سکتا ہے، C) یہ اسے کھیلنے کے لئے بہت ٹھنڈا بنا دیتا ہے، D) یہ کھلاڑیوں کی آنکھوں میں دھول اڑا دیتا ہے۔</v>
      </c>
      <c r="M143" s="6" t="str">
        <f>IFERROR(__xludf.DUMMYFUNCTION("GOOGLETRANSLATE(D143, ""en"", ""ur"")"),"ب) یہ گلی کو غیر متوقع طور پر تبدیل کرنے کا سبب بن سکتا ہے۔")</f>
        <v>ب) یہ گلی کو غیر متوقع طور پر تبدیل کرنے کا سبب بن سکتا ہے۔</v>
      </c>
      <c r="N143" s="6" t="str">
        <f>IFERROR(__xludf.DUMMYFUNCTION("GOOGLETRANSLATE(E143, ""en"", ""ur"")"),"کراس ونڈ گلی کی پرواز میں ایک مشکل ""کرو"" بنا سکتا ہے، اسٹرائیکر اور فیلڈرز دونوں کو دھوکہ دے سکتا ہے۔")</f>
        <v>کراس ونڈ گلی کی پرواز میں ایک مشکل "کرو" بنا سکتا ہے، اسٹرائیکر اور فیلڈرز دونوں کو دھوکہ دے سکتا ہے۔</v>
      </c>
    </row>
    <row r="144">
      <c r="A144" s="4">
        <v>143.0</v>
      </c>
      <c r="B144" s="5" t="s">
        <v>2399</v>
      </c>
      <c r="C144" s="5" t="s">
        <v>2400</v>
      </c>
      <c r="D144" s="5" t="s">
        <v>2401</v>
      </c>
      <c r="E144" s="5" t="s">
        <v>2402</v>
      </c>
      <c r="J144" s="6" t="str">
        <f>IFERROR(__xludf.DUMMYFUNCTION("GOOGLETRANSLATE(A144, ""en"", ""ur"")"),"143")</f>
        <v>143</v>
      </c>
      <c r="K144" s="6" t="str">
        <f>IFERROR(__xludf.DUMMYFUNCTION("GOOGLETRANSLATE(B144, ""en"", ""ur"")"),"'ٹُلا' ہٹ کیا ہے؟")</f>
        <v>'ٹُلا' ہٹ کیا ہے؟</v>
      </c>
      <c r="L144" s="6" t="str">
        <f>IFERROR(__xludf.DUMMYFUNCTION("GOOGLETRANSLATE(C144, ""en"", ""ur"")"),"A) ایک بہت اونچی، لوپنگ ہٹ، B) ایک بہت ہی مختصر ہٹ، C) ایک طاقتور، چپٹی اور تیز ہٹ، D) ایک ہٹ جو پیچھے کی طرف جاتی ہے۔")</f>
        <v>A) ایک بہت اونچی، لوپنگ ہٹ، B) ایک بہت ہی مختصر ہٹ، C) ایک طاقتور، چپٹی اور تیز ہٹ، D) ایک ہٹ جو پیچھے کی طرف جاتی ہے۔</v>
      </c>
      <c r="M144" s="6" t="str">
        <f>IFERROR(__xludf.DUMMYFUNCTION("GOOGLETRANSLATE(D144, ""en"", ""ur"")"),"ج) ایک طاقتور، فلیٹ، اور تیز ہٹ")</f>
        <v>ج) ایک طاقتور، فلیٹ، اور تیز ہٹ</v>
      </c>
      <c r="N144" s="6" t="str">
        <f>IFERROR(__xludf.DUMMYFUNCTION("GOOGLETRANSLATE(E144, ""en"", ""ur"")"),"'ٹُلا' ایک کامل، طاقتور اسٹرائیک کے لیے ایک اصطلاح ہے جو کم رفتار کے ساتھ لمبا فاصلہ طے کرتی ہے، جس سے اسے پکڑنا بہت مشکل ہو جاتا ہے۔")</f>
        <v>'ٹُلا' ایک کامل، طاقتور اسٹرائیک کے لیے ایک اصطلاح ہے جو کم رفتار کے ساتھ لمبا فاصلہ طے کرتی ہے، جس سے اسے پکڑنا بہت مشکل ہو جاتا ہے۔</v>
      </c>
    </row>
    <row r="145">
      <c r="A145" s="4">
        <v>144.0</v>
      </c>
      <c r="B145" s="5" t="s">
        <v>2391</v>
      </c>
      <c r="C145" s="5" t="s">
        <v>2428</v>
      </c>
      <c r="D145" s="5" t="s">
        <v>2393</v>
      </c>
      <c r="E145" s="5" t="s">
        <v>2394</v>
      </c>
      <c r="J145" s="6" t="str">
        <f>IFERROR(__xludf.DUMMYFUNCTION("GOOGLETRANSLATE(A145, ""en"", ""ur"")"),"144")</f>
        <v>144</v>
      </c>
      <c r="K145" s="6" t="str">
        <f>IFERROR(__xludf.DUMMYFUNCTION("GOOGLETRANSLATE(B145, ""en"", ""ur"")"),"ایک کھلاڑی کو ""ڈنڈا ماہر"" کہا جاتا ہے۔ اس کا کیا مطلب ہے؟")</f>
        <v>ایک کھلاڑی کو "ڈنڈا ماہر" کہا جاتا ہے۔ اس کا کیا مطلب ہے؟</v>
      </c>
      <c r="L145" s="6" t="str">
        <f>IFERROR(__xludf.DUMMYFUNCTION("GOOGLETRANSLATE(C145, ""en"", ""ur"")"),"A) وہ سازوسامان بنانے میں اچھے ہیں، B) وہ ایک غیر معمولی طاقتور اور درست اسٹرائیکر ہیں، C) وہ پیمائش کرنے میں اچھے ہیں، D) وہ صرف اسٹرائیکر کے طور پر کھیلتے ہیں")</f>
        <v>A) وہ سازوسامان بنانے میں اچھے ہیں، B) وہ ایک غیر معمولی طاقتور اور درست اسٹرائیکر ہیں، C) وہ پیمائش کرنے میں اچھے ہیں، D) وہ صرف اسٹرائیکر کے طور پر کھیلتے ہیں</v>
      </c>
      <c r="M145" s="6" t="str">
        <f>IFERROR(__xludf.DUMMYFUNCTION("GOOGLETRANSLATE(D145, ""en"", ""ur"")"),"ب) وہ ایک غیر معمولی طاقتور اور درست اسٹرائیکر ہیں۔")</f>
        <v>ب) وہ ایک غیر معمولی طاقتور اور درست اسٹرائیکر ہیں۔</v>
      </c>
      <c r="N145" s="6" t="str">
        <f>IFERROR(__xludf.DUMMYFUNCTION("GOOGLETRANSLATE(E145, ""en"", ""ur"")"),"یہ ایک ایسے کھلاڑی کے لیے احترام کی اصطلاح ہے جس نے گلی کو زیادہ سے زیادہ فاصلے تک مارنے کے فن میں مہارت حاصل کی ہو۔")</f>
        <v>یہ ایک ایسے کھلاڑی کے لیے احترام کی اصطلاح ہے جس نے گلی کو زیادہ سے زیادہ فاصلے تک مارنے کے فن میں مہارت حاصل کی ہو۔</v>
      </c>
    </row>
    <row r="146">
      <c r="A146" s="4">
        <v>145.0</v>
      </c>
      <c r="B146" s="5" t="s">
        <v>2429</v>
      </c>
      <c r="C146" s="5" t="s">
        <v>2430</v>
      </c>
      <c r="D146" s="5" t="s">
        <v>2431</v>
      </c>
      <c r="E146" s="5" t="s">
        <v>2432</v>
      </c>
      <c r="J146" s="6" t="str">
        <f>IFERROR(__xludf.DUMMYFUNCTION("GOOGLETRANSLATE(A146, ""en"", ""ur"")"),"145")</f>
        <v>145</v>
      </c>
      <c r="K146" s="6" t="str">
        <f>IFERROR(__xludf.DUMMYFUNCTION("GOOGLETRANSLATE(B146, ""en"", ""ur"")"),"اگر کوئی کھیل برابر ہوجاتا ہے، تو عام طور پر زیادہ منظم میچ میں فاتح کا فیصلہ کیسے کیا جاتا ہے؟")</f>
        <v>اگر کوئی کھیل برابر ہوجاتا ہے، تو عام طور پر زیادہ منظم میچ میں فاتح کا فیصلہ کیسے کیا جاتا ہے؟</v>
      </c>
      <c r="L146" s="6" t="str">
        <f>IFERROR(__xludf.DUMMYFUNCTION("GOOGLETRANSLATE(C146, ""en"", ""ur"")"),"A) سکے کا ٹاس، B) سب سے طویل سنگل ہٹ جیتنے والی ٹیم، C) ایک ""سپر اوور"" یا اضافی راؤنڈ کھیلا جاتا ہے، D) میچ ڈرا قرار دیا جاتا ہے۔")</f>
        <v>A) سکے کا ٹاس، B) سب سے طویل سنگل ہٹ جیتنے والی ٹیم، C) ایک "سپر اوور" یا اضافی راؤنڈ کھیلا جاتا ہے، D) میچ ڈرا قرار دیا جاتا ہے۔</v>
      </c>
      <c r="M146" s="6" t="str">
        <f>IFERROR(__xludf.DUMMYFUNCTION("GOOGLETRANSLATE(D146, ""en"", ""ur"")"),"ج) ایک ""سپر اوور"" یا ایکسٹرا راؤنڈ کھیلا جاتا ہے۔")</f>
        <v>ج) ایک "سپر اوور" یا ایکسٹرا راؤنڈ کھیلا جاتا ہے۔</v>
      </c>
      <c r="N146" s="6" t="str">
        <f>IFERROR(__xludf.DUMMYFUNCTION("GOOGLETRANSLATE(E146, ""en"", ""ur"")"),"ٹائی کو توڑنے کے لیے، ایک فائنل راؤنڈ اکثر کھیلا جاتا ہے جہاں ہر ٹیم کو فاتح کا تعین کرنے کے لیے اسٹرائیکس کی ایک مقررہ تعداد ملتی ہے۔")</f>
        <v>ٹائی کو توڑنے کے لیے، ایک فائنل راؤنڈ اکثر کھیلا جاتا ہے جہاں ہر ٹیم کو فاتح کا تعین کرنے کے لیے اسٹرائیکس کی ایک مقررہ تعداد ملتی ہے۔</v>
      </c>
    </row>
    <row r="147">
      <c r="A147" s="4">
        <v>146.0</v>
      </c>
      <c r="B147" s="5" t="s">
        <v>2433</v>
      </c>
      <c r="C147" s="5" t="s">
        <v>2434</v>
      </c>
      <c r="D147" s="5" t="s">
        <v>2435</v>
      </c>
      <c r="E147" s="5" t="s">
        <v>2436</v>
      </c>
      <c r="J147" s="6" t="str">
        <f>IFERROR(__xludf.DUMMYFUNCTION("GOOGLETRANSLATE(A147, ""en"", ""ur"")"),"146")</f>
        <v>146</v>
      </c>
      <c r="K147" s="6" t="str">
        <f>IFERROR(__xludf.DUMMYFUNCTION("GOOGLETRANSLATE(B147, ""en"", ""ur"")"),"اس کے جوہر میں، گلی ڈنڈا کی روح کیا ہے؟")</f>
        <v>اس کے جوہر میں، گلی ڈنڈا کی روح کیا ہے؟</v>
      </c>
      <c r="L147" s="6" t="str">
        <f>IFERROR(__xludf.DUMMYFUNCTION("GOOGLETRANSLATE(C147, ""en"", ""ur"")"),"A) ایک انتہائی مسابقتی اور پیشہ ورانہ کھیل، B) ایک سادہ، خوشگوار اور غیر رسمی کھیل جو کمیونٹی اور مہارت کو فروغ دیتا ہے، C) ایک خطرناک اور جارحانہ سرگرمی، D) خالص قسمت کا کھیل")</f>
        <v>A) ایک انتہائی مسابقتی اور پیشہ ورانہ کھیل، B) ایک سادہ، خوشگوار اور غیر رسمی کھیل جو کمیونٹی اور مہارت کو فروغ دیتا ہے، C) ایک خطرناک اور جارحانہ سرگرمی، D) خالص قسمت کا کھیل</v>
      </c>
      <c r="M147" s="6" t="str">
        <f>IFERROR(__xludf.DUMMYFUNCTION("GOOGLETRANSLATE(D147, ""en"", ""ur"")"),"ب) ایک سادہ، خوشگوار، اور غیر رسمی کھیل جو کمیونٹی اور مہارت کو فروغ دیتا ہے۔")</f>
        <v>ب) ایک سادہ، خوشگوار، اور غیر رسمی کھیل جو کمیونٹی اور مہارت کو فروغ دیتا ہے۔</v>
      </c>
      <c r="N147" s="6" t="str">
        <f>IFERROR(__xludf.DUMMYFUNCTION("GOOGLETRANSLATE(E147, ""en"", ""ur"")"),"گلی ڈنڈا کو اس کی سادگی، اس کی رسائی، اور کھلاڑیوں کے درمیان سماجی روابط کی وجہ سے پسند کیا جاتا ہے۔")</f>
        <v>گلی ڈنڈا کو اس کی سادگی، اس کی رسائی، اور کھلاڑیوں کے درمیان سماجی روابط کی وجہ سے پسند کیا جاتا ہے۔</v>
      </c>
    </row>
    <row r="148">
      <c r="A148" s="4">
        <v>147.0</v>
      </c>
      <c r="B148" s="5" t="s">
        <v>2452</v>
      </c>
      <c r="C148" s="5" t="s">
        <v>2565</v>
      </c>
      <c r="D148" s="5" t="s">
        <v>2454</v>
      </c>
      <c r="E148" s="5" t="s">
        <v>2455</v>
      </c>
      <c r="J148" s="6" t="str">
        <f>IFERROR(__xludf.DUMMYFUNCTION("GOOGLETRANSLATE(A148, ""en"", ""ur"")"),"147")</f>
        <v>147</v>
      </c>
      <c r="K148" s="6" t="str">
        <f>IFERROR(__xludf.DUMMYFUNCTION("GOOGLETRANSLATE(B148, ""en"", ""ur"")"),"گلی ڈنڈا اور ٹِپ کیٹ کے انگلش گیم میں بنیادی فرق کیا ہے؟")</f>
        <v>گلی ڈنڈا اور ٹِپ کیٹ کے انگلش گیم میں بنیادی فرق کیا ہے؟</v>
      </c>
      <c r="L148" s="6" t="str">
        <f>IFERROR(__xludf.DUMMYFUNCTION("GOOGLETRANSLATE(C148, ""en"", ""ur"")"),"A) کوئی فرق نہیں، B) ٹپ کیٹ ایک دھاتی گلی کا استعمال کرتی ہے، C) گلی ڈنڈا ڈنڈا کے ساتھ ناپ کر اسکور کرتی ہے، جبکہ ٹپ کیٹ فاصلے کا اندازہ لگا کر اسکور کرتی ہے، D) ٹپ کیٹ صرف ایک ٹیم کا کھیل ہے۔")</f>
        <v>A) کوئی فرق نہیں، B) ٹپ کیٹ ایک دھاتی گلی کا استعمال کرتی ہے، C) گلی ڈنڈا ڈنڈا کے ساتھ ناپ کر اسکور کرتی ہے، جبکہ ٹپ کیٹ فاصلے کا اندازہ لگا کر اسکور کرتی ہے، D) ٹپ کیٹ صرف ایک ٹیم کا کھیل ہے۔</v>
      </c>
      <c r="M148" s="6" t="str">
        <f>IFERROR(__xludf.DUMMYFUNCTION("GOOGLETRANSLATE(D148, ""en"", ""ur"")"),"C) گلی ڈنڈا ڈنڈا سے ناپ کر اسکور کرتا ہے، جبکہ ٹپ-کیٹ فاصلے کا اندازہ لگا کر اسکور کرتا ہے")</f>
        <v>C) گلی ڈنڈا ڈنڈا سے ناپ کر اسکور کرتا ہے، جبکہ ٹپ-کیٹ فاصلے کا اندازہ لگا کر اسکور کرتا ہے</v>
      </c>
      <c r="N148" s="6" t="str">
        <f>IFERROR(__xludf.DUMMYFUNCTION("GOOGLETRANSLATE(E148, ""en"", ""ur"")"),"یہ ایک اہم تاریخی فرق ہے۔ ٹپ کیٹ میں، اسٹرائیکر فاصلے کا اندازہ قدموں میں لگاتا، اور اگر ان کا اندازہ غلط تھا، تو وہ اپنے پوائنٹس کھو بیٹھتے ہیں۔")</f>
        <v>یہ ایک اہم تاریخی فرق ہے۔ ٹپ کیٹ میں، اسٹرائیکر فاصلے کا اندازہ قدموں میں لگاتا، اور اگر ان کا اندازہ غلط تھا، تو وہ اپنے پوائنٹس کھو بیٹھتے ہیں۔</v>
      </c>
    </row>
    <row r="149">
      <c r="A149" s="4">
        <v>148.0</v>
      </c>
      <c r="B149" s="5" t="s">
        <v>2441</v>
      </c>
      <c r="C149" s="5" t="s">
        <v>2442</v>
      </c>
      <c r="D149" s="5" t="s">
        <v>2443</v>
      </c>
      <c r="E149" s="5" t="s">
        <v>2444</v>
      </c>
      <c r="J149" s="6" t="str">
        <f>IFERROR(__xludf.DUMMYFUNCTION("GOOGLETRANSLATE(A149, ""en"", ""ur"")"),"148")</f>
        <v>148</v>
      </c>
      <c r="K149" s="6" t="str">
        <f>IFERROR(__xludf.DUMMYFUNCTION("GOOGLETRANSLATE(B149, ""en"", ""ur"")"),"ایک فیلڈر گلی کو روکتا ہے لیکن 100 ڈنڈا کی لمبائی کے فاصلے پر ہے۔ وہ 'غیر تحریری اصول' کیا ہے جس کی وہ پیروی کر سکتے ہیں؟")</f>
        <v>ایک فیلڈر گلی کو روکتا ہے لیکن 100 ڈنڈا کی لمبائی کے فاصلے پر ہے۔ وہ 'غیر تحریری اصول' کیا ہے جس کی وہ پیروی کر سکتے ہیں؟</v>
      </c>
      <c r="L149" s="6" t="str">
        <f>IFERROR(__xludf.DUMMYFUNCTION("GOOGLETRANSLATE(C149, ""en"", ""ur"")"),"A) پھینکے بغیر اسکور کو تسلیم کریں، B) گلی کو جتنی مشکل سے ممکن ہو پھینکیں، C) ایک تماشائی سے اسے واپس پھینکنے کو کہیں، D) اسے اپنے قریبی ساتھی کو پھینک دیں۔")</f>
        <v>A) پھینکے بغیر اسکور کو تسلیم کریں، B) گلی کو جتنی مشکل سے ممکن ہو پھینکیں، C) ایک تماشائی سے اسے واپس پھینکنے کو کہیں، D) اسے اپنے قریبی ساتھی کو پھینک دیں۔</v>
      </c>
      <c r="M149" s="6" t="str">
        <f>IFERROR(__xludf.DUMMYFUNCTION("GOOGLETRANSLATE(D149, ""en"", ""ur"")"),"A) پھینکے بغیر اسکور کو تسلیم کریں۔")</f>
        <v>A) پھینکے بغیر اسکور کو تسلیم کریں۔</v>
      </c>
      <c r="N149" s="6" t="str">
        <f>IFERROR(__xludf.DUMMYFUNCTION("GOOGLETRANSLATE(E149, ""en"", ""ur"")"),"بہت دور سے، گھر پر ڈنڈا مارنے کا امکان تقریباً صفر ہے، اس لیے فیلڈرز اکثر وقت بچانے کے لیے پیمائش کو تسلیم کرتے ہیں۔")</f>
        <v>بہت دور سے، گھر پر ڈنڈا مارنے کا امکان تقریباً صفر ہے، اس لیے فیلڈرز اکثر وقت بچانے کے لیے پیمائش کو تسلیم کرتے ہیں۔</v>
      </c>
    </row>
    <row r="150">
      <c r="A150" s="4">
        <v>149.0</v>
      </c>
      <c r="B150" s="5" t="s">
        <v>2566</v>
      </c>
      <c r="C150" s="5" t="s">
        <v>2567</v>
      </c>
      <c r="D150" s="5" t="s">
        <v>2568</v>
      </c>
      <c r="E150" s="5" t="s">
        <v>2569</v>
      </c>
      <c r="J150" s="6" t="str">
        <f>IFERROR(__xludf.DUMMYFUNCTION("GOOGLETRANSLATE(A150, ""en"", ""ur"")"),"149")</f>
        <v>149</v>
      </c>
      <c r="K150" s="6" t="str">
        <f>IFERROR(__xludf.DUMMYFUNCTION("GOOGLETRANSLATE(B150, ""en"", ""ur"")"),"دیہی دیہات میں گلی ڈنڈا کیسے کھیلا جاتا ہے؟")</f>
        <v>دیہی دیہات میں گلی ڈنڈا کیسے کھیلا جاتا ہے؟</v>
      </c>
      <c r="L150" s="6" t="str">
        <f>IFERROR(__xludf.DUMMYFUNCTION("GOOGLETRANSLATE(C150, ""en"", ""ur"")"),"A) رسمی قواعد اور امپائرز کے ساتھ، B) غیر رسمی طور پر کھلے میدانوں میں بات چیت کے اصولوں کے ساتھ، C) صرف تہواروں کے دوران، D) ایک پیشہ ور لیگ کے طور پر")</f>
        <v>A) رسمی قواعد اور امپائرز کے ساتھ، B) غیر رسمی طور پر کھلے میدانوں میں بات چیت کے اصولوں کے ساتھ، C) صرف تہواروں کے دوران، D) ایک پیشہ ور لیگ کے طور پر</v>
      </c>
      <c r="M150" s="6" t="str">
        <f>IFERROR(__xludf.DUMMYFUNCTION("GOOGLETRANSLATE(D150, ""en"", ""ur"")"),"ب) غیر رسمی طور پر کھلے میدانوں میں بات چیت کے اصولوں کے ساتھ")</f>
        <v>ب) غیر رسمی طور پر کھلے میدانوں میں بات چیت کے اصولوں کے ساتھ</v>
      </c>
      <c r="N150" s="6" t="str">
        <f>IFERROR(__xludf.DUMMYFUNCTION("GOOGLETRANSLATE(E150, ""en"", ""ur"")"),"یہ کھیل ایک کلاسک لوک کھیل ہے، جس کے قواعد اکثر ایک گاؤں سے دوسرے گاؤں میں مختلف ہوتے ہیں اور کھیلنے سے پہلے ان پر اتفاق کیا جاتا ہے۔")</f>
        <v>یہ کھیل ایک کلاسک لوک کھیل ہے، جس کے قواعد اکثر ایک گاؤں سے دوسرے گاؤں میں مختلف ہوتے ہیں اور کھیلنے سے پہلے ان پر اتفاق کیا جاتا ہے۔</v>
      </c>
    </row>
    <row r="151">
      <c r="A151" s="4">
        <v>150.0</v>
      </c>
      <c r="B151" s="5" t="s">
        <v>2570</v>
      </c>
      <c r="C151" s="5" t="s">
        <v>2571</v>
      </c>
      <c r="D151" s="5" t="s">
        <v>2572</v>
      </c>
      <c r="E151" s="5" t="s">
        <v>2573</v>
      </c>
      <c r="J151" s="6" t="str">
        <f>IFERROR(__xludf.DUMMYFUNCTION("GOOGLETRANSLATE(A151, ""en"", ""ur"")"),"150")</f>
        <v>150</v>
      </c>
      <c r="K151" s="6" t="str">
        <f>IFERROR(__xludf.DUMMYFUNCTION("GOOGLETRANSLATE(B151, ""en"", ""ur"")"),"کونسی تاریخی دستاویز میں گلی ڈنڈا کی طرح چھڑی اور کھونٹی کے کھیل کا حوالہ ملتا ہے؟")</f>
        <v>کونسی تاریخی دستاویز میں گلی ڈنڈا کی طرح چھڑی اور کھونٹی کے کھیل کا حوالہ ملتا ہے؟</v>
      </c>
      <c r="L151" s="6" t="str">
        <f>IFERROR(__xludf.DUMMYFUNCTION("GOOGLETRANSLATE(C151, ""en"", ""ur"")"),"A) میگنا کارٹا، B) ہمورابی کا ضابطہ، C) مغل بادشاہ بابر کی یادداشتیں، D) دی مصری بک آف دی ڈیڈ")</f>
        <v>A) میگنا کارٹا، B) ہمورابی کا ضابطہ، C) مغل بادشاہ بابر کی یادداشتیں، D) دی مصری بک آف دی ڈیڈ</v>
      </c>
      <c r="M151" s="6" t="str">
        <f>IFERROR(__xludf.DUMMYFUNCTION("GOOGLETRANSLATE(D151, ""en"", ""ur"")"),"ج) مغل بادشاہ بابر کی یادداشتیں")</f>
        <v>ج) مغل بادشاہ بابر کی یادداشتیں</v>
      </c>
      <c r="N151" s="6" t="str">
        <f>IFERROR(__xludf.DUMMYFUNCTION("GOOGLETRANSLATE(E151, ""en"", ""ur"")"),"بابرنامہ میں برصغیر میں روزمرہ کی زندگی اور تفریحات کی تفصیل شامل ہے، جس میں مختلف لوک کھیلوں کے حوالے بھی شامل ہیں۔")</f>
        <v>بابرنامہ میں برصغیر میں روزمرہ کی زندگی اور تفریحات کی تفصیل شامل ہے، جس میں مختلف لوک کھیلوں کے حوالے بھی شامل ہیں۔</v>
      </c>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12" max="15" width="37.63"/>
  </cols>
  <sheetData>
    <row r="1">
      <c r="A1" s="2" t="s">
        <v>0</v>
      </c>
      <c r="B1" s="2" t="s">
        <v>1</v>
      </c>
      <c r="C1" s="2" t="s">
        <v>2</v>
      </c>
      <c r="D1" s="2" t="s">
        <v>3</v>
      </c>
      <c r="E1" s="2" t="s">
        <v>4</v>
      </c>
      <c r="K1" s="3" t="s">
        <v>5</v>
      </c>
      <c r="L1" s="3" t="s">
        <v>6</v>
      </c>
      <c r="M1" s="3" t="s">
        <v>7</v>
      </c>
      <c r="N1" s="3" t="s">
        <v>8</v>
      </c>
      <c r="O1" s="3" t="s">
        <v>9</v>
      </c>
    </row>
    <row r="2">
      <c r="A2" s="4">
        <v>1.0</v>
      </c>
      <c r="B2" s="5" t="s">
        <v>2574</v>
      </c>
      <c r="C2" s="5" t="s">
        <v>2575</v>
      </c>
      <c r="D2" s="5" t="s">
        <v>2576</v>
      </c>
      <c r="E2" s="5" t="s">
        <v>2577</v>
      </c>
      <c r="K2" s="6" t="str">
        <f>IFERROR(__xludf.DUMMYFUNCTION("GOOGLETRANSLATE(A2, ""en"", ""ur"")"),"1")</f>
        <v>1</v>
      </c>
      <c r="L2" s="6" t="str">
        <f>IFERROR(__xludf.DUMMYFUNCTION("GOOGLETRANSLATE(B2, ""en"", ""ur"")"),"لاہور میں ٹینٹ پیگنگ کے فائنل میں، ایک سوار کامیابی کے ساتھ اسٹرائیک کرتا ہے اور پیگ کو ختم لائن کے پار لے جاتا ہے۔ اس کامیابی کو کیا کہتے ہیں اور کتنے پوائنٹس حاصل کرتے ہیں؟")</f>
        <v>لاہور میں ٹینٹ پیگنگ کے فائنل میں، ایک سوار کامیابی کے ساتھ اسٹرائیک کرتا ہے اور پیگ کو ختم لائن کے پار لے جاتا ہے۔ اس کامیابی کو کیا کہتے ہیں اور کتنے پوائنٹس حاصل کرتے ہیں؟</v>
      </c>
      <c r="M2" s="6" t="str">
        <f>IFERROR(__xludf.DUMMYFUNCTION("GOOGLETRANSLATE(C2, ""en"", ""ur"")"),"A) ایک ڈراون پیگ، 2 پوائنٹس، B) ایک مکمل پیگ، 6 پوائنٹس، C) ایک پرفیکٹ اسٹرائیک، 10 پوائنٹس، D) ایک کیری، 4 پوائنٹس")</f>
        <v>A) ایک ڈراون پیگ، 2 پوائنٹس، B) ایک مکمل پیگ، 6 پوائنٹس، C) ایک پرفیکٹ اسٹرائیک، 10 پوائنٹس، D) ایک کیری، 4 پوائنٹس</v>
      </c>
      <c r="N2" s="6" t="str">
        <f>IFERROR(__xludf.DUMMYFUNCTION("GOOGLETRANSLATE(D2, ""en"", ""ur"")"),"ب) ایک مکمل پیگ، 6 پوائنٹس")</f>
        <v>ب) ایک مکمل پیگ، 6 پوائنٹس</v>
      </c>
      <c r="O2" s="6" t="str">
        <f>IFERROR(__xludf.DUMMYFUNCTION("GOOGLETRANSLATE(E2, ""en"", ""ur"")"),"پیگ کو کامیابی کے ساتھ ختم کرنا اور لے جانا بنیادی مقصد ہے، جسے ""مکمل پیگ"" کہا جاتا ہے اور اسے 6 پوائنٹس سے نوازا جاتا ہے۔")</f>
        <v>پیگ کو کامیابی کے ساتھ ختم کرنا اور لے جانا بنیادی مقصد ہے، جسے "مکمل پیگ" کہا جاتا ہے اور اسے 6 پوائنٹس سے نوازا جاتا ہے۔</v>
      </c>
    </row>
    <row r="3">
      <c r="A3" s="4">
        <v>2.0</v>
      </c>
      <c r="B3" s="5" t="s">
        <v>2578</v>
      </c>
      <c r="C3" s="5" t="s">
        <v>2579</v>
      </c>
      <c r="D3" s="5" t="s">
        <v>2580</v>
      </c>
      <c r="E3" s="5" t="s">
        <v>2581</v>
      </c>
      <c r="K3" s="6" t="str">
        <f>IFERROR(__xludf.DUMMYFUNCTION("GOOGLETRANSLATE(A3, ""en"", ""ur"")"),"2")</f>
        <v>2</v>
      </c>
      <c r="L3" s="6" t="str">
        <f>IFERROR(__xludf.DUMMYFUNCTION("GOOGLETRANSLATE(B3, ""en"", ""ur"")"),"سبی میلے میں ایک سوار اپنی 100 میٹر کی دوڑ 9 سیکنڈ میں مکمل کرتا ہے۔ ایونٹ کے لیے وقت کی حد 8 سیکنڈ ہے۔ اس کا کیا حکم ہے؟")</f>
        <v>سبی میلے میں ایک سوار اپنی 100 میٹر کی دوڑ 9 سیکنڈ میں مکمل کرتا ہے۔ ایونٹ کے لیے وقت کی حد 8 سیکنڈ ہے۔ اس کا کیا حکم ہے؟</v>
      </c>
      <c r="M3" s="6" t="str">
        <f>IFERROR(__xludf.DUMMYFUNCTION("GOOGLETRANSLATE(C3, ""en"", ""ur"")"),"A) سوار پیگ کے لیے پورے پوائنٹس اسکور کرتا ہے، B) اس رن کے لیے سوار کا سکور وقت کی خرابی کی وجہ سے صفر ہے، C) اس کے سکور سے 2 پوائنٹس کاٹے جاتے ہیں، D) سوار کو دوبارہ رن دیا جاتا ہے۔")</f>
        <v>A) سوار پیگ کے لیے پورے پوائنٹس اسکور کرتا ہے، B) اس رن کے لیے سوار کا سکور وقت کی خرابی کی وجہ سے صفر ہے، C) اس کے سکور سے 2 پوائنٹس کاٹے جاتے ہیں، D) سوار کو دوبارہ رن دیا جاتا ہے۔</v>
      </c>
      <c r="N3" s="6" t="str">
        <f>IFERROR(__xludf.DUMMYFUNCTION("GOOGLETRANSLATE(D3, ""en"", ""ur"")"),"ب) وقت کی خرابی کی وجہ سے اس رن کے لیے سوار کا سکور صفر ہے۔")</f>
        <v>ب) وقت کی خرابی کی وجہ سے اس رن کے لیے سوار کا سکور صفر ہے۔</v>
      </c>
      <c r="O3" s="6" t="str">
        <f>IFERROR(__xludf.DUMMYFUNCTION("GOOGLETRANSLATE(E3, ""en"", ""ur"")"),"وقت کی حد سخت ہے۔ اس سے تجاوز کرنے سے، یہاں تک کہ ایک چھوٹے فرق سے، اس رن کے لیے صفر کے اسکور کا نتیجہ ہوتا ہے، قطع نظر اس کے کہ پیگ جمع کیا گیا تھا۔")</f>
        <v>وقت کی حد سخت ہے۔ اس سے تجاوز کرنے سے، یہاں تک کہ ایک چھوٹے فرق سے، اس رن کے لیے صفر کے اسکور کا نتیجہ ہوتا ہے، قطع نظر اس کے کہ پیگ جمع کیا گیا تھا۔</v>
      </c>
    </row>
    <row r="4">
      <c r="A4" s="4">
        <v>3.0</v>
      </c>
      <c r="B4" s="5" t="s">
        <v>2582</v>
      </c>
      <c r="C4" s="5" t="s">
        <v>2583</v>
      </c>
      <c r="D4" s="5" t="s">
        <v>2584</v>
      </c>
      <c r="E4" s="5" t="s">
        <v>2585</v>
      </c>
      <c r="K4" s="6" t="str">
        <f>IFERROR(__xludf.DUMMYFUNCTION("GOOGLETRANSLATE(A4, ""en"", ""ur"")"),"3")</f>
        <v>3</v>
      </c>
      <c r="L4" s="6" t="str">
        <f>IFERROR(__xludf.DUMMYFUNCTION("GOOGLETRANSLATE(B4, ""en"", ""ur"")"),"ایک ٹیم ایونٹ کے دوران، سوار کا گھوڑا تیزی سے مڑتا ہے اور ٹیم کے ساتھی کی لین میں داخل ہوتا ہے، جس کی وجہ سے وہ الجھ جاتا ہے۔ اس کی سزا کیا ہے؟")</f>
        <v>ایک ٹیم ایونٹ کے دوران، سوار کا گھوڑا تیزی سے مڑتا ہے اور ٹیم کے ساتھی کی لین میں داخل ہوتا ہے، جس کی وجہ سے وہ الجھ جاتا ہے۔ اس کی سزا کیا ہے؟</v>
      </c>
      <c r="M4" s="6" t="str">
        <f>IFERROR(__xludf.DUMMYFUNCTION("GOOGLETRANSLATE(C4, ""en"", ""ur"")"),"A) کوئی جرمانہ نہیں ہے، B) لین عبور کرنے والے سوار کو خطرناک سواری کے لیے اس رن سے نااہل قرار دیا جاتا ہے، C) پوری ٹیم کو نااہل قرار دیا جاتا ہے، D) ٹیم کو 2 پوائنٹ کا جرمانہ ملتا ہے۔")</f>
        <v>A) کوئی جرمانہ نہیں ہے، B) لین عبور کرنے والے سوار کو خطرناک سواری کے لیے اس رن سے نااہل قرار دیا جاتا ہے، C) پوری ٹیم کو نااہل قرار دیا جاتا ہے، D) ٹیم کو 2 پوائنٹ کا جرمانہ ملتا ہے۔</v>
      </c>
      <c r="N4" s="6" t="str">
        <f>IFERROR(__xludf.DUMMYFUNCTION("GOOGLETRANSLATE(D4, ""en"", ""ur"")"),"ب) لین عبور کرنے والے سوار کو خطرناک سواری کے لیے اس دوڑ سے نااہل قرار دیا جاتا ہے۔")</f>
        <v>ب) لین عبور کرنے والے سوار کو خطرناک سواری کے لیے اس دوڑ سے نااہل قرار دیا جاتا ہے۔</v>
      </c>
      <c r="O4" s="6" t="str">
        <f>IFERROR(__xludf.DUMMYFUNCTION("GOOGLETRANSLATE(E4, ""en"", ""ur"")"),"ٹیم ایونٹس میں اپنی لین کو برقرار رکھنا ایک اہم حفاظتی اصول ہے۔ دوسری لین میں داخل ہونا اور مداخلت کا باعث بننا ایک سنگین فُل ہے۔")</f>
        <v>ٹیم ایونٹس میں اپنی لین کو برقرار رکھنا ایک اہم حفاظتی اصول ہے۔ دوسری لین میں داخل ہونا اور مداخلت کا باعث بننا ایک سنگین فُل ہے۔</v>
      </c>
    </row>
    <row r="5">
      <c r="A5" s="4">
        <v>4.0</v>
      </c>
      <c r="B5" s="5" t="s">
        <v>2586</v>
      </c>
      <c r="C5" s="5" t="s">
        <v>2587</v>
      </c>
      <c r="D5" s="5" t="s">
        <v>2588</v>
      </c>
      <c r="E5" s="5" t="s">
        <v>2589</v>
      </c>
      <c r="K5" s="6" t="str">
        <f>IFERROR(__xludf.DUMMYFUNCTION("GOOGLETRANSLATE(A5, ""en"", ""ur"")"),"4")</f>
        <v>4</v>
      </c>
      <c r="L5" s="6" t="str">
        <f>IFERROR(__xludf.DUMMYFUNCTION("GOOGLETRANSLATE(B5, ""en"", ""ur"")"),"ایک سوار کو ایسا لانس استعمال کرنے پر نااہل قرار دیا جاتا ہے جو کم از کم ریگولیٹڈ لمبائی سے چھوٹا ہو۔ یہ اصول کیوں موجود ہے؟")</f>
        <v>ایک سوار کو ایسا لانس استعمال کرنے پر نااہل قرار دیا جاتا ہے جو کم از کم ریگولیٹڈ لمبائی سے چھوٹا ہو۔ یہ اصول کیوں موجود ہے؟</v>
      </c>
      <c r="M5" s="6" t="str">
        <f>IFERROR(__xludf.DUMMYFUNCTION("GOOGLETRANSLATE(C5, ""en"", ""ur"")"),"A) کھیل کو مشکل بنانے کے لیے، B) غیر منصفانہ فائدے کو روکنے کے لیے، جیسا کہ ایک چھوٹا لانس کنٹرول اور مقصد میں آسان ہے، C) صرف روایتی وجوہات کی بناء پر، D) گھوڑے کی حفاظت کرنا")</f>
        <v>A) کھیل کو مشکل بنانے کے لیے، B) غیر منصفانہ فائدے کو روکنے کے لیے، جیسا کہ ایک چھوٹا لانس کنٹرول اور مقصد میں آسان ہے، C) صرف روایتی وجوہات کی بناء پر، D) گھوڑے کی حفاظت کرنا</v>
      </c>
      <c r="N5" s="6" t="str">
        <f>IFERROR(__xludf.DUMMYFUNCTION("GOOGLETRANSLATE(D5, ""en"", ""ur"")"),"ب) غیر منصفانہ فائدہ کو روکنے کے لیے، کیونکہ ایک چھوٹا لانس کنٹرول اور مقصد میں آسان ہے۔")</f>
        <v>ب) غیر منصفانہ فائدہ کو روکنے کے لیے، کیونکہ ایک چھوٹا لانس کنٹرول اور مقصد میں آسان ہے۔</v>
      </c>
      <c r="O5" s="6" t="str">
        <f>IFERROR(__xludf.DUMMYFUNCTION("GOOGLETRANSLATE(E5, ""en"", ""ur"")"),"اس بات کو یقینی بنانے کے لیے آلات کی تصریحات کو معیاری بنایا گیا ہے کہ تمام حریف ایک ہی سطح کے چیلنج کا سامنا کریں اور کھیل مہارت کا امتحان ہے، سازوسامان کا نہیں۔")</f>
        <v>اس بات کو یقینی بنانے کے لیے آلات کی تصریحات کو معیاری بنایا گیا ہے کہ تمام حریف ایک ہی سطح کے چیلنج کا سامنا کریں اور کھیل مہارت کا امتحان ہے، سازوسامان کا نہیں۔</v>
      </c>
    </row>
    <row r="6">
      <c r="A6" s="4">
        <v>5.0</v>
      </c>
      <c r="B6" s="5" t="s">
        <v>2590</v>
      </c>
      <c r="C6" s="5" t="s">
        <v>2591</v>
      </c>
      <c r="D6" s="5" t="s">
        <v>2592</v>
      </c>
      <c r="E6" s="5" t="s">
        <v>2593</v>
      </c>
      <c r="K6" s="6" t="str">
        <f>IFERROR(__xludf.DUMMYFUNCTION("GOOGLETRANSLATE(A6, ""en"", ""ur"")"),"5")</f>
        <v>5</v>
      </c>
      <c r="L6" s="6" t="str">
        <f>IFERROR(__xludf.DUMMYFUNCTION("GOOGLETRANSLATE(B6, ""en"", ""ur"")"),"ایک ""لیموں کی کٹنگ"" ایونٹ میں، ایک سوار تیزی سے گزرتا ہے اور اپنی تلوار سے معلق لیموں کو صاف طور پر دو حصوں میں کاٹ دیتا ہے۔ کیا یہ درست سکور ہے؟")</f>
        <v>ایک "لیموں کی کٹنگ" ایونٹ میں، ایک سوار تیزی سے گزرتا ہے اور اپنی تلوار سے معلق لیموں کو صاف طور پر دو حصوں میں کاٹ دیتا ہے۔ کیا یہ درست سکور ہے؟</v>
      </c>
      <c r="M6" s="6" t="str">
        <f>IFERROR(__xludf.DUMMYFUNCTION("GOOGLETRANSLATE(C6, ""en"", ""ur"")"),"A) نہیں، تلواروں کی اجازت نہیں ہے، B) ہاں، یہ تقریب کا بنیادی مقصد ہے، C) نہیں، لیموں کو نیزہ مارنا چاہیے، D) صرف اس صورت میں جب سوار کوئی ٹکڑا پکڑ لے")</f>
        <v>A) نہیں، تلواروں کی اجازت نہیں ہے، B) ہاں، یہ تقریب کا بنیادی مقصد ہے، C) نہیں، لیموں کو نیزہ مارنا چاہیے، D) صرف اس صورت میں جب سوار کوئی ٹکڑا پکڑ لے</v>
      </c>
      <c r="N6" s="6" t="str">
        <f>IFERROR(__xludf.DUMMYFUNCTION("GOOGLETRANSLATE(D6, ""en"", ""ur"")"),"ب) جی ہاں، یہ واقعہ کا بنیادی مقصد ہے۔")</f>
        <v>ب) جی ہاں، یہ واقعہ کا بنیادی مقصد ہے۔</v>
      </c>
      <c r="O6" s="6" t="str">
        <f>IFERROR(__xludf.DUMMYFUNCTION("GOOGLETRANSLATE(E6, ""en"", ""ur"")"),"لیموں کی کٹنگ ""ہنر پر ہتھیار"" کے زمرے میں ایک مخصوص ڈسپلن ہے جو سوار کی تلواروں کی مہارت اور درستگی کو جانچتی ہے۔")</f>
        <v>لیموں کی کٹنگ "ہنر پر ہتھیار" کے زمرے میں ایک مخصوص ڈسپلن ہے جو سوار کی تلواروں کی مہارت اور درستگی کو جانچتی ہے۔</v>
      </c>
    </row>
    <row r="7">
      <c r="A7" s="4">
        <v>6.0</v>
      </c>
      <c r="B7" s="5" t="s">
        <v>2594</v>
      </c>
      <c r="C7" s="5" t="s">
        <v>2595</v>
      </c>
      <c r="D7" s="5" t="s">
        <v>2596</v>
      </c>
      <c r="E7" s="5" t="s">
        <v>2597</v>
      </c>
      <c r="K7" s="6" t="str">
        <f>IFERROR(__xludf.DUMMYFUNCTION("GOOGLETRANSLATE(A7, ""en"", ""ur"")"),"6")</f>
        <v>6</v>
      </c>
      <c r="L7" s="6" t="str">
        <f>IFERROR(__xludf.DUMMYFUNCTION("GOOGLETRANSLATE(B7, ""en"", ""ur"")"),"ایک سوار کامیابی کے ساتھ کھونٹی کو زمین سے اٹھا لیتا ہے، لیکن یہ ختم لائن کو عبور کرنے سے پہلے ہی لانس سے گر جاتا ہے۔ یہ کس طرح اسکور کیا جاتا ہے؟")</f>
        <v>ایک سوار کامیابی کے ساتھ کھونٹی کو زمین سے اٹھا لیتا ہے، لیکن یہ ختم لائن کو عبور کرنے سے پہلے ہی لانس سے گر جاتا ہے۔ یہ کس طرح اسکور کیا جاتا ہے؟</v>
      </c>
      <c r="M7" s="6" t="str">
        <f>IFERROR(__xludf.DUMMYFUNCTION("GOOGLETRANSLATE(C7, ""en"", ""ur"")"),"A) ایک مکمل پیگ (6 پوائنٹس)، B) ایک ڈراون پیگ (2 پوائنٹس)، C) زیرو پوائنٹس، D) رن دوبارہ چلایا جاتا ہے")</f>
        <v>A) ایک مکمل پیگ (6 پوائنٹس)، B) ایک ڈراون پیگ (2 پوائنٹس)، C) زیرو پوائنٹس، D) رن دوبارہ چلایا جاتا ہے</v>
      </c>
      <c r="N7" s="6" t="str">
        <f>IFERROR(__xludf.DUMMYFUNCTION("GOOGLETRANSLATE(D7, ""en"", ""ur"")"),"C) زیرو پوائنٹس")</f>
        <v>C) زیرو پوائنٹس</v>
      </c>
      <c r="O7" s="6" t="str">
        <f>IFERROR(__xludf.DUMMYFUNCTION("GOOGLETRANSLATE(E7, ""en"", ""ur"")"),"کوئی بھی پوائنٹ حاصل کرنے کے لیے، پیگ کو ختم لائن کے پار لے جانا چاہیے۔ لائن سے پہلے اسے گرانے سے اس رن کا اسکور صفر ہوتا ہے۔")</f>
        <v>کوئی بھی پوائنٹ حاصل کرنے کے لیے، پیگ کو ختم لائن کے پار لے جانا چاہیے۔ لائن سے پہلے اسے گرانے سے اس رن کا اسکور صفر ہوتا ہے۔</v>
      </c>
    </row>
    <row r="8">
      <c r="A8" s="4">
        <v>7.0</v>
      </c>
      <c r="B8" s="5" t="s">
        <v>2598</v>
      </c>
      <c r="C8" s="5" t="s">
        <v>2599</v>
      </c>
      <c r="D8" s="5" t="s">
        <v>2600</v>
      </c>
      <c r="E8" s="5" t="s">
        <v>2601</v>
      </c>
      <c r="K8" s="6" t="str">
        <f>IFERROR(__xludf.DUMMYFUNCTION("GOOGLETRANSLATE(A8, ""en"", ""ur"")"),"7")</f>
        <v>7</v>
      </c>
      <c r="L8" s="6" t="str">
        <f>IFERROR(__xludf.DUMMYFUNCTION("GOOGLETRANSLATE(B8, ""en"", ""ur"")"),"ایک سوار کا گھوڑا سرکاری سگنل سے پہلے سٹارٹ لائن کو عبور کرتے ہوئے غلط آغاز کرتا ہے۔ اس کا فوری نتیجہ کیا ہے؟")</f>
        <v>ایک سوار کا گھوڑا سرکاری سگنل سے پہلے سٹارٹ لائن کو عبور کرتے ہوئے غلط آغاز کرتا ہے۔ اس کا فوری نتیجہ کیا ہے؟</v>
      </c>
      <c r="M8" s="6" t="str">
        <f>IFERROR(__xludf.DUMMYFUNCTION("GOOGLETRANSLATE(C8, ""en"", ""ur"")"),"A) 2 نکاتی جرمانہ لاگو کیا جاتا ہے، B) سوار کو اس دوڑ سے نااہل قرار دیا جاتا ہے، C) ایک زبانی وارننگ جاری کی جاتی ہے، D) سوار کو دوبارہ شروع کرنے کی اجازت ہوتی ہے۔")</f>
        <v>A) 2 نکاتی جرمانہ لاگو کیا جاتا ہے، B) سوار کو اس دوڑ سے نااہل قرار دیا جاتا ہے، C) ایک زبانی وارننگ جاری کی جاتی ہے، D) سوار کو دوبارہ شروع کرنے کی اجازت ہوتی ہے۔</v>
      </c>
      <c r="N8" s="6" t="str">
        <f>IFERROR(__xludf.DUMMYFUNCTION("GOOGLETRANSLATE(D8, ""en"", ""ur"")"),"ب) سوار اس رن سے نااہل ہو گیا ہے۔")</f>
        <v>ب) سوار اس رن سے نااہل ہو گیا ہے۔</v>
      </c>
      <c r="O8" s="6" t="str">
        <f>IFERROR(__xludf.DUMMYFUNCTION("GOOGLETRANSLATE(E8, ""en"", ""ur"")"),"غلط آغاز طریقہ کار کی واضح خلاف ورزی ہے، اور اس مخصوص رن کی کوشش صفر کے اسکور کے ساتھ کالعدم ہو جاتی ہے۔")</f>
        <v>غلط آغاز طریقہ کار کی واضح خلاف ورزی ہے، اور اس مخصوص رن کی کوشش صفر کے اسکور کے ساتھ کالعدم ہو جاتی ہے۔</v>
      </c>
    </row>
    <row r="9">
      <c r="A9" s="4">
        <v>8.0</v>
      </c>
      <c r="B9" s="5" t="s">
        <v>2602</v>
      </c>
      <c r="C9" s="5" t="s">
        <v>2603</v>
      </c>
      <c r="D9" s="5" t="s">
        <v>2604</v>
      </c>
      <c r="E9" s="5" t="s">
        <v>2605</v>
      </c>
      <c r="K9" s="6" t="str">
        <f>IFERROR(__xludf.DUMMYFUNCTION("GOOGLETRANSLATE(A9, ""en"", ""ur"")"),"8")</f>
        <v>8</v>
      </c>
      <c r="L9" s="6" t="str">
        <f>IFERROR(__xludf.DUMMYFUNCTION("GOOGLETRANSLATE(B9, ""en"", ""ur"")"),"دوڑ کے دوران، سوار کا لانس کھونٹی تک پہنچنے سے پہلے غلطی سے زمین کو چھوتا ہے۔ اس کا کیا حکم ہے؟")</f>
        <v>دوڑ کے دوران، سوار کا لانس کھونٹی تک پہنچنے سے پہلے غلطی سے زمین کو چھوتا ہے۔ اس کا کیا حکم ہے؟</v>
      </c>
      <c r="M9" s="6" t="str">
        <f>IFERROR(__xludf.DUMMYFUNCTION("GOOGLETRANSLATE(C9, ""en"", ""ur"")"),"A) بغیر کسی جرمانے کے رن جاری رہتا ہے، B) ان کے سکور سے 2 پوائنٹ کا جرمانہ کاٹا جاتا ہے، C) رن کو فوری طور پر نااہل قرار دیا جاتا ہے (صفر کا سکور)، D) وارننگ جاری کی جاتی ہے۔")</f>
        <v>A) بغیر کسی جرمانے کے رن جاری رہتا ہے، B) ان کے سکور سے 2 پوائنٹ کا جرمانہ کاٹا جاتا ہے، C) رن کو فوری طور پر نااہل قرار دیا جاتا ہے (صفر کا سکور)، D) وارننگ جاری کی جاتی ہے۔</v>
      </c>
      <c r="N9" s="6" t="str">
        <f>IFERROR(__xludf.DUMMYFUNCTION("GOOGLETRANSLATE(D9, ""en"", ""ur"")"),"C) رن کو فوری طور پر نااہل قرار دیا جاتا ہے (صفر کا سکور)")</f>
        <v>C) رن کو فوری طور پر نااہل قرار دیا جاتا ہے (صفر کا سکور)</v>
      </c>
      <c r="O9" s="6" t="str">
        <f>IFERROR(__xludf.DUMMYFUNCTION("GOOGLETRANSLATE(E9, ""en"", ""ur"")"),"سوار کو اپنا ہتھیار صاف رکھنا چاہیے۔ نشانے سے پہلے زمین کو لانس سے چھونا ایک ایسا فاؤل ہے ​​جو کوشش کو ناکام بنا دیتا ہے۔")</f>
        <v>سوار کو اپنا ہتھیار صاف رکھنا چاہیے۔ نشانے سے پہلے زمین کو لانس سے چھونا ایک ایسا فاؤل ہے ​​جو کوشش کو ناکام بنا دیتا ہے۔</v>
      </c>
    </row>
    <row r="10">
      <c r="A10" s="4">
        <v>9.0</v>
      </c>
      <c r="B10" s="5" t="s">
        <v>2606</v>
      </c>
      <c r="C10" s="5" t="s">
        <v>2607</v>
      </c>
      <c r="D10" s="5" t="s">
        <v>2608</v>
      </c>
      <c r="E10" s="5" t="s">
        <v>2609</v>
      </c>
      <c r="K10" s="6" t="str">
        <f>IFERROR(__xludf.DUMMYFUNCTION("GOOGLETRANSLATE(A10, ""en"", ""ur"")"),"9")</f>
        <v>9</v>
      </c>
      <c r="L10" s="6" t="str">
        <f>IFERROR(__xludf.DUMMYFUNCTION("GOOGLETRANSLATE(B10, ""en"", ""ur"")"),"ٹیم ریلے ایونٹ میں، پہلا سوار دوسرے سوار کے حوالے کرنے کے دوران لانس گراتا ہے۔ ٹیم کا نتیجہ کیا ہے؟")</f>
        <v>ٹیم ریلے ایونٹ میں، پہلا سوار دوسرے سوار کے حوالے کرنے کے دوران لانس گراتا ہے۔ ٹیم کا نتیجہ کیا ہے؟</v>
      </c>
      <c r="M10" s="6" t="str">
        <f>IFERROR(__xludf.DUMMYFUNCTION("GOOGLETRANSLATE(C10, ""en"", ""ur"")"),"A) ٹیم کو فوری طور پر نااہل قرار دیا جاتا ہے، B) ٹیم کے کل وقت میں ایک وقت کا جرمانہ شامل کیا جاتا ہے، C) دوسرا سوار اسے اٹھا سکتا ہے اور بغیر کسی جرمانے کے جاری رکھ سکتا ہے، D) راؤنڈ کو دوبارہ چلایا جانا چاہیے۔")</f>
        <v>A) ٹیم کو فوری طور پر نااہل قرار دیا جاتا ہے، B) ٹیم کے کل وقت میں ایک وقت کا جرمانہ شامل کیا جاتا ہے، C) دوسرا سوار اسے اٹھا سکتا ہے اور بغیر کسی جرمانے کے جاری رکھ سکتا ہے، D) راؤنڈ کو دوبارہ چلایا جانا چاہیے۔</v>
      </c>
      <c r="N10" s="6" t="str">
        <f>IFERROR(__xludf.DUMMYFUNCTION("GOOGLETRANSLATE(D10, ""en"", ""ur"")"),"ب) ٹیم کے کل وقت میں ایک وقت کا جرمانہ شامل کیا جاتا ہے۔")</f>
        <v>ب) ٹیم کے کل وقت میں ایک وقت کا جرمانہ شامل کیا جاتا ہے۔</v>
      </c>
      <c r="O10" s="6" t="str">
        <f>IFERROR(__xludf.DUMMYFUNCTION("GOOGLETRANSLATE(E10, ""en"", ""ur"")"),"ریلے ہینڈ اوور کے دوران لانس کو گرانا ایک غلطی ہے جس پر وقت کا جرمانہ عائد ہوتا ہے، لیکن یہ ٹیم کو ایونٹ سے نااہل نہیں کرتا۔")</f>
        <v>ریلے ہینڈ اوور کے دوران لانس کو گرانا ایک غلطی ہے جس پر وقت کا جرمانہ عائد ہوتا ہے، لیکن یہ ٹیم کو ایونٹ سے نااہل نہیں کرتا۔</v>
      </c>
    </row>
    <row r="11">
      <c r="A11" s="4">
        <v>10.0</v>
      </c>
      <c r="B11" s="5" t="s">
        <v>2610</v>
      </c>
      <c r="C11" s="5" t="s">
        <v>2611</v>
      </c>
      <c r="D11" s="5" t="s">
        <v>2612</v>
      </c>
      <c r="E11" s="5" t="s">
        <v>2613</v>
      </c>
      <c r="K11" s="6" t="str">
        <f>IFERROR(__xludf.DUMMYFUNCTION("GOOGLETRANSLATE(A11, ""en"", ""ur"")"),"10")</f>
        <v>10</v>
      </c>
      <c r="L11" s="6" t="str">
        <f>IFERROR(__xludf.DUMMYFUNCTION("GOOGLETRANSLATE(B11, ""en"", ""ur"")"),"ایک سوار کھونٹی کو مارتا ہے، اسے زمین سے اکھاڑتا ہے۔ تاہم، وہ اسے اپنی لانس پر لے جانے سے قاصر ہیں۔ اس کو کیا کہتے ہیں اور کیسے اسکور کیا جاتا ہے؟")</f>
        <v>ایک سوار کھونٹی کو مارتا ہے، اسے زمین سے اکھاڑتا ہے۔ تاہم، وہ اسے اپنی لانس پر لے جانے سے قاصر ہیں۔ اس کو کیا کہتے ہیں اور کیسے اسکور کیا جاتا ہے؟</v>
      </c>
      <c r="M11" s="6" t="str">
        <f>IFERROR(__xludf.DUMMYFUNCTION("GOOGLETRANSLATE(C11, ""en"", ""ur"")"),"A) ایک مس، 0 پوائنٹس، B) ایک ہاف پیگ، 3 پوائنٹس، C) ایک ڈراون پیگ، 2 پوائنٹس، D) ایک فاول، -2 پوائنٹس")</f>
        <v>A) ایک مس، 0 پوائنٹس، B) ایک ہاف پیگ، 3 پوائنٹس، C) ایک ڈراون پیگ، 2 پوائنٹس، D) ایک فاول، -2 پوائنٹس</v>
      </c>
      <c r="N11" s="6" t="str">
        <f>IFERROR(__xludf.DUMMYFUNCTION("GOOGLETRANSLATE(D11, ""en"", ""ur"")"),"C) ایک ڈراون پیگ، 2 پوائنٹس")</f>
        <v>C) ایک ڈراون پیگ، 2 پوائنٹس</v>
      </c>
      <c r="O11" s="6" t="str">
        <f>IFERROR(__xludf.DUMMYFUNCTION("GOOGLETRANSLATE(E11, ""en"", ""ur"")"),"پیگ کو زمین سے کامیابی کے ساتھ ہٹانا لیکن اسے لے جانے میں ناکام رہنے کو ""ڈرا پیگ"" کہا جاتا ہے اور اسے 2 پوائنٹس کا جزوی اسکور دیا جاتا ہے۔")</f>
        <v>پیگ کو زمین سے کامیابی کے ساتھ ہٹانا لیکن اسے لے جانے میں ناکام رہنے کو "ڈرا پیگ" کہا جاتا ہے اور اسے 2 پوائنٹس کا جزوی اسکور دیا جاتا ہے۔</v>
      </c>
    </row>
    <row r="12">
      <c r="A12" s="4">
        <v>11.0</v>
      </c>
      <c r="B12" s="5" t="s">
        <v>2614</v>
      </c>
      <c r="C12" s="5" t="s">
        <v>2615</v>
      </c>
      <c r="D12" s="5" t="s">
        <v>2616</v>
      </c>
      <c r="E12" s="5" t="s">
        <v>2617</v>
      </c>
      <c r="K12" s="6" t="str">
        <f>IFERROR(__xludf.DUMMYFUNCTION("GOOGLETRANSLATE(A12, ""en"", ""ur"")"),"11")</f>
        <v>11</v>
      </c>
      <c r="L12" s="6" t="str">
        <f>IFERROR(__xludf.DUMMYFUNCTION("GOOGLETRANSLATE(B12, ""en"", ""ur"")"),"دوڑ کے دوران، ایک سوار ان کے گھوڑے سے گر جاتا ہے لیکن زخمی نہیں ہوتا ہے۔ اس دوڑ کا کیا حکم ہے؟")</f>
        <v>دوڑ کے دوران، ایک سوار ان کے گھوڑے سے گر جاتا ہے لیکن زخمی نہیں ہوتا ہے۔ اس دوڑ کا کیا حکم ہے؟</v>
      </c>
      <c r="M12" s="6" t="str">
        <f>IFERROR(__xludf.DUMMYFUNCTION("GOOGLETRANSLATE(C12, ""en"", ""ur"")"),"A) وہ دوبارہ ماؤنٹ کر سکتے ہیں اور رن کو مکمل کر سکتے ہیں، B) رن کو نااہل قرار دیا جاتا ہے اور اس کا سکور صفر ہوتا ہے، C) وہ پورے مقابلے سے باہر ہو جاتے ہیں، D) رن دوبارہ چلایا جاتا ہے۔")</f>
        <v>A) وہ دوبارہ ماؤنٹ کر سکتے ہیں اور رن کو مکمل کر سکتے ہیں، B) رن کو نااہل قرار دیا جاتا ہے اور اس کا سکور صفر ہوتا ہے، C) وہ پورے مقابلے سے باہر ہو جاتے ہیں، D) رن دوبارہ چلایا جاتا ہے۔</v>
      </c>
      <c r="N12" s="6" t="str">
        <f>IFERROR(__xludf.DUMMYFUNCTION("GOOGLETRANSLATE(D12, ""en"", ""ur"")"),"ب) رن کو نااہل قرار دیا گیا اور اسکور صفر ہے۔")</f>
        <v>ب) رن کو نااہل قرار دیا گیا اور اسکور صفر ہے۔</v>
      </c>
      <c r="O12" s="6" t="str">
        <f>IFERROR(__xludf.DUMMYFUNCTION("GOOGLETRANSLATE(E12, ""en"", ""ur"")"),"حفاظت کے لیے، کوئی بھی دوڑ جس میں سوار بغیر ہارسڈ ہو اسے فوری طور پر منسوخ کر دیا جاتا ہے، جس کے نتیجے میں اس کوشش کے لیے صفر کا سکور ہوتا ہے۔")</f>
        <v>حفاظت کے لیے، کوئی بھی دوڑ جس میں سوار بغیر ہارسڈ ہو اسے فوری طور پر منسوخ کر دیا جاتا ہے، جس کے نتیجے میں اس کوشش کے لیے صفر کا سکور ہوتا ہے۔</v>
      </c>
    </row>
    <row r="13">
      <c r="A13" s="4">
        <v>12.0</v>
      </c>
      <c r="B13" s="5" t="s">
        <v>2618</v>
      </c>
      <c r="C13" s="5" t="s">
        <v>2619</v>
      </c>
      <c r="D13" s="5" t="s">
        <v>2620</v>
      </c>
      <c r="E13" s="5" t="s">
        <v>2621</v>
      </c>
      <c r="K13" s="6" t="str">
        <f>IFERROR(__xludf.DUMMYFUNCTION("GOOGLETRANSLATE(A13, ""en"", ""ur"")"),"12")</f>
        <v>12</v>
      </c>
      <c r="L13" s="6" t="str">
        <f>IFERROR(__xludf.DUMMYFUNCTION("GOOGLETRANSLATE(B13, ""en"", ""ur"")"),"ایک ریفری گھوڑے کا معائنہ کرتا ہے اور اسے پتہ چلتا ہے کہ اس نے ممنوعہ پوشاک پہنا ہوا ہے، جیسا کہ گھوڑے کی نالیاں۔ سوار کے لئے کیا نتیجہ ہے؟")</f>
        <v>ایک ریفری گھوڑے کا معائنہ کرتا ہے اور اسے پتہ چلتا ہے کہ اس نے ممنوعہ پوشاک پہنا ہوا ہے، جیسا کہ گھوڑے کی نالیاں۔ سوار کے لئے کیا نتیجہ ہے؟</v>
      </c>
      <c r="M13" s="6" t="str">
        <f>IFERROR(__xludf.DUMMYFUNCTION("GOOGLETRANSLATE(C13, ""en"", ""ur"")"),"A) گیئر ہٹا دیا جاتا ہے، اور ایک انتباہ جاری کیا جاتا ہے، B) سوار کو فوری طور پر ایونٹ سے نااہل قرار دے دیا جاتا ہے، C) سوار جاری رکھ سکتا ہے لیکن پوائنٹس نہیں بنا سکتا، D) گھوڑے کو متبادل ہونا ضروری ہے")</f>
        <v>A) گیئر ہٹا دیا جاتا ہے، اور ایک انتباہ جاری کیا جاتا ہے، B) سوار کو فوری طور پر ایونٹ سے نااہل قرار دے دیا جاتا ہے، C) سوار جاری رکھ سکتا ہے لیکن پوائنٹس نہیں بنا سکتا، D) گھوڑے کو متبادل ہونا ضروری ہے</v>
      </c>
      <c r="N13" s="6" t="str">
        <f>IFERROR(__xludf.DUMMYFUNCTION("GOOGLETRANSLATE(D13, ""en"", ""ur"")"),"ب) سوار کو فوری طور پر ایونٹ سے نااہل قرار دے دیا جاتا ہے۔")</f>
        <v>ب) سوار کو فوری طور پر ایونٹ سے نااہل قرار دے دیا جاتا ہے۔</v>
      </c>
      <c r="O13" s="6" t="str">
        <f>IFERROR(__xludf.DUMMYFUNCTION("GOOGLETRANSLATE(E13, ""en"", ""ur"")"),"غیر مجاز یا خطرناک آلات کا استعمال ان قوانین کی سنگین خلاف ورزی ہے جو حفاظت اور منصفانہ کھیل کو متاثر کرتے ہیں، جس کی وجہ سے نااہلی ہوتی ہے۔")</f>
        <v>غیر مجاز یا خطرناک آلات کا استعمال ان قوانین کی سنگین خلاف ورزی ہے جو حفاظت اور منصفانہ کھیل کو متاثر کرتے ہیں، جس کی وجہ سے نااہلی ہوتی ہے۔</v>
      </c>
    </row>
    <row r="14">
      <c r="A14" s="4">
        <v>13.0</v>
      </c>
      <c r="B14" s="5" t="s">
        <v>2622</v>
      </c>
      <c r="C14" s="5" t="s">
        <v>2623</v>
      </c>
      <c r="D14" s="5" t="s">
        <v>2624</v>
      </c>
      <c r="E14" s="5" t="s">
        <v>2625</v>
      </c>
      <c r="K14" s="6" t="str">
        <f>IFERROR(__xludf.DUMMYFUNCTION("GOOGLETRANSLATE(A14, ""en"", ""ur"")"),"13")</f>
        <v>13</v>
      </c>
      <c r="L14" s="6" t="str">
        <f>IFERROR(__xludf.DUMMYFUNCTION("GOOGLETRANSLATE(B14, ""en"", ""ur"")"),"ایک ""رنگ پیگنگ"" ایونٹ میں، ایک سوار کامیابی کے ساتھ اپنے لانس کے ساتھ ایک چھوٹی سی معلق انگوٹھی کو تیز کرتا ہے۔ کیا یہ درست سکور ہے؟")</f>
        <v>ایک "رنگ پیگنگ" ایونٹ میں، ایک سوار کامیابی کے ساتھ اپنے لانس کے ساتھ ایک چھوٹی سی معلق انگوٹھی کو تیز کرتا ہے۔ کیا یہ درست سکور ہے؟</v>
      </c>
      <c r="M14" s="6" t="str">
        <f>IFERROR(__xludf.DUMMYFUNCTION("GOOGLETRANSLATE(C14, ""en"", ""ur"")"),"A) نہیں، صرف زمینی کھونٹے سے نیزہ لگایا جا سکتا ہے، B) ہاں، یہ ایک مخصوص ڈسپلن ٹیسٹنگ درستگی ہے، C) صرف اس صورت میں جب انگوٹھی لکڑی سے بنی ہو، D) یہ زمینی کھونٹی کے آدھے پوائنٹس اسکور کرتا ہے۔")</f>
        <v>A) نہیں، صرف زمینی کھونٹے سے نیزہ لگایا جا سکتا ہے، B) ہاں، یہ ایک مخصوص ڈسپلن ٹیسٹنگ درستگی ہے، C) صرف اس صورت میں جب انگوٹھی لکڑی سے بنی ہو، D) یہ زمینی کھونٹی کے آدھے پوائنٹس اسکور کرتا ہے۔</v>
      </c>
      <c r="N14" s="6" t="str">
        <f>IFERROR(__xludf.DUMMYFUNCTION("GOOGLETRANSLATE(D14, ""en"", ""ur"")"),"ب) جی ہاں، یہ ایک مخصوص نظم و ضبط کی جانچ کی درستگی ہے۔")</f>
        <v>ب) جی ہاں، یہ ایک مخصوص نظم و ضبط کی جانچ کی درستگی ہے۔</v>
      </c>
      <c r="O14" s="6" t="str">
        <f>IFERROR(__xludf.DUMMYFUNCTION("GOOGLETRANSLATE(E14, ""en"", ""ur"")"),"رِنگ پیگنگ ایک عام ""مہارتوں سے متعلق"" ایونٹ ہے جس میں ایک چھوٹی پھانسی والی انگوٹھی کے ذریعے لانس کو تھریڈ کرنے کے لیے بہت زیادہ درستگی کی ضرورت ہوتی ہے۔")</f>
        <v>رِنگ پیگنگ ایک عام "مہارتوں سے متعلق" ایونٹ ہے جس میں ایک چھوٹی پھانسی والی انگوٹھی کے ذریعے لانس کو تھریڈ کرنے کے لیے بہت زیادہ درستگی کی ضرورت ہوتی ہے۔</v>
      </c>
    </row>
    <row r="15">
      <c r="A15" s="4">
        <v>14.0</v>
      </c>
      <c r="B15" s="5" t="s">
        <v>2626</v>
      </c>
      <c r="C15" s="5" t="s">
        <v>2627</v>
      </c>
      <c r="D15" s="5" t="s">
        <v>2628</v>
      </c>
      <c r="E15" s="5" t="s">
        <v>2629</v>
      </c>
      <c r="K15" s="6" t="str">
        <f>IFERROR(__xludf.DUMMYFUNCTION("GOOGLETRANSLATE(A15, ""en"", ""ur"")"),"14")</f>
        <v>14</v>
      </c>
      <c r="L15" s="6" t="str">
        <f>IFERROR(__xludf.DUMMYFUNCTION("GOOGLETRANSLATE(B15, ""en"", ""ur"")"),"ایک ٹیم ایونٹ میں، سوار کا گھوڑا دوڑنے سے انکار کرتا ہے اور اسٹارٹ لائن کو عبور نہیں کرتا ہے۔ کیا ہوتا ہے؟")</f>
        <v>ایک ٹیم ایونٹ میں، سوار کا گھوڑا دوڑنے سے انکار کرتا ہے اور اسٹارٹ لائن کو عبور نہیں کرتا ہے۔ کیا ہوتا ہے؟</v>
      </c>
      <c r="M15" s="6" t="str">
        <f>IFERROR(__xludf.DUMMYFUNCTION("GOOGLETRANSLATE(C15, ""en"", ""ur"")"),"A) ٹیم کو نااہل قرار دیا جاتا ہے، B) سوار کو مختلف گھوڑے کے ساتھ دوبارہ رن دیا جاتا ہے، C) سوار اس رن کے لیے صفر اسکور کرتا ہے، اور ٹیم کا مجموعی اسکور متاثر ہوتا ہے، D) سوار کو دیر سے شروع کرنے کی اجازت ہوتی ہے۔")</f>
        <v>A) ٹیم کو نااہل قرار دیا جاتا ہے، B) سوار کو مختلف گھوڑے کے ساتھ دوبارہ رن دیا جاتا ہے، C) سوار اس رن کے لیے صفر اسکور کرتا ہے، اور ٹیم کا مجموعی اسکور متاثر ہوتا ہے، D) سوار کو دیر سے شروع کرنے کی اجازت ہوتی ہے۔</v>
      </c>
      <c r="N15" s="6" t="str">
        <f>IFERROR(__xludf.DUMMYFUNCTION("GOOGLETRANSLATE(D15, ""en"", ""ur"")"),"C) سوار اس رن کے لیے صفر اسکور کرتا ہے، اور ٹیم کا مجموعی اسکور متاثر ہوتا ہے۔")</f>
        <v>C) سوار اس رن کے لیے صفر اسکور کرتا ہے، اور ٹیم کا مجموعی اسکور متاثر ہوتا ہے۔</v>
      </c>
      <c r="O15" s="6" t="str">
        <f>IFERROR(__xludf.DUMMYFUNCTION("GOOGLETRANSLATE(E15, ""en"", ""ur"")"),"گھوڑے کے شروع کرنے سے ""انکار"" کا مطلب ہے کہ رن ایک ناکامی ہے اور اسکور صفر ہے، جو پھر ٹیم کے کل سکور میں شامل ہو جاتا ہے۔")</f>
        <v>گھوڑے کے شروع کرنے سے "انکار" کا مطلب ہے کہ رن ایک ناکامی ہے اور اسکور صفر ہے، جو پھر ٹیم کے کل سکور میں شامل ہو جاتا ہے۔</v>
      </c>
    </row>
    <row r="16">
      <c r="A16" s="4">
        <v>15.0</v>
      </c>
      <c r="B16" s="5" t="s">
        <v>2630</v>
      </c>
      <c r="C16" s="5" t="s">
        <v>2631</v>
      </c>
      <c r="D16" s="5" t="s">
        <v>2632</v>
      </c>
      <c r="E16" s="5" t="s">
        <v>2633</v>
      </c>
      <c r="K16" s="6" t="str">
        <f>IFERROR(__xludf.DUMMYFUNCTION("GOOGLETRANSLATE(A16, ""en"", ""ur"")"),"15")</f>
        <v>15</v>
      </c>
      <c r="L16" s="6" t="str">
        <f>IFERROR(__xludf.DUMMYFUNCTION("GOOGLETRANSLATE(B16, ""en"", ""ur"")"),"ایک سوار ایک بہترین دوڑ مکمل کرتا ہے، لیکن رن کے بعد کے معائنے سے پتہ چلتا ہے کہ ان کا لانس زیادہ سے زیادہ اجازت شدہ لمبائی سے 10 سینٹی میٹر لمبا ہے۔ اس کا کیا حکم ہے؟")</f>
        <v>ایک سوار ایک بہترین دوڑ مکمل کرتا ہے، لیکن رن کے بعد کے معائنے سے پتہ چلتا ہے کہ ان کا لانس زیادہ سے زیادہ اجازت شدہ لمبائی سے 10 سینٹی میٹر لمبا ہے۔ اس کا کیا حکم ہے؟</v>
      </c>
      <c r="M16" s="6" t="str">
        <f>IFERROR(__xludf.DUMMYFUNCTION("GOOGLETRANSLATE(C16, ""en"", ""ur"")"),"A) سکور کھڑا ہے، لیکن سوار کو خبردار کیا جاتا ہے، B) اس رن کا سکور غیر قانونی آلات کی وجہ سے کالعدم ہو جاتا ہے، C) سوار پر جرمانہ عائد کیا جاتا ہے، D) سکور آدھا رہ جاتا ہے۔")</f>
        <v>A) سکور کھڑا ہے، لیکن سوار کو خبردار کیا جاتا ہے، B) اس رن کا سکور غیر قانونی آلات کی وجہ سے کالعدم ہو جاتا ہے، C) سوار پر جرمانہ عائد کیا جاتا ہے، D) سکور آدھا رہ جاتا ہے۔</v>
      </c>
      <c r="N16" s="6" t="str">
        <f>IFERROR(__xludf.DUMMYFUNCTION("GOOGLETRANSLATE(D16, ""en"", ""ur"")"),"ب) اس رن کا سکور غیر قانونی آلات کی وجہ سے کالعدم ہو گیا ہے۔")</f>
        <v>ب) اس رن کا سکور غیر قانونی آلات کی وجہ سے کالعدم ہو گیا ہے۔</v>
      </c>
      <c r="O16" s="6" t="str">
        <f>IFERROR(__xludf.DUMMYFUNCTION("GOOGLETRANSLATE(E16, ""en"", ""ur"")"),"تمام آلات کو گورننگ باڈی کے مقرر کردہ معیارات کے مطابق ہونا چاہیے۔ غیر قانونی آلات سے حاصل کردہ اسکور غلط ہے۔")</f>
        <v>تمام آلات کو گورننگ باڈی کے مقرر کردہ معیارات کے مطابق ہونا چاہیے۔ غیر قانونی آلات سے حاصل کردہ اسکور غلط ہے۔</v>
      </c>
    </row>
    <row r="17">
      <c r="A17" s="4">
        <v>16.0</v>
      </c>
      <c r="B17" s="5" t="s">
        <v>2634</v>
      </c>
      <c r="C17" s="5" t="s">
        <v>2635</v>
      </c>
      <c r="D17" s="5" t="s">
        <v>2636</v>
      </c>
      <c r="E17" s="5" t="s">
        <v>2637</v>
      </c>
      <c r="K17" s="6" t="str">
        <f>IFERROR(__xludf.DUMMYFUNCTION("GOOGLETRANSLATE(A17, ""en"", ""ur"")"),"16")</f>
        <v>16</v>
      </c>
      <c r="L17" s="6" t="str">
        <f>IFERROR(__xludf.DUMMYFUNCTION("GOOGLETRANSLATE(B17, ""en"", ""ur"")"),"""انڈین فائل"" ٹیم ڈسپلن کی بنیادی خصوصیت کیا ہے؟")</f>
        <v>"انڈین فائل" ٹیم ڈسپلن کی بنیادی خصوصیت کیا ہے؟</v>
      </c>
      <c r="M17" s="6" t="str">
        <f>IFERROR(__xludf.DUMMYFUNCTION("GOOGLETRANSLATE(C17, ""en"", ""ur"")"),"A) چار سوار ایک لائن میں برابر چارج کرتے ہیں، B) سوار ایک ہی فائل لائن میں سوار ہوتے ہیں، ہر ایک ترتیب میں مختلف پیگ مارتا ہے، C) یہ ریلے ریس ہے، D) بھارت اور پاکستان کی ٹیمیں مقابلہ کرتی ہیں۔")</f>
        <v>A) چار سوار ایک لائن میں برابر چارج کرتے ہیں، B) سوار ایک ہی فائل لائن میں سوار ہوتے ہیں، ہر ایک ترتیب میں مختلف پیگ مارتا ہے، C) یہ ریلے ریس ہے، D) بھارت اور پاکستان کی ٹیمیں مقابلہ کرتی ہیں۔</v>
      </c>
      <c r="N17" s="6" t="str">
        <f>IFERROR(__xludf.DUMMYFUNCTION("GOOGLETRANSLATE(D17, ""en"", ""ur"")"),"ب) سوار ایک ہی فائل لائن میں سوار ہوتے ہیں، ہر ایک ترتیب میں مختلف پیگ مارتا ہے۔")</f>
        <v>ب) سوار ایک ہی فائل لائن میں سوار ہوتے ہیں، ہر ایک ترتیب میں مختلف پیگ مارتا ہے۔</v>
      </c>
      <c r="O17" s="6" t="str">
        <f>IFERROR(__xludf.DUMMYFUNCTION("GOOGLETRANSLATE(E17, ""en"", ""ur"")"),"یہ ایونٹ ہر سوار کی انفرادی توجہ کا امتحان لیتا ہے جب وہ ایک دوسرے کے پیچھے ایک تنگ، تیز رفتار حرکت میں سوار ہوتے ہیں۔")</f>
        <v>یہ ایونٹ ہر سوار کی انفرادی توجہ کا امتحان لیتا ہے جب وہ ایک دوسرے کے پیچھے ایک تنگ، تیز رفتار حرکت میں سوار ہوتے ہیں۔</v>
      </c>
    </row>
    <row r="18">
      <c r="A18" s="4">
        <v>17.0</v>
      </c>
      <c r="B18" s="5" t="s">
        <v>2638</v>
      </c>
      <c r="C18" s="5" t="s">
        <v>2639</v>
      </c>
      <c r="D18" s="5" t="s">
        <v>2640</v>
      </c>
      <c r="E18" s="5" t="s">
        <v>2641</v>
      </c>
      <c r="K18" s="6" t="str">
        <f>IFERROR(__xludf.DUMMYFUNCTION("GOOGLETRANSLATE(A18, ""en"", ""ur"")"),"17")</f>
        <v>17</v>
      </c>
      <c r="L18" s="6" t="str">
        <f>IFERROR(__xludf.DUMMYFUNCTION("GOOGLETRANSLATE(B18, ""en"", ""ur"")"),"ایک سوار کھونٹی کو مارتا ہے، لیکن یہ صرف زمین میں بغیر اتارے گھومتا ہے۔ کتنے پوائنٹس بنائے ہیں؟")</f>
        <v>ایک سوار کھونٹی کو مارتا ہے، لیکن یہ صرف زمین میں بغیر اتارے گھومتا ہے۔ کتنے پوائنٹس بنائے ہیں؟</v>
      </c>
      <c r="M18" s="6" t="str">
        <f>IFERROR(__xludf.DUMMYFUNCTION("GOOGLETRANSLATE(C18, ""en"", ""ur"")"),"A) 1 پوائنٹ، B) 2 پوائنٹس، C) 0 پوائنٹس، D) دوبارہ رن دیا جاتا ہے")</f>
        <v>A) 1 پوائنٹ، B) 2 پوائنٹس، C) 0 پوائنٹس، D) دوبارہ رن دیا جاتا ہے</v>
      </c>
      <c r="N18" s="6" t="str">
        <f>IFERROR(__xludf.DUMMYFUNCTION("GOOGLETRANSLATE(D18, ""en"", ""ur"")"),"C) 0 پوائنٹس")</f>
        <v>C) 0 پوائنٹس</v>
      </c>
      <c r="O18" s="6" t="str">
        <f>IFERROR(__xludf.DUMMYFUNCTION("GOOGLETRANSLATE(E18, ""en"", ""ur"")"),"کوئی بھی پوائنٹ حاصل کرنے کے لیے پیگ کو زمین سے جسمانی طور پر اٹھایا جانا چاہیے (""ڈرا"")۔ ایک کھونٹی جسے صرف چھوا یا کاتا جاتا ہے اسے مس سمجھا جاتا ہے۔")</f>
        <v>کوئی بھی پوائنٹ حاصل کرنے کے لیے پیگ کو زمین سے جسمانی طور پر اٹھایا جانا چاہیے ("ڈرا")۔ ایک کھونٹی جسے صرف چھوا یا کاتا جاتا ہے اسے مس سمجھا جاتا ہے۔</v>
      </c>
    </row>
    <row r="19">
      <c r="A19" s="4">
        <v>18.0</v>
      </c>
      <c r="B19" s="5" t="s">
        <v>2642</v>
      </c>
      <c r="C19" s="5" t="s">
        <v>2643</v>
      </c>
      <c r="D19" s="5" t="s">
        <v>2644</v>
      </c>
      <c r="E19" s="5" t="s">
        <v>2645</v>
      </c>
      <c r="K19" s="6" t="str">
        <f>IFERROR(__xludf.DUMMYFUNCTION("GOOGLETRANSLATE(A19, ""en"", ""ur"")"),"18")</f>
        <v>18</v>
      </c>
      <c r="L19" s="6" t="str">
        <f>IFERROR(__xludf.DUMMYFUNCTION("GOOGLETRANSLATE(B19, ""en"", ""ur"")"),"لاہور میں نیشنل ہارس اینڈ کیٹل شو میں دوڑ کے دوران سوار کا ہیلمٹ گر گیا۔ وہ جاری رکھتے ہیں اور مکمل پیگ حاصل کرتے ہیں۔ کیا اسکور شمار ہوتا ہے؟")</f>
        <v>لاہور میں نیشنل ہارس اینڈ کیٹل شو میں دوڑ کے دوران سوار کا ہیلمٹ گر گیا۔ وہ جاری رکھتے ہیں اور مکمل پیگ حاصل کرتے ہیں۔ کیا اسکور شمار ہوتا ہے؟</v>
      </c>
      <c r="M19" s="6" t="str">
        <f>IFERROR(__xludf.DUMMYFUNCTION("GOOGLETRANSLATE(C19, ""en"", ""ur"")"),"A) ہاں، کیونکہ انہیں پیگ ملا، B) نہیں، حفاظت کی خلاف ورزی کی وجہ سے رن کو نااہل قرار دیا گیا ہے، C) ہاں، لیکن 2 پوائنٹ کے جرمانے کے ساتھ، D) رن کو دوبارہ چلایا جانا چاہیے۔")</f>
        <v>A) ہاں، کیونکہ انہیں پیگ ملا، B) نہیں، حفاظت کی خلاف ورزی کی وجہ سے رن کو نااہل قرار دیا گیا ہے، C) ہاں، لیکن 2 پوائنٹ کے جرمانے کے ساتھ، D) رن کو دوبارہ چلایا جانا چاہیے۔</v>
      </c>
      <c r="N19" s="6" t="str">
        <f>IFERROR(__xludf.DUMMYFUNCTION("GOOGLETRANSLATE(D19, ""en"", ""ur"")"),"ب) نہیں، حفاظت کی خلاف ورزی کی وجہ سے رن کو نااہل قرار دیا گیا ہے۔")</f>
        <v>ب) نہیں، حفاظت کی خلاف ورزی کی وجہ سے رن کو نااہل قرار دیا گیا ہے۔</v>
      </c>
      <c r="O19" s="6" t="str">
        <f>IFERROR(__xludf.DUMMYFUNCTION("GOOGLETRANSLATE(E19, ""en"", ""ur"")"),"مناسب طریقے سے محفوظ ہیلمٹ لازمی ہے۔ اگر یہ رن کے دوران گر جائے تو حفاظتی وجوہات کی بنا پر کوشش کو فوری طور پر کالعدم کر دیا جاتا ہے۔")</f>
        <v>مناسب طریقے سے محفوظ ہیلمٹ لازمی ہے۔ اگر یہ رن کے دوران گر جائے تو حفاظتی وجوہات کی بنا پر کوشش کو فوری طور پر کالعدم کر دیا جاتا ہے۔</v>
      </c>
    </row>
    <row r="20">
      <c r="A20" s="4">
        <v>19.0</v>
      </c>
      <c r="B20" s="5" t="s">
        <v>2646</v>
      </c>
      <c r="C20" s="5" t="s">
        <v>2647</v>
      </c>
      <c r="D20" s="5" t="s">
        <v>2648</v>
      </c>
      <c r="E20" s="5" t="s">
        <v>2649</v>
      </c>
      <c r="K20" s="6" t="str">
        <f>IFERROR(__xludf.DUMMYFUNCTION("GOOGLETRANSLATE(A20, ""en"", ""ur"")"),"19")</f>
        <v>19</v>
      </c>
      <c r="L20" s="6" t="str">
        <f>IFERROR(__xludf.DUMMYFUNCTION("GOOGLETRANSLATE(B20, ""en"", ""ur"")"),"""فل پیگ"" (6 پوائنٹس) کے لیے جج کا فلیگ سگنل کیا ہے؟")</f>
        <v>"فل پیگ" (6 پوائنٹس) کے لیے جج کا فلیگ سگنل کیا ہے؟</v>
      </c>
      <c r="M20" s="6" t="str">
        <f>IFERROR(__xludf.DUMMYFUNCTION("GOOGLETRANSLATE(C20, ""en"", ""ur"")"),"A) ایک سرخ پرچم، B) ایک سفید جھنڈا، C) سبز پرچم، D) ایک پیلا پرچم")</f>
        <v>A) ایک سرخ پرچم، B) ایک سفید جھنڈا، C) سبز پرچم، D) ایک پیلا پرچم</v>
      </c>
      <c r="N20" s="6" t="str">
        <f>IFERROR(__xludf.DUMMYFUNCTION("GOOGLETRANSLATE(D20, ""en"", ""ur"")"),"ج) ایک سبز پرچم")</f>
        <v>ج) ایک سبز پرچم</v>
      </c>
      <c r="O20" s="6" t="str">
        <f>IFERROR(__xludf.DUMMYFUNCTION("GOOGLETRANSLATE(E20, ""en"", ""ur"")"),"معیاری ITPF فلیگ سسٹم میں، ایک سبز جھنڈا کامیاب مکمل سکور کا اشارہ دیتا ہے، جبکہ سرخ رنگ مس کرنے کے لیے اور سفید جزوی سکور کے لیے ہوتا ہے۔")</f>
        <v>معیاری ITPF فلیگ سسٹم میں، ایک سبز جھنڈا کامیاب مکمل سکور کا اشارہ دیتا ہے، جبکہ سرخ رنگ مس کرنے کے لیے اور سفید جزوی سکور کے لیے ہوتا ہے۔</v>
      </c>
    </row>
    <row r="21">
      <c r="A21" s="4">
        <v>20.0</v>
      </c>
      <c r="B21" s="5" t="s">
        <v>2650</v>
      </c>
      <c r="C21" s="5" t="s">
        <v>2651</v>
      </c>
      <c r="D21" s="5" t="s">
        <v>2652</v>
      </c>
      <c r="E21" s="5" t="s">
        <v>2653</v>
      </c>
      <c r="K21" s="6" t="str">
        <f>IFERROR(__xludf.DUMMYFUNCTION("GOOGLETRANSLATE(A21, ""en"", ""ur"")"),"20")</f>
        <v>20</v>
      </c>
      <c r="L21" s="6" t="str">
        <f>IFERROR(__xludf.DUMMYFUNCTION("GOOGLETRANSLATE(B21, ""en"", ""ur"")"),"ٹائی بریکنگ ""رائیڈ آف"" میں، اہلکار ٹریک پر بہت چھوٹا پیگ لگاتے ہیں۔ اس کا مقصد کیا ہے؟")</f>
        <v>ٹائی بریکنگ "رائیڈ آف" میں، اہلکار ٹریک پر بہت چھوٹا پیگ لگاتے ہیں۔ اس کا مقصد کیا ہے؟</v>
      </c>
      <c r="M21" s="6" t="str">
        <f>IFERROR(__xludf.DUMMYFUNCTION("GOOGLETRANSLATE(C21, ""en"", ""ur"")"),"A) ایونٹ کو تیزی سے ختم کرنے کے لئے، B) مشکل کی سطح کو بڑھانے اور بہترین سواروں کو مہارت سے الگ کرنے کے لئے، C) سازوسامان کو بچانے کے لئے، D) گھوڑوں کے لئے اسے محفوظ بنانے کے لئے")</f>
        <v>A) ایونٹ کو تیزی سے ختم کرنے کے لئے، B) مشکل کی سطح کو بڑھانے اور بہترین سواروں کو مہارت سے الگ کرنے کے لئے، C) سازوسامان کو بچانے کے لئے، D) گھوڑوں کے لئے اسے محفوظ بنانے کے لئے</v>
      </c>
      <c r="N21" s="6" t="str">
        <f>IFERROR(__xludf.DUMMYFUNCTION("GOOGLETRANSLATE(D21, ""en"", ""ur"")"),"ب) مشکل کی سطح کو بڑھانا اور بہترین سواروں کو مہارت سے الگ کرنا")</f>
        <v>ب) مشکل کی سطح کو بڑھانا اور بہترین سواروں کو مہارت سے الگ کرنا</v>
      </c>
      <c r="O21" s="6" t="str">
        <f>IFERROR(__xludf.DUMMYFUNCTION("GOOGLETRANSLATE(E21, ""en"", ""ur"")"),"ایک چھوٹے ہدف کے لیے زیادہ درستگی کی ضرورت ہوتی ہے اور یہ انتہائی ہنر مند حریفوں کے درمیان ٹائی کو توڑنے کا ایک عام طریقہ ہے۔")</f>
        <v>ایک چھوٹے ہدف کے لیے زیادہ درستگی کی ضرورت ہوتی ہے اور یہ انتہائی ہنر مند حریفوں کے درمیان ٹائی کو توڑنے کا ایک عام طریقہ ہے۔</v>
      </c>
    </row>
    <row r="22">
      <c r="A22" s="4">
        <v>21.0</v>
      </c>
      <c r="B22" s="5" t="s">
        <v>2654</v>
      </c>
      <c r="C22" s="5" t="s">
        <v>2655</v>
      </c>
      <c r="D22" s="5" t="s">
        <v>2656</v>
      </c>
      <c r="E22" s="5" t="s">
        <v>2657</v>
      </c>
      <c r="K22" s="6" t="str">
        <f>IFERROR(__xludf.DUMMYFUNCTION("GOOGLETRANSLATE(A22, ""en"", ""ur"")"),"21")</f>
        <v>21</v>
      </c>
      <c r="L22" s="6" t="str">
        <f>IFERROR(__xludf.DUMMYFUNCTION("GOOGLETRANSLATE(B22, ""en"", ""ur"")"),"پاکستانی فوج کی ٹیم کا ایک سوار معیاری سواری کے لباس کے بجائے رسمی فوجی لباس میں مقابلہ کر رہا ہے۔ کیا اس کی اجازت ہے؟")</f>
        <v>پاکستانی فوج کی ٹیم کا ایک سوار معیاری سواری کے لباس کے بجائے رسمی فوجی لباس میں مقابلہ کر رہا ہے۔ کیا اس کی اجازت ہے؟</v>
      </c>
      <c r="M22" s="6" t="str">
        <f>IFERROR(__xludf.DUMMYFUNCTION("GOOGLETRANSLATE(C22, ""en"", ""ur"")"),"A) نہیں، تمام سواروں کو ایک ہی لباس پہننا چاہیے، B) ہاں، قومی رسمی یونیفارم کی اکثر بین الاقوامی مقابلوں میں اجازت ہوتی ہے، C) صرف اس صورت میں جب دوسری ٹیمیں متفق ہوں، D) صرف پریکٹس راؤنڈز میں")</f>
        <v>A) نہیں، تمام سواروں کو ایک ہی لباس پہننا چاہیے، B) ہاں، قومی رسمی یونیفارم کی اکثر بین الاقوامی مقابلوں میں اجازت ہوتی ہے، C) صرف اس صورت میں جب دوسری ٹیمیں متفق ہوں، D) صرف پریکٹس راؤنڈز میں</v>
      </c>
      <c r="N22" s="6" t="str">
        <f>IFERROR(__xludf.DUMMYFUNCTION("GOOGLETRANSLATE(D22, ""en"", ""ur"")"),"ب) جی ہاں، بین الاقوامی تقریبات میں قومی رسمی یونیفارم کی اکثر اجازت ہوتی ہے۔")</f>
        <v>ب) جی ہاں، بین الاقوامی تقریبات میں قومی رسمی یونیفارم کی اکثر اجازت ہوتی ہے۔</v>
      </c>
      <c r="O22" s="6" t="str">
        <f>IFERROR(__xludf.DUMMYFUNCTION("GOOGLETRANSLATE(E22, ""en"", ""ur"")"),"سرکاری قوانین اکثر فوجی یا پولیس یونٹوں کی ٹیموں کو روایتی لباس یونیفارم میں مقابلہ کرنے کے لیے الاؤنس دیتے ہیں۔")</f>
        <v>سرکاری قوانین اکثر فوجی یا پولیس یونٹوں کی ٹیموں کو روایتی لباس یونیفارم میں مقابلہ کرنے کے لیے الاؤنس دیتے ہیں۔</v>
      </c>
    </row>
    <row r="23">
      <c r="A23" s="4">
        <v>22.0</v>
      </c>
      <c r="B23" s="5" t="s">
        <v>2658</v>
      </c>
      <c r="C23" s="5" t="s">
        <v>2659</v>
      </c>
      <c r="D23" s="5" t="s">
        <v>2660</v>
      </c>
      <c r="E23" s="5" t="s">
        <v>2661</v>
      </c>
      <c r="K23" s="6" t="str">
        <f>IFERROR(__xludf.DUMMYFUNCTION("GOOGLETRANSLATE(A23, ""en"", ""ur"")"),"22")</f>
        <v>22</v>
      </c>
      <c r="L23" s="6" t="str">
        <f>IFERROR(__xludf.DUMMYFUNCTION("GOOGLETRANSLATE(B23, ""en"", ""ur"")"),"ایک سوار کامیابی کے ساتھ ایک انگوٹھی چلاتا ہے، لیکن یہ پھٹا ہوا پایا جاتا ہے۔ اس کا کیا حکم ہے؟")</f>
        <v>ایک سوار کامیابی کے ساتھ ایک انگوٹھی چلاتا ہے، لیکن یہ پھٹا ہوا پایا جاتا ہے۔ اس کا کیا حکم ہے؟</v>
      </c>
      <c r="M23" s="6" t="str">
        <f>IFERROR(__xludf.DUMMYFUNCTION("GOOGLETRANSLATE(C23, ""en"", ""ur"")"),"اے")</f>
        <v>اے</v>
      </c>
      <c r="N23" s="6" t="str">
        <f>IFERROR(__xludf.DUMMYFUNCTION("GOOGLETRANSLATE(D23, ""en"", ""ur"")"),"C) سکور درست ہے، کیونکہ سوار نے اسے کامیابی کے ساتھ جمع کر لیا ہے۔")</f>
        <v>C) سکور درست ہے، کیونکہ سوار نے اسے کامیابی کے ساتھ جمع کر لیا ہے۔</v>
      </c>
      <c r="O23" s="6" t="str">
        <f>IFERROR(__xludf.DUMMYFUNCTION("GOOGLETRANSLATE(E23, ""en"", ""ur"")"),"ہدف کی حالت سوار کے ہنر مندانہ عمل کو باطل نہیں کرتی۔ جب تک انگوٹھی جمع کی گئی، سکور کھڑا رہا۔")</f>
        <v>ہدف کی حالت سوار کے ہنر مندانہ عمل کو باطل نہیں کرتی۔ جب تک انگوٹھی جمع کی گئی، سکور کھڑا رہا۔</v>
      </c>
    </row>
    <row r="24">
      <c r="A24" s="4">
        <v>23.0</v>
      </c>
      <c r="B24" s="5" t="s">
        <v>2662</v>
      </c>
      <c r="C24" s="5" t="s">
        <v>2663</v>
      </c>
      <c r="D24" s="5" t="s">
        <v>2664</v>
      </c>
      <c r="E24" s="5" t="s">
        <v>2665</v>
      </c>
      <c r="K24" s="6" t="str">
        <f>IFERROR(__xludf.DUMMYFUNCTION("GOOGLETRANSLATE(A24, ""en"", ""ur"")"),"23")</f>
        <v>23</v>
      </c>
      <c r="L24" s="6" t="str">
        <f>IFERROR(__xludf.DUMMYFUNCTION("GOOGLETRANSLATE(B24, ""en"", ""ur"")"),"ٹیم چارج کے دوران، رائڈر 1 سکور کرتا ہے، لیکن رائڈر 2 کو غلط آغاز کے لیے نااہل قرار دے دیا جاتا ہے۔ ٹیم کے اسکور کا کیا ہوگا؟")</f>
        <v>ٹیم چارج کے دوران، رائڈر 1 سکور کرتا ہے، لیکن رائڈر 2 کو غلط آغاز کے لیے نااہل قرار دے دیا جاتا ہے۔ ٹیم کے اسکور کا کیا ہوگا؟</v>
      </c>
      <c r="M24" s="6" t="str">
        <f>IFERROR(__xludf.DUMMYFUNCTION("GOOGLETRANSLATE(C24, ""en"", ""ur"")"),"A) اس رن کے لیے پوری ٹیم کا سکور صفر ہے، B) رائیڈر 1 کا سکور شمار کیا جاتا ہے، جبکہ رائیڈر 2 کا سکور صفر ہے، C) رن کو پوری ٹیم کو ری پلے کرنا چاہیے، D) پوری ٹیم کو نااہل قرار دیا جاتا ہے۔")</f>
        <v>A) اس رن کے لیے پوری ٹیم کا سکور صفر ہے، B) رائیڈر 1 کا سکور شمار کیا جاتا ہے، جبکہ رائیڈر 2 کا سکور صفر ہے، C) رن کو پوری ٹیم کو ری پلے کرنا چاہیے، D) پوری ٹیم کو نااہل قرار دیا جاتا ہے۔</v>
      </c>
      <c r="N24" s="6" t="str">
        <f>IFERROR(__xludf.DUMMYFUNCTION("GOOGLETRANSLATE(D24, ""en"", ""ur"")"),"B) رائڈر 1 کا سکور شمار کیا جاتا ہے، جبکہ رائڈر 2 کا سکور صفر ہے۔")</f>
        <v>B) رائڈر 1 کا سکور شمار کیا جاتا ہے، جبکہ رائڈر 2 کا سکور صفر ہے۔</v>
      </c>
      <c r="O24" s="6" t="str">
        <f>IFERROR(__xludf.DUMMYFUNCTION("GOOGLETRANSLATE(E24, ""en"", ""ur"")"),"سیکشن اٹیک میں، ہر سوار کا سکور انفرادی طور پر ریکارڈ کیا جاتا ہے۔ ایک سوار کی طرف سے فاؤل ایک ہی رن میں ان کے ساتھی ساتھیوں کے درست اسکور کو باطل نہیں کرتا ہے۔")</f>
        <v>سیکشن اٹیک میں، ہر سوار کا سکور انفرادی طور پر ریکارڈ کیا جاتا ہے۔ ایک سوار کی طرف سے فاؤل ایک ہی رن میں ان کے ساتھی ساتھیوں کے درست اسکور کو باطل نہیں کرتا ہے۔</v>
      </c>
    </row>
    <row r="25">
      <c r="A25" s="4">
        <v>24.0</v>
      </c>
      <c r="B25" s="5" t="s">
        <v>2666</v>
      </c>
      <c r="C25" s="5" t="s">
        <v>2667</v>
      </c>
      <c r="D25" s="5" t="s">
        <v>2668</v>
      </c>
      <c r="E25" s="5" t="s">
        <v>2669</v>
      </c>
      <c r="K25" s="6" t="str">
        <f>IFERROR(__xludf.DUMMYFUNCTION("GOOGLETRANSLATE(A25, ""en"", ""ur"")"),"24")</f>
        <v>24</v>
      </c>
      <c r="L25" s="6" t="str">
        <f>IFERROR(__xludf.DUMMYFUNCTION("GOOGLETRANSLATE(B25, ""en"", ""ur"")"),"سواروں کو اپنے بازو یا کلائی پر لینس باندھنے کی اجازت کیوں نہیں ہے؟")</f>
        <v>سواروں کو اپنے بازو یا کلائی پر لینس باندھنے کی اجازت کیوں نہیں ہے؟</v>
      </c>
      <c r="M25" s="6" t="str">
        <f>IFERROR(__xludf.DUMMYFUNCTION("GOOGLETRANSLATE(C25, ""en"", ""ur"")"),"A) یہ روایتی نہیں ہے، B) یہ ایک غیر منصفانہ فائدہ فراہم کرتا ہے، C) یہ انتہائی خطرناک ہے۔ سوار کو لانس چھوڑنے کے قابل ہونا چاہیے، D) یہ ہدف کو زیادہ مشکل بنا دیتا ہے۔")</f>
        <v>A) یہ روایتی نہیں ہے، B) یہ ایک غیر منصفانہ فائدہ فراہم کرتا ہے، C) یہ انتہائی خطرناک ہے۔ سوار کو لانس چھوڑنے کے قابل ہونا چاہیے، D) یہ ہدف کو زیادہ مشکل بنا دیتا ہے۔</v>
      </c>
      <c r="N25" s="6" t="str">
        <f>IFERROR(__xludf.DUMMYFUNCTION("GOOGLETRANSLATE(D25, ""en"", ""ur"")"),"ج) یہ انتہائی خطرناک ہے؛ سوار کو لانس چھوڑنے کے قابل ہونا چاہئے۔")</f>
        <v>ج) یہ انتہائی خطرناک ہے؛ سوار کو لانس چھوڑنے کے قابل ہونا چاہئے۔</v>
      </c>
      <c r="O25" s="6" t="str">
        <f>IFERROR(__xludf.DUMMYFUNCTION("GOOGLETRANSLATE(E25, ""en"", ""ur"")"),"اگر لانس زمین میں پھنس جائے تو اس پر پٹا ہوا سوار ان کے گھوڑے سے کھینچ کر شدید زخمی ہو سکتا ہے۔")</f>
        <v>اگر لانس زمین میں پھنس جائے تو اس پر پٹا ہوا سوار ان کے گھوڑے سے کھینچ کر شدید زخمی ہو سکتا ہے۔</v>
      </c>
    </row>
    <row r="26">
      <c r="A26" s="4">
        <v>25.0</v>
      </c>
      <c r="B26" s="5" t="s">
        <v>2670</v>
      </c>
      <c r="C26" s="5" t="s">
        <v>2671</v>
      </c>
      <c r="D26" s="5" t="s">
        <v>2672</v>
      </c>
      <c r="E26" s="5" t="s">
        <v>2673</v>
      </c>
      <c r="K26" s="6" t="str">
        <f>IFERROR(__xludf.DUMMYFUNCTION("GOOGLETRANSLATE(A26, ""en"", ""ur"")"),"25")</f>
        <v>25</v>
      </c>
      <c r="L26" s="6" t="str">
        <f>IFERROR(__xludf.DUMMYFUNCTION("GOOGLETRANSLATE(B26, ""en"", ""ur"")"),"ایک سوار ایک گھوڑا استعمال کر رہا ہے جو بظاہر لنگڑا (لنگڑا) ہے۔ اہلکار کی ذمہ داری کیا ہے؟")</f>
        <v>ایک سوار ایک گھوڑا استعمال کر رہا ہے جو بظاہر لنگڑا (لنگڑا) ہے۔ اہلکار کی ذمہ داری کیا ہے؟</v>
      </c>
      <c r="M26" s="6" t="str">
        <f>IFERROR(__xludf.DUMMYFUNCTION("GOOGLETRANSLATE(C26, ""en"", ""ur"")"),"A) سوار کو اپنی ذمہ داری پر مقابلہ کرنے دینا، B) گھوڑے کو ویٹرنری بنیادوں پر مقابلے سے نااہل قرار دینا، C) گھوڑے کو درد کش دوا دینا، D) دوسرے سواروں سے پوچھنا کہ کیا وہ اعتراض کرتے ہیں۔")</f>
        <v>A) سوار کو اپنی ذمہ داری پر مقابلہ کرنے دینا، B) گھوڑے کو ویٹرنری بنیادوں پر مقابلے سے نااہل قرار دینا، C) گھوڑے کو درد کش دوا دینا، D) دوسرے سواروں سے پوچھنا کہ کیا وہ اعتراض کرتے ہیں۔</v>
      </c>
      <c r="N26" s="6" t="str">
        <f>IFERROR(__xludf.DUMMYFUNCTION("GOOGLETRANSLATE(D26, ""en"", ""ur"")"),"ب) گھوڑے کو ویٹرنری بنیادوں پر مقابلے سے نااہل قرار دینا")</f>
        <v>ب) گھوڑے کو ویٹرنری بنیادوں پر مقابلے سے نااہل قرار دینا</v>
      </c>
      <c r="O26" s="6" t="str">
        <f>IFERROR(__xludf.DUMMYFUNCTION("GOOGLETRANSLATE(E26, ""en"", ""ur"")"),"جانوروں کی فلاح و بہبود کے لیے، ایونٹ کے ویٹرنریرین اور حکام کو اختیار ہے کہ وہ کسی ایسے جانور کو ہٹا دیں جسے وہ محفوظ طریقے سے مقابلہ کرنے کے لیے نااہل سمجھتے ہیں۔")</f>
        <v>جانوروں کی فلاح و بہبود کے لیے، ایونٹ کے ویٹرنریرین اور حکام کو اختیار ہے کہ وہ کسی ایسے جانور کو ہٹا دیں جسے وہ محفوظ طریقے سے مقابلہ کرنے کے لیے نااہل سمجھتے ہیں۔</v>
      </c>
    </row>
    <row r="27">
      <c r="A27" s="4">
        <v>26.0</v>
      </c>
      <c r="B27" s="5" t="s">
        <v>2674</v>
      </c>
      <c r="C27" s="5" t="s">
        <v>2675</v>
      </c>
      <c r="D27" s="5" t="s">
        <v>2676</v>
      </c>
      <c r="E27" s="5" t="s">
        <v>2677</v>
      </c>
      <c r="K27" s="6" t="str">
        <f>IFERROR(__xludf.DUMMYFUNCTION("GOOGLETRANSLATE(A27, ""en"", ""ur"")"),"26")</f>
        <v>26</v>
      </c>
      <c r="L27" s="6" t="str">
        <f>IFERROR(__xludf.DUMMYFUNCTION("GOOGLETRANSLATE(B27, ""en"", ""ur"")"),"ایک ""ہنر پر ہتھیار"" ایونٹ میں، ایک سوار کو پہلے ایک لیموں کاٹنا چاہیے اور پھر ایک کھونٹی لگانی چاہیے۔ سوار لیموں کو یاد کرتا ہے لیکن اسے پورا پیگ مل جاتا ہے۔ یہ کس طرح اسکور کیا جاتا ہے؟")</f>
        <v>ایک "ہنر پر ہتھیار" ایونٹ میں، ایک سوار کو پہلے ایک لیموں کاٹنا چاہیے اور پھر ایک کھونٹی لگانی چاہیے۔ سوار لیموں کو یاد کرتا ہے لیکن اسے پورا پیگ مل جاتا ہے۔ یہ کس طرح اسکور کیا جاتا ہے؟</v>
      </c>
      <c r="M27" s="6" t="str">
        <f>IFERROR(__xludf.DUMMYFUNCTION("GOOGLETRANSLATE(C27, ""en"", ""ur"")"),"A) پورے رن کے لیے صفر کا سکور، B) پیگ کے لیے 6 کا سکور، C) 3 کا سکور (آدھے پوائنٹس)، D) رن دوبارہ چلایا جاتا ہے۔")</f>
        <v>A) پورے رن کے لیے صفر کا سکور، B) پیگ کے لیے 6 کا سکور، C) 3 کا سکور (آدھے پوائنٹس)، D) رن دوبارہ چلایا جاتا ہے۔</v>
      </c>
      <c r="N27" s="6" t="str">
        <f>IFERROR(__xludf.DUMMYFUNCTION("GOOGLETRANSLATE(D27, ""en"", ""ur"")"),"ب) پیگ کے لیے 6 کا سکور")</f>
        <v>ب) پیگ کے لیے 6 کا سکور</v>
      </c>
      <c r="O27" s="6" t="str">
        <f>IFERROR(__xludf.DUMMYFUNCTION("GOOGLETRANSLATE(E27, ""en"", ""ur"")"),"اس ایونٹ میں، ہر ہدف آزادانہ طور پر اسکور کیا جاتا ہے۔ سوار کو لیموں کے لیے صفر اور پیگ کے لیے 6 پوائنٹس ملتے ہیں۔")</f>
        <v>اس ایونٹ میں، ہر ہدف آزادانہ طور پر اسکور کیا جاتا ہے۔ سوار کو لیموں کے لیے صفر اور پیگ کے لیے 6 پوائنٹس ملتے ہیں۔</v>
      </c>
    </row>
    <row r="28">
      <c r="A28" s="4">
        <v>27.0</v>
      </c>
      <c r="B28" s="5" t="s">
        <v>2678</v>
      </c>
      <c r="C28" s="5" t="s">
        <v>2679</v>
      </c>
      <c r="D28" s="5" t="s">
        <v>2680</v>
      </c>
      <c r="E28" s="5" t="s">
        <v>2681</v>
      </c>
      <c r="K28" s="6" t="str">
        <f>IFERROR(__xludf.DUMMYFUNCTION("GOOGLETRANSLATE(A28, ""en"", ""ur"")"),"27")</f>
        <v>27</v>
      </c>
      <c r="L28" s="6" t="str">
        <f>IFERROR(__xludf.DUMMYFUNCTION("GOOGLETRANSLATE(B28, ""en"", ""ur"")"),"ایک سوار کامیابی کے ساتھ کھونٹی کو اٹھا لیتا ہے، لیکن اسے لانس پر بغل میں لگایا جاتا ہے، درمیان سے نہیں چھیدا جاتا۔ کیا سکور اب بھی درست ہے؟")</f>
        <v>ایک سوار کامیابی کے ساتھ کھونٹی کو اٹھا لیتا ہے، لیکن اسے لانس پر بغل میں لگایا جاتا ہے، درمیان سے نہیں چھیدا جاتا۔ کیا سکور اب بھی درست ہے؟</v>
      </c>
      <c r="M28" s="6" t="str">
        <f>IFERROR(__xludf.DUMMYFUNCTION("GOOGLETRANSLATE(C28, ""en"", ""ur"")"),"A) نہیں، اسے صاف طور پر چھیدنا ضروری ہے، B) ہاں، ایک مکمل پیگ دیا جاتا ہے، C) اسے ڈراون پیگ (2 پوائنٹس) میں گھٹا دیا جاتا ہے، D) خراب تکنیک کے لیے وارننگ جاری کی جاتی ہے۔")</f>
        <v>A) نہیں، اسے صاف طور پر چھیدنا ضروری ہے، B) ہاں، ایک مکمل پیگ دیا جاتا ہے، C) اسے ڈراون پیگ (2 پوائنٹس) میں گھٹا دیا جاتا ہے، D) خراب تکنیک کے لیے وارننگ جاری کی جاتی ہے۔</v>
      </c>
      <c r="N28" s="6" t="str">
        <f>IFERROR(__xludf.DUMMYFUNCTION("GOOGLETRANSLATE(D28, ""en"", ""ur"")"),"ب) ایک مکمل پیگ دیا جاتا ہے۔")</f>
        <v>ب) ایک مکمل پیگ دیا جاتا ہے۔</v>
      </c>
      <c r="O28" s="6" t="str">
        <f>IFERROR(__xludf.DUMMYFUNCTION("GOOGLETRANSLATE(E28, ""en"", ""ur"")"),"لانس کے ساتھ منسلک کرنے کا طریقہ کوئی فرق نہیں پڑتا. اگر کھونٹی کو زمین سے اٹھا کر ختم لائن کے پار لے جایا جائے تو یہ مکمل اسکور ہے۔")</f>
        <v>لانس کے ساتھ منسلک کرنے کا طریقہ کوئی فرق نہیں پڑتا. اگر کھونٹی کو زمین سے اٹھا کر ختم لائن کے پار لے جایا جائے تو یہ مکمل اسکور ہے۔</v>
      </c>
    </row>
    <row r="29">
      <c r="A29" s="4">
        <v>28.0</v>
      </c>
      <c r="B29" s="5" t="s">
        <v>2682</v>
      </c>
      <c r="C29" s="5" t="s">
        <v>2683</v>
      </c>
      <c r="D29" s="5" t="s">
        <v>2684</v>
      </c>
      <c r="E29" s="5" t="s">
        <v>2685</v>
      </c>
      <c r="K29" s="6" t="str">
        <f>IFERROR(__xludf.DUMMYFUNCTION("GOOGLETRANSLATE(A29, ""en"", ""ur"")"),"28")</f>
        <v>28</v>
      </c>
      <c r="L29" s="6" t="str">
        <f>IFERROR(__xludf.DUMMYFUNCTION("GOOGLETRANSLATE(B29, ""en"", ""ur"")"),"ٹریک کی زمینی سطح برابر اور مضبوط کیوں ہونی چاہیے؟")</f>
        <v>ٹریک کی زمینی سطح برابر اور مضبوط کیوں ہونی چاہیے؟</v>
      </c>
      <c r="M29" s="6" t="str">
        <f>IFERROR(__xludf.DUMMYFUNCTION("GOOGLETRANSLATE(C29, ""en"", ""ur"")"),"A) گھوڑوں کو تیز دوڑانے کے لیے، B) ایک محفوظ اور مستقل سطح فراہم کرنے کے لیے، گھوڑوں کو ٹھوکریں کھانے سے روکنا، C) کھونٹے لگانے میں آسانی پیدا کرنے کے لیے، D) یہ روایتی شکل ہے۔")</f>
        <v>A) گھوڑوں کو تیز دوڑانے کے لیے، B) ایک محفوظ اور مستقل سطح فراہم کرنے کے لیے، گھوڑوں کو ٹھوکریں کھانے سے روکنا، C) کھونٹے لگانے میں آسانی پیدا کرنے کے لیے، D) یہ روایتی شکل ہے۔</v>
      </c>
      <c r="N29" s="6" t="str">
        <f>IFERROR(__xludf.DUMMYFUNCTION("GOOGLETRANSLATE(D29, ""en"", ""ur"")"),"ب) گھوڑوں کو ٹھوکریں کھانے سے روکنے کے لیے ایک محفوظ اور مستقل سطح فراہم کرنا")</f>
        <v>ب) گھوڑوں کو ٹھوکریں کھانے سے روکنے کے لیے ایک محفوظ اور مستقل سطح فراہم کرنا</v>
      </c>
      <c r="O29" s="6" t="str">
        <f>IFERROR(__xludf.DUMMYFUNCTION("GOOGLETRANSLATE(E29, ""en"", ""ur"")"),"تمام شرکاء کی حفاظت کو یقینی بنانے کے لیے ایک محفوظ اور منصفانہ ٹریک پیشین گوئی کے قابل اور سوراخوں یا نرم دھبوں سے پاک ہونا چاہیے۔")</f>
        <v>تمام شرکاء کی حفاظت کو یقینی بنانے کے لیے ایک محفوظ اور منصفانہ ٹریک پیشین گوئی کے قابل اور سوراخوں یا نرم دھبوں سے پاک ہونا چاہیے۔</v>
      </c>
    </row>
    <row r="30">
      <c r="A30" s="4">
        <v>29.0</v>
      </c>
      <c r="B30" s="5" t="s">
        <v>2686</v>
      </c>
      <c r="C30" s="5" t="s">
        <v>2687</v>
      </c>
      <c r="D30" s="5" t="s">
        <v>2688</v>
      </c>
      <c r="E30" s="5" t="s">
        <v>2689</v>
      </c>
      <c r="K30" s="6" t="str">
        <f>IFERROR(__xludf.DUMMYFUNCTION("GOOGLETRANSLATE(A30, ""en"", ""ur"")"),"29")</f>
        <v>29</v>
      </c>
      <c r="L30" s="6" t="str">
        <f>IFERROR(__xludf.DUMMYFUNCTION("GOOGLETRANSLATE(B30, ""en"", ""ur"")"),"ایک سوار کا گھوڑا مکمل طور پر دوڑ کو مکمل کرتا ہے، لیکن سوار آخر میں جج کو سلام کرنے کے بعد ہی اپنی لانس گرا دیتا ہے۔ اس کا کیا حکم ہے؟")</f>
        <v>ایک سوار کا گھوڑا مکمل طور پر دوڑ کو مکمل کرتا ہے، لیکن سوار آخر میں جج کو سلام کرنے کے بعد ہی اپنی لانس گرا دیتا ہے۔ اس کا کیا حکم ہے؟</v>
      </c>
      <c r="M30" s="6" t="str">
        <f>IFERROR(__xludf.DUMMYFUNCTION("GOOGLETRANSLATE(C30, ""en"", ""ur"")"),"A) سکور منسوخ کر دیا گیا ہے، B) رن درست ہے، C) 2 پوائنٹ کا جرمانہ لاگو ہوتا ہے، D) سوار اگلے رن سے نااہل ہو جاتا ہے۔")</f>
        <v>A) سکور منسوخ کر دیا گیا ہے، B) رن درست ہے، C) 2 پوائنٹ کا جرمانہ لاگو ہوتا ہے، D) سوار اگلے رن سے نااہل ہو جاتا ہے۔</v>
      </c>
      <c r="N30" s="6" t="str">
        <f>IFERROR(__xludf.DUMMYFUNCTION("GOOGLETRANSLATE(D30, ""en"", ""ur"")"),"ب) رن درست ہے۔")</f>
        <v>ب) رن درست ہے۔</v>
      </c>
      <c r="O30" s="6" t="str">
        <f>IFERROR(__xludf.DUMMYFUNCTION("GOOGLETRANSLATE(E30, ""en"", ""ur"")"),"سلامی کے بعد رن باضابطہ طور پر مکمل ہوتا ہے۔ اس پوائنٹ کے بعد لانس چھوڑنے سے پہلے سے کمائے گئے اسکور پر کوئی اثر نہیں پڑتا۔")</f>
        <v>سلامی کے بعد رن باضابطہ طور پر مکمل ہوتا ہے۔ اس پوائنٹ کے بعد لانس چھوڑنے سے پہلے سے کمائے گئے اسکور پر کوئی اثر نہیں پڑتا۔</v>
      </c>
    </row>
    <row r="31">
      <c r="A31" s="4">
        <v>30.0</v>
      </c>
      <c r="B31" s="5" t="s">
        <v>2690</v>
      </c>
      <c r="C31" s="5" t="s">
        <v>2691</v>
      </c>
      <c r="D31" s="5" t="s">
        <v>2692</v>
      </c>
      <c r="E31" s="5" t="s">
        <v>2693</v>
      </c>
      <c r="K31" s="6" t="str">
        <f>IFERROR(__xludf.DUMMYFUNCTION("GOOGLETRANSLATE(A31, ""en"", ""ur"")"),"30")</f>
        <v>30</v>
      </c>
      <c r="L31" s="6" t="str">
        <f>IFERROR(__xludf.DUMMYFUNCTION("GOOGLETRANSLATE(B31, ""en"", ""ur"")"),"ٹائی بریکر میں، دو سواروں کو ایک مکمل پیگ ملتا ہے۔ اگلا فیصلہ کن عنصر کیا ہو سکتا ہے؟")</f>
        <v>ٹائی بریکر میں، دو سواروں کو ایک مکمل پیگ ملتا ہے۔ اگلا فیصلہ کن عنصر کیا ہو سکتا ہے؟</v>
      </c>
      <c r="M31" s="6" t="str">
        <f>IFERROR(__xludf.DUMMYFUNCTION("GOOGLETRANSLATE(C31, ""en"", ""ur"")"),"A) وہ سوار جس میں دوڑ کے لیے تیز وقت ہوتا ہے، B) بہتر نظر آنے والے گھوڑے کے ساتھ سوار، C) سکے کا ٹاس، D) انہیں مشترکہ فاتح قرار دیا جاتا ہے۔")</f>
        <v>A) وہ سوار جس میں دوڑ کے لیے تیز وقت ہوتا ہے، B) بہتر نظر آنے والے گھوڑے کے ساتھ سوار، C) سکے کا ٹاس، D) انہیں مشترکہ فاتح قرار دیا جاتا ہے۔</v>
      </c>
      <c r="N31" s="6" t="str">
        <f>IFERROR(__xludf.DUMMYFUNCTION("GOOGLETRANSLATE(D31, ""en"", ""ur"")"),"A) رن کے لیے تیز وقت کے ساتھ سوار")</f>
        <v>A) رن کے لیے تیز وقت کے ساتھ سوار</v>
      </c>
      <c r="O31" s="6" t="str">
        <f>IFERROR(__xludf.DUMMYFUNCTION("GOOGLETRANSLATE(E31, ""en"", ""ur"")"),"اگر دونوں سوار پوائنٹس پر برابر ہیں، تو اکثر فاتح وہی ہوتا ہے جس نے اپنی کامیاب دوڑ تیز ترین وقت میں مکمل کی۔")</f>
        <v>اگر دونوں سوار پوائنٹس پر برابر ہیں، تو اکثر فاتح وہی ہوتا ہے جس نے اپنی کامیاب دوڑ تیز ترین وقت میں مکمل کی۔</v>
      </c>
    </row>
    <row r="32">
      <c r="A32" s="4">
        <v>31.0</v>
      </c>
      <c r="B32" s="5" t="s">
        <v>2694</v>
      </c>
      <c r="C32" s="5" t="s">
        <v>2695</v>
      </c>
      <c r="D32" s="5" t="s">
        <v>2696</v>
      </c>
      <c r="E32" s="5" t="s">
        <v>2697</v>
      </c>
      <c r="K32" s="6" t="str">
        <f>IFERROR(__xludf.DUMMYFUNCTION("GOOGLETRANSLATE(A32, ""en"", ""ur"")"),"31")</f>
        <v>31</v>
      </c>
      <c r="L32" s="6" t="str">
        <f>IFERROR(__xludf.DUMMYFUNCTION("GOOGLETRANSLATE(B32, ""en"", ""ur"")"),"ایک سوار کا گھوڑا بلنکرز پہنے نظر آتا ہے۔ سامان کے اس ٹکڑے کا مقصد کیا ہے؟")</f>
        <v>ایک سوار کا گھوڑا بلنکرز پہنے نظر آتا ہے۔ سامان کے اس ٹکڑے کا مقصد کیا ہے؟</v>
      </c>
      <c r="M32" s="6" t="str">
        <f>IFERROR(__xludf.DUMMYFUNCTION("GOOGLETRANSLATE(C32, ""en"", ""ur"")"),"A) گھوڑے کی آنکھوں کو دھول سے بچانے کے لئے، B) گھوڑے کے نقطہ نظر کو محدود کرنے اور اسے آگے کی پٹری پر مرکوز رکھنے کے لئے، C) یہ ایک آرائشی عنصر ہیں، D) یہ گھوڑے کو تیز دھوپ میں بہتر طور پر دیکھنے میں مدد کرتے ہیں۔")</f>
        <v>A) گھوڑے کی آنکھوں کو دھول سے بچانے کے لئے، B) گھوڑے کے نقطہ نظر کو محدود کرنے اور اسے آگے کی پٹری پر مرکوز رکھنے کے لئے، C) یہ ایک آرائشی عنصر ہیں، D) یہ گھوڑے کو تیز دھوپ میں بہتر طور پر دیکھنے میں مدد کرتے ہیں۔</v>
      </c>
      <c r="N32" s="6" t="str">
        <f>IFERROR(__xludf.DUMMYFUNCTION("GOOGLETRANSLATE(D32, ""en"", ""ur"")"),"ب) گھوڑے کے بصارت کے میدان کو محدود کرنا اور اسے آگے کی پٹری پر مرکوز رکھنا")</f>
        <v>ب) گھوڑے کے بصارت کے میدان کو محدود کرنا اور اسے آگے کی پٹری پر مرکوز رکھنا</v>
      </c>
      <c r="O32" s="6" t="str">
        <f>IFERROR(__xludf.DUMMYFUNCTION("GOOGLETRANSLATE(E32, ""en"", ""ur"")"),"پلک جھپکنے والے گھوڑے کو اس کی طرف یا پیچھے کی طرف حرکت سے مشغول ہونے سے روکتے ہیں، اس بات کو یقینی بناتے ہیں کہ یہ ہدف تک سیدھا اور صحیح راستہ چلاتا ہے۔")</f>
        <v>پلک جھپکنے والے گھوڑے کو اس کی طرف یا پیچھے کی طرف حرکت سے مشغول ہونے سے روکتے ہیں، اس بات کو یقینی بناتے ہیں کہ یہ ہدف تک سیدھا اور صحیح راستہ چلاتا ہے۔</v>
      </c>
    </row>
    <row r="33">
      <c r="A33" s="4">
        <v>32.0</v>
      </c>
      <c r="B33" s="5" t="s">
        <v>2698</v>
      </c>
      <c r="C33" s="5" t="s">
        <v>2699</v>
      </c>
      <c r="D33" s="5" t="s">
        <v>2700</v>
      </c>
      <c r="E33" s="5" t="s">
        <v>2701</v>
      </c>
      <c r="K33" s="6" t="str">
        <f>IFERROR(__xludf.DUMMYFUNCTION("GOOGLETRANSLATE(A33, ""en"", ""ur"")"),"32")</f>
        <v>32</v>
      </c>
      <c r="L33" s="6" t="str">
        <f>IFERROR(__xludf.DUMMYFUNCTION("GOOGLETRANSLATE(B33, ""en"", ""ur"")"),"ایک سوار کامیابی سے ایک لیموں کو کاٹتا ہے، لیکن تلوار اسے پکڑے ہوئے تار سے بھی ٹکراتی ہے۔ اس کا کیا حکم ہے؟")</f>
        <v>ایک سوار کامیابی سے ایک لیموں کو کاٹتا ہے، لیکن تلوار اسے پکڑے ہوئے تار سے بھی ٹکراتی ہے۔ اس کا کیا حکم ہے؟</v>
      </c>
      <c r="M33" s="6" t="str">
        <f>IFERROR(__xludf.DUMMYFUNCTION("GOOGLETRANSLATE(C33, ""en"", ""ur"")"),"اے")</f>
        <v>اے</v>
      </c>
      <c r="N33" s="6" t="str">
        <f>IFERROR(__xludf.DUMMYFUNCTION("GOOGLETRANSLATE(D33, ""en"", ""ur"")"),"A) سکور درست ہے۔")</f>
        <v>A) سکور درست ہے۔</v>
      </c>
      <c r="O33" s="6" t="str">
        <f>IFERROR(__xludf.DUMMYFUNCTION("GOOGLETRANSLATE(E33, ""en"", ""ur"")"),"جب تک ہدف خود صاف طور پر کاٹا جاتا ہے، غلطی سے سٹرنگ یا اسٹینڈ کو مارنا عام طور پر اسکور کو باطل نہیں کرتا ہے۔")</f>
        <v>جب تک ہدف خود صاف طور پر کاٹا جاتا ہے، غلطی سے سٹرنگ یا اسٹینڈ کو مارنا عام طور پر اسکور کو باطل نہیں کرتا ہے۔</v>
      </c>
    </row>
    <row r="34">
      <c r="A34" s="4">
        <v>33.0</v>
      </c>
      <c r="B34" s="5" t="s">
        <v>2702</v>
      </c>
      <c r="C34" s="5" t="s">
        <v>2703</v>
      </c>
      <c r="D34" s="5" t="s">
        <v>2704</v>
      </c>
      <c r="E34" s="5" t="s">
        <v>2705</v>
      </c>
      <c r="K34" s="6" t="str">
        <f>IFERROR(__xludf.DUMMYFUNCTION("GOOGLETRANSLATE(A34, ""en"", ""ur"")"),"33")</f>
        <v>33</v>
      </c>
      <c r="L34" s="6" t="str">
        <f>IFERROR(__xludf.DUMMYFUNCTION("GOOGLETRANSLATE(B34, ""en"", ""ur"")"),"کسی ٹیم ایونٹ میں میچنگ، منظور شدہ وردی نہ پہننے والی ٹیم کے لیے کیا سزا ہے؟")</f>
        <v>کسی ٹیم ایونٹ میں میچنگ، منظور شدہ وردی نہ پہننے والی ٹیم کے لیے کیا سزا ہے؟</v>
      </c>
      <c r="M34" s="6" t="str">
        <f>IFERROR(__xludf.DUMMYFUNCTION("GOOGLETRANSLATE(C34, ""en"", ""ur"")"),"A) ایک پوائنٹ کی کٹوتی، B) جرمانہ، C) انہیں رن شروع کرنے کی اجازت نہیں ہے، D) ایک زبانی انتباہ")</f>
        <v>A) ایک پوائنٹ کی کٹوتی، B) جرمانہ، C) انہیں رن شروع کرنے کی اجازت نہیں ہے، D) ایک زبانی انتباہ</v>
      </c>
      <c r="N34" s="6" t="str">
        <f>IFERROR(__xludf.DUMMYFUNCTION("GOOGLETRANSLATE(D34, ""en"", ""ur"")"),"ج) انہیں رن شروع کرنے کی اجازت نہیں ہے۔")</f>
        <v>ج) انہیں رن شروع کرنے کی اجازت نہیں ہے۔</v>
      </c>
      <c r="O34" s="6" t="str">
        <f>IFERROR(__xludf.DUMMYFUNCTION("GOOGLETRANSLATE(E34, ""en"", ""ur"")"),"رسمی مقابلوں میں، ٹیم کے مقابلوں میں شرکت کے لیے مماثل یونیفارم (لیوری) ضروری ہے۔")</f>
        <v>رسمی مقابلوں میں، ٹیم کے مقابلوں میں شرکت کے لیے مماثل یونیفارم (لیوری) ضروری ہے۔</v>
      </c>
    </row>
    <row r="35">
      <c r="A35" s="4">
        <v>34.0</v>
      </c>
      <c r="B35" s="5" t="s">
        <v>2706</v>
      </c>
      <c r="C35" s="5" t="s">
        <v>2707</v>
      </c>
      <c r="D35" s="5" t="s">
        <v>2708</v>
      </c>
      <c r="E35" s="5" t="s">
        <v>2709</v>
      </c>
      <c r="K35" s="6" t="str">
        <f>IFERROR(__xludf.DUMMYFUNCTION("GOOGLETRANSLATE(A35, ""en"", ""ur"")"),"34")</f>
        <v>34</v>
      </c>
      <c r="L35" s="6" t="str">
        <f>IFERROR(__xludf.DUMMYFUNCTION("GOOGLETRANSLATE(B35, ""en"", ""ur"")"),"لینس کی نوک کا دھات ہونا کیوں ضروری ہے؟")</f>
        <v>لینس کی نوک کا دھات ہونا کیوں ضروری ہے؟</v>
      </c>
      <c r="M35" s="6" t="str">
        <f>IFERROR(__xludf.DUMMYFUNCTION("GOOGLETRANSLATE(C35, ""en"", ""ur"")"),"A) یہ زیادہ متاثر کن نظر آتا ہے، B) لکڑی کے کھونٹے کو بغیر لانس کے خود ٹوٹے مؤثر طریقے سے گھسنے اور اٹھانے کے لیے ضروری ہے، C) یہ بہتر توازن کے لیے لانس میں وزن بڑھاتا ہے، D) یہ ایک روایتی ضرورت ہے۔")</f>
        <v>A) یہ زیادہ متاثر کن نظر آتا ہے، B) لکڑی کے کھونٹے کو بغیر لانس کے خود ٹوٹے مؤثر طریقے سے گھسنے اور اٹھانے کے لیے ضروری ہے، C) یہ بہتر توازن کے لیے لانس میں وزن بڑھاتا ہے، D) یہ ایک روایتی ضرورت ہے۔</v>
      </c>
      <c r="N35" s="6" t="str">
        <f>IFERROR(__xludf.DUMMYFUNCTION("GOOGLETRANSLATE(D35, ""en"", ""ur"")"),"ب) لکڑی کے کھونٹے کو مؤثر طریقے سے گھسنے اور اسے اٹھانے کے لیے لانس خود ٹوٹے بغیر ضروری ہے۔")</f>
        <v>ب) لکڑی کے کھونٹے کو مؤثر طریقے سے گھسنے اور اسے اٹھانے کے لیے لانس خود ٹوٹے بغیر ضروری ہے۔</v>
      </c>
      <c r="O35" s="6" t="str">
        <f>IFERROR(__xludf.DUMMYFUNCTION("GOOGLETRANSLATE(E35, ""en"", ""ur"")"),"لانس کے لیے دھات کی نوک ضروری ہے کہ وہ ہدف کو زمین سے چھیدنے اور اٹھانے کے قابل ہو۔")</f>
        <v>لانس کے لیے دھات کی نوک ضروری ہے کہ وہ ہدف کو زمین سے چھیدنے اور اٹھانے کے قابل ہو۔</v>
      </c>
    </row>
    <row r="36">
      <c r="A36" s="4">
        <v>35.0</v>
      </c>
      <c r="B36" s="5" t="s">
        <v>2710</v>
      </c>
      <c r="C36" s="5" t="s">
        <v>2711</v>
      </c>
      <c r="D36" s="5" t="s">
        <v>2712</v>
      </c>
      <c r="E36" s="5" t="s">
        <v>2713</v>
      </c>
      <c r="K36" s="6" t="str">
        <f>IFERROR(__xludf.DUMMYFUNCTION("GOOGLETRANSLATE(A36, ""en"", ""ur"")"),"35")</f>
        <v>35</v>
      </c>
      <c r="L36" s="6" t="str">
        <f>IFERROR(__xludf.DUMMYFUNCTION("GOOGLETRANSLATE(B36, ""en"", ""ur"")"),"سوار کے لیے ""نرم ہاتھ"" ہونے کا کیا مطلب ہے؟")</f>
        <v>سوار کے لیے "نرم ہاتھ" ہونے کا کیا مطلب ہے؟</v>
      </c>
      <c r="M36" s="6" t="str">
        <f>IFERROR(__xludf.DUMMYFUNCTION("GOOGLETRANSLATE(C36, ""en"", ""ur"")"),"A) ان کے ہاتھ کمزور اور گرفت کمزور ہے، B) وہ بہت ہلکے اور نرم لگام کے اشاروں سے گھوڑے کی رہنمائی کر سکتے ہیں، C) وہ بہت نرم دستانے پہنتے ہیں، D) وہ ایک ابتدائی سوار ہیں۔")</f>
        <v>A) ان کے ہاتھ کمزور اور گرفت کمزور ہے، B) وہ بہت ہلکے اور نرم لگام کے اشاروں سے گھوڑے کی رہنمائی کر سکتے ہیں، C) وہ بہت نرم دستانے پہنتے ہیں، D) وہ ایک ابتدائی سوار ہیں۔</v>
      </c>
      <c r="N36" s="6" t="str">
        <f>IFERROR(__xludf.DUMMYFUNCTION("GOOGLETRANSLATE(D36, ""en"", ""ur"")"),"ب) وہ بہت ہلکے اور نرم لگام کے اشاروں سے گھوڑے کی رہنمائی کرنے کے قابل ہیں۔")</f>
        <v>ب) وہ بہت ہلکے اور نرم لگام کے اشاروں سے گھوڑے کی رہنمائی کرنے کے قابل ہیں۔</v>
      </c>
      <c r="O36" s="6" t="str">
        <f>IFERROR(__xludf.DUMMYFUNCTION("GOOGLETRANSLATE(E36, ""en"", ""ur"")"),"""نرم ہاتھ"" گھڑ سواری کی دنیا میں ایک اعلی تعریف کی اصطلاح ہے، جو ایک ماہر گھڑ سوار کی نشاندہی کرتا ہے جو سخت طاقت کے بجائے ٹھیک ٹھیک اشاروں کے ذریعے بات چیت کرتا ہے۔")</f>
        <v>"نرم ہاتھ" گھڑ سواری کی دنیا میں ایک اعلی تعریف کی اصطلاح ہے، جو ایک ماہر گھڑ سوار کی نشاندہی کرتا ہے جو سخت طاقت کے بجائے ٹھیک ٹھیک اشاروں کے ذریعے بات چیت کرتا ہے۔</v>
      </c>
    </row>
    <row r="37">
      <c r="A37" s="4">
        <v>36.0</v>
      </c>
      <c r="B37" s="5" t="s">
        <v>2714</v>
      </c>
      <c r="C37" s="5" t="s">
        <v>2715</v>
      </c>
      <c r="D37" s="5" t="s">
        <v>2716</v>
      </c>
      <c r="E37" s="5" t="s">
        <v>2717</v>
      </c>
      <c r="K37" s="6" t="str">
        <f>IFERROR(__xludf.DUMMYFUNCTION("GOOGLETRANSLATE(A37, ""en"", ""ur"")"),"36")</f>
        <v>36</v>
      </c>
      <c r="L37" s="6" t="str">
        <f>IFERROR(__xludf.DUMMYFUNCTION("GOOGLETRANSLATE(B37, ""en"", ""ur"")"),"ایک سوار نے احتجاج کیا کہ سورج براہ راست ان کی آنکھوں میں تھا، جس کی وجہ سے وہ گم ہو گئے۔ افسران کیا حکومت کریں گے؟")</f>
        <v>ایک سوار نے احتجاج کیا کہ سورج براہ راست ان کی آنکھوں میں تھا، جس کی وجہ سے وہ گم ہو گئے۔ افسران کیا حکومت کریں گے؟</v>
      </c>
      <c r="M37" s="6" t="str">
        <f>IFERROR(__xludf.DUMMYFUNCTION("GOOGLETRANSLATE(C37, ""en"", ""ur"")"),"A) انہیں دوبارہ چلانے کی اجازت دی جائے گی، B) احتجاج کو مسترد کر دیا جائے گا کیونکہ ماحولیاتی حالات کھیل کا حصہ ہیں، C) مقابلہ اس وقت تک روک دیا جائے گا جب تک کہ سورج نہیں نکل جاتا، D) انہیں مشکل کی وجہ سے جزوی پوائنٹس دیئے جائیں گے۔")</f>
        <v>A) انہیں دوبارہ چلانے کی اجازت دی جائے گی، B) احتجاج کو مسترد کر دیا جائے گا کیونکہ ماحولیاتی حالات کھیل کا حصہ ہیں، C) مقابلہ اس وقت تک روک دیا جائے گا جب تک کہ سورج نہیں نکل جاتا، D) انہیں مشکل کی وجہ سے جزوی پوائنٹس دیئے جائیں گے۔</v>
      </c>
      <c r="N37" s="6" t="str">
        <f>IFERROR(__xludf.DUMMYFUNCTION("GOOGLETRANSLATE(D37, ""en"", ""ur"")"),"ب) احتجاج کو مسترد کر دیا جائے گا کیونکہ ماحولیاتی حالات کھیل کا حصہ ہیں۔")</f>
        <v>ب) احتجاج کو مسترد کر دیا جائے گا کیونکہ ماحولیاتی حالات کھیل کا حصہ ہیں۔</v>
      </c>
      <c r="O37" s="6" t="str">
        <f>IFERROR(__xludf.DUMMYFUNCTION("GOOGLETRANSLATE(E37, ""en"", ""ur"")"),"تمام سوار ایک ہی قدرتی حالات میں مقابلہ کرتے ہیں۔ سورج کی چمک، ہوا، یا بارش جیسے عوامل کو چیلنج کا حصہ سمجھا جاتا ہے۔")</f>
        <v>تمام سوار ایک ہی قدرتی حالات میں مقابلہ کرتے ہیں۔ سورج کی چمک، ہوا، یا بارش جیسے عوامل کو چیلنج کا حصہ سمجھا جاتا ہے۔</v>
      </c>
    </row>
    <row r="38">
      <c r="A38" s="4">
        <v>37.0</v>
      </c>
      <c r="B38" s="5" t="s">
        <v>2718</v>
      </c>
      <c r="C38" s="5" t="s">
        <v>2719</v>
      </c>
      <c r="D38" s="5" t="s">
        <v>2720</v>
      </c>
      <c r="E38" s="5" t="s">
        <v>2721</v>
      </c>
      <c r="K38" s="6" t="str">
        <f>IFERROR(__xludf.DUMMYFUNCTION("GOOGLETRANSLATE(A38, ""en"", ""ur"")"),"37")</f>
        <v>37</v>
      </c>
      <c r="L38" s="6" t="str">
        <f>IFERROR(__xludf.DUMMYFUNCTION("GOOGLETRANSLATE(B38, ""en"", ""ur"")"),"بنیادی وجہ کیا ہے کہ ایک سوار کو لانس کو اپنے بیس کے قریب رکھنا چاہیے، درمیان میں نہیں؟")</f>
        <v>بنیادی وجہ کیا ہے کہ ایک سوار کو لانس کو اپنے بیس کے قریب رکھنا چاہیے، درمیان میں نہیں؟</v>
      </c>
      <c r="M38" s="6" t="str">
        <f>IFERROR(__xludf.DUMMYFUNCTION("GOOGLETRANSLATE(C38, ""en"", ""ur"")"),"A) یہ ایک رسمی اصول ہے، B) یہ ہڑتال کے لیے زیادہ سے زیادہ ممکنہ رسائی اور فائدہ فراہم کرتا ہے، C) اس طرح توازن رکھنا آسان ہے، D) یہ سوار کے ہاتھ کو اثر سے بچاتا ہے۔")</f>
        <v>A) یہ ایک رسمی اصول ہے، B) یہ ہڑتال کے لیے زیادہ سے زیادہ ممکنہ رسائی اور فائدہ فراہم کرتا ہے، C) اس طرح توازن رکھنا آسان ہے، D) یہ سوار کے ہاتھ کو اثر سے بچاتا ہے۔</v>
      </c>
      <c r="N38" s="6" t="str">
        <f>IFERROR(__xludf.DUMMYFUNCTION("GOOGLETRANSLATE(D38, ""en"", ""ur"")"),"ب) یہ ہڑتال کے لیے زیادہ سے زیادہ ممکنہ رسائی اور فائدہ فراہم کرتا ہے۔")</f>
        <v>ب) یہ ہڑتال کے لیے زیادہ سے زیادہ ممکنہ رسائی اور فائدہ فراہم کرتا ہے۔</v>
      </c>
      <c r="O38" s="6" t="str">
        <f>IFERROR(__xludf.DUMMYFUNCTION("GOOGLETRANSLATE(E38, ""en"", ""ur"")"),"لانس کو اس کے سرے پر رکھنے سے بازو کی طویل ترین اور سب سے زیادہ مستحکم توسیع ہوتی ہے، جو درستگی اور زمینی ہدف تک پہنچنے کے لیے اہم ہے۔")</f>
        <v>لانس کو اس کے سرے پر رکھنے سے بازو کی طویل ترین اور سب سے زیادہ مستحکم توسیع ہوتی ہے، جو درستگی اور زمینی ہدف تک پہنچنے کے لیے اہم ہے۔</v>
      </c>
    </row>
    <row r="39">
      <c r="A39" s="4">
        <v>38.0</v>
      </c>
      <c r="B39" s="5" t="s">
        <v>2722</v>
      </c>
      <c r="C39" s="5" t="s">
        <v>2723</v>
      </c>
      <c r="D39" s="5" t="s">
        <v>2724</v>
      </c>
      <c r="E39" s="5" t="s">
        <v>2725</v>
      </c>
      <c r="K39" s="6" t="str">
        <f>IFERROR(__xludf.DUMMYFUNCTION("GOOGLETRANSLATE(A39, ""en"", ""ur"")"),"38")</f>
        <v>38</v>
      </c>
      <c r="L39" s="6" t="str">
        <f>IFERROR(__xludf.DUMMYFUNCTION("GOOGLETRANSLATE(B39, ""en"", ""ur"")"),"ٹینٹ پیگنگ اور پولو کے درمیان بنیادی فرق کیا ہے؟")</f>
        <v>ٹینٹ پیگنگ اور پولو کے درمیان بنیادی فرق کیا ہے؟</v>
      </c>
      <c r="M39" s="6" t="str">
        <f>IFERROR(__xludf.DUMMYFUNCTION("GOOGLETRANSLATE(C39, ""en"", ""ur"")"),"A) پولو ایک ٹیم کا کھیل ہے، B) پولو گیند اور مالٹ کے ساتھ کھیلا جاتا ہے، جبکہ ٹینٹ پیگنگ لانس/تلوار اور اسٹیشنری ٹارگٹ کا استعمال کرتا ہے، C) پولو ایک تیز کھیل ہے، D) ٹینٹ پیگنگ کے لیے سوار سے زیادہ مہارت کی ضرورت ہوتی ہے۔")</f>
        <v>A) پولو ایک ٹیم کا کھیل ہے، B) پولو گیند اور مالٹ کے ساتھ کھیلا جاتا ہے، جبکہ ٹینٹ پیگنگ لانس/تلوار اور اسٹیشنری ٹارگٹ کا استعمال کرتا ہے، C) پولو ایک تیز کھیل ہے، D) ٹینٹ پیگنگ کے لیے سوار سے زیادہ مہارت کی ضرورت ہوتی ہے۔</v>
      </c>
      <c r="N39" s="6" t="str">
        <f>IFERROR(__xludf.DUMMYFUNCTION("GOOGLETRANSLATE(D39, ""en"", ""ur"")"),"ب) پولو گیند اور مالٹ کے ساتھ کھیلا جاتا ہے، جبکہ ٹینٹ پیگنگ لانس/تلوار اور اسٹیشنری اہداف کا استعمال کرتا ہے")</f>
        <v>ب) پولو گیند اور مالٹ کے ساتھ کھیلا جاتا ہے، جبکہ ٹینٹ پیگنگ لانس/تلوار اور اسٹیشنری اہداف کا استعمال کرتا ہے</v>
      </c>
      <c r="O39" s="6" t="str">
        <f>IFERROR(__xludf.DUMMYFUNCTION("GOOGLETRANSLATE(E39, ""en"", ""ur"")"),"وہ بنیادی طور پر مختلف گھڑ سواری کے کھیل ہیں۔ ایک ٹیم بال کا کھیل ہے جو گول کرنے پر مرکوز ہے، اور دوسرا ایک ہدف والا کھیل ہے جس پر توجہ مرکوز کی جاتی ہے۔")</f>
        <v>وہ بنیادی طور پر مختلف گھڑ سواری کے کھیل ہیں۔ ایک ٹیم بال کا کھیل ہے جو گول کرنے پر مرکوز ہے، اور دوسرا ایک ہدف والا کھیل ہے جس پر توجہ مرکوز کی جاتی ہے۔</v>
      </c>
    </row>
    <row r="40">
      <c r="A40" s="4">
        <v>39.0</v>
      </c>
      <c r="B40" s="5" t="s">
        <v>2726</v>
      </c>
      <c r="C40" s="5" t="s">
        <v>2727</v>
      </c>
      <c r="D40" s="5" t="s">
        <v>2728</v>
      </c>
      <c r="E40" s="5" t="s">
        <v>2729</v>
      </c>
      <c r="K40" s="6" t="str">
        <f>IFERROR(__xludf.DUMMYFUNCTION("GOOGLETRANSLATE(A40, ""en"", ""ur"")"),"39")</f>
        <v>39</v>
      </c>
      <c r="L40" s="6" t="str">
        <f>IFERROR(__xludf.DUMMYFUNCTION("GOOGLETRANSLATE(B40, ""en"", ""ur"")"),"سوار کی دوڑ کو کالعدم قرار دیا جاتا ہے کیونکہ ان کے گھوڑے کی ٹانگوں کی حفاظتی پٹیاں ختم ہو جاتی ہیں۔ یہ ایک اصول کیوں ہے؟")</f>
        <v>سوار کی دوڑ کو کالعدم قرار دیا جاتا ہے کیونکہ ان کے گھوڑے کی ٹانگوں کی حفاظتی پٹیاں ختم ہو جاتی ہیں۔ یہ ایک اصول کیوں ہے؟</v>
      </c>
      <c r="M40" s="6" t="str">
        <f>IFERROR(__xludf.DUMMYFUNCTION("GOOGLETRANSLATE(C40, ""en"", ""ur"")"),"A) یہ سوار کے لیے ایک خلفشار ہے، B) ایک ڈھیلی پٹی گھوڑے کو ٹرپ کر سکتی ہے، جس سے حفاظت کا ایک بڑا خطرہ ہوتا ہے، C) یہ غیر پیشہ ورانہ اور گندا لگتا ہے، D) یہ الیکٹرانک ٹائمنگ آلات میں مداخلت کر سکتا ہے۔")</f>
        <v>A) یہ سوار کے لیے ایک خلفشار ہے، B) ایک ڈھیلی پٹی گھوڑے کو ٹرپ کر سکتی ہے، جس سے حفاظت کا ایک بڑا خطرہ ہوتا ہے، C) یہ غیر پیشہ ورانہ اور گندا لگتا ہے، D) یہ الیکٹرانک ٹائمنگ آلات میں مداخلت کر سکتا ہے۔</v>
      </c>
      <c r="N40" s="6" t="str">
        <f>IFERROR(__xludf.DUMMYFUNCTION("GOOGLETRANSLATE(D40, ""en"", ""ur"")"),"ب) ایک ڈھیلی پٹی گھوڑے کو ٹرپ کر سکتی ہے، جس سے حفاظت کا ایک بڑا خطرہ ہوتا ہے۔")</f>
        <v>ب) ایک ڈھیلی پٹی گھوڑے کو ٹرپ کر سکتی ہے، جس سے حفاظت کا ایک بڑا خطرہ ہوتا ہے۔</v>
      </c>
      <c r="O40" s="6" t="str">
        <f>IFERROR(__xludf.DUMMYFUNCTION("GOOGLETRANSLATE(E40, ""en"", ""ur"")"),"تباہ کن حادثات کو روکنے کے لیے تمام گھوڑوں کے ٹیک اور آلات کی محفوظ فٹنگ کے حوالے سے قوانین کو سختی سے نافذ کیا جاتا ہے۔")</f>
        <v>تباہ کن حادثات کو روکنے کے لیے تمام گھوڑوں کے ٹیک اور آلات کی محفوظ فٹنگ کے حوالے سے قوانین کو سختی سے نافذ کیا جاتا ہے۔</v>
      </c>
    </row>
    <row r="41">
      <c r="A41" s="4">
        <v>40.0</v>
      </c>
      <c r="B41" s="5" t="s">
        <v>2730</v>
      </c>
      <c r="C41" s="5" t="s">
        <v>2731</v>
      </c>
      <c r="D41" s="5" t="s">
        <v>2732</v>
      </c>
      <c r="E41" s="5" t="s">
        <v>2733</v>
      </c>
      <c r="K41" s="6" t="str">
        <f>IFERROR(__xludf.DUMMYFUNCTION("GOOGLETRANSLATE(A41, ""en"", ""ur"")"),"40")</f>
        <v>40</v>
      </c>
      <c r="L41" s="6" t="str">
        <f>IFERROR(__xludf.DUMMYFUNCTION("GOOGLETRANSLATE(B41, ""en"", ""ur"")"),"پاکستان میں ٹینٹ پیگنگ کو ""وراثت کا کھیل"" سمجھا جانے کی بنیادی وجہ کیا ہے؟")</f>
        <v>پاکستان میں ٹینٹ پیگنگ کو "وراثت کا کھیل" سمجھا جانے کی بنیادی وجہ کیا ہے؟</v>
      </c>
      <c r="M41" s="6" t="str">
        <f>IFERROR(__xludf.DUMMYFUNCTION("GOOGLETRANSLATE(C41, ""en"", ""ur"")"),"A) یہ ایک پرانا اور فرسودہ کھیل ہے جو اب مقبول نہیں ہے، B) یہ ایک زندہ روایت ہے جو قدیم گھڑ سواری اور فوجی مہارتوں کو محفوظ رکھتی ہے، C) یہ صرف 60 سال سے زیادہ عمر کے لوگ کرتے ہیں، D) یہ یونیسکو کی عالمی ثقافتی ورثہ کی سرگرمی ہے۔")</f>
        <v>A) یہ ایک پرانا اور فرسودہ کھیل ہے جو اب مقبول نہیں ہے، B) یہ ایک زندہ روایت ہے جو قدیم گھڑ سواری اور فوجی مہارتوں کو محفوظ رکھتی ہے، C) یہ صرف 60 سال سے زیادہ عمر کے لوگ کرتے ہیں، D) یہ یونیسکو کی عالمی ثقافتی ورثہ کی سرگرمی ہے۔</v>
      </c>
      <c r="N41" s="6" t="str">
        <f>IFERROR(__xludf.DUMMYFUNCTION("GOOGLETRANSLATE(D41, ""en"", ""ur"")"),"ب) یہ ایک زندہ روایت ہے جو قدیم گھڑ سواری اور فوجی مہارتوں کو محفوظ رکھتی ہے۔")</f>
        <v>ب) یہ ایک زندہ روایت ہے جو قدیم گھڑ سواری اور فوجی مہارتوں کو محفوظ رکھتی ہے۔</v>
      </c>
      <c r="O41" s="6" t="str">
        <f>IFERROR(__xludf.DUMMYFUNCTION("GOOGLETRANSLATE(E41, ""en"", ""ur"")"),"اس کی قدر صرف مقابلہ کے طور پر نہیں، بلکہ خطے کی تاریخی اور ثقافتی شناخت، خاص طور پر اس کی گھڑ سواری کی میراث سے براہ راست تعلق کے طور پر کی جاتی ہے۔")</f>
        <v>اس کی قدر صرف مقابلہ کے طور پر نہیں، بلکہ خطے کی تاریخی اور ثقافتی شناخت، خاص طور پر اس کی گھڑ سواری کی میراث سے براہ راست تعلق کے طور پر کی جاتی ہے۔</v>
      </c>
    </row>
    <row r="42">
      <c r="A42" s="4">
        <v>41.0</v>
      </c>
      <c r="B42" s="5" t="s">
        <v>2734</v>
      </c>
      <c r="C42" s="5" t="s">
        <v>2695</v>
      </c>
      <c r="D42" s="5" t="s">
        <v>2696</v>
      </c>
      <c r="E42" s="5" t="s">
        <v>2735</v>
      </c>
      <c r="K42" s="6" t="str">
        <f>IFERROR(__xludf.DUMMYFUNCTION("GOOGLETRANSLATE(A42, ""en"", ""ur"")"),"41")</f>
        <v>41</v>
      </c>
      <c r="L42" s="6" t="str">
        <f>IFERROR(__xludf.DUMMYFUNCTION("GOOGLETRANSLATE(B42, ""en"", ""ur"")"),"ایک سوار کا گھوڑا بلنکرز پہنے نظر آتا ہے۔ ان کا مقصد کیا ہے؟")</f>
        <v>ایک سوار کا گھوڑا بلنکرز پہنے نظر آتا ہے۔ ان کا مقصد کیا ہے؟</v>
      </c>
      <c r="M42" s="6" t="str">
        <f>IFERROR(__xludf.DUMMYFUNCTION("GOOGLETRANSLATE(C42, ""en"", ""ur"")"),"A) گھوڑے کی آنکھوں کو دھول سے بچانے کے لئے، B) گھوڑے کے نقطہ نظر کو محدود کرنے اور اسے آگے کی پٹری پر مرکوز رکھنے کے لئے، C) یہ ایک آرائشی عنصر ہیں، D) یہ گھوڑے کو تیز دھوپ میں بہتر طور پر دیکھنے میں مدد کرتے ہیں۔")</f>
        <v>A) گھوڑے کی آنکھوں کو دھول سے بچانے کے لئے، B) گھوڑے کے نقطہ نظر کو محدود کرنے اور اسے آگے کی پٹری پر مرکوز رکھنے کے لئے، C) یہ ایک آرائشی عنصر ہیں، D) یہ گھوڑے کو تیز دھوپ میں بہتر طور پر دیکھنے میں مدد کرتے ہیں۔</v>
      </c>
      <c r="N42" s="6" t="str">
        <f>IFERROR(__xludf.DUMMYFUNCTION("GOOGLETRANSLATE(D42, ""en"", ""ur"")"),"ب) گھوڑے کے بصارت کے میدان کو محدود کرنا اور اسے آگے کی پٹری پر مرکوز رکھنا")</f>
        <v>ب) گھوڑے کے بصارت کے میدان کو محدود کرنا اور اسے آگے کی پٹری پر مرکوز رکھنا</v>
      </c>
      <c r="O42" s="6" t="str">
        <f>IFERROR(__xludf.DUMMYFUNCTION("GOOGLETRANSLATE(E42, ""en"", ""ur"")"),"بلنکرز ٹیک کا ایک ایسا ٹکڑا ہے جو گھوڑے کو اس کے پہلو یا پیچھے کی طرف حرکت سے مشغول ہونے سے روکتا ہے، اس بات کو یقینی بناتا ہے کہ یہ ہدف تک سیدھا اور صحیح راستہ چلاتا ہے۔")</f>
        <v>بلنکرز ٹیک کا ایک ایسا ٹکڑا ہے جو گھوڑے کو اس کے پہلو یا پیچھے کی طرف حرکت سے مشغول ہونے سے روکتا ہے، اس بات کو یقینی بناتا ہے کہ یہ ہدف تک سیدھا اور صحیح راستہ چلاتا ہے۔</v>
      </c>
    </row>
    <row r="43">
      <c r="A43" s="4">
        <v>42.0</v>
      </c>
      <c r="B43" s="5" t="s">
        <v>2736</v>
      </c>
      <c r="C43" s="5" t="s">
        <v>2737</v>
      </c>
      <c r="D43" s="5" t="s">
        <v>2700</v>
      </c>
      <c r="E43" s="5" t="s">
        <v>2701</v>
      </c>
      <c r="K43" s="6" t="str">
        <f>IFERROR(__xludf.DUMMYFUNCTION("GOOGLETRANSLATE(A43, ""en"", ""ur"")"),"42")</f>
        <v>42</v>
      </c>
      <c r="L43" s="6" t="str">
        <f>IFERROR(__xludf.DUMMYFUNCTION("GOOGLETRANSLATE(B43, ""en"", ""ur"")"),"ایک سوار کامیابی سے لیموں کو کاٹتا ہے، لیکن تلوار اس تار سے بھی ٹکراتی ہے جس سے وہ لٹک رہی تھی۔ اس کا کیا حکم ہے؟")</f>
        <v>ایک سوار کامیابی سے لیموں کو کاٹتا ہے، لیکن تلوار اس تار سے بھی ٹکراتی ہے جس سے وہ لٹک رہی تھی۔ اس کا کیا حکم ہے؟</v>
      </c>
      <c r="M43" s="6" t="str">
        <f>IFERROR(__xludf.DUMMYFUNCTION("GOOGLETRANSLATE(C43, ""en"", ""ur"")"),"A) سکور درست ہے، B) اپریٹس کو ٹکرانے پر سکور منسوخ کر دیا جاتا ہے، C) ایک جرمانہ کاٹا جاتا ہے، D) سوار کو دوبارہ رن ملتا ہے۔")</f>
        <v>A) سکور درست ہے، B) اپریٹس کو ٹکرانے پر سکور منسوخ کر دیا جاتا ہے، C) ایک جرمانہ کاٹا جاتا ہے، D) سوار کو دوبارہ رن ملتا ہے۔</v>
      </c>
      <c r="N43" s="6" t="str">
        <f>IFERROR(__xludf.DUMMYFUNCTION("GOOGLETRANSLATE(D43, ""en"", ""ur"")"),"A) سکور درست ہے۔")</f>
        <v>A) سکور درست ہے۔</v>
      </c>
      <c r="O43" s="6" t="str">
        <f>IFERROR(__xludf.DUMMYFUNCTION("GOOGLETRANSLATE(E43, ""en"", ""ur"")"),"جب تک ہدف خود صاف طور پر کاٹا جاتا ہے، غلطی سے سٹرنگ یا اسٹینڈ کو مارنا عام طور پر اسکور کو باطل نہیں کرتا ہے۔")</f>
        <v>جب تک ہدف خود صاف طور پر کاٹا جاتا ہے، غلطی سے سٹرنگ یا اسٹینڈ کو مارنا عام طور پر اسکور کو باطل نہیں کرتا ہے۔</v>
      </c>
    </row>
    <row r="44">
      <c r="A44" s="4">
        <v>43.0</v>
      </c>
      <c r="B44" s="5" t="s">
        <v>2738</v>
      </c>
      <c r="C44" s="5" t="s">
        <v>2739</v>
      </c>
      <c r="D44" s="5" t="s">
        <v>2740</v>
      </c>
      <c r="E44" s="5" t="s">
        <v>2741</v>
      </c>
      <c r="K44" s="6" t="str">
        <f>IFERROR(__xludf.DUMMYFUNCTION("GOOGLETRANSLATE(A44, ""en"", ""ur"")"),"43")</f>
        <v>43</v>
      </c>
      <c r="L44" s="6" t="str">
        <f>IFERROR(__xludf.DUMMYFUNCTION("GOOGLETRANSLATE(B44, ""en"", ""ur"")"),"سوار کے لیے گہری، محفوظ سیٹ کیوں ضروری ہے؟")</f>
        <v>سوار کے لیے گہری، محفوظ سیٹ کیوں ضروری ہے؟</v>
      </c>
      <c r="M44" s="6" t="str">
        <f>IFERROR(__xludf.DUMMYFUNCTION("GOOGLETRANSLATE(C44, ""en"", ""ur"")"),"A) یہ زیادہ خوبصورت لگ رہا ہے، B) یہ سوار کو گھوڑے کی حرکت کو جذب کرنے اور لانس اسٹرائیک کے لیے ایک مستحکم پلیٹ فارم مہیا کرنے کی اجازت دیتا ہے، C) یہ گھوڑے کو تیزی سے دوڑنے میں مدد کرتا ہے، D) یونیفارم کوڈ کے ذریعے اس کی ضرورت ہوتی ہے۔")</f>
        <v>A) یہ زیادہ خوبصورت لگ رہا ہے، B) یہ سوار کو گھوڑے کی حرکت کو جذب کرنے اور لانس اسٹرائیک کے لیے ایک مستحکم پلیٹ فارم مہیا کرنے کی اجازت دیتا ہے، C) یہ گھوڑے کو تیزی سے دوڑنے میں مدد کرتا ہے، D) یونیفارم کوڈ کے ذریعے اس کی ضرورت ہوتی ہے۔</v>
      </c>
      <c r="N44" s="6" t="str">
        <f>IFERROR(__xludf.DUMMYFUNCTION("GOOGLETRANSLATE(D44, ""en"", ""ur"")"),"ب) یہ سوار کو گھوڑے کی حرکت کو جذب کرنے اور لانس اسٹرائیک کے لیے ایک مستحکم پلیٹ فارم مہیا کرنے دیتا ہے۔")</f>
        <v>ب) یہ سوار کو گھوڑے کی حرکت کو جذب کرنے اور لانس اسٹرائیک کے لیے ایک مستحکم پلیٹ فارم مہیا کرنے دیتا ہے۔</v>
      </c>
      <c r="O44" s="6" t="str">
        <f>IFERROR(__xludf.DUMMYFUNCTION("GOOGLETRANSLATE(E44, ""en"", ""ur"")"),"ایک سوار جو کاٹھی میں اچھال رہا ہے یا غیر محفوظ ہے وہ ممکنہ طور پر 2.5 میٹر کے لانس کا مقصد کسی چھوٹے ہدف کو نشانہ بنانے کے لیے درکار درستگی کے ساتھ نہیں رکھ سکتا۔")</f>
        <v>ایک سوار جو کاٹھی میں اچھال رہا ہے یا غیر محفوظ ہے وہ ممکنہ طور پر 2.5 میٹر کے لانس کا مقصد کسی چھوٹے ہدف کو نشانہ بنانے کے لیے درکار درستگی کے ساتھ نہیں رکھ سکتا۔</v>
      </c>
    </row>
    <row r="45">
      <c r="A45" s="4">
        <v>44.0</v>
      </c>
      <c r="B45" s="5" t="s">
        <v>2742</v>
      </c>
      <c r="C45" s="5" t="s">
        <v>2743</v>
      </c>
      <c r="D45" s="5" t="s">
        <v>2744</v>
      </c>
      <c r="E45" s="5" t="s">
        <v>2745</v>
      </c>
      <c r="K45" s="6" t="str">
        <f>IFERROR(__xludf.DUMMYFUNCTION("GOOGLETRANSLATE(A45, ""en"", ""ur"")"),"44")</f>
        <v>44</v>
      </c>
      <c r="L45" s="6" t="str">
        <f>IFERROR(__xludf.DUMMYFUNCTION("GOOGLETRANSLATE(B45, ""en"", ""ur"")"),"ایک سوار کو بہت ہلکا لانس رکھنے پر نااہل قرار دیا جاتا ہے۔ کم از کم وزن کا اصول کیوں ہے؟")</f>
        <v>ایک سوار کو بہت ہلکا لانس رکھنے پر نااہل قرار دیا جاتا ہے۔ کم از کم وزن کا اصول کیوں ہے؟</v>
      </c>
      <c r="M45" s="6" t="str">
        <f>IFERROR(__xludf.DUMMYFUNCTION("GOOGLETRANSLATE(C45, ""en"", ""ur"")"),"A) ہلکے لینس کے ٹوٹنے کا زیادہ امکان ہوتا ہے، B) انصاف پسندی کو یقینی بنانے اور سواروں کو رفتار اور مقصد میں فائدہ اٹھانے سے روکنے کے لیے، C) یہ ایک روایتی اصول ہے جس کا کوئی عملی مقصد نہیں ہے، D) کھیل کو مزید چیلنجنگ بنانا")</f>
        <v>A) ہلکے لینس کے ٹوٹنے کا زیادہ امکان ہوتا ہے، B) انصاف پسندی کو یقینی بنانے اور سواروں کو رفتار اور مقصد میں فائدہ اٹھانے سے روکنے کے لیے، C) یہ ایک روایتی اصول ہے جس کا کوئی عملی مقصد نہیں ہے، D) کھیل کو مزید چیلنجنگ بنانا</v>
      </c>
      <c r="N45" s="6" t="str">
        <f>IFERROR(__xludf.DUMMYFUNCTION("GOOGLETRANSLATE(D45, ""en"", ""ur"")"),"ب) انصاف کو یقینی بنانا اور سواروں کو رفتار اور مقصد میں فائدہ حاصل کرنے سے روکنا")</f>
        <v>ب) انصاف کو یقینی بنانا اور سواروں کو رفتار اور مقصد میں فائدہ حاصل کرنے سے روکنا</v>
      </c>
      <c r="O45" s="6" t="str">
        <f>IFERROR(__xludf.DUMMYFUNCTION("GOOGLETRANSLATE(E45, ""en"", ""ur"")"),"ایک بہت ہلکا لانس مقصد اور تیز کرنا بہت آسان ہو گا، اس لیے منصفانہ مقابلے کے لیے ایک معیاری کم از کم وزن درکار ہے۔")</f>
        <v>ایک بہت ہلکا لانس مقصد اور تیز کرنا بہت آسان ہو گا، اس لیے منصفانہ مقابلے کے لیے ایک معیاری کم از کم وزن درکار ہے۔</v>
      </c>
    </row>
    <row r="46">
      <c r="A46" s="4">
        <v>45.0</v>
      </c>
      <c r="B46" s="5" t="s">
        <v>2746</v>
      </c>
      <c r="C46" s="5" t="s">
        <v>2747</v>
      </c>
      <c r="D46" s="5" t="s">
        <v>2748</v>
      </c>
      <c r="E46" s="5" t="s">
        <v>2749</v>
      </c>
      <c r="K46" s="6" t="str">
        <f>IFERROR(__xludf.DUMMYFUNCTION("GOOGLETRANSLATE(A46, ""en"", ""ur"")"),"45")</f>
        <v>45</v>
      </c>
      <c r="L46" s="6" t="str">
        <f>IFERROR(__xludf.DUMMYFUNCTION("GOOGLETRANSLATE(B46, ""en"", ""ur"")"),"ٹینٹ پیگنگ ایونٹ میں ""اسٹارٹر"" اہلکار کا کیا کردار ہے؟")</f>
        <v>ٹینٹ پیگنگ ایونٹ میں "اسٹارٹر" اہلکار کا کیا کردار ہے؟</v>
      </c>
      <c r="M46" s="6" t="str">
        <f>IFERROR(__xludf.DUMMYFUNCTION("GOOGLETRANSLATE(C46, ""en"", ""ur"")"),"A) گھوڑوں کا معائنہ کرنے کے لئے، B) ہر سوار کو اپنی دوڑ شروع کرنے کے لئے سرکاری سگنل دینے کے لئے، C) سکور کو برقرار رکھنے کے لئے، D) ہیڈ جج بننا")</f>
        <v>A) گھوڑوں کا معائنہ کرنے کے لئے، B) ہر سوار کو اپنی دوڑ شروع کرنے کے لئے سرکاری سگنل دینے کے لئے، C) سکور کو برقرار رکھنے کے لئے، D) ہیڈ جج بننا</v>
      </c>
      <c r="N46" s="6" t="str">
        <f>IFERROR(__xludf.DUMMYFUNCTION("GOOGLETRANSLATE(D46, ""en"", ""ur"")"),"ب) ہر سوار کو اپنی دوڑ شروع کرنے کے لیے سرکاری سگنل دینا")</f>
        <v>ب) ہر سوار کو اپنی دوڑ شروع کرنے کے لیے سرکاری سگنل دینا</v>
      </c>
      <c r="O46" s="6" t="str">
        <f>IFERROR(__xludf.DUMMYFUNCTION("GOOGLETRANSLATE(E46, ""en"", ""ur"")"),"سٹارٹر اس بات کو یقینی بنانے کے لیے ذمہ دار ہے کہ ہر رن منصفانہ اور صحیح وقت پر شروع ہو، اکثر جھنڈا گرا کر یا سیٹی بجا کر۔")</f>
        <v>سٹارٹر اس بات کو یقینی بنانے کے لیے ذمہ دار ہے کہ ہر رن منصفانہ اور صحیح وقت پر شروع ہو، اکثر جھنڈا گرا کر یا سیٹی بجا کر۔</v>
      </c>
    </row>
    <row r="47">
      <c r="A47" s="4">
        <v>46.0</v>
      </c>
      <c r="B47" s="5" t="s">
        <v>2750</v>
      </c>
      <c r="C47" s="5" t="s">
        <v>2751</v>
      </c>
      <c r="D47" s="5" t="s">
        <v>2752</v>
      </c>
      <c r="E47" s="5" t="s">
        <v>2753</v>
      </c>
      <c r="K47" s="6" t="str">
        <f>IFERROR(__xludf.DUMMYFUNCTION("GOOGLETRANSLATE(A47, ""en"", ""ur"")"),"46")</f>
        <v>46</v>
      </c>
      <c r="L47" s="6" t="str">
        <f>IFERROR(__xludf.DUMMYFUNCTION("GOOGLETRANSLATE(B47, ""en"", ""ur"")"),"ٹینٹ پیگنگ کے لیے پٹھوں کی تعمیر کے لیے ان میں سے کون سا گھوڑے کی خوراک کا اہم حصہ ہے؟")</f>
        <v>ٹینٹ پیگنگ کے لیے پٹھوں کی تعمیر کے لیے ان میں سے کون سا گھوڑے کی خوراک کا اہم حصہ ہے؟</v>
      </c>
      <c r="M47" s="6" t="str">
        <f>IFERROR(__xludf.DUMMYFUNCTION("GOOGLETRANSLATE(C47, ""en"", ""ur"")"),"A) شوگر کیوبز اور سیب، B) اعلیٰ معیار کے پروٹین کے ذرائع جیسے الفافہ اور مخصوص اناج، C) صرف تازہ گھاس، D) زیادہ تر پھل اور سبزیاں")</f>
        <v>A) شوگر کیوبز اور سیب، B) اعلیٰ معیار کے پروٹین کے ذرائع جیسے الفافہ اور مخصوص اناج، C) صرف تازہ گھاس، D) زیادہ تر پھل اور سبزیاں</v>
      </c>
      <c r="N47" s="6" t="str">
        <f>IFERROR(__xludf.DUMMYFUNCTION("GOOGLETRANSLATE(D47, ""en"", ""ur"")"),"ب) اعلیٰ قسم کے پروٹین کے ذرائع جیسے الفافہ اور مخصوص اناج")</f>
        <v>ب) اعلیٰ قسم کے پروٹین کے ذرائع جیسے الفافہ اور مخصوص اناج</v>
      </c>
      <c r="O47" s="6" t="str">
        <f>IFERROR(__xludf.DUMMYFUNCTION("GOOGLETRANSLATE(E47, ""en"", ""ur"")"),"ایک ایتھلیٹک گھوڑے کو پٹھوں کی نشوونما کے لیے پروٹین سے بھرپور متوازن غذا اور کارکردگی کے لیے توانائی سے بھرپور اناج کی ضرورت ہوتی ہے۔")</f>
        <v>ایک ایتھلیٹک گھوڑے کو پٹھوں کی نشوونما کے لیے پروٹین سے بھرپور متوازن غذا اور کارکردگی کے لیے توانائی سے بھرپور اناج کی ضرورت ہوتی ہے۔</v>
      </c>
    </row>
    <row r="48">
      <c r="A48" s="4">
        <v>47.0</v>
      </c>
      <c r="B48" s="5" t="s">
        <v>2754</v>
      </c>
      <c r="C48" s="5" t="s">
        <v>2755</v>
      </c>
      <c r="D48" s="5" t="s">
        <v>2756</v>
      </c>
      <c r="E48" s="5" t="s">
        <v>2757</v>
      </c>
      <c r="K48" s="6" t="str">
        <f>IFERROR(__xludf.DUMMYFUNCTION("GOOGLETRANSLATE(A48, ""en"", ""ur"")"),"47")</f>
        <v>47</v>
      </c>
      <c r="L48" s="6" t="str">
        <f>IFERROR(__xludf.DUMMYFUNCTION("GOOGLETRANSLATE(B48, ""en"", ""ur"")"),"ایک سوار بہت ڈھیلا، روایتی لباس پہنے ہوئے ہے۔ ایک ریفری ان سے رسمی مقابلے میں تبدیلی کے لیے کیوں کہہ سکتا ہے؟")</f>
        <v>ایک سوار بہت ڈھیلا، روایتی لباس پہنے ہوئے ہے۔ ایک ریفری ان سے رسمی مقابلے میں تبدیلی کے لیے کیوں کہہ سکتا ہے؟</v>
      </c>
      <c r="M48" s="6" t="str">
        <f>IFERROR(__xludf.DUMMYFUNCTION("GOOGLETRANSLATE(C48, ""en"", ""ur"")"),"A) لباس صحیح رنگ نہیں ہے، B) ڈھیلا لباس لانس یا سیڈل پر پکڑے جانے سے حفاظتی خطرہ ہو سکتا ہے، C) یہ کھیل کی بے عزتی ہے، D) یہ ایک غیر منصفانہ ایروڈینامک فائدہ دیتا ہے")</f>
        <v>A) لباس صحیح رنگ نہیں ہے، B) ڈھیلا لباس لانس یا سیڈل پر پکڑے جانے سے حفاظتی خطرہ ہو سکتا ہے، C) یہ کھیل کی بے عزتی ہے، D) یہ ایک غیر منصفانہ ایروڈینامک فائدہ دیتا ہے</v>
      </c>
      <c r="N48" s="6" t="str">
        <f>IFERROR(__xludf.DUMMYFUNCTION("GOOGLETRANSLATE(D48, ""en"", ""ur"")"),"ب) ڈھیلے کپڑے لانس یا سیڈل پر پھنسنے سے حفاظت کے لیے خطرہ ہو سکتے ہیں۔")</f>
        <v>ب) ڈھیلے کپڑے لانس یا سیڈل پر پھنسنے سے حفاظت کے لیے خطرہ ہو سکتے ہیں۔</v>
      </c>
      <c r="O48" s="6" t="str">
        <f>IFERROR(__xludf.DUMMYFUNCTION("GOOGLETRANSLATE(E48, ""en"", ""ur"")"),"حفاظت کے لیے، حادثوں سے بچنے کے لیے گھڑ سواری کا سامان ضروری ہے۔")</f>
        <v>حفاظت کے لیے، حادثوں سے بچنے کے لیے گھڑ سواری کا سامان ضروری ہے۔</v>
      </c>
    </row>
    <row r="49">
      <c r="A49" s="4">
        <v>48.0</v>
      </c>
      <c r="B49" s="5" t="s">
        <v>2758</v>
      </c>
      <c r="C49" s="5" t="s">
        <v>2759</v>
      </c>
      <c r="D49" s="5" t="s">
        <v>2760</v>
      </c>
      <c r="E49" s="5" t="s">
        <v>2761</v>
      </c>
      <c r="K49" s="6" t="str">
        <f>IFERROR(__xludf.DUMMYFUNCTION("GOOGLETRANSLATE(A49, ""en"", ""ur"")"),"48")</f>
        <v>48</v>
      </c>
      <c r="L49" s="6" t="str">
        <f>IFERROR(__xludf.DUMMYFUNCTION("GOOGLETRANSLATE(B49, ""en"", ""ur"")"),"کامل ""فل پیگ"" کی حتمی علامت کیا ہے؟")</f>
        <v>کامل "فل پیگ" کی حتمی علامت کیا ہے؟</v>
      </c>
      <c r="M49" s="6" t="str">
        <f>IFERROR(__xludf.DUMMYFUNCTION("GOOGLETRANSLATE(C49, ""en"", ""ur"")"),"A) کھونٹی کو بہت لمبا فاصلہ تک لے جایا جاتا ہے، B) کھونٹی کو زمین سے اٹھایا جاتا ہے جس میں مٹی میں کوئی خلل نظر نہیں آتا، C) سوار اسے تیز ترین رفتار سے کرتا ہے، D) سوار جنگلی جشن مناتا ہے۔")</f>
        <v>A) کھونٹی کو بہت لمبا فاصلہ تک لے جایا جاتا ہے، B) کھونٹی کو زمین سے اٹھایا جاتا ہے جس میں مٹی میں کوئی خلل نظر نہیں آتا، C) سوار اسے تیز ترین رفتار سے کرتا ہے، D) سوار جنگلی جشن مناتا ہے۔</v>
      </c>
      <c r="N49" s="6" t="str">
        <f>IFERROR(__xludf.DUMMYFUNCTION("GOOGLETRANSLATE(D49, ""en"", ""ur"")"),"ب) کھونٹی کو زمین سے اُٹھایا جاتا ہے جس میں مٹی میں کوئی خلل نظر نہیں آتا")</f>
        <v>ب) کھونٹی کو زمین سے اُٹھایا جاتا ہے جس میں مٹی میں کوئی خلل نظر نہیں آتا</v>
      </c>
      <c r="O49" s="6" t="str">
        <f>IFERROR(__xludf.DUMMYFUNCTION("GOOGLETRANSLATE(E49, ""en"", ""ur"")"),"یہ ایک مکمل طور پر مقصد اور عمل میں لائی گئی ہڑتال کی نشاندہی کرتا ہے، جو کھیل کے ایک حقیقی ماسٹر کا نشان ہے۔")</f>
        <v>یہ ایک مکمل طور پر مقصد اور عمل میں لائی گئی ہڑتال کی نشاندہی کرتا ہے، جو کھیل کے ایک حقیقی ماسٹر کا نشان ہے۔</v>
      </c>
    </row>
    <row r="50">
      <c r="A50" s="4">
        <v>49.0</v>
      </c>
      <c r="B50" s="5" t="s">
        <v>2762</v>
      </c>
      <c r="C50" s="5" t="s">
        <v>2763</v>
      </c>
      <c r="D50" s="5" t="s">
        <v>2764</v>
      </c>
      <c r="E50" s="5" t="s">
        <v>2765</v>
      </c>
      <c r="K50" s="6" t="str">
        <f>IFERROR(__xludf.DUMMYFUNCTION("GOOGLETRANSLATE(A50, ""en"", ""ur"")"),"49")</f>
        <v>49</v>
      </c>
      <c r="L50" s="6" t="str">
        <f>IFERROR(__xludf.DUMMYFUNCTION("GOOGLETRANSLATE(B50, ""en"", ""ur"")"),"ٹیم ایونٹ میں غیر میچ یونیفارم کے ساتھ ٹیم کے لئے کیا جرمانہ ہے؟")</f>
        <v>ٹیم ایونٹ میں غیر میچ یونیفارم کے ساتھ ٹیم کے لئے کیا جرمانہ ہے؟</v>
      </c>
      <c r="M50" s="6" t="str">
        <f>IFERROR(__xludf.DUMMYFUNCTION("GOOGLETRANSLATE(C50, ""en"", ""ur"")"),"A) ایک پوائنٹ کی کٹوتی، B) نااہلی، C) انہیں شروع کرنے کی اجازت نہیں ہے، D) ایک زبانی انتباہ جاری کیا جاتا ہے")</f>
        <v>A) ایک پوائنٹ کی کٹوتی، B) نااہلی، C) انہیں شروع کرنے کی اجازت نہیں ہے، D) ایک زبانی انتباہ جاری کیا جاتا ہے</v>
      </c>
      <c r="N50" s="6" t="str">
        <f>IFERROR(__xludf.DUMMYFUNCTION("GOOGLETRANSLATE(D50, ""en"", ""ur"")"),"ج) انہیں شروع کرنے کی اجازت نہیں ہے۔")</f>
        <v>ج) انہیں شروع کرنے کی اجازت نہیں ہے۔</v>
      </c>
      <c r="O50" s="6" t="str">
        <f>IFERROR(__xludf.DUMMYFUNCTION("GOOGLETRANSLATE(E50, ""en"", ""ur"")"),"ٹیم ایونٹس میں، رائیڈرز کے پاس پیشہ ورانہ ظاہری شکل کے لیے مماثل لباس ہونا چاہیے اس سے پہلے کہ وہ مقابلہ کر سکیں۔")</f>
        <v>ٹیم ایونٹس میں، رائیڈرز کے پاس پیشہ ورانہ ظاہری شکل کے لیے مماثل لباس ہونا چاہیے اس سے پہلے کہ وہ مقابلہ کر سکیں۔</v>
      </c>
    </row>
    <row r="51">
      <c r="A51" s="4">
        <v>50.0</v>
      </c>
      <c r="B51" s="5" t="s">
        <v>1490</v>
      </c>
      <c r="C51" s="5" t="s">
        <v>1180</v>
      </c>
      <c r="D51" s="5" t="s">
        <v>1181</v>
      </c>
      <c r="E51" s="5" t="s">
        <v>1182</v>
      </c>
      <c r="K51" s="6" t="str">
        <f>IFERROR(__xludf.DUMMYFUNCTION("GOOGLETRANSLATE(A51, ""en"", ""ur"")"),"50")</f>
        <v>50</v>
      </c>
      <c r="L51" s="6" t="str">
        <f>IFERROR(__xludf.DUMMYFUNCTION("GOOGLETRANSLATE(B51, ""en"", ""ur"")"),"غلط نسل کا گھوڑا رکھنے پر سوار کو نااہل قرار دیا جاتا ہے۔ پاکستان میں روایتی میچ کے لیے سب سے زیادہ مطلوبہ نسل کون سی ہے؟")</f>
        <v>غلط نسل کا گھوڑا رکھنے پر سوار کو نااہل قرار دیا جاتا ہے۔ پاکستان میں روایتی میچ کے لیے سب سے زیادہ مطلوبہ نسل کون سی ہے؟</v>
      </c>
      <c r="M51" s="6" t="str">
        <f>IFERROR(__xludf.DUMMYFUNCTION("GOOGLETRANSLATE(C51, ""en"", ""ur"")"),"A) عربی، B) مکمل نسل، C) ایک مقامی نسل جو وزیری یا بلوچی جیسی سختی کے لیے جانی جاتی ہے، D) شائر")</f>
        <v>A) عربی، B) مکمل نسل، C) ایک مقامی نسل جو وزیری یا بلوچی جیسی سختی کے لیے جانی جاتی ہے، D) شائر</v>
      </c>
      <c r="N51" s="6" t="str">
        <f>IFERROR(__xludf.DUMMYFUNCTION("GOOGLETRANSLATE(D51, ""en"", ""ur"")"),"ج) ایک مقامی نسل جو جفاکشی کے لیے مشہور ہے جیسے وزیری یا بلوچی۔")</f>
        <v>ج) ایک مقامی نسل جو جفاکشی کے لیے مشہور ہے جیسے وزیری یا بلوچی۔</v>
      </c>
      <c r="O51" s="6" t="str">
        <f>IFERROR(__xludf.DUMMYFUNCTION("GOOGLETRANSLATE(E51, ""en"", ""ur"")"),"روایتی کھیل اکثر مقامی نسلوں کو زیادہ اہمیت دیتے ہیں جو خاص طور پر خطے کی آب و ہوا اور کھیل کے تقاضوں کے مطابق ہوتی ہیں۔")</f>
        <v>روایتی کھیل اکثر مقامی نسلوں کو زیادہ اہمیت دیتے ہیں جو خاص طور پر خطے کی آب و ہوا اور کھیل کے تقاضوں کے مطابق ہوتی ہیں۔</v>
      </c>
    </row>
    <row r="52">
      <c r="A52" s="4">
        <v>51.0</v>
      </c>
      <c r="B52" s="5" t="s">
        <v>1183</v>
      </c>
      <c r="C52" s="5" t="s">
        <v>1184</v>
      </c>
      <c r="D52" s="5" t="s">
        <v>1185</v>
      </c>
      <c r="E52" s="5" t="s">
        <v>1491</v>
      </c>
      <c r="K52" s="6" t="str">
        <f>IFERROR(__xludf.DUMMYFUNCTION("GOOGLETRANSLATE(A52, ""en"", ""ur"")"),"51")</f>
        <v>51</v>
      </c>
      <c r="L52" s="6" t="str">
        <f>IFERROR(__xludf.DUMMYFUNCTION("GOOGLETRANSLATE(B52, ""en"", ""ur"")"),"ایک ریفری کھیل کو روکتا ہے کیونکہ سوار کی روایتی پگڑی (لنگی) ختم ہو گئی ہے اور ان کی بینائی کو مدھم کر رہی ہے۔ کیا یہ صحیح کال ہے؟")</f>
        <v>ایک ریفری کھیل کو روکتا ہے کیونکہ سوار کی روایتی پگڑی (لنگی) ختم ہو گئی ہے اور ان کی بینائی کو مدھم کر رہی ہے۔ کیا یہ صحیح کال ہے؟</v>
      </c>
      <c r="M52" s="6" t="str">
        <f>IFERROR(__xludf.DUMMYFUNCTION("GOOGLETRANSLATE(C52, ""en"", ""ur"")"),"A) نہیں، کھیل جاری رہنا چاہئے، B) ہاں، یہ سوار کی حفاظت کا معاملہ ہے، C) سوار کو نااہل قرار دیا جانا چاہئے، D) مخالف کو ایک پوائنٹ ملتا ہے")</f>
        <v>A) نہیں، کھیل جاری رہنا چاہئے، B) ہاں، یہ سوار کی حفاظت کا معاملہ ہے، C) سوار کو نااہل قرار دیا جانا چاہئے، D) مخالف کو ایک پوائنٹ ملتا ہے</v>
      </c>
      <c r="N52" s="6" t="str">
        <f>IFERROR(__xludf.DUMMYFUNCTION("GOOGLETRANSLATE(D52, ""en"", ""ur"")"),"ب) جی ہاں، یہ سوار کی حفاظت کا معاملہ ہے۔")</f>
        <v>ب) جی ہاں، یہ سوار کی حفاظت کا معاملہ ہے۔</v>
      </c>
      <c r="O52" s="6" t="str">
        <f>IFERROR(__xludf.DUMMYFUNCTION("GOOGLETRANSLATE(E52, ""en"", ""ur"")"),"اگر سامان یا لباس کا کوئی ٹکڑا حفاظتی خطرہ بن جاتا ہے، تو ریفری کھیل کو روک سکتا ہے اور اسے روکنا چاہیے۔")</f>
        <v>اگر سامان یا لباس کا کوئی ٹکڑا حفاظتی خطرہ بن جاتا ہے، تو ریفری کھیل کو روک سکتا ہے اور اسے روکنا چاہیے۔</v>
      </c>
    </row>
    <row r="53">
      <c r="A53" s="4">
        <v>52.0</v>
      </c>
      <c r="B53" s="5" t="s">
        <v>1492</v>
      </c>
      <c r="C53" s="5" t="s">
        <v>1385</v>
      </c>
      <c r="D53" s="5" t="s">
        <v>1386</v>
      </c>
      <c r="E53" s="5" t="s">
        <v>1387</v>
      </c>
      <c r="K53" s="6" t="str">
        <f>IFERROR(__xludf.DUMMYFUNCTION("GOOGLETRANSLATE(A53, ""en"", ""ur"")"),"52")</f>
        <v>52</v>
      </c>
      <c r="L53" s="6" t="str">
        <f>IFERROR(__xludf.DUMMYFUNCTION("GOOGLETRANSLATE(B53, ""en"", ""ur"")"),"گھوڑے کو اس کے ""نرم منہ"" کے لیے سراہا جاتا ہے۔ اس کا کیا مطلب ہے؟")</f>
        <v>گھوڑے کو اس کے "نرم منہ" کے لیے سراہا جاتا ہے۔ اس کا کیا مطلب ہے؟</v>
      </c>
      <c r="M53" s="6" t="str">
        <f>IFERROR(__xludf.DUMMYFUNCTION("GOOGLETRANSLATE(C53, ""en"", ""ur"")"),"A) گھوڑے کے دانت کمزور ہیں، B) گھوڑا لگام سے نرم اشارے پر بہت زیادہ جوابدہ ہے، C) گھوڑا نہیں کاٹتا، D) گھوڑا نرم کھانا کھاتا ہے")</f>
        <v>A) گھوڑے کے دانت کمزور ہیں، B) گھوڑا لگام سے نرم اشارے پر بہت زیادہ جوابدہ ہے، C) گھوڑا نہیں کاٹتا، D) گھوڑا نرم کھانا کھاتا ہے</v>
      </c>
      <c r="N53" s="6" t="str">
        <f>IFERROR(__xludf.DUMMYFUNCTION("GOOGLETRANSLATE(D53, ""en"", ""ur"")"),"ب) گھوڑا لگام سے نرم اشارے کے لئے بہت جوابدہ ہے۔")</f>
        <v>ب) گھوڑا لگام سے نرم اشارے کے لئے بہت جوابدہ ہے۔</v>
      </c>
      <c r="O53" s="6" t="str">
        <f>IFERROR(__xludf.DUMMYFUNCTION("GOOGLETRANSLATE(E53, ""en"", ""ur"")"),"ایک ""نرم منہ"" ایک اچھی طرح سے تربیت یافتہ گھوڑے کی علامت ہے جو ٹھیک ٹھیک اشاروں سے رہنمائی کی جا سکتی ہے، جو اس وقت اہم ہوتا ہے جب سوار کے ہاتھ پر قبضہ ہوتا ہے۔")</f>
        <v>ایک "نرم منہ" ایک اچھی طرح سے تربیت یافتہ گھوڑے کی علامت ہے جو ٹھیک ٹھیک اشاروں سے رہنمائی کی جا سکتی ہے، جو اس وقت اہم ہوتا ہے جب سوار کے ہاتھ پر قبضہ ہوتا ہے۔</v>
      </c>
    </row>
    <row r="54">
      <c r="A54" s="4">
        <v>53.0</v>
      </c>
      <c r="B54" s="5" t="s">
        <v>1494</v>
      </c>
      <c r="C54" s="5" t="s">
        <v>1495</v>
      </c>
      <c r="D54" s="5" t="s">
        <v>1496</v>
      </c>
      <c r="E54" s="5" t="s">
        <v>1497</v>
      </c>
      <c r="K54" s="6" t="str">
        <f>IFERROR(__xludf.DUMMYFUNCTION("GOOGLETRANSLATE(A54, ""en"", ""ur"")"),"53")</f>
        <v>53</v>
      </c>
      <c r="L54" s="6" t="str">
        <f>IFERROR(__xludf.DUMMYFUNCTION("GOOGLETRANSLATE(B54, ""en"", ""ur"")"),"""زیادہ سے زیادہ کوڑے مارنے"" کے لیے ایک سوار کو سزا دینے کی بنیادی وجہ کیا ہے؟")</f>
        <v>"زیادہ سے زیادہ کوڑے مارنے" کے لیے ایک سوار کو سزا دینے کی بنیادی وجہ کیا ہے؟</v>
      </c>
      <c r="M54" s="6" t="str">
        <f>IFERROR(__xludf.DUMMYFUNCTION("GOOGLETRANSLATE(C54, ""en"", ""ur"")"),"A) یہ جرمانہ نہیں ہے، B) اسے جانوروں پر ظلم سمجھا جاتا ہے، C) یہ گھوڑے کو بہت جلدی تھکا سکتا ہے، D) یہ کوڑے کو نقصان پہنچا سکتا ہے۔")</f>
        <v>A) یہ جرمانہ نہیں ہے، B) اسے جانوروں پر ظلم سمجھا جاتا ہے، C) یہ گھوڑے کو بہت جلدی تھکا سکتا ہے، D) یہ کوڑے کو نقصان پہنچا سکتا ہے۔</v>
      </c>
      <c r="N54" s="6" t="str">
        <f>IFERROR(__xludf.DUMMYFUNCTION("GOOGLETRANSLATE(D54, ""en"", ""ur"")"),"ب) اسے جانوروں پر ظلم سمجھا جاتا ہے۔")</f>
        <v>ب) اسے جانوروں پر ظلم سمجھا جاتا ہے۔</v>
      </c>
      <c r="O54" s="6" t="str">
        <f>IFERROR(__xludf.DUMMYFUNCTION("GOOGLETRANSLATE(E54, ""en"", ""ur"")"),"اگرچہ کوڑے کے استعمال کی اجازت ہے، لیکن اس کا ضرورت سے زیادہ یا بے دردی سے استعمال کرنا اچھے گھڑ سواری اور جانوروں کی فلاح و بہبود کے اصولوں کی خلاف ورزی کرتا ہے۔")</f>
        <v>اگرچہ کوڑے کے استعمال کی اجازت ہے، لیکن اس کا ضرورت سے زیادہ یا بے دردی سے استعمال کرنا اچھے گھڑ سواری اور جانوروں کی فلاح و بہبود کے اصولوں کی خلاف ورزی کرتا ہے۔</v>
      </c>
    </row>
    <row r="55">
      <c r="A55" s="4">
        <v>54.0</v>
      </c>
      <c r="B55" s="5" t="s">
        <v>1498</v>
      </c>
      <c r="C55" s="5" t="s">
        <v>1499</v>
      </c>
      <c r="D55" s="5" t="s">
        <v>1500</v>
      </c>
      <c r="E55" s="5" t="s">
        <v>1501</v>
      </c>
      <c r="K55" s="6" t="str">
        <f>IFERROR(__xludf.DUMMYFUNCTION("GOOGLETRANSLATE(A55, ""en"", ""ur"")"),"54")</f>
        <v>54</v>
      </c>
      <c r="L55" s="6" t="str">
        <f>IFERROR(__xludf.DUMMYFUNCTION("GOOGLETRANSLATE(B55, ""en"", ""ur"")"),"میچ کے لیے گراؤنڈ انتہائی سخت اور خشک ہے۔ گھوڑوں کو سب سے بڑا خطرہ کیا ہے؟")</f>
        <v>میچ کے لیے گراؤنڈ انتہائی سخت اور خشک ہے۔ گھوڑوں کو سب سے بڑا خطرہ کیا ہے؟</v>
      </c>
      <c r="M55" s="6" t="str">
        <f>IFERROR(__xludf.DUMMYFUNCTION("GOOGLETRANSLATE(C55, ""en"", ""ur"")"),"A) وہ آہستہ چلیں گے، B) وہ بہت زیادہ دھول آلود ہو جائیں گے، C) کھروں اور ٹانگوں کے جوڑوں کو چوٹ لگنے کا خطرہ بڑھ جائے گا، D) ان پر قابو پانا مشکل ہو جائے گا۔")</f>
        <v>A) وہ آہستہ چلیں گے، B) وہ بہت زیادہ دھول آلود ہو جائیں گے، C) کھروں اور ٹانگوں کے جوڑوں کو چوٹ لگنے کا خطرہ بڑھ جائے گا، D) ان پر قابو پانا مشکل ہو جائے گا۔</v>
      </c>
      <c r="N55" s="6" t="str">
        <f>IFERROR(__xludf.DUMMYFUNCTION("GOOGLETRANSLATE(D55, ""en"", ""ur"")"),"ج) کھروں اور ٹانگوں کے جوڑوں میں ہچکولے لگنے کے خطرے میں اضافہ")</f>
        <v>ج) کھروں اور ٹانگوں کے جوڑوں میں ہچکولے لگنے کے خطرے میں اضافہ</v>
      </c>
      <c r="O55" s="6" t="str">
        <f>IFERROR(__xludf.DUMMYFUNCTION("GOOGLETRANSLATE(E55, ""en"", ""ur"")"),"سخت زمین بہت کم جھٹکا جذب کرتی ہے، جس کی وجہ سے گھوڑوں کے لیے صحت مندی کے مسائل کا زیادہ خطرہ ہوتا ہے۔")</f>
        <v>سخت زمین بہت کم جھٹکا جذب کرتی ہے، جس کی وجہ سے گھوڑوں کے لیے صحت مندی کے مسائل کا زیادہ خطرہ ہوتا ہے۔</v>
      </c>
    </row>
    <row r="56">
      <c r="A56" s="4">
        <v>55.0</v>
      </c>
      <c r="B56" s="5" t="s">
        <v>1502</v>
      </c>
      <c r="C56" s="5" t="s">
        <v>1188</v>
      </c>
      <c r="D56" s="5" t="s">
        <v>1189</v>
      </c>
      <c r="E56" s="5" t="s">
        <v>1190</v>
      </c>
      <c r="K56" s="6" t="str">
        <f>IFERROR(__xludf.DUMMYFUNCTION("GOOGLETRANSLATE(A56, ""en"", ""ur"")"),"55")</f>
        <v>55</v>
      </c>
      <c r="L56" s="6" t="str">
        <f>IFERROR(__xludf.DUMMYFUNCTION("GOOGLETRANSLATE(B56, ""en"", ""ur"")"),"ریفری کا کیا حکم ہے اگر کوئی سوار لاش کو پکڑ لے، لیکن پھر کھلاڑیوں کی ایک بڑی تعداد کی رفتار سے اسکورنگ لائن کے اوپر لے جائے؟")</f>
        <v>ریفری کا کیا حکم ہے اگر کوئی سوار لاش کو پکڑ لے، لیکن پھر کھلاڑیوں کی ایک بڑی تعداد کی رفتار سے اسکورنگ لائن کے اوپر لے جائے؟</v>
      </c>
      <c r="M56" s="6" t="str">
        <f>IFERROR(__xludf.DUMMYFUNCTION("GOOGLETRANSLATE(C56, ""en"", ""ur"")"),"A) یہ ایک درست سکور ہے، B) یہ درست سکور نہیں ہے کیونکہ سوار کے پاس انفرادی کنٹرول نہیں تھا، C) پوائنٹ دوبارہ چلایا جاتا ہے، D) پوائنٹ پوری ٹیم کو دیا جاتا ہے۔")</f>
        <v>A) یہ ایک درست سکور ہے، B) یہ درست سکور نہیں ہے کیونکہ سوار کے پاس انفرادی کنٹرول نہیں تھا، C) پوائنٹ دوبارہ چلایا جاتا ہے، D) پوائنٹ پوری ٹیم کو دیا جاتا ہے۔</v>
      </c>
      <c r="N56" s="6" t="str">
        <f>IFERROR(__xludf.DUMMYFUNCTION("GOOGLETRANSLATE(D56, ""en"", ""ur"")"),"ب) یہ درست سکور نہیں ہے کیونکہ سوار کے پاس انفرادی کنٹرول کی کمی تھی۔")</f>
        <v>ب) یہ درست سکور نہیں ہے کیونکہ سوار کے پاس انفرادی کنٹرول کی کمی تھی۔</v>
      </c>
      <c r="O56" s="6" t="str">
        <f>IFERROR(__xludf.DUMMYFUNCTION("GOOGLETRANSLATE(E56, ""en"", ""ur"")"),"گول کرتے وقت سوار کو لاش پر واضح اور انفرادی کنٹرول کا مظاہرہ کرنا چاہیے۔ گھوڑوں کے ہجوم سے دھکیلنا قانونی اسکور نہیں ہے۔")</f>
        <v>گول کرتے وقت سوار کو لاش پر واضح اور انفرادی کنٹرول کا مظاہرہ کرنا چاہیے۔ گھوڑوں کے ہجوم سے دھکیلنا قانونی اسکور نہیں ہے۔</v>
      </c>
    </row>
    <row r="57">
      <c r="A57" s="4">
        <v>56.0</v>
      </c>
      <c r="B57" s="5" t="s">
        <v>1503</v>
      </c>
      <c r="C57" s="5" t="s">
        <v>1504</v>
      </c>
      <c r="D57" s="5" t="s">
        <v>1505</v>
      </c>
      <c r="E57" s="5" t="s">
        <v>1506</v>
      </c>
      <c r="K57" s="6" t="str">
        <f>IFERROR(__xludf.DUMMYFUNCTION("GOOGLETRANSLATE(A57, ""en"", ""ur"")"),"56")</f>
        <v>56</v>
      </c>
      <c r="L57" s="6" t="str">
        <f>IFERROR(__xludf.DUMMYFUNCTION("GOOGLETRANSLATE(B57, ""en"", ""ur"")"),"ایک تجربہ کار سوار جان بوجھ کر مخالف کی توجہ ہٹاتا ہے جب کہ اس کا ساتھی لاش کو اپنے قبضے میں لے لیتا ہے۔ کیا یہ حربہ جائز ہے؟")</f>
        <v>ایک تجربہ کار سوار جان بوجھ کر مخالف کی توجہ ہٹاتا ہے جب کہ اس کا ساتھی لاش کو اپنے قبضے میں لے لیتا ہے۔ کیا یہ حربہ جائز ہے؟</v>
      </c>
      <c r="M57" s="6" t="str">
        <f>IFERROR(__xludf.DUMMYFUNCTION("GOOGLETRANSLATE(C57, ""en"", ""ur"")"),"A) جی ہاں، جب تک کہ کوئی جسمانی غلطی نہیں کی جاتی ہے، B) نہیں، مخالفوں کو بھٹکانا اصولوں کے خلاف ہے، C) صرف اس صورت میں جب خلفشار میں گھوڑا شامل نہ ہو، D) ریفری کو انتباہ جاری کرنا ہوگا۔")</f>
        <v>A) جی ہاں، جب تک کہ کوئی جسمانی غلطی نہیں کی جاتی ہے، B) نہیں، مخالفوں کو بھٹکانا اصولوں کے خلاف ہے، C) صرف اس صورت میں جب خلفشار میں گھوڑا شامل نہ ہو، D) ریفری کو انتباہ جاری کرنا ہوگا۔</v>
      </c>
      <c r="N57" s="6" t="str">
        <f>IFERROR(__xludf.DUMMYFUNCTION("GOOGLETRANSLATE(D57, ""en"", ""ur"")"),"A) جی ہاں، جب تک کہ کوئی جسمانی بدکاری کا ارتکاب نہ کیا جائے۔")</f>
        <v>A) جی ہاں، جب تک کہ کوئی جسمانی بدکاری کا ارتکاب نہ کیا جائے۔</v>
      </c>
      <c r="O57" s="6" t="str">
        <f>IFERROR(__xludf.DUMMYFUNCTION("GOOGLETRANSLATE(E57, ""en"", ""ur"")"),"بزکشی میں حکمت عملی کے خلفشار کی اجازت ہے، بشرطیکہ وہ منصفانہ کھیل کی حدود میں رہیں۔")</f>
        <v>بزکشی میں حکمت عملی کے خلفشار کی اجازت ہے، بشرطیکہ وہ منصفانہ کھیل کی حدود میں رہیں۔</v>
      </c>
    </row>
    <row r="58">
      <c r="A58" s="4">
        <v>57.0</v>
      </c>
      <c r="B58" s="5" t="s">
        <v>1507</v>
      </c>
      <c r="C58" s="5" t="s">
        <v>1508</v>
      </c>
      <c r="D58" s="5" t="s">
        <v>1509</v>
      </c>
      <c r="E58" s="5" t="s">
        <v>1510</v>
      </c>
      <c r="K58" s="6" t="str">
        <f>IFERROR(__xludf.DUMMYFUNCTION("GOOGLETRANSLATE(A58, ""en"", ""ur"")"),"57")</f>
        <v>57</v>
      </c>
      <c r="L58" s="6" t="str">
        <f>IFERROR(__xludf.DUMMYFUNCTION("GOOGLETRANSLATE(B58, ""en"", ""ur"")"),"ایک ہائی اسٹیک میچ میں، ایک ریفری کو شبہ ہے کہ سوار کا گھوڑا زخمی ہے لیکن پھر بھی استعمال کیا جا رہا ہے۔ عمل کا صحیح طریقہ کیا ہے؟")</f>
        <v>ایک ہائی اسٹیک میچ میں، ایک ریفری کو شبہ ہے کہ سوار کا گھوڑا زخمی ہے لیکن پھر بھی استعمال کیا جا رہا ہے۔ عمل کا صحیح طریقہ کیا ہے؟</v>
      </c>
      <c r="M58" s="6" t="str">
        <f>IFERROR(__xludf.DUMMYFUNCTION("GOOGLETRANSLATE(C58, ""en"", ""ur"")"),"A) میچ کو جاری رکھنے کی اجازت دیں، B) گھوڑے کا معائنہ کریں اور ضرورت پڑنے پر متبادل کا حکم دیں، C) کھیل کو اس وقت تک روکیں جب تک کہ معاملہ حل نہ ہو جائے، D) سوار کو جانوروں پر ظلم کی سزا دیں۔")</f>
        <v>A) میچ کو جاری رکھنے کی اجازت دیں، B) گھوڑے کا معائنہ کریں اور ضرورت پڑنے پر متبادل کا حکم دیں، C) کھیل کو اس وقت تک روکیں جب تک کہ معاملہ حل نہ ہو جائے، D) سوار کو جانوروں پر ظلم کی سزا دیں۔</v>
      </c>
      <c r="N58" s="6" t="str">
        <f>IFERROR(__xludf.DUMMYFUNCTION("GOOGLETRANSLATE(D58, ""en"", ""ur"")"),"ب) گھوڑے کا معائنہ کریں اور ضرورت پڑنے پر متبادل کا آرڈر دیں، C) کھیل کو اس وقت تک روکیں جب تک کہ معاملہ حل نہ ہو جائے۔")</f>
        <v>ب) گھوڑے کا معائنہ کریں اور ضرورت پڑنے پر متبادل کا آرڈر دیں، C) کھیل کو اس وقت تک روکیں جب تک کہ معاملہ حل نہ ہو جائے۔</v>
      </c>
      <c r="O58" s="6" t="str">
        <f>IFERROR(__xludf.DUMMYFUNCTION("GOOGLETRANSLATE(E58, ""en"", ""ur"")"),"گھوڑوں کی حفاظت کو یقینی بنانا بزکشی میں ریفریوں کی اہم ذمہ داری ہے۔")</f>
        <v>گھوڑوں کی حفاظت کو یقینی بنانا بزکشی میں ریفریوں کی اہم ذمہ داری ہے۔</v>
      </c>
    </row>
    <row r="59">
      <c r="A59" s="4">
        <v>58.0</v>
      </c>
      <c r="B59" s="5" t="s">
        <v>1511</v>
      </c>
      <c r="C59" s="5" t="s">
        <v>1512</v>
      </c>
      <c r="D59" s="5" t="s">
        <v>1513</v>
      </c>
      <c r="E59" s="5" t="s">
        <v>1514</v>
      </c>
      <c r="K59" s="6" t="str">
        <f>IFERROR(__xludf.DUMMYFUNCTION("GOOGLETRANSLATE(A59, ""en"", ""ur"")"),"58")</f>
        <v>58</v>
      </c>
      <c r="L59" s="6" t="str">
        <f>IFERROR(__xludf.DUMMYFUNCTION("GOOGLETRANSLATE(B59, ""en"", ""ur"")"),"ٹورنامنٹ کے دوران، لاش غیر معمولی طور پر ہلکی ہوتی ہے، جس سے اسے طویل فاصلے تک لے جانے میں آسانی ہوتی ہے۔ منتظمین کو کن تبدیلیوں پر غور کرنا چاہیے؟")</f>
        <v>ٹورنامنٹ کے دوران، لاش غیر معمولی طور پر ہلکی ہوتی ہے، جس سے اسے طویل فاصلے تک لے جانے میں آسانی ہوتی ہے۔ منتظمین کو کن تبدیلیوں پر غور کرنا چاہیے؟</v>
      </c>
      <c r="M59" s="6" t="str">
        <f>IFERROR(__xludf.DUMMYFUNCTION("GOOGLETRANSLATE(C59, ""en"", ""ur"")"),"A) لاش کو معیاری وزن سے بدلیں، B) کھیل کو جاری رکھنے کی اجازت دیں، C) فائدہ کو متوازن کرنے کے لیے گیم کا دورانیہ بڑھائیں، D) سواروں کو زیادہ کثرت سے قبضہ تبدیل کرنے کی ضرورت ہے۔")</f>
        <v>A) لاش کو معیاری وزن سے بدلیں، B) کھیل کو جاری رکھنے کی اجازت دیں، C) فائدہ کو متوازن کرنے کے لیے گیم کا دورانیہ بڑھائیں، D) سواروں کو زیادہ کثرت سے قبضہ تبدیل کرنے کی ضرورت ہے۔</v>
      </c>
      <c r="N59" s="6" t="str">
        <f>IFERROR(__xludf.DUMMYFUNCTION("GOOGLETRANSLATE(D59, ""en"", ""ur"")"),"A) لاش کو معیاری وزن سے تبدیل کریں۔")</f>
        <v>A) لاش کو معیاری وزن سے تبدیل کریں۔</v>
      </c>
      <c r="O59" s="6" t="str">
        <f>IFERROR(__xludf.DUMMYFUNCTION("GOOGLETRANSLATE(E59, ""en"", ""ur"")"),"متوازن مسابقت کو یقینی بنانے کے لیے لاش کو معیاری تصریحات کو پورا کرنا چاہیے۔")</f>
        <v>متوازن مسابقت کو یقینی بنانے کے لیے لاش کو معیاری تصریحات کو پورا کرنا چاہیے۔</v>
      </c>
    </row>
    <row r="60">
      <c r="A60" s="4">
        <v>59.0</v>
      </c>
      <c r="B60" s="5" t="s">
        <v>1515</v>
      </c>
      <c r="C60" s="5" t="s">
        <v>1516</v>
      </c>
      <c r="D60" s="5" t="s">
        <v>1517</v>
      </c>
      <c r="E60" s="5" t="s">
        <v>1518</v>
      </c>
      <c r="K60" s="6" t="str">
        <f>IFERROR(__xludf.DUMMYFUNCTION("GOOGLETRANSLATE(A60, ""en"", ""ur"")"),"59")</f>
        <v>59</v>
      </c>
      <c r="L60" s="6" t="str">
        <f>IFERROR(__xludf.DUMMYFUNCTION("GOOGLETRANSLATE(B60, ""en"", ""ur"")"),"ٹیم A کا ایک سوار لاش کو گول دائرے میں رکھتا ہے لیکن اتارتے وقت اسے دھکیلنے کے لیے اپنے ہاتھ کا استعمال کرتا ہے۔ ریفری کو کیا فیصلہ کرنا چاہئے؟")</f>
        <v>ٹیم A کا ایک سوار لاش کو گول دائرے میں رکھتا ہے لیکن اتارتے وقت اسے دھکیلنے کے لیے اپنے ہاتھ کا استعمال کرتا ہے۔ ریفری کو کیا فیصلہ کرنا چاہئے؟</v>
      </c>
      <c r="M60" s="6" t="str">
        <f>IFERROR(__xludf.DUMMYFUNCTION("GOOGLETRANSLATE(C60, ""en"", ""ur"")"),"A) پوائنٹ کو انعام دیں، B) پوائنٹ کو نامنظور کریں، C) گیم کو دوبارہ ترتیب دیں، D) قواعد کی خلاف ورزی پر سوار کو سزا دیں")</f>
        <v>A) پوائنٹ کو انعام دیں، B) پوائنٹ کو نامنظور کریں، C) گیم کو دوبارہ ترتیب دیں، D) قواعد کی خلاف ورزی پر سوار کو سزا دیں</v>
      </c>
      <c r="N60" s="6" t="str">
        <f>IFERROR(__xludf.DUMMYFUNCTION("GOOGLETRANSLATE(D60, ""en"", ""ur"")"),"B) نقطہ کو مسترد کریں، D) قاعدے کی خلاف ورزی پر سوار کو سزا دیں۔")</f>
        <v>B) نقطہ کو مسترد کریں، D) قاعدے کی خلاف ورزی پر سوار کو سزا دیں۔</v>
      </c>
      <c r="O60" s="6" t="str">
        <f>IFERROR(__xludf.DUMMYFUNCTION("GOOGLETRANSLATE(E60, ""en"", ""ur"")"),"پوائنٹس صرف اس وقت دیئے جاتے ہیں جب لاش کو قواعد کے مطابق رکھا جاتا ہے، جس میں عام طور پر سوار کو سوار رہنے کی ضرورت ہوتی ہے۔")</f>
        <v>پوائنٹس صرف اس وقت دیئے جاتے ہیں جب لاش کو قواعد کے مطابق رکھا جاتا ہے، جس میں عام طور پر سوار کو سوار رہنے کی ضرورت ہوتی ہے۔</v>
      </c>
    </row>
    <row r="61">
      <c r="A61" s="4">
        <v>60.0</v>
      </c>
      <c r="B61" s="5" t="s">
        <v>1519</v>
      </c>
      <c r="C61" s="5" t="s">
        <v>1520</v>
      </c>
      <c r="D61" s="5" t="s">
        <v>1521</v>
      </c>
      <c r="E61" s="5" t="s">
        <v>1522</v>
      </c>
      <c r="K61" s="6" t="str">
        <f>IFERROR(__xludf.DUMMYFUNCTION("GOOGLETRANSLATE(A61, ""en"", ""ur"")"),"60")</f>
        <v>60</v>
      </c>
      <c r="L61" s="6" t="str">
        <f>IFERROR(__xludf.DUMMYFUNCTION("GOOGLETRANSLATE(B61, ""en"", ""ur"")"),"ایک سوار نے دیکھا کہ ان کا گھوڑا تھکا ہوا ہے اور میچ کے دوران سست ہو رہا ہے۔ اس صورتحال میں ٹیم کے لیے بہترین حکمت عملی کیا ہے؟")</f>
        <v>ایک سوار نے دیکھا کہ ان کا گھوڑا تھکا ہوا ہے اور میچ کے دوران سست ہو رہا ہے۔ اس صورتحال میں ٹیم کے لیے بہترین حکمت عملی کیا ہے؟</v>
      </c>
      <c r="M61" s="6" t="str">
        <f>IFERROR(__xludf.DUMMYFUNCTION("GOOGLETRANSLATE(C61, ""en"", ""ur"")"),"A) اسی گھوڑے کے ساتھ دھکیلنا جاری رکھیں، B) اگر اجازت ہو تو متبادل کے لیے کال کریں، C) ٹیم کے دوسرے سوار پر توجہ مرکوز کریں، D) عارضی دفاعی پوزیشن لیں۔")</f>
        <v>A) اسی گھوڑے کے ساتھ دھکیلنا جاری رکھیں، B) اگر اجازت ہو تو متبادل کے لیے کال کریں، C) ٹیم کے دوسرے سوار پر توجہ مرکوز کریں، D) عارضی دفاعی پوزیشن لیں۔</v>
      </c>
      <c r="N61" s="6" t="str">
        <f>IFERROR(__xludf.DUMMYFUNCTION("GOOGLETRANSLATE(D61, ""en"", ""ur"")"),"B) اگر اجازت ہو تو متبادل کے لیے کال کریں، C) ٹیم کے دوسرے سوار پر توجہ مرکوز کریں۔")</f>
        <v>B) اگر اجازت ہو تو متبادل کے لیے کال کریں، C) ٹیم کے دوسرے سوار پر توجہ مرکوز کریں۔</v>
      </c>
      <c r="O61" s="6" t="str">
        <f>IFERROR(__xludf.DUMMYFUNCTION("GOOGLETRANSLATE(E61, ""en"", ""ur"")"),"موثر ٹیم مینجمنٹ میں حکمت عملی کو اپنانا اور ضرورت پڑنے پر تھکے ہوئے گھوڑوں کو تبدیل کرنا شامل ہے۔")</f>
        <v>موثر ٹیم مینجمنٹ میں حکمت عملی کو اپنانا اور ضرورت پڑنے پر تھکے ہوئے گھوڑوں کو تبدیل کرنا شامل ہے۔</v>
      </c>
    </row>
    <row r="62">
      <c r="A62" s="4">
        <v>61.0</v>
      </c>
      <c r="B62" s="5" t="s">
        <v>1523</v>
      </c>
      <c r="C62" s="5" t="s">
        <v>1524</v>
      </c>
      <c r="D62" s="5" t="s">
        <v>1525</v>
      </c>
      <c r="E62" s="5" t="s">
        <v>1526</v>
      </c>
      <c r="K62" s="6" t="str">
        <f>IFERROR(__xludf.DUMMYFUNCTION("GOOGLETRANSLATE(A62, ""en"", ""ur"")"),"61")</f>
        <v>61</v>
      </c>
      <c r="L62" s="6" t="str">
        <f>IFERROR(__xludf.DUMMYFUNCTION("GOOGLETRANSLATE(B62, ""en"", ""ur"")"),"ٹیم A کا ایک سوار کامیابی سے لاش کو لے جاتا ہے اور گول دائرے کی طرف جاتا ہے، لیکن ٹیم B کا ایک مخالف اس کا راستہ کاٹ کر اس سے نمٹنے کی کوشش کرتا ہے۔ اس صورت حال سے نمٹنے کا بہترین طریقہ کیا ہے؟")</f>
        <v>ٹیم A کا ایک سوار کامیابی سے لاش کو لے جاتا ہے اور گول دائرے کی طرف جاتا ہے، لیکن ٹیم B کا ایک مخالف اس کا راستہ کاٹ کر اس سے نمٹنے کی کوشش کرتا ہے۔ اس صورت حال سے نمٹنے کا بہترین طریقہ کیا ہے؟</v>
      </c>
      <c r="M62" s="6" t="str">
        <f>IFERROR(__xludf.DUMMYFUNCTION("GOOGLETRANSLATE(C62, ""en"", ""ur"")"),"A) حریف کو چکمہ دینے کی کوشش کریں اور گول کی طرف بڑھتے رہیں، B) برتری برقرار رکھنے کے لیے گھوڑے کی رفتار کا استعمال کریں، C) مخالف کے ساتھ براہ راست تصادم میں مشغول ہوں، D) لاش کو دوسرے ساتھی کے پاس منتقل کریں۔")</f>
        <v>A) حریف کو چکمہ دینے کی کوشش کریں اور گول کی طرف بڑھتے رہیں، B) برتری برقرار رکھنے کے لیے گھوڑے کی رفتار کا استعمال کریں، C) مخالف کے ساتھ براہ راست تصادم میں مشغول ہوں، D) لاش کو دوسرے ساتھی کے پاس منتقل کریں۔</v>
      </c>
      <c r="N62" s="6" t="str">
        <f>IFERROR(__xludf.DUMMYFUNCTION("GOOGLETRANSLATE(D62, ""en"", ""ur"")"),"A) حریف کو چکمہ دینے کی کوشش کریں اور گول کی طرف بڑھتے رہیں، B) برتری برقرار رکھنے کے لیے گھوڑے کی رفتار کا استعمال کریں")</f>
        <v>A) حریف کو چکمہ دینے کی کوشش کریں اور گول کی طرف بڑھتے رہیں، B) برتری برقرار رکھنے کے لیے گھوڑے کی رفتار کا استعمال کریں</v>
      </c>
      <c r="O62" s="6" t="str">
        <f>IFERROR(__xludf.DUMMYFUNCTION("GOOGLETRANSLATE(E62, ""en"", ""ur"")"),"رفتار اور چستی ٹیکلز پر قابو پانے کی کلید ہیں، لیکن ٹیم کے ساتھی کو منتقل کرنا بھی ایک موثر حکمت عملی ہو سکتی ہے۔")</f>
        <v>رفتار اور چستی ٹیکلز پر قابو پانے کی کلید ہیں، لیکن ٹیم کے ساتھی کو منتقل کرنا بھی ایک موثر حکمت عملی ہو سکتی ہے۔</v>
      </c>
    </row>
    <row r="63">
      <c r="A63" s="4">
        <v>62.0</v>
      </c>
      <c r="B63" s="5" t="s">
        <v>1527</v>
      </c>
      <c r="C63" s="5" t="s">
        <v>1528</v>
      </c>
      <c r="D63" s="5" t="s">
        <v>1529</v>
      </c>
      <c r="E63" s="5" t="s">
        <v>1530</v>
      </c>
      <c r="K63" s="6" t="str">
        <f>IFERROR(__xludf.DUMMYFUNCTION("GOOGLETRANSLATE(A63, ""en"", ""ur"")"),"62")</f>
        <v>62</v>
      </c>
      <c r="L63" s="6" t="str">
        <f>IFERROR(__xludf.DUMMYFUNCTION("GOOGLETRANSLATE(B63, ""en"", ""ur"")"),"بزکشی میچ کے دوران سوار کا گھوڑا بے قابو ہو جاتا ہے اور غلط سمت میں دوڑنے لگتا ہے۔ اس صورت حال میں سوار کو کیا کرنا چاہیے؟")</f>
        <v>بزکشی میچ کے دوران سوار کا گھوڑا بے قابو ہو جاتا ہے اور غلط سمت میں دوڑنے لگتا ہے۔ اس صورت حال میں سوار کو کیا کرنا چاہیے؟</v>
      </c>
      <c r="M63" s="6" t="str">
        <f>IFERROR(__xludf.DUMMYFUNCTION("GOOGLETRANSLATE(C63, ""en"", ""ur"")"),"A)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f>
        <v>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v>
      </c>
      <c r="N63" s="6" t="str">
        <f>IFERROR(__xludf.DUMMYFUNCTION("GOOGLETRANSLATE(D63, ""en"", ""ur"")"),"ا) لگام کا استعمال کرکے گھوڑے پر دوبارہ کنٹرول حاصل کرنے کی کوشش کریں۔")</f>
        <v>ا) لگام کا استعمال کرکے گھوڑے پر دوبارہ کنٹرول حاصل کرنے کی کوشش کریں۔</v>
      </c>
      <c r="O63" s="6" t="str">
        <f>IFERROR(__xludf.DUMMYFUNCTION("GOOGLETRANSLATE(E63, ""en"", ""ur"")"),"سواروں کو اپنے گھوڑوں پر کنٹرول برقرار رکھنا چاہیے تاکہ ان کی حفاظت کو یقینی بنایا جا سکے اور اپنی ٹیم میں حصہ ڈالنا جاری رکھیں۔")</f>
        <v>سواروں کو اپنے گھوڑوں پر کنٹرول برقرار رکھنا چاہیے تاکہ ان کی حفاظت کو یقینی بنایا جا سکے اور اپنی ٹیم میں حصہ ڈالنا جاری رکھیں۔</v>
      </c>
    </row>
    <row r="64">
      <c r="A64" s="4">
        <v>63.0</v>
      </c>
      <c r="B64" s="5" t="s">
        <v>1531</v>
      </c>
      <c r="C64" s="5" t="s">
        <v>1532</v>
      </c>
      <c r="D64" s="5" t="s">
        <v>1533</v>
      </c>
      <c r="E64" s="5" t="s">
        <v>1534</v>
      </c>
      <c r="K64" s="6" t="str">
        <f>IFERROR(__xludf.DUMMYFUNCTION("GOOGLETRANSLATE(A64, ""en"", ""ur"")"),"63")</f>
        <v>63</v>
      </c>
      <c r="L64" s="6" t="str">
        <f>IFERROR(__xludf.DUMMYFUNCTION("GOOGLETRANSLATE(B64, ""en"", ""ur"")"),"ٹیم A کا ایک سوار ٹیم B کے متعدد سواروں کے ساتھ لاش کی لڑائی میں پھنس جاتا ہے۔ دوبارہ قبضہ حاصل کرنے کے لیے ٹیم کو کیا کرنا چاہیے؟")</f>
        <v>ٹیم A کا ایک سوار ٹیم B کے متعدد سواروں کے ساتھ لاش کی لڑائی میں پھنس جاتا ہے۔ دوبارہ قبضہ حاصل کرنے کے لیے ٹیم کو کیا کرنا چاہیے؟</v>
      </c>
      <c r="M64" s="6" t="str">
        <f>IFERROR(__xludf.DUMMYFUNCTION("GOOGLETRANSLATE(C64, ""en"", ""ur"")"),"A) لڑائی کو ختم کرکے جگہ بنانے پر توجہ مرکوز کریں، B) ٹیم کے ساتھی کو لاش چرانے کے لیے خلفشار کا فائدہ اٹھائیں، C) میچ روکنے کے لیے ریفری کو کال کریں، D) صورتحال کے پرسکون ہونے کا انتظار کریں اور پھر آگے بڑھیں۔")</f>
        <v>A) لڑائی کو ختم کرکے جگہ بنانے پر توجہ مرکوز کریں، B) ٹیم کے ساتھی کو لاش چرانے کے لیے خلفشار کا فائدہ اٹھائیں، C) میچ روکنے کے لیے ریفری کو کال کریں، D) صورتحال کے پرسکون ہونے کا انتظار کریں اور پھر آگے بڑھیں۔</v>
      </c>
      <c r="N64" s="6" t="str">
        <f>IFERROR(__xludf.DUMMYFUNCTION("GOOGLETRANSLATE(D64, ""en"", ""ur"")"),"A) لڑائی کو ختم کرکے جگہ بنانے پر توجہ مرکوز کریں، B) ٹیم کے ساتھی کو لاش چرانے کے لیے خلفشار کا فائدہ اٹھانے کو کہیں۔")</f>
        <v>A) لڑائی کو ختم کرکے جگہ بنانے پر توجہ مرکوز کریں، B) ٹیم کے ساتھی کو لاش چرانے کے لیے خلفشار کا فائدہ اٹھانے کو کہیں۔</v>
      </c>
      <c r="O64" s="6" t="str">
        <f>IFERROR(__xludf.DUMMYFUNCTION("GOOGLETRANSLATE(E64, ""en"", ""ur"")"),"لڑائی جیسے خلفشار توجہ کو منتقل کرنے اور قبضہ حاصل کرنے کے مواقع فراہم کرتے ہیں۔")</f>
        <v>لڑائی جیسے خلفشار توجہ کو منتقل کرنے اور قبضہ حاصل کرنے کے مواقع فراہم کرتے ہیں۔</v>
      </c>
    </row>
    <row r="65">
      <c r="A65" s="4">
        <v>64.0</v>
      </c>
      <c r="B65" s="5" t="s">
        <v>1535</v>
      </c>
      <c r="C65" s="5" t="s">
        <v>1536</v>
      </c>
      <c r="D65" s="5" t="s">
        <v>1537</v>
      </c>
      <c r="E65" s="5" t="s">
        <v>1538</v>
      </c>
      <c r="K65" s="6" t="str">
        <f>IFERROR(__xludf.DUMMYFUNCTION("GOOGLETRANSLATE(A65, ""en"", ""ur"")"),"64")</f>
        <v>64</v>
      </c>
      <c r="L65" s="6" t="str">
        <f>IFERROR(__xludf.DUMMYFUNCTION("GOOGLETRANSLATE(B65, ""en"", ""ur"")"),"ایک سوار کامیابی کے ساتھ لاش کو گول کے دائرے میں رکھتا ہے، لیکن ریفری غلط اشارہ کرتا ہے کیونکہ سوار کا گھوڑا گول کے علاقے سے باہر نکل گیا تھا۔ مناسب جواب کیا ہے؟")</f>
        <v>ایک سوار کامیابی کے ساتھ لاش کو گول کے دائرے میں رکھتا ہے، لیکن ریفری غلط اشارہ کرتا ہے کیونکہ سوار کا گھوڑا گول کے علاقے سے باہر نکل گیا تھا۔ مناسب جواب کیا ہے؟</v>
      </c>
      <c r="M65" s="6" t="str">
        <f>IFERROR(__xludf.DUMMYFUNCTION("GOOGLETRANSLATE(C65, ""en"", ""ur"")"),"A) ٹیم A کو پوائنٹ دیں، B) پوائنٹ کو نامنظور کریں اور گیم کو دوبارہ ترتیب دیں، C) سوار کو سزا دیں، D) مرکز سے کھیل دوبارہ شروع کریں")</f>
        <v>A) ٹیم A کو پوائنٹ دیں، B) پوائنٹ کو نامنظور کریں اور گیم کو دوبارہ ترتیب دیں، C) سوار کو سزا دیں، D) مرکز سے کھیل دوبارہ شروع کریں</v>
      </c>
      <c r="N65" s="6" t="str">
        <f>IFERROR(__xludf.DUMMYFUNCTION("GOOGLETRANSLATE(D65, ""en"", ""ur"")"),"ب) پوائنٹ کی اجازت نہ دیں اور گیم کو ری سیٹ کریں، سی) سوار کو سزا دیں۔")</f>
        <v>ب) پوائنٹ کی اجازت نہ دیں اور گیم کو ری سیٹ کریں، سی) سوار کو سزا دیں۔</v>
      </c>
      <c r="O65" s="6" t="str">
        <f>IFERROR(__xludf.DUMMYFUNCTION("GOOGLETRANSLATE(E65, ""en"", ""ur"")"),"ایک گول صرف اس صورت میں درست ہے جب سوار اور گھوڑا مقررہ ہدف کے علاقے میں رہیں۔")</f>
        <v>ایک گول صرف اس صورت میں درست ہے جب سوار اور گھوڑا مقررہ ہدف کے علاقے میں رہیں۔</v>
      </c>
    </row>
    <row r="66">
      <c r="A66" s="4">
        <v>65.0</v>
      </c>
      <c r="B66" s="5" t="s">
        <v>1539</v>
      </c>
      <c r="C66" s="5" t="s">
        <v>1540</v>
      </c>
      <c r="D66" s="5" t="s">
        <v>1541</v>
      </c>
      <c r="E66" s="5" t="s">
        <v>1542</v>
      </c>
      <c r="K66" s="6" t="str">
        <f>IFERROR(__xludf.DUMMYFUNCTION("GOOGLETRANSLATE(A66, ""en"", ""ur"")"),"65")</f>
        <v>65</v>
      </c>
      <c r="L66" s="6" t="str">
        <f>IFERROR(__xludf.DUMMYFUNCTION("GOOGLETRANSLATE(B66, ""en"", ""ur"")"),"بزکشی میچ کے آخری لمحات کے دوران، ٹیم A برتری میں ہے، اور ٹیم B گول کے دائرے کو روکنے کے لیے دفاعی حکمت عملی استعمال کر رہی ہے۔ اس دفاع کا مقابلہ کرنے کے لیے ٹیم اے کو کیا کرنا چاہیے؟")</f>
        <v>بزکشی میچ کے آخری لمحات کے دوران، ٹیم A برتری میں ہے، اور ٹیم B گول کے دائرے کو روکنے کے لیے دفاعی حکمت عملی استعمال کر رہی ہے۔ اس دفاع کا مقابلہ کرنے کے لیے ٹیم اے کو کیا کرنا چاہیے؟</v>
      </c>
      <c r="M66" s="6" t="str">
        <f>IFERROR(__xludf.DUMMYFUNCTION("GOOGLETRANSLATE(C66, ""en"", ""ur"")"),"A)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انتظار"&amp;" کریں۔")</f>
        <v>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 کریں۔</v>
      </c>
      <c r="N66" s="6" t="str">
        <f>IFERROR(__xludf.DUMMYFUNCTION("GOOGLETRANSLATE(D66, ""en"", ""ur"")"),"A) دفاع کو توڑنے کے لئے ان کے جارحانہ دباؤ میں اضافہ کریں، C) گول کے قریب ٹیم کے ساتھی کو طویل فاصلے تک پاس کی کوشش کریں")</f>
        <v>A) دفاع کو توڑنے کے لئے ان کے جارحانہ دباؤ میں اضافہ کریں، C) گول کے قریب ٹیم کے ساتھی کو طویل فاصلے تک پاس کی کوشش کریں</v>
      </c>
      <c r="O66" s="6" t="str">
        <f>IFERROR(__xludf.DUMMYFUNCTION("GOOGLETRANSLATE(E66, ""en"", ""ur"")"),"دفاعی حکمت عملیوں کا مقابلہ کرنے کے لیے دفاع کو آگے بڑھانے کے لیے فوری، فیصلہ کن اقدامات کی ضرورت ہوتی ہے۔")</f>
        <v>دفاعی حکمت عملیوں کا مقابلہ کرنے کے لیے دفاع کو آگے بڑھانے کے لیے فوری، فیصلہ کن اقدامات کی ضرورت ہوتی ہے۔</v>
      </c>
    </row>
    <row r="67">
      <c r="A67" s="4">
        <v>66.0</v>
      </c>
      <c r="B67" s="5" t="s">
        <v>1543</v>
      </c>
      <c r="C67" s="5" t="s">
        <v>1544</v>
      </c>
      <c r="D67" s="5" t="s">
        <v>1545</v>
      </c>
      <c r="E67" s="5" t="s">
        <v>1546</v>
      </c>
      <c r="K67" s="6" t="str">
        <f>IFERROR(__xludf.DUMMYFUNCTION("GOOGLETRANSLATE(A67, ""en"", ""ur"")"),"66")</f>
        <v>66</v>
      </c>
      <c r="L67" s="6" t="str">
        <f>IFERROR(__xludf.DUMMYFUNCTION("GOOGLETRANSLATE(B67, ""en"", ""ur"")"),"ایک گرما گرم بزکشی میچ کے وسط میں، ٹیم A کے ایک سوار پر الزام لگایا گیا ہے کہ اس نے لاش کو اپنے ہاتھوں سے پکڑ کر نیچے اتارا تھا۔ ریفری کو کیا کرنا چاہیے؟")</f>
        <v>ایک گرما گرم بزکشی میچ کے وسط میں، ٹیم A کے ایک سوار پر الزام لگایا گیا ہے کہ اس نے لاش کو اپنے ہاتھوں سے پکڑ کر نیچے اتارا تھا۔ ریفری کو کیا کرنا چاہیے؟</v>
      </c>
      <c r="M67" s="6" t="str">
        <f>IFERROR(__xludf.DUMMYFUNCTION("GOOGLETRANSLATE(C67, ""en"", ""ur"")"),"A) واقعے کو نظر انداز کریں، B) سوار کو وارننگ جاری کریں، C) سوار کو میچ سے نااہل قرار دیں، D) کھیل دوبارہ شروع کریں")</f>
        <v>A) واقعے کو نظر انداز کریں، B) سوار کو وارننگ جاری کریں، C) سوار کو میچ سے نااہل قرار دیں، D) کھیل دوبارہ شروع کریں</v>
      </c>
      <c r="N67" s="6" t="str">
        <f>IFERROR(__xludf.DUMMYFUNCTION("GOOGLETRANSLATE(D67, ""en"", ""ur"")"),"ب) سوار کو وارننگ جاری کریں، سی) سوار کو میچ سے نااہل قرار دیں۔")</f>
        <v>ب) سوار کو وارننگ جاری کریں، سی) سوار کو میچ سے نااہل قرار دیں۔</v>
      </c>
      <c r="O67" s="6" t="str">
        <f>IFERROR(__xludf.DUMMYFUNCTION("GOOGLETRANSLATE(E67, ""en"", ""ur"")"),"لاش کو اتارنے کے دوران پکڑنا کھیل کے قواعد کی خلاف ورزی کرتا ہے اور اس کے نتیجے میں جرمانے ہو سکتے ہیں۔")</f>
        <v>لاش کو اتارنے کے دوران پکڑنا کھیل کے قواعد کی خلاف ورزی کرتا ہے اور اس کے نتیجے میں جرمانے ہو سکتے ہیں۔</v>
      </c>
    </row>
    <row r="68">
      <c r="A68" s="4">
        <v>67.0</v>
      </c>
      <c r="B68" s="5" t="s">
        <v>1547</v>
      </c>
      <c r="C68" s="5" t="s">
        <v>1548</v>
      </c>
      <c r="D68" s="5" t="s">
        <v>1549</v>
      </c>
      <c r="E68" s="5" t="s">
        <v>1550</v>
      </c>
      <c r="K68" s="6" t="str">
        <f>IFERROR(__xludf.DUMMYFUNCTION("GOOGLETRANSLATE(A68, ""en"", ""ur"")"),"67")</f>
        <v>67</v>
      </c>
      <c r="L68" s="6" t="str">
        <f>IFERROR(__xludf.DUMMYFUNCTION("GOOGLETRANSLATE(B68, ""en"", ""ur"")"),"ایک ٹیم تیز رفتار حکمت عملی کی کوشش کرتی ہے جہاں وہ لاش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f>
        <v>ایک ٹیم تیز رفتار حکمت عملی کی کوشش کرتی ہے جہاں وہ لاش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v>
      </c>
      <c r="M68" s="6" t="str">
        <f>IFERROR(__xludf.DUMMYFUNCTION("GOOGLETRANSLATE(C68, ""en"", ""ur"")"),"A)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f>
        <v>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v>
      </c>
      <c r="N68" s="6" t="str">
        <f>IFERROR(__xludf.DUMMYFUNCTION("GOOGLETRANSLATE(D68, ""en"", ""ur"")"),"A) آہستہ کریں اور گیند کے کنٹرول پر توجہ مرکوز کریں، B) محافظوں کو گمراہ کرنے کے لیے فینٹ کا استعمال کریں۔")</f>
        <v>A) آہستہ کریں اور گیند کے کنٹرول پر توجہ مرکوز کریں، B) محافظوں کو گمراہ کرنے کے لیے فینٹ کا استعمال کریں۔</v>
      </c>
      <c r="O68" s="6" t="str">
        <f>IFERROR(__xludf.DUMMYFUNCTION("GOOGLETRANSLATE(E68, ""en"", ""ur"")"),"دھوکہ دہی کا استعمال اور احتیاط سے گیند کو کنٹرول کرنے سے رفتار کو دوبارہ حاصل کرنے اور محافظوں کو پیچھے چھوڑنے میں مدد مل سکتی ہے۔")</f>
        <v>دھوکہ دہی کا استعمال اور احتیاط سے گیند کو کنٹرول کرنے سے رفتار کو دوبارہ حاصل کرنے اور محافظوں کو پیچھے چھوڑنے میں مدد مل سکتی ہے۔</v>
      </c>
    </row>
    <row r="69">
      <c r="A69" s="4">
        <v>68.0</v>
      </c>
      <c r="B69" s="5" t="s">
        <v>1551</v>
      </c>
      <c r="C69" s="5" t="s">
        <v>1552</v>
      </c>
      <c r="D69" s="5" t="s">
        <v>1553</v>
      </c>
      <c r="E69" s="5" t="s">
        <v>1554</v>
      </c>
      <c r="K69" s="6" t="str">
        <f>IFERROR(__xludf.DUMMYFUNCTION("GOOGLETRANSLATE(A69, ""en"", ""ur"")"),"68")</f>
        <v>68</v>
      </c>
      <c r="L69" s="6" t="str">
        <f>IFERROR(__xludf.DUMMYFUNCTION("GOOGLETRANSLATE(B69, ""en"", ""ur"")"),"ٹیم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f>
        <v>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v>
      </c>
      <c r="M69" s="6" t="str">
        <f>IFERROR(__xludf.DUMMYFUNCTION("GOOGLETRANSLATE(C69, ""en"", ""ur"")"),"A) سوار کو باضابطہ وارننگ دیں، B) سوار کو نااہل قرار دیں، C) ٹیم A کو قبضہ دے کر ٹیم B کو سزا دیں، D) میچ روکیں اور مجرم سوار کو وقتی جرمانہ جاری کریں۔")</f>
        <v>A) سوار کو باضابطہ وارننگ دیں، B) سوار کو نااہل قرار دیں، C) ٹیم A کو قبضہ دے کر ٹیم B کو سزا دیں، D) میچ روکیں اور مجرم سوار کو وقتی جرمانہ جاری کریں۔</v>
      </c>
      <c r="N69" s="6" t="str">
        <f>IFERROR(__xludf.DUMMYFUNCTION("GOOGLETRANSLATE(D69, ""en"", ""ur"")"),"B) سوار کو نااہل قرار دیں، C) ٹیم A کو قبضہ دے کر ٹیم B کو سزا دیں۔")</f>
        <v>B) سوار کو نااہل قرار دیں، C) ٹیم A کو قبضہ دے کر ٹیم B کو سزا دیں۔</v>
      </c>
      <c r="O69" s="6" t="str">
        <f>IFERROR(__xludf.DUMMYFUNCTION("GOOGLETRANSLATE(E69, ""en"", ""ur"")"),"غیر منصفانہ ہتھکنڈوں کا استعمال کرتے ہوئے مسلسل بلاک کرنے سے نااہلی یا قبضے کی تبدیلی جیسی سنگین سزائیں ہوتی ہیں۔")</f>
        <v>غیر منصفانہ ہتھکنڈوں کا استعمال کرتے ہوئے مسلسل بلاک کرنے سے نااہلی یا قبضے کی تبدیلی جیسی سنگین سزائیں ہوتی ہیں۔</v>
      </c>
    </row>
    <row r="70">
      <c r="A70" s="4">
        <v>69.0</v>
      </c>
      <c r="B70" s="5" t="s">
        <v>1555</v>
      </c>
      <c r="C70" s="5" t="s">
        <v>1556</v>
      </c>
      <c r="D70" s="5" t="s">
        <v>1557</v>
      </c>
      <c r="E70" s="5" t="s">
        <v>1558</v>
      </c>
      <c r="K70" s="6" t="str">
        <f>IFERROR(__xludf.DUMMYFUNCTION("GOOGLETRANSLATE(A70, ""en"", ""ur"")"),"69")</f>
        <v>69</v>
      </c>
      <c r="L70" s="6" t="str">
        <f>IFERROR(__xludf.DUMMYFUNCTION("GOOGLETRANSLATE(B70, ""en"", ""ur"")"),"گرما گرم تبادلے کے دوران، ٹیم A کا ایک سوار غلطی سے ریفری کی پوزیشن سے ٹکرا جاتا ہے۔ ریفری کو کیسے جواب دینا چاہئے؟")</f>
        <v>گرما گرم تبادلے کے دوران، ٹیم A کا ایک سوار غلطی سے ریفری کی پوزیشن سے ٹکرا جاتا ہے۔ ریفری کو کیسے جواب دینا چاہئے؟</v>
      </c>
      <c r="M70" s="6" t="str">
        <f>IFERROR(__xludf.DUMMYFUNCTION("GOOGLETRANSLATE(C70, ""en"", ""ur"")"),"A)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f>
        <v>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v>
      </c>
      <c r="N70" s="6" t="str">
        <f>IFERROR(__xludf.DUMMYFUNCTION("GOOGLETRANSLATE(D70, ""en"", ""ur"")"),"ب) اس بات کو یقینی بنانے کے لیے میچ روکیں کہ کسی کو تکلیف نہ پہنچے، سی) سوار کو وارننگ جاری کریں۔")</f>
        <v>ب) اس بات کو یقینی بنانے کے لیے میچ روکیں کہ کسی کو تکلیف نہ پہنچے، سی) سوار کو وارننگ جاری کریں۔</v>
      </c>
      <c r="O70" s="6" t="str">
        <f>IFERROR(__xludf.DUMMYFUNCTION("GOOGLETRANSLATE(E70, ""en"", ""ur"")"),"کھلاڑی اور ریفری کی حفاظت ایک ترجیح ہے، اور چوٹ سے بچنے کے لیے تصادم پر فوری توجہ دی جانی چاہیے۔")</f>
        <v>کھلاڑی اور ریفری کی حفاظت ایک ترجیح ہے، اور چوٹ سے بچنے کے لیے تصادم پر فوری توجہ دی جانی چاہیے۔</v>
      </c>
    </row>
    <row r="71">
      <c r="A71" s="4">
        <v>70.0</v>
      </c>
      <c r="B71" s="5" t="s">
        <v>1559</v>
      </c>
      <c r="C71" s="5" t="s">
        <v>1560</v>
      </c>
      <c r="D71" s="5" t="s">
        <v>1561</v>
      </c>
      <c r="E71" s="5" t="s">
        <v>1562</v>
      </c>
      <c r="K71" s="6" t="str">
        <f>IFERROR(__xludf.DUMMYFUNCTION("GOOGLETRANSLATE(A71, ""en"", ""ur"")"),"70")</f>
        <v>70</v>
      </c>
      <c r="L71" s="6" t="str">
        <f>IFERROR(__xludf.DUMMYFUNCTION("GOOGLETRANSLATE(B71, ""en"", ""ur"")"),"لاش مٹی کے گڑھے میں پھنس جاتی ہے جس سے دونوں ٹیموں کے لیے اس تک پہنچنا مشکل ہو جاتا ہے۔ ریفری کو کیا کرنا چاہیے؟")</f>
        <v>لاش مٹی کے گڑھے میں پھنس جاتی ہے جس سے دونوں ٹیموں کے لیے اس تک پہنچنا مشکل ہو جاتا ہے۔ ریفری کو کیا کرنا چاہیے؟</v>
      </c>
      <c r="M71" s="6" t="str">
        <f>IFERROR(__xludf.DUMMYFUNCTION("GOOGLETRANSLATE(C71, ""en"", ""ur"")"),"A) میچ کو معمول کے مطابق جاری رکھیں، B) لاش کو خشک جگہ پر ری سیٹ کریں اور دوبارہ کھیل شروع کریں، C) کھلاڑیوں کو لاش کو آزاد کرنے کے لیے مل کر کام کرنے کی اجازت دیں، D) میچ کو اس وقت تک روک دیں جب تک کہ صورتحال خود حل نہ ہو جائے۔")</f>
        <v>A) میچ کو معمول کے مطابق جاری رکھیں، B) لاش کو خشک جگہ پر ری سیٹ کریں اور دوبارہ کھیل شروع کریں، C) کھلاڑیوں کو لاش کو آزاد کرنے کے لیے مل کر کام کرنے کی اجازت دیں، D) میچ کو اس وقت تک روک دیں جب تک کہ صورتحال خود حل نہ ہو جائے۔</v>
      </c>
      <c r="N71" s="6" t="str">
        <f>IFERROR(__xludf.DUMMYFUNCTION("GOOGLETRANSLATE(D71, ""en"", ""ur"")"),"ب) لاش کو خشک جگہ پر سیٹ کریں اور دوبارہ کھیل شروع کریں۔")</f>
        <v>ب) لاش کو خشک جگہ پر سیٹ کریں اور دوبارہ کھیل شروع کریں۔</v>
      </c>
      <c r="O71" s="6" t="str">
        <f>IFERROR(__xludf.DUMMYFUNCTION("GOOGLETRANSLATE(E71, ""en"", ""ur"")"),"جب لاش رکاوٹ بن جائے تو اسے دوبارہ ترتیب دینا اور میچ جاری رکھنا مناسب ہے۔")</f>
        <v>جب لاش رکاوٹ بن جائے تو اسے دوبارہ ترتیب دینا اور میچ جاری رکھنا مناسب ہے۔</v>
      </c>
    </row>
    <row r="72">
      <c r="A72" s="4">
        <v>71.0</v>
      </c>
      <c r="B72" s="5" t="s">
        <v>1563</v>
      </c>
      <c r="C72" s="5" t="s">
        <v>1564</v>
      </c>
      <c r="D72" s="5" t="s">
        <v>1565</v>
      </c>
      <c r="E72" s="5" t="s">
        <v>1566</v>
      </c>
      <c r="K72" s="6" t="str">
        <f>IFERROR(__xludf.DUMMYFUNCTION("GOOGLETRANSLATE(A72, ""en"", ""ur"")"),"71")</f>
        <v>71</v>
      </c>
      <c r="L72" s="6" t="str">
        <f>IFERROR(__xludf.DUMMYFUNCTION("GOOGLETRANSLATE(B72, ""en"", ""ur"")"),"سخت مقابلہ کرنے والے میچ میں، ٹیم A کا ایک سوار اپنے گھوڑے کو درمیانی کھیل میں زخمی کر دیتا ہے۔ اگر چوٹ گھوڑے کو چلنے سے روکتی ہے تو ریفری کو کیا کرنا چاہیے؟")</f>
        <v>سخت مقابلہ کرنے والے میچ میں، ٹیم A کا ایک سوار اپنے گھوڑے کو درمیانی کھیل میں زخمی کر دیتا ہے۔ اگر چوٹ گھوڑے کو چلنے سے روکتی ہے تو ریفری کو کیا کرنا چاہیے؟</v>
      </c>
      <c r="M72" s="6" t="str">
        <f>IFERROR(__xludf.DUMMYFUNCTION("GOOGLETRANSLATE(C72, ""en"", ""ur"")"),"A) سوار کو نئے گھوڑے کے ساتھ جاری رکھنے کی اجازت دیں، B) گھوڑے کے متبادل کے لیے ٹیم A کو سزا دیں، C) سوار کو چوٹ لگنے کے لیے ایک مختصر وقفہ کی اجازت دیں، D) گھوڑے سے متعلقہ چوٹوں کے لیے ٹیم A کو نااہل قرار دیں۔")</f>
        <v>A) سوار کو نئے گھوڑے کے ساتھ جاری رکھنے کی اجازت دیں، B) گھوڑے کے متبادل کے لیے ٹیم A کو سزا دیں، C) سوار کو چوٹ لگنے کے لیے ایک مختصر وقفہ کی اجازت دیں، D) گھوڑے سے متعلقہ چوٹوں کے لیے ٹیم A کو نااہل قرار دیں۔</v>
      </c>
      <c r="N72" s="6" t="str">
        <f>IFERROR(__xludf.DUMMYFUNCTION("GOOGLETRANSLATE(D72, ""en"", ""ur"")"),"A) سوار کو نئے گھوڑے کے ساتھ جاری رکھنے کی اجازت دیں، C) سوار کو چوٹ کی طرف مائل ہونے کے لیے مختصر وقفے کی اجازت دیں۔")</f>
        <v>A) سوار کو نئے گھوڑے کے ساتھ جاری رکھنے کی اجازت دیں، C) سوار کو چوٹ کی طرف مائل ہونے کے لیے مختصر وقفے کی اجازت دیں۔</v>
      </c>
      <c r="O72" s="6" t="str">
        <f>IFERROR(__xludf.DUMMYFUNCTION("GOOGLETRANSLATE(E72, ""en"", ""ur"")"),"کھلاڑی کی حفاظت اہم ہے، اور مختصر طبی امداد یا گھوڑے کی تبدیلی کی اجازت معیاری پروٹوکول ہے۔")</f>
        <v>کھلاڑی کی حفاظت اہم ہے، اور مختصر طبی امداد یا گھوڑے کی تبدیلی کی اجازت معیاری پروٹوکول ہے۔</v>
      </c>
    </row>
    <row r="73">
      <c r="A73" s="4">
        <v>72.0</v>
      </c>
      <c r="B73" s="5" t="s">
        <v>1567</v>
      </c>
      <c r="C73" s="5" t="s">
        <v>1568</v>
      </c>
      <c r="D73" s="5" t="s">
        <v>1569</v>
      </c>
      <c r="E73" s="5" t="s">
        <v>1570</v>
      </c>
      <c r="K73" s="6" t="str">
        <f>IFERROR(__xludf.DUMMYFUNCTION("GOOGLETRANSLATE(A73, ""en"", ""ur"")"),"72")</f>
        <v>72</v>
      </c>
      <c r="L73" s="6" t="str">
        <f>IFERROR(__xludf.DUMMYFUNCTION("GOOGLETRANSLATE(B73, ""en"", ""ur"")"),"ایک سوار کامیابی کے ساتھ لاش کو پکڑتا ہے اور ہدف کی طرف اپنا راستہ بنا رہا ہوتا ہے جب ٹیم A کا دوسرا سوار غیر ارادی طور پر ان کا راستہ روکتا ہے۔ ریفری کو کیا فیصلہ کرنا چاہئے؟")</f>
        <v>ایک سوار کامیابی کے ساتھ لاش کو پکڑتا ہے اور ہدف کی طرف اپنا راستہ بنا رہا ہوتا ہے جب ٹیم A کا دوسرا سوار غیر ارادی طور پر ان کا راستہ روکتا ہے۔ ریفری کو کیا فیصلہ کرنا چاہئے؟</v>
      </c>
      <c r="M73" s="6" t="str">
        <f>IFERROR(__xludf.DUMMYFUNCTION("GOOGLETRANSLATE(C73, ""en"", ""ur"")"),"A) بغیر کسی جرمانے کے کھیل کو جاری رکھنے کی اجازت دیں، B) لاش کو دوبارہ ترتیب دیں، C) بلاک کیے جانے والے سوار کو مفت پاس دیں، D) روکے جانے والے سوار کو کھیل میں رکاوٹ ڈالنے پر سزا دیں۔")</f>
        <v>A) بغیر کسی جرمانے کے کھیل کو جاری رکھنے کی اجازت دیں، B) لاش کو دوبارہ ترتیب دیں، C) بلاک کیے جانے والے سوار کو مفت پاس دیں، D) روکے جانے والے سوار کو کھیل میں رکاوٹ ڈالنے پر سزا دیں۔</v>
      </c>
      <c r="N73" s="6" t="str">
        <f>IFERROR(__xludf.DUMMYFUNCTION("GOOGLETRANSLATE(D73, ""en"", ""ur"")"),"A) بغیر کسی جرمانے کے کھیل کو جاری رکھنے کی اجازت دیں۔")</f>
        <v>A) بغیر کسی جرمانے کے کھیل کو جاری رکھنے کی اجازت دیں۔</v>
      </c>
      <c r="O73" s="6" t="str">
        <f>IFERROR(__xludf.DUMMYFUNCTION("GOOGLETRANSLATE(E73, ""en"", ""ur"")"),"غیر ارادی رکاوٹیں عام طور پر جرمانے کی ضمانت نہیں دیتی ہیں جب تک کہ رکاوٹ جان بوجھ کر یا انتہائی نہ ہو۔")</f>
        <v>غیر ارادی رکاوٹیں عام طور پر جرمانے کی ضمانت نہیں دیتی ہیں جب تک کہ رکاوٹ جان بوجھ کر یا انتہائی نہ ہو۔</v>
      </c>
    </row>
    <row r="74">
      <c r="A74" s="4">
        <v>73.0</v>
      </c>
      <c r="B74" s="5" t="s">
        <v>1571</v>
      </c>
      <c r="C74" s="5" t="s">
        <v>1572</v>
      </c>
      <c r="D74" s="5" t="s">
        <v>1573</v>
      </c>
      <c r="E74" s="5" t="s">
        <v>1574</v>
      </c>
      <c r="K74" s="6" t="str">
        <f>IFERROR(__xludf.DUMMYFUNCTION("GOOGLETRANSLATE(A74, ""en"", ""ur"")"),"73")</f>
        <v>73</v>
      </c>
      <c r="L74" s="6" t="str">
        <f>IFERROR(__xludf.DUMMYFUNCTION("GOOGLETRANSLATE(B74, ""en"", ""ur"")"),"ایک مقامی بزکشی گیم میں، مخالف ٹیموں کے دو سوار لاش کو اپنے قبضے میں لینے کے لیے مٹھی بھر لڑائی میں پڑ جاتے ہیں۔ ریفری کو کیا کرنا چاہیے؟")</f>
        <v>ایک مقامی بزکشی گیم میں، مخالف ٹیموں کے دو سوار لاش کو اپنے قبضے میں لینے کے لیے مٹھی بھر لڑائی میں پڑ جاتے ہیں۔ ریفری کو کیا کرنا چاہیے؟</v>
      </c>
      <c r="M74" s="6" t="str">
        <f>IFERROR(__xludf.DUMMYFUNCTION("GOOGLETRANSLATE(C74, ""en"", ""ur"")"),"A) سواروں کو الگ کریں اور دونوں کو وارننگ جاری کریں، B) دونوں سواروں کو میچ سے نااہل قرار دیں، C) میچ کو روکیں اور ڈی ایسکلیشن کے لیے وقت دیں، D) مزید کارروائی کے بغیر میچ جاری رکھیں")</f>
        <v>A) سواروں کو الگ کریں اور دونوں کو وارننگ جاری کریں، B) دونوں سواروں کو میچ سے نااہل قرار دیں، C) میچ کو روکیں اور ڈی ایسکلیشن کے لیے وقت دیں، D) مزید کارروائی کے بغیر میچ جاری رکھیں</v>
      </c>
      <c r="N74" s="6" t="str">
        <f>IFERROR(__xludf.DUMMYFUNCTION("GOOGLETRANSLATE(D74, ""en"", ""ur"")"),"A) سواروں کو الگ کریں اور دونوں کو وارننگ جاری کریں، B) دونوں سواروں کو میچ سے نااہل قرار دیں۔")</f>
        <v>A) سواروں کو الگ کریں اور دونوں کو وارننگ جاری کریں، B) دونوں سواروں کو میچ سے نااہل قرار دیں۔</v>
      </c>
      <c r="O74" s="6" t="str">
        <f>IFERROR(__xludf.DUMMYFUNCTION("GOOGLETRANSLATE(E74, ""en"", ""ur"")"),"جسمانی تشدد ممنوع ہے اور منصفانہ کھیل کو برقرار رکھنے کے لیے اس کے مطابق سزا دی جانی چاہیے۔")</f>
        <v>جسمانی تشدد ممنوع ہے اور منصفانہ کھیل کو برقرار رکھنے کے لیے اس کے مطابق سزا دی جانی چاہیے۔</v>
      </c>
    </row>
    <row r="75">
      <c r="A75" s="4">
        <v>74.0</v>
      </c>
      <c r="B75" s="5" t="s">
        <v>1575</v>
      </c>
      <c r="C75" s="5" t="s">
        <v>1576</v>
      </c>
      <c r="D75" s="5" t="s">
        <v>1577</v>
      </c>
      <c r="E75" s="5" t="s">
        <v>1578</v>
      </c>
      <c r="K75" s="6" t="str">
        <f>IFERROR(__xludf.DUMMYFUNCTION("GOOGLETRANSLATE(A75, ""en"", ""ur"")"),"74")</f>
        <v>74</v>
      </c>
      <c r="L75" s="6" t="str">
        <f>IFERROR(__xludf.DUMMYFUNCTION("GOOGLETRANSLATE(B75, ""en"", ""ur"")"),"ٹیم A کا ایک سوار بہت جارحانہ انداز میں سواری کرتا ہے اور دوسرے سوار کو اپنے گھوڑے سے گرا دیتا ہے۔ ریفری کا فیصلہ کیا ہونا چاہیے؟")</f>
        <v>ٹیم A کا ایک سوار بہت جارحانہ انداز میں سواری کرتا ہے اور دوسرے سوار کو اپنے گھوڑے سے گرا دیتا ہے۔ ریفری کا فیصلہ کیا ہونا چاہیے؟</v>
      </c>
      <c r="M75" s="6" t="str">
        <f>IFERROR(__xludf.DUMMYFUNCTION("GOOGLETRANSLATE(C75, ""en"", ""ur"")"),"A) خلاف ورزی کرنے والے سوار کو پیلا کارڈ جاری کریں، B) رائیڈر کو غیر کھیلوں کے طرز عمل پر نااہل قرار دیں، C) ٹیم B کو مفت قبضہ دے کر ٹیم A کو سزا دیں، D) میچ کو جاری رہنے دیں کیونکہ کوئی شدید چوٹ نہیں آئی")</f>
        <v>A) خلاف ورزی کرنے والے سوار کو پیلا کارڈ جاری کریں، B) رائیڈر کو غیر کھیلوں کے طرز عمل پر نااہل قرار دیں، C) ٹیم B کو مفت قبضہ دے کر ٹیم A کو سزا دیں، D) میچ کو جاری رہنے دیں کیونکہ کوئی شدید چوٹ نہیں آئی</v>
      </c>
      <c r="N75" s="6" t="str">
        <f>IFERROR(__xludf.DUMMYFUNCTION("GOOGLETRANSLATE(D75, ""en"", ""ur"")"),"A) مجرم سوار کو پیلا کارڈ جاری کریں، C) ٹیم B کو مفت قبضہ دے کر ٹیم A کو سزا دیں۔")</f>
        <v>A) مجرم سوار کو پیلا کارڈ جاری کریں، C) ٹیم B کو مفت قبضہ دے کر ٹیم A کو سزا دیں۔</v>
      </c>
      <c r="O75" s="6" t="str">
        <f>IFERROR(__xludf.DUMMYFUNCTION("GOOGLETRANSLATE(E75, ""en"", ""ur"")"),"حفاظت اور منصفانہ مسابقت کو یقینی بنانے کے لیے جارحانہ حربوں پر جرمانہ عائد کیا جانا چاہیے۔")</f>
        <v>حفاظت اور منصفانہ مسابقت کو یقینی بنانے کے لیے جارحانہ حربوں پر جرمانہ عائد کیا جانا چاہیے۔</v>
      </c>
    </row>
    <row r="76">
      <c r="A76" s="4">
        <v>75.0</v>
      </c>
      <c r="B76" s="5" t="s">
        <v>1579</v>
      </c>
      <c r="C76" s="5" t="s">
        <v>1580</v>
      </c>
      <c r="D76" s="5" t="s">
        <v>1581</v>
      </c>
      <c r="E76" s="5" t="s">
        <v>1582</v>
      </c>
      <c r="K76" s="6" t="str">
        <f>IFERROR(__xludf.DUMMYFUNCTION("GOOGLETRANSLATE(A76, ""en"", ""ur"")"),"75")</f>
        <v>75</v>
      </c>
      <c r="L76" s="6" t="str">
        <f>IFERROR(__xludf.DUMMYFUNCTION("GOOGLETRANSLATE(B76, ""en"", ""ur"")"),"ٹیم A کا ایک سوار لاش کو پکڑتا ہے اور گول کی طرف بڑھ رہا ہے جب اسے اپنے گھوڑے کا استعمال کرتے ہوئے مخالف کے ذریعہ روکا جاتا ہے۔ ریفری کو کیا کرنا چاہیے؟")</f>
        <v>ٹیم A کا ایک سوار لاش کو پکڑتا ہے اور گول کی طرف بڑھ رہا ہے جب اسے اپنے گھوڑے کا استعمال کرتے ہوئے مخالف کے ذریعہ روکا جاتا ہے۔ ریفری کو کیا کرنا چاہیے؟</v>
      </c>
      <c r="M76" s="6" t="str">
        <f>IFERROR(__xludf.DUMMYFUNCTION("GOOGLETRANSLATE(C76, ""en"", ""ur"")"),"A) بلاک کو اجازت دیں کیونکہ یہ گیم کا حصہ ہے، B) سوار کو غیر منصفانہ بلاک کرنے پر سزا دیں، C) ٹیم A کو مفت قبضہ دیں، D) میچ روکیں اور لاش کو دوبارہ ترتیب دیں۔")</f>
        <v>A) بلاک کو اجازت دیں کیونکہ یہ گیم کا حصہ ہے، B) سوار کو غیر منصفانہ بلاک کرنے پر سزا دیں، C) ٹیم A کو مفت قبضہ دیں، D) میچ روکیں اور لاش کو دوبارہ ترتیب دیں۔</v>
      </c>
      <c r="N76" s="6" t="str">
        <f>IFERROR(__xludf.DUMMYFUNCTION("GOOGLETRANSLATE(D76, ""en"", ""ur"")"),"B) سوار کو غیر منصفانہ بلاک کرنے پر سزا دیں، C) ٹیم A کو مفت قبضہ دیں")</f>
        <v>B) سوار کو غیر منصفانہ بلاک کرنے پر سزا دیں، C) ٹیم A کو مفت قبضہ دیں</v>
      </c>
      <c r="O76" s="6" t="str">
        <f>IFERROR(__xludf.DUMMYFUNCTION("GOOGLETRANSLATE(E76, ""en"", ""ur"")"),"گھوڑے کے ساتھ روکنے کی اجازت ہے، لیکن حد سے زیادہ جارحانہ یا رکاوٹ والے انداز میں نہیں۔ غیر منصفانہ طرز عمل پر جرمانہ جاری کیا جاتا ہے۔")</f>
        <v>گھوڑے کے ساتھ روکنے کی اجازت ہے، لیکن حد سے زیادہ جارحانہ یا رکاوٹ والے انداز میں نہیں۔ غیر منصفانہ طرز عمل پر جرمانہ جاری کیا جاتا ہے۔</v>
      </c>
    </row>
    <row r="77">
      <c r="A77" s="4">
        <v>76.0</v>
      </c>
      <c r="B77" s="5" t="s">
        <v>1583</v>
      </c>
      <c r="C77" s="5" t="s">
        <v>1584</v>
      </c>
      <c r="D77" s="5" t="s">
        <v>1585</v>
      </c>
      <c r="E77" s="5" t="s">
        <v>1586</v>
      </c>
      <c r="K77" s="6" t="str">
        <f>IFERROR(__xludf.DUMMYFUNCTION("GOOGLETRANSLATE(A77, ""en"", ""ur"")"),"76")</f>
        <v>76</v>
      </c>
      <c r="L77" s="6" t="str">
        <f>IFERROR(__xludf.DUMMYFUNCTION("GOOGLETRANSLATE(B77, ""en"", ""ur"")"),"ٹیم B کا ایک سوار لاش کو ٹیم کے ساتھی کے پاس دیتا ہے، لیکن ساتھی اسے گول دائرے تک پہنچنے سے پہلے ہی گرا دیتا ہے۔ آگے کیا ہوتا ہے؟")</f>
        <v>ٹیم B کا ایک سوار لاش کو ٹیم کے ساتھی کے پاس دیتا ہے، لیکن ساتھی اسے گول دائرے تک پہنچنے سے پہلے ہی گرا دیتا ہے۔ آگے کیا ہوتا ہے؟</v>
      </c>
      <c r="M77" s="6" t="str">
        <f>IFERROR(__xludf.DUMMYFUNCTION("GOOGLETRANSLATE(C77, ""en"", ""ur"")"),"A) مخالف ٹیم قبضہ حاصل کر لیتی ہے، B) لاش کو مرکز میں ری سیٹ کر دیا جاتا ہے، C) کھیل جاری رہتا ہے، اور ٹیم B کو دوبارہ کوشش کرنی پڑتی ہے، D) ٹیم B کو لاش گرانے پر جرمانہ کیا جاتا ہے۔")</f>
        <v>A) مخالف ٹیم قبضہ حاصل کر لیتی ہے، B) لاش کو مرکز میں ری سیٹ کر دیا جاتا ہے، C) کھیل جاری رہتا ہے، اور ٹیم B کو دوبارہ کوشش کرنی پڑتی ہے، D) ٹیم B کو لاش گرانے پر جرمانہ کیا جاتا ہے۔</v>
      </c>
      <c r="N77" s="6" t="str">
        <f>IFERROR(__xludf.DUMMYFUNCTION("GOOGLETRANSLATE(D77, ""en"", ""ur"")"),"C) کھیل جاری ہے، اور ٹیم B کو دوبارہ کوشش کرنی ہوگی۔")</f>
        <v>C) کھیل جاری ہے، اور ٹیم B کو دوبارہ کوشش کرنی ہوگی۔</v>
      </c>
      <c r="O77" s="6" t="str">
        <f>IFERROR(__xludf.DUMMYFUNCTION("GOOGLETRANSLATE(E77, ""en"", ""ur"")"),"لاش کو گرانے سے خود بخود جرمانہ نہیں ہوتا، لیکن ٹیم کو جاری رکھنے کے لیے دوبارہ قبضہ حاصل کرنا چاہیے۔")</f>
        <v>لاش کو گرانے سے خود بخود جرمانہ نہیں ہوتا، لیکن ٹیم کو جاری رکھنے کے لیے دوبارہ قبضہ حاصل کرنا چاہیے۔</v>
      </c>
    </row>
    <row r="78">
      <c r="A78" s="4">
        <v>77.0</v>
      </c>
      <c r="B78" s="5" t="s">
        <v>1587</v>
      </c>
      <c r="C78" s="5" t="s">
        <v>1588</v>
      </c>
      <c r="D78" s="5" t="s">
        <v>1589</v>
      </c>
      <c r="E78" s="5" t="s">
        <v>1590</v>
      </c>
      <c r="K78" s="6" t="str">
        <f>IFERROR(__xludf.DUMMYFUNCTION("GOOGLETRANSLATE(A78, ""en"", ""ur"")"),"77")</f>
        <v>77</v>
      </c>
      <c r="L78" s="6" t="str">
        <f>IFERROR(__xludf.DUMMYFUNCTION("GOOGLETRANSLATE(B78, ""en"", ""ur"")"),"بزکشی میچ کے دوران، ٹیم A کے پاس ایک سوار ہے جو بہت تیز ہے لیکن لاش کو سنبھالنے میں ناتجربہ کار ہے۔ ٹیم A اس سوار کا بہترین استعمال کیسے کر سکتی ہے؟")</f>
        <v>بزکشی میچ کے دوران، ٹیم A کے پاس ایک سوار ہے جو بہت تیز ہے لیکن لاش کو سنبھالنے میں ناتجربہ کار ہے۔ ٹیم A اس سوار کا بہترین استعمال کیسے کر سکتی ہے؟</v>
      </c>
      <c r="M78" s="6" t="str">
        <f>IFERROR(__xludf.DUMMYFUNCTION("GOOGLETRANSLATE(C78, ""en"", ""ur"")"),"A) انہیں تیز رفتاری اور مخالفوں کی توجہ ہٹانے پر توجہ دلائیں، B) گول دائرے کی حفاظت کے لیے انہیں تفویض کریں، C) انہیں آسان، کم مقابلہ والے حالات میں لاش کو سنبھالنے دیں، D) ان کا استعمال کریں جب کوئی اور ساتھی لاش کو پکڑ لے۔")</f>
        <v>A) انہیں تیز رفتاری اور مخالفوں کی توجہ ہٹانے پر توجہ دلائیں، B) گول دائرے کی حفاظت کے لیے انہیں تفویض کریں، C) انہیں آسان، کم مقابلہ والے حالات میں لاش کو سنبھالنے دیں، D) ان کا استعمال کریں جب کوئی اور ساتھی لاش کو پکڑ لے۔</v>
      </c>
      <c r="N78" s="6" t="str">
        <f>IFERROR(__xludf.DUMMYFUNCTION("GOOGLETRANSLATE(D78, ""en"", ""ur"")"),"A) انہیں تیز رفتاری اور مخالفین کی توجہ ہٹانے پر توجہ دلائیں، D) ان کا استعمال ایک دھوکے کے طور پر کریں جب کہ ایک اور ساتھی لاش کو پکڑ لے")</f>
        <v>A) انہیں تیز رفتاری اور مخالفین کی توجہ ہٹانے پر توجہ دلائیں، D) ان کا استعمال ایک دھوکے کے طور پر کریں جب کہ ایک اور ساتھی لاش کو پکڑ لے</v>
      </c>
      <c r="O78" s="6" t="str">
        <f>IFERROR(__xludf.DUMMYFUNCTION("GOOGLETRANSLATE(E78, ""en"", ""ur"")"),"ایک تیز سوار کا استعمال مخالف ٹیم کو پریشان یا الجھا کر ٹیم کے ساتھیوں کے لیے مواقع پیدا کرنے کے لیے کیا جا سکتا ہے۔")</f>
        <v>ایک تیز سوار کا استعمال مخالف ٹیم کو پریشان یا الجھا کر ٹیم کے ساتھیوں کے لیے مواقع پیدا کرنے کے لیے کیا جا سکتا ہے۔</v>
      </c>
    </row>
    <row r="79">
      <c r="A79" s="4">
        <v>78.0</v>
      </c>
      <c r="B79" s="5" t="s">
        <v>1591</v>
      </c>
      <c r="C79" s="5" t="s">
        <v>1592</v>
      </c>
      <c r="D79" s="5" t="s">
        <v>1593</v>
      </c>
      <c r="E79" s="5" t="s">
        <v>1594</v>
      </c>
      <c r="K79" s="6" t="str">
        <f>IFERROR(__xludf.DUMMYFUNCTION("GOOGLETRANSLATE(A79, ""en"", ""ur"")"),"78")</f>
        <v>78</v>
      </c>
      <c r="L79" s="6" t="str">
        <f>IFERROR(__xludf.DUMMYFUNCTION("GOOGLETRANSLATE(B79, ""en"", ""ur"")"),"ریفری لاش کو چرانے کی کوشش کرتے وقت ضرورت سے زیادہ طاقت کے لئے ٹیم A کے سوار کے خلاف فاؤل کا اشارہ کرتا ہے۔ ممکنہ سزا کیا ہے؟")</f>
        <v>ریفری لاش کو چرانے کی کوشش کرتے وقت ضرورت سے زیادہ طاقت کے لئے ٹیم A کے سوار کے خلاف فاؤل کا اشارہ کرتا ہے۔ ممکنہ سزا کیا ہے؟</v>
      </c>
      <c r="M79" s="6" t="str">
        <f>IFERROR(__xludf.DUMMYFUNCTION("GOOGLETRANSLATE(C79, ""en"", ""ur"")"),"A) ٹیم B کو دیا گیا ایک پوائنٹ، B) ٹیم A لاش کا قبضہ کھو دیتی ہے، C) ٹیم A کو جاری کردہ وارننگ، D) ٹیم B کو مفت قبضہ دیا گیا")</f>
        <v>A) ٹیم B کو دیا گیا ایک پوائنٹ، B) ٹیم A لاش کا قبضہ کھو دیتی ہے، C) ٹیم A کو جاری کردہ وارننگ، D) ٹیم B کو مفت قبضہ دیا گیا</v>
      </c>
      <c r="N79" s="6" t="str">
        <f>IFERROR(__xludf.DUMMYFUNCTION("GOOGLETRANSLATE(D79, ""en"", ""ur"")"),"B) ٹیم A لاش کا قبضہ کھو دیتی ہے، D) ایک مفت قبضہ ٹیم B کو دیا گیا")</f>
        <v>B) ٹیم A لاش کا قبضہ کھو دیتی ہے، D) ایک مفت قبضہ ٹیم B کو دیا گیا</v>
      </c>
      <c r="O79" s="6" t="str">
        <f>IFERROR(__xludf.DUMMYFUNCTION("GOOGLETRANSLATE(E79, ""en"", ""ur"")"),"ضرورت سے زیادہ طاقت کے استعمال کے نتیجے میں قبضہ ختم ہوسکتا ہے، اور مخالف ٹیم فائدہ اٹھا سکتی ہے۔")</f>
        <v>ضرورت سے زیادہ طاقت کے استعمال کے نتیجے میں قبضہ ختم ہوسکتا ہے، اور مخالف ٹیم فائدہ اٹھا سکتی ہے۔</v>
      </c>
    </row>
    <row r="80">
      <c r="A80" s="4">
        <v>79.0</v>
      </c>
      <c r="B80" s="5" t="s">
        <v>1595</v>
      </c>
      <c r="C80" s="5" t="s">
        <v>1596</v>
      </c>
      <c r="D80" s="5" t="s">
        <v>1597</v>
      </c>
      <c r="E80" s="5" t="s">
        <v>1598</v>
      </c>
      <c r="K80" s="6" t="str">
        <f>IFERROR(__xludf.DUMMYFUNCTION("GOOGLETRANSLATE(A80, ""en"", ""ur"")"),"79")</f>
        <v>79</v>
      </c>
      <c r="L80" s="6" t="str">
        <f>IFERROR(__xludf.DUMMYFUNCTION("GOOGLETRANSLATE(B80, ""en"", ""ur"")"),"ایک رائیڈر پر الزام لگایا جاتا ہے کہ اس نے گول کرنے کی کوشش کیے بغیر گول دائرے کو لمبے عرصے تک بلاک کر دیا۔ ریفری کو کیا کرنا چاہیے؟")</f>
        <v>ایک رائیڈر پر الزام لگایا جاتا ہے کہ اس نے گول کرنے کی کوشش کیے بغیر گول دائرے کو لمبے عرصے تک بلاک کر دیا۔ ریفری کو کیا کرنا چاہیے؟</v>
      </c>
      <c r="M80" s="6" t="str">
        <f>IFERROR(__xludf.DUMMYFUNCTION("GOOGLETRANSLATE(C80, ""en"", ""ur"")"),"A) کھیل کو جاری رکھنے کی اجازت دیں، B) سوار کو وارننگ جاری کریں، C) لاش کو ابتدائی مقام پر دوبارہ ترتیب دیں، D) سوار کو غیر کھیلوں کے طرز عمل پر سزا دیں")</f>
        <v>A) کھیل کو جاری رکھنے کی اجازت دیں، B) سوار کو وارننگ جاری کریں، C) لاش کو ابتدائی مقام پر دوبارہ ترتیب دیں، D) سوار کو غیر کھیلوں کے طرز عمل پر سزا دیں</v>
      </c>
      <c r="N80" s="6" t="str">
        <f>IFERROR(__xludf.DUMMYFUNCTION("GOOGLETRANSLATE(D80, ""en"", ""ur"")"),"B) سوار کو وارننگ جاری کریں، D) سوار کو غیر کھیلوں کے طرز عمل پر سزا دیں")</f>
        <v>B) سوار کو وارننگ جاری کریں، D) سوار کو غیر کھیلوں کے طرز عمل پر سزا دیں</v>
      </c>
      <c r="O80" s="6" t="str">
        <f>IFERROR(__xludf.DUMMYFUNCTION("GOOGLETRANSLATE(E80, ""en"", ""ur"")"),"گول کرنے کے ارادے کے بغیر گول کے دائرے کو مسدود کرنا گیم پلے میں خلل ڈالتا ہے اور جرمانے کا باعث بن سکتا ہے۔")</f>
        <v>گول کرنے کے ارادے کے بغیر گول کے دائرے کو مسدود کرنا گیم پلے میں خلل ڈالتا ہے اور جرمانے کا باعث بن سکتا ہے۔</v>
      </c>
    </row>
    <row r="81">
      <c r="A81" s="4">
        <v>80.0</v>
      </c>
      <c r="B81" s="5" t="s">
        <v>1599</v>
      </c>
      <c r="C81" s="5" t="s">
        <v>1600</v>
      </c>
      <c r="D81" s="5" t="s">
        <v>1601</v>
      </c>
      <c r="E81" s="5" t="s">
        <v>1602</v>
      </c>
      <c r="K81" s="6" t="str">
        <f>IFERROR(__xludf.DUMMYFUNCTION("GOOGLETRANSLATE(A81, ""en"", ""ur"")"),"80")</f>
        <v>80</v>
      </c>
      <c r="L81" s="6" t="str">
        <f>IFERROR(__xludf.DUMMYFUNCTION("GOOGLETRANSLATE(B81, ""en"", ""ur"")"),"میچ کے دوران ایک تماشائی میدان میں بھاگتا ہے، جس سے عارضی افراتفری مچ جاتی ہے۔ مناسب کارروائی کیا ہے؟")</f>
        <v>میچ کے دوران ایک تماشائی میدان میں بھاگتا ہے، جس سے عارضی افراتفری مچ جاتی ہے۔ مناسب کارروائی کیا ہے؟</v>
      </c>
      <c r="M81" s="6" t="str">
        <f>IFERROR(__xludf.DUMMYFUNCTION("GOOGLETRANSLATE(C81, ""en"", ""ur"")"),"A) تماشائی کو ہٹانے تک میچ کو روکیں، B) میچ کو جاری رکھیں اور رکاوٹ کو نظر انداز کریں، C) میچ کو آخری قبضے سے دوبارہ شروع کریں، D) تماشائی کی حمایت کرنے والی ٹیم کو جرمانہ کریں۔")</f>
        <v>A) تماشائی کو ہٹانے تک میچ کو روکیں، B) میچ کو جاری رکھیں اور رکاوٹ کو نظر انداز کریں، C) میچ کو آخری قبضے سے دوبارہ شروع کریں، D) تماشائی کی حمایت کرنے والی ٹیم کو جرمانہ کریں۔</v>
      </c>
      <c r="N81" s="6" t="str">
        <f>IFERROR(__xludf.DUMMYFUNCTION("GOOGLETRANSLATE(D81, ""en"", ""ur"")"),"A) تماشائی کو ہٹانے تک میچ روک دیں۔")</f>
        <v>A) تماشائی کو ہٹانے تک میچ روک دیں۔</v>
      </c>
      <c r="O81" s="6" t="str">
        <f>IFERROR(__xludf.DUMMYFUNCTION("GOOGLETRANSLATE(E81, ""en"", ""ur"")"),"کھلاڑیوں کی حفاظت اور کھیل کی سالمیت کو یقینی بنانے کے لیے تماشائیوں کی مداخلت پر فوری توجہ دی جانی چاہیے۔")</f>
        <v>کھلاڑیوں کی حفاظت اور کھیل کی سالمیت کو یقینی بنانے کے لیے تماشائیوں کی مداخلت پر فوری توجہ دی جانی چاہیے۔</v>
      </c>
    </row>
    <row r="82">
      <c r="A82" s="4">
        <v>81.0</v>
      </c>
      <c r="B82" s="5" t="s">
        <v>1603</v>
      </c>
      <c r="C82" s="5" t="s">
        <v>1604</v>
      </c>
      <c r="D82" s="5" t="s">
        <v>1605</v>
      </c>
      <c r="E82" s="5" t="s">
        <v>1606</v>
      </c>
      <c r="K82" s="6" t="str">
        <f>IFERROR(__xludf.DUMMYFUNCTION("GOOGLETRANSLATE(A82, ""en"", ""ur"")"),"81")</f>
        <v>81</v>
      </c>
      <c r="L82" s="6" t="str">
        <f>IFERROR(__xludf.DUMMYFUNCTION("GOOGLETRANSLATE(B82, ""en"", ""ur"")"),"ایک سوار لاش کو پکڑتا ہے اور اسے تھرو کا استعمال کرتے ہوئے ٹیم کے ساتھی کو دینے کا فیصلہ کرتا ہے۔ کیچ کے دوران ساتھی کو کیا یقینی بنانا چاہیے؟")</f>
        <v>ایک سوار لاش کو پکڑتا ہے اور اسے تھرو کا استعمال کرتے ہوئے ٹیم کے ساتھی کو دینے کا فیصلہ کرتا ہے۔ کیچ کے دوران ساتھی کو کیا یقینی بنانا چاہیے؟</v>
      </c>
      <c r="M82" s="6" t="str">
        <f>IFERROR(__xludf.DUMMYFUNCTION("GOOGLETRANSLATE(C82, ""en"", ""ur"")"),"A) لاش زمین کو نہیں چھوتی، B) پکڑتے وقت وہ لگے رہتے ہیں، C) وہ فوراً گول دائرے کی طرف جاتے ہیں، D) وہ پکڑنے سے پہلے ریفری کو اشارہ کرتے ہیں۔")</f>
        <v>A) لاش زمین کو نہیں چھوتی، B) پکڑتے وقت وہ لگے رہتے ہیں، C) وہ فوراً گول دائرے کی طرف جاتے ہیں، D) وہ پکڑنے سے پہلے ریفری کو اشارہ کرتے ہیں۔</v>
      </c>
      <c r="N82" s="6" t="str">
        <f>IFERROR(__xludf.DUMMYFUNCTION("GOOGLETRANSLATE(D82, ""en"", ""ur"")"),"A) لاش زمین کو نہیں چھوتی ہے، B) پکڑتے وقت وہ لگے رہتے ہیں۔")</f>
        <v>A) لاش زمین کو نہیں چھوتی ہے، B) پکڑتے وقت وہ لگے رہتے ہیں۔</v>
      </c>
      <c r="O82" s="6" t="str">
        <f>IFERROR(__xludf.DUMMYFUNCTION("GOOGLETRANSLATE(E82, ""en"", ""ur"")"),"قوانین کی پابندی کرتے ہوئے قبضہ برقرار رکھنے کے لیے ہم آہنگی اور مہارت کی ضرورت ہوتی ہے۔")</f>
        <v>قوانین کی پابندی کرتے ہوئے قبضہ برقرار رکھنے کے لیے ہم آہنگی اور مہارت کی ضرورت ہوتی ہے۔</v>
      </c>
    </row>
    <row r="83">
      <c r="A83" s="4">
        <v>82.0</v>
      </c>
      <c r="B83" s="5" t="s">
        <v>1523</v>
      </c>
      <c r="C83" s="5" t="s">
        <v>1524</v>
      </c>
      <c r="D83" s="5" t="s">
        <v>1525</v>
      </c>
      <c r="E83" s="5" t="s">
        <v>1526</v>
      </c>
      <c r="K83" s="6" t="str">
        <f>IFERROR(__xludf.DUMMYFUNCTION("GOOGLETRANSLATE(A83, ""en"", ""ur"")"),"82")</f>
        <v>82</v>
      </c>
      <c r="L83" s="6" t="str">
        <f>IFERROR(__xludf.DUMMYFUNCTION("GOOGLETRANSLATE(B83, ""en"", ""ur"")"),"ٹیم A کا ایک سوار کامیابی سے لاش کو لے جاتا ہے اور گول دائرے کی طرف جاتا ہے، لیکن ٹیم B کا ایک مخالف اس کا راستہ کاٹ کر اس سے نمٹنے کی کوشش کرتا ہے۔ اس صورت حال سے نمٹنے کا بہترین طریقہ کیا ہے؟")</f>
        <v>ٹیم A کا ایک سوار کامیابی سے لاش کو لے جاتا ہے اور گول دائرے کی طرف جاتا ہے، لیکن ٹیم B کا ایک مخالف اس کا راستہ کاٹ کر اس سے نمٹنے کی کوشش کرتا ہے۔ اس صورت حال سے نمٹنے کا بہترین طریقہ کیا ہے؟</v>
      </c>
      <c r="M83" s="6" t="str">
        <f>IFERROR(__xludf.DUMMYFUNCTION("GOOGLETRANSLATE(C83, ""en"", ""ur"")"),"A) حریف کو چکمہ دینے کی کوشش کریں اور گول کی طرف بڑھتے رہیں، B) برتری برقرار رکھنے کے لیے گھوڑے کی رفتار کا استعمال کریں، C) مخالف کے ساتھ براہ راست تصادم میں مشغول ہوں، D) لاش کو دوسرے ساتھی کے پاس منتقل کریں۔")</f>
        <v>A) حریف کو چکمہ دینے کی کوشش کریں اور گول کی طرف بڑھتے رہیں، B) برتری برقرار رکھنے کے لیے گھوڑے کی رفتار کا استعمال کریں، C) مخالف کے ساتھ براہ راست تصادم میں مشغول ہوں، D) لاش کو دوسرے ساتھی کے پاس منتقل کریں۔</v>
      </c>
      <c r="N83" s="6" t="str">
        <f>IFERROR(__xludf.DUMMYFUNCTION("GOOGLETRANSLATE(D83, ""en"", ""ur"")"),"A) حریف کو چکمہ دینے کی کوشش کریں اور گول کی طرف بڑھتے رہیں، B) برتری برقرار رکھنے کے لیے گھوڑے کی رفتار کا استعمال کریں")</f>
        <v>A) حریف کو چکمہ دینے کی کوشش کریں اور گول کی طرف بڑھتے رہیں، B) برتری برقرار رکھنے کے لیے گھوڑے کی رفتار کا استعمال کریں</v>
      </c>
      <c r="O83" s="6" t="str">
        <f>IFERROR(__xludf.DUMMYFUNCTION("GOOGLETRANSLATE(E83, ""en"", ""ur"")"),"رفتار اور چستی ٹیکلز پر قابو پانے کی کلید ہیں، لیکن ٹیم کے ساتھی کو منتقل کرنا بھی ایک موثر حکمت عملی ہو سکتی ہے۔")</f>
        <v>رفتار اور چستی ٹیکلز پر قابو پانے کی کلید ہیں، لیکن ٹیم کے ساتھی کو منتقل کرنا بھی ایک موثر حکمت عملی ہو سکتی ہے۔</v>
      </c>
    </row>
    <row r="84">
      <c r="A84" s="4">
        <v>83.0</v>
      </c>
      <c r="B84" s="5" t="s">
        <v>1527</v>
      </c>
      <c r="C84" s="5" t="s">
        <v>1528</v>
      </c>
      <c r="D84" s="5" t="s">
        <v>1529</v>
      </c>
      <c r="E84" s="5" t="s">
        <v>1530</v>
      </c>
      <c r="K84" s="6" t="str">
        <f>IFERROR(__xludf.DUMMYFUNCTION("GOOGLETRANSLATE(A84, ""en"", ""ur"")"),"83")</f>
        <v>83</v>
      </c>
      <c r="L84" s="6" t="str">
        <f>IFERROR(__xludf.DUMMYFUNCTION("GOOGLETRANSLATE(B84, ""en"", ""ur"")"),"بزکشی میچ کے دوران سوار کا گھوڑا بے قابو ہو جاتا ہے اور غلط سمت میں دوڑنے لگتا ہے۔ اس صورت حال میں سوار کو کیا کرنا چاہیے؟")</f>
        <v>بزکشی میچ کے دوران سوار کا گھوڑا بے قابو ہو جاتا ہے اور غلط سمت میں دوڑنے لگتا ہے۔ اس صورت حال میں سوار کو کیا کرنا چاہیے؟</v>
      </c>
      <c r="M84" s="6" t="str">
        <f>IFERROR(__xludf.DUMMYFUNCTION("GOOGLETRANSLATE(C84, ""en"", ""ur"")"),"A)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f>
        <v>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v>
      </c>
      <c r="N84" s="6" t="str">
        <f>IFERROR(__xludf.DUMMYFUNCTION("GOOGLETRANSLATE(D84, ""en"", ""ur"")"),"ا) لگام کا استعمال کرکے گھوڑے پر دوبارہ کنٹرول حاصل کرنے کی کوشش کریں۔")</f>
        <v>ا) لگام کا استعمال کرکے گھوڑے پر دوبارہ کنٹرول حاصل کرنے کی کوشش کریں۔</v>
      </c>
      <c r="O84" s="6" t="str">
        <f>IFERROR(__xludf.DUMMYFUNCTION("GOOGLETRANSLATE(E84, ""en"", ""ur"")"),"سواروں کو اپنے گھوڑوں پر کنٹرول برقرار رکھنا چاہیے تاکہ ان کی حفاظت کو یقینی بنایا جا سکے اور اپنی ٹیم میں حصہ ڈالنا جاری رکھیں۔")</f>
        <v>سواروں کو اپنے گھوڑوں پر کنٹرول برقرار رکھنا چاہیے تاکہ ان کی حفاظت کو یقینی بنایا جا سکے اور اپنی ٹیم میں حصہ ڈالنا جاری رکھیں۔</v>
      </c>
    </row>
    <row r="85">
      <c r="A85" s="4">
        <v>84.0</v>
      </c>
      <c r="B85" s="5" t="s">
        <v>1531</v>
      </c>
      <c r="C85" s="5" t="s">
        <v>1532</v>
      </c>
      <c r="D85" s="5" t="s">
        <v>1533</v>
      </c>
      <c r="E85" s="5" t="s">
        <v>1534</v>
      </c>
      <c r="K85" s="6" t="str">
        <f>IFERROR(__xludf.DUMMYFUNCTION("GOOGLETRANSLATE(A85, ""en"", ""ur"")"),"84")</f>
        <v>84</v>
      </c>
      <c r="L85" s="6" t="str">
        <f>IFERROR(__xludf.DUMMYFUNCTION("GOOGLETRANSLATE(B85, ""en"", ""ur"")"),"ٹیم A کا ایک سوار ٹیم B کے متعدد سواروں کے ساتھ لاش کی لڑائی میں پھنس جاتا ہے۔ دوبارہ قبضہ حاصل کرنے کے لیے ٹیم کو کیا کرنا چاہیے؟")</f>
        <v>ٹیم A کا ایک سوار ٹیم B کے متعدد سواروں کے ساتھ لاش کی لڑائی میں پھنس جاتا ہے۔ دوبارہ قبضہ حاصل کرنے کے لیے ٹیم کو کیا کرنا چاہیے؟</v>
      </c>
      <c r="M85" s="6" t="str">
        <f>IFERROR(__xludf.DUMMYFUNCTION("GOOGLETRANSLATE(C85, ""en"", ""ur"")"),"A) لڑائی کو ختم کرکے جگہ بنانے پر توجہ مرکوز کریں، B) ٹیم کے ساتھی کو لاش چرانے کے لیے خلفشار کا فائدہ اٹھائیں، C) میچ روکنے کے لیے ریفری کو کال کریں، D) صورتحال کے پرسکون ہونے کا انتظار کریں اور پھر آگے بڑھیں۔")</f>
        <v>A) لڑائی کو ختم کرکے جگہ بنانے پر توجہ مرکوز کریں، B) ٹیم کے ساتھی کو لاش چرانے کے لیے خلفشار کا فائدہ اٹھائیں، C) میچ روکنے کے لیے ریفری کو کال کریں، D) صورتحال کے پرسکون ہونے کا انتظار کریں اور پھر آگے بڑھیں۔</v>
      </c>
      <c r="N85" s="6" t="str">
        <f>IFERROR(__xludf.DUMMYFUNCTION("GOOGLETRANSLATE(D85, ""en"", ""ur"")"),"A) لڑائی کو ختم کرکے جگہ بنانے پر توجہ مرکوز کریں، B) ٹیم کے ساتھی کو لاش چرانے کے لیے خلفشار کا فائدہ اٹھانے کو کہیں۔")</f>
        <v>A) لڑائی کو ختم کرکے جگہ بنانے پر توجہ مرکوز کریں، B) ٹیم کے ساتھی کو لاش چرانے کے لیے خلفشار کا فائدہ اٹھانے کو کہیں۔</v>
      </c>
      <c r="O85" s="6" t="str">
        <f>IFERROR(__xludf.DUMMYFUNCTION("GOOGLETRANSLATE(E85, ""en"", ""ur"")"),"لڑائی جیسے خلفشار توجہ کو منتقل کرنے اور قبضہ حاصل کرنے کے مواقع فراہم کرتے ہیں۔")</f>
        <v>لڑائی جیسے خلفشار توجہ کو منتقل کرنے اور قبضہ حاصل کرنے کے مواقع فراہم کرتے ہیں۔</v>
      </c>
    </row>
    <row r="86">
      <c r="A86" s="4">
        <v>85.0</v>
      </c>
      <c r="B86" s="5" t="s">
        <v>1535</v>
      </c>
      <c r="C86" s="5" t="s">
        <v>1536</v>
      </c>
      <c r="D86" s="5" t="s">
        <v>1537</v>
      </c>
      <c r="E86" s="5" t="s">
        <v>1538</v>
      </c>
      <c r="K86" s="6" t="str">
        <f>IFERROR(__xludf.DUMMYFUNCTION("GOOGLETRANSLATE(A86, ""en"", ""ur"")"),"85")</f>
        <v>85</v>
      </c>
      <c r="L86" s="6" t="str">
        <f>IFERROR(__xludf.DUMMYFUNCTION("GOOGLETRANSLATE(B86, ""en"", ""ur"")"),"ایک سوار کامیابی کے ساتھ لاش کو گول کے دائرے میں رکھتا ہے، لیکن ریفری غلط اشارہ کرتا ہے کیونکہ سوار کا گھوڑا گول کے علاقے سے باہر نکل گیا تھا۔ مناسب جواب کیا ہے؟")</f>
        <v>ایک سوار کامیابی کے ساتھ لاش کو گول کے دائرے میں رکھتا ہے، لیکن ریفری غلط اشارہ کرتا ہے کیونکہ سوار کا گھوڑا گول کے علاقے سے باہر نکل گیا تھا۔ مناسب جواب کیا ہے؟</v>
      </c>
      <c r="M86" s="6" t="str">
        <f>IFERROR(__xludf.DUMMYFUNCTION("GOOGLETRANSLATE(C86, ""en"", ""ur"")"),"A) ٹیم A کو پوائنٹ دیں، B) پوائنٹ کو نامنظور کریں اور گیم کو دوبارہ ترتیب دیں، C) سوار کو سزا دیں، D) مرکز سے کھیل دوبارہ شروع کریں")</f>
        <v>A) ٹیم A کو پوائنٹ دیں، B) پوائنٹ کو نامنظور کریں اور گیم کو دوبارہ ترتیب دیں، C) سوار کو سزا دیں، D) مرکز سے کھیل دوبارہ شروع کریں</v>
      </c>
      <c r="N86" s="6" t="str">
        <f>IFERROR(__xludf.DUMMYFUNCTION("GOOGLETRANSLATE(D86, ""en"", ""ur"")"),"ب) پوائنٹ کی اجازت نہ دیں اور گیم کو ری سیٹ کریں، سی) سوار کو سزا دیں۔")</f>
        <v>ب) پوائنٹ کی اجازت نہ دیں اور گیم کو ری سیٹ کریں، سی) سوار کو سزا دیں۔</v>
      </c>
      <c r="O86" s="6" t="str">
        <f>IFERROR(__xludf.DUMMYFUNCTION("GOOGLETRANSLATE(E86, ""en"", ""ur"")"),"ایک گول صرف اس صورت میں درست ہے جب سوار اور گھوڑا مقررہ ہدف کے علاقے میں رہیں۔")</f>
        <v>ایک گول صرف اس صورت میں درست ہے جب سوار اور گھوڑا مقررہ ہدف کے علاقے میں رہیں۔</v>
      </c>
    </row>
    <row r="87">
      <c r="A87" s="4">
        <v>86.0</v>
      </c>
      <c r="B87" s="5" t="s">
        <v>1539</v>
      </c>
      <c r="C87" s="5" t="s">
        <v>1540</v>
      </c>
      <c r="D87" s="5" t="s">
        <v>1541</v>
      </c>
      <c r="E87" s="5" t="s">
        <v>1542</v>
      </c>
      <c r="K87" s="6" t="str">
        <f>IFERROR(__xludf.DUMMYFUNCTION("GOOGLETRANSLATE(A87, ""en"", ""ur"")"),"86")</f>
        <v>86</v>
      </c>
      <c r="L87" s="6" t="str">
        <f>IFERROR(__xludf.DUMMYFUNCTION("GOOGLETRANSLATE(B87, ""en"", ""ur"")"),"بزکشی میچ کے آخری لمحات کے دوران، ٹیم A برتری میں ہے، اور ٹیم B گول کے دائرے کو روکنے کے لیے دفاعی حکمت عملی استعمال کر رہی ہے۔ اس دفاع کا مقابلہ کرنے کے لیے ٹیم اے کو کیا کرنا چاہیے؟")</f>
        <v>بزکشی میچ کے آخری لمحات کے دوران، ٹیم A برتری میں ہے، اور ٹیم B گول کے دائرے کو روکنے کے لیے دفاعی حکمت عملی استعمال کر رہی ہے۔ اس دفاع کا مقابلہ کرنے کے لیے ٹیم اے کو کیا کرنا چاہیے؟</v>
      </c>
      <c r="M87" s="6" t="str">
        <f>IFERROR(__xludf.DUMMYFUNCTION("GOOGLETRANSLATE(C87, ""en"", ""ur"")"),"A)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انتظار"&amp;" کریں۔")</f>
        <v>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 کریں۔</v>
      </c>
      <c r="N87" s="6" t="str">
        <f>IFERROR(__xludf.DUMMYFUNCTION("GOOGLETRANSLATE(D87, ""en"", ""ur"")"),"A) دفاع کو توڑنے کے لئے ان کے جارحانہ دباؤ میں اضافہ کریں، C) گول کے قریب ٹیم کے ساتھی کو طویل فاصلے تک پاس کی کوشش کریں")</f>
        <v>A) دفاع کو توڑنے کے لئے ان کے جارحانہ دباؤ میں اضافہ کریں، C) گول کے قریب ٹیم کے ساتھی کو طویل فاصلے تک پاس کی کوشش کریں</v>
      </c>
      <c r="O87" s="6" t="str">
        <f>IFERROR(__xludf.DUMMYFUNCTION("GOOGLETRANSLATE(E87, ""en"", ""ur"")"),"دفاعی حکمت عملیوں کا مقابلہ کرنے کے لیے دفاع کو آگے بڑھانے کے لیے فوری، فیصلہ کن اقدامات کی ضرورت ہوتی ہے۔")</f>
        <v>دفاعی حکمت عملیوں کا مقابلہ کرنے کے لیے دفاع کو آگے بڑھانے کے لیے فوری، فیصلہ کن اقدامات کی ضرورت ہوتی ہے۔</v>
      </c>
    </row>
    <row r="88">
      <c r="A88" s="4">
        <v>87.0</v>
      </c>
      <c r="B88" s="5" t="s">
        <v>1543</v>
      </c>
      <c r="C88" s="5" t="s">
        <v>1544</v>
      </c>
      <c r="D88" s="5" t="s">
        <v>1545</v>
      </c>
      <c r="E88" s="5" t="s">
        <v>1546</v>
      </c>
      <c r="K88" s="6" t="str">
        <f>IFERROR(__xludf.DUMMYFUNCTION("GOOGLETRANSLATE(A88, ""en"", ""ur"")"),"87")</f>
        <v>87</v>
      </c>
      <c r="L88" s="6" t="str">
        <f>IFERROR(__xludf.DUMMYFUNCTION("GOOGLETRANSLATE(B88, ""en"", ""ur"")"),"ایک گرما گرم بزکشی میچ کے وسط میں، ٹیم A کے ایک سوار پر الزام لگایا گیا ہے کہ اس نے لاش کو اپنے ہاتھوں سے پکڑ کر نیچے اتارا تھا۔ ریفری کو کیا کرنا چاہیے؟")</f>
        <v>ایک گرما گرم بزکشی میچ کے وسط میں، ٹیم A کے ایک سوار پر الزام لگایا گیا ہے کہ اس نے لاش کو اپنے ہاتھوں سے پکڑ کر نیچے اتارا تھا۔ ریفری کو کیا کرنا چاہیے؟</v>
      </c>
      <c r="M88" s="6" t="str">
        <f>IFERROR(__xludf.DUMMYFUNCTION("GOOGLETRANSLATE(C88, ""en"", ""ur"")"),"A) واقعے کو نظر انداز کریں، B) سوار کو وارننگ جاری کریں، C) سوار کو میچ سے نااہل قرار دیں، D) کھیل دوبارہ شروع کریں")</f>
        <v>A) واقعے کو نظر انداز کریں، B) سوار کو وارننگ جاری کریں، C) سوار کو میچ سے نااہل قرار دیں، D) کھیل دوبارہ شروع کریں</v>
      </c>
      <c r="N88" s="6" t="str">
        <f>IFERROR(__xludf.DUMMYFUNCTION("GOOGLETRANSLATE(D88, ""en"", ""ur"")"),"ب) سوار کو وارننگ جاری کریں، سی) سوار کو میچ سے نااہل قرار دیں۔")</f>
        <v>ب) سوار کو وارننگ جاری کریں، سی) سوار کو میچ سے نااہل قرار دیں۔</v>
      </c>
      <c r="O88" s="6" t="str">
        <f>IFERROR(__xludf.DUMMYFUNCTION("GOOGLETRANSLATE(E88, ""en"", ""ur"")"),"لاش کو اتارنے کے دوران پکڑنا کھیل کے قواعد کی خلاف ورزی کرتا ہے اور اس کے نتیجے میں جرمانے ہو سکتے ہیں۔")</f>
        <v>لاش کو اتارنے کے دوران پکڑنا کھیل کے قواعد کی خلاف ورزی کرتا ہے اور اس کے نتیجے میں جرمانے ہو سکتے ہیں۔</v>
      </c>
    </row>
    <row r="89">
      <c r="A89" s="4">
        <v>88.0</v>
      </c>
      <c r="B89" s="5" t="s">
        <v>1547</v>
      </c>
      <c r="C89" s="5" t="s">
        <v>1548</v>
      </c>
      <c r="D89" s="5" t="s">
        <v>1549</v>
      </c>
      <c r="E89" s="5" t="s">
        <v>1550</v>
      </c>
      <c r="K89" s="6" t="str">
        <f>IFERROR(__xludf.DUMMYFUNCTION("GOOGLETRANSLATE(A89, ""en"", ""ur"")"),"88")</f>
        <v>88</v>
      </c>
      <c r="L89" s="6" t="str">
        <f>IFERROR(__xludf.DUMMYFUNCTION("GOOGLETRANSLATE(B89, ""en"", ""ur"")"),"ایک ٹیم تیز رفتار حکمت عملی کی کوشش کرتی ہے جہاں وہ لاش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f>
        <v>ایک ٹیم تیز رفتار حکمت عملی کی کوشش کرتی ہے جہاں وہ لاش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v>
      </c>
      <c r="M89" s="6" t="str">
        <f>IFERROR(__xludf.DUMMYFUNCTION("GOOGLETRANSLATE(C89, ""en"", ""ur"")"),"A)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f>
        <v>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v>
      </c>
      <c r="N89" s="6" t="str">
        <f>IFERROR(__xludf.DUMMYFUNCTION("GOOGLETRANSLATE(D89, ""en"", ""ur"")"),"A) آہستہ کریں اور گیند کے کنٹرول پر توجہ مرکوز کریں، B) محافظوں کو گمراہ کرنے کے لیے فینٹ کا استعمال کریں۔")</f>
        <v>A) آہستہ کریں اور گیند کے کنٹرول پر توجہ مرکوز کریں، B) محافظوں کو گمراہ کرنے کے لیے فینٹ کا استعمال کریں۔</v>
      </c>
      <c r="O89" s="6" t="str">
        <f>IFERROR(__xludf.DUMMYFUNCTION("GOOGLETRANSLATE(E89, ""en"", ""ur"")"),"دھوکہ دہی کا استعمال اور احتیاط سے گیند کو کنٹرول کرنے سے رفتار کو دوبارہ حاصل کرنے اور محافظوں کو پیچھے چھوڑنے میں مدد مل سکتی ہے۔")</f>
        <v>دھوکہ دہی کا استعمال اور احتیاط سے گیند کو کنٹرول کرنے سے رفتار کو دوبارہ حاصل کرنے اور محافظوں کو پیچھے چھوڑنے میں مدد مل سکتی ہے۔</v>
      </c>
    </row>
    <row r="90">
      <c r="A90" s="4">
        <v>89.0</v>
      </c>
      <c r="B90" s="5" t="s">
        <v>1551</v>
      </c>
      <c r="C90" s="5" t="s">
        <v>1552</v>
      </c>
      <c r="D90" s="5" t="s">
        <v>1553</v>
      </c>
      <c r="E90" s="5" t="s">
        <v>1554</v>
      </c>
      <c r="K90" s="6" t="str">
        <f>IFERROR(__xludf.DUMMYFUNCTION("GOOGLETRANSLATE(A90, ""en"", ""ur"")"),"89")</f>
        <v>89</v>
      </c>
      <c r="L90" s="6" t="str">
        <f>IFERROR(__xludf.DUMMYFUNCTION("GOOGLETRANSLATE(B90, ""en"", ""ur"")"),"ٹیم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f>
        <v>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v>
      </c>
      <c r="M90" s="6" t="str">
        <f>IFERROR(__xludf.DUMMYFUNCTION("GOOGLETRANSLATE(C90, ""en"", ""ur"")"),"A) سوار کو باضابطہ وارننگ دیں، B) سوار کو نااہل قرار دیں، C) ٹیم A کو قبضہ دے کر ٹیم B کو سزا دیں، D) میچ روکیں اور مجرم سوار کو وقتی جرمانہ جاری کریں۔")</f>
        <v>A) سوار کو باضابطہ وارننگ دیں، B) سوار کو نااہل قرار دیں، C) ٹیم A کو قبضہ دے کر ٹیم B کو سزا دیں، D) میچ روکیں اور مجرم سوار کو وقتی جرمانہ جاری کریں۔</v>
      </c>
      <c r="N90" s="6" t="str">
        <f>IFERROR(__xludf.DUMMYFUNCTION("GOOGLETRANSLATE(D90, ""en"", ""ur"")"),"B) سوار کو نااہل قرار دیں، C) ٹیم A کو قبضہ دے کر ٹیم B کو سزا دیں۔")</f>
        <v>B) سوار کو نااہل قرار دیں، C) ٹیم A کو قبضہ دے کر ٹیم B کو سزا دیں۔</v>
      </c>
      <c r="O90" s="6" t="str">
        <f>IFERROR(__xludf.DUMMYFUNCTION("GOOGLETRANSLATE(E90, ""en"", ""ur"")"),"غیر منصفانہ ہتھکنڈوں کا استعمال کرتے ہوئے مسلسل بلاک کرنے سے نااہلی یا قبضے کی تبدیلی جیسی سنگین سزائیں ہوتی ہیں۔")</f>
        <v>غیر منصفانہ ہتھکنڈوں کا استعمال کرتے ہوئے مسلسل بلاک کرنے سے نااہلی یا قبضے کی تبدیلی جیسی سنگین سزائیں ہوتی ہیں۔</v>
      </c>
    </row>
    <row r="91">
      <c r="A91" s="4">
        <v>90.0</v>
      </c>
      <c r="B91" s="5" t="s">
        <v>1555</v>
      </c>
      <c r="C91" s="5" t="s">
        <v>1556</v>
      </c>
      <c r="D91" s="5" t="s">
        <v>1557</v>
      </c>
      <c r="E91" s="5" t="s">
        <v>1558</v>
      </c>
      <c r="K91" s="6" t="str">
        <f>IFERROR(__xludf.DUMMYFUNCTION("GOOGLETRANSLATE(A91, ""en"", ""ur"")"),"90")</f>
        <v>90</v>
      </c>
      <c r="L91" s="6" t="str">
        <f>IFERROR(__xludf.DUMMYFUNCTION("GOOGLETRANSLATE(B91, ""en"", ""ur"")"),"گرما گرم تبادلے کے دوران، ٹیم A کا ایک سوار غلطی سے ریفری کی پوزیشن سے ٹکرا جاتا ہے۔ ریفری کو کیسے جواب دینا چاہئے؟")</f>
        <v>گرما گرم تبادلے کے دوران، ٹیم A کا ایک سوار غلطی سے ریفری کی پوزیشن سے ٹکرا جاتا ہے۔ ریفری کو کیسے جواب دینا چاہئے؟</v>
      </c>
      <c r="M91" s="6" t="str">
        <f>IFERROR(__xludf.DUMMYFUNCTION("GOOGLETRANSLATE(C91, ""en"", ""ur"")"),"A)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f>
        <v>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v>
      </c>
      <c r="N91" s="6" t="str">
        <f>IFERROR(__xludf.DUMMYFUNCTION("GOOGLETRANSLATE(D91, ""en"", ""ur"")"),"ب) اس بات کو یقینی بنانے کے لیے میچ روکیں کہ کسی کو تکلیف نہ پہنچے، سی) سوار کو وارننگ جاری کریں۔")</f>
        <v>ب) اس بات کو یقینی بنانے کے لیے میچ روکیں کہ کسی کو تکلیف نہ پہنچے، سی) سوار کو وارننگ جاری کریں۔</v>
      </c>
      <c r="O91" s="6" t="str">
        <f>IFERROR(__xludf.DUMMYFUNCTION("GOOGLETRANSLATE(E91, ""en"", ""ur"")"),"کھلاڑی اور ریفری کی حفاظت ایک ترجیح ہے، اور چوٹ سے بچنے کے لیے تصادم پر فوری توجہ دی جانی چاہیے۔")</f>
        <v>کھلاڑی اور ریفری کی حفاظت ایک ترجیح ہے، اور چوٹ سے بچنے کے لیے تصادم پر فوری توجہ دی جانی چاہیے۔</v>
      </c>
    </row>
    <row r="92">
      <c r="A92" s="4">
        <v>91.0</v>
      </c>
      <c r="B92" s="5" t="s">
        <v>1559</v>
      </c>
      <c r="C92" s="5" t="s">
        <v>1560</v>
      </c>
      <c r="D92" s="5" t="s">
        <v>1561</v>
      </c>
      <c r="E92" s="5" t="s">
        <v>1562</v>
      </c>
      <c r="K92" s="6" t="str">
        <f>IFERROR(__xludf.DUMMYFUNCTION("GOOGLETRANSLATE(A92, ""en"", ""ur"")"),"91")</f>
        <v>91</v>
      </c>
      <c r="L92" s="6" t="str">
        <f>IFERROR(__xludf.DUMMYFUNCTION("GOOGLETRANSLATE(B92, ""en"", ""ur"")"),"لاش مٹی کے گڑھے میں پھنس جاتی ہے جس سے دونوں ٹیموں کے لیے اس تک پہنچنا مشکل ہو جاتا ہے۔ ریفری کو کیا کرنا چاہیے؟")</f>
        <v>لاش مٹی کے گڑھے میں پھنس جاتی ہے جس سے دونوں ٹیموں کے لیے اس تک پہنچنا مشکل ہو جاتا ہے۔ ریفری کو کیا کرنا چاہیے؟</v>
      </c>
      <c r="M92" s="6" t="str">
        <f>IFERROR(__xludf.DUMMYFUNCTION("GOOGLETRANSLATE(C92, ""en"", ""ur"")"),"A) میچ کو معمول کے مطابق جاری رکھیں، B) لاش کو خشک جگہ پر ری سیٹ کریں اور دوبارہ کھیل شروع کریں، C) کھلاڑیوں کو لاش کو آزاد کرنے کے لیے مل کر کام کرنے کی اجازت دیں، D) میچ کو اس وقت تک روک دیں جب تک کہ صورتحال خود حل نہ ہو جائے۔")</f>
        <v>A) میچ کو معمول کے مطابق جاری رکھیں، B) لاش کو خشک جگہ پر ری سیٹ کریں اور دوبارہ کھیل شروع کریں، C) کھلاڑیوں کو لاش کو آزاد کرنے کے لیے مل کر کام کرنے کی اجازت دیں، D) میچ کو اس وقت تک روک دیں جب تک کہ صورتحال خود حل نہ ہو جائے۔</v>
      </c>
      <c r="N92" s="6" t="str">
        <f>IFERROR(__xludf.DUMMYFUNCTION("GOOGLETRANSLATE(D92, ""en"", ""ur"")"),"ب) لاش کو خشک جگہ پر سیٹ کریں اور دوبارہ کھیل شروع کریں۔")</f>
        <v>ب) لاش کو خشک جگہ پر سیٹ کریں اور دوبارہ کھیل شروع کریں۔</v>
      </c>
      <c r="O92" s="6" t="str">
        <f>IFERROR(__xludf.DUMMYFUNCTION("GOOGLETRANSLATE(E92, ""en"", ""ur"")"),"جب لاش رکاوٹ بن جائے تو اسے دوبارہ ترتیب دینا اور میچ جاری رکھنا مناسب ہے۔")</f>
        <v>جب لاش رکاوٹ بن جائے تو اسے دوبارہ ترتیب دینا اور میچ جاری رکھنا مناسب ہے۔</v>
      </c>
    </row>
    <row r="93">
      <c r="A93" s="4">
        <v>92.0</v>
      </c>
      <c r="B93" s="5" t="s">
        <v>1563</v>
      </c>
      <c r="C93" s="5" t="s">
        <v>1564</v>
      </c>
      <c r="D93" s="5" t="s">
        <v>1565</v>
      </c>
      <c r="E93" s="5" t="s">
        <v>1566</v>
      </c>
      <c r="K93" s="6" t="str">
        <f>IFERROR(__xludf.DUMMYFUNCTION("GOOGLETRANSLATE(A93, ""en"", ""ur"")"),"92")</f>
        <v>92</v>
      </c>
      <c r="L93" s="6" t="str">
        <f>IFERROR(__xludf.DUMMYFUNCTION("GOOGLETRANSLATE(B93, ""en"", ""ur"")"),"سخت مقابلہ کرنے والے میچ میں، ٹیم A کا ایک سوار اپنے گھوڑے کو درمیانی کھیل میں زخمی کر دیتا ہے۔ اگر چوٹ گھوڑے کو چلنے سے روکتی ہے تو ریفری کو کیا کرنا چاہیے؟")</f>
        <v>سخت مقابلہ کرنے والے میچ میں، ٹیم A کا ایک سوار اپنے گھوڑے کو درمیانی کھیل میں زخمی کر دیتا ہے۔ اگر چوٹ گھوڑے کو چلنے سے روکتی ہے تو ریفری کو کیا کرنا چاہیے؟</v>
      </c>
      <c r="M93" s="6" t="str">
        <f>IFERROR(__xludf.DUMMYFUNCTION("GOOGLETRANSLATE(C93, ""en"", ""ur"")"),"A) سوار کو نئے گھوڑے کے ساتھ جاری رکھنے کی اجازت دیں، B) گھوڑے کے متبادل کے لیے ٹیم A کو سزا دیں، C) سوار کو چوٹ لگنے کے لیے ایک مختصر وقفہ کی اجازت دیں، D) گھوڑے سے متعلقہ چوٹوں کے لیے ٹیم A کو نااہل قرار دیں۔")</f>
        <v>A) سوار کو نئے گھوڑے کے ساتھ جاری رکھنے کی اجازت دیں، B) گھوڑے کے متبادل کے لیے ٹیم A کو سزا دیں، C) سوار کو چوٹ لگنے کے لیے ایک مختصر وقفہ کی اجازت دیں، D) گھوڑے سے متعلقہ چوٹوں کے لیے ٹیم A کو نااہل قرار دیں۔</v>
      </c>
      <c r="N93" s="6" t="str">
        <f>IFERROR(__xludf.DUMMYFUNCTION("GOOGLETRANSLATE(D93, ""en"", ""ur"")"),"A) سوار کو نئے گھوڑے کے ساتھ جاری رکھنے کی اجازت دیں، C) سوار کو چوٹ کی طرف مائل ہونے کے لیے مختصر وقفے کی اجازت دیں۔")</f>
        <v>A) سوار کو نئے گھوڑے کے ساتھ جاری رکھنے کی اجازت دیں، C) سوار کو چوٹ کی طرف مائل ہونے کے لیے مختصر وقفے کی اجازت دیں۔</v>
      </c>
      <c r="O93" s="6" t="str">
        <f>IFERROR(__xludf.DUMMYFUNCTION("GOOGLETRANSLATE(E93, ""en"", ""ur"")"),"کھلاڑی کی حفاظت اہم ہے، اور مختصر طبی امداد یا گھوڑے کی تبدیلی کی اجازت معیاری پروٹوکول ہے۔")</f>
        <v>کھلاڑی کی حفاظت اہم ہے، اور مختصر طبی امداد یا گھوڑے کی تبدیلی کی اجازت معیاری پروٹوکول ہے۔</v>
      </c>
    </row>
    <row r="94">
      <c r="A94" s="4">
        <v>93.0</v>
      </c>
      <c r="B94" s="5" t="s">
        <v>1567</v>
      </c>
      <c r="C94" s="5" t="s">
        <v>1568</v>
      </c>
      <c r="D94" s="5" t="s">
        <v>1569</v>
      </c>
      <c r="E94" s="5" t="s">
        <v>1570</v>
      </c>
      <c r="K94" s="6" t="str">
        <f>IFERROR(__xludf.DUMMYFUNCTION("GOOGLETRANSLATE(A94, ""en"", ""ur"")"),"93")</f>
        <v>93</v>
      </c>
      <c r="L94" s="6" t="str">
        <f>IFERROR(__xludf.DUMMYFUNCTION("GOOGLETRANSLATE(B94, ""en"", ""ur"")"),"ایک سوار کامیابی کے ساتھ لاش کو پکڑتا ہے اور ہدف کی طرف اپنا راستہ بنا رہا ہوتا ہے جب ٹیم A کا دوسرا سوار غیر ارادی طور پر ان کا راستہ روکتا ہے۔ ریفری کو کیا فیصلہ کرنا چاہئے؟")</f>
        <v>ایک سوار کامیابی کے ساتھ لاش کو پکڑتا ہے اور ہدف کی طرف اپنا راستہ بنا رہا ہوتا ہے جب ٹیم A کا دوسرا سوار غیر ارادی طور پر ان کا راستہ روکتا ہے۔ ریفری کو کیا فیصلہ کرنا چاہئے؟</v>
      </c>
      <c r="M94" s="6" t="str">
        <f>IFERROR(__xludf.DUMMYFUNCTION("GOOGLETRANSLATE(C94, ""en"", ""ur"")"),"A) بغیر کسی جرمانے کے کھیل کو جاری رکھنے کی اجازت دیں، B) لاش کو دوبارہ ترتیب دیں، C) بلاک کیے جانے والے سوار کو مفت پاس دیں، D) روکے جانے والے سوار کو کھیل میں رکاوٹ ڈالنے پر سزا دیں۔")</f>
        <v>A) بغیر کسی جرمانے کے کھیل کو جاری رکھنے کی اجازت دیں، B) لاش کو دوبارہ ترتیب دیں، C) بلاک کیے جانے والے سوار کو مفت پاس دیں، D) روکے جانے والے سوار کو کھیل میں رکاوٹ ڈالنے پر سزا دیں۔</v>
      </c>
      <c r="N94" s="6" t="str">
        <f>IFERROR(__xludf.DUMMYFUNCTION("GOOGLETRANSLATE(D94, ""en"", ""ur"")"),"A) بغیر کسی جرمانے کے کھیل کو جاری رکھنے کی اجازت دیں۔")</f>
        <v>A) بغیر کسی جرمانے کے کھیل کو جاری رکھنے کی اجازت دیں۔</v>
      </c>
      <c r="O94" s="6" t="str">
        <f>IFERROR(__xludf.DUMMYFUNCTION("GOOGLETRANSLATE(E94, ""en"", ""ur"")"),"غیر ارادی رکاوٹیں عام طور پر جرمانے کی ضمانت نہیں دیتی ہیں جب تک کہ رکاوٹ جان بوجھ کر یا انتہائی نہ ہو۔")</f>
        <v>غیر ارادی رکاوٹیں عام طور پر جرمانے کی ضمانت نہیں دیتی ہیں جب تک کہ رکاوٹ جان بوجھ کر یا انتہائی نہ ہو۔</v>
      </c>
    </row>
    <row r="95">
      <c r="A95" s="4">
        <v>94.0</v>
      </c>
      <c r="B95" s="5" t="s">
        <v>1571</v>
      </c>
      <c r="C95" s="5" t="s">
        <v>1572</v>
      </c>
      <c r="D95" s="5" t="s">
        <v>1573</v>
      </c>
      <c r="E95" s="5" t="s">
        <v>1574</v>
      </c>
      <c r="K95" s="6" t="str">
        <f>IFERROR(__xludf.DUMMYFUNCTION("GOOGLETRANSLATE(A95, ""en"", ""ur"")"),"94")</f>
        <v>94</v>
      </c>
      <c r="L95" s="6" t="str">
        <f>IFERROR(__xludf.DUMMYFUNCTION("GOOGLETRANSLATE(B95, ""en"", ""ur"")"),"ایک مقامی بزکشی گیم میں، مخالف ٹیموں کے دو سوار لاش کو اپنے قبضے میں لینے کے لیے مٹھی بھر لڑائی میں پڑ جاتے ہیں۔ ریفری کو کیا کرنا چاہیے؟")</f>
        <v>ایک مقامی بزکشی گیم میں، مخالف ٹیموں کے دو سوار لاش کو اپنے قبضے میں لینے کے لیے مٹھی بھر لڑائی میں پڑ جاتے ہیں۔ ریفری کو کیا کرنا چاہیے؟</v>
      </c>
      <c r="M95" s="6" t="str">
        <f>IFERROR(__xludf.DUMMYFUNCTION("GOOGLETRANSLATE(C95, ""en"", ""ur"")"),"A) سواروں کو الگ کریں اور دونوں کو وارننگ جاری کریں، B) دونوں سواروں کو میچ سے نااہل قرار دیں، C) میچ کو روکیں اور ڈی ایسکلیشن کے لیے وقت دیں، D) مزید کارروائی کے بغیر میچ جاری رکھیں")</f>
        <v>A) سواروں کو الگ کریں اور دونوں کو وارننگ جاری کریں، B) دونوں سواروں کو میچ سے نااہل قرار دیں، C) میچ کو روکیں اور ڈی ایسکلیشن کے لیے وقت دیں، D) مزید کارروائی کے بغیر میچ جاری رکھیں</v>
      </c>
      <c r="N95" s="6" t="str">
        <f>IFERROR(__xludf.DUMMYFUNCTION("GOOGLETRANSLATE(D95, ""en"", ""ur"")"),"A) سواروں کو الگ کریں اور دونوں کو وارننگ جاری کریں، B) دونوں سواروں کو میچ سے نااہل قرار دیں۔")</f>
        <v>A) سواروں کو الگ کریں اور دونوں کو وارننگ جاری کریں، B) دونوں سواروں کو میچ سے نااہل قرار دیں۔</v>
      </c>
      <c r="O95" s="6" t="str">
        <f>IFERROR(__xludf.DUMMYFUNCTION("GOOGLETRANSLATE(E95, ""en"", ""ur"")"),"جسمانی تشدد ممنوع ہے اور منصفانہ کھیل کو برقرار رکھنے کے لیے اس کے مطابق سزا دی جانی چاہیے۔")</f>
        <v>جسمانی تشدد ممنوع ہے اور منصفانہ کھیل کو برقرار رکھنے کے لیے اس کے مطابق سزا دی جانی چاہیے۔</v>
      </c>
    </row>
    <row r="96">
      <c r="A96" s="4">
        <v>95.0</v>
      </c>
      <c r="B96" s="5" t="s">
        <v>1575</v>
      </c>
      <c r="C96" s="5" t="s">
        <v>1576</v>
      </c>
      <c r="D96" s="5" t="s">
        <v>1577</v>
      </c>
      <c r="E96" s="5" t="s">
        <v>1578</v>
      </c>
      <c r="K96" s="6" t="str">
        <f>IFERROR(__xludf.DUMMYFUNCTION("GOOGLETRANSLATE(A96, ""en"", ""ur"")"),"95")</f>
        <v>95</v>
      </c>
      <c r="L96" s="6" t="str">
        <f>IFERROR(__xludf.DUMMYFUNCTION("GOOGLETRANSLATE(B96, ""en"", ""ur"")"),"ٹیم A کا ایک سوار بہت جارحانہ انداز میں سواری کرتا ہے اور دوسرے سوار کو اپنے گھوڑے سے گرا دیتا ہے۔ ریفری کا فیصلہ کیا ہونا چاہیے؟")</f>
        <v>ٹیم A کا ایک سوار بہت جارحانہ انداز میں سواری کرتا ہے اور دوسرے سوار کو اپنے گھوڑے سے گرا دیتا ہے۔ ریفری کا فیصلہ کیا ہونا چاہیے؟</v>
      </c>
      <c r="M96" s="6" t="str">
        <f>IFERROR(__xludf.DUMMYFUNCTION("GOOGLETRANSLATE(C96, ""en"", ""ur"")"),"A) خلاف ورزی کرنے والے سوار کو پیلا کارڈ جاری کریں، B) رائیڈر کو غیر کھیلوں کے طرز عمل پر نااہل قرار دیں، C) ٹیم B کو مفت قبضہ دے کر ٹیم A کو سزا دیں، D) میچ کو جاری رہنے دیں کیونکہ کوئی شدید چوٹ نہیں آئی")</f>
        <v>A) خلاف ورزی کرنے والے سوار کو پیلا کارڈ جاری کریں، B) رائیڈر کو غیر کھیلوں کے طرز عمل پر نااہل قرار دیں، C) ٹیم B کو مفت قبضہ دے کر ٹیم A کو سزا دیں، D) میچ کو جاری رہنے دیں کیونکہ کوئی شدید چوٹ نہیں آئی</v>
      </c>
      <c r="N96" s="6" t="str">
        <f>IFERROR(__xludf.DUMMYFUNCTION("GOOGLETRANSLATE(D96, ""en"", ""ur"")"),"A) مجرم سوار کو پیلا کارڈ جاری کریں، C) ٹیم B کو مفت قبضہ دے کر ٹیم A کو سزا دیں۔")</f>
        <v>A) مجرم سوار کو پیلا کارڈ جاری کریں، C) ٹیم B کو مفت قبضہ دے کر ٹیم A کو سزا دیں۔</v>
      </c>
      <c r="O96" s="6" t="str">
        <f>IFERROR(__xludf.DUMMYFUNCTION("GOOGLETRANSLATE(E96, ""en"", ""ur"")"),"حفاظت اور منصفانہ مسابقت کو یقینی بنانے کے لیے جارحانہ حربوں پر جرمانہ عائد کیا جانا چاہیے۔")</f>
        <v>حفاظت اور منصفانہ مسابقت کو یقینی بنانے کے لیے جارحانہ حربوں پر جرمانہ عائد کیا جانا چاہیے۔</v>
      </c>
    </row>
    <row r="97">
      <c r="A97" s="4">
        <v>96.0</v>
      </c>
      <c r="B97" s="5" t="s">
        <v>1579</v>
      </c>
      <c r="C97" s="5" t="s">
        <v>1580</v>
      </c>
      <c r="D97" s="5" t="s">
        <v>1581</v>
      </c>
      <c r="E97" s="5" t="s">
        <v>1582</v>
      </c>
      <c r="K97" s="6" t="str">
        <f>IFERROR(__xludf.DUMMYFUNCTION("GOOGLETRANSLATE(A97, ""en"", ""ur"")"),"96")</f>
        <v>96</v>
      </c>
      <c r="L97" s="6" t="str">
        <f>IFERROR(__xludf.DUMMYFUNCTION("GOOGLETRANSLATE(B97, ""en"", ""ur"")"),"ٹیم A کا ایک سوار لاش کو پکڑتا ہے اور گول کی طرف بڑھ رہا ہے جب اسے اپنے گھوڑے کا استعمال کرتے ہوئے مخالف کے ذریعہ روکا جاتا ہے۔ ریفری کو کیا کرنا چاہیے؟")</f>
        <v>ٹیم A کا ایک سوار لاش کو پکڑتا ہے اور گول کی طرف بڑھ رہا ہے جب اسے اپنے گھوڑے کا استعمال کرتے ہوئے مخالف کے ذریعہ روکا جاتا ہے۔ ریفری کو کیا کرنا چاہیے؟</v>
      </c>
      <c r="M97" s="6" t="str">
        <f>IFERROR(__xludf.DUMMYFUNCTION("GOOGLETRANSLATE(C97, ""en"", ""ur"")"),"A) بلاک کو اجازت دیں کیونکہ یہ گیم کا حصہ ہے، B) سوار کو غیر منصفانہ بلاک کرنے پر سزا دیں، C) ٹیم A کو مفت قبضہ دیں، D) میچ روکیں اور لاش کو دوبارہ ترتیب دیں۔")</f>
        <v>A) بلاک کو اجازت دیں کیونکہ یہ گیم کا حصہ ہے، B) سوار کو غیر منصفانہ بلاک کرنے پر سزا دیں، C) ٹیم A کو مفت قبضہ دیں، D) میچ روکیں اور لاش کو دوبارہ ترتیب دیں۔</v>
      </c>
      <c r="N97" s="6" t="str">
        <f>IFERROR(__xludf.DUMMYFUNCTION("GOOGLETRANSLATE(D97, ""en"", ""ur"")"),"B) سوار کو غیر منصفانہ بلاک کرنے پر سزا دیں، C) ٹیم A کو مفت قبضہ دیں")</f>
        <v>B) سوار کو غیر منصفانہ بلاک کرنے پر سزا دیں، C) ٹیم A کو مفت قبضہ دیں</v>
      </c>
      <c r="O97" s="6" t="str">
        <f>IFERROR(__xludf.DUMMYFUNCTION("GOOGLETRANSLATE(E97, ""en"", ""ur"")"),"گھوڑے کے ساتھ روکنے کی اجازت ہے، لیکن حد سے زیادہ جارحانہ یا رکاوٹ والے انداز میں نہیں۔ غیر منصفانہ طرز عمل پر جرمانہ جاری کیا جاتا ہے۔")</f>
        <v>گھوڑے کے ساتھ روکنے کی اجازت ہے، لیکن حد سے زیادہ جارحانہ یا رکاوٹ والے انداز میں نہیں۔ غیر منصفانہ طرز عمل پر جرمانہ جاری کیا جاتا ہے۔</v>
      </c>
    </row>
    <row r="98">
      <c r="A98" s="4">
        <v>97.0</v>
      </c>
      <c r="B98" s="5" t="s">
        <v>1583</v>
      </c>
      <c r="C98" s="5" t="s">
        <v>1584</v>
      </c>
      <c r="D98" s="5" t="s">
        <v>1585</v>
      </c>
      <c r="E98" s="5" t="s">
        <v>1586</v>
      </c>
      <c r="K98" s="6" t="str">
        <f>IFERROR(__xludf.DUMMYFUNCTION("GOOGLETRANSLATE(A98, ""en"", ""ur"")"),"97")</f>
        <v>97</v>
      </c>
      <c r="L98" s="6" t="str">
        <f>IFERROR(__xludf.DUMMYFUNCTION("GOOGLETRANSLATE(B98, ""en"", ""ur"")"),"ٹیم B کا ایک سوار لاش کو ٹیم کے ساتھی کے پاس دیتا ہے، لیکن ساتھی اسے گول دائرے تک پہنچنے سے پہلے ہی گرا دیتا ہے۔ آگے کیا ہوتا ہے؟")</f>
        <v>ٹیم B کا ایک سوار لاش کو ٹیم کے ساتھی کے پاس دیتا ہے، لیکن ساتھی اسے گول دائرے تک پہنچنے سے پہلے ہی گرا دیتا ہے۔ آگے کیا ہوتا ہے؟</v>
      </c>
      <c r="M98" s="6" t="str">
        <f>IFERROR(__xludf.DUMMYFUNCTION("GOOGLETRANSLATE(C98, ""en"", ""ur"")"),"A) مخالف ٹیم قبضہ حاصل کر لیتی ہے، B) لاش کو مرکز میں ری سیٹ کر دیا جاتا ہے، C) کھیل جاری رہتا ہے، اور ٹیم B کو دوبارہ کوشش کرنی پڑتی ہے، D) ٹیم B کو لاش گرانے پر جرمانہ کیا جاتا ہے۔")</f>
        <v>A) مخالف ٹیم قبضہ حاصل کر لیتی ہے، B) لاش کو مرکز میں ری سیٹ کر دیا جاتا ہے، C) کھیل جاری رہتا ہے، اور ٹیم B کو دوبارہ کوشش کرنی پڑتی ہے، D) ٹیم B کو لاش گرانے پر جرمانہ کیا جاتا ہے۔</v>
      </c>
      <c r="N98" s="6" t="str">
        <f>IFERROR(__xludf.DUMMYFUNCTION("GOOGLETRANSLATE(D98, ""en"", ""ur"")"),"C) کھیل جاری ہے، اور ٹیم B کو دوبارہ کوشش کرنی ہوگی۔")</f>
        <v>C) کھیل جاری ہے، اور ٹیم B کو دوبارہ کوشش کرنی ہوگی۔</v>
      </c>
      <c r="O98" s="6" t="str">
        <f>IFERROR(__xludf.DUMMYFUNCTION("GOOGLETRANSLATE(E98, ""en"", ""ur"")"),"لاش کو گرانے سے خود بخود جرمانہ نہیں ہوتا، لیکن ٹیم کو جاری رکھنے کے لیے دوبارہ قبضہ حاصل کرنا چاہیے۔")</f>
        <v>لاش کو گرانے سے خود بخود جرمانہ نہیں ہوتا، لیکن ٹیم کو جاری رکھنے کے لیے دوبارہ قبضہ حاصل کرنا چاہیے۔</v>
      </c>
    </row>
    <row r="99">
      <c r="A99" s="4">
        <v>98.0</v>
      </c>
      <c r="B99" s="5" t="s">
        <v>1587</v>
      </c>
      <c r="C99" s="5" t="s">
        <v>1588</v>
      </c>
      <c r="D99" s="5" t="s">
        <v>1589</v>
      </c>
      <c r="E99" s="5" t="s">
        <v>1590</v>
      </c>
      <c r="K99" s="6" t="str">
        <f>IFERROR(__xludf.DUMMYFUNCTION("GOOGLETRANSLATE(A99, ""en"", ""ur"")"),"98")</f>
        <v>98</v>
      </c>
      <c r="L99" s="6" t="str">
        <f>IFERROR(__xludf.DUMMYFUNCTION("GOOGLETRANSLATE(B99, ""en"", ""ur"")"),"بزکشی میچ کے دوران، ٹیم A کے پاس ایک سوار ہے جو بہت تیز ہے لیکن لاش کو سنبھالنے میں ناتجربہ کار ہے۔ ٹیم A اس سوار کا بہترین استعمال کیسے کر سکتی ہے؟")</f>
        <v>بزکشی میچ کے دوران، ٹیم A کے پاس ایک سوار ہے جو بہت تیز ہے لیکن لاش کو سنبھالنے میں ناتجربہ کار ہے۔ ٹیم A اس سوار کا بہترین استعمال کیسے کر سکتی ہے؟</v>
      </c>
      <c r="M99" s="6" t="str">
        <f>IFERROR(__xludf.DUMMYFUNCTION("GOOGLETRANSLATE(C99, ""en"", ""ur"")"),"A) انہیں تیز رفتاری اور مخالفوں کی توجہ ہٹانے پر توجہ دلائیں، B) گول دائرے کی حفاظت کے لیے انہیں تفویض کریں، C) انہیں آسان، کم مقابلہ والے حالات میں لاش کو سنبھالنے دیں، D) ان کا استعمال کریں جب کوئی اور ساتھی لاش کو پکڑ لے۔")</f>
        <v>A) انہیں تیز رفتاری اور مخالفوں کی توجہ ہٹانے پر توجہ دلائیں، B) گول دائرے کی حفاظت کے لیے انہیں تفویض کریں، C) انہیں آسان، کم مقابلہ والے حالات میں لاش کو سنبھالنے دیں، D) ان کا استعمال کریں جب کوئی اور ساتھی لاش کو پکڑ لے۔</v>
      </c>
      <c r="N99" s="6" t="str">
        <f>IFERROR(__xludf.DUMMYFUNCTION("GOOGLETRANSLATE(D99, ""en"", ""ur"")"),"A) انہیں تیز رفتاری اور مخالفین کی توجہ ہٹانے پر توجہ دلائیں، D) ان کا استعمال ایک دھوکے کے طور پر کریں جب کہ ایک اور ساتھی لاش کو پکڑ لے")</f>
        <v>A) انہیں تیز رفتاری اور مخالفین کی توجہ ہٹانے پر توجہ دلائیں، D) ان کا استعمال ایک دھوکے کے طور پر کریں جب کہ ایک اور ساتھی لاش کو پکڑ لے</v>
      </c>
      <c r="O99" s="6" t="str">
        <f>IFERROR(__xludf.DUMMYFUNCTION("GOOGLETRANSLATE(E99, ""en"", ""ur"")"),"ایک تیز سوار کا استعمال مخالف ٹیم کو پریشان یا الجھا کر ٹیم کے ساتھیوں کے لیے مواقع پیدا کرنے کے لیے کیا جا سکتا ہے۔")</f>
        <v>ایک تیز سوار کا استعمال مخالف ٹیم کو پریشان یا الجھا کر ٹیم کے ساتھیوں کے لیے مواقع پیدا کرنے کے لیے کیا جا سکتا ہے۔</v>
      </c>
    </row>
    <row r="100">
      <c r="A100" s="4">
        <v>99.0</v>
      </c>
      <c r="B100" s="5" t="s">
        <v>1591</v>
      </c>
      <c r="C100" s="5" t="s">
        <v>1592</v>
      </c>
      <c r="D100" s="5" t="s">
        <v>1593</v>
      </c>
      <c r="E100" s="5" t="s">
        <v>1594</v>
      </c>
      <c r="K100" s="6" t="str">
        <f>IFERROR(__xludf.DUMMYFUNCTION("GOOGLETRANSLATE(A100, ""en"", ""ur"")"),"99")</f>
        <v>99</v>
      </c>
      <c r="L100" s="6" t="str">
        <f>IFERROR(__xludf.DUMMYFUNCTION("GOOGLETRANSLATE(B100, ""en"", ""ur"")"),"ریفری لاش کو چرانے کی کوشش کرتے وقت ضرورت سے زیادہ طاقت کے لئے ٹیم A کے سوار کے خلاف فاؤل کا اشارہ کرتا ہے۔ ممکنہ سزا کیا ہے؟")</f>
        <v>ریفری لاش کو چرانے کی کوشش کرتے وقت ضرورت سے زیادہ طاقت کے لئے ٹیم A کے سوار کے خلاف فاؤل کا اشارہ کرتا ہے۔ ممکنہ سزا کیا ہے؟</v>
      </c>
      <c r="M100" s="6" t="str">
        <f>IFERROR(__xludf.DUMMYFUNCTION("GOOGLETRANSLATE(C100, ""en"", ""ur"")"),"A) ٹیم B کو دیا گیا ایک پوائنٹ، B) ٹیم A لاش کا قبضہ کھو دیتی ہے، C) ٹیم A کو جاری کردہ وارننگ، D) ٹیم B کو مفت قبضہ دیا گیا")</f>
        <v>A) ٹیم B کو دیا گیا ایک پوائنٹ، B) ٹیم A لاش کا قبضہ کھو دیتی ہے، C) ٹیم A کو جاری کردہ وارننگ، D) ٹیم B کو مفت قبضہ دیا گیا</v>
      </c>
      <c r="N100" s="6" t="str">
        <f>IFERROR(__xludf.DUMMYFUNCTION("GOOGLETRANSLATE(D100, ""en"", ""ur"")"),"B) ٹیم A لاش کا قبضہ کھو دیتی ہے، D) ایک مفت قبضہ ٹیم B کو دیا گیا")</f>
        <v>B) ٹیم A لاش کا قبضہ کھو دیتی ہے، D) ایک مفت قبضہ ٹیم B کو دیا گیا</v>
      </c>
      <c r="O100" s="6" t="str">
        <f>IFERROR(__xludf.DUMMYFUNCTION("GOOGLETRANSLATE(E100, ""en"", ""ur"")"),"ضرورت سے زیادہ طاقت کے استعمال کے نتیجے میں قبضہ ختم ہوسکتا ہے، اور مخالف ٹیم فائدہ اٹھا سکتی ہے۔")</f>
        <v>ضرورت سے زیادہ طاقت کے استعمال کے نتیجے میں قبضہ ختم ہوسکتا ہے، اور مخالف ٹیم فائدہ اٹھا سکتی ہے۔</v>
      </c>
    </row>
    <row r="101">
      <c r="A101" s="4">
        <v>100.0</v>
      </c>
      <c r="B101" s="5" t="s">
        <v>1599</v>
      </c>
      <c r="C101" s="5" t="s">
        <v>1600</v>
      </c>
      <c r="D101" s="5" t="s">
        <v>1601</v>
      </c>
      <c r="E101" s="5" t="s">
        <v>1602</v>
      </c>
      <c r="K101" s="6" t="str">
        <f>IFERROR(__xludf.DUMMYFUNCTION("GOOGLETRANSLATE(A101, ""en"", ""ur"")"),"100")</f>
        <v>100</v>
      </c>
      <c r="L101" s="6" t="str">
        <f>IFERROR(__xludf.DUMMYFUNCTION("GOOGLETRANSLATE(B101, ""en"", ""ur"")"),"میچ کے دوران ایک تماشائی میدان میں بھاگتا ہے، جس سے عارضی افراتفری مچ جاتی ہے۔ مناسب کارروائی کیا ہے؟")</f>
        <v>میچ کے دوران ایک تماشائی میدان میں بھاگتا ہے، جس سے عارضی افراتفری مچ جاتی ہے۔ مناسب کارروائی کیا ہے؟</v>
      </c>
      <c r="M101" s="6" t="str">
        <f>IFERROR(__xludf.DUMMYFUNCTION("GOOGLETRANSLATE(C101, ""en"", ""ur"")"),"A) تماشائی کو ہٹانے تک میچ کو روکیں، B) میچ کو جاری رکھیں اور رکاوٹ کو نظر انداز کریں، C) میچ کو آخری قبضے سے دوبارہ شروع کریں، D) تماشائی کی حمایت کرنے والی ٹیم کو جرمانہ کریں۔")</f>
        <v>A) تماشائی کو ہٹانے تک میچ کو روکیں، B) میچ کو جاری رکھیں اور رکاوٹ کو نظر انداز کریں، C) میچ کو آخری قبضے سے دوبارہ شروع کریں، D) تماشائی کی حمایت کرنے والی ٹیم کو جرمانہ کریں۔</v>
      </c>
      <c r="N101" s="6" t="str">
        <f>IFERROR(__xludf.DUMMYFUNCTION("GOOGLETRANSLATE(D101, ""en"", ""ur"")"),"A) تماشائی کو ہٹانے تک میچ روک دیں۔")</f>
        <v>A) تماشائی کو ہٹانے تک میچ روک دیں۔</v>
      </c>
      <c r="O101" s="6" t="str">
        <f>IFERROR(__xludf.DUMMYFUNCTION("GOOGLETRANSLATE(E101, ""en"", ""ur"")"),"کھلاڑیوں کی حفاظت اور کھیل کی سالمیت کو یقینی بنانے کے لیے تماشائیوں کی مداخلت پر فوری توجہ دی جانی چاہیے۔")</f>
        <v>کھلاڑیوں کی حفاظت اور کھیل کی سالمیت کو یقینی بنانے کے لیے تماشائیوں کی مداخلت پر فوری توجہ دی جانی چاہیے۔</v>
      </c>
    </row>
    <row r="102">
      <c r="A102" s="4">
        <v>101.0</v>
      </c>
      <c r="B102" s="5" t="s">
        <v>1603</v>
      </c>
      <c r="C102" s="5" t="s">
        <v>1604</v>
      </c>
      <c r="D102" s="5" t="s">
        <v>1605</v>
      </c>
      <c r="E102" s="5" t="s">
        <v>1606</v>
      </c>
      <c r="K102" s="6" t="str">
        <f>IFERROR(__xludf.DUMMYFUNCTION("GOOGLETRANSLATE(A102, ""en"", ""ur"")"),"101")</f>
        <v>101</v>
      </c>
      <c r="L102" s="6" t="str">
        <f>IFERROR(__xludf.DUMMYFUNCTION("GOOGLETRANSLATE(B102, ""en"", ""ur"")"),"ایک سوار لاش کو پکڑتا ہے اور اسے تھرو کا استعمال کرتے ہوئے ٹیم کے ساتھی کو دینے کا فیصلہ کرتا ہے۔ کیچ کے دوران ساتھی کو کیا یقینی بنانا چاہیے؟")</f>
        <v>ایک سوار لاش کو پکڑتا ہے اور اسے تھرو کا استعمال کرتے ہوئے ٹیم کے ساتھی کو دینے کا فیصلہ کرتا ہے۔ کیچ کے دوران ساتھی کو کیا یقینی بنانا چاہیے؟</v>
      </c>
      <c r="M102" s="6" t="str">
        <f>IFERROR(__xludf.DUMMYFUNCTION("GOOGLETRANSLATE(C102, ""en"", ""ur"")"),"A) لاش زمین کو نہیں چھوتی، B) پکڑتے وقت وہ لگے رہتے ہیں، C) وہ فوراً گول دائرے کی طرف جاتے ہیں، D) وہ پکڑنے سے پہلے ریفری کو اشارہ کرتے ہیں۔")</f>
        <v>A) لاش زمین کو نہیں چھوتی، B) پکڑتے وقت وہ لگے رہتے ہیں، C) وہ فوراً گول دائرے کی طرف جاتے ہیں، D) وہ پکڑنے سے پہلے ریفری کو اشارہ کرتے ہیں۔</v>
      </c>
      <c r="N102" s="6" t="str">
        <f>IFERROR(__xludf.DUMMYFUNCTION("GOOGLETRANSLATE(D102, ""en"", ""ur"")"),"A) لاش زمین کو نہیں چھوتی ہے، B) پکڑتے وقت وہ لگے رہتے ہیں۔")</f>
        <v>A) لاش زمین کو نہیں چھوتی ہے، B) پکڑتے وقت وہ لگے رہتے ہیں۔</v>
      </c>
      <c r="O102" s="6" t="str">
        <f>IFERROR(__xludf.DUMMYFUNCTION("GOOGLETRANSLATE(E102, ""en"", ""ur"")"),"قوانین کی پابندی کرتے ہوئے قبضہ برقرار رکھنے کے لیے ہم آہنگی اور مہارت کی ضرورت ہوتی ہے۔")</f>
        <v>قوانین کی پابندی کرتے ہوئے قبضہ برقرار رکھنے کے لیے ہم آہنگی اور مہارت کی ضرورت ہوتی ہے۔</v>
      </c>
    </row>
    <row r="103">
      <c r="A103" s="4">
        <v>102.0</v>
      </c>
      <c r="B103" s="5" t="s">
        <v>1523</v>
      </c>
      <c r="C103" s="5" t="s">
        <v>1524</v>
      </c>
      <c r="D103" s="5" t="s">
        <v>1525</v>
      </c>
      <c r="E103" s="5" t="s">
        <v>1526</v>
      </c>
      <c r="K103" s="6" t="str">
        <f>IFERROR(__xludf.DUMMYFUNCTION("GOOGLETRANSLATE(A103, ""en"", ""ur"")"),"102")</f>
        <v>102</v>
      </c>
      <c r="L103" s="6" t="str">
        <f>IFERROR(__xludf.DUMMYFUNCTION("GOOGLETRANSLATE(B103, ""en"", ""ur"")"),"ٹیم A کا ایک سوار کامیابی سے لاش کو لے جاتا ہے اور گول دائرے کی طرف جاتا ہے، لیکن ٹیم B کا ایک مخالف اس کا راستہ کاٹ کر اس سے نمٹنے کی کوشش کرتا ہے۔ اس صورت حال سے نمٹنے کا بہترین طریقہ کیا ہے؟")</f>
        <v>ٹیم A کا ایک سوار کامیابی سے لاش کو لے جاتا ہے اور گول دائرے کی طرف جاتا ہے، لیکن ٹیم B کا ایک مخالف اس کا راستہ کاٹ کر اس سے نمٹنے کی کوشش کرتا ہے۔ اس صورت حال سے نمٹنے کا بہترین طریقہ کیا ہے؟</v>
      </c>
      <c r="M103" s="6" t="str">
        <f>IFERROR(__xludf.DUMMYFUNCTION("GOOGLETRANSLATE(C103, ""en"", ""ur"")"),"A) حریف کو چکمہ دینے کی کوشش کریں اور گول کی طرف بڑھتے رہیں، B) برتری برقرار رکھنے کے لیے گھوڑے کی رفتار کا استعمال کریں، C) مخالف کے ساتھ براہ راست تصادم میں مشغول ہوں، D) لاش کو دوسرے ساتھی کے پاس منتقل کریں۔")</f>
        <v>A) حریف کو چکمہ دینے کی کوشش کریں اور گول کی طرف بڑھتے رہیں، B) برتری برقرار رکھنے کے لیے گھوڑے کی رفتار کا استعمال کریں، C) مخالف کے ساتھ براہ راست تصادم میں مشغول ہوں، D) لاش کو دوسرے ساتھی کے پاس منتقل کریں۔</v>
      </c>
      <c r="N103" s="6" t="str">
        <f>IFERROR(__xludf.DUMMYFUNCTION("GOOGLETRANSLATE(D103, ""en"", ""ur"")"),"A) حریف کو چکمہ دینے کی کوشش کریں اور گول کی طرف بڑھتے رہیں، B) برتری برقرار رکھنے کے لیے گھوڑے کی رفتار کا استعمال کریں")</f>
        <v>A) حریف کو چکمہ دینے کی کوشش کریں اور گول کی طرف بڑھتے رہیں، B) برتری برقرار رکھنے کے لیے گھوڑے کی رفتار کا استعمال کریں</v>
      </c>
      <c r="O103" s="6" t="str">
        <f>IFERROR(__xludf.DUMMYFUNCTION("GOOGLETRANSLATE(E103, ""en"", ""ur"")"),"رفتار اور چستی ٹیکلز پر قابو پانے کی کلید ہیں، لیکن ٹیم کے ساتھی کو منتقل کرنا بھی ایک موثر حکمت عملی ہو سکتی ہے۔")</f>
        <v>رفتار اور چستی ٹیکلز پر قابو پانے کی کلید ہیں، لیکن ٹیم کے ساتھی کو منتقل کرنا بھی ایک موثر حکمت عملی ہو سکتی ہے۔</v>
      </c>
    </row>
    <row r="104">
      <c r="A104" s="4">
        <v>103.0</v>
      </c>
      <c r="B104" s="5" t="s">
        <v>1527</v>
      </c>
      <c r="C104" s="5" t="s">
        <v>1528</v>
      </c>
      <c r="D104" s="5" t="s">
        <v>1529</v>
      </c>
      <c r="E104" s="5" t="s">
        <v>1530</v>
      </c>
      <c r="K104" s="6" t="str">
        <f>IFERROR(__xludf.DUMMYFUNCTION("GOOGLETRANSLATE(A104, ""en"", ""ur"")"),"103")</f>
        <v>103</v>
      </c>
      <c r="L104" s="6" t="str">
        <f>IFERROR(__xludf.DUMMYFUNCTION("GOOGLETRANSLATE(B104, ""en"", ""ur"")"),"بزکشی میچ کے دوران سوار کا گھوڑا بے قابو ہو جاتا ہے اور غلط سمت میں دوڑنے لگتا ہے۔ اس صورت حال میں سوار کو کیا کرنا چاہیے؟")</f>
        <v>بزکشی میچ کے دوران سوار کا گھوڑا بے قابو ہو جاتا ہے اور غلط سمت میں دوڑنے لگتا ہے۔ اس صورت حال میں سوار کو کیا کرنا چاہیے؟</v>
      </c>
      <c r="M104" s="6" t="str">
        <f>IFERROR(__xludf.DUMMYFUNCTION("GOOGLETRANSLATE(C104, ""en"", ""ur"")"),"A)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f>
        <v>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v>
      </c>
      <c r="N104" s="6" t="str">
        <f>IFERROR(__xludf.DUMMYFUNCTION("GOOGLETRANSLATE(D104, ""en"", ""ur"")"),"ا) لگام کا استعمال کرکے گھوڑے پر دوبارہ کنٹرول حاصل کرنے کی کوشش کریں۔")</f>
        <v>ا) لگام کا استعمال کرکے گھوڑے پر دوبارہ کنٹرول حاصل کرنے کی کوشش کریں۔</v>
      </c>
      <c r="O104" s="6" t="str">
        <f>IFERROR(__xludf.DUMMYFUNCTION("GOOGLETRANSLATE(E104, ""en"", ""ur"")"),"سواروں کو اپنے گھوڑوں پر کنٹرول برقرار رکھنا چاہیے تاکہ ان کی حفاظت کو یقینی بنایا جا سکے اور اپنی ٹیم میں حصہ ڈالنا جاری رکھیں۔")</f>
        <v>سواروں کو اپنے گھوڑوں پر کنٹرول برقرار رکھنا چاہیے تاکہ ان کی حفاظت کو یقینی بنایا جا سکے اور اپنی ٹیم میں حصہ ڈالنا جاری رکھیں۔</v>
      </c>
    </row>
    <row r="105">
      <c r="A105" s="4">
        <v>104.0</v>
      </c>
      <c r="B105" s="5" t="s">
        <v>1531</v>
      </c>
      <c r="C105" s="5" t="s">
        <v>1532</v>
      </c>
      <c r="D105" s="5" t="s">
        <v>1533</v>
      </c>
      <c r="E105" s="5" t="s">
        <v>1534</v>
      </c>
      <c r="K105" s="6" t="str">
        <f>IFERROR(__xludf.DUMMYFUNCTION("GOOGLETRANSLATE(A105, ""en"", ""ur"")"),"104")</f>
        <v>104</v>
      </c>
      <c r="L105" s="6" t="str">
        <f>IFERROR(__xludf.DUMMYFUNCTION("GOOGLETRANSLATE(B105, ""en"", ""ur"")"),"ٹیم A کا ایک سوار ٹیم B کے متعدد سواروں کے ساتھ لاش کی لڑائی میں پھنس جاتا ہے۔ دوبارہ قبضہ حاصل کرنے کے لیے ٹیم کو کیا کرنا چاہیے؟")</f>
        <v>ٹیم A کا ایک سوار ٹیم B کے متعدد سواروں کے ساتھ لاش کی لڑائی میں پھنس جاتا ہے۔ دوبارہ قبضہ حاصل کرنے کے لیے ٹیم کو کیا کرنا چاہیے؟</v>
      </c>
      <c r="M105" s="6" t="str">
        <f>IFERROR(__xludf.DUMMYFUNCTION("GOOGLETRANSLATE(C105, ""en"", ""ur"")"),"A) لڑائی کو ختم کرکے جگہ بنانے پر توجہ مرکوز کریں، B) ٹیم کے ساتھی کو لاش چرانے کے لیے خلفشار کا فائدہ اٹھائیں، C) میچ روکنے کے لیے ریفری کو کال کریں، D) صورتحال کے پرسکون ہونے کا انتظار کریں اور پھر آگے بڑھیں۔")</f>
        <v>A) لڑائی کو ختم کرکے جگہ بنانے پر توجہ مرکوز کریں، B) ٹیم کے ساتھی کو لاش چرانے کے لیے خلفشار کا فائدہ اٹھائیں، C) میچ روکنے کے لیے ریفری کو کال کریں، D) صورتحال کے پرسکون ہونے کا انتظار کریں اور پھر آگے بڑھیں۔</v>
      </c>
      <c r="N105" s="6" t="str">
        <f>IFERROR(__xludf.DUMMYFUNCTION("GOOGLETRANSLATE(D105, ""en"", ""ur"")"),"A) لڑائی کو ختم کرکے جگہ بنانے پر توجہ مرکوز کریں، B) ٹیم کے ساتھی کو لاش چرانے کے لیے خلفشار کا فائدہ اٹھانے کو کہیں۔")</f>
        <v>A) لڑائی کو ختم کرکے جگہ بنانے پر توجہ مرکوز کریں، B) ٹیم کے ساتھی کو لاش چرانے کے لیے خلفشار کا فائدہ اٹھانے کو کہیں۔</v>
      </c>
      <c r="O105" s="6" t="str">
        <f>IFERROR(__xludf.DUMMYFUNCTION("GOOGLETRANSLATE(E105, ""en"", ""ur"")"),"لڑائی جیسے خلفشار توجہ کو منتقل کرنے اور قبضہ حاصل کرنے کے مواقع فراہم کرتے ہیں۔")</f>
        <v>لڑائی جیسے خلفشار توجہ کو منتقل کرنے اور قبضہ حاصل کرنے کے مواقع فراہم کرتے ہیں۔</v>
      </c>
    </row>
    <row r="106">
      <c r="A106" s="4">
        <v>105.0</v>
      </c>
      <c r="B106" s="5" t="s">
        <v>1535</v>
      </c>
      <c r="C106" s="5" t="s">
        <v>1536</v>
      </c>
      <c r="D106" s="5" t="s">
        <v>1537</v>
      </c>
      <c r="E106" s="5" t="s">
        <v>1538</v>
      </c>
      <c r="K106" s="6" t="str">
        <f>IFERROR(__xludf.DUMMYFUNCTION("GOOGLETRANSLATE(A106, ""en"", ""ur"")"),"105")</f>
        <v>105</v>
      </c>
      <c r="L106" s="6" t="str">
        <f>IFERROR(__xludf.DUMMYFUNCTION("GOOGLETRANSLATE(B106, ""en"", ""ur"")"),"ایک سوار کامیابی کے ساتھ لاش کو گول کے دائرے میں رکھتا ہے، لیکن ریفری غلط اشارہ کرتا ہے کیونکہ سوار کا گھوڑا گول کے علاقے سے باہر نکل گیا تھا۔ مناسب جواب کیا ہے؟")</f>
        <v>ایک سوار کامیابی کے ساتھ لاش کو گول کے دائرے میں رکھتا ہے، لیکن ریفری غلط اشارہ کرتا ہے کیونکہ سوار کا گھوڑا گول کے علاقے سے باہر نکل گیا تھا۔ مناسب جواب کیا ہے؟</v>
      </c>
      <c r="M106" s="6" t="str">
        <f>IFERROR(__xludf.DUMMYFUNCTION("GOOGLETRANSLATE(C106, ""en"", ""ur"")"),"A) ٹیم A کو پوائنٹ دیں، B) پوائنٹ کو نامنظور کریں اور گیم کو دوبارہ ترتیب دیں، C) سوار کو سزا دیں، D) مرکز سے کھیل دوبارہ شروع کریں")</f>
        <v>A) ٹیم A کو پوائنٹ دیں، B) پوائنٹ کو نامنظور کریں اور گیم کو دوبارہ ترتیب دیں، C) سوار کو سزا دیں، D) مرکز سے کھیل دوبارہ شروع کریں</v>
      </c>
      <c r="N106" s="6" t="str">
        <f>IFERROR(__xludf.DUMMYFUNCTION("GOOGLETRANSLATE(D106, ""en"", ""ur"")"),"ب) پوائنٹ کی اجازت نہ دیں اور گیم کو ری سیٹ کریں، سی) سوار کو سزا دیں۔")</f>
        <v>ب) پوائنٹ کی اجازت نہ دیں اور گیم کو ری سیٹ کریں، سی) سوار کو سزا دیں۔</v>
      </c>
      <c r="O106" s="6" t="str">
        <f>IFERROR(__xludf.DUMMYFUNCTION("GOOGLETRANSLATE(E106, ""en"", ""ur"")"),"ایک گول صرف اس صورت میں درست ہے جب سوار اور گھوڑا مقررہ ہدف کے علاقے میں رہیں۔")</f>
        <v>ایک گول صرف اس صورت میں درست ہے جب سوار اور گھوڑا مقررہ ہدف کے علاقے میں رہیں۔</v>
      </c>
    </row>
    <row r="107">
      <c r="A107" s="4">
        <v>106.0</v>
      </c>
      <c r="B107" s="5" t="s">
        <v>1539</v>
      </c>
      <c r="C107" s="5" t="s">
        <v>1540</v>
      </c>
      <c r="D107" s="5" t="s">
        <v>1541</v>
      </c>
      <c r="E107" s="5" t="s">
        <v>1542</v>
      </c>
      <c r="K107" s="6" t="str">
        <f>IFERROR(__xludf.DUMMYFUNCTION("GOOGLETRANSLATE(A107, ""en"", ""ur"")"),"106")</f>
        <v>106</v>
      </c>
      <c r="L107" s="6" t="str">
        <f>IFERROR(__xludf.DUMMYFUNCTION("GOOGLETRANSLATE(B107, ""en"", ""ur"")"),"بزکشی میچ کے آخری لمحات کے دوران، ٹیم A برتری میں ہے، اور ٹیم B گول کے دائرے کو روکنے کے لیے دفاعی حکمت عملی استعمال کر رہی ہے۔ اس دفاع کا مقابلہ کرنے کے لیے ٹیم اے کو کیا کرنا چاہیے؟")</f>
        <v>بزکشی میچ کے آخری لمحات کے دوران، ٹیم A برتری میں ہے، اور ٹیم B گول کے دائرے کو روکنے کے لیے دفاعی حکمت عملی استعمال کر رہی ہے۔ اس دفاع کا مقابلہ کرنے کے لیے ٹیم اے کو کیا کرنا چاہیے؟</v>
      </c>
      <c r="M107" s="6" t="str">
        <f>IFERROR(__xludf.DUMMYFUNCTION("GOOGLETRANSLATE(C107, ""en"", ""ur"")"),"A)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انتظار"&amp;" کریں۔")</f>
        <v>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 کریں۔</v>
      </c>
      <c r="N107" s="6" t="str">
        <f>IFERROR(__xludf.DUMMYFUNCTION("GOOGLETRANSLATE(D107, ""en"", ""ur"")"),"A) دفاع کو توڑنے کے لئے ان کے جارحانہ دباؤ میں اضافہ کریں، C) گول کے قریب ٹیم کے ساتھی کو طویل فاصلے تک پاس کی کوشش کریں")</f>
        <v>A) دفاع کو توڑنے کے لئے ان کے جارحانہ دباؤ میں اضافہ کریں، C) گول کے قریب ٹیم کے ساتھی کو طویل فاصلے تک پاس کی کوشش کریں</v>
      </c>
      <c r="O107" s="6" t="str">
        <f>IFERROR(__xludf.DUMMYFUNCTION("GOOGLETRANSLATE(E107, ""en"", ""ur"")"),"دفاعی حکمت عملیوں کا مقابلہ کرنے کے لیے دفاع کو آگے بڑھانے کے لیے فوری، فیصلہ کن اقدامات کی ضرورت ہوتی ہے۔")</f>
        <v>دفاعی حکمت عملیوں کا مقابلہ کرنے کے لیے دفاع کو آگے بڑھانے کے لیے فوری، فیصلہ کن اقدامات کی ضرورت ہوتی ہے۔</v>
      </c>
    </row>
    <row r="108">
      <c r="A108" s="4">
        <v>107.0</v>
      </c>
      <c r="B108" s="5" t="s">
        <v>1543</v>
      </c>
      <c r="C108" s="5" t="s">
        <v>1544</v>
      </c>
      <c r="D108" s="5" t="s">
        <v>1545</v>
      </c>
      <c r="E108" s="5" t="s">
        <v>1546</v>
      </c>
      <c r="K108" s="6" t="str">
        <f>IFERROR(__xludf.DUMMYFUNCTION("GOOGLETRANSLATE(A108, ""en"", ""ur"")"),"107")</f>
        <v>107</v>
      </c>
      <c r="L108" s="6" t="str">
        <f>IFERROR(__xludf.DUMMYFUNCTION("GOOGLETRANSLATE(B108, ""en"", ""ur"")"),"ایک گرما گرم بزکشی میچ کے وسط میں، ٹیم A کے ایک سوار پر الزام لگایا گیا ہے کہ اس نے لاش کو اپنے ہاتھوں سے پکڑ کر نیچے اتارا تھا۔ ریفری کو کیا کرنا چاہیے؟")</f>
        <v>ایک گرما گرم بزکشی میچ کے وسط میں، ٹیم A کے ایک سوار پر الزام لگایا گیا ہے کہ اس نے لاش کو اپنے ہاتھوں سے پکڑ کر نیچے اتارا تھا۔ ریفری کو کیا کرنا چاہیے؟</v>
      </c>
      <c r="M108" s="6" t="str">
        <f>IFERROR(__xludf.DUMMYFUNCTION("GOOGLETRANSLATE(C108, ""en"", ""ur"")"),"A) واقعے کو نظر انداز کریں، B) سوار کو وارننگ جاری کریں، C) سوار کو میچ سے نااہل قرار دیں، D) کھیل دوبارہ شروع کریں")</f>
        <v>A) واقعے کو نظر انداز کریں، B) سوار کو وارننگ جاری کریں، C) سوار کو میچ سے نااہل قرار دیں، D) کھیل دوبارہ شروع کریں</v>
      </c>
      <c r="N108" s="6" t="str">
        <f>IFERROR(__xludf.DUMMYFUNCTION("GOOGLETRANSLATE(D108, ""en"", ""ur"")"),"ب) سوار کو وارننگ جاری کریں، سی) سوار کو میچ سے نااہل قرار دیں۔")</f>
        <v>ب) سوار کو وارننگ جاری کریں، سی) سوار کو میچ سے نااہل قرار دیں۔</v>
      </c>
      <c r="O108" s="6" t="str">
        <f>IFERROR(__xludf.DUMMYFUNCTION("GOOGLETRANSLATE(E108, ""en"", ""ur"")"),"لاش کو اتارنے کے دوران پکڑنا کھیل کے قواعد کی خلاف ورزی کرتا ہے اور اس کے نتیجے میں جرمانے ہو سکتے ہیں۔")</f>
        <v>لاش کو اتارنے کے دوران پکڑنا کھیل کے قواعد کی خلاف ورزی کرتا ہے اور اس کے نتیجے میں جرمانے ہو سکتے ہیں۔</v>
      </c>
    </row>
    <row r="109">
      <c r="A109" s="4">
        <v>108.0</v>
      </c>
      <c r="B109" s="5" t="s">
        <v>1547</v>
      </c>
      <c r="C109" s="5" t="s">
        <v>1548</v>
      </c>
      <c r="D109" s="5" t="s">
        <v>1549</v>
      </c>
      <c r="E109" s="5" t="s">
        <v>1550</v>
      </c>
      <c r="K109" s="6" t="str">
        <f>IFERROR(__xludf.DUMMYFUNCTION("GOOGLETRANSLATE(A109, ""en"", ""ur"")"),"108")</f>
        <v>108</v>
      </c>
      <c r="L109" s="6" t="str">
        <f>IFERROR(__xludf.DUMMYFUNCTION("GOOGLETRANSLATE(B109, ""en"", ""ur"")"),"ایک ٹیم تیز رفتار حکمت عملی کی کوشش کرتی ہے جہاں وہ لاش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f>
        <v>ایک ٹیم تیز رفتار حکمت عملی کی کوشش کرتی ہے جہاں وہ لاش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v>
      </c>
      <c r="M109" s="6" t="str">
        <f>IFERROR(__xludf.DUMMYFUNCTION("GOOGLETRANSLATE(C109, ""en"", ""ur"")"),"A)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f>
        <v>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v>
      </c>
      <c r="N109" s="6" t="str">
        <f>IFERROR(__xludf.DUMMYFUNCTION("GOOGLETRANSLATE(D109, ""en"", ""ur"")"),"A) آہستہ کریں اور گیند کے کنٹرول پر توجہ مرکوز کریں، B) محافظوں کو گمراہ کرنے کے لیے فینٹ کا استعمال کریں۔")</f>
        <v>A) آہستہ کریں اور گیند کے کنٹرول پر توجہ مرکوز کریں، B) محافظوں کو گمراہ کرنے کے لیے فینٹ کا استعمال کریں۔</v>
      </c>
      <c r="O109" s="6" t="str">
        <f>IFERROR(__xludf.DUMMYFUNCTION("GOOGLETRANSLATE(E109, ""en"", ""ur"")"),"دھوکہ دہی کا استعمال اور احتیاط سے گیند کو کنٹرول کرنے سے رفتار کو دوبارہ حاصل کرنے اور محافظوں کو پیچھے چھوڑنے میں مدد مل سکتی ہے۔")</f>
        <v>دھوکہ دہی کا استعمال اور احتیاط سے گیند کو کنٹرول کرنے سے رفتار کو دوبارہ حاصل کرنے اور محافظوں کو پیچھے چھوڑنے میں مدد مل سکتی ہے۔</v>
      </c>
    </row>
    <row r="110">
      <c r="A110" s="4">
        <v>109.0</v>
      </c>
      <c r="B110" s="5" t="s">
        <v>1551</v>
      </c>
      <c r="C110" s="5" t="s">
        <v>1552</v>
      </c>
      <c r="D110" s="5" t="s">
        <v>1553</v>
      </c>
      <c r="E110" s="5" t="s">
        <v>1554</v>
      </c>
      <c r="K110" s="6" t="str">
        <f>IFERROR(__xludf.DUMMYFUNCTION("GOOGLETRANSLATE(A110, ""en"", ""ur"")"),"109")</f>
        <v>109</v>
      </c>
      <c r="L110" s="6" t="str">
        <f>IFERROR(__xludf.DUMMYFUNCTION("GOOGLETRANSLATE(B110, ""en"", ""ur"")"),"ٹیم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f>
        <v>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v>
      </c>
      <c r="M110" s="6" t="str">
        <f>IFERROR(__xludf.DUMMYFUNCTION("GOOGLETRANSLATE(C110, ""en"", ""ur"")"),"A) سوار کو باضابطہ وارننگ دیں، B) سوار کو نااہل قرار دیں، C) ٹیم A کو قبضہ دے کر ٹیم B کو سزا دیں، D) میچ روکیں اور مجرم سوار کو وقتی جرمانہ جاری کریں۔")</f>
        <v>A) سوار کو باضابطہ وارننگ دیں، B) سوار کو نااہل قرار دیں، C) ٹیم A کو قبضہ دے کر ٹیم B کو سزا دیں، D) میچ روکیں اور مجرم سوار کو وقتی جرمانہ جاری کریں۔</v>
      </c>
      <c r="N110" s="6" t="str">
        <f>IFERROR(__xludf.DUMMYFUNCTION("GOOGLETRANSLATE(D110, ""en"", ""ur"")"),"B) سوار کو نااہل قرار دیں، C) ٹیم A کو قبضہ دے کر ٹیم B کو سزا دیں۔")</f>
        <v>B) سوار کو نااہل قرار دیں، C) ٹیم A کو قبضہ دے کر ٹیم B کو سزا دیں۔</v>
      </c>
      <c r="O110" s="6" t="str">
        <f>IFERROR(__xludf.DUMMYFUNCTION("GOOGLETRANSLATE(E110, ""en"", ""ur"")"),"غیر منصفانہ ہتھکنڈوں کا استعمال کرتے ہوئے مسلسل بلاک کرنے سے نااہلی یا قبضے کی تبدیلی جیسی سنگین سزائیں ہوتی ہیں۔")</f>
        <v>غیر منصفانہ ہتھکنڈوں کا استعمال کرتے ہوئے مسلسل بلاک کرنے سے نااہلی یا قبضے کی تبدیلی جیسی سنگین سزائیں ہوتی ہیں۔</v>
      </c>
    </row>
    <row r="111">
      <c r="A111" s="4">
        <v>110.0</v>
      </c>
      <c r="B111" s="5" t="s">
        <v>1555</v>
      </c>
      <c r="C111" s="5" t="s">
        <v>1556</v>
      </c>
      <c r="D111" s="5" t="s">
        <v>1557</v>
      </c>
      <c r="E111" s="5" t="s">
        <v>1558</v>
      </c>
      <c r="K111" s="6" t="str">
        <f>IFERROR(__xludf.DUMMYFUNCTION("GOOGLETRANSLATE(A111, ""en"", ""ur"")"),"110")</f>
        <v>110</v>
      </c>
      <c r="L111" s="6" t="str">
        <f>IFERROR(__xludf.DUMMYFUNCTION("GOOGLETRANSLATE(B111, ""en"", ""ur"")"),"گرما گرم تبادلے کے دوران، ٹیم A کا ایک سوار غلطی سے ریفری کی پوزیشن سے ٹکرا جاتا ہے۔ ریفری کو کیسے جواب دینا چاہئے؟")</f>
        <v>گرما گرم تبادلے کے دوران، ٹیم A کا ایک سوار غلطی سے ریفری کی پوزیشن سے ٹکرا جاتا ہے۔ ریفری کو کیسے جواب دینا چاہئے؟</v>
      </c>
      <c r="M111" s="6" t="str">
        <f>IFERROR(__xludf.DUMMYFUNCTION("GOOGLETRANSLATE(C111, ""en"", ""ur"")"),"A)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f>
        <v>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v>
      </c>
      <c r="N111" s="6" t="str">
        <f>IFERROR(__xludf.DUMMYFUNCTION("GOOGLETRANSLATE(D111, ""en"", ""ur"")"),"ب) اس بات کو یقینی بنانے کے لیے میچ روکیں کہ کسی کو تکلیف نہ پہنچے، سی) سوار کو وارننگ جاری کریں۔")</f>
        <v>ب) اس بات کو یقینی بنانے کے لیے میچ روکیں کہ کسی کو تکلیف نہ پہنچے، سی) سوار کو وارننگ جاری کریں۔</v>
      </c>
      <c r="O111" s="6" t="str">
        <f>IFERROR(__xludf.DUMMYFUNCTION("GOOGLETRANSLATE(E111, ""en"", ""ur"")"),"کھلاڑی اور ریفری کی حفاظت ایک ترجیح ہے، اور چوٹ سے بچنے کے لیے تصادم پر فوری توجہ دی جانی چاہیے۔")</f>
        <v>کھلاڑی اور ریفری کی حفاظت ایک ترجیح ہے، اور چوٹ سے بچنے کے لیے تصادم پر فوری توجہ دی جانی چاہیے۔</v>
      </c>
    </row>
    <row r="112">
      <c r="A112" s="4">
        <v>111.0</v>
      </c>
      <c r="B112" s="5" t="s">
        <v>1563</v>
      </c>
      <c r="C112" s="5" t="s">
        <v>1564</v>
      </c>
      <c r="D112" s="5" t="s">
        <v>1565</v>
      </c>
      <c r="E112" s="5" t="s">
        <v>1566</v>
      </c>
      <c r="K112" s="6" t="str">
        <f>IFERROR(__xludf.DUMMYFUNCTION("GOOGLETRANSLATE(A112, ""en"", ""ur"")"),"111")</f>
        <v>111</v>
      </c>
      <c r="L112" s="6" t="str">
        <f>IFERROR(__xludf.DUMMYFUNCTION("GOOGLETRANSLATE(B112, ""en"", ""ur"")"),"سخت مقابلہ کرنے والے میچ میں، ٹیم A کا ایک سوار اپنے گھوڑے کو درمیانی کھیل میں زخمی کر دیتا ہے۔ اگر چوٹ گھوڑے کو چلنے سے روکتی ہے تو ریفری کو کیا کرنا چاہیے؟")</f>
        <v>سخت مقابلہ کرنے والے میچ میں، ٹیم A کا ایک سوار اپنے گھوڑے کو درمیانی کھیل میں زخمی کر دیتا ہے۔ اگر چوٹ گھوڑے کو چلنے سے روکتی ہے تو ریفری کو کیا کرنا چاہیے؟</v>
      </c>
      <c r="M112" s="6" t="str">
        <f>IFERROR(__xludf.DUMMYFUNCTION("GOOGLETRANSLATE(C112, ""en"", ""ur"")"),"A) سوار کو نئے گھوڑے کے ساتھ جاری رکھنے کی اجازت دیں، B) گھوڑے کے متبادل کے لیے ٹیم A کو سزا دیں، C) سوار کو چوٹ لگنے کے لیے ایک مختصر وقفہ کی اجازت دیں، D) گھوڑے سے متعلقہ چوٹوں کے لیے ٹیم A کو نااہل قرار دیں۔")</f>
        <v>A) سوار کو نئے گھوڑے کے ساتھ جاری رکھنے کی اجازت دیں، B) گھوڑے کے متبادل کے لیے ٹیم A کو سزا دیں، C) سوار کو چوٹ لگنے کے لیے ایک مختصر وقفہ کی اجازت دیں، D) گھوڑے سے متعلقہ چوٹوں کے لیے ٹیم A کو نااہل قرار دیں۔</v>
      </c>
      <c r="N112" s="6" t="str">
        <f>IFERROR(__xludf.DUMMYFUNCTION("GOOGLETRANSLATE(D112, ""en"", ""ur"")"),"A) سوار کو نئے گھوڑے کے ساتھ جاری رکھنے کی اجازت دیں، C) سوار کو چوٹ کی طرف مائل ہونے کے لیے مختصر وقفے کی اجازت دیں۔")</f>
        <v>A) سوار کو نئے گھوڑے کے ساتھ جاری رکھنے کی اجازت دیں، C) سوار کو چوٹ کی طرف مائل ہونے کے لیے مختصر وقفے کی اجازت دیں۔</v>
      </c>
      <c r="O112" s="6" t="str">
        <f>IFERROR(__xludf.DUMMYFUNCTION("GOOGLETRANSLATE(E112, ""en"", ""ur"")"),"کھلاڑی کی حفاظت اہم ہے، اور مختصر طبی امداد یا گھوڑے کی تبدیلی کی اجازت معیاری پروٹوکول ہے۔")</f>
        <v>کھلاڑی کی حفاظت اہم ہے، اور مختصر طبی امداد یا گھوڑے کی تبدیلی کی اجازت معیاری پروٹوکول ہے۔</v>
      </c>
    </row>
    <row r="113">
      <c r="A113" s="4">
        <v>112.0</v>
      </c>
      <c r="B113" s="5" t="s">
        <v>1567</v>
      </c>
      <c r="C113" s="5" t="s">
        <v>1568</v>
      </c>
      <c r="D113" s="5" t="s">
        <v>1569</v>
      </c>
      <c r="E113" s="5" t="s">
        <v>1570</v>
      </c>
      <c r="K113" s="6" t="str">
        <f>IFERROR(__xludf.DUMMYFUNCTION("GOOGLETRANSLATE(A113, ""en"", ""ur"")"),"112")</f>
        <v>112</v>
      </c>
      <c r="L113" s="6" t="str">
        <f>IFERROR(__xludf.DUMMYFUNCTION("GOOGLETRANSLATE(B113, ""en"", ""ur"")"),"ایک سوار کامیابی کے ساتھ لاش کو پکڑتا ہے اور ہدف کی طرف اپنا راستہ بنا رہا ہوتا ہے جب ٹیم A کا دوسرا سوار غیر ارادی طور پر ان کا راستہ روکتا ہے۔ ریفری کو کیا فیصلہ کرنا چاہئے؟")</f>
        <v>ایک سوار کامیابی کے ساتھ لاش کو پکڑتا ہے اور ہدف کی طرف اپنا راستہ بنا رہا ہوتا ہے جب ٹیم A کا دوسرا سوار غیر ارادی طور پر ان کا راستہ روکتا ہے۔ ریفری کو کیا فیصلہ کرنا چاہئے؟</v>
      </c>
      <c r="M113" s="6" t="str">
        <f>IFERROR(__xludf.DUMMYFUNCTION("GOOGLETRANSLATE(C113, ""en"", ""ur"")"),"A) بغیر کسی جرمانے کے کھیل کو جاری رکھنے کی اجازت دیں، B) لاش کو دوبارہ ترتیب دیں، C) بلاک کیے جانے والے سوار کو مفت پاس دیں، D) روکے جانے والے سوار کو کھیل میں رکاوٹ ڈالنے پر سزا دیں۔")</f>
        <v>A) بغیر کسی جرمانے کے کھیل کو جاری رکھنے کی اجازت دیں، B) لاش کو دوبارہ ترتیب دیں، C) بلاک کیے جانے والے سوار کو مفت پاس دیں، D) روکے جانے والے سوار کو کھیل میں رکاوٹ ڈالنے پر سزا دیں۔</v>
      </c>
      <c r="N113" s="6" t="str">
        <f>IFERROR(__xludf.DUMMYFUNCTION("GOOGLETRANSLATE(D113, ""en"", ""ur"")"),"A) بغیر کسی جرمانے کے کھیل کو جاری رکھنے کی اجازت دیں۔")</f>
        <v>A) بغیر کسی جرمانے کے کھیل کو جاری رکھنے کی اجازت دیں۔</v>
      </c>
      <c r="O113" s="6" t="str">
        <f>IFERROR(__xludf.DUMMYFUNCTION("GOOGLETRANSLATE(E113, ""en"", ""ur"")"),"غیر ارادی رکاوٹیں عام طور پر جرمانے کی ضمانت نہیں دیتی ہیں جب تک کہ رکاوٹ جان بوجھ کر یا انتہائی نہ ہو۔")</f>
        <v>غیر ارادی رکاوٹیں عام طور پر جرمانے کی ضمانت نہیں دیتی ہیں جب تک کہ رکاوٹ جان بوجھ کر یا انتہائی نہ ہو۔</v>
      </c>
    </row>
    <row r="114">
      <c r="A114" s="4">
        <v>113.0</v>
      </c>
      <c r="B114" s="5" t="s">
        <v>1571</v>
      </c>
      <c r="C114" s="5" t="s">
        <v>1572</v>
      </c>
      <c r="D114" s="5" t="s">
        <v>1573</v>
      </c>
      <c r="E114" s="5" t="s">
        <v>1574</v>
      </c>
      <c r="K114" s="6" t="str">
        <f>IFERROR(__xludf.DUMMYFUNCTION("GOOGLETRANSLATE(A114, ""en"", ""ur"")"),"113")</f>
        <v>113</v>
      </c>
      <c r="L114" s="6" t="str">
        <f>IFERROR(__xludf.DUMMYFUNCTION("GOOGLETRANSLATE(B114, ""en"", ""ur"")"),"ایک مقامی بزکشی گیم میں، مخالف ٹیموں کے دو سوار لاش کو اپنے قبضے میں لینے کے لیے مٹھی بھر لڑائی میں پڑ جاتے ہیں۔ ریفری کو کیا کرنا چاہیے؟")</f>
        <v>ایک مقامی بزکشی گیم میں، مخالف ٹیموں کے دو سوار لاش کو اپنے قبضے میں لینے کے لیے مٹھی بھر لڑائی میں پڑ جاتے ہیں۔ ریفری کو کیا کرنا چاہیے؟</v>
      </c>
      <c r="M114" s="6" t="str">
        <f>IFERROR(__xludf.DUMMYFUNCTION("GOOGLETRANSLATE(C114, ""en"", ""ur"")"),"A) سواروں کو الگ کریں اور دونوں کو وارننگ جاری کریں، B) دونوں سواروں کو میچ سے نااہل قرار دیں، C) میچ کو روکیں اور ڈی ایسکلیشن کے لیے وقت دیں، D) مزید کارروائی کے بغیر میچ جاری رکھیں")</f>
        <v>A) سواروں کو الگ کریں اور دونوں کو وارننگ جاری کریں، B) دونوں سواروں کو میچ سے نااہل قرار دیں، C) میچ کو روکیں اور ڈی ایسکلیشن کے لیے وقت دیں، D) مزید کارروائی کے بغیر میچ جاری رکھیں</v>
      </c>
      <c r="N114" s="6" t="str">
        <f>IFERROR(__xludf.DUMMYFUNCTION("GOOGLETRANSLATE(D114, ""en"", ""ur"")"),"A) سواروں کو الگ کریں اور دونوں کو وارننگ جاری کریں، B) دونوں سواروں کو میچ سے نااہل قرار دیں۔")</f>
        <v>A) سواروں کو الگ کریں اور دونوں کو وارننگ جاری کریں، B) دونوں سواروں کو میچ سے نااہل قرار دیں۔</v>
      </c>
      <c r="O114" s="6" t="str">
        <f>IFERROR(__xludf.DUMMYFUNCTION("GOOGLETRANSLATE(E114, ""en"", ""ur"")"),"جسمانی تشدد ممنوع ہے اور منصفانہ کھیل کو برقرار رکھنے کے لیے اس کے مطابق سزا دی جانی چاہیے۔")</f>
        <v>جسمانی تشدد ممنوع ہے اور منصفانہ کھیل کو برقرار رکھنے کے لیے اس کے مطابق سزا دی جانی چاہیے۔</v>
      </c>
    </row>
    <row r="115">
      <c r="A115" s="4">
        <v>114.0</v>
      </c>
      <c r="B115" s="5" t="s">
        <v>1575</v>
      </c>
      <c r="C115" s="5" t="s">
        <v>1576</v>
      </c>
      <c r="D115" s="5" t="s">
        <v>1577</v>
      </c>
      <c r="E115" s="5" t="s">
        <v>1578</v>
      </c>
      <c r="K115" s="6" t="str">
        <f>IFERROR(__xludf.DUMMYFUNCTION("GOOGLETRANSLATE(A115, ""en"", ""ur"")"),"114")</f>
        <v>114</v>
      </c>
      <c r="L115" s="6" t="str">
        <f>IFERROR(__xludf.DUMMYFUNCTION("GOOGLETRANSLATE(B115, ""en"", ""ur"")"),"ٹیم A کا ایک سوار بہت جارحانہ انداز میں سواری کرتا ہے اور دوسرے سوار کو اپنے گھوڑے سے گرا دیتا ہے۔ ریفری کا فیصلہ کیا ہونا چاہیے؟")</f>
        <v>ٹیم A کا ایک سوار بہت جارحانہ انداز میں سواری کرتا ہے اور دوسرے سوار کو اپنے گھوڑے سے گرا دیتا ہے۔ ریفری کا فیصلہ کیا ہونا چاہیے؟</v>
      </c>
      <c r="M115" s="6" t="str">
        <f>IFERROR(__xludf.DUMMYFUNCTION("GOOGLETRANSLATE(C115, ""en"", ""ur"")"),"A) خلاف ورزی کرنے والے سوار کو پیلا کارڈ جاری کریں، B) رائیڈر کو غیر کھیلوں کے طرز عمل پر نااہل قرار دیں، C) ٹیم B کو مفت قبضہ دے کر ٹیم A کو سزا دیں، D) میچ کو جاری رہنے دیں کیونکہ کوئی شدید چوٹ نہیں آئی")</f>
        <v>A) خلاف ورزی کرنے والے سوار کو پیلا کارڈ جاری کریں، B) رائیڈر کو غیر کھیلوں کے طرز عمل پر نااہل قرار دیں، C) ٹیم B کو مفت قبضہ دے کر ٹیم A کو سزا دیں، D) میچ کو جاری رہنے دیں کیونکہ کوئی شدید چوٹ نہیں آئی</v>
      </c>
      <c r="N115" s="6" t="str">
        <f>IFERROR(__xludf.DUMMYFUNCTION("GOOGLETRANSLATE(D115, ""en"", ""ur"")"),"A) مجرم سوار کو پیلا کارڈ جاری کریں، C) ٹیم B کو مفت قبضہ دے کر ٹیم A کو سزا دیں۔")</f>
        <v>A) مجرم سوار کو پیلا کارڈ جاری کریں، C) ٹیم B کو مفت قبضہ دے کر ٹیم A کو سزا دیں۔</v>
      </c>
      <c r="O115" s="6" t="str">
        <f>IFERROR(__xludf.DUMMYFUNCTION("GOOGLETRANSLATE(E115, ""en"", ""ur"")"),"حفاظت اور منصفانہ مسابقت کو یقینی بنانے کے لیے جارحانہ حربوں پر جرمانہ عائد کیا جانا چاہیے۔")</f>
        <v>حفاظت اور منصفانہ مسابقت کو یقینی بنانے کے لیے جارحانہ حربوں پر جرمانہ عائد کیا جانا چاہیے۔</v>
      </c>
    </row>
    <row r="116">
      <c r="A116" s="4">
        <v>115.0</v>
      </c>
      <c r="B116" s="5" t="s">
        <v>1579</v>
      </c>
      <c r="C116" s="5" t="s">
        <v>1580</v>
      </c>
      <c r="D116" s="5" t="s">
        <v>1581</v>
      </c>
      <c r="E116" s="5" t="s">
        <v>1582</v>
      </c>
      <c r="K116" s="6" t="str">
        <f>IFERROR(__xludf.DUMMYFUNCTION("GOOGLETRANSLATE(A116, ""en"", ""ur"")"),"115")</f>
        <v>115</v>
      </c>
      <c r="L116" s="6" t="str">
        <f>IFERROR(__xludf.DUMMYFUNCTION("GOOGLETRANSLATE(B116, ""en"", ""ur"")"),"ٹیم A کا ایک سوار لاش کو پکڑتا ہے اور گول کی طرف بڑھ رہا ہے جب اسے اپنے گھوڑے کا استعمال کرتے ہوئے مخالف کے ذریعہ روکا جاتا ہے۔ ریفری کو کیا کرنا چاہیے؟")</f>
        <v>ٹیم A کا ایک سوار لاش کو پکڑتا ہے اور گول کی طرف بڑھ رہا ہے جب اسے اپنے گھوڑے کا استعمال کرتے ہوئے مخالف کے ذریعہ روکا جاتا ہے۔ ریفری کو کیا کرنا چاہیے؟</v>
      </c>
      <c r="M116" s="6" t="str">
        <f>IFERROR(__xludf.DUMMYFUNCTION("GOOGLETRANSLATE(C116, ""en"", ""ur"")"),"A) بلاک کو اجازت دیں کیونکہ یہ گیم کا حصہ ہے، B) سوار کو غیر منصفانہ بلاک کرنے پر سزا دیں، C) ٹیم A کو مفت قبضہ دیں، D) میچ روکیں اور لاش کو دوبارہ ترتیب دیں۔")</f>
        <v>A) بلاک کو اجازت دیں کیونکہ یہ گیم کا حصہ ہے، B) سوار کو غیر منصفانہ بلاک کرنے پر سزا دیں، C) ٹیم A کو مفت قبضہ دیں، D) میچ روکیں اور لاش کو دوبارہ ترتیب دیں۔</v>
      </c>
      <c r="N116" s="6" t="str">
        <f>IFERROR(__xludf.DUMMYFUNCTION("GOOGLETRANSLATE(D116, ""en"", ""ur"")"),"B) سوار کو غیر منصفانہ بلاک کرنے پر سزا دیں، C) ٹیم A کو مفت قبضہ دیں")</f>
        <v>B) سوار کو غیر منصفانہ بلاک کرنے پر سزا دیں، C) ٹیم A کو مفت قبضہ دیں</v>
      </c>
      <c r="O116" s="6" t="str">
        <f>IFERROR(__xludf.DUMMYFUNCTION("GOOGLETRANSLATE(E116, ""en"", ""ur"")"),"گھوڑے کے ساتھ روکنے کی اجازت ہے، لیکن حد سے زیادہ جارحانہ یا رکاوٹ والے انداز میں نہیں۔ غیر منصفانہ طرز عمل پر جرمانہ جاری کیا جاتا ہے۔")</f>
        <v>گھوڑے کے ساتھ روکنے کی اجازت ہے، لیکن حد سے زیادہ جارحانہ یا رکاوٹ والے انداز میں نہیں۔ غیر منصفانہ طرز عمل پر جرمانہ جاری کیا جاتا ہے۔</v>
      </c>
    </row>
    <row r="117">
      <c r="A117" s="4">
        <v>116.0</v>
      </c>
      <c r="B117" s="5" t="s">
        <v>1587</v>
      </c>
      <c r="C117" s="5" t="s">
        <v>1588</v>
      </c>
      <c r="D117" s="5" t="s">
        <v>1589</v>
      </c>
      <c r="E117" s="5" t="s">
        <v>1590</v>
      </c>
      <c r="K117" s="6" t="str">
        <f>IFERROR(__xludf.DUMMYFUNCTION("GOOGLETRANSLATE(A117, ""en"", ""ur"")"),"116")</f>
        <v>116</v>
      </c>
      <c r="L117" s="6" t="str">
        <f>IFERROR(__xludf.DUMMYFUNCTION("GOOGLETRANSLATE(B117, ""en"", ""ur"")"),"بزکشی میچ کے دوران، ٹیم A کے پاس ایک سوار ہے جو بہت تیز ہے لیکن لاش کو سنبھالنے میں ناتجربہ کار ہے۔ ٹیم A اس سوار کا بہترین استعمال کیسے کر سکتی ہے؟")</f>
        <v>بزکشی میچ کے دوران، ٹیم A کے پاس ایک سوار ہے جو بہت تیز ہے لیکن لاش کو سنبھالنے میں ناتجربہ کار ہے۔ ٹیم A اس سوار کا بہترین استعمال کیسے کر سکتی ہے؟</v>
      </c>
      <c r="M117" s="6" t="str">
        <f>IFERROR(__xludf.DUMMYFUNCTION("GOOGLETRANSLATE(C117, ""en"", ""ur"")"),"A) انہیں تیز رفتاری اور مخالفوں کی توجہ ہٹانے پر توجہ دلائیں، B) گول دائرے کی حفاظت کے لیے انہیں تفویض کریں، C) انہیں آسان، کم مقابلہ والے حالات میں لاش کو سنبھالنے دیں، D) ان کا استعمال کریں جب کوئی اور ساتھی لاش کو پکڑ لے۔")</f>
        <v>A) انہیں تیز رفتاری اور مخالفوں کی توجہ ہٹانے پر توجہ دلائیں، B) گول دائرے کی حفاظت کے لیے انہیں تفویض کریں، C) انہیں آسان، کم مقابلہ والے حالات میں لاش کو سنبھالنے دیں، D) ان کا استعمال کریں جب کوئی اور ساتھی لاش کو پکڑ لے۔</v>
      </c>
      <c r="N117" s="6" t="str">
        <f>IFERROR(__xludf.DUMMYFUNCTION("GOOGLETRANSLATE(D117, ""en"", ""ur"")"),"A) انہیں تیز رفتاری اور مخالفین کی توجہ ہٹانے پر توجہ دلائیں، D) ان کا استعمال ایک دھوکے کے طور پر کریں جب کہ ایک اور ساتھی لاش کو پکڑ لے")</f>
        <v>A) انہیں تیز رفتاری اور مخالفین کی توجہ ہٹانے پر توجہ دلائیں، D) ان کا استعمال ایک دھوکے کے طور پر کریں جب کہ ایک اور ساتھی لاش کو پکڑ لے</v>
      </c>
      <c r="O117" s="6" t="str">
        <f>IFERROR(__xludf.DUMMYFUNCTION("GOOGLETRANSLATE(E117, ""en"", ""ur"")"),"ایک تیز سوار کا استعمال مخالف ٹیم کو پریشان یا الجھا کر ٹیم کے ساتھیوں کے لیے مواقع پیدا کرنے کے لیے کیا جا سکتا ہے۔")</f>
        <v>ایک تیز سوار کا استعمال مخالف ٹیم کو پریشان یا الجھا کر ٹیم کے ساتھیوں کے لیے مواقع پیدا کرنے کے لیے کیا جا سکتا ہے۔</v>
      </c>
    </row>
    <row r="118">
      <c r="A118" s="4">
        <v>117.0</v>
      </c>
      <c r="B118" s="5" t="s">
        <v>1591</v>
      </c>
      <c r="C118" s="5" t="s">
        <v>1592</v>
      </c>
      <c r="D118" s="5" t="s">
        <v>1593</v>
      </c>
      <c r="E118" s="5" t="s">
        <v>1594</v>
      </c>
      <c r="K118" s="6" t="str">
        <f>IFERROR(__xludf.DUMMYFUNCTION("GOOGLETRANSLATE(A118, ""en"", ""ur"")"),"117")</f>
        <v>117</v>
      </c>
      <c r="L118" s="6" t="str">
        <f>IFERROR(__xludf.DUMMYFUNCTION("GOOGLETRANSLATE(B118, ""en"", ""ur"")"),"ریفری لاش کو چرانے کی کوشش کرتے وقت ضرورت سے زیادہ طاقت کے لئے ٹیم A کے سوار کے خلاف فاؤل کا اشارہ کرتا ہے۔ ممکنہ سزا کیا ہے؟")</f>
        <v>ریفری لاش کو چرانے کی کوشش کرتے وقت ضرورت سے زیادہ طاقت کے لئے ٹیم A کے سوار کے خلاف فاؤل کا اشارہ کرتا ہے۔ ممکنہ سزا کیا ہے؟</v>
      </c>
      <c r="M118" s="6" t="str">
        <f>IFERROR(__xludf.DUMMYFUNCTION("GOOGLETRANSLATE(C118, ""en"", ""ur"")"),"A) ٹیم B کو دیا گیا ایک پوائنٹ، B) ٹیم A لاش کا قبضہ کھو دیتی ہے، C) ٹیم A کو جاری کردہ وارننگ، D) ٹیم B کو مفت قبضہ دیا گیا")</f>
        <v>A) ٹیم B کو دیا گیا ایک پوائنٹ، B) ٹیم A لاش کا قبضہ کھو دیتی ہے، C) ٹیم A کو جاری کردہ وارننگ، D) ٹیم B کو مفت قبضہ دیا گیا</v>
      </c>
      <c r="N118" s="6" t="str">
        <f>IFERROR(__xludf.DUMMYFUNCTION("GOOGLETRANSLATE(D118, ""en"", ""ur"")"),"B) ٹیم A لاش کا قبضہ کھو دیتی ہے، D) ایک مفت قبضہ ٹیم B کو دیا گیا")</f>
        <v>B) ٹیم A لاش کا قبضہ کھو دیتی ہے، D) ایک مفت قبضہ ٹیم B کو دیا گیا</v>
      </c>
      <c r="O118" s="6" t="str">
        <f>IFERROR(__xludf.DUMMYFUNCTION("GOOGLETRANSLATE(E118, ""en"", ""ur"")"),"ضرورت سے زیادہ طاقت کے استعمال کے نتیجے میں قبضہ ختم ہوسکتا ہے، اور مخالف ٹیم فائدہ اٹھا سکتی ہے۔")</f>
        <v>ضرورت سے زیادہ طاقت کے استعمال کے نتیجے میں قبضہ ختم ہوسکتا ہے، اور مخالف ٹیم فائدہ اٹھا سکتی ہے۔</v>
      </c>
    </row>
    <row r="119">
      <c r="A119" s="4">
        <v>118.0</v>
      </c>
      <c r="B119" s="5" t="s">
        <v>1599</v>
      </c>
      <c r="C119" s="5" t="s">
        <v>1600</v>
      </c>
      <c r="D119" s="5" t="s">
        <v>1601</v>
      </c>
      <c r="E119" s="5" t="s">
        <v>1602</v>
      </c>
      <c r="K119" s="6" t="str">
        <f>IFERROR(__xludf.DUMMYFUNCTION("GOOGLETRANSLATE(A119, ""en"", ""ur"")"),"118")</f>
        <v>118</v>
      </c>
      <c r="L119" s="6" t="str">
        <f>IFERROR(__xludf.DUMMYFUNCTION("GOOGLETRANSLATE(B119, ""en"", ""ur"")"),"میچ کے دوران ایک تماشائی میدان میں بھاگتا ہے، جس سے عارضی افراتفری مچ جاتی ہے۔ مناسب کارروائی کیا ہے؟")</f>
        <v>میچ کے دوران ایک تماشائی میدان میں بھاگتا ہے، جس سے عارضی افراتفری مچ جاتی ہے۔ مناسب کارروائی کیا ہے؟</v>
      </c>
      <c r="M119" s="6" t="str">
        <f>IFERROR(__xludf.DUMMYFUNCTION("GOOGLETRANSLATE(C119, ""en"", ""ur"")"),"A) تماشائی کو ہٹانے تک میچ کو روکیں، B) میچ کو جاری رکھیں اور رکاوٹ کو نظر انداز کریں، C) میچ کو آخری قبضے سے دوبارہ شروع کریں، D) تماشائی کی حمایت کرنے والی ٹیم کو جرمانہ کریں۔")</f>
        <v>A) تماشائی کو ہٹانے تک میچ کو روکیں، B) میچ کو جاری رکھیں اور رکاوٹ کو نظر انداز کریں، C) میچ کو آخری قبضے سے دوبارہ شروع کریں، D) تماشائی کی حمایت کرنے والی ٹیم کو جرمانہ کریں۔</v>
      </c>
      <c r="N119" s="6" t="str">
        <f>IFERROR(__xludf.DUMMYFUNCTION("GOOGLETRANSLATE(D119, ""en"", ""ur"")"),"A) تماشائی کو ہٹانے تک میچ روک دیں۔")</f>
        <v>A) تماشائی کو ہٹانے تک میچ روک دیں۔</v>
      </c>
      <c r="O119" s="6" t="str">
        <f>IFERROR(__xludf.DUMMYFUNCTION("GOOGLETRANSLATE(E119, ""en"", ""ur"")"),"کھلاڑیوں کی حفاظت اور کھیل کی سالمیت کو یقینی بنانے کے لیے تماشائیوں کی مداخلت پر فوری توجہ دی جانی چاہیے۔")</f>
        <v>کھلاڑیوں کی حفاظت اور کھیل کی سالمیت کو یقینی بنانے کے لیے تماشائیوں کی مداخلت پر فوری توجہ دی جانی چاہیے۔</v>
      </c>
    </row>
    <row r="120">
      <c r="A120" s="4">
        <v>119.0</v>
      </c>
      <c r="B120" s="5" t="s">
        <v>2766</v>
      </c>
      <c r="C120" s="5" t="s">
        <v>2767</v>
      </c>
      <c r="D120" s="5" t="s">
        <v>2768</v>
      </c>
      <c r="E120" s="5" t="s">
        <v>2769</v>
      </c>
      <c r="K120" s="6" t="str">
        <f>IFERROR(__xludf.DUMMYFUNCTION("GOOGLETRANSLATE(A120, ""en"", ""ur"")"),"119")</f>
        <v>119</v>
      </c>
      <c r="L120" s="6" t="str">
        <f>IFERROR(__xludf.DUMMYFUNCTION("GOOGLETRANSLATE(B120, ""en"", ""ur"")"),"بزکشی میچ کے دوران، لاش باؤنڈری لائن کے قریب گرتی ہے۔ اگر یہ حد سے تجاوز کر جائے تو کیا ہوگا؟")</f>
        <v>بزکشی میچ کے دوران، لاش باؤنڈری لائن کے قریب گرتی ہے۔ اگر یہ حد سے تجاوز کر جائے تو کیا ہوگا؟</v>
      </c>
      <c r="M120" s="6" t="str">
        <f>IFERROR(__xludf.DUMMYFUNCTION("GOOGLETRANSLATE(C120, ""en"", ""ur"")"),"A) لاش کے ساتھ کھیل جاری رہتا ہے، B) لاش کو ابتدائی مقام پر دوبارہ ترتیب دیا جاتا ہے، C) مخالف ٹیم کو قبضہ مل جاتا ہے، D) ریفری میچ کو روک دیتا ہے۔")</f>
        <v>A) لاش کے ساتھ کھیل جاری رہتا ہے، B) لاش کو ابتدائی مقام پر دوبارہ ترتیب دیا جاتا ہے، C) مخالف ٹیم کو قبضہ مل جاتا ہے، D) ریفری میچ کو روک دیتا ہے۔</v>
      </c>
      <c r="N120" s="6" t="str">
        <f>IFERROR(__xludf.DUMMYFUNCTION("GOOGLETRANSLATE(D120, ""en"", ""ur"")"),"ب) لاش کو ابتدائی نقطہ پر دوبارہ ترتیب دیا گیا ہے۔")</f>
        <v>ب) لاش کو ابتدائی نقطہ پر دوبارہ ترتیب دیا گیا ہے۔</v>
      </c>
      <c r="O120" s="6" t="str">
        <f>IFERROR(__xludf.DUMMYFUNCTION("GOOGLETRANSLATE(E120, ""en"", ""ur"")"),"جب لاش حد سے گزر جاتی ہے، تو اسے گیم پلے میں انصاف برقرار رکھنے کے لیے دوبارہ ترتیب دیا جاتا ہے۔")</f>
        <v>جب لاش حد سے گزر جاتی ہے، تو اسے گیم پلے میں انصاف برقرار رکھنے کے لیے دوبارہ ترتیب دیا جاتا ہے۔</v>
      </c>
    </row>
    <row r="121">
      <c r="A121" s="4">
        <v>120.0</v>
      </c>
      <c r="B121" s="5" t="s">
        <v>2770</v>
      </c>
      <c r="C121" s="5" t="s">
        <v>2771</v>
      </c>
      <c r="D121" s="5" t="s">
        <v>2772</v>
      </c>
      <c r="E121" s="5" t="s">
        <v>2773</v>
      </c>
      <c r="K121" s="6" t="str">
        <f>IFERROR(__xludf.DUMMYFUNCTION("GOOGLETRANSLATE(A121, ""en"", ""ur"")"),"120")</f>
        <v>120</v>
      </c>
      <c r="L121" s="6" t="str">
        <f>IFERROR(__xludf.DUMMYFUNCTION("GOOGLETRANSLATE(B121, ""en"", ""ur"")"),"ایک سوار مخالفین سے بچتے ہوئے اتفاقی طور پر لاش کو گرا دیتا ہے اور کچھ ہی لمحوں بعد دوبارہ قبضہ حاصل کر لیتا ہے۔ کیا حکم لاگو ہوتا ہے؟")</f>
        <v>ایک سوار مخالفین سے بچتے ہوئے اتفاقی طور پر لاش کو گرا دیتا ہے اور کچھ ہی لمحوں بعد دوبارہ قبضہ حاصل کر لیتا ہے۔ کیا حکم لاگو ہوتا ہے؟</v>
      </c>
      <c r="M121" s="6" t="str">
        <f>IFERROR(__xludf.DUMMYFUNCTION("GOOGLETRANSLATE(C121, ""en"", ""ur"")"),"A) لاش کو ابتدائی نقطہ پر دوبارہ ترتیب دینا ضروری ہے، B) کھیل اس وقت تک جاری رہتا ہے جب تک کوئی غلط واقعہ نہ ہو، C) مخالف ٹیم خود بخود قبضہ حاصل کر لیتی ہے، D) سوار کو قبضہ کھونے پر سزا دی جاتی ہے۔")</f>
        <v>A) لاش کو ابتدائی نقطہ پر دوبارہ ترتیب دینا ضروری ہے، B) کھیل اس وقت تک جاری رہتا ہے جب تک کوئی غلط واقعہ نہ ہو، C) مخالف ٹیم خود بخود قبضہ حاصل کر لیتی ہے، D) سوار کو قبضہ کھونے پر سزا دی جاتی ہے۔</v>
      </c>
      <c r="N121" s="6" t="str">
        <f>IFERROR(__xludf.DUMMYFUNCTION("GOOGLETRANSLATE(D121, ""en"", ""ur"")"),"ب) کھیل اس وقت تک جاری رہتا ہے جب تک کوئی فاؤل نہ ہو۔")</f>
        <v>ب) کھیل اس وقت تک جاری رہتا ہے جب تک کوئی فاؤل نہ ہو۔</v>
      </c>
      <c r="O121" s="6" t="str">
        <f>IFERROR(__xludf.DUMMYFUNCTION("GOOGLETRANSLATE(E121, ""en"", ""ur"")"),"قبضہ صرف مخصوص حالات میں تبدیل ہوتا ہے، جیسے کہ فاؤل یا باؤنڈری کی خلاف ورزی۔")</f>
        <v>قبضہ صرف مخصوص حالات میں تبدیل ہوتا ہے، جیسے کہ فاؤل یا باؤنڈری کی خلاف ورزی۔</v>
      </c>
    </row>
    <row r="122">
      <c r="A122" s="4">
        <v>121.0</v>
      </c>
      <c r="B122" s="5" t="s">
        <v>1523</v>
      </c>
      <c r="C122" s="5" t="s">
        <v>1524</v>
      </c>
      <c r="D122" s="5" t="s">
        <v>1525</v>
      </c>
      <c r="E122" s="5" t="s">
        <v>1526</v>
      </c>
      <c r="K122" s="6" t="str">
        <f>IFERROR(__xludf.DUMMYFUNCTION("GOOGLETRANSLATE(A122, ""en"", ""ur"")"),"121")</f>
        <v>121</v>
      </c>
      <c r="L122" s="6" t="str">
        <f>IFERROR(__xludf.DUMMYFUNCTION("GOOGLETRANSLATE(B122, ""en"", ""ur"")"),"ٹیم A کا ایک سوار کامیابی سے لاش کو لے جاتا ہے اور گول دائرے کی طرف جاتا ہے، لیکن ٹیم B کا ایک مخالف اس کا راستہ کاٹ کر اس سے نمٹنے کی کوشش کرتا ہے۔ اس صورت حال سے نمٹنے کا بہترین طریقہ کیا ہے؟")</f>
        <v>ٹیم A کا ایک سوار کامیابی سے لاش کو لے جاتا ہے اور گول دائرے کی طرف جاتا ہے، لیکن ٹیم B کا ایک مخالف اس کا راستہ کاٹ کر اس سے نمٹنے کی کوشش کرتا ہے۔ اس صورت حال سے نمٹنے کا بہترین طریقہ کیا ہے؟</v>
      </c>
      <c r="M122" s="6" t="str">
        <f>IFERROR(__xludf.DUMMYFUNCTION("GOOGLETRANSLATE(C122, ""en"", ""ur"")"),"A) حریف کو چکمہ دینے کی کوشش کریں اور گول کی طرف بڑھتے رہیں، B) برتری برقرار رکھنے کے لیے گھوڑے کی رفتار کا استعمال کریں، C) مخالف کے ساتھ براہ راست تصادم میں مشغول ہوں، D) لاش کو دوسرے ساتھی کے پاس منتقل کریں۔")</f>
        <v>A) حریف کو چکمہ دینے کی کوشش کریں اور گول کی طرف بڑھتے رہیں، B) برتری برقرار رکھنے کے لیے گھوڑے کی رفتار کا استعمال کریں، C) مخالف کے ساتھ براہ راست تصادم میں مشغول ہوں، D) لاش کو دوسرے ساتھی کے پاس منتقل کریں۔</v>
      </c>
      <c r="N122" s="6" t="str">
        <f>IFERROR(__xludf.DUMMYFUNCTION("GOOGLETRANSLATE(D122, ""en"", ""ur"")"),"A) حریف کو چکمہ دینے کی کوشش کریں اور گول کی طرف بڑھتے رہیں، B) برتری برقرار رکھنے کے لیے گھوڑے کی رفتار کا استعمال کریں")</f>
        <v>A) حریف کو چکمہ دینے کی کوشش کریں اور گول کی طرف بڑھتے رہیں، B) برتری برقرار رکھنے کے لیے گھوڑے کی رفتار کا استعمال کریں</v>
      </c>
      <c r="O122" s="6" t="str">
        <f>IFERROR(__xludf.DUMMYFUNCTION("GOOGLETRANSLATE(E122, ""en"", ""ur"")"),"رفتار اور چستی ٹیکلز پر قابو پانے کی کلید ہیں، لیکن ٹیم کے ساتھی کو منتقل کرنا بھی ایک موثر حکمت عملی ہو سکتی ہے۔")</f>
        <v>رفتار اور چستی ٹیکلز پر قابو پانے کی کلید ہیں، لیکن ٹیم کے ساتھی کو منتقل کرنا بھی ایک موثر حکمت عملی ہو سکتی ہے۔</v>
      </c>
    </row>
    <row r="123">
      <c r="A123" s="4">
        <v>122.0</v>
      </c>
      <c r="B123" s="5" t="s">
        <v>1527</v>
      </c>
      <c r="C123" s="5" t="s">
        <v>1528</v>
      </c>
      <c r="D123" s="5" t="s">
        <v>1529</v>
      </c>
      <c r="E123" s="5" t="s">
        <v>1530</v>
      </c>
      <c r="K123" s="6" t="str">
        <f>IFERROR(__xludf.DUMMYFUNCTION("GOOGLETRANSLATE(A123, ""en"", ""ur"")"),"122")</f>
        <v>122</v>
      </c>
      <c r="L123" s="6" t="str">
        <f>IFERROR(__xludf.DUMMYFUNCTION("GOOGLETRANSLATE(B123, ""en"", ""ur"")"),"بزکشی میچ کے دوران سوار کا گھوڑا بے قابو ہو جاتا ہے اور غلط سمت میں دوڑنے لگتا ہے۔ اس صورت حال میں سوار کو کیا کرنا چاہیے؟")</f>
        <v>بزکشی میچ کے دوران سوار کا گھوڑا بے قابو ہو جاتا ہے اور غلط سمت میں دوڑنے لگتا ہے۔ اس صورت حال میں سوار کو کیا کرنا چاہیے؟</v>
      </c>
      <c r="M123" s="6" t="str">
        <f>IFERROR(__xludf.DUMMYFUNCTION("GOOGLETRANSLATE(C123, ""en"", ""ur"")"),"A)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f>
        <v>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v>
      </c>
      <c r="N123" s="6" t="str">
        <f>IFERROR(__xludf.DUMMYFUNCTION("GOOGLETRANSLATE(D123, ""en"", ""ur"")"),"ا) لگام کا استعمال کرکے گھوڑے پر دوبارہ کنٹرول حاصل کرنے کی کوشش کریں۔")</f>
        <v>ا) لگام کا استعمال کرکے گھوڑے پر دوبارہ کنٹرول حاصل کرنے کی کوشش کریں۔</v>
      </c>
      <c r="O123" s="6" t="str">
        <f>IFERROR(__xludf.DUMMYFUNCTION("GOOGLETRANSLATE(E123, ""en"", ""ur"")"),"سواروں کو اپنے گھوڑوں پر کنٹرول برقرار رکھنا چاہیے تاکہ ان کی حفاظت کو یقینی بنایا جا سکے اور اپنی ٹیم میں حصہ ڈالنا جاری رکھیں۔")</f>
        <v>سواروں کو اپنے گھوڑوں پر کنٹرول برقرار رکھنا چاہیے تاکہ ان کی حفاظت کو یقینی بنایا جا سکے اور اپنی ٹیم میں حصہ ڈالنا جاری رکھیں۔</v>
      </c>
    </row>
    <row r="124">
      <c r="A124" s="4">
        <v>123.0</v>
      </c>
      <c r="B124" s="5" t="s">
        <v>1531</v>
      </c>
      <c r="C124" s="5" t="s">
        <v>1532</v>
      </c>
      <c r="D124" s="5" t="s">
        <v>1533</v>
      </c>
      <c r="E124" s="5" t="s">
        <v>1534</v>
      </c>
      <c r="K124" s="6" t="str">
        <f>IFERROR(__xludf.DUMMYFUNCTION("GOOGLETRANSLATE(A124, ""en"", ""ur"")"),"123")</f>
        <v>123</v>
      </c>
      <c r="L124" s="6" t="str">
        <f>IFERROR(__xludf.DUMMYFUNCTION("GOOGLETRANSLATE(B124, ""en"", ""ur"")"),"ٹیم A کا ایک سوار ٹیم B کے متعدد سواروں کے ساتھ لاش کی لڑائی میں پھنس جاتا ہے۔ دوبارہ قبضہ حاصل کرنے کے لیے ٹیم کو کیا کرنا چاہیے؟")</f>
        <v>ٹیم A کا ایک سوار ٹیم B کے متعدد سواروں کے ساتھ لاش کی لڑائی میں پھنس جاتا ہے۔ دوبارہ قبضہ حاصل کرنے کے لیے ٹیم کو کیا کرنا چاہیے؟</v>
      </c>
      <c r="M124" s="6" t="str">
        <f>IFERROR(__xludf.DUMMYFUNCTION("GOOGLETRANSLATE(C124, ""en"", ""ur"")"),"A) لڑائی کو ختم کرکے جگہ بنانے پر توجہ مرکوز کریں، B) ٹیم کے ساتھی کو لاش چرانے کے لیے خلفشار کا فائدہ اٹھائیں، C) میچ روکنے کے لیے ریفری کو کال کریں، D) صورتحال کے پرسکون ہونے کا انتظار کریں اور پھر آگے بڑھیں۔")</f>
        <v>A) لڑائی کو ختم کرکے جگہ بنانے پر توجہ مرکوز کریں، B) ٹیم کے ساتھی کو لاش چرانے کے لیے خلفشار کا فائدہ اٹھائیں، C) میچ روکنے کے لیے ریفری کو کال کریں، D) صورتحال کے پرسکون ہونے کا انتظار کریں اور پھر آگے بڑھیں۔</v>
      </c>
      <c r="N124" s="6" t="str">
        <f>IFERROR(__xludf.DUMMYFUNCTION("GOOGLETRANSLATE(D124, ""en"", ""ur"")"),"A) لڑائی کو ختم کرکے جگہ بنانے پر توجہ مرکوز کریں، B) ٹیم کے ساتھی کو لاش چرانے کے لیے خلفشار کا فائدہ اٹھانے کو کہیں۔")</f>
        <v>A) لڑائی کو ختم کرکے جگہ بنانے پر توجہ مرکوز کریں، B) ٹیم کے ساتھی کو لاش چرانے کے لیے خلفشار کا فائدہ اٹھانے کو کہیں۔</v>
      </c>
      <c r="O124" s="6" t="str">
        <f>IFERROR(__xludf.DUMMYFUNCTION("GOOGLETRANSLATE(E124, ""en"", ""ur"")"),"لڑائی جیسے خلفشار توجہ کو منتقل کرنے اور قبضہ حاصل کرنے کے مواقع فراہم کرتے ہیں۔")</f>
        <v>لڑائی جیسے خلفشار توجہ کو منتقل کرنے اور قبضہ حاصل کرنے کے مواقع فراہم کرتے ہیں۔</v>
      </c>
    </row>
    <row r="125">
      <c r="A125" s="4">
        <v>124.0</v>
      </c>
      <c r="B125" s="5" t="s">
        <v>1535</v>
      </c>
      <c r="C125" s="5" t="s">
        <v>1536</v>
      </c>
      <c r="D125" s="5" t="s">
        <v>1537</v>
      </c>
      <c r="E125" s="5" t="s">
        <v>1538</v>
      </c>
      <c r="K125" s="6" t="str">
        <f>IFERROR(__xludf.DUMMYFUNCTION("GOOGLETRANSLATE(A125, ""en"", ""ur"")"),"124")</f>
        <v>124</v>
      </c>
      <c r="L125" s="6" t="str">
        <f>IFERROR(__xludf.DUMMYFUNCTION("GOOGLETRANSLATE(B125, ""en"", ""ur"")"),"ایک سوار کامیابی کے ساتھ لاش کو گول کے دائرے میں رکھتا ہے، لیکن ریفری غلط اشارہ کرتا ہے کیونکہ سوار کا گھوڑا گول کے علاقے سے باہر نکل گیا تھا۔ مناسب جواب کیا ہے؟")</f>
        <v>ایک سوار کامیابی کے ساتھ لاش کو گول کے دائرے میں رکھتا ہے، لیکن ریفری غلط اشارہ کرتا ہے کیونکہ سوار کا گھوڑا گول کے علاقے سے باہر نکل گیا تھا۔ مناسب جواب کیا ہے؟</v>
      </c>
      <c r="M125" s="6" t="str">
        <f>IFERROR(__xludf.DUMMYFUNCTION("GOOGLETRANSLATE(C125, ""en"", ""ur"")"),"A) ٹیم A کو پوائنٹ دیں، B) پوائنٹ کو نامنظور کریں اور گیم کو دوبارہ ترتیب دیں، C) سوار کو سزا دیں، D) مرکز سے کھیل دوبارہ شروع کریں")</f>
        <v>A) ٹیم A کو پوائنٹ دیں، B) پوائنٹ کو نامنظور کریں اور گیم کو دوبارہ ترتیب دیں، C) سوار کو سزا دیں، D) مرکز سے کھیل دوبارہ شروع کریں</v>
      </c>
      <c r="N125" s="6" t="str">
        <f>IFERROR(__xludf.DUMMYFUNCTION("GOOGLETRANSLATE(D125, ""en"", ""ur"")"),"ب) پوائنٹ کی اجازت نہ دیں اور گیم کو ری سیٹ کریں، سی) سوار کو سزا دیں۔")</f>
        <v>ب) پوائنٹ کی اجازت نہ دیں اور گیم کو ری سیٹ کریں، سی) سوار کو سزا دیں۔</v>
      </c>
      <c r="O125" s="6" t="str">
        <f>IFERROR(__xludf.DUMMYFUNCTION("GOOGLETRANSLATE(E125, ""en"", ""ur"")"),"ایک گول صرف اس صورت میں درست ہے جب سوار اور گھوڑا مقررہ ہدف کے علاقے میں رہیں۔")</f>
        <v>ایک گول صرف اس صورت میں درست ہے جب سوار اور گھوڑا مقررہ ہدف کے علاقے میں رہیں۔</v>
      </c>
    </row>
    <row r="126">
      <c r="A126" s="4">
        <v>125.0</v>
      </c>
      <c r="B126" s="5" t="s">
        <v>1539</v>
      </c>
      <c r="C126" s="5" t="s">
        <v>1540</v>
      </c>
      <c r="D126" s="5" t="s">
        <v>1541</v>
      </c>
      <c r="E126" s="5" t="s">
        <v>1542</v>
      </c>
      <c r="K126" s="6" t="str">
        <f>IFERROR(__xludf.DUMMYFUNCTION("GOOGLETRANSLATE(A126, ""en"", ""ur"")"),"125")</f>
        <v>125</v>
      </c>
      <c r="L126" s="6" t="str">
        <f>IFERROR(__xludf.DUMMYFUNCTION("GOOGLETRANSLATE(B126, ""en"", ""ur"")"),"بزکشی میچ کے آخری لمحات کے دوران، ٹیم A برتری میں ہے، اور ٹیم B گول کے دائرے کو روکنے کے لیے دفاعی حکمت عملی استعمال کر رہی ہے۔ اس دفاع کا مقابلہ کرنے کے لیے ٹیم اے کو کیا کرنا چاہیے؟")</f>
        <v>بزکشی میچ کے آخری لمحات کے دوران، ٹیم A برتری میں ہے، اور ٹیم B گول کے دائرے کو روکنے کے لیے دفاعی حکمت عملی استعمال کر رہی ہے۔ اس دفاع کا مقابلہ کرنے کے لیے ٹیم اے کو کیا کرنا چاہیے؟</v>
      </c>
      <c r="M126" s="6" t="str">
        <f>IFERROR(__xludf.DUMMYFUNCTION("GOOGLETRANSLATE(C126, ""en"", ""ur"")"),"A)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انتظار"&amp;" کریں۔")</f>
        <v>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 کریں۔</v>
      </c>
      <c r="N126" s="6" t="str">
        <f>IFERROR(__xludf.DUMMYFUNCTION("GOOGLETRANSLATE(D126, ""en"", ""ur"")"),"A) دفاع کو توڑنے کے لئے ان کے جارحانہ دباؤ میں اضافہ کریں، C) گول کے قریب ٹیم کے ساتھی کو طویل فاصلے تک پاس کی کوشش کریں")</f>
        <v>A) دفاع کو توڑنے کے لئے ان کے جارحانہ دباؤ میں اضافہ کریں، C) گول کے قریب ٹیم کے ساتھی کو طویل فاصلے تک پاس کی کوشش کریں</v>
      </c>
      <c r="O126" s="6" t="str">
        <f>IFERROR(__xludf.DUMMYFUNCTION("GOOGLETRANSLATE(E126, ""en"", ""ur"")"),"دفاعی حکمت عملیوں کا مقابلہ کرنے کے لیے دفاع کو آگے بڑھانے کے لیے فوری، فیصلہ کن اقدامات کی ضرورت ہوتی ہے۔")</f>
        <v>دفاعی حکمت عملیوں کا مقابلہ کرنے کے لیے دفاع کو آگے بڑھانے کے لیے فوری، فیصلہ کن اقدامات کی ضرورت ہوتی ہے۔</v>
      </c>
    </row>
    <row r="127">
      <c r="A127" s="4">
        <v>126.0</v>
      </c>
      <c r="B127" s="5" t="s">
        <v>1543</v>
      </c>
      <c r="C127" s="5" t="s">
        <v>1544</v>
      </c>
      <c r="D127" s="5" t="s">
        <v>1545</v>
      </c>
      <c r="E127" s="5" t="s">
        <v>1546</v>
      </c>
      <c r="K127" s="6" t="str">
        <f>IFERROR(__xludf.DUMMYFUNCTION("GOOGLETRANSLATE(A127, ""en"", ""ur"")"),"126")</f>
        <v>126</v>
      </c>
      <c r="L127" s="6" t="str">
        <f>IFERROR(__xludf.DUMMYFUNCTION("GOOGLETRANSLATE(B127, ""en"", ""ur"")"),"ایک گرما گرم بزکشی میچ کے وسط میں، ٹیم A کے ایک سوار پر الزام لگایا گیا ہے کہ اس نے لاش کو اپنے ہاتھوں سے پکڑ کر نیچے اتارا تھا۔ ریفری کو کیا کرنا چاہیے؟")</f>
        <v>ایک گرما گرم بزکشی میچ کے وسط میں، ٹیم A کے ایک سوار پر الزام لگایا گیا ہے کہ اس نے لاش کو اپنے ہاتھوں سے پکڑ کر نیچے اتارا تھا۔ ریفری کو کیا کرنا چاہیے؟</v>
      </c>
      <c r="M127" s="6" t="str">
        <f>IFERROR(__xludf.DUMMYFUNCTION("GOOGLETRANSLATE(C127, ""en"", ""ur"")"),"A) واقعے کو نظر انداز کریں، B) سوار کو وارننگ جاری کریں، C) سوار کو میچ سے نااہل قرار دیں، D) کھیل دوبارہ شروع کریں")</f>
        <v>A) واقعے کو نظر انداز کریں، B) سوار کو وارننگ جاری کریں، C) سوار کو میچ سے نااہل قرار دیں، D) کھیل دوبارہ شروع کریں</v>
      </c>
      <c r="N127" s="6" t="str">
        <f>IFERROR(__xludf.DUMMYFUNCTION("GOOGLETRANSLATE(D127, ""en"", ""ur"")"),"ب) سوار کو وارننگ جاری کریں، سی) سوار کو میچ سے نااہل قرار دیں۔")</f>
        <v>ب) سوار کو وارننگ جاری کریں، سی) سوار کو میچ سے نااہل قرار دیں۔</v>
      </c>
      <c r="O127" s="6" t="str">
        <f>IFERROR(__xludf.DUMMYFUNCTION("GOOGLETRANSLATE(E127, ""en"", ""ur"")"),"لاش کو اتارنے کے دوران پکڑنا کھیل کے قواعد کی خلاف ورزی کرتا ہے اور اس کے نتیجے میں جرمانے ہو سکتے ہیں۔")</f>
        <v>لاش کو اتارنے کے دوران پکڑنا کھیل کے قواعد کی خلاف ورزی کرتا ہے اور اس کے نتیجے میں جرمانے ہو سکتے ہیں۔</v>
      </c>
    </row>
    <row r="128">
      <c r="A128" s="4">
        <v>127.0</v>
      </c>
      <c r="B128" s="5" t="s">
        <v>1547</v>
      </c>
      <c r="C128" s="5" t="s">
        <v>1548</v>
      </c>
      <c r="D128" s="5" t="s">
        <v>1549</v>
      </c>
      <c r="E128" s="5" t="s">
        <v>1550</v>
      </c>
      <c r="K128" s="6" t="str">
        <f>IFERROR(__xludf.DUMMYFUNCTION("GOOGLETRANSLATE(A128, ""en"", ""ur"")"),"127")</f>
        <v>127</v>
      </c>
      <c r="L128" s="6" t="str">
        <f>IFERROR(__xludf.DUMMYFUNCTION("GOOGLETRANSLATE(B128, ""en"", ""ur"")"),"ایک ٹیم تیز رفتار حکمت عملی کی کوشش کرتی ہے جہاں وہ لاش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f>
        <v>ایک ٹیم تیز رفتار حکمت عملی کی کوشش کرتی ہے جہاں وہ لاش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v>
      </c>
      <c r="M128" s="6" t="str">
        <f>IFERROR(__xludf.DUMMYFUNCTION("GOOGLETRANSLATE(C128, ""en"", ""ur"")"),"A)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f>
        <v>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v>
      </c>
      <c r="N128" s="6" t="str">
        <f>IFERROR(__xludf.DUMMYFUNCTION("GOOGLETRANSLATE(D128, ""en"", ""ur"")"),"A) آہستہ کریں اور گیند کے کنٹرول پر توجہ مرکوز کریں، B) محافظوں کو گمراہ کرنے کے لیے فینٹ کا استعمال کریں۔")</f>
        <v>A) آہستہ کریں اور گیند کے کنٹرول پر توجہ مرکوز کریں، B) محافظوں کو گمراہ کرنے کے لیے فینٹ کا استعمال کریں۔</v>
      </c>
      <c r="O128" s="6" t="str">
        <f>IFERROR(__xludf.DUMMYFUNCTION("GOOGLETRANSLATE(E128, ""en"", ""ur"")"),"دھوکہ دہی کا استعمال اور احتیاط سے گیند کو کنٹرول کرنے سے رفتار کو دوبارہ حاصل کرنے اور محافظوں کو پیچھے چھوڑنے میں مدد مل سکتی ہے۔")</f>
        <v>دھوکہ دہی کا استعمال اور احتیاط سے گیند کو کنٹرول کرنے سے رفتار کو دوبارہ حاصل کرنے اور محافظوں کو پیچھے چھوڑنے میں مدد مل سکتی ہے۔</v>
      </c>
    </row>
    <row r="129">
      <c r="A129" s="4">
        <v>128.0</v>
      </c>
      <c r="B129" s="5" t="s">
        <v>1551</v>
      </c>
      <c r="C129" s="5" t="s">
        <v>1552</v>
      </c>
      <c r="D129" s="5" t="s">
        <v>1553</v>
      </c>
      <c r="E129" s="5" t="s">
        <v>1554</v>
      </c>
      <c r="K129" s="6" t="str">
        <f>IFERROR(__xludf.DUMMYFUNCTION("GOOGLETRANSLATE(A129, ""en"", ""ur"")"),"128")</f>
        <v>128</v>
      </c>
      <c r="L129" s="6" t="str">
        <f>IFERROR(__xludf.DUMMYFUNCTION("GOOGLETRANSLATE(B129, ""en"", ""ur"")"),"ٹیم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f>
        <v>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v>
      </c>
      <c r="M129" s="6" t="str">
        <f>IFERROR(__xludf.DUMMYFUNCTION("GOOGLETRANSLATE(C129, ""en"", ""ur"")"),"A) سوار کو باضابطہ وارننگ دیں، B) سوار کو نااہل قرار دیں، C) ٹیم A کو قبضہ دے کر ٹیم B کو سزا دیں، D) میچ روکیں اور مجرم سوار کو وقتی جرمانہ جاری کریں۔")</f>
        <v>A) سوار کو باضابطہ وارننگ دیں، B) سوار کو نااہل قرار دیں، C) ٹیم A کو قبضہ دے کر ٹیم B کو سزا دیں، D) میچ روکیں اور مجرم سوار کو وقتی جرمانہ جاری کریں۔</v>
      </c>
      <c r="N129" s="6" t="str">
        <f>IFERROR(__xludf.DUMMYFUNCTION("GOOGLETRANSLATE(D129, ""en"", ""ur"")"),"B) سوار کو نااہل قرار دیں، C) ٹیم A کو قبضہ دے کر ٹیم B کو سزا دیں۔")</f>
        <v>B) سوار کو نااہل قرار دیں، C) ٹیم A کو قبضہ دے کر ٹیم B کو سزا دیں۔</v>
      </c>
      <c r="O129" s="6" t="str">
        <f>IFERROR(__xludf.DUMMYFUNCTION("GOOGLETRANSLATE(E129, ""en"", ""ur"")"),"غیر منصفانہ ہتھکنڈوں کا استعمال کرتے ہوئے مسلسل بلاک کرنے سے نااہلی یا قبضے کی تبدیلی جیسی سنگین سزائیں ہوتی ہیں۔")</f>
        <v>غیر منصفانہ ہتھکنڈوں کا استعمال کرتے ہوئے مسلسل بلاک کرنے سے نااہلی یا قبضے کی تبدیلی جیسی سنگین سزائیں ہوتی ہیں۔</v>
      </c>
    </row>
    <row r="130">
      <c r="A130" s="4">
        <v>129.0</v>
      </c>
      <c r="B130" s="5" t="s">
        <v>1555</v>
      </c>
      <c r="C130" s="5" t="s">
        <v>1556</v>
      </c>
      <c r="D130" s="5" t="s">
        <v>1557</v>
      </c>
      <c r="E130" s="5" t="s">
        <v>1558</v>
      </c>
      <c r="K130" s="6" t="str">
        <f>IFERROR(__xludf.DUMMYFUNCTION("GOOGLETRANSLATE(A130, ""en"", ""ur"")"),"129")</f>
        <v>129</v>
      </c>
      <c r="L130" s="6" t="str">
        <f>IFERROR(__xludf.DUMMYFUNCTION("GOOGLETRANSLATE(B130, ""en"", ""ur"")"),"گرما گرم تبادلے کے دوران، ٹیم A کا ایک سوار غلطی سے ریفری کی پوزیشن سے ٹکرا جاتا ہے۔ ریفری کو کیسے جواب دینا چاہئے؟")</f>
        <v>گرما گرم تبادلے کے دوران، ٹیم A کا ایک سوار غلطی سے ریفری کی پوزیشن سے ٹکرا جاتا ہے۔ ریفری کو کیسے جواب دینا چاہئے؟</v>
      </c>
      <c r="M130" s="6" t="str">
        <f>IFERROR(__xludf.DUMMYFUNCTION("GOOGLETRANSLATE(C130, ""en"", ""ur"")"),"A)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f>
        <v>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v>
      </c>
      <c r="N130" s="6" t="str">
        <f>IFERROR(__xludf.DUMMYFUNCTION("GOOGLETRANSLATE(D130, ""en"", ""ur"")"),"ب) اس بات کو یقینی بنانے کے لیے میچ روکیں کہ کسی کو تکلیف نہ پہنچے، سی) سوار کو وارننگ جاری کریں۔")</f>
        <v>ب) اس بات کو یقینی بنانے کے لیے میچ روکیں کہ کسی کو تکلیف نہ پہنچے، سی) سوار کو وارننگ جاری کریں۔</v>
      </c>
      <c r="O130" s="6" t="str">
        <f>IFERROR(__xludf.DUMMYFUNCTION("GOOGLETRANSLATE(E130, ""en"", ""ur"")"),"کھلاڑی اور ریفری کی حفاظت ایک ترجیح ہے، اور چوٹ سے بچنے کے لیے تصادم پر فوری توجہ دی جانی چاہیے۔")</f>
        <v>کھلاڑی اور ریفری کی حفاظت ایک ترجیح ہے، اور چوٹ سے بچنے کے لیے تصادم پر فوری توجہ دی جانی چاہیے۔</v>
      </c>
    </row>
    <row r="131">
      <c r="A131" s="4">
        <v>130.0</v>
      </c>
      <c r="B131" s="5" t="s">
        <v>1583</v>
      </c>
      <c r="C131" s="5" t="s">
        <v>1584</v>
      </c>
      <c r="D131" s="5" t="s">
        <v>1585</v>
      </c>
      <c r="E131" s="5" t="s">
        <v>1586</v>
      </c>
      <c r="K131" s="6" t="str">
        <f>IFERROR(__xludf.DUMMYFUNCTION("GOOGLETRANSLATE(A131, ""en"", ""ur"")"),"130")</f>
        <v>130</v>
      </c>
      <c r="L131" s="6" t="str">
        <f>IFERROR(__xludf.DUMMYFUNCTION("GOOGLETRANSLATE(B131, ""en"", ""ur"")"),"ٹیم B کا ایک سوار لاش کو ٹیم کے ساتھی کے پاس دیتا ہے، لیکن ساتھی اسے گول دائرے تک پہنچنے سے پہلے ہی گرا دیتا ہے۔ آگے کیا ہوتا ہے؟")</f>
        <v>ٹیم B کا ایک سوار لاش کو ٹیم کے ساتھی کے پاس دیتا ہے، لیکن ساتھی اسے گول دائرے تک پہنچنے سے پہلے ہی گرا دیتا ہے۔ آگے کیا ہوتا ہے؟</v>
      </c>
      <c r="M131" s="6" t="str">
        <f>IFERROR(__xludf.DUMMYFUNCTION("GOOGLETRANSLATE(C131, ""en"", ""ur"")"),"A) مخالف ٹیم قبضہ حاصل کر لیتی ہے، B) لاش کو مرکز میں ری سیٹ کر دیا جاتا ہے، C) کھیل جاری رہتا ہے، اور ٹیم B کو دوبارہ کوشش کرنی پڑتی ہے، D) ٹیم B کو لاش گرانے پر جرمانہ کیا جاتا ہے۔")</f>
        <v>A) مخالف ٹیم قبضہ حاصل کر لیتی ہے، B) لاش کو مرکز میں ری سیٹ کر دیا جاتا ہے، C) کھیل جاری رہتا ہے، اور ٹیم B کو دوبارہ کوشش کرنی پڑتی ہے، D) ٹیم B کو لاش گرانے پر جرمانہ کیا جاتا ہے۔</v>
      </c>
      <c r="N131" s="6" t="str">
        <f>IFERROR(__xludf.DUMMYFUNCTION("GOOGLETRANSLATE(D131, ""en"", ""ur"")"),"C) کھیل جاری ہے، اور ٹیم B کو دوبارہ کوشش کرنی ہوگی۔")</f>
        <v>C) کھیل جاری ہے، اور ٹیم B کو دوبارہ کوشش کرنی ہوگی۔</v>
      </c>
      <c r="O131" s="6" t="str">
        <f>IFERROR(__xludf.DUMMYFUNCTION("GOOGLETRANSLATE(E131, ""en"", ""ur"")"),"لاش کو گرانے سے خود بخود جرمانہ نہیں ہوتا، لیکن ٹیم کو جاری رکھنے کے لیے دوبارہ قبضہ حاصل کرنا چاہیے۔")</f>
        <v>لاش کو گرانے سے خود بخود جرمانہ نہیں ہوتا، لیکن ٹیم کو جاری رکھنے کے لیے دوبارہ قبضہ حاصل کرنا چاہیے۔</v>
      </c>
    </row>
    <row r="132">
      <c r="A132" s="4">
        <v>131.0</v>
      </c>
      <c r="B132" s="5" t="s">
        <v>1587</v>
      </c>
      <c r="C132" s="5" t="s">
        <v>1588</v>
      </c>
      <c r="D132" s="5" t="s">
        <v>1589</v>
      </c>
      <c r="E132" s="5" t="s">
        <v>1590</v>
      </c>
      <c r="K132" s="6" t="str">
        <f>IFERROR(__xludf.DUMMYFUNCTION("GOOGLETRANSLATE(A132, ""en"", ""ur"")"),"131")</f>
        <v>131</v>
      </c>
      <c r="L132" s="6" t="str">
        <f>IFERROR(__xludf.DUMMYFUNCTION("GOOGLETRANSLATE(B132, ""en"", ""ur"")"),"بزکشی میچ کے دوران، ٹیم A کے پاس ایک سوار ہے جو بہت تیز ہے لیکن لاش کو سنبھالنے میں ناتجربہ کار ہے۔ ٹیم A اس سوار کا بہترین استعمال کیسے کر سکتی ہے؟")</f>
        <v>بزکشی میچ کے دوران، ٹیم A کے پاس ایک سوار ہے جو بہت تیز ہے لیکن لاش کو سنبھالنے میں ناتجربہ کار ہے۔ ٹیم A اس سوار کا بہترین استعمال کیسے کر سکتی ہے؟</v>
      </c>
      <c r="M132" s="6" t="str">
        <f>IFERROR(__xludf.DUMMYFUNCTION("GOOGLETRANSLATE(C132, ""en"", ""ur"")"),"A) انہیں تیز رفتاری اور مخالفوں کی توجہ ہٹانے پر توجہ دلائیں، B) گول دائرے کی حفاظت کے لیے انہیں تفویض کریں، C) انہیں آسان، کم مقابلہ والے حالات میں لاش کو سنبھالنے دیں، D) ان کا استعمال کریں جب کوئی اور ساتھی لاش کو پکڑ لے۔")</f>
        <v>A) انہیں تیز رفتاری اور مخالفوں کی توجہ ہٹانے پر توجہ دلائیں، B) گول دائرے کی حفاظت کے لیے انہیں تفویض کریں، C) انہیں آسان، کم مقابلہ والے حالات میں لاش کو سنبھالنے دیں، D) ان کا استعمال کریں جب کوئی اور ساتھی لاش کو پکڑ لے۔</v>
      </c>
      <c r="N132" s="6" t="str">
        <f>IFERROR(__xludf.DUMMYFUNCTION("GOOGLETRANSLATE(D132, ""en"", ""ur"")"),"A) انہیں تیز رفتاری اور مخالفین کی توجہ ہٹانے پر توجہ دلائیں، D) ان کا استعمال ایک دھوکے کے طور پر کریں جب کہ ایک اور ساتھی لاش کو پکڑ لے")</f>
        <v>A) انہیں تیز رفتاری اور مخالفین کی توجہ ہٹانے پر توجہ دلائیں، D) ان کا استعمال ایک دھوکے کے طور پر کریں جب کہ ایک اور ساتھی لاش کو پکڑ لے</v>
      </c>
      <c r="O132" s="6" t="str">
        <f>IFERROR(__xludf.DUMMYFUNCTION("GOOGLETRANSLATE(E132, ""en"", ""ur"")"),"ایک تیز سوار کا استعمال مخالف ٹیم کو پریشان یا الجھا کر ٹیم کے ساتھیوں کے لیے مواقع پیدا کرنے کے لیے کیا جا سکتا ہے۔")</f>
        <v>ایک تیز سوار کا استعمال مخالف ٹیم کو پریشان یا الجھا کر ٹیم کے ساتھیوں کے لیے مواقع پیدا کرنے کے لیے کیا جا سکتا ہے۔</v>
      </c>
    </row>
    <row r="133">
      <c r="A133" s="4">
        <v>132.0</v>
      </c>
      <c r="B133" s="5" t="s">
        <v>1591</v>
      </c>
      <c r="C133" s="5" t="s">
        <v>1592</v>
      </c>
      <c r="D133" s="5" t="s">
        <v>1593</v>
      </c>
      <c r="E133" s="5" t="s">
        <v>1594</v>
      </c>
      <c r="K133" s="6" t="str">
        <f>IFERROR(__xludf.DUMMYFUNCTION("GOOGLETRANSLATE(A133, ""en"", ""ur"")"),"132")</f>
        <v>132</v>
      </c>
      <c r="L133" s="6" t="str">
        <f>IFERROR(__xludf.DUMMYFUNCTION("GOOGLETRANSLATE(B133, ""en"", ""ur"")"),"ریفری لاش کو چرانے کی کوشش کرتے وقت ضرورت سے زیادہ طاقت کے لئے ٹیم A کے سوار کے خلاف فاؤل کا اشارہ کرتا ہے۔ ممکنہ سزا کیا ہے؟")</f>
        <v>ریفری لاش کو چرانے کی کوشش کرتے وقت ضرورت سے زیادہ طاقت کے لئے ٹیم A کے سوار کے خلاف فاؤل کا اشارہ کرتا ہے۔ ممکنہ سزا کیا ہے؟</v>
      </c>
      <c r="M133" s="6" t="str">
        <f>IFERROR(__xludf.DUMMYFUNCTION("GOOGLETRANSLATE(C133, ""en"", ""ur"")"),"A) ٹیم B کو دیا گیا ایک پوائنٹ، B) ٹیم A لاش کا قبضہ کھو دیتی ہے، C) ٹیم A کو جاری کردہ وارننگ، D) ٹیم B کو مفت قبضہ دیا گیا")</f>
        <v>A) ٹیم B کو دیا گیا ایک پوائنٹ، B) ٹیم A لاش کا قبضہ کھو دیتی ہے، C) ٹیم A کو جاری کردہ وارننگ، D) ٹیم B کو مفت قبضہ دیا گیا</v>
      </c>
      <c r="N133" s="6" t="str">
        <f>IFERROR(__xludf.DUMMYFUNCTION("GOOGLETRANSLATE(D133, ""en"", ""ur"")"),"B) ٹیم A لاش کا قبضہ کھو دیتی ہے، D) ایک مفت قبضہ ٹیم B کو دیا گیا")</f>
        <v>B) ٹیم A لاش کا قبضہ کھو دیتی ہے، D) ایک مفت قبضہ ٹیم B کو دیا گیا</v>
      </c>
      <c r="O133" s="6" t="str">
        <f>IFERROR(__xludf.DUMMYFUNCTION("GOOGLETRANSLATE(E133, ""en"", ""ur"")"),"ضرورت سے زیادہ طاقت کے استعمال کے نتیجے میں قبضہ ختم ہوسکتا ہے، اور مخالف ٹیم فائدہ اٹھا سکتی ہے۔")</f>
        <v>ضرورت سے زیادہ طاقت کے استعمال کے نتیجے میں قبضہ ختم ہوسکتا ہے، اور مخالف ٹیم فائدہ اٹھا سکتی ہے۔</v>
      </c>
    </row>
    <row r="134">
      <c r="A134" s="4">
        <v>133.0</v>
      </c>
      <c r="B134" s="5" t="s">
        <v>1595</v>
      </c>
      <c r="C134" s="5" t="s">
        <v>1596</v>
      </c>
      <c r="D134" s="5" t="s">
        <v>1597</v>
      </c>
      <c r="E134" s="5" t="s">
        <v>1598</v>
      </c>
      <c r="K134" s="6" t="str">
        <f>IFERROR(__xludf.DUMMYFUNCTION("GOOGLETRANSLATE(A134, ""en"", ""ur"")"),"133")</f>
        <v>133</v>
      </c>
      <c r="L134" s="6" t="str">
        <f>IFERROR(__xludf.DUMMYFUNCTION("GOOGLETRANSLATE(B134, ""en"", ""ur"")"),"ایک رائیڈر پر الزام لگایا جاتا ہے کہ اس نے گول کرنے کی کوشش کیے بغیر گول دائرے کو لمبے عرصے تک بلاک کر دیا۔ ریفری کو کیا کرنا چاہیے؟")</f>
        <v>ایک رائیڈر پر الزام لگایا جاتا ہے کہ اس نے گول کرنے کی کوشش کیے بغیر گول دائرے کو لمبے عرصے تک بلاک کر دیا۔ ریفری کو کیا کرنا چاہیے؟</v>
      </c>
      <c r="M134" s="6" t="str">
        <f>IFERROR(__xludf.DUMMYFUNCTION("GOOGLETRANSLATE(C134, ""en"", ""ur"")"),"A) کھیل کو جاری رکھنے کی اجازت دیں، B) سوار کو وارننگ جاری کریں، C) لاش کو ابتدائی مقام پر دوبارہ ترتیب دیں، D) سوار کو غیر کھیلوں کے طرز عمل پر سزا دیں")</f>
        <v>A) کھیل کو جاری رکھنے کی اجازت دیں، B) سوار کو وارننگ جاری کریں، C) لاش کو ابتدائی مقام پر دوبارہ ترتیب دیں، D) سوار کو غیر کھیلوں کے طرز عمل پر سزا دیں</v>
      </c>
      <c r="N134" s="6" t="str">
        <f>IFERROR(__xludf.DUMMYFUNCTION("GOOGLETRANSLATE(D134, ""en"", ""ur"")"),"B) سوار کو وارننگ جاری کریں، D) سوار کو غیر کھیلوں کے طرز عمل پر سزا دیں")</f>
        <v>B) سوار کو وارننگ جاری کریں، D) سوار کو غیر کھیلوں کے طرز عمل پر سزا دیں</v>
      </c>
      <c r="O134" s="6" t="str">
        <f>IFERROR(__xludf.DUMMYFUNCTION("GOOGLETRANSLATE(E134, ""en"", ""ur"")"),"گول کرنے کے ارادے کے بغیر گول کے دائرے کو مسدود کرنا گیم پلے میں خلل ڈالتا ہے اور جرمانے کا باعث بن سکتا ہے۔")</f>
        <v>گول کرنے کے ارادے کے بغیر گول کے دائرے کو مسدود کرنا گیم پلے میں خلل ڈالتا ہے اور جرمانے کا باعث بن سکتا ہے۔</v>
      </c>
    </row>
    <row r="135">
      <c r="A135" s="4">
        <v>134.0</v>
      </c>
      <c r="B135" s="5" t="s">
        <v>1599</v>
      </c>
      <c r="C135" s="5" t="s">
        <v>1600</v>
      </c>
      <c r="D135" s="5" t="s">
        <v>1601</v>
      </c>
      <c r="E135" s="5" t="s">
        <v>1602</v>
      </c>
      <c r="K135" s="6" t="str">
        <f>IFERROR(__xludf.DUMMYFUNCTION("GOOGLETRANSLATE(A135, ""en"", ""ur"")"),"134")</f>
        <v>134</v>
      </c>
      <c r="L135" s="6" t="str">
        <f>IFERROR(__xludf.DUMMYFUNCTION("GOOGLETRANSLATE(B135, ""en"", ""ur"")"),"میچ کے دوران ایک تماشائی میدان میں بھاگتا ہے، جس سے عارضی افراتفری مچ جاتی ہے۔ مناسب کارروائی کیا ہے؟")</f>
        <v>میچ کے دوران ایک تماشائی میدان میں بھاگتا ہے، جس سے عارضی افراتفری مچ جاتی ہے۔ مناسب کارروائی کیا ہے؟</v>
      </c>
      <c r="M135" s="6" t="str">
        <f>IFERROR(__xludf.DUMMYFUNCTION("GOOGLETRANSLATE(C135, ""en"", ""ur"")"),"A) تماشائی کو ہٹانے تک میچ کو روکیں، B) میچ کو جاری رکھیں اور رکاوٹ کو نظر انداز کریں، C) میچ کو آخری قبضے سے دوبارہ شروع کریں، D) تماشائی کی حمایت کرنے والی ٹیم کو جرمانہ کریں۔")</f>
        <v>A) تماشائی کو ہٹانے تک میچ کو روکیں، B) میچ کو جاری رکھیں اور رکاوٹ کو نظر انداز کریں، C) میچ کو آخری قبضے سے دوبارہ شروع کریں، D) تماشائی کی حمایت کرنے والی ٹیم کو جرمانہ کریں۔</v>
      </c>
      <c r="N135" s="6" t="str">
        <f>IFERROR(__xludf.DUMMYFUNCTION("GOOGLETRANSLATE(D135, ""en"", ""ur"")"),"A) تماشائی کو ہٹانے تک میچ روک دیں۔")</f>
        <v>A) تماشائی کو ہٹانے تک میچ روک دیں۔</v>
      </c>
      <c r="O135" s="6" t="str">
        <f>IFERROR(__xludf.DUMMYFUNCTION("GOOGLETRANSLATE(E135, ""en"", ""ur"")"),"کھلاڑیوں کی حفاظت اور کھیل کی سالمیت کو یقینی بنانے کے لیے تماشائیوں کی مداخلت پر فوری توجہ دی جانی چاہیے۔")</f>
        <v>کھلاڑیوں کی حفاظت اور کھیل کی سالمیت کو یقینی بنانے کے لیے تماشائیوں کی مداخلت پر فوری توجہ دی جانی چاہیے۔</v>
      </c>
    </row>
    <row r="136">
      <c r="A136" s="4">
        <v>135.0</v>
      </c>
      <c r="B136" s="5" t="s">
        <v>1603</v>
      </c>
      <c r="C136" s="5" t="s">
        <v>1604</v>
      </c>
      <c r="D136" s="5" t="s">
        <v>1605</v>
      </c>
      <c r="E136" s="5" t="s">
        <v>1606</v>
      </c>
      <c r="K136" s="6" t="str">
        <f>IFERROR(__xludf.DUMMYFUNCTION("GOOGLETRANSLATE(A136, ""en"", ""ur"")"),"135")</f>
        <v>135</v>
      </c>
      <c r="L136" s="6" t="str">
        <f>IFERROR(__xludf.DUMMYFUNCTION("GOOGLETRANSLATE(B136, ""en"", ""ur"")"),"ایک سوار لاش کو پکڑتا ہے اور اسے تھرو کا استعمال کرتے ہوئے ٹیم کے ساتھی کو دینے کا فیصلہ کرتا ہے۔ کیچ کے دوران ساتھی کو کیا یقینی بنانا چاہیے؟")</f>
        <v>ایک سوار لاش کو پکڑتا ہے اور اسے تھرو کا استعمال کرتے ہوئے ٹیم کے ساتھی کو دینے کا فیصلہ کرتا ہے۔ کیچ کے دوران ساتھی کو کیا یقینی بنانا چاہیے؟</v>
      </c>
      <c r="M136" s="6" t="str">
        <f>IFERROR(__xludf.DUMMYFUNCTION("GOOGLETRANSLATE(C136, ""en"", ""ur"")"),"A) لاش زمین کو نہیں چھوتی، B) پکڑتے وقت وہ لگے رہتے ہیں، C) وہ فوراً گول دائرے کی طرف جاتے ہیں، D) وہ پکڑنے سے پہلے ریفری کو اشارہ کرتے ہیں۔")</f>
        <v>A) لاش زمین کو نہیں چھوتی، B) پکڑتے وقت وہ لگے رہتے ہیں، C) وہ فوراً گول دائرے کی طرف جاتے ہیں، D) وہ پکڑنے سے پہلے ریفری کو اشارہ کرتے ہیں۔</v>
      </c>
      <c r="N136" s="6" t="str">
        <f>IFERROR(__xludf.DUMMYFUNCTION("GOOGLETRANSLATE(D136, ""en"", ""ur"")"),"A) لاش زمین کو نہیں چھوتی ہے، B) پکڑتے وقت وہ لگے رہتے ہیں۔")</f>
        <v>A) لاش زمین کو نہیں چھوتی ہے، B) پکڑتے وقت وہ لگے رہتے ہیں۔</v>
      </c>
      <c r="O136" s="6" t="str">
        <f>IFERROR(__xludf.DUMMYFUNCTION("GOOGLETRANSLATE(E136, ""en"", ""ur"")"),"قوانین کی پابندی کرتے ہوئے قبضہ برقرار رکھنے کے لیے ہم آہنگی اور مہارت کی ضرورت ہوتی ہے۔")</f>
        <v>قوانین کی پابندی کرتے ہوئے قبضہ برقرار رکھنے کے لیے ہم آہنگی اور مہارت کی ضرورت ہوتی ہے۔</v>
      </c>
    </row>
    <row r="137">
      <c r="A137" s="4">
        <v>136.0</v>
      </c>
      <c r="B137" s="5" t="s">
        <v>1523</v>
      </c>
      <c r="C137" s="5" t="s">
        <v>1524</v>
      </c>
      <c r="D137" s="5" t="s">
        <v>1525</v>
      </c>
      <c r="E137" s="5" t="s">
        <v>1526</v>
      </c>
      <c r="K137" s="6" t="str">
        <f>IFERROR(__xludf.DUMMYFUNCTION("GOOGLETRANSLATE(A137, ""en"", ""ur"")"),"136")</f>
        <v>136</v>
      </c>
      <c r="L137" s="6" t="str">
        <f>IFERROR(__xludf.DUMMYFUNCTION("GOOGLETRANSLATE(B137, ""en"", ""ur"")"),"ٹیم A کا ایک سوار کامیابی سے لاش کو لے جاتا ہے اور گول دائرے کی طرف جاتا ہے، لیکن ٹیم B کا ایک مخالف اس کا راستہ کاٹ کر اس سے نمٹنے کی کوشش کرتا ہے۔ اس صورت حال سے نمٹنے کا بہترین طریقہ کیا ہے؟")</f>
        <v>ٹیم A کا ایک سوار کامیابی سے لاش کو لے جاتا ہے اور گول دائرے کی طرف جاتا ہے، لیکن ٹیم B کا ایک مخالف اس کا راستہ کاٹ کر اس سے نمٹنے کی کوشش کرتا ہے۔ اس صورت حال سے نمٹنے کا بہترین طریقہ کیا ہے؟</v>
      </c>
      <c r="M137" s="6" t="str">
        <f>IFERROR(__xludf.DUMMYFUNCTION("GOOGLETRANSLATE(C137, ""en"", ""ur"")"),"A) حریف کو چکمہ دینے کی کوشش کریں اور گول کی طرف بڑھتے رہیں، B) برتری برقرار رکھنے کے لیے گھوڑے کی رفتار کا استعمال کریں، C) مخالف کے ساتھ براہ راست تصادم میں مشغول ہوں، D) لاش کو دوسرے ساتھی کے پاس منتقل کریں۔")</f>
        <v>A) حریف کو چکمہ دینے کی کوشش کریں اور گول کی طرف بڑھتے رہیں، B) برتری برقرار رکھنے کے لیے گھوڑے کی رفتار کا استعمال کریں، C) مخالف کے ساتھ براہ راست تصادم میں مشغول ہوں، D) لاش کو دوسرے ساتھی کے پاس منتقل کریں۔</v>
      </c>
      <c r="N137" s="6" t="str">
        <f>IFERROR(__xludf.DUMMYFUNCTION("GOOGLETRANSLATE(D137, ""en"", ""ur"")"),"A) حریف کو چکمہ دینے کی کوشش کریں اور گول کی طرف بڑھتے رہیں، B) برتری برقرار رکھنے کے لیے گھوڑے کی رفتار کا استعمال کریں")</f>
        <v>A) حریف کو چکمہ دینے کی کوشش کریں اور گول کی طرف بڑھتے رہیں، B) برتری برقرار رکھنے کے لیے گھوڑے کی رفتار کا استعمال کریں</v>
      </c>
      <c r="O137" s="6" t="str">
        <f>IFERROR(__xludf.DUMMYFUNCTION("GOOGLETRANSLATE(E137, ""en"", ""ur"")"),"رفتار اور چستی ٹیکلز پر قابو پانے کی کلید ہیں، لیکن ٹیم کے ساتھی کو منتقل کرنا بھی ایک موثر حکمت عملی ہو سکتی ہے۔")</f>
        <v>رفتار اور چستی ٹیکلز پر قابو پانے کی کلید ہیں، لیکن ٹیم کے ساتھی کو منتقل کرنا بھی ایک موثر حکمت عملی ہو سکتی ہے۔</v>
      </c>
    </row>
    <row r="138">
      <c r="A138" s="4">
        <v>137.0</v>
      </c>
      <c r="B138" s="5" t="s">
        <v>1527</v>
      </c>
      <c r="C138" s="5" t="s">
        <v>1528</v>
      </c>
      <c r="D138" s="5" t="s">
        <v>1529</v>
      </c>
      <c r="E138" s="5" t="s">
        <v>1530</v>
      </c>
      <c r="K138" s="6" t="str">
        <f>IFERROR(__xludf.DUMMYFUNCTION("GOOGLETRANSLATE(A138, ""en"", ""ur"")"),"137")</f>
        <v>137</v>
      </c>
      <c r="L138" s="6" t="str">
        <f>IFERROR(__xludf.DUMMYFUNCTION("GOOGLETRANSLATE(B138, ""en"", ""ur"")"),"بزکشی میچ کے دوران سوار کا گھوڑا بے قابو ہو جاتا ہے اور غلط سمت میں دوڑنے لگتا ہے۔ اس صورت حال میں سوار کو کیا کرنا چاہیے؟")</f>
        <v>بزکشی میچ کے دوران سوار کا گھوڑا بے قابو ہو جاتا ہے اور غلط سمت میں دوڑنے لگتا ہے۔ اس صورت حال میں سوار کو کیا کرنا چاہیے؟</v>
      </c>
      <c r="M138" s="6" t="str">
        <f>IFERROR(__xludf.DUMMYFUNCTION("GOOGLETRANSLATE(C138, ""en"", ""ur"")"),"A)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f>
        <v>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v>
      </c>
      <c r="N138" s="6" t="str">
        <f>IFERROR(__xludf.DUMMYFUNCTION("GOOGLETRANSLATE(D138, ""en"", ""ur"")"),"ا) لگام کا استعمال کرکے گھوڑے پر دوبارہ کنٹرول حاصل کرنے کی کوشش کریں۔")</f>
        <v>ا) لگام کا استعمال کرکے گھوڑے پر دوبارہ کنٹرول حاصل کرنے کی کوشش کریں۔</v>
      </c>
      <c r="O138" s="6" t="str">
        <f>IFERROR(__xludf.DUMMYFUNCTION("GOOGLETRANSLATE(E138, ""en"", ""ur"")"),"سواروں کو اپنے گھوڑوں پر کنٹرول برقرار رکھنا چاہیے تاکہ ان کی حفاظت کو یقینی بنایا جا سکے اور اپنی ٹیم میں حصہ ڈالنا جاری رکھیں۔")</f>
        <v>سواروں کو اپنے گھوڑوں پر کنٹرول برقرار رکھنا چاہیے تاکہ ان کی حفاظت کو یقینی بنایا جا سکے اور اپنی ٹیم میں حصہ ڈالنا جاری رکھیں۔</v>
      </c>
    </row>
    <row r="139">
      <c r="A139" s="4">
        <v>138.0</v>
      </c>
      <c r="B139" s="5" t="s">
        <v>1531</v>
      </c>
      <c r="C139" s="5" t="s">
        <v>1532</v>
      </c>
      <c r="D139" s="5" t="s">
        <v>1533</v>
      </c>
      <c r="E139" s="5" t="s">
        <v>1534</v>
      </c>
      <c r="K139" s="6" t="str">
        <f>IFERROR(__xludf.DUMMYFUNCTION("GOOGLETRANSLATE(A139, ""en"", ""ur"")"),"138")</f>
        <v>138</v>
      </c>
      <c r="L139" s="6" t="str">
        <f>IFERROR(__xludf.DUMMYFUNCTION("GOOGLETRANSLATE(B139, ""en"", ""ur"")"),"ٹیم A کا ایک سوار ٹیم B کے متعدد سواروں کے ساتھ لاش کی لڑائی میں پھنس جاتا ہے۔ دوبارہ قبضہ حاصل کرنے کے لیے ٹیم کو کیا کرنا چاہیے؟")</f>
        <v>ٹیم A کا ایک سوار ٹیم B کے متعدد سواروں کے ساتھ لاش کی لڑائی میں پھنس جاتا ہے۔ دوبارہ قبضہ حاصل کرنے کے لیے ٹیم کو کیا کرنا چاہیے؟</v>
      </c>
      <c r="M139" s="6" t="str">
        <f>IFERROR(__xludf.DUMMYFUNCTION("GOOGLETRANSLATE(C139, ""en"", ""ur"")"),"A) لڑائی کو ختم کرکے جگہ بنانے پر توجہ مرکوز کریں، B) ٹیم کے ساتھی کو لاش چرانے کے لیے خلفشار کا فائدہ اٹھائیں، C) میچ روکنے کے لیے ریفری کو کال کریں، D) صورتحال کے پرسکون ہونے کا انتظار کریں اور پھر آگے بڑھیں۔")</f>
        <v>A) لڑائی کو ختم کرکے جگہ بنانے پر توجہ مرکوز کریں، B) ٹیم کے ساتھی کو لاش چرانے کے لیے خلفشار کا فائدہ اٹھائیں، C) میچ روکنے کے لیے ریفری کو کال کریں، D) صورتحال کے پرسکون ہونے کا انتظار کریں اور پھر آگے بڑھیں۔</v>
      </c>
      <c r="N139" s="6" t="str">
        <f>IFERROR(__xludf.DUMMYFUNCTION("GOOGLETRANSLATE(D139, ""en"", ""ur"")"),"A) لڑائی کو ختم کرکے جگہ بنانے پر توجہ مرکوز کریں، B) ٹیم کے ساتھی کو لاش چرانے کے لیے خلفشار کا فائدہ اٹھانے کو کہیں۔")</f>
        <v>A) لڑائی کو ختم کرکے جگہ بنانے پر توجہ مرکوز کریں، B) ٹیم کے ساتھی کو لاش چرانے کے لیے خلفشار کا فائدہ اٹھانے کو کہیں۔</v>
      </c>
      <c r="O139" s="6" t="str">
        <f>IFERROR(__xludf.DUMMYFUNCTION("GOOGLETRANSLATE(E139, ""en"", ""ur"")"),"لڑائی جیسے خلفشار توجہ کو منتقل کرنے اور قبضہ حاصل کرنے کے مواقع فراہم کرتے ہیں۔")</f>
        <v>لڑائی جیسے خلفشار توجہ کو منتقل کرنے اور قبضہ حاصل کرنے کے مواقع فراہم کرتے ہیں۔</v>
      </c>
    </row>
    <row r="140">
      <c r="A140" s="4">
        <v>139.0</v>
      </c>
      <c r="B140" s="5" t="s">
        <v>1535</v>
      </c>
      <c r="C140" s="5" t="s">
        <v>1536</v>
      </c>
      <c r="D140" s="5" t="s">
        <v>1537</v>
      </c>
      <c r="E140" s="5" t="s">
        <v>1538</v>
      </c>
      <c r="K140" s="6" t="str">
        <f>IFERROR(__xludf.DUMMYFUNCTION("GOOGLETRANSLATE(A140, ""en"", ""ur"")"),"139")</f>
        <v>139</v>
      </c>
      <c r="L140" s="6" t="str">
        <f>IFERROR(__xludf.DUMMYFUNCTION("GOOGLETRANSLATE(B140, ""en"", ""ur"")"),"ایک سوار کامیابی کے ساتھ لاش کو گول کے دائرے میں رکھتا ہے، لیکن ریفری غلط اشارہ کرتا ہے کیونکہ سوار کا گھوڑا گول کے علاقے سے باہر نکل گیا تھا۔ مناسب جواب کیا ہے؟")</f>
        <v>ایک سوار کامیابی کے ساتھ لاش کو گول کے دائرے میں رکھتا ہے، لیکن ریفری غلط اشارہ کرتا ہے کیونکہ سوار کا گھوڑا گول کے علاقے سے باہر نکل گیا تھا۔ مناسب جواب کیا ہے؟</v>
      </c>
      <c r="M140" s="6" t="str">
        <f>IFERROR(__xludf.DUMMYFUNCTION("GOOGLETRANSLATE(C140, ""en"", ""ur"")"),"A) ٹیم A کو پوائنٹ دیں، B) پوائنٹ کو نامنظور کریں اور گیم کو دوبارہ ترتیب دیں، C) سوار کو سزا دیں، D) مرکز سے کھیل دوبارہ شروع کریں")</f>
        <v>A) ٹیم A کو پوائنٹ دیں، B) پوائنٹ کو نامنظور کریں اور گیم کو دوبارہ ترتیب دیں، C) سوار کو سزا دیں، D) مرکز سے کھیل دوبارہ شروع کریں</v>
      </c>
      <c r="N140" s="6" t="str">
        <f>IFERROR(__xludf.DUMMYFUNCTION("GOOGLETRANSLATE(D140, ""en"", ""ur"")"),"ب) پوائنٹ کی اجازت نہ دیں اور گیم کو ری سیٹ کریں، سی) سوار کو سزا دیں۔")</f>
        <v>ب) پوائنٹ کی اجازت نہ دیں اور گیم کو ری سیٹ کریں، سی) سوار کو سزا دیں۔</v>
      </c>
      <c r="O140" s="6" t="str">
        <f>IFERROR(__xludf.DUMMYFUNCTION("GOOGLETRANSLATE(E140, ""en"", ""ur"")"),"ایک گول صرف اس صورت میں درست ہے جب سوار اور گھوڑا مقررہ ہدف کے علاقے میں رہیں۔")</f>
        <v>ایک گول صرف اس صورت میں درست ہے جب سوار اور گھوڑا مقررہ ہدف کے علاقے میں رہیں۔</v>
      </c>
    </row>
    <row r="141">
      <c r="A141" s="4">
        <v>140.0</v>
      </c>
      <c r="B141" s="5" t="s">
        <v>1539</v>
      </c>
      <c r="C141" s="5" t="s">
        <v>1540</v>
      </c>
      <c r="D141" s="5" t="s">
        <v>1541</v>
      </c>
      <c r="E141" s="5" t="s">
        <v>1542</v>
      </c>
      <c r="K141" s="6" t="str">
        <f>IFERROR(__xludf.DUMMYFUNCTION("GOOGLETRANSLATE(A141, ""en"", ""ur"")"),"140")</f>
        <v>140</v>
      </c>
      <c r="L141" s="6" t="str">
        <f>IFERROR(__xludf.DUMMYFUNCTION("GOOGLETRANSLATE(B141, ""en"", ""ur"")"),"بزکشی میچ کے آخری لمحات کے دوران، ٹیم A برتری میں ہے، اور ٹیم B گول کے دائرے کو روکنے کے لیے دفاعی حکمت عملی استعمال کر رہی ہے۔ اس دفاع کا مقابلہ کرنے کے لیے ٹیم اے کو کیا کرنا چاہیے؟")</f>
        <v>بزکشی میچ کے آخری لمحات کے دوران، ٹیم A برتری میں ہے، اور ٹیم B گول کے دائرے کو روکنے کے لیے دفاعی حکمت عملی استعمال کر رہی ہے۔ اس دفاع کا مقابلہ کرنے کے لیے ٹیم اے کو کیا کرنا چاہیے؟</v>
      </c>
      <c r="M141" s="6" t="str">
        <f>IFERROR(__xludf.DUMMYFUNCTION("GOOGLETRANSLATE(C141, ""en"", ""ur"")"),"A)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انتظار"&amp;" کریں۔")</f>
        <v>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 کریں۔</v>
      </c>
      <c r="N141" s="6" t="str">
        <f>IFERROR(__xludf.DUMMYFUNCTION("GOOGLETRANSLATE(D141, ""en"", ""ur"")"),"A) دفاع کو توڑنے کے لئے ان کے جارحانہ دباؤ میں اضافہ کریں، C) گول کے قریب ٹیم کے ساتھی کو طویل فاصلے تک پاس کی کوشش کریں")</f>
        <v>A) دفاع کو توڑنے کے لئے ان کے جارحانہ دباؤ میں اضافہ کریں، C) گول کے قریب ٹیم کے ساتھی کو طویل فاصلے تک پاس کی کوشش کریں</v>
      </c>
      <c r="O141" s="6" t="str">
        <f>IFERROR(__xludf.DUMMYFUNCTION("GOOGLETRANSLATE(E141, ""en"", ""ur"")"),"دفاعی حکمت عملیوں کا مقابلہ کرنے کے لیے دفاع کو آگے بڑھانے کے لیے فوری، فیصلہ کن اقدامات کی ضرورت ہوتی ہے۔")</f>
        <v>دفاعی حکمت عملیوں کا مقابلہ کرنے کے لیے دفاع کو آگے بڑھانے کے لیے فوری، فیصلہ کن اقدامات کی ضرورت ہوتی ہے۔</v>
      </c>
    </row>
    <row r="142">
      <c r="A142" s="4">
        <v>141.0</v>
      </c>
      <c r="B142" s="5" t="s">
        <v>1543</v>
      </c>
      <c r="C142" s="5" t="s">
        <v>1544</v>
      </c>
      <c r="D142" s="5" t="s">
        <v>1545</v>
      </c>
      <c r="E142" s="5" t="s">
        <v>1546</v>
      </c>
      <c r="K142" s="6" t="str">
        <f>IFERROR(__xludf.DUMMYFUNCTION("GOOGLETRANSLATE(A142, ""en"", ""ur"")"),"141")</f>
        <v>141</v>
      </c>
      <c r="L142" s="6" t="str">
        <f>IFERROR(__xludf.DUMMYFUNCTION("GOOGLETRANSLATE(B142, ""en"", ""ur"")"),"ایک گرما گرم بزکشی میچ کے وسط میں، ٹیم A کے ایک سوار پر الزام لگایا گیا ہے کہ اس نے لاش کو اپنے ہاتھوں سے پکڑ کر نیچے اتارا تھا۔ ریفری کو کیا کرنا چاہیے؟")</f>
        <v>ایک گرما گرم بزکشی میچ کے وسط میں، ٹیم A کے ایک سوار پر الزام لگایا گیا ہے کہ اس نے لاش کو اپنے ہاتھوں سے پکڑ کر نیچے اتارا تھا۔ ریفری کو کیا کرنا چاہیے؟</v>
      </c>
      <c r="M142" s="6" t="str">
        <f>IFERROR(__xludf.DUMMYFUNCTION("GOOGLETRANSLATE(C142, ""en"", ""ur"")"),"A) واقعے کو نظر انداز کریں، B) سوار کو وارننگ جاری کریں، C) سوار کو میچ سے نااہل قرار دیں، D) کھیل دوبارہ شروع کریں")</f>
        <v>A) واقعے کو نظر انداز کریں، B) سوار کو وارننگ جاری کریں، C) سوار کو میچ سے نااہل قرار دیں، D) کھیل دوبارہ شروع کریں</v>
      </c>
      <c r="N142" s="6" t="str">
        <f>IFERROR(__xludf.DUMMYFUNCTION("GOOGLETRANSLATE(D142, ""en"", ""ur"")"),"ب) سوار کو وارننگ جاری کریں، سی) سوار کو میچ سے نااہل قرار دیں۔")</f>
        <v>ب) سوار کو وارننگ جاری کریں، سی) سوار کو میچ سے نااہل قرار دیں۔</v>
      </c>
      <c r="O142" s="6" t="str">
        <f>IFERROR(__xludf.DUMMYFUNCTION("GOOGLETRANSLATE(E142, ""en"", ""ur"")"),"لاش کو اتارنے کے دوران پکڑنا کھیل کے قواعد کی خلاف ورزی کرتا ہے اور اس کے نتیجے میں جرمانے ہو سکتے ہیں۔")</f>
        <v>لاش کو اتارنے کے دوران پکڑنا کھیل کے قواعد کی خلاف ورزی کرتا ہے اور اس کے نتیجے میں جرمانے ہو سکتے ہیں۔</v>
      </c>
    </row>
    <row r="143">
      <c r="A143" s="4">
        <v>142.0</v>
      </c>
      <c r="B143" s="5" t="s">
        <v>1547</v>
      </c>
      <c r="C143" s="5" t="s">
        <v>1548</v>
      </c>
      <c r="D143" s="5" t="s">
        <v>1549</v>
      </c>
      <c r="E143" s="5" t="s">
        <v>1550</v>
      </c>
      <c r="K143" s="6" t="str">
        <f>IFERROR(__xludf.DUMMYFUNCTION("GOOGLETRANSLATE(A143, ""en"", ""ur"")"),"142")</f>
        <v>142</v>
      </c>
      <c r="L143" s="6" t="str">
        <f>IFERROR(__xludf.DUMMYFUNCTION("GOOGLETRANSLATE(B143, ""en"", ""ur"")"),"ایک ٹیم تیز رفتار حکمت عملی کی کوشش کرتی ہے جہاں وہ لاش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f>
        <v>ایک ٹیم تیز رفتار حکمت عملی کی کوشش کرتی ہے جہاں وہ لاش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v>
      </c>
      <c r="M143" s="6" t="str">
        <f>IFERROR(__xludf.DUMMYFUNCTION("GOOGLETRANSLATE(C143, ""en"", ""ur"")"),"A)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f>
        <v>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v>
      </c>
      <c r="N143" s="6" t="str">
        <f>IFERROR(__xludf.DUMMYFUNCTION("GOOGLETRANSLATE(D143, ""en"", ""ur"")"),"A) آہستہ کریں اور گیند کے کنٹرول پر توجہ مرکوز کریں، B) محافظوں کو گمراہ کرنے کے لیے فینٹ کا استعمال کریں۔")</f>
        <v>A) آہستہ کریں اور گیند کے کنٹرول پر توجہ مرکوز کریں، B) محافظوں کو گمراہ کرنے کے لیے فینٹ کا استعمال کریں۔</v>
      </c>
      <c r="O143" s="6" t="str">
        <f>IFERROR(__xludf.DUMMYFUNCTION("GOOGLETRANSLATE(E143, ""en"", ""ur"")"),"دھوکہ دہی کا استعمال اور احتیاط سے گیند کو کنٹرول کرنے سے رفتار کو دوبارہ حاصل کرنے اور محافظوں کو پیچھے چھوڑنے میں مدد مل سکتی ہے۔")</f>
        <v>دھوکہ دہی کا استعمال اور احتیاط سے گیند کو کنٹرول کرنے سے رفتار کو دوبارہ حاصل کرنے اور محافظوں کو پیچھے چھوڑنے میں مدد مل سکتی ہے۔</v>
      </c>
    </row>
    <row r="144">
      <c r="A144" s="4">
        <v>143.0</v>
      </c>
      <c r="B144" s="5" t="s">
        <v>1551</v>
      </c>
      <c r="C144" s="5" t="s">
        <v>1552</v>
      </c>
      <c r="D144" s="5" t="s">
        <v>1553</v>
      </c>
      <c r="E144" s="5" t="s">
        <v>1554</v>
      </c>
      <c r="K144" s="6" t="str">
        <f>IFERROR(__xludf.DUMMYFUNCTION("GOOGLETRANSLATE(A144, ""en"", ""ur"")"),"143")</f>
        <v>143</v>
      </c>
      <c r="L144" s="6" t="str">
        <f>IFERROR(__xludf.DUMMYFUNCTION("GOOGLETRANSLATE(B144, ""en"", ""ur"")"),"ٹیم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f>
        <v>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v>
      </c>
      <c r="M144" s="6" t="str">
        <f>IFERROR(__xludf.DUMMYFUNCTION("GOOGLETRANSLATE(C144, ""en"", ""ur"")"),"A) سوار کو باضابطہ وارننگ دیں، B) سوار کو نااہل قرار دیں، C) ٹیم A کو قبضہ دے کر ٹیم B کو سزا دیں، D) میچ روکیں اور مجرم سوار کو وقتی جرمانہ جاری کریں۔")</f>
        <v>A) سوار کو باضابطہ وارننگ دیں، B) سوار کو نااہل قرار دیں، C) ٹیم A کو قبضہ دے کر ٹیم B کو سزا دیں، D) میچ روکیں اور مجرم سوار کو وقتی جرمانہ جاری کریں۔</v>
      </c>
      <c r="N144" s="6" t="str">
        <f>IFERROR(__xludf.DUMMYFUNCTION("GOOGLETRANSLATE(D144, ""en"", ""ur"")"),"B) سوار کو نااہل قرار دیں، C) ٹیم A کو قبضہ دے کر ٹیم B کو سزا دیں۔")</f>
        <v>B) سوار کو نااہل قرار دیں، C) ٹیم A کو قبضہ دے کر ٹیم B کو سزا دیں۔</v>
      </c>
      <c r="O144" s="6" t="str">
        <f>IFERROR(__xludf.DUMMYFUNCTION("GOOGLETRANSLATE(E144, ""en"", ""ur"")"),"غیر منصفانہ ہتھکنڈوں کا استعمال کرتے ہوئے مسلسل بلاک کرنے سے نااہلی یا قبضے کی تبدیلی جیسی سنگین سزائیں ہوتی ہیں۔")</f>
        <v>غیر منصفانہ ہتھکنڈوں کا استعمال کرتے ہوئے مسلسل بلاک کرنے سے نااہلی یا قبضے کی تبدیلی جیسی سنگین سزائیں ہوتی ہیں۔</v>
      </c>
    </row>
    <row r="145">
      <c r="A145" s="4">
        <v>144.0</v>
      </c>
      <c r="B145" s="5" t="s">
        <v>1555</v>
      </c>
      <c r="C145" s="5" t="s">
        <v>1556</v>
      </c>
      <c r="D145" s="5" t="s">
        <v>1557</v>
      </c>
      <c r="E145" s="5" t="s">
        <v>1558</v>
      </c>
      <c r="K145" s="6" t="str">
        <f>IFERROR(__xludf.DUMMYFUNCTION("GOOGLETRANSLATE(A145, ""en"", ""ur"")"),"144")</f>
        <v>144</v>
      </c>
      <c r="L145" s="6" t="str">
        <f>IFERROR(__xludf.DUMMYFUNCTION("GOOGLETRANSLATE(B145, ""en"", ""ur"")"),"گرما گرم تبادلے کے دوران، ٹیم A کا ایک سوار غلطی سے ریفری کی پوزیشن سے ٹکرا جاتا ہے۔ ریفری کو کیسے جواب دینا چاہئے؟")</f>
        <v>گرما گرم تبادلے کے دوران، ٹیم A کا ایک سوار غلطی سے ریفری کی پوزیشن سے ٹکرا جاتا ہے۔ ریفری کو کیسے جواب دینا چاہئے؟</v>
      </c>
      <c r="M145" s="6" t="str">
        <f>IFERROR(__xludf.DUMMYFUNCTION("GOOGLETRANSLATE(C145, ""en"", ""ur"")"),"A)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f>
        <v>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v>
      </c>
      <c r="N145" s="6" t="str">
        <f>IFERROR(__xludf.DUMMYFUNCTION("GOOGLETRANSLATE(D145, ""en"", ""ur"")"),"ب) اس بات کو یقینی بنانے کے لیے میچ روکیں کہ کسی کو تکلیف نہ پہنچے، سی) سوار کو وارننگ جاری کریں۔")</f>
        <v>ب) اس بات کو یقینی بنانے کے لیے میچ روکیں کہ کسی کو تکلیف نہ پہنچے، سی) سوار کو وارننگ جاری کریں۔</v>
      </c>
      <c r="O145" s="6" t="str">
        <f>IFERROR(__xludf.DUMMYFUNCTION("GOOGLETRANSLATE(E145, ""en"", ""ur"")"),"کھلاڑی اور ریفری کی حفاظت ایک ترجیح ہے، اور چوٹ سے بچنے کے لیے تصادم پر فوری توجہ دی جانی چاہیے۔")</f>
        <v>کھلاڑی اور ریفری کی حفاظت ایک ترجیح ہے، اور چوٹ سے بچنے کے لیے تصادم پر فوری توجہ دی جانی چاہیے۔</v>
      </c>
    </row>
    <row r="146">
      <c r="A146" s="4">
        <v>145.0</v>
      </c>
      <c r="B146" s="5" t="s">
        <v>1559</v>
      </c>
      <c r="C146" s="5" t="s">
        <v>1560</v>
      </c>
      <c r="D146" s="5" t="s">
        <v>1561</v>
      </c>
      <c r="E146" s="5" t="s">
        <v>1562</v>
      </c>
      <c r="K146" s="6" t="str">
        <f>IFERROR(__xludf.DUMMYFUNCTION("GOOGLETRANSLATE(A146, ""en"", ""ur"")"),"145")</f>
        <v>145</v>
      </c>
      <c r="L146" s="6" t="str">
        <f>IFERROR(__xludf.DUMMYFUNCTION("GOOGLETRANSLATE(B146, ""en"", ""ur"")"),"لاش مٹی کے گڑھے میں پھنس جاتی ہے جس سے دونوں ٹیموں کے لیے اس تک پہنچنا مشکل ہو جاتا ہے۔ ریفری کو کیا کرنا چاہیے؟")</f>
        <v>لاش مٹی کے گڑھے میں پھنس جاتی ہے جس سے دونوں ٹیموں کے لیے اس تک پہنچنا مشکل ہو جاتا ہے۔ ریفری کو کیا کرنا چاہیے؟</v>
      </c>
      <c r="M146" s="6" t="str">
        <f>IFERROR(__xludf.DUMMYFUNCTION("GOOGLETRANSLATE(C146, ""en"", ""ur"")"),"A) میچ کو معمول کے مطابق جاری رکھیں، B) لاش کو خشک جگہ پر ری سیٹ کریں اور دوبارہ کھیل شروع کریں، C) کھلاڑیوں کو لاش کو آزاد کرنے کے لیے مل کر کام کرنے کی اجازت دیں، D) میچ کو اس وقت تک روک دیں جب تک کہ صورتحال خود حل نہ ہو جائے۔")</f>
        <v>A) میچ کو معمول کے مطابق جاری رکھیں، B) لاش کو خشک جگہ پر ری سیٹ کریں اور دوبارہ کھیل شروع کریں، C) کھلاڑیوں کو لاش کو آزاد کرنے کے لیے مل کر کام کرنے کی اجازت دیں، D) میچ کو اس وقت تک روک دیں جب تک کہ صورتحال خود حل نہ ہو جائے۔</v>
      </c>
      <c r="N146" s="6" t="str">
        <f>IFERROR(__xludf.DUMMYFUNCTION("GOOGLETRANSLATE(D146, ""en"", ""ur"")"),"ب) لاش کو خشک جگہ پر سیٹ کریں اور دوبارہ کھیل شروع کریں۔")</f>
        <v>ب) لاش کو خشک جگہ پر سیٹ کریں اور دوبارہ کھیل شروع کریں۔</v>
      </c>
      <c r="O146" s="6" t="str">
        <f>IFERROR(__xludf.DUMMYFUNCTION("GOOGLETRANSLATE(E146, ""en"", ""ur"")"),"جب لاش رکاوٹ بن جائے تو اسے دوبارہ ترتیب دینا اور میچ جاری رکھنا مناسب ہے۔")</f>
        <v>جب لاش رکاوٹ بن جائے تو اسے دوبارہ ترتیب دینا اور میچ جاری رکھنا مناسب ہے۔</v>
      </c>
    </row>
    <row r="147">
      <c r="A147" s="4">
        <v>146.0</v>
      </c>
      <c r="B147" s="5" t="s">
        <v>1563</v>
      </c>
      <c r="C147" s="5" t="s">
        <v>1564</v>
      </c>
      <c r="D147" s="5" t="s">
        <v>1565</v>
      </c>
      <c r="E147" s="5" t="s">
        <v>1566</v>
      </c>
      <c r="K147" s="6" t="str">
        <f>IFERROR(__xludf.DUMMYFUNCTION("GOOGLETRANSLATE(A147, ""en"", ""ur"")"),"146")</f>
        <v>146</v>
      </c>
      <c r="L147" s="6" t="str">
        <f>IFERROR(__xludf.DUMMYFUNCTION("GOOGLETRANSLATE(B147, ""en"", ""ur"")"),"سخت مقابلہ کرنے والے میچ میں، ٹیم A کا ایک سوار اپنے گھوڑے کو درمیانی کھیل میں زخمی کر دیتا ہے۔ اگر چوٹ گھوڑے کو چلنے سے روکتی ہے تو ریفری کو کیا کرنا چاہیے؟")</f>
        <v>سخت مقابلہ کرنے والے میچ میں، ٹیم A کا ایک سوار اپنے گھوڑے کو درمیانی کھیل میں زخمی کر دیتا ہے۔ اگر چوٹ گھوڑے کو چلنے سے روکتی ہے تو ریفری کو کیا کرنا چاہیے؟</v>
      </c>
      <c r="M147" s="6" t="str">
        <f>IFERROR(__xludf.DUMMYFUNCTION("GOOGLETRANSLATE(C147, ""en"", ""ur"")"),"A) سوار کو نئے گھوڑے کے ساتھ جاری رکھنے کی اجازت دیں، B) گھوڑے کے متبادل کے لیے ٹیم A کو سزا دیں، C) سوار کو چوٹ لگنے کے لیے ایک مختصر وقفہ کی اجازت دیں، D) گھوڑے سے متعلقہ چوٹوں کے لیے ٹیم A کو نااہل قرار دیں۔")</f>
        <v>A) سوار کو نئے گھوڑے کے ساتھ جاری رکھنے کی اجازت دیں، B) گھوڑے کے متبادل کے لیے ٹیم A کو سزا دیں، C) سوار کو چوٹ لگنے کے لیے ایک مختصر وقفہ کی اجازت دیں، D) گھوڑے سے متعلقہ چوٹوں کے لیے ٹیم A کو نااہل قرار دیں۔</v>
      </c>
      <c r="N147" s="6" t="str">
        <f>IFERROR(__xludf.DUMMYFUNCTION("GOOGLETRANSLATE(D147, ""en"", ""ur"")"),"A) سوار کو نئے گھوڑے کے ساتھ جاری رکھنے کی اجازت دیں، C) سوار کو چوٹ کی طرف مائل ہونے کے لیے مختصر وقفے کی اجازت دیں۔")</f>
        <v>A) سوار کو نئے گھوڑے کے ساتھ جاری رکھنے کی اجازت دیں، C) سوار کو چوٹ کی طرف مائل ہونے کے لیے مختصر وقفے کی اجازت دیں۔</v>
      </c>
      <c r="O147" s="6" t="str">
        <f>IFERROR(__xludf.DUMMYFUNCTION("GOOGLETRANSLATE(E147, ""en"", ""ur"")"),"کھلاڑی کی حفاظت اہم ہے، اور مختصر طبی امداد یا گھوڑے کی تبدیلی کی اجازت معیاری پروٹوکول ہے۔")</f>
        <v>کھلاڑی کی حفاظت اہم ہے، اور مختصر طبی امداد یا گھوڑے کی تبدیلی کی اجازت معیاری پروٹوکول ہے۔</v>
      </c>
    </row>
    <row r="148">
      <c r="A148" s="4">
        <v>147.0</v>
      </c>
      <c r="B148" s="5" t="s">
        <v>1567</v>
      </c>
      <c r="C148" s="5" t="s">
        <v>1568</v>
      </c>
      <c r="D148" s="5" t="s">
        <v>1569</v>
      </c>
      <c r="E148" s="5" t="s">
        <v>1570</v>
      </c>
      <c r="K148" s="6" t="str">
        <f>IFERROR(__xludf.DUMMYFUNCTION("GOOGLETRANSLATE(A148, ""en"", ""ur"")"),"147")</f>
        <v>147</v>
      </c>
      <c r="L148" s="6" t="str">
        <f>IFERROR(__xludf.DUMMYFUNCTION("GOOGLETRANSLATE(B148, ""en"", ""ur"")"),"ایک سوار کامیابی کے ساتھ لاش کو پکڑتا ہے اور ہدف کی طرف اپنا راستہ بنا رہا ہوتا ہے جب ٹیم A کا دوسرا سوار غیر ارادی طور پر ان کا راستہ روکتا ہے۔ ریفری کو کیا فیصلہ کرنا چاہئے؟")</f>
        <v>ایک سوار کامیابی کے ساتھ لاش کو پکڑتا ہے اور ہدف کی طرف اپنا راستہ بنا رہا ہوتا ہے جب ٹیم A کا دوسرا سوار غیر ارادی طور پر ان کا راستہ روکتا ہے۔ ریفری کو کیا فیصلہ کرنا چاہئے؟</v>
      </c>
      <c r="M148" s="6" t="str">
        <f>IFERROR(__xludf.DUMMYFUNCTION("GOOGLETRANSLATE(C148, ""en"", ""ur"")"),"A) بغیر کسی جرمانے کے کھیل کو جاری رکھنے کی اجازت دیں، B) لاش کو دوبارہ ترتیب دیں، C) بلاک کیے جانے والے سوار کو مفت پاس دیں، D) روکے جانے والے سوار کو کھیل میں رکاوٹ ڈالنے پر سزا دیں۔")</f>
        <v>A) بغیر کسی جرمانے کے کھیل کو جاری رکھنے کی اجازت دیں، B) لاش کو دوبارہ ترتیب دیں، C) بلاک کیے جانے والے سوار کو مفت پاس دیں، D) روکے جانے والے سوار کو کھیل میں رکاوٹ ڈالنے پر سزا دیں۔</v>
      </c>
      <c r="N148" s="6" t="str">
        <f>IFERROR(__xludf.DUMMYFUNCTION("GOOGLETRANSLATE(D148, ""en"", ""ur"")"),"A) بغیر کسی جرمانے کے کھیل کو جاری رکھنے کی اجازت دیں۔")</f>
        <v>A) بغیر کسی جرمانے کے کھیل کو جاری رکھنے کی اجازت دیں۔</v>
      </c>
      <c r="O148" s="6" t="str">
        <f>IFERROR(__xludf.DUMMYFUNCTION("GOOGLETRANSLATE(E148, ""en"", ""ur"")"),"غیر ارادی رکاوٹیں عام طور پر جرمانے کی ضمانت نہیں دیتی ہیں جب تک کہ رکاوٹ جان بوجھ کر یا انتہائی نہ ہو۔")</f>
        <v>غیر ارادی رکاوٹیں عام طور پر جرمانے کی ضمانت نہیں دیتی ہیں جب تک کہ رکاوٹ جان بوجھ کر یا انتہائی نہ ہو۔</v>
      </c>
    </row>
    <row r="149">
      <c r="A149" s="4">
        <v>148.0</v>
      </c>
      <c r="B149" s="5" t="s">
        <v>1571</v>
      </c>
      <c r="C149" s="5" t="s">
        <v>1572</v>
      </c>
      <c r="D149" s="5" t="s">
        <v>1573</v>
      </c>
      <c r="E149" s="5" t="s">
        <v>1574</v>
      </c>
      <c r="K149" s="6" t="str">
        <f>IFERROR(__xludf.DUMMYFUNCTION("GOOGLETRANSLATE(A149, ""en"", ""ur"")"),"148")</f>
        <v>148</v>
      </c>
      <c r="L149" s="6" t="str">
        <f>IFERROR(__xludf.DUMMYFUNCTION("GOOGLETRANSLATE(B149, ""en"", ""ur"")"),"ایک مقامی بزکشی گیم میں، مخالف ٹیموں کے دو سوار لاش کو اپنے قبضے میں لینے کے لیے مٹھی بھر لڑائی میں پڑ جاتے ہیں۔ ریفری کو کیا کرنا چاہیے؟")</f>
        <v>ایک مقامی بزکشی گیم میں، مخالف ٹیموں کے دو سوار لاش کو اپنے قبضے میں لینے کے لیے مٹھی بھر لڑائی میں پڑ جاتے ہیں۔ ریفری کو کیا کرنا چاہیے؟</v>
      </c>
      <c r="M149" s="6" t="str">
        <f>IFERROR(__xludf.DUMMYFUNCTION("GOOGLETRANSLATE(C149, ""en"", ""ur"")"),"A) سواروں کو الگ کریں اور دونوں کو وارننگ جاری کریں، B) دونوں سواروں کو میچ سے نااہل قرار دیں، C) میچ کو روکیں اور ڈی ایسکلیشن کے لیے وقت دیں، D) مزید کارروائی کے بغیر میچ جاری رکھیں")</f>
        <v>A) سواروں کو الگ کریں اور دونوں کو وارننگ جاری کریں، B) دونوں سواروں کو میچ سے نااہل قرار دیں، C) میچ کو روکیں اور ڈی ایسکلیشن کے لیے وقت دیں، D) مزید کارروائی کے بغیر میچ جاری رکھیں</v>
      </c>
      <c r="N149" s="6" t="str">
        <f>IFERROR(__xludf.DUMMYFUNCTION("GOOGLETRANSLATE(D149, ""en"", ""ur"")"),"A) سواروں کو الگ کریں اور دونوں کو وارننگ جاری کریں، B) دونوں سواروں کو میچ سے نااہل قرار دیں۔")</f>
        <v>A) سواروں کو الگ کریں اور دونوں کو وارننگ جاری کریں، B) دونوں سواروں کو میچ سے نااہل قرار دیں۔</v>
      </c>
      <c r="O149" s="6" t="str">
        <f>IFERROR(__xludf.DUMMYFUNCTION("GOOGLETRANSLATE(E149, ""en"", ""ur"")"),"جسمانی تشدد ممنوع ہے اور منصفانہ کھیل کو برقرار رکھنے کے لیے اس کے مطابق سزا دی جانی چاہیے۔")</f>
        <v>جسمانی تشدد ممنوع ہے اور منصفانہ کھیل کو برقرار رکھنے کے لیے اس کے مطابق سزا دی جانی چاہیے۔</v>
      </c>
    </row>
    <row r="150">
      <c r="A150" s="4">
        <v>149.0</v>
      </c>
      <c r="B150" s="5" t="s">
        <v>1575</v>
      </c>
      <c r="C150" s="5" t="s">
        <v>1576</v>
      </c>
      <c r="D150" s="5" t="s">
        <v>1577</v>
      </c>
      <c r="E150" s="5" t="s">
        <v>1578</v>
      </c>
      <c r="K150" s="6" t="str">
        <f>IFERROR(__xludf.DUMMYFUNCTION("GOOGLETRANSLATE(A150, ""en"", ""ur"")"),"149")</f>
        <v>149</v>
      </c>
      <c r="L150" s="6" t="str">
        <f>IFERROR(__xludf.DUMMYFUNCTION("GOOGLETRANSLATE(B150, ""en"", ""ur"")"),"ٹیم A کا ایک سوار بہت جارحانہ انداز میں سواری کرتا ہے اور دوسرے سوار کو اپنے گھوڑے سے گرا دیتا ہے۔ ریفری کا فیصلہ کیا ہونا چاہیے؟")</f>
        <v>ٹیم A کا ایک سوار بہت جارحانہ انداز میں سواری کرتا ہے اور دوسرے سوار کو اپنے گھوڑے سے گرا دیتا ہے۔ ریفری کا فیصلہ کیا ہونا چاہیے؟</v>
      </c>
      <c r="M150" s="6" t="str">
        <f>IFERROR(__xludf.DUMMYFUNCTION("GOOGLETRANSLATE(C150, ""en"", ""ur"")"),"A) خلاف ورزی کرنے والے سوار کو پیلا کارڈ جاری کریں، B) رائیڈر کو غیر کھیلوں کے طرز عمل پر نااہل قرار دیں، C) ٹیم B کو مفت قبضہ دے کر ٹیم A کو سزا دیں، D) میچ کو جاری رہنے دیں کیونکہ کوئی شدید چوٹ نہیں آئی")</f>
        <v>A) خلاف ورزی کرنے والے سوار کو پیلا کارڈ جاری کریں، B) رائیڈر کو غیر کھیلوں کے طرز عمل پر نااہل قرار دیں، C) ٹیم B کو مفت قبضہ دے کر ٹیم A کو سزا دیں، D) میچ کو جاری رہنے دیں کیونکہ کوئی شدید چوٹ نہیں آئی</v>
      </c>
      <c r="N150" s="6" t="str">
        <f>IFERROR(__xludf.DUMMYFUNCTION("GOOGLETRANSLATE(D150, ""en"", ""ur"")"),"A) مجرم سوار کو پیلا کارڈ جاری کریں، C) ٹیم B کو مفت قبضہ دے کر ٹیم A کو سزا دیں۔")</f>
        <v>A) مجرم سوار کو پیلا کارڈ جاری کریں، C) ٹیم B کو مفت قبضہ دے کر ٹیم A کو سزا دیں۔</v>
      </c>
      <c r="O150" s="6" t="str">
        <f>IFERROR(__xludf.DUMMYFUNCTION("GOOGLETRANSLATE(E150, ""en"", ""ur"")"),"حفاظت اور منصفانہ مسابقت کو یقینی بنانے کے لیے جارحانہ حربوں پر جرمانہ عائد کیا جانا چاہیے۔")</f>
        <v>حفاظت اور منصفانہ مسابقت کو یقینی بنانے کے لیے جارحانہ حربوں پر جرمانہ عائد کیا جانا چاہیے۔</v>
      </c>
    </row>
    <row r="151">
      <c r="A151" s="4">
        <v>150.0</v>
      </c>
      <c r="B151" s="5" t="s">
        <v>1579</v>
      </c>
      <c r="C151" s="5" t="s">
        <v>1580</v>
      </c>
      <c r="D151" s="5" t="s">
        <v>1581</v>
      </c>
      <c r="E151" s="5" t="s">
        <v>1582</v>
      </c>
      <c r="K151" s="6" t="str">
        <f>IFERROR(__xludf.DUMMYFUNCTION("GOOGLETRANSLATE(A151, ""en"", ""ur"")"),"150")</f>
        <v>150</v>
      </c>
      <c r="L151" s="6" t="str">
        <f>IFERROR(__xludf.DUMMYFUNCTION("GOOGLETRANSLATE(B151, ""en"", ""ur"")"),"ٹیم A کا ایک سوار لاش کو پکڑتا ہے اور گول کی طرف بڑھ رہا ہے جب اسے اپنے گھوڑے کا استعمال کرتے ہوئے مخالف کے ذریعہ روکا جاتا ہے۔ ریفری کو کیا کرنا چاہیے؟")</f>
        <v>ٹیم A کا ایک سوار لاش کو پکڑتا ہے اور گول کی طرف بڑھ رہا ہے جب اسے اپنے گھوڑے کا استعمال کرتے ہوئے مخالف کے ذریعہ روکا جاتا ہے۔ ریفری کو کیا کرنا چاہیے؟</v>
      </c>
      <c r="M151" s="6" t="str">
        <f>IFERROR(__xludf.DUMMYFUNCTION("GOOGLETRANSLATE(C151, ""en"", ""ur"")"),"A) بلاک کو اجازت دیں کیونکہ یہ گیم کا حصہ ہے، B) سوار کو غیر منصفانہ بلاک کرنے پر سزا دیں، C) ٹیم A کو مفت قبضہ دیں، D) میچ روکیں اور لاش کو دوبارہ ترتیب دیں۔")</f>
        <v>A) بلاک کو اجازت دیں کیونکہ یہ گیم کا حصہ ہے، B) سوار کو غیر منصفانہ بلاک کرنے پر سزا دیں، C) ٹیم A کو مفت قبضہ دیں، D) میچ روکیں اور لاش کو دوبارہ ترتیب دیں۔</v>
      </c>
      <c r="N151" s="6" t="str">
        <f>IFERROR(__xludf.DUMMYFUNCTION("GOOGLETRANSLATE(D151, ""en"", ""ur"")"),"B) سوار کو غیر منصفانہ بلاک کرنے پر سزا دیں، C) ٹیم A کو مفت قبضہ دیں")</f>
        <v>B) سوار کو غیر منصفانہ بلاک کرنے پر سزا دیں، C) ٹیم A کو مفت قبضہ دیں</v>
      </c>
      <c r="O151" s="6" t="str">
        <f>IFERROR(__xludf.DUMMYFUNCTION("GOOGLETRANSLATE(E151, ""en"", ""ur"")"),"گھوڑے کے ساتھ روکنے کی اجازت ہے، لیکن حد سے زیادہ جارحانہ یا رکاوٹ والے انداز میں نہیں۔ غیر منصفانہ طرز عمل پر جرمانہ جاری کیا جاتا ہے۔")</f>
        <v>گھوڑے کے ساتھ روکنے کی اجازت ہے، لیکن حد سے زیادہ جارحانہ یا رکاوٹ والے انداز میں نہیں۔ غیر منصفانہ طرز عمل پر جرمانہ جاری کیا جاتا ہے۔</v>
      </c>
    </row>
  </sheetData>
  <drawing r:id="rId1"/>
  <tableParts count="2">
    <tablePart r:id="rId4"/>
    <tablePart r:id="rId5"/>
  </tableParts>
</worksheet>
</file>